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a3a22ff6434f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f82b2e3c1d8438b"/>
    <x:sheet xmlns:r="http://schemas.openxmlformats.org/officeDocument/2006/relationships" name="Controls" sheetId="2" r:id="R5a6af2142f894f06"/>
    <x:sheet xmlns:r="http://schemas.openxmlformats.org/officeDocument/2006/relationships" name="Article Bank" sheetId="3" r:id="R7b13b2f9d9bb464b"/>
    <x:sheet xmlns:r="http://schemas.openxmlformats.org/officeDocument/2006/relationships" name="Interface Catalog" sheetId="4" r:id="R7b4b38f74db54cf6"/>
    <x:sheet xmlns:r="http://schemas.openxmlformats.org/officeDocument/2006/relationships" name="Interface Trials" sheetId="5" r:id="R9dd28a0a68ee4bbe"/>
    <x:sheet xmlns:r="http://schemas.openxmlformats.org/officeDocument/2006/relationships" name="Service Cells" sheetId="6" r:id="R91c5bb59f39d4949"/>
    <x:sheet xmlns:r="http://schemas.openxmlformats.org/officeDocument/2006/relationships" name="Receiver Worlds" sheetId="7" r:id="Re29683a576544b27"/>
    <x:sheet xmlns:r="http://schemas.openxmlformats.org/officeDocument/2006/relationships" name="Integration Trials" sheetId="8" r:id="R73df425425114697"/>
    <x:sheet xmlns:r="http://schemas.openxmlformats.org/officeDocument/2006/relationships" name="Fault Matrix" sheetId="9" r:id="Rd324b17a87e54cca"/>
    <x:sheet xmlns:r="http://schemas.openxmlformats.org/officeDocument/2006/relationships" name="Cold Reset" sheetId="10" r:id="R46d469a8af424b80"/>
    <x:sheet xmlns:r="http://schemas.openxmlformats.org/officeDocument/2006/relationships" name="Root Independence" sheetId="11" r:id="R96c7dffcecd74bb6"/>
    <x:sheet xmlns:r="http://schemas.openxmlformats.org/officeDocument/2006/relationships" name="Schedule" sheetId="12" r:id="Rfd8198f8add04438"/>
    <x:sheet xmlns:r="http://schemas.openxmlformats.org/officeDocument/2006/relationships" name="Capital Draw" sheetId="13" r:id="Rc7190a54db6f4dcd"/>
    <x:sheet xmlns:r="http://schemas.openxmlformats.org/officeDocument/2006/relationships" name="Annual Draw" sheetId="14" r:id="Rdada215e36a64895"/>
    <x:sheet xmlns:r="http://schemas.openxmlformats.org/officeDocument/2006/relationships" name="Release Gates" sheetId="15" r:id="Ra72d91ae8fc3495c"/>
    <x:sheet xmlns:r="http://schemas.openxmlformats.org/officeDocument/2006/relationships" name="Audit" sheetId="16" r:id="R40d4793ef57e413f"/>
    <x:sheet xmlns:r="http://schemas.openxmlformats.org/officeDocument/2006/relationships" name="ReadMe" sheetId="17" r:id="R5e853f5e16e74a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%"/>
  </x:numFmts>
  <x:fonts count="8">
    <x:font>
      <x:sz val="11"/>
      <x:name val="Carlito"/>
    </x:font>
    <x:font>
      <x:b/>
      <x:sz val="15"/>
      <x:color rgb="FF17324D"/>
      <x:name val="Arial"/>
    </x:font>
    <x:font>
      <x:i/>
      <x:sz val="10"/>
      <x:color rgb="FF5D6B78"/>
      <x:name val="Arial"/>
    </x:font>
    <x:font>
      <x:b/>
      <x:sz val="10"/>
      <x:color rgb="FFFFFFFF"/>
      <x:name val="Arial"/>
    </x:font>
    <x:font>
      <x:sz val="10"/>
      <x:name val="Arial"/>
    </x:font>
    <x:font>
      <x:sz val="10"/>
      <x:color rgb="FF0070C0"/>
      <x:name val="Arial"/>
    </x:font>
    <x:font>
      <x:b/>
      <x:sz val="10"/>
      <x:color rgb="FF273444"/>
      <x:name val="Arial"/>
    </x:font>
    <x:font>
      <x:b/>
      <x:sz val="10"/>
      <x:color rgb="FF17324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5"/>
      </x:patternFill>
    </x:fill>
  </x:fills>
  <x:borders count="6">
    <x:border/>
    <x:border>
      <x:bottom style="thin">
        <x:color rgb="FF17324D"/>
      </x:bottom>
    </x:border>
    <x:border>
      <x:bottom style="thin">
        <x:color rgb="FFC8D3DD"/>
      </x:bottom>
    </x:border>
    <x:border>
      <x:left style="thin">
        <x:color rgb="FFC8D3DD"/>
      </x:left>
      <x:top style="thin">
        <x:color rgb="FFC8D3DD"/>
      </x:top>
      <x:bottom style="thin">
        <x:color rgb="FFC8D3DD"/>
      </x:bottom>
    </x:border>
    <x:border>
      <x:top style="thin">
        <x:color rgb="FFC8D3DD"/>
      </x:top>
      <x:bottom style="thin">
        <x:color rgb="FFC8D3DD"/>
      </x:bottom>
    </x:border>
    <x:border>
      <x:right style="thin">
        <x:color rgb="FFC8D3DD"/>
      </x:right>
      <x:top style="thin">
        <x:color rgb="FFC8D3DD"/>
      </x:top>
      <x:bottom style="thin">
        <x:color rgb="FFC8D3DD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3" xfId="0" applyNumberFormat="1" applyFont="1" applyFill="1" applyBorder="1"/>
    <x:xf numFmtId="0" fontId="6" fillId="3" borderId="4" xfId="0" applyNumberFormat="1" applyFont="1" applyFill="1" applyBorder="1"/>
    <x:xf numFmtId="0" fontId="6" fillId="3" borderId="5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73"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e55bfdf2a44df5" /><Relationship Type="http://schemas.openxmlformats.org/officeDocument/2006/relationships/theme" Target="/xl/theme/theme1.xml" Id="Rafef61865b3f48ac" /><Relationship Type="http://schemas.openxmlformats.org/officeDocument/2006/relationships/sharedStrings" Target="/xl/sharedStrings.xml" Id="Rd278abbc0e494983" /><Relationship Type="http://schemas.openxmlformats.org/officeDocument/2006/relationships/worksheet" Target="/xl/worksheets/sheet1.xml" Id="Ref82b2e3c1d8438b" /><Relationship Type="http://schemas.openxmlformats.org/officeDocument/2006/relationships/worksheet" Target="/xl/worksheets/sheet2.xml" Id="R5a6af2142f894f06" /><Relationship Type="http://schemas.openxmlformats.org/officeDocument/2006/relationships/worksheet" Target="/xl/worksheets/sheet3.xml" Id="R7b13b2f9d9bb464b" /><Relationship Type="http://schemas.openxmlformats.org/officeDocument/2006/relationships/worksheet" Target="/xl/worksheets/sheet4.xml" Id="R7b4b38f74db54cf6" /><Relationship Type="http://schemas.openxmlformats.org/officeDocument/2006/relationships/worksheet" Target="/xl/worksheets/sheet5.xml" Id="R9dd28a0a68ee4bbe" /><Relationship Type="http://schemas.openxmlformats.org/officeDocument/2006/relationships/worksheet" Target="/xl/worksheets/sheet6.xml" Id="R91c5bb59f39d4949" /><Relationship Type="http://schemas.openxmlformats.org/officeDocument/2006/relationships/worksheet" Target="/xl/worksheets/sheet7.xml" Id="Re29683a576544b27" /><Relationship Type="http://schemas.openxmlformats.org/officeDocument/2006/relationships/worksheet" Target="/xl/worksheets/sheet8.xml" Id="R73df425425114697" /><Relationship Type="http://schemas.openxmlformats.org/officeDocument/2006/relationships/worksheet" Target="/xl/worksheets/sheet9.xml" Id="Rd324b17a87e54cca" /><Relationship Type="http://schemas.openxmlformats.org/officeDocument/2006/relationships/worksheet" Target="/xl/worksheets/sheet10.xml" Id="R46d469a8af424b80" /><Relationship Type="http://schemas.openxmlformats.org/officeDocument/2006/relationships/worksheet" Target="/xl/worksheets/sheet11.xml" Id="R96c7dffcecd74bb6" /><Relationship Type="http://schemas.openxmlformats.org/officeDocument/2006/relationships/worksheet" Target="/xl/worksheets/sheet12.xml" Id="Rfd8198f8add04438" /><Relationship Type="http://schemas.openxmlformats.org/officeDocument/2006/relationships/worksheet" Target="/xl/worksheets/sheet13.xml" Id="Rc7190a54db6f4dcd" /><Relationship Type="http://schemas.openxmlformats.org/officeDocument/2006/relationships/worksheet" Target="/xl/worksheets/sheet14.xml" Id="Rdada215e36a64895" /><Relationship Type="http://schemas.openxmlformats.org/officeDocument/2006/relationships/worksheet" Target="/xl/worksheets/sheet15.xml" Id="Ra72d91ae8fc3495c" /><Relationship Type="http://schemas.openxmlformats.org/officeDocument/2006/relationships/worksheet" Target="/xl/worksheets/sheet16.xml" Id="R40d4793ef57e413f" /><Relationship Type="http://schemas.openxmlformats.org/officeDocument/2006/relationships/worksheet" Target="/xl/worksheets/sheet17.xml" Id="R5e853f5e16e74a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2" max="2" width="38" hidden="0" customWidth="1"/>
    <x:col min="3" max="3" width="4" hidden="0" customWidth="1"/>
    <x:col min="4" max="4" width="20" hidden="0" customWidth="1"/>
    <x:col min="5" max="5" width="20" hidden="0" customWidth="1"/>
    <x:col min="6" max="6" width="12" hidden="0" customWidth="1"/>
    <x:col min="7" max="7" width="12" hidden="0" customWidth="1"/>
    <x:col min="8" max="8" width="12" hidden="0" customWidth="1"/>
  </x:cols>
  <x:sheetData>
    <x:row r="2">
      <x:c r="B2" s="31" t="str">
        <x:v>MQP-1 | Physical module and interface qualification</x:v>
      </x:c>
      <x:c r="C2" s="8"/>
      <x:c r="D2" s="8"/>
      <x:c r="E2" s="8"/>
      <x:c r="F2" s="8"/>
      <x:c r="G2" s="8"/>
      <x:c r="H2" s="8"/>
    </x:row>
    <x:row r="3">
      <x:c r="B3" s="2" t="str">
        <x:v>A forty-eight-month evidence program preceding production and exterior rendering authority.</x:v>
      </x:c>
      <x:c r="C3" s="8"/>
      <x:c r="D3" s="8"/>
      <x:c r="E3" s="8"/>
      <x:c r="F3" s="8"/>
      <x:c r="G3" s="8"/>
      <x:c r="H3" s="8"/>
    </x:row>
    <x:row r="4">
      <x:c r="B4" s="32"/>
      <x:c r="C4" s="32"/>
      <x:c r="D4" s="32"/>
      <x:c r="E4" s="32"/>
      <x:c r="F4" s="32"/>
      <x:c r="G4" s="32"/>
      <x:c r="H4" s="32"/>
    </x:row>
    <x:row r="5">
      <x:c r="B5" s="8"/>
      <x:c r="C5" s="8"/>
      <x:c r="D5" s="8"/>
      <x:c r="E5" s="8"/>
      <x:c r="F5" s="8"/>
      <x:c r="G5" s="8"/>
      <x:c r="H5" s="8"/>
    </x:row>
    <x:row r="6">
      <x:c r="B6" s="18" t="str">
        <x:v>Constitutional result</x:v>
      </x:c>
      <x:c r="C6" s="19" t="str">
        <x:v>Constitutional result</x:v>
      </x:c>
      <x:c r="D6" s="19" t="str">
        <x:v>Constitutional result</x:v>
      </x:c>
      <x:c r="E6" s="19" t="str">
        <x:v>Constitutional result</x:v>
      </x:c>
      <x:c r="F6" s="19" t="str">
        <x:v>Constitutional result</x:v>
      </x:c>
      <x:c r="G6" s="19" t="str">
        <x:v>Constitutional result</x:v>
      </x:c>
      <x:c r="H6" s="20" t="str">
        <x:v>Constitutional result</x:v>
      </x:c>
    </x:row>
    <x:row r="7">
      <x:c r="B7" s="9" t="str">
        <x:v>Planning disposition</x:v>
      </x:c>
      <x:c r="C7" s="9"/>
      <x:c r="D7" s="9" t="str">
        <x:f>'Release Gates'!H38</x:f>
        <x:v>AUTHORIZED</x:v>
      </x:c>
      <x:c r="E7" s="9"/>
      <x:c r="F7" s="9"/>
      <x:c r="G7" s="9"/>
      <x:c r="H7" s="9"/>
    </x:row>
    <x:row r="8">
      <x:c r="B8" s="9" t="str">
        <x:v>Physical program authority</x:v>
      </x:c>
      <x:c r="C8" s="9"/>
      <x:c r="D8" s="9" t="str">
        <x:f>IF(AND('Release Gates'!H39="AUTHORIZED",'Release Gates'!H40="AUTHORIZED"),"AUTHORIZED","HOLD")</x:f>
        <x:v>HOLD</x:v>
      </x:c>
      <x:c r="E8" s="9"/>
      <x:c r="F8" s="9"/>
      <x:c r="G8" s="9"/>
      <x:c r="H8" s="9"/>
    </x:row>
    <x:row r="9">
      <x:c r="B9" s="9" t="str">
        <x:v>Production authority</x:v>
      </x:c>
      <x:c r="C9" s="9"/>
      <x:c r="D9" s="9" t="str">
        <x:f>'Release Gates'!H59</x:f>
        <x:v>BLOCKED</x:v>
      </x:c>
      <x:c r="E9" s="9"/>
      <x:c r="F9" s="9"/>
      <x:c r="G9" s="9"/>
      <x:c r="H9" s="9"/>
    </x:row>
    <x:row r="10">
      <x:c r="B10" s="9" t="str">
        <x:v>Exterior rendering authority</x:v>
      </x:c>
      <x:c r="C10" s="9"/>
      <x:c r="D10" s="9" t="str">
        <x:f>'Release Gates'!H60</x:f>
        <x:v>BLOCKED</x:v>
      </x:c>
      <x:c r="E10" s="9"/>
      <x:c r="F10" s="9"/>
      <x:c r="G10" s="9"/>
      <x:c r="H10" s="9"/>
    </x:row>
    <x:row r="11">
      <x:c r="B11" s="9" t="str">
        <x:v>Protected shipsets consumed</x:v>
      </x:c>
      <x:c r="C11" s="9"/>
      <x:c r="D11" s="9" t="n">
        <x:f>'Controls'!$D$59</x:f>
        <x:v>0</x:v>
      </x:c>
      <x:c r="E11" s="9"/>
      <x:c r="F11" s="9"/>
      <x:c r="G11" s="9"/>
      <x:c r="H11" s="9"/>
    </x:row>
    <x:row r="12">
      <x:c r="B12" s="9" t="str">
        <x:v>Current evidence class</x:v>
      </x:c>
      <x:c r="C12" s="9" t="str">
        <x:v>planning constitution</x:v>
      </x:c>
      <x:c r="D12" s="9"/>
      <x:c r="E12" s="9"/>
      <x:c r="F12" s="9"/>
      <x:c r="G12" s="9"/>
      <x:c r="H12" s="9"/>
    </x:row>
    <x:row r="13">
      <x:c r="B13" s="10" t="str">
        <x:v>Next evidence object</x:v>
      </x:c>
      <x:c r="C13" s="10" t="str">
        <x:v>coupled physical article specifications</x:v>
      </x:c>
      <x:c r="D13" s="10"/>
      <x:c r="E13" s="10"/>
      <x:c r="F13" s="10"/>
      <x:c r="G13" s="10"/>
      <x:c r="H13" s="10"/>
    </x:row>
    <x:row r="14">
      <x:c r="B14" s="8"/>
      <x:c r="C14" s="8"/>
      <x:c r="D14" s="8"/>
      <x:c r="E14" s="8"/>
      <x:c r="F14" s="8"/>
      <x:c r="G14" s="8"/>
      <x:c r="H14" s="8"/>
    </x:row>
    <x:row r="15">
      <x:c r="B15" s="8"/>
      <x:c r="C15" s="8"/>
      <x:c r="D15" s="8"/>
      <x:c r="E15" s="8"/>
      <x:c r="F15" s="8"/>
      <x:c r="G15" s="8"/>
      <x:c r="H15" s="8"/>
    </x:row>
    <x:row r="16">
      <x:c r="B16" s="18" t="str">
        <x:v>Qualification bank and trial architecture</x:v>
      </x:c>
      <x:c r="C16" s="19" t="str">
        <x:v>Qualification bank and trial architecture</x:v>
      </x:c>
      <x:c r="D16" s="19" t="str">
        <x:v>Qualification bank and trial architecture</x:v>
      </x:c>
      <x:c r="E16" s="19" t="str">
        <x:v>Qualification bank and trial architecture</x:v>
      </x:c>
      <x:c r="F16" s="19" t="str">
        <x:v>Qualification bank and trial architecture</x:v>
      </x:c>
      <x:c r="G16" s="19" t="str">
        <x:v>Qualification bank and trial architecture</x:v>
      </x:c>
      <x:c r="H16" s="20" t="str">
        <x:v>Qualification bank and trial architecture</x:v>
      </x:c>
    </x:row>
    <x:row r="17">
      <x:c r="B17" s="9" t="str">
        <x:v>Controlled serial units</x:v>
      </x:c>
      <x:c r="C17" s="9"/>
      <x:c r="D17" s="9" t="n">
        <x:f>'Controls'!$D$20</x:f>
        <x:v>130</x:v>
      </x:c>
      <x:c r="E17" s="9" t="str">
        <x:v>units</x:v>
      </x:c>
      <x:c r="F17" s="8"/>
      <x:c r="G17" s="8"/>
      <x:c r="H17" s="8"/>
    </x:row>
    <x:row r="18">
      <x:c r="B18" s="9" t="str">
        <x:v>Decision-bearing trials</x:v>
      </x:c>
      <x:c r="C18" s="9"/>
      <x:c r="D18" s="9" t="n">
        <x:f>'Controls'!$D$27</x:f>
        <x:v>94</x:v>
      </x:c>
      <x:c r="E18" s="9" t="str">
        <x:v>trials</x:v>
      </x:c>
      <x:c r="F18" s="8"/>
      <x:c r="G18" s="8"/>
      <x:c r="H18" s="8"/>
    </x:row>
    <x:row r="19">
      <x:c r="B19" s="9" t="str">
        <x:v>Interface families</x:v>
      </x:c>
      <x:c r="C19" s="9"/>
      <x:c r="D19" s="9" t="n">
        <x:f>'Controls'!$D$8</x:f>
        <x:v>10</x:v>
      </x:c>
      <x:c r="E19" s="9" t="str">
        <x:v>families</x:v>
      </x:c>
      <x:c r="F19" s="8"/>
      <x:c r="G19" s="8"/>
      <x:c r="H19" s="8"/>
    </x:row>
    <x:row r="20">
      <x:c r="B20" s="9" t="str">
        <x:v>Campus service lines</x:v>
      </x:c>
      <x:c r="C20" s="9"/>
      <x:c r="D20" s="9" t="n">
        <x:f>'Controls'!$D$12</x:f>
        <x:v>9</x:v>
      </x:c>
      <x:c r="E20" s="9" t="str">
        <x:v>services</x:v>
      </x:c>
      <x:c r="F20" s="8"/>
      <x:c r="G20" s="8"/>
      <x:c r="H20" s="8"/>
    </x:row>
    <x:row r="21">
      <x:c r="B21" s="9" t="str">
        <x:v>Cold-reset cohort</x:v>
      </x:c>
      <x:c r="C21" s="9"/>
      <x:c r="D21" s="9" t="n">
        <x:f>'Controls'!$D$30</x:f>
        <x:v>20</x:v>
      </x:c>
      <x:c r="E21" s="9" t="str">
        <x:v>trials</x:v>
      </x:c>
      <x:c r="F21" s="8"/>
      <x:c r="G21" s="8"/>
      <x:c r="H21" s="8"/>
    </x:row>
    <x:row r="22">
      <x:c r="B22" s="9" t="str">
        <x:v>Receiver worlds</x:v>
      </x:c>
      <x:c r="C22" s="9"/>
      <x:c r="D22" s="9" t="n">
        <x:f>'Controls'!$D$16</x:f>
        <x:v>3</x:v>
      </x:c>
      <x:c r="E22" s="9" t="str">
        <x:v>worlds</x:v>
      </x:c>
      <x:c r="F22" s="8"/>
      <x:c r="G22" s="8"/>
      <x:c r="H22" s="8"/>
    </x:row>
    <x:row r="23">
      <x:c r="B23" s="9" t="str">
        <x:v>Sealed faults</x:v>
      </x:c>
      <x:c r="C23" s="9"/>
      <x:c r="D23" s="9" t="n">
        <x:f>'Controls'!$D$28</x:f>
        <x:v>24</x:v>
      </x:c>
      <x:c r="E23" s="9" t="str">
        <x:v>faults</x:v>
      </x:c>
      <x:c r="F23" s="8"/>
      <x:c r="G23" s="8"/>
      <x:c r="H23" s="8"/>
    </x:row>
    <x:row r="24">
      <x:c r="B24" s="9" t="str">
        <x:v>Clean controls</x:v>
      </x:c>
      <x:c r="C24" s="9"/>
      <x:c r="D24" s="9" t="n">
        <x:f>'Controls'!$D$29</x:f>
        <x:v>24</x:v>
      </x:c>
      <x:c r="E24" s="9" t="str">
        <x:v>controls</x:v>
      </x:c>
      <x:c r="F24" s="8"/>
      <x:c r="G24" s="8"/>
      <x:c r="H24" s="8"/>
    </x:row>
    <x:row r="25">
      <x:c r="B25" s="10" t="str">
        <x:v>Program duration</x:v>
      </x:c>
      <x:c r="C25" s="10"/>
      <x:c r="D25" s="10" t="n">
        <x:f>'Controls'!$D$7</x:f>
        <x:v>48</x:v>
      </x:c>
      <x:c r="E25" s="10" t="str">
        <x:v>months</x:v>
      </x:c>
      <x:c r="F25" s="8"/>
      <x:c r="G25" s="8"/>
      <x:c r="H25" s="8"/>
    </x:row>
    <x:row r="26">
      <x:c r="B26" s="8"/>
      <x:c r="C26" s="8"/>
      <x:c r="D26" s="8"/>
      <x:c r="E26" s="8"/>
      <x:c r="F26" s="8"/>
      <x:c r="G26" s="8"/>
      <x:c r="H26" s="8"/>
    </x:row>
    <x:row r="27">
      <x:c r="B27" s="8"/>
      <x:c r="C27" s="8"/>
      <x:c r="D27" s="8"/>
      <x:c r="E27" s="8"/>
      <x:c r="F27" s="8"/>
      <x:c r="G27" s="8"/>
      <x:c r="H27" s="8"/>
    </x:row>
    <x:row r="28">
      <x:c r="B28" s="18" t="str">
        <x:v>Cross-classified resource boundary</x:v>
      </x:c>
      <x:c r="C28" s="19" t="str">
        <x:v>Cross-classified resource boundary</x:v>
      </x:c>
      <x:c r="D28" s="19" t="str">
        <x:v>Cross-classified resource boundary</x:v>
      </x:c>
      <x:c r="E28" s="19" t="str">
        <x:v>Cross-classified resource boundary</x:v>
      </x:c>
      <x:c r="F28" s="19" t="str">
        <x:v>Cross-classified resource boundary</x:v>
      </x:c>
      <x:c r="G28" s="19" t="str">
        <x:v>Cross-classified resource boundary</x:v>
      </x:c>
      <x:c r="H28" s="20" t="str">
        <x:v>Cross-classified resource boundary</x:v>
      </x:c>
    </x:row>
    <x:row r="29">
      <x:c r="B29" s="9" t="str">
        <x:v>Standing capital</x:v>
      </x:c>
      <x:c r="C29" s="9"/>
      <x:c r="D29" s="25" t="n">
        <x:f>'Capital Draw'!C17</x:f>
        <x:v>13.9</x:v>
      </x:c>
      <x:c r="E29" s="9" t="str">
        <x:v>USD B</x:v>
      </x:c>
      <x:c r="F29" s="8"/>
      <x:c r="G29" s="8"/>
      <x:c r="H29" s="8"/>
    </x:row>
    <x:row r="30">
      <x:c r="B30" s="9" t="str">
        <x:v>MQP-1 capital draw</x:v>
      </x:c>
      <x:c r="C30" s="9"/>
      <x:c r="D30" s="25" t="n">
        <x:f>'Capital Draw'!D17</x:f>
        <x:v>2.9999999999999996</x:v>
      </x:c>
      <x:c r="E30" s="9" t="str">
        <x:v>USD B</x:v>
      </x:c>
      <x:c r="F30" s="8"/>
      <x:c r="G30" s="8"/>
      <x:c r="H30" s="8"/>
    </x:row>
    <x:row r="31">
      <x:c r="B31" s="9" t="str">
        <x:v>Standing annual support</x:v>
      </x:c>
      <x:c r="C31" s="9"/>
      <x:c r="D31" s="25" t="n">
        <x:f>'Annual Draw'!C19</x:f>
        <x:v>1.086</x:v>
      </x:c>
      <x:c r="E31" s="9" t="str">
        <x:v>USD B/year</x:v>
      </x:c>
      <x:c r="F31" s="8"/>
      <x:c r="G31" s="8"/>
      <x:c r="H31" s="8"/>
    </x:row>
    <x:row r="32">
      <x:c r="B32" s="9" t="str">
        <x:v>MQP-1 annual draw</x:v>
      </x:c>
      <x:c r="C32" s="9"/>
      <x:c r="D32" s="25" t="n">
        <x:f>'Annual Draw'!D19</x:f>
        <x:v>0.72</x:v>
      </x:c>
      <x:c r="E32" s="9" t="str">
        <x:v>USD B/year</x:v>
      </x:c>
      <x:c r="F32" s="8"/>
      <x:c r="G32" s="8"/>
      <x:c r="H32" s="8"/>
    </x:row>
    <x:row r="33">
      <x:c r="B33" s="9" t="str">
        <x:v>Four-year MQP-1 operating draw</x:v>
      </x:c>
      <x:c r="C33" s="9"/>
      <x:c r="D33" s="25" t="n">
        <x:f>'Annual Draw'!D26</x:f>
        <x:v>2.88</x:v>
      </x:c>
      <x:c r="E33" s="9" t="str">
        <x:v>USD B</x:v>
      </x:c>
      <x:c r="F33" s="8"/>
      <x:c r="G33" s="8"/>
      <x:c r="H33" s="8"/>
    </x:row>
    <x:row r="34">
      <x:c r="B34" s="10" t="str">
        <x:v>Protected shipset capital draw</x:v>
      </x:c>
      <x:c r="C34" s="10"/>
      <x:c r="D34" s="27" t="n">
        <x:f>'Capital Draw'!D7</x:f>
        <x:v>0</x:v>
      </x:c>
      <x:c r="E34" s="10" t="str">
        <x:v>USD B</x:v>
      </x:c>
      <x:c r="F34" s="8"/>
      <x:c r="G34" s="8"/>
      <x:c r="H34" s="8"/>
    </x:row>
    <x:row r="35">
      <x:c r="B35" s="8"/>
      <x:c r="C35" s="8"/>
      <x:c r="D35" s="8"/>
      <x:c r="E35" s="8"/>
      <x:c r="F35" s="8"/>
      <x:c r="G35" s="8"/>
      <x:c r="H35" s="8"/>
    </x:row>
    <x:row r="36">
      <x:c r="B36" s="8"/>
      <x:c r="C36" s="8"/>
      <x:c r="D36" s="8"/>
      <x:c r="E36" s="8"/>
      <x:c r="F36" s="8"/>
      <x:c r="G36" s="8"/>
      <x:c r="H36" s="8"/>
    </x:row>
    <x:row r="37">
      <x:c r="B37" s="18" t="str">
        <x:v>Interpretation</x:v>
      </x:c>
      <x:c r="C37" s="19" t="str">
        <x:v>Interpretation</x:v>
      </x:c>
      <x:c r="D37" s="19" t="str">
        <x:v>Interpretation</x:v>
      </x:c>
      <x:c r="E37" s="19" t="str">
        <x:v>Interpretation</x:v>
      </x:c>
      <x:c r="F37" s="19" t="str">
        <x:v>Interpretation</x:v>
      </x:c>
      <x:c r="G37" s="19" t="str">
        <x:v>Interpretation</x:v>
      </x:c>
      <x:c r="H37" s="20" t="str">
        <x:v>Interpretation</x:v>
      </x:c>
    </x:row>
    <x:row r="38">
      <x:c r="B38" s="33" t="str">
        <x:v>MQP-1 is not a fleet procurement model. It creates dedicated articles, reference systems, receiver worlds and fault-controlled trials so that common public interfaces can be qualified across unlike industrial roots. Planning completeness is authorized. Every physical observation remains zero; production and exterior rendering therefore remain blocked.</x:v>
      </x:c>
      <x:c r="C38" s="33"/>
      <x:c r="D38" s="33"/>
      <x:c r="E38" s="33"/>
      <x:c r="F38" s="33"/>
      <x:c r="G38" s="33"/>
      <x:c r="H38" s="33"/>
    </x:row>
    <x:row r="39">
      <x:c r="B39" s="33"/>
      <x:c r="C39" s="33"/>
      <x:c r="D39" s="33"/>
      <x:c r="E39" s="33"/>
      <x:c r="F39" s="33"/>
      <x:c r="G39" s="33"/>
      <x:c r="H39" s="33"/>
    </x:row>
    <x:row r="40">
      <x:c r="B40" s="33"/>
      <x:c r="C40" s="33"/>
      <x:c r="D40" s="33"/>
      <x:c r="E40" s="33"/>
      <x:c r="F40" s="33"/>
      <x:c r="G40" s="33"/>
      <x:c r="H40" s="33"/>
    </x:row>
    <x:row r="41">
      <x:c r="B41" s="33"/>
      <x:c r="C41" s="33"/>
      <x:c r="D41" s="33"/>
      <x:c r="E41" s="33"/>
      <x:c r="F41" s="33"/>
      <x:c r="G41" s="33"/>
      <x:c r="H41" s="33"/>
    </x:row>
    <x:row r="42">
      <x:c r="B42" s="33"/>
      <x:c r="C42" s="33"/>
      <x:c r="D42" s="33"/>
      <x:c r="E42" s="33"/>
      <x:c r="F42" s="33"/>
      <x:c r="G42" s="33"/>
      <x:c r="H42" s="33"/>
    </x:row>
  </x:sheetData>
  <x:mergeCells>
    <x:mergeCell ref="B2:H2"/>
    <x:mergeCell ref="B3:H3"/>
    <x:mergeCell ref="B6:H6"/>
    <x:mergeCell ref="B16:H16"/>
    <x:mergeCell ref="B28:H28"/>
    <x:mergeCell ref="B37:H37"/>
    <x:mergeCell ref="B38:H42"/>
  </x:mergeCells>
  <x:conditionalFormatting sqref="D7:D10">
    <x:cfRule type="containsText" dxfId="247" priority="1" operator="containsText" text="PASS"/>
    <x:cfRule type="containsText" dxfId="248" priority="2" operator="containsText" text="AUTHORIZED"/>
    <x:cfRule type="containsText" dxfId="249" priority="3" operator="containsText" text="DEFINED"/>
    <x:cfRule type="containsText" dxfId="250" priority="4" operator="containsText" text="READY"/>
    <x:cfRule type="containsText" dxfId="251" priority="5" operator="containsText" text="HOLD"/>
    <x:cfRule type="containsText" dxfId="252" priority="6" operator="containsText" text="OPEN"/>
    <x:cfRule type="containsText" dxfId="253" priority="7" operator="containsText" text="BLOCKED"/>
    <x:cfRule type="containsText" dxfId="254" priority="8" operator="containsText" text="PLANNING"/>
    <x:cfRule type="containsText" dxfId="255" priority="9" operator="containsText" text="FAIL"/>
    <x:cfRule type="containsText" dxfId="256" priority="10" operator="containsText" text="REJECT"/>
    <x:cfRule type="containsText" dxfId="257" priority="11" operator="containsText" text="LATE"/>
    <x:cfRule type="containsText" dxfId="258" priority="12" operator="containsText" text="INCOMPLETE"/>
    <x:cfRule type="containsText" dxfId="259" priority="13" operator="containsText" text="INDETERMINATE"/>
    <x:cfRule type="containsText" dxfId="260" priority="14" operator="containsText" text="PASS"/>
    <x:cfRule type="containsText" dxfId="261" priority="15" operator="containsText" text="AUTHORIZED"/>
    <x:cfRule type="containsText" dxfId="262" priority="16" operator="containsText" text="DEFINED"/>
    <x:cfRule type="containsText" dxfId="263" priority="17" operator="containsText" text="READY"/>
    <x:cfRule type="containsText" dxfId="264" priority="18" operator="containsText" text="HOLD"/>
    <x:cfRule type="containsText" dxfId="265" priority="19" operator="containsText" text="OPEN"/>
    <x:cfRule type="containsText" dxfId="266" priority="20" operator="containsText" text="BLOCKED"/>
    <x:cfRule type="containsText" dxfId="267" priority="21" operator="containsText" text="PLANNING"/>
    <x:cfRule type="containsText" dxfId="268" priority="22" operator="containsText" text="FAIL"/>
    <x:cfRule type="containsText" dxfId="269" priority="23" operator="containsText" text="REJECT"/>
    <x:cfRule type="containsText" dxfId="270" priority="24" operator="containsText" text="LATE"/>
    <x:cfRule type="containsText" dxfId="271" priority="25" operator="containsText" text="INCOMPLETE"/>
    <x:cfRule type="containsText" dxfId="272" priority="26" operator="containsText" text="INDETERMINAT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49" hidden="0" customWidth="1"/>
    <x:col min="4" max="4" width="22" hidden="0" customWidth="1"/>
    <x:col min="5" max="5" width="20" hidden="0" customWidth="1"/>
    <x:col min="6" max="6" width="17" hidden="0" customWidth="1"/>
    <x:col min="7" max="7" width="34" hidden="0" customWidth="1"/>
  </x:cols>
  <x:sheetData>
    <x:row r="2">
      <x:c r="B2" s="31" t="str">
        <x:v>Module qualification controls</x:v>
      </x:c>
      <x:c r="C2" s="8"/>
      <x:c r="D2" s="8"/>
      <x:c r="E2" s="8"/>
      <x:c r="F2" s="8"/>
      <x:c r="G2" s="8"/>
    </x:row>
    <x:row r="3">
      <x:c r="B3" s="2" t="str">
        <x:v>Blue values are inherited constraints or explicit planning assumptions. Physical observations remain zero.</x:v>
      </x:c>
      <x:c r="C3" s="8"/>
      <x:c r="D3" s="8"/>
      <x:c r="E3" s="8"/>
      <x:c r="F3" s="8"/>
      <x:c r="G3" s="8"/>
    </x:row>
    <x:row r="4">
      <x:c r="B4" s="32"/>
      <x:c r="C4" s="32"/>
      <x:c r="D4" s="32"/>
      <x:c r="E4" s="32"/>
      <x:c r="F4" s="32"/>
      <x:c r="G4" s="32"/>
    </x:row>
    <x:row r="5">
      <x:c r="B5" s="8"/>
      <x:c r="C5" s="8"/>
      <x:c r="D5" s="8"/>
      <x:c r="E5" s="8"/>
      <x:c r="F5" s="8"/>
      <x:c r="G5" s="8"/>
    </x:row>
    <x:row r="6">
      <x:c r="B6" s="7" t="str">
        <x:v>ID</x:v>
      </x:c>
      <x:c r="C6" s="7" t="str">
        <x:v>Control</x:v>
      </x:c>
      <x:c r="D6" s="7" t="str">
        <x:v>Value</x:v>
      </x:c>
      <x:c r="E6" s="7" t="str">
        <x:v>Unit</x:v>
      </x:c>
      <x:c r="F6" s="7" t="str">
        <x:v>State</x:v>
      </x:c>
      <x:c r="G6" s="7" t="str">
        <x:v>Authority</x:v>
      </x:c>
    </x:row>
    <x:row r="7">
      <x:c r="B7" s="9" t="str">
        <x:v>C01</x:v>
      </x:c>
      <x:c r="C7" s="9" t="str">
        <x:v>Qualification program duration</x:v>
      </x:c>
      <x:c r="D7" s="11" t="n">
        <x:v>48</x:v>
      </x:c>
      <x:c r="E7" s="9" t="str">
        <x:v>months</x:v>
      </x:c>
      <x:c r="F7" s="9" t="str">
        <x:v>DESIGN</x:v>
      </x:c>
      <x:c r="G7" s="9" t="str">
        <x:v>MQP-1</x:v>
      </x:c>
    </x:row>
    <x:row r="8">
      <x:c r="B8" s="9" t="str">
        <x:v>C02</x:v>
      </x:c>
      <x:c r="C8" s="9" t="str">
        <x:v>Interface families</x:v>
      </x:c>
      <x:c r="D8" s="11" t="n">
        <x:v>10</x:v>
      </x:c>
      <x:c r="E8" s="9" t="str">
        <x:v>families</x:v>
      </x:c>
      <x:c r="F8" s="9" t="str">
        <x:v>DESIGN</x:v>
      </x:c>
      <x:c r="G8" s="9" t="str">
        <x:v>this pass</x:v>
      </x:c>
    </x:row>
    <x:row r="9">
      <x:c r="B9" s="9" t="str">
        <x:v>C03</x:v>
      </x:c>
      <x:c r="C9" s="9" t="str">
        <x:v>Industrial roots</x:v>
      </x:c>
      <x:c r="D9" s="11" t="n">
        <x:v>2</x:v>
      </x:c>
      <x:c r="E9" s="9" t="str">
        <x:v>roots</x:v>
      </x:c>
      <x:c r="F9" s="9" t="str">
        <x:v>FROZEN</x:v>
      </x:c>
      <x:c r="G9" s="9" t="str">
        <x:v>Pass 108</x:v>
      </x:c>
    </x:row>
    <x:row r="10">
      <x:c r="B10" s="9" t="str">
        <x:v>C04</x:v>
      </x:c>
      <x:c r="C10" s="9" t="str">
        <x:v>Interface serial states per root-family</x:v>
      </x:c>
      <x:c r="D10" s="11" t="n">
        <x:v>3</x:v>
      </x:c>
      <x:c r="E10" s="9" t="str">
        <x:v>states</x:v>
      </x:c>
      <x:c r="F10" s="9" t="str">
        <x:v>DESIGN</x:v>
      </x:c>
      <x:c r="G10" s="9" t="str">
        <x:v>fresh, challenge, cold-reset</x:v>
      </x:c>
    </x:row>
    <x:row r="11">
      <x:c r="B11" s="9" t="str">
        <x:v>C05</x:v>
      </x:c>
      <x:c r="C11" s="9" t="str">
        <x:v>Interface-pair qualification units</x:v>
      </x:c>
      <x:c r="D11" s="11" t="n">
        <x:v>60</x:v>
      </x:c>
      <x:c r="E11" s="9" t="str">
        <x:v>units</x:v>
      </x:c>
      <x:c r="F11" s="9" t="str">
        <x:v>DERIVED</x:v>
      </x:c>
      <x:c r="G11" s="9" t="str">
        <x:v>10 x 2 x 3</x:v>
      </x:c>
    </x:row>
    <x:row r="12">
      <x:c r="B12" s="9" t="str">
        <x:v>C06</x:v>
      </x:c>
      <x:c r="C12" s="9" t="str">
        <x:v>Campus service lines</x:v>
      </x:c>
      <x:c r="D12" s="11" t="n">
        <x:v>9</x:v>
      </x:c>
      <x:c r="E12" s="9" t="str">
        <x:v>services</x:v>
      </x:c>
      <x:c r="F12" s="9" t="str">
        <x:v>FROZEN</x:v>
      </x:c>
      <x:c r="G12" s="9" t="str">
        <x:v>Pass 108</x:v>
      </x:c>
    </x:row>
    <x:row r="13">
      <x:c r="B13" s="9" t="str">
        <x:v>C07</x:v>
      </x:c>
      <x:c r="C13" s="9" t="str">
        <x:v>Service cells per root-service</x:v>
      </x:c>
      <x:c r="D13" s="11" t="n">
        <x:v>2</x:v>
      </x:c>
      <x:c r="E13" s="9" t="str">
        <x:v>cells</x:v>
      </x:c>
      <x:c r="F13" s="9" t="str">
        <x:v>DESIGN</x:v>
      </x:c>
      <x:c r="G13" s="9" t="str">
        <x:v>primary and reproduction</x:v>
      </x:c>
    </x:row>
    <x:row r="14">
      <x:c r="B14" s="9" t="str">
        <x:v>C08</x:v>
      </x:c>
      <x:c r="C14" s="9" t="str">
        <x:v>Service-cell qualification units</x:v>
      </x:c>
      <x:c r="D14" s="11" t="n">
        <x:v>36</x:v>
      </x:c>
      <x:c r="E14" s="9" t="str">
        <x:v>units</x:v>
      </x:c>
      <x:c r="F14" s="9" t="str">
        <x:v>DERIVED</x:v>
      </x:c>
      <x:c r="G14" s="9" t="str">
        <x:v>9 x 2 x 2</x:v>
      </x:c>
    </x:row>
    <x:row r="15">
      <x:c r="B15" s="9" t="str">
        <x:v>C09</x:v>
      </x:c>
      <x:c r="C15" s="9" t="str">
        <x:v>Utility-island assemblies</x:v>
      </x:c>
      <x:c r="D15" s="11" t="n">
        <x:v>4</x:v>
      </x:c>
      <x:c r="E15" s="9" t="str">
        <x:v>units</x:v>
      </x:c>
      <x:c r="F15" s="9" t="str">
        <x:v>DESIGN</x:v>
      </x:c>
      <x:c r="G15" s="9" t="str">
        <x:v>two per root</x:v>
      </x:c>
    </x:row>
    <x:row r="16">
      <x:c r="B16" s="9" t="str">
        <x:v>C10</x:v>
      </x:c>
      <x:c r="C16" s="9" t="str">
        <x:v>Receiver worlds</x:v>
      </x:c>
      <x:c r="D16" s="11" t="n">
        <x:v>3</x:v>
      </x:c>
      <x:c r="E16" s="9" t="str">
        <x:v>worlds</x:v>
      </x:c>
      <x:c r="F16" s="9" t="str">
        <x:v>DESIGN</x:v>
      </x:c>
      <x:c r="G16" s="9" t="str">
        <x:v>hardstand, weak ground, remote corridor</x:v>
      </x:c>
    </x:row>
    <x:row r="17">
      <x:c r="B17" s="9" t="str">
        <x:v>C11</x:v>
      </x:c>
      <x:c r="C17" s="9" t="str">
        <x:v>Receiver-spine qualification units</x:v>
      </x:c>
      <x:c r="D17" s="11" t="n">
        <x:v>6</x:v>
      </x:c>
      <x:c r="E17" s="9" t="str">
        <x:v>units</x:v>
      </x:c>
      <x:c r="F17" s="9" t="str">
        <x:v>DERIVED</x:v>
      </x:c>
      <x:c r="G17" s="9" t="str">
        <x:v>three worlds x two roots</x:v>
      </x:c>
    </x:row>
    <x:row r="18">
      <x:c r="B18" s="9" t="str">
        <x:v>C12</x:v>
      </x:c>
      <x:c r="C18" s="9" t="str">
        <x:v>Integrated campus-slice units</x:v>
      </x:c>
      <x:c r="D18" s="11" t="n">
        <x:v>4</x:v>
      </x:c>
      <x:c r="E18" s="9" t="str">
        <x:v>units</x:v>
      </x:c>
      <x:c r="F18" s="9" t="str">
        <x:v>DESIGN</x:v>
      </x:c>
      <x:c r="G18" s="9" t="str">
        <x:v>two per root</x:v>
      </x:c>
    </x:row>
    <x:row r="19">
      <x:c r="B19" s="9" t="str">
        <x:v>C13</x:v>
      </x:c>
      <x:c r="C19" s="9" t="str">
        <x:v>Reference, truth and quarantine units</x:v>
      </x:c>
      <x:c r="D19" s="11" t="n">
        <x:v>18</x:v>
      </x:c>
      <x:c r="E19" s="9" t="str">
        <x:v>units</x:v>
      </x:c>
      <x:c r="F19" s="9" t="str">
        <x:v>DESIGN</x:v>
      </x:c>
      <x:c r="G19" s="9" t="str">
        <x:v>one per service-root</x:v>
      </x:c>
    </x:row>
    <x:row r="20">
      <x:c r="B20" s="9" t="str">
        <x:v>C14</x:v>
      </x:c>
      <x:c r="C20" s="9" t="str">
        <x:v>Total controlled qualification units</x:v>
      </x:c>
      <x:c r="D20" s="11" t="n">
        <x:v>130</x:v>
      </x:c>
      <x:c r="E20" s="9" t="str">
        <x:v>units</x:v>
      </x:c>
      <x:c r="F20" s="9" t="str">
        <x:v>DERIVED</x:v>
      </x:c>
      <x:c r="G20" s="9" t="str">
        <x:v>article bank</x:v>
      </x:c>
    </x:row>
    <x:row r="21">
      <x:c r="B21" s="9" t="str">
        <x:v>C15</x:v>
      </x:c>
      <x:c r="C21" s="9" t="str">
        <x:v>Interface trials</x:v>
      </x:c>
      <x:c r="D21" s="11" t="n">
        <x:v>60</x:v>
      </x:c>
      <x:c r="E21" s="9" t="str">
        <x:v>trials</x:v>
      </x:c>
      <x:c r="F21" s="9" t="str">
        <x:v>DERIVED</x:v>
      </x:c>
      <x:c r="G21" s="9" t="str">
        <x:v>one per interface unit</x:v>
      </x:c>
    </x:row>
    <x:row r="22">
      <x:c r="B22" s="9" t="str">
        <x:v>C16</x:v>
      </x:c>
      <x:c r="C22" s="9" t="str">
        <x:v>Service-cell reproduction trials</x:v>
      </x:c>
      <x:c r="D22" s="11" t="n">
        <x:v>18</x:v>
      </x:c>
      <x:c r="E22" s="9" t="str">
        <x:v>trials</x:v>
      </x:c>
      <x:c r="F22" s="9" t="str">
        <x:v>DERIVED</x:v>
      </x:c>
      <x:c r="G22" s="9" t="str">
        <x:v>one per service-root pair</x:v>
      </x:c>
    </x:row>
    <x:row r="23">
      <x:c r="B23" s="9" t="str">
        <x:v>C17</x:v>
      </x:c>
      <x:c r="C23" s="9" t="str">
        <x:v>Utility-island trials</x:v>
      </x:c>
      <x:c r="D23" s="11" t="n">
        <x:v>4</x:v>
      </x:c>
      <x:c r="E23" s="9" t="str">
        <x:v>trials</x:v>
      </x:c>
      <x:c r="F23" s="9" t="str">
        <x:v>DESIGN</x:v>
      </x:c>
      <x:c r="G23" s="9" t="str">
        <x:v>one per assembly</x:v>
      </x:c>
    </x:row>
    <x:row r="24">
      <x:c r="B24" s="9" t="str">
        <x:v>C18</x:v>
      </x:c>
      <x:c r="C24" s="9" t="str">
        <x:v>Receiver-spine trials</x:v>
      </x:c>
      <x:c r="D24" s="11" t="n">
        <x:v>6</x:v>
      </x:c>
      <x:c r="E24" s="9" t="str">
        <x:v>trials</x:v>
      </x:c>
      <x:c r="F24" s="9" t="str">
        <x:v>DERIVED</x:v>
      </x:c>
      <x:c r="G24" s="9" t="str">
        <x:v>one per spine</x:v>
      </x:c>
    </x:row>
    <x:row r="25">
      <x:c r="B25" s="9" t="str">
        <x:v>C19</x:v>
      </x:c>
      <x:c r="C25" s="9" t="str">
        <x:v>Integrated campus-slice trials</x:v>
      </x:c>
      <x:c r="D25" s="11" t="n">
        <x:v>4</x:v>
      </x:c>
      <x:c r="E25" s="9" t="str">
        <x:v>trials</x:v>
      </x:c>
      <x:c r="F25" s="9" t="str">
        <x:v>DESIGN</x:v>
      </x:c>
      <x:c r="G25" s="9" t="str">
        <x:v>one per slice</x:v>
      </x:c>
    </x:row>
    <x:row r="26">
      <x:c r="B26" s="9" t="str">
        <x:v>C20</x:v>
      </x:c>
      <x:c r="C26" s="9" t="str">
        <x:v>Cross-root adapter trials</x:v>
      </x:c>
      <x:c r="D26" s="11" t="n">
        <x:v>2</x:v>
      </x:c>
      <x:c r="E26" s="9" t="str">
        <x:v>trials</x:v>
      </x:c>
      <x:c r="F26" s="9" t="str">
        <x:v>DESIGN</x:v>
      </x:c>
      <x:c r="G26" s="9" t="str">
        <x:v>both directions</x:v>
      </x:c>
    </x:row>
    <x:row r="27">
      <x:c r="B27" s="9" t="str">
        <x:v>C21</x:v>
      </x:c>
      <x:c r="C27" s="9" t="str">
        <x:v>Total decision-bearing trials</x:v>
      </x:c>
      <x:c r="D27" s="11" t="n">
        <x:v>94</x:v>
      </x:c>
      <x:c r="E27" s="9" t="str">
        <x:v>trials</x:v>
      </x:c>
      <x:c r="F27" s="9" t="str">
        <x:v>DERIVED</x:v>
      </x:c>
      <x:c r="G27" s="9" t="str">
        <x:v>all trial classes</x:v>
      </x:c>
    </x:row>
    <x:row r="28">
      <x:c r="B28" s="9" t="str">
        <x:v>C22</x:v>
      </x:c>
      <x:c r="C28" s="9" t="str">
        <x:v>Sealed fault assignments</x:v>
      </x:c>
      <x:c r="D28" s="11" t="n">
        <x:v>24</x:v>
      </x:c>
      <x:c r="E28" s="9" t="str">
        <x:v>faults</x:v>
      </x:c>
      <x:c r="F28" s="9" t="str">
        <x:v>DESIGN</x:v>
      </x:c>
      <x:c r="G28" s="9" t="str">
        <x:v>twelve families x two roots</x:v>
      </x:c>
    </x:row>
    <x:row r="29">
      <x:c r="B29" s="9" t="str">
        <x:v>C23</x:v>
      </x:c>
      <x:c r="C29" s="9" t="str">
        <x:v>Clean controls</x:v>
      </x:c>
      <x:c r="D29" s="11" t="n">
        <x:v>24</x:v>
      </x:c>
      <x:c r="E29" s="9" t="str">
        <x:v>controls</x:v>
      </x:c>
      <x:c r="F29" s="9" t="str">
        <x:v>DESIGN</x:v>
      </x:c>
      <x:c r="G29" s="9" t="str">
        <x:v>paired challenge screen</x:v>
      </x:c>
    </x:row>
    <x:row r="30">
      <x:c r="B30" s="9" t="str">
        <x:v>C24</x:v>
      </x:c>
      <x:c r="C30" s="9" t="str">
        <x:v>Cold-reset interface cohort</x:v>
      </x:c>
      <x:c r="D30" s="11" t="n">
        <x:v>20</x:v>
      </x:c>
      <x:c r="E30" s="9" t="str">
        <x:v>trials</x:v>
      </x:c>
      <x:c r="F30" s="9" t="str">
        <x:v>DERIVED</x:v>
      </x:c>
      <x:c r="G30" s="9" t="str">
        <x:v>every interface in both roots</x:v>
      </x:c>
    </x:row>
    <x:row r="31">
      <x:c r="B31" s="9" t="str">
        <x:v>C25</x:v>
      </x:c>
      <x:c r="C31" s="9" t="str">
        <x:v>Minimum controlled cold storage</x:v>
      </x:c>
      <x:c r="D31" s="11" t="n">
        <x:v>12</x:v>
      </x:c>
      <x:c r="E31" s="9" t="str">
        <x:v>months</x:v>
      </x:c>
      <x:c r="F31" s="9" t="str">
        <x:v>DESIGN</x:v>
      </x:c>
      <x:c r="G31" s="9" t="str">
        <x:v>planning minimum</x:v>
      </x:c>
    </x:row>
    <x:row r="32">
      <x:c r="B32" s="9" t="str">
        <x:v>C26</x:v>
      </x:c>
      <x:c r="C32" s="9" t="str">
        <x:v>MQP-1 capital draw</x:v>
      </x:c>
      <x:c r="D32" s="13" t="n">
        <x:v>3</x:v>
      </x:c>
      <x:c r="E32" s="9" t="str">
        <x:v>USD B</x:v>
      </x:c>
      <x:c r="F32" s="9" t="str">
        <x:v>DESIGN</x:v>
      </x:c>
      <x:c r="G32" s="9" t="str">
        <x:v>cross-classified</x:v>
      </x:c>
    </x:row>
    <x:row r="33">
      <x:c r="B33" s="9" t="str">
        <x:v>C27</x:v>
      </x:c>
      <x:c r="C33" s="9" t="str">
        <x:v>Pass 108 standing capital</x:v>
      </x:c>
      <x:c r="D33" s="13" t="n">
        <x:v>13.9</x:v>
      </x:c>
      <x:c r="E33" s="9" t="str">
        <x:v>USD B</x:v>
      </x:c>
      <x:c r="F33" s="9" t="str">
        <x:v>FROZEN</x:v>
      </x:c>
      <x:c r="G33" s="9" t="str">
        <x:v>Pass 108</x:v>
      </x:c>
    </x:row>
    <x:row r="34">
      <x:c r="B34" s="9" t="str">
        <x:v>C28</x:v>
      </x:c>
      <x:c r="C34" s="9" t="str">
        <x:v>Capital remaining outside MQP-1</x:v>
      </x:c>
      <x:c r="D34" s="13" t="n">
        <x:v>10.9</x:v>
      </x:c>
      <x:c r="E34" s="9" t="str">
        <x:v>USD B</x:v>
      </x:c>
      <x:c r="F34" s="9" t="str">
        <x:v>DERIVED</x:v>
      </x:c>
      <x:c r="G34" s="9" t="str">
        <x:v>standing less draw</x:v>
      </x:c>
    </x:row>
    <x:row r="35">
      <x:c r="B35" s="9" t="str">
        <x:v>C29</x:v>
      </x:c>
      <x:c r="C35" s="9" t="str">
        <x:v>MQP-1 annual operating draw</x:v>
      </x:c>
      <x:c r="D35" s="13" t="n">
        <x:v>0.72</x:v>
      </x:c>
      <x:c r="E35" s="9" t="str">
        <x:v>USD B/year</x:v>
      </x:c>
      <x:c r="F35" s="9" t="str">
        <x:v>DESIGN</x:v>
      </x:c>
      <x:c r="G35" s="9" t="str">
        <x:v>cross-classified</x:v>
      </x:c>
    </x:row>
    <x:row r="36">
      <x:c r="B36" s="9" t="str">
        <x:v>C30</x:v>
      </x:c>
      <x:c r="C36" s="9" t="str">
        <x:v>Pass 108 annual support</x:v>
      </x:c>
      <x:c r="D36" s="13" t="n">
        <x:v>1.086</x:v>
      </x:c>
      <x:c r="E36" s="9" t="str">
        <x:v>USD B/year</x:v>
      </x:c>
      <x:c r="F36" s="9" t="str">
        <x:v>FROZEN</x:v>
      </x:c>
      <x:c r="G36" s="9" t="str">
        <x:v>Pass 108</x:v>
      </x:c>
    </x:row>
    <x:row r="37">
      <x:c r="B37" s="9" t="str">
        <x:v>C31</x:v>
      </x:c>
      <x:c r="C37" s="9" t="str">
        <x:v>Annual support outside MQP-1</x:v>
      </x:c>
      <x:c r="D37" s="13" t="n">
        <x:v>0.366</x:v>
      </x:c>
      <x:c r="E37" s="9" t="str">
        <x:v>USD B/year</x:v>
      </x:c>
      <x:c r="F37" s="9" t="str">
        <x:v>DERIVED</x:v>
      </x:c>
      <x:c r="G37" s="9" t="str">
        <x:v>support less draw</x:v>
      </x:c>
    </x:row>
    <x:row r="38">
      <x:c r="B38" s="9" t="str">
        <x:v>C32</x:v>
      </x:c>
      <x:c r="C38" s="9" t="str">
        <x:v>Qualification operating horizon</x:v>
      </x:c>
      <x:c r="D38" s="13" t="n">
        <x:v>4</x:v>
      </x:c>
      <x:c r="E38" s="9" t="str">
        <x:v>years</x:v>
      </x:c>
      <x:c r="F38" s="9" t="str">
        <x:v>DERIVED</x:v>
      </x:c>
      <x:c r="G38" s="9" t="str">
        <x:v>48 months</x:v>
      </x:c>
    </x:row>
    <x:row r="39">
      <x:c r="B39" s="9" t="str">
        <x:v>C33</x:v>
      </x:c>
      <x:c r="C39" s="9" t="str">
        <x:v>Four-year MQP-1 operating draw</x:v>
      </x:c>
      <x:c r="D39" s="13" t="n">
        <x:v>2.88</x:v>
      </x:c>
      <x:c r="E39" s="9" t="str">
        <x:v>USD B</x:v>
      </x:c>
      <x:c r="F39" s="9" t="str">
        <x:v>DERIVED</x:v>
      </x:c>
      <x:c r="G39" s="9" t="str">
        <x:v>annual draw x four</x:v>
      </x:c>
    </x:row>
    <x:row r="40">
      <x:c r="B40" s="9" t="str">
        <x:v>C34</x:v>
      </x:c>
      <x:c r="C40" s="9" t="str">
        <x:v>Protected operational shipsets</x:v>
      </x:c>
      <x:c r="D40" s="11" t="n">
        <x:v>6</x:v>
      </x:c>
      <x:c r="E40" s="9" t="str">
        <x:v>shipsets</x:v>
      </x:c>
      <x:c r="F40" s="9" t="str">
        <x:v>FROZEN</x:v>
      </x:c>
      <x:c r="G40" s="9" t="str">
        <x:v>CRS-2</x:v>
      </x:c>
    </x:row>
    <x:row r="41">
      <x:c r="B41" s="9" t="str">
        <x:v>C35</x:v>
      </x:c>
      <x:c r="C41" s="9" t="str">
        <x:v>Permitted shipset qualification credit</x:v>
      </x:c>
      <x:c r="D41" s="11" t="n">
        <x:v>0</x:v>
      </x:c>
      <x:c r="E41" s="9" t="str">
        <x:v>shipsets</x:v>
      </x:c>
      <x:c r="F41" s="9" t="str">
        <x:v>FROZEN</x:v>
      </x:c>
      <x:c r="G41" s="9" t="str">
        <x:v>no protected-force consumption</x:v>
      </x:c>
    </x:row>
    <x:row r="42">
      <x:c r="B42" s="9" t="str">
        <x:v>C36</x:v>
      </x:c>
      <x:c r="C42" s="9" t="str">
        <x:v>Capital authority enacted</x:v>
      </x:c>
      <x:c r="D42" s="11" t="n">
        <x:v>0</x:v>
      </x:c>
      <x:c r="E42" s="9" t="str">
        <x:v>binary</x:v>
      </x:c>
      <x:c r="F42" s="9" t="str">
        <x:v>OPEN</x:v>
      </x:c>
      <x:c r="G42" s="9" t="str">
        <x:v>not enacted</x:v>
      </x:c>
    </x:row>
    <x:row r="43">
      <x:c r="B43" s="9" t="str">
        <x:v>C37</x:v>
      </x:c>
      <x:c r="C43" s="9" t="str">
        <x:v>Annual support authority enacted</x:v>
      </x:c>
      <x:c r="D43" s="11" t="n">
        <x:v>0</x:v>
      </x:c>
      <x:c r="E43" s="9" t="str">
        <x:v>binary</x:v>
      </x:c>
      <x:c r="F43" s="9" t="str">
        <x:v>OPEN</x:v>
      </x:c>
      <x:c r="G43" s="9" t="str">
        <x:v>not enacted</x:v>
      </x:c>
    </x:row>
    <x:row r="44">
      <x:c r="B44" s="9" t="str">
        <x:v>C38</x:v>
      </x:c>
      <x:c r="C44" s="9" t="str">
        <x:v>Root build packages accepted</x:v>
      </x:c>
      <x:c r="D44" s="11" t="n">
        <x:v>0</x:v>
      </x:c>
      <x:c r="E44" s="9" t="str">
        <x:v>packages</x:v>
      </x:c>
      <x:c r="F44" s="9" t="str">
        <x:v>OPEN</x:v>
      </x:c>
      <x:c r="G44" s="9" t="str">
        <x:v>none accepted</x:v>
      </x:c>
    </x:row>
    <x:row r="45">
      <x:c r="B45" s="9" t="str">
        <x:v>C39</x:v>
      </x:c>
      <x:c r="C45" s="9" t="str">
        <x:v>Qualification units physically accepted</x:v>
      </x:c>
      <x:c r="D45" s="11" t="n">
        <x:v>0</x:v>
      </x:c>
      <x:c r="E45" s="9" t="str">
        <x:v>units</x:v>
      </x:c>
      <x:c r="F45" s="9" t="str">
        <x:v>OPEN</x:v>
      </x:c>
      <x:c r="G45" s="9" t="str">
        <x:v>none built</x:v>
      </x:c>
    </x:row>
    <x:row r="46">
      <x:c r="B46" s="9" t="str">
        <x:v>C40</x:v>
      </x:c>
      <x:c r="C46" s="9" t="str">
        <x:v>Interface trials completed</x:v>
      </x:c>
      <x:c r="D46" s="11" t="n">
        <x:v>0</x:v>
      </x:c>
      <x:c r="E46" s="9" t="str">
        <x:v>trials</x:v>
      </x:c>
      <x:c r="F46" s="9" t="str">
        <x:v>OPEN</x:v>
      </x:c>
      <x:c r="G46" s="9" t="str">
        <x:v>none executed</x:v>
      </x:c>
    </x:row>
    <x:row r="47">
      <x:c r="B47" s="9" t="str">
        <x:v>C41</x:v>
      </x:c>
      <x:c r="C47" s="9" t="str">
        <x:v>Service-cell pairs completed</x:v>
      </x:c>
      <x:c r="D47" s="11" t="n">
        <x:v>0</x:v>
      </x:c>
      <x:c r="E47" s="9" t="str">
        <x:v>trials</x:v>
      </x:c>
      <x:c r="F47" s="9" t="str">
        <x:v>OPEN</x:v>
      </x:c>
      <x:c r="G47" s="9" t="str">
        <x:v>none executed</x:v>
      </x:c>
    </x:row>
    <x:row r="48">
      <x:c r="B48" s="9" t="str">
        <x:v>C42</x:v>
      </x:c>
      <x:c r="C48" s="9" t="str">
        <x:v>Utility-island trials completed</x:v>
      </x:c>
      <x:c r="D48" s="11" t="n">
        <x:v>0</x:v>
      </x:c>
      <x:c r="E48" s="9" t="str">
        <x:v>trials</x:v>
      </x:c>
      <x:c r="F48" s="9" t="str">
        <x:v>OPEN</x:v>
      </x:c>
      <x:c r="G48" s="9" t="str">
        <x:v>none executed</x:v>
      </x:c>
    </x:row>
    <x:row r="49">
      <x:c r="B49" s="9" t="str">
        <x:v>C43</x:v>
      </x:c>
      <x:c r="C49" s="9" t="str">
        <x:v>Receiver-spine trials completed</x:v>
      </x:c>
      <x:c r="D49" s="11" t="n">
        <x:v>0</x:v>
      </x:c>
      <x:c r="E49" s="9" t="str">
        <x:v>trials</x:v>
      </x:c>
      <x:c r="F49" s="9" t="str">
        <x:v>OPEN</x:v>
      </x:c>
      <x:c r="G49" s="9" t="str">
        <x:v>none executed</x:v>
      </x:c>
    </x:row>
    <x:row r="50">
      <x:c r="B50" s="9" t="str">
        <x:v>C44</x:v>
      </x:c>
      <x:c r="C50" s="9" t="str">
        <x:v>Campus-slice trials completed</x:v>
      </x:c>
      <x:c r="D50" s="11" t="n">
        <x:v>0</x:v>
      </x:c>
      <x:c r="E50" s="9" t="str">
        <x:v>trials</x:v>
      </x:c>
      <x:c r="F50" s="9" t="str">
        <x:v>OPEN</x:v>
      </x:c>
      <x:c r="G50" s="9" t="str">
        <x:v>none executed</x:v>
      </x:c>
    </x:row>
    <x:row r="51">
      <x:c r="B51" s="9" t="str">
        <x:v>C45</x:v>
      </x:c>
      <x:c r="C51" s="9" t="str">
        <x:v>Adapter trials completed</x:v>
      </x:c>
      <x:c r="D51" s="11" t="n">
        <x:v>0</x:v>
      </x:c>
      <x:c r="E51" s="9" t="str">
        <x:v>trials</x:v>
      </x:c>
      <x:c r="F51" s="9" t="str">
        <x:v>OPEN</x:v>
      </x:c>
      <x:c r="G51" s="9" t="str">
        <x:v>none executed</x:v>
      </x:c>
    </x:row>
    <x:row r="52">
      <x:c r="B52" s="9" t="str">
        <x:v>C46</x:v>
      </x:c>
      <x:c r="C52" s="9" t="str">
        <x:v>Injected faults observed</x:v>
      </x:c>
      <x:c r="D52" s="11" t="n">
        <x:v>0</x:v>
      </x:c>
      <x:c r="E52" s="9" t="str">
        <x:v>faults</x:v>
      </x:c>
      <x:c r="F52" s="9" t="str">
        <x:v>OPEN</x:v>
      </x:c>
      <x:c r="G52" s="9" t="str">
        <x:v>none executed</x:v>
      </x:c>
    </x:row>
    <x:row r="53">
      <x:c r="B53" s="9" t="str">
        <x:v>C47</x:v>
      </x:c>
      <x:c r="C53" s="9" t="str">
        <x:v>Clean controls observed</x:v>
      </x:c>
      <x:c r="D53" s="11" t="n">
        <x:v>0</x:v>
      </x:c>
      <x:c r="E53" s="9" t="str">
        <x:v>controls</x:v>
      </x:c>
      <x:c r="F53" s="9" t="str">
        <x:v>OPEN</x:v>
      </x:c>
      <x:c r="G53" s="9" t="str">
        <x:v>none executed</x:v>
      </x:c>
    </x:row>
    <x:row r="54">
      <x:c r="B54" s="9" t="str">
        <x:v>C48</x:v>
      </x:c>
      <x:c r="C54" s="9" t="str">
        <x:v>Cold-reset trials completed</x:v>
      </x:c>
      <x:c r="D54" s="11" t="n">
        <x:v>0</x:v>
      </x:c>
      <x:c r="E54" s="9" t="str">
        <x:v>trials</x:v>
      </x:c>
      <x:c r="F54" s="9" t="str">
        <x:v>OPEN</x:v>
      </x:c>
      <x:c r="G54" s="9" t="str">
        <x:v>none executed</x:v>
      </x:c>
    </x:row>
    <x:row r="55">
      <x:c r="B55" s="9" t="str">
        <x:v>C49</x:v>
      </x:c>
      <x:c r="C55" s="9" t="str">
        <x:v>Root-independence packages accepted</x:v>
      </x:c>
      <x:c r="D55" s="11" t="n">
        <x:v>0</x:v>
      </x:c>
      <x:c r="E55" s="9" t="str">
        <x:v>packages</x:v>
      </x:c>
      <x:c r="F55" s="9" t="str">
        <x:v>OPEN</x:v>
      </x:c>
      <x:c r="G55" s="9" t="str">
        <x:v>none accepted</x:v>
      </x:c>
    </x:row>
    <x:row r="56">
      <x:c r="B56" s="9" t="str">
        <x:v>C50</x:v>
      </x:c>
      <x:c r="C56" s="9" t="str">
        <x:v>Two-original evidence paths accepted</x:v>
      </x:c>
      <x:c r="D56" s="11" t="n">
        <x:v>0</x:v>
      </x:c>
      <x:c r="E56" s="9" t="str">
        <x:v>paths</x:v>
      </x:c>
      <x:c r="F56" s="9" t="str">
        <x:v>OPEN</x:v>
      </x:c>
      <x:c r="G56" s="9" t="str">
        <x:v>none accepted</x:v>
      </x:c>
    </x:row>
    <x:row r="57">
      <x:c r="B57" s="9" t="str">
        <x:v>C51</x:v>
      </x:c>
      <x:c r="C57" s="9" t="str">
        <x:v>Environmental closure packages accepted</x:v>
      </x:c>
      <x:c r="D57" s="11" t="n">
        <x:v>0</x:v>
      </x:c>
      <x:c r="E57" s="9" t="str">
        <x:v>packages</x:v>
      </x:c>
      <x:c r="F57" s="9" t="str">
        <x:v>OPEN</x:v>
      </x:c>
      <x:c r="G57" s="9" t="str">
        <x:v>none accepted</x:v>
      </x:c>
    </x:row>
    <x:row r="58">
      <x:c r="B58" s="9" t="str">
        <x:v>C52</x:v>
      </x:c>
      <x:c r="C58" s="9" t="str">
        <x:v>Protected-shipset non-use ledger accepted</x:v>
      </x:c>
      <x:c r="D58" s="11" t="n">
        <x:v>0</x:v>
      </x:c>
      <x:c r="E58" s="9" t="str">
        <x:v>binary</x:v>
      </x:c>
      <x:c r="F58" s="9" t="str">
        <x:v>OPEN</x:v>
      </x:c>
      <x:c r="G58" s="9" t="str">
        <x:v>not accepted</x:v>
      </x:c>
    </x:row>
    <x:row r="59">
      <x:c r="B59" s="9" t="str">
        <x:v>C53</x:v>
      </x:c>
      <x:c r="C59" s="9" t="str">
        <x:v>Protected shipsets consumed</x:v>
      </x:c>
      <x:c r="D59" s="11" t="n">
        <x:v>0</x:v>
      </x:c>
      <x:c r="E59" s="9" t="str">
        <x:v>shipsets</x:v>
      </x:c>
      <x:c r="F59" s="9" t="str">
        <x:v>OPEN</x:v>
      </x:c>
      <x:c r="G59" s="9" t="str">
        <x:v>physical observation absent</x:v>
      </x:c>
    </x:row>
    <x:row r="60">
      <x:c r="B60" s="9" t="str">
        <x:v>C54</x:v>
      </x:c>
      <x:c r="C60" s="9" t="str">
        <x:v>Alert no-borrow ledger accepted</x:v>
      </x:c>
      <x:c r="D60" s="11" t="n">
        <x:v>0</x:v>
      </x:c>
      <x:c r="E60" s="9" t="str">
        <x:v>binary</x:v>
      </x:c>
      <x:c r="F60" s="9" t="str">
        <x:v>OPEN</x:v>
      </x:c>
      <x:c r="G60" s="9" t="str">
        <x:v>not accepted</x:v>
      </x:c>
    </x:row>
    <x:row r="61">
      <x:c r="B61" s="9" t="str">
        <x:v>C55</x:v>
      </x:c>
      <x:c r="C61" s="9" t="str">
        <x:v>Alert people borrowed</x:v>
      </x:c>
      <x:c r="D61" s="11" t="n">
        <x:v>0</x:v>
      </x:c>
      <x:c r="E61" s="9" t="str">
        <x:v>people</x:v>
      </x:c>
      <x:c r="F61" s="9" t="str">
        <x:v>OPEN</x:v>
      </x:c>
      <x:c r="G61" s="9" t="str">
        <x:v>physical observation absent</x:v>
      </x:c>
    </x:row>
    <x:row r="62">
      <x:c r="B62" s="9" t="str">
        <x:v>C56</x:v>
      </x:c>
      <x:c r="C62" s="9" t="str">
        <x:v>Independent replay families completed</x:v>
      </x:c>
      <x:c r="D62" s="11" t="n">
        <x:v>0</x:v>
      </x:c>
      <x:c r="E62" s="9" t="str">
        <x:v>families</x:v>
      </x:c>
      <x:c r="F62" s="9" t="str">
        <x:v>OPEN</x:v>
      </x:c>
      <x:c r="G62" s="9" t="str">
        <x:v>none completed</x:v>
      </x:c>
    </x:row>
    <x:row r="63">
      <x:c r="B63" s="9" t="str">
        <x:v>C57</x:v>
      </x:c>
      <x:c r="C63" s="9" t="str">
        <x:v>CRC-E01 start admission</x:v>
      </x:c>
      <x:c r="D63" s="11" t="n">
        <x:v>0</x:v>
      </x:c>
      <x:c r="E63" s="9" t="str">
        <x:v>binary</x:v>
      </x:c>
      <x:c r="F63" s="9" t="str">
        <x:v>OPEN</x:v>
      </x:c>
      <x:c r="G63" s="9" t="str">
        <x:v>not admitted</x:v>
      </x:c>
    </x:row>
    <x:row r="64">
      <x:c r="B64" s="9" t="str">
        <x:v>C58</x:v>
      </x:c>
      <x:c r="C64" s="9" t="str">
        <x:v>Production authority</x:v>
      </x:c>
      <x:c r="D64" s="11" t="n">
        <x:v>0</x:v>
      </x:c>
      <x:c r="E64" s="9" t="str">
        <x:v>binary</x:v>
      </x:c>
      <x:c r="F64" s="9" t="str">
        <x:v>BLOCKED</x:v>
      </x:c>
      <x:c r="G64" s="9" t="str">
        <x:v>parent F36 chain</x:v>
      </x:c>
    </x:row>
    <x:row r="65">
      <x:c r="B65" s="10" t="str">
        <x:v>C59</x:v>
      </x:c>
      <x:c r="C65" s="10" t="str">
        <x:v>Exterior rendering authority</x:v>
      </x:c>
      <x:c r="D65" s="12" t="n">
        <x:v>0</x:v>
      </x:c>
      <x:c r="E65" s="10" t="str">
        <x:v>binary</x:v>
      </x:c>
      <x:c r="F65" s="10" t="str">
        <x:v>BLOCKED</x:v>
      </x:c>
      <x:c r="G65" s="10" t="str">
        <x:v>parent F36 chain</x:v>
      </x:c>
    </x:row>
  </x:sheetData>
  <x:mergeCells>
    <x:mergeCell ref="B2:G2"/>
    <x:mergeCell ref="B3:G3"/>
  </x:mergeCells>
  <x:conditionalFormatting sqref="F7:F65">
    <x:cfRule type="containsText" dxfId="0" priority="1" operator="containsText" text="PASS"/>
    <x:cfRule type="containsText" dxfId="1" priority="2" operator="containsText" text="AUTHORIZED"/>
    <x:cfRule type="containsText" dxfId="2" priority="3" operator="containsText" text="DEFINED"/>
    <x:cfRule type="containsText" dxfId="3" priority="4" operator="containsText" text="READY"/>
    <x:cfRule type="containsText" dxfId="4" priority="5" operator="containsText" text="HOLD"/>
    <x:cfRule type="containsText" dxfId="5" priority="6" operator="containsText" text="OPEN"/>
    <x:cfRule type="containsText" dxfId="6" priority="7" operator="containsText" text="BLOCKED"/>
    <x:cfRule type="containsText" dxfId="7" priority="8" operator="containsText" text="PLANNING"/>
    <x:cfRule type="containsText" dxfId="8" priority="9" operator="containsText" text="FAIL"/>
    <x:cfRule type="containsText" dxfId="9" priority="10" operator="containsText" text="REJECT"/>
    <x:cfRule type="containsText" dxfId="10" priority="11" operator="containsText" text="LATE"/>
    <x:cfRule type="containsText" dxfId="11" priority="12" operator="containsText" text="INCOMPLETE"/>
    <x:cfRule type="containsText" dxfId="12" priority="13" operator="containsText" text="INDETERMINATE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5" hidden="0" customWidth="1"/>
    <x:col min="3" max="3" width="21" hidden="0" customWidth="1"/>
    <x:col min="4" max="4" width="17" hidden="0" customWidth="1"/>
    <x:col min="5" max="5" width="22" hidden="0" customWidth="1"/>
    <x:col min="6" max="6" width="20" hidden="0" customWidth="1"/>
    <x:col min="7" max="7" width="13" hidden="0" customWidth="1"/>
    <x:col min="8" max="8" width="16" hidden="0" customWidth="1"/>
    <x:col min="9" max="9" width="19" hidden="0" customWidth="1"/>
    <x:col min="10" max="10" width="16" hidden="0" customWidth="1"/>
    <x:col min="11" max="11" width="16" hidden="0" customWidth="1"/>
  </x:cols>
  <x:sheetData>
    <x:row r="2">
      <x:c r="B2" s="31" t="str">
        <x:v>Controlled qualification article bank</x:v>
      </x:c>
      <x:c r="C2" s="8"/>
      <x:c r="D2" s="8"/>
      <x:c r="E2" s="8"/>
      <x:c r="F2" s="8"/>
      <x:c r="G2" s="8"/>
      <x:c r="H2" s="8"/>
      <x:c r="I2" s="8"/>
      <x:c r="J2" s="8"/>
      <x:c r="K2" s="8"/>
    </x:row>
    <x:row r="3">
      <x:c r="B3" s="2" t="str">
        <x:v>Qualification articles are separate from the six protected operational shipsets.</x:v>
      </x:c>
      <x:c r="C3" s="8"/>
      <x:c r="D3" s="8"/>
      <x:c r="E3" s="8"/>
      <x:c r="F3" s="8"/>
      <x:c r="G3" s="8"/>
      <x:c r="H3" s="8"/>
      <x:c r="I3" s="8"/>
      <x:c r="J3" s="8"/>
      <x:c r="K3" s="8"/>
    </x:row>
    <x:row r="4">
      <x:c r="B4" s="32"/>
      <x:c r="C4" s="32"/>
      <x:c r="D4" s="32"/>
      <x:c r="E4" s="32"/>
      <x:c r="F4" s="32"/>
      <x:c r="G4" s="32"/>
      <x:c r="H4" s="32"/>
      <x:c r="I4" s="32"/>
      <x:c r="J4" s="32"/>
      <x:c r="K4" s="32"/>
    </x:row>
    <x:row r="5">
      <x:c r="B5" s="8"/>
      <x:c r="C5" s="8"/>
      <x:c r="D5" s="8"/>
      <x:c r="E5" s="8"/>
      <x:c r="F5" s="8"/>
      <x:c r="G5" s="8"/>
      <x:c r="H5" s="8"/>
      <x:c r="I5" s="8"/>
      <x:c r="J5" s="8"/>
      <x:c r="K5" s="8"/>
    </x:row>
    <x:row r="6">
      <x:c r="B6" s="7" t="str">
        <x:v>Article ID</x:v>
      </x:c>
      <x:c r="C6" s="7" t="str">
        <x:v>Class</x:v>
      </x:c>
      <x:c r="D6" s="7" t="str">
        <x:v>Root or owner</x:v>
      </x:c>
      <x:c r="E6" s="7" t="str">
        <x:v>Interface or service</x:v>
      </x:c>
      <x:c r="F6" s="7" t="str">
        <x:v>State or world</x:v>
      </x:c>
      <x:c r="G6" s="7" t="str">
        <x:v>Quantity</x:v>
      </x:c>
      <x:c r="H6" s="7" t="str">
        <x:v>Shipset credit</x:v>
      </x:c>
      <x:c r="I6" s="7" t="str">
        <x:v>Physical acceptance</x:v>
      </x:c>
      <x:c r="J6" s="7" t="str">
        <x:v>Planning gate</x:v>
      </x:c>
      <x:c r="K6" s="7" t="str">
        <x:v>Physical state</x:v>
      </x:c>
    </x:row>
    <x:row r="7">
      <x:c r="B7" s="9" t="str">
        <x:v>IP-IF01-A-S0</x:v>
      </x:c>
      <x:c r="C7" s="9" t="str">
        <x:v>INTERFACE_PAIR</x:v>
      </x:c>
      <x:c r="D7" s="9" t="str">
        <x:v>ROOT_A</x:v>
      </x:c>
      <x:c r="E7" s="9" t="str">
        <x:v>IF01</x:v>
      </x:c>
      <x:c r="F7" s="9" t="str">
        <x:v>S0_FRESH</x:v>
      </x:c>
      <x:c r="G7" s="9" t="n">
        <x:v>1</x:v>
      </x:c>
      <x:c r="H7" s="9" t="n">
        <x:v>0</x:v>
      </x:c>
      <x:c r="I7" s="9" t="n">
        <x:v>0</x:v>
      </x:c>
      <x:c r="J7" s="9" t="str">
        <x:f>IF(AND(B7&lt;&gt;"",COUNTIFS($B$7:$B$136,B7)=1,C7&lt;&gt;"",D7&lt;&gt;"",E7&lt;&gt;"",F7&lt;&gt;"",G7=1,H7=0,I7=0),"PASS","FAIL")</x:f>
        <x:v>PASS</x:v>
      </x:c>
      <x:c r="K7" s="9" t="str">
        <x:v>OPEN</x:v>
      </x:c>
    </x:row>
    <x:row r="8">
      <x:c r="B8" s="9" t="str">
        <x:v>IP-IF01-A-S1</x:v>
      </x:c>
      <x:c r="C8" s="9" t="str">
        <x:v>INTERFACE_PAIR</x:v>
      </x:c>
      <x:c r="D8" s="9" t="str">
        <x:v>ROOT_A</x:v>
      </x:c>
      <x:c r="E8" s="9" t="str">
        <x:v>IF01</x:v>
      </x:c>
      <x:c r="F8" s="9" t="str">
        <x:v>S1_CHALLENGE</x:v>
      </x:c>
      <x:c r="G8" s="9" t="n">
        <x:v>1</x:v>
      </x:c>
      <x:c r="H8" s="9" t="n">
        <x:v>0</x:v>
      </x:c>
      <x:c r="I8" s="9" t="n">
        <x:v>0</x:v>
      </x:c>
      <x:c r="J8" s="9" t="str">
        <x:f>IF(AND(B8&lt;&gt;"",COUNTIFS($B$7:$B$136,B8)=1,C8&lt;&gt;"",D8&lt;&gt;"",E8&lt;&gt;"",F8&lt;&gt;"",G8=1,H8=0,I8=0),"PASS","FAIL")</x:f>
        <x:v>PASS</x:v>
      </x:c>
      <x:c r="K8" s="9" t="str">
        <x:v>OPEN</x:v>
      </x:c>
    </x:row>
    <x:row r="9">
      <x:c r="B9" s="9" t="str">
        <x:v>IP-IF01-A-S2</x:v>
      </x:c>
      <x:c r="C9" s="9" t="str">
        <x:v>INTERFACE_PAIR</x:v>
      </x:c>
      <x:c r="D9" s="9" t="str">
        <x:v>ROOT_A</x:v>
      </x:c>
      <x:c r="E9" s="9" t="str">
        <x:v>IF01</x:v>
      </x:c>
      <x:c r="F9" s="9" t="str">
        <x:v>S2_COLD_RESET</x:v>
      </x:c>
      <x:c r="G9" s="9" t="n">
        <x:v>1</x:v>
      </x:c>
      <x:c r="H9" s="9" t="n">
        <x:v>0</x:v>
      </x:c>
      <x:c r="I9" s="9" t="n">
        <x:v>0</x:v>
      </x:c>
      <x:c r="J9" s="9" t="str">
        <x:f>IF(AND(B9&lt;&gt;"",COUNTIFS($B$7:$B$136,B9)=1,C9&lt;&gt;"",D9&lt;&gt;"",E9&lt;&gt;"",F9&lt;&gt;"",G9=1,H9=0,I9=0),"PASS","FAIL")</x:f>
        <x:v>PASS</x:v>
      </x:c>
      <x:c r="K9" s="9" t="str">
        <x:v>OPEN</x:v>
      </x:c>
    </x:row>
    <x:row r="10">
      <x:c r="B10" s="9" t="str">
        <x:v>IP-IF01-B-S0</x:v>
      </x:c>
      <x:c r="C10" s="9" t="str">
        <x:v>INTERFACE_PAIR</x:v>
      </x:c>
      <x:c r="D10" s="9" t="str">
        <x:v>ROOT_B</x:v>
      </x:c>
      <x:c r="E10" s="9" t="str">
        <x:v>IF01</x:v>
      </x:c>
      <x:c r="F10" s="9" t="str">
        <x:v>S0_FRESH</x:v>
      </x:c>
      <x:c r="G10" s="9" t="n">
        <x:v>1</x:v>
      </x:c>
      <x:c r="H10" s="9" t="n">
        <x:v>0</x:v>
      </x:c>
      <x:c r="I10" s="9" t="n">
        <x:v>0</x:v>
      </x:c>
      <x:c r="J10" s="9" t="str">
        <x:f>IF(AND(B10&lt;&gt;"",COUNTIFS($B$7:$B$136,B10)=1,C10&lt;&gt;"",D10&lt;&gt;"",E10&lt;&gt;"",F10&lt;&gt;"",G10=1,H10=0,I10=0),"PASS","FAIL")</x:f>
        <x:v>PASS</x:v>
      </x:c>
      <x:c r="K10" s="9" t="str">
        <x:v>OPEN</x:v>
      </x:c>
    </x:row>
    <x:row r="11">
      <x:c r="B11" s="9" t="str">
        <x:v>IP-IF01-B-S1</x:v>
      </x:c>
      <x:c r="C11" s="9" t="str">
        <x:v>INTERFACE_PAIR</x:v>
      </x:c>
      <x:c r="D11" s="9" t="str">
        <x:v>ROOT_B</x:v>
      </x:c>
      <x:c r="E11" s="9" t="str">
        <x:v>IF01</x:v>
      </x:c>
      <x:c r="F11" s="9" t="str">
        <x:v>S1_CHALLENGE</x:v>
      </x:c>
      <x:c r="G11" s="9" t="n">
        <x:v>1</x:v>
      </x:c>
      <x:c r="H11" s="9" t="n">
        <x:v>0</x:v>
      </x:c>
      <x:c r="I11" s="9" t="n">
        <x:v>0</x:v>
      </x:c>
      <x:c r="J11" s="9" t="str">
        <x:f>IF(AND(B11&lt;&gt;"",COUNTIFS($B$7:$B$136,B11)=1,C11&lt;&gt;"",D11&lt;&gt;"",E11&lt;&gt;"",F11&lt;&gt;"",G11=1,H11=0,I11=0),"PASS","FAIL")</x:f>
        <x:v>PASS</x:v>
      </x:c>
      <x:c r="K11" s="9" t="str">
        <x:v>OPEN</x:v>
      </x:c>
    </x:row>
    <x:row r="12">
      <x:c r="B12" s="9" t="str">
        <x:v>IP-IF01-B-S2</x:v>
      </x:c>
      <x:c r="C12" s="9" t="str">
        <x:v>INTERFACE_PAIR</x:v>
      </x:c>
      <x:c r="D12" s="9" t="str">
        <x:v>ROOT_B</x:v>
      </x:c>
      <x:c r="E12" s="9" t="str">
        <x:v>IF01</x:v>
      </x:c>
      <x:c r="F12" s="9" t="str">
        <x:v>S2_COLD_RESET</x:v>
      </x:c>
      <x:c r="G12" s="9" t="n">
        <x:v>1</x:v>
      </x:c>
      <x:c r="H12" s="9" t="n">
        <x:v>0</x:v>
      </x:c>
      <x:c r="I12" s="9" t="n">
        <x:v>0</x:v>
      </x:c>
      <x:c r="J12" s="9" t="str">
        <x:f>IF(AND(B12&lt;&gt;"",COUNTIFS($B$7:$B$136,B12)=1,C12&lt;&gt;"",D12&lt;&gt;"",E12&lt;&gt;"",F12&lt;&gt;"",G12=1,H12=0,I12=0),"PASS","FAIL")</x:f>
        <x:v>PASS</x:v>
      </x:c>
      <x:c r="K12" s="9" t="str">
        <x:v>OPEN</x:v>
      </x:c>
    </x:row>
    <x:row r="13">
      <x:c r="B13" s="9" t="str">
        <x:v>IP-IF02-A-S0</x:v>
      </x:c>
      <x:c r="C13" s="9" t="str">
        <x:v>INTERFACE_PAIR</x:v>
      </x:c>
      <x:c r="D13" s="9" t="str">
        <x:v>ROOT_A</x:v>
      </x:c>
      <x:c r="E13" s="9" t="str">
        <x:v>IF02</x:v>
      </x:c>
      <x:c r="F13" s="9" t="str">
        <x:v>S0_FRESH</x:v>
      </x:c>
      <x:c r="G13" s="9" t="n">
        <x:v>1</x:v>
      </x:c>
      <x:c r="H13" s="9" t="n">
        <x:v>0</x:v>
      </x:c>
      <x:c r="I13" s="9" t="n">
        <x:v>0</x:v>
      </x:c>
      <x:c r="J13" s="9" t="str">
        <x:f>IF(AND(B13&lt;&gt;"",COUNTIFS($B$7:$B$136,B13)=1,C13&lt;&gt;"",D13&lt;&gt;"",E13&lt;&gt;"",F13&lt;&gt;"",G13=1,H13=0,I13=0),"PASS","FAIL")</x:f>
        <x:v>PASS</x:v>
      </x:c>
      <x:c r="K13" s="9" t="str">
        <x:v>OPEN</x:v>
      </x:c>
    </x:row>
    <x:row r="14">
      <x:c r="B14" s="9" t="str">
        <x:v>IP-IF02-A-S1</x:v>
      </x:c>
      <x:c r="C14" s="9" t="str">
        <x:v>INTERFACE_PAIR</x:v>
      </x:c>
      <x:c r="D14" s="9" t="str">
        <x:v>ROOT_A</x:v>
      </x:c>
      <x:c r="E14" s="9" t="str">
        <x:v>IF02</x:v>
      </x:c>
      <x:c r="F14" s="9" t="str">
        <x:v>S1_CHALLENGE</x:v>
      </x:c>
      <x:c r="G14" s="9" t="n">
        <x:v>1</x:v>
      </x:c>
      <x:c r="H14" s="9" t="n">
        <x:v>0</x:v>
      </x:c>
      <x:c r="I14" s="9" t="n">
        <x:v>0</x:v>
      </x:c>
      <x:c r="J14" s="9" t="str">
        <x:f>IF(AND(B14&lt;&gt;"",COUNTIFS($B$7:$B$136,B14)=1,C14&lt;&gt;"",D14&lt;&gt;"",E14&lt;&gt;"",F14&lt;&gt;"",G14=1,H14=0,I14=0),"PASS","FAIL")</x:f>
        <x:v>PASS</x:v>
      </x:c>
      <x:c r="K14" s="9" t="str">
        <x:v>OPEN</x:v>
      </x:c>
    </x:row>
    <x:row r="15">
      <x:c r="B15" s="9" t="str">
        <x:v>IP-IF02-A-S2</x:v>
      </x:c>
      <x:c r="C15" s="9" t="str">
        <x:v>INTERFACE_PAIR</x:v>
      </x:c>
      <x:c r="D15" s="9" t="str">
        <x:v>ROOT_A</x:v>
      </x:c>
      <x:c r="E15" s="9" t="str">
        <x:v>IF02</x:v>
      </x:c>
      <x:c r="F15" s="9" t="str">
        <x:v>S2_COLD_RESET</x:v>
      </x:c>
      <x:c r="G15" s="9" t="n">
        <x:v>1</x:v>
      </x:c>
      <x:c r="H15" s="9" t="n">
        <x:v>0</x:v>
      </x:c>
      <x:c r="I15" s="9" t="n">
        <x:v>0</x:v>
      </x:c>
      <x:c r="J15" s="9" t="str">
        <x:f>IF(AND(B15&lt;&gt;"",COUNTIFS($B$7:$B$136,B15)=1,C15&lt;&gt;"",D15&lt;&gt;"",E15&lt;&gt;"",F15&lt;&gt;"",G15=1,H15=0,I15=0),"PASS","FAIL")</x:f>
        <x:v>PASS</x:v>
      </x:c>
      <x:c r="K15" s="9" t="str">
        <x:v>OPEN</x:v>
      </x:c>
    </x:row>
    <x:row r="16">
      <x:c r="B16" s="9" t="str">
        <x:v>IP-IF02-B-S0</x:v>
      </x:c>
      <x:c r="C16" s="9" t="str">
        <x:v>INTERFACE_PAIR</x:v>
      </x:c>
      <x:c r="D16" s="9" t="str">
        <x:v>ROOT_B</x:v>
      </x:c>
      <x:c r="E16" s="9" t="str">
        <x:v>IF02</x:v>
      </x:c>
      <x:c r="F16" s="9" t="str">
        <x:v>S0_FRESH</x:v>
      </x:c>
      <x:c r="G16" s="9" t="n">
        <x:v>1</x:v>
      </x:c>
      <x:c r="H16" s="9" t="n">
        <x:v>0</x:v>
      </x:c>
      <x:c r="I16" s="9" t="n">
        <x:v>0</x:v>
      </x:c>
      <x:c r="J16" s="9" t="str">
        <x:f>IF(AND(B16&lt;&gt;"",COUNTIFS($B$7:$B$136,B16)=1,C16&lt;&gt;"",D16&lt;&gt;"",E16&lt;&gt;"",F16&lt;&gt;"",G16=1,H16=0,I16=0),"PASS","FAIL")</x:f>
        <x:v>PASS</x:v>
      </x:c>
      <x:c r="K16" s="9" t="str">
        <x:v>OPEN</x:v>
      </x:c>
    </x:row>
    <x:row r="17">
      <x:c r="B17" s="9" t="str">
        <x:v>IP-IF02-B-S1</x:v>
      </x:c>
      <x:c r="C17" s="9" t="str">
        <x:v>INTERFACE_PAIR</x:v>
      </x:c>
      <x:c r="D17" s="9" t="str">
        <x:v>ROOT_B</x:v>
      </x:c>
      <x:c r="E17" s="9" t="str">
        <x:v>IF02</x:v>
      </x:c>
      <x:c r="F17" s="9" t="str">
        <x:v>S1_CHALLENGE</x:v>
      </x:c>
      <x:c r="G17" s="9" t="n">
        <x:v>1</x:v>
      </x:c>
      <x:c r="H17" s="9" t="n">
        <x:v>0</x:v>
      </x:c>
      <x:c r="I17" s="9" t="n">
        <x:v>0</x:v>
      </x:c>
      <x:c r="J17" s="9" t="str">
        <x:f>IF(AND(B17&lt;&gt;"",COUNTIFS($B$7:$B$136,B17)=1,C17&lt;&gt;"",D17&lt;&gt;"",E17&lt;&gt;"",F17&lt;&gt;"",G17=1,H17=0,I17=0),"PASS","FAIL")</x:f>
        <x:v>PASS</x:v>
      </x:c>
      <x:c r="K17" s="9" t="str">
        <x:v>OPEN</x:v>
      </x:c>
    </x:row>
    <x:row r="18">
      <x:c r="B18" s="9" t="str">
        <x:v>IP-IF02-B-S2</x:v>
      </x:c>
      <x:c r="C18" s="9" t="str">
        <x:v>INTERFACE_PAIR</x:v>
      </x:c>
      <x:c r="D18" s="9" t="str">
        <x:v>ROOT_B</x:v>
      </x:c>
      <x:c r="E18" s="9" t="str">
        <x:v>IF02</x:v>
      </x:c>
      <x:c r="F18" s="9" t="str">
        <x:v>S2_COLD_RESET</x:v>
      </x:c>
      <x:c r="G18" s="9" t="n">
        <x:v>1</x:v>
      </x:c>
      <x:c r="H18" s="9" t="n">
        <x:v>0</x:v>
      </x:c>
      <x:c r="I18" s="9" t="n">
        <x:v>0</x:v>
      </x:c>
      <x:c r="J18" s="9" t="str">
        <x:f>IF(AND(B18&lt;&gt;"",COUNTIFS($B$7:$B$136,B18)=1,C18&lt;&gt;"",D18&lt;&gt;"",E18&lt;&gt;"",F18&lt;&gt;"",G18=1,H18=0,I18=0),"PASS","FAIL")</x:f>
        <x:v>PASS</x:v>
      </x:c>
      <x:c r="K18" s="9" t="str">
        <x:v>OPEN</x:v>
      </x:c>
    </x:row>
    <x:row r="19">
      <x:c r="B19" s="9" t="str">
        <x:v>IP-IF03-A-S0</x:v>
      </x:c>
      <x:c r="C19" s="9" t="str">
        <x:v>INTERFACE_PAIR</x:v>
      </x:c>
      <x:c r="D19" s="9" t="str">
        <x:v>ROOT_A</x:v>
      </x:c>
      <x:c r="E19" s="9" t="str">
        <x:v>IF03</x:v>
      </x:c>
      <x:c r="F19" s="9" t="str">
        <x:v>S0_FRESH</x:v>
      </x:c>
      <x:c r="G19" s="9" t="n">
        <x:v>1</x:v>
      </x:c>
      <x:c r="H19" s="9" t="n">
        <x:v>0</x:v>
      </x:c>
      <x:c r="I19" s="9" t="n">
        <x:v>0</x:v>
      </x:c>
      <x:c r="J19" s="9" t="str">
        <x:f>IF(AND(B19&lt;&gt;"",COUNTIFS($B$7:$B$136,B19)=1,C19&lt;&gt;"",D19&lt;&gt;"",E19&lt;&gt;"",F19&lt;&gt;"",G19=1,H19=0,I19=0),"PASS","FAIL")</x:f>
        <x:v>PASS</x:v>
      </x:c>
      <x:c r="K19" s="9" t="str">
        <x:v>OPEN</x:v>
      </x:c>
    </x:row>
    <x:row r="20">
      <x:c r="B20" s="9" t="str">
        <x:v>IP-IF03-A-S1</x:v>
      </x:c>
      <x:c r="C20" s="9" t="str">
        <x:v>INTERFACE_PAIR</x:v>
      </x:c>
      <x:c r="D20" s="9" t="str">
        <x:v>ROOT_A</x:v>
      </x:c>
      <x:c r="E20" s="9" t="str">
        <x:v>IF03</x:v>
      </x:c>
      <x:c r="F20" s="9" t="str">
        <x:v>S1_CHALLENGE</x:v>
      </x:c>
      <x:c r="G20" s="9" t="n">
        <x:v>1</x:v>
      </x:c>
      <x:c r="H20" s="9" t="n">
        <x:v>0</x:v>
      </x:c>
      <x:c r="I20" s="9" t="n">
        <x:v>0</x:v>
      </x:c>
      <x:c r="J20" s="9" t="str">
        <x:f>IF(AND(B20&lt;&gt;"",COUNTIFS($B$7:$B$136,B20)=1,C20&lt;&gt;"",D20&lt;&gt;"",E20&lt;&gt;"",F20&lt;&gt;"",G20=1,H20=0,I20=0),"PASS","FAIL")</x:f>
        <x:v>PASS</x:v>
      </x:c>
      <x:c r="K20" s="9" t="str">
        <x:v>OPEN</x:v>
      </x:c>
    </x:row>
    <x:row r="21">
      <x:c r="B21" s="9" t="str">
        <x:v>IP-IF03-A-S2</x:v>
      </x:c>
      <x:c r="C21" s="9" t="str">
        <x:v>INTERFACE_PAIR</x:v>
      </x:c>
      <x:c r="D21" s="9" t="str">
        <x:v>ROOT_A</x:v>
      </x:c>
      <x:c r="E21" s="9" t="str">
        <x:v>IF03</x:v>
      </x:c>
      <x:c r="F21" s="9" t="str">
        <x:v>S2_COLD_RESET</x:v>
      </x:c>
      <x:c r="G21" s="9" t="n">
        <x:v>1</x:v>
      </x:c>
      <x:c r="H21" s="9" t="n">
        <x:v>0</x:v>
      </x:c>
      <x:c r="I21" s="9" t="n">
        <x:v>0</x:v>
      </x:c>
      <x:c r="J21" s="9" t="str">
        <x:f>IF(AND(B21&lt;&gt;"",COUNTIFS($B$7:$B$136,B21)=1,C21&lt;&gt;"",D21&lt;&gt;"",E21&lt;&gt;"",F21&lt;&gt;"",G21=1,H21=0,I21=0),"PASS","FAIL")</x:f>
        <x:v>PASS</x:v>
      </x:c>
      <x:c r="K21" s="9" t="str">
        <x:v>OPEN</x:v>
      </x:c>
    </x:row>
    <x:row r="22">
      <x:c r="B22" s="9" t="str">
        <x:v>IP-IF03-B-S0</x:v>
      </x:c>
      <x:c r="C22" s="9" t="str">
        <x:v>INTERFACE_PAIR</x:v>
      </x:c>
      <x:c r="D22" s="9" t="str">
        <x:v>ROOT_B</x:v>
      </x:c>
      <x:c r="E22" s="9" t="str">
        <x:v>IF03</x:v>
      </x:c>
      <x:c r="F22" s="9" t="str">
        <x:v>S0_FRESH</x:v>
      </x:c>
      <x:c r="G22" s="9" t="n">
        <x:v>1</x:v>
      </x:c>
      <x:c r="H22" s="9" t="n">
        <x:v>0</x:v>
      </x:c>
      <x:c r="I22" s="9" t="n">
        <x:v>0</x:v>
      </x:c>
      <x:c r="J22" s="9" t="str">
        <x:f>IF(AND(B22&lt;&gt;"",COUNTIFS($B$7:$B$136,B22)=1,C22&lt;&gt;"",D22&lt;&gt;"",E22&lt;&gt;"",F22&lt;&gt;"",G22=1,H22=0,I22=0),"PASS","FAIL")</x:f>
        <x:v>PASS</x:v>
      </x:c>
      <x:c r="K22" s="9" t="str">
        <x:v>OPEN</x:v>
      </x:c>
    </x:row>
    <x:row r="23">
      <x:c r="B23" s="9" t="str">
        <x:v>IP-IF03-B-S1</x:v>
      </x:c>
      <x:c r="C23" s="9" t="str">
        <x:v>INTERFACE_PAIR</x:v>
      </x:c>
      <x:c r="D23" s="9" t="str">
        <x:v>ROOT_B</x:v>
      </x:c>
      <x:c r="E23" s="9" t="str">
        <x:v>IF03</x:v>
      </x:c>
      <x:c r="F23" s="9" t="str">
        <x:v>S1_CHALLENGE</x:v>
      </x:c>
      <x:c r="G23" s="9" t="n">
        <x:v>1</x:v>
      </x:c>
      <x:c r="H23" s="9" t="n">
        <x:v>0</x:v>
      </x:c>
      <x:c r="I23" s="9" t="n">
        <x:v>0</x:v>
      </x:c>
      <x:c r="J23" s="9" t="str">
        <x:f>IF(AND(B23&lt;&gt;"",COUNTIFS($B$7:$B$136,B23)=1,C23&lt;&gt;"",D23&lt;&gt;"",E23&lt;&gt;"",F23&lt;&gt;"",G23=1,H23=0,I23=0),"PASS","FAIL")</x:f>
        <x:v>PASS</x:v>
      </x:c>
      <x:c r="K23" s="9" t="str">
        <x:v>OPEN</x:v>
      </x:c>
    </x:row>
    <x:row r="24">
      <x:c r="B24" s="9" t="str">
        <x:v>IP-IF03-B-S2</x:v>
      </x:c>
      <x:c r="C24" s="9" t="str">
        <x:v>INTERFACE_PAIR</x:v>
      </x:c>
      <x:c r="D24" s="9" t="str">
        <x:v>ROOT_B</x:v>
      </x:c>
      <x:c r="E24" s="9" t="str">
        <x:v>IF03</x:v>
      </x:c>
      <x:c r="F24" s="9" t="str">
        <x:v>S2_COLD_RESET</x:v>
      </x:c>
      <x:c r="G24" s="9" t="n">
        <x:v>1</x:v>
      </x:c>
      <x:c r="H24" s="9" t="n">
        <x:v>0</x:v>
      </x:c>
      <x:c r="I24" s="9" t="n">
        <x:v>0</x:v>
      </x:c>
      <x:c r="J24" s="9" t="str">
        <x:f>IF(AND(B24&lt;&gt;"",COUNTIFS($B$7:$B$136,B24)=1,C24&lt;&gt;"",D24&lt;&gt;"",E24&lt;&gt;"",F24&lt;&gt;"",G24=1,H24=0,I24=0),"PASS","FAIL")</x:f>
        <x:v>PASS</x:v>
      </x:c>
      <x:c r="K24" s="9" t="str">
        <x:v>OPEN</x:v>
      </x:c>
    </x:row>
    <x:row r="25">
      <x:c r="B25" s="9" t="str">
        <x:v>IP-IF04-A-S0</x:v>
      </x:c>
      <x:c r="C25" s="9" t="str">
        <x:v>INTERFACE_PAIR</x:v>
      </x:c>
      <x:c r="D25" s="9" t="str">
        <x:v>ROOT_A</x:v>
      </x:c>
      <x:c r="E25" s="9" t="str">
        <x:v>IF04</x:v>
      </x:c>
      <x:c r="F25" s="9" t="str">
        <x:v>S0_FRESH</x:v>
      </x:c>
      <x:c r="G25" s="9" t="n">
        <x:v>1</x:v>
      </x:c>
      <x:c r="H25" s="9" t="n">
        <x:v>0</x:v>
      </x:c>
      <x:c r="I25" s="9" t="n">
        <x:v>0</x:v>
      </x:c>
      <x:c r="J25" s="9" t="str">
        <x:f>IF(AND(B25&lt;&gt;"",COUNTIFS($B$7:$B$136,B25)=1,C25&lt;&gt;"",D25&lt;&gt;"",E25&lt;&gt;"",F25&lt;&gt;"",G25=1,H25=0,I25=0),"PASS","FAIL")</x:f>
        <x:v>PASS</x:v>
      </x:c>
      <x:c r="K25" s="9" t="str">
        <x:v>OPEN</x:v>
      </x:c>
    </x:row>
    <x:row r="26">
      <x:c r="B26" s="9" t="str">
        <x:v>IP-IF04-A-S1</x:v>
      </x:c>
      <x:c r="C26" s="9" t="str">
        <x:v>INTERFACE_PAIR</x:v>
      </x:c>
      <x:c r="D26" s="9" t="str">
        <x:v>ROOT_A</x:v>
      </x:c>
      <x:c r="E26" s="9" t="str">
        <x:v>IF04</x:v>
      </x:c>
      <x:c r="F26" s="9" t="str">
        <x:v>S1_CHALLENGE</x:v>
      </x:c>
      <x:c r="G26" s="9" t="n">
        <x:v>1</x:v>
      </x:c>
      <x:c r="H26" s="9" t="n">
        <x:v>0</x:v>
      </x:c>
      <x:c r="I26" s="9" t="n">
        <x:v>0</x:v>
      </x:c>
      <x:c r="J26" s="9" t="str">
        <x:f>IF(AND(B26&lt;&gt;"",COUNTIFS($B$7:$B$136,B26)=1,C26&lt;&gt;"",D26&lt;&gt;"",E26&lt;&gt;"",F26&lt;&gt;"",G26=1,H26=0,I26=0),"PASS","FAIL")</x:f>
        <x:v>PASS</x:v>
      </x:c>
      <x:c r="K26" s="9" t="str">
        <x:v>OPEN</x:v>
      </x:c>
    </x:row>
    <x:row r="27">
      <x:c r="B27" s="9" t="str">
        <x:v>IP-IF04-A-S2</x:v>
      </x:c>
      <x:c r="C27" s="9" t="str">
        <x:v>INTERFACE_PAIR</x:v>
      </x:c>
      <x:c r="D27" s="9" t="str">
        <x:v>ROOT_A</x:v>
      </x:c>
      <x:c r="E27" s="9" t="str">
        <x:v>IF04</x:v>
      </x:c>
      <x:c r="F27" s="9" t="str">
        <x:v>S2_COLD_RESET</x:v>
      </x:c>
      <x:c r="G27" s="9" t="n">
        <x:v>1</x:v>
      </x:c>
      <x:c r="H27" s="9" t="n">
        <x:v>0</x:v>
      </x:c>
      <x:c r="I27" s="9" t="n">
        <x:v>0</x:v>
      </x:c>
      <x:c r="J27" s="9" t="str">
        <x:f>IF(AND(B27&lt;&gt;"",COUNTIFS($B$7:$B$136,B27)=1,C27&lt;&gt;"",D27&lt;&gt;"",E27&lt;&gt;"",F27&lt;&gt;"",G27=1,H27=0,I27=0),"PASS","FAIL")</x:f>
        <x:v>PASS</x:v>
      </x:c>
      <x:c r="K27" s="9" t="str">
        <x:v>OPEN</x:v>
      </x:c>
    </x:row>
    <x:row r="28">
      <x:c r="B28" s="9" t="str">
        <x:v>IP-IF04-B-S0</x:v>
      </x:c>
      <x:c r="C28" s="9" t="str">
        <x:v>INTERFACE_PAIR</x:v>
      </x:c>
      <x:c r="D28" s="9" t="str">
        <x:v>ROOT_B</x:v>
      </x:c>
      <x:c r="E28" s="9" t="str">
        <x:v>IF04</x:v>
      </x:c>
      <x:c r="F28" s="9" t="str">
        <x:v>S0_FRESH</x:v>
      </x:c>
      <x:c r="G28" s="9" t="n">
        <x:v>1</x:v>
      </x:c>
      <x:c r="H28" s="9" t="n">
        <x:v>0</x:v>
      </x:c>
      <x:c r="I28" s="9" t="n">
        <x:v>0</x:v>
      </x:c>
      <x:c r="J28" s="9" t="str">
        <x:f>IF(AND(B28&lt;&gt;"",COUNTIFS($B$7:$B$136,B28)=1,C28&lt;&gt;"",D28&lt;&gt;"",E28&lt;&gt;"",F28&lt;&gt;"",G28=1,H28=0,I28=0),"PASS","FAIL")</x:f>
        <x:v>PASS</x:v>
      </x:c>
      <x:c r="K28" s="9" t="str">
        <x:v>OPEN</x:v>
      </x:c>
    </x:row>
    <x:row r="29">
      <x:c r="B29" s="9" t="str">
        <x:v>IP-IF04-B-S1</x:v>
      </x:c>
      <x:c r="C29" s="9" t="str">
        <x:v>INTERFACE_PAIR</x:v>
      </x:c>
      <x:c r="D29" s="9" t="str">
        <x:v>ROOT_B</x:v>
      </x:c>
      <x:c r="E29" s="9" t="str">
        <x:v>IF04</x:v>
      </x:c>
      <x:c r="F29" s="9" t="str">
        <x:v>S1_CHALLENGE</x:v>
      </x:c>
      <x:c r="G29" s="9" t="n">
        <x:v>1</x:v>
      </x:c>
      <x:c r="H29" s="9" t="n">
        <x:v>0</x:v>
      </x:c>
      <x:c r="I29" s="9" t="n">
        <x:v>0</x:v>
      </x:c>
      <x:c r="J29" s="9" t="str">
        <x:f>IF(AND(B29&lt;&gt;"",COUNTIFS($B$7:$B$136,B29)=1,C29&lt;&gt;"",D29&lt;&gt;"",E29&lt;&gt;"",F29&lt;&gt;"",G29=1,H29=0,I29=0),"PASS","FAIL")</x:f>
        <x:v>PASS</x:v>
      </x:c>
      <x:c r="K29" s="9" t="str">
        <x:v>OPEN</x:v>
      </x:c>
    </x:row>
    <x:row r="30">
      <x:c r="B30" s="9" t="str">
        <x:v>IP-IF04-B-S2</x:v>
      </x:c>
      <x:c r="C30" s="9" t="str">
        <x:v>INTERFACE_PAIR</x:v>
      </x:c>
      <x:c r="D30" s="9" t="str">
        <x:v>ROOT_B</x:v>
      </x:c>
      <x:c r="E30" s="9" t="str">
        <x:v>IF04</x:v>
      </x:c>
      <x:c r="F30" s="9" t="str">
        <x:v>S2_COLD_RESET</x:v>
      </x:c>
      <x:c r="G30" s="9" t="n">
        <x:v>1</x:v>
      </x:c>
      <x:c r="H30" s="9" t="n">
        <x:v>0</x:v>
      </x:c>
      <x:c r="I30" s="9" t="n">
        <x:v>0</x:v>
      </x:c>
      <x:c r="J30" s="9" t="str">
        <x:f>IF(AND(B30&lt;&gt;"",COUNTIFS($B$7:$B$136,B30)=1,C30&lt;&gt;"",D30&lt;&gt;"",E30&lt;&gt;"",F30&lt;&gt;"",G30=1,H30=0,I30=0),"PASS","FAIL")</x:f>
        <x:v>PASS</x:v>
      </x:c>
      <x:c r="K30" s="9" t="str">
        <x:v>OPEN</x:v>
      </x:c>
    </x:row>
    <x:row r="31">
      <x:c r="B31" s="9" t="str">
        <x:v>IP-IF05-A-S0</x:v>
      </x:c>
      <x:c r="C31" s="9" t="str">
        <x:v>INTERFACE_PAIR</x:v>
      </x:c>
      <x:c r="D31" s="9" t="str">
        <x:v>ROOT_A</x:v>
      </x:c>
      <x:c r="E31" s="9" t="str">
        <x:v>IF05</x:v>
      </x:c>
      <x:c r="F31" s="9" t="str">
        <x:v>S0_FRESH</x:v>
      </x:c>
      <x:c r="G31" s="9" t="n">
        <x:v>1</x:v>
      </x:c>
      <x:c r="H31" s="9" t="n">
        <x:v>0</x:v>
      </x:c>
      <x:c r="I31" s="9" t="n">
        <x:v>0</x:v>
      </x:c>
      <x:c r="J31" s="9" t="str">
        <x:f>IF(AND(B31&lt;&gt;"",COUNTIFS($B$7:$B$136,B31)=1,C31&lt;&gt;"",D31&lt;&gt;"",E31&lt;&gt;"",F31&lt;&gt;"",G31=1,H31=0,I31=0),"PASS","FAIL")</x:f>
        <x:v>PASS</x:v>
      </x:c>
      <x:c r="K31" s="9" t="str">
        <x:v>OPEN</x:v>
      </x:c>
    </x:row>
    <x:row r="32">
      <x:c r="B32" s="9" t="str">
        <x:v>IP-IF05-A-S1</x:v>
      </x:c>
      <x:c r="C32" s="9" t="str">
        <x:v>INTERFACE_PAIR</x:v>
      </x:c>
      <x:c r="D32" s="9" t="str">
        <x:v>ROOT_A</x:v>
      </x:c>
      <x:c r="E32" s="9" t="str">
        <x:v>IF05</x:v>
      </x:c>
      <x:c r="F32" s="9" t="str">
        <x:v>S1_CHALLENGE</x:v>
      </x:c>
      <x:c r="G32" s="9" t="n">
        <x:v>1</x:v>
      </x:c>
      <x:c r="H32" s="9" t="n">
        <x:v>0</x:v>
      </x:c>
      <x:c r="I32" s="9" t="n">
        <x:v>0</x:v>
      </x:c>
      <x:c r="J32" s="9" t="str">
        <x:f>IF(AND(B32&lt;&gt;"",COUNTIFS($B$7:$B$136,B32)=1,C32&lt;&gt;"",D32&lt;&gt;"",E32&lt;&gt;"",F32&lt;&gt;"",G32=1,H32=0,I32=0),"PASS","FAIL")</x:f>
        <x:v>PASS</x:v>
      </x:c>
      <x:c r="K32" s="9" t="str">
        <x:v>OPEN</x:v>
      </x:c>
    </x:row>
    <x:row r="33">
      <x:c r="B33" s="9" t="str">
        <x:v>IP-IF05-A-S2</x:v>
      </x:c>
      <x:c r="C33" s="9" t="str">
        <x:v>INTERFACE_PAIR</x:v>
      </x:c>
      <x:c r="D33" s="9" t="str">
        <x:v>ROOT_A</x:v>
      </x:c>
      <x:c r="E33" s="9" t="str">
        <x:v>IF05</x:v>
      </x:c>
      <x:c r="F33" s="9" t="str">
        <x:v>S2_COLD_RESET</x:v>
      </x:c>
      <x:c r="G33" s="9" t="n">
        <x:v>1</x:v>
      </x:c>
      <x:c r="H33" s="9" t="n">
        <x:v>0</x:v>
      </x:c>
      <x:c r="I33" s="9" t="n">
        <x:v>0</x:v>
      </x:c>
      <x:c r="J33" s="9" t="str">
        <x:f>IF(AND(B33&lt;&gt;"",COUNTIFS($B$7:$B$136,B33)=1,C33&lt;&gt;"",D33&lt;&gt;"",E33&lt;&gt;"",F33&lt;&gt;"",G33=1,H33=0,I33=0),"PASS","FAIL")</x:f>
        <x:v>PASS</x:v>
      </x:c>
      <x:c r="K33" s="9" t="str">
        <x:v>OPEN</x:v>
      </x:c>
    </x:row>
    <x:row r="34">
      <x:c r="B34" s="9" t="str">
        <x:v>IP-IF05-B-S0</x:v>
      </x:c>
      <x:c r="C34" s="9" t="str">
        <x:v>INTERFACE_PAIR</x:v>
      </x:c>
      <x:c r="D34" s="9" t="str">
        <x:v>ROOT_B</x:v>
      </x:c>
      <x:c r="E34" s="9" t="str">
        <x:v>IF05</x:v>
      </x:c>
      <x:c r="F34" s="9" t="str">
        <x:v>S0_FRESH</x:v>
      </x:c>
      <x:c r="G34" s="9" t="n">
        <x:v>1</x:v>
      </x:c>
      <x:c r="H34" s="9" t="n">
        <x:v>0</x:v>
      </x:c>
      <x:c r="I34" s="9" t="n">
        <x:v>0</x:v>
      </x:c>
      <x:c r="J34" s="9" t="str">
        <x:f>IF(AND(B34&lt;&gt;"",COUNTIFS($B$7:$B$136,B34)=1,C34&lt;&gt;"",D34&lt;&gt;"",E34&lt;&gt;"",F34&lt;&gt;"",G34=1,H34=0,I34=0),"PASS","FAIL")</x:f>
        <x:v>PASS</x:v>
      </x:c>
      <x:c r="K34" s="9" t="str">
        <x:v>OPEN</x:v>
      </x:c>
    </x:row>
    <x:row r="35">
      <x:c r="B35" s="9" t="str">
        <x:v>IP-IF05-B-S1</x:v>
      </x:c>
      <x:c r="C35" s="9" t="str">
        <x:v>INTERFACE_PAIR</x:v>
      </x:c>
      <x:c r="D35" s="9" t="str">
        <x:v>ROOT_B</x:v>
      </x:c>
      <x:c r="E35" s="9" t="str">
        <x:v>IF05</x:v>
      </x:c>
      <x:c r="F35" s="9" t="str">
        <x:v>S1_CHALLENGE</x:v>
      </x:c>
      <x:c r="G35" s="9" t="n">
        <x:v>1</x:v>
      </x:c>
      <x:c r="H35" s="9" t="n">
        <x:v>0</x:v>
      </x:c>
      <x:c r="I35" s="9" t="n">
        <x:v>0</x:v>
      </x:c>
      <x:c r="J35" s="9" t="str">
        <x:f>IF(AND(B35&lt;&gt;"",COUNTIFS($B$7:$B$136,B35)=1,C35&lt;&gt;"",D35&lt;&gt;"",E35&lt;&gt;"",F35&lt;&gt;"",G35=1,H35=0,I35=0),"PASS","FAIL")</x:f>
        <x:v>PASS</x:v>
      </x:c>
      <x:c r="K35" s="9" t="str">
        <x:v>OPEN</x:v>
      </x:c>
    </x:row>
    <x:row r="36">
      <x:c r="B36" s="9" t="str">
        <x:v>IP-IF05-B-S2</x:v>
      </x:c>
      <x:c r="C36" s="9" t="str">
        <x:v>INTERFACE_PAIR</x:v>
      </x:c>
      <x:c r="D36" s="9" t="str">
        <x:v>ROOT_B</x:v>
      </x:c>
      <x:c r="E36" s="9" t="str">
        <x:v>IF05</x:v>
      </x:c>
      <x:c r="F36" s="9" t="str">
        <x:v>S2_COLD_RESET</x:v>
      </x:c>
      <x:c r="G36" s="9" t="n">
        <x:v>1</x:v>
      </x:c>
      <x:c r="H36" s="9" t="n">
        <x:v>0</x:v>
      </x:c>
      <x:c r="I36" s="9" t="n">
        <x:v>0</x:v>
      </x:c>
      <x:c r="J36" s="9" t="str">
        <x:f>IF(AND(B36&lt;&gt;"",COUNTIFS($B$7:$B$136,B36)=1,C36&lt;&gt;"",D36&lt;&gt;"",E36&lt;&gt;"",F36&lt;&gt;"",G36=1,H36=0,I36=0),"PASS","FAIL")</x:f>
        <x:v>PASS</x:v>
      </x:c>
      <x:c r="K36" s="9" t="str">
        <x:v>OPEN</x:v>
      </x:c>
    </x:row>
    <x:row r="37">
      <x:c r="B37" s="9" t="str">
        <x:v>IP-IF06-A-S0</x:v>
      </x:c>
      <x:c r="C37" s="9" t="str">
        <x:v>INTERFACE_PAIR</x:v>
      </x:c>
      <x:c r="D37" s="9" t="str">
        <x:v>ROOT_A</x:v>
      </x:c>
      <x:c r="E37" s="9" t="str">
        <x:v>IF06</x:v>
      </x:c>
      <x:c r="F37" s="9" t="str">
        <x:v>S0_FRESH</x:v>
      </x:c>
      <x:c r="G37" s="9" t="n">
        <x:v>1</x:v>
      </x:c>
      <x:c r="H37" s="9" t="n">
        <x:v>0</x:v>
      </x:c>
      <x:c r="I37" s="9" t="n">
        <x:v>0</x:v>
      </x:c>
      <x:c r="J37" s="9" t="str">
        <x:f>IF(AND(B37&lt;&gt;"",COUNTIFS($B$7:$B$136,B37)=1,C37&lt;&gt;"",D37&lt;&gt;"",E37&lt;&gt;"",F37&lt;&gt;"",G37=1,H37=0,I37=0),"PASS","FAIL")</x:f>
        <x:v>PASS</x:v>
      </x:c>
      <x:c r="K37" s="9" t="str">
        <x:v>OPEN</x:v>
      </x:c>
    </x:row>
    <x:row r="38">
      <x:c r="B38" s="9" t="str">
        <x:v>IP-IF06-A-S1</x:v>
      </x:c>
      <x:c r="C38" s="9" t="str">
        <x:v>INTERFACE_PAIR</x:v>
      </x:c>
      <x:c r="D38" s="9" t="str">
        <x:v>ROOT_A</x:v>
      </x:c>
      <x:c r="E38" s="9" t="str">
        <x:v>IF06</x:v>
      </x:c>
      <x:c r="F38" s="9" t="str">
        <x:v>S1_CHALLENGE</x:v>
      </x:c>
      <x:c r="G38" s="9" t="n">
        <x:v>1</x:v>
      </x:c>
      <x:c r="H38" s="9" t="n">
        <x:v>0</x:v>
      </x:c>
      <x:c r="I38" s="9" t="n">
        <x:v>0</x:v>
      </x:c>
      <x:c r="J38" s="9" t="str">
        <x:f>IF(AND(B38&lt;&gt;"",COUNTIFS($B$7:$B$136,B38)=1,C38&lt;&gt;"",D38&lt;&gt;"",E38&lt;&gt;"",F38&lt;&gt;"",G38=1,H38=0,I38=0),"PASS","FAIL")</x:f>
        <x:v>PASS</x:v>
      </x:c>
      <x:c r="K38" s="9" t="str">
        <x:v>OPEN</x:v>
      </x:c>
    </x:row>
    <x:row r="39">
      <x:c r="B39" s="9" t="str">
        <x:v>IP-IF06-A-S2</x:v>
      </x:c>
      <x:c r="C39" s="9" t="str">
        <x:v>INTERFACE_PAIR</x:v>
      </x:c>
      <x:c r="D39" s="9" t="str">
        <x:v>ROOT_A</x:v>
      </x:c>
      <x:c r="E39" s="9" t="str">
        <x:v>IF06</x:v>
      </x:c>
      <x:c r="F39" s="9" t="str">
        <x:v>S2_COLD_RESET</x:v>
      </x:c>
      <x:c r="G39" s="9" t="n">
        <x:v>1</x:v>
      </x:c>
      <x:c r="H39" s="9" t="n">
        <x:v>0</x:v>
      </x:c>
      <x:c r="I39" s="9" t="n">
        <x:v>0</x:v>
      </x:c>
      <x:c r="J39" s="9" t="str">
        <x:f>IF(AND(B39&lt;&gt;"",COUNTIFS($B$7:$B$136,B39)=1,C39&lt;&gt;"",D39&lt;&gt;"",E39&lt;&gt;"",F39&lt;&gt;"",G39=1,H39=0,I39=0),"PASS","FAIL")</x:f>
        <x:v>PASS</x:v>
      </x:c>
      <x:c r="K39" s="9" t="str">
        <x:v>OPEN</x:v>
      </x:c>
    </x:row>
    <x:row r="40">
      <x:c r="B40" s="9" t="str">
        <x:v>IP-IF06-B-S0</x:v>
      </x:c>
      <x:c r="C40" s="9" t="str">
        <x:v>INTERFACE_PAIR</x:v>
      </x:c>
      <x:c r="D40" s="9" t="str">
        <x:v>ROOT_B</x:v>
      </x:c>
      <x:c r="E40" s="9" t="str">
        <x:v>IF06</x:v>
      </x:c>
      <x:c r="F40" s="9" t="str">
        <x:v>S0_FRESH</x:v>
      </x:c>
      <x:c r="G40" s="9" t="n">
        <x:v>1</x:v>
      </x:c>
      <x:c r="H40" s="9" t="n">
        <x:v>0</x:v>
      </x:c>
      <x:c r="I40" s="9" t="n">
        <x:v>0</x:v>
      </x:c>
      <x:c r="J40" s="9" t="str">
        <x:f>IF(AND(B40&lt;&gt;"",COUNTIFS($B$7:$B$136,B40)=1,C40&lt;&gt;"",D40&lt;&gt;"",E40&lt;&gt;"",F40&lt;&gt;"",G40=1,H40=0,I40=0),"PASS","FAIL")</x:f>
        <x:v>PASS</x:v>
      </x:c>
      <x:c r="K40" s="9" t="str">
        <x:v>OPEN</x:v>
      </x:c>
    </x:row>
    <x:row r="41">
      <x:c r="B41" s="9" t="str">
        <x:v>IP-IF06-B-S1</x:v>
      </x:c>
      <x:c r="C41" s="9" t="str">
        <x:v>INTERFACE_PAIR</x:v>
      </x:c>
      <x:c r="D41" s="9" t="str">
        <x:v>ROOT_B</x:v>
      </x:c>
      <x:c r="E41" s="9" t="str">
        <x:v>IF06</x:v>
      </x:c>
      <x:c r="F41" s="9" t="str">
        <x:v>S1_CHALLENGE</x:v>
      </x:c>
      <x:c r="G41" s="9" t="n">
        <x:v>1</x:v>
      </x:c>
      <x:c r="H41" s="9" t="n">
        <x:v>0</x:v>
      </x:c>
      <x:c r="I41" s="9" t="n">
        <x:v>0</x:v>
      </x:c>
      <x:c r="J41" s="9" t="str">
        <x:f>IF(AND(B41&lt;&gt;"",COUNTIFS($B$7:$B$136,B41)=1,C41&lt;&gt;"",D41&lt;&gt;"",E41&lt;&gt;"",F41&lt;&gt;"",G41=1,H41=0,I41=0),"PASS","FAIL")</x:f>
        <x:v>PASS</x:v>
      </x:c>
      <x:c r="K41" s="9" t="str">
        <x:v>OPEN</x:v>
      </x:c>
    </x:row>
    <x:row r="42">
      <x:c r="B42" s="9" t="str">
        <x:v>IP-IF06-B-S2</x:v>
      </x:c>
      <x:c r="C42" s="9" t="str">
        <x:v>INTERFACE_PAIR</x:v>
      </x:c>
      <x:c r="D42" s="9" t="str">
        <x:v>ROOT_B</x:v>
      </x:c>
      <x:c r="E42" s="9" t="str">
        <x:v>IF06</x:v>
      </x:c>
      <x:c r="F42" s="9" t="str">
        <x:v>S2_COLD_RESET</x:v>
      </x:c>
      <x:c r="G42" s="9" t="n">
        <x:v>1</x:v>
      </x:c>
      <x:c r="H42" s="9" t="n">
        <x:v>0</x:v>
      </x:c>
      <x:c r="I42" s="9" t="n">
        <x:v>0</x:v>
      </x:c>
      <x:c r="J42" s="9" t="str">
        <x:f>IF(AND(B42&lt;&gt;"",COUNTIFS($B$7:$B$136,B42)=1,C42&lt;&gt;"",D42&lt;&gt;"",E42&lt;&gt;"",F42&lt;&gt;"",G42=1,H42=0,I42=0),"PASS","FAIL")</x:f>
        <x:v>PASS</x:v>
      </x:c>
      <x:c r="K42" s="9" t="str">
        <x:v>OPEN</x:v>
      </x:c>
    </x:row>
    <x:row r="43">
      <x:c r="B43" s="9" t="str">
        <x:v>IP-IF07-A-S0</x:v>
      </x:c>
      <x:c r="C43" s="9" t="str">
        <x:v>INTERFACE_PAIR</x:v>
      </x:c>
      <x:c r="D43" s="9" t="str">
        <x:v>ROOT_A</x:v>
      </x:c>
      <x:c r="E43" s="9" t="str">
        <x:v>IF07</x:v>
      </x:c>
      <x:c r="F43" s="9" t="str">
        <x:v>S0_FRESH</x:v>
      </x:c>
      <x:c r="G43" s="9" t="n">
        <x:v>1</x:v>
      </x:c>
      <x:c r="H43" s="9" t="n">
        <x:v>0</x:v>
      </x:c>
      <x:c r="I43" s="9" t="n">
        <x:v>0</x:v>
      </x:c>
      <x:c r="J43" s="9" t="str">
        <x:f>IF(AND(B43&lt;&gt;"",COUNTIFS($B$7:$B$136,B43)=1,C43&lt;&gt;"",D43&lt;&gt;"",E43&lt;&gt;"",F43&lt;&gt;"",G43=1,H43=0,I43=0),"PASS","FAIL")</x:f>
        <x:v>PASS</x:v>
      </x:c>
      <x:c r="K43" s="9" t="str">
        <x:v>OPEN</x:v>
      </x:c>
    </x:row>
    <x:row r="44">
      <x:c r="B44" s="9" t="str">
        <x:v>IP-IF07-A-S1</x:v>
      </x:c>
      <x:c r="C44" s="9" t="str">
        <x:v>INTERFACE_PAIR</x:v>
      </x:c>
      <x:c r="D44" s="9" t="str">
        <x:v>ROOT_A</x:v>
      </x:c>
      <x:c r="E44" s="9" t="str">
        <x:v>IF07</x:v>
      </x:c>
      <x:c r="F44" s="9" t="str">
        <x:v>S1_CHALLENGE</x:v>
      </x:c>
      <x:c r="G44" s="9" t="n">
        <x:v>1</x:v>
      </x:c>
      <x:c r="H44" s="9" t="n">
        <x:v>0</x:v>
      </x:c>
      <x:c r="I44" s="9" t="n">
        <x:v>0</x:v>
      </x:c>
      <x:c r="J44" s="9" t="str">
        <x:f>IF(AND(B44&lt;&gt;"",COUNTIFS($B$7:$B$136,B44)=1,C44&lt;&gt;"",D44&lt;&gt;"",E44&lt;&gt;"",F44&lt;&gt;"",G44=1,H44=0,I44=0),"PASS","FAIL")</x:f>
        <x:v>PASS</x:v>
      </x:c>
      <x:c r="K44" s="9" t="str">
        <x:v>OPEN</x:v>
      </x:c>
    </x:row>
    <x:row r="45">
      <x:c r="B45" s="9" t="str">
        <x:v>IP-IF07-A-S2</x:v>
      </x:c>
      <x:c r="C45" s="9" t="str">
        <x:v>INTERFACE_PAIR</x:v>
      </x:c>
      <x:c r="D45" s="9" t="str">
        <x:v>ROOT_A</x:v>
      </x:c>
      <x:c r="E45" s="9" t="str">
        <x:v>IF07</x:v>
      </x:c>
      <x:c r="F45" s="9" t="str">
        <x:v>S2_COLD_RESET</x:v>
      </x:c>
      <x:c r="G45" s="9" t="n">
        <x:v>1</x:v>
      </x:c>
      <x:c r="H45" s="9" t="n">
        <x:v>0</x:v>
      </x:c>
      <x:c r="I45" s="9" t="n">
        <x:v>0</x:v>
      </x:c>
      <x:c r="J45" s="9" t="str">
        <x:f>IF(AND(B45&lt;&gt;"",COUNTIFS($B$7:$B$136,B45)=1,C45&lt;&gt;"",D45&lt;&gt;"",E45&lt;&gt;"",F45&lt;&gt;"",G45=1,H45=0,I45=0),"PASS","FAIL")</x:f>
        <x:v>PASS</x:v>
      </x:c>
      <x:c r="K45" s="9" t="str">
        <x:v>OPEN</x:v>
      </x:c>
    </x:row>
    <x:row r="46">
      <x:c r="B46" s="9" t="str">
        <x:v>IP-IF07-B-S0</x:v>
      </x:c>
      <x:c r="C46" s="9" t="str">
        <x:v>INTERFACE_PAIR</x:v>
      </x:c>
      <x:c r="D46" s="9" t="str">
        <x:v>ROOT_B</x:v>
      </x:c>
      <x:c r="E46" s="9" t="str">
        <x:v>IF07</x:v>
      </x:c>
      <x:c r="F46" s="9" t="str">
        <x:v>S0_FRESH</x:v>
      </x:c>
      <x:c r="G46" s="9" t="n">
        <x:v>1</x:v>
      </x:c>
      <x:c r="H46" s="9" t="n">
        <x:v>0</x:v>
      </x:c>
      <x:c r="I46" s="9" t="n">
        <x:v>0</x:v>
      </x:c>
      <x:c r="J46" s="9" t="str">
        <x:f>IF(AND(B46&lt;&gt;"",COUNTIFS($B$7:$B$136,B46)=1,C46&lt;&gt;"",D46&lt;&gt;"",E46&lt;&gt;"",F46&lt;&gt;"",G46=1,H46=0,I46=0),"PASS","FAIL")</x:f>
        <x:v>PASS</x:v>
      </x:c>
      <x:c r="K46" s="9" t="str">
        <x:v>OPEN</x:v>
      </x:c>
    </x:row>
    <x:row r="47">
      <x:c r="B47" s="9" t="str">
        <x:v>IP-IF07-B-S1</x:v>
      </x:c>
      <x:c r="C47" s="9" t="str">
        <x:v>INTERFACE_PAIR</x:v>
      </x:c>
      <x:c r="D47" s="9" t="str">
        <x:v>ROOT_B</x:v>
      </x:c>
      <x:c r="E47" s="9" t="str">
        <x:v>IF07</x:v>
      </x:c>
      <x:c r="F47" s="9" t="str">
        <x:v>S1_CHALLENGE</x:v>
      </x:c>
      <x:c r="G47" s="9" t="n">
        <x:v>1</x:v>
      </x:c>
      <x:c r="H47" s="9" t="n">
        <x:v>0</x:v>
      </x:c>
      <x:c r="I47" s="9" t="n">
        <x:v>0</x:v>
      </x:c>
      <x:c r="J47" s="9" t="str">
        <x:f>IF(AND(B47&lt;&gt;"",COUNTIFS($B$7:$B$136,B47)=1,C47&lt;&gt;"",D47&lt;&gt;"",E47&lt;&gt;"",F47&lt;&gt;"",G47=1,H47=0,I47=0),"PASS","FAIL")</x:f>
        <x:v>PASS</x:v>
      </x:c>
      <x:c r="K47" s="9" t="str">
        <x:v>OPEN</x:v>
      </x:c>
    </x:row>
    <x:row r="48">
      <x:c r="B48" s="9" t="str">
        <x:v>IP-IF07-B-S2</x:v>
      </x:c>
      <x:c r="C48" s="9" t="str">
        <x:v>INTERFACE_PAIR</x:v>
      </x:c>
      <x:c r="D48" s="9" t="str">
        <x:v>ROOT_B</x:v>
      </x:c>
      <x:c r="E48" s="9" t="str">
        <x:v>IF07</x:v>
      </x:c>
      <x:c r="F48" s="9" t="str">
        <x:v>S2_COLD_RESET</x:v>
      </x:c>
      <x:c r="G48" s="9" t="n">
        <x:v>1</x:v>
      </x:c>
      <x:c r="H48" s="9" t="n">
        <x:v>0</x:v>
      </x:c>
      <x:c r="I48" s="9" t="n">
        <x:v>0</x:v>
      </x:c>
      <x:c r="J48" s="9" t="str">
        <x:f>IF(AND(B48&lt;&gt;"",COUNTIFS($B$7:$B$136,B48)=1,C48&lt;&gt;"",D48&lt;&gt;"",E48&lt;&gt;"",F48&lt;&gt;"",G48=1,H48=0,I48=0),"PASS","FAIL")</x:f>
        <x:v>PASS</x:v>
      </x:c>
      <x:c r="K48" s="9" t="str">
        <x:v>OPEN</x:v>
      </x:c>
    </x:row>
    <x:row r="49">
      <x:c r="B49" s="9" t="str">
        <x:v>IP-IF08-A-S0</x:v>
      </x:c>
      <x:c r="C49" s="9" t="str">
        <x:v>INTERFACE_PAIR</x:v>
      </x:c>
      <x:c r="D49" s="9" t="str">
        <x:v>ROOT_A</x:v>
      </x:c>
      <x:c r="E49" s="9" t="str">
        <x:v>IF08</x:v>
      </x:c>
      <x:c r="F49" s="9" t="str">
        <x:v>S0_FRESH</x:v>
      </x:c>
      <x:c r="G49" s="9" t="n">
        <x:v>1</x:v>
      </x:c>
      <x:c r="H49" s="9" t="n">
        <x:v>0</x:v>
      </x:c>
      <x:c r="I49" s="9" t="n">
        <x:v>0</x:v>
      </x:c>
      <x:c r="J49" s="9" t="str">
        <x:f>IF(AND(B49&lt;&gt;"",COUNTIFS($B$7:$B$136,B49)=1,C49&lt;&gt;"",D49&lt;&gt;"",E49&lt;&gt;"",F49&lt;&gt;"",G49=1,H49=0,I49=0),"PASS","FAIL")</x:f>
        <x:v>PASS</x:v>
      </x:c>
      <x:c r="K49" s="9" t="str">
        <x:v>OPEN</x:v>
      </x:c>
    </x:row>
    <x:row r="50">
      <x:c r="B50" s="9" t="str">
        <x:v>IP-IF08-A-S1</x:v>
      </x:c>
      <x:c r="C50" s="9" t="str">
        <x:v>INTERFACE_PAIR</x:v>
      </x:c>
      <x:c r="D50" s="9" t="str">
        <x:v>ROOT_A</x:v>
      </x:c>
      <x:c r="E50" s="9" t="str">
        <x:v>IF08</x:v>
      </x:c>
      <x:c r="F50" s="9" t="str">
        <x:v>S1_CHALLENGE</x:v>
      </x:c>
      <x:c r="G50" s="9" t="n">
        <x:v>1</x:v>
      </x:c>
      <x:c r="H50" s="9" t="n">
        <x:v>0</x:v>
      </x:c>
      <x:c r="I50" s="9" t="n">
        <x:v>0</x:v>
      </x:c>
      <x:c r="J50" s="9" t="str">
        <x:f>IF(AND(B50&lt;&gt;"",COUNTIFS($B$7:$B$136,B50)=1,C50&lt;&gt;"",D50&lt;&gt;"",E50&lt;&gt;"",F50&lt;&gt;"",G50=1,H50=0,I50=0),"PASS","FAIL")</x:f>
        <x:v>PASS</x:v>
      </x:c>
      <x:c r="K50" s="9" t="str">
        <x:v>OPEN</x:v>
      </x:c>
    </x:row>
    <x:row r="51">
      <x:c r="B51" s="9" t="str">
        <x:v>IP-IF08-A-S2</x:v>
      </x:c>
      <x:c r="C51" s="9" t="str">
        <x:v>INTERFACE_PAIR</x:v>
      </x:c>
      <x:c r="D51" s="9" t="str">
        <x:v>ROOT_A</x:v>
      </x:c>
      <x:c r="E51" s="9" t="str">
        <x:v>IF08</x:v>
      </x:c>
      <x:c r="F51" s="9" t="str">
        <x:v>S2_COLD_RESET</x:v>
      </x:c>
      <x:c r="G51" s="9" t="n">
        <x:v>1</x:v>
      </x:c>
      <x:c r="H51" s="9" t="n">
        <x:v>0</x:v>
      </x:c>
      <x:c r="I51" s="9" t="n">
        <x:v>0</x:v>
      </x:c>
      <x:c r="J51" s="9" t="str">
        <x:f>IF(AND(B51&lt;&gt;"",COUNTIFS($B$7:$B$136,B51)=1,C51&lt;&gt;"",D51&lt;&gt;"",E51&lt;&gt;"",F51&lt;&gt;"",G51=1,H51=0,I51=0),"PASS","FAIL")</x:f>
        <x:v>PASS</x:v>
      </x:c>
      <x:c r="K51" s="9" t="str">
        <x:v>OPEN</x:v>
      </x:c>
    </x:row>
    <x:row r="52">
      <x:c r="B52" s="9" t="str">
        <x:v>IP-IF08-B-S0</x:v>
      </x:c>
      <x:c r="C52" s="9" t="str">
        <x:v>INTERFACE_PAIR</x:v>
      </x:c>
      <x:c r="D52" s="9" t="str">
        <x:v>ROOT_B</x:v>
      </x:c>
      <x:c r="E52" s="9" t="str">
        <x:v>IF08</x:v>
      </x:c>
      <x:c r="F52" s="9" t="str">
        <x:v>S0_FRESH</x:v>
      </x:c>
      <x:c r="G52" s="9" t="n">
        <x:v>1</x:v>
      </x:c>
      <x:c r="H52" s="9" t="n">
        <x:v>0</x:v>
      </x:c>
      <x:c r="I52" s="9" t="n">
        <x:v>0</x:v>
      </x:c>
      <x:c r="J52" s="9" t="str">
        <x:f>IF(AND(B52&lt;&gt;"",COUNTIFS($B$7:$B$136,B52)=1,C52&lt;&gt;"",D52&lt;&gt;"",E52&lt;&gt;"",F52&lt;&gt;"",G52=1,H52=0,I52=0),"PASS","FAIL")</x:f>
        <x:v>PASS</x:v>
      </x:c>
      <x:c r="K52" s="9" t="str">
        <x:v>OPEN</x:v>
      </x:c>
    </x:row>
    <x:row r="53">
      <x:c r="B53" s="9" t="str">
        <x:v>IP-IF08-B-S1</x:v>
      </x:c>
      <x:c r="C53" s="9" t="str">
        <x:v>INTERFACE_PAIR</x:v>
      </x:c>
      <x:c r="D53" s="9" t="str">
        <x:v>ROOT_B</x:v>
      </x:c>
      <x:c r="E53" s="9" t="str">
        <x:v>IF08</x:v>
      </x:c>
      <x:c r="F53" s="9" t="str">
        <x:v>S1_CHALLENGE</x:v>
      </x:c>
      <x:c r="G53" s="9" t="n">
        <x:v>1</x:v>
      </x:c>
      <x:c r="H53" s="9" t="n">
        <x:v>0</x:v>
      </x:c>
      <x:c r="I53" s="9" t="n">
        <x:v>0</x:v>
      </x:c>
      <x:c r="J53" s="9" t="str">
        <x:f>IF(AND(B53&lt;&gt;"",COUNTIFS($B$7:$B$136,B53)=1,C53&lt;&gt;"",D53&lt;&gt;"",E53&lt;&gt;"",F53&lt;&gt;"",G53=1,H53=0,I53=0),"PASS","FAIL")</x:f>
        <x:v>PASS</x:v>
      </x:c>
      <x:c r="K53" s="9" t="str">
        <x:v>OPEN</x:v>
      </x:c>
    </x:row>
    <x:row r="54">
      <x:c r="B54" s="9" t="str">
        <x:v>IP-IF08-B-S2</x:v>
      </x:c>
      <x:c r="C54" s="9" t="str">
        <x:v>INTERFACE_PAIR</x:v>
      </x:c>
      <x:c r="D54" s="9" t="str">
        <x:v>ROOT_B</x:v>
      </x:c>
      <x:c r="E54" s="9" t="str">
        <x:v>IF08</x:v>
      </x:c>
      <x:c r="F54" s="9" t="str">
        <x:v>S2_COLD_RESET</x:v>
      </x:c>
      <x:c r="G54" s="9" t="n">
        <x:v>1</x:v>
      </x:c>
      <x:c r="H54" s="9" t="n">
        <x:v>0</x:v>
      </x:c>
      <x:c r="I54" s="9" t="n">
        <x:v>0</x:v>
      </x:c>
      <x:c r="J54" s="9" t="str">
        <x:f>IF(AND(B54&lt;&gt;"",COUNTIFS($B$7:$B$136,B54)=1,C54&lt;&gt;"",D54&lt;&gt;"",E54&lt;&gt;"",F54&lt;&gt;"",G54=1,H54=0,I54=0),"PASS","FAIL")</x:f>
        <x:v>PASS</x:v>
      </x:c>
      <x:c r="K54" s="9" t="str">
        <x:v>OPEN</x:v>
      </x:c>
    </x:row>
    <x:row r="55">
      <x:c r="B55" s="9" t="str">
        <x:v>IP-IF09-A-S0</x:v>
      </x:c>
      <x:c r="C55" s="9" t="str">
        <x:v>INTERFACE_PAIR</x:v>
      </x:c>
      <x:c r="D55" s="9" t="str">
        <x:v>ROOT_A</x:v>
      </x:c>
      <x:c r="E55" s="9" t="str">
        <x:v>IF09</x:v>
      </x:c>
      <x:c r="F55" s="9" t="str">
        <x:v>S0_FRESH</x:v>
      </x:c>
      <x:c r="G55" s="9" t="n">
        <x:v>1</x:v>
      </x:c>
      <x:c r="H55" s="9" t="n">
        <x:v>0</x:v>
      </x:c>
      <x:c r="I55" s="9" t="n">
        <x:v>0</x:v>
      </x:c>
      <x:c r="J55" s="9" t="str">
        <x:f>IF(AND(B55&lt;&gt;"",COUNTIFS($B$7:$B$136,B55)=1,C55&lt;&gt;"",D55&lt;&gt;"",E55&lt;&gt;"",F55&lt;&gt;"",G55=1,H55=0,I55=0),"PASS","FAIL")</x:f>
        <x:v>PASS</x:v>
      </x:c>
      <x:c r="K55" s="9" t="str">
        <x:v>OPEN</x:v>
      </x:c>
    </x:row>
    <x:row r="56">
      <x:c r="B56" s="9" t="str">
        <x:v>IP-IF09-A-S1</x:v>
      </x:c>
      <x:c r="C56" s="9" t="str">
        <x:v>INTERFACE_PAIR</x:v>
      </x:c>
      <x:c r="D56" s="9" t="str">
        <x:v>ROOT_A</x:v>
      </x:c>
      <x:c r="E56" s="9" t="str">
        <x:v>IF09</x:v>
      </x:c>
      <x:c r="F56" s="9" t="str">
        <x:v>S1_CHALLENGE</x:v>
      </x:c>
      <x:c r="G56" s="9" t="n">
        <x:v>1</x:v>
      </x:c>
      <x:c r="H56" s="9" t="n">
        <x:v>0</x:v>
      </x:c>
      <x:c r="I56" s="9" t="n">
        <x:v>0</x:v>
      </x:c>
      <x:c r="J56" s="9" t="str">
        <x:f>IF(AND(B56&lt;&gt;"",COUNTIFS($B$7:$B$136,B56)=1,C56&lt;&gt;"",D56&lt;&gt;"",E56&lt;&gt;"",F56&lt;&gt;"",G56=1,H56=0,I56=0),"PASS","FAIL")</x:f>
        <x:v>PASS</x:v>
      </x:c>
      <x:c r="K56" s="9" t="str">
        <x:v>OPEN</x:v>
      </x:c>
    </x:row>
    <x:row r="57">
      <x:c r="B57" s="9" t="str">
        <x:v>IP-IF09-A-S2</x:v>
      </x:c>
      <x:c r="C57" s="9" t="str">
        <x:v>INTERFACE_PAIR</x:v>
      </x:c>
      <x:c r="D57" s="9" t="str">
        <x:v>ROOT_A</x:v>
      </x:c>
      <x:c r="E57" s="9" t="str">
        <x:v>IF09</x:v>
      </x:c>
      <x:c r="F57" s="9" t="str">
        <x:v>S2_COLD_RESET</x:v>
      </x:c>
      <x:c r="G57" s="9" t="n">
        <x:v>1</x:v>
      </x:c>
      <x:c r="H57" s="9" t="n">
        <x:v>0</x:v>
      </x:c>
      <x:c r="I57" s="9" t="n">
        <x:v>0</x:v>
      </x:c>
      <x:c r="J57" s="9" t="str">
        <x:f>IF(AND(B57&lt;&gt;"",COUNTIFS($B$7:$B$136,B57)=1,C57&lt;&gt;"",D57&lt;&gt;"",E57&lt;&gt;"",F57&lt;&gt;"",G57=1,H57=0,I57=0),"PASS","FAIL")</x:f>
        <x:v>PASS</x:v>
      </x:c>
      <x:c r="K57" s="9" t="str">
        <x:v>OPEN</x:v>
      </x:c>
    </x:row>
    <x:row r="58">
      <x:c r="B58" s="9" t="str">
        <x:v>IP-IF09-B-S0</x:v>
      </x:c>
      <x:c r="C58" s="9" t="str">
        <x:v>INTERFACE_PAIR</x:v>
      </x:c>
      <x:c r="D58" s="9" t="str">
        <x:v>ROOT_B</x:v>
      </x:c>
      <x:c r="E58" s="9" t="str">
        <x:v>IF09</x:v>
      </x:c>
      <x:c r="F58" s="9" t="str">
        <x:v>S0_FRESH</x:v>
      </x:c>
      <x:c r="G58" s="9" t="n">
        <x:v>1</x:v>
      </x:c>
      <x:c r="H58" s="9" t="n">
        <x:v>0</x:v>
      </x:c>
      <x:c r="I58" s="9" t="n">
        <x:v>0</x:v>
      </x:c>
      <x:c r="J58" s="9" t="str">
        <x:f>IF(AND(B58&lt;&gt;"",COUNTIFS($B$7:$B$136,B58)=1,C58&lt;&gt;"",D58&lt;&gt;"",E58&lt;&gt;"",F58&lt;&gt;"",G58=1,H58=0,I58=0),"PASS","FAIL")</x:f>
        <x:v>PASS</x:v>
      </x:c>
      <x:c r="K58" s="9" t="str">
        <x:v>OPEN</x:v>
      </x:c>
    </x:row>
    <x:row r="59">
      <x:c r="B59" s="9" t="str">
        <x:v>IP-IF09-B-S1</x:v>
      </x:c>
      <x:c r="C59" s="9" t="str">
        <x:v>INTERFACE_PAIR</x:v>
      </x:c>
      <x:c r="D59" s="9" t="str">
        <x:v>ROOT_B</x:v>
      </x:c>
      <x:c r="E59" s="9" t="str">
        <x:v>IF09</x:v>
      </x:c>
      <x:c r="F59" s="9" t="str">
        <x:v>S1_CHALLENGE</x:v>
      </x:c>
      <x:c r="G59" s="9" t="n">
        <x:v>1</x:v>
      </x:c>
      <x:c r="H59" s="9" t="n">
        <x:v>0</x:v>
      </x:c>
      <x:c r="I59" s="9" t="n">
        <x:v>0</x:v>
      </x:c>
      <x:c r="J59" s="9" t="str">
        <x:f>IF(AND(B59&lt;&gt;"",COUNTIFS($B$7:$B$136,B59)=1,C59&lt;&gt;"",D59&lt;&gt;"",E59&lt;&gt;"",F59&lt;&gt;"",G59=1,H59=0,I59=0),"PASS","FAIL")</x:f>
        <x:v>PASS</x:v>
      </x:c>
      <x:c r="K59" s="9" t="str">
        <x:v>OPEN</x:v>
      </x:c>
    </x:row>
    <x:row r="60">
      <x:c r="B60" s="9" t="str">
        <x:v>IP-IF09-B-S2</x:v>
      </x:c>
      <x:c r="C60" s="9" t="str">
        <x:v>INTERFACE_PAIR</x:v>
      </x:c>
      <x:c r="D60" s="9" t="str">
        <x:v>ROOT_B</x:v>
      </x:c>
      <x:c r="E60" s="9" t="str">
        <x:v>IF09</x:v>
      </x:c>
      <x:c r="F60" s="9" t="str">
        <x:v>S2_COLD_RESET</x:v>
      </x:c>
      <x:c r="G60" s="9" t="n">
        <x:v>1</x:v>
      </x:c>
      <x:c r="H60" s="9" t="n">
        <x:v>0</x:v>
      </x:c>
      <x:c r="I60" s="9" t="n">
        <x:v>0</x:v>
      </x:c>
      <x:c r="J60" s="9" t="str">
        <x:f>IF(AND(B60&lt;&gt;"",COUNTIFS($B$7:$B$136,B60)=1,C60&lt;&gt;"",D60&lt;&gt;"",E60&lt;&gt;"",F60&lt;&gt;"",G60=1,H60=0,I60=0),"PASS","FAIL")</x:f>
        <x:v>PASS</x:v>
      </x:c>
      <x:c r="K60" s="9" t="str">
        <x:v>OPEN</x:v>
      </x:c>
    </x:row>
    <x:row r="61">
      <x:c r="B61" s="9" t="str">
        <x:v>IP-IF10-A-S0</x:v>
      </x:c>
      <x:c r="C61" s="9" t="str">
        <x:v>INTERFACE_PAIR</x:v>
      </x:c>
      <x:c r="D61" s="9" t="str">
        <x:v>ROOT_A</x:v>
      </x:c>
      <x:c r="E61" s="9" t="str">
        <x:v>IF10</x:v>
      </x:c>
      <x:c r="F61" s="9" t="str">
        <x:v>S0_FRESH</x:v>
      </x:c>
      <x:c r="G61" s="9" t="n">
        <x:v>1</x:v>
      </x:c>
      <x:c r="H61" s="9" t="n">
        <x:v>0</x:v>
      </x:c>
      <x:c r="I61" s="9" t="n">
        <x:v>0</x:v>
      </x:c>
      <x:c r="J61" s="9" t="str">
        <x:f>IF(AND(B61&lt;&gt;"",COUNTIFS($B$7:$B$136,B61)=1,C61&lt;&gt;"",D61&lt;&gt;"",E61&lt;&gt;"",F61&lt;&gt;"",G61=1,H61=0,I61=0),"PASS","FAIL")</x:f>
        <x:v>PASS</x:v>
      </x:c>
      <x:c r="K61" s="9" t="str">
        <x:v>OPEN</x:v>
      </x:c>
    </x:row>
    <x:row r="62">
      <x:c r="B62" s="9" t="str">
        <x:v>IP-IF10-A-S1</x:v>
      </x:c>
      <x:c r="C62" s="9" t="str">
        <x:v>INTERFACE_PAIR</x:v>
      </x:c>
      <x:c r="D62" s="9" t="str">
        <x:v>ROOT_A</x:v>
      </x:c>
      <x:c r="E62" s="9" t="str">
        <x:v>IF10</x:v>
      </x:c>
      <x:c r="F62" s="9" t="str">
        <x:v>S1_CHALLENGE</x:v>
      </x:c>
      <x:c r="G62" s="9" t="n">
        <x:v>1</x:v>
      </x:c>
      <x:c r="H62" s="9" t="n">
        <x:v>0</x:v>
      </x:c>
      <x:c r="I62" s="9" t="n">
        <x:v>0</x:v>
      </x:c>
      <x:c r="J62" s="9" t="str">
        <x:f>IF(AND(B62&lt;&gt;"",COUNTIFS($B$7:$B$136,B62)=1,C62&lt;&gt;"",D62&lt;&gt;"",E62&lt;&gt;"",F62&lt;&gt;"",G62=1,H62=0,I62=0),"PASS","FAIL")</x:f>
        <x:v>PASS</x:v>
      </x:c>
      <x:c r="K62" s="9" t="str">
        <x:v>OPEN</x:v>
      </x:c>
    </x:row>
    <x:row r="63">
      <x:c r="B63" s="9" t="str">
        <x:v>IP-IF10-A-S2</x:v>
      </x:c>
      <x:c r="C63" s="9" t="str">
        <x:v>INTERFACE_PAIR</x:v>
      </x:c>
      <x:c r="D63" s="9" t="str">
        <x:v>ROOT_A</x:v>
      </x:c>
      <x:c r="E63" s="9" t="str">
        <x:v>IF10</x:v>
      </x:c>
      <x:c r="F63" s="9" t="str">
        <x:v>S2_COLD_RESET</x:v>
      </x:c>
      <x:c r="G63" s="9" t="n">
        <x:v>1</x:v>
      </x:c>
      <x:c r="H63" s="9" t="n">
        <x:v>0</x:v>
      </x:c>
      <x:c r="I63" s="9" t="n">
        <x:v>0</x:v>
      </x:c>
      <x:c r="J63" s="9" t="str">
        <x:f>IF(AND(B63&lt;&gt;"",COUNTIFS($B$7:$B$136,B63)=1,C63&lt;&gt;"",D63&lt;&gt;"",E63&lt;&gt;"",F63&lt;&gt;"",G63=1,H63=0,I63=0),"PASS","FAIL")</x:f>
        <x:v>PASS</x:v>
      </x:c>
      <x:c r="K63" s="9" t="str">
        <x:v>OPEN</x:v>
      </x:c>
    </x:row>
    <x:row r="64">
      <x:c r="B64" s="9" t="str">
        <x:v>IP-IF10-B-S0</x:v>
      </x:c>
      <x:c r="C64" s="9" t="str">
        <x:v>INTERFACE_PAIR</x:v>
      </x:c>
      <x:c r="D64" s="9" t="str">
        <x:v>ROOT_B</x:v>
      </x:c>
      <x:c r="E64" s="9" t="str">
        <x:v>IF10</x:v>
      </x:c>
      <x:c r="F64" s="9" t="str">
        <x:v>S0_FRESH</x:v>
      </x:c>
      <x:c r="G64" s="9" t="n">
        <x:v>1</x:v>
      </x:c>
      <x:c r="H64" s="9" t="n">
        <x:v>0</x:v>
      </x:c>
      <x:c r="I64" s="9" t="n">
        <x:v>0</x:v>
      </x:c>
      <x:c r="J64" s="9" t="str">
        <x:f>IF(AND(B64&lt;&gt;"",COUNTIFS($B$7:$B$136,B64)=1,C64&lt;&gt;"",D64&lt;&gt;"",E64&lt;&gt;"",F64&lt;&gt;"",G64=1,H64=0,I64=0),"PASS","FAIL")</x:f>
        <x:v>PASS</x:v>
      </x:c>
      <x:c r="K64" s="9" t="str">
        <x:v>OPEN</x:v>
      </x:c>
    </x:row>
    <x:row r="65">
      <x:c r="B65" s="9" t="str">
        <x:v>IP-IF10-B-S1</x:v>
      </x:c>
      <x:c r="C65" s="9" t="str">
        <x:v>INTERFACE_PAIR</x:v>
      </x:c>
      <x:c r="D65" s="9" t="str">
        <x:v>ROOT_B</x:v>
      </x:c>
      <x:c r="E65" s="9" t="str">
        <x:v>IF10</x:v>
      </x:c>
      <x:c r="F65" s="9" t="str">
        <x:v>S1_CHALLENGE</x:v>
      </x:c>
      <x:c r="G65" s="9" t="n">
        <x:v>1</x:v>
      </x:c>
      <x:c r="H65" s="9" t="n">
        <x:v>0</x:v>
      </x:c>
      <x:c r="I65" s="9" t="n">
        <x:v>0</x:v>
      </x:c>
      <x:c r="J65" s="9" t="str">
        <x:f>IF(AND(B65&lt;&gt;"",COUNTIFS($B$7:$B$136,B65)=1,C65&lt;&gt;"",D65&lt;&gt;"",E65&lt;&gt;"",F65&lt;&gt;"",G65=1,H65=0,I65=0),"PASS","FAIL")</x:f>
        <x:v>PASS</x:v>
      </x:c>
      <x:c r="K65" s="9" t="str">
        <x:v>OPEN</x:v>
      </x:c>
    </x:row>
    <x:row r="66">
      <x:c r="B66" s="9" t="str">
        <x:v>IP-IF10-B-S2</x:v>
      </x:c>
      <x:c r="C66" s="9" t="str">
        <x:v>INTERFACE_PAIR</x:v>
      </x:c>
      <x:c r="D66" s="9" t="str">
        <x:v>ROOT_B</x:v>
      </x:c>
      <x:c r="E66" s="9" t="str">
        <x:v>IF10</x:v>
      </x:c>
      <x:c r="F66" s="9" t="str">
        <x:v>S2_COLD_RESET</x:v>
      </x:c>
      <x:c r="G66" s="9" t="n">
        <x:v>1</x:v>
      </x:c>
      <x:c r="H66" s="9" t="n">
        <x:v>0</x:v>
      </x:c>
      <x:c r="I66" s="9" t="n">
        <x:v>0</x:v>
      </x:c>
      <x:c r="J66" s="9" t="str">
        <x:f>IF(AND(B66&lt;&gt;"",COUNTIFS($B$7:$B$136,B66)=1,C66&lt;&gt;"",D66&lt;&gt;"",E66&lt;&gt;"",F66&lt;&gt;"",G66=1,H66=0,I66=0),"PASS","FAIL")</x:f>
        <x:v>PASS</x:v>
      </x:c>
      <x:c r="K66" s="9" t="str">
        <x:v>OPEN</x:v>
      </x:c>
    </x:row>
    <x:row r="67">
      <x:c r="B67" s="9" t="str">
        <x:v>SC-SVC01-A-P</x:v>
      </x:c>
      <x:c r="C67" s="9" t="str">
        <x:v>SERVICE_CELL</x:v>
      </x:c>
      <x:c r="D67" s="9" t="str">
        <x:v>ROOT_A</x:v>
      </x:c>
      <x:c r="E67" s="9" t="str">
        <x:v>SVC01</x:v>
      </x:c>
      <x:c r="F67" s="9" t="str">
        <x:v>PRIMARY</x:v>
      </x:c>
      <x:c r="G67" s="9" t="n">
        <x:v>1</x:v>
      </x:c>
      <x:c r="H67" s="9" t="n">
        <x:v>0</x:v>
      </x:c>
      <x:c r="I67" s="9" t="n">
        <x:v>0</x:v>
      </x:c>
      <x:c r="J67" s="9" t="str">
        <x:f>IF(AND(B67&lt;&gt;"",COUNTIFS($B$7:$B$136,B67)=1,C67&lt;&gt;"",D67&lt;&gt;"",E67&lt;&gt;"",F67&lt;&gt;"",G67=1,H67=0,I67=0),"PASS","FAIL")</x:f>
        <x:v>PASS</x:v>
      </x:c>
      <x:c r="K67" s="9" t="str">
        <x:v>OPEN</x:v>
      </x:c>
    </x:row>
    <x:row r="68">
      <x:c r="B68" s="9" t="str">
        <x:v>SC-SVC01-A-R</x:v>
      </x:c>
      <x:c r="C68" s="9" t="str">
        <x:v>SERVICE_CELL</x:v>
      </x:c>
      <x:c r="D68" s="9" t="str">
        <x:v>ROOT_A</x:v>
      </x:c>
      <x:c r="E68" s="9" t="str">
        <x:v>SVC01</x:v>
      </x:c>
      <x:c r="F68" s="9" t="str">
        <x:v>REPRODUCTION</x:v>
      </x:c>
      <x:c r="G68" s="9" t="n">
        <x:v>1</x:v>
      </x:c>
      <x:c r="H68" s="9" t="n">
        <x:v>0</x:v>
      </x:c>
      <x:c r="I68" s="9" t="n">
        <x:v>0</x:v>
      </x:c>
      <x:c r="J68" s="9" t="str">
        <x:f>IF(AND(B68&lt;&gt;"",COUNTIFS($B$7:$B$136,B68)=1,C68&lt;&gt;"",D68&lt;&gt;"",E68&lt;&gt;"",F68&lt;&gt;"",G68=1,H68=0,I68=0),"PASS","FAIL")</x:f>
        <x:v>PASS</x:v>
      </x:c>
      <x:c r="K68" s="9" t="str">
        <x:v>OPEN</x:v>
      </x:c>
    </x:row>
    <x:row r="69">
      <x:c r="B69" s="9" t="str">
        <x:v>SC-SVC01-B-P</x:v>
      </x:c>
      <x:c r="C69" s="9" t="str">
        <x:v>SERVICE_CELL</x:v>
      </x:c>
      <x:c r="D69" s="9" t="str">
        <x:v>ROOT_B</x:v>
      </x:c>
      <x:c r="E69" s="9" t="str">
        <x:v>SVC01</x:v>
      </x:c>
      <x:c r="F69" s="9" t="str">
        <x:v>PRIMARY</x:v>
      </x:c>
      <x:c r="G69" s="9" t="n">
        <x:v>1</x:v>
      </x:c>
      <x:c r="H69" s="9" t="n">
        <x:v>0</x:v>
      </x:c>
      <x:c r="I69" s="9" t="n">
        <x:v>0</x:v>
      </x:c>
      <x:c r="J69" s="9" t="str">
        <x:f>IF(AND(B69&lt;&gt;"",COUNTIFS($B$7:$B$136,B69)=1,C69&lt;&gt;"",D69&lt;&gt;"",E69&lt;&gt;"",F69&lt;&gt;"",G69=1,H69=0,I69=0),"PASS","FAIL")</x:f>
        <x:v>PASS</x:v>
      </x:c>
      <x:c r="K69" s="9" t="str">
        <x:v>OPEN</x:v>
      </x:c>
    </x:row>
    <x:row r="70">
      <x:c r="B70" s="9" t="str">
        <x:v>SC-SVC01-B-R</x:v>
      </x:c>
      <x:c r="C70" s="9" t="str">
        <x:v>SERVICE_CELL</x:v>
      </x:c>
      <x:c r="D70" s="9" t="str">
        <x:v>ROOT_B</x:v>
      </x:c>
      <x:c r="E70" s="9" t="str">
        <x:v>SVC01</x:v>
      </x:c>
      <x:c r="F70" s="9" t="str">
        <x:v>REPRODUCTION</x:v>
      </x:c>
      <x:c r="G70" s="9" t="n">
        <x:v>1</x:v>
      </x:c>
      <x:c r="H70" s="9" t="n">
        <x:v>0</x:v>
      </x:c>
      <x:c r="I70" s="9" t="n">
        <x:v>0</x:v>
      </x:c>
      <x:c r="J70" s="9" t="str">
        <x:f>IF(AND(B70&lt;&gt;"",COUNTIFS($B$7:$B$136,B70)=1,C70&lt;&gt;"",D70&lt;&gt;"",E70&lt;&gt;"",F70&lt;&gt;"",G70=1,H70=0,I70=0),"PASS","FAIL")</x:f>
        <x:v>PASS</x:v>
      </x:c>
      <x:c r="K70" s="9" t="str">
        <x:v>OPEN</x:v>
      </x:c>
    </x:row>
    <x:row r="71">
      <x:c r="B71" s="9" t="str">
        <x:v>SC-SVC02-A-P</x:v>
      </x:c>
      <x:c r="C71" s="9" t="str">
        <x:v>SERVICE_CELL</x:v>
      </x:c>
      <x:c r="D71" s="9" t="str">
        <x:v>ROOT_A</x:v>
      </x:c>
      <x:c r="E71" s="9" t="str">
        <x:v>SVC02</x:v>
      </x:c>
      <x:c r="F71" s="9" t="str">
        <x:v>PRIMARY</x:v>
      </x:c>
      <x:c r="G71" s="9" t="n">
        <x:v>1</x:v>
      </x:c>
      <x:c r="H71" s="9" t="n">
        <x:v>0</x:v>
      </x:c>
      <x:c r="I71" s="9" t="n">
        <x:v>0</x:v>
      </x:c>
      <x:c r="J71" s="9" t="str">
        <x:f>IF(AND(B71&lt;&gt;"",COUNTIFS($B$7:$B$136,B71)=1,C71&lt;&gt;"",D71&lt;&gt;"",E71&lt;&gt;"",F71&lt;&gt;"",G71=1,H71=0,I71=0),"PASS","FAIL")</x:f>
        <x:v>PASS</x:v>
      </x:c>
      <x:c r="K71" s="9" t="str">
        <x:v>OPEN</x:v>
      </x:c>
    </x:row>
    <x:row r="72">
      <x:c r="B72" s="9" t="str">
        <x:v>SC-SVC02-A-R</x:v>
      </x:c>
      <x:c r="C72" s="9" t="str">
        <x:v>SERVICE_CELL</x:v>
      </x:c>
      <x:c r="D72" s="9" t="str">
        <x:v>ROOT_A</x:v>
      </x:c>
      <x:c r="E72" s="9" t="str">
        <x:v>SVC02</x:v>
      </x:c>
      <x:c r="F72" s="9" t="str">
        <x:v>REPRODUCTION</x:v>
      </x:c>
      <x:c r="G72" s="9" t="n">
        <x:v>1</x:v>
      </x:c>
      <x:c r="H72" s="9" t="n">
        <x:v>0</x:v>
      </x:c>
      <x:c r="I72" s="9" t="n">
        <x:v>0</x:v>
      </x:c>
      <x:c r="J72" s="9" t="str">
        <x:f>IF(AND(B72&lt;&gt;"",COUNTIFS($B$7:$B$136,B72)=1,C72&lt;&gt;"",D72&lt;&gt;"",E72&lt;&gt;"",F72&lt;&gt;"",G72=1,H72=0,I72=0),"PASS","FAIL")</x:f>
        <x:v>PASS</x:v>
      </x:c>
      <x:c r="K72" s="9" t="str">
        <x:v>OPEN</x:v>
      </x:c>
    </x:row>
    <x:row r="73">
      <x:c r="B73" s="9" t="str">
        <x:v>SC-SVC02-B-P</x:v>
      </x:c>
      <x:c r="C73" s="9" t="str">
        <x:v>SERVICE_CELL</x:v>
      </x:c>
      <x:c r="D73" s="9" t="str">
        <x:v>ROOT_B</x:v>
      </x:c>
      <x:c r="E73" s="9" t="str">
        <x:v>SVC02</x:v>
      </x:c>
      <x:c r="F73" s="9" t="str">
        <x:v>PRIMARY</x:v>
      </x:c>
      <x:c r="G73" s="9" t="n">
        <x:v>1</x:v>
      </x:c>
      <x:c r="H73" s="9" t="n">
        <x:v>0</x:v>
      </x:c>
      <x:c r="I73" s="9" t="n">
        <x:v>0</x:v>
      </x:c>
      <x:c r="J73" s="9" t="str">
        <x:f>IF(AND(B73&lt;&gt;"",COUNTIFS($B$7:$B$136,B73)=1,C73&lt;&gt;"",D73&lt;&gt;"",E73&lt;&gt;"",F73&lt;&gt;"",G73=1,H73=0,I73=0),"PASS","FAIL")</x:f>
        <x:v>PASS</x:v>
      </x:c>
      <x:c r="K73" s="9" t="str">
        <x:v>OPEN</x:v>
      </x:c>
    </x:row>
    <x:row r="74">
      <x:c r="B74" s="9" t="str">
        <x:v>SC-SVC02-B-R</x:v>
      </x:c>
      <x:c r="C74" s="9" t="str">
        <x:v>SERVICE_CELL</x:v>
      </x:c>
      <x:c r="D74" s="9" t="str">
        <x:v>ROOT_B</x:v>
      </x:c>
      <x:c r="E74" s="9" t="str">
        <x:v>SVC02</x:v>
      </x:c>
      <x:c r="F74" s="9" t="str">
        <x:v>REPRODUCTION</x:v>
      </x:c>
      <x:c r="G74" s="9" t="n">
        <x:v>1</x:v>
      </x:c>
      <x:c r="H74" s="9" t="n">
        <x:v>0</x:v>
      </x:c>
      <x:c r="I74" s="9" t="n">
        <x:v>0</x:v>
      </x:c>
      <x:c r="J74" s="9" t="str">
        <x:f>IF(AND(B74&lt;&gt;"",COUNTIFS($B$7:$B$136,B74)=1,C74&lt;&gt;"",D74&lt;&gt;"",E74&lt;&gt;"",F74&lt;&gt;"",G74=1,H74=0,I74=0),"PASS","FAIL")</x:f>
        <x:v>PASS</x:v>
      </x:c>
      <x:c r="K74" s="9" t="str">
        <x:v>OPEN</x:v>
      </x:c>
    </x:row>
    <x:row r="75">
      <x:c r="B75" s="9" t="str">
        <x:v>SC-SVC03-A-P</x:v>
      </x:c>
      <x:c r="C75" s="9" t="str">
        <x:v>SERVICE_CELL</x:v>
      </x:c>
      <x:c r="D75" s="9" t="str">
        <x:v>ROOT_A</x:v>
      </x:c>
      <x:c r="E75" s="9" t="str">
        <x:v>SVC03</x:v>
      </x:c>
      <x:c r="F75" s="9" t="str">
        <x:v>PRIMARY</x:v>
      </x:c>
      <x:c r="G75" s="9" t="n">
        <x:v>1</x:v>
      </x:c>
      <x:c r="H75" s="9" t="n">
        <x:v>0</x:v>
      </x:c>
      <x:c r="I75" s="9" t="n">
        <x:v>0</x:v>
      </x:c>
      <x:c r="J75" s="9" t="str">
        <x:f>IF(AND(B75&lt;&gt;"",COUNTIFS($B$7:$B$136,B75)=1,C75&lt;&gt;"",D75&lt;&gt;"",E75&lt;&gt;"",F75&lt;&gt;"",G75=1,H75=0,I75=0),"PASS","FAIL")</x:f>
        <x:v>PASS</x:v>
      </x:c>
      <x:c r="K75" s="9" t="str">
        <x:v>OPEN</x:v>
      </x:c>
    </x:row>
    <x:row r="76">
      <x:c r="B76" s="9" t="str">
        <x:v>SC-SVC03-A-R</x:v>
      </x:c>
      <x:c r="C76" s="9" t="str">
        <x:v>SERVICE_CELL</x:v>
      </x:c>
      <x:c r="D76" s="9" t="str">
        <x:v>ROOT_A</x:v>
      </x:c>
      <x:c r="E76" s="9" t="str">
        <x:v>SVC03</x:v>
      </x:c>
      <x:c r="F76" s="9" t="str">
        <x:v>REPRODUCTION</x:v>
      </x:c>
      <x:c r="G76" s="9" t="n">
        <x:v>1</x:v>
      </x:c>
      <x:c r="H76" s="9" t="n">
        <x:v>0</x:v>
      </x:c>
      <x:c r="I76" s="9" t="n">
        <x:v>0</x:v>
      </x:c>
      <x:c r="J76" s="9" t="str">
        <x:f>IF(AND(B76&lt;&gt;"",COUNTIFS($B$7:$B$136,B76)=1,C76&lt;&gt;"",D76&lt;&gt;"",E76&lt;&gt;"",F76&lt;&gt;"",G76=1,H76=0,I76=0),"PASS","FAIL")</x:f>
        <x:v>PASS</x:v>
      </x:c>
      <x:c r="K76" s="9" t="str">
        <x:v>OPEN</x:v>
      </x:c>
    </x:row>
    <x:row r="77">
      <x:c r="B77" s="9" t="str">
        <x:v>SC-SVC03-B-P</x:v>
      </x:c>
      <x:c r="C77" s="9" t="str">
        <x:v>SERVICE_CELL</x:v>
      </x:c>
      <x:c r="D77" s="9" t="str">
        <x:v>ROOT_B</x:v>
      </x:c>
      <x:c r="E77" s="9" t="str">
        <x:v>SVC03</x:v>
      </x:c>
      <x:c r="F77" s="9" t="str">
        <x:v>PRIMARY</x:v>
      </x:c>
      <x:c r="G77" s="9" t="n">
        <x:v>1</x:v>
      </x:c>
      <x:c r="H77" s="9" t="n">
        <x:v>0</x:v>
      </x:c>
      <x:c r="I77" s="9" t="n">
        <x:v>0</x:v>
      </x:c>
      <x:c r="J77" s="9" t="str">
        <x:f>IF(AND(B77&lt;&gt;"",COUNTIFS($B$7:$B$136,B77)=1,C77&lt;&gt;"",D77&lt;&gt;"",E77&lt;&gt;"",F77&lt;&gt;"",G77=1,H77=0,I77=0),"PASS","FAIL")</x:f>
        <x:v>PASS</x:v>
      </x:c>
      <x:c r="K77" s="9" t="str">
        <x:v>OPEN</x:v>
      </x:c>
    </x:row>
    <x:row r="78">
      <x:c r="B78" s="9" t="str">
        <x:v>SC-SVC03-B-R</x:v>
      </x:c>
      <x:c r="C78" s="9" t="str">
        <x:v>SERVICE_CELL</x:v>
      </x:c>
      <x:c r="D78" s="9" t="str">
        <x:v>ROOT_B</x:v>
      </x:c>
      <x:c r="E78" s="9" t="str">
        <x:v>SVC03</x:v>
      </x:c>
      <x:c r="F78" s="9" t="str">
        <x:v>REPRODUCTION</x:v>
      </x:c>
      <x:c r="G78" s="9" t="n">
        <x:v>1</x:v>
      </x:c>
      <x:c r="H78" s="9" t="n">
        <x:v>0</x:v>
      </x:c>
      <x:c r="I78" s="9" t="n">
        <x:v>0</x:v>
      </x:c>
      <x:c r="J78" s="9" t="str">
        <x:f>IF(AND(B78&lt;&gt;"",COUNTIFS($B$7:$B$136,B78)=1,C78&lt;&gt;"",D78&lt;&gt;"",E78&lt;&gt;"",F78&lt;&gt;"",G78=1,H78=0,I78=0),"PASS","FAIL")</x:f>
        <x:v>PASS</x:v>
      </x:c>
      <x:c r="K78" s="9" t="str">
        <x:v>OPEN</x:v>
      </x:c>
    </x:row>
    <x:row r="79">
      <x:c r="B79" s="9" t="str">
        <x:v>SC-SVC04-A-P</x:v>
      </x:c>
      <x:c r="C79" s="9" t="str">
        <x:v>SERVICE_CELL</x:v>
      </x:c>
      <x:c r="D79" s="9" t="str">
        <x:v>ROOT_A</x:v>
      </x:c>
      <x:c r="E79" s="9" t="str">
        <x:v>SVC04</x:v>
      </x:c>
      <x:c r="F79" s="9" t="str">
        <x:v>PRIMARY</x:v>
      </x:c>
      <x:c r="G79" s="9" t="n">
        <x:v>1</x:v>
      </x:c>
      <x:c r="H79" s="9" t="n">
        <x:v>0</x:v>
      </x:c>
      <x:c r="I79" s="9" t="n">
        <x:v>0</x:v>
      </x:c>
      <x:c r="J79" s="9" t="str">
        <x:f>IF(AND(B79&lt;&gt;"",COUNTIFS($B$7:$B$136,B79)=1,C79&lt;&gt;"",D79&lt;&gt;"",E79&lt;&gt;"",F79&lt;&gt;"",G79=1,H79=0,I79=0),"PASS","FAIL")</x:f>
        <x:v>PASS</x:v>
      </x:c>
      <x:c r="K79" s="9" t="str">
        <x:v>OPEN</x:v>
      </x:c>
    </x:row>
    <x:row r="80">
      <x:c r="B80" s="9" t="str">
        <x:v>SC-SVC04-A-R</x:v>
      </x:c>
      <x:c r="C80" s="9" t="str">
        <x:v>SERVICE_CELL</x:v>
      </x:c>
      <x:c r="D80" s="9" t="str">
        <x:v>ROOT_A</x:v>
      </x:c>
      <x:c r="E80" s="9" t="str">
        <x:v>SVC04</x:v>
      </x:c>
      <x:c r="F80" s="9" t="str">
        <x:v>REPRODUCTION</x:v>
      </x:c>
      <x:c r="G80" s="9" t="n">
        <x:v>1</x:v>
      </x:c>
      <x:c r="H80" s="9" t="n">
        <x:v>0</x:v>
      </x:c>
      <x:c r="I80" s="9" t="n">
        <x:v>0</x:v>
      </x:c>
      <x:c r="J80" s="9" t="str">
        <x:f>IF(AND(B80&lt;&gt;"",COUNTIFS($B$7:$B$136,B80)=1,C80&lt;&gt;"",D80&lt;&gt;"",E80&lt;&gt;"",F80&lt;&gt;"",G80=1,H80=0,I80=0),"PASS","FAIL")</x:f>
        <x:v>PASS</x:v>
      </x:c>
      <x:c r="K80" s="9" t="str">
        <x:v>OPEN</x:v>
      </x:c>
    </x:row>
    <x:row r="81">
      <x:c r="B81" s="9" t="str">
        <x:v>SC-SVC04-B-P</x:v>
      </x:c>
      <x:c r="C81" s="9" t="str">
        <x:v>SERVICE_CELL</x:v>
      </x:c>
      <x:c r="D81" s="9" t="str">
        <x:v>ROOT_B</x:v>
      </x:c>
      <x:c r="E81" s="9" t="str">
        <x:v>SVC04</x:v>
      </x:c>
      <x:c r="F81" s="9" t="str">
        <x:v>PRIMARY</x:v>
      </x:c>
      <x:c r="G81" s="9" t="n">
        <x:v>1</x:v>
      </x:c>
      <x:c r="H81" s="9" t="n">
        <x:v>0</x:v>
      </x:c>
      <x:c r="I81" s="9" t="n">
        <x:v>0</x:v>
      </x:c>
      <x:c r="J81" s="9" t="str">
        <x:f>IF(AND(B81&lt;&gt;"",COUNTIFS($B$7:$B$136,B81)=1,C81&lt;&gt;"",D81&lt;&gt;"",E81&lt;&gt;"",F81&lt;&gt;"",G81=1,H81=0,I81=0),"PASS","FAIL")</x:f>
        <x:v>PASS</x:v>
      </x:c>
      <x:c r="K81" s="9" t="str">
        <x:v>OPEN</x:v>
      </x:c>
    </x:row>
    <x:row r="82">
      <x:c r="B82" s="9" t="str">
        <x:v>SC-SVC04-B-R</x:v>
      </x:c>
      <x:c r="C82" s="9" t="str">
        <x:v>SERVICE_CELL</x:v>
      </x:c>
      <x:c r="D82" s="9" t="str">
        <x:v>ROOT_B</x:v>
      </x:c>
      <x:c r="E82" s="9" t="str">
        <x:v>SVC04</x:v>
      </x:c>
      <x:c r="F82" s="9" t="str">
        <x:v>REPRODUCTION</x:v>
      </x:c>
      <x:c r="G82" s="9" t="n">
        <x:v>1</x:v>
      </x:c>
      <x:c r="H82" s="9" t="n">
        <x:v>0</x:v>
      </x:c>
      <x:c r="I82" s="9" t="n">
        <x:v>0</x:v>
      </x:c>
      <x:c r="J82" s="9" t="str">
        <x:f>IF(AND(B82&lt;&gt;"",COUNTIFS($B$7:$B$136,B82)=1,C82&lt;&gt;"",D82&lt;&gt;"",E82&lt;&gt;"",F82&lt;&gt;"",G82=1,H82=0,I82=0),"PASS","FAIL")</x:f>
        <x:v>PASS</x:v>
      </x:c>
      <x:c r="K82" s="9" t="str">
        <x:v>OPEN</x:v>
      </x:c>
    </x:row>
    <x:row r="83">
      <x:c r="B83" s="9" t="str">
        <x:v>SC-SVC05-A-P</x:v>
      </x:c>
      <x:c r="C83" s="9" t="str">
        <x:v>SERVICE_CELL</x:v>
      </x:c>
      <x:c r="D83" s="9" t="str">
        <x:v>ROOT_A</x:v>
      </x:c>
      <x:c r="E83" s="9" t="str">
        <x:v>SVC05</x:v>
      </x:c>
      <x:c r="F83" s="9" t="str">
        <x:v>PRIMARY</x:v>
      </x:c>
      <x:c r="G83" s="9" t="n">
        <x:v>1</x:v>
      </x:c>
      <x:c r="H83" s="9" t="n">
        <x:v>0</x:v>
      </x:c>
      <x:c r="I83" s="9" t="n">
        <x:v>0</x:v>
      </x:c>
      <x:c r="J83" s="9" t="str">
        <x:f>IF(AND(B83&lt;&gt;"",COUNTIFS($B$7:$B$136,B83)=1,C83&lt;&gt;"",D83&lt;&gt;"",E83&lt;&gt;"",F83&lt;&gt;"",G83=1,H83=0,I83=0),"PASS","FAIL")</x:f>
        <x:v>PASS</x:v>
      </x:c>
      <x:c r="K83" s="9" t="str">
        <x:v>OPEN</x:v>
      </x:c>
    </x:row>
    <x:row r="84">
      <x:c r="B84" s="9" t="str">
        <x:v>SC-SVC05-A-R</x:v>
      </x:c>
      <x:c r="C84" s="9" t="str">
        <x:v>SERVICE_CELL</x:v>
      </x:c>
      <x:c r="D84" s="9" t="str">
        <x:v>ROOT_A</x:v>
      </x:c>
      <x:c r="E84" s="9" t="str">
        <x:v>SVC05</x:v>
      </x:c>
      <x:c r="F84" s="9" t="str">
        <x:v>REPRODUCTION</x:v>
      </x:c>
      <x:c r="G84" s="9" t="n">
        <x:v>1</x:v>
      </x:c>
      <x:c r="H84" s="9" t="n">
        <x:v>0</x:v>
      </x:c>
      <x:c r="I84" s="9" t="n">
        <x:v>0</x:v>
      </x:c>
      <x:c r="J84" s="9" t="str">
        <x:f>IF(AND(B84&lt;&gt;"",COUNTIFS($B$7:$B$136,B84)=1,C84&lt;&gt;"",D84&lt;&gt;"",E84&lt;&gt;"",F84&lt;&gt;"",G84=1,H84=0,I84=0),"PASS","FAIL")</x:f>
        <x:v>PASS</x:v>
      </x:c>
      <x:c r="K84" s="9" t="str">
        <x:v>OPEN</x:v>
      </x:c>
    </x:row>
    <x:row r="85">
      <x:c r="B85" s="9" t="str">
        <x:v>SC-SVC05-B-P</x:v>
      </x:c>
      <x:c r="C85" s="9" t="str">
        <x:v>SERVICE_CELL</x:v>
      </x:c>
      <x:c r="D85" s="9" t="str">
        <x:v>ROOT_B</x:v>
      </x:c>
      <x:c r="E85" s="9" t="str">
        <x:v>SVC05</x:v>
      </x:c>
      <x:c r="F85" s="9" t="str">
        <x:v>PRIMARY</x:v>
      </x:c>
      <x:c r="G85" s="9" t="n">
        <x:v>1</x:v>
      </x:c>
      <x:c r="H85" s="9" t="n">
        <x:v>0</x:v>
      </x:c>
      <x:c r="I85" s="9" t="n">
        <x:v>0</x:v>
      </x:c>
      <x:c r="J85" s="9" t="str">
        <x:f>IF(AND(B85&lt;&gt;"",COUNTIFS($B$7:$B$136,B85)=1,C85&lt;&gt;"",D85&lt;&gt;"",E85&lt;&gt;"",F85&lt;&gt;"",G85=1,H85=0,I85=0),"PASS","FAIL")</x:f>
        <x:v>PASS</x:v>
      </x:c>
      <x:c r="K85" s="9" t="str">
        <x:v>OPEN</x:v>
      </x:c>
    </x:row>
    <x:row r="86">
      <x:c r="B86" s="9" t="str">
        <x:v>SC-SVC05-B-R</x:v>
      </x:c>
      <x:c r="C86" s="9" t="str">
        <x:v>SERVICE_CELL</x:v>
      </x:c>
      <x:c r="D86" s="9" t="str">
        <x:v>ROOT_B</x:v>
      </x:c>
      <x:c r="E86" s="9" t="str">
        <x:v>SVC05</x:v>
      </x:c>
      <x:c r="F86" s="9" t="str">
        <x:v>REPRODUCTION</x:v>
      </x:c>
      <x:c r="G86" s="9" t="n">
        <x:v>1</x:v>
      </x:c>
      <x:c r="H86" s="9" t="n">
        <x:v>0</x:v>
      </x:c>
      <x:c r="I86" s="9" t="n">
        <x:v>0</x:v>
      </x:c>
      <x:c r="J86" s="9" t="str">
        <x:f>IF(AND(B86&lt;&gt;"",COUNTIFS($B$7:$B$136,B86)=1,C86&lt;&gt;"",D86&lt;&gt;"",E86&lt;&gt;"",F86&lt;&gt;"",G86=1,H86=0,I86=0),"PASS","FAIL")</x:f>
        <x:v>PASS</x:v>
      </x:c>
      <x:c r="K86" s="9" t="str">
        <x:v>OPEN</x:v>
      </x:c>
    </x:row>
    <x:row r="87">
      <x:c r="B87" s="9" t="str">
        <x:v>SC-SVC06-A-P</x:v>
      </x:c>
      <x:c r="C87" s="9" t="str">
        <x:v>SERVICE_CELL</x:v>
      </x:c>
      <x:c r="D87" s="9" t="str">
        <x:v>ROOT_A</x:v>
      </x:c>
      <x:c r="E87" s="9" t="str">
        <x:v>SVC06</x:v>
      </x:c>
      <x:c r="F87" s="9" t="str">
        <x:v>PRIMARY</x:v>
      </x:c>
      <x:c r="G87" s="9" t="n">
        <x:v>1</x:v>
      </x:c>
      <x:c r="H87" s="9" t="n">
        <x:v>0</x:v>
      </x:c>
      <x:c r="I87" s="9" t="n">
        <x:v>0</x:v>
      </x:c>
      <x:c r="J87" s="9" t="str">
        <x:f>IF(AND(B87&lt;&gt;"",COUNTIFS($B$7:$B$136,B87)=1,C87&lt;&gt;"",D87&lt;&gt;"",E87&lt;&gt;"",F87&lt;&gt;"",G87=1,H87=0,I87=0),"PASS","FAIL")</x:f>
        <x:v>PASS</x:v>
      </x:c>
      <x:c r="K87" s="9" t="str">
        <x:v>OPEN</x:v>
      </x:c>
    </x:row>
    <x:row r="88">
      <x:c r="B88" s="9" t="str">
        <x:v>SC-SVC06-A-R</x:v>
      </x:c>
      <x:c r="C88" s="9" t="str">
        <x:v>SERVICE_CELL</x:v>
      </x:c>
      <x:c r="D88" s="9" t="str">
        <x:v>ROOT_A</x:v>
      </x:c>
      <x:c r="E88" s="9" t="str">
        <x:v>SVC06</x:v>
      </x:c>
      <x:c r="F88" s="9" t="str">
        <x:v>REPRODUCTION</x:v>
      </x:c>
      <x:c r="G88" s="9" t="n">
        <x:v>1</x:v>
      </x:c>
      <x:c r="H88" s="9" t="n">
        <x:v>0</x:v>
      </x:c>
      <x:c r="I88" s="9" t="n">
        <x:v>0</x:v>
      </x:c>
      <x:c r="J88" s="9" t="str">
        <x:f>IF(AND(B88&lt;&gt;"",COUNTIFS($B$7:$B$136,B88)=1,C88&lt;&gt;"",D88&lt;&gt;"",E88&lt;&gt;"",F88&lt;&gt;"",G88=1,H88=0,I88=0),"PASS","FAIL")</x:f>
        <x:v>PASS</x:v>
      </x:c>
      <x:c r="K88" s="9" t="str">
        <x:v>OPEN</x:v>
      </x:c>
    </x:row>
    <x:row r="89">
      <x:c r="B89" s="9" t="str">
        <x:v>SC-SVC06-B-P</x:v>
      </x:c>
      <x:c r="C89" s="9" t="str">
        <x:v>SERVICE_CELL</x:v>
      </x:c>
      <x:c r="D89" s="9" t="str">
        <x:v>ROOT_B</x:v>
      </x:c>
      <x:c r="E89" s="9" t="str">
        <x:v>SVC06</x:v>
      </x:c>
      <x:c r="F89" s="9" t="str">
        <x:v>PRIMARY</x:v>
      </x:c>
      <x:c r="G89" s="9" t="n">
        <x:v>1</x:v>
      </x:c>
      <x:c r="H89" s="9" t="n">
        <x:v>0</x:v>
      </x:c>
      <x:c r="I89" s="9" t="n">
        <x:v>0</x:v>
      </x:c>
      <x:c r="J89" s="9" t="str">
        <x:f>IF(AND(B89&lt;&gt;"",COUNTIFS($B$7:$B$136,B89)=1,C89&lt;&gt;"",D89&lt;&gt;"",E89&lt;&gt;"",F89&lt;&gt;"",G89=1,H89=0,I89=0),"PASS","FAIL")</x:f>
        <x:v>PASS</x:v>
      </x:c>
      <x:c r="K89" s="9" t="str">
        <x:v>OPEN</x:v>
      </x:c>
    </x:row>
    <x:row r="90">
      <x:c r="B90" s="9" t="str">
        <x:v>SC-SVC06-B-R</x:v>
      </x:c>
      <x:c r="C90" s="9" t="str">
        <x:v>SERVICE_CELL</x:v>
      </x:c>
      <x:c r="D90" s="9" t="str">
        <x:v>ROOT_B</x:v>
      </x:c>
      <x:c r="E90" s="9" t="str">
        <x:v>SVC06</x:v>
      </x:c>
      <x:c r="F90" s="9" t="str">
        <x:v>REPRODUCTION</x:v>
      </x:c>
      <x:c r="G90" s="9" t="n">
        <x:v>1</x:v>
      </x:c>
      <x:c r="H90" s="9" t="n">
        <x:v>0</x:v>
      </x:c>
      <x:c r="I90" s="9" t="n">
        <x:v>0</x:v>
      </x:c>
      <x:c r="J90" s="9" t="str">
        <x:f>IF(AND(B90&lt;&gt;"",COUNTIFS($B$7:$B$136,B90)=1,C90&lt;&gt;"",D90&lt;&gt;"",E90&lt;&gt;"",F90&lt;&gt;"",G90=1,H90=0,I90=0),"PASS","FAIL")</x:f>
        <x:v>PASS</x:v>
      </x:c>
      <x:c r="K90" s="9" t="str">
        <x:v>OPEN</x:v>
      </x:c>
    </x:row>
    <x:row r="91">
      <x:c r="B91" s="9" t="str">
        <x:v>SC-SVC07-A-P</x:v>
      </x:c>
      <x:c r="C91" s="9" t="str">
        <x:v>SERVICE_CELL</x:v>
      </x:c>
      <x:c r="D91" s="9" t="str">
        <x:v>ROOT_A</x:v>
      </x:c>
      <x:c r="E91" s="9" t="str">
        <x:v>SVC07</x:v>
      </x:c>
      <x:c r="F91" s="9" t="str">
        <x:v>PRIMARY</x:v>
      </x:c>
      <x:c r="G91" s="9" t="n">
        <x:v>1</x:v>
      </x:c>
      <x:c r="H91" s="9" t="n">
        <x:v>0</x:v>
      </x:c>
      <x:c r="I91" s="9" t="n">
        <x:v>0</x:v>
      </x:c>
      <x:c r="J91" s="9" t="str">
        <x:f>IF(AND(B91&lt;&gt;"",COUNTIFS($B$7:$B$136,B91)=1,C91&lt;&gt;"",D91&lt;&gt;"",E91&lt;&gt;"",F91&lt;&gt;"",G91=1,H91=0,I91=0),"PASS","FAIL")</x:f>
        <x:v>PASS</x:v>
      </x:c>
      <x:c r="K91" s="9" t="str">
        <x:v>OPEN</x:v>
      </x:c>
    </x:row>
    <x:row r="92">
      <x:c r="B92" s="9" t="str">
        <x:v>SC-SVC07-A-R</x:v>
      </x:c>
      <x:c r="C92" s="9" t="str">
        <x:v>SERVICE_CELL</x:v>
      </x:c>
      <x:c r="D92" s="9" t="str">
        <x:v>ROOT_A</x:v>
      </x:c>
      <x:c r="E92" s="9" t="str">
        <x:v>SVC07</x:v>
      </x:c>
      <x:c r="F92" s="9" t="str">
        <x:v>REPRODUCTION</x:v>
      </x:c>
      <x:c r="G92" s="9" t="n">
        <x:v>1</x:v>
      </x:c>
      <x:c r="H92" s="9" t="n">
        <x:v>0</x:v>
      </x:c>
      <x:c r="I92" s="9" t="n">
        <x:v>0</x:v>
      </x:c>
      <x:c r="J92" s="9" t="str">
        <x:f>IF(AND(B92&lt;&gt;"",COUNTIFS($B$7:$B$136,B92)=1,C92&lt;&gt;"",D92&lt;&gt;"",E92&lt;&gt;"",F92&lt;&gt;"",G92=1,H92=0,I92=0),"PASS","FAIL")</x:f>
        <x:v>PASS</x:v>
      </x:c>
      <x:c r="K92" s="9" t="str">
        <x:v>OPEN</x:v>
      </x:c>
    </x:row>
    <x:row r="93">
      <x:c r="B93" s="9" t="str">
        <x:v>SC-SVC07-B-P</x:v>
      </x:c>
      <x:c r="C93" s="9" t="str">
        <x:v>SERVICE_CELL</x:v>
      </x:c>
      <x:c r="D93" s="9" t="str">
        <x:v>ROOT_B</x:v>
      </x:c>
      <x:c r="E93" s="9" t="str">
        <x:v>SVC07</x:v>
      </x:c>
      <x:c r="F93" s="9" t="str">
        <x:v>PRIMARY</x:v>
      </x:c>
      <x:c r="G93" s="9" t="n">
        <x:v>1</x:v>
      </x:c>
      <x:c r="H93" s="9" t="n">
        <x:v>0</x:v>
      </x:c>
      <x:c r="I93" s="9" t="n">
        <x:v>0</x:v>
      </x:c>
      <x:c r="J93" s="9" t="str">
        <x:f>IF(AND(B93&lt;&gt;"",COUNTIFS($B$7:$B$136,B93)=1,C93&lt;&gt;"",D93&lt;&gt;"",E93&lt;&gt;"",F93&lt;&gt;"",G93=1,H93=0,I93=0),"PASS","FAIL")</x:f>
        <x:v>PASS</x:v>
      </x:c>
      <x:c r="K93" s="9" t="str">
        <x:v>OPEN</x:v>
      </x:c>
    </x:row>
    <x:row r="94">
      <x:c r="B94" s="9" t="str">
        <x:v>SC-SVC07-B-R</x:v>
      </x:c>
      <x:c r="C94" s="9" t="str">
        <x:v>SERVICE_CELL</x:v>
      </x:c>
      <x:c r="D94" s="9" t="str">
        <x:v>ROOT_B</x:v>
      </x:c>
      <x:c r="E94" s="9" t="str">
        <x:v>SVC07</x:v>
      </x:c>
      <x:c r="F94" s="9" t="str">
        <x:v>REPRODUCTION</x:v>
      </x:c>
      <x:c r="G94" s="9" t="n">
        <x:v>1</x:v>
      </x:c>
      <x:c r="H94" s="9" t="n">
        <x:v>0</x:v>
      </x:c>
      <x:c r="I94" s="9" t="n">
        <x:v>0</x:v>
      </x:c>
      <x:c r="J94" s="9" t="str">
        <x:f>IF(AND(B94&lt;&gt;"",COUNTIFS($B$7:$B$136,B94)=1,C94&lt;&gt;"",D94&lt;&gt;"",E94&lt;&gt;"",F94&lt;&gt;"",G94=1,H94=0,I94=0),"PASS","FAIL")</x:f>
        <x:v>PASS</x:v>
      </x:c>
      <x:c r="K94" s="9" t="str">
        <x:v>OPEN</x:v>
      </x:c>
    </x:row>
    <x:row r="95">
      <x:c r="B95" s="9" t="str">
        <x:v>SC-SVC08-A-P</x:v>
      </x:c>
      <x:c r="C95" s="9" t="str">
        <x:v>SERVICE_CELL</x:v>
      </x:c>
      <x:c r="D95" s="9" t="str">
        <x:v>ROOT_A</x:v>
      </x:c>
      <x:c r="E95" s="9" t="str">
        <x:v>SVC08</x:v>
      </x:c>
      <x:c r="F95" s="9" t="str">
        <x:v>PRIMARY</x:v>
      </x:c>
      <x:c r="G95" s="9" t="n">
        <x:v>1</x:v>
      </x:c>
      <x:c r="H95" s="9" t="n">
        <x:v>0</x:v>
      </x:c>
      <x:c r="I95" s="9" t="n">
        <x:v>0</x:v>
      </x:c>
      <x:c r="J95" s="9" t="str">
        <x:f>IF(AND(B95&lt;&gt;"",COUNTIFS($B$7:$B$136,B95)=1,C95&lt;&gt;"",D95&lt;&gt;"",E95&lt;&gt;"",F95&lt;&gt;"",G95=1,H95=0,I95=0),"PASS","FAIL")</x:f>
        <x:v>PASS</x:v>
      </x:c>
      <x:c r="K95" s="9" t="str">
        <x:v>OPEN</x:v>
      </x:c>
    </x:row>
    <x:row r="96">
      <x:c r="B96" s="9" t="str">
        <x:v>SC-SVC08-A-R</x:v>
      </x:c>
      <x:c r="C96" s="9" t="str">
        <x:v>SERVICE_CELL</x:v>
      </x:c>
      <x:c r="D96" s="9" t="str">
        <x:v>ROOT_A</x:v>
      </x:c>
      <x:c r="E96" s="9" t="str">
        <x:v>SVC08</x:v>
      </x:c>
      <x:c r="F96" s="9" t="str">
        <x:v>REPRODUCTION</x:v>
      </x:c>
      <x:c r="G96" s="9" t="n">
        <x:v>1</x:v>
      </x:c>
      <x:c r="H96" s="9" t="n">
        <x:v>0</x:v>
      </x:c>
      <x:c r="I96" s="9" t="n">
        <x:v>0</x:v>
      </x:c>
      <x:c r="J96" s="9" t="str">
        <x:f>IF(AND(B96&lt;&gt;"",COUNTIFS($B$7:$B$136,B96)=1,C96&lt;&gt;"",D96&lt;&gt;"",E96&lt;&gt;"",F96&lt;&gt;"",G96=1,H96=0,I96=0),"PASS","FAIL")</x:f>
        <x:v>PASS</x:v>
      </x:c>
      <x:c r="K96" s="9" t="str">
        <x:v>OPEN</x:v>
      </x:c>
    </x:row>
    <x:row r="97">
      <x:c r="B97" s="9" t="str">
        <x:v>SC-SVC08-B-P</x:v>
      </x:c>
      <x:c r="C97" s="9" t="str">
        <x:v>SERVICE_CELL</x:v>
      </x:c>
      <x:c r="D97" s="9" t="str">
        <x:v>ROOT_B</x:v>
      </x:c>
      <x:c r="E97" s="9" t="str">
        <x:v>SVC08</x:v>
      </x:c>
      <x:c r="F97" s="9" t="str">
        <x:v>PRIMARY</x:v>
      </x:c>
      <x:c r="G97" s="9" t="n">
        <x:v>1</x:v>
      </x:c>
      <x:c r="H97" s="9" t="n">
        <x:v>0</x:v>
      </x:c>
      <x:c r="I97" s="9" t="n">
        <x:v>0</x:v>
      </x:c>
      <x:c r="J97" s="9" t="str">
        <x:f>IF(AND(B97&lt;&gt;"",COUNTIFS($B$7:$B$136,B97)=1,C97&lt;&gt;"",D97&lt;&gt;"",E97&lt;&gt;"",F97&lt;&gt;"",G97=1,H97=0,I97=0),"PASS","FAIL")</x:f>
        <x:v>PASS</x:v>
      </x:c>
      <x:c r="K97" s="9" t="str">
        <x:v>OPEN</x:v>
      </x:c>
    </x:row>
    <x:row r="98">
      <x:c r="B98" s="9" t="str">
        <x:v>SC-SVC08-B-R</x:v>
      </x:c>
      <x:c r="C98" s="9" t="str">
        <x:v>SERVICE_CELL</x:v>
      </x:c>
      <x:c r="D98" s="9" t="str">
        <x:v>ROOT_B</x:v>
      </x:c>
      <x:c r="E98" s="9" t="str">
        <x:v>SVC08</x:v>
      </x:c>
      <x:c r="F98" s="9" t="str">
        <x:v>REPRODUCTION</x:v>
      </x:c>
      <x:c r="G98" s="9" t="n">
        <x:v>1</x:v>
      </x:c>
      <x:c r="H98" s="9" t="n">
        <x:v>0</x:v>
      </x:c>
      <x:c r="I98" s="9" t="n">
        <x:v>0</x:v>
      </x:c>
      <x:c r="J98" s="9" t="str">
        <x:f>IF(AND(B98&lt;&gt;"",COUNTIFS($B$7:$B$136,B98)=1,C98&lt;&gt;"",D98&lt;&gt;"",E98&lt;&gt;"",F98&lt;&gt;"",G98=1,H98=0,I98=0),"PASS","FAIL")</x:f>
        <x:v>PASS</x:v>
      </x:c>
      <x:c r="K98" s="9" t="str">
        <x:v>OPEN</x:v>
      </x:c>
    </x:row>
    <x:row r="99">
      <x:c r="B99" s="9" t="str">
        <x:v>SC-SVC09-A-P</x:v>
      </x:c>
      <x:c r="C99" s="9" t="str">
        <x:v>SERVICE_CELL</x:v>
      </x:c>
      <x:c r="D99" s="9" t="str">
        <x:v>ROOT_A</x:v>
      </x:c>
      <x:c r="E99" s="9" t="str">
        <x:v>SVC09</x:v>
      </x:c>
      <x:c r="F99" s="9" t="str">
        <x:v>PRIMARY</x:v>
      </x:c>
      <x:c r="G99" s="9" t="n">
        <x:v>1</x:v>
      </x:c>
      <x:c r="H99" s="9" t="n">
        <x:v>0</x:v>
      </x:c>
      <x:c r="I99" s="9" t="n">
        <x:v>0</x:v>
      </x:c>
      <x:c r="J99" s="9" t="str">
        <x:f>IF(AND(B99&lt;&gt;"",COUNTIFS($B$7:$B$136,B99)=1,C99&lt;&gt;"",D99&lt;&gt;"",E99&lt;&gt;"",F99&lt;&gt;"",G99=1,H99=0,I99=0),"PASS","FAIL")</x:f>
        <x:v>PASS</x:v>
      </x:c>
      <x:c r="K99" s="9" t="str">
        <x:v>OPEN</x:v>
      </x:c>
    </x:row>
    <x:row r="100">
      <x:c r="B100" s="9" t="str">
        <x:v>SC-SVC09-A-R</x:v>
      </x:c>
      <x:c r="C100" s="9" t="str">
        <x:v>SERVICE_CELL</x:v>
      </x:c>
      <x:c r="D100" s="9" t="str">
        <x:v>ROOT_A</x:v>
      </x:c>
      <x:c r="E100" s="9" t="str">
        <x:v>SVC09</x:v>
      </x:c>
      <x:c r="F100" s="9" t="str">
        <x:v>REPRODUCTION</x:v>
      </x:c>
      <x:c r="G100" s="9" t="n">
        <x:v>1</x:v>
      </x:c>
      <x:c r="H100" s="9" t="n">
        <x:v>0</x:v>
      </x:c>
      <x:c r="I100" s="9" t="n">
        <x:v>0</x:v>
      </x:c>
      <x:c r="J100" s="9" t="str">
        <x:f>IF(AND(B100&lt;&gt;"",COUNTIFS($B$7:$B$136,B100)=1,C100&lt;&gt;"",D100&lt;&gt;"",E100&lt;&gt;"",F100&lt;&gt;"",G100=1,H100=0,I100=0),"PASS","FAIL")</x:f>
        <x:v>PASS</x:v>
      </x:c>
      <x:c r="K100" s="9" t="str">
        <x:v>OPEN</x:v>
      </x:c>
    </x:row>
    <x:row r="101">
      <x:c r="B101" s="9" t="str">
        <x:v>SC-SVC09-B-P</x:v>
      </x:c>
      <x:c r="C101" s="9" t="str">
        <x:v>SERVICE_CELL</x:v>
      </x:c>
      <x:c r="D101" s="9" t="str">
        <x:v>ROOT_B</x:v>
      </x:c>
      <x:c r="E101" s="9" t="str">
        <x:v>SVC09</x:v>
      </x:c>
      <x:c r="F101" s="9" t="str">
        <x:v>PRIMARY</x:v>
      </x:c>
      <x:c r="G101" s="9" t="n">
        <x:v>1</x:v>
      </x:c>
      <x:c r="H101" s="9" t="n">
        <x:v>0</x:v>
      </x:c>
      <x:c r="I101" s="9" t="n">
        <x:v>0</x:v>
      </x:c>
      <x:c r="J101" s="9" t="str">
        <x:f>IF(AND(B101&lt;&gt;"",COUNTIFS($B$7:$B$136,B101)=1,C101&lt;&gt;"",D101&lt;&gt;"",E101&lt;&gt;"",F101&lt;&gt;"",G101=1,H101=0,I101=0),"PASS","FAIL")</x:f>
        <x:v>PASS</x:v>
      </x:c>
      <x:c r="K101" s="9" t="str">
        <x:v>OPEN</x:v>
      </x:c>
    </x:row>
    <x:row r="102">
      <x:c r="B102" s="9" t="str">
        <x:v>SC-SVC09-B-R</x:v>
      </x:c>
      <x:c r="C102" s="9" t="str">
        <x:v>SERVICE_CELL</x:v>
      </x:c>
      <x:c r="D102" s="9" t="str">
        <x:v>ROOT_B</x:v>
      </x:c>
      <x:c r="E102" s="9" t="str">
        <x:v>SVC09</x:v>
      </x:c>
      <x:c r="F102" s="9" t="str">
        <x:v>REPRODUCTION</x:v>
      </x:c>
      <x:c r="G102" s="9" t="n">
        <x:v>1</x:v>
      </x:c>
      <x:c r="H102" s="9" t="n">
        <x:v>0</x:v>
      </x:c>
      <x:c r="I102" s="9" t="n">
        <x:v>0</x:v>
      </x:c>
      <x:c r="J102" s="9" t="str">
        <x:f>IF(AND(B102&lt;&gt;"",COUNTIFS($B$7:$B$136,B102)=1,C102&lt;&gt;"",D102&lt;&gt;"",E102&lt;&gt;"",F102&lt;&gt;"",G102=1,H102=0,I102=0),"PASS","FAIL")</x:f>
        <x:v>PASS</x:v>
      </x:c>
      <x:c r="K102" s="9" t="str">
        <x:v>OPEN</x:v>
      </x:c>
    </x:row>
    <x:row r="103">
      <x:c r="B103" s="9" t="str">
        <x:v>UI-A-1</x:v>
      </x:c>
      <x:c r="C103" s="9" t="str">
        <x:v>UTILITY_ISLAND</x:v>
      </x:c>
      <x:c r="D103" s="9" t="str">
        <x:v>ROOT_A</x:v>
      </x:c>
      <x:c r="E103" s="9" t="str">
        <x:v>SVC03</x:v>
      </x:c>
      <x:c r="F103" s="9" t="str">
        <x:v>SERIAL_1</x:v>
      </x:c>
      <x:c r="G103" s="9" t="n">
        <x:v>1</x:v>
      </x:c>
      <x:c r="H103" s="9" t="n">
        <x:v>0</x:v>
      </x:c>
      <x:c r="I103" s="9" t="n">
        <x:v>0</x:v>
      </x:c>
      <x:c r="J103" s="9" t="str">
        <x:f>IF(AND(B103&lt;&gt;"",COUNTIFS($B$7:$B$136,B103)=1,C103&lt;&gt;"",D103&lt;&gt;"",E103&lt;&gt;"",F103&lt;&gt;"",G103=1,H103=0,I103=0),"PASS","FAIL")</x:f>
        <x:v>PASS</x:v>
      </x:c>
      <x:c r="K103" s="9" t="str">
        <x:v>OPEN</x:v>
      </x:c>
    </x:row>
    <x:row r="104">
      <x:c r="B104" s="9" t="str">
        <x:v>UI-A-2</x:v>
      </x:c>
      <x:c r="C104" s="9" t="str">
        <x:v>UTILITY_ISLAND</x:v>
      </x:c>
      <x:c r="D104" s="9" t="str">
        <x:v>ROOT_A</x:v>
      </x:c>
      <x:c r="E104" s="9" t="str">
        <x:v>SVC03</x:v>
      </x:c>
      <x:c r="F104" s="9" t="str">
        <x:v>SERIAL_2</x:v>
      </x:c>
      <x:c r="G104" s="9" t="n">
        <x:v>1</x:v>
      </x:c>
      <x:c r="H104" s="9" t="n">
        <x:v>0</x:v>
      </x:c>
      <x:c r="I104" s="9" t="n">
        <x:v>0</x:v>
      </x:c>
      <x:c r="J104" s="9" t="str">
        <x:f>IF(AND(B104&lt;&gt;"",COUNTIFS($B$7:$B$136,B104)=1,C104&lt;&gt;"",D104&lt;&gt;"",E104&lt;&gt;"",F104&lt;&gt;"",G104=1,H104=0,I104=0),"PASS","FAIL")</x:f>
        <x:v>PASS</x:v>
      </x:c>
      <x:c r="K104" s="9" t="str">
        <x:v>OPEN</x:v>
      </x:c>
    </x:row>
    <x:row r="105">
      <x:c r="B105" s="9" t="str">
        <x:v>UI-B-1</x:v>
      </x:c>
      <x:c r="C105" s="9" t="str">
        <x:v>UTILITY_ISLAND</x:v>
      </x:c>
      <x:c r="D105" s="9" t="str">
        <x:v>ROOT_B</x:v>
      </x:c>
      <x:c r="E105" s="9" t="str">
        <x:v>SVC03</x:v>
      </x:c>
      <x:c r="F105" s="9" t="str">
        <x:v>SERIAL_1</x:v>
      </x:c>
      <x:c r="G105" s="9" t="n">
        <x:v>1</x:v>
      </x:c>
      <x:c r="H105" s="9" t="n">
        <x:v>0</x:v>
      </x:c>
      <x:c r="I105" s="9" t="n">
        <x:v>0</x:v>
      </x:c>
      <x:c r="J105" s="9" t="str">
        <x:f>IF(AND(B105&lt;&gt;"",COUNTIFS($B$7:$B$136,B105)=1,C105&lt;&gt;"",D105&lt;&gt;"",E105&lt;&gt;"",F105&lt;&gt;"",G105=1,H105=0,I105=0),"PASS","FAIL")</x:f>
        <x:v>PASS</x:v>
      </x:c>
      <x:c r="K105" s="9" t="str">
        <x:v>OPEN</x:v>
      </x:c>
    </x:row>
    <x:row r="106">
      <x:c r="B106" s="9" t="str">
        <x:v>UI-B-2</x:v>
      </x:c>
      <x:c r="C106" s="9" t="str">
        <x:v>UTILITY_ISLAND</x:v>
      </x:c>
      <x:c r="D106" s="9" t="str">
        <x:v>ROOT_B</x:v>
      </x:c>
      <x:c r="E106" s="9" t="str">
        <x:v>SVC03</x:v>
      </x:c>
      <x:c r="F106" s="9" t="str">
        <x:v>SERIAL_2</x:v>
      </x:c>
      <x:c r="G106" s="9" t="n">
        <x:v>1</x:v>
      </x:c>
      <x:c r="H106" s="9" t="n">
        <x:v>0</x:v>
      </x:c>
      <x:c r="I106" s="9" t="n">
        <x:v>0</x:v>
      </x:c>
      <x:c r="J106" s="9" t="str">
        <x:f>IF(AND(B106&lt;&gt;"",COUNTIFS($B$7:$B$136,B106)=1,C106&lt;&gt;"",D106&lt;&gt;"",E106&lt;&gt;"",F106&lt;&gt;"",G106=1,H106=0,I106=0),"PASS","FAIL")</x:f>
        <x:v>PASS</x:v>
      </x:c>
      <x:c r="K106" s="9" t="str">
        <x:v>OPEN</x:v>
      </x:c>
    </x:row>
    <x:row r="107">
      <x:c r="B107" s="9" t="str">
        <x:v>RS-RW1-A</x:v>
      </x:c>
      <x:c r="C107" s="9" t="str">
        <x:v>RECEIVER_SPINE</x:v>
      </x:c>
      <x:c r="D107" s="9" t="str">
        <x:v>ROOT_A</x:v>
      </x:c>
      <x:c r="E107" s="9" t="str">
        <x:v>RW1</x:v>
      </x:c>
      <x:c r="F107" s="9" t="str">
        <x:v>RW1</x:v>
      </x:c>
      <x:c r="G107" s="9" t="n">
        <x:v>1</x:v>
      </x:c>
      <x:c r="H107" s="9" t="n">
        <x:v>0</x:v>
      </x:c>
      <x:c r="I107" s="9" t="n">
        <x:v>0</x:v>
      </x:c>
      <x:c r="J107" s="9" t="str">
        <x:f>IF(AND(B107&lt;&gt;"",COUNTIFS($B$7:$B$136,B107)=1,C107&lt;&gt;"",D107&lt;&gt;"",E107&lt;&gt;"",F107&lt;&gt;"",G107=1,H107=0,I107=0),"PASS","FAIL")</x:f>
        <x:v>PASS</x:v>
      </x:c>
      <x:c r="K107" s="9" t="str">
        <x:v>OPEN</x:v>
      </x:c>
    </x:row>
    <x:row r="108">
      <x:c r="B108" s="9" t="str">
        <x:v>RS-RW1-B</x:v>
      </x:c>
      <x:c r="C108" s="9" t="str">
        <x:v>RECEIVER_SPINE</x:v>
      </x:c>
      <x:c r="D108" s="9" t="str">
        <x:v>ROOT_B</x:v>
      </x:c>
      <x:c r="E108" s="9" t="str">
        <x:v>RW1</x:v>
      </x:c>
      <x:c r="F108" s="9" t="str">
        <x:v>RW1</x:v>
      </x:c>
      <x:c r="G108" s="9" t="n">
        <x:v>1</x:v>
      </x:c>
      <x:c r="H108" s="9" t="n">
        <x:v>0</x:v>
      </x:c>
      <x:c r="I108" s="9" t="n">
        <x:v>0</x:v>
      </x:c>
      <x:c r="J108" s="9" t="str">
        <x:f>IF(AND(B108&lt;&gt;"",COUNTIFS($B$7:$B$136,B108)=1,C108&lt;&gt;"",D108&lt;&gt;"",E108&lt;&gt;"",F108&lt;&gt;"",G108=1,H108=0,I108=0),"PASS","FAIL")</x:f>
        <x:v>PASS</x:v>
      </x:c>
      <x:c r="K108" s="9" t="str">
        <x:v>OPEN</x:v>
      </x:c>
    </x:row>
    <x:row r="109">
      <x:c r="B109" s="9" t="str">
        <x:v>RS-RW2-A</x:v>
      </x:c>
      <x:c r="C109" s="9" t="str">
        <x:v>RECEIVER_SPINE</x:v>
      </x:c>
      <x:c r="D109" s="9" t="str">
        <x:v>ROOT_A</x:v>
      </x:c>
      <x:c r="E109" s="9" t="str">
        <x:v>RW2</x:v>
      </x:c>
      <x:c r="F109" s="9" t="str">
        <x:v>RW2</x:v>
      </x:c>
      <x:c r="G109" s="9" t="n">
        <x:v>1</x:v>
      </x:c>
      <x:c r="H109" s="9" t="n">
        <x:v>0</x:v>
      </x:c>
      <x:c r="I109" s="9" t="n">
        <x:v>0</x:v>
      </x:c>
      <x:c r="J109" s="9" t="str">
        <x:f>IF(AND(B109&lt;&gt;"",COUNTIFS($B$7:$B$136,B109)=1,C109&lt;&gt;"",D109&lt;&gt;"",E109&lt;&gt;"",F109&lt;&gt;"",G109=1,H109=0,I109=0),"PASS","FAIL")</x:f>
        <x:v>PASS</x:v>
      </x:c>
      <x:c r="K109" s="9" t="str">
        <x:v>OPEN</x:v>
      </x:c>
    </x:row>
    <x:row r="110">
      <x:c r="B110" s="9" t="str">
        <x:v>RS-RW2-B</x:v>
      </x:c>
      <x:c r="C110" s="9" t="str">
        <x:v>RECEIVER_SPINE</x:v>
      </x:c>
      <x:c r="D110" s="9" t="str">
        <x:v>ROOT_B</x:v>
      </x:c>
      <x:c r="E110" s="9" t="str">
        <x:v>RW2</x:v>
      </x:c>
      <x:c r="F110" s="9" t="str">
        <x:v>RW2</x:v>
      </x:c>
      <x:c r="G110" s="9" t="n">
        <x:v>1</x:v>
      </x:c>
      <x:c r="H110" s="9" t="n">
        <x:v>0</x:v>
      </x:c>
      <x:c r="I110" s="9" t="n">
        <x:v>0</x:v>
      </x:c>
      <x:c r="J110" s="9" t="str">
        <x:f>IF(AND(B110&lt;&gt;"",COUNTIFS($B$7:$B$136,B110)=1,C110&lt;&gt;"",D110&lt;&gt;"",E110&lt;&gt;"",F110&lt;&gt;"",G110=1,H110=0,I110=0),"PASS","FAIL")</x:f>
        <x:v>PASS</x:v>
      </x:c>
      <x:c r="K110" s="9" t="str">
        <x:v>OPEN</x:v>
      </x:c>
    </x:row>
    <x:row r="111">
      <x:c r="B111" s="9" t="str">
        <x:v>RS-RW3-A</x:v>
      </x:c>
      <x:c r="C111" s="9" t="str">
        <x:v>RECEIVER_SPINE</x:v>
      </x:c>
      <x:c r="D111" s="9" t="str">
        <x:v>ROOT_A</x:v>
      </x:c>
      <x:c r="E111" s="9" t="str">
        <x:v>RW3</x:v>
      </x:c>
      <x:c r="F111" s="9" t="str">
        <x:v>RW3</x:v>
      </x:c>
      <x:c r="G111" s="9" t="n">
        <x:v>1</x:v>
      </x:c>
      <x:c r="H111" s="9" t="n">
        <x:v>0</x:v>
      </x:c>
      <x:c r="I111" s="9" t="n">
        <x:v>0</x:v>
      </x:c>
      <x:c r="J111" s="9" t="str">
        <x:f>IF(AND(B111&lt;&gt;"",COUNTIFS($B$7:$B$136,B111)=1,C111&lt;&gt;"",D111&lt;&gt;"",E111&lt;&gt;"",F111&lt;&gt;"",G111=1,H111=0,I111=0),"PASS","FAIL")</x:f>
        <x:v>PASS</x:v>
      </x:c>
      <x:c r="K111" s="9" t="str">
        <x:v>OPEN</x:v>
      </x:c>
    </x:row>
    <x:row r="112">
      <x:c r="B112" s="9" t="str">
        <x:v>RS-RW3-B</x:v>
      </x:c>
      <x:c r="C112" s="9" t="str">
        <x:v>RECEIVER_SPINE</x:v>
      </x:c>
      <x:c r="D112" s="9" t="str">
        <x:v>ROOT_B</x:v>
      </x:c>
      <x:c r="E112" s="9" t="str">
        <x:v>RW3</x:v>
      </x:c>
      <x:c r="F112" s="9" t="str">
        <x:v>RW3</x:v>
      </x:c>
      <x:c r="G112" s="9" t="n">
        <x:v>1</x:v>
      </x:c>
      <x:c r="H112" s="9" t="n">
        <x:v>0</x:v>
      </x:c>
      <x:c r="I112" s="9" t="n">
        <x:v>0</x:v>
      </x:c>
      <x:c r="J112" s="9" t="str">
        <x:f>IF(AND(B112&lt;&gt;"",COUNTIFS($B$7:$B$136,B112)=1,C112&lt;&gt;"",D112&lt;&gt;"",E112&lt;&gt;"",F112&lt;&gt;"",G112=1,H112=0,I112=0),"PASS","FAIL")</x:f>
        <x:v>PASS</x:v>
      </x:c>
      <x:c r="K112" s="9" t="str">
        <x:v>OPEN</x:v>
      </x:c>
    </x:row>
    <x:row r="113">
      <x:c r="B113" s="9" t="str">
        <x:v>CS-A-1</x:v>
      </x:c>
      <x:c r="C113" s="9" t="str">
        <x:v>CAMPUS_SLICE</x:v>
      </x:c>
      <x:c r="D113" s="9" t="str">
        <x:v>ROOT_A</x:v>
      </x:c>
      <x:c r="E113" s="9" t="str">
        <x:v>MULTI_SERVICE</x:v>
      </x:c>
      <x:c r="F113" s="9" t="str">
        <x:v>SERIAL_1</x:v>
      </x:c>
      <x:c r="G113" s="9" t="n">
        <x:v>1</x:v>
      </x:c>
      <x:c r="H113" s="9" t="n">
        <x:v>0</x:v>
      </x:c>
      <x:c r="I113" s="9" t="n">
        <x:v>0</x:v>
      </x:c>
      <x:c r="J113" s="9" t="str">
        <x:f>IF(AND(B113&lt;&gt;"",COUNTIFS($B$7:$B$136,B113)=1,C113&lt;&gt;"",D113&lt;&gt;"",E113&lt;&gt;"",F113&lt;&gt;"",G113=1,H113=0,I113=0),"PASS","FAIL")</x:f>
        <x:v>PASS</x:v>
      </x:c>
      <x:c r="K113" s="9" t="str">
        <x:v>OPEN</x:v>
      </x:c>
    </x:row>
    <x:row r="114">
      <x:c r="B114" s="9" t="str">
        <x:v>CS-A-2</x:v>
      </x:c>
      <x:c r="C114" s="9" t="str">
        <x:v>CAMPUS_SLICE</x:v>
      </x:c>
      <x:c r="D114" s="9" t="str">
        <x:v>ROOT_A</x:v>
      </x:c>
      <x:c r="E114" s="9" t="str">
        <x:v>MULTI_SERVICE</x:v>
      </x:c>
      <x:c r="F114" s="9" t="str">
        <x:v>SERIAL_2</x:v>
      </x:c>
      <x:c r="G114" s="9" t="n">
        <x:v>1</x:v>
      </x:c>
      <x:c r="H114" s="9" t="n">
        <x:v>0</x:v>
      </x:c>
      <x:c r="I114" s="9" t="n">
        <x:v>0</x:v>
      </x:c>
      <x:c r="J114" s="9" t="str">
        <x:f>IF(AND(B114&lt;&gt;"",COUNTIFS($B$7:$B$136,B114)=1,C114&lt;&gt;"",D114&lt;&gt;"",E114&lt;&gt;"",F114&lt;&gt;"",G114=1,H114=0,I114=0),"PASS","FAIL")</x:f>
        <x:v>PASS</x:v>
      </x:c>
      <x:c r="K114" s="9" t="str">
        <x:v>OPEN</x:v>
      </x:c>
    </x:row>
    <x:row r="115">
      <x:c r="B115" s="9" t="str">
        <x:v>CS-B-1</x:v>
      </x:c>
      <x:c r="C115" s="9" t="str">
        <x:v>CAMPUS_SLICE</x:v>
      </x:c>
      <x:c r="D115" s="9" t="str">
        <x:v>ROOT_B</x:v>
      </x:c>
      <x:c r="E115" s="9" t="str">
        <x:v>MULTI_SERVICE</x:v>
      </x:c>
      <x:c r="F115" s="9" t="str">
        <x:v>SERIAL_1</x:v>
      </x:c>
      <x:c r="G115" s="9" t="n">
        <x:v>1</x:v>
      </x:c>
      <x:c r="H115" s="9" t="n">
        <x:v>0</x:v>
      </x:c>
      <x:c r="I115" s="9" t="n">
        <x:v>0</x:v>
      </x:c>
      <x:c r="J115" s="9" t="str">
        <x:f>IF(AND(B115&lt;&gt;"",COUNTIFS($B$7:$B$136,B115)=1,C115&lt;&gt;"",D115&lt;&gt;"",E115&lt;&gt;"",F115&lt;&gt;"",G115=1,H115=0,I115=0),"PASS","FAIL")</x:f>
        <x:v>PASS</x:v>
      </x:c>
      <x:c r="K115" s="9" t="str">
        <x:v>OPEN</x:v>
      </x:c>
    </x:row>
    <x:row r="116">
      <x:c r="B116" s="9" t="str">
        <x:v>CS-B-2</x:v>
      </x:c>
      <x:c r="C116" s="9" t="str">
        <x:v>CAMPUS_SLICE</x:v>
      </x:c>
      <x:c r="D116" s="9" t="str">
        <x:v>ROOT_B</x:v>
      </x:c>
      <x:c r="E116" s="9" t="str">
        <x:v>MULTI_SERVICE</x:v>
      </x:c>
      <x:c r="F116" s="9" t="str">
        <x:v>SERIAL_2</x:v>
      </x:c>
      <x:c r="G116" s="9" t="n">
        <x:v>1</x:v>
      </x:c>
      <x:c r="H116" s="9" t="n">
        <x:v>0</x:v>
      </x:c>
      <x:c r="I116" s="9" t="n">
        <x:v>0</x:v>
      </x:c>
      <x:c r="J116" s="9" t="str">
        <x:f>IF(AND(B116&lt;&gt;"",COUNTIFS($B$7:$B$136,B116)=1,C116&lt;&gt;"",D116&lt;&gt;"",E116&lt;&gt;"",F116&lt;&gt;"",G116=1,H116=0,I116=0),"PASS","FAIL")</x:f>
        <x:v>PASS</x:v>
      </x:c>
      <x:c r="K116" s="9" t="str">
        <x:v>OPEN</x:v>
      </x:c>
    </x:row>
    <x:row r="117">
      <x:c r="B117" s="9" t="str">
        <x:v>RT-SVC01-A</x:v>
      </x:c>
      <x:c r="C117" s="9" t="str">
        <x:v>REFERENCE_TRUTH</x:v>
      </x:c>
      <x:c r="D117" s="9" t="str">
        <x:v>ROOT_A</x:v>
      </x:c>
      <x:c r="E117" s="9" t="str">
        <x:v>SVC01</x:v>
      </x:c>
      <x:c r="F117" s="9" t="str">
        <x:v>RETAINED</x:v>
      </x:c>
      <x:c r="G117" s="9" t="n">
        <x:v>1</x:v>
      </x:c>
      <x:c r="H117" s="9" t="n">
        <x:v>0</x:v>
      </x:c>
      <x:c r="I117" s="9" t="n">
        <x:v>0</x:v>
      </x:c>
      <x:c r="J117" s="9" t="str">
        <x:f>IF(AND(B117&lt;&gt;"",COUNTIFS($B$7:$B$136,B117)=1,C117&lt;&gt;"",D117&lt;&gt;"",E117&lt;&gt;"",F117&lt;&gt;"",G117=1,H117=0,I117=0),"PASS","FAIL")</x:f>
        <x:v>PASS</x:v>
      </x:c>
      <x:c r="K117" s="9" t="str">
        <x:v>OPEN</x:v>
      </x:c>
    </x:row>
    <x:row r="118">
      <x:c r="B118" s="9" t="str">
        <x:v>RT-SVC01-B</x:v>
      </x:c>
      <x:c r="C118" s="9" t="str">
        <x:v>REFERENCE_TRUTH</x:v>
      </x:c>
      <x:c r="D118" s="9" t="str">
        <x:v>ROOT_B</x:v>
      </x:c>
      <x:c r="E118" s="9" t="str">
        <x:v>SVC01</x:v>
      </x:c>
      <x:c r="F118" s="9" t="str">
        <x:v>RETAINED</x:v>
      </x:c>
      <x:c r="G118" s="9" t="n">
        <x:v>1</x:v>
      </x:c>
      <x:c r="H118" s="9" t="n">
        <x:v>0</x:v>
      </x:c>
      <x:c r="I118" s="9" t="n">
        <x:v>0</x:v>
      </x:c>
      <x:c r="J118" s="9" t="str">
        <x:f>IF(AND(B118&lt;&gt;"",COUNTIFS($B$7:$B$136,B118)=1,C118&lt;&gt;"",D118&lt;&gt;"",E118&lt;&gt;"",F118&lt;&gt;"",G118=1,H118=0,I118=0),"PASS","FAIL")</x:f>
        <x:v>PASS</x:v>
      </x:c>
      <x:c r="K118" s="9" t="str">
        <x:v>OPEN</x:v>
      </x:c>
    </x:row>
    <x:row r="119">
      <x:c r="B119" s="9" t="str">
        <x:v>RT-SVC02-A</x:v>
      </x:c>
      <x:c r="C119" s="9" t="str">
        <x:v>REFERENCE_TRUTH</x:v>
      </x:c>
      <x:c r="D119" s="9" t="str">
        <x:v>ROOT_A</x:v>
      </x:c>
      <x:c r="E119" s="9" t="str">
        <x:v>SVC02</x:v>
      </x:c>
      <x:c r="F119" s="9" t="str">
        <x:v>RETAINED</x:v>
      </x:c>
      <x:c r="G119" s="9" t="n">
        <x:v>1</x:v>
      </x:c>
      <x:c r="H119" s="9" t="n">
        <x:v>0</x:v>
      </x:c>
      <x:c r="I119" s="9" t="n">
        <x:v>0</x:v>
      </x:c>
      <x:c r="J119" s="9" t="str">
        <x:f>IF(AND(B119&lt;&gt;"",COUNTIFS($B$7:$B$136,B119)=1,C119&lt;&gt;"",D119&lt;&gt;"",E119&lt;&gt;"",F119&lt;&gt;"",G119=1,H119=0,I119=0),"PASS","FAIL")</x:f>
        <x:v>PASS</x:v>
      </x:c>
      <x:c r="K119" s="9" t="str">
        <x:v>OPEN</x:v>
      </x:c>
    </x:row>
    <x:row r="120">
      <x:c r="B120" s="9" t="str">
        <x:v>RT-SVC02-B</x:v>
      </x:c>
      <x:c r="C120" s="9" t="str">
        <x:v>REFERENCE_TRUTH</x:v>
      </x:c>
      <x:c r="D120" s="9" t="str">
        <x:v>ROOT_B</x:v>
      </x:c>
      <x:c r="E120" s="9" t="str">
        <x:v>SVC02</x:v>
      </x:c>
      <x:c r="F120" s="9" t="str">
        <x:v>RETAINED</x:v>
      </x:c>
      <x:c r="G120" s="9" t="n">
        <x:v>1</x:v>
      </x:c>
      <x:c r="H120" s="9" t="n">
        <x:v>0</x:v>
      </x:c>
      <x:c r="I120" s="9" t="n">
        <x:v>0</x:v>
      </x:c>
      <x:c r="J120" s="9" t="str">
        <x:f>IF(AND(B120&lt;&gt;"",COUNTIFS($B$7:$B$136,B120)=1,C120&lt;&gt;"",D120&lt;&gt;"",E120&lt;&gt;"",F120&lt;&gt;"",G120=1,H120=0,I120=0),"PASS","FAIL")</x:f>
        <x:v>PASS</x:v>
      </x:c>
      <x:c r="K120" s="9" t="str">
        <x:v>OPEN</x:v>
      </x:c>
    </x:row>
    <x:row r="121">
      <x:c r="B121" s="9" t="str">
        <x:v>RT-SVC03-A</x:v>
      </x:c>
      <x:c r="C121" s="9" t="str">
        <x:v>REFERENCE_TRUTH</x:v>
      </x:c>
      <x:c r="D121" s="9" t="str">
        <x:v>ROOT_A</x:v>
      </x:c>
      <x:c r="E121" s="9" t="str">
        <x:v>SVC03</x:v>
      </x:c>
      <x:c r="F121" s="9" t="str">
        <x:v>RETAINED</x:v>
      </x:c>
      <x:c r="G121" s="9" t="n">
        <x:v>1</x:v>
      </x:c>
      <x:c r="H121" s="9" t="n">
        <x:v>0</x:v>
      </x:c>
      <x:c r="I121" s="9" t="n">
        <x:v>0</x:v>
      </x:c>
      <x:c r="J121" s="9" t="str">
        <x:f>IF(AND(B121&lt;&gt;"",COUNTIFS($B$7:$B$136,B121)=1,C121&lt;&gt;"",D121&lt;&gt;"",E121&lt;&gt;"",F121&lt;&gt;"",G121=1,H121=0,I121=0),"PASS","FAIL")</x:f>
        <x:v>PASS</x:v>
      </x:c>
      <x:c r="K121" s="9" t="str">
        <x:v>OPEN</x:v>
      </x:c>
    </x:row>
    <x:row r="122">
      <x:c r="B122" s="9" t="str">
        <x:v>RT-SVC03-B</x:v>
      </x:c>
      <x:c r="C122" s="9" t="str">
        <x:v>REFERENCE_TRUTH</x:v>
      </x:c>
      <x:c r="D122" s="9" t="str">
        <x:v>ROOT_B</x:v>
      </x:c>
      <x:c r="E122" s="9" t="str">
        <x:v>SVC03</x:v>
      </x:c>
      <x:c r="F122" s="9" t="str">
        <x:v>RETAINED</x:v>
      </x:c>
      <x:c r="G122" s="9" t="n">
        <x:v>1</x:v>
      </x:c>
      <x:c r="H122" s="9" t="n">
        <x:v>0</x:v>
      </x:c>
      <x:c r="I122" s="9" t="n">
        <x:v>0</x:v>
      </x:c>
      <x:c r="J122" s="9" t="str">
        <x:f>IF(AND(B122&lt;&gt;"",COUNTIFS($B$7:$B$136,B122)=1,C122&lt;&gt;"",D122&lt;&gt;"",E122&lt;&gt;"",F122&lt;&gt;"",G122=1,H122=0,I122=0),"PASS","FAIL")</x:f>
        <x:v>PASS</x:v>
      </x:c>
      <x:c r="K122" s="9" t="str">
        <x:v>OPEN</x:v>
      </x:c>
    </x:row>
    <x:row r="123">
      <x:c r="B123" s="9" t="str">
        <x:v>RT-SVC04-A</x:v>
      </x:c>
      <x:c r="C123" s="9" t="str">
        <x:v>REFERENCE_TRUTH</x:v>
      </x:c>
      <x:c r="D123" s="9" t="str">
        <x:v>ROOT_A</x:v>
      </x:c>
      <x:c r="E123" s="9" t="str">
        <x:v>SVC04</x:v>
      </x:c>
      <x:c r="F123" s="9" t="str">
        <x:v>RETAINED</x:v>
      </x:c>
      <x:c r="G123" s="9" t="n">
        <x:v>1</x:v>
      </x:c>
      <x:c r="H123" s="9" t="n">
        <x:v>0</x:v>
      </x:c>
      <x:c r="I123" s="9" t="n">
        <x:v>0</x:v>
      </x:c>
      <x:c r="J123" s="9" t="str">
        <x:f>IF(AND(B123&lt;&gt;"",COUNTIFS($B$7:$B$136,B123)=1,C123&lt;&gt;"",D123&lt;&gt;"",E123&lt;&gt;"",F123&lt;&gt;"",G123=1,H123=0,I123=0),"PASS","FAIL")</x:f>
        <x:v>PASS</x:v>
      </x:c>
      <x:c r="K123" s="9" t="str">
        <x:v>OPEN</x:v>
      </x:c>
    </x:row>
    <x:row r="124">
      <x:c r="B124" s="9" t="str">
        <x:v>RT-SVC04-B</x:v>
      </x:c>
      <x:c r="C124" s="9" t="str">
        <x:v>REFERENCE_TRUTH</x:v>
      </x:c>
      <x:c r="D124" s="9" t="str">
        <x:v>ROOT_B</x:v>
      </x:c>
      <x:c r="E124" s="9" t="str">
        <x:v>SVC04</x:v>
      </x:c>
      <x:c r="F124" s="9" t="str">
        <x:v>RETAINED</x:v>
      </x:c>
      <x:c r="G124" s="9" t="n">
        <x:v>1</x:v>
      </x:c>
      <x:c r="H124" s="9" t="n">
        <x:v>0</x:v>
      </x:c>
      <x:c r="I124" s="9" t="n">
        <x:v>0</x:v>
      </x:c>
      <x:c r="J124" s="9" t="str">
        <x:f>IF(AND(B124&lt;&gt;"",COUNTIFS($B$7:$B$136,B124)=1,C124&lt;&gt;"",D124&lt;&gt;"",E124&lt;&gt;"",F124&lt;&gt;"",G124=1,H124=0,I124=0),"PASS","FAIL")</x:f>
        <x:v>PASS</x:v>
      </x:c>
      <x:c r="K124" s="9" t="str">
        <x:v>OPEN</x:v>
      </x:c>
    </x:row>
    <x:row r="125">
      <x:c r="B125" s="9" t="str">
        <x:v>RT-SVC05-A</x:v>
      </x:c>
      <x:c r="C125" s="9" t="str">
        <x:v>REFERENCE_TRUTH</x:v>
      </x:c>
      <x:c r="D125" s="9" t="str">
        <x:v>ROOT_A</x:v>
      </x:c>
      <x:c r="E125" s="9" t="str">
        <x:v>SVC05</x:v>
      </x:c>
      <x:c r="F125" s="9" t="str">
        <x:v>RETAINED</x:v>
      </x:c>
      <x:c r="G125" s="9" t="n">
        <x:v>1</x:v>
      </x:c>
      <x:c r="H125" s="9" t="n">
        <x:v>0</x:v>
      </x:c>
      <x:c r="I125" s="9" t="n">
        <x:v>0</x:v>
      </x:c>
      <x:c r="J125" s="9" t="str">
        <x:f>IF(AND(B125&lt;&gt;"",COUNTIFS($B$7:$B$136,B125)=1,C125&lt;&gt;"",D125&lt;&gt;"",E125&lt;&gt;"",F125&lt;&gt;"",G125=1,H125=0,I125=0),"PASS","FAIL")</x:f>
        <x:v>PASS</x:v>
      </x:c>
      <x:c r="K125" s="9" t="str">
        <x:v>OPEN</x:v>
      </x:c>
    </x:row>
    <x:row r="126">
      <x:c r="B126" s="9" t="str">
        <x:v>RT-SVC05-B</x:v>
      </x:c>
      <x:c r="C126" s="9" t="str">
        <x:v>REFERENCE_TRUTH</x:v>
      </x:c>
      <x:c r="D126" s="9" t="str">
        <x:v>ROOT_B</x:v>
      </x:c>
      <x:c r="E126" s="9" t="str">
        <x:v>SVC05</x:v>
      </x:c>
      <x:c r="F126" s="9" t="str">
        <x:v>RETAINED</x:v>
      </x:c>
      <x:c r="G126" s="9" t="n">
        <x:v>1</x:v>
      </x:c>
      <x:c r="H126" s="9" t="n">
        <x:v>0</x:v>
      </x:c>
      <x:c r="I126" s="9" t="n">
        <x:v>0</x:v>
      </x:c>
      <x:c r="J126" s="9" t="str">
        <x:f>IF(AND(B126&lt;&gt;"",COUNTIFS($B$7:$B$136,B126)=1,C126&lt;&gt;"",D126&lt;&gt;"",E126&lt;&gt;"",F126&lt;&gt;"",G126=1,H126=0,I126=0),"PASS","FAIL")</x:f>
        <x:v>PASS</x:v>
      </x:c>
      <x:c r="K126" s="9" t="str">
        <x:v>OPEN</x:v>
      </x:c>
    </x:row>
    <x:row r="127">
      <x:c r="B127" s="9" t="str">
        <x:v>RT-SVC06-A</x:v>
      </x:c>
      <x:c r="C127" s="9" t="str">
        <x:v>REFERENCE_TRUTH</x:v>
      </x:c>
      <x:c r="D127" s="9" t="str">
        <x:v>ROOT_A</x:v>
      </x:c>
      <x:c r="E127" s="9" t="str">
        <x:v>SVC06</x:v>
      </x:c>
      <x:c r="F127" s="9" t="str">
        <x:v>RETAINED</x:v>
      </x:c>
      <x:c r="G127" s="9" t="n">
        <x:v>1</x:v>
      </x:c>
      <x:c r="H127" s="9" t="n">
        <x:v>0</x:v>
      </x:c>
      <x:c r="I127" s="9" t="n">
        <x:v>0</x:v>
      </x:c>
      <x:c r="J127" s="9" t="str">
        <x:f>IF(AND(B127&lt;&gt;"",COUNTIFS($B$7:$B$136,B127)=1,C127&lt;&gt;"",D127&lt;&gt;"",E127&lt;&gt;"",F127&lt;&gt;"",G127=1,H127=0,I127=0),"PASS","FAIL")</x:f>
        <x:v>PASS</x:v>
      </x:c>
      <x:c r="K127" s="9" t="str">
        <x:v>OPEN</x:v>
      </x:c>
    </x:row>
    <x:row r="128">
      <x:c r="B128" s="9" t="str">
        <x:v>RT-SVC06-B</x:v>
      </x:c>
      <x:c r="C128" s="9" t="str">
        <x:v>REFERENCE_TRUTH</x:v>
      </x:c>
      <x:c r="D128" s="9" t="str">
        <x:v>ROOT_B</x:v>
      </x:c>
      <x:c r="E128" s="9" t="str">
        <x:v>SVC06</x:v>
      </x:c>
      <x:c r="F128" s="9" t="str">
        <x:v>RETAINED</x:v>
      </x:c>
      <x:c r="G128" s="9" t="n">
        <x:v>1</x:v>
      </x:c>
      <x:c r="H128" s="9" t="n">
        <x:v>0</x:v>
      </x:c>
      <x:c r="I128" s="9" t="n">
        <x:v>0</x:v>
      </x:c>
      <x:c r="J128" s="9" t="str">
        <x:f>IF(AND(B128&lt;&gt;"",COUNTIFS($B$7:$B$136,B128)=1,C128&lt;&gt;"",D128&lt;&gt;"",E128&lt;&gt;"",F128&lt;&gt;"",G128=1,H128=0,I128=0),"PASS","FAIL")</x:f>
        <x:v>PASS</x:v>
      </x:c>
      <x:c r="K128" s="9" t="str">
        <x:v>OPEN</x:v>
      </x:c>
    </x:row>
    <x:row r="129">
      <x:c r="B129" s="9" t="str">
        <x:v>RT-SVC07-A</x:v>
      </x:c>
      <x:c r="C129" s="9" t="str">
        <x:v>REFERENCE_TRUTH</x:v>
      </x:c>
      <x:c r="D129" s="9" t="str">
        <x:v>ROOT_A</x:v>
      </x:c>
      <x:c r="E129" s="9" t="str">
        <x:v>SVC07</x:v>
      </x:c>
      <x:c r="F129" s="9" t="str">
        <x:v>RETAINED</x:v>
      </x:c>
      <x:c r="G129" s="9" t="n">
        <x:v>1</x:v>
      </x:c>
      <x:c r="H129" s="9" t="n">
        <x:v>0</x:v>
      </x:c>
      <x:c r="I129" s="9" t="n">
        <x:v>0</x:v>
      </x:c>
      <x:c r="J129" s="9" t="str">
        <x:f>IF(AND(B129&lt;&gt;"",COUNTIFS($B$7:$B$136,B129)=1,C129&lt;&gt;"",D129&lt;&gt;"",E129&lt;&gt;"",F129&lt;&gt;"",G129=1,H129=0,I129=0),"PASS","FAIL")</x:f>
        <x:v>PASS</x:v>
      </x:c>
      <x:c r="K129" s="9" t="str">
        <x:v>OPEN</x:v>
      </x:c>
    </x:row>
    <x:row r="130">
      <x:c r="B130" s="9" t="str">
        <x:v>RT-SVC07-B</x:v>
      </x:c>
      <x:c r="C130" s="9" t="str">
        <x:v>REFERENCE_TRUTH</x:v>
      </x:c>
      <x:c r="D130" s="9" t="str">
        <x:v>ROOT_B</x:v>
      </x:c>
      <x:c r="E130" s="9" t="str">
        <x:v>SVC07</x:v>
      </x:c>
      <x:c r="F130" s="9" t="str">
        <x:v>RETAINED</x:v>
      </x:c>
      <x:c r="G130" s="9" t="n">
        <x:v>1</x:v>
      </x:c>
      <x:c r="H130" s="9" t="n">
        <x:v>0</x:v>
      </x:c>
      <x:c r="I130" s="9" t="n">
        <x:v>0</x:v>
      </x:c>
      <x:c r="J130" s="9" t="str">
        <x:f>IF(AND(B130&lt;&gt;"",COUNTIFS($B$7:$B$136,B130)=1,C130&lt;&gt;"",D130&lt;&gt;"",E130&lt;&gt;"",F130&lt;&gt;"",G130=1,H130=0,I130=0),"PASS","FAIL")</x:f>
        <x:v>PASS</x:v>
      </x:c>
      <x:c r="K130" s="9" t="str">
        <x:v>OPEN</x:v>
      </x:c>
    </x:row>
    <x:row r="131">
      <x:c r="B131" s="9" t="str">
        <x:v>RT-SVC08-A</x:v>
      </x:c>
      <x:c r="C131" s="9" t="str">
        <x:v>REFERENCE_TRUTH</x:v>
      </x:c>
      <x:c r="D131" s="9" t="str">
        <x:v>ROOT_A</x:v>
      </x:c>
      <x:c r="E131" s="9" t="str">
        <x:v>SVC08</x:v>
      </x:c>
      <x:c r="F131" s="9" t="str">
        <x:v>RETAINED</x:v>
      </x:c>
      <x:c r="G131" s="9" t="n">
        <x:v>1</x:v>
      </x:c>
      <x:c r="H131" s="9" t="n">
        <x:v>0</x:v>
      </x:c>
      <x:c r="I131" s="9" t="n">
        <x:v>0</x:v>
      </x:c>
      <x:c r="J131" s="9" t="str">
        <x:f>IF(AND(B131&lt;&gt;"",COUNTIFS($B$7:$B$136,B131)=1,C131&lt;&gt;"",D131&lt;&gt;"",E131&lt;&gt;"",F131&lt;&gt;"",G131=1,H131=0,I131=0),"PASS","FAIL")</x:f>
        <x:v>PASS</x:v>
      </x:c>
      <x:c r="K131" s="9" t="str">
        <x:v>OPEN</x:v>
      </x:c>
    </x:row>
    <x:row r="132">
      <x:c r="B132" s="9" t="str">
        <x:v>RT-SVC08-B</x:v>
      </x:c>
      <x:c r="C132" s="9" t="str">
        <x:v>REFERENCE_TRUTH</x:v>
      </x:c>
      <x:c r="D132" s="9" t="str">
        <x:v>ROOT_B</x:v>
      </x:c>
      <x:c r="E132" s="9" t="str">
        <x:v>SVC08</x:v>
      </x:c>
      <x:c r="F132" s="9" t="str">
        <x:v>RETAINED</x:v>
      </x:c>
      <x:c r="G132" s="9" t="n">
        <x:v>1</x:v>
      </x:c>
      <x:c r="H132" s="9" t="n">
        <x:v>0</x:v>
      </x:c>
      <x:c r="I132" s="9" t="n">
        <x:v>0</x:v>
      </x:c>
      <x:c r="J132" s="9" t="str">
        <x:f>IF(AND(B132&lt;&gt;"",COUNTIFS($B$7:$B$136,B132)=1,C132&lt;&gt;"",D132&lt;&gt;"",E132&lt;&gt;"",F132&lt;&gt;"",G132=1,H132=0,I132=0),"PASS","FAIL")</x:f>
        <x:v>PASS</x:v>
      </x:c>
      <x:c r="K132" s="9" t="str">
        <x:v>OPEN</x:v>
      </x:c>
    </x:row>
    <x:row r="133">
      <x:c r="B133" s="9" t="str">
        <x:v>RT-SVC09-A</x:v>
      </x:c>
      <x:c r="C133" s="9" t="str">
        <x:v>REFERENCE_TRUTH</x:v>
      </x:c>
      <x:c r="D133" s="9" t="str">
        <x:v>ROOT_A</x:v>
      </x:c>
      <x:c r="E133" s="9" t="str">
        <x:v>SVC09</x:v>
      </x:c>
      <x:c r="F133" s="9" t="str">
        <x:v>RETAINED</x:v>
      </x:c>
      <x:c r="G133" s="9" t="n">
        <x:v>1</x:v>
      </x:c>
      <x:c r="H133" s="9" t="n">
        <x:v>0</x:v>
      </x:c>
      <x:c r="I133" s="9" t="n">
        <x:v>0</x:v>
      </x:c>
      <x:c r="J133" s="9" t="str">
        <x:f>IF(AND(B133&lt;&gt;"",COUNTIFS($B$7:$B$136,B133)=1,C133&lt;&gt;"",D133&lt;&gt;"",E133&lt;&gt;"",F133&lt;&gt;"",G133=1,H133=0,I133=0),"PASS","FAIL")</x:f>
        <x:v>PASS</x:v>
      </x:c>
      <x:c r="K133" s="9" t="str">
        <x:v>OPEN</x:v>
      </x:c>
    </x:row>
    <x:row r="134">
      <x:c r="B134" s="9" t="str">
        <x:v>RT-SVC09-B</x:v>
      </x:c>
      <x:c r="C134" s="9" t="str">
        <x:v>REFERENCE_TRUTH</x:v>
      </x:c>
      <x:c r="D134" s="9" t="str">
        <x:v>ROOT_B</x:v>
      </x:c>
      <x:c r="E134" s="9" t="str">
        <x:v>SVC09</x:v>
      </x:c>
      <x:c r="F134" s="9" t="str">
        <x:v>RETAINED</x:v>
      </x:c>
      <x:c r="G134" s="9" t="n">
        <x:v>1</x:v>
      </x:c>
      <x:c r="H134" s="9" t="n">
        <x:v>0</x:v>
      </x:c>
      <x:c r="I134" s="9" t="n">
        <x:v>0</x:v>
      </x:c>
      <x:c r="J134" s="9" t="str">
        <x:f>IF(AND(B134&lt;&gt;"",COUNTIFS($B$7:$B$136,B134)=1,C134&lt;&gt;"",D134&lt;&gt;"",E134&lt;&gt;"",F134&lt;&gt;"",G134=1,H134=0,I134=0),"PASS","FAIL")</x:f>
        <x:v>PASS</x:v>
      </x:c>
      <x:c r="K134" s="9" t="str">
        <x:v>OPEN</x:v>
      </x:c>
    </x:row>
    <x:row r="135">
      <x:c r="B135" s="9" t="str">
        <x:v>AD-A-TO-B</x:v>
      </x:c>
      <x:c r="C135" s="9" t="str">
        <x:v>EMERGENCY_ADAPTER</x:v>
      </x:c>
      <x:c r="D135" s="9" t="str">
        <x:v>PUBLIC</x:v>
      </x:c>
      <x:c r="E135" s="9" t="str">
        <x:v>A_TO_B</x:v>
      </x:c>
      <x:c r="F135" s="9" t="str">
        <x:v>CHALLENGE</x:v>
      </x:c>
      <x:c r="G135" s="9" t="n">
        <x:v>1</x:v>
      </x:c>
      <x:c r="H135" s="9" t="n">
        <x:v>0</x:v>
      </x:c>
      <x:c r="I135" s="9" t="n">
        <x:v>0</x:v>
      </x:c>
      <x:c r="J135" s="9" t="str">
        <x:f>IF(AND(B135&lt;&gt;"",COUNTIFS($B$7:$B$136,B135)=1,C135&lt;&gt;"",D135&lt;&gt;"",E135&lt;&gt;"",F135&lt;&gt;"",G135=1,H135=0,I135=0),"PASS","FAIL")</x:f>
        <x:v>PASS</x:v>
      </x:c>
      <x:c r="K135" s="9" t="str">
        <x:v>OPEN</x:v>
      </x:c>
    </x:row>
    <x:row r="136">
      <x:c r="B136" s="10" t="str">
        <x:v>AD-B-TO-A</x:v>
      </x:c>
      <x:c r="C136" s="10" t="str">
        <x:v>EMERGENCY_ADAPTER</x:v>
      </x:c>
      <x:c r="D136" s="10" t="str">
        <x:v>PUBLIC</x:v>
      </x:c>
      <x:c r="E136" s="10" t="str">
        <x:v>B_TO_A</x:v>
      </x:c>
      <x:c r="F136" s="10" t="str">
        <x:v>CHALLENGE</x:v>
      </x:c>
      <x:c r="G136" s="10" t="n">
        <x:v>1</x:v>
      </x:c>
      <x:c r="H136" s="10" t="n">
        <x:v>0</x:v>
      </x:c>
      <x:c r="I136" s="10" t="n">
        <x:v>0</x:v>
      </x:c>
      <x:c r="J136" s="10" t="str">
        <x:f>IF(AND(B136&lt;&gt;"",COUNTIFS($B$7:$B$136,B136)=1,C136&lt;&gt;"",D136&lt;&gt;"",E136&lt;&gt;"",F136&lt;&gt;"",G136=1,H136=0,I136=0),"PASS","FAIL")</x:f>
        <x:v>PASS</x:v>
      </x:c>
      <x:c r="K136" s="10" t="str">
        <x:v>OPEN</x:v>
      </x:c>
    </x:row>
  </x:sheetData>
  <x:mergeCells>
    <x:mergeCell ref="B2:K2"/>
    <x:mergeCell ref="B3:K3"/>
  </x:mergeCells>
  <x:conditionalFormatting sqref="J7:K136">
    <x:cfRule type="containsText" dxfId="13" priority="1" operator="containsText" text="PASS"/>
    <x:cfRule type="containsText" dxfId="14" priority="2" operator="containsText" text="AUTHORIZED"/>
    <x:cfRule type="containsText" dxfId="15" priority="3" operator="containsText" text="DEFINED"/>
    <x:cfRule type="containsText" dxfId="16" priority="4" operator="containsText" text="READY"/>
    <x:cfRule type="containsText" dxfId="17" priority="5" operator="containsText" text="HOLD"/>
    <x:cfRule type="containsText" dxfId="18" priority="6" operator="containsText" text="OPEN"/>
    <x:cfRule type="containsText" dxfId="19" priority="7" operator="containsText" text="BLOCKED"/>
    <x:cfRule type="containsText" dxfId="20" priority="8" operator="containsText" text="PLANNING"/>
    <x:cfRule type="containsText" dxfId="21" priority="9" operator="containsText" text="FAIL"/>
    <x:cfRule type="containsText" dxfId="22" priority="10" operator="containsText" text="REJECT"/>
    <x:cfRule type="containsText" dxfId="23" priority="11" operator="containsText" text="LATE"/>
    <x:cfRule type="containsText" dxfId="24" priority="12" operator="containsText" text="INCOMPLETE"/>
    <x:cfRule type="containsText" dxfId="25" priority="13" operator="containsText" text="INDETERMINATE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39" hidden="0" customWidth="1"/>
    <x:col min="4" max="4" width="39" hidden="0" customWidth="1"/>
    <x:col min="5" max="5" width="42" hidden="0" customWidth="1"/>
    <x:col min="6" max="6" width="38" hidden="0" customWidth="1"/>
    <x:col min="7" max="7" width="11" hidden="0" customWidth="1"/>
    <x:col min="8" max="8" width="16" hidden="0" customWidth="1"/>
    <x:col min="9" max="9" width="18" hidden="0" customWidth="1"/>
    <x:col min="10" max="10" width="20" hidden="0" customWidth="1"/>
    <x:col min="11" max="11" width="16" hidden="0" customWidth="1"/>
  </x:cols>
  <x:sheetData>
    <x:row r="2">
      <x:c r="B2" s="31" t="str">
        <x:v>Ten interface families</x:v>
      </x:c>
      <x:c r="C2" s="8"/>
      <x:c r="D2" s="8"/>
      <x:c r="E2" s="8"/>
      <x:c r="F2" s="8"/>
      <x:c r="G2" s="8"/>
      <x:c r="H2" s="8"/>
      <x:c r="I2" s="8"/>
      <x:c r="J2" s="8"/>
      <x:c r="K2" s="8"/>
    </x:row>
    <x:row r="3">
      <x:c r="B3" s="2" t="str">
        <x:v>Public requirements hold service and evidence constant while root-native implementations remain unlike.</x:v>
      </x:c>
      <x:c r="C3" s="8"/>
      <x:c r="D3" s="8"/>
      <x:c r="E3" s="8"/>
      <x:c r="F3" s="8"/>
      <x:c r="G3" s="8"/>
      <x:c r="H3" s="8"/>
      <x:c r="I3" s="8"/>
      <x:c r="J3" s="8"/>
      <x:c r="K3" s="8"/>
    </x:row>
    <x:row r="4">
      <x:c r="B4" s="32"/>
      <x:c r="C4" s="32"/>
      <x:c r="D4" s="32"/>
      <x:c r="E4" s="32"/>
      <x:c r="F4" s="32"/>
      <x:c r="G4" s="32"/>
      <x:c r="H4" s="32"/>
      <x:c r="I4" s="32"/>
      <x:c r="J4" s="32"/>
      <x:c r="K4" s="32"/>
    </x:row>
    <x:row r="5">
      <x:c r="B5" s="8"/>
      <x:c r="C5" s="8"/>
      <x:c r="D5" s="8"/>
      <x:c r="E5" s="8"/>
      <x:c r="F5" s="8"/>
      <x:c r="G5" s="8"/>
      <x:c r="H5" s="8"/>
      <x:c r="I5" s="8"/>
      <x:c r="J5" s="8"/>
      <x:c r="K5" s="8"/>
    </x:row>
    <x:row r="6">
      <x:c r="B6" s="7" t="str">
        <x:v>ID</x:v>
      </x:c>
      <x:c r="C6" s="7" t="str">
        <x:v>Interface family</x:v>
      </x:c>
      <x:c r="D6" s="7" t="str">
        <x:v>Required transfer</x:v>
      </x:c>
      <x:c r="E6" s="7" t="str">
        <x:v>Prohibited transfer</x:v>
      </x:c>
      <x:c r="F6" s="7" t="str">
        <x:v>Representative challenge</x:v>
      </x:c>
      <x:c r="G6" s="7" t="str">
        <x:v>Roots</x:v>
      </x:c>
      <x:c r="H6" s="7" t="str">
        <x:v>States per root</x:v>
      </x:c>
      <x:c r="I6" s="7" t="str">
        <x:v>Required articles</x:v>
      </x:c>
      <x:c r="J6" s="7" t="str">
        <x:v>Registered articles</x:v>
      </x:c>
      <x:c r="K6" s="7" t="str">
        <x:v>Planning gate</x:v>
      </x:c>
    </x:row>
    <x:row r="7" ht="48" customHeight="1">
      <x:c r="B7" s="9" t="str">
        <x:v>IF01</x:v>
      </x:c>
      <x:c r="C7" s="14" t="str">
        <x:v>Structural load transfer and receiver anchoring</x:v>
      </x:c>
      <x:c r="D7" s="14" t="str">
        <x:v>gravity, lateral, restraint and settlement loads</x:v>
      </x:c>
      <x:c r="E7" s="14" t="str">
        <x:v>hidden eccentricity or receiver reaction</x:v>
      </x:c>
      <x:c r="F7" s="14" t="str">
        <x:v>datum offset or settlement</x:v>
      </x:c>
      <x:c r="G7" s="9" t="n">
        <x:v>2</x:v>
      </x:c>
      <x:c r="H7" s="9" t="n">
        <x:v>3</x:v>
      </x:c>
      <x:c r="I7" s="9" t="n">
        <x:v>6</x:v>
      </x:c>
      <x:c r="J7" s="9" t="n">
        <x:f>COUNTIFS('Article Bank'!$C$7:$C$136,"INTERFACE_PAIR",'Article Bank'!$E$7:$E$136,B7)</x:f>
        <x:v>6</x:v>
      </x:c>
      <x:c r="K7" s="9" t="str">
        <x:f>IF(AND(G7='Controls'!$D$9,H7='Controls'!$D$10,I7=G7*H7,J7=I7),"PASS","FAIL")</x:f>
        <x:v>PASS</x:v>
      </x:c>
    </x:row>
    <x:row r="8" ht="48" customHeight="1">
      <x:c r="B8" s="9" t="str">
        <x:v>IF02</x:v>
      </x:c>
      <x:c r="C8" s="14" t="str">
        <x:v>Lifting, transport and handling</x:v>
      </x:c>
      <x:c r="D8" s="14" t="str">
        <x:v>identified lift and restraint loads</x:v>
      </x:c>
      <x:c r="E8" s="14" t="str">
        <x:v>unique fixture dependence or uncontrolled local load</x:v>
      </x:c>
      <x:c r="F8" s="14" t="str">
        <x:v>denied lift point or shifted center</x:v>
      </x:c>
      <x:c r="G8" s="9" t="n">
        <x:v>2</x:v>
      </x:c>
      <x:c r="H8" s="9" t="n">
        <x:v>3</x:v>
      </x:c>
      <x:c r="I8" s="9" t="n">
        <x:v>6</x:v>
      </x:c>
      <x:c r="J8" s="9" t="n">
        <x:f>COUNTIFS('Article Bank'!$C$7:$C$136,"INTERFACE_PAIR",'Article Bank'!$E$7:$E$136,B8)</x:f>
        <x:v>6</x:v>
      </x:c>
      <x:c r="K8" s="9" t="str">
        <x:f>IF(AND(G8='Controls'!$D$9,H8='Controls'!$D$10,I8=G8*H8,J8=I8),"PASS","FAIL")</x:f>
        <x:v>PASS</x:v>
      </x:c>
    </x:row>
    <x:row r="9" ht="48" customHeight="1">
      <x:c r="B9" s="9" t="str">
        <x:v>IF03</x:v>
      </x:c>
      <x:c r="C9" s="14" t="str">
        <x:v>Water and hydraulic service</x:v>
      </x:c>
      <x:c r="D9" s="14" t="str">
        <x:v>source, process, test and receiver flow</x:v>
      </x:c>
      <x:c r="E9" s="14" t="str">
        <x:v>contamination, backflow or untraceable mixing</x:v>
      </x:c>
      <x:c r="F9" s="14" t="str">
        <x:v>wrong valve state or contaminated dead leg</x:v>
      </x:c>
      <x:c r="G9" s="9" t="n">
        <x:v>2</x:v>
      </x:c>
      <x:c r="H9" s="9" t="n">
        <x:v>3</x:v>
      </x:c>
      <x:c r="I9" s="9" t="n">
        <x:v>6</x:v>
      </x:c>
      <x:c r="J9" s="9" t="n">
        <x:f>COUNTIFS('Article Bank'!$C$7:$C$136,"INTERFACE_PAIR",'Article Bank'!$E$7:$E$136,B9)</x:f>
        <x:v>6</x:v>
      </x:c>
      <x:c r="K9" s="9" t="str">
        <x:f>IF(AND(G9='Controls'!$D$9,H9='Controls'!$D$10,I9=G9*H9,J9=I9),"PASS","FAIL")</x:f>
        <x:v>PASS</x:v>
      </x:c>
    </x:row>
    <x:row r="10" ht="48" customHeight="1">
      <x:c r="B10" s="9" t="str">
        <x:v>IF04</x:v>
      </x:c>
      <x:c r="C10" s="14" t="str">
        <x:v>Electrical protection and black start</x:v>
      </x:c>
      <x:c r="D10" s="14" t="str">
        <x:v>generation, conversion, grounding and restart state</x:v>
      </x:c>
      <x:c r="E10" s="14" t="str">
        <x:v>unsafe backfeed or hidden external reference</x:v>
      </x:c>
      <x:c r="F10" s="14" t="str">
        <x:v>protection mismatch or reference loss</x:v>
      </x:c>
      <x:c r="G10" s="9" t="n">
        <x:v>2</x:v>
      </x:c>
      <x:c r="H10" s="9" t="n">
        <x:v>3</x:v>
      </x:c>
      <x:c r="I10" s="9" t="n">
        <x:v>6</x:v>
      </x:c>
      <x:c r="J10" s="9" t="n">
        <x:f>COUNTIFS('Article Bank'!$C$7:$C$136,"INTERFACE_PAIR",'Article Bank'!$E$7:$E$136,B10)</x:f>
        <x:v>6</x:v>
      </x:c>
      <x:c r="K10" s="9" t="str">
        <x:f>IF(AND(G10='Controls'!$D$9,H10='Controls'!$D$10,I10=G10*H10,J10=I10),"PASS","FAIL")</x:f>
        <x:v>PASS</x:v>
      </x:c>
    </x:row>
    <x:row r="11" ht="48" customHeight="1">
      <x:c r="B11" s="9" t="str">
        <x:v>IF05</x:v>
      </x:c>
      <x:c r="C11" s="14" t="str">
        <x:v>Thermal and ventilation service</x:v>
      </x:c>
      <x:c r="D11" s="14" t="str">
        <x:v>heat transfer, rejection and occupied conditions</x:v>
      </x:c>
      <x:c r="E11" s="14" t="str">
        <x:v>cross-contamination or undeclared heat sink</x:v>
      </x:c>
      <x:c r="F11" s="14" t="str">
        <x:v>fouled exchanger or blocked rejection</x:v>
      </x:c>
      <x:c r="G11" s="9" t="n">
        <x:v>2</x:v>
      </x:c>
      <x:c r="H11" s="9" t="n">
        <x:v>3</x:v>
      </x:c>
      <x:c r="I11" s="9" t="n">
        <x:v>6</x:v>
      </x:c>
      <x:c r="J11" s="9" t="n">
        <x:f>COUNTIFS('Article Bank'!$C$7:$C$136,"INTERFACE_PAIR",'Article Bank'!$E$7:$E$136,B11)</x:f>
        <x:v>6</x:v>
      </x:c>
      <x:c r="K11" s="9" t="str">
        <x:f>IF(AND(G11='Controls'!$D$9,H11='Controls'!$D$10,I11=G11*H11,J11=I11),"PASS","FAIL")</x:f>
        <x:v>PASS</x:v>
      </x:c>
    </x:row>
    <x:row r="12" ht="48" customHeight="1">
      <x:c r="B12" s="9" t="str">
        <x:v>IF06</x:v>
      </x:c>
      <x:c r="C12" s="14" t="str">
        <x:v>Sanitary, sample and waste separation</x:v>
      </x:c>
      <x:c r="D12" s="14" t="str">
        <x:v>product, sample, residual and waste custody</x:v>
      </x:c>
      <x:c r="E12" s="14" t="str">
        <x:v>product-to-waste cross-connection</x:v>
      </x:c>
      <x:c r="F12" s="14" t="str">
        <x:v>reversed connection or false-clean line</x:v>
      </x:c>
      <x:c r="G12" s="9" t="n">
        <x:v>2</x:v>
      </x:c>
      <x:c r="H12" s="9" t="n">
        <x:v>3</x:v>
      </x:c>
      <x:c r="I12" s="9" t="n">
        <x:v>6</x:v>
      </x:c>
      <x:c r="J12" s="9" t="n">
        <x:f>COUNTIFS('Article Bank'!$C$7:$C$136,"INTERFACE_PAIR",'Article Bank'!$E$7:$E$136,B12)</x:f>
        <x:v>6</x:v>
      </x:c>
      <x:c r="K12" s="9" t="str">
        <x:f>IF(AND(G12='Controls'!$D$9,H12='Controls'!$D$10,I12=G12*H12,J12=I12),"PASS","FAIL")</x:f>
        <x:v>PASS</x:v>
      </x:c>
    </x:row>
    <x:row r="13" ht="48" customHeight="1">
      <x:c r="B13" s="9" t="str">
        <x:v>IF07</x:v>
      </x:c>
      <x:c r="C13" s="14" t="str">
        <x:v>Data, time, identity and signing</x:v>
      </x:c>
      <x:c r="D13" s="14" t="str">
        <x:v>configuration, time and evidence transfer</x:v>
      </x:c>
      <x:c r="E13" s="14" t="str">
        <x:v>common-root compromise or summary-only evidence</x:v>
      </x:c>
      <x:c r="F13" s="14" t="str">
        <x:v>time, key or executable denial</x:v>
      </x:c>
      <x:c r="G13" s="9" t="n">
        <x:v>2</x:v>
      </x:c>
      <x:c r="H13" s="9" t="n">
        <x:v>3</x:v>
      </x:c>
      <x:c r="I13" s="9" t="n">
        <x:v>6</x:v>
      </x:c>
      <x:c r="J13" s="9" t="n">
        <x:f>COUNTIFS('Article Bank'!$C$7:$C$136,"INTERFACE_PAIR",'Article Bank'!$E$7:$E$136,B13)</x:f>
        <x:v>6</x:v>
      </x:c>
      <x:c r="K13" s="9" t="str">
        <x:f>IF(AND(G13='Controls'!$D$9,H13='Controls'!$D$10,I13=G13*H13,J13=I13),"PASS","FAIL")</x:f>
        <x:v>PASS</x:v>
      </x:c>
    </x:row>
    <x:row r="14" ht="48" customHeight="1">
      <x:c r="B14" s="9" t="str">
        <x:v>IF08</x:v>
      </x:c>
      <x:c r="C14" s="14" t="str">
        <x:v>Metrology, reference and known truth</x:v>
      </x:c>
      <x:c r="D14" s="14" t="str">
        <x:v>traceable stimulus and uncertainty</x:v>
      </x:c>
      <x:c r="E14" s="14" t="str">
        <x:v>self-calibration by the item under test</x:v>
      </x:c>
      <x:c r="F14" s="14" t="str">
        <x:v>biased reference or substituted truth</x:v>
      </x:c>
      <x:c r="G14" s="9" t="n">
        <x:v>2</x:v>
      </x:c>
      <x:c r="H14" s="9" t="n">
        <x:v>3</x:v>
      </x:c>
      <x:c r="I14" s="9" t="n">
        <x:v>6</x:v>
      </x:c>
      <x:c r="J14" s="9" t="n">
        <x:f>COUNTIFS('Article Bank'!$C$7:$C$136,"INTERFACE_PAIR",'Article Bank'!$E$7:$E$136,B14)</x:f>
        <x:v>6</x:v>
      </x:c>
      <x:c r="K14" s="9" t="str">
        <x:f>IF(AND(G14='Controls'!$D$9,H14='Controls'!$D$10,I14=G14*H14,J14=I14),"PASS","FAIL")</x:f>
        <x:v>PASS</x:v>
      </x:c>
    </x:row>
    <x:row r="15" ht="48" customHeight="1">
      <x:c r="B15" s="9" t="str">
        <x:v>IF09</x:v>
      </x:c>
      <x:c r="C15" s="14" t="str">
        <x:v>Human access and maintainability</x:v>
      </x:c>
      <x:c r="D15" s="14" t="str">
        <x:v>safe inspection, repair and removal paths</x:v>
      </x:c>
      <x:c r="E15" s="14" t="str">
        <x:v>trapped energy or inaccessible work</x:v>
      </x:c>
      <x:c r="F15" s="14" t="str">
        <x:v>obstructed access or protective-equipment limit</x:v>
      </x:c>
      <x:c r="G15" s="9" t="n">
        <x:v>2</x:v>
      </x:c>
      <x:c r="H15" s="9" t="n">
        <x:v>3</x:v>
      </x:c>
      <x:c r="I15" s="9" t="n">
        <x:v>6</x:v>
      </x:c>
      <x:c r="J15" s="9" t="n">
        <x:f>COUNTIFS('Article Bank'!$C$7:$C$136,"INTERFACE_PAIR",'Article Bank'!$E$7:$E$136,B15)</x:f>
        <x:v>6</x:v>
      </x:c>
      <x:c r="K15" s="9" t="str">
        <x:f>IF(AND(G15='Controls'!$D$9,H15='Controls'!$D$10,I15=G15*H15,J15=I15),"PASS","FAIL")</x:f>
        <x:v>PASS</x:v>
      </x:c>
    </x:row>
    <x:row r="16" ht="48" customHeight="1">
      <x:c r="B16" s="10" t="str">
        <x:v>IF10</x:v>
      </x:c>
      <x:c r="C16" s="15" t="str">
        <x:v>Environmental containment and decontamination</x:v>
      </x:c>
      <x:c r="D16" s="15" t="str">
        <x:v>controlled drainage, emissions and restored end state</x:v>
      </x:c>
      <x:c r="E16" s="15" t="str">
        <x:v>uncontrolled release or indeterminate cleanup</x:v>
      </x:c>
      <x:c r="F16" s="15" t="str">
        <x:v>containment leak or waste-path loss</x:v>
      </x:c>
      <x:c r="G16" s="10" t="n">
        <x:v>2</x:v>
      </x:c>
      <x:c r="H16" s="10" t="n">
        <x:v>3</x:v>
      </x:c>
      <x:c r="I16" s="10" t="n">
        <x:v>6</x:v>
      </x:c>
      <x:c r="J16" s="10" t="n">
        <x:f>COUNTIFS('Article Bank'!$C$7:$C$136,"INTERFACE_PAIR",'Article Bank'!$E$7:$E$136,B16)</x:f>
        <x:v>6</x:v>
      </x:c>
      <x:c r="K16" s="10" t="str">
        <x:f>IF(AND(G16='Controls'!$D$9,H16='Controls'!$D$10,I16=G16*H16,J16=I16),"PASS","FAIL")</x:f>
        <x:v>PASS</x:v>
      </x:c>
    </x:row>
  </x:sheetData>
  <x:mergeCells>
    <x:mergeCell ref="B2:K2"/>
    <x:mergeCell ref="B3:K3"/>
  </x:mergeCells>
  <x:conditionalFormatting sqref="K7:K16">
    <x:cfRule type="containsText" dxfId="26" priority="1" operator="containsText" text="PASS"/>
    <x:cfRule type="containsText" dxfId="27" priority="2" operator="containsText" text="AUTHORIZED"/>
    <x:cfRule type="containsText" dxfId="28" priority="3" operator="containsText" text="DEFINED"/>
    <x:cfRule type="containsText" dxfId="29" priority="4" operator="containsText" text="READY"/>
    <x:cfRule type="containsText" dxfId="30" priority="5" operator="containsText" text="HOLD"/>
    <x:cfRule type="containsText" dxfId="31" priority="6" operator="containsText" text="OPEN"/>
    <x:cfRule type="containsText" dxfId="32" priority="7" operator="containsText" text="BLOCKED"/>
    <x:cfRule type="containsText" dxfId="33" priority="8" operator="containsText" text="PLANNING"/>
    <x:cfRule type="containsText" dxfId="34" priority="9" operator="containsText" text="FAIL"/>
    <x:cfRule type="containsText" dxfId="35" priority="10" operator="containsText" text="REJECT"/>
    <x:cfRule type="containsText" dxfId="36" priority="11" operator="containsText" text="LATE"/>
    <x:cfRule type="containsText" dxfId="37" priority="12" operator="containsText" text="INCOMPLETE"/>
    <x:cfRule type="containsText" dxfId="38" priority="13" operator="containsText" text="INDETERMINATE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3" hidden="0" customWidth="1"/>
    <x:col min="3" max="3" width="12" hidden="0" customWidth="1"/>
    <x:col min="4" max="4" width="14" hidden="0" customWidth="1"/>
    <x:col min="5" max="5" width="20" hidden="0" customWidth="1"/>
    <x:col min="6" max="6" width="24" hidden="0" customWidth="1"/>
    <x:col min="7" max="7" width="12" hidden="0" customWidth="1"/>
    <x:col min="8" max="8" width="18" hidden="0" customWidth="1"/>
    <x:col min="9" max="9" width="18" hidden="0" customWidth="1"/>
    <x:col min="10" max="10" width="16" hidden="0" customWidth="1"/>
    <x:col min="11" max="11" width="16" hidden="0" customWidth="1"/>
    <x:col min="12" max="12" width="16" hidden="0" customWidth="1"/>
    <x:col min="13" max="13" width="17" hidden="0" customWidth="1"/>
  </x:cols>
  <x:sheetData>
    <x:row r="2">
      <x:c r="B2" s="31" t="str">
        <x:v>Sixty interface trials</x:v>
      </x:c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3">
      <x:c r="B3" s="2" t="str">
        <x:v>Every interface appears in both roots and in fresh, challenge and cold-reset states.</x:v>
      </x:c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</x:row>
    <x:row r="4"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</x:row>
    <x:row r="5"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</x:row>
    <x:row r="6">
      <x:c r="B6" s="7" t="str">
        <x:v>Trial</x:v>
      </x:c>
      <x:c r="C6" s="7" t="str">
        <x:v>Interface</x:v>
      </x:c>
      <x:c r="D6" s="7" t="str">
        <x:v>Root</x:v>
      </x:c>
      <x:c r="E6" s="7" t="str">
        <x:v>Serial state</x:v>
      </x:c>
      <x:c r="F6" s="7" t="str">
        <x:v>Article</x:v>
      </x:c>
      <x:c r="G6" s="7" t="str">
        <x:v>Required</x:v>
      </x:c>
      <x:c r="H6" s="7" t="str">
        <x:v>Physical execution</x:v>
      </x:c>
      <x:c r="I6" s="7" t="str">
        <x:v>Physical admission</x:v>
      </x:c>
      <x:c r="J6" s="7" t="str">
        <x:v>Reset required</x:v>
      </x:c>
      <x:c r="K6" s="7" t="str">
        <x:v>Reset complete</x:v>
      </x:c>
      <x:c r="L6" s="7" t="str">
        <x:v>Planning gate</x:v>
      </x:c>
      <x:c r="M6" s="7" t="str">
        <x:v>Terminal state</x:v>
      </x:c>
    </x:row>
    <x:row r="7">
      <x:c r="B7" s="9" t="str">
        <x:v>IT-IF01-A-S0</x:v>
      </x:c>
      <x:c r="C7" s="9" t="str">
        <x:v>IF01</x:v>
      </x:c>
      <x:c r="D7" s="9" t="str">
        <x:v>ROOT_A</x:v>
      </x:c>
      <x:c r="E7" s="9" t="str">
        <x:v>S0_FRESH</x:v>
      </x:c>
      <x:c r="F7" s="9" t="str">
        <x:v>IP-IF01-A-S0</x:v>
      </x:c>
      <x:c r="G7" s="9" t="n">
        <x:v>1</x:v>
      </x:c>
      <x:c r="H7" s="9" t="n">
        <x:v>0</x:v>
      </x:c>
      <x:c r="I7" s="9" t="n">
        <x:v>0</x:v>
      </x:c>
      <x:c r="J7" s="9" t="n">
        <x:v>0</x:v>
      </x:c>
      <x:c r="K7" s="9" t="n">
        <x:v>0</x:v>
      </x:c>
      <x:c r="L7" s="9" t="str">
        <x:f>IF(AND(B7&lt;&gt;"",COUNTIFS('Article Bank'!$B$7:$B$136,F7,'Article Bank'!$D$7:$D$136,D7,'Article Bank'!$E$7:$E$136,C7,'Article Bank'!$F$7:$F$136,E7)=1,G7=1),"PASS","FAIL")</x:f>
        <x:v>PASS</x:v>
      </x:c>
      <x:c r="M7" s="9" t="str">
        <x:v>OPEN</x:v>
      </x:c>
    </x:row>
    <x:row r="8">
      <x:c r="B8" s="9" t="str">
        <x:v>IT-IF01-A-S1</x:v>
      </x:c>
      <x:c r="C8" s="9" t="str">
        <x:v>IF01</x:v>
      </x:c>
      <x:c r="D8" s="9" t="str">
        <x:v>ROOT_A</x:v>
      </x:c>
      <x:c r="E8" s="9" t="str">
        <x:v>S1_CHALLENGE</x:v>
      </x:c>
      <x:c r="F8" s="9" t="str">
        <x:v>IP-IF01-A-S1</x:v>
      </x:c>
      <x:c r="G8" s="9" t="n">
        <x:v>1</x:v>
      </x:c>
      <x:c r="H8" s="9" t="n">
        <x:v>0</x:v>
      </x:c>
      <x:c r="I8" s="9" t="n">
        <x:v>0</x:v>
      </x:c>
      <x:c r="J8" s="9" t="n">
        <x:v>0</x:v>
      </x:c>
      <x:c r="K8" s="9" t="n">
        <x:v>0</x:v>
      </x:c>
      <x:c r="L8" s="9" t="str">
        <x:f>IF(AND(B8&lt;&gt;"",COUNTIFS('Article Bank'!$B$7:$B$136,F8,'Article Bank'!$D$7:$D$136,D8,'Article Bank'!$E$7:$E$136,C8,'Article Bank'!$F$7:$F$136,E8)=1,G8=1),"PASS","FAIL")</x:f>
        <x:v>PASS</x:v>
      </x:c>
      <x:c r="M8" s="9" t="str">
        <x:v>OPEN</x:v>
      </x:c>
    </x:row>
    <x:row r="9">
      <x:c r="B9" s="9" t="str">
        <x:v>IT-IF01-A-S2</x:v>
      </x:c>
      <x:c r="C9" s="9" t="str">
        <x:v>IF01</x:v>
      </x:c>
      <x:c r="D9" s="9" t="str">
        <x:v>ROOT_A</x:v>
      </x:c>
      <x:c r="E9" s="9" t="str">
        <x:v>S2_COLD_RESET</x:v>
      </x:c>
      <x:c r="F9" s="9" t="str">
        <x:v>IP-IF01-A-S2</x:v>
      </x:c>
      <x:c r="G9" s="9" t="n">
        <x:v>1</x:v>
      </x:c>
      <x:c r="H9" s="9" t="n">
        <x:v>0</x:v>
      </x:c>
      <x:c r="I9" s="9" t="n">
        <x:v>0</x:v>
      </x:c>
      <x:c r="J9" s="9" t="n">
        <x:v>1</x:v>
      </x:c>
      <x:c r="K9" s="9" t="n">
        <x:v>0</x:v>
      </x:c>
      <x:c r="L9" s="9" t="str">
        <x:f>IF(AND(B9&lt;&gt;"",COUNTIFS('Article Bank'!$B$7:$B$136,F9,'Article Bank'!$D$7:$D$136,D9,'Article Bank'!$E$7:$E$136,C9,'Article Bank'!$F$7:$F$136,E9)=1,G9=1),"PASS","FAIL")</x:f>
        <x:v>PASS</x:v>
      </x:c>
      <x:c r="M9" s="9" t="str">
        <x:v>OPEN</x:v>
      </x:c>
    </x:row>
    <x:row r="10">
      <x:c r="B10" s="9" t="str">
        <x:v>IT-IF01-B-S0</x:v>
      </x:c>
      <x:c r="C10" s="9" t="str">
        <x:v>IF01</x:v>
      </x:c>
      <x:c r="D10" s="9" t="str">
        <x:v>ROOT_B</x:v>
      </x:c>
      <x:c r="E10" s="9" t="str">
        <x:v>S0_FRESH</x:v>
      </x:c>
      <x:c r="F10" s="9" t="str">
        <x:v>IP-IF01-B-S0</x:v>
      </x:c>
      <x:c r="G10" s="9" t="n">
        <x:v>1</x:v>
      </x:c>
      <x:c r="H10" s="9" t="n">
        <x:v>0</x:v>
      </x:c>
      <x:c r="I10" s="9" t="n">
        <x:v>0</x:v>
      </x:c>
      <x:c r="J10" s="9" t="n">
        <x:v>0</x:v>
      </x:c>
      <x:c r="K10" s="9" t="n">
        <x:v>0</x:v>
      </x:c>
      <x:c r="L10" s="9" t="str">
        <x:f>IF(AND(B10&lt;&gt;"",COUNTIFS('Article Bank'!$B$7:$B$136,F10,'Article Bank'!$D$7:$D$136,D10,'Article Bank'!$E$7:$E$136,C10,'Article Bank'!$F$7:$F$136,E10)=1,G10=1),"PASS","FAIL")</x:f>
        <x:v>PASS</x:v>
      </x:c>
      <x:c r="M10" s="9" t="str">
        <x:v>OPEN</x:v>
      </x:c>
    </x:row>
    <x:row r="11">
      <x:c r="B11" s="9" t="str">
        <x:v>IT-IF01-B-S1</x:v>
      </x:c>
      <x:c r="C11" s="9" t="str">
        <x:v>IF01</x:v>
      </x:c>
      <x:c r="D11" s="9" t="str">
        <x:v>ROOT_B</x:v>
      </x:c>
      <x:c r="E11" s="9" t="str">
        <x:v>S1_CHALLENGE</x:v>
      </x:c>
      <x:c r="F11" s="9" t="str">
        <x:v>IP-IF01-B-S1</x:v>
      </x:c>
      <x:c r="G11" s="9" t="n">
        <x:v>1</x:v>
      </x:c>
      <x:c r="H11" s="9" t="n">
        <x:v>0</x:v>
      </x:c>
      <x:c r="I11" s="9" t="n">
        <x:v>0</x:v>
      </x:c>
      <x:c r="J11" s="9" t="n">
        <x:v>0</x:v>
      </x:c>
      <x:c r="K11" s="9" t="n">
        <x:v>0</x:v>
      </x:c>
      <x:c r="L11" s="9" t="str">
        <x:f>IF(AND(B11&lt;&gt;"",COUNTIFS('Article Bank'!$B$7:$B$136,F11,'Article Bank'!$D$7:$D$136,D11,'Article Bank'!$E$7:$E$136,C11,'Article Bank'!$F$7:$F$136,E11)=1,G11=1),"PASS","FAIL")</x:f>
        <x:v>PASS</x:v>
      </x:c>
      <x:c r="M11" s="9" t="str">
        <x:v>OPEN</x:v>
      </x:c>
    </x:row>
    <x:row r="12">
      <x:c r="B12" s="9" t="str">
        <x:v>IT-IF01-B-S2</x:v>
      </x:c>
      <x:c r="C12" s="9" t="str">
        <x:v>IF01</x:v>
      </x:c>
      <x:c r="D12" s="9" t="str">
        <x:v>ROOT_B</x:v>
      </x:c>
      <x:c r="E12" s="9" t="str">
        <x:v>S2_COLD_RESET</x:v>
      </x:c>
      <x:c r="F12" s="9" t="str">
        <x:v>IP-IF01-B-S2</x:v>
      </x:c>
      <x:c r="G12" s="9" t="n">
        <x:v>1</x:v>
      </x:c>
      <x:c r="H12" s="9" t="n">
        <x:v>0</x:v>
      </x:c>
      <x:c r="I12" s="9" t="n">
        <x:v>0</x:v>
      </x:c>
      <x:c r="J12" s="9" t="n">
        <x:v>1</x:v>
      </x:c>
      <x:c r="K12" s="9" t="n">
        <x:v>0</x:v>
      </x:c>
      <x:c r="L12" s="9" t="str">
        <x:f>IF(AND(B12&lt;&gt;"",COUNTIFS('Article Bank'!$B$7:$B$136,F12,'Article Bank'!$D$7:$D$136,D12,'Article Bank'!$E$7:$E$136,C12,'Article Bank'!$F$7:$F$136,E12)=1,G12=1),"PASS","FAIL")</x:f>
        <x:v>PASS</x:v>
      </x:c>
      <x:c r="M12" s="9" t="str">
        <x:v>OPEN</x:v>
      </x:c>
    </x:row>
    <x:row r="13">
      <x:c r="B13" s="9" t="str">
        <x:v>IT-IF02-A-S0</x:v>
      </x:c>
      <x:c r="C13" s="9" t="str">
        <x:v>IF02</x:v>
      </x:c>
      <x:c r="D13" s="9" t="str">
        <x:v>ROOT_A</x:v>
      </x:c>
      <x:c r="E13" s="9" t="str">
        <x:v>S0_FRESH</x:v>
      </x:c>
      <x:c r="F13" s="9" t="str">
        <x:v>IP-IF02-A-S0</x:v>
      </x:c>
      <x:c r="G13" s="9" t="n">
        <x:v>1</x:v>
      </x:c>
      <x:c r="H13" s="9" t="n">
        <x:v>0</x:v>
      </x:c>
      <x:c r="I13" s="9" t="n">
        <x:v>0</x:v>
      </x:c>
      <x:c r="J13" s="9" t="n">
        <x:v>0</x:v>
      </x:c>
      <x:c r="K13" s="9" t="n">
        <x:v>0</x:v>
      </x:c>
      <x:c r="L13" s="9" t="str">
        <x:f>IF(AND(B13&lt;&gt;"",COUNTIFS('Article Bank'!$B$7:$B$136,F13,'Article Bank'!$D$7:$D$136,D13,'Article Bank'!$E$7:$E$136,C13,'Article Bank'!$F$7:$F$136,E13)=1,G13=1),"PASS","FAIL")</x:f>
        <x:v>PASS</x:v>
      </x:c>
      <x:c r="M13" s="9" t="str">
        <x:v>OPEN</x:v>
      </x:c>
    </x:row>
    <x:row r="14">
      <x:c r="B14" s="9" t="str">
        <x:v>IT-IF02-A-S1</x:v>
      </x:c>
      <x:c r="C14" s="9" t="str">
        <x:v>IF02</x:v>
      </x:c>
      <x:c r="D14" s="9" t="str">
        <x:v>ROOT_A</x:v>
      </x:c>
      <x:c r="E14" s="9" t="str">
        <x:v>S1_CHALLENGE</x:v>
      </x:c>
      <x:c r="F14" s="9" t="str">
        <x:v>IP-IF02-A-S1</x:v>
      </x:c>
      <x:c r="G14" s="9" t="n">
        <x:v>1</x:v>
      </x:c>
      <x:c r="H14" s="9" t="n">
        <x:v>0</x:v>
      </x:c>
      <x:c r="I14" s="9" t="n">
        <x:v>0</x:v>
      </x:c>
      <x:c r="J14" s="9" t="n">
        <x:v>0</x:v>
      </x:c>
      <x:c r="K14" s="9" t="n">
        <x:v>0</x:v>
      </x:c>
      <x:c r="L14" s="9" t="str">
        <x:f>IF(AND(B14&lt;&gt;"",COUNTIFS('Article Bank'!$B$7:$B$136,F14,'Article Bank'!$D$7:$D$136,D14,'Article Bank'!$E$7:$E$136,C14,'Article Bank'!$F$7:$F$136,E14)=1,G14=1),"PASS","FAIL")</x:f>
        <x:v>PASS</x:v>
      </x:c>
      <x:c r="M14" s="9" t="str">
        <x:v>OPEN</x:v>
      </x:c>
    </x:row>
    <x:row r="15">
      <x:c r="B15" s="9" t="str">
        <x:v>IT-IF02-A-S2</x:v>
      </x:c>
      <x:c r="C15" s="9" t="str">
        <x:v>IF02</x:v>
      </x:c>
      <x:c r="D15" s="9" t="str">
        <x:v>ROOT_A</x:v>
      </x:c>
      <x:c r="E15" s="9" t="str">
        <x:v>S2_COLD_RESET</x:v>
      </x:c>
      <x:c r="F15" s="9" t="str">
        <x:v>IP-IF02-A-S2</x:v>
      </x:c>
      <x:c r="G15" s="9" t="n">
        <x:v>1</x:v>
      </x:c>
      <x:c r="H15" s="9" t="n">
        <x:v>0</x:v>
      </x:c>
      <x:c r="I15" s="9" t="n">
        <x:v>0</x:v>
      </x:c>
      <x:c r="J15" s="9" t="n">
        <x:v>1</x:v>
      </x:c>
      <x:c r="K15" s="9" t="n">
        <x:v>0</x:v>
      </x:c>
      <x:c r="L15" s="9" t="str">
        <x:f>IF(AND(B15&lt;&gt;"",COUNTIFS('Article Bank'!$B$7:$B$136,F15,'Article Bank'!$D$7:$D$136,D15,'Article Bank'!$E$7:$E$136,C15,'Article Bank'!$F$7:$F$136,E15)=1,G15=1),"PASS","FAIL")</x:f>
        <x:v>PASS</x:v>
      </x:c>
      <x:c r="M15" s="9" t="str">
        <x:v>OPEN</x:v>
      </x:c>
    </x:row>
    <x:row r="16">
      <x:c r="B16" s="9" t="str">
        <x:v>IT-IF02-B-S0</x:v>
      </x:c>
      <x:c r="C16" s="9" t="str">
        <x:v>IF02</x:v>
      </x:c>
      <x:c r="D16" s="9" t="str">
        <x:v>ROOT_B</x:v>
      </x:c>
      <x:c r="E16" s="9" t="str">
        <x:v>S0_FRESH</x:v>
      </x:c>
      <x:c r="F16" s="9" t="str">
        <x:v>IP-IF02-B-S0</x:v>
      </x:c>
      <x:c r="G16" s="9" t="n">
        <x:v>1</x:v>
      </x:c>
      <x:c r="H16" s="9" t="n">
        <x:v>0</x:v>
      </x:c>
      <x:c r="I16" s="9" t="n">
        <x:v>0</x:v>
      </x:c>
      <x:c r="J16" s="9" t="n">
        <x:v>0</x:v>
      </x:c>
      <x:c r="K16" s="9" t="n">
        <x:v>0</x:v>
      </x:c>
      <x:c r="L16" s="9" t="str">
        <x:f>IF(AND(B16&lt;&gt;"",COUNTIFS('Article Bank'!$B$7:$B$136,F16,'Article Bank'!$D$7:$D$136,D16,'Article Bank'!$E$7:$E$136,C16,'Article Bank'!$F$7:$F$136,E16)=1,G16=1),"PASS","FAIL")</x:f>
        <x:v>PASS</x:v>
      </x:c>
      <x:c r="M16" s="9" t="str">
        <x:v>OPEN</x:v>
      </x:c>
    </x:row>
    <x:row r="17">
      <x:c r="B17" s="9" t="str">
        <x:v>IT-IF02-B-S1</x:v>
      </x:c>
      <x:c r="C17" s="9" t="str">
        <x:v>IF02</x:v>
      </x:c>
      <x:c r="D17" s="9" t="str">
        <x:v>ROOT_B</x:v>
      </x:c>
      <x:c r="E17" s="9" t="str">
        <x:v>S1_CHALLENGE</x:v>
      </x:c>
      <x:c r="F17" s="9" t="str">
        <x:v>IP-IF02-B-S1</x:v>
      </x:c>
      <x:c r="G17" s="9" t="n">
        <x:v>1</x:v>
      </x:c>
      <x:c r="H17" s="9" t="n">
        <x:v>0</x:v>
      </x:c>
      <x:c r="I17" s="9" t="n">
        <x:v>0</x:v>
      </x:c>
      <x:c r="J17" s="9" t="n">
        <x:v>0</x:v>
      </x:c>
      <x:c r="K17" s="9" t="n">
        <x:v>0</x:v>
      </x:c>
      <x:c r="L17" s="9" t="str">
        <x:f>IF(AND(B17&lt;&gt;"",COUNTIFS('Article Bank'!$B$7:$B$136,F17,'Article Bank'!$D$7:$D$136,D17,'Article Bank'!$E$7:$E$136,C17,'Article Bank'!$F$7:$F$136,E17)=1,G17=1),"PASS","FAIL")</x:f>
        <x:v>PASS</x:v>
      </x:c>
      <x:c r="M17" s="9" t="str">
        <x:v>OPEN</x:v>
      </x:c>
    </x:row>
    <x:row r="18">
      <x:c r="B18" s="9" t="str">
        <x:v>IT-IF02-B-S2</x:v>
      </x:c>
      <x:c r="C18" s="9" t="str">
        <x:v>IF02</x:v>
      </x:c>
      <x:c r="D18" s="9" t="str">
        <x:v>ROOT_B</x:v>
      </x:c>
      <x:c r="E18" s="9" t="str">
        <x:v>S2_COLD_RESET</x:v>
      </x:c>
      <x:c r="F18" s="9" t="str">
        <x:v>IP-IF02-B-S2</x:v>
      </x:c>
      <x:c r="G18" s="9" t="n">
        <x:v>1</x:v>
      </x:c>
      <x:c r="H18" s="9" t="n">
        <x:v>0</x:v>
      </x:c>
      <x:c r="I18" s="9" t="n">
        <x:v>0</x:v>
      </x:c>
      <x:c r="J18" s="9" t="n">
        <x:v>1</x:v>
      </x:c>
      <x:c r="K18" s="9" t="n">
        <x:v>0</x:v>
      </x:c>
      <x:c r="L18" s="9" t="str">
        <x:f>IF(AND(B18&lt;&gt;"",COUNTIFS('Article Bank'!$B$7:$B$136,F18,'Article Bank'!$D$7:$D$136,D18,'Article Bank'!$E$7:$E$136,C18,'Article Bank'!$F$7:$F$136,E18)=1,G18=1),"PASS","FAIL")</x:f>
        <x:v>PASS</x:v>
      </x:c>
      <x:c r="M18" s="9" t="str">
        <x:v>OPEN</x:v>
      </x:c>
    </x:row>
    <x:row r="19">
      <x:c r="B19" s="9" t="str">
        <x:v>IT-IF03-A-S0</x:v>
      </x:c>
      <x:c r="C19" s="9" t="str">
        <x:v>IF03</x:v>
      </x:c>
      <x:c r="D19" s="9" t="str">
        <x:v>ROOT_A</x:v>
      </x:c>
      <x:c r="E19" s="9" t="str">
        <x:v>S0_FRESH</x:v>
      </x:c>
      <x:c r="F19" s="9" t="str">
        <x:v>IP-IF03-A-S0</x:v>
      </x:c>
      <x:c r="G19" s="9" t="n">
        <x:v>1</x:v>
      </x:c>
      <x:c r="H19" s="9" t="n">
        <x:v>0</x:v>
      </x:c>
      <x:c r="I19" s="9" t="n">
        <x:v>0</x:v>
      </x:c>
      <x:c r="J19" s="9" t="n">
        <x:v>0</x:v>
      </x:c>
      <x:c r="K19" s="9" t="n">
        <x:v>0</x:v>
      </x:c>
      <x:c r="L19" s="9" t="str">
        <x:f>IF(AND(B19&lt;&gt;"",COUNTIFS('Article Bank'!$B$7:$B$136,F19,'Article Bank'!$D$7:$D$136,D19,'Article Bank'!$E$7:$E$136,C19,'Article Bank'!$F$7:$F$136,E19)=1,G19=1),"PASS","FAIL")</x:f>
        <x:v>PASS</x:v>
      </x:c>
      <x:c r="M19" s="9" t="str">
        <x:v>OPEN</x:v>
      </x:c>
    </x:row>
    <x:row r="20">
      <x:c r="B20" s="9" t="str">
        <x:v>IT-IF03-A-S1</x:v>
      </x:c>
      <x:c r="C20" s="9" t="str">
        <x:v>IF03</x:v>
      </x:c>
      <x:c r="D20" s="9" t="str">
        <x:v>ROOT_A</x:v>
      </x:c>
      <x:c r="E20" s="9" t="str">
        <x:v>S1_CHALLENGE</x:v>
      </x:c>
      <x:c r="F20" s="9" t="str">
        <x:v>IP-IF03-A-S1</x:v>
      </x:c>
      <x:c r="G20" s="9" t="n">
        <x:v>1</x:v>
      </x:c>
      <x:c r="H20" s="9" t="n">
        <x:v>0</x:v>
      </x:c>
      <x:c r="I20" s="9" t="n">
        <x:v>0</x:v>
      </x:c>
      <x:c r="J20" s="9" t="n">
        <x:v>0</x:v>
      </x:c>
      <x:c r="K20" s="9" t="n">
        <x:v>0</x:v>
      </x:c>
      <x:c r="L20" s="9" t="str">
        <x:f>IF(AND(B20&lt;&gt;"",COUNTIFS('Article Bank'!$B$7:$B$136,F20,'Article Bank'!$D$7:$D$136,D20,'Article Bank'!$E$7:$E$136,C20,'Article Bank'!$F$7:$F$136,E20)=1,G20=1),"PASS","FAIL")</x:f>
        <x:v>PASS</x:v>
      </x:c>
      <x:c r="M20" s="9" t="str">
        <x:v>OPEN</x:v>
      </x:c>
    </x:row>
    <x:row r="21">
      <x:c r="B21" s="9" t="str">
        <x:v>IT-IF03-A-S2</x:v>
      </x:c>
      <x:c r="C21" s="9" t="str">
        <x:v>IF03</x:v>
      </x:c>
      <x:c r="D21" s="9" t="str">
        <x:v>ROOT_A</x:v>
      </x:c>
      <x:c r="E21" s="9" t="str">
        <x:v>S2_COLD_RESET</x:v>
      </x:c>
      <x:c r="F21" s="9" t="str">
        <x:v>IP-IF03-A-S2</x:v>
      </x:c>
      <x:c r="G21" s="9" t="n">
        <x:v>1</x:v>
      </x:c>
      <x:c r="H21" s="9" t="n">
        <x:v>0</x:v>
      </x:c>
      <x:c r="I21" s="9" t="n">
        <x:v>0</x:v>
      </x:c>
      <x:c r="J21" s="9" t="n">
        <x:v>1</x:v>
      </x:c>
      <x:c r="K21" s="9" t="n">
        <x:v>0</x:v>
      </x:c>
      <x:c r="L21" s="9" t="str">
        <x:f>IF(AND(B21&lt;&gt;"",COUNTIFS('Article Bank'!$B$7:$B$136,F21,'Article Bank'!$D$7:$D$136,D21,'Article Bank'!$E$7:$E$136,C21,'Article Bank'!$F$7:$F$136,E21)=1,G21=1),"PASS","FAIL")</x:f>
        <x:v>PASS</x:v>
      </x:c>
      <x:c r="M21" s="9" t="str">
        <x:v>OPEN</x:v>
      </x:c>
    </x:row>
    <x:row r="22">
      <x:c r="B22" s="9" t="str">
        <x:v>IT-IF03-B-S0</x:v>
      </x:c>
      <x:c r="C22" s="9" t="str">
        <x:v>IF03</x:v>
      </x:c>
      <x:c r="D22" s="9" t="str">
        <x:v>ROOT_B</x:v>
      </x:c>
      <x:c r="E22" s="9" t="str">
        <x:v>S0_FRESH</x:v>
      </x:c>
      <x:c r="F22" s="9" t="str">
        <x:v>IP-IF03-B-S0</x:v>
      </x:c>
      <x:c r="G22" s="9" t="n">
        <x:v>1</x:v>
      </x:c>
      <x:c r="H22" s="9" t="n">
        <x:v>0</x:v>
      </x:c>
      <x:c r="I22" s="9" t="n">
        <x:v>0</x:v>
      </x:c>
      <x:c r="J22" s="9" t="n">
        <x:v>0</x:v>
      </x:c>
      <x:c r="K22" s="9" t="n">
        <x:v>0</x:v>
      </x:c>
      <x:c r="L22" s="9" t="str">
        <x:f>IF(AND(B22&lt;&gt;"",COUNTIFS('Article Bank'!$B$7:$B$136,F22,'Article Bank'!$D$7:$D$136,D22,'Article Bank'!$E$7:$E$136,C22,'Article Bank'!$F$7:$F$136,E22)=1,G22=1),"PASS","FAIL")</x:f>
        <x:v>PASS</x:v>
      </x:c>
      <x:c r="M22" s="9" t="str">
        <x:v>OPEN</x:v>
      </x:c>
    </x:row>
    <x:row r="23">
      <x:c r="B23" s="9" t="str">
        <x:v>IT-IF03-B-S1</x:v>
      </x:c>
      <x:c r="C23" s="9" t="str">
        <x:v>IF03</x:v>
      </x:c>
      <x:c r="D23" s="9" t="str">
        <x:v>ROOT_B</x:v>
      </x:c>
      <x:c r="E23" s="9" t="str">
        <x:v>S1_CHALLENGE</x:v>
      </x:c>
      <x:c r="F23" s="9" t="str">
        <x:v>IP-IF03-B-S1</x:v>
      </x:c>
      <x:c r="G23" s="9" t="n">
        <x:v>1</x:v>
      </x:c>
      <x:c r="H23" s="9" t="n">
        <x:v>0</x:v>
      </x:c>
      <x:c r="I23" s="9" t="n">
        <x:v>0</x:v>
      </x:c>
      <x:c r="J23" s="9" t="n">
        <x:v>0</x:v>
      </x:c>
      <x:c r="K23" s="9" t="n">
        <x:v>0</x:v>
      </x:c>
      <x:c r="L23" s="9" t="str">
        <x:f>IF(AND(B23&lt;&gt;"",COUNTIFS('Article Bank'!$B$7:$B$136,F23,'Article Bank'!$D$7:$D$136,D23,'Article Bank'!$E$7:$E$136,C23,'Article Bank'!$F$7:$F$136,E23)=1,G23=1),"PASS","FAIL")</x:f>
        <x:v>PASS</x:v>
      </x:c>
      <x:c r="M23" s="9" t="str">
        <x:v>OPEN</x:v>
      </x:c>
    </x:row>
    <x:row r="24">
      <x:c r="B24" s="9" t="str">
        <x:v>IT-IF03-B-S2</x:v>
      </x:c>
      <x:c r="C24" s="9" t="str">
        <x:v>IF03</x:v>
      </x:c>
      <x:c r="D24" s="9" t="str">
        <x:v>ROOT_B</x:v>
      </x:c>
      <x:c r="E24" s="9" t="str">
        <x:v>S2_COLD_RESET</x:v>
      </x:c>
      <x:c r="F24" s="9" t="str">
        <x:v>IP-IF03-B-S2</x:v>
      </x:c>
      <x:c r="G24" s="9" t="n">
        <x:v>1</x:v>
      </x:c>
      <x:c r="H24" s="9" t="n">
        <x:v>0</x:v>
      </x:c>
      <x:c r="I24" s="9" t="n">
        <x:v>0</x:v>
      </x:c>
      <x:c r="J24" s="9" t="n">
        <x:v>1</x:v>
      </x:c>
      <x:c r="K24" s="9" t="n">
        <x:v>0</x:v>
      </x:c>
      <x:c r="L24" s="9" t="str">
        <x:f>IF(AND(B24&lt;&gt;"",COUNTIFS('Article Bank'!$B$7:$B$136,F24,'Article Bank'!$D$7:$D$136,D24,'Article Bank'!$E$7:$E$136,C24,'Article Bank'!$F$7:$F$136,E24)=1,G24=1),"PASS","FAIL")</x:f>
        <x:v>PASS</x:v>
      </x:c>
      <x:c r="M24" s="9" t="str">
        <x:v>OPEN</x:v>
      </x:c>
    </x:row>
    <x:row r="25">
      <x:c r="B25" s="9" t="str">
        <x:v>IT-IF04-A-S0</x:v>
      </x:c>
      <x:c r="C25" s="9" t="str">
        <x:v>IF04</x:v>
      </x:c>
      <x:c r="D25" s="9" t="str">
        <x:v>ROOT_A</x:v>
      </x:c>
      <x:c r="E25" s="9" t="str">
        <x:v>S0_FRESH</x:v>
      </x:c>
      <x:c r="F25" s="9" t="str">
        <x:v>IP-IF04-A-S0</x:v>
      </x:c>
      <x:c r="G25" s="9" t="n">
        <x:v>1</x:v>
      </x:c>
      <x:c r="H25" s="9" t="n">
        <x:v>0</x:v>
      </x:c>
      <x:c r="I25" s="9" t="n">
        <x:v>0</x:v>
      </x:c>
      <x:c r="J25" s="9" t="n">
        <x:v>0</x:v>
      </x:c>
      <x:c r="K25" s="9" t="n">
        <x:v>0</x:v>
      </x:c>
      <x:c r="L25" s="9" t="str">
        <x:f>IF(AND(B25&lt;&gt;"",COUNTIFS('Article Bank'!$B$7:$B$136,F25,'Article Bank'!$D$7:$D$136,D25,'Article Bank'!$E$7:$E$136,C25,'Article Bank'!$F$7:$F$136,E25)=1,G25=1),"PASS","FAIL")</x:f>
        <x:v>PASS</x:v>
      </x:c>
      <x:c r="M25" s="9" t="str">
        <x:v>OPEN</x:v>
      </x:c>
    </x:row>
    <x:row r="26">
      <x:c r="B26" s="9" t="str">
        <x:v>IT-IF04-A-S1</x:v>
      </x:c>
      <x:c r="C26" s="9" t="str">
        <x:v>IF04</x:v>
      </x:c>
      <x:c r="D26" s="9" t="str">
        <x:v>ROOT_A</x:v>
      </x:c>
      <x:c r="E26" s="9" t="str">
        <x:v>S1_CHALLENGE</x:v>
      </x:c>
      <x:c r="F26" s="9" t="str">
        <x:v>IP-IF04-A-S1</x:v>
      </x:c>
      <x:c r="G26" s="9" t="n">
        <x:v>1</x:v>
      </x:c>
      <x:c r="H26" s="9" t="n">
        <x:v>0</x:v>
      </x:c>
      <x:c r="I26" s="9" t="n">
        <x:v>0</x:v>
      </x:c>
      <x:c r="J26" s="9" t="n">
        <x:v>0</x:v>
      </x:c>
      <x:c r="K26" s="9" t="n">
        <x:v>0</x:v>
      </x:c>
      <x:c r="L26" s="9" t="str">
        <x:f>IF(AND(B26&lt;&gt;"",COUNTIFS('Article Bank'!$B$7:$B$136,F26,'Article Bank'!$D$7:$D$136,D26,'Article Bank'!$E$7:$E$136,C26,'Article Bank'!$F$7:$F$136,E26)=1,G26=1),"PASS","FAIL")</x:f>
        <x:v>PASS</x:v>
      </x:c>
      <x:c r="M26" s="9" t="str">
        <x:v>OPEN</x:v>
      </x:c>
    </x:row>
    <x:row r="27">
      <x:c r="B27" s="9" t="str">
        <x:v>IT-IF04-A-S2</x:v>
      </x:c>
      <x:c r="C27" s="9" t="str">
        <x:v>IF04</x:v>
      </x:c>
      <x:c r="D27" s="9" t="str">
        <x:v>ROOT_A</x:v>
      </x:c>
      <x:c r="E27" s="9" t="str">
        <x:v>S2_COLD_RESET</x:v>
      </x:c>
      <x:c r="F27" s="9" t="str">
        <x:v>IP-IF04-A-S2</x:v>
      </x:c>
      <x:c r="G27" s="9" t="n">
        <x:v>1</x:v>
      </x:c>
      <x:c r="H27" s="9" t="n">
        <x:v>0</x:v>
      </x:c>
      <x:c r="I27" s="9" t="n">
        <x:v>0</x:v>
      </x:c>
      <x:c r="J27" s="9" t="n">
        <x:v>1</x:v>
      </x:c>
      <x:c r="K27" s="9" t="n">
        <x:v>0</x:v>
      </x:c>
      <x:c r="L27" s="9" t="str">
        <x:f>IF(AND(B27&lt;&gt;"",COUNTIFS('Article Bank'!$B$7:$B$136,F27,'Article Bank'!$D$7:$D$136,D27,'Article Bank'!$E$7:$E$136,C27,'Article Bank'!$F$7:$F$136,E27)=1,G27=1),"PASS","FAIL")</x:f>
        <x:v>PASS</x:v>
      </x:c>
      <x:c r="M27" s="9" t="str">
        <x:v>OPEN</x:v>
      </x:c>
    </x:row>
    <x:row r="28">
      <x:c r="B28" s="9" t="str">
        <x:v>IT-IF04-B-S0</x:v>
      </x:c>
      <x:c r="C28" s="9" t="str">
        <x:v>IF04</x:v>
      </x:c>
      <x:c r="D28" s="9" t="str">
        <x:v>ROOT_B</x:v>
      </x:c>
      <x:c r="E28" s="9" t="str">
        <x:v>S0_FRESH</x:v>
      </x:c>
      <x:c r="F28" s="9" t="str">
        <x:v>IP-IF04-B-S0</x:v>
      </x:c>
      <x:c r="G28" s="9" t="n">
        <x:v>1</x:v>
      </x:c>
      <x:c r="H28" s="9" t="n">
        <x:v>0</x:v>
      </x:c>
      <x:c r="I28" s="9" t="n">
        <x:v>0</x:v>
      </x:c>
      <x:c r="J28" s="9" t="n">
        <x:v>0</x:v>
      </x:c>
      <x:c r="K28" s="9" t="n">
        <x:v>0</x:v>
      </x:c>
      <x:c r="L28" s="9" t="str">
        <x:f>IF(AND(B28&lt;&gt;"",COUNTIFS('Article Bank'!$B$7:$B$136,F28,'Article Bank'!$D$7:$D$136,D28,'Article Bank'!$E$7:$E$136,C28,'Article Bank'!$F$7:$F$136,E28)=1,G28=1),"PASS","FAIL")</x:f>
        <x:v>PASS</x:v>
      </x:c>
      <x:c r="M28" s="9" t="str">
        <x:v>OPEN</x:v>
      </x:c>
    </x:row>
    <x:row r="29">
      <x:c r="B29" s="9" t="str">
        <x:v>IT-IF04-B-S1</x:v>
      </x:c>
      <x:c r="C29" s="9" t="str">
        <x:v>IF04</x:v>
      </x:c>
      <x:c r="D29" s="9" t="str">
        <x:v>ROOT_B</x:v>
      </x:c>
      <x:c r="E29" s="9" t="str">
        <x:v>S1_CHALLENGE</x:v>
      </x:c>
      <x:c r="F29" s="9" t="str">
        <x:v>IP-IF04-B-S1</x:v>
      </x:c>
      <x:c r="G29" s="9" t="n">
        <x:v>1</x:v>
      </x:c>
      <x:c r="H29" s="9" t="n">
        <x:v>0</x:v>
      </x:c>
      <x:c r="I29" s="9" t="n">
        <x:v>0</x:v>
      </x:c>
      <x:c r="J29" s="9" t="n">
        <x:v>0</x:v>
      </x:c>
      <x:c r="K29" s="9" t="n">
        <x:v>0</x:v>
      </x:c>
      <x:c r="L29" s="9" t="str">
        <x:f>IF(AND(B29&lt;&gt;"",COUNTIFS('Article Bank'!$B$7:$B$136,F29,'Article Bank'!$D$7:$D$136,D29,'Article Bank'!$E$7:$E$136,C29,'Article Bank'!$F$7:$F$136,E29)=1,G29=1),"PASS","FAIL")</x:f>
        <x:v>PASS</x:v>
      </x:c>
      <x:c r="M29" s="9" t="str">
        <x:v>OPEN</x:v>
      </x:c>
    </x:row>
    <x:row r="30">
      <x:c r="B30" s="9" t="str">
        <x:v>IT-IF04-B-S2</x:v>
      </x:c>
      <x:c r="C30" s="9" t="str">
        <x:v>IF04</x:v>
      </x:c>
      <x:c r="D30" s="9" t="str">
        <x:v>ROOT_B</x:v>
      </x:c>
      <x:c r="E30" s="9" t="str">
        <x:v>S2_COLD_RESET</x:v>
      </x:c>
      <x:c r="F30" s="9" t="str">
        <x:v>IP-IF04-B-S2</x:v>
      </x:c>
      <x:c r="G30" s="9" t="n">
        <x:v>1</x:v>
      </x:c>
      <x:c r="H30" s="9" t="n">
        <x:v>0</x:v>
      </x:c>
      <x:c r="I30" s="9" t="n">
        <x:v>0</x:v>
      </x:c>
      <x:c r="J30" s="9" t="n">
        <x:v>1</x:v>
      </x:c>
      <x:c r="K30" s="9" t="n">
        <x:v>0</x:v>
      </x:c>
      <x:c r="L30" s="9" t="str">
        <x:f>IF(AND(B30&lt;&gt;"",COUNTIFS('Article Bank'!$B$7:$B$136,F30,'Article Bank'!$D$7:$D$136,D30,'Article Bank'!$E$7:$E$136,C30,'Article Bank'!$F$7:$F$136,E30)=1,G30=1),"PASS","FAIL")</x:f>
        <x:v>PASS</x:v>
      </x:c>
      <x:c r="M30" s="9" t="str">
        <x:v>OPEN</x:v>
      </x:c>
    </x:row>
    <x:row r="31">
      <x:c r="B31" s="9" t="str">
        <x:v>IT-IF05-A-S0</x:v>
      </x:c>
      <x:c r="C31" s="9" t="str">
        <x:v>IF05</x:v>
      </x:c>
      <x:c r="D31" s="9" t="str">
        <x:v>ROOT_A</x:v>
      </x:c>
      <x:c r="E31" s="9" t="str">
        <x:v>S0_FRESH</x:v>
      </x:c>
      <x:c r="F31" s="9" t="str">
        <x:v>IP-IF05-A-S0</x:v>
      </x:c>
      <x:c r="G31" s="9" t="n">
        <x:v>1</x:v>
      </x:c>
      <x:c r="H31" s="9" t="n">
        <x:v>0</x:v>
      </x:c>
      <x:c r="I31" s="9" t="n">
        <x:v>0</x:v>
      </x:c>
      <x:c r="J31" s="9" t="n">
        <x:v>0</x:v>
      </x:c>
      <x:c r="K31" s="9" t="n">
        <x:v>0</x:v>
      </x:c>
      <x:c r="L31" s="9" t="str">
        <x:f>IF(AND(B31&lt;&gt;"",COUNTIFS('Article Bank'!$B$7:$B$136,F31,'Article Bank'!$D$7:$D$136,D31,'Article Bank'!$E$7:$E$136,C31,'Article Bank'!$F$7:$F$136,E31)=1,G31=1),"PASS","FAIL")</x:f>
        <x:v>PASS</x:v>
      </x:c>
      <x:c r="M31" s="9" t="str">
        <x:v>OPEN</x:v>
      </x:c>
    </x:row>
    <x:row r="32">
      <x:c r="B32" s="9" t="str">
        <x:v>IT-IF05-A-S1</x:v>
      </x:c>
      <x:c r="C32" s="9" t="str">
        <x:v>IF05</x:v>
      </x:c>
      <x:c r="D32" s="9" t="str">
        <x:v>ROOT_A</x:v>
      </x:c>
      <x:c r="E32" s="9" t="str">
        <x:v>S1_CHALLENGE</x:v>
      </x:c>
      <x:c r="F32" s="9" t="str">
        <x:v>IP-IF05-A-S1</x:v>
      </x:c>
      <x:c r="G32" s="9" t="n">
        <x:v>1</x:v>
      </x:c>
      <x:c r="H32" s="9" t="n">
        <x:v>0</x:v>
      </x:c>
      <x:c r="I32" s="9" t="n">
        <x:v>0</x:v>
      </x:c>
      <x:c r="J32" s="9" t="n">
        <x:v>0</x:v>
      </x:c>
      <x:c r="K32" s="9" t="n">
        <x:v>0</x:v>
      </x:c>
      <x:c r="L32" s="9" t="str">
        <x:f>IF(AND(B32&lt;&gt;"",COUNTIFS('Article Bank'!$B$7:$B$136,F32,'Article Bank'!$D$7:$D$136,D32,'Article Bank'!$E$7:$E$136,C32,'Article Bank'!$F$7:$F$136,E32)=1,G32=1),"PASS","FAIL")</x:f>
        <x:v>PASS</x:v>
      </x:c>
      <x:c r="M32" s="9" t="str">
        <x:v>OPEN</x:v>
      </x:c>
    </x:row>
    <x:row r="33">
      <x:c r="B33" s="9" t="str">
        <x:v>IT-IF05-A-S2</x:v>
      </x:c>
      <x:c r="C33" s="9" t="str">
        <x:v>IF05</x:v>
      </x:c>
      <x:c r="D33" s="9" t="str">
        <x:v>ROOT_A</x:v>
      </x:c>
      <x:c r="E33" s="9" t="str">
        <x:v>S2_COLD_RESET</x:v>
      </x:c>
      <x:c r="F33" s="9" t="str">
        <x:v>IP-IF05-A-S2</x:v>
      </x:c>
      <x:c r="G33" s="9" t="n">
        <x:v>1</x:v>
      </x:c>
      <x:c r="H33" s="9" t="n">
        <x:v>0</x:v>
      </x:c>
      <x:c r="I33" s="9" t="n">
        <x:v>0</x:v>
      </x:c>
      <x:c r="J33" s="9" t="n">
        <x:v>1</x:v>
      </x:c>
      <x:c r="K33" s="9" t="n">
        <x:v>0</x:v>
      </x:c>
      <x:c r="L33" s="9" t="str">
        <x:f>IF(AND(B33&lt;&gt;"",COUNTIFS('Article Bank'!$B$7:$B$136,F33,'Article Bank'!$D$7:$D$136,D33,'Article Bank'!$E$7:$E$136,C33,'Article Bank'!$F$7:$F$136,E33)=1,G33=1),"PASS","FAIL")</x:f>
        <x:v>PASS</x:v>
      </x:c>
      <x:c r="M33" s="9" t="str">
        <x:v>OPEN</x:v>
      </x:c>
    </x:row>
    <x:row r="34">
      <x:c r="B34" s="9" t="str">
        <x:v>IT-IF05-B-S0</x:v>
      </x:c>
      <x:c r="C34" s="9" t="str">
        <x:v>IF05</x:v>
      </x:c>
      <x:c r="D34" s="9" t="str">
        <x:v>ROOT_B</x:v>
      </x:c>
      <x:c r="E34" s="9" t="str">
        <x:v>S0_FRESH</x:v>
      </x:c>
      <x:c r="F34" s="9" t="str">
        <x:v>IP-IF05-B-S0</x:v>
      </x:c>
      <x:c r="G34" s="9" t="n">
        <x:v>1</x:v>
      </x:c>
      <x:c r="H34" s="9" t="n">
        <x:v>0</x:v>
      </x:c>
      <x:c r="I34" s="9" t="n">
        <x:v>0</x:v>
      </x:c>
      <x:c r="J34" s="9" t="n">
        <x:v>0</x:v>
      </x:c>
      <x:c r="K34" s="9" t="n">
        <x:v>0</x:v>
      </x:c>
      <x:c r="L34" s="9" t="str">
        <x:f>IF(AND(B34&lt;&gt;"",COUNTIFS('Article Bank'!$B$7:$B$136,F34,'Article Bank'!$D$7:$D$136,D34,'Article Bank'!$E$7:$E$136,C34,'Article Bank'!$F$7:$F$136,E34)=1,G34=1),"PASS","FAIL")</x:f>
        <x:v>PASS</x:v>
      </x:c>
      <x:c r="M34" s="9" t="str">
        <x:v>OPEN</x:v>
      </x:c>
    </x:row>
    <x:row r="35">
      <x:c r="B35" s="9" t="str">
        <x:v>IT-IF05-B-S1</x:v>
      </x:c>
      <x:c r="C35" s="9" t="str">
        <x:v>IF05</x:v>
      </x:c>
      <x:c r="D35" s="9" t="str">
        <x:v>ROOT_B</x:v>
      </x:c>
      <x:c r="E35" s="9" t="str">
        <x:v>S1_CHALLENGE</x:v>
      </x:c>
      <x:c r="F35" s="9" t="str">
        <x:v>IP-IF05-B-S1</x:v>
      </x:c>
      <x:c r="G35" s="9" t="n">
        <x:v>1</x:v>
      </x:c>
      <x:c r="H35" s="9" t="n">
        <x:v>0</x:v>
      </x:c>
      <x:c r="I35" s="9" t="n">
        <x:v>0</x:v>
      </x:c>
      <x:c r="J35" s="9" t="n">
        <x:v>0</x:v>
      </x:c>
      <x:c r="K35" s="9" t="n">
        <x:v>0</x:v>
      </x:c>
      <x:c r="L35" s="9" t="str">
        <x:f>IF(AND(B35&lt;&gt;"",COUNTIFS('Article Bank'!$B$7:$B$136,F35,'Article Bank'!$D$7:$D$136,D35,'Article Bank'!$E$7:$E$136,C35,'Article Bank'!$F$7:$F$136,E35)=1,G35=1),"PASS","FAIL")</x:f>
        <x:v>PASS</x:v>
      </x:c>
      <x:c r="M35" s="9" t="str">
        <x:v>OPEN</x:v>
      </x:c>
    </x:row>
    <x:row r="36">
      <x:c r="B36" s="9" t="str">
        <x:v>IT-IF05-B-S2</x:v>
      </x:c>
      <x:c r="C36" s="9" t="str">
        <x:v>IF05</x:v>
      </x:c>
      <x:c r="D36" s="9" t="str">
        <x:v>ROOT_B</x:v>
      </x:c>
      <x:c r="E36" s="9" t="str">
        <x:v>S2_COLD_RESET</x:v>
      </x:c>
      <x:c r="F36" s="9" t="str">
        <x:v>IP-IF05-B-S2</x:v>
      </x:c>
      <x:c r="G36" s="9" t="n">
        <x:v>1</x:v>
      </x:c>
      <x:c r="H36" s="9" t="n">
        <x:v>0</x:v>
      </x:c>
      <x:c r="I36" s="9" t="n">
        <x:v>0</x:v>
      </x:c>
      <x:c r="J36" s="9" t="n">
        <x:v>1</x:v>
      </x:c>
      <x:c r="K36" s="9" t="n">
        <x:v>0</x:v>
      </x:c>
      <x:c r="L36" s="9" t="str">
        <x:f>IF(AND(B36&lt;&gt;"",COUNTIFS('Article Bank'!$B$7:$B$136,F36,'Article Bank'!$D$7:$D$136,D36,'Article Bank'!$E$7:$E$136,C36,'Article Bank'!$F$7:$F$136,E36)=1,G36=1),"PASS","FAIL")</x:f>
        <x:v>PASS</x:v>
      </x:c>
      <x:c r="M36" s="9" t="str">
        <x:v>OPEN</x:v>
      </x:c>
    </x:row>
    <x:row r="37">
      <x:c r="B37" s="9" t="str">
        <x:v>IT-IF06-A-S0</x:v>
      </x:c>
      <x:c r="C37" s="9" t="str">
        <x:v>IF06</x:v>
      </x:c>
      <x:c r="D37" s="9" t="str">
        <x:v>ROOT_A</x:v>
      </x:c>
      <x:c r="E37" s="9" t="str">
        <x:v>S0_FRESH</x:v>
      </x:c>
      <x:c r="F37" s="9" t="str">
        <x:v>IP-IF06-A-S0</x:v>
      </x:c>
      <x:c r="G37" s="9" t="n">
        <x:v>1</x:v>
      </x:c>
      <x:c r="H37" s="9" t="n">
        <x:v>0</x:v>
      </x:c>
      <x:c r="I37" s="9" t="n">
        <x:v>0</x:v>
      </x:c>
      <x:c r="J37" s="9" t="n">
        <x:v>0</x:v>
      </x:c>
      <x:c r="K37" s="9" t="n">
        <x:v>0</x:v>
      </x:c>
      <x:c r="L37" s="9" t="str">
        <x:f>IF(AND(B37&lt;&gt;"",COUNTIFS('Article Bank'!$B$7:$B$136,F37,'Article Bank'!$D$7:$D$136,D37,'Article Bank'!$E$7:$E$136,C37,'Article Bank'!$F$7:$F$136,E37)=1,G37=1),"PASS","FAIL")</x:f>
        <x:v>PASS</x:v>
      </x:c>
      <x:c r="M37" s="9" t="str">
        <x:v>OPEN</x:v>
      </x:c>
    </x:row>
    <x:row r="38">
      <x:c r="B38" s="9" t="str">
        <x:v>IT-IF06-A-S1</x:v>
      </x:c>
      <x:c r="C38" s="9" t="str">
        <x:v>IF06</x:v>
      </x:c>
      <x:c r="D38" s="9" t="str">
        <x:v>ROOT_A</x:v>
      </x:c>
      <x:c r="E38" s="9" t="str">
        <x:v>S1_CHALLENGE</x:v>
      </x:c>
      <x:c r="F38" s="9" t="str">
        <x:v>IP-IF06-A-S1</x:v>
      </x:c>
      <x:c r="G38" s="9" t="n">
        <x:v>1</x:v>
      </x:c>
      <x:c r="H38" s="9" t="n">
        <x:v>0</x:v>
      </x:c>
      <x:c r="I38" s="9" t="n">
        <x:v>0</x:v>
      </x:c>
      <x:c r="J38" s="9" t="n">
        <x:v>0</x:v>
      </x:c>
      <x:c r="K38" s="9" t="n">
        <x:v>0</x:v>
      </x:c>
      <x:c r="L38" s="9" t="str">
        <x:f>IF(AND(B38&lt;&gt;"",COUNTIFS('Article Bank'!$B$7:$B$136,F38,'Article Bank'!$D$7:$D$136,D38,'Article Bank'!$E$7:$E$136,C38,'Article Bank'!$F$7:$F$136,E38)=1,G38=1),"PASS","FAIL")</x:f>
        <x:v>PASS</x:v>
      </x:c>
      <x:c r="M38" s="9" t="str">
        <x:v>OPEN</x:v>
      </x:c>
    </x:row>
    <x:row r="39">
      <x:c r="B39" s="9" t="str">
        <x:v>IT-IF06-A-S2</x:v>
      </x:c>
      <x:c r="C39" s="9" t="str">
        <x:v>IF06</x:v>
      </x:c>
      <x:c r="D39" s="9" t="str">
        <x:v>ROOT_A</x:v>
      </x:c>
      <x:c r="E39" s="9" t="str">
        <x:v>S2_COLD_RESET</x:v>
      </x:c>
      <x:c r="F39" s="9" t="str">
        <x:v>IP-IF06-A-S2</x:v>
      </x:c>
      <x:c r="G39" s="9" t="n">
        <x:v>1</x:v>
      </x:c>
      <x:c r="H39" s="9" t="n">
        <x:v>0</x:v>
      </x:c>
      <x:c r="I39" s="9" t="n">
        <x:v>0</x:v>
      </x:c>
      <x:c r="J39" s="9" t="n">
        <x:v>1</x:v>
      </x:c>
      <x:c r="K39" s="9" t="n">
        <x:v>0</x:v>
      </x:c>
      <x:c r="L39" s="9" t="str">
        <x:f>IF(AND(B39&lt;&gt;"",COUNTIFS('Article Bank'!$B$7:$B$136,F39,'Article Bank'!$D$7:$D$136,D39,'Article Bank'!$E$7:$E$136,C39,'Article Bank'!$F$7:$F$136,E39)=1,G39=1),"PASS","FAIL")</x:f>
        <x:v>PASS</x:v>
      </x:c>
      <x:c r="M39" s="9" t="str">
        <x:v>OPEN</x:v>
      </x:c>
    </x:row>
    <x:row r="40">
      <x:c r="B40" s="9" t="str">
        <x:v>IT-IF06-B-S0</x:v>
      </x:c>
      <x:c r="C40" s="9" t="str">
        <x:v>IF06</x:v>
      </x:c>
      <x:c r="D40" s="9" t="str">
        <x:v>ROOT_B</x:v>
      </x:c>
      <x:c r="E40" s="9" t="str">
        <x:v>S0_FRESH</x:v>
      </x:c>
      <x:c r="F40" s="9" t="str">
        <x:v>IP-IF06-B-S0</x:v>
      </x:c>
      <x:c r="G40" s="9" t="n">
        <x:v>1</x:v>
      </x:c>
      <x:c r="H40" s="9" t="n">
        <x:v>0</x:v>
      </x:c>
      <x:c r="I40" s="9" t="n">
        <x:v>0</x:v>
      </x:c>
      <x:c r="J40" s="9" t="n">
        <x:v>0</x:v>
      </x:c>
      <x:c r="K40" s="9" t="n">
        <x:v>0</x:v>
      </x:c>
      <x:c r="L40" s="9" t="str">
        <x:f>IF(AND(B40&lt;&gt;"",COUNTIFS('Article Bank'!$B$7:$B$136,F40,'Article Bank'!$D$7:$D$136,D40,'Article Bank'!$E$7:$E$136,C40,'Article Bank'!$F$7:$F$136,E40)=1,G40=1),"PASS","FAIL")</x:f>
        <x:v>PASS</x:v>
      </x:c>
      <x:c r="M40" s="9" t="str">
        <x:v>OPEN</x:v>
      </x:c>
    </x:row>
    <x:row r="41">
      <x:c r="B41" s="9" t="str">
        <x:v>IT-IF06-B-S1</x:v>
      </x:c>
      <x:c r="C41" s="9" t="str">
        <x:v>IF06</x:v>
      </x:c>
      <x:c r="D41" s="9" t="str">
        <x:v>ROOT_B</x:v>
      </x:c>
      <x:c r="E41" s="9" t="str">
        <x:v>S1_CHALLENGE</x:v>
      </x:c>
      <x:c r="F41" s="9" t="str">
        <x:v>IP-IF06-B-S1</x:v>
      </x:c>
      <x:c r="G41" s="9" t="n">
        <x:v>1</x:v>
      </x:c>
      <x:c r="H41" s="9" t="n">
        <x:v>0</x:v>
      </x:c>
      <x:c r="I41" s="9" t="n">
        <x:v>0</x:v>
      </x:c>
      <x:c r="J41" s="9" t="n">
        <x:v>0</x:v>
      </x:c>
      <x:c r="K41" s="9" t="n">
        <x:v>0</x:v>
      </x:c>
      <x:c r="L41" s="9" t="str">
        <x:f>IF(AND(B41&lt;&gt;"",COUNTIFS('Article Bank'!$B$7:$B$136,F41,'Article Bank'!$D$7:$D$136,D41,'Article Bank'!$E$7:$E$136,C41,'Article Bank'!$F$7:$F$136,E41)=1,G41=1),"PASS","FAIL")</x:f>
        <x:v>PASS</x:v>
      </x:c>
      <x:c r="M41" s="9" t="str">
        <x:v>OPEN</x:v>
      </x:c>
    </x:row>
    <x:row r="42">
      <x:c r="B42" s="9" t="str">
        <x:v>IT-IF06-B-S2</x:v>
      </x:c>
      <x:c r="C42" s="9" t="str">
        <x:v>IF06</x:v>
      </x:c>
      <x:c r="D42" s="9" t="str">
        <x:v>ROOT_B</x:v>
      </x:c>
      <x:c r="E42" s="9" t="str">
        <x:v>S2_COLD_RESET</x:v>
      </x:c>
      <x:c r="F42" s="9" t="str">
        <x:v>IP-IF06-B-S2</x:v>
      </x:c>
      <x:c r="G42" s="9" t="n">
        <x:v>1</x:v>
      </x:c>
      <x:c r="H42" s="9" t="n">
        <x:v>0</x:v>
      </x:c>
      <x:c r="I42" s="9" t="n">
        <x:v>0</x:v>
      </x:c>
      <x:c r="J42" s="9" t="n">
        <x:v>1</x:v>
      </x:c>
      <x:c r="K42" s="9" t="n">
        <x:v>0</x:v>
      </x:c>
      <x:c r="L42" s="9" t="str">
        <x:f>IF(AND(B42&lt;&gt;"",COUNTIFS('Article Bank'!$B$7:$B$136,F42,'Article Bank'!$D$7:$D$136,D42,'Article Bank'!$E$7:$E$136,C42,'Article Bank'!$F$7:$F$136,E42)=1,G42=1),"PASS","FAIL")</x:f>
        <x:v>PASS</x:v>
      </x:c>
      <x:c r="M42" s="9" t="str">
        <x:v>OPEN</x:v>
      </x:c>
    </x:row>
    <x:row r="43">
      <x:c r="B43" s="9" t="str">
        <x:v>IT-IF07-A-S0</x:v>
      </x:c>
      <x:c r="C43" s="9" t="str">
        <x:v>IF07</x:v>
      </x:c>
      <x:c r="D43" s="9" t="str">
        <x:v>ROOT_A</x:v>
      </x:c>
      <x:c r="E43" s="9" t="str">
        <x:v>S0_FRESH</x:v>
      </x:c>
      <x:c r="F43" s="9" t="str">
        <x:v>IP-IF07-A-S0</x:v>
      </x:c>
      <x:c r="G43" s="9" t="n">
        <x:v>1</x:v>
      </x:c>
      <x:c r="H43" s="9" t="n">
        <x:v>0</x:v>
      </x:c>
      <x:c r="I43" s="9" t="n">
        <x:v>0</x:v>
      </x:c>
      <x:c r="J43" s="9" t="n">
        <x:v>0</x:v>
      </x:c>
      <x:c r="K43" s="9" t="n">
        <x:v>0</x:v>
      </x:c>
      <x:c r="L43" s="9" t="str">
        <x:f>IF(AND(B43&lt;&gt;"",COUNTIFS('Article Bank'!$B$7:$B$136,F43,'Article Bank'!$D$7:$D$136,D43,'Article Bank'!$E$7:$E$136,C43,'Article Bank'!$F$7:$F$136,E43)=1,G43=1),"PASS","FAIL")</x:f>
        <x:v>PASS</x:v>
      </x:c>
      <x:c r="M43" s="9" t="str">
        <x:v>OPEN</x:v>
      </x:c>
    </x:row>
    <x:row r="44">
      <x:c r="B44" s="9" t="str">
        <x:v>IT-IF07-A-S1</x:v>
      </x:c>
      <x:c r="C44" s="9" t="str">
        <x:v>IF07</x:v>
      </x:c>
      <x:c r="D44" s="9" t="str">
        <x:v>ROOT_A</x:v>
      </x:c>
      <x:c r="E44" s="9" t="str">
        <x:v>S1_CHALLENGE</x:v>
      </x:c>
      <x:c r="F44" s="9" t="str">
        <x:v>IP-IF07-A-S1</x:v>
      </x:c>
      <x:c r="G44" s="9" t="n">
        <x:v>1</x:v>
      </x:c>
      <x:c r="H44" s="9" t="n">
        <x:v>0</x:v>
      </x:c>
      <x:c r="I44" s="9" t="n">
        <x:v>0</x:v>
      </x:c>
      <x:c r="J44" s="9" t="n">
        <x:v>0</x:v>
      </x:c>
      <x:c r="K44" s="9" t="n">
        <x:v>0</x:v>
      </x:c>
      <x:c r="L44" s="9" t="str">
        <x:f>IF(AND(B44&lt;&gt;"",COUNTIFS('Article Bank'!$B$7:$B$136,F44,'Article Bank'!$D$7:$D$136,D44,'Article Bank'!$E$7:$E$136,C44,'Article Bank'!$F$7:$F$136,E44)=1,G44=1),"PASS","FAIL")</x:f>
        <x:v>PASS</x:v>
      </x:c>
      <x:c r="M44" s="9" t="str">
        <x:v>OPEN</x:v>
      </x:c>
    </x:row>
    <x:row r="45">
      <x:c r="B45" s="9" t="str">
        <x:v>IT-IF07-A-S2</x:v>
      </x:c>
      <x:c r="C45" s="9" t="str">
        <x:v>IF07</x:v>
      </x:c>
      <x:c r="D45" s="9" t="str">
        <x:v>ROOT_A</x:v>
      </x:c>
      <x:c r="E45" s="9" t="str">
        <x:v>S2_COLD_RESET</x:v>
      </x:c>
      <x:c r="F45" s="9" t="str">
        <x:v>IP-IF07-A-S2</x:v>
      </x:c>
      <x:c r="G45" s="9" t="n">
        <x:v>1</x:v>
      </x:c>
      <x:c r="H45" s="9" t="n">
        <x:v>0</x:v>
      </x:c>
      <x:c r="I45" s="9" t="n">
        <x:v>0</x:v>
      </x:c>
      <x:c r="J45" s="9" t="n">
        <x:v>1</x:v>
      </x:c>
      <x:c r="K45" s="9" t="n">
        <x:v>0</x:v>
      </x:c>
      <x:c r="L45" s="9" t="str">
        <x:f>IF(AND(B45&lt;&gt;"",COUNTIFS('Article Bank'!$B$7:$B$136,F45,'Article Bank'!$D$7:$D$136,D45,'Article Bank'!$E$7:$E$136,C45,'Article Bank'!$F$7:$F$136,E45)=1,G45=1),"PASS","FAIL")</x:f>
        <x:v>PASS</x:v>
      </x:c>
      <x:c r="M45" s="9" t="str">
        <x:v>OPEN</x:v>
      </x:c>
    </x:row>
    <x:row r="46">
      <x:c r="B46" s="9" t="str">
        <x:v>IT-IF07-B-S0</x:v>
      </x:c>
      <x:c r="C46" s="9" t="str">
        <x:v>IF07</x:v>
      </x:c>
      <x:c r="D46" s="9" t="str">
        <x:v>ROOT_B</x:v>
      </x:c>
      <x:c r="E46" s="9" t="str">
        <x:v>S0_FRESH</x:v>
      </x:c>
      <x:c r="F46" s="9" t="str">
        <x:v>IP-IF07-B-S0</x:v>
      </x:c>
      <x:c r="G46" s="9" t="n">
        <x:v>1</x:v>
      </x:c>
      <x:c r="H46" s="9" t="n">
        <x:v>0</x:v>
      </x:c>
      <x:c r="I46" s="9" t="n">
        <x:v>0</x:v>
      </x:c>
      <x:c r="J46" s="9" t="n">
        <x:v>0</x:v>
      </x:c>
      <x:c r="K46" s="9" t="n">
        <x:v>0</x:v>
      </x:c>
      <x:c r="L46" s="9" t="str">
        <x:f>IF(AND(B46&lt;&gt;"",COUNTIFS('Article Bank'!$B$7:$B$136,F46,'Article Bank'!$D$7:$D$136,D46,'Article Bank'!$E$7:$E$136,C46,'Article Bank'!$F$7:$F$136,E46)=1,G46=1),"PASS","FAIL")</x:f>
        <x:v>PASS</x:v>
      </x:c>
      <x:c r="M46" s="9" t="str">
        <x:v>OPEN</x:v>
      </x:c>
    </x:row>
    <x:row r="47">
      <x:c r="B47" s="9" t="str">
        <x:v>IT-IF07-B-S1</x:v>
      </x:c>
      <x:c r="C47" s="9" t="str">
        <x:v>IF07</x:v>
      </x:c>
      <x:c r="D47" s="9" t="str">
        <x:v>ROOT_B</x:v>
      </x:c>
      <x:c r="E47" s="9" t="str">
        <x:v>S1_CHALLENGE</x:v>
      </x:c>
      <x:c r="F47" s="9" t="str">
        <x:v>IP-IF07-B-S1</x:v>
      </x:c>
      <x:c r="G47" s="9" t="n">
        <x:v>1</x:v>
      </x:c>
      <x:c r="H47" s="9" t="n">
        <x:v>0</x:v>
      </x:c>
      <x:c r="I47" s="9" t="n">
        <x:v>0</x:v>
      </x:c>
      <x:c r="J47" s="9" t="n">
        <x:v>0</x:v>
      </x:c>
      <x:c r="K47" s="9" t="n">
        <x:v>0</x:v>
      </x:c>
      <x:c r="L47" s="9" t="str">
        <x:f>IF(AND(B47&lt;&gt;"",COUNTIFS('Article Bank'!$B$7:$B$136,F47,'Article Bank'!$D$7:$D$136,D47,'Article Bank'!$E$7:$E$136,C47,'Article Bank'!$F$7:$F$136,E47)=1,G47=1),"PASS","FAIL")</x:f>
        <x:v>PASS</x:v>
      </x:c>
      <x:c r="M47" s="9" t="str">
        <x:v>OPEN</x:v>
      </x:c>
    </x:row>
    <x:row r="48">
      <x:c r="B48" s="9" t="str">
        <x:v>IT-IF07-B-S2</x:v>
      </x:c>
      <x:c r="C48" s="9" t="str">
        <x:v>IF07</x:v>
      </x:c>
      <x:c r="D48" s="9" t="str">
        <x:v>ROOT_B</x:v>
      </x:c>
      <x:c r="E48" s="9" t="str">
        <x:v>S2_COLD_RESET</x:v>
      </x:c>
      <x:c r="F48" s="9" t="str">
        <x:v>IP-IF07-B-S2</x:v>
      </x:c>
      <x:c r="G48" s="9" t="n">
        <x:v>1</x:v>
      </x:c>
      <x:c r="H48" s="9" t="n">
        <x:v>0</x:v>
      </x:c>
      <x:c r="I48" s="9" t="n">
        <x:v>0</x:v>
      </x:c>
      <x:c r="J48" s="9" t="n">
        <x:v>1</x:v>
      </x:c>
      <x:c r="K48" s="9" t="n">
        <x:v>0</x:v>
      </x:c>
      <x:c r="L48" s="9" t="str">
        <x:f>IF(AND(B48&lt;&gt;"",COUNTIFS('Article Bank'!$B$7:$B$136,F48,'Article Bank'!$D$7:$D$136,D48,'Article Bank'!$E$7:$E$136,C48,'Article Bank'!$F$7:$F$136,E48)=1,G48=1),"PASS","FAIL")</x:f>
        <x:v>PASS</x:v>
      </x:c>
      <x:c r="M48" s="9" t="str">
        <x:v>OPEN</x:v>
      </x:c>
    </x:row>
    <x:row r="49">
      <x:c r="B49" s="9" t="str">
        <x:v>IT-IF08-A-S0</x:v>
      </x:c>
      <x:c r="C49" s="9" t="str">
        <x:v>IF08</x:v>
      </x:c>
      <x:c r="D49" s="9" t="str">
        <x:v>ROOT_A</x:v>
      </x:c>
      <x:c r="E49" s="9" t="str">
        <x:v>S0_FRESH</x:v>
      </x:c>
      <x:c r="F49" s="9" t="str">
        <x:v>IP-IF08-A-S0</x:v>
      </x:c>
      <x:c r="G49" s="9" t="n">
        <x:v>1</x:v>
      </x:c>
      <x:c r="H49" s="9" t="n">
        <x:v>0</x:v>
      </x:c>
      <x:c r="I49" s="9" t="n">
        <x:v>0</x:v>
      </x:c>
      <x:c r="J49" s="9" t="n">
        <x:v>0</x:v>
      </x:c>
      <x:c r="K49" s="9" t="n">
        <x:v>0</x:v>
      </x:c>
      <x:c r="L49" s="9" t="str">
        <x:f>IF(AND(B49&lt;&gt;"",COUNTIFS('Article Bank'!$B$7:$B$136,F49,'Article Bank'!$D$7:$D$136,D49,'Article Bank'!$E$7:$E$136,C49,'Article Bank'!$F$7:$F$136,E49)=1,G49=1),"PASS","FAIL")</x:f>
        <x:v>PASS</x:v>
      </x:c>
      <x:c r="M49" s="9" t="str">
        <x:v>OPEN</x:v>
      </x:c>
    </x:row>
    <x:row r="50">
      <x:c r="B50" s="9" t="str">
        <x:v>IT-IF08-A-S1</x:v>
      </x:c>
      <x:c r="C50" s="9" t="str">
        <x:v>IF08</x:v>
      </x:c>
      <x:c r="D50" s="9" t="str">
        <x:v>ROOT_A</x:v>
      </x:c>
      <x:c r="E50" s="9" t="str">
        <x:v>S1_CHALLENGE</x:v>
      </x:c>
      <x:c r="F50" s="9" t="str">
        <x:v>IP-IF08-A-S1</x:v>
      </x:c>
      <x:c r="G50" s="9" t="n">
        <x:v>1</x:v>
      </x:c>
      <x:c r="H50" s="9" t="n">
        <x:v>0</x:v>
      </x:c>
      <x:c r="I50" s="9" t="n">
        <x:v>0</x:v>
      </x:c>
      <x:c r="J50" s="9" t="n">
        <x:v>0</x:v>
      </x:c>
      <x:c r="K50" s="9" t="n">
        <x:v>0</x:v>
      </x:c>
      <x:c r="L50" s="9" t="str">
        <x:f>IF(AND(B50&lt;&gt;"",COUNTIFS('Article Bank'!$B$7:$B$136,F50,'Article Bank'!$D$7:$D$136,D50,'Article Bank'!$E$7:$E$136,C50,'Article Bank'!$F$7:$F$136,E50)=1,G50=1),"PASS","FAIL")</x:f>
        <x:v>PASS</x:v>
      </x:c>
      <x:c r="M50" s="9" t="str">
        <x:v>OPEN</x:v>
      </x:c>
    </x:row>
    <x:row r="51">
      <x:c r="B51" s="9" t="str">
        <x:v>IT-IF08-A-S2</x:v>
      </x:c>
      <x:c r="C51" s="9" t="str">
        <x:v>IF08</x:v>
      </x:c>
      <x:c r="D51" s="9" t="str">
        <x:v>ROOT_A</x:v>
      </x:c>
      <x:c r="E51" s="9" t="str">
        <x:v>S2_COLD_RESET</x:v>
      </x:c>
      <x:c r="F51" s="9" t="str">
        <x:v>IP-IF08-A-S2</x:v>
      </x:c>
      <x:c r="G51" s="9" t="n">
        <x:v>1</x:v>
      </x:c>
      <x:c r="H51" s="9" t="n">
        <x:v>0</x:v>
      </x:c>
      <x:c r="I51" s="9" t="n">
        <x:v>0</x:v>
      </x:c>
      <x:c r="J51" s="9" t="n">
        <x:v>1</x:v>
      </x:c>
      <x:c r="K51" s="9" t="n">
        <x:v>0</x:v>
      </x:c>
      <x:c r="L51" s="9" t="str">
        <x:f>IF(AND(B51&lt;&gt;"",COUNTIFS('Article Bank'!$B$7:$B$136,F51,'Article Bank'!$D$7:$D$136,D51,'Article Bank'!$E$7:$E$136,C51,'Article Bank'!$F$7:$F$136,E51)=1,G51=1),"PASS","FAIL")</x:f>
        <x:v>PASS</x:v>
      </x:c>
      <x:c r="M51" s="9" t="str">
        <x:v>OPEN</x:v>
      </x:c>
    </x:row>
    <x:row r="52">
      <x:c r="B52" s="9" t="str">
        <x:v>IT-IF08-B-S0</x:v>
      </x:c>
      <x:c r="C52" s="9" t="str">
        <x:v>IF08</x:v>
      </x:c>
      <x:c r="D52" s="9" t="str">
        <x:v>ROOT_B</x:v>
      </x:c>
      <x:c r="E52" s="9" t="str">
        <x:v>S0_FRESH</x:v>
      </x:c>
      <x:c r="F52" s="9" t="str">
        <x:v>IP-IF08-B-S0</x:v>
      </x:c>
      <x:c r="G52" s="9" t="n">
        <x:v>1</x:v>
      </x:c>
      <x:c r="H52" s="9" t="n">
        <x:v>0</x:v>
      </x:c>
      <x:c r="I52" s="9" t="n">
        <x:v>0</x:v>
      </x:c>
      <x:c r="J52" s="9" t="n">
        <x:v>0</x:v>
      </x:c>
      <x:c r="K52" s="9" t="n">
        <x:v>0</x:v>
      </x:c>
      <x:c r="L52" s="9" t="str">
        <x:f>IF(AND(B52&lt;&gt;"",COUNTIFS('Article Bank'!$B$7:$B$136,F52,'Article Bank'!$D$7:$D$136,D52,'Article Bank'!$E$7:$E$136,C52,'Article Bank'!$F$7:$F$136,E52)=1,G52=1),"PASS","FAIL")</x:f>
        <x:v>PASS</x:v>
      </x:c>
      <x:c r="M52" s="9" t="str">
        <x:v>OPEN</x:v>
      </x:c>
    </x:row>
    <x:row r="53">
      <x:c r="B53" s="9" t="str">
        <x:v>IT-IF08-B-S1</x:v>
      </x:c>
      <x:c r="C53" s="9" t="str">
        <x:v>IF08</x:v>
      </x:c>
      <x:c r="D53" s="9" t="str">
        <x:v>ROOT_B</x:v>
      </x:c>
      <x:c r="E53" s="9" t="str">
        <x:v>S1_CHALLENGE</x:v>
      </x:c>
      <x:c r="F53" s="9" t="str">
        <x:v>IP-IF08-B-S1</x:v>
      </x:c>
      <x:c r="G53" s="9" t="n">
        <x:v>1</x:v>
      </x:c>
      <x:c r="H53" s="9" t="n">
        <x:v>0</x:v>
      </x:c>
      <x:c r="I53" s="9" t="n">
        <x:v>0</x:v>
      </x:c>
      <x:c r="J53" s="9" t="n">
        <x:v>0</x:v>
      </x:c>
      <x:c r="K53" s="9" t="n">
        <x:v>0</x:v>
      </x:c>
      <x:c r="L53" s="9" t="str">
        <x:f>IF(AND(B53&lt;&gt;"",COUNTIFS('Article Bank'!$B$7:$B$136,F53,'Article Bank'!$D$7:$D$136,D53,'Article Bank'!$E$7:$E$136,C53,'Article Bank'!$F$7:$F$136,E53)=1,G53=1),"PASS","FAIL")</x:f>
        <x:v>PASS</x:v>
      </x:c>
      <x:c r="M53" s="9" t="str">
        <x:v>OPEN</x:v>
      </x:c>
    </x:row>
    <x:row r="54">
      <x:c r="B54" s="9" t="str">
        <x:v>IT-IF08-B-S2</x:v>
      </x:c>
      <x:c r="C54" s="9" t="str">
        <x:v>IF08</x:v>
      </x:c>
      <x:c r="D54" s="9" t="str">
        <x:v>ROOT_B</x:v>
      </x:c>
      <x:c r="E54" s="9" t="str">
        <x:v>S2_COLD_RESET</x:v>
      </x:c>
      <x:c r="F54" s="9" t="str">
        <x:v>IP-IF08-B-S2</x:v>
      </x:c>
      <x:c r="G54" s="9" t="n">
        <x:v>1</x:v>
      </x:c>
      <x:c r="H54" s="9" t="n">
        <x:v>0</x:v>
      </x:c>
      <x:c r="I54" s="9" t="n">
        <x:v>0</x:v>
      </x:c>
      <x:c r="J54" s="9" t="n">
        <x:v>1</x:v>
      </x:c>
      <x:c r="K54" s="9" t="n">
        <x:v>0</x:v>
      </x:c>
      <x:c r="L54" s="9" t="str">
        <x:f>IF(AND(B54&lt;&gt;"",COUNTIFS('Article Bank'!$B$7:$B$136,F54,'Article Bank'!$D$7:$D$136,D54,'Article Bank'!$E$7:$E$136,C54,'Article Bank'!$F$7:$F$136,E54)=1,G54=1),"PASS","FAIL")</x:f>
        <x:v>PASS</x:v>
      </x:c>
      <x:c r="M54" s="9" t="str">
        <x:v>OPEN</x:v>
      </x:c>
    </x:row>
    <x:row r="55">
      <x:c r="B55" s="9" t="str">
        <x:v>IT-IF09-A-S0</x:v>
      </x:c>
      <x:c r="C55" s="9" t="str">
        <x:v>IF09</x:v>
      </x:c>
      <x:c r="D55" s="9" t="str">
        <x:v>ROOT_A</x:v>
      </x:c>
      <x:c r="E55" s="9" t="str">
        <x:v>S0_FRESH</x:v>
      </x:c>
      <x:c r="F55" s="9" t="str">
        <x:v>IP-IF09-A-S0</x:v>
      </x:c>
      <x:c r="G55" s="9" t="n">
        <x:v>1</x:v>
      </x:c>
      <x:c r="H55" s="9" t="n">
        <x:v>0</x:v>
      </x:c>
      <x:c r="I55" s="9" t="n">
        <x:v>0</x:v>
      </x:c>
      <x:c r="J55" s="9" t="n">
        <x:v>0</x:v>
      </x:c>
      <x:c r="K55" s="9" t="n">
        <x:v>0</x:v>
      </x:c>
      <x:c r="L55" s="9" t="str">
        <x:f>IF(AND(B55&lt;&gt;"",COUNTIFS('Article Bank'!$B$7:$B$136,F55,'Article Bank'!$D$7:$D$136,D55,'Article Bank'!$E$7:$E$136,C55,'Article Bank'!$F$7:$F$136,E55)=1,G55=1),"PASS","FAIL")</x:f>
        <x:v>PASS</x:v>
      </x:c>
      <x:c r="M55" s="9" t="str">
        <x:v>OPEN</x:v>
      </x:c>
    </x:row>
    <x:row r="56">
      <x:c r="B56" s="9" t="str">
        <x:v>IT-IF09-A-S1</x:v>
      </x:c>
      <x:c r="C56" s="9" t="str">
        <x:v>IF09</x:v>
      </x:c>
      <x:c r="D56" s="9" t="str">
        <x:v>ROOT_A</x:v>
      </x:c>
      <x:c r="E56" s="9" t="str">
        <x:v>S1_CHALLENGE</x:v>
      </x:c>
      <x:c r="F56" s="9" t="str">
        <x:v>IP-IF09-A-S1</x:v>
      </x:c>
      <x:c r="G56" s="9" t="n">
        <x:v>1</x:v>
      </x:c>
      <x:c r="H56" s="9" t="n">
        <x:v>0</x:v>
      </x:c>
      <x:c r="I56" s="9" t="n">
        <x:v>0</x:v>
      </x:c>
      <x:c r="J56" s="9" t="n">
        <x:v>0</x:v>
      </x:c>
      <x:c r="K56" s="9" t="n">
        <x:v>0</x:v>
      </x:c>
      <x:c r="L56" s="9" t="str">
        <x:f>IF(AND(B56&lt;&gt;"",COUNTIFS('Article Bank'!$B$7:$B$136,F56,'Article Bank'!$D$7:$D$136,D56,'Article Bank'!$E$7:$E$136,C56,'Article Bank'!$F$7:$F$136,E56)=1,G56=1),"PASS","FAIL")</x:f>
        <x:v>PASS</x:v>
      </x:c>
      <x:c r="M56" s="9" t="str">
        <x:v>OPEN</x:v>
      </x:c>
    </x:row>
    <x:row r="57">
      <x:c r="B57" s="9" t="str">
        <x:v>IT-IF09-A-S2</x:v>
      </x:c>
      <x:c r="C57" s="9" t="str">
        <x:v>IF09</x:v>
      </x:c>
      <x:c r="D57" s="9" t="str">
        <x:v>ROOT_A</x:v>
      </x:c>
      <x:c r="E57" s="9" t="str">
        <x:v>S2_COLD_RESET</x:v>
      </x:c>
      <x:c r="F57" s="9" t="str">
        <x:v>IP-IF09-A-S2</x:v>
      </x:c>
      <x:c r="G57" s="9" t="n">
        <x:v>1</x:v>
      </x:c>
      <x:c r="H57" s="9" t="n">
        <x:v>0</x:v>
      </x:c>
      <x:c r="I57" s="9" t="n">
        <x:v>0</x:v>
      </x:c>
      <x:c r="J57" s="9" t="n">
        <x:v>1</x:v>
      </x:c>
      <x:c r="K57" s="9" t="n">
        <x:v>0</x:v>
      </x:c>
      <x:c r="L57" s="9" t="str">
        <x:f>IF(AND(B57&lt;&gt;"",COUNTIFS('Article Bank'!$B$7:$B$136,F57,'Article Bank'!$D$7:$D$136,D57,'Article Bank'!$E$7:$E$136,C57,'Article Bank'!$F$7:$F$136,E57)=1,G57=1),"PASS","FAIL")</x:f>
        <x:v>PASS</x:v>
      </x:c>
      <x:c r="M57" s="9" t="str">
        <x:v>OPEN</x:v>
      </x:c>
    </x:row>
    <x:row r="58">
      <x:c r="B58" s="9" t="str">
        <x:v>IT-IF09-B-S0</x:v>
      </x:c>
      <x:c r="C58" s="9" t="str">
        <x:v>IF09</x:v>
      </x:c>
      <x:c r="D58" s="9" t="str">
        <x:v>ROOT_B</x:v>
      </x:c>
      <x:c r="E58" s="9" t="str">
        <x:v>S0_FRESH</x:v>
      </x:c>
      <x:c r="F58" s="9" t="str">
        <x:v>IP-IF09-B-S0</x:v>
      </x:c>
      <x:c r="G58" s="9" t="n">
        <x:v>1</x:v>
      </x:c>
      <x:c r="H58" s="9" t="n">
        <x:v>0</x:v>
      </x:c>
      <x:c r="I58" s="9" t="n">
        <x:v>0</x:v>
      </x:c>
      <x:c r="J58" s="9" t="n">
        <x:v>0</x:v>
      </x:c>
      <x:c r="K58" s="9" t="n">
        <x:v>0</x:v>
      </x:c>
      <x:c r="L58" s="9" t="str">
        <x:f>IF(AND(B58&lt;&gt;"",COUNTIFS('Article Bank'!$B$7:$B$136,F58,'Article Bank'!$D$7:$D$136,D58,'Article Bank'!$E$7:$E$136,C58,'Article Bank'!$F$7:$F$136,E58)=1,G58=1),"PASS","FAIL")</x:f>
        <x:v>PASS</x:v>
      </x:c>
      <x:c r="M58" s="9" t="str">
        <x:v>OPEN</x:v>
      </x:c>
    </x:row>
    <x:row r="59">
      <x:c r="B59" s="9" t="str">
        <x:v>IT-IF09-B-S1</x:v>
      </x:c>
      <x:c r="C59" s="9" t="str">
        <x:v>IF09</x:v>
      </x:c>
      <x:c r="D59" s="9" t="str">
        <x:v>ROOT_B</x:v>
      </x:c>
      <x:c r="E59" s="9" t="str">
        <x:v>S1_CHALLENGE</x:v>
      </x:c>
      <x:c r="F59" s="9" t="str">
        <x:v>IP-IF09-B-S1</x:v>
      </x:c>
      <x:c r="G59" s="9" t="n">
        <x:v>1</x:v>
      </x:c>
      <x:c r="H59" s="9" t="n">
        <x:v>0</x:v>
      </x:c>
      <x:c r="I59" s="9" t="n">
        <x:v>0</x:v>
      </x:c>
      <x:c r="J59" s="9" t="n">
        <x:v>0</x:v>
      </x:c>
      <x:c r="K59" s="9" t="n">
        <x:v>0</x:v>
      </x:c>
      <x:c r="L59" s="9" t="str">
        <x:f>IF(AND(B59&lt;&gt;"",COUNTIFS('Article Bank'!$B$7:$B$136,F59,'Article Bank'!$D$7:$D$136,D59,'Article Bank'!$E$7:$E$136,C59,'Article Bank'!$F$7:$F$136,E59)=1,G59=1),"PASS","FAIL")</x:f>
        <x:v>PASS</x:v>
      </x:c>
      <x:c r="M59" s="9" t="str">
        <x:v>OPEN</x:v>
      </x:c>
    </x:row>
    <x:row r="60">
      <x:c r="B60" s="9" t="str">
        <x:v>IT-IF09-B-S2</x:v>
      </x:c>
      <x:c r="C60" s="9" t="str">
        <x:v>IF09</x:v>
      </x:c>
      <x:c r="D60" s="9" t="str">
        <x:v>ROOT_B</x:v>
      </x:c>
      <x:c r="E60" s="9" t="str">
        <x:v>S2_COLD_RESET</x:v>
      </x:c>
      <x:c r="F60" s="9" t="str">
        <x:v>IP-IF09-B-S2</x:v>
      </x:c>
      <x:c r="G60" s="9" t="n">
        <x:v>1</x:v>
      </x:c>
      <x:c r="H60" s="9" t="n">
        <x:v>0</x:v>
      </x:c>
      <x:c r="I60" s="9" t="n">
        <x:v>0</x:v>
      </x:c>
      <x:c r="J60" s="9" t="n">
        <x:v>1</x:v>
      </x:c>
      <x:c r="K60" s="9" t="n">
        <x:v>0</x:v>
      </x:c>
      <x:c r="L60" s="9" t="str">
        <x:f>IF(AND(B60&lt;&gt;"",COUNTIFS('Article Bank'!$B$7:$B$136,F60,'Article Bank'!$D$7:$D$136,D60,'Article Bank'!$E$7:$E$136,C60,'Article Bank'!$F$7:$F$136,E60)=1,G60=1),"PASS","FAIL")</x:f>
        <x:v>PASS</x:v>
      </x:c>
      <x:c r="M60" s="9" t="str">
        <x:v>OPEN</x:v>
      </x:c>
    </x:row>
    <x:row r="61">
      <x:c r="B61" s="9" t="str">
        <x:v>IT-IF10-A-S0</x:v>
      </x:c>
      <x:c r="C61" s="9" t="str">
        <x:v>IF10</x:v>
      </x:c>
      <x:c r="D61" s="9" t="str">
        <x:v>ROOT_A</x:v>
      </x:c>
      <x:c r="E61" s="9" t="str">
        <x:v>S0_FRESH</x:v>
      </x:c>
      <x:c r="F61" s="9" t="str">
        <x:v>IP-IF10-A-S0</x:v>
      </x:c>
      <x:c r="G61" s="9" t="n">
        <x:v>1</x:v>
      </x:c>
      <x:c r="H61" s="9" t="n">
        <x:v>0</x:v>
      </x:c>
      <x:c r="I61" s="9" t="n">
        <x:v>0</x:v>
      </x:c>
      <x:c r="J61" s="9" t="n">
        <x:v>0</x:v>
      </x:c>
      <x:c r="K61" s="9" t="n">
        <x:v>0</x:v>
      </x:c>
      <x:c r="L61" s="9" t="str">
        <x:f>IF(AND(B61&lt;&gt;"",COUNTIFS('Article Bank'!$B$7:$B$136,F61,'Article Bank'!$D$7:$D$136,D61,'Article Bank'!$E$7:$E$136,C61,'Article Bank'!$F$7:$F$136,E61)=1,G61=1),"PASS","FAIL")</x:f>
        <x:v>PASS</x:v>
      </x:c>
      <x:c r="M61" s="9" t="str">
        <x:v>OPEN</x:v>
      </x:c>
    </x:row>
    <x:row r="62">
      <x:c r="B62" s="9" t="str">
        <x:v>IT-IF10-A-S1</x:v>
      </x:c>
      <x:c r="C62" s="9" t="str">
        <x:v>IF10</x:v>
      </x:c>
      <x:c r="D62" s="9" t="str">
        <x:v>ROOT_A</x:v>
      </x:c>
      <x:c r="E62" s="9" t="str">
        <x:v>S1_CHALLENGE</x:v>
      </x:c>
      <x:c r="F62" s="9" t="str">
        <x:v>IP-IF10-A-S1</x:v>
      </x:c>
      <x:c r="G62" s="9" t="n">
        <x:v>1</x:v>
      </x:c>
      <x:c r="H62" s="9" t="n">
        <x:v>0</x:v>
      </x:c>
      <x:c r="I62" s="9" t="n">
        <x:v>0</x:v>
      </x:c>
      <x:c r="J62" s="9" t="n">
        <x:v>0</x:v>
      </x:c>
      <x:c r="K62" s="9" t="n">
        <x:v>0</x:v>
      </x:c>
      <x:c r="L62" s="9" t="str">
        <x:f>IF(AND(B62&lt;&gt;"",COUNTIFS('Article Bank'!$B$7:$B$136,F62,'Article Bank'!$D$7:$D$136,D62,'Article Bank'!$E$7:$E$136,C62,'Article Bank'!$F$7:$F$136,E62)=1,G62=1),"PASS","FAIL")</x:f>
        <x:v>PASS</x:v>
      </x:c>
      <x:c r="M62" s="9" t="str">
        <x:v>OPEN</x:v>
      </x:c>
    </x:row>
    <x:row r="63">
      <x:c r="B63" s="9" t="str">
        <x:v>IT-IF10-A-S2</x:v>
      </x:c>
      <x:c r="C63" s="9" t="str">
        <x:v>IF10</x:v>
      </x:c>
      <x:c r="D63" s="9" t="str">
        <x:v>ROOT_A</x:v>
      </x:c>
      <x:c r="E63" s="9" t="str">
        <x:v>S2_COLD_RESET</x:v>
      </x:c>
      <x:c r="F63" s="9" t="str">
        <x:v>IP-IF10-A-S2</x:v>
      </x:c>
      <x:c r="G63" s="9" t="n">
        <x:v>1</x:v>
      </x:c>
      <x:c r="H63" s="9" t="n">
        <x:v>0</x:v>
      </x:c>
      <x:c r="I63" s="9" t="n">
        <x:v>0</x:v>
      </x:c>
      <x:c r="J63" s="9" t="n">
        <x:v>1</x:v>
      </x:c>
      <x:c r="K63" s="9" t="n">
        <x:v>0</x:v>
      </x:c>
      <x:c r="L63" s="9" t="str">
        <x:f>IF(AND(B63&lt;&gt;"",COUNTIFS('Article Bank'!$B$7:$B$136,F63,'Article Bank'!$D$7:$D$136,D63,'Article Bank'!$E$7:$E$136,C63,'Article Bank'!$F$7:$F$136,E63)=1,G63=1),"PASS","FAIL")</x:f>
        <x:v>PASS</x:v>
      </x:c>
      <x:c r="M63" s="9" t="str">
        <x:v>OPEN</x:v>
      </x:c>
    </x:row>
    <x:row r="64">
      <x:c r="B64" s="9" t="str">
        <x:v>IT-IF10-B-S0</x:v>
      </x:c>
      <x:c r="C64" s="9" t="str">
        <x:v>IF10</x:v>
      </x:c>
      <x:c r="D64" s="9" t="str">
        <x:v>ROOT_B</x:v>
      </x:c>
      <x:c r="E64" s="9" t="str">
        <x:v>S0_FRESH</x:v>
      </x:c>
      <x:c r="F64" s="9" t="str">
        <x:v>IP-IF10-B-S0</x:v>
      </x:c>
      <x:c r="G64" s="9" t="n">
        <x:v>1</x:v>
      </x:c>
      <x:c r="H64" s="9" t="n">
        <x:v>0</x:v>
      </x:c>
      <x:c r="I64" s="9" t="n">
        <x:v>0</x:v>
      </x:c>
      <x:c r="J64" s="9" t="n">
        <x:v>0</x:v>
      </x:c>
      <x:c r="K64" s="9" t="n">
        <x:v>0</x:v>
      </x:c>
      <x:c r="L64" s="9" t="str">
        <x:f>IF(AND(B64&lt;&gt;"",COUNTIFS('Article Bank'!$B$7:$B$136,F64,'Article Bank'!$D$7:$D$136,D64,'Article Bank'!$E$7:$E$136,C64,'Article Bank'!$F$7:$F$136,E64)=1,G64=1),"PASS","FAIL")</x:f>
        <x:v>PASS</x:v>
      </x:c>
      <x:c r="M64" s="9" t="str">
        <x:v>OPEN</x:v>
      </x:c>
    </x:row>
    <x:row r="65">
      <x:c r="B65" s="9" t="str">
        <x:v>IT-IF10-B-S1</x:v>
      </x:c>
      <x:c r="C65" s="9" t="str">
        <x:v>IF10</x:v>
      </x:c>
      <x:c r="D65" s="9" t="str">
        <x:v>ROOT_B</x:v>
      </x:c>
      <x:c r="E65" s="9" t="str">
        <x:v>S1_CHALLENGE</x:v>
      </x:c>
      <x:c r="F65" s="9" t="str">
        <x:v>IP-IF10-B-S1</x:v>
      </x:c>
      <x:c r="G65" s="9" t="n">
        <x:v>1</x:v>
      </x:c>
      <x:c r="H65" s="9" t="n">
        <x:v>0</x:v>
      </x:c>
      <x:c r="I65" s="9" t="n">
        <x:v>0</x:v>
      </x:c>
      <x:c r="J65" s="9" t="n">
        <x:v>0</x:v>
      </x:c>
      <x:c r="K65" s="9" t="n">
        <x:v>0</x:v>
      </x:c>
      <x:c r="L65" s="9" t="str">
        <x:f>IF(AND(B65&lt;&gt;"",COUNTIFS('Article Bank'!$B$7:$B$136,F65,'Article Bank'!$D$7:$D$136,D65,'Article Bank'!$E$7:$E$136,C65,'Article Bank'!$F$7:$F$136,E65)=1,G65=1),"PASS","FAIL")</x:f>
        <x:v>PASS</x:v>
      </x:c>
      <x:c r="M65" s="9" t="str">
        <x:v>OPEN</x:v>
      </x:c>
    </x:row>
    <x:row r="66">
      <x:c r="B66" s="10" t="str">
        <x:v>IT-IF10-B-S2</x:v>
      </x:c>
      <x:c r="C66" s="10" t="str">
        <x:v>IF10</x:v>
      </x:c>
      <x:c r="D66" s="10" t="str">
        <x:v>ROOT_B</x:v>
      </x:c>
      <x:c r="E66" s="10" t="str">
        <x:v>S2_COLD_RESET</x:v>
      </x:c>
      <x:c r="F66" s="10" t="str">
        <x:v>IP-IF10-B-S2</x:v>
      </x:c>
      <x:c r="G66" s="10" t="n">
        <x:v>1</x:v>
      </x:c>
      <x:c r="H66" s="10" t="n">
        <x:v>0</x:v>
      </x:c>
      <x:c r="I66" s="10" t="n">
        <x:v>0</x:v>
      </x:c>
      <x:c r="J66" s="10" t="n">
        <x:v>1</x:v>
      </x:c>
      <x:c r="K66" s="10" t="n">
        <x:v>0</x:v>
      </x:c>
      <x:c r="L66" s="10" t="str">
        <x:f>IF(AND(B66&lt;&gt;"",COUNTIFS('Article Bank'!$B$7:$B$136,F66,'Article Bank'!$D$7:$D$136,D66,'Article Bank'!$E$7:$E$136,C66,'Article Bank'!$F$7:$F$136,E66)=1,G66=1),"PASS","FAIL")</x:f>
        <x:v>PASS</x:v>
      </x:c>
      <x:c r="M66" s="10" t="str">
        <x:v>OPEN</x:v>
      </x:c>
    </x:row>
  </x:sheetData>
  <x:mergeCells>
    <x:mergeCell ref="B2:M2"/>
    <x:mergeCell ref="B3:M3"/>
  </x:mergeCells>
  <x:conditionalFormatting sqref="L7:M66">
    <x:cfRule type="containsText" dxfId="39" priority="1" operator="containsText" text="PASS"/>
    <x:cfRule type="containsText" dxfId="40" priority="2" operator="containsText" text="AUTHORIZED"/>
    <x:cfRule type="containsText" dxfId="41" priority="3" operator="containsText" text="DEFINED"/>
    <x:cfRule type="containsText" dxfId="42" priority="4" operator="containsText" text="READY"/>
    <x:cfRule type="containsText" dxfId="43" priority="5" operator="containsText" text="HOLD"/>
    <x:cfRule type="containsText" dxfId="44" priority="6" operator="containsText" text="OPEN"/>
    <x:cfRule type="containsText" dxfId="45" priority="7" operator="containsText" text="BLOCKED"/>
    <x:cfRule type="containsText" dxfId="46" priority="8" operator="containsText" text="PLANNING"/>
    <x:cfRule type="containsText" dxfId="47" priority="9" operator="containsText" text="FAIL"/>
    <x:cfRule type="containsText" dxfId="48" priority="10" operator="containsText" text="REJECT"/>
    <x:cfRule type="containsText" dxfId="49" priority="11" operator="containsText" text="LATE"/>
    <x:cfRule type="containsText" dxfId="50" priority="12" operator="containsText" text="INCOMPLETE"/>
    <x:cfRule type="containsText" dxfId="51" priority="13" operator="containsText" text="INDETERMINATE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2" hidden="0" customWidth="1"/>
    <x:col min="4" max="4" width="31" hidden="0" customWidth="1"/>
    <x:col min="5" max="5" width="14" hidden="0" customWidth="1"/>
    <x:col min="6" max="6" width="24" hidden="0" customWidth="1"/>
    <x:col min="7" max="7" width="27" hidden="0" customWidth="1"/>
    <x:col min="8" max="8" width="16" hidden="0" customWidth="1"/>
    <x:col min="9" max="9" width="18" hidden="0" customWidth="1"/>
    <x:col min="10" max="10" width="18" hidden="0" customWidth="1"/>
    <x:col min="11" max="11" width="21" hidden="0" customWidth="1"/>
    <x:col min="12" max="12" width="16" hidden="0" customWidth="1"/>
    <x:col min="13" max="13" width="17" hidden="0" customWidth="1"/>
  </x:cols>
  <x:sheetData>
    <x:row r="2">
      <x:c r="B2" s="31" t="str">
        <x:v>Paired service-cell reproduction</x:v>
      </x:c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3">
      <x:c r="B3" s="2" t="str">
        <x:v>Each root-service pair requires a primary cell and a separately built reproduction cell.</x:v>
      </x:c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</x:row>
    <x:row r="4"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</x:row>
    <x:row r="5"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</x:row>
    <x:row r="6">
      <x:c r="B6" s="7" t="str">
        <x:v>Trial</x:v>
      </x:c>
      <x:c r="C6" s="7" t="str">
        <x:v>Service</x:v>
      </x:c>
      <x:c r="D6" s="7" t="str">
        <x:v>Service cell</x:v>
      </x:c>
      <x:c r="E6" s="7" t="str">
        <x:v>Root</x:v>
      </x:c>
      <x:c r="F6" s="7" t="str">
        <x:v>Primary article</x:v>
      </x:c>
      <x:c r="G6" s="7" t="str">
        <x:v>Reproduction article</x:v>
      </x:c>
      <x:c r="H6" s="7" t="str">
        <x:v>Required cells</x:v>
      </x:c>
      <x:c r="I6" s="7" t="str">
        <x:v>Registered cells</x:v>
      </x:c>
      <x:c r="J6" s="7" t="str">
        <x:v>Physical execution</x:v>
      </x:c>
      <x:c r="K6" s="7" t="str">
        <x:v>Reproduction admitted</x:v>
      </x:c>
      <x:c r="L6" s="7" t="str">
        <x:v>Planning gate</x:v>
      </x:c>
      <x:c r="M6" s="7" t="str">
        <x:v>Terminal state</x:v>
      </x:c>
    </x:row>
    <x:row r="7">
      <x:c r="B7" s="9" t="str">
        <x:v>ST-SVC01-A</x:v>
      </x:c>
      <x:c r="C7" s="9" t="str">
        <x:v>SVC01</x:v>
      </x:c>
      <x:c r="D7" s="9" t="str">
        <x:v>Closure-bay cell</x:v>
      </x:c>
      <x:c r="E7" s="9" t="str">
        <x:v>ROOT_A</x:v>
      </x:c>
      <x:c r="F7" s="9" t="str">
        <x:v>SC-SVC01-A-P</x:v>
      </x:c>
      <x:c r="G7" s="9" t="str">
        <x:v>SC-SVC01-A-R</x:v>
      </x:c>
      <x:c r="H7" s="9" t="n">
        <x:v>2</x:v>
      </x:c>
      <x:c r="I7" s="9" t="n">
        <x:f>COUNTIFS('Article Bank'!$C$7:$C$136,"SERVICE_CELL",'Article Bank'!$D$7:$D$136,E7,'Article Bank'!$E$7:$E$136,C7)</x:f>
        <x:v>2</x:v>
      </x:c>
      <x:c r="J7" s="9" t="n">
        <x:v>0</x:v>
      </x:c>
      <x:c r="K7" s="9" t="n">
        <x:v>0</x:v>
      </x:c>
      <x:c r="L7" s="9" t="str">
        <x:f>IF(AND(B7&lt;&gt;"",COUNTIFS($B$7:$B$24,B7)=1,F7&lt;&gt;G7,H7=2,I7=H7,COUNTIFS('Article Bank'!$B$7:$B$136,F7,'Article Bank'!$C$7:$C$136,"SERVICE_CELL",'Article Bank'!$D$7:$D$136,E7,'Article Bank'!$E$7:$E$136,C7)=1,COUNTIFS('Article Bank'!$B$7:$B$136,G7,'Article Bank'!$C$7:$C$136,"SERVICE_CELL",'Article Bank'!$D$7:$D$136,E7,'Article Bank'!$E$7:$E$136,C7)=1),"PASS","FAIL")</x:f>
        <x:v>PASS</x:v>
      </x:c>
      <x:c r="M7" s="9" t="str">
        <x:v>OPEN</x:v>
      </x:c>
    </x:row>
    <x:row r="8">
      <x:c r="B8" s="9" t="str">
        <x:v>ST-SVC01-B</x:v>
      </x:c>
      <x:c r="C8" s="9" t="str">
        <x:v>SVC01</x:v>
      </x:c>
      <x:c r="D8" s="9" t="str">
        <x:v>Closure-bay cell</x:v>
      </x:c>
      <x:c r="E8" s="9" t="str">
        <x:v>ROOT_B</x:v>
      </x:c>
      <x:c r="F8" s="9" t="str">
        <x:v>SC-SVC01-B-P</x:v>
      </x:c>
      <x:c r="G8" s="9" t="str">
        <x:v>SC-SVC01-B-R</x:v>
      </x:c>
      <x:c r="H8" s="9" t="n">
        <x:v>2</x:v>
      </x:c>
      <x:c r="I8" s="9" t="n">
        <x:f>COUNTIFS('Article Bank'!$C$7:$C$136,"SERVICE_CELL",'Article Bank'!$D$7:$D$136,E8,'Article Bank'!$E$7:$E$136,C8)</x:f>
        <x:v>2</x:v>
      </x:c>
      <x:c r="J8" s="9" t="n">
        <x:v>0</x:v>
      </x:c>
      <x:c r="K8" s="9" t="n">
        <x:v>0</x:v>
      </x:c>
      <x:c r="L8" s="9" t="str">
        <x:f>IF(AND(B8&lt;&gt;"",COUNTIFS($B$7:$B$24,B8)=1,F8&lt;&gt;G8,H8=2,I8=H8,COUNTIFS('Article Bank'!$B$7:$B$136,F8,'Article Bank'!$C$7:$C$136,"SERVICE_CELL",'Article Bank'!$D$7:$D$136,E8,'Article Bank'!$E$7:$E$136,C8)=1,COUNTIFS('Article Bank'!$B$7:$B$136,G8,'Article Bank'!$C$7:$C$136,"SERVICE_CELL",'Article Bank'!$D$7:$D$136,E8,'Article Bank'!$E$7:$E$136,C8)=1),"PASS","FAIL")</x:f>
        <x:v>PASS</x:v>
      </x:c>
      <x:c r="M8" s="9" t="str">
        <x:v>OPEN</x:v>
      </x:c>
    </x:row>
    <x:row r="9">
      <x:c r="B9" s="9" t="str">
        <x:v>ST-SVC02-A</x:v>
      </x:c>
      <x:c r="C9" s="9" t="str">
        <x:v>SVC02</x:v>
      </x:c>
      <x:c r="D9" s="9" t="str">
        <x:v>Damage-cell cell</x:v>
      </x:c>
      <x:c r="E9" s="9" t="str">
        <x:v>ROOT_A</x:v>
      </x:c>
      <x:c r="F9" s="9" t="str">
        <x:v>SC-SVC02-A-P</x:v>
      </x:c>
      <x:c r="G9" s="9" t="str">
        <x:v>SC-SVC02-A-R</x:v>
      </x:c>
      <x:c r="H9" s="9" t="n">
        <x:v>2</x:v>
      </x:c>
      <x:c r="I9" s="9" t="n">
        <x:f>COUNTIFS('Article Bank'!$C$7:$C$136,"SERVICE_CELL",'Article Bank'!$D$7:$D$136,E9,'Article Bank'!$E$7:$E$136,C9)</x:f>
        <x:v>2</x:v>
      </x:c>
      <x:c r="J9" s="9" t="n">
        <x:v>0</x:v>
      </x:c>
      <x:c r="K9" s="9" t="n">
        <x:v>0</x:v>
      </x:c>
      <x:c r="L9" s="9" t="str">
        <x:f>IF(AND(B9&lt;&gt;"",COUNTIFS($B$7:$B$24,B9)=1,F9&lt;&gt;G9,H9=2,I9=H9,COUNTIFS('Article Bank'!$B$7:$B$136,F9,'Article Bank'!$C$7:$C$136,"SERVICE_CELL",'Article Bank'!$D$7:$D$136,E9,'Article Bank'!$E$7:$E$136,C9)=1,COUNTIFS('Article Bank'!$B$7:$B$136,G9,'Article Bank'!$C$7:$C$136,"SERVICE_CELL",'Article Bank'!$D$7:$D$136,E9,'Article Bank'!$E$7:$E$136,C9)=1),"PASS","FAIL")</x:f>
        <x:v>PASS</x:v>
      </x:c>
      <x:c r="M9" s="9" t="str">
        <x:v>OPEN</x:v>
      </x:c>
    </x:row>
    <x:row r="10">
      <x:c r="B10" s="9" t="str">
        <x:v>ST-SVC02-B</x:v>
      </x:c>
      <x:c r="C10" s="9" t="str">
        <x:v>SVC02</x:v>
      </x:c>
      <x:c r="D10" s="9" t="str">
        <x:v>Damage-cell cell</x:v>
      </x:c>
      <x:c r="E10" s="9" t="str">
        <x:v>ROOT_B</x:v>
      </x:c>
      <x:c r="F10" s="9" t="str">
        <x:v>SC-SVC02-B-P</x:v>
      </x:c>
      <x:c r="G10" s="9" t="str">
        <x:v>SC-SVC02-B-R</x:v>
      </x:c>
      <x:c r="H10" s="9" t="n">
        <x:v>2</x:v>
      </x:c>
      <x:c r="I10" s="9" t="n">
        <x:f>COUNTIFS('Article Bank'!$C$7:$C$136,"SERVICE_CELL",'Article Bank'!$D$7:$D$136,E10,'Article Bank'!$E$7:$E$136,C10)</x:f>
        <x:v>2</x:v>
      </x:c>
      <x:c r="J10" s="9" t="n">
        <x:v>0</x:v>
      </x:c>
      <x:c r="K10" s="9" t="n">
        <x:v>0</x:v>
      </x:c>
      <x:c r="L10" s="9" t="str">
        <x:f>IF(AND(B10&lt;&gt;"",COUNTIFS($B$7:$B$24,B10)=1,F10&lt;&gt;G10,H10=2,I10=H10,COUNTIFS('Article Bank'!$B$7:$B$136,F10,'Article Bank'!$C$7:$C$136,"SERVICE_CELL",'Article Bank'!$D$7:$D$136,E10,'Article Bank'!$E$7:$E$136,C10)=1,COUNTIFS('Article Bank'!$B$7:$B$136,G10,'Article Bank'!$C$7:$C$136,"SERVICE_CELL",'Article Bank'!$D$7:$D$136,E10,'Article Bank'!$E$7:$E$136,C10)=1),"PASS","FAIL")</x:f>
        <x:v>PASS</x:v>
      </x:c>
      <x:c r="M10" s="9" t="str">
        <x:v>OPEN</x:v>
      </x:c>
    </x:row>
    <x:row r="11">
      <x:c r="B11" s="9" t="str">
        <x:v>ST-SVC03-A</x:v>
      </x:c>
      <x:c r="C11" s="9" t="str">
        <x:v>SVC03</x:v>
      </x:c>
      <x:c r="D11" s="9" t="str">
        <x:v>Utility-island service</x:v>
      </x:c>
      <x:c r="E11" s="9" t="str">
        <x:v>ROOT_A</x:v>
      </x:c>
      <x:c r="F11" s="9" t="str">
        <x:v>SC-SVC03-A-P</x:v>
      </x:c>
      <x:c r="G11" s="9" t="str">
        <x:v>SC-SVC03-A-R</x:v>
      </x:c>
      <x:c r="H11" s="9" t="n">
        <x:v>2</x:v>
      </x:c>
      <x:c r="I11" s="9" t="n">
        <x:f>COUNTIFS('Article Bank'!$C$7:$C$136,"SERVICE_CELL",'Article Bank'!$D$7:$D$136,E11,'Article Bank'!$E$7:$E$136,C11)</x:f>
        <x:v>2</x:v>
      </x:c>
      <x:c r="J11" s="9" t="n">
        <x:v>0</x:v>
      </x:c>
      <x:c r="K11" s="9" t="n">
        <x:v>0</x:v>
      </x:c>
      <x:c r="L11" s="9" t="str">
        <x:f>IF(AND(B11&lt;&gt;"",COUNTIFS($B$7:$B$24,B11)=1,F11&lt;&gt;G11,H11=2,I11=H11,COUNTIFS('Article Bank'!$B$7:$B$136,F11,'Article Bank'!$C$7:$C$136,"SERVICE_CELL",'Article Bank'!$D$7:$D$136,E11,'Article Bank'!$E$7:$E$136,C11)=1,COUNTIFS('Article Bank'!$B$7:$B$136,G11,'Article Bank'!$C$7:$C$136,"SERVICE_CELL",'Article Bank'!$D$7:$D$136,E11,'Article Bank'!$E$7:$E$136,C11)=1),"PASS","FAIL")</x:f>
        <x:v>PASS</x:v>
      </x:c>
      <x:c r="M11" s="9" t="str">
        <x:v>OPEN</x:v>
      </x:c>
    </x:row>
    <x:row r="12">
      <x:c r="B12" s="9" t="str">
        <x:v>ST-SVC03-B</x:v>
      </x:c>
      <x:c r="C12" s="9" t="str">
        <x:v>SVC03</x:v>
      </x:c>
      <x:c r="D12" s="9" t="str">
        <x:v>Utility-island service</x:v>
      </x:c>
      <x:c r="E12" s="9" t="str">
        <x:v>ROOT_B</x:v>
      </x:c>
      <x:c r="F12" s="9" t="str">
        <x:v>SC-SVC03-B-P</x:v>
      </x:c>
      <x:c r="G12" s="9" t="str">
        <x:v>SC-SVC03-B-R</x:v>
      </x:c>
      <x:c r="H12" s="9" t="n">
        <x:v>2</x:v>
      </x:c>
      <x:c r="I12" s="9" t="n">
        <x:f>COUNTIFS('Article Bank'!$C$7:$C$136,"SERVICE_CELL",'Article Bank'!$D$7:$D$136,E12,'Article Bank'!$E$7:$E$136,C12)</x:f>
        <x:v>2</x:v>
      </x:c>
      <x:c r="J12" s="9" t="n">
        <x:v>0</x:v>
      </x:c>
      <x:c r="K12" s="9" t="n">
        <x:v>0</x:v>
      </x:c>
      <x:c r="L12" s="9" t="str">
        <x:f>IF(AND(B12&lt;&gt;"",COUNTIFS($B$7:$B$24,B12)=1,F12&lt;&gt;G12,H12=2,I12=H12,COUNTIFS('Article Bank'!$B$7:$B$136,F12,'Article Bank'!$C$7:$C$136,"SERVICE_CELL",'Article Bank'!$D$7:$D$136,E12,'Article Bank'!$E$7:$E$136,C12)=1,COUNTIFS('Article Bank'!$B$7:$B$136,G12,'Article Bank'!$C$7:$C$136,"SERVICE_CELL",'Article Bank'!$D$7:$D$136,E12,'Article Bank'!$E$7:$E$136,C12)=1),"PASS","FAIL")</x:f>
        <x:v>PASS</x:v>
      </x:c>
      <x:c r="M12" s="9" t="str">
        <x:v>OPEN</x:v>
      </x:c>
    </x:row>
    <x:row r="13">
      <x:c r="B13" s="9" t="str">
        <x:v>ST-SVC04-A</x:v>
      </x:c>
      <x:c r="C13" s="9" t="str">
        <x:v>SVC04</x:v>
      </x:c>
      <x:c r="D13" s="9" t="str">
        <x:v>Sanitary-laboratory cell</x:v>
      </x:c>
      <x:c r="E13" s="9" t="str">
        <x:v>ROOT_A</x:v>
      </x:c>
      <x:c r="F13" s="9" t="str">
        <x:v>SC-SVC04-A-P</x:v>
      </x:c>
      <x:c r="G13" s="9" t="str">
        <x:v>SC-SVC04-A-R</x:v>
      </x:c>
      <x:c r="H13" s="9" t="n">
        <x:v>2</x:v>
      </x:c>
      <x:c r="I13" s="9" t="n">
        <x:f>COUNTIFS('Article Bank'!$C$7:$C$136,"SERVICE_CELL",'Article Bank'!$D$7:$D$136,E13,'Article Bank'!$E$7:$E$136,C13)</x:f>
        <x:v>2</x:v>
      </x:c>
      <x:c r="J13" s="9" t="n">
        <x:v>0</x:v>
      </x:c>
      <x:c r="K13" s="9" t="n">
        <x:v>0</x:v>
      </x:c>
      <x:c r="L13" s="9" t="str">
        <x:f>IF(AND(B13&lt;&gt;"",COUNTIFS($B$7:$B$24,B13)=1,F13&lt;&gt;G13,H13=2,I13=H13,COUNTIFS('Article Bank'!$B$7:$B$136,F13,'Article Bank'!$C$7:$C$136,"SERVICE_CELL",'Article Bank'!$D$7:$D$136,E13,'Article Bank'!$E$7:$E$136,C13)=1,COUNTIFS('Article Bank'!$B$7:$B$136,G13,'Article Bank'!$C$7:$C$136,"SERVICE_CELL",'Article Bank'!$D$7:$D$136,E13,'Article Bank'!$E$7:$E$136,C13)=1),"PASS","FAIL")</x:f>
        <x:v>PASS</x:v>
      </x:c>
      <x:c r="M13" s="9" t="str">
        <x:v>OPEN</x:v>
      </x:c>
    </x:row>
    <x:row r="14">
      <x:c r="B14" s="9" t="str">
        <x:v>ST-SVC04-B</x:v>
      </x:c>
      <x:c r="C14" s="9" t="str">
        <x:v>SVC04</x:v>
      </x:c>
      <x:c r="D14" s="9" t="str">
        <x:v>Sanitary-laboratory cell</x:v>
      </x:c>
      <x:c r="E14" s="9" t="str">
        <x:v>ROOT_B</x:v>
      </x:c>
      <x:c r="F14" s="9" t="str">
        <x:v>SC-SVC04-B-P</x:v>
      </x:c>
      <x:c r="G14" s="9" t="str">
        <x:v>SC-SVC04-B-R</x:v>
      </x:c>
      <x:c r="H14" s="9" t="n">
        <x:v>2</x:v>
      </x:c>
      <x:c r="I14" s="9" t="n">
        <x:f>COUNTIFS('Article Bank'!$C$7:$C$136,"SERVICE_CELL",'Article Bank'!$D$7:$D$136,E14,'Article Bank'!$E$7:$E$136,C14)</x:f>
        <x:v>2</x:v>
      </x:c>
      <x:c r="J14" s="9" t="n">
        <x:v>0</x:v>
      </x:c>
      <x:c r="K14" s="9" t="n">
        <x:v>0</x:v>
      </x:c>
      <x:c r="L14" s="9" t="str">
        <x:f>IF(AND(B14&lt;&gt;"",COUNTIFS($B$7:$B$24,B14)=1,F14&lt;&gt;G14,H14=2,I14=H14,COUNTIFS('Article Bank'!$B$7:$B$136,F14,'Article Bank'!$C$7:$C$136,"SERVICE_CELL",'Article Bank'!$D$7:$D$136,E14,'Article Bank'!$E$7:$E$136,C14)=1,COUNTIFS('Article Bank'!$B$7:$B$136,G14,'Article Bank'!$C$7:$C$136,"SERVICE_CELL",'Article Bank'!$D$7:$D$136,E14,'Article Bank'!$E$7:$E$136,C14)=1),"PASS","FAIL")</x:f>
        <x:v>PASS</x:v>
      </x:c>
      <x:c r="M14" s="9" t="str">
        <x:v>OPEN</x:v>
      </x:c>
    </x:row>
    <x:row r="15">
      <x:c r="B15" s="9" t="str">
        <x:v>ST-SVC05-A</x:v>
      </x:c>
      <x:c r="C15" s="9" t="str">
        <x:v>SVC05</x:v>
      </x:c>
      <x:c r="D15" s="9" t="str">
        <x:v>Forensic-line cell</x:v>
      </x:c>
      <x:c r="E15" s="9" t="str">
        <x:v>ROOT_A</x:v>
      </x:c>
      <x:c r="F15" s="9" t="str">
        <x:v>SC-SVC05-A-P</x:v>
      </x:c>
      <x:c r="G15" s="9" t="str">
        <x:v>SC-SVC05-A-R</x:v>
      </x:c>
      <x:c r="H15" s="9" t="n">
        <x:v>2</x:v>
      </x:c>
      <x:c r="I15" s="9" t="n">
        <x:f>COUNTIFS('Article Bank'!$C$7:$C$136,"SERVICE_CELL",'Article Bank'!$D$7:$D$136,E15,'Article Bank'!$E$7:$E$136,C15)</x:f>
        <x:v>2</x:v>
      </x:c>
      <x:c r="J15" s="9" t="n">
        <x:v>0</x:v>
      </x:c>
      <x:c r="K15" s="9" t="n">
        <x:v>0</x:v>
      </x:c>
      <x:c r="L15" s="9" t="str">
        <x:f>IF(AND(B15&lt;&gt;"",COUNTIFS($B$7:$B$24,B15)=1,F15&lt;&gt;G15,H15=2,I15=H15,COUNTIFS('Article Bank'!$B$7:$B$136,F15,'Article Bank'!$C$7:$C$136,"SERVICE_CELL",'Article Bank'!$D$7:$D$136,E15,'Article Bank'!$E$7:$E$136,C15)=1,COUNTIFS('Article Bank'!$B$7:$B$136,G15,'Article Bank'!$C$7:$C$136,"SERVICE_CELL",'Article Bank'!$D$7:$D$136,E15,'Article Bank'!$E$7:$E$136,C15)=1),"PASS","FAIL")</x:f>
        <x:v>PASS</x:v>
      </x:c>
      <x:c r="M15" s="9" t="str">
        <x:v>OPEN</x:v>
      </x:c>
    </x:row>
    <x:row r="16">
      <x:c r="B16" s="9" t="str">
        <x:v>ST-SVC05-B</x:v>
      </x:c>
      <x:c r="C16" s="9" t="str">
        <x:v>SVC05</x:v>
      </x:c>
      <x:c r="D16" s="9" t="str">
        <x:v>Forensic-line cell</x:v>
      </x:c>
      <x:c r="E16" s="9" t="str">
        <x:v>ROOT_B</x:v>
      </x:c>
      <x:c r="F16" s="9" t="str">
        <x:v>SC-SVC05-B-P</x:v>
      </x:c>
      <x:c r="G16" s="9" t="str">
        <x:v>SC-SVC05-B-R</x:v>
      </x:c>
      <x:c r="H16" s="9" t="n">
        <x:v>2</x:v>
      </x:c>
      <x:c r="I16" s="9" t="n">
        <x:f>COUNTIFS('Article Bank'!$C$7:$C$136,"SERVICE_CELL",'Article Bank'!$D$7:$D$136,E16,'Article Bank'!$E$7:$E$136,C16)</x:f>
        <x:v>2</x:v>
      </x:c>
      <x:c r="J16" s="9" t="n">
        <x:v>0</x:v>
      </x:c>
      <x:c r="K16" s="9" t="n">
        <x:v>0</x:v>
      </x:c>
      <x:c r="L16" s="9" t="str">
        <x:f>IF(AND(B16&lt;&gt;"",COUNTIFS($B$7:$B$24,B16)=1,F16&lt;&gt;G16,H16=2,I16=H16,COUNTIFS('Article Bank'!$B$7:$B$136,F16,'Article Bank'!$C$7:$C$136,"SERVICE_CELL",'Article Bank'!$D$7:$D$136,E16,'Article Bank'!$E$7:$E$136,C16)=1,COUNTIFS('Article Bank'!$B$7:$B$136,G16,'Article Bank'!$C$7:$C$136,"SERVICE_CELL",'Article Bank'!$D$7:$D$136,E16,'Article Bank'!$E$7:$E$136,C16)=1),"PASS","FAIL")</x:f>
        <x:v>PASS</x:v>
      </x:c>
      <x:c r="M16" s="9" t="str">
        <x:v>OPEN</x:v>
      </x:c>
    </x:row>
    <x:row r="17">
      <x:c r="B17" s="9" t="str">
        <x:v>ST-SVC06-A</x:v>
      </x:c>
      <x:c r="C17" s="9" t="str">
        <x:v>SVC06</x:v>
      </x:c>
      <x:c r="D17" s="9" t="str">
        <x:v>Metrology cell</x:v>
      </x:c>
      <x:c r="E17" s="9" t="str">
        <x:v>ROOT_A</x:v>
      </x:c>
      <x:c r="F17" s="9" t="str">
        <x:v>SC-SVC06-A-P</x:v>
      </x:c>
      <x:c r="G17" s="9" t="str">
        <x:v>SC-SVC06-A-R</x:v>
      </x:c>
      <x:c r="H17" s="9" t="n">
        <x:v>2</x:v>
      </x:c>
      <x:c r="I17" s="9" t="n">
        <x:f>COUNTIFS('Article Bank'!$C$7:$C$136,"SERVICE_CELL",'Article Bank'!$D$7:$D$136,E17,'Article Bank'!$E$7:$E$136,C17)</x:f>
        <x:v>2</x:v>
      </x:c>
      <x:c r="J17" s="9" t="n">
        <x:v>0</x:v>
      </x:c>
      <x:c r="K17" s="9" t="n">
        <x:v>0</x:v>
      </x:c>
      <x:c r="L17" s="9" t="str">
        <x:f>IF(AND(B17&lt;&gt;"",COUNTIFS($B$7:$B$24,B17)=1,F17&lt;&gt;G17,H17=2,I17=H17,COUNTIFS('Article Bank'!$B$7:$B$136,F17,'Article Bank'!$C$7:$C$136,"SERVICE_CELL",'Article Bank'!$D$7:$D$136,E17,'Article Bank'!$E$7:$E$136,C17)=1,COUNTIFS('Article Bank'!$B$7:$B$136,G17,'Article Bank'!$C$7:$C$136,"SERVICE_CELL",'Article Bank'!$D$7:$D$136,E17,'Article Bank'!$E$7:$E$136,C17)=1),"PASS","FAIL")</x:f>
        <x:v>PASS</x:v>
      </x:c>
      <x:c r="M17" s="9" t="str">
        <x:v>OPEN</x:v>
      </x:c>
    </x:row>
    <x:row r="18">
      <x:c r="B18" s="9" t="str">
        <x:v>ST-SVC06-B</x:v>
      </x:c>
      <x:c r="C18" s="9" t="str">
        <x:v>SVC06</x:v>
      </x:c>
      <x:c r="D18" s="9" t="str">
        <x:v>Metrology cell</x:v>
      </x:c>
      <x:c r="E18" s="9" t="str">
        <x:v>ROOT_B</x:v>
      </x:c>
      <x:c r="F18" s="9" t="str">
        <x:v>SC-SVC06-B-P</x:v>
      </x:c>
      <x:c r="G18" s="9" t="str">
        <x:v>SC-SVC06-B-R</x:v>
      </x:c>
      <x:c r="H18" s="9" t="n">
        <x:v>2</x:v>
      </x:c>
      <x:c r="I18" s="9" t="n">
        <x:f>COUNTIFS('Article Bank'!$C$7:$C$136,"SERVICE_CELL",'Article Bank'!$D$7:$D$136,E18,'Article Bank'!$E$7:$E$136,C18)</x:f>
        <x:v>2</x:v>
      </x:c>
      <x:c r="J18" s="9" t="n">
        <x:v>0</x:v>
      </x:c>
      <x:c r="K18" s="9" t="n">
        <x:v>0</x:v>
      </x:c>
      <x:c r="L18" s="9" t="str">
        <x:f>IF(AND(B18&lt;&gt;"",COUNTIFS($B$7:$B$24,B18)=1,F18&lt;&gt;G18,H18=2,I18=H18,COUNTIFS('Article Bank'!$B$7:$B$136,F18,'Article Bank'!$C$7:$C$136,"SERVICE_CELL",'Article Bank'!$D$7:$D$136,E18,'Article Bank'!$E$7:$E$136,C18)=1,COUNTIFS('Article Bank'!$B$7:$B$136,G18,'Article Bank'!$C$7:$C$136,"SERVICE_CELL",'Article Bank'!$D$7:$D$136,E18,'Article Bank'!$E$7:$E$136,C18)=1),"PASS","FAIL")</x:f>
        <x:v>PASS</x:v>
      </x:c>
      <x:c r="M18" s="9" t="str">
        <x:v>OPEN</x:v>
      </x:c>
    </x:row>
    <x:row r="19">
      <x:c r="B19" s="9" t="str">
        <x:v>ST-SVC07-A</x:v>
      </x:c>
      <x:c r="C19" s="9" t="str">
        <x:v>SVC07</x:v>
      </x:c>
      <x:c r="D19" s="9" t="str">
        <x:v>Evidence-replay cell</x:v>
      </x:c>
      <x:c r="E19" s="9" t="str">
        <x:v>ROOT_A</x:v>
      </x:c>
      <x:c r="F19" s="9" t="str">
        <x:v>SC-SVC07-A-P</x:v>
      </x:c>
      <x:c r="G19" s="9" t="str">
        <x:v>SC-SVC07-A-R</x:v>
      </x:c>
      <x:c r="H19" s="9" t="n">
        <x:v>2</x:v>
      </x:c>
      <x:c r="I19" s="9" t="n">
        <x:f>COUNTIFS('Article Bank'!$C$7:$C$136,"SERVICE_CELL",'Article Bank'!$D$7:$D$136,E19,'Article Bank'!$E$7:$E$136,C19)</x:f>
        <x:v>2</x:v>
      </x:c>
      <x:c r="J19" s="9" t="n">
        <x:v>0</x:v>
      </x:c>
      <x:c r="K19" s="9" t="n">
        <x:v>0</x:v>
      </x:c>
      <x:c r="L19" s="9" t="str">
        <x:f>IF(AND(B19&lt;&gt;"",COUNTIFS($B$7:$B$24,B19)=1,F19&lt;&gt;G19,H19=2,I19=H19,COUNTIFS('Article Bank'!$B$7:$B$136,F19,'Article Bank'!$C$7:$C$136,"SERVICE_CELL",'Article Bank'!$D$7:$D$136,E19,'Article Bank'!$E$7:$E$136,C19)=1,COUNTIFS('Article Bank'!$B$7:$B$136,G19,'Article Bank'!$C$7:$C$136,"SERVICE_CELL",'Article Bank'!$D$7:$D$136,E19,'Article Bank'!$E$7:$E$136,C19)=1),"PASS","FAIL")</x:f>
        <x:v>PASS</x:v>
      </x:c>
      <x:c r="M19" s="9" t="str">
        <x:v>OPEN</x:v>
      </x:c>
    </x:row>
    <x:row r="20">
      <x:c r="B20" s="9" t="str">
        <x:v>ST-SVC07-B</x:v>
      </x:c>
      <x:c r="C20" s="9" t="str">
        <x:v>SVC07</x:v>
      </x:c>
      <x:c r="D20" s="9" t="str">
        <x:v>Evidence-replay cell</x:v>
      </x:c>
      <x:c r="E20" s="9" t="str">
        <x:v>ROOT_B</x:v>
      </x:c>
      <x:c r="F20" s="9" t="str">
        <x:v>SC-SVC07-B-P</x:v>
      </x:c>
      <x:c r="G20" s="9" t="str">
        <x:v>SC-SVC07-B-R</x:v>
      </x:c>
      <x:c r="H20" s="9" t="n">
        <x:v>2</x:v>
      </x:c>
      <x:c r="I20" s="9" t="n">
        <x:f>COUNTIFS('Article Bank'!$C$7:$C$136,"SERVICE_CELL",'Article Bank'!$D$7:$D$136,E20,'Article Bank'!$E$7:$E$136,C20)</x:f>
        <x:v>2</x:v>
      </x:c>
      <x:c r="J20" s="9" t="n">
        <x:v>0</x:v>
      </x:c>
      <x:c r="K20" s="9" t="n">
        <x:v>0</x:v>
      </x:c>
      <x:c r="L20" s="9" t="str">
        <x:f>IF(AND(B20&lt;&gt;"",COUNTIFS($B$7:$B$24,B20)=1,F20&lt;&gt;G20,H20=2,I20=H20,COUNTIFS('Article Bank'!$B$7:$B$136,F20,'Article Bank'!$C$7:$C$136,"SERVICE_CELL",'Article Bank'!$D$7:$D$136,E20,'Article Bank'!$E$7:$E$136,C20)=1,COUNTIFS('Article Bank'!$B$7:$B$136,G20,'Article Bank'!$C$7:$C$136,"SERVICE_CELL",'Article Bank'!$D$7:$D$136,E20,'Article Bank'!$E$7:$E$136,C20)=1),"PASS","FAIL")</x:f>
        <x:v>PASS</x:v>
      </x:c>
      <x:c r="M20" s="9" t="str">
        <x:v>OPEN</x:v>
      </x:c>
    </x:row>
    <x:row r="21">
      <x:c r="B21" s="9" t="str">
        <x:v>ST-SVC08-A</x:v>
      </x:c>
      <x:c r="C21" s="9" t="str">
        <x:v>SVC08</x:v>
      </x:c>
      <x:c r="D21" s="9" t="str">
        <x:v>Blind-truth cell</x:v>
      </x:c>
      <x:c r="E21" s="9" t="str">
        <x:v>ROOT_A</x:v>
      </x:c>
      <x:c r="F21" s="9" t="str">
        <x:v>SC-SVC08-A-P</x:v>
      </x:c>
      <x:c r="G21" s="9" t="str">
        <x:v>SC-SVC08-A-R</x:v>
      </x:c>
      <x:c r="H21" s="9" t="n">
        <x:v>2</x:v>
      </x:c>
      <x:c r="I21" s="9" t="n">
        <x:f>COUNTIFS('Article Bank'!$C$7:$C$136,"SERVICE_CELL",'Article Bank'!$D$7:$D$136,E21,'Article Bank'!$E$7:$E$136,C21)</x:f>
        <x:v>2</x:v>
      </x:c>
      <x:c r="J21" s="9" t="n">
        <x:v>0</x:v>
      </x:c>
      <x:c r="K21" s="9" t="n">
        <x:v>0</x:v>
      </x:c>
      <x:c r="L21" s="9" t="str">
        <x:f>IF(AND(B21&lt;&gt;"",COUNTIFS($B$7:$B$24,B21)=1,F21&lt;&gt;G21,H21=2,I21=H21,COUNTIFS('Article Bank'!$B$7:$B$136,F21,'Article Bank'!$C$7:$C$136,"SERVICE_CELL",'Article Bank'!$D$7:$D$136,E21,'Article Bank'!$E$7:$E$136,C21)=1,COUNTIFS('Article Bank'!$B$7:$B$136,G21,'Article Bank'!$C$7:$C$136,"SERVICE_CELL",'Article Bank'!$D$7:$D$136,E21,'Article Bank'!$E$7:$E$136,C21)=1),"PASS","FAIL")</x:f>
        <x:v>PASS</x:v>
      </x:c>
      <x:c r="M21" s="9" t="str">
        <x:v>OPEN</x:v>
      </x:c>
    </x:row>
    <x:row r="22">
      <x:c r="B22" s="9" t="str">
        <x:v>ST-SVC08-B</x:v>
      </x:c>
      <x:c r="C22" s="9" t="str">
        <x:v>SVC08</x:v>
      </x:c>
      <x:c r="D22" s="9" t="str">
        <x:v>Blind-truth cell</x:v>
      </x:c>
      <x:c r="E22" s="9" t="str">
        <x:v>ROOT_B</x:v>
      </x:c>
      <x:c r="F22" s="9" t="str">
        <x:v>SC-SVC08-B-P</x:v>
      </x:c>
      <x:c r="G22" s="9" t="str">
        <x:v>SC-SVC08-B-R</x:v>
      </x:c>
      <x:c r="H22" s="9" t="n">
        <x:v>2</x:v>
      </x:c>
      <x:c r="I22" s="9" t="n">
        <x:f>COUNTIFS('Article Bank'!$C$7:$C$136,"SERVICE_CELL",'Article Bank'!$D$7:$D$136,E22,'Article Bank'!$E$7:$E$136,C22)</x:f>
        <x:v>2</x:v>
      </x:c>
      <x:c r="J22" s="9" t="n">
        <x:v>0</x:v>
      </x:c>
      <x:c r="K22" s="9" t="n">
        <x:v>0</x:v>
      </x:c>
      <x:c r="L22" s="9" t="str">
        <x:f>IF(AND(B22&lt;&gt;"",COUNTIFS($B$7:$B$24,B22)=1,F22&lt;&gt;G22,H22=2,I22=H22,COUNTIFS('Article Bank'!$B$7:$B$136,F22,'Article Bank'!$C$7:$C$136,"SERVICE_CELL",'Article Bank'!$D$7:$D$136,E22,'Article Bank'!$E$7:$E$136,C22)=1,COUNTIFS('Article Bank'!$B$7:$B$136,G22,'Article Bank'!$C$7:$C$136,"SERVICE_CELL",'Article Bank'!$D$7:$D$136,E22,'Article Bank'!$E$7:$E$136,C22)=1),"PASS","FAIL")</x:f>
        <x:v>PASS</x:v>
      </x:c>
      <x:c r="M22" s="9" t="str">
        <x:v>OPEN</x:v>
      </x:c>
    </x:row>
    <x:row r="23">
      <x:c r="B23" s="9" t="str">
        <x:v>ST-SVC09-A</x:v>
      </x:c>
      <x:c r="C23" s="9" t="str">
        <x:v>SVC09</x:v>
      </x:c>
      <x:c r="D23" s="9" t="str">
        <x:v>Site-custody cell</x:v>
      </x:c>
      <x:c r="E23" s="9" t="str">
        <x:v>ROOT_A</x:v>
      </x:c>
      <x:c r="F23" s="9" t="str">
        <x:v>SC-SVC09-A-P</x:v>
      </x:c>
      <x:c r="G23" s="9" t="str">
        <x:v>SC-SVC09-A-R</x:v>
      </x:c>
      <x:c r="H23" s="9" t="n">
        <x:v>2</x:v>
      </x:c>
      <x:c r="I23" s="9" t="n">
        <x:f>COUNTIFS('Article Bank'!$C$7:$C$136,"SERVICE_CELL",'Article Bank'!$D$7:$D$136,E23,'Article Bank'!$E$7:$E$136,C23)</x:f>
        <x:v>2</x:v>
      </x:c>
      <x:c r="J23" s="9" t="n">
        <x:v>0</x:v>
      </x:c>
      <x:c r="K23" s="9" t="n">
        <x:v>0</x:v>
      </x:c>
      <x:c r="L23" s="9" t="str">
        <x:f>IF(AND(B23&lt;&gt;"",COUNTIFS($B$7:$B$24,B23)=1,F23&lt;&gt;G23,H23=2,I23=H23,COUNTIFS('Article Bank'!$B$7:$B$136,F23,'Article Bank'!$C$7:$C$136,"SERVICE_CELL",'Article Bank'!$D$7:$D$136,E23,'Article Bank'!$E$7:$E$136,C23)=1,COUNTIFS('Article Bank'!$B$7:$B$136,G23,'Article Bank'!$C$7:$C$136,"SERVICE_CELL",'Article Bank'!$D$7:$D$136,E23,'Article Bank'!$E$7:$E$136,C23)=1),"PASS","FAIL")</x:f>
        <x:v>PASS</x:v>
      </x:c>
      <x:c r="M23" s="9" t="str">
        <x:v>OPEN</x:v>
      </x:c>
    </x:row>
    <x:row r="24">
      <x:c r="B24" s="10" t="str">
        <x:v>ST-SVC09-B</x:v>
      </x:c>
      <x:c r="C24" s="10" t="str">
        <x:v>SVC09</x:v>
      </x:c>
      <x:c r="D24" s="10" t="str">
        <x:v>Site-custody cell</x:v>
      </x:c>
      <x:c r="E24" s="10" t="str">
        <x:v>ROOT_B</x:v>
      </x:c>
      <x:c r="F24" s="10" t="str">
        <x:v>SC-SVC09-B-P</x:v>
      </x:c>
      <x:c r="G24" s="10" t="str">
        <x:v>SC-SVC09-B-R</x:v>
      </x:c>
      <x:c r="H24" s="10" t="n">
        <x:v>2</x:v>
      </x:c>
      <x:c r="I24" s="10" t="n">
        <x:f>COUNTIFS('Article Bank'!$C$7:$C$136,"SERVICE_CELL",'Article Bank'!$D$7:$D$136,E24,'Article Bank'!$E$7:$E$136,C24)</x:f>
        <x:v>2</x:v>
      </x:c>
      <x:c r="J24" s="10" t="n">
        <x:v>0</x:v>
      </x:c>
      <x:c r="K24" s="10" t="n">
        <x:v>0</x:v>
      </x:c>
      <x:c r="L24" s="10" t="str">
        <x:f>IF(AND(B24&lt;&gt;"",COUNTIFS($B$7:$B$24,B24)=1,F24&lt;&gt;G24,H24=2,I24=H24,COUNTIFS('Article Bank'!$B$7:$B$136,F24,'Article Bank'!$C$7:$C$136,"SERVICE_CELL",'Article Bank'!$D$7:$D$136,E24,'Article Bank'!$E$7:$E$136,C24)=1,COUNTIFS('Article Bank'!$B$7:$B$136,G24,'Article Bank'!$C$7:$C$136,"SERVICE_CELL",'Article Bank'!$D$7:$D$136,E24,'Article Bank'!$E$7:$E$136,C24)=1),"PASS","FAIL")</x:f>
        <x:v>PASS</x:v>
      </x:c>
      <x:c r="M24" s="10" t="str">
        <x:v>OPEN</x:v>
      </x:c>
    </x:row>
  </x:sheetData>
  <x:mergeCells>
    <x:mergeCell ref="B2:M2"/>
    <x:mergeCell ref="B3:M3"/>
  </x:mergeCells>
  <x:conditionalFormatting sqref="L7:M24">
    <x:cfRule type="containsText" dxfId="52" priority="1" operator="containsText" text="PASS"/>
    <x:cfRule type="containsText" dxfId="53" priority="2" operator="containsText" text="AUTHORIZED"/>
    <x:cfRule type="containsText" dxfId="54" priority="3" operator="containsText" text="DEFINED"/>
    <x:cfRule type="containsText" dxfId="55" priority="4" operator="containsText" text="READY"/>
    <x:cfRule type="containsText" dxfId="56" priority="5" operator="containsText" text="HOLD"/>
    <x:cfRule type="containsText" dxfId="57" priority="6" operator="containsText" text="OPEN"/>
    <x:cfRule type="containsText" dxfId="58" priority="7" operator="containsText" text="BLOCKED"/>
    <x:cfRule type="containsText" dxfId="59" priority="8" operator="containsText" text="PLANNING"/>
    <x:cfRule type="containsText" dxfId="60" priority="9" operator="containsText" text="FAIL"/>
    <x:cfRule type="containsText" dxfId="61" priority="10" operator="containsText" text="REJECT"/>
    <x:cfRule type="containsText" dxfId="62" priority="11" operator="containsText" text="LATE"/>
    <x:cfRule type="containsText" dxfId="63" priority="12" operator="containsText" text="INCOMPLETE"/>
    <x:cfRule type="containsText" dxfId="64" priority="13" operator="containsText" text="INDETERMINATE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33" hidden="0" customWidth="1"/>
    <x:col min="4" max="4" width="14" hidden="0" customWidth="1"/>
    <x:col min="5" max="5" width="22" hidden="0" customWidth="1"/>
    <x:col min="6" max="6" width="16" hidden="0" customWidth="1"/>
    <x:col min="7" max="7" width="19" hidden="0" customWidth="1"/>
    <x:col min="8" max="8" width="18" hidden="0" customWidth="1"/>
    <x:col min="9" max="9" width="19" hidden="0" customWidth="1"/>
    <x:col min="10" max="10" width="16" hidden="0" customWidth="1"/>
    <x:col min="11" max="11" width="17" hidden="0" customWidth="1"/>
  </x:cols>
  <x:sheetData>
    <x:row r="2">
      <x:c r="B2" s="31" t="str">
        <x:v>Receiver-world qualification</x:v>
      </x:c>
      <x:c r="C2" s="8"/>
      <x:c r="D2" s="8"/>
      <x:c r="E2" s="8"/>
      <x:c r="F2" s="8"/>
      <x:c r="G2" s="8"/>
      <x:c r="H2" s="8"/>
      <x:c r="I2" s="8"/>
      <x:c r="J2" s="8"/>
      <x:c r="K2" s="8"/>
    </x:row>
    <x:row r="3">
      <x:c r="B3" s="2" t="str">
        <x:v>Every root must close each receiver class without undeclared local capacity.</x:v>
      </x:c>
      <x:c r="C3" s="8"/>
      <x:c r="D3" s="8"/>
      <x:c r="E3" s="8"/>
      <x:c r="F3" s="8"/>
      <x:c r="G3" s="8"/>
      <x:c r="H3" s="8"/>
      <x:c r="I3" s="8"/>
      <x:c r="J3" s="8"/>
      <x:c r="K3" s="8"/>
    </x:row>
    <x:row r="4">
      <x:c r="B4" s="32"/>
      <x:c r="C4" s="32"/>
      <x:c r="D4" s="32"/>
      <x:c r="E4" s="32"/>
      <x:c r="F4" s="32"/>
      <x:c r="G4" s="32"/>
      <x:c r="H4" s="32"/>
      <x:c r="I4" s="32"/>
      <x:c r="J4" s="32"/>
      <x:c r="K4" s="32"/>
    </x:row>
    <x:row r="5">
      <x:c r="B5" s="8"/>
      <x:c r="C5" s="8"/>
      <x:c r="D5" s="8"/>
      <x:c r="E5" s="8"/>
      <x:c r="F5" s="8"/>
      <x:c r="G5" s="8"/>
      <x:c r="H5" s="8"/>
      <x:c r="I5" s="8"/>
      <x:c r="J5" s="8"/>
      <x:c r="K5" s="8"/>
    </x:row>
    <x:row r="6">
      <x:c r="B6" s="7" t="str">
        <x:v>World</x:v>
      </x:c>
      <x:c r="C6" s="7" t="str">
        <x:v>Receiver class</x:v>
      </x:c>
      <x:c r="D6" s="7" t="str">
        <x:v>Declared condition</x:v>
      </x:c>
      <x:c r="E6" s="7" t="str">
        <x:v>Article-owned obligation</x:v>
      </x:c>
      <x:c r="F6" s="7" t="str">
        <x:v>Planning state</x:v>
      </x:c>
      <x:c r="G6" s="8"/>
      <x:c r="H6" s="8"/>
      <x:c r="I6" s="8"/>
      <x:c r="J6" s="8"/>
      <x:c r="K6" s="8"/>
    </x:row>
    <x:row r="7" ht="48" customHeight="1">
      <x:c r="B7" s="9" t="str">
        <x:v>RW1</x:v>
      </x:c>
      <x:c r="C7" s="14" t="str">
        <x:v>Damaged industrial hardstand</x:v>
      </x:c>
      <x:c r="D7" s="14" t="str">
        <x:v>usable bearing surface; damaged or untrusted utility approaches</x:v>
      </x:c>
      <x:c r="E7" s="14" t="str">
        <x:v>local safe utility, time, identity and environmental boundary</x:v>
      </x:c>
      <x:c r="F7" s="9" t="str">
        <x:v>DEFINED</x:v>
      </x:c>
      <x:c r="G7" s="8"/>
      <x:c r="H7" s="8"/>
      <x:c r="I7" s="8"/>
      <x:c r="J7" s="8"/>
      <x:c r="K7" s="8"/>
    </x:row>
    <x:row r="8" ht="48" customHeight="1">
      <x:c r="B8" s="9" t="str">
        <x:v>RW2</x:v>
      </x:c>
      <x:c r="C8" s="14" t="str">
        <x:v>Settled weak-ground island</x:v>
      </x:c>
      <x:c r="D8" s="14" t="str">
        <x:v>differential settlement, limited bearing and disrupted drainage</x:v>
      </x:c>
      <x:c r="E8" s="14" t="str">
        <x:v>load spreading, adjustable datum and island utilities</x:v>
      </x:c>
      <x:c r="F8" s="9" t="str">
        <x:v>DEFINED</x:v>
      </x:c>
      <x:c r="G8" s="8"/>
      <x:c r="H8" s="8"/>
      <x:c r="I8" s="8"/>
      <x:c r="J8" s="8"/>
      <x:c r="K8" s="8"/>
    </x:row>
    <x:row r="9" ht="48" customHeight="1">
      <x:c r="B9" s="10" t="str">
        <x:v>RW3</x:v>
      </x:c>
      <x:c r="C9" s="15" t="str">
        <x:v>Remote corridor receiver</x:v>
      </x:c>
      <x:c r="D9" s="15" t="str">
        <x:v>long service runs, restricted heavy access, no trusted grid or network</x:v>
      </x:c>
      <x:c r="E9" s="15" t="str">
        <x:v>self-contained staging, utilities, evidence and maintenance</x:v>
      </x:c>
      <x:c r="F9" s="10" t="str">
        <x:v>DEFINED</x:v>
      </x:c>
      <x:c r="G9" s="8"/>
      <x:c r="H9" s="8"/>
      <x:c r="I9" s="8"/>
      <x:c r="J9" s="8"/>
      <x:c r="K9" s="8"/>
    </x:row>
    <x:row r="10">
      <x:c r="B10" s="8"/>
      <x:c r="C10" s="8"/>
      <x:c r="D10" s="8"/>
      <x:c r="E10" s="8"/>
      <x:c r="F10" s="8"/>
      <x:c r="G10" s="8"/>
      <x:c r="H10" s="8"/>
      <x:c r="I10" s="8"/>
      <x:c r="J10" s="8"/>
      <x:c r="K10" s="8"/>
    </x:row>
    <x:row r="11">
      <x:c r="B11" s="8"/>
      <x:c r="C11" s="8"/>
      <x:c r="D11" s="8"/>
      <x:c r="E11" s="8"/>
      <x:c r="F11" s="8"/>
      <x:c r="G11" s="8"/>
      <x:c r="H11" s="8"/>
      <x:c r="I11" s="8"/>
      <x:c r="J11" s="8"/>
      <x:c r="K11" s="8"/>
    </x:row>
    <x:row r="12">
      <x:c r="B12" s="8"/>
      <x:c r="C12" s="8"/>
      <x:c r="D12" s="8"/>
      <x:c r="E12" s="8"/>
      <x:c r="F12" s="8"/>
      <x:c r="G12" s="8"/>
      <x:c r="H12" s="8"/>
      <x:c r="I12" s="8"/>
      <x:c r="J12" s="8"/>
      <x:c r="K12" s="8"/>
    </x:row>
    <x:row r="13">
      <x:c r="B13" s="18" t="str">
        <x:v>Root-world spine trials</x:v>
      </x:c>
      <x:c r="C13" s="19" t="str">
        <x:v>Root-world spine trials</x:v>
      </x:c>
      <x:c r="D13" s="19" t="str">
        <x:v>Root-world spine trials</x:v>
      </x:c>
      <x:c r="E13" s="19" t="str">
        <x:v>Root-world spine trials</x:v>
      </x:c>
      <x:c r="F13" s="19" t="str">
        <x:v>Root-world spine trials</x:v>
      </x:c>
      <x:c r="G13" s="19" t="str">
        <x:v>Root-world spine trials</x:v>
      </x:c>
      <x:c r="H13" s="19" t="str">
        <x:v>Root-world spine trials</x:v>
      </x:c>
      <x:c r="I13" s="19" t="str">
        <x:v>Root-world spine trials</x:v>
      </x:c>
      <x:c r="J13" s="19" t="str">
        <x:v>Root-world spine trials</x:v>
      </x:c>
      <x:c r="K13" s="20" t="str">
        <x:v>Root-world spine trials</x:v>
      </x:c>
    </x:row>
    <x:row r="14">
      <x:c r="B14" s="7" t="str">
        <x:v>Trial</x:v>
      </x:c>
      <x:c r="C14" s="7" t="str">
        <x:v>World</x:v>
      </x:c>
      <x:c r="D14" s="7" t="str">
        <x:v>Root</x:v>
      </x:c>
      <x:c r="E14" s="7" t="str">
        <x:v>Spine article</x:v>
      </x:c>
      <x:c r="F14" s="7" t="str">
        <x:v>Foundation</x:v>
      </x:c>
      <x:c r="G14" s="7" t="str">
        <x:v>Utility boundary</x:v>
      </x:c>
      <x:c r="H14" s="7" t="str">
        <x:v>Custody boundary</x:v>
      </x:c>
      <x:c r="I14" s="7" t="str">
        <x:v>Physical execution</x:v>
      </x:c>
      <x:c r="J14" s="7" t="str">
        <x:v>Planning gate</x:v>
      </x:c>
      <x:c r="K14" s="7" t="str">
        <x:v>Terminal state</x:v>
      </x:c>
    </x:row>
    <x:row r="15">
      <x:c r="B15" s="9" t="str">
        <x:v>RT-RW1-A</x:v>
      </x:c>
      <x:c r="C15" s="9" t="str">
        <x:v>RW1</x:v>
      </x:c>
      <x:c r="D15" s="9" t="str">
        <x:v>ROOT_A</x:v>
      </x:c>
      <x:c r="E15" s="9" t="str">
        <x:v>RS-RW1-A</x:v>
      </x:c>
      <x:c r="F15" s="9" t="n">
        <x:v>1</x:v>
      </x:c>
      <x:c r="G15" s="9" t="n">
        <x:v>1</x:v>
      </x:c>
      <x:c r="H15" s="9" t="n">
        <x:v>1</x:v>
      </x:c>
      <x:c r="I15" s="9" t="n">
        <x:v>0</x:v>
      </x:c>
      <x:c r="J15" s="9" t="str">
        <x:f>IF(AND(B15&lt;&gt;"",COUNTIFS($B$15:$B$20,B15)=1,COUNTIFS('Article Bank'!$B$7:$B$136,E15,'Article Bank'!$C$7:$C$136,"RECEIVER_SPINE",'Article Bank'!$D$7:$D$136,D15,'Article Bank'!$E$7:$E$136,C15)=1,F15=1,G15=1,H15=1),"PASS","FAIL")</x:f>
        <x:v>PASS</x:v>
      </x:c>
      <x:c r="K15" s="9" t="str">
        <x:v>OPEN</x:v>
      </x:c>
    </x:row>
    <x:row r="16">
      <x:c r="B16" s="9" t="str">
        <x:v>RT-RW1-B</x:v>
      </x:c>
      <x:c r="C16" s="9" t="str">
        <x:v>RW1</x:v>
      </x:c>
      <x:c r="D16" s="9" t="str">
        <x:v>ROOT_B</x:v>
      </x:c>
      <x:c r="E16" s="9" t="str">
        <x:v>RS-RW1-B</x:v>
      </x:c>
      <x:c r="F16" s="9" t="n">
        <x:v>1</x:v>
      </x:c>
      <x:c r="G16" s="9" t="n">
        <x:v>1</x:v>
      </x:c>
      <x:c r="H16" s="9" t="n">
        <x:v>1</x:v>
      </x:c>
      <x:c r="I16" s="9" t="n">
        <x:v>0</x:v>
      </x:c>
      <x:c r="J16" s="9" t="str">
        <x:f>IF(AND(B16&lt;&gt;"",COUNTIFS($B$15:$B$20,B16)=1,COUNTIFS('Article Bank'!$B$7:$B$136,E16,'Article Bank'!$C$7:$C$136,"RECEIVER_SPINE",'Article Bank'!$D$7:$D$136,D16,'Article Bank'!$E$7:$E$136,C16)=1,F16=1,G16=1,H16=1),"PASS","FAIL")</x:f>
        <x:v>PASS</x:v>
      </x:c>
      <x:c r="K16" s="9" t="str">
        <x:v>OPEN</x:v>
      </x:c>
    </x:row>
    <x:row r="17">
      <x:c r="B17" s="9" t="str">
        <x:v>RT-RW2-A</x:v>
      </x:c>
      <x:c r="C17" s="9" t="str">
        <x:v>RW2</x:v>
      </x:c>
      <x:c r="D17" s="9" t="str">
        <x:v>ROOT_A</x:v>
      </x:c>
      <x:c r="E17" s="9" t="str">
        <x:v>RS-RW2-A</x:v>
      </x:c>
      <x:c r="F17" s="9" t="n">
        <x:v>1</x:v>
      </x:c>
      <x:c r="G17" s="9" t="n">
        <x:v>1</x:v>
      </x:c>
      <x:c r="H17" s="9" t="n">
        <x:v>1</x:v>
      </x:c>
      <x:c r="I17" s="9" t="n">
        <x:v>0</x:v>
      </x:c>
      <x:c r="J17" s="9" t="str">
        <x:f>IF(AND(B17&lt;&gt;"",COUNTIFS($B$15:$B$20,B17)=1,COUNTIFS('Article Bank'!$B$7:$B$136,E17,'Article Bank'!$C$7:$C$136,"RECEIVER_SPINE",'Article Bank'!$D$7:$D$136,D17,'Article Bank'!$E$7:$E$136,C17)=1,F17=1,G17=1,H17=1),"PASS","FAIL")</x:f>
        <x:v>PASS</x:v>
      </x:c>
      <x:c r="K17" s="9" t="str">
        <x:v>OPEN</x:v>
      </x:c>
    </x:row>
    <x:row r="18">
      <x:c r="B18" s="9" t="str">
        <x:v>RT-RW2-B</x:v>
      </x:c>
      <x:c r="C18" s="9" t="str">
        <x:v>RW2</x:v>
      </x:c>
      <x:c r="D18" s="9" t="str">
        <x:v>ROOT_B</x:v>
      </x:c>
      <x:c r="E18" s="9" t="str">
        <x:v>RS-RW2-B</x:v>
      </x:c>
      <x:c r="F18" s="9" t="n">
        <x:v>1</x:v>
      </x:c>
      <x:c r="G18" s="9" t="n">
        <x:v>1</x:v>
      </x:c>
      <x:c r="H18" s="9" t="n">
        <x:v>1</x:v>
      </x:c>
      <x:c r="I18" s="9" t="n">
        <x:v>0</x:v>
      </x:c>
      <x:c r="J18" s="9" t="str">
        <x:f>IF(AND(B18&lt;&gt;"",COUNTIFS($B$15:$B$20,B18)=1,COUNTIFS('Article Bank'!$B$7:$B$136,E18,'Article Bank'!$C$7:$C$136,"RECEIVER_SPINE",'Article Bank'!$D$7:$D$136,D18,'Article Bank'!$E$7:$E$136,C18)=1,F18=1,G18=1,H18=1),"PASS","FAIL")</x:f>
        <x:v>PASS</x:v>
      </x:c>
      <x:c r="K18" s="9" t="str">
        <x:v>OPEN</x:v>
      </x:c>
    </x:row>
    <x:row r="19">
      <x:c r="B19" s="9" t="str">
        <x:v>RT-RW3-A</x:v>
      </x:c>
      <x:c r="C19" s="9" t="str">
        <x:v>RW3</x:v>
      </x:c>
      <x:c r="D19" s="9" t="str">
        <x:v>ROOT_A</x:v>
      </x:c>
      <x:c r="E19" s="9" t="str">
        <x:v>RS-RW3-A</x:v>
      </x:c>
      <x:c r="F19" s="9" t="n">
        <x:v>1</x:v>
      </x:c>
      <x:c r="G19" s="9" t="n">
        <x:v>1</x:v>
      </x:c>
      <x:c r="H19" s="9" t="n">
        <x:v>1</x:v>
      </x:c>
      <x:c r="I19" s="9" t="n">
        <x:v>0</x:v>
      </x:c>
      <x:c r="J19" s="9" t="str">
        <x:f>IF(AND(B19&lt;&gt;"",COUNTIFS($B$15:$B$20,B19)=1,COUNTIFS('Article Bank'!$B$7:$B$136,E19,'Article Bank'!$C$7:$C$136,"RECEIVER_SPINE",'Article Bank'!$D$7:$D$136,D19,'Article Bank'!$E$7:$E$136,C19)=1,F19=1,G19=1,H19=1),"PASS","FAIL")</x:f>
        <x:v>PASS</x:v>
      </x:c>
      <x:c r="K19" s="9" t="str">
        <x:v>OPEN</x:v>
      </x:c>
    </x:row>
    <x:row r="20">
      <x:c r="B20" s="10" t="str">
        <x:v>RT-RW3-B</x:v>
      </x:c>
      <x:c r="C20" s="10" t="str">
        <x:v>RW3</x:v>
      </x:c>
      <x:c r="D20" s="10" t="str">
        <x:v>ROOT_B</x:v>
      </x:c>
      <x:c r="E20" s="10" t="str">
        <x:v>RS-RW3-B</x:v>
      </x:c>
      <x:c r="F20" s="10" t="n">
        <x:v>1</x:v>
      </x:c>
      <x:c r="G20" s="10" t="n">
        <x:v>1</x:v>
      </x:c>
      <x:c r="H20" s="10" t="n">
        <x:v>1</x:v>
      </x:c>
      <x:c r="I20" s="10" t="n">
        <x:v>0</x:v>
      </x:c>
      <x:c r="J20" s="10" t="str">
        <x:f>IF(AND(B20&lt;&gt;"",COUNTIFS($B$15:$B$20,B20)=1,COUNTIFS('Article Bank'!$B$7:$B$136,E20,'Article Bank'!$C$7:$C$136,"RECEIVER_SPINE",'Article Bank'!$D$7:$D$136,D20,'Article Bank'!$E$7:$E$136,C20)=1,F20=1,G20=1,H20=1),"PASS","FAIL")</x:f>
        <x:v>PASS</x:v>
      </x:c>
      <x:c r="K20" s="10" t="str">
        <x:v>OPEN</x:v>
      </x:c>
    </x:row>
  </x:sheetData>
  <x:mergeCells>
    <x:mergeCell ref="B2:K2"/>
    <x:mergeCell ref="B3:K3"/>
    <x:mergeCell ref="B13:K13"/>
  </x:mergeCells>
  <x:conditionalFormatting sqref="F7:F9">
    <x:cfRule type="containsText" dxfId="65" priority="1" operator="containsText" text="PASS"/>
    <x:cfRule type="containsText" dxfId="66" priority="2" operator="containsText" text="AUTHORIZED"/>
    <x:cfRule type="containsText" dxfId="67" priority="3" operator="containsText" text="DEFINED"/>
    <x:cfRule type="containsText" dxfId="68" priority="4" operator="containsText" text="READY"/>
    <x:cfRule type="containsText" dxfId="69" priority="5" operator="containsText" text="HOLD"/>
    <x:cfRule type="containsText" dxfId="70" priority="6" operator="containsText" text="OPEN"/>
    <x:cfRule type="containsText" dxfId="71" priority="7" operator="containsText" text="BLOCKED"/>
    <x:cfRule type="containsText" dxfId="72" priority="8" operator="containsText" text="PLANNING"/>
    <x:cfRule type="containsText" dxfId="73" priority="9" operator="containsText" text="FAIL"/>
    <x:cfRule type="containsText" dxfId="74" priority="10" operator="containsText" text="REJECT"/>
    <x:cfRule type="containsText" dxfId="75" priority="11" operator="containsText" text="LATE"/>
    <x:cfRule type="containsText" dxfId="76" priority="12" operator="containsText" text="INCOMPLETE"/>
    <x:cfRule type="containsText" dxfId="77" priority="13" operator="containsText" text="INDETERMINATE"/>
  </x:conditionalFormatting>
  <x:conditionalFormatting sqref="J15:K20">
    <x:cfRule type="containsText" dxfId="78" priority="14" operator="containsText" text="PASS"/>
    <x:cfRule type="containsText" dxfId="79" priority="15" operator="containsText" text="AUTHORIZED"/>
    <x:cfRule type="containsText" dxfId="80" priority="16" operator="containsText" text="DEFINED"/>
    <x:cfRule type="containsText" dxfId="81" priority="17" operator="containsText" text="READY"/>
    <x:cfRule type="containsText" dxfId="82" priority="18" operator="containsText" text="HOLD"/>
    <x:cfRule type="containsText" dxfId="83" priority="19" operator="containsText" text="OPEN"/>
    <x:cfRule type="containsText" dxfId="84" priority="20" operator="containsText" text="BLOCKED"/>
    <x:cfRule type="containsText" dxfId="85" priority="21" operator="containsText" text="PLANNING"/>
    <x:cfRule type="containsText" dxfId="86" priority="22" operator="containsText" text="FAIL"/>
    <x:cfRule type="containsText" dxfId="87" priority="23" operator="containsText" text="REJECT"/>
    <x:cfRule type="containsText" dxfId="88" priority="24" operator="containsText" text="LATE"/>
    <x:cfRule type="containsText" dxfId="89" priority="25" operator="containsText" text="INCOMPLETE"/>
    <x:cfRule type="containsText" dxfId="90" priority="26" operator="containsText" text="INDETERMINATE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23" hidden="0" customWidth="1"/>
    <x:col min="4" max="4" width="17" hidden="0" customWidth="1"/>
    <x:col min="5" max="5" width="22" hidden="0" customWidth="1"/>
    <x:col min="6" max="6" width="13" hidden="0" customWidth="1"/>
    <x:col min="7" max="7" width="19" hidden="0" customWidth="1"/>
    <x:col min="8" max="8" width="19" hidden="0" customWidth="1"/>
    <x:col min="9" max="9" width="16" hidden="0" customWidth="1"/>
    <x:col min="10" max="10" width="17" hidden="0" customWidth="1"/>
  </x:cols>
  <x:sheetData>
    <x:row r="2">
      <x:c r="B2" s="31" t="str">
        <x:v>Utility, campus-slice and adapter trials</x:v>
      </x:c>
      <x:c r="C2" s="8"/>
      <x:c r="D2" s="8"/>
      <x:c r="E2" s="8"/>
      <x:c r="F2" s="8"/>
      <x:c r="G2" s="8"/>
      <x:c r="H2" s="8"/>
      <x:c r="I2" s="8"/>
      <x:c r="J2" s="8"/>
    </x:row>
    <x:row r="3">
      <x:c r="B3" s="2" t="str">
        <x:v>Ten integrated trials complete the ninety-four-trial qualification registry.</x:v>
      </x:c>
      <x:c r="C3" s="8"/>
      <x:c r="D3" s="8"/>
      <x:c r="E3" s="8"/>
      <x:c r="F3" s="8"/>
      <x:c r="G3" s="8"/>
      <x:c r="H3" s="8"/>
      <x:c r="I3" s="8"/>
      <x:c r="J3" s="8"/>
    </x:row>
    <x:row r="4">
      <x:c r="B4" s="32"/>
      <x:c r="C4" s="32"/>
      <x:c r="D4" s="32"/>
      <x:c r="E4" s="32"/>
      <x:c r="F4" s="32"/>
      <x:c r="G4" s="32"/>
      <x:c r="H4" s="32"/>
      <x:c r="I4" s="32"/>
      <x:c r="J4" s="32"/>
    </x:row>
    <x:row r="5">
      <x:c r="B5" s="8"/>
      <x:c r="C5" s="8"/>
      <x:c r="D5" s="8"/>
      <x:c r="E5" s="8"/>
      <x:c r="F5" s="8"/>
      <x:c r="G5" s="8"/>
      <x:c r="H5" s="8"/>
      <x:c r="I5" s="8"/>
      <x:c r="J5" s="8"/>
    </x:row>
    <x:row r="6">
      <x:c r="B6" s="7" t="str">
        <x:v>Trial</x:v>
      </x:c>
      <x:c r="C6" s="7" t="str">
        <x:v>Class</x:v>
      </x:c>
      <x:c r="D6" s="7" t="str">
        <x:v>Root or owner</x:v>
      </x:c>
      <x:c r="E6" s="7" t="str">
        <x:v>Article</x:v>
      </x:c>
      <x:c r="F6" s="7" t="str">
        <x:v>Required</x:v>
      </x:c>
      <x:c r="G6" s="7" t="str">
        <x:v>Physical execution</x:v>
      </x:c>
      <x:c r="H6" s="7" t="str">
        <x:v>Physical admission</x:v>
      </x:c>
      <x:c r="I6" s="7" t="str">
        <x:v>Planning gate</x:v>
      </x:c>
      <x:c r="J6" s="7" t="str">
        <x:v>Terminal state</x:v>
      </x:c>
    </x:row>
    <x:row r="7">
      <x:c r="B7" s="9" t="str">
        <x:v>UT-A-1</x:v>
      </x:c>
      <x:c r="C7" s="9" t="str">
        <x:v>UTILITY_ISLAND</x:v>
      </x:c>
      <x:c r="D7" s="9" t="str">
        <x:v>ROOT_A</x:v>
      </x:c>
      <x:c r="E7" s="9" t="str">
        <x:v>UI-A-1</x:v>
      </x:c>
      <x:c r="F7" s="9" t="n">
        <x:v>1</x:v>
      </x:c>
      <x:c r="G7" s="9" t="n">
        <x:v>0</x:v>
      </x:c>
      <x:c r="H7" s="9" t="n">
        <x:v>0</x:v>
      </x:c>
      <x:c r="I7" s="9" t="str">
        <x:f>IF(AND(B7&lt;&gt;"",COUNTIFS($B$7:$B$16,B7)=1,COUNTIFS('Article Bank'!$B$7:$B$136,E7,'Article Bank'!$C$7:$C$136,C7,'Article Bank'!$D$7:$D$136,D7)=1,F7=1),"PASS","FAIL")</x:f>
        <x:v>PASS</x:v>
      </x:c>
      <x:c r="J7" s="9" t="str">
        <x:v>OPEN</x:v>
      </x:c>
    </x:row>
    <x:row r="8">
      <x:c r="B8" s="9" t="str">
        <x:v>UT-A-2</x:v>
      </x:c>
      <x:c r="C8" s="9" t="str">
        <x:v>UTILITY_ISLAND</x:v>
      </x:c>
      <x:c r="D8" s="9" t="str">
        <x:v>ROOT_A</x:v>
      </x:c>
      <x:c r="E8" s="9" t="str">
        <x:v>UI-A-2</x:v>
      </x:c>
      <x:c r="F8" s="9" t="n">
        <x:v>1</x:v>
      </x:c>
      <x:c r="G8" s="9" t="n">
        <x:v>0</x:v>
      </x:c>
      <x:c r="H8" s="9" t="n">
        <x:v>0</x:v>
      </x:c>
      <x:c r="I8" s="9" t="str">
        <x:f>IF(AND(B8&lt;&gt;"",COUNTIFS($B$7:$B$16,B8)=1,COUNTIFS('Article Bank'!$B$7:$B$136,E8,'Article Bank'!$C$7:$C$136,C8,'Article Bank'!$D$7:$D$136,D8)=1,F8=1),"PASS","FAIL")</x:f>
        <x:v>PASS</x:v>
      </x:c>
      <x:c r="J8" s="9" t="str">
        <x:v>OPEN</x:v>
      </x:c>
    </x:row>
    <x:row r="9">
      <x:c r="B9" s="9" t="str">
        <x:v>UT-B-1</x:v>
      </x:c>
      <x:c r="C9" s="9" t="str">
        <x:v>UTILITY_ISLAND</x:v>
      </x:c>
      <x:c r="D9" s="9" t="str">
        <x:v>ROOT_B</x:v>
      </x:c>
      <x:c r="E9" s="9" t="str">
        <x:v>UI-B-1</x:v>
      </x:c>
      <x:c r="F9" s="9" t="n">
        <x:v>1</x:v>
      </x:c>
      <x:c r="G9" s="9" t="n">
        <x:v>0</x:v>
      </x:c>
      <x:c r="H9" s="9" t="n">
        <x:v>0</x:v>
      </x:c>
      <x:c r="I9" s="9" t="str">
        <x:f>IF(AND(B9&lt;&gt;"",COUNTIFS($B$7:$B$16,B9)=1,COUNTIFS('Article Bank'!$B$7:$B$136,E9,'Article Bank'!$C$7:$C$136,C9,'Article Bank'!$D$7:$D$136,D9)=1,F9=1),"PASS","FAIL")</x:f>
        <x:v>PASS</x:v>
      </x:c>
      <x:c r="J9" s="9" t="str">
        <x:v>OPEN</x:v>
      </x:c>
    </x:row>
    <x:row r="10">
      <x:c r="B10" s="9" t="str">
        <x:v>UT-B-2</x:v>
      </x:c>
      <x:c r="C10" s="9" t="str">
        <x:v>UTILITY_ISLAND</x:v>
      </x:c>
      <x:c r="D10" s="9" t="str">
        <x:v>ROOT_B</x:v>
      </x:c>
      <x:c r="E10" s="9" t="str">
        <x:v>UI-B-2</x:v>
      </x:c>
      <x:c r="F10" s="9" t="n">
        <x:v>1</x:v>
      </x:c>
      <x:c r="G10" s="9" t="n">
        <x:v>0</x:v>
      </x:c>
      <x:c r="H10" s="9" t="n">
        <x:v>0</x:v>
      </x:c>
      <x:c r="I10" s="9" t="str">
        <x:f>IF(AND(B10&lt;&gt;"",COUNTIFS($B$7:$B$16,B10)=1,COUNTIFS('Article Bank'!$B$7:$B$136,E10,'Article Bank'!$C$7:$C$136,C10,'Article Bank'!$D$7:$D$136,D10)=1,F10=1),"PASS","FAIL")</x:f>
        <x:v>PASS</x:v>
      </x:c>
      <x:c r="J10" s="9" t="str">
        <x:v>OPEN</x:v>
      </x:c>
    </x:row>
    <x:row r="11">
      <x:c r="B11" s="9" t="str">
        <x:v>CT-A-1</x:v>
      </x:c>
      <x:c r="C11" s="9" t="str">
        <x:v>CAMPUS_SLICE</x:v>
      </x:c>
      <x:c r="D11" s="9" t="str">
        <x:v>ROOT_A</x:v>
      </x:c>
      <x:c r="E11" s="9" t="str">
        <x:v>CS-A-1</x:v>
      </x:c>
      <x:c r="F11" s="9" t="n">
        <x:v>1</x:v>
      </x:c>
      <x:c r="G11" s="9" t="n">
        <x:v>0</x:v>
      </x:c>
      <x:c r="H11" s="9" t="n">
        <x:v>0</x:v>
      </x:c>
      <x:c r="I11" s="9" t="str">
        <x:f>IF(AND(B11&lt;&gt;"",COUNTIFS($B$7:$B$16,B11)=1,COUNTIFS('Article Bank'!$B$7:$B$136,E11,'Article Bank'!$C$7:$C$136,C11,'Article Bank'!$D$7:$D$136,D11)=1,F11=1),"PASS","FAIL")</x:f>
        <x:v>PASS</x:v>
      </x:c>
      <x:c r="J11" s="9" t="str">
        <x:v>OPEN</x:v>
      </x:c>
    </x:row>
    <x:row r="12">
      <x:c r="B12" s="9" t="str">
        <x:v>CT-A-2</x:v>
      </x:c>
      <x:c r="C12" s="9" t="str">
        <x:v>CAMPUS_SLICE</x:v>
      </x:c>
      <x:c r="D12" s="9" t="str">
        <x:v>ROOT_A</x:v>
      </x:c>
      <x:c r="E12" s="9" t="str">
        <x:v>CS-A-2</x:v>
      </x:c>
      <x:c r="F12" s="9" t="n">
        <x:v>1</x:v>
      </x:c>
      <x:c r="G12" s="9" t="n">
        <x:v>0</x:v>
      </x:c>
      <x:c r="H12" s="9" t="n">
        <x:v>0</x:v>
      </x:c>
      <x:c r="I12" s="9" t="str">
        <x:f>IF(AND(B12&lt;&gt;"",COUNTIFS($B$7:$B$16,B12)=1,COUNTIFS('Article Bank'!$B$7:$B$136,E12,'Article Bank'!$C$7:$C$136,C12,'Article Bank'!$D$7:$D$136,D12)=1,F12=1),"PASS","FAIL")</x:f>
        <x:v>PASS</x:v>
      </x:c>
      <x:c r="J12" s="9" t="str">
        <x:v>OPEN</x:v>
      </x:c>
    </x:row>
    <x:row r="13">
      <x:c r="B13" s="9" t="str">
        <x:v>CT-B-1</x:v>
      </x:c>
      <x:c r="C13" s="9" t="str">
        <x:v>CAMPUS_SLICE</x:v>
      </x:c>
      <x:c r="D13" s="9" t="str">
        <x:v>ROOT_B</x:v>
      </x:c>
      <x:c r="E13" s="9" t="str">
        <x:v>CS-B-1</x:v>
      </x:c>
      <x:c r="F13" s="9" t="n">
        <x:v>1</x:v>
      </x:c>
      <x:c r="G13" s="9" t="n">
        <x:v>0</x:v>
      </x:c>
      <x:c r="H13" s="9" t="n">
        <x:v>0</x:v>
      </x:c>
      <x:c r="I13" s="9" t="str">
        <x:f>IF(AND(B13&lt;&gt;"",COUNTIFS($B$7:$B$16,B13)=1,COUNTIFS('Article Bank'!$B$7:$B$136,E13,'Article Bank'!$C$7:$C$136,C13,'Article Bank'!$D$7:$D$136,D13)=1,F13=1),"PASS","FAIL")</x:f>
        <x:v>PASS</x:v>
      </x:c>
      <x:c r="J13" s="9" t="str">
        <x:v>OPEN</x:v>
      </x:c>
    </x:row>
    <x:row r="14">
      <x:c r="B14" s="9" t="str">
        <x:v>CT-B-2</x:v>
      </x:c>
      <x:c r="C14" s="9" t="str">
        <x:v>CAMPUS_SLICE</x:v>
      </x:c>
      <x:c r="D14" s="9" t="str">
        <x:v>ROOT_B</x:v>
      </x:c>
      <x:c r="E14" s="9" t="str">
        <x:v>CS-B-2</x:v>
      </x:c>
      <x:c r="F14" s="9" t="n">
        <x:v>1</x:v>
      </x:c>
      <x:c r="G14" s="9" t="n">
        <x:v>0</x:v>
      </x:c>
      <x:c r="H14" s="9" t="n">
        <x:v>0</x:v>
      </x:c>
      <x:c r="I14" s="9" t="str">
        <x:f>IF(AND(B14&lt;&gt;"",COUNTIFS($B$7:$B$16,B14)=1,COUNTIFS('Article Bank'!$B$7:$B$136,E14,'Article Bank'!$C$7:$C$136,C14,'Article Bank'!$D$7:$D$136,D14)=1,F14=1),"PASS","FAIL")</x:f>
        <x:v>PASS</x:v>
      </x:c>
      <x:c r="J14" s="9" t="str">
        <x:v>OPEN</x:v>
      </x:c>
    </x:row>
    <x:row r="15">
      <x:c r="B15" s="9" t="str">
        <x:v>AT-A-TO-B</x:v>
      </x:c>
      <x:c r="C15" s="9" t="str">
        <x:v>EMERGENCY_ADAPTER</x:v>
      </x:c>
      <x:c r="D15" s="9" t="str">
        <x:v>PUBLIC</x:v>
      </x:c>
      <x:c r="E15" s="9" t="str">
        <x:v>AD-A-TO-B</x:v>
      </x:c>
      <x:c r="F15" s="9" t="n">
        <x:v>1</x:v>
      </x:c>
      <x:c r="G15" s="9" t="n">
        <x:v>0</x:v>
      </x:c>
      <x:c r="H15" s="9" t="n">
        <x:v>0</x:v>
      </x:c>
      <x:c r="I15" s="9" t="str">
        <x:f>IF(AND(B15&lt;&gt;"",COUNTIFS($B$7:$B$16,B15)=1,COUNTIFS('Article Bank'!$B$7:$B$136,E15,'Article Bank'!$C$7:$C$136,C15,'Article Bank'!$D$7:$D$136,D15)=1,F15=1),"PASS","FAIL")</x:f>
        <x:v>PASS</x:v>
      </x:c>
      <x:c r="J15" s="9" t="str">
        <x:v>OPEN</x:v>
      </x:c>
    </x:row>
    <x:row r="16">
      <x:c r="B16" s="10" t="str">
        <x:v>AT-B-TO-A</x:v>
      </x:c>
      <x:c r="C16" s="10" t="str">
        <x:v>EMERGENCY_ADAPTER</x:v>
      </x:c>
      <x:c r="D16" s="10" t="str">
        <x:v>PUBLIC</x:v>
      </x:c>
      <x:c r="E16" s="10" t="str">
        <x:v>AD-B-TO-A</x:v>
      </x:c>
      <x:c r="F16" s="10" t="n">
        <x:v>1</x:v>
      </x:c>
      <x:c r="G16" s="10" t="n">
        <x:v>0</x:v>
      </x:c>
      <x:c r="H16" s="10" t="n">
        <x:v>0</x:v>
      </x:c>
      <x:c r="I16" s="10" t="str">
        <x:f>IF(AND(B16&lt;&gt;"",COUNTIFS($B$7:$B$16,B16)=1,COUNTIFS('Article Bank'!$B$7:$B$136,E16,'Article Bank'!$C$7:$C$136,C16,'Article Bank'!$D$7:$D$136,D16)=1,F16=1),"PASS","FAIL")</x:f>
        <x:v>PASS</x:v>
      </x:c>
      <x:c r="J16" s="10" t="str">
        <x:v>OPEN</x:v>
      </x:c>
    </x:row>
  </x:sheetData>
  <x:mergeCells>
    <x:mergeCell ref="B2:J2"/>
    <x:mergeCell ref="B3:J3"/>
  </x:mergeCells>
  <x:conditionalFormatting sqref="I7:J16">
    <x:cfRule type="containsText" dxfId="91" priority="1" operator="containsText" text="PASS"/>
    <x:cfRule type="containsText" dxfId="92" priority="2" operator="containsText" text="AUTHORIZED"/>
    <x:cfRule type="containsText" dxfId="93" priority="3" operator="containsText" text="DEFINED"/>
    <x:cfRule type="containsText" dxfId="94" priority="4" operator="containsText" text="READY"/>
    <x:cfRule type="containsText" dxfId="95" priority="5" operator="containsText" text="HOLD"/>
    <x:cfRule type="containsText" dxfId="96" priority="6" operator="containsText" text="OPEN"/>
    <x:cfRule type="containsText" dxfId="97" priority="7" operator="containsText" text="BLOCKED"/>
    <x:cfRule type="containsText" dxfId="98" priority="8" operator="containsText" text="PLANNING"/>
    <x:cfRule type="containsText" dxfId="99" priority="9" operator="containsText" text="FAIL"/>
    <x:cfRule type="containsText" dxfId="100" priority="10" operator="containsText" text="REJECT"/>
    <x:cfRule type="containsText" dxfId="101" priority="11" operator="containsText" text="LATE"/>
    <x:cfRule type="containsText" dxfId="102" priority="12" operator="containsText" text="INCOMPLETE"/>
    <x:cfRule type="containsText" dxfId="103" priority="13" operator="containsText" text="INDETERMINATE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5" hidden="0" customWidth="1"/>
    <x:col min="3" max="3" width="39" hidden="0" customWidth="1"/>
    <x:col min="4" max="4" width="39" hidden="0" customWidth="1"/>
    <x:col min="5" max="5" width="22" hidden="0" customWidth="1"/>
    <x:col min="6" max="6" width="15" hidden="0" customWidth="1"/>
    <x:col min="7" max="7" width="17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2">
      <x:c r="B2" s="31" t="str">
        <x:v>Sealed faults and clean controls</x:v>
      </x:c>
      <x:c r="C2" s="8"/>
      <x:c r="D2" s="8"/>
      <x:c r="E2" s="8"/>
      <x:c r="F2" s="8"/>
      <x:c r="G2" s="8"/>
      <x:c r="H2" s="8"/>
      <x:c r="I2" s="8"/>
      <x:c r="J2" s="8"/>
      <x:c r="K2" s="8"/>
    </x:row>
    <x:row r="3">
      <x:c r="B3" s="2" t="str">
        <x:v>Each fault family appears once in each root. Physical insertion and disposition remain unobserved.</x:v>
      </x:c>
      <x:c r="C3" s="8"/>
      <x:c r="D3" s="8"/>
      <x:c r="E3" s="8"/>
      <x:c r="F3" s="8"/>
      <x:c r="G3" s="8"/>
      <x:c r="H3" s="8"/>
      <x:c r="I3" s="8"/>
      <x:c r="J3" s="8"/>
      <x:c r="K3" s="8"/>
    </x:row>
    <x:row r="4">
      <x:c r="B4" s="32"/>
      <x:c r="C4" s="32"/>
      <x:c r="D4" s="32"/>
      <x:c r="E4" s="32"/>
      <x:c r="F4" s="32"/>
      <x:c r="G4" s="32"/>
      <x:c r="H4" s="32"/>
      <x:c r="I4" s="32"/>
      <x:c r="J4" s="32"/>
      <x:c r="K4" s="32"/>
    </x:row>
    <x:row r="5">
      <x:c r="B5" s="8"/>
      <x:c r="C5" s="8"/>
      <x:c r="D5" s="8"/>
      <x:c r="E5" s="8"/>
      <x:c r="F5" s="8"/>
      <x:c r="G5" s="8"/>
      <x:c r="H5" s="8"/>
      <x:c r="I5" s="8"/>
      <x:c r="J5" s="8"/>
      <x:c r="K5" s="8"/>
    </x:row>
    <x:row r="6">
      <x:c r="B6" s="7" t="str">
        <x:v>Fault</x:v>
      </x:c>
      <x:c r="C6" s="7" t="str">
        <x:v>Concealed condition</x:v>
      </x:c>
      <x:c r="D6" s="7" t="str">
        <x:v>Required result</x:v>
      </x:c>
      <x:c r="E6" s="7" t="str">
        <x:v>Primary target</x:v>
      </x:c>
      <x:c r="F6" s="7" t="str">
        <x:v>Assignments</x:v>
      </x:c>
      <x:c r="G6" s="7" t="str">
        <x:v>Coverage gate</x:v>
      </x:c>
      <x:c r="H6" s="8"/>
      <x:c r="I6" s="8"/>
      <x:c r="J6" s="8"/>
      <x:c r="K6" s="8"/>
    </x:row>
    <x:row r="7">
      <x:c r="B7" s="9" t="str">
        <x:v>MF01</x:v>
      </x:c>
      <x:c r="C7" s="9" t="str">
        <x:v>Substituted lot or article identity</x:v>
      </x:c>
      <x:c r="D7" s="9" t="str">
        <x:v>ancestry and custody rejection</x:v>
      </x:c>
      <x:c r="E7" s="9" t="str">
        <x:v>IF07</x:v>
      </x:c>
      <x:c r="F7" s="9" t="n">
        <x:f>COUNTIFS($D$23:$D$46,B7)</x:f>
        <x:v>2</x:v>
      </x:c>
      <x:c r="G7" s="9" t="str">
        <x:f>IF(F7=2,"PASS","FAIL")</x:f>
        <x:v>PASS</x:v>
      </x:c>
      <x:c r="H7" s="8"/>
      <x:c r="I7" s="8"/>
      <x:c r="J7" s="8"/>
      <x:c r="K7" s="8"/>
    </x:row>
    <x:row r="8">
      <x:c r="B8" s="9" t="str">
        <x:v>MF02</x:v>
      </x:c>
      <x:c r="C8" s="9" t="str">
        <x:v>Shifted anchor or receiver datum</x:v>
      </x:c>
      <x:c r="D8" s="9" t="str">
        <x:v>survey and load-path rejection</x:v>
      </x:c>
      <x:c r="E8" s="9" t="str">
        <x:v>IF01</x:v>
      </x:c>
      <x:c r="F8" s="9" t="n">
        <x:f>COUNTIFS($D$23:$D$46,B8)</x:f>
        <x:v>2</x:v>
      </x:c>
      <x:c r="G8" s="9" t="str">
        <x:f>IF(F8=2,"PASS","FAIL")</x:f>
        <x:v>PASS</x:v>
      </x:c>
      <x:c r="H8" s="8"/>
      <x:c r="I8" s="8"/>
      <x:c r="J8" s="8"/>
      <x:c r="K8" s="8"/>
    </x:row>
    <x:row r="9">
      <x:c r="B9" s="9" t="str">
        <x:v>MF03</x:v>
      </x:c>
      <x:c r="C9" s="9" t="str">
        <x:v>Denied lift point or altered center</x:v>
      </x:c>
      <x:c r="D9" s="9" t="str">
        <x:v>handling-plan rejection or safe alternate</x:v>
      </x:c>
      <x:c r="E9" s="9" t="str">
        <x:v>IF02</x:v>
      </x:c>
      <x:c r="F9" s="9" t="n">
        <x:f>COUNTIFS($D$23:$D$46,B9)</x:f>
        <x:v>2</x:v>
      </x:c>
      <x:c r="G9" s="9" t="str">
        <x:f>IF(F9=2,"PASS","FAIL")</x:f>
        <x:v>PASS</x:v>
      </x:c>
      <x:c r="H9" s="8"/>
      <x:c r="I9" s="8"/>
      <x:c r="J9" s="8"/>
      <x:c r="K9" s="8"/>
    </x:row>
    <x:row r="10">
      <x:c r="B10" s="9" t="str">
        <x:v>MF04</x:v>
      </x:c>
      <x:c r="C10" s="9" t="str">
        <x:v>Contaminated dead leg or wrong valve state</x:v>
      </x:c>
      <x:c r="D10" s="9" t="str">
        <x:v>isolation, assay and causal localization</x:v>
      </x:c>
      <x:c r="E10" s="9" t="str">
        <x:v>IF03</x:v>
      </x:c>
      <x:c r="F10" s="9" t="n">
        <x:f>COUNTIFS($D$23:$D$46,B10)</x:f>
        <x:v>2</x:v>
      </x:c>
      <x:c r="G10" s="9" t="str">
        <x:f>IF(F10=2,"PASS","FAIL")</x:f>
        <x:v>PASS</x:v>
      </x:c>
      <x:c r="H10" s="8"/>
      <x:c r="I10" s="8"/>
      <x:c r="J10" s="8"/>
      <x:c r="K10" s="8"/>
    </x:row>
    <x:row r="11">
      <x:c r="B11" s="9" t="str">
        <x:v>MF05</x:v>
      </x:c>
      <x:c r="C11" s="9" t="str">
        <x:v>Protection, phase or grounding mismatch</x:v>
      </x:c>
      <x:c r="D11" s="9" t="str">
        <x:v>no energization or safe separation</x:v>
      </x:c>
      <x:c r="E11" s="9" t="str">
        <x:v>IF04</x:v>
      </x:c>
      <x:c r="F11" s="9" t="n">
        <x:f>COUNTIFS($D$23:$D$46,B11)</x:f>
        <x:v>2</x:v>
      </x:c>
      <x:c r="G11" s="9" t="str">
        <x:f>IF(F11=2,"PASS","FAIL")</x:f>
        <x:v>PASS</x:v>
      </x:c>
      <x:c r="H11" s="8"/>
      <x:c r="I11" s="8"/>
      <x:c r="J11" s="8"/>
      <x:c r="K11" s="8"/>
    </x:row>
    <x:row r="12">
      <x:c r="B12" s="9" t="str">
        <x:v>MF06</x:v>
      </x:c>
      <x:c r="C12" s="9" t="str">
        <x:v>Fouled heat-rejection path</x:v>
      </x:c>
      <x:c r="D12" s="9" t="str">
        <x:v>thermal detection and degraded-state control</x:v>
      </x:c>
      <x:c r="E12" s="9" t="str">
        <x:v>IF05</x:v>
      </x:c>
      <x:c r="F12" s="9" t="n">
        <x:f>COUNTIFS($D$23:$D$46,B12)</x:f>
        <x:v>2</x:v>
      </x:c>
      <x:c r="G12" s="9" t="str">
        <x:f>IF(F12=2,"PASS","FAIL")</x:f>
        <x:v>PASS</x:v>
      </x:c>
      <x:c r="H12" s="8"/>
      <x:c r="I12" s="8"/>
      <x:c r="J12" s="8"/>
      <x:c r="K12" s="8"/>
    </x:row>
    <x:row r="13">
      <x:c r="B13" s="9" t="str">
        <x:v>MF07</x:v>
      </x:c>
      <x:c r="C13" s="9" t="str">
        <x:v>Product-to-waste cross-connection</x:v>
      </x:c>
      <x:c r="D13" s="9" t="str">
        <x:v>physical or measured rejection</x:v>
      </x:c>
      <x:c r="E13" s="9" t="str">
        <x:v>IF06</x:v>
      </x:c>
      <x:c r="F13" s="9" t="n">
        <x:f>COUNTIFS($D$23:$D$46,B13)</x:f>
        <x:v>2</x:v>
      </x:c>
      <x:c r="G13" s="9" t="str">
        <x:f>IF(F13=2,"PASS","FAIL")</x:f>
        <x:v>PASS</x:v>
      </x:c>
      <x:c r="H13" s="8"/>
      <x:c r="I13" s="8"/>
      <x:c r="J13" s="8"/>
      <x:c r="K13" s="8"/>
    </x:row>
    <x:row r="14">
      <x:c r="B14" s="9" t="str">
        <x:v>MF08</x:v>
      </x:c>
      <x:c r="C14" s="9" t="str">
        <x:v>Time, key or trusted-reference denial</x:v>
      </x:c>
      <x:c r="D14" s="9" t="str">
        <x:v>local time and identity recovery</x:v>
      </x:c>
      <x:c r="E14" s="9" t="str">
        <x:v>IF07</x:v>
      </x:c>
      <x:c r="F14" s="9" t="n">
        <x:f>COUNTIFS($D$23:$D$46,B14)</x:f>
        <x:v>2</x:v>
      </x:c>
      <x:c r="G14" s="9" t="str">
        <x:f>IF(F14=2,"PASS","FAIL")</x:f>
        <x:v>PASS</x:v>
      </x:c>
      <x:c r="H14" s="8"/>
      <x:c r="I14" s="8"/>
      <x:c r="J14" s="8"/>
      <x:c r="K14" s="8"/>
    </x:row>
    <x:row r="15">
      <x:c r="B15" s="9" t="str">
        <x:v>MF09</x:v>
      </x:c>
      <x:c r="C15" s="9" t="str">
        <x:v>Maintenance access obstruction</x:v>
      </x:c>
      <x:c r="D15" s="9" t="str">
        <x:v>pre-service access rejection</x:v>
      </x:c>
      <x:c r="E15" s="9" t="str">
        <x:v>IF09</x:v>
      </x:c>
      <x:c r="F15" s="9" t="n">
        <x:f>COUNTIFS($D$23:$D$46,B15)</x:f>
        <x:v>2</x:v>
      </x:c>
      <x:c r="G15" s="9" t="str">
        <x:f>IF(F15=2,"PASS","FAIL")</x:f>
        <x:v>PASS</x:v>
      </x:c>
      <x:c r="H15" s="8"/>
      <x:c r="I15" s="8"/>
      <x:c r="J15" s="8"/>
      <x:c r="K15" s="8"/>
    </x:row>
    <x:row r="16">
      <x:c r="B16" s="9" t="str">
        <x:v>MF10</x:v>
      </x:c>
      <x:c r="C16" s="9" t="str">
        <x:v>Containment leak or waste backflow</x:v>
      </x:c>
      <x:c r="D16" s="9" t="str">
        <x:v>isolation, capture and environmental rejection</x:v>
      </x:c>
      <x:c r="E16" s="9" t="str">
        <x:v>IF10</x:v>
      </x:c>
      <x:c r="F16" s="9" t="n">
        <x:f>COUNTIFS($D$23:$D$46,B16)</x:f>
        <x:v>2</x:v>
      </x:c>
      <x:c r="G16" s="9" t="str">
        <x:f>IF(F16=2,"PASS","FAIL")</x:f>
        <x:v>PASS</x:v>
      </x:c>
      <x:c r="H16" s="8"/>
      <x:c r="I16" s="8"/>
      <x:c r="J16" s="8"/>
      <x:c r="K16" s="8"/>
    </x:row>
    <x:row r="17">
      <x:c r="B17" s="9" t="str">
        <x:v>MF11</x:v>
      </x:c>
      <x:c r="C17" s="9" t="str">
        <x:v>Wrong executable or configuration</x:v>
      </x:c>
      <x:c r="D17" s="9" t="str">
        <x:v>configuration-baseline rejection</x:v>
      </x:c>
      <x:c r="E17" s="9" t="str">
        <x:v>CAMPUS_SLICE</x:v>
      </x:c>
      <x:c r="F17" s="9" t="n">
        <x:f>COUNTIFS($D$23:$D$46,B17)</x:f>
        <x:v>2</x:v>
      </x:c>
      <x:c r="G17" s="9" t="str">
        <x:f>IF(F17=2,"PASS","FAIL")</x:f>
        <x:v>PASS</x:v>
      </x:c>
      <x:c r="H17" s="8"/>
      <x:c r="I17" s="8"/>
      <x:c r="J17" s="8"/>
      <x:c r="K17" s="8"/>
    </x:row>
    <x:row r="18">
      <x:c r="B18" s="10" t="str">
        <x:v>MF12</x:v>
      </x:c>
      <x:c r="C18" s="10" t="str">
        <x:v>Missing or corrupt evidence original</x:v>
      </x:c>
      <x:c r="D18" s="10" t="str">
        <x:v>replay failure and quarantine</x:v>
      </x:c>
      <x:c r="E18" s="10" t="str">
        <x:v>SVC07</x:v>
      </x:c>
      <x:c r="F18" s="10" t="n">
        <x:f>COUNTIFS($D$23:$D$46,B18)</x:f>
        <x:v>2</x:v>
      </x:c>
      <x:c r="G18" s="10" t="str">
        <x:f>IF(F18=2,"PASS","FAIL")</x:f>
        <x:v>PASS</x:v>
      </x:c>
      <x:c r="H18" s="8"/>
      <x:c r="I18" s="8"/>
      <x:c r="J18" s="8"/>
      <x:c r="K18" s="8"/>
    </x:row>
    <x:row r="19">
      <x:c r="B19" s="8"/>
      <x:c r="C19" s="8"/>
      <x:c r="D19" s="8"/>
      <x:c r="E19" s="8"/>
      <x:c r="F19" s="8"/>
      <x:c r="G19" s="8"/>
      <x:c r="H19" s="8"/>
      <x:c r="I19" s="8"/>
      <x:c r="J19" s="8"/>
      <x:c r="K19" s="8"/>
    </x:row>
    <x:row r="20">
      <x:c r="B20" s="8"/>
      <x:c r="C20" s="8"/>
      <x:c r="D20" s="8"/>
      <x:c r="E20" s="8"/>
      <x:c r="F20" s="8"/>
      <x:c r="G20" s="8"/>
      <x:c r="H20" s="8"/>
      <x:c r="I20" s="8"/>
      <x:c r="J20" s="8"/>
      <x:c r="K20" s="8"/>
    </x:row>
    <x:row r="21">
      <x:c r="B21" s="18" t="str">
        <x:v>Fault assignments</x:v>
      </x:c>
      <x:c r="C21" s="19" t="str">
        <x:v>Fault assignments</x:v>
      </x:c>
      <x:c r="D21" s="19" t="str">
        <x:v>Fault assignments</x:v>
      </x:c>
      <x:c r="E21" s="19" t="str">
        <x:v>Fault assignments</x:v>
      </x:c>
      <x:c r="F21" s="19" t="str">
        <x:v>Fault assignments</x:v>
      </x:c>
      <x:c r="G21" s="19" t="str">
        <x:v>Fault assignments</x:v>
      </x:c>
      <x:c r="H21" s="19" t="str">
        <x:v>Fault assignments</x:v>
      </x:c>
      <x:c r="I21" s="19" t="str">
        <x:v>Fault assignments</x:v>
      </x:c>
      <x:c r="J21" s="19" t="str">
        <x:v>Fault assignments</x:v>
      </x:c>
      <x:c r="K21" s="20" t="str">
        <x:v>Fault assignments</x:v>
      </x:c>
    </x:row>
    <x:row r="22">
      <x:c r="B22" s="7" t="str">
        <x:v>Token</x:v>
      </x:c>
      <x:c r="C22" s="7" t="str">
        <x:v>Root</x:v>
      </x:c>
      <x:c r="D22" s="7" t="str">
        <x:v>Fault</x:v>
      </x:c>
      <x:c r="E22" s="7" t="str">
        <x:v>Target trial</x:v>
      </x:c>
      <x:c r="F22" s="7" t="str">
        <x:v>Committed</x:v>
      </x:c>
      <x:c r="G22" s="7" t="str">
        <x:v>Physical insertion</x:v>
      </x:c>
      <x:c r="H22" s="7" t="str">
        <x:v>Detected</x:v>
      </x:c>
      <x:c r="I22" s="7" t="str">
        <x:v>Correct class</x:v>
      </x:c>
      <x:c r="J22" s="7" t="str">
        <x:v>Terminal</x:v>
      </x:c>
      <x:c r="K22" s="7" t="str">
        <x:v>Planning gate</x:v>
      </x:c>
    </x:row>
    <x:row r="23">
      <x:c r="B23" s="9" t="str">
        <x:v>FI-001</x:v>
      </x:c>
      <x:c r="C23" s="9" t="str">
        <x:v>ROOT_A</x:v>
      </x:c>
      <x:c r="D23" s="9" t="str">
        <x:v>MF01</x:v>
      </x:c>
      <x:c r="E23" s="9" t="str">
        <x:v>IT-IF07-A-S1</x:v>
      </x:c>
      <x:c r="F23" s="9" t="n">
        <x:v>1</x:v>
      </x:c>
      <x:c r="G23" s="9" t="n">
        <x:v>0</x:v>
      </x:c>
      <x:c r="H23" s="9" t="n">
        <x:v>0</x:v>
      </x:c>
      <x:c r="I23" s="9" t="n">
        <x:v>0</x:v>
      </x:c>
      <x:c r="J23" s="9" t="str">
        <x:v>OPEN</x:v>
      </x:c>
      <x:c r="K23" s="9" t="str">
        <x:f>IF(AND(B23&lt;&gt;"",COUNTIFS($B$23:$B$46,B23)=1,OR(C23="ROOT_A",C23="ROOT_B"),COUNTIFS($B$7:$B$18,D23)=1,E23&lt;&gt;"",F23=1),"PASS","FAIL")</x:f>
        <x:v>PASS</x:v>
      </x:c>
    </x:row>
    <x:row r="24">
      <x:c r="B24" s="9" t="str">
        <x:v>FI-002</x:v>
      </x:c>
      <x:c r="C24" s="9" t="str">
        <x:v>ROOT_B</x:v>
      </x:c>
      <x:c r="D24" s="9" t="str">
        <x:v>MF01</x:v>
      </x:c>
      <x:c r="E24" s="9" t="str">
        <x:v>IT-IF07-B-S1</x:v>
      </x:c>
      <x:c r="F24" s="9" t="n">
        <x:v>1</x:v>
      </x:c>
      <x:c r="G24" s="9" t="n">
        <x:v>0</x:v>
      </x:c>
      <x:c r="H24" s="9" t="n">
        <x:v>0</x:v>
      </x:c>
      <x:c r="I24" s="9" t="n">
        <x:v>0</x:v>
      </x:c>
      <x:c r="J24" s="9" t="str">
        <x:v>OPEN</x:v>
      </x:c>
      <x:c r="K24" s="9" t="str">
        <x:f>IF(AND(B24&lt;&gt;"",COUNTIFS($B$23:$B$46,B24)=1,OR(C24="ROOT_A",C24="ROOT_B"),COUNTIFS($B$7:$B$18,D24)=1,E24&lt;&gt;"",F24=1),"PASS","FAIL")</x:f>
        <x:v>PASS</x:v>
      </x:c>
    </x:row>
    <x:row r="25">
      <x:c r="B25" s="9" t="str">
        <x:v>FI-003</x:v>
      </x:c>
      <x:c r="C25" s="9" t="str">
        <x:v>ROOT_A</x:v>
      </x:c>
      <x:c r="D25" s="9" t="str">
        <x:v>MF02</x:v>
      </x:c>
      <x:c r="E25" s="9" t="str">
        <x:v>IT-IF01-A-S1</x:v>
      </x:c>
      <x:c r="F25" s="9" t="n">
        <x:v>1</x:v>
      </x:c>
      <x:c r="G25" s="9" t="n">
        <x:v>0</x:v>
      </x:c>
      <x:c r="H25" s="9" t="n">
        <x:v>0</x:v>
      </x:c>
      <x:c r="I25" s="9" t="n">
        <x:v>0</x:v>
      </x:c>
      <x:c r="J25" s="9" t="str">
        <x:v>OPEN</x:v>
      </x:c>
      <x:c r="K25" s="9" t="str">
        <x:f>IF(AND(B25&lt;&gt;"",COUNTIFS($B$23:$B$46,B25)=1,OR(C25="ROOT_A",C25="ROOT_B"),COUNTIFS($B$7:$B$18,D25)=1,E25&lt;&gt;"",F25=1),"PASS","FAIL")</x:f>
        <x:v>PASS</x:v>
      </x:c>
    </x:row>
    <x:row r="26">
      <x:c r="B26" s="9" t="str">
        <x:v>FI-004</x:v>
      </x:c>
      <x:c r="C26" s="9" t="str">
        <x:v>ROOT_B</x:v>
      </x:c>
      <x:c r="D26" s="9" t="str">
        <x:v>MF02</x:v>
      </x:c>
      <x:c r="E26" s="9" t="str">
        <x:v>IT-IF01-B-S1</x:v>
      </x:c>
      <x:c r="F26" s="9" t="n">
        <x:v>1</x:v>
      </x:c>
      <x:c r="G26" s="9" t="n">
        <x:v>0</x:v>
      </x:c>
      <x:c r="H26" s="9" t="n">
        <x:v>0</x:v>
      </x:c>
      <x:c r="I26" s="9" t="n">
        <x:v>0</x:v>
      </x:c>
      <x:c r="J26" s="9" t="str">
        <x:v>OPEN</x:v>
      </x:c>
      <x:c r="K26" s="9" t="str">
        <x:f>IF(AND(B26&lt;&gt;"",COUNTIFS($B$23:$B$46,B26)=1,OR(C26="ROOT_A",C26="ROOT_B"),COUNTIFS($B$7:$B$18,D26)=1,E26&lt;&gt;"",F26=1),"PASS","FAIL")</x:f>
        <x:v>PASS</x:v>
      </x:c>
    </x:row>
    <x:row r="27">
      <x:c r="B27" s="9" t="str">
        <x:v>FI-005</x:v>
      </x:c>
      <x:c r="C27" s="9" t="str">
        <x:v>ROOT_A</x:v>
      </x:c>
      <x:c r="D27" s="9" t="str">
        <x:v>MF03</x:v>
      </x:c>
      <x:c r="E27" s="9" t="str">
        <x:v>IT-IF02-A-S1</x:v>
      </x:c>
      <x:c r="F27" s="9" t="n">
        <x:v>1</x:v>
      </x:c>
      <x:c r="G27" s="9" t="n">
        <x:v>0</x:v>
      </x:c>
      <x:c r="H27" s="9" t="n">
        <x:v>0</x:v>
      </x:c>
      <x:c r="I27" s="9" t="n">
        <x:v>0</x:v>
      </x:c>
      <x:c r="J27" s="9" t="str">
        <x:v>OPEN</x:v>
      </x:c>
      <x:c r="K27" s="9" t="str">
        <x:f>IF(AND(B27&lt;&gt;"",COUNTIFS($B$23:$B$46,B27)=1,OR(C27="ROOT_A",C27="ROOT_B"),COUNTIFS($B$7:$B$18,D27)=1,E27&lt;&gt;"",F27=1),"PASS","FAIL")</x:f>
        <x:v>PASS</x:v>
      </x:c>
    </x:row>
    <x:row r="28">
      <x:c r="B28" s="9" t="str">
        <x:v>FI-006</x:v>
      </x:c>
      <x:c r="C28" s="9" t="str">
        <x:v>ROOT_B</x:v>
      </x:c>
      <x:c r="D28" s="9" t="str">
        <x:v>MF03</x:v>
      </x:c>
      <x:c r="E28" s="9" t="str">
        <x:v>IT-IF02-B-S1</x:v>
      </x:c>
      <x:c r="F28" s="9" t="n">
        <x:v>1</x:v>
      </x:c>
      <x:c r="G28" s="9" t="n">
        <x:v>0</x:v>
      </x:c>
      <x:c r="H28" s="9" t="n">
        <x:v>0</x:v>
      </x:c>
      <x:c r="I28" s="9" t="n">
        <x:v>0</x:v>
      </x:c>
      <x:c r="J28" s="9" t="str">
        <x:v>OPEN</x:v>
      </x:c>
      <x:c r="K28" s="9" t="str">
        <x:f>IF(AND(B28&lt;&gt;"",COUNTIFS($B$23:$B$46,B28)=1,OR(C28="ROOT_A",C28="ROOT_B"),COUNTIFS($B$7:$B$18,D28)=1,E28&lt;&gt;"",F28=1),"PASS","FAIL")</x:f>
        <x:v>PASS</x:v>
      </x:c>
    </x:row>
    <x:row r="29">
      <x:c r="B29" s="9" t="str">
        <x:v>FI-007</x:v>
      </x:c>
      <x:c r="C29" s="9" t="str">
        <x:v>ROOT_A</x:v>
      </x:c>
      <x:c r="D29" s="9" t="str">
        <x:v>MF04</x:v>
      </x:c>
      <x:c r="E29" s="9" t="str">
        <x:v>IT-IF03-A-S1</x:v>
      </x:c>
      <x:c r="F29" s="9" t="n">
        <x:v>1</x:v>
      </x:c>
      <x:c r="G29" s="9" t="n">
        <x:v>0</x:v>
      </x:c>
      <x:c r="H29" s="9" t="n">
        <x:v>0</x:v>
      </x:c>
      <x:c r="I29" s="9" t="n">
        <x:v>0</x:v>
      </x:c>
      <x:c r="J29" s="9" t="str">
        <x:v>OPEN</x:v>
      </x:c>
      <x:c r="K29" s="9" t="str">
        <x:f>IF(AND(B29&lt;&gt;"",COUNTIFS($B$23:$B$46,B29)=1,OR(C29="ROOT_A",C29="ROOT_B"),COUNTIFS($B$7:$B$18,D29)=1,E29&lt;&gt;"",F29=1),"PASS","FAIL")</x:f>
        <x:v>PASS</x:v>
      </x:c>
    </x:row>
    <x:row r="30">
      <x:c r="B30" s="9" t="str">
        <x:v>FI-008</x:v>
      </x:c>
      <x:c r="C30" s="9" t="str">
        <x:v>ROOT_B</x:v>
      </x:c>
      <x:c r="D30" s="9" t="str">
        <x:v>MF04</x:v>
      </x:c>
      <x:c r="E30" s="9" t="str">
        <x:v>IT-IF03-B-S1</x:v>
      </x:c>
      <x:c r="F30" s="9" t="n">
        <x:v>1</x:v>
      </x:c>
      <x:c r="G30" s="9" t="n">
        <x:v>0</x:v>
      </x:c>
      <x:c r="H30" s="9" t="n">
        <x:v>0</x:v>
      </x:c>
      <x:c r="I30" s="9" t="n">
        <x:v>0</x:v>
      </x:c>
      <x:c r="J30" s="9" t="str">
        <x:v>OPEN</x:v>
      </x:c>
      <x:c r="K30" s="9" t="str">
        <x:f>IF(AND(B30&lt;&gt;"",COUNTIFS($B$23:$B$46,B30)=1,OR(C30="ROOT_A",C30="ROOT_B"),COUNTIFS($B$7:$B$18,D30)=1,E30&lt;&gt;"",F30=1),"PASS","FAIL")</x:f>
        <x:v>PASS</x:v>
      </x:c>
    </x:row>
    <x:row r="31">
      <x:c r="B31" s="9" t="str">
        <x:v>FI-009</x:v>
      </x:c>
      <x:c r="C31" s="9" t="str">
        <x:v>ROOT_A</x:v>
      </x:c>
      <x:c r="D31" s="9" t="str">
        <x:v>MF05</x:v>
      </x:c>
      <x:c r="E31" s="9" t="str">
        <x:v>IT-IF04-A-S1</x:v>
      </x:c>
      <x:c r="F31" s="9" t="n">
        <x:v>1</x:v>
      </x:c>
      <x:c r="G31" s="9" t="n">
        <x:v>0</x:v>
      </x:c>
      <x:c r="H31" s="9" t="n">
        <x:v>0</x:v>
      </x:c>
      <x:c r="I31" s="9" t="n">
        <x:v>0</x:v>
      </x:c>
      <x:c r="J31" s="9" t="str">
        <x:v>OPEN</x:v>
      </x:c>
      <x:c r="K31" s="9" t="str">
        <x:f>IF(AND(B31&lt;&gt;"",COUNTIFS($B$23:$B$46,B31)=1,OR(C31="ROOT_A",C31="ROOT_B"),COUNTIFS($B$7:$B$18,D31)=1,E31&lt;&gt;"",F31=1),"PASS","FAIL")</x:f>
        <x:v>PASS</x:v>
      </x:c>
    </x:row>
    <x:row r="32">
      <x:c r="B32" s="9" t="str">
        <x:v>FI-010</x:v>
      </x:c>
      <x:c r="C32" s="9" t="str">
        <x:v>ROOT_B</x:v>
      </x:c>
      <x:c r="D32" s="9" t="str">
        <x:v>MF05</x:v>
      </x:c>
      <x:c r="E32" s="9" t="str">
        <x:v>IT-IF04-B-S1</x:v>
      </x:c>
      <x:c r="F32" s="9" t="n">
        <x:v>1</x:v>
      </x:c>
      <x:c r="G32" s="9" t="n">
        <x:v>0</x:v>
      </x:c>
      <x:c r="H32" s="9" t="n">
        <x:v>0</x:v>
      </x:c>
      <x:c r="I32" s="9" t="n">
        <x:v>0</x:v>
      </x:c>
      <x:c r="J32" s="9" t="str">
        <x:v>OPEN</x:v>
      </x:c>
      <x:c r="K32" s="9" t="str">
        <x:f>IF(AND(B32&lt;&gt;"",COUNTIFS($B$23:$B$46,B32)=1,OR(C32="ROOT_A",C32="ROOT_B"),COUNTIFS($B$7:$B$18,D32)=1,E32&lt;&gt;"",F32=1),"PASS","FAIL")</x:f>
        <x:v>PASS</x:v>
      </x:c>
    </x:row>
    <x:row r="33">
      <x:c r="B33" s="9" t="str">
        <x:v>FI-011</x:v>
      </x:c>
      <x:c r="C33" s="9" t="str">
        <x:v>ROOT_A</x:v>
      </x:c>
      <x:c r="D33" s="9" t="str">
        <x:v>MF06</x:v>
      </x:c>
      <x:c r="E33" s="9" t="str">
        <x:v>IT-IF05-A-S1</x:v>
      </x:c>
      <x:c r="F33" s="9" t="n">
        <x:v>1</x:v>
      </x:c>
      <x:c r="G33" s="9" t="n">
        <x:v>0</x:v>
      </x:c>
      <x:c r="H33" s="9" t="n">
        <x:v>0</x:v>
      </x:c>
      <x:c r="I33" s="9" t="n">
        <x:v>0</x:v>
      </x:c>
      <x:c r="J33" s="9" t="str">
        <x:v>OPEN</x:v>
      </x:c>
      <x:c r="K33" s="9" t="str">
        <x:f>IF(AND(B33&lt;&gt;"",COUNTIFS($B$23:$B$46,B33)=1,OR(C33="ROOT_A",C33="ROOT_B"),COUNTIFS($B$7:$B$18,D33)=1,E33&lt;&gt;"",F33=1),"PASS","FAIL")</x:f>
        <x:v>PASS</x:v>
      </x:c>
    </x:row>
    <x:row r="34">
      <x:c r="B34" s="9" t="str">
        <x:v>FI-012</x:v>
      </x:c>
      <x:c r="C34" s="9" t="str">
        <x:v>ROOT_B</x:v>
      </x:c>
      <x:c r="D34" s="9" t="str">
        <x:v>MF06</x:v>
      </x:c>
      <x:c r="E34" s="9" t="str">
        <x:v>IT-IF05-B-S1</x:v>
      </x:c>
      <x:c r="F34" s="9" t="n">
        <x:v>1</x:v>
      </x:c>
      <x:c r="G34" s="9" t="n">
        <x:v>0</x:v>
      </x:c>
      <x:c r="H34" s="9" t="n">
        <x:v>0</x:v>
      </x:c>
      <x:c r="I34" s="9" t="n">
        <x:v>0</x:v>
      </x:c>
      <x:c r="J34" s="9" t="str">
        <x:v>OPEN</x:v>
      </x:c>
      <x:c r="K34" s="9" t="str">
        <x:f>IF(AND(B34&lt;&gt;"",COUNTIFS($B$23:$B$46,B34)=1,OR(C34="ROOT_A",C34="ROOT_B"),COUNTIFS($B$7:$B$18,D34)=1,E34&lt;&gt;"",F34=1),"PASS","FAIL")</x:f>
        <x:v>PASS</x:v>
      </x:c>
    </x:row>
    <x:row r="35">
      <x:c r="B35" s="9" t="str">
        <x:v>FI-013</x:v>
      </x:c>
      <x:c r="C35" s="9" t="str">
        <x:v>ROOT_A</x:v>
      </x:c>
      <x:c r="D35" s="9" t="str">
        <x:v>MF07</x:v>
      </x:c>
      <x:c r="E35" s="9" t="str">
        <x:v>IT-IF06-A-S1</x:v>
      </x:c>
      <x:c r="F35" s="9" t="n">
        <x:v>1</x:v>
      </x:c>
      <x:c r="G35" s="9" t="n">
        <x:v>0</x:v>
      </x:c>
      <x:c r="H35" s="9" t="n">
        <x:v>0</x:v>
      </x:c>
      <x:c r="I35" s="9" t="n">
        <x:v>0</x:v>
      </x:c>
      <x:c r="J35" s="9" t="str">
        <x:v>OPEN</x:v>
      </x:c>
      <x:c r="K35" s="9" t="str">
        <x:f>IF(AND(B35&lt;&gt;"",COUNTIFS($B$23:$B$46,B35)=1,OR(C35="ROOT_A",C35="ROOT_B"),COUNTIFS($B$7:$B$18,D35)=1,E35&lt;&gt;"",F35=1),"PASS","FAIL")</x:f>
        <x:v>PASS</x:v>
      </x:c>
    </x:row>
    <x:row r="36">
      <x:c r="B36" s="9" t="str">
        <x:v>FI-014</x:v>
      </x:c>
      <x:c r="C36" s="9" t="str">
        <x:v>ROOT_B</x:v>
      </x:c>
      <x:c r="D36" s="9" t="str">
        <x:v>MF07</x:v>
      </x:c>
      <x:c r="E36" s="9" t="str">
        <x:v>IT-IF06-B-S1</x:v>
      </x:c>
      <x:c r="F36" s="9" t="n">
        <x:v>1</x:v>
      </x:c>
      <x:c r="G36" s="9" t="n">
        <x:v>0</x:v>
      </x:c>
      <x:c r="H36" s="9" t="n">
        <x:v>0</x:v>
      </x:c>
      <x:c r="I36" s="9" t="n">
        <x:v>0</x:v>
      </x:c>
      <x:c r="J36" s="9" t="str">
        <x:v>OPEN</x:v>
      </x:c>
      <x:c r="K36" s="9" t="str">
        <x:f>IF(AND(B36&lt;&gt;"",COUNTIFS($B$23:$B$46,B36)=1,OR(C36="ROOT_A",C36="ROOT_B"),COUNTIFS($B$7:$B$18,D36)=1,E36&lt;&gt;"",F36=1),"PASS","FAIL")</x:f>
        <x:v>PASS</x:v>
      </x:c>
    </x:row>
    <x:row r="37">
      <x:c r="B37" s="9" t="str">
        <x:v>FI-015</x:v>
      </x:c>
      <x:c r="C37" s="9" t="str">
        <x:v>ROOT_A</x:v>
      </x:c>
      <x:c r="D37" s="9" t="str">
        <x:v>MF08</x:v>
      </x:c>
      <x:c r="E37" s="9" t="str">
        <x:v>IT-IF07-A-S1</x:v>
      </x:c>
      <x:c r="F37" s="9" t="n">
        <x:v>1</x:v>
      </x:c>
      <x:c r="G37" s="9" t="n">
        <x:v>0</x:v>
      </x:c>
      <x:c r="H37" s="9" t="n">
        <x:v>0</x:v>
      </x:c>
      <x:c r="I37" s="9" t="n">
        <x:v>0</x:v>
      </x:c>
      <x:c r="J37" s="9" t="str">
        <x:v>OPEN</x:v>
      </x:c>
      <x:c r="K37" s="9" t="str">
        <x:f>IF(AND(B37&lt;&gt;"",COUNTIFS($B$23:$B$46,B37)=1,OR(C37="ROOT_A",C37="ROOT_B"),COUNTIFS($B$7:$B$18,D37)=1,E37&lt;&gt;"",F37=1),"PASS","FAIL")</x:f>
        <x:v>PASS</x:v>
      </x:c>
    </x:row>
    <x:row r="38">
      <x:c r="B38" s="9" t="str">
        <x:v>FI-016</x:v>
      </x:c>
      <x:c r="C38" s="9" t="str">
        <x:v>ROOT_B</x:v>
      </x:c>
      <x:c r="D38" s="9" t="str">
        <x:v>MF08</x:v>
      </x:c>
      <x:c r="E38" s="9" t="str">
        <x:v>IT-IF07-B-S1</x:v>
      </x:c>
      <x:c r="F38" s="9" t="n">
        <x:v>1</x:v>
      </x:c>
      <x:c r="G38" s="9" t="n">
        <x:v>0</x:v>
      </x:c>
      <x:c r="H38" s="9" t="n">
        <x:v>0</x:v>
      </x:c>
      <x:c r="I38" s="9" t="n">
        <x:v>0</x:v>
      </x:c>
      <x:c r="J38" s="9" t="str">
        <x:v>OPEN</x:v>
      </x:c>
      <x:c r="K38" s="9" t="str">
        <x:f>IF(AND(B38&lt;&gt;"",COUNTIFS($B$23:$B$46,B38)=1,OR(C38="ROOT_A",C38="ROOT_B"),COUNTIFS($B$7:$B$18,D38)=1,E38&lt;&gt;"",F38=1),"PASS","FAIL")</x:f>
        <x:v>PASS</x:v>
      </x:c>
    </x:row>
    <x:row r="39">
      <x:c r="B39" s="9" t="str">
        <x:v>FI-017</x:v>
      </x:c>
      <x:c r="C39" s="9" t="str">
        <x:v>ROOT_A</x:v>
      </x:c>
      <x:c r="D39" s="9" t="str">
        <x:v>MF09</x:v>
      </x:c>
      <x:c r="E39" s="9" t="str">
        <x:v>IT-IF09-A-S1</x:v>
      </x:c>
      <x:c r="F39" s="9" t="n">
        <x:v>1</x:v>
      </x:c>
      <x:c r="G39" s="9" t="n">
        <x:v>0</x:v>
      </x:c>
      <x:c r="H39" s="9" t="n">
        <x:v>0</x:v>
      </x:c>
      <x:c r="I39" s="9" t="n">
        <x:v>0</x:v>
      </x:c>
      <x:c r="J39" s="9" t="str">
        <x:v>OPEN</x:v>
      </x:c>
      <x:c r="K39" s="9" t="str">
        <x:f>IF(AND(B39&lt;&gt;"",COUNTIFS($B$23:$B$46,B39)=1,OR(C39="ROOT_A",C39="ROOT_B"),COUNTIFS($B$7:$B$18,D39)=1,E39&lt;&gt;"",F39=1),"PASS","FAIL")</x:f>
        <x:v>PASS</x:v>
      </x:c>
    </x:row>
    <x:row r="40">
      <x:c r="B40" s="9" t="str">
        <x:v>FI-018</x:v>
      </x:c>
      <x:c r="C40" s="9" t="str">
        <x:v>ROOT_B</x:v>
      </x:c>
      <x:c r="D40" s="9" t="str">
        <x:v>MF09</x:v>
      </x:c>
      <x:c r="E40" s="9" t="str">
        <x:v>IT-IF09-B-S1</x:v>
      </x:c>
      <x:c r="F40" s="9" t="n">
        <x:v>1</x:v>
      </x:c>
      <x:c r="G40" s="9" t="n">
        <x:v>0</x:v>
      </x:c>
      <x:c r="H40" s="9" t="n">
        <x:v>0</x:v>
      </x:c>
      <x:c r="I40" s="9" t="n">
        <x:v>0</x:v>
      </x:c>
      <x:c r="J40" s="9" t="str">
        <x:v>OPEN</x:v>
      </x:c>
      <x:c r="K40" s="9" t="str">
        <x:f>IF(AND(B40&lt;&gt;"",COUNTIFS($B$23:$B$46,B40)=1,OR(C40="ROOT_A",C40="ROOT_B"),COUNTIFS($B$7:$B$18,D40)=1,E40&lt;&gt;"",F40=1),"PASS","FAIL")</x:f>
        <x:v>PASS</x:v>
      </x:c>
    </x:row>
    <x:row r="41">
      <x:c r="B41" s="9" t="str">
        <x:v>FI-019</x:v>
      </x:c>
      <x:c r="C41" s="9" t="str">
        <x:v>ROOT_A</x:v>
      </x:c>
      <x:c r="D41" s="9" t="str">
        <x:v>MF10</x:v>
      </x:c>
      <x:c r="E41" s="9" t="str">
        <x:v>IT-IF10-A-S1</x:v>
      </x:c>
      <x:c r="F41" s="9" t="n">
        <x:v>1</x:v>
      </x:c>
      <x:c r="G41" s="9" t="n">
        <x:v>0</x:v>
      </x:c>
      <x:c r="H41" s="9" t="n">
        <x:v>0</x:v>
      </x:c>
      <x:c r="I41" s="9" t="n">
        <x:v>0</x:v>
      </x:c>
      <x:c r="J41" s="9" t="str">
        <x:v>OPEN</x:v>
      </x:c>
      <x:c r="K41" s="9" t="str">
        <x:f>IF(AND(B41&lt;&gt;"",COUNTIFS($B$23:$B$46,B41)=1,OR(C41="ROOT_A",C41="ROOT_B"),COUNTIFS($B$7:$B$18,D41)=1,E41&lt;&gt;"",F41=1),"PASS","FAIL")</x:f>
        <x:v>PASS</x:v>
      </x:c>
    </x:row>
    <x:row r="42">
      <x:c r="B42" s="9" t="str">
        <x:v>FI-020</x:v>
      </x:c>
      <x:c r="C42" s="9" t="str">
        <x:v>ROOT_B</x:v>
      </x:c>
      <x:c r="D42" s="9" t="str">
        <x:v>MF10</x:v>
      </x:c>
      <x:c r="E42" s="9" t="str">
        <x:v>IT-IF10-B-S1</x:v>
      </x:c>
      <x:c r="F42" s="9" t="n">
        <x:v>1</x:v>
      </x:c>
      <x:c r="G42" s="9" t="n">
        <x:v>0</x:v>
      </x:c>
      <x:c r="H42" s="9" t="n">
        <x:v>0</x:v>
      </x:c>
      <x:c r="I42" s="9" t="n">
        <x:v>0</x:v>
      </x:c>
      <x:c r="J42" s="9" t="str">
        <x:v>OPEN</x:v>
      </x:c>
      <x:c r="K42" s="9" t="str">
        <x:f>IF(AND(B42&lt;&gt;"",COUNTIFS($B$23:$B$46,B42)=1,OR(C42="ROOT_A",C42="ROOT_B"),COUNTIFS($B$7:$B$18,D42)=1,E42&lt;&gt;"",F42=1),"PASS","FAIL")</x:f>
        <x:v>PASS</x:v>
      </x:c>
    </x:row>
    <x:row r="43">
      <x:c r="B43" s="9" t="str">
        <x:v>FI-021</x:v>
      </x:c>
      <x:c r="C43" s="9" t="str">
        <x:v>ROOT_A</x:v>
      </x:c>
      <x:c r="D43" s="9" t="str">
        <x:v>MF11</x:v>
      </x:c>
      <x:c r="E43" s="9" t="str">
        <x:v>CT-A-1</x:v>
      </x:c>
      <x:c r="F43" s="9" t="n">
        <x:v>1</x:v>
      </x:c>
      <x:c r="G43" s="9" t="n">
        <x:v>0</x:v>
      </x:c>
      <x:c r="H43" s="9" t="n">
        <x:v>0</x:v>
      </x:c>
      <x:c r="I43" s="9" t="n">
        <x:v>0</x:v>
      </x:c>
      <x:c r="J43" s="9" t="str">
        <x:v>OPEN</x:v>
      </x:c>
      <x:c r="K43" s="9" t="str">
        <x:f>IF(AND(B43&lt;&gt;"",COUNTIFS($B$23:$B$46,B43)=1,OR(C43="ROOT_A",C43="ROOT_B"),COUNTIFS($B$7:$B$18,D43)=1,E43&lt;&gt;"",F43=1),"PASS","FAIL")</x:f>
        <x:v>PASS</x:v>
      </x:c>
    </x:row>
    <x:row r="44">
      <x:c r="B44" s="9" t="str">
        <x:v>FI-022</x:v>
      </x:c>
      <x:c r="C44" s="9" t="str">
        <x:v>ROOT_B</x:v>
      </x:c>
      <x:c r="D44" s="9" t="str">
        <x:v>MF11</x:v>
      </x:c>
      <x:c r="E44" s="9" t="str">
        <x:v>CT-B-1</x:v>
      </x:c>
      <x:c r="F44" s="9" t="n">
        <x:v>1</x:v>
      </x:c>
      <x:c r="G44" s="9" t="n">
        <x:v>0</x:v>
      </x:c>
      <x:c r="H44" s="9" t="n">
        <x:v>0</x:v>
      </x:c>
      <x:c r="I44" s="9" t="n">
        <x:v>0</x:v>
      </x:c>
      <x:c r="J44" s="9" t="str">
        <x:v>OPEN</x:v>
      </x:c>
      <x:c r="K44" s="9" t="str">
        <x:f>IF(AND(B44&lt;&gt;"",COUNTIFS($B$23:$B$46,B44)=1,OR(C44="ROOT_A",C44="ROOT_B"),COUNTIFS($B$7:$B$18,D44)=1,E44&lt;&gt;"",F44=1),"PASS","FAIL")</x:f>
        <x:v>PASS</x:v>
      </x:c>
    </x:row>
    <x:row r="45">
      <x:c r="B45" s="9" t="str">
        <x:v>FI-023</x:v>
      </x:c>
      <x:c r="C45" s="9" t="str">
        <x:v>ROOT_A</x:v>
      </x:c>
      <x:c r="D45" s="9" t="str">
        <x:v>MF12</x:v>
      </x:c>
      <x:c r="E45" s="9" t="str">
        <x:v>ST-SVC07-A</x:v>
      </x:c>
      <x:c r="F45" s="9" t="n">
        <x:v>1</x:v>
      </x:c>
      <x:c r="G45" s="9" t="n">
        <x:v>0</x:v>
      </x:c>
      <x:c r="H45" s="9" t="n">
        <x:v>0</x:v>
      </x:c>
      <x:c r="I45" s="9" t="n">
        <x:v>0</x:v>
      </x:c>
      <x:c r="J45" s="9" t="str">
        <x:v>OPEN</x:v>
      </x:c>
      <x:c r="K45" s="9" t="str">
        <x:f>IF(AND(B45&lt;&gt;"",COUNTIFS($B$23:$B$46,B45)=1,OR(C45="ROOT_A",C45="ROOT_B"),COUNTIFS($B$7:$B$18,D45)=1,E45&lt;&gt;"",F45=1),"PASS","FAIL")</x:f>
        <x:v>PASS</x:v>
      </x:c>
    </x:row>
    <x:row r="46">
      <x:c r="B46" s="10" t="str">
        <x:v>FI-024</x:v>
      </x:c>
      <x:c r="C46" s="10" t="str">
        <x:v>ROOT_B</x:v>
      </x:c>
      <x:c r="D46" s="10" t="str">
        <x:v>MF12</x:v>
      </x:c>
      <x:c r="E46" s="10" t="str">
        <x:v>ST-SVC07-B</x:v>
      </x:c>
      <x:c r="F46" s="10" t="n">
        <x:v>1</x:v>
      </x:c>
      <x:c r="G46" s="10" t="n">
        <x:v>0</x:v>
      </x:c>
      <x:c r="H46" s="10" t="n">
        <x:v>0</x:v>
      </x:c>
      <x:c r="I46" s="10" t="n">
        <x:v>0</x:v>
      </x:c>
      <x:c r="J46" s="10" t="str">
        <x:v>OPEN</x:v>
      </x:c>
      <x:c r="K46" s="10" t="str">
        <x:f>IF(AND(B46&lt;&gt;"",COUNTIFS($B$23:$B$46,B46)=1,OR(C46="ROOT_A",C46="ROOT_B"),COUNTIFS($B$7:$B$18,D46)=1,E46&lt;&gt;"",F46=1),"PASS","FAIL")</x:f>
        <x:v>PASS</x:v>
      </x:c>
    </x:row>
    <x:row r="47">
      <x:c r="B47" s="8"/>
      <x:c r="C47" s="8"/>
      <x:c r="D47" s="8"/>
      <x:c r="E47" s="8"/>
      <x:c r="F47" s="8"/>
      <x:c r="G47" s="8"/>
      <x:c r="H47" s="8"/>
      <x:c r="I47" s="8"/>
      <x:c r="J47" s="8"/>
      <x:c r="K47" s="8"/>
    </x:row>
    <x:row r="48">
      <x:c r="B48" s="8"/>
      <x:c r="C48" s="8"/>
      <x:c r="D48" s="8"/>
      <x:c r="E48" s="8"/>
      <x:c r="F48" s="8"/>
      <x:c r="G48" s="8"/>
      <x:c r="H48" s="8"/>
      <x:c r="I48" s="8"/>
      <x:c r="J48" s="8"/>
      <x:c r="K48" s="8"/>
    </x:row>
    <x:row r="49">
      <x:c r="B49" s="8"/>
      <x:c r="C49" s="8"/>
      <x:c r="D49" s="8"/>
      <x:c r="E49" s="8"/>
      <x:c r="F49" s="8"/>
      <x:c r="G49" s="8"/>
      <x:c r="H49" s="8"/>
      <x:c r="I49" s="8"/>
      <x:c r="J49" s="8"/>
      <x:c r="K49" s="8"/>
    </x:row>
    <x:row r="50">
      <x:c r="B50" s="18" t="str">
        <x:v>Clean controls</x:v>
      </x:c>
      <x:c r="C50" s="19" t="str">
        <x:v>Clean controls</x:v>
      </x:c>
      <x:c r="D50" s="19" t="str">
        <x:v>Clean controls</x:v>
      </x:c>
      <x:c r="E50" s="19" t="str">
        <x:v>Clean controls</x:v>
      </x:c>
      <x:c r="F50" s="19" t="str">
        <x:v>Clean controls</x:v>
      </x:c>
      <x:c r="G50" s="19" t="str">
        <x:v>Clean controls</x:v>
      </x:c>
      <x:c r="H50" s="19" t="str">
        <x:v>Clean controls</x:v>
      </x:c>
      <x:c r="I50" s="19" t="str">
        <x:v>Clean controls</x:v>
      </x:c>
      <x:c r="J50" s="19" t="str">
        <x:v>Clean controls</x:v>
      </x:c>
      <x:c r="K50" s="20" t="str">
        <x:v>Clean controls</x:v>
      </x:c>
    </x:row>
    <x:row r="51">
      <x:c r="B51" s="7" t="str">
        <x:v>Token</x:v>
      </x:c>
      <x:c r="C51" s="7" t="str">
        <x:v>Root</x:v>
      </x:c>
      <x:c r="D51" s="7" t="str">
        <x:v>Target trial</x:v>
      </x:c>
      <x:c r="E51" s="7" t="str">
        <x:v>Committed</x:v>
      </x:c>
      <x:c r="F51" s="7" t="str">
        <x:v>Physical disposition</x:v>
      </x:c>
      <x:c r="G51" s="7" t="str">
        <x:v>Terminal</x:v>
      </x:c>
      <x:c r="H51" s="7" t="str">
        <x:v>Planning gate</x:v>
      </x:c>
      <x:c r="I51" s="8"/>
      <x:c r="J51" s="8"/>
      <x:c r="K51" s="8"/>
    </x:row>
    <x:row r="52">
      <x:c r="B52" s="9" t="str">
        <x:v>CC-001</x:v>
      </x:c>
      <x:c r="C52" s="9" t="str">
        <x:v>ROOT_A</x:v>
      </x:c>
      <x:c r="D52" s="9" t="str">
        <x:v>IT-IF07-A-S1</x:v>
      </x:c>
      <x:c r="E52" s="9" t="n">
        <x:v>1</x:v>
      </x:c>
      <x:c r="F52" s="9" t="n">
        <x:v>0</x:v>
      </x:c>
      <x:c r="G52" s="9" t="str">
        <x:v>OPEN</x:v>
      </x:c>
      <x:c r="H52" s="9" t="str">
        <x:f>IF(AND(B52&lt;&gt;"",COUNTIFS($B$52:$B$75,B52)=1,OR(C52="ROOT_A",C52="ROOT_B"),D52&lt;&gt;"",E52=1),"PASS","FAIL")</x:f>
        <x:v>PASS</x:v>
      </x:c>
      <x:c r="I52" s="8"/>
      <x:c r="J52" s="8"/>
      <x:c r="K52" s="8"/>
    </x:row>
    <x:row r="53">
      <x:c r="B53" s="9" t="str">
        <x:v>CC-002</x:v>
      </x:c>
      <x:c r="C53" s="9" t="str">
        <x:v>ROOT_B</x:v>
      </x:c>
      <x:c r="D53" s="9" t="str">
        <x:v>IT-IF07-B-S1</x:v>
      </x:c>
      <x:c r="E53" s="9" t="n">
        <x:v>1</x:v>
      </x:c>
      <x:c r="F53" s="9" t="n">
        <x:v>0</x:v>
      </x:c>
      <x:c r="G53" s="9" t="str">
        <x:v>OPEN</x:v>
      </x:c>
      <x:c r="H53" s="9" t="str">
        <x:f>IF(AND(B53&lt;&gt;"",COUNTIFS($B$52:$B$75,B53)=1,OR(C53="ROOT_A",C53="ROOT_B"),D53&lt;&gt;"",E53=1),"PASS","FAIL")</x:f>
        <x:v>PASS</x:v>
      </x:c>
      <x:c r="I53" s="8"/>
      <x:c r="J53" s="8"/>
      <x:c r="K53" s="8"/>
    </x:row>
    <x:row r="54">
      <x:c r="B54" s="9" t="str">
        <x:v>CC-003</x:v>
      </x:c>
      <x:c r="C54" s="9" t="str">
        <x:v>ROOT_A</x:v>
      </x:c>
      <x:c r="D54" s="9" t="str">
        <x:v>IT-IF01-A-S1</x:v>
      </x:c>
      <x:c r="E54" s="9" t="n">
        <x:v>1</x:v>
      </x:c>
      <x:c r="F54" s="9" t="n">
        <x:v>0</x:v>
      </x:c>
      <x:c r="G54" s="9" t="str">
        <x:v>OPEN</x:v>
      </x:c>
      <x:c r="H54" s="9" t="str">
        <x:f>IF(AND(B54&lt;&gt;"",COUNTIFS($B$52:$B$75,B54)=1,OR(C54="ROOT_A",C54="ROOT_B"),D54&lt;&gt;"",E54=1),"PASS","FAIL")</x:f>
        <x:v>PASS</x:v>
      </x:c>
      <x:c r="I54" s="8"/>
      <x:c r="J54" s="8"/>
      <x:c r="K54" s="8"/>
    </x:row>
    <x:row r="55">
      <x:c r="B55" s="9" t="str">
        <x:v>CC-004</x:v>
      </x:c>
      <x:c r="C55" s="9" t="str">
        <x:v>ROOT_B</x:v>
      </x:c>
      <x:c r="D55" s="9" t="str">
        <x:v>IT-IF01-B-S1</x:v>
      </x:c>
      <x:c r="E55" s="9" t="n">
        <x:v>1</x:v>
      </x:c>
      <x:c r="F55" s="9" t="n">
        <x:v>0</x:v>
      </x:c>
      <x:c r="G55" s="9" t="str">
        <x:v>OPEN</x:v>
      </x:c>
      <x:c r="H55" s="9" t="str">
        <x:f>IF(AND(B55&lt;&gt;"",COUNTIFS($B$52:$B$75,B55)=1,OR(C55="ROOT_A",C55="ROOT_B"),D55&lt;&gt;"",E55=1),"PASS","FAIL")</x:f>
        <x:v>PASS</x:v>
      </x:c>
      <x:c r="I55" s="8"/>
      <x:c r="J55" s="8"/>
      <x:c r="K55" s="8"/>
    </x:row>
    <x:row r="56">
      <x:c r="B56" s="9" t="str">
        <x:v>CC-005</x:v>
      </x:c>
      <x:c r="C56" s="9" t="str">
        <x:v>ROOT_A</x:v>
      </x:c>
      <x:c r="D56" s="9" t="str">
        <x:v>IT-IF02-A-S1</x:v>
      </x:c>
      <x:c r="E56" s="9" t="n">
        <x:v>1</x:v>
      </x:c>
      <x:c r="F56" s="9" t="n">
        <x:v>0</x:v>
      </x:c>
      <x:c r="G56" s="9" t="str">
        <x:v>OPEN</x:v>
      </x:c>
      <x:c r="H56" s="9" t="str">
        <x:f>IF(AND(B56&lt;&gt;"",COUNTIFS($B$52:$B$75,B56)=1,OR(C56="ROOT_A",C56="ROOT_B"),D56&lt;&gt;"",E56=1),"PASS","FAIL")</x:f>
        <x:v>PASS</x:v>
      </x:c>
      <x:c r="I56" s="8"/>
      <x:c r="J56" s="8"/>
      <x:c r="K56" s="8"/>
    </x:row>
    <x:row r="57">
      <x:c r="B57" s="9" t="str">
        <x:v>CC-006</x:v>
      </x:c>
      <x:c r="C57" s="9" t="str">
        <x:v>ROOT_B</x:v>
      </x:c>
      <x:c r="D57" s="9" t="str">
        <x:v>IT-IF02-B-S1</x:v>
      </x:c>
      <x:c r="E57" s="9" t="n">
        <x:v>1</x:v>
      </x:c>
      <x:c r="F57" s="9" t="n">
        <x:v>0</x:v>
      </x:c>
      <x:c r="G57" s="9" t="str">
        <x:v>OPEN</x:v>
      </x:c>
      <x:c r="H57" s="9" t="str">
        <x:f>IF(AND(B57&lt;&gt;"",COUNTIFS($B$52:$B$75,B57)=1,OR(C57="ROOT_A",C57="ROOT_B"),D57&lt;&gt;"",E57=1),"PASS","FAIL")</x:f>
        <x:v>PASS</x:v>
      </x:c>
      <x:c r="I57" s="8"/>
      <x:c r="J57" s="8"/>
      <x:c r="K57" s="8"/>
    </x:row>
    <x:row r="58">
      <x:c r="B58" s="9" t="str">
        <x:v>CC-007</x:v>
      </x:c>
      <x:c r="C58" s="9" t="str">
        <x:v>ROOT_A</x:v>
      </x:c>
      <x:c r="D58" s="9" t="str">
        <x:v>IT-IF03-A-S1</x:v>
      </x:c>
      <x:c r="E58" s="9" t="n">
        <x:v>1</x:v>
      </x:c>
      <x:c r="F58" s="9" t="n">
        <x:v>0</x:v>
      </x:c>
      <x:c r="G58" s="9" t="str">
        <x:v>OPEN</x:v>
      </x:c>
      <x:c r="H58" s="9" t="str">
        <x:f>IF(AND(B58&lt;&gt;"",COUNTIFS($B$52:$B$75,B58)=1,OR(C58="ROOT_A",C58="ROOT_B"),D58&lt;&gt;"",E58=1),"PASS","FAIL")</x:f>
        <x:v>PASS</x:v>
      </x:c>
      <x:c r="I58" s="8"/>
      <x:c r="J58" s="8"/>
      <x:c r="K58" s="8"/>
    </x:row>
    <x:row r="59">
      <x:c r="B59" s="9" t="str">
        <x:v>CC-008</x:v>
      </x:c>
      <x:c r="C59" s="9" t="str">
        <x:v>ROOT_B</x:v>
      </x:c>
      <x:c r="D59" s="9" t="str">
        <x:v>IT-IF03-B-S1</x:v>
      </x:c>
      <x:c r="E59" s="9" t="n">
        <x:v>1</x:v>
      </x:c>
      <x:c r="F59" s="9" t="n">
        <x:v>0</x:v>
      </x:c>
      <x:c r="G59" s="9" t="str">
        <x:v>OPEN</x:v>
      </x:c>
      <x:c r="H59" s="9" t="str">
        <x:f>IF(AND(B59&lt;&gt;"",COUNTIFS($B$52:$B$75,B59)=1,OR(C59="ROOT_A",C59="ROOT_B"),D59&lt;&gt;"",E59=1),"PASS","FAIL")</x:f>
        <x:v>PASS</x:v>
      </x:c>
      <x:c r="I59" s="8"/>
      <x:c r="J59" s="8"/>
      <x:c r="K59" s="8"/>
    </x:row>
    <x:row r="60">
      <x:c r="B60" s="9" t="str">
        <x:v>CC-009</x:v>
      </x:c>
      <x:c r="C60" s="9" t="str">
        <x:v>ROOT_A</x:v>
      </x:c>
      <x:c r="D60" s="9" t="str">
        <x:v>IT-IF04-A-S1</x:v>
      </x:c>
      <x:c r="E60" s="9" t="n">
        <x:v>1</x:v>
      </x:c>
      <x:c r="F60" s="9" t="n">
        <x:v>0</x:v>
      </x:c>
      <x:c r="G60" s="9" t="str">
        <x:v>OPEN</x:v>
      </x:c>
      <x:c r="H60" s="9" t="str">
        <x:f>IF(AND(B60&lt;&gt;"",COUNTIFS($B$52:$B$75,B60)=1,OR(C60="ROOT_A",C60="ROOT_B"),D60&lt;&gt;"",E60=1),"PASS","FAIL")</x:f>
        <x:v>PASS</x:v>
      </x:c>
      <x:c r="I60" s="8"/>
      <x:c r="J60" s="8"/>
      <x:c r="K60" s="8"/>
    </x:row>
    <x:row r="61">
      <x:c r="B61" s="9" t="str">
        <x:v>CC-010</x:v>
      </x:c>
      <x:c r="C61" s="9" t="str">
        <x:v>ROOT_B</x:v>
      </x:c>
      <x:c r="D61" s="9" t="str">
        <x:v>IT-IF04-B-S1</x:v>
      </x:c>
      <x:c r="E61" s="9" t="n">
        <x:v>1</x:v>
      </x:c>
      <x:c r="F61" s="9" t="n">
        <x:v>0</x:v>
      </x:c>
      <x:c r="G61" s="9" t="str">
        <x:v>OPEN</x:v>
      </x:c>
      <x:c r="H61" s="9" t="str">
        <x:f>IF(AND(B61&lt;&gt;"",COUNTIFS($B$52:$B$75,B61)=1,OR(C61="ROOT_A",C61="ROOT_B"),D61&lt;&gt;"",E61=1),"PASS","FAIL")</x:f>
        <x:v>PASS</x:v>
      </x:c>
      <x:c r="I61" s="8"/>
      <x:c r="J61" s="8"/>
      <x:c r="K61" s="8"/>
    </x:row>
    <x:row r="62">
      <x:c r="B62" s="9" t="str">
        <x:v>CC-011</x:v>
      </x:c>
      <x:c r="C62" s="9" t="str">
        <x:v>ROOT_A</x:v>
      </x:c>
      <x:c r="D62" s="9" t="str">
        <x:v>IT-IF05-A-S1</x:v>
      </x:c>
      <x:c r="E62" s="9" t="n">
        <x:v>1</x:v>
      </x:c>
      <x:c r="F62" s="9" t="n">
        <x:v>0</x:v>
      </x:c>
      <x:c r="G62" s="9" t="str">
        <x:v>OPEN</x:v>
      </x:c>
      <x:c r="H62" s="9" t="str">
        <x:f>IF(AND(B62&lt;&gt;"",COUNTIFS($B$52:$B$75,B62)=1,OR(C62="ROOT_A",C62="ROOT_B"),D62&lt;&gt;"",E62=1),"PASS","FAIL")</x:f>
        <x:v>PASS</x:v>
      </x:c>
      <x:c r="I62" s="8"/>
      <x:c r="J62" s="8"/>
      <x:c r="K62" s="8"/>
    </x:row>
    <x:row r="63">
      <x:c r="B63" s="9" t="str">
        <x:v>CC-012</x:v>
      </x:c>
      <x:c r="C63" s="9" t="str">
        <x:v>ROOT_B</x:v>
      </x:c>
      <x:c r="D63" s="9" t="str">
        <x:v>IT-IF05-B-S1</x:v>
      </x:c>
      <x:c r="E63" s="9" t="n">
        <x:v>1</x:v>
      </x:c>
      <x:c r="F63" s="9" t="n">
        <x:v>0</x:v>
      </x:c>
      <x:c r="G63" s="9" t="str">
        <x:v>OPEN</x:v>
      </x:c>
      <x:c r="H63" s="9" t="str">
        <x:f>IF(AND(B63&lt;&gt;"",COUNTIFS($B$52:$B$75,B63)=1,OR(C63="ROOT_A",C63="ROOT_B"),D63&lt;&gt;"",E63=1),"PASS","FAIL")</x:f>
        <x:v>PASS</x:v>
      </x:c>
      <x:c r="I63" s="8"/>
      <x:c r="J63" s="8"/>
      <x:c r="K63" s="8"/>
    </x:row>
    <x:row r="64">
      <x:c r="B64" s="9" t="str">
        <x:v>CC-013</x:v>
      </x:c>
      <x:c r="C64" s="9" t="str">
        <x:v>ROOT_A</x:v>
      </x:c>
      <x:c r="D64" s="9" t="str">
        <x:v>IT-IF06-A-S1</x:v>
      </x:c>
      <x:c r="E64" s="9" t="n">
        <x:v>1</x:v>
      </x:c>
      <x:c r="F64" s="9" t="n">
        <x:v>0</x:v>
      </x:c>
      <x:c r="G64" s="9" t="str">
        <x:v>OPEN</x:v>
      </x:c>
      <x:c r="H64" s="9" t="str">
        <x:f>IF(AND(B64&lt;&gt;"",COUNTIFS($B$52:$B$75,B64)=1,OR(C64="ROOT_A",C64="ROOT_B"),D64&lt;&gt;"",E64=1),"PASS","FAIL")</x:f>
        <x:v>PASS</x:v>
      </x:c>
      <x:c r="I64" s="8"/>
      <x:c r="J64" s="8"/>
      <x:c r="K64" s="8"/>
    </x:row>
    <x:row r="65">
      <x:c r="B65" s="9" t="str">
        <x:v>CC-014</x:v>
      </x:c>
      <x:c r="C65" s="9" t="str">
        <x:v>ROOT_B</x:v>
      </x:c>
      <x:c r="D65" s="9" t="str">
        <x:v>IT-IF06-B-S1</x:v>
      </x:c>
      <x:c r="E65" s="9" t="n">
        <x:v>1</x:v>
      </x:c>
      <x:c r="F65" s="9" t="n">
        <x:v>0</x:v>
      </x:c>
      <x:c r="G65" s="9" t="str">
        <x:v>OPEN</x:v>
      </x:c>
      <x:c r="H65" s="9" t="str">
        <x:f>IF(AND(B65&lt;&gt;"",COUNTIFS($B$52:$B$75,B65)=1,OR(C65="ROOT_A",C65="ROOT_B"),D65&lt;&gt;"",E65=1),"PASS","FAIL")</x:f>
        <x:v>PASS</x:v>
      </x:c>
      <x:c r="I65" s="8"/>
      <x:c r="J65" s="8"/>
      <x:c r="K65" s="8"/>
    </x:row>
    <x:row r="66">
      <x:c r="B66" s="9" t="str">
        <x:v>CC-015</x:v>
      </x:c>
      <x:c r="C66" s="9" t="str">
        <x:v>ROOT_A</x:v>
      </x:c>
      <x:c r="D66" s="9" t="str">
        <x:v>IT-IF07-A-S1</x:v>
      </x:c>
      <x:c r="E66" s="9" t="n">
        <x:v>1</x:v>
      </x:c>
      <x:c r="F66" s="9" t="n">
        <x:v>0</x:v>
      </x:c>
      <x:c r="G66" s="9" t="str">
        <x:v>OPEN</x:v>
      </x:c>
      <x:c r="H66" s="9" t="str">
        <x:f>IF(AND(B66&lt;&gt;"",COUNTIFS($B$52:$B$75,B66)=1,OR(C66="ROOT_A",C66="ROOT_B"),D66&lt;&gt;"",E66=1),"PASS","FAIL")</x:f>
        <x:v>PASS</x:v>
      </x:c>
      <x:c r="I66" s="8"/>
      <x:c r="J66" s="8"/>
      <x:c r="K66" s="8"/>
    </x:row>
    <x:row r="67">
      <x:c r="B67" s="9" t="str">
        <x:v>CC-016</x:v>
      </x:c>
      <x:c r="C67" s="9" t="str">
        <x:v>ROOT_B</x:v>
      </x:c>
      <x:c r="D67" s="9" t="str">
        <x:v>IT-IF07-B-S1</x:v>
      </x:c>
      <x:c r="E67" s="9" t="n">
        <x:v>1</x:v>
      </x:c>
      <x:c r="F67" s="9" t="n">
        <x:v>0</x:v>
      </x:c>
      <x:c r="G67" s="9" t="str">
        <x:v>OPEN</x:v>
      </x:c>
      <x:c r="H67" s="9" t="str">
        <x:f>IF(AND(B67&lt;&gt;"",COUNTIFS($B$52:$B$75,B67)=1,OR(C67="ROOT_A",C67="ROOT_B"),D67&lt;&gt;"",E67=1),"PASS","FAIL")</x:f>
        <x:v>PASS</x:v>
      </x:c>
      <x:c r="I67" s="8"/>
      <x:c r="J67" s="8"/>
      <x:c r="K67" s="8"/>
    </x:row>
    <x:row r="68">
      <x:c r="B68" s="9" t="str">
        <x:v>CC-017</x:v>
      </x:c>
      <x:c r="C68" s="9" t="str">
        <x:v>ROOT_A</x:v>
      </x:c>
      <x:c r="D68" s="9" t="str">
        <x:v>IT-IF09-A-S1</x:v>
      </x:c>
      <x:c r="E68" s="9" t="n">
        <x:v>1</x:v>
      </x:c>
      <x:c r="F68" s="9" t="n">
        <x:v>0</x:v>
      </x:c>
      <x:c r="G68" s="9" t="str">
        <x:v>OPEN</x:v>
      </x:c>
      <x:c r="H68" s="9" t="str">
        <x:f>IF(AND(B68&lt;&gt;"",COUNTIFS($B$52:$B$75,B68)=1,OR(C68="ROOT_A",C68="ROOT_B"),D68&lt;&gt;"",E68=1),"PASS","FAIL")</x:f>
        <x:v>PASS</x:v>
      </x:c>
      <x:c r="I68" s="8"/>
      <x:c r="J68" s="8"/>
      <x:c r="K68" s="8"/>
    </x:row>
    <x:row r="69">
      <x:c r="B69" s="9" t="str">
        <x:v>CC-018</x:v>
      </x:c>
      <x:c r="C69" s="9" t="str">
        <x:v>ROOT_B</x:v>
      </x:c>
      <x:c r="D69" s="9" t="str">
        <x:v>IT-IF09-B-S1</x:v>
      </x:c>
      <x:c r="E69" s="9" t="n">
        <x:v>1</x:v>
      </x:c>
      <x:c r="F69" s="9" t="n">
        <x:v>0</x:v>
      </x:c>
      <x:c r="G69" s="9" t="str">
        <x:v>OPEN</x:v>
      </x:c>
      <x:c r="H69" s="9" t="str">
        <x:f>IF(AND(B69&lt;&gt;"",COUNTIFS($B$52:$B$75,B69)=1,OR(C69="ROOT_A",C69="ROOT_B"),D69&lt;&gt;"",E69=1),"PASS","FAIL")</x:f>
        <x:v>PASS</x:v>
      </x:c>
      <x:c r="I69" s="8"/>
      <x:c r="J69" s="8"/>
      <x:c r="K69" s="8"/>
    </x:row>
    <x:row r="70">
      <x:c r="B70" s="9" t="str">
        <x:v>CC-019</x:v>
      </x:c>
      <x:c r="C70" s="9" t="str">
        <x:v>ROOT_A</x:v>
      </x:c>
      <x:c r="D70" s="9" t="str">
        <x:v>IT-IF10-A-S1</x:v>
      </x:c>
      <x:c r="E70" s="9" t="n">
        <x:v>1</x:v>
      </x:c>
      <x:c r="F70" s="9" t="n">
        <x:v>0</x:v>
      </x:c>
      <x:c r="G70" s="9" t="str">
        <x:v>OPEN</x:v>
      </x:c>
      <x:c r="H70" s="9" t="str">
        <x:f>IF(AND(B70&lt;&gt;"",COUNTIFS($B$52:$B$75,B70)=1,OR(C70="ROOT_A",C70="ROOT_B"),D70&lt;&gt;"",E70=1),"PASS","FAIL")</x:f>
        <x:v>PASS</x:v>
      </x:c>
      <x:c r="I70" s="8"/>
      <x:c r="J70" s="8"/>
      <x:c r="K70" s="8"/>
    </x:row>
    <x:row r="71">
      <x:c r="B71" s="9" t="str">
        <x:v>CC-020</x:v>
      </x:c>
      <x:c r="C71" s="9" t="str">
        <x:v>ROOT_B</x:v>
      </x:c>
      <x:c r="D71" s="9" t="str">
        <x:v>IT-IF10-B-S1</x:v>
      </x:c>
      <x:c r="E71" s="9" t="n">
        <x:v>1</x:v>
      </x:c>
      <x:c r="F71" s="9" t="n">
        <x:v>0</x:v>
      </x:c>
      <x:c r="G71" s="9" t="str">
        <x:v>OPEN</x:v>
      </x:c>
      <x:c r="H71" s="9" t="str">
        <x:f>IF(AND(B71&lt;&gt;"",COUNTIFS($B$52:$B$75,B71)=1,OR(C71="ROOT_A",C71="ROOT_B"),D71&lt;&gt;"",E71=1),"PASS","FAIL")</x:f>
        <x:v>PASS</x:v>
      </x:c>
      <x:c r="I71" s="8"/>
      <x:c r="J71" s="8"/>
      <x:c r="K71" s="8"/>
    </x:row>
    <x:row r="72">
      <x:c r="B72" s="9" t="str">
        <x:v>CC-021</x:v>
      </x:c>
      <x:c r="C72" s="9" t="str">
        <x:v>ROOT_A</x:v>
      </x:c>
      <x:c r="D72" s="9" t="str">
        <x:v>CT-A-1</x:v>
      </x:c>
      <x:c r="E72" s="9" t="n">
        <x:v>1</x:v>
      </x:c>
      <x:c r="F72" s="9" t="n">
        <x:v>0</x:v>
      </x:c>
      <x:c r="G72" s="9" t="str">
        <x:v>OPEN</x:v>
      </x:c>
      <x:c r="H72" s="9" t="str">
        <x:f>IF(AND(B72&lt;&gt;"",COUNTIFS($B$52:$B$75,B72)=1,OR(C72="ROOT_A",C72="ROOT_B"),D72&lt;&gt;"",E72=1),"PASS","FAIL")</x:f>
        <x:v>PASS</x:v>
      </x:c>
      <x:c r="I72" s="8"/>
      <x:c r="J72" s="8"/>
      <x:c r="K72" s="8"/>
    </x:row>
    <x:row r="73">
      <x:c r="B73" s="9" t="str">
        <x:v>CC-022</x:v>
      </x:c>
      <x:c r="C73" s="9" t="str">
        <x:v>ROOT_B</x:v>
      </x:c>
      <x:c r="D73" s="9" t="str">
        <x:v>CT-B-1</x:v>
      </x:c>
      <x:c r="E73" s="9" t="n">
        <x:v>1</x:v>
      </x:c>
      <x:c r="F73" s="9" t="n">
        <x:v>0</x:v>
      </x:c>
      <x:c r="G73" s="9" t="str">
        <x:v>OPEN</x:v>
      </x:c>
      <x:c r="H73" s="9" t="str">
        <x:f>IF(AND(B73&lt;&gt;"",COUNTIFS($B$52:$B$75,B73)=1,OR(C73="ROOT_A",C73="ROOT_B"),D73&lt;&gt;"",E73=1),"PASS","FAIL")</x:f>
        <x:v>PASS</x:v>
      </x:c>
      <x:c r="I73" s="8"/>
      <x:c r="J73" s="8"/>
      <x:c r="K73" s="8"/>
    </x:row>
    <x:row r="74">
      <x:c r="B74" s="9" t="str">
        <x:v>CC-023</x:v>
      </x:c>
      <x:c r="C74" s="9" t="str">
        <x:v>ROOT_A</x:v>
      </x:c>
      <x:c r="D74" s="9" t="str">
        <x:v>ST-SVC07-A</x:v>
      </x:c>
      <x:c r="E74" s="9" t="n">
        <x:v>1</x:v>
      </x:c>
      <x:c r="F74" s="9" t="n">
        <x:v>0</x:v>
      </x:c>
      <x:c r="G74" s="9" t="str">
        <x:v>OPEN</x:v>
      </x:c>
      <x:c r="H74" s="9" t="str">
        <x:f>IF(AND(B74&lt;&gt;"",COUNTIFS($B$52:$B$75,B74)=1,OR(C74="ROOT_A",C74="ROOT_B"),D74&lt;&gt;"",E74=1),"PASS","FAIL")</x:f>
        <x:v>PASS</x:v>
      </x:c>
      <x:c r="I74" s="8"/>
      <x:c r="J74" s="8"/>
      <x:c r="K74" s="8"/>
    </x:row>
    <x:row r="75">
      <x:c r="B75" s="10" t="str">
        <x:v>CC-024</x:v>
      </x:c>
      <x:c r="C75" s="10" t="str">
        <x:v>ROOT_B</x:v>
      </x:c>
      <x:c r="D75" s="10" t="str">
        <x:v>ST-SVC07-B</x:v>
      </x:c>
      <x:c r="E75" s="10" t="n">
        <x:v>1</x:v>
      </x:c>
      <x:c r="F75" s="10" t="n">
        <x:v>0</x:v>
      </x:c>
      <x:c r="G75" s="10" t="str">
        <x:v>OPEN</x:v>
      </x:c>
      <x:c r="H75" s="10" t="str">
        <x:f>IF(AND(B75&lt;&gt;"",COUNTIFS($B$52:$B$75,B75)=1,OR(C75="ROOT_A",C75="ROOT_B"),D75&lt;&gt;"",E75=1),"PASS","FAIL")</x:f>
        <x:v>PASS</x:v>
      </x:c>
      <x:c r="I75" s="8"/>
      <x:c r="J75" s="8"/>
      <x:c r="K75" s="8"/>
    </x:row>
    <x:row r="76">
      <x:c r="B76" s="8"/>
      <x:c r="C76" s="8"/>
      <x:c r="D76" s="8"/>
      <x:c r="E76" s="8"/>
      <x:c r="F76" s="8"/>
      <x:c r="G76" s="8"/>
      <x:c r="H76" s="8"/>
      <x:c r="I76" s="8"/>
      <x:c r="J76" s="8"/>
      <x:c r="K76" s="8"/>
    </x:row>
    <x:row r="77">
      <x:c r="B77" s="8"/>
      <x:c r="C77" s="8"/>
      <x:c r="D77" s="8"/>
      <x:c r="E77" s="8"/>
      <x:c r="F77" s="8"/>
      <x:c r="G77" s="8"/>
      <x:c r="H77" s="8"/>
      <x:c r="I77" s="8"/>
      <x:c r="J77" s="8"/>
      <x:c r="K77" s="8"/>
    </x:row>
    <x:row r="78">
      <x:c r="B78" s="8"/>
      <x:c r="C78" s="8"/>
      <x:c r="D78" s="8"/>
      <x:c r="E78" s="8"/>
      <x:c r="F78" s="8"/>
      <x:c r="G78" s="8"/>
      <x:c r="H78" s="8"/>
      <x:c r="I78" s="8"/>
      <x:c r="J78" s="8"/>
      <x:c r="K78" s="8"/>
    </x:row>
    <x:row r="79">
      <x:c r="B79" s="18" t="str">
        <x:v>Statistical limit</x:v>
      </x:c>
      <x:c r="C79" s="19" t="str">
        <x:v>Statistical limit</x:v>
      </x:c>
      <x:c r="D79" s="19" t="str">
        <x:v>Statistical limit</x:v>
      </x:c>
      <x:c r="E79" s="19" t="str">
        <x:v>Statistical limit</x:v>
      </x:c>
      <x:c r="F79" s="19" t="str">
        <x:v>Statistical limit</x:v>
      </x:c>
      <x:c r="G79" s="19" t="str">
        <x:v>Statistical limit</x:v>
      </x:c>
      <x:c r="H79" s="19" t="str">
        <x:v>Statistical limit</x:v>
      </x:c>
      <x:c r="I79" s="19" t="str">
        <x:v>Statistical limit</x:v>
      </x:c>
      <x:c r="J79" s="19" t="str">
        <x:v>Statistical limit</x:v>
      </x:c>
      <x:c r="K79" s="20" t="str">
        <x:v>Statistical limit</x:v>
      </x:c>
    </x:row>
    <x:row r="80">
      <x:c r="B80" s="8" t="str">
        <x:v>Fault trials</x:v>
      </x:c>
      <x:c r="C80" s="8"/>
      <x:c r="D80" s="8" t="n">
        <x:f>COUNTIFS(B23:B46,"&lt;&gt;")</x:f>
        <x:v>24</x:v>
      </x:c>
      <x:c r="E80" s="8" t="str">
        <x:v>Mechanism screen only. Repeated roots, mechanisms and teams are not independent fleet evidence.</x:v>
      </x:c>
      <x:c r="F80" s="8"/>
      <x:c r="G80" s="8"/>
      <x:c r="H80" s="8"/>
      <x:c r="I80" s="8"/>
      <x:c r="J80" s="8"/>
      <x:c r="K80" s="8"/>
    </x:row>
    <x:row r="81">
      <x:c r="B81" s="8" t="str">
        <x:v>Assumed misses</x:v>
      </x:c>
      <x:c r="C81" s="8" t="n">
        <x:v>0</x:v>
      </x:c>
      <x:c r="D81" s="8"/>
      <x:c r="E81" s="8"/>
      <x:c r="F81" s="8"/>
      <x:c r="G81" s="8"/>
      <x:c r="H81" s="8"/>
      <x:c r="I81" s="8"/>
      <x:c r="J81" s="8"/>
      <x:c r="K81" s="8"/>
    </x:row>
    <x:row r="82">
      <x:c r="B82" s="8" t="str">
        <x:v>One-sided alpha</x:v>
      </x:c>
      <x:c r="C82" s="8" t="n">
        <x:v>0.05</x:v>
      </x:c>
      <x:c r="D82" s="24"/>
      <x:c r="E82" s="8"/>
      <x:c r="F82" s="8"/>
      <x:c r="G82" s="8"/>
      <x:c r="H82" s="8"/>
      <x:c r="I82" s="8"/>
      <x:c r="J82" s="8"/>
      <x:c r="K82" s="8"/>
    </x:row>
    <x:row r="83">
      <x:c r="B83" s="8" t="str">
        <x:v>Zero-miss lower bound</x:v>
      </x:c>
      <x:c r="C83" s="8"/>
      <x:c r="D83" s="24" t="n">
        <x:f>C82^(1/D80)</x:f>
        <x:v>0.8826538438450512</x:v>
      </x:c>
      <x:c r="E83" s="8"/>
      <x:c r="F83" s="8"/>
      <x:c r="G83" s="8"/>
      <x:c r="H83" s="8"/>
      <x:c r="I83" s="8"/>
      <x:c r="J83" s="8"/>
      <x:c r="K83" s="8"/>
    </x:row>
  </x:sheetData>
  <x:mergeCells>
    <x:mergeCell ref="B2:K2"/>
    <x:mergeCell ref="B3:K3"/>
    <x:mergeCell ref="B21:K21"/>
    <x:mergeCell ref="B50:K50"/>
    <x:mergeCell ref="B79:K79"/>
    <x:mergeCell ref="E80:K80"/>
  </x:mergeCells>
  <x:conditionalFormatting sqref="G7:G18">
    <x:cfRule type="containsText" dxfId="104" priority="1" operator="containsText" text="PASS"/>
    <x:cfRule type="containsText" dxfId="105" priority="2" operator="containsText" text="AUTHORIZED"/>
    <x:cfRule type="containsText" dxfId="106" priority="3" operator="containsText" text="DEFINED"/>
    <x:cfRule type="containsText" dxfId="107" priority="4" operator="containsText" text="READY"/>
    <x:cfRule type="containsText" dxfId="108" priority="5" operator="containsText" text="HOLD"/>
    <x:cfRule type="containsText" dxfId="109" priority="6" operator="containsText" text="OPEN"/>
    <x:cfRule type="containsText" dxfId="110" priority="7" operator="containsText" text="BLOCKED"/>
    <x:cfRule type="containsText" dxfId="111" priority="8" operator="containsText" text="PLANNING"/>
    <x:cfRule type="containsText" dxfId="112" priority="9" operator="containsText" text="FAIL"/>
    <x:cfRule type="containsText" dxfId="113" priority="10" operator="containsText" text="REJECT"/>
    <x:cfRule type="containsText" dxfId="114" priority="11" operator="containsText" text="LATE"/>
    <x:cfRule type="containsText" dxfId="115" priority="12" operator="containsText" text="INCOMPLETE"/>
    <x:cfRule type="containsText" dxfId="116" priority="13" operator="containsText" text="INDETERMINATE"/>
  </x:conditionalFormatting>
  <x:conditionalFormatting sqref="J23:K46">
    <x:cfRule type="containsText" dxfId="117" priority="14" operator="containsText" text="PASS"/>
    <x:cfRule type="containsText" dxfId="118" priority="15" operator="containsText" text="AUTHORIZED"/>
    <x:cfRule type="containsText" dxfId="119" priority="16" operator="containsText" text="DEFINED"/>
    <x:cfRule type="containsText" dxfId="120" priority="17" operator="containsText" text="READY"/>
    <x:cfRule type="containsText" dxfId="121" priority="18" operator="containsText" text="HOLD"/>
    <x:cfRule type="containsText" dxfId="122" priority="19" operator="containsText" text="OPEN"/>
    <x:cfRule type="containsText" dxfId="123" priority="20" operator="containsText" text="BLOCKED"/>
    <x:cfRule type="containsText" dxfId="124" priority="21" operator="containsText" text="PLANNING"/>
    <x:cfRule type="containsText" dxfId="125" priority="22" operator="containsText" text="FAIL"/>
    <x:cfRule type="containsText" dxfId="126" priority="23" operator="containsText" text="REJECT"/>
    <x:cfRule type="containsText" dxfId="127" priority="24" operator="containsText" text="LATE"/>
    <x:cfRule type="containsText" dxfId="128" priority="25" operator="containsText" text="INCOMPLETE"/>
    <x:cfRule type="containsText" dxfId="129" priority="26" operator="containsText" text="INDETERMINATE"/>
  </x:conditionalFormatting>
  <x:conditionalFormatting sqref="G52:H75">
    <x:cfRule type="containsText" dxfId="130" priority="27" operator="containsText" text="PASS"/>
    <x:cfRule type="containsText" dxfId="131" priority="28" operator="containsText" text="AUTHORIZED"/>
    <x:cfRule type="containsText" dxfId="132" priority="29" operator="containsText" text="DEFINED"/>
    <x:cfRule type="containsText" dxfId="133" priority="30" operator="containsText" text="READY"/>
    <x:cfRule type="containsText" dxfId="134" priority="31" operator="containsText" text="HOLD"/>
    <x:cfRule type="containsText" dxfId="135" priority="32" operator="containsText" text="OPEN"/>
    <x:cfRule type="containsText" dxfId="136" priority="33" operator="containsText" text="BLOCKED"/>
    <x:cfRule type="containsText" dxfId="137" priority="34" operator="containsText" text="PLANNING"/>
    <x:cfRule type="containsText" dxfId="138" priority="35" operator="containsText" text="FAIL"/>
    <x:cfRule type="containsText" dxfId="139" priority="36" operator="containsText" text="REJECT"/>
    <x:cfRule type="containsText" dxfId="140" priority="37" operator="containsText" text="LATE"/>
    <x:cfRule type="containsText" dxfId="141" priority="38" operator="containsText" text="INCOMPLETE"/>
    <x:cfRule type="containsText" dxfId="142" priority="39" operator="containsText" text="INDETERMINATE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20" hidden="0" customWidth="1"/>
    <x:col min="3" max="3" width="13" hidden="0" customWidth="1"/>
    <x:col min="4" max="4" width="14" hidden="0" customWidth="1"/>
    <x:col min="5" max="5" width="24" hidden="0" customWidth="1"/>
    <x:col min="6" max="6" width="16" hidden="0" customWidth="1"/>
    <x:col min="7" max="7" width="15" hidden="0" customWidth="1"/>
    <x:col min="8" max="8" width="19" hidden="0" customWidth="1"/>
    <x:col min="9" max="9" width="19" hidden="0" customWidth="1"/>
    <x:col min="10" max="10" width="20" hidden="0" customWidth="1"/>
    <x:col min="11" max="11" width="16" hidden="0" customWidth="1"/>
    <x:col min="12" max="12" width="16" hidden="0" customWidth="1"/>
    <x:col min="13" max="13" width="17" hidden="0" customWidth="1"/>
  </x:cols>
  <x:sheetData>
    <x:row r="2">
      <x:c r="B2" s="31" t="str">
        <x:v>Cold-storage, deployment and reset cohort</x:v>
      </x:c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3">
      <x:c r="B3" s="2" t="str">
        <x:v>One interface pair in every root-family combination undergoes the complete S2 sequence.</x:v>
      </x:c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</x:row>
    <x:row r="4"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</x:row>
    <x:row r="5"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</x:row>
    <x:row r="6">
      <x:c r="B6" s="7" t="str">
        <x:v>Trial</x:v>
      </x:c>
      <x:c r="C6" s="7" t="str">
        <x:v>Interface</x:v>
      </x:c>
      <x:c r="D6" s="7" t="str">
        <x:v>Root</x:v>
      </x:c>
      <x:c r="E6" s="7" t="str">
        <x:v>Article</x:v>
      </x:c>
      <x:c r="F6" s="7" t="str">
        <x:v>Storage months</x:v>
      </x:c>
      <x:c r="G6" s="7" t="str">
        <x:v>External grid</x:v>
      </x:c>
      <x:c r="H6" s="7" t="str">
        <x:v>National network</x:v>
      </x:c>
      <x:c r="I6" s="7" t="str">
        <x:v>Transport required</x:v>
      </x:c>
      <x:c r="J6" s="7" t="str">
        <x:v>Physical deployment</x:v>
      </x:c>
      <x:c r="K6" s="7" t="str">
        <x:v>Physical reset</x:v>
      </x:c>
      <x:c r="L6" s="7" t="str">
        <x:v>Planning gate</x:v>
      </x:c>
      <x:c r="M6" s="7" t="str">
        <x:v>Terminal state</x:v>
      </x:c>
    </x:row>
    <x:row r="7">
      <x:c r="B7" s="9" t="str">
        <x:v>IT-IF01-A-S2</x:v>
      </x:c>
      <x:c r="C7" s="9" t="str">
        <x:v>IF01</x:v>
      </x:c>
      <x:c r="D7" s="9" t="str">
        <x:v>ROOT_A</x:v>
      </x:c>
      <x:c r="E7" s="9" t="str">
        <x:v>IP-IF01-A-S2</x:v>
      </x:c>
      <x:c r="F7" s="9" t="n">
        <x:v>12</x:v>
      </x:c>
      <x:c r="G7" s="9" t="n">
        <x:v>0</x:v>
      </x:c>
      <x:c r="H7" s="9" t="n">
        <x:v>0</x:v>
      </x:c>
      <x:c r="I7" s="9" t="n">
        <x:v>1</x:v>
      </x:c>
      <x:c r="J7" s="9" t="n">
        <x:v>0</x:v>
      </x:c>
      <x:c r="K7" s="9" t="n">
        <x:v>0</x:v>
      </x:c>
      <x:c r="L7" s="9" t="str">
        <x:f>IF(AND(B7&lt;&gt;"",COUNTIFS($B$7:$B$26,B7)=1,COUNTIFS('Article Bank'!$B$7:$B$136,E7,'Article Bank'!$C$7:$C$136,"INTERFACE_PAIR",'Article Bank'!$D$7:$D$136,D7,'Article Bank'!$E$7:$E$136,C7,'Article Bank'!$F$7:$F$136,"S2_COLD_RESET")=1,F7&gt;='Controls'!$D$31,G7=0,H7=0,I7=1),"PASS","FAIL")</x:f>
        <x:v>PASS</x:v>
      </x:c>
      <x:c r="M7" s="9" t="str">
        <x:v>OPEN</x:v>
      </x:c>
    </x:row>
    <x:row r="8">
      <x:c r="B8" s="9" t="str">
        <x:v>IT-IF01-B-S2</x:v>
      </x:c>
      <x:c r="C8" s="9" t="str">
        <x:v>IF01</x:v>
      </x:c>
      <x:c r="D8" s="9" t="str">
        <x:v>ROOT_B</x:v>
      </x:c>
      <x:c r="E8" s="9" t="str">
        <x:v>IP-IF01-B-S2</x:v>
      </x:c>
      <x:c r="F8" s="9" t="n">
        <x:v>12</x:v>
      </x:c>
      <x:c r="G8" s="9" t="n">
        <x:v>0</x:v>
      </x:c>
      <x:c r="H8" s="9" t="n">
        <x:v>0</x:v>
      </x:c>
      <x:c r="I8" s="9" t="n">
        <x:v>1</x:v>
      </x:c>
      <x:c r="J8" s="9" t="n">
        <x:v>0</x:v>
      </x:c>
      <x:c r="K8" s="9" t="n">
        <x:v>0</x:v>
      </x:c>
      <x:c r="L8" s="9" t="str">
        <x:f>IF(AND(B8&lt;&gt;"",COUNTIFS($B$7:$B$26,B8)=1,COUNTIFS('Article Bank'!$B$7:$B$136,E8,'Article Bank'!$C$7:$C$136,"INTERFACE_PAIR",'Article Bank'!$D$7:$D$136,D8,'Article Bank'!$E$7:$E$136,C8,'Article Bank'!$F$7:$F$136,"S2_COLD_RESET")=1,F8&gt;='Controls'!$D$31,G8=0,H8=0,I8=1),"PASS","FAIL")</x:f>
        <x:v>PASS</x:v>
      </x:c>
      <x:c r="M8" s="9" t="str">
        <x:v>OPEN</x:v>
      </x:c>
    </x:row>
    <x:row r="9">
      <x:c r="B9" s="9" t="str">
        <x:v>IT-IF02-A-S2</x:v>
      </x:c>
      <x:c r="C9" s="9" t="str">
        <x:v>IF02</x:v>
      </x:c>
      <x:c r="D9" s="9" t="str">
        <x:v>ROOT_A</x:v>
      </x:c>
      <x:c r="E9" s="9" t="str">
        <x:v>IP-IF02-A-S2</x:v>
      </x:c>
      <x:c r="F9" s="9" t="n">
        <x:v>12</x:v>
      </x:c>
      <x:c r="G9" s="9" t="n">
        <x:v>0</x:v>
      </x:c>
      <x:c r="H9" s="9" t="n">
        <x:v>0</x:v>
      </x:c>
      <x:c r="I9" s="9" t="n">
        <x:v>1</x:v>
      </x:c>
      <x:c r="J9" s="9" t="n">
        <x:v>0</x:v>
      </x:c>
      <x:c r="K9" s="9" t="n">
        <x:v>0</x:v>
      </x:c>
      <x:c r="L9" s="9" t="str">
        <x:f>IF(AND(B9&lt;&gt;"",COUNTIFS($B$7:$B$26,B9)=1,COUNTIFS('Article Bank'!$B$7:$B$136,E9,'Article Bank'!$C$7:$C$136,"INTERFACE_PAIR",'Article Bank'!$D$7:$D$136,D9,'Article Bank'!$E$7:$E$136,C9,'Article Bank'!$F$7:$F$136,"S2_COLD_RESET")=1,F9&gt;='Controls'!$D$31,G9=0,H9=0,I9=1),"PASS","FAIL")</x:f>
        <x:v>PASS</x:v>
      </x:c>
      <x:c r="M9" s="9" t="str">
        <x:v>OPEN</x:v>
      </x:c>
    </x:row>
    <x:row r="10">
      <x:c r="B10" s="9" t="str">
        <x:v>IT-IF02-B-S2</x:v>
      </x:c>
      <x:c r="C10" s="9" t="str">
        <x:v>IF02</x:v>
      </x:c>
      <x:c r="D10" s="9" t="str">
        <x:v>ROOT_B</x:v>
      </x:c>
      <x:c r="E10" s="9" t="str">
        <x:v>IP-IF02-B-S2</x:v>
      </x:c>
      <x:c r="F10" s="9" t="n">
        <x:v>12</x:v>
      </x:c>
      <x:c r="G10" s="9" t="n">
        <x:v>0</x:v>
      </x:c>
      <x:c r="H10" s="9" t="n">
        <x:v>0</x:v>
      </x:c>
      <x:c r="I10" s="9" t="n">
        <x:v>1</x:v>
      </x:c>
      <x:c r="J10" s="9" t="n">
        <x:v>0</x:v>
      </x:c>
      <x:c r="K10" s="9" t="n">
        <x:v>0</x:v>
      </x:c>
      <x:c r="L10" s="9" t="str">
        <x:f>IF(AND(B10&lt;&gt;"",COUNTIFS($B$7:$B$26,B10)=1,COUNTIFS('Article Bank'!$B$7:$B$136,E10,'Article Bank'!$C$7:$C$136,"INTERFACE_PAIR",'Article Bank'!$D$7:$D$136,D10,'Article Bank'!$E$7:$E$136,C10,'Article Bank'!$F$7:$F$136,"S2_COLD_RESET")=1,F10&gt;='Controls'!$D$31,G10=0,H10=0,I10=1),"PASS","FAIL")</x:f>
        <x:v>PASS</x:v>
      </x:c>
      <x:c r="M10" s="9" t="str">
        <x:v>OPEN</x:v>
      </x:c>
    </x:row>
    <x:row r="11">
      <x:c r="B11" s="9" t="str">
        <x:v>IT-IF03-A-S2</x:v>
      </x:c>
      <x:c r="C11" s="9" t="str">
        <x:v>IF03</x:v>
      </x:c>
      <x:c r="D11" s="9" t="str">
        <x:v>ROOT_A</x:v>
      </x:c>
      <x:c r="E11" s="9" t="str">
        <x:v>IP-IF03-A-S2</x:v>
      </x:c>
      <x:c r="F11" s="9" t="n">
        <x:v>12</x:v>
      </x:c>
      <x:c r="G11" s="9" t="n">
        <x:v>0</x:v>
      </x:c>
      <x:c r="H11" s="9" t="n">
        <x:v>0</x:v>
      </x:c>
      <x:c r="I11" s="9" t="n">
        <x:v>1</x:v>
      </x:c>
      <x:c r="J11" s="9" t="n">
        <x:v>0</x:v>
      </x:c>
      <x:c r="K11" s="9" t="n">
        <x:v>0</x:v>
      </x:c>
      <x:c r="L11" s="9" t="str">
        <x:f>IF(AND(B11&lt;&gt;"",COUNTIFS($B$7:$B$26,B11)=1,COUNTIFS('Article Bank'!$B$7:$B$136,E11,'Article Bank'!$C$7:$C$136,"INTERFACE_PAIR",'Article Bank'!$D$7:$D$136,D11,'Article Bank'!$E$7:$E$136,C11,'Article Bank'!$F$7:$F$136,"S2_COLD_RESET")=1,F11&gt;='Controls'!$D$31,G11=0,H11=0,I11=1),"PASS","FAIL")</x:f>
        <x:v>PASS</x:v>
      </x:c>
      <x:c r="M11" s="9" t="str">
        <x:v>OPEN</x:v>
      </x:c>
    </x:row>
    <x:row r="12">
      <x:c r="B12" s="9" t="str">
        <x:v>IT-IF03-B-S2</x:v>
      </x:c>
      <x:c r="C12" s="9" t="str">
        <x:v>IF03</x:v>
      </x:c>
      <x:c r="D12" s="9" t="str">
        <x:v>ROOT_B</x:v>
      </x:c>
      <x:c r="E12" s="9" t="str">
        <x:v>IP-IF03-B-S2</x:v>
      </x:c>
      <x:c r="F12" s="9" t="n">
        <x:v>12</x:v>
      </x:c>
      <x:c r="G12" s="9" t="n">
        <x:v>0</x:v>
      </x:c>
      <x:c r="H12" s="9" t="n">
        <x:v>0</x:v>
      </x:c>
      <x:c r="I12" s="9" t="n">
        <x:v>1</x:v>
      </x:c>
      <x:c r="J12" s="9" t="n">
        <x:v>0</x:v>
      </x:c>
      <x:c r="K12" s="9" t="n">
        <x:v>0</x:v>
      </x:c>
      <x:c r="L12" s="9" t="str">
        <x:f>IF(AND(B12&lt;&gt;"",COUNTIFS($B$7:$B$26,B12)=1,COUNTIFS('Article Bank'!$B$7:$B$136,E12,'Article Bank'!$C$7:$C$136,"INTERFACE_PAIR",'Article Bank'!$D$7:$D$136,D12,'Article Bank'!$E$7:$E$136,C12,'Article Bank'!$F$7:$F$136,"S2_COLD_RESET")=1,F12&gt;='Controls'!$D$31,G12=0,H12=0,I12=1),"PASS","FAIL")</x:f>
        <x:v>PASS</x:v>
      </x:c>
      <x:c r="M12" s="9" t="str">
        <x:v>OPEN</x:v>
      </x:c>
    </x:row>
    <x:row r="13">
      <x:c r="B13" s="9" t="str">
        <x:v>IT-IF04-A-S2</x:v>
      </x:c>
      <x:c r="C13" s="9" t="str">
        <x:v>IF04</x:v>
      </x:c>
      <x:c r="D13" s="9" t="str">
        <x:v>ROOT_A</x:v>
      </x:c>
      <x:c r="E13" s="9" t="str">
        <x:v>IP-IF04-A-S2</x:v>
      </x:c>
      <x:c r="F13" s="9" t="n">
        <x:v>12</x:v>
      </x:c>
      <x:c r="G13" s="9" t="n">
        <x:v>0</x:v>
      </x:c>
      <x:c r="H13" s="9" t="n">
        <x:v>0</x:v>
      </x:c>
      <x:c r="I13" s="9" t="n">
        <x:v>1</x:v>
      </x:c>
      <x:c r="J13" s="9" t="n">
        <x:v>0</x:v>
      </x:c>
      <x:c r="K13" s="9" t="n">
        <x:v>0</x:v>
      </x:c>
      <x:c r="L13" s="9" t="str">
        <x:f>IF(AND(B13&lt;&gt;"",COUNTIFS($B$7:$B$26,B13)=1,COUNTIFS('Article Bank'!$B$7:$B$136,E13,'Article Bank'!$C$7:$C$136,"INTERFACE_PAIR",'Article Bank'!$D$7:$D$136,D13,'Article Bank'!$E$7:$E$136,C13,'Article Bank'!$F$7:$F$136,"S2_COLD_RESET")=1,F13&gt;='Controls'!$D$31,G13=0,H13=0,I13=1),"PASS","FAIL")</x:f>
        <x:v>PASS</x:v>
      </x:c>
      <x:c r="M13" s="9" t="str">
        <x:v>OPEN</x:v>
      </x:c>
    </x:row>
    <x:row r="14">
      <x:c r="B14" s="9" t="str">
        <x:v>IT-IF04-B-S2</x:v>
      </x:c>
      <x:c r="C14" s="9" t="str">
        <x:v>IF04</x:v>
      </x:c>
      <x:c r="D14" s="9" t="str">
        <x:v>ROOT_B</x:v>
      </x:c>
      <x:c r="E14" s="9" t="str">
        <x:v>IP-IF04-B-S2</x:v>
      </x:c>
      <x:c r="F14" s="9" t="n">
        <x:v>12</x:v>
      </x:c>
      <x:c r="G14" s="9" t="n">
        <x:v>0</x:v>
      </x:c>
      <x:c r="H14" s="9" t="n">
        <x:v>0</x:v>
      </x:c>
      <x:c r="I14" s="9" t="n">
        <x:v>1</x:v>
      </x:c>
      <x:c r="J14" s="9" t="n">
        <x:v>0</x:v>
      </x:c>
      <x:c r="K14" s="9" t="n">
        <x:v>0</x:v>
      </x:c>
      <x:c r="L14" s="9" t="str">
        <x:f>IF(AND(B14&lt;&gt;"",COUNTIFS($B$7:$B$26,B14)=1,COUNTIFS('Article Bank'!$B$7:$B$136,E14,'Article Bank'!$C$7:$C$136,"INTERFACE_PAIR",'Article Bank'!$D$7:$D$136,D14,'Article Bank'!$E$7:$E$136,C14,'Article Bank'!$F$7:$F$136,"S2_COLD_RESET")=1,F14&gt;='Controls'!$D$31,G14=0,H14=0,I14=1),"PASS","FAIL")</x:f>
        <x:v>PASS</x:v>
      </x:c>
      <x:c r="M14" s="9" t="str">
        <x:v>OPEN</x:v>
      </x:c>
    </x:row>
    <x:row r="15">
      <x:c r="B15" s="9" t="str">
        <x:v>IT-IF05-A-S2</x:v>
      </x:c>
      <x:c r="C15" s="9" t="str">
        <x:v>IF05</x:v>
      </x:c>
      <x:c r="D15" s="9" t="str">
        <x:v>ROOT_A</x:v>
      </x:c>
      <x:c r="E15" s="9" t="str">
        <x:v>IP-IF05-A-S2</x:v>
      </x:c>
      <x:c r="F15" s="9" t="n">
        <x:v>12</x:v>
      </x:c>
      <x:c r="G15" s="9" t="n">
        <x:v>0</x:v>
      </x:c>
      <x:c r="H15" s="9" t="n">
        <x:v>0</x:v>
      </x:c>
      <x:c r="I15" s="9" t="n">
        <x:v>1</x:v>
      </x:c>
      <x:c r="J15" s="9" t="n">
        <x:v>0</x:v>
      </x:c>
      <x:c r="K15" s="9" t="n">
        <x:v>0</x:v>
      </x:c>
      <x:c r="L15" s="9" t="str">
        <x:f>IF(AND(B15&lt;&gt;"",COUNTIFS($B$7:$B$26,B15)=1,COUNTIFS('Article Bank'!$B$7:$B$136,E15,'Article Bank'!$C$7:$C$136,"INTERFACE_PAIR",'Article Bank'!$D$7:$D$136,D15,'Article Bank'!$E$7:$E$136,C15,'Article Bank'!$F$7:$F$136,"S2_COLD_RESET")=1,F15&gt;='Controls'!$D$31,G15=0,H15=0,I15=1),"PASS","FAIL")</x:f>
        <x:v>PASS</x:v>
      </x:c>
      <x:c r="M15" s="9" t="str">
        <x:v>OPEN</x:v>
      </x:c>
    </x:row>
    <x:row r="16">
      <x:c r="B16" s="9" t="str">
        <x:v>IT-IF05-B-S2</x:v>
      </x:c>
      <x:c r="C16" s="9" t="str">
        <x:v>IF05</x:v>
      </x:c>
      <x:c r="D16" s="9" t="str">
        <x:v>ROOT_B</x:v>
      </x:c>
      <x:c r="E16" s="9" t="str">
        <x:v>IP-IF05-B-S2</x:v>
      </x:c>
      <x:c r="F16" s="9" t="n">
        <x:v>12</x:v>
      </x:c>
      <x:c r="G16" s="9" t="n">
        <x:v>0</x:v>
      </x:c>
      <x:c r="H16" s="9" t="n">
        <x:v>0</x:v>
      </x:c>
      <x:c r="I16" s="9" t="n">
        <x:v>1</x:v>
      </x:c>
      <x:c r="J16" s="9" t="n">
        <x:v>0</x:v>
      </x:c>
      <x:c r="K16" s="9" t="n">
        <x:v>0</x:v>
      </x:c>
      <x:c r="L16" s="9" t="str">
        <x:f>IF(AND(B16&lt;&gt;"",COUNTIFS($B$7:$B$26,B16)=1,COUNTIFS('Article Bank'!$B$7:$B$136,E16,'Article Bank'!$C$7:$C$136,"INTERFACE_PAIR",'Article Bank'!$D$7:$D$136,D16,'Article Bank'!$E$7:$E$136,C16,'Article Bank'!$F$7:$F$136,"S2_COLD_RESET")=1,F16&gt;='Controls'!$D$31,G16=0,H16=0,I16=1),"PASS","FAIL")</x:f>
        <x:v>PASS</x:v>
      </x:c>
      <x:c r="M16" s="9" t="str">
        <x:v>OPEN</x:v>
      </x:c>
    </x:row>
    <x:row r="17">
      <x:c r="B17" s="9" t="str">
        <x:v>IT-IF06-A-S2</x:v>
      </x:c>
      <x:c r="C17" s="9" t="str">
        <x:v>IF06</x:v>
      </x:c>
      <x:c r="D17" s="9" t="str">
        <x:v>ROOT_A</x:v>
      </x:c>
      <x:c r="E17" s="9" t="str">
        <x:v>IP-IF06-A-S2</x:v>
      </x:c>
      <x:c r="F17" s="9" t="n">
        <x:v>12</x:v>
      </x:c>
      <x:c r="G17" s="9" t="n">
        <x:v>0</x:v>
      </x:c>
      <x:c r="H17" s="9" t="n">
        <x:v>0</x:v>
      </x:c>
      <x:c r="I17" s="9" t="n">
        <x:v>1</x:v>
      </x:c>
      <x:c r="J17" s="9" t="n">
        <x:v>0</x:v>
      </x:c>
      <x:c r="K17" s="9" t="n">
        <x:v>0</x:v>
      </x:c>
      <x:c r="L17" s="9" t="str">
        <x:f>IF(AND(B17&lt;&gt;"",COUNTIFS($B$7:$B$26,B17)=1,COUNTIFS('Article Bank'!$B$7:$B$136,E17,'Article Bank'!$C$7:$C$136,"INTERFACE_PAIR",'Article Bank'!$D$7:$D$136,D17,'Article Bank'!$E$7:$E$136,C17,'Article Bank'!$F$7:$F$136,"S2_COLD_RESET")=1,F17&gt;='Controls'!$D$31,G17=0,H17=0,I17=1),"PASS","FAIL")</x:f>
        <x:v>PASS</x:v>
      </x:c>
      <x:c r="M17" s="9" t="str">
        <x:v>OPEN</x:v>
      </x:c>
    </x:row>
    <x:row r="18">
      <x:c r="B18" s="9" t="str">
        <x:v>IT-IF06-B-S2</x:v>
      </x:c>
      <x:c r="C18" s="9" t="str">
        <x:v>IF06</x:v>
      </x:c>
      <x:c r="D18" s="9" t="str">
        <x:v>ROOT_B</x:v>
      </x:c>
      <x:c r="E18" s="9" t="str">
        <x:v>IP-IF06-B-S2</x:v>
      </x:c>
      <x:c r="F18" s="9" t="n">
        <x:v>12</x:v>
      </x:c>
      <x:c r="G18" s="9" t="n">
        <x:v>0</x:v>
      </x:c>
      <x:c r="H18" s="9" t="n">
        <x:v>0</x:v>
      </x:c>
      <x:c r="I18" s="9" t="n">
        <x:v>1</x:v>
      </x:c>
      <x:c r="J18" s="9" t="n">
        <x:v>0</x:v>
      </x:c>
      <x:c r="K18" s="9" t="n">
        <x:v>0</x:v>
      </x:c>
      <x:c r="L18" s="9" t="str">
        <x:f>IF(AND(B18&lt;&gt;"",COUNTIFS($B$7:$B$26,B18)=1,COUNTIFS('Article Bank'!$B$7:$B$136,E18,'Article Bank'!$C$7:$C$136,"INTERFACE_PAIR",'Article Bank'!$D$7:$D$136,D18,'Article Bank'!$E$7:$E$136,C18,'Article Bank'!$F$7:$F$136,"S2_COLD_RESET")=1,F18&gt;='Controls'!$D$31,G18=0,H18=0,I18=1),"PASS","FAIL")</x:f>
        <x:v>PASS</x:v>
      </x:c>
      <x:c r="M18" s="9" t="str">
        <x:v>OPEN</x:v>
      </x:c>
    </x:row>
    <x:row r="19">
      <x:c r="B19" s="9" t="str">
        <x:v>IT-IF07-A-S2</x:v>
      </x:c>
      <x:c r="C19" s="9" t="str">
        <x:v>IF07</x:v>
      </x:c>
      <x:c r="D19" s="9" t="str">
        <x:v>ROOT_A</x:v>
      </x:c>
      <x:c r="E19" s="9" t="str">
        <x:v>IP-IF07-A-S2</x:v>
      </x:c>
      <x:c r="F19" s="9" t="n">
        <x:v>12</x:v>
      </x:c>
      <x:c r="G19" s="9" t="n">
        <x:v>0</x:v>
      </x:c>
      <x:c r="H19" s="9" t="n">
        <x:v>0</x:v>
      </x:c>
      <x:c r="I19" s="9" t="n">
        <x:v>1</x:v>
      </x:c>
      <x:c r="J19" s="9" t="n">
        <x:v>0</x:v>
      </x:c>
      <x:c r="K19" s="9" t="n">
        <x:v>0</x:v>
      </x:c>
      <x:c r="L19" s="9" t="str">
        <x:f>IF(AND(B19&lt;&gt;"",COUNTIFS($B$7:$B$26,B19)=1,COUNTIFS('Article Bank'!$B$7:$B$136,E19,'Article Bank'!$C$7:$C$136,"INTERFACE_PAIR",'Article Bank'!$D$7:$D$136,D19,'Article Bank'!$E$7:$E$136,C19,'Article Bank'!$F$7:$F$136,"S2_COLD_RESET")=1,F19&gt;='Controls'!$D$31,G19=0,H19=0,I19=1),"PASS","FAIL")</x:f>
        <x:v>PASS</x:v>
      </x:c>
      <x:c r="M19" s="9" t="str">
        <x:v>OPEN</x:v>
      </x:c>
    </x:row>
    <x:row r="20">
      <x:c r="B20" s="9" t="str">
        <x:v>IT-IF07-B-S2</x:v>
      </x:c>
      <x:c r="C20" s="9" t="str">
        <x:v>IF07</x:v>
      </x:c>
      <x:c r="D20" s="9" t="str">
        <x:v>ROOT_B</x:v>
      </x:c>
      <x:c r="E20" s="9" t="str">
        <x:v>IP-IF07-B-S2</x:v>
      </x:c>
      <x:c r="F20" s="9" t="n">
        <x:v>12</x:v>
      </x:c>
      <x:c r="G20" s="9" t="n">
        <x:v>0</x:v>
      </x:c>
      <x:c r="H20" s="9" t="n">
        <x:v>0</x:v>
      </x:c>
      <x:c r="I20" s="9" t="n">
        <x:v>1</x:v>
      </x:c>
      <x:c r="J20" s="9" t="n">
        <x:v>0</x:v>
      </x:c>
      <x:c r="K20" s="9" t="n">
        <x:v>0</x:v>
      </x:c>
      <x:c r="L20" s="9" t="str">
        <x:f>IF(AND(B20&lt;&gt;"",COUNTIFS($B$7:$B$26,B20)=1,COUNTIFS('Article Bank'!$B$7:$B$136,E20,'Article Bank'!$C$7:$C$136,"INTERFACE_PAIR",'Article Bank'!$D$7:$D$136,D20,'Article Bank'!$E$7:$E$136,C20,'Article Bank'!$F$7:$F$136,"S2_COLD_RESET")=1,F20&gt;='Controls'!$D$31,G20=0,H20=0,I20=1),"PASS","FAIL")</x:f>
        <x:v>PASS</x:v>
      </x:c>
      <x:c r="M20" s="9" t="str">
        <x:v>OPEN</x:v>
      </x:c>
    </x:row>
    <x:row r="21">
      <x:c r="B21" s="9" t="str">
        <x:v>IT-IF08-A-S2</x:v>
      </x:c>
      <x:c r="C21" s="9" t="str">
        <x:v>IF08</x:v>
      </x:c>
      <x:c r="D21" s="9" t="str">
        <x:v>ROOT_A</x:v>
      </x:c>
      <x:c r="E21" s="9" t="str">
        <x:v>IP-IF08-A-S2</x:v>
      </x:c>
      <x:c r="F21" s="9" t="n">
        <x:v>12</x:v>
      </x:c>
      <x:c r="G21" s="9" t="n">
        <x:v>0</x:v>
      </x:c>
      <x:c r="H21" s="9" t="n">
        <x:v>0</x:v>
      </x:c>
      <x:c r="I21" s="9" t="n">
        <x:v>1</x:v>
      </x:c>
      <x:c r="J21" s="9" t="n">
        <x:v>0</x:v>
      </x:c>
      <x:c r="K21" s="9" t="n">
        <x:v>0</x:v>
      </x:c>
      <x:c r="L21" s="9" t="str">
        <x:f>IF(AND(B21&lt;&gt;"",COUNTIFS($B$7:$B$26,B21)=1,COUNTIFS('Article Bank'!$B$7:$B$136,E21,'Article Bank'!$C$7:$C$136,"INTERFACE_PAIR",'Article Bank'!$D$7:$D$136,D21,'Article Bank'!$E$7:$E$136,C21,'Article Bank'!$F$7:$F$136,"S2_COLD_RESET")=1,F21&gt;='Controls'!$D$31,G21=0,H21=0,I21=1),"PASS","FAIL")</x:f>
        <x:v>PASS</x:v>
      </x:c>
      <x:c r="M21" s="9" t="str">
        <x:v>OPEN</x:v>
      </x:c>
    </x:row>
    <x:row r="22">
      <x:c r="B22" s="9" t="str">
        <x:v>IT-IF08-B-S2</x:v>
      </x:c>
      <x:c r="C22" s="9" t="str">
        <x:v>IF08</x:v>
      </x:c>
      <x:c r="D22" s="9" t="str">
        <x:v>ROOT_B</x:v>
      </x:c>
      <x:c r="E22" s="9" t="str">
        <x:v>IP-IF08-B-S2</x:v>
      </x:c>
      <x:c r="F22" s="9" t="n">
        <x:v>12</x:v>
      </x:c>
      <x:c r="G22" s="9" t="n">
        <x:v>0</x:v>
      </x:c>
      <x:c r="H22" s="9" t="n">
        <x:v>0</x:v>
      </x:c>
      <x:c r="I22" s="9" t="n">
        <x:v>1</x:v>
      </x:c>
      <x:c r="J22" s="9" t="n">
        <x:v>0</x:v>
      </x:c>
      <x:c r="K22" s="9" t="n">
        <x:v>0</x:v>
      </x:c>
      <x:c r="L22" s="9" t="str">
        <x:f>IF(AND(B22&lt;&gt;"",COUNTIFS($B$7:$B$26,B22)=1,COUNTIFS('Article Bank'!$B$7:$B$136,E22,'Article Bank'!$C$7:$C$136,"INTERFACE_PAIR",'Article Bank'!$D$7:$D$136,D22,'Article Bank'!$E$7:$E$136,C22,'Article Bank'!$F$7:$F$136,"S2_COLD_RESET")=1,F22&gt;='Controls'!$D$31,G22=0,H22=0,I22=1),"PASS","FAIL")</x:f>
        <x:v>PASS</x:v>
      </x:c>
      <x:c r="M22" s="9" t="str">
        <x:v>OPEN</x:v>
      </x:c>
    </x:row>
    <x:row r="23">
      <x:c r="B23" s="9" t="str">
        <x:v>IT-IF09-A-S2</x:v>
      </x:c>
      <x:c r="C23" s="9" t="str">
        <x:v>IF09</x:v>
      </x:c>
      <x:c r="D23" s="9" t="str">
        <x:v>ROOT_A</x:v>
      </x:c>
      <x:c r="E23" s="9" t="str">
        <x:v>IP-IF09-A-S2</x:v>
      </x:c>
      <x:c r="F23" s="9" t="n">
        <x:v>12</x:v>
      </x:c>
      <x:c r="G23" s="9" t="n">
        <x:v>0</x:v>
      </x:c>
      <x:c r="H23" s="9" t="n">
        <x:v>0</x:v>
      </x:c>
      <x:c r="I23" s="9" t="n">
        <x:v>1</x:v>
      </x:c>
      <x:c r="J23" s="9" t="n">
        <x:v>0</x:v>
      </x:c>
      <x:c r="K23" s="9" t="n">
        <x:v>0</x:v>
      </x:c>
      <x:c r="L23" s="9" t="str">
        <x:f>IF(AND(B23&lt;&gt;"",COUNTIFS($B$7:$B$26,B23)=1,COUNTIFS('Article Bank'!$B$7:$B$136,E23,'Article Bank'!$C$7:$C$136,"INTERFACE_PAIR",'Article Bank'!$D$7:$D$136,D23,'Article Bank'!$E$7:$E$136,C23,'Article Bank'!$F$7:$F$136,"S2_COLD_RESET")=1,F23&gt;='Controls'!$D$31,G23=0,H23=0,I23=1),"PASS","FAIL")</x:f>
        <x:v>PASS</x:v>
      </x:c>
      <x:c r="M23" s="9" t="str">
        <x:v>OPEN</x:v>
      </x:c>
    </x:row>
    <x:row r="24">
      <x:c r="B24" s="9" t="str">
        <x:v>IT-IF09-B-S2</x:v>
      </x:c>
      <x:c r="C24" s="9" t="str">
        <x:v>IF09</x:v>
      </x:c>
      <x:c r="D24" s="9" t="str">
        <x:v>ROOT_B</x:v>
      </x:c>
      <x:c r="E24" s="9" t="str">
        <x:v>IP-IF09-B-S2</x:v>
      </x:c>
      <x:c r="F24" s="9" t="n">
        <x:v>12</x:v>
      </x:c>
      <x:c r="G24" s="9" t="n">
        <x:v>0</x:v>
      </x:c>
      <x:c r="H24" s="9" t="n">
        <x:v>0</x:v>
      </x:c>
      <x:c r="I24" s="9" t="n">
        <x:v>1</x:v>
      </x:c>
      <x:c r="J24" s="9" t="n">
        <x:v>0</x:v>
      </x:c>
      <x:c r="K24" s="9" t="n">
        <x:v>0</x:v>
      </x:c>
      <x:c r="L24" s="9" t="str">
        <x:f>IF(AND(B24&lt;&gt;"",COUNTIFS($B$7:$B$26,B24)=1,COUNTIFS('Article Bank'!$B$7:$B$136,E24,'Article Bank'!$C$7:$C$136,"INTERFACE_PAIR",'Article Bank'!$D$7:$D$136,D24,'Article Bank'!$E$7:$E$136,C24,'Article Bank'!$F$7:$F$136,"S2_COLD_RESET")=1,F24&gt;='Controls'!$D$31,G24=0,H24=0,I24=1),"PASS","FAIL")</x:f>
        <x:v>PASS</x:v>
      </x:c>
      <x:c r="M24" s="9" t="str">
        <x:v>OPEN</x:v>
      </x:c>
    </x:row>
    <x:row r="25">
      <x:c r="B25" s="9" t="str">
        <x:v>IT-IF10-A-S2</x:v>
      </x:c>
      <x:c r="C25" s="9" t="str">
        <x:v>IF10</x:v>
      </x:c>
      <x:c r="D25" s="9" t="str">
        <x:v>ROOT_A</x:v>
      </x:c>
      <x:c r="E25" s="9" t="str">
        <x:v>IP-IF10-A-S2</x:v>
      </x:c>
      <x:c r="F25" s="9" t="n">
        <x:v>12</x:v>
      </x:c>
      <x:c r="G25" s="9" t="n">
        <x:v>0</x:v>
      </x:c>
      <x:c r="H25" s="9" t="n">
        <x:v>0</x:v>
      </x:c>
      <x:c r="I25" s="9" t="n">
        <x:v>1</x:v>
      </x:c>
      <x:c r="J25" s="9" t="n">
        <x:v>0</x:v>
      </x:c>
      <x:c r="K25" s="9" t="n">
        <x:v>0</x:v>
      </x:c>
      <x:c r="L25" s="9" t="str">
        <x:f>IF(AND(B25&lt;&gt;"",COUNTIFS($B$7:$B$26,B25)=1,COUNTIFS('Article Bank'!$B$7:$B$136,E25,'Article Bank'!$C$7:$C$136,"INTERFACE_PAIR",'Article Bank'!$D$7:$D$136,D25,'Article Bank'!$E$7:$E$136,C25,'Article Bank'!$F$7:$F$136,"S2_COLD_RESET")=1,F25&gt;='Controls'!$D$31,G25=0,H25=0,I25=1),"PASS","FAIL")</x:f>
        <x:v>PASS</x:v>
      </x:c>
      <x:c r="M25" s="9" t="str">
        <x:v>OPEN</x:v>
      </x:c>
    </x:row>
    <x:row r="26">
      <x:c r="B26" s="10" t="str">
        <x:v>IT-IF10-B-S2</x:v>
      </x:c>
      <x:c r="C26" s="10" t="str">
        <x:v>IF10</x:v>
      </x:c>
      <x:c r="D26" s="10" t="str">
        <x:v>ROOT_B</x:v>
      </x:c>
      <x:c r="E26" s="10" t="str">
        <x:v>IP-IF10-B-S2</x:v>
      </x:c>
      <x:c r="F26" s="10" t="n">
        <x:v>12</x:v>
      </x:c>
      <x:c r="G26" s="10" t="n">
        <x:v>0</x:v>
      </x:c>
      <x:c r="H26" s="10" t="n">
        <x:v>0</x:v>
      </x:c>
      <x:c r="I26" s="10" t="n">
        <x:v>1</x:v>
      </x:c>
      <x:c r="J26" s="10" t="n">
        <x:v>0</x:v>
      </x:c>
      <x:c r="K26" s="10" t="n">
        <x:v>0</x:v>
      </x:c>
      <x:c r="L26" s="10" t="str">
        <x:f>IF(AND(B26&lt;&gt;"",COUNTIFS($B$7:$B$26,B26)=1,COUNTIFS('Article Bank'!$B$7:$B$136,E26,'Article Bank'!$C$7:$C$136,"INTERFACE_PAIR",'Article Bank'!$D$7:$D$136,D26,'Article Bank'!$E$7:$E$136,C26,'Article Bank'!$F$7:$F$136,"S2_COLD_RESET")=1,F26&gt;='Controls'!$D$31,G26=0,H26=0,I26=1),"PASS","FAIL")</x:f>
        <x:v>PASS</x:v>
      </x:c>
      <x:c r="M26" s="10" t="str">
        <x:v>OPEN</x:v>
      </x:c>
    </x:row>
  </x:sheetData>
  <x:mergeCells>
    <x:mergeCell ref="B2:M2"/>
    <x:mergeCell ref="B3:M3"/>
  </x:mergeCells>
  <x:conditionalFormatting sqref="L7:M26">
    <x:cfRule type="containsText" dxfId="143" priority="1" operator="containsText" text="PASS"/>
    <x:cfRule type="containsText" dxfId="144" priority="2" operator="containsText" text="AUTHORIZED"/>
    <x:cfRule type="containsText" dxfId="145" priority="3" operator="containsText" text="DEFINED"/>
    <x:cfRule type="containsText" dxfId="146" priority="4" operator="containsText" text="READY"/>
    <x:cfRule type="containsText" dxfId="147" priority="5" operator="containsText" text="HOLD"/>
    <x:cfRule type="containsText" dxfId="148" priority="6" operator="containsText" text="OPEN"/>
    <x:cfRule type="containsText" dxfId="149" priority="7" operator="containsText" text="BLOCKED"/>
    <x:cfRule type="containsText" dxfId="150" priority="8" operator="containsText" text="PLANNING"/>
    <x:cfRule type="containsText" dxfId="151" priority="9" operator="containsText" text="FAIL"/>
    <x:cfRule type="containsText" dxfId="152" priority="10" operator="containsText" text="REJECT"/>
    <x:cfRule type="containsText" dxfId="153" priority="11" operator="containsText" text="LATE"/>
    <x:cfRule type="containsText" dxfId="154" priority="12" operator="containsText" text="INCOMPLETE"/>
    <x:cfRule type="containsText" dxfId="155" priority="13" operator="containsText" text="INDETERMINATE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34" hidden="0" customWidth="1"/>
    <x:col min="4" max="4" width="20" hidden="0" customWidth="1"/>
    <x:col min="5" max="5" width="20" hidden="0" customWidth="1"/>
    <x:col min="6" max="6" width="23" hidden="0" customWidth="1"/>
    <x:col min="7" max="7" width="31" hidden="0" customWidth="1"/>
    <x:col min="8" max="8" width="19" hidden="0" customWidth="1"/>
    <x:col min="9" max="9" width="16" hidden="0" customWidth="1"/>
    <x:col min="10" max="10" width="17" hidden="0" customWidth="1"/>
  </x:cols>
  <x:sheetData>
    <x:row r="2">
      <x:c r="B2" s="31" t="str">
        <x:v>Industrial-root independence register</x:v>
      </x:c>
      <x:c r="C2" s="8"/>
      <x:c r="D2" s="8"/>
      <x:c r="E2" s="8"/>
      <x:c r="F2" s="8"/>
      <x:c r="G2" s="8"/>
      <x:c r="H2" s="8"/>
      <x:c r="I2" s="8"/>
      <x:c r="J2" s="8"/>
    </x:row>
    <x:row r="3">
      <x:c r="B3" s="2" t="str">
        <x:v>Common public service definitions cannot conceal a shared decisive implementation.</x:v>
      </x:c>
      <x:c r="C3" s="8"/>
      <x:c r="D3" s="8"/>
      <x:c r="E3" s="8"/>
      <x:c r="F3" s="8"/>
      <x:c r="G3" s="8"/>
      <x:c r="H3" s="8"/>
      <x:c r="I3" s="8"/>
      <x:c r="J3" s="8"/>
    </x:row>
    <x:row r="4">
      <x:c r="B4" s="32"/>
      <x:c r="C4" s="32"/>
      <x:c r="D4" s="32"/>
      <x:c r="E4" s="32"/>
      <x:c r="F4" s="32"/>
      <x:c r="G4" s="32"/>
      <x:c r="H4" s="32"/>
      <x:c r="I4" s="32"/>
      <x:c r="J4" s="32"/>
    </x:row>
    <x:row r="5">
      <x:c r="B5" s="8"/>
      <x:c r="C5" s="8"/>
      <x:c r="D5" s="8"/>
      <x:c r="E5" s="8"/>
      <x:c r="F5" s="8"/>
      <x:c r="G5" s="8"/>
      <x:c r="H5" s="8"/>
      <x:c r="I5" s="8"/>
      <x:c r="J5" s="8"/>
    </x:row>
    <x:row r="6">
      <x:c r="B6" s="7" t="str">
        <x:v>ID</x:v>
      </x:c>
      <x:c r="C6" s="7" t="str">
        <x:v>Dependency</x:v>
      </x:c>
      <x:c r="D6" s="7" t="str">
        <x:v>Root A identity</x:v>
      </x:c>
      <x:c r="E6" s="7" t="str">
        <x:v>Root B identity</x:v>
      </x:c>
      <x:c r="F6" s="7" t="str">
        <x:v>Shared decisive dependency</x:v>
      </x:c>
      <x:c r="G6" s="7" t="str">
        <x:v>Permitted common layer</x:v>
      </x:c>
      <x:c r="H6" s="7" t="str">
        <x:v>Physical ancestry</x:v>
      </x:c>
      <x:c r="I6" s="7" t="str">
        <x:v>Planning gate</x:v>
      </x:c>
      <x:c r="J6" s="7" t="str">
        <x:v>Physical state</x:v>
      </x:c>
    </x:row>
    <x:row r="7">
      <x:c r="B7" s="9" t="str">
        <x:v>RI01</x:v>
      </x:c>
      <x:c r="C7" s="9" t="str">
        <x:v>Decisive material process</x:v>
      </x:c>
      <x:c r="D7" s="9" t="str">
        <x:v>A-MATERIAL</x:v>
      </x:c>
      <x:c r="E7" s="9" t="str">
        <x:v>B-MATERIAL</x:v>
      </x:c>
      <x:c r="F7" s="9" t="n">
        <x:v>0</x:v>
      </x:c>
      <x:c r="G7" s="9" t="str">
        <x:v>root native</x:v>
      </x:c>
      <x:c r="H7" s="9" t="n">
        <x:v>0</x:v>
      </x:c>
      <x:c r="I7" s="9" t="str">
        <x:f>IF(AND(C7&lt;&gt;"",D7&lt;&gt;"",E7&lt;&gt;"",D7&lt;&gt;E7,F7=0),"PASS","FAIL")</x:f>
        <x:v>PASS</x:v>
      </x:c>
      <x:c r="J7" s="9" t="str">
        <x:v>OPEN</x:v>
      </x:c>
    </x:row>
    <x:row r="8">
      <x:c r="B8" s="9" t="str">
        <x:v>RI02</x:v>
      </x:c>
      <x:c r="C8" s="9" t="str">
        <x:v>Primary production machine</x:v>
      </x:c>
      <x:c r="D8" s="9" t="str">
        <x:v>A-MACHINE</x:v>
      </x:c>
      <x:c r="E8" s="9" t="str">
        <x:v>B-MACHINE</x:v>
      </x:c>
      <x:c r="F8" s="9" t="n">
        <x:v>0</x:v>
      </x:c>
      <x:c r="G8" s="9" t="str">
        <x:v>root native</x:v>
      </x:c>
      <x:c r="H8" s="9" t="n">
        <x:v>0</x:v>
      </x:c>
      <x:c r="I8" s="9" t="str">
        <x:f>IF(AND(C8&lt;&gt;"",D8&lt;&gt;"",E8&lt;&gt;"",D8&lt;&gt;E8,F8=0),"PASS","FAIL")</x:f>
        <x:v>PASS</x:v>
      </x:c>
      <x:c r="J8" s="9" t="str">
        <x:v>OPEN</x:v>
      </x:c>
    </x:row>
    <x:row r="9">
      <x:c r="B9" s="9" t="str">
        <x:v>RI03</x:v>
      </x:c>
      <x:c r="C9" s="9" t="str">
        <x:v>Joining and assembly tooling</x:v>
      </x:c>
      <x:c r="D9" s="9" t="str">
        <x:v>A-TOOLING</x:v>
      </x:c>
      <x:c r="E9" s="9" t="str">
        <x:v>B-TOOLING</x:v>
      </x:c>
      <x:c r="F9" s="9" t="n">
        <x:v>0</x:v>
      </x:c>
      <x:c r="G9" s="9" t="str">
        <x:v>root native</x:v>
      </x:c>
      <x:c r="H9" s="9" t="n">
        <x:v>0</x:v>
      </x:c>
      <x:c r="I9" s="9" t="str">
        <x:f>IF(AND(C9&lt;&gt;"",D9&lt;&gt;"",E9&lt;&gt;"",D9&lt;&gt;E9,F9=0),"PASS","FAIL")</x:f>
        <x:v>PASS</x:v>
      </x:c>
      <x:c r="J9" s="9" t="str">
        <x:v>OPEN</x:v>
      </x:c>
    </x:row>
    <x:row r="10">
      <x:c r="B10" s="9" t="str">
        <x:v>RI04</x:v>
      </x:c>
      <x:c r="C10" s="9" t="str">
        <x:v>Executable control baseline</x:v>
      </x:c>
      <x:c r="D10" s="9" t="str">
        <x:v>A-CONTROL</x:v>
      </x:c>
      <x:c r="E10" s="9" t="str">
        <x:v>B-CONTROL</x:v>
      </x:c>
      <x:c r="F10" s="9" t="n">
        <x:v>0</x:v>
      </x:c>
      <x:c r="G10" s="9" t="str">
        <x:v>root native</x:v>
      </x:c>
      <x:c r="H10" s="9" t="n">
        <x:v>0</x:v>
      </x:c>
      <x:c r="I10" s="9" t="str">
        <x:f>IF(AND(C10&lt;&gt;"",D10&lt;&gt;"",E10&lt;&gt;"",D10&lt;&gt;E10,F10=0),"PASS","FAIL")</x:f>
        <x:v>PASS</x:v>
      </x:c>
      <x:c r="J10" s="9" t="str">
        <x:v>OPEN</x:v>
      </x:c>
    </x:row>
    <x:row r="11">
      <x:c r="B11" s="9" t="str">
        <x:v>RI05</x:v>
      </x:c>
      <x:c r="C11" s="9" t="str">
        <x:v>Signing and key ancestry</x:v>
      </x:c>
      <x:c r="D11" s="9" t="str">
        <x:v>A-KEY</x:v>
      </x:c>
      <x:c r="E11" s="9" t="str">
        <x:v>B-KEY</x:v>
      </x:c>
      <x:c r="F11" s="9" t="n">
        <x:v>0</x:v>
      </x:c>
      <x:c r="G11" s="9" t="str">
        <x:v>root native</x:v>
      </x:c>
      <x:c r="H11" s="9" t="n">
        <x:v>0</x:v>
      </x:c>
      <x:c r="I11" s="9" t="str">
        <x:f>IF(AND(C11&lt;&gt;"",D11&lt;&gt;"",E11&lt;&gt;"",D11&lt;&gt;E11,F11=0),"PASS","FAIL")</x:f>
        <x:v>PASS</x:v>
      </x:c>
      <x:c r="J11" s="9" t="str">
        <x:v>OPEN</x:v>
      </x:c>
    </x:row>
    <x:row r="12">
      <x:c r="B12" s="9" t="str">
        <x:v>RI06</x:v>
      </x:c>
      <x:c r="C12" s="9" t="str">
        <x:v>Process inspection method</x:v>
      </x:c>
      <x:c r="D12" s="9" t="str">
        <x:v>A-INSPECTION</x:v>
      </x:c>
      <x:c r="E12" s="9" t="str">
        <x:v>B-INSPECTION</x:v>
      </x:c>
      <x:c r="F12" s="9" t="n">
        <x:v>0</x:v>
      </x:c>
      <x:c r="G12" s="9" t="str">
        <x:v>root native</x:v>
      </x:c>
      <x:c r="H12" s="9" t="n">
        <x:v>0</x:v>
      </x:c>
      <x:c r="I12" s="9" t="str">
        <x:f>IF(AND(C12&lt;&gt;"",D12&lt;&gt;"",E12&lt;&gt;"",D12&lt;&gt;E12,F12=0),"PASS","FAIL")</x:f>
        <x:v>PASS</x:v>
      </x:c>
      <x:c r="J12" s="9" t="str">
        <x:v>OPEN</x:v>
      </x:c>
    </x:row>
    <x:row r="13">
      <x:c r="B13" s="9" t="str">
        <x:v>RI07</x:v>
      </x:c>
      <x:c r="C13" s="9" t="str">
        <x:v>Production reference chain</x:v>
      </x:c>
      <x:c r="D13" s="9" t="str">
        <x:v>A-REFERENCE</x:v>
      </x:c>
      <x:c r="E13" s="9" t="str">
        <x:v>B-REFERENCE</x:v>
      </x:c>
      <x:c r="F13" s="9" t="n">
        <x:v>0</x:v>
      </x:c>
      <x:c r="G13" s="9" t="str">
        <x:v>public comparison layer only</x:v>
      </x:c>
      <x:c r="H13" s="9" t="n">
        <x:v>0</x:v>
      </x:c>
      <x:c r="I13" s="9" t="str">
        <x:f>IF(AND(C13&lt;&gt;"",D13&lt;&gt;"",E13&lt;&gt;"",D13&lt;&gt;E13,F13=0),"PASS","FAIL")</x:f>
        <x:v>PASS</x:v>
      </x:c>
      <x:c r="J13" s="9" t="str">
        <x:v>OPEN</x:v>
      </x:c>
    </x:row>
    <x:row r="14">
      <x:c r="B14" s="9" t="str">
        <x:v>RI08</x:v>
      </x:c>
      <x:c r="C14" s="9" t="str">
        <x:v>Transport and lift fixture</x:v>
      </x:c>
      <x:c r="D14" s="9" t="str">
        <x:v>A-FIXTURE</x:v>
      </x:c>
      <x:c r="E14" s="9" t="str">
        <x:v>B-FIXTURE</x:v>
      </x:c>
      <x:c r="F14" s="9" t="n">
        <x:v>0</x:v>
      </x:c>
      <x:c r="G14" s="9" t="str">
        <x:v>public receiver envelope only</x:v>
      </x:c>
      <x:c r="H14" s="9" t="n">
        <x:v>0</x:v>
      </x:c>
      <x:c r="I14" s="9" t="str">
        <x:f>IF(AND(C14&lt;&gt;"",D14&lt;&gt;"",E14&lt;&gt;"",D14&lt;&gt;E14,F14=0),"PASS","FAIL")</x:f>
        <x:v>PASS</x:v>
      </x:c>
      <x:c r="J14" s="9" t="str">
        <x:v>OPEN</x:v>
      </x:c>
    </x:row>
    <x:row r="15">
      <x:c r="B15" s="9" t="str">
        <x:v>RI09</x:v>
      </x:c>
      <x:c r="C15" s="9" t="str">
        <x:v>Decisive sub-tier supplier</x:v>
      </x:c>
      <x:c r="D15" s="9" t="str">
        <x:v>A-SUPPLIER</x:v>
      </x:c>
      <x:c r="E15" s="9" t="str">
        <x:v>B-SUPPLIER</x:v>
      </x:c>
      <x:c r="F15" s="9" t="n">
        <x:v>0</x:v>
      </x:c>
      <x:c r="G15" s="9" t="str">
        <x:v>root native</x:v>
      </x:c>
      <x:c r="H15" s="9" t="n">
        <x:v>0</x:v>
      </x:c>
      <x:c r="I15" s="9" t="str">
        <x:f>IF(AND(C15&lt;&gt;"",D15&lt;&gt;"",E15&lt;&gt;"",D15&lt;&gt;E15,F15=0),"PASS","FAIL")</x:f>
        <x:v>PASS</x:v>
      </x:c>
      <x:c r="J15" s="9" t="str">
        <x:v>OPEN</x:v>
      </x:c>
    </x:row>
    <x:row r="16">
      <x:c r="B16" s="9" t="str">
        <x:v>RI10</x:v>
      </x:c>
      <x:c r="C16" s="9" t="str">
        <x:v>Qualified build workforce</x:v>
      </x:c>
      <x:c r="D16" s="9" t="str">
        <x:v>A-WORKFORCE</x:v>
      </x:c>
      <x:c r="E16" s="9" t="str">
        <x:v>B-WORKFORCE</x:v>
      </x:c>
      <x:c r="F16" s="9" t="n">
        <x:v>0</x:v>
      </x:c>
      <x:c r="G16" s="9" t="str">
        <x:v>separate rosters</x:v>
      </x:c>
      <x:c r="H16" s="9" t="n">
        <x:v>0</x:v>
      </x:c>
      <x:c r="I16" s="9" t="str">
        <x:f>IF(AND(C16&lt;&gt;"",D16&lt;&gt;"",E16&lt;&gt;"",D16&lt;&gt;E16,F16=0),"PASS","FAIL")</x:f>
        <x:v>PASS</x:v>
      </x:c>
      <x:c r="J16" s="9" t="str">
        <x:v>OPEN</x:v>
      </x:c>
    </x:row>
    <x:row r="17">
      <x:c r="B17" s="9" t="str">
        <x:v>RI11</x:v>
      </x:c>
      <x:c r="C17" s="9" t="str">
        <x:v>Complete technical data</x:v>
      </x:c>
      <x:c r="D17" s="9" t="str">
        <x:v>A-DATA</x:v>
      </x:c>
      <x:c r="E17" s="9" t="str">
        <x:v>B-DATA</x:v>
      </x:c>
      <x:c r="F17" s="9" t="n">
        <x:v>0</x:v>
      </x:c>
      <x:c r="G17" s="9" t="str">
        <x:v>public rights in both</x:v>
      </x:c>
      <x:c r="H17" s="9" t="n">
        <x:v>0</x:v>
      </x:c>
      <x:c r="I17" s="9" t="str">
        <x:f>IF(AND(C17&lt;&gt;"",D17&lt;&gt;"",E17&lt;&gt;"",D17&lt;&gt;E17,F17=0),"PASS","FAIL")</x:f>
        <x:v>PASS</x:v>
      </x:c>
      <x:c r="J17" s="9" t="str">
        <x:v>OPEN</x:v>
      </x:c>
    </x:row>
    <x:row r="18">
      <x:c r="B18" s="10" t="str">
        <x:v>RI12</x:v>
      </x:c>
      <x:c r="C18" s="10" t="str">
        <x:v>Reset and reproduction process</x:v>
      </x:c>
      <x:c r="D18" s="10" t="str">
        <x:v>A-RESET</x:v>
      </x:c>
      <x:c r="E18" s="10" t="str">
        <x:v>B-RESET</x:v>
      </x:c>
      <x:c r="F18" s="10" t="n">
        <x:v>0</x:v>
      </x:c>
      <x:c r="G18" s="10" t="str">
        <x:v>root native</x:v>
      </x:c>
      <x:c r="H18" s="10" t="n">
        <x:v>0</x:v>
      </x:c>
      <x:c r="I18" s="10" t="str">
        <x:f>IF(AND(C18&lt;&gt;"",D18&lt;&gt;"",E18&lt;&gt;"",D18&lt;&gt;E18,F18=0),"PASS","FAIL")</x:f>
        <x:v>PASS</x:v>
      </x:c>
      <x:c r="J18" s="10" t="str">
        <x:v>OPEN</x:v>
      </x:c>
    </x:row>
  </x:sheetData>
  <x:mergeCells>
    <x:mergeCell ref="B2:J2"/>
    <x:mergeCell ref="B3:J3"/>
  </x:mergeCells>
  <x:conditionalFormatting sqref="I7:J18">
    <x:cfRule type="containsText" dxfId="156" priority="1" operator="containsText" text="PASS"/>
    <x:cfRule type="containsText" dxfId="157" priority="2" operator="containsText" text="AUTHORIZED"/>
    <x:cfRule type="containsText" dxfId="158" priority="3" operator="containsText" text="DEFINED"/>
    <x:cfRule type="containsText" dxfId="159" priority="4" operator="containsText" text="READY"/>
    <x:cfRule type="containsText" dxfId="160" priority="5" operator="containsText" text="HOLD"/>
    <x:cfRule type="containsText" dxfId="161" priority="6" operator="containsText" text="OPEN"/>
    <x:cfRule type="containsText" dxfId="162" priority="7" operator="containsText" text="BLOCKED"/>
    <x:cfRule type="containsText" dxfId="163" priority="8" operator="containsText" text="PLANNING"/>
    <x:cfRule type="containsText" dxfId="164" priority="9" operator="containsText" text="FAIL"/>
    <x:cfRule type="containsText" dxfId="165" priority="10" operator="containsText" text="REJECT"/>
    <x:cfRule type="containsText" dxfId="166" priority="11" operator="containsText" text="LATE"/>
    <x:cfRule type="containsText" dxfId="167" priority="12" operator="containsText" text="INCOMPLETE"/>
    <x:cfRule type="containsText" dxfId="168" priority="13" operator="containsText" text="INDETERMINATE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39" hidden="0" customWidth="1"/>
    <x:col min="4" max="4" width="15" hidden="0" customWidth="1"/>
    <x:col min="5" max="5" width="15" hidden="0" customWidth="1"/>
    <x:col min="6" max="6" width="13" hidden="0" customWidth="1"/>
    <x:col min="7" max="7" width="23" hidden="0" customWidth="1"/>
    <x:col min="8" max="8" width="48" hidden="0" customWidth="1"/>
    <x:col min="9" max="9" width="20" hidden="0" customWidth="1"/>
    <x:col min="10" max="10" width="16" hidden="0" customWidth="1"/>
    <x:col min="11" max="11" width="17" hidden="0" customWidth="1"/>
  </x:cols>
  <x:sheetData>
    <x:row r="2">
      <x:c r="B2" s="31" t="str">
        <x:v>Forty-eight-month qualification sequence</x:v>
      </x:c>
      <x:c r="C2" s="8"/>
      <x:c r="D2" s="8"/>
      <x:c r="E2" s="8"/>
      <x:c r="F2" s="8"/>
      <x:c r="G2" s="8"/>
      <x:c r="H2" s="8"/>
      <x:c r="I2" s="8"/>
      <x:c r="J2" s="8"/>
      <x:c r="K2" s="8"/>
    </x:row>
    <x:row r="3">
      <x:c r="B3" s="2" t="str">
        <x:v>Overlapping work does not waive the registered release month for any phase.</x:v>
      </x:c>
      <x:c r="C3" s="8"/>
      <x:c r="D3" s="8"/>
      <x:c r="E3" s="8"/>
      <x:c r="F3" s="8"/>
      <x:c r="G3" s="8"/>
      <x:c r="H3" s="8"/>
      <x:c r="I3" s="8"/>
      <x:c r="J3" s="8"/>
      <x:c r="K3" s="8"/>
    </x:row>
    <x:row r="4">
      <x:c r="B4" s="32"/>
      <x:c r="C4" s="32"/>
      <x:c r="D4" s="32"/>
      <x:c r="E4" s="32"/>
      <x:c r="F4" s="32"/>
      <x:c r="G4" s="32"/>
      <x:c r="H4" s="32"/>
      <x:c r="I4" s="32"/>
      <x:c r="J4" s="32"/>
      <x:c r="K4" s="32"/>
    </x:row>
    <x:row r="5">
      <x:c r="B5" s="8"/>
      <x:c r="C5" s="8"/>
      <x:c r="D5" s="8"/>
      <x:c r="E5" s="8"/>
      <x:c r="F5" s="8"/>
      <x:c r="G5" s="8"/>
      <x:c r="H5" s="8"/>
      <x:c r="I5" s="8"/>
      <x:c r="J5" s="8"/>
      <x:c r="K5" s="8"/>
    </x:row>
    <x:row r="6">
      <x:c r="B6" s="7" t="str">
        <x:v>Phase</x:v>
      </x:c>
      <x:c r="C6" s="7" t="str">
        <x:v>Work</x:v>
      </x:c>
      <x:c r="D6" s="7" t="str">
        <x:v>Start month</x:v>
      </x:c>
      <x:c r="E6" s="7" t="str">
        <x:v>End month</x:v>
      </x:c>
      <x:c r="F6" s="7" t="str">
        <x:v>Duration</x:v>
      </x:c>
      <x:c r="G6" s="7" t="str">
        <x:v>Required release month</x:v>
      </x:c>
      <x:c r="H6" s="7" t="str">
        <x:v>Terminal result</x:v>
      </x:c>
      <x:c r="I6" s="7" t="str">
        <x:v>Physical completion</x:v>
      </x:c>
      <x:c r="J6" s="7" t="str">
        <x:v>Planning gate</x:v>
      </x:c>
      <x:c r="K6" s="7" t="str">
        <x:v>Physical state</x:v>
      </x:c>
    </x:row>
    <x:row r="7">
      <x:c r="B7" s="9" t="str">
        <x:v>P01</x:v>
      </x:c>
      <x:c r="C7" s="9" t="str">
        <x:v>Requirement and rights freeze</x:v>
      </x:c>
      <x:c r="D7" s="9" t="n">
        <x:v>0</x:v>
      </x:c>
      <x:c r="E7" s="9" t="n">
        <x:v>3</x:v>
      </x:c>
      <x:c r="F7" s="9" t="n">
        <x:f>E7-D7</x:f>
        <x:v>3</x:v>
      </x:c>
      <x:c r="G7" s="9" t="n">
        <x:v>0</x:v>
      </x:c>
      <x:c r="H7" s="9" t="str">
        <x:v>ten interfaces, nine services and three worlds fixed</x:v>
      </x:c>
      <x:c r="I7" s="9" t="n">
        <x:v>0</x:v>
      </x:c>
      <x:c r="J7" s="9" t="str">
        <x:f>IF(AND(D7&gt;=G7,E7&gt;D7,E7&lt;='Controls'!$D$7),"PASS","FAIL")</x:f>
        <x:v>PASS</x:v>
      </x:c>
      <x:c r="K7" s="9" t="str">
        <x:v>OPEN</x:v>
      </x:c>
    </x:row>
    <x:row r="8">
      <x:c r="B8" s="9" t="str">
        <x:v>P02</x:v>
      </x:c>
      <x:c r="C8" s="9" t="str">
        <x:v>Root build-package release</x:v>
      </x:c>
      <x:c r="D8" s="9" t="n">
        <x:v>2</x:v>
      </x:c>
      <x:c r="E8" s="9" t="n">
        <x:v>9</x:v>
      </x:c>
      <x:c r="F8" s="9" t="n">
        <x:f>E8-D8</x:f>
        <x:v>7</x:v>
      </x:c>
      <x:c r="G8" s="9" t="n">
        <x:v>2</x:v>
      </x:c>
      <x:c r="H8" s="9" t="str">
        <x:v>two independent packages and reproduction rights</x:v>
      </x:c>
      <x:c r="I8" s="9" t="n">
        <x:v>0</x:v>
      </x:c>
      <x:c r="J8" s="9" t="str">
        <x:f>IF(AND(D8&gt;=G8,E8&gt;D8,E8&lt;='Controls'!$D$7),"PASS","FAIL")</x:f>
        <x:v>PASS</x:v>
      </x:c>
      <x:c r="K8" s="9" t="str">
        <x:v>OPEN</x:v>
      </x:c>
    </x:row>
    <x:row r="9">
      <x:c r="B9" s="9" t="str">
        <x:v>P03</x:v>
      </x:c>
      <x:c r="C9" s="9" t="str">
        <x:v>Fixtures, references and spines</x:v>
      </x:c>
      <x:c r="D9" s="9" t="n">
        <x:v>6</x:v>
      </x:c>
      <x:c r="E9" s="9" t="n">
        <x:v>18</x:v>
      </x:c>
      <x:c r="F9" s="9" t="n">
        <x:f>E9-D9</x:f>
        <x:v>12</x:v>
      </x:c>
      <x:c r="G9" s="9" t="n">
        <x:v>6</x:v>
      </x:c>
      <x:c r="H9" s="9" t="str">
        <x:v>public stimuli, truth and receiver systems</x:v>
      </x:c>
      <x:c r="I9" s="9" t="n">
        <x:v>0</x:v>
      </x:c>
      <x:c r="J9" s="9" t="str">
        <x:f>IF(AND(D9&gt;=G9,E9&gt;D9,E9&lt;='Controls'!$D$7),"PASS","FAIL")</x:f>
        <x:v>PASS</x:v>
      </x:c>
      <x:c r="K9" s="9" t="str">
        <x:v>OPEN</x:v>
      </x:c>
    </x:row>
    <x:row r="10">
      <x:c r="B10" s="9" t="str">
        <x:v>P04</x:v>
      </x:c>
      <x:c r="C10" s="9" t="str">
        <x:v>Qualification article production</x:v>
      </x:c>
      <x:c r="D10" s="9" t="n">
        <x:v>9</x:v>
      </x:c>
      <x:c r="E10" s="9" t="n">
        <x:v>24</x:v>
      </x:c>
      <x:c r="F10" s="9" t="n">
        <x:f>E10-D10</x:f>
        <x:v>15</x:v>
      </x:c>
      <x:c r="G10" s="9" t="n">
        <x:v>9</x:v>
      </x:c>
      <x:c r="H10" s="9" t="str">
        <x:v>130 serial units reconciled</x:v>
      </x:c>
      <x:c r="I10" s="9" t="n">
        <x:v>0</x:v>
      </x:c>
      <x:c r="J10" s="9" t="str">
        <x:f>IF(AND(D10&gt;=G10,E10&gt;D10,E10&lt;='Controls'!$D$7),"PASS","FAIL")</x:f>
        <x:v>PASS</x:v>
      </x:c>
      <x:c r="K10" s="9" t="str">
        <x:v>OPEN</x:v>
      </x:c>
    </x:row>
    <x:row r="11">
      <x:c r="B11" s="9" t="str">
        <x:v>P05</x:v>
      </x:c>
      <x:c r="C11" s="9" t="str">
        <x:v>Fresh and challenge interface trials</x:v>
      </x:c>
      <x:c r="D11" s="9" t="n">
        <x:v>18</x:v>
      </x:c>
      <x:c r="E11" s="9" t="n">
        <x:v>30</x:v>
      </x:c>
      <x:c r="F11" s="9" t="n">
        <x:f>E11-D11</x:f>
        <x:v>12</x:v>
      </x:c>
      <x:c r="G11" s="9" t="n">
        <x:v>18</x:v>
      </x:c>
      <x:c r="H11" s="9" t="str">
        <x:v>forty S0 and S1 decisions</x:v>
      </x:c>
      <x:c r="I11" s="9" t="n">
        <x:v>0</x:v>
      </x:c>
      <x:c r="J11" s="9" t="str">
        <x:f>IF(AND(D11&gt;=G11,E11&gt;D11,E11&lt;='Controls'!$D$7),"PASS","FAIL")</x:f>
        <x:v>PASS</x:v>
      </x:c>
      <x:c r="K11" s="9" t="str">
        <x:v>OPEN</x:v>
      </x:c>
    </x:row>
    <x:row r="12">
      <x:c r="B12" s="9" t="str">
        <x:v>P06</x:v>
      </x:c>
      <x:c r="C12" s="9" t="str">
        <x:v>Service-cell reproduction</x:v>
      </x:c>
      <x:c r="D12" s="9" t="n">
        <x:v>22</x:v>
      </x:c>
      <x:c r="E12" s="9" t="n">
        <x:v>34</x:v>
      </x:c>
      <x:c r="F12" s="9" t="n">
        <x:f>E12-D12</x:f>
        <x:v>12</x:v>
      </x:c>
      <x:c r="G12" s="9" t="n">
        <x:v>22</x:v>
      </x:c>
      <x:c r="H12" s="9" t="str">
        <x:v>eighteen paired decisions</x:v>
      </x:c>
      <x:c r="I12" s="9" t="n">
        <x:v>0</x:v>
      </x:c>
      <x:c r="J12" s="9" t="str">
        <x:f>IF(AND(D12&gt;=G12,E12&gt;D12,E12&lt;='Controls'!$D$7),"PASS","FAIL")</x:f>
        <x:v>PASS</x:v>
      </x:c>
      <x:c r="K12" s="9" t="str">
        <x:v>OPEN</x:v>
      </x:c>
    </x:row>
    <x:row r="13">
      <x:c r="B13" s="9" t="str">
        <x:v>P07</x:v>
      </x:c>
      <x:c r="C13" s="9" t="str">
        <x:v>Cold, transport and reset cohort</x:v>
      </x:c>
      <x:c r="D13" s="9" t="n">
        <x:v>24</x:v>
      </x:c>
      <x:c r="E13" s="9" t="n">
        <x:v>36</x:v>
      </x:c>
      <x:c r="F13" s="9" t="n">
        <x:f>E13-D13</x:f>
        <x:v>12</x:v>
      </x:c>
      <x:c r="G13" s="9" t="n">
        <x:v>24</x:v>
      </x:c>
      <x:c r="H13" s="9" t="str">
        <x:v>twenty S2 decisions and resets</x:v>
      </x:c>
      <x:c r="I13" s="9" t="n">
        <x:v>0</x:v>
      </x:c>
      <x:c r="J13" s="9" t="str">
        <x:f>IF(AND(D13&gt;=G13,E13&gt;D13,E13&lt;='Controls'!$D$7),"PASS","FAIL")</x:f>
        <x:v>PASS</x:v>
      </x:c>
      <x:c r="K13" s="9" t="str">
        <x:v>OPEN</x:v>
      </x:c>
    </x:row>
    <x:row r="14">
      <x:c r="B14" s="9" t="str">
        <x:v>P08</x:v>
      </x:c>
      <x:c r="C14" s="9" t="str">
        <x:v>Utility-island and receiver trials</x:v>
      </x:c>
      <x:c r="D14" s="9" t="n">
        <x:v>28</x:v>
      </x:c>
      <x:c r="E14" s="9" t="n">
        <x:v>40</x:v>
      </x:c>
      <x:c r="F14" s="9" t="n">
        <x:f>E14-D14</x:f>
        <x:v>12</x:v>
      </x:c>
      <x:c r="G14" s="9" t="n">
        <x:v>28</x:v>
      </x:c>
      <x:c r="H14" s="9" t="str">
        <x:v>ten integrated and receiver decisions</x:v>
      </x:c>
      <x:c r="I14" s="9" t="n">
        <x:v>0</x:v>
      </x:c>
      <x:c r="J14" s="9" t="str">
        <x:f>IF(AND(D14&gt;=G14,E14&gt;D14,E14&lt;='Controls'!$D$7),"PASS","FAIL")</x:f>
        <x:v>PASS</x:v>
      </x:c>
      <x:c r="K14" s="9" t="str">
        <x:v>OPEN</x:v>
      </x:c>
    </x:row>
    <x:row r="15">
      <x:c r="B15" s="9" t="str">
        <x:v>P09</x:v>
      </x:c>
      <x:c r="C15" s="9" t="str">
        <x:v>Integrated campus slices</x:v>
      </x:c>
      <x:c r="D15" s="9" t="n">
        <x:v>34</x:v>
      </x:c>
      <x:c r="E15" s="9" t="n">
        <x:v>44</x:v>
      </x:c>
      <x:c r="F15" s="9" t="n">
        <x:f>E15-D15</x:f>
        <x:v>10</x:v>
      </x:c>
      <x:c r="G15" s="9" t="n">
        <x:v>34</x:v>
      </x:c>
      <x:c r="H15" s="9" t="str">
        <x:v>four coupled-service admissions</x:v>
      </x:c>
      <x:c r="I15" s="9" t="n">
        <x:v>0</x:v>
      </x:c>
      <x:c r="J15" s="9" t="str">
        <x:f>IF(AND(D15&gt;=G15,E15&gt;D15,E15&lt;='Controls'!$D$7),"PASS","FAIL")</x:f>
        <x:v>PASS</x:v>
      </x:c>
      <x:c r="K15" s="9" t="str">
        <x:v>OPEN</x:v>
      </x:c>
    </x:row>
    <x:row r="16">
      <x:c r="B16" s="10" t="str">
        <x:v>P10</x:v>
      </x:c>
      <x:c r="C16" s="10" t="str">
        <x:v>Adapters, replay and start board</x:v>
      </x:c>
      <x:c r="D16" s="10" t="n">
        <x:v>42</x:v>
      </x:c>
      <x:c r="E16" s="10" t="n">
        <x:v>48</x:v>
      </x:c>
      <x:c r="F16" s="10" t="n">
        <x:f>E16-D16</x:f>
        <x:v>6</x:v>
      </x:c>
      <x:c r="G16" s="10" t="n">
        <x:v>42</x:v>
      </x:c>
      <x:c r="H16" s="10" t="str">
        <x:v>adapter decisions and CRC-E01 disposition</x:v>
      </x:c>
      <x:c r="I16" s="10" t="n">
        <x:v>0</x:v>
      </x:c>
      <x:c r="J16" s="10" t="str">
        <x:f>IF(AND(D16&gt;=G16,E16&gt;D16,E16&lt;='Controls'!$D$7),"PASS","FAIL")</x:f>
        <x:v>PASS</x:v>
      </x:c>
      <x:c r="K16" s="10" t="str">
        <x:v>OPEN</x:v>
      </x:c>
    </x:row>
  </x:sheetData>
  <x:mergeCells>
    <x:mergeCell ref="B2:K2"/>
    <x:mergeCell ref="B3:K3"/>
  </x:mergeCells>
  <x:conditionalFormatting sqref="J7:K16">
    <x:cfRule type="containsText" dxfId="169" priority="1" operator="containsText" text="PASS"/>
    <x:cfRule type="containsText" dxfId="170" priority="2" operator="containsText" text="AUTHORIZED"/>
    <x:cfRule type="containsText" dxfId="171" priority="3" operator="containsText" text="DEFINED"/>
    <x:cfRule type="containsText" dxfId="172" priority="4" operator="containsText" text="READY"/>
    <x:cfRule type="containsText" dxfId="173" priority="5" operator="containsText" text="HOLD"/>
    <x:cfRule type="containsText" dxfId="174" priority="6" operator="containsText" text="OPEN"/>
    <x:cfRule type="containsText" dxfId="175" priority="7" operator="containsText" text="BLOCKED"/>
    <x:cfRule type="containsText" dxfId="176" priority="8" operator="containsText" text="PLANNING"/>
    <x:cfRule type="containsText" dxfId="177" priority="9" operator="containsText" text="FAIL"/>
    <x:cfRule type="containsText" dxfId="178" priority="10" operator="containsText" text="REJECT"/>
    <x:cfRule type="containsText" dxfId="179" priority="11" operator="containsText" text="LATE"/>
    <x:cfRule type="containsText" dxfId="180" priority="12" operator="containsText" text="INCOMPLETE"/>
    <x:cfRule type="containsText" dxfId="181" priority="13" operator="containsText" text="INDETERMINATE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52" hidden="0" customWidth="1"/>
    <x:col min="3" max="3" width="21" hidden="0" customWidth="1"/>
    <x:col min="4" max="4" width="18" hidden="0" customWidth="1"/>
    <x:col min="5" max="5" width="18" hidden="0" customWidth="1"/>
    <x:col min="6" max="6" width="16" hidden="0" customWidth="1"/>
    <x:col min="7" max="7" width="18" hidden="0" customWidth="1"/>
  </x:cols>
  <x:sheetData>
    <x:row r="2">
      <x:c r="B2" s="31" t="str">
        <x:v>MQP-1 capital cross-classification</x:v>
      </x:c>
      <x:c r="C2" s="8"/>
      <x:c r="D2" s="8"/>
      <x:c r="E2" s="8"/>
      <x:c r="F2" s="8"/>
      <x:c r="G2" s="8"/>
      <x:c r="H2" s="8"/>
    </x:row>
    <x:row r="3">
      <x:c r="B3" s="2" t="str">
        <x:v>The qualification draw is inside the Pass 108 standing program and uses no protected shipset capital.</x:v>
      </x:c>
      <x:c r="C3" s="8"/>
      <x:c r="D3" s="8"/>
      <x:c r="E3" s="8"/>
      <x:c r="F3" s="8"/>
      <x:c r="G3" s="8"/>
      <x:c r="H3" s="8"/>
    </x:row>
    <x:row r="4">
      <x:c r="B4" s="32"/>
      <x:c r="C4" s="32"/>
      <x:c r="D4" s="32"/>
      <x:c r="E4" s="32"/>
      <x:c r="F4" s="32"/>
      <x:c r="G4" s="32"/>
      <x:c r="H4" s="32"/>
    </x:row>
    <x:row r="5">
      <x:c r="B5" s="8"/>
      <x:c r="C5" s="8"/>
      <x:c r="D5" s="8"/>
      <x:c r="E5" s="8"/>
      <x:c r="F5" s="8"/>
      <x:c r="G5" s="8"/>
      <x:c r="H5" s="8"/>
    </x:row>
    <x:row r="6">
      <x:c r="B6" s="7" t="str">
        <x:v>Capital line</x:v>
      </x:c>
      <x:c r="C6" s="7" t="str">
        <x:v>Standing allocation</x:v>
      </x:c>
      <x:c r="D6" s="7" t="str">
        <x:v>MQP-1 draw</x:v>
      </x:c>
      <x:c r="E6" s="7" t="str">
        <x:v>Uncommitted</x:v>
      </x:c>
      <x:c r="F6" s="7" t="str">
        <x:v>Draw share</x:v>
      </x:c>
      <x:c r="G6" s="7" t="str">
        <x:v>Reconciliation</x:v>
      </x:c>
      <x:c r="H6" s="8"/>
    </x:row>
    <x:row r="7">
      <x:c r="B7" s="9" t="str">
        <x:v>Six protected operational shipsets</x:v>
      </x:c>
      <x:c r="C7" s="25" t="n">
        <x:v>8.04</x:v>
      </x:c>
      <x:c r="D7" s="25" t="n">
        <x:v>0</x:v>
      </x:c>
      <x:c r="E7" s="25" t="n">
        <x:f>C7-D7</x:f>
        <x:v>8.04</x:v>
      </x:c>
      <x:c r="F7" s="26" t="n">
        <x:f>IF(C7=0,"n.a.",D7/C7)</x:f>
        <x:v>0</x:v>
      </x:c>
      <x:c r="G7" s="9" t="str">
        <x:f>IF(AND(D7&gt;=0,E7&gt;=0),"PASS","FAIL")</x:f>
        <x:v>PASS</x:v>
      </x:c>
      <x:c r="H7" s="8"/>
    </x:row>
    <x:row r="8">
      <x:c r="B8" s="9" t="str">
        <x:v>Roots, tooling, qualification and rights</x:v>
      </x:c>
      <x:c r="C8" s="25" t="n">
        <x:v>0.9</x:v>
      </x:c>
      <x:c r="D8" s="25" t="n">
        <x:v>0.78</x:v>
      </x:c>
      <x:c r="E8" s="25" t="n">
        <x:f>C8-D8</x:f>
        <x:v>0.12</x:v>
      </x:c>
      <x:c r="F8" s="26" t="n">
        <x:f>IF(C8=0,"n.a.",D8/C8)</x:f>
        <x:v>0.8666666666666667</x:v>
      </x:c>
      <x:c r="G8" s="9" t="str">
        <x:f>IF(AND(D8&gt;=0,E8&gt;=0),"PASS","FAIL")</x:f>
        <x:v>PASS</x:v>
      </x:c>
      <x:c r="H8" s="8"/>
    </x:row>
    <x:row r="9">
      <x:c r="B9" s="9" t="str">
        <x:v>Six receiver options</x:v>
      </x:c>
      <x:c r="C9" s="25" t="n">
        <x:v>0.48</x:v>
      </x:c>
      <x:c r="D9" s="25" t="n">
        <x:v>0.18</x:v>
      </x:c>
      <x:c r="E9" s="25" t="n">
        <x:f>C9-D9</x:f>
        <x:v>0.3</x:v>
      </x:c>
      <x:c r="F9" s="26" t="n">
        <x:f>IF(C9=0,"n.a.",D9/C9)</x:f>
        <x:v>0.375</x:v>
      </x:c>
      <x:c r="G9" s="9" t="str">
        <x:f>IF(AND(D9&gt;=0,E9&gt;=0),"PASS","FAIL")</x:f>
        <x:v>PASS</x:v>
      </x:c>
      <x:c r="H9" s="8"/>
    </x:row>
    <x:row r="10">
      <x:c r="B10" s="9" t="str">
        <x:v>Six arsenals</x:v>
      </x:c>
      <x:c r="C10" s="25" t="n">
        <x:v>0.72</x:v>
      </x:c>
      <x:c r="D10" s="25" t="n">
        <x:v>0.15</x:v>
      </x:c>
      <x:c r="E10" s="25" t="n">
        <x:f>C10-D10</x:f>
        <x:v>0.57</x:v>
      </x:c>
      <x:c r="F10" s="26" t="n">
        <x:f>IF(C10=0,"n.a.",D10/C10)</x:f>
        <x:v>0.20833333333333334</x:v>
      </x:c>
      <x:c r="G10" s="9" t="str">
        <x:f>IF(AND(D10&gt;=0,E10&gt;=0),"PASS","FAIL")</x:f>
        <x:v>PASS</x:v>
      </x:c>
      <x:c r="H10" s="8"/>
    </x:row>
    <x:row r="11">
      <x:c r="B11" s="9" t="str">
        <x:v>Mobile assembly and transport formations</x:v>
      </x:c>
      <x:c r="C11" s="25" t="n">
        <x:v>1.1</x:v>
      </x:c>
      <x:c r="D11" s="25" t="n">
        <x:v>0.26</x:v>
      </x:c>
      <x:c r="E11" s="25" t="n">
        <x:f>C11-D11</x:f>
        <x:v>0.8400000000000001</x:v>
      </x:c>
      <x:c r="F11" s="26" t="n">
        <x:f>IF(C11=0,"n.a.",D11/C11)</x:f>
        <x:v>0.23636363636363636</x:v>
      </x:c>
      <x:c r="G11" s="9" t="str">
        <x:f>IF(AND(D11&gt;=0,E11&gt;=0),"PASS","FAIL")</x:f>
        <x:v>PASS</x:v>
      </x:c>
      <x:c r="H11" s="8"/>
    </x:row>
    <x:row r="12">
      <x:c r="B12" s="9" t="str">
        <x:v>Commissioning and reference estate</x:v>
      </x:c>
      <x:c r="C12" s="25" t="n">
        <x:v>0.55</x:v>
      </x:c>
      <x:c r="D12" s="25" t="n">
        <x:v>0.41</x:v>
      </x:c>
      <x:c r="E12" s="25" t="n">
        <x:f>C12-D12</x:f>
        <x:v>0.14000000000000007</x:v>
      </x:c>
      <x:c r="F12" s="26" t="n">
        <x:f>IF(C12=0,"n.a.",D12/C12)</x:f>
        <x:v>0.7454545454545454</x:v>
      </x:c>
      <x:c r="G12" s="9" t="str">
        <x:f>IF(AND(D12&gt;=0,E12&gt;=0),"PASS","FAIL")</x:f>
        <x:v>PASS</x:v>
      </x:c>
      <x:c r="H12" s="8"/>
    </x:row>
    <x:row r="13">
      <x:c r="B13" s="9" t="str">
        <x:v>Full-scale exercise range</x:v>
      </x:c>
      <x:c r="C13" s="25" t="n">
        <x:v>0.45</x:v>
      </x:c>
      <x:c r="D13" s="25" t="n">
        <x:v>0.45</x:v>
      </x:c>
      <x:c r="E13" s="25" t="n">
        <x:f>C13-D13</x:f>
        <x:v>0</x:v>
      </x:c>
      <x:c r="F13" s="26" t="n">
        <x:f>IF(C13=0,"n.a.",D13/C13)</x:f>
        <x:v>1</x:v>
      </x:c>
      <x:c r="G13" s="9" t="str">
        <x:f>IF(AND(D13&gt;=0,E13&gt;=0),"PASS","FAIL")</x:f>
        <x:v>PASS</x:v>
      </x:c>
      <x:c r="H13" s="8"/>
    </x:row>
    <x:row r="14">
      <x:c r="B14" s="9" t="str">
        <x:v>Environmental and waste reserve</x:v>
      </x:c>
      <x:c r="C14" s="25" t="n">
        <x:v>0.3</x:v>
      </x:c>
      <x:c r="D14" s="25" t="n">
        <x:v>0.24</x:v>
      </x:c>
      <x:c r="E14" s="25" t="n">
        <x:f>C14-D14</x:f>
        <x:v>0.06</x:v>
      </x:c>
      <x:c r="F14" s="26" t="n">
        <x:f>IF(C14=0,"n.a.",D14/C14)</x:f>
        <x:v>0.8</x:v>
      </x:c>
      <x:c r="G14" s="9" t="str">
        <x:f>IF(AND(D14&gt;=0,E14&gt;=0),"PASS","FAIL")</x:f>
        <x:v>PASS</x:v>
      </x:c>
      <x:c r="H14" s="8"/>
    </x:row>
    <x:row r="15">
      <x:c r="B15" s="9" t="str">
        <x:v>Offline data and configuration estate</x:v>
      </x:c>
      <x:c r="C15" s="25" t="n">
        <x:v>0.26</x:v>
      </x:c>
      <x:c r="D15" s="25" t="n">
        <x:v>0.21</x:v>
      </x:c>
      <x:c r="E15" s="25" t="n">
        <x:f>C15-D15</x:f>
        <x:v>0.05000000000000002</x:v>
      </x:c>
      <x:c r="F15" s="26" t="n">
        <x:f>IF(C15=0,"n.a.",D15/C15)</x:f>
        <x:v>0.8076923076923076</x:v>
      </x:c>
      <x:c r="G15" s="9" t="str">
        <x:f>IF(AND(D15&gt;=0,E15&gt;=0),"PASS","FAIL")</x:f>
        <x:v>PASS</x:v>
      </x:c>
      <x:c r="H15" s="8"/>
    </x:row>
    <x:row r="16">
      <x:c r="B16" s="9" t="str">
        <x:v>Capital contingency</x:v>
      </x:c>
      <x:c r="C16" s="25" t="n">
        <x:v>1.1</x:v>
      </x:c>
      <x:c r="D16" s="25" t="n">
        <x:v>0.32</x:v>
      </x:c>
      <x:c r="E16" s="25" t="n">
        <x:f>C16-D16</x:f>
        <x:v>0.78</x:v>
      </x:c>
      <x:c r="F16" s="26" t="n">
        <x:f>IF(C16=0,"n.a.",D16/C16)</x:f>
        <x:v>0.2909090909090909</x:v>
      </x:c>
      <x:c r="G16" s="9" t="str">
        <x:f>IF(AND(D16&gt;=0,E16&gt;=0),"PASS","FAIL")</x:f>
        <x:v>PASS</x:v>
      </x:c>
      <x:c r="H16" s="8"/>
    </x:row>
    <x:row r="17">
      <x:c r="B17" s="10" t="str">
        <x:v>Total</x:v>
      </x:c>
      <x:c r="C17" s="27" t="n">
        <x:f>SUM(C7:C16)</x:f>
        <x:v>13.9</x:v>
      </x:c>
      <x:c r="D17" s="27" t="n">
        <x:f>SUM(D7:D16)</x:f>
        <x:v>2.9999999999999996</x:v>
      </x:c>
      <x:c r="E17" s="27" t="n">
        <x:f>SUM(E7:E16)</x:f>
        <x:v>10.9</x:v>
      </x:c>
      <x:c r="F17" s="28" t="n">
        <x:f>D17/C17</x:f>
        <x:v>0.21582733812949637</x:v>
      </x:c>
      <x:c r="G17" s="10" t="str">
        <x:f>IF(AND(ABS(C17-'Controls'!$D$33)&lt;0.000001,ABS(D17-'Controls'!$D$32)&lt;0.000001,ABS(E17-'Controls'!$D$34)&lt;0.000001),"PASS","FAIL")</x:f>
        <x:v>PASS</x:v>
      </x:c>
      <x:c r="H17" s="8"/>
    </x:row>
  </x:sheetData>
  <x:mergeCells>
    <x:mergeCell ref="B2:H2"/>
    <x:mergeCell ref="B3:H3"/>
  </x:mergeCells>
  <x:conditionalFormatting sqref="G7:G17">
    <x:cfRule type="containsText" dxfId="182" priority="1" operator="containsText" text="PASS"/>
    <x:cfRule type="containsText" dxfId="183" priority="2" operator="containsText" text="AUTHORIZED"/>
    <x:cfRule type="containsText" dxfId="184" priority="3" operator="containsText" text="DEFINED"/>
    <x:cfRule type="containsText" dxfId="185" priority="4" operator="containsText" text="READY"/>
    <x:cfRule type="containsText" dxfId="186" priority="5" operator="containsText" text="HOLD"/>
    <x:cfRule type="containsText" dxfId="187" priority="6" operator="containsText" text="OPEN"/>
    <x:cfRule type="containsText" dxfId="188" priority="7" operator="containsText" text="BLOCKED"/>
    <x:cfRule type="containsText" dxfId="189" priority="8" operator="containsText" text="PLANNING"/>
    <x:cfRule type="containsText" dxfId="190" priority="9" operator="containsText" text="FAIL"/>
    <x:cfRule type="containsText" dxfId="191" priority="10" operator="containsText" text="REJECT"/>
    <x:cfRule type="containsText" dxfId="192" priority="11" operator="containsText" text="LATE"/>
    <x:cfRule type="containsText" dxfId="193" priority="12" operator="containsText" text="INCOMPLETE"/>
    <x:cfRule type="containsText" dxfId="194" priority="13" operator="containsText" text="INDETERMINATE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50" hidden="0" customWidth="1"/>
    <x:col min="3" max="3" width="19" hidden="0" customWidth="1"/>
    <x:col min="4" max="4" width="21" hidden="0" customWidth="1"/>
    <x:col min="5" max="5" width="18" hidden="0" customWidth="1"/>
    <x:col min="6" max="6" width="16" hidden="0" customWidth="1"/>
    <x:col min="7" max="7" width="18" hidden="0" customWidth="1"/>
    <x:col min="8" max="8" width="18" hidden="0" customWidth="1"/>
  </x:cols>
  <x:sheetData>
    <x:row r="2">
      <x:c r="B2" s="31" t="str">
        <x:v>MQP-1 annual operating cross-classification</x:v>
      </x:c>
      <x:c r="C2" s="8"/>
      <x:c r="D2" s="8"/>
      <x:c r="E2" s="8"/>
      <x:c r="F2" s="8"/>
      <x:c r="G2" s="8"/>
      <x:c r="H2" s="8"/>
    </x:row>
    <x:row r="3">
      <x:c r="B3" s="2" t="str">
        <x:v>The four-year qualification draw remains inside the standing annual support program.</x:v>
      </x:c>
      <x:c r="C3" s="8"/>
      <x:c r="D3" s="8"/>
      <x:c r="E3" s="8"/>
      <x:c r="F3" s="8"/>
      <x:c r="G3" s="8"/>
      <x:c r="H3" s="8"/>
    </x:row>
    <x:row r="4">
      <x:c r="B4" s="32"/>
      <x:c r="C4" s="32"/>
      <x:c r="D4" s="32"/>
      <x:c r="E4" s="32"/>
      <x:c r="F4" s="32"/>
      <x:c r="G4" s="32"/>
      <x:c r="H4" s="32"/>
    </x:row>
    <x:row r="5">
      <x:c r="B5" s="8"/>
      <x:c r="C5" s="8"/>
      <x:c r="D5" s="8"/>
      <x:c r="E5" s="8"/>
      <x:c r="F5" s="8"/>
      <x:c r="G5" s="8"/>
      <x:c r="H5" s="8"/>
    </x:row>
    <x:row r="6">
      <x:c r="B6" s="7" t="str">
        <x:v>Support line</x:v>
      </x:c>
      <x:c r="C6" s="7" t="str">
        <x:v>Annual support</x:v>
      </x:c>
      <x:c r="D6" s="7" t="str">
        <x:v>MQP-1 annual draw</x:v>
      </x:c>
      <x:c r="E6" s="7" t="str">
        <x:v>Outside MQP-1</x:v>
      </x:c>
      <x:c r="F6" s="7" t="str">
        <x:v>Draw share</x:v>
      </x:c>
      <x:c r="G6" s="7" t="str">
        <x:v>Reconciliation</x:v>
      </x:c>
      <x:c r="H6" s="8"/>
    </x:row>
    <x:row r="7">
      <x:c r="B7" s="9" t="str">
        <x:v>Public regeneration and commissioning people</x:v>
      </x:c>
      <x:c r="C7" s="25" t="n">
        <x:v>0.216</x:v>
      </x:c>
      <x:c r="D7" s="25" t="n">
        <x:v>0.18</x:v>
      </x:c>
      <x:c r="E7" s="25" t="n">
        <x:f>C7-D7</x:f>
        <x:v>0.036000000000000004</x:v>
      </x:c>
      <x:c r="F7" s="26" t="n">
        <x:f>D7/C7</x:f>
        <x:v>0.8333333333333333</x:v>
      </x:c>
      <x:c r="G7" s="9" t="str">
        <x:f>IF(AND(D7&gt;=0,E7&gt;=0),"PASS","FAIL")</x:f>
        <x:v>PASS</x:v>
      </x:c>
      <x:c r="H7" s="8"/>
    </x:row>
    <x:row r="8">
      <x:c r="B8" s="9" t="str">
        <x:v>Retained industrial affiliates</x:v>
      </x:c>
      <x:c r="C8" s="25" t="n">
        <x:v>0.224</x:v>
      </x:c>
      <x:c r="D8" s="25" t="n">
        <x:v>0.16</x:v>
      </x:c>
      <x:c r="E8" s="25" t="n">
        <x:f>C8-D8</x:f>
        <x:v>0.064</x:v>
      </x:c>
      <x:c r="F8" s="26" t="n">
        <x:f>D8/C8</x:f>
        <x:v>0.7142857142857143</x:v>
      </x:c>
      <x:c r="G8" s="9" t="str">
        <x:f>IF(AND(D8&gt;=0,E8&gt;=0),"PASS","FAIL")</x:f>
        <x:v>PASS</x:v>
      </x:c>
      <x:c r="H8" s="8"/>
    </x:row>
    <x:row r="9">
      <x:c r="B9" s="9" t="str">
        <x:v>Shipset preservation and recertification</x:v>
      </x:c>
      <x:c r="C9" s="25" t="n">
        <x:v>0.195</x:v>
      </x:c>
      <x:c r="D9" s="25" t="n">
        <x:v>0.05</x:v>
      </x:c>
      <x:c r="E9" s="25" t="n">
        <x:f>C9-D9</x:f>
        <x:v>0.14500000000000002</x:v>
      </x:c>
      <x:c r="F9" s="26" t="n">
        <x:f>D9/C9</x:f>
        <x:v>0.25641025641025644</x:v>
      </x:c>
      <x:c r="G9" s="9" t="str">
        <x:f>IF(AND(D9&gt;=0,E9&gt;=0),"PASS","FAIL")</x:f>
        <x:v>PASS</x:v>
      </x:c>
      <x:c r="H9" s="8"/>
    </x:row>
    <x:row r="10">
      <x:c r="B10" s="9" t="str">
        <x:v>Receiver options</x:v>
      </x:c>
      <x:c r="C10" s="25" t="n">
        <x:v>0.036</x:v>
      </x:c>
      <x:c r="D10" s="25" t="n">
        <x:v>0.03</x:v>
      </x:c>
      <x:c r="E10" s="25" t="n">
        <x:f>C10-D10</x:f>
        <x:v>0.005999999999999998</x:v>
      </x:c>
      <x:c r="F10" s="26" t="n">
        <x:f>D10/C10</x:f>
        <x:v>0.8333333333333334</x:v>
      </x:c>
      <x:c r="G10" s="9" t="str">
        <x:f>IF(AND(D10&gt;=0,E10&gt;=0),"PASS","FAIL")</x:f>
        <x:v>PASS</x:v>
      </x:c>
      <x:c r="H10" s="8"/>
    </x:row>
    <x:row r="11">
      <x:c r="B11" s="9" t="str">
        <x:v>Arsenal operations</x:v>
      </x:c>
      <x:c r="C11" s="25" t="n">
        <x:v>0.036</x:v>
      </x:c>
      <x:c r="D11" s="25" t="n">
        <x:v>0.024</x:v>
      </x:c>
      <x:c r="E11" s="25" t="n">
        <x:f>C11-D11</x:f>
        <x:v>0.011999999999999997</x:v>
      </x:c>
      <x:c r="F11" s="26" t="n">
        <x:f>D11/C11</x:f>
        <x:v>0.6666666666666667</x:v>
      </x:c>
      <x:c r="G11" s="9" t="str">
        <x:f>IF(AND(D11&gt;=0,E11&gt;=0),"PASS","FAIL")</x:f>
        <x:v>PASS</x:v>
      </x:c>
      <x:c r="H11" s="8"/>
    </x:row>
    <x:row r="12">
      <x:c r="B12" s="9" t="str">
        <x:v>Root tooling and line qualification</x:v>
      </x:c>
      <x:c r="C12" s="25" t="n">
        <x:v>0.06</x:v>
      </x:c>
      <x:c r="D12" s="25" t="n">
        <x:v>0.05</x:v>
      </x:c>
      <x:c r="E12" s="25" t="n">
        <x:f>C12-D12</x:f>
        <x:v>0.009999999999999995</x:v>
      </x:c>
      <x:c r="F12" s="26" t="n">
        <x:f>D12/C12</x:f>
        <x:v>0.8333333333333334</x:v>
      </x:c>
      <x:c r="G12" s="9" t="str">
        <x:f>IF(AND(D12&gt;=0,E12&gt;=0),"PASS","FAIL")</x:f>
        <x:v>PASS</x:v>
      </x:c>
      <x:c r="H12" s="8"/>
    </x:row>
    <x:row r="13">
      <x:c r="B13" s="9" t="str">
        <x:v>Annual partial-chain exercises</x:v>
      </x:c>
      <x:c r="C13" s="25" t="n">
        <x:v>0.072</x:v>
      </x:c>
      <x:c r="D13" s="25" t="n">
        <x:v>0.06</x:v>
      </x:c>
      <x:c r="E13" s="25" t="n">
        <x:f>C13-D13</x:f>
        <x:v>0.011999999999999997</x:v>
      </x:c>
      <x:c r="F13" s="26" t="n">
        <x:f>D13/C13</x:f>
        <x:v>0.8333333333333334</x:v>
      </x:c>
      <x:c r="G13" s="9" t="str">
        <x:f>IF(AND(D13&gt;=0,E13&gt;=0),"PASS","FAIL")</x:f>
        <x:v>PASS</x:v>
      </x:c>
      <x:c r="H13" s="8"/>
    </x:row>
    <x:row r="14">
      <x:c r="B14" s="9" t="str">
        <x:v>Cold-reconstruction exercise provision</x:v>
      </x:c>
      <x:c r="C14" s="25" t="n">
        <x:v>0.12</x:v>
      </x:c>
      <x:c r="D14" s="25" t="n">
        <x:v>0.06</x:v>
      </x:c>
      <x:c r="E14" s="25" t="n">
        <x:f>C14-D14</x:f>
        <x:v>0.06</x:v>
      </x:c>
      <x:c r="F14" s="26" t="n">
        <x:f>D14/C14</x:f>
        <x:v>0.5</x:v>
      </x:c>
      <x:c r="G14" s="9" t="str">
        <x:f>IF(AND(D14&gt;=0,E14&gt;=0),"PASS","FAIL")</x:f>
        <x:v>PASS</x:v>
      </x:c>
      <x:c r="H14" s="8"/>
    </x:row>
    <x:row r="15">
      <x:c r="B15" s="9" t="str">
        <x:v>Transport and alternate-route rehearsal</x:v>
      </x:c>
      <x:c r="C15" s="25" t="n">
        <x:v>0.045</x:v>
      </x:c>
      <x:c r="D15" s="25" t="n">
        <x:v>0.035</x:v>
      </x:c>
      <x:c r="E15" s="25" t="n">
        <x:f>C15-D15</x:f>
        <x:v>0.009999999999999995</x:v>
      </x:c>
      <x:c r="F15" s="26" t="n">
        <x:f>D15/C15</x:f>
        <x:v>0.7777777777777779</x:v>
      </x:c>
      <x:c r="G15" s="9" t="str">
        <x:f>IF(AND(D15&gt;=0,E15&gt;=0),"PASS","FAIL")</x:f>
        <x:v>PASS</x:v>
      </x:c>
      <x:c r="H15" s="8"/>
    </x:row>
    <x:row r="16">
      <x:c r="B16" s="9" t="str">
        <x:v>Evidence, data and key renewal</x:v>
      </x:c>
      <x:c r="C16" s="25" t="n">
        <x:v>0.022</x:v>
      </x:c>
      <x:c r="D16" s="25" t="n">
        <x:v>0.02</x:v>
      </x:c>
      <x:c r="E16" s="25" t="n">
        <x:f>C16-D16</x:f>
        <x:v>0.0019999999999999983</x:v>
      </x:c>
      <x:c r="F16" s="26" t="n">
        <x:f>D16/C16</x:f>
        <x:v>0.9090909090909092</x:v>
      </x:c>
      <x:c r="G16" s="9" t="str">
        <x:f>IF(AND(D16&gt;=0,E16&gt;=0),"PASS","FAIL")</x:f>
        <x:v>PASS</x:v>
      </x:c>
      <x:c r="H16" s="8"/>
    </x:row>
    <x:row r="17">
      <x:c r="B17" s="9" t="str">
        <x:v>Environmental and community compacts</x:v>
      </x:c>
      <x:c r="C17" s="25" t="n">
        <x:v>0.02</x:v>
      </x:c>
      <x:c r="D17" s="25" t="n">
        <x:v>0.018</x:v>
      </x:c>
      <x:c r="E17" s="25" t="n">
        <x:f>C17-D17</x:f>
        <x:v>0.0020000000000000018</x:v>
      </x:c>
      <x:c r="F17" s="26" t="n">
        <x:f>D17/C17</x:f>
        <x:v>0.8999999999999999</x:v>
      </x:c>
      <x:c r="G17" s="9" t="str">
        <x:f>IF(AND(D17&gt;=0,E17&gt;=0),"PASS","FAIL")</x:f>
        <x:v>PASS</x:v>
      </x:c>
      <x:c r="H17" s="8"/>
    </x:row>
    <x:row r="18">
      <x:c r="B18" s="9" t="str">
        <x:v>Real-activation surge reserve</x:v>
      </x:c>
      <x:c r="C18" s="25" t="n">
        <x:v>0.04</x:v>
      </x:c>
      <x:c r="D18" s="25" t="n">
        <x:v>0.033</x:v>
      </x:c>
      <x:c r="E18" s="25" t="n">
        <x:f>C18-D18</x:f>
        <x:v>0.006999999999999999</x:v>
      </x:c>
      <x:c r="F18" s="26" t="n">
        <x:f>D18/C18</x:f>
        <x:v>0.8250000000000001</x:v>
      </x:c>
      <x:c r="G18" s="9" t="str">
        <x:f>IF(AND(D18&gt;=0,E18&gt;=0),"PASS","FAIL")</x:f>
        <x:v>PASS</x:v>
      </x:c>
      <x:c r="H18" s="8"/>
    </x:row>
    <x:row r="19">
      <x:c r="B19" s="10" t="str">
        <x:v>Annual total</x:v>
      </x:c>
      <x:c r="C19" s="27" t="n">
        <x:f>SUM(C7:C18)</x:f>
        <x:v>1.086</x:v>
      </x:c>
      <x:c r="D19" s="27" t="n">
        <x:f>SUM(D7:D18)</x:f>
        <x:v>0.72</x:v>
      </x:c>
      <x:c r="E19" s="27" t="n">
        <x:f>SUM(E7:E18)</x:f>
        <x:v>0.36600000000000005</x:v>
      </x:c>
      <x:c r="F19" s="28" t="n">
        <x:f>D19/C19</x:f>
        <x:v>0.6629834254143646</x:v>
      </x:c>
      <x:c r="G19" s="10" t="str">
        <x:f>IF(AND(ABS(C19-'Controls'!$D$36)&lt;0.000001,ABS(D19-'Controls'!$D$35)&lt;0.000001,ABS(E19-'Controls'!$D$37)&lt;0.000001),"PASS","FAIL")</x:f>
        <x:v>PASS</x:v>
      </x:c>
      <x:c r="H19" s="8"/>
    </x:row>
    <x:row r="20">
      <x:c r="B20" s="8"/>
      <x:c r="C20" s="8"/>
      <x:c r="D20" s="8"/>
      <x:c r="E20" s="8"/>
      <x:c r="F20" s="8"/>
      <x:c r="G20" s="8"/>
      <x:c r="H20" s="8"/>
    </x:row>
    <x:row r="21">
      <x:c r="B21" s="8"/>
      <x:c r="C21" s="8"/>
      <x:c r="D21" s="8"/>
      <x:c r="E21" s="8"/>
      <x:c r="F21" s="8"/>
      <x:c r="G21" s="8"/>
      <x:c r="H21" s="8"/>
    </x:row>
    <x:row r="22">
      <x:c r="B22" s="8"/>
      <x:c r="C22" s="8"/>
      <x:c r="D22" s="8"/>
      <x:c r="E22" s="8"/>
      <x:c r="F22" s="8"/>
      <x:c r="G22" s="8"/>
      <x:c r="H22" s="8"/>
    </x:row>
    <x:row r="23">
      <x:c r="B23" s="18" t="str">
        <x:v>Four-year operating boundary</x:v>
      </x:c>
      <x:c r="C23" s="19" t="str">
        <x:v>Four-year operating boundary</x:v>
      </x:c>
      <x:c r="D23" s="19" t="str">
        <x:v>Four-year operating boundary</x:v>
      </x:c>
      <x:c r="E23" s="19" t="str">
        <x:v>Four-year operating boundary</x:v>
      </x:c>
      <x:c r="F23" s="19" t="str">
        <x:v>Four-year operating boundary</x:v>
      </x:c>
      <x:c r="G23" s="19" t="str">
        <x:v>Four-year operating boundary</x:v>
      </x:c>
      <x:c r="H23" s="20" t="str">
        <x:v>Four-year operating boundary</x:v>
      </x:c>
    </x:row>
    <x:row r="24">
      <x:c r="B24" s="8" t="str">
        <x:v>Program years</x:v>
      </x:c>
      <x:c r="C24" s="8"/>
      <x:c r="D24" s="23" t="n">
        <x:f>'Controls'!$D$38</x:f>
        <x:v>4</x:v>
      </x:c>
      <x:c r="E24" s="8"/>
      <x:c r="F24" s="8"/>
      <x:c r="G24" s="8"/>
      <x:c r="H24" s="8"/>
    </x:row>
    <x:row r="25">
      <x:c r="B25" s="8" t="str">
        <x:v>Annual MQP-1 draw</x:v>
      </x:c>
      <x:c r="C25" s="8"/>
      <x:c r="D25" s="23" t="n">
        <x:f>D19</x:f>
        <x:v>0.72</x:v>
      </x:c>
      <x:c r="E25" s="8"/>
      <x:c r="F25" s="8"/>
      <x:c r="G25" s="8"/>
      <x:c r="H25" s="8"/>
    </x:row>
    <x:row r="26">
      <x:c r="B26" s="8" t="str">
        <x:v>Four-year draw</x:v>
      </x:c>
      <x:c r="C26" s="8"/>
      <x:c r="D26" s="23" t="n">
        <x:f>D24*D25</x:f>
        <x:v>2.88</x:v>
      </x:c>
      <x:c r="E26" s="8" t="str">
        <x:f>IF(ABS(D26-'Controls'!$D$39)&lt;0.000001,"PASS","FAIL")</x:f>
        <x:v>PASS</x:v>
      </x:c>
      <x:c r="F26" s="8"/>
      <x:c r="G26" s="8"/>
      <x:c r="H26" s="8"/>
    </x:row>
  </x:sheetData>
  <x:mergeCells>
    <x:mergeCell ref="B2:H2"/>
    <x:mergeCell ref="B3:H3"/>
    <x:mergeCell ref="B23:H23"/>
  </x:mergeCells>
  <x:conditionalFormatting sqref="G7:G19">
    <x:cfRule type="containsText" dxfId="195" priority="1" operator="containsText" text="PASS"/>
    <x:cfRule type="containsText" dxfId="196" priority="2" operator="containsText" text="AUTHORIZED"/>
    <x:cfRule type="containsText" dxfId="197" priority="3" operator="containsText" text="DEFINED"/>
    <x:cfRule type="containsText" dxfId="198" priority="4" operator="containsText" text="READY"/>
    <x:cfRule type="containsText" dxfId="199" priority="5" operator="containsText" text="HOLD"/>
    <x:cfRule type="containsText" dxfId="200" priority="6" operator="containsText" text="OPEN"/>
    <x:cfRule type="containsText" dxfId="201" priority="7" operator="containsText" text="BLOCKED"/>
    <x:cfRule type="containsText" dxfId="202" priority="8" operator="containsText" text="PLANNING"/>
    <x:cfRule type="containsText" dxfId="203" priority="9" operator="containsText" text="FAIL"/>
    <x:cfRule type="containsText" dxfId="204" priority="10" operator="containsText" text="REJECT"/>
    <x:cfRule type="containsText" dxfId="205" priority="11" operator="containsText" text="LATE"/>
    <x:cfRule type="containsText" dxfId="206" priority="12" operator="containsText" text="INCOMPLETE"/>
    <x:cfRule type="containsText" dxfId="207" priority="13" operator="containsText" text="INDETERMINATE"/>
  </x:conditionalFormatting>
  <x:conditionalFormatting sqref="E26:E26">
    <x:cfRule type="containsText" dxfId="208" priority="14" operator="containsText" text="PASS"/>
    <x:cfRule type="containsText" dxfId="209" priority="15" operator="containsText" text="AUTHORIZED"/>
    <x:cfRule type="containsText" dxfId="210" priority="16" operator="containsText" text="DEFINED"/>
    <x:cfRule type="containsText" dxfId="211" priority="17" operator="containsText" text="READY"/>
    <x:cfRule type="containsText" dxfId="212" priority="18" operator="containsText" text="HOLD"/>
    <x:cfRule type="containsText" dxfId="213" priority="19" operator="containsText" text="OPEN"/>
    <x:cfRule type="containsText" dxfId="214" priority="20" operator="containsText" text="BLOCKED"/>
    <x:cfRule type="containsText" dxfId="215" priority="21" operator="containsText" text="PLANNING"/>
    <x:cfRule type="containsText" dxfId="216" priority="22" operator="containsText" text="FAIL"/>
    <x:cfRule type="containsText" dxfId="217" priority="23" operator="containsText" text="REJECT"/>
    <x:cfRule type="containsText" dxfId="218" priority="24" operator="containsText" text="LATE"/>
    <x:cfRule type="containsText" dxfId="219" priority="25" operator="containsText" text="INCOMPLETE"/>
    <x:cfRule type="containsText" dxfId="220" priority="26" operator="containsText" text="INDETERMINATE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25" hidden="0" customWidth="1"/>
    <x:col min="4" max="4" width="47" hidden="0" customWidth="1"/>
    <x:col min="5" max="5" width="16" hidden="0" customWidth="1"/>
    <x:col min="6" max="6" width="16" hidden="0" customWidth="1"/>
    <x:col min="7" max="7" width="17" hidden="0" customWidth="1"/>
    <x:col min="8" max="8" width="20" hidden="0" customWidth="1"/>
  </x:cols>
  <x:sheetData>
    <x:row r="2">
      <x:c r="B2" s="31" t="str">
        <x:v>Qualification release constitution</x:v>
      </x:c>
      <x:c r="C2" s="8"/>
      <x:c r="D2" s="8"/>
      <x:c r="E2" s="8"/>
      <x:c r="F2" s="8"/>
      <x:c r="G2" s="8"/>
      <x:c r="H2" s="8"/>
    </x:row>
    <x:row r="3">
      <x:c r="B3" s="2" t="str">
        <x:v>Planning authorization does not imply physical admission, production authority or rendering authority.</x:v>
      </x:c>
      <x:c r="C3" s="8"/>
      <x:c r="D3" s="8"/>
      <x:c r="E3" s="8"/>
      <x:c r="F3" s="8"/>
      <x:c r="G3" s="8"/>
      <x:c r="H3" s="8"/>
    </x:row>
    <x:row r="4">
      <x:c r="B4" s="32"/>
      <x:c r="C4" s="32"/>
      <x:c r="D4" s="32"/>
      <x:c r="E4" s="32"/>
      <x:c r="F4" s="32"/>
      <x:c r="G4" s="32"/>
      <x:c r="H4" s="32"/>
    </x:row>
    <x:row r="5">
      <x:c r="B5" s="8"/>
      <x:c r="C5" s="8"/>
      <x:c r="D5" s="8"/>
      <x:c r="E5" s="8"/>
      <x:c r="F5" s="8"/>
      <x:c r="G5" s="8"/>
      <x:c r="H5" s="8"/>
    </x:row>
    <x:row r="6">
      <x:c r="B6" s="7" t="str">
        <x:v>Gate</x:v>
      </x:c>
      <x:c r="C6" s="7" t="str">
        <x:v>Phase</x:v>
      </x:c>
      <x:c r="D6" s="7" t="str">
        <x:v>Requirement</x:v>
      </x:c>
      <x:c r="E6" s="7" t="str">
        <x:v>Observed</x:v>
      </x:c>
      <x:c r="F6" s="7" t="str">
        <x:v>Required</x:v>
      </x:c>
      <x:c r="G6" s="7" t="str">
        <x:v>Evidence gate</x:v>
      </x:c>
      <x:c r="H6" s="7" t="str">
        <x:v>Present disposition</x:v>
      </x:c>
    </x:row>
    <x:row r="7">
      <x:c r="B7" s="9" t="str">
        <x:v>G01</x:v>
      </x:c>
      <x:c r="C7" s="9" t="str">
        <x:v>Planning package</x:v>
      </x:c>
      <x:c r="D7" s="9" t="str">
        <x:v>Controlled article count</x:v>
      </x:c>
      <x:c r="E7" s="25" t="n">
        <x:f>COUNTA('Article Bank'!B7:B136)</x:f>
        <x:v>130</x:v>
      </x:c>
      <x:c r="F7" s="25" t="n">
        <x:v>130</x:v>
      </x:c>
      <x:c r="G7" s="9" t="str">
        <x:f>IF(ABS(E7-F7)&lt;0.000001,"PASS","FAIL")</x:f>
        <x:v>PASS</x:v>
      </x:c>
      <x:c r="H7" s="9" t="str">
        <x:f>IF(G7="PASS","AUTHORIZED","HOLD")</x:f>
        <x:v>AUTHORIZED</x:v>
      </x:c>
    </x:row>
    <x:row r="8">
      <x:c r="B8" s="9" t="str">
        <x:v>G02</x:v>
      </x:c>
      <x:c r="C8" s="9" t="str">
        <x:v>Planning package</x:v>
      </x:c>
      <x:c r="D8" s="9" t="str">
        <x:v>Exact article-class counts</x:v>
      </x:c>
      <x:c r="E8" s="25" t="n">
        <x:f>IF(COUNTIFS('Article Bank'!C7:C136,"INTERFACE_PAIR")=60,1,0)+IF(COUNTIFS('Article Bank'!C7:C136,"SERVICE_CELL")=36,1,0)+IF(COUNTIFS('Article Bank'!C7:C136,"UTILITY_ISLAND")=4,1,0)+IF(COUNTIFS('Article Bank'!C7:C136,"RECEIVER_SPINE")=6,1,0)+IF(COUNTIFS('Article Bank'!C7:C136,"CAMPUS_SLICE")=4,1,0)+IF(COUNTIFS('Article Bank'!C7:C136,"REFERENCE_TRUTH")=18,1,0)+IF(COUNTIFS('Article Bank'!C7:C136,"EMERGENCY_ADAPTER")=2,1,0)</x:f>
        <x:v>7</x:v>
      </x:c>
      <x:c r="F8" s="25" t="n">
        <x:v>7</x:v>
      </x:c>
      <x:c r="G8" s="9" t="str">
        <x:f>IF(ABS(E8-F8)&lt;0.000001,"PASS","FAIL")</x:f>
        <x:v>PASS</x:v>
      </x:c>
      <x:c r="H8" s="9" t="str">
        <x:f>IF(G8="PASS","AUTHORIZED","HOLD")</x:f>
        <x:v>AUTHORIZED</x:v>
      </x:c>
    </x:row>
    <x:row r="9">
      <x:c r="B9" s="9" t="str">
        <x:v>G03</x:v>
      </x:c>
      <x:c r="C9" s="9" t="str">
        <x:v>Planning package</x:v>
      </x:c>
      <x:c r="D9" s="9" t="str">
        <x:v>Interface families registered</x:v>
      </x:c>
      <x:c r="E9" s="25" t="n">
        <x:f>COUNTA('Interface Catalog'!B7:B16)</x:f>
        <x:v>10</x:v>
      </x:c>
      <x:c r="F9" s="25" t="n">
        <x:v>10</x:v>
      </x:c>
      <x:c r="G9" s="9" t="str">
        <x:f>IF(ABS(E9-F9)&lt;0.000001,"PASS","FAIL")</x:f>
        <x:v>PASS</x:v>
      </x:c>
      <x:c r="H9" s="9" t="str">
        <x:f>IF(G9="PASS","AUTHORIZED","HOLD")</x:f>
        <x:v>AUTHORIZED</x:v>
      </x:c>
    </x:row>
    <x:row r="10">
      <x:c r="B10" s="9" t="str">
        <x:v>G04</x:v>
      </x:c>
      <x:c r="C10" s="9" t="str">
        <x:v>Planning package</x:v>
      </x:c>
      <x:c r="D10" s="9" t="str">
        <x:v>Root-state interface combinations</x:v>
      </x:c>
      <x:c r="E10" s="25" t="n">
        <x:f>COUNTA('Interface Trials'!B7:B66)</x:f>
        <x:v>60</x:v>
      </x:c>
      <x:c r="F10" s="25" t="n">
        <x:v>60</x:v>
      </x:c>
      <x:c r="G10" s="9" t="str">
        <x:f>IF(ABS(E10-F10)&lt;0.000001,"PASS","FAIL")</x:f>
        <x:v>PASS</x:v>
      </x:c>
      <x:c r="H10" s="9" t="str">
        <x:f>IF(G10="PASS","AUTHORIZED","HOLD")</x:f>
        <x:v>AUTHORIZED</x:v>
      </x:c>
    </x:row>
    <x:row r="11">
      <x:c r="B11" s="9" t="str">
        <x:v>G05</x:v>
      </x:c>
      <x:c r="C11" s="9" t="str">
        <x:v>Planning package</x:v>
      </x:c>
      <x:c r="D11" s="9" t="str">
        <x:v>Interface catalog gates passed</x:v>
      </x:c>
      <x:c r="E11" s="25" t="n">
        <x:f>COUNTIFS('Interface Catalog'!K7:K16,"PASS")</x:f>
        <x:v>10</x:v>
      </x:c>
      <x:c r="F11" s="25" t="n">
        <x:v>10</x:v>
      </x:c>
      <x:c r="G11" s="9" t="str">
        <x:f>IF(ABS(E11-F11)&lt;0.000001,"PASS","FAIL")</x:f>
        <x:v>PASS</x:v>
      </x:c>
      <x:c r="H11" s="9" t="str">
        <x:f>IF(G11="PASS","AUTHORIZED","HOLD")</x:f>
        <x:v>AUTHORIZED</x:v>
      </x:c>
    </x:row>
    <x:row r="12">
      <x:c r="B12" s="9" t="str">
        <x:v>G06</x:v>
      </x:c>
      <x:c r="C12" s="9" t="str">
        <x:v>Planning package</x:v>
      </x:c>
      <x:c r="D12" s="9" t="str">
        <x:v>Interface trial gates passed</x:v>
      </x:c>
      <x:c r="E12" s="25" t="n">
        <x:f>COUNTIFS('Interface Trials'!L7:L66,"PASS")</x:f>
        <x:v>60</x:v>
      </x:c>
      <x:c r="F12" s="25" t="n">
        <x:v>60</x:v>
      </x:c>
      <x:c r="G12" s="9" t="str">
        <x:f>IF(ABS(E12-F12)&lt;0.000001,"PASS","FAIL")</x:f>
        <x:v>PASS</x:v>
      </x:c>
      <x:c r="H12" s="9" t="str">
        <x:f>IF(G12="PASS","AUTHORIZED","HOLD")</x:f>
        <x:v>AUTHORIZED</x:v>
      </x:c>
    </x:row>
    <x:row r="13">
      <x:c r="B13" s="9" t="str">
        <x:v>G07</x:v>
      </x:c>
      <x:c r="C13" s="9" t="str">
        <x:v>Planning package</x:v>
      </x:c>
      <x:c r="D13" s="9" t="str">
        <x:v>Service-cell pair gates passed</x:v>
      </x:c>
      <x:c r="E13" s="25" t="n">
        <x:f>COUNTIFS('Service Cells'!L7:L24,"PASS")</x:f>
        <x:v>18</x:v>
      </x:c>
      <x:c r="F13" s="25" t="n">
        <x:v>18</x:v>
      </x:c>
      <x:c r="G13" s="9" t="str">
        <x:f>IF(ABS(E13-F13)&lt;0.000001,"PASS","FAIL")</x:f>
        <x:v>PASS</x:v>
      </x:c>
      <x:c r="H13" s="9" t="str">
        <x:f>IF(G13="PASS","AUTHORIZED","HOLD")</x:f>
        <x:v>AUTHORIZED</x:v>
      </x:c>
    </x:row>
    <x:row r="14">
      <x:c r="B14" s="9" t="str">
        <x:v>G08</x:v>
      </x:c>
      <x:c r="C14" s="9" t="str">
        <x:v>Planning package</x:v>
      </x:c>
      <x:c r="D14" s="9" t="str">
        <x:v>Receiver worlds defined</x:v>
      </x:c>
      <x:c r="E14" s="25" t="n">
        <x:f>COUNTIFS('Receiver Worlds'!F7:F9,"DEFINED")</x:f>
        <x:v>3</x:v>
      </x:c>
      <x:c r="F14" s="25" t="n">
        <x:v>3</x:v>
      </x:c>
      <x:c r="G14" s="9" t="str">
        <x:f>IF(ABS(E14-F14)&lt;0.000001,"PASS","FAIL")</x:f>
        <x:v>PASS</x:v>
      </x:c>
      <x:c r="H14" s="9" t="str">
        <x:f>IF(G14="PASS","AUTHORIZED","HOLD")</x:f>
        <x:v>AUTHORIZED</x:v>
      </x:c>
    </x:row>
    <x:row r="15">
      <x:c r="B15" s="9" t="str">
        <x:v>G09</x:v>
      </x:c>
      <x:c r="C15" s="9" t="str">
        <x:v>Planning package</x:v>
      </x:c>
      <x:c r="D15" s="9" t="str">
        <x:v>Receiver trial gates passed</x:v>
      </x:c>
      <x:c r="E15" s="25" t="n">
        <x:f>COUNTIFS('Receiver Worlds'!J15:J20,"PASS")</x:f>
        <x:v>6</x:v>
      </x:c>
      <x:c r="F15" s="25" t="n">
        <x:v>6</x:v>
      </x:c>
      <x:c r="G15" s="9" t="str">
        <x:f>IF(ABS(E15-F15)&lt;0.000001,"PASS","FAIL")</x:f>
        <x:v>PASS</x:v>
      </x:c>
      <x:c r="H15" s="9" t="str">
        <x:f>IF(G15="PASS","AUTHORIZED","HOLD")</x:f>
        <x:v>AUTHORIZED</x:v>
      </x:c>
    </x:row>
    <x:row r="16">
      <x:c r="B16" s="9" t="str">
        <x:v>G10</x:v>
      </x:c>
      <x:c r="C16" s="9" t="str">
        <x:v>Planning package</x:v>
      </x:c>
      <x:c r="D16" s="9" t="str">
        <x:v>Integration trial gates passed</x:v>
      </x:c>
      <x:c r="E16" s="25" t="n">
        <x:f>COUNTIFS('Integration Trials'!I7:I16,"PASS")</x:f>
        <x:v>10</x:v>
      </x:c>
      <x:c r="F16" s="25" t="n">
        <x:v>10</x:v>
      </x:c>
      <x:c r="G16" s="9" t="str">
        <x:f>IF(ABS(E16-F16)&lt;0.000001,"PASS","FAIL")</x:f>
        <x:v>PASS</x:v>
      </x:c>
      <x:c r="H16" s="9" t="str">
        <x:f>IF(G16="PASS","AUTHORIZED","HOLD")</x:f>
        <x:v>AUTHORIZED</x:v>
      </x:c>
    </x:row>
    <x:row r="17">
      <x:c r="B17" s="9" t="str">
        <x:v>G11</x:v>
      </x:c>
      <x:c r="C17" s="9" t="str">
        <x:v>Planning package</x:v>
      </x:c>
      <x:c r="D17" s="9" t="str">
        <x:v>Decision-bearing trial registry</x:v>
      </x:c>
      <x:c r="E17" s="25" t="n">
        <x:f>COUNTA('Interface Trials'!B7:B66)+COUNTA('Service Cells'!B7:B24)+COUNTA('Receiver Worlds'!B15:B20)+COUNTA('Integration Trials'!B7:B16)</x:f>
        <x:v>94</x:v>
      </x:c>
      <x:c r="F17" s="25" t="n">
        <x:v>94</x:v>
      </x:c>
      <x:c r="G17" s="9" t="str">
        <x:f>IF(ABS(E17-F17)&lt;0.000001,"PASS","FAIL")</x:f>
        <x:v>PASS</x:v>
      </x:c>
      <x:c r="H17" s="9" t="str">
        <x:f>IF(G17="PASS","AUTHORIZED","HOLD")</x:f>
        <x:v>AUTHORIZED</x:v>
      </x:c>
    </x:row>
    <x:row r="18">
      <x:c r="B18" s="9" t="str">
        <x:v>G12</x:v>
      </x:c>
      <x:c r="C18" s="9" t="str">
        <x:v>Planning package</x:v>
      </x:c>
      <x:c r="D18" s="9" t="str">
        <x:v>Sealed fault assignments</x:v>
      </x:c>
      <x:c r="E18" s="25" t="n">
        <x:f>COUNTA('Fault Matrix'!B23:B46)</x:f>
        <x:v>24</x:v>
      </x:c>
      <x:c r="F18" s="25" t="n">
        <x:v>24</x:v>
      </x:c>
      <x:c r="G18" s="9" t="str">
        <x:f>IF(ABS(E18-F18)&lt;0.000001,"PASS","FAIL")</x:f>
        <x:v>PASS</x:v>
      </x:c>
      <x:c r="H18" s="9" t="str">
        <x:f>IF(G18="PASS","AUTHORIZED","HOLD")</x:f>
        <x:v>AUTHORIZED</x:v>
      </x:c>
    </x:row>
    <x:row r="19">
      <x:c r="B19" s="9" t="str">
        <x:v>G13</x:v>
      </x:c>
      <x:c r="C19" s="9" t="str">
        <x:v>Planning package</x:v>
      </x:c>
      <x:c r="D19" s="9" t="str">
        <x:v>Fault-family root coverage</x:v>
      </x:c>
      <x:c r="E19" s="25" t="n">
        <x:f>COUNTIFS('Fault Matrix'!G7:G18,"PASS")</x:f>
        <x:v>12</x:v>
      </x:c>
      <x:c r="F19" s="25" t="n">
        <x:v>12</x:v>
      </x:c>
      <x:c r="G19" s="9" t="str">
        <x:f>IF(ABS(E19-F19)&lt;0.000001,"PASS","FAIL")</x:f>
        <x:v>PASS</x:v>
      </x:c>
      <x:c r="H19" s="9" t="str">
        <x:f>IF(G19="PASS","AUTHORIZED","HOLD")</x:f>
        <x:v>AUTHORIZED</x:v>
      </x:c>
    </x:row>
    <x:row r="20">
      <x:c r="B20" s="9" t="str">
        <x:v>G14</x:v>
      </x:c>
      <x:c r="C20" s="9" t="str">
        <x:v>Planning package</x:v>
      </x:c>
      <x:c r="D20" s="9" t="str">
        <x:v>Clean-control commitments</x:v>
      </x:c>
      <x:c r="E20" s="25" t="n">
        <x:f>COUNTIFS('Fault Matrix'!H52:H75,"PASS")</x:f>
        <x:v>24</x:v>
      </x:c>
      <x:c r="F20" s="25" t="n">
        <x:v>24</x:v>
      </x:c>
      <x:c r="G20" s="9" t="str">
        <x:f>IF(ABS(E20-F20)&lt;0.000001,"PASS","FAIL")</x:f>
        <x:v>PASS</x:v>
      </x:c>
      <x:c r="H20" s="9" t="str">
        <x:f>IF(G20="PASS","AUTHORIZED","HOLD")</x:f>
        <x:v>AUTHORIZED</x:v>
      </x:c>
    </x:row>
    <x:row r="21">
      <x:c r="B21" s="9" t="str">
        <x:v>G15</x:v>
      </x:c>
      <x:c r="C21" s="9" t="str">
        <x:v>Planning package</x:v>
      </x:c>
      <x:c r="D21" s="9" t="str">
        <x:v>Cold-reset cohort count</x:v>
      </x:c>
      <x:c r="E21" s="25" t="n">
        <x:f>COUNTA('Cold Reset'!B7:B26)</x:f>
        <x:v>20</x:v>
      </x:c>
      <x:c r="F21" s="25" t="n">
        <x:v>20</x:v>
      </x:c>
      <x:c r="G21" s="9" t="str">
        <x:f>IF(ABS(E21-F21)&lt;0.000001,"PASS","FAIL")</x:f>
        <x:v>PASS</x:v>
      </x:c>
      <x:c r="H21" s="9" t="str">
        <x:f>IF(G21="PASS","AUTHORIZED","HOLD")</x:f>
        <x:v>AUTHORIZED</x:v>
      </x:c>
    </x:row>
    <x:row r="22">
      <x:c r="B22" s="9" t="str">
        <x:v>G16</x:v>
      </x:c>
      <x:c r="C22" s="9" t="str">
        <x:v>Planning package</x:v>
      </x:c>
      <x:c r="D22" s="9" t="str">
        <x:v>Cold-reset planning gates passed</x:v>
      </x:c>
      <x:c r="E22" s="25" t="n">
        <x:f>COUNTIFS('Cold Reset'!L7:L26,"PASS")</x:f>
        <x:v>20</x:v>
      </x:c>
      <x:c r="F22" s="25" t="n">
        <x:v>20</x:v>
      </x:c>
      <x:c r="G22" s="9" t="str">
        <x:f>IF(ABS(E22-F22)&lt;0.000001,"PASS","FAIL")</x:f>
        <x:v>PASS</x:v>
      </x:c>
      <x:c r="H22" s="9" t="str">
        <x:f>IF(G22="PASS","AUTHORIZED","HOLD")</x:f>
        <x:v>AUTHORIZED</x:v>
      </x:c>
    </x:row>
    <x:row r="23">
      <x:c r="B23" s="9" t="str">
        <x:v>G17</x:v>
      </x:c>
      <x:c r="C23" s="9" t="str">
        <x:v>Planning package</x:v>
      </x:c>
      <x:c r="D23" s="9" t="str">
        <x:v>Root-independence planning gates passed</x:v>
      </x:c>
      <x:c r="E23" s="25" t="n">
        <x:f>COUNTIFS('Root Independence'!I7:I18,"PASS")</x:f>
        <x:v>12</x:v>
      </x:c>
      <x:c r="F23" s="25" t="n">
        <x:v>12</x:v>
      </x:c>
      <x:c r="G23" s="9" t="str">
        <x:f>IF(ABS(E23-F23)&lt;0.000001,"PASS","FAIL")</x:f>
        <x:v>PASS</x:v>
      </x:c>
      <x:c r="H23" s="9" t="str">
        <x:f>IF(G23="PASS","AUTHORIZED","HOLD")</x:f>
        <x:v>AUTHORIZED</x:v>
      </x:c>
    </x:row>
    <x:row r="24">
      <x:c r="B24" s="9" t="str">
        <x:v>G18</x:v>
      </x:c>
      <x:c r="C24" s="9" t="str">
        <x:v>Planning package</x:v>
      </x:c>
      <x:c r="D24" s="9" t="str">
        <x:v>Schedule planning gates passed</x:v>
      </x:c>
      <x:c r="E24" s="25" t="n">
        <x:f>COUNTIFS(Schedule!J7:J16,"PASS")</x:f>
        <x:v>10</x:v>
      </x:c>
      <x:c r="F24" s="25" t="n">
        <x:v>10</x:v>
      </x:c>
      <x:c r="G24" s="9" t="str">
        <x:f>IF(ABS(E24-F24)&lt;0.000001,"PASS","FAIL")</x:f>
        <x:v>PASS</x:v>
      </x:c>
      <x:c r="H24" s="9" t="str">
        <x:f>IF(G24="PASS","AUTHORIZED","HOLD")</x:f>
        <x:v>AUTHORIZED</x:v>
      </x:c>
    </x:row>
    <x:row r="25">
      <x:c r="B25" s="9" t="str">
        <x:v>G19</x:v>
      </x:c>
      <x:c r="C25" s="9" t="str">
        <x:v>Planning package</x:v>
      </x:c>
      <x:c r="D25" s="9" t="str">
        <x:v>Qualification closes by month</x:v>
      </x:c>
      <x:c r="E25" s="25" t="n">
        <x:f>MAX(Schedule!E7:E16)</x:f>
        <x:v>48</x:v>
      </x:c>
      <x:c r="F25" s="25" t="n">
        <x:v>48</x:v>
      </x:c>
      <x:c r="G25" s="9" t="str">
        <x:f>IF(ABS(E25-F25)&lt;0.000001,"PASS","FAIL")</x:f>
        <x:v>PASS</x:v>
      </x:c>
      <x:c r="H25" s="9" t="str">
        <x:f>IF(G25="PASS","AUTHORIZED","HOLD")</x:f>
        <x:v>AUTHORIZED</x:v>
      </x:c>
    </x:row>
    <x:row r="26">
      <x:c r="B26" s="9" t="str">
        <x:v>G20</x:v>
      </x:c>
      <x:c r="C26" s="9" t="str">
        <x:v>Planning package</x:v>
      </x:c>
      <x:c r="D26" s="9" t="str">
        <x:v>Standing capital reconciled</x:v>
      </x:c>
      <x:c r="E26" s="25" t="n">
        <x:f>'Capital Draw'!C17</x:f>
        <x:v>13.9</x:v>
      </x:c>
      <x:c r="F26" s="25" t="n">
        <x:v>13.9</x:v>
      </x:c>
      <x:c r="G26" s="9" t="str">
        <x:f>IF(ABS(E26-F26)&lt;0.000001,"PASS","FAIL")</x:f>
        <x:v>PASS</x:v>
      </x:c>
      <x:c r="H26" s="9" t="str">
        <x:f>IF(G26="PASS","AUTHORIZED","HOLD")</x:f>
        <x:v>AUTHORIZED</x:v>
      </x:c>
    </x:row>
    <x:row r="27">
      <x:c r="B27" s="9" t="str">
        <x:v>G21</x:v>
      </x:c>
      <x:c r="C27" s="9" t="str">
        <x:v>Planning package</x:v>
      </x:c>
      <x:c r="D27" s="9" t="str">
        <x:v>MQP-1 capital draw reconciled</x:v>
      </x:c>
      <x:c r="E27" s="25" t="n">
        <x:f>'Capital Draw'!D17</x:f>
        <x:v>2.9999999999999996</x:v>
      </x:c>
      <x:c r="F27" s="25" t="n">
        <x:v>3</x:v>
      </x:c>
      <x:c r="G27" s="9" t="str">
        <x:f>IF(ABS(E27-F27)&lt;0.000001,"PASS","FAIL")</x:f>
        <x:v>PASS</x:v>
      </x:c>
      <x:c r="H27" s="9" t="str">
        <x:f>IF(G27="PASS","AUTHORIZED","HOLD")</x:f>
        <x:v>AUTHORIZED</x:v>
      </x:c>
    </x:row>
    <x:row r="28">
      <x:c r="B28" s="9" t="str">
        <x:v>G22</x:v>
      </x:c>
      <x:c r="C28" s="9" t="str">
        <x:v>Planning package</x:v>
      </x:c>
      <x:c r="D28" s="9" t="str">
        <x:v>Capital outside MQP-1 reconciled</x:v>
      </x:c>
      <x:c r="E28" s="25" t="n">
        <x:f>'Capital Draw'!E17</x:f>
        <x:v>10.9</x:v>
      </x:c>
      <x:c r="F28" s="25" t="n">
        <x:v>10.9</x:v>
      </x:c>
      <x:c r="G28" s="9" t="str">
        <x:f>IF(ABS(E28-F28)&lt;0.000001,"PASS","FAIL")</x:f>
        <x:v>PASS</x:v>
      </x:c>
      <x:c r="H28" s="9" t="str">
        <x:f>IF(G28="PASS","AUTHORIZED","HOLD")</x:f>
        <x:v>AUTHORIZED</x:v>
      </x:c>
    </x:row>
    <x:row r="29">
      <x:c r="B29" s="9" t="str">
        <x:v>G23</x:v>
      </x:c>
      <x:c r="C29" s="9" t="str">
        <x:v>Planning package</x:v>
      </x:c>
      <x:c r="D29" s="9" t="str">
        <x:v>Standing annual support reconciled</x:v>
      </x:c>
      <x:c r="E29" s="25" t="n">
        <x:f>'Annual Draw'!C19</x:f>
        <x:v>1.086</x:v>
      </x:c>
      <x:c r="F29" s="25" t="n">
        <x:v>1.086</x:v>
      </x:c>
      <x:c r="G29" s="9" t="str">
        <x:f>IF(ABS(E29-F29)&lt;0.000001,"PASS","FAIL")</x:f>
        <x:v>PASS</x:v>
      </x:c>
      <x:c r="H29" s="9" t="str">
        <x:f>IF(G29="PASS","AUTHORIZED","HOLD")</x:f>
        <x:v>AUTHORIZED</x:v>
      </x:c>
    </x:row>
    <x:row r="30">
      <x:c r="B30" s="9" t="str">
        <x:v>G24</x:v>
      </x:c>
      <x:c r="C30" s="9" t="str">
        <x:v>Planning package</x:v>
      </x:c>
      <x:c r="D30" s="9" t="str">
        <x:v>MQP-1 annual draw reconciled</x:v>
      </x:c>
      <x:c r="E30" s="25" t="n">
        <x:f>'Annual Draw'!D19</x:f>
        <x:v>0.72</x:v>
      </x:c>
      <x:c r="F30" s="25" t="n">
        <x:v>0.72</x:v>
      </x:c>
      <x:c r="G30" s="9" t="str">
        <x:f>IF(ABS(E30-F30)&lt;0.000001,"PASS","FAIL")</x:f>
        <x:v>PASS</x:v>
      </x:c>
      <x:c r="H30" s="9" t="str">
        <x:f>IF(G30="PASS","AUTHORIZED","HOLD")</x:f>
        <x:v>AUTHORIZED</x:v>
      </x:c>
    </x:row>
    <x:row r="31">
      <x:c r="B31" s="9" t="str">
        <x:v>G25</x:v>
      </x:c>
      <x:c r="C31" s="9" t="str">
        <x:v>Planning package</x:v>
      </x:c>
      <x:c r="D31" s="9" t="str">
        <x:v>Annual support outside MQP-1 reconciled</x:v>
      </x:c>
      <x:c r="E31" s="25" t="n">
        <x:f>'Annual Draw'!E19</x:f>
        <x:v>0.36600000000000005</x:v>
      </x:c>
      <x:c r="F31" s="25" t="n">
        <x:v>0.366</x:v>
      </x:c>
      <x:c r="G31" s="9" t="str">
        <x:f>IF(ABS(E31-F31)&lt;0.000001,"PASS","FAIL")</x:f>
        <x:v>PASS</x:v>
      </x:c>
      <x:c r="H31" s="9" t="str">
        <x:f>IF(G31="PASS","AUTHORIZED","HOLD")</x:f>
        <x:v>AUTHORIZED</x:v>
      </x:c>
    </x:row>
    <x:row r="32">
      <x:c r="B32" s="9" t="str">
        <x:v>G26</x:v>
      </x:c>
      <x:c r="C32" s="9" t="str">
        <x:v>Planning package</x:v>
      </x:c>
      <x:c r="D32" s="9" t="str">
        <x:v>Four-year operating draw reconciled</x:v>
      </x:c>
      <x:c r="E32" s="25" t="n">
        <x:f>'Annual Draw'!D26</x:f>
        <x:v>2.88</x:v>
      </x:c>
      <x:c r="F32" s="25" t="n">
        <x:v>2.88</x:v>
      </x:c>
      <x:c r="G32" s="9" t="str">
        <x:f>IF(ABS(E32-F32)&lt;0.000001,"PASS","FAIL")</x:f>
        <x:v>PASS</x:v>
      </x:c>
      <x:c r="H32" s="9" t="str">
        <x:f>IF(G32="PASS","AUTHORIZED","HOLD")</x:f>
        <x:v>AUTHORIZED</x:v>
      </x:c>
    </x:row>
    <x:row r="33">
      <x:c r="B33" s="9" t="str">
        <x:v>G27</x:v>
      </x:c>
      <x:c r="C33" s="9" t="str">
        <x:v>Planning package</x:v>
      </x:c>
      <x:c r="D33" s="9" t="str">
        <x:v>Protected shipset qualification credit</x:v>
      </x:c>
      <x:c r="E33" s="25" t="n">
        <x:f>SUM('Article Bank'!H7:H136)</x:f>
        <x:v>0</x:v>
      </x:c>
      <x:c r="F33" s="25" t="n">
        <x:v>0</x:v>
      </x:c>
      <x:c r="G33" s="9" t="str">
        <x:f>IF(ABS(E33-F33)&lt;0.000001,"PASS","FAIL")</x:f>
        <x:v>PASS</x:v>
      </x:c>
      <x:c r="H33" s="9" t="str">
        <x:f>IF(G33="PASS","AUTHORIZED","HOLD")</x:f>
        <x:v>AUTHORIZED</x:v>
      </x:c>
    </x:row>
    <x:row r="34">
      <x:c r="B34" s="9" t="str">
        <x:v>G28</x:v>
      </x:c>
      <x:c r="C34" s="9" t="str">
        <x:v>Planning package</x:v>
      </x:c>
      <x:c r="D34" s="9" t="str">
        <x:v>Physical-control observations at baseline</x:v>
      </x:c>
      <x:c r="E34" s="25" t="n">
        <x:f>SUM(Controls!D42:D65)</x:f>
        <x:v>0</x:v>
      </x:c>
      <x:c r="F34" s="25" t="n">
        <x:v>0</x:v>
      </x:c>
      <x:c r="G34" s="9" t="str">
        <x:f>IF(ABS(E34-F34)&lt;0.000001,"PASS","FAIL")</x:f>
        <x:v>PASS</x:v>
      </x:c>
      <x:c r="H34" s="9" t="str">
        <x:f>IF(G34="PASS","AUTHORIZED","HOLD")</x:f>
        <x:v>AUTHORIZED</x:v>
      </x:c>
    </x:row>
    <x:row r="35">
      <x:c r="B35" s="9" t="str">
        <x:v>G29</x:v>
      </x:c>
      <x:c r="C35" s="9" t="str">
        <x:v>Planning package</x:v>
      </x:c>
      <x:c r="D35" s="9" t="str">
        <x:v>Article physical acceptances at baseline</x:v>
      </x:c>
      <x:c r="E35" s="25" t="n">
        <x:f>SUM('Article Bank'!I7:I136)</x:f>
        <x:v>0</x:v>
      </x:c>
      <x:c r="F35" s="25" t="n">
        <x:v>0</x:v>
      </x:c>
      <x:c r="G35" s="9" t="str">
        <x:f>IF(ABS(E35-F35)&lt;0.000001,"PASS","FAIL")</x:f>
        <x:v>PASS</x:v>
      </x:c>
      <x:c r="H35" s="9" t="str">
        <x:f>IF(G35="PASS","AUTHORIZED","HOLD")</x:f>
        <x:v>AUTHORIZED</x:v>
      </x:c>
    </x:row>
    <x:row r="36">
      <x:c r="B36" s="9" t="str">
        <x:v>G30</x:v>
      </x:c>
      <x:c r="C36" s="9" t="str">
        <x:v>Planning package</x:v>
      </x:c>
      <x:c r="D36" s="9" t="str">
        <x:v>Production and rendering authorities at baseline</x:v>
      </x:c>
      <x:c r="E36" s="25" t="n">
        <x:f>SUM(Controls!D64:D65)</x:f>
        <x:v>0</x:v>
      </x:c>
      <x:c r="F36" s="25" t="n">
        <x:v>0</x:v>
      </x:c>
      <x:c r="G36" s="9" t="str">
        <x:f>IF(ABS(E36-F36)&lt;0.000001,"PASS","FAIL")</x:f>
        <x:v>PASS</x:v>
      </x:c>
      <x:c r="H36" s="9" t="str">
        <x:f>IF(G36="PASS","AUTHORIZED","HOLD")</x:f>
        <x:v>AUTHORIZED</x:v>
      </x:c>
    </x:row>
    <x:row r="37">
      <x:c r="B37" s="9" t="str">
        <x:v>G31</x:v>
      </x:c>
      <x:c r="C37" s="9" t="str">
        <x:v>Planning package</x:v>
      </x:c>
      <x:c r="D37" s="9" t="str">
        <x:v>Unique article planning gates passed</x:v>
      </x:c>
      <x:c r="E37" s="25" t="n">
        <x:f>COUNTIFS('Article Bank'!J7:J136,"PASS")</x:f>
        <x:v>130</x:v>
      </x:c>
      <x:c r="F37" s="25" t="n">
        <x:v>130</x:v>
      </x:c>
      <x:c r="G37" s="9" t="str">
        <x:f>IF(ABS(E37-F37)&lt;0.000001,"PASS","FAIL")</x:f>
        <x:v>PASS</x:v>
      </x:c>
      <x:c r="H37" s="9" t="str">
        <x:f>IF(G37="PASS","AUTHORIZED","HOLD")</x:f>
        <x:v>AUTHORIZED</x:v>
      </x:c>
    </x:row>
    <x:row r="38">
      <x:c r="B38" s="9" t="str">
        <x:v>G32</x:v>
      </x:c>
      <x:c r="C38" s="9" t="str">
        <x:v>Planning package</x:v>
      </x:c>
      <x:c r="D38" s="9" t="str">
        <x:v>All preceding planning gates passed</x:v>
      </x:c>
      <x:c r="E38" s="25" t="n">
        <x:f>COUNTIFS(G7:G37,"PASS")</x:f>
        <x:v>31</x:v>
      </x:c>
      <x:c r="F38" s="25" t="n">
        <x:v>31</x:v>
      </x:c>
      <x:c r="G38" s="9" t="str">
        <x:f>IF(E38=F38,"PASS","FAIL")</x:f>
        <x:v>PASS</x:v>
      </x:c>
      <x:c r="H38" s="9" t="str">
        <x:f>IF(G38="PASS","AUTHORIZED","HOLD")</x:f>
        <x:v>AUTHORIZED</x:v>
      </x:c>
    </x:row>
    <x:row r="39">
      <x:c r="B39" s="9" t="str">
        <x:v>G33</x:v>
      </x:c>
      <x:c r="C39" s="9" t="str">
        <x:v>Program authority</x:v>
      </x:c>
      <x:c r="D39" s="9" t="str">
        <x:v>Capital authority enacted</x:v>
      </x:c>
      <x:c r="E39" s="25" t="n">
        <x:f>'Controls'!$D$42</x:f>
        <x:v>0</x:v>
      </x:c>
      <x:c r="F39" s="25" t="n">
        <x:v>1</x:v>
      </x:c>
      <x:c r="G39" s="9" t="str">
        <x:f>IF(ABS(E39-F39)&lt;0.000001,"PASS","OPEN")</x:f>
        <x:v>OPEN</x:v>
      </x:c>
      <x:c r="H39" s="9" t="str">
        <x:f>IF(G39="PASS","AUTHORIZED","HOLD")</x:f>
        <x:v>HOLD</x:v>
      </x:c>
    </x:row>
    <x:row r="40">
      <x:c r="B40" s="9" t="str">
        <x:v>G34</x:v>
      </x:c>
      <x:c r="C40" s="9" t="str">
        <x:v>Program authority</x:v>
      </x:c>
      <x:c r="D40" s="9" t="str">
        <x:v>Annual support authority enacted</x:v>
      </x:c>
      <x:c r="E40" s="25" t="n">
        <x:f>'Controls'!$D$43</x:f>
        <x:v>0</x:v>
      </x:c>
      <x:c r="F40" s="25" t="n">
        <x:v>1</x:v>
      </x:c>
      <x:c r="G40" s="9" t="str">
        <x:f>IF(ABS(E40-F40)&lt;0.000001,"PASS","OPEN")</x:f>
        <x:v>OPEN</x:v>
      </x:c>
      <x:c r="H40" s="9" t="str">
        <x:f>IF(G40="PASS","AUTHORIZED","HOLD")</x:f>
        <x:v>HOLD</x:v>
      </x:c>
    </x:row>
    <x:row r="41">
      <x:c r="B41" s="9" t="str">
        <x:v>G35</x:v>
      </x:c>
      <x:c r="C41" s="9" t="str">
        <x:v>Article bank</x:v>
      </x:c>
      <x:c r="D41" s="9" t="str">
        <x:v>Root build packages accepted</x:v>
      </x:c>
      <x:c r="E41" s="25" t="n">
        <x:f>IF(AND($G$39="PASS",$G$40="PASS"),'Controls'!$D$44,0)</x:f>
        <x:v>0</x:v>
      </x:c>
      <x:c r="F41" s="25" t="n">
        <x:v>2</x:v>
      </x:c>
      <x:c r="G41" s="9" t="str">
        <x:f>IF(ABS(E41-F41)&lt;0.000001,"PASS","OPEN")</x:f>
        <x:v>OPEN</x:v>
      </x:c>
      <x:c r="H41" s="9" t="str">
        <x:f>IF(G41="PASS","AUTHORIZED","HOLD")</x:f>
        <x:v>HOLD</x:v>
      </x:c>
    </x:row>
    <x:row r="42">
      <x:c r="B42" s="9" t="str">
        <x:v>G36</x:v>
      </x:c>
      <x:c r="C42" s="9" t="str">
        <x:v>Article bank</x:v>
      </x:c>
      <x:c r="D42" s="9" t="str">
        <x:v>Qualification units physically accepted</x:v>
      </x:c>
      <x:c r="E42" s="25" t="n">
        <x:f>IF(AND($G$41="PASS",'Controls'!$D$45=130,SUM('Article Bank'!I7:I136)=130),130,0)</x:f>
        <x:v>0</x:v>
      </x:c>
      <x:c r="F42" s="25" t="n">
        <x:v>130</x:v>
      </x:c>
      <x:c r="G42" s="9" t="str">
        <x:f>IF(ABS(E42-F42)&lt;0.000001,"PASS","OPEN")</x:f>
        <x:v>OPEN</x:v>
      </x:c>
      <x:c r="H42" s="9" t="str">
        <x:f>IF(G42="PASS","AUTHORIZED","HOLD")</x:f>
        <x:v>HOLD</x:v>
      </x:c>
    </x:row>
    <x:row r="43">
      <x:c r="B43" s="9" t="str">
        <x:v>G37</x:v>
      </x:c>
      <x:c r="C43" s="9" t="str">
        <x:v>Qualification execution</x:v>
      </x:c>
      <x:c r="D43" s="9" t="str">
        <x:v>Interface trials completed</x:v>
      </x:c>
      <x:c r="E43" s="25" t="n">
        <x:f>IF(AND($G$42="PASS",'Controls'!$D$46=60,SUM('Interface Trials'!H7:H66)=60,SUM('Interface Trials'!I7:I66)=60),60,0)</x:f>
        <x:v>0</x:v>
      </x:c>
      <x:c r="F43" s="25" t="n">
        <x:v>60</x:v>
      </x:c>
      <x:c r="G43" s="9" t="str">
        <x:f>IF(ABS(E43-F43)&lt;0.000001,"PASS","OPEN")</x:f>
        <x:v>OPEN</x:v>
      </x:c>
      <x:c r="H43" s="9" t="str">
        <x:f>IF(G43="PASS","AUTHORIZED","HOLD")</x:f>
        <x:v>HOLD</x:v>
      </x:c>
    </x:row>
    <x:row r="44">
      <x:c r="B44" s="9" t="str">
        <x:v>G38</x:v>
      </x:c>
      <x:c r="C44" s="9" t="str">
        <x:v>Qualification execution</x:v>
      </x:c>
      <x:c r="D44" s="9" t="str">
        <x:v>Service-cell pairs completed</x:v>
      </x:c>
      <x:c r="E44" s="25" t="n">
        <x:f>IF(AND($G$42="PASS",'Controls'!$D$47=18,SUM('Service Cells'!J7:J24)=18,SUM('Service Cells'!K7:K24)=18),18,0)</x:f>
        <x:v>0</x:v>
      </x:c>
      <x:c r="F44" s="25" t="n">
        <x:v>18</x:v>
      </x:c>
      <x:c r="G44" s="9" t="str">
        <x:f>IF(ABS(E44-F44)&lt;0.000001,"PASS","OPEN")</x:f>
        <x:v>OPEN</x:v>
      </x:c>
      <x:c r="H44" s="9" t="str">
        <x:f>IF(G44="PASS","AUTHORIZED","HOLD")</x:f>
        <x:v>HOLD</x:v>
      </x:c>
    </x:row>
    <x:row r="45">
      <x:c r="B45" s="9" t="str">
        <x:v>G39</x:v>
      </x:c>
      <x:c r="C45" s="9" t="str">
        <x:v>Qualification execution</x:v>
      </x:c>
      <x:c r="D45" s="9" t="str">
        <x:v>Utility-island trials completed</x:v>
      </x:c>
      <x:c r="E45" s="25" t="n">
        <x:f>IF(AND($G$42="PASS",'Controls'!$D$48=4,SUMIFS('Integration Trials'!G7:G16,'Integration Trials'!C7:C16,"UTILITY_ISLAND")=4,SUMIFS('Integration Trials'!H7:H16,'Integration Trials'!C7:C16,"UTILITY_ISLAND")=4),4,0)</x:f>
        <x:v>0</x:v>
      </x:c>
      <x:c r="F45" s="25" t="n">
        <x:v>4</x:v>
      </x:c>
      <x:c r="G45" s="9" t="str">
        <x:f>IF(ABS(E45-F45)&lt;0.000001,"PASS","OPEN")</x:f>
        <x:v>OPEN</x:v>
      </x:c>
      <x:c r="H45" s="9" t="str">
        <x:f>IF(G45="PASS","AUTHORIZED","HOLD")</x:f>
        <x:v>HOLD</x:v>
      </x:c>
    </x:row>
    <x:row r="46">
      <x:c r="B46" s="9" t="str">
        <x:v>G40</x:v>
      </x:c>
      <x:c r="C46" s="9" t="str">
        <x:v>Qualification execution</x:v>
      </x:c>
      <x:c r="D46" s="9" t="str">
        <x:v>Receiver-spine trials completed</x:v>
      </x:c>
      <x:c r="E46" s="25" t="n">
        <x:f>IF(AND($G$42="PASS",'Controls'!$D$49=6,SUM('Receiver Worlds'!I15:I20)=6,COUNTIFS('Receiver Worlds'!K15:K20,"ADMITTED")=6),6,0)</x:f>
        <x:v>0</x:v>
      </x:c>
      <x:c r="F46" s="25" t="n">
        <x:v>6</x:v>
      </x:c>
      <x:c r="G46" s="9" t="str">
        <x:f>IF(ABS(E46-F46)&lt;0.000001,"PASS","OPEN")</x:f>
        <x:v>OPEN</x:v>
      </x:c>
      <x:c r="H46" s="9" t="str">
        <x:f>IF(G46="PASS","AUTHORIZED","HOLD")</x:f>
        <x:v>HOLD</x:v>
      </x:c>
    </x:row>
    <x:row r="47">
      <x:c r="B47" s="9" t="str">
        <x:v>G41</x:v>
      </x:c>
      <x:c r="C47" s="9" t="str">
        <x:v>Qualification execution</x:v>
      </x:c>
      <x:c r="D47" s="9" t="str">
        <x:v>Campus-slice trials completed</x:v>
      </x:c>
      <x:c r="E47" s="25" t="n">
        <x:f>IF(AND($G$42="PASS",'Controls'!$D$50=4,SUMIFS('Integration Trials'!G7:G16,'Integration Trials'!C7:C16,"CAMPUS_SLICE")=4,SUMIFS('Integration Trials'!H7:H16,'Integration Trials'!C7:C16,"CAMPUS_SLICE")=4),4,0)</x:f>
        <x:v>0</x:v>
      </x:c>
      <x:c r="F47" s="25" t="n">
        <x:v>4</x:v>
      </x:c>
      <x:c r="G47" s="9" t="str">
        <x:f>IF(ABS(E47-F47)&lt;0.000001,"PASS","OPEN")</x:f>
        <x:v>OPEN</x:v>
      </x:c>
      <x:c r="H47" s="9" t="str">
        <x:f>IF(G47="PASS","AUTHORIZED","HOLD")</x:f>
        <x:v>HOLD</x:v>
      </x:c>
    </x:row>
    <x:row r="48">
      <x:c r="B48" s="9" t="str">
        <x:v>G42</x:v>
      </x:c>
      <x:c r="C48" s="9" t="str">
        <x:v>Qualification execution</x:v>
      </x:c>
      <x:c r="D48" s="9" t="str">
        <x:v>Adapter trials completed</x:v>
      </x:c>
      <x:c r="E48" s="25" t="n">
        <x:f>IF(AND($G$42="PASS",'Controls'!$D$51=2,SUMIFS('Integration Trials'!G7:G16,'Integration Trials'!C7:C16,"EMERGENCY_ADAPTER")=2,SUMIFS('Integration Trials'!H7:H16,'Integration Trials'!C7:C16,"EMERGENCY_ADAPTER")=2),2,0)</x:f>
        <x:v>0</x:v>
      </x:c>
      <x:c r="F48" s="25" t="n">
        <x:v>2</x:v>
      </x:c>
      <x:c r="G48" s="9" t="str">
        <x:f>IF(ABS(E48-F48)&lt;0.000001,"PASS","OPEN")</x:f>
        <x:v>OPEN</x:v>
      </x:c>
      <x:c r="H48" s="9" t="str">
        <x:f>IF(G48="PASS","AUTHORIZED","HOLD")</x:f>
        <x:v>HOLD</x:v>
      </x:c>
    </x:row>
    <x:row r="49">
      <x:c r="B49" s="9" t="str">
        <x:v>G43</x:v>
      </x:c>
      <x:c r="C49" s="9" t="str">
        <x:v>Qualification execution</x:v>
      </x:c>
      <x:c r="D49" s="9" t="str">
        <x:v>Injected faults observed</x:v>
      </x:c>
      <x:c r="E49" s="25" t="n">
        <x:f>IF(AND($G$42="PASS",'Controls'!$D$52=24,SUM('Fault Matrix'!G23:G46)=24,SUM('Fault Matrix'!H23:H46)=24,SUM('Fault Matrix'!I23:I46)=24,COUNTIFS('Fault Matrix'!J23:J46,"PASS")=24),24,0)</x:f>
        <x:v>0</x:v>
      </x:c>
      <x:c r="F49" s="25" t="n">
        <x:v>24</x:v>
      </x:c>
      <x:c r="G49" s="9" t="str">
        <x:f>IF(ABS(E49-F49)&lt;0.000001,"PASS","OPEN")</x:f>
        <x:v>OPEN</x:v>
      </x:c>
      <x:c r="H49" s="9" t="str">
        <x:f>IF(G49="PASS","AUTHORIZED","HOLD")</x:f>
        <x:v>HOLD</x:v>
      </x:c>
    </x:row>
    <x:row r="50">
      <x:c r="B50" s="9" t="str">
        <x:v>G44</x:v>
      </x:c>
      <x:c r="C50" s="9" t="str">
        <x:v>Qualification execution</x:v>
      </x:c>
      <x:c r="D50" s="9" t="str">
        <x:v>Clean controls observed</x:v>
      </x:c>
      <x:c r="E50" s="25" t="n">
        <x:f>IF(AND($G$42="PASS",'Controls'!$D$53=24,SUM('Fault Matrix'!F52:F75)=24,COUNTIFS('Fault Matrix'!G52:G75,"PASS")=24),24,0)</x:f>
        <x:v>0</x:v>
      </x:c>
      <x:c r="F50" s="25" t="n">
        <x:v>24</x:v>
      </x:c>
      <x:c r="G50" s="9" t="str">
        <x:f>IF(ABS(E50-F50)&lt;0.000001,"PASS","OPEN")</x:f>
        <x:v>OPEN</x:v>
      </x:c>
      <x:c r="H50" s="9" t="str">
        <x:f>IF(G50="PASS","AUTHORIZED","HOLD")</x:f>
        <x:v>HOLD</x:v>
      </x:c>
    </x:row>
    <x:row r="51">
      <x:c r="B51" s="9" t="str">
        <x:v>G45</x:v>
      </x:c>
      <x:c r="C51" s="9" t="str">
        <x:v>Qualification execution</x:v>
      </x:c>
      <x:c r="D51" s="9" t="str">
        <x:v>Cold-reset trials completed</x:v>
      </x:c>
      <x:c r="E51" s="25" t="n">
        <x:f>IF(AND($G$42="PASS",'Controls'!$D$54=20,SUM('Cold Reset'!J7:J26)=20,SUM('Cold Reset'!K7:K26)=20,COUNTIFS('Cold Reset'!M7:M26,"ADMITTED")=20),20,0)</x:f>
        <x:v>0</x:v>
      </x:c>
      <x:c r="F51" s="25" t="n">
        <x:v>20</x:v>
      </x:c>
      <x:c r="G51" s="9" t="str">
        <x:f>IF(ABS(E51-F51)&lt;0.000001,"PASS","OPEN")</x:f>
        <x:v>OPEN</x:v>
      </x:c>
      <x:c r="H51" s="9" t="str">
        <x:f>IF(G51="PASS","AUTHORIZED","HOLD")</x:f>
        <x:v>HOLD</x:v>
      </x:c>
    </x:row>
    <x:row r="52">
      <x:c r="B52" s="9" t="str">
        <x:v>G46</x:v>
      </x:c>
      <x:c r="C52" s="9" t="str">
        <x:v>Qualification execution</x:v>
      </x:c>
      <x:c r="D52" s="9" t="str">
        <x:v>Root-independence packages accepted</x:v>
      </x:c>
      <x:c r="E52" s="25" t="n">
        <x:f>IF(AND($G$42="PASS",'Controls'!$D$55=2,COUNTIFS('Root Independence'!J7:J18,"ACCEPTED")=12),2,0)</x:f>
        <x:v>0</x:v>
      </x:c>
      <x:c r="F52" s="25" t="n">
        <x:v>2</x:v>
      </x:c>
      <x:c r="G52" s="9" t="str">
        <x:f>IF(ABS(E52-F52)&lt;0.000001,"PASS","OPEN")</x:f>
        <x:v>OPEN</x:v>
      </x:c>
      <x:c r="H52" s="9" t="str">
        <x:f>IF(G52="PASS","AUTHORIZED","HOLD")</x:f>
        <x:v>HOLD</x:v>
      </x:c>
    </x:row>
    <x:row r="53">
      <x:c r="B53" s="9" t="str">
        <x:v>G47</x:v>
      </x:c>
      <x:c r="C53" s="9" t="str">
        <x:v>Qualification execution</x:v>
      </x:c>
      <x:c r="D53" s="9" t="str">
        <x:v>Two-original evidence paths accepted</x:v>
      </x:c>
      <x:c r="E53" s="25" t="n">
        <x:f>IF($G$42="PASS",'Controls'!$D$56,0)</x:f>
        <x:v>0</x:v>
      </x:c>
      <x:c r="F53" s="25" t="n">
        <x:v>2</x:v>
      </x:c>
      <x:c r="G53" s="9" t="str">
        <x:f>IF(ABS(E53-F53)&lt;0.000001,"PASS","OPEN")</x:f>
        <x:v>OPEN</x:v>
      </x:c>
      <x:c r="H53" s="9" t="str">
        <x:f>IF(G53="PASS","AUTHORIZED","HOLD")</x:f>
        <x:v>HOLD</x:v>
      </x:c>
    </x:row>
    <x:row r="54">
      <x:c r="B54" s="9" t="str">
        <x:v>G48</x:v>
      </x:c>
      <x:c r="C54" s="9" t="str">
        <x:v>Qualification execution</x:v>
      </x:c>
      <x:c r="D54" s="9" t="str">
        <x:v>Environmental closure packages accepted</x:v>
      </x:c>
      <x:c r="E54" s="25" t="n">
        <x:f>IF($G$42="PASS",'Controls'!$D$57,0)</x:f>
        <x:v>0</x:v>
      </x:c>
      <x:c r="F54" s="25" t="n">
        <x:v>2</x:v>
      </x:c>
      <x:c r="G54" s="9" t="str">
        <x:f>IF(ABS(E54-F54)&lt;0.000001,"PASS","OPEN")</x:f>
        <x:v>OPEN</x:v>
      </x:c>
      <x:c r="H54" s="9" t="str">
        <x:f>IF(G54="PASS","AUTHORIZED","HOLD")</x:f>
        <x:v>HOLD</x:v>
      </x:c>
    </x:row>
    <x:row r="55">
      <x:c r="B55" s="9" t="str">
        <x:v>G49</x:v>
      </x:c>
      <x:c r="C55" s="9" t="str">
        <x:v>Qualification execution</x:v>
      </x:c>
      <x:c r="D55" s="9" t="str">
        <x:v>Protected shipset non-use established</x:v>
      </x:c>
      <x:c r="E55" s="25" t="n">
        <x:f>IF(AND($G$42="PASS",'Controls'!$D$58=1,'Controls'!$D$59=0),1,0)</x:f>
        <x:v>0</x:v>
      </x:c>
      <x:c r="F55" s="25" t="n">
        <x:v>1</x:v>
      </x:c>
      <x:c r="G55" s="9" t="str">
        <x:f>IF(ABS(E55-F55)&lt;0.000001,"PASS","OPEN")</x:f>
        <x:v>OPEN</x:v>
      </x:c>
      <x:c r="H55" s="9" t="str">
        <x:f>IF(G55="PASS","AUTHORIZED","HOLD")</x:f>
        <x:v>HOLD</x:v>
      </x:c>
    </x:row>
    <x:row r="56">
      <x:c r="B56" s="9" t="str">
        <x:v>G50</x:v>
      </x:c>
      <x:c r="C56" s="9" t="str">
        <x:v>Qualification execution</x:v>
      </x:c>
      <x:c r="D56" s="9" t="str">
        <x:v>Alert force no-borrow established</x:v>
      </x:c>
      <x:c r="E56" s="25" t="n">
        <x:f>IF(AND($G$42="PASS",'Controls'!$D$60=1,'Controls'!$D$61=0),1,0)</x:f>
        <x:v>0</x:v>
      </x:c>
      <x:c r="F56" s="25" t="n">
        <x:v>1</x:v>
      </x:c>
      <x:c r="G56" s="9" t="str">
        <x:f>IF(ABS(E56-F56)&lt;0.000001,"PASS","OPEN")</x:f>
        <x:v>OPEN</x:v>
      </x:c>
      <x:c r="H56" s="9" t="str">
        <x:f>IF(G56="PASS","AUTHORIZED","HOLD")</x:f>
        <x:v>HOLD</x:v>
      </x:c>
    </x:row>
    <x:row r="57">
      <x:c r="B57" s="9" t="str">
        <x:v>G51</x:v>
      </x:c>
      <x:c r="C57" s="9" t="str">
        <x:v>Qualification execution</x:v>
      </x:c>
      <x:c r="D57" s="9" t="str">
        <x:v>Independent replay families completed</x:v>
      </x:c>
      <x:c r="E57" s="25" t="n">
        <x:f>IF($G$42="PASS",'Controls'!$D$62,0)</x:f>
        <x:v>0</x:v>
      </x:c>
      <x:c r="F57" s="25" t="n">
        <x:v>10</x:v>
      </x:c>
      <x:c r="G57" s="9" t="str">
        <x:f>IF(ABS(E57-F57)&lt;0.000001,"PASS","OPEN")</x:f>
        <x:v>OPEN</x:v>
      </x:c>
      <x:c r="H57" s="9" t="str">
        <x:f>IF(G57="PASS","AUTHORIZED","HOLD")</x:f>
        <x:v>HOLD</x:v>
      </x:c>
    </x:row>
    <x:row r="58">
      <x:c r="B58" s="9" t="str">
        <x:v>G52</x:v>
      </x:c>
      <x:c r="C58" s="9" t="str">
        <x:v>CRC-E01</x:v>
      </x:c>
      <x:c r="D58" s="9" t="str">
        <x:v>Start admission issued</x:v>
      </x:c>
      <x:c r="E58" s="25" t="n">
        <x:f>IF(AND('Controls'!$D$63=1,COUNTIFS($G$39:$G$57,"PASS")=19),1,0)</x:f>
        <x:v>0</x:v>
      </x:c>
      <x:c r="F58" s="25" t="n">
        <x:v>1</x:v>
      </x:c>
      <x:c r="G58" s="9" t="str">
        <x:f>IF(ABS(E58-F58)&lt;0.000001,"PASS","OPEN")</x:f>
        <x:v>OPEN</x:v>
      </x:c>
      <x:c r="H58" s="9" t="str">
        <x:f>IF(G58="PASS","AUTHORIZED","HOLD")</x:f>
        <x:v>HOLD</x:v>
      </x:c>
    </x:row>
    <x:row r="59">
      <x:c r="B59" s="9" t="str">
        <x:v>G53</x:v>
      </x:c>
      <x:c r="C59" s="9" t="str">
        <x:v>Production</x:v>
      </x:c>
      <x:c r="D59" s="9" t="str">
        <x:v>Production authority issued</x:v>
      </x:c>
      <x:c r="E59" s="25" t="n">
        <x:f>IF(AND('Controls'!$D$64=1,$G$58="PASS"),1,0)</x:f>
        <x:v>0</x:v>
      </x:c>
      <x:c r="F59" s="25" t="n">
        <x:v>1</x:v>
      </x:c>
      <x:c r="G59" s="9" t="str">
        <x:f>IF(ABS(E59-F59)&lt;0.000001,"PASS","OPEN")</x:f>
        <x:v>OPEN</x:v>
      </x:c>
      <x:c r="H59" s="9" t="str">
        <x:f>IF(G59="PASS","AUTHORIZED","BLOCKED")</x:f>
        <x:v>BLOCKED</x:v>
      </x:c>
    </x:row>
    <x:row r="60">
      <x:c r="B60" s="10" t="str">
        <x:v>G54</x:v>
      </x:c>
      <x:c r="C60" s="10" t="str">
        <x:v>Exterior rendering</x:v>
      </x:c>
      <x:c r="D60" s="10" t="str">
        <x:v>Exterior rendering authority issued</x:v>
      </x:c>
      <x:c r="E60" s="27" t="n">
        <x:f>IF(AND('Controls'!$D$65=1,$G$59="PASS"),1,0)</x:f>
        <x:v>0</x:v>
      </x:c>
      <x:c r="F60" s="27" t="n">
        <x:v>1</x:v>
      </x:c>
      <x:c r="G60" s="10" t="str">
        <x:f>IF(ABS(E60-F60)&lt;0.000001,"PASS","OPEN")</x:f>
        <x:v>OPEN</x:v>
      </x:c>
      <x:c r="H60" s="10" t="str">
        <x:f>IF(G60="PASS","AUTHORIZED","BLOCKED")</x:f>
        <x:v>BLOCKED</x:v>
      </x:c>
    </x:row>
  </x:sheetData>
  <x:mergeCells>
    <x:mergeCell ref="B2:H2"/>
    <x:mergeCell ref="B3:H3"/>
  </x:mergeCells>
  <x:conditionalFormatting sqref="G7:H60">
    <x:cfRule type="containsText" dxfId="221" priority="1" operator="containsText" text="PASS"/>
    <x:cfRule type="containsText" dxfId="222" priority="2" operator="containsText" text="AUTHORIZED"/>
    <x:cfRule type="containsText" dxfId="223" priority="3" operator="containsText" text="DEFINED"/>
    <x:cfRule type="containsText" dxfId="224" priority="4" operator="containsText" text="READY"/>
    <x:cfRule type="containsText" dxfId="225" priority="5" operator="containsText" text="HOLD"/>
    <x:cfRule type="containsText" dxfId="226" priority="6" operator="containsText" text="OPEN"/>
    <x:cfRule type="containsText" dxfId="227" priority="7" operator="containsText" text="BLOCKED"/>
    <x:cfRule type="containsText" dxfId="228" priority="8" operator="containsText" text="PLANNING"/>
    <x:cfRule type="containsText" dxfId="229" priority="9" operator="containsText" text="FAIL"/>
    <x:cfRule type="containsText" dxfId="230" priority="10" operator="containsText" text="REJECT"/>
    <x:cfRule type="containsText" dxfId="231" priority="11" operator="containsText" text="LATE"/>
    <x:cfRule type="containsText" dxfId="232" priority="12" operator="containsText" text="INCOMPLETE"/>
    <x:cfRule type="containsText" dxfId="233" priority="13" operator="containsText" text="INDETERMINATE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5D6B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2" hidden="0" customWidth="1"/>
    <x:col min="3" max="3" width="18" hidden="0" customWidth="1"/>
    <x:col min="4" max="4" width="52" hidden="0" customWidth="1"/>
    <x:col min="5" max="5" width="18" hidden="0" customWidth="1"/>
    <x:col min="6" max="6" width="18" hidden="0" customWidth="1"/>
    <x:col min="7" max="7" width="16" hidden="0" customWidth="1"/>
  </x:cols>
  <x:sheetData>
    <x:row r="2">
      <x:c r="B2" s="31" t="str">
        <x:v>Independent workbook audit</x:v>
      </x:c>
      <x:c r="C2" s="8"/>
      <x:c r="D2" s="8"/>
      <x:c r="E2" s="8"/>
      <x:c r="F2" s="8"/>
      <x:c r="G2" s="8"/>
    </x:row>
    <x:row r="3">
      <x:c r="B3" s="2" t="str">
        <x:v>This terminal sheet tests source tables and release logic; no planning or release formula depends on it.</x:v>
      </x:c>
      <x:c r="C3" s="8"/>
      <x:c r="D3" s="8"/>
      <x:c r="E3" s="8"/>
      <x:c r="F3" s="8"/>
      <x:c r="G3" s="8"/>
    </x:row>
    <x:row r="4">
      <x:c r="B4" s="32"/>
      <x:c r="C4" s="32"/>
      <x:c r="D4" s="32"/>
      <x:c r="E4" s="32"/>
      <x:c r="F4" s="32"/>
      <x:c r="G4" s="32"/>
    </x:row>
    <x:row r="5">
      <x:c r="B5" s="8"/>
      <x:c r="C5" s="8"/>
      <x:c r="D5" s="8"/>
      <x:c r="E5" s="8"/>
      <x:c r="F5" s="8"/>
      <x:c r="G5" s="8"/>
    </x:row>
    <x:row r="6">
      <x:c r="B6" s="7" t="str">
        <x:v>Check</x:v>
      </x:c>
      <x:c r="C6" s="7" t="str">
        <x:v>Family</x:v>
      </x:c>
      <x:c r="D6" s="7" t="str">
        <x:v>Assertion</x:v>
      </x:c>
      <x:c r="E6" s="7" t="str">
        <x:v>Actual</x:v>
      </x:c>
      <x:c r="F6" s="7" t="str">
        <x:v>Expected</x:v>
      </x:c>
      <x:c r="G6" s="7" t="str">
        <x:v>Result</x:v>
      </x:c>
    </x:row>
    <x:row r="7">
      <x:c r="B7" s="9" t="str">
        <x:v>A001</x:v>
      </x:c>
      <x:c r="C7" s="9" t="str">
        <x:v>Registry</x:v>
      </x:c>
      <x:c r="D7" s="9" t="str">
        <x:v>Article rows equal control</x:v>
      </x:c>
      <x:c r="E7" s="25" t="n">
        <x:f>COUNTA('Article Bank'!B7:B136)</x:f>
        <x:v>130</x:v>
      </x:c>
      <x:c r="F7" s="25" t="n">
        <x:v>130</x:v>
      </x:c>
      <x:c r="G7" s="9" t="str">
        <x:f>IF(E7=F7,"PASS","FAIL")</x:f>
        <x:v>PASS</x:v>
      </x:c>
    </x:row>
    <x:row r="8">
      <x:c r="B8" s="9" t="str">
        <x:v>A002</x:v>
      </x:c>
      <x:c r="C8" s="9" t="str">
        <x:v>Registry</x:v>
      </x:c>
      <x:c r="D8" s="9" t="str">
        <x:v>Article quantities reconcile</x:v>
      </x:c>
      <x:c r="E8" s="25" t="n">
        <x:f>SUM('Article Bank'!G7:G136)</x:f>
        <x:v>130</x:v>
      </x:c>
      <x:c r="F8" s="25" t="n">
        <x:v>130</x:v>
      </x:c>
      <x:c r="G8" s="9" t="str">
        <x:f>IF(E8=F8,"PASS","FAIL")</x:f>
        <x:v>PASS</x:v>
      </x:c>
    </x:row>
    <x:row r="9">
      <x:c r="B9" s="9" t="str">
        <x:v>A003</x:v>
      </x:c>
      <x:c r="C9" s="9" t="str">
        <x:v>Registry</x:v>
      </x:c>
      <x:c r="D9" s="9" t="str">
        <x:v>Article identifiers are unique</x:v>
      </x:c>
      <x:c r="E9" s="25" t="n">
        <x:f>COUNTIFS('Article Bank'!J7:J136,"PASS")</x:f>
        <x:v>130</x:v>
      </x:c>
      <x:c r="F9" s="25" t="n">
        <x:v>130</x:v>
      </x:c>
      <x:c r="G9" s="9" t="str">
        <x:f>IF(E9=F9,"PASS","FAIL")</x:f>
        <x:v>PASS</x:v>
      </x:c>
    </x:row>
    <x:row r="10">
      <x:c r="B10" s="9" t="str">
        <x:v>A004</x:v>
      </x:c>
      <x:c r="C10" s="9" t="str">
        <x:v>Registry</x:v>
      </x:c>
      <x:c r="D10" s="9" t="str">
        <x:v>Protected shipset credit is zero</x:v>
      </x:c>
      <x:c r="E10" s="25" t="n">
        <x:f>SUM('Article Bank'!H7:H136)</x:f>
        <x:v>0</x:v>
      </x:c>
      <x:c r="F10" s="25" t="n">
        <x:v>0</x:v>
      </x:c>
      <x:c r="G10" s="9" t="str">
        <x:f>IF(E10=F10,"PASS","FAIL")</x:f>
        <x:v>PASS</x:v>
      </x:c>
    </x:row>
    <x:row r="11">
      <x:c r="B11" s="9" t="str">
        <x:v>A005</x:v>
      </x:c>
      <x:c r="C11" s="9" t="str">
        <x:v>Registry</x:v>
      </x:c>
      <x:c r="D11" s="9" t="str">
        <x:v>Physical article acceptance is zero</x:v>
      </x:c>
      <x:c r="E11" s="25" t="n">
        <x:f>SUM('Article Bank'!I7:I136)</x:f>
        <x:v>0</x:v>
      </x:c>
      <x:c r="F11" s="25" t="n">
        <x:v>0</x:v>
      </x:c>
      <x:c r="G11" s="9" t="str">
        <x:f>IF(E11=F11,"PASS","FAIL")</x:f>
        <x:v>PASS</x:v>
      </x:c>
    </x:row>
    <x:row r="12">
      <x:c r="B12" s="9" t="str">
        <x:v>A006</x:v>
      </x:c>
      <x:c r="C12" s="9" t="str">
        <x:v>Trials</x:v>
      </x:c>
      <x:c r="D12" s="9" t="str">
        <x:v>Interface trials reconcile</x:v>
      </x:c>
      <x:c r="E12" s="25" t="n">
        <x:f>COUNTA('Interface Trials'!B7:B66)</x:f>
        <x:v>60</x:v>
      </x:c>
      <x:c r="F12" s="25" t="n">
        <x:v>60</x:v>
      </x:c>
      <x:c r="G12" s="9" t="str">
        <x:f>IF(E12=F12,"PASS","FAIL")</x:f>
        <x:v>PASS</x:v>
      </x:c>
    </x:row>
    <x:row r="13">
      <x:c r="B13" s="9" t="str">
        <x:v>A007</x:v>
      </x:c>
      <x:c r="C13" s="9" t="str">
        <x:v>Trials</x:v>
      </x:c>
      <x:c r="D13" s="9" t="str">
        <x:v>Service-cell trials reconcile</x:v>
      </x:c>
      <x:c r="E13" s="25" t="n">
        <x:f>COUNTA('Service Cells'!B7:B24)</x:f>
        <x:v>18</x:v>
      </x:c>
      <x:c r="F13" s="25" t="n">
        <x:v>18</x:v>
      </x:c>
      <x:c r="G13" s="9" t="str">
        <x:f>IF(E13=F13,"PASS","FAIL")</x:f>
        <x:v>PASS</x:v>
      </x:c>
    </x:row>
    <x:row r="14">
      <x:c r="B14" s="9" t="str">
        <x:v>A008</x:v>
      </x:c>
      <x:c r="C14" s="9" t="str">
        <x:v>Trials</x:v>
      </x:c>
      <x:c r="D14" s="9" t="str">
        <x:v>Receiver-spine trials reconcile</x:v>
      </x:c>
      <x:c r="E14" s="25" t="n">
        <x:f>COUNTA('Receiver Worlds'!B15:B20)</x:f>
        <x:v>6</x:v>
      </x:c>
      <x:c r="F14" s="25" t="n">
        <x:v>6</x:v>
      </x:c>
      <x:c r="G14" s="9" t="str">
        <x:f>IF(E14=F14,"PASS","FAIL")</x:f>
        <x:v>PASS</x:v>
      </x:c>
    </x:row>
    <x:row r="15">
      <x:c r="B15" s="9" t="str">
        <x:v>A009</x:v>
      </x:c>
      <x:c r="C15" s="9" t="str">
        <x:v>Trials</x:v>
      </x:c>
      <x:c r="D15" s="9" t="str">
        <x:v>Integration trials reconcile</x:v>
      </x:c>
      <x:c r="E15" s="25" t="n">
        <x:f>COUNTA('Integration Trials'!B7:B16)</x:f>
        <x:v>10</x:v>
      </x:c>
      <x:c r="F15" s="25" t="n">
        <x:v>10</x:v>
      </x:c>
      <x:c r="G15" s="9" t="str">
        <x:f>IF(E15=F15,"PASS","FAIL")</x:f>
        <x:v>PASS</x:v>
      </x:c>
    </x:row>
    <x:row r="16">
      <x:c r="B16" s="9" t="str">
        <x:v>A010</x:v>
      </x:c>
      <x:c r="C16" s="9" t="str">
        <x:v>Trials</x:v>
      </x:c>
      <x:c r="D16" s="9" t="str">
        <x:v>Decision-bearing total reconciles</x:v>
      </x:c>
      <x:c r="E16" s="25" t="n">
        <x:f>COUNTA('Interface Trials'!B7:B66)+COUNTA('Service Cells'!B7:B24)+COUNTA('Receiver Worlds'!B15:B20)+COUNTA('Integration Trials'!B7:B16)</x:f>
        <x:v>94</x:v>
      </x:c>
      <x:c r="F16" s="25" t="n">
        <x:v>94</x:v>
      </x:c>
      <x:c r="G16" s="9" t="str">
        <x:f>IF(E16=F16,"PASS","FAIL")</x:f>
        <x:v>PASS</x:v>
      </x:c>
    </x:row>
    <x:row r="17">
      <x:c r="B17" s="9" t="str">
        <x:v>A011</x:v>
      </x:c>
      <x:c r="C17" s="9" t="str">
        <x:v>Challenge</x:v>
      </x:c>
      <x:c r="D17" s="9" t="str">
        <x:v>Fault assignments reconcile</x:v>
      </x:c>
      <x:c r="E17" s="25" t="n">
        <x:f>COUNTA('Fault Matrix'!B23:B46)</x:f>
        <x:v>24</x:v>
      </x:c>
      <x:c r="F17" s="25" t="n">
        <x:v>24</x:v>
      </x:c>
      <x:c r="G17" s="9" t="str">
        <x:f>IF(E17=F17,"PASS","FAIL")</x:f>
        <x:v>PASS</x:v>
      </x:c>
    </x:row>
    <x:row r="18">
      <x:c r="B18" s="9" t="str">
        <x:v>A012</x:v>
      </x:c>
      <x:c r="C18" s="9" t="str">
        <x:v>Challenge</x:v>
      </x:c>
      <x:c r="D18" s="9" t="str">
        <x:v>Clean controls reconcile</x:v>
      </x:c>
      <x:c r="E18" s="25" t="n">
        <x:f>COUNTA('Fault Matrix'!B52:B75)</x:f>
        <x:v>24</x:v>
      </x:c>
      <x:c r="F18" s="25" t="n">
        <x:v>24</x:v>
      </x:c>
      <x:c r="G18" s="9" t="str">
        <x:f>IF(E18=F18,"PASS","FAIL")</x:f>
        <x:v>PASS</x:v>
      </x:c>
    </x:row>
    <x:row r="19">
      <x:c r="B19" s="9" t="str">
        <x:v>A013</x:v>
      </x:c>
      <x:c r="C19" s="9" t="str">
        <x:v>Challenge</x:v>
      </x:c>
      <x:c r="D19" s="9" t="str">
        <x:v>Every fault family has two roots</x:v>
      </x:c>
      <x:c r="E19" s="25" t="n">
        <x:f>COUNTIFS('Fault Matrix'!G7:G18,"PASS")</x:f>
        <x:v>12</x:v>
      </x:c>
      <x:c r="F19" s="25" t="n">
        <x:v>12</x:v>
      </x:c>
      <x:c r="G19" s="9" t="str">
        <x:f>IF(E19=F19,"PASS","FAIL")</x:f>
        <x:v>PASS</x:v>
      </x:c>
    </x:row>
    <x:row r="20">
      <x:c r="B20" s="9" t="str">
        <x:v>A014</x:v>
      </x:c>
      <x:c r="C20" s="9" t="str">
        <x:v>Cold reset</x:v>
      </x:c>
      <x:c r="D20" s="9" t="str">
        <x:v>Cold-reset cohort reconciles</x:v>
      </x:c>
      <x:c r="E20" s="25" t="n">
        <x:f>COUNTA('Cold Reset'!B7:B26)</x:f>
        <x:v>20</x:v>
      </x:c>
      <x:c r="F20" s="25" t="n">
        <x:v>20</x:v>
      </x:c>
      <x:c r="G20" s="9" t="str">
        <x:f>IF(E20=F20,"PASS","FAIL")</x:f>
        <x:v>PASS</x:v>
      </x:c>
    </x:row>
    <x:row r="21">
      <x:c r="B21" s="9" t="str">
        <x:v>A015</x:v>
      </x:c>
      <x:c r="C21" s="9" t="str">
        <x:v>Cold reset</x:v>
      </x:c>
      <x:c r="D21" s="9" t="str">
        <x:v>Cold-reset planning gates pass</x:v>
      </x:c>
      <x:c r="E21" s="25" t="n">
        <x:f>COUNTIFS('Cold Reset'!L7:L26,"PASS")</x:f>
        <x:v>20</x:v>
      </x:c>
      <x:c r="F21" s="25" t="n">
        <x:v>20</x:v>
      </x:c>
      <x:c r="G21" s="9" t="str">
        <x:f>IF(E21=F21,"PASS","FAIL")</x:f>
        <x:v>PASS</x:v>
      </x:c>
    </x:row>
    <x:row r="22">
      <x:c r="B22" s="9" t="str">
        <x:v>A016</x:v>
      </x:c>
      <x:c r="C22" s="9" t="str">
        <x:v>Roots</x:v>
      </x:c>
      <x:c r="D22" s="9" t="str">
        <x:v>Root-independence planning gates pass</x:v>
      </x:c>
      <x:c r="E22" s="25" t="n">
        <x:f>COUNTIFS('Root Independence'!I7:I18,"PASS")</x:f>
        <x:v>12</x:v>
      </x:c>
      <x:c r="F22" s="25" t="n">
        <x:v>12</x:v>
      </x:c>
      <x:c r="G22" s="9" t="str">
        <x:f>IF(E22=F22,"PASS","FAIL")</x:f>
        <x:v>PASS</x:v>
      </x:c>
    </x:row>
    <x:row r="23">
      <x:c r="B23" s="9" t="str">
        <x:v>A017</x:v>
      </x:c>
      <x:c r="C23" s="9" t="str">
        <x:v>Schedule</x:v>
      </x:c>
      <x:c r="D23" s="9" t="str">
        <x:v>All schedule gates pass</x:v>
      </x:c>
      <x:c r="E23" s="25" t="n">
        <x:f>COUNTIFS(Schedule!J7:J16,"PASS")</x:f>
        <x:v>10</x:v>
      </x:c>
      <x:c r="F23" s="25" t="n">
        <x:v>10</x:v>
      </x:c>
      <x:c r="G23" s="9" t="str">
        <x:f>IF(E23=F23,"PASS","FAIL")</x:f>
        <x:v>PASS</x:v>
      </x:c>
    </x:row>
    <x:row r="24">
      <x:c r="B24" s="9" t="str">
        <x:v>A018</x:v>
      </x:c>
      <x:c r="C24" s="9" t="str">
        <x:v>Schedule</x:v>
      </x:c>
      <x:c r="D24" s="9" t="str">
        <x:v>Program closes in month 48</x:v>
      </x:c>
      <x:c r="E24" s="25" t="n">
        <x:f>MAX(Schedule!E7:E16)</x:f>
        <x:v>48</x:v>
      </x:c>
      <x:c r="F24" s="25" t="n">
        <x:v>48</x:v>
      </x:c>
      <x:c r="G24" s="9" t="str">
        <x:f>IF(E24=F24,"PASS","FAIL")</x:f>
        <x:v>PASS</x:v>
      </x:c>
    </x:row>
    <x:row r="25">
      <x:c r="B25" s="9" t="str">
        <x:v>A019</x:v>
      </x:c>
      <x:c r="C25" s="9" t="str">
        <x:v>Finance</x:v>
      </x:c>
      <x:c r="D25" s="9" t="str">
        <x:v>Capital program reconciles</x:v>
      </x:c>
      <x:c r="E25" s="25" t="n">
        <x:f>'Capital Draw'!C17</x:f>
        <x:v>13.9</x:v>
      </x:c>
      <x:c r="F25" s="25" t="n">
        <x:v>13.9</x:v>
      </x:c>
      <x:c r="G25" s="9" t="str">
        <x:f>IF(E25=F25,"PASS","FAIL")</x:f>
        <x:v>PASS</x:v>
      </x:c>
    </x:row>
    <x:row r="26">
      <x:c r="B26" s="9" t="str">
        <x:v>A020</x:v>
      </x:c>
      <x:c r="C26" s="9" t="str">
        <x:v>Finance</x:v>
      </x:c>
      <x:c r="D26" s="9" t="str">
        <x:v>Capital draw reconciles</x:v>
      </x:c>
      <x:c r="E26" s="25" t="n">
        <x:f>'Capital Draw'!D17</x:f>
        <x:v>2.9999999999999996</x:v>
      </x:c>
      <x:c r="F26" s="25" t="n">
        <x:v>3</x:v>
      </x:c>
      <x:c r="G26" s="9" t="str">
        <x:f>IF(E26=F26,"PASS","FAIL")</x:f>
        <x:v>PASS</x:v>
      </x:c>
    </x:row>
    <x:row r="27">
      <x:c r="B27" s="9" t="str">
        <x:v>A021</x:v>
      </x:c>
      <x:c r="C27" s="9" t="str">
        <x:v>Finance</x:v>
      </x:c>
      <x:c r="D27" s="9" t="str">
        <x:v>Annual support reconciles</x:v>
      </x:c>
      <x:c r="E27" s="25" t="n">
        <x:f>'Annual Draw'!C19</x:f>
        <x:v>1.086</x:v>
      </x:c>
      <x:c r="F27" s="25" t="n">
        <x:v>1.086</x:v>
      </x:c>
      <x:c r="G27" s="9" t="str">
        <x:f>IF(E27=F27,"PASS","FAIL")</x:f>
        <x:v>PASS</x:v>
      </x:c>
    </x:row>
    <x:row r="28">
      <x:c r="B28" s="9" t="str">
        <x:v>A022</x:v>
      </x:c>
      <x:c r="C28" s="9" t="str">
        <x:v>Finance</x:v>
      </x:c>
      <x:c r="D28" s="9" t="str">
        <x:v>Annual draw reconciles</x:v>
      </x:c>
      <x:c r="E28" s="25" t="n">
        <x:f>'Annual Draw'!D19</x:f>
        <x:v>0.72</x:v>
      </x:c>
      <x:c r="F28" s="25" t="n">
        <x:v>0.72</x:v>
      </x:c>
      <x:c r="G28" s="9" t="str">
        <x:f>IF(E28=F28,"PASS","FAIL")</x:f>
        <x:v>PASS</x:v>
      </x:c>
    </x:row>
    <x:row r="29">
      <x:c r="B29" s="9" t="str">
        <x:v>A023</x:v>
      </x:c>
      <x:c r="C29" s="9" t="str">
        <x:v>Finance</x:v>
      </x:c>
      <x:c r="D29" s="9" t="str">
        <x:v>Four-year operating draw reconciles</x:v>
      </x:c>
      <x:c r="E29" s="25" t="n">
        <x:f>'Annual Draw'!D26</x:f>
        <x:v>2.88</x:v>
      </x:c>
      <x:c r="F29" s="25" t="n">
        <x:v>2.88</x:v>
      </x:c>
      <x:c r="G29" s="9" t="str">
        <x:f>IF(E29=F29,"PASS","FAIL")</x:f>
        <x:v>PASS</x:v>
      </x:c>
    </x:row>
    <x:row r="30">
      <x:c r="B30" s="9" t="str">
        <x:v>A024</x:v>
      </x:c>
      <x:c r="C30" s="9" t="str">
        <x:v>Authority</x:v>
      </x:c>
      <x:c r="D30" s="9" t="str">
        <x:v>Planning package is authorized</x:v>
      </x:c>
      <x:c r="E30" s="25" t="str">
        <x:f>'Release Gates'!H38</x:f>
        <x:v>AUTHORIZED</x:v>
      </x:c>
      <x:c r="F30" s="25" t="str">
        <x:v>AUTHORIZED</x:v>
      </x:c>
      <x:c r="G30" s="9" t="str">
        <x:f>IF(E30=F30,"PASS","FAIL")</x:f>
        <x:v>PASS</x:v>
      </x:c>
    </x:row>
    <x:row r="31">
      <x:c r="B31" s="9" t="str">
        <x:v>A025</x:v>
      </x:c>
      <x:c r="C31" s="9" t="str">
        <x:v>Authority</x:v>
      </x:c>
      <x:c r="D31" s="9" t="str">
        <x:v>Production remains blocked</x:v>
      </x:c>
      <x:c r="E31" s="25" t="str">
        <x:f>'Release Gates'!H59</x:f>
        <x:v>BLOCKED</x:v>
      </x:c>
      <x:c r="F31" s="25" t="str">
        <x:v>BLOCKED</x:v>
      </x:c>
      <x:c r="G31" s="9" t="str">
        <x:f>IF(E31=F31,"PASS","FAIL")</x:f>
        <x:v>PASS</x:v>
      </x:c>
    </x:row>
    <x:row r="32">
      <x:c r="B32" s="9" t="str">
        <x:v>A026</x:v>
      </x:c>
      <x:c r="C32" s="9" t="str">
        <x:v>Authority</x:v>
      </x:c>
      <x:c r="D32" s="9" t="str">
        <x:v>Exterior rendering remains blocked</x:v>
      </x:c>
      <x:c r="E32" s="25" t="str">
        <x:f>'Release Gates'!H60</x:f>
        <x:v>BLOCKED</x:v>
      </x:c>
      <x:c r="F32" s="25" t="str">
        <x:v>BLOCKED</x:v>
      </x:c>
      <x:c r="G32" s="9" t="str">
        <x:f>IF(E32=F32,"PASS","FAIL")</x:f>
        <x:v>PASS</x:v>
      </x:c>
    </x:row>
    <x:row r="33">
      <x:c r="B33" s="9" t="str">
        <x:v>A027</x:v>
      </x:c>
      <x:c r="C33" s="9" t="str">
        <x:v>Release</x:v>
      </x:c>
      <x:c r="D33" s="9" t="str">
        <x:v>Release gate 01 baseline evidence state</x:v>
      </x:c>
      <x:c r="E33" s="25" t="str">
        <x:f>'Release Gates'!G7</x:f>
        <x:v>PASS</x:v>
      </x:c>
      <x:c r="F33" s="25" t="str">
        <x:v>PASS</x:v>
      </x:c>
      <x:c r="G33" s="9" t="str">
        <x:f>IF(E33=F33,"PASS","FAIL")</x:f>
        <x:v>PASS</x:v>
      </x:c>
    </x:row>
    <x:row r="34">
      <x:c r="B34" s="9" t="str">
        <x:v>A028</x:v>
      </x:c>
      <x:c r="C34" s="9" t="str">
        <x:v>Release</x:v>
      </x:c>
      <x:c r="D34" s="9" t="str">
        <x:v>Release gate 02 baseline evidence state</x:v>
      </x:c>
      <x:c r="E34" s="25" t="str">
        <x:f>'Release Gates'!G8</x:f>
        <x:v>PASS</x:v>
      </x:c>
      <x:c r="F34" s="25" t="str">
        <x:v>PASS</x:v>
      </x:c>
      <x:c r="G34" s="9" t="str">
        <x:f>IF(E34=F34,"PASS","FAIL")</x:f>
        <x:v>PASS</x:v>
      </x:c>
    </x:row>
    <x:row r="35">
      <x:c r="B35" s="9" t="str">
        <x:v>A029</x:v>
      </x:c>
      <x:c r="C35" s="9" t="str">
        <x:v>Release</x:v>
      </x:c>
      <x:c r="D35" s="9" t="str">
        <x:v>Release gate 03 baseline evidence state</x:v>
      </x:c>
      <x:c r="E35" s="25" t="str">
        <x:f>'Release Gates'!G9</x:f>
        <x:v>PASS</x:v>
      </x:c>
      <x:c r="F35" s="25" t="str">
        <x:v>PASS</x:v>
      </x:c>
      <x:c r="G35" s="9" t="str">
        <x:f>IF(E35=F35,"PASS","FAIL")</x:f>
        <x:v>PASS</x:v>
      </x:c>
    </x:row>
    <x:row r="36">
      <x:c r="B36" s="9" t="str">
        <x:v>A030</x:v>
      </x:c>
      <x:c r="C36" s="9" t="str">
        <x:v>Release</x:v>
      </x:c>
      <x:c r="D36" s="9" t="str">
        <x:v>Release gate 04 baseline evidence state</x:v>
      </x:c>
      <x:c r="E36" s="25" t="str">
        <x:f>'Release Gates'!G10</x:f>
        <x:v>PASS</x:v>
      </x:c>
      <x:c r="F36" s="25" t="str">
        <x:v>PASS</x:v>
      </x:c>
      <x:c r="G36" s="9" t="str">
        <x:f>IF(E36=F36,"PASS","FAIL")</x:f>
        <x:v>PASS</x:v>
      </x:c>
    </x:row>
    <x:row r="37">
      <x:c r="B37" s="9" t="str">
        <x:v>A031</x:v>
      </x:c>
      <x:c r="C37" s="9" t="str">
        <x:v>Release</x:v>
      </x:c>
      <x:c r="D37" s="9" t="str">
        <x:v>Release gate 05 baseline evidence state</x:v>
      </x:c>
      <x:c r="E37" s="25" t="str">
        <x:f>'Release Gates'!G11</x:f>
        <x:v>PASS</x:v>
      </x:c>
      <x:c r="F37" s="25" t="str">
        <x:v>PASS</x:v>
      </x:c>
      <x:c r="G37" s="9" t="str">
        <x:f>IF(E37=F37,"PASS","FAIL")</x:f>
        <x:v>PASS</x:v>
      </x:c>
    </x:row>
    <x:row r="38">
      <x:c r="B38" s="9" t="str">
        <x:v>A032</x:v>
      </x:c>
      <x:c r="C38" s="9" t="str">
        <x:v>Release</x:v>
      </x:c>
      <x:c r="D38" s="9" t="str">
        <x:v>Release gate 06 baseline evidence state</x:v>
      </x:c>
      <x:c r="E38" s="25" t="str">
        <x:f>'Release Gates'!G12</x:f>
        <x:v>PASS</x:v>
      </x:c>
      <x:c r="F38" s="25" t="str">
        <x:v>PASS</x:v>
      </x:c>
      <x:c r="G38" s="9" t="str">
        <x:f>IF(E38=F38,"PASS","FAIL")</x:f>
        <x:v>PASS</x:v>
      </x:c>
    </x:row>
    <x:row r="39">
      <x:c r="B39" s="9" t="str">
        <x:v>A033</x:v>
      </x:c>
      <x:c r="C39" s="9" t="str">
        <x:v>Release</x:v>
      </x:c>
      <x:c r="D39" s="9" t="str">
        <x:v>Release gate 07 baseline evidence state</x:v>
      </x:c>
      <x:c r="E39" s="25" t="str">
        <x:f>'Release Gates'!G13</x:f>
        <x:v>PASS</x:v>
      </x:c>
      <x:c r="F39" s="25" t="str">
        <x:v>PASS</x:v>
      </x:c>
      <x:c r="G39" s="9" t="str">
        <x:f>IF(E39=F39,"PASS","FAIL")</x:f>
        <x:v>PASS</x:v>
      </x:c>
    </x:row>
    <x:row r="40">
      <x:c r="B40" s="9" t="str">
        <x:v>A034</x:v>
      </x:c>
      <x:c r="C40" s="9" t="str">
        <x:v>Release</x:v>
      </x:c>
      <x:c r="D40" s="9" t="str">
        <x:v>Release gate 08 baseline evidence state</x:v>
      </x:c>
      <x:c r="E40" s="25" t="str">
        <x:f>'Release Gates'!G14</x:f>
        <x:v>PASS</x:v>
      </x:c>
      <x:c r="F40" s="25" t="str">
        <x:v>PASS</x:v>
      </x:c>
      <x:c r="G40" s="9" t="str">
        <x:f>IF(E40=F40,"PASS","FAIL")</x:f>
        <x:v>PASS</x:v>
      </x:c>
    </x:row>
    <x:row r="41">
      <x:c r="B41" s="9" t="str">
        <x:v>A035</x:v>
      </x:c>
      <x:c r="C41" s="9" t="str">
        <x:v>Release</x:v>
      </x:c>
      <x:c r="D41" s="9" t="str">
        <x:v>Release gate 09 baseline evidence state</x:v>
      </x:c>
      <x:c r="E41" s="25" t="str">
        <x:f>'Release Gates'!G15</x:f>
        <x:v>PASS</x:v>
      </x:c>
      <x:c r="F41" s="25" t="str">
        <x:v>PASS</x:v>
      </x:c>
      <x:c r="G41" s="9" t="str">
        <x:f>IF(E41=F41,"PASS","FAIL")</x:f>
        <x:v>PASS</x:v>
      </x:c>
    </x:row>
    <x:row r="42">
      <x:c r="B42" s="9" t="str">
        <x:v>A036</x:v>
      </x:c>
      <x:c r="C42" s="9" t="str">
        <x:v>Release</x:v>
      </x:c>
      <x:c r="D42" s="9" t="str">
        <x:v>Release gate 10 baseline evidence state</x:v>
      </x:c>
      <x:c r="E42" s="25" t="str">
        <x:f>'Release Gates'!G16</x:f>
        <x:v>PASS</x:v>
      </x:c>
      <x:c r="F42" s="25" t="str">
        <x:v>PASS</x:v>
      </x:c>
      <x:c r="G42" s="9" t="str">
        <x:f>IF(E42=F42,"PASS","FAIL")</x:f>
        <x:v>PASS</x:v>
      </x:c>
    </x:row>
    <x:row r="43">
      <x:c r="B43" s="9" t="str">
        <x:v>A037</x:v>
      </x:c>
      <x:c r="C43" s="9" t="str">
        <x:v>Release</x:v>
      </x:c>
      <x:c r="D43" s="9" t="str">
        <x:v>Release gate 11 baseline evidence state</x:v>
      </x:c>
      <x:c r="E43" s="25" t="str">
        <x:f>'Release Gates'!G17</x:f>
        <x:v>PASS</x:v>
      </x:c>
      <x:c r="F43" s="25" t="str">
        <x:v>PASS</x:v>
      </x:c>
      <x:c r="G43" s="9" t="str">
        <x:f>IF(E43=F43,"PASS","FAIL")</x:f>
        <x:v>PASS</x:v>
      </x:c>
    </x:row>
    <x:row r="44">
      <x:c r="B44" s="9" t="str">
        <x:v>A038</x:v>
      </x:c>
      <x:c r="C44" s="9" t="str">
        <x:v>Release</x:v>
      </x:c>
      <x:c r="D44" s="9" t="str">
        <x:v>Release gate 12 baseline evidence state</x:v>
      </x:c>
      <x:c r="E44" s="25" t="str">
        <x:f>'Release Gates'!G18</x:f>
        <x:v>PASS</x:v>
      </x:c>
      <x:c r="F44" s="25" t="str">
        <x:v>PASS</x:v>
      </x:c>
      <x:c r="G44" s="9" t="str">
        <x:f>IF(E44=F44,"PASS","FAIL")</x:f>
        <x:v>PASS</x:v>
      </x:c>
    </x:row>
    <x:row r="45">
      <x:c r="B45" s="9" t="str">
        <x:v>A039</x:v>
      </x:c>
      <x:c r="C45" s="9" t="str">
        <x:v>Release</x:v>
      </x:c>
      <x:c r="D45" s="9" t="str">
        <x:v>Release gate 13 baseline evidence state</x:v>
      </x:c>
      <x:c r="E45" s="25" t="str">
        <x:f>'Release Gates'!G19</x:f>
        <x:v>PASS</x:v>
      </x:c>
      <x:c r="F45" s="25" t="str">
        <x:v>PASS</x:v>
      </x:c>
      <x:c r="G45" s="9" t="str">
        <x:f>IF(E45=F45,"PASS","FAIL")</x:f>
        <x:v>PASS</x:v>
      </x:c>
    </x:row>
    <x:row r="46">
      <x:c r="B46" s="9" t="str">
        <x:v>A040</x:v>
      </x:c>
      <x:c r="C46" s="9" t="str">
        <x:v>Release</x:v>
      </x:c>
      <x:c r="D46" s="9" t="str">
        <x:v>Release gate 14 baseline evidence state</x:v>
      </x:c>
      <x:c r="E46" s="25" t="str">
        <x:f>'Release Gates'!G20</x:f>
        <x:v>PASS</x:v>
      </x:c>
      <x:c r="F46" s="25" t="str">
        <x:v>PASS</x:v>
      </x:c>
      <x:c r="G46" s="9" t="str">
        <x:f>IF(E46=F46,"PASS","FAIL")</x:f>
        <x:v>PASS</x:v>
      </x:c>
    </x:row>
    <x:row r="47">
      <x:c r="B47" s="9" t="str">
        <x:v>A041</x:v>
      </x:c>
      <x:c r="C47" s="9" t="str">
        <x:v>Release</x:v>
      </x:c>
      <x:c r="D47" s="9" t="str">
        <x:v>Release gate 15 baseline evidence state</x:v>
      </x:c>
      <x:c r="E47" s="25" t="str">
        <x:f>'Release Gates'!G21</x:f>
        <x:v>PASS</x:v>
      </x:c>
      <x:c r="F47" s="25" t="str">
        <x:v>PASS</x:v>
      </x:c>
      <x:c r="G47" s="9" t="str">
        <x:f>IF(E47=F47,"PASS","FAIL")</x:f>
        <x:v>PASS</x:v>
      </x:c>
    </x:row>
    <x:row r="48">
      <x:c r="B48" s="9" t="str">
        <x:v>A042</x:v>
      </x:c>
      <x:c r="C48" s="9" t="str">
        <x:v>Release</x:v>
      </x:c>
      <x:c r="D48" s="9" t="str">
        <x:v>Release gate 16 baseline evidence state</x:v>
      </x:c>
      <x:c r="E48" s="25" t="str">
        <x:f>'Release Gates'!G22</x:f>
        <x:v>PASS</x:v>
      </x:c>
      <x:c r="F48" s="25" t="str">
        <x:v>PASS</x:v>
      </x:c>
      <x:c r="G48" s="9" t="str">
        <x:f>IF(E48=F48,"PASS","FAIL")</x:f>
        <x:v>PASS</x:v>
      </x:c>
    </x:row>
    <x:row r="49">
      <x:c r="B49" s="9" t="str">
        <x:v>A043</x:v>
      </x:c>
      <x:c r="C49" s="9" t="str">
        <x:v>Release</x:v>
      </x:c>
      <x:c r="D49" s="9" t="str">
        <x:v>Release gate 17 baseline evidence state</x:v>
      </x:c>
      <x:c r="E49" s="25" t="str">
        <x:f>'Release Gates'!G23</x:f>
        <x:v>PASS</x:v>
      </x:c>
      <x:c r="F49" s="25" t="str">
        <x:v>PASS</x:v>
      </x:c>
      <x:c r="G49" s="9" t="str">
        <x:f>IF(E49=F49,"PASS","FAIL")</x:f>
        <x:v>PASS</x:v>
      </x:c>
    </x:row>
    <x:row r="50">
      <x:c r="B50" s="9" t="str">
        <x:v>A044</x:v>
      </x:c>
      <x:c r="C50" s="9" t="str">
        <x:v>Release</x:v>
      </x:c>
      <x:c r="D50" s="9" t="str">
        <x:v>Release gate 18 baseline evidence state</x:v>
      </x:c>
      <x:c r="E50" s="25" t="str">
        <x:f>'Release Gates'!G24</x:f>
        <x:v>PASS</x:v>
      </x:c>
      <x:c r="F50" s="25" t="str">
        <x:v>PASS</x:v>
      </x:c>
      <x:c r="G50" s="9" t="str">
        <x:f>IF(E50=F50,"PASS","FAIL")</x:f>
        <x:v>PASS</x:v>
      </x:c>
    </x:row>
    <x:row r="51">
      <x:c r="B51" s="9" t="str">
        <x:v>A045</x:v>
      </x:c>
      <x:c r="C51" s="9" t="str">
        <x:v>Release</x:v>
      </x:c>
      <x:c r="D51" s="9" t="str">
        <x:v>Release gate 19 baseline evidence state</x:v>
      </x:c>
      <x:c r="E51" s="25" t="str">
        <x:f>'Release Gates'!G25</x:f>
        <x:v>PASS</x:v>
      </x:c>
      <x:c r="F51" s="25" t="str">
        <x:v>PASS</x:v>
      </x:c>
      <x:c r="G51" s="9" t="str">
        <x:f>IF(E51=F51,"PASS","FAIL")</x:f>
        <x:v>PASS</x:v>
      </x:c>
    </x:row>
    <x:row r="52">
      <x:c r="B52" s="9" t="str">
        <x:v>A046</x:v>
      </x:c>
      <x:c r="C52" s="9" t="str">
        <x:v>Release</x:v>
      </x:c>
      <x:c r="D52" s="9" t="str">
        <x:v>Release gate 20 baseline evidence state</x:v>
      </x:c>
      <x:c r="E52" s="25" t="str">
        <x:f>'Release Gates'!G26</x:f>
        <x:v>PASS</x:v>
      </x:c>
      <x:c r="F52" s="25" t="str">
        <x:v>PASS</x:v>
      </x:c>
      <x:c r="G52" s="9" t="str">
        <x:f>IF(E52=F52,"PASS","FAIL")</x:f>
        <x:v>PASS</x:v>
      </x:c>
    </x:row>
    <x:row r="53">
      <x:c r="B53" s="9" t="str">
        <x:v>A047</x:v>
      </x:c>
      <x:c r="C53" s="9" t="str">
        <x:v>Release</x:v>
      </x:c>
      <x:c r="D53" s="9" t="str">
        <x:v>Release gate 21 baseline evidence state</x:v>
      </x:c>
      <x:c r="E53" s="25" t="str">
        <x:f>'Release Gates'!G27</x:f>
        <x:v>PASS</x:v>
      </x:c>
      <x:c r="F53" s="25" t="str">
        <x:v>PASS</x:v>
      </x:c>
      <x:c r="G53" s="9" t="str">
        <x:f>IF(E53=F53,"PASS","FAIL")</x:f>
        <x:v>PASS</x:v>
      </x:c>
    </x:row>
    <x:row r="54">
      <x:c r="B54" s="9" t="str">
        <x:v>A048</x:v>
      </x:c>
      <x:c r="C54" s="9" t="str">
        <x:v>Release</x:v>
      </x:c>
      <x:c r="D54" s="9" t="str">
        <x:v>Release gate 22 baseline evidence state</x:v>
      </x:c>
      <x:c r="E54" s="25" t="str">
        <x:f>'Release Gates'!G28</x:f>
        <x:v>PASS</x:v>
      </x:c>
      <x:c r="F54" s="25" t="str">
        <x:v>PASS</x:v>
      </x:c>
      <x:c r="G54" s="9" t="str">
        <x:f>IF(E54=F54,"PASS","FAIL")</x:f>
        <x:v>PASS</x:v>
      </x:c>
    </x:row>
    <x:row r="55">
      <x:c r="B55" s="9" t="str">
        <x:v>A049</x:v>
      </x:c>
      <x:c r="C55" s="9" t="str">
        <x:v>Release</x:v>
      </x:c>
      <x:c r="D55" s="9" t="str">
        <x:v>Release gate 23 baseline evidence state</x:v>
      </x:c>
      <x:c r="E55" s="25" t="str">
        <x:f>'Release Gates'!G29</x:f>
        <x:v>PASS</x:v>
      </x:c>
      <x:c r="F55" s="25" t="str">
        <x:v>PASS</x:v>
      </x:c>
      <x:c r="G55" s="9" t="str">
        <x:f>IF(E55=F55,"PASS","FAIL")</x:f>
        <x:v>PASS</x:v>
      </x:c>
    </x:row>
    <x:row r="56">
      <x:c r="B56" s="9" t="str">
        <x:v>A050</x:v>
      </x:c>
      <x:c r="C56" s="9" t="str">
        <x:v>Release</x:v>
      </x:c>
      <x:c r="D56" s="9" t="str">
        <x:v>Release gate 24 baseline evidence state</x:v>
      </x:c>
      <x:c r="E56" s="25" t="str">
        <x:f>'Release Gates'!G30</x:f>
        <x:v>PASS</x:v>
      </x:c>
      <x:c r="F56" s="25" t="str">
        <x:v>PASS</x:v>
      </x:c>
      <x:c r="G56" s="9" t="str">
        <x:f>IF(E56=F56,"PASS","FAIL")</x:f>
        <x:v>PASS</x:v>
      </x:c>
    </x:row>
    <x:row r="57">
      <x:c r="B57" s="9" t="str">
        <x:v>A051</x:v>
      </x:c>
      <x:c r="C57" s="9" t="str">
        <x:v>Release</x:v>
      </x:c>
      <x:c r="D57" s="9" t="str">
        <x:v>Release gate 25 baseline evidence state</x:v>
      </x:c>
      <x:c r="E57" s="25" t="str">
        <x:f>'Release Gates'!G31</x:f>
        <x:v>PASS</x:v>
      </x:c>
      <x:c r="F57" s="25" t="str">
        <x:v>PASS</x:v>
      </x:c>
      <x:c r="G57" s="9" t="str">
        <x:f>IF(E57=F57,"PASS","FAIL")</x:f>
        <x:v>PASS</x:v>
      </x:c>
    </x:row>
    <x:row r="58">
      <x:c r="B58" s="9" t="str">
        <x:v>A052</x:v>
      </x:c>
      <x:c r="C58" s="9" t="str">
        <x:v>Release</x:v>
      </x:c>
      <x:c r="D58" s="9" t="str">
        <x:v>Release gate 26 baseline evidence state</x:v>
      </x:c>
      <x:c r="E58" s="25" t="str">
        <x:f>'Release Gates'!G32</x:f>
        <x:v>PASS</x:v>
      </x:c>
      <x:c r="F58" s="25" t="str">
        <x:v>PASS</x:v>
      </x:c>
      <x:c r="G58" s="9" t="str">
        <x:f>IF(E58=F58,"PASS","FAIL")</x:f>
        <x:v>PASS</x:v>
      </x:c>
    </x:row>
    <x:row r="59">
      <x:c r="B59" s="9" t="str">
        <x:v>A053</x:v>
      </x:c>
      <x:c r="C59" s="9" t="str">
        <x:v>Release</x:v>
      </x:c>
      <x:c r="D59" s="9" t="str">
        <x:v>Release gate 27 baseline evidence state</x:v>
      </x:c>
      <x:c r="E59" s="25" t="str">
        <x:f>'Release Gates'!G33</x:f>
        <x:v>PASS</x:v>
      </x:c>
      <x:c r="F59" s="25" t="str">
        <x:v>PASS</x:v>
      </x:c>
      <x:c r="G59" s="9" t="str">
        <x:f>IF(E59=F59,"PASS","FAIL")</x:f>
        <x:v>PASS</x:v>
      </x:c>
    </x:row>
    <x:row r="60">
      <x:c r="B60" s="9" t="str">
        <x:v>A054</x:v>
      </x:c>
      <x:c r="C60" s="9" t="str">
        <x:v>Release</x:v>
      </x:c>
      <x:c r="D60" s="9" t="str">
        <x:v>Release gate 28 baseline evidence state</x:v>
      </x:c>
      <x:c r="E60" s="25" t="str">
        <x:f>'Release Gates'!G34</x:f>
        <x:v>PASS</x:v>
      </x:c>
      <x:c r="F60" s="25" t="str">
        <x:v>PASS</x:v>
      </x:c>
      <x:c r="G60" s="9" t="str">
        <x:f>IF(E60=F60,"PASS","FAIL")</x:f>
        <x:v>PASS</x:v>
      </x:c>
    </x:row>
    <x:row r="61">
      <x:c r="B61" s="9" t="str">
        <x:v>A055</x:v>
      </x:c>
      <x:c r="C61" s="9" t="str">
        <x:v>Release</x:v>
      </x:c>
      <x:c r="D61" s="9" t="str">
        <x:v>Release gate 29 baseline evidence state</x:v>
      </x:c>
      <x:c r="E61" s="25" t="str">
        <x:f>'Release Gates'!G35</x:f>
        <x:v>PASS</x:v>
      </x:c>
      <x:c r="F61" s="25" t="str">
        <x:v>PASS</x:v>
      </x:c>
      <x:c r="G61" s="9" t="str">
        <x:f>IF(E61=F61,"PASS","FAIL")</x:f>
        <x:v>PASS</x:v>
      </x:c>
    </x:row>
    <x:row r="62">
      <x:c r="B62" s="9" t="str">
        <x:v>A056</x:v>
      </x:c>
      <x:c r="C62" s="9" t="str">
        <x:v>Release</x:v>
      </x:c>
      <x:c r="D62" s="9" t="str">
        <x:v>Release gate 30 baseline evidence state</x:v>
      </x:c>
      <x:c r="E62" s="25" t="str">
        <x:f>'Release Gates'!G36</x:f>
        <x:v>PASS</x:v>
      </x:c>
      <x:c r="F62" s="25" t="str">
        <x:v>PASS</x:v>
      </x:c>
      <x:c r="G62" s="9" t="str">
        <x:f>IF(E62=F62,"PASS","FAIL")</x:f>
        <x:v>PASS</x:v>
      </x:c>
    </x:row>
    <x:row r="63">
      <x:c r="B63" s="9" t="str">
        <x:v>A057</x:v>
      </x:c>
      <x:c r="C63" s="9" t="str">
        <x:v>Release</x:v>
      </x:c>
      <x:c r="D63" s="9" t="str">
        <x:v>Release gate 31 baseline evidence state</x:v>
      </x:c>
      <x:c r="E63" s="25" t="str">
        <x:f>'Release Gates'!G37</x:f>
        <x:v>PASS</x:v>
      </x:c>
      <x:c r="F63" s="25" t="str">
        <x:v>PASS</x:v>
      </x:c>
      <x:c r="G63" s="9" t="str">
        <x:f>IF(E63=F63,"PASS","FAIL")</x:f>
        <x:v>PASS</x:v>
      </x:c>
    </x:row>
    <x:row r="64">
      <x:c r="B64" s="9" t="str">
        <x:v>A058</x:v>
      </x:c>
      <x:c r="C64" s="9" t="str">
        <x:v>Release</x:v>
      </x:c>
      <x:c r="D64" s="9" t="str">
        <x:v>Release gate 32 baseline evidence state</x:v>
      </x:c>
      <x:c r="E64" s="25" t="str">
        <x:f>'Release Gates'!G38</x:f>
        <x:v>PASS</x:v>
      </x:c>
      <x:c r="F64" s="25" t="str">
        <x:v>PASS</x:v>
      </x:c>
      <x:c r="G64" s="9" t="str">
        <x:f>IF(E64=F64,"PASS","FAIL")</x:f>
        <x:v>PASS</x:v>
      </x:c>
    </x:row>
    <x:row r="65">
      <x:c r="B65" s="9" t="str">
        <x:v>A059</x:v>
      </x:c>
      <x:c r="C65" s="9" t="str">
        <x:v>Release</x:v>
      </x:c>
      <x:c r="D65" s="9" t="str">
        <x:v>Release gate 33 baseline evidence state</x:v>
      </x:c>
      <x:c r="E65" s="25" t="str">
        <x:f>'Release Gates'!G39</x:f>
        <x:v>OPEN</x:v>
      </x:c>
      <x:c r="F65" s="25" t="str">
        <x:v>OPEN</x:v>
      </x:c>
      <x:c r="G65" s="9" t="str">
        <x:f>IF(E65=F65,"PASS","FAIL")</x:f>
        <x:v>PASS</x:v>
      </x:c>
    </x:row>
    <x:row r="66">
      <x:c r="B66" s="9" t="str">
        <x:v>A060</x:v>
      </x:c>
      <x:c r="C66" s="9" t="str">
        <x:v>Release</x:v>
      </x:c>
      <x:c r="D66" s="9" t="str">
        <x:v>Release gate 34 baseline evidence state</x:v>
      </x:c>
      <x:c r="E66" s="25" t="str">
        <x:f>'Release Gates'!G40</x:f>
        <x:v>OPEN</x:v>
      </x:c>
      <x:c r="F66" s="25" t="str">
        <x:v>OPEN</x:v>
      </x:c>
      <x:c r="G66" s="9" t="str">
        <x:f>IF(E66=F66,"PASS","FAIL")</x:f>
        <x:v>PASS</x:v>
      </x:c>
    </x:row>
    <x:row r="67">
      <x:c r="B67" s="9" t="str">
        <x:v>A061</x:v>
      </x:c>
      <x:c r="C67" s="9" t="str">
        <x:v>Release</x:v>
      </x:c>
      <x:c r="D67" s="9" t="str">
        <x:v>Release gate 35 baseline evidence state</x:v>
      </x:c>
      <x:c r="E67" s="25" t="str">
        <x:f>'Release Gates'!G41</x:f>
        <x:v>OPEN</x:v>
      </x:c>
      <x:c r="F67" s="25" t="str">
        <x:v>OPEN</x:v>
      </x:c>
      <x:c r="G67" s="9" t="str">
        <x:f>IF(E67=F67,"PASS","FAIL")</x:f>
        <x:v>PASS</x:v>
      </x:c>
    </x:row>
    <x:row r="68">
      <x:c r="B68" s="9" t="str">
        <x:v>A062</x:v>
      </x:c>
      <x:c r="C68" s="9" t="str">
        <x:v>Release</x:v>
      </x:c>
      <x:c r="D68" s="9" t="str">
        <x:v>Release gate 36 baseline evidence state</x:v>
      </x:c>
      <x:c r="E68" s="25" t="str">
        <x:f>'Release Gates'!G42</x:f>
        <x:v>OPEN</x:v>
      </x:c>
      <x:c r="F68" s="25" t="str">
        <x:v>OPEN</x:v>
      </x:c>
      <x:c r="G68" s="9" t="str">
        <x:f>IF(E68=F68,"PASS","FAIL")</x:f>
        <x:v>PASS</x:v>
      </x:c>
    </x:row>
    <x:row r="69">
      <x:c r="B69" s="9" t="str">
        <x:v>A063</x:v>
      </x:c>
      <x:c r="C69" s="9" t="str">
        <x:v>Release</x:v>
      </x:c>
      <x:c r="D69" s="9" t="str">
        <x:v>Release gate 37 baseline evidence state</x:v>
      </x:c>
      <x:c r="E69" s="25" t="str">
        <x:f>'Release Gates'!G43</x:f>
        <x:v>OPEN</x:v>
      </x:c>
      <x:c r="F69" s="25" t="str">
        <x:v>OPEN</x:v>
      </x:c>
      <x:c r="G69" s="9" t="str">
        <x:f>IF(E69=F69,"PASS","FAIL")</x:f>
        <x:v>PASS</x:v>
      </x:c>
    </x:row>
    <x:row r="70">
      <x:c r="B70" s="9" t="str">
        <x:v>A064</x:v>
      </x:c>
      <x:c r="C70" s="9" t="str">
        <x:v>Release</x:v>
      </x:c>
      <x:c r="D70" s="9" t="str">
        <x:v>Release gate 38 baseline evidence state</x:v>
      </x:c>
      <x:c r="E70" s="25" t="str">
        <x:f>'Release Gates'!G44</x:f>
        <x:v>OPEN</x:v>
      </x:c>
      <x:c r="F70" s="25" t="str">
        <x:v>OPEN</x:v>
      </x:c>
      <x:c r="G70" s="9" t="str">
        <x:f>IF(E70=F70,"PASS","FAIL")</x:f>
        <x:v>PASS</x:v>
      </x:c>
    </x:row>
    <x:row r="71">
      <x:c r="B71" s="9" t="str">
        <x:v>A065</x:v>
      </x:c>
      <x:c r="C71" s="9" t="str">
        <x:v>Release</x:v>
      </x:c>
      <x:c r="D71" s="9" t="str">
        <x:v>Release gate 39 baseline evidence state</x:v>
      </x:c>
      <x:c r="E71" s="25" t="str">
        <x:f>'Release Gates'!G45</x:f>
        <x:v>OPEN</x:v>
      </x:c>
      <x:c r="F71" s="25" t="str">
        <x:v>OPEN</x:v>
      </x:c>
      <x:c r="G71" s="9" t="str">
        <x:f>IF(E71=F71,"PASS","FAIL")</x:f>
        <x:v>PASS</x:v>
      </x:c>
    </x:row>
    <x:row r="72">
      <x:c r="B72" s="9" t="str">
        <x:v>A066</x:v>
      </x:c>
      <x:c r="C72" s="9" t="str">
        <x:v>Release</x:v>
      </x:c>
      <x:c r="D72" s="9" t="str">
        <x:v>Release gate 40 baseline evidence state</x:v>
      </x:c>
      <x:c r="E72" s="25" t="str">
        <x:f>'Release Gates'!G46</x:f>
        <x:v>OPEN</x:v>
      </x:c>
      <x:c r="F72" s="25" t="str">
        <x:v>OPEN</x:v>
      </x:c>
      <x:c r="G72" s="9" t="str">
        <x:f>IF(E72=F72,"PASS","FAIL")</x:f>
        <x:v>PASS</x:v>
      </x:c>
    </x:row>
    <x:row r="73">
      <x:c r="B73" s="9" t="str">
        <x:v>A067</x:v>
      </x:c>
      <x:c r="C73" s="9" t="str">
        <x:v>Release</x:v>
      </x:c>
      <x:c r="D73" s="9" t="str">
        <x:v>Release gate 41 baseline evidence state</x:v>
      </x:c>
      <x:c r="E73" s="25" t="str">
        <x:f>'Release Gates'!G47</x:f>
        <x:v>OPEN</x:v>
      </x:c>
      <x:c r="F73" s="25" t="str">
        <x:v>OPEN</x:v>
      </x:c>
      <x:c r="G73" s="9" t="str">
        <x:f>IF(E73=F73,"PASS","FAIL")</x:f>
        <x:v>PASS</x:v>
      </x:c>
    </x:row>
    <x:row r="74">
      <x:c r="B74" s="9" t="str">
        <x:v>A068</x:v>
      </x:c>
      <x:c r="C74" s="9" t="str">
        <x:v>Release</x:v>
      </x:c>
      <x:c r="D74" s="9" t="str">
        <x:v>Release gate 42 baseline evidence state</x:v>
      </x:c>
      <x:c r="E74" s="25" t="str">
        <x:f>'Release Gates'!G48</x:f>
        <x:v>OPEN</x:v>
      </x:c>
      <x:c r="F74" s="25" t="str">
        <x:v>OPEN</x:v>
      </x:c>
      <x:c r="G74" s="9" t="str">
        <x:f>IF(E74=F74,"PASS","FAIL")</x:f>
        <x:v>PASS</x:v>
      </x:c>
    </x:row>
    <x:row r="75">
      <x:c r="B75" s="9" t="str">
        <x:v>A069</x:v>
      </x:c>
      <x:c r="C75" s="9" t="str">
        <x:v>Release</x:v>
      </x:c>
      <x:c r="D75" s="9" t="str">
        <x:v>Release gate 43 baseline evidence state</x:v>
      </x:c>
      <x:c r="E75" s="25" t="str">
        <x:f>'Release Gates'!G49</x:f>
        <x:v>OPEN</x:v>
      </x:c>
      <x:c r="F75" s="25" t="str">
        <x:v>OPEN</x:v>
      </x:c>
      <x:c r="G75" s="9" t="str">
        <x:f>IF(E75=F75,"PASS","FAIL")</x:f>
        <x:v>PASS</x:v>
      </x:c>
    </x:row>
    <x:row r="76">
      <x:c r="B76" s="9" t="str">
        <x:v>A070</x:v>
      </x:c>
      <x:c r="C76" s="9" t="str">
        <x:v>Release</x:v>
      </x:c>
      <x:c r="D76" s="9" t="str">
        <x:v>Release gate 44 baseline evidence state</x:v>
      </x:c>
      <x:c r="E76" s="25" t="str">
        <x:f>'Release Gates'!G50</x:f>
        <x:v>OPEN</x:v>
      </x:c>
      <x:c r="F76" s="25" t="str">
        <x:v>OPEN</x:v>
      </x:c>
      <x:c r="G76" s="9" t="str">
        <x:f>IF(E76=F76,"PASS","FAIL")</x:f>
        <x:v>PASS</x:v>
      </x:c>
    </x:row>
    <x:row r="77">
      <x:c r="B77" s="9" t="str">
        <x:v>A071</x:v>
      </x:c>
      <x:c r="C77" s="9" t="str">
        <x:v>Release</x:v>
      </x:c>
      <x:c r="D77" s="9" t="str">
        <x:v>Release gate 45 baseline evidence state</x:v>
      </x:c>
      <x:c r="E77" s="25" t="str">
        <x:f>'Release Gates'!G51</x:f>
        <x:v>OPEN</x:v>
      </x:c>
      <x:c r="F77" s="25" t="str">
        <x:v>OPEN</x:v>
      </x:c>
      <x:c r="G77" s="9" t="str">
        <x:f>IF(E77=F77,"PASS","FAIL")</x:f>
        <x:v>PASS</x:v>
      </x:c>
    </x:row>
    <x:row r="78">
      <x:c r="B78" s="9" t="str">
        <x:v>A072</x:v>
      </x:c>
      <x:c r="C78" s="9" t="str">
        <x:v>Release</x:v>
      </x:c>
      <x:c r="D78" s="9" t="str">
        <x:v>Release gate 46 baseline evidence state</x:v>
      </x:c>
      <x:c r="E78" s="25" t="str">
        <x:f>'Release Gates'!G52</x:f>
        <x:v>OPEN</x:v>
      </x:c>
      <x:c r="F78" s="25" t="str">
        <x:v>OPEN</x:v>
      </x:c>
      <x:c r="G78" s="9" t="str">
        <x:f>IF(E78=F78,"PASS","FAIL")</x:f>
        <x:v>PASS</x:v>
      </x:c>
    </x:row>
    <x:row r="79">
      <x:c r="B79" s="9" t="str">
        <x:v>A073</x:v>
      </x:c>
      <x:c r="C79" s="9" t="str">
        <x:v>Release</x:v>
      </x:c>
      <x:c r="D79" s="9" t="str">
        <x:v>Release gate 47 baseline evidence state</x:v>
      </x:c>
      <x:c r="E79" s="25" t="str">
        <x:f>'Release Gates'!G53</x:f>
        <x:v>OPEN</x:v>
      </x:c>
      <x:c r="F79" s="25" t="str">
        <x:v>OPEN</x:v>
      </x:c>
      <x:c r="G79" s="9" t="str">
        <x:f>IF(E79=F79,"PASS","FAIL")</x:f>
        <x:v>PASS</x:v>
      </x:c>
    </x:row>
    <x:row r="80">
      <x:c r="B80" s="9" t="str">
        <x:v>A074</x:v>
      </x:c>
      <x:c r="C80" s="9" t="str">
        <x:v>Release</x:v>
      </x:c>
      <x:c r="D80" s="9" t="str">
        <x:v>Release gate 48 baseline evidence state</x:v>
      </x:c>
      <x:c r="E80" s="25" t="str">
        <x:f>'Release Gates'!G54</x:f>
        <x:v>OPEN</x:v>
      </x:c>
      <x:c r="F80" s="25" t="str">
        <x:v>OPEN</x:v>
      </x:c>
      <x:c r="G80" s="9" t="str">
        <x:f>IF(E80=F80,"PASS","FAIL")</x:f>
        <x:v>PASS</x:v>
      </x:c>
    </x:row>
    <x:row r="81">
      <x:c r="B81" s="9" t="str">
        <x:v>A075</x:v>
      </x:c>
      <x:c r="C81" s="9" t="str">
        <x:v>Release</x:v>
      </x:c>
      <x:c r="D81" s="9" t="str">
        <x:v>Release gate 49 baseline evidence state</x:v>
      </x:c>
      <x:c r="E81" s="25" t="str">
        <x:f>'Release Gates'!G55</x:f>
        <x:v>OPEN</x:v>
      </x:c>
      <x:c r="F81" s="25" t="str">
        <x:v>OPEN</x:v>
      </x:c>
      <x:c r="G81" s="9" t="str">
        <x:f>IF(E81=F81,"PASS","FAIL")</x:f>
        <x:v>PASS</x:v>
      </x:c>
    </x:row>
    <x:row r="82">
      <x:c r="B82" s="9" t="str">
        <x:v>A076</x:v>
      </x:c>
      <x:c r="C82" s="9" t="str">
        <x:v>Release</x:v>
      </x:c>
      <x:c r="D82" s="9" t="str">
        <x:v>Release gate 50 baseline evidence state</x:v>
      </x:c>
      <x:c r="E82" s="25" t="str">
        <x:f>'Release Gates'!G56</x:f>
        <x:v>OPEN</x:v>
      </x:c>
      <x:c r="F82" s="25" t="str">
        <x:v>OPEN</x:v>
      </x:c>
      <x:c r="G82" s="9" t="str">
        <x:f>IF(E82=F82,"PASS","FAIL")</x:f>
        <x:v>PASS</x:v>
      </x:c>
    </x:row>
    <x:row r="83">
      <x:c r="B83" s="9" t="str">
        <x:v>A077</x:v>
      </x:c>
      <x:c r="C83" s="9" t="str">
        <x:v>Release</x:v>
      </x:c>
      <x:c r="D83" s="9" t="str">
        <x:v>Release gate 51 baseline evidence state</x:v>
      </x:c>
      <x:c r="E83" s="25" t="str">
        <x:f>'Release Gates'!G57</x:f>
        <x:v>OPEN</x:v>
      </x:c>
      <x:c r="F83" s="25" t="str">
        <x:v>OPEN</x:v>
      </x:c>
      <x:c r="G83" s="9" t="str">
        <x:f>IF(E83=F83,"PASS","FAIL")</x:f>
        <x:v>PASS</x:v>
      </x:c>
    </x:row>
    <x:row r="84">
      <x:c r="B84" s="9" t="str">
        <x:v>A078</x:v>
      </x:c>
      <x:c r="C84" s="9" t="str">
        <x:v>Release</x:v>
      </x:c>
      <x:c r="D84" s="9" t="str">
        <x:v>Release gate 52 baseline evidence state</x:v>
      </x:c>
      <x:c r="E84" s="25" t="str">
        <x:f>'Release Gates'!G58</x:f>
        <x:v>OPEN</x:v>
      </x:c>
      <x:c r="F84" s="25" t="str">
        <x:v>OPEN</x:v>
      </x:c>
      <x:c r="G84" s="9" t="str">
        <x:f>IF(E84=F84,"PASS","FAIL")</x:f>
        <x:v>PASS</x:v>
      </x:c>
    </x:row>
    <x:row r="85">
      <x:c r="B85" s="9" t="str">
        <x:v>A079</x:v>
      </x:c>
      <x:c r="C85" s="9" t="str">
        <x:v>Release</x:v>
      </x:c>
      <x:c r="D85" s="9" t="str">
        <x:v>Release gate 53 baseline evidence state</x:v>
      </x:c>
      <x:c r="E85" s="25" t="str">
        <x:f>'Release Gates'!G59</x:f>
        <x:v>OPEN</x:v>
      </x:c>
      <x:c r="F85" s="25" t="str">
        <x:v>OPEN</x:v>
      </x:c>
      <x:c r="G85" s="9" t="str">
        <x:f>IF(E85=F85,"PASS","FAIL")</x:f>
        <x:v>PASS</x:v>
      </x:c>
    </x:row>
    <x:row r="86">
      <x:c r="B86" s="10" t="str">
        <x:v>A080</x:v>
      </x:c>
      <x:c r="C86" s="10" t="str">
        <x:v>Release</x:v>
      </x:c>
      <x:c r="D86" s="10" t="str">
        <x:v>Release gate 54 baseline evidence state</x:v>
      </x:c>
      <x:c r="E86" s="27" t="str">
        <x:f>'Release Gates'!G60</x:f>
        <x:v>OPEN</x:v>
      </x:c>
      <x:c r="F86" s="27" t="str">
        <x:v>OPEN</x:v>
      </x:c>
      <x:c r="G86" s="10" t="str">
        <x:f>IF(E86=F86,"PASS","FAIL")</x:f>
        <x:v>PASS</x:v>
      </x:c>
    </x:row>
  </x:sheetData>
  <x:mergeCells>
    <x:mergeCell ref="B2:G2"/>
    <x:mergeCell ref="B3:G3"/>
  </x:mergeCells>
  <x:conditionalFormatting sqref="G7:G86">
    <x:cfRule type="containsText" dxfId="234" priority="1" operator="containsText" text="PASS"/>
    <x:cfRule type="containsText" dxfId="235" priority="2" operator="containsText" text="AUTHORIZED"/>
    <x:cfRule type="containsText" dxfId="236" priority="3" operator="containsText" text="DEFINED"/>
    <x:cfRule type="containsText" dxfId="237" priority="4" operator="containsText" text="READY"/>
    <x:cfRule type="containsText" dxfId="238" priority="5" operator="containsText" text="HOLD"/>
    <x:cfRule type="containsText" dxfId="239" priority="6" operator="containsText" text="OPEN"/>
    <x:cfRule type="containsText" dxfId="240" priority="7" operator="containsText" text="BLOCKED"/>
    <x:cfRule type="containsText" dxfId="241" priority="8" operator="containsText" text="PLANNING"/>
    <x:cfRule type="containsText" dxfId="242" priority="9" operator="containsText" text="FAIL"/>
    <x:cfRule type="containsText" dxfId="243" priority="10" operator="containsText" text="REJECT"/>
    <x:cfRule type="containsText" dxfId="244" priority="11" operator="containsText" text="LATE"/>
    <x:cfRule type="containsText" dxfId="245" priority="12" operator="containsText" text="INCOMPLETE"/>
    <x:cfRule type="containsText" dxfId="246" priority="13" operator="containsText" text="INDETERMINATE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5D6B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24" hidden="0" customWidth="1"/>
    <x:col min="3" max="3" width="10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2">
      <x:c r="B2" s="31" t="str">
        <x:v>Workbook method and use</x:v>
      </x:c>
      <x:c r="C2" s="8"/>
      <x:c r="D2" s="8"/>
      <x:c r="E2" s="8"/>
      <x:c r="F2" s="8"/>
      <x:c r="G2" s="8"/>
      <x:c r="H2" s="8"/>
    </x:row>
    <x:row r="3">
      <x:c r="B3" s="2" t="str">
        <x:v>MQP-1 planning instrument | research artifact, not procurement authority</x:v>
      </x:c>
      <x:c r="C3" s="8"/>
      <x:c r="D3" s="8"/>
      <x:c r="E3" s="8"/>
      <x:c r="F3" s="8"/>
      <x:c r="G3" s="8"/>
      <x:c r="H3" s="8"/>
    </x:row>
    <x:row r="4">
      <x:c r="B4" s="32"/>
      <x:c r="C4" s="32"/>
      <x:c r="D4" s="32"/>
      <x:c r="E4" s="32"/>
      <x:c r="F4" s="32"/>
      <x:c r="G4" s="32"/>
      <x:c r="H4" s="32"/>
    </x:row>
    <x:row r="5">
      <x:c r="B5" s="8"/>
      <x:c r="C5" s="8"/>
      <x:c r="D5" s="8"/>
      <x:c r="E5" s="8"/>
      <x:c r="F5" s="8"/>
      <x:c r="G5" s="8"/>
      <x:c r="H5" s="8"/>
    </x:row>
    <x:row r="6">
      <x:c r="B6" s="7" t="str">
        <x:v>Topic</x:v>
      </x:c>
      <x:c r="C6" s="7" t="str">
        <x:v>Method</x:v>
      </x:c>
      <x:c r="D6" s="8"/>
      <x:c r="E6" s="8"/>
      <x:c r="F6" s="8"/>
      <x:c r="G6" s="8"/>
      <x:c r="H6" s="8"/>
    </x:row>
    <x:row r="7" ht="48" customHeight="1">
      <x:c r="B7" s="9" t="str">
        <x:v>Purpose</x:v>
      </x:c>
      <x:c r="C7" s="14" t="str">
        <x:v>Specify the smallest controlled bank, trial registry, industrial-root challenge and release chain capable of producing physical evidence before production.</x:v>
      </x:c>
      <x:c r="D7" s="8"/>
      <x:c r="E7" s="8"/>
      <x:c r="F7" s="8"/>
      <x:c r="G7" s="8"/>
      <x:c r="H7" s="8"/>
    </x:row>
    <x:row r="8" ht="48" customHeight="1">
      <x:c r="B8" s="9" t="str">
        <x:v>Authority boundary</x:v>
      </x:c>
      <x:c r="C8" s="14" t="str">
        <x:v>AUTHORIZED on planning gates means the registry is internally complete. It does not assert that money has been appropriated, articles built, trials run or services admitted.</x:v>
      </x:c>
      <x:c r="D8" s="8"/>
      <x:c r="E8" s="8"/>
      <x:c r="F8" s="8"/>
      <x:c r="G8" s="8"/>
      <x:c r="H8" s="8"/>
    </x:row>
    <x:row r="9" ht="48" customHeight="1">
      <x:c r="B9" s="9" t="str">
        <x:v>Blue values</x:v>
      </x:c>
      <x:c r="C9" s="14" t="str">
        <x:v>Inputs, inherited constraints and physical observations. Physical observation controls begin at C36 and remain zero in the baseline.</x:v>
      </x:c>
      <x:c r="D9" s="8"/>
      <x:c r="E9" s="8"/>
      <x:c r="F9" s="8"/>
      <x:c r="G9" s="8"/>
      <x:c r="H9" s="8"/>
    </x:row>
    <x:row r="10" ht="48" customHeight="1">
      <x:c r="B10" s="9" t="str">
        <x:v>Roots</x:v>
      </x:c>
      <x:c r="C10" s="14" t="str">
        <x:v>ROOT_A and ROOT_B share public service definitions and receiver envelopes but must not share decisive material, machine, tooling, control, key, supplier, workforce or reset ancestry.</x:v>
      </x:c>
      <x:c r="D10" s="8"/>
      <x:c r="E10" s="8"/>
      <x:c r="F10" s="8"/>
      <x:c r="G10" s="8"/>
      <x:c r="H10" s="8"/>
    </x:row>
    <x:row r="11" ht="48" customHeight="1">
      <x:c r="B11" s="9" t="str">
        <x:v>Article bank</x:v>
      </x:c>
      <x:c r="C11" s="14" t="str">
        <x:v>The 130 serial units are dedicated qualification articles. The six protected operational shipsets receive zero qualification credit and cannot be consumed.</x:v>
      </x:c>
      <x:c r="D11" s="8"/>
      <x:c r="E11" s="8"/>
      <x:c r="F11" s="8"/>
      <x:c r="G11" s="8"/>
      <x:c r="H11" s="8"/>
    </x:row>
    <x:row r="12" ht="48" customHeight="1">
      <x:c r="B12" s="9" t="str">
        <x:v>Trials</x:v>
      </x:c>
      <x:c r="C12" s="14" t="str">
        <x:v>The 94 decision-bearing trials comprise 60 interface, 18 service-cell reproduction, six receiver-spine and ten integrated trials.</x:v>
      </x:c>
      <x:c r="D12" s="8"/>
      <x:c r="E12" s="8"/>
      <x:c r="F12" s="8"/>
      <x:c r="G12" s="8"/>
      <x:c r="H12" s="8"/>
    </x:row>
    <x:row r="13" ht="48" customHeight="1">
      <x:c r="B13" s="9" t="str">
        <x:v>Fault screen</x:v>
      </x:c>
      <x:c r="C13" s="14" t="str">
        <x:v>Twenty-four sealed fault assignments and twenty-four clean controls test causal localization. The calculated zero-miss bound is a mechanism screen, not independent fleet reliability evidence.</x:v>
      </x:c>
      <x:c r="D13" s="8"/>
      <x:c r="E13" s="8"/>
      <x:c r="F13" s="8"/>
      <x:c r="G13" s="8"/>
      <x:c r="H13" s="8"/>
    </x:row>
    <x:row r="14" ht="48" customHeight="1">
      <x:c r="B14" s="9" t="str">
        <x:v>Cold reset</x:v>
      </x:c>
      <x:c r="C14" s="14" t="str">
        <x:v>Every interface family in both industrial roots receives a twelve-month cold-storage, transport, deployment and reset trial without external grid or national network dependence.</x:v>
      </x:c>
      <x:c r="D14" s="8"/>
      <x:c r="E14" s="8"/>
      <x:c r="F14" s="8"/>
      <x:c r="G14" s="8"/>
      <x:c r="H14" s="8"/>
    </x:row>
    <x:row r="15" ht="48" customHeight="1">
      <x:c r="B15" s="9" t="str">
        <x:v>Finance</x:v>
      </x:c>
      <x:c r="C15" s="14" t="str">
        <x:v>Capital and annual operating values are cross-classifications within the Pass 108 standing program. No amount shown is an appropriation, obligation or forecast outturn.</x:v>
      </x:c>
      <x:c r="D15" s="8"/>
      <x:c r="E15" s="8"/>
      <x:c r="F15" s="8"/>
      <x:c r="G15" s="8"/>
      <x:c r="H15" s="8"/>
    </x:row>
    <x:row r="16" ht="48" customHeight="1">
      <x:c r="B16" s="9" t="str">
        <x:v>Release sequence</x:v>
      </x:c>
      <x:c r="C16" s="14" t="str">
        <x:v>Planning package, program authority, article bank, qualification execution, CRC-E01, production and exterior rendering are separate gates. Later gates cannot inherit authority from earlier ones.</x:v>
      </x:c>
      <x:c r="D16" s="8"/>
      <x:c r="E16" s="8"/>
      <x:c r="F16" s="8"/>
      <x:c r="G16" s="8"/>
      <x:c r="H16" s="8"/>
    </x:row>
    <x:row r="17" ht="48" customHeight="1">
      <x:c r="B17" s="9" t="str">
        <x:v>Rendering boundary</x:v>
      </x:c>
      <x:c r="C17" s="14" t="str">
        <x:v>Exterior renderings remain blocked. The next pass may define physical articles and measurement planes; internal test diagrams become permissible only where they are evidence instruments.</x:v>
      </x:c>
      <x:c r="D17" s="8"/>
      <x:c r="E17" s="8"/>
      <x:c r="F17" s="8"/>
      <x:c r="G17" s="8"/>
      <x:c r="H17" s="8"/>
    </x:row>
    <x:row r="18" ht="48" customHeight="1">
      <x:c r="B18" s="10" t="str">
        <x:v>Audit</x:v>
      </x:c>
      <x:c r="C18" s="15" t="str">
        <x:v>The Audit sheet is terminal and independent. It compares source-table outputs with expected baselines and does not feed the model.</x:v>
      </x:c>
      <x:c r="D18" s="8"/>
      <x:c r="E18" s="8"/>
      <x:c r="F18" s="8"/>
      <x:c r="G18" s="8"/>
      <x:c r="H18" s="8"/>
    </x:row>
  </x:sheetData>
  <x:mergeCells>
    <x:mergeCell ref="B2:H2"/>
    <x:mergeCell ref="B3:H3"/>
  </x:mergeCells>
  <x:pageMargins left="0.7" right="0.7" top="0.75" bottom="0.75" header="0.3" footer="0.3"/>
</x:worksheet>
</file>