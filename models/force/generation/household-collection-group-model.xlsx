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b38394a84c4a84" /></Relationships>
</file>

<file path=xl/workbook.xml><?xml version="1.0" encoding="utf-8"?>
<x:workbook xmlns:x="http://schemas.openxmlformats.org/spreadsheetml/2006/main">
  <x:sheets>
    <x:sheet xmlns:r="http://schemas.openxmlformats.org/officeDocument/2006/relationships" name="00 Summary" sheetId="1" r:id="R12c0a11229614344"/>
    <x:sheet xmlns:r="http://schemas.openxmlformats.org/officeDocument/2006/relationships" name="01 Controls" sheetId="2" r:id="R9ad165a5e65a4cbd"/>
    <x:sheet xmlns:r="http://schemas.openxmlformats.org/officeDocument/2006/relationships" name="02 Mission Test" sheetId="3" r:id="Rd67016aec4bf49a4"/>
    <x:sheet xmlns:r="http://schemas.openxmlformats.org/officeDocument/2006/relationships" name="03 Organization" sheetId="4" r:id="R95d9a732318e4763"/>
    <x:sheet xmlns:r="http://schemas.openxmlformats.org/officeDocument/2006/relationships" name="04 Echelon Ledger" sheetId="5" r:id="Rd88cd45d7a0b42bd"/>
    <x:sheet xmlns:r="http://schemas.openxmlformats.org/officeDocument/2006/relationships" name="05 Shared Capacity" sheetId="6" r:id="R2deb91342aff4936"/>
    <x:sheet xmlns:r="http://schemas.openxmlformats.org/officeDocument/2006/relationships" name="06 National Effect" sheetId="7" r:id="R861b0dc03c664fc2"/>
    <x:sheet xmlns:r="http://schemas.openxmlformats.org/officeDocument/2006/relationships" name="07 Gates &amp; Sources" sheetId="8" r:id="R5ca68bed93544c80"/>
    <x:sheet xmlns:r="http://schemas.openxmlformats.org/officeDocument/2006/relationships" name="08 Integrity" sheetId="9" r:id="Rcebd454023ba4674"/>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0.00;[Red](#,##0.00);-"/>
    <x:numFmt numFmtId="201" formatCode="0.0%"/>
    <x:numFmt numFmtId="202" formatCode="0.00"/>
    <x:numFmt numFmtId="203" formatCode="#,##0.0"/>
    <x:numFmt numFmtId="204" formatCode="0.0x"/>
    <x:numFmt numFmtId="205" formatCode="#,##0.0;[Red](#,##0.0);-"/>
    <x:numFmt numFmtId="206" formatCode="#,##0.000;[Red](#,##0.000);-"/>
    <x:numFmt numFmtId="207" formatCode="0%"/>
    <x:numFmt numFmtId="208" formatCode="#,##0"/>
    <x:numFmt numFmtId="209" formatCode="$#,##0.0;[Red]($#,##0.0);-"/>
    <x:numFmt numFmtId="210" formatCode="$#,##0.0"/>
  </x:numFmts>
  <x:fonts count="12">
    <x:font>
      <x:sz val="11"/>
      <x:name val="Carlito"/>
    </x:font>
    <x:font>
      <x:b/>
      <x:sz val="15"/>
      <x:color rgb="FF17212B"/>
      <x:name val="Arial"/>
    </x:font>
    <x:font>
      <x:i/>
      <x:sz val="10"/>
      <x:color rgb="FF5C6873"/>
      <x:name val="Arial"/>
    </x:font>
    <x:font>
      <x:b/>
      <x:sz val="10"/>
      <x:color rgb="FFFFFFFF"/>
      <x:name val="Arial"/>
    </x:font>
    <x:font>
      <x:sz val="10"/>
      <x:color rgb="FF17212B"/>
      <x:name val="Arial"/>
    </x:font>
    <x:font>
      <x:sz val="10"/>
      <x:color rgb="FF0000FF"/>
      <x:name val="Arial"/>
    </x:font>
    <x:font>
      <x:sz val="10"/>
      <x:color rgb="FF1F6B3B"/>
      <x:name val="Arial"/>
    </x:font>
    <x:font>
      <x:b/>
      <x:sz val="10"/>
      <x:color rgb="FF17212B"/>
      <x:name val="Arial"/>
    </x:font>
    <x:font>
      <x:b/>
      <x:sz val="10"/>
      <x:color rgb="FF17324D"/>
      <x:name val="Arial"/>
    </x:font>
    <x:font>
      <x:b/>
      <x:sz val="10"/>
      <x:color rgb="FF9C1C1C"/>
      <x:name val="Arial"/>
    </x:font>
    <x:font>
      <x:sz val="11"/>
      <x:color rgb="FF17212B"/>
      <x:name val="Arial"/>
    </x:font>
    <x:font>
      <x:b/>
      <x:sz val="10"/>
      <x:color rgb="FF9A6400"/>
      <x:name val="Arial"/>
    </x:font>
  </x:fonts>
  <x:fills count="7">
    <x:fill>
      <x:patternFill patternType="none"/>
    </x:fill>
    <x:fill>
      <x:patternFill patternType="gray125"/>
    </x:fill>
    <x:fill>
      <x:patternFill patternType="solid">
        <x:fgColor rgb="FF17324D"/>
      </x:patternFill>
    </x:fill>
    <x:fill>
      <x:patternFill patternType="solid">
        <x:fgColor rgb="FFFFF1CC"/>
      </x:patternFill>
    </x:fill>
    <x:fill>
      <x:patternFill patternType="solid">
        <x:fgColor rgb="FFE5F1E8"/>
      </x:patternFill>
    </x:fill>
    <x:fill>
      <x:patternFill patternType="solid">
        <x:fgColor rgb="FFDCEAF5"/>
      </x:patternFill>
    </x:fill>
    <x:fill>
      <x:patternFill patternType="solid">
        <x:fgColor rgb="FFF8DDDD"/>
      </x:patternFill>
    </x:fill>
  </x:fills>
  <x:borders count="4">
    <x:border/>
    <x:border>
      <x:bottom style="medium">
        <x:color rgb="FF17324D"/>
      </x:bottom>
    </x:border>
    <x:border>
      <x:bottom style="medium">
        <x:color rgb="FFFFFFFF"/>
      </x:bottom>
    </x:border>
    <x:border>
      <x:bottom style="thin">
        <x:color rgb="FF2D5F8B"/>
      </x:bottom>
    </x:border>
  </x:borders>
  <x:cellStyleXfs count="1">
    <x:xf numFmtId="0" fontId="0" fillId="0" borderId="0"/>
  </x:cellStyleXfs>
  <x:cellXfs count="51">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5" fillId="0" borderId="0" xfId="0" applyNumberFormat="1" applyFont="1" applyFill="1" applyBorder="1" applyAlignment="1">
      <x:alignment vertical="top"/>
    </x:xf>
    <x:xf numFmtId="0" fontId="5" fillId="3" borderId="0" xfId="0" applyNumberFormat="1" applyFont="1" applyFill="1" applyBorder="1" applyAlignment="1">
      <x:alignment vertical="top"/>
    </x:xf>
    <x:xf numFmtId="200" fontId="5" fillId="3"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1" fontId="6" fillId="0" borderId="0" xfId="0" applyNumberFormat="1" applyFont="1" applyFill="1" applyBorder="1" applyAlignment="1">
      <x:alignment vertical="top"/>
    </x:xf>
    <x:xf numFmtId="202" fontId="4"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3" fontId="4" fillId="0" borderId="0" xfId="0" applyNumberFormat="1" applyFont="1" applyFill="1" applyBorder="1" applyAlignment="1">
      <x:alignment vertical="top"/>
    </x:xf>
    <x:xf numFmtId="204" fontId="4" fillId="0" borderId="0" xfId="0" applyNumberFormat="1" applyFont="1" applyFill="1" applyBorder="1" applyAlignment="1">
      <x:alignment vertical="top"/>
    </x:xf>
    <x:xf numFmtId="0" fontId="4" fillId="4" borderId="0" xfId="0" applyNumberFormat="1" applyFont="1" applyFill="1" applyBorder="1" applyAlignment="1">
      <x:alignment vertical="top"/>
    </x:xf>
    <x:xf numFmtId="203" fontId="4" fillId="4" borderId="0" xfId="0" applyNumberFormat="1" applyFont="1" applyFill="1" applyBorder="1" applyAlignment="1">
      <x:alignment vertical="top"/>
    </x:xf>
    <x:xf numFmtId="204" fontId="4" fillId="4" borderId="0" xfId="0" applyNumberFormat="1" applyFont="1" applyFill="1" applyBorder="1" applyAlignment="1">
      <x:alignment vertical="top"/>
    </x:xf>
    <x:xf numFmtId="0" fontId="7" fillId="4" borderId="0" xfId="0" applyNumberFormat="1" applyFont="1" applyFill="1" applyBorder="1" applyAlignment="1">
      <x:alignment vertical="top"/>
    </x:xf>
    <x:xf numFmtId="203" fontId="7" fillId="4" borderId="0" xfId="0" applyNumberFormat="1" applyFont="1" applyFill="1" applyBorder="1" applyAlignment="1">
      <x:alignment vertical="top"/>
    </x:xf>
    <x:xf numFmtId="204" fontId="7" fillId="4" borderId="0" xfId="0" applyNumberFormat="1" applyFont="1" applyFill="1" applyBorder="1" applyAlignment="1">
      <x:alignment vertical="top"/>
    </x:xf>
    <x:xf numFmtId="203" fontId="6" fillId="0" borderId="0" xfId="0" applyNumberFormat="1" applyFont="1" applyFill="1" applyBorder="1" applyAlignment="1">
      <x:alignment vertical="top"/>
    </x:xf>
    <x:xf numFmtId="205" fontId="4" fillId="0" borderId="0" xfId="0" applyNumberFormat="1" applyFont="1" applyFill="1" applyBorder="1" applyAlignment="1">
      <x:alignment vertical="top"/>
    </x:xf>
    <x:xf numFmtId="205" fontId="6" fillId="0" borderId="0" xfId="0" applyNumberFormat="1" applyFont="1" applyFill="1" applyBorder="1" applyAlignment="1">
      <x:alignment vertical="top"/>
    </x:xf>
    <x:xf numFmtId="205" fontId="4" fillId="4" borderId="0" xfId="0" applyNumberFormat="1" applyFont="1" applyFill="1" applyBorder="1" applyAlignment="1">
      <x:alignment vertical="top"/>
    </x:xf>
    <x:xf numFmtId="205" fontId="7" fillId="4" borderId="0" xfId="0" applyNumberFormat="1" applyFont="1" applyFill="1" applyBorder="1" applyAlignment="1">
      <x:alignment vertical="top"/>
    </x:xf>
    <x:xf numFmtId="206" fontId="6" fillId="0" borderId="0" xfId="0" applyNumberFormat="1" applyFont="1" applyFill="1" applyBorder="1" applyAlignment="1">
      <x:alignment vertical="top"/>
    </x:xf>
    <x:xf numFmtId="207" fontId="6" fillId="0" borderId="0" xfId="0" applyNumberFormat="1" applyFont="1" applyFill="1" applyBorder="1" applyAlignment="1">
      <x:alignment vertical="top"/>
    </x:xf>
    <x:xf numFmtId="0" fontId="0" fillId="5" borderId="0" xfId="0" applyNumberFormat="1" applyFont="1" applyFill="1" applyBorder="1"/>
    <x:xf numFmtId="0" fontId="8" fillId="5" borderId="0" xfId="0" applyNumberFormat="1" applyFont="1" applyFill="1" applyBorder="1"/>
    <x:xf numFmtId="0" fontId="8" fillId="5" borderId="3" xfId="0" applyNumberFormat="1" applyFont="1" applyFill="1" applyBorder="1"/>
    <x:xf numFmtId="0" fontId="4" fillId="0" borderId="0" xfId="0" applyNumberFormat="1" applyFont="1" applyFill="1" applyBorder="1" applyAlignment="1">
      <x:alignment wrapText="1"/>
    </x:xf>
    <x:xf numFmtId="208" fontId="4" fillId="0" borderId="0" xfId="0" applyNumberFormat="1" applyFont="1" applyFill="1" applyBorder="1" applyAlignment="1">
      <x:alignment vertical="top"/>
    </x:xf>
    <x:xf numFmtId="209" fontId="4" fillId="0" borderId="0" xfId="0" applyNumberFormat="1" applyFont="1" applyFill="1" applyBorder="1" applyAlignment="1">
      <x:alignment vertical="top"/>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10" fillId="0" borderId="0" xfId="0" applyNumberFormat="1" applyFont="1" applyFill="1" applyBorder="1"/>
    <x:xf numFmtId="0" fontId="10" fillId="0" borderId="0" xfId="0" applyNumberFormat="1" applyFont="1" applyFill="1" applyBorder="1" applyAlignment="1">
      <x:alignment wrapText="1"/>
    </x:xf>
    <x:xf numFmtId="201" fontId="4" fillId="0" borderId="0" xfId="0" applyNumberFormat="1" applyFont="1" applyFill="1" applyBorder="1" applyAlignment="1">
      <x:alignment vertical="top"/>
    </x:xf>
    <x:xf numFmtId="210" fontId="4" fillId="0" borderId="0" xfId="0" applyNumberFormat="1" applyFont="1" applyFill="1" applyBorder="1" applyAlignment="1">
      <x:alignment vertical="top"/>
    </x:xf>
    <x:xf numFmtId="0" fontId="4" fillId="3" borderId="0" xfId="0" applyNumberFormat="1" applyFont="1" applyFill="1" applyBorder="1" applyAlignment="1">
      <x:alignment vertical="top"/>
    </x:xf>
    <x:xf numFmtId="0" fontId="11" fillId="3" borderId="0" xfId="0" applyNumberFormat="1" applyFont="1" applyFill="1" applyBorder="1" applyAlignment="1">
      <x:alignment vertical="top"/>
    </x:xf>
    <x:xf numFmtId="206" fontId="4" fillId="0" borderId="0" xfId="0" applyNumberFormat="1" applyFont="1" applyFill="1" applyBorder="1" applyAlignment="1">
      <x:alignment vertical="top"/>
    </x:xf>
  </x:cellXfs>
  <x:cellStyles count="1">
    <x:cellStyle name="Normal" xfId="0"/>
  </x:cellStyles>
  <x:dxfs count="28">
    <x:dxf>
      <x:font>
        <x:b/>
        <x:color rgb="FF9C1C1C"/>
      </x:font>
      <x:fill>
        <x:patternFill patternType="solid">
          <x:bgColor rgb="FFF8DDDD"/>
        </x:patternFill>
      </x:fill>
    </x:dxf>
    <x:dxf>
      <x:font>
        <x:b/>
        <x:color rgb="FF9A6400"/>
      </x:font>
      <x:fill>
        <x:patternFill patternType="solid">
          <x:bgColor rgb="FFFFF1CC"/>
        </x:patternFill>
      </x:fill>
    </x:dxf>
    <x:dxf>
      <x:font>
        <x:b/>
        <x:color rgb="FF9C1C1C"/>
      </x:font>
      <x:fill>
        <x:patternFill patternType="solid">
          <x:bgColor rgb="FFF8DDDD"/>
        </x:patternFill>
      </x:fill>
    </x:dxf>
    <x:dxf>
      <x:font>
        <x:b/>
        <x:color rgb="FF1F6B3B"/>
      </x:font>
      <x:fill>
        <x:patternFill patternType="solid">
          <x:bgColor rgb="FFE5F1E8"/>
        </x:patternFill>
      </x:fill>
    </x:dxf>
    <x:dxf>
      <x:font>
        <x:b/>
        <x:color rgb="FF9C1C1C"/>
      </x:font>
      <x:fill>
        <x:patternFill patternType="solid">
          <x:bgColor rgb="FFF8DDDD"/>
        </x:patternFill>
      </x:fill>
    </x:dxf>
    <x:dxf>
      <x:font>
        <x:b/>
        <x:color rgb="FF9A6400"/>
      </x:font>
      <x:fill>
        <x:patternFill patternType="solid">
          <x:bgColor rgb="FFFFF1CC"/>
        </x:patternFill>
      </x:fill>
    </x:dxf>
    <x:dxf>
      <x:font>
        <x:b/>
        <x:color rgb="FF9C1C1C"/>
      </x:font>
      <x:fill>
        <x:patternFill patternType="solid">
          <x:bgColor rgb="FFF8DDDD"/>
        </x:patternFill>
      </x:fill>
    </x:dxf>
    <x:dxf>
      <x:font>
        <x:b/>
        <x:color rgb="FF1F6B3B"/>
      </x:font>
      <x:fill>
        <x:patternFill patternType="solid">
          <x:bgColor rgb="FFE5F1E8"/>
        </x:patternFill>
      </x:fill>
    </x:dxf>
    <x:dxf>
      <x:font>
        <x:b/>
        <x:color rgb="FF9C1C1C"/>
      </x:font>
      <x:fill>
        <x:patternFill patternType="solid">
          <x:bgColor rgb="FFF8DDDD"/>
        </x:patternFill>
      </x:fill>
    </x:dxf>
    <x:dxf>
      <x:font>
        <x:b/>
        <x:color rgb="FF9A6400"/>
      </x:font>
      <x:fill>
        <x:patternFill patternType="solid">
          <x:bgColor rgb="FFFFF1CC"/>
        </x:patternFill>
      </x:fill>
    </x:dxf>
    <x:dxf>
      <x:font>
        <x:b/>
        <x:color rgb="FF9C1C1C"/>
      </x:font>
      <x:fill>
        <x:patternFill patternType="solid">
          <x:bgColor rgb="FFF8DDDD"/>
        </x:patternFill>
      </x:fill>
    </x:dxf>
    <x:dxf>
      <x:font>
        <x:b/>
        <x:color rgb="FF1F6B3B"/>
      </x:font>
      <x:fill>
        <x:patternFill patternType="solid">
          <x:bgColor rgb="FFE5F1E8"/>
        </x:patternFill>
      </x:fill>
    </x:dxf>
    <x:dxf>
      <x:font>
        <x:b/>
        <x:color rgb="FF9C1C1C"/>
      </x:font>
      <x:fill>
        <x:patternFill patternType="solid">
          <x:bgColor rgb="FFF8DDDD"/>
        </x:patternFill>
      </x:fill>
    </x:dxf>
    <x:dxf>
      <x:font>
        <x:b/>
        <x:color rgb="FF9A6400"/>
      </x:font>
      <x:fill>
        <x:patternFill patternType="solid">
          <x:bgColor rgb="FFFFF1CC"/>
        </x:patternFill>
      </x:fill>
    </x:dxf>
    <x:dxf>
      <x:font>
        <x:b/>
        <x:color rgb="FF9C1C1C"/>
      </x:font>
      <x:fill>
        <x:patternFill patternType="solid">
          <x:bgColor rgb="FFF8DDDD"/>
        </x:patternFill>
      </x:fill>
    </x:dxf>
    <x:dxf>
      <x:font>
        <x:b/>
        <x:color rgb="FF1F6B3B"/>
      </x:font>
      <x:fill>
        <x:patternFill patternType="solid">
          <x:bgColor rgb="FFE5F1E8"/>
        </x:patternFill>
      </x:fill>
    </x:dxf>
    <x:dxf>
      <x:font>
        <x:b/>
        <x:color rgb="FF9C1C1C"/>
      </x:font>
      <x:fill>
        <x:patternFill patternType="solid">
          <x:bgColor rgb="FFF8DDDD"/>
        </x:patternFill>
      </x:fill>
    </x:dxf>
    <x:dxf>
      <x:font>
        <x:b/>
        <x:color rgb="FF9A6400"/>
      </x:font>
      <x:fill>
        <x:patternFill patternType="solid">
          <x:bgColor rgb="FFFFF1CC"/>
        </x:patternFill>
      </x:fill>
    </x:dxf>
    <x:dxf>
      <x:font>
        <x:b/>
        <x:color rgb="FF9C1C1C"/>
      </x:font>
      <x:fill>
        <x:patternFill patternType="solid">
          <x:bgColor rgb="FFF8DDDD"/>
        </x:patternFill>
      </x:fill>
    </x:dxf>
    <x:dxf>
      <x:font>
        <x:b/>
        <x:color rgb="FF1F6B3B"/>
      </x:font>
      <x:fill>
        <x:patternFill patternType="solid">
          <x:bgColor rgb="FFE5F1E8"/>
        </x:patternFill>
      </x:fill>
    </x:dxf>
    <x:dxf>
      <x:font>
        <x:b/>
        <x:color rgb="FF9C1C1C"/>
      </x:font>
      <x:fill>
        <x:patternFill patternType="solid">
          <x:bgColor rgb="FFF8DDDD"/>
        </x:patternFill>
      </x:fill>
    </x:dxf>
    <x:dxf>
      <x:font>
        <x:b/>
        <x:color rgb="FF9A6400"/>
      </x:font>
      <x:fill>
        <x:patternFill patternType="solid">
          <x:bgColor rgb="FFFFF1CC"/>
        </x:patternFill>
      </x:fill>
    </x:dxf>
    <x:dxf>
      <x:font>
        <x:b/>
        <x:color rgb="FF9C1C1C"/>
      </x:font>
      <x:fill>
        <x:patternFill patternType="solid">
          <x:bgColor rgb="FFF8DDDD"/>
        </x:patternFill>
      </x:fill>
    </x:dxf>
    <x:dxf>
      <x:font>
        <x:b/>
        <x:color rgb="FF1F6B3B"/>
      </x:font>
      <x:fill>
        <x:patternFill patternType="solid">
          <x:bgColor rgb="FFE5F1E8"/>
        </x:patternFill>
      </x:fill>
    </x:dxf>
    <x:dxf>
      <x:font>
        <x:b/>
        <x:color rgb="FF9C1C1C"/>
      </x:font>
      <x:fill>
        <x:patternFill patternType="solid">
          <x:bgColor rgb="FFF8DDDD"/>
        </x:patternFill>
      </x:fill>
    </x:dxf>
    <x:dxf>
      <x:font>
        <x:b/>
        <x:color rgb="FF9A6400"/>
      </x:font>
      <x:fill>
        <x:patternFill patternType="solid">
          <x:bgColor rgb="FFFFF1CC"/>
        </x:patternFill>
      </x:fill>
    </x:dxf>
    <x:dxf>
      <x:font>
        <x:b/>
        <x:color rgb="FF9C1C1C"/>
      </x:font>
      <x:fill>
        <x:patternFill patternType="solid">
          <x:bgColor rgb="FFF8DDDD"/>
        </x:patternFill>
      </x:fill>
    </x:dxf>
    <x:dxf>
      <x:font>
        <x:b/>
        <x:color rgb="FF1F6B3B"/>
      </x:font>
      <x:fill>
        <x:patternFill patternType="solid">
          <x:bgColor rgb="FFE5F1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0abdd45f0949ce" /><Relationship Type="http://schemas.openxmlformats.org/officeDocument/2006/relationships/theme" Target="/xl/theme/theme1.xml" Id="Ra2090123dd2044f8" /><Relationship Type="http://schemas.openxmlformats.org/officeDocument/2006/relationships/sharedStrings" Target="/xl/sharedStrings.xml" Id="R1f75425c005d4c6b" /><Relationship Type="http://schemas.openxmlformats.org/officeDocument/2006/relationships/worksheet" Target="/xl/worksheets/sheet1.xml" Id="R12c0a11229614344" /><Relationship Type="http://schemas.openxmlformats.org/officeDocument/2006/relationships/worksheet" Target="/xl/worksheets/sheet2.xml" Id="R9ad165a5e65a4cbd" /><Relationship Type="http://schemas.openxmlformats.org/officeDocument/2006/relationships/worksheet" Target="/xl/worksheets/sheet3.xml" Id="Rd67016aec4bf49a4" /><Relationship Type="http://schemas.openxmlformats.org/officeDocument/2006/relationships/worksheet" Target="/xl/worksheets/sheet4.xml" Id="R95d9a732318e4763" /><Relationship Type="http://schemas.openxmlformats.org/officeDocument/2006/relationships/worksheet" Target="/xl/worksheets/sheet5.xml" Id="Rd88cd45d7a0b42bd" /><Relationship Type="http://schemas.openxmlformats.org/officeDocument/2006/relationships/worksheet" Target="/xl/worksheets/sheet6.xml" Id="R2deb91342aff4936" /><Relationship Type="http://schemas.openxmlformats.org/officeDocument/2006/relationships/worksheet" Target="/xl/worksheets/sheet7.xml" Id="R861b0dc03c664fc2" /><Relationship Type="http://schemas.openxmlformats.org/officeDocument/2006/relationships/worksheet" Target="/xl/worksheets/sheet8.xml" Id="R5ca68bed93544c80" /><Relationship Type="http://schemas.openxmlformats.org/officeDocument/2006/relationships/worksheet" Target="/xl/worksheets/sheet9.xml" Id="Rcebd454023ba4674" /></Relationships>
</file>

<file path=xl/tables/table1.xml><?xml version="1.0" encoding="utf-8"?>
<x:table xmlns:x="http://schemas.openxmlformats.org/spreadsheetml/2006/main" id="1" name="HcgControlTable" displayName="HcgControlTable" ref="C5:G54" headerRowCount="1" totalsRowCount="0" totalsRowShown="0">
  <x:tableColumns count="5">
    <x:tableColumn id="1" name="ID"/>
    <x:tableColumn id="2" name="Assumption"/>
    <x:tableColumn id="3" name="Reference"/>
    <x:tableColumn id="4" name="Unit"/>
    <x:tableColumn id="5" name="Boundary"/>
  </x:tableColumns>
  <x:tableStyleInfo name="TableStyleMedium2" showFirstColumn="0" showLastColumn="0" showRowStripes="1" showColumnStripes="0"/>
</x:table>
</file>

<file path=xl/tables/table2.xml><?xml version="1.0" encoding="utf-8"?>
<x:table xmlns:x="http://schemas.openxmlformats.org/spreadsheetml/2006/main" id="2" name="MissionCaseTable" displayName="MissionCaseTable" ref="C5:O19" headerRowCount="1" totalsRowCount="0" totalsRowShown="0">
  <x:tableColumns count="13">
    <x:tableColumn id="1" name="Case"/>
    <x:tableColumn id="2" name="Condition"/>
    <x:tableColumn id="3" name="Household verification"/>
    <x:tableColumn id="4" name="Vertical service"/>
    <x:tableColumn id="5" name="Collection"/>
    <x:tableColumn id="6" name="Route release"/>
    <x:tableColumn id="7" name="Prepared districts"/>
    <x:tableColumn id="8" name="Power"/>
    <x:tableColumn id="9" name="Water"/>
    <x:tableColumn id="10" name="Communications"/>
    <x:tableColumn id="11" name="Minimum"/>
    <x:tableColumn id="12" name="Status"/>
    <x:tableColumn id="13" name="Failure owner"/>
  </x:tableColumns>
  <x:tableStyleInfo name="TableStyleMedium2" showFirstColumn="0" showLastColumn="0" showRowStripes="1" showColumnStripes="0"/>
</x:table>
</file>

<file path=xl/tables/table3.xml><?xml version="1.0" encoding="utf-8"?>
<x:table xmlns:x="http://schemas.openxmlformats.org/spreadsheetml/2006/main" id="3" name="HcgOrganizationTable" displayName="HcgOrganizationTable" ref="C5:M13" headerRowCount="1" totalsRowCount="0" totalsRowShown="0">
  <x:tableColumns count="11">
    <x:tableColumn id="1" name="ID"/>
    <x:tableColumn id="2" name="Function"/>
    <x:tableColumn id="3" name="Units"/>
    <x:tableColumn id="4" name="Positions per unit"/>
    <x:tableColumn id="5" name="Shift factor"/>
    <x:tableColumn id="6" name="Command / relief"/>
    <x:tableColumn id="7" name="Deployed people"/>
    <x:tableColumn id="8" name="Generation factor"/>
    <x:tableColumn id="9" name="Affiliated billets per owned HCG"/>
    <x:tableColumn id="10" name="Owner"/>
    <x:tableColumn id="11" name="Boundary"/>
  </x:tableColumns>
  <x:tableStyleInfo name="TableStyleMedium2" showFirstColumn="0" showLastColumn="0" showRowStripes="1" showColumnStripes="0"/>
</x:table>
</file>

<file path=xl/tables/table4.xml><?xml version="1.0" encoding="utf-8"?>
<x:table xmlns:x="http://schemas.openxmlformats.org/spreadsheetml/2006/main" id="4" name="EchelonAllocationTable" displayName="EchelonAllocationTable" ref="C5:N20" headerRowCount="1" totalsRowCount="0" totalsRowShown="0">
  <x:tableColumns count="12">
    <x:tableColumn id="1" name="Component"/>
    <x:tableColumn id="2" name="A2 quantity"/>
    <x:tableColumn id="3" name="HCG organic quantity"/>
    <x:tableColumn id="4" name="External quantity"/>
    <x:tableColumn id="5" name="A2 functional mass t"/>
    <x:tableColumn id="6" name="HCG organic mass t"/>
    <x:tableColumn id="7" name="External mass t"/>
    <x:tableColumn id="8" name="A2 direct capital $M"/>
    <x:tableColumn id="9" name="HCG direct capital $M"/>
    <x:tableColumn id="10" name="External direct capital $M"/>
    <x:tableColumn id="11" name="Receiving owner"/>
    <x:tableColumn id="12" name="Status"/>
  </x:tableColumns>
  <x:tableStyleInfo name="TableStyleMedium2" showFirstColumn="0" showLastColumn="0" showRowStripes="1" showColumnStripes="0"/>
</x:table>
</file>

<file path=xl/tables/table5.xml><?xml version="1.0" encoding="utf-8"?>
<x:table xmlns:x="http://schemas.openxmlformats.org/spreadsheetml/2006/main" id="5" name="SharedItemTable" displayName="SharedItemTable" ref="C5:L9" headerRowCount="1" totalsRowCount="0" totalsRowShown="0">
  <x:tableColumns count="10">
    <x:tableColumn id="1" name="Shared item"/>
    <x:tableColumn id="2" name="Per active HCG"/>
    <x:tableColumn id="3" name="Unit"/>
    <x:tableColumn id="4" name="Simultaneous demand"/>
    <x:tableColumn id="5" name="Reserve"/>
    <x:tableColumn id="6" name="Availability"/>
    <x:tableColumn id="7" name="Required inventory"/>
    <x:tableColumn id="8" name="Receiving owner"/>
    <x:tableColumn id="9" name="Certified mapped capacity"/>
    <x:tableColumn id="10" name="Status"/>
  </x:tableColumns>
  <x:tableStyleInfo name="TableStyleMedium2" showFirstColumn="0" showLastColumn="0" showRowStripes="1" showColumnStripes="0"/>
</x:table>
</file>

<file path=xl/tables/table6.xml><?xml version="1.0" encoding="utf-8"?>
<x:table xmlns:x="http://schemas.openxmlformats.org/spreadsheetml/2006/main" id="6" name="NationalEffectTable" displayName="NationalEffectTable" ref="C5:H14" headerRowCount="1" totalsRowCount="0" totalsRowShown="0">
  <x:tableColumns count="6">
    <x:tableColumn id="1" name="Measure"/>
    <x:tableColumn id="2" name="Pass 58 baseline"/>
    <x:tableColumn id="3" name="Organic-only lower screen"/>
    <x:tableColumn id="4" name="Exclusive-support screen"/>
    <x:tableColumn id="5" name="Unit"/>
    <x:tableColumn id="6" name="Interpretation"/>
  </x:tableColumns>
  <x:tableStyleInfo name="TableStyleMedium2" showFirstColumn="0" showLastColumn="0" showRowStripes="1" showColumnStripes="0"/>
</x:table>
</file>

<file path=xl/tables/table7.xml><?xml version="1.0" encoding="utf-8"?>
<x:table xmlns:x="http://schemas.openxmlformats.org/spreadsheetml/2006/main" id="7" name="HcgSourceTable" displayName="HcgSourceTable" ref="C5:E11" headerRowCount="1" totalsRowCount="0" totalsRowShown="0">
  <x:tableColumns count="3">
    <x:tableColumn id="1" name="ID"/>
    <x:tableColumn id="2" name="Repository authority"/>
    <x:tableColumn id="3" name="Use"/>
  </x:tableColumns>
  <x:tableStyleInfo name="TableStyleMedium2" showFirstColumn="0" showLastColumn="0" showRowStripes="1" showColumnStripes="0"/>
</x:table>
</file>

<file path=xl/tables/table8.xml><?xml version="1.0" encoding="utf-8"?>
<x:table xmlns:x="http://schemas.openxmlformats.org/spreadsheetml/2006/main" id="8" name="HcgGateTable" displayName="HcgGateTable" ref="C15:F27" headerRowCount="1" totalsRowCount="0" totalsRowShown="0">
  <x:tableColumns count="4">
    <x:tableColumn id="1" name="Gate"/>
    <x:tableColumn id="2" name="Evidence obligation"/>
    <x:tableColumn id="3" name="Required result"/>
    <x:tableColumn id="4" name="Status"/>
  </x:tableColumns>
  <x:tableStyleInfo name="TableStyleMedium2" showFirstColumn="0" showLastColumn="0" showRowStripes="1" showColumnStripes="0"/>
</x:table>
</file>

<file path=xl/tables/table9.xml><?xml version="1.0" encoding="utf-8"?>
<x:table xmlns:x="http://schemas.openxmlformats.org/spreadsheetml/2006/main" id="9" name="HcgIntegrityTable" displayName="HcgIntegrityTable" ref="C5:H21" headerRowCount="1" totalsRowCount="0" totalsRowShown="0">
  <x:tableColumns count="6">
    <x:tableColumn id="1" name="Check"/>
    <x:tableColumn id="2" name="Expected"/>
    <x:tableColumn id="3" name="Actual"/>
    <x:tableColumn id="4" name="Difference"/>
    <x:tableColumn id="5" name="Status"/>
    <x:tableColumn id="6" name="Bound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7369c2f2804789" /></Relationships>
</file>

<file path=xl/worksheets/_rels/sheet3.xml.rels>&#65279;<?xml version="1.0" encoding="utf-8"?><Relationships xmlns="http://schemas.openxmlformats.org/package/2006/relationships"><Relationship Type="http://schemas.openxmlformats.org/officeDocument/2006/relationships/table" Target="/xl/tables/table2.xml" Id="Rfdb5f7ca2768475e" /></Relationships>
</file>

<file path=xl/worksheets/_rels/sheet4.xml.rels>&#65279;<?xml version="1.0" encoding="utf-8"?><Relationships xmlns="http://schemas.openxmlformats.org/package/2006/relationships"><Relationship Type="http://schemas.openxmlformats.org/officeDocument/2006/relationships/table" Target="/xl/tables/table3.xml" Id="R0ee5588ef36b44fd" /></Relationships>
</file>

<file path=xl/worksheets/_rels/sheet5.xml.rels>&#65279;<?xml version="1.0" encoding="utf-8"?><Relationships xmlns="http://schemas.openxmlformats.org/package/2006/relationships"><Relationship Type="http://schemas.openxmlformats.org/officeDocument/2006/relationships/table" Target="/xl/tables/table4.xml" Id="Rcc4f0d55c000433b" /></Relationships>
</file>

<file path=xl/worksheets/_rels/sheet6.xml.rels>&#65279;<?xml version="1.0" encoding="utf-8"?><Relationships xmlns="http://schemas.openxmlformats.org/package/2006/relationships"><Relationship Type="http://schemas.openxmlformats.org/officeDocument/2006/relationships/table" Target="/xl/tables/table5.xml" Id="Re4914f3bb7da498f" /></Relationships>
</file>

<file path=xl/worksheets/_rels/sheet7.xml.rels>&#65279;<?xml version="1.0" encoding="utf-8"?><Relationships xmlns="http://schemas.openxmlformats.org/package/2006/relationships"><Relationship Type="http://schemas.openxmlformats.org/officeDocument/2006/relationships/table" Target="/xl/tables/table6.xml" Id="R48c7b2a1fb68411b" /></Relationships>
</file>

<file path=xl/worksheets/_rels/sheet8.xml.rels>&#65279;<?xml version="1.0" encoding="utf-8"?><Relationships xmlns="http://schemas.openxmlformats.org/package/2006/relationships"><Relationship Type="http://schemas.openxmlformats.org/officeDocument/2006/relationships/table" Target="/xl/tables/table7.xml" Id="R0ae1a1694be847ac" /><Relationship Type="http://schemas.openxmlformats.org/officeDocument/2006/relationships/table" Target="/xl/tables/table8.xml" Id="R3d71ce1c426e465c" /></Relationships>
</file>

<file path=xl/worksheets/_rels/sheet9.xml.rels>&#65279;<?xml version="1.0" encoding="utf-8"?><Relationships xmlns="http://schemas.openxmlformats.org/package/2006/relationships"><Relationship Type="http://schemas.openxmlformats.org/officeDocument/2006/relationships/table" Target="/xl/tables/table9.xml" Id="R6e8474cbf95641b5"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3" max="3" width="37" hidden="0" customWidth="1"/>
    <x:col min="4" max="4" width="20" hidden="0" customWidth="1"/>
    <x:col min="5" max="5" width="22" hidden="0" customWidth="1"/>
    <x:col min="6" max="6" width="24" hidden="0" customWidth="1"/>
    <x:col min="7" max="7" width="19" hidden="0" customWidth="1"/>
    <x:col min="8" max="8" width="64"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2">
      <x:c r="C2" s="2" t="str">
        <x:v>Household Collection Group formation design</x:v>
      </x:c>
      <x:c r="D2" s="1"/>
      <x:c r="E2" s="1"/>
      <x:c r="F2" s="1"/>
      <x:c r="G2" s="1"/>
      <x:c r="H2" s="1"/>
      <x:c r="I2" s="1"/>
      <x:c r="J2" s="1"/>
      <x:c r="K2" s="1"/>
      <x:c r="L2" s="1"/>
      <x:c r="M2" s="1"/>
      <x:c r="N2" s="1"/>
    </x:row>
    <x:row r="3">
      <x:c r="C3" s="3" t="str">
        <x:v>Pass 59 unit-of-account result for the Department of Resilience</x:v>
      </x:c>
      <x:c r="D3" s="3"/>
      <x:c r="E3" s="3"/>
      <x:c r="F3" s="3"/>
      <x:c r="G3" s="3"/>
      <x:c r="H3" s="3"/>
      <x:c r="I3" s="3"/>
      <x:c r="J3" s="3"/>
      <x:c r="K3" s="3"/>
      <x:c r="L3" s="3"/>
      <x:c r="M3" s="3"/>
      <x:c r="N3" s="3"/>
    </x:row>
    <x:row r="5">
      <x:c r="C5" s="37" t="str">
        <x:v>Decision</x:v>
      </x:c>
      <x:c r="D5" s="37"/>
      <x:c r="E5" s="37"/>
      <x:c r="F5" s="37"/>
      <x:c r="G5" s="37"/>
      <x:c r="H5" s="37"/>
      <x:c r="I5" s="37"/>
      <x:c r="J5" s="37"/>
      <x:c r="K5" s="37"/>
      <x:c r="L5" s="37"/>
      <x:c r="M5" s="37"/>
      <x:c r="N5" s="37"/>
    </x:row>
    <x:row r="6">
      <x:c r="C6" s="45" t="str">
        <x:v>Advance HCG-35B as the next research baseline: one group headquarters and seven HCC-5 companies own household verification, building access, vertical continuity, accessible collection and lawful handoff. Prepared districts, heavy route release, power and water remain part of the complete service contract but move to named supporting capacity. Do not reduce the Pass 58 national headline until those allocations are proven.</x:v>
      </x:c>
      <x:c r="D6" s="45"/>
      <x:c r="E6" s="45"/>
      <x:c r="F6" s="45"/>
      <x:c r="G6" s="45"/>
      <x:c r="H6" s="45"/>
      <x:c r="I6" s="45"/>
      <x:c r="J6" s="45"/>
      <x:c r="K6" s="45"/>
      <x:c r="L6" s="45"/>
      <x:c r="M6" s="45"/>
      <x:c r="N6" s="45"/>
    </x:row>
    <x:row r="7">
      <x:c r="C7" s="45"/>
      <x:c r="D7" s="45"/>
      <x:c r="E7" s="45"/>
      <x:c r="F7" s="45"/>
      <x:c r="G7" s="45"/>
      <x:c r="H7" s="45"/>
      <x:c r="I7" s="45"/>
      <x:c r="J7" s="45"/>
      <x:c r="K7" s="45"/>
      <x:c r="L7" s="45"/>
      <x:c r="M7" s="45"/>
      <x:c r="N7" s="45"/>
    </x:row>
    <x:row r="8">
      <x:c r="C8" s="45"/>
      <x:c r="D8" s="45"/>
      <x:c r="E8" s="45"/>
      <x:c r="F8" s="45"/>
      <x:c r="G8" s="45"/>
      <x:c r="H8" s="45"/>
      <x:c r="I8" s="45"/>
      <x:c r="J8" s="45"/>
      <x:c r="K8" s="45"/>
      <x:c r="L8" s="45"/>
      <x:c r="M8" s="45"/>
      <x:c r="N8" s="45"/>
    </x:row>
    <x:row r="10">
      <x:c r="C10" s="9" t="str">
        <x:v>Formation result</x:v>
      </x:c>
      <x:c r="D10" s="9" t="str">
        <x:v>Pass 58 proxy</x:v>
      </x:c>
      <x:c r="E10" s="9" t="str">
        <x:v>HCG-35B organic</x:v>
      </x:c>
      <x:c r="F10" s="9" t="str">
        <x:v>Complete assigned system</x:v>
      </x:c>
      <x:c r="G10" s="9" t="str">
        <x:v>Change in organic</x:v>
      </x:c>
      <x:c r="H10" s="9" t="str">
        <x:v>Meaning</x:v>
      </x:c>
    </x:row>
    <x:row r="11">
      <x:c r="C11" s="11" t="str">
        <x:v>Deployed people</x:v>
      </x:c>
      <x:c r="D11" s="29" t="n">
        <x:v>5587</x:v>
      </x:c>
      <x:c r="E11" s="29" t="n">
        <x:f>'03 Organization'!I15</x:f>
        <x:v>5076.191999999999</x:v>
      </x:c>
      <x:c r="F11" s="29" t="n">
        <x:f>7586.55</x:f>
        <x:v>7586.55</x:v>
      </x:c>
      <x:c r="G11" s="46" t="n">
        <x:f>E11/D11-1</x:f>
        <x:v>-0.09142795775908374</x:v>
      </x:c>
      <x:c r="H11" s="15" t="str">
        <x:v>Pass 58 had already declared a 2,000-person credit.</x:v>
      </x:c>
    </x:row>
    <x:row r="12">
      <x:c r="C12" s="11" t="str">
        <x:v>Affiliated billets per owned HCG</x:v>
      </x:c>
      <x:c r="D12" s="29" t="n">
        <x:f>5587*3.4</x:f>
        <x:v>18995.8</x:v>
      </x:c>
      <x:c r="E12" s="29" t="n">
        <x:f>'03 Organization'!K15</x:f>
        <x:v>12162.936000000002</x:v>
      </x:c>
      <x:c r="F12" s="29" t="n">
        <x:f>'03 Organization'!K15+'05 Shared Capacity'!H14/'01 Controls'!E40</x:f>
        <x:v>16222.655578125003</x:v>
      </x:c>
      <x:c r="G12" s="46" t="n">
        <x:f>E12/D12-1</x:f>
        <x:v>-0.3597039345539539</x:v>
      </x:c>
      <x:c r="H12" s="15" t="str">
        <x:v>Role-specific generation replaces the blanket 3.4 factor.</x:v>
      </x:c>
    </x:row>
    <x:row r="13">
      <x:c r="C13" s="11" t="str">
        <x:v>Mobile packed mass t</x:v>
      </x:c>
      <x:c r="D13" s="29" t="n">
        <x:v>6388.499398177829</x:v>
      </x:c>
      <x:c r="E13" s="29" t="n">
        <x:f>'04 Echelon Ledger'!E28</x:f>
        <x:v>1830.13673856</x:v>
      </x:c>
      <x:c r="F13" s="29" t="n">
        <x:f>'04 Echelon Ledger'!G28</x:f>
        <x:v>6413.879398177829</x:v>
      </x:c>
      <x:c r="G13" s="46" t="n">
        <x:f>E13/D13-1</x:f>
        <x:v>-0.7135263503222675</x:v>
      </x:c>
      <x:c r="H13" s="15" t="str">
        <x:v>The mobile core falls sharply; total assigned mass does not.</x:v>
      </x:c>
    </x:row>
    <x:row r="14">
      <x:c r="C14" s="11" t="str">
        <x:v>Unit capital $B</x:v>
      </x:c>
      <x:c r="D14" s="29" t="n">
        <x:v>6.865625</x:v>
      </x:c>
      <x:c r="E14" s="29" t="n">
        <x:f>'04 Echelon Ledger'!E30</x:f>
        <x:v>2.2491624999999997</x:v>
      </x:c>
      <x:c r="F14" s="29" t="n">
        <x:f>'04 Echelon Ledger'!G30</x:f>
        <x:v>6.9860375</x:v>
      </x:c>
      <x:c r="G14" s="46" t="n">
        <x:f>E14/D14-1</x:f>
        <x:v>-0.6724023668639054</x:v>
      </x:c>
      <x:c r="H14" s="15" t="str">
        <x:v>The complete assigned system is slightly more capital-intensive.</x:v>
      </x:c>
    </x:row>
    <x:row r="15">
      <x:c r="C15" s="11" t="str">
        <x:v>National HCG direct billets</x:v>
      </x:c>
      <x:c r="D15" s="29" t="n">
        <x:v>2431462.4</x:v>
      </x:c>
      <x:c r="E15" s="29" t="n">
        <x:f>'06 National Effect'!E6</x:f>
        <x:v>1556855.8080000002</x:v>
      </x:c>
      <x:c r="F15" s="29" t="n">
        <x:f>'06 National Effect'!F6</x:f>
        <x:v>2076499.9140000003</x:v>
      </x:c>
      <x:c r="G15" s="46" t="n">
        <x:f>E15/D15-1</x:f>
        <x:v>-0.3597039345539539</x:v>
      </x:c>
      <x:c r="H15" s="15" t="str">
        <x:v>External occupations remain unallocated.</x:v>
      </x:c>
    </x:row>
    <x:row r="19">
      <x:c r="C19" s="9" t="str">
        <x:v>National screen</x:v>
      </x:c>
      <x:c r="D19" s="9" t="str">
        <x:v>Pass 58</x:v>
      </x:c>
      <x:c r="E19" s="9" t="str">
        <x:v>Organic-only</x:v>
      </x:c>
      <x:c r="F19" s="9" t="str">
        <x:v>Exclusive support</x:v>
      </x:c>
      <x:c r="G19" s="9" t="str">
        <x:v>Status</x:v>
      </x:c>
      <x:c r="H19" s="9" t="str">
        <x:v>Interpretation</x:v>
      </x:c>
    </x:row>
    <x:row r="20">
      <x:c r="C20" s="11" t="str">
        <x:v>Affiliated establishment</x:v>
      </x:c>
      <x:c r="D20" s="39" t="n">
        <x:f>'06 National Effect'!D8</x:f>
        <x:v>10484235.438</x:v>
      </x:c>
      <x:c r="E20" s="39" t="n">
        <x:f>'06 National Effect'!E8</x:f>
        <x:v>9504676.05496</x:v>
      </x:c>
      <x:c r="F20" s="39" t="n">
        <x:f>'06 National Effect'!F8</x:f>
        <x:v>10086677.45368</x:v>
      </x:c>
      <x:c r="G20" s="49" t="str">
        <x:v>HELD</x:v>
      </x:c>
      <x:c r="H20" s="11" t="str">
        <x:v>Shared occupations are not assigned.</x:v>
      </x:c>
    </x:row>
    <x:row r="21">
      <x:c r="C21" s="11" t="str">
        <x:v>Capital $B</x:v>
      </x:c>
      <x:c r="D21" s="47" t="n">
        <x:f>'06 National Effect'!D11</x:f>
        <x:v>15178.9176</x:v>
      </x:c>
      <x:c r="E21" s="47" t="n">
        <x:f>'06 National Effect'!E11</x:f>
        <x:v>14469.82896</x:v>
      </x:c>
      <x:c r="F21" s="47" t="n">
        <x:f>'06 National Effect'!F11</x:f>
        <x:v>15197.412960000001</x:v>
      </x:c>
      <x:c r="G21" s="49" t="str">
        <x:v>HELD</x:v>
      </x:c>
      <x:c r="H21" s="11" t="str">
        <x:v>Shared equipment is not allocated.</x:v>
      </x:c>
    </x:row>
    <x:row r="22">
      <x:c r="C22" s="11" t="str">
        <x:v>Mature annual operations $B</x:v>
      </x:c>
      <x:c r="D22" s="47" t="n">
        <x:f>'06 National Effect'!D14</x:f>
        <x:v>1736.41782438</x:v>
      </x:c>
      <x:c r="E22" s="47" t="n">
        <x:f>'06 National Effect'!E14</x:f>
        <x:v>1605.1256363096</x:v>
      </x:c>
      <x:c r="F22" s="47" t="n">
        <x:f>'06 National Effect'!F14</x:f>
        <x:v>1699.7226403668</x:v>
      </x:c>
      <x:c r="G22" s="49" t="str">
        <x:v>HELD</x:v>
      </x:c>
      <x:c r="H22" s="11" t="str">
        <x:v>Personnel and O&amp;M depend on the same unresolved allocation.</x:v>
      </x:c>
    </x:row>
    <x:row r="26">
      <x:c r="C26" s="37" t="str">
        <x:v>Governing findings</x:v>
      </x:c>
      <x:c r="D26" s="37"/>
      <x:c r="E26" s="37"/>
      <x:c r="F26" s="37"/>
      <x:c r="G26" s="37"/>
      <x:c r="H26" s="37"/>
    </x:row>
    <x:row r="27">
      <x:c r="C27" s="38" t="str">
        <x:v>1. The correct mobile unit is a seven-company origin formation, not the whole NCAC service system under a small-unit label.</x:v>
      </x:c>
      <x:c r="D27" s="38"/>
      <x:c r="E27" s="38"/>
      <x:c r="F27" s="38"/>
      <x:c r="G27" s="38"/>
      <x:c r="H27" s="38"/>
      <x:c r="I27" s="38"/>
      <x:c r="J27" s="38"/>
      <x:c r="K27" s="38"/>
      <x:c r="L27" s="38"/>
      <x:c r="M27" s="38"/>
      <x:c r="N27" s="38"/>
    </x:row>
    <x:row r="28">
      <x:c r="C28" s="38" t="str">
        <x:v>2. The HCG remains labor-dense because household contact, vertical service and accessible collection are physical, time-bounded work.</x:v>
      </x:c>
      <x:c r="D28" s="38"/>
      <x:c r="E28" s="38"/>
      <x:c r="F28" s="38"/>
      <x:c r="G28" s="38"/>
      <x:c r="H28" s="38"/>
      <x:c r="I28" s="38"/>
      <x:c r="J28" s="38"/>
      <x:c r="K28" s="38"/>
      <x:c r="L28" s="38"/>
      <x:c r="M28" s="38"/>
      <x:c r="N28" s="38"/>
    </x:row>
    <x:row r="29">
      <x:c r="C29" s="38" t="str">
        <x:v>3. Role-specific readiness factors reduce the HCG billet line by roughly one third, but the evidence for those factors remains open.</x:v>
      </x:c>
      <x:c r="D29" s="38"/>
      <x:c r="E29" s="38"/>
      <x:c r="F29" s="38"/>
      <x:c r="G29" s="38"/>
      <x:c r="H29" s="38"/>
      <x:c r="I29" s="38"/>
      <x:c r="J29" s="38"/>
      <x:c r="K29" s="38"/>
      <x:c r="L29" s="38"/>
      <x:c r="M29" s="38"/>
      <x:c r="N29" s="38"/>
    </x:row>
    <x:row r="30">
      <x:c r="C30" s="38" t="str">
        <x:v>4. Moving district, route, power and water packages outside the HCG reduces mobile mass by about seventy percent while leaving complete-system mass essentially unchanged.</x:v>
      </x:c>
      <x:c r="D30" s="38"/>
      <x:c r="E30" s="38"/>
      <x:c r="F30" s="38"/>
      <x:c r="G30" s="38"/>
      <x:c r="H30" s="38"/>
      <x:c r="I30" s="38"/>
      <x:c r="J30" s="38"/>
      <x:c r="K30" s="38"/>
      <x:c r="L30" s="38"/>
      <x:c r="M30" s="38"/>
      <x:c r="N30" s="38"/>
    </x:row>
    <x:row r="31">
      <x:c r="C31" s="38" t="str">
        <x:v>5. Isolation and late external support still fail the mission. These failures define technology and interface programs, not accounting exemptions.</x:v>
      </x:c>
      <x:c r="D31" s="38"/>
      <x:c r="E31" s="38"/>
      <x:c r="F31" s="38"/>
      <x:c r="G31" s="38"/>
      <x:c r="H31" s="38"/>
      <x:c r="I31" s="38"/>
      <x:c r="J31" s="38"/>
      <x:c r="K31" s="38"/>
      <x:c r="L31" s="38"/>
      <x:c r="M31" s="38"/>
      <x:c r="N31" s="38"/>
    </x:row>
    <x:row r="34">
      <x:c r="C34" s="42" t="str">
        <x:v>Formation status</x:v>
      </x:c>
      <x:c r="D34" s="42" t="str">
        <x:v>NOT ADMITTED</x:v>
      </x:c>
      <x:c r="E34" s="42" t="str">
        <x:v>Rendering</x:v>
      </x:c>
      <x:c r="F34" s="42" t="str">
        <x:v>BLOCKED</x:v>
      </x:c>
    </x:row>
  </x:sheetData>
  <x:mergeCells>
    <x:mergeCell ref="C6:N8"/>
    <x:mergeCell ref="C27:N27"/>
    <x:mergeCell ref="C28:N28"/>
    <x:mergeCell ref="C29:N29"/>
    <x:mergeCell ref="C30:N30"/>
    <x:mergeCell ref="C31:N31"/>
  </x:mergeCells>
  <x:pageMargins left="0.7" right="0.7" top="0.75" bottom="0.75" header="0.3" footer="0.3"/>
</x:worksheet>
</file>

<file path=xl/worksheets/sheet2.xml><?xml version="1.0" encoding="utf-8"?>
<x:worksheet xmlns:x="http://schemas.openxmlformats.org/spreadsheetml/2006/main">
  <x:sheetPr>
    <x:tabColor rgb="FF2D5F8B"/>
  </x:sheetPr>
  <x:sheetViews>
    <x:sheetView showGridLines="0" workbookViewId="0">
      <x:pane ySplit="5" topLeftCell="A6" activePane="bottomLeft" state="frozen"/>
    </x:sheetView>
  </x:sheetViews>
  <x:sheetFormatPr defaultRowHeight="15"/>
  <x:cols>
    <x:col min="3" max="3" width="11" hidden="0" customWidth="1"/>
    <x:col min="4" max="4" width="38" hidden="0" customWidth="1"/>
    <x:col min="5" max="5" width="21" hidden="0" customWidth="1"/>
    <x:col min="6" max="6" width="24" hidden="0" customWidth="1"/>
    <x:col min="7" max="7" width="58" hidden="0" customWidth="1"/>
  </x:cols>
  <x:sheetData>
    <x:row r="2">
      <x:c r="C2" s="2" t="str">
        <x:v>Household Collection Group controls</x:v>
      </x:c>
      <x:c r="D2" s="1"/>
      <x:c r="E2" s="1"/>
      <x:c r="F2" s="1"/>
      <x:c r="G2" s="1"/>
    </x:row>
    <x:row r="3">
      <x:c r="C3" s="3" t="str">
        <x:v>Blue cells are declared design-study inputs. They are not observed rates, cost estimates or acquisition requirements.</x:v>
      </x:c>
      <x:c r="D3" s="3"/>
      <x:c r="E3" s="3"/>
      <x:c r="F3" s="3"/>
      <x:c r="G3" s="3"/>
    </x:row>
    <x:row r="5">
      <x:c r="C5" s="9" t="str">
        <x:v>ID</x:v>
      </x:c>
      <x:c r="D5" s="9" t="str">
        <x:v>Assumption</x:v>
      </x:c>
      <x:c r="E5" s="9" t="str">
        <x:v>Reference</x:v>
      </x:c>
      <x:c r="F5" s="9" t="str">
        <x:v>Unit</x:v>
      </x:c>
      <x:c r="G5" s="9" t="str">
        <x:v>Boundary</x:v>
      </x:c>
    </x:row>
    <x:row r="6">
      <x:c r="C6" s="11" t="str">
        <x:v>A01</x:v>
      </x:c>
      <x:c r="D6" s="11" t="str">
        <x:v>Design demand</x:v>
      </x:c>
      <x:c r="E6" s="14" t="n">
        <x:v>34956.76767748189</x:v>
      </x:c>
      <x:c r="F6" s="15" t="str">
        <x:v>people</x:v>
      </x:c>
      <x:c r="G6" s="15" t="str">
        <x:v>Pass 37 NCAC-35 workload</x:v>
      </x:c>
    </x:row>
    <x:row r="7">
      <x:c r="C7" s="11" t="str">
        <x:v>A02</x:v>
      </x:c>
      <x:c r="D7" s="11" t="str">
        <x:v>Protected-local service</x:v>
      </x:c>
      <x:c r="E7" s="14" t="n">
        <x:v>28671.1025447361</x:v>
      </x:c>
      <x:c r="F7" s="15" t="str">
        <x:v>people</x:v>
      </x:c>
      <x:c r="G7" s="15" t="str">
        <x:v>Complete occupied service requirement</x:v>
      </x:c>
    </x:row>
    <x:row r="8">
      <x:c r="C8" s="11" t="str">
        <x:v>A03</x:v>
      </x:c>
      <x:c r="D8" s="11" t="str">
        <x:v>Complete collection</x:v>
      </x:c>
      <x:c r="E8" s="14" t="n">
        <x:v>6285.66513274579</x:v>
      </x:c>
      <x:c r="F8" s="15" t="str">
        <x:v>people</x:v>
      </x:c>
      <x:c r="G8" s="15" t="str">
        <x:v>Collection through accepted handoff</x:v>
      </x:c>
    </x:row>
    <x:row r="9">
      <x:c r="C9" s="11" t="str">
        <x:v>A04</x:v>
      </x:c>
      <x:c r="D9" s="11" t="str">
        <x:v>Household records</x:v>
      </x:c>
      <x:c r="E9" s="14" t="n">
        <x:v>14268.068439788525</x:v>
      </x:c>
      <x:c r="F9" s="15" t="str">
        <x:v>households</x:v>
      </x:c>
      <x:c r="G9" s="15" t="str">
        <x:v>Household disposition workload</x:v>
      </x:c>
    </x:row>
    <x:row r="10">
      <x:c r="C10" s="11" t="str">
        <x:v>A05</x:v>
      </x:c>
      <x:c r="D10" s="11" t="str">
        <x:v>Assisted vertical service</x:v>
      </x:c>
      <x:c r="E10" s="14" t="n">
        <x:v>1503.1410101317213</x:v>
      </x:c>
      <x:c r="F10" s="15" t="str">
        <x:v>people</x:v>
      </x:c>
      <x:c r="G10" s="15" t="str">
        <x:v>Mixed building and mobility states</x:v>
      </x:c>
    </x:row>
    <x:row r="11">
      <x:c r="C11" s="11" t="str">
        <x:v>A06</x:v>
      </x:c>
      <x:c r="D11" s="11" t="str">
        <x:v>Critical local route release</x:v>
      </x:c>
      <x:c r="E11" s="14" t="n">
        <x:v>60</x:v>
      </x:c>
      <x:c r="F11" s="15" t="str">
        <x:v>route-km</x:v>
      </x:c>
      <x:c r="G11" s="15" t="str">
        <x:v>Vehicle-specific lawful opening</x:v>
      </x:c>
    </x:row>
    <x:row r="12">
      <x:c r="C12" s="11" t="str">
        <x:v>A07</x:v>
      </x:c>
      <x:c r="D12" s="11" t="str">
        <x:v>Average local power</x:v>
      </x:c>
      <x:c r="E12" s="14" t="n">
        <x:v>7.2</x:v>
      </x:c>
      <x:c r="F12" s="15" t="str">
        <x:v>MW</x:v>
      </x:c>
      <x:c r="G12" s="15" t="str">
        <x:v>Occupied-service requirement</x:v>
      </x:c>
    </x:row>
    <x:row r="13">
      <x:c r="C13" s="11" t="str">
        <x:v>A08</x:v>
      </x:c>
      <x:c r="D13" s="11" t="str">
        <x:v>Daily local water</x:v>
      </x:c>
      <x:c r="E13" s="14" t="n">
        <x:v>650</x:v>
      </x:c>
      <x:c r="F13" s="15" t="str">
        <x:v>m3/day</x:v>
      </x:c>
      <x:c r="G13" s="15" t="str">
        <x:v>Occupied-service requirement</x:v>
      </x:c>
    </x:row>
    <x:row r="14">
      <x:c r="C14" s="11" t="str">
        <x:v>A09</x:v>
      </x:c>
      <x:c r="D14" s="11" t="str">
        <x:v>Communications coverage</x:v>
      </x:c>
      <x:c r="E14" s="14" t="n">
        <x:v>100</x:v>
      </x:c>
      <x:c r="F14" s="15" t="str">
        <x:v>coverage units</x:v>
      </x:c>
      <x:c r="G14" s="15" t="str">
        <x:v>Abstract first configuration</x:v>
      </x:c>
    </x:row>
    <x:row r="15">
      <x:c r="C15" s="11" t="str">
        <x:v>A10</x:v>
      </x:c>
      <x:c r="D15" s="11" t="str">
        <x:v>Normal remote verification share</x:v>
      </x:c>
      <x:c r="E15" s="14" t="n">
        <x:v>0.5</x:v>
      </x:c>
      <x:c r="F15" s="15" t="str">
        <x:v>share</x:v>
      </x:c>
      <x:c r="G15" s="15" t="str">
        <x:v>Registry or remote verification</x:v>
      </x:c>
    </x:row>
    <x:row r="16">
      <x:c r="C16" s="11" t="str">
        <x:v>A11</x:v>
      </x:c>
      <x:c r="D16" s="11" t="str">
        <x:v>Isolated remote verification share</x:v>
      </x:c>
      <x:c r="E16" s="14" t="n">
        <x:v>0.15</x:v>
      </x:c>
      <x:c r="F16" s="15" t="str">
        <x:v>share</x:v>
      </x:c>
      <x:c r="G16" s="15" t="str">
        <x:v>Commercial network and cloud unavailable</x:v>
      </x:c>
    </x:row>
    <x:row r="17">
      <x:c r="C17" s="11" t="str">
        <x:v>A12</x:v>
      </x:c>
      <x:c r="D17" s="11" t="str">
        <x:v>Household contact productivity</x:v>
      </x:c>
      <x:c r="E17" s="14" t="n">
        <x:v>1.6</x:v>
      </x:c>
      <x:c r="F17" s="15" t="str">
        <x:v>households/team-hour</x:v>
      </x:c>
      <x:c r="G17" s="15" t="str">
        <x:v>Conventional task hypothesis</x:v>
      </x:c>
    </x:row>
    <x:row r="18">
      <x:c r="C18" s="11" t="str">
        <x:v>A13</x:v>
      </x:c>
      <x:c r="D18" s="11" t="str">
        <x:v>Household productive hours</x:v>
      </x:c>
      <x:c r="E18" s="14" t="n">
        <x:v>24</x:v>
      </x:c>
      <x:c r="F18" s="15" t="str">
        <x:v>team-hours/team</x:v>
      </x:c>
      <x:c r="G18" s="15" t="str">
        <x:v>Inside the 36-hour deadline</x:v>
      </x:c>
    </x:row>
    <x:row r="19">
      <x:c r="C19" s="11" t="str">
        <x:v>A14</x:v>
      </x:c>
      <x:c r="D19" s="11" t="str">
        <x:v>Field-team availability</x:v>
      </x:c>
      <x:c r="E19" s="14" t="n">
        <x:v>0.8</x:v>
      </x:c>
      <x:c r="F19" s="15" t="str">
        <x:v>share</x:v>
      </x:c>
      <x:c r="G19" s="15" t="str">
        <x:v>Maintenance, staging and interruption</x:v>
      </x:c>
    </x:row>
    <x:row r="20">
      <x:c r="C20" s="11" t="str">
        <x:v>A15</x:v>
      </x:c>
      <x:c r="D20" s="11" t="str">
        <x:v>Vertical productivity</x:v>
      </x:c>
      <x:c r="E20" s="14" t="n">
        <x:v>0.5</x:v>
      </x:c>
      <x:c r="F20" s="15" t="str">
        <x:v>people/team-hour</x:v>
      </x:c>
      <x:c r="G20" s="15" t="str">
        <x:v>Conventional task hypothesis</x:v>
      </x:c>
    </x:row>
    <x:row r="21">
      <x:c r="C21" s="11" t="str">
        <x:v>A16</x:v>
      </x:c>
      <x:c r="D21" s="11" t="str">
        <x:v>Vertical productive hours</x:v>
      </x:c>
      <x:c r="E21" s="14" t="n">
        <x:v>48</x:v>
      </x:c>
      <x:c r="F21" s="15" t="str">
        <x:v>team-hours/team</x:v>
      </x:c>
      <x:c r="G21" s="15" t="str">
        <x:v>Inside the 72-hour deadline</x:v>
      </x:c>
    </x:row>
    <x:row r="22">
      <x:c r="C22" s="11" t="str">
        <x:v>A17</x:v>
      </x:c>
      <x:c r="D22" s="11" t="str">
        <x:v>Collection squadron throughput</x:v>
      </x:c>
      <x:c r="E22" s="14" t="n">
        <x:v>34.72</x:v>
      </x:c>
      <x:c r="F22" s="15" t="str">
        <x:v>people/hour</x:v>
      </x:c>
      <x:c r="G22" s="15" t="str">
        <x:v>Complete duty-cycle hypothesis</x:v>
      </x:c>
    </x:row>
    <x:row r="23">
      <x:c r="C23" s="11" t="str">
        <x:v>A18</x:v>
      </x:c>
      <x:c r="D23" s="11" t="str">
        <x:v>Collection operating hours</x:v>
      </x:c>
      <x:c r="E23" s="14" t="n">
        <x:v>54</x:v>
      </x:c>
      <x:c r="F23" s="15" t="str">
        <x:v>hours</x:v>
      </x:c>
      <x:c r="G23" s="15" t="str">
        <x:v>Inside the 72-hour deadline</x:v>
      </x:c>
    </x:row>
    <x:row r="24">
      <x:c r="C24" s="11" t="str">
        <x:v>A19</x:v>
      </x:c>
      <x:c r="D24" s="11" t="str">
        <x:v>Prepared-district capacity</x:v>
      </x:c>
      <x:c r="E24" s="14" t="n">
        <x:v>1000</x:v>
      </x:c>
      <x:c r="F24" s="15" t="str">
        <x:v>people/district</x:v>
      </x:c>
      <x:c r="G24" s="15" t="str">
        <x:v>PCC-D1 configuration proxy</x:v>
      </x:c>
    </x:row>
    <x:row r="25">
      <x:c r="C25" s="11" t="str">
        <x:v>A20</x:v>
      </x:c>
      <x:c r="D25" s="11" t="str">
        <x:v>Route-detachment output</x:v>
      </x:c>
      <x:c r="E25" s="14" t="n">
        <x:v>11.52</x:v>
      </x:c>
      <x:c r="F25" s="15" t="str">
        <x:v>route-km/48h</x:v>
      </x:c>
      <x:c r="G25" s="15" t="str">
        <x:v>Released route, not cleared geometry</x:v>
      </x:c>
    </x:row>
    <x:row r="26">
      <x:c r="C26" s="11" t="str">
        <x:v>A21</x:v>
      </x:c>
      <x:c r="D26" s="11" t="str">
        <x:v>Power-block effective output</x:v>
      </x:c>
      <x:c r="E26" s="14" t="n">
        <x:v>0.9</x:v>
      </x:c>
      <x:c r="F26" s="15" t="str">
        <x:v>MW/block</x:v>
      </x:c>
      <x:c r="G26" s="15" t="str">
        <x:v>Available grid-forming output</x:v>
      </x:c>
    </x:row>
    <x:row r="27">
      <x:c r="C27" s="11" t="str">
        <x:v>A22</x:v>
      </x:c>
      <x:c r="D27" s="11" t="str">
        <x:v>Water-island effective output</x:v>
      </x:c>
      <x:c r="E27" s="14" t="n">
        <x:v>90</x:v>
      </x:c>
      <x:c r="F27" s="15" t="str">
        <x:v>m3/day/island</x:v>
      </x:c>
      <x:c r="G27" s="15" t="str">
        <x:v>Available treated output</x:v>
      </x:c>
    </x:row>
    <x:row r="28">
      <x:c r="C28" s="11" t="str">
        <x:v>A23</x:v>
      </x:c>
      <x:c r="D28" s="11" t="str">
        <x:v>Communications-node output</x:v>
      </x:c>
      <x:c r="E28" s="14" t="n">
        <x:v>18</x:v>
      </x:c>
      <x:c r="F28" s="15" t="str">
        <x:v>coverage units/node</x:v>
      </x:c>
      <x:c r="G28" s="15" t="str">
        <x:v>Abstract overlap and user-capacity screen</x:v>
      </x:c>
    </x:row>
    <x:row r="29">
      <x:c r="C29" s="11" t="str">
        <x:v>A24</x:v>
      </x:c>
      <x:c r="D29" s="11" t="str">
        <x:v>Household continuity companies</x:v>
      </x:c>
      <x:c r="E29" s="14" t="n">
        <x:v>7</x:v>
      </x:c>
      <x:c r="F29" s="15" t="str">
        <x:v>companies</x:v>
      </x:c>
      <x:c r="G29" s="15" t="str">
        <x:v>Seven HCC-5 operating sectors</x:v>
      </x:c>
    </x:row>
    <x:row r="30">
      <x:c r="C30" s="11" t="str">
        <x:v>A25</x:v>
      </x:c>
      <x:c r="D30" s="11" t="str">
        <x:v>Household teams per company</x:v>
      </x:c>
      <x:c r="E30" s="14" t="n">
        <x:v>49</x:v>
      </x:c>
      <x:c r="F30" s="15" t="str">
        <x:v>teams/company</x:v>
      </x:c>
      <x:c r="G30" s="15" t="str">
        <x:v>Two-person teams</x:v>
      </x:c>
    </x:row>
    <x:row r="31">
      <x:c r="C31" s="11" t="str">
        <x:v>A26</x:v>
      </x:c>
      <x:c r="D31" s="11" t="str">
        <x:v>Vertical teams per company</x:v>
      </x:c>
      <x:c r="E31" s="14" t="n">
        <x:v>14</x:v>
      </x:c>
      <x:c r="F31" s="15" t="str">
        <x:v>teams/company</x:v>
      </x:c>
      <x:c r="G31" s="15" t="str">
        <x:v>Four-person teams</x:v>
      </x:c>
    </x:row>
    <x:row r="32">
      <x:c r="C32" s="11" t="str">
        <x:v>A27</x:v>
      </x:c>
      <x:c r="D32" s="11" t="str">
        <x:v>Collection squadrons</x:v>
      </x:c>
      <x:c r="E32" s="14" t="n">
        <x:v>5</x:v>
      </x:c>
      <x:c r="F32" s="15" t="str">
        <x:v>squadrons</x:v>
      </x:c>
      <x:c r="G32" s="15" t="str">
        <x:v>Group-level common fleet</x:v>
      </x:c>
    </x:row>
    <x:row r="33">
      <x:c r="C33" s="11" t="str">
        <x:v>A28</x:v>
      </x:c>
      <x:c r="D33" s="11" t="str">
        <x:v>Route-interface teams</x:v>
      </x:c>
      <x:c r="E33" s="14" t="n">
        <x:v>7</x:v>
      </x:c>
      <x:c r="F33" s="15" t="str">
        <x:v>teams</x:v>
      </x:c>
      <x:c r="G33" s="15" t="str">
        <x:v>One per company; not heavy route release</x:v>
      </x:c>
    </x:row>
    <x:row r="34">
      <x:c r="C34" s="11" t="str">
        <x:v>A29</x:v>
      </x:c>
      <x:c r="D34" s="11" t="str">
        <x:v>Organic communications nodes</x:v>
      </x:c>
      <x:c r="E34" s="14" t="n">
        <x:v>8</x:v>
      </x:c>
      <x:c r="F34" s="15" t="str">
        <x:v>nodes</x:v>
      </x:c>
      <x:c r="G34" s="15" t="str">
        <x:v>One per company plus group reserve</x:v>
      </x:c>
    </x:row>
    <x:row r="35">
      <x:c r="C35" s="11" t="str">
        <x:v>A30</x:v>
      </x:c>
      <x:c r="D35" s="11" t="str">
        <x:v>Group headquarters positions</x:v>
      </x:c>
      <x:c r="E35" s="14" t="n">
        <x:v>360</x:v>
      </x:c>
      <x:c r="F35" s="15" t="str">
        <x:v>people</x:v>
      </x:c>
      <x:c r="G35" s="15" t="str">
        <x:v>Command, rights, clinical and records functions</x:v>
      </x:c>
    </x:row>
    <x:row r="36">
      <x:c r="C36" s="11" t="str">
        <x:v>A31</x:v>
      </x:c>
      <x:c r="D36" s="11" t="str">
        <x:v>Company headquarters positions</x:v>
      </x:c>
      <x:c r="E36" s="14" t="n">
        <x:v>24</x:v>
      </x:c>
      <x:c r="F36" s="15" t="str">
        <x:v>people/company</x:v>
      </x:c>
      <x:c r="G36" s="15" t="str">
        <x:v>Sector command and civil interface</x:v>
      </x:c>
    </x:row>
    <x:row r="37">
      <x:c r="C37" s="11" t="str">
        <x:v>A32</x:v>
      </x:c>
      <x:c r="D37" s="11" t="str">
        <x:v>Shift factor</x:v>
      </x:c>
      <x:c r="E37" s="14" t="n">
        <x:v>2.4</x:v>
      </x:c>
      <x:c r="F37" s="15" t="str">
        <x:v>deployed/on-shift</x:v>
      </x:c>
      <x:c r="G37" s="15" t="str">
        <x:v>Two-shift coverage plus handover</x:v>
      </x:c>
    </x:row>
    <x:row r="38">
      <x:c r="C38" s="11" t="str">
        <x:v>A33</x:v>
      </x:c>
      <x:c r="D38" s="11" t="str">
        <x:v>Team command and relief factor</x:v>
      </x:c>
      <x:c r="E38" s="14" t="n">
        <x:v>1.15</x:v>
      </x:c>
      <x:c r="F38" s="15" t="str">
        <x:v>multiplier</x:v>
      </x:c>
      <x:c r="G38" s="15" t="str">
        <x:v>Local supervision and short relief</x:v>
      </x:c>
    </x:row>
    <x:row r="39">
      <x:c r="C39" s="11" t="str">
        <x:v>A34</x:v>
      </x:c>
      <x:c r="D39" s="11" t="str">
        <x:v>Organic support factor</x:v>
      </x:c>
      <x:c r="E39" s="14" t="n">
        <x:v>0.15</x:v>
      </x:c>
      <x:c r="F39" s="15" t="str">
        <x:v>share of direct deployed</x:v>
      </x:c>
      <x:c r="G39" s="15" t="str">
        <x:v>Maintenance, base and regeneration</x:v>
      </x:c>
    </x:row>
    <x:row r="40">
      <x:c r="C40" s="11" t="str">
        <x:v>A35</x:v>
      </x:c>
      <x:c r="D40" s="11" t="str">
        <x:v>National owned HCG inventory</x:v>
      </x:c>
      <x:c r="E40" s="14" t="n">
        <x:v>128</x:v>
      </x:c>
      <x:c r="F40" s="15" t="str">
        <x:v>formations</x:v>
      </x:c>
      <x:c r="G40" s="15" t="str">
        <x:v>Pass 58 readiness inventory</x:v>
      </x:c>
    </x:row>
    <x:row r="41">
      <x:c r="C41" s="11" t="str">
        <x:v>A36</x:v>
      </x:c>
      <x:c r="D41" s="11" t="str">
        <x:v>Simultaneous HCG demand</x:v>
      </x:c>
      <x:c r="E41" s="14" t="n">
        <x:v>69</x:v>
      </x:c>
      <x:c r="F41" s="15" t="str">
        <x:v>formation-equivalents</x:v>
      </x:c>
      <x:c r="G41" s="15" t="str">
        <x:v>Pass 58 ten-campaign demand</x:v>
      </x:c>
    </x:row>
    <x:row r="42">
      <x:c r="C42" s="11" t="str">
        <x:v>A37</x:v>
      </x:c>
      <x:c r="D42" s="11" t="str">
        <x:v>Inventory reserve</x:v>
      </x:c>
      <x:c r="E42" s="14" t="n">
        <x:v>0.2</x:v>
      </x:c>
      <x:c r="F42" s="15" t="str">
        <x:v>share</x:v>
      </x:c>
      <x:c r="G42" s="15" t="str">
        <x:v>Pass 58 readiness reserve</x:v>
      </x:c>
    </x:row>
    <x:row r="43">
      <x:c r="C43" s="11" t="str">
        <x:v>A38</x:v>
      </x:c>
      <x:c r="D43" s="11" t="str">
        <x:v>HCG equipment availability</x:v>
      </x:c>
      <x:c r="E43" s="14" t="n">
        <x:v>0.65</x:v>
      </x:c>
      <x:c r="F43" s="15" t="str">
        <x:v>share</x:v>
      </x:c>
      <x:c r="G43" s="15" t="str">
        <x:v>Pass 58 Civil Mobility bottleneck</x:v>
      </x:c>
    </x:row>
    <x:row r="44">
      <x:c r="C44" s="11" t="str">
        <x:v>A39</x:v>
      </x:c>
      <x:c r="D44" s="11" t="str">
        <x:v>Institutional depth</x:v>
      </x:c>
      <x:c r="E44" s="14" t="n">
        <x:v>0.12</x:v>
      </x:c>
      <x:c r="F44" s="15" t="str">
        <x:v>share</x:v>
      </x:c>
      <x:c r="G44" s="15" t="str">
        <x:v>Schools, depots, test and replacement</x:v>
      </x:c>
    </x:row>
    <x:row r="45">
      <x:c r="C45" s="11" t="str">
        <x:v>A40</x:v>
      </x:c>
      <x:c r="D45" s="11" t="str">
        <x:v>Direct billet-year cost</x:v>
      </x:c>
      <x:c r="E45" s="14" t="n">
        <x:v>87000</x:v>
      </x:c>
      <x:c r="F45" s="15" t="str">
        <x:v>2026 USD/billet-year</x:v>
      </x:c>
      <x:c r="G45" s="15" t="str">
        <x:v>Pass 58 HCG component-weighted factor</x:v>
      </x:c>
    </x:row>
    <x:row r="46">
      <x:c r="C46" s="11" t="str">
        <x:v>A41</x:v>
      </x:c>
      <x:c r="D46" s="11" t="str">
        <x:v>Institutional billet-year cost</x:v>
      </x:c>
      <x:c r="E46" s="14" t="n">
        <x:v>160000</x:v>
      </x:c>
      <x:c r="F46" s="15" t="str">
        <x:v>2026 USD/billet-year</x:v>
      </x:c>
      <x:c r="G46" s="15" t="str">
        <x:v>Pass 58 permanent depth factor</x:v>
      </x:c>
    </x:row>
    <x:row r="47">
      <x:c r="C47" s="11" t="str">
        <x:v>A42</x:v>
      </x:c>
      <x:c r="D47" s="11" t="str">
        <x:v>Formation O&amp;M rate</x:v>
      </x:c>
      <x:c r="E47" s="14" t="n">
        <x:v>0.065</x:v>
      </x:c>
      <x:c r="F47" s="15" t="str">
        <x:v>share of capital/year</x:v>
      </x:c>
      <x:c r="G47" s="15" t="str">
        <x:v>Pass 58 Civil Mobility factor</x:v>
      </x:c>
    </x:row>
    <x:row r="48">
      <x:c r="C48" s="11" t="str">
        <x:v>A43</x:v>
      </x:c>
      <x:c r="D48" s="11" t="str">
        <x:v>Portfolio reserve</x:v>
      </x:c>
      <x:c r="E48" s="14" t="n">
        <x:v>0.2</x:v>
      </x:c>
      <x:c r="F48" s="15" t="str">
        <x:v>share</x:v>
      </x:c>
      <x:c r="G48" s="15" t="str">
        <x:v>Applied after formation capital</x:v>
      </x:c>
    </x:row>
    <x:row r="49">
      <x:c r="C49" s="11" t="str">
        <x:v>A44</x:v>
      </x:c>
      <x:c r="D49" s="11" t="str">
        <x:v>Base, depot and training factor</x:v>
      </x:c>
      <x:c r="E49" s="14" t="n">
        <x:v>0.3</x:v>
      </x:c>
      <x:c r="F49" s="15" t="str">
        <x:v>share of direct capital</x:v>
      </x:c>
      <x:c r="G49" s="15" t="str">
        <x:v>Pass 37 unit-capital convention</x:v>
      </x:c>
    </x:row>
    <x:row r="50">
      <x:c r="C50" s="11" t="str">
        <x:v>A45</x:v>
      </x:c>
      <x:c r="D50" s="11" t="str">
        <x:v>Unit program reserve</x:v>
      </x:c>
      <x:c r="E50" s="14" t="n">
        <x:v>0.25</x:v>
      </x:c>
      <x:c r="F50" s="15" t="str">
        <x:v>share</x:v>
      </x:c>
      <x:c r="G50" s="15" t="str">
        <x:v>Pass 37 unit-capital convention</x:v>
      </x:c>
    </x:row>
    <x:row r="51">
      <x:c r="C51" s="11" t="str">
        <x:v>A46</x:v>
      </x:c>
      <x:c r="D51" s="11" t="str">
        <x:v>Shared-support generation factor</x:v>
      </x:c>
      <x:c r="E51" s="14" t="n">
        <x:v>2.5</x:v>
      </x:c>
      <x:c r="F51" s="15" t="str">
        <x:v>affiliates/on-duty</x:v>
      </x:c>
      <x:c r="G51" s="15" t="str">
        <x:v>Illustrative until occupations are allocated</x:v>
      </x:c>
    </x:row>
    <x:row r="52">
      <x:c r="C52" s="11" t="str">
        <x:v>A47</x:v>
      </x:c>
      <x:c r="D52" s="11" t="str">
        <x:v>Prepared-district availability</x:v>
      </x:c>
      <x:c r="E52" s="14" t="n">
        <x:v>0.75</x:v>
      </x:c>
      <x:c r="F52" s="15" t="str">
        <x:v>share</x:v>
      </x:c>
      <x:c r="G52" s="15" t="str">
        <x:v>Community Stabilization readiness proxy</x:v>
      </x:c>
    </x:row>
    <x:row r="53">
      <x:c r="C53" s="11" t="str">
        <x:v>A48</x:v>
      </x:c>
      <x:c r="D53" s="11" t="str">
        <x:v>Technical-support availability</x:v>
      </x:c>
      <x:c r="E53" s="14" t="n">
        <x:v>0.7</x:v>
      </x:c>
      <x:c r="F53" s="15" t="str">
        <x:v>share</x:v>
      </x:c>
      <x:c r="G53" s="15" t="str">
        <x:v>Land and Infrastructure readiness proxy</x:v>
      </x:c>
    </x:row>
    <x:row r="54">
      <x:c r="C54" s="11" t="str">
        <x:v>A49</x:v>
      </x:c>
      <x:c r="D54" s="11" t="str">
        <x:v>Packing and handling factor</x:v>
      </x:c>
      <x:c r="E54" s="14" t="n">
        <x:v>0.2</x:v>
      </x:c>
      <x:c r="F54" s="15" t="str">
        <x:v>share of functional mass</x:v>
      </x:c>
      <x:c r="G54" s="15" t="str">
        <x:v>Pass 37 deployment convention</x:v>
      </x:c>
    </x:row>
  </x:sheetData>
  <x:pageMargins left="0.7" right="0.7" top="0.75" bottom="0.75" header="0.3" footer="0.3"/>
  <x:tableParts count="1">
    <x:tablePart xmlns:r="http://schemas.openxmlformats.org/officeDocument/2006/relationships" r:id="Re17369c2f2804789"/>
  </x:tableParts>
</x:worksheet>
</file>

<file path=xl/worksheets/sheet3.xml><?xml version="1.0" encoding="utf-8"?>
<x:worksheet xmlns:x="http://schemas.openxmlformats.org/spreadsheetml/2006/main">
  <x:sheetViews>
    <x:sheetView showGridLines="0" workbookViewId="0">
      <x:pane xSplit="4" ySplit="5" topLeftCell="E6" activePane="bottomRight" state="frozen"/>
    </x:sheetView>
  </x:sheetViews>
  <x:sheetFormatPr defaultRowHeight="15"/>
  <x:cols>
    <x:col min="3" max="3" width="10" hidden="0" customWidth="1"/>
    <x:col min="4" max="4" width="34" hidden="0" customWidth="1"/>
    <x:col min="5" max="5" width="15" hidden="0" customWidth="1"/>
    <x:col min="6" max="6" width="14" hidden="0" customWidth="1"/>
    <x:col min="7" max="7" width="13" hidden="0" customWidth="1"/>
    <x:col min="8" max="8" width="13" hidden="0" customWidth="1"/>
    <x:col min="9" max="9" width="15" hidden="0" customWidth="1"/>
    <x:col min="10" max="10" width="12" hidden="0" customWidth="1"/>
    <x:col min="11" max="11" width="12" hidden="0" customWidth="1"/>
    <x:col min="12" max="12" width="15" hidden="0" customWidth="1"/>
    <x:col min="13" max="13" width="12" hidden="0" customWidth="1"/>
    <x:col min="14" max="14" width="11" hidden="0" customWidth="1"/>
    <x:col min="15" max="15" width="31" hidden="0" customWidth="1"/>
  </x:cols>
  <x:sheetData>
    <x:row r="2">
      <x:c r="C2" s="2" t="str">
        <x:v>Complete-service mission test</x:v>
      </x:c>
      <x:c r="D2" s="1"/>
      <x:c r="E2" s="1"/>
      <x:c r="F2" s="1"/>
      <x:c r="G2" s="1"/>
      <x:c r="H2" s="1"/>
      <x:c r="I2" s="1"/>
      <x:c r="J2" s="1"/>
      <x:c r="K2" s="1"/>
      <x:c r="L2" s="1"/>
      <x:c r="M2" s="1"/>
      <x:c r="N2" s="1"/>
      <x:c r="O2" s="1"/>
    </x:row>
    <x:row r="3">
      <x:c r="C3" s="3" t="str">
        <x:v>Every case carries eight serial capability ratios. A case fails when any required ratio is below one, including a denied external dependency.</x:v>
      </x:c>
      <x:c r="D3" s="3"/>
      <x:c r="E3" s="3"/>
      <x:c r="F3" s="3"/>
      <x:c r="G3" s="3"/>
      <x:c r="H3" s="3"/>
      <x:c r="I3" s="3"/>
      <x:c r="J3" s="3"/>
      <x:c r="K3" s="3"/>
      <x:c r="L3" s="3"/>
      <x:c r="M3" s="3"/>
      <x:c r="N3" s="3"/>
      <x:c r="O3" s="3"/>
    </x:row>
    <x:row r="5">
      <x:c r="C5" s="9" t="str">
        <x:v>Case</x:v>
      </x:c>
      <x:c r="D5" s="9" t="str">
        <x:v>Condition</x:v>
      </x:c>
      <x:c r="E5" s="9" t="str">
        <x:v>Household verification</x:v>
      </x:c>
      <x:c r="F5" s="9" t="str">
        <x:v>Vertical service</x:v>
      </x:c>
      <x:c r="G5" s="9" t="str">
        <x:v>Collection</x:v>
      </x:c>
      <x:c r="H5" s="9" t="str">
        <x:v>Route release</x:v>
      </x:c>
      <x:c r="I5" s="9" t="str">
        <x:v>Prepared districts</x:v>
      </x:c>
      <x:c r="J5" s="9" t="str">
        <x:v>Power</x:v>
      </x:c>
      <x:c r="K5" s="9" t="str">
        <x:v>Water</x:v>
      </x:c>
      <x:c r="L5" s="9" t="str">
        <x:v>Communications</x:v>
      </x:c>
      <x:c r="M5" s="9" t="str">
        <x:v>Minimum</x:v>
      </x:c>
      <x:c r="N5" s="9" t="str">
        <x:v>Status</x:v>
      </x:c>
      <x:c r="O5" s="9" t="str">
        <x:v>Failure owner</x:v>
      </x:c>
    </x:row>
    <x:row r="6">
      <x:c r="C6" s="11" t="str">
        <x:v>F0</x:v>
      </x:c>
      <x:c r="D6" s="15" t="str">
        <x:v>Base configuration</x:v>
      </x:c>
      <x:c r="E6" s="17" t="n">
        <x:f>('01 Controls'!$E$9*'01 Controls'!$E$15+('01 Controls'!$E$29*'01 Controls'!$E$30)*'01 Controls'!$E$17*'01 Controls'!$E$18*'01 Controls'!$E$19)/'01 Controls'!$E$9</x:f>
        <x:v>1.23849940126557</x:v>
      </x:c>
      <x:c r="F6" s="17" t="n">
        <x:f>(('01 Controls'!$E$29*'01 Controls'!$E$31)*'01 Controls'!$E$20*'01 Controls'!$E$21*'01 Controls'!$E$19)/'01 Controls'!$E$10</x:f>
        <x:v>1.2517787668071902</x:v>
      </x:c>
      <x:c r="G6" s="17" t="n">
        <x:f>('01 Controls'!$E$32*'01 Controls'!$E$22*'01 Controls'!$E$23)/'01 Controls'!$E$8</x:f>
        <x:v>1.4913934805663034</x:v>
      </x:c>
      <x:c r="H6" s="17" t="n">
        <x:f>(7*'01 Controls'!$E$25*1)/'01 Controls'!$E$11</x:f>
        <x:v>1.344</x:v>
      </x:c>
      <x:c r="I6" s="17" t="n">
        <x:f>((34-0)*'01 Controls'!$E$24)/'01 Controls'!$E$7</x:f>
        <x:v>1.1858630112654063</x:v>
      </x:c>
      <x:c r="J6" s="17" t="n">
        <x:f>((10*1)*'01 Controls'!$E$26)/'01 Controls'!$E$12</x:f>
        <x:v>1.25</x:v>
      </x:c>
      <x:c r="K6" s="17" t="n">
        <x:f>((9*1)*'01 Controls'!$E$27)/'01 Controls'!$E$13</x:f>
        <x:v>1.2461538461538462</x:v>
      </x:c>
      <x:c r="L6" s="17" t="n">
        <x:f>('01 Controls'!$E$34*'01 Controls'!$E$28)/'01 Controls'!$E$14</x:f>
        <x:v>1.44</x:v>
      </x:c>
      <x:c r="M6" s="17" t="n">
        <x:f>MIN(E6:L6)</x:f>
        <x:v>1.1858630112654063</x:v>
      </x:c>
      <x:c r="N6" s="16" t="str">
        <x:f>IF(M6&gt;=1,"PASS","FAIL")</x:f>
        <x:v>PASS</x:v>
      </x:c>
      <x:c r="O6" s="15" t="str">
        <x:v>none</x:v>
      </x:c>
    </x:row>
    <x:row r="7">
      <x:c r="C7" s="11" t="str">
        <x:v>F1</x:v>
      </x:c>
      <x:c r="D7" s="15" t="str">
        <x:v>One household company unavailable</x:v>
      </x:c>
      <x:c r="E7" s="17" t="n">
        <x:f>('01 Controls'!$E$9*'01 Controls'!$E$15+(('01 Controls'!$E$29-1)*'01 Controls'!$E$30)*'01 Controls'!$E$17*'01 Controls'!$E$18*'01 Controls'!$E$19)/'01 Controls'!$E$9</x:f>
        <x:v>1.13299948679906</x:v>
      </x:c>
      <x:c r="F7" s="17" t="n">
        <x:f>(('01 Controls'!$E$29*'01 Controls'!$E$31)*'01 Controls'!$E$20*'01 Controls'!$E$21*'01 Controls'!$E$19)/'01 Controls'!$E$10</x:f>
        <x:v>1.2517787668071902</x:v>
      </x:c>
      <x:c r="G7" s="17" t="n">
        <x:f>('01 Controls'!$E$32*'01 Controls'!$E$22*'01 Controls'!$E$23)/'01 Controls'!$E$8</x:f>
        <x:v>1.4913934805663034</x:v>
      </x:c>
      <x:c r="H7" s="17" t="n">
        <x:f>(7*'01 Controls'!$E$25*1)/'01 Controls'!$E$11</x:f>
        <x:v>1.344</x:v>
      </x:c>
      <x:c r="I7" s="17" t="n">
        <x:f>((34-0)*'01 Controls'!$E$24)/'01 Controls'!$E$7</x:f>
        <x:v>1.1858630112654063</x:v>
      </x:c>
      <x:c r="J7" s="17" t="n">
        <x:f>((10*1)*'01 Controls'!$E$26)/'01 Controls'!$E$12</x:f>
        <x:v>1.25</x:v>
      </x:c>
      <x:c r="K7" s="17" t="n">
        <x:f>((9*1)*'01 Controls'!$E$27)/'01 Controls'!$E$13</x:f>
        <x:v>1.2461538461538462</x:v>
      </x:c>
      <x:c r="L7" s="17" t="n">
        <x:f>('01 Controls'!$E$34*'01 Controls'!$E$28)/'01 Controls'!$E$14</x:f>
        <x:v>1.44</x:v>
      </x:c>
      <x:c r="M7" s="17" t="n">
        <x:f>MIN(E7:L7)</x:f>
        <x:v>1.13299948679906</x:v>
      </x:c>
      <x:c r="N7" s="16" t="str">
        <x:f>IF(M7&gt;=1,"PASS","FAIL")</x:f>
        <x:v>PASS</x:v>
      </x:c>
      <x:c r="O7" s="15" t="str">
        <x:v>HCG household company</x:v>
      </x:c>
    </x:row>
    <x:row r="8">
      <x:c r="C8" s="11" t="str">
        <x:v>F2</x:v>
      </x:c>
      <x:c r="D8" s="15" t="str">
        <x:v>One vertical company set unavailable</x:v>
      </x:c>
      <x:c r="E8" s="17" t="n">
        <x:f>('01 Controls'!$E$9*'01 Controls'!$E$15+('01 Controls'!$E$29*'01 Controls'!$E$30)*'01 Controls'!$E$17*'01 Controls'!$E$18*'01 Controls'!$E$19)/'01 Controls'!$E$9</x:f>
        <x:v>1.23849940126557</x:v>
      </x:c>
      <x:c r="F8" s="17" t="n">
        <x:f>((('01 Controls'!$E$29-1)*'01 Controls'!$E$31)*'01 Controls'!$E$20*'01 Controls'!$E$21*'01 Controls'!$E$19)/'01 Controls'!$E$10</x:f>
        <x:v>1.0729532286918773</x:v>
      </x:c>
      <x:c r="G8" s="17" t="n">
        <x:f>('01 Controls'!$E$32*'01 Controls'!$E$22*'01 Controls'!$E$23)/'01 Controls'!$E$8</x:f>
        <x:v>1.4913934805663034</x:v>
      </x:c>
      <x:c r="H8" s="17" t="n">
        <x:f>(7*'01 Controls'!$E$25*1)/'01 Controls'!$E$11</x:f>
        <x:v>1.344</x:v>
      </x:c>
      <x:c r="I8" s="17" t="n">
        <x:f>((34-0)*'01 Controls'!$E$24)/'01 Controls'!$E$7</x:f>
        <x:v>1.1858630112654063</x:v>
      </x:c>
      <x:c r="J8" s="17" t="n">
        <x:f>((10*1)*'01 Controls'!$E$26)/'01 Controls'!$E$12</x:f>
        <x:v>1.25</x:v>
      </x:c>
      <x:c r="K8" s="17" t="n">
        <x:f>((9*1)*'01 Controls'!$E$27)/'01 Controls'!$E$13</x:f>
        <x:v>1.2461538461538462</x:v>
      </x:c>
      <x:c r="L8" s="17" t="n">
        <x:f>('01 Controls'!$E$34*'01 Controls'!$E$28)/'01 Controls'!$E$14</x:f>
        <x:v>1.44</x:v>
      </x:c>
      <x:c r="M8" s="17" t="n">
        <x:f>MIN(E8:L8)</x:f>
        <x:v>1.0729532286918773</x:v>
      </x:c>
      <x:c r="N8" s="16" t="str">
        <x:f>IF(M8&gt;=1,"PASS","FAIL")</x:f>
        <x:v>PASS</x:v>
      </x:c>
      <x:c r="O8" s="15" t="str">
        <x:v>HCG vertical teams</x:v>
      </x:c>
    </x:row>
    <x:row r="9">
      <x:c r="C9" s="11" t="str">
        <x:v>F3</x:v>
      </x:c>
      <x:c r="D9" s="15" t="str">
        <x:v>One collection squadron unavailable</x:v>
      </x:c>
      <x:c r="E9" s="17" t="n">
        <x:f>('01 Controls'!$E$9*'01 Controls'!$E$15+('01 Controls'!$E$29*'01 Controls'!$E$30)*'01 Controls'!$E$17*'01 Controls'!$E$18*'01 Controls'!$E$19)/'01 Controls'!$E$9</x:f>
        <x:v>1.23849940126557</x:v>
      </x:c>
      <x:c r="F9" s="17" t="n">
        <x:f>(('01 Controls'!$E$29*'01 Controls'!$E$31)*'01 Controls'!$E$20*'01 Controls'!$E$21*'01 Controls'!$E$19)/'01 Controls'!$E$10</x:f>
        <x:v>1.2517787668071902</x:v>
      </x:c>
      <x:c r="G9" s="17" t="n">
        <x:f>(('01 Controls'!$E$32-1)*'01 Controls'!$E$22*'01 Controls'!$E$23)/'01 Controls'!$E$8</x:f>
        <x:v>1.1931147844530428</x:v>
      </x:c>
      <x:c r="H9" s="17" t="n">
        <x:f>(7*'01 Controls'!$E$25*1)/'01 Controls'!$E$11</x:f>
        <x:v>1.344</x:v>
      </x:c>
      <x:c r="I9" s="17" t="n">
        <x:f>((34-0)*'01 Controls'!$E$24)/'01 Controls'!$E$7</x:f>
        <x:v>1.1858630112654063</x:v>
      </x:c>
      <x:c r="J9" s="17" t="n">
        <x:f>((10*1)*'01 Controls'!$E$26)/'01 Controls'!$E$12</x:f>
        <x:v>1.25</x:v>
      </x:c>
      <x:c r="K9" s="17" t="n">
        <x:f>((9*1)*'01 Controls'!$E$27)/'01 Controls'!$E$13</x:f>
        <x:v>1.2461538461538462</x:v>
      </x:c>
      <x:c r="L9" s="17" t="n">
        <x:f>('01 Controls'!$E$34*'01 Controls'!$E$28)/'01 Controls'!$E$14</x:f>
        <x:v>1.44</x:v>
      </x:c>
      <x:c r="M9" s="17" t="n">
        <x:f>MIN(E9:L9)</x:f>
        <x:v>1.1858630112654063</x:v>
      </x:c>
      <x:c r="N9" s="16" t="str">
        <x:f>IF(M9&gt;=1,"PASS","FAIL")</x:f>
        <x:v>PASS</x:v>
      </x:c>
      <x:c r="O9" s="15" t="str">
        <x:v>HCG collection fleet</x:v>
      </x:c>
    </x:row>
    <x:row r="10">
      <x:c r="C10" s="11" t="str">
        <x:v>F4</x:v>
      </x:c>
      <x:c r="D10" s="15" t="str">
        <x:v>One route detachment unavailable</x:v>
      </x:c>
      <x:c r="E10" s="17" t="n">
        <x:f>('01 Controls'!$E$9*'01 Controls'!$E$15+('01 Controls'!$E$29*'01 Controls'!$E$30)*'01 Controls'!$E$17*'01 Controls'!$E$18*'01 Controls'!$E$19)/'01 Controls'!$E$9</x:f>
        <x:v>1.23849940126557</x:v>
      </x:c>
      <x:c r="F10" s="17" t="n">
        <x:f>(('01 Controls'!$E$29*'01 Controls'!$E$31)*'01 Controls'!$E$20*'01 Controls'!$E$21*'01 Controls'!$E$19)/'01 Controls'!$E$10</x:f>
        <x:v>1.2517787668071902</x:v>
      </x:c>
      <x:c r="G10" s="17" t="n">
        <x:f>('01 Controls'!$E$32*'01 Controls'!$E$22*'01 Controls'!$E$23)/'01 Controls'!$E$8</x:f>
        <x:v>1.4913934805663034</x:v>
      </x:c>
      <x:c r="H10" s="17" t="n">
        <x:f>((7-1)*'01 Controls'!$E$25*1)/'01 Controls'!$E$11</x:f>
        <x:v>1.1520000000000001</x:v>
      </x:c>
      <x:c r="I10" s="17" t="n">
        <x:f>((34-0)*'01 Controls'!$E$24)/'01 Controls'!$E$7</x:f>
        <x:v>1.1858630112654063</x:v>
      </x:c>
      <x:c r="J10" s="17" t="n">
        <x:f>((10*1)*'01 Controls'!$E$26)/'01 Controls'!$E$12</x:f>
        <x:v>1.25</x:v>
      </x:c>
      <x:c r="K10" s="17" t="n">
        <x:f>((9*1)*'01 Controls'!$E$27)/'01 Controls'!$E$13</x:f>
        <x:v>1.2461538461538462</x:v>
      </x:c>
      <x:c r="L10" s="17" t="n">
        <x:f>('01 Controls'!$E$34*'01 Controls'!$E$28)/'01 Controls'!$E$14</x:f>
        <x:v>1.44</x:v>
      </x:c>
      <x:c r="M10" s="17" t="n">
        <x:f>MIN(E10:L10)</x:f>
        <x:v>1.1520000000000001</x:v>
      </x:c>
      <x:c r="N10" s="16" t="str">
        <x:f>IF(M10&gt;=1,"PASS","FAIL")</x:f>
        <x:v>PASS</x:v>
      </x:c>
      <x:c r="O10" s="15" t="str">
        <x:v>shared route contract</x:v>
      </x:c>
    </x:row>
    <x:row r="11">
      <x:c r="C11" s="11" t="str">
        <x:v>F5</x:v>
      </x:c>
      <x:c r="D11" s="15" t="str">
        <x:v>Five prepared districts unavailable</x:v>
      </x:c>
      <x:c r="E11" s="17" t="n">
        <x:f>('01 Controls'!$E$9*'01 Controls'!$E$15+('01 Controls'!$E$29*'01 Controls'!$E$30)*'01 Controls'!$E$17*'01 Controls'!$E$18*'01 Controls'!$E$19)/'01 Controls'!$E$9</x:f>
        <x:v>1.23849940126557</x:v>
      </x:c>
      <x:c r="F11" s="17" t="n">
        <x:f>(('01 Controls'!$E$29*'01 Controls'!$E$31)*'01 Controls'!$E$20*'01 Controls'!$E$21*'01 Controls'!$E$19)/'01 Controls'!$E$10</x:f>
        <x:v>1.2517787668071902</x:v>
      </x:c>
      <x:c r="G11" s="17" t="n">
        <x:f>('01 Controls'!$E$32*'01 Controls'!$E$22*'01 Controls'!$E$23)/'01 Controls'!$E$8</x:f>
        <x:v>1.4913934805663034</x:v>
      </x:c>
      <x:c r="H11" s="17" t="n">
        <x:f>(7*'01 Controls'!$E$25*1)/'01 Controls'!$E$11</x:f>
        <x:v>1.344</x:v>
      </x:c>
      <x:c r="I11" s="17" t="n">
        <x:f>((34-5)*'01 Controls'!$E$24)/'01 Controls'!$E$7</x:f>
        <x:v>1.01147139196167</x:v>
      </x:c>
      <x:c r="J11" s="17" t="n">
        <x:f>((10*1)*'01 Controls'!$E$26)/'01 Controls'!$E$12</x:f>
        <x:v>1.25</x:v>
      </x:c>
      <x:c r="K11" s="17" t="n">
        <x:f>((9*1)*'01 Controls'!$E$27)/'01 Controls'!$E$13</x:f>
        <x:v>1.2461538461538462</x:v>
      </x:c>
      <x:c r="L11" s="17" t="n">
        <x:f>('01 Controls'!$E$34*'01 Controls'!$E$28)/'01 Controls'!$E$14</x:f>
        <x:v>1.44</x:v>
      </x:c>
      <x:c r="M11" s="17" t="n">
        <x:f>MIN(E11:L11)</x:f>
        <x:v>1.01147139196167</x:v>
      </x:c>
      <x:c r="N11" s="16" t="str">
        <x:f>IF(M11&gt;=1,"PASS","FAIL")</x:f>
        <x:v>PASS</x:v>
      </x:c>
      <x:c r="O11" s="15" t="str">
        <x:v>prepared district lattice</x:v>
      </x:c>
    </x:row>
    <x:row r="12">
      <x:c r="C12" s="11" t="str">
        <x:v>F6</x:v>
      </x:c>
      <x:c r="D12" s="15" t="str">
        <x:v>Two power blocks unavailable</x:v>
      </x:c>
      <x:c r="E12" s="17" t="n">
        <x:f>('01 Controls'!$E$9*'01 Controls'!$E$15+('01 Controls'!$E$29*'01 Controls'!$E$30)*'01 Controls'!$E$17*'01 Controls'!$E$18*'01 Controls'!$E$19)/'01 Controls'!$E$9</x:f>
        <x:v>1.23849940126557</x:v>
      </x:c>
      <x:c r="F12" s="17" t="n">
        <x:f>(('01 Controls'!$E$29*'01 Controls'!$E$31)*'01 Controls'!$E$20*'01 Controls'!$E$21*'01 Controls'!$E$19)/'01 Controls'!$E$10</x:f>
        <x:v>1.2517787668071902</x:v>
      </x:c>
      <x:c r="G12" s="17" t="n">
        <x:f>('01 Controls'!$E$32*'01 Controls'!$E$22*'01 Controls'!$E$23)/'01 Controls'!$E$8</x:f>
        <x:v>1.4913934805663034</x:v>
      </x:c>
      <x:c r="H12" s="17" t="n">
        <x:f>(7*'01 Controls'!$E$25*1)/'01 Controls'!$E$11</x:f>
        <x:v>1.344</x:v>
      </x:c>
      <x:c r="I12" s="17" t="n">
        <x:f>((34-0)*'01 Controls'!$E$24)/'01 Controls'!$E$7</x:f>
        <x:v>1.1858630112654063</x:v>
      </x:c>
      <x:c r="J12" s="17" t="n">
        <x:f>(8*'01 Controls'!$E$26)/'01 Controls'!$E$12</x:f>
        <x:v>1</x:v>
      </x:c>
      <x:c r="K12" s="17" t="n">
        <x:f>((9*1)*'01 Controls'!$E$27)/'01 Controls'!$E$13</x:f>
        <x:v>1.2461538461538462</x:v>
      </x:c>
      <x:c r="L12" s="17" t="n">
        <x:f>('01 Controls'!$E$34*'01 Controls'!$E$28)/'01 Controls'!$E$14</x:f>
        <x:v>1.44</x:v>
      </x:c>
      <x:c r="M12" s="17" t="n">
        <x:f>MIN(E12:L12)</x:f>
        <x:v>1</x:v>
      </x:c>
      <x:c r="N12" s="16" t="str">
        <x:f>IF(M12&gt;=1,"PASS","FAIL")</x:f>
        <x:v>PASS</x:v>
      </x:c>
      <x:c r="O12" s="15" t="str">
        <x:v>shared power contract</x:v>
      </x:c>
    </x:row>
    <x:row r="13">
      <x:c r="C13" s="11" t="str">
        <x:v>F7</x:v>
      </x:c>
      <x:c r="D13" s="15" t="str">
        <x:v>One water island unavailable</x:v>
      </x:c>
      <x:c r="E13" s="17" t="n">
        <x:f>('01 Controls'!$E$9*'01 Controls'!$E$15+('01 Controls'!$E$29*'01 Controls'!$E$30)*'01 Controls'!$E$17*'01 Controls'!$E$18*'01 Controls'!$E$19)/'01 Controls'!$E$9</x:f>
        <x:v>1.23849940126557</x:v>
      </x:c>
      <x:c r="F13" s="17" t="n">
        <x:f>(('01 Controls'!$E$29*'01 Controls'!$E$31)*'01 Controls'!$E$20*'01 Controls'!$E$21*'01 Controls'!$E$19)/'01 Controls'!$E$10</x:f>
        <x:v>1.2517787668071902</x:v>
      </x:c>
      <x:c r="G13" s="17" t="n">
        <x:f>('01 Controls'!$E$32*'01 Controls'!$E$22*'01 Controls'!$E$23)/'01 Controls'!$E$8</x:f>
        <x:v>1.4913934805663034</x:v>
      </x:c>
      <x:c r="H13" s="17" t="n">
        <x:f>(7*'01 Controls'!$E$25*1)/'01 Controls'!$E$11</x:f>
        <x:v>1.344</x:v>
      </x:c>
      <x:c r="I13" s="17" t="n">
        <x:f>((34-0)*'01 Controls'!$E$24)/'01 Controls'!$E$7</x:f>
        <x:v>1.1858630112654063</x:v>
      </x:c>
      <x:c r="J13" s="17" t="n">
        <x:f>((10*1)*'01 Controls'!$E$26)/'01 Controls'!$E$12</x:f>
        <x:v>1.25</x:v>
      </x:c>
      <x:c r="K13" s="17" t="n">
        <x:f>(8*'01 Controls'!$E$27)/'01 Controls'!$E$13</x:f>
        <x:v>1.1076923076923078</x:v>
      </x:c>
      <x:c r="L13" s="17" t="n">
        <x:f>('01 Controls'!$E$34*'01 Controls'!$E$28)/'01 Controls'!$E$14</x:f>
        <x:v>1.44</x:v>
      </x:c>
      <x:c r="M13" s="17" t="n">
        <x:f>MIN(E13:L13)</x:f>
        <x:v>1.1076923076923078</x:v>
      </x:c>
      <x:c r="N13" s="16" t="str">
        <x:f>IF(M13&gt;=1,"PASS","FAIL")</x:f>
        <x:v>PASS</x:v>
      </x:c>
      <x:c r="O13" s="15" t="str">
        <x:v>shared water contract</x:v>
      </x:c>
    </x:row>
    <x:row r="14">
      <x:c r="C14" s="11" t="str">
        <x:v>F8</x:v>
      </x:c>
      <x:c r="D14" s="15" t="str">
        <x:v>One communications node unavailable</x:v>
      </x:c>
      <x:c r="E14" s="17" t="n">
        <x:f>('01 Controls'!$E$9*'01 Controls'!$E$15+('01 Controls'!$E$29*'01 Controls'!$E$30)*'01 Controls'!$E$17*'01 Controls'!$E$18*'01 Controls'!$E$19)/'01 Controls'!$E$9</x:f>
        <x:v>1.23849940126557</x:v>
      </x:c>
      <x:c r="F14" s="17" t="n">
        <x:f>(('01 Controls'!$E$29*'01 Controls'!$E$31)*'01 Controls'!$E$20*'01 Controls'!$E$21*'01 Controls'!$E$19)/'01 Controls'!$E$10</x:f>
        <x:v>1.2517787668071902</x:v>
      </x:c>
      <x:c r="G14" s="17" t="n">
        <x:f>('01 Controls'!$E$32*'01 Controls'!$E$22*'01 Controls'!$E$23)/'01 Controls'!$E$8</x:f>
        <x:v>1.4913934805663034</x:v>
      </x:c>
      <x:c r="H14" s="17" t="n">
        <x:f>(7*'01 Controls'!$E$25*1)/'01 Controls'!$E$11</x:f>
        <x:v>1.344</x:v>
      </x:c>
      <x:c r="I14" s="17" t="n">
        <x:f>((34-0)*'01 Controls'!$E$24)/'01 Controls'!$E$7</x:f>
        <x:v>1.1858630112654063</x:v>
      </x:c>
      <x:c r="J14" s="17" t="n">
        <x:f>((10*1)*'01 Controls'!$E$26)/'01 Controls'!$E$12</x:f>
        <x:v>1.25</x:v>
      </x:c>
      <x:c r="K14" s="17" t="n">
        <x:f>((9*1)*'01 Controls'!$E$27)/'01 Controls'!$E$13</x:f>
        <x:v>1.2461538461538462</x:v>
      </x:c>
      <x:c r="L14" s="17" t="n">
        <x:f>(('01 Controls'!$E$34-1)*'01 Controls'!$E$28)/'01 Controls'!$E$14</x:f>
        <x:v>1.26</x:v>
      </x:c>
      <x:c r="M14" s="17" t="n">
        <x:f>MIN(E14:L14)</x:f>
        <x:v>1.1858630112654063</x:v>
      </x:c>
      <x:c r="N14" s="16" t="str">
        <x:f>IF(M14&gt;=1,"PASS","FAIL")</x:f>
        <x:v>PASS</x:v>
      </x:c>
      <x:c r="O14" s="15" t="str">
        <x:v>HCG communications</x:v>
      </x:c>
    </x:row>
    <x:row r="15">
      <x:c r="C15" s="11" t="str">
        <x:v>F9</x:v>
      </x:c>
      <x:c r="D15" s="15" t="str">
        <x:v>Commercial network and cloud unavailable</x:v>
      </x:c>
      <x:c r="E15" s="17" t="n">
        <x:f>('01 Controls'!$E$9*'01 Controls'!$E$16+('01 Controls'!$E$29*'01 Controls'!$E$30)*'01 Controls'!$E$17*'01 Controls'!$E$18*'01 Controls'!$E$19)/'01 Controls'!$E$9</x:f>
        <x:v>0.8884994012655699</x:v>
      </x:c>
      <x:c r="F15" s="17" t="n">
        <x:f>(('01 Controls'!$E$29*'01 Controls'!$E$31)*'01 Controls'!$E$20*'01 Controls'!$E$21*'01 Controls'!$E$19)/'01 Controls'!$E$10</x:f>
        <x:v>1.2517787668071902</x:v>
      </x:c>
      <x:c r="G15" s="17" t="n">
        <x:f>('01 Controls'!$E$32*'01 Controls'!$E$22*'01 Controls'!$E$23)/'01 Controls'!$E$8</x:f>
        <x:v>1.4913934805663034</x:v>
      </x:c>
      <x:c r="H15" s="17" t="n">
        <x:f>(7*'01 Controls'!$E$25*1)/'01 Controls'!$E$11</x:f>
        <x:v>1.344</x:v>
      </x:c>
      <x:c r="I15" s="17" t="n">
        <x:f>((34-0)*'01 Controls'!$E$24)/'01 Controls'!$E$7</x:f>
        <x:v>1.1858630112654063</x:v>
      </x:c>
      <x:c r="J15" s="17" t="n">
        <x:f>((10*1)*'01 Controls'!$E$26)/'01 Controls'!$E$12</x:f>
        <x:v>1.25</x:v>
      </x:c>
      <x:c r="K15" s="17" t="n">
        <x:f>((9*1)*'01 Controls'!$E$27)/'01 Controls'!$E$13</x:f>
        <x:v>1.2461538461538462</x:v>
      </x:c>
      <x:c r="L15" s="17" t="n">
        <x:f>('01 Controls'!$E$34*'01 Controls'!$E$28)/'01 Controls'!$E$14</x:f>
        <x:v>1.44</x:v>
      </x:c>
      <x:c r="M15" s="17" t="n">
        <x:f>MIN(E15:L15)</x:f>
        <x:v>0.8884994012655699</x:v>
      </x:c>
      <x:c r="N15" s="16" t="str">
        <x:f>IF(M15&gt;=1,"PASS","FAIL")</x:f>
        <x:v>FAIL</x:v>
      </x:c>
      <x:c r="O15" s="15" t="str">
        <x:v>HCG records and field productivity</x:v>
      </x:c>
    </x:row>
    <x:row r="16">
      <x:c r="C16" s="11" t="str">
        <x:v>F10</x:v>
      </x:c>
      <x:c r="D16" s="15" t="str">
        <x:v>Isolation plus one household company unavailable</x:v>
      </x:c>
      <x:c r="E16" s="17" t="n">
        <x:f>('01 Controls'!$E$9*'01 Controls'!$E$16+(('01 Controls'!$E$29-1)*'01 Controls'!$E$30)*'01 Controls'!$E$17*'01 Controls'!$E$18*'01 Controls'!$E$19)/'01 Controls'!$E$9</x:f>
        <x:v>0.78299948679906</x:v>
      </x:c>
      <x:c r="F16" s="17" t="n">
        <x:f>(('01 Controls'!$E$29*'01 Controls'!$E$31)*'01 Controls'!$E$20*'01 Controls'!$E$21*'01 Controls'!$E$19)/'01 Controls'!$E$10</x:f>
        <x:v>1.2517787668071902</x:v>
      </x:c>
      <x:c r="G16" s="17" t="n">
        <x:f>('01 Controls'!$E$32*'01 Controls'!$E$22*'01 Controls'!$E$23)/'01 Controls'!$E$8</x:f>
        <x:v>1.4913934805663034</x:v>
      </x:c>
      <x:c r="H16" s="17" t="n">
        <x:f>(7*'01 Controls'!$E$25*1)/'01 Controls'!$E$11</x:f>
        <x:v>1.344</x:v>
      </x:c>
      <x:c r="I16" s="17" t="n">
        <x:f>((34-0)*'01 Controls'!$E$24)/'01 Controls'!$E$7</x:f>
        <x:v>1.1858630112654063</x:v>
      </x:c>
      <x:c r="J16" s="17" t="n">
        <x:f>((10*1)*'01 Controls'!$E$26)/'01 Controls'!$E$12</x:f>
        <x:v>1.25</x:v>
      </x:c>
      <x:c r="K16" s="17" t="n">
        <x:f>((9*1)*'01 Controls'!$E$27)/'01 Controls'!$E$13</x:f>
        <x:v>1.2461538461538462</x:v>
      </x:c>
      <x:c r="L16" s="17" t="n">
        <x:f>('01 Controls'!$E$34*'01 Controls'!$E$28)/'01 Controls'!$E$14</x:f>
        <x:v>1.44</x:v>
      </x:c>
      <x:c r="M16" s="17" t="n">
        <x:f>MIN(E16:L16)</x:f>
        <x:v>0.78299948679906</x:v>
      </x:c>
      <x:c r="N16" s="16" t="str">
        <x:f>IF(M16&gt;=1,"PASS","FAIL")</x:f>
        <x:v>FAIL</x:v>
      </x:c>
      <x:c r="O16" s="15" t="str">
        <x:v>HCG records and field productivity</x:v>
      </x:c>
    </x:row>
    <x:row r="17">
      <x:c r="C17" s="11" t="str">
        <x:v>F11</x:v>
      </x:c>
      <x:c r="D17" s="15" t="str">
        <x:v>Route support begins 24 hours late</x:v>
      </x:c>
      <x:c r="E17" s="17" t="n">
        <x:f>('01 Controls'!$E$9*'01 Controls'!$E$15+('01 Controls'!$E$29*'01 Controls'!$E$30)*'01 Controls'!$E$17*'01 Controls'!$E$18*'01 Controls'!$E$19)/'01 Controls'!$E$9</x:f>
        <x:v>1.23849940126557</x:v>
      </x:c>
      <x:c r="F17" s="17" t="n">
        <x:f>(('01 Controls'!$E$29*'01 Controls'!$E$31)*'01 Controls'!$E$20*'01 Controls'!$E$21*'01 Controls'!$E$19)/'01 Controls'!$E$10</x:f>
        <x:v>1.2517787668071902</x:v>
      </x:c>
      <x:c r="G17" s="17" t="n">
        <x:f>('01 Controls'!$E$32*'01 Controls'!$E$22*'01 Controls'!$E$23)/'01 Controls'!$E$8</x:f>
        <x:v>1.4913934805663034</x:v>
      </x:c>
      <x:c r="H17" s="17" t="n">
        <x:f>(7*'01 Controls'!$E$25*0.5)/'01 Controls'!$E$11</x:f>
        <x:v>0.672</x:v>
      </x:c>
      <x:c r="I17" s="17" t="n">
        <x:f>((34-0)*'01 Controls'!$E$24)/'01 Controls'!$E$7</x:f>
        <x:v>1.1858630112654063</x:v>
      </x:c>
      <x:c r="J17" s="17" t="n">
        <x:f>((10*1)*'01 Controls'!$E$26)/'01 Controls'!$E$12</x:f>
        <x:v>1.25</x:v>
      </x:c>
      <x:c r="K17" s="17" t="n">
        <x:f>((9*1)*'01 Controls'!$E$27)/'01 Controls'!$E$13</x:f>
        <x:v>1.2461538461538462</x:v>
      </x:c>
      <x:c r="L17" s="17" t="n">
        <x:f>('01 Controls'!$E$34*'01 Controls'!$E$28)/'01 Controls'!$E$14</x:f>
        <x:v>1.44</x:v>
      </x:c>
      <x:c r="M17" s="17" t="n">
        <x:f>MIN(E17:L17)</x:f>
        <x:v>0.672</x:v>
      </x:c>
      <x:c r="N17" s="16" t="str">
        <x:f>IF(M17&gt;=1,"PASS","FAIL")</x:f>
        <x:v>FAIL</x:v>
      </x:c>
      <x:c r="O17" s="15" t="str">
        <x:v>shared route contract</x:v>
      </x:c>
    </x:row>
    <x:row r="18">
      <x:c r="C18" s="11" t="str">
        <x:v>F12</x:v>
      </x:c>
      <x:c r="D18" s="15" t="str">
        <x:v>Half of prepared districts active by deadline</x:v>
      </x:c>
      <x:c r="E18" s="17" t="n">
        <x:f>('01 Controls'!$E$9*'01 Controls'!$E$15+('01 Controls'!$E$29*'01 Controls'!$E$30)*'01 Controls'!$E$17*'01 Controls'!$E$18*'01 Controls'!$E$19)/'01 Controls'!$E$9</x:f>
        <x:v>1.23849940126557</x:v>
      </x:c>
      <x:c r="F18" s="17" t="n">
        <x:f>(('01 Controls'!$E$29*'01 Controls'!$E$31)*'01 Controls'!$E$20*'01 Controls'!$E$21*'01 Controls'!$E$19)/'01 Controls'!$E$10</x:f>
        <x:v>1.2517787668071902</x:v>
      </x:c>
      <x:c r="G18" s="17" t="n">
        <x:f>('01 Controls'!$E$32*'01 Controls'!$E$22*'01 Controls'!$E$23)/'01 Controls'!$E$8</x:f>
        <x:v>1.4913934805663034</x:v>
      </x:c>
      <x:c r="H18" s="17" t="n">
        <x:f>(7*'01 Controls'!$E$25*1)/'01 Controls'!$E$11</x:f>
        <x:v>1.344</x:v>
      </x:c>
      <x:c r="I18" s="17" t="n">
        <x:f>((34*0.5)*'01 Controls'!$E$24)/'01 Controls'!$E$7</x:f>
        <x:v>0.5929315056327031</x:v>
      </x:c>
      <x:c r="J18" s="17" t="n">
        <x:f>((10*1)*'01 Controls'!$E$26)/'01 Controls'!$E$12</x:f>
        <x:v>1.25</x:v>
      </x:c>
      <x:c r="K18" s="17" t="n">
        <x:f>((9*1)*'01 Controls'!$E$27)/'01 Controls'!$E$13</x:f>
        <x:v>1.2461538461538462</x:v>
      </x:c>
      <x:c r="L18" s="17" t="n">
        <x:f>('01 Controls'!$E$34*'01 Controls'!$E$28)/'01 Controls'!$E$14</x:f>
        <x:v>1.44</x:v>
      </x:c>
      <x:c r="M18" s="17" t="n">
        <x:f>MIN(E18:L18)</x:f>
        <x:v>0.5929315056327031</x:v>
      </x:c>
      <x:c r="N18" s="16" t="str">
        <x:f>IF(M18&gt;=1,"PASS","FAIL")</x:f>
        <x:v>FAIL</x:v>
      </x:c>
      <x:c r="O18" s="15" t="str">
        <x:v>prepared district lattice</x:v>
      </x:c>
    </x:row>
    <x:row r="19">
      <x:c r="C19" s="11" t="str">
        <x:v>F13</x:v>
      </x:c>
      <x:c r="D19" s="15" t="str">
        <x:v>Half of shared power and water active by deadline</x:v>
      </x:c>
      <x:c r="E19" s="17" t="n">
        <x:f>('01 Controls'!$E$9*'01 Controls'!$E$15+('01 Controls'!$E$29*'01 Controls'!$E$30)*'01 Controls'!$E$17*'01 Controls'!$E$18*'01 Controls'!$E$19)/'01 Controls'!$E$9</x:f>
        <x:v>1.23849940126557</x:v>
      </x:c>
      <x:c r="F19" s="17" t="n">
        <x:f>(('01 Controls'!$E$29*'01 Controls'!$E$31)*'01 Controls'!$E$20*'01 Controls'!$E$21*'01 Controls'!$E$19)/'01 Controls'!$E$10</x:f>
        <x:v>1.2517787668071902</x:v>
      </x:c>
      <x:c r="G19" s="17" t="n">
        <x:f>('01 Controls'!$E$32*'01 Controls'!$E$22*'01 Controls'!$E$23)/'01 Controls'!$E$8</x:f>
        <x:v>1.4913934805663034</x:v>
      </x:c>
      <x:c r="H19" s="17" t="n">
        <x:f>(7*'01 Controls'!$E$25*1)/'01 Controls'!$E$11</x:f>
        <x:v>1.344</x:v>
      </x:c>
      <x:c r="I19" s="17" t="n">
        <x:f>((34-0)*'01 Controls'!$E$24)/'01 Controls'!$E$7</x:f>
        <x:v>1.1858630112654063</x:v>
      </x:c>
      <x:c r="J19" s="17" t="n">
        <x:f>((10*0.5)*'01 Controls'!$E$26)/'01 Controls'!$E$12</x:f>
        <x:v>0.625</x:v>
      </x:c>
      <x:c r="K19" s="17" t="n">
        <x:f>((9*0.5)*'01 Controls'!$E$27)/'01 Controls'!$E$13</x:f>
        <x:v>0.6230769230769231</x:v>
      </x:c>
      <x:c r="L19" s="17" t="n">
        <x:f>('01 Controls'!$E$34*'01 Controls'!$E$28)/'01 Controls'!$E$14</x:f>
        <x:v>1.44</x:v>
      </x:c>
      <x:c r="M19" s="17" t="n">
        <x:f>MIN(E19:L19)</x:f>
        <x:v>0.6230769230769231</x:v>
      </x:c>
      <x:c r="N19" s="16" t="str">
        <x:f>IF(M19&gt;=1,"PASS","FAIL")</x:f>
        <x:v>FAIL</x:v>
      </x:c>
      <x:c r="O19" s="15" t="str">
        <x:v>shared utility contracts</x:v>
      </x:c>
    </x:row>
    <x:row r="23">
      <x:c r="C23" s="9" t="str">
        <x:v>Technology and interface thresholds</x:v>
      </x:c>
      <x:c r="D23" s="9" t="str">
        <x:v>Required value</x:v>
      </x:c>
      <x:c r="E23" s="9" t="str">
        <x:v>Current value</x:v>
      </x:c>
      <x:c r="F23" s="9" t="str">
        <x:v>Unit</x:v>
      </x:c>
      <x:c r="G23" s="9" t="str">
        <x:v>Result</x:v>
      </x:c>
      <x:c r="H23" s="9" t="str">
        <x:v>Interpretation</x:v>
      </x:c>
    </x:row>
    <x:row r="24">
      <x:c r="C24" s="15" t="str">
        <x:v>Contact productivity under isolation plus one company loss</x:v>
      </x:c>
      <x:c r="D24" s="19" t="n">
        <x:f>('01 Controls'!$E$9*(1-'01 Controls'!$E$16))/((('01 Controls'!$E$29-1)*'01 Controls'!$E$30)*'01 Controls'!$E$18*'01 Controls'!$E$19)</x:f>
        <x:v>2.1485009519947997</x:v>
      </x:c>
      <x:c r="E24" s="19" t="n">
        <x:f>'01 Controls'!$E$17</x:f>
        <x:v>1.6</x:v>
      </x:c>
      <x:c r="F24" s="11" t="str">
        <x:v>households/team-hour</x:v>
      </x:c>
      <x:c r="G24" s="11" t="str">
        <x:f>IF(D24&lt;=E24,"PASS","OPEN")</x:f>
        <x:v>OPEN</x:v>
      </x:c>
      <x:c r="H24" s="15" t="str">
        <x:v>Either field productivity or lawful offline knowledge must improve.</x:v>
      </x:c>
    </x:row>
    <x:row r="25">
      <x:c r="C25" s="15" t="str">
        <x:v>Offline verification share at conventional productivity</x:v>
      </x:c>
      <x:c r="D25" s="19" t="n">
        <x:f>1-((('01 Controls'!$E$29-1)*'01 Controls'!$E$30)*'01 Controls'!$E$17*'01 Controls'!$E$18*'01 Controls'!$E$19)/'01 Controls'!$E$9</x:f>
        <x:v>0.36700051320094007</x:v>
      </x:c>
      <x:c r="E25" s="19" t="n">
        <x:f>'01 Controls'!$E$16</x:f>
        <x:v>0.15</x:v>
      </x:c>
      <x:c r="F25" s="11" t="str">
        <x:v>share</x:v>
      </x:c>
      <x:c r="G25" s="11" t="str">
        <x:f>IF(D25&lt;=E25,"PASS","OPEN")</x:f>
        <x:v>OPEN</x:v>
      </x:c>
      <x:c r="H25" s="15" t="str">
        <x:v>Required if conventional field productivity is retained.</x:v>
      </x:c>
    </x:row>
    <x:row r="26">
      <x:c r="C26" s="15" t="str">
        <x:v>Maximum route-support start delay</x:v>
      </x:c>
      <x:c r="D26" s="19" t="n">
        <x:f>48*(1-'01 Controls'!$E$11/(7*'01 Controls'!$E$25))</x:f>
        <x:v>12.285714285714285</x:v>
      </x:c>
      <x:c r="E26" s="19" t="n">
        <x:v>0</x:v>
      </x:c>
      <x:c r="F26" s="11" t="str">
        <x:v>hours</x:v>
      </x:c>
      <x:c r="G26" s="11" t="str">
        <x:f>IF(D26&gt;=E26,"PASS","OPEN")</x:f>
        <x:v>PASS</x:v>
      </x:c>
      <x:c r="H26" s="15" t="str">
        <x:v>A later start misses the 48-hour route-release contract.</x:v>
      </x:c>
    </x:row>
    <x:row r="27">
      <x:c r="C27" s="15" t="str">
        <x:v>Prepared districts for five-district loss</x:v>
      </x:c>
      <x:c r="D27" s="19" t="n">
        <x:f>CEILING('01 Controls'!$E$7/'01 Controls'!$E$24,1)+5</x:f>
        <x:v>34</x:v>
      </x:c>
      <x:c r="E27" s="19" t="n">
        <x:v>34</x:v>
      </x:c>
      <x:c r="F27" s="11" t="str">
        <x:v>districts</x:v>
      </x:c>
      <x:c r="G27" s="11" t="str">
        <x:f>IF(D27&lt;=E27,"PASS","OPEN")</x:f>
        <x:v>PASS</x:v>
      </x:c>
      <x:c r="H27" s="15" t="str">
        <x:v>Capacity only counts if the districts activate on time.</x:v>
      </x:c>
    </x:row>
    <x:row r="28">
      <x:c r="C28" s="15" t="str">
        <x:v>Power blocks for N-2</x:v>
      </x:c>
      <x:c r="D28" s="19" t="n">
        <x:f>CEILING('01 Controls'!$E$12/'01 Controls'!$E$26,1)+2</x:f>
        <x:v>10</x:v>
      </x:c>
      <x:c r="E28" s="19" t="n">
        <x:v>10</x:v>
      </x:c>
      <x:c r="F28" s="11" t="str">
        <x:v>blocks</x:v>
      </x:c>
      <x:c r="G28" s="11" t="str">
        <x:f>IF(D28&lt;=E28,"PASS","OPEN")</x:f>
        <x:v>PASS</x:v>
      </x:c>
      <x:c r="H28" s="15" t="str">
        <x:v>The supporting formation must reserve the blocks for this group.</x:v>
      </x:c>
    </x:row>
    <x:row r="29">
      <x:c r="C29" s="15" t="str">
        <x:v>Water islands for N-1</x:v>
      </x:c>
      <x:c r="D29" s="19" t="n">
        <x:f>CEILING('01 Controls'!$E$13/'01 Controls'!$E$27,1)+1</x:f>
        <x:v>9</x:v>
      </x:c>
      <x:c r="E29" s="19" t="n">
        <x:v>9</x:v>
      </x:c>
      <x:c r="F29" s="11" t="str">
        <x:v>islands</x:v>
      </x:c>
      <x:c r="G29" s="11" t="str">
        <x:f>IF(D29&lt;=E29,"PASS","OPEN")</x:f>
        <x:v>PASS</x:v>
      </x:c>
      <x:c r="H29" s="15" t="str">
        <x:v>The supporting formation must reserve the islands for this group.</x:v>
      </x:c>
    </x:row>
  </x:sheetData>
  <x:conditionalFormatting sqref="N6:N19">
    <x:cfRule type="containsText" dxfId="0" priority="1" operator="containsText" text="FAIL"/>
    <x:cfRule type="containsText" dxfId="1" priority="2" operator="containsText" text="OPEN"/>
    <x:cfRule type="containsText" dxfId="2" priority="3" operator="containsText" text="BLOCKED"/>
    <x:cfRule type="containsText" dxfId="3" priority="4" operator="containsText" text="PASS"/>
  </x:conditionalFormatting>
  <x:conditionalFormatting sqref="G24:G29">
    <x:cfRule type="containsText" dxfId="4" priority="5" operator="containsText" text="FAIL"/>
    <x:cfRule type="containsText" dxfId="5" priority="6" operator="containsText" text="OPEN"/>
    <x:cfRule type="containsText" dxfId="6" priority="7" operator="containsText" text="BLOCKED"/>
    <x:cfRule type="containsText" dxfId="7" priority="8" operator="containsText" text="PASS"/>
  </x:conditionalFormatting>
  <x:pageMargins left="0.7" right="0.7" top="0.75" bottom="0.75" header="0.3" footer="0.3"/>
  <x:tableParts count="1">
    <x:tablePart xmlns:r="http://schemas.openxmlformats.org/officeDocument/2006/relationships" r:id="Rfdb5f7ca2768475e"/>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3" max="3" width="12" hidden="0" customWidth="1"/>
    <x:col min="4" max="4" width="38" hidden="0" customWidth="1"/>
    <x:col min="5" max="5" width="12" hidden="0" customWidth="1"/>
    <x:col min="6" max="6" width="16" hidden="0" customWidth="1"/>
    <x:col min="7" max="7" width="12" hidden="0" customWidth="1"/>
    <x:col min="8" max="8" width="15" hidden="0" customWidth="1"/>
    <x:col min="9" max="9" width="16" hidden="0" customWidth="1"/>
    <x:col min="10" max="10" width="15" hidden="0" customWidth="1"/>
    <x:col min="11" max="11" width="22" hidden="0" customWidth="1"/>
    <x:col min="12" max="12" width="15" hidden="0" customWidth="1"/>
    <x:col min="13" max="13" width="54" hidden="0" customWidth="1"/>
  </x:cols>
  <x:sheetData>
    <x:row r="2">
      <x:c r="C2" s="2" t="str">
        <x:v>HCG-35B organization</x:v>
      </x:c>
      <x:c r="D2" s="1"/>
      <x:c r="E2" s="1"/>
      <x:c r="F2" s="1"/>
      <x:c r="G2" s="1"/>
      <x:c r="H2" s="1"/>
      <x:c r="I2" s="1"/>
      <x:c r="J2" s="1"/>
      <x:c r="K2" s="1"/>
      <x:c r="L2" s="1"/>
      <x:c r="M2" s="1"/>
    </x:row>
    <x:row r="3">
      <x:c r="C3" s="3" t="str">
        <x:v>Seven HCC-5 companies divide the origin workload. Role-specific readiness factors replace the Pass 58 blanket 3.4 crew-set coefficient.</x:v>
      </x:c>
      <x:c r="D3" s="3"/>
      <x:c r="E3" s="3"/>
      <x:c r="F3" s="3"/>
      <x:c r="G3" s="3"/>
      <x:c r="H3" s="3"/>
      <x:c r="I3" s="3"/>
      <x:c r="J3" s="3"/>
      <x:c r="K3" s="3"/>
      <x:c r="L3" s="3"/>
      <x:c r="M3" s="3"/>
    </x:row>
    <x:row r="5">
      <x:c r="C5" s="9" t="str">
        <x:v>ID</x:v>
      </x:c>
      <x:c r="D5" s="9" t="str">
        <x:v>Function</x:v>
      </x:c>
      <x:c r="E5" s="9" t="str">
        <x:v>Units</x:v>
      </x:c>
      <x:c r="F5" s="9" t="str">
        <x:v>Positions per unit</x:v>
      </x:c>
      <x:c r="G5" s="9" t="str">
        <x:v>Shift factor</x:v>
      </x:c>
      <x:c r="H5" s="9" t="str">
        <x:v>Command / relief</x:v>
      </x:c>
      <x:c r="I5" s="9" t="str">
        <x:v>Deployed people</x:v>
      </x:c>
      <x:c r="J5" s="9" t="str">
        <x:v>Generation factor</x:v>
      </x:c>
      <x:c r="K5" s="9" t="str">
        <x:v>Affiliated billets per owned HCG</x:v>
      </x:c>
      <x:c r="L5" s="9" t="str">
        <x:v>Owner</x:v>
      </x:c>
      <x:c r="M5" s="9" t="str">
        <x:v>Boundary</x:v>
      </x:c>
    </x:row>
    <x:row r="6">
      <x:c r="C6" s="11" t="str">
        <x:v>HCG-HQ</x:v>
      </x:c>
      <x:c r="D6" s="11" t="str">
        <x:v>Group command, rights, clinical and records</x:v>
      </x:c>
      <x:c r="E6" s="11" t="n">
        <x:v>1</x:v>
      </x:c>
      <x:c r="F6" s="11" t="n">
        <x:v>360</x:v>
      </x:c>
      <x:c r="G6" s="11" t="n">
        <x:v>1</x:v>
      </x:c>
      <x:c r="H6" s="11" t="n">
        <x:v>1</x:v>
      </x:c>
      <x:c r="I6" s="20" t="n">
        <x:f>E6*F6*G6*H6</x:f>
        <x:v>360</x:v>
      </x:c>
      <x:c r="J6" s="21" t="n">
        <x:v>2.7</x:v>
      </x:c>
      <x:c r="K6" s="20" t="n">
        <x:f>I6*J6</x:f>
        <x:v>972.0000000000001</x:v>
      </x:c>
      <x:c r="L6" s="11" t="str">
        <x:v>CM-HCG</x:v>
      </x:c>
      <x:c r="M6" s="11" t="str">
        <x:v>Non-delegable command and lawful person-service record</x:v>
      </x:c>
    </x:row>
    <x:row r="7">
      <x:c r="C7" s="11" t="str">
        <x:v>HCC-HQ</x:v>
      </x:c>
      <x:c r="D7" s="11" t="str">
        <x:v>Household continuity company headquarters</x:v>
      </x:c>
      <x:c r="E7" s="11" t="n">
        <x:v>7</x:v>
      </x:c>
      <x:c r="F7" s="11" t="n">
        <x:v>24</x:v>
      </x:c>
      <x:c r="G7" s="11" t="n">
        <x:v>1</x:v>
      </x:c>
      <x:c r="H7" s="11" t="n">
        <x:v>1</x:v>
      </x:c>
      <x:c r="I7" s="20" t="n">
        <x:f>E7*F7*G7*H7</x:f>
        <x:v>168</x:v>
      </x:c>
      <x:c r="J7" s="21" t="n">
        <x:v>2.7</x:v>
      </x:c>
      <x:c r="K7" s="20" t="n">
        <x:f>I7*J7</x:f>
        <x:v>453.6</x:v>
      </x:c>
      <x:c r="L7" s="11" t="str">
        <x:v>CM-HCG</x:v>
      </x:c>
      <x:c r="M7" s="11" t="str">
        <x:v>Seven sector commands and civil interfaces</x:v>
      </x:c>
    </x:row>
    <x:row r="8">
      <x:c r="C8" s="11" t="str">
        <x:v>HAT</x:v>
      </x:c>
      <x:c r="D8" s="11" t="str">
        <x:v>Household access teams</x:v>
      </x:c>
      <x:c r="E8" s="11" t="n">
        <x:v>343</x:v>
      </x:c>
      <x:c r="F8" s="11" t="n">
        <x:v>2</x:v>
      </x:c>
      <x:c r="G8" s="11" t="n">
        <x:v>2.4</x:v>
      </x:c>
      <x:c r="H8" s="11" t="n">
        <x:v>1.15</x:v>
      </x:c>
      <x:c r="I8" s="20" t="n">
        <x:f>E8*F8*G8*H8</x:f>
        <x:v>1893.3599999999997</x:v>
      </x:c>
      <x:c r="J8" s="21" t="n">
        <x:v>2.2</x:v>
      </x:c>
      <x:c r="K8" s="20" t="n">
        <x:f>I8*J8</x:f>
        <x:v>4165.392</x:v>
      </x:c>
      <x:c r="L8" s="11" t="str">
        <x:v>CM-HCG</x:v>
      </x:c>
      <x:c r="M8" s="11" t="str">
        <x:v>Contact, building screening and household disposition</x:v>
      </x:c>
    </x:row>
    <x:row r="9">
      <x:c r="C9" s="11" t="str">
        <x:v>VAT</x:v>
      </x:c>
      <x:c r="D9" s="11" t="str">
        <x:v>Vertical continuity teams</x:v>
      </x:c>
      <x:c r="E9" s="11" t="n">
        <x:v>98</x:v>
      </x:c>
      <x:c r="F9" s="11" t="n">
        <x:v>4</x:v>
      </x:c>
      <x:c r="G9" s="11" t="n">
        <x:v>2.4</x:v>
      </x:c>
      <x:c r="H9" s="11" t="n">
        <x:v>1.15</x:v>
      </x:c>
      <x:c r="I9" s="20" t="n">
        <x:f>E9*F9*G9*H9</x:f>
        <x:v>1081.9199999999998</x:v>
      </x:c>
      <x:c r="J9" s="21" t="n">
        <x:v>2.4</x:v>
      </x:c>
      <x:c r="K9" s="20" t="n">
        <x:f>I9*J9</x:f>
        <x:v>2596.6079999999997</x:v>
      </x:c>
      <x:c r="L9" s="11" t="str">
        <x:v>CM-HCG</x:v>
      </x:c>
      <x:c r="M9" s="11" t="str">
        <x:v>Assisted vertical service and supported-remain decisions</x:v>
      </x:c>
    </x:row>
    <x:row r="10">
      <x:c r="C10" s="11" t="str">
        <x:v>COL</x:v>
      </x:c>
      <x:c r="D10" s="11" t="str">
        <x:v>Collection squadron crews</x:v>
      </x:c>
      <x:c r="E10" s="11" t="n">
        <x:v>5</x:v>
      </x:c>
      <x:c r="F10" s="11" t="n">
        <x:v>48</x:v>
      </x:c>
      <x:c r="G10" s="11" t="n">
        <x:v>2.4</x:v>
      </x:c>
      <x:c r="H10" s="11" t="n">
        <x:v>1.15</x:v>
      </x:c>
      <x:c r="I10" s="20" t="n">
        <x:f>E10*F10*G10*H10</x:f>
        <x:v>662.4</x:v>
      </x:c>
      <x:c r="J10" s="21" t="n">
        <x:v>2.6</x:v>
      </x:c>
      <x:c r="K10" s="20" t="n">
        <x:f>I10*J10</x:f>
        <x:v>1722.24</x:v>
      </x:c>
      <x:c r="L10" s="11" t="str">
        <x:v>CM-HCG</x:v>
      </x:c>
      <x:c r="M10" s="11" t="str">
        <x:v>Accessible dispatch, loading, short haul and handoff</x:v>
      </x:c>
    </x:row>
    <x:row r="11">
      <x:c r="C11" s="11" t="str">
        <x:v>RIT</x:v>
      </x:c>
      <x:c r="D11" s="11" t="str">
        <x:v>Route-interface teams</x:v>
      </x:c>
      <x:c r="E11" s="11" t="n">
        <x:v>7</x:v>
      </x:c>
      <x:c r="F11" s="11" t="n">
        <x:v>6</x:v>
      </x:c>
      <x:c r="G11" s="11" t="n">
        <x:v>2.4</x:v>
      </x:c>
      <x:c r="H11" s="11" t="n">
        <x:v>1.15</x:v>
      </x:c>
      <x:c r="I11" s="20" t="n">
        <x:f>E11*F11*G11*H11</x:f>
        <x:v>115.91999999999999</x:v>
      </x:c>
      <x:c r="J11" s="21" t="n">
        <x:v>2.3</x:v>
      </x:c>
      <x:c r="K11" s="20" t="n">
        <x:f>I11*J11</x:f>
        <x:v>266.61599999999993</x:v>
      </x:c>
      <x:c r="L11" s="11" t="str">
        <x:v>CM-HCG</x:v>
      </x:c>
      <x:c r="M11" s="11" t="str">
        <x:v>Reconnaissance and interface; no heavy route-release credit</x:v>
      </x:c>
    </x:row>
    <x:row r="12">
      <x:c r="C12" s="11" t="str">
        <x:v>COM</x:v>
      </x:c>
      <x:c r="D12" s="11" t="str">
        <x:v>Organic communications and field-record teams</x:v>
      </x:c>
      <x:c r="E12" s="11" t="n">
        <x:v>8</x:v>
      </x:c>
      <x:c r="F12" s="11" t="n">
        <x:v>6</x:v>
      </x:c>
      <x:c r="G12" s="11" t="n">
        <x:v>2.4</x:v>
      </x:c>
      <x:c r="H12" s="11" t="n">
        <x:v>1.15</x:v>
      </x:c>
      <x:c r="I12" s="20" t="n">
        <x:f>E12*F12*G12*H12</x:f>
        <x:v>132.48</x:v>
      </x:c>
      <x:c r="J12" s="21" t="n">
        <x:v>2.5</x:v>
      </x:c>
      <x:c r="K12" s="20" t="n">
        <x:f>I12*J12</x:f>
        <x:v>331.2</x:v>
      </x:c>
      <x:c r="L12" s="11" t="str">
        <x:v>CM-HCG</x:v>
      </x:c>
      <x:c r="M12" s="11" t="str">
        <x:v>Disconnected field network and reconciliation edge</x:v>
      </x:c>
    </x:row>
    <x:row r="13">
      <x:c r="C13" s="11" t="str">
        <x:v>OSG</x:v>
      </x:c>
      <x:c r="D13" s="11" t="str">
        <x:v>Organic sustainment and regeneration</x:v>
      </x:c>
      <x:c r="E13" s="11" t="n">
        <x:v>1</x:v>
      </x:c>
      <x:c r="F13" s="11" t="n">
        <x:f>SUM(I6:I12)*'01 Controls'!$E$39</x:f>
        <x:v>662.1119999999999</x:v>
      </x:c>
      <x:c r="G13" s="11" t="n">
        <x:v>1</x:v>
      </x:c>
      <x:c r="H13" s="11" t="n">
        <x:v>1</x:v>
      </x:c>
      <x:c r="I13" s="20" t="n">
        <x:f>E13*F13*G13*H13</x:f>
        <x:v>662.1119999999999</x:v>
      </x:c>
      <x:c r="J13" s="21" t="n">
        <x:v>2.5</x:v>
      </x:c>
      <x:c r="K13" s="20" t="n">
        <x:f>I13*J13</x:f>
        <x:v>1655.2799999999997</x:v>
      </x:c>
      <x:c r="L13" s="11" t="str">
        <x:v>CM-HCG</x:v>
      </x:c>
      <x:c r="M13" s="11" t="str">
        <x:v>Seven-day field base, maintenance, supplies and first regeneration</x:v>
      </x:c>
    </x:row>
    <x:row r="14">
      <x:c r="C14" s="11"/>
      <x:c r="D14" s="11"/>
      <x:c r="E14" s="11"/>
      <x:c r="F14" s="11"/>
      <x:c r="G14" s="11"/>
      <x:c r="H14" s="11"/>
      <x:c r="I14" s="20"/>
      <x:c r="J14" s="21"/>
      <x:c r="K14" s="20"/>
      <x:c r="L14" s="11"/>
      <x:c r="M14" s="11"/>
    </x:row>
    <x:row r="15">
      <x:c r="C15" s="25" t="str">
        <x:v>TOTAL</x:v>
      </x:c>
      <x:c r="D15" s="25" t="str">
        <x:v>Organic HCG-35B</x:v>
      </x:c>
      <x:c r="E15" s="25"/>
      <x:c r="F15" s="25"/>
      <x:c r="G15" s="25"/>
      <x:c r="H15" s="25"/>
      <x:c r="I15" s="26" t="n">
        <x:f>SUM(I6:I13)</x:f>
        <x:v>5076.191999999999</x:v>
      </x:c>
      <x:c r="J15" s="27"/>
      <x:c r="K15" s="26" t="n">
        <x:f>SUM(K6:K13)</x:f>
        <x:v>12162.936000000002</x:v>
      </x:c>
      <x:c r="L15" s="25" t="str">
        <x:v>CM-HCG</x:v>
      </x:c>
      <x:c r="M15" s="25" t="str">
        <x:v>One shift-complete deployed formation and its role-specific readiness establishment</x:v>
      </x:c>
    </x:row>
    <x:row r="19">
      <x:c r="C19" s="9" t="str">
        <x:v>HCC-5 company design</x:v>
      </x:c>
      <x:c r="D19" s="9" t="str">
        <x:v>Value</x:v>
      </x:c>
      <x:c r="E19" s="9" t="str">
        <x:v>Unit</x:v>
      </x:c>
      <x:c r="F19" s="9" t="str">
        <x:v>Calculation</x:v>
      </x:c>
      <x:c r="G19" s="9" t="str">
        <x:v>Control level</x:v>
      </x:c>
      <x:c r="H19" s="9" t="str">
        <x:v>Boundary</x:v>
      </x:c>
    </x:row>
    <x:row r="20">
      <x:c r="C20" s="15" t="str">
        <x:v>Demand envelope per company</x:v>
      </x:c>
      <x:c r="D20" s="28" t="n">
        <x:f>'01 Controls'!$E$6/'01 Controls'!$E$29</x:f>
        <x:v>4993.823953925984</x:v>
      </x:c>
      <x:c r="E20" s="11" t="str">
        <x:v>people</x:v>
      </x:c>
      <x:c r="F20" s="11" t="str">
        <x:v>HCG demand / seven</x:v>
      </x:c>
      <x:c r="G20" s="11" t="str">
        <x:v>group allocation</x:v>
      </x:c>
      <x:c r="H20" s="15" t="str">
        <x:v>Demand class, not resident population</x:v>
      </x:c>
    </x:row>
    <x:row r="21">
      <x:c r="C21" s="15" t="str">
        <x:v>Household records per company</x:v>
      </x:c>
      <x:c r="D21" s="28" t="n">
        <x:f>'01 Controls'!$E$9/'01 Controls'!$E$29</x:f>
        <x:v>2038.2954913983608</x:v>
      </x:c>
      <x:c r="E21" s="11" t="str">
        <x:v>households</x:v>
      </x:c>
      <x:c r="F21" s="11" t="str">
        <x:v>HCG households / seven</x:v>
      </x:c>
      <x:c r="G21" s="11" t="str">
        <x:v>company workload</x:v>
      </x:c>
      <x:c r="H21" s="15" t="str">
        <x:v>Actual assignment follows buildings and routes</x:v>
      </x:c>
    </x:row>
    <x:row r="22">
      <x:c r="C22" s="15" t="str">
        <x:v>Vertical cases per company</x:v>
      </x:c>
      <x:c r="D22" s="28" t="n">
        <x:f>'01 Controls'!$E$10/'01 Controls'!$E$29</x:f>
        <x:v>214.73443001881733</x:v>
      </x:c>
      <x:c r="E22" s="11" t="str">
        <x:v>people</x:v>
      </x:c>
      <x:c r="F22" s="11" t="str">
        <x:v>HCG vertical cases / seven</x:v>
      </x:c>
      <x:c r="G22" s="11" t="str">
        <x:v>company workload</x:v>
      </x:c>
      <x:c r="H22" s="15" t="str">
        <x:v>Building mix can require unequal sectors</x:v>
      </x:c>
    </x:row>
    <x:row r="23">
      <x:c r="C23" s="15" t="str">
        <x:v>Collection cases per company</x:v>
      </x:c>
      <x:c r="D23" s="28" t="n">
        <x:f>'01 Controls'!$E$8/'01 Controls'!$E$29</x:f>
        <x:v>897.9521618208272</x:v>
      </x:c>
      <x:c r="E23" s="11" t="str">
        <x:v>people</x:v>
      </x:c>
      <x:c r="F23" s="11" t="str">
        <x:v>HCG collection / seven</x:v>
      </x:c>
      <x:c r="G23" s="11" t="str">
        <x:v>group-supported</x:v>
      </x:c>
      <x:c r="H23" s="15" t="str">
        <x:v>Common fleet dispatch remains at group level</x:v>
      </x:c>
    </x:row>
    <x:row r="24">
      <x:c r="C24" s="15" t="str">
        <x:v>Household teams</x:v>
      </x:c>
      <x:c r="D24" s="28" t="n">
        <x:f>'01 Controls'!$E$30</x:f>
        <x:v>49</x:v>
      </x:c>
      <x:c r="E24" s="11" t="str">
        <x:v>teams</x:v>
      </x:c>
      <x:c r="F24" s="11" t="str">
        <x:v>declared organization</x:v>
      </x:c>
      <x:c r="G24" s="11" t="str">
        <x:v>company organic</x:v>
      </x:c>
      <x:c r="H24" s="15" t="str">
        <x:v>Two-person teams</x:v>
      </x:c>
    </x:row>
    <x:row r="25">
      <x:c r="C25" s="15" t="str">
        <x:v>Vertical teams</x:v>
      </x:c>
      <x:c r="D25" s="28" t="n">
        <x:f>'01 Controls'!$E$31</x:f>
        <x:v>14</x:v>
      </x:c>
      <x:c r="E25" s="11" t="str">
        <x:v>teams</x:v>
      </x:c>
      <x:c r="F25" s="11" t="str">
        <x:v>declared organization</x:v>
      </x:c>
      <x:c r="G25" s="11" t="str">
        <x:v>company organic</x:v>
      </x:c>
      <x:c r="H25" s="15" t="str">
        <x:v>Four-person teams</x:v>
      </x:c>
    </x:row>
    <x:row r="26">
      <x:c r="C26" s="15" t="str">
        <x:v>Company headquarters</x:v>
      </x:c>
      <x:c r="D26" s="28" t="n">
        <x:f>'01 Controls'!$E$36</x:f>
        <x:v>24</x:v>
      </x:c>
      <x:c r="E26" s="11" t="str">
        <x:v>people</x:v>
      </x:c>
      <x:c r="F26" s="11" t="str">
        <x:v>declared organization</x:v>
      </x:c>
      <x:c r="G26" s="11" t="str">
        <x:v>company organic</x:v>
      </x:c>
      <x:c r="H26" s="15" t="str">
        <x:v>Command, civil interface and local records</x:v>
      </x:c>
    </x:row>
  </x:sheetData>
  <x:pageMargins left="0.7" right="0.7" top="0.75" bottom="0.75" header="0.3" footer="0.3"/>
  <x:tableParts count="1">
    <x:tablePart xmlns:r="http://schemas.openxmlformats.org/officeDocument/2006/relationships" r:id="R0ee5588ef36b44fd"/>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3" max="3" width="34" hidden="0" customWidth="1"/>
    <x:col min="4" max="4" width="12" hidden="0" customWidth="1"/>
    <x:col min="5" max="5" width="18" hidden="0" customWidth="1"/>
    <x:col min="6" max="6" width="15" hidden="0" customWidth="1"/>
    <x:col min="7" max="7" width="18" hidden="0" customWidth="1"/>
    <x:col min="8" max="8" width="18" hidden="0" customWidth="1"/>
    <x:col min="9" max="9" width="16" hidden="0" customWidth="1"/>
    <x:col min="10" max="10" width="20" hidden="0" customWidth="1"/>
    <x:col min="11" max="11" width="20" hidden="0" customWidth="1"/>
    <x:col min="12" max="12" width="22" hidden="0" customWidth="1"/>
    <x:col min="13" max="13" width="28" hidden="0" customWidth="1"/>
    <x:col min="14" max="14" width="14" hidden="0" customWidth="1"/>
  </x:cols>
  <x:sheetData>
    <x:row r="2">
      <x:c r="C2" s="2" t="str">
        <x:v>Organic, prepared and shared allocation</x:v>
      </x:c>
      <x:c r="D2" s="1"/>
      <x:c r="E2" s="1"/>
      <x:c r="F2" s="1"/>
      <x:c r="G2" s="1"/>
      <x:c r="H2" s="1"/>
      <x:c r="I2" s="1"/>
      <x:c r="J2" s="1"/>
      <x:c r="K2" s="1"/>
      <x:c r="L2" s="1"/>
      <x:c r="M2" s="1"/>
      <x:c r="N2" s="1"/>
    </x:row>
    <x:row r="3">
      <x:c r="C3" s="3" t="str">
        <x:v>The mobile group becomes lighter only by creating explicit service contracts. Every removed tonne and dollar remains in the complete-system account.</x:v>
      </x:c>
      <x:c r="D3" s="3"/>
      <x:c r="E3" s="3"/>
      <x:c r="F3" s="3"/>
      <x:c r="G3" s="3"/>
      <x:c r="H3" s="3"/>
      <x:c r="I3" s="3"/>
      <x:c r="J3" s="3"/>
      <x:c r="K3" s="3"/>
      <x:c r="L3" s="3"/>
      <x:c r="M3" s="3"/>
      <x:c r="N3" s="3"/>
    </x:row>
    <x:row r="5">
      <x:c r="C5" s="9" t="str">
        <x:v>Component</x:v>
      </x:c>
      <x:c r="D5" s="9" t="str">
        <x:v>A2 quantity</x:v>
      </x:c>
      <x:c r="E5" s="9" t="str">
        <x:v>HCG organic quantity</x:v>
      </x:c>
      <x:c r="F5" s="9" t="str">
        <x:v>External quantity</x:v>
      </x:c>
      <x:c r="G5" s="9" t="str">
        <x:v>A2 functional mass t</x:v>
      </x:c>
      <x:c r="H5" s="9" t="str">
        <x:v>HCG organic mass t</x:v>
      </x:c>
      <x:c r="I5" s="9" t="str">
        <x:v>External mass t</x:v>
      </x:c>
      <x:c r="J5" s="9" t="str">
        <x:v>A2 direct capital $M</x:v>
      </x:c>
      <x:c r="K5" s="9" t="str">
        <x:v>HCG direct capital $M</x:v>
      </x:c>
      <x:c r="L5" s="9" t="str">
        <x:v>External direct capital $M</x:v>
      </x:c>
      <x:c r="M5" s="9" t="str">
        <x:v>Receiving owner</x:v>
      </x:c>
      <x:c r="N5" s="9" t="str">
        <x:v>Status</x:v>
      </x:c>
    </x:row>
    <x:row r="6">
      <x:c r="C6" s="11" t="str">
        <x:v>Prepared district packages</x:v>
      </x:c>
      <x:c r="D6" s="11" t="n">
        <x:v>34</x:v>
      </x:c>
      <x:c r="E6" s="11" t="n">
        <x:v>0</x:v>
      </x:c>
      <x:c r="F6" s="11" t="n">
        <x:v>34</x:v>
      </x:c>
      <x:c r="G6" s="29" t="n">
        <x:v>535.228</x:v>
      </x:c>
      <x:c r="H6" s="29" t="n">
        <x:v>0</x:v>
      </x:c>
      <x:c r="I6" s="29" t="n">
        <x:v>535.228</x:v>
      </x:c>
      <x:c r="J6" s="29" t="n">
        <x:v>1360</x:v>
      </x:c>
      <x:c r="K6" s="29" t="n">
        <x:v>0</x:v>
      </x:c>
      <x:c r="L6" s="29" t="n">
        <x:v>1360</x:v>
      </x:c>
      <x:c r="M6" s="11" t="str">
        <x:v>C-PSG / prepared lattice</x:v>
      </x:c>
      <x:c r="N6" s="11" t="str">
        <x:v>UNALLOCATED</x:v>
      </x:c>
    </x:row>
    <x:row r="7">
      <x:c r="C7" s="11" t="str">
        <x:v>Household access team sets</x:v>
      </x:c>
      <x:c r="D7" s="11" t="n">
        <x:v>300</x:v>
      </x:c>
      <x:c r="E7" s="11" t="n">
        <x:v>343</x:v>
      </x:c>
      <x:c r="F7" s="11" t="n">
        <x:v>0</x:v>
      </x:c>
      <x:c r="G7" s="29" t="n">
        <x:v>75</x:v>
      </x:c>
      <x:c r="H7" s="29" t="n">
        <x:v>85.75</x:v>
      </x:c>
      <x:c r="I7" s="29" t="n">
        <x:v>0</x:v>
      </x:c>
      <x:c r="J7" s="29" t="n">
        <x:v>150</x:v>
      </x:c>
      <x:c r="K7" s="29" t="n">
        <x:v>171.5</x:v>
      </x:c>
      <x:c r="L7" s="29" t="n">
        <x:v>0</x:v>
      </x:c>
      <x:c r="M7" s="11" t="str">
        <x:v>CM-HCG</x:v>
      </x:c>
      <x:c r="N7" s="11" t="str">
        <x:v>ORGANIC</x:v>
      </x:c>
    </x:row>
    <x:row r="8">
      <x:c r="C8" s="11" t="str">
        <x:v>Vertical access team sets</x:v>
      </x:c>
      <x:c r="D8" s="11" t="n">
        <x:v>100</x:v>
      </x:c>
      <x:c r="E8" s="11" t="n">
        <x:v>98</x:v>
      </x:c>
      <x:c r="F8" s="11" t="n">
        <x:v>0</x:v>
      </x:c>
      <x:c r="G8" s="29" t="n">
        <x:v>80</x:v>
      </x:c>
      <x:c r="H8" s="29" t="n">
        <x:v>78.4</x:v>
      </x:c>
      <x:c r="I8" s="29" t="n">
        <x:v>0</x:v>
      </x:c>
      <x:c r="J8" s="29" t="n">
        <x:v>120</x:v>
      </x:c>
      <x:c r="K8" s="29" t="n">
        <x:v>117.6</x:v>
      </x:c>
      <x:c r="L8" s="29" t="n">
        <x:v>0</x:v>
      </x:c>
      <x:c r="M8" s="11" t="str">
        <x:v>CM-HCG</x:v>
      </x:c>
      <x:c r="N8" s="11" t="str">
        <x:v>ORGANIC</x:v>
      </x:c>
    </x:row>
    <x:row r="9">
      <x:c r="C9" s="11" t="str">
        <x:v>Collection squadrons</x:v>
      </x:c>
      <x:c r="D9" s="11" t="n">
        <x:v>5</x:v>
      </x:c>
      <x:c r="E9" s="11" t="n">
        <x:v>5</x:v>
      </x:c>
      <x:c r="F9" s="11" t="n">
        <x:v>0</x:v>
      </x:c>
      <x:c r="G9" s="29" t="n">
        <x:v>550</x:v>
      </x:c>
      <x:c r="H9" s="29" t="n">
        <x:v>550</x:v>
      </x:c>
      <x:c r="I9" s="29" t="n">
        <x:v>0</x:v>
      </x:c>
      <x:c r="J9" s="29" t="n">
        <x:v>600</x:v>
      </x:c>
      <x:c r="K9" s="29" t="n">
        <x:v>600</x:v>
      </x:c>
      <x:c r="L9" s="29" t="n">
        <x:v>0</x:v>
      </x:c>
      <x:c r="M9" s="11" t="str">
        <x:v>CM-HCG</x:v>
      </x:c>
      <x:c r="N9" s="11" t="str">
        <x:v>ORGANIC</x:v>
      </x:c>
    </x:row>
    <x:row r="10">
      <x:c r="C10" s="11" t="str">
        <x:v>Route-assurance detachments</x:v>
      </x:c>
      <x:c r="D10" s="11" t="n">
        <x:v>7</x:v>
      </x:c>
      <x:c r="E10" s="11" t="n">
        <x:v>0</x:v>
      </x:c>
      <x:c r="F10" s="11" t="n">
        <x:v>7</x:v>
      </x:c>
      <x:c r="G10" s="29" t="n">
        <x:v>1540</x:v>
      </x:c>
      <x:c r="H10" s="29" t="n">
        <x:v>0</x:v>
      </x:c>
      <x:c r="I10" s="29" t="n">
        <x:v>1540</x:v>
      </x:c>
      <x:c r="J10" s="29" t="n">
        <x:v>980</x:v>
      </x:c>
      <x:c r="K10" s="29" t="n">
        <x:v>0</x:v>
      </x:c>
      <x:c r="L10" s="29" t="n">
        <x:v>980</x:v>
      </x:c>
      <x:c r="M10" s="11" t="str">
        <x:v>L-ROG / CM-RMG</x:v>
      </x:c>
      <x:c r="N10" s="11" t="str">
        <x:v>UNALLOCATED</x:v>
      </x:c>
    </x:row>
    <x:row r="11">
      <x:c r="C11" s="11" t="str">
        <x:v>Route-interface team sets</x:v>
      </x:c>
      <x:c r="D11" s="11" t="n">
        <x:v>0</x:v>
      </x:c>
      <x:c r="E11" s="11" t="n">
        <x:v>7</x:v>
      </x:c>
      <x:c r="F11" s="11" t="n">
        <x:v>0</x:v>
      </x:c>
      <x:c r="G11" s="29" t="n">
        <x:v>0</x:v>
      </x:c>
      <x:c r="H11" s="29" t="n">
        <x:v>7</x:v>
      </x:c>
      <x:c r="I11" s="29" t="n">
        <x:v>0</x:v>
      </x:c>
      <x:c r="J11" s="29" t="n">
        <x:v>0</x:v>
      </x:c>
      <x:c r="K11" s="29" t="n">
        <x:v>35</x:v>
      </x:c>
      <x:c r="L11" s="29" t="n">
        <x:v>0</x:v>
      </x:c>
      <x:c r="M11" s="11" t="str">
        <x:v>CM-HCG</x:v>
      </x:c>
      <x:c r="N11" s="11" t="str">
        <x:v>ORGANIC</x:v>
      </x:c>
    </x:row>
    <x:row r="12">
      <x:c r="C12" s="11" t="str">
        <x:v>Power blocks</x:v>
      </x:c>
      <x:c r="D12" s="11" t="n">
        <x:v>10</x:v>
      </x:c>
      <x:c r="E12" s="11" t="n">
        <x:v>0</x:v>
      </x:c>
      <x:c r="F12" s="11" t="n">
        <x:v>10</x:v>
      </x:c>
      <x:c r="G12" s="29" t="n">
        <x:v>250</x:v>
      </x:c>
      <x:c r="H12" s="29" t="n">
        <x:v>0</x:v>
      </x:c>
      <x:c r="I12" s="29" t="n">
        <x:v>250</x:v>
      </x:c>
      <x:c r="J12" s="29" t="n">
        <x:v>350</x:v>
      </x:c>
      <x:c r="K12" s="29" t="n">
        <x:v>0</x:v>
      </x:c>
      <x:c r="L12" s="29" t="n">
        <x:v>350</x:v>
      </x:c>
      <x:c r="M12" s="11" t="str">
        <x:v>I-PRG / I-GBG</x:v>
      </x:c>
      <x:c r="N12" s="11" t="str">
        <x:v>UNALLOCATED</x:v>
      </x:c>
    </x:row>
    <x:row r="13">
      <x:c r="C13" s="11" t="str">
        <x:v>Water islands</x:v>
      </x:c>
      <x:c r="D13" s="11" t="n">
        <x:v>9</x:v>
      </x:c>
      <x:c r="E13" s="11" t="n">
        <x:v>0</x:v>
      </x:c>
      <x:c r="F13" s="11" t="n">
        <x:v>9</x:v>
      </x:c>
      <x:c r="G13" s="29" t="n">
        <x:v>225</x:v>
      </x:c>
      <x:c r="H13" s="29" t="n">
        <x:v>0</x:v>
      </x:c>
      <x:c r="I13" s="29" t="n">
        <x:v>225</x:v>
      </x:c>
      <x:c r="J13" s="29" t="n">
        <x:v>225</x:v>
      </x:c>
      <x:c r="K13" s="29" t="n">
        <x:v>0</x:v>
      </x:c>
      <x:c r="L13" s="29" t="n">
        <x:v>225</x:v>
      </x:c>
      <x:c r="M13" s="11" t="str">
        <x:v>I-WRG</x:v>
      </x:c>
      <x:c r="N13" s="11" t="str">
        <x:v>UNALLOCATED</x:v>
      </x:c>
    </x:row>
    <x:row r="14">
      <x:c r="C14" s="11" t="str">
        <x:v>Communications nodes</x:v>
      </x:c>
      <x:c r="D14" s="11" t="n">
        <x:v>7</x:v>
      </x:c>
      <x:c r="E14" s="11" t="n">
        <x:v>8</x:v>
      </x:c>
      <x:c r="F14" s="11" t="n">
        <x:v>0</x:v>
      </x:c>
      <x:c r="G14" s="29" t="n">
        <x:v>35</x:v>
      </x:c>
      <x:c r="H14" s="29" t="n">
        <x:v>40</x:v>
      </x:c>
      <x:c r="I14" s="29" t="n">
        <x:v>0</x:v>
      </x:c>
      <x:c r="J14" s="29" t="n">
        <x:v>140</x:v>
      </x:c>
      <x:c r="K14" s="29" t="n">
        <x:v>160</x:v>
      </x:c>
      <x:c r="L14" s="29" t="n">
        <x:v>0</x:v>
      </x:c>
      <x:c r="M14" s="11" t="str">
        <x:v>CM-HCG</x:v>
      </x:c>
      <x:c r="N14" s="11" t="str">
        <x:v>ORGANIC</x:v>
      </x:c>
    </x:row>
    <x:row r="15">
      <x:c r="C15" s="11" t="str">
        <x:v>Command, data and clinical modules</x:v>
      </x:c>
      <x:c r="D15" s="11" t="n">
        <x:v>1</x:v>
      </x:c>
      <x:c r="E15" s="11" t="n">
        <x:v>1</x:v>
      </x:c>
      <x:c r="F15" s="11" t="n">
        <x:v>0</x:v>
      </x:c>
      <x:c r="G15" s="29" t="n">
        <x:v>120</x:v>
      </x:c>
      <x:c r="H15" s="29" t="n">
        <x:v>120</x:v>
      </x:c>
      <x:c r="I15" s="29" t="n">
        <x:v>0</x:v>
      </x:c>
      <x:c r="J15" s="29" t="n">
        <x:v>300</x:v>
      </x:c>
      <x:c r="K15" s="29" t="n">
        <x:v>300</x:v>
      </x:c>
      <x:c r="L15" s="29" t="n">
        <x:v>0</x:v>
      </x:c>
      <x:c r="M15" s="11" t="str">
        <x:v>CM-HCG</x:v>
      </x:c>
      <x:c r="N15" s="11" t="str">
        <x:v>ORGANIC</x:v>
      </x:c>
    </x:row>
    <x:row r="16">
      <x:c r="C16" s="11" t="str">
        <x:v>Field base and staff equipment</x:v>
      </x:c>
      <x:c r="D16" s="11" t="n">
        <x:v>1</x:v>
      </x:c>
      <x:c r="E16" s="11" t="n">
        <x:v>1</x:v>
      </x:c>
      <x:c r="F16" s="11" t="n">
        <x:v>1</x:v>
      </x:c>
      <x:c r="G16" s="29" t="n">
        <x:v>606.924</x:v>
      </x:c>
      <x:c r="H16" s="30" t="n">
        <x:f>'03 Organization'!I15*0.08</x:f>
        <x:v>406.0953599999999</x:v>
      </x:c>
      <x:c r="I16" s="30" t="n">
        <x:f>G16-H16</x:f>
        <x:v>200.82864000000006</x:v>
      </x:c>
      <x:c r="J16" s="29" t="n">
        <x:v>0</x:v>
      </x:c>
      <x:c r="K16" s="29" t="n">
        <x:v>0</x:v>
      </x:c>
      <x:c r="L16" s="29" t="n">
        <x:v>0</x:v>
      </x:c>
      <x:c r="M16" s="11" t="str">
        <x:v>CM-HCG / J-TSC</x:v>
      </x:c>
      <x:c r="N16" s="11" t="str">
        <x:v>SPLIT</x:v>
      </x:c>
    </x:row>
    <x:row r="17">
      <x:c r="C17" s="11" t="str">
        <x:v>Seven-day food lot</x:v>
      </x:c>
      <x:c r="D17" s="11" t="n">
        <x:v>1</x:v>
      </x:c>
      <x:c r="E17" s="11" t="n">
        <x:v>1</x:v>
      </x:c>
      <x:c r="F17" s="11" t="n">
        <x:v>1</x:v>
      </x:c>
      <x:c r="G17" s="29" t="n">
        <x:v>106.59749848152414</x:v>
      </x:c>
      <x:c r="H17" s="30" t="n">
        <x:f>'03 Organization'!I15*1.2*7/1000</x:f>
        <x:v>42.64001279999999</x:v>
      </x:c>
      <x:c r="I17" s="30" t="n">
        <x:f>G17-H17</x:f>
        <x:v>63.957485681524155</x:v>
      </x:c>
      <x:c r="J17" s="29" t="n">
        <x:v>0</x:v>
      </x:c>
      <x:c r="K17" s="29" t="n">
        <x:v>0</x:v>
      </x:c>
      <x:c r="L17" s="29" t="n">
        <x:v>0</x:v>
      </x:c>
      <x:c r="M17" s="11" t="str">
        <x:v>CM-HCG / C-EGG</x:v>
      </x:c>
      <x:c r="N17" s="11" t="str">
        <x:v>SPLIT</x:v>
      </x:c>
    </x:row>
    <x:row r="18">
      <x:c r="C18" s="11" t="str">
        <x:v>Prime-power fuel equivalent</x:v>
      </x:c>
      <x:c r="D18" s="11" t="n">
        <x:v>1</x:v>
      </x:c>
      <x:c r="E18" s="11" t="n">
        <x:v>1</x:v>
      </x:c>
      <x:c r="F18" s="11" t="n">
        <x:v>1</x:v>
      </x:c>
      <x:c r="G18" s="29" t="n">
        <x:v>300</x:v>
      </x:c>
      <x:c r="H18" s="30" t="n">
        <x:v>100</x:v>
      </x:c>
      <x:c r="I18" s="30" t="n">
        <x:v>200</x:v>
      </x:c>
      <x:c r="J18" s="29" t="n">
        <x:v>0</x:v>
      </x:c>
      <x:c r="K18" s="29" t="n">
        <x:v>0</x:v>
      </x:c>
      <x:c r="L18" s="29" t="n">
        <x:v>0</x:v>
      </x:c>
      <x:c r="M18" s="11" t="str">
        <x:v>CM-HCG / I-PRG</x:v>
      </x:c>
      <x:c r="N18" s="11" t="str">
        <x:v>SPLIT</x:v>
      </x:c>
    </x:row>
    <x:row r="19">
      <x:c r="C19" s="11" t="str">
        <x:v>One-day startup water</x:v>
      </x:c>
      <x:c r="D19" s="11" t="n">
        <x:v>1</x:v>
      </x:c>
      <x:c r="E19" s="11" t="n">
        <x:v>1</x:v>
      </x:c>
      <x:c r="F19" s="11" t="n">
        <x:v>1</x:v>
      </x:c>
      <x:c r="G19" s="29" t="n">
        <x:v>650</x:v>
      </x:c>
      <x:c r="H19" s="30" t="n">
        <x:f>'03 Organization'!I15*3/1000</x:f>
        <x:v>15.228575999999997</x:v>
      </x:c>
      <x:c r="I19" s="30" t="n">
        <x:f>G19-H19</x:f>
        <x:v>634.771424</x:v>
      </x:c>
      <x:c r="J19" s="29" t="n">
        <x:v>0</x:v>
      </x:c>
      <x:c r="K19" s="29" t="n">
        <x:v>0</x:v>
      </x:c>
      <x:c r="L19" s="29" t="n">
        <x:v>0</x:v>
      </x:c>
      <x:c r="M19" s="11" t="str">
        <x:v>CM-HCG / I-WRG</x:v>
      </x:c>
      <x:c r="N19" s="11" t="str">
        <x:v>SPLIT</x:v>
      </x:c>
    </x:row>
    <x:row r="20">
      <x:c r="C20" s="11" t="str">
        <x:v>Waste and decontamination package</x:v>
      </x:c>
      <x:c r="D20" s="11" t="n">
        <x:v>1</x:v>
      </x:c>
      <x:c r="E20" s="11" t="n">
        <x:v>1</x:v>
      </x:c>
      <x:c r="F20" s="11" t="n">
        <x:v>1</x:v>
      </x:c>
      <x:c r="G20" s="29" t="n">
        <x:v>250</x:v>
      </x:c>
      <x:c r="H20" s="29" t="n">
        <x:v>80</x:v>
      </x:c>
      <x:c r="I20" s="29" t="n">
        <x:v>170</x:v>
      </x:c>
      <x:c r="J20" s="29" t="n">
        <x:v>0</x:v>
      </x:c>
      <x:c r="K20" s="29" t="n">
        <x:v>0</x:v>
      </x:c>
      <x:c r="L20" s="29" t="n">
        <x:v>0</x:v>
      </x:c>
      <x:c r="M20" s="11" t="str">
        <x:v>CM-HCG / C-PSG</x:v>
      </x:c>
      <x:c r="N20" s="11" t="str">
        <x:v>SPLIT</x:v>
      </x:c>
    </x:row>
    <x:row r="21">
      <x:c r="C21" s="11"/>
      <x:c r="D21" s="11"/>
      <x:c r="E21" s="11"/>
      <x:c r="F21" s="11"/>
      <x:c r="G21" s="29"/>
      <x:c r="H21" s="29"/>
      <x:c r="I21" s="29"/>
      <x:c r="J21" s="29"/>
      <x:c r="K21" s="29"/>
      <x:c r="L21" s="29"/>
      <x:c r="M21" s="11"/>
      <x:c r="N21" s="11"/>
    </x:row>
    <x:row r="22">
      <x:c r="C22" s="25" t="str">
        <x:v>TOTAL</x:v>
      </x:c>
      <x:c r="D22" s="25"/>
      <x:c r="E22" s="25"/>
      <x:c r="F22" s="25"/>
      <x:c r="G22" s="32" t="n">
        <x:f>SUM(G6:G20)</x:f>
        <x:v>5323.749498481524</x:v>
      </x:c>
      <x:c r="H22" s="32" t="n">
        <x:f>SUM(H6:H20)</x:f>
        <x:v>1525.1139488</x:v>
      </x:c>
      <x:c r="I22" s="32" t="n">
        <x:f>SUM(I6:I20)</x:f>
        <x:v>3819.7855496815246</x:v>
      </x:c>
      <x:c r="J22" s="32" t="n">
        <x:f>SUM(J6:J20)</x:f>
        <x:v>4225</x:v>
      </x:c>
      <x:c r="K22" s="32" t="n">
        <x:f>SUM(K6:K20)</x:f>
        <x:v>1384.1</x:v>
      </x:c>
      <x:c r="L22" s="32" t="n">
        <x:f>SUM(L6:L20)</x:f>
        <x:v>2915</x:v>
      </x:c>
      <x:c r="M22" s="25" t="str">
        <x:v>Complete-system assignment</x:v>
      </x:c>
      <x:c r="N22" s="25"/>
    </x:row>
    <x:row r="26">
      <x:c r="C26" s="9" t="str">
        <x:v>Complete-system reconciliation</x:v>
      </x:c>
      <x:c r="D26" s="9" t="str">
        <x:v>A2 inherited</x:v>
      </x:c>
      <x:c r="E26" s="9" t="str">
        <x:v>HCG organic</x:v>
      </x:c>
      <x:c r="F26" s="9" t="str">
        <x:v>External contract</x:v>
      </x:c>
      <x:c r="G26" s="9" t="str">
        <x:v>Assigned total</x:v>
      </x:c>
      <x:c r="H26" s="9" t="str">
        <x:v>Interpretation</x:v>
      </x:c>
    </x:row>
    <x:row r="27">
      <x:c r="C27" s="11" t="str">
        <x:v>Functional mass t</x:v>
      </x:c>
      <x:c r="D27" s="33" t="n">
        <x:f>G22</x:f>
        <x:v>5323.749498481524</x:v>
      </x:c>
      <x:c r="E27" s="33" t="n">
        <x:f>H22</x:f>
        <x:v>1525.1139488</x:v>
      </x:c>
      <x:c r="F27" s="33" t="n">
        <x:f>I22</x:f>
        <x:v>3819.7855496815246</x:v>
      </x:c>
      <x:c r="G27" s="33" t="n">
        <x:f>E27+F27</x:f>
        <x:v>5344.8994984815245</x:v>
      </x:c>
      <x:c r="H27" s="15" t="str">
        <x:v>Physical allocation; no packing factor.</x:v>
      </x:c>
    </x:row>
    <x:row r="28">
      <x:c r="C28" s="11" t="str">
        <x:v>Packed mass t</x:v>
      </x:c>
      <x:c r="D28" s="33" t="n">
        <x:f>D27*(1+'01 Controls'!$E$54)</x:f>
        <x:v>6388.499398177829</x:v>
      </x:c>
      <x:c r="E28" s="33" t="n">
        <x:f>E27*(1+'01 Controls'!$E$54)</x:f>
        <x:v>1830.13673856</x:v>
      </x:c>
      <x:c r="F28" s="33" t="n">
        <x:f>F27*(1+'01 Controls'!$E$54)</x:f>
        <x:v>4583.742659617829</x:v>
      </x:c>
      <x:c r="G28" s="33" t="n">
        <x:f>E28+F28</x:f>
        <x:v>6413.879398177829</x:v>
      </x:c>
      <x:c r="H28" s="15" t="str">
        <x:v>The mobile HCG is lighter, but total assigned packed mass does not fall.</x:v>
      </x:c>
    </x:row>
    <x:row r="29">
      <x:c r="C29" s="11" t="str">
        <x:v>Direct capital $B</x:v>
      </x:c>
      <x:c r="D29" s="33" t="n">
        <x:f>J22/1000</x:f>
        <x:v>4.225</x:v>
      </x:c>
      <x:c r="E29" s="33" t="n">
        <x:f>K22/1000</x:f>
        <x:v>1.3840999999999999</x:v>
      </x:c>
      <x:c r="F29" s="33" t="n">
        <x:f>L22/1000</x:f>
        <x:v>2.915</x:v>
      </x:c>
      <x:c r="G29" s="33" t="n">
        <x:f>E29+F29</x:f>
        <x:v>4.2991</x:v>
      </x:c>
      <x:c r="H29" s="15" t="str">
        <x:v>Direct equipment and module screen.</x:v>
      </x:c>
    </x:row>
    <x:row r="30">
      <x:c r="C30" s="11" t="str">
        <x:v>Unit capital $B</x:v>
      </x:c>
      <x:c r="D30" s="33" t="n">
        <x:f>D29*(1+'01 Controls'!$E$49)*(1+'01 Controls'!$E$50)</x:f>
        <x:v>6.865625</x:v>
      </x:c>
      <x:c r="E30" s="33" t="n">
        <x:f>E29*(1+'01 Controls'!$E$49)*(1+'01 Controls'!$E$50)</x:f>
        <x:v>2.2491624999999997</x:v>
      </x:c>
      <x:c r="F30" s="33" t="n">
        <x:f>F29*(1+'01 Controls'!$E$49)*(1+'01 Controls'!$E$50)</x:f>
        <x:v>4.736875</x:v>
      </x:c>
      <x:c r="G30" s="33" t="n">
        <x:f>E30+F30</x:f>
        <x:v>6.9860375</x:v>
      </x:c>
      <x:c r="H30" s="15" t="str">
        <x:v>Includes the inherited base/depot and unit reserve conventions.</x:v>
      </x:c>
    </x:row>
  </x:sheetData>
  <x:conditionalFormatting sqref="N6:N20">
    <x:cfRule type="containsText" dxfId="8" priority="1" operator="containsText" text="FAIL"/>
    <x:cfRule type="containsText" dxfId="9" priority="2" operator="containsText" text="OPEN"/>
    <x:cfRule type="containsText" dxfId="10" priority="3" operator="containsText" text="BLOCKED"/>
    <x:cfRule type="containsText" dxfId="11" priority="4" operator="containsText" text="PASS"/>
  </x:conditionalFormatting>
  <x:pageMargins left="0.7" right="0.7" top="0.75" bottom="0.75" header="0.3" footer="0.3"/>
  <x:tableParts count="1">
    <x:tablePart xmlns:r="http://schemas.openxmlformats.org/officeDocument/2006/relationships" r:id="Rcc4f0d55c000433b"/>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3" max="3" width="34" hidden="0" customWidth="1"/>
    <x:col min="4" max="4" width="16" hidden="0" customWidth="1"/>
    <x:col min="5" max="5" width="16" hidden="0" customWidth="1"/>
    <x:col min="6" max="6" width="18" hidden="0" customWidth="1"/>
    <x:col min="7" max="7" width="14" hidden="0" customWidth="1"/>
    <x:col min="8" max="8" width="14" hidden="0" customWidth="1"/>
    <x:col min="9" max="9" width="18" hidden="0" customWidth="1"/>
    <x:col min="10" max="10" width="28" hidden="0" customWidth="1"/>
    <x:col min="11" max="11" width="30" hidden="0" customWidth="1"/>
    <x:col min="12" max="12" width="12" hidden="0" customWidth="1"/>
  </x:cols>
  <x:sheetData>
    <x:row r="2">
      <x:c r="C2" s="2" t="str">
        <x:v>Shared-capacity demand</x:v>
      </x:c>
      <x:c r="D2" s="1"/>
      <x:c r="E2" s="1"/>
      <x:c r="F2" s="1"/>
      <x:c r="G2" s="1"/>
      <x:c r="H2" s="1"/>
      <x:c r="I2" s="1"/>
      <x:c r="J2" s="1"/>
      <x:c r="K2" s="1"/>
      <x:c r="L2" s="1"/>
    </x:row>
    <x:row r="3">
      <x:c r="C3" s="3" t="str">
        <x:v>The support ledger sizes what must be available for the simultaneous HCG contract. Existing formation counts cannot be credited until their item contents are mapped.</x:v>
      </x:c>
      <x:c r="D3" s="3"/>
      <x:c r="E3" s="3"/>
      <x:c r="F3" s="3"/>
      <x:c r="G3" s="3"/>
      <x:c r="H3" s="3"/>
      <x:c r="I3" s="3"/>
      <x:c r="J3" s="3"/>
      <x:c r="K3" s="3"/>
      <x:c r="L3" s="3"/>
    </x:row>
    <x:row r="5">
      <x:c r="C5" s="9" t="str">
        <x:v>Shared item</x:v>
      </x:c>
      <x:c r="D5" s="9" t="str">
        <x:v>Per active HCG</x:v>
      </x:c>
      <x:c r="E5" s="9" t="str">
        <x:v>Unit</x:v>
      </x:c>
      <x:c r="F5" s="9" t="str">
        <x:v>Simultaneous demand</x:v>
      </x:c>
      <x:c r="G5" s="9" t="str">
        <x:v>Reserve</x:v>
      </x:c>
      <x:c r="H5" s="9" t="str">
        <x:v>Availability</x:v>
      </x:c>
      <x:c r="I5" s="9" t="str">
        <x:v>Required inventory</x:v>
      </x:c>
      <x:c r="J5" s="9" t="str">
        <x:v>Receiving owner</x:v>
      </x:c>
      <x:c r="K5" s="9" t="str">
        <x:v>Certified mapped capacity</x:v>
      </x:c>
      <x:c r="L5" s="9" t="str">
        <x:v>Status</x:v>
      </x:c>
    </x:row>
    <x:row r="6">
      <x:c r="C6" s="11" t="str">
        <x:v>Prepared district packages</x:v>
      </x:c>
      <x:c r="D6" s="20" t="n">
        <x:v>34</x:v>
      </x:c>
      <x:c r="E6" s="20" t="str">
        <x:v>packages</x:v>
      </x:c>
      <x:c r="F6" s="28" t="n">
        <x:f>'01 Controls'!$E$41</x:f>
        <x:v>69</x:v>
      </x:c>
      <x:c r="G6" s="28" t="n">
        <x:f>'01 Controls'!$E$42</x:f>
        <x:v>0.2</x:v>
      </x:c>
      <x:c r="H6" s="28" t="n">
        <x:v>0.75</x:v>
      </x:c>
      <x:c r="I6" s="28" t="n">
        <x:f>CEILING(ROUND(D6*F6*(1+G6)/H6,9),1)</x:f>
        <x:v>3754</x:v>
      </x:c>
      <x:c r="J6" s="11" t="str">
        <x:v>C-PSG / prepared lattice</x:v>
      </x:c>
      <x:c r="K6" s="11" t="str">
        <x:v>No item-level capacity map</x:v>
      </x:c>
      <x:c r="L6" s="11" t="str">
        <x:v>OPEN</x:v>
      </x:c>
    </x:row>
    <x:row r="7">
      <x:c r="C7" s="11" t="str">
        <x:v>Route-assurance detachments</x:v>
      </x:c>
      <x:c r="D7" s="20" t="n">
        <x:v>7</x:v>
      </x:c>
      <x:c r="E7" s="20" t="str">
        <x:v>detachments</x:v>
      </x:c>
      <x:c r="F7" s="28" t="n">
        <x:f>'01 Controls'!$E$41</x:f>
        <x:v>69</x:v>
      </x:c>
      <x:c r="G7" s="28" t="n">
        <x:f>'01 Controls'!$E$42</x:f>
        <x:v>0.2</x:v>
      </x:c>
      <x:c r="H7" s="28" t="n">
        <x:v>0.7</x:v>
      </x:c>
      <x:c r="I7" s="28" t="n">
        <x:f>CEILING(ROUND(D7*F7*(1+G7)/H7,9),1)</x:f>
        <x:v>828</x:v>
      </x:c>
      <x:c r="J7" s="11" t="str">
        <x:v>L-ROG / CM-RMG</x:v>
      </x:c>
      <x:c r="K7" s="11" t="str">
        <x:v>No detachment allocation map</x:v>
      </x:c>
      <x:c r="L7" s="11" t="str">
        <x:v>OPEN</x:v>
      </x:c>
    </x:row>
    <x:row r="8">
      <x:c r="C8" s="11" t="str">
        <x:v>Power blocks</x:v>
      </x:c>
      <x:c r="D8" s="20" t="n">
        <x:v>10</x:v>
      </x:c>
      <x:c r="E8" s="20" t="str">
        <x:v>blocks</x:v>
      </x:c>
      <x:c r="F8" s="28" t="n">
        <x:f>'01 Controls'!$E$41</x:f>
        <x:v>69</x:v>
      </x:c>
      <x:c r="G8" s="28" t="n">
        <x:f>'01 Controls'!$E$42</x:f>
        <x:v>0.2</x:v>
      </x:c>
      <x:c r="H8" s="28" t="n">
        <x:v>0.7</x:v>
      </x:c>
      <x:c r="I8" s="28" t="n">
        <x:f>CEILING(ROUND(D8*F8*(1+G8)/H8,9),1)</x:f>
        <x:v>1183</x:v>
      </x:c>
      <x:c r="J8" s="11" t="str">
        <x:v>I-PRG / I-GBG</x:v>
      </x:c>
      <x:c r="K8" s="11" t="str">
        <x:v>No block allocation map</x:v>
      </x:c>
      <x:c r="L8" s="11" t="str">
        <x:v>OPEN</x:v>
      </x:c>
    </x:row>
    <x:row r="9">
      <x:c r="C9" s="11" t="str">
        <x:v>Water islands</x:v>
      </x:c>
      <x:c r="D9" s="20" t="n">
        <x:v>9</x:v>
      </x:c>
      <x:c r="E9" s="20" t="str">
        <x:v>islands</x:v>
      </x:c>
      <x:c r="F9" s="28" t="n">
        <x:f>'01 Controls'!$E$41</x:f>
        <x:v>69</x:v>
      </x:c>
      <x:c r="G9" s="28" t="n">
        <x:f>'01 Controls'!$E$42</x:f>
        <x:v>0.2</x:v>
      </x:c>
      <x:c r="H9" s="28" t="n">
        <x:v>0.7</x:v>
      </x:c>
      <x:c r="I9" s="28" t="n">
        <x:f>CEILING(ROUND(D9*F9*(1+G9)/H9,9),1)</x:f>
        <x:v>1065</x:v>
      </x:c>
      <x:c r="J9" s="11" t="str">
        <x:v>I-WRG</x:v>
      </x:c>
      <x:c r="K9" s="11" t="str">
        <x:v>No island allocation map</x:v>
      </x:c>
      <x:c r="L9" s="11" t="str">
        <x:v>OPEN</x:v>
      </x:c>
    </x:row>
    <x:row r="13">
      <x:c r="C13" s="9" t="str">
        <x:v>Shared people account</x:v>
      </x:c>
      <x:c r="D13" s="9" t="str">
        <x:v>Per active HCG</x:v>
      </x:c>
      <x:c r="E13" s="9" t="str">
        <x:v>Simultaneous demand with reserve</x:v>
      </x:c>
      <x:c r="F13" s="9" t="str">
        <x:v>On-duty requirement</x:v>
      </x:c>
      <x:c r="G13" s="9" t="str">
        <x:v>Illustrative generation factor</x:v>
      </x:c>
      <x:c r="H13" s="9" t="str">
        <x:v>Affiliated billet screen</x:v>
      </x:c>
      <x:c r="I13" s="9" t="str">
        <x:v>Status</x:v>
      </x:c>
    </x:row>
    <x:row r="14">
      <x:c r="C14" s="11" t="str">
        <x:v>External service positions removed from the mobile HCG</x:v>
      </x:c>
      <x:c r="D14" s="28" t="n">
        <x:f>7586.55-'03 Organization'!I15</x:f>
        <x:v>2510.358000000001</x:v>
      </x:c>
      <x:c r="E14" s="28" t="n">
        <x:f>'01 Controls'!$E$41*(1+'01 Controls'!$E$42)</x:f>
        <x:v>82.8</x:v>
      </x:c>
      <x:c r="F14" s="28" t="n">
        <x:f>D14*E14</x:f>
        <x:v>207857.64240000007</x:v>
      </x:c>
      <x:c r="G14" s="28" t="n">
        <x:f>'01 Controls'!$E$51</x:f>
        <x:v>2.5</x:v>
      </x:c>
      <x:c r="H14" s="28" t="n">
        <x:f>F14*G14</x:f>
        <x:v>519644.10600000015</x:v>
      </x:c>
      <x:c r="I14" s="11" t="str">
        <x:f>"OPEN"</x:f>
        <x:v>OPEN</x:v>
      </x:c>
    </x:row>
    <x:row r="17">
      <x:c r="C17" s="37" t="str">
        <x:v>Allocation rule</x:v>
      </x:c>
      <x:c r="D17" s="37"/>
      <x:c r="E17" s="37"/>
      <x:c r="F17" s="37"/>
      <x:c r="G17" s="37"/>
      <x:c r="H17" s="37"/>
      <x:c r="I17" s="37"/>
      <x:c r="J17" s="37"/>
      <x:c r="K17" s="37"/>
      <x:c r="L17" s="37"/>
    </x:row>
    <x:row r="18">
      <x:c r="C18" s="38" t="str">
        <x:v>No national saving is admissible until each package, detachment, block, island and occupation has a common identifier, time window, readiness state, transport path, supporting authority and denial rule. A supporting formation cannot serve two simultaneous HCG claims with the same capacity.</x:v>
      </x:c>
      <x:c r="D18" s="38"/>
      <x:c r="E18" s="38"/>
      <x:c r="F18" s="38"/>
      <x:c r="G18" s="38"/>
      <x:c r="H18" s="38"/>
      <x:c r="I18" s="38"/>
      <x:c r="J18" s="38"/>
      <x:c r="K18" s="38"/>
      <x:c r="L18" s="38"/>
    </x:row>
    <x:row r="19">
      <x:c r="C19" s="38"/>
      <x:c r="D19" s="38"/>
      <x:c r="E19" s="38"/>
      <x:c r="F19" s="38"/>
      <x:c r="G19" s="38"/>
      <x:c r="H19" s="38"/>
      <x:c r="I19" s="38"/>
      <x:c r="J19" s="38"/>
      <x:c r="K19" s="38"/>
      <x:c r="L19" s="38"/>
    </x:row>
  </x:sheetData>
  <x:mergeCells>
    <x:mergeCell ref="C18:L19"/>
  </x:mergeCells>
  <x:conditionalFormatting sqref="L6:L9">
    <x:cfRule type="containsText" dxfId="12" priority="1" operator="containsText" text="FAIL"/>
    <x:cfRule type="containsText" dxfId="13" priority="2" operator="containsText" text="OPEN"/>
    <x:cfRule type="containsText" dxfId="14" priority="3" operator="containsText" text="BLOCKED"/>
    <x:cfRule type="containsText" dxfId="15" priority="4" operator="containsText" text="PASS"/>
  </x:conditionalFormatting>
  <x:conditionalFormatting sqref="I14:I14">
    <x:cfRule type="containsText" dxfId="16" priority="5" operator="containsText" text="FAIL"/>
    <x:cfRule type="containsText" dxfId="17" priority="6" operator="containsText" text="OPEN"/>
    <x:cfRule type="containsText" dxfId="18" priority="7" operator="containsText" text="BLOCKED"/>
    <x:cfRule type="containsText" dxfId="19" priority="8" operator="containsText" text="PASS"/>
  </x:conditionalFormatting>
  <x:pageMargins left="0.7" right="0.7" top="0.75" bottom="0.75" header="0.3" footer="0.3"/>
  <x:tableParts count="1">
    <x:tablePart xmlns:r="http://schemas.openxmlformats.org/officeDocument/2006/relationships" r:id="Re4914f3bb7da498f"/>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3" max="3" width="35" hidden="0" customWidth="1"/>
    <x:col min="4" max="4" width="22" hidden="0" customWidth="1"/>
    <x:col min="5" max="5" width="24" hidden="0" customWidth="1"/>
    <x:col min="6" max="6" width="24" hidden="0" customWidth="1"/>
    <x:col min="7" max="7" width="18" hidden="0" customWidth="1"/>
    <x:col min="8" max="8" width="66" hidden="0" customWidth="1"/>
  </x:cols>
  <x:sheetData>
    <x:row r="2">
      <x:c r="C2" s="2" t="str">
        <x:v>National fiscal and workforce effect</x:v>
      </x:c>
      <x:c r="D2" s="1"/>
      <x:c r="E2" s="1"/>
      <x:c r="F2" s="1"/>
      <x:c r="G2" s="1"/>
      <x:c r="H2" s="1"/>
    </x:row>
    <x:row r="3">
      <x:c r="C3" s="3" t="str">
        <x:v>The organic-only column is an inadmissible lower screen. The exclusive-support column carries the removed capacity for every owned HCG and is not a procurement recommendation.</x:v>
      </x:c>
      <x:c r="D3" s="3"/>
      <x:c r="E3" s="3"/>
      <x:c r="F3" s="3"/>
      <x:c r="G3" s="3"/>
      <x:c r="H3" s="3"/>
    </x:row>
    <x:row r="5">
      <x:c r="C5" s="9" t="str">
        <x:v>Measure</x:v>
      </x:c>
      <x:c r="D5" s="9" t="str">
        <x:v>Pass 58 baseline</x:v>
      </x:c>
      <x:c r="E5" s="9" t="str">
        <x:v>Organic-only lower screen</x:v>
      </x:c>
      <x:c r="F5" s="9" t="str">
        <x:v>Exclusive-support screen</x:v>
      </x:c>
      <x:c r="G5" s="9" t="str">
        <x:v>Unit</x:v>
      </x:c>
      <x:c r="H5" s="9" t="str">
        <x:v>Interpretation</x:v>
      </x:c>
    </x:row>
    <x:row r="6">
      <x:c r="C6" s="11" t="str">
        <x:v>HCG direct billet-equivalents</x:v>
      </x:c>
      <x:c r="D6" s="39" t="n">
        <x:f>2431462.4</x:f>
        <x:v>2431462.4</x:v>
      </x:c>
      <x:c r="E6" s="39" t="n">
        <x:f>'03 Organization'!K15*'01 Controls'!$E$40</x:f>
        <x:v>1556855.8080000002</x:v>
      </x:c>
      <x:c r="F6" s="39" t="n">
        <x:f>E6+'05 Shared Capacity'!H14</x:f>
        <x:v>2076499.9140000003</x:v>
      </x:c>
      <x:c r="G6" s="11" t="str">
        <x:v>billet-equivalents</x:v>
      </x:c>
      <x:c r="H6" s="15" t="str">
        <x:v>Role-specific generation lowers the organic line; external occupations remain a separate claim.</x:v>
      </x:c>
    </x:row>
    <x:row r="7">
      <x:c r="C7" s="11" t="str">
        <x:v>HCG institutional depth</x:v>
      </x:c>
      <x:c r="D7" s="39" t="n">
        <x:f>D6*'01 Controls'!$E$44</x:f>
        <x:v>291775.48799999995</x:v>
      </x:c>
      <x:c r="E7" s="39" t="n">
        <x:f>E6*'01 Controls'!$E$44</x:f>
        <x:v>186822.69696000003</x:v>
      </x:c>
      <x:c r="F7" s="39" t="n">
        <x:f>F6*'01 Controls'!$E$44</x:f>
        <x:v>249179.98968000003</x:v>
      </x:c>
      <x:c r="G7" s="11" t="str">
        <x:v>billet-equivalents</x:v>
      </x:c>
      <x:c r="H7" s="15" t="str">
        <x:v>Applied consistently to the direct and illustrative shared-support screens.</x:v>
      </x:c>
    </x:row>
    <x:row r="8">
      <x:c r="C8" s="11" t="str">
        <x:v>Department affiliated establishment</x:v>
      </x:c>
      <x:c r="D8" s="39" t="n">
        <x:f>10484235.438</x:f>
        <x:v>10484235.438</x:v>
      </x:c>
      <x:c r="E8" s="39" t="n">
        <x:f>D8-(D6-E6)*(1+'01 Controls'!$E$44)</x:f>
        <x:v>9504676.05496</x:v>
      </x:c>
      <x:c r="F8" s="39" t="n">
        <x:f>E8+'05 Shared Capacity'!H14*(1+'01 Controls'!$E$44)</x:f>
        <x:v>10086677.45368</x:v>
      </x:c>
      <x:c r="G8" s="11" t="str">
        <x:v>billet-equivalents</x:v>
      </x:c>
      <x:c r="H8" s="15" t="str">
        <x:v>The baseline remains authoritative until the support occupations are allocated.</x:v>
      </x:c>
    </x:row>
    <x:row r="9">
      <x:c r="C9" s="11" t="str">
        <x:v>HCG unit capital before portfolio reserve</x:v>
      </x:c>
      <x:c r="D9" s="40" t="n">
        <x:f>6.865625</x:f>
        <x:v>6.865625</x:v>
      </x:c>
      <x:c r="E9" s="40" t="n">
        <x:f>'04 Echelon Ledger'!E30</x:f>
        <x:v>2.2491624999999997</x:v>
      </x:c>
      <x:c r="F9" s="40" t="n">
        <x:f>'04 Echelon Ledger'!G30</x:f>
        <x:v>6.9860375</x:v>
      </x:c>
      <x:c r="G9" s="11" t="str">
        <x:v>$B/unit</x:v>
      </x:c>
      <x:c r="H9" s="15" t="str">
        <x:v>Organic equipment alone is much lower; the complete assigned system is slightly higher.</x:v>
      </x:c>
    </x:row>
    <x:row r="10">
      <x:c r="C10" s="11" t="str">
        <x:v>HCG national capital</x:v>
      </x:c>
      <x:c r="D10" s="40" t="n">
        <x:f>D9*'01 Controls'!$E$40*(1+'01 Controls'!$E$48)</x:f>
        <x:v>1054.56</x:v>
      </x:c>
      <x:c r="E10" s="40" t="n">
        <x:f>E9*'01 Controls'!$E$40*(1+'01 Controls'!$E$48)</x:f>
        <x:v>345.47135999999995</x:v>
      </x:c>
      <x:c r="F10" s="40" t="n">
        <x:f>F9*'01 Controls'!$E$40*(1+'01 Controls'!$E$48)</x:f>
        <x:v>1073.05536</x:v>
      </x:c>
      <x:c r="G10" s="11" t="str">
        <x:v>$B</x:v>
      </x:c>
      <x:c r="H10" s="15" t="str">
        <x:v>Includes the portfolio reserve used in Pass 58.</x:v>
      </x:c>
    </x:row>
    <x:row r="11">
      <x:c r="C11" s="11" t="str">
        <x:v>Department capital</x:v>
      </x:c>
      <x:c r="D11" s="40" t="n">
        <x:f>15178.9176</x:f>
        <x:v>15178.9176</x:v>
      </x:c>
      <x:c r="E11" s="40" t="n">
        <x:f>D11-(D10-E10)</x:f>
        <x:v>14469.82896</x:v>
      </x:c>
      <x:c r="F11" s="40" t="n">
        <x:f>D11+(F10-D10)</x:f>
        <x:v>15197.412960000001</x:v>
      </x:c>
      <x:c r="G11" s="11" t="str">
        <x:v>$B</x:v>
      </x:c>
      <x:c r="H11" s="15" t="str">
        <x:v>No portfolio reduction is established by reassignment alone.</x:v>
      </x:c>
    </x:row>
    <x:row r="12">
      <x:c r="C12" s="11" t="str">
        <x:v>HCG direct annual personnel</x:v>
      </x:c>
      <x:c r="D12" s="40" t="n">
        <x:f>211.5372288</x:f>
        <x:v>211.5372288</x:v>
      </x:c>
      <x:c r="E12" s="40" t="n">
        <x:f>E6*'01 Controls'!$E$45/1000000000</x:f>
        <x:v>135.446455296</x:v>
      </x:c>
      <x:c r="F12" s="40" t="n">
        <x:f>F6*'01 Controls'!$E$45/1000000000</x:f>
        <x:v>180.65549251800002</x:v>
      </x:c>
      <x:c r="G12" s="11" t="str">
        <x:v>$B/year</x:v>
      </x:c>
      <x:c r="H12" s="15" t="str">
        <x:v>Uses the Pass 58 HCG component-weighted billet-year factor.</x:v>
      </x:c>
    </x:row>
    <x:row r="13">
      <x:c r="C13" s="11" t="str">
        <x:v>HCG annual O&amp;M</x:v>
      </x:c>
      <x:c r="D13" s="40" t="n">
        <x:f>D9*'01 Controls'!$E$40*'01 Controls'!$E$47</x:f>
        <x:v>57.122</x:v>
      </x:c>
      <x:c r="E13" s="40" t="n">
        <x:f>E9*'01 Controls'!$E$40*'01 Controls'!$E$47</x:f>
        <x:v>18.713032</x:v>
      </x:c>
      <x:c r="F13" s="40" t="n">
        <x:f>F9*'01 Controls'!$E$40*'01 Controls'!$E$47</x:f>
        <x:v>58.123832</x:v>
      </x:c>
      <x:c r="G13" s="11" t="str">
        <x:v>$B/year</x:v>
      </x:c>
      <x:c r="H13" s="15" t="str">
        <x:v>Applies one rate to each capital screen.</x:v>
      </x:c>
    </x:row>
    <x:row r="14">
      <x:c r="C14" s="11" t="str">
        <x:v>Department mature annual operations</x:v>
      </x:c>
      <x:c r="D14" s="40" t="n">
        <x:f>1736.41782438</x:f>
        <x:v>1736.41782438</x:v>
      </x:c>
      <x:c r="E14" s="40" t="n">
        <x:f>D14-(D12-E12)-((D7-E7)*'01 Controls'!$E$46/1000000000)-(D13-E13)</x:f>
        <x:v>1605.1256363096</x:v>
      </x:c>
      <x:c r="F14" s="40" t="n">
        <x:f>E14+(F12-E12)+((F7-E7)*'01 Controls'!$E$46/1000000000)+(F13-E13)</x:f>
        <x:v>1699.7226403668</x:v>
      </x:c>
      <x:c r="G14" s="11" t="str">
        <x:v>$B/year</x:v>
      </x:c>
      <x:c r="H14" s="15" t="str">
        <x:v>The exclusive-support screen restores most of the apparent savings.</x:v>
      </x:c>
    </x:row>
    <x:row r="18">
      <x:c r="C18" s="37" t="str">
        <x:v>Decision boundary</x:v>
      </x:c>
      <x:c r="D18" s="37"/>
      <x:c r="E18" s="37"/>
      <x:c r="F18" s="37"/>
      <x:c r="G18" s="37"/>
      <x:c r="H18" s="37"/>
    </x:row>
    <x:row r="19">
      <x:c r="C19" s="38" t="str">
        <x:v>Retain the Pass 58 Department totals. HCG-35B is a stronger unit-of-account candidate, but its lower organic line cannot enter the national baseline until the shared-capacity ledger proves the receiving formations, prepared sites and occupations. The exclusive-support screen demonstrates that reassignment can increase complete-system capital even while the mobile formation becomes much lighter.</x:v>
      </x:c>
      <x:c r="D19" s="38"/>
      <x:c r="E19" s="38"/>
      <x:c r="F19" s="38"/>
      <x:c r="G19" s="38"/>
      <x:c r="H19" s="38"/>
    </x:row>
    <x:row r="20">
      <x:c r="C20" s="38"/>
      <x:c r="D20" s="38"/>
      <x:c r="E20" s="38"/>
      <x:c r="F20" s="38"/>
      <x:c r="G20" s="38"/>
      <x:c r="H20" s="38"/>
    </x:row>
    <x:row r="21">
      <x:c r="C21" s="38"/>
      <x:c r="D21" s="38"/>
      <x:c r="E21" s="38"/>
      <x:c r="F21" s="38"/>
      <x:c r="G21" s="38"/>
      <x:c r="H21" s="38"/>
    </x:row>
  </x:sheetData>
  <x:mergeCells>
    <x:mergeCell ref="C19:H21"/>
  </x:mergeCells>
  <x:pageMargins left="0.7" right="0.7" top="0.75" bottom="0.75" header="0.3" footer="0.3"/>
  <x:tableParts count="1">
    <x:tablePart xmlns:r="http://schemas.openxmlformats.org/officeDocument/2006/relationships" r:id="R48c7b2a1fb68411b"/>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3" max="3" width="12" hidden="0" customWidth="1"/>
    <x:col min="4" max="4" width="62" hidden="0" customWidth="1"/>
    <x:col min="5" max="5" width="72" hidden="0" customWidth="1"/>
    <x:col min="6" max="6" width="14" hidden="0" customWidth="1"/>
    <x:col min="7" max="7" width="18" hidden="0" customWidth="1"/>
    <x:col min="8" max="8" width="18" hidden="0" customWidth="1"/>
  </x:cols>
  <x:sheetData>
    <x:row r="2">
      <x:c r="C2" s="2" t="str">
        <x:v>Internal authorities and evidence gates</x:v>
      </x:c>
      <x:c r="D2" s="1"/>
      <x:c r="E2" s="1"/>
      <x:c r="F2" s="1"/>
      <x:c r="G2" s="1"/>
      <x:c r="H2" s="1"/>
    </x:row>
    <x:row r="3">
      <x:c r="C3" s="3" t="str">
        <x:v>This pass rearranges existing research objects and adds transparent design hypotheses. It does not advance empirical maturity.</x:v>
      </x:c>
      <x:c r="D3" s="3"/>
      <x:c r="E3" s="3"/>
      <x:c r="F3" s="3"/>
      <x:c r="G3" s="3"/>
      <x:c r="H3" s="3"/>
    </x:row>
    <x:row r="5">
      <x:c r="C5" s="9" t="str">
        <x:v>ID</x:v>
      </x:c>
      <x:c r="D5" s="9" t="str">
        <x:v>Repository authority</x:v>
      </x:c>
      <x:c r="E5" s="9" t="str">
        <x:v>Use</x:v>
      </x:c>
    </x:row>
    <x:row r="6">
      <x:c r="C6" s="11" t="str">
        <x:v>S01</x:v>
      </x:c>
      <x:c r="D6" s="15" t="str">
        <x:v>research/force/mobility/neighborhood-continuity-and-access-cell.md</x:v>
      </x:c>
      <x:c r="E6" s="15" t="str">
        <x:v>NCAC-35 workload, A2 formation, equipment, costs and failure cases</x:v>
      </x:c>
    </x:row>
    <x:row r="7">
      <x:c r="C7" s="11" t="str">
        <x:v>S02</x:v>
      </x:c>
      <x:c r="D7" s="15" t="str">
        <x:v>models/force/mobility/neighborhood-continuity-access-cell-model.xlsx</x:v>
      </x:c>
      <x:c r="E7" s="15" t="str">
        <x:v>Pass 37 configuration arithmetic</x:v>
      </x:c>
    </x:row>
    <x:row r="8">
      <x:c r="C8" s="11" t="str">
        <x:v>S03</x:v>
      </x:c>
      <x:c r="D8" s="15" t="str">
        <x:v>research/force/generation/canonical-force-allocation-and-fiscal-reconciliation.md</x:v>
      </x:c>
      <x:c r="E8" s="15" t="str">
        <x:v>Pass 58 national inventory, workforce and fiscal baseline</x:v>
      </x:c>
    </x:row>
    <x:row r="9">
      <x:c r="C9" s="11" t="str">
        <x:v>S04</x:v>
      </x:c>
      <x:c r="D9" s="15" t="str">
        <x:v>models/force/generation/canonical-force-allocation-model.xlsx</x:v>
      </x:c>
      <x:c r="E9" s="15" t="str">
        <x:v>Pass 58 formula-level baseline</x:v>
      </x:c>
    </x:row>
    <x:row r="10">
      <x:c r="C10" s="11" t="str">
        <x:v>S05</x:v>
      </x:c>
      <x:c r="D10" s="15" t="str">
        <x:v>research/force/generation/national-formation-registry.md</x:v>
      </x:c>
      <x:c r="E10" s="15" t="str">
        <x:v>Canonical family and service-contract rules</x:v>
      </x:c>
    </x:row>
    <x:row r="11">
      <x:c r="C11" s="11" t="str">
        <x:v>S06</x:v>
      </x:c>
      <x:c r="D11" s="15" t="str">
        <x:v>research/systems/population-continuity/district-configuration.md</x:v>
      </x:c>
      <x:c r="E11" s="15" t="str">
        <x:v>Prepared-district contract and configuration boundary</x:v>
      </x:c>
    </x:row>
    <x:row r="15">
      <x:c r="C15" s="9" t="str">
        <x:v>Gate</x:v>
      </x:c>
      <x:c r="D15" s="9" t="str">
        <x:v>Evidence obligation</x:v>
      </x:c>
      <x:c r="E15" s="9" t="str">
        <x:v>Required result</x:v>
      </x:c>
      <x:c r="F15" s="9" t="str">
        <x:v>Status</x:v>
      </x:c>
    </x:row>
    <x:row r="16">
      <x:c r="C16" s="11" t="str">
        <x:v>G01</x:v>
      </x:c>
      <x:c r="D16" s="15" t="str">
        <x:v>Household-team work study</x:v>
      </x:c>
      <x:c r="E16" s="15" t="str">
        <x:v>Observed mixed-building contact rate, record quality, injury and missed-household distribution</x:v>
      </x:c>
      <x:c r="F16" s="11" t="str">
        <x:v>OPEN</x:v>
      </x:c>
    </x:row>
    <x:row r="17">
      <x:c r="C17" s="11" t="str">
        <x:v>G02</x:v>
      </x:c>
      <x:c r="D17" s="15" t="str">
        <x:v>Vertical-team work study</x:v>
      </x:c>
      <x:c r="E17" s="15" t="str">
        <x:v>Observed occupied-building service rate across stairs, refuge, devices, heat, smoke and water</x:v>
      </x:c>
      <x:c r="F17" s="11" t="str">
        <x:v>OPEN</x:v>
      </x:c>
    </x:row>
    <x:row r="18">
      <x:c r="C18" s="11" t="str">
        <x:v>G03</x:v>
      </x:c>
      <x:c r="D18" s="15" t="str">
        <x:v>Collection duty cycles</x:v>
      </x:c>
      <x:c r="E18" s="15" t="str">
        <x:v>Accessible dispatch, loading, travel, unloading, cleaning, charging, maintenance and relief</x:v>
      </x:c>
      <x:c r="F18" s="11" t="str">
        <x:v>OPEN</x:v>
      </x:c>
    </x:row>
    <x:row r="19">
      <x:c r="C19" s="11" t="str">
        <x:v>G04</x:v>
      </x:c>
      <x:c r="D19" s="15" t="str">
        <x:v>Disconnected civil record</x:v>
      </x:c>
      <x:c r="E19" s="15" t="str">
        <x:v>Lawful offline verification and reconciliation under commercial-network loss</x:v>
      </x:c>
      <x:c r="F19" s="11" t="str">
        <x:v>OPEN</x:v>
      </x:c>
    </x:row>
    <x:row r="20">
      <x:c r="C20" s="11" t="str">
        <x:v>G05</x:v>
      </x:c>
      <x:c r="D20" s="15" t="str">
        <x:v>Prepared-district activation</x:v>
      </x:c>
      <x:c r="E20" s="15" t="str">
        <x:v>Named sites, local affiliations, utilities, accessibility and 24-hour release</x:v>
      </x:c>
      <x:c r="F20" s="11" t="str">
        <x:v>OPEN</x:v>
      </x:c>
    </x:row>
    <x:row r="21">
      <x:c r="C21" s="11" t="str">
        <x:v>G06</x:v>
      </x:c>
      <x:c r="D21" s="15" t="str">
        <x:v>Route-support allocation</x:v>
      </x:c>
      <x:c r="E21" s="15" t="str">
        <x:v>Item IDs, travel time, vehicle-specific release and maximum-start-delay trial</x:v>
      </x:c>
      <x:c r="F21" s="11" t="str">
        <x:v>OPEN</x:v>
      </x:c>
    </x:row>
    <x:row r="22">
      <x:c r="C22" s="11" t="str">
        <x:v>G07</x:v>
      </x:c>
      <x:c r="D22" s="15" t="str">
        <x:v>Utility-support allocation</x:v>
      </x:c>
      <x:c r="E22" s="15" t="str">
        <x:v>Reserved power and water blocks, arrival, black start, residuals and denial logic</x:v>
      </x:c>
      <x:c r="F22" s="11" t="str">
        <x:v>OPEN</x:v>
      </x:c>
    </x:row>
    <x:row r="23">
      <x:c r="C23" s="11" t="str">
        <x:v>G08</x:v>
      </x:c>
      <x:c r="D23" s="15" t="str">
        <x:v>Occupation generation</x:v>
      </x:c>
      <x:c r="E23" s="15" t="str">
        <x:v>Qualification, component, employer release, fatigue, casualty and replacement model</x:v>
      </x:c>
      <x:c r="F23" s="11" t="str">
        <x:v>OPEN</x:v>
      </x:c>
    </x:row>
    <x:row r="24">
      <x:c r="C24" s="11" t="str">
        <x:v>G09</x:v>
      </x:c>
      <x:c r="D24" s="15" t="str">
        <x:v>Itemized manifest</x:v>
      </x:c>
      <x:c r="E24" s="15" t="str">
        <x:v>Weights, dimensions, compatibility, hazardous segregation and echelon packages</x:v>
      </x:c>
      <x:c r="F24" s="11" t="str">
        <x:v>OPEN</x:v>
      </x:c>
    </x:row>
    <x:row r="25">
      <x:c r="C25" s="11" t="str">
        <x:v>G10</x:v>
      </x:c>
      <x:c r="D25" s="15" t="str">
        <x:v>Seven-company mission</x:v>
      </x:c>
      <x:c r="E25" s="15" t="str">
        <x:v>168-hour complete-service test with one company and external dependencies denied</x:v>
      </x:c>
      <x:c r="F25" s="11" t="str">
        <x:v>OPEN</x:v>
      </x:c>
    </x:row>
    <x:row r="26">
      <x:c r="C26" s="11" t="str">
        <x:v>G11</x:v>
      </x:c>
      <x:c r="D26" s="15" t="str">
        <x:v>Regeneration</x:v>
      </x:c>
      <x:c r="E26" s="15" t="str">
        <x:v>A second HCG mission starts before the first formation fully recovers</x:v>
      </x:c>
      <x:c r="F26" s="11" t="str">
        <x:v>OPEN</x:v>
      </x:c>
    </x:row>
    <x:row r="27">
      <x:c r="C27" s="11" t="str">
        <x:v>G12</x:v>
      </x:c>
      <x:c r="D27" s="15" t="str">
        <x:v>Independent replication and cost</x:v>
      </x:c>
      <x:c r="E27" s="15" t="str">
        <x:v>Different metropolitan form, independent reconstruction and cost review</x:v>
      </x:c>
      <x:c r="F27" s="11" t="str">
        <x:v>OPEN</x:v>
      </x:c>
    </x:row>
    <x:row r="30">
      <x:c r="C30" s="42" t="str">
        <x:v>Rendering status</x:v>
      </x:c>
      <x:c r="D30" s="42" t="str">
        <x:v>BLOCKED</x:v>
      </x:c>
      <x:c r="E30" s="43" t="str">
        <x:v>No vehicle or formation geometry is admitted until the mission, interface, manifest and evidence gates close.</x:v>
      </x:c>
      <x:c r="F30" s="43"/>
    </x:row>
  </x:sheetData>
  <x:conditionalFormatting sqref="F16:F27">
    <x:cfRule type="containsText" dxfId="20" priority="1" operator="containsText" text="FAIL"/>
    <x:cfRule type="containsText" dxfId="21" priority="2" operator="containsText" text="OPEN"/>
    <x:cfRule type="containsText" dxfId="22" priority="3" operator="containsText" text="BLOCKED"/>
    <x:cfRule type="containsText" dxfId="23" priority="4" operator="containsText" text="PASS"/>
  </x:conditionalFormatting>
  <x:pageMargins left="0.7" right="0.7" top="0.75" bottom="0.75" header="0.3" footer="0.3"/>
  <x:tableParts count="2">
    <x:tablePart xmlns:r="http://schemas.openxmlformats.org/officeDocument/2006/relationships" r:id="R0ae1a1694be847ac"/>
    <x:tablePart xmlns:r="http://schemas.openxmlformats.org/officeDocument/2006/relationships" r:id="R3d71ce1c426e465c"/>
  </x:tableParts>
</x:worksheet>
</file>

<file path=xl/worksheets/sheet9.xml><?xml version="1.0" encoding="utf-8"?>
<x:worksheet xmlns:x="http://schemas.openxmlformats.org/spreadsheetml/2006/main">
  <x:sheetPr>
    <x:tabColor rgb="FF65507C"/>
  </x:sheetPr>
  <x:sheetViews>
    <x:sheetView showGridLines="0" workbookViewId="0">
      <x:pane ySplit="5" topLeftCell="A6" activePane="bottomLeft" state="frozen"/>
    </x:sheetView>
  </x:sheetViews>
  <x:sheetFormatPr defaultRowHeight="15"/>
  <x:cols>
    <x:col min="3" max="3" width="40" hidden="0" customWidth="1"/>
    <x:col min="4" max="4" width="18" hidden="0" customWidth="1"/>
    <x:col min="5" max="5" width="20" hidden="0" customWidth="1"/>
    <x:col min="6" max="6" width="16" hidden="0" customWidth="1"/>
    <x:col min="7" max="7" width="12" hidden="0" customWidth="1"/>
    <x:col min="8" max="8" width="58" hidden="0" customWidth="1"/>
  </x:cols>
  <x:sheetData>
    <x:row r="2">
      <x:c r="C2" s="2" t="str">
        <x:v>Model integrity</x:v>
      </x:c>
      <x:c r="D2" s="1"/>
      <x:c r="E2" s="1"/>
      <x:c r="F2" s="1"/>
      <x:c r="G2" s="1"/>
      <x:c r="H2" s="1"/>
    </x:row>
    <x:row r="3">
      <x:c r="C3" s="3" t="str">
        <x:v>Terminal checks only. No output or build depends on this sheet.</x:v>
      </x:c>
      <x:c r="D3" s="3"/>
      <x:c r="E3" s="3"/>
      <x:c r="F3" s="3"/>
      <x:c r="G3" s="3"/>
      <x:c r="H3" s="3"/>
    </x:row>
    <x:row r="5">
      <x:c r="C5" s="9" t="str">
        <x:v>Check</x:v>
      </x:c>
      <x:c r="D5" s="9" t="str">
        <x:v>Expected</x:v>
      </x:c>
      <x:c r="E5" s="9" t="str">
        <x:v>Actual</x:v>
      </x:c>
      <x:c r="F5" s="9" t="str">
        <x:v>Difference</x:v>
      </x:c>
      <x:c r="G5" s="9" t="str">
        <x:v>Status</x:v>
      </x:c>
      <x:c r="H5" s="9" t="str">
        <x:v>Boundary</x:v>
      </x:c>
    </x:row>
    <x:row r="6">
      <x:c r="C6" s="11" t="str">
        <x:v>Organization deployed total</x:v>
      </x:c>
      <x:c r="D6" s="50" t="n">
        <x:f>'03 Organization'!I15</x:f>
        <x:v>5076.191999999999</x:v>
      </x:c>
      <x:c r="E6" s="50" t="n">
        <x:f>SUM('03 Organization'!I6:I13)</x:f>
        <x:v>5076.191999999999</x:v>
      </x:c>
      <x:c r="F6" s="50" t="n">
        <x:f>E6-D6</x:f>
        <x:v>0</x:v>
      </x:c>
      <x:c r="G6" s="50" t="str">
        <x:f>IF(ABS(F6)&lt;0.001,"PASS","FAIL")</x:f>
        <x:v>PASS</x:v>
      </x:c>
      <x:c r="H6" s="15" t="str">
        <x:v>Total equals its functional rows.</x:v>
      </x:c>
    </x:row>
    <x:row r="7">
      <x:c r="C7" s="11" t="str">
        <x:v>Organization billet total</x:v>
      </x:c>
      <x:c r="D7" s="50" t="n">
        <x:f>'03 Organization'!K15</x:f>
        <x:v>12162.936000000002</x:v>
      </x:c>
      <x:c r="E7" s="50" t="n">
        <x:f>SUM('03 Organization'!K6:K13)</x:f>
        <x:v>12162.936000000002</x:v>
      </x:c>
      <x:c r="F7" s="50" t="n">
        <x:f>E7-D7</x:f>
        <x:v>0</x:v>
      </x:c>
      <x:c r="G7" s="50" t="str">
        <x:f>IF(ABS(F7)&lt;0.001,"PASS","FAIL")</x:f>
        <x:v>PASS</x:v>
      </x:c>
      <x:c r="H7" s="15" t="str">
        <x:v>Total equals role-specific generation rows.</x:v>
      </x:c>
    </x:row>
    <x:row r="8">
      <x:c r="C8" s="11" t="str">
        <x:v>Base mission closes</x:v>
      </x:c>
      <x:c r="D8" s="50" t="n">
        <x:v>1</x:v>
      </x:c>
      <x:c r="E8" s="50" t="n">
        <x:f>'02 Mission Test'!M6</x:f>
        <x:v>1.1858630112654063</x:v>
      </x:c>
      <x:c r="F8" s="50" t="n">
        <x:f>E8-D8</x:f>
        <x:v>0.18586301126540627</x:v>
      </x:c>
      <x:c r="G8" s="50" t="str">
        <x:f>IF(E8&gt;=D8,"PASS","FAIL")</x:f>
        <x:v>PASS</x:v>
      </x:c>
      <x:c r="H8" s="15" t="str">
        <x:v>All eight serial ratios at or above one.</x:v>
      </x:c>
    </x:row>
    <x:row r="9">
      <x:c r="C9" s="11" t="str">
        <x:v>Physical component-loss cases close</x:v>
      </x:c>
      <x:c r="D9" s="50" t="n">
        <x:v>8</x:v>
      </x:c>
      <x:c r="E9" s="50" t="n">
        <x:f>COUNTIFS('02 Mission Test'!N7:N14,"PASS")</x:f>
        <x:v>8</x:v>
      </x:c>
      <x:c r="F9" s="50" t="n">
        <x:f>E9-D9</x:f>
        <x:v>0</x:v>
      </x:c>
      <x:c r="G9" s="50" t="str">
        <x:f>IF(F9=0,"PASS","FAIL")</x:f>
        <x:v>PASS</x:v>
      </x:c>
      <x:c r="H9" s="15" t="str">
        <x:v>F1 through F8.</x:v>
      </x:c>
    </x:row>
    <x:row r="10">
      <x:c r="C10" s="11" t="str">
        <x:v>Isolation remains visible</x:v>
      </x:c>
      <x:c r="D10" s="50" t="str">
        <x:v>FAIL</x:v>
      </x:c>
      <x:c r="E10" s="50" t="str">
        <x:f>'02 Mission Test'!N15</x:f>
        <x:v>FAIL</x:v>
      </x:c>
      <x:c r="F10" s="50" t="n">
        <x:v>0</x:v>
      </x:c>
      <x:c r="G10" s="50" t="str">
        <x:f>IF(E10=D10,"PASS","FAIL")</x:f>
        <x:v>PASS</x:v>
      </x:c>
      <x:c r="H10" s="15" t="str">
        <x:v>The model must not erase the known disconnected-contact failure.</x:v>
      </x:c>
    </x:row>
    <x:row r="11">
      <x:c r="C11" s="11" t="str">
        <x:v>Isolation plus company loss remains visible</x:v>
      </x:c>
      <x:c r="D11" s="50" t="str">
        <x:v>FAIL</x:v>
      </x:c>
      <x:c r="E11" s="50" t="str">
        <x:f>'02 Mission Test'!N16</x:f>
        <x:v>FAIL</x:v>
      </x:c>
      <x:c r="F11" s="50" t="n">
        <x:v>0</x:v>
      </x:c>
      <x:c r="G11" s="50" t="str">
        <x:f>IF(E11=D11,"PASS","FAIL")</x:f>
        <x:v>PASS</x:v>
      </x:c>
      <x:c r="H11" s="15" t="str">
        <x:v>Compound loss is expected to fail.</x:v>
      </x:c>
    </x:row>
    <x:row r="12">
      <x:c r="C12" s="11" t="str">
        <x:v>Mass change from revised quantities</x:v>
      </x:c>
      <x:c r="D12" s="50" t="n">
        <x:v>21.15</x:v>
      </x:c>
      <x:c r="E12" s="50" t="n">
        <x:f>'04 Echelon Ledger'!H22+'04 Echelon Ledger'!I22-'04 Echelon Ledger'!G22</x:f>
        <x:v>21.150000000000546</x:v>
      </x:c>
      <x:c r="F12" s="50" t="n">
        <x:f>E12-D12</x:f>
        <x:v>5.471179065352771e-13</x:v>
      </x:c>
      <x:c r="G12" s="50" t="str">
        <x:f>IF(ABS(F12)&lt;0.001,"PASS","FAIL")</x:f>
        <x:v>PASS</x:v>
      </x:c>
      <x:c r="H12" s="15" t="str">
        <x:v>Extra household teams, route interfaces and one communications node exceed the two-team vertical reduction.</x:v>
      </x:c>
    </x:row>
    <x:row r="13">
      <x:c r="C13" s="11" t="str">
        <x:v>Capital change from revised quantities</x:v>
      </x:c>
      <x:c r="D13" s="50" t="n">
        <x:v>74.1</x:v>
      </x:c>
      <x:c r="E13" s="50" t="n">
        <x:f>'04 Echelon Ledger'!K22+'04 Echelon Ledger'!L22-'04 Echelon Ledger'!J22</x:f>
        <x:v>74.10000000000036</x:v>
      </x:c>
      <x:c r="F13" s="50" t="n">
        <x:f>E13-D13</x:f>
        <x:v>3.694822225952521e-13</x:v>
      </x:c>
      <x:c r="G13" s="50" t="str">
        <x:f>IF(ABS(F13)&lt;0.001,"PASS","FAIL")</x:f>
        <x:v>PASS</x:v>
      </x:c>
      <x:c r="H13" s="15" t="str">
        <x:v>The revised complete-system direct capital exceeds A2 by the declared equipment changes.</x:v>
      </x:c>
    </x:row>
    <x:row r="14">
      <x:c r="C14" s="11" t="str">
        <x:v>Organic packed mass is lower</x:v>
      </x:c>
      <x:c r="D14" s="50" t="n">
        <x:v>1</x:v>
      </x:c>
      <x:c r="E14" s="50" t="n">
        <x:f>IF('04 Echelon Ledger'!E28&lt;'04 Echelon Ledger'!D28,1,0)</x:f>
        <x:v>1</x:v>
      </x:c>
      <x:c r="F14" s="50" t="n">
        <x:f>E14-D14</x:f>
        <x:v>0</x:v>
      </x:c>
      <x:c r="G14" s="50" t="str">
        <x:f>IF(F14=0,"PASS","FAIL")</x:f>
        <x:v>PASS</x:v>
      </x:c>
      <x:c r="H14" s="15" t="str">
        <x:v>Confirms mobile-echelon reduction.</x:v>
      </x:c>
    </x:row>
    <x:row r="15">
      <x:c r="C15" s="11" t="str">
        <x:v>Complete assigned packed mass is not hidden</x:v>
      </x:c>
      <x:c r="D15" s="50" t="n">
        <x:v>1</x:v>
      </x:c>
      <x:c r="E15" s="50" t="n">
        <x:f>IF('04 Echelon Ledger'!G28&gt;='04 Echelon Ledger'!D28,1,0)</x:f>
        <x:v>1</x:v>
      </x:c>
      <x:c r="F15" s="50" t="n">
        <x:f>E15-D15</x:f>
        <x:v>0</x:v>
      </x:c>
      <x:c r="G15" s="50" t="str">
        <x:f>IF(F15=0,"PASS","FAIL")</x:f>
        <x:v>PASS</x:v>
      </x:c>
      <x:c r="H15" s="15" t="str">
        <x:v>Reassignment cannot manufacture mass savings.</x:v>
      </x:c>
    </x:row>
    <x:row r="16">
      <x:c r="C16" s="11" t="str">
        <x:v>National direct-billet bridge</x:v>
      </x:c>
      <x:c r="D16" s="50" t="n">
        <x:v>0</x:v>
      </x:c>
      <x:c r="E16" s="50" t="n">
        <x:f>'06 National Effect'!D6-'06 National Effect'!E6-(2431462.4-'03 Organization'!K15*128)</x:f>
        <x:v>0</x:v>
      </x:c>
      <x:c r="F16" s="50" t="n">
        <x:f>E16-D16</x:f>
        <x:v>0</x:v>
      </x:c>
      <x:c r="G16" s="50" t="str">
        <x:f>IF(ABS(F16)&lt;0.001,"PASS","FAIL")</x:f>
        <x:v>PASS</x:v>
      </x:c>
      <x:c r="H16" s="15" t="str">
        <x:v>Independent formula bridge.</x:v>
      </x:c>
    </x:row>
    <x:row r="17">
      <x:c r="C17" s="11" t="str">
        <x:v>Organic-only establishment below baseline</x:v>
      </x:c>
      <x:c r="D17" s="50" t="n">
        <x:v>1</x:v>
      </x:c>
      <x:c r="E17" s="50" t="n">
        <x:f>IF('06 National Effect'!E8&lt;'06 National Effect'!D8,1,0)</x:f>
        <x:v>1</x:v>
      </x:c>
      <x:c r="F17" s="50" t="n">
        <x:f>E17-D17</x:f>
        <x:v>0</x:v>
      </x:c>
      <x:c r="G17" s="50" t="str">
        <x:f>IF(F17=0,"PASS","FAIL")</x:f>
        <x:v>PASS</x:v>
      </x:c>
      <x:c r="H17" s="15" t="str">
        <x:v>Expected but inadmissible without support.</x:v>
      </x:c>
    </x:row>
    <x:row r="18">
      <x:c r="C18" s="11" t="str">
        <x:v>Exclusive-support capital not below baseline</x:v>
      </x:c>
      <x:c r="D18" s="50" t="n">
        <x:v>1</x:v>
      </x:c>
      <x:c r="E18" s="50" t="n">
        <x:f>IF('06 National Effect'!F11&gt;='06 National Effect'!D11,1,0)</x:f>
        <x:v>1</x:v>
      </x:c>
      <x:c r="F18" s="50" t="n">
        <x:f>E18-D18</x:f>
        <x:v>0</x:v>
      </x:c>
      <x:c r="G18" s="50" t="str">
        <x:f>IF(F18=0,"PASS","FAIL")</x:f>
        <x:v>PASS</x:v>
      </x:c>
      <x:c r="H18" s="15" t="str">
        <x:v>Complete assigned capital remains visible.</x:v>
      </x:c>
    </x:row>
    <x:row r="19">
      <x:c r="C19" s="11" t="str">
        <x:v>Shared physical capacity gates open</x:v>
      </x:c>
      <x:c r="D19" s="50" t="n">
        <x:v>4</x:v>
      </x:c>
      <x:c r="E19" s="50" t="n">
        <x:f>COUNTIFS('05 Shared Capacity'!L6:L9,"OPEN")</x:f>
        <x:v>4</x:v>
      </x:c>
      <x:c r="F19" s="50" t="n">
        <x:f>E19-D19</x:f>
        <x:v>0</x:v>
      </x:c>
      <x:c r="G19" s="50" t="str">
        <x:f>IF(F19=0,"PASS","FAIL")</x:f>
        <x:v>PASS</x:v>
      </x:c>
      <x:c r="H19" s="15" t="str">
        <x:v>No receiving capacity is certified.</x:v>
      </x:c>
    </x:row>
    <x:row r="20">
      <x:c r="C20" s="11" t="str">
        <x:v>Evidence gates open</x:v>
      </x:c>
      <x:c r="D20" s="50" t="n">
        <x:v>12</x:v>
      </x:c>
      <x:c r="E20" s="50" t="n">
        <x:f>COUNTIFS('07 Gates &amp; Sources'!F16:F27,"OPEN")</x:f>
        <x:v>12</x:v>
      </x:c>
      <x:c r="F20" s="50" t="n">
        <x:f>E20-D20</x:f>
        <x:v>0</x:v>
      </x:c>
      <x:c r="G20" s="50" t="str">
        <x:f>IF(F20=0,"PASS","FAIL")</x:f>
        <x:v>PASS</x:v>
      </x:c>
      <x:c r="H20" s="15" t="str">
        <x:v>This pass advances design, not evidence maturity.</x:v>
      </x:c>
    </x:row>
    <x:row r="21">
      <x:c r="C21" s="11" t="str">
        <x:v>Rendering remains blocked</x:v>
      </x:c>
      <x:c r="D21" s="50" t="str">
        <x:v>BLOCKED</x:v>
      </x:c>
      <x:c r="E21" s="50" t="str">
        <x:f>'07 Gates &amp; Sources'!D30</x:f>
        <x:v>BLOCKED</x:v>
      </x:c>
      <x:c r="F21" s="50" t="n">
        <x:v>0</x:v>
      </x:c>
      <x:c r="G21" s="50" t="str">
        <x:f>IF(E21=D21,"PASS","FAIL")</x:f>
        <x:v>PASS</x:v>
      </x:c>
      <x:c r="H21" s="15" t="str">
        <x:v>User-directed sequencing is preserved.</x:v>
      </x:c>
    </x:row>
  </x:sheetData>
  <x:conditionalFormatting sqref="G6:G21">
    <x:cfRule type="containsText" dxfId="24" priority="1" operator="containsText" text="FAIL"/>
    <x:cfRule type="containsText" dxfId="25" priority="2" operator="containsText" text="OPEN"/>
    <x:cfRule type="containsText" dxfId="26" priority="3" operator="containsText" text="BLOCKED"/>
    <x:cfRule type="containsText" dxfId="27" priority="4" operator="containsText" text="PASS"/>
  </x:conditionalFormatting>
  <x:pageMargins left="0.7" right="0.7" top="0.75" bottom="0.75" header="0.3" footer="0.3"/>
  <x:tableParts count="1">
    <x:tablePart xmlns:r="http://schemas.openxmlformats.org/officeDocument/2006/relationships" r:id="R6e8474cbf95641b5"/>
  </x:tableParts>
</x:worksheet>
</file>