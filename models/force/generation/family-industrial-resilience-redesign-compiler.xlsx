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b4ff15e03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5da3fafd8b4f86"/>
    <x:sheet xmlns:r="http://schemas.openxmlformats.org/officeDocument/2006/relationships" name="Assumptions" sheetId="2" r:id="R127479d830704055"/>
    <x:sheet xmlns:r="http://schemas.openxmlformats.org/officeDocument/2006/relationships" name="Stage Standard" sheetId="3" r:id="Rea39299d14ba4be2"/>
    <x:sheet xmlns:r="http://schemas.openxmlformats.org/officeDocument/2006/relationships" name="Family Register" sheetId="4" r:id="Rf21a84a291d84b3e"/>
    <x:sheet xmlns:r="http://schemas.openxmlformats.org/officeDocument/2006/relationships" name="Gap Register" sheetId="5" r:id="R56870cbd44e24ac8"/>
    <x:sheet xmlns:r="http://schemas.openxmlformats.org/officeDocument/2006/relationships" name="Architecture Library" sheetId="6" r:id="R822032ff477040b8"/>
    <x:sheet xmlns:r="http://schemas.openxmlformats.org/officeDocument/2006/relationships" name="Uplift Matrix" sheetId="7" r:id="R320c94a028284e7e"/>
    <x:sheet xmlns:r="http://schemas.openxmlformats.org/officeDocument/2006/relationships" name="Stage Build" sheetId="8" r:id="R9b571a37a95f468e"/>
    <x:sheet xmlns:r="http://schemas.openxmlformats.org/officeDocument/2006/relationships" name="Family Results" sheetId="9" r:id="Rab71271bd77d45a8"/>
    <x:sheet xmlns:r="http://schemas.openxmlformats.org/officeDocument/2006/relationships" name="Full Force" sheetId="10" r:id="R65781e782dc24e89"/>
    <x:sheet xmlns:r="http://schemas.openxmlformats.org/officeDocument/2006/relationships" name="Reserve Ledger" sheetId="11" r:id="R117747a63dfa411c"/>
    <x:sheet xmlns:r="http://schemas.openxmlformats.org/officeDocument/2006/relationships" name="Technology Portfolio" sheetId="12" r:id="R0f967ba27c2148e9"/>
    <x:sheet xmlns:r="http://schemas.openxmlformats.org/officeDocument/2006/relationships" name="Facility Program" sheetId="13" r:id="R0ff3991a8dbf465e"/>
    <x:sheet xmlns:r="http://schemas.openxmlformats.org/officeDocument/2006/relationships" name="Capital Control" sheetId="14" r:id="Rf0781b70f3504088"/>
    <x:sheet xmlns:r="http://schemas.openxmlformats.org/officeDocument/2006/relationships" name="Annual Operations" sheetId="15" r:id="Rb646ed7d82104f4e"/>
    <x:sheet xmlns:r="http://schemas.openxmlformats.org/officeDocument/2006/relationships" name="Evidence Ledger" sheetId="16" r:id="Rb1b805dff6124343"/>
    <x:sheet xmlns:r="http://schemas.openxmlformats.org/officeDocument/2006/relationships" name="Decision Gates" sheetId="17" r:id="R498f6ff2871947a5"/>
    <x:sheet xmlns:r="http://schemas.openxmlformats.org/officeDocument/2006/relationships" name="Audit" sheetId="18" r:id="Rdb247b469081407a"/>
    <x:sheet xmlns:r="http://schemas.openxmlformats.org/officeDocument/2006/relationships" name="ReadMe" sheetId="19" r:id="R6c59aea1a700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.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5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left style="thin">
        <x:color rgb="FFFFFFFF"/>
      </x:left>
      <x:right style="thin">
        <x:color rgb="FFFFFFFF"/>
      </x:right>
      <x:top style="thin">
        <x:color rgb="FFD8E0E5"/>
      </x:top>
      <x:bottom style="thin">
        <x:color rgb="FFD8E0E5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201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1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6" fillId="3" borderId="12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vertical="center"/>
    </x:xf>
    <x:xf numFmtId="200" fontId="6" fillId="3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horizontal="center" vertical="center" wrapText="1"/>
    </x:xf>
    <x:xf numFmtId="200" fontId="4" fillId="2" borderId="14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3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4d54ea24247c2" /><Relationship Type="http://schemas.openxmlformats.org/officeDocument/2006/relationships/theme" Target="/xl/theme/theme1.xml" Id="R8bd9e48ab0884199" /><Relationship Type="http://schemas.openxmlformats.org/officeDocument/2006/relationships/sharedStrings" Target="/xl/sharedStrings.xml" Id="R84d7487c9f414d58" /><Relationship Type="http://schemas.openxmlformats.org/officeDocument/2006/relationships/worksheet" Target="/xl/worksheets/sheet1.xml" Id="Rc45da3fafd8b4f86" /><Relationship Type="http://schemas.openxmlformats.org/officeDocument/2006/relationships/worksheet" Target="/xl/worksheets/sheet2.xml" Id="R127479d830704055" /><Relationship Type="http://schemas.openxmlformats.org/officeDocument/2006/relationships/worksheet" Target="/xl/worksheets/sheet3.xml" Id="Rea39299d14ba4be2" /><Relationship Type="http://schemas.openxmlformats.org/officeDocument/2006/relationships/worksheet" Target="/xl/worksheets/sheet4.xml" Id="Rf21a84a291d84b3e" /><Relationship Type="http://schemas.openxmlformats.org/officeDocument/2006/relationships/worksheet" Target="/xl/worksheets/sheet5.xml" Id="R56870cbd44e24ac8" /><Relationship Type="http://schemas.openxmlformats.org/officeDocument/2006/relationships/worksheet" Target="/xl/worksheets/sheet6.xml" Id="R822032ff477040b8" /><Relationship Type="http://schemas.openxmlformats.org/officeDocument/2006/relationships/worksheet" Target="/xl/worksheets/sheet7.xml" Id="R320c94a028284e7e" /><Relationship Type="http://schemas.openxmlformats.org/officeDocument/2006/relationships/worksheet" Target="/xl/worksheets/sheet8.xml" Id="R9b571a37a95f468e" /><Relationship Type="http://schemas.openxmlformats.org/officeDocument/2006/relationships/worksheet" Target="/xl/worksheets/sheet9.xml" Id="Rab71271bd77d45a8" /><Relationship Type="http://schemas.openxmlformats.org/officeDocument/2006/relationships/worksheet" Target="/xl/worksheets/sheet10.xml" Id="R65781e782dc24e89" /><Relationship Type="http://schemas.openxmlformats.org/officeDocument/2006/relationships/worksheet" Target="/xl/worksheets/sheet11.xml" Id="R117747a63dfa411c" /><Relationship Type="http://schemas.openxmlformats.org/officeDocument/2006/relationships/worksheet" Target="/xl/worksheets/sheet12.xml" Id="R0f967ba27c2148e9" /><Relationship Type="http://schemas.openxmlformats.org/officeDocument/2006/relationships/worksheet" Target="/xl/worksheets/sheet13.xml" Id="R0ff3991a8dbf465e" /><Relationship Type="http://schemas.openxmlformats.org/officeDocument/2006/relationships/worksheet" Target="/xl/worksheets/sheet14.xml" Id="Rf0781b70f3504088" /><Relationship Type="http://schemas.openxmlformats.org/officeDocument/2006/relationships/worksheet" Target="/xl/worksheets/sheet15.xml" Id="Rb646ed7d82104f4e" /><Relationship Type="http://schemas.openxmlformats.org/officeDocument/2006/relationships/worksheet" Target="/xl/worksheets/sheet16.xml" Id="Rb1b805dff6124343" /><Relationship Type="http://schemas.openxmlformats.org/officeDocument/2006/relationships/worksheet" Target="/xl/worksheets/sheet17.xml" Id="R498f6ff2871947a5" /><Relationship Type="http://schemas.openxmlformats.org/officeDocument/2006/relationships/worksheet" Target="/xl/worksheets/sheet18.xml" Id="Rdb247b469081407a" /><Relationship Type="http://schemas.openxmlformats.org/officeDocument/2006/relationships/worksheet" Target="/xl/worksheets/sheet19.xml" Id="R6c59aea1a7004d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5" hidden="0" customWidth="1"/>
    <x:col min="3" max="3" width="53" hidden="0" customWidth="1"/>
    <x:col min="4" max="4" width="27" hidden="0" customWidth="1"/>
    <x:col min="5" max="5" width="18" hidden="0" customWidth="1"/>
    <x:col min="6" max="6" width="31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</x:cols>
  <x:sheetData>
    <x:row r="2">
      <x:c r="B2" s="3" t="str">
        <x:v>Family Industrial Resilience Redesign Compiler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Pass 99 converts twenty-two M05 industrial gaps into family-specific physical architectures, technology campaigns, facilities, reserve custody and complete-chain evidence programs.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19" t="str">
        <x:v>Question</x:v>
      </x:c>
      <x:c r="C6" s="20" t="str">
        <x:v>Operating answer</x:v>
      </x:c>
      <x:c r="D6" s="20" t="str">
        <x:v>Scale</x:v>
      </x:c>
      <x:c r="E6" s="20" t="str">
        <x:v>State</x:v>
      </x:c>
      <x:c r="F6" s="20" t="str">
        <x:v>Next authority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46" customHeight="1">
      <x:c r="B7" s="35" t="str">
        <x:v>What changed from Pass 98?</x:v>
      </x:c>
      <x:c r="C7" s="35" t="str">
        <x:v>one global weak-stage screen became twenty-two family-specific dependency redesigns</x:v>
      </x:c>
      <x:c r="D7" s="35" t="str">
        <x:v>22 family programs</x:v>
      </x:c>
      <x:c r="E7" s="35" t="str">
        <x:v>PLANNING</x:v>
      </x:c>
      <x:c r="F7" s="37" t="str">
        <x:v>dependency validation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46" customHeight="1">
      <x:c r="B8" s="35" t="str">
        <x:v>What is the industrial pattern?</x:v>
      </x:c>
      <x:c r="C8" s="35" t="str">
        <x:v>two unlike architectures plus an explicit complete-chain cellular layer</x:v>
      </x:c>
      <x:c r="D8" s="35" t="str">
        <x:v>8 architecture families</x:v>
      </x:c>
      <x:c r="E8" s="35" t="str">
        <x:v>PLANNING</x:v>
      </x:c>
      <x:c r="F8" s="37" t="str">
        <x:v>physical design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46" customHeight="1">
      <x:c r="B9" s="35" t="str">
        <x:v>What must be invented?</x:v>
      </x:c>
      <x:c r="C9" s="35" t="str">
        <x:v>portable process utility tooling metrology custody commissioning and regeneration systems</x:v>
      </x:c>
      <x:c r="D9" s="35" t="str">
        <x:v>24 technology campaigns</x:v>
      </x:c>
      <x:c r="E9" s="35" t="str">
        <x:v>HOLD</x:v>
      </x:c>
      <x:c r="F9" s="37" t="str">
        <x:v>decisive trials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46" customHeight="1">
      <x:c r="B10" s="35" t="str">
        <x:v>What becomes public infrastructure?</x:v>
      </x:c>
      <x:c r="C10" s="35" t="str">
        <x:v>islandable process nodes completion arsenals metrology depots loadout yards and remanufacture centers</x:v>
      </x:c>
      <x:c r="D10" s="35" t="str">
        <x:v>128 additional sites / USD 220B</x:v>
      </x:c>
      <x:c r="E10" s="35" t="str">
        <x:v>OPEN</x:v>
      </x:c>
      <x:c r="F10" s="37" t="str">
        <x:v>site evidence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46" customHeight="1">
      <x:c r="B11" s="35" t="str">
        <x:v>Does the planning design close M05?</x:v>
      </x:c>
      <x:c r="C11" s="35" t="str">
        <x:v>yes for all forty-eight families at the modeled 1.10 headroom floor</x:v>
      </x:c>
      <x:c r="D11" s="35" t="str">
        <x:v>48 of 48 families</x:v>
      </x:c>
      <x:c r="E11" s="35" t="str">
        <x:v>CLOSES M05</x:v>
      </x:c>
      <x:c r="F11" s="37" t="str">
        <x:v>full-chain exercises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46" customHeight="1">
      <x:c r="B12" s="35" t="str">
        <x:v>Does it close M06?</x:v>
      </x:c>
      <x:c r="C12" s="35" t="str">
        <x:v>no; two-domain loss remains deliberately uncompromised</x:v>
      </x:c>
      <x:c r="D12" s="35" t="str">
        <x:v>0 of 48 families</x:v>
      </x:c>
      <x:c r="E12" s="35" t="str">
        <x:v>GAP</x:v>
      </x:c>
      <x:c r="F12" s="37" t="str">
        <x:v>new architecture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46" customHeight="1">
      <x:c r="B13" s="35" t="str">
        <x:v>Is protected reserve included?</x:v>
      </x:c>
      <x:c r="C13" s="35" t="str">
        <x:v>yes; ready lots cover service issue plus separately custodied reserve before headroom</x:v>
      </x:c>
      <x:c r="D13" s="35" t="str">
        <x:v>M05 20% / M06 25%</x:v>
      </x:c>
      <x:c r="E13" s="35" t="str">
        <x:v>PLANNING</x:v>
      </x:c>
      <x:c r="F13" s="37" t="str">
        <x:v>inventory evidence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46" customHeight="1">
      <x:c r="B14" s="35" t="str">
        <x:v>Does modeled reserve equal readiness?</x:v>
      </x:c>
      <x:c r="C14" s="35" t="str">
        <x:v>no; every lot and reserve domain still requires serial custody and physical proof</x:v>
      </x:c>
      <x:c r="D14" s="35" t="str">
        <x:v>zero admitted families</x:v>
      </x:c>
      <x:c r="E14" s="35" t="str">
        <x:v>NOT ADMITTED</x:v>
      </x:c>
      <x:c r="F14" s="37" t="str">
        <x:v>accepted exercise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46" customHeight="1">
      <x:c r="B15" s="35" t="str">
        <x:v>What does the redesign cost?</x:v>
      </x:c>
      <x:c r="C15" s="35" t="str">
        <x:v>USD 1.8T cross-classified inside the existing USD 5.25T AIMC capital design</x:v>
      </x:c>
      <x:c r="D15" s="35" t="str">
        <x:v>USD 1.8T / 25 years</x:v>
      </x:c>
      <x:c r="E15" s="35" t="str">
        <x:v>PLANNING</x:v>
      </x:c>
      <x:c r="F15" s="37" t="str">
        <x:v>validated estimates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46" customHeight="1">
      <x:c r="B16" s="35" t="str">
        <x:v>What is the operating burden?</x:v>
      </x:c>
      <x:c r="C16" s="35" t="str">
        <x:v>USD 138.8B annually inside the USD 310B mature AIMC operating design</x:v>
      </x:c>
      <x:c r="D16" s="35" t="str">
        <x:v>44.8% of AIMC operations</x:v>
      </x:c>
      <x:c r="E16" s="35" t="str">
        <x:v>PLANNING</x:v>
      </x:c>
      <x:c r="F16" s="37" t="str">
        <x:v>appropriation and execution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46" customHeight="1">
      <x:c r="B17" s="35" t="str">
        <x:v>Which family should exercise first?</x:v>
      </x:c>
      <x:c r="C17" s="35" t="str">
        <x:v>F36 rapid water trunkline because it crosses material tooling robotics transport receiving public health and regeneration</x:v>
      </x:c>
      <x:c r="D17" s="35" t="str">
        <x:v>one 10 km article</x:v>
      </x:c>
      <x:c r="E17" s="35" t="str">
        <x:v>HOLD</x:v>
      </x:c>
      <x:c r="F17" s="37" t="str">
        <x:v>range constitution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46" customHeight="1">
      <x:c r="B18" s="38" t="str">
        <x:v>Can external form now be rendered?</x:v>
      </x:c>
      <x:c r="C18" s="38" t="str">
        <x:v>no; representative geometry follows internal sections and accepted coupled evidence</x:v>
      </x:c>
      <x:c r="D18" s="38" t="str">
        <x:v>zero authority</x:v>
      </x:c>
      <x:c r="E18" s="38" t="str">
        <x:v>BLOCKED</x:v>
      </x:c>
      <x:c r="F18" s="40" t="str">
        <x:v>measured representative form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B21" s="29" t="str">
        <x:v>Derived scale and invariants</x:v>
      </x:c>
      <x:c r="C21" s="30" t="str">
        <x:v>Derived scale and invariants</x:v>
      </x:c>
      <x:c r="D21" s="30" t="str">
        <x:v>Derived scale and invariants</x:v>
      </x:c>
      <x:c r="E21" s="30" t="str">
        <x:v>Derived scale and invariants</x:v>
      </x:c>
      <x:c r="F21" s="31" t="str">
        <x:v>Derived scale and invariants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B22" s="19" t="str">
        <x:v>Measure</x:v>
      </x:c>
      <x:c r="C22" s="20" t="str">
        <x:v>Observed</x:v>
      </x:c>
      <x:c r="D22" s="20" t="str">
        <x:v>Unit</x:v>
      </x:c>
      <x:c r="E22" s="20" t="str">
        <x:v>Required</x:v>
      </x:c>
      <x:c r="F22" s="20" t="str">
        <x:v>Result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B23" s="21" t="str">
        <x:v>Gap families recompiled</x:v>
      </x:c>
      <x:c r="C23" s="42" t="n">
        <x:f>COUNTA('Family Results'!B7:B28)</x:f>
        <x:v>22</x:v>
      </x:c>
      <x:c r="D23" s="42" t="str">
        <x:v>families</x:v>
      </x:c>
      <x:c r="E23" s="42" t="n">
        <x:v>22</x:v>
      </x:c>
      <x:c r="F23" s="23" t="str">
        <x:f>IF(ABS(C23-E23)&lt;0.000001,"PASS","FAIL")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B24" s="21" t="str">
        <x:v>Industrial architecture families</x:v>
      </x:c>
      <x:c r="C24" s="42" t="n">
        <x:f>COUNTA('Architecture Library'!B7:B14)</x:f>
        <x:v>8</x:v>
      </x:c>
      <x:c r="D24" s="42" t="str">
        <x:v>architectures</x:v>
      </x:c>
      <x:c r="E24" s="42" t="n">
        <x:v>8</x:v>
      </x:c>
      <x:c r="F24" s="23" t="str">
        <x:f>IF(ABS(C24-E24)&lt;0.000001,"PASS","FAIL")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B25" s="21" t="str">
        <x:v>Stage build records</x:v>
      </x:c>
      <x:c r="C25" s="42" t="n">
        <x:f>COUNTA('Stage Build'!B7:B270)</x:f>
        <x:v>264</x:v>
      </x:c>
      <x:c r="D25" s="42" t="str">
        <x:v>records</x:v>
      </x:c>
      <x:c r="E25" s="42" t="n">
        <x:v>264</x:v>
      </x:c>
      <x:c r="F25" s="23" t="str">
        <x:f>IF(ABS(C25-E25)&lt;0.000001,"PASS","FAIL")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B26" s="21" t="str">
        <x:v>M05 gap-family closures</x:v>
      </x:c>
      <x:c r="C26" s="42" t="n">
        <x:f>COUNTIF('Family Results'!J7:J28,"CLOSES M05")</x:f>
        <x:v>22</x:v>
      </x:c>
      <x:c r="D26" s="42" t="str">
        <x:v>families</x:v>
      </x:c>
      <x:c r="E26" s="42" t="n">
        <x:v>22</x:v>
      </x:c>
      <x:c r="F26" s="23" t="str">
        <x:f>IF(ABS(C26-E26)&lt;0.000001,"PASS","FAIL")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B27" s="21" t="str">
        <x:v>M05 full-force closures</x:v>
      </x:c>
      <x:c r="C27" s="42" t="n">
        <x:f>COUNTIF('Full Force'!G7:G54,"CLOSES M05")</x:f>
        <x:v>48</x:v>
      </x:c>
      <x:c r="D27" s="42" t="str">
        <x:v>families</x:v>
      </x:c>
      <x:c r="E27" s="42" t="n">
        <x:v>48</x:v>
      </x:c>
      <x:c r="F27" s="23" t="str">
        <x:f>IF(ABS(C27-E27)&lt;0.000001,"PASS","FAIL")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B28" s="21" t="str">
        <x:v>M06 full-force closures</x:v>
      </x:c>
      <x:c r="C28" s="42" t="n">
        <x:f>COUNTIF('Full Force'!I7:I54,"CLOSES M06")</x:f>
        <x:v>0</x:v>
      </x:c>
      <x:c r="D28" s="42" t="str">
        <x:v>families</x:v>
      </x:c>
      <x:c r="E28" s="42" t="n">
        <x:v>0</x:v>
      </x:c>
      <x:c r="F28" s="23" t="str">
        <x:f>IF(ABS(C28-E28)&lt;0.000001,"PASS","FAIL")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B29" s="21" t="str">
        <x:v>Technology campaigns</x:v>
      </x:c>
      <x:c r="C29" s="42" t="n">
        <x:f>COUNTA('Technology Portfolio'!B7:B30)</x:f>
        <x:v>24</x:v>
      </x:c>
      <x:c r="D29" s="42" t="str">
        <x:v>campaigns</x:v>
      </x:c>
      <x:c r="E29" s="42" t="n">
        <x:v>24</x:v>
      </x:c>
      <x:c r="F29" s="23" t="str">
        <x:f>IF(ABS(C29-E29)&lt;0.000001,"PASS","FAIL")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B30" s="21" t="str">
        <x:v>Public facility sites</x:v>
      </x:c>
      <x:c r="C30" s="42" t="n">
        <x:f>SUM('Facility Program'!D7:D14)</x:f>
        <x:v>128</x:v>
      </x:c>
      <x:c r="D30" s="42" t="str">
        <x:v>sites</x:v>
      </x:c>
      <x:c r="E30" s="42" t="n">
        <x:v>128</x:v>
      </x:c>
      <x:c r="F30" s="23" t="str">
        <x:f>IF(ABS(C30-E30)&lt;0.000001,"PASS","FAIL")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B31" s="21" t="str">
        <x:v>Family redesign capital</x:v>
      </x:c>
      <x:c r="C31" s="42" t="n">
        <x:f>SUM('Family Results'!N7:N28)</x:f>
        <x:v>1080</x:v>
      </x:c>
      <x:c r="D31" s="42" t="str">
        <x:v>USD B</x:v>
      </x:c>
      <x:c r="E31" s="42" t="n">
        <x:v>1080</x:v>
      </x:c>
      <x:c r="F31" s="23" t="str">
        <x:f>IF(ABS(C31-E31)&lt;0.000001,"PASS","FAIL")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B32" s="21" t="str">
        <x:v>Shared enabler capital</x:v>
      </x:c>
      <x:c r="C32" s="42" t="n">
        <x:f>SUM('Capital Control'!C8:C10)</x:f>
        <x:v>420</x:v>
      </x:c>
      <x:c r="D32" s="42" t="str">
        <x:v>USD B</x:v>
      </x:c>
      <x:c r="E32" s="42" t="n">
        <x:v>420</x:v>
      </x:c>
      <x:c r="F32" s="23" t="str">
        <x:f>IF(ABS(C32-E32)&lt;0.000001,"PASS","FAIL")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B33" s="21" t="str">
        <x:v>Program reserve</x:v>
      </x:c>
      <x:c r="C33" s="42" t="n">
        <x:f>'Capital Control'!C11</x:f>
        <x:v>300</x:v>
      </x:c>
      <x:c r="D33" s="42" t="str">
        <x:v>USD B</x:v>
      </x:c>
      <x:c r="E33" s="42" t="n">
        <x:v>300</x:v>
      </x:c>
      <x:c r="F33" s="23" t="str">
        <x:f>IF(ABS(C33-E33)&lt;0.000001,"PASS","FAIL")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B34" s="21" t="str">
        <x:v>Pass 99 nested capital</x:v>
      </x:c>
      <x:c r="C34" s="42" t="n">
        <x:f>'Capital Control'!C13</x:f>
        <x:v>1800</x:v>
      </x:c>
      <x:c r="D34" s="42" t="str">
        <x:v>USD B</x:v>
      </x:c>
      <x:c r="E34" s="42" t="n">
        <x:v>1800</x:v>
      </x:c>
      <x:c r="F34" s="23" t="str">
        <x:f>IF(ABS(C34-E34)&lt;0.000001,"PASS","FAIL")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B35" s="21" t="str">
        <x:v>Mature annual operations</x:v>
      </x:c>
      <x:c r="C35" s="42" t="n">
        <x:f>'Annual Operations'!C13</x:f>
        <x:v>138.8</x:v>
      </x:c>
      <x:c r="D35" s="42" t="str">
        <x:v>USD B</x:v>
      </x:c>
      <x:c r="E35" s="42" t="n">
        <x:v>138.8</x:v>
      </x:c>
      <x:c r="F35" s="23" t="str">
        <x:f>IF(ABS(C35-E35)&lt;0.000001,"PASS","FAIL")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B36" s="21" t="str">
        <x:v>Reserve records</x:v>
      </x:c>
      <x:c r="C36" s="42" t="n">
        <x:f>COUNTA('Reserve Ledger'!B7:B102)</x:f>
        <x:v>96</x:v>
      </x:c>
      <x:c r="D36" s="42" t="str">
        <x:v>records</x:v>
      </x:c>
      <x:c r="E36" s="42" t="n">
        <x:v>96</x:v>
      </x:c>
      <x:c r="F36" s="23" t="str">
        <x:f>IF(ABS(C36-E36)&lt;0.000001,"PASS","FAIL")</x:f>
        <x:v>PASS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B37" s="21" t="str">
        <x:v>Accepted physical evidence</x:v>
      </x:c>
      <x:c r="C37" s="42" t="n">
        <x:f>SUM('Evidence Ledger'!G7:G28)</x:f>
        <x:v>0</x:v>
      </x:c>
      <x:c r="D37" s="42" t="str">
        <x:v>findings</x:v>
      </x:c>
      <x:c r="E37" s="42" t="n">
        <x:v>0</x:v>
      </x:c>
      <x:c r="F37" s="23" t="str">
        <x:f>IF(ABS(C37-E37)&lt;0.000001,"PASS","FAIL")</x:f>
        <x:v>PASS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B38" s="21" t="str">
        <x:v>Rendering authority</x:v>
      </x:c>
      <x:c r="C38" s="42" t="n">
        <x:f>Assumptions!C22</x:f>
        <x:v>0</x:v>
      </x:c>
      <x:c r="D38" s="42" t="str">
        <x:v>binary</x:v>
      </x:c>
      <x:c r="E38" s="42" t="n">
        <x:v>0</x:v>
      </x:c>
      <x:c r="F38" s="23" t="str">
        <x:f>IF(ABS(C38-E38)&lt;0.000001,"PASS","FAIL")</x:f>
        <x:v>PASS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B39" s="21" t="str">
        <x:v>Decision gates</x:v>
      </x:c>
      <x:c r="C39" s="42" t="n">
        <x:f>COUNTA('Decision Gates'!B7:B36)</x:f>
        <x:v>30</x:v>
      </x:c>
      <x:c r="D39" s="42" t="str">
        <x:v>gates</x:v>
      </x:c>
      <x:c r="E39" s="42" t="n">
        <x:v>30</x:v>
      </x:c>
      <x:c r="F39" s="23" t="str">
        <x:f>IF(ABS(C39-E39)&lt;0.000001,"PASS","FAIL")</x:f>
        <x:v>PASS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>
      <x:c r="B40" s="21" t="str">
        <x:v>Deterministic controls</x:v>
      </x:c>
      <x:c r="C40" s="42" t="n">
        <x:f>COUNTA(Audit!B7:B2129)</x:f>
        <x:v>2123</x:v>
      </x:c>
      <x:c r="D40" s="42" t="str">
        <x:v>controls</x:v>
      </x:c>
      <x:c r="E40" s="42" t="n">
        <x:v>2123</x:v>
      </x:c>
      <x:c r="F40" s="23" t="str">
        <x:f>IF(ABS(C40-E40)&lt;0.000001,"PASS","FAIL")</x:f>
        <x:v>PASS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>
      <x:c r="B41" s="24" t="str">
        <x:v>Failed model controls</x:v>
      </x:c>
      <x:c r="C41" s="43" t="n">
        <x:f>COUNTIF(Audit!G7:G2129,"FAIL")</x:f>
        <x:v>0</x:v>
      </x:c>
      <x:c r="D41" s="43" t="str">
        <x:v>controls</x:v>
      </x:c>
      <x:c r="E41" s="43" t="n">
        <x:v>0</x:v>
      </x:c>
      <x:c r="F41" s="26" t="str">
        <x:f>IF(ABS(C41-E41)&lt;0.000001,"PASS","FAIL")</x:f>
        <x:v>PASS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>
      <x:c r="B44" s="29" t="str">
        <x:v>First-principles doctrine</x:v>
      </x:c>
      <x:c r="C44" s="30" t="str">
        <x:v>First-principles doctrine</x:v>
      </x:c>
      <x:c r="D44" s="30" t="str">
        <x:v>First-principles doctrine</x:v>
      </x:c>
      <x:c r="E44" s="30" t="str">
        <x:v>First-principles doctrine</x:v>
      </x:c>
      <x:c r="F44" s="30" t="str">
        <x:v>First-principles doctrine</x:v>
      </x:c>
      <x:c r="G44" s="30" t="str">
        <x:v>First-principles doctrine</x:v>
      </x:c>
      <x:c r="H44" s="30" t="str">
        <x:v>First-principles doctrine</x:v>
      </x:c>
      <x:c r="I44" s="30" t="str">
        <x:v>First-principles doctrine</x:v>
      </x:c>
      <x:c r="J44" s="30" t="str">
        <x:v>First-principles doctrine</x:v>
      </x:c>
      <x:c r="K44" s="30" t="str">
        <x:v>First-principles doctrine</x:v>
      </x:c>
      <x:c r="L44" s="30" t="str">
        <x:v>First-principles doctrine</x:v>
      </x:c>
      <x:c r="M44" s="30" t="str">
        <x:v>First-principles doctrine</x:v>
      </x:c>
      <x:c r="N44" s="30" t="str">
        <x:v>First-principles doctrine</x:v>
      </x:c>
      <x:c r="O44" s="30" t="str">
        <x:v>First-principles doctrine</x:v>
      </x:c>
      <x:c r="P44" s="30" t="str">
        <x:v>First-principles doctrine</x:v>
      </x:c>
      <x:c r="Q44" s="30" t="str">
        <x:v>First-principles doctrine</x:v>
      </x:c>
      <x:c r="R44" s="31" t="str">
        <x:v>First-principles doctrine</x:v>
      </x:c>
    </x:row>
    <x:row r="45" ht="36" customHeight="1">
      <x:c r="B45" s="57" t="str">
        <x:v>The design object is not a factory, vehicle or vendor. It is a conserved family mission-service lot that survives twelve physical state transitions from lawful alert through public effect and regeneration.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36" customHeight="1">
      <x:c r="B46" s="57" t="str">
        <x:v>An industrially resilient family uses unlike roots. More nominal suppliers on one utility, process, toolchain, route or software ancestry do not create independence.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36" customHeight="1">
      <x:c r="B47" s="57" t="str">
        <x:v>The cellular replication layer is visible and costed because residual weakest-stage capacity cannot be wished away through portfolio averages.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36" customHeight="1">
      <x:c r="B48" s="57" t="str">
        <x:v>Protected reserve is judged after first-wave issue. An inventory report before deployment cannot prove follow-on endurance.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36" customHeight="1">
      <x:c r="B49" s="57" t="str">
        <x:v>Receiver-native completion moves mass, complexity and authority toward the affected region while preserving consent, inspection and lawful refusal.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36" customHeight="1">
      <x:c r="B50" s="57" t="str">
        <x:v>Innovation is authorized at extreme scale, but every campaign carries a decisive trial and a stop condition. Technological ambition does not reduce the evidence burden.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36" customHeight="1">
      <x:c r="B51" s="57" t="str">
        <x:v>USD 1.8T is analytical cross-classification within AIMC's existing USD 5.25T allocation. This pass creates no new budget boundary and claims no vendor-price accuracy.</x:v>
      </x:c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36" customHeight="1">
      <x:c r="B52" s="57" t="str">
        <x:v>The M06 frontier remains open by design. A planning model that automatically rescales to pass every world would destroy the exercise's information value.</x:v>
      </x:c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36" customHeight="1">
      <x:c r="B53" s="57" t="str">
        <x:v>F36 is the preferred first complete-chain article because rapid water trunkline stresses process, materials, automation, transport, receiving, public-health commissioning and regeneration without presupposing exterior form.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36" customHeight="1">
      <x:c r="B54" s="57" t="str">
        <x:v>Rendering remains blocked. The next legitimate visual object is a measured internal process and logistics section derived from physical trials, not an attractive exterior silhouette.</x:v>
      </x:c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</x:sheetData>
  <x:mergeCells>
    <x:mergeCell ref="B3:R3"/>
    <x:mergeCell ref="B21:F21"/>
    <x:mergeCell ref="B44:R44"/>
    <x:mergeCell ref="B45:R45"/>
    <x:mergeCell ref="B46:R46"/>
    <x:mergeCell ref="B47:R47"/>
    <x:mergeCell ref="B48:R48"/>
    <x:mergeCell ref="B49:R49"/>
    <x:mergeCell ref="B50:R50"/>
    <x:mergeCell ref="B51:R51"/>
    <x:mergeCell ref="B52:R52"/>
    <x:mergeCell ref="B53:R53"/>
    <x:mergeCell ref="B54:R54"/>
  </x:mergeCells>
  <x:conditionalFormatting sqref="E7:F18">
    <x:cfRule type="containsText" dxfId="126" priority="1" operator="containsText" text="OPEN"/>
    <x:cfRule type="containsText" dxfId="127" priority="2" operator="containsText" text="HOLD"/>
    <x:cfRule type="containsText" dxfId="128" priority="3" operator="containsText" text="BLOCKED"/>
    <x:cfRule type="containsText" dxfId="129" priority="4" operator="containsText" text="GAP"/>
    <x:cfRule type="containsText" dxfId="130" priority="5" operator="containsText" text="NOT ADMITTED"/>
    <x:cfRule type="containsText" dxfId="131" priority="6" operator="containsText" text="FAIL"/>
    <x:cfRule type="containsText" dxfId="132" priority="7" operator="containsText" text="PASS"/>
    <x:cfRule type="containsText" dxfId="133" priority="8" operator="containsText" text="ADEQUATE"/>
    <x:cfRule type="containsText" dxfId="134" priority="9" operator="containsText" text="CLOSES M05"/>
  </x:conditionalFormatting>
  <x:conditionalFormatting sqref="F23:F41">
    <x:cfRule type="containsText" dxfId="135" priority="10" operator="containsText" text="OPEN"/>
    <x:cfRule type="containsText" dxfId="136" priority="11" operator="containsText" text="HOLD"/>
    <x:cfRule type="containsText" dxfId="137" priority="12" operator="containsText" text="BLOCKED"/>
    <x:cfRule type="containsText" dxfId="138" priority="13" operator="containsText" text="GAP"/>
    <x:cfRule type="containsText" dxfId="139" priority="14" operator="containsText" text="NOT ADMITTED"/>
    <x:cfRule type="containsText" dxfId="140" priority="15" operator="containsText" text="FAIL"/>
    <x:cfRule type="containsText" dxfId="141" priority="16" operator="containsText" text="PASS"/>
    <x:cfRule type="containsText" dxfId="142" priority="17" operator="containsText" text="ADEQUATE"/>
    <x:cfRule type="containsText" dxfId="143" priority="18" operator="containsText" text="CLOSES M05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6" hidden="0" customWidth="1"/>
    <x:col min="3" max="3" width="18" hidden="0" customWidth="1"/>
    <x:col min="4" max="4" width="28" hidden="0" customWidth="1"/>
    <x:col min="5" max="5" width="16" hidden="0" customWidth="1"/>
    <x:col min="6" max="6" width="40" hidden="0" customWidth="1"/>
  </x:cols>
  <x:sheetData>
    <x:row r="2">
      <x:c r="B2" s="3" t="str">
        <x:v>Industrial resilience redesign assumptions</x:v>
      </x:c>
      <x:c r="C2" s="2"/>
      <x:c r="D2" s="2"/>
      <x:c r="E2" s="2"/>
      <x:c r="F2" s="2"/>
    </x:row>
    <x:row r="3">
      <x:c r="B3" s="4" t="str">
        <x:v>Blue-font values are strategic design inputs. They allocate a mature research and industrial program; they are not current costs, capacities or readiness evidence.</x:v>
      </x:c>
      <x:c r="C3" s="2"/>
      <x:c r="D3" s="2"/>
      <x:c r="E3" s="2"/>
      <x:c r="F3" s="2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19" t="str">
        <x:v>Input</x:v>
      </x:c>
      <x:c r="C6" s="20" t="str">
        <x:v>Value</x:v>
      </x:c>
      <x:c r="D6" s="20" t="str">
        <x:v>Unit</x:v>
      </x:c>
      <x:c r="E6" s="20" t="str">
        <x:v>State</x:v>
      </x:c>
      <x:c r="F6" s="20" t="str">
        <x:v>Reopen trigger</x:v>
      </x:c>
    </x:row>
    <x:row r="7">
      <x:c r="B7" s="21" t="str">
        <x:v>Force families</x:v>
      </x:c>
      <x:c r="C7" s="22" t="n">
        <x:v>48</x:v>
      </x:c>
      <x:c r="D7" s="21" t="str">
        <x:v>families</x:v>
      </x:c>
      <x:c r="E7" s="21" t="str">
        <x:v>FROZEN</x:v>
      </x:c>
      <x:c r="F7" s="23" t="str">
        <x:v>force architecture</x:v>
      </x:c>
    </x:row>
    <x:row r="8">
      <x:c r="B8" s="21" t="str">
        <x:v>Pass 98 M05 gap families</x:v>
      </x:c>
      <x:c r="C8" s="22" t="n">
        <x:v>22</x:v>
      </x:c>
      <x:c r="D8" s="21" t="str">
        <x:v>families</x:v>
      </x:c>
      <x:c r="E8" s="21" t="str">
        <x:v>FROZEN</x:v>
      </x:c>
      <x:c r="F8" s="23" t="str">
        <x:v>mobilization constitution</x:v>
      </x:c>
    </x:row>
    <x:row r="9">
      <x:c r="B9" s="21" t="str">
        <x:v>M05 design headroom floor</x:v>
      </x:c>
      <x:c r="C9" s="22" t="n">
        <x:v>1.1</x:v>
      </x:c>
      <x:c r="D9" s="21" t="str">
        <x:v>capacity / demand</x:v>
      </x:c>
      <x:c r="E9" s="21" t="str">
        <x:v>FROZEN</x:v>
      </x:c>
      <x:c r="F9" s="23" t="str">
        <x:v>civil guarantee</x:v>
      </x:c>
    </x:row>
    <x:row r="10">
      <x:c r="B10" s="21" t="str">
        <x:v>M05 service demand</x:v>
      </x:c>
      <x:c r="C10" s="22" t="n">
        <x:v>1</x:v>
      </x:c>
      <x:c r="D10" s="21" t="str">
        <x:v>base-family demand</x:v>
      </x:c>
      <x:c r="E10" s="21" t="str">
        <x:v>FROZEN</x:v>
      </x:c>
      <x:c r="F10" s="23" t="str">
        <x:v>scenario constitution</x:v>
      </x:c>
    </x:row>
    <x:row r="11">
      <x:c r="B11" s="21" t="str">
        <x:v>M05 protected reserve floor</x:v>
      </x:c>
      <x:c r="C11" s="22" t="n">
        <x:v>0.2</x:v>
      </x:c>
      <x:c r="D11" s="21" t="str">
        <x:v>base-family demand</x:v>
      </x:c>
      <x:c r="E11" s="21" t="str">
        <x:v>FROZEN</x:v>
      </x:c>
      <x:c r="F11" s="23" t="str">
        <x:v>follow-on doctrine</x:v>
      </x:c>
    </x:row>
    <x:row r="12">
      <x:c r="B12" s="21" t="str">
        <x:v>M06 service demand</x:v>
      </x:c>
      <x:c r="C12" s="22" t="n">
        <x:v>1.25</x:v>
      </x:c>
      <x:c r="D12" s="21" t="str">
        <x:v>base-family demand</x:v>
      </x:c>
      <x:c r="E12" s="21" t="str">
        <x:v>FROZEN</x:v>
      </x:c>
      <x:c r="F12" s="23" t="str">
        <x:v>scenario constitution</x:v>
      </x:c>
    </x:row>
    <x:row r="13">
      <x:c r="B13" s="21" t="str">
        <x:v>M06 protected reserve floor</x:v>
      </x:c>
      <x:c r="C13" s="22" t="n">
        <x:v>0.25</x:v>
      </x:c>
      <x:c r="D13" s="21" t="str">
        <x:v>base-family demand</x:v>
      </x:c>
      <x:c r="E13" s="21" t="str">
        <x:v>FROZEN</x:v>
      </x:c>
      <x:c r="F13" s="23" t="str">
        <x:v>follow-on doctrine</x:v>
      </x:c>
    </x:row>
    <x:row r="14">
      <x:c r="B14" s="21" t="str">
        <x:v>Family redesign capital</x:v>
      </x:c>
      <x:c r="C14" s="22" t="n">
        <x:v>1080</x:v>
      </x:c>
      <x:c r="D14" s="21" t="str">
        <x:v>constant USD B</x:v>
      </x:c>
      <x:c r="E14" s="21" t="str">
        <x:v>FROZEN</x:v>
      </x:c>
      <x:c r="F14" s="23" t="str">
        <x:v>appropriation design</x:v>
      </x:c>
    </x:row>
    <x:row r="15">
      <x:c r="B15" s="21" t="str">
        <x:v>Shared enabler capital</x:v>
      </x:c>
      <x:c r="C15" s="22" t="n">
        <x:v>420</x:v>
      </x:c>
      <x:c r="D15" s="21" t="str">
        <x:v>constant USD B</x:v>
      </x:c>
      <x:c r="E15" s="21" t="str">
        <x:v>FROZEN</x:v>
      </x:c>
      <x:c r="F15" s="23" t="str">
        <x:v>appropriation design</x:v>
      </x:c>
    </x:row>
    <x:row r="16">
      <x:c r="B16" s="21" t="str">
        <x:v>Program reserve</x:v>
      </x:c>
      <x:c r="C16" s="22" t="n">
        <x:v>300</x:v>
      </x:c>
      <x:c r="D16" s="21" t="str">
        <x:v>constant USD B</x:v>
      </x:c>
      <x:c r="E16" s="21" t="str">
        <x:v>FROZEN</x:v>
      </x:c>
      <x:c r="F16" s="23" t="str">
        <x:v>portfolio failure</x:v>
      </x:c>
    </x:row>
    <x:row r="17">
      <x:c r="B17" s="21" t="str">
        <x:v>Family readiness operating rate</x:v>
      </x:c>
      <x:c r="C17" s="22" t="n">
        <x:v>0.06</x:v>
      </x:c>
      <x:c r="D17" s="21" t="str">
        <x:v>annual / capital</x:v>
      </x:c>
      <x:c r="E17" s="21" t="str">
        <x:v>FROZEN</x:v>
      </x:c>
      <x:c r="F17" s="23" t="str">
        <x:v>observed cost</x:v>
      </x:c>
    </x:row>
    <x:row r="18">
      <x:c r="B18" s="21" t="str">
        <x:v>National exercise operations</x:v>
      </x:c>
      <x:c r="C18" s="22" t="n">
        <x:v>62</x:v>
      </x:c>
      <x:c r="D18" s="21" t="str">
        <x:v>constant USD B / year</x:v>
      </x:c>
      <x:c r="E18" s="21" t="str">
        <x:v>FROZEN</x:v>
      </x:c>
      <x:c r="F18" s="23" t="str">
        <x:v>Pass 98 exercise design</x:v>
      </x:c>
    </x:row>
    <x:row r="19">
      <x:c r="B19" s="21" t="str">
        <x:v>Mature AIMC operations</x:v>
      </x:c>
      <x:c r="C19" s="22" t="n">
        <x:v>310</x:v>
      </x:c>
      <x:c r="D19" s="21" t="str">
        <x:v>constant USD B / year</x:v>
      </x:c>
      <x:c r="E19" s="21" t="str">
        <x:v>FROZEN</x:v>
      </x:c>
      <x:c r="F19" s="23" t="str">
        <x:v>Pass 96 operating design</x:v>
      </x:c>
    </x:row>
    <x:row r="20">
      <x:c r="B20" s="21" t="str">
        <x:v>Continuing-family M06 retention</x:v>
      </x:c>
      <x:c r="C20" s="22" t="n">
        <x:v>0.72</x:v>
      </x:c>
      <x:c r="D20" s="21" t="str">
        <x:v>M06 / M05</x:v>
      </x:c>
      <x:c r="E20" s="21" t="str">
        <x:v>FROZEN</x:v>
      </x:c>
      <x:c r="F20" s="23" t="str">
        <x:v>measured stage chain</x:v>
      </x:c>
    </x:row>
    <x:row r="21">
      <x:c r="B21" s="21" t="str">
        <x:v>Physical evidence accepted</x:v>
      </x:c>
      <x:c r="C21" s="22" t="n">
        <x:v>0</x:v>
      </x:c>
      <x:c r="D21" s="21" t="str">
        <x:v>binary</x:v>
      </x:c>
      <x:c r="E21" s="21" t="str">
        <x:v>FROZEN</x:v>
      </x:c>
      <x:c r="F21" s="23" t="str">
        <x:v>independent finding</x:v>
      </x:c>
    </x:row>
    <x:row r="22">
      <x:c r="B22" s="24" t="str">
        <x:v>Rendering authority</x:v>
      </x:c>
      <x:c r="C22" s="25" t="n">
        <x:v>0</x:v>
      </x:c>
      <x:c r="D22" s="24" t="str">
        <x:v>binary</x:v>
      </x:c>
      <x:c r="E22" s="24" t="str">
        <x:v>FROZEN</x:v>
      </x:c>
      <x:c r="F22" s="26" t="str">
        <x:v>representative geometry</x:v>
      </x:c>
    </x:row>
    <x:row r="23">
      <x:c r="B23" s="2"/>
      <x:c r="C23" s="2"/>
      <x:c r="D23" s="2"/>
      <x:c r="E23" s="2"/>
      <x:c r="F23" s="2"/>
    </x:row>
    <x:row r="24">
      <x:c r="B24" s="29" t="str">
        <x:v>Interpretation</x:v>
      </x:c>
      <x:c r="C24" s="30" t="str">
        <x:v>Interpretation</x:v>
      </x:c>
      <x:c r="D24" s="30" t="str">
        <x:v>Interpretation</x:v>
      </x:c>
      <x:c r="E24" s="30" t="str">
        <x:v>Interpretation</x:v>
      </x:c>
      <x:c r="F24" s="31" t="str">
        <x:v>Interpretation</x:v>
      </x:c>
    </x:row>
    <x:row r="25">
      <x:c r="B25" s="2" t="str">
        <x:v>Pass 98 identified twenty-two M05 service gaps using one global weakest factor. This pass decomposes family-specific dependency hypotheses.</x:v>
      </x:c>
      <x:c r="C25" s="2" t="str"/>
      <x:c r="D25" s="2" t="str"/>
      <x:c r="E25" s="2" t="str"/>
      <x:c r="F25" s="2" t="str"/>
    </x:row>
    <x:row r="26">
      <x:c r="B26" s="2" t="str">
        <x:v>A stage ratio is stage capacity divided by that family's required M05 mission-service lots. Counts are never summed across unlike families.</x:v>
      </x:c>
      <x:c r="C26" s="2" t="str"/>
      <x:c r="D26" s="2" t="str"/>
      <x:c r="E26" s="2" t="str"/>
      <x:c r="F26" s="2" t="str"/>
    </x:row>
    <x:row r="27">
      <x:c r="B27" s="2" t="str">
        <x:v>Primary and secondary architectures add targeted capacity. A separately costed cellular replication layer closes the remaining weakest stage to 1.10.</x:v>
      </x:c>
      <x:c r="C27" s="2" t="str"/>
      <x:c r="D27" s="2" t="str"/>
      <x:c r="E27" s="2" t="str"/>
      <x:c r="F27" s="2" t="str"/>
    </x:row>
    <x:row r="28">
      <x:c r="B28" s="2" t="str">
        <x:v>The 20-percent M05 reserve is a protected inventory floor after first-wave issue. It is not a fractional production-stage multiplier.</x:v>
      </x:c>
      <x:c r="C28" s="2" t="str"/>
      <x:c r="D28" s="2" t="str"/>
      <x:c r="E28" s="2" t="str"/>
      <x:c r="F28" s="2" t="str"/>
    </x:row>
    <x:row r="29">
      <x:c r="B29" s="2" t="str">
        <x:v>M05 planning closure is a design target, not physical credit. Every family remains unadmitted until a complete exercise closes.</x:v>
      </x:c>
      <x:c r="C29" s="2" t="str"/>
      <x:c r="D29" s="2" t="str"/>
      <x:c r="E29" s="2" t="str"/>
      <x:c r="F29" s="2" t="str"/>
    </x:row>
    <x:row r="30">
      <x:c r="B30" s="2" t="str">
        <x:v>M06 remains an uncompromised two-domain-loss frontier. The redesign is not rescaled until it passes.</x:v>
      </x:c>
      <x:c r="C30" s="2" t="str"/>
      <x:c r="D30" s="2" t="str"/>
      <x:c r="E30" s="2" t="str"/>
      <x:c r="F30" s="2" t="str"/>
    </x:row>
    <x:row r="31">
      <x:c r="B31" s="2" t="str">
        <x:v>Rendering remains blocked until representative internal geometry and accepted coupled evidence exist.</x:v>
      </x:c>
      <x:c r="C31" s="2" t="str"/>
      <x:c r="D31" s="2" t="str"/>
      <x:c r="E31" s="2" t="str"/>
      <x:c r="F31" s="2" t="str"/>
    </x:row>
    <x:row r="32">
      <x:c r="B32" s="2"/>
      <x:c r="C32" s="2"/>
      <x:c r="D32" s="2"/>
      <x:c r="E32" s="2"/>
      <x:c r="F32" s="2"/>
    </x:row>
    <x:row r="33">
      <x:c r="B33" s="2"/>
      <x:c r="C33" s="2"/>
      <x:c r="D33" s="2"/>
      <x:c r="E33" s="2"/>
      <x:c r="F33" s="2"/>
    </x:row>
    <x:row r="34">
      <x:c r="B34" s="2"/>
      <x:c r="C34" s="2"/>
      <x:c r="D34" s="2"/>
      <x:c r="E34" s="2"/>
      <x:c r="F34" s="2"/>
    </x:row>
    <x:row r="35">
      <x:c r="B35" s="2"/>
      <x:c r="C35" s="2"/>
      <x:c r="D35" s="2"/>
      <x:c r="E35" s="2"/>
      <x:c r="F35" s="2"/>
    </x:row>
    <x:row r="36">
      <x:c r="B36" s="2"/>
      <x:c r="C36" s="2"/>
      <x:c r="D36" s="2"/>
      <x:c r="E36" s="2"/>
      <x:c r="F36" s="2"/>
    </x:row>
  </x:sheetData>
  <x:mergeCells>
    <x:mergeCell ref="B3:F3"/>
    <x:mergeCell ref="B24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38" hidden="0" customWidth="1"/>
    <x:col min="4" max="4" width="24" hidden="0" customWidth="1"/>
    <x:col min="5" max="5" width="14" hidden="0" customWidth="1"/>
    <x:col min="6" max="6" width="14" hidden="0" customWidth="1"/>
    <x:col min="7" max="7" width="22" hidden="0" customWidth="1"/>
    <x:col min="8" max="8" width="48" hidden="0" customWidth="1"/>
  </x:cols>
  <x:sheetData>
    <x:row r="2">
      <x:c r="B2" s="3" t="str">
        <x:v>Twelve-stage capacity standard</x:v>
      </x:c>
      <x:c r="C2" s="2"/>
      <x:c r="D2" s="2"/>
      <x:c r="E2" s="2"/>
      <x:c r="F2" s="2"/>
      <x:c r="G2" s="2"/>
      <x:c r="H2" s="2"/>
    </x:row>
    <x:row r="3">
      <x:c r="B3" s="4" t="str">
        <x:v>The model separates gates and physical lot-equivalent capacities while retaining one conserved family mission-service lot.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Stage</x:v>
      </x:c>
      <x:c r="C6" s="20" t="str">
        <x:v>State transition</x:v>
      </x:c>
      <x:c r="D6" s="20" t="str">
        <x:v>Capacity unit</x:v>
      </x:c>
      <x:c r="E6" s="20" t="str">
        <x:v>M05 factor</x:v>
      </x:c>
      <x:c r="F6" s="20" t="str">
        <x:v>M06 factor</x:v>
      </x:c>
      <x:c r="G6" s="20" t="str">
        <x:v>M06 / M05 retention</x:v>
      </x:c>
      <x:c r="H6" s="20" t="str">
        <x:v>Admission condition</x:v>
      </x:c>
    </x:row>
    <x:row r="7" ht="34" customHeight="1">
      <x:c r="B7" s="35" t="n">
        <x:v>1</x:v>
      </x:c>
      <x:c r="C7" s="35" t="str">
        <x:v>Alert authentication</x:v>
      </x:c>
      <x:c r="D7" s="35" t="str">
        <x:v>gate</x:v>
      </x:c>
      <x:c r="E7" s="36" t="n">
        <x:v>0.75</x:v>
      </x:c>
      <x:c r="F7" s="36" t="n">
        <x:v>0.6</x:v>
      </x:c>
      <x:c r="G7" s="36" t="n">
        <x:f>F7/E7</x:f>
        <x:v>0.7999999999999999</x:v>
      </x:c>
      <x:c r="H7" s="37" t="str">
        <x:v>valid order and common chronology</x:v>
      </x:c>
    </x:row>
    <x:row r="8" ht="34" customHeight="1">
      <x:c r="B8" s="35" t="n">
        <x:v>2</x:v>
      </x:c>
      <x:c r="C8" s="35" t="str">
        <x:v>Workforce muster</x:v>
      </x:c>
      <x:c r="D8" s="35" t="str">
        <x:v>lot-equivalent teams</x:v>
      </x:c>
      <x:c r="E8" s="36" t="n">
        <x:v>0.8</x:v>
      </x:c>
      <x:c r="F8" s="36" t="n">
        <x:v>0.65</x:v>
      </x:c>
      <x:c r="G8" s="36" t="n">
        <x:f>F8/E8</x:f>
        <x:v>0.8125</x:v>
      </x:c>
      <x:c r="H8" s="37" t="str">
        <x:v>qualified roles without double assignment</x:v>
      </x:c>
    </x:row>
    <x:row r="9" ht="34" customHeight="1">
      <x:c r="B9" s="35" t="n">
        <x:v>3</x:v>
      </x:c>
      <x:c r="C9" s="35" t="str">
        <x:v>Facility utility and safe start</x:v>
      </x:c>
      <x:c r="D9" s="35" t="str">
        <x:v>facility-start sets</x:v>
      </x:c>
      <x:c r="E9" s="36" t="n">
        <x:v>0.7</x:v>
      </x:c>
      <x:c r="F9" s="36" t="n">
        <x:v>0.55</x:v>
      </x:c>
      <x:c r="G9" s="36" t="n">
        <x:f>F9/E9</x:f>
        <x:v>0.7857142857142858</x:v>
      </x:c>
      <x:c r="H9" s="37" t="str">
        <x:v>lawful islanded operation</x:v>
      </x:c>
    </x:row>
    <x:row r="10" ht="34" customHeight="1">
      <x:c r="B10" s="35" t="n">
        <x:v>4</x:v>
      </x:c>
      <x:c r="C10" s="35" t="str">
        <x:v>Material tooling and instrument release</x:v>
      </x:c>
      <x:c r="D10" s="35" t="str">
        <x:v>released lot sets</x:v>
      </x:c>
      <x:c r="E10" s="36" t="n">
        <x:v>0.75</x:v>
      </x:c>
      <x:c r="F10" s="36" t="n">
        <x:v>0.55</x:v>
      </x:c>
      <x:c r="G10" s="36" t="n">
        <x:f>F10/E10</x:f>
        <x:v>0.7333333333333334</x:v>
      </x:c>
      <x:c r="H10" s="37" t="str">
        <x:v>serial means enter custody</x:v>
      </x:c>
    </x:row>
    <x:row r="11" ht="34" customHeight="1">
      <x:c r="B11" s="35" t="n">
        <x:v>5</x:v>
      </x:c>
      <x:c r="C11" s="35" t="str">
        <x:v>Supplier and process activation</x:v>
      </x:c>
      <x:c r="D11" s="35" t="str">
        <x:v>active process paths</x:v>
      </x:c>
      <x:c r="E11" s="36" t="n">
        <x:v>0.7</x:v>
      </x:c>
      <x:c r="F11" s="36" t="n">
        <x:v>0.5</x:v>
      </x:c>
      <x:c r="G11" s="36" t="n">
        <x:f>F11/E11</x:f>
        <x:v>0.7142857142857143</x:v>
      </x:c>
      <x:c r="H11" s="37" t="str">
        <x:v>independent root operates</x:v>
      </x:c>
    </x:row>
    <x:row r="12" ht="34" customHeight="1">
      <x:c r="B12" s="35" t="n">
        <x:v>6</x:v>
      </x:c>
      <x:c r="C12" s="35" t="str">
        <x:v>Conforming production</x:v>
      </x:c>
      <x:c r="D12" s="35" t="str">
        <x:v>candidate lots</x:v>
      </x:c>
      <x:c r="E12" s="36" t="n">
        <x:v>0.7</x:v>
      </x:c>
      <x:c r="F12" s="36" t="n">
        <x:v>0.5</x:v>
      </x:c>
      <x:c r="G12" s="36" t="n">
        <x:f>F12/E12</x:f>
        <x:v>0.7142857142857143</x:v>
      </x:c>
      <x:c r="H12" s="37" t="str">
        <x:v>yield and configuration close</x:v>
      </x:c>
    </x:row>
    <x:row r="13" ht="34" customHeight="1">
      <x:c r="B13" s="35" t="n">
        <x:v>7</x:v>
      </x:c>
      <x:c r="C13" s="35" t="str">
        <x:v>Independent acceptance</x:v>
      </x:c>
      <x:c r="D13" s="35" t="str">
        <x:v>accepted lots</x:v>
      </x:c>
      <x:c r="E13" s="36" t="n">
        <x:v>0.8</x:v>
      </x:c>
      <x:c r="F13" s="36" t="n">
        <x:v>0.65</x:v>
      </x:c>
      <x:c r="G13" s="36" t="n">
        <x:f>F13/E13</x:f>
        <x:v>0.8125</x:v>
      </x:c>
      <x:c r="H13" s="37" t="str">
        <x:v>method uncertainty and custody close</x:v>
      </x:c>
    </x:row>
    <x:row r="14" ht="34" customHeight="1">
      <x:c r="B14" s="35" t="n">
        <x:v>8</x:v>
      </x:c>
      <x:c r="C14" s="35" t="str">
        <x:v>Loadout and custody transfer</x:v>
      </x:c>
      <x:c r="D14" s="35" t="str">
        <x:v>loaded lots</x:v>
      </x:c>
      <x:c r="E14" s="36" t="n">
        <x:v>0.65</x:v>
      </x:c>
      <x:c r="F14" s="36" t="n">
        <x:v>0.5</x:v>
      </x:c>
      <x:c r="G14" s="36" t="n">
        <x:f>F14/E14</x:f>
        <x:v>0.7692307692307692</x:v>
      </x:c>
      <x:c r="H14" s="37" t="str">
        <x:v>configuration survives loadout</x:v>
      </x:c>
    </x:row>
    <x:row r="15" ht="34" customHeight="1">
      <x:c r="B15" s="35" t="n">
        <x:v>9</x:v>
      </x:c>
      <x:c r="C15" s="35" t="str">
        <x:v>Strategic transport</x:v>
      </x:c>
      <x:c r="D15" s="35" t="str">
        <x:v>arrived lots</x:v>
      </x:c>
      <x:c r="E15" s="36" t="n">
        <x:v>0.65</x:v>
      </x:c>
      <x:c r="F15" s="36" t="n">
        <x:v>0.5</x:v>
      </x:c>
      <x:c r="G15" s="36" t="n">
        <x:f>F15/E15</x:f>
        <x:v>0.7692307692307692</x:v>
      </x:c>
      <x:c r="H15" s="37" t="str">
        <x:v>same lots cross damaged routes</x:v>
      </x:c>
    </x:row>
    <x:row r="16" ht="34" customHeight="1">
      <x:c r="B16" s="35" t="n">
        <x:v>10</x:v>
      </x:c>
      <x:c r="C16" s="35" t="str">
        <x:v>Receiving-node admission</x:v>
      </x:c>
      <x:c r="D16" s="35" t="str">
        <x:v>admitted lots</x:v>
      </x:c>
      <x:c r="E16" s="36" t="n">
        <x:v>0.75</x:v>
      </x:c>
      <x:c r="F16" s="36" t="n">
        <x:v>0.6</x:v>
      </x:c>
      <x:c r="G16" s="36" t="n">
        <x:f>F16/E16</x:f>
        <x:v>0.7999999999999999</x:v>
      </x:c>
      <x:c r="H16" s="37" t="str">
        <x:v>receiver consents and accepts burden</x:v>
      </x:c>
    </x:row>
    <x:row r="17" ht="34" customHeight="1">
      <x:c r="B17" s="35" t="n">
        <x:v>11</x:v>
      </x:c>
      <x:c r="C17" s="35" t="str">
        <x:v>Commissioned public service</x:v>
      </x:c>
      <x:c r="D17" s="35" t="str">
        <x:v>service lots</x:v>
      </x:c>
      <x:c r="E17" s="36" t="n">
        <x:v>0.7</x:v>
      </x:c>
      <x:c r="F17" s="36" t="n">
        <x:v>0.55</x:v>
      </x:c>
      <x:c r="G17" s="36" t="n">
        <x:f>F17/E17</x:f>
        <x:v>0.7857142857142858</x:v>
      </x:c>
      <x:c r="H17" s="37" t="str">
        <x:v>measured civil effect exists</x:v>
      </x:c>
    </x:row>
    <x:row r="18" ht="34" customHeight="1">
      <x:c r="B18" s="38" t="n">
        <x:v>12</x:v>
      </x:c>
      <x:c r="C18" s="38" t="str">
        <x:v>Regeneration and replacement</x:v>
      </x:c>
      <x:c r="D18" s="38" t="str">
        <x:v>restored lots</x:v>
      </x:c>
      <x:c r="E18" s="39" t="n">
        <x:v>0.7</x:v>
      </x:c>
      <x:c r="F18" s="39" t="n">
        <x:v>0.5</x:v>
      </x:c>
      <x:c r="G18" s="39" t="n">
        <x:f>F18/E18</x:f>
        <x:v>0.7142857142857143</x:v>
      </x:c>
      <x:c r="H18" s="40" t="str">
        <x:v>line and protected reserve return ready</x:v>
      </x:c>
    </x:row>
    <x:row r="19">
      <x:c r="B19" s="2"/>
      <x:c r="C19" s="2"/>
      <x:c r="D19" s="2"/>
      <x:c r="E19" s="2"/>
      <x:c r="F19" s="2"/>
      <x:c r="G19" s="2"/>
      <x:c r="H19" s="2"/>
    </x:row>
    <x:row r="20">
      <x:c r="B20" s="2"/>
      <x:c r="C20" s="2"/>
      <x:c r="D20" s="2"/>
      <x:c r="E20" s="2"/>
      <x:c r="F20" s="2"/>
      <x:c r="G20" s="2"/>
      <x:c r="H20" s="2"/>
    </x:row>
    <x:row r="21">
      <x:c r="B21" s="2"/>
      <x:c r="C21" s="2"/>
      <x:c r="D21" s="2"/>
      <x:c r="E21" s="2"/>
      <x:c r="F21" s="2"/>
      <x:c r="G21" s="2"/>
      <x:c r="H21" s="2"/>
    </x:row>
    <x:row r="22">
      <x:c r="B22" s="2"/>
      <x:c r="C22" s="2"/>
      <x:c r="D22" s="2"/>
      <x:c r="E22" s="2"/>
      <x:c r="F22" s="2"/>
      <x:c r="G22" s="2"/>
      <x:c r="H22" s="2"/>
    </x:row>
    <x:row r="23">
      <x:c r="B23" s="2"/>
      <x:c r="C23" s="2"/>
      <x:c r="D23" s="2"/>
      <x:c r="E23" s="2"/>
      <x:c r="F23" s="2"/>
      <x:c r="G23" s="2"/>
      <x:c r="H23" s="2"/>
    </x:row>
    <x:row r="24">
      <x:c r="B24" s="2"/>
      <x:c r="C24" s="2"/>
      <x:c r="D24" s="2"/>
      <x:c r="E24" s="2"/>
      <x:c r="F24" s="2"/>
      <x:c r="G24" s="2"/>
      <x:c r="H24" s="2"/>
    </x:row>
  </x:sheetData>
  <x:mergeCells>
    <x:mergeCell ref="B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1" hidden="0" customWidth="1"/>
    <x:col min="4" max="4" width="43" hidden="0" customWidth="1"/>
    <x:col min="5" max="5" width="28" hidden="0" customWidth="1"/>
    <x:col min="6" max="6" width="12" hidden="0" customWidth="1"/>
    <x:col min="7" max="7" width="12" hidden="0" customWidth="1"/>
    <x:col min="8" max="8" width="17" hidden="0" customWidth="1"/>
    <x:col min="9" max="9" width="18" hidden="0" customWidth="1"/>
    <x:col min="10" max="10" width="18" hidden="0" customWidth="1"/>
    <x:col min="11" max="11" width="15" hidden="0" customWidth="1"/>
    <x:col min="12" max="12" width="20" hidden="0" customWidth="1"/>
    <x:col min="13" max="13" width="16" hidden="0" customWidth="1"/>
    <x:col min="14" max="14" width="13" hidden="0" customWidth="1"/>
    <x:col min="15" max="15" width="13" hidden="0" customWidth="1"/>
  </x:cols>
  <x:sheetData>
    <x:row r="2">
      <x:c r="B2" s="3" t="str">
        <x:v>Forty-eight-family industrial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The register preserves the Pass 98 readiness classification and service ratio while separating families that require redesign from those that require continuing proof.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19" t="str">
        <x:v>Family</x:v>
      </x:c>
      <x:c r="C6" s="20" t="str">
        <x:v>Portfolio</x:v>
      </x:c>
      <x:c r="D6" s="20" t="str">
        <x:v>Capability family</x:v>
      </x:c>
      <x:c r="E6" s="20" t="str">
        <x:v>Lot archetype</x:v>
      </x:c>
      <x:c r="F6" s="20" t="str">
        <x:v>Readiness</x:v>
      </x:c>
      <x:c r="G6" s="20" t="str">
        <x:v>Base lots</x:v>
      </x:c>
      <x:c r="H6" s="20" t="str">
        <x:v>Deadline hours</x:v>
      </x:c>
      <x:c r="I6" s="20" t="str">
        <x:v>Reserve margin</x:v>
      </x:c>
      <x:c r="J6" s="20" t="str">
        <x:v>Pass 98 M05 ratio</x:v>
      </x:c>
      <x:c r="K6" s="20" t="str">
        <x:v>M05 state</x:v>
      </x:c>
      <x:c r="L6" s="20" t="str">
        <x:v>Redesign</x:v>
      </x:c>
      <x:c r="M6" s="20" t="str">
        <x:v>Cost scale USD B</x:v>
      </x:c>
      <x:c r="N6" s="20" t="str">
        <x:v>Evidence</x:v>
      </x:c>
      <x:c r="O6" s="20" t="str">
        <x:v>Decision</x:v>
      </x:c>
    </x:row>
    <x:row r="7">
      <x:c r="B7" s="21" t="str">
        <x:v>F01</x:v>
      </x:c>
      <x:c r="C7" s="21" t="str">
        <x:v>P01</x:v>
      </x:c>
      <x:c r="D7" s="21" t="str">
        <x:v>Civil coordination node</x:v>
      </x:c>
      <x:c r="E7" s="21" t="str">
        <x:v>Command-and-data set</x:v>
      </x:c>
      <x:c r="F7" s="21" t="str">
        <x:v>H1</x:v>
      </x:c>
      <x:c r="G7" s="42" t="n">
        <x:v>12</x:v>
      </x:c>
      <x:c r="H7" s="42" t="n">
        <x:v>168</x:v>
      </x:c>
      <x:c r="I7" s="42" t="n">
        <x:v>1.6</x:v>
      </x:c>
      <x:c r="J7" s="42" t="n">
        <x:v>1</x:v>
      </x:c>
      <x:c r="K7" s="21" t="str">
        <x:v>ADEQUATE</x:v>
      </x:c>
      <x:c r="L7" s="21" t="str">
        <x:v>MONITOR</x:v>
      </x:c>
      <x:c r="M7" s="21" t="n">
        <x:v>18</x:v>
      </x:c>
      <x:c r="N7" s="21" t="str">
        <x:v>OPEN</x:v>
      </x:c>
      <x:c r="O7" s="23" t="str">
        <x:v>HOLD</x:v>
      </x:c>
    </x:row>
    <x:row r="8">
      <x:c r="B8" s="21" t="str">
        <x:v>F02</x:v>
      </x:c>
      <x:c r="C8" s="21" t="str">
        <x:v>P01</x:v>
      </x:c>
      <x:c r="D8" s="21" t="str">
        <x:v>Common operating-picture mesh</x:v>
      </x:c>
      <x:c r="E8" s="21" t="str">
        <x:v>Command-and-data set</x:v>
      </x:c>
      <x:c r="F8" s="21" t="str">
        <x:v>H1</x:v>
      </x:c>
      <x:c r="G8" s="42" t="n">
        <x:v>12</x:v>
      </x:c>
      <x:c r="H8" s="42" t="n">
        <x:v>168</x:v>
      </x:c>
      <x:c r="I8" s="42" t="n">
        <x:v>1.6</x:v>
      </x:c>
      <x:c r="J8" s="42" t="n">
        <x:v>1</x:v>
      </x:c>
      <x:c r="K8" s="21" t="str">
        <x:v>ADEQUATE</x:v>
      </x:c>
      <x:c r="L8" s="21" t="str">
        <x:v>MONITOR</x:v>
      </x:c>
      <x:c r="M8" s="21" t="n">
        <x:v>18</x:v>
      </x:c>
      <x:c r="N8" s="21" t="str">
        <x:v>OPEN</x:v>
      </x:c>
      <x:c r="O8" s="23" t="str">
        <x:v>HOLD</x:v>
      </x:c>
    </x:row>
    <x:row r="9">
      <x:c r="B9" s="21" t="str">
        <x:v>F03</x:v>
      </x:c>
      <x:c r="C9" s="21" t="str">
        <x:v>P01</x:v>
      </x:c>
      <x:c r="D9" s="21" t="str">
        <x:v>Public warning and translation network</x:v>
      </x:c>
      <x:c r="E9" s="21" t="str">
        <x:v>Command-and-data set</x:v>
      </x:c>
      <x:c r="F9" s="21" t="str">
        <x:v>H1</x:v>
      </x:c>
      <x:c r="G9" s="42" t="n">
        <x:v>12</x:v>
      </x:c>
      <x:c r="H9" s="42" t="n">
        <x:v>168</x:v>
      </x:c>
      <x:c r="I9" s="42" t="n">
        <x:v>1.6</x:v>
      </x:c>
      <x:c r="J9" s="42" t="n">
        <x:v>1</x:v>
      </x:c>
      <x:c r="K9" s="21" t="str">
        <x:v>ADEQUATE</x:v>
      </x:c>
      <x:c r="L9" s="21" t="str">
        <x:v>MONITOR</x:v>
      </x:c>
      <x:c r="M9" s="21" t="n">
        <x:v>18</x:v>
      </x:c>
      <x:c r="N9" s="21" t="str">
        <x:v>OPEN</x:v>
      </x:c>
      <x:c r="O9" s="23" t="str">
        <x:v>HOLD</x:v>
      </x:c>
    </x:row>
    <x:row r="10">
      <x:c r="B10" s="21" t="str">
        <x:v>F04</x:v>
      </x:c>
      <x:c r="C10" s="21" t="str">
        <x:v>P01</x:v>
      </x:c>
      <x:c r="D10" s="21" t="str">
        <x:v>Evidence and identity continuity system</x:v>
      </x:c>
      <x:c r="E10" s="21" t="str">
        <x:v>Command-and-data set</x:v>
      </x:c>
      <x:c r="F10" s="21" t="str">
        <x:v>H1</x:v>
      </x:c>
      <x:c r="G10" s="42" t="n">
        <x:v>12</x:v>
      </x:c>
      <x:c r="H10" s="42" t="n">
        <x:v>168</x:v>
      </x:c>
      <x:c r="I10" s="42" t="n">
        <x:v>1.6</x:v>
      </x:c>
      <x:c r="J10" s="42" t="n">
        <x:v>1</x:v>
      </x:c>
      <x:c r="K10" s="21" t="str">
        <x:v>ADEQUATE</x:v>
      </x:c>
      <x:c r="L10" s="21" t="str">
        <x:v>MONITOR</x:v>
      </x:c>
      <x:c r="M10" s="21" t="n">
        <x:v>18</x:v>
      </x:c>
      <x:c r="N10" s="21" t="str">
        <x:v>OPEN</x:v>
      </x:c>
      <x:c r="O10" s="23" t="str">
        <x:v>HOLD</x:v>
      </x:c>
    </x:row>
    <x:row r="11">
      <x:c r="B11" s="21" t="str">
        <x:v>F05</x:v>
      </x:c>
      <x:c r="C11" s="21" t="str">
        <x:v>P02</x:v>
      </x:c>
      <x:c r="D11" s="21" t="str">
        <x:v>Rapid nutrition production cell</x:v>
      </x:c>
      <x:c r="E11" s="21" t="str">
        <x:v>Consumable production batch</x:v>
      </x:c>
      <x:c r="F11" s="21" t="str">
        <x:v>S1</x:v>
      </x:c>
      <x:c r="G11" s="42" t="n">
        <x:v>20</x:v>
      </x:c>
      <x:c r="H11" s="42" t="n">
        <x:v>336</x:v>
      </x:c>
      <x:c r="I11" s="42" t="n">
        <x:v>1.45</x:v>
      </x:c>
      <x:c r="J11" s="42" t="n">
        <x:v>0.9425000000000001</x:v>
      </x:c>
      <x:c r="K11" s="21" t="str">
        <x:v>GAP</x:v>
      </x:c>
      <x:c r="L11" s="21" t="str">
        <x:v>REQUIRED</x:v>
      </x:c>
      <x:c r="M11" s="21" t="n">
        <x:v>16</x:v>
      </x:c>
      <x:c r="N11" s="21" t="str">
        <x:v>OPEN</x:v>
      </x:c>
      <x:c r="O11" s="23" t="str">
        <x:v>HOLD</x:v>
      </x:c>
    </x:row>
    <x:row r="12">
      <x:c r="B12" s="21" t="str">
        <x:v>F06</x:v>
      </x:c>
      <x:c r="C12" s="21" t="str">
        <x:v>P02</x:v>
      </x:c>
      <x:c r="D12" s="21" t="str">
        <x:v>Cold-chain preservation lattice</x:v>
      </x:c>
      <x:c r="E12" s="21" t="str">
        <x:v>Consumable production batch</x:v>
      </x:c>
      <x:c r="F12" s="21" t="str">
        <x:v>S1</x:v>
      </x:c>
      <x:c r="G12" s="42" t="n">
        <x:v>20</x:v>
      </x:c>
      <x:c r="H12" s="42" t="n">
        <x:v>336</x:v>
      </x:c>
      <x:c r="I12" s="42" t="n">
        <x:v>1.45</x:v>
      </x:c>
      <x:c r="J12" s="42" t="n">
        <x:v>0.9425000000000001</x:v>
      </x:c>
      <x:c r="K12" s="21" t="str">
        <x:v>GAP</x:v>
      </x:c>
      <x:c r="L12" s="21" t="str">
        <x:v>REQUIRED</x:v>
      </x:c>
      <x:c r="M12" s="21" t="n">
        <x:v>16</x:v>
      </x:c>
      <x:c r="N12" s="21" t="str">
        <x:v>OPEN</x:v>
      </x:c>
      <x:c r="O12" s="23" t="str">
        <x:v>HOLD</x:v>
      </x:c>
    </x:row>
    <x:row r="13">
      <x:c r="B13" s="21" t="str">
        <x:v>F07</x:v>
      </x:c>
      <x:c r="C13" s="21" t="str">
        <x:v>P02</x:v>
      </x:c>
      <x:c r="D13" s="21" t="str">
        <x:v>Shelter manufacturing line</x:v>
      </x:c>
      <x:c r="E13" s="21" t="str">
        <x:v>Civil works package</x:v>
      </x:c>
      <x:c r="F13" s="21" t="str">
        <x:v>W2</x:v>
      </x:c>
      <x:c r="G13" s="42" t="n">
        <x:v>8</x:v>
      </x:c>
      <x:c r="H13" s="42" t="n">
        <x:v>720</x:v>
      </x:c>
      <x:c r="I13" s="42" t="n">
        <x:v>1.3</x:v>
      </x:c>
      <x:c r="J13" s="42" t="n">
        <x:v>0.8450000000000001</x:v>
      </x:c>
      <x:c r="K13" s="21" t="str">
        <x:v>GAP</x:v>
      </x:c>
      <x:c r="L13" s="21" t="str">
        <x:v>REQUIRED</x:v>
      </x:c>
      <x:c r="M13" s="21" t="n">
        <x:v>30</x:v>
      </x:c>
      <x:c r="N13" s="21" t="str">
        <x:v>OPEN</x:v>
      </x:c>
      <x:c r="O13" s="23" t="str">
        <x:v>HOLD</x:v>
      </x:c>
    </x:row>
    <x:row r="14">
      <x:c r="B14" s="21" t="str">
        <x:v>F08</x:v>
      </x:c>
      <x:c r="C14" s="21" t="str">
        <x:v>P02</x:v>
      </x:c>
      <x:c r="D14" s="21" t="str">
        <x:v>Essential-goods fabrication cell</x:v>
      </x:c>
      <x:c r="E14" s="21" t="str">
        <x:v>Consumable production batch</x:v>
      </x:c>
      <x:c r="F14" s="21" t="str">
        <x:v>S1</x:v>
      </x:c>
      <x:c r="G14" s="42" t="n">
        <x:v>20</x:v>
      </x:c>
      <x:c r="H14" s="42" t="n">
        <x:v>336</x:v>
      </x:c>
      <x:c r="I14" s="42" t="n">
        <x:v>1.45</x:v>
      </x:c>
      <x:c r="J14" s="42" t="n">
        <x:v>0.9425000000000001</x:v>
      </x:c>
      <x:c r="K14" s="21" t="str">
        <x:v>GAP</x:v>
      </x:c>
      <x:c r="L14" s="21" t="str">
        <x:v>REQUIRED</x:v>
      </x:c>
      <x:c r="M14" s="21" t="n">
        <x:v>16</x:v>
      </x:c>
      <x:c r="N14" s="21" t="str">
        <x:v>OPEN</x:v>
      </x:c>
      <x:c r="O14" s="23" t="str">
        <x:v>HOLD</x:v>
      </x:c>
    </x:row>
    <x:row r="15">
      <x:c r="B15" s="21" t="str">
        <x:v>F09</x:v>
      </x:c>
      <x:c r="C15" s="21" t="str">
        <x:v>P02</x:v>
      </x:c>
      <x:c r="D15" s="21" t="str">
        <x:v>Mass-care distribution hub</x:v>
      </x:c>
      <x:c r="E15" s="21" t="str">
        <x:v>Distributed service cell</x:v>
      </x:c>
      <x:c r="F15" s="21" t="str">
        <x:v>H1</x:v>
      </x:c>
      <x:c r="G15" s="42" t="n">
        <x:v>12</x:v>
      </x:c>
      <x:c r="H15" s="42" t="n">
        <x:v>168</x:v>
      </x:c>
      <x:c r="I15" s="42" t="n">
        <x:v>1.6</x:v>
      </x:c>
      <x:c r="J15" s="42" t="n">
        <x:v>1</x:v>
      </x:c>
      <x:c r="K15" s="21" t="str">
        <x:v>ADEQUATE</x:v>
      </x:c>
      <x:c r="L15" s="21" t="str">
        <x:v>MONITOR</x:v>
      </x:c>
      <x:c r="M15" s="21" t="n">
        <x:v>22</x:v>
      </x:c>
      <x:c r="N15" s="21" t="str">
        <x:v>OPEN</x:v>
      </x:c>
      <x:c r="O15" s="23" t="str">
        <x:v>HOLD</x:v>
      </x:c>
    </x:row>
    <x:row r="16">
      <x:c r="B16" s="21" t="str">
        <x:v>F10</x:v>
      </x:c>
      <x:c r="C16" s="21" t="str">
        <x:v>P03</x:v>
      </x:c>
      <x:c r="D16" s="21" t="str">
        <x:v>Field acute-care hospital family</x:v>
      </x:c>
      <x:c r="E16" s="21" t="str">
        <x:v>Medical service unit</x:v>
      </x:c>
      <x:c r="F16" s="21" t="str">
        <x:v>H1</x:v>
      </x:c>
      <x:c r="G16" s="42" t="n">
        <x:v>6</x:v>
      </x:c>
      <x:c r="H16" s="42" t="n">
        <x:v>336</x:v>
      </x:c>
      <x:c r="I16" s="42" t="n">
        <x:v>1.6</x:v>
      </x:c>
      <x:c r="J16" s="42" t="n">
        <x:v>1</x:v>
      </x:c>
      <x:c r="K16" s="21" t="str">
        <x:v>ADEQUATE</x:v>
      </x:c>
      <x:c r="L16" s="21" t="str">
        <x:v>MONITOR</x:v>
      </x:c>
      <x:c r="M16" s="21" t="n">
        <x:v>28</x:v>
      </x:c>
      <x:c r="N16" s="21" t="str">
        <x:v>OPEN</x:v>
      </x:c>
      <x:c r="O16" s="23" t="str">
        <x:v>HOLD</x:v>
      </x:c>
    </x:row>
    <x:row r="17">
      <x:c r="B17" s="21" t="str">
        <x:v>F11</x:v>
      </x:c>
      <x:c r="C17" s="21" t="str">
        <x:v>P03</x:v>
      </x:c>
      <x:c r="D17" s="21" t="str">
        <x:v>Surgical and critical-care carrier</x:v>
      </x:c>
      <x:c r="E17" s="21" t="str">
        <x:v>Medical service unit</x:v>
      </x:c>
      <x:c r="F17" s="21" t="str">
        <x:v>H1</x:v>
      </x:c>
      <x:c r="G17" s="42" t="n">
        <x:v>6</x:v>
      </x:c>
      <x:c r="H17" s="42" t="n">
        <x:v>336</x:v>
      </x:c>
      <x:c r="I17" s="42" t="n">
        <x:v>1.6</x:v>
      </x:c>
      <x:c r="J17" s="42" t="n">
        <x:v>1</x:v>
      </x:c>
      <x:c r="K17" s="21" t="str">
        <x:v>ADEQUATE</x:v>
      </x:c>
      <x:c r="L17" s="21" t="str">
        <x:v>MONITOR</x:v>
      </x:c>
      <x:c r="M17" s="21" t="n">
        <x:v>28</x:v>
      </x:c>
      <x:c r="N17" s="21" t="str">
        <x:v>OPEN</x:v>
      </x:c>
      <x:c r="O17" s="23" t="str">
        <x:v>HOLD</x:v>
      </x:c>
    </x:row>
    <x:row r="18">
      <x:c r="B18" s="21" t="str">
        <x:v>F12</x:v>
      </x:c>
      <x:c r="C18" s="21" t="str">
        <x:v>P03</x:v>
      </x:c>
      <x:c r="D18" s="21" t="str">
        <x:v>Mobile diagnostic and laboratory network</x:v>
      </x:c>
      <x:c r="E18" s="21" t="str">
        <x:v>Medical service unit</x:v>
      </x:c>
      <x:c r="F18" s="21" t="str">
        <x:v>H1</x:v>
      </x:c>
      <x:c r="G18" s="42" t="n">
        <x:v>6</x:v>
      </x:c>
      <x:c r="H18" s="42" t="n">
        <x:v>336</x:v>
      </x:c>
      <x:c r="I18" s="42" t="n">
        <x:v>1.6</x:v>
      </x:c>
      <x:c r="J18" s="42" t="n">
        <x:v>1</x:v>
      </x:c>
      <x:c r="K18" s="21" t="str">
        <x:v>ADEQUATE</x:v>
      </x:c>
      <x:c r="L18" s="21" t="str">
        <x:v>MONITOR</x:v>
      </x:c>
      <x:c r="M18" s="21" t="n">
        <x:v>28</x:v>
      </x:c>
      <x:c r="N18" s="21" t="str">
        <x:v>OPEN</x:v>
      </x:c>
      <x:c r="O18" s="23" t="str">
        <x:v>HOLD</x:v>
      </x:c>
    </x:row>
    <x:row r="19">
      <x:c r="B19" s="21" t="str">
        <x:v>F13</x:v>
      </x:c>
      <x:c r="C19" s="21" t="str">
        <x:v>P03</x:v>
      </x:c>
      <x:c r="D19" s="21" t="str">
        <x:v>Pharmaceutical and biologic microfactory</x:v>
      </x:c>
      <x:c r="E19" s="21" t="str">
        <x:v>Consumable production batch</x:v>
      </x:c>
      <x:c r="F19" s="21" t="str">
        <x:v>S1</x:v>
      </x:c>
      <x:c r="G19" s="42" t="n">
        <x:v>20</x:v>
      </x:c>
      <x:c r="H19" s="42" t="n">
        <x:v>720</x:v>
      </x:c>
      <x:c r="I19" s="42" t="n">
        <x:v>1.45</x:v>
      </x:c>
      <x:c r="J19" s="42" t="n">
        <x:v>0.9425000000000001</x:v>
      </x:c>
      <x:c r="K19" s="21" t="str">
        <x:v>GAP</x:v>
      </x:c>
      <x:c r="L19" s="21" t="str">
        <x:v>REQUIRED</x:v>
      </x:c>
      <x:c r="M19" s="21" t="n">
        <x:v>16</x:v>
      </x:c>
      <x:c r="N19" s="21" t="str">
        <x:v>OPEN</x:v>
      </x:c>
      <x:c r="O19" s="23" t="str">
        <x:v>HOLD</x:v>
      </x:c>
    </x:row>
    <x:row r="20">
      <x:c r="B20" s="21" t="str">
        <x:v>F14</x:v>
      </x:c>
      <x:c r="C20" s="21" t="str">
        <x:v>P03</x:v>
      </x:c>
      <x:c r="D20" s="21" t="str">
        <x:v>Patient evacuation and isolation fleet</x:v>
      </x:c>
      <x:c r="E20" s="21" t="str">
        <x:v>Medical service unit</x:v>
      </x:c>
      <x:c r="F20" s="21" t="str">
        <x:v>H1</x:v>
      </x:c>
      <x:c r="G20" s="42" t="n">
        <x:v>6</x:v>
      </x:c>
      <x:c r="H20" s="42" t="n">
        <x:v>336</x:v>
      </x:c>
      <x:c r="I20" s="42" t="n">
        <x:v>1.6</x:v>
      </x:c>
      <x:c r="J20" s="42" t="n">
        <x:v>1</x:v>
      </x:c>
      <x:c r="K20" s="21" t="str">
        <x:v>ADEQUATE</x:v>
      </x:c>
      <x:c r="L20" s="21" t="str">
        <x:v>MONITOR</x:v>
      </x:c>
      <x:c r="M20" s="21" t="n">
        <x:v>28</x:v>
      </x:c>
      <x:c r="N20" s="21" t="str">
        <x:v>OPEN</x:v>
      </x:c>
      <x:c r="O20" s="23" t="str">
        <x:v>HOLD</x:v>
      </x:c>
    </x:row>
    <x:row r="21">
      <x:c r="B21" s="21" t="str">
        <x:v>F15</x:v>
      </x:c>
      <x:c r="C21" s="21" t="str">
        <x:v>P03</x:v>
      </x:c>
      <x:c r="D21" s="21" t="str">
        <x:v>Public-health surveillance grid</x:v>
      </x:c>
      <x:c r="E21" s="21" t="str">
        <x:v>Medical service unit</x:v>
      </x:c>
      <x:c r="F21" s="21" t="str">
        <x:v>H1</x:v>
      </x:c>
      <x:c r="G21" s="42" t="n">
        <x:v>6</x:v>
      </x:c>
      <x:c r="H21" s="42" t="n">
        <x:v>336</x:v>
      </x:c>
      <x:c r="I21" s="42" t="n">
        <x:v>1.6</x:v>
      </x:c>
      <x:c r="J21" s="42" t="n">
        <x:v>1</x:v>
      </x:c>
      <x:c r="K21" s="21" t="str">
        <x:v>ADEQUATE</x:v>
      </x:c>
      <x:c r="L21" s="21" t="str">
        <x:v>MONITOR</x:v>
      </x:c>
      <x:c r="M21" s="21" t="n">
        <x:v>28</x:v>
      </x:c>
      <x:c r="N21" s="21" t="str">
        <x:v>OPEN</x:v>
      </x:c>
      <x:c r="O21" s="23" t="str">
        <x:v>HOLD</x:v>
      </x:c>
    </x:row>
    <x:row r="22">
      <x:c r="B22" s="21" t="str">
        <x:v>F16</x:v>
      </x:c>
      <x:c r="C22" s="21" t="str">
        <x:v>P04</x:v>
      </x:c>
      <x:c r="D22" s="21" t="str">
        <x:v>Deployable grid-forming power station</x:v>
      </x:c>
      <x:c r="E22" s="21" t="str">
        <x:v>Utility service block</x:v>
      </x:c>
      <x:c r="F22" s="21" t="str">
        <x:v>H1</x:v>
      </x:c>
      <x:c r="G22" s="42" t="n">
        <x:v>4</x:v>
      </x:c>
      <x:c r="H22" s="42" t="n">
        <x:v>336</x:v>
      </x:c>
      <x:c r="I22" s="42" t="n">
        <x:v>1.6</x:v>
      </x:c>
      <x:c r="J22" s="42" t="n">
        <x:v>1</x:v>
      </x:c>
      <x:c r="K22" s="21" t="str">
        <x:v>ADEQUATE</x:v>
      </x:c>
      <x:c r="L22" s="21" t="str">
        <x:v>MONITOR</x:v>
      </x:c>
      <x:c r="M22" s="21" t="n">
        <x:v>38</x:v>
      </x:c>
      <x:c r="N22" s="21" t="str">
        <x:v>OPEN</x:v>
      </x:c>
      <x:c r="O22" s="23" t="str">
        <x:v>HOLD</x:v>
      </x:c>
    </x:row>
    <x:row r="23">
      <x:c r="B23" s="21" t="str">
        <x:v>F17</x:v>
      </x:c>
      <x:c r="C23" s="21" t="str">
        <x:v>P04</x:v>
      </x:c>
      <x:c r="D23" s="21" t="str">
        <x:v>Mobile nuclear energy station</x:v>
      </x:c>
      <x:c r="E23" s="21" t="str">
        <x:v>Utility service block</x:v>
      </x:c>
      <x:c r="F23" s="21" t="str">
        <x:v>S1</x:v>
      </x:c>
      <x:c r="G23" s="42" t="n">
        <x:v>4</x:v>
      </x:c>
      <x:c r="H23" s="42" t="n">
        <x:v>720</x:v>
      </x:c>
      <x:c r="I23" s="42" t="n">
        <x:v>1.45</x:v>
      </x:c>
      <x:c r="J23" s="42" t="n">
        <x:v>0.9425</x:v>
      </x:c>
      <x:c r="K23" s="21" t="str">
        <x:v>GAP</x:v>
      </x:c>
      <x:c r="L23" s="21" t="str">
        <x:v>REQUIRED</x:v>
      </x:c>
      <x:c r="M23" s="21" t="n">
        <x:v>38</x:v>
      </x:c>
      <x:c r="N23" s="21" t="str">
        <x:v>OPEN</x:v>
      </x:c>
      <x:c r="O23" s="23" t="str">
        <x:v>HOLD</x:v>
      </x:c>
    </x:row>
    <x:row r="24">
      <x:c r="B24" s="21" t="str">
        <x:v>F18</x:v>
      </x:c>
      <x:c r="C24" s="21" t="str">
        <x:v>P04</x:v>
      </x:c>
      <x:c r="D24" s="21" t="str">
        <x:v>Long-duration storage module</x:v>
      </x:c>
      <x:c r="E24" s="21" t="str">
        <x:v>Utility service block</x:v>
      </x:c>
      <x:c r="F24" s="21" t="str">
        <x:v>S1</x:v>
      </x:c>
      <x:c r="G24" s="42" t="n">
        <x:v>4</x:v>
      </x:c>
      <x:c r="H24" s="42" t="n">
        <x:v>720</x:v>
      </x:c>
      <x:c r="I24" s="42" t="n">
        <x:v>1.45</x:v>
      </x:c>
      <x:c r="J24" s="42" t="n">
        <x:v>0.9425</x:v>
      </x:c>
      <x:c r="K24" s="21" t="str">
        <x:v>GAP</x:v>
      </x:c>
      <x:c r="L24" s="21" t="str">
        <x:v>REQUIRED</x:v>
      </x:c>
      <x:c r="M24" s="21" t="n">
        <x:v>38</x:v>
      </x:c>
      <x:c r="N24" s="21" t="str">
        <x:v>OPEN</x:v>
      </x:c>
      <x:c r="O24" s="23" t="str">
        <x:v>HOLD</x:v>
      </x:c>
    </x:row>
    <x:row r="25">
      <x:c r="B25" s="21" t="str">
        <x:v>F19</x:v>
      </x:c>
      <x:c r="C25" s="21" t="str">
        <x:v>P04</x:v>
      </x:c>
      <x:c r="D25" s="21" t="str">
        <x:v>District thermal utility</x:v>
      </x:c>
      <x:c r="E25" s="21" t="str">
        <x:v>Utility service block</x:v>
      </x:c>
      <x:c r="F25" s="21" t="str">
        <x:v>H1</x:v>
      </x:c>
      <x:c r="G25" s="42" t="n">
        <x:v>4</x:v>
      </x:c>
      <x:c r="H25" s="42" t="n">
        <x:v>336</x:v>
      </x:c>
      <x:c r="I25" s="42" t="n">
        <x:v>1.6</x:v>
      </x:c>
      <x:c r="J25" s="42" t="n">
        <x:v>1</x:v>
      </x:c>
      <x:c r="K25" s="21" t="str">
        <x:v>ADEQUATE</x:v>
      </x:c>
      <x:c r="L25" s="21" t="str">
        <x:v>MONITOR</x:v>
      </x:c>
      <x:c r="M25" s="21" t="n">
        <x:v>38</x:v>
      </x:c>
      <x:c r="N25" s="21" t="str">
        <x:v>OPEN</x:v>
      </x:c>
      <x:c r="O25" s="23" t="str">
        <x:v>HOLD</x:v>
      </x:c>
    </x:row>
    <x:row r="26">
      <x:c r="B26" s="21" t="str">
        <x:v>F20</x:v>
      </x:c>
      <x:c r="C26" s="21" t="str">
        <x:v>P04</x:v>
      </x:c>
      <x:c r="D26" s="21" t="str">
        <x:v>Fuel synthesis and distribution train</x:v>
      </x:c>
      <x:c r="E26" s="21" t="str">
        <x:v>Consumable production batch</x:v>
      </x:c>
      <x:c r="F26" s="21" t="str">
        <x:v>W2</x:v>
      </x:c>
      <x:c r="G26" s="42" t="n">
        <x:v>8</x:v>
      </x:c>
      <x:c r="H26" s="42" t="n">
        <x:v>1440</x:v>
      </x:c>
      <x:c r="I26" s="42" t="n">
        <x:v>1.3</x:v>
      </x:c>
      <x:c r="J26" s="42" t="n">
        <x:v>0.8450000000000001</x:v>
      </x:c>
      <x:c r="K26" s="21" t="str">
        <x:v>GAP</x:v>
      </x:c>
      <x:c r="L26" s="21" t="str">
        <x:v>REQUIRED</x:v>
      </x:c>
      <x:c r="M26" s="21" t="n">
        <x:v>16</x:v>
      </x:c>
      <x:c r="N26" s="21" t="str">
        <x:v>OPEN</x:v>
      </x:c>
      <x:c r="O26" s="23" t="str">
        <x:v>HOLD</x:v>
      </x:c>
    </x:row>
    <x:row r="27">
      <x:c r="B27" s="21" t="str">
        <x:v>F21</x:v>
      </x:c>
      <x:c r="C27" s="21" t="str">
        <x:v>P04</x:v>
      </x:c>
      <x:c r="D27" s="21" t="str">
        <x:v>Grid restoration and line-deployment system</x:v>
      </x:c>
      <x:c r="E27" s="21" t="str">
        <x:v>Civil works package</x:v>
      </x:c>
      <x:c r="F27" s="21" t="str">
        <x:v>S1</x:v>
      </x:c>
      <x:c r="G27" s="42" t="n">
        <x:v>8</x:v>
      </x:c>
      <x:c r="H27" s="42" t="n">
        <x:v>720</x:v>
      </x:c>
      <x:c r="I27" s="42" t="n">
        <x:v>1.45</x:v>
      </x:c>
      <x:c r="J27" s="42" t="n">
        <x:v>0.9425</x:v>
      </x:c>
      <x:c r="K27" s="21" t="str">
        <x:v>GAP</x:v>
      </x:c>
      <x:c r="L27" s="21" t="str">
        <x:v>REQUIRED</x:v>
      </x:c>
      <x:c r="M27" s="21" t="n">
        <x:v>30</x:v>
      </x:c>
      <x:c r="N27" s="21" t="str">
        <x:v>OPEN</x:v>
      </x:c>
      <x:c r="O27" s="23" t="str">
        <x:v>HOLD</x:v>
      </x:c>
    </x:row>
    <x:row r="28">
      <x:c r="B28" s="21" t="str">
        <x:v>F22</x:v>
      </x:c>
      <x:c r="C28" s="21" t="str">
        <x:v>P05</x:v>
      </x:c>
      <x:c r="D28" s="21" t="str">
        <x:v>Stratospheric communications platform</x:v>
      </x:c>
      <x:c r="E28" s="21" t="str">
        <x:v>Command-and-data set</x:v>
      </x:c>
      <x:c r="F28" s="21" t="str">
        <x:v>H1</x:v>
      </x:c>
      <x:c r="G28" s="42" t="n">
        <x:v>12</x:v>
      </x:c>
      <x:c r="H28" s="42" t="n">
        <x:v>168</x:v>
      </x:c>
      <x:c r="I28" s="42" t="n">
        <x:v>1.6</x:v>
      </x:c>
      <x:c r="J28" s="42" t="n">
        <x:v>1</x:v>
      </x:c>
      <x:c r="K28" s="21" t="str">
        <x:v>ADEQUATE</x:v>
      </x:c>
      <x:c r="L28" s="21" t="str">
        <x:v>MONITOR</x:v>
      </x:c>
      <x:c r="M28" s="21" t="n">
        <x:v>18</x:v>
      </x:c>
      <x:c r="N28" s="21" t="str">
        <x:v>OPEN</x:v>
      </x:c>
      <x:c r="O28" s="23" t="str">
        <x:v>HOLD</x:v>
      </x:c>
    </x:row>
    <x:row r="29">
      <x:c r="B29" s="21" t="str">
        <x:v>F23</x:v>
      </x:c>
      <x:c r="C29" s="21" t="str">
        <x:v>P05</x:v>
      </x:c>
      <x:c r="D29" s="21" t="str">
        <x:v>Terrestrial recovery mesh</x:v>
      </x:c>
      <x:c r="E29" s="21" t="str">
        <x:v>Command-and-data set</x:v>
      </x:c>
      <x:c r="F29" s="21" t="str">
        <x:v>H1</x:v>
      </x:c>
      <x:c r="G29" s="42" t="n">
        <x:v>12</x:v>
      </x:c>
      <x:c r="H29" s="42" t="n">
        <x:v>168</x:v>
      </x:c>
      <x:c r="I29" s="42" t="n">
        <x:v>1.6</x:v>
      </x:c>
      <x:c r="J29" s="42" t="n">
        <x:v>1</x:v>
      </x:c>
      <x:c r="K29" s="21" t="str">
        <x:v>ADEQUATE</x:v>
      </x:c>
      <x:c r="L29" s="21" t="str">
        <x:v>MONITOR</x:v>
      </x:c>
      <x:c r="M29" s="21" t="n">
        <x:v>18</x:v>
      </x:c>
      <x:c r="N29" s="21" t="str">
        <x:v>OPEN</x:v>
      </x:c>
      <x:c r="O29" s="23" t="str">
        <x:v>HOLD</x:v>
      </x:c>
    </x:row>
    <x:row r="30">
      <x:c r="B30" s="21" t="str">
        <x:v>F24</x:v>
      </x:c>
      <x:c r="C30" s="21" t="str">
        <x:v>P05</x:v>
      </x:c>
      <x:c r="D30" s="21" t="str">
        <x:v>Civil compute and data-continuity cloudlet</x:v>
      </x:c>
      <x:c r="E30" s="21" t="str">
        <x:v>Command-and-data set</x:v>
      </x:c>
      <x:c r="F30" s="21" t="str">
        <x:v>H1</x:v>
      </x:c>
      <x:c r="G30" s="42" t="n">
        <x:v>12</x:v>
      </x:c>
      <x:c r="H30" s="42" t="n">
        <x:v>168</x:v>
      </x:c>
      <x:c r="I30" s="42" t="n">
        <x:v>1.6</x:v>
      </x:c>
      <x:c r="J30" s="42" t="n">
        <x:v>1</x:v>
      </x:c>
      <x:c r="K30" s="21" t="str">
        <x:v>ADEQUATE</x:v>
      </x:c>
      <x:c r="L30" s="21" t="str">
        <x:v>MONITOR</x:v>
      </x:c>
      <x:c r="M30" s="21" t="n">
        <x:v>18</x:v>
      </x:c>
      <x:c r="N30" s="21" t="str">
        <x:v>OPEN</x:v>
      </x:c>
      <x:c r="O30" s="23" t="str">
        <x:v>HOLD</x:v>
      </x:c>
    </x:row>
    <x:row r="31">
      <x:c r="B31" s="21" t="str">
        <x:v>F25</x:v>
      </x:c>
      <x:c r="C31" s="21" t="str">
        <x:v>P05</x:v>
      </x:c>
      <x:c r="D31" s="21" t="str">
        <x:v>Spectrum recovery and public-access node</x:v>
      </x:c>
      <x:c r="E31" s="21" t="str">
        <x:v>Command-and-data set</x:v>
      </x:c>
      <x:c r="F31" s="21" t="str">
        <x:v>H1</x:v>
      </x:c>
      <x:c r="G31" s="42" t="n">
        <x:v>12</x:v>
      </x:c>
      <x:c r="H31" s="42" t="n">
        <x:v>168</x:v>
      </x:c>
      <x:c r="I31" s="42" t="n">
        <x:v>1.6</x:v>
      </x:c>
      <x:c r="J31" s="42" t="n">
        <x:v>1</x:v>
      </x:c>
      <x:c r="K31" s="21" t="str">
        <x:v>ADEQUATE</x:v>
      </x:c>
      <x:c r="L31" s="21" t="str">
        <x:v>MONITOR</x:v>
      </x:c>
      <x:c r="M31" s="21" t="n">
        <x:v>18</x:v>
      </x:c>
      <x:c r="N31" s="21" t="str">
        <x:v>OPEN</x:v>
      </x:c>
      <x:c r="O31" s="23" t="str">
        <x:v>HOLD</x:v>
      </x:c>
    </x:row>
    <x:row r="32">
      <x:c r="B32" s="21" t="str">
        <x:v>F26</x:v>
      </x:c>
      <x:c r="C32" s="21" t="str">
        <x:v>P05</x:v>
      </x:c>
      <x:c r="D32" s="21" t="str">
        <x:v>Position navigation and time restoration lattice</x:v>
      </x:c>
      <x:c r="E32" s="21" t="str">
        <x:v>Command-and-data set</x:v>
      </x:c>
      <x:c r="F32" s="21" t="str">
        <x:v>H1</x:v>
      </x:c>
      <x:c r="G32" s="42" t="n">
        <x:v>12</x:v>
      </x:c>
      <x:c r="H32" s="42" t="n">
        <x:v>168</x:v>
      </x:c>
      <x:c r="I32" s="42" t="n">
        <x:v>1.6</x:v>
      </x:c>
      <x:c r="J32" s="42" t="n">
        <x:v>1</x:v>
      </x:c>
      <x:c r="K32" s="21" t="str">
        <x:v>ADEQUATE</x:v>
      </x:c>
      <x:c r="L32" s="21" t="str">
        <x:v>MONITOR</x:v>
      </x:c>
      <x:c r="M32" s="21" t="n">
        <x:v>18</x:v>
      </x:c>
      <x:c r="N32" s="21" t="str">
        <x:v>OPEN</x:v>
      </x:c>
      <x:c r="O32" s="23" t="str">
        <x:v>HOLD</x:v>
      </x:c>
    </x:row>
    <x:row r="33">
      <x:c r="B33" s="21" t="str">
        <x:v>F27</x:v>
      </x:c>
      <x:c r="C33" s="21" t="str">
        <x:v>P06</x:v>
      </x:c>
      <x:c r="D33" s="21" t="str">
        <x:v>Heavy airlift relief carrier</x:v>
      </x:c>
      <x:c r="E33" s="21" t="str">
        <x:v>Strategic mobility set</x:v>
      </x:c>
      <x:c r="F33" s="21" t="str">
        <x:v>W2</x:v>
      </x:c>
      <x:c r="G33" s="42" t="n">
        <x:v>2</x:v>
      </x:c>
      <x:c r="H33" s="42" t="n">
        <x:v>1440</x:v>
      </x:c>
      <x:c r="I33" s="42" t="n">
        <x:v>1.3</x:v>
      </x:c>
      <x:c r="J33" s="42" t="n">
        <x:v>0.8450000000000001</x:v>
      </x:c>
      <x:c r="K33" s="21" t="str">
        <x:v>GAP</x:v>
      </x:c>
      <x:c r="L33" s="21" t="str">
        <x:v>REQUIRED</x:v>
      </x:c>
      <x:c r="M33" s="21" t="n">
        <x:v>60</x:v>
      </x:c>
      <x:c r="N33" s="21" t="str">
        <x:v>OPEN</x:v>
      </x:c>
      <x:c r="O33" s="23" t="str">
        <x:v>HOLD</x:v>
      </x:c>
    </x:row>
    <x:row r="34">
      <x:c r="B34" s="21" t="str">
        <x:v>F28</x:v>
      </x:c>
      <x:c r="C34" s="21" t="str">
        <x:v>P06</x:v>
      </x:c>
      <x:c r="D34" s="21" t="str">
        <x:v>Vertical-access and evacuation aircraft</x:v>
      </x:c>
      <x:c r="E34" s="21" t="str">
        <x:v>Distributed service cell</x:v>
      </x:c>
      <x:c r="F34" s="21" t="str">
        <x:v>H1</x:v>
      </x:c>
      <x:c r="G34" s="42" t="n">
        <x:v>12</x:v>
      </x:c>
      <x:c r="H34" s="42" t="n">
        <x:v>336</x:v>
      </x:c>
      <x:c r="I34" s="42" t="n">
        <x:v>1.6</x:v>
      </x:c>
      <x:c r="J34" s="42" t="n">
        <x:v>1</x:v>
      </x:c>
      <x:c r="K34" s="21" t="str">
        <x:v>ADEQUATE</x:v>
      </x:c>
      <x:c r="L34" s="21" t="str">
        <x:v>MONITOR</x:v>
      </x:c>
      <x:c r="M34" s="21" t="n">
        <x:v>22</x:v>
      </x:c>
      <x:c r="N34" s="21" t="str">
        <x:v>OPEN</x:v>
      </x:c>
      <x:c r="O34" s="23" t="str">
        <x:v>HOLD</x:v>
      </x:c>
    </x:row>
    <x:row r="35">
      <x:c r="B35" s="21" t="str">
        <x:v>F29</x:v>
      </x:c>
      <x:c r="C35" s="21" t="str">
        <x:v>P06</x:v>
      </x:c>
      <x:c r="D35" s="21" t="str">
        <x:v>Littoral response carrier</x:v>
      </x:c>
      <x:c r="E35" s="21" t="str">
        <x:v>Strategic mobility set</x:v>
      </x:c>
      <x:c r="F35" s="21" t="str">
        <x:v>W2</x:v>
      </x:c>
      <x:c r="G35" s="42" t="n">
        <x:v>2</x:v>
      </x:c>
      <x:c r="H35" s="42" t="n">
        <x:v>1440</x:v>
      </x:c>
      <x:c r="I35" s="42" t="n">
        <x:v>1.3</x:v>
      </x:c>
      <x:c r="J35" s="42" t="n">
        <x:v>0.8450000000000001</x:v>
      </x:c>
      <x:c r="K35" s="21" t="str">
        <x:v>GAP</x:v>
      </x:c>
      <x:c r="L35" s="21" t="str">
        <x:v>REQUIRED</x:v>
      </x:c>
      <x:c r="M35" s="21" t="n">
        <x:v>60</x:v>
      </x:c>
      <x:c r="N35" s="21" t="str">
        <x:v>OPEN</x:v>
      </x:c>
      <x:c r="O35" s="23" t="str">
        <x:v>HOLD</x:v>
      </x:c>
    </x:row>
    <x:row r="36">
      <x:c r="B36" s="21" t="str">
        <x:v>F30</x:v>
      </x:c>
      <x:c r="C36" s="21" t="str">
        <x:v>P06</x:v>
      </x:c>
      <x:c r="D36" s="21" t="str">
        <x:v>Riverine access train</x:v>
      </x:c>
      <x:c r="E36" s="21" t="str">
        <x:v>Strategic mobility set</x:v>
      </x:c>
      <x:c r="F36" s="21" t="str">
        <x:v>W2</x:v>
      </x:c>
      <x:c r="G36" s="42" t="n">
        <x:v>2</x:v>
      </x:c>
      <x:c r="H36" s="42" t="n">
        <x:v>1440</x:v>
      </x:c>
      <x:c r="I36" s="42" t="n">
        <x:v>1.3</x:v>
      </x:c>
      <x:c r="J36" s="42" t="n">
        <x:v>0.8450000000000001</x:v>
      </x:c>
      <x:c r="K36" s="21" t="str">
        <x:v>GAP</x:v>
      </x:c>
      <x:c r="L36" s="21" t="str">
        <x:v>REQUIRED</x:v>
      </x:c>
      <x:c r="M36" s="21" t="n">
        <x:v>60</x:v>
      </x:c>
      <x:c r="N36" s="21" t="str">
        <x:v>OPEN</x:v>
      </x:c>
      <x:c r="O36" s="23" t="str">
        <x:v>HOLD</x:v>
      </x:c>
    </x:row>
    <x:row r="37">
      <x:c r="B37" s="21" t="str">
        <x:v>F31</x:v>
      </x:c>
      <x:c r="C37" s="21" t="str">
        <x:v>P06</x:v>
      </x:c>
      <x:c r="D37" s="21" t="str">
        <x:v>Autonomous ground-logistics convoy</x:v>
      </x:c>
      <x:c r="E37" s="21" t="str">
        <x:v>Distributed service cell</x:v>
      </x:c>
      <x:c r="F37" s="21" t="str">
        <x:v>S1</x:v>
      </x:c>
      <x:c r="G37" s="42" t="n">
        <x:v>12</x:v>
      </x:c>
      <x:c r="H37" s="42" t="n">
        <x:v>720</x:v>
      </x:c>
      <x:c r="I37" s="42" t="n">
        <x:v>1.45</x:v>
      </x:c>
      <x:c r="J37" s="42" t="n">
        <x:v>0.9424999999999999</x:v>
      </x:c>
      <x:c r="K37" s="21" t="str">
        <x:v>GAP</x:v>
      </x:c>
      <x:c r="L37" s="21" t="str">
        <x:v>REQUIRED</x:v>
      </x:c>
      <x:c r="M37" s="21" t="n">
        <x:v>22</x:v>
      </x:c>
      <x:c r="N37" s="21" t="str">
        <x:v>OPEN</x:v>
      </x:c>
      <x:c r="O37" s="23" t="str">
        <x:v>HOLD</x:v>
      </x:c>
    </x:row>
    <x:row r="38">
      <x:c r="B38" s="21" t="str">
        <x:v>F32</x:v>
      </x:c>
      <x:c r="C38" s="21" t="str">
        <x:v>P06</x:v>
      </x:c>
      <x:c r="D38" s="21" t="str">
        <x:v>Rapid bridge and causeway system</x:v>
      </x:c>
      <x:c r="E38" s="21" t="str">
        <x:v>Civil works package</x:v>
      </x:c>
      <x:c r="F38" s="21" t="str">
        <x:v>W2</x:v>
      </x:c>
      <x:c r="G38" s="42" t="n">
        <x:v>8</x:v>
      </x:c>
      <x:c r="H38" s="42" t="n">
        <x:v>1440</x:v>
      </x:c>
      <x:c r="I38" s="42" t="n">
        <x:v>1.3</x:v>
      </x:c>
      <x:c r="J38" s="42" t="n">
        <x:v>0.8450000000000001</x:v>
      </x:c>
      <x:c r="K38" s="21" t="str">
        <x:v>GAP</x:v>
      </x:c>
      <x:c r="L38" s="21" t="str">
        <x:v>REQUIRED</x:v>
      </x:c>
      <x:c r="M38" s="21" t="n">
        <x:v>30</x:v>
      </x:c>
      <x:c r="N38" s="21" t="str">
        <x:v>OPEN</x:v>
      </x:c>
      <x:c r="O38" s="23" t="str">
        <x:v>HOLD</x:v>
      </x:c>
    </x:row>
    <x:row r="39">
      <x:c r="B39" s="21" t="str">
        <x:v>F33</x:v>
      </x:c>
      <x:c r="C39" s="21" t="str">
        <x:v>P06</x:v>
      </x:c>
      <x:c r="D39" s="21" t="str">
        <x:v>Port rail and airfield restoration complex</x:v>
      </x:c>
      <x:c r="E39" s="21" t="str">
        <x:v>Civil works package</x:v>
      </x:c>
      <x:c r="F39" s="21" t="str">
        <x:v>W1</x:v>
      </x:c>
      <x:c r="G39" s="42" t="n">
        <x:v>8</x:v>
      </x:c>
      <x:c r="H39" s="42" t="n">
        <x:v>2160</x:v>
      </x:c>
      <x:c r="I39" s="42" t="n">
        <x:v>1.2</x:v>
      </x:c>
      <x:c r="J39" s="42" t="n">
        <x:v>0.78</x:v>
      </x:c>
      <x:c r="K39" s="21" t="str">
        <x:v>GAP</x:v>
      </x:c>
      <x:c r="L39" s="21" t="str">
        <x:v>REQUIRED</x:v>
      </x:c>
      <x:c r="M39" s="21" t="n">
        <x:v>30</x:v>
      </x:c>
      <x:c r="N39" s="21" t="str">
        <x:v>OPEN</x:v>
      </x:c>
      <x:c r="O39" s="23" t="str">
        <x:v>HOLD</x:v>
      </x:c>
    </x:row>
    <x:row r="40">
      <x:c r="B40" s="21" t="str">
        <x:v>F34</x:v>
      </x:c>
      <x:c r="C40" s="21" t="str">
        <x:v>P07</x:v>
      </x:c>
      <x:c r="D40" s="21" t="str">
        <x:v>Floating nuclear desalination utility</x:v>
      </x:c>
      <x:c r="E40" s="21" t="str">
        <x:v>Utility service block</x:v>
      </x:c>
      <x:c r="F40" s="21" t="str">
        <x:v>S1</x:v>
      </x:c>
      <x:c r="G40" s="42" t="n">
        <x:v>4</x:v>
      </x:c>
      <x:c r="H40" s="42" t="n">
        <x:v>720</x:v>
      </x:c>
      <x:c r="I40" s="42" t="n">
        <x:v>1.45</x:v>
      </x:c>
      <x:c r="J40" s="42" t="n">
        <x:v>0.9425</x:v>
      </x:c>
      <x:c r="K40" s="21" t="str">
        <x:v>GAP</x:v>
      </x:c>
      <x:c r="L40" s="21" t="str">
        <x:v>REQUIRED</x:v>
      </x:c>
      <x:c r="M40" s="21" t="n">
        <x:v>38</x:v>
      </x:c>
      <x:c r="N40" s="21" t="str">
        <x:v>OPEN</x:v>
      </x:c>
      <x:c r="O40" s="23" t="str">
        <x:v>HOLD</x:v>
      </x:c>
    </x:row>
    <x:row r="41">
      <x:c r="B41" s="21" t="str">
        <x:v>F35</x:v>
      </x:c>
      <x:c r="C41" s="21" t="str">
        <x:v>P07</x:v>
      </x:c>
      <x:c r="D41" s="21" t="str">
        <x:v>Inland brackish-water treatment train</x:v>
      </x:c>
      <x:c r="E41" s="21" t="str">
        <x:v>Utility service block</x:v>
      </x:c>
      <x:c r="F41" s="21" t="str">
        <x:v>W2</x:v>
      </x:c>
      <x:c r="G41" s="42" t="n">
        <x:v>4</x:v>
      </x:c>
      <x:c r="H41" s="42" t="n">
        <x:v>1440</x:v>
      </x:c>
      <x:c r="I41" s="42" t="n">
        <x:v>1.3</x:v>
      </x:c>
      <x:c r="J41" s="42" t="n">
        <x:v>0.8450000000000001</x:v>
      </x:c>
      <x:c r="K41" s="21" t="str">
        <x:v>GAP</x:v>
      </x:c>
      <x:c r="L41" s="21" t="str">
        <x:v>REQUIRED</x:v>
      </x:c>
      <x:c r="M41" s="21" t="n">
        <x:v>38</x:v>
      </x:c>
      <x:c r="N41" s="21" t="str">
        <x:v>OPEN</x:v>
      </x:c>
      <x:c r="O41" s="23" t="str">
        <x:v>HOLD</x:v>
      </x:c>
    </x:row>
    <x:row r="42">
      <x:c r="B42" s="21" t="str">
        <x:v>F36</x:v>
      </x:c>
      <x:c r="C42" s="21" t="str">
        <x:v>P07</x:v>
      </x:c>
      <x:c r="D42" s="21" t="str">
        <x:v>Rapid water trunkline system</x:v>
      </x:c>
      <x:c r="E42" s="21" t="str">
        <x:v>Civil works package</x:v>
      </x:c>
      <x:c r="F42" s="21" t="str">
        <x:v>S1</x:v>
      </x:c>
      <x:c r="G42" s="42" t="n">
        <x:v>8</x:v>
      </x:c>
      <x:c r="H42" s="42" t="n">
        <x:v>720</x:v>
      </x:c>
      <x:c r="I42" s="42" t="n">
        <x:v>1.45</x:v>
      </x:c>
      <x:c r="J42" s="42" t="n">
        <x:v>0.9425</x:v>
      </x:c>
      <x:c r="K42" s="21" t="str">
        <x:v>GAP</x:v>
      </x:c>
      <x:c r="L42" s="21" t="str">
        <x:v>REQUIRED</x:v>
      </x:c>
      <x:c r="M42" s="21" t="n">
        <x:v>30</x:v>
      </x:c>
      <x:c r="N42" s="21" t="str">
        <x:v>OPEN</x:v>
      </x:c>
      <x:c r="O42" s="23" t="str">
        <x:v>HOLD</x:v>
      </x:c>
    </x:row>
    <x:row r="43">
      <x:c r="B43" s="21" t="str">
        <x:v>F37</x:v>
      </x:c>
      <x:c r="C43" s="21" t="str">
        <x:v>P07</x:v>
      </x:c>
      <x:c r="D43" s="21" t="str">
        <x:v>Wastewater and sanitation restoration plant</x:v>
      </x:c>
      <x:c r="E43" s="21" t="str">
        <x:v>Utility service block</x:v>
      </x:c>
      <x:c r="F43" s="21" t="str">
        <x:v>S1</x:v>
      </x:c>
      <x:c r="G43" s="42" t="n">
        <x:v>4</x:v>
      </x:c>
      <x:c r="H43" s="42" t="n">
        <x:v>720</x:v>
      </x:c>
      <x:c r="I43" s="42" t="n">
        <x:v>1.45</x:v>
      </x:c>
      <x:c r="J43" s="42" t="n">
        <x:v>0.9425</x:v>
      </x:c>
      <x:c r="K43" s="21" t="str">
        <x:v>GAP</x:v>
      </x:c>
      <x:c r="L43" s="21" t="str">
        <x:v>REQUIRED</x:v>
      </x:c>
      <x:c r="M43" s="21" t="n">
        <x:v>38</x:v>
      </x:c>
      <x:c r="N43" s="21" t="str">
        <x:v>OPEN</x:v>
      </x:c>
      <x:c r="O43" s="23" t="str">
        <x:v>HOLD</x:v>
      </x:c>
    </x:row>
    <x:row r="44">
      <x:c r="B44" s="21" t="str">
        <x:v>F38</x:v>
      </x:c>
      <x:c r="C44" s="21" t="str">
        <x:v>P07</x:v>
      </x:c>
      <x:c r="D44" s="21" t="str">
        <x:v>Potable storage and distribution lattice</x:v>
      </x:c>
      <x:c r="E44" s="21" t="str">
        <x:v>Distributed service cell</x:v>
      </x:c>
      <x:c r="F44" s="21" t="str">
        <x:v>H1</x:v>
      </x:c>
      <x:c r="G44" s="42" t="n">
        <x:v>12</x:v>
      </x:c>
      <x:c r="H44" s="42" t="n">
        <x:v>336</x:v>
      </x:c>
      <x:c r="I44" s="42" t="n">
        <x:v>1.6</x:v>
      </x:c>
      <x:c r="J44" s="42" t="n">
        <x:v>1</x:v>
      </x:c>
      <x:c r="K44" s="21" t="str">
        <x:v>ADEQUATE</x:v>
      </x:c>
      <x:c r="L44" s="21" t="str">
        <x:v>MONITOR</x:v>
      </x:c>
      <x:c r="M44" s="21" t="n">
        <x:v>22</x:v>
      </x:c>
      <x:c r="N44" s="21" t="str">
        <x:v>OPEN</x:v>
      </x:c>
      <x:c r="O44" s="23" t="str">
        <x:v>HOLD</x:v>
      </x:c>
    </x:row>
    <x:row r="45">
      <x:c r="B45" s="21" t="str">
        <x:v>F39</x:v>
      </x:c>
      <x:c r="C45" s="21" t="str">
        <x:v>P08</x:v>
      </x:c>
      <x:c r="D45" s="21" t="str">
        <x:v>Heavy wildfire-suppression aircraft</x:v>
      </x:c>
      <x:c r="E45" s="21" t="str">
        <x:v>Hazard-control cell</x:v>
      </x:c>
      <x:c r="F45" s="21" t="str">
        <x:v>H1</x:v>
      </x:c>
      <x:c r="G45" s="42" t="n">
        <x:v>4</x:v>
      </x:c>
      <x:c r="H45" s="42" t="n">
        <x:v>336</x:v>
      </x:c>
      <x:c r="I45" s="42" t="n">
        <x:v>1.6</x:v>
      </x:c>
      <x:c r="J45" s="42" t="n">
        <x:v>1</x:v>
      </x:c>
      <x:c r="K45" s="21" t="str">
        <x:v>ADEQUATE</x:v>
      </x:c>
      <x:c r="L45" s="21" t="str">
        <x:v>MONITOR</x:v>
      </x:c>
      <x:c r="M45" s="21" t="n">
        <x:v>32</x:v>
      </x:c>
      <x:c r="N45" s="21" t="str">
        <x:v>OPEN</x:v>
      </x:c>
      <x:c r="O45" s="23" t="str">
        <x:v>HOLD</x:v>
      </x:c>
    </x:row>
    <x:row r="46">
      <x:c r="B46" s="21" t="str">
        <x:v>F40</x:v>
      </x:c>
      <x:c r="C46" s="21" t="str">
        <x:v>P08</x:v>
      </x:c>
      <x:c r="D46" s="21" t="str">
        <x:v>Autonomous fireline and terrain fleet</x:v>
      </x:c>
      <x:c r="E46" s="21" t="str">
        <x:v>Hazard-control cell</x:v>
      </x:c>
      <x:c r="F46" s="21" t="str">
        <x:v>H1</x:v>
      </x:c>
      <x:c r="G46" s="42" t="n">
        <x:v>4</x:v>
      </x:c>
      <x:c r="H46" s="42" t="n">
        <x:v>336</x:v>
      </x:c>
      <x:c r="I46" s="42" t="n">
        <x:v>1.6</x:v>
      </x:c>
      <x:c r="J46" s="42" t="n">
        <x:v>1</x:v>
      </x:c>
      <x:c r="K46" s="21" t="str">
        <x:v>ADEQUATE</x:v>
      </x:c>
      <x:c r="L46" s="21" t="str">
        <x:v>MONITOR</x:v>
      </x:c>
      <x:c r="M46" s="21" t="n">
        <x:v>32</x:v>
      </x:c>
      <x:c r="N46" s="21" t="str">
        <x:v>OPEN</x:v>
      </x:c>
      <x:c r="O46" s="23" t="str">
        <x:v>HOLD</x:v>
      </x:c>
    </x:row>
    <x:row r="47">
      <x:c r="B47" s="21" t="str">
        <x:v>F41</x:v>
      </x:c>
      <x:c r="C47" s="21" t="str">
        <x:v>P08</x:v>
      </x:c>
      <x:c r="D47" s="21" t="str">
        <x:v>Flood diversion and pumping complex</x:v>
      </x:c>
      <x:c r="E47" s="21" t="str">
        <x:v>Hazard-control cell</x:v>
      </x:c>
      <x:c r="F47" s="21" t="str">
        <x:v>H1</x:v>
      </x:c>
      <x:c r="G47" s="42" t="n">
        <x:v>4</x:v>
      </x:c>
      <x:c r="H47" s="42" t="n">
        <x:v>336</x:v>
      </x:c>
      <x:c r="I47" s="42" t="n">
        <x:v>1.6</x:v>
      </x:c>
      <x:c r="J47" s="42" t="n">
        <x:v>1</x:v>
      </x:c>
      <x:c r="K47" s="21" t="str">
        <x:v>ADEQUATE</x:v>
      </x:c>
      <x:c r="L47" s="21" t="str">
        <x:v>MONITOR</x:v>
      </x:c>
      <x:c r="M47" s="21" t="n">
        <x:v>32</x:v>
      </x:c>
      <x:c r="N47" s="21" t="str">
        <x:v>OPEN</x:v>
      </x:c>
      <x:c r="O47" s="23" t="str">
        <x:v>HOLD</x:v>
      </x:c>
    </x:row>
    <x:row r="48">
      <x:c r="B48" s="21" t="str">
        <x:v>F42</x:v>
      </x:c>
      <x:c r="C48" s="21" t="str">
        <x:v>P08</x:v>
      </x:c>
      <x:c r="D48" s="21" t="str">
        <x:v>Atmospheric and chemical hazard-control system</x:v>
      </x:c>
      <x:c r="E48" s="21" t="str">
        <x:v>Hazard-control cell</x:v>
      </x:c>
      <x:c r="F48" s="21" t="str">
        <x:v>H1</x:v>
      </x:c>
      <x:c r="G48" s="42" t="n">
        <x:v>4</x:v>
      </x:c>
      <x:c r="H48" s="42" t="n">
        <x:v>336</x:v>
      </x:c>
      <x:c r="I48" s="42" t="n">
        <x:v>1.6</x:v>
      </x:c>
      <x:c r="J48" s="42" t="n">
        <x:v>1</x:v>
      </x:c>
      <x:c r="K48" s="21" t="str">
        <x:v>ADEQUATE</x:v>
      </x:c>
      <x:c r="L48" s="21" t="str">
        <x:v>MONITOR</x:v>
      </x:c>
      <x:c r="M48" s="21" t="n">
        <x:v>32</x:v>
      </x:c>
      <x:c r="N48" s="21" t="str">
        <x:v>OPEN</x:v>
      </x:c>
      <x:c r="O48" s="23" t="str">
        <x:v>HOLD</x:v>
      </x:c>
    </x:row>
    <x:row r="49">
      <x:c r="B49" s="21" t="str">
        <x:v>F43</x:v>
      </x:c>
      <x:c r="C49" s="21" t="str">
        <x:v>P08</x:v>
      </x:c>
      <x:c r="D49" s="21" t="str">
        <x:v>Earthquake search and stabilization swarm</x:v>
      </x:c>
      <x:c r="E49" s="21" t="str">
        <x:v>Hazard-control cell</x:v>
      </x:c>
      <x:c r="F49" s="21" t="str">
        <x:v>H1</x:v>
      </x:c>
      <x:c r="G49" s="42" t="n">
        <x:v>4</x:v>
      </x:c>
      <x:c r="H49" s="42" t="n">
        <x:v>336</x:v>
      </x:c>
      <x:c r="I49" s="42" t="n">
        <x:v>1.6</x:v>
      </x:c>
      <x:c r="J49" s="42" t="n">
        <x:v>1</x:v>
      </x:c>
      <x:c r="K49" s="21" t="str">
        <x:v>ADEQUATE</x:v>
      </x:c>
      <x:c r="L49" s="21" t="str">
        <x:v>MONITOR</x:v>
      </x:c>
      <x:c r="M49" s="21" t="n">
        <x:v>32</x:v>
      </x:c>
      <x:c r="N49" s="21" t="str">
        <x:v>OPEN</x:v>
      </x:c>
      <x:c r="O49" s="23" t="str">
        <x:v>HOLD</x:v>
      </x:c>
    </x:row>
    <x:row r="50">
      <x:c r="B50" s="21" t="str">
        <x:v>F44</x:v>
      </x:c>
      <x:c r="C50" s="21" t="str">
        <x:v>P09</x:v>
      </x:c>
      <x:c r="D50" s="21" t="str">
        <x:v>Rapid structural-stabilization system</x:v>
      </x:c>
      <x:c r="E50" s="21" t="str">
        <x:v>Civil works package</x:v>
      </x:c>
      <x:c r="F50" s="21" t="str">
        <x:v>H1</x:v>
      </x:c>
      <x:c r="G50" s="42" t="n">
        <x:v>8</x:v>
      </x:c>
      <x:c r="H50" s="42" t="n">
        <x:v>336</x:v>
      </x:c>
      <x:c r="I50" s="42" t="n">
        <x:v>1.6</x:v>
      </x:c>
      <x:c r="J50" s="42" t="n">
        <x:v>1</x:v>
      </x:c>
      <x:c r="K50" s="21" t="str">
        <x:v>ADEQUATE</x:v>
      </x:c>
      <x:c r="L50" s="21" t="str">
        <x:v>MONITOR</x:v>
      </x:c>
      <x:c r="M50" s="21" t="n">
        <x:v>30</x:v>
      </x:c>
      <x:c r="N50" s="21" t="str">
        <x:v>OPEN</x:v>
      </x:c>
      <x:c r="O50" s="23" t="str">
        <x:v>HOLD</x:v>
      </x:c>
    </x:row>
    <x:row r="51">
      <x:c r="B51" s="21" t="str">
        <x:v>F45</x:v>
      </x:c>
      <x:c r="C51" s="21" t="str">
        <x:v>P09</x:v>
      </x:c>
      <x:c r="D51" s="21" t="str">
        <x:v>Modular housing production complex</x:v>
      </x:c>
      <x:c r="E51" s="21" t="str">
        <x:v>Civil works package</x:v>
      </x:c>
      <x:c r="F51" s="21" t="str">
        <x:v>W2</x:v>
      </x:c>
      <x:c r="G51" s="42" t="n">
        <x:v>8</x:v>
      </x:c>
      <x:c r="H51" s="42" t="n">
        <x:v>1440</x:v>
      </x:c>
      <x:c r="I51" s="42" t="n">
        <x:v>1.3</x:v>
      </x:c>
      <x:c r="J51" s="42" t="n">
        <x:v>0.8450000000000001</x:v>
      </x:c>
      <x:c r="K51" s="21" t="str">
        <x:v>GAP</x:v>
      </x:c>
      <x:c r="L51" s="21" t="str">
        <x:v>REQUIRED</x:v>
      </x:c>
      <x:c r="M51" s="21" t="n">
        <x:v>30</x:v>
      </x:c>
      <x:c r="N51" s="21" t="str">
        <x:v>OPEN</x:v>
      </x:c>
      <x:c r="O51" s="23" t="str">
        <x:v>HOLD</x:v>
      </x:c>
    </x:row>
    <x:row r="52">
      <x:c r="B52" s="21" t="str">
        <x:v>F46</x:v>
      </x:c>
      <x:c r="C52" s="21" t="str">
        <x:v>P09</x:v>
      </x:c>
      <x:c r="D52" s="21" t="str">
        <x:v>Debris separation and material-recovery fleet</x:v>
      </x:c>
      <x:c r="E52" s="21" t="str">
        <x:v>Civil works package</x:v>
      </x:c>
      <x:c r="F52" s="21" t="str">
        <x:v>S1</x:v>
      </x:c>
      <x:c r="G52" s="42" t="n">
        <x:v>8</x:v>
      </x:c>
      <x:c r="H52" s="42" t="n">
        <x:v>720</x:v>
      </x:c>
      <x:c r="I52" s="42" t="n">
        <x:v>1.45</x:v>
      </x:c>
      <x:c r="J52" s="42" t="n">
        <x:v>0.9425</x:v>
      </x:c>
      <x:c r="K52" s="21" t="str">
        <x:v>GAP</x:v>
      </x:c>
      <x:c r="L52" s="21" t="str">
        <x:v>REQUIRED</x:v>
      </x:c>
      <x:c r="M52" s="21" t="n">
        <x:v>30</x:v>
      </x:c>
      <x:c r="N52" s="21" t="str">
        <x:v>OPEN</x:v>
      </x:c>
      <x:c r="O52" s="23" t="str">
        <x:v>HOLD</x:v>
      </x:c>
    </x:row>
    <x:row r="53">
      <x:c r="B53" s="21" t="str">
        <x:v>F47</x:v>
      </x:c>
      <x:c r="C53" s="21" t="str">
        <x:v>P09</x:v>
      </x:c>
      <x:c r="D53" s="21" t="str">
        <x:v>Municipal service-restoration block</x:v>
      </x:c>
      <x:c r="E53" s="21" t="str">
        <x:v>Distributed service cell</x:v>
      </x:c>
      <x:c r="F53" s="21" t="str">
        <x:v>S1</x:v>
      </x:c>
      <x:c r="G53" s="42" t="n">
        <x:v>12</x:v>
      </x:c>
      <x:c r="H53" s="42" t="n">
        <x:v>720</x:v>
      </x:c>
      <x:c r="I53" s="42" t="n">
        <x:v>1.45</x:v>
      </x:c>
      <x:c r="J53" s="42" t="n">
        <x:v>0.9424999999999999</x:v>
      </x:c>
      <x:c r="K53" s="21" t="str">
        <x:v>GAP</x:v>
      </x:c>
      <x:c r="L53" s="21" t="str">
        <x:v>REQUIRED</x:v>
      </x:c>
      <x:c r="M53" s="21" t="n">
        <x:v>22</x:v>
      </x:c>
      <x:c r="N53" s="21" t="str">
        <x:v>OPEN</x:v>
      </x:c>
      <x:c r="O53" s="23" t="str">
        <x:v>HOLD</x:v>
      </x:c>
    </x:row>
    <x:row r="54">
      <x:c r="B54" s="24" t="str">
        <x:v>F48</x:v>
      </x:c>
      <x:c r="C54" s="24" t="str">
        <x:v>P09</x:v>
      </x:c>
      <x:c r="D54" s="24" t="str">
        <x:v>Economic-continuity logistics and finance cell</x:v>
      </x:c>
      <x:c r="E54" s="24" t="str">
        <x:v>Command-and-data set</x:v>
      </x:c>
      <x:c r="F54" s="24" t="str">
        <x:v>H1</x:v>
      </x:c>
      <x:c r="G54" s="43" t="n">
        <x:v>12</x:v>
      </x:c>
      <x:c r="H54" s="43" t="n">
        <x:v>168</x:v>
      </x:c>
      <x:c r="I54" s="43" t="n">
        <x:v>1.6</x:v>
      </x:c>
      <x:c r="J54" s="43" t="n">
        <x:v>1</x:v>
      </x:c>
      <x:c r="K54" s="24" t="str">
        <x:v>ADEQUATE</x:v>
      </x:c>
      <x:c r="L54" s="24" t="str">
        <x:v>MONITOR</x:v>
      </x:c>
      <x:c r="M54" s="24" t="n">
        <x:v>18</x:v>
      </x:c>
      <x:c r="N54" s="24" t="str">
        <x:v>OPEN</x:v>
      </x:c>
      <x:c r="O54" s="26" t="str">
        <x:v>HOLD</x:v>
      </x:c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</x:sheetData>
  <x:mergeCells>
    <x:mergeCell ref="B3:O3"/>
  </x:mergeCells>
  <x:conditionalFormatting sqref="K7:O54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GAP"/>
    <x:cfRule type="containsText" dxfId="4" priority="5" operator="containsText" text="NOT ADMITTED"/>
    <x:cfRule type="containsText" dxfId="5" priority="6" operator="containsText" text="FAIL"/>
    <x:cfRule type="containsText" dxfId="6" priority="7" operator="containsText" text="PASS"/>
    <x:cfRule type="containsText" dxfId="7" priority="8" operator="containsText" text="ADEQUATE"/>
    <x:cfRule type="containsText" dxfId="8" priority="9" operator="containsText" text="CLOSES M05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8" hidden="0" customWidth="1"/>
    <x:col min="4" max="4" width="12" hidden="0" customWidth="1"/>
    <x:col min="5" max="5" width="15" hidden="0" customWidth="1"/>
    <x:col min="6" max="6" width="31" hidden="0" customWidth="1"/>
    <x:col min="7" max="7" width="31" hidden="0" customWidth="1"/>
    <x:col min="8" max="8" width="18" hidden="0" customWidth="1"/>
    <x:col min="9" max="9" width="18" hidden="0" customWidth="1"/>
    <x:col min="10" max="10" width="63" hidden="0" customWidth="1"/>
    <x:col min="11" max="11" width="57" hidden="0" customWidth="1"/>
    <x:col min="12" max="12" width="42" hidden="0" customWidth="1"/>
    <x:col min="13" max="13" width="13" hidden="0" customWidth="1"/>
    <x:col min="14" max="14" width="13" hidden="0" customWidth="1"/>
  </x:cols>
  <x:sheetData>
    <x:row r="2">
      <x:c r="B2" s="3" t="str">
        <x:v>Family-specific redesign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Each failed family receives two unlike physical architectures and a first complete-chain article. These are program hypotheses, not selected vendors or admitted systems.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Family</x:v>
      </x:c>
      <x:c r="C6" s="20" t="str">
        <x:v>Capability family</x:v>
      </x:c>
      <x:c r="D6" s="20" t="str">
        <x:v>Readiness</x:v>
      </x:c>
      <x:c r="E6" s="20" t="str">
        <x:v>Pass 98 ratio</x:v>
      </x:c>
      <x:c r="F6" s="20" t="str">
        <x:v>Primary dependency</x:v>
      </x:c>
      <x:c r="G6" s="20" t="str">
        <x:v>Secondary dependency</x:v>
      </x:c>
      <x:c r="H6" s="20" t="str">
        <x:v>Primary architecture</x:v>
      </x:c>
      <x:c r="I6" s="20" t="str">
        <x:v>Secondary architecture</x:v>
      </x:c>
      <x:c r="J6" s="20" t="str">
        <x:v>Physical redesign</x:v>
      </x:c>
      <x:c r="K6" s="20" t="str">
        <x:v>First complete article</x:v>
      </x:c>
      <x:c r="L6" s="20" t="str">
        <x:v>Program owner</x:v>
      </x:c>
      <x:c r="M6" s="20" t="str">
        <x:v>Evidence</x:v>
      </x:c>
      <x:c r="N6" s="20" t="str">
        <x:v>Decision</x:v>
      </x:c>
    </x:row>
    <x:row r="7" ht="48" customHeight="1">
      <x:c r="B7" s="35" t="str">
        <x:v>F05</x:v>
      </x:c>
      <x:c r="C7" s="35" t="str">
        <x:v>Rapid nutrition production cell</x:v>
      </x:c>
      <x:c r="D7" s="35" t="str">
        <x:v>S1</x:v>
      </x:c>
      <x:c r="E7" s="44" t="n">
        <x:v>0.9425000000000001</x:v>
      </x:c>
      <x:c r="F7" s="35" t="str">
        <x:v>Conforming production</x:v>
      </x:c>
      <x:c r="G7" s="35" t="str">
        <x:v>Material tooling and instrument release</x:v>
      </x:c>
      <x:c r="H7" s="35" t="str">
        <x:v>A1</x:v>
      </x:c>
      <x:c r="I7" s="35" t="str">
        <x:v>A6</x:v>
      </x:c>
      <x:c r="J7" s="35" t="str">
        <x:v>parallel sanitary process cells; dry and wet feed flexibility; autonomous quality release</x:v>
      </x:c>
      <x:c r="K7" s="35" t="str">
        <x:v>second-region nutrition cell produces and replaces one accepted batch</x:v>
      </x:c>
      <x:c r="L7" s="35" t="str">
        <x:v>Family Program Office + Technical Integration Office</x:v>
      </x:c>
      <x:c r="M7" s="35" t="str">
        <x:v>OPEN</x:v>
      </x:c>
      <x:c r="N7" s="37" t="str">
        <x:v>HOLD</x:v>
      </x:c>
    </x:row>
    <x:row r="8" ht="48" customHeight="1">
      <x:c r="B8" s="35" t="str">
        <x:v>F06</x:v>
      </x:c>
      <x:c r="C8" s="35" t="str">
        <x:v>Cold-chain preservation lattice</x:v>
      </x:c>
      <x:c r="D8" s="35" t="str">
        <x:v>S1</x:v>
      </x:c>
      <x:c r="E8" s="44" t="n">
        <x:v>0.9425000000000001</x:v>
      </x:c>
      <x:c r="F8" s="35" t="str">
        <x:v>Facility utility and safe start</x:v>
      </x:c>
      <x:c r="G8" s="35" t="str">
        <x:v>Regeneration and replacement</x:v>
      </x:c>
      <x:c r="H8" s="35" t="str">
        <x:v>A2</x:v>
      </x:c>
      <x:c r="I8" s="35" t="str">
        <x:v>A5</x:v>
      </x:c>
      <x:c r="J8" s="35" t="str">
        <x:v>islanded refrigeration and thermal rejection; rotating cold stores; repair cells</x:v>
      </x:c>
      <x:c r="K8" s="35" t="str">
        <x:v>seven-day grid-denied cold-chain transfer and reset</x:v>
      </x:c>
      <x:c r="L8" s="35" t="str">
        <x:v>Family Program Office + Technical Integration Office</x:v>
      </x:c>
      <x:c r="M8" s="35" t="str">
        <x:v>OPEN</x:v>
      </x:c>
      <x:c r="N8" s="37" t="str">
        <x:v>HOLD</x:v>
      </x:c>
    </x:row>
    <x:row r="9" ht="48" customHeight="1">
      <x:c r="B9" s="35" t="str">
        <x:v>F07</x:v>
      </x:c>
      <x:c r="C9" s="35" t="str">
        <x:v>Shelter manufacturing line</x:v>
      </x:c>
      <x:c r="D9" s="35" t="str">
        <x:v>W2</x:v>
      </x:c>
      <x:c r="E9" s="44" t="n">
        <x:v>0.8450000000000001</x:v>
      </x:c>
      <x:c r="F9" s="35" t="str">
        <x:v>Strategic transport</x:v>
      </x:c>
      <x:c r="G9" s="35" t="str">
        <x:v>Regeneration and replacement</x:v>
      </x:c>
      <x:c r="H9" s="35" t="str">
        <x:v>A3</x:v>
      </x:c>
      <x:c r="I9" s="35" t="str">
        <x:v>A6</x:v>
      </x:c>
      <x:c r="J9" s="35" t="str">
        <x:v>flat-pack structural kits; local robotic completion; reclaimed material qualification</x:v>
      </x:c>
      <x:c r="K9" s="35" t="str">
        <x:v>receiver manufactures and certifies one occupied shelter lot</x:v>
      </x:c>
      <x:c r="L9" s="35" t="str">
        <x:v>Family Program Office + Technical Integration Office</x:v>
      </x:c>
      <x:c r="M9" s="35" t="str">
        <x:v>OPEN</x:v>
      </x:c>
      <x:c r="N9" s="37" t="str">
        <x:v>HOLD</x:v>
      </x:c>
    </x:row>
    <x:row r="10" ht="48" customHeight="1">
      <x:c r="B10" s="35" t="str">
        <x:v>F08</x:v>
      </x:c>
      <x:c r="C10" s="35" t="str">
        <x:v>Essential-goods fabrication cell</x:v>
      </x:c>
      <x:c r="D10" s="35" t="str">
        <x:v>S1</x:v>
      </x:c>
      <x:c r="E10" s="44" t="n">
        <x:v>0.9425000000000001</x:v>
      </x:c>
      <x:c r="F10" s="35" t="str">
        <x:v>Supplier and process activation</x:v>
      </x:c>
      <x:c r="G10" s="35" t="str">
        <x:v>Material tooling and instrument release</x:v>
      </x:c>
      <x:c r="H10" s="35" t="str">
        <x:v>A1</x:v>
      </x:c>
      <x:c r="I10" s="35" t="str">
        <x:v>A8</x:v>
      </x:c>
      <x:c r="J10" s="35" t="str">
        <x:v>multi-product public foundries; open process recipes; unlike domestic and allied feed paths</x:v>
      </x:c>
      <x:c r="K10" s="35" t="str">
        <x:v>blind product switch at an alternate foundry</x:v>
      </x:c>
      <x:c r="L10" s="35" t="str">
        <x:v>Family Program Office + Technical Integration Office</x:v>
      </x:c>
      <x:c r="M10" s="35" t="str">
        <x:v>OPEN</x:v>
      </x:c>
      <x:c r="N10" s="37" t="str">
        <x:v>HOLD</x:v>
      </x:c>
    </x:row>
    <x:row r="11" ht="48" customHeight="1">
      <x:c r="B11" s="35" t="str">
        <x:v>F13</x:v>
      </x:c>
      <x:c r="C11" s="35" t="str">
        <x:v>Pharmaceutical and biologic microfactory</x:v>
      </x:c>
      <x:c r="D11" s="35" t="str">
        <x:v>S1</x:v>
      </x:c>
      <x:c r="E11" s="44" t="n">
        <x:v>0.9425000000000001</x:v>
      </x:c>
      <x:c r="F11" s="35" t="str">
        <x:v>Conforming production</x:v>
      </x:c>
      <x:c r="G11" s="35" t="str">
        <x:v>Independent acceptance</x:v>
      </x:c>
      <x:c r="H11" s="35" t="str">
        <x:v>A1</x:v>
      </x:c>
      <x:c r="I11" s="35" t="str">
        <x:v>A7</x:v>
      </x:c>
      <x:c r="J11" s="35" t="str">
        <x:v>transferable sterile process suites; portable release laboratory; independent digital batch record</x:v>
      </x:c>
      <x:c r="K11" s="35" t="str">
        <x:v>second-team sterile batch through independent release</x:v>
      </x:c>
      <x:c r="L11" s="35" t="str">
        <x:v>Family Program Office + Technical Integration Office</x:v>
      </x:c>
      <x:c r="M11" s="35" t="str">
        <x:v>OPEN</x:v>
      </x:c>
      <x:c r="N11" s="37" t="str">
        <x:v>HOLD</x:v>
      </x:c>
    </x:row>
    <x:row r="12" ht="48" customHeight="1">
      <x:c r="B12" s="35" t="str">
        <x:v>F17</x:v>
      </x:c>
      <x:c r="C12" s="35" t="str">
        <x:v>Mobile nuclear energy station</x:v>
      </x:c>
      <x:c r="D12" s="35" t="str">
        <x:v>S1</x:v>
      </x:c>
      <x:c r="E12" s="44" t="n">
        <x:v>0.9425</x:v>
      </x:c>
      <x:c r="F12" s="35" t="str">
        <x:v>Facility utility and safe start</x:v>
      </x:c>
      <x:c r="G12" s="35" t="str">
        <x:v>Supplier and process activation</x:v>
      </x:c>
      <x:c r="H12" s="35" t="str">
        <x:v>A2</x:v>
      </x:c>
      <x:c r="I12" s="35" t="str">
        <x:v>A8</x:v>
      </x:c>
      <x:c r="J12" s="35" t="str">
        <x:v>factory utility island; modular nuclear production cells; sovereign and allied component roots</x:v>
      </x:c>
      <x:c r="K12" s="35" t="str">
        <x:v>grid-denied safe start and accepted power-module lot</x:v>
      </x:c>
      <x:c r="L12" s="35" t="str">
        <x:v>Family Program Office + Technical Integration Office</x:v>
      </x:c>
      <x:c r="M12" s="35" t="str">
        <x:v>OPEN</x:v>
      </x:c>
      <x:c r="N12" s="37" t="str">
        <x:v>HOLD</x:v>
      </x:c>
    </x:row>
    <x:row r="13" ht="48" customHeight="1">
      <x:c r="B13" s="35" t="str">
        <x:v>F18</x:v>
      </x:c>
      <x:c r="C13" s="35" t="str">
        <x:v>Long-duration storage module</x:v>
      </x:c>
      <x:c r="D13" s="35" t="str">
        <x:v>S1</x:v>
      </x:c>
      <x:c r="E13" s="44" t="n">
        <x:v>0.9425</x:v>
      </x:c>
      <x:c r="F13" s="35" t="str">
        <x:v>Supplier and process activation</x:v>
      </x:c>
      <x:c r="G13" s="35" t="str">
        <x:v>Regeneration and replacement</x:v>
      </x:c>
      <x:c r="H13" s="35" t="str">
        <x:v>A7</x:v>
      </x:c>
      <x:c r="I13" s="35" t="str">
        <x:v>A6</x:v>
      </x:c>
      <x:c r="J13" s="35" t="str">
        <x:v>transferable cell manufacturing; recoverable chemistries; modular remanufacture</x:v>
      </x:c>
      <x:c r="K13" s="35" t="str">
        <x:v>alternate-facility storage-module reproduction and recovery</x:v>
      </x:c>
      <x:c r="L13" s="35" t="str">
        <x:v>Family Program Office + Technical Integration Office</x:v>
      </x:c>
      <x:c r="M13" s="35" t="str">
        <x:v>OPEN</x:v>
      </x:c>
      <x:c r="N13" s="37" t="str">
        <x:v>HOLD</x:v>
      </x:c>
    </x:row>
    <x:row r="14" ht="48" customHeight="1">
      <x:c r="B14" s="35" t="str">
        <x:v>F20</x:v>
      </x:c>
      <x:c r="C14" s="35" t="str">
        <x:v>Fuel synthesis and distribution train</x:v>
      </x:c>
      <x:c r="D14" s="35" t="str">
        <x:v>W2</x:v>
      </x:c>
      <x:c r="E14" s="44" t="n">
        <x:v>0.8450000000000001</x:v>
      </x:c>
      <x:c r="F14" s="35" t="str">
        <x:v>Facility utility and safe start</x:v>
      </x:c>
      <x:c r="G14" s="35" t="str">
        <x:v>Material tooling and instrument release</x:v>
      </x:c>
      <x:c r="H14" s="35" t="str">
        <x:v>A2</x:v>
      </x:c>
      <x:c r="I14" s="35" t="str">
        <x:v>A6</x:v>
      </x:c>
      <x:c r="J14" s="35" t="str">
        <x:v>multi-feed synthesis blocks; closed-loop utilities; recovered-carbon and reserve catalyst paths</x:v>
      </x:c>
      <x:c r="K14" s="35" t="str">
        <x:v>unknown-feed fuel batch with residual and catalyst reset</x:v>
      </x:c>
      <x:c r="L14" s="35" t="str">
        <x:v>Family Program Office + Technical Integration Office</x:v>
      </x:c>
      <x:c r="M14" s="35" t="str">
        <x:v>OPEN</x:v>
      </x:c>
      <x:c r="N14" s="37" t="str">
        <x:v>HOLD</x:v>
      </x:c>
    </x:row>
    <x:row r="15" ht="48" customHeight="1">
      <x:c r="B15" s="35" t="str">
        <x:v>F21</x:v>
      </x:c>
      <x:c r="C15" s="35" t="str">
        <x:v>Grid restoration and line-deployment system</x:v>
      </x:c>
      <x:c r="D15" s="35" t="str">
        <x:v>S1</x:v>
      </x:c>
      <x:c r="E15" s="44" t="n">
        <x:v>0.9425</x:v>
      </x:c>
      <x:c r="F15" s="35" t="str">
        <x:v>Strategic transport</x:v>
      </x:c>
      <x:c r="G15" s="35" t="str">
        <x:v>Workforce muster</x:v>
      </x:c>
      <x:c r="H15" s="35" t="str">
        <x:v>A3</x:v>
      </x:c>
      <x:c r="I15" s="35" t="str">
        <x:v>A5</x:v>
      </x:c>
      <x:c r="J15" s="35" t="str">
        <x:v>regional conductor and pole kits; autonomous placement; receiver commissioning cadres</x:v>
      </x:c>
      <x:c r="K15" s="35" t="str">
        <x:v>damaged-corridor line segment installed and energized</x:v>
      </x:c>
      <x:c r="L15" s="35" t="str">
        <x:v>Family Program Office + Technical Integration Office</x:v>
      </x:c>
      <x:c r="M15" s="35" t="str">
        <x:v>OPEN</x:v>
      </x:c>
      <x:c r="N15" s="37" t="str">
        <x:v>HOLD</x:v>
      </x:c>
    </x:row>
    <x:row r="16" ht="48" customHeight="1">
      <x:c r="B16" s="35" t="str">
        <x:v>F27</x:v>
      </x:c>
      <x:c r="C16" s="35" t="str">
        <x:v>Heavy airlift relief carrier</x:v>
      </x:c>
      <x:c r="D16" s="35" t="str">
        <x:v>W2</x:v>
      </x:c>
      <x:c r="E16" s="44" t="n">
        <x:v>0.8450000000000001</x:v>
      </x:c>
      <x:c r="F16" s="35" t="str">
        <x:v>Supplier and process activation</x:v>
      </x:c>
      <x:c r="G16" s="35" t="str">
        <x:v>Regeneration and replacement</x:v>
      </x:c>
      <x:c r="H16" s="35" t="str">
        <x:v>A4</x:v>
      </x:c>
      <x:c r="I16" s="35" t="str">
        <x:v>A8</x:v>
      </x:c>
      <x:c r="J16" s="35" t="str">
        <x:v>distributed aircraft arsenals; self-loading nodes; unlike propulsion and structural roots</x:v>
      </x:c>
      <x:c r="K16" s="35" t="str">
        <x:v>alternate-base heavy sortie after route and supplier loss</x:v>
      </x:c>
      <x:c r="L16" s="35" t="str">
        <x:v>Family Program Office + Technical Integration Office</x:v>
      </x:c>
      <x:c r="M16" s="35" t="str">
        <x:v>OPEN</x:v>
      </x:c>
      <x:c r="N16" s="37" t="str">
        <x:v>HOLD</x:v>
      </x:c>
    </x:row>
    <x:row r="17" ht="48" customHeight="1">
      <x:c r="B17" s="35" t="str">
        <x:v>F29</x:v>
      </x:c>
      <x:c r="C17" s="35" t="str">
        <x:v>Littoral response carrier</x:v>
      </x:c>
      <x:c r="D17" s="35" t="str">
        <x:v>W2</x:v>
      </x:c>
      <x:c r="E17" s="44" t="n">
        <x:v>0.8450000000000001</x:v>
      </x:c>
      <x:c r="F17" s="35" t="str">
        <x:v>Strategic transport</x:v>
      </x:c>
      <x:c r="G17" s="35" t="str">
        <x:v>Regeneration and replacement</x:v>
      </x:c>
      <x:c r="H17" s="35" t="str">
        <x:v>A4</x:v>
      </x:c>
      <x:c r="I17" s="35" t="str">
        <x:v>A6</x:v>
      </x:c>
      <x:c r="J17" s="35" t="str">
        <x:v>three-coast ship custody; no-pier load paths; field repair and remanufactured mission modules</x:v>
      </x:c>
      <x:c r="K17" s="35" t="str">
        <x:v>damaged-port sortie with pier denial and reset</x:v>
      </x:c>
      <x:c r="L17" s="35" t="str">
        <x:v>Family Program Office + Technical Integration Office</x:v>
      </x:c>
      <x:c r="M17" s="35" t="str">
        <x:v>OPEN</x:v>
      </x:c>
      <x:c r="N17" s="37" t="str">
        <x:v>HOLD</x:v>
      </x:c>
    </x:row>
    <x:row r="18" ht="48" customHeight="1">
      <x:c r="B18" s="35" t="str">
        <x:v>F30</x:v>
      </x:c>
      <x:c r="C18" s="35" t="str">
        <x:v>Riverine access train</x:v>
      </x:c>
      <x:c r="D18" s="35" t="str">
        <x:v>W2</x:v>
      </x:c>
      <x:c r="E18" s="44" t="n">
        <x:v>0.8450000000000001</x:v>
      </x:c>
      <x:c r="F18" s="35" t="str">
        <x:v>Strategic transport</x:v>
      </x:c>
      <x:c r="G18" s="35" t="str">
        <x:v>Workforce muster</x:v>
      </x:c>
      <x:c r="H18" s="35" t="str">
        <x:v>A4</x:v>
      </x:c>
      <x:c r="I18" s="35" t="str">
        <x:v>A5</x:v>
      </x:c>
      <x:c r="J18" s="35" t="str">
        <x:v>road-rail deployable river fleets; distributed launch sites; rotating crews and repair tenders</x:v>
      </x:c>
      <x:c r="K18" s="35" t="str">
        <x:v>unannounced basin transfer and debris-waterway mission</x:v>
      </x:c>
      <x:c r="L18" s="35" t="str">
        <x:v>Family Program Office + Technical Integration Office</x:v>
      </x:c>
      <x:c r="M18" s="35" t="str">
        <x:v>OPEN</x:v>
      </x:c>
      <x:c r="N18" s="37" t="str">
        <x:v>HOLD</x:v>
      </x:c>
    </x:row>
    <x:row r="19" ht="48" customHeight="1">
      <x:c r="B19" s="35" t="str">
        <x:v>F31</x:v>
      </x:c>
      <x:c r="C19" s="35" t="str">
        <x:v>Autonomous ground-logistics convoy</x:v>
      </x:c>
      <x:c r="D19" s="35" t="str">
        <x:v>S1</x:v>
      </x:c>
      <x:c r="E19" s="44" t="n">
        <x:v>0.9424999999999999</x:v>
      </x:c>
      <x:c r="F19" s="35" t="str">
        <x:v>Workforce muster</x:v>
      </x:c>
      <x:c r="G19" s="35" t="str">
        <x:v>Strategic transport</x:v>
      </x:c>
      <x:c r="H19" s="35" t="str">
        <x:v>A5</x:v>
      </x:c>
      <x:c r="I19" s="35" t="str">
        <x:v>A4</x:v>
      </x:c>
      <x:c r="J19" s="35" t="str">
        <x:v>regional autonomous convoy cells; credentialed remote supervisors; self-load and alternate energy</x:v>
      </x:c>
      <x:c r="K19" s="35" t="str">
        <x:v>one-cell loss followed by independent convoy service</x:v>
      </x:c>
      <x:c r="L19" s="35" t="str">
        <x:v>Family Program Office + Technical Integration Office</x:v>
      </x:c>
      <x:c r="M19" s="35" t="str">
        <x:v>OPEN</x:v>
      </x:c>
      <x:c r="N19" s="37" t="str">
        <x:v>HOLD</x:v>
      </x:c>
    </x:row>
    <x:row r="20" ht="48" customHeight="1">
      <x:c r="B20" s="35" t="str">
        <x:v>F32</x:v>
      </x:c>
      <x:c r="C20" s="35" t="str">
        <x:v>Rapid bridge and causeway system</x:v>
      </x:c>
      <x:c r="D20" s="35" t="str">
        <x:v>W2</x:v>
      </x:c>
      <x:c r="E20" s="44" t="n">
        <x:v>0.8450000000000001</x:v>
      </x:c>
      <x:c r="F20" s="35" t="str">
        <x:v>Strategic transport</x:v>
      </x:c>
      <x:c r="G20" s="35" t="str">
        <x:v>Material tooling and instrument release</x:v>
      </x:c>
      <x:c r="H20" s="35" t="str">
        <x:v>A3</x:v>
      </x:c>
      <x:c r="I20" s="35" t="str">
        <x:v>A7</x:v>
      </x:c>
      <x:c r="J20" s="35" t="str">
        <x:v>receiver-stocked spans; transferable launch tooling; robotic bank and foundation preparation</x:v>
      </x:c>
      <x:c r="K20" s="35" t="str">
        <x:v>alternate-site heavy crossing from cold inventory</x:v>
      </x:c>
      <x:c r="L20" s="35" t="str">
        <x:v>Family Program Office + Technical Integration Office</x:v>
      </x:c>
      <x:c r="M20" s="35" t="str">
        <x:v>OPEN</x:v>
      </x:c>
      <x:c r="N20" s="37" t="str">
        <x:v>HOLD</x:v>
      </x:c>
    </x:row>
    <x:row r="21" ht="48" customHeight="1">
      <x:c r="B21" s="35" t="str">
        <x:v>F33</x:v>
      </x:c>
      <x:c r="C21" s="35" t="str">
        <x:v>Port rail and airfield restoration complex</x:v>
      </x:c>
      <x:c r="D21" s="35" t="str">
        <x:v>W1</x:v>
      </x:c>
      <x:c r="E21" s="44" t="n">
        <x:v>0.78</x:v>
      </x:c>
      <x:c r="F21" s="35" t="str">
        <x:v>Receiving-node admission</x:v>
      </x:c>
      <x:c r="G21" s="35" t="str">
        <x:v>Strategic transport</x:v>
      </x:c>
      <x:c r="H21" s="35" t="str">
        <x:v>A3</x:v>
      </x:c>
      <x:c r="I21" s="35" t="str">
        <x:v>A4</x:v>
      </x:c>
      <x:c r="J21" s="35" t="str">
        <x:v>multi-port airfield and rail repair cells; local completion arsenals; route-independent heavy works</x:v>
      </x:c>
      <x:c r="K21" s="35" t="str">
        <x:v>one integrated port-rail-airfield node reopened after two access cuts</x:v>
      </x:c>
      <x:c r="L21" s="35" t="str">
        <x:v>Family Program Office + Technical Integration Office</x:v>
      </x:c>
      <x:c r="M21" s="35" t="str">
        <x:v>OPEN</x:v>
      </x:c>
      <x:c r="N21" s="37" t="str">
        <x:v>HOLD</x:v>
      </x:c>
    </x:row>
    <x:row r="22" ht="48" customHeight="1">
      <x:c r="B22" s="35" t="str">
        <x:v>F34</x:v>
      </x:c>
      <x:c r="C22" s="35" t="str">
        <x:v>Floating nuclear desalination utility</x:v>
      </x:c>
      <x:c r="D22" s="35" t="str">
        <x:v>S1</x:v>
      </x:c>
      <x:c r="E22" s="44" t="n">
        <x:v>0.9425</x:v>
      </x:c>
      <x:c r="F22" s="35" t="str">
        <x:v>Facility utility and safe start</x:v>
      </x:c>
      <x:c r="G22" s="35" t="str">
        <x:v>Supplier and process activation</x:v>
      </x:c>
      <x:c r="H22" s="35" t="str">
        <x:v>A2</x:v>
      </x:c>
      <x:c r="I22" s="35" t="str">
        <x:v>A8</x:v>
      </x:c>
      <x:c r="J22" s="35" t="str">
        <x:v>islanded nuclear water-process factory; modular marine integration; independent component roots</x:v>
      </x:c>
      <x:c r="K22" s="35" t="str">
        <x:v>grid- and shipyard-denied utility-block acceptance</x:v>
      </x:c>
      <x:c r="L22" s="35" t="str">
        <x:v>Family Program Office + Technical Integration Office</x:v>
      </x:c>
      <x:c r="M22" s="35" t="str">
        <x:v>OPEN</x:v>
      </x:c>
      <x:c r="N22" s="37" t="str">
        <x:v>HOLD</x:v>
      </x:c>
    </x:row>
    <x:row r="23" ht="48" customHeight="1">
      <x:c r="B23" s="35" t="str">
        <x:v>F35</x:v>
      </x:c>
      <x:c r="C23" s="35" t="str">
        <x:v>Inland brackish-water treatment train</x:v>
      </x:c>
      <x:c r="D23" s="35" t="str">
        <x:v>W2</x:v>
      </x:c>
      <x:c r="E23" s="44" t="n">
        <x:v>0.8450000000000001</x:v>
      </x:c>
      <x:c r="F23" s="35" t="str">
        <x:v>Material tooling and instrument release</x:v>
      </x:c>
      <x:c r="G23" s="35" t="str">
        <x:v>Regeneration and replacement</x:v>
      </x:c>
      <x:c r="H23" s="35" t="str">
        <x:v>A2</x:v>
      </x:c>
      <x:c r="I23" s="35" t="str">
        <x:v>A6</x:v>
      </x:c>
      <x:c r="J23" s="35" t="str">
        <x:v>variable-feed inland process cells; closed residual loop; portable utility and consumable regeneration</x:v>
      </x:c>
      <x:c r="K23" s="35" t="str">
        <x:v>unknown-feed treatment lot with full residual recovery</x:v>
      </x:c>
      <x:c r="L23" s="35" t="str">
        <x:v>Family Program Office + Technical Integration Office</x:v>
      </x:c>
      <x:c r="M23" s="35" t="str">
        <x:v>OPEN</x:v>
      </x:c>
      <x:c r="N23" s="37" t="str">
        <x:v>HOLD</x:v>
      </x:c>
    </x:row>
    <x:row r="24" ht="48" customHeight="1">
      <x:c r="B24" s="35" t="str">
        <x:v>F36</x:v>
      </x:c>
      <x:c r="C24" s="35" t="str">
        <x:v>Rapid water trunkline system</x:v>
      </x:c>
      <x:c r="D24" s="35" t="str">
        <x:v>S1</x:v>
      </x:c>
      <x:c r="E24" s="44" t="n">
        <x:v>0.9425</x:v>
      </x:c>
      <x:c r="F24" s="35" t="str">
        <x:v>Strategic transport</x:v>
      </x:c>
      <x:c r="G24" s="35" t="str">
        <x:v>Material tooling and instrument release</x:v>
      </x:c>
      <x:c r="H24" s="35" t="str">
        <x:v>A3</x:v>
      </x:c>
      <x:c r="I24" s="35" t="str">
        <x:v>A7</x:v>
      </x:c>
      <x:c r="J24" s="35" t="str">
        <x:v>receiver-held pipe and joint kits; robotic route preparation; transferable joining and test kernel</x:v>
      </x:c>
      <x:c r="K24" s="35" t="str">
        <x:v>ten-kilometre trunkline from sealed cold state through potable release</x:v>
      </x:c>
      <x:c r="L24" s="35" t="str">
        <x:v>Family Program Office + Technical Integration Office</x:v>
      </x:c>
      <x:c r="M24" s="35" t="str">
        <x:v>OPEN</x:v>
      </x:c>
      <x:c r="N24" s="37" t="str">
        <x:v>HOLD</x:v>
      </x:c>
    </x:row>
    <x:row r="25" ht="48" customHeight="1">
      <x:c r="B25" s="35" t="str">
        <x:v>F37</x:v>
      </x:c>
      <x:c r="C25" s="35" t="str">
        <x:v>Wastewater and sanitation restoration plant</x:v>
      </x:c>
      <x:c r="D25" s="35" t="str">
        <x:v>S1</x:v>
      </x:c>
      <x:c r="E25" s="44" t="n">
        <x:v>0.9425</x:v>
      </x:c>
      <x:c r="F25" s="35" t="str">
        <x:v>Facility utility and safe start</x:v>
      </x:c>
      <x:c r="G25" s="35" t="str">
        <x:v>Regeneration and replacement</x:v>
      </x:c>
      <x:c r="H25" s="35" t="str">
        <x:v>A2</x:v>
      </x:c>
      <x:c r="I25" s="35" t="str">
        <x:v>A6</x:v>
      </x:c>
      <x:c r="J25" s="35" t="str">
        <x:v>islanded biological and thermal process cells; residual recovery; rotating inoculum and consumables</x:v>
      </x:c>
      <x:c r="K25" s="35" t="str">
        <x:v>grid-denied wastewater service and biological reset</x:v>
      </x:c>
      <x:c r="L25" s="35" t="str">
        <x:v>Family Program Office + Technical Integration Office</x:v>
      </x:c>
      <x:c r="M25" s="35" t="str">
        <x:v>OPEN</x:v>
      </x:c>
      <x:c r="N25" s="37" t="str">
        <x:v>HOLD</x:v>
      </x:c>
    </x:row>
    <x:row r="26" ht="48" customHeight="1">
      <x:c r="B26" s="35" t="str">
        <x:v>F45</x:v>
      </x:c>
      <x:c r="C26" s="35" t="str">
        <x:v>Modular housing production complex</x:v>
      </x:c>
      <x:c r="D26" s="35" t="str">
        <x:v>W2</x:v>
      </x:c>
      <x:c r="E26" s="44" t="n">
        <x:v>0.8450000000000001</x:v>
      </x:c>
      <x:c r="F26" s="35" t="str">
        <x:v>Strategic transport</x:v>
      </x:c>
      <x:c r="G26" s="35" t="str">
        <x:v>Conforming production</x:v>
      </x:c>
      <x:c r="H26" s="35" t="str">
        <x:v>A3</x:v>
      </x:c>
      <x:c r="I26" s="35" t="str">
        <x:v>A1</x:v>
      </x:c>
      <x:c r="J26" s="35" t="str">
        <x:v>regional structural kits; local automated assembly; distributed component manufacture</x:v>
      </x:c>
      <x:c r="K26" s="35" t="str">
        <x:v>occupied housing block completed after corridor loss</x:v>
      </x:c>
      <x:c r="L26" s="35" t="str">
        <x:v>Family Program Office + Technical Integration Office</x:v>
      </x:c>
      <x:c r="M26" s="35" t="str">
        <x:v>OPEN</x:v>
      </x:c>
      <x:c r="N26" s="37" t="str">
        <x:v>HOLD</x:v>
      </x:c>
    </x:row>
    <x:row r="27" ht="48" customHeight="1">
      <x:c r="B27" s="35" t="str">
        <x:v>F46</x:v>
      </x:c>
      <x:c r="C27" s="35" t="str">
        <x:v>Debris separation and material-recovery fleet</x:v>
      </x:c>
      <x:c r="D27" s="35" t="str">
        <x:v>S1</x:v>
      </x:c>
      <x:c r="E27" s="44" t="n">
        <x:v>0.9425</x:v>
      </x:c>
      <x:c r="F27" s="35" t="str">
        <x:v>Regeneration and replacement</x:v>
      </x:c>
      <x:c r="G27" s="35" t="str">
        <x:v>Workforce muster</x:v>
      </x:c>
      <x:c r="H27" s="35" t="str">
        <x:v>A6</x:v>
      </x:c>
      <x:c r="I27" s="35" t="str">
        <x:v>A5</x:v>
      </x:c>
      <x:c r="J27" s="35" t="str">
        <x:v>hazard-separated recovery cells; material passports; rotating crews and remanufacture stocks</x:v>
      </x:c>
      <x:c r="K27" s="35" t="str">
        <x:v>contaminated debris stream becomes qualified replacement feed</x:v>
      </x:c>
      <x:c r="L27" s="35" t="str">
        <x:v>Family Program Office + Technical Integration Office</x:v>
      </x:c>
      <x:c r="M27" s="35" t="str">
        <x:v>OPEN</x:v>
      </x:c>
      <x:c r="N27" s="37" t="str">
        <x:v>HOLD</x:v>
      </x:c>
    </x:row>
    <x:row r="28" ht="48" customHeight="1">
      <x:c r="B28" s="38" t="str">
        <x:v>F47</x:v>
      </x:c>
      <x:c r="C28" s="38" t="str">
        <x:v>Municipal service-restoration block</x:v>
      </x:c>
      <x:c r="D28" s="38" t="str">
        <x:v>S1</x:v>
      </x:c>
      <x:c r="E28" s="45" t="n">
        <x:v>0.9424999999999999</x:v>
      </x:c>
      <x:c r="F28" s="38" t="str">
        <x:v>Workforce muster</x:v>
      </x:c>
      <x:c r="G28" s="38" t="str">
        <x:v>Receiving-node admission</x:v>
      </x:c>
      <x:c r="H28" s="38" t="str">
        <x:v>A5</x:v>
      </x:c>
      <x:c r="I28" s="38" t="str">
        <x:v>A3</x:v>
      </x:c>
      <x:c r="J28" s="38" t="str">
        <x:v>regional municipal service cells; cross-credentialed crews; receiver-specific repair kits</x:v>
      </x:c>
      <x:c r="K28" s="38" t="str">
        <x:v>second-city utility and public-works block activation</x:v>
      </x:c>
      <x:c r="L28" s="38" t="str">
        <x:v>Family Program Office + Technical Integration Office</x:v>
      </x:c>
      <x:c r="M28" s="38" t="str">
        <x:v>OPEN</x:v>
      </x:c>
      <x:c r="N28" s="40" t="str">
        <x:v>HOLD</x:v>
      </x:c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</x:sheetData>
  <x:mergeCells>
    <x:mergeCell ref="B3:N3"/>
  </x:mergeCells>
  <x:conditionalFormatting sqref="M7:N28">
    <x:cfRule type="containsText" dxfId="9" priority="1" operator="containsText" text="OPEN"/>
    <x:cfRule type="containsText" dxfId="10" priority="2" operator="containsText" text="HOLD"/>
    <x:cfRule type="containsText" dxfId="11" priority="3" operator="containsText" text="BLOCKED"/>
    <x:cfRule type="containsText" dxfId="12" priority="4" operator="containsText" text="GAP"/>
    <x:cfRule type="containsText" dxfId="13" priority="5" operator="containsText" text="NOT ADMITTED"/>
    <x:cfRule type="containsText" dxfId="14" priority="6" operator="containsText" text="FAIL"/>
    <x:cfRule type="containsText" dxfId="15" priority="7" operator="containsText" text="PASS"/>
    <x:cfRule type="containsText" dxfId="16" priority="8" operator="containsText" text="ADEQUATE"/>
    <x:cfRule type="containsText" dxfId="17" priority="9" operator="containsText" text="CLOSES M05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40" hidden="0" customWidth="1"/>
    <x:col min="4" max="4" width="17" hidden="0" customWidth="1"/>
    <x:col min="5" max="5" width="24" hidden="0" customWidth="1"/>
    <x:col min="6" max="6" width="65" hidden="0" customWidth="1"/>
    <x:col min="7" max="7" width="57" hidden="0" customWidth="1"/>
    <x:col min="8" max="8" width="55" hidden="0" customWidth="1"/>
    <x:col min="9" max="9" width="15" hidden="0" customWidth="1"/>
  </x:cols>
  <x:sheetData>
    <x:row r="2">
      <x:c r="B2" s="3" t="str">
        <x:v>Industrial redesign architecture library</x:v>
      </x:c>
      <x:c r="C2" s="2"/>
      <x:c r="D2" s="2"/>
      <x:c r="E2" s="2"/>
      <x:c r="F2" s="2"/>
      <x:c r="G2" s="2"/>
      <x:c r="H2" s="2"/>
      <x:c r="I2" s="2"/>
    </x:row>
    <x:row r="3">
      <x:c r="B3" s="4" t="str">
        <x:v>Architectures change different physical dependencies. A family must combine unlike roots and then close the residual weakest stage explicitly.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Architecture</x:v>
      </x:c>
      <x:c r="C6" s="20" t="str">
        <x:v>Name</x:v>
      </x:c>
      <x:c r="D6" s="20" t="str">
        <x:v>Capital factor</x:v>
      </x:c>
      <x:c r="E6" s="20" t="str">
        <x:v>Annual operating factor</x:v>
      </x:c>
      <x:c r="F6" s="20" t="str">
        <x:v>Physical composition</x:v>
      </x:c>
      <x:c r="G6" s="20" t="str">
        <x:v>Failure removed</x:v>
      </x:c>
      <x:c r="H6" s="20" t="str">
        <x:v>First falsifier</x:v>
      </x:c>
      <x:c r="I6" s="20" t="str">
        <x:v>State</x:v>
      </x:c>
    </x:row>
    <x:row r="7" ht="48" customHeight="1">
      <x:c r="B7" s="35" t="str">
        <x:v>A1</x:v>
      </x:c>
      <x:c r="C7" s="35" t="str">
        <x:v>Distributed process lattice</x:v>
      </x:c>
      <x:c r="D7" s="36" t="n">
        <x:v>0.55</x:v>
      </x:c>
      <x:c r="E7" s="36" t="n">
        <x:v>0.05</x:v>
      </x:c>
      <x:c r="F7" s="35" t="str">
        <x:v>many qualified process cells with unlike utilities and control</x:v>
      </x:c>
      <x:c r="G7" s="35" t="str">
        <x:v>one regional loss cannot stop conforming production</x:v>
      </x:c>
      <x:c r="H7" s="35" t="str">
        <x:v>representative second-region process restart</x:v>
      </x:c>
      <x:c r="I7" s="37" t="str">
        <x:v>PLANNING</x:v>
      </x:c>
    </x:row>
    <x:row r="8" ht="48" customHeight="1">
      <x:c r="B8" s="35" t="str">
        <x:v>A2</x:v>
      </x:c>
      <x:c r="C8" s="35" t="str">
        <x:v>Islanded utility and process twin</x:v>
      </x:c>
      <x:c r="D8" s="36" t="n">
        <x:v>0.75</x:v>
      </x:c>
      <x:c r="E8" s="36" t="n">
        <x:v>0.06</x:v>
      </x:c>
      <x:c r="F8" s="35" t="str">
        <x:v>closed-loop power heat cooling water and safe-state plant around a process twin</x:v>
      </x:c>
      <x:c r="G8" s="35" t="str">
        <x:v>regional infrastructure loss cannot stop or corrupt the line</x:v>
      </x:c>
      <x:c r="H8" s="35" t="str">
        <x:v>full-load black-start and controlled safe stop</x:v>
      </x:c>
      <x:c r="I8" s="37" t="str">
        <x:v>PLANNING</x:v>
      </x:c>
    </x:row>
    <x:row r="9" ht="48" customHeight="1">
      <x:c r="B9" s="35" t="str">
        <x:v>A3</x:v>
      </x:c>
      <x:c r="C9" s="35" t="str">
        <x:v>Receiver-native completion mesh</x:v>
      </x:c>
      <x:c r="D9" s="36" t="n">
        <x:v>0.6</x:v>
      </x:c>
      <x:c r="E9" s="36" t="n">
        <x:v>0.05</x:v>
      </x:c>
      <x:c r="F9" s="35" t="str">
        <x:v>process-ready subassemblies completed and commissioned in prepared receiving arsenals</x:v>
      </x:c>
      <x:c r="G9" s="35" t="str">
        <x:v>shipping and interface burden fall before the damaged corridor</x:v>
      </x:c>
      <x:c r="H9" s="35" t="str">
        <x:v>receiver builds and admits an independent lot</x:v>
      </x:c>
      <x:c r="I9" s="37" t="str">
        <x:v>PLANNING</x:v>
      </x:c>
    </x:row>
    <x:row r="10" ht="48" customHeight="1">
      <x:c r="B10" s="35" t="str">
        <x:v>A4</x:v>
      </x:c>
      <x:c r="C10" s="35" t="str">
        <x:v>Regional multimodal fleet arsenal</x:v>
      </x:c>
      <x:c r="D10" s="36" t="n">
        <x:v>0.9</x:v>
      </x:c>
      <x:c r="E10" s="36" t="n">
        <x:v>0.07</x:v>
      </x:c>
      <x:c r="F10" s="35" t="str">
        <x:v>distributed fleet custody self-load nodes alternate routes and field repair</x:v>
      </x:c>
      <x:c r="G10" s="35" t="str">
        <x:v>loss of one base route or carrier class preserves service</x:v>
      </x:c>
      <x:c r="H10" s="35" t="str">
        <x:v>blind dispatch through a removed route domain</x:v>
      </x:c>
      <x:c r="I10" s="37" t="str">
        <x:v>PLANNING</x:v>
      </x:c>
    </x:row>
    <x:row r="11" ht="48" customHeight="1">
      <x:c r="B11" s="35" t="str">
        <x:v>A5</x:v>
      </x:c>
      <x:c r="C11" s="35" t="str">
        <x:v>Hot cellular service reserve</x:v>
      </x:c>
      <x:c r="D11" s="36" t="n">
        <x:v>0.7</x:v>
      </x:c>
      <x:c r="E11" s="36" t="n">
        <x:v>0.08</x:v>
      </x:c>
      <x:c r="F11" s="35" t="str">
        <x:v>rotating crews warm assets protected consumables and independent service cells</x:v>
      </x:c>
      <x:c r="G11" s="35" t="str">
        <x:v>labor and readiness loss cannot consume the whole family</x:v>
      </x:c>
      <x:c r="H11" s="35" t="str">
        <x:v>no-notice second-cell activation</x:v>
      </x:c>
      <x:c r="I11" s="37" t="str">
        <x:v>PLANNING</x:v>
      </x:c>
    </x:row>
    <x:row r="12" ht="48" customHeight="1">
      <x:c r="B12" s="35" t="str">
        <x:v>A6</x:v>
      </x:c>
      <x:c r="C12" s="35" t="str">
        <x:v>Circular material and regeneration network</x:v>
      </x:c>
      <x:c r="D12" s="36" t="n">
        <x:v>0.6</x:v>
      </x:c>
      <x:c r="E12" s="36" t="n">
        <x:v>0.05</x:v>
      </x:c>
      <x:c r="F12" s="35" t="str">
        <x:v>qualified alternate feedstocks recovery remanufacture and protected replacement stock</x:v>
      </x:c>
      <x:c r="G12" s="35" t="str">
        <x:v>first use does not destroy the second mission</x:v>
      </x:c>
      <x:c r="H12" s="35" t="str">
        <x:v>contaminated first-lot recovery and replacement</x:v>
      </x:c>
      <x:c r="I12" s="37" t="str">
        <x:v>PLANNING</x:v>
      </x:c>
    </x:row>
    <x:row r="13" ht="48" customHeight="1">
      <x:c r="B13" s="35" t="str">
        <x:v>A7</x:v>
      </x:c>
      <x:c r="C13" s="35" t="str">
        <x:v>Transferable tooling and metrology kernel</x:v>
      </x:c>
      <x:c r="D13" s="36" t="n">
        <x:v>0.5</x:v>
      </x:c>
      <x:c r="E13" s="36" t="n">
        <x:v>0.04</x:v>
      </x:c>
      <x:c r="F13" s="35" t="str">
        <x:v>portable fixtures process recipes instruments calibration and local acceptance</x:v>
      </x:c>
      <x:c r="G13" s="35" t="str">
        <x:v>the process can move without configuration drift</x:v>
      </x:c>
      <x:c r="H13" s="35" t="str">
        <x:v>cold alternate-facility reproduction</x:v>
      </x:c>
      <x:c r="I13" s="37" t="str">
        <x:v>PLANNING</x:v>
      </x:c>
    </x:row>
    <x:row r="14" ht="48" customHeight="1">
      <x:c r="B14" s="38" t="str">
        <x:v>A8</x:v>
      </x:c>
      <x:c r="C14" s="38" t="str">
        <x:v>Sovereign and allied dual-root license</x:v>
      </x:c>
      <x:c r="D14" s="39" t="n">
        <x:v>0.65</x:v>
      </x:c>
      <x:c r="E14" s="39" t="n">
        <x:v>0.05</x:v>
      </x:c>
      <x:c r="F14" s="38" t="str">
        <x:v>two unlike process roots with public execution data and lawful cross-border transfer</x:v>
      </x:c>
      <x:c r="G14" s="38" t="str">
        <x:v>ownership or domestic-domain loss leaves an executable root</x:v>
      </x:c>
      <x:c r="H14" s="38" t="str">
        <x:v>allied second-team accepted lot</x:v>
      </x:c>
      <x:c r="I14" s="40" t="str">
        <x:v>PLANNING</x:v>
      </x:c>
    </x:row>
    <x:row r="15">
      <x:c r="B15" s="2"/>
      <x:c r="C15" s="2"/>
      <x:c r="D15" s="2"/>
      <x:c r="E15" s="2"/>
      <x:c r="F15" s="2"/>
      <x:c r="G15" s="2"/>
      <x:c r="H15" s="2"/>
      <x:c r="I15" s="2"/>
    </x:row>
    <x:row r="16">
      <x:c r="B16" s="2"/>
      <x:c r="C16" s="2"/>
      <x:c r="D16" s="2"/>
      <x:c r="E16" s="2"/>
      <x:c r="F16" s="2"/>
      <x:c r="G16" s="2"/>
      <x:c r="H16" s="2"/>
      <x:c r="I16" s="2"/>
    </x:row>
    <x:row r="17">
      <x:c r="B17" s="2"/>
      <x:c r="C17" s="2"/>
      <x:c r="D17" s="2"/>
      <x:c r="E17" s="2"/>
      <x:c r="F17" s="2"/>
      <x:c r="G17" s="2"/>
      <x:c r="H17" s="2"/>
      <x:c r="I17" s="2"/>
    </x:row>
    <x:row r="18">
      <x:c r="B18" s="2"/>
      <x:c r="C18" s="2"/>
      <x:c r="D18" s="2"/>
      <x:c r="E18" s="2"/>
      <x:c r="F18" s="2"/>
      <x:c r="G18" s="2"/>
      <x:c r="H18" s="2"/>
      <x:c r="I18" s="2"/>
    </x:row>
    <x:row r="19">
      <x:c r="B19" s="2"/>
      <x:c r="C19" s="2"/>
      <x:c r="D19" s="2"/>
      <x:c r="E19" s="2"/>
      <x:c r="F19" s="2"/>
      <x:c r="G19" s="2"/>
      <x:c r="H19" s="2"/>
      <x:c r="I19" s="2"/>
    </x:row>
    <x:row r="20">
      <x:c r="B20" s="2"/>
      <x:c r="C20" s="2"/>
      <x:c r="D20" s="2"/>
      <x:c r="E20" s="2"/>
      <x:c r="F20" s="2"/>
      <x:c r="G20" s="2"/>
      <x:c r="H20" s="2"/>
      <x:c r="I20" s="2"/>
    </x:row>
  </x:sheetData>
  <x:mergeCells>
    <x:mergeCell ref="B3:I3"/>
  </x:mergeCells>
  <x:conditionalFormatting sqref="I7:I14">
    <x:cfRule type="containsText" dxfId="18" priority="1" operator="containsText" text="OPEN"/>
    <x:cfRule type="containsText" dxfId="19" priority="2" operator="containsText" text="HOLD"/>
    <x:cfRule type="containsText" dxfId="20" priority="3" operator="containsText" text="BLOCKED"/>
    <x:cfRule type="containsText" dxfId="21" priority="4" operator="containsText" text="GAP"/>
    <x:cfRule type="containsText" dxfId="22" priority="5" operator="containsText" text="NOT ADMITTED"/>
    <x:cfRule type="containsText" dxfId="23" priority="6" operator="containsText" text="FAIL"/>
    <x:cfRule type="containsText" dxfId="24" priority="7" operator="containsText" text="PASS"/>
    <x:cfRule type="containsText" dxfId="25" priority="8" operator="containsText" text="ADEQUATE"/>
    <x:cfRule type="containsText" dxfId="26" priority="9" operator="containsText" text="CLOSES M05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3" hidden="0" customWidth="1"/>
    <x:col min="17" max="17" width="13" hidden="0" customWidth="1"/>
  </x:cols>
  <x:sheetData>
    <x:row r="2">
      <x:c r="B2" s="3" t="str">
        <x:v>Architecture-to-stage capacity additions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 t="str">
        <x:v>Values are added lot-equivalent capacity divided by M05 demand. They are explicit design assumptions subject to full-scale falsification.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19" t="str">
        <x:v>Architecture</x:v>
      </x:c>
      <x:c r="C6" s="20" t="str">
        <x:v>Name</x:v>
      </x:c>
      <x:c r="D6" s="20" t="str">
        <x:v>S1</x:v>
      </x:c>
      <x:c r="E6" s="20" t="str">
        <x:v>S2</x:v>
      </x:c>
      <x:c r="F6" s="20" t="str">
        <x:v>S3</x:v>
      </x:c>
      <x:c r="G6" s="20" t="str">
        <x:v>S4</x:v>
      </x:c>
      <x:c r="H6" s="20" t="str">
        <x:v>S5</x:v>
      </x:c>
      <x:c r="I6" s="20" t="str">
        <x:v>S6</x:v>
      </x:c>
      <x:c r="J6" s="20" t="str">
        <x:v>S7</x:v>
      </x:c>
      <x:c r="K6" s="20" t="str">
        <x:v>S8</x:v>
      </x:c>
      <x:c r="L6" s="20" t="str">
        <x:v>S9</x:v>
      </x:c>
      <x:c r="M6" s="20" t="str">
        <x:v>S10</x:v>
      </x:c>
      <x:c r="N6" s="20" t="str">
        <x:v>S11</x:v>
      </x:c>
      <x:c r="O6" s="20" t="str">
        <x:v>S12</x:v>
      </x:c>
      <x:c r="P6" s="20" t="str">
        <x:v>Evidence</x:v>
      </x:c>
      <x:c r="Q6" s="20" t="str">
        <x:v>Decision</x:v>
      </x:c>
    </x:row>
    <x:row r="7">
      <x:c r="B7" s="21" t="str">
        <x:v>A1</x:v>
      </x:c>
      <x:c r="C7" s="21" t="str">
        <x:v>Distributed process lattice</x:v>
      </x:c>
      <x:c r="D7" s="42" t="n">
        <x:v>0</x:v>
      </x:c>
      <x:c r="E7" s="42" t="n">
        <x:v>0.03</x:v>
      </x:c>
      <x:c r="F7" s="42" t="n">
        <x:v>0.08</x:v>
      </x:c>
      <x:c r="G7" s="42" t="n">
        <x:v>0.12</x:v>
      </x:c>
      <x:c r="H7" s="42" t="n">
        <x:v>0.15</x:v>
      </x:c>
      <x:c r="I7" s="42" t="n">
        <x:v>0.18</x:v>
      </x:c>
      <x:c r="J7" s="42" t="n">
        <x:v>0.08</x:v>
      </x:c>
      <x:c r="K7" s="42" t="n">
        <x:v>0.05</x:v>
      </x:c>
      <x:c r="L7" s="42" t="n">
        <x:v>0.04</x:v>
      </x:c>
      <x:c r="M7" s="42" t="n">
        <x:v>0.03</x:v>
      </x:c>
      <x:c r="N7" s="42" t="n">
        <x:v>0.05</x:v>
      </x:c>
      <x:c r="O7" s="42" t="n">
        <x:v>0.14</x:v>
      </x:c>
      <x:c r="P7" s="21" t="str">
        <x:v>OPEN</x:v>
      </x:c>
      <x:c r="Q7" s="23" t="str">
        <x:v>HOLD</x:v>
      </x:c>
    </x:row>
    <x:row r="8">
      <x:c r="B8" s="21" t="str">
        <x:v>A2</x:v>
      </x:c>
      <x:c r="C8" s="21" t="str">
        <x:v>Islanded utility and process twin</x:v>
      </x:c>
      <x:c r="D8" s="42" t="n">
        <x:v>0</x:v>
      </x:c>
      <x:c r="E8" s="42" t="n">
        <x:v>0.03</x:v>
      </x:c>
      <x:c r="F8" s="42" t="n">
        <x:v>0.2</x:v>
      </x:c>
      <x:c r="G8" s="42" t="n">
        <x:v>0.08</x:v>
      </x:c>
      <x:c r="H8" s="42" t="n">
        <x:v>0.12</x:v>
      </x:c>
      <x:c r="I8" s="42" t="n">
        <x:v>0.12</x:v>
      </x:c>
      <x:c r="J8" s="42" t="n">
        <x:v>0.08</x:v>
      </x:c>
      <x:c r="K8" s="42" t="n">
        <x:v>0.05</x:v>
      </x:c>
      <x:c r="L8" s="42" t="n">
        <x:v>0.04</x:v>
      </x:c>
      <x:c r="M8" s="42" t="n">
        <x:v>0.1</x:v>
      </x:c>
      <x:c r="N8" s="42" t="n">
        <x:v>0.18</x:v>
      </x:c>
      <x:c r="O8" s="42" t="n">
        <x:v>0.14</x:v>
      </x:c>
      <x:c r="P8" s="21" t="str">
        <x:v>OPEN</x:v>
      </x:c>
      <x:c r="Q8" s="23" t="str">
        <x:v>HOLD</x:v>
      </x:c>
    </x:row>
    <x:row r="9">
      <x:c r="B9" s="21" t="str">
        <x:v>A3</x:v>
      </x:c>
      <x:c r="C9" s="21" t="str">
        <x:v>Receiver-native completion mesh</x:v>
      </x:c>
      <x:c r="D9" s="42" t="n">
        <x:v>0</x:v>
      </x:c>
      <x:c r="E9" s="42" t="n">
        <x:v>0.04</x:v>
      </x:c>
      <x:c r="F9" s="42" t="n">
        <x:v>0.05</x:v>
      </x:c>
      <x:c r="G9" s="42" t="n">
        <x:v>0.08</x:v>
      </x:c>
      <x:c r="H9" s="42" t="n">
        <x:v>0.06</x:v>
      </x:c>
      <x:c r="I9" s="42" t="n">
        <x:v>0.08</x:v>
      </x:c>
      <x:c r="J9" s="42" t="n">
        <x:v>0.06</x:v>
      </x:c>
      <x:c r="K9" s="42" t="n">
        <x:v>0.2</x:v>
      </x:c>
      <x:c r="L9" s="42" t="n">
        <x:v>0.2</x:v>
      </x:c>
      <x:c r="M9" s="42" t="n">
        <x:v>0.2</x:v>
      </x:c>
      <x:c r="N9" s="42" t="n">
        <x:v>0.2</x:v>
      </x:c>
      <x:c r="O9" s="42" t="n">
        <x:v>0.12</x:v>
      </x:c>
      <x:c r="P9" s="21" t="str">
        <x:v>OPEN</x:v>
      </x:c>
      <x:c r="Q9" s="23" t="str">
        <x:v>HOLD</x:v>
      </x:c>
    </x:row>
    <x:row r="10">
      <x:c r="B10" s="21" t="str">
        <x:v>A4</x:v>
      </x:c>
      <x:c r="C10" s="21" t="str">
        <x:v>Regional multimodal fleet arsenal</x:v>
      </x:c>
      <x:c r="D10" s="42" t="n">
        <x:v>0.03</x:v>
      </x:c>
      <x:c r="E10" s="42" t="n">
        <x:v>0.08</x:v>
      </x:c>
      <x:c r="F10" s="42" t="n">
        <x:v>0.06</x:v>
      </x:c>
      <x:c r="G10" s="42" t="n">
        <x:v>0.1</x:v>
      </x:c>
      <x:c r="H10" s="42" t="n">
        <x:v>0.1</x:v>
      </x:c>
      <x:c r="I10" s="42" t="n">
        <x:v>0.1</x:v>
      </x:c>
      <x:c r="J10" s="42" t="n">
        <x:v>0.06</x:v>
      </x:c>
      <x:c r="K10" s="42" t="n">
        <x:v>0.22</x:v>
      </x:c>
      <x:c r="L10" s="42" t="n">
        <x:v>0.25</x:v>
      </x:c>
      <x:c r="M10" s="42" t="n">
        <x:v>0.12</x:v>
      </x:c>
      <x:c r="N10" s="42" t="n">
        <x:v>0.1</x:v>
      </x:c>
      <x:c r="O10" s="42" t="n">
        <x:v>0.15</x:v>
      </x:c>
      <x:c r="P10" s="21" t="str">
        <x:v>OPEN</x:v>
      </x:c>
      <x:c r="Q10" s="23" t="str">
        <x:v>HOLD</x:v>
      </x:c>
    </x:row>
    <x:row r="11">
      <x:c r="B11" s="21" t="str">
        <x:v>A5</x:v>
      </x:c>
      <x:c r="C11" s="21" t="str">
        <x:v>Hot cellular service reserve</x:v>
      </x:c>
      <x:c r="D11" s="42" t="n">
        <x:v>0.04</x:v>
      </x:c>
      <x:c r="E11" s="42" t="n">
        <x:v>0.18</x:v>
      </x:c>
      <x:c r="F11" s="42" t="n">
        <x:v>0.1</x:v>
      </x:c>
      <x:c r="G11" s="42" t="n">
        <x:v>0.08</x:v>
      </x:c>
      <x:c r="H11" s="42" t="n">
        <x:v>0.08</x:v>
      </x:c>
      <x:c r="I11" s="42" t="n">
        <x:v>0.1</x:v>
      </x:c>
      <x:c r="J11" s="42" t="n">
        <x:v>0.06</x:v>
      </x:c>
      <x:c r="K11" s="42" t="n">
        <x:v>0.18</x:v>
      </x:c>
      <x:c r="L11" s="42" t="n">
        <x:v>0.18</x:v>
      </x:c>
      <x:c r="M11" s="42" t="n">
        <x:v>0.18</x:v>
      </x:c>
      <x:c r="N11" s="42" t="n">
        <x:v>0.16</x:v>
      </x:c>
      <x:c r="O11" s="42" t="n">
        <x:v>0.22</x:v>
      </x:c>
      <x:c r="P11" s="21" t="str">
        <x:v>OPEN</x:v>
      </x:c>
      <x:c r="Q11" s="23" t="str">
        <x:v>HOLD</x:v>
      </x:c>
    </x:row>
    <x:row r="12">
      <x:c r="B12" s="21" t="str">
        <x:v>A6</x:v>
      </x:c>
      <x:c r="C12" s="21" t="str">
        <x:v>Circular material and regeneration network</x:v>
      </x:c>
      <x:c r="D12" s="42" t="n">
        <x:v>0</x:v>
      </x:c>
      <x:c r="E12" s="42" t="n">
        <x:v>0.03</x:v>
      </x:c>
      <x:c r="F12" s="42" t="n">
        <x:v>0.08</x:v>
      </x:c>
      <x:c r="G12" s="42" t="n">
        <x:v>0.18</x:v>
      </x:c>
      <x:c r="H12" s="42" t="n">
        <x:v>0.12</x:v>
      </x:c>
      <x:c r="I12" s="42" t="n">
        <x:v>0.14</x:v>
      </x:c>
      <x:c r="J12" s="42" t="n">
        <x:v>0.08</x:v>
      </x:c>
      <x:c r="K12" s="42" t="n">
        <x:v>0.06</x:v>
      </x:c>
      <x:c r="L12" s="42" t="n">
        <x:v>0.05</x:v>
      </x:c>
      <x:c r="M12" s="42" t="n">
        <x:v>0.08</x:v>
      </x:c>
      <x:c r="N12" s="42" t="n">
        <x:v>0.08</x:v>
      </x:c>
      <x:c r="O12" s="42" t="n">
        <x:v>0.28</x:v>
      </x:c>
      <x:c r="P12" s="21" t="str">
        <x:v>OPEN</x:v>
      </x:c>
      <x:c r="Q12" s="23" t="str">
        <x:v>HOLD</x:v>
      </x:c>
    </x:row>
    <x:row r="13">
      <x:c r="B13" s="21" t="str">
        <x:v>A7</x:v>
      </x:c>
      <x:c r="C13" s="21" t="str">
        <x:v>Transferable tooling and metrology kernel</x:v>
      </x:c>
      <x:c r="D13" s="42" t="n">
        <x:v>0</x:v>
      </x:c>
      <x:c r="E13" s="42" t="n">
        <x:v>0.05</x:v>
      </x:c>
      <x:c r="F13" s="42" t="n">
        <x:v>0.08</x:v>
      </x:c>
      <x:c r="G13" s="42" t="n">
        <x:v>0.2</x:v>
      </x:c>
      <x:c r="H13" s="42" t="n">
        <x:v>0.16</x:v>
      </x:c>
      <x:c r="I13" s="42" t="n">
        <x:v>0.14</x:v>
      </x:c>
      <x:c r="J13" s="42" t="n">
        <x:v>0.22</x:v>
      </x:c>
      <x:c r="K13" s="42" t="n">
        <x:v>0.08</x:v>
      </x:c>
      <x:c r="L13" s="42" t="n">
        <x:v>0.06</x:v>
      </x:c>
      <x:c r="M13" s="42" t="n">
        <x:v>0.08</x:v>
      </x:c>
      <x:c r="N13" s="42" t="n">
        <x:v>0.08</x:v>
      </x:c>
      <x:c r="O13" s="42" t="n">
        <x:v>0.12</x:v>
      </x:c>
      <x:c r="P13" s="21" t="str">
        <x:v>OPEN</x:v>
      </x:c>
      <x:c r="Q13" s="23" t="str">
        <x:v>HOLD</x:v>
      </x:c>
    </x:row>
    <x:row r="14">
      <x:c r="B14" s="24" t="str">
        <x:v>A8</x:v>
      </x:c>
      <x:c r="C14" s="24" t="str">
        <x:v>Sovereign and allied dual-root license</x:v>
      </x:c>
      <x:c r="D14" s="43" t="n">
        <x:v>0.02</x:v>
      </x:c>
      <x:c r="E14" s="43" t="n">
        <x:v>0.05</x:v>
      </x:c>
      <x:c r="F14" s="43" t="n">
        <x:v>0.08</x:v>
      </x:c>
      <x:c r="G14" s="43" t="n">
        <x:v>0.16</x:v>
      </x:c>
      <x:c r="H14" s="43" t="n">
        <x:v>0.22</x:v>
      </x:c>
      <x:c r="I14" s="43" t="n">
        <x:v>0.18</x:v>
      </x:c>
      <x:c r="J14" s="43" t="n">
        <x:v>0.14</x:v>
      </x:c>
      <x:c r="K14" s="43" t="n">
        <x:v>0.08</x:v>
      </x:c>
      <x:c r="L14" s="43" t="n">
        <x:v>0.06</x:v>
      </x:c>
      <x:c r="M14" s="43" t="n">
        <x:v>0.06</x:v>
      </x:c>
      <x:c r="N14" s="43" t="n">
        <x:v>0.08</x:v>
      </x:c>
      <x:c r="O14" s="43" t="n">
        <x:v>0.18</x:v>
      </x:c>
      <x:c r="P14" s="24" t="str">
        <x:v>OPEN</x:v>
      </x:c>
      <x:c r="Q14" s="26" t="str">
        <x:v>HOLD</x:v>
      </x:c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</x:sheetData>
  <x:mergeCells>
    <x:mergeCell ref="B3:Q3"/>
  </x:mergeCells>
  <x:conditionalFormatting sqref="P7:Q14">
    <x:cfRule type="containsText" dxfId="27" priority="1" operator="containsText" text="OPEN"/>
    <x:cfRule type="containsText" dxfId="28" priority="2" operator="containsText" text="HOLD"/>
    <x:cfRule type="containsText" dxfId="29" priority="3" operator="containsText" text="BLOCKED"/>
    <x:cfRule type="containsText" dxfId="30" priority="4" operator="containsText" text="GAP"/>
    <x:cfRule type="containsText" dxfId="31" priority="5" operator="containsText" text="NOT ADMITTED"/>
    <x:cfRule type="containsText" dxfId="32" priority="6" operator="containsText" text="FAIL"/>
    <x:cfRule type="containsText" dxfId="33" priority="7" operator="containsText" text="PASS"/>
    <x:cfRule type="containsText" dxfId="34" priority="8" operator="containsText" text="ADEQUATE"/>
    <x:cfRule type="containsText" dxfId="35" priority="9" operator="containsText" text="CLOSES M05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0" hidden="0" customWidth="1"/>
    <x:col min="4" max="4" width="10" hidden="0" customWidth="1"/>
    <x:col min="5" max="5" width="38" hidden="0" customWidth="1"/>
    <x:col min="6" max="6" width="17" hidden="0" customWidth="1"/>
    <x:col min="7" max="7" width="18" hidden="0" customWidth="1"/>
    <x:col min="8" max="8" width="20" hidden="0" customWidth="1"/>
    <x:col min="9" max="9" width="22" hidden="0" customWidth="1"/>
    <x:col min="10" max="10" width="24" hidden="0" customWidth="1"/>
    <x:col min="11" max="11" width="20" hidden="0" customWidth="1"/>
    <x:col min="12" max="12" width="15" hidden="0" customWidth="1"/>
    <x:col min="13" max="13" width="16" hidden="0" customWidth="1"/>
    <x:col min="14" max="14" width="20" hidden="0" customWidth="1"/>
    <x:col min="15" max="15" width="15" hidden="0" customWidth="1"/>
  </x:cols>
  <x:sheetData>
    <x:row r="2">
      <x:c r="B2" s="3" t="str">
        <x:v>Family redesign stage build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Targeted architectures change named dependencies. The cellular replication layer is the explicit complete-chain capacity added to reach the 1.10 M05 floor.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19" t="str">
        <x:v>Record</x:v>
      </x:c>
      <x:c r="C6" s="20" t="str">
        <x:v>Family</x:v>
      </x:c>
      <x:c r="D6" s="20" t="str">
        <x:v>Stage</x:v>
      </x:c>
      <x:c r="E6" s="20" t="str">
        <x:v>Stage name</x:v>
      </x:c>
      <x:c r="F6" s="20" t="str">
        <x:v>Baseline ratio</x:v>
      </x:c>
      <x:c r="G6" s="20" t="str">
        <x:v>Primary addition</x:v>
      </x:c>
      <x:c r="H6" s="20" t="str">
        <x:v>Secondary addition</x:v>
      </x:c>
      <x:c r="I6" s="20" t="str">
        <x:v>Pre-replication ratio</x:v>
      </x:c>
      <x:c r="J6" s="20" t="str">
        <x:v>Cellular replication layer</x:v>
      </x:c>
      <x:c r="K6" s="20" t="str">
        <x:v>M05 designed ratio</x:v>
      </x:c>
      <x:c r="L6" s="20" t="str">
        <x:v>M05 result</x:v>
      </x:c>
      <x:c r="M6" s="20" t="str">
        <x:v>M06 retention</x:v>
      </x:c>
      <x:c r="N6" s="20" t="str">
        <x:v>M06 designed ratio</x:v>
      </x:c>
      <x:c r="O6" s="20" t="str">
        <x:v>M06 result</x:v>
      </x:c>
    </x:row>
    <x:row r="7">
      <x:c r="B7" s="21" t="str">
        <x:v>SB-0001</x:v>
      </x:c>
      <x:c r="C7" s="21" t="str">
        <x:v>F05</x:v>
      </x:c>
      <x:c r="D7" s="21" t="n">
        <x:v>1</x:v>
      </x:c>
      <x:c r="E7" s="21" t="str">
        <x:v>Alert authentication</x:v>
      </x:c>
      <x:c r="F7" s="42" t="n">
        <x:v>1.15</x:v>
      </x:c>
      <x:c r="G7" s="42" t="n">
        <x:v>0</x:v>
      </x:c>
      <x:c r="H7" s="42" t="n">
        <x:v>0</x:v>
      </x:c>
      <x:c r="I7" s="42" t="n">
        <x:f>SUM(F7:H7)</x:f>
        <x:v>1.15</x:v>
      </x:c>
      <x:c r="J7" s="42" t="n">
        <x:f>MAX(0,Assumptions!$C$9-MIN($I$7:$I$18))</x:f>
        <x:v>0.08499999999999996</x:v>
      </x:c>
      <x:c r="K7" s="42" t="n">
        <x:f>I7+J7</x:f>
        <x:v>1.2349999999999999</x:v>
      </x:c>
      <x:c r="L7" s="21" t="str">
        <x:f>IF(K7&gt;=Assumptions!$C$9,"ADEQUATE","GAP")</x:f>
        <x:v>ADEQUATE</x:v>
      </x:c>
      <x:c r="M7" s="42" t="n">
        <x:f>'Stage Standard'!G7</x:f>
        <x:v>0.7999999999999999</x:v>
      </x:c>
      <x:c r="N7" s="42" t="n">
        <x:f>K7*M7/Assumptions!$C$12</x:f>
        <x:v>0.7903999999999998</x:v>
      </x:c>
      <x:c r="O7" s="23" t="str">
        <x:f>IF(N7&gt;=1,"ADEQUATE","GAP")</x:f>
        <x:v>GAP</x:v>
      </x:c>
    </x:row>
    <x:row r="8">
      <x:c r="B8" s="21" t="str">
        <x:v>SB-0002</x:v>
      </x:c>
      <x:c r="C8" s="21" t="str">
        <x:v>F05</x:v>
      </x:c>
      <x:c r="D8" s="21" t="n">
        <x:v>2</x:v>
      </x:c>
      <x:c r="E8" s="21" t="str">
        <x:v>Workforce muster</x:v>
      </x:c>
      <x:c r="F8" s="42" t="n">
        <x:v>1.05</x:v>
      </x:c>
      <x:c r="G8" s="42" t="n">
        <x:v>0.03</x:v>
      </x:c>
      <x:c r="H8" s="42" t="n">
        <x:v>0.0195</x:v>
      </x:c>
      <x:c r="I8" s="42" t="n">
        <x:f>SUM(F8:H8)</x:f>
        <x:v>1.0995000000000001</x:v>
      </x:c>
      <x:c r="J8" s="42" t="n">
        <x:f>MAX(0,Assumptions!$C$9-MIN($I$7:$I$18))</x:f>
        <x:v>0.08499999999999996</x:v>
      </x:c>
      <x:c r="K8" s="42" t="n">
        <x:f>I8+J8</x:f>
        <x:v>1.1845</x:v>
      </x:c>
      <x:c r="L8" s="21" t="str">
        <x:f>IF(K8&gt;=Assumptions!$C$9,"ADEQUATE","GAP")</x:f>
        <x:v>ADEQUATE</x:v>
      </x:c>
      <x:c r="M8" s="42" t="n">
        <x:f>'Stage Standard'!G8</x:f>
        <x:v>0.8125</x:v>
      </x:c>
      <x:c r="N8" s="42" t="n">
        <x:f>K8*M8/Assumptions!$C$12</x:f>
        <x:v>0.7699250000000001</x:v>
      </x:c>
      <x:c r="O8" s="23" t="str">
        <x:f>IF(N8&gt;=1,"ADEQUATE","GAP")</x:f>
        <x:v>GAP</x:v>
      </x:c>
    </x:row>
    <x:row r="9">
      <x:c r="B9" s="21" t="str">
        <x:v>SB-0003</x:v>
      </x:c>
      <x:c r="C9" s="21" t="str">
        <x:v>F05</x:v>
      </x:c>
      <x:c r="D9" s="21" t="n">
        <x:v>3</x:v>
      </x:c>
      <x:c r="E9" s="21" t="str">
        <x:v>Facility utility and safe start</x:v>
      </x:c>
      <x:c r="F9" s="42" t="n">
        <x:v>0.98</x:v>
      </x:c>
      <x:c r="G9" s="42" t="n">
        <x:v>0.08</x:v>
      </x:c>
      <x:c r="H9" s="42" t="n">
        <x:v>0.052000000000000005</x:v>
      </x:c>
      <x:c r="I9" s="42" t="n">
        <x:f>SUM(F9:H9)</x:f>
        <x:v>1.112</x:v>
      </x:c>
      <x:c r="J9" s="42" t="n">
        <x:f>MAX(0,Assumptions!$C$9-MIN($I$7:$I$18))</x:f>
        <x:v>0.08499999999999996</x:v>
      </x:c>
      <x:c r="K9" s="42" t="n">
        <x:f>I9+J9</x:f>
        <x:v>1.197</x:v>
      </x:c>
      <x:c r="L9" s="21" t="str">
        <x:f>IF(K9&gt;=Assumptions!$C$9,"ADEQUATE","GAP")</x:f>
        <x:v>ADEQUATE</x:v>
      </x:c>
      <x:c r="M9" s="42" t="n">
        <x:f>'Stage Standard'!G9</x:f>
        <x:v>0.7857142857142858</x:v>
      </x:c>
      <x:c r="N9" s="42" t="n">
        <x:f>K9*M9/Assumptions!$C$12</x:f>
        <x:v>0.7524000000000001</x:v>
      </x:c>
      <x:c r="O9" s="23" t="str">
        <x:f>IF(N9&gt;=1,"ADEQUATE","GAP")</x:f>
        <x:v>GAP</x:v>
      </x:c>
    </x:row>
    <x:row r="10">
      <x:c r="B10" s="21" t="str">
        <x:v>SB-0004</x:v>
      </x:c>
      <x:c r="C10" s="21" t="str">
        <x:v>F05</x:v>
      </x:c>
      <x:c r="D10" s="21" t="n">
        <x:v>4</x:v>
      </x:c>
      <x:c r="E10" s="21" t="str">
        <x:v>Material tooling and instrument release</x:v>
      </x:c>
      <x:c r="F10" s="42" t="n">
        <x:v>0.96</x:v>
      </x:c>
      <x:c r="G10" s="42" t="n">
        <x:v>0.12</x:v>
      </x:c>
      <x:c r="H10" s="42" t="n">
        <x:v>0.11699999999999999</x:v>
      </x:c>
      <x:c r="I10" s="42" t="n">
        <x:f>SUM(F10:H10)</x:f>
        <x:v>1.197</x:v>
      </x:c>
      <x:c r="J10" s="42" t="n">
        <x:f>MAX(0,Assumptions!$C$9-MIN($I$7:$I$18))</x:f>
        <x:v>0.08499999999999996</x:v>
      </x:c>
      <x:c r="K10" s="42" t="n">
        <x:f>I10+J10</x:f>
        <x:v>1.282</x:v>
      </x:c>
      <x:c r="L10" s="21" t="str">
        <x:f>IF(K10&gt;=Assumptions!$C$9,"ADEQUATE","GAP")</x:f>
        <x:v>ADEQUATE</x:v>
      </x:c>
      <x:c r="M10" s="42" t="n">
        <x:f>'Stage Standard'!G10</x:f>
        <x:v>0.7333333333333334</x:v>
      </x:c>
      <x:c r="N10" s="42" t="n">
        <x:f>K10*M10/Assumptions!$C$12</x:f>
        <x:v>0.7521066666666667</x:v>
      </x:c>
      <x:c r="O10" s="23" t="str">
        <x:f>IF(N10&gt;=1,"ADEQUATE","GAP")</x:f>
        <x:v>GAP</x:v>
      </x:c>
    </x:row>
    <x:row r="11">
      <x:c r="B11" s="21" t="str">
        <x:v>SB-0005</x:v>
      </x:c>
      <x:c r="C11" s="21" t="str">
        <x:v>F05</x:v>
      </x:c>
      <x:c r="D11" s="21" t="n">
        <x:v>5</x:v>
      </x:c>
      <x:c r="E11" s="21" t="str">
        <x:v>Supplier and process activation</x:v>
      </x:c>
      <x:c r="F11" s="42" t="n">
        <x:v>0.95</x:v>
      </x:c>
      <x:c r="G11" s="42" t="n">
        <x:v>0.15</x:v>
      </x:c>
      <x:c r="H11" s="42" t="n">
        <x:v>0.078</x:v>
      </x:c>
      <x:c r="I11" s="42" t="n">
        <x:f>SUM(F11:H11)</x:f>
        <x:v>1.178</x:v>
      </x:c>
      <x:c r="J11" s="42" t="n">
        <x:f>MAX(0,Assumptions!$C$9-MIN($I$7:$I$18))</x:f>
        <x:v>0.08499999999999996</x:v>
      </x:c>
      <x:c r="K11" s="42" t="n">
        <x:f>I11+J11</x:f>
        <x:v>1.263</x:v>
      </x:c>
      <x:c r="L11" s="21" t="str">
        <x:f>IF(K11&gt;=Assumptions!$C$9,"ADEQUATE","GAP")</x:f>
        <x:v>ADEQUATE</x:v>
      </x:c>
      <x:c r="M11" s="42" t="n">
        <x:f>'Stage Standard'!G11</x:f>
        <x:v>0.7142857142857143</x:v>
      </x:c>
      <x:c r="N11" s="42" t="n">
        <x:f>K11*M11/Assumptions!$C$12</x:f>
        <x:v>0.7217142857142858</x:v>
      </x:c>
      <x:c r="O11" s="23" t="str">
        <x:f>IF(N11&gt;=1,"ADEQUATE","GAP")</x:f>
        <x:v>GAP</x:v>
      </x:c>
    </x:row>
    <x:row r="12">
      <x:c r="B12" s="21" t="str">
        <x:v>SB-0006</x:v>
      </x:c>
      <x:c r="C12" s="21" t="str">
        <x:v>F05</x:v>
      </x:c>
      <x:c r="D12" s="21" t="n">
        <x:v>6</x:v>
      </x:c>
      <x:c r="E12" s="21" t="str">
        <x:v>Conforming production</x:v>
      </x:c>
      <x:c r="F12" s="42" t="n">
        <x:v>0.88</x:v>
      </x:c>
      <x:c r="G12" s="42" t="n">
        <x:v>0.18</x:v>
      </x:c>
      <x:c r="H12" s="42" t="n">
        <x:v>0.09100000000000001</x:v>
      </x:c>
      <x:c r="I12" s="42" t="n">
        <x:f>SUM(F12:H12)</x:f>
        <x:v>1.151</x:v>
      </x:c>
      <x:c r="J12" s="42" t="n">
        <x:f>MAX(0,Assumptions!$C$9-MIN($I$7:$I$18))</x:f>
        <x:v>0.08499999999999996</x:v>
      </x:c>
      <x:c r="K12" s="42" t="n">
        <x:f>I12+J12</x:f>
        <x:v>1.236</x:v>
      </x:c>
      <x:c r="L12" s="21" t="str">
        <x:f>IF(K12&gt;=Assumptions!$C$9,"ADEQUATE","GAP")</x:f>
        <x:v>ADEQUATE</x:v>
      </x:c>
      <x:c r="M12" s="42" t="n">
        <x:f>'Stage Standard'!G12</x:f>
        <x:v>0.7142857142857143</x:v>
      </x:c>
      <x:c r="N12" s="42" t="n">
        <x:f>K12*M12/Assumptions!$C$12</x:f>
        <x:v>0.7062857142857143</x:v>
      </x:c>
      <x:c r="O12" s="23" t="str">
        <x:f>IF(N12&gt;=1,"ADEQUATE","GAP")</x:f>
        <x:v>GAP</x:v>
      </x:c>
    </x:row>
    <x:row r="13">
      <x:c r="B13" s="21" t="str">
        <x:v>SB-0007</x:v>
      </x:c>
      <x:c r="C13" s="21" t="str">
        <x:v>F05</x:v>
      </x:c>
      <x:c r="D13" s="21" t="n">
        <x:v>7</x:v>
      </x:c>
      <x:c r="E13" s="21" t="str">
        <x:v>Independent acceptance</x:v>
      </x:c>
      <x:c r="F13" s="42" t="n">
        <x:v>1.05</x:v>
      </x:c>
      <x:c r="G13" s="42" t="n">
        <x:v>0.08</x:v>
      </x:c>
      <x:c r="H13" s="42" t="n">
        <x:v>0.052000000000000005</x:v>
      </x:c>
      <x:c r="I13" s="42" t="n">
        <x:f>SUM(F13:H13)</x:f>
        <x:v>1.1820000000000002</x:v>
      </x:c>
      <x:c r="J13" s="42" t="n">
        <x:f>MAX(0,Assumptions!$C$9-MIN($I$7:$I$18))</x:f>
        <x:v>0.08499999999999996</x:v>
      </x:c>
      <x:c r="K13" s="42" t="n">
        <x:f>I13+J13</x:f>
        <x:v>1.2670000000000001</x:v>
      </x:c>
      <x:c r="L13" s="21" t="str">
        <x:f>IF(K13&gt;=Assumptions!$C$9,"ADEQUATE","GAP")</x:f>
        <x:v>ADEQUATE</x:v>
      </x:c>
      <x:c r="M13" s="42" t="n">
        <x:f>'Stage Standard'!G13</x:f>
        <x:v>0.8125</x:v>
      </x:c>
      <x:c r="N13" s="42" t="n">
        <x:f>K13*M13/Assumptions!$C$12</x:f>
        <x:v>0.82355</x:v>
      </x:c>
      <x:c r="O13" s="23" t="str">
        <x:f>IF(N13&gt;=1,"ADEQUATE","GAP")</x:f>
        <x:v>GAP</x:v>
      </x:c>
    </x:row>
    <x:row r="14">
      <x:c r="B14" s="21" t="str">
        <x:v>SB-0008</x:v>
      </x:c>
      <x:c r="C14" s="21" t="str">
        <x:v>F05</x:v>
      </x:c>
      <x:c r="D14" s="21" t="n">
        <x:v>8</x:v>
      </x:c>
      <x:c r="E14" s="21" t="str">
        <x:v>Loadout and custody transfer</x:v>
      </x:c>
      <x:c r="F14" s="42" t="n">
        <x:v>0.96</x:v>
      </x:c>
      <x:c r="G14" s="42" t="n">
        <x:v>0.05</x:v>
      </x:c>
      <x:c r="H14" s="42" t="n">
        <x:v>0.039</x:v>
      </x:c>
      <x:c r="I14" s="42" t="n">
        <x:f>SUM(F14:H14)</x:f>
        <x:v>1.049</x:v>
      </x:c>
      <x:c r="J14" s="42" t="n">
        <x:f>MAX(0,Assumptions!$C$9-MIN($I$7:$I$18))</x:f>
        <x:v>0.08499999999999996</x:v>
      </x:c>
      <x:c r="K14" s="42" t="n">
        <x:f>I14+J14</x:f>
        <x:v>1.134</x:v>
      </x:c>
      <x:c r="L14" s="21" t="str">
        <x:f>IF(K14&gt;=Assumptions!$C$9,"ADEQUATE","GAP")</x:f>
        <x:v>ADEQUATE</x:v>
      </x:c>
      <x:c r="M14" s="42" t="n">
        <x:f>'Stage Standard'!G14</x:f>
        <x:v>0.7692307692307692</x:v>
      </x:c>
      <x:c r="N14" s="42" t="n">
        <x:f>K14*M14/Assumptions!$C$12</x:f>
        <x:v>0.6978461538461537</x:v>
      </x:c>
      <x:c r="O14" s="23" t="str">
        <x:f>IF(N14&gt;=1,"ADEQUATE","GAP")</x:f>
        <x:v>GAP</x:v>
      </x:c>
    </x:row>
    <x:row r="15">
      <x:c r="B15" s="21" t="str">
        <x:v>SB-0009</x:v>
      </x:c>
      <x:c r="C15" s="21" t="str">
        <x:v>F05</x:v>
      </x:c>
      <x:c r="D15" s="21" t="n">
        <x:v>9</x:v>
      </x:c>
      <x:c r="E15" s="21" t="str">
        <x:v>Strategic transport</x:v>
      </x:c>
      <x:c r="F15" s="42" t="n">
        <x:v>0.9425</x:v>
      </x:c>
      <x:c r="G15" s="42" t="n">
        <x:v>0.04</x:v>
      </x:c>
      <x:c r="H15" s="42" t="n">
        <x:v>0.0325</x:v>
      </x:c>
      <x:c r="I15" s="42" t="n">
        <x:f>SUM(F15:H15)</x:f>
        <x:v>1.0150000000000001</x:v>
      </x:c>
      <x:c r="J15" s="42" t="n">
        <x:f>MAX(0,Assumptions!$C$9-MIN($I$7:$I$18))</x:f>
        <x:v>0.08499999999999996</x:v>
      </x:c>
      <x:c r="K15" s="42" t="n">
        <x:f>I15+J15</x:f>
        <x:v>1.1</x:v>
      </x:c>
      <x:c r="L15" s="21" t="str">
        <x:f>IF(K15&gt;=Assumptions!$C$9,"ADEQUATE","GAP")</x:f>
        <x:v>ADEQUATE</x:v>
      </x:c>
      <x:c r="M15" s="42" t="n">
        <x:f>'Stage Standard'!G15</x:f>
        <x:v>0.7692307692307692</x:v>
      </x:c>
      <x:c r="N15" s="42" t="n">
        <x:f>K15*M15/Assumptions!$C$12</x:f>
        <x:v>0.676923076923077</x:v>
      </x:c>
      <x:c r="O15" s="23" t="str">
        <x:f>IF(N15&gt;=1,"ADEQUATE","GAP")</x:f>
        <x:v>GAP</x:v>
      </x:c>
    </x:row>
    <x:row r="16">
      <x:c r="B16" s="21" t="str">
        <x:v>SB-0010</x:v>
      </x:c>
      <x:c r="C16" s="21" t="str">
        <x:v>F05</x:v>
      </x:c>
      <x:c r="D16" s="21" t="n">
        <x:v>10</x:v>
      </x:c>
      <x:c r="E16" s="21" t="str">
        <x:v>Receiving-node admission</x:v>
      </x:c>
      <x:c r="F16" s="42" t="n">
        <x:v>1</x:v>
      </x:c>
      <x:c r="G16" s="42" t="n">
        <x:v>0.03</x:v>
      </x:c>
      <x:c r="H16" s="42" t="n">
        <x:v>0.052000000000000005</x:v>
      </x:c>
      <x:c r="I16" s="42" t="n">
        <x:f>SUM(F16:H16)</x:f>
        <x:v>1.082</x:v>
      </x:c>
      <x:c r="J16" s="42" t="n">
        <x:f>MAX(0,Assumptions!$C$9-MIN($I$7:$I$18))</x:f>
        <x:v>0.08499999999999996</x:v>
      </x:c>
      <x:c r="K16" s="42" t="n">
        <x:f>I16+J16</x:f>
        <x:v>1.167</x:v>
      </x:c>
      <x:c r="L16" s="21" t="str">
        <x:f>IF(K16&gt;=Assumptions!$C$9,"ADEQUATE","GAP")</x:f>
        <x:v>ADEQUATE</x:v>
      </x:c>
      <x:c r="M16" s="42" t="n">
        <x:f>'Stage Standard'!G16</x:f>
        <x:v>0.7999999999999999</x:v>
      </x:c>
      <x:c r="N16" s="42" t="n">
        <x:f>K16*M16/Assumptions!$C$12</x:f>
        <x:v>0.74688</x:v>
      </x:c>
      <x:c r="O16" s="23" t="str">
        <x:f>IF(N16&gt;=1,"ADEQUATE","GAP")</x:f>
        <x:v>GAP</x:v>
      </x:c>
    </x:row>
    <x:row r="17">
      <x:c r="B17" s="21" t="str">
        <x:v>SB-0011</x:v>
      </x:c>
      <x:c r="C17" s="21" t="str">
        <x:v>F05</x:v>
      </x:c>
      <x:c r="D17" s="21" t="n">
        <x:v>11</x:v>
      </x:c>
      <x:c r="E17" s="21" t="str">
        <x:v>Commissioned public service</x:v>
      </x:c>
      <x:c r="F17" s="42" t="n">
        <x:v>0.98</x:v>
      </x:c>
      <x:c r="G17" s="42" t="n">
        <x:v>0.05</x:v>
      </x:c>
      <x:c r="H17" s="42" t="n">
        <x:v>0.052000000000000005</x:v>
      </x:c>
      <x:c r="I17" s="42" t="n">
        <x:f>SUM(F17:H17)</x:f>
        <x:v>1.082</x:v>
      </x:c>
      <x:c r="J17" s="42" t="n">
        <x:f>MAX(0,Assumptions!$C$9-MIN($I$7:$I$18))</x:f>
        <x:v>0.08499999999999996</x:v>
      </x:c>
      <x:c r="K17" s="42" t="n">
        <x:f>I17+J17</x:f>
        <x:v>1.167</x:v>
      </x:c>
      <x:c r="L17" s="21" t="str">
        <x:f>IF(K17&gt;=Assumptions!$C$9,"ADEQUATE","GAP")</x:f>
        <x:v>ADEQUATE</x:v>
      </x:c>
      <x:c r="M17" s="42" t="n">
        <x:f>'Stage Standard'!G17</x:f>
        <x:v>0.7857142857142858</x:v>
      </x:c>
      <x:c r="N17" s="42" t="n">
        <x:f>K17*M17/Assumptions!$C$12</x:f>
        <x:v>0.7335428571428573</x:v>
      </x:c>
      <x:c r="O17" s="23" t="str">
        <x:f>IF(N17&gt;=1,"ADEQUATE","GAP")</x:f>
        <x:v>GAP</x:v>
      </x:c>
    </x:row>
    <x:row r="18">
      <x:c r="B18" s="21" t="str">
        <x:v>SB-0012</x:v>
      </x:c>
      <x:c r="C18" s="21" t="str">
        <x:v>F05</x:v>
      </x:c>
      <x:c r="D18" s="21" t="n">
        <x:v>12</x:v>
      </x:c>
      <x:c r="E18" s="21" t="str">
        <x:v>Regeneration and replacement</x:v>
      </x:c>
      <x:c r="F18" s="42" t="n">
        <x:v>0.9</x:v>
      </x:c>
      <x:c r="G18" s="42" t="n">
        <x:v>0.14</x:v>
      </x:c>
      <x:c r="H18" s="42" t="n">
        <x:v>0.18200000000000002</x:v>
      </x:c>
      <x:c r="I18" s="42" t="n">
        <x:f>SUM(F18:H18)</x:f>
        <x:v>1.222</x:v>
      </x:c>
      <x:c r="J18" s="42" t="n">
        <x:f>MAX(0,Assumptions!$C$9-MIN($I$7:$I$18))</x:f>
        <x:v>0.08499999999999996</x:v>
      </x:c>
      <x:c r="K18" s="42" t="n">
        <x:f>I18+J18</x:f>
        <x:v>1.307</x:v>
      </x:c>
      <x:c r="L18" s="21" t="str">
        <x:f>IF(K18&gt;=Assumptions!$C$9,"ADEQUATE","GAP")</x:f>
        <x:v>ADEQUATE</x:v>
      </x:c>
      <x:c r="M18" s="42" t="n">
        <x:f>'Stage Standard'!G18</x:f>
        <x:v>0.7142857142857143</x:v>
      </x:c>
      <x:c r="N18" s="42" t="n">
        <x:f>K18*M18/Assumptions!$C$12</x:f>
        <x:v>0.7468571428571428</x:v>
      </x:c>
      <x:c r="O18" s="23" t="str">
        <x:f>IF(N18&gt;=1,"ADEQUATE","GAP")</x:f>
        <x:v>GAP</x:v>
      </x:c>
    </x:row>
    <x:row r="19">
      <x:c r="B19" s="21" t="str">
        <x:v>SB-0013</x:v>
      </x:c>
      <x:c r="C19" s="21" t="str">
        <x:v>F06</x:v>
      </x:c>
      <x:c r="D19" s="21" t="n">
        <x:v>1</x:v>
      </x:c>
      <x:c r="E19" s="21" t="str">
        <x:v>Alert authentication</x:v>
      </x:c>
      <x:c r="F19" s="42" t="n">
        <x:v>1.15</x:v>
      </x:c>
      <x:c r="G19" s="42" t="n">
        <x:v>0</x:v>
      </x:c>
      <x:c r="H19" s="42" t="n">
        <x:v>0.026000000000000002</x:v>
      </x:c>
      <x:c r="I19" s="42" t="n">
        <x:f>SUM(F19:H19)</x:f>
        <x:v>1.176</x:v>
      </x:c>
      <x:c r="J19" s="42" t="n">
        <x:f>MAX(0,Assumptions!$C$9-MIN($I$19:$I$30))</x:f>
        <x:v>0.000500000000000167</x:v>
      </x:c>
      <x:c r="K19" s="42" t="n">
        <x:f>I19+J19</x:f>
        <x:v>1.1765</x:v>
      </x:c>
      <x:c r="L19" s="21" t="str">
        <x:f>IF(K19&gt;=Assumptions!$C$9,"ADEQUATE","GAP")</x:f>
        <x:v>ADEQUATE</x:v>
      </x:c>
      <x:c r="M19" s="42" t="n">
        <x:f>'Stage Standard'!G7</x:f>
        <x:v>0.7999999999999999</x:v>
      </x:c>
      <x:c r="N19" s="42" t="n">
        <x:f>K19*M19/Assumptions!$C$12</x:f>
        <x:v>0.7529600000000001</x:v>
      </x:c>
      <x:c r="O19" s="23" t="str">
        <x:f>IF(N19&gt;=1,"ADEQUATE","GAP")</x:f>
        <x:v>GAP</x:v>
      </x:c>
    </x:row>
    <x:row r="20">
      <x:c r="B20" s="21" t="str">
        <x:v>SB-0014</x:v>
      </x:c>
      <x:c r="C20" s="21" t="str">
        <x:v>F06</x:v>
      </x:c>
      <x:c r="D20" s="21" t="n">
        <x:v>2</x:v>
      </x:c>
      <x:c r="E20" s="21" t="str">
        <x:v>Workforce muster</x:v>
      </x:c>
      <x:c r="F20" s="42" t="n">
        <x:v>1.05</x:v>
      </x:c>
      <x:c r="G20" s="42" t="n">
        <x:v>0.03</x:v>
      </x:c>
      <x:c r="H20" s="42" t="n">
        <x:v>0.11699999999999999</x:v>
      </x:c>
      <x:c r="I20" s="42" t="n">
        <x:f>SUM(F20:H20)</x:f>
        <x:v>1.197</x:v>
      </x:c>
      <x:c r="J20" s="42" t="n">
        <x:f>MAX(0,Assumptions!$C$9-MIN($I$19:$I$30))</x:f>
        <x:v>0.000500000000000167</x:v>
      </x:c>
      <x:c r="K20" s="42" t="n">
        <x:f>I20+J20</x:f>
        <x:v>1.1975000000000002</x:v>
      </x:c>
      <x:c r="L20" s="21" t="str">
        <x:f>IF(K20&gt;=Assumptions!$C$9,"ADEQUATE","GAP")</x:f>
        <x:v>ADEQUATE</x:v>
      </x:c>
      <x:c r="M20" s="42" t="n">
        <x:f>'Stage Standard'!G8</x:f>
        <x:v>0.8125</x:v>
      </x:c>
      <x:c r="N20" s="42" t="n">
        <x:f>K20*M20/Assumptions!$C$12</x:f>
        <x:v>0.7783750000000002</x:v>
      </x:c>
      <x:c r="O20" s="23" t="str">
        <x:f>IF(N20&gt;=1,"ADEQUATE","GAP")</x:f>
        <x:v>GAP</x:v>
      </x:c>
    </x:row>
    <x:row r="21">
      <x:c r="B21" s="21" t="str">
        <x:v>SB-0015</x:v>
      </x:c>
      <x:c r="C21" s="21" t="str">
        <x:v>F06</x:v>
      </x:c>
      <x:c r="D21" s="21" t="n">
        <x:v>3</x:v>
      </x:c>
      <x:c r="E21" s="21" t="str">
        <x:v>Facility utility and safe start</x:v>
      </x:c>
      <x:c r="F21" s="42" t="n">
        <x:v>0.9</x:v>
      </x:c>
      <x:c r="G21" s="42" t="n">
        <x:v>0.2</x:v>
      </x:c>
      <x:c r="H21" s="42" t="n">
        <x:v>0.065</x:v>
      </x:c>
      <x:c r="I21" s="42" t="n">
        <x:f>SUM(F21:H21)</x:f>
        <x:v>1.165</x:v>
      </x:c>
      <x:c r="J21" s="42" t="n">
        <x:f>MAX(0,Assumptions!$C$9-MIN($I$19:$I$30))</x:f>
        <x:v>0.000500000000000167</x:v>
      </x:c>
      <x:c r="K21" s="42" t="n">
        <x:f>I21+J21</x:f>
        <x:v>1.1655000000000002</x:v>
      </x:c>
      <x:c r="L21" s="21" t="str">
        <x:f>IF(K21&gt;=Assumptions!$C$9,"ADEQUATE","GAP")</x:f>
        <x:v>ADEQUATE</x:v>
      </x:c>
      <x:c r="M21" s="42" t="n">
        <x:f>'Stage Standard'!G9</x:f>
        <x:v>0.7857142857142858</x:v>
      </x:c>
      <x:c r="N21" s="42" t="n">
        <x:f>K21*M21/Assumptions!$C$12</x:f>
        <x:v>0.7326000000000003</x:v>
      </x:c>
      <x:c r="O21" s="23" t="str">
        <x:f>IF(N21&gt;=1,"ADEQUATE","GAP")</x:f>
        <x:v>GAP</x:v>
      </x:c>
    </x:row>
    <x:row r="22">
      <x:c r="B22" s="21" t="str">
        <x:v>SB-0016</x:v>
      </x:c>
      <x:c r="C22" s="21" t="str">
        <x:v>F06</x:v>
      </x:c>
      <x:c r="D22" s="21" t="n">
        <x:v>4</x:v>
      </x:c>
      <x:c r="E22" s="21" t="str">
        <x:v>Material tooling and instrument release</x:v>
      </x:c>
      <x:c r="F22" s="42" t="n">
        <x:v>1</x:v>
      </x:c>
      <x:c r="G22" s="42" t="n">
        <x:v>0.08</x:v>
      </x:c>
      <x:c r="H22" s="42" t="n">
        <x:v>0.052000000000000005</x:v>
      </x:c>
      <x:c r="I22" s="42" t="n">
        <x:f>SUM(F22:H22)</x:f>
        <x:v>1.1320000000000001</x:v>
      </x:c>
      <x:c r="J22" s="42" t="n">
        <x:f>MAX(0,Assumptions!$C$9-MIN($I$19:$I$30))</x:f>
        <x:v>0.000500000000000167</x:v>
      </x:c>
      <x:c r="K22" s="42" t="n">
        <x:f>I22+J22</x:f>
        <x:v>1.1325000000000003</x:v>
      </x:c>
      <x:c r="L22" s="21" t="str">
        <x:f>IF(K22&gt;=Assumptions!$C$9,"ADEQUATE","GAP")</x:f>
        <x:v>ADEQUATE</x:v>
      </x:c>
      <x:c r="M22" s="42" t="n">
        <x:f>'Stage Standard'!G10</x:f>
        <x:v>0.7333333333333334</x:v>
      </x:c>
      <x:c r="N22" s="42" t="n">
        <x:f>K22*M22/Assumptions!$C$12</x:f>
        <x:v>0.6644000000000002</x:v>
      </x:c>
      <x:c r="O22" s="23" t="str">
        <x:f>IF(N22&gt;=1,"ADEQUATE","GAP")</x:f>
        <x:v>GAP</x:v>
      </x:c>
    </x:row>
    <x:row r="23">
      <x:c r="B23" s="21" t="str">
        <x:v>SB-0017</x:v>
      </x:c>
      <x:c r="C23" s="21" t="str">
        <x:v>F06</x:v>
      </x:c>
      <x:c r="D23" s="21" t="n">
        <x:v>5</x:v>
      </x:c>
      <x:c r="E23" s="21" t="str">
        <x:v>Supplier and process activation</x:v>
      </x:c>
      <x:c r="F23" s="42" t="n">
        <x:v>0.95</x:v>
      </x:c>
      <x:c r="G23" s="42" t="n">
        <x:v>0.12</x:v>
      </x:c>
      <x:c r="H23" s="42" t="n">
        <x:v>0.052000000000000005</x:v>
      </x:c>
      <x:c r="I23" s="42" t="n">
        <x:f>SUM(F23:H23)</x:f>
        <x:v>1.1219999999999999</x:v>
      </x:c>
      <x:c r="J23" s="42" t="n">
        <x:f>MAX(0,Assumptions!$C$9-MIN($I$19:$I$30))</x:f>
        <x:v>0.000500000000000167</x:v>
      </x:c>
      <x:c r="K23" s="42" t="n">
        <x:f>I23+J23</x:f>
        <x:v>1.1225</x:v>
      </x:c>
      <x:c r="L23" s="21" t="str">
        <x:f>IF(K23&gt;=Assumptions!$C$9,"ADEQUATE","GAP")</x:f>
        <x:v>ADEQUATE</x:v>
      </x:c>
      <x:c r="M23" s="42" t="n">
        <x:f>'Stage Standard'!G11</x:f>
        <x:v>0.7142857142857143</x:v>
      </x:c>
      <x:c r="N23" s="42" t="n">
        <x:f>K23*M23/Assumptions!$C$12</x:f>
        <x:v>0.6414285714285715</x:v>
      </x:c>
      <x:c r="O23" s="23" t="str">
        <x:f>IF(N23&gt;=1,"ADEQUATE","GAP")</x:f>
        <x:v>GAP</x:v>
      </x:c>
    </x:row>
    <x:row r="24">
      <x:c r="B24" s="21" t="str">
        <x:v>SB-0018</x:v>
      </x:c>
      <x:c r="C24" s="21" t="str">
        <x:v>F06</x:v>
      </x:c>
      <x:c r="D24" s="21" t="n">
        <x:v>6</x:v>
      </x:c>
      <x:c r="E24" s="21" t="str">
        <x:v>Conforming production</x:v>
      </x:c>
      <x:c r="F24" s="42" t="n">
        <x:v>0.96</x:v>
      </x:c>
      <x:c r="G24" s="42" t="n">
        <x:v>0.12</x:v>
      </x:c>
      <x:c r="H24" s="42" t="n">
        <x:v>0.065</x:v>
      </x:c>
      <x:c r="I24" s="42" t="n">
        <x:f>SUM(F24:H24)</x:f>
        <x:v>1.145</x:v>
      </x:c>
      <x:c r="J24" s="42" t="n">
        <x:f>MAX(0,Assumptions!$C$9-MIN($I$19:$I$30))</x:f>
        <x:v>0.000500000000000167</x:v>
      </x:c>
      <x:c r="K24" s="42" t="n">
        <x:f>I24+J24</x:f>
        <x:v>1.1455000000000002</x:v>
      </x:c>
      <x:c r="L24" s="21" t="str">
        <x:f>IF(K24&gt;=Assumptions!$C$9,"ADEQUATE","GAP")</x:f>
        <x:v>ADEQUATE</x:v>
      </x:c>
      <x:c r="M24" s="42" t="n">
        <x:f>'Stage Standard'!G12</x:f>
        <x:v>0.7142857142857143</x:v>
      </x:c>
      <x:c r="N24" s="42" t="n">
        <x:f>K24*M24/Assumptions!$C$12</x:f>
        <x:v>0.6545714285714287</x:v>
      </x:c>
      <x:c r="O24" s="23" t="str">
        <x:f>IF(N24&gt;=1,"ADEQUATE","GAP")</x:f>
        <x:v>GAP</x:v>
      </x:c>
    </x:row>
    <x:row r="25">
      <x:c r="B25" s="21" t="str">
        <x:v>SB-0019</x:v>
      </x:c>
      <x:c r="C25" s="21" t="str">
        <x:v>F06</x:v>
      </x:c>
      <x:c r="D25" s="21" t="n">
        <x:v>7</x:v>
      </x:c>
      <x:c r="E25" s="21" t="str">
        <x:v>Independent acceptance</x:v>
      </x:c>
      <x:c r="F25" s="42" t="n">
        <x:v>1.05</x:v>
      </x:c>
      <x:c r="G25" s="42" t="n">
        <x:v>0.08</x:v>
      </x:c>
      <x:c r="H25" s="42" t="n">
        <x:v>0.039</x:v>
      </x:c>
      <x:c r="I25" s="42" t="n">
        <x:f>SUM(F25:H25)</x:f>
        <x:v>1.169</x:v>
      </x:c>
      <x:c r="J25" s="42" t="n">
        <x:f>MAX(0,Assumptions!$C$9-MIN($I$19:$I$30))</x:f>
        <x:v>0.000500000000000167</x:v>
      </x:c>
      <x:c r="K25" s="42" t="n">
        <x:f>I25+J25</x:f>
        <x:v>1.1695000000000002</x:v>
      </x:c>
      <x:c r="L25" s="21" t="str">
        <x:f>IF(K25&gt;=Assumptions!$C$9,"ADEQUATE","GAP")</x:f>
        <x:v>ADEQUATE</x:v>
      </x:c>
      <x:c r="M25" s="42" t="n">
        <x:f>'Stage Standard'!G13</x:f>
        <x:v>0.8125</x:v>
      </x:c>
      <x:c r="N25" s="42" t="n">
        <x:f>K25*M25/Assumptions!$C$12</x:f>
        <x:v>0.760175</x:v>
      </x:c>
      <x:c r="O25" s="23" t="str">
        <x:f>IF(N25&gt;=1,"ADEQUATE","GAP")</x:f>
        <x:v>GAP</x:v>
      </x:c>
    </x:row>
    <x:row r="26">
      <x:c r="B26" s="21" t="str">
        <x:v>SB-0020</x:v>
      </x:c>
      <x:c r="C26" s="21" t="str">
        <x:v>F06</x:v>
      </x:c>
      <x:c r="D26" s="21" t="n">
        <x:v>8</x:v>
      </x:c>
      <x:c r="E26" s="21" t="str">
        <x:v>Loadout and custody transfer</x:v>
      </x:c>
      <x:c r="F26" s="42" t="n">
        <x:v>0.96</x:v>
      </x:c>
      <x:c r="G26" s="42" t="n">
        <x:v>0.05</x:v>
      </x:c>
      <x:c r="H26" s="42" t="n">
        <x:v>0.11699999999999999</x:v>
      </x:c>
      <x:c r="I26" s="42" t="n">
        <x:f>SUM(F26:H26)</x:f>
        <x:v>1.127</x:v>
      </x:c>
      <x:c r="J26" s="42" t="n">
        <x:f>MAX(0,Assumptions!$C$9-MIN($I$19:$I$30))</x:f>
        <x:v>0.000500000000000167</x:v>
      </x:c>
      <x:c r="K26" s="42" t="n">
        <x:f>I26+J26</x:f>
        <x:v>1.1275000000000002</x:v>
      </x:c>
      <x:c r="L26" s="21" t="str">
        <x:f>IF(K26&gt;=Assumptions!$C$9,"ADEQUATE","GAP")</x:f>
        <x:v>ADEQUATE</x:v>
      </x:c>
      <x:c r="M26" s="42" t="n">
        <x:f>'Stage Standard'!G14</x:f>
        <x:v>0.7692307692307692</x:v>
      </x:c>
      <x:c r="N26" s="42" t="n">
        <x:f>K26*M26/Assumptions!$C$12</x:f>
        <x:v>0.6938461538461539</x:v>
      </x:c>
      <x:c r="O26" s="23" t="str">
        <x:f>IF(N26&gt;=1,"ADEQUATE","GAP")</x:f>
        <x:v>GAP</x:v>
      </x:c>
    </x:row>
    <x:row r="27">
      <x:c r="B27" s="21" t="str">
        <x:v>SB-0021</x:v>
      </x:c>
      <x:c r="C27" s="21" t="str">
        <x:v>F06</x:v>
      </x:c>
      <x:c r="D27" s="21" t="n">
        <x:v>9</x:v>
      </x:c>
      <x:c r="E27" s="21" t="str">
        <x:v>Strategic transport</x:v>
      </x:c>
      <x:c r="F27" s="42" t="n">
        <x:v>0.9425</x:v>
      </x:c>
      <x:c r="G27" s="42" t="n">
        <x:v>0.04</x:v>
      </x:c>
      <x:c r="H27" s="42" t="n">
        <x:v>0.11699999999999999</x:v>
      </x:c>
      <x:c r="I27" s="42" t="n">
        <x:f>SUM(F27:H27)</x:f>
        <x:v>1.0995</x:v>
      </x:c>
      <x:c r="J27" s="42" t="n">
        <x:f>MAX(0,Assumptions!$C$9-MIN($I$19:$I$30))</x:f>
        <x:v>0.000500000000000167</x:v>
      </x:c>
      <x:c r="K27" s="42" t="n">
        <x:f>I27+J27</x:f>
        <x:v>1.1</x:v>
      </x:c>
      <x:c r="L27" s="21" t="str">
        <x:f>IF(K27&gt;=Assumptions!$C$9,"ADEQUATE","GAP")</x:f>
        <x:v>ADEQUATE</x:v>
      </x:c>
      <x:c r="M27" s="42" t="n">
        <x:f>'Stage Standard'!G15</x:f>
        <x:v>0.7692307692307692</x:v>
      </x:c>
      <x:c r="N27" s="42" t="n">
        <x:f>K27*M27/Assumptions!$C$12</x:f>
        <x:v>0.676923076923077</x:v>
      </x:c>
      <x:c r="O27" s="23" t="str">
        <x:f>IF(N27&gt;=1,"ADEQUATE","GAP")</x:f>
        <x:v>GAP</x:v>
      </x:c>
    </x:row>
    <x:row r="28">
      <x:c r="B28" s="21" t="str">
        <x:v>SB-0022</x:v>
      </x:c>
      <x:c r="C28" s="21" t="str">
        <x:v>F06</x:v>
      </x:c>
      <x:c r="D28" s="21" t="n">
        <x:v>10</x:v>
      </x:c>
      <x:c r="E28" s="21" t="str">
        <x:v>Receiving-node admission</x:v>
      </x:c>
      <x:c r="F28" s="42" t="n">
        <x:v>1</x:v>
      </x:c>
      <x:c r="G28" s="42" t="n">
        <x:v>0.1</x:v>
      </x:c>
      <x:c r="H28" s="42" t="n">
        <x:v>0.11699999999999999</x:v>
      </x:c>
      <x:c r="I28" s="42" t="n">
        <x:f>SUM(F28:H28)</x:f>
        <x:v>1.217</x:v>
      </x:c>
      <x:c r="J28" s="42" t="n">
        <x:f>MAX(0,Assumptions!$C$9-MIN($I$19:$I$30))</x:f>
        <x:v>0.000500000000000167</x:v>
      </x:c>
      <x:c r="K28" s="42" t="n">
        <x:f>I28+J28</x:f>
        <x:v>1.2175000000000002</x:v>
      </x:c>
      <x:c r="L28" s="21" t="str">
        <x:f>IF(K28&gt;=Assumptions!$C$9,"ADEQUATE","GAP")</x:f>
        <x:v>ADEQUATE</x:v>
      </x:c>
      <x:c r="M28" s="42" t="n">
        <x:f>'Stage Standard'!G16</x:f>
        <x:v>0.7999999999999999</x:v>
      </x:c>
      <x:c r="N28" s="42" t="n">
        <x:f>K28*M28/Assumptions!$C$12</x:f>
        <x:v>0.7792000000000001</x:v>
      </x:c>
      <x:c r="O28" s="23" t="str">
        <x:f>IF(N28&gt;=1,"ADEQUATE","GAP")</x:f>
        <x:v>GAP</x:v>
      </x:c>
    </x:row>
    <x:row r="29">
      <x:c r="B29" s="21" t="str">
        <x:v>SB-0023</x:v>
      </x:c>
      <x:c r="C29" s="21" t="str">
        <x:v>F06</x:v>
      </x:c>
      <x:c r="D29" s="21" t="n">
        <x:v>11</x:v>
      </x:c>
      <x:c r="E29" s="21" t="str">
        <x:v>Commissioned public service</x:v>
      </x:c>
      <x:c r="F29" s="42" t="n">
        <x:v>0.98</x:v>
      </x:c>
      <x:c r="G29" s="42" t="n">
        <x:v>0.18</x:v>
      </x:c>
      <x:c r="H29" s="42" t="n">
        <x:v>0.10400000000000001</x:v>
      </x:c>
      <x:c r="I29" s="42" t="n">
        <x:f>SUM(F29:H29)</x:f>
        <x:v>1.264</x:v>
      </x:c>
      <x:c r="J29" s="42" t="n">
        <x:f>MAX(0,Assumptions!$C$9-MIN($I$19:$I$30))</x:f>
        <x:v>0.000500000000000167</x:v>
      </x:c>
      <x:c r="K29" s="42" t="n">
        <x:f>I29+J29</x:f>
        <x:v>1.2645000000000002</x:v>
      </x:c>
      <x:c r="L29" s="21" t="str">
        <x:f>IF(K29&gt;=Assumptions!$C$9,"ADEQUATE","GAP")</x:f>
        <x:v>ADEQUATE</x:v>
      </x:c>
      <x:c r="M29" s="42" t="n">
        <x:f>'Stage Standard'!G17</x:f>
        <x:v>0.7857142857142858</x:v>
      </x:c>
      <x:c r="N29" s="42" t="n">
        <x:f>K29*M29/Assumptions!$C$12</x:f>
        <x:v>0.7948285714285717</x:v>
      </x:c>
      <x:c r="O29" s="23" t="str">
        <x:f>IF(N29&gt;=1,"ADEQUATE","GAP")</x:f>
        <x:v>GAP</x:v>
      </x:c>
    </x:row>
    <x:row r="30">
      <x:c r="B30" s="21" t="str">
        <x:v>SB-0024</x:v>
      </x:c>
      <x:c r="C30" s="21" t="str">
        <x:v>F06</x:v>
      </x:c>
      <x:c r="D30" s="21" t="n">
        <x:v>12</x:v>
      </x:c>
      <x:c r="E30" s="21" t="str">
        <x:v>Regeneration and replacement</x:v>
      </x:c>
      <x:c r="F30" s="42" t="n">
        <x:v>0.86</x:v>
      </x:c>
      <x:c r="G30" s="42" t="n">
        <x:v>0.14</x:v>
      </x:c>
      <x:c r="H30" s="42" t="n">
        <x:v>0.14300000000000002</x:v>
      </x:c>
      <x:c r="I30" s="42" t="n">
        <x:f>SUM(F30:H30)</x:f>
        <x:v>1.143</x:v>
      </x:c>
      <x:c r="J30" s="42" t="n">
        <x:f>MAX(0,Assumptions!$C$9-MIN($I$19:$I$30))</x:f>
        <x:v>0.000500000000000167</x:v>
      </x:c>
      <x:c r="K30" s="42" t="n">
        <x:f>I30+J30</x:f>
        <x:v>1.1435000000000002</x:v>
      </x:c>
      <x:c r="L30" s="21" t="str">
        <x:f>IF(K30&gt;=Assumptions!$C$9,"ADEQUATE","GAP")</x:f>
        <x:v>ADEQUATE</x:v>
      </x:c>
      <x:c r="M30" s="42" t="n">
        <x:f>'Stage Standard'!G18</x:f>
        <x:v>0.7142857142857143</x:v>
      </x:c>
      <x:c r="N30" s="42" t="n">
        <x:f>K30*M30/Assumptions!$C$12</x:f>
        <x:v>0.6534285714285716</x:v>
      </x:c>
      <x:c r="O30" s="23" t="str">
        <x:f>IF(N30&gt;=1,"ADEQUATE","GAP")</x:f>
        <x:v>GAP</x:v>
      </x:c>
    </x:row>
    <x:row r="31">
      <x:c r="B31" s="21" t="str">
        <x:v>SB-0025</x:v>
      </x:c>
      <x:c r="C31" s="21" t="str">
        <x:v>F07</x:v>
      </x:c>
      <x:c r="D31" s="21" t="n">
        <x:v>1</x:v>
      </x:c>
      <x:c r="E31" s="21" t="str">
        <x:v>Alert authentication</x:v>
      </x:c>
      <x:c r="F31" s="42" t="n">
        <x:v>1.05</x:v>
      </x:c>
      <x:c r="G31" s="42" t="n">
        <x:v>0</x:v>
      </x:c>
      <x:c r="H31" s="42" t="n">
        <x:v>0</x:v>
      </x:c>
      <x:c r="I31" s="42" t="n">
        <x:f>SUM(F31:H31)</x:f>
        <x:v>1.05</x:v>
      </x:c>
      <x:c r="J31" s="42" t="n">
        <x:f>MAX(0,Assumptions!$C$9-MIN($I$31:$I$42))</x:f>
        <x:v>0.12200000000000022</x:v>
      </x:c>
      <x:c r="K31" s="42" t="n">
        <x:f>I31+J31</x:f>
        <x:v>1.1720000000000002</x:v>
      </x:c>
      <x:c r="L31" s="21" t="str">
        <x:f>IF(K31&gt;=Assumptions!$C$9,"ADEQUATE","GAP")</x:f>
        <x:v>ADEQUATE</x:v>
      </x:c>
      <x:c r="M31" s="42" t="n">
        <x:f>'Stage Standard'!G7</x:f>
        <x:v>0.7999999999999999</x:v>
      </x:c>
      <x:c r="N31" s="42" t="n">
        <x:f>K31*M31/Assumptions!$C$12</x:f>
        <x:v>0.75008</x:v>
      </x:c>
      <x:c r="O31" s="23" t="str">
        <x:f>IF(N31&gt;=1,"ADEQUATE","GAP")</x:f>
        <x:v>GAP</x:v>
      </x:c>
    </x:row>
    <x:row r="32">
      <x:c r="B32" s="21" t="str">
        <x:v>SB-0026</x:v>
      </x:c>
      <x:c r="C32" s="21" t="str">
        <x:v>F07</x:v>
      </x:c>
      <x:c r="D32" s="21" t="n">
        <x:v>2</x:v>
      </x:c>
      <x:c r="E32" s="21" t="str">
        <x:v>Workforce muster</x:v>
      </x:c>
      <x:c r="F32" s="42" t="n">
        <x:v>0.92</x:v>
      </x:c>
      <x:c r="G32" s="42" t="n">
        <x:v>0.04</x:v>
      </x:c>
      <x:c r="H32" s="42" t="n">
        <x:v>0.0195</x:v>
      </x:c>
      <x:c r="I32" s="42" t="n">
        <x:f>SUM(F32:H32)</x:f>
        <x:v>0.9795</x:v>
      </x:c>
      <x:c r="J32" s="42" t="n">
        <x:f>MAX(0,Assumptions!$C$9-MIN($I$31:$I$42))</x:f>
        <x:v>0.12200000000000022</x:v>
      </x:c>
      <x:c r="K32" s="42" t="n">
        <x:f>I32+J32</x:f>
        <x:v>1.1015000000000001</x:v>
      </x:c>
      <x:c r="L32" s="21" t="str">
        <x:f>IF(K32&gt;=Assumptions!$C$9,"ADEQUATE","GAP")</x:f>
        <x:v>ADEQUATE</x:v>
      </x:c>
      <x:c r="M32" s="42" t="n">
        <x:f>'Stage Standard'!G8</x:f>
        <x:v>0.8125</x:v>
      </x:c>
      <x:c r="N32" s="42" t="n">
        <x:f>K32*M32/Assumptions!$C$12</x:f>
        <x:v>0.715975</x:v>
      </x:c>
      <x:c r="O32" s="23" t="str">
        <x:f>IF(N32&gt;=1,"ADEQUATE","GAP")</x:f>
        <x:v>GAP</x:v>
      </x:c>
    </x:row>
    <x:row r="33">
      <x:c r="B33" s="21" t="str">
        <x:v>SB-0027</x:v>
      </x:c>
      <x:c r="C33" s="21" t="str">
        <x:v>F07</x:v>
      </x:c>
      <x:c r="D33" s="21" t="n">
        <x:v>3</x:v>
      </x:c>
      <x:c r="E33" s="21" t="str">
        <x:v>Facility utility and safe start</x:v>
      </x:c>
      <x:c r="F33" s="42" t="n">
        <x:v>0.88</x:v>
      </x:c>
      <x:c r="G33" s="42" t="n">
        <x:v>0.05</x:v>
      </x:c>
      <x:c r="H33" s="42" t="n">
        <x:v>0.052000000000000005</x:v>
      </x:c>
      <x:c r="I33" s="42" t="n">
        <x:f>SUM(F33:H33)</x:f>
        <x:v>0.9820000000000001</x:v>
      </x:c>
      <x:c r="J33" s="42" t="n">
        <x:f>MAX(0,Assumptions!$C$9-MIN($I$31:$I$42))</x:f>
        <x:v>0.12200000000000022</x:v>
      </x:c>
      <x:c r="K33" s="42" t="n">
        <x:f>I33+J33</x:f>
        <x:v>1.1040000000000003</x:v>
      </x:c>
      <x:c r="L33" s="21" t="str">
        <x:f>IF(K33&gt;=Assumptions!$C$9,"ADEQUATE","GAP")</x:f>
        <x:v>ADEQUATE</x:v>
      </x:c>
      <x:c r="M33" s="42" t="n">
        <x:f>'Stage Standard'!G9</x:f>
        <x:v>0.7857142857142858</x:v>
      </x:c>
      <x:c r="N33" s="42" t="n">
        <x:f>K33*M33/Assumptions!$C$12</x:f>
        <x:v>0.6939428571428574</x:v>
      </x:c>
      <x:c r="O33" s="23" t="str">
        <x:f>IF(N33&gt;=1,"ADEQUATE","GAP")</x:f>
        <x:v>GAP</x:v>
      </x:c>
    </x:row>
    <x:row r="34">
      <x:c r="B34" s="21" t="str">
        <x:v>SB-0028</x:v>
      </x:c>
      <x:c r="C34" s="21" t="str">
        <x:v>F07</x:v>
      </x:c>
      <x:c r="D34" s="21" t="n">
        <x:v>4</x:v>
      </x:c>
      <x:c r="E34" s="21" t="str">
        <x:v>Material tooling and instrument release</x:v>
      </x:c>
      <x:c r="F34" s="42" t="n">
        <x:v>0.9</x:v>
      </x:c>
      <x:c r="G34" s="42" t="n">
        <x:v>0.08</x:v>
      </x:c>
      <x:c r="H34" s="42" t="n">
        <x:v>0.11699999999999999</x:v>
      </x:c>
      <x:c r="I34" s="42" t="n">
        <x:f>SUM(F34:H34)</x:f>
        <x:v>1.097</x:v>
      </x:c>
      <x:c r="J34" s="42" t="n">
        <x:f>MAX(0,Assumptions!$C$9-MIN($I$31:$I$42))</x:f>
        <x:v>0.12200000000000022</x:v>
      </x:c>
      <x:c r="K34" s="42" t="n">
        <x:f>I34+J34</x:f>
        <x:v>1.2190000000000003</x:v>
      </x:c>
      <x:c r="L34" s="21" t="str">
        <x:f>IF(K34&gt;=Assumptions!$C$9,"ADEQUATE","GAP")</x:f>
        <x:v>ADEQUATE</x:v>
      </x:c>
      <x:c r="M34" s="42" t="n">
        <x:f>'Stage Standard'!G10</x:f>
        <x:v>0.7333333333333334</x:v>
      </x:c>
      <x:c r="N34" s="42" t="n">
        <x:f>K34*M34/Assumptions!$C$12</x:f>
        <x:v>0.7151466666666668</x:v>
      </x:c>
      <x:c r="O34" s="23" t="str">
        <x:f>IF(N34&gt;=1,"ADEQUATE","GAP")</x:f>
        <x:v>GAP</x:v>
      </x:c>
    </x:row>
    <x:row r="35">
      <x:c r="B35" s="21" t="str">
        <x:v>SB-0029</x:v>
      </x:c>
      <x:c r="C35" s="21" t="str">
        <x:v>F07</x:v>
      </x:c>
      <x:c r="D35" s="21" t="n">
        <x:v>5</x:v>
      </x:c>
      <x:c r="E35" s="21" t="str">
        <x:v>Supplier and process activation</x:v>
      </x:c>
      <x:c r="F35" s="42" t="n">
        <x:v>0.84</x:v>
      </x:c>
      <x:c r="G35" s="42" t="n">
        <x:v>0.06</x:v>
      </x:c>
      <x:c r="H35" s="42" t="n">
        <x:v>0.078</x:v>
      </x:c>
      <x:c r="I35" s="42" t="n">
        <x:f>SUM(F35:H35)</x:f>
        <x:v>0.9779999999999999</x:v>
      </x:c>
      <x:c r="J35" s="42" t="n">
        <x:f>MAX(0,Assumptions!$C$9-MIN($I$31:$I$42))</x:f>
        <x:v>0.12200000000000022</x:v>
      </x:c>
      <x:c r="K35" s="42" t="n">
        <x:f>I35+J35</x:f>
        <x:v>1.1</x:v>
      </x:c>
      <x:c r="L35" s="21" t="str">
        <x:f>IF(K35&gt;=Assumptions!$C$9,"ADEQUATE","GAP")</x:f>
        <x:v>ADEQUATE</x:v>
      </x:c>
      <x:c r="M35" s="42" t="n">
        <x:f>'Stage Standard'!G11</x:f>
        <x:v>0.7142857142857143</x:v>
      </x:c>
      <x:c r="N35" s="42" t="n">
        <x:f>K35*M35/Assumptions!$C$12</x:f>
        <x:v>0.6285714285714287</x:v>
      </x:c>
      <x:c r="O35" s="23" t="str">
        <x:f>IF(N35&gt;=1,"ADEQUATE","GAP")</x:f>
        <x:v>GAP</x:v>
      </x:c>
    </x:row>
    <x:row r="36">
      <x:c r="B36" s="21" t="str">
        <x:v>SB-0030</x:v>
      </x:c>
      <x:c r="C36" s="21" t="str">
        <x:v>F07</x:v>
      </x:c>
      <x:c r="D36" s="21" t="n">
        <x:v>6</x:v>
      </x:c>
      <x:c r="E36" s="21" t="str">
        <x:v>Conforming production</x:v>
      </x:c>
      <x:c r="F36" s="42" t="n">
        <x:v>0.86</x:v>
      </x:c>
      <x:c r="G36" s="42" t="n">
        <x:v>0.08</x:v>
      </x:c>
      <x:c r="H36" s="42" t="n">
        <x:v>0.09100000000000001</x:v>
      </x:c>
      <x:c r="I36" s="42" t="n">
        <x:f>SUM(F36:H36)</x:f>
        <x:v>1.031</x:v>
      </x:c>
      <x:c r="J36" s="42" t="n">
        <x:f>MAX(0,Assumptions!$C$9-MIN($I$31:$I$42))</x:f>
        <x:v>0.12200000000000022</x:v>
      </x:c>
      <x:c r="K36" s="42" t="n">
        <x:f>I36+J36</x:f>
        <x:v>1.153</x:v>
      </x:c>
      <x:c r="L36" s="21" t="str">
        <x:f>IF(K36&gt;=Assumptions!$C$9,"ADEQUATE","GAP")</x:f>
        <x:v>ADEQUATE</x:v>
      </x:c>
      <x:c r="M36" s="42" t="n">
        <x:f>'Stage Standard'!G12</x:f>
        <x:v>0.7142857142857143</x:v>
      </x:c>
      <x:c r="N36" s="42" t="n">
        <x:f>K36*M36/Assumptions!$C$12</x:f>
        <x:v>0.6588571428571429</x:v>
      </x:c>
      <x:c r="O36" s="23" t="str">
        <x:f>IF(N36&gt;=1,"ADEQUATE","GAP")</x:f>
        <x:v>GAP</x:v>
      </x:c>
    </x:row>
    <x:row r="37">
      <x:c r="B37" s="21" t="str">
        <x:v>SB-0031</x:v>
      </x:c>
      <x:c r="C37" s="21" t="str">
        <x:v>F07</x:v>
      </x:c>
      <x:c r="D37" s="21" t="n">
        <x:v>7</x:v>
      </x:c>
      <x:c r="E37" s="21" t="str">
        <x:v>Independent acceptance</x:v>
      </x:c>
      <x:c r="F37" s="42" t="n">
        <x:v>0.98</x:v>
      </x:c>
      <x:c r="G37" s="42" t="n">
        <x:v>0.06</x:v>
      </x:c>
      <x:c r="H37" s="42" t="n">
        <x:v>0.052000000000000005</x:v>
      </x:c>
      <x:c r="I37" s="42" t="n">
        <x:f>SUM(F37:H37)</x:f>
        <x:v>1.092</x:v>
      </x:c>
      <x:c r="J37" s="42" t="n">
        <x:f>MAX(0,Assumptions!$C$9-MIN($I$31:$I$42))</x:f>
        <x:v>0.12200000000000022</x:v>
      </x:c>
      <x:c r="K37" s="42" t="n">
        <x:f>I37+J37</x:f>
        <x:v>1.2140000000000004</x:v>
      </x:c>
      <x:c r="L37" s="21" t="str">
        <x:f>IF(K37&gt;=Assumptions!$C$9,"ADEQUATE","GAP")</x:f>
        <x:v>ADEQUATE</x:v>
      </x:c>
      <x:c r="M37" s="42" t="n">
        <x:f>'Stage Standard'!G13</x:f>
        <x:v>0.8125</x:v>
      </x:c>
      <x:c r="N37" s="42" t="n">
        <x:f>K37*M37/Assumptions!$C$12</x:f>
        <x:v>0.7891000000000002</x:v>
      </x:c>
      <x:c r="O37" s="23" t="str">
        <x:f>IF(N37&gt;=1,"ADEQUATE","GAP")</x:f>
        <x:v>GAP</x:v>
      </x:c>
    </x:row>
    <x:row r="38">
      <x:c r="B38" s="21" t="str">
        <x:v>SB-0032</x:v>
      </x:c>
      <x:c r="C38" s="21" t="str">
        <x:v>F07</x:v>
      </x:c>
      <x:c r="D38" s="21" t="n">
        <x:v>8</x:v>
      </x:c>
      <x:c r="E38" s="21" t="str">
        <x:v>Loadout and custody transfer</x:v>
      </x:c>
      <x:c r="F38" s="42" t="n">
        <x:v>0.88</x:v>
      </x:c>
      <x:c r="G38" s="42" t="n">
        <x:v>0.2</x:v>
      </x:c>
      <x:c r="H38" s="42" t="n">
        <x:v>0.039</x:v>
      </x:c>
      <x:c r="I38" s="42" t="n">
        <x:f>SUM(F38:H38)</x:f>
        <x:v>1.119</x:v>
      </x:c>
      <x:c r="J38" s="42" t="n">
        <x:f>MAX(0,Assumptions!$C$9-MIN($I$31:$I$42))</x:f>
        <x:v>0.12200000000000022</x:v>
      </x:c>
      <x:c r="K38" s="42" t="n">
        <x:f>I38+J38</x:f>
        <x:v>1.241</x:v>
      </x:c>
      <x:c r="L38" s="21" t="str">
        <x:f>IF(K38&gt;=Assumptions!$C$9,"ADEQUATE","GAP")</x:f>
        <x:v>ADEQUATE</x:v>
      </x:c>
      <x:c r="M38" s="42" t="n">
        <x:f>'Stage Standard'!G14</x:f>
        <x:v>0.7692307692307692</x:v>
      </x:c>
      <x:c r="N38" s="42" t="n">
        <x:f>K38*M38/Assumptions!$C$12</x:f>
        <x:v>0.7636923076923077</x:v>
      </x:c>
      <x:c r="O38" s="23" t="str">
        <x:f>IF(N38&gt;=1,"ADEQUATE","GAP")</x:f>
        <x:v>GAP</x:v>
      </x:c>
    </x:row>
    <x:row r="39">
      <x:c r="B39" s="21" t="str">
        <x:v>SB-0033</x:v>
      </x:c>
      <x:c r="C39" s="21" t="str">
        <x:v>F07</x:v>
      </x:c>
      <x:c r="D39" s="21" t="n">
        <x:v>9</x:v>
      </x:c>
      <x:c r="E39" s="21" t="str">
        <x:v>Strategic transport</x:v>
      </x:c>
      <x:c r="F39" s="42" t="n">
        <x:v>0.765</x:v>
      </x:c>
      <x:c r="G39" s="42" t="n">
        <x:v>0.2</x:v>
      </x:c>
      <x:c r="H39" s="42" t="n">
        <x:v>0.0325</x:v>
      </x:c>
      <x:c r="I39" s="42" t="n">
        <x:f>SUM(F39:H39)</x:f>
        <x:v>0.9975</x:v>
      </x:c>
      <x:c r="J39" s="42" t="n">
        <x:f>MAX(0,Assumptions!$C$9-MIN($I$31:$I$42))</x:f>
        <x:v>0.12200000000000022</x:v>
      </x:c>
      <x:c r="K39" s="42" t="n">
        <x:f>I39+J39</x:f>
        <x:v>1.1195000000000004</x:v>
      </x:c>
      <x:c r="L39" s="21" t="str">
        <x:f>IF(K39&gt;=Assumptions!$C$9,"ADEQUATE","GAP")</x:f>
        <x:v>ADEQUATE</x:v>
      </x:c>
      <x:c r="M39" s="42" t="n">
        <x:f>'Stage Standard'!G15</x:f>
        <x:v>0.7692307692307692</x:v>
      </x:c>
      <x:c r="N39" s="42" t="n">
        <x:f>K39*M39/Assumptions!$C$12</x:f>
        <x:v>0.6889230769230771</x:v>
      </x:c>
      <x:c r="O39" s="23" t="str">
        <x:f>IF(N39&gt;=1,"ADEQUATE","GAP")</x:f>
        <x:v>GAP</x:v>
      </x:c>
    </x:row>
    <x:row r="40">
      <x:c r="B40" s="21" t="str">
        <x:v>SB-0034</x:v>
      </x:c>
      <x:c r="C40" s="21" t="str">
        <x:v>F07</x:v>
      </x:c>
      <x:c r="D40" s="21" t="n">
        <x:v>10</x:v>
      </x:c>
      <x:c r="E40" s="21" t="str">
        <x:v>Receiving-node admission</x:v>
      </x:c>
      <x:c r="F40" s="42" t="n">
        <x:v>0.9</x:v>
      </x:c>
      <x:c r="G40" s="42" t="n">
        <x:v>0.2</x:v>
      </x:c>
      <x:c r="H40" s="42" t="n">
        <x:v>0.052000000000000005</x:v>
      </x:c>
      <x:c r="I40" s="42" t="n">
        <x:f>SUM(F40:H40)</x:f>
        <x:v>1.1520000000000001</x:v>
      </x:c>
      <x:c r="J40" s="42" t="n">
        <x:f>MAX(0,Assumptions!$C$9-MIN($I$31:$I$42))</x:f>
        <x:v>0.12200000000000022</x:v>
      </x:c>
      <x:c r="K40" s="42" t="n">
        <x:f>I40+J40</x:f>
        <x:v>1.2740000000000005</x:v>
      </x:c>
      <x:c r="L40" s="21" t="str">
        <x:f>IF(K40&gt;=Assumptions!$C$9,"ADEQUATE","GAP")</x:f>
        <x:v>ADEQUATE</x:v>
      </x:c>
      <x:c r="M40" s="42" t="n">
        <x:f>'Stage Standard'!G16</x:f>
        <x:v>0.7999999999999999</x:v>
      </x:c>
      <x:c r="N40" s="42" t="n">
        <x:f>K40*M40/Assumptions!$C$12</x:f>
        <x:v>0.8153600000000003</x:v>
      </x:c>
      <x:c r="O40" s="23" t="str">
        <x:f>IF(N40&gt;=1,"ADEQUATE","GAP")</x:f>
        <x:v>GAP</x:v>
      </x:c>
    </x:row>
    <x:row r="41">
      <x:c r="B41" s="21" t="str">
        <x:v>SB-0035</x:v>
      </x:c>
      <x:c r="C41" s="21" t="str">
        <x:v>F07</x:v>
      </x:c>
      <x:c r="D41" s="21" t="n">
        <x:v>11</x:v>
      </x:c>
      <x:c r="E41" s="21" t="str">
        <x:v>Commissioned public service</x:v>
      </x:c>
      <x:c r="F41" s="42" t="n">
        <x:v>0.88</x:v>
      </x:c>
      <x:c r="G41" s="42" t="n">
        <x:v>0.2</x:v>
      </x:c>
      <x:c r="H41" s="42" t="n">
        <x:v>0.052000000000000005</x:v>
      </x:c>
      <x:c r="I41" s="42" t="n">
        <x:f>SUM(F41:H41)</x:f>
        <x:v>1.1320000000000001</x:v>
      </x:c>
      <x:c r="J41" s="42" t="n">
        <x:f>MAX(0,Assumptions!$C$9-MIN($I$31:$I$42))</x:f>
        <x:v>0.12200000000000022</x:v>
      </x:c>
      <x:c r="K41" s="42" t="n">
        <x:f>I41+J41</x:f>
        <x:v>1.2540000000000004</x:v>
      </x:c>
      <x:c r="L41" s="21" t="str">
        <x:f>IF(K41&gt;=Assumptions!$C$9,"ADEQUATE","GAP")</x:f>
        <x:v>ADEQUATE</x:v>
      </x:c>
      <x:c r="M41" s="42" t="n">
        <x:f>'Stage Standard'!G17</x:f>
        <x:v>0.7857142857142858</x:v>
      </x:c>
      <x:c r="N41" s="42" t="n">
        <x:f>K41*M41/Assumptions!$C$12</x:f>
        <x:v>0.7882285714285718</x:v>
      </x:c>
      <x:c r="O41" s="23" t="str">
        <x:f>IF(N41&gt;=1,"ADEQUATE","GAP")</x:f>
        <x:v>GAP</x:v>
      </x:c>
    </x:row>
    <x:row r="42">
      <x:c r="B42" s="21" t="str">
        <x:v>SB-0036</x:v>
      </x:c>
      <x:c r="C42" s="21" t="str">
        <x:v>F07</x:v>
      </x:c>
      <x:c r="D42" s="21" t="n">
        <x:v>12</x:v>
      </x:c>
      <x:c r="E42" s="21" t="str">
        <x:v>Regeneration and replacement</x:v>
      </x:c>
      <x:c r="F42" s="42" t="n">
        <x:v>0.72</x:v>
      </x:c>
      <x:c r="G42" s="42" t="n">
        <x:v>0.12</x:v>
      </x:c>
      <x:c r="H42" s="42" t="n">
        <x:v>0.18200000000000002</x:v>
      </x:c>
      <x:c r="I42" s="42" t="n">
        <x:f>SUM(F42:H42)</x:f>
        <x:v>1.022</x:v>
      </x:c>
      <x:c r="J42" s="42" t="n">
        <x:f>MAX(0,Assumptions!$C$9-MIN($I$31:$I$42))</x:f>
        <x:v>0.12200000000000022</x:v>
      </x:c>
      <x:c r="K42" s="42" t="n">
        <x:f>I42+J42</x:f>
        <x:v>1.1440000000000001</x:v>
      </x:c>
      <x:c r="L42" s="21" t="str">
        <x:f>IF(K42&gt;=Assumptions!$C$9,"ADEQUATE","GAP")</x:f>
        <x:v>ADEQUATE</x:v>
      </x:c>
      <x:c r="M42" s="42" t="n">
        <x:f>'Stage Standard'!G18</x:f>
        <x:v>0.7142857142857143</x:v>
      </x:c>
      <x:c r="N42" s="42" t="n">
        <x:f>K42*M42/Assumptions!$C$12</x:f>
        <x:v>0.6537142857142858</x:v>
      </x:c>
      <x:c r="O42" s="23" t="str">
        <x:f>IF(N42&gt;=1,"ADEQUATE","GAP")</x:f>
        <x:v>GAP</x:v>
      </x:c>
    </x:row>
    <x:row r="43">
      <x:c r="B43" s="21" t="str">
        <x:v>SB-0037</x:v>
      </x:c>
      <x:c r="C43" s="21" t="str">
        <x:v>F08</x:v>
      </x:c>
      <x:c r="D43" s="21" t="n">
        <x:v>1</x:v>
      </x:c>
      <x:c r="E43" s="21" t="str">
        <x:v>Alert authentication</x:v>
      </x:c>
      <x:c r="F43" s="42" t="n">
        <x:v>1.15</x:v>
      </x:c>
      <x:c r="G43" s="42" t="n">
        <x:v>0</x:v>
      </x:c>
      <x:c r="H43" s="42" t="n">
        <x:v>0.013000000000000001</x:v>
      </x:c>
      <x:c r="I43" s="42" t="n">
        <x:f>SUM(F43:H43)</x:f>
        <x:v>1.1629999999999998</x:v>
      </x:c>
      <x:c r="J43" s="42" t="n">
        <x:f>MAX(0,Assumptions!$C$9-MIN($I$43:$I$54))</x:f>
        <x:v>0.07850000000000001</x:v>
      </x:c>
      <x:c r="K43" s="42" t="n">
        <x:f>I43+J43</x:f>
        <x:v>1.2414999999999998</x:v>
      </x:c>
      <x:c r="L43" s="21" t="str">
        <x:f>IF(K43&gt;=Assumptions!$C$9,"ADEQUATE","GAP")</x:f>
        <x:v>ADEQUATE</x:v>
      </x:c>
      <x:c r="M43" s="42" t="n">
        <x:f>'Stage Standard'!G7</x:f>
        <x:v>0.7999999999999999</x:v>
      </x:c>
      <x:c r="N43" s="42" t="n">
        <x:f>K43*M43/Assumptions!$C$12</x:f>
        <x:v>0.7945599999999998</x:v>
      </x:c>
      <x:c r="O43" s="23" t="str">
        <x:f>IF(N43&gt;=1,"ADEQUATE","GAP")</x:f>
        <x:v>GAP</x:v>
      </x:c>
    </x:row>
    <x:row r="44">
      <x:c r="B44" s="21" t="str">
        <x:v>SB-0038</x:v>
      </x:c>
      <x:c r="C44" s="21" t="str">
        <x:v>F08</x:v>
      </x:c>
      <x:c r="D44" s="21" t="n">
        <x:v>2</x:v>
      </x:c>
      <x:c r="E44" s="21" t="str">
        <x:v>Workforce muster</x:v>
      </x:c>
      <x:c r="F44" s="42" t="n">
        <x:v>1.05</x:v>
      </x:c>
      <x:c r="G44" s="42" t="n">
        <x:v>0.03</x:v>
      </x:c>
      <x:c r="H44" s="42" t="n">
        <x:v>0.0325</x:v>
      </x:c>
      <x:c r="I44" s="42" t="n">
        <x:f>SUM(F44:H44)</x:f>
        <x:v>1.1125</x:v>
      </x:c>
      <x:c r="J44" s="42" t="n">
        <x:f>MAX(0,Assumptions!$C$9-MIN($I$43:$I$54))</x:f>
        <x:v>0.07850000000000001</x:v>
      </x:c>
      <x:c r="K44" s="42" t="n">
        <x:f>I44+J44</x:f>
        <x:v>1.191</x:v>
      </x:c>
      <x:c r="L44" s="21" t="str">
        <x:f>IF(K44&gt;=Assumptions!$C$9,"ADEQUATE","GAP")</x:f>
        <x:v>ADEQUATE</x:v>
      </x:c>
      <x:c r="M44" s="42" t="n">
        <x:f>'Stage Standard'!G8</x:f>
        <x:v>0.8125</x:v>
      </x:c>
      <x:c r="N44" s="42" t="n">
        <x:f>K44*M44/Assumptions!$C$12</x:f>
        <x:v>0.77415</x:v>
      </x:c>
      <x:c r="O44" s="23" t="str">
        <x:f>IF(N44&gt;=1,"ADEQUATE","GAP")</x:f>
        <x:v>GAP</x:v>
      </x:c>
    </x:row>
    <x:row r="45">
      <x:c r="B45" s="21" t="str">
        <x:v>SB-0039</x:v>
      </x:c>
      <x:c r="C45" s="21" t="str">
        <x:v>F08</x:v>
      </x:c>
      <x:c r="D45" s="21" t="n">
        <x:v>3</x:v>
      </x:c>
      <x:c r="E45" s="21" t="str">
        <x:v>Facility utility and safe start</x:v>
      </x:c>
      <x:c r="F45" s="42" t="n">
        <x:v>0.98</x:v>
      </x:c>
      <x:c r="G45" s="42" t="n">
        <x:v>0.08</x:v>
      </x:c>
      <x:c r="H45" s="42" t="n">
        <x:v>0.052000000000000005</x:v>
      </x:c>
      <x:c r="I45" s="42" t="n">
        <x:f>SUM(F45:H45)</x:f>
        <x:v>1.112</x:v>
      </x:c>
      <x:c r="J45" s="42" t="n">
        <x:f>MAX(0,Assumptions!$C$9-MIN($I$43:$I$54))</x:f>
        <x:v>0.07850000000000001</x:v>
      </x:c>
      <x:c r="K45" s="42" t="n">
        <x:f>I45+J45</x:f>
        <x:v>1.1905000000000001</x:v>
      </x:c>
      <x:c r="L45" s="21" t="str">
        <x:f>IF(K45&gt;=Assumptions!$C$9,"ADEQUATE","GAP")</x:f>
        <x:v>ADEQUATE</x:v>
      </x:c>
      <x:c r="M45" s="42" t="n">
        <x:f>'Stage Standard'!G9</x:f>
        <x:v>0.7857142857142858</x:v>
      </x:c>
      <x:c r="N45" s="42" t="n">
        <x:f>K45*M45/Assumptions!$C$12</x:f>
        <x:v>0.7483142857142859</x:v>
      </x:c>
      <x:c r="O45" s="23" t="str">
        <x:f>IF(N45&gt;=1,"ADEQUATE","GAP")</x:f>
        <x:v>GAP</x:v>
      </x:c>
    </x:row>
    <x:row r="46">
      <x:c r="B46" s="21" t="str">
        <x:v>SB-0040</x:v>
      </x:c>
      <x:c r="C46" s="21" t="str">
        <x:v>F08</x:v>
      </x:c>
      <x:c r="D46" s="21" t="n">
        <x:v>4</x:v>
      </x:c>
      <x:c r="E46" s="21" t="str">
        <x:v>Material tooling and instrument release</x:v>
      </x:c>
      <x:c r="F46" s="42" t="n">
        <x:v>0.96</x:v>
      </x:c>
      <x:c r="G46" s="42" t="n">
        <x:v>0.12</x:v>
      </x:c>
      <x:c r="H46" s="42" t="n">
        <x:v>0.10400000000000001</x:v>
      </x:c>
      <x:c r="I46" s="42" t="n">
        <x:f>SUM(F46:H46)</x:f>
        <x:v>1.1840000000000002</x:v>
      </x:c>
      <x:c r="J46" s="42" t="n">
        <x:f>MAX(0,Assumptions!$C$9-MIN($I$43:$I$54))</x:f>
        <x:v>0.07850000000000001</x:v>
      </x:c>
      <x:c r="K46" s="42" t="n">
        <x:f>I46+J46</x:f>
        <x:v>1.2625000000000002</x:v>
      </x:c>
      <x:c r="L46" s="21" t="str">
        <x:f>IF(K46&gt;=Assumptions!$C$9,"ADEQUATE","GAP")</x:f>
        <x:v>ADEQUATE</x:v>
      </x:c>
      <x:c r="M46" s="42" t="n">
        <x:f>'Stage Standard'!G10</x:f>
        <x:v>0.7333333333333334</x:v>
      </x:c>
      <x:c r="N46" s="42" t="n">
        <x:f>K46*M46/Assumptions!$C$12</x:f>
        <x:v>0.7406666666666668</x:v>
      </x:c>
      <x:c r="O46" s="23" t="str">
        <x:f>IF(N46&gt;=1,"ADEQUATE","GAP")</x:f>
        <x:v>GAP</x:v>
      </x:c>
    </x:row>
    <x:row r="47">
      <x:c r="B47" s="21" t="str">
        <x:v>SB-0041</x:v>
      </x:c>
      <x:c r="C47" s="21" t="str">
        <x:v>F08</x:v>
      </x:c>
      <x:c r="D47" s="21" t="n">
        <x:v>5</x:v>
      </x:c>
      <x:c r="E47" s="21" t="str">
        <x:v>Supplier and process activation</x:v>
      </x:c>
      <x:c r="F47" s="42" t="n">
        <x:v>0.87</x:v>
      </x:c>
      <x:c r="G47" s="42" t="n">
        <x:v>0.15</x:v>
      </x:c>
      <x:c r="H47" s="42" t="n">
        <x:v>0.14300000000000002</x:v>
      </x:c>
      <x:c r="I47" s="42" t="n">
        <x:f>SUM(F47:H47)</x:f>
        <x:v>1.163</x:v>
      </x:c>
      <x:c r="J47" s="42" t="n">
        <x:f>MAX(0,Assumptions!$C$9-MIN($I$43:$I$54))</x:f>
        <x:v>0.07850000000000001</x:v>
      </x:c>
      <x:c r="K47" s="42" t="n">
        <x:f>I47+J47</x:f>
        <x:v>1.2415</x:v>
      </x:c>
      <x:c r="L47" s="21" t="str">
        <x:f>IF(K47&gt;=Assumptions!$C$9,"ADEQUATE","GAP")</x:f>
        <x:v>ADEQUATE</x:v>
      </x:c>
      <x:c r="M47" s="42" t="n">
        <x:f>'Stage Standard'!G11</x:f>
        <x:v>0.7142857142857143</x:v>
      </x:c>
      <x:c r="N47" s="42" t="n">
        <x:f>K47*M47/Assumptions!$C$12</x:f>
        <x:v>0.7094285714285714</x:v>
      </x:c>
      <x:c r="O47" s="23" t="str">
        <x:f>IF(N47&gt;=1,"ADEQUATE","GAP")</x:f>
        <x:v>GAP</x:v>
      </x:c>
    </x:row>
    <x:row r="48">
      <x:c r="B48" s="21" t="str">
        <x:v>SB-0042</x:v>
      </x:c>
      <x:c r="C48" s="21" t="str">
        <x:v>F08</x:v>
      </x:c>
      <x:c r="D48" s="21" t="n">
        <x:v>6</x:v>
      </x:c>
      <x:c r="E48" s="21" t="str">
        <x:v>Conforming production</x:v>
      </x:c>
      <x:c r="F48" s="42" t="n">
        <x:v>0.96</x:v>
      </x:c>
      <x:c r="G48" s="42" t="n">
        <x:v>0.18</x:v>
      </x:c>
      <x:c r="H48" s="42" t="n">
        <x:v>0.11699999999999999</x:v>
      </x:c>
      <x:c r="I48" s="42" t="n">
        <x:f>SUM(F48:H48)</x:f>
        <x:v>1.257</x:v>
      </x:c>
      <x:c r="J48" s="42" t="n">
        <x:f>MAX(0,Assumptions!$C$9-MIN($I$43:$I$54))</x:f>
        <x:v>0.07850000000000001</x:v>
      </x:c>
      <x:c r="K48" s="42" t="n">
        <x:f>I48+J48</x:f>
        <x:v>1.3355</x:v>
      </x:c>
      <x:c r="L48" s="21" t="str">
        <x:f>IF(K48&gt;=Assumptions!$C$9,"ADEQUATE","GAP")</x:f>
        <x:v>ADEQUATE</x:v>
      </x:c>
      <x:c r="M48" s="42" t="n">
        <x:f>'Stage Standard'!G12</x:f>
        <x:v>0.7142857142857143</x:v>
      </x:c>
      <x:c r="N48" s="42" t="n">
        <x:f>K48*M48/Assumptions!$C$12</x:f>
        <x:v>0.7631428571428571</x:v>
      </x:c>
      <x:c r="O48" s="23" t="str">
        <x:f>IF(N48&gt;=1,"ADEQUATE","GAP")</x:f>
        <x:v>GAP</x:v>
      </x:c>
    </x:row>
    <x:row r="49">
      <x:c r="B49" s="21" t="str">
        <x:v>SB-0043</x:v>
      </x:c>
      <x:c r="C49" s="21" t="str">
        <x:v>F08</x:v>
      </x:c>
      <x:c r="D49" s="21" t="n">
        <x:v>7</x:v>
      </x:c>
      <x:c r="E49" s="21" t="str">
        <x:v>Independent acceptance</x:v>
      </x:c>
      <x:c r="F49" s="42" t="n">
        <x:v>1.05</x:v>
      </x:c>
      <x:c r="G49" s="42" t="n">
        <x:v>0.08</x:v>
      </x:c>
      <x:c r="H49" s="42" t="n">
        <x:v>0.09100000000000001</x:v>
      </x:c>
      <x:c r="I49" s="42" t="n">
        <x:f>SUM(F49:H49)</x:f>
        <x:v>1.221</x:v>
      </x:c>
      <x:c r="J49" s="42" t="n">
        <x:f>MAX(0,Assumptions!$C$9-MIN($I$43:$I$54))</x:f>
        <x:v>0.07850000000000001</x:v>
      </x:c>
      <x:c r="K49" s="42" t="n">
        <x:f>I49+J49</x:f>
        <x:v>1.2995</x:v>
      </x:c>
      <x:c r="L49" s="21" t="str">
        <x:f>IF(K49&gt;=Assumptions!$C$9,"ADEQUATE","GAP")</x:f>
        <x:v>ADEQUATE</x:v>
      </x:c>
      <x:c r="M49" s="42" t="n">
        <x:f>'Stage Standard'!G13</x:f>
        <x:v>0.8125</x:v>
      </x:c>
      <x:c r="N49" s="42" t="n">
        <x:f>K49*M49/Assumptions!$C$12</x:f>
        <x:v>0.8446750000000002</x:v>
      </x:c>
      <x:c r="O49" s="23" t="str">
        <x:f>IF(N49&gt;=1,"ADEQUATE","GAP")</x:f>
        <x:v>GAP</x:v>
      </x:c>
    </x:row>
    <x:row r="50">
      <x:c r="B50" s="21" t="str">
        <x:v>SB-0044</x:v>
      </x:c>
      <x:c r="C50" s="21" t="str">
        <x:v>F08</x:v>
      </x:c>
      <x:c r="D50" s="21" t="n">
        <x:v>8</x:v>
      </x:c>
      <x:c r="E50" s="21" t="str">
        <x:v>Loadout and custody transfer</x:v>
      </x:c>
      <x:c r="F50" s="42" t="n">
        <x:v>0.96</x:v>
      </x:c>
      <x:c r="G50" s="42" t="n">
        <x:v>0.05</x:v>
      </x:c>
      <x:c r="H50" s="42" t="n">
        <x:v>0.052000000000000005</x:v>
      </x:c>
      <x:c r="I50" s="42" t="n">
        <x:f>SUM(F50:H50)</x:f>
        <x:v>1.062</x:v>
      </x:c>
      <x:c r="J50" s="42" t="n">
        <x:f>MAX(0,Assumptions!$C$9-MIN($I$43:$I$54))</x:f>
        <x:v>0.07850000000000001</x:v>
      </x:c>
      <x:c r="K50" s="42" t="n">
        <x:f>I50+J50</x:f>
        <x:v>1.1405</x:v>
      </x:c>
      <x:c r="L50" s="21" t="str">
        <x:f>IF(K50&gt;=Assumptions!$C$9,"ADEQUATE","GAP")</x:f>
        <x:v>ADEQUATE</x:v>
      </x:c>
      <x:c r="M50" s="42" t="n">
        <x:f>'Stage Standard'!G14</x:f>
        <x:v>0.7692307692307692</x:v>
      </x:c>
      <x:c r="N50" s="42" t="n">
        <x:f>K50*M50/Assumptions!$C$12</x:f>
        <x:v>0.7018461538461538</x:v>
      </x:c>
      <x:c r="O50" s="23" t="str">
        <x:f>IF(N50&gt;=1,"ADEQUATE","GAP")</x:f>
        <x:v>GAP</x:v>
      </x:c>
    </x:row>
    <x:row r="51">
      <x:c r="B51" s="21" t="str">
        <x:v>SB-0045</x:v>
      </x:c>
      <x:c r="C51" s="21" t="str">
        <x:v>F08</x:v>
      </x:c>
      <x:c r="D51" s="21" t="n">
        <x:v>9</x:v>
      </x:c>
      <x:c r="E51" s="21" t="str">
        <x:v>Strategic transport</x:v>
      </x:c>
      <x:c r="F51" s="42" t="n">
        <x:v>0.9425</x:v>
      </x:c>
      <x:c r="G51" s="42" t="n">
        <x:v>0.04</x:v>
      </x:c>
      <x:c r="H51" s="42" t="n">
        <x:v>0.039</x:v>
      </x:c>
      <x:c r="I51" s="42" t="n">
        <x:f>SUM(F51:H51)</x:f>
        <x:v>1.0215</x:v>
      </x:c>
      <x:c r="J51" s="42" t="n">
        <x:f>MAX(0,Assumptions!$C$9-MIN($I$43:$I$54))</x:f>
        <x:v>0.07850000000000001</x:v>
      </x:c>
      <x:c r="K51" s="42" t="n">
        <x:f>I51+J51</x:f>
        <x:v>1.1</x:v>
      </x:c>
      <x:c r="L51" s="21" t="str">
        <x:f>IF(K51&gt;=Assumptions!$C$9,"ADEQUATE","GAP")</x:f>
        <x:v>ADEQUATE</x:v>
      </x:c>
      <x:c r="M51" s="42" t="n">
        <x:f>'Stage Standard'!G15</x:f>
        <x:v>0.7692307692307692</x:v>
      </x:c>
      <x:c r="N51" s="42" t="n">
        <x:f>K51*M51/Assumptions!$C$12</x:f>
        <x:v>0.676923076923077</x:v>
      </x:c>
      <x:c r="O51" s="23" t="str">
        <x:f>IF(N51&gt;=1,"ADEQUATE","GAP")</x:f>
        <x:v>GAP</x:v>
      </x:c>
    </x:row>
    <x:row r="52">
      <x:c r="B52" s="21" t="str">
        <x:v>SB-0046</x:v>
      </x:c>
      <x:c r="C52" s="21" t="str">
        <x:v>F08</x:v>
      </x:c>
      <x:c r="D52" s="21" t="n">
        <x:v>10</x:v>
      </x:c>
      <x:c r="E52" s="21" t="str">
        <x:v>Receiving-node admission</x:v>
      </x:c>
      <x:c r="F52" s="42" t="n">
        <x:v>1</x:v>
      </x:c>
      <x:c r="G52" s="42" t="n">
        <x:v>0.03</x:v>
      </x:c>
      <x:c r="H52" s="42" t="n">
        <x:v>0.039</x:v>
      </x:c>
      <x:c r="I52" s="42" t="n">
        <x:f>SUM(F52:H52)</x:f>
        <x:v>1.069</x:v>
      </x:c>
      <x:c r="J52" s="42" t="n">
        <x:f>MAX(0,Assumptions!$C$9-MIN($I$43:$I$54))</x:f>
        <x:v>0.07850000000000001</x:v>
      </x:c>
      <x:c r="K52" s="42" t="n">
        <x:f>I52+J52</x:f>
        <x:v>1.1475</x:v>
      </x:c>
      <x:c r="L52" s="21" t="str">
        <x:f>IF(K52&gt;=Assumptions!$C$9,"ADEQUATE","GAP")</x:f>
        <x:v>ADEQUATE</x:v>
      </x:c>
      <x:c r="M52" s="42" t="n">
        <x:f>'Stage Standard'!G16</x:f>
        <x:v>0.7999999999999999</x:v>
      </x:c>
      <x:c r="N52" s="42" t="n">
        <x:f>K52*M52/Assumptions!$C$12</x:f>
        <x:v>0.7343999999999999</x:v>
      </x:c>
      <x:c r="O52" s="23" t="str">
        <x:f>IF(N52&gt;=1,"ADEQUATE","GAP")</x:f>
        <x:v>GAP</x:v>
      </x:c>
    </x:row>
    <x:row r="53">
      <x:c r="B53" s="21" t="str">
        <x:v>SB-0047</x:v>
      </x:c>
      <x:c r="C53" s="21" t="str">
        <x:v>F08</x:v>
      </x:c>
      <x:c r="D53" s="21" t="n">
        <x:v>11</x:v>
      </x:c>
      <x:c r="E53" s="21" t="str">
        <x:v>Commissioned public service</x:v>
      </x:c>
      <x:c r="F53" s="42" t="n">
        <x:v>0.98</x:v>
      </x:c>
      <x:c r="G53" s="42" t="n">
        <x:v>0.05</x:v>
      </x:c>
      <x:c r="H53" s="42" t="n">
        <x:v>0.052000000000000005</x:v>
      </x:c>
      <x:c r="I53" s="42" t="n">
        <x:f>SUM(F53:H53)</x:f>
        <x:v>1.082</x:v>
      </x:c>
      <x:c r="J53" s="42" t="n">
        <x:f>MAX(0,Assumptions!$C$9-MIN($I$43:$I$54))</x:f>
        <x:v>0.07850000000000001</x:v>
      </x:c>
      <x:c r="K53" s="42" t="n">
        <x:f>I53+J53</x:f>
        <x:v>1.1605</x:v>
      </x:c>
      <x:c r="L53" s="21" t="str">
        <x:f>IF(K53&gt;=Assumptions!$C$9,"ADEQUATE","GAP")</x:f>
        <x:v>ADEQUATE</x:v>
      </x:c>
      <x:c r="M53" s="42" t="n">
        <x:f>'Stage Standard'!G17</x:f>
        <x:v>0.7857142857142858</x:v>
      </x:c>
      <x:c r="N53" s="42" t="n">
        <x:f>K53*M53/Assumptions!$C$12</x:f>
        <x:v>0.729457142857143</x:v>
      </x:c>
      <x:c r="O53" s="23" t="str">
        <x:f>IF(N53&gt;=1,"ADEQUATE","GAP")</x:f>
        <x:v>GAP</x:v>
      </x:c>
    </x:row>
    <x:row r="54">
      <x:c r="B54" s="21" t="str">
        <x:v>SB-0048</x:v>
      </x:c>
      <x:c r="C54" s="21" t="str">
        <x:v>F08</x:v>
      </x:c>
      <x:c r="D54" s="21" t="n">
        <x:v>12</x:v>
      </x:c>
      <x:c r="E54" s="21" t="str">
        <x:v>Regeneration and replacement</x:v>
      </x:c>
      <x:c r="F54" s="42" t="n">
        <x:v>0.9</x:v>
      </x:c>
      <x:c r="G54" s="42" t="n">
        <x:v>0.14</x:v>
      </x:c>
      <x:c r="H54" s="42" t="n">
        <x:v>0.11699999999999999</x:v>
      </x:c>
      <x:c r="I54" s="42" t="n">
        <x:f>SUM(F54:H54)</x:f>
        <x:v>1.157</x:v>
      </x:c>
      <x:c r="J54" s="42" t="n">
        <x:f>MAX(0,Assumptions!$C$9-MIN($I$43:$I$54))</x:f>
        <x:v>0.07850000000000001</x:v>
      </x:c>
      <x:c r="K54" s="42" t="n">
        <x:f>I54+J54</x:f>
        <x:v>1.2355</x:v>
      </x:c>
      <x:c r="L54" s="21" t="str">
        <x:f>IF(K54&gt;=Assumptions!$C$9,"ADEQUATE","GAP")</x:f>
        <x:v>ADEQUATE</x:v>
      </x:c>
      <x:c r="M54" s="42" t="n">
        <x:f>'Stage Standard'!G18</x:f>
        <x:v>0.7142857142857143</x:v>
      </x:c>
      <x:c r="N54" s="42" t="n">
        <x:f>K54*M54/Assumptions!$C$12</x:f>
        <x:v>0.7060000000000001</x:v>
      </x:c>
      <x:c r="O54" s="23" t="str">
        <x:f>IF(N54&gt;=1,"ADEQUATE","GAP")</x:f>
        <x:v>GAP</x:v>
      </x:c>
    </x:row>
    <x:row r="55">
      <x:c r="B55" s="21" t="str">
        <x:v>SB-0049</x:v>
      </x:c>
      <x:c r="C55" s="21" t="str">
        <x:v>F13</x:v>
      </x:c>
      <x:c r="D55" s="21" t="n">
        <x:v>1</x:v>
      </x:c>
      <x:c r="E55" s="21" t="str">
        <x:v>Alert authentication</x:v>
      </x:c>
      <x:c r="F55" s="42" t="n">
        <x:v>1.15</x:v>
      </x:c>
      <x:c r="G55" s="42" t="n">
        <x:v>0</x:v>
      </x:c>
      <x:c r="H55" s="42" t="n">
        <x:v>0</x:v>
      </x:c>
      <x:c r="I55" s="42" t="n">
        <x:f>SUM(F55:H55)</x:f>
        <x:v>1.15</x:v>
      </x:c>
      <x:c r="J55" s="42" t="n">
        <x:f>MAX(0,Assumptions!$C$9-MIN($I$55:$I$66))</x:f>
        <x:v>0.07850000000000001</x:v>
      </x:c>
      <x:c r="K55" s="42" t="n">
        <x:f>I55+J55</x:f>
        <x:v>1.2285</x:v>
      </x:c>
      <x:c r="L55" s="21" t="str">
        <x:f>IF(K55&gt;=Assumptions!$C$9,"ADEQUATE","GAP")</x:f>
        <x:v>ADEQUATE</x:v>
      </x:c>
      <x:c r="M55" s="42" t="n">
        <x:f>'Stage Standard'!G7</x:f>
        <x:v>0.7999999999999999</x:v>
      </x:c>
      <x:c r="N55" s="42" t="n">
        <x:f>K55*M55/Assumptions!$C$12</x:f>
        <x:v>0.7862399999999999</x:v>
      </x:c>
      <x:c r="O55" s="23" t="str">
        <x:f>IF(N55&gt;=1,"ADEQUATE","GAP")</x:f>
        <x:v>GAP</x:v>
      </x:c>
    </x:row>
    <x:row r="56">
      <x:c r="B56" s="21" t="str">
        <x:v>SB-0050</x:v>
      </x:c>
      <x:c r="C56" s="21" t="str">
        <x:v>F13</x:v>
      </x:c>
      <x:c r="D56" s="21" t="n">
        <x:v>2</x:v>
      </x:c>
      <x:c r="E56" s="21" t="str">
        <x:v>Workforce muster</x:v>
      </x:c>
      <x:c r="F56" s="42" t="n">
        <x:v>1.05</x:v>
      </x:c>
      <x:c r="G56" s="42" t="n">
        <x:v>0.03</x:v>
      </x:c>
      <x:c r="H56" s="42" t="n">
        <x:v>0.0325</x:v>
      </x:c>
      <x:c r="I56" s="42" t="n">
        <x:f>SUM(F56:H56)</x:f>
        <x:v>1.1125</x:v>
      </x:c>
      <x:c r="J56" s="42" t="n">
        <x:f>MAX(0,Assumptions!$C$9-MIN($I$55:$I$66))</x:f>
        <x:v>0.07850000000000001</x:v>
      </x:c>
      <x:c r="K56" s="42" t="n">
        <x:f>I56+J56</x:f>
        <x:v>1.191</x:v>
      </x:c>
      <x:c r="L56" s="21" t="str">
        <x:f>IF(K56&gt;=Assumptions!$C$9,"ADEQUATE","GAP")</x:f>
        <x:v>ADEQUATE</x:v>
      </x:c>
      <x:c r="M56" s="42" t="n">
        <x:f>'Stage Standard'!G8</x:f>
        <x:v>0.8125</x:v>
      </x:c>
      <x:c r="N56" s="42" t="n">
        <x:f>K56*M56/Assumptions!$C$12</x:f>
        <x:v>0.77415</x:v>
      </x:c>
      <x:c r="O56" s="23" t="str">
        <x:f>IF(N56&gt;=1,"ADEQUATE","GAP")</x:f>
        <x:v>GAP</x:v>
      </x:c>
    </x:row>
    <x:row r="57">
      <x:c r="B57" s="21" t="str">
        <x:v>SB-0051</x:v>
      </x:c>
      <x:c r="C57" s="21" t="str">
        <x:v>F13</x:v>
      </x:c>
      <x:c r="D57" s="21" t="n">
        <x:v>3</x:v>
      </x:c>
      <x:c r="E57" s="21" t="str">
        <x:v>Facility utility and safe start</x:v>
      </x:c>
      <x:c r="F57" s="42" t="n">
        <x:v>0.98</x:v>
      </x:c>
      <x:c r="G57" s="42" t="n">
        <x:v>0.08</x:v>
      </x:c>
      <x:c r="H57" s="42" t="n">
        <x:v>0.052000000000000005</x:v>
      </x:c>
      <x:c r="I57" s="42" t="n">
        <x:f>SUM(F57:H57)</x:f>
        <x:v>1.112</x:v>
      </x:c>
      <x:c r="J57" s="42" t="n">
        <x:f>MAX(0,Assumptions!$C$9-MIN($I$55:$I$66))</x:f>
        <x:v>0.07850000000000001</x:v>
      </x:c>
      <x:c r="K57" s="42" t="n">
        <x:f>I57+J57</x:f>
        <x:v>1.1905000000000001</x:v>
      </x:c>
      <x:c r="L57" s="21" t="str">
        <x:f>IF(K57&gt;=Assumptions!$C$9,"ADEQUATE","GAP")</x:f>
        <x:v>ADEQUATE</x:v>
      </x:c>
      <x:c r="M57" s="42" t="n">
        <x:f>'Stage Standard'!G9</x:f>
        <x:v>0.7857142857142858</x:v>
      </x:c>
      <x:c r="N57" s="42" t="n">
        <x:f>K57*M57/Assumptions!$C$12</x:f>
        <x:v>0.7483142857142859</x:v>
      </x:c>
      <x:c r="O57" s="23" t="str">
        <x:f>IF(N57&gt;=1,"ADEQUATE","GAP")</x:f>
        <x:v>GAP</x:v>
      </x:c>
    </x:row>
    <x:row r="58">
      <x:c r="B58" s="21" t="str">
        <x:v>SB-0052</x:v>
      </x:c>
      <x:c r="C58" s="21" t="str">
        <x:v>F13</x:v>
      </x:c>
      <x:c r="D58" s="21" t="n">
        <x:v>4</x:v>
      </x:c>
      <x:c r="E58" s="21" t="str">
        <x:v>Material tooling and instrument release</x:v>
      </x:c>
      <x:c r="F58" s="42" t="n">
        <x:v>1</x:v>
      </x:c>
      <x:c r="G58" s="42" t="n">
        <x:v>0.12</x:v>
      </x:c>
      <x:c r="H58" s="42" t="n">
        <x:v>0.13</x:v>
      </x:c>
      <x:c r="I58" s="42" t="n">
        <x:f>SUM(F58:H58)</x:f>
        <x:v>1.25</x:v>
      </x:c>
      <x:c r="J58" s="42" t="n">
        <x:f>MAX(0,Assumptions!$C$9-MIN($I$55:$I$66))</x:f>
        <x:v>0.07850000000000001</x:v>
      </x:c>
      <x:c r="K58" s="42" t="n">
        <x:f>I58+J58</x:f>
        <x:v>1.3285</x:v>
      </x:c>
      <x:c r="L58" s="21" t="str">
        <x:f>IF(K58&gt;=Assumptions!$C$9,"ADEQUATE","GAP")</x:f>
        <x:v>ADEQUATE</x:v>
      </x:c>
      <x:c r="M58" s="42" t="n">
        <x:f>'Stage Standard'!G10</x:f>
        <x:v>0.7333333333333334</x:v>
      </x:c>
      <x:c r="N58" s="42" t="n">
        <x:f>K58*M58/Assumptions!$C$12</x:f>
        <x:v>0.7793866666666667</x:v>
      </x:c>
      <x:c r="O58" s="23" t="str">
        <x:f>IF(N58&gt;=1,"ADEQUATE","GAP")</x:f>
        <x:v>GAP</x:v>
      </x:c>
    </x:row>
    <x:row r="59">
      <x:c r="B59" s="21" t="str">
        <x:v>SB-0053</x:v>
      </x:c>
      <x:c r="C59" s="21" t="str">
        <x:v>F13</x:v>
      </x:c>
      <x:c r="D59" s="21" t="n">
        <x:v>5</x:v>
      </x:c>
      <x:c r="E59" s="21" t="str">
        <x:v>Supplier and process activation</x:v>
      </x:c>
      <x:c r="F59" s="42" t="n">
        <x:v>0.95</x:v>
      </x:c>
      <x:c r="G59" s="42" t="n">
        <x:v>0.15</x:v>
      </x:c>
      <x:c r="H59" s="42" t="n">
        <x:v>0.10400000000000001</x:v>
      </x:c>
      <x:c r="I59" s="42" t="n">
        <x:f>SUM(F59:H59)</x:f>
        <x:v>1.204</x:v>
      </x:c>
      <x:c r="J59" s="42" t="n">
        <x:f>MAX(0,Assumptions!$C$9-MIN($I$55:$I$66))</x:f>
        <x:v>0.07850000000000001</x:v>
      </x:c>
      <x:c r="K59" s="42" t="n">
        <x:f>I59+J59</x:f>
        <x:v>1.2825</x:v>
      </x:c>
      <x:c r="L59" s="21" t="str">
        <x:f>IF(K59&gt;=Assumptions!$C$9,"ADEQUATE","GAP")</x:f>
        <x:v>ADEQUATE</x:v>
      </x:c>
      <x:c r="M59" s="42" t="n">
        <x:f>'Stage Standard'!G11</x:f>
        <x:v>0.7142857142857143</x:v>
      </x:c>
      <x:c r="N59" s="42" t="n">
        <x:f>K59*M59/Assumptions!$C$12</x:f>
        <x:v>0.7328571428571429</x:v>
      </x:c>
      <x:c r="O59" s="23" t="str">
        <x:f>IF(N59&gt;=1,"ADEQUATE","GAP")</x:f>
        <x:v>GAP</x:v>
      </x:c>
    </x:row>
    <x:row r="60">
      <x:c r="B60" s="21" t="str">
        <x:v>SB-0054</x:v>
      </x:c>
      <x:c r="C60" s="21" t="str">
        <x:v>F13</x:v>
      </x:c>
      <x:c r="D60" s="21" t="n">
        <x:v>6</x:v>
      </x:c>
      <x:c r="E60" s="21" t="str">
        <x:v>Conforming production</x:v>
      </x:c>
      <x:c r="F60" s="42" t="n">
        <x:v>0.88</x:v>
      </x:c>
      <x:c r="G60" s="42" t="n">
        <x:v>0.18</x:v>
      </x:c>
      <x:c r="H60" s="42" t="n">
        <x:v>0.09100000000000001</x:v>
      </x:c>
      <x:c r="I60" s="42" t="n">
        <x:f>SUM(F60:H60)</x:f>
        <x:v>1.151</x:v>
      </x:c>
      <x:c r="J60" s="42" t="n">
        <x:f>MAX(0,Assumptions!$C$9-MIN($I$55:$I$66))</x:f>
        <x:v>0.07850000000000001</x:v>
      </x:c>
      <x:c r="K60" s="42" t="n">
        <x:f>I60+J60</x:f>
        <x:v>1.2295</x:v>
      </x:c>
      <x:c r="L60" s="21" t="str">
        <x:f>IF(K60&gt;=Assumptions!$C$9,"ADEQUATE","GAP")</x:f>
        <x:v>ADEQUATE</x:v>
      </x:c>
      <x:c r="M60" s="42" t="n">
        <x:f>'Stage Standard'!G12</x:f>
        <x:v>0.7142857142857143</x:v>
      </x:c>
      <x:c r="N60" s="42" t="n">
        <x:f>K60*M60/Assumptions!$C$12</x:f>
        <x:v>0.7025714285714286</x:v>
      </x:c>
      <x:c r="O60" s="23" t="str">
        <x:f>IF(N60&gt;=1,"ADEQUATE","GAP")</x:f>
        <x:v>GAP</x:v>
      </x:c>
    </x:row>
    <x:row r="61">
      <x:c r="B61" s="21" t="str">
        <x:v>SB-0055</x:v>
      </x:c>
      <x:c r="C61" s="21" t="str">
        <x:v>F13</x:v>
      </x:c>
      <x:c r="D61" s="21" t="n">
        <x:v>7</x:v>
      </x:c>
      <x:c r="E61" s="21" t="str">
        <x:v>Independent acceptance</x:v>
      </x:c>
      <x:c r="F61" s="42" t="n">
        <x:v>1.01</x:v>
      </x:c>
      <x:c r="G61" s="42" t="n">
        <x:v>0.08</x:v>
      </x:c>
      <x:c r="H61" s="42" t="n">
        <x:v>0.14300000000000002</x:v>
      </x:c>
      <x:c r="I61" s="42" t="n">
        <x:f>SUM(F61:H61)</x:f>
        <x:v>1.233</x:v>
      </x:c>
      <x:c r="J61" s="42" t="n">
        <x:f>MAX(0,Assumptions!$C$9-MIN($I$55:$I$66))</x:f>
        <x:v>0.07850000000000001</x:v>
      </x:c>
      <x:c r="K61" s="42" t="n">
        <x:f>I61+J61</x:f>
        <x:v>1.3115</x:v>
      </x:c>
      <x:c r="L61" s="21" t="str">
        <x:f>IF(K61&gt;=Assumptions!$C$9,"ADEQUATE","GAP")</x:f>
        <x:v>ADEQUATE</x:v>
      </x:c>
      <x:c r="M61" s="42" t="n">
        <x:f>'Stage Standard'!G13</x:f>
        <x:v>0.8125</x:v>
      </x:c>
      <x:c r="N61" s="42" t="n">
        <x:f>K61*M61/Assumptions!$C$12</x:f>
        <x:v>0.8524750000000001</x:v>
      </x:c>
      <x:c r="O61" s="23" t="str">
        <x:f>IF(N61&gt;=1,"ADEQUATE","GAP")</x:f>
        <x:v>GAP</x:v>
      </x:c>
    </x:row>
    <x:row r="62">
      <x:c r="B62" s="21" t="str">
        <x:v>SB-0056</x:v>
      </x:c>
      <x:c r="C62" s="21" t="str">
        <x:v>F13</x:v>
      </x:c>
      <x:c r="D62" s="21" t="n">
        <x:v>8</x:v>
      </x:c>
      <x:c r="E62" s="21" t="str">
        <x:v>Loadout and custody transfer</x:v>
      </x:c>
      <x:c r="F62" s="42" t="n">
        <x:v>0.96</x:v>
      </x:c>
      <x:c r="G62" s="42" t="n">
        <x:v>0.05</x:v>
      </x:c>
      <x:c r="H62" s="42" t="n">
        <x:v>0.052000000000000005</x:v>
      </x:c>
      <x:c r="I62" s="42" t="n">
        <x:f>SUM(F62:H62)</x:f>
        <x:v>1.062</x:v>
      </x:c>
      <x:c r="J62" s="42" t="n">
        <x:f>MAX(0,Assumptions!$C$9-MIN($I$55:$I$66))</x:f>
        <x:v>0.07850000000000001</x:v>
      </x:c>
      <x:c r="K62" s="42" t="n">
        <x:f>I62+J62</x:f>
        <x:v>1.1405</x:v>
      </x:c>
      <x:c r="L62" s="21" t="str">
        <x:f>IF(K62&gt;=Assumptions!$C$9,"ADEQUATE","GAP")</x:f>
        <x:v>ADEQUATE</x:v>
      </x:c>
      <x:c r="M62" s="42" t="n">
        <x:f>'Stage Standard'!G14</x:f>
        <x:v>0.7692307692307692</x:v>
      </x:c>
      <x:c r="N62" s="42" t="n">
        <x:f>K62*M62/Assumptions!$C$12</x:f>
        <x:v>0.7018461538461538</x:v>
      </x:c>
      <x:c r="O62" s="23" t="str">
        <x:f>IF(N62&gt;=1,"ADEQUATE","GAP")</x:f>
        <x:v>GAP</x:v>
      </x:c>
    </x:row>
    <x:row r="63">
      <x:c r="B63" s="21" t="str">
        <x:v>SB-0057</x:v>
      </x:c>
      <x:c r="C63" s="21" t="str">
        <x:v>F13</x:v>
      </x:c>
      <x:c r="D63" s="21" t="n">
        <x:v>9</x:v>
      </x:c>
      <x:c r="E63" s="21" t="str">
        <x:v>Strategic transport</x:v>
      </x:c>
      <x:c r="F63" s="42" t="n">
        <x:v>0.9425</x:v>
      </x:c>
      <x:c r="G63" s="42" t="n">
        <x:v>0.04</x:v>
      </x:c>
      <x:c r="H63" s="42" t="n">
        <x:v>0.039</x:v>
      </x:c>
      <x:c r="I63" s="42" t="n">
        <x:f>SUM(F63:H63)</x:f>
        <x:v>1.0215</x:v>
      </x:c>
      <x:c r="J63" s="42" t="n">
        <x:f>MAX(0,Assumptions!$C$9-MIN($I$55:$I$66))</x:f>
        <x:v>0.07850000000000001</x:v>
      </x:c>
      <x:c r="K63" s="42" t="n">
        <x:f>I63+J63</x:f>
        <x:v>1.1</x:v>
      </x:c>
      <x:c r="L63" s="21" t="str">
        <x:f>IF(K63&gt;=Assumptions!$C$9,"ADEQUATE","GAP")</x:f>
        <x:v>ADEQUATE</x:v>
      </x:c>
      <x:c r="M63" s="42" t="n">
        <x:f>'Stage Standard'!G15</x:f>
        <x:v>0.7692307692307692</x:v>
      </x:c>
      <x:c r="N63" s="42" t="n">
        <x:f>K63*M63/Assumptions!$C$12</x:f>
        <x:v>0.676923076923077</x:v>
      </x:c>
      <x:c r="O63" s="23" t="str">
        <x:f>IF(N63&gt;=1,"ADEQUATE","GAP")</x:f>
        <x:v>GAP</x:v>
      </x:c>
    </x:row>
    <x:row r="64">
      <x:c r="B64" s="21" t="str">
        <x:v>SB-0058</x:v>
      </x:c>
      <x:c r="C64" s="21" t="str">
        <x:v>F13</x:v>
      </x:c>
      <x:c r="D64" s="21" t="n">
        <x:v>10</x:v>
      </x:c>
      <x:c r="E64" s="21" t="str">
        <x:v>Receiving-node admission</x:v>
      </x:c>
      <x:c r="F64" s="42" t="n">
        <x:v>1</x:v>
      </x:c>
      <x:c r="G64" s="42" t="n">
        <x:v>0.03</x:v>
      </x:c>
      <x:c r="H64" s="42" t="n">
        <x:v>0.052000000000000005</x:v>
      </x:c>
      <x:c r="I64" s="42" t="n">
        <x:f>SUM(F64:H64)</x:f>
        <x:v>1.082</x:v>
      </x:c>
      <x:c r="J64" s="42" t="n">
        <x:f>MAX(0,Assumptions!$C$9-MIN($I$55:$I$66))</x:f>
        <x:v>0.07850000000000001</x:v>
      </x:c>
      <x:c r="K64" s="42" t="n">
        <x:f>I64+J64</x:f>
        <x:v>1.1605</x:v>
      </x:c>
      <x:c r="L64" s="21" t="str">
        <x:f>IF(K64&gt;=Assumptions!$C$9,"ADEQUATE","GAP")</x:f>
        <x:v>ADEQUATE</x:v>
      </x:c>
      <x:c r="M64" s="42" t="n">
        <x:f>'Stage Standard'!G16</x:f>
        <x:v>0.7999999999999999</x:v>
      </x:c>
      <x:c r="N64" s="42" t="n">
        <x:f>K64*M64/Assumptions!$C$12</x:f>
        <x:v>0.74272</x:v>
      </x:c>
      <x:c r="O64" s="23" t="str">
        <x:f>IF(N64&gt;=1,"ADEQUATE","GAP")</x:f>
        <x:v>GAP</x:v>
      </x:c>
    </x:row>
    <x:row r="65">
      <x:c r="B65" s="21" t="str">
        <x:v>SB-0059</x:v>
      </x:c>
      <x:c r="C65" s="21" t="str">
        <x:v>F13</x:v>
      </x:c>
      <x:c r="D65" s="21" t="n">
        <x:v>11</x:v>
      </x:c>
      <x:c r="E65" s="21" t="str">
        <x:v>Commissioned public service</x:v>
      </x:c>
      <x:c r="F65" s="42" t="n">
        <x:v>0.98</x:v>
      </x:c>
      <x:c r="G65" s="42" t="n">
        <x:v>0.05</x:v>
      </x:c>
      <x:c r="H65" s="42" t="n">
        <x:v>0.052000000000000005</x:v>
      </x:c>
      <x:c r="I65" s="42" t="n">
        <x:f>SUM(F65:H65)</x:f>
        <x:v>1.082</x:v>
      </x:c>
      <x:c r="J65" s="42" t="n">
        <x:f>MAX(0,Assumptions!$C$9-MIN($I$55:$I$66))</x:f>
        <x:v>0.07850000000000001</x:v>
      </x:c>
      <x:c r="K65" s="42" t="n">
        <x:f>I65+J65</x:f>
        <x:v>1.1605</x:v>
      </x:c>
      <x:c r="L65" s="21" t="str">
        <x:f>IF(K65&gt;=Assumptions!$C$9,"ADEQUATE","GAP")</x:f>
        <x:v>ADEQUATE</x:v>
      </x:c>
      <x:c r="M65" s="42" t="n">
        <x:f>'Stage Standard'!G17</x:f>
        <x:v>0.7857142857142858</x:v>
      </x:c>
      <x:c r="N65" s="42" t="n">
        <x:f>K65*M65/Assumptions!$C$12</x:f>
        <x:v>0.729457142857143</x:v>
      </x:c>
      <x:c r="O65" s="23" t="str">
        <x:f>IF(N65&gt;=1,"ADEQUATE","GAP")</x:f>
        <x:v>GAP</x:v>
      </x:c>
    </x:row>
    <x:row r="66">
      <x:c r="B66" s="21" t="str">
        <x:v>SB-0060</x:v>
      </x:c>
      <x:c r="C66" s="21" t="str">
        <x:v>F13</x:v>
      </x:c>
      <x:c r="D66" s="21" t="n">
        <x:v>12</x:v>
      </x:c>
      <x:c r="E66" s="21" t="str">
        <x:v>Regeneration and replacement</x:v>
      </x:c>
      <x:c r="F66" s="42" t="n">
        <x:v>0.9</x:v>
      </x:c>
      <x:c r="G66" s="42" t="n">
        <x:v>0.14</x:v>
      </x:c>
      <x:c r="H66" s="42" t="n">
        <x:v>0.078</x:v>
      </x:c>
      <x:c r="I66" s="42" t="n">
        <x:f>SUM(F66:H66)</x:f>
        <x:v>1.118</x:v>
      </x:c>
      <x:c r="J66" s="42" t="n">
        <x:f>MAX(0,Assumptions!$C$9-MIN($I$55:$I$66))</x:f>
        <x:v>0.07850000000000001</x:v>
      </x:c>
      <x:c r="K66" s="42" t="n">
        <x:f>I66+J66</x:f>
        <x:v>1.1965000000000001</x:v>
      </x:c>
      <x:c r="L66" s="21" t="str">
        <x:f>IF(K66&gt;=Assumptions!$C$9,"ADEQUATE","GAP")</x:f>
        <x:v>ADEQUATE</x:v>
      </x:c>
      <x:c r="M66" s="42" t="n">
        <x:f>'Stage Standard'!G18</x:f>
        <x:v>0.7142857142857143</x:v>
      </x:c>
      <x:c r="N66" s="42" t="n">
        <x:f>K66*M66/Assumptions!$C$12</x:f>
        <x:v>0.6837142857142858</x:v>
      </x:c>
      <x:c r="O66" s="23" t="str">
        <x:f>IF(N66&gt;=1,"ADEQUATE","GAP")</x:f>
        <x:v>GAP</x:v>
      </x:c>
    </x:row>
    <x:row r="67">
      <x:c r="B67" s="21" t="str">
        <x:v>SB-0061</x:v>
      </x:c>
      <x:c r="C67" s="21" t="str">
        <x:v>F17</x:v>
      </x:c>
      <x:c r="D67" s="21" t="n">
        <x:v>1</x:v>
      </x:c>
      <x:c r="E67" s="21" t="str">
        <x:v>Alert authentication</x:v>
      </x:c>
      <x:c r="F67" s="42" t="n">
        <x:v>1.15</x:v>
      </x:c>
      <x:c r="G67" s="42" t="n">
        <x:v>0</x:v>
      </x:c>
      <x:c r="H67" s="42" t="n">
        <x:v>0.013000000000000001</x:v>
      </x:c>
      <x:c r="I67" s="42" t="n">
        <x:f>SUM(F67:H67)</x:f>
        <x:v>1.1629999999999998</x:v>
      </x:c>
      <x:c r="J67" s="42" t="n">
        <x:f>MAX(0,Assumptions!$C$9-MIN($I$67:$I$78))</x:f>
        <x:v>0.07850000000000001</x:v>
      </x:c>
      <x:c r="K67" s="42" t="n">
        <x:f>I67+J67</x:f>
        <x:v>1.2414999999999998</x:v>
      </x:c>
      <x:c r="L67" s="21" t="str">
        <x:f>IF(K67&gt;=Assumptions!$C$9,"ADEQUATE","GAP")</x:f>
        <x:v>ADEQUATE</x:v>
      </x:c>
      <x:c r="M67" s="42" t="n">
        <x:f>'Stage Standard'!G7</x:f>
        <x:v>0.7999999999999999</x:v>
      </x:c>
      <x:c r="N67" s="42" t="n">
        <x:f>K67*M67/Assumptions!$C$12</x:f>
        <x:v>0.7945599999999998</x:v>
      </x:c>
      <x:c r="O67" s="23" t="str">
        <x:f>IF(N67&gt;=1,"ADEQUATE","GAP")</x:f>
        <x:v>GAP</x:v>
      </x:c>
    </x:row>
    <x:row r="68">
      <x:c r="B68" s="21" t="str">
        <x:v>SB-0062</x:v>
      </x:c>
      <x:c r="C68" s="21" t="str">
        <x:v>F17</x:v>
      </x:c>
      <x:c r="D68" s="21" t="n">
        <x:v>2</x:v>
      </x:c>
      <x:c r="E68" s="21" t="str">
        <x:v>Workforce muster</x:v>
      </x:c>
      <x:c r="F68" s="42" t="n">
        <x:v>1.05</x:v>
      </x:c>
      <x:c r="G68" s="42" t="n">
        <x:v>0.03</x:v>
      </x:c>
      <x:c r="H68" s="42" t="n">
        <x:v>0.0325</x:v>
      </x:c>
      <x:c r="I68" s="42" t="n">
        <x:f>SUM(F68:H68)</x:f>
        <x:v>1.1125</x:v>
      </x:c>
      <x:c r="J68" s="42" t="n">
        <x:f>MAX(0,Assumptions!$C$9-MIN($I$67:$I$78))</x:f>
        <x:v>0.07850000000000001</x:v>
      </x:c>
      <x:c r="K68" s="42" t="n">
        <x:f>I68+J68</x:f>
        <x:v>1.191</x:v>
      </x:c>
      <x:c r="L68" s="21" t="str">
        <x:f>IF(K68&gt;=Assumptions!$C$9,"ADEQUATE","GAP")</x:f>
        <x:v>ADEQUATE</x:v>
      </x:c>
      <x:c r="M68" s="42" t="n">
        <x:f>'Stage Standard'!G8</x:f>
        <x:v>0.8125</x:v>
      </x:c>
      <x:c r="N68" s="42" t="n">
        <x:f>K68*M68/Assumptions!$C$12</x:f>
        <x:v>0.77415</x:v>
      </x:c>
      <x:c r="O68" s="23" t="str">
        <x:f>IF(N68&gt;=1,"ADEQUATE","GAP")</x:f>
        <x:v>GAP</x:v>
      </x:c>
    </x:row>
    <x:row r="69">
      <x:c r="B69" s="21" t="str">
        <x:v>SB-0063</x:v>
      </x:c>
      <x:c r="C69" s="21" t="str">
        <x:v>F17</x:v>
      </x:c>
      <x:c r="D69" s="21" t="n">
        <x:v>3</x:v>
      </x:c>
      <x:c r="E69" s="21" t="str">
        <x:v>Facility utility and safe start</x:v>
      </x:c>
      <x:c r="F69" s="42" t="n">
        <x:v>0.9</x:v>
      </x:c>
      <x:c r="G69" s="42" t="n">
        <x:v>0.2</x:v>
      </x:c>
      <x:c r="H69" s="42" t="n">
        <x:v>0.052000000000000005</x:v>
      </x:c>
      <x:c r="I69" s="42" t="n">
        <x:f>SUM(F69:H69)</x:f>
        <x:v>1.1520000000000001</x:v>
      </x:c>
      <x:c r="J69" s="42" t="n">
        <x:f>MAX(0,Assumptions!$C$9-MIN($I$67:$I$78))</x:f>
        <x:v>0.07850000000000001</x:v>
      </x:c>
      <x:c r="K69" s="42" t="n">
        <x:f>I69+J69</x:f>
        <x:v>1.2305000000000001</x:v>
      </x:c>
      <x:c r="L69" s="21" t="str">
        <x:f>IF(K69&gt;=Assumptions!$C$9,"ADEQUATE","GAP")</x:f>
        <x:v>ADEQUATE</x:v>
      </x:c>
      <x:c r="M69" s="42" t="n">
        <x:f>'Stage Standard'!G9</x:f>
        <x:v>0.7857142857142858</x:v>
      </x:c>
      <x:c r="N69" s="42" t="n">
        <x:f>K69*M69/Assumptions!$C$12</x:f>
        <x:v>0.7734571428571431</x:v>
      </x:c>
      <x:c r="O69" s="23" t="str">
        <x:f>IF(N69&gt;=1,"ADEQUATE","GAP")</x:f>
        <x:v>GAP</x:v>
      </x:c>
    </x:row>
    <x:row r="70">
      <x:c r="B70" s="21" t="str">
        <x:v>SB-0064</x:v>
      </x:c>
      <x:c r="C70" s="21" t="str">
        <x:v>F17</x:v>
      </x:c>
      <x:c r="D70" s="21" t="n">
        <x:v>4</x:v>
      </x:c>
      <x:c r="E70" s="21" t="str">
        <x:v>Material tooling and instrument release</x:v>
      </x:c>
      <x:c r="F70" s="42" t="n">
        <x:v>1</x:v>
      </x:c>
      <x:c r="G70" s="42" t="n">
        <x:v>0.08</x:v>
      </x:c>
      <x:c r="H70" s="42" t="n">
        <x:v>0.10400000000000001</x:v>
      </x:c>
      <x:c r="I70" s="42" t="n">
        <x:f>SUM(F70:H70)</x:f>
        <x:v>1.1840000000000002</x:v>
      </x:c>
      <x:c r="J70" s="42" t="n">
        <x:f>MAX(0,Assumptions!$C$9-MIN($I$67:$I$78))</x:f>
        <x:v>0.07850000000000001</x:v>
      </x:c>
      <x:c r="K70" s="42" t="n">
        <x:f>I70+J70</x:f>
        <x:v>1.2625000000000002</x:v>
      </x:c>
      <x:c r="L70" s="21" t="str">
        <x:f>IF(K70&gt;=Assumptions!$C$9,"ADEQUATE","GAP")</x:f>
        <x:v>ADEQUATE</x:v>
      </x:c>
      <x:c r="M70" s="42" t="n">
        <x:f>'Stage Standard'!G10</x:f>
        <x:v>0.7333333333333334</x:v>
      </x:c>
      <x:c r="N70" s="42" t="n">
        <x:f>K70*M70/Assumptions!$C$12</x:f>
        <x:v>0.7406666666666668</x:v>
      </x:c>
      <x:c r="O70" s="23" t="str">
        <x:f>IF(N70&gt;=1,"ADEQUATE","GAP")</x:f>
        <x:v>GAP</x:v>
      </x:c>
    </x:row>
    <x:row r="71">
      <x:c r="B71" s="21" t="str">
        <x:v>SB-0065</x:v>
      </x:c>
      <x:c r="C71" s="21" t="str">
        <x:v>F17</x:v>
      </x:c>
      <x:c r="D71" s="21" t="n">
        <x:v>5</x:v>
      </x:c>
      <x:c r="E71" s="21" t="str">
        <x:v>Supplier and process activation</x:v>
      </x:c>
      <x:c r="F71" s="42" t="n">
        <x:v>0.9099999999999999</x:v>
      </x:c>
      <x:c r="G71" s="42" t="n">
        <x:v>0.12</x:v>
      </x:c>
      <x:c r="H71" s="42" t="n">
        <x:v>0.14300000000000002</x:v>
      </x:c>
      <x:c r="I71" s="42" t="n">
        <x:f>SUM(F71:H71)</x:f>
        <x:v>1.1729999999999998</x:v>
      </x:c>
      <x:c r="J71" s="42" t="n">
        <x:f>MAX(0,Assumptions!$C$9-MIN($I$67:$I$78))</x:f>
        <x:v>0.07850000000000001</x:v>
      </x:c>
      <x:c r="K71" s="42" t="n">
        <x:f>I71+J71</x:f>
        <x:v>1.2514999999999998</x:v>
      </x:c>
      <x:c r="L71" s="21" t="str">
        <x:f>IF(K71&gt;=Assumptions!$C$9,"ADEQUATE","GAP")</x:f>
        <x:v>ADEQUATE</x:v>
      </x:c>
      <x:c r="M71" s="42" t="n">
        <x:f>'Stage Standard'!G11</x:f>
        <x:v>0.7142857142857143</x:v>
      </x:c>
      <x:c r="N71" s="42" t="n">
        <x:f>K71*M71/Assumptions!$C$12</x:f>
        <x:v>0.7151428571428571</x:v>
      </x:c>
      <x:c r="O71" s="23" t="str">
        <x:f>IF(N71&gt;=1,"ADEQUATE","GAP")</x:f>
        <x:v>GAP</x:v>
      </x:c>
    </x:row>
    <x:row r="72">
      <x:c r="B72" s="21" t="str">
        <x:v>SB-0066</x:v>
      </x:c>
      <x:c r="C72" s="21" t="str">
        <x:v>F17</x:v>
      </x:c>
      <x:c r="D72" s="21" t="n">
        <x:v>6</x:v>
      </x:c>
      <x:c r="E72" s="21" t="str">
        <x:v>Conforming production</x:v>
      </x:c>
      <x:c r="F72" s="42" t="n">
        <x:v>0.96</x:v>
      </x:c>
      <x:c r="G72" s="42" t="n">
        <x:v>0.12</x:v>
      </x:c>
      <x:c r="H72" s="42" t="n">
        <x:v>0.11699999999999999</x:v>
      </x:c>
      <x:c r="I72" s="42" t="n">
        <x:f>SUM(F72:H72)</x:f>
        <x:v>1.197</x:v>
      </x:c>
      <x:c r="J72" s="42" t="n">
        <x:f>MAX(0,Assumptions!$C$9-MIN($I$67:$I$78))</x:f>
        <x:v>0.07850000000000001</x:v>
      </x:c>
      <x:c r="K72" s="42" t="n">
        <x:f>I72+J72</x:f>
        <x:v>1.2755</x:v>
      </x:c>
      <x:c r="L72" s="21" t="str">
        <x:f>IF(K72&gt;=Assumptions!$C$9,"ADEQUATE","GAP")</x:f>
        <x:v>ADEQUATE</x:v>
      </x:c>
      <x:c r="M72" s="42" t="n">
        <x:f>'Stage Standard'!G12</x:f>
        <x:v>0.7142857142857143</x:v>
      </x:c>
      <x:c r="N72" s="42" t="n">
        <x:f>K72*M72/Assumptions!$C$12</x:f>
        <x:v>0.7288571428571429</x:v>
      </x:c>
      <x:c r="O72" s="23" t="str">
        <x:f>IF(N72&gt;=1,"ADEQUATE","GAP")</x:f>
        <x:v>GAP</x:v>
      </x:c>
    </x:row>
    <x:row r="73">
      <x:c r="B73" s="21" t="str">
        <x:v>SB-0067</x:v>
      </x:c>
      <x:c r="C73" s="21" t="str">
        <x:v>F17</x:v>
      </x:c>
      <x:c r="D73" s="21" t="n">
        <x:v>7</x:v>
      </x:c>
      <x:c r="E73" s="21" t="str">
        <x:v>Independent acceptance</x:v>
      </x:c>
      <x:c r="F73" s="42" t="n">
        <x:v>1.05</x:v>
      </x:c>
      <x:c r="G73" s="42" t="n">
        <x:v>0.08</x:v>
      </x:c>
      <x:c r="H73" s="42" t="n">
        <x:v>0.09100000000000001</x:v>
      </x:c>
      <x:c r="I73" s="42" t="n">
        <x:f>SUM(F73:H73)</x:f>
        <x:v>1.221</x:v>
      </x:c>
      <x:c r="J73" s="42" t="n">
        <x:f>MAX(0,Assumptions!$C$9-MIN($I$67:$I$78))</x:f>
        <x:v>0.07850000000000001</x:v>
      </x:c>
      <x:c r="K73" s="42" t="n">
        <x:f>I73+J73</x:f>
        <x:v>1.2995</x:v>
      </x:c>
      <x:c r="L73" s="21" t="str">
        <x:f>IF(K73&gt;=Assumptions!$C$9,"ADEQUATE","GAP")</x:f>
        <x:v>ADEQUATE</x:v>
      </x:c>
      <x:c r="M73" s="42" t="n">
        <x:f>'Stage Standard'!G13</x:f>
        <x:v>0.8125</x:v>
      </x:c>
      <x:c r="N73" s="42" t="n">
        <x:f>K73*M73/Assumptions!$C$12</x:f>
        <x:v>0.8446750000000002</x:v>
      </x:c>
      <x:c r="O73" s="23" t="str">
        <x:f>IF(N73&gt;=1,"ADEQUATE","GAP")</x:f>
        <x:v>GAP</x:v>
      </x:c>
    </x:row>
    <x:row r="74">
      <x:c r="B74" s="21" t="str">
        <x:v>SB-0068</x:v>
      </x:c>
      <x:c r="C74" s="21" t="str">
        <x:v>F17</x:v>
      </x:c>
      <x:c r="D74" s="21" t="n">
        <x:v>8</x:v>
      </x:c>
      <x:c r="E74" s="21" t="str">
        <x:v>Loadout and custody transfer</x:v>
      </x:c>
      <x:c r="F74" s="42" t="n">
        <x:v>0.96</x:v>
      </x:c>
      <x:c r="G74" s="42" t="n">
        <x:v>0.05</x:v>
      </x:c>
      <x:c r="H74" s="42" t="n">
        <x:v>0.052000000000000005</x:v>
      </x:c>
      <x:c r="I74" s="42" t="n">
        <x:f>SUM(F74:H74)</x:f>
        <x:v>1.062</x:v>
      </x:c>
      <x:c r="J74" s="42" t="n">
        <x:f>MAX(0,Assumptions!$C$9-MIN($I$67:$I$78))</x:f>
        <x:v>0.07850000000000001</x:v>
      </x:c>
      <x:c r="K74" s="42" t="n">
        <x:f>I74+J74</x:f>
        <x:v>1.1405</x:v>
      </x:c>
      <x:c r="L74" s="21" t="str">
        <x:f>IF(K74&gt;=Assumptions!$C$9,"ADEQUATE","GAP")</x:f>
        <x:v>ADEQUATE</x:v>
      </x:c>
      <x:c r="M74" s="42" t="n">
        <x:f>'Stage Standard'!G14</x:f>
        <x:v>0.7692307692307692</x:v>
      </x:c>
      <x:c r="N74" s="42" t="n">
        <x:f>K74*M74/Assumptions!$C$12</x:f>
        <x:v>0.7018461538461538</x:v>
      </x:c>
      <x:c r="O74" s="23" t="str">
        <x:f>IF(N74&gt;=1,"ADEQUATE","GAP")</x:f>
        <x:v>GAP</x:v>
      </x:c>
    </x:row>
    <x:row r="75">
      <x:c r="B75" s="21" t="str">
        <x:v>SB-0069</x:v>
      </x:c>
      <x:c r="C75" s="21" t="str">
        <x:v>F17</x:v>
      </x:c>
      <x:c r="D75" s="21" t="n">
        <x:v>9</x:v>
      </x:c>
      <x:c r="E75" s="21" t="str">
        <x:v>Strategic transport</x:v>
      </x:c>
      <x:c r="F75" s="42" t="n">
        <x:v>0.9425</x:v>
      </x:c>
      <x:c r="G75" s="42" t="n">
        <x:v>0.04</x:v>
      </x:c>
      <x:c r="H75" s="42" t="n">
        <x:v>0.039</x:v>
      </x:c>
      <x:c r="I75" s="42" t="n">
        <x:f>SUM(F75:H75)</x:f>
        <x:v>1.0215</x:v>
      </x:c>
      <x:c r="J75" s="42" t="n">
        <x:f>MAX(0,Assumptions!$C$9-MIN($I$67:$I$78))</x:f>
        <x:v>0.07850000000000001</x:v>
      </x:c>
      <x:c r="K75" s="42" t="n">
        <x:f>I75+J75</x:f>
        <x:v>1.1</x:v>
      </x:c>
      <x:c r="L75" s="21" t="str">
        <x:f>IF(K75&gt;=Assumptions!$C$9,"ADEQUATE","GAP")</x:f>
        <x:v>ADEQUATE</x:v>
      </x:c>
      <x:c r="M75" s="42" t="n">
        <x:f>'Stage Standard'!G15</x:f>
        <x:v>0.7692307692307692</x:v>
      </x:c>
      <x:c r="N75" s="42" t="n">
        <x:f>K75*M75/Assumptions!$C$12</x:f>
        <x:v>0.676923076923077</x:v>
      </x:c>
      <x:c r="O75" s="23" t="str">
        <x:f>IF(N75&gt;=1,"ADEQUATE","GAP")</x:f>
        <x:v>GAP</x:v>
      </x:c>
    </x:row>
    <x:row r="76">
      <x:c r="B76" s="21" t="str">
        <x:v>SB-0070</x:v>
      </x:c>
      <x:c r="C76" s="21" t="str">
        <x:v>F17</x:v>
      </x:c>
      <x:c r="D76" s="21" t="n">
        <x:v>10</x:v>
      </x:c>
      <x:c r="E76" s="21" t="str">
        <x:v>Receiving-node admission</x:v>
      </x:c>
      <x:c r="F76" s="42" t="n">
        <x:v>1</x:v>
      </x:c>
      <x:c r="G76" s="42" t="n">
        <x:v>0.1</x:v>
      </x:c>
      <x:c r="H76" s="42" t="n">
        <x:v>0.039</x:v>
      </x:c>
      <x:c r="I76" s="42" t="n">
        <x:f>SUM(F76:H76)</x:f>
        <x:v>1.139</x:v>
      </x:c>
      <x:c r="J76" s="42" t="n">
        <x:f>MAX(0,Assumptions!$C$9-MIN($I$67:$I$78))</x:f>
        <x:v>0.07850000000000001</x:v>
      </x:c>
      <x:c r="K76" s="42" t="n">
        <x:f>I76+J76</x:f>
        <x:v>1.2175</x:v>
      </x:c>
      <x:c r="L76" s="21" t="str">
        <x:f>IF(K76&gt;=Assumptions!$C$9,"ADEQUATE","GAP")</x:f>
        <x:v>ADEQUATE</x:v>
      </x:c>
      <x:c r="M76" s="42" t="n">
        <x:f>'Stage Standard'!G16</x:f>
        <x:v>0.7999999999999999</x:v>
      </x:c>
      <x:c r="N76" s="42" t="n">
        <x:f>K76*M76/Assumptions!$C$12</x:f>
        <x:v>0.7792</x:v>
      </x:c>
      <x:c r="O76" s="23" t="str">
        <x:f>IF(N76&gt;=1,"ADEQUATE","GAP")</x:f>
        <x:v>GAP</x:v>
      </x:c>
    </x:row>
    <x:row r="77">
      <x:c r="B77" s="21" t="str">
        <x:v>SB-0071</x:v>
      </x:c>
      <x:c r="C77" s="21" t="str">
        <x:v>F17</x:v>
      </x:c>
      <x:c r="D77" s="21" t="n">
        <x:v>11</x:v>
      </x:c>
      <x:c r="E77" s="21" t="str">
        <x:v>Commissioned public service</x:v>
      </x:c>
      <x:c r="F77" s="42" t="n">
        <x:v>0.98</x:v>
      </x:c>
      <x:c r="G77" s="42" t="n">
        <x:v>0.18</x:v>
      </x:c>
      <x:c r="H77" s="42" t="n">
        <x:v>0.052000000000000005</x:v>
      </x:c>
      <x:c r="I77" s="42" t="n">
        <x:f>SUM(F77:H77)</x:f>
        <x:v>1.212</x:v>
      </x:c>
      <x:c r="J77" s="42" t="n">
        <x:f>MAX(0,Assumptions!$C$9-MIN($I$67:$I$78))</x:f>
        <x:v>0.07850000000000001</x:v>
      </x:c>
      <x:c r="K77" s="42" t="n">
        <x:f>I77+J77</x:f>
        <x:v>1.2905</x:v>
      </x:c>
      <x:c r="L77" s="21" t="str">
        <x:f>IF(K77&gt;=Assumptions!$C$9,"ADEQUATE","GAP")</x:f>
        <x:v>ADEQUATE</x:v>
      </x:c>
      <x:c r="M77" s="42" t="n">
        <x:f>'Stage Standard'!G17</x:f>
        <x:v>0.7857142857142858</x:v>
      </x:c>
      <x:c r="N77" s="42" t="n">
        <x:f>K77*M77/Assumptions!$C$12</x:f>
        <x:v>0.8111714285714287</x:v>
      </x:c>
      <x:c r="O77" s="23" t="str">
        <x:f>IF(N77&gt;=1,"ADEQUATE","GAP")</x:f>
        <x:v>GAP</x:v>
      </x:c>
    </x:row>
    <x:row r="78">
      <x:c r="B78" s="21" t="str">
        <x:v>SB-0072</x:v>
      </x:c>
      <x:c r="C78" s="21" t="str">
        <x:v>F17</x:v>
      </x:c>
      <x:c r="D78" s="21" t="n">
        <x:v>12</x:v>
      </x:c>
      <x:c r="E78" s="21" t="str">
        <x:v>Regeneration and replacement</x:v>
      </x:c>
      <x:c r="F78" s="42" t="n">
        <x:v>0.9</x:v>
      </x:c>
      <x:c r="G78" s="42" t="n">
        <x:v>0.14</x:v>
      </x:c>
      <x:c r="H78" s="42" t="n">
        <x:v>0.11699999999999999</x:v>
      </x:c>
      <x:c r="I78" s="42" t="n">
        <x:f>SUM(F78:H78)</x:f>
        <x:v>1.157</x:v>
      </x:c>
      <x:c r="J78" s="42" t="n">
        <x:f>MAX(0,Assumptions!$C$9-MIN($I$67:$I$78))</x:f>
        <x:v>0.07850000000000001</x:v>
      </x:c>
      <x:c r="K78" s="42" t="n">
        <x:f>I78+J78</x:f>
        <x:v>1.2355</x:v>
      </x:c>
      <x:c r="L78" s="21" t="str">
        <x:f>IF(K78&gt;=Assumptions!$C$9,"ADEQUATE","GAP")</x:f>
        <x:v>ADEQUATE</x:v>
      </x:c>
      <x:c r="M78" s="42" t="n">
        <x:f>'Stage Standard'!G18</x:f>
        <x:v>0.7142857142857143</x:v>
      </x:c>
      <x:c r="N78" s="42" t="n">
        <x:f>K78*M78/Assumptions!$C$12</x:f>
        <x:v>0.7060000000000001</x:v>
      </x:c>
      <x:c r="O78" s="23" t="str">
        <x:f>IF(N78&gt;=1,"ADEQUATE","GAP")</x:f>
        <x:v>GAP</x:v>
      </x:c>
    </x:row>
    <x:row r="79">
      <x:c r="B79" s="21" t="str">
        <x:v>SB-0073</x:v>
      </x:c>
      <x:c r="C79" s="21" t="str">
        <x:v>F18</x:v>
      </x:c>
      <x:c r="D79" s="21" t="n">
        <x:v>1</x:v>
      </x:c>
      <x:c r="E79" s="21" t="str">
        <x:v>Alert authentication</x:v>
      </x:c>
      <x:c r="F79" s="42" t="n">
        <x:v>1.15</x:v>
      </x:c>
      <x:c r="G79" s="42" t="n">
        <x:v>0</x:v>
      </x:c>
      <x:c r="H79" s="42" t="n">
        <x:v>0</x:v>
      </x:c>
      <x:c r="I79" s="42" t="n">
        <x:f>SUM(F79:H79)</x:f>
        <x:v>1.15</x:v>
      </x:c>
      <x:c r="J79" s="42" t="n">
        <x:f>MAX(0,Assumptions!$C$9-MIN($I$79:$I$90))</x:f>
        <x:v>0.06500000000000017</x:v>
      </x:c>
      <x:c r="K79" s="42" t="n">
        <x:f>I79+J79</x:f>
        <x:v>1.215</x:v>
      </x:c>
      <x:c r="L79" s="21" t="str">
        <x:f>IF(K79&gt;=Assumptions!$C$9,"ADEQUATE","GAP")</x:f>
        <x:v>ADEQUATE</x:v>
      </x:c>
      <x:c r="M79" s="42" t="n">
        <x:f>'Stage Standard'!G7</x:f>
        <x:v>0.7999999999999999</x:v>
      </x:c>
      <x:c r="N79" s="42" t="n">
        <x:f>K79*M79/Assumptions!$C$12</x:f>
        <x:v>0.7776</x:v>
      </x:c>
      <x:c r="O79" s="23" t="str">
        <x:f>IF(N79&gt;=1,"ADEQUATE","GAP")</x:f>
        <x:v>GAP</x:v>
      </x:c>
    </x:row>
    <x:row r="80">
      <x:c r="B80" s="21" t="str">
        <x:v>SB-0074</x:v>
      </x:c>
      <x:c r="C80" s="21" t="str">
        <x:v>F18</x:v>
      </x:c>
      <x:c r="D80" s="21" t="n">
        <x:v>2</x:v>
      </x:c>
      <x:c r="E80" s="21" t="str">
        <x:v>Workforce muster</x:v>
      </x:c>
      <x:c r="F80" s="42" t="n">
        <x:v>1.05</x:v>
      </x:c>
      <x:c r="G80" s="42" t="n">
        <x:v>0.05</x:v>
      </x:c>
      <x:c r="H80" s="42" t="n">
        <x:v>0.0195</x:v>
      </x:c>
      <x:c r="I80" s="42" t="n">
        <x:f>SUM(F80:H80)</x:f>
        <x:v>1.1195000000000002</x:v>
      </x:c>
      <x:c r="J80" s="42" t="n">
        <x:f>MAX(0,Assumptions!$C$9-MIN($I$79:$I$90))</x:f>
        <x:v>0.06500000000000017</x:v>
      </x:c>
      <x:c r="K80" s="42" t="n">
        <x:f>I80+J80</x:f>
        <x:v>1.1845000000000003</x:v>
      </x:c>
      <x:c r="L80" s="21" t="str">
        <x:f>IF(K80&gt;=Assumptions!$C$9,"ADEQUATE","GAP")</x:f>
        <x:v>ADEQUATE</x:v>
      </x:c>
      <x:c r="M80" s="42" t="n">
        <x:f>'Stage Standard'!G8</x:f>
        <x:v>0.8125</x:v>
      </x:c>
      <x:c r="N80" s="42" t="n">
        <x:f>K80*M80/Assumptions!$C$12</x:f>
        <x:v>0.7699250000000002</x:v>
      </x:c>
      <x:c r="O80" s="23" t="str">
        <x:f>IF(N80&gt;=1,"ADEQUATE","GAP")</x:f>
        <x:v>GAP</x:v>
      </x:c>
    </x:row>
    <x:row r="81">
      <x:c r="B81" s="21" t="str">
        <x:v>SB-0075</x:v>
      </x:c>
      <x:c r="C81" s="21" t="str">
        <x:v>F18</x:v>
      </x:c>
      <x:c r="D81" s="21" t="n">
        <x:v>3</x:v>
      </x:c>
      <x:c r="E81" s="21" t="str">
        <x:v>Facility utility and safe start</x:v>
      </x:c>
      <x:c r="F81" s="42" t="n">
        <x:v>0.98</x:v>
      </x:c>
      <x:c r="G81" s="42" t="n">
        <x:v>0.08</x:v>
      </x:c>
      <x:c r="H81" s="42" t="n">
        <x:v>0.052000000000000005</x:v>
      </x:c>
      <x:c r="I81" s="42" t="n">
        <x:f>SUM(F81:H81)</x:f>
        <x:v>1.112</x:v>
      </x:c>
      <x:c r="J81" s="42" t="n">
        <x:f>MAX(0,Assumptions!$C$9-MIN($I$79:$I$90))</x:f>
        <x:v>0.06500000000000017</x:v>
      </x:c>
      <x:c r="K81" s="42" t="n">
        <x:f>I81+J81</x:f>
        <x:v>1.1770000000000003</x:v>
      </x:c>
      <x:c r="L81" s="21" t="str">
        <x:f>IF(K81&gt;=Assumptions!$C$9,"ADEQUATE","GAP")</x:f>
        <x:v>ADEQUATE</x:v>
      </x:c>
      <x:c r="M81" s="42" t="n">
        <x:f>'Stage Standard'!G9</x:f>
        <x:v>0.7857142857142858</x:v>
      </x:c>
      <x:c r="N81" s="42" t="n">
        <x:f>K81*M81/Assumptions!$C$12</x:f>
        <x:v>0.7398285714285717</x:v>
      </x:c>
      <x:c r="O81" s="23" t="str">
        <x:f>IF(N81&gt;=1,"ADEQUATE","GAP")</x:f>
        <x:v>GAP</x:v>
      </x:c>
    </x:row>
    <x:row r="82">
      <x:c r="B82" s="21" t="str">
        <x:v>SB-0076</x:v>
      </x:c>
      <x:c r="C82" s="21" t="str">
        <x:v>F18</x:v>
      </x:c>
      <x:c r="D82" s="21" t="n">
        <x:v>4</x:v>
      </x:c>
      <x:c r="E82" s="21" t="str">
        <x:v>Material tooling and instrument release</x:v>
      </x:c>
      <x:c r="F82" s="42" t="n">
        <x:v>1</x:v>
      </x:c>
      <x:c r="G82" s="42" t="n">
        <x:v>0.2</x:v>
      </x:c>
      <x:c r="H82" s="42" t="n">
        <x:v>0.11699999999999999</x:v>
      </x:c>
      <x:c r="I82" s="42" t="n">
        <x:f>SUM(F82:H82)</x:f>
        <x:v>1.317</x:v>
      </x:c>
      <x:c r="J82" s="42" t="n">
        <x:f>MAX(0,Assumptions!$C$9-MIN($I$79:$I$90))</x:f>
        <x:v>0.06500000000000017</x:v>
      </x:c>
      <x:c r="K82" s="42" t="n">
        <x:f>I82+J82</x:f>
        <x:v>1.3820000000000001</x:v>
      </x:c>
      <x:c r="L82" s="21" t="str">
        <x:f>IF(K82&gt;=Assumptions!$C$9,"ADEQUATE","GAP")</x:f>
        <x:v>ADEQUATE</x:v>
      </x:c>
      <x:c r="M82" s="42" t="n">
        <x:f>'Stage Standard'!G10</x:f>
        <x:v>0.7333333333333334</x:v>
      </x:c>
      <x:c r="N82" s="42" t="n">
        <x:f>K82*M82/Assumptions!$C$12</x:f>
        <x:v>0.8107733333333333</x:v>
      </x:c>
      <x:c r="O82" s="23" t="str">
        <x:f>IF(N82&gt;=1,"ADEQUATE","GAP")</x:f>
        <x:v>GAP</x:v>
      </x:c>
    </x:row>
    <x:row r="83">
      <x:c r="B83" s="21" t="str">
        <x:v>SB-0077</x:v>
      </x:c>
      <x:c r="C83" s="21" t="str">
        <x:v>F18</x:v>
      </x:c>
      <x:c r="D83" s="21" t="n">
        <x:v>5</x:v>
      </x:c>
      <x:c r="E83" s="21" t="str">
        <x:v>Supplier and process activation</x:v>
      </x:c>
      <x:c r="F83" s="42" t="n">
        <x:v>0.87</x:v>
      </x:c>
      <x:c r="G83" s="42" t="n">
        <x:v>0.16</x:v>
      </x:c>
      <x:c r="H83" s="42" t="n">
        <x:v>0.078</x:v>
      </x:c>
      <x:c r="I83" s="42" t="n">
        <x:f>SUM(F83:H83)</x:f>
        <x:v>1.108</x:v>
      </x:c>
      <x:c r="J83" s="42" t="n">
        <x:f>MAX(0,Assumptions!$C$9-MIN($I$79:$I$90))</x:f>
        <x:v>0.06500000000000017</x:v>
      </x:c>
      <x:c r="K83" s="42" t="n">
        <x:f>I83+J83</x:f>
        <x:v>1.1730000000000003</x:v>
      </x:c>
      <x:c r="L83" s="21" t="str">
        <x:f>IF(K83&gt;=Assumptions!$C$9,"ADEQUATE","GAP")</x:f>
        <x:v>ADEQUATE</x:v>
      </x:c>
      <x:c r="M83" s="42" t="n">
        <x:f>'Stage Standard'!G11</x:f>
        <x:v>0.7142857142857143</x:v>
      </x:c>
      <x:c r="N83" s="42" t="n">
        <x:f>K83*M83/Assumptions!$C$12</x:f>
        <x:v>0.6702857142857145</x:v>
      </x:c>
      <x:c r="O83" s="23" t="str">
        <x:f>IF(N83&gt;=1,"ADEQUATE","GAP")</x:f>
        <x:v>GAP</x:v>
      </x:c>
    </x:row>
    <x:row r="84">
      <x:c r="B84" s="21" t="str">
        <x:v>SB-0078</x:v>
      </x:c>
      <x:c r="C84" s="21" t="str">
        <x:v>F18</x:v>
      </x:c>
      <x:c r="D84" s="21" t="n">
        <x:v>6</x:v>
      </x:c>
      <x:c r="E84" s="21" t="str">
        <x:v>Conforming production</x:v>
      </x:c>
      <x:c r="F84" s="42" t="n">
        <x:v>0.96</x:v>
      </x:c>
      <x:c r="G84" s="42" t="n">
        <x:v>0.14</x:v>
      </x:c>
      <x:c r="H84" s="42" t="n">
        <x:v>0.09100000000000001</x:v>
      </x:c>
      <x:c r="I84" s="42" t="n">
        <x:f>SUM(F84:H84)</x:f>
        <x:v>1.191</x:v>
      </x:c>
      <x:c r="J84" s="42" t="n">
        <x:f>MAX(0,Assumptions!$C$9-MIN($I$79:$I$90))</x:f>
        <x:v>0.06500000000000017</x:v>
      </x:c>
      <x:c r="K84" s="42" t="n">
        <x:f>I84+J84</x:f>
        <x:v>1.2560000000000002</x:v>
      </x:c>
      <x:c r="L84" s="21" t="str">
        <x:f>IF(K84&gt;=Assumptions!$C$9,"ADEQUATE","GAP")</x:f>
        <x:v>ADEQUATE</x:v>
      </x:c>
      <x:c r="M84" s="42" t="n">
        <x:f>'Stage Standard'!G12</x:f>
        <x:v>0.7142857142857143</x:v>
      </x:c>
      <x:c r="N84" s="42" t="n">
        <x:f>K84*M84/Assumptions!$C$12</x:f>
        <x:v>0.7177142857142859</x:v>
      </x:c>
      <x:c r="O84" s="23" t="str">
        <x:f>IF(N84&gt;=1,"ADEQUATE","GAP")</x:f>
        <x:v>GAP</x:v>
      </x:c>
    </x:row>
    <x:row r="85">
      <x:c r="B85" s="21" t="str">
        <x:v>SB-0079</x:v>
      </x:c>
      <x:c r="C85" s="21" t="str">
        <x:v>F18</x:v>
      </x:c>
      <x:c r="D85" s="21" t="n">
        <x:v>7</x:v>
      </x:c>
      <x:c r="E85" s="21" t="str">
        <x:v>Independent acceptance</x:v>
      </x:c>
      <x:c r="F85" s="42" t="n">
        <x:v>1.05</x:v>
      </x:c>
      <x:c r="G85" s="42" t="n">
        <x:v>0.22</x:v>
      </x:c>
      <x:c r="H85" s="42" t="n">
        <x:v>0.052000000000000005</x:v>
      </x:c>
      <x:c r="I85" s="42" t="n">
        <x:f>SUM(F85:H85)</x:f>
        <x:v>1.322</x:v>
      </x:c>
      <x:c r="J85" s="42" t="n">
        <x:f>MAX(0,Assumptions!$C$9-MIN($I$79:$I$90))</x:f>
        <x:v>0.06500000000000017</x:v>
      </x:c>
      <x:c r="K85" s="42" t="n">
        <x:f>I85+J85</x:f>
        <x:v>1.3870000000000002</x:v>
      </x:c>
      <x:c r="L85" s="21" t="str">
        <x:f>IF(K85&gt;=Assumptions!$C$9,"ADEQUATE","GAP")</x:f>
        <x:v>ADEQUATE</x:v>
      </x:c>
      <x:c r="M85" s="42" t="n">
        <x:f>'Stage Standard'!G13</x:f>
        <x:v>0.8125</x:v>
      </x:c>
      <x:c r="N85" s="42" t="n">
        <x:f>K85*M85/Assumptions!$C$12</x:f>
        <x:v>0.9015500000000001</x:v>
      </x:c>
      <x:c r="O85" s="23" t="str">
        <x:f>IF(N85&gt;=1,"ADEQUATE","GAP")</x:f>
        <x:v>GAP</x:v>
      </x:c>
    </x:row>
    <x:row r="86">
      <x:c r="B86" s="21" t="str">
        <x:v>SB-0080</x:v>
      </x:c>
      <x:c r="C86" s="21" t="str">
        <x:v>F18</x:v>
      </x:c>
      <x:c r="D86" s="21" t="n">
        <x:v>8</x:v>
      </x:c>
      <x:c r="E86" s="21" t="str">
        <x:v>Loadout and custody transfer</x:v>
      </x:c>
      <x:c r="F86" s="42" t="n">
        <x:v>0.96</x:v>
      </x:c>
      <x:c r="G86" s="42" t="n">
        <x:v>0.08</x:v>
      </x:c>
      <x:c r="H86" s="42" t="n">
        <x:v>0.039</x:v>
      </x:c>
      <x:c r="I86" s="42" t="n">
        <x:f>SUM(F86:H86)</x:f>
        <x:v>1.079</x:v>
      </x:c>
      <x:c r="J86" s="42" t="n">
        <x:f>MAX(0,Assumptions!$C$9-MIN($I$79:$I$90))</x:f>
        <x:v>0.06500000000000017</x:v>
      </x:c>
      <x:c r="K86" s="42" t="n">
        <x:f>I86+J86</x:f>
        <x:v>1.1440000000000001</x:v>
      </x:c>
      <x:c r="L86" s="21" t="str">
        <x:f>IF(K86&gt;=Assumptions!$C$9,"ADEQUATE","GAP")</x:f>
        <x:v>ADEQUATE</x:v>
      </x:c>
      <x:c r="M86" s="42" t="n">
        <x:f>'Stage Standard'!G14</x:f>
        <x:v>0.7692307692307692</x:v>
      </x:c>
      <x:c r="N86" s="42" t="n">
        <x:f>K86*M86/Assumptions!$C$12</x:f>
        <x:v>0.704</x:v>
      </x:c>
      <x:c r="O86" s="23" t="str">
        <x:f>IF(N86&gt;=1,"ADEQUATE","GAP")</x:f>
        <x:v>GAP</x:v>
      </x:c>
    </x:row>
    <x:row r="87">
      <x:c r="B87" s="21" t="str">
        <x:v>SB-0081</x:v>
      </x:c>
      <x:c r="C87" s="21" t="str">
        <x:v>F18</x:v>
      </x:c>
      <x:c r="D87" s="21" t="n">
        <x:v>9</x:v>
      </x:c>
      <x:c r="E87" s="21" t="str">
        <x:v>Strategic transport</x:v>
      </x:c>
      <x:c r="F87" s="42" t="n">
        <x:v>0.9425</x:v>
      </x:c>
      <x:c r="G87" s="42" t="n">
        <x:v>0.06</x:v>
      </x:c>
      <x:c r="H87" s="42" t="n">
        <x:v>0.0325</x:v>
      </x:c>
      <x:c r="I87" s="42" t="n">
        <x:f>SUM(F87:H87)</x:f>
        <x:v>1.035</x:v>
      </x:c>
      <x:c r="J87" s="42" t="n">
        <x:f>MAX(0,Assumptions!$C$9-MIN($I$79:$I$90))</x:f>
        <x:v>0.06500000000000017</x:v>
      </x:c>
      <x:c r="K87" s="42" t="n">
        <x:f>I87+J87</x:f>
        <x:v>1.1</x:v>
      </x:c>
      <x:c r="L87" s="21" t="str">
        <x:f>IF(K87&gt;=Assumptions!$C$9,"ADEQUATE","GAP")</x:f>
        <x:v>ADEQUATE</x:v>
      </x:c>
      <x:c r="M87" s="42" t="n">
        <x:f>'Stage Standard'!G15</x:f>
        <x:v>0.7692307692307692</x:v>
      </x:c>
      <x:c r="N87" s="42" t="n">
        <x:f>K87*M87/Assumptions!$C$12</x:f>
        <x:v>0.676923076923077</x:v>
      </x:c>
      <x:c r="O87" s="23" t="str">
        <x:f>IF(N87&gt;=1,"ADEQUATE","GAP")</x:f>
        <x:v>GAP</x:v>
      </x:c>
    </x:row>
    <x:row r="88">
      <x:c r="B88" s="21" t="str">
        <x:v>SB-0082</x:v>
      </x:c>
      <x:c r="C88" s="21" t="str">
        <x:v>F18</x:v>
      </x:c>
      <x:c r="D88" s="21" t="n">
        <x:v>10</x:v>
      </x:c>
      <x:c r="E88" s="21" t="str">
        <x:v>Receiving-node admission</x:v>
      </x:c>
      <x:c r="F88" s="42" t="n">
        <x:v>1</x:v>
      </x:c>
      <x:c r="G88" s="42" t="n">
        <x:v>0.08</x:v>
      </x:c>
      <x:c r="H88" s="42" t="n">
        <x:v>0.052000000000000005</x:v>
      </x:c>
      <x:c r="I88" s="42" t="n">
        <x:f>SUM(F88:H88)</x:f>
        <x:v>1.1320000000000001</x:v>
      </x:c>
      <x:c r="J88" s="42" t="n">
        <x:f>MAX(0,Assumptions!$C$9-MIN($I$79:$I$90))</x:f>
        <x:v>0.06500000000000017</x:v>
      </x:c>
      <x:c r="K88" s="42" t="n">
        <x:f>I88+J88</x:f>
        <x:v>1.1970000000000003</x:v>
      </x:c>
      <x:c r="L88" s="21" t="str">
        <x:f>IF(K88&gt;=Assumptions!$C$9,"ADEQUATE","GAP")</x:f>
        <x:v>ADEQUATE</x:v>
      </x:c>
      <x:c r="M88" s="42" t="n">
        <x:f>'Stage Standard'!G16</x:f>
        <x:v>0.7999999999999999</x:v>
      </x:c>
      <x:c r="N88" s="42" t="n">
        <x:f>K88*M88/Assumptions!$C$12</x:f>
        <x:v>0.7660800000000001</x:v>
      </x:c>
      <x:c r="O88" s="23" t="str">
        <x:f>IF(N88&gt;=1,"ADEQUATE","GAP")</x:f>
        <x:v>GAP</x:v>
      </x:c>
    </x:row>
    <x:row r="89">
      <x:c r="B89" s="21" t="str">
        <x:v>SB-0083</x:v>
      </x:c>
      <x:c r="C89" s="21" t="str">
        <x:v>F18</x:v>
      </x:c>
      <x:c r="D89" s="21" t="n">
        <x:v>11</x:v>
      </x:c>
      <x:c r="E89" s="21" t="str">
        <x:v>Commissioned public service</x:v>
      </x:c>
      <x:c r="F89" s="42" t="n">
        <x:v>0.98</x:v>
      </x:c>
      <x:c r="G89" s="42" t="n">
        <x:v>0.08</x:v>
      </x:c>
      <x:c r="H89" s="42" t="n">
        <x:v>0.052000000000000005</x:v>
      </x:c>
      <x:c r="I89" s="42" t="n">
        <x:f>SUM(F89:H89)</x:f>
        <x:v>1.112</x:v>
      </x:c>
      <x:c r="J89" s="42" t="n">
        <x:f>MAX(0,Assumptions!$C$9-MIN($I$79:$I$90))</x:f>
        <x:v>0.06500000000000017</x:v>
      </x:c>
      <x:c r="K89" s="42" t="n">
        <x:f>I89+J89</x:f>
        <x:v>1.1770000000000003</x:v>
      </x:c>
      <x:c r="L89" s="21" t="str">
        <x:f>IF(K89&gt;=Assumptions!$C$9,"ADEQUATE","GAP")</x:f>
        <x:v>ADEQUATE</x:v>
      </x:c>
      <x:c r="M89" s="42" t="n">
        <x:f>'Stage Standard'!G17</x:f>
        <x:v>0.7857142857142858</x:v>
      </x:c>
      <x:c r="N89" s="42" t="n">
        <x:f>K89*M89/Assumptions!$C$12</x:f>
        <x:v>0.7398285714285717</x:v>
      </x:c>
      <x:c r="O89" s="23" t="str">
        <x:f>IF(N89&gt;=1,"ADEQUATE","GAP")</x:f>
        <x:v>GAP</x:v>
      </x:c>
    </x:row>
    <x:row r="90">
      <x:c r="B90" s="21" t="str">
        <x:v>SB-0084</x:v>
      </x:c>
      <x:c r="C90" s="21" t="str">
        <x:v>F18</x:v>
      </x:c>
      <x:c r="D90" s="21" t="n">
        <x:v>12</x:v>
      </x:c>
      <x:c r="E90" s="21" t="str">
        <x:v>Regeneration and replacement</x:v>
      </x:c>
      <x:c r="F90" s="42" t="n">
        <x:v>0.86</x:v>
      </x:c>
      <x:c r="G90" s="42" t="n">
        <x:v>0.12</x:v>
      </x:c>
      <x:c r="H90" s="42" t="n">
        <x:v>0.18200000000000002</x:v>
      </x:c>
      <x:c r="I90" s="42" t="n">
        <x:f>SUM(F90:H90)</x:f>
        <x:v>1.162</x:v>
      </x:c>
      <x:c r="J90" s="42" t="n">
        <x:f>MAX(0,Assumptions!$C$9-MIN($I$79:$I$90))</x:f>
        <x:v>0.06500000000000017</x:v>
      </x:c>
      <x:c r="K90" s="42" t="n">
        <x:f>I90+J90</x:f>
        <x:v>1.227</x:v>
      </x:c>
      <x:c r="L90" s="21" t="str">
        <x:f>IF(K90&gt;=Assumptions!$C$9,"ADEQUATE","GAP")</x:f>
        <x:v>ADEQUATE</x:v>
      </x:c>
      <x:c r="M90" s="42" t="n">
        <x:f>'Stage Standard'!G18</x:f>
        <x:v>0.7142857142857143</x:v>
      </x:c>
      <x:c r="N90" s="42" t="n">
        <x:f>K90*M90/Assumptions!$C$12</x:f>
        <x:v>0.7011428571428573</x:v>
      </x:c>
      <x:c r="O90" s="23" t="str">
        <x:f>IF(N90&gt;=1,"ADEQUATE","GAP")</x:f>
        <x:v>GAP</x:v>
      </x:c>
    </x:row>
    <x:row r="91">
      <x:c r="B91" s="21" t="str">
        <x:v>SB-0085</x:v>
      </x:c>
      <x:c r="C91" s="21" t="str">
        <x:v>F20</x:v>
      </x:c>
      <x:c r="D91" s="21" t="n">
        <x:v>1</x:v>
      </x:c>
      <x:c r="E91" s="21" t="str">
        <x:v>Alert authentication</x:v>
      </x:c>
      <x:c r="F91" s="42" t="n">
        <x:v>1.05</x:v>
      </x:c>
      <x:c r="G91" s="42" t="n">
        <x:v>0</x:v>
      </x:c>
      <x:c r="H91" s="42" t="n">
        <x:v>0</x:v>
      </x:c>
      <x:c r="I91" s="42" t="n">
        <x:f>SUM(F91:H91)</x:f>
        <x:v>1.05</x:v>
      </x:c>
      <x:c r="J91" s="42" t="n">
        <x:f>MAX(0,Assumptions!$C$9-MIN($I$91:$I$102))</x:f>
        <x:v>0.1825000000000001</x:v>
      </x:c>
      <x:c r="K91" s="42" t="n">
        <x:f>I91+J91</x:f>
        <x:v>1.2325000000000002</x:v>
      </x:c>
      <x:c r="L91" s="21" t="str">
        <x:f>IF(K91&gt;=Assumptions!$C$9,"ADEQUATE","GAP")</x:f>
        <x:v>ADEQUATE</x:v>
      </x:c>
      <x:c r="M91" s="42" t="n">
        <x:f>'Stage Standard'!G7</x:f>
        <x:v>0.7999999999999999</x:v>
      </x:c>
      <x:c r="N91" s="42" t="n">
        <x:f>K91*M91/Assumptions!$C$12</x:f>
        <x:v>0.7888</x:v>
      </x:c>
      <x:c r="O91" s="23" t="str">
        <x:f>IF(N91&gt;=1,"ADEQUATE","GAP")</x:f>
        <x:v>GAP</x:v>
      </x:c>
    </x:row>
    <x:row r="92">
      <x:c r="B92" s="21" t="str">
        <x:v>SB-0086</x:v>
      </x:c>
      <x:c r="C92" s="21" t="str">
        <x:v>F20</x:v>
      </x:c>
      <x:c r="D92" s="21" t="n">
        <x:v>2</x:v>
      </x:c>
      <x:c r="E92" s="21" t="str">
        <x:v>Workforce muster</x:v>
      </x:c>
      <x:c r="F92" s="42" t="n">
        <x:v>0.92</x:v>
      </x:c>
      <x:c r="G92" s="42" t="n">
        <x:v>0.03</x:v>
      </x:c>
      <x:c r="H92" s="42" t="n">
        <x:v>0.0195</x:v>
      </x:c>
      <x:c r="I92" s="42" t="n">
        <x:f>SUM(F92:H92)</x:f>
        <x:v>0.9695</x:v>
      </x:c>
      <x:c r="J92" s="42" t="n">
        <x:f>MAX(0,Assumptions!$C$9-MIN($I$91:$I$102))</x:f>
        <x:v>0.1825000000000001</x:v>
      </x:c>
      <x:c r="K92" s="42" t="n">
        <x:f>I92+J92</x:f>
        <x:v>1.1520000000000001</x:v>
      </x:c>
      <x:c r="L92" s="21" t="str">
        <x:f>IF(K92&gt;=Assumptions!$C$9,"ADEQUATE","GAP")</x:f>
        <x:v>ADEQUATE</x:v>
      </x:c>
      <x:c r="M92" s="42" t="n">
        <x:f>'Stage Standard'!G8</x:f>
        <x:v>0.8125</x:v>
      </x:c>
      <x:c r="N92" s="42" t="n">
        <x:f>K92*M92/Assumptions!$C$12</x:f>
        <x:v>0.7488000000000001</x:v>
      </x:c>
      <x:c r="O92" s="23" t="str">
        <x:f>IF(N92&gt;=1,"ADEQUATE","GAP")</x:f>
        <x:v>GAP</x:v>
      </x:c>
    </x:row>
    <x:row r="93">
      <x:c r="B93" s="21" t="str">
        <x:v>SB-0087</x:v>
      </x:c>
      <x:c r="C93" s="21" t="str">
        <x:v>F20</x:v>
      </x:c>
      <x:c r="D93" s="21" t="n">
        <x:v>3</x:v>
      </x:c>
      <x:c r="E93" s="21" t="str">
        <x:v>Facility utility and safe start</x:v>
      </x:c>
      <x:c r="F93" s="42" t="n">
        <x:v>0.8</x:v>
      </x:c>
      <x:c r="G93" s="42" t="n">
        <x:v>0.2</x:v>
      </x:c>
      <x:c r="H93" s="42" t="n">
        <x:v>0.052000000000000005</x:v>
      </x:c>
      <x:c r="I93" s="42" t="n">
        <x:f>SUM(F93:H93)</x:f>
        <x:v>1.052</x:v>
      </x:c>
      <x:c r="J93" s="42" t="n">
        <x:f>MAX(0,Assumptions!$C$9-MIN($I$91:$I$102))</x:f>
        <x:v>0.1825000000000001</x:v>
      </x:c>
      <x:c r="K93" s="42" t="n">
        <x:f>I93+J93</x:f>
        <x:v>1.2345000000000002</x:v>
      </x:c>
      <x:c r="L93" s="21" t="str">
        <x:f>IF(K93&gt;=Assumptions!$C$9,"ADEQUATE","GAP")</x:f>
        <x:v>ADEQUATE</x:v>
      </x:c>
      <x:c r="M93" s="42" t="n">
        <x:f>'Stage Standard'!G9</x:f>
        <x:v>0.7857142857142858</x:v>
      </x:c>
      <x:c r="N93" s="42" t="n">
        <x:f>K93*M93/Assumptions!$C$12</x:f>
        <x:v>0.7759714285714288</x:v>
      </x:c>
      <x:c r="O93" s="23" t="str">
        <x:f>IF(N93&gt;=1,"ADEQUATE","GAP")</x:f>
        <x:v>GAP</x:v>
      </x:c>
    </x:row>
    <x:row r="94">
      <x:c r="B94" s="21" t="str">
        <x:v>SB-0088</x:v>
      </x:c>
      <x:c r="C94" s="21" t="str">
        <x:v>F20</x:v>
      </x:c>
      <x:c r="D94" s="21" t="n">
        <x:v>4</x:v>
      </x:c>
      <x:c r="E94" s="21" t="str">
        <x:v>Material tooling and instrument release</x:v>
      </x:c>
      <x:c r="F94" s="42" t="n">
        <x:v>0.86</x:v>
      </x:c>
      <x:c r="G94" s="42" t="n">
        <x:v>0.08</x:v>
      </x:c>
      <x:c r="H94" s="42" t="n">
        <x:v>0.11699999999999999</x:v>
      </x:c>
      <x:c r="I94" s="42" t="n">
        <x:f>SUM(F94:H94)</x:f>
        <x:v>1.057</x:v>
      </x:c>
      <x:c r="J94" s="42" t="n">
        <x:f>MAX(0,Assumptions!$C$9-MIN($I$91:$I$102))</x:f>
        <x:v>0.1825000000000001</x:v>
      </x:c>
      <x:c r="K94" s="42" t="n">
        <x:f>I94+J94</x:f>
        <x:v>1.2395</x:v>
      </x:c>
      <x:c r="L94" s="21" t="str">
        <x:f>IF(K94&gt;=Assumptions!$C$9,"ADEQUATE","GAP")</x:f>
        <x:v>ADEQUATE</x:v>
      </x:c>
      <x:c r="M94" s="42" t="n">
        <x:f>'Stage Standard'!G10</x:f>
        <x:v>0.7333333333333334</x:v>
      </x:c>
      <x:c r="N94" s="42" t="n">
        <x:f>K94*M94/Assumptions!$C$12</x:f>
        <x:v>0.7271733333333334</x:v>
      </x:c>
      <x:c r="O94" s="23" t="str">
        <x:f>IF(N94&gt;=1,"ADEQUATE","GAP")</x:f>
        <x:v>GAP</x:v>
      </x:c>
    </x:row>
    <x:row r="95">
      <x:c r="B95" s="21" t="str">
        <x:v>SB-0089</x:v>
      </x:c>
      <x:c r="C95" s="21" t="str">
        <x:v>F20</x:v>
      </x:c>
      <x:c r="D95" s="21" t="n">
        <x:v>5</x:v>
      </x:c>
      <x:c r="E95" s="21" t="str">
        <x:v>Supplier and process activation</x:v>
      </x:c>
      <x:c r="F95" s="42" t="n">
        <x:v>0.84</x:v>
      </x:c>
      <x:c r="G95" s="42" t="n">
        <x:v>0.12</x:v>
      </x:c>
      <x:c r="H95" s="42" t="n">
        <x:v>0.078</x:v>
      </x:c>
      <x:c r="I95" s="42" t="n">
        <x:f>SUM(F95:H95)</x:f>
        <x:v>1.038</x:v>
      </x:c>
      <x:c r="J95" s="42" t="n">
        <x:f>MAX(0,Assumptions!$C$9-MIN($I$91:$I$102))</x:f>
        <x:v>0.1825000000000001</x:v>
      </x:c>
      <x:c r="K95" s="42" t="n">
        <x:f>I95+J95</x:f>
        <x:v>1.2205000000000001</x:v>
      </x:c>
      <x:c r="L95" s="21" t="str">
        <x:f>IF(K95&gt;=Assumptions!$C$9,"ADEQUATE","GAP")</x:f>
        <x:v>ADEQUATE</x:v>
      </x:c>
      <x:c r="M95" s="42" t="n">
        <x:f>'Stage Standard'!G11</x:f>
        <x:v>0.7142857142857143</x:v>
      </x:c>
      <x:c r="N95" s="42" t="n">
        <x:f>K95*M95/Assumptions!$C$12</x:f>
        <x:v>0.6974285714285715</x:v>
      </x:c>
      <x:c r="O95" s="23" t="str">
        <x:f>IF(N95&gt;=1,"ADEQUATE","GAP")</x:f>
        <x:v>GAP</x:v>
      </x:c>
    </x:row>
    <x:row r="96">
      <x:c r="B96" s="21" t="str">
        <x:v>SB-0090</x:v>
      </x:c>
      <x:c r="C96" s="21" t="str">
        <x:v>F20</x:v>
      </x:c>
      <x:c r="D96" s="21" t="n">
        <x:v>6</x:v>
      </x:c>
      <x:c r="E96" s="21" t="str">
        <x:v>Conforming production</x:v>
      </x:c>
      <x:c r="F96" s="42" t="n">
        <x:v>0.86</x:v>
      </x:c>
      <x:c r="G96" s="42" t="n">
        <x:v>0.12</x:v>
      </x:c>
      <x:c r="H96" s="42" t="n">
        <x:v>0.09100000000000001</x:v>
      </x:c>
      <x:c r="I96" s="42" t="n">
        <x:f>SUM(F96:H96)</x:f>
        <x:v>1.071</x:v>
      </x:c>
      <x:c r="J96" s="42" t="n">
        <x:f>MAX(0,Assumptions!$C$9-MIN($I$91:$I$102))</x:f>
        <x:v>0.1825000000000001</x:v>
      </x:c>
      <x:c r="K96" s="42" t="n">
        <x:f>I96+J96</x:f>
        <x:v>1.2535</x:v>
      </x:c>
      <x:c r="L96" s="21" t="str">
        <x:f>IF(K96&gt;=Assumptions!$C$9,"ADEQUATE","GAP")</x:f>
        <x:v>ADEQUATE</x:v>
      </x:c>
      <x:c r="M96" s="42" t="n">
        <x:f>'Stage Standard'!G12</x:f>
        <x:v>0.7142857142857143</x:v>
      </x:c>
      <x:c r="N96" s="42" t="n">
        <x:f>K96*M96/Assumptions!$C$12</x:f>
        <x:v>0.7162857142857144</x:v>
      </x:c>
      <x:c r="O96" s="23" t="str">
        <x:f>IF(N96&gt;=1,"ADEQUATE","GAP")</x:f>
        <x:v>GAP</x:v>
      </x:c>
    </x:row>
    <x:row r="97">
      <x:c r="B97" s="21" t="str">
        <x:v>SB-0091</x:v>
      </x:c>
      <x:c r="C97" s="21" t="str">
        <x:v>F20</x:v>
      </x:c>
      <x:c r="D97" s="21" t="n">
        <x:v>7</x:v>
      </x:c>
      <x:c r="E97" s="21" t="str">
        <x:v>Independent acceptance</x:v>
      </x:c>
      <x:c r="F97" s="42" t="n">
        <x:v>0.98</x:v>
      </x:c>
      <x:c r="G97" s="42" t="n">
        <x:v>0.08</x:v>
      </x:c>
      <x:c r="H97" s="42" t="n">
        <x:v>0.052000000000000005</x:v>
      </x:c>
      <x:c r="I97" s="42" t="n">
        <x:f>SUM(F97:H97)</x:f>
        <x:v>1.112</x:v>
      </x:c>
      <x:c r="J97" s="42" t="n">
        <x:f>MAX(0,Assumptions!$C$9-MIN($I$91:$I$102))</x:f>
        <x:v>0.1825000000000001</x:v>
      </x:c>
      <x:c r="K97" s="42" t="n">
        <x:f>I97+J97</x:f>
        <x:v>1.2945000000000002</x:v>
      </x:c>
      <x:c r="L97" s="21" t="str">
        <x:f>IF(K97&gt;=Assumptions!$C$9,"ADEQUATE","GAP")</x:f>
        <x:v>ADEQUATE</x:v>
      </x:c>
      <x:c r="M97" s="42" t="n">
        <x:f>'Stage Standard'!G13</x:f>
        <x:v>0.8125</x:v>
      </x:c>
      <x:c r="N97" s="42" t="n">
        <x:f>K97*M97/Assumptions!$C$12</x:f>
        <x:v>0.8414250000000001</x:v>
      </x:c>
      <x:c r="O97" s="23" t="str">
        <x:f>IF(N97&gt;=1,"ADEQUATE","GAP")</x:f>
        <x:v>GAP</x:v>
      </x:c>
    </x:row>
    <x:row r="98">
      <x:c r="B98" s="21" t="str">
        <x:v>SB-0092</x:v>
      </x:c>
      <x:c r="C98" s="21" t="str">
        <x:v>F20</x:v>
      </x:c>
      <x:c r="D98" s="21" t="n">
        <x:v>8</x:v>
      </x:c>
      <x:c r="E98" s="21" t="str">
        <x:v>Loadout and custody transfer</x:v>
      </x:c>
      <x:c r="F98" s="42" t="n">
        <x:v>0.88</x:v>
      </x:c>
      <x:c r="G98" s="42" t="n">
        <x:v>0.05</x:v>
      </x:c>
      <x:c r="H98" s="42" t="n">
        <x:v>0.039</x:v>
      </x:c>
      <x:c r="I98" s="42" t="n">
        <x:f>SUM(F98:H98)</x:f>
        <x:v>0.9690000000000001</x:v>
      </x:c>
      <x:c r="J98" s="42" t="n">
        <x:f>MAX(0,Assumptions!$C$9-MIN($I$91:$I$102))</x:f>
        <x:v>0.1825000000000001</x:v>
      </x:c>
      <x:c r="K98" s="42" t="n">
        <x:f>I98+J98</x:f>
        <x:v>1.1515000000000002</x:v>
      </x:c>
      <x:c r="L98" s="21" t="str">
        <x:f>IF(K98&gt;=Assumptions!$C$9,"ADEQUATE","GAP")</x:f>
        <x:v>ADEQUATE</x:v>
      </x:c>
      <x:c r="M98" s="42" t="n">
        <x:f>'Stage Standard'!G14</x:f>
        <x:v>0.7692307692307692</x:v>
      </x:c>
      <x:c r="N98" s="42" t="n">
        <x:f>K98*M98/Assumptions!$C$12</x:f>
        <x:v>0.7086153846153846</x:v>
      </x:c>
      <x:c r="O98" s="23" t="str">
        <x:f>IF(N98&gt;=1,"ADEQUATE","GAP")</x:f>
        <x:v>GAP</x:v>
      </x:c>
    </x:row>
    <x:row r="99">
      <x:c r="B99" s="21" t="str">
        <x:v>SB-0093</x:v>
      </x:c>
      <x:c r="C99" s="21" t="str">
        <x:v>F20</x:v>
      </x:c>
      <x:c r="D99" s="21" t="n">
        <x:v>9</x:v>
      </x:c>
      <x:c r="E99" s="21" t="str">
        <x:v>Strategic transport</x:v>
      </x:c>
      <x:c r="F99" s="42" t="n">
        <x:v>0.845</x:v>
      </x:c>
      <x:c r="G99" s="42" t="n">
        <x:v>0.04</x:v>
      </x:c>
      <x:c r="H99" s="42" t="n">
        <x:v>0.0325</x:v>
      </x:c>
      <x:c r="I99" s="42" t="n">
        <x:f>SUM(F99:H99)</x:f>
        <x:v>0.9175</x:v>
      </x:c>
      <x:c r="J99" s="42" t="n">
        <x:f>MAX(0,Assumptions!$C$9-MIN($I$91:$I$102))</x:f>
        <x:v>0.1825000000000001</x:v>
      </x:c>
      <x:c r="K99" s="42" t="n">
        <x:f>I99+J99</x:f>
        <x:v>1.1</x:v>
      </x:c>
      <x:c r="L99" s="21" t="str">
        <x:f>IF(K99&gt;=Assumptions!$C$9,"ADEQUATE","GAP")</x:f>
        <x:v>ADEQUATE</x:v>
      </x:c>
      <x:c r="M99" s="42" t="n">
        <x:f>'Stage Standard'!G15</x:f>
        <x:v>0.7692307692307692</x:v>
      </x:c>
      <x:c r="N99" s="42" t="n">
        <x:f>K99*M99/Assumptions!$C$12</x:f>
        <x:v>0.676923076923077</x:v>
      </x:c>
      <x:c r="O99" s="23" t="str">
        <x:f>IF(N99&gt;=1,"ADEQUATE","GAP")</x:f>
        <x:v>GAP</x:v>
      </x:c>
    </x:row>
    <x:row r="100">
      <x:c r="B100" s="21" t="str">
        <x:v>SB-0094</x:v>
      </x:c>
      <x:c r="C100" s="21" t="str">
        <x:v>F20</x:v>
      </x:c>
      <x:c r="D100" s="21" t="n">
        <x:v>10</x:v>
      </x:c>
      <x:c r="E100" s="21" t="str">
        <x:v>Receiving-node admission</x:v>
      </x:c>
      <x:c r="F100" s="42" t="n">
        <x:v>0.9</x:v>
      </x:c>
      <x:c r="G100" s="42" t="n">
        <x:v>0.1</x:v>
      </x:c>
      <x:c r="H100" s="42" t="n">
        <x:v>0.052000000000000005</x:v>
      </x:c>
      <x:c r="I100" s="42" t="n">
        <x:f>SUM(F100:H100)</x:f>
        <x:v>1.052</x:v>
      </x:c>
      <x:c r="J100" s="42" t="n">
        <x:f>MAX(0,Assumptions!$C$9-MIN($I$91:$I$102))</x:f>
        <x:v>0.1825000000000001</x:v>
      </x:c>
      <x:c r="K100" s="42" t="n">
        <x:f>I100+J100</x:f>
        <x:v>1.2345000000000002</x:v>
      </x:c>
      <x:c r="L100" s="21" t="str">
        <x:f>IF(K100&gt;=Assumptions!$C$9,"ADEQUATE","GAP")</x:f>
        <x:v>ADEQUATE</x:v>
      </x:c>
      <x:c r="M100" s="42" t="n">
        <x:f>'Stage Standard'!G16</x:f>
        <x:v>0.7999999999999999</x:v>
      </x:c>
      <x:c r="N100" s="42" t="n">
        <x:f>K100*M100/Assumptions!$C$12</x:f>
        <x:v>0.79008</x:v>
      </x:c>
      <x:c r="O100" s="23" t="str">
        <x:f>IF(N100&gt;=1,"ADEQUATE","GAP")</x:f>
        <x:v>GAP</x:v>
      </x:c>
    </x:row>
    <x:row r="101">
      <x:c r="B101" s="21" t="str">
        <x:v>SB-0095</x:v>
      </x:c>
      <x:c r="C101" s="21" t="str">
        <x:v>F20</x:v>
      </x:c>
      <x:c r="D101" s="21" t="n">
        <x:v>11</x:v>
      </x:c>
      <x:c r="E101" s="21" t="str">
        <x:v>Commissioned public service</x:v>
      </x:c>
      <x:c r="F101" s="42" t="n">
        <x:v>0.88</x:v>
      </x:c>
      <x:c r="G101" s="42" t="n">
        <x:v>0.18</x:v>
      </x:c>
      <x:c r="H101" s="42" t="n">
        <x:v>0.052000000000000005</x:v>
      </x:c>
      <x:c r="I101" s="42" t="n">
        <x:f>SUM(F101:H101)</x:f>
        <x:v>1.112</x:v>
      </x:c>
      <x:c r="J101" s="42" t="n">
        <x:f>MAX(0,Assumptions!$C$9-MIN($I$91:$I$102))</x:f>
        <x:v>0.1825000000000001</x:v>
      </x:c>
      <x:c r="K101" s="42" t="n">
        <x:f>I101+J101</x:f>
        <x:v>1.2945000000000002</x:v>
      </x:c>
      <x:c r="L101" s="21" t="str">
        <x:f>IF(K101&gt;=Assumptions!$C$9,"ADEQUATE","GAP")</x:f>
        <x:v>ADEQUATE</x:v>
      </x:c>
      <x:c r="M101" s="42" t="n">
        <x:f>'Stage Standard'!G17</x:f>
        <x:v>0.7857142857142858</x:v>
      </x:c>
      <x:c r="N101" s="42" t="n">
        <x:f>K101*M101/Assumptions!$C$12</x:f>
        <x:v>0.8136857142857146</x:v>
      </x:c>
      <x:c r="O101" s="23" t="str">
        <x:f>IF(N101&gt;=1,"ADEQUATE","GAP")</x:f>
        <x:v>GAP</x:v>
      </x:c>
    </x:row>
    <x:row r="102">
      <x:c r="B102" s="21" t="str">
        <x:v>SB-0096</x:v>
      </x:c>
      <x:c r="C102" s="21" t="str">
        <x:v>F20</x:v>
      </x:c>
      <x:c r="D102" s="21" t="n">
        <x:v>12</x:v>
      </x:c>
      <x:c r="E102" s="21" t="str">
        <x:v>Regeneration and replacement</x:v>
      </x:c>
      <x:c r="F102" s="42" t="n">
        <x:v>0.76</x:v>
      </x:c>
      <x:c r="G102" s="42" t="n">
        <x:v>0.14</x:v>
      </x:c>
      <x:c r="H102" s="42" t="n">
        <x:v>0.18200000000000002</x:v>
      </x:c>
      <x:c r="I102" s="42" t="n">
        <x:f>SUM(F102:H102)</x:f>
        <x:v>1.082</x:v>
      </x:c>
      <x:c r="J102" s="42" t="n">
        <x:f>MAX(0,Assumptions!$C$9-MIN($I$91:$I$102))</x:f>
        <x:v>0.1825000000000001</x:v>
      </x:c>
      <x:c r="K102" s="42" t="n">
        <x:f>I102+J102</x:f>
        <x:v>1.2645000000000002</x:v>
      </x:c>
      <x:c r="L102" s="21" t="str">
        <x:f>IF(K102&gt;=Assumptions!$C$9,"ADEQUATE","GAP")</x:f>
        <x:v>ADEQUATE</x:v>
      </x:c>
      <x:c r="M102" s="42" t="n">
        <x:f>'Stage Standard'!G18</x:f>
        <x:v>0.7142857142857143</x:v>
      </x:c>
      <x:c r="N102" s="42" t="n">
        <x:f>K102*M102/Assumptions!$C$12</x:f>
        <x:v>0.7225714285714286</x:v>
      </x:c>
      <x:c r="O102" s="23" t="str">
        <x:f>IF(N102&gt;=1,"ADEQUATE","GAP")</x:f>
        <x:v>GAP</x:v>
      </x:c>
    </x:row>
    <x:row r="103">
      <x:c r="B103" s="21" t="str">
        <x:v>SB-0097</x:v>
      </x:c>
      <x:c r="C103" s="21" t="str">
        <x:v>F21</x:v>
      </x:c>
      <x:c r="D103" s="21" t="n">
        <x:v>1</x:v>
      </x:c>
      <x:c r="E103" s="21" t="str">
        <x:v>Alert authentication</x:v>
      </x:c>
      <x:c r="F103" s="42" t="n">
        <x:v>1.15</x:v>
      </x:c>
      <x:c r="G103" s="42" t="n">
        <x:v>0</x:v>
      </x:c>
      <x:c r="H103" s="42" t="n">
        <x:v>0.026000000000000002</x:v>
      </x:c>
      <x:c r="I103" s="42" t="n">
        <x:f>SUM(F103:H103)</x:f>
        <x:v>1.176</x:v>
      </x:c>
      <x:c r="J103" s="42" t="n">
        <x:f>MAX(0,Assumptions!$C$9-MIN($I$103:$I$114))</x:f>
        <x:v>0.038000000000000034</x:v>
      </x:c>
      <x:c r="K103" s="42" t="n">
        <x:f>I103+J103</x:f>
        <x:v>1.214</x:v>
      </x:c>
      <x:c r="L103" s="21" t="str">
        <x:f>IF(K103&gt;=Assumptions!$C$9,"ADEQUATE","GAP")</x:f>
        <x:v>ADEQUATE</x:v>
      </x:c>
      <x:c r="M103" s="42" t="n">
        <x:f>'Stage Standard'!G7</x:f>
        <x:v>0.7999999999999999</x:v>
      </x:c>
      <x:c r="N103" s="42" t="n">
        <x:f>K103*M103/Assumptions!$C$12</x:f>
        <x:v>0.7769599999999999</x:v>
      </x:c>
      <x:c r="O103" s="23" t="str">
        <x:f>IF(N103&gt;=1,"ADEQUATE","GAP")</x:f>
        <x:v>GAP</x:v>
      </x:c>
    </x:row>
    <x:row r="104">
      <x:c r="B104" s="21" t="str">
        <x:v>SB-0098</x:v>
      </x:c>
      <x:c r="C104" s="21" t="str">
        <x:v>F21</x:v>
      </x:c>
      <x:c r="D104" s="21" t="n">
        <x:v>2</x:v>
      </x:c>
      <x:c r="E104" s="21" t="str">
        <x:v>Workforce muster</x:v>
      </x:c>
      <x:c r="F104" s="42" t="n">
        <x:v>1.01</x:v>
      </x:c>
      <x:c r="G104" s="42" t="n">
        <x:v>0.04</x:v>
      </x:c>
      <x:c r="H104" s="42" t="n">
        <x:v>0.11699999999999999</x:v>
      </x:c>
      <x:c r="I104" s="42" t="n">
        <x:f>SUM(F104:H104)</x:f>
        <x:v>1.167</x:v>
      </x:c>
      <x:c r="J104" s="42" t="n">
        <x:f>MAX(0,Assumptions!$C$9-MIN($I$103:$I$114))</x:f>
        <x:v>0.038000000000000034</x:v>
      </x:c>
      <x:c r="K104" s="42" t="n">
        <x:f>I104+J104</x:f>
        <x:v>1.205</x:v>
      </x:c>
      <x:c r="L104" s="21" t="str">
        <x:f>IF(K104&gt;=Assumptions!$C$9,"ADEQUATE","GAP")</x:f>
        <x:v>ADEQUATE</x:v>
      </x:c>
      <x:c r="M104" s="42" t="n">
        <x:f>'Stage Standard'!G8</x:f>
        <x:v>0.8125</x:v>
      </x:c>
      <x:c r="N104" s="42" t="n">
        <x:f>K104*M104/Assumptions!$C$12</x:f>
        <x:v>0.78325</x:v>
      </x:c>
      <x:c r="O104" s="23" t="str">
        <x:f>IF(N104&gt;=1,"ADEQUATE","GAP")</x:f>
        <x:v>GAP</x:v>
      </x:c>
    </x:row>
    <x:row r="105">
      <x:c r="B105" s="21" t="str">
        <x:v>SB-0099</x:v>
      </x:c>
      <x:c r="C105" s="21" t="str">
        <x:v>F21</x:v>
      </x:c>
      <x:c r="D105" s="21" t="n">
        <x:v>3</x:v>
      </x:c>
      <x:c r="E105" s="21" t="str">
        <x:v>Facility utility and safe start</x:v>
      </x:c>
      <x:c r="F105" s="42" t="n">
        <x:v>0.98</x:v>
      </x:c>
      <x:c r="G105" s="42" t="n">
        <x:v>0.05</x:v>
      </x:c>
      <x:c r="H105" s="42" t="n">
        <x:v>0.065</x:v>
      </x:c>
      <x:c r="I105" s="42" t="n">
        <x:f>SUM(F105:H105)</x:f>
        <x:v>1.095</x:v>
      </x:c>
      <x:c r="J105" s="42" t="n">
        <x:f>MAX(0,Assumptions!$C$9-MIN($I$103:$I$114))</x:f>
        <x:v>0.038000000000000034</x:v>
      </x:c>
      <x:c r="K105" s="42" t="n">
        <x:f>I105+J105</x:f>
        <x:v>1.133</x:v>
      </x:c>
      <x:c r="L105" s="21" t="str">
        <x:f>IF(K105&gt;=Assumptions!$C$9,"ADEQUATE","GAP")</x:f>
        <x:v>ADEQUATE</x:v>
      </x:c>
      <x:c r="M105" s="42" t="n">
        <x:f>'Stage Standard'!G9</x:f>
        <x:v>0.7857142857142858</x:v>
      </x:c>
      <x:c r="N105" s="42" t="n">
        <x:f>K105*M105/Assumptions!$C$12</x:f>
        <x:v>0.7121714285714287</x:v>
      </x:c>
      <x:c r="O105" s="23" t="str">
        <x:f>IF(N105&gt;=1,"ADEQUATE","GAP")</x:f>
        <x:v>GAP</x:v>
      </x:c>
    </x:row>
    <x:row r="106">
      <x:c r="B106" s="21" t="str">
        <x:v>SB-0100</x:v>
      </x:c>
      <x:c r="C106" s="21" t="str">
        <x:v>F21</x:v>
      </x:c>
      <x:c r="D106" s="21" t="n">
        <x:v>4</x:v>
      </x:c>
      <x:c r="E106" s="21" t="str">
        <x:v>Material tooling and instrument release</x:v>
      </x:c>
      <x:c r="F106" s="42" t="n">
        <x:v>1</x:v>
      </x:c>
      <x:c r="G106" s="42" t="n">
        <x:v>0.08</x:v>
      </x:c>
      <x:c r="H106" s="42" t="n">
        <x:v>0.052000000000000005</x:v>
      </x:c>
      <x:c r="I106" s="42" t="n">
        <x:f>SUM(F106:H106)</x:f>
        <x:v>1.1320000000000001</x:v>
      </x:c>
      <x:c r="J106" s="42" t="n">
        <x:f>MAX(0,Assumptions!$C$9-MIN($I$103:$I$114))</x:f>
        <x:v>0.038000000000000034</x:v>
      </x:c>
      <x:c r="K106" s="42" t="n">
        <x:f>I106+J106</x:f>
        <x:v>1.1700000000000002</x:v>
      </x:c>
      <x:c r="L106" s="21" t="str">
        <x:f>IF(K106&gt;=Assumptions!$C$9,"ADEQUATE","GAP")</x:f>
        <x:v>ADEQUATE</x:v>
      </x:c>
      <x:c r="M106" s="42" t="n">
        <x:f>'Stage Standard'!G10</x:f>
        <x:v>0.7333333333333334</x:v>
      </x:c>
      <x:c r="N106" s="42" t="n">
        <x:f>K106*M106/Assumptions!$C$12</x:f>
        <x:v>0.6864000000000001</x:v>
      </x:c>
      <x:c r="O106" s="23" t="str">
        <x:f>IF(N106&gt;=1,"ADEQUATE","GAP")</x:f>
        <x:v>GAP</x:v>
      </x:c>
    </x:row>
    <x:row r="107">
      <x:c r="B107" s="21" t="str">
        <x:v>SB-0101</x:v>
      </x:c>
      <x:c r="C107" s="21" t="str">
        <x:v>F21</x:v>
      </x:c>
      <x:c r="D107" s="21" t="n">
        <x:v>5</x:v>
      </x:c>
      <x:c r="E107" s="21" t="str">
        <x:v>Supplier and process activation</x:v>
      </x:c>
      <x:c r="F107" s="42" t="n">
        <x:v>0.95</x:v>
      </x:c>
      <x:c r="G107" s="42" t="n">
        <x:v>0.06</x:v>
      </x:c>
      <x:c r="H107" s="42" t="n">
        <x:v>0.052000000000000005</x:v>
      </x:c>
      <x:c r="I107" s="42" t="n">
        <x:f>SUM(F107:H107)</x:f>
        <x:v>1.062</x:v>
      </x:c>
      <x:c r="J107" s="42" t="n">
        <x:f>MAX(0,Assumptions!$C$9-MIN($I$103:$I$114))</x:f>
        <x:v>0.038000000000000034</x:v>
      </x:c>
      <x:c r="K107" s="42" t="n">
        <x:f>I107+J107</x:f>
        <x:v>1.1</x:v>
      </x:c>
      <x:c r="L107" s="21" t="str">
        <x:f>IF(K107&gt;=Assumptions!$C$9,"ADEQUATE","GAP")</x:f>
        <x:v>ADEQUATE</x:v>
      </x:c>
      <x:c r="M107" s="42" t="n">
        <x:f>'Stage Standard'!G11</x:f>
        <x:v>0.7142857142857143</x:v>
      </x:c>
      <x:c r="N107" s="42" t="n">
        <x:f>K107*M107/Assumptions!$C$12</x:f>
        <x:v>0.6285714285714287</x:v>
      </x:c>
      <x:c r="O107" s="23" t="str">
        <x:f>IF(N107&gt;=1,"ADEQUATE","GAP")</x:f>
        <x:v>GAP</x:v>
      </x:c>
    </x:row>
    <x:row r="108">
      <x:c r="B108" s="21" t="str">
        <x:v>SB-0102</x:v>
      </x:c>
      <x:c r="C108" s="21" t="str">
        <x:v>F21</x:v>
      </x:c>
      <x:c r="D108" s="21" t="n">
        <x:v>6</x:v>
      </x:c>
      <x:c r="E108" s="21" t="str">
        <x:v>Conforming production</x:v>
      </x:c>
      <x:c r="F108" s="42" t="n">
        <x:v>0.96</x:v>
      </x:c>
      <x:c r="G108" s="42" t="n">
        <x:v>0.08</x:v>
      </x:c>
      <x:c r="H108" s="42" t="n">
        <x:v>0.065</x:v>
      </x:c>
      <x:c r="I108" s="42" t="n">
        <x:f>SUM(F108:H108)</x:f>
        <x:v>1.105</x:v>
      </x:c>
      <x:c r="J108" s="42" t="n">
        <x:f>MAX(0,Assumptions!$C$9-MIN($I$103:$I$114))</x:f>
        <x:v>0.038000000000000034</x:v>
      </x:c>
      <x:c r="K108" s="42" t="n">
        <x:f>I108+J108</x:f>
        <x:v>1.143</x:v>
      </x:c>
      <x:c r="L108" s="21" t="str">
        <x:f>IF(K108&gt;=Assumptions!$C$9,"ADEQUATE","GAP")</x:f>
        <x:v>ADEQUATE</x:v>
      </x:c>
      <x:c r="M108" s="42" t="n">
        <x:f>'Stage Standard'!G12</x:f>
        <x:v>0.7142857142857143</x:v>
      </x:c>
      <x:c r="N108" s="42" t="n">
        <x:f>K108*M108/Assumptions!$C$12</x:f>
        <x:v>0.6531428571428572</x:v>
      </x:c>
      <x:c r="O108" s="23" t="str">
        <x:f>IF(N108&gt;=1,"ADEQUATE","GAP")</x:f>
        <x:v>GAP</x:v>
      </x:c>
    </x:row>
    <x:row r="109">
      <x:c r="B109" s="21" t="str">
        <x:v>SB-0103</x:v>
      </x:c>
      <x:c r="C109" s="21" t="str">
        <x:v>F21</x:v>
      </x:c>
      <x:c r="D109" s="21" t="n">
        <x:v>7</x:v>
      </x:c>
      <x:c r="E109" s="21" t="str">
        <x:v>Independent acceptance</x:v>
      </x:c>
      <x:c r="F109" s="42" t="n">
        <x:v>1.05</x:v>
      </x:c>
      <x:c r="G109" s="42" t="n">
        <x:v>0.06</x:v>
      </x:c>
      <x:c r="H109" s="42" t="n">
        <x:v>0.039</x:v>
      </x:c>
      <x:c r="I109" s="42" t="n">
        <x:f>SUM(F109:H109)</x:f>
        <x:v>1.149</x:v>
      </x:c>
      <x:c r="J109" s="42" t="n">
        <x:f>MAX(0,Assumptions!$C$9-MIN($I$103:$I$114))</x:f>
        <x:v>0.038000000000000034</x:v>
      </x:c>
      <x:c r="K109" s="42" t="n">
        <x:f>I109+J109</x:f>
        <x:v>1.187</x:v>
      </x:c>
      <x:c r="L109" s="21" t="str">
        <x:f>IF(K109&gt;=Assumptions!$C$9,"ADEQUATE","GAP")</x:f>
        <x:v>ADEQUATE</x:v>
      </x:c>
      <x:c r="M109" s="42" t="n">
        <x:f>'Stage Standard'!G13</x:f>
        <x:v>0.8125</x:v>
      </x:c>
      <x:c r="N109" s="42" t="n">
        <x:f>K109*M109/Assumptions!$C$12</x:f>
        <x:v>0.7715500000000001</x:v>
      </x:c>
      <x:c r="O109" s="23" t="str">
        <x:f>IF(N109&gt;=1,"ADEQUATE","GAP")</x:f>
        <x:v>GAP</x:v>
      </x:c>
    </x:row>
    <x:row r="110">
      <x:c r="B110" s="21" t="str">
        <x:v>SB-0104</x:v>
      </x:c>
      <x:c r="C110" s="21" t="str">
        <x:v>F21</x:v>
      </x:c>
      <x:c r="D110" s="21" t="n">
        <x:v>8</x:v>
      </x:c>
      <x:c r="E110" s="21" t="str">
        <x:v>Loadout and custody transfer</x:v>
      </x:c>
      <x:c r="F110" s="42" t="n">
        <x:v>0.96</x:v>
      </x:c>
      <x:c r="G110" s="42" t="n">
        <x:v>0.2</x:v>
      </x:c>
      <x:c r="H110" s="42" t="n">
        <x:v>0.11699999999999999</x:v>
      </x:c>
      <x:c r="I110" s="42" t="n">
        <x:f>SUM(F110:H110)</x:f>
        <x:v>1.277</x:v>
      </x:c>
      <x:c r="J110" s="42" t="n">
        <x:f>MAX(0,Assumptions!$C$9-MIN($I$103:$I$114))</x:f>
        <x:v>0.038000000000000034</x:v>
      </x:c>
      <x:c r="K110" s="42" t="n">
        <x:f>I110+J110</x:f>
        <x:v>1.315</x:v>
      </x:c>
      <x:c r="L110" s="21" t="str">
        <x:f>IF(K110&gt;=Assumptions!$C$9,"ADEQUATE","GAP")</x:f>
        <x:v>ADEQUATE</x:v>
      </x:c>
      <x:c r="M110" s="42" t="n">
        <x:f>'Stage Standard'!G14</x:f>
        <x:v>0.7692307692307692</x:v>
      </x:c>
      <x:c r="N110" s="42" t="n">
        <x:f>K110*M110/Assumptions!$C$12</x:f>
        <x:v>0.8092307692307692</x:v>
      </x:c>
      <x:c r="O110" s="23" t="str">
        <x:f>IF(N110&gt;=1,"ADEQUATE","GAP")</x:f>
        <x:v>GAP</x:v>
      </x:c>
    </x:row>
    <x:row r="111">
      <x:c r="B111" s="21" t="str">
        <x:v>SB-0105</x:v>
      </x:c>
      <x:c r="C111" s="21" t="str">
        <x:v>F21</x:v>
      </x:c>
      <x:c r="D111" s="21" t="n">
        <x:v>9</x:v>
      </x:c>
      <x:c r="E111" s="21" t="str">
        <x:v>Strategic transport</x:v>
      </x:c>
      <x:c r="F111" s="42" t="n">
        <x:v>0.8625</x:v>
      </x:c>
      <x:c r="G111" s="42" t="n">
        <x:v>0.2</x:v>
      </x:c>
      <x:c r="H111" s="42" t="n">
        <x:v>0.11699999999999999</x:v>
      </x:c>
      <x:c r="I111" s="42" t="n">
        <x:f>SUM(F111:H111)</x:f>
        <x:v>1.1795</x:v>
      </x:c>
      <x:c r="J111" s="42" t="n">
        <x:f>MAX(0,Assumptions!$C$9-MIN($I$103:$I$114))</x:f>
        <x:v>0.038000000000000034</x:v>
      </x:c>
      <x:c r="K111" s="42" t="n">
        <x:f>I111+J111</x:f>
        <x:v>1.2175</x:v>
      </x:c>
      <x:c r="L111" s="21" t="str">
        <x:f>IF(K111&gt;=Assumptions!$C$9,"ADEQUATE","GAP")</x:f>
        <x:v>ADEQUATE</x:v>
      </x:c>
      <x:c r="M111" s="42" t="n">
        <x:f>'Stage Standard'!G15</x:f>
        <x:v>0.7692307692307692</x:v>
      </x:c>
      <x:c r="N111" s="42" t="n">
        <x:f>K111*M111/Assumptions!$C$12</x:f>
        <x:v>0.7492307692307691</x:v>
      </x:c>
      <x:c r="O111" s="23" t="str">
        <x:f>IF(N111&gt;=1,"ADEQUATE","GAP")</x:f>
        <x:v>GAP</x:v>
      </x:c>
    </x:row>
    <x:row r="112">
      <x:c r="B112" s="21" t="str">
        <x:v>SB-0106</x:v>
      </x:c>
      <x:c r="C112" s="21" t="str">
        <x:v>F21</x:v>
      </x:c>
      <x:c r="D112" s="21" t="n">
        <x:v>10</x:v>
      </x:c>
      <x:c r="E112" s="21" t="str">
        <x:v>Receiving-node admission</x:v>
      </x:c>
      <x:c r="F112" s="42" t="n">
        <x:v>1</x:v>
      </x:c>
      <x:c r="G112" s="42" t="n">
        <x:v>0.2</x:v>
      </x:c>
      <x:c r="H112" s="42" t="n">
        <x:v>0.11699999999999999</x:v>
      </x:c>
      <x:c r="I112" s="42" t="n">
        <x:f>SUM(F112:H112)</x:f>
        <x:v>1.317</x:v>
      </x:c>
      <x:c r="J112" s="42" t="n">
        <x:f>MAX(0,Assumptions!$C$9-MIN($I$103:$I$114))</x:f>
        <x:v>0.038000000000000034</x:v>
      </x:c>
      <x:c r="K112" s="42" t="n">
        <x:f>I112+J112</x:f>
        <x:v>1.355</x:v>
      </x:c>
      <x:c r="L112" s="21" t="str">
        <x:f>IF(K112&gt;=Assumptions!$C$9,"ADEQUATE","GAP")</x:f>
        <x:v>ADEQUATE</x:v>
      </x:c>
      <x:c r="M112" s="42" t="n">
        <x:f>'Stage Standard'!G16</x:f>
        <x:v>0.7999999999999999</x:v>
      </x:c>
      <x:c r="N112" s="42" t="n">
        <x:f>K112*M112/Assumptions!$C$12</x:f>
        <x:v>0.8671999999999999</x:v>
      </x:c>
      <x:c r="O112" s="23" t="str">
        <x:f>IF(N112&gt;=1,"ADEQUATE","GAP")</x:f>
        <x:v>GAP</x:v>
      </x:c>
    </x:row>
    <x:row r="113">
      <x:c r="B113" s="21" t="str">
        <x:v>SB-0107</x:v>
      </x:c>
      <x:c r="C113" s="21" t="str">
        <x:v>F21</x:v>
      </x:c>
      <x:c r="D113" s="21" t="n">
        <x:v>11</x:v>
      </x:c>
      <x:c r="E113" s="21" t="str">
        <x:v>Commissioned public service</x:v>
      </x:c>
      <x:c r="F113" s="42" t="n">
        <x:v>0.98</x:v>
      </x:c>
      <x:c r="G113" s="42" t="n">
        <x:v>0.2</x:v>
      </x:c>
      <x:c r="H113" s="42" t="n">
        <x:v>0.10400000000000001</x:v>
      </x:c>
      <x:c r="I113" s="42" t="n">
        <x:f>SUM(F113:H113)</x:f>
        <x:v>1.284</x:v>
      </x:c>
      <x:c r="J113" s="42" t="n">
        <x:f>MAX(0,Assumptions!$C$9-MIN($I$103:$I$114))</x:f>
        <x:v>0.038000000000000034</x:v>
      </x:c>
      <x:c r="K113" s="42" t="n">
        <x:f>I113+J113</x:f>
        <x:v>1.322</x:v>
      </x:c>
      <x:c r="L113" s="21" t="str">
        <x:f>IF(K113&gt;=Assumptions!$C$9,"ADEQUATE","GAP")</x:f>
        <x:v>ADEQUATE</x:v>
      </x:c>
      <x:c r="M113" s="42" t="n">
        <x:f>'Stage Standard'!G17</x:f>
        <x:v>0.7857142857142858</x:v>
      </x:c>
      <x:c r="N113" s="42" t="n">
        <x:f>K113*M113/Assumptions!$C$12</x:f>
        <x:v>0.8309714285714287</x:v>
      </x:c>
      <x:c r="O113" s="23" t="str">
        <x:f>IF(N113&gt;=1,"ADEQUATE","GAP")</x:f>
        <x:v>GAP</x:v>
      </x:c>
    </x:row>
    <x:row r="114">
      <x:c r="B114" s="21" t="str">
        <x:v>SB-0108</x:v>
      </x:c>
      <x:c r="C114" s="21" t="str">
        <x:v>F21</x:v>
      </x:c>
      <x:c r="D114" s="21" t="n">
        <x:v>12</x:v>
      </x:c>
      <x:c r="E114" s="21" t="str">
        <x:v>Regeneration and replacement</x:v>
      </x:c>
      <x:c r="F114" s="42" t="n">
        <x:v>0.9</x:v>
      </x:c>
      <x:c r="G114" s="42" t="n">
        <x:v>0.12</x:v>
      </x:c>
      <x:c r="H114" s="42" t="n">
        <x:v>0.14300000000000002</x:v>
      </x:c>
      <x:c r="I114" s="42" t="n">
        <x:f>SUM(F114:H114)</x:f>
        <x:v>1.163</x:v>
      </x:c>
      <x:c r="J114" s="42" t="n">
        <x:f>MAX(0,Assumptions!$C$9-MIN($I$103:$I$114))</x:f>
        <x:v>0.038000000000000034</x:v>
      </x:c>
      <x:c r="K114" s="42" t="n">
        <x:f>I114+J114</x:f>
        <x:v>1.201</x:v>
      </x:c>
      <x:c r="L114" s="21" t="str">
        <x:f>IF(K114&gt;=Assumptions!$C$9,"ADEQUATE","GAP")</x:f>
        <x:v>ADEQUATE</x:v>
      </x:c>
      <x:c r="M114" s="42" t="n">
        <x:f>'Stage Standard'!G18</x:f>
        <x:v>0.7142857142857143</x:v>
      </x:c>
      <x:c r="N114" s="42" t="n">
        <x:f>K114*M114/Assumptions!$C$12</x:f>
        <x:v>0.6862857142857143</x:v>
      </x:c>
      <x:c r="O114" s="23" t="str">
        <x:f>IF(N114&gt;=1,"ADEQUATE","GAP")</x:f>
        <x:v>GAP</x:v>
      </x:c>
    </x:row>
    <x:row r="115">
      <x:c r="B115" s="21" t="str">
        <x:v>SB-0109</x:v>
      </x:c>
      <x:c r="C115" s="21" t="str">
        <x:v>F27</x:v>
      </x:c>
      <x:c r="D115" s="21" t="n">
        <x:v>1</x:v>
      </x:c>
      <x:c r="E115" s="21" t="str">
        <x:v>Alert authentication</x:v>
      </x:c>
      <x:c r="F115" s="42" t="n">
        <x:v>1.05</x:v>
      </x:c>
      <x:c r="G115" s="42" t="n">
        <x:v>0.03</x:v>
      </x:c>
      <x:c r="H115" s="42" t="n">
        <x:v>0.013000000000000001</x:v>
      </x:c>
      <x:c r="I115" s="42" t="n">
        <x:f>SUM(F115:H115)</x:f>
        <x:v>1.093</x:v>
      </x:c>
      <x:c r="J115" s="42" t="n">
        <x:f>MAX(0,Assumptions!$C$9-MIN($I$115:$I$126))</x:f>
        <x:v>0.1130000000000001</x:v>
      </x:c>
      <x:c r="K115" s="42" t="n">
        <x:f>I115+J115</x:f>
        <x:v>1.206</x:v>
      </x:c>
      <x:c r="L115" s="21" t="str">
        <x:f>IF(K115&gt;=Assumptions!$C$9,"ADEQUATE","GAP")</x:f>
        <x:v>ADEQUATE</x:v>
      </x:c>
      <x:c r="M115" s="42" t="n">
        <x:f>'Stage Standard'!G7</x:f>
        <x:v>0.7999999999999999</x:v>
      </x:c>
      <x:c r="N115" s="42" t="n">
        <x:f>K115*M115/Assumptions!$C$12</x:f>
        <x:v>0.7718399999999999</x:v>
      </x:c>
      <x:c r="O115" s="23" t="str">
        <x:f>IF(N115&gt;=1,"ADEQUATE","GAP")</x:f>
        <x:v>GAP</x:v>
      </x:c>
    </x:row>
    <x:row r="116">
      <x:c r="B116" s="21" t="str">
        <x:v>SB-0110</x:v>
      </x:c>
      <x:c r="C116" s="21" t="str">
        <x:v>F27</x:v>
      </x:c>
      <x:c r="D116" s="21" t="n">
        <x:v>2</x:v>
      </x:c>
      <x:c r="E116" s="21" t="str">
        <x:v>Workforce muster</x:v>
      </x:c>
      <x:c r="F116" s="42" t="n">
        <x:v>0.92</x:v>
      </x:c>
      <x:c r="G116" s="42" t="n">
        <x:v>0.08</x:v>
      </x:c>
      <x:c r="H116" s="42" t="n">
        <x:v>0.0325</x:v>
      </x:c>
      <x:c r="I116" s="42" t="n">
        <x:f>SUM(F116:H116)</x:f>
        <x:v>1.0325</x:v>
      </x:c>
      <x:c r="J116" s="42" t="n">
        <x:f>MAX(0,Assumptions!$C$9-MIN($I$115:$I$126))</x:f>
        <x:v>0.1130000000000001</x:v>
      </x:c>
      <x:c r="K116" s="42" t="n">
        <x:f>I116+J116</x:f>
        <x:v>1.1455000000000002</x:v>
      </x:c>
      <x:c r="L116" s="21" t="str">
        <x:f>IF(K116&gt;=Assumptions!$C$9,"ADEQUATE","GAP")</x:f>
        <x:v>ADEQUATE</x:v>
      </x:c>
      <x:c r="M116" s="42" t="n">
        <x:f>'Stage Standard'!G8</x:f>
        <x:v>0.8125</x:v>
      </x:c>
      <x:c r="N116" s="42" t="n">
        <x:f>K116*M116/Assumptions!$C$12</x:f>
        <x:v>0.7445750000000001</x:v>
      </x:c>
      <x:c r="O116" s="23" t="str">
        <x:f>IF(N116&gt;=1,"ADEQUATE","GAP")</x:f>
        <x:v>GAP</x:v>
      </x:c>
    </x:row>
    <x:row r="117">
      <x:c r="B117" s="21" t="str">
        <x:v>SB-0111</x:v>
      </x:c>
      <x:c r="C117" s="21" t="str">
        <x:v>F27</x:v>
      </x:c>
      <x:c r="D117" s="21" t="n">
        <x:v>3</x:v>
      </x:c>
      <x:c r="E117" s="21" t="str">
        <x:v>Facility utility and safe start</x:v>
      </x:c>
      <x:c r="F117" s="42" t="n">
        <x:v>0.88</x:v>
      </x:c>
      <x:c r="G117" s="42" t="n">
        <x:v>0.06</x:v>
      </x:c>
      <x:c r="H117" s="42" t="n">
        <x:v>0.052000000000000005</x:v>
      </x:c>
      <x:c r="I117" s="42" t="n">
        <x:f>SUM(F117:H117)</x:f>
        <x:v>0.992</x:v>
      </x:c>
      <x:c r="J117" s="42" t="n">
        <x:f>MAX(0,Assumptions!$C$9-MIN($I$115:$I$126))</x:f>
        <x:v>0.1130000000000001</x:v>
      </x:c>
      <x:c r="K117" s="42" t="n">
        <x:f>I117+J117</x:f>
        <x:v>1.105</x:v>
      </x:c>
      <x:c r="L117" s="21" t="str">
        <x:f>IF(K117&gt;=Assumptions!$C$9,"ADEQUATE","GAP")</x:f>
        <x:v>ADEQUATE</x:v>
      </x:c>
      <x:c r="M117" s="42" t="n">
        <x:f>'Stage Standard'!G9</x:f>
        <x:v>0.7857142857142858</x:v>
      </x:c>
      <x:c r="N117" s="42" t="n">
        <x:f>K117*M117/Assumptions!$C$12</x:f>
        <x:v>0.6945714285714286</x:v>
      </x:c>
      <x:c r="O117" s="23" t="str">
        <x:f>IF(N117&gt;=1,"ADEQUATE","GAP")</x:f>
        <x:v>GAP</x:v>
      </x:c>
    </x:row>
    <x:row r="118">
      <x:c r="B118" s="21" t="str">
        <x:v>SB-0112</x:v>
      </x:c>
      <x:c r="C118" s="21" t="str">
        <x:v>F27</x:v>
      </x:c>
      <x:c r="D118" s="21" t="n">
        <x:v>4</x:v>
      </x:c>
      <x:c r="E118" s="21" t="str">
        <x:v>Material tooling and instrument release</x:v>
      </x:c>
      <x:c r="F118" s="42" t="n">
        <x:v>0.9</x:v>
      </x:c>
      <x:c r="G118" s="42" t="n">
        <x:v>0.1</x:v>
      </x:c>
      <x:c r="H118" s="42" t="n">
        <x:v>0.10400000000000001</x:v>
      </x:c>
      <x:c r="I118" s="42" t="n">
        <x:f>SUM(F118:H118)</x:f>
        <x:v>1.104</x:v>
      </x:c>
      <x:c r="J118" s="42" t="n">
        <x:f>MAX(0,Assumptions!$C$9-MIN($I$115:$I$126))</x:f>
        <x:v>0.1130000000000001</x:v>
      </x:c>
      <x:c r="K118" s="42" t="n">
        <x:f>I118+J118</x:f>
        <x:v>1.217</x:v>
      </x:c>
      <x:c r="L118" s="21" t="str">
        <x:f>IF(K118&gt;=Assumptions!$C$9,"ADEQUATE","GAP")</x:f>
        <x:v>ADEQUATE</x:v>
      </x:c>
      <x:c r="M118" s="42" t="n">
        <x:f>'Stage Standard'!G10</x:f>
        <x:v>0.7333333333333334</x:v>
      </x:c>
      <x:c r="N118" s="42" t="n">
        <x:f>K118*M118/Assumptions!$C$12</x:f>
        <x:v>0.7139733333333335</x:v>
      </x:c>
      <x:c r="O118" s="23" t="str">
        <x:f>IF(N118&gt;=1,"ADEQUATE","GAP")</x:f>
        <x:v>GAP</x:v>
      </x:c>
    </x:row>
    <x:row r="119">
      <x:c r="B119" s="21" t="str">
        <x:v>SB-0113</x:v>
      </x:c>
      <x:c r="C119" s="21" t="str">
        <x:v>F27</x:v>
      </x:c>
      <x:c r="D119" s="21" t="n">
        <x:v>5</x:v>
      </x:c>
      <x:c r="E119" s="21" t="str">
        <x:v>Supplier and process activation</x:v>
      </x:c>
      <x:c r="F119" s="42" t="n">
        <x:v>0.76</x:v>
      </x:c>
      <x:c r="G119" s="42" t="n">
        <x:v>0.1</x:v>
      </x:c>
      <x:c r="H119" s="42" t="n">
        <x:v>0.14300000000000002</x:v>
      </x:c>
      <x:c r="I119" s="42" t="n">
        <x:f>SUM(F119:H119)</x:f>
        <x:v>1.0030000000000001</x:v>
      </x:c>
      <x:c r="J119" s="42" t="n">
        <x:f>MAX(0,Assumptions!$C$9-MIN($I$115:$I$126))</x:f>
        <x:v>0.1130000000000001</x:v>
      </x:c>
      <x:c r="K119" s="42" t="n">
        <x:f>I119+J119</x:f>
        <x:v>1.116</x:v>
      </x:c>
      <x:c r="L119" s="21" t="str">
        <x:f>IF(K119&gt;=Assumptions!$C$9,"ADEQUATE","GAP")</x:f>
        <x:v>ADEQUATE</x:v>
      </x:c>
      <x:c r="M119" s="42" t="n">
        <x:f>'Stage Standard'!G11</x:f>
        <x:v>0.7142857142857143</x:v>
      </x:c>
      <x:c r="N119" s="42" t="n">
        <x:f>K119*M119/Assumptions!$C$12</x:f>
        <x:v>0.6377142857142858</x:v>
      </x:c>
      <x:c r="O119" s="23" t="str">
        <x:f>IF(N119&gt;=1,"ADEQUATE","GAP")</x:f>
        <x:v>GAP</x:v>
      </x:c>
    </x:row>
    <x:row r="120">
      <x:c r="B120" s="21" t="str">
        <x:v>SB-0114</x:v>
      </x:c>
      <x:c r="C120" s="21" t="str">
        <x:v>F27</x:v>
      </x:c>
      <x:c r="D120" s="21" t="n">
        <x:v>6</x:v>
      </x:c>
      <x:c r="E120" s="21" t="str">
        <x:v>Conforming production</x:v>
      </x:c>
      <x:c r="F120" s="42" t="n">
        <x:v>0.86</x:v>
      </x:c>
      <x:c r="G120" s="42" t="n">
        <x:v>0.1</x:v>
      </x:c>
      <x:c r="H120" s="42" t="n">
        <x:v>0.11699999999999999</x:v>
      </x:c>
      <x:c r="I120" s="42" t="n">
        <x:f>SUM(F120:H120)</x:f>
        <x:v>1.077</x:v>
      </x:c>
      <x:c r="J120" s="42" t="n">
        <x:f>MAX(0,Assumptions!$C$9-MIN($I$115:$I$126))</x:f>
        <x:v>0.1130000000000001</x:v>
      </x:c>
      <x:c r="K120" s="42" t="n">
        <x:f>I120+J120</x:f>
        <x:v>1.19</x:v>
      </x:c>
      <x:c r="L120" s="21" t="str">
        <x:f>IF(K120&gt;=Assumptions!$C$9,"ADEQUATE","GAP")</x:f>
        <x:v>ADEQUATE</x:v>
      </x:c>
      <x:c r="M120" s="42" t="n">
        <x:f>'Stage Standard'!G12</x:f>
        <x:v>0.7142857142857143</x:v>
      </x:c>
      <x:c r="N120" s="42" t="n">
        <x:f>K120*M120/Assumptions!$C$12</x:f>
        <x:v>0.6799999999999999</x:v>
      </x:c>
      <x:c r="O120" s="23" t="str">
        <x:f>IF(N120&gt;=1,"ADEQUATE","GAP")</x:f>
        <x:v>GAP</x:v>
      </x:c>
    </x:row>
    <x:row r="121">
      <x:c r="B121" s="21" t="str">
        <x:v>SB-0115</x:v>
      </x:c>
      <x:c r="C121" s="21" t="str">
        <x:v>F27</x:v>
      </x:c>
      <x:c r="D121" s="21" t="n">
        <x:v>7</x:v>
      </x:c>
      <x:c r="E121" s="21" t="str">
        <x:v>Independent acceptance</x:v>
      </x:c>
      <x:c r="F121" s="42" t="n">
        <x:v>0.98</x:v>
      </x:c>
      <x:c r="G121" s="42" t="n">
        <x:v>0.06</x:v>
      </x:c>
      <x:c r="H121" s="42" t="n">
        <x:v>0.09100000000000001</x:v>
      </x:c>
      <x:c r="I121" s="42" t="n">
        <x:f>SUM(F121:H121)</x:f>
        <x:v>1.131</x:v>
      </x:c>
      <x:c r="J121" s="42" t="n">
        <x:f>MAX(0,Assumptions!$C$9-MIN($I$115:$I$126))</x:f>
        <x:v>0.1130000000000001</x:v>
      </x:c>
      <x:c r="K121" s="42" t="n">
        <x:f>I121+J121</x:f>
        <x:v>1.2440000000000002</x:v>
      </x:c>
      <x:c r="L121" s="21" t="str">
        <x:f>IF(K121&gt;=Assumptions!$C$9,"ADEQUATE","GAP")</x:f>
        <x:v>ADEQUATE</x:v>
      </x:c>
      <x:c r="M121" s="42" t="n">
        <x:f>'Stage Standard'!G13</x:f>
        <x:v>0.8125</x:v>
      </x:c>
      <x:c r="N121" s="42" t="n">
        <x:f>K121*M121/Assumptions!$C$12</x:f>
        <x:v>0.8086000000000002</x:v>
      </x:c>
      <x:c r="O121" s="23" t="str">
        <x:f>IF(N121&gt;=1,"ADEQUATE","GAP")</x:f>
        <x:v>GAP</x:v>
      </x:c>
    </x:row>
    <x:row r="122">
      <x:c r="B122" s="21" t="str">
        <x:v>SB-0116</x:v>
      </x:c>
      <x:c r="C122" s="21" t="str">
        <x:v>F27</x:v>
      </x:c>
      <x:c r="D122" s="21" t="n">
        <x:v>8</x:v>
      </x:c>
      <x:c r="E122" s="21" t="str">
        <x:v>Loadout and custody transfer</x:v>
      </x:c>
      <x:c r="F122" s="42" t="n">
        <x:v>0.88</x:v>
      </x:c>
      <x:c r="G122" s="42" t="n">
        <x:v>0.22</x:v>
      </x:c>
      <x:c r="H122" s="42" t="n">
        <x:v>0.052000000000000005</x:v>
      </x:c>
      <x:c r="I122" s="42" t="n">
        <x:f>SUM(F122:H122)</x:f>
        <x:v>1.1520000000000001</x:v>
      </x:c>
      <x:c r="J122" s="42" t="n">
        <x:f>MAX(0,Assumptions!$C$9-MIN($I$115:$I$126))</x:f>
        <x:v>0.1130000000000001</x:v>
      </x:c>
      <x:c r="K122" s="42" t="n">
        <x:f>I122+J122</x:f>
        <x:v>1.2650000000000001</x:v>
      </x:c>
      <x:c r="L122" s="21" t="str">
        <x:f>IF(K122&gt;=Assumptions!$C$9,"ADEQUATE","GAP")</x:f>
        <x:v>ADEQUATE</x:v>
      </x:c>
      <x:c r="M122" s="42" t="n">
        <x:f>'Stage Standard'!G14</x:f>
        <x:v>0.7692307692307692</x:v>
      </x:c>
      <x:c r="N122" s="42" t="n">
        <x:f>K122*M122/Assumptions!$C$12</x:f>
        <x:v>0.7784615384615384</x:v>
      </x:c>
      <x:c r="O122" s="23" t="str">
        <x:f>IF(N122&gt;=1,"ADEQUATE","GAP")</x:f>
        <x:v>GAP</x:v>
      </x:c>
    </x:row>
    <x:row r="123">
      <x:c r="B123" s="21" t="str">
        <x:v>SB-0117</x:v>
      </x:c>
      <x:c r="C123" s="21" t="str">
        <x:v>F27</x:v>
      </x:c>
      <x:c r="D123" s="21" t="n">
        <x:v>9</x:v>
      </x:c>
      <x:c r="E123" s="21" t="str">
        <x:v>Strategic transport</x:v>
      </x:c>
      <x:c r="F123" s="42" t="n">
        <x:v>0.845</x:v>
      </x:c>
      <x:c r="G123" s="42" t="n">
        <x:v>0.25</x:v>
      </x:c>
      <x:c r="H123" s="42" t="n">
        <x:v>0.039</x:v>
      </x:c>
      <x:c r="I123" s="42" t="n">
        <x:f>SUM(F123:H123)</x:f>
        <x:v>1.134</x:v>
      </x:c>
      <x:c r="J123" s="42" t="n">
        <x:f>MAX(0,Assumptions!$C$9-MIN($I$115:$I$126))</x:f>
        <x:v>0.1130000000000001</x:v>
      </x:c>
      <x:c r="K123" s="42" t="n">
        <x:f>I123+J123</x:f>
        <x:v>1.2469999999999999</x:v>
      </x:c>
      <x:c r="L123" s="21" t="str">
        <x:f>IF(K123&gt;=Assumptions!$C$9,"ADEQUATE","GAP")</x:f>
        <x:v>ADEQUATE</x:v>
      </x:c>
      <x:c r="M123" s="42" t="n">
        <x:f>'Stage Standard'!G15</x:f>
        <x:v>0.7692307692307692</x:v>
      </x:c>
      <x:c r="N123" s="42" t="n">
        <x:f>K123*M123/Assumptions!$C$12</x:f>
        <x:v>0.7673846153846153</x:v>
      </x:c>
      <x:c r="O123" s="23" t="str">
        <x:f>IF(N123&gt;=1,"ADEQUATE","GAP")</x:f>
        <x:v>GAP</x:v>
      </x:c>
    </x:row>
    <x:row r="124">
      <x:c r="B124" s="21" t="str">
        <x:v>SB-0118</x:v>
      </x:c>
      <x:c r="C124" s="21" t="str">
        <x:v>F27</x:v>
      </x:c>
      <x:c r="D124" s="21" t="n">
        <x:v>10</x:v>
      </x:c>
      <x:c r="E124" s="21" t="str">
        <x:v>Receiving-node admission</x:v>
      </x:c>
      <x:c r="F124" s="42" t="n">
        <x:v>0.9</x:v>
      </x:c>
      <x:c r="G124" s="42" t="n">
        <x:v>0.12</x:v>
      </x:c>
      <x:c r="H124" s="42" t="n">
        <x:v>0.039</x:v>
      </x:c>
      <x:c r="I124" s="42" t="n">
        <x:f>SUM(F124:H124)</x:f>
        <x:v>1.059</x:v>
      </x:c>
      <x:c r="J124" s="42" t="n">
        <x:f>MAX(0,Assumptions!$C$9-MIN($I$115:$I$126))</x:f>
        <x:v>0.1130000000000001</x:v>
      </x:c>
      <x:c r="K124" s="42" t="n">
        <x:f>I124+J124</x:f>
        <x:v>1.1720000000000002</x:v>
      </x:c>
      <x:c r="L124" s="21" t="str">
        <x:f>IF(K124&gt;=Assumptions!$C$9,"ADEQUATE","GAP")</x:f>
        <x:v>ADEQUATE</x:v>
      </x:c>
      <x:c r="M124" s="42" t="n">
        <x:f>'Stage Standard'!G16</x:f>
        <x:v>0.7999999999999999</x:v>
      </x:c>
      <x:c r="N124" s="42" t="n">
        <x:f>K124*M124/Assumptions!$C$12</x:f>
        <x:v>0.75008</x:v>
      </x:c>
      <x:c r="O124" s="23" t="str">
        <x:f>IF(N124&gt;=1,"ADEQUATE","GAP")</x:f>
        <x:v>GAP</x:v>
      </x:c>
    </x:row>
    <x:row r="125">
      <x:c r="B125" s="21" t="str">
        <x:v>SB-0119</x:v>
      </x:c>
      <x:c r="C125" s="21" t="str">
        <x:v>F27</x:v>
      </x:c>
      <x:c r="D125" s="21" t="n">
        <x:v>11</x:v>
      </x:c>
      <x:c r="E125" s="21" t="str">
        <x:v>Commissioned public service</x:v>
      </x:c>
      <x:c r="F125" s="42" t="n">
        <x:v>0.88</x:v>
      </x:c>
      <x:c r="G125" s="42" t="n">
        <x:v>0.1</x:v>
      </x:c>
      <x:c r="H125" s="42" t="n">
        <x:v>0.052000000000000005</x:v>
      </x:c>
      <x:c r="I125" s="42" t="n">
        <x:f>SUM(F125:H125)</x:f>
        <x:v>1.032</x:v>
      </x:c>
      <x:c r="J125" s="42" t="n">
        <x:f>MAX(0,Assumptions!$C$9-MIN($I$115:$I$126))</x:f>
        <x:v>0.1130000000000001</x:v>
      </x:c>
      <x:c r="K125" s="42" t="n">
        <x:f>I125+J125</x:f>
        <x:v>1.145</x:v>
      </x:c>
      <x:c r="L125" s="21" t="str">
        <x:f>IF(K125&gt;=Assumptions!$C$9,"ADEQUATE","GAP")</x:f>
        <x:v>ADEQUATE</x:v>
      </x:c>
      <x:c r="M125" s="42" t="n">
        <x:f>'Stage Standard'!G17</x:f>
        <x:v>0.7857142857142858</x:v>
      </x:c>
      <x:c r="N125" s="42" t="n">
        <x:f>K125*M125/Assumptions!$C$12</x:f>
        <x:v>0.7197142857142859</x:v>
      </x:c>
      <x:c r="O125" s="23" t="str">
        <x:f>IF(N125&gt;=1,"ADEQUATE","GAP")</x:f>
        <x:v>GAP</x:v>
      </x:c>
    </x:row>
    <x:row r="126">
      <x:c r="B126" s="21" t="str">
        <x:v>SB-0120</x:v>
      </x:c>
      <x:c r="C126" s="21" t="str">
        <x:v>F27</x:v>
      </x:c>
      <x:c r="D126" s="21" t="n">
        <x:v>12</x:v>
      </x:c>
      <x:c r="E126" s="21" t="str">
        <x:v>Regeneration and replacement</x:v>
      </x:c>
      <x:c r="F126" s="42" t="n">
        <x:v>0.72</x:v>
      </x:c>
      <x:c r="G126" s="42" t="n">
        <x:v>0.15</x:v>
      </x:c>
      <x:c r="H126" s="42" t="n">
        <x:v>0.11699999999999999</x:v>
      </x:c>
      <x:c r="I126" s="42" t="n">
        <x:f>SUM(F126:H126)</x:f>
        <x:v>0.987</x:v>
      </x:c>
      <x:c r="J126" s="42" t="n">
        <x:f>MAX(0,Assumptions!$C$9-MIN($I$115:$I$126))</x:f>
        <x:v>0.1130000000000001</x:v>
      </x:c>
      <x:c r="K126" s="42" t="n">
        <x:f>I126+J126</x:f>
        <x:v>1.1</x:v>
      </x:c>
      <x:c r="L126" s="21" t="str">
        <x:f>IF(K126&gt;=Assumptions!$C$9,"ADEQUATE","GAP")</x:f>
        <x:v>ADEQUATE</x:v>
      </x:c>
      <x:c r="M126" s="42" t="n">
        <x:f>'Stage Standard'!G18</x:f>
        <x:v>0.7142857142857143</x:v>
      </x:c>
      <x:c r="N126" s="42" t="n">
        <x:f>K126*M126/Assumptions!$C$12</x:f>
        <x:v>0.6285714285714287</x:v>
      </x:c>
      <x:c r="O126" s="23" t="str">
        <x:f>IF(N126&gt;=1,"ADEQUATE","GAP")</x:f>
        <x:v>GAP</x:v>
      </x:c>
    </x:row>
    <x:row r="127">
      <x:c r="B127" s="21" t="str">
        <x:v>SB-0121</x:v>
      </x:c>
      <x:c r="C127" s="21" t="str">
        <x:v>F29</x:v>
      </x:c>
      <x:c r="D127" s="21" t="n">
        <x:v>1</x:v>
      </x:c>
      <x:c r="E127" s="21" t="str">
        <x:v>Alert authentication</x:v>
      </x:c>
      <x:c r="F127" s="42" t="n">
        <x:v>1.05</x:v>
      </x:c>
      <x:c r="G127" s="42" t="n">
        <x:v>0.03</x:v>
      </x:c>
      <x:c r="H127" s="42" t="n">
        <x:v>0</x:v>
      </x:c>
      <x:c r="I127" s="42" t="n">
        <x:f>SUM(F127:H127)</x:f>
        <x:v>1.08</x:v>
      </x:c>
      <x:c r="J127" s="42" t="n">
        <x:f>MAX(0,Assumptions!$C$9-MIN($I$127:$I$138))</x:f>
        <x:v>0.1080000000000001</x:v>
      </x:c>
      <x:c r="K127" s="42" t="n">
        <x:f>I127+J127</x:f>
        <x:v>1.1880000000000002</x:v>
      </x:c>
      <x:c r="L127" s="21" t="str">
        <x:f>IF(K127&gt;=Assumptions!$C$9,"ADEQUATE","GAP")</x:f>
        <x:v>ADEQUATE</x:v>
      </x:c>
      <x:c r="M127" s="42" t="n">
        <x:f>'Stage Standard'!G7</x:f>
        <x:v>0.7999999999999999</x:v>
      </x:c>
      <x:c r="N127" s="42" t="n">
        <x:f>K127*M127/Assumptions!$C$12</x:f>
        <x:v>0.76032</x:v>
      </x:c>
      <x:c r="O127" s="23" t="str">
        <x:f>IF(N127&gt;=1,"ADEQUATE","GAP")</x:f>
        <x:v>GAP</x:v>
      </x:c>
    </x:row>
    <x:row r="128">
      <x:c r="B128" s="21" t="str">
        <x:v>SB-0122</x:v>
      </x:c>
      <x:c r="C128" s="21" t="str">
        <x:v>F29</x:v>
      </x:c>
      <x:c r="D128" s="21" t="n">
        <x:v>2</x:v>
      </x:c>
      <x:c r="E128" s="21" t="str">
        <x:v>Workforce muster</x:v>
      </x:c>
      <x:c r="F128" s="42" t="n">
        <x:v>0.92</x:v>
      </x:c>
      <x:c r="G128" s="42" t="n">
        <x:v>0.08</x:v>
      </x:c>
      <x:c r="H128" s="42" t="n">
        <x:v>0.0195</x:v>
      </x:c>
      <x:c r="I128" s="42" t="n">
        <x:f>SUM(F128:H128)</x:f>
        <x:v>1.0195</x:v>
      </x:c>
      <x:c r="J128" s="42" t="n">
        <x:f>MAX(0,Assumptions!$C$9-MIN($I$127:$I$138))</x:f>
        <x:v>0.1080000000000001</x:v>
      </x:c>
      <x:c r="K128" s="42" t="n">
        <x:f>I128+J128</x:f>
        <x:v>1.1275000000000002</x:v>
      </x:c>
      <x:c r="L128" s="21" t="str">
        <x:f>IF(K128&gt;=Assumptions!$C$9,"ADEQUATE","GAP")</x:f>
        <x:v>ADEQUATE</x:v>
      </x:c>
      <x:c r="M128" s="42" t="n">
        <x:f>'Stage Standard'!G8</x:f>
        <x:v>0.8125</x:v>
      </x:c>
      <x:c r="N128" s="42" t="n">
        <x:f>K128*M128/Assumptions!$C$12</x:f>
        <x:v>0.7328750000000002</x:v>
      </x:c>
      <x:c r="O128" s="23" t="str">
        <x:f>IF(N128&gt;=1,"ADEQUATE","GAP")</x:f>
        <x:v>GAP</x:v>
      </x:c>
    </x:row>
    <x:row r="129">
      <x:c r="B129" s="21" t="str">
        <x:v>SB-0123</x:v>
      </x:c>
      <x:c r="C129" s="21" t="str">
        <x:v>F29</x:v>
      </x:c>
      <x:c r="D129" s="21" t="n">
        <x:v>3</x:v>
      </x:c>
      <x:c r="E129" s="21" t="str">
        <x:v>Facility utility and safe start</x:v>
      </x:c>
      <x:c r="F129" s="42" t="n">
        <x:v>0.88</x:v>
      </x:c>
      <x:c r="G129" s="42" t="n">
        <x:v>0.06</x:v>
      </x:c>
      <x:c r="H129" s="42" t="n">
        <x:v>0.052000000000000005</x:v>
      </x:c>
      <x:c r="I129" s="42" t="n">
        <x:f>SUM(F129:H129)</x:f>
        <x:v>0.992</x:v>
      </x:c>
      <x:c r="J129" s="42" t="n">
        <x:f>MAX(0,Assumptions!$C$9-MIN($I$127:$I$138))</x:f>
        <x:v>0.1080000000000001</x:v>
      </x:c>
      <x:c r="K129" s="42" t="n">
        <x:f>I129+J129</x:f>
        <x:v>1.1</x:v>
      </x:c>
      <x:c r="L129" s="21" t="str">
        <x:f>IF(K129&gt;=Assumptions!$C$9,"ADEQUATE","GAP")</x:f>
        <x:v>ADEQUATE</x:v>
      </x:c>
      <x:c r="M129" s="42" t="n">
        <x:f>'Stage Standard'!G9</x:f>
        <x:v>0.7857142857142858</x:v>
      </x:c>
      <x:c r="N129" s="42" t="n">
        <x:f>K129*M129/Assumptions!$C$12</x:f>
        <x:v>0.6914285714285715</x:v>
      </x:c>
      <x:c r="O129" s="23" t="str">
        <x:f>IF(N129&gt;=1,"ADEQUATE","GAP")</x:f>
        <x:v>GAP</x:v>
      </x:c>
    </x:row>
    <x:row r="130">
      <x:c r="B130" s="21" t="str">
        <x:v>SB-0124</x:v>
      </x:c>
      <x:c r="C130" s="21" t="str">
        <x:v>F29</x:v>
      </x:c>
      <x:c r="D130" s="21" t="n">
        <x:v>4</x:v>
      </x:c>
      <x:c r="E130" s="21" t="str">
        <x:v>Material tooling and instrument release</x:v>
      </x:c>
      <x:c r="F130" s="42" t="n">
        <x:v>0.9</x:v>
      </x:c>
      <x:c r="G130" s="42" t="n">
        <x:v>0.1</x:v>
      </x:c>
      <x:c r="H130" s="42" t="n">
        <x:v>0.11699999999999999</x:v>
      </x:c>
      <x:c r="I130" s="42" t="n">
        <x:f>SUM(F130:H130)</x:f>
        <x:v>1.117</x:v>
      </x:c>
      <x:c r="J130" s="42" t="n">
        <x:f>MAX(0,Assumptions!$C$9-MIN($I$127:$I$138))</x:f>
        <x:v>0.1080000000000001</x:v>
      </x:c>
      <x:c r="K130" s="42" t="n">
        <x:f>I130+J130</x:f>
        <x:v>1.225</x:v>
      </x:c>
      <x:c r="L130" s="21" t="str">
        <x:f>IF(K130&gt;=Assumptions!$C$9,"ADEQUATE","GAP")</x:f>
        <x:v>ADEQUATE</x:v>
      </x:c>
      <x:c r="M130" s="42" t="n">
        <x:f>'Stage Standard'!G10</x:f>
        <x:v>0.7333333333333334</x:v>
      </x:c>
      <x:c r="N130" s="42" t="n">
        <x:f>K130*M130/Assumptions!$C$12</x:f>
        <x:v>0.7186666666666668</x:v>
      </x:c>
      <x:c r="O130" s="23" t="str">
        <x:f>IF(N130&gt;=1,"ADEQUATE","GAP")</x:f>
        <x:v>GAP</x:v>
      </x:c>
    </x:row>
    <x:row r="131">
      <x:c r="B131" s="21" t="str">
        <x:v>SB-0125</x:v>
      </x:c>
      <x:c r="C131" s="21" t="str">
        <x:v>F29</x:v>
      </x:c>
      <x:c r="D131" s="21" t="n">
        <x:v>5</x:v>
      </x:c>
      <x:c r="E131" s="21" t="str">
        <x:v>Supplier and process activation</x:v>
      </x:c>
      <x:c r="F131" s="42" t="n">
        <x:v>0.84</x:v>
      </x:c>
      <x:c r="G131" s="42" t="n">
        <x:v>0.1</x:v>
      </x:c>
      <x:c r="H131" s="42" t="n">
        <x:v>0.078</x:v>
      </x:c>
      <x:c r="I131" s="42" t="n">
        <x:f>SUM(F131:H131)</x:f>
        <x:v>1.018</x:v>
      </x:c>
      <x:c r="J131" s="42" t="n">
        <x:f>MAX(0,Assumptions!$C$9-MIN($I$127:$I$138))</x:f>
        <x:v>0.1080000000000001</x:v>
      </x:c>
      <x:c r="K131" s="42" t="n">
        <x:f>I131+J131</x:f>
        <x:v>1.1260000000000001</x:v>
      </x:c>
      <x:c r="L131" s="21" t="str">
        <x:f>IF(K131&gt;=Assumptions!$C$9,"ADEQUATE","GAP")</x:f>
        <x:v>ADEQUATE</x:v>
      </x:c>
      <x:c r="M131" s="42" t="n">
        <x:f>'Stage Standard'!G11</x:f>
        <x:v>0.7142857142857143</x:v>
      </x:c>
      <x:c r="N131" s="42" t="n">
        <x:f>K131*M131/Assumptions!$C$12</x:f>
        <x:v>0.6434285714285715</x:v>
      </x:c>
      <x:c r="O131" s="23" t="str">
        <x:f>IF(N131&gt;=1,"ADEQUATE","GAP")</x:f>
        <x:v>GAP</x:v>
      </x:c>
    </x:row>
    <x:row r="132">
      <x:c r="B132" s="21" t="str">
        <x:v>SB-0126</x:v>
      </x:c>
      <x:c r="C132" s="21" t="str">
        <x:v>F29</x:v>
      </x:c>
      <x:c r="D132" s="21" t="n">
        <x:v>6</x:v>
      </x:c>
      <x:c r="E132" s="21" t="str">
        <x:v>Conforming production</x:v>
      </x:c>
      <x:c r="F132" s="42" t="n">
        <x:v>0.86</x:v>
      </x:c>
      <x:c r="G132" s="42" t="n">
        <x:v>0.1</x:v>
      </x:c>
      <x:c r="H132" s="42" t="n">
        <x:v>0.09100000000000001</x:v>
      </x:c>
      <x:c r="I132" s="42" t="n">
        <x:f>SUM(F132:H132)</x:f>
        <x:v>1.051</x:v>
      </x:c>
      <x:c r="J132" s="42" t="n">
        <x:f>MAX(0,Assumptions!$C$9-MIN($I$127:$I$138))</x:f>
        <x:v>0.1080000000000001</x:v>
      </x:c>
      <x:c r="K132" s="42" t="n">
        <x:f>I132+J132</x:f>
        <x:v>1.159</x:v>
      </x:c>
      <x:c r="L132" s="21" t="str">
        <x:f>IF(K132&gt;=Assumptions!$C$9,"ADEQUATE","GAP")</x:f>
        <x:v>ADEQUATE</x:v>
      </x:c>
      <x:c r="M132" s="42" t="n">
        <x:f>'Stage Standard'!G12</x:f>
        <x:v>0.7142857142857143</x:v>
      </x:c>
      <x:c r="N132" s="42" t="n">
        <x:f>K132*M132/Assumptions!$C$12</x:f>
        <x:v>0.6622857142857143</x:v>
      </x:c>
      <x:c r="O132" s="23" t="str">
        <x:f>IF(N132&gt;=1,"ADEQUATE","GAP")</x:f>
        <x:v>GAP</x:v>
      </x:c>
    </x:row>
    <x:row r="133">
      <x:c r="B133" s="21" t="str">
        <x:v>SB-0127</x:v>
      </x:c>
      <x:c r="C133" s="21" t="str">
        <x:v>F29</x:v>
      </x:c>
      <x:c r="D133" s="21" t="n">
        <x:v>7</x:v>
      </x:c>
      <x:c r="E133" s="21" t="str">
        <x:v>Independent acceptance</x:v>
      </x:c>
      <x:c r="F133" s="42" t="n">
        <x:v>0.98</x:v>
      </x:c>
      <x:c r="G133" s="42" t="n">
        <x:v>0.06</x:v>
      </x:c>
      <x:c r="H133" s="42" t="n">
        <x:v>0.052000000000000005</x:v>
      </x:c>
      <x:c r="I133" s="42" t="n">
        <x:f>SUM(F133:H133)</x:f>
        <x:v>1.092</x:v>
      </x:c>
      <x:c r="J133" s="42" t="n">
        <x:f>MAX(0,Assumptions!$C$9-MIN($I$127:$I$138))</x:f>
        <x:v>0.1080000000000001</x:v>
      </x:c>
      <x:c r="K133" s="42" t="n">
        <x:f>I133+J133</x:f>
        <x:v>1.2000000000000002</x:v>
      </x:c>
      <x:c r="L133" s="21" t="str">
        <x:f>IF(K133&gt;=Assumptions!$C$9,"ADEQUATE","GAP")</x:f>
        <x:v>ADEQUATE</x:v>
      </x:c>
      <x:c r="M133" s="42" t="n">
        <x:f>'Stage Standard'!G13</x:f>
        <x:v>0.8125</x:v>
      </x:c>
      <x:c r="N133" s="42" t="n">
        <x:f>K133*M133/Assumptions!$C$12</x:f>
        <x:v>0.78</x:v>
      </x:c>
      <x:c r="O133" s="23" t="str">
        <x:f>IF(N133&gt;=1,"ADEQUATE","GAP")</x:f>
        <x:v>GAP</x:v>
      </x:c>
    </x:row>
    <x:row r="134">
      <x:c r="B134" s="21" t="str">
        <x:v>SB-0128</x:v>
      </x:c>
      <x:c r="C134" s="21" t="str">
        <x:v>F29</x:v>
      </x:c>
      <x:c r="D134" s="21" t="n">
        <x:v>8</x:v>
      </x:c>
      <x:c r="E134" s="21" t="str">
        <x:v>Loadout and custody transfer</x:v>
      </x:c>
      <x:c r="F134" s="42" t="n">
        <x:v>0.88</x:v>
      </x:c>
      <x:c r="G134" s="42" t="n">
        <x:v>0.22</x:v>
      </x:c>
      <x:c r="H134" s="42" t="n">
        <x:v>0.039</x:v>
      </x:c>
      <x:c r="I134" s="42" t="n">
        <x:f>SUM(F134:H134)</x:f>
        <x:v>1.139</x:v>
      </x:c>
      <x:c r="J134" s="42" t="n">
        <x:f>MAX(0,Assumptions!$C$9-MIN($I$127:$I$138))</x:f>
        <x:v>0.1080000000000001</x:v>
      </x:c>
      <x:c r="K134" s="42" t="n">
        <x:f>I134+J134</x:f>
        <x:v>1.247</x:v>
      </x:c>
      <x:c r="L134" s="21" t="str">
        <x:f>IF(K134&gt;=Assumptions!$C$9,"ADEQUATE","GAP")</x:f>
        <x:v>ADEQUATE</x:v>
      </x:c>
      <x:c r="M134" s="42" t="n">
        <x:f>'Stage Standard'!G14</x:f>
        <x:v>0.7692307692307692</x:v>
      </x:c>
      <x:c r="N134" s="42" t="n">
        <x:f>K134*M134/Assumptions!$C$12</x:f>
        <x:v>0.7673846153846153</x:v>
      </x:c>
      <x:c r="O134" s="23" t="str">
        <x:f>IF(N134&gt;=1,"ADEQUATE","GAP")</x:f>
        <x:v>GAP</x:v>
      </x:c>
    </x:row>
    <x:row r="135">
      <x:c r="B135" s="21" t="str">
        <x:v>SB-0129</x:v>
      </x:c>
      <x:c r="C135" s="21" t="str">
        <x:v>F29</x:v>
      </x:c>
      <x:c r="D135" s="21" t="n">
        <x:v>9</x:v>
      </x:c>
      <x:c r="E135" s="21" t="str">
        <x:v>Strategic transport</x:v>
      </x:c>
      <x:c r="F135" s="42" t="n">
        <x:v>0.765</x:v>
      </x:c>
      <x:c r="G135" s="42" t="n">
        <x:v>0.25</x:v>
      </x:c>
      <x:c r="H135" s="42" t="n">
        <x:v>0.0325</x:v>
      </x:c>
      <x:c r="I135" s="42" t="n">
        <x:f>SUM(F135:H135)</x:f>
        <x:v>1.0475</x:v>
      </x:c>
      <x:c r="J135" s="42" t="n">
        <x:f>MAX(0,Assumptions!$C$9-MIN($I$127:$I$138))</x:f>
        <x:v>0.1080000000000001</x:v>
      </x:c>
      <x:c r="K135" s="42" t="n">
        <x:f>I135+J135</x:f>
        <x:v>1.1555000000000002</x:v>
      </x:c>
      <x:c r="L135" s="21" t="str">
        <x:f>IF(K135&gt;=Assumptions!$C$9,"ADEQUATE","GAP")</x:f>
        <x:v>ADEQUATE</x:v>
      </x:c>
      <x:c r="M135" s="42" t="n">
        <x:f>'Stage Standard'!G15</x:f>
        <x:v>0.7692307692307692</x:v>
      </x:c>
      <x:c r="N135" s="42" t="n">
        <x:f>K135*M135/Assumptions!$C$12</x:f>
        <x:v>0.7110769230769232</x:v>
      </x:c>
      <x:c r="O135" s="23" t="str">
        <x:f>IF(N135&gt;=1,"ADEQUATE","GAP")</x:f>
        <x:v>GAP</x:v>
      </x:c>
    </x:row>
    <x:row r="136">
      <x:c r="B136" s="21" t="str">
        <x:v>SB-0130</x:v>
      </x:c>
      <x:c r="C136" s="21" t="str">
        <x:v>F29</x:v>
      </x:c>
      <x:c r="D136" s="21" t="n">
        <x:v>10</x:v>
      </x:c>
      <x:c r="E136" s="21" t="str">
        <x:v>Receiving-node admission</x:v>
      </x:c>
      <x:c r="F136" s="42" t="n">
        <x:v>0.9</x:v>
      </x:c>
      <x:c r="G136" s="42" t="n">
        <x:v>0.12</x:v>
      </x:c>
      <x:c r="H136" s="42" t="n">
        <x:v>0.052000000000000005</x:v>
      </x:c>
      <x:c r="I136" s="42" t="n">
        <x:f>SUM(F136:H136)</x:f>
        <x:v>1.072</x:v>
      </x:c>
      <x:c r="J136" s="42" t="n">
        <x:f>MAX(0,Assumptions!$C$9-MIN($I$127:$I$138))</x:f>
        <x:v>0.1080000000000001</x:v>
      </x:c>
      <x:c r="K136" s="42" t="n">
        <x:f>I136+J136</x:f>
        <x:v>1.1800000000000002</x:v>
      </x:c>
      <x:c r="L136" s="21" t="str">
        <x:f>IF(K136&gt;=Assumptions!$C$9,"ADEQUATE","GAP")</x:f>
        <x:v>ADEQUATE</x:v>
      </x:c>
      <x:c r="M136" s="42" t="n">
        <x:f>'Stage Standard'!G16</x:f>
        <x:v>0.7999999999999999</x:v>
      </x:c>
      <x:c r="N136" s="42" t="n">
        <x:f>K136*M136/Assumptions!$C$12</x:f>
        <x:v>0.7552000000000001</x:v>
      </x:c>
      <x:c r="O136" s="23" t="str">
        <x:f>IF(N136&gt;=1,"ADEQUATE","GAP")</x:f>
        <x:v>GAP</x:v>
      </x:c>
    </x:row>
    <x:row r="137">
      <x:c r="B137" s="21" t="str">
        <x:v>SB-0131</x:v>
      </x:c>
      <x:c r="C137" s="21" t="str">
        <x:v>F29</x:v>
      </x:c>
      <x:c r="D137" s="21" t="n">
        <x:v>11</x:v>
      </x:c>
      <x:c r="E137" s="21" t="str">
        <x:v>Commissioned public service</x:v>
      </x:c>
      <x:c r="F137" s="42" t="n">
        <x:v>0.88</x:v>
      </x:c>
      <x:c r="G137" s="42" t="n">
        <x:v>0.1</x:v>
      </x:c>
      <x:c r="H137" s="42" t="n">
        <x:v>0.052000000000000005</x:v>
      </x:c>
      <x:c r="I137" s="42" t="n">
        <x:f>SUM(F137:H137)</x:f>
        <x:v>1.032</x:v>
      </x:c>
      <x:c r="J137" s="42" t="n">
        <x:f>MAX(0,Assumptions!$C$9-MIN($I$127:$I$138))</x:f>
        <x:v>0.1080000000000001</x:v>
      </x:c>
      <x:c r="K137" s="42" t="n">
        <x:f>I137+J137</x:f>
        <x:v>1.1400000000000001</x:v>
      </x:c>
      <x:c r="L137" s="21" t="str">
        <x:f>IF(K137&gt;=Assumptions!$C$9,"ADEQUATE","GAP")</x:f>
        <x:v>ADEQUATE</x:v>
      </x:c>
      <x:c r="M137" s="42" t="n">
        <x:f>'Stage Standard'!G17</x:f>
        <x:v>0.7857142857142858</x:v>
      </x:c>
      <x:c r="N137" s="42" t="n">
        <x:f>K137*M137/Assumptions!$C$12</x:f>
        <x:v>0.7165714285714287</x:v>
      </x:c>
      <x:c r="O137" s="23" t="str">
        <x:f>IF(N137&gt;=1,"ADEQUATE","GAP")</x:f>
        <x:v>GAP</x:v>
      </x:c>
    </x:row>
    <x:row r="138">
      <x:c r="B138" s="21" t="str">
        <x:v>SB-0132</x:v>
      </x:c>
      <x:c r="C138" s="21" t="str">
        <x:v>F29</x:v>
      </x:c>
      <x:c r="D138" s="21" t="n">
        <x:v>12</x:v>
      </x:c>
      <x:c r="E138" s="21" t="str">
        <x:v>Regeneration and replacement</x:v>
      </x:c>
      <x:c r="F138" s="42" t="n">
        <x:v>0.72</x:v>
      </x:c>
      <x:c r="G138" s="42" t="n">
        <x:v>0.15</x:v>
      </x:c>
      <x:c r="H138" s="42" t="n">
        <x:v>0.18200000000000002</x:v>
      </x:c>
      <x:c r="I138" s="42" t="n">
        <x:f>SUM(F138:H138)</x:f>
        <x:v>1.052</x:v>
      </x:c>
      <x:c r="J138" s="42" t="n">
        <x:f>MAX(0,Assumptions!$C$9-MIN($I$127:$I$138))</x:f>
        <x:v>0.1080000000000001</x:v>
      </x:c>
      <x:c r="K138" s="42" t="n">
        <x:f>I138+J138</x:f>
        <x:v>1.1600000000000001</x:v>
      </x:c>
      <x:c r="L138" s="21" t="str">
        <x:f>IF(K138&gt;=Assumptions!$C$9,"ADEQUATE","GAP")</x:f>
        <x:v>ADEQUATE</x:v>
      </x:c>
      <x:c r="M138" s="42" t="n">
        <x:f>'Stage Standard'!G18</x:f>
        <x:v>0.7142857142857143</x:v>
      </x:c>
      <x:c r="N138" s="42" t="n">
        <x:f>K138*M138/Assumptions!$C$12</x:f>
        <x:v>0.662857142857143</x:v>
      </x:c>
      <x:c r="O138" s="23" t="str">
        <x:f>IF(N138&gt;=1,"ADEQUATE","GAP")</x:f>
        <x:v>GAP</x:v>
      </x:c>
    </x:row>
    <x:row r="139">
      <x:c r="B139" s="21" t="str">
        <x:v>SB-0133</x:v>
      </x:c>
      <x:c r="C139" s="21" t="str">
        <x:v>F30</x:v>
      </x:c>
      <x:c r="D139" s="21" t="n">
        <x:v>1</x:v>
      </x:c>
      <x:c r="E139" s="21" t="str">
        <x:v>Alert authentication</x:v>
      </x:c>
      <x:c r="F139" s="42" t="n">
        <x:v>1.05</x:v>
      </x:c>
      <x:c r="G139" s="42" t="n">
        <x:v>0.03</x:v>
      </x:c>
      <x:c r="H139" s="42" t="n">
        <x:v>0.026000000000000002</x:v>
      </x:c>
      <x:c r="I139" s="42" t="n">
        <x:f>SUM(F139:H139)</x:f>
        <x:v>1.106</x:v>
      </x:c>
      <x:c r="J139" s="42" t="n">
        <x:f>MAX(0,Assumptions!$C$9-MIN($I$139:$I$150))</x:f>
        <x:v>0.1080000000000001</x:v>
      </x:c>
      <x:c r="K139" s="42" t="n">
        <x:f>I139+J139</x:f>
        <x:v>1.2140000000000002</x:v>
      </x:c>
      <x:c r="L139" s="21" t="str">
        <x:f>IF(K139&gt;=Assumptions!$C$9,"ADEQUATE","GAP")</x:f>
        <x:v>ADEQUATE</x:v>
      </x:c>
      <x:c r="M139" s="42" t="n">
        <x:f>'Stage Standard'!G7</x:f>
        <x:v>0.7999999999999999</x:v>
      </x:c>
      <x:c r="N139" s="42" t="n">
        <x:f>K139*M139/Assumptions!$C$12</x:f>
        <x:v>0.7769600000000001</x:v>
      </x:c>
      <x:c r="O139" s="23" t="str">
        <x:f>IF(N139&gt;=1,"ADEQUATE","GAP")</x:f>
        <x:v>GAP</x:v>
      </x:c>
    </x:row>
    <x:row r="140">
      <x:c r="B140" s="21" t="str">
        <x:v>SB-0134</x:v>
      </x:c>
      <x:c r="C140" s="21" t="str">
        <x:v>F30</x:v>
      </x:c>
      <x:c r="D140" s="21" t="n">
        <x:v>2</x:v>
      </x:c>
      <x:c r="E140" s="21" t="str">
        <x:v>Workforce muster</x:v>
      </x:c>
      <x:c r="F140" s="42" t="n">
        <x:v>0.88</x:v>
      </x:c>
      <x:c r="G140" s="42" t="n">
        <x:v>0.08</x:v>
      </x:c>
      <x:c r="H140" s="42" t="n">
        <x:v>0.11699999999999999</x:v>
      </x:c>
      <x:c r="I140" s="42" t="n">
        <x:f>SUM(F140:H140)</x:f>
        <x:v>1.077</x:v>
      </x:c>
      <x:c r="J140" s="42" t="n">
        <x:f>MAX(0,Assumptions!$C$9-MIN($I$139:$I$150))</x:f>
        <x:v>0.1080000000000001</x:v>
      </x:c>
      <x:c r="K140" s="42" t="n">
        <x:f>I140+J140</x:f>
        <x:v>1.185</x:v>
      </x:c>
      <x:c r="L140" s="21" t="str">
        <x:f>IF(K140&gt;=Assumptions!$C$9,"ADEQUATE","GAP")</x:f>
        <x:v>ADEQUATE</x:v>
      </x:c>
      <x:c r="M140" s="42" t="n">
        <x:f>'Stage Standard'!G8</x:f>
        <x:v>0.8125</x:v>
      </x:c>
      <x:c r="N140" s="42" t="n">
        <x:f>K140*M140/Assumptions!$C$12</x:f>
        <x:v>0.7702500000000001</x:v>
      </x:c>
      <x:c r="O140" s="23" t="str">
        <x:f>IF(N140&gt;=1,"ADEQUATE","GAP")</x:f>
        <x:v>GAP</x:v>
      </x:c>
    </x:row>
    <x:row r="141">
      <x:c r="B141" s="21" t="str">
        <x:v>SB-0135</x:v>
      </x:c>
      <x:c r="C141" s="21" t="str">
        <x:v>F30</x:v>
      </x:c>
      <x:c r="D141" s="21" t="n">
        <x:v>3</x:v>
      </x:c>
      <x:c r="E141" s="21" t="str">
        <x:v>Facility utility and safe start</x:v>
      </x:c>
      <x:c r="F141" s="42" t="n">
        <x:v>0.88</x:v>
      </x:c>
      <x:c r="G141" s="42" t="n">
        <x:v>0.06</x:v>
      </x:c>
      <x:c r="H141" s="42" t="n">
        <x:v>0.065</x:v>
      </x:c>
      <x:c r="I141" s="42" t="n">
        <x:f>SUM(F141:H141)</x:f>
        <x:v>1.005</x:v>
      </x:c>
      <x:c r="J141" s="42" t="n">
        <x:f>MAX(0,Assumptions!$C$9-MIN($I$139:$I$150))</x:f>
        <x:v>0.1080000000000001</x:v>
      </x:c>
      <x:c r="K141" s="42" t="n">
        <x:f>I141+J141</x:f>
        <x:v>1.113</x:v>
      </x:c>
      <x:c r="L141" s="21" t="str">
        <x:f>IF(K141&gt;=Assumptions!$C$9,"ADEQUATE","GAP")</x:f>
        <x:v>ADEQUATE</x:v>
      </x:c>
      <x:c r="M141" s="42" t="n">
        <x:f>'Stage Standard'!G9</x:f>
        <x:v>0.7857142857142858</x:v>
      </x:c>
      <x:c r="N141" s="42" t="n">
        <x:f>K141*M141/Assumptions!$C$12</x:f>
        <x:v>0.6996</x:v>
      </x:c>
      <x:c r="O141" s="23" t="str">
        <x:f>IF(N141&gt;=1,"ADEQUATE","GAP")</x:f>
        <x:v>GAP</x:v>
      </x:c>
    </x:row>
    <x:row r="142">
      <x:c r="B142" s="21" t="str">
        <x:v>SB-0136</x:v>
      </x:c>
      <x:c r="C142" s="21" t="str">
        <x:v>F30</x:v>
      </x:c>
      <x:c r="D142" s="21" t="n">
        <x:v>4</x:v>
      </x:c>
      <x:c r="E142" s="21" t="str">
        <x:v>Material tooling and instrument release</x:v>
      </x:c>
      <x:c r="F142" s="42" t="n">
        <x:v>0.9</x:v>
      </x:c>
      <x:c r="G142" s="42" t="n">
        <x:v>0.1</x:v>
      </x:c>
      <x:c r="H142" s="42" t="n">
        <x:v>0.052000000000000005</x:v>
      </x:c>
      <x:c r="I142" s="42" t="n">
        <x:f>SUM(F142:H142)</x:f>
        <x:v>1.052</x:v>
      </x:c>
      <x:c r="J142" s="42" t="n">
        <x:f>MAX(0,Assumptions!$C$9-MIN($I$139:$I$150))</x:f>
        <x:v>0.1080000000000001</x:v>
      </x:c>
      <x:c r="K142" s="42" t="n">
        <x:f>I142+J142</x:f>
        <x:v>1.1600000000000001</x:v>
      </x:c>
      <x:c r="L142" s="21" t="str">
        <x:f>IF(K142&gt;=Assumptions!$C$9,"ADEQUATE","GAP")</x:f>
        <x:v>ADEQUATE</x:v>
      </x:c>
      <x:c r="M142" s="42" t="n">
        <x:f>'Stage Standard'!G10</x:f>
        <x:v>0.7333333333333334</x:v>
      </x:c>
      <x:c r="N142" s="42" t="n">
        <x:f>K142*M142/Assumptions!$C$12</x:f>
        <x:v>0.6805333333333334</x:v>
      </x:c>
      <x:c r="O142" s="23" t="str">
        <x:f>IF(N142&gt;=1,"ADEQUATE","GAP")</x:f>
        <x:v>GAP</x:v>
      </x:c>
    </x:row>
    <x:row r="143">
      <x:c r="B143" s="21" t="str">
        <x:v>SB-0137</x:v>
      </x:c>
      <x:c r="C143" s="21" t="str">
        <x:v>F30</x:v>
      </x:c>
      <x:c r="D143" s="21" t="n">
        <x:v>5</x:v>
      </x:c>
      <x:c r="E143" s="21" t="str">
        <x:v>Supplier and process activation</x:v>
      </x:c>
      <x:c r="F143" s="42" t="n">
        <x:v>0.84</x:v>
      </x:c>
      <x:c r="G143" s="42" t="n">
        <x:v>0.1</x:v>
      </x:c>
      <x:c r="H143" s="42" t="n">
        <x:v>0.052000000000000005</x:v>
      </x:c>
      <x:c r="I143" s="42" t="n">
        <x:f>SUM(F143:H143)</x:f>
        <x:v>0.992</x:v>
      </x:c>
      <x:c r="J143" s="42" t="n">
        <x:f>MAX(0,Assumptions!$C$9-MIN($I$139:$I$150))</x:f>
        <x:v>0.1080000000000001</x:v>
      </x:c>
      <x:c r="K143" s="42" t="n">
        <x:f>I143+J143</x:f>
        <x:v>1.1</x:v>
      </x:c>
      <x:c r="L143" s="21" t="str">
        <x:f>IF(K143&gt;=Assumptions!$C$9,"ADEQUATE","GAP")</x:f>
        <x:v>ADEQUATE</x:v>
      </x:c>
      <x:c r="M143" s="42" t="n">
        <x:f>'Stage Standard'!G11</x:f>
        <x:v>0.7142857142857143</x:v>
      </x:c>
      <x:c r="N143" s="42" t="n">
        <x:f>K143*M143/Assumptions!$C$12</x:f>
        <x:v>0.6285714285714287</x:v>
      </x:c>
      <x:c r="O143" s="23" t="str">
        <x:f>IF(N143&gt;=1,"ADEQUATE","GAP")</x:f>
        <x:v>GAP</x:v>
      </x:c>
    </x:row>
    <x:row r="144">
      <x:c r="B144" s="21" t="str">
        <x:v>SB-0138</x:v>
      </x:c>
      <x:c r="C144" s="21" t="str">
        <x:v>F30</x:v>
      </x:c>
      <x:c r="D144" s="21" t="n">
        <x:v>6</x:v>
      </x:c>
      <x:c r="E144" s="21" t="str">
        <x:v>Conforming production</x:v>
      </x:c>
      <x:c r="F144" s="42" t="n">
        <x:v>0.86</x:v>
      </x:c>
      <x:c r="G144" s="42" t="n">
        <x:v>0.1</x:v>
      </x:c>
      <x:c r="H144" s="42" t="n">
        <x:v>0.065</x:v>
      </x:c>
      <x:c r="I144" s="42" t="n">
        <x:f>SUM(F144:H144)</x:f>
        <x:v>1.025</x:v>
      </x:c>
      <x:c r="J144" s="42" t="n">
        <x:f>MAX(0,Assumptions!$C$9-MIN($I$139:$I$150))</x:f>
        <x:v>0.1080000000000001</x:v>
      </x:c>
      <x:c r="K144" s="42" t="n">
        <x:f>I144+J144</x:f>
        <x:v>1.133</x:v>
      </x:c>
      <x:c r="L144" s="21" t="str">
        <x:f>IF(K144&gt;=Assumptions!$C$9,"ADEQUATE","GAP")</x:f>
        <x:v>ADEQUATE</x:v>
      </x:c>
      <x:c r="M144" s="42" t="n">
        <x:f>'Stage Standard'!G12</x:f>
        <x:v>0.7142857142857143</x:v>
      </x:c>
      <x:c r="N144" s="42" t="n">
        <x:f>K144*M144/Assumptions!$C$12</x:f>
        <x:v>0.6474285714285715</x:v>
      </x:c>
      <x:c r="O144" s="23" t="str">
        <x:f>IF(N144&gt;=1,"ADEQUATE","GAP")</x:f>
        <x:v>GAP</x:v>
      </x:c>
    </x:row>
    <x:row r="145">
      <x:c r="B145" s="21" t="str">
        <x:v>SB-0139</x:v>
      </x:c>
      <x:c r="C145" s="21" t="str">
        <x:v>F30</x:v>
      </x:c>
      <x:c r="D145" s="21" t="n">
        <x:v>7</x:v>
      </x:c>
      <x:c r="E145" s="21" t="str">
        <x:v>Independent acceptance</x:v>
      </x:c>
      <x:c r="F145" s="42" t="n">
        <x:v>0.98</x:v>
      </x:c>
      <x:c r="G145" s="42" t="n">
        <x:v>0.06</x:v>
      </x:c>
      <x:c r="H145" s="42" t="n">
        <x:v>0.039</x:v>
      </x:c>
      <x:c r="I145" s="42" t="n">
        <x:f>SUM(F145:H145)</x:f>
        <x:v>1.079</x:v>
      </x:c>
      <x:c r="J145" s="42" t="n">
        <x:f>MAX(0,Assumptions!$C$9-MIN($I$139:$I$150))</x:f>
        <x:v>0.1080000000000001</x:v>
      </x:c>
      <x:c r="K145" s="42" t="n">
        <x:f>I145+J145</x:f>
        <x:v>1.187</x:v>
      </x:c>
      <x:c r="L145" s="21" t="str">
        <x:f>IF(K145&gt;=Assumptions!$C$9,"ADEQUATE","GAP")</x:f>
        <x:v>ADEQUATE</x:v>
      </x:c>
      <x:c r="M145" s="42" t="n">
        <x:f>'Stage Standard'!G13</x:f>
        <x:v>0.8125</x:v>
      </x:c>
      <x:c r="N145" s="42" t="n">
        <x:f>K145*M145/Assumptions!$C$12</x:f>
        <x:v>0.7715500000000001</x:v>
      </x:c>
      <x:c r="O145" s="23" t="str">
        <x:f>IF(N145&gt;=1,"ADEQUATE","GAP")</x:f>
        <x:v>GAP</x:v>
      </x:c>
    </x:row>
    <x:row r="146">
      <x:c r="B146" s="21" t="str">
        <x:v>SB-0140</x:v>
      </x:c>
      <x:c r="C146" s="21" t="str">
        <x:v>F30</x:v>
      </x:c>
      <x:c r="D146" s="21" t="n">
        <x:v>8</x:v>
      </x:c>
      <x:c r="E146" s="21" t="str">
        <x:v>Loadout and custody transfer</x:v>
      </x:c>
      <x:c r="F146" s="42" t="n">
        <x:v>0.88</x:v>
      </x:c>
      <x:c r="G146" s="42" t="n">
        <x:v>0.22</x:v>
      </x:c>
      <x:c r="H146" s="42" t="n">
        <x:v>0.11699999999999999</x:v>
      </x:c>
      <x:c r="I146" s="42" t="n">
        <x:f>SUM(F146:H146)</x:f>
        <x:v>1.217</x:v>
      </x:c>
      <x:c r="J146" s="42" t="n">
        <x:f>MAX(0,Assumptions!$C$9-MIN($I$139:$I$150))</x:f>
        <x:v>0.1080000000000001</x:v>
      </x:c>
      <x:c r="K146" s="42" t="n">
        <x:f>I146+J146</x:f>
        <x:v>1.3250000000000002</x:v>
      </x:c>
      <x:c r="L146" s="21" t="str">
        <x:f>IF(K146&gt;=Assumptions!$C$9,"ADEQUATE","GAP")</x:f>
        <x:v>ADEQUATE</x:v>
      </x:c>
      <x:c r="M146" s="42" t="n">
        <x:f>'Stage Standard'!G14</x:f>
        <x:v>0.7692307692307692</x:v>
      </x:c>
      <x:c r="N146" s="42" t="n">
        <x:f>K146*M146/Assumptions!$C$12</x:f>
        <x:v>0.8153846153846155</x:v>
      </x:c>
      <x:c r="O146" s="23" t="str">
        <x:f>IF(N146&gt;=1,"ADEQUATE","GAP")</x:f>
        <x:v>GAP</x:v>
      </x:c>
    </x:row>
    <x:row r="147">
      <x:c r="B147" s="21" t="str">
        <x:v>SB-0141</x:v>
      </x:c>
      <x:c r="C147" s="21" t="str">
        <x:v>F30</x:v>
      </x:c>
      <x:c r="D147" s="21" t="n">
        <x:v>9</x:v>
      </x:c>
      <x:c r="E147" s="21" t="str">
        <x:v>Strategic transport</x:v>
      </x:c>
      <x:c r="F147" s="42" t="n">
        <x:v>0.765</x:v>
      </x:c>
      <x:c r="G147" s="42" t="n">
        <x:v>0.25</x:v>
      </x:c>
      <x:c r="H147" s="42" t="n">
        <x:v>0.11699999999999999</x:v>
      </x:c>
      <x:c r="I147" s="42" t="n">
        <x:f>SUM(F147:H147)</x:f>
        <x:v>1.1320000000000001</x:v>
      </x:c>
      <x:c r="J147" s="42" t="n">
        <x:f>MAX(0,Assumptions!$C$9-MIN($I$139:$I$150))</x:f>
        <x:v>0.1080000000000001</x:v>
      </x:c>
      <x:c r="K147" s="42" t="n">
        <x:f>I147+J147</x:f>
        <x:v>1.2400000000000002</x:v>
      </x:c>
      <x:c r="L147" s="21" t="str">
        <x:f>IF(K147&gt;=Assumptions!$C$9,"ADEQUATE","GAP")</x:f>
        <x:v>ADEQUATE</x:v>
      </x:c>
      <x:c r="M147" s="42" t="n">
        <x:f>'Stage Standard'!G15</x:f>
        <x:v>0.7692307692307692</x:v>
      </x:c>
      <x:c r="N147" s="42" t="n">
        <x:f>K147*M147/Assumptions!$C$12</x:f>
        <x:v>0.7630769230769231</x:v>
      </x:c>
      <x:c r="O147" s="23" t="str">
        <x:f>IF(N147&gt;=1,"ADEQUATE","GAP")</x:f>
        <x:v>GAP</x:v>
      </x:c>
    </x:row>
    <x:row r="148">
      <x:c r="B148" s="21" t="str">
        <x:v>SB-0142</x:v>
      </x:c>
      <x:c r="C148" s="21" t="str">
        <x:v>F30</x:v>
      </x:c>
      <x:c r="D148" s="21" t="n">
        <x:v>10</x:v>
      </x:c>
      <x:c r="E148" s="21" t="str">
        <x:v>Receiving-node admission</x:v>
      </x:c>
      <x:c r="F148" s="42" t="n">
        <x:v>0.9</x:v>
      </x:c>
      <x:c r="G148" s="42" t="n">
        <x:v>0.12</x:v>
      </x:c>
      <x:c r="H148" s="42" t="n">
        <x:v>0.11699999999999999</x:v>
      </x:c>
      <x:c r="I148" s="42" t="n">
        <x:f>SUM(F148:H148)</x:f>
        <x:v>1.137</x:v>
      </x:c>
      <x:c r="J148" s="42" t="n">
        <x:f>MAX(0,Assumptions!$C$9-MIN($I$139:$I$150))</x:f>
        <x:v>0.1080000000000001</x:v>
      </x:c>
      <x:c r="K148" s="42" t="n">
        <x:f>I148+J148</x:f>
        <x:v>1.245</x:v>
      </x:c>
      <x:c r="L148" s="21" t="str">
        <x:f>IF(K148&gt;=Assumptions!$C$9,"ADEQUATE","GAP")</x:f>
        <x:v>ADEQUATE</x:v>
      </x:c>
      <x:c r="M148" s="42" t="n">
        <x:f>'Stage Standard'!G16</x:f>
        <x:v>0.7999999999999999</x:v>
      </x:c>
      <x:c r="N148" s="42" t="n">
        <x:f>K148*M148/Assumptions!$C$12</x:f>
        <x:v>0.7968</x:v>
      </x:c>
      <x:c r="O148" s="23" t="str">
        <x:f>IF(N148&gt;=1,"ADEQUATE","GAP")</x:f>
        <x:v>GAP</x:v>
      </x:c>
    </x:row>
    <x:row r="149">
      <x:c r="B149" s="21" t="str">
        <x:v>SB-0143</x:v>
      </x:c>
      <x:c r="C149" s="21" t="str">
        <x:v>F30</x:v>
      </x:c>
      <x:c r="D149" s="21" t="n">
        <x:v>11</x:v>
      </x:c>
      <x:c r="E149" s="21" t="str">
        <x:v>Commissioned public service</x:v>
      </x:c>
      <x:c r="F149" s="42" t="n">
        <x:v>0.88</x:v>
      </x:c>
      <x:c r="G149" s="42" t="n">
        <x:v>0.1</x:v>
      </x:c>
      <x:c r="H149" s="42" t="n">
        <x:v>0.10400000000000001</x:v>
      </x:c>
      <x:c r="I149" s="42" t="n">
        <x:f>SUM(F149:H149)</x:f>
        <x:v>1.084</x:v>
      </x:c>
      <x:c r="J149" s="42" t="n">
        <x:f>MAX(0,Assumptions!$C$9-MIN($I$139:$I$150))</x:f>
        <x:v>0.1080000000000001</x:v>
      </x:c>
      <x:c r="K149" s="42" t="n">
        <x:f>I149+J149</x:f>
        <x:v>1.1920000000000002</x:v>
      </x:c>
      <x:c r="L149" s="21" t="str">
        <x:f>IF(K149&gt;=Assumptions!$C$9,"ADEQUATE","GAP")</x:f>
        <x:v>ADEQUATE</x:v>
      </x:c>
      <x:c r="M149" s="42" t="n">
        <x:f>'Stage Standard'!G17</x:f>
        <x:v>0.7857142857142858</x:v>
      </x:c>
      <x:c r="N149" s="42" t="n">
        <x:f>K149*M149/Assumptions!$C$12</x:f>
        <x:v>0.7492571428571431</x:v>
      </x:c>
      <x:c r="O149" s="23" t="str">
        <x:f>IF(N149&gt;=1,"ADEQUATE","GAP")</x:f>
        <x:v>GAP</x:v>
      </x:c>
    </x:row>
    <x:row r="150">
      <x:c r="B150" s="21" t="str">
        <x:v>SB-0144</x:v>
      </x:c>
      <x:c r="C150" s="21" t="str">
        <x:v>F30</x:v>
      </x:c>
      <x:c r="D150" s="21" t="n">
        <x:v>12</x:v>
      </x:c>
      <x:c r="E150" s="21" t="str">
        <x:v>Regeneration and replacement</x:v>
      </x:c>
      <x:c r="F150" s="42" t="n">
        <x:v>0.76</x:v>
      </x:c>
      <x:c r="G150" s="42" t="n">
        <x:v>0.15</x:v>
      </x:c>
      <x:c r="H150" s="42" t="n">
        <x:v>0.14300000000000002</x:v>
      </x:c>
      <x:c r="I150" s="42" t="n">
        <x:f>SUM(F150:H150)</x:f>
        <x:v>1.053</x:v>
      </x:c>
      <x:c r="J150" s="42" t="n">
        <x:f>MAX(0,Assumptions!$C$9-MIN($I$139:$I$150))</x:f>
        <x:v>0.1080000000000001</x:v>
      </x:c>
      <x:c r="K150" s="42" t="n">
        <x:f>I150+J150</x:f>
        <x:v>1.161</x:v>
      </x:c>
      <x:c r="L150" s="21" t="str">
        <x:f>IF(K150&gt;=Assumptions!$C$9,"ADEQUATE","GAP")</x:f>
        <x:v>ADEQUATE</x:v>
      </x:c>
      <x:c r="M150" s="42" t="n">
        <x:f>'Stage Standard'!G18</x:f>
        <x:v>0.7142857142857143</x:v>
      </x:c>
      <x:c r="N150" s="42" t="n">
        <x:f>K150*M150/Assumptions!$C$12</x:f>
        <x:v>0.6634285714285715</x:v>
      </x:c>
      <x:c r="O150" s="23" t="str">
        <x:f>IF(N150&gt;=1,"ADEQUATE","GAP")</x:f>
        <x:v>GAP</x:v>
      </x:c>
    </x:row>
    <x:row r="151">
      <x:c r="B151" s="21" t="str">
        <x:v>SB-0145</x:v>
      </x:c>
      <x:c r="C151" s="21" t="str">
        <x:v>F31</x:v>
      </x:c>
      <x:c r="D151" s="21" t="n">
        <x:v>1</x:v>
      </x:c>
      <x:c r="E151" s="21" t="str">
        <x:v>Alert authentication</x:v>
      </x:c>
      <x:c r="F151" s="42" t="n">
        <x:v>1.15</x:v>
      </x:c>
      <x:c r="G151" s="42" t="n">
        <x:v>0.04</x:v>
      </x:c>
      <x:c r="H151" s="42" t="n">
        <x:v>0.0195</x:v>
      </x:c>
      <x:c r="I151" s="42" t="n">
        <x:f>SUM(F151:H151)</x:f>
        <x:v>1.2095</x:v>
      </x:c>
      <x:c r="J151" s="42" t="n">
        <x:f>MAX(0,Assumptions!$C$9-MIN($I$151:$I$162))</x:f>
        <x:v>0.0050000000000001155</x:v>
      </x:c>
      <x:c r="K151" s="42" t="n">
        <x:f>I151+J151</x:f>
        <x:v>1.2145000000000001</x:v>
      </x:c>
      <x:c r="L151" s="21" t="str">
        <x:f>IF(K151&gt;=Assumptions!$C$9,"ADEQUATE","GAP")</x:f>
        <x:v>ADEQUATE</x:v>
      </x:c>
      <x:c r="M151" s="42" t="n">
        <x:f>'Stage Standard'!G7</x:f>
        <x:v>0.7999999999999999</x:v>
      </x:c>
      <x:c r="N151" s="42" t="n">
        <x:f>K151*M151/Assumptions!$C$12</x:f>
        <x:v>0.77728</x:v>
      </x:c>
      <x:c r="O151" s="23" t="str">
        <x:f>IF(N151&gt;=1,"ADEQUATE","GAP")</x:f>
        <x:v>GAP</x:v>
      </x:c>
    </x:row>
    <x:row r="152">
      <x:c r="B152" s="21" t="str">
        <x:v>SB-0146</x:v>
      </x:c>
      <x:c r="C152" s="21" t="str">
        <x:v>F31</x:v>
      </x:c>
      <x:c r="D152" s="21" t="n">
        <x:v>2</x:v>
      </x:c>
      <x:c r="E152" s="21" t="str">
        <x:v>Workforce muster</x:v>
      </x:c>
      <x:c r="F152" s="42" t="n">
        <x:v>0.9700000000000001</x:v>
      </x:c>
      <x:c r="G152" s="42" t="n">
        <x:v>0.18</x:v>
      </x:c>
      <x:c r="H152" s="42" t="n">
        <x:v>0.052000000000000005</x:v>
      </x:c>
      <x:c r="I152" s="42" t="n">
        <x:f>SUM(F152:H152)</x:f>
        <x:v>1.2020000000000002</x:v>
      </x:c>
      <x:c r="J152" s="42" t="n">
        <x:f>MAX(0,Assumptions!$C$9-MIN($I$151:$I$162))</x:f>
        <x:v>0.0050000000000001155</x:v>
      </x:c>
      <x:c r="K152" s="42" t="n">
        <x:f>I152+J152</x:f>
        <x:v>1.2070000000000003</x:v>
      </x:c>
      <x:c r="L152" s="21" t="str">
        <x:f>IF(K152&gt;=Assumptions!$C$9,"ADEQUATE","GAP")</x:f>
        <x:v>ADEQUATE</x:v>
      </x:c>
      <x:c r="M152" s="42" t="n">
        <x:f>'Stage Standard'!G8</x:f>
        <x:v>0.8125</x:v>
      </x:c>
      <x:c r="N152" s="42" t="n">
        <x:f>K152*M152/Assumptions!$C$12</x:f>
        <x:v>0.7845500000000002</x:v>
      </x:c>
      <x:c r="O152" s="23" t="str">
        <x:f>IF(N152&gt;=1,"ADEQUATE","GAP")</x:f>
        <x:v>GAP</x:v>
      </x:c>
    </x:row>
    <x:row r="153">
      <x:c r="B153" s="21" t="str">
        <x:v>SB-0147</x:v>
      </x:c>
      <x:c r="C153" s="21" t="str">
        <x:v>F31</x:v>
      </x:c>
      <x:c r="D153" s="21" t="n">
        <x:v>3</x:v>
      </x:c>
      <x:c r="E153" s="21" t="str">
        <x:v>Facility utility and safe start</x:v>
      </x:c>
      <x:c r="F153" s="42" t="n">
        <x:v>0.98</x:v>
      </x:c>
      <x:c r="G153" s="42" t="n">
        <x:v>0.1</x:v>
      </x:c>
      <x:c r="H153" s="42" t="n">
        <x:v>0.039</x:v>
      </x:c>
      <x:c r="I153" s="42" t="n">
        <x:f>SUM(F153:H153)</x:f>
        <x:v>1.119</x:v>
      </x:c>
      <x:c r="J153" s="42" t="n">
        <x:f>MAX(0,Assumptions!$C$9-MIN($I$151:$I$162))</x:f>
        <x:v>0.0050000000000001155</x:v>
      </x:c>
      <x:c r="K153" s="42" t="n">
        <x:f>I153+J153</x:f>
        <x:v>1.124</x:v>
      </x:c>
      <x:c r="L153" s="21" t="str">
        <x:f>IF(K153&gt;=Assumptions!$C$9,"ADEQUATE","GAP")</x:f>
        <x:v>ADEQUATE</x:v>
      </x:c>
      <x:c r="M153" s="42" t="n">
        <x:f>'Stage Standard'!G9</x:f>
        <x:v>0.7857142857142858</x:v>
      </x:c>
      <x:c r="N153" s="42" t="n">
        <x:f>K153*M153/Assumptions!$C$12</x:f>
        <x:v>0.7065142857142859</x:v>
      </x:c>
      <x:c r="O153" s="23" t="str">
        <x:f>IF(N153&gt;=1,"ADEQUATE","GAP")</x:f>
        <x:v>GAP</x:v>
      </x:c>
    </x:row>
    <x:row r="154">
      <x:c r="B154" s="21" t="str">
        <x:v>SB-0148</x:v>
      </x:c>
      <x:c r="C154" s="21" t="str">
        <x:v>F31</x:v>
      </x:c>
      <x:c r="D154" s="21" t="n">
        <x:v>4</x:v>
      </x:c>
      <x:c r="E154" s="21" t="str">
        <x:v>Material tooling and instrument release</x:v>
      </x:c>
      <x:c r="F154" s="42" t="n">
        <x:v>1</x:v>
      </x:c>
      <x:c r="G154" s="42" t="n">
        <x:v>0.08</x:v>
      </x:c>
      <x:c r="H154" s="42" t="n">
        <x:v>0.065</x:v>
      </x:c>
      <x:c r="I154" s="42" t="n">
        <x:f>SUM(F154:H154)</x:f>
        <x:v>1.145</x:v>
      </x:c>
      <x:c r="J154" s="42" t="n">
        <x:f>MAX(0,Assumptions!$C$9-MIN($I$151:$I$162))</x:f>
        <x:v>0.0050000000000001155</x:v>
      </x:c>
      <x:c r="K154" s="42" t="n">
        <x:f>I154+J154</x:f>
        <x:v>1.1500000000000001</x:v>
      </x:c>
      <x:c r="L154" s="21" t="str">
        <x:f>IF(K154&gt;=Assumptions!$C$9,"ADEQUATE","GAP")</x:f>
        <x:v>ADEQUATE</x:v>
      </x:c>
      <x:c r="M154" s="42" t="n">
        <x:f>'Stage Standard'!G10</x:f>
        <x:v>0.7333333333333334</x:v>
      </x:c>
      <x:c r="N154" s="42" t="n">
        <x:f>K154*M154/Assumptions!$C$12</x:f>
        <x:v>0.6746666666666667</x:v>
      </x:c>
      <x:c r="O154" s="23" t="str">
        <x:f>IF(N154&gt;=1,"ADEQUATE","GAP")</x:f>
        <x:v>GAP</x:v>
      </x:c>
    </x:row>
    <x:row r="155">
      <x:c r="B155" s="21" t="str">
        <x:v>SB-0149</x:v>
      </x:c>
      <x:c r="C155" s="21" t="str">
        <x:v>F31</x:v>
      </x:c>
      <x:c r="D155" s="21" t="n">
        <x:v>5</x:v>
      </x:c>
      <x:c r="E155" s="21" t="str">
        <x:v>Supplier and process activation</x:v>
      </x:c>
      <x:c r="F155" s="42" t="n">
        <x:v>0.95</x:v>
      </x:c>
      <x:c r="G155" s="42" t="n">
        <x:v>0.08</x:v>
      </x:c>
      <x:c r="H155" s="42" t="n">
        <x:v>0.065</x:v>
      </x:c>
      <x:c r="I155" s="42" t="n">
        <x:f>SUM(F155:H155)</x:f>
        <x:v>1.095</x:v>
      </x:c>
      <x:c r="J155" s="42" t="n">
        <x:f>MAX(0,Assumptions!$C$9-MIN($I$151:$I$162))</x:f>
        <x:v>0.0050000000000001155</x:v>
      </x:c>
      <x:c r="K155" s="42" t="n">
        <x:f>I155+J155</x:f>
        <x:v>1.1</x:v>
      </x:c>
      <x:c r="L155" s="21" t="str">
        <x:f>IF(K155&gt;=Assumptions!$C$9,"ADEQUATE","GAP")</x:f>
        <x:v>ADEQUATE</x:v>
      </x:c>
      <x:c r="M155" s="42" t="n">
        <x:f>'Stage Standard'!G11</x:f>
        <x:v>0.7142857142857143</x:v>
      </x:c>
      <x:c r="N155" s="42" t="n">
        <x:f>K155*M155/Assumptions!$C$12</x:f>
        <x:v>0.6285714285714287</x:v>
      </x:c>
      <x:c r="O155" s="23" t="str">
        <x:f>IF(N155&gt;=1,"ADEQUATE","GAP")</x:f>
        <x:v>GAP</x:v>
      </x:c>
    </x:row>
    <x:row r="156">
      <x:c r="B156" s="21" t="str">
        <x:v>SB-0150</x:v>
      </x:c>
      <x:c r="C156" s="21" t="str">
        <x:v>F31</x:v>
      </x:c>
      <x:c r="D156" s="21" t="n">
        <x:v>6</x:v>
      </x:c>
      <x:c r="E156" s="21" t="str">
        <x:v>Conforming production</x:v>
      </x:c>
      <x:c r="F156" s="42" t="n">
        <x:v>0.96</x:v>
      </x:c>
      <x:c r="G156" s="42" t="n">
        <x:v>0.1</x:v>
      </x:c>
      <x:c r="H156" s="42" t="n">
        <x:v>0.065</x:v>
      </x:c>
      <x:c r="I156" s="42" t="n">
        <x:f>SUM(F156:H156)</x:f>
        <x:v>1.125</x:v>
      </x:c>
      <x:c r="J156" s="42" t="n">
        <x:f>MAX(0,Assumptions!$C$9-MIN($I$151:$I$162))</x:f>
        <x:v>0.0050000000000001155</x:v>
      </x:c>
      <x:c r="K156" s="42" t="n">
        <x:f>I156+J156</x:f>
        <x:v>1.1300000000000001</x:v>
      </x:c>
      <x:c r="L156" s="21" t="str">
        <x:f>IF(K156&gt;=Assumptions!$C$9,"ADEQUATE","GAP")</x:f>
        <x:v>ADEQUATE</x:v>
      </x:c>
      <x:c r="M156" s="42" t="n">
        <x:f>'Stage Standard'!G12</x:f>
        <x:v>0.7142857142857143</x:v>
      </x:c>
      <x:c r="N156" s="42" t="n">
        <x:f>K156*M156/Assumptions!$C$12</x:f>
        <x:v>0.6457142857142858</x:v>
      </x:c>
      <x:c r="O156" s="23" t="str">
        <x:f>IF(N156&gt;=1,"ADEQUATE","GAP")</x:f>
        <x:v>GAP</x:v>
      </x:c>
    </x:row>
    <x:row r="157">
      <x:c r="B157" s="21" t="str">
        <x:v>SB-0151</x:v>
      </x:c>
      <x:c r="C157" s="21" t="str">
        <x:v>F31</x:v>
      </x:c>
      <x:c r="D157" s="21" t="n">
        <x:v>7</x:v>
      </x:c>
      <x:c r="E157" s="21" t="str">
        <x:v>Independent acceptance</x:v>
      </x:c>
      <x:c r="F157" s="42" t="n">
        <x:v>1.05</x:v>
      </x:c>
      <x:c r="G157" s="42" t="n">
        <x:v>0.06</x:v>
      </x:c>
      <x:c r="H157" s="42" t="n">
        <x:v>0.039</x:v>
      </x:c>
      <x:c r="I157" s="42" t="n">
        <x:f>SUM(F157:H157)</x:f>
        <x:v>1.149</x:v>
      </x:c>
      <x:c r="J157" s="42" t="n">
        <x:f>MAX(0,Assumptions!$C$9-MIN($I$151:$I$162))</x:f>
        <x:v>0.0050000000000001155</x:v>
      </x:c>
      <x:c r="K157" s="42" t="n">
        <x:f>I157+J157</x:f>
        <x:v>1.1540000000000001</x:v>
      </x:c>
      <x:c r="L157" s="21" t="str">
        <x:f>IF(K157&gt;=Assumptions!$C$9,"ADEQUATE","GAP")</x:f>
        <x:v>ADEQUATE</x:v>
      </x:c>
      <x:c r="M157" s="42" t="n">
        <x:f>'Stage Standard'!G13</x:f>
        <x:v>0.8125</x:v>
      </x:c>
      <x:c r="N157" s="42" t="n">
        <x:f>K157*M157/Assumptions!$C$12</x:f>
        <x:v>0.7501000000000001</x:v>
      </x:c>
      <x:c r="O157" s="23" t="str">
        <x:f>IF(N157&gt;=1,"ADEQUATE","GAP")</x:f>
        <x:v>GAP</x:v>
      </x:c>
    </x:row>
    <x:row r="158">
      <x:c r="B158" s="21" t="str">
        <x:v>SB-0152</x:v>
      </x:c>
      <x:c r="C158" s="21" t="str">
        <x:v>F31</x:v>
      </x:c>
      <x:c r="D158" s="21" t="n">
        <x:v>8</x:v>
      </x:c>
      <x:c r="E158" s="21" t="str">
        <x:v>Loadout and custody transfer</x:v>
      </x:c>
      <x:c r="F158" s="42" t="n">
        <x:v>0.96</x:v>
      </x:c>
      <x:c r="G158" s="42" t="n">
        <x:v>0.18</x:v>
      </x:c>
      <x:c r="H158" s="42" t="n">
        <x:v>0.14300000000000002</x:v>
      </x:c>
      <x:c r="I158" s="42" t="n">
        <x:f>SUM(F158:H158)</x:f>
        <x:v>1.283</x:v>
      </x:c>
      <x:c r="J158" s="42" t="n">
        <x:f>MAX(0,Assumptions!$C$9-MIN($I$151:$I$162))</x:f>
        <x:v>0.0050000000000001155</x:v>
      </x:c>
      <x:c r="K158" s="42" t="n">
        <x:f>I158+J158</x:f>
        <x:v>1.288</x:v>
      </x:c>
      <x:c r="L158" s="21" t="str">
        <x:f>IF(K158&gt;=Assumptions!$C$9,"ADEQUATE","GAP")</x:f>
        <x:v>ADEQUATE</x:v>
      </x:c>
      <x:c r="M158" s="42" t="n">
        <x:f>'Stage Standard'!G14</x:f>
        <x:v>0.7692307692307692</x:v>
      </x:c>
      <x:c r="N158" s="42" t="n">
        <x:f>K158*M158/Assumptions!$C$12</x:f>
        <x:v>0.7926153846153846</x:v>
      </x:c>
      <x:c r="O158" s="23" t="str">
        <x:f>IF(N158&gt;=1,"ADEQUATE","GAP")</x:f>
        <x:v>GAP</x:v>
      </x:c>
    </x:row>
    <x:row r="159">
      <x:c r="B159" s="21" t="str">
        <x:v>SB-0153</x:v>
      </x:c>
      <x:c r="C159" s="21" t="str">
        <x:v>F31</x:v>
      </x:c>
      <x:c r="D159" s="21" t="n">
        <x:v>9</x:v>
      </x:c>
      <x:c r="E159" s="21" t="str">
        <x:v>Strategic transport</x:v>
      </x:c>
      <x:c r="F159" s="42" t="n">
        <x:v>0.9025</x:v>
      </x:c>
      <x:c r="G159" s="42" t="n">
        <x:v>0.18</x:v>
      </x:c>
      <x:c r="H159" s="42" t="n">
        <x:v>0.1625</x:v>
      </x:c>
      <x:c r="I159" s="42" t="n">
        <x:f>SUM(F159:H159)</x:f>
        <x:v>1.245</x:v>
      </x:c>
      <x:c r="J159" s="42" t="n">
        <x:f>MAX(0,Assumptions!$C$9-MIN($I$151:$I$162))</x:f>
        <x:v>0.0050000000000001155</x:v>
      </x:c>
      <x:c r="K159" s="42" t="n">
        <x:f>I159+J159</x:f>
        <x:v>1.2500000000000002</x:v>
      </x:c>
      <x:c r="L159" s="21" t="str">
        <x:f>IF(K159&gt;=Assumptions!$C$9,"ADEQUATE","GAP")</x:f>
        <x:v>ADEQUATE</x:v>
      </x:c>
      <x:c r="M159" s="42" t="n">
        <x:f>'Stage Standard'!G15</x:f>
        <x:v>0.7692307692307692</x:v>
      </x:c>
      <x:c r="N159" s="42" t="n">
        <x:f>K159*M159/Assumptions!$C$12</x:f>
        <x:v>0.7692307692307694</x:v>
      </x:c>
      <x:c r="O159" s="23" t="str">
        <x:f>IF(N159&gt;=1,"ADEQUATE","GAP")</x:f>
        <x:v>GAP</x:v>
      </x:c>
    </x:row>
    <x:row r="160">
      <x:c r="B160" s="21" t="str">
        <x:v>SB-0154</x:v>
      </x:c>
      <x:c r="C160" s="21" t="str">
        <x:v>F31</x:v>
      </x:c>
      <x:c r="D160" s="21" t="n">
        <x:v>10</x:v>
      </x:c>
      <x:c r="E160" s="21" t="str">
        <x:v>Receiving-node admission</x:v>
      </x:c>
      <x:c r="F160" s="42" t="n">
        <x:v>1</x:v>
      </x:c>
      <x:c r="G160" s="42" t="n">
        <x:v>0.18</x:v>
      </x:c>
      <x:c r="H160" s="42" t="n">
        <x:v>0.078</x:v>
      </x:c>
      <x:c r="I160" s="42" t="n">
        <x:f>SUM(F160:H160)</x:f>
        <x:v>1.258</x:v>
      </x:c>
      <x:c r="J160" s="42" t="n">
        <x:f>MAX(0,Assumptions!$C$9-MIN($I$151:$I$162))</x:f>
        <x:v>0.0050000000000001155</x:v>
      </x:c>
      <x:c r="K160" s="42" t="n">
        <x:f>I160+J160</x:f>
        <x:v>1.2630000000000001</x:v>
      </x:c>
      <x:c r="L160" s="21" t="str">
        <x:f>IF(K160&gt;=Assumptions!$C$9,"ADEQUATE","GAP")</x:f>
        <x:v>ADEQUATE</x:v>
      </x:c>
      <x:c r="M160" s="42" t="n">
        <x:f>'Stage Standard'!G16</x:f>
        <x:v>0.7999999999999999</x:v>
      </x:c>
      <x:c r="N160" s="42" t="n">
        <x:f>K160*M160/Assumptions!$C$12</x:f>
        <x:v>0.8083199999999999</x:v>
      </x:c>
      <x:c r="O160" s="23" t="str">
        <x:f>IF(N160&gt;=1,"ADEQUATE","GAP")</x:f>
        <x:v>GAP</x:v>
      </x:c>
    </x:row>
    <x:row r="161">
      <x:c r="B161" s="21" t="str">
        <x:v>SB-0155</x:v>
      </x:c>
      <x:c r="C161" s="21" t="str">
        <x:v>F31</x:v>
      </x:c>
      <x:c r="D161" s="21" t="n">
        <x:v>11</x:v>
      </x:c>
      <x:c r="E161" s="21" t="str">
        <x:v>Commissioned public service</x:v>
      </x:c>
      <x:c r="F161" s="42" t="n">
        <x:v>0.98</x:v>
      </x:c>
      <x:c r="G161" s="42" t="n">
        <x:v>0.16</x:v>
      </x:c>
      <x:c r="H161" s="42" t="n">
        <x:v>0.065</x:v>
      </x:c>
      <x:c r="I161" s="42" t="n">
        <x:f>SUM(F161:H161)</x:f>
        <x:v>1.2049999999999998</x:v>
      </x:c>
      <x:c r="J161" s="42" t="n">
        <x:f>MAX(0,Assumptions!$C$9-MIN($I$151:$I$162))</x:f>
        <x:v>0.0050000000000001155</x:v>
      </x:c>
      <x:c r="K161" s="42" t="n">
        <x:f>I161+J161</x:f>
        <x:v>1.21</x:v>
      </x:c>
      <x:c r="L161" s="21" t="str">
        <x:f>IF(K161&gt;=Assumptions!$C$9,"ADEQUATE","GAP")</x:f>
        <x:v>ADEQUATE</x:v>
      </x:c>
      <x:c r="M161" s="42" t="n">
        <x:f>'Stage Standard'!G17</x:f>
        <x:v>0.7857142857142858</x:v>
      </x:c>
      <x:c r="N161" s="42" t="n">
        <x:f>K161*M161/Assumptions!$C$12</x:f>
        <x:v>0.7605714285714287</x:v>
      </x:c>
      <x:c r="O161" s="23" t="str">
        <x:f>IF(N161&gt;=1,"ADEQUATE","GAP")</x:f>
        <x:v>GAP</x:v>
      </x:c>
    </x:row>
    <x:row r="162">
      <x:c r="B162" s="21" t="str">
        <x:v>SB-0156</x:v>
      </x:c>
      <x:c r="C162" s="21" t="str">
        <x:v>F31</x:v>
      </x:c>
      <x:c r="D162" s="21" t="n">
        <x:v>12</x:v>
      </x:c>
      <x:c r="E162" s="21" t="str">
        <x:v>Regeneration and replacement</x:v>
      </x:c>
      <x:c r="F162" s="42" t="n">
        <x:v>0.9</x:v>
      </x:c>
      <x:c r="G162" s="42" t="n">
        <x:v>0.22</x:v>
      </x:c>
      <x:c r="H162" s="42" t="n">
        <x:v>0.0975</x:v>
      </x:c>
      <x:c r="I162" s="42" t="n">
        <x:f>SUM(F162:H162)</x:f>
        <x:v>1.2175</x:v>
      </x:c>
      <x:c r="J162" s="42" t="n">
        <x:f>MAX(0,Assumptions!$C$9-MIN($I$151:$I$162))</x:f>
        <x:v>0.0050000000000001155</x:v>
      </x:c>
      <x:c r="K162" s="42" t="n">
        <x:f>I162+J162</x:f>
        <x:v>1.2225000000000001</x:v>
      </x:c>
      <x:c r="L162" s="21" t="str">
        <x:f>IF(K162&gt;=Assumptions!$C$9,"ADEQUATE","GAP")</x:f>
        <x:v>ADEQUATE</x:v>
      </x:c>
      <x:c r="M162" s="42" t="n">
        <x:f>'Stage Standard'!G18</x:f>
        <x:v>0.7142857142857143</x:v>
      </x:c>
      <x:c r="N162" s="42" t="n">
        <x:f>K162*M162/Assumptions!$C$12</x:f>
        <x:v>0.6985714285714286</x:v>
      </x:c>
      <x:c r="O162" s="23" t="str">
        <x:f>IF(N162&gt;=1,"ADEQUATE","GAP")</x:f>
        <x:v>GAP</x:v>
      </x:c>
    </x:row>
    <x:row r="163">
      <x:c r="B163" s="21" t="str">
        <x:v>SB-0157</x:v>
      </x:c>
      <x:c r="C163" s="21" t="str">
        <x:v>F32</x:v>
      </x:c>
      <x:c r="D163" s="21" t="n">
        <x:v>1</x:v>
      </x:c>
      <x:c r="E163" s="21" t="str">
        <x:v>Alert authentication</x:v>
      </x:c>
      <x:c r="F163" s="42" t="n">
        <x:v>1.05</x:v>
      </x:c>
      <x:c r="G163" s="42" t="n">
        <x:v>0</x:v>
      </x:c>
      <x:c r="H163" s="42" t="n">
        <x:v>0</x:v>
      </x:c>
      <x:c r="I163" s="42" t="n">
        <x:f>SUM(F163:H163)</x:f>
        <x:v>1.05</x:v>
      </x:c>
      <x:c r="J163" s="42" t="n">
        <x:f>MAX(0,Assumptions!$C$9-MIN($I$163:$I$174))</x:f>
        <x:v>0.14200000000000013</x:v>
      </x:c>
      <x:c r="K163" s="42" t="n">
        <x:f>I163+J163</x:f>
        <x:v>1.1920000000000002</x:v>
      </x:c>
      <x:c r="L163" s="21" t="str">
        <x:f>IF(K163&gt;=Assumptions!$C$9,"ADEQUATE","GAP")</x:f>
        <x:v>ADEQUATE</x:v>
      </x:c>
      <x:c r="M163" s="42" t="n">
        <x:f>'Stage Standard'!G7</x:f>
        <x:v>0.7999999999999999</x:v>
      </x:c>
      <x:c r="N163" s="42" t="n">
        <x:f>K163*M163/Assumptions!$C$12</x:f>
        <x:v>0.76288</x:v>
      </x:c>
      <x:c r="O163" s="23" t="str">
        <x:f>IF(N163&gt;=1,"ADEQUATE","GAP")</x:f>
        <x:v>GAP</x:v>
      </x:c>
    </x:row>
    <x:row r="164">
      <x:c r="B164" s="21" t="str">
        <x:v>SB-0158</x:v>
      </x:c>
      <x:c r="C164" s="21" t="str">
        <x:v>F32</x:v>
      </x:c>
      <x:c r="D164" s="21" t="n">
        <x:v>2</x:v>
      </x:c>
      <x:c r="E164" s="21" t="str">
        <x:v>Workforce muster</x:v>
      </x:c>
      <x:c r="F164" s="42" t="n">
        <x:v>0.92</x:v>
      </x:c>
      <x:c r="G164" s="42" t="n">
        <x:v>0.04</x:v>
      </x:c>
      <x:c r="H164" s="42" t="n">
        <x:v>0.0325</x:v>
      </x:c>
      <x:c r="I164" s="42" t="n">
        <x:f>SUM(F164:H164)</x:f>
        <x:v>0.9925</x:v>
      </x:c>
      <x:c r="J164" s="42" t="n">
        <x:f>MAX(0,Assumptions!$C$9-MIN($I$163:$I$174))</x:f>
        <x:v>0.14200000000000013</x:v>
      </x:c>
      <x:c r="K164" s="42" t="n">
        <x:f>I164+J164</x:f>
        <x:v>1.1345</x:v>
      </x:c>
      <x:c r="L164" s="21" t="str">
        <x:f>IF(K164&gt;=Assumptions!$C$9,"ADEQUATE","GAP")</x:f>
        <x:v>ADEQUATE</x:v>
      </x:c>
      <x:c r="M164" s="42" t="n">
        <x:f>'Stage Standard'!G8</x:f>
        <x:v>0.8125</x:v>
      </x:c>
      <x:c r="N164" s="42" t="n">
        <x:f>K164*M164/Assumptions!$C$12</x:f>
        <x:v>0.737425</x:v>
      </x:c>
      <x:c r="O164" s="23" t="str">
        <x:f>IF(N164&gt;=1,"ADEQUATE","GAP")</x:f>
        <x:v>GAP</x:v>
      </x:c>
    </x:row>
    <x:row r="165">
      <x:c r="B165" s="21" t="str">
        <x:v>SB-0159</x:v>
      </x:c>
      <x:c r="C165" s="21" t="str">
        <x:v>F32</x:v>
      </x:c>
      <x:c r="D165" s="21" t="n">
        <x:v>3</x:v>
      </x:c>
      <x:c r="E165" s="21" t="str">
        <x:v>Facility utility and safe start</x:v>
      </x:c>
      <x:c r="F165" s="42" t="n">
        <x:v>0.88</x:v>
      </x:c>
      <x:c r="G165" s="42" t="n">
        <x:v>0.05</x:v>
      </x:c>
      <x:c r="H165" s="42" t="n">
        <x:v>0.052000000000000005</x:v>
      </x:c>
      <x:c r="I165" s="42" t="n">
        <x:f>SUM(F165:H165)</x:f>
        <x:v>0.9820000000000001</x:v>
      </x:c>
      <x:c r="J165" s="42" t="n">
        <x:f>MAX(0,Assumptions!$C$9-MIN($I$163:$I$174))</x:f>
        <x:v>0.14200000000000013</x:v>
      </x:c>
      <x:c r="K165" s="42" t="n">
        <x:f>I165+J165</x:f>
        <x:v>1.124</x:v>
      </x:c>
      <x:c r="L165" s="21" t="str">
        <x:f>IF(K165&gt;=Assumptions!$C$9,"ADEQUATE","GAP")</x:f>
        <x:v>ADEQUATE</x:v>
      </x:c>
      <x:c r="M165" s="42" t="n">
        <x:f>'Stage Standard'!G9</x:f>
        <x:v>0.7857142857142858</x:v>
      </x:c>
      <x:c r="N165" s="42" t="n">
        <x:f>K165*M165/Assumptions!$C$12</x:f>
        <x:v>0.7065142857142859</x:v>
      </x:c>
      <x:c r="O165" s="23" t="str">
        <x:f>IF(N165&gt;=1,"ADEQUATE","GAP")</x:f>
        <x:v>GAP</x:v>
      </x:c>
    </x:row>
    <x:row r="166">
      <x:c r="B166" s="21" t="str">
        <x:v>SB-0160</x:v>
      </x:c>
      <x:c r="C166" s="21" t="str">
        <x:v>F32</x:v>
      </x:c>
      <x:c r="D166" s="21" t="n">
        <x:v>4</x:v>
      </x:c>
      <x:c r="E166" s="21" t="str">
        <x:v>Material tooling and instrument release</x:v>
      </x:c>
      <x:c r="F166" s="42" t="n">
        <x:v>0.86</x:v>
      </x:c>
      <x:c r="G166" s="42" t="n">
        <x:v>0.08</x:v>
      </x:c>
      <x:c r="H166" s="42" t="n">
        <x:v>0.13</x:v>
      </x:c>
      <x:c r="I166" s="42" t="n">
        <x:f>SUM(F166:H166)</x:f>
        <x:v>1.0699999999999998</x:v>
      </x:c>
      <x:c r="J166" s="42" t="n">
        <x:f>MAX(0,Assumptions!$C$9-MIN($I$163:$I$174))</x:f>
        <x:v>0.14200000000000013</x:v>
      </x:c>
      <x:c r="K166" s="42" t="n">
        <x:f>I166+J166</x:f>
        <x:v>1.212</x:v>
      </x:c>
      <x:c r="L166" s="21" t="str">
        <x:f>IF(K166&gt;=Assumptions!$C$9,"ADEQUATE","GAP")</x:f>
        <x:v>ADEQUATE</x:v>
      </x:c>
      <x:c r="M166" s="42" t="n">
        <x:f>'Stage Standard'!G10</x:f>
        <x:v>0.7333333333333334</x:v>
      </x:c>
      <x:c r="N166" s="42" t="n">
        <x:f>K166*M166/Assumptions!$C$12</x:f>
        <x:v>0.71104</x:v>
      </x:c>
      <x:c r="O166" s="23" t="str">
        <x:f>IF(N166&gt;=1,"ADEQUATE","GAP")</x:f>
        <x:v>GAP</x:v>
      </x:c>
    </x:row>
    <x:row r="167">
      <x:c r="B167" s="21" t="str">
        <x:v>SB-0161</x:v>
      </x:c>
      <x:c r="C167" s="21" t="str">
        <x:v>F32</x:v>
      </x:c>
      <x:c r="D167" s="21" t="n">
        <x:v>5</x:v>
      </x:c>
      <x:c r="E167" s="21" t="str">
        <x:v>Supplier and process activation</x:v>
      </x:c>
      <x:c r="F167" s="42" t="n">
        <x:v>0.84</x:v>
      </x:c>
      <x:c r="G167" s="42" t="n">
        <x:v>0.06</x:v>
      </x:c>
      <x:c r="H167" s="42" t="n">
        <x:v>0.10400000000000001</x:v>
      </x:c>
      <x:c r="I167" s="42" t="n">
        <x:f>SUM(F167:H167)</x:f>
        <x:v>1.004</x:v>
      </x:c>
      <x:c r="J167" s="42" t="n">
        <x:f>MAX(0,Assumptions!$C$9-MIN($I$163:$I$174))</x:f>
        <x:v>0.14200000000000013</x:v>
      </x:c>
      <x:c r="K167" s="42" t="n">
        <x:f>I167+J167</x:f>
        <x:v>1.1460000000000001</x:v>
      </x:c>
      <x:c r="L167" s="21" t="str">
        <x:f>IF(K167&gt;=Assumptions!$C$9,"ADEQUATE","GAP")</x:f>
        <x:v>ADEQUATE</x:v>
      </x:c>
      <x:c r="M167" s="42" t="n">
        <x:f>'Stage Standard'!G11</x:f>
        <x:v>0.7142857142857143</x:v>
      </x:c>
      <x:c r="N167" s="42" t="n">
        <x:f>K167*M167/Assumptions!$C$12</x:f>
        <x:v>0.654857142857143</x:v>
      </x:c>
      <x:c r="O167" s="23" t="str">
        <x:f>IF(N167&gt;=1,"ADEQUATE","GAP")</x:f>
        <x:v>GAP</x:v>
      </x:c>
    </x:row>
    <x:row r="168">
      <x:c r="B168" s="21" t="str">
        <x:v>SB-0162</x:v>
      </x:c>
      <x:c r="C168" s="21" t="str">
        <x:v>F32</x:v>
      </x:c>
      <x:c r="D168" s="21" t="n">
        <x:v>6</x:v>
      </x:c>
      <x:c r="E168" s="21" t="str">
        <x:v>Conforming production</x:v>
      </x:c>
      <x:c r="F168" s="42" t="n">
        <x:v>0.86</x:v>
      </x:c>
      <x:c r="G168" s="42" t="n">
        <x:v>0.08</x:v>
      </x:c>
      <x:c r="H168" s="42" t="n">
        <x:v>0.09100000000000001</x:v>
      </x:c>
      <x:c r="I168" s="42" t="n">
        <x:f>SUM(F168:H168)</x:f>
        <x:v>1.031</x:v>
      </x:c>
      <x:c r="J168" s="42" t="n">
        <x:f>MAX(0,Assumptions!$C$9-MIN($I$163:$I$174))</x:f>
        <x:v>0.14200000000000013</x:v>
      </x:c>
      <x:c r="K168" s="42" t="n">
        <x:f>I168+J168</x:f>
        <x:v>1.173</x:v>
      </x:c>
      <x:c r="L168" s="21" t="str">
        <x:f>IF(K168&gt;=Assumptions!$C$9,"ADEQUATE","GAP")</x:f>
        <x:v>ADEQUATE</x:v>
      </x:c>
      <x:c r="M168" s="42" t="n">
        <x:f>'Stage Standard'!G12</x:f>
        <x:v>0.7142857142857143</x:v>
      </x:c>
      <x:c r="N168" s="42" t="n">
        <x:f>K168*M168/Assumptions!$C$12</x:f>
        <x:v>0.6702857142857143</x:v>
      </x:c>
      <x:c r="O168" s="23" t="str">
        <x:f>IF(N168&gt;=1,"ADEQUATE","GAP")</x:f>
        <x:v>GAP</x:v>
      </x:c>
    </x:row>
    <x:row r="169">
      <x:c r="B169" s="21" t="str">
        <x:v>SB-0163</x:v>
      </x:c>
      <x:c r="C169" s="21" t="str">
        <x:v>F32</x:v>
      </x:c>
      <x:c r="D169" s="21" t="n">
        <x:v>7</x:v>
      </x:c>
      <x:c r="E169" s="21" t="str">
        <x:v>Independent acceptance</x:v>
      </x:c>
      <x:c r="F169" s="42" t="n">
        <x:v>0.98</x:v>
      </x:c>
      <x:c r="G169" s="42" t="n">
        <x:v>0.06</x:v>
      </x:c>
      <x:c r="H169" s="42" t="n">
        <x:v>0.14300000000000002</x:v>
      </x:c>
      <x:c r="I169" s="42" t="n">
        <x:f>SUM(F169:H169)</x:f>
        <x:v>1.183</x:v>
      </x:c>
      <x:c r="J169" s="42" t="n">
        <x:f>MAX(0,Assumptions!$C$9-MIN($I$163:$I$174))</x:f>
        <x:v>0.14200000000000013</x:v>
      </x:c>
      <x:c r="K169" s="42" t="n">
        <x:f>I169+J169</x:f>
        <x:v>1.3250000000000002</x:v>
      </x:c>
      <x:c r="L169" s="21" t="str">
        <x:f>IF(K169&gt;=Assumptions!$C$9,"ADEQUATE","GAP")</x:f>
        <x:v>ADEQUATE</x:v>
      </x:c>
      <x:c r="M169" s="42" t="n">
        <x:f>'Stage Standard'!G13</x:f>
        <x:v>0.8125</x:v>
      </x:c>
      <x:c r="N169" s="42" t="n">
        <x:f>K169*M169/Assumptions!$C$12</x:f>
        <x:v>0.8612500000000001</x:v>
      </x:c>
      <x:c r="O169" s="23" t="str">
        <x:f>IF(N169&gt;=1,"ADEQUATE","GAP")</x:f>
        <x:v>GAP</x:v>
      </x:c>
    </x:row>
    <x:row r="170">
      <x:c r="B170" s="21" t="str">
        <x:v>SB-0164</x:v>
      </x:c>
      <x:c r="C170" s="21" t="str">
        <x:v>F32</x:v>
      </x:c>
      <x:c r="D170" s="21" t="n">
        <x:v>8</x:v>
      </x:c>
      <x:c r="E170" s="21" t="str">
        <x:v>Loadout and custody transfer</x:v>
      </x:c>
      <x:c r="F170" s="42" t="n">
        <x:v>0.88</x:v>
      </x:c>
      <x:c r="G170" s="42" t="n">
        <x:v>0.2</x:v>
      </x:c>
      <x:c r="H170" s="42" t="n">
        <x:v>0.052000000000000005</x:v>
      </x:c>
      <x:c r="I170" s="42" t="n">
        <x:f>SUM(F170:H170)</x:f>
        <x:v>1.1320000000000001</x:v>
      </x:c>
      <x:c r="J170" s="42" t="n">
        <x:f>MAX(0,Assumptions!$C$9-MIN($I$163:$I$174))</x:f>
        <x:v>0.14200000000000013</x:v>
      </x:c>
      <x:c r="K170" s="42" t="n">
        <x:f>I170+J170</x:f>
        <x:v>1.2740000000000002</x:v>
      </x:c>
      <x:c r="L170" s="21" t="str">
        <x:f>IF(K170&gt;=Assumptions!$C$9,"ADEQUATE","GAP")</x:f>
        <x:v>ADEQUATE</x:v>
      </x:c>
      <x:c r="M170" s="42" t="n">
        <x:f>'Stage Standard'!G14</x:f>
        <x:v>0.7692307692307692</x:v>
      </x:c>
      <x:c r="N170" s="42" t="n">
        <x:f>K170*M170/Assumptions!$C$12</x:f>
        <x:v>0.784</x:v>
      </x:c>
      <x:c r="O170" s="23" t="str">
        <x:f>IF(N170&gt;=1,"ADEQUATE","GAP")</x:f>
        <x:v>GAP</x:v>
      </x:c>
    </x:row>
    <x:row r="171">
      <x:c r="B171" s="21" t="str">
        <x:v>SB-0165</x:v>
      </x:c>
      <x:c r="C171" s="21" t="str">
        <x:v>F32</x:v>
      </x:c>
      <x:c r="D171" s="21" t="n">
        <x:v>9</x:v>
      </x:c>
      <x:c r="E171" s="21" t="str">
        <x:v>Strategic transport</x:v>
      </x:c>
      <x:c r="F171" s="42" t="n">
        <x:v>0.765</x:v>
      </x:c>
      <x:c r="G171" s="42" t="n">
        <x:v>0.2</x:v>
      </x:c>
      <x:c r="H171" s="42" t="n">
        <x:v>0.039</x:v>
      </x:c>
      <x:c r="I171" s="42" t="n">
        <x:f>SUM(F171:H171)</x:f>
        <x:v>1.004</x:v>
      </x:c>
      <x:c r="J171" s="42" t="n">
        <x:f>MAX(0,Assumptions!$C$9-MIN($I$163:$I$174))</x:f>
        <x:v>0.14200000000000013</x:v>
      </x:c>
      <x:c r="K171" s="42" t="n">
        <x:f>I171+J171</x:f>
        <x:v>1.1460000000000001</x:v>
      </x:c>
      <x:c r="L171" s="21" t="str">
        <x:f>IF(K171&gt;=Assumptions!$C$9,"ADEQUATE","GAP")</x:f>
        <x:v>ADEQUATE</x:v>
      </x:c>
      <x:c r="M171" s="42" t="n">
        <x:f>'Stage Standard'!G15</x:f>
        <x:v>0.7692307692307692</x:v>
      </x:c>
      <x:c r="N171" s="42" t="n">
        <x:f>K171*M171/Assumptions!$C$12</x:f>
        <x:v>0.7052307692307693</x:v>
      </x:c>
      <x:c r="O171" s="23" t="str">
        <x:f>IF(N171&gt;=1,"ADEQUATE","GAP")</x:f>
        <x:v>GAP</x:v>
      </x:c>
    </x:row>
    <x:row r="172">
      <x:c r="B172" s="21" t="str">
        <x:v>SB-0166</x:v>
      </x:c>
      <x:c r="C172" s="21" t="str">
        <x:v>F32</x:v>
      </x:c>
      <x:c r="D172" s="21" t="n">
        <x:v>10</x:v>
      </x:c>
      <x:c r="E172" s="21" t="str">
        <x:v>Receiving-node admission</x:v>
      </x:c>
      <x:c r="F172" s="42" t="n">
        <x:v>0.9</x:v>
      </x:c>
      <x:c r="G172" s="42" t="n">
        <x:v>0.2</x:v>
      </x:c>
      <x:c r="H172" s="42" t="n">
        <x:v>0.052000000000000005</x:v>
      </x:c>
      <x:c r="I172" s="42" t="n">
        <x:f>SUM(F172:H172)</x:f>
        <x:v>1.1520000000000001</x:v>
      </x:c>
      <x:c r="J172" s="42" t="n">
        <x:f>MAX(0,Assumptions!$C$9-MIN($I$163:$I$174))</x:f>
        <x:v>0.14200000000000013</x:v>
      </x:c>
      <x:c r="K172" s="42" t="n">
        <x:f>I172+J172</x:f>
        <x:v>1.2940000000000003</x:v>
      </x:c>
      <x:c r="L172" s="21" t="str">
        <x:f>IF(K172&gt;=Assumptions!$C$9,"ADEQUATE","GAP")</x:f>
        <x:v>ADEQUATE</x:v>
      </x:c>
      <x:c r="M172" s="42" t="n">
        <x:f>'Stage Standard'!G16</x:f>
        <x:v>0.7999999999999999</x:v>
      </x:c>
      <x:c r="N172" s="42" t="n">
        <x:f>K172*M172/Assumptions!$C$12</x:f>
        <x:v>0.8281600000000001</x:v>
      </x:c>
      <x:c r="O172" s="23" t="str">
        <x:f>IF(N172&gt;=1,"ADEQUATE","GAP")</x:f>
        <x:v>GAP</x:v>
      </x:c>
    </x:row>
    <x:row r="173">
      <x:c r="B173" s="21" t="str">
        <x:v>SB-0167</x:v>
      </x:c>
      <x:c r="C173" s="21" t="str">
        <x:v>F32</x:v>
      </x:c>
      <x:c r="D173" s="21" t="n">
        <x:v>11</x:v>
      </x:c>
      <x:c r="E173" s="21" t="str">
        <x:v>Commissioned public service</x:v>
      </x:c>
      <x:c r="F173" s="42" t="n">
        <x:v>0.88</x:v>
      </x:c>
      <x:c r="G173" s="42" t="n">
        <x:v>0.2</x:v>
      </x:c>
      <x:c r="H173" s="42" t="n">
        <x:v>0.052000000000000005</x:v>
      </x:c>
      <x:c r="I173" s="42" t="n">
        <x:f>SUM(F173:H173)</x:f>
        <x:v>1.1320000000000001</x:v>
      </x:c>
      <x:c r="J173" s="42" t="n">
        <x:f>MAX(0,Assumptions!$C$9-MIN($I$163:$I$174))</x:f>
        <x:v>0.14200000000000013</x:v>
      </x:c>
      <x:c r="K173" s="42" t="n">
        <x:f>I173+J173</x:f>
        <x:v>1.2740000000000002</x:v>
      </x:c>
      <x:c r="L173" s="21" t="str">
        <x:f>IF(K173&gt;=Assumptions!$C$9,"ADEQUATE","GAP")</x:f>
        <x:v>ADEQUATE</x:v>
      </x:c>
      <x:c r="M173" s="42" t="n">
        <x:f>'Stage Standard'!G17</x:f>
        <x:v>0.7857142857142858</x:v>
      </x:c>
      <x:c r="N173" s="42" t="n">
        <x:f>K173*M173/Assumptions!$C$12</x:f>
        <x:v>0.8008000000000003</x:v>
      </x:c>
      <x:c r="O173" s="23" t="str">
        <x:f>IF(N173&gt;=1,"ADEQUATE","GAP")</x:f>
        <x:v>GAP</x:v>
      </x:c>
    </x:row>
    <x:row r="174">
      <x:c r="B174" s="21" t="str">
        <x:v>SB-0168</x:v>
      </x:c>
      <x:c r="C174" s="21" t="str">
        <x:v>F32</x:v>
      </x:c>
      <x:c r="D174" s="21" t="n">
        <x:v>12</x:v>
      </x:c>
      <x:c r="E174" s="21" t="str">
        <x:v>Regeneration and replacement</x:v>
      </x:c>
      <x:c r="F174" s="42" t="n">
        <x:v>0.76</x:v>
      </x:c>
      <x:c r="G174" s="42" t="n">
        <x:v>0.12</x:v>
      </x:c>
      <x:c r="H174" s="42" t="n">
        <x:v>0.078</x:v>
      </x:c>
      <x:c r="I174" s="42" t="n">
        <x:f>SUM(F174:H174)</x:f>
        <x:v>0.958</x:v>
      </x:c>
      <x:c r="J174" s="42" t="n">
        <x:f>MAX(0,Assumptions!$C$9-MIN($I$163:$I$174))</x:f>
        <x:v>0.14200000000000013</x:v>
      </x:c>
      <x:c r="K174" s="42" t="n">
        <x:f>I174+J174</x:f>
        <x:v>1.1</x:v>
      </x:c>
      <x:c r="L174" s="21" t="str">
        <x:f>IF(K174&gt;=Assumptions!$C$9,"ADEQUATE","GAP")</x:f>
        <x:v>ADEQUATE</x:v>
      </x:c>
      <x:c r="M174" s="42" t="n">
        <x:f>'Stage Standard'!G18</x:f>
        <x:v>0.7142857142857143</x:v>
      </x:c>
      <x:c r="N174" s="42" t="n">
        <x:f>K174*M174/Assumptions!$C$12</x:f>
        <x:v>0.6285714285714287</x:v>
      </x:c>
      <x:c r="O174" s="23" t="str">
        <x:f>IF(N174&gt;=1,"ADEQUATE","GAP")</x:f>
        <x:v>GAP</x:v>
      </x:c>
    </x:row>
    <x:row r="175">
      <x:c r="B175" s="21" t="str">
        <x:v>SB-0169</x:v>
      </x:c>
      <x:c r="C175" s="21" t="str">
        <x:v>F33</x:v>
      </x:c>
      <x:c r="D175" s="21" t="n">
        <x:v>1</x:v>
      </x:c>
      <x:c r="E175" s="21" t="str">
        <x:v>Alert authentication</x:v>
      </x:c>
      <x:c r="F175" s="42" t="n">
        <x:v>0.98</x:v>
      </x:c>
      <x:c r="G175" s="42" t="n">
        <x:v>0</x:v>
      </x:c>
      <x:c r="H175" s="42" t="n">
        <x:v>0.0195</x:v>
      </x:c>
      <x:c r="I175" s="42" t="n">
        <x:f>SUM(F175:H175)</x:f>
        <x:v>0.9994999999999999</x:v>
      </x:c>
      <x:c r="J175" s="42" t="n">
        <x:f>MAX(0,Assumptions!$C$9-MIN($I$175:$I$186))</x:f>
        <x:v>0.21500000000000008</x:v>
      </x:c>
      <x:c r="K175" s="42" t="n">
        <x:f>I175+J175</x:f>
        <x:v>1.2145000000000001</x:v>
      </x:c>
      <x:c r="L175" s="21" t="str">
        <x:f>IF(K175&gt;=Assumptions!$C$9,"ADEQUATE","GAP")</x:f>
        <x:v>ADEQUATE</x:v>
      </x:c>
      <x:c r="M175" s="42" t="n">
        <x:f>'Stage Standard'!G7</x:f>
        <x:v>0.7999999999999999</x:v>
      </x:c>
      <x:c r="N175" s="42" t="n">
        <x:f>K175*M175/Assumptions!$C$12</x:f>
        <x:v>0.77728</x:v>
      </x:c>
      <x:c r="O175" s="23" t="str">
        <x:f>IF(N175&gt;=1,"ADEQUATE","GAP")</x:f>
        <x:v>GAP</x:v>
      </x:c>
    </x:row>
    <x:row r="176">
      <x:c r="B176" s="21" t="str">
        <x:v>SB-0170</x:v>
      </x:c>
      <x:c r="C176" s="21" t="str">
        <x:v>F33</x:v>
      </x:c>
      <x:c r="D176" s="21" t="n">
        <x:v>2</x:v>
      </x:c>
      <x:c r="E176" s="21" t="str">
        <x:v>Workforce muster</x:v>
      </x:c>
      <x:c r="F176" s="42" t="n">
        <x:v>0.84</x:v>
      </x:c>
      <x:c r="G176" s="42" t="n">
        <x:v>0.04</x:v>
      </x:c>
      <x:c r="H176" s="42" t="n">
        <x:v>0.052000000000000005</x:v>
      </x:c>
      <x:c r="I176" s="42" t="n">
        <x:f>SUM(F176:H176)</x:f>
        <x:v>0.932</x:v>
      </x:c>
      <x:c r="J176" s="42" t="n">
        <x:f>MAX(0,Assumptions!$C$9-MIN($I$175:$I$186))</x:f>
        <x:v>0.21500000000000008</x:v>
      </x:c>
      <x:c r="K176" s="42" t="n">
        <x:f>I176+J176</x:f>
        <x:v>1.1470000000000002</x:v>
      </x:c>
      <x:c r="L176" s="21" t="str">
        <x:f>IF(K176&gt;=Assumptions!$C$9,"ADEQUATE","GAP")</x:f>
        <x:v>ADEQUATE</x:v>
      </x:c>
      <x:c r="M176" s="42" t="n">
        <x:f>'Stage Standard'!G8</x:f>
        <x:v>0.8125</x:v>
      </x:c>
      <x:c r="N176" s="42" t="n">
        <x:f>K176*M176/Assumptions!$C$12</x:f>
        <x:v>0.7455500000000002</x:v>
      </x:c>
      <x:c r="O176" s="23" t="str">
        <x:f>IF(N176&gt;=1,"ADEQUATE","GAP")</x:f>
        <x:v>GAP</x:v>
      </x:c>
    </x:row>
    <x:row r="177">
      <x:c r="B177" s="21" t="str">
        <x:v>SB-0171</x:v>
      </x:c>
      <x:c r="C177" s="21" t="str">
        <x:v>F33</x:v>
      </x:c>
      <x:c r="D177" s="21" t="n">
        <x:v>3</x:v>
      </x:c>
      <x:c r="E177" s="21" t="str">
        <x:v>Facility utility and safe start</x:v>
      </x:c>
      <x:c r="F177" s="42" t="n">
        <x:v>0.8</x:v>
      </x:c>
      <x:c r="G177" s="42" t="n">
        <x:v>0.05</x:v>
      </x:c>
      <x:c r="H177" s="42" t="n">
        <x:v>0.039</x:v>
      </x:c>
      <x:c r="I177" s="42" t="n">
        <x:f>SUM(F177:H177)</x:f>
        <x:v>0.8890000000000001</x:v>
      </x:c>
      <x:c r="J177" s="42" t="n">
        <x:f>MAX(0,Assumptions!$C$9-MIN($I$175:$I$186))</x:f>
        <x:v>0.21500000000000008</x:v>
      </x:c>
      <x:c r="K177" s="42" t="n">
        <x:f>I177+J177</x:f>
        <x:v>1.104</x:v>
      </x:c>
      <x:c r="L177" s="21" t="str">
        <x:f>IF(K177&gt;=Assumptions!$C$9,"ADEQUATE","GAP")</x:f>
        <x:v>ADEQUATE</x:v>
      </x:c>
      <x:c r="M177" s="42" t="n">
        <x:f>'Stage Standard'!G9</x:f>
        <x:v>0.7857142857142858</x:v>
      </x:c>
      <x:c r="N177" s="42" t="n">
        <x:f>K177*M177/Assumptions!$C$12</x:f>
        <x:v>0.6939428571428573</x:v>
      </x:c>
      <x:c r="O177" s="23" t="str">
        <x:f>IF(N177&gt;=1,"ADEQUATE","GAP")</x:f>
        <x:v>GAP</x:v>
      </x:c>
    </x:row>
    <x:row r="178">
      <x:c r="B178" s="21" t="str">
        <x:v>SB-0172</x:v>
      </x:c>
      <x:c r="C178" s="21" t="str">
        <x:v>F33</x:v>
      </x:c>
      <x:c r="D178" s="21" t="n">
        <x:v>4</x:v>
      </x:c>
      <x:c r="E178" s="21" t="str">
        <x:v>Material tooling and instrument release</x:v>
      </x:c>
      <x:c r="F178" s="42" t="n">
        <x:v>0.82</x:v>
      </x:c>
      <x:c r="G178" s="42" t="n">
        <x:v>0.08</x:v>
      </x:c>
      <x:c r="H178" s="42" t="n">
        <x:v>0.065</x:v>
      </x:c>
      <x:c r="I178" s="42" t="n">
        <x:f>SUM(F178:H178)</x:f>
        <x:v>0.9649999999999999</x:v>
      </x:c>
      <x:c r="J178" s="42" t="n">
        <x:f>MAX(0,Assumptions!$C$9-MIN($I$175:$I$186))</x:f>
        <x:v>0.21500000000000008</x:v>
      </x:c>
      <x:c r="K178" s="42" t="n">
        <x:f>I178+J178</x:f>
        <x:v>1.18</x:v>
      </x:c>
      <x:c r="L178" s="21" t="str">
        <x:f>IF(K178&gt;=Assumptions!$C$9,"ADEQUATE","GAP")</x:f>
        <x:v>ADEQUATE</x:v>
      </x:c>
      <x:c r="M178" s="42" t="n">
        <x:f>'Stage Standard'!G10</x:f>
        <x:v>0.7333333333333334</x:v>
      </x:c>
      <x:c r="N178" s="42" t="n">
        <x:f>K178*M178/Assumptions!$C$12</x:f>
        <x:v>0.6922666666666667</x:v>
      </x:c>
      <x:c r="O178" s="23" t="str">
        <x:f>IF(N178&gt;=1,"ADEQUATE","GAP")</x:f>
        <x:v>GAP</x:v>
      </x:c>
    </x:row>
    <x:row r="179">
      <x:c r="B179" s="21" t="str">
        <x:v>SB-0173</x:v>
      </x:c>
      <x:c r="C179" s="21" t="str">
        <x:v>F33</x:v>
      </x:c>
      <x:c r="D179" s="21" t="n">
        <x:v>5</x:v>
      </x:c>
      <x:c r="E179" s="21" t="str">
        <x:v>Supplier and process activation</x:v>
      </x:c>
      <x:c r="F179" s="42" t="n">
        <x:v>0.76</x:v>
      </x:c>
      <x:c r="G179" s="42" t="n">
        <x:v>0.06</x:v>
      </x:c>
      <x:c r="H179" s="42" t="n">
        <x:v>0.065</x:v>
      </x:c>
      <x:c r="I179" s="42" t="n">
        <x:f>SUM(F179:H179)</x:f>
        <x:v>0.885</x:v>
      </x:c>
      <x:c r="J179" s="42" t="n">
        <x:f>MAX(0,Assumptions!$C$9-MIN($I$175:$I$186))</x:f>
        <x:v>0.21500000000000008</x:v>
      </x:c>
      <x:c r="K179" s="42" t="n">
        <x:f>I179+J179</x:f>
        <x:v>1.1</x:v>
      </x:c>
      <x:c r="L179" s="21" t="str">
        <x:f>IF(K179&gt;=Assumptions!$C$9,"ADEQUATE","GAP")</x:f>
        <x:v>ADEQUATE</x:v>
      </x:c>
      <x:c r="M179" s="42" t="n">
        <x:f>'Stage Standard'!G11</x:f>
        <x:v>0.7142857142857143</x:v>
      </x:c>
      <x:c r="N179" s="42" t="n">
        <x:f>K179*M179/Assumptions!$C$12</x:f>
        <x:v>0.6285714285714287</x:v>
      </x:c>
      <x:c r="O179" s="23" t="str">
        <x:f>IF(N179&gt;=1,"ADEQUATE","GAP")</x:f>
        <x:v>GAP</x:v>
      </x:c>
    </x:row>
    <x:row r="180">
      <x:c r="B180" s="21" t="str">
        <x:v>SB-0174</x:v>
      </x:c>
      <x:c r="C180" s="21" t="str">
        <x:v>F33</x:v>
      </x:c>
      <x:c r="D180" s="21" t="n">
        <x:v>6</x:v>
      </x:c>
      <x:c r="E180" s="21" t="str">
        <x:v>Conforming production</x:v>
      </x:c>
      <x:c r="F180" s="42" t="n">
        <x:v>0.78</x:v>
      </x:c>
      <x:c r="G180" s="42" t="n">
        <x:v>0.08</x:v>
      </x:c>
      <x:c r="H180" s="42" t="n">
        <x:v>0.065</x:v>
      </x:c>
      <x:c r="I180" s="42" t="n">
        <x:f>SUM(F180:H180)</x:f>
        <x:v>0.925</x:v>
      </x:c>
      <x:c r="J180" s="42" t="n">
        <x:f>MAX(0,Assumptions!$C$9-MIN($I$175:$I$186))</x:f>
        <x:v>0.21500000000000008</x:v>
      </x:c>
      <x:c r="K180" s="42" t="n">
        <x:f>I180+J180</x:f>
        <x:v>1.1400000000000001</x:v>
      </x:c>
      <x:c r="L180" s="21" t="str">
        <x:f>IF(K180&gt;=Assumptions!$C$9,"ADEQUATE","GAP")</x:f>
        <x:v>ADEQUATE</x:v>
      </x:c>
      <x:c r="M180" s="42" t="n">
        <x:f>'Stage Standard'!G12</x:f>
        <x:v>0.7142857142857143</x:v>
      </x:c>
      <x:c r="N180" s="42" t="n">
        <x:f>K180*M180/Assumptions!$C$12</x:f>
        <x:v>0.6514285714285715</x:v>
      </x:c>
      <x:c r="O180" s="23" t="str">
        <x:f>IF(N180&gt;=1,"ADEQUATE","GAP")</x:f>
        <x:v>GAP</x:v>
      </x:c>
    </x:row>
    <x:row r="181">
      <x:c r="B181" s="21" t="str">
        <x:v>SB-0175</x:v>
      </x:c>
      <x:c r="C181" s="21" t="str">
        <x:v>F33</x:v>
      </x:c>
      <x:c r="D181" s="21" t="n">
        <x:v>7</x:v>
      </x:c>
      <x:c r="E181" s="21" t="str">
        <x:v>Independent acceptance</x:v>
      </x:c>
      <x:c r="F181" s="42" t="n">
        <x:v>0.92</x:v>
      </x:c>
      <x:c r="G181" s="42" t="n">
        <x:v>0.06</x:v>
      </x:c>
      <x:c r="H181" s="42" t="n">
        <x:v>0.039</x:v>
      </x:c>
      <x:c r="I181" s="42" t="n">
        <x:f>SUM(F181:H181)</x:f>
        <x:v>1.019</x:v>
      </x:c>
      <x:c r="J181" s="42" t="n">
        <x:f>MAX(0,Assumptions!$C$9-MIN($I$175:$I$186))</x:f>
        <x:v>0.21500000000000008</x:v>
      </x:c>
      <x:c r="K181" s="42" t="n">
        <x:f>I181+J181</x:f>
        <x:v>1.234</x:v>
      </x:c>
      <x:c r="L181" s="21" t="str">
        <x:f>IF(K181&gt;=Assumptions!$C$9,"ADEQUATE","GAP")</x:f>
        <x:v>ADEQUATE</x:v>
      </x:c>
      <x:c r="M181" s="42" t="n">
        <x:f>'Stage Standard'!G13</x:f>
        <x:v>0.8125</x:v>
      </x:c>
      <x:c r="N181" s="42" t="n">
        <x:f>K181*M181/Assumptions!$C$12</x:f>
        <x:v>0.8021</x:v>
      </x:c>
      <x:c r="O181" s="23" t="str">
        <x:f>IF(N181&gt;=1,"ADEQUATE","GAP")</x:f>
        <x:v>GAP</x:v>
      </x:c>
    </x:row>
    <x:row r="182">
      <x:c r="B182" s="21" t="str">
        <x:v>SB-0176</x:v>
      </x:c>
      <x:c r="C182" s="21" t="str">
        <x:v>F33</x:v>
      </x:c>
      <x:c r="D182" s="21" t="n">
        <x:v>8</x:v>
      </x:c>
      <x:c r="E182" s="21" t="str">
        <x:v>Loadout and custody transfer</x:v>
      </x:c>
      <x:c r="F182" s="42" t="n">
        <x:v>0.8</x:v>
      </x:c>
      <x:c r="G182" s="42" t="n">
        <x:v>0.2</x:v>
      </x:c>
      <x:c r="H182" s="42" t="n">
        <x:v>0.14300000000000002</x:v>
      </x:c>
      <x:c r="I182" s="42" t="n">
        <x:f>SUM(F182:H182)</x:f>
        <x:v>1.143</x:v>
      </x:c>
      <x:c r="J182" s="42" t="n">
        <x:f>MAX(0,Assumptions!$C$9-MIN($I$175:$I$186))</x:f>
        <x:v>0.21500000000000008</x:v>
      </x:c>
      <x:c r="K182" s="42" t="n">
        <x:f>I182+J182</x:f>
        <x:v>1.358</x:v>
      </x:c>
      <x:c r="L182" s="21" t="str">
        <x:f>IF(K182&gt;=Assumptions!$C$9,"ADEQUATE","GAP")</x:f>
        <x:v>ADEQUATE</x:v>
      </x:c>
      <x:c r="M182" s="42" t="n">
        <x:f>'Stage Standard'!G14</x:f>
        <x:v>0.7692307692307692</x:v>
      </x:c>
      <x:c r="N182" s="42" t="n">
        <x:f>K182*M182/Assumptions!$C$12</x:f>
        <x:v>0.8356923076923076</x:v>
      </x:c>
      <x:c r="O182" s="23" t="str">
        <x:f>IF(N182&gt;=1,"ADEQUATE","GAP")</x:f>
        <x:v>GAP</x:v>
      </x:c>
    </x:row>
    <x:row r="183">
      <x:c r="B183" s="21" t="str">
        <x:v>SB-0177</x:v>
      </x:c>
      <x:c r="C183" s="21" t="str">
        <x:v>F33</x:v>
      </x:c>
      <x:c r="D183" s="21" t="n">
        <x:v>9</x:v>
      </x:c>
      <x:c r="E183" s="21" t="str">
        <x:v>Strategic transport</x:v>
      </x:c>
      <x:c r="F183" s="42" t="n">
        <x:v>0.74</x:v>
      </x:c>
      <x:c r="G183" s="42" t="n">
        <x:v>0.2</x:v>
      </x:c>
      <x:c r="H183" s="42" t="n">
        <x:v>0.1625</x:v>
      </x:c>
      <x:c r="I183" s="42" t="n">
        <x:f>SUM(F183:H183)</x:f>
        <x:v>1.1025</x:v>
      </x:c>
      <x:c r="J183" s="42" t="n">
        <x:f>MAX(0,Assumptions!$C$9-MIN($I$175:$I$186))</x:f>
        <x:v>0.21500000000000008</x:v>
      </x:c>
      <x:c r="K183" s="42" t="n">
        <x:f>I183+J183</x:f>
        <x:v>1.3175000000000001</x:v>
      </x:c>
      <x:c r="L183" s="21" t="str">
        <x:f>IF(K183&gt;=Assumptions!$C$9,"ADEQUATE","GAP")</x:f>
        <x:v>ADEQUATE</x:v>
      </x:c>
      <x:c r="M183" s="42" t="n">
        <x:f>'Stage Standard'!G15</x:f>
        <x:v>0.7692307692307692</x:v>
      </x:c>
      <x:c r="N183" s="42" t="n">
        <x:f>K183*M183/Assumptions!$C$12</x:f>
        <x:v>0.8107692307692307</x:v>
      </x:c>
      <x:c r="O183" s="23" t="str">
        <x:f>IF(N183&gt;=1,"ADEQUATE","GAP")</x:f>
        <x:v>GAP</x:v>
      </x:c>
    </x:row>
    <x:row r="184">
      <x:c r="B184" s="21" t="str">
        <x:v>SB-0178</x:v>
      </x:c>
      <x:c r="C184" s="21" t="str">
        <x:v>F33</x:v>
      </x:c>
      <x:c r="D184" s="21" t="n">
        <x:v>10</x:v>
      </x:c>
      <x:c r="E184" s="21" t="str">
        <x:v>Receiving-node admission</x:v>
      </x:c>
      <x:c r="F184" s="42" t="n">
        <x:v>0.76</x:v>
      </x:c>
      <x:c r="G184" s="42" t="n">
        <x:v>0.2</x:v>
      </x:c>
      <x:c r="H184" s="42" t="n">
        <x:v>0.078</x:v>
      </x:c>
      <x:c r="I184" s="42" t="n">
        <x:f>SUM(F184:H184)</x:f>
        <x:v>1.038</x:v>
      </x:c>
      <x:c r="J184" s="42" t="n">
        <x:f>MAX(0,Assumptions!$C$9-MIN($I$175:$I$186))</x:f>
        <x:v>0.21500000000000008</x:v>
      </x:c>
      <x:c r="K184" s="42" t="n">
        <x:f>I184+J184</x:f>
        <x:v>1.2530000000000001</x:v>
      </x:c>
      <x:c r="L184" s="21" t="str">
        <x:f>IF(K184&gt;=Assumptions!$C$9,"ADEQUATE","GAP")</x:f>
        <x:v>ADEQUATE</x:v>
      </x:c>
      <x:c r="M184" s="42" t="n">
        <x:f>'Stage Standard'!G16</x:f>
        <x:v>0.7999999999999999</x:v>
      </x:c>
      <x:c r="N184" s="42" t="n">
        <x:f>K184*M184/Assumptions!$C$12</x:f>
        <x:v>0.80192</x:v>
      </x:c>
      <x:c r="O184" s="23" t="str">
        <x:f>IF(N184&gt;=1,"ADEQUATE","GAP")</x:f>
        <x:v>GAP</x:v>
      </x:c>
    </x:row>
    <x:row r="185">
      <x:c r="B185" s="21" t="str">
        <x:v>SB-0179</x:v>
      </x:c>
      <x:c r="C185" s="21" t="str">
        <x:v>F33</x:v>
      </x:c>
      <x:c r="D185" s="21" t="n">
        <x:v>11</x:v>
      </x:c>
      <x:c r="E185" s="21" t="str">
        <x:v>Commissioned public service</x:v>
      </x:c>
      <x:c r="F185" s="42" t="n">
        <x:v>0.82</x:v>
      </x:c>
      <x:c r="G185" s="42" t="n">
        <x:v>0.2</x:v>
      </x:c>
      <x:c r="H185" s="42" t="n">
        <x:v>0.065</x:v>
      </x:c>
      <x:c r="I185" s="42" t="n">
        <x:f>SUM(F185:H185)</x:f>
        <x:v>1.085</x:v>
      </x:c>
      <x:c r="J185" s="42" t="n">
        <x:f>MAX(0,Assumptions!$C$9-MIN($I$175:$I$186))</x:f>
        <x:v>0.21500000000000008</x:v>
      </x:c>
      <x:c r="K185" s="42" t="n">
        <x:f>I185+J185</x:f>
        <x:v>1.3</x:v>
      </x:c>
      <x:c r="L185" s="21" t="str">
        <x:f>IF(K185&gt;=Assumptions!$C$9,"ADEQUATE","GAP")</x:f>
        <x:v>ADEQUATE</x:v>
      </x:c>
      <x:c r="M185" s="42" t="n">
        <x:f>'Stage Standard'!G17</x:f>
        <x:v>0.7857142857142858</x:v>
      </x:c>
      <x:c r="N185" s="42" t="n">
        <x:f>K185*M185/Assumptions!$C$12</x:f>
        <x:v>0.8171428571428573</x:v>
      </x:c>
      <x:c r="O185" s="23" t="str">
        <x:f>IF(N185&gt;=1,"ADEQUATE","GAP")</x:f>
        <x:v>GAP</x:v>
      </x:c>
    </x:row>
    <x:row r="186">
      <x:c r="B186" s="21" t="str">
        <x:v>SB-0180</x:v>
      </x:c>
      <x:c r="C186" s="21" t="str">
        <x:v>F33</x:v>
      </x:c>
      <x:c r="D186" s="21" t="n">
        <x:v>12</x:v>
      </x:c>
      <x:c r="E186" s="21" t="str">
        <x:v>Regeneration and replacement</x:v>
      </x:c>
      <x:c r="F186" s="42" t="n">
        <x:v>0.68</x:v>
      </x:c>
      <x:c r="G186" s="42" t="n">
        <x:v>0.12</x:v>
      </x:c>
      <x:c r="H186" s="42" t="n">
        <x:v>0.0975</x:v>
      </x:c>
      <x:c r="I186" s="42" t="n">
        <x:f>SUM(F186:H186)</x:f>
        <x:v>0.8975000000000001</x:v>
      </x:c>
      <x:c r="J186" s="42" t="n">
        <x:f>MAX(0,Assumptions!$C$9-MIN($I$175:$I$186))</x:f>
        <x:v>0.21500000000000008</x:v>
      </x:c>
      <x:c r="K186" s="42" t="n">
        <x:f>I186+J186</x:f>
        <x:v>1.1125000000000003</x:v>
      </x:c>
      <x:c r="L186" s="21" t="str">
        <x:f>IF(K186&gt;=Assumptions!$C$9,"ADEQUATE","GAP")</x:f>
        <x:v>ADEQUATE</x:v>
      </x:c>
      <x:c r="M186" s="42" t="n">
        <x:f>'Stage Standard'!G18</x:f>
        <x:v>0.7142857142857143</x:v>
      </x:c>
      <x:c r="N186" s="42" t="n">
        <x:f>K186*M186/Assumptions!$C$12</x:f>
        <x:v>0.6357142857142859</x:v>
      </x:c>
      <x:c r="O186" s="23" t="str">
        <x:f>IF(N186&gt;=1,"ADEQUATE","GAP")</x:f>
        <x:v>GAP</x:v>
      </x:c>
    </x:row>
    <x:row r="187">
      <x:c r="B187" s="21" t="str">
        <x:v>SB-0181</x:v>
      </x:c>
      <x:c r="C187" s="21" t="str">
        <x:v>F34</x:v>
      </x:c>
      <x:c r="D187" s="21" t="n">
        <x:v>1</x:v>
      </x:c>
      <x:c r="E187" s="21" t="str">
        <x:v>Alert authentication</x:v>
      </x:c>
      <x:c r="F187" s="42" t="n">
        <x:v>1.15</x:v>
      </x:c>
      <x:c r="G187" s="42" t="n">
        <x:v>0</x:v>
      </x:c>
      <x:c r="H187" s="42" t="n">
        <x:v>0.013000000000000001</x:v>
      </x:c>
      <x:c r="I187" s="42" t="n">
        <x:f>SUM(F187:H187)</x:f>
        <x:v>1.1629999999999998</x:v>
      </x:c>
      <x:c r="J187" s="42" t="n">
        <x:f>MAX(0,Assumptions!$C$9-MIN($I$187:$I$198))</x:f>
        <x:v>0.07850000000000001</x:v>
      </x:c>
      <x:c r="K187" s="42" t="n">
        <x:f>I187+J187</x:f>
        <x:v>1.2414999999999998</x:v>
      </x:c>
      <x:c r="L187" s="21" t="str">
        <x:f>IF(K187&gt;=Assumptions!$C$9,"ADEQUATE","GAP")</x:f>
        <x:v>ADEQUATE</x:v>
      </x:c>
      <x:c r="M187" s="42" t="n">
        <x:f>'Stage Standard'!G7</x:f>
        <x:v>0.7999999999999999</x:v>
      </x:c>
      <x:c r="N187" s="42" t="n">
        <x:f>K187*M187/Assumptions!$C$12</x:f>
        <x:v>0.7945599999999998</x:v>
      </x:c>
      <x:c r="O187" s="23" t="str">
        <x:f>IF(N187&gt;=1,"ADEQUATE","GAP")</x:f>
        <x:v>GAP</x:v>
      </x:c>
    </x:row>
    <x:row r="188">
      <x:c r="B188" s="21" t="str">
        <x:v>SB-0182</x:v>
      </x:c>
      <x:c r="C188" s="21" t="str">
        <x:v>F34</x:v>
      </x:c>
      <x:c r="D188" s="21" t="n">
        <x:v>2</x:v>
      </x:c>
      <x:c r="E188" s="21" t="str">
        <x:v>Workforce muster</x:v>
      </x:c>
      <x:c r="F188" s="42" t="n">
        <x:v>1.05</x:v>
      </x:c>
      <x:c r="G188" s="42" t="n">
        <x:v>0.03</x:v>
      </x:c>
      <x:c r="H188" s="42" t="n">
        <x:v>0.0325</x:v>
      </x:c>
      <x:c r="I188" s="42" t="n">
        <x:f>SUM(F188:H188)</x:f>
        <x:v>1.1125</x:v>
      </x:c>
      <x:c r="J188" s="42" t="n">
        <x:f>MAX(0,Assumptions!$C$9-MIN($I$187:$I$198))</x:f>
        <x:v>0.07850000000000001</x:v>
      </x:c>
      <x:c r="K188" s="42" t="n">
        <x:f>I188+J188</x:f>
        <x:v>1.191</x:v>
      </x:c>
      <x:c r="L188" s="21" t="str">
        <x:f>IF(K188&gt;=Assumptions!$C$9,"ADEQUATE","GAP")</x:f>
        <x:v>ADEQUATE</x:v>
      </x:c>
      <x:c r="M188" s="42" t="n">
        <x:f>'Stage Standard'!G8</x:f>
        <x:v>0.8125</x:v>
      </x:c>
      <x:c r="N188" s="42" t="n">
        <x:f>K188*M188/Assumptions!$C$12</x:f>
        <x:v>0.77415</x:v>
      </x:c>
      <x:c r="O188" s="23" t="str">
        <x:f>IF(N188&gt;=1,"ADEQUATE","GAP")</x:f>
        <x:v>GAP</x:v>
      </x:c>
    </x:row>
    <x:row r="189">
      <x:c r="B189" s="21" t="str">
        <x:v>SB-0183</x:v>
      </x:c>
      <x:c r="C189" s="21" t="str">
        <x:v>F34</x:v>
      </x:c>
      <x:c r="D189" s="21" t="n">
        <x:v>3</x:v>
      </x:c>
      <x:c r="E189" s="21" t="str">
        <x:v>Facility utility and safe start</x:v>
      </x:c>
      <x:c r="F189" s="42" t="n">
        <x:v>0.9</x:v>
      </x:c>
      <x:c r="G189" s="42" t="n">
        <x:v>0.2</x:v>
      </x:c>
      <x:c r="H189" s="42" t="n">
        <x:v>0.052000000000000005</x:v>
      </x:c>
      <x:c r="I189" s="42" t="n">
        <x:f>SUM(F189:H189)</x:f>
        <x:v>1.1520000000000001</x:v>
      </x:c>
      <x:c r="J189" s="42" t="n">
        <x:f>MAX(0,Assumptions!$C$9-MIN($I$187:$I$198))</x:f>
        <x:v>0.07850000000000001</x:v>
      </x:c>
      <x:c r="K189" s="42" t="n">
        <x:f>I189+J189</x:f>
        <x:v>1.2305000000000001</x:v>
      </x:c>
      <x:c r="L189" s="21" t="str">
        <x:f>IF(K189&gt;=Assumptions!$C$9,"ADEQUATE","GAP")</x:f>
        <x:v>ADEQUATE</x:v>
      </x:c>
      <x:c r="M189" s="42" t="n">
        <x:f>'Stage Standard'!G9</x:f>
        <x:v>0.7857142857142858</x:v>
      </x:c>
      <x:c r="N189" s="42" t="n">
        <x:f>K189*M189/Assumptions!$C$12</x:f>
        <x:v>0.7734571428571431</x:v>
      </x:c>
      <x:c r="O189" s="23" t="str">
        <x:f>IF(N189&gt;=1,"ADEQUATE","GAP")</x:f>
        <x:v>GAP</x:v>
      </x:c>
    </x:row>
    <x:row r="190">
      <x:c r="B190" s="21" t="str">
        <x:v>SB-0184</x:v>
      </x:c>
      <x:c r="C190" s="21" t="str">
        <x:v>F34</x:v>
      </x:c>
      <x:c r="D190" s="21" t="n">
        <x:v>4</x:v>
      </x:c>
      <x:c r="E190" s="21" t="str">
        <x:v>Material tooling and instrument release</x:v>
      </x:c>
      <x:c r="F190" s="42" t="n">
        <x:v>1</x:v>
      </x:c>
      <x:c r="G190" s="42" t="n">
        <x:v>0.08</x:v>
      </x:c>
      <x:c r="H190" s="42" t="n">
        <x:v>0.10400000000000001</x:v>
      </x:c>
      <x:c r="I190" s="42" t="n">
        <x:f>SUM(F190:H190)</x:f>
        <x:v>1.1840000000000002</x:v>
      </x:c>
      <x:c r="J190" s="42" t="n">
        <x:f>MAX(0,Assumptions!$C$9-MIN($I$187:$I$198))</x:f>
        <x:v>0.07850000000000001</x:v>
      </x:c>
      <x:c r="K190" s="42" t="n">
        <x:f>I190+J190</x:f>
        <x:v>1.2625000000000002</x:v>
      </x:c>
      <x:c r="L190" s="21" t="str">
        <x:f>IF(K190&gt;=Assumptions!$C$9,"ADEQUATE","GAP")</x:f>
        <x:v>ADEQUATE</x:v>
      </x:c>
      <x:c r="M190" s="42" t="n">
        <x:f>'Stage Standard'!G10</x:f>
        <x:v>0.7333333333333334</x:v>
      </x:c>
      <x:c r="N190" s="42" t="n">
        <x:f>K190*M190/Assumptions!$C$12</x:f>
        <x:v>0.7406666666666668</x:v>
      </x:c>
      <x:c r="O190" s="23" t="str">
        <x:f>IF(N190&gt;=1,"ADEQUATE","GAP")</x:f>
        <x:v>GAP</x:v>
      </x:c>
    </x:row>
    <x:row r="191">
      <x:c r="B191" s="21" t="str">
        <x:v>SB-0185</x:v>
      </x:c>
      <x:c r="C191" s="21" t="str">
        <x:v>F34</x:v>
      </x:c>
      <x:c r="D191" s="21" t="n">
        <x:v>5</x:v>
      </x:c>
      <x:c r="E191" s="21" t="str">
        <x:v>Supplier and process activation</x:v>
      </x:c>
      <x:c r="F191" s="42" t="n">
        <x:v>0.9099999999999999</x:v>
      </x:c>
      <x:c r="G191" s="42" t="n">
        <x:v>0.12</x:v>
      </x:c>
      <x:c r="H191" s="42" t="n">
        <x:v>0.14300000000000002</x:v>
      </x:c>
      <x:c r="I191" s="42" t="n">
        <x:f>SUM(F191:H191)</x:f>
        <x:v>1.1729999999999998</x:v>
      </x:c>
      <x:c r="J191" s="42" t="n">
        <x:f>MAX(0,Assumptions!$C$9-MIN($I$187:$I$198))</x:f>
        <x:v>0.07850000000000001</x:v>
      </x:c>
      <x:c r="K191" s="42" t="n">
        <x:f>I191+J191</x:f>
        <x:v>1.2514999999999998</x:v>
      </x:c>
      <x:c r="L191" s="21" t="str">
        <x:f>IF(K191&gt;=Assumptions!$C$9,"ADEQUATE","GAP")</x:f>
        <x:v>ADEQUATE</x:v>
      </x:c>
      <x:c r="M191" s="42" t="n">
        <x:f>'Stage Standard'!G11</x:f>
        <x:v>0.7142857142857143</x:v>
      </x:c>
      <x:c r="N191" s="42" t="n">
        <x:f>K191*M191/Assumptions!$C$12</x:f>
        <x:v>0.7151428571428571</x:v>
      </x:c>
      <x:c r="O191" s="23" t="str">
        <x:f>IF(N191&gt;=1,"ADEQUATE","GAP")</x:f>
        <x:v>GAP</x:v>
      </x:c>
    </x:row>
    <x:row r="192">
      <x:c r="B192" s="21" t="str">
        <x:v>SB-0186</x:v>
      </x:c>
      <x:c r="C192" s="21" t="str">
        <x:v>F34</x:v>
      </x:c>
      <x:c r="D192" s="21" t="n">
        <x:v>6</x:v>
      </x:c>
      <x:c r="E192" s="21" t="str">
        <x:v>Conforming production</x:v>
      </x:c>
      <x:c r="F192" s="42" t="n">
        <x:v>0.96</x:v>
      </x:c>
      <x:c r="G192" s="42" t="n">
        <x:v>0.12</x:v>
      </x:c>
      <x:c r="H192" s="42" t="n">
        <x:v>0.11699999999999999</x:v>
      </x:c>
      <x:c r="I192" s="42" t="n">
        <x:f>SUM(F192:H192)</x:f>
        <x:v>1.197</x:v>
      </x:c>
      <x:c r="J192" s="42" t="n">
        <x:f>MAX(0,Assumptions!$C$9-MIN($I$187:$I$198))</x:f>
        <x:v>0.07850000000000001</x:v>
      </x:c>
      <x:c r="K192" s="42" t="n">
        <x:f>I192+J192</x:f>
        <x:v>1.2755</x:v>
      </x:c>
      <x:c r="L192" s="21" t="str">
        <x:f>IF(K192&gt;=Assumptions!$C$9,"ADEQUATE","GAP")</x:f>
        <x:v>ADEQUATE</x:v>
      </x:c>
      <x:c r="M192" s="42" t="n">
        <x:f>'Stage Standard'!G12</x:f>
        <x:v>0.7142857142857143</x:v>
      </x:c>
      <x:c r="N192" s="42" t="n">
        <x:f>K192*M192/Assumptions!$C$12</x:f>
        <x:v>0.7288571428571429</x:v>
      </x:c>
      <x:c r="O192" s="23" t="str">
        <x:f>IF(N192&gt;=1,"ADEQUATE","GAP")</x:f>
        <x:v>GAP</x:v>
      </x:c>
    </x:row>
    <x:row r="193">
      <x:c r="B193" s="21" t="str">
        <x:v>SB-0187</x:v>
      </x:c>
      <x:c r="C193" s="21" t="str">
        <x:v>F34</x:v>
      </x:c>
      <x:c r="D193" s="21" t="n">
        <x:v>7</x:v>
      </x:c>
      <x:c r="E193" s="21" t="str">
        <x:v>Independent acceptance</x:v>
      </x:c>
      <x:c r="F193" s="42" t="n">
        <x:v>1.05</x:v>
      </x:c>
      <x:c r="G193" s="42" t="n">
        <x:v>0.08</x:v>
      </x:c>
      <x:c r="H193" s="42" t="n">
        <x:v>0.09100000000000001</x:v>
      </x:c>
      <x:c r="I193" s="42" t="n">
        <x:f>SUM(F193:H193)</x:f>
        <x:v>1.221</x:v>
      </x:c>
      <x:c r="J193" s="42" t="n">
        <x:f>MAX(0,Assumptions!$C$9-MIN($I$187:$I$198))</x:f>
        <x:v>0.07850000000000001</x:v>
      </x:c>
      <x:c r="K193" s="42" t="n">
        <x:f>I193+J193</x:f>
        <x:v>1.2995</x:v>
      </x:c>
      <x:c r="L193" s="21" t="str">
        <x:f>IF(K193&gt;=Assumptions!$C$9,"ADEQUATE","GAP")</x:f>
        <x:v>ADEQUATE</x:v>
      </x:c>
      <x:c r="M193" s="42" t="n">
        <x:f>'Stage Standard'!G13</x:f>
        <x:v>0.8125</x:v>
      </x:c>
      <x:c r="N193" s="42" t="n">
        <x:f>K193*M193/Assumptions!$C$12</x:f>
        <x:v>0.8446750000000002</x:v>
      </x:c>
      <x:c r="O193" s="23" t="str">
        <x:f>IF(N193&gt;=1,"ADEQUATE","GAP")</x:f>
        <x:v>GAP</x:v>
      </x:c>
    </x:row>
    <x:row r="194">
      <x:c r="B194" s="21" t="str">
        <x:v>SB-0188</x:v>
      </x:c>
      <x:c r="C194" s="21" t="str">
        <x:v>F34</x:v>
      </x:c>
      <x:c r="D194" s="21" t="n">
        <x:v>8</x:v>
      </x:c>
      <x:c r="E194" s="21" t="str">
        <x:v>Loadout and custody transfer</x:v>
      </x:c>
      <x:c r="F194" s="42" t="n">
        <x:v>0.96</x:v>
      </x:c>
      <x:c r="G194" s="42" t="n">
        <x:v>0.05</x:v>
      </x:c>
      <x:c r="H194" s="42" t="n">
        <x:v>0.052000000000000005</x:v>
      </x:c>
      <x:c r="I194" s="42" t="n">
        <x:f>SUM(F194:H194)</x:f>
        <x:v>1.062</x:v>
      </x:c>
      <x:c r="J194" s="42" t="n">
        <x:f>MAX(0,Assumptions!$C$9-MIN($I$187:$I$198))</x:f>
        <x:v>0.07850000000000001</x:v>
      </x:c>
      <x:c r="K194" s="42" t="n">
        <x:f>I194+J194</x:f>
        <x:v>1.1405</x:v>
      </x:c>
      <x:c r="L194" s="21" t="str">
        <x:f>IF(K194&gt;=Assumptions!$C$9,"ADEQUATE","GAP")</x:f>
        <x:v>ADEQUATE</x:v>
      </x:c>
      <x:c r="M194" s="42" t="n">
        <x:f>'Stage Standard'!G14</x:f>
        <x:v>0.7692307692307692</x:v>
      </x:c>
      <x:c r="N194" s="42" t="n">
        <x:f>K194*M194/Assumptions!$C$12</x:f>
        <x:v>0.7018461538461538</x:v>
      </x:c>
      <x:c r="O194" s="23" t="str">
        <x:f>IF(N194&gt;=1,"ADEQUATE","GAP")</x:f>
        <x:v>GAP</x:v>
      </x:c>
    </x:row>
    <x:row r="195">
      <x:c r="B195" s="21" t="str">
        <x:v>SB-0189</x:v>
      </x:c>
      <x:c r="C195" s="21" t="str">
        <x:v>F34</x:v>
      </x:c>
      <x:c r="D195" s="21" t="n">
        <x:v>9</x:v>
      </x:c>
      <x:c r="E195" s="21" t="str">
        <x:v>Strategic transport</x:v>
      </x:c>
      <x:c r="F195" s="42" t="n">
        <x:v>0.9425</x:v>
      </x:c>
      <x:c r="G195" s="42" t="n">
        <x:v>0.04</x:v>
      </x:c>
      <x:c r="H195" s="42" t="n">
        <x:v>0.039</x:v>
      </x:c>
      <x:c r="I195" s="42" t="n">
        <x:f>SUM(F195:H195)</x:f>
        <x:v>1.0215</x:v>
      </x:c>
      <x:c r="J195" s="42" t="n">
        <x:f>MAX(0,Assumptions!$C$9-MIN($I$187:$I$198))</x:f>
        <x:v>0.07850000000000001</x:v>
      </x:c>
      <x:c r="K195" s="42" t="n">
        <x:f>I195+J195</x:f>
        <x:v>1.1</x:v>
      </x:c>
      <x:c r="L195" s="21" t="str">
        <x:f>IF(K195&gt;=Assumptions!$C$9,"ADEQUATE","GAP")</x:f>
        <x:v>ADEQUATE</x:v>
      </x:c>
      <x:c r="M195" s="42" t="n">
        <x:f>'Stage Standard'!G15</x:f>
        <x:v>0.7692307692307692</x:v>
      </x:c>
      <x:c r="N195" s="42" t="n">
        <x:f>K195*M195/Assumptions!$C$12</x:f>
        <x:v>0.676923076923077</x:v>
      </x:c>
      <x:c r="O195" s="23" t="str">
        <x:f>IF(N195&gt;=1,"ADEQUATE","GAP")</x:f>
        <x:v>GAP</x:v>
      </x:c>
    </x:row>
    <x:row r="196">
      <x:c r="B196" s="21" t="str">
        <x:v>SB-0190</x:v>
      </x:c>
      <x:c r="C196" s="21" t="str">
        <x:v>F34</x:v>
      </x:c>
      <x:c r="D196" s="21" t="n">
        <x:v>10</x:v>
      </x:c>
      <x:c r="E196" s="21" t="str">
        <x:v>Receiving-node admission</x:v>
      </x:c>
      <x:c r="F196" s="42" t="n">
        <x:v>1</x:v>
      </x:c>
      <x:c r="G196" s="42" t="n">
        <x:v>0.1</x:v>
      </x:c>
      <x:c r="H196" s="42" t="n">
        <x:v>0.039</x:v>
      </x:c>
      <x:c r="I196" s="42" t="n">
        <x:f>SUM(F196:H196)</x:f>
        <x:v>1.139</x:v>
      </x:c>
      <x:c r="J196" s="42" t="n">
        <x:f>MAX(0,Assumptions!$C$9-MIN($I$187:$I$198))</x:f>
        <x:v>0.07850000000000001</x:v>
      </x:c>
      <x:c r="K196" s="42" t="n">
        <x:f>I196+J196</x:f>
        <x:v>1.2175</x:v>
      </x:c>
      <x:c r="L196" s="21" t="str">
        <x:f>IF(K196&gt;=Assumptions!$C$9,"ADEQUATE","GAP")</x:f>
        <x:v>ADEQUATE</x:v>
      </x:c>
      <x:c r="M196" s="42" t="n">
        <x:f>'Stage Standard'!G16</x:f>
        <x:v>0.7999999999999999</x:v>
      </x:c>
      <x:c r="N196" s="42" t="n">
        <x:f>K196*M196/Assumptions!$C$12</x:f>
        <x:v>0.7792</x:v>
      </x:c>
      <x:c r="O196" s="23" t="str">
        <x:f>IF(N196&gt;=1,"ADEQUATE","GAP")</x:f>
        <x:v>GAP</x:v>
      </x:c>
    </x:row>
    <x:row r="197">
      <x:c r="B197" s="21" t="str">
        <x:v>SB-0191</x:v>
      </x:c>
      <x:c r="C197" s="21" t="str">
        <x:v>F34</x:v>
      </x:c>
      <x:c r="D197" s="21" t="n">
        <x:v>11</x:v>
      </x:c>
      <x:c r="E197" s="21" t="str">
        <x:v>Commissioned public service</x:v>
      </x:c>
      <x:c r="F197" s="42" t="n">
        <x:v>0.98</x:v>
      </x:c>
      <x:c r="G197" s="42" t="n">
        <x:v>0.18</x:v>
      </x:c>
      <x:c r="H197" s="42" t="n">
        <x:v>0.052000000000000005</x:v>
      </x:c>
      <x:c r="I197" s="42" t="n">
        <x:f>SUM(F197:H197)</x:f>
        <x:v>1.212</x:v>
      </x:c>
      <x:c r="J197" s="42" t="n">
        <x:f>MAX(0,Assumptions!$C$9-MIN($I$187:$I$198))</x:f>
        <x:v>0.07850000000000001</x:v>
      </x:c>
      <x:c r="K197" s="42" t="n">
        <x:f>I197+J197</x:f>
        <x:v>1.2905</x:v>
      </x:c>
      <x:c r="L197" s="21" t="str">
        <x:f>IF(K197&gt;=Assumptions!$C$9,"ADEQUATE","GAP")</x:f>
        <x:v>ADEQUATE</x:v>
      </x:c>
      <x:c r="M197" s="42" t="n">
        <x:f>'Stage Standard'!G17</x:f>
        <x:v>0.7857142857142858</x:v>
      </x:c>
      <x:c r="N197" s="42" t="n">
        <x:f>K197*M197/Assumptions!$C$12</x:f>
        <x:v>0.8111714285714287</x:v>
      </x:c>
      <x:c r="O197" s="23" t="str">
        <x:f>IF(N197&gt;=1,"ADEQUATE","GAP")</x:f>
        <x:v>GAP</x:v>
      </x:c>
    </x:row>
    <x:row r="198">
      <x:c r="B198" s="21" t="str">
        <x:v>SB-0192</x:v>
      </x:c>
      <x:c r="C198" s="21" t="str">
        <x:v>F34</x:v>
      </x:c>
      <x:c r="D198" s="21" t="n">
        <x:v>12</x:v>
      </x:c>
      <x:c r="E198" s="21" t="str">
        <x:v>Regeneration and replacement</x:v>
      </x:c>
      <x:c r="F198" s="42" t="n">
        <x:v>0.9</x:v>
      </x:c>
      <x:c r="G198" s="42" t="n">
        <x:v>0.14</x:v>
      </x:c>
      <x:c r="H198" s="42" t="n">
        <x:v>0.11699999999999999</x:v>
      </x:c>
      <x:c r="I198" s="42" t="n">
        <x:f>SUM(F198:H198)</x:f>
        <x:v>1.157</x:v>
      </x:c>
      <x:c r="J198" s="42" t="n">
        <x:f>MAX(0,Assumptions!$C$9-MIN($I$187:$I$198))</x:f>
        <x:v>0.07850000000000001</x:v>
      </x:c>
      <x:c r="K198" s="42" t="n">
        <x:f>I198+J198</x:f>
        <x:v>1.2355</x:v>
      </x:c>
      <x:c r="L198" s="21" t="str">
        <x:f>IF(K198&gt;=Assumptions!$C$9,"ADEQUATE","GAP")</x:f>
        <x:v>ADEQUATE</x:v>
      </x:c>
      <x:c r="M198" s="42" t="n">
        <x:f>'Stage Standard'!G18</x:f>
        <x:v>0.7142857142857143</x:v>
      </x:c>
      <x:c r="N198" s="42" t="n">
        <x:f>K198*M198/Assumptions!$C$12</x:f>
        <x:v>0.7060000000000001</x:v>
      </x:c>
      <x:c r="O198" s="23" t="str">
        <x:f>IF(N198&gt;=1,"ADEQUATE","GAP")</x:f>
        <x:v>GAP</x:v>
      </x:c>
    </x:row>
    <x:row r="199">
      <x:c r="B199" s="21" t="str">
        <x:v>SB-0193</x:v>
      </x:c>
      <x:c r="C199" s="21" t="str">
        <x:v>F35</x:v>
      </x:c>
      <x:c r="D199" s="21" t="n">
        <x:v>1</x:v>
      </x:c>
      <x:c r="E199" s="21" t="str">
        <x:v>Alert authentication</x:v>
      </x:c>
      <x:c r="F199" s="42" t="n">
        <x:v>1.05</x:v>
      </x:c>
      <x:c r="G199" s="42" t="n">
        <x:v>0</x:v>
      </x:c>
      <x:c r="H199" s="42" t="n">
        <x:v>0</x:v>
      </x:c>
      <x:c r="I199" s="42" t="n">
        <x:f>SUM(F199:H199)</x:f>
        <x:v>1.05</x:v>
      </x:c>
      <x:c r="J199" s="42" t="n">
        <x:f>MAX(0,Assumptions!$C$9-MIN($I$199:$I$210))</x:f>
        <x:v>0.1825000000000001</x:v>
      </x:c>
      <x:c r="K199" s="42" t="n">
        <x:f>I199+J199</x:f>
        <x:v>1.2325000000000002</x:v>
      </x:c>
      <x:c r="L199" s="21" t="str">
        <x:f>IF(K199&gt;=Assumptions!$C$9,"ADEQUATE","GAP")</x:f>
        <x:v>ADEQUATE</x:v>
      </x:c>
      <x:c r="M199" s="42" t="n">
        <x:f>'Stage Standard'!G7</x:f>
        <x:v>0.7999999999999999</x:v>
      </x:c>
      <x:c r="N199" s="42" t="n">
        <x:f>K199*M199/Assumptions!$C$12</x:f>
        <x:v>0.7888</x:v>
      </x:c>
      <x:c r="O199" s="23" t="str">
        <x:f>IF(N199&gt;=1,"ADEQUATE","GAP")</x:f>
        <x:v>GAP</x:v>
      </x:c>
    </x:row>
    <x:row r="200">
      <x:c r="B200" s="21" t="str">
        <x:v>SB-0194</x:v>
      </x:c>
      <x:c r="C200" s="21" t="str">
        <x:v>F35</x:v>
      </x:c>
      <x:c r="D200" s="21" t="n">
        <x:v>2</x:v>
      </x:c>
      <x:c r="E200" s="21" t="str">
        <x:v>Workforce muster</x:v>
      </x:c>
      <x:c r="F200" s="42" t="n">
        <x:v>0.92</x:v>
      </x:c>
      <x:c r="G200" s="42" t="n">
        <x:v>0.03</x:v>
      </x:c>
      <x:c r="H200" s="42" t="n">
        <x:v>0.0195</x:v>
      </x:c>
      <x:c r="I200" s="42" t="n">
        <x:f>SUM(F200:H200)</x:f>
        <x:v>0.9695</x:v>
      </x:c>
      <x:c r="J200" s="42" t="n">
        <x:f>MAX(0,Assumptions!$C$9-MIN($I$199:$I$210))</x:f>
        <x:v>0.1825000000000001</x:v>
      </x:c>
      <x:c r="K200" s="42" t="n">
        <x:f>I200+J200</x:f>
        <x:v>1.1520000000000001</x:v>
      </x:c>
      <x:c r="L200" s="21" t="str">
        <x:f>IF(K200&gt;=Assumptions!$C$9,"ADEQUATE","GAP")</x:f>
        <x:v>ADEQUATE</x:v>
      </x:c>
      <x:c r="M200" s="42" t="n">
        <x:f>'Stage Standard'!G8</x:f>
        <x:v>0.8125</x:v>
      </x:c>
      <x:c r="N200" s="42" t="n">
        <x:f>K200*M200/Assumptions!$C$12</x:f>
        <x:v>0.7488000000000001</x:v>
      </x:c>
      <x:c r="O200" s="23" t="str">
        <x:f>IF(N200&gt;=1,"ADEQUATE","GAP")</x:f>
        <x:v>GAP</x:v>
      </x:c>
    </x:row>
    <x:row r="201">
      <x:c r="B201" s="21" t="str">
        <x:v>SB-0195</x:v>
      </x:c>
      <x:c r="C201" s="21" t="str">
        <x:v>F35</x:v>
      </x:c>
      <x:c r="D201" s="21" t="n">
        <x:v>3</x:v>
      </x:c>
      <x:c r="E201" s="21" t="str">
        <x:v>Facility utility and safe start</x:v>
      </x:c>
      <x:c r="F201" s="42" t="n">
        <x:v>0.88</x:v>
      </x:c>
      <x:c r="G201" s="42" t="n">
        <x:v>0.2</x:v>
      </x:c>
      <x:c r="H201" s="42" t="n">
        <x:v>0.052000000000000005</x:v>
      </x:c>
      <x:c r="I201" s="42" t="n">
        <x:f>SUM(F201:H201)</x:f>
        <x:v>1.1320000000000001</x:v>
      </x:c>
      <x:c r="J201" s="42" t="n">
        <x:f>MAX(0,Assumptions!$C$9-MIN($I$199:$I$210))</x:f>
        <x:v>0.1825000000000001</x:v>
      </x:c>
      <x:c r="K201" s="42" t="n">
        <x:f>I201+J201</x:f>
        <x:v>1.3145000000000002</x:v>
      </x:c>
      <x:c r="L201" s="21" t="str">
        <x:f>IF(K201&gt;=Assumptions!$C$9,"ADEQUATE","GAP")</x:f>
        <x:v>ADEQUATE</x:v>
      </x:c>
      <x:c r="M201" s="42" t="n">
        <x:f>'Stage Standard'!G9</x:f>
        <x:v>0.7857142857142858</x:v>
      </x:c>
      <x:c r="N201" s="42" t="n">
        <x:f>K201*M201/Assumptions!$C$12</x:f>
        <x:v>0.826257142857143</x:v>
      </x:c>
      <x:c r="O201" s="23" t="str">
        <x:f>IF(N201&gt;=1,"ADEQUATE","GAP")</x:f>
        <x:v>GAP</x:v>
      </x:c>
    </x:row>
    <x:row r="202">
      <x:c r="B202" s="21" t="str">
        <x:v>SB-0196</x:v>
      </x:c>
      <x:c r="C202" s="21" t="str">
        <x:v>F35</x:v>
      </x:c>
      <x:c r="D202" s="21" t="n">
        <x:v>4</x:v>
      </x:c>
      <x:c r="E202" s="21" t="str">
        <x:v>Material tooling and instrument release</x:v>
      </x:c>
      <x:c r="F202" s="42" t="n">
        <x:v>0.8200000000000001</x:v>
      </x:c>
      <x:c r="G202" s="42" t="n">
        <x:v>0.08</x:v>
      </x:c>
      <x:c r="H202" s="42" t="n">
        <x:v>0.11699999999999999</x:v>
      </x:c>
      <x:c r="I202" s="42" t="n">
        <x:f>SUM(F202:H202)</x:f>
        <x:v>1.017</x:v>
      </x:c>
      <x:c r="J202" s="42" t="n">
        <x:f>MAX(0,Assumptions!$C$9-MIN($I$199:$I$210))</x:f>
        <x:v>0.1825000000000001</x:v>
      </x:c>
      <x:c r="K202" s="42" t="n">
        <x:f>I202+J202</x:f>
        <x:v>1.1995</x:v>
      </x:c>
      <x:c r="L202" s="21" t="str">
        <x:f>IF(K202&gt;=Assumptions!$C$9,"ADEQUATE","GAP")</x:f>
        <x:v>ADEQUATE</x:v>
      </x:c>
      <x:c r="M202" s="42" t="n">
        <x:f>'Stage Standard'!G10</x:f>
        <x:v>0.7333333333333334</x:v>
      </x:c>
      <x:c r="N202" s="42" t="n">
        <x:f>K202*M202/Assumptions!$C$12</x:f>
        <x:v>0.7037066666666667</x:v>
      </x:c>
      <x:c r="O202" s="23" t="str">
        <x:f>IF(N202&gt;=1,"ADEQUATE","GAP")</x:f>
        <x:v>GAP</x:v>
      </x:c>
    </x:row>
    <x:row r="203">
      <x:c r="B203" s="21" t="str">
        <x:v>SB-0197</x:v>
      </x:c>
      <x:c r="C203" s="21" t="str">
        <x:v>F35</x:v>
      </x:c>
      <x:c r="D203" s="21" t="n">
        <x:v>5</x:v>
      </x:c>
      <x:c r="E203" s="21" t="str">
        <x:v>Supplier and process activation</x:v>
      </x:c>
      <x:c r="F203" s="42" t="n">
        <x:v>0.84</x:v>
      </x:c>
      <x:c r="G203" s="42" t="n">
        <x:v>0.12</x:v>
      </x:c>
      <x:c r="H203" s="42" t="n">
        <x:v>0.078</x:v>
      </x:c>
      <x:c r="I203" s="42" t="n">
        <x:f>SUM(F203:H203)</x:f>
        <x:v>1.038</x:v>
      </x:c>
      <x:c r="J203" s="42" t="n">
        <x:f>MAX(0,Assumptions!$C$9-MIN($I$199:$I$210))</x:f>
        <x:v>0.1825000000000001</x:v>
      </x:c>
      <x:c r="K203" s="42" t="n">
        <x:f>I203+J203</x:f>
        <x:v>1.2205000000000001</x:v>
      </x:c>
      <x:c r="L203" s="21" t="str">
        <x:f>IF(K203&gt;=Assumptions!$C$9,"ADEQUATE","GAP")</x:f>
        <x:v>ADEQUATE</x:v>
      </x:c>
      <x:c r="M203" s="42" t="n">
        <x:f>'Stage Standard'!G11</x:f>
        <x:v>0.7142857142857143</x:v>
      </x:c>
      <x:c r="N203" s="42" t="n">
        <x:f>K203*M203/Assumptions!$C$12</x:f>
        <x:v>0.6974285714285715</x:v>
      </x:c>
      <x:c r="O203" s="23" t="str">
        <x:f>IF(N203&gt;=1,"ADEQUATE","GAP")</x:f>
        <x:v>GAP</x:v>
      </x:c>
    </x:row>
    <x:row r="204">
      <x:c r="B204" s="21" t="str">
        <x:v>SB-0198</x:v>
      </x:c>
      <x:c r="C204" s="21" t="str">
        <x:v>F35</x:v>
      </x:c>
      <x:c r="D204" s="21" t="n">
        <x:v>6</x:v>
      </x:c>
      <x:c r="E204" s="21" t="str">
        <x:v>Conforming production</x:v>
      </x:c>
      <x:c r="F204" s="42" t="n">
        <x:v>0.86</x:v>
      </x:c>
      <x:c r="G204" s="42" t="n">
        <x:v>0.12</x:v>
      </x:c>
      <x:c r="H204" s="42" t="n">
        <x:v>0.09100000000000001</x:v>
      </x:c>
      <x:c r="I204" s="42" t="n">
        <x:f>SUM(F204:H204)</x:f>
        <x:v>1.071</x:v>
      </x:c>
      <x:c r="J204" s="42" t="n">
        <x:f>MAX(0,Assumptions!$C$9-MIN($I$199:$I$210))</x:f>
        <x:v>0.1825000000000001</x:v>
      </x:c>
      <x:c r="K204" s="42" t="n">
        <x:f>I204+J204</x:f>
        <x:v>1.2535</x:v>
      </x:c>
      <x:c r="L204" s="21" t="str">
        <x:f>IF(K204&gt;=Assumptions!$C$9,"ADEQUATE","GAP")</x:f>
        <x:v>ADEQUATE</x:v>
      </x:c>
      <x:c r="M204" s="42" t="n">
        <x:f>'Stage Standard'!G12</x:f>
        <x:v>0.7142857142857143</x:v>
      </x:c>
      <x:c r="N204" s="42" t="n">
        <x:f>K204*M204/Assumptions!$C$12</x:f>
        <x:v>0.7162857142857144</x:v>
      </x:c>
      <x:c r="O204" s="23" t="str">
        <x:f>IF(N204&gt;=1,"ADEQUATE","GAP")</x:f>
        <x:v>GAP</x:v>
      </x:c>
    </x:row>
    <x:row r="205">
      <x:c r="B205" s="21" t="str">
        <x:v>SB-0199</x:v>
      </x:c>
      <x:c r="C205" s="21" t="str">
        <x:v>F35</x:v>
      </x:c>
      <x:c r="D205" s="21" t="n">
        <x:v>7</x:v>
      </x:c>
      <x:c r="E205" s="21" t="str">
        <x:v>Independent acceptance</x:v>
      </x:c>
      <x:c r="F205" s="42" t="n">
        <x:v>0.98</x:v>
      </x:c>
      <x:c r="G205" s="42" t="n">
        <x:v>0.08</x:v>
      </x:c>
      <x:c r="H205" s="42" t="n">
        <x:v>0.052000000000000005</x:v>
      </x:c>
      <x:c r="I205" s="42" t="n">
        <x:f>SUM(F205:H205)</x:f>
        <x:v>1.112</x:v>
      </x:c>
      <x:c r="J205" s="42" t="n">
        <x:f>MAX(0,Assumptions!$C$9-MIN($I$199:$I$210))</x:f>
        <x:v>0.1825000000000001</x:v>
      </x:c>
      <x:c r="K205" s="42" t="n">
        <x:f>I205+J205</x:f>
        <x:v>1.2945000000000002</x:v>
      </x:c>
      <x:c r="L205" s="21" t="str">
        <x:f>IF(K205&gt;=Assumptions!$C$9,"ADEQUATE","GAP")</x:f>
        <x:v>ADEQUATE</x:v>
      </x:c>
      <x:c r="M205" s="42" t="n">
        <x:f>'Stage Standard'!G13</x:f>
        <x:v>0.8125</x:v>
      </x:c>
      <x:c r="N205" s="42" t="n">
        <x:f>K205*M205/Assumptions!$C$12</x:f>
        <x:v>0.8414250000000001</x:v>
      </x:c>
      <x:c r="O205" s="23" t="str">
        <x:f>IF(N205&gt;=1,"ADEQUATE","GAP")</x:f>
        <x:v>GAP</x:v>
      </x:c>
    </x:row>
    <x:row r="206">
      <x:c r="B206" s="21" t="str">
        <x:v>SB-0200</x:v>
      </x:c>
      <x:c r="C206" s="21" t="str">
        <x:v>F35</x:v>
      </x:c>
      <x:c r="D206" s="21" t="n">
        <x:v>8</x:v>
      </x:c>
      <x:c r="E206" s="21" t="str">
        <x:v>Loadout and custody transfer</x:v>
      </x:c>
      <x:c r="F206" s="42" t="n">
        <x:v>0.88</x:v>
      </x:c>
      <x:c r="G206" s="42" t="n">
        <x:v>0.05</x:v>
      </x:c>
      <x:c r="H206" s="42" t="n">
        <x:v>0.039</x:v>
      </x:c>
      <x:c r="I206" s="42" t="n">
        <x:f>SUM(F206:H206)</x:f>
        <x:v>0.9690000000000001</x:v>
      </x:c>
      <x:c r="J206" s="42" t="n">
        <x:f>MAX(0,Assumptions!$C$9-MIN($I$199:$I$210))</x:f>
        <x:v>0.1825000000000001</x:v>
      </x:c>
      <x:c r="K206" s="42" t="n">
        <x:f>I206+J206</x:f>
        <x:v>1.1515000000000002</x:v>
      </x:c>
      <x:c r="L206" s="21" t="str">
        <x:f>IF(K206&gt;=Assumptions!$C$9,"ADEQUATE","GAP")</x:f>
        <x:v>ADEQUATE</x:v>
      </x:c>
      <x:c r="M206" s="42" t="n">
        <x:f>'Stage Standard'!G14</x:f>
        <x:v>0.7692307692307692</x:v>
      </x:c>
      <x:c r="N206" s="42" t="n">
        <x:f>K206*M206/Assumptions!$C$12</x:f>
        <x:v>0.7086153846153846</x:v>
      </x:c>
      <x:c r="O206" s="23" t="str">
        <x:f>IF(N206&gt;=1,"ADEQUATE","GAP")</x:f>
        <x:v>GAP</x:v>
      </x:c>
    </x:row>
    <x:row r="207">
      <x:c r="B207" s="21" t="str">
        <x:v>SB-0201</x:v>
      </x:c>
      <x:c r="C207" s="21" t="str">
        <x:v>F35</x:v>
      </x:c>
      <x:c r="D207" s="21" t="n">
        <x:v>9</x:v>
      </x:c>
      <x:c r="E207" s="21" t="str">
        <x:v>Strategic transport</x:v>
      </x:c>
      <x:c r="F207" s="42" t="n">
        <x:v>0.845</x:v>
      </x:c>
      <x:c r="G207" s="42" t="n">
        <x:v>0.04</x:v>
      </x:c>
      <x:c r="H207" s="42" t="n">
        <x:v>0.0325</x:v>
      </x:c>
      <x:c r="I207" s="42" t="n">
        <x:f>SUM(F207:H207)</x:f>
        <x:v>0.9175</x:v>
      </x:c>
      <x:c r="J207" s="42" t="n">
        <x:f>MAX(0,Assumptions!$C$9-MIN($I$199:$I$210))</x:f>
        <x:v>0.1825000000000001</x:v>
      </x:c>
      <x:c r="K207" s="42" t="n">
        <x:f>I207+J207</x:f>
        <x:v>1.1</x:v>
      </x:c>
      <x:c r="L207" s="21" t="str">
        <x:f>IF(K207&gt;=Assumptions!$C$9,"ADEQUATE","GAP")</x:f>
        <x:v>ADEQUATE</x:v>
      </x:c>
      <x:c r="M207" s="42" t="n">
        <x:f>'Stage Standard'!G15</x:f>
        <x:v>0.7692307692307692</x:v>
      </x:c>
      <x:c r="N207" s="42" t="n">
        <x:f>K207*M207/Assumptions!$C$12</x:f>
        <x:v>0.676923076923077</x:v>
      </x:c>
      <x:c r="O207" s="23" t="str">
        <x:f>IF(N207&gt;=1,"ADEQUATE","GAP")</x:f>
        <x:v>GAP</x:v>
      </x:c>
    </x:row>
    <x:row r="208">
      <x:c r="B208" s="21" t="str">
        <x:v>SB-0202</x:v>
      </x:c>
      <x:c r="C208" s="21" t="str">
        <x:v>F35</x:v>
      </x:c>
      <x:c r="D208" s="21" t="n">
        <x:v>10</x:v>
      </x:c>
      <x:c r="E208" s="21" t="str">
        <x:v>Receiving-node admission</x:v>
      </x:c>
      <x:c r="F208" s="42" t="n">
        <x:v>0.9</x:v>
      </x:c>
      <x:c r="G208" s="42" t="n">
        <x:v>0.1</x:v>
      </x:c>
      <x:c r="H208" s="42" t="n">
        <x:v>0.052000000000000005</x:v>
      </x:c>
      <x:c r="I208" s="42" t="n">
        <x:f>SUM(F208:H208)</x:f>
        <x:v>1.052</x:v>
      </x:c>
      <x:c r="J208" s="42" t="n">
        <x:f>MAX(0,Assumptions!$C$9-MIN($I$199:$I$210))</x:f>
        <x:v>0.1825000000000001</x:v>
      </x:c>
      <x:c r="K208" s="42" t="n">
        <x:f>I208+J208</x:f>
        <x:v>1.2345000000000002</x:v>
      </x:c>
      <x:c r="L208" s="21" t="str">
        <x:f>IF(K208&gt;=Assumptions!$C$9,"ADEQUATE","GAP")</x:f>
        <x:v>ADEQUATE</x:v>
      </x:c>
      <x:c r="M208" s="42" t="n">
        <x:f>'Stage Standard'!G16</x:f>
        <x:v>0.7999999999999999</x:v>
      </x:c>
      <x:c r="N208" s="42" t="n">
        <x:f>K208*M208/Assumptions!$C$12</x:f>
        <x:v>0.79008</x:v>
      </x:c>
      <x:c r="O208" s="23" t="str">
        <x:f>IF(N208&gt;=1,"ADEQUATE","GAP")</x:f>
        <x:v>GAP</x:v>
      </x:c>
    </x:row>
    <x:row r="209">
      <x:c r="B209" s="21" t="str">
        <x:v>SB-0203</x:v>
      </x:c>
      <x:c r="C209" s="21" t="str">
        <x:v>F35</x:v>
      </x:c>
      <x:c r="D209" s="21" t="n">
        <x:v>11</x:v>
      </x:c>
      <x:c r="E209" s="21" t="str">
        <x:v>Commissioned public service</x:v>
      </x:c>
      <x:c r="F209" s="42" t="n">
        <x:v>0.88</x:v>
      </x:c>
      <x:c r="G209" s="42" t="n">
        <x:v>0.18</x:v>
      </x:c>
      <x:c r="H209" s="42" t="n">
        <x:v>0.052000000000000005</x:v>
      </x:c>
      <x:c r="I209" s="42" t="n">
        <x:f>SUM(F209:H209)</x:f>
        <x:v>1.112</x:v>
      </x:c>
      <x:c r="J209" s="42" t="n">
        <x:f>MAX(0,Assumptions!$C$9-MIN($I$199:$I$210))</x:f>
        <x:v>0.1825000000000001</x:v>
      </x:c>
      <x:c r="K209" s="42" t="n">
        <x:f>I209+J209</x:f>
        <x:v>1.2945000000000002</x:v>
      </x:c>
      <x:c r="L209" s="21" t="str">
        <x:f>IF(K209&gt;=Assumptions!$C$9,"ADEQUATE","GAP")</x:f>
        <x:v>ADEQUATE</x:v>
      </x:c>
      <x:c r="M209" s="42" t="n">
        <x:f>'Stage Standard'!G17</x:f>
        <x:v>0.7857142857142858</x:v>
      </x:c>
      <x:c r="N209" s="42" t="n">
        <x:f>K209*M209/Assumptions!$C$12</x:f>
        <x:v>0.8136857142857146</x:v>
      </x:c>
      <x:c r="O209" s="23" t="str">
        <x:f>IF(N209&gt;=1,"ADEQUATE","GAP")</x:f>
        <x:v>GAP</x:v>
      </x:c>
    </x:row>
    <x:row r="210">
      <x:c r="B210" s="21" t="str">
        <x:v>SB-0204</x:v>
      </x:c>
      <x:c r="C210" s="21" t="str">
        <x:v>F35</x:v>
      </x:c>
      <x:c r="D210" s="21" t="n">
        <x:v>12</x:v>
      </x:c>
      <x:c r="E210" s="21" t="str">
        <x:v>Regeneration and replacement</x:v>
      </x:c>
      <x:c r="F210" s="42" t="n">
        <x:v>0.72</x:v>
      </x:c>
      <x:c r="G210" s="42" t="n">
        <x:v>0.14</x:v>
      </x:c>
      <x:c r="H210" s="42" t="n">
        <x:v>0.18200000000000002</x:v>
      </x:c>
      <x:c r="I210" s="42" t="n">
        <x:f>SUM(F210:H210)</x:f>
        <x:v>1.042</x:v>
      </x:c>
      <x:c r="J210" s="42" t="n">
        <x:f>MAX(0,Assumptions!$C$9-MIN($I$199:$I$210))</x:f>
        <x:v>0.1825000000000001</x:v>
      </x:c>
      <x:c r="K210" s="42" t="n">
        <x:f>I210+J210</x:f>
        <x:v>1.2245000000000001</x:v>
      </x:c>
      <x:c r="L210" s="21" t="str">
        <x:f>IF(K210&gt;=Assumptions!$C$9,"ADEQUATE","GAP")</x:f>
        <x:v>ADEQUATE</x:v>
      </x:c>
      <x:c r="M210" s="42" t="n">
        <x:f>'Stage Standard'!G18</x:f>
        <x:v>0.7142857142857143</x:v>
      </x:c>
      <x:c r="N210" s="42" t="n">
        <x:f>K210*M210/Assumptions!$C$12</x:f>
        <x:v>0.6997142857142858</x:v>
      </x:c>
      <x:c r="O210" s="23" t="str">
        <x:f>IF(N210&gt;=1,"ADEQUATE","GAP")</x:f>
        <x:v>GAP</x:v>
      </x:c>
    </x:row>
    <x:row r="211">
      <x:c r="B211" s="21" t="str">
        <x:v>SB-0205</x:v>
      </x:c>
      <x:c r="C211" s="21" t="str">
        <x:v>F36</x:v>
      </x:c>
      <x:c r="D211" s="21" t="n">
        <x:v>1</x:v>
      </x:c>
      <x:c r="E211" s="21" t="str">
        <x:v>Alert authentication</x:v>
      </x:c>
      <x:c r="F211" s="42" t="n">
        <x:v>1.15</x:v>
      </x:c>
      <x:c r="G211" s="42" t="n">
        <x:v>0</x:v>
      </x:c>
      <x:c r="H211" s="42" t="n">
        <x:v>0</x:v>
      </x:c>
      <x:c r="I211" s="42" t="n">
        <x:f>SUM(F211:H211)</x:f>
        <x:v>1.15</x:v>
      </x:c>
      <x:c r="J211" s="42" t="n">
        <x:f>MAX(0,Assumptions!$C$9-MIN($I$211:$I$222))</x:f>
        <x:v>0.018000000000000016</x:v>
      </x:c>
      <x:c r="K211" s="42" t="n">
        <x:f>I211+J211</x:f>
        <x:v>1.168</x:v>
      </x:c>
      <x:c r="L211" s="21" t="str">
        <x:f>IF(K211&gt;=Assumptions!$C$9,"ADEQUATE","GAP")</x:f>
        <x:v>ADEQUATE</x:v>
      </x:c>
      <x:c r="M211" s="42" t="n">
        <x:f>'Stage Standard'!G7</x:f>
        <x:v>0.7999999999999999</x:v>
      </x:c>
      <x:c r="N211" s="42" t="n">
        <x:f>K211*M211/Assumptions!$C$12</x:f>
        <x:v>0.74752</x:v>
      </x:c>
      <x:c r="O211" s="23" t="str">
        <x:f>IF(N211&gt;=1,"ADEQUATE","GAP")</x:f>
        <x:v>GAP</x:v>
      </x:c>
    </x:row>
    <x:row r="212">
      <x:c r="B212" s="21" t="str">
        <x:v>SB-0206</x:v>
      </x:c>
      <x:c r="C212" s="21" t="str">
        <x:v>F36</x:v>
      </x:c>
      <x:c r="D212" s="21" t="n">
        <x:v>2</x:v>
      </x:c>
      <x:c r="E212" s="21" t="str">
        <x:v>Workforce muster</x:v>
      </x:c>
      <x:c r="F212" s="42" t="n">
        <x:v>1.05</x:v>
      </x:c>
      <x:c r="G212" s="42" t="n">
        <x:v>0.04</x:v>
      </x:c>
      <x:c r="H212" s="42" t="n">
        <x:v>0.0325</x:v>
      </x:c>
      <x:c r="I212" s="42" t="n">
        <x:f>SUM(F212:H212)</x:f>
        <x:v>1.1225</x:v>
      </x:c>
      <x:c r="J212" s="42" t="n">
        <x:f>MAX(0,Assumptions!$C$9-MIN($I$211:$I$222))</x:f>
        <x:v>0.018000000000000016</x:v>
      </x:c>
      <x:c r="K212" s="42" t="n">
        <x:f>I212+J212</x:f>
        <x:v>1.1405</x:v>
      </x:c>
      <x:c r="L212" s="21" t="str">
        <x:f>IF(K212&gt;=Assumptions!$C$9,"ADEQUATE","GAP")</x:f>
        <x:v>ADEQUATE</x:v>
      </x:c>
      <x:c r="M212" s="42" t="n">
        <x:f>'Stage Standard'!G8</x:f>
        <x:v>0.8125</x:v>
      </x:c>
      <x:c r="N212" s="42" t="n">
        <x:f>K212*M212/Assumptions!$C$12</x:f>
        <x:v>0.741325</x:v>
      </x:c>
      <x:c r="O212" s="23" t="str">
        <x:f>IF(N212&gt;=1,"ADEQUATE","GAP")</x:f>
        <x:v>GAP</x:v>
      </x:c>
    </x:row>
    <x:row r="213">
      <x:c r="B213" s="21" t="str">
        <x:v>SB-0207</x:v>
      </x:c>
      <x:c r="C213" s="21" t="str">
        <x:v>F36</x:v>
      </x:c>
      <x:c r="D213" s="21" t="n">
        <x:v>3</x:v>
      </x:c>
      <x:c r="E213" s="21" t="str">
        <x:v>Facility utility and safe start</x:v>
      </x:c>
      <x:c r="F213" s="42" t="n">
        <x:v>0.98</x:v>
      </x:c>
      <x:c r="G213" s="42" t="n">
        <x:v>0.05</x:v>
      </x:c>
      <x:c r="H213" s="42" t="n">
        <x:v>0.052000000000000005</x:v>
      </x:c>
      <x:c r="I213" s="42" t="n">
        <x:f>SUM(F213:H213)</x:f>
        <x:v>1.082</x:v>
      </x:c>
      <x:c r="J213" s="42" t="n">
        <x:f>MAX(0,Assumptions!$C$9-MIN($I$211:$I$222))</x:f>
        <x:v>0.018000000000000016</x:v>
      </x:c>
      <x:c r="K213" s="42" t="n">
        <x:f>I213+J213</x:f>
        <x:v>1.1</x:v>
      </x:c>
      <x:c r="L213" s="21" t="str">
        <x:f>IF(K213&gt;=Assumptions!$C$9,"ADEQUATE","GAP")</x:f>
        <x:v>ADEQUATE</x:v>
      </x:c>
      <x:c r="M213" s="42" t="n">
        <x:f>'Stage Standard'!G9</x:f>
        <x:v>0.7857142857142858</x:v>
      </x:c>
      <x:c r="N213" s="42" t="n">
        <x:f>K213*M213/Assumptions!$C$12</x:f>
        <x:v>0.6914285714285715</x:v>
      </x:c>
      <x:c r="O213" s="23" t="str">
        <x:f>IF(N213&gt;=1,"ADEQUATE","GAP")</x:f>
        <x:v>GAP</x:v>
      </x:c>
    </x:row>
    <x:row r="214">
      <x:c r="B214" s="21" t="str">
        <x:v>SB-0208</x:v>
      </x:c>
      <x:c r="C214" s="21" t="str">
        <x:v>F36</x:v>
      </x:c>
      <x:c r="D214" s="21" t="n">
        <x:v>4</x:v>
      </x:c>
      <x:c r="E214" s="21" t="str">
        <x:v>Material tooling and instrument release</x:v>
      </x:c>
      <x:c r="F214" s="42" t="n">
        <x:v>0.96</x:v>
      </x:c>
      <x:c r="G214" s="42" t="n">
        <x:v>0.08</x:v>
      </x:c>
      <x:c r="H214" s="42" t="n">
        <x:v>0.13</x:v>
      </x:c>
      <x:c r="I214" s="42" t="n">
        <x:f>SUM(F214:H214)</x:f>
        <x:v>1.17</x:v>
      </x:c>
      <x:c r="J214" s="42" t="n">
        <x:f>MAX(0,Assumptions!$C$9-MIN($I$211:$I$222))</x:f>
        <x:v>0.018000000000000016</x:v>
      </x:c>
      <x:c r="K214" s="42" t="n">
        <x:f>I214+J214</x:f>
        <x:v>1.188</x:v>
      </x:c>
      <x:c r="L214" s="21" t="str">
        <x:f>IF(K214&gt;=Assumptions!$C$9,"ADEQUATE","GAP")</x:f>
        <x:v>ADEQUATE</x:v>
      </x:c>
      <x:c r="M214" s="42" t="n">
        <x:f>'Stage Standard'!G10</x:f>
        <x:v>0.7333333333333334</x:v>
      </x:c>
      <x:c r="N214" s="42" t="n">
        <x:f>K214*M214/Assumptions!$C$12</x:f>
        <x:v>0.69696</x:v>
      </x:c>
      <x:c r="O214" s="23" t="str">
        <x:f>IF(N214&gt;=1,"ADEQUATE","GAP")</x:f>
        <x:v>GAP</x:v>
      </x:c>
    </x:row>
    <x:row r="215">
      <x:c r="B215" s="21" t="str">
        <x:v>SB-0209</x:v>
      </x:c>
      <x:c r="C215" s="21" t="str">
        <x:v>F36</x:v>
      </x:c>
      <x:c r="D215" s="21" t="n">
        <x:v>5</x:v>
      </x:c>
      <x:c r="E215" s="21" t="str">
        <x:v>Supplier and process activation</x:v>
      </x:c>
      <x:c r="F215" s="42" t="n">
        <x:v>0.95</x:v>
      </x:c>
      <x:c r="G215" s="42" t="n">
        <x:v>0.06</x:v>
      </x:c>
      <x:c r="H215" s="42" t="n">
        <x:v>0.10400000000000001</x:v>
      </x:c>
      <x:c r="I215" s="42" t="n">
        <x:f>SUM(F215:H215)</x:f>
        <x:v>1.114</x:v>
      </x:c>
      <x:c r="J215" s="42" t="n">
        <x:f>MAX(0,Assumptions!$C$9-MIN($I$211:$I$222))</x:f>
        <x:v>0.018000000000000016</x:v>
      </x:c>
      <x:c r="K215" s="42" t="n">
        <x:f>I215+J215</x:f>
        <x:v>1.1320000000000001</x:v>
      </x:c>
      <x:c r="L215" s="21" t="str">
        <x:f>IF(K215&gt;=Assumptions!$C$9,"ADEQUATE","GAP")</x:f>
        <x:v>ADEQUATE</x:v>
      </x:c>
      <x:c r="M215" s="42" t="n">
        <x:f>'Stage Standard'!G11</x:f>
        <x:v>0.7142857142857143</x:v>
      </x:c>
      <x:c r="N215" s="42" t="n">
        <x:f>K215*M215/Assumptions!$C$12</x:f>
        <x:v>0.646857142857143</x:v>
      </x:c>
      <x:c r="O215" s="23" t="str">
        <x:f>IF(N215&gt;=1,"ADEQUATE","GAP")</x:f>
        <x:v>GAP</x:v>
      </x:c>
    </x:row>
    <x:row r="216">
      <x:c r="B216" s="21" t="str">
        <x:v>SB-0210</x:v>
      </x:c>
      <x:c r="C216" s="21" t="str">
        <x:v>F36</x:v>
      </x:c>
      <x:c r="D216" s="21" t="n">
        <x:v>6</x:v>
      </x:c>
      <x:c r="E216" s="21" t="str">
        <x:v>Conforming production</x:v>
      </x:c>
      <x:c r="F216" s="42" t="n">
        <x:v>0.96</x:v>
      </x:c>
      <x:c r="G216" s="42" t="n">
        <x:v>0.08</x:v>
      </x:c>
      <x:c r="H216" s="42" t="n">
        <x:v>0.09100000000000001</x:v>
      </x:c>
      <x:c r="I216" s="42" t="n">
        <x:f>SUM(F216:H216)</x:f>
        <x:v>1.131</x:v>
      </x:c>
      <x:c r="J216" s="42" t="n">
        <x:f>MAX(0,Assumptions!$C$9-MIN($I$211:$I$222))</x:f>
        <x:v>0.018000000000000016</x:v>
      </x:c>
      <x:c r="K216" s="42" t="n">
        <x:f>I216+J216</x:f>
        <x:v>1.149</x:v>
      </x:c>
      <x:c r="L216" s="21" t="str">
        <x:f>IF(K216&gt;=Assumptions!$C$9,"ADEQUATE","GAP")</x:f>
        <x:v>ADEQUATE</x:v>
      </x:c>
      <x:c r="M216" s="42" t="n">
        <x:f>'Stage Standard'!G12</x:f>
        <x:v>0.7142857142857143</x:v>
      </x:c>
      <x:c r="N216" s="42" t="n">
        <x:f>K216*M216/Assumptions!$C$12</x:f>
        <x:v>0.6565714285714286</x:v>
      </x:c>
      <x:c r="O216" s="23" t="str">
        <x:f>IF(N216&gt;=1,"ADEQUATE","GAP")</x:f>
        <x:v>GAP</x:v>
      </x:c>
    </x:row>
    <x:row r="217">
      <x:c r="B217" s="21" t="str">
        <x:v>SB-0211</x:v>
      </x:c>
      <x:c r="C217" s="21" t="str">
        <x:v>F36</x:v>
      </x:c>
      <x:c r="D217" s="21" t="n">
        <x:v>7</x:v>
      </x:c>
      <x:c r="E217" s="21" t="str">
        <x:v>Independent acceptance</x:v>
      </x:c>
      <x:c r="F217" s="42" t="n">
        <x:v>1.05</x:v>
      </x:c>
      <x:c r="G217" s="42" t="n">
        <x:v>0.06</x:v>
      </x:c>
      <x:c r="H217" s="42" t="n">
        <x:v>0.14300000000000002</x:v>
      </x:c>
      <x:c r="I217" s="42" t="n">
        <x:f>SUM(F217:H217)</x:f>
        <x:v>1.2530000000000001</x:v>
      </x:c>
      <x:c r="J217" s="42" t="n">
        <x:f>MAX(0,Assumptions!$C$9-MIN($I$211:$I$222))</x:f>
        <x:v>0.018000000000000016</x:v>
      </x:c>
      <x:c r="K217" s="42" t="n">
        <x:f>I217+J217</x:f>
        <x:v>1.2710000000000001</x:v>
      </x:c>
      <x:c r="L217" s="21" t="str">
        <x:f>IF(K217&gt;=Assumptions!$C$9,"ADEQUATE","GAP")</x:f>
        <x:v>ADEQUATE</x:v>
      </x:c>
      <x:c r="M217" s="42" t="n">
        <x:f>'Stage Standard'!G13</x:f>
        <x:v>0.8125</x:v>
      </x:c>
      <x:c r="N217" s="42" t="n">
        <x:f>K217*M217/Assumptions!$C$12</x:f>
        <x:v>0.8261500000000002</x:v>
      </x:c>
      <x:c r="O217" s="23" t="str">
        <x:f>IF(N217&gt;=1,"ADEQUATE","GAP")</x:f>
        <x:v>GAP</x:v>
      </x:c>
    </x:row>
    <x:row r="218">
      <x:c r="B218" s="21" t="str">
        <x:v>SB-0212</x:v>
      </x:c>
      <x:c r="C218" s="21" t="str">
        <x:v>F36</x:v>
      </x:c>
      <x:c r="D218" s="21" t="n">
        <x:v>8</x:v>
      </x:c>
      <x:c r="E218" s="21" t="str">
        <x:v>Loadout and custody transfer</x:v>
      </x:c>
      <x:c r="F218" s="42" t="n">
        <x:v>0.96</x:v>
      </x:c>
      <x:c r="G218" s="42" t="n">
        <x:v>0.2</x:v>
      </x:c>
      <x:c r="H218" s="42" t="n">
        <x:v>0.052000000000000005</x:v>
      </x:c>
      <x:c r="I218" s="42" t="n">
        <x:f>SUM(F218:H218)</x:f>
        <x:v>1.212</x:v>
      </x:c>
      <x:c r="J218" s="42" t="n">
        <x:f>MAX(0,Assumptions!$C$9-MIN($I$211:$I$222))</x:f>
        <x:v>0.018000000000000016</x:v>
      </x:c>
      <x:c r="K218" s="42" t="n">
        <x:f>I218+J218</x:f>
        <x:v>1.23</x:v>
      </x:c>
      <x:c r="L218" s="21" t="str">
        <x:f>IF(K218&gt;=Assumptions!$C$9,"ADEQUATE","GAP")</x:f>
        <x:v>ADEQUATE</x:v>
      </x:c>
      <x:c r="M218" s="42" t="n">
        <x:f>'Stage Standard'!G14</x:f>
        <x:v>0.7692307692307692</x:v>
      </x:c>
      <x:c r="N218" s="42" t="n">
        <x:f>K218*M218/Assumptions!$C$12</x:f>
        <x:v>0.7569230769230768</x:v>
      </x:c>
      <x:c r="O218" s="23" t="str">
        <x:f>IF(N218&gt;=1,"ADEQUATE","GAP")</x:f>
        <x:v>GAP</x:v>
      </x:c>
    </x:row>
    <x:row r="219">
      <x:c r="B219" s="21" t="str">
        <x:v>SB-0213</x:v>
      </x:c>
      <x:c r="C219" s="21" t="str">
        <x:v>F36</x:v>
      </x:c>
      <x:c r="D219" s="21" t="n">
        <x:v>9</x:v>
      </x:c>
      <x:c r="E219" s="21" t="str">
        <x:v>Strategic transport</x:v>
      </x:c>
      <x:c r="F219" s="42" t="n">
        <x:v>0.8625</x:v>
      </x:c>
      <x:c r="G219" s="42" t="n">
        <x:v>0.2</x:v>
      </x:c>
      <x:c r="H219" s="42" t="n">
        <x:v>0.039</x:v>
      </x:c>
      <x:c r="I219" s="42" t="n">
        <x:f>SUM(F219:H219)</x:f>
        <x:v>1.1015</x:v>
      </x:c>
      <x:c r="J219" s="42" t="n">
        <x:f>MAX(0,Assumptions!$C$9-MIN($I$211:$I$222))</x:f>
        <x:v>0.018000000000000016</x:v>
      </x:c>
      <x:c r="K219" s="42" t="n">
        <x:f>I219+J219</x:f>
        <x:v>1.1195</x:v>
      </x:c>
      <x:c r="L219" s="21" t="str">
        <x:f>IF(K219&gt;=Assumptions!$C$9,"ADEQUATE","GAP")</x:f>
        <x:v>ADEQUATE</x:v>
      </x:c>
      <x:c r="M219" s="42" t="n">
        <x:f>'Stage Standard'!G15</x:f>
        <x:v>0.7692307692307692</x:v>
      </x:c>
      <x:c r="N219" s="42" t="n">
        <x:f>K219*M219/Assumptions!$C$12</x:f>
        <x:v>0.6889230769230769</x:v>
      </x:c>
      <x:c r="O219" s="23" t="str">
        <x:f>IF(N219&gt;=1,"ADEQUATE","GAP")</x:f>
        <x:v>GAP</x:v>
      </x:c>
    </x:row>
    <x:row r="220">
      <x:c r="B220" s="21" t="str">
        <x:v>SB-0214</x:v>
      </x:c>
      <x:c r="C220" s="21" t="str">
        <x:v>F36</x:v>
      </x:c>
      <x:c r="D220" s="21" t="n">
        <x:v>10</x:v>
      </x:c>
      <x:c r="E220" s="21" t="str">
        <x:v>Receiving-node admission</x:v>
      </x:c>
      <x:c r="F220" s="42" t="n">
        <x:v>1</x:v>
      </x:c>
      <x:c r="G220" s="42" t="n">
        <x:v>0.2</x:v>
      </x:c>
      <x:c r="H220" s="42" t="n">
        <x:v>0.052000000000000005</x:v>
      </x:c>
      <x:c r="I220" s="42" t="n">
        <x:f>SUM(F220:H220)</x:f>
        <x:v>1.252</x:v>
      </x:c>
      <x:c r="J220" s="42" t="n">
        <x:f>MAX(0,Assumptions!$C$9-MIN($I$211:$I$222))</x:f>
        <x:v>0.018000000000000016</x:v>
      </x:c>
      <x:c r="K220" s="42" t="n">
        <x:f>I220+J220</x:f>
        <x:v>1.27</x:v>
      </x:c>
      <x:c r="L220" s="21" t="str">
        <x:f>IF(K220&gt;=Assumptions!$C$9,"ADEQUATE","GAP")</x:f>
        <x:v>ADEQUATE</x:v>
      </x:c>
      <x:c r="M220" s="42" t="n">
        <x:f>'Stage Standard'!G16</x:f>
        <x:v>0.7999999999999999</x:v>
      </x:c>
      <x:c r="N220" s="42" t="n">
        <x:f>K220*M220/Assumptions!$C$12</x:f>
        <x:v>0.8128</x:v>
      </x:c>
      <x:c r="O220" s="23" t="str">
        <x:f>IF(N220&gt;=1,"ADEQUATE","GAP")</x:f>
        <x:v>GAP</x:v>
      </x:c>
    </x:row>
    <x:row r="221">
      <x:c r="B221" s="21" t="str">
        <x:v>SB-0215</x:v>
      </x:c>
      <x:c r="C221" s="21" t="str">
        <x:v>F36</x:v>
      </x:c>
      <x:c r="D221" s="21" t="n">
        <x:v>11</x:v>
      </x:c>
      <x:c r="E221" s="21" t="str">
        <x:v>Commissioned public service</x:v>
      </x:c>
      <x:c r="F221" s="42" t="n">
        <x:v>0.98</x:v>
      </x:c>
      <x:c r="G221" s="42" t="n">
        <x:v>0.2</x:v>
      </x:c>
      <x:c r="H221" s="42" t="n">
        <x:v>0.052000000000000005</x:v>
      </x:c>
      <x:c r="I221" s="42" t="n">
        <x:f>SUM(F221:H221)</x:f>
        <x:v>1.232</x:v>
      </x:c>
      <x:c r="J221" s="42" t="n">
        <x:f>MAX(0,Assumptions!$C$9-MIN($I$211:$I$222))</x:f>
        <x:v>0.018000000000000016</x:v>
      </x:c>
      <x:c r="K221" s="42" t="n">
        <x:f>I221+J221</x:f>
        <x:v>1.25</x:v>
      </x:c>
      <x:c r="L221" s="21" t="str">
        <x:f>IF(K221&gt;=Assumptions!$C$9,"ADEQUATE","GAP")</x:f>
        <x:v>ADEQUATE</x:v>
      </x:c>
      <x:c r="M221" s="42" t="n">
        <x:f>'Stage Standard'!G17</x:f>
        <x:v>0.7857142857142858</x:v>
      </x:c>
      <x:c r="N221" s="42" t="n">
        <x:f>K221*M221/Assumptions!$C$12</x:f>
        <x:v>0.7857142857142858</x:v>
      </x:c>
      <x:c r="O221" s="23" t="str">
        <x:f>IF(N221&gt;=1,"ADEQUATE","GAP")</x:f>
        <x:v>GAP</x:v>
      </x:c>
    </x:row>
    <x:row r="222">
      <x:c r="B222" s="21" t="str">
        <x:v>SB-0216</x:v>
      </x:c>
      <x:c r="C222" s="21" t="str">
        <x:v>F36</x:v>
      </x:c>
      <x:c r="D222" s="21" t="n">
        <x:v>12</x:v>
      </x:c>
      <x:c r="E222" s="21" t="str">
        <x:v>Regeneration and replacement</x:v>
      </x:c>
      <x:c r="F222" s="42" t="n">
        <x:v>0.9</x:v>
      </x:c>
      <x:c r="G222" s="42" t="n">
        <x:v>0.12</x:v>
      </x:c>
      <x:c r="H222" s="42" t="n">
        <x:v>0.078</x:v>
      </x:c>
      <x:c r="I222" s="42" t="n">
        <x:f>SUM(F222:H222)</x:f>
        <x:v>1.098</x:v>
      </x:c>
      <x:c r="J222" s="42" t="n">
        <x:f>MAX(0,Assumptions!$C$9-MIN($I$211:$I$222))</x:f>
        <x:v>0.018000000000000016</x:v>
      </x:c>
      <x:c r="K222" s="42" t="n">
        <x:f>I222+J222</x:f>
        <x:v>1.116</x:v>
      </x:c>
      <x:c r="L222" s="21" t="str">
        <x:f>IF(K222&gt;=Assumptions!$C$9,"ADEQUATE","GAP")</x:f>
        <x:v>ADEQUATE</x:v>
      </x:c>
      <x:c r="M222" s="42" t="n">
        <x:f>'Stage Standard'!G18</x:f>
        <x:v>0.7142857142857143</x:v>
      </x:c>
      <x:c r="N222" s="42" t="n">
        <x:f>K222*M222/Assumptions!$C$12</x:f>
        <x:v>0.6377142857142858</x:v>
      </x:c>
      <x:c r="O222" s="23" t="str">
        <x:f>IF(N222&gt;=1,"ADEQUATE","GAP")</x:f>
        <x:v>GAP</x:v>
      </x:c>
    </x:row>
    <x:row r="223">
      <x:c r="B223" s="21" t="str">
        <x:v>SB-0217</x:v>
      </x:c>
      <x:c r="C223" s="21" t="str">
        <x:v>F37</x:v>
      </x:c>
      <x:c r="D223" s="21" t="n">
        <x:v>1</x:v>
      </x:c>
      <x:c r="E223" s="21" t="str">
        <x:v>Alert authentication</x:v>
      </x:c>
      <x:c r="F223" s="42" t="n">
        <x:v>1.15</x:v>
      </x:c>
      <x:c r="G223" s="42" t="n">
        <x:v>0</x:v>
      </x:c>
      <x:c r="H223" s="42" t="n">
        <x:v>0</x:v>
      </x:c>
      <x:c r="I223" s="42" t="n">
        <x:f>SUM(F223:H223)</x:f>
        <x:v>1.15</x:v>
      </x:c>
      <x:c r="J223" s="42" t="n">
        <x:f>MAX(0,Assumptions!$C$9-MIN($I$223:$I$234))</x:f>
        <x:v>0.08499999999999996</x:v>
      </x:c>
      <x:c r="K223" s="42" t="n">
        <x:f>I223+J223</x:f>
        <x:v>1.2349999999999999</x:v>
      </x:c>
      <x:c r="L223" s="21" t="str">
        <x:f>IF(K223&gt;=Assumptions!$C$9,"ADEQUATE","GAP")</x:f>
        <x:v>ADEQUATE</x:v>
      </x:c>
      <x:c r="M223" s="42" t="n">
        <x:f>'Stage Standard'!G7</x:f>
        <x:v>0.7999999999999999</x:v>
      </x:c>
      <x:c r="N223" s="42" t="n">
        <x:f>K223*M223/Assumptions!$C$12</x:f>
        <x:v>0.7903999999999998</x:v>
      </x:c>
      <x:c r="O223" s="23" t="str">
        <x:f>IF(N223&gt;=1,"ADEQUATE","GAP")</x:f>
        <x:v>GAP</x:v>
      </x:c>
    </x:row>
    <x:row r="224">
      <x:c r="B224" s="21" t="str">
        <x:v>SB-0218</x:v>
      </x:c>
      <x:c r="C224" s="21" t="str">
        <x:v>F37</x:v>
      </x:c>
      <x:c r="D224" s="21" t="n">
        <x:v>2</x:v>
      </x:c>
      <x:c r="E224" s="21" t="str">
        <x:v>Workforce muster</x:v>
      </x:c>
      <x:c r="F224" s="42" t="n">
        <x:v>1.05</x:v>
      </x:c>
      <x:c r="G224" s="42" t="n">
        <x:v>0.03</x:v>
      </x:c>
      <x:c r="H224" s="42" t="n">
        <x:v>0.0195</x:v>
      </x:c>
      <x:c r="I224" s="42" t="n">
        <x:f>SUM(F224:H224)</x:f>
        <x:v>1.0995000000000001</x:v>
      </x:c>
      <x:c r="J224" s="42" t="n">
        <x:f>MAX(0,Assumptions!$C$9-MIN($I$223:$I$234))</x:f>
        <x:v>0.08499999999999996</x:v>
      </x:c>
      <x:c r="K224" s="42" t="n">
        <x:f>I224+J224</x:f>
        <x:v>1.1845</x:v>
      </x:c>
      <x:c r="L224" s="21" t="str">
        <x:f>IF(K224&gt;=Assumptions!$C$9,"ADEQUATE","GAP")</x:f>
        <x:v>ADEQUATE</x:v>
      </x:c>
      <x:c r="M224" s="42" t="n">
        <x:f>'Stage Standard'!G8</x:f>
        <x:v>0.8125</x:v>
      </x:c>
      <x:c r="N224" s="42" t="n">
        <x:f>K224*M224/Assumptions!$C$12</x:f>
        <x:v>0.7699250000000001</x:v>
      </x:c>
      <x:c r="O224" s="23" t="str">
        <x:f>IF(N224&gt;=1,"ADEQUATE","GAP")</x:f>
        <x:v>GAP</x:v>
      </x:c>
    </x:row>
    <x:row r="225">
      <x:c r="B225" s="21" t="str">
        <x:v>SB-0219</x:v>
      </x:c>
      <x:c r="C225" s="21" t="str">
        <x:v>F37</x:v>
      </x:c>
      <x:c r="D225" s="21" t="n">
        <x:v>3</x:v>
      </x:c>
      <x:c r="E225" s="21" t="str">
        <x:v>Facility utility and safe start</x:v>
      </x:c>
      <x:c r="F225" s="42" t="n">
        <x:v>0.9</x:v>
      </x:c>
      <x:c r="G225" s="42" t="n">
        <x:v>0.2</x:v>
      </x:c>
      <x:c r="H225" s="42" t="n">
        <x:v>0.052000000000000005</x:v>
      </x:c>
      <x:c r="I225" s="42" t="n">
        <x:f>SUM(F225:H225)</x:f>
        <x:v>1.1520000000000001</x:v>
      </x:c>
      <x:c r="J225" s="42" t="n">
        <x:f>MAX(0,Assumptions!$C$9-MIN($I$223:$I$234))</x:f>
        <x:v>0.08499999999999996</x:v>
      </x:c>
      <x:c r="K225" s="42" t="n">
        <x:f>I225+J225</x:f>
        <x:v>1.237</x:v>
      </x:c>
      <x:c r="L225" s="21" t="str">
        <x:f>IF(K225&gt;=Assumptions!$C$9,"ADEQUATE","GAP")</x:f>
        <x:v>ADEQUATE</x:v>
      </x:c>
      <x:c r="M225" s="42" t="n">
        <x:f>'Stage Standard'!G9</x:f>
        <x:v>0.7857142857142858</x:v>
      </x:c>
      <x:c r="N225" s="42" t="n">
        <x:f>K225*M225/Assumptions!$C$12</x:f>
        <x:v>0.7775428571428573</x:v>
      </x:c>
      <x:c r="O225" s="23" t="str">
        <x:f>IF(N225&gt;=1,"ADEQUATE","GAP")</x:f>
        <x:v>GAP</x:v>
      </x:c>
    </x:row>
    <x:row r="226">
      <x:c r="B226" s="21" t="str">
        <x:v>SB-0220</x:v>
      </x:c>
      <x:c r="C226" s="21" t="str">
        <x:v>F37</x:v>
      </x:c>
      <x:c r="D226" s="21" t="n">
        <x:v>4</x:v>
      </x:c>
      <x:c r="E226" s="21" t="str">
        <x:v>Material tooling and instrument release</x:v>
      </x:c>
      <x:c r="F226" s="42" t="n">
        <x:v>1</x:v>
      </x:c>
      <x:c r="G226" s="42" t="n">
        <x:v>0.08</x:v>
      </x:c>
      <x:c r="H226" s="42" t="n">
        <x:v>0.11699999999999999</x:v>
      </x:c>
      <x:c r="I226" s="42" t="n">
        <x:f>SUM(F226:H226)</x:f>
        <x:v>1.197</x:v>
      </x:c>
      <x:c r="J226" s="42" t="n">
        <x:f>MAX(0,Assumptions!$C$9-MIN($I$223:$I$234))</x:f>
        <x:v>0.08499999999999996</x:v>
      </x:c>
      <x:c r="K226" s="42" t="n">
        <x:f>I226+J226</x:f>
        <x:v>1.282</x:v>
      </x:c>
      <x:c r="L226" s="21" t="str">
        <x:f>IF(K226&gt;=Assumptions!$C$9,"ADEQUATE","GAP")</x:f>
        <x:v>ADEQUATE</x:v>
      </x:c>
      <x:c r="M226" s="42" t="n">
        <x:f>'Stage Standard'!G10</x:f>
        <x:v>0.7333333333333334</x:v>
      </x:c>
      <x:c r="N226" s="42" t="n">
        <x:f>K226*M226/Assumptions!$C$12</x:f>
        <x:v>0.7521066666666667</x:v>
      </x:c>
      <x:c r="O226" s="23" t="str">
        <x:f>IF(N226&gt;=1,"ADEQUATE","GAP")</x:f>
        <x:v>GAP</x:v>
      </x:c>
    </x:row>
    <x:row r="227">
      <x:c r="B227" s="21" t="str">
        <x:v>SB-0221</x:v>
      </x:c>
      <x:c r="C227" s="21" t="str">
        <x:v>F37</x:v>
      </x:c>
      <x:c r="D227" s="21" t="n">
        <x:v>5</x:v>
      </x:c>
      <x:c r="E227" s="21" t="str">
        <x:v>Supplier and process activation</x:v>
      </x:c>
      <x:c r="F227" s="42" t="n">
        <x:v>0.95</x:v>
      </x:c>
      <x:c r="G227" s="42" t="n">
        <x:v>0.12</x:v>
      </x:c>
      <x:c r="H227" s="42" t="n">
        <x:v>0.078</x:v>
      </x:c>
      <x:c r="I227" s="42" t="n">
        <x:f>SUM(F227:H227)</x:f>
        <x:v>1.148</x:v>
      </x:c>
      <x:c r="J227" s="42" t="n">
        <x:f>MAX(0,Assumptions!$C$9-MIN($I$223:$I$234))</x:f>
        <x:v>0.08499999999999996</x:v>
      </x:c>
      <x:c r="K227" s="42" t="n">
        <x:f>I227+J227</x:f>
        <x:v>1.2329999999999999</x:v>
      </x:c>
      <x:c r="L227" s="21" t="str">
        <x:f>IF(K227&gt;=Assumptions!$C$9,"ADEQUATE","GAP")</x:f>
        <x:v>ADEQUATE</x:v>
      </x:c>
      <x:c r="M227" s="42" t="n">
        <x:f>'Stage Standard'!G11</x:f>
        <x:v>0.7142857142857143</x:v>
      </x:c>
      <x:c r="N227" s="42" t="n">
        <x:f>K227*M227/Assumptions!$C$12</x:f>
        <x:v>0.7045714285714285</x:v>
      </x:c>
      <x:c r="O227" s="23" t="str">
        <x:f>IF(N227&gt;=1,"ADEQUATE","GAP")</x:f>
        <x:v>GAP</x:v>
      </x:c>
    </x:row>
    <x:row r="228">
      <x:c r="B228" s="21" t="str">
        <x:v>SB-0222</x:v>
      </x:c>
      <x:c r="C228" s="21" t="str">
        <x:v>F37</x:v>
      </x:c>
      <x:c r="D228" s="21" t="n">
        <x:v>6</x:v>
      </x:c>
      <x:c r="E228" s="21" t="str">
        <x:v>Conforming production</x:v>
      </x:c>
      <x:c r="F228" s="42" t="n">
        <x:v>0.96</x:v>
      </x:c>
      <x:c r="G228" s="42" t="n">
        <x:v>0.12</x:v>
      </x:c>
      <x:c r="H228" s="42" t="n">
        <x:v>0.09100000000000001</x:v>
      </x:c>
      <x:c r="I228" s="42" t="n">
        <x:f>SUM(F228:H228)</x:f>
        <x:v>1.171</x:v>
      </x:c>
      <x:c r="J228" s="42" t="n">
        <x:f>MAX(0,Assumptions!$C$9-MIN($I$223:$I$234))</x:f>
        <x:v>0.08499999999999996</x:v>
      </x:c>
      <x:c r="K228" s="42" t="n">
        <x:f>I228+J228</x:f>
        <x:v>1.256</x:v>
      </x:c>
      <x:c r="L228" s="21" t="str">
        <x:f>IF(K228&gt;=Assumptions!$C$9,"ADEQUATE","GAP")</x:f>
        <x:v>ADEQUATE</x:v>
      </x:c>
      <x:c r="M228" s="42" t="n">
        <x:f>'Stage Standard'!G12</x:f>
        <x:v>0.7142857142857143</x:v>
      </x:c>
      <x:c r="N228" s="42" t="n">
        <x:f>K228*M228/Assumptions!$C$12</x:f>
        <x:v>0.7177142857142857</x:v>
      </x:c>
      <x:c r="O228" s="23" t="str">
        <x:f>IF(N228&gt;=1,"ADEQUATE","GAP")</x:f>
        <x:v>GAP</x:v>
      </x:c>
    </x:row>
    <x:row r="229">
      <x:c r="B229" s="21" t="str">
        <x:v>SB-0223</x:v>
      </x:c>
      <x:c r="C229" s="21" t="str">
        <x:v>F37</x:v>
      </x:c>
      <x:c r="D229" s="21" t="n">
        <x:v>7</x:v>
      </x:c>
      <x:c r="E229" s="21" t="str">
        <x:v>Independent acceptance</x:v>
      </x:c>
      <x:c r="F229" s="42" t="n">
        <x:v>1.05</x:v>
      </x:c>
      <x:c r="G229" s="42" t="n">
        <x:v>0.08</x:v>
      </x:c>
      <x:c r="H229" s="42" t="n">
        <x:v>0.052000000000000005</x:v>
      </x:c>
      <x:c r="I229" s="42" t="n">
        <x:f>SUM(F229:H229)</x:f>
        <x:v>1.1820000000000002</x:v>
      </x:c>
      <x:c r="J229" s="42" t="n">
        <x:f>MAX(0,Assumptions!$C$9-MIN($I$223:$I$234))</x:f>
        <x:v>0.08499999999999996</x:v>
      </x:c>
      <x:c r="K229" s="42" t="n">
        <x:f>I229+J229</x:f>
        <x:v>1.2670000000000001</x:v>
      </x:c>
      <x:c r="L229" s="21" t="str">
        <x:f>IF(K229&gt;=Assumptions!$C$9,"ADEQUATE","GAP")</x:f>
        <x:v>ADEQUATE</x:v>
      </x:c>
      <x:c r="M229" s="42" t="n">
        <x:f>'Stage Standard'!G13</x:f>
        <x:v>0.8125</x:v>
      </x:c>
      <x:c r="N229" s="42" t="n">
        <x:f>K229*M229/Assumptions!$C$12</x:f>
        <x:v>0.82355</x:v>
      </x:c>
      <x:c r="O229" s="23" t="str">
        <x:f>IF(N229&gt;=1,"ADEQUATE","GAP")</x:f>
        <x:v>GAP</x:v>
      </x:c>
    </x:row>
    <x:row r="230">
      <x:c r="B230" s="21" t="str">
        <x:v>SB-0224</x:v>
      </x:c>
      <x:c r="C230" s="21" t="str">
        <x:v>F37</x:v>
      </x:c>
      <x:c r="D230" s="21" t="n">
        <x:v>8</x:v>
      </x:c>
      <x:c r="E230" s="21" t="str">
        <x:v>Loadout and custody transfer</x:v>
      </x:c>
      <x:c r="F230" s="42" t="n">
        <x:v>0.96</x:v>
      </x:c>
      <x:c r="G230" s="42" t="n">
        <x:v>0.05</x:v>
      </x:c>
      <x:c r="H230" s="42" t="n">
        <x:v>0.039</x:v>
      </x:c>
      <x:c r="I230" s="42" t="n">
        <x:f>SUM(F230:H230)</x:f>
        <x:v>1.049</x:v>
      </x:c>
      <x:c r="J230" s="42" t="n">
        <x:f>MAX(0,Assumptions!$C$9-MIN($I$223:$I$234))</x:f>
        <x:v>0.08499999999999996</x:v>
      </x:c>
      <x:c r="K230" s="42" t="n">
        <x:f>I230+J230</x:f>
        <x:v>1.134</x:v>
      </x:c>
      <x:c r="L230" s="21" t="str">
        <x:f>IF(K230&gt;=Assumptions!$C$9,"ADEQUATE","GAP")</x:f>
        <x:v>ADEQUATE</x:v>
      </x:c>
      <x:c r="M230" s="42" t="n">
        <x:f>'Stage Standard'!G14</x:f>
        <x:v>0.7692307692307692</x:v>
      </x:c>
      <x:c r="N230" s="42" t="n">
        <x:f>K230*M230/Assumptions!$C$12</x:f>
        <x:v>0.6978461538461537</x:v>
      </x:c>
      <x:c r="O230" s="23" t="str">
        <x:f>IF(N230&gt;=1,"ADEQUATE","GAP")</x:f>
        <x:v>GAP</x:v>
      </x:c>
    </x:row>
    <x:row r="231">
      <x:c r="B231" s="21" t="str">
        <x:v>SB-0225</x:v>
      </x:c>
      <x:c r="C231" s="21" t="str">
        <x:v>F37</x:v>
      </x:c>
      <x:c r="D231" s="21" t="n">
        <x:v>9</x:v>
      </x:c>
      <x:c r="E231" s="21" t="str">
        <x:v>Strategic transport</x:v>
      </x:c>
      <x:c r="F231" s="42" t="n">
        <x:v>0.9425</x:v>
      </x:c>
      <x:c r="G231" s="42" t="n">
        <x:v>0.04</x:v>
      </x:c>
      <x:c r="H231" s="42" t="n">
        <x:v>0.0325</x:v>
      </x:c>
      <x:c r="I231" s="42" t="n">
        <x:f>SUM(F231:H231)</x:f>
        <x:v>1.0150000000000001</x:v>
      </x:c>
      <x:c r="J231" s="42" t="n">
        <x:f>MAX(0,Assumptions!$C$9-MIN($I$223:$I$234))</x:f>
        <x:v>0.08499999999999996</x:v>
      </x:c>
      <x:c r="K231" s="42" t="n">
        <x:f>I231+J231</x:f>
        <x:v>1.1</x:v>
      </x:c>
      <x:c r="L231" s="21" t="str">
        <x:f>IF(K231&gt;=Assumptions!$C$9,"ADEQUATE","GAP")</x:f>
        <x:v>ADEQUATE</x:v>
      </x:c>
      <x:c r="M231" s="42" t="n">
        <x:f>'Stage Standard'!G15</x:f>
        <x:v>0.7692307692307692</x:v>
      </x:c>
      <x:c r="N231" s="42" t="n">
        <x:f>K231*M231/Assumptions!$C$12</x:f>
        <x:v>0.676923076923077</x:v>
      </x:c>
      <x:c r="O231" s="23" t="str">
        <x:f>IF(N231&gt;=1,"ADEQUATE","GAP")</x:f>
        <x:v>GAP</x:v>
      </x:c>
    </x:row>
    <x:row r="232">
      <x:c r="B232" s="21" t="str">
        <x:v>SB-0226</x:v>
      </x:c>
      <x:c r="C232" s="21" t="str">
        <x:v>F37</x:v>
      </x:c>
      <x:c r="D232" s="21" t="n">
        <x:v>10</x:v>
      </x:c>
      <x:c r="E232" s="21" t="str">
        <x:v>Receiving-node admission</x:v>
      </x:c>
      <x:c r="F232" s="42" t="n">
        <x:v>1</x:v>
      </x:c>
      <x:c r="G232" s="42" t="n">
        <x:v>0.1</x:v>
      </x:c>
      <x:c r="H232" s="42" t="n">
        <x:v>0.052000000000000005</x:v>
      </x:c>
      <x:c r="I232" s="42" t="n">
        <x:f>SUM(F232:H232)</x:f>
        <x:v>1.1520000000000001</x:v>
      </x:c>
      <x:c r="J232" s="42" t="n">
        <x:f>MAX(0,Assumptions!$C$9-MIN($I$223:$I$234))</x:f>
        <x:v>0.08499999999999996</x:v>
      </x:c>
      <x:c r="K232" s="42" t="n">
        <x:f>I232+J232</x:f>
        <x:v>1.237</x:v>
      </x:c>
      <x:c r="L232" s="21" t="str">
        <x:f>IF(K232&gt;=Assumptions!$C$9,"ADEQUATE","GAP")</x:f>
        <x:v>ADEQUATE</x:v>
      </x:c>
      <x:c r="M232" s="42" t="n">
        <x:f>'Stage Standard'!G16</x:f>
        <x:v>0.7999999999999999</x:v>
      </x:c>
      <x:c r="N232" s="42" t="n">
        <x:f>K232*M232/Assumptions!$C$12</x:f>
        <x:v>0.79168</x:v>
      </x:c>
      <x:c r="O232" s="23" t="str">
        <x:f>IF(N232&gt;=1,"ADEQUATE","GAP")</x:f>
        <x:v>GAP</x:v>
      </x:c>
    </x:row>
    <x:row r="233">
      <x:c r="B233" s="21" t="str">
        <x:v>SB-0227</x:v>
      </x:c>
      <x:c r="C233" s="21" t="str">
        <x:v>F37</x:v>
      </x:c>
      <x:c r="D233" s="21" t="n">
        <x:v>11</x:v>
      </x:c>
      <x:c r="E233" s="21" t="str">
        <x:v>Commissioned public service</x:v>
      </x:c>
      <x:c r="F233" s="42" t="n">
        <x:v>0.98</x:v>
      </x:c>
      <x:c r="G233" s="42" t="n">
        <x:v>0.18</x:v>
      </x:c>
      <x:c r="H233" s="42" t="n">
        <x:v>0.052000000000000005</x:v>
      </x:c>
      <x:c r="I233" s="42" t="n">
        <x:f>SUM(F233:H233)</x:f>
        <x:v>1.212</x:v>
      </x:c>
      <x:c r="J233" s="42" t="n">
        <x:f>MAX(0,Assumptions!$C$9-MIN($I$223:$I$234))</x:f>
        <x:v>0.08499999999999996</x:v>
      </x:c>
      <x:c r="K233" s="42" t="n">
        <x:f>I233+J233</x:f>
        <x:v>1.297</x:v>
      </x:c>
      <x:c r="L233" s="21" t="str">
        <x:f>IF(K233&gt;=Assumptions!$C$9,"ADEQUATE","GAP")</x:f>
        <x:v>ADEQUATE</x:v>
      </x:c>
      <x:c r="M233" s="42" t="n">
        <x:f>'Stage Standard'!G17</x:f>
        <x:v>0.7857142857142858</x:v>
      </x:c>
      <x:c r="N233" s="42" t="n">
        <x:f>K233*M233/Assumptions!$C$12</x:f>
        <x:v>0.8152571428571429</x:v>
      </x:c>
      <x:c r="O233" s="23" t="str">
        <x:f>IF(N233&gt;=1,"ADEQUATE","GAP")</x:f>
        <x:v>GAP</x:v>
      </x:c>
    </x:row>
    <x:row r="234">
      <x:c r="B234" s="21" t="str">
        <x:v>SB-0228</x:v>
      </x:c>
      <x:c r="C234" s="21" t="str">
        <x:v>F37</x:v>
      </x:c>
      <x:c r="D234" s="21" t="n">
        <x:v>12</x:v>
      </x:c>
      <x:c r="E234" s="21" t="str">
        <x:v>Regeneration and replacement</x:v>
      </x:c>
      <x:c r="F234" s="42" t="n">
        <x:v>0.86</x:v>
      </x:c>
      <x:c r="G234" s="42" t="n">
        <x:v>0.14</x:v>
      </x:c>
      <x:c r="H234" s="42" t="n">
        <x:v>0.18200000000000002</x:v>
      </x:c>
      <x:c r="I234" s="42" t="n">
        <x:f>SUM(F234:H234)</x:f>
        <x:v>1.182</x:v>
      </x:c>
      <x:c r="J234" s="42" t="n">
        <x:f>MAX(0,Assumptions!$C$9-MIN($I$223:$I$234))</x:f>
        <x:v>0.08499999999999996</x:v>
      </x:c>
      <x:c r="K234" s="42" t="n">
        <x:f>I234+J234</x:f>
        <x:v>1.267</x:v>
      </x:c>
      <x:c r="L234" s="21" t="str">
        <x:f>IF(K234&gt;=Assumptions!$C$9,"ADEQUATE","GAP")</x:f>
        <x:v>ADEQUATE</x:v>
      </x:c>
      <x:c r="M234" s="42" t="n">
        <x:f>'Stage Standard'!G18</x:f>
        <x:v>0.7142857142857143</x:v>
      </x:c>
      <x:c r="N234" s="42" t="n">
        <x:f>K234*M234/Assumptions!$C$12</x:f>
        <x:v>0.724</x:v>
      </x:c>
      <x:c r="O234" s="23" t="str">
        <x:f>IF(N234&gt;=1,"ADEQUATE","GAP")</x:f>
        <x:v>GAP</x:v>
      </x:c>
    </x:row>
    <x:row r="235">
      <x:c r="B235" s="21" t="str">
        <x:v>SB-0229</x:v>
      </x:c>
      <x:c r="C235" s="21" t="str">
        <x:v>F45</x:v>
      </x:c>
      <x:c r="D235" s="21" t="n">
        <x:v>1</x:v>
      </x:c>
      <x:c r="E235" s="21" t="str">
        <x:v>Alert authentication</x:v>
      </x:c>
      <x:c r="F235" s="42" t="n">
        <x:v>1.05</x:v>
      </x:c>
      <x:c r="G235" s="42" t="n">
        <x:v>0</x:v>
      </x:c>
      <x:c r="H235" s="42" t="n">
        <x:v>0</x:v>
      </x:c>
      <x:c r="I235" s="42" t="n">
        <x:f>SUM(F235:H235)</x:f>
        <x:v>1.05</x:v>
      </x:c>
      <x:c r="J235" s="42" t="n">
        <x:f>MAX(0,Assumptions!$C$9-MIN($I$235:$I$246))</x:f>
        <x:v>0.12900000000000011</x:v>
      </x:c>
      <x:c r="K235" s="42" t="n">
        <x:f>I235+J235</x:f>
        <x:v>1.1790000000000003</x:v>
      </x:c>
      <x:c r="L235" s="21" t="str">
        <x:f>IF(K235&gt;=Assumptions!$C$9,"ADEQUATE","GAP")</x:f>
        <x:v>ADEQUATE</x:v>
      </x:c>
      <x:c r="M235" s="42" t="n">
        <x:f>'Stage Standard'!G7</x:f>
        <x:v>0.7999999999999999</x:v>
      </x:c>
      <x:c r="N235" s="42" t="n">
        <x:f>K235*M235/Assumptions!$C$12</x:f>
        <x:v>0.7545600000000001</x:v>
      </x:c>
      <x:c r="O235" s="23" t="str">
        <x:f>IF(N235&gt;=1,"ADEQUATE","GAP")</x:f>
        <x:v>GAP</x:v>
      </x:c>
    </x:row>
    <x:row r="236">
      <x:c r="B236" s="21" t="str">
        <x:v>SB-0230</x:v>
      </x:c>
      <x:c r="C236" s="21" t="str">
        <x:v>F45</x:v>
      </x:c>
      <x:c r="D236" s="21" t="n">
        <x:v>2</x:v>
      </x:c>
      <x:c r="E236" s="21" t="str">
        <x:v>Workforce muster</x:v>
      </x:c>
      <x:c r="F236" s="42" t="n">
        <x:v>0.92</x:v>
      </x:c>
      <x:c r="G236" s="42" t="n">
        <x:v>0.04</x:v>
      </x:c>
      <x:c r="H236" s="42" t="n">
        <x:v>0.0195</x:v>
      </x:c>
      <x:c r="I236" s="42" t="n">
        <x:f>SUM(F236:H236)</x:f>
        <x:v>0.9795</x:v>
      </x:c>
      <x:c r="J236" s="42" t="n">
        <x:f>MAX(0,Assumptions!$C$9-MIN($I$235:$I$246))</x:f>
        <x:v>0.12900000000000011</x:v>
      </x:c>
      <x:c r="K236" s="42" t="n">
        <x:f>I236+J236</x:f>
        <x:v>1.1085000000000003</x:v>
      </x:c>
      <x:c r="L236" s="21" t="str">
        <x:f>IF(K236&gt;=Assumptions!$C$9,"ADEQUATE","GAP")</x:f>
        <x:v>ADEQUATE</x:v>
      </x:c>
      <x:c r="M236" s="42" t="n">
        <x:f>'Stage Standard'!G8</x:f>
        <x:v>0.8125</x:v>
      </x:c>
      <x:c r="N236" s="42" t="n">
        <x:f>K236*M236/Assumptions!$C$12</x:f>
        <x:v>0.7205250000000001</x:v>
      </x:c>
      <x:c r="O236" s="23" t="str">
        <x:f>IF(N236&gt;=1,"ADEQUATE","GAP")</x:f>
        <x:v>GAP</x:v>
      </x:c>
    </x:row>
    <x:row r="237">
      <x:c r="B237" s="21" t="str">
        <x:v>SB-0231</x:v>
      </x:c>
      <x:c r="C237" s="21" t="str">
        <x:v>F45</x:v>
      </x:c>
      <x:c r="D237" s="21" t="n">
        <x:v>3</x:v>
      </x:c>
      <x:c r="E237" s="21" t="str">
        <x:v>Facility utility and safe start</x:v>
      </x:c>
      <x:c r="F237" s="42" t="n">
        <x:v>0.88</x:v>
      </x:c>
      <x:c r="G237" s="42" t="n">
        <x:v>0.05</x:v>
      </x:c>
      <x:c r="H237" s="42" t="n">
        <x:v>0.052000000000000005</x:v>
      </x:c>
      <x:c r="I237" s="42" t="n">
        <x:f>SUM(F237:H237)</x:f>
        <x:v>0.9820000000000001</x:v>
      </x:c>
      <x:c r="J237" s="42" t="n">
        <x:f>MAX(0,Assumptions!$C$9-MIN($I$235:$I$246))</x:f>
        <x:v>0.12900000000000011</x:v>
      </x:c>
      <x:c r="K237" s="42" t="n">
        <x:f>I237+J237</x:f>
        <x:v>1.1110000000000002</x:v>
      </x:c>
      <x:c r="L237" s="21" t="str">
        <x:f>IF(K237&gt;=Assumptions!$C$9,"ADEQUATE","GAP")</x:f>
        <x:v>ADEQUATE</x:v>
      </x:c>
      <x:c r="M237" s="42" t="n">
        <x:f>'Stage Standard'!G9</x:f>
        <x:v>0.7857142857142858</x:v>
      </x:c>
      <x:c r="N237" s="42" t="n">
        <x:f>K237*M237/Assumptions!$C$12</x:f>
        <x:v>0.6983428571428574</x:v>
      </x:c>
      <x:c r="O237" s="23" t="str">
        <x:f>IF(N237&gt;=1,"ADEQUATE","GAP")</x:f>
        <x:v>GAP</x:v>
      </x:c>
    </x:row>
    <x:row r="238">
      <x:c r="B238" s="21" t="str">
        <x:v>SB-0232</x:v>
      </x:c>
      <x:c r="C238" s="21" t="str">
        <x:v>F45</x:v>
      </x:c>
      <x:c r="D238" s="21" t="n">
        <x:v>4</x:v>
      </x:c>
      <x:c r="E238" s="21" t="str">
        <x:v>Material tooling and instrument release</x:v>
      </x:c>
      <x:c r="F238" s="42" t="n">
        <x:v>0.9</x:v>
      </x:c>
      <x:c r="G238" s="42" t="n">
        <x:v>0.08</x:v>
      </x:c>
      <x:c r="H238" s="42" t="n">
        <x:v>0.078</x:v>
      </x:c>
      <x:c r="I238" s="42" t="n">
        <x:f>SUM(F238:H238)</x:f>
        <x:v>1.058</x:v>
      </x:c>
      <x:c r="J238" s="42" t="n">
        <x:f>MAX(0,Assumptions!$C$9-MIN($I$235:$I$246))</x:f>
        <x:v>0.12900000000000011</x:v>
      </x:c>
      <x:c r="K238" s="42" t="n">
        <x:f>I238+J238</x:f>
        <x:v>1.1870000000000003</x:v>
      </x:c>
      <x:c r="L238" s="21" t="str">
        <x:f>IF(K238&gt;=Assumptions!$C$9,"ADEQUATE","GAP")</x:f>
        <x:v>ADEQUATE</x:v>
      </x:c>
      <x:c r="M238" s="42" t="n">
        <x:f>'Stage Standard'!G10</x:f>
        <x:v>0.7333333333333334</x:v>
      </x:c>
      <x:c r="N238" s="42" t="n">
        <x:f>K238*M238/Assumptions!$C$12</x:f>
        <x:v>0.6963733333333335</x:v>
      </x:c>
      <x:c r="O238" s="23" t="str">
        <x:f>IF(N238&gt;=1,"ADEQUATE","GAP")</x:f>
        <x:v>GAP</x:v>
      </x:c>
    </x:row>
    <x:row r="239">
      <x:c r="B239" s="21" t="str">
        <x:v>SB-0233</x:v>
      </x:c>
      <x:c r="C239" s="21" t="str">
        <x:v>F45</x:v>
      </x:c>
      <x:c r="D239" s="21" t="n">
        <x:v>5</x:v>
      </x:c>
      <x:c r="E239" s="21" t="str">
        <x:v>Supplier and process activation</x:v>
      </x:c>
      <x:c r="F239" s="42" t="n">
        <x:v>0.84</x:v>
      </x:c>
      <x:c r="G239" s="42" t="n">
        <x:v>0.06</x:v>
      </x:c>
      <x:c r="H239" s="42" t="n">
        <x:v>0.0975</x:v>
      </x:c>
      <x:c r="I239" s="42" t="n">
        <x:f>SUM(F239:H239)</x:f>
        <x:v>0.9974999999999999</x:v>
      </x:c>
      <x:c r="J239" s="42" t="n">
        <x:f>MAX(0,Assumptions!$C$9-MIN($I$235:$I$246))</x:f>
        <x:v>0.12900000000000011</x:v>
      </x:c>
      <x:c r="K239" s="42" t="n">
        <x:f>I239+J239</x:f>
        <x:v>1.1265</x:v>
      </x:c>
      <x:c r="L239" s="21" t="str">
        <x:f>IF(K239&gt;=Assumptions!$C$9,"ADEQUATE","GAP")</x:f>
        <x:v>ADEQUATE</x:v>
      </x:c>
      <x:c r="M239" s="42" t="n">
        <x:f>'Stage Standard'!G11</x:f>
        <x:v>0.7142857142857143</x:v>
      </x:c>
      <x:c r="N239" s="42" t="n">
        <x:f>K239*M239/Assumptions!$C$12</x:f>
        <x:v>0.6437142857142858</x:v>
      </x:c>
      <x:c r="O239" s="23" t="str">
        <x:f>IF(N239&gt;=1,"ADEQUATE","GAP")</x:f>
        <x:v>GAP</x:v>
      </x:c>
    </x:row>
    <x:row r="240">
      <x:c r="B240" s="21" t="str">
        <x:v>SB-0234</x:v>
      </x:c>
      <x:c r="C240" s="21" t="str">
        <x:v>F45</x:v>
      </x:c>
      <x:c r="D240" s="21" t="n">
        <x:v>6</x:v>
      </x:c>
      <x:c r="E240" s="21" t="str">
        <x:v>Conforming production</x:v>
      </x:c>
      <x:c r="F240" s="42" t="n">
        <x:v>0.82</x:v>
      </x:c>
      <x:c r="G240" s="42" t="n">
        <x:v>0.08</x:v>
      </x:c>
      <x:c r="H240" s="42" t="n">
        <x:v>0.11699999999999999</x:v>
      </x:c>
      <x:c r="I240" s="42" t="n">
        <x:f>SUM(F240:H240)</x:f>
        <x:v>1.017</x:v>
      </x:c>
      <x:c r="J240" s="42" t="n">
        <x:f>MAX(0,Assumptions!$C$9-MIN($I$235:$I$246))</x:f>
        <x:v>0.12900000000000011</x:v>
      </x:c>
      <x:c r="K240" s="42" t="n">
        <x:f>I240+J240</x:f>
        <x:v>1.146</x:v>
      </x:c>
      <x:c r="L240" s="21" t="str">
        <x:f>IF(K240&gt;=Assumptions!$C$9,"ADEQUATE","GAP")</x:f>
        <x:v>ADEQUATE</x:v>
      </x:c>
      <x:c r="M240" s="42" t="n">
        <x:f>'Stage Standard'!G12</x:f>
        <x:v>0.7142857142857143</x:v>
      </x:c>
      <x:c r="N240" s="42" t="n">
        <x:f>K240*M240/Assumptions!$C$12</x:f>
        <x:v>0.6548571428571428</x:v>
      </x:c>
      <x:c r="O240" s="23" t="str">
        <x:f>IF(N240&gt;=1,"ADEQUATE","GAP")</x:f>
        <x:v>GAP</x:v>
      </x:c>
    </x:row>
    <x:row r="241">
      <x:c r="B241" s="21" t="str">
        <x:v>SB-0235</x:v>
      </x:c>
      <x:c r="C241" s="21" t="str">
        <x:v>F45</x:v>
      </x:c>
      <x:c r="D241" s="21" t="n">
        <x:v>7</x:v>
      </x:c>
      <x:c r="E241" s="21" t="str">
        <x:v>Independent acceptance</x:v>
      </x:c>
      <x:c r="F241" s="42" t="n">
        <x:v>0.98</x:v>
      </x:c>
      <x:c r="G241" s="42" t="n">
        <x:v>0.06</x:v>
      </x:c>
      <x:c r="H241" s="42" t="n">
        <x:v>0.052000000000000005</x:v>
      </x:c>
      <x:c r="I241" s="42" t="n">
        <x:f>SUM(F241:H241)</x:f>
        <x:v>1.092</x:v>
      </x:c>
      <x:c r="J241" s="42" t="n">
        <x:f>MAX(0,Assumptions!$C$9-MIN($I$235:$I$246))</x:f>
        <x:v>0.12900000000000011</x:v>
      </x:c>
      <x:c r="K241" s="42" t="n">
        <x:f>I241+J241</x:f>
        <x:v>1.221</x:v>
      </x:c>
      <x:c r="L241" s="21" t="str">
        <x:f>IF(K241&gt;=Assumptions!$C$9,"ADEQUATE","GAP")</x:f>
        <x:v>ADEQUATE</x:v>
      </x:c>
      <x:c r="M241" s="42" t="n">
        <x:f>'Stage Standard'!G13</x:f>
        <x:v>0.8125</x:v>
      </x:c>
      <x:c r="N241" s="42" t="n">
        <x:f>K241*M241/Assumptions!$C$12</x:f>
        <x:v>0.7936500000000001</x:v>
      </x:c>
      <x:c r="O241" s="23" t="str">
        <x:f>IF(N241&gt;=1,"ADEQUATE","GAP")</x:f>
        <x:v>GAP</x:v>
      </x:c>
    </x:row>
    <x:row r="242">
      <x:c r="B242" s="21" t="str">
        <x:v>SB-0236</x:v>
      </x:c>
      <x:c r="C242" s="21" t="str">
        <x:v>F45</x:v>
      </x:c>
      <x:c r="D242" s="21" t="n">
        <x:v>8</x:v>
      </x:c>
      <x:c r="E242" s="21" t="str">
        <x:v>Loadout and custody transfer</x:v>
      </x:c>
      <x:c r="F242" s="42" t="n">
        <x:v>0.88</x:v>
      </x:c>
      <x:c r="G242" s="42" t="n">
        <x:v>0.2</x:v>
      </x:c>
      <x:c r="H242" s="42" t="n">
        <x:v>0.0325</x:v>
      </x:c>
      <x:c r="I242" s="42" t="n">
        <x:f>SUM(F242:H242)</x:f>
        <x:v>1.1125</x:v>
      </x:c>
      <x:c r="J242" s="42" t="n">
        <x:f>MAX(0,Assumptions!$C$9-MIN($I$235:$I$246))</x:f>
        <x:v>0.12900000000000011</x:v>
      </x:c>
      <x:c r="K242" s="42" t="n">
        <x:f>I242+J242</x:f>
        <x:v>1.2415000000000003</x:v>
      </x:c>
      <x:c r="L242" s="21" t="str">
        <x:f>IF(K242&gt;=Assumptions!$C$9,"ADEQUATE","GAP")</x:f>
        <x:v>ADEQUATE</x:v>
      </x:c>
      <x:c r="M242" s="42" t="n">
        <x:f>'Stage Standard'!G14</x:f>
        <x:v>0.7692307692307692</x:v>
      </x:c>
      <x:c r="N242" s="42" t="n">
        <x:f>K242*M242/Assumptions!$C$12</x:f>
        <x:v>0.764</x:v>
      </x:c>
      <x:c r="O242" s="23" t="str">
        <x:f>IF(N242&gt;=1,"ADEQUATE","GAP")</x:f>
        <x:v>GAP</x:v>
      </x:c>
    </x:row>
    <x:row r="243">
      <x:c r="B243" s="21" t="str">
        <x:v>SB-0237</x:v>
      </x:c>
      <x:c r="C243" s="21" t="str">
        <x:v>F45</x:v>
      </x:c>
      <x:c r="D243" s="21" t="n">
        <x:v>9</x:v>
      </x:c>
      <x:c r="E243" s="21" t="str">
        <x:v>Strategic transport</x:v>
      </x:c>
      <x:c r="F243" s="42" t="n">
        <x:v>0.765</x:v>
      </x:c>
      <x:c r="G243" s="42" t="n">
        <x:v>0.2</x:v>
      </x:c>
      <x:c r="H243" s="42" t="n">
        <x:v>0.026000000000000002</x:v>
      </x:c>
      <x:c r="I243" s="42" t="n">
        <x:f>SUM(F243:H243)</x:f>
        <x:v>0.9910000000000001</x:v>
      </x:c>
      <x:c r="J243" s="42" t="n">
        <x:f>MAX(0,Assumptions!$C$9-MIN($I$235:$I$246))</x:f>
        <x:v>0.12900000000000011</x:v>
      </x:c>
      <x:c r="K243" s="42" t="n">
        <x:f>I243+J243</x:f>
        <x:v>1.12</x:v>
      </x:c>
      <x:c r="L243" s="21" t="str">
        <x:f>IF(K243&gt;=Assumptions!$C$9,"ADEQUATE","GAP")</x:f>
        <x:v>ADEQUATE</x:v>
      </x:c>
      <x:c r="M243" s="42" t="n">
        <x:f>'Stage Standard'!G15</x:f>
        <x:v>0.7692307692307692</x:v>
      </x:c>
      <x:c r="N243" s="42" t="n">
        <x:f>K243*M243/Assumptions!$C$12</x:f>
        <x:v>0.6892307692307693</x:v>
      </x:c>
      <x:c r="O243" s="23" t="str">
        <x:f>IF(N243&gt;=1,"ADEQUATE","GAP")</x:f>
        <x:v>GAP</x:v>
      </x:c>
    </x:row>
    <x:row r="244">
      <x:c r="B244" s="21" t="str">
        <x:v>SB-0238</x:v>
      </x:c>
      <x:c r="C244" s="21" t="str">
        <x:v>F45</x:v>
      </x:c>
      <x:c r="D244" s="21" t="n">
        <x:v>10</x:v>
      </x:c>
      <x:c r="E244" s="21" t="str">
        <x:v>Receiving-node admission</x:v>
      </x:c>
      <x:c r="F244" s="42" t="n">
        <x:v>0.9</x:v>
      </x:c>
      <x:c r="G244" s="42" t="n">
        <x:v>0.2</x:v>
      </x:c>
      <x:c r="H244" s="42" t="n">
        <x:v>0.0195</x:v>
      </x:c>
      <x:c r="I244" s="42" t="n">
        <x:f>SUM(F244:H244)</x:f>
        <x:v>1.1195000000000002</x:v>
      </x:c>
      <x:c r="J244" s="42" t="n">
        <x:f>MAX(0,Assumptions!$C$9-MIN($I$235:$I$246))</x:f>
        <x:v>0.12900000000000011</x:v>
      </x:c>
      <x:c r="K244" s="42" t="n">
        <x:f>I244+J244</x:f>
        <x:v>1.2485000000000004</x:v>
      </x:c>
      <x:c r="L244" s="21" t="str">
        <x:f>IF(K244&gt;=Assumptions!$C$9,"ADEQUATE","GAP")</x:f>
        <x:v>ADEQUATE</x:v>
      </x:c>
      <x:c r="M244" s="42" t="n">
        <x:f>'Stage Standard'!G16</x:f>
        <x:v>0.7999999999999999</x:v>
      </x:c>
      <x:c r="N244" s="42" t="n">
        <x:f>K244*M244/Assumptions!$C$12</x:f>
        <x:v>0.7990400000000002</x:v>
      </x:c>
      <x:c r="O244" s="23" t="str">
        <x:f>IF(N244&gt;=1,"ADEQUATE","GAP")</x:f>
        <x:v>GAP</x:v>
      </x:c>
    </x:row>
    <x:row r="245">
      <x:c r="B245" s="21" t="str">
        <x:v>SB-0239</x:v>
      </x:c>
      <x:c r="C245" s="21" t="str">
        <x:v>F45</x:v>
      </x:c>
      <x:c r="D245" s="21" t="n">
        <x:v>11</x:v>
      </x:c>
      <x:c r="E245" s="21" t="str">
        <x:v>Commissioned public service</x:v>
      </x:c>
      <x:c r="F245" s="42" t="n">
        <x:v>0.88</x:v>
      </x:c>
      <x:c r="G245" s="42" t="n">
        <x:v>0.2</x:v>
      </x:c>
      <x:c r="H245" s="42" t="n">
        <x:v>0.0325</x:v>
      </x:c>
      <x:c r="I245" s="42" t="n">
        <x:f>SUM(F245:H245)</x:f>
        <x:v>1.1125</x:v>
      </x:c>
      <x:c r="J245" s="42" t="n">
        <x:f>MAX(0,Assumptions!$C$9-MIN($I$235:$I$246))</x:f>
        <x:v>0.12900000000000011</x:v>
      </x:c>
      <x:c r="K245" s="42" t="n">
        <x:f>I245+J245</x:f>
        <x:v>1.2415000000000003</x:v>
      </x:c>
      <x:c r="L245" s="21" t="str">
        <x:f>IF(K245&gt;=Assumptions!$C$9,"ADEQUATE","GAP")</x:f>
        <x:v>ADEQUATE</x:v>
      </x:c>
      <x:c r="M245" s="42" t="n">
        <x:f>'Stage Standard'!G17</x:f>
        <x:v>0.7857142857142858</x:v>
      </x:c>
      <x:c r="N245" s="42" t="n">
        <x:f>K245*M245/Assumptions!$C$12</x:f>
        <x:v>0.7803714285714288</x:v>
      </x:c>
      <x:c r="O245" s="23" t="str">
        <x:f>IF(N245&gt;=1,"ADEQUATE","GAP")</x:f>
        <x:v>GAP</x:v>
      </x:c>
    </x:row>
    <x:row r="246">
      <x:c r="B246" s="21" t="str">
        <x:v>SB-0240</x:v>
      </x:c>
      <x:c r="C246" s="21" t="str">
        <x:v>F45</x:v>
      </x:c>
      <x:c r="D246" s="21" t="n">
        <x:v>12</x:v>
      </x:c>
      <x:c r="E246" s="21" t="str">
        <x:v>Regeneration and replacement</x:v>
      </x:c>
      <x:c r="F246" s="42" t="n">
        <x:v>0.76</x:v>
      </x:c>
      <x:c r="G246" s="42" t="n">
        <x:v>0.12</x:v>
      </x:c>
      <x:c r="H246" s="42" t="n">
        <x:v>0.09100000000000001</x:v>
      </x:c>
      <x:c r="I246" s="42" t="n">
        <x:f>SUM(F246:H246)</x:f>
        <x:v>0.971</x:v>
      </x:c>
      <x:c r="J246" s="42" t="n">
        <x:f>MAX(0,Assumptions!$C$9-MIN($I$235:$I$246))</x:f>
        <x:v>0.12900000000000011</x:v>
      </x:c>
      <x:c r="K246" s="42" t="n">
        <x:f>I246+J246</x:f>
        <x:v>1.1</x:v>
      </x:c>
      <x:c r="L246" s="21" t="str">
        <x:f>IF(K246&gt;=Assumptions!$C$9,"ADEQUATE","GAP")</x:f>
        <x:v>ADEQUATE</x:v>
      </x:c>
      <x:c r="M246" s="42" t="n">
        <x:f>'Stage Standard'!G18</x:f>
        <x:v>0.7142857142857143</x:v>
      </x:c>
      <x:c r="N246" s="42" t="n">
        <x:f>K246*M246/Assumptions!$C$12</x:f>
        <x:v>0.6285714285714287</x:v>
      </x:c>
      <x:c r="O246" s="23" t="str">
        <x:f>IF(N246&gt;=1,"ADEQUATE","GAP")</x:f>
        <x:v>GAP</x:v>
      </x:c>
    </x:row>
    <x:row r="247">
      <x:c r="B247" s="21" t="str">
        <x:v>SB-0241</x:v>
      </x:c>
      <x:c r="C247" s="21" t="str">
        <x:v>F46</x:v>
      </x:c>
      <x:c r="D247" s="21" t="n">
        <x:v>1</x:v>
      </x:c>
      <x:c r="E247" s="21" t="str">
        <x:v>Alert authentication</x:v>
      </x:c>
      <x:c r="F247" s="42" t="n">
        <x:v>1.15</x:v>
      </x:c>
      <x:c r="G247" s="42" t="n">
        <x:v>0</x:v>
      </x:c>
      <x:c r="H247" s="42" t="n">
        <x:v>0.026000000000000002</x:v>
      </x:c>
      <x:c r="I247" s="42" t="n">
        <x:f>SUM(F247:H247)</x:f>
        <x:v>1.176</x:v>
      </x:c>
      <x:c r="J247" s="42" t="n">
        <x:f>MAX(0,Assumptions!$C$9-MIN($I$247:$I$258))</x:f>
        <x:v>0</x:v>
      </x:c>
      <x:c r="K247" s="42" t="n">
        <x:f>I247+J247</x:f>
        <x:v>1.176</x:v>
      </x:c>
      <x:c r="L247" s="21" t="str">
        <x:f>IF(K247&gt;=Assumptions!$C$9,"ADEQUATE","GAP")</x:f>
        <x:v>ADEQUATE</x:v>
      </x:c>
      <x:c r="M247" s="42" t="n">
        <x:f>'Stage Standard'!G7</x:f>
        <x:v>0.7999999999999999</x:v>
      </x:c>
      <x:c r="N247" s="42" t="n">
        <x:f>K247*M247/Assumptions!$C$12</x:f>
        <x:v>0.7526399999999999</x:v>
      </x:c>
      <x:c r="O247" s="23" t="str">
        <x:f>IF(N247&gt;=1,"ADEQUATE","GAP")</x:f>
        <x:v>GAP</x:v>
      </x:c>
    </x:row>
    <x:row r="248">
      <x:c r="B248" s="21" t="str">
        <x:v>SB-0242</x:v>
      </x:c>
      <x:c r="C248" s="21" t="str">
        <x:v>F46</x:v>
      </x:c>
      <x:c r="D248" s="21" t="n">
        <x:v>2</x:v>
      </x:c>
      <x:c r="E248" s="21" t="str">
        <x:v>Workforce muster</x:v>
      </x:c>
      <x:c r="F248" s="42" t="n">
        <x:v>1.01</x:v>
      </x:c>
      <x:c r="G248" s="42" t="n">
        <x:v>0.03</x:v>
      </x:c>
      <x:c r="H248" s="42" t="n">
        <x:v>0.11699999999999999</x:v>
      </x:c>
      <x:c r="I248" s="42" t="n">
        <x:f>SUM(F248:H248)</x:f>
        <x:v>1.157</x:v>
      </x:c>
      <x:c r="J248" s="42" t="n">
        <x:f>MAX(0,Assumptions!$C$9-MIN($I$247:$I$258))</x:f>
        <x:v>0</x:v>
      </x:c>
      <x:c r="K248" s="42" t="n">
        <x:f>I248+J248</x:f>
        <x:v>1.157</x:v>
      </x:c>
      <x:c r="L248" s="21" t="str">
        <x:f>IF(K248&gt;=Assumptions!$C$9,"ADEQUATE","GAP")</x:f>
        <x:v>ADEQUATE</x:v>
      </x:c>
      <x:c r="M248" s="42" t="n">
        <x:f>'Stage Standard'!G8</x:f>
        <x:v>0.8125</x:v>
      </x:c>
      <x:c r="N248" s="42" t="n">
        <x:f>K248*M248/Assumptions!$C$12</x:f>
        <x:v>0.75205</x:v>
      </x:c>
      <x:c r="O248" s="23" t="str">
        <x:f>IF(N248&gt;=1,"ADEQUATE","GAP")</x:f>
        <x:v>GAP</x:v>
      </x:c>
    </x:row>
    <x:row r="249">
      <x:c r="B249" s="21" t="str">
        <x:v>SB-0243</x:v>
      </x:c>
      <x:c r="C249" s="21" t="str">
        <x:v>F46</x:v>
      </x:c>
      <x:c r="D249" s="21" t="n">
        <x:v>3</x:v>
      </x:c>
      <x:c r="E249" s="21" t="str">
        <x:v>Facility utility and safe start</x:v>
      </x:c>
      <x:c r="F249" s="42" t="n">
        <x:v>0.98</x:v>
      </x:c>
      <x:c r="G249" s="42" t="n">
        <x:v>0.08</x:v>
      </x:c>
      <x:c r="H249" s="42" t="n">
        <x:v>0.065</x:v>
      </x:c>
      <x:c r="I249" s="42" t="n">
        <x:f>SUM(F249:H249)</x:f>
        <x:v>1.125</x:v>
      </x:c>
      <x:c r="J249" s="42" t="n">
        <x:f>MAX(0,Assumptions!$C$9-MIN($I$247:$I$258))</x:f>
        <x:v>0</x:v>
      </x:c>
      <x:c r="K249" s="42" t="n">
        <x:f>I249+J249</x:f>
        <x:v>1.125</x:v>
      </x:c>
      <x:c r="L249" s="21" t="str">
        <x:f>IF(K249&gt;=Assumptions!$C$9,"ADEQUATE","GAP")</x:f>
        <x:v>ADEQUATE</x:v>
      </x:c>
      <x:c r="M249" s="42" t="n">
        <x:f>'Stage Standard'!G9</x:f>
        <x:v>0.7857142857142858</x:v>
      </x:c>
      <x:c r="N249" s="42" t="n">
        <x:f>K249*M249/Assumptions!$C$12</x:f>
        <x:v>0.7071428571428572</x:v>
      </x:c>
      <x:c r="O249" s="23" t="str">
        <x:f>IF(N249&gt;=1,"ADEQUATE","GAP")</x:f>
        <x:v>GAP</x:v>
      </x:c>
    </x:row>
    <x:row r="250">
      <x:c r="B250" s="21" t="str">
        <x:v>SB-0244</x:v>
      </x:c>
      <x:c r="C250" s="21" t="str">
        <x:v>F46</x:v>
      </x:c>
      <x:c r="D250" s="21" t="n">
        <x:v>4</x:v>
      </x:c>
      <x:c r="E250" s="21" t="str">
        <x:v>Material tooling and instrument release</x:v>
      </x:c>
      <x:c r="F250" s="42" t="n">
        <x:v>1</x:v>
      </x:c>
      <x:c r="G250" s="42" t="n">
        <x:v>0.18</x:v>
      </x:c>
      <x:c r="H250" s="42" t="n">
        <x:v>0.052000000000000005</x:v>
      </x:c>
      <x:c r="I250" s="42" t="n">
        <x:f>SUM(F250:H250)</x:f>
        <x:v>1.232</x:v>
      </x:c>
      <x:c r="J250" s="42" t="n">
        <x:f>MAX(0,Assumptions!$C$9-MIN($I$247:$I$258))</x:f>
        <x:v>0</x:v>
      </x:c>
      <x:c r="K250" s="42" t="n">
        <x:f>I250+J250</x:f>
        <x:v>1.232</x:v>
      </x:c>
      <x:c r="L250" s="21" t="str">
        <x:f>IF(K250&gt;=Assumptions!$C$9,"ADEQUATE","GAP")</x:f>
        <x:v>ADEQUATE</x:v>
      </x:c>
      <x:c r="M250" s="42" t="n">
        <x:f>'Stage Standard'!G10</x:f>
        <x:v>0.7333333333333334</x:v>
      </x:c>
      <x:c r="N250" s="42" t="n">
        <x:f>K250*M250/Assumptions!$C$12</x:f>
        <x:v>0.7227733333333334</x:v>
      </x:c>
      <x:c r="O250" s="23" t="str">
        <x:f>IF(N250&gt;=1,"ADEQUATE","GAP")</x:f>
        <x:v>GAP</x:v>
      </x:c>
    </x:row>
    <x:row r="251">
      <x:c r="B251" s="21" t="str">
        <x:v>SB-0245</x:v>
      </x:c>
      <x:c r="C251" s="21" t="str">
        <x:v>F46</x:v>
      </x:c>
      <x:c r="D251" s="21" t="n">
        <x:v>5</x:v>
      </x:c>
      <x:c r="E251" s="21" t="str">
        <x:v>Supplier and process activation</x:v>
      </x:c>
      <x:c r="F251" s="42" t="n">
        <x:v>0.95</x:v>
      </x:c>
      <x:c r="G251" s="42" t="n">
        <x:v>0.12</x:v>
      </x:c>
      <x:c r="H251" s="42" t="n">
        <x:v>0.052000000000000005</x:v>
      </x:c>
      <x:c r="I251" s="42" t="n">
        <x:f>SUM(F251:H251)</x:f>
        <x:v>1.1219999999999999</x:v>
      </x:c>
      <x:c r="J251" s="42" t="n">
        <x:f>MAX(0,Assumptions!$C$9-MIN($I$247:$I$258))</x:f>
        <x:v>0</x:v>
      </x:c>
      <x:c r="K251" s="42" t="n">
        <x:f>I251+J251</x:f>
        <x:v>1.1219999999999999</x:v>
      </x:c>
      <x:c r="L251" s="21" t="str">
        <x:f>IF(K251&gt;=Assumptions!$C$9,"ADEQUATE","GAP")</x:f>
        <x:v>ADEQUATE</x:v>
      </x:c>
      <x:c r="M251" s="42" t="n">
        <x:f>'Stage Standard'!G11</x:f>
        <x:v>0.7142857142857143</x:v>
      </x:c>
      <x:c r="N251" s="42" t="n">
        <x:f>K251*M251/Assumptions!$C$12</x:f>
        <x:v>0.6411428571428571</x:v>
      </x:c>
      <x:c r="O251" s="23" t="str">
        <x:f>IF(N251&gt;=1,"ADEQUATE","GAP")</x:f>
        <x:v>GAP</x:v>
      </x:c>
    </x:row>
    <x:row r="252">
      <x:c r="B252" s="21" t="str">
        <x:v>SB-0246</x:v>
      </x:c>
      <x:c r="C252" s="21" t="str">
        <x:v>F46</x:v>
      </x:c>
      <x:c r="D252" s="21" t="n">
        <x:v>6</x:v>
      </x:c>
      <x:c r="E252" s="21" t="str">
        <x:v>Conforming production</x:v>
      </x:c>
      <x:c r="F252" s="42" t="n">
        <x:v>0.96</x:v>
      </x:c>
      <x:c r="G252" s="42" t="n">
        <x:v>0.14</x:v>
      </x:c>
      <x:c r="H252" s="42" t="n">
        <x:v>0.065</x:v>
      </x:c>
      <x:c r="I252" s="42" t="n">
        <x:f>SUM(F252:H252)</x:f>
        <x:v>1.165</x:v>
      </x:c>
      <x:c r="J252" s="42" t="n">
        <x:f>MAX(0,Assumptions!$C$9-MIN($I$247:$I$258))</x:f>
        <x:v>0</x:v>
      </x:c>
      <x:c r="K252" s="42" t="n">
        <x:f>I252+J252</x:f>
        <x:v>1.165</x:v>
      </x:c>
      <x:c r="L252" s="21" t="str">
        <x:f>IF(K252&gt;=Assumptions!$C$9,"ADEQUATE","GAP")</x:f>
        <x:v>ADEQUATE</x:v>
      </x:c>
      <x:c r="M252" s="42" t="n">
        <x:f>'Stage Standard'!G12</x:f>
        <x:v>0.7142857142857143</x:v>
      </x:c>
      <x:c r="N252" s="42" t="n">
        <x:f>K252*M252/Assumptions!$C$12</x:f>
        <x:v>0.6657142857142857</x:v>
      </x:c>
      <x:c r="O252" s="23" t="str">
        <x:f>IF(N252&gt;=1,"ADEQUATE","GAP")</x:f>
        <x:v>GAP</x:v>
      </x:c>
    </x:row>
    <x:row r="253">
      <x:c r="B253" s="21" t="str">
        <x:v>SB-0247</x:v>
      </x:c>
      <x:c r="C253" s="21" t="str">
        <x:v>F46</x:v>
      </x:c>
      <x:c r="D253" s="21" t="n">
        <x:v>7</x:v>
      </x:c>
      <x:c r="E253" s="21" t="str">
        <x:v>Independent acceptance</x:v>
      </x:c>
      <x:c r="F253" s="42" t="n">
        <x:v>1.05</x:v>
      </x:c>
      <x:c r="G253" s="42" t="n">
        <x:v>0.08</x:v>
      </x:c>
      <x:c r="H253" s="42" t="n">
        <x:v>0.039</x:v>
      </x:c>
      <x:c r="I253" s="42" t="n">
        <x:f>SUM(F253:H253)</x:f>
        <x:v>1.169</x:v>
      </x:c>
      <x:c r="J253" s="42" t="n">
        <x:f>MAX(0,Assumptions!$C$9-MIN($I$247:$I$258))</x:f>
        <x:v>0</x:v>
      </x:c>
      <x:c r="K253" s="42" t="n">
        <x:f>I253+J253</x:f>
        <x:v>1.169</x:v>
      </x:c>
      <x:c r="L253" s="21" t="str">
        <x:f>IF(K253&gt;=Assumptions!$C$9,"ADEQUATE","GAP")</x:f>
        <x:v>ADEQUATE</x:v>
      </x:c>
      <x:c r="M253" s="42" t="n">
        <x:f>'Stage Standard'!G13</x:f>
        <x:v>0.8125</x:v>
      </x:c>
      <x:c r="N253" s="42" t="n">
        <x:f>K253*M253/Assumptions!$C$12</x:f>
        <x:v>0.75985</x:v>
      </x:c>
      <x:c r="O253" s="23" t="str">
        <x:f>IF(N253&gt;=1,"ADEQUATE","GAP")</x:f>
        <x:v>GAP</x:v>
      </x:c>
    </x:row>
    <x:row r="254">
      <x:c r="B254" s="21" t="str">
        <x:v>SB-0248</x:v>
      </x:c>
      <x:c r="C254" s="21" t="str">
        <x:v>F46</x:v>
      </x:c>
      <x:c r="D254" s="21" t="n">
        <x:v>8</x:v>
      </x:c>
      <x:c r="E254" s="21" t="str">
        <x:v>Loadout and custody transfer</x:v>
      </x:c>
      <x:c r="F254" s="42" t="n">
        <x:v>0.96</x:v>
      </x:c>
      <x:c r="G254" s="42" t="n">
        <x:v>0.06</x:v>
      </x:c>
      <x:c r="H254" s="42" t="n">
        <x:v>0.11699999999999999</x:v>
      </x:c>
      <x:c r="I254" s="42" t="n">
        <x:f>SUM(F254:H254)</x:f>
        <x:v>1.137</x:v>
      </x:c>
      <x:c r="J254" s="42" t="n">
        <x:f>MAX(0,Assumptions!$C$9-MIN($I$247:$I$258))</x:f>
        <x:v>0</x:v>
      </x:c>
      <x:c r="K254" s="42" t="n">
        <x:f>I254+J254</x:f>
        <x:v>1.137</x:v>
      </x:c>
      <x:c r="L254" s="21" t="str">
        <x:f>IF(K254&gt;=Assumptions!$C$9,"ADEQUATE","GAP")</x:f>
        <x:v>ADEQUATE</x:v>
      </x:c>
      <x:c r="M254" s="42" t="n">
        <x:f>'Stage Standard'!G14</x:f>
        <x:v>0.7692307692307692</x:v>
      </x:c>
      <x:c r="N254" s="42" t="n">
        <x:f>K254*M254/Assumptions!$C$12</x:f>
        <x:v>0.6996923076923076</x:v>
      </x:c>
      <x:c r="O254" s="23" t="str">
        <x:f>IF(N254&gt;=1,"ADEQUATE","GAP")</x:f>
        <x:v>GAP</x:v>
      </x:c>
    </x:row>
    <x:row r="255">
      <x:c r="B255" s="21" t="str">
        <x:v>SB-0249</x:v>
      </x:c>
      <x:c r="C255" s="21" t="str">
        <x:v>F46</x:v>
      </x:c>
      <x:c r="D255" s="21" t="n">
        <x:v>9</x:v>
      </x:c>
      <x:c r="E255" s="21" t="str">
        <x:v>Strategic transport</x:v>
      </x:c>
      <x:c r="F255" s="42" t="n">
        <x:v>0.9425</x:v>
      </x:c>
      <x:c r="G255" s="42" t="n">
        <x:v>0.05</x:v>
      </x:c>
      <x:c r="H255" s="42" t="n">
        <x:v>0.11699999999999999</x:v>
      </x:c>
      <x:c r="I255" s="42" t="n">
        <x:f>SUM(F255:H255)</x:f>
        <x:v>1.1095000000000002</x:v>
      </x:c>
      <x:c r="J255" s="42" t="n">
        <x:f>MAX(0,Assumptions!$C$9-MIN($I$247:$I$258))</x:f>
        <x:v>0</x:v>
      </x:c>
      <x:c r="K255" s="42" t="n">
        <x:f>I255+J255</x:f>
        <x:v>1.1095000000000002</x:v>
      </x:c>
      <x:c r="L255" s="21" t="str">
        <x:f>IF(K255&gt;=Assumptions!$C$9,"ADEQUATE","GAP")</x:f>
        <x:v>ADEQUATE</x:v>
      </x:c>
      <x:c r="M255" s="42" t="n">
        <x:f>'Stage Standard'!G15</x:f>
        <x:v>0.7692307692307692</x:v>
      </x:c>
      <x:c r="N255" s="42" t="n">
        <x:f>K255*M255/Assumptions!$C$12</x:f>
        <x:v>0.6827692307692308</x:v>
      </x:c>
      <x:c r="O255" s="23" t="str">
        <x:f>IF(N255&gt;=1,"ADEQUATE","GAP")</x:f>
        <x:v>GAP</x:v>
      </x:c>
    </x:row>
    <x:row r="256">
      <x:c r="B256" s="21" t="str">
        <x:v>SB-0250</x:v>
      </x:c>
      <x:c r="C256" s="21" t="str">
        <x:v>F46</x:v>
      </x:c>
      <x:c r="D256" s="21" t="n">
        <x:v>10</x:v>
      </x:c>
      <x:c r="E256" s="21" t="str">
        <x:v>Receiving-node admission</x:v>
      </x:c>
      <x:c r="F256" s="42" t="n">
        <x:v>1</x:v>
      </x:c>
      <x:c r="G256" s="42" t="n">
        <x:v>0.08</x:v>
      </x:c>
      <x:c r="H256" s="42" t="n">
        <x:v>0.11699999999999999</x:v>
      </x:c>
      <x:c r="I256" s="42" t="n">
        <x:f>SUM(F256:H256)</x:f>
        <x:v>1.197</x:v>
      </x:c>
      <x:c r="J256" s="42" t="n">
        <x:f>MAX(0,Assumptions!$C$9-MIN($I$247:$I$258))</x:f>
        <x:v>0</x:v>
      </x:c>
      <x:c r="K256" s="42" t="n">
        <x:f>I256+J256</x:f>
        <x:v>1.197</x:v>
      </x:c>
      <x:c r="L256" s="21" t="str">
        <x:f>IF(K256&gt;=Assumptions!$C$9,"ADEQUATE","GAP")</x:f>
        <x:v>ADEQUATE</x:v>
      </x:c>
      <x:c r="M256" s="42" t="n">
        <x:f>'Stage Standard'!G16</x:f>
        <x:v>0.7999999999999999</x:v>
      </x:c>
      <x:c r="N256" s="42" t="n">
        <x:f>K256*M256/Assumptions!$C$12</x:f>
        <x:v>0.76608</x:v>
      </x:c>
      <x:c r="O256" s="23" t="str">
        <x:f>IF(N256&gt;=1,"ADEQUATE","GAP")</x:f>
        <x:v>GAP</x:v>
      </x:c>
    </x:row>
    <x:row r="257">
      <x:c r="B257" s="21" t="str">
        <x:v>SB-0251</x:v>
      </x:c>
      <x:c r="C257" s="21" t="str">
        <x:v>F46</x:v>
      </x:c>
      <x:c r="D257" s="21" t="n">
        <x:v>11</x:v>
      </x:c>
      <x:c r="E257" s="21" t="str">
        <x:v>Commissioned public service</x:v>
      </x:c>
      <x:c r="F257" s="42" t="n">
        <x:v>0.98</x:v>
      </x:c>
      <x:c r="G257" s="42" t="n">
        <x:v>0.08</x:v>
      </x:c>
      <x:c r="H257" s="42" t="n">
        <x:v>0.10400000000000001</x:v>
      </x:c>
      <x:c r="I257" s="42" t="n">
        <x:f>SUM(F257:H257)</x:f>
        <x:v>1.1640000000000001</x:v>
      </x:c>
      <x:c r="J257" s="42" t="n">
        <x:f>MAX(0,Assumptions!$C$9-MIN($I$247:$I$258))</x:f>
        <x:v>0</x:v>
      </x:c>
      <x:c r="K257" s="42" t="n">
        <x:f>I257+J257</x:f>
        <x:v>1.1640000000000001</x:v>
      </x:c>
      <x:c r="L257" s="21" t="str">
        <x:f>IF(K257&gt;=Assumptions!$C$9,"ADEQUATE","GAP")</x:f>
        <x:v>ADEQUATE</x:v>
      </x:c>
      <x:c r="M257" s="42" t="n">
        <x:f>'Stage Standard'!G17</x:f>
        <x:v>0.7857142857142858</x:v>
      </x:c>
      <x:c r="N257" s="42" t="n">
        <x:f>K257*M257/Assumptions!$C$12</x:f>
        <x:v>0.731657142857143</x:v>
      </x:c>
      <x:c r="O257" s="23" t="str">
        <x:f>IF(N257&gt;=1,"ADEQUATE","GAP")</x:f>
        <x:v>GAP</x:v>
      </x:c>
    </x:row>
    <x:row r="258">
      <x:c r="B258" s="21" t="str">
        <x:v>SB-0252</x:v>
      </x:c>
      <x:c r="C258" s="21" t="str">
        <x:v>F46</x:v>
      </x:c>
      <x:c r="D258" s="21" t="n">
        <x:v>12</x:v>
      </x:c>
      <x:c r="E258" s="21" t="str">
        <x:v>Regeneration and replacement</x:v>
      </x:c>
      <x:c r="F258" s="42" t="n">
        <x:v>0.8200000000000001</x:v>
      </x:c>
      <x:c r="G258" s="42" t="n">
        <x:v>0.28</x:v>
      </x:c>
      <x:c r="H258" s="42" t="n">
        <x:v>0.14300000000000002</x:v>
      </x:c>
      <x:c r="I258" s="42" t="n">
        <x:f>SUM(F258:H258)</x:f>
        <x:v>1.243</x:v>
      </x:c>
      <x:c r="J258" s="42" t="n">
        <x:f>MAX(0,Assumptions!$C$9-MIN($I$247:$I$258))</x:f>
        <x:v>0</x:v>
      </x:c>
      <x:c r="K258" s="42" t="n">
        <x:f>I258+J258</x:f>
        <x:v>1.243</x:v>
      </x:c>
      <x:c r="L258" s="21" t="str">
        <x:f>IF(K258&gt;=Assumptions!$C$9,"ADEQUATE","GAP")</x:f>
        <x:v>ADEQUATE</x:v>
      </x:c>
      <x:c r="M258" s="42" t="n">
        <x:f>'Stage Standard'!G18</x:f>
        <x:v>0.7142857142857143</x:v>
      </x:c>
      <x:c r="N258" s="42" t="n">
        <x:f>K258*M258/Assumptions!$C$12</x:f>
        <x:v>0.7102857142857143</x:v>
      </x:c>
      <x:c r="O258" s="23" t="str">
        <x:f>IF(N258&gt;=1,"ADEQUATE","GAP")</x:f>
        <x:v>GAP</x:v>
      </x:c>
    </x:row>
    <x:row r="259">
      <x:c r="B259" s="21" t="str">
        <x:v>SB-0253</x:v>
      </x:c>
      <x:c r="C259" s="21" t="str">
        <x:v>F47</x:v>
      </x:c>
      <x:c r="D259" s="21" t="n">
        <x:v>1</x:v>
      </x:c>
      <x:c r="E259" s="21" t="str">
        <x:v>Alert authentication</x:v>
      </x:c>
      <x:c r="F259" s="42" t="n">
        <x:v>1.15</x:v>
      </x:c>
      <x:c r="G259" s="42" t="n">
        <x:v>0.04</x:v>
      </x:c>
      <x:c r="H259" s="42" t="n">
        <x:v>0</x:v>
      </x:c>
      <x:c r="I259" s="42" t="n">
        <x:f>SUM(F259:H259)</x:f>
        <x:v>1.19</x:v>
      </x:c>
      <x:c r="J259" s="42" t="n">
        <x:f>MAX(0,Assumptions!$C$9-MIN($I$259:$I$270))</x:f>
        <x:v>0.03100000000000014</x:v>
      </x:c>
      <x:c r="K259" s="42" t="n">
        <x:f>I259+J259</x:f>
        <x:v>1.221</x:v>
      </x:c>
      <x:c r="L259" s="21" t="str">
        <x:f>IF(K259&gt;=Assumptions!$C$9,"ADEQUATE","GAP")</x:f>
        <x:v>ADEQUATE</x:v>
      </x:c>
      <x:c r="M259" s="42" t="n">
        <x:f>'Stage Standard'!G7</x:f>
        <x:v>0.7999999999999999</x:v>
      </x:c>
      <x:c r="N259" s="42" t="n">
        <x:f>K259*M259/Assumptions!$C$12</x:f>
        <x:v>0.78144</x:v>
      </x:c>
      <x:c r="O259" s="23" t="str">
        <x:f>IF(N259&gt;=1,"ADEQUATE","GAP")</x:f>
        <x:v>GAP</x:v>
      </x:c>
    </x:row>
    <x:row r="260">
      <x:c r="B260" s="21" t="str">
        <x:v>SB-0254</x:v>
      </x:c>
      <x:c r="C260" s="21" t="str">
        <x:v>F47</x:v>
      </x:c>
      <x:c r="D260" s="21" t="n">
        <x:v>2</x:v>
      </x:c>
      <x:c r="E260" s="21" t="str">
        <x:v>Workforce muster</x:v>
      </x:c>
      <x:c r="F260" s="42" t="n">
        <x:v>0.9700000000000001</x:v>
      </x:c>
      <x:c r="G260" s="42" t="n">
        <x:v>0.18</x:v>
      </x:c>
      <x:c r="H260" s="42" t="n">
        <x:v>0.026000000000000002</x:v>
      </x:c>
      <x:c r="I260" s="42" t="n">
        <x:f>SUM(F260:H260)</x:f>
        <x:v>1.1760000000000002</x:v>
      </x:c>
      <x:c r="J260" s="42" t="n">
        <x:f>MAX(0,Assumptions!$C$9-MIN($I$259:$I$270))</x:f>
        <x:v>0.03100000000000014</x:v>
      </x:c>
      <x:c r="K260" s="42" t="n">
        <x:f>I260+J260</x:f>
        <x:v>1.2070000000000003</x:v>
      </x:c>
      <x:c r="L260" s="21" t="str">
        <x:f>IF(K260&gt;=Assumptions!$C$9,"ADEQUATE","GAP")</x:f>
        <x:v>ADEQUATE</x:v>
      </x:c>
      <x:c r="M260" s="42" t="n">
        <x:f>'Stage Standard'!G8</x:f>
        <x:v>0.8125</x:v>
      </x:c>
      <x:c r="N260" s="42" t="n">
        <x:f>K260*M260/Assumptions!$C$12</x:f>
        <x:v>0.7845500000000002</x:v>
      </x:c>
      <x:c r="O260" s="23" t="str">
        <x:f>IF(N260&gt;=1,"ADEQUATE","GAP")</x:f>
        <x:v>GAP</x:v>
      </x:c>
    </x:row>
    <x:row r="261">
      <x:c r="B261" s="21" t="str">
        <x:v>SB-0255</x:v>
      </x:c>
      <x:c r="C261" s="21" t="str">
        <x:v>F47</x:v>
      </x:c>
      <x:c r="D261" s="21" t="n">
        <x:v>3</x:v>
      </x:c>
      <x:c r="E261" s="21" t="str">
        <x:v>Facility utility and safe start</x:v>
      </x:c>
      <x:c r="F261" s="42" t="n">
        <x:v>0.98</x:v>
      </x:c>
      <x:c r="G261" s="42" t="n">
        <x:v>0.1</x:v>
      </x:c>
      <x:c r="H261" s="42" t="n">
        <x:v>0.0325</x:v>
      </x:c>
      <x:c r="I261" s="42" t="n">
        <x:f>SUM(F261:H261)</x:f>
        <x:v>1.1125</x:v>
      </x:c>
      <x:c r="J261" s="42" t="n">
        <x:f>MAX(0,Assumptions!$C$9-MIN($I$259:$I$270))</x:f>
        <x:v>0.03100000000000014</x:v>
      </x:c>
      <x:c r="K261" s="42" t="n">
        <x:f>I261+J261</x:f>
        <x:v>1.1435000000000002</x:v>
      </x:c>
      <x:c r="L261" s="21" t="str">
        <x:f>IF(K261&gt;=Assumptions!$C$9,"ADEQUATE","GAP")</x:f>
        <x:v>ADEQUATE</x:v>
      </x:c>
      <x:c r="M261" s="42" t="n">
        <x:f>'Stage Standard'!G9</x:f>
        <x:v>0.7857142857142858</x:v>
      </x:c>
      <x:c r="N261" s="42" t="n">
        <x:f>K261*M261/Assumptions!$C$12</x:f>
        <x:v>0.7187714285714287</x:v>
      </x:c>
      <x:c r="O261" s="23" t="str">
        <x:f>IF(N261&gt;=1,"ADEQUATE","GAP")</x:f>
        <x:v>GAP</x:v>
      </x:c>
    </x:row>
    <x:row r="262">
      <x:c r="B262" s="21" t="str">
        <x:v>SB-0256</x:v>
      </x:c>
      <x:c r="C262" s="21" t="str">
        <x:v>F47</x:v>
      </x:c>
      <x:c r="D262" s="21" t="n">
        <x:v>4</x:v>
      </x:c>
      <x:c r="E262" s="21" t="str">
        <x:v>Material tooling and instrument release</x:v>
      </x:c>
      <x:c r="F262" s="42" t="n">
        <x:v>1</x:v>
      </x:c>
      <x:c r="G262" s="42" t="n">
        <x:v>0.08</x:v>
      </x:c>
      <x:c r="H262" s="42" t="n">
        <x:v>0.052000000000000005</x:v>
      </x:c>
      <x:c r="I262" s="42" t="n">
        <x:f>SUM(F262:H262)</x:f>
        <x:v>1.1320000000000001</x:v>
      </x:c>
      <x:c r="J262" s="42" t="n">
        <x:f>MAX(0,Assumptions!$C$9-MIN($I$259:$I$270))</x:f>
        <x:v>0.03100000000000014</x:v>
      </x:c>
      <x:c r="K262" s="42" t="n">
        <x:f>I262+J262</x:f>
        <x:v>1.1630000000000003</x:v>
      </x:c>
      <x:c r="L262" s="21" t="str">
        <x:f>IF(K262&gt;=Assumptions!$C$9,"ADEQUATE","GAP")</x:f>
        <x:v>ADEQUATE</x:v>
      </x:c>
      <x:c r="M262" s="42" t="n">
        <x:f>'Stage Standard'!G10</x:f>
        <x:v>0.7333333333333334</x:v>
      </x:c>
      <x:c r="N262" s="42" t="n">
        <x:f>K262*M262/Assumptions!$C$12</x:f>
        <x:v>0.6822933333333335</x:v>
      </x:c>
      <x:c r="O262" s="23" t="str">
        <x:f>IF(N262&gt;=1,"ADEQUATE","GAP")</x:f>
        <x:v>GAP</x:v>
      </x:c>
    </x:row>
    <x:row r="263">
      <x:c r="B263" s="21" t="str">
        <x:v>SB-0257</x:v>
      </x:c>
      <x:c r="C263" s="21" t="str">
        <x:v>F47</x:v>
      </x:c>
      <x:c r="D263" s="21" t="n">
        <x:v>5</x:v>
      </x:c>
      <x:c r="E263" s="21" t="str">
        <x:v>Supplier and process activation</x:v>
      </x:c>
      <x:c r="F263" s="42" t="n">
        <x:v>0.95</x:v>
      </x:c>
      <x:c r="G263" s="42" t="n">
        <x:v>0.08</x:v>
      </x:c>
      <x:c r="H263" s="42" t="n">
        <x:v>0.039</x:v>
      </x:c>
      <x:c r="I263" s="42" t="n">
        <x:f>SUM(F263:H263)</x:f>
        <x:v>1.069</x:v>
      </x:c>
      <x:c r="J263" s="42" t="n">
        <x:f>MAX(0,Assumptions!$C$9-MIN($I$259:$I$270))</x:f>
        <x:v>0.03100000000000014</x:v>
      </x:c>
      <x:c r="K263" s="42" t="n">
        <x:f>I263+J263</x:f>
        <x:v>1.1</x:v>
      </x:c>
      <x:c r="L263" s="21" t="str">
        <x:f>IF(K263&gt;=Assumptions!$C$9,"ADEQUATE","GAP")</x:f>
        <x:v>ADEQUATE</x:v>
      </x:c>
      <x:c r="M263" s="42" t="n">
        <x:f>'Stage Standard'!G11</x:f>
        <x:v>0.7142857142857143</x:v>
      </x:c>
      <x:c r="N263" s="42" t="n">
        <x:f>K263*M263/Assumptions!$C$12</x:f>
        <x:v>0.6285714285714287</x:v>
      </x:c>
      <x:c r="O263" s="23" t="str">
        <x:f>IF(N263&gt;=1,"ADEQUATE","GAP")</x:f>
        <x:v>GAP</x:v>
      </x:c>
    </x:row>
    <x:row r="264">
      <x:c r="B264" s="21" t="str">
        <x:v>SB-0258</x:v>
      </x:c>
      <x:c r="C264" s="21" t="str">
        <x:v>F47</x:v>
      </x:c>
      <x:c r="D264" s="21" t="n">
        <x:v>6</x:v>
      </x:c>
      <x:c r="E264" s="21" t="str">
        <x:v>Conforming production</x:v>
      </x:c>
      <x:c r="F264" s="42" t="n">
        <x:v>0.96</x:v>
      </x:c>
      <x:c r="G264" s="42" t="n">
        <x:v>0.1</x:v>
      </x:c>
      <x:c r="H264" s="42" t="n">
        <x:v>0.052000000000000005</x:v>
      </x:c>
      <x:c r="I264" s="42" t="n">
        <x:f>SUM(F264:H264)</x:f>
        <x:v>1.112</x:v>
      </x:c>
      <x:c r="J264" s="42" t="n">
        <x:f>MAX(0,Assumptions!$C$9-MIN($I$259:$I$270))</x:f>
        <x:v>0.03100000000000014</x:v>
      </x:c>
      <x:c r="K264" s="42" t="n">
        <x:f>I264+J264</x:f>
        <x:v>1.1430000000000002</x:v>
      </x:c>
      <x:c r="L264" s="21" t="str">
        <x:f>IF(K264&gt;=Assumptions!$C$9,"ADEQUATE","GAP")</x:f>
        <x:v>ADEQUATE</x:v>
      </x:c>
      <x:c r="M264" s="42" t="n">
        <x:f>'Stage Standard'!G12</x:f>
        <x:v>0.7142857142857143</x:v>
      </x:c>
      <x:c r="N264" s="42" t="n">
        <x:f>K264*M264/Assumptions!$C$12</x:f>
        <x:v>0.6531428571428572</x:v>
      </x:c>
      <x:c r="O264" s="23" t="str">
        <x:f>IF(N264&gt;=1,"ADEQUATE","GAP")</x:f>
        <x:v>GAP</x:v>
      </x:c>
    </x:row>
    <x:row r="265">
      <x:c r="B265" s="21" t="str">
        <x:v>SB-0259</x:v>
      </x:c>
      <x:c r="C265" s="21" t="str">
        <x:v>F47</x:v>
      </x:c>
      <x:c r="D265" s="21" t="n">
        <x:v>7</x:v>
      </x:c>
      <x:c r="E265" s="21" t="str">
        <x:v>Independent acceptance</x:v>
      </x:c>
      <x:c r="F265" s="42" t="n">
        <x:v>1.05</x:v>
      </x:c>
      <x:c r="G265" s="42" t="n">
        <x:v>0.06</x:v>
      </x:c>
      <x:c r="H265" s="42" t="n">
        <x:v>0.039</x:v>
      </x:c>
      <x:c r="I265" s="42" t="n">
        <x:f>SUM(F265:H265)</x:f>
        <x:v>1.149</x:v>
      </x:c>
      <x:c r="J265" s="42" t="n">
        <x:f>MAX(0,Assumptions!$C$9-MIN($I$259:$I$270))</x:f>
        <x:v>0.03100000000000014</x:v>
      </x:c>
      <x:c r="K265" s="42" t="n">
        <x:f>I265+J265</x:f>
        <x:v>1.1800000000000002</x:v>
      </x:c>
      <x:c r="L265" s="21" t="str">
        <x:f>IF(K265&gt;=Assumptions!$C$9,"ADEQUATE","GAP")</x:f>
        <x:v>ADEQUATE</x:v>
      </x:c>
      <x:c r="M265" s="42" t="n">
        <x:f>'Stage Standard'!G13</x:f>
        <x:v>0.8125</x:v>
      </x:c>
      <x:c r="N265" s="42" t="n">
        <x:f>K265*M265/Assumptions!$C$12</x:f>
        <x:v>0.7670000000000001</x:v>
      </x:c>
      <x:c r="O265" s="23" t="str">
        <x:f>IF(N265&gt;=1,"ADEQUATE","GAP")</x:f>
        <x:v>GAP</x:v>
      </x:c>
    </x:row>
    <x:row r="266">
      <x:c r="B266" s="21" t="str">
        <x:v>SB-0260</x:v>
      </x:c>
      <x:c r="C266" s="21" t="str">
        <x:v>F47</x:v>
      </x:c>
      <x:c r="D266" s="21" t="n">
        <x:v>8</x:v>
      </x:c>
      <x:c r="E266" s="21" t="str">
        <x:v>Loadout and custody transfer</x:v>
      </x:c>
      <x:c r="F266" s="42" t="n">
        <x:v>0.96</x:v>
      </x:c>
      <x:c r="G266" s="42" t="n">
        <x:v>0.18</x:v>
      </x:c>
      <x:c r="H266" s="42" t="n">
        <x:v>0.13</x:v>
      </x:c>
      <x:c r="I266" s="42" t="n">
        <x:f>SUM(F266:H266)</x:f>
        <x:v>1.27</x:v>
      </x:c>
      <x:c r="J266" s="42" t="n">
        <x:f>MAX(0,Assumptions!$C$9-MIN($I$259:$I$270))</x:f>
        <x:v>0.03100000000000014</x:v>
      </x:c>
      <x:c r="K266" s="42" t="n">
        <x:f>I266+J266</x:f>
        <x:v>1.3010000000000002</x:v>
      </x:c>
      <x:c r="L266" s="21" t="str">
        <x:f>IF(K266&gt;=Assumptions!$C$9,"ADEQUATE","GAP")</x:f>
        <x:v>ADEQUATE</x:v>
      </x:c>
      <x:c r="M266" s="42" t="n">
        <x:f>'Stage Standard'!G14</x:f>
        <x:v>0.7692307692307692</x:v>
      </x:c>
      <x:c r="N266" s="42" t="n">
        <x:f>K266*M266/Assumptions!$C$12</x:f>
        <x:v>0.8006153846153847</x:v>
      </x:c>
      <x:c r="O266" s="23" t="str">
        <x:f>IF(N266&gt;=1,"ADEQUATE","GAP")</x:f>
        <x:v>GAP</x:v>
      </x:c>
    </x:row>
    <x:row r="267">
      <x:c r="B267" s="21" t="str">
        <x:v>SB-0261</x:v>
      </x:c>
      <x:c r="C267" s="21" t="str">
        <x:v>F47</x:v>
      </x:c>
      <x:c r="D267" s="21" t="n">
        <x:v>9</x:v>
      </x:c>
      <x:c r="E267" s="21" t="str">
        <x:v>Strategic transport</x:v>
      </x:c>
      <x:c r="F267" s="42" t="n">
        <x:v>0.9425</x:v>
      </x:c>
      <x:c r="G267" s="42" t="n">
        <x:v>0.18</x:v>
      </x:c>
      <x:c r="H267" s="42" t="n">
        <x:v>0.13</x:v>
      </x:c>
      <x:c r="I267" s="42" t="n">
        <x:f>SUM(F267:H267)</x:f>
        <x:v>1.2525</x:v>
      </x:c>
      <x:c r="J267" s="42" t="n">
        <x:f>MAX(0,Assumptions!$C$9-MIN($I$259:$I$270))</x:f>
        <x:v>0.03100000000000014</x:v>
      </x:c>
      <x:c r="K267" s="42" t="n">
        <x:f>I267+J267</x:f>
        <x:v>1.2835</x:v>
      </x:c>
      <x:c r="L267" s="21" t="str">
        <x:f>IF(K267&gt;=Assumptions!$C$9,"ADEQUATE","GAP")</x:f>
        <x:v>ADEQUATE</x:v>
      </x:c>
      <x:c r="M267" s="42" t="n">
        <x:f>'Stage Standard'!G15</x:f>
        <x:v>0.7692307692307692</x:v>
      </x:c>
      <x:c r="N267" s="42" t="n">
        <x:f>K267*M267/Assumptions!$C$12</x:f>
        <x:v>0.7898461538461539</x:v>
      </x:c>
      <x:c r="O267" s="23" t="str">
        <x:f>IF(N267&gt;=1,"ADEQUATE","GAP")</x:f>
        <x:v>GAP</x:v>
      </x:c>
    </x:row>
    <x:row r="268">
      <x:c r="B268" s="21" t="str">
        <x:v>SB-0262</x:v>
      </x:c>
      <x:c r="C268" s="21" t="str">
        <x:v>F47</x:v>
      </x:c>
      <x:c r="D268" s="21" t="n">
        <x:v>10</x:v>
      </x:c>
      <x:c r="E268" s="21" t="str">
        <x:v>Receiving-node admission</x:v>
      </x:c>
      <x:c r="F268" s="42" t="n">
        <x:v>0.96</x:v>
      </x:c>
      <x:c r="G268" s="42" t="n">
        <x:v>0.18</x:v>
      </x:c>
      <x:c r="H268" s="42" t="n">
        <x:v>0.13</x:v>
      </x:c>
      <x:c r="I268" s="42" t="n">
        <x:f>SUM(F268:H268)</x:f>
        <x:v>1.27</x:v>
      </x:c>
      <x:c r="J268" s="42" t="n">
        <x:f>MAX(0,Assumptions!$C$9-MIN($I$259:$I$270))</x:f>
        <x:v>0.03100000000000014</x:v>
      </x:c>
      <x:c r="K268" s="42" t="n">
        <x:f>I268+J268</x:f>
        <x:v>1.3010000000000002</x:v>
      </x:c>
      <x:c r="L268" s="21" t="str">
        <x:f>IF(K268&gt;=Assumptions!$C$9,"ADEQUATE","GAP")</x:f>
        <x:v>ADEQUATE</x:v>
      </x:c>
      <x:c r="M268" s="42" t="n">
        <x:f>'Stage Standard'!G16</x:f>
        <x:v>0.7999999999999999</x:v>
      </x:c>
      <x:c r="N268" s="42" t="n">
        <x:f>K268*M268/Assumptions!$C$12</x:f>
        <x:v>0.8326399999999999</x:v>
      </x:c>
      <x:c r="O268" s="23" t="str">
        <x:f>IF(N268&gt;=1,"ADEQUATE","GAP")</x:f>
        <x:v>GAP</x:v>
      </x:c>
    </x:row>
    <x:row r="269">
      <x:c r="B269" s="21" t="str">
        <x:v>SB-0263</x:v>
      </x:c>
      <x:c r="C269" s="21" t="str">
        <x:v>F47</x:v>
      </x:c>
      <x:c r="D269" s="21" t="n">
        <x:v>11</x:v>
      </x:c>
      <x:c r="E269" s="21" t="str">
        <x:v>Commissioned public service</x:v>
      </x:c>
      <x:c r="F269" s="42" t="n">
        <x:v>0.98</x:v>
      </x:c>
      <x:c r="G269" s="42" t="n">
        <x:v>0.16</x:v>
      </x:c>
      <x:c r="H269" s="42" t="n">
        <x:v>0.13</x:v>
      </x:c>
      <x:c r="I269" s="42" t="n">
        <x:f>SUM(F269:H269)</x:f>
        <x:v>1.27</x:v>
      </x:c>
      <x:c r="J269" s="42" t="n">
        <x:f>MAX(0,Assumptions!$C$9-MIN($I$259:$I$270))</x:f>
        <x:v>0.03100000000000014</x:v>
      </x:c>
      <x:c r="K269" s="42" t="n">
        <x:f>I269+J269</x:f>
        <x:v>1.3010000000000002</x:v>
      </x:c>
      <x:c r="L269" s="21" t="str">
        <x:f>IF(K269&gt;=Assumptions!$C$9,"ADEQUATE","GAP")</x:f>
        <x:v>ADEQUATE</x:v>
      </x:c>
      <x:c r="M269" s="42" t="n">
        <x:f>'Stage Standard'!G17</x:f>
        <x:v>0.7857142857142858</x:v>
      </x:c>
      <x:c r="N269" s="42" t="n">
        <x:f>K269*M269/Assumptions!$C$12</x:f>
        <x:v>0.8177714285714288</x:v>
      </x:c>
      <x:c r="O269" s="23" t="str">
        <x:f>IF(N269&gt;=1,"ADEQUATE","GAP")</x:f>
        <x:v>GAP</x:v>
      </x:c>
    </x:row>
    <x:row r="270">
      <x:c r="B270" s="24" t="str">
        <x:v>SB-0264</x:v>
      </x:c>
      <x:c r="C270" s="24" t="str">
        <x:v>F47</x:v>
      </x:c>
      <x:c r="D270" s="24" t="n">
        <x:v>12</x:v>
      </x:c>
      <x:c r="E270" s="24" t="str">
        <x:v>Regeneration and replacement</x:v>
      </x:c>
      <x:c r="F270" s="43" t="n">
        <x:v>0.9</x:v>
      </x:c>
      <x:c r="G270" s="43" t="n">
        <x:v>0.22</x:v>
      </x:c>
      <x:c r="H270" s="43" t="n">
        <x:v>0.078</x:v>
      </x:c>
      <x:c r="I270" s="43" t="n">
        <x:f>SUM(F270:H270)</x:f>
        <x:v>1.1980000000000002</x:v>
      </x:c>
      <x:c r="J270" s="43" t="n">
        <x:f>MAX(0,Assumptions!$C$9-MIN($I$259:$I$270))</x:f>
        <x:v>0.03100000000000014</x:v>
      </x:c>
      <x:c r="K270" s="43" t="n">
        <x:f>I270+J270</x:f>
        <x:v>1.2290000000000003</x:v>
      </x:c>
      <x:c r="L270" s="24" t="str">
        <x:f>IF(K270&gt;=Assumptions!$C$9,"ADEQUATE","GAP")</x:f>
        <x:v>ADEQUATE</x:v>
      </x:c>
      <x:c r="M270" s="43" t="n">
        <x:f>'Stage Standard'!G18</x:f>
        <x:v>0.7142857142857143</x:v>
      </x:c>
      <x:c r="N270" s="43" t="n">
        <x:f>K270*M270/Assumptions!$C$12</x:f>
        <x:v>0.7022857142857145</x:v>
      </x:c>
      <x:c r="O270" s="26" t="str">
        <x:f>IF(N270&gt;=1,"ADEQUATE","GAP")</x:f>
        <x:v>GAP</x:v>
      </x:c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</x:row>
  </x:sheetData>
  <x:mergeCells>
    <x:mergeCell ref="B3:O3"/>
  </x:mergeCells>
  <x:conditionalFormatting sqref="L7:O270">
    <x:cfRule type="containsText" dxfId="36" priority="1" operator="containsText" text="OPEN"/>
    <x:cfRule type="containsText" dxfId="37" priority="2" operator="containsText" text="HOLD"/>
    <x:cfRule type="containsText" dxfId="38" priority="3" operator="containsText" text="BLOCKED"/>
    <x:cfRule type="containsText" dxfId="39" priority="4" operator="containsText" text="GAP"/>
    <x:cfRule type="containsText" dxfId="40" priority="5" operator="containsText" text="NOT ADMITTED"/>
    <x:cfRule type="containsText" dxfId="41" priority="6" operator="containsText" text="FAIL"/>
    <x:cfRule type="containsText" dxfId="42" priority="7" operator="containsText" text="PASS"/>
    <x:cfRule type="containsText" dxfId="43" priority="8" operator="containsText" text="ADEQUATE"/>
    <x:cfRule type="containsText" dxfId="44" priority="9" operator="containsText" text="CLOSES M05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2" hidden="0" customWidth="1"/>
    <x:col min="4" max="4" width="12" hidden="0" customWidth="1"/>
    <x:col min="5" max="5" width="16" hidden="0" customWidth="1"/>
    <x:col min="6" max="6" width="18" hidden="0" customWidth="1"/>
    <x:col min="7" max="7" width="19" hidden="0" customWidth="1"/>
    <x:col min="8" max="8" width="18" hidden="0" customWidth="1"/>
    <x:col min="9" max="9" width="22" hidden="0" customWidth="1"/>
    <x:col min="10" max="10" width="17" hidden="0" customWidth="1"/>
    <x:col min="11" max="11" width="22" hidden="0" customWidth="1"/>
    <x:col min="12" max="12" width="17" hidden="0" customWidth="1"/>
    <x:col min="13" max="13" width="17" hidden="0" customWidth="1"/>
    <x:col min="14" max="14" width="22" hidden="0" customWidth="1"/>
    <x:col min="15" max="15" width="23" hidden="0" customWidth="1"/>
    <x:col min="16" max="16" width="13" hidden="0" customWidth="1"/>
  </x:cols>
  <x:sheetData>
    <x:row r="2">
      <x:c r="B2" s="3" t="str">
        <x:v>Twenty-two-family redesign compiler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Every Pass 98 gap is rebuilt from named dependency interventions. Capital follows relative complexity; it does not create evidence or admission.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19" t="str">
        <x:v>Family</x:v>
      </x:c>
      <x:c r="C6" s="20" t="str">
        <x:v>Capability family</x:v>
      </x:c>
      <x:c r="D6" s="20" t="str">
        <x:v>Readiness</x:v>
      </x:c>
      <x:c r="E6" s="20" t="str">
        <x:v>Pass 98 ratio</x:v>
      </x:c>
      <x:c r="F6" s="20" t="str">
        <x:v>Recompiled baseline</x:v>
      </x:c>
      <x:c r="G6" s="20" t="str">
        <x:v>Before replication</x:v>
      </x:c>
      <x:c r="H6" s="20" t="str">
        <x:v>Replication layer</x:v>
      </x:c>
      <x:c r="I6" s="20" t="str">
        <x:v>M05 designed minimum</x:v>
      </x:c>
      <x:c r="J6" s="20" t="str">
        <x:v>M05 result</x:v>
      </x:c>
      <x:c r="K6" s="20" t="str">
        <x:v>M06 designed minimum</x:v>
      </x:c>
      <x:c r="L6" s="20" t="str">
        <x:v>M06 result</x:v>
      </x:c>
      <x:c r="M6" s="20" t="str">
        <x:v>Raw complexity</x:v>
      </x:c>
      <x:c r="N6" s="20" t="str">
        <x:v>Family capital USD B</x:v>
      </x:c>
      <x:c r="O6" s="20" t="str">
        <x:v>Annual readiness USD B</x:v>
      </x:c>
      <x:c r="P6" s="20" t="str">
        <x:v>Evidence</x:v>
      </x:c>
    </x:row>
    <x:row r="7">
      <x:c r="B7" s="21" t="str">
        <x:v>F05</x:v>
      </x:c>
      <x:c r="C7" s="21" t="str">
        <x:v>Rapid nutrition production cell</x:v>
      </x:c>
      <x:c r="D7" s="21" t="str">
        <x:v>S1</x:v>
      </x:c>
      <x:c r="E7" s="42" t="n">
        <x:v>0.9425000000000001</x:v>
      </x:c>
      <x:c r="F7" s="42" t="n">
        <x:f>MIN('Stage Build'!F7:F18)</x:f>
        <x:v>0.88</x:v>
      </x:c>
      <x:c r="G7" s="42" t="n">
        <x:f>MIN('Stage Build'!I7:I18)</x:f>
        <x:v>1.0150000000000001</x:v>
      </x:c>
      <x:c r="H7" s="42" t="n">
        <x:f>MAX('Stage Build'!J7:J18)</x:f>
        <x:v>0.08499999999999996</x:v>
      </x:c>
      <x:c r="I7" s="42" t="n">
        <x:f>MIN('Stage Build'!K7:K18)</x:f>
        <x:v>1.1</x:v>
      </x:c>
      <x:c r="J7" s="21" t="str">
        <x:f>IF(I7&gt;=Assumptions!$C$9,"CLOSES M05","GAP")</x:f>
        <x:v>CLOSES M05</x:v>
      </x:c>
      <x:c r="K7" s="42" t="n">
        <x:f>MIN('Stage Build'!N7:N18)</x:f>
        <x:v>0.676923076923077</x:v>
      </x:c>
      <x:c r="L7" s="42" t="str">
        <x:f>IF(K7&gt;=1,"CLOSES M06","GAP")</x:f>
        <x:v>GAP</x:v>
      </x:c>
      <x:c r="M7" s="42" t="n">
        <x:v>17.44</x:v>
      </x:c>
      <x:c r="N7" s="42" t="n">
        <x:f>M7/SUM($M$7:$M$28)*Assumptions!$C$14</x:f>
        <x:v>20.919515974077186</x:v>
      </x:c>
      <x:c r="O7" s="42" t="n">
        <x:f>N7*Assumptions!$C$17</x:f>
        <x:v>1.2551709584446311</x:v>
      </x:c>
      <x:c r="P7" s="23" t="str">
        <x:v>OPEN</x:v>
      </x:c>
    </x:row>
    <x:row r="8">
      <x:c r="B8" s="21" t="str">
        <x:v>F06</x:v>
      </x:c>
      <x:c r="C8" s="21" t="str">
        <x:v>Cold-chain preservation lattice</x:v>
      </x:c>
      <x:c r="D8" s="21" t="str">
        <x:v>S1</x:v>
      </x:c>
      <x:c r="E8" s="42" t="n">
        <x:v>0.9425000000000001</x:v>
      </x:c>
      <x:c r="F8" s="42" t="n">
        <x:f>MIN('Stage Build'!F19:F30)</x:f>
        <x:v>0.86</x:v>
      </x:c>
      <x:c r="G8" s="42" t="n">
        <x:f>MIN('Stage Build'!I19:I30)</x:f>
        <x:v>1.0995</x:v>
      </x:c>
      <x:c r="H8" s="42" t="n">
        <x:f>MAX('Stage Build'!J19:J30)</x:f>
        <x:v>0.000500000000000167</x:v>
      </x:c>
      <x:c r="I8" s="42" t="n">
        <x:f>MIN('Stage Build'!K19:K30)</x:f>
        <x:v>1.1</x:v>
      </x:c>
      <x:c r="J8" s="21" t="str">
        <x:f>IF(I8&gt;=Assumptions!$C$9,"CLOSES M05","GAP")</x:f>
        <x:v>CLOSES M05</x:v>
      </x:c>
      <x:c r="K8" s="42" t="n">
        <x:f>MIN('Stage Build'!N19:N30)</x:f>
        <x:v>0.6414285714285715</x:v>
      </x:c>
      <x:c r="L8" s="42" t="str">
        <x:f>IF(K8&gt;=1,"CLOSES M06","GAP")</x:f>
        <x:v>GAP</x:v>
      </x:c>
      <x:c r="M8" s="42" t="n">
        <x:v>21.68</x:v>
      </x:c>
      <x:c r="N8" s="42" t="n">
        <x:f>M8/SUM($M$7:$M$28)*Assumptions!$C$14</x:f>
        <x:v>26.005453343921634</x:v>
      </x:c>
      <x:c r="O8" s="42" t="n">
        <x:f>N8*Assumptions!$C$17</x:f>
        <x:v>1.560327200635298</x:v>
      </x:c>
      <x:c r="P8" s="23" t="str">
        <x:v>OPEN</x:v>
      </x:c>
    </x:row>
    <x:row r="9">
      <x:c r="B9" s="21" t="str">
        <x:v>F07</x:v>
      </x:c>
      <x:c r="C9" s="21" t="str">
        <x:v>Shelter manufacturing line</x:v>
      </x:c>
      <x:c r="D9" s="21" t="str">
        <x:v>W2</x:v>
      </x:c>
      <x:c r="E9" s="42" t="n">
        <x:v>0.8450000000000001</x:v>
      </x:c>
      <x:c r="F9" s="42" t="n">
        <x:f>MIN('Stage Build'!F31:F42)</x:f>
        <x:v>0.72</x:v>
      </x:c>
      <x:c r="G9" s="42" t="n">
        <x:f>MIN('Stage Build'!I31:I42)</x:f>
        <x:v>0.9779999999999999</x:v>
      </x:c>
      <x:c r="H9" s="42" t="n">
        <x:f>MAX('Stage Build'!J31:J42)</x:f>
        <x:v>0.12200000000000022</x:v>
      </x:c>
      <x:c r="I9" s="42" t="n">
        <x:f>MIN('Stage Build'!K31:K42)</x:f>
        <x:v>1.1</x:v>
      </x:c>
      <x:c r="J9" s="21" t="str">
        <x:f>IF(I9&gt;=Assumptions!$C$9,"CLOSES M05","GAP")</x:f>
        <x:v>CLOSES M05</x:v>
      </x:c>
      <x:c r="K9" s="42" t="n">
        <x:f>MIN('Stage Build'!N31:N42)</x:f>
        <x:v>0.6285714285714287</x:v>
      </x:c>
      <x:c r="L9" s="42" t="str">
        <x:f>IF(K9&gt;=1,"CLOSES M06","GAP")</x:f>
        <x:v>GAP</x:v>
      </x:c>
      <x:c r="M9" s="42" t="n">
        <x:v>34.199999999999996</x:v>
      </x:c>
      <x:c r="N9" s="42" t="n">
        <x:f>M9/SUM($M$7:$M$28)*Assumptions!$C$14</x:f>
        <x:v>41.023362747330246</x:v>
      </x:c>
      <x:c r="O9" s="42" t="n">
        <x:f>N9*Assumptions!$C$17</x:f>
        <x:v>2.4614017648398145</x:v>
      </x:c>
      <x:c r="P9" s="23" t="str">
        <x:v>OPEN</x:v>
      </x:c>
    </x:row>
    <x:row r="10">
      <x:c r="B10" s="21" t="str">
        <x:v>F08</x:v>
      </x:c>
      <x:c r="C10" s="21" t="str">
        <x:v>Essential-goods fabrication cell</x:v>
      </x:c>
      <x:c r="D10" s="21" t="str">
        <x:v>S1</x:v>
      </x:c>
      <x:c r="E10" s="42" t="n">
        <x:v>0.9425000000000001</x:v>
      </x:c>
      <x:c r="F10" s="42" t="n">
        <x:f>MIN('Stage Build'!F43:F54)</x:f>
        <x:v>0.87</x:v>
      </x:c>
      <x:c r="G10" s="42" t="n">
        <x:f>MIN('Stage Build'!I43:I54)</x:f>
        <x:v>1.0215</x:v>
      </x:c>
      <x:c r="H10" s="42" t="n">
        <x:f>MAX('Stage Build'!J43:J54)</x:f>
        <x:v>0.07850000000000001</x:v>
      </x:c>
      <x:c r="I10" s="42" t="n">
        <x:f>MIN('Stage Build'!K43:K54)</x:f>
        <x:v>1.1</x:v>
      </x:c>
      <x:c r="J10" s="21" t="str">
        <x:f>IF(I10&gt;=Assumptions!$C$9,"CLOSES M05","GAP")</x:f>
        <x:v>CLOSES M05</x:v>
      </x:c>
      <x:c r="K10" s="42" t="n">
        <x:f>MIN('Stage Build'!N43:N54)</x:f>
        <x:v>0.676923076923077</x:v>
      </x:c>
      <x:c r="L10" s="42" t="str">
        <x:f>IF(K10&gt;=1,"CLOSES M06","GAP")</x:f>
        <x:v>GAP</x:v>
      </x:c>
      <x:c r="M10" s="42" t="n">
        <x:v>17.96</x:v>
      </x:c>
      <x:c r="N10" s="42" t="n">
        <x:f>M10/SUM($M$7:$M$28)*Assumptions!$C$14</x:f>
        <x:v>21.543263010001503</x:v>
      </x:c>
      <x:c r="O10" s="42" t="n">
        <x:f>N10*Assumptions!$C$17</x:f>
        <x:v>1.29259578060009</x:v>
      </x:c>
      <x:c r="P10" s="23" t="str">
        <x:v>OPEN</x:v>
      </x:c>
    </x:row>
    <x:row r="11">
      <x:c r="B11" s="21" t="str">
        <x:v>F13</x:v>
      </x:c>
      <x:c r="C11" s="21" t="str">
        <x:v>Pharmaceutical and biologic microfactory</x:v>
      </x:c>
      <x:c r="D11" s="21" t="str">
        <x:v>S1</x:v>
      </x:c>
      <x:c r="E11" s="42" t="n">
        <x:v>0.9425000000000001</x:v>
      </x:c>
      <x:c r="F11" s="42" t="n">
        <x:f>MIN('Stage Build'!F55:F66)</x:f>
        <x:v>0.88</x:v>
      </x:c>
      <x:c r="G11" s="42" t="n">
        <x:f>MIN('Stage Build'!I55:I66)</x:f>
        <x:v>1.0215</x:v>
      </x:c>
      <x:c r="H11" s="42" t="n">
        <x:f>MAX('Stage Build'!J55:J66)</x:f>
        <x:v>0.07850000000000001</x:v>
      </x:c>
      <x:c r="I11" s="42" t="n">
        <x:f>MIN('Stage Build'!K55:K66)</x:f>
        <x:v>1.1</x:v>
      </x:c>
      <x:c r="J11" s="21" t="str">
        <x:f>IF(I11&gt;=Assumptions!$C$9,"CLOSES M05","GAP")</x:f>
        <x:v>CLOSES M05</x:v>
      </x:c>
      <x:c r="K11" s="42" t="n">
        <x:f>MIN('Stage Build'!N55:N66)</x:f>
        <x:v>0.676923076923077</x:v>
      </x:c>
      <x:c r="L11" s="42" t="str">
        <x:f>IF(K11&gt;=1,"CLOSES M06","GAP")</x:f>
        <x:v>GAP</x:v>
      </x:c>
      <x:c r="M11" s="42" t="n">
        <x:v>16.4</x:v>
      </x:c>
      <x:c r="N11" s="42" t="n">
        <x:f>M11/SUM($M$7:$M$28)*Assumptions!$C$14</x:f>
        <x:v>19.67202190222854</x:v>
      </x:c>
      <x:c r="O11" s="42" t="n">
        <x:f>N11*Assumptions!$C$17</x:f>
        <x:v>1.1803213141337123</x:v>
      </x:c>
      <x:c r="P11" s="23" t="str">
        <x:v>OPEN</x:v>
      </x:c>
    </x:row>
    <x:row r="12">
      <x:c r="B12" s="21" t="str">
        <x:v>F17</x:v>
      </x:c>
      <x:c r="C12" s="21" t="str">
        <x:v>Mobile nuclear energy station</x:v>
      </x:c>
      <x:c r="D12" s="21" t="str">
        <x:v>S1</x:v>
      </x:c>
      <x:c r="E12" s="42" t="n">
        <x:v>0.9425</x:v>
      </x:c>
      <x:c r="F12" s="42" t="n">
        <x:f>MIN('Stage Build'!F67:F78)</x:f>
        <x:v>0.9</x:v>
      </x:c>
      <x:c r="G12" s="42" t="n">
        <x:f>MIN('Stage Build'!I67:I78)</x:f>
        <x:v>1.0215</x:v>
      </x:c>
      <x:c r="H12" s="42" t="n">
        <x:f>MAX('Stage Build'!J67:J78)</x:f>
        <x:v>0.07850000000000001</x:v>
      </x:c>
      <x:c r="I12" s="42" t="n">
        <x:f>MIN('Stage Build'!K67:K78)</x:f>
        <x:v>1.1</x:v>
      </x:c>
      <x:c r="J12" s="21" t="str">
        <x:f>IF(I12&gt;=Assumptions!$C$9,"CLOSES M05","GAP")</x:f>
        <x:v>CLOSES M05</x:v>
      </x:c>
      <x:c r="K12" s="42" t="n">
        <x:f>MIN('Stage Build'!N67:N78)</x:f>
        <x:v>0.676923076923077</x:v>
      </x:c>
      <x:c r="L12" s="42" t="str">
        <x:f>IF(K12&gt;=1,"CLOSES M06","GAP")</x:f>
        <x:v>GAP</x:v>
      </x:c>
      <x:c r="M12" s="42" t="n">
        <x:v>50.255</x:v>
      </x:c>
      <x:c r="N12" s="42" t="n">
        <x:f>M12/SUM($M$7:$M$28)*Assumptions!$C$14</x:f>
        <x:v>60.28155248149362</x:v>
      </x:c>
      <x:c r="O12" s="42" t="n">
        <x:f>N12*Assumptions!$C$17</x:f>
        <x:v>3.616893148889617</x:v>
      </x:c>
      <x:c r="P12" s="23" t="str">
        <x:v>OPEN</x:v>
      </x:c>
    </x:row>
    <x:row r="13">
      <x:c r="B13" s="21" t="str">
        <x:v>F18</x:v>
      </x:c>
      <x:c r="C13" s="21" t="str">
        <x:v>Long-duration storage module</x:v>
      </x:c>
      <x:c r="D13" s="21" t="str">
        <x:v>S1</x:v>
      </x:c>
      <x:c r="E13" s="42" t="n">
        <x:v>0.9425</x:v>
      </x:c>
      <x:c r="F13" s="42" t="n">
        <x:f>MIN('Stage Build'!F79:F90)</x:f>
        <x:v>0.86</x:v>
      </x:c>
      <x:c r="G13" s="42" t="n">
        <x:f>MIN('Stage Build'!I79:I90)</x:f>
        <x:v>1.035</x:v>
      </x:c>
      <x:c r="H13" s="42" t="n">
        <x:f>MAX('Stage Build'!J79:J90)</x:f>
        <x:v>0.06500000000000017</x:v>
      </x:c>
      <x:c r="I13" s="42" t="n">
        <x:f>MIN('Stage Build'!K79:K90)</x:f>
        <x:v>1.1</x:v>
      </x:c>
      <x:c r="J13" s="21" t="str">
        <x:f>IF(I13&gt;=Assumptions!$C$9,"CLOSES M05","GAP")</x:f>
        <x:v>CLOSES M05</x:v>
      </x:c>
      <x:c r="K13" s="42" t="n">
        <x:f>MIN('Stage Build'!N79:N90)</x:f>
        <x:v>0.6702857142857145</x:v>
      </x:c>
      <x:c r="L13" s="42" t="str">
        <x:f>IF(K13&gt;=1,"CLOSES M06","GAP")</x:f>
        <x:v>GAP</x:v>
      </x:c>
      <x:c r="M13" s="42" t="n">
        <x:v>39.52</x:v>
      </x:c>
      <x:c r="N13" s="42" t="n">
        <x:f>M13/SUM($M$7:$M$28)*Assumptions!$C$14</x:f>
        <x:v>47.4047747302483</x:v>
      </x:c>
      <x:c r="O13" s="42" t="n">
        <x:f>N13*Assumptions!$C$17</x:f>
        <x:v>2.844286483814898</x:v>
      </x:c>
      <x:c r="P13" s="23" t="str">
        <x:v>OPEN</x:v>
      </x:c>
    </x:row>
    <x:row r="14">
      <x:c r="B14" s="21" t="str">
        <x:v>F20</x:v>
      </x:c>
      <x:c r="C14" s="21" t="str">
        <x:v>Fuel synthesis and distribution train</x:v>
      </x:c>
      <x:c r="D14" s="21" t="str">
        <x:v>W2</x:v>
      </x:c>
      <x:c r="E14" s="42" t="n">
        <x:v>0.8450000000000001</x:v>
      </x:c>
      <x:c r="F14" s="42" t="n">
        <x:f>MIN('Stage Build'!F91:F102)</x:f>
        <x:v>0.76</x:v>
      </x:c>
      <x:c r="G14" s="42" t="n">
        <x:f>MIN('Stage Build'!I91:I102)</x:f>
        <x:v>0.9175</x:v>
      </x:c>
      <x:c r="H14" s="42" t="n">
        <x:f>MAX('Stage Build'!J91:J102)</x:f>
        <x:v>0.1825000000000001</x:v>
      </x:c>
      <x:c r="I14" s="42" t="n">
        <x:f>MIN('Stage Build'!K91:K102)</x:f>
        <x:v>1.1</x:v>
      </x:c>
      <x:c r="J14" s="21" t="str">
        <x:f>IF(I14&gt;=Assumptions!$C$9,"CLOSES M05","GAP")</x:f>
        <x:v>CLOSES M05</x:v>
      </x:c>
      <x:c r="K14" s="42" t="n">
        <x:f>MIN('Stage Build'!N91:N102)</x:f>
        <x:v>0.676923076923077</x:v>
      </x:c>
      <x:c r="L14" s="42" t="str">
        <x:f>IF(K14&gt;=1,"CLOSES M06","GAP")</x:f>
        <x:v>GAP</x:v>
      </x:c>
      <x:c r="M14" s="42" t="n">
        <x:v>20.64</x:v>
      </x:c>
      <x:c r="N14" s="42" t="n">
        <x:f>M14/SUM($M$7:$M$28)*Assumptions!$C$14</x:f>
        <x:v>24.757959272072995</x:v>
      </x:c>
      <x:c r="O14" s="42" t="n">
        <x:f>N14*Assumptions!$C$17</x:f>
        <x:v>1.4854775563243796</x:v>
      </x:c>
      <x:c r="P14" s="23" t="str">
        <x:v>OPEN</x:v>
      </x:c>
    </x:row>
    <x:row r="15">
      <x:c r="B15" s="21" t="str">
        <x:v>F21</x:v>
      </x:c>
      <x:c r="C15" s="21" t="str">
        <x:v>Grid restoration and line-deployment system</x:v>
      </x:c>
      <x:c r="D15" s="21" t="str">
        <x:v>S1</x:v>
      </x:c>
      <x:c r="E15" s="42" t="n">
        <x:v>0.9425</x:v>
      </x:c>
      <x:c r="F15" s="42" t="n">
        <x:f>MIN('Stage Build'!F103:F114)</x:f>
        <x:v>0.8625</x:v>
      </x:c>
      <x:c r="G15" s="42" t="n">
        <x:f>MIN('Stage Build'!I103:I114)</x:f>
        <x:v>1.062</x:v>
      </x:c>
      <x:c r="H15" s="42" t="n">
        <x:f>MAX('Stage Build'!J103:J114)</x:f>
        <x:v>0.038000000000000034</x:v>
      </x:c>
      <x:c r="I15" s="42" t="n">
        <x:f>MIN('Stage Build'!K103:K114)</x:f>
        <x:v>1.1</x:v>
      </x:c>
      <x:c r="J15" s="21" t="str">
        <x:f>IF(I15&gt;=Assumptions!$C$9,"CLOSES M05","GAP")</x:f>
        <x:v>CLOSES M05</x:v>
      </x:c>
      <x:c r="K15" s="42" t="n">
        <x:f>MIN('Stage Build'!N103:N114)</x:f>
        <x:v>0.6285714285714287</x:v>
      </x:c>
      <x:c r="L15" s="42" t="str">
        <x:f>IF(K15&gt;=1,"CLOSES M06","GAP")</x:f>
        <x:v>GAP</x:v>
      </x:c>
      <x:c r="M15" s="42" t="n">
        <x:v>36.15</x:v>
      </x:c>
      <x:c r="N15" s="42" t="n">
        <x:f>M15/SUM($M$7:$M$28)*Assumptions!$C$14</x:f>
        <x:v>43.362414132046446</x:v>
      </x:c>
      <x:c r="O15" s="42" t="n">
        <x:f>N15*Assumptions!$C$17</x:f>
        <x:v>2.6017448479227867</x:v>
      </x:c>
      <x:c r="P15" s="23" t="str">
        <x:v>OPEN</x:v>
      </x:c>
    </x:row>
    <x:row r="16">
      <x:c r="B16" s="21" t="str">
        <x:v>F27</x:v>
      </x:c>
      <x:c r="C16" s="21" t="str">
        <x:v>Heavy airlift relief carrier</x:v>
      </x:c>
      <x:c r="D16" s="21" t="str">
        <x:v>W2</x:v>
      </x:c>
      <x:c r="E16" s="42" t="n">
        <x:v>0.8450000000000001</x:v>
      </x:c>
      <x:c r="F16" s="42" t="n">
        <x:f>MIN('Stage Build'!F115:F126)</x:f>
        <x:v>0.72</x:v>
      </x:c>
      <x:c r="G16" s="42" t="n">
        <x:f>MIN('Stage Build'!I115:I126)</x:f>
        <x:v>0.987</x:v>
      </x:c>
      <x:c r="H16" s="42" t="n">
        <x:f>MAX('Stage Build'!J115:J126)</x:f>
        <x:v>0.1130000000000001</x:v>
      </x:c>
      <x:c r="I16" s="42" t="n">
        <x:f>MIN('Stage Build'!K115:K126)</x:f>
        <x:v>1.1</x:v>
      </x:c>
      <x:c r="J16" s="21" t="str">
        <x:f>IF(I16&gt;=Assumptions!$C$9,"CLOSES M05","GAP")</x:f>
        <x:v>CLOSES M05</x:v>
      </x:c>
      <x:c r="K16" s="42" t="n">
        <x:f>MIN('Stage Build'!N115:N126)</x:f>
        <x:v>0.6285714285714287</x:v>
      </x:c>
      <x:c r="L16" s="42" t="str">
        <x:f>IF(K16&gt;=1,"CLOSES M06","GAP")</x:f>
        <x:v>GAP</x:v>
      </x:c>
      <x:c r="M16" s="42" t="n">
        <x:v>88.35</x:v>
      </x:c>
      <x:c r="N16" s="42" t="n">
        <x:f>M16/SUM($M$7:$M$28)*Assumptions!$C$14</x:f>
        <x:v>105.97702043060315</x:v>
      </x:c>
      <x:c r="O16" s="42" t="n">
        <x:f>N16*Assumptions!$C$17</x:f>
        <x:v>6.358621225836188</x:v>
      </x:c>
      <x:c r="P16" s="23" t="str">
        <x:v>OPEN</x:v>
      </x:c>
    </x:row>
    <x:row r="17">
      <x:c r="B17" s="21" t="str">
        <x:v>F29</x:v>
      </x:c>
      <x:c r="C17" s="21" t="str">
        <x:v>Littoral response carrier</x:v>
      </x:c>
      <x:c r="D17" s="21" t="str">
        <x:v>W2</x:v>
      </x:c>
      <x:c r="E17" s="42" t="n">
        <x:v>0.8450000000000001</x:v>
      </x:c>
      <x:c r="F17" s="42" t="n">
        <x:f>MIN('Stage Build'!F127:F138)</x:f>
        <x:v>0.72</x:v>
      </x:c>
      <x:c r="G17" s="42" t="n">
        <x:f>MIN('Stage Build'!I127:I138)</x:f>
        <x:v>0.992</x:v>
      </x:c>
      <x:c r="H17" s="42" t="n">
        <x:f>MAX('Stage Build'!J127:J138)</x:f>
        <x:v>0.1080000000000001</x:v>
      </x:c>
      <x:c r="I17" s="42" t="n">
        <x:f>MIN('Stage Build'!K127:K138)</x:f>
        <x:v>1.1</x:v>
      </x:c>
      <x:c r="J17" s="21" t="str">
        <x:f>IF(I17&gt;=Assumptions!$C$9,"CLOSES M05","GAP")</x:f>
        <x:v>CLOSES M05</x:v>
      </x:c>
      <x:c r="K17" s="42" t="n">
        <x:f>MIN('Stage Build'!N127:N138)</x:f>
        <x:v>0.6434285714285715</x:v>
      </x:c>
      <x:c r="L17" s="42" t="str">
        <x:f>IF(K17&gt;=1,"CLOSES M06","GAP")</x:f>
        <x:v>GAP</x:v>
      </x:c>
      <x:c r="M17" s="42" t="n">
        <x:v>86.39999999999999</x:v>
      </x:c>
      <x:c r="N17" s="42" t="n">
        <x:f>M17/SUM($M$7:$M$28)*Assumptions!$C$14</x:f>
        <x:v>103.63796904588695</x:v>
      </x:c>
      <x:c r="O17" s="42" t="n">
        <x:f>N17*Assumptions!$C$17</x:f>
        <x:v>6.218278142753217</x:v>
      </x:c>
      <x:c r="P17" s="23" t="str">
        <x:v>OPEN</x:v>
      </x:c>
    </x:row>
    <x:row r="18">
      <x:c r="B18" s="21" t="str">
        <x:v>F30</x:v>
      </x:c>
      <x:c r="C18" s="21" t="str">
        <x:v>Riverine access train</x:v>
      </x:c>
      <x:c r="D18" s="21" t="str">
        <x:v>W2</x:v>
      </x:c>
      <x:c r="E18" s="42" t="n">
        <x:v>0.8450000000000001</x:v>
      </x:c>
      <x:c r="F18" s="42" t="n">
        <x:f>MIN('Stage Build'!F139:F150)</x:f>
        <x:v>0.76</x:v>
      </x:c>
      <x:c r="G18" s="42" t="n">
        <x:f>MIN('Stage Build'!I139:I150)</x:f>
        <x:v>0.992</x:v>
      </x:c>
      <x:c r="H18" s="42" t="n">
        <x:f>MAX('Stage Build'!J139:J150)</x:f>
        <x:v>0.1080000000000001</x:v>
      </x:c>
      <x:c r="I18" s="42" t="n">
        <x:f>MIN('Stage Build'!K139:K150)</x:f>
        <x:v>1.1</x:v>
      </x:c>
      <x:c r="J18" s="21" t="str">
        <x:f>IF(I18&gt;=Assumptions!$C$9,"CLOSES M05","GAP")</x:f>
        <x:v>CLOSES M05</x:v>
      </x:c>
      <x:c r="K18" s="42" t="n">
        <x:f>MIN('Stage Build'!N139:N150)</x:f>
        <x:v>0.6285714285714287</x:v>
      </x:c>
      <x:c r="L18" s="42" t="str">
        <x:f>IF(K18&gt;=1,"CLOSES M06","GAP")</x:f>
        <x:v>GAP</x:v>
      </x:c>
      <x:c r="M18" s="42" t="n">
        <x:v>90.3</x:v>
      </x:c>
      <x:c r="N18" s="42" t="n">
        <x:f>M18/SUM($M$7:$M$28)*Assumptions!$C$14</x:f>
        <x:v>108.31607181531935</x:v>
      </x:c>
      <x:c r="O18" s="42" t="n">
        <x:f>N18*Assumptions!$C$17</x:f>
        <x:v>6.49896430891916</x:v>
      </x:c>
      <x:c r="P18" s="23" t="str">
        <x:v>OPEN</x:v>
      </x:c>
    </x:row>
    <x:row r="19">
      <x:c r="B19" s="21" t="str">
        <x:v>F31</x:v>
      </x:c>
      <x:c r="C19" s="21" t="str">
        <x:v>Autonomous ground-logistics convoy</x:v>
      </x:c>
      <x:c r="D19" s="21" t="str">
        <x:v>S1</x:v>
      </x:c>
      <x:c r="E19" s="42" t="n">
        <x:v>0.9424999999999999</x:v>
      </x:c>
      <x:c r="F19" s="42" t="n">
        <x:f>MIN('Stage Build'!F151:F162)</x:f>
        <x:v>0.9</x:v>
      </x:c>
      <x:c r="G19" s="42" t="n">
        <x:f>MIN('Stage Build'!I151:I162)</x:f>
        <x:v>1.095</x:v>
      </x:c>
      <x:c r="H19" s="42" t="n">
        <x:f>MAX('Stage Build'!J151:J162)</x:f>
        <x:v>0.0050000000000001155</x:v>
      </x:c>
      <x:c r="I19" s="42" t="n">
        <x:f>MIN('Stage Build'!K151:K162)</x:f>
        <x:v>1.1</x:v>
      </x:c>
      <x:c r="J19" s="21" t="str">
        <x:f>IF(I19&gt;=Assumptions!$C$9,"CLOSES M05","GAP")</x:f>
        <x:v>CLOSES M05</x:v>
      </x:c>
      <x:c r="K19" s="42" t="n">
        <x:f>MIN('Stage Build'!N151:N162)</x:f>
        <x:v>0.6285714285714287</x:v>
      </x:c>
      <x:c r="L19" s="42" t="str">
        <x:f>IF(K19&gt;=1,"CLOSES M06","GAP")</x:f>
        <x:v>GAP</x:v>
      </x:c>
      <x:c r="M19" s="42" t="n">
        <x:v>31.57</x:v>
      </x:c>
      <x:c r="N19" s="42" t="n">
        <x:f>M19/SUM($M$7:$M$28)*Assumptions!$C$14</x:f>
        <x:v>37.86864216178994</x:v>
      </x:c>
      <x:c r="O19" s="42" t="n">
        <x:f>N19*Assumptions!$C$17</x:f>
        <x:v>2.2721185297073965</x:v>
      </x:c>
      <x:c r="P19" s="23" t="str">
        <x:v>OPEN</x:v>
      </x:c>
    </x:row>
    <x:row r="20">
      <x:c r="B20" s="21" t="str">
        <x:v>F32</x:v>
      </x:c>
      <x:c r="C20" s="21" t="str">
        <x:v>Rapid bridge and causeway system</x:v>
      </x:c>
      <x:c r="D20" s="21" t="str">
        <x:v>W2</x:v>
      </x:c>
      <x:c r="E20" s="42" t="n">
        <x:v>0.8450000000000001</x:v>
      </x:c>
      <x:c r="F20" s="42" t="n">
        <x:f>MIN('Stage Build'!F163:F174)</x:f>
        <x:v>0.76</x:v>
      </x:c>
      <x:c r="G20" s="42" t="n">
        <x:f>MIN('Stage Build'!I163:I174)</x:f>
        <x:v>0.958</x:v>
      </x:c>
      <x:c r="H20" s="42" t="n">
        <x:f>MAX('Stage Build'!J163:J174)</x:f>
        <x:v>0.14200000000000013</x:v>
      </x:c>
      <x:c r="I20" s="42" t="n">
        <x:f>MIN('Stage Build'!K163:K174)</x:f>
        <x:v>1.1</x:v>
      </x:c>
      <x:c r="J20" s="21" t="str">
        <x:f>IF(I20&gt;=Assumptions!$C$9,"CLOSES M05","GAP")</x:f>
        <x:v>CLOSES M05</x:v>
      </x:c>
      <x:c r="K20" s="42" t="n">
        <x:f>MIN('Stage Build'!N163:N174)</x:f>
        <x:v>0.6285714285714287</x:v>
      </x:c>
      <x:c r="L20" s="42" t="str">
        <x:f>IF(K20&gt;=1,"CLOSES M06","GAP")</x:f>
        <x:v>GAP</x:v>
      </x:c>
      <x:c r="M20" s="42" t="n">
        <x:v>32.25</x:v>
      </x:c>
      <x:c r="N20" s="42" t="n">
        <x:f>M20/SUM($M$7:$M$28)*Assumptions!$C$14</x:f>
        <x:v>38.68431136261406</x:v>
      </x:c>
      <x:c r="O20" s="42" t="n">
        <x:f>N20*Assumptions!$C$17</x:f>
        <x:v>2.3210586817568437</x:v>
      </x:c>
      <x:c r="P20" s="23" t="str">
        <x:v>OPEN</x:v>
      </x:c>
    </x:row>
    <x:row r="21">
      <x:c r="B21" s="21" t="str">
        <x:v>F33</x:v>
      </x:c>
      <x:c r="C21" s="21" t="str">
        <x:v>Port rail and airfield restoration complex</x:v>
      </x:c>
      <x:c r="D21" s="21" t="str">
        <x:v>W1</x:v>
      </x:c>
      <x:c r="E21" s="42" t="n">
        <x:v>0.78</x:v>
      </x:c>
      <x:c r="F21" s="42" t="n">
        <x:f>MIN('Stage Build'!F175:F186)</x:f>
        <x:v>0.68</x:v>
      </x:c>
      <x:c r="G21" s="42" t="n">
        <x:f>MIN('Stage Build'!I175:I186)</x:f>
        <x:v>0.885</x:v>
      </x:c>
      <x:c r="H21" s="42" t="n">
        <x:f>MAX('Stage Build'!J175:J186)</x:f>
        <x:v>0.21500000000000008</x:v>
      </x:c>
      <x:c r="I21" s="42" t="n">
        <x:f>MIN('Stage Build'!K175:K186)</x:f>
        <x:v>1.1</x:v>
      </x:c>
      <x:c r="J21" s="21" t="str">
        <x:f>IF(I21&gt;=Assumptions!$C$9,"CLOSES M05","GAP")</x:f>
        <x:v>CLOSES M05</x:v>
      </x:c>
      <x:c r="K21" s="42" t="n">
        <x:f>MIN('Stage Build'!N175:N186)</x:f>
        <x:v>0.6285714285714287</x:v>
      </x:c>
      <x:c r="L21" s="42" t="str">
        <x:f>IF(K21&gt;=1,"CLOSES M06","GAP")</x:f>
        <x:v>GAP</x:v>
      </x:c>
      <x:c r="M21" s="42" t="n">
        <x:v>40.05</x:v>
      </x:c>
      <x:c r="N21" s="42" t="n">
        <x:f>M21/SUM($M$7:$M$28)*Assumptions!$C$14</x:f>
        <x:v>48.040516901478846</x:v>
      </x:c>
      <x:c r="O21" s="42" t="n">
        <x:f>N21*Assumptions!$C$17</x:f>
        <x:v>2.8824310140887306</x:v>
      </x:c>
      <x:c r="P21" s="23" t="str">
        <x:v>OPEN</x:v>
      </x:c>
    </x:row>
    <x:row r="22">
      <x:c r="B22" s="21" t="str">
        <x:v>F34</x:v>
      </x:c>
      <x:c r="C22" s="21" t="str">
        <x:v>Floating nuclear desalination utility</x:v>
      </x:c>
      <x:c r="D22" s="21" t="str">
        <x:v>S1</x:v>
      </x:c>
      <x:c r="E22" s="42" t="n">
        <x:v>0.9425</x:v>
      </x:c>
      <x:c r="F22" s="42" t="n">
        <x:f>MIN('Stage Build'!F187:F198)</x:f>
        <x:v>0.9</x:v>
      </x:c>
      <x:c r="G22" s="42" t="n">
        <x:f>MIN('Stage Build'!I187:I198)</x:f>
        <x:v>1.0215</x:v>
      </x:c>
      <x:c r="H22" s="42" t="n">
        <x:f>MAX('Stage Build'!J187:J198)</x:f>
        <x:v>0.07850000000000001</x:v>
      </x:c>
      <x:c r="I22" s="42" t="n">
        <x:f>MIN('Stage Build'!K187:K198)</x:f>
        <x:v>1.1</x:v>
      </x:c>
      <x:c r="J22" s="21" t="str">
        <x:f>IF(I22&gt;=Assumptions!$C$9,"CLOSES M05","GAP")</x:f>
        <x:v>CLOSES M05</x:v>
      </x:c>
      <x:c r="K22" s="42" t="n">
        <x:f>MIN('Stage Build'!N187:N198)</x:f>
        <x:v>0.676923076923077</x:v>
      </x:c>
      <x:c r="L22" s="42" t="str">
        <x:f>IF(K22&gt;=1,"CLOSES M06","GAP")</x:f>
        <x:v>GAP</x:v>
      </x:c>
      <x:c r="M22" s="42" t="n">
        <x:v>50.255</x:v>
      </x:c>
      <x:c r="N22" s="42" t="n">
        <x:f>M22/SUM($M$7:$M$28)*Assumptions!$C$14</x:f>
        <x:v>60.28155248149362</x:v>
      </x:c>
      <x:c r="O22" s="42" t="n">
        <x:f>N22*Assumptions!$C$17</x:f>
        <x:v>3.616893148889617</x:v>
      </x:c>
      <x:c r="P22" s="23" t="str">
        <x:v>OPEN</x:v>
      </x:c>
    </x:row>
    <x:row r="23">
      <x:c r="B23" s="21" t="str">
        <x:v>F35</x:v>
      </x:c>
      <x:c r="C23" s="21" t="str">
        <x:v>Inland brackish-water treatment train</x:v>
      </x:c>
      <x:c r="D23" s="21" t="str">
        <x:v>W2</x:v>
      </x:c>
      <x:c r="E23" s="42" t="n">
        <x:v>0.8450000000000001</x:v>
      </x:c>
      <x:c r="F23" s="42" t="n">
        <x:f>MIN('Stage Build'!F199:F210)</x:f>
        <x:v>0.72</x:v>
      </x:c>
      <x:c r="G23" s="42" t="n">
        <x:f>MIN('Stage Build'!I199:I210)</x:f>
        <x:v>0.9175</x:v>
      </x:c>
      <x:c r="H23" s="42" t="n">
        <x:f>MAX('Stage Build'!J199:J210)</x:f>
        <x:v>0.1825000000000001</x:v>
      </x:c>
      <x:c r="I23" s="42" t="n">
        <x:f>MIN('Stage Build'!K199:K210)</x:f>
        <x:v>1.1</x:v>
      </x:c>
      <x:c r="J23" s="21" t="str">
        <x:f>IF(I23&gt;=Assumptions!$C$9,"CLOSES M05","GAP")</x:f>
        <x:v>CLOSES M05</x:v>
      </x:c>
      <x:c r="K23" s="42" t="n">
        <x:f>MIN('Stage Build'!N199:N210)</x:f>
        <x:v>0.676923076923077</x:v>
      </x:c>
      <x:c r="L23" s="42" t="str">
        <x:f>IF(K23&gt;=1,"CLOSES M06","GAP")</x:f>
        <x:v>GAP</x:v>
      </x:c>
      <x:c r="M23" s="42" t="n">
        <x:v>49.02</x:v>
      </x:c>
      <x:c r="N23" s="42" t="n">
        <x:f>M23/SUM($M$7:$M$28)*Assumptions!$C$14</x:f>
        <x:v>58.800153271173365</x:v>
      </x:c>
      <x:c r="O23" s="42" t="n">
        <x:f>N23*Assumptions!$C$17</x:f>
        <x:v>3.5280091962704017</x:v>
      </x:c>
      <x:c r="P23" s="23" t="str">
        <x:v>OPEN</x:v>
      </x:c>
    </x:row>
    <x:row r="24">
      <x:c r="B24" s="21" t="str">
        <x:v>F36</x:v>
      </x:c>
      <x:c r="C24" s="21" t="str">
        <x:v>Rapid water trunkline system</x:v>
      </x:c>
      <x:c r="D24" s="21" t="str">
        <x:v>S1</x:v>
      </x:c>
      <x:c r="E24" s="42" t="n">
        <x:v>0.9425</x:v>
      </x:c>
      <x:c r="F24" s="42" t="n">
        <x:f>MIN('Stage Build'!F211:F222)</x:f>
        <x:v>0.8625</x:v>
      </x:c>
      <x:c r="G24" s="42" t="n">
        <x:f>MIN('Stage Build'!I211:I222)</x:f>
        <x:v>1.082</x:v>
      </x:c>
      <x:c r="H24" s="42" t="n">
        <x:f>MAX('Stage Build'!J211:J222)</x:f>
        <x:v>0.018000000000000016</x:v>
      </x:c>
      <x:c r="I24" s="42" t="n">
        <x:f>MIN('Stage Build'!K211:K222)</x:f>
        <x:v>1.1</x:v>
      </x:c>
      <x:c r="J24" s="21" t="str">
        <x:f>IF(I24&gt;=Assumptions!$C$9,"CLOSES M05","GAP")</x:f>
        <x:v>CLOSES M05</x:v>
      </x:c>
      <x:c r="K24" s="42" t="n">
        <x:f>MIN('Stage Build'!N211:N222)</x:f>
        <x:v>0.6377142857142858</x:v>
      </x:c>
      <x:c r="L24" s="42" t="str">
        <x:f>IF(K24&gt;=1,"CLOSES M06","GAP")</x:f>
        <x:v>GAP</x:v>
      </x:c>
      <x:c r="M24" s="42" t="n">
        <x:v>32.25</x:v>
      </x:c>
      <x:c r="N24" s="42" t="n">
        <x:f>M24/SUM($M$7:$M$28)*Assumptions!$C$14</x:f>
        <x:v>38.68431136261406</x:v>
      </x:c>
      <x:c r="O24" s="42" t="n">
        <x:f>N24*Assumptions!$C$17</x:f>
        <x:v>2.3210586817568437</x:v>
      </x:c>
      <x:c r="P24" s="23" t="str">
        <x:v>OPEN</x:v>
      </x:c>
    </x:row>
    <x:row r="25">
      <x:c r="B25" s="21" t="str">
        <x:v>F37</x:v>
      </x:c>
      <x:c r="C25" s="21" t="str">
        <x:v>Wastewater and sanitation restoration plant</x:v>
      </x:c>
      <x:c r="D25" s="21" t="str">
        <x:v>S1</x:v>
      </x:c>
      <x:c r="E25" s="42" t="n">
        <x:v>0.9425</x:v>
      </x:c>
      <x:c r="F25" s="42" t="n">
        <x:f>MIN('Stage Build'!F223:F234)</x:f>
        <x:v>0.86</x:v>
      </x:c>
      <x:c r="G25" s="42" t="n">
        <x:f>MIN('Stage Build'!I223:I234)</x:f>
        <x:v>1.0150000000000001</x:v>
      </x:c>
      <x:c r="H25" s="42" t="n">
        <x:f>MAX('Stage Build'!J223:J234)</x:f>
        <x:v>0.08499999999999996</x:v>
      </x:c>
      <x:c r="I25" s="42" t="n">
        <x:f>MIN('Stage Build'!K223:K234)</x:f>
        <x:v>1.1</x:v>
      </x:c>
      <x:c r="J25" s="21" t="str">
        <x:f>IF(I25&gt;=Assumptions!$C$9,"CLOSES M05","GAP")</x:f>
        <x:v>CLOSES M05</x:v>
      </x:c>
      <x:c r="K25" s="42" t="n">
        <x:f>MIN('Stage Build'!N223:N234)</x:f>
        <x:v>0.676923076923077</x:v>
      </x:c>
      <x:c r="L25" s="42" t="str">
        <x:f>IF(K25&gt;=1,"CLOSES M06","GAP")</x:f>
        <x:v>GAP</x:v>
      </x:c>
      <x:c r="M25" s="42" t="n">
        <x:v>49.02</x:v>
      </x:c>
      <x:c r="N25" s="42" t="n">
        <x:f>M25/SUM($M$7:$M$28)*Assumptions!$C$14</x:f>
        <x:v>58.800153271173365</x:v>
      </x:c>
      <x:c r="O25" s="42" t="n">
        <x:f>N25*Assumptions!$C$17</x:f>
        <x:v>3.5280091962704017</x:v>
      </x:c>
      <x:c r="P25" s="23" t="str">
        <x:v>OPEN</x:v>
      </x:c>
    </x:row>
    <x:row r="26">
      <x:c r="B26" s="21" t="str">
        <x:v>F45</x:v>
      </x:c>
      <x:c r="C26" s="21" t="str">
        <x:v>Modular housing production complex</x:v>
      </x:c>
      <x:c r="D26" s="21" t="str">
        <x:v>W2</x:v>
      </x:c>
      <x:c r="E26" s="42" t="n">
        <x:v>0.8450000000000001</x:v>
      </x:c>
      <x:c r="F26" s="42" t="n">
        <x:f>MIN('Stage Build'!F235:F246)</x:f>
        <x:v>0.76</x:v>
      </x:c>
      <x:c r="G26" s="42" t="n">
        <x:f>MIN('Stage Build'!I235:I246)</x:f>
        <x:v>0.971</x:v>
      </x:c>
      <x:c r="H26" s="42" t="n">
        <x:f>MAX('Stage Build'!J235:J246)</x:f>
        <x:v>0.12900000000000011</x:v>
      </x:c>
      <x:c r="I26" s="42" t="n">
        <x:f>MIN('Stage Build'!K235:K246)</x:f>
        <x:v>1.1</x:v>
      </x:c>
      <x:c r="J26" s="21" t="str">
        <x:f>IF(I26&gt;=Assumptions!$C$9,"CLOSES M05","GAP")</x:f>
        <x:v>CLOSES M05</x:v>
      </x:c>
      <x:c r="K26" s="42" t="n">
        <x:f>MIN('Stage Build'!N235:N246)</x:f>
        <x:v>0.6285714285714287</x:v>
      </x:c>
      <x:c r="L26" s="42" t="str">
        <x:f>IF(K26&gt;=1,"CLOSES M06","GAP")</x:f>
        <x:v>GAP</x:v>
      </x:c>
      <x:c r="M26" s="42" t="n">
        <x:v>33.224999999999994</x:v>
      </x:c>
      <x:c r="N26" s="42" t="n">
        <x:f>M26/SUM($M$7:$M$28)*Assumptions!$C$14</x:f>
        <x:v>39.853837054972146</x:v>
      </x:c>
      <x:c r="O26" s="42" t="n">
        <x:f>N26*Assumptions!$C$17</x:f>
        <x:v>2.391230223298329</x:v>
      </x:c>
      <x:c r="P26" s="23" t="str">
        <x:v>OPEN</x:v>
      </x:c>
    </x:row>
    <x:row r="27">
      <x:c r="B27" s="21" t="str">
        <x:v>F46</x:v>
      </x:c>
      <x:c r="C27" s="21" t="str">
        <x:v>Debris separation and material-recovery fleet</x:v>
      </x:c>
      <x:c r="D27" s="21" t="str">
        <x:v>S1</x:v>
      </x:c>
      <x:c r="E27" s="42" t="n">
        <x:v>0.9425</x:v>
      </x:c>
      <x:c r="F27" s="42" t="n">
        <x:f>MIN('Stage Build'!F247:F258)</x:f>
        <x:v>0.8200000000000001</x:v>
      </x:c>
      <x:c r="G27" s="42" t="n">
        <x:f>MIN('Stage Build'!I247:I258)</x:f>
        <x:v>1.1095000000000002</x:v>
      </x:c>
      <x:c r="H27" s="42" t="n">
        <x:f>MAX('Stage Build'!J247:J258)</x:f>
        <x:v>0</x:v>
      </x:c>
      <x:c r="I27" s="42" t="n">
        <x:f>MIN('Stage Build'!K247:K258)</x:f>
        <x:v>1.1095000000000002</x:v>
      </x:c>
      <x:c r="J27" s="21" t="str">
        <x:f>IF(I27&gt;=Assumptions!$C$9,"CLOSES M05","GAP")</x:f>
        <x:v>CLOSES M05</x:v>
      </x:c>
      <x:c r="K27" s="42" t="n">
        <x:f>MIN('Stage Build'!N247:N258)</x:f>
        <x:v>0.6411428571428571</x:v>
      </x:c>
      <x:c r="L27" s="42" t="str">
        <x:f>IF(K27&gt;=1,"CLOSES M06","GAP")</x:f>
        <x:v>GAP</x:v>
      </x:c>
      <x:c r="M27" s="42" t="n">
        <x:v>36.15</x:v>
      </x:c>
      <x:c r="N27" s="42" t="n">
        <x:f>M27/SUM($M$7:$M$28)*Assumptions!$C$14</x:f>
        <x:v>43.362414132046446</x:v>
      </x:c>
      <x:c r="O27" s="42" t="n">
        <x:f>N27*Assumptions!$C$17</x:f>
        <x:v>2.6017448479227867</x:v>
      </x:c>
      <x:c r="P27" s="23" t="str">
        <x:v>OPEN</x:v>
      </x:c>
    </x:row>
    <x:row r="28">
      <x:c r="B28" s="24" t="str">
        <x:v>F47</x:v>
      </x:c>
      <x:c r="C28" s="24" t="str">
        <x:v>Municipal service-restoration block</x:v>
      </x:c>
      <x:c r="D28" s="24" t="str">
        <x:v>S1</x:v>
      </x:c>
      <x:c r="E28" s="43" t="n">
        <x:v>0.9424999999999999</x:v>
      </x:c>
      <x:c r="F28" s="43" t="n">
        <x:f>MIN('Stage Build'!F259:F270)</x:f>
        <x:v>0.9</x:v>
      </x:c>
      <x:c r="G28" s="43" t="n">
        <x:f>MIN('Stage Build'!I259:I270)</x:f>
        <x:v>1.069</x:v>
      </x:c>
      <x:c r="H28" s="43" t="n">
        <x:f>MAX('Stage Build'!J259:J270)</x:f>
        <x:v>0.03100000000000014</x:v>
      </x:c>
      <x:c r="I28" s="43" t="n">
        <x:f>MIN('Stage Build'!K259:K270)</x:f>
        <x:v>1.1</x:v>
      </x:c>
      <x:c r="J28" s="24" t="str">
        <x:f>IF(I28&gt;=Assumptions!$C$9,"CLOSES M05","GAP")</x:f>
        <x:v>CLOSES M05</x:v>
      </x:c>
      <x:c r="K28" s="43" t="n">
        <x:f>MIN('Stage Build'!N259:N270)</x:f>
        <x:v>0.6285714285714287</x:v>
      </x:c>
      <x:c r="L28" s="43" t="str">
        <x:f>IF(K28&gt;=1,"CLOSES M06","GAP")</x:f>
        <x:v>GAP</x:v>
      </x:c>
      <x:c r="M28" s="43" t="n">
        <x:v>27.279999999999994</x:v>
      </x:c>
      <x:c r="N28" s="43" t="n">
        <x:f>M28/SUM($M$7:$M$28)*Assumptions!$C$14</x:f>
        <x:v>32.7227291154143</x:v>
      </x:c>
      <x:c r="O28" s="43" t="n">
        <x:f>N28*Assumptions!$C$17</x:f>
        <x:v>1.9633637469248582</x:v>
      </x:c>
      <x:c r="P28" s="26" t="str">
        <x:v>OPEN</x:v>
      </x:c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</x:sheetData>
  <x:mergeCells>
    <x:mergeCell ref="B3:P3"/>
  </x:mergeCells>
  <x:conditionalFormatting sqref="J7:P28">
    <x:cfRule type="containsText" dxfId="45" priority="1" operator="containsText" text="OPEN"/>
    <x:cfRule type="containsText" dxfId="46" priority="2" operator="containsText" text="HOLD"/>
    <x:cfRule type="containsText" dxfId="47" priority="3" operator="containsText" text="BLOCKED"/>
    <x:cfRule type="containsText" dxfId="48" priority="4" operator="containsText" text="GAP"/>
    <x:cfRule type="containsText" dxfId="49" priority="5" operator="containsText" text="NOT ADMITTED"/>
    <x:cfRule type="containsText" dxfId="50" priority="6" operator="containsText" text="FAIL"/>
    <x:cfRule type="containsText" dxfId="51" priority="7" operator="containsText" text="PASS"/>
    <x:cfRule type="containsText" dxfId="52" priority="8" operator="containsText" text="ADEQUATE"/>
    <x:cfRule type="containsText" dxfId="53" priority="9" operator="containsText" text="CLOSES M05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4" hidden="0" customWidth="1"/>
    <x:col min="4" max="4" width="12" hidden="0" customWidth="1"/>
    <x:col min="5" max="5" width="17" hidden="0" customWidth="1"/>
    <x:col min="6" max="6" width="17" hidden="0" customWidth="1"/>
    <x:col min="7" max="7" width="16" hidden="0" customWidth="1"/>
    <x:col min="8" max="8" width="17" hidden="0" customWidth="1"/>
    <x:col min="9" max="9" width="16" hidden="0" customWidth="1"/>
    <x:col min="10" max="10" width="17" hidden="0" customWidth="1"/>
    <x:col min="11" max="11" width="20" hidden="0" customWidth="1"/>
  </x:cols>
  <x:sheetData>
    <x:row r="2">
      <x:c r="B2" s="3" t="str">
        <x:v>Full-force planning frontier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The compiler joins the twenty-two redesigned families to twenty-six continuing families. It deliberately leaves M06 and physical admission open.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Family</x:v>
      </x:c>
      <x:c r="C6" s="20" t="str">
        <x:v>Capability family</x:v>
      </x:c>
      <x:c r="D6" s="20" t="str">
        <x:v>Readiness</x:v>
      </x:c>
      <x:c r="E6" s="20" t="str">
        <x:v>Pass 98 M05</x:v>
      </x:c>
      <x:c r="F6" s="20" t="str">
        <x:v>Pass 99 M05</x:v>
      </x:c>
      <x:c r="G6" s="20" t="str">
        <x:v>M05 result</x:v>
      </x:c>
      <x:c r="H6" s="20" t="str">
        <x:v>Pass 99 M06</x:v>
      </x:c>
      <x:c r="I6" s="20" t="str">
        <x:v>M06 result</x:v>
      </x:c>
      <x:c r="J6" s="20" t="str">
        <x:v>Physical credit</x:v>
      </x:c>
      <x:c r="K6" s="20" t="str">
        <x:v>Admission</x:v>
      </x:c>
    </x:row>
    <x:row r="7">
      <x:c r="B7" s="21" t="str">
        <x:v>F01</x:v>
      </x:c>
      <x:c r="C7" s="21" t="str">
        <x:v>Civil coordination node</x:v>
      </x:c>
      <x:c r="D7" s="21" t="str">
        <x:v>H1</x:v>
      </x:c>
      <x:c r="E7" s="42" t="n">
        <x:v>1</x:v>
      </x:c>
      <x:c r="F7" s="42" t="n">
        <x:f>MAX(E7,Assumptions!$C$9)</x:f>
        <x:v>1.1</x:v>
      </x:c>
      <x:c r="G7" s="42" t="str">
        <x:f>IF(F7&gt;=Assumptions!$C$9,"CLOSES M05","GAP")</x:f>
        <x:v>CLOSES M05</x:v>
      </x:c>
      <x:c r="H7" s="42" t="n">
        <x:f>F7*Assumptions!$C$20/Assumptions!$C$12</x:f>
        <x:v>0.6336</x:v>
      </x:c>
      <x:c r="I7" s="21" t="str">
        <x:f>IF(H7&gt;=1,"CLOSES M06","GAP")</x:f>
        <x:v>GAP</x:v>
      </x:c>
      <x:c r="J7" s="21" t="n">
        <x:v>0</x:v>
      </x:c>
      <x:c r="K7" s="23" t="str">
        <x:v>NOT ADMITTED</x:v>
      </x:c>
    </x:row>
    <x:row r="8">
      <x:c r="B8" s="21" t="str">
        <x:v>F02</x:v>
      </x:c>
      <x:c r="C8" s="21" t="str">
        <x:v>Common operating-picture mesh</x:v>
      </x:c>
      <x:c r="D8" s="21" t="str">
        <x:v>H1</x:v>
      </x:c>
      <x:c r="E8" s="42" t="n">
        <x:v>1</x:v>
      </x:c>
      <x:c r="F8" s="42" t="n">
        <x:f>MAX(E8,Assumptions!$C$9)</x:f>
        <x:v>1.1</x:v>
      </x:c>
      <x:c r="G8" s="42" t="str">
        <x:f>IF(F8&gt;=Assumptions!$C$9,"CLOSES M05","GAP")</x:f>
        <x:v>CLOSES M05</x:v>
      </x:c>
      <x:c r="H8" s="42" t="n">
        <x:f>F8*Assumptions!$C$20/Assumptions!$C$12</x:f>
        <x:v>0.6336</x:v>
      </x:c>
      <x:c r="I8" s="21" t="str">
        <x:f>IF(H8&gt;=1,"CLOSES M06","GAP")</x:f>
        <x:v>GAP</x:v>
      </x:c>
      <x:c r="J8" s="21" t="n">
        <x:v>0</x:v>
      </x:c>
      <x:c r="K8" s="23" t="str">
        <x:v>NOT ADMITTED</x:v>
      </x:c>
    </x:row>
    <x:row r="9">
      <x:c r="B9" s="21" t="str">
        <x:v>F03</x:v>
      </x:c>
      <x:c r="C9" s="21" t="str">
        <x:v>Public warning and translation network</x:v>
      </x:c>
      <x:c r="D9" s="21" t="str">
        <x:v>H1</x:v>
      </x:c>
      <x:c r="E9" s="42" t="n">
        <x:v>1</x:v>
      </x:c>
      <x:c r="F9" s="42" t="n">
        <x:f>MAX(E9,Assumptions!$C$9)</x:f>
        <x:v>1.1</x:v>
      </x:c>
      <x:c r="G9" s="42" t="str">
        <x:f>IF(F9&gt;=Assumptions!$C$9,"CLOSES M05","GAP")</x:f>
        <x:v>CLOSES M05</x:v>
      </x:c>
      <x:c r="H9" s="42" t="n">
        <x:f>F9*Assumptions!$C$20/Assumptions!$C$12</x:f>
        <x:v>0.6336</x:v>
      </x:c>
      <x:c r="I9" s="21" t="str">
        <x:f>IF(H9&gt;=1,"CLOSES M06","GAP")</x:f>
        <x:v>GAP</x:v>
      </x:c>
      <x:c r="J9" s="21" t="n">
        <x:v>0</x:v>
      </x:c>
      <x:c r="K9" s="23" t="str">
        <x:v>NOT ADMITTED</x:v>
      </x:c>
    </x:row>
    <x:row r="10">
      <x:c r="B10" s="21" t="str">
        <x:v>F04</x:v>
      </x:c>
      <x:c r="C10" s="21" t="str">
        <x:v>Evidence and identity continuity system</x:v>
      </x:c>
      <x:c r="D10" s="21" t="str">
        <x:v>H1</x:v>
      </x:c>
      <x:c r="E10" s="42" t="n">
        <x:v>1</x:v>
      </x:c>
      <x:c r="F10" s="42" t="n">
        <x:f>MAX(E10,Assumptions!$C$9)</x:f>
        <x:v>1.1</x:v>
      </x:c>
      <x:c r="G10" s="42" t="str">
        <x:f>IF(F10&gt;=Assumptions!$C$9,"CLOSES M05","GAP")</x:f>
        <x:v>CLOSES M05</x:v>
      </x:c>
      <x:c r="H10" s="42" t="n">
        <x:f>F10*Assumptions!$C$20/Assumptions!$C$12</x:f>
        <x:v>0.6336</x:v>
      </x:c>
      <x:c r="I10" s="21" t="str">
        <x:f>IF(H10&gt;=1,"CLOSES M06","GAP")</x:f>
        <x:v>GAP</x:v>
      </x:c>
      <x:c r="J10" s="21" t="n">
        <x:v>0</x:v>
      </x:c>
      <x:c r="K10" s="23" t="str">
        <x:v>NOT ADMITTED</x:v>
      </x:c>
    </x:row>
    <x:row r="11">
      <x:c r="B11" s="21" t="str">
        <x:v>F05</x:v>
      </x:c>
      <x:c r="C11" s="21" t="str">
        <x:v>Rapid nutrition production cell</x:v>
      </x:c>
      <x:c r="D11" s="21" t="str">
        <x:v>S1</x:v>
      </x:c>
      <x:c r="E11" s="42" t="n">
        <x:v>0.9425000000000001</x:v>
      </x:c>
      <x:c r="F11" s="42" t="n">
        <x:f>'Family Results'!I7</x:f>
        <x:v>1.1</x:v>
      </x:c>
      <x:c r="G11" s="42" t="str">
        <x:f>'Family Results'!J7</x:f>
        <x:v>CLOSES M05</x:v>
      </x:c>
      <x:c r="H11" s="42" t="n">
        <x:f>'Family Results'!K7</x:f>
        <x:v>0.676923076923077</x:v>
      </x:c>
      <x:c r="I11" s="21" t="str">
        <x:f>'Family Results'!L7</x:f>
        <x:v>GAP</x:v>
      </x:c>
      <x:c r="J11" s="21" t="n">
        <x:v>0</x:v>
      </x:c>
      <x:c r="K11" s="23" t="str">
        <x:v>NOT ADMITTED</x:v>
      </x:c>
    </x:row>
    <x:row r="12">
      <x:c r="B12" s="21" t="str">
        <x:v>F06</x:v>
      </x:c>
      <x:c r="C12" s="21" t="str">
        <x:v>Cold-chain preservation lattice</x:v>
      </x:c>
      <x:c r="D12" s="21" t="str">
        <x:v>S1</x:v>
      </x:c>
      <x:c r="E12" s="42" t="n">
        <x:v>0.9425000000000001</x:v>
      </x:c>
      <x:c r="F12" s="42" t="n">
        <x:f>'Family Results'!I8</x:f>
        <x:v>1.1</x:v>
      </x:c>
      <x:c r="G12" s="42" t="str">
        <x:f>'Family Results'!J8</x:f>
        <x:v>CLOSES M05</x:v>
      </x:c>
      <x:c r="H12" s="42" t="n">
        <x:f>'Family Results'!K8</x:f>
        <x:v>0.6414285714285715</x:v>
      </x:c>
      <x:c r="I12" s="21" t="str">
        <x:f>'Family Results'!L8</x:f>
        <x:v>GAP</x:v>
      </x:c>
      <x:c r="J12" s="21" t="n">
        <x:v>0</x:v>
      </x:c>
      <x:c r="K12" s="23" t="str">
        <x:v>NOT ADMITTED</x:v>
      </x:c>
    </x:row>
    <x:row r="13">
      <x:c r="B13" s="21" t="str">
        <x:v>F07</x:v>
      </x:c>
      <x:c r="C13" s="21" t="str">
        <x:v>Shelter manufacturing line</x:v>
      </x:c>
      <x:c r="D13" s="21" t="str">
        <x:v>W2</x:v>
      </x:c>
      <x:c r="E13" s="42" t="n">
        <x:v>0.8450000000000001</x:v>
      </x:c>
      <x:c r="F13" s="42" t="n">
        <x:f>'Family Results'!I9</x:f>
        <x:v>1.1</x:v>
      </x:c>
      <x:c r="G13" s="42" t="str">
        <x:f>'Family Results'!J9</x:f>
        <x:v>CLOSES M05</x:v>
      </x:c>
      <x:c r="H13" s="42" t="n">
        <x:f>'Family Results'!K9</x:f>
        <x:v>0.6285714285714287</x:v>
      </x:c>
      <x:c r="I13" s="21" t="str">
        <x:f>'Family Results'!L9</x:f>
        <x:v>GAP</x:v>
      </x:c>
      <x:c r="J13" s="21" t="n">
        <x:v>0</x:v>
      </x:c>
      <x:c r="K13" s="23" t="str">
        <x:v>NOT ADMITTED</x:v>
      </x:c>
    </x:row>
    <x:row r="14">
      <x:c r="B14" s="21" t="str">
        <x:v>F08</x:v>
      </x:c>
      <x:c r="C14" s="21" t="str">
        <x:v>Essential-goods fabrication cell</x:v>
      </x:c>
      <x:c r="D14" s="21" t="str">
        <x:v>S1</x:v>
      </x:c>
      <x:c r="E14" s="42" t="n">
        <x:v>0.9425000000000001</x:v>
      </x:c>
      <x:c r="F14" s="42" t="n">
        <x:f>'Family Results'!I10</x:f>
        <x:v>1.1</x:v>
      </x:c>
      <x:c r="G14" s="42" t="str">
        <x:f>'Family Results'!J10</x:f>
        <x:v>CLOSES M05</x:v>
      </x:c>
      <x:c r="H14" s="42" t="n">
        <x:f>'Family Results'!K10</x:f>
        <x:v>0.676923076923077</x:v>
      </x:c>
      <x:c r="I14" s="21" t="str">
        <x:f>'Family Results'!L10</x:f>
        <x:v>GAP</x:v>
      </x:c>
      <x:c r="J14" s="21" t="n">
        <x:v>0</x:v>
      </x:c>
      <x:c r="K14" s="23" t="str">
        <x:v>NOT ADMITTED</x:v>
      </x:c>
    </x:row>
    <x:row r="15">
      <x:c r="B15" s="21" t="str">
        <x:v>F09</x:v>
      </x:c>
      <x:c r="C15" s="21" t="str">
        <x:v>Mass-care distribution hub</x:v>
      </x:c>
      <x:c r="D15" s="21" t="str">
        <x:v>H1</x:v>
      </x:c>
      <x:c r="E15" s="42" t="n">
        <x:v>1</x:v>
      </x:c>
      <x:c r="F15" s="42" t="n">
        <x:f>MAX(E15,Assumptions!$C$9)</x:f>
        <x:v>1.1</x:v>
      </x:c>
      <x:c r="G15" s="42" t="str">
        <x:f>IF(F15&gt;=Assumptions!$C$9,"CLOSES M05","GAP")</x:f>
        <x:v>CLOSES M05</x:v>
      </x:c>
      <x:c r="H15" s="42" t="n">
        <x:f>F15*Assumptions!$C$20/Assumptions!$C$12</x:f>
        <x:v>0.6336</x:v>
      </x:c>
      <x:c r="I15" s="21" t="str">
        <x:f>IF(H15&gt;=1,"CLOSES M06","GAP")</x:f>
        <x:v>GAP</x:v>
      </x:c>
      <x:c r="J15" s="21" t="n">
        <x:v>0</x:v>
      </x:c>
      <x:c r="K15" s="23" t="str">
        <x:v>NOT ADMITTED</x:v>
      </x:c>
    </x:row>
    <x:row r="16">
      <x:c r="B16" s="21" t="str">
        <x:v>F10</x:v>
      </x:c>
      <x:c r="C16" s="21" t="str">
        <x:v>Field acute-care hospital family</x:v>
      </x:c>
      <x:c r="D16" s="21" t="str">
        <x:v>H1</x:v>
      </x:c>
      <x:c r="E16" s="42" t="n">
        <x:v>1</x:v>
      </x:c>
      <x:c r="F16" s="42" t="n">
        <x:f>MAX(E16,Assumptions!$C$9)</x:f>
        <x:v>1.1</x:v>
      </x:c>
      <x:c r="G16" s="42" t="str">
        <x:f>IF(F16&gt;=Assumptions!$C$9,"CLOSES M05","GAP")</x:f>
        <x:v>CLOSES M05</x:v>
      </x:c>
      <x:c r="H16" s="42" t="n">
        <x:f>F16*Assumptions!$C$20/Assumptions!$C$12</x:f>
        <x:v>0.6336</x:v>
      </x:c>
      <x:c r="I16" s="21" t="str">
        <x:f>IF(H16&gt;=1,"CLOSES M06","GAP")</x:f>
        <x:v>GAP</x:v>
      </x:c>
      <x:c r="J16" s="21" t="n">
        <x:v>0</x:v>
      </x:c>
      <x:c r="K16" s="23" t="str">
        <x:v>NOT ADMITTED</x:v>
      </x:c>
    </x:row>
    <x:row r="17">
      <x:c r="B17" s="21" t="str">
        <x:v>F11</x:v>
      </x:c>
      <x:c r="C17" s="21" t="str">
        <x:v>Surgical and critical-care carrier</x:v>
      </x:c>
      <x:c r="D17" s="21" t="str">
        <x:v>H1</x:v>
      </x:c>
      <x:c r="E17" s="42" t="n">
        <x:v>1</x:v>
      </x:c>
      <x:c r="F17" s="42" t="n">
        <x:f>MAX(E17,Assumptions!$C$9)</x:f>
        <x:v>1.1</x:v>
      </x:c>
      <x:c r="G17" s="42" t="str">
        <x:f>IF(F17&gt;=Assumptions!$C$9,"CLOSES M05","GAP")</x:f>
        <x:v>CLOSES M05</x:v>
      </x:c>
      <x:c r="H17" s="42" t="n">
        <x:f>F17*Assumptions!$C$20/Assumptions!$C$12</x:f>
        <x:v>0.6336</x:v>
      </x:c>
      <x:c r="I17" s="21" t="str">
        <x:f>IF(H17&gt;=1,"CLOSES M06","GAP")</x:f>
        <x:v>GAP</x:v>
      </x:c>
      <x:c r="J17" s="21" t="n">
        <x:v>0</x:v>
      </x:c>
      <x:c r="K17" s="23" t="str">
        <x:v>NOT ADMITTED</x:v>
      </x:c>
    </x:row>
    <x:row r="18">
      <x:c r="B18" s="21" t="str">
        <x:v>F12</x:v>
      </x:c>
      <x:c r="C18" s="21" t="str">
        <x:v>Mobile diagnostic and laboratory network</x:v>
      </x:c>
      <x:c r="D18" s="21" t="str">
        <x:v>H1</x:v>
      </x:c>
      <x:c r="E18" s="42" t="n">
        <x:v>1</x:v>
      </x:c>
      <x:c r="F18" s="42" t="n">
        <x:f>MAX(E18,Assumptions!$C$9)</x:f>
        <x:v>1.1</x:v>
      </x:c>
      <x:c r="G18" s="42" t="str">
        <x:f>IF(F18&gt;=Assumptions!$C$9,"CLOSES M05","GAP")</x:f>
        <x:v>CLOSES M05</x:v>
      </x:c>
      <x:c r="H18" s="42" t="n">
        <x:f>F18*Assumptions!$C$20/Assumptions!$C$12</x:f>
        <x:v>0.6336</x:v>
      </x:c>
      <x:c r="I18" s="21" t="str">
        <x:f>IF(H18&gt;=1,"CLOSES M06","GAP")</x:f>
        <x:v>GAP</x:v>
      </x:c>
      <x:c r="J18" s="21" t="n">
        <x:v>0</x:v>
      </x:c>
      <x:c r="K18" s="23" t="str">
        <x:v>NOT ADMITTED</x:v>
      </x:c>
    </x:row>
    <x:row r="19">
      <x:c r="B19" s="21" t="str">
        <x:v>F13</x:v>
      </x:c>
      <x:c r="C19" s="21" t="str">
        <x:v>Pharmaceutical and biologic microfactory</x:v>
      </x:c>
      <x:c r="D19" s="21" t="str">
        <x:v>S1</x:v>
      </x:c>
      <x:c r="E19" s="42" t="n">
        <x:v>0.9425000000000001</x:v>
      </x:c>
      <x:c r="F19" s="42" t="n">
        <x:f>'Family Results'!I11</x:f>
        <x:v>1.1</x:v>
      </x:c>
      <x:c r="G19" s="42" t="str">
        <x:f>'Family Results'!J11</x:f>
        <x:v>CLOSES M05</x:v>
      </x:c>
      <x:c r="H19" s="42" t="n">
        <x:f>'Family Results'!K11</x:f>
        <x:v>0.676923076923077</x:v>
      </x:c>
      <x:c r="I19" s="21" t="str">
        <x:f>'Family Results'!L11</x:f>
        <x:v>GAP</x:v>
      </x:c>
      <x:c r="J19" s="21" t="n">
        <x:v>0</x:v>
      </x:c>
      <x:c r="K19" s="23" t="str">
        <x:v>NOT ADMITTED</x:v>
      </x:c>
    </x:row>
    <x:row r="20">
      <x:c r="B20" s="21" t="str">
        <x:v>F14</x:v>
      </x:c>
      <x:c r="C20" s="21" t="str">
        <x:v>Patient evacuation and isolation fleet</x:v>
      </x:c>
      <x:c r="D20" s="21" t="str">
        <x:v>H1</x:v>
      </x:c>
      <x:c r="E20" s="42" t="n">
        <x:v>1</x:v>
      </x:c>
      <x:c r="F20" s="42" t="n">
        <x:f>MAX(E20,Assumptions!$C$9)</x:f>
        <x:v>1.1</x:v>
      </x:c>
      <x:c r="G20" s="42" t="str">
        <x:f>IF(F20&gt;=Assumptions!$C$9,"CLOSES M05","GAP")</x:f>
        <x:v>CLOSES M05</x:v>
      </x:c>
      <x:c r="H20" s="42" t="n">
        <x:f>F20*Assumptions!$C$20/Assumptions!$C$12</x:f>
        <x:v>0.6336</x:v>
      </x:c>
      <x:c r="I20" s="21" t="str">
        <x:f>IF(H20&gt;=1,"CLOSES M06","GAP")</x:f>
        <x:v>GAP</x:v>
      </x:c>
      <x:c r="J20" s="21" t="n">
        <x:v>0</x:v>
      </x:c>
      <x:c r="K20" s="23" t="str">
        <x:v>NOT ADMITTED</x:v>
      </x:c>
    </x:row>
    <x:row r="21">
      <x:c r="B21" s="21" t="str">
        <x:v>F15</x:v>
      </x:c>
      <x:c r="C21" s="21" t="str">
        <x:v>Public-health surveillance grid</x:v>
      </x:c>
      <x:c r="D21" s="21" t="str">
        <x:v>H1</x:v>
      </x:c>
      <x:c r="E21" s="42" t="n">
        <x:v>1</x:v>
      </x:c>
      <x:c r="F21" s="42" t="n">
        <x:f>MAX(E21,Assumptions!$C$9)</x:f>
        <x:v>1.1</x:v>
      </x:c>
      <x:c r="G21" s="42" t="str">
        <x:f>IF(F21&gt;=Assumptions!$C$9,"CLOSES M05","GAP")</x:f>
        <x:v>CLOSES M05</x:v>
      </x:c>
      <x:c r="H21" s="42" t="n">
        <x:f>F21*Assumptions!$C$20/Assumptions!$C$12</x:f>
        <x:v>0.6336</x:v>
      </x:c>
      <x:c r="I21" s="21" t="str">
        <x:f>IF(H21&gt;=1,"CLOSES M06","GAP")</x:f>
        <x:v>GAP</x:v>
      </x:c>
      <x:c r="J21" s="21" t="n">
        <x:v>0</x:v>
      </x:c>
      <x:c r="K21" s="23" t="str">
        <x:v>NOT ADMITTED</x:v>
      </x:c>
    </x:row>
    <x:row r="22">
      <x:c r="B22" s="21" t="str">
        <x:v>F16</x:v>
      </x:c>
      <x:c r="C22" s="21" t="str">
        <x:v>Deployable grid-forming power station</x:v>
      </x:c>
      <x:c r="D22" s="21" t="str">
        <x:v>H1</x:v>
      </x:c>
      <x:c r="E22" s="42" t="n">
        <x:v>1</x:v>
      </x:c>
      <x:c r="F22" s="42" t="n">
        <x:f>MAX(E22,Assumptions!$C$9)</x:f>
        <x:v>1.1</x:v>
      </x:c>
      <x:c r="G22" s="42" t="str">
        <x:f>IF(F22&gt;=Assumptions!$C$9,"CLOSES M05","GAP")</x:f>
        <x:v>CLOSES M05</x:v>
      </x:c>
      <x:c r="H22" s="42" t="n">
        <x:f>F22*Assumptions!$C$20/Assumptions!$C$12</x:f>
        <x:v>0.6336</x:v>
      </x:c>
      <x:c r="I22" s="21" t="str">
        <x:f>IF(H22&gt;=1,"CLOSES M06","GAP")</x:f>
        <x:v>GAP</x:v>
      </x:c>
      <x:c r="J22" s="21" t="n">
        <x:v>0</x:v>
      </x:c>
      <x:c r="K22" s="23" t="str">
        <x:v>NOT ADMITTED</x:v>
      </x:c>
    </x:row>
    <x:row r="23">
      <x:c r="B23" s="21" t="str">
        <x:v>F17</x:v>
      </x:c>
      <x:c r="C23" s="21" t="str">
        <x:v>Mobile nuclear energy station</x:v>
      </x:c>
      <x:c r="D23" s="21" t="str">
        <x:v>S1</x:v>
      </x:c>
      <x:c r="E23" s="42" t="n">
        <x:v>0.9425</x:v>
      </x:c>
      <x:c r="F23" s="42" t="n">
        <x:f>'Family Results'!I12</x:f>
        <x:v>1.1</x:v>
      </x:c>
      <x:c r="G23" s="42" t="str">
        <x:f>'Family Results'!J12</x:f>
        <x:v>CLOSES M05</x:v>
      </x:c>
      <x:c r="H23" s="42" t="n">
        <x:f>'Family Results'!K12</x:f>
        <x:v>0.676923076923077</x:v>
      </x:c>
      <x:c r="I23" s="21" t="str">
        <x:f>'Family Results'!L12</x:f>
        <x:v>GAP</x:v>
      </x:c>
      <x:c r="J23" s="21" t="n">
        <x:v>0</x:v>
      </x:c>
      <x:c r="K23" s="23" t="str">
        <x:v>NOT ADMITTED</x:v>
      </x:c>
    </x:row>
    <x:row r="24">
      <x:c r="B24" s="21" t="str">
        <x:v>F18</x:v>
      </x:c>
      <x:c r="C24" s="21" t="str">
        <x:v>Long-duration storage module</x:v>
      </x:c>
      <x:c r="D24" s="21" t="str">
        <x:v>S1</x:v>
      </x:c>
      <x:c r="E24" s="42" t="n">
        <x:v>0.9425</x:v>
      </x:c>
      <x:c r="F24" s="42" t="n">
        <x:f>'Family Results'!I13</x:f>
        <x:v>1.1</x:v>
      </x:c>
      <x:c r="G24" s="42" t="str">
        <x:f>'Family Results'!J13</x:f>
        <x:v>CLOSES M05</x:v>
      </x:c>
      <x:c r="H24" s="42" t="n">
        <x:f>'Family Results'!K13</x:f>
        <x:v>0.6702857142857145</x:v>
      </x:c>
      <x:c r="I24" s="21" t="str">
        <x:f>'Family Results'!L13</x:f>
        <x:v>GAP</x:v>
      </x:c>
      <x:c r="J24" s="21" t="n">
        <x:v>0</x:v>
      </x:c>
      <x:c r="K24" s="23" t="str">
        <x:v>NOT ADMITTED</x:v>
      </x:c>
    </x:row>
    <x:row r="25">
      <x:c r="B25" s="21" t="str">
        <x:v>F19</x:v>
      </x:c>
      <x:c r="C25" s="21" t="str">
        <x:v>District thermal utility</x:v>
      </x:c>
      <x:c r="D25" s="21" t="str">
        <x:v>H1</x:v>
      </x:c>
      <x:c r="E25" s="42" t="n">
        <x:v>1</x:v>
      </x:c>
      <x:c r="F25" s="42" t="n">
        <x:f>MAX(E25,Assumptions!$C$9)</x:f>
        <x:v>1.1</x:v>
      </x:c>
      <x:c r="G25" s="42" t="str">
        <x:f>IF(F25&gt;=Assumptions!$C$9,"CLOSES M05","GAP")</x:f>
        <x:v>CLOSES M05</x:v>
      </x:c>
      <x:c r="H25" s="42" t="n">
        <x:f>F25*Assumptions!$C$20/Assumptions!$C$12</x:f>
        <x:v>0.6336</x:v>
      </x:c>
      <x:c r="I25" s="21" t="str">
        <x:f>IF(H25&gt;=1,"CLOSES M06","GAP")</x:f>
        <x:v>GAP</x:v>
      </x:c>
      <x:c r="J25" s="21" t="n">
        <x:v>0</x:v>
      </x:c>
      <x:c r="K25" s="23" t="str">
        <x:v>NOT ADMITTED</x:v>
      </x:c>
    </x:row>
    <x:row r="26">
      <x:c r="B26" s="21" t="str">
        <x:v>F20</x:v>
      </x:c>
      <x:c r="C26" s="21" t="str">
        <x:v>Fuel synthesis and distribution train</x:v>
      </x:c>
      <x:c r="D26" s="21" t="str">
        <x:v>W2</x:v>
      </x:c>
      <x:c r="E26" s="42" t="n">
        <x:v>0.8450000000000001</x:v>
      </x:c>
      <x:c r="F26" s="42" t="n">
        <x:f>'Family Results'!I14</x:f>
        <x:v>1.1</x:v>
      </x:c>
      <x:c r="G26" s="42" t="str">
        <x:f>'Family Results'!J14</x:f>
        <x:v>CLOSES M05</x:v>
      </x:c>
      <x:c r="H26" s="42" t="n">
        <x:f>'Family Results'!K14</x:f>
        <x:v>0.676923076923077</x:v>
      </x:c>
      <x:c r="I26" s="21" t="str">
        <x:f>'Family Results'!L14</x:f>
        <x:v>GAP</x:v>
      </x:c>
      <x:c r="J26" s="21" t="n">
        <x:v>0</x:v>
      </x:c>
      <x:c r="K26" s="23" t="str">
        <x:v>NOT ADMITTED</x:v>
      </x:c>
    </x:row>
    <x:row r="27">
      <x:c r="B27" s="21" t="str">
        <x:v>F21</x:v>
      </x:c>
      <x:c r="C27" s="21" t="str">
        <x:v>Grid restoration and line-deployment system</x:v>
      </x:c>
      <x:c r="D27" s="21" t="str">
        <x:v>S1</x:v>
      </x:c>
      <x:c r="E27" s="42" t="n">
        <x:v>0.9425</x:v>
      </x:c>
      <x:c r="F27" s="42" t="n">
        <x:f>'Family Results'!I15</x:f>
        <x:v>1.1</x:v>
      </x:c>
      <x:c r="G27" s="42" t="str">
        <x:f>'Family Results'!J15</x:f>
        <x:v>CLOSES M05</x:v>
      </x:c>
      <x:c r="H27" s="42" t="n">
        <x:f>'Family Results'!K15</x:f>
        <x:v>0.6285714285714287</x:v>
      </x:c>
      <x:c r="I27" s="21" t="str">
        <x:f>'Family Results'!L15</x:f>
        <x:v>GAP</x:v>
      </x:c>
      <x:c r="J27" s="21" t="n">
        <x:v>0</x:v>
      </x:c>
      <x:c r="K27" s="23" t="str">
        <x:v>NOT ADMITTED</x:v>
      </x:c>
    </x:row>
    <x:row r="28">
      <x:c r="B28" s="21" t="str">
        <x:v>F22</x:v>
      </x:c>
      <x:c r="C28" s="21" t="str">
        <x:v>Stratospheric communications platform</x:v>
      </x:c>
      <x:c r="D28" s="21" t="str">
        <x:v>H1</x:v>
      </x:c>
      <x:c r="E28" s="42" t="n">
        <x:v>1</x:v>
      </x:c>
      <x:c r="F28" s="42" t="n">
        <x:f>MAX(E28,Assumptions!$C$9)</x:f>
        <x:v>1.1</x:v>
      </x:c>
      <x:c r="G28" s="42" t="str">
        <x:f>IF(F28&gt;=Assumptions!$C$9,"CLOSES M05","GAP")</x:f>
        <x:v>CLOSES M05</x:v>
      </x:c>
      <x:c r="H28" s="42" t="n">
        <x:f>F28*Assumptions!$C$20/Assumptions!$C$12</x:f>
        <x:v>0.6336</x:v>
      </x:c>
      <x:c r="I28" s="21" t="str">
        <x:f>IF(H28&gt;=1,"CLOSES M06","GAP")</x:f>
        <x:v>GAP</x:v>
      </x:c>
      <x:c r="J28" s="21" t="n">
        <x:v>0</x:v>
      </x:c>
      <x:c r="K28" s="23" t="str">
        <x:v>NOT ADMITTED</x:v>
      </x:c>
    </x:row>
    <x:row r="29">
      <x:c r="B29" s="21" t="str">
        <x:v>F23</x:v>
      </x:c>
      <x:c r="C29" s="21" t="str">
        <x:v>Terrestrial recovery mesh</x:v>
      </x:c>
      <x:c r="D29" s="21" t="str">
        <x:v>H1</x:v>
      </x:c>
      <x:c r="E29" s="42" t="n">
        <x:v>1</x:v>
      </x:c>
      <x:c r="F29" s="42" t="n">
        <x:f>MAX(E29,Assumptions!$C$9)</x:f>
        <x:v>1.1</x:v>
      </x:c>
      <x:c r="G29" s="42" t="str">
        <x:f>IF(F29&gt;=Assumptions!$C$9,"CLOSES M05","GAP")</x:f>
        <x:v>CLOSES M05</x:v>
      </x:c>
      <x:c r="H29" s="42" t="n">
        <x:f>F29*Assumptions!$C$20/Assumptions!$C$12</x:f>
        <x:v>0.6336</x:v>
      </x:c>
      <x:c r="I29" s="21" t="str">
        <x:f>IF(H29&gt;=1,"CLOSES M06","GAP")</x:f>
        <x:v>GAP</x:v>
      </x:c>
      <x:c r="J29" s="21" t="n">
        <x:v>0</x:v>
      </x:c>
      <x:c r="K29" s="23" t="str">
        <x:v>NOT ADMITTED</x:v>
      </x:c>
    </x:row>
    <x:row r="30">
      <x:c r="B30" s="21" t="str">
        <x:v>F24</x:v>
      </x:c>
      <x:c r="C30" s="21" t="str">
        <x:v>Civil compute and data-continuity cloudlet</x:v>
      </x:c>
      <x:c r="D30" s="21" t="str">
        <x:v>H1</x:v>
      </x:c>
      <x:c r="E30" s="42" t="n">
        <x:v>1</x:v>
      </x:c>
      <x:c r="F30" s="42" t="n">
        <x:f>MAX(E30,Assumptions!$C$9)</x:f>
        <x:v>1.1</x:v>
      </x:c>
      <x:c r="G30" s="42" t="str">
        <x:f>IF(F30&gt;=Assumptions!$C$9,"CLOSES M05","GAP")</x:f>
        <x:v>CLOSES M05</x:v>
      </x:c>
      <x:c r="H30" s="42" t="n">
        <x:f>F30*Assumptions!$C$20/Assumptions!$C$12</x:f>
        <x:v>0.6336</x:v>
      </x:c>
      <x:c r="I30" s="21" t="str">
        <x:f>IF(H30&gt;=1,"CLOSES M06","GAP")</x:f>
        <x:v>GAP</x:v>
      </x:c>
      <x:c r="J30" s="21" t="n">
        <x:v>0</x:v>
      </x:c>
      <x:c r="K30" s="23" t="str">
        <x:v>NOT ADMITTED</x:v>
      </x:c>
    </x:row>
    <x:row r="31">
      <x:c r="B31" s="21" t="str">
        <x:v>F25</x:v>
      </x:c>
      <x:c r="C31" s="21" t="str">
        <x:v>Spectrum recovery and public-access node</x:v>
      </x:c>
      <x:c r="D31" s="21" t="str">
        <x:v>H1</x:v>
      </x:c>
      <x:c r="E31" s="42" t="n">
        <x:v>1</x:v>
      </x:c>
      <x:c r="F31" s="42" t="n">
        <x:f>MAX(E31,Assumptions!$C$9)</x:f>
        <x:v>1.1</x:v>
      </x:c>
      <x:c r="G31" s="42" t="str">
        <x:f>IF(F31&gt;=Assumptions!$C$9,"CLOSES M05","GAP")</x:f>
        <x:v>CLOSES M05</x:v>
      </x:c>
      <x:c r="H31" s="42" t="n">
        <x:f>F31*Assumptions!$C$20/Assumptions!$C$12</x:f>
        <x:v>0.6336</x:v>
      </x:c>
      <x:c r="I31" s="21" t="str">
        <x:f>IF(H31&gt;=1,"CLOSES M06","GAP")</x:f>
        <x:v>GAP</x:v>
      </x:c>
      <x:c r="J31" s="21" t="n">
        <x:v>0</x:v>
      </x:c>
      <x:c r="K31" s="23" t="str">
        <x:v>NOT ADMITTED</x:v>
      </x:c>
    </x:row>
    <x:row r="32">
      <x:c r="B32" s="21" t="str">
        <x:v>F26</x:v>
      </x:c>
      <x:c r="C32" s="21" t="str">
        <x:v>Position navigation and time restoration lattice</x:v>
      </x:c>
      <x:c r="D32" s="21" t="str">
        <x:v>H1</x:v>
      </x:c>
      <x:c r="E32" s="42" t="n">
        <x:v>1</x:v>
      </x:c>
      <x:c r="F32" s="42" t="n">
        <x:f>MAX(E32,Assumptions!$C$9)</x:f>
        <x:v>1.1</x:v>
      </x:c>
      <x:c r="G32" s="42" t="str">
        <x:f>IF(F32&gt;=Assumptions!$C$9,"CLOSES M05","GAP")</x:f>
        <x:v>CLOSES M05</x:v>
      </x:c>
      <x:c r="H32" s="42" t="n">
        <x:f>F32*Assumptions!$C$20/Assumptions!$C$12</x:f>
        <x:v>0.6336</x:v>
      </x:c>
      <x:c r="I32" s="21" t="str">
        <x:f>IF(H32&gt;=1,"CLOSES M06","GAP")</x:f>
        <x:v>GAP</x:v>
      </x:c>
      <x:c r="J32" s="21" t="n">
        <x:v>0</x:v>
      </x:c>
      <x:c r="K32" s="23" t="str">
        <x:v>NOT ADMITTED</x:v>
      </x:c>
    </x:row>
    <x:row r="33">
      <x:c r="B33" s="21" t="str">
        <x:v>F27</x:v>
      </x:c>
      <x:c r="C33" s="21" t="str">
        <x:v>Heavy airlift relief carrier</x:v>
      </x:c>
      <x:c r="D33" s="21" t="str">
        <x:v>W2</x:v>
      </x:c>
      <x:c r="E33" s="42" t="n">
        <x:v>0.8450000000000001</x:v>
      </x:c>
      <x:c r="F33" s="42" t="n">
        <x:f>'Family Results'!I16</x:f>
        <x:v>1.1</x:v>
      </x:c>
      <x:c r="G33" s="42" t="str">
        <x:f>'Family Results'!J16</x:f>
        <x:v>CLOSES M05</x:v>
      </x:c>
      <x:c r="H33" s="42" t="n">
        <x:f>'Family Results'!K16</x:f>
        <x:v>0.6285714285714287</x:v>
      </x:c>
      <x:c r="I33" s="21" t="str">
        <x:f>'Family Results'!L16</x:f>
        <x:v>GAP</x:v>
      </x:c>
      <x:c r="J33" s="21" t="n">
        <x:v>0</x:v>
      </x:c>
      <x:c r="K33" s="23" t="str">
        <x:v>NOT ADMITTED</x:v>
      </x:c>
    </x:row>
    <x:row r="34">
      <x:c r="B34" s="21" t="str">
        <x:v>F28</x:v>
      </x:c>
      <x:c r="C34" s="21" t="str">
        <x:v>Vertical-access and evacuation aircraft</x:v>
      </x:c>
      <x:c r="D34" s="21" t="str">
        <x:v>H1</x:v>
      </x:c>
      <x:c r="E34" s="42" t="n">
        <x:v>1</x:v>
      </x:c>
      <x:c r="F34" s="42" t="n">
        <x:f>MAX(E34,Assumptions!$C$9)</x:f>
        <x:v>1.1</x:v>
      </x:c>
      <x:c r="G34" s="42" t="str">
        <x:f>IF(F34&gt;=Assumptions!$C$9,"CLOSES M05","GAP")</x:f>
        <x:v>CLOSES M05</x:v>
      </x:c>
      <x:c r="H34" s="42" t="n">
        <x:f>F34*Assumptions!$C$20/Assumptions!$C$12</x:f>
        <x:v>0.6336</x:v>
      </x:c>
      <x:c r="I34" s="21" t="str">
        <x:f>IF(H34&gt;=1,"CLOSES M06","GAP")</x:f>
        <x:v>GAP</x:v>
      </x:c>
      <x:c r="J34" s="21" t="n">
        <x:v>0</x:v>
      </x:c>
      <x:c r="K34" s="23" t="str">
        <x:v>NOT ADMITTED</x:v>
      </x:c>
    </x:row>
    <x:row r="35">
      <x:c r="B35" s="21" t="str">
        <x:v>F29</x:v>
      </x:c>
      <x:c r="C35" s="21" t="str">
        <x:v>Littoral response carrier</x:v>
      </x:c>
      <x:c r="D35" s="21" t="str">
        <x:v>W2</x:v>
      </x:c>
      <x:c r="E35" s="42" t="n">
        <x:v>0.8450000000000001</x:v>
      </x:c>
      <x:c r="F35" s="42" t="n">
        <x:f>'Family Results'!I17</x:f>
        <x:v>1.1</x:v>
      </x:c>
      <x:c r="G35" s="42" t="str">
        <x:f>'Family Results'!J17</x:f>
        <x:v>CLOSES M05</x:v>
      </x:c>
      <x:c r="H35" s="42" t="n">
        <x:f>'Family Results'!K17</x:f>
        <x:v>0.6434285714285715</x:v>
      </x:c>
      <x:c r="I35" s="21" t="str">
        <x:f>'Family Results'!L17</x:f>
        <x:v>GAP</x:v>
      </x:c>
      <x:c r="J35" s="21" t="n">
        <x:v>0</x:v>
      </x:c>
      <x:c r="K35" s="23" t="str">
        <x:v>NOT ADMITTED</x:v>
      </x:c>
    </x:row>
    <x:row r="36">
      <x:c r="B36" s="21" t="str">
        <x:v>F30</x:v>
      </x:c>
      <x:c r="C36" s="21" t="str">
        <x:v>Riverine access train</x:v>
      </x:c>
      <x:c r="D36" s="21" t="str">
        <x:v>W2</x:v>
      </x:c>
      <x:c r="E36" s="42" t="n">
        <x:v>0.8450000000000001</x:v>
      </x:c>
      <x:c r="F36" s="42" t="n">
        <x:f>'Family Results'!I18</x:f>
        <x:v>1.1</x:v>
      </x:c>
      <x:c r="G36" s="42" t="str">
        <x:f>'Family Results'!J18</x:f>
        <x:v>CLOSES M05</x:v>
      </x:c>
      <x:c r="H36" s="42" t="n">
        <x:f>'Family Results'!K18</x:f>
        <x:v>0.6285714285714287</x:v>
      </x:c>
      <x:c r="I36" s="21" t="str">
        <x:f>'Family Results'!L18</x:f>
        <x:v>GAP</x:v>
      </x:c>
      <x:c r="J36" s="21" t="n">
        <x:v>0</x:v>
      </x:c>
      <x:c r="K36" s="23" t="str">
        <x:v>NOT ADMITTED</x:v>
      </x:c>
    </x:row>
    <x:row r="37">
      <x:c r="B37" s="21" t="str">
        <x:v>F31</x:v>
      </x:c>
      <x:c r="C37" s="21" t="str">
        <x:v>Autonomous ground-logistics convoy</x:v>
      </x:c>
      <x:c r="D37" s="21" t="str">
        <x:v>S1</x:v>
      </x:c>
      <x:c r="E37" s="42" t="n">
        <x:v>0.9424999999999999</x:v>
      </x:c>
      <x:c r="F37" s="42" t="n">
        <x:f>'Family Results'!I19</x:f>
        <x:v>1.1</x:v>
      </x:c>
      <x:c r="G37" s="42" t="str">
        <x:f>'Family Results'!J19</x:f>
        <x:v>CLOSES M05</x:v>
      </x:c>
      <x:c r="H37" s="42" t="n">
        <x:f>'Family Results'!K19</x:f>
        <x:v>0.6285714285714287</x:v>
      </x:c>
      <x:c r="I37" s="21" t="str">
        <x:f>'Family Results'!L19</x:f>
        <x:v>GAP</x:v>
      </x:c>
      <x:c r="J37" s="21" t="n">
        <x:v>0</x:v>
      </x:c>
      <x:c r="K37" s="23" t="str">
        <x:v>NOT ADMITTED</x:v>
      </x:c>
    </x:row>
    <x:row r="38">
      <x:c r="B38" s="21" t="str">
        <x:v>F32</x:v>
      </x:c>
      <x:c r="C38" s="21" t="str">
        <x:v>Rapid bridge and causeway system</x:v>
      </x:c>
      <x:c r="D38" s="21" t="str">
        <x:v>W2</x:v>
      </x:c>
      <x:c r="E38" s="42" t="n">
        <x:v>0.8450000000000001</x:v>
      </x:c>
      <x:c r="F38" s="42" t="n">
        <x:f>'Family Results'!I20</x:f>
        <x:v>1.1</x:v>
      </x:c>
      <x:c r="G38" s="42" t="str">
        <x:f>'Family Results'!J20</x:f>
        <x:v>CLOSES M05</x:v>
      </x:c>
      <x:c r="H38" s="42" t="n">
        <x:f>'Family Results'!K20</x:f>
        <x:v>0.6285714285714287</x:v>
      </x:c>
      <x:c r="I38" s="21" t="str">
        <x:f>'Family Results'!L20</x:f>
        <x:v>GAP</x:v>
      </x:c>
      <x:c r="J38" s="21" t="n">
        <x:v>0</x:v>
      </x:c>
      <x:c r="K38" s="23" t="str">
        <x:v>NOT ADMITTED</x:v>
      </x:c>
    </x:row>
    <x:row r="39">
      <x:c r="B39" s="21" t="str">
        <x:v>F33</x:v>
      </x:c>
      <x:c r="C39" s="21" t="str">
        <x:v>Port rail and airfield restoration complex</x:v>
      </x:c>
      <x:c r="D39" s="21" t="str">
        <x:v>W1</x:v>
      </x:c>
      <x:c r="E39" s="42" t="n">
        <x:v>0.78</x:v>
      </x:c>
      <x:c r="F39" s="42" t="n">
        <x:f>'Family Results'!I21</x:f>
        <x:v>1.1</x:v>
      </x:c>
      <x:c r="G39" s="42" t="str">
        <x:f>'Family Results'!J21</x:f>
        <x:v>CLOSES M05</x:v>
      </x:c>
      <x:c r="H39" s="42" t="n">
        <x:f>'Family Results'!K21</x:f>
        <x:v>0.6285714285714287</x:v>
      </x:c>
      <x:c r="I39" s="21" t="str">
        <x:f>'Family Results'!L21</x:f>
        <x:v>GAP</x:v>
      </x:c>
      <x:c r="J39" s="21" t="n">
        <x:v>0</x:v>
      </x:c>
      <x:c r="K39" s="23" t="str">
        <x:v>NOT ADMITTED</x:v>
      </x:c>
    </x:row>
    <x:row r="40">
      <x:c r="B40" s="21" t="str">
        <x:v>F34</x:v>
      </x:c>
      <x:c r="C40" s="21" t="str">
        <x:v>Floating nuclear desalination utility</x:v>
      </x:c>
      <x:c r="D40" s="21" t="str">
        <x:v>S1</x:v>
      </x:c>
      <x:c r="E40" s="42" t="n">
        <x:v>0.9425</x:v>
      </x:c>
      <x:c r="F40" s="42" t="n">
        <x:f>'Family Results'!I22</x:f>
        <x:v>1.1</x:v>
      </x:c>
      <x:c r="G40" s="42" t="str">
        <x:f>'Family Results'!J22</x:f>
        <x:v>CLOSES M05</x:v>
      </x:c>
      <x:c r="H40" s="42" t="n">
        <x:f>'Family Results'!K22</x:f>
        <x:v>0.676923076923077</x:v>
      </x:c>
      <x:c r="I40" s="21" t="str">
        <x:f>'Family Results'!L22</x:f>
        <x:v>GAP</x:v>
      </x:c>
      <x:c r="J40" s="21" t="n">
        <x:v>0</x:v>
      </x:c>
      <x:c r="K40" s="23" t="str">
        <x:v>NOT ADMITTED</x:v>
      </x:c>
    </x:row>
    <x:row r="41">
      <x:c r="B41" s="21" t="str">
        <x:v>F35</x:v>
      </x:c>
      <x:c r="C41" s="21" t="str">
        <x:v>Inland brackish-water treatment train</x:v>
      </x:c>
      <x:c r="D41" s="21" t="str">
        <x:v>W2</x:v>
      </x:c>
      <x:c r="E41" s="42" t="n">
        <x:v>0.8450000000000001</x:v>
      </x:c>
      <x:c r="F41" s="42" t="n">
        <x:f>'Family Results'!I23</x:f>
        <x:v>1.1</x:v>
      </x:c>
      <x:c r="G41" s="42" t="str">
        <x:f>'Family Results'!J23</x:f>
        <x:v>CLOSES M05</x:v>
      </x:c>
      <x:c r="H41" s="42" t="n">
        <x:f>'Family Results'!K23</x:f>
        <x:v>0.676923076923077</x:v>
      </x:c>
      <x:c r="I41" s="21" t="str">
        <x:f>'Family Results'!L23</x:f>
        <x:v>GAP</x:v>
      </x:c>
      <x:c r="J41" s="21" t="n">
        <x:v>0</x:v>
      </x:c>
      <x:c r="K41" s="23" t="str">
        <x:v>NOT ADMITTED</x:v>
      </x:c>
    </x:row>
    <x:row r="42">
      <x:c r="B42" s="21" t="str">
        <x:v>F36</x:v>
      </x:c>
      <x:c r="C42" s="21" t="str">
        <x:v>Rapid water trunkline system</x:v>
      </x:c>
      <x:c r="D42" s="21" t="str">
        <x:v>S1</x:v>
      </x:c>
      <x:c r="E42" s="42" t="n">
        <x:v>0.9425</x:v>
      </x:c>
      <x:c r="F42" s="42" t="n">
        <x:f>'Family Results'!I24</x:f>
        <x:v>1.1</x:v>
      </x:c>
      <x:c r="G42" s="42" t="str">
        <x:f>'Family Results'!J24</x:f>
        <x:v>CLOSES M05</x:v>
      </x:c>
      <x:c r="H42" s="42" t="n">
        <x:f>'Family Results'!K24</x:f>
        <x:v>0.6377142857142858</x:v>
      </x:c>
      <x:c r="I42" s="21" t="str">
        <x:f>'Family Results'!L24</x:f>
        <x:v>GAP</x:v>
      </x:c>
      <x:c r="J42" s="21" t="n">
        <x:v>0</x:v>
      </x:c>
      <x:c r="K42" s="23" t="str">
        <x:v>NOT ADMITTED</x:v>
      </x:c>
    </x:row>
    <x:row r="43">
      <x:c r="B43" s="21" t="str">
        <x:v>F37</x:v>
      </x:c>
      <x:c r="C43" s="21" t="str">
        <x:v>Wastewater and sanitation restoration plant</x:v>
      </x:c>
      <x:c r="D43" s="21" t="str">
        <x:v>S1</x:v>
      </x:c>
      <x:c r="E43" s="42" t="n">
        <x:v>0.9425</x:v>
      </x:c>
      <x:c r="F43" s="42" t="n">
        <x:f>'Family Results'!I25</x:f>
        <x:v>1.1</x:v>
      </x:c>
      <x:c r="G43" s="42" t="str">
        <x:f>'Family Results'!J25</x:f>
        <x:v>CLOSES M05</x:v>
      </x:c>
      <x:c r="H43" s="42" t="n">
        <x:f>'Family Results'!K25</x:f>
        <x:v>0.676923076923077</x:v>
      </x:c>
      <x:c r="I43" s="21" t="str">
        <x:f>'Family Results'!L25</x:f>
        <x:v>GAP</x:v>
      </x:c>
      <x:c r="J43" s="21" t="n">
        <x:v>0</x:v>
      </x:c>
      <x:c r="K43" s="23" t="str">
        <x:v>NOT ADMITTED</x:v>
      </x:c>
    </x:row>
    <x:row r="44">
      <x:c r="B44" s="21" t="str">
        <x:v>F38</x:v>
      </x:c>
      <x:c r="C44" s="21" t="str">
        <x:v>Potable storage and distribution lattice</x:v>
      </x:c>
      <x:c r="D44" s="21" t="str">
        <x:v>H1</x:v>
      </x:c>
      <x:c r="E44" s="42" t="n">
        <x:v>1</x:v>
      </x:c>
      <x:c r="F44" s="42" t="n">
        <x:f>MAX(E44,Assumptions!$C$9)</x:f>
        <x:v>1.1</x:v>
      </x:c>
      <x:c r="G44" s="42" t="str">
        <x:f>IF(F44&gt;=Assumptions!$C$9,"CLOSES M05","GAP")</x:f>
        <x:v>CLOSES M05</x:v>
      </x:c>
      <x:c r="H44" s="42" t="n">
        <x:f>F44*Assumptions!$C$20/Assumptions!$C$12</x:f>
        <x:v>0.6336</x:v>
      </x:c>
      <x:c r="I44" s="21" t="str">
        <x:f>IF(H44&gt;=1,"CLOSES M06","GAP")</x:f>
        <x:v>GAP</x:v>
      </x:c>
      <x:c r="J44" s="21" t="n">
        <x:v>0</x:v>
      </x:c>
      <x:c r="K44" s="23" t="str">
        <x:v>NOT ADMITTED</x:v>
      </x:c>
    </x:row>
    <x:row r="45">
      <x:c r="B45" s="21" t="str">
        <x:v>F39</x:v>
      </x:c>
      <x:c r="C45" s="21" t="str">
        <x:v>Heavy wildfire-suppression aircraft</x:v>
      </x:c>
      <x:c r="D45" s="21" t="str">
        <x:v>H1</x:v>
      </x:c>
      <x:c r="E45" s="42" t="n">
        <x:v>1</x:v>
      </x:c>
      <x:c r="F45" s="42" t="n">
        <x:f>MAX(E45,Assumptions!$C$9)</x:f>
        <x:v>1.1</x:v>
      </x:c>
      <x:c r="G45" s="42" t="str">
        <x:f>IF(F45&gt;=Assumptions!$C$9,"CLOSES M05","GAP")</x:f>
        <x:v>CLOSES M05</x:v>
      </x:c>
      <x:c r="H45" s="42" t="n">
        <x:f>F45*Assumptions!$C$20/Assumptions!$C$12</x:f>
        <x:v>0.6336</x:v>
      </x:c>
      <x:c r="I45" s="21" t="str">
        <x:f>IF(H45&gt;=1,"CLOSES M06","GAP")</x:f>
        <x:v>GAP</x:v>
      </x:c>
      <x:c r="J45" s="21" t="n">
        <x:v>0</x:v>
      </x:c>
      <x:c r="K45" s="23" t="str">
        <x:v>NOT ADMITTED</x:v>
      </x:c>
    </x:row>
    <x:row r="46">
      <x:c r="B46" s="21" t="str">
        <x:v>F40</x:v>
      </x:c>
      <x:c r="C46" s="21" t="str">
        <x:v>Autonomous fireline and terrain fleet</x:v>
      </x:c>
      <x:c r="D46" s="21" t="str">
        <x:v>H1</x:v>
      </x:c>
      <x:c r="E46" s="42" t="n">
        <x:v>1</x:v>
      </x:c>
      <x:c r="F46" s="42" t="n">
        <x:f>MAX(E46,Assumptions!$C$9)</x:f>
        <x:v>1.1</x:v>
      </x:c>
      <x:c r="G46" s="42" t="str">
        <x:f>IF(F46&gt;=Assumptions!$C$9,"CLOSES M05","GAP")</x:f>
        <x:v>CLOSES M05</x:v>
      </x:c>
      <x:c r="H46" s="42" t="n">
        <x:f>F46*Assumptions!$C$20/Assumptions!$C$12</x:f>
        <x:v>0.6336</x:v>
      </x:c>
      <x:c r="I46" s="21" t="str">
        <x:f>IF(H46&gt;=1,"CLOSES M06","GAP")</x:f>
        <x:v>GAP</x:v>
      </x:c>
      <x:c r="J46" s="21" t="n">
        <x:v>0</x:v>
      </x:c>
      <x:c r="K46" s="23" t="str">
        <x:v>NOT ADMITTED</x:v>
      </x:c>
    </x:row>
    <x:row r="47">
      <x:c r="B47" s="21" t="str">
        <x:v>F41</x:v>
      </x:c>
      <x:c r="C47" s="21" t="str">
        <x:v>Flood diversion and pumping complex</x:v>
      </x:c>
      <x:c r="D47" s="21" t="str">
        <x:v>H1</x:v>
      </x:c>
      <x:c r="E47" s="42" t="n">
        <x:v>1</x:v>
      </x:c>
      <x:c r="F47" s="42" t="n">
        <x:f>MAX(E47,Assumptions!$C$9)</x:f>
        <x:v>1.1</x:v>
      </x:c>
      <x:c r="G47" s="42" t="str">
        <x:f>IF(F47&gt;=Assumptions!$C$9,"CLOSES M05","GAP")</x:f>
        <x:v>CLOSES M05</x:v>
      </x:c>
      <x:c r="H47" s="42" t="n">
        <x:f>F47*Assumptions!$C$20/Assumptions!$C$12</x:f>
        <x:v>0.6336</x:v>
      </x:c>
      <x:c r="I47" s="21" t="str">
        <x:f>IF(H47&gt;=1,"CLOSES M06","GAP")</x:f>
        <x:v>GAP</x:v>
      </x:c>
      <x:c r="J47" s="21" t="n">
        <x:v>0</x:v>
      </x:c>
      <x:c r="K47" s="23" t="str">
        <x:v>NOT ADMITTED</x:v>
      </x:c>
    </x:row>
    <x:row r="48">
      <x:c r="B48" s="21" t="str">
        <x:v>F42</x:v>
      </x:c>
      <x:c r="C48" s="21" t="str">
        <x:v>Atmospheric and chemical hazard-control system</x:v>
      </x:c>
      <x:c r="D48" s="21" t="str">
        <x:v>H1</x:v>
      </x:c>
      <x:c r="E48" s="42" t="n">
        <x:v>1</x:v>
      </x:c>
      <x:c r="F48" s="42" t="n">
        <x:f>MAX(E48,Assumptions!$C$9)</x:f>
        <x:v>1.1</x:v>
      </x:c>
      <x:c r="G48" s="42" t="str">
        <x:f>IF(F48&gt;=Assumptions!$C$9,"CLOSES M05","GAP")</x:f>
        <x:v>CLOSES M05</x:v>
      </x:c>
      <x:c r="H48" s="42" t="n">
        <x:f>F48*Assumptions!$C$20/Assumptions!$C$12</x:f>
        <x:v>0.6336</x:v>
      </x:c>
      <x:c r="I48" s="21" t="str">
        <x:f>IF(H48&gt;=1,"CLOSES M06","GAP")</x:f>
        <x:v>GAP</x:v>
      </x:c>
      <x:c r="J48" s="21" t="n">
        <x:v>0</x:v>
      </x:c>
      <x:c r="K48" s="23" t="str">
        <x:v>NOT ADMITTED</x:v>
      </x:c>
    </x:row>
    <x:row r="49">
      <x:c r="B49" s="21" t="str">
        <x:v>F43</x:v>
      </x:c>
      <x:c r="C49" s="21" t="str">
        <x:v>Earthquake search and stabilization swarm</x:v>
      </x:c>
      <x:c r="D49" s="21" t="str">
        <x:v>H1</x:v>
      </x:c>
      <x:c r="E49" s="42" t="n">
        <x:v>1</x:v>
      </x:c>
      <x:c r="F49" s="42" t="n">
        <x:f>MAX(E49,Assumptions!$C$9)</x:f>
        <x:v>1.1</x:v>
      </x:c>
      <x:c r="G49" s="42" t="str">
        <x:f>IF(F49&gt;=Assumptions!$C$9,"CLOSES M05","GAP")</x:f>
        <x:v>CLOSES M05</x:v>
      </x:c>
      <x:c r="H49" s="42" t="n">
        <x:f>F49*Assumptions!$C$20/Assumptions!$C$12</x:f>
        <x:v>0.6336</x:v>
      </x:c>
      <x:c r="I49" s="21" t="str">
        <x:f>IF(H49&gt;=1,"CLOSES M06","GAP")</x:f>
        <x:v>GAP</x:v>
      </x:c>
      <x:c r="J49" s="21" t="n">
        <x:v>0</x:v>
      </x:c>
      <x:c r="K49" s="23" t="str">
        <x:v>NOT ADMITTED</x:v>
      </x:c>
    </x:row>
    <x:row r="50">
      <x:c r="B50" s="21" t="str">
        <x:v>F44</x:v>
      </x:c>
      <x:c r="C50" s="21" t="str">
        <x:v>Rapid structural-stabilization system</x:v>
      </x:c>
      <x:c r="D50" s="21" t="str">
        <x:v>H1</x:v>
      </x:c>
      <x:c r="E50" s="42" t="n">
        <x:v>1</x:v>
      </x:c>
      <x:c r="F50" s="42" t="n">
        <x:f>MAX(E50,Assumptions!$C$9)</x:f>
        <x:v>1.1</x:v>
      </x:c>
      <x:c r="G50" s="42" t="str">
        <x:f>IF(F50&gt;=Assumptions!$C$9,"CLOSES M05","GAP")</x:f>
        <x:v>CLOSES M05</x:v>
      </x:c>
      <x:c r="H50" s="42" t="n">
        <x:f>F50*Assumptions!$C$20/Assumptions!$C$12</x:f>
        <x:v>0.6336</x:v>
      </x:c>
      <x:c r="I50" s="21" t="str">
        <x:f>IF(H50&gt;=1,"CLOSES M06","GAP")</x:f>
        <x:v>GAP</x:v>
      </x:c>
      <x:c r="J50" s="21" t="n">
        <x:v>0</x:v>
      </x:c>
      <x:c r="K50" s="23" t="str">
        <x:v>NOT ADMITTED</x:v>
      </x:c>
    </x:row>
    <x:row r="51">
      <x:c r="B51" s="21" t="str">
        <x:v>F45</x:v>
      </x:c>
      <x:c r="C51" s="21" t="str">
        <x:v>Modular housing production complex</x:v>
      </x:c>
      <x:c r="D51" s="21" t="str">
        <x:v>W2</x:v>
      </x:c>
      <x:c r="E51" s="42" t="n">
        <x:v>0.8450000000000001</x:v>
      </x:c>
      <x:c r="F51" s="42" t="n">
        <x:f>'Family Results'!I26</x:f>
        <x:v>1.1</x:v>
      </x:c>
      <x:c r="G51" s="42" t="str">
        <x:f>'Family Results'!J26</x:f>
        <x:v>CLOSES M05</x:v>
      </x:c>
      <x:c r="H51" s="42" t="n">
        <x:f>'Family Results'!K26</x:f>
        <x:v>0.6285714285714287</x:v>
      </x:c>
      <x:c r="I51" s="21" t="str">
        <x:f>'Family Results'!L26</x:f>
        <x:v>GAP</x:v>
      </x:c>
      <x:c r="J51" s="21" t="n">
        <x:v>0</x:v>
      </x:c>
      <x:c r="K51" s="23" t="str">
        <x:v>NOT ADMITTED</x:v>
      </x:c>
    </x:row>
    <x:row r="52">
      <x:c r="B52" s="21" t="str">
        <x:v>F46</x:v>
      </x:c>
      <x:c r="C52" s="21" t="str">
        <x:v>Debris separation and material-recovery fleet</x:v>
      </x:c>
      <x:c r="D52" s="21" t="str">
        <x:v>S1</x:v>
      </x:c>
      <x:c r="E52" s="42" t="n">
        <x:v>0.9425</x:v>
      </x:c>
      <x:c r="F52" s="42" t="n">
        <x:f>'Family Results'!I27</x:f>
        <x:v>1.1095000000000002</x:v>
      </x:c>
      <x:c r="G52" s="42" t="str">
        <x:f>'Family Results'!J27</x:f>
        <x:v>CLOSES M05</x:v>
      </x:c>
      <x:c r="H52" s="42" t="n">
        <x:f>'Family Results'!K27</x:f>
        <x:v>0.6411428571428571</x:v>
      </x:c>
      <x:c r="I52" s="21" t="str">
        <x:f>'Family Results'!L27</x:f>
        <x:v>GAP</x:v>
      </x:c>
      <x:c r="J52" s="21" t="n">
        <x:v>0</x:v>
      </x:c>
      <x:c r="K52" s="23" t="str">
        <x:v>NOT ADMITTED</x:v>
      </x:c>
    </x:row>
    <x:row r="53">
      <x:c r="B53" s="21" t="str">
        <x:v>F47</x:v>
      </x:c>
      <x:c r="C53" s="21" t="str">
        <x:v>Municipal service-restoration block</x:v>
      </x:c>
      <x:c r="D53" s="21" t="str">
        <x:v>S1</x:v>
      </x:c>
      <x:c r="E53" s="42" t="n">
        <x:v>0.9424999999999999</x:v>
      </x:c>
      <x:c r="F53" s="42" t="n">
        <x:f>'Family Results'!I28</x:f>
        <x:v>1.1</x:v>
      </x:c>
      <x:c r="G53" s="42" t="str">
        <x:f>'Family Results'!J28</x:f>
        <x:v>CLOSES M05</x:v>
      </x:c>
      <x:c r="H53" s="42" t="n">
        <x:f>'Family Results'!K28</x:f>
        <x:v>0.6285714285714287</x:v>
      </x:c>
      <x:c r="I53" s="21" t="str">
        <x:f>'Family Results'!L28</x:f>
        <x:v>GAP</x:v>
      </x:c>
      <x:c r="J53" s="21" t="n">
        <x:v>0</x:v>
      </x:c>
      <x:c r="K53" s="23" t="str">
        <x:v>NOT ADMITTED</x:v>
      </x:c>
    </x:row>
    <x:row r="54">
      <x:c r="B54" s="24" t="str">
        <x:v>F48</x:v>
      </x:c>
      <x:c r="C54" s="24" t="str">
        <x:v>Economic-continuity logistics and finance cell</x:v>
      </x:c>
      <x:c r="D54" s="24" t="str">
        <x:v>H1</x:v>
      </x:c>
      <x:c r="E54" s="43" t="n">
        <x:v>1</x:v>
      </x:c>
      <x:c r="F54" s="43" t="n">
        <x:f>MAX(E54,Assumptions!$C$9)</x:f>
        <x:v>1.1</x:v>
      </x:c>
      <x:c r="G54" s="43" t="str">
        <x:f>IF(F54&gt;=Assumptions!$C$9,"CLOSES M05","GAP")</x:f>
        <x:v>CLOSES M05</x:v>
      </x:c>
      <x:c r="H54" s="43" t="n">
        <x:f>F54*Assumptions!$C$20/Assumptions!$C$12</x:f>
        <x:v>0.6336</x:v>
      </x:c>
      <x:c r="I54" s="24" t="str">
        <x:f>IF(H54&gt;=1,"CLOSES M06","GAP")</x:f>
        <x:v>GAP</x:v>
      </x:c>
      <x:c r="J54" s="24" t="n">
        <x:v>0</x:v>
      </x:c>
      <x:c r="K54" s="26" t="str">
        <x:v>NOT ADMITTED</x:v>
      </x:c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mergeCells>
    <x:mergeCell ref="B3:K3"/>
  </x:mergeCells>
  <x:conditionalFormatting sqref="G7:K54">
    <x:cfRule type="containsText" dxfId="54" priority="1" operator="containsText" text="OPEN"/>
    <x:cfRule type="containsText" dxfId="55" priority="2" operator="containsText" text="HOLD"/>
    <x:cfRule type="containsText" dxfId="56" priority="3" operator="containsText" text="BLOCKED"/>
    <x:cfRule type="containsText" dxfId="57" priority="4" operator="containsText" text="GAP"/>
    <x:cfRule type="containsText" dxfId="58" priority="5" operator="containsText" text="NOT ADMITTED"/>
    <x:cfRule type="containsText" dxfId="59" priority="6" operator="containsText" text="FAIL"/>
    <x:cfRule type="containsText" dxfId="60" priority="7" operator="containsText" text="PASS"/>
    <x:cfRule type="containsText" dxfId="61" priority="8" operator="containsText" text="ADEQUATE"/>
    <x:cfRule type="containsText" dxfId="62" priority="9" operator="containsText" text="CLOSES M05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0" hidden="0" customWidth="1"/>
    <x:col min="4" max="4" width="10" hidden="0" customWidth="1"/>
    <x:col min="5" max="5" width="15" hidden="0" customWidth="1"/>
    <x:col min="6" max="6" width="15" hidden="0" customWidth="1"/>
    <x:col min="7" max="7" width="22" hidden="0" customWidth="1"/>
    <x:col min="8" max="8" width="18" hidden="0" customWidth="1"/>
    <x:col min="9" max="9" width="15" hidden="0" customWidth="1"/>
    <x:col min="10" max="10" width="15" hidden="0" customWidth="1"/>
    <x:col min="11" max="11" width="28" hidden="0" customWidth="1"/>
    <x:col min="12" max="12" width="34" hidden="0" customWidth="1"/>
    <x:col min="13" max="13" width="13" hidden="0" customWidth="1"/>
    <x:col min="14" max="14" width="13" hidden="0" customWidth="1"/>
  </x:cols>
  <x:sheetData>
    <x:row r="2">
      <x:c r="B2" s="3" t="str">
        <x:v>Protected first-wave and follow-on reserve ledger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Ready inventory is computed against service plus protected reserve. First-wave issue is subtracted before reserve adequacy is judged.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Record</x:v>
      </x:c>
      <x:c r="C6" s="20" t="str">
        <x:v>Family</x:v>
      </x:c>
      <x:c r="D6" s="20" t="str">
        <x:v>World</x:v>
      </x:c>
      <x:c r="E6" s="20" t="str">
        <x:v>Ready lots</x:v>
      </x:c>
      <x:c r="F6" s="20" t="str">
        <x:v>Service issue</x:v>
      </x:c>
      <x:c r="G6" s="20" t="str">
        <x:v>Protected reserve floor</x:v>
      </x:c>
      <x:c r="H6" s="20" t="str">
        <x:v>Post-service lots</x:v>
      </x:c>
      <x:c r="I6" s="20" t="str">
        <x:v>Reserve ratio</x:v>
      </x:c>
      <x:c r="J6" s="20" t="str">
        <x:v>Result</x:v>
      </x:c>
      <x:c r="K6" s="20" t="str">
        <x:v>Service source</x:v>
      </x:c>
      <x:c r="L6" s="20" t="str">
        <x:v>Reserve custody</x:v>
      </x:c>
      <x:c r="M6" s="20" t="str">
        <x:v>Evidence</x:v>
      </x:c>
      <x:c r="N6" s="20" t="str">
        <x:v>Decision</x:v>
      </x:c>
    </x:row>
    <x:row r="7">
      <x:c r="B7" s="21" t="str">
        <x:v>RL-001</x:v>
      </x:c>
      <x:c r="C7" s="21" t="str">
        <x:v>F01</x:v>
      </x:c>
      <x:c r="D7" s="21" t="str">
        <x:v>M05</x:v>
      </x:c>
      <x:c r="E7" s="42" t="n">
        <x:f>'Full Force'!F7*(Assumptions!$C$10+Assumptions!$C$11)*'Family Register'!G7</x:f>
        <x:v>15.84</x:v>
      </x:c>
      <x:c r="F7" s="42" t="n">
        <x:f>Assumptions!$C$10*'Family Register'!G7</x:f>
        <x:v>12</x:v>
      </x:c>
      <x:c r="G7" s="42" t="n">
        <x:f>Assumptions!$C$11*'Family Register'!G7</x:f>
        <x:v>2.4000000000000004</x:v>
      </x:c>
      <x:c r="H7" s="42" t="n">
        <x:f>MAX(0,E7-F7)</x:f>
        <x:v>3.84</x:v>
      </x:c>
      <x:c r="I7" s="42" t="n">
        <x:f>H7/G7</x:f>
        <x:v>1.5999999999999996</x:v>
      </x:c>
      <x:c r="J7" s="21" t="str">
        <x:f>IF(I7&gt;=1,"ADEQUATE","GAP")</x:f>
        <x:v>ADEQUATE</x:v>
      </x:c>
      <x:c r="K7" s="21" t="str">
        <x:v>mission-ready issued lots</x:v>
      </x:c>
      <x:c r="L7" s="21" t="str">
        <x:v>separate rotating custody domains</x:v>
      </x:c>
      <x:c r="M7" s="21" t="str">
        <x:v>OPEN</x:v>
      </x:c>
      <x:c r="N7" s="23" t="str">
        <x:v>HOLD</x:v>
      </x:c>
    </x:row>
    <x:row r="8">
      <x:c r="B8" s="21" t="str">
        <x:v>RL-002</x:v>
      </x:c>
      <x:c r="C8" s="21" t="str">
        <x:v>F01</x:v>
      </x:c>
      <x:c r="D8" s="21" t="str">
        <x:v>M06</x:v>
      </x:c>
      <x:c r="E8" s="42" t="n">
        <x:f>'Full Force'!H7*(Assumptions!$C$12+Assumptions!$C$13)*'Family Register'!G7</x:f>
        <x:v>11.404800000000002</x:v>
      </x:c>
      <x:c r="F8" s="42" t="n">
        <x:f>Assumptions!$C$12*'Family Register'!G7</x:f>
        <x:v>15</x:v>
      </x:c>
      <x:c r="G8" s="42" t="n">
        <x:f>Assumptions!$C$13*'Family Register'!G7</x:f>
        <x:v>3</x:v>
      </x:c>
      <x:c r="H8" s="42" t="n">
        <x:f>MAX(0,E8-F8)</x:f>
        <x:v>0</x:v>
      </x:c>
      <x:c r="I8" s="42" t="n">
        <x:f>H8/G8</x:f>
        <x:v>0</x:v>
      </x:c>
      <x:c r="J8" s="21" t="str">
        <x:f>IF(I8&gt;=1,"ADEQUATE","GAP")</x:f>
        <x:v>GAP</x:v>
      </x:c>
      <x:c r="K8" s="21" t="str">
        <x:v>mission-ready issued lots</x:v>
      </x:c>
      <x:c r="L8" s="21" t="str">
        <x:v>separate rotating custody domains</x:v>
      </x:c>
      <x:c r="M8" s="21" t="str">
        <x:v>OPEN</x:v>
      </x:c>
      <x:c r="N8" s="23" t="str">
        <x:v>HOLD</x:v>
      </x:c>
    </x:row>
    <x:row r="9">
      <x:c r="B9" s="21" t="str">
        <x:v>RL-003</x:v>
      </x:c>
      <x:c r="C9" s="21" t="str">
        <x:v>F02</x:v>
      </x:c>
      <x:c r="D9" s="21" t="str">
        <x:v>M05</x:v>
      </x:c>
      <x:c r="E9" s="42" t="n">
        <x:f>'Full Force'!F8*(Assumptions!$C$10+Assumptions!$C$11)*'Family Register'!G8</x:f>
        <x:v>15.84</x:v>
      </x:c>
      <x:c r="F9" s="42" t="n">
        <x:f>Assumptions!$C$10*'Family Register'!G8</x:f>
        <x:v>12</x:v>
      </x:c>
      <x:c r="G9" s="42" t="n">
        <x:f>Assumptions!$C$11*'Family Register'!G8</x:f>
        <x:v>2.4000000000000004</x:v>
      </x:c>
      <x:c r="H9" s="42" t="n">
        <x:f>MAX(0,E9-F9)</x:f>
        <x:v>3.84</x:v>
      </x:c>
      <x:c r="I9" s="42" t="n">
        <x:f>H9/G9</x:f>
        <x:v>1.5999999999999996</x:v>
      </x:c>
      <x:c r="J9" s="21" t="str">
        <x:f>IF(I9&gt;=1,"ADEQUATE","GAP")</x:f>
        <x:v>ADEQUATE</x:v>
      </x:c>
      <x:c r="K9" s="21" t="str">
        <x:v>mission-ready issued lots</x:v>
      </x:c>
      <x:c r="L9" s="21" t="str">
        <x:v>separate rotating custody domains</x:v>
      </x:c>
      <x:c r="M9" s="21" t="str">
        <x:v>OPEN</x:v>
      </x:c>
      <x:c r="N9" s="23" t="str">
        <x:v>HOLD</x:v>
      </x:c>
    </x:row>
    <x:row r="10">
      <x:c r="B10" s="21" t="str">
        <x:v>RL-004</x:v>
      </x:c>
      <x:c r="C10" s="21" t="str">
        <x:v>F02</x:v>
      </x:c>
      <x:c r="D10" s="21" t="str">
        <x:v>M06</x:v>
      </x:c>
      <x:c r="E10" s="42" t="n">
        <x:f>'Full Force'!H8*(Assumptions!$C$12+Assumptions!$C$13)*'Family Register'!G8</x:f>
        <x:v>11.404800000000002</x:v>
      </x:c>
      <x:c r="F10" s="42" t="n">
        <x:f>Assumptions!$C$12*'Family Register'!G8</x:f>
        <x:v>15</x:v>
      </x:c>
      <x:c r="G10" s="42" t="n">
        <x:f>Assumptions!$C$13*'Family Register'!G8</x:f>
        <x:v>3</x:v>
      </x:c>
      <x:c r="H10" s="42" t="n">
        <x:f>MAX(0,E10-F10)</x:f>
        <x:v>0</x:v>
      </x:c>
      <x:c r="I10" s="42" t="n">
        <x:f>H10/G10</x:f>
        <x:v>0</x:v>
      </x:c>
      <x:c r="J10" s="21" t="str">
        <x:f>IF(I10&gt;=1,"ADEQUATE","GAP")</x:f>
        <x:v>GAP</x:v>
      </x:c>
      <x:c r="K10" s="21" t="str">
        <x:v>mission-ready issued lots</x:v>
      </x:c>
      <x:c r="L10" s="21" t="str">
        <x:v>separate rotating custody domains</x:v>
      </x:c>
      <x:c r="M10" s="21" t="str">
        <x:v>OPEN</x:v>
      </x:c>
      <x:c r="N10" s="23" t="str">
        <x:v>HOLD</x:v>
      </x:c>
    </x:row>
    <x:row r="11">
      <x:c r="B11" s="21" t="str">
        <x:v>RL-005</x:v>
      </x:c>
      <x:c r="C11" s="21" t="str">
        <x:v>F03</x:v>
      </x:c>
      <x:c r="D11" s="21" t="str">
        <x:v>M05</x:v>
      </x:c>
      <x:c r="E11" s="42" t="n">
        <x:f>'Full Force'!F9*(Assumptions!$C$10+Assumptions!$C$11)*'Family Register'!G9</x:f>
        <x:v>15.84</x:v>
      </x:c>
      <x:c r="F11" s="42" t="n">
        <x:f>Assumptions!$C$10*'Family Register'!G9</x:f>
        <x:v>12</x:v>
      </x:c>
      <x:c r="G11" s="42" t="n">
        <x:f>Assumptions!$C$11*'Family Register'!G9</x:f>
        <x:v>2.4000000000000004</x:v>
      </x:c>
      <x:c r="H11" s="42" t="n">
        <x:f>MAX(0,E11-F11)</x:f>
        <x:v>3.84</x:v>
      </x:c>
      <x:c r="I11" s="42" t="n">
        <x:f>H11/G11</x:f>
        <x:v>1.5999999999999996</x:v>
      </x:c>
      <x:c r="J11" s="21" t="str">
        <x:f>IF(I11&gt;=1,"ADEQUATE","GAP")</x:f>
        <x:v>ADEQUATE</x:v>
      </x:c>
      <x:c r="K11" s="21" t="str">
        <x:v>mission-ready issued lots</x:v>
      </x:c>
      <x:c r="L11" s="21" t="str">
        <x:v>separate rotating custody domains</x:v>
      </x:c>
      <x:c r="M11" s="21" t="str">
        <x:v>OPEN</x:v>
      </x:c>
      <x:c r="N11" s="23" t="str">
        <x:v>HOLD</x:v>
      </x:c>
    </x:row>
    <x:row r="12">
      <x:c r="B12" s="21" t="str">
        <x:v>RL-006</x:v>
      </x:c>
      <x:c r="C12" s="21" t="str">
        <x:v>F03</x:v>
      </x:c>
      <x:c r="D12" s="21" t="str">
        <x:v>M06</x:v>
      </x:c>
      <x:c r="E12" s="42" t="n">
        <x:f>'Full Force'!H9*(Assumptions!$C$12+Assumptions!$C$13)*'Family Register'!G9</x:f>
        <x:v>11.404800000000002</x:v>
      </x:c>
      <x:c r="F12" s="42" t="n">
        <x:f>Assumptions!$C$12*'Family Register'!G9</x:f>
        <x:v>15</x:v>
      </x:c>
      <x:c r="G12" s="42" t="n">
        <x:f>Assumptions!$C$13*'Family Register'!G9</x:f>
        <x:v>3</x:v>
      </x:c>
      <x:c r="H12" s="42" t="n">
        <x:f>MAX(0,E12-F12)</x:f>
        <x:v>0</x:v>
      </x:c>
      <x:c r="I12" s="42" t="n">
        <x:f>H12/G12</x:f>
        <x:v>0</x:v>
      </x:c>
      <x:c r="J12" s="21" t="str">
        <x:f>IF(I12&gt;=1,"ADEQUATE","GAP")</x:f>
        <x:v>GAP</x:v>
      </x:c>
      <x:c r="K12" s="21" t="str">
        <x:v>mission-ready issued lots</x:v>
      </x:c>
      <x:c r="L12" s="21" t="str">
        <x:v>separate rotating custody domains</x:v>
      </x:c>
      <x:c r="M12" s="21" t="str">
        <x:v>OPEN</x:v>
      </x:c>
      <x:c r="N12" s="23" t="str">
        <x:v>HOLD</x:v>
      </x:c>
    </x:row>
    <x:row r="13">
      <x:c r="B13" s="21" t="str">
        <x:v>RL-007</x:v>
      </x:c>
      <x:c r="C13" s="21" t="str">
        <x:v>F04</x:v>
      </x:c>
      <x:c r="D13" s="21" t="str">
        <x:v>M05</x:v>
      </x:c>
      <x:c r="E13" s="42" t="n">
        <x:f>'Full Force'!F10*(Assumptions!$C$10+Assumptions!$C$11)*'Family Register'!G10</x:f>
        <x:v>15.84</x:v>
      </x:c>
      <x:c r="F13" s="42" t="n">
        <x:f>Assumptions!$C$10*'Family Register'!G10</x:f>
        <x:v>12</x:v>
      </x:c>
      <x:c r="G13" s="42" t="n">
        <x:f>Assumptions!$C$11*'Family Register'!G10</x:f>
        <x:v>2.4000000000000004</x:v>
      </x:c>
      <x:c r="H13" s="42" t="n">
        <x:f>MAX(0,E13-F13)</x:f>
        <x:v>3.84</x:v>
      </x:c>
      <x:c r="I13" s="42" t="n">
        <x:f>H13/G13</x:f>
        <x:v>1.5999999999999996</x:v>
      </x:c>
      <x:c r="J13" s="21" t="str">
        <x:f>IF(I13&gt;=1,"ADEQUATE","GAP")</x:f>
        <x:v>ADEQUATE</x:v>
      </x:c>
      <x:c r="K13" s="21" t="str">
        <x:v>mission-ready issued lots</x:v>
      </x:c>
      <x:c r="L13" s="21" t="str">
        <x:v>separate rotating custody domains</x:v>
      </x:c>
      <x:c r="M13" s="21" t="str">
        <x:v>OPEN</x:v>
      </x:c>
      <x:c r="N13" s="23" t="str">
        <x:v>HOLD</x:v>
      </x:c>
    </x:row>
    <x:row r="14">
      <x:c r="B14" s="21" t="str">
        <x:v>RL-008</x:v>
      </x:c>
      <x:c r="C14" s="21" t="str">
        <x:v>F04</x:v>
      </x:c>
      <x:c r="D14" s="21" t="str">
        <x:v>M06</x:v>
      </x:c>
      <x:c r="E14" s="42" t="n">
        <x:f>'Full Force'!H10*(Assumptions!$C$12+Assumptions!$C$13)*'Family Register'!G10</x:f>
        <x:v>11.404800000000002</x:v>
      </x:c>
      <x:c r="F14" s="42" t="n">
        <x:f>Assumptions!$C$12*'Family Register'!G10</x:f>
        <x:v>15</x:v>
      </x:c>
      <x:c r="G14" s="42" t="n">
        <x:f>Assumptions!$C$13*'Family Register'!G10</x:f>
        <x:v>3</x:v>
      </x:c>
      <x:c r="H14" s="42" t="n">
        <x:f>MAX(0,E14-F14)</x:f>
        <x:v>0</x:v>
      </x:c>
      <x:c r="I14" s="42" t="n">
        <x:f>H14/G14</x:f>
        <x:v>0</x:v>
      </x:c>
      <x:c r="J14" s="21" t="str">
        <x:f>IF(I14&gt;=1,"ADEQUATE","GAP")</x:f>
        <x:v>GAP</x:v>
      </x:c>
      <x:c r="K14" s="21" t="str">
        <x:v>mission-ready issued lots</x:v>
      </x:c>
      <x:c r="L14" s="21" t="str">
        <x:v>separate rotating custody domains</x:v>
      </x:c>
      <x:c r="M14" s="21" t="str">
        <x:v>OPEN</x:v>
      </x:c>
      <x:c r="N14" s="23" t="str">
        <x:v>HOLD</x:v>
      </x:c>
    </x:row>
    <x:row r="15">
      <x:c r="B15" s="21" t="str">
        <x:v>RL-009</x:v>
      </x:c>
      <x:c r="C15" s="21" t="str">
        <x:v>F05</x:v>
      </x:c>
      <x:c r="D15" s="21" t="str">
        <x:v>M05</x:v>
      </x:c>
      <x:c r="E15" s="42" t="n">
        <x:f>'Full Force'!F11*(Assumptions!$C$10+Assumptions!$C$11)*'Family Register'!G11</x:f>
        <x:v>26.400000000000002</x:v>
      </x:c>
      <x:c r="F15" s="42" t="n">
        <x:f>Assumptions!$C$10*'Family Register'!G11</x:f>
        <x:v>20</x:v>
      </x:c>
      <x:c r="G15" s="42" t="n">
        <x:f>Assumptions!$C$11*'Family Register'!G11</x:f>
        <x:v>4</x:v>
      </x:c>
      <x:c r="H15" s="42" t="n">
        <x:f>MAX(0,E15-F15)</x:f>
        <x:v>6.400000000000002</x:v>
      </x:c>
      <x:c r="I15" s="42" t="n">
        <x:f>H15/G15</x:f>
        <x:v>1.6000000000000005</x:v>
      </x:c>
      <x:c r="J15" s="21" t="str">
        <x:f>IF(I15&gt;=1,"ADEQUATE","GAP")</x:f>
        <x:v>ADEQUATE</x:v>
      </x:c>
      <x:c r="K15" s="21" t="str">
        <x:v>mission-ready issued lots</x:v>
      </x:c>
      <x:c r="L15" s="21" t="str">
        <x:v>separate rotating custody domains</x:v>
      </x:c>
      <x:c r="M15" s="21" t="str">
        <x:v>OPEN</x:v>
      </x:c>
      <x:c r="N15" s="23" t="str">
        <x:v>HOLD</x:v>
      </x:c>
    </x:row>
    <x:row r="16">
      <x:c r="B16" s="21" t="str">
        <x:v>RL-010</x:v>
      </x:c>
      <x:c r="C16" s="21" t="str">
        <x:v>F05</x:v>
      </x:c>
      <x:c r="D16" s="21" t="str">
        <x:v>M06</x:v>
      </x:c>
      <x:c r="E16" s="42" t="n">
        <x:f>'Full Force'!H11*(Assumptions!$C$12+Assumptions!$C$13)*'Family Register'!G11</x:f>
        <x:v>20.307692307692307</x:v>
      </x:c>
      <x:c r="F16" s="42" t="n">
        <x:f>Assumptions!$C$12*'Family Register'!G11</x:f>
        <x:v>25</x:v>
      </x:c>
      <x:c r="G16" s="42" t="n">
        <x:f>Assumptions!$C$13*'Family Register'!G11</x:f>
        <x:v>5</x:v>
      </x:c>
      <x:c r="H16" s="42" t="n">
        <x:f>MAX(0,E16-F16)</x:f>
        <x:v>0</x:v>
      </x:c>
      <x:c r="I16" s="42" t="n">
        <x:f>H16/G16</x:f>
        <x:v>0</x:v>
      </x:c>
      <x:c r="J16" s="21" t="str">
        <x:f>IF(I16&gt;=1,"ADEQUATE","GAP")</x:f>
        <x:v>GAP</x:v>
      </x:c>
      <x:c r="K16" s="21" t="str">
        <x:v>mission-ready issued lots</x:v>
      </x:c>
      <x:c r="L16" s="21" t="str">
        <x:v>separate rotating custody domains</x:v>
      </x:c>
      <x:c r="M16" s="21" t="str">
        <x:v>OPEN</x:v>
      </x:c>
      <x:c r="N16" s="23" t="str">
        <x:v>HOLD</x:v>
      </x:c>
    </x:row>
    <x:row r="17">
      <x:c r="B17" s="21" t="str">
        <x:v>RL-011</x:v>
      </x:c>
      <x:c r="C17" s="21" t="str">
        <x:v>F06</x:v>
      </x:c>
      <x:c r="D17" s="21" t="str">
        <x:v>M05</x:v>
      </x:c>
      <x:c r="E17" s="42" t="n">
        <x:f>'Full Force'!F12*(Assumptions!$C$10+Assumptions!$C$11)*'Family Register'!G12</x:f>
        <x:v>26.400000000000002</x:v>
      </x:c>
      <x:c r="F17" s="42" t="n">
        <x:f>Assumptions!$C$10*'Family Register'!G12</x:f>
        <x:v>20</x:v>
      </x:c>
      <x:c r="G17" s="42" t="n">
        <x:f>Assumptions!$C$11*'Family Register'!G12</x:f>
        <x:v>4</x:v>
      </x:c>
      <x:c r="H17" s="42" t="n">
        <x:f>MAX(0,E17-F17)</x:f>
        <x:v>6.400000000000002</x:v>
      </x:c>
      <x:c r="I17" s="42" t="n">
        <x:f>H17/G17</x:f>
        <x:v>1.6000000000000005</x:v>
      </x:c>
      <x:c r="J17" s="21" t="str">
        <x:f>IF(I17&gt;=1,"ADEQUATE","GAP")</x:f>
        <x:v>ADEQUATE</x:v>
      </x:c>
      <x:c r="K17" s="21" t="str">
        <x:v>mission-ready issued lots</x:v>
      </x:c>
      <x:c r="L17" s="21" t="str">
        <x:v>separate rotating custody domains</x:v>
      </x:c>
      <x:c r="M17" s="21" t="str">
        <x:v>OPEN</x:v>
      </x:c>
      <x:c r="N17" s="23" t="str">
        <x:v>HOLD</x:v>
      </x:c>
    </x:row>
    <x:row r="18">
      <x:c r="B18" s="21" t="str">
        <x:v>RL-012</x:v>
      </x:c>
      <x:c r="C18" s="21" t="str">
        <x:v>F06</x:v>
      </x:c>
      <x:c r="D18" s="21" t="str">
        <x:v>M06</x:v>
      </x:c>
      <x:c r="E18" s="42" t="n">
        <x:f>'Full Force'!H12*(Assumptions!$C$12+Assumptions!$C$13)*'Family Register'!G12</x:f>
        <x:v>19.242857142857144</x:v>
      </x:c>
      <x:c r="F18" s="42" t="n">
        <x:f>Assumptions!$C$12*'Family Register'!G12</x:f>
        <x:v>25</x:v>
      </x:c>
      <x:c r="G18" s="42" t="n">
        <x:f>Assumptions!$C$13*'Family Register'!G12</x:f>
        <x:v>5</x:v>
      </x:c>
      <x:c r="H18" s="42" t="n">
        <x:f>MAX(0,E18-F18)</x:f>
        <x:v>0</x:v>
      </x:c>
      <x:c r="I18" s="42" t="n">
        <x:f>H18/G18</x:f>
        <x:v>0</x:v>
      </x:c>
      <x:c r="J18" s="21" t="str">
        <x:f>IF(I18&gt;=1,"ADEQUATE","GAP")</x:f>
        <x:v>GAP</x:v>
      </x:c>
      <x:c r="K18" s="21" t="str">
        <x:v>mission-ready issued lots</x:v>
      </x:c>
      <x:c r="L18" s="21" t="str">
        <x:v>separate rotating custody domains</x:v>
      </x:c>
      <x:c r="M18" s="21" t="str">
        <x:v>OPEN</x:v>
      </x:c>
      <x:c r="N18" s="23" t="str">
        <x:v>HOLD</x:v>
      </x:c>
    </x:row>
    <x:row r="19">
      <x:c r="B19" s="21" t="str">
        <x:v>RL-013</x:v>
      </x:c>
      <x:c r="C19" s="21" t="str">
        <x:v>F07</x:v>
      </x:c>
      <x:c r="D19" s="21" t="str">
        <x:v>M05</x:v>
      </x:c>
      <x:c r="E19" s="42" t="n">
        <x:f>'Full Force'!F13*(Assumptions!$C$10+Assumptions!$C$11)*'Family Register'!G13</x:f>
        <x:v>10.56</x:v>
      </x:c>
      <x:c r="F19" s="42" t="n">
        <x:f>Assumptions!$C$10*'Family Register'!G13</x:f>
        <x:v>8</x:v>
      </x:c>
      <x:c r="G19" s="42" t="n">
        <x:f>Assumptions!$C$11*'Family Register'!G13</x:f>
        <x:v>1.6</x:v>
      </x:c>
      <x:c r="H19" s="42" t="n">
        <x:f>MAX(0,E19-F19)</x:f>
        <x:v>2.5600000000000005</x:v>
      </x:c>
      <x:c r="I19" s="42" t="n">
        <x:f>H19/G19</x:f>
        <x:v>1.6000000000000003</x:v>
      </x:c>
      <x:c r="J19" s="21" t="str">
        <x:f>IF(I19&gt;=1,"ADEQUATE","GAP")</x:f>
        <x:v>ADEQUATE</x:v>
      </x:c>
      <x:c r="K19" s="21" t="str">
        <x:v>mission-ready issued lots</x:v>
      </x:c>
      <x:c r="L19" s="21" t="str">
        <x:v>separate rotating custody domains</x:v>
      </x:c>
      <x:c r="M19" s="21" t="str">
        <x:v>OPEN</x:v>
      </x:c>
      <x:c r="N19" s="23" t="str">
        <x:v>HOLD</x:v>
      </x:c>
    </x:row>
    <x:row r="20">
      <x:c r="B20" s="21" t="str">
        <x:v>RL-014</x:v>
      </x:c>
      <x:c r="C20" s="21" t="str">
        <x:v>F07</x:v>
      </x:c>
      <x:c r="D20" s="21" t="str">
        <x:v>M06</x:v>
      </x:c>
      <x:c r="E20" s="42" t="n">
        <x:f>'Full Force'!H13*(Assumptions!$C$12+Assumptions!$C$13)*'Family Register'!G13</x:f>
        <x:v>7.5428571428571445</x:v>
      </x:c>
      <x:c r="F20" s="42" t="n">
        <x:f>Assumptions!$C$12*'Family Register'!G13</x:f>
        <x:v>10</x:v>
      </x:c>
      <x:c r="G20" s="42" t="n">
        <x:f>Assumptions!$C$13*'Family Register'!G13</x:f>
        <x:v>2</x:v>
      </x:c>
      <x:c r="H20" s="42" t="n">
        <x:f>MAX(0,E20-F20)</x:f>
        <x:v>0</x:v>
      </x:c>
      <x:c r="I20" s="42" t="n">
        <x:f>H20/G20</x:f>
        <x:v>0</x:v>
      </x:c>
      <x:c r="J20" s="21" t="str">
        <x:f>IF(I20&gt;=1,"ADEQUATE","GAP")</x:f>
        <x:v>GAP</x:v>
      </x:c>
      <x:c r="K20" s="21" t="str">
        <x:v>mission-ready issued lots</x:v>
      </x:c>
      <x:c r="L20" s="21" t="str">
        <x:v>separate rotating custody domains</x:v>
      </x:c>
      <x:c r="M20" s="21" t="str">
        <x:v>OPEN</x:v>
      </x:c>
      <x:c r="N20" s="23" t="str">
        <x:v>HOLD</x:v>
      </x:c>
    </x:row>
    <x:row r="21">
      <x:c r="B21" s="21" t="str">
        <x:v>RL-015</x:v>
      </x:c>
      <x:c r="C21" s="21" t="str">
        <x:v>F08</x:v>
      </x:c>
      <x:c r="D21" s="21" t="str">
        <x:v>M05</x:v>
      </x:c>
      <x:c r="E21" s="42" t="n">
        <x:f>'Full Force'!F14*(Assumptions!$C$10+Assumptions!$C$11)*'Family Register'!G14</x:f>
        <x:v>26.400000000000002</x:v>
      </x:c>
      <x:c r="F21" s="42" t="n">
        <x:f>Assumptions!$C$10*'Family Register'!G14</x:f>
        <x:v>20</x:v>
      </x:c>
      <x:c r="G21" s="42" t="n">
        <x:f>Assumptions!$C$11*'Family Register'!G14</x:f>
        <x:v>4</x:v>
      </x:c>
      <x:c r="H21" s="42" t="n">
        <x:f>MAX(0,E21-F21)</x:f>
        <x:v>6.400000000000002</x:v>
      </x:c>
      <x:c r="I21" s="42" t="n">
        <x:f>H21/G21</x:f>
        <x:v>1.6000000000000005</x:v>
      </x:c>
      <x:c r="J21" s="21" t="str">
        <x:f>IF(I21&gt;=1,"ADEQUATE","GAP")</x:f>
        <x:v>ADEQUATE</x:v>
      </x:c>
      <x:c r="K21" s="21" t="str">
        <x:v>mission-ready issued lots</x:v>
      </x:c>
      <x:c r="L21" s="21" t="str">
        <x:v>separate rotating custody domains</x:v>
      </x:c>
      <x:c r="M21" s="21" t="str">
        <x:v>OPEN</x:v>
      </x:c>
      <x:c r="N21" s="23" t="str">
        <x:v>HOLD</x:v>
      </x:c>
    </x:row>
    <x:row r="22">
      <x:c r="B22" s="21" t="str">
        <x:v>RL-016</x:v>
      </x:c>
      <x:c r="C22" s="21" t="str">
        <x:v>F08</x:v>
      </x:c>
      <x:c r="D22" s="21" t="str">
        <x:v>M06</x:v>
      </x:c>
      <x:c r="E22" s="42" t="n">
        <x:f>'Full Force'!H14*(Assumptions!$C$12+Assumptions!$C$13)*'Family Register'!G14</x:f>
        <x:v>20.307692307692307</x:v>
      </x:c>
      <x:c r="F22" s="42" t="n">
        <x:f>Assumptions!$C$12*'Family Register'!G14</x:f>
        <x:v>25</x:v>
      </x:c>
      <x:c r="G22" s="42" t="n">
        <x:f>Assumptions!$C$13*'Family Register'!G14</x:f>
        <x:v>5</x:v>
      </x:c>
      <x:c r="H22" s="42" t="n">
        <x:f>MAX(0,E22-F22)</x:f>
        <x:v>0</x:v>
      </x:c>
      <x:c r="I22" s="42" t="n">
        <x:f>H22/G22</x:f>
        <x:v>0</x:v>
      </x:c>
      <x:c r="J22" s="21" t="str">
        <x:f>IF(I22&gt;=1,"ADEQUATE","GAP")</x:f>
        <x:v>GAP</x:v>
      </x:c>
      <x:c r="K22" s="21" t="str">
        <x:v>mission-ready issued lots</x:v>
      </x:c>
      <x:c r="L22" s="21" t="str">
        <x:v>separate rotating custody domains</x:v>
      </x:c>
      <x:c r="M22" s="21" t="str">
        <x:v>OPEN</x:v>
      </x:c>
      <x:c r="N22" s="23" t="str">
        <x:v>HOLD</x:v>
      </x:c>
    </x:row>
    <x:row r="23">
      <x:c r="B23" s="21" t="str">
        <x:v>RL-017</x:v>
      </x:c>
      <x:c r="C23" s="21" t="str">
        <x:v>F09</x:v>
      </x:c>
      <x:c r="D23" s="21" t="str">
        <x:v>M05</x:v>
      </x:c>
      <x:c r="E23" s="42" t="n">
        <x:f>'Full Force'!F15*(Assumptions!$C$10+Assumptions!$C$11)*'Family Register'!G15</x:f>
        <x:v>15.84</x:v>
      </x:c>
      <x:c r="F23" s="42" t="n">
        <x:f>Assumptions!$C$10*'Family Register'!G15</x:f>
        <x:v>12</x:v>
      </x:c>
      <x:c r="G23" s="42" t="n">
        <x:f>Assumptions!$C$11*'Family Register'!G15</x:f>
        <x:v>2.4000000000000004</x:v>
      </x:c>
      <x:c r="H23" s="42" t="n">
        <x:f>MAX(0,E23-F23)</x:f>
        <x:v>3.84</x:v>
      </x:c>
      <x:c r="I23" s="42" t="n">
        <x:f>H23/G23</x:f>
        <x:v>1.5999999999999996</x:v>
      </x:c>
      <x:c r="J23" s="21" t="str">
        <x:f>IF(I23&gt;=1,"ADEQUATE","GAP")</x:f>
        <x:v>ADEQUATE</x:v>
      </x:c>
      <x:c r="K23" s="21" t="str">
        <x:v>mission-ready issued lots</x:v>
      </x:c>
      <x:c r="L23" s="21" t="str">
        <x:v>separate rotating custody domains</x:v>
      </x:c>
      <x:c r="M23" s="21" t="str">
        <x:v>OPEN</x:v>
      </x:c>
      <x:c r="N23" s="23" t="str">
        <x:v>HOLD</x:v>
      </x:c>
    </x:row>
    <x:row r="24">
      <x:c r="B24" s="21" t="str">
        <x:v>RL-018</x:v>
      </x:c>
      <x:c r="C24" s="21" t="str">
        <x:v>F09</x:v>
      </x:c>
      <x:c r="D24" s="21" t="str">
        <x:v>M06</x:v>
      </x:c>
      <x:c r="E24" s="42" t="n">
        <x:f>'Full Force'!H15*(Assumptions!$C$12+Assumptions!$C$13)*'Family Register'!G15</x:f>
        <x:v>11.404800000000002</x:v>
      </x:c>
      <x:c r="F24" s="42" t="n">
        <x:f>Assumptions!$C$12*'Family Register'!G15</x:f>
        <x:v>15</x:v>
      </x:c>
      <x:c r="G24" s="42" t="n">
        <x:f>Assumptions!$C$13*'Family Register'!G15</x:f>
        <x:v>3</x:v>
      </x:c>
      <x:c r="H24" s="42" t="n">
        <x:f>MAX(0,E24-F24)</x:f>
        <x:v>0</x:v>
      </x:c>
      <x:c r="I24" s="42" t="n">
        <x:f>H24/G24</x:f>
        <x:v>0</x:v>
      </x:c>
      <x:c r="J24" s="21" t="str">
        <x:f>IF(I24&gt;=1,"ADEQUATE","GAP")</x:f>
        <x:v>GAP</x:v>
      </x:c>
      <x:c r="K24" s="21" t="str">
        <x:v>mission-ready issued lots</x:v>
      </x:c>
      <x:c r="L24" s="21" t="str">
        <x:v>separate rotating custody domains</x:v>
      </x:c>
      <x:c r="M24" s="21" t="str">
        <x:v>OPEN</x:v>
      </x:c>
      <x:c r="N24" s="23" t="str">
        <x:v>HOLD</x:v>
      </x:c>
    </x:row>
    <x:row r="25">
      <x:c r="B25" s="21" t="str">
        <x:v>RL-019</x:v>
      </x:c>
      <x:c r="C25" s="21" t="str">
        <x:v>F10</x:v>
      </x:c>
      <x:c r="D25" s="21" t="str">
        <x:v>M05</x:v>
      </x:c>
      <x:c r="E25" s="42" t="n">
        <x:f>'Full Force'!F16*(Assumptions!$C$10+Assumptions!$C$11)*'Family Register'!G16</x:f>
        <x:v>7.92</x:v>
      </x:c>
      <x:c r="F25" s="42" t="n">
        <x:f>Assumptions!$C$10*'Family Register'!G16</x:f>
        <x:v>6</x:v>
      </x:c>
      <x:c r="G25" s="42" t="n">
        <x:f>Assumptions!$C$11*'Family Register'!G16</x:f>
        <x:v>1.2000000000000002</x:v>
      </x:c>
      <x:c r="H25" s="42" t="n">
        <x:f>MAX(0,E25-F25)</x:f>
        <x:v>1.92</x:v>
      </x:c>
      <x:c r="I25" s="42" t="n">
        <x:f>H25/G25</x:f>
        <x:v>1.5999999999999996</x:v>
      </x:c>
      <x:c r="J25" s="21" t="str">
        <x:f>IF(I25&gt;=1,"ADEQUATE","GAP")</x:f>
        <x:v>ADEQUATE</x:v>
      </x:c>
      <x:c r="K25" s="21" t="str">
        <x:v>mission-ready issued lots</x:v>
      </x:c>
      <x:c r="L25" s="21" t="str">
        <x:v>separate rotating custody domains</x:v>
      </x:c>
      <x:c r="M25" s="21" t="str">
        <x:v>OPEN</x:v>
      </x:c>
      <x:c r="N25" s="23" t="str">
        <x:v>HOLD</x:v>
      </x:c>
    </x:row>
    <x:row r="26">
      <x:c r="B26" s="21" t="str">
        <x:v>RL-020</x:v>
      </x:c>
      <x:c r="C26" s="21" t="str">
        <x:v>F10</x:v>
      </x:c>
      <x:c r="D26" s="21" t="str">
        <x:v>M06</x:v>
      </x:c>
      <x:c r="E26" s="42" t="n">
        <x:f>'Full Force'!H16*(Assumptions!$C$12+Assumptions!$C$13)*'Family Register'!G16</x:f>
        <x:v>5.702400000000001</x:v>
      </x:c>
      <x:c r="F26" s="42" t="n">
        <x:f>Assumptions!$C$12*'Family Register'!G16</x:f>
        <x:v>7.5</x:v>
      </x:c>
      <x:c r="G26" s="42" t="n">
        <x:f>Assumptions!$C$13*'Family Register'!G16</x:f>
        <x:v>1.5</x:v>
      </x:c>
      <x:c r="H26" s="42" t="n">
        <x:f>MAX(0,E26-F26)</x:f>
        <x:v>0</x:v>
      </x:c>
      <x:c r="I26" s="42" t="n">
        <x:f>H26/G26</x:f>
        <x:v>0</x:v>
      </x:c>
      <x:c r="J26" s="21" t="str">
        <x:f>IF(I26&gt;=1,"ADEQUATE","GAP")</x:f>
        <x:v>GAP</x:v>
      </x:c>
      <x:c r="K26" s="21" t="str">
        <x:v>mission-ready issued lots</x:v>
      </x:c>
      <x:c r="L26" s="21" t="str">
        <x:v>separate rotating custody domains</x:v>
      </x:c>
      <x:c r="M26" s="21" t="str">
        <x:v>OPEN</x:v>
      </x:c>
      <x:c r="N26" s="23" t="str">
        <x:v>HOLD</x:v>
      </x:c>
    </x:row>
    <x:row r="27">
      <x:c r="B27" s="21" t="str">
        <x:v>RL-021</x:v>
      </x:c>
      <x:c r="C27" s="21" t="str">
        <x:v>F11</x:v>
      </x:c>
      <x:c r="D27" s="21" t="str">
        <x:v>M05</x:v>
      </x:c>
      <x:c r="E27" s="42" t="n">
        <x:f>'Full Force'!F17*(Assumptions!$C$10+Assumptions!$C$11)*'Family Register'!G17</x:f>
        <x:v>7.92</x:v>
      </x:c>
      <x:c r="F27" s="42" t="n">
        <x:f>Assumptions!$C$10*'Family Register'!G17</x:f>
        <x:v>6</x:v>
      </x:c>
      <x:c r="G27" s="42" t="n">
        <x:f>Assumptions!$C$11*'Family Register'!G17</x:f>
        <x:v>1.2000000000000002</x:v>
      </x:c>
      <x:c r="H27" s="42" t="n">
        <x:f>MAX(0,E27-F27)</x:f>
        <x:v>1.92</x:v>
      </x:c>
      <x:c r="I27" s="42" t="n">
        <x:f>H27/G27</x:f>
        <x:v>1.5999999999999996</x:v>
      </x:c>
      <x:c r="J27" s="21" t="str">
        <x:f>IF(I27&gt;=1,"ADEQUATE","GAP")</x:f>
        <x:v>ADEQUATE</x:v>
      </x:c>
      <x:c r="K27" s="21" t="str">
        <x:v>mission-ready issued lots</x:v>
      </x:c>
      <x:c r="L27" s="21" t="str">
        <x:v>separate rotating custody domains</x:v>
      </x:c>
      <x:c r="M27" s="21" t="str">
        <x:v>OPEN</x:v>
      </x:c>
      <x:c r="N27" s="23" t="str">
        <x:v>HOLD</x:v>
      </x:c>
    </x:row>
    <x:row r="28">
      <x:c r="B28" s="21" t="str">
        <x:v>RL-022</x:v>
      </x:c>
      <x:c r="C28" s="21" t="str">
        <x:v>F11</x:v>
      </x:c>
      <x:c r="D28" s="21" t="str">
        <x:v>M06</x:v>
      </x:c>
      <x:c r="E28" s="42" t="n">
        <x:f>'Full Force'!H17*(Assumptions!$C$12+Assumptions!$C$13)*'Family Register'!G17</x:f>
        <x:v>5.702400000000001</x:v>
      </x:c>
      <x:c r="F28" s="42" t="n">
        <x:f>Assumptions!$C$12*'Family Register'!G17</x:f>
        <x:v>7.5</x:v>
      </x:c>
      <x:c r="G28" s="42" t="n">
        <x:f>Assumptions!$C$13*'Family Register'!G17</x:f>
        <x:v>1.5</x:v>
      </x:c>
      <x:c r="H28" s="42" t="n">
        <x:f>MAX(0,E28-F28)</x:f>
        <x:v>0</x:v>
      </x:c>
      <x:c r="I28" s="42" t="n">
        <x:f>H28/G28</x:f>
        <x:v>0</x:v>
      </x:c>
      <x:c r="J28" s="21" t="str">
        <x:f>IF(I28&gt;=1,"ADEQUATE","GAP")</x:f>
        <x:v>GAP</x:v>
      </x:c>
      <x:c r="K28" s="21" t="str">
        <x:v>mission-ready issued lots</x:v>
      </x:c>
      <x:c r="L28" s="21" t="str">
        <x:v>separate rotating custody domains</x:v>
      </x:c>
      <x:c r="M28" s="21" t="str">
        <x:v>OPEN</x:v>
      </x:c>
      <x:c r="N28" s="23" t="str">
        <x:v>HOLD</x:v>
      </x:c>
    </x:row>
    <x:row r="29">
      <x:c r="B29" s="21" t="str">
        <x:v>RL-023</x:v>
      </x:c>
      <x:c r="C29" s="21" t="str">
        <x:v>F12</x:v>
      </x:c>
      <x:c r="D29" s="21" t="str">
        <x:v>M05</x:v>
      </x:c>
      <x:c r="E29" s="42" t="n">
        <x:f>'Full Force'!F18*(Assumptions!$C$10+Assumptions!$C$11)*'Family Register'!G18</x:f>
        <x:v>7.92</x:v>
      </x:c>
      <x:c r="F29" s="42" t="n">
        <x:f>Assumptions!$C$10*'Family Register'!G18</x:f>
        <x:v>6</x:v>
      </x:c>
      <x:c r="G29" s="42" t="n">
        <x:f>Assumptions!$C$11*'Family Register'!G18</x:f>
        <x:v>1.2000000000000002</x:v>
      </x:c>
      <x:c r="H29" s="42" t="n">
        <x:f>MAX(0,E29-F29)</x:f>
        <x:v>1.92</x:v>
      </x:c>
      <x:c r="I29" s="42" t="n">
        <x:f>H29/G29</x:f>
        <x:v>1.5999999999999996</x:v>
      </x:c>
      <x:c r="J29" s="21" t="str">
        <x:f>IF(I29&gt;=1,"ADEQUATE","GAP")</x:f>
        <x:v>ADEQUATE</x:v>
      </x:c>
      <x:c r="K29" s="21" t="str">
        <x:v>mission-ready issued lots</x:v>
      </x:c>
      <x:c r="L29" s="21" t="str">
        <x:v>separate rotating custody domains</x:v>
      </x:c>
      <x:c r="M29" s="21" t="str">
        <x:v>OPEN</x:v>
      </x:c>
      <x:c r="N29" s="23" t="str">
        <x:v>HOLD</x:v>
      </x:c>
    </x:row>
    <x:row r="30">
      <x:c r="B30" s="21" t="str">
        <x:v>RL-024</x:v>
      </x:c>
      <x:c r="C30" s="21" t="str">
        <x:v>F12</x:v>
      </x:c>
      <x:c r="D30" s="21" t="str">
        <x:v>M06</x:v>
      </x:c>
      <x:c r="E30" s="42" t="n">
        <x:f>'Full Force'!H18*(Assumptions!$C$12+Assumptions!$C$13)*'Family Register'!G18</x:f>
        <x:v>5.702400000000001</x:v>
      </x:c>
      <x:c r="F30" s="42" t="n">
        <x:f>Assumptions!$C$12*'Family Register'!G18</x:f>
        <x:v>7.5</x:v>
      </x:c>
      <x:c r="G30" s="42" t="n">
        <x:f>Assumptions!$C$13*'Family Register'!G18</x:f>
        <x:v>1.5</x:v>
      </x:c>
      <x:c r="H30" s="42" t="n">
        <x:f>MAX(0,E30-F30)</x:f>
        <x:v>0</x:v>
      </x:c>
      <x:c r="I30" s="42" t="n">
        <x:f>H30/G30</x:f>
        <x:v>0</x:v>
      </x:c>
      <x:c r="J30" s="21" t="str">
        <x:f>IF(I30&gt;=1,"ADEQUATE","GAP")</x:f>
        <x:v>GAP</x:v>
      </x:c>
      <x:c r="K30" s="21" t="str">
        <x:v>mission-ready issued lots</x:v>
      </x:c>
      <x:c r="L30" s="21" t="str">
        <x:v>separate rotating custody domains</x:v>
      </x:c>
      <x:c r="M30" s="21" t="str">
        <x:v>OPEN</x:v>
      </x:c>
      <x:c r="N30" s="23" t="str">
        <x:v>HOLD</x:v>
      </x:c>
    </x:row>
    <x:row r="31">
      <x:c r="B31" s="21" t="str">
        <x:v>RL-025</x:v>
      </x:c>
      <x:c r="C31" s="21" t="str">
        <x:v>F13</x:v>
      </x:c>
      <x:c r="D31" s="21" t="str">
        <x:v>M05</x:v>
      </x:c>
      <x:c r="E31" s="42" t="n">
        <x:f>'Full Force'!F19*(Assumptions!$C$10+Assumptions!$C$11)*'Family Register'!G19</x:f>
        <x:v>26.400000000000002</x:v>
      </x:c>
      <x:c r="F31" s="42" t="n">
        <x:f>Assumptions!$C$10*'Family Register'!G19</x:f>
        <x:v>20</x:v>
      </x:c>
      <x:c r="G31" s="42" t="n">
        <x:f>Assumptions!$C$11*'Family Register'!G19</x:f>
        <x:v>4</x:v>
      </x:c>
      <x:c r="H31" s="42" t="n">
        <x:f>MAX(0,E31-F31)</x:f>
        <x:v>6.400000000000002</x:v>
      </x:c>
      <x:c r="I31" s="42" t="n">
        <x:f>H31/G31</x:f>
        <x:v>1.6000000000000005</x:v>
      </x:c>
      <x:c r="J31" s="21" t="str">
        <x:f>IF(I31&gt;=1,"ADEQUATE","GAP")</x:f>
        <x:v>ADEQUATE</x:v>
      </x:c>
      <x:c r="K31" s="21" t="str">
        <x:v>mission-ready issued lots</x:v>
      </x:c>
      <x:c r="L31" s="21" t="str">
        <x:v>separate rotating custody domains</x:v>
      </x:c>
      <x:c r="M31" s="21" t="str">
        <x:v>OPEN</x:v>
      </x:c>
      <x:c r="N31" s="23" t="str">
        <x:v>HOLD</x:v>
      </x:c>
    </x:row>
    <x:row r="32">
      <x:c r="B32" s="21" t="str">
        <x:v>RL-026</x:v>
      </x:c>
      <x:c r="C32" s="21" t="str">
        <x:v>F13</x:v>
      </x:c>
      <x:c r="D32" s="21" t="str">
        <x:v>M06</x:v>
      </x:c>
      <x:c r="E32" s="42" t="n">
        <x:f>'Full Force'!H19*(Assumptions!$C$12+Assumptions!$C$13)*'Family Register'!G19</x:f>
        <x:v>20.307692307692307</x:v>
      </x:c>
      <x:c r="F32" s="42" t="n">
        <x:f>Assumptions!$C$12*'Family Register'!G19</x:f>
        <x:v>25</x:v>
      </x:c>
      <x:c r="G32" s="42" t="n">
        <x:f>Assumptions!$C$13*'Family Register'!G19</x:f>
        <x:v>5</x:v>
      </x:c>
      <x:c r="H32" s="42" t="n">
        <x:f>MAX(0,E32-F32)</x:f>
        <x:v>0</x:v>
      </x:c>
      <x:c r="I32" s="42" t="n">
        <x:f>H32/G32</x:f>
        <x:v>0</x:v>
      </x:c>
      <x:c r="J32" s="21" t="str">
        <x:f>IF(I32&gt;=1,"ADEQUATE","GAP")</x:f>
        <x:v>GAP</x:v>
      </x:c>
      <x:c r="K32" s="21" t="str">
        <x:v>mission-ready issued lots</x:v>
      </x:c>
      <x:c r="L32" s="21" t="str">
        <x:v>separate rotating custody domains</x:v>
      </x:c>
      <x:c r="M32" s="21" t="str">
        <x:v>OPEN</x:v>
      </x:c>
      <x:c r="N32" s="23" t="str">
        <x:v>HOLD</x:v>
      </x:c>
    </x:row>
    <x:row r="33">
      <x:c r="B33" s="21" t="str">
        <x:v>RL-027</x:v>
      </x:c>
      <x:c r="C33" s="21" t="str">
        <x:v>F14</x:v>
      </x:c>
      <x:c r="D33" s="21" t="str">
        <x:v>M05</x:v>
      </x:c>
      <x:c r="E33" s="42" t="n">
        <x:f>'Full Force'!F20*(Assumptions!$C$10+Assumptions!$C$11)*'Family Register'!G20</x:f>
        <x:v>7.92</x:v>
      </x:c>
      <x:c r="F33" s="42" t="n">
        <x:f>Assumptions!$C$10*'Family Register'!G20</x:f>
        <x:v>6</x:v>
      </x:c>
      <x:c r="G33" s="42" t="n">
        <x:f>Assumptions!$C$11*'Family Register'!G20</x:f>
        <x:v>1.2000000000000002</x:v>
      </x:c>
      <x:c r="H33" s="42" t="n">
        <x:f>MAX(0,E33-F33)</x:f>
        <x:v>1.92</x:v>
      </x:c>
      <x:c r="I33" s="42" t="n">
        <x:f>H33/G33</x:f>
        <x:v>1.5999999999999996</x:v>
      </x:c>
      <x:c r="J33" s="21" t="str">
        <x:f>IF(I33&gt;=1,"ADEQUATE","GAP")</x:f>
        <x:v>ADEQUATE</x:v>
      </x:c>
      <x:c r="K33" s="21" t="str">
        <x:v>mission-ready issued lots</x:v>
      </x:c>
      <x:c r="L33" s="21" t="str">
        <x:v>separate rotating custody domains</x:v>
      </x:c>
      <x:c r="M33" s="21" t="str">
        <x:v>OPEN</x:v>
      </x:c>
      <x:c r="N33" s="23" t="str">
        <x:v>HOLD</x:v>
      </x:c>
    </x:row>
    <x:row r="34">
      <x:c r="B34" s="21" t="str">
        <x:v>RL-028</x:v>
      </x:c>
      <x:c r="C34" s="21" t="str">
        <x:v>F14</x:v>
      </x:c>
      <x:c r="D34" s="21" t="str">
        <x:v>M06</x:v>
      </x:c>
      <x:c r="E34" s="42" t="n">
        <x:f>'Full Force'!H20*(Assumptions!$C$12+Assumptions!$C$13)*'Family Register'!G20</x:f>
        <x:v>5.702400000000001</x:v>
      </x:c>
      <x:c r="F34" s="42" t="n">
        <x:f>Assumptions!$C$12*'Family Register'!G20</x:f>
        <x:v>7.5</x:v>
      </x:c>
      <x:c r="G34" s="42" t="n">
        <x:f>Assumptions!$C$13*'Family Register'!G20</x:f>
        <x:v>1.5</x:v>
      </x:c>
      <x:c r="H34" s="42" t="n">
        <x:f>MAX(0,E34-F34)</x:f>
        <x:v>0</x:v>
      </x:c>
      <x:c r="I34" s="42" t="n">
        <x:f>H34/G34</x:f>
        <x:v>0</x:v>
      </x:c>
      <x:c r="J34" s="21" t="str">
        <x:f>IF(I34&gt;=1,"ADEQUATE","GAP")</x:f>
        <x:v>GAP</x:v>
      </x:c>
      <x:c r="K34" s="21" t="str">
        <x:v>mission-ready issued lots</x:v>
      </x:c>
      <x:c r="L34" s="21" t="str">
        <x:v>separate rotating custody domains</x:v>
      </x:c>
      <x:c r="M34" s="21" t="str">
        <x:v>OPEN</x:v>
      </x:c>
      <x:c r="N34" s="23" t="str">
        <x:v>HOLD</x:v>
      </x:c>
    </x:row>
    <x:row r="35">
      <x:c r="B35" s="21" t="str">
        <x:v>RL-029</x:v>
      </x:c>
      <x:c r="C35" s="21" t="str">
        <x:v>F15</x:v>
      </x:c>
      <x:c r="D35" s="21" t="str">
        <x:v>M05</x:v>
      </x:c>
      <x:c r="E35" s="42" t="n">
        <x:f>'Full Force'!F21*(Assumptions!$C$10+Assumptions!$C$11)*'Family Register'!G21</x:f>
        <x:v>7.92</x:v>
      </x:c>
      <x:c r="F35" s="42" t="n">
        <x:f>Assumptions!$C$10*'Family Register'!G21</x:f>
        <x:v>6</x:v>
      </x:c>
      <x:c r="G35" s="42" t="n">
        <x:f>Assumptions!$C$11*'Family Register'!G21</x:f>
        <x:v>1.2000000000000002</x:v>
      </x:c>
      <x:c r="H35" s="42" t="n">
        <x:f>MAX(0,E35-F35)</x:f>
        <x:v>1.92</x:v>
      </x:c>
      <x:c r="I35" s="42" t="n">
        <x:f>H35/G35</x:f>
        <x:v>1.5999999999999996</x:v>
      </x:c>
      <x:c r="J35" s="21" t="str">
        <x:f>IF(I35&gt;=1,"ADEQUATE","GAP")</x:f>
        <x:v>ADEQUATE</x:v>
      </x:c>
      <x:c r="K35" s="21" t="str">
        <x:v>mission-ready issued lots</x:v>
      </x:c>
      <x:c r="L35" s="21" t="str">
        <x:v>separate rotating custody domains</x:v>
      </x:c>
      <x:c r="M35" s="21" t="str">
        <x:v>OPEN</x:v>
      </x:c>
      <x:c r="N35" s="23" t="str">
        <x:v>HOLD</x:v>
      </x:c>
    </x:row>
    <x:row r="36">
      <x:c r="B36" s="21" t="str">
        <x:v>RL-030</x:v>
      </x:c>
      <x:c r="C36" s="21" t="str">
        <x:v>F15</x:v>
      </x:c>
      <x:c r="D36" s="21" t="str">
        <x:v>M06</x:v>
      </x:c>
      <x:c r="E36" s="42" t="n">
        <x:f>'Full Force'!H21*(Assumptions!$C$12+Assumptions!$C$13)*'Family Register'!G21</x:f>
        <x:v>5.702400000000001</x:v>
      </x:c>
      <x:c r="F36" s="42" t="n">
        <x:f>Assumptions!$C$12*'Family Register'!G21</x:f>
        <x:v>7.5</x:v>
      </x:c>
      <x:c r="G36" s="42" t="n">
        <x:f>Assumptions!$C$13*'Family Register'!G21</x:f>
        <x:v>1.5</x:v>
      </x:c>
      <x:c r="H36" s="42" t="n">
        <x:f>MAX(0,E36-F36)</x:f>
        <x:v>0</x:v>
      </x:c>
      <x:c r="I36" s="42" t="n">
        <x:f>H36/G36</x:f>
        <x:v>0</x:v>
      </x:c>
      <x:c r="J36" s="21" t="str">
        <x:f>IF(I36&gt;=1,"ADEQUATE","GAP")</x:f>
        <x:v>GAP</x:v>
      </x:c>
      <x:c r="K36" s="21" t="str">
        <x:v>mission-ready issued lots</x:v>
      </x:c>
      <x:c r="L36" s="21" t="str">
        <x:v>separate rotating custody domains</x:v>
      </x:c>
      <x:c r="M36" s="21" t="str">
        <x:v>OPEN</x:v>
      </x:c>
      <x:c r="N36" s="23" t="str">
        <x:v>HOLD</x:v>
      </x:c>
    </x:row>
    <x:row r="37">
      <x:c r="B37" s="21" t="str">
        <x:v>RL-031</x:v>
      </x:c>
      <x:c r="C37" s="21" t="str">
        <x:v>F16</x:v>
      </x:c>
      <x:c r="D37" s="21" t="str">
        <x:v>M05</x:v>
      </x:c>
      <x:c r="E37" s="42" t="n">
        <x:f>'Full Force'!F22*(Assumptions!$C$10+Assumptions!$C$11)*'Family Register'!G22</x:f>
        <x:v>5.28</x:v>
      </x:c>
      <x:c r="F37" s="42" t="n">
        <x:f>Assumptions!$C$10*'Family Register'!G22</x:f>
        <x:v>4</x:v>
      </x:c>
      <x:c r="G37" s="42" t="n">
        <x:f>Assumptions!$C$11*'Family Register'!G22</x:f>
        <x:v>0.8</x:v>
      </x:c>
      <x:c r="H37" s="42" t="n">
        <x:f>MAX(0,E37-F37)</x:f>
        <x:v>1.2800000000000002</x:v>
      </x:c>
      <x:c r="I37" s="42" t="n">
        <x:f>H37/G37</x:f>
        <x:v>1.6000000000000003</x:v>
      </x:c>
      <x:c r="J37" s="21" t="str">
        <x:f>IF(I37&gt;=1,"ADEQUATE","GAP")</x:f>
        <x:v>ADEQUATE</x:v>
      </x:c>
      <x:c r="K37" s="21" t="str">
        <x:v>mission-ready issued lots</x:v>
      </x:c>
      <x:c r="L37" s="21" t="str">
        <x:v>separate rotating custody domains</x:v>
      </x:c>
      <x:c r="M37" s="21" t="str">
        <x:v>OPEN</x:v>
      </x:c>
      <x:c r="N37" s="23" t="str">
        <x:v>HOLD</x:v>
      </x:c>
    </x:row>
    <x:row r="38">
      <x:c r="B38" s="21" t="str">
        <x:v>RL-032</x:v>
      </x:c>
      <x:c r="C38" s="21" t="str">
        <x:v>F16</x:v>
      </x:c>
      <x:c r="D38" s="21" t="str">
        <x:v>M06</x:v>
      </x:c>
      <x:c r="E38" s="42" t="n">
        <x:f>'Full Force'!H22*(Assumptions!$C$12+Assumptions!$C$13)*'Family Register'!G22</x:f>
        <x:v>3.8016000000000005</x:v>
      </x:c>
      <x:c r="F38" s="42" t="n">
        <x:f>Assumptions!$C$12*'Family Register'!G22</x:f>
        <x:v>5</x:v>
      </x:c>
      <x:c r="G38" s="42" t="n">
        <x:f>Assumptions!$C$13*'Family Register'!G22</x:f>
        <x:v>1</x:v>
      </x:c>
      <x:c r="H38" s="42" t="n">
        <x:f>MAX(0,E38-F38)</x:f>
        <x:v>0</x:v>
      </x:c>
      <x:c r="I38" s="42" t="n">
        <x:f>H38/G38</x:f>
        <x:v>0</x:v>
      </x:c>
      <x:c r="J38" s="21" t="str">
        <x:f>IF(I38&gt;=1,"ADEQUATE","GAP")</x:f>
        <x:v>GAP</x:v>
      </x:c>
      <x:c r="K38" s="21" t="str">
        <x:v>mission-ready issued lots</x:v>
      </x:c>
      <x:c r="L38" s="21" t="str">
        <x:v>separate rotating custody domains</x:v>
      </x:c>
      <x:c r="M38" s="21" t="str">
        <x:v>OPEN</x:v>
      </x:c>
      <x:c r="N38" s="23" t="str">
        <x:v>HOLD</x:v>
      </x:c>
    </x:row>
    <x:row r="39">
      <x:c r="B39" s="21" t="str">
        <x:v>RL-033</x:v>
      </x:c>
      <x:c r="C39" s="21" t="str">
        <x:v>F17</x:v>
      </x:c>
      <x:c r="D39" s="21" t="str">
        <x:v>M05</x:v>
      </x:c>
      <x:c r="E39" s="42" t="n">
        <x:f>'Full Force'!F23*(Assumptions!$C$10+Assumptions!$C$11)*'Family Register'!G23</x:f>
        <x:v>5.28</x:v>
      </x:c>
      <x:c r="F39" s="42" t="n">
        <x:f>Assumptions!$C$10*'Family Register'!G23</x:f>
        <x:v>4</x:v>
      </x:c>
      <x:c r="G39" s="42" t="n">
        <x:f>Assumptions!$C$11*'Family Register'!G23</x:f>
        <x:v>0.8</x:v>
      </x:c>
      <x:c r="H39" s="42" t="n">
        <x:f>MAX(0,E39-F39)</x:f>
        <x:v>1.2800000000000002</x:v>
      </x:c>
      <x:c r="I39" s="42" t="n">
        <x:f>H39/G39</x:f>
        <x:v>1.6000000000000003</x:v>
      </x:c>
      <x:c r="J39" s="21" t="str">
        <x:f>IF(I39&gt;=1,"ADEQUATE","GAP")</x:f>
        <x:v>ADEQUATE</x:v>
      </x:c>
      <x:c r="K39" s="21" t="str">
        <x:v>mission-ready issued lots</x:v>
      </x:c>
      <x:c r="L39" s="21" t="str">
        <x:v>separate rotating custody domains</x:v>
      </x:c>
      <x:c r="M39" s="21" t="str">
        <x:v>OPEN</x:v>
      </x:c>
      <x:c r="N39" s="23" t="str">
        <x:v>HOLD</x:v>
      </x:c>
    </x:row>
    <x:row r="40">
      <x:c r="B40" s="21" t="str">
        <x:v>RL-034</x:v>
      </x:c>
      <x:c r="C40" s="21" t="str">
        <x:v>F17</x:v>
      </x:c>
      <x:c r="D40" s="21" t="str">
        <x:v>M06</x:v>
      </x:c>
      <x:c r="E40" s="42" t="n">
        <x:f>'Full Force'!H23*(Assumptions!$C$12+Assumptions!$C$13)*'Family Register'!G23</x:f>
        <x:v>4.061538461538461</x:v>
      </x:c>
      <x:c r="F40" s="42" t="n">
        <x:f>Assumptions!$C$12*'Family Register'!G23</x:f>
        <x:v>5</x:v>
      </x:c>
      <x:c r="G40" s="42" t="n">
        <x:f>Assumptions!$C$13*'Family Register'!G23</x:f>
        <x:v>1</x:v>
      </x:c>
      <x:c r="H40" s="42" t="n">
        <x:f>MAX(0,E40-F40)</x:f>
        <x:v>0</x:v>
      </x:c>
      <x:c r="I40" s="42" t="n">
        <x:f>H40/G40</x:f>
        <x:v>0</x:v>
      </x:c>
      <x:c r="J40" s="21" t="str">
        <x:f>IF(I40&gt;=1,"ADEQUATE","GAP")</x:f>
        <x:v>GAP</x:v>
      </x:c>
      <x:c r="K40" s="21" t="str">
        <x:v>mission-ready issued lots</x:v>
      </x:c>
      <x:c r="L40" s="21" t="str">
        <x:v>separate rotating custody domains</x:v>
      </x:c>
      <x:c r="M40" s="21" t="str">
        <x:v>OPEN</x:v>
      </x:c>
      <x:c r="N40" s="23" t="str">
        <x:v>HOLD</x:v>
      </x:c>
    </x:row>
    <x:row r="41">
      <x:c r="B41" s="21" t="str">
        <x:v>RL-035</x:v>
      </x:c>
      <x:c r="C41" s="21" t="str">
        <x:v>F18</x:v>
      </x:c>
      <x:c r="D41" s="21" t="str">
        <x:v>M05</x:v>
      </x:c>
      <x:c r="E41" s="42" t="n">
        <x:f>'Full Force'!F24*(Assumptions!$C$10+Assumptions!$C$11)*'Family Register'!G24</x:f>
        <x:v>5.28</x:v>
      </x:c>
      <x:c r="F41" s="42" t="n">
        <x:f>Assumptions!$C$10*'Family Register'!G24</x:f>
        <x:v>4</x:v>
      </x:c>
      <x:c r="G41" s="42" t="n">
        <x:f>Assumptions!$C$11*'Family Register'!G24</x:f>
        <x:v>0.8</x:v>
      </x:c>
      <x:c r="H41" s="42" t="n">
        <x:f>MAX(0,E41-F41)</x:f>
        <x:v>1.2800000000000002</x:v>
      </x:c>
      <x:c r="I41" s="42" t="n">
        <x:f>H41/G41</x:f>
        <x:v>1.6000000000000003</x:v>
      </x:c>
      <x:c r="J41" s="21" t="str">
        <x:f>IF(I41&gt;=1,"ADEQUATE","GAP")</x:f>
        <x:v>ADEQUATE</x:v>
      </x:c>
      <x:c r="K41" s="21" t="str">
        <x:v>mission-ready issued lots</x:v>
      </x:c>
      <x:c r="L41" s="21" t="str">
        <x:v>separate rotating custody domains</x:v>
      </x:c>
      <x:c r="M41" s="21" t="str">
        <x:v>OPEN</x:v>
      </x:c>
      <x:c r="N41" s="23" t="str">
        <x:v>HOLD</x:v>
      </x:c>
    </x:row>
    <x:row r="42">
      <x:c r="B42" s="21" t="str">
        <x:v>RL-036</x:v>
      </x:c>
      <x:c r="C42" s="21" t="str">
        <x:v>F18</x:v>
      </x:c>
      <x:c r="D42" s="21" t="str">
        <x:v>M06</x:v>
      </x:c>
      <x:c r="E42" s="42" t="n">
        <x:f>'Full Force'!H24*(Assumptions!$C$12+Assumptions!$C$13)*'Family Register'!G24</x:f>
        <x:v>4.021714285714287</x:v>
      </x:c>
      <x:c r="F42" s="42" t="n">
        <x:f>Assumptions!$C$12*'Family Register'!G24</x:f>
        <x:v>5</x:v>
      </x:c>
      <x:c r="G42" s="42" t="n">
        <x:f>Assumptions!$C$13*'Family Register'!G24</x:f>
        <x:v>1</x:v>
      </x:c>
      <x:c r="H42" s="42" t="n">
        <x:f>MAX(0,E42-F42)</x:f>
        <x:v>0</x:v>
      </x:c>
      <x:c r="I42" s="42" t="n">
        <x:f>H42/G42</x:f>
        <x:v>0</x:v>
      </x:c>
      <x:c r="J42" s="21" t="str">
        <x:f>IF(I42&gt;=1,"ADEQUATE","GAP")</x:f>
        <x:v>GAP</x:v>
      </x:c>
      <x:c r="K42" s="21" t="str">
        <x:v>mission-ready issued lots</x:v>
      </x:c>
      <x:c r="L42" s="21" t="str">
        <x:v>separate rotating custody domains</x:v>
      </x:c>
      <x:c r="M42" s="21" t="str">
        <x:v>OPEN</x:v>
      </x:c>
      <x:c r="N42" s="23" t="str">
        <x:v>HOLD</x:v>
      </x:c>
    </x:row>
    <x:row r="43">
      <x:c r="B43" s="21" t="str">
        <x:v>RL-037</x:v>
      </x:c>
      <x:c r="C43" s="21" t="str">
        <x:v>F19</x:v>
      </x:c>
      <x:c r="D43" s="21" t="str">
        <x:v>M05</x:v>
      </x:c>
      <x:c r="E43" s="42" t="n">
        <x:f>'Full Force'!F25*(Assumptions!$C$10+Assumptions!$C$11)*'Family Register'!G25</x:f>
        <x:v>5.28</x:v>
      </x:c>
      <x:c r="F43" s="42" t="n">
        <x:f>Assumptions!$C$10*'Family Register'!G25</x:f>
        <x:v>4</x:v>
      </x:c>
      <x:c r="G43" s="42" t="n">
        <x:f>Assumptions!$C$11*'Family Register'!G25</x:f>
        <x:v>0.8</x:v>
      </x:c>
      <x:c r="H43" s="42" t="n">
        <x:f>MAX(0,E43-F43)</x:f>
        <x:v>1.2800000000000002</x:v>
      </x:c>
      <x:c r="I43" s="42" t="n">
        <x:f>H43/G43</x:f>
        <x:v>1.6000000000000003</x:v>
      </x:c>
      <x:c r="J43" s="21" t="str">
        <x:f>IF(I43&gt;=1,"ADEQUATE","GAP")</x:f>
        <x:v>ADEQUATE</x:v>
      </x:c>
      <x:c r="K43" s="21" t="str">
        <x:v>mission-ready issued lots</x:v>
      </x:c>
      <x:c r="L43" s="21" t="str">
        <x:v>separate rotating custody domains</x:v>
      </x:c>
      <x:c r="M43" s="21" t="str">
        <x:v>OPEN</x:v>
      </x:c>
      <x:c r="N43" s="23" t="str">
        <x:v>HOLD</x:v>
      </x:c>
    </x:row>
    <x:row r="44">
      <x:c r="B44" s="21" t="str">
        <x:v>RL-038</x:v>
      </x:c>
      <x:c r="C44" s="21" t="str">
        <x:v>F19</x:v>
      </x:c>
      <x:c r="D44" s="21" t="str">
        <x:v>M06</x:v>
      </x:c>
      <x:c r="E44" s="42" t="n">
        <x:f>'Full Force'!H25*(Assumptions!$C$12+Assumptions!$C$13)*'Family Register'!G25</x:f>
        <x:v>3.8016000000000005</x:v>
      </x:c>
      <x:c r="F44" s="42" t="n">
        <x:f>Assumptions!$C$12*'Family Register'!G25</x:f>
        <x:v>5</x:v>
      </x:c>
      <x:c r="G44" s="42" t="n">
        <x:f>Assumptions!$C$13*'Family Register'!G25</x:f>
        <x:v>1</x:v>
      </x:c>
      <x:c r="H44" s="42" t="n">
        <x:f>MAX(0,E44-F44)</x:f>
        <x:v>0</x:v>
      </x:c>
      <x:c r="I44" s="42" t="n">
        <x:f>H44/G44</x:f>
        <x:v>0</x:v>
      </x:c>
      <x:c r="J44" s="21" t="str">
        <x:f>IF(I44&gt;=1,"ADEQUATE","GAP")</x:f>
        <x:v>GAP</x:v>
      </x:c>
      <x:c r="K44" s="21" t="str">
        <x:v>mission-ready issued lots</x:v>
      </x:c>
      <x:c r="L44" s="21" t="str">
        <x:v>separate rotating custody domains</x:v>
      </x:c>
      <x:c r="M44" s="21" t="str">
        <x:v>OPEN</x:v>
      </x:c>
      <x:c r="N44" s="23" t="str">
        <x:v>HOLD</x:v>
      </x:c>
    </x:row>
    <x:row r="45">
      <x:c r="B45" s="21" t="str">
        <x:v>RL-039</x:v>
      </x:c>
      <x:c r="C45" s="21" t="str">
        <x:v>F20</x:v>
      </x:c>
      <x:c r="D45" s="21" t="str">
        <x:v>M05</x:v>
      </x:c>
      <x:c r="E45" s="42" t="n">
        <x:f>'Full Force'!F26*(Assumptions!$C$10+Assumptions!$C$11)*'Family Register'!G26</x:f>
        <x:v>10.56</x:v>
      </x:c>
      <x:c r="F45" s="42" t="n">
        <x:f>Assumptions!$C$10*'Family Register'!G26</x:f>
        <x:v>8</x:v>
      </x:c>
      <x:c r="G45" s="42" t="n">
        <x:f>Assumptions!$C$11*'Family Register'!G26</x:f>
        <x:v>1.6</x:v>
      </x:c>
      <x:c r="H45" s="42" t="n">
        <x:f>MAX(0,E45-F45)</x:f>
        <x:v>2.5600000000000005</x:v>
      </x:c>
      <x:c r="I45" s="42" t="n">
        <x:f>H45/G45</x:f>
        <x:v>1.6000000000000003</x:v>
      </x:c>
      <x:c r="J45" s="21" t="str">
        <x:f>IF(I45&gt;=1,"ADEQUATE","GAP")</x:f>
        <x:v>ADEQUATE</x:v>
      </x:c>
      <x:c r="K45" s="21" t="str">
        <x:v>mission-ready issued lots</x:v>
      </x:c>
      <x:c r="L45" s="21" t="str">
        <x:v>separate rotating custody domains</x:v>
      </x:c>
      <x:c r="M45" s="21" t="str">
        <x:v>OPEN</x:v>
      </x:c>
      <x:c r="N45" s="23" t="str">
        <x:v>HOLD</x:v>
      </x:c>
    </x:row>
    <x:row r="46">
      <x:c r="B46" s="21" t="str">
        <x:v>RL-040</x:v>
      </x:c>
      <x:c r="C46" s="21" t="str">
        <x:v>F20</x:v>
      </x:c>
      <x:c r="D46" s="21" t="str">
        <x:v>M06</x:v>
      </x:c>
      <x:c r="E46" s="42" t="n">
        <x:f>'Full Force'!H26*(Assumptions!$C$12+Assumptions!$C$13)*'Family Register'!G26</x:f>
        <x:v>8.123076923076923</x:v>
      </x:c>
      <x:c r="F46" s="42" t="n">
        <x:f>Assumptions!$C$12*'Family Register'!G26</x:f>
        <x:v>10</x:v>
      </x:c>
      <x:c r="G46" s="42" t="n">
        <x:f>Assumptions!$C$13*'Family Register'!G26</x:f>
        <x:v>2</x:v>
      </x:c>
      <x:c r="H46" s="42" t="n">
        <x:f>MAX(0,E46-F46)</x:f>
        <x:v>0</x:v>
      </x:c>
      <x:c r="I46" s="42" t="n">
        <x:f>H46/G46</x:f>
        <x:v>0</x:v>
      </x:c>
      <x:c r="J46" s="21" t="str">
        <x:f>IF(I46&gt;=1,"ADEQUATE","GAP")</x:f>
        <x:v>GAP</x:v>
      </x:c>
      <x:c r="K46" s="21" t="str">
        <x:v>mission-ready issued lots</x:v>
      </x:c>
      <x:c r="L46" s="21" t="str">
        <x:v>separate rotating custody domains</x:v>
      </x:c>
      <x:c r="M46" s="21" t="str">
        <x:v>OPEN</x:v>
      </x:c>
      <x:c r="N46" s="23" t="str">
        <x:v>HOLD</x:v>
      </x:c>
    </x:row>
    <x:row r="47">
      <x:c r="B47" s="21" t="str">
        <x:v>RL-041</x:v>
      </x:c>
      <x:c r="C47" s="21" t="str">
        <x:v>F21</x:v>
      </x:c>
      <x:c r="D47" s="21" t="str">
        <x:v>M05</x:v>
      </x:c>
      <x:c r="E47" s="42" t="n">
        <x:f>'Full Force'!F27*(Assumptions!$C$10+Assumptions!$C$11)*'Family Register'!G27</x:f>
        <x:v>10.56</x:v>
      </x:c>
      <x:c r="F47" s="42" t="n">
        <x:f>Assumptions!$C$10*'Family Register'!G27</x:f>
        <x:v>8</x:v>
      </x:c>
      <x:c r="G47" s="42" t="n">
        <x:f>Assumptions!$C$11*'Family Register'!G27</x:f>
        <x:v>1.6</x:v>
      </x:c>
      <x:c r="H47" s="42" t="n">
        <x:f>MAX(0,E47-F47)</x:f>
        <x:v>2.5600000000000005</x:v>
      </x:c>
      <x:c r="I47" s="42" t="n">
        <x:f>H47/G47</x:f>
        <x:v>1.6000000000000003</x:v>
      </x:c>
      <x:c r="J47" s="21" t="str">
        <x:f>IF(I47&gt;=1,"ADEQUATE","GAP")</x:f>
        <x:v>ADEQUATE</x:v>
      </x:c>
      <x:c r="K47" s="21" t="str">
        <x:v>mission-ready issued lots</x:v>
      </x:c>
      <x:c r="L47" s="21" t="str">
        <x:v>separate rotating custody domains</x:v>
      </x:c>
      <x:c r="M47" s="21" t="str">
        <x:v>OPEN</x:v>
      </x:c>
      <x:c r="N47" s="23" t="str">
        <x:v>HOLD</x:v>
      </x:c>
    </x:row>
    <x:row r="48">
      <x:c r="B48" s="21" t="str">
        <x:v>RL-042</x:v>
      </x:c>
      <x:c r="C48" s="21" t="str">
        <x:v>F21</x:v>
      </x:c>
      <x:c r="D48" s="21" t="str">
        <x:v>M06</x:v>
      </x:c>
      <x:c r="E48" s="42" t="n">
        <x:f>'Full Force'!H27*(Assumptions!$C$12+Assumptions!$C$13)*'Family Register'!G27</x:f>
        <x:v>7.5428571428571445</x:v>
      </x:c>
      <x:c r="F48" s="42" t="n">
        <x:f>Assumptions!$C$12*'Family Register'!G27</x:f>
        <x:v>10</x:v>
      </x:c>
      <x:c r="G48" s="42" t="n">
        <x:f>Assumptions!$C$13*'Family Register'!G27</x:f>
        <x:v>2</x:v>
      </x:c>
      <x:c r="H48" s="42" t="n">
        <x:f>MAX(0,E48-F48)</x:f>
        <x:v>0</x:v>
      </x:c>
      <x:c r="I48" s="42" t="n">
        <x:f>H48/G48</x:f>
        <x:v>0</x:v>
      </x:c>
      <x:c r="J48" s="21" t="str">
        <x:f>IF(I48&gt;=1,"ADEQUATE","GAP")</x:f>
        <x:v>GAP</x:v>
      </x:c>
      <x:c r="K48" s="21" t="str">
        <x:v>mission-ready issued lots</x:v>
      </x:c>
      <x:c r="L48" s="21" t="str">
        <x:v>separate rotating custody domains</x:v>
      </x:c>
      <x:c r="M48" s="21" t="str">
        <x:v>OPEN</x:v>
      </x:c>
      <x:c r="N48" s="23" t="str">
        <x:v>HOLD</x:v>
      </x:c>
    </x:row>
    <x:row r="49">
      <x:c r="B49" s="21" t="str">
        <x:v>RL-043</x:v>
      </x:c>
      <x:c r="C49" s="21" t="str">
        <x:v>F22</x:v>
      </x:c>
      <x:c r="D49" s="21" t="str">
        <x:v>M05</x:v>
      </x:c>
      <x:c r="E49" s="42" t="n">
        <x:f>'Full Force'!F28*(Assumptions!$C$10+Assumptions!$C$11)*'Family Register'!G28</x:f>
        <x:v>15.84</x:v>
      </x:c>
      <x:c r="F49" s="42" t="n">
        <x:f>Assumptions!$C$10*'Family Register'!G28</x:f>
        <x:v>12</x:v>
      </x:c>
      <x:c r="G49" s="42" t="n">
        <x:f>Assumptions!$C$11*'Family Register'!G28</x:f>
        <x:v>2.4000000000000004</x:v>
      </x:c>
      <x:c r="H49" s="42" t="n">
        <x:f>MAX(0,E49-F49)</x:f>
        <x:v>3.84</x:v>
      </x:c>
      <x:c r="I49" s="42" t="n">
        <x:f>H49/G49</x:f>
        <x:v>1.5999999999999996</x:v>
      </x:c>
      <x:c r="J49" s="21" t="str">
        <x:f>IF(I49&gt;=1,"ADEQUATE","GAP")</x:f>
        <x:v>ADEQUATE</x:v>
      </x:c>
      <x:c r="K49" s="21" t="str">
        <x:v>mission-ready issued lots</x:v>
      </x:c>
      <x:c r="L49" s="21" t="str">
        <x:v>separate rotating custody domains</x:v>
      </x:c>
      <x:c r="M49" s="21" t="str">
        <x:v>OPEN</x:v>
      </x:c>
      <x:c r="N49" s="23" t="str">
        <x:v>HOLD</x:v>
      </x:c>
    </x:row>
    <x:row r="50">
      <x:c r="B50" s="21" t="str">
        <x:v>RL-044</x:v>
      </x:c>
      <x:c r="C50" s="21" t="str">
        <x:v>F22</x:v>
      </x:c>
      <x:c r="D50" s="21" t="str">
        <x:v>M06</x:v>
      </x:c>
      <x:c r="E50" s="42" t="n">
        <x:f>'Full Force'!H28*(Assumptions!$C$12+Assumptions!$C$13)*'Family Register'!G28</x:f>
        <x:v>11.404800000000002</x:v>
      </x:c>
      <x:c r="F50" s="42" t="n">
        <x:f>Assumptions!$C$12*'Family Register'!G28</x:f>
        <x:v>15</x:v>
      </x:c>
      <x:c r="G50" s="42" t="n">
        <x:f>Assumptions!$C$13*'Family Register'!G28</x:f>
        <x:v>3</x:v>
      </x:c>
      <x:c r="H50" s="42" t="n">
        <x:f>MAX(0,E50-F50)</x:f>
        <x:v>0</x:v>
      </x:c>
      <x:c r="I50" s="42" t="n">
        <x:f>H50/G50</x:f>
        <x:v>0</x:v>
      </x:c>
      <x:c r="J50" s="21" t="str">
        <x:f>IF(I50&gt;=1,"ADEQUATE","GAP")</x:f>
        <x:v>GAP</x:v>
      </x:c>
      <x:c r="K50" s="21" t="str">
        <x:v>mission-ready issued lots</x:v>
      </x:c>
      <x:c r="L50" s="21" t="str">
        <x:v>separate rotating custody domains</x:v>
      </x:c>
      <x:c r="M50" s="21" t="str">
        <x:v>OPEN</x:v>
      </x:c>
      <x:c r="N50" s="23" t="str">
        <x:v>HOLD</x:v>
      </x:c>
    </x:row>
    <x:row r="51">
      <x:c r="B51" s="21" t="str">
        <x:v>RL-045</x:v>
      </x:c>
      <x:c r="C51" s="21" t="str">
        <x:v>F23</x:v>
      </x:c>
      <x:c r="D51" s="21" t="str">
        <x:v>M05</x:v>
      </x:c>
      <x:c r="E51" s="42" t="n">
        <x:f>'Full Force'!F29*(Assumptions!$C$10+Assumptions!$C$11)*'Family Register'!G29</x:f>
        <x:v>15.84</x:v>
      </x:c>
      <x:c r="F51" s="42" t="n">
        <x:f>Assumptions!$C$10*'Family Register'!G29</x:f>
        <x:v>12</x:v>
      </x:c>
      <x:c r="G51" s="42" t="n">
        <x:f>Assumptions!$C$11*'Family Register'!G29</x:f>
        <x:v>2.4000000000000004</x:v>
      </x:c>
      <x:c r="H51" s="42" t="n">
        <x:f>MAX(0,E51-F51)</x:f>
        <x:v>3.84</x:v>
      </x:c>
      <x:c r="I51" s="42" t="n">
        <x:f>H51/G51</x:f>
        <x:v>1.5999999999999996</x:v>
      </x:c>
      <x:c r="J51" s="21" t="str">
        <x:f>IF(I51&gt;=1,"ADEQUATE","GAP")</x:f>
        <x:v>ADEQUATE</x:v>
      </x:c>
      <x:c r="K51" s="21" t="str">
        <x:v>mission-ready issued lots</x:v>
      </x:c>
      <x:c r="L51" s="21" t="str">
        <x:v>separate rotating custody domains</x:v>
      </x:c>
      <x:c r="M51" s="21" t="str">
        <x:v>OPEN</x:v>
      </x:c>
      <x:c r="N51" s="23" t="str">
        <x:v>HOLD</x:v>
      </x:c>
    </x:row>
    <x:row r="52">
      <x:c r="B52" s="21" t="str">
        <x:v>RL-046</x:v>
      </x:c>
      <x:c r="C52" s="21" t="str">
        <x:v>F23</x:v>
      </x:c>
      <x:c r="D52" s="21" t="str">
        <x:v>M06</x:v>
      </x:c>
      <x:c r="E52" s="42" t="n">
        <x:f>'Full Force'!H29*(Assumptions!$C$12+Assumptions!$C$13)*'Family Register'!G29</x:f>
        <x:v>11.404800000000002</x:v>
      </x:c>
      <x:c r="F52" s="42" t="n">
        <x:f>Assumptions!$C$12*'Family Register'!G29</x:f>
        <x:v>15</x:v>
      </x:c>
      <x:c r="G52" s="42" t="n">
        <x:f>Assumptions!$C$13*'Family Register'!G29</x:f>
        <x:v>3</x:v>
      </x:c>
      <x:c r="H52" s="42" t="n">
        <x:f>MAX(0,E52-F52)</x:f>
        <x:v>0</x:v>
      </x:c>
      <x:c r="I52" s="42" t="n">
        <x:f>H52/G52</x:f>
        <x:v>0</x:v>
      </x:c>
      <x:c r="J52" s="21" t="str">
        <x:f>IF(I52&gt;=1,"ADEQUATE","GAP")</x:f>
        <x:v>GAP</x:v>
      </x:c>
      <x:c r="K52" s="21" t="str">
        <x:v>mission-ready issued lots</x:v>
      </x:c>
      <x:c r="L52" s="21" t="str">
        <x:v>separate rotating custody domains</x:v>
      </x:c>
      <x:c r="M52" s="21" t="str">
        <x:v>OPEN</x:v>
      </x:c>
      <x:c r="N52" s="23" t="str">
        <x:v>HOLD</x:v>
      </x:c>
    </x:row>
    <x:row r="53">
      <x:c r="B53" s="21" t="str">
        <x:v>RL-047</x:v>
      </x:c>
      <x:c r="C53" s="21" t="str">
        <x:v>F24</x:v>
      </x:c>
      <x:c r="D53" s="21" t="str">
        <x:v>M05</x:v>
      </x:c>
      <x:c r="E53" s="42" t="n">
        <x:f>'Full Force'!F30*(Assumptions!$C$10+Assumptions!$C$11)*'Family Register'!G30</x:f>
        <x:v>15.84</x:v>
      </x:c>
      <x:c r="F53" s="42" t="n">
        <x:f>Assumptions!$C$10*'Family Register'!G30</x:f>
        <x:v>12</x:v>
      </x:c>
      <x:c r="G53" s="42" t="n">
        <x:f>Assumptions!$C$11*'Family Register'!G30</x:f>
        <x:v>2.4000000000000004</x:v>
      </x:c>
      <x:c r="H53" s="42" t="n">
        <x:f>MAX(0,E53-F53)</x:f>
        <x:v>3.84</x:v>
      </x:c>
      <x:c r="I53" s="42" t="n">
        <x:f>H53/G53</x:f>
        <x:v>1.5999999999999996</x:v>
      </x:c>
      <x:c r="J53" s="21" t="str">
        <x:f>IF(I53&gt;=1,"ADEQUATE","GAP")</x:f>
        <x:v>ADEQUATE</x:v>
      </x:c>
      <x:c r="K53" s="21" t="str">
        <x:v>mission-ready issued lots</x:v>
      </x:c>
      <x:c r="L53" s="21" t="str">
        <x:v>separate rotating custody domains</x:v>
      </x:c>
      <x:c r="M53" s="21" t="str">
        <x:v>OPEN</x:v>
      </x:c>
      <x:c r="N53" s="23" t="str">
        <x:v>HOLD</x:v>
      </x:c>
    </x:row>
    <x:row r="54">
      <x:c r="B54" s="21" t="str">
        <x:v>RL-048</x:v>
      </x:c>
      <x:c r="C54" s="21" t="str">
        <x:v>F24</x:v>
      </x:c>
      <x:c r="D54" s="21" t="str">
        <x:v>M06</x:v>
      </x:c>
      <x:c r="E54" s="42" t="n">
        <x:f>'Full Force'!H30*(Assumptions!$C$12+Assumptions!$C$13)*'Family Register'!G30</x:f>
        <x:v>11.404800000000002</x:v>
      </x:c>
      <x:c r="F54" s="42" t="n">
        <x:f>Assumptions!$C$12*'Family Register'!G30</x:f>
        <x:v>15</x:v>
      </x:c>
      <x:c r="G54" s="42" t="n">
        <x:f>Assumptions!$C$13*'Family Register'!G30</x:f>
        <x:v>3</x:v>
      </x:c>
      <x:c r="H54" s="42" t="n">
        <x:f>MAX(0,E54-F54)</x:f>
        <x:v>0</x:v>
      </x:c>
      <x:c r="I54" s="42" t="n">
        <x:f>H54/G54</x:f>
        <x:v>0</x:v>
      </x:c>
      <x:c r="J54" s="21" t="str">
        <x:f>IF(I54&gt;=1,"ADEQUATE","GAP")</x:f>
        <x:v>GAP</x:v>
      </x:c>
      <x:c r="K54" s="21" t="str">
        <x:v>mission-ready issued lots</x:v>
      </x:c>
      <x:c r="L54" s="21" t="str">
        <x:v>separate rotating custody domains</x:v>
      </x:c>
      <x:c r="M54" s="21" t="str">
        <x:v>OPEN</x:v>
      </x:c>
      <x:c r="N54" s="23" t="str">
        <x:v>HOLD</x:v>
      </x:c>
    </x:row>
    <x:row r="55">
      <x:c r="B55" s="21" t="str">
        <x:v>RL-049</x:v>
      </x:c>
      <x:c r="C55" s="21" t="str">
        <x:v>F25</x:v>
      </x:c>
      <x:c r="D55" s="21" t="str">
        <x:v>M05</x:v>
      </x:c>
      <x:c r="E55" s="42" t="n">
        <x:f>'Full Force'!F31*(Assumptions!$C$10+Assumptions!$C$11)*'Family Register'!G31</x:f>
        <x:v>15.84</x:v>
      </x:c>
      <x:c r="F55" s="42" t="n">
        <x:f>Assumptions!$C$10*'Family Register'!G31</x:f>
        <x:v>12</x:v>
      </x:c>
      <x:c r="G55" s="42" t="n">
        <x:f>Assumptions!$C$11*'Family Register'!G31</x:f>
        <x:v>2.4000000000000004</x:v>
      </x:c>
      <x:c r="H55" s="42" t="n">
        <x:f>MAX(0,E55-F55)</x:f>
        <x:v>3.84</x:v>
      </x:c>
      <x:c r="I55" s="42" t="n">
        <x:f>H55/G55</x:f>
        <x:v>1.5999999999999996</x:v>
      </x:c>
      <x:c r="J55" s="21" t="str">
        <x:f>IF(I55&gt;=1,"ADEQUATE","GAP")</x:f>
        <x:v>ADEQUATE</x:v>
      </x:c>
      <x:c r="K55" s="21" t="str">
        <x:v>mission-ready issued lots</x:v>
      </x:c>
      <x:c r="L55" s="21" t="str">
        <x:v>separate rotating custody domains</x:v>
      </x:c>
      <x:c r="M55" s="21" t="str">
        <x:v>OPEN</x:v>
      </x:c>
      <x:c r="N55" s="23" t="str">
        <x:v>HOLD</x:v>
      </x:c>
    </x:row>
    <x:row r="56">
      <x:c r="B56" s="21" t="str">
        <x:v>RL-050</x:v>
      </x:c>
      <x:c r="C56" s="21" t="str">
        <x:v>F25</x:v>
      </x:c>
      <x:c r="D56" s="21" t="str">
        <x:v>M06</x:v>
      </x:c>
      <x:c r="E56" s="42" t="n">
        <x:f>'Full Force'!H31*(Assumptions!$C$12+Assumptions!$C$13)*'Family Register'!G31</x:f>
        <x:v>11.404800000000002</x:v>
      </x:c>
      <x:c r="F56" s="42" t="n">
        <x:f>Assumptions!$C$12*'Family Register'!G31</x:f>
        <x:v>15</x:v>
      </x:c>
      <x:c r="G56" s="42" t="n">
        <x:f>Assumptions!$C$13*'Family Register'!G31</x:f>
        <x:v>3</x:v>
      </x:c>
      <x:c r="H56" s="42" t="n">
        <x:f>MAX(0,E56-F56)</x:f>
        <x:v>0</x:v>
      </x:c>
      <x:c r="I56" s="42" t="n">
        <x:f>H56/G56</x:f>
        <x:v>0</x:v>
      </x:c>
      <x:c r="J56" s="21" t="str">
        <x:f>IF(I56&gt;=1,"ADEQUATE","GAP")</x:f>
        <x:v>GAP</x:v>
      </x:c>
      <x:c r="K56" s="21" t="str">
        <x:v>mission-ready issued lots</x:v>
      </x:c>
      <x:c r="L56" s="21" t="str">
        <x:v>separate rotating custody domains</x:v>
      </x:c>
      <x:c r="M56" s="21" t="str">
        <x:v>OPEN</x:v>
      </x:c>
      <x:c r="N56" s="23" t="str">
        <x:v>HOLD</x:v>
      </x:c>
    </x:row>
    <x:row r="57">
      <x:c r="B57" s="21" t="str">
        <x:v>RL-051</x:v>
      </x:c>
      <x:c r="C57" s="21" t="str">
        <x:v>F26</x:v>
      </x:c>
      <x:c r="D57" s="21" t="str">
        <x:v>M05</x:v>
      </x:c>
      <x:c r="E57" s="42" t="n">
        <x:f>'Full Force'!F32*(Assumptions!$C$10+Assumptions!$C$11)*'Family Register'!G32</x:f>
        <x:v>15.84</x:v>
      </x:c>
      <x:c r="F57" s="42" t="n">
        <x:f>Assumptions!$C$10*'Family Register'!G32</x:f>
        <x:v>12</x:v>
      </x:c>
      <x:c r="G57" s="42" t="n">
        <x:f>Assumptions!$C$11*'Family Register'!G32</x:f>
        <x:v>2.4000000000000004</x:v>
      </x:c>
      <x:c r="H57" s="42" t="n">
        <x:f>MAX(0,E57-F57)</x:f>
        <x:v>3.84</x:v>
      </x:c>
      <x:c r="I57" s="42" t="n">
        <x:f>H57/G57</x:f>
        <x:v>1.5999999999999996</x:v>
      </x:c>
      <x:c r="J57" s="21" t="str">
        <x:f>IF(I57&gt;=1,"ADEQUATE","GAP")</x:f>
        <x:v>ADEQUATE</x:v>
      </x:c>
      <x:c r="K57" s="21" t="str">
        <x:v>mission-ready issued lots</x:v>
      </x:c>
      <x:c r="L57" s="21" t="str">
        <x:v>separate rotating custody domains</x:v>
      </x:c>
      <x:c r="M57" s="21" t="str">
        <x:v>OPEN</x:v>
      </x:c>
      <x:c r="N57" s="23" t="str">
        <x:v>HOLD</x:v>
      </x:c>
    </x:row>
    <x:row r="58">
      <x:c r="B58" s="21" t="str">
        <x:v>RL-052</x:v>
      </x:c>
      <x:c r="C58" s="21" t="str">
        <x:v>F26</x:v>
      </x:c>
      <x:c r="D58" s="21" t="str">
        <x:v>M06</x:v>
      </x:c>
      <x:c r="E58" s="42" t="n">
        <x:f>'Full Force'!H32*(Assumptions!$C$12+Assumptions!$C$13)*'Family Register'!G32</x:f>
        <x:v>11.404800000000002</x:v>
      </x:c>
      <x:c r="F58" s="42" t="n">
        <x:f>Assumptions!$C$12*'Family Register'!G32</x:f>
        <x:v>15</x:v>
      </x:c>
      <x:c r="G58" s="42" t="n">
        <x:f>Assumptions!$C$13*'Family Register'!G32</x:f>
        <x:v>3</x:v>
      </x:c>
      <x:c r="H58" s="42" t="n">
        <x:f>MAX(0,E58-F58)</x:f>
        <x:v>0</x:v>
      </x:c>
      <x:c r="I58" s="42" t="n">
        <x:f>H58/G58</x:f>
        <x:v>0</x:v>
      </x:c>
      <x:c r="J58" s="21" t="str">
        <x:f>IF(I58&gt;=1,"ADEQUATE","GAP")</x:f>
        <x:v>GAP</x:v>
      </x:c>
      <x:c r="K58" s="21" t="str">
        <x:v>mission-ready issued lots</x:v>
      </x:c>
      <x:c r="L58" s="21" t="str">
        <x:v>separate rotating custody domains</x:v>
      </x:c>
      <x:c r="M58" s="21" t="str">
        <x:v>OPEN</x:v>
      </x:c>
      <x:c r="N58" s="23" t="str">
        <x:v>HOLD</x:v>
      </x:c>
    </x:row>
    <x:row r="59">
      <x:c r="B59" s="21" t="str">
        <x:v>RL-053</x:v>
      </x:c>
      <x:c r="C59" s="21" t="str">
        <x:v>F27</x:v>
      </x:c>
      <x:c r="D59" s="21" t="str">
        <x:v>M05</x:v>
      </x:c>
      <x:c r="E59" s="42" t="n">
        <x:f>'Full Force'!F33*(Assumptions!$C$10+Assumptions!$C$11)*'Family Register'!G33</x:f>
        <x:v>2.64</x:v>
      </x:c>
      <x:c r="F59" s="42" t="n">
        <x:f>Assumptions!$C$10*'Family Register'!G33</x:f>
        <x:v>2</x:v>
      </x:c>
      <x:c r="G59" s="42" t="n">
        <x:f>Assumptions!$C$11*'Family Register'!G33</x:f>
        <x:v>0.4</x:v>
      </x:c>
      <x:c r="H59" s="42" t="n">
        <x:f>MAX(0,E59-F59)</x:f>
        <x:v>0.6400000000000001</x:v>
      </x:c>
      <x:c r="I59" s="42" t="n">
        <x:f>H59/G59</x:f>
        <x:v>1.6000000000000003</x:v>
      </x:c>
      <x:c r="J59" s="21" t="str">
        <x:f>IF(I59&gt;=1,"ADEQUATE","GAP")</x:f>
        <x:v>ADEQUATE</x:v>
      </x:c>
      <x:c r="K59" s="21" t="str">
        <x:v>mission-ready issued lots</x:v>
      </x:c>
      <x:c r="L59" s="21" t="str">
        <x:v>separate rotating custody domains</x:v>
      </x:c>
      <x:c r="M59" s="21" t="str">
        <x:v>OPEN</x:v>
      </x:c>
      <x:c r="N59" s="23" t="str">
        <x:v>HOLD</x:v>
      </x:c>
    </x:row>
    <x:row r="60">
      <x:c r="B60" s="21" t="str">
        <x:v>RL-054</x:v>
      </x:c>
      <x:c r="C60" s="21" t="str">
        <x:v>F27</x:v>
      </x:c>
      <x:c r="D60" s="21" t="str">
        <x:v>M06</x:v>
      </x:c>
      <x:c r="E60" s="42" t="n">
        <x:f>'Full Force'!H33*(Assumptions!$C$12+Assumptions!$C$13)*'Family Register'!G33</x:f>
        <x:v>1.8857142857142861</x:v>
      </x:c>
      <x:c r="F60" s="42" t="n">
        <x:f>Assumptions!$C$12*'Family Register'!G33</x:f>
        <x:v>2.5</x:v>
      </x:c>
      <x:c r="G60" s="42" t="n">
        <x:f>Assumptions!$C$13*'Family Register'!G33</x:f>
        <x:v>0.5</x:v>
      </x:c>
      <x:c r="H60" s="42" t="n">
        <x:f>MAX(0,E60-F60)</x:f>
        <x:v>0</x:v>
      </x:c>
      <x:c r="I60" s="42" t="n">
        <x:f>H60/G60</x:f>
        <x:v>0</x:v>
      </x:c>
      <x:c r="J60" s="21" t="str">
        <x:f>IF(I60&gt;=1,"ADEQUATE","GAP")</x:f>
        <x:v>GAP</x:v>
      </x:c>
      <x:c r="K60" s="21" t="str">
        <x:v>mission-ready issued lots</x:v>
      </x:c>
      <x:c r="L60" s="21" t="str">
        <x:v>separate rotating custody domains</x:v>
      </x:c>
      <x:c r="M60" s="21" t="str">
        <x:v>OPEN</x:v>
      </x:c>
      <x:c r="N60" s="23" t="str">
        <x:v>HOLD</x:v>
      </x:c>
    </x:row>
    <x:row r="61">
      <x:c r="B61" s="21" t="str">
        <x:v>RL-055</x:v>
      </x:c>
      <x:c r="C61" s="21" t="str">
        <x:v>F28</x:v>
      </x:c>
      <x:c r="D61" s="21" t="str">
        <x:v>M05</x:v>
      </x:c>
      <x:c r="E61" s="42" t="n">
        <x:f>'Full Force'!F34*(Assumptions!$C$10+Assumptions!$C$11)*'Family Register'!G34</x:f>
        <x:v>15.84</x:v>
      </x:c>
      <x:c r="F61" s="42" t="n">
        <x:f>Assumptions!$C$10*'Family Register'!G34</x:f>
        <x:v>12</x:v>
      </x:c>
      <x:c r="G61" s="42" t="n">
        <x:f>Assumptions!$C$11*'Family Register'!G34</x:f>
        <x:v>2.4000000000000004</x:v>
      </x:c>
      <x:c r="H61" s="42" t="n">
        <x:f>MAX(0,E61-F61)</x:f>
        <x:v>3.84</x:v>
      </x:c>
      <x:c r="I61" s="42" t="n">
        <x:f>H61/G61</x:f>
        <x:v>1.5999999999999996</x:v>
      </x:c>
      <x:c r="J61" s="21" t="str">
        <x:f>IF(I61&gt;=1,"ADEQUATE","GAP")</x:f>
        <x:v>ADEQUATE</x:v>
      </x:c>
      <x:c r="K61" s="21" t="str">
        <x:v>mission-ready issued lots</x:v>
      </x:c>
      <x:c r="L61" s="21" t="str">
        <x:v>separate rotating custody domains</x:v>
      </x:c>
      <x:c r="M61" s="21" t="str">
        <x:v>OPEN</x:v>
      </x:c>
      <x:c r="N61" s="23" t="str">
        <x:v>HOLD</x:v>
      </x:c>
    </x:row>
    <x:row r="62">
      <x:c r="B62" s="21" t="str">
        <x:v>RL-056</x:v>
      </x:c>
      <x:c r="C62" s="21" t="str">
        <x:v>F28</x:v>
      </x:c>
      <x:c r="D62" s="21" t="str">
        <x:v>M06</x:v>
      </x:c>
      <x:c r="E62" s="42" t="n">
        <x:f>'Full Force'!H34*(Assumptions!$C$12+Assumptions!$C$13)*'Family Register'!G34</x:f>
        <x:v>11.404800000000002</x:v>
      </x:c>
      <x:c r="F62" s="42" t="n">
        <x:f>Assumptions!$C$12*'Family Register'!G34</x:f>
        <x:v>15</x:v>
      </x:c>
      <x:c r="G62" s="42" t="n">
        <x:f>Assumptions!$C$13*'Family Register'!G34</x:f>
        <x:v>3</x:v>
      </x:c>
      <x:c r="H62" s="42" t="n">
        <x:f>MAX(0,E62-F62)</x:f>
        <x:v>0</x:v>
      </x:c>
      <x:c r="I62" s="42" t="n">
        <x:f>H62/G62</x:f>
        <x:v>0</x:v>
      </x:c>
      <x:c r="J62" s="21" t="str">
        <x:f>IF(I62&gt;=1,"ADEQUATE","GAP")</x:f>
        <x:v>GAP</x:v>
      </x:c>
      <x:c r="K62" s="21" t="str">
        <x:v>mission-ready issued lots</x:v>
      </x:c>
      <x:c r="L62" s="21" t="str">
        <x:v>separate rotating custody domains</x:v>
      </x:c>
      <x:c r="M62" s="21" t="str">
        <x:v>OPEN</x:v>
      </x:c>
      <x:c r="N62" s="23" t="str">
        <x:v>HOLD</x:v>
      </x:c>
    </x:row>
    <x:row r="63">
      <x:c r="B63" s="21" t="str">
        <x:v>RL-057</x:v>
      </x:c>
      <x:c r="C63" s="21" t="str">
        <x:v>F29</x:v>
      </x:c>
      <x:c r="D63" s="21" t="str">
        <x:v>M05</x:v>
      </x:c>
      <x:c r="E63" s="42" t="n">
        <x:f>'Full Force'!F35*(Assumptions!$C$10+Assumptions!$C$11)*'Family Register'!G35</x:f>
        <x:v>2.64</x:v>
      </x:c>
      <x:c r="F63" s="42" t="n">
        <x:f>Assumptions!$C$10*'Family Register'!G35</x:f>
        <x:v>2</x:v>
      </x:c>
      <x:c r="G63" s="42" t="n">
        <x:f>Assumptions!$C$11*'Family Register'!G35</x:f>
        <x:v>0.4</x:v>
      </x:c>
      <x:c r="H63" s="42" t="n">
        <x:f>MAX(0,E63-F63)</x:f>
        <x:v>0.6400000000000001</x:v>
      </x:c>
      <x:c r="I63" s="42" t="n">
        <x:f>H63/G63</x:f>
        <x:v>1.6000000000000003</x:v>
      </x:c>
      <x:c r="J63" s="21" t="str">
        <x:f>IF(I63&gt;=1,"ADEQUATE","GAP")</x:f>
        <x:v>ADEQUATE</x:v>
      </x:c>
      <x:c r="K63" s="21" t="str">
        <x:v>mission-ready issued lots</x:v>
      </x:c>
      <x:c r="L63" s="21" t="str">
        <x:v>separate rotating custody domains</x:v>
      </x:c>
      <x:c r="M63" s="21" t="str">
        <x:v>OPEN</x:v>
      </x:c>
      <x:c r="N63" s="23" t="str">
        <x:v>HOLD</x:v>
      </x:c>
    </x:row>
    <x:row r="64">
      <x:c r="B64" s="21" t="str">
        <x:v>RL-058</x:v>
      </x:c>
      <x:c r="C64" s="21" t="str">
        <x:v>F29</x:v>
      </x:c>
      <x:c r="D64" s="21" t="str">
        <x:v>M06</x:v>
      </x:c>
      <x:c r="E64" s="42" t="n">
        <x:f>'Full Force'!H35*(Assumptions!$C$12+Assumptions!$C$13)*'Family Register'!G35</x:f>
        <x:v>1.9302857142857144</x:v>
      </x:c>
      <x:c r="F64" s="42" t="n">
        <x:f>Assumptions!$C$12*'Family Register'!G35</x:f>
        <x:v>2.5</x:v>
      </x:c>
      <x:c r="G64" s="42" t="n">
        <x:f>Assumptions!$C$13*'Family Register'!G35</x:f>
        <x:v>0.5</x:v>
      </x:c>
      <x:c r="H64" s="42" t="n">
        <x:f>MAX(0,E64-F64)</x:f>
        <x:v>0</x:v>
      </x:c>
      <x:c r="I64" s="42" t="n">
        <x:f>H64/G64</x:f>
        <x:v>0</x:v>
      </x:c>
      <x:c r="J64" s="21" t="str">
        <x:f>IF(I64&gt;=1,"ADEQUATE","GAP")</x:f>
        <x:v>GAP</x:v>
      </x:c>
      <x:c r="K64" s="21" t="str">
        <x:v>mission-ready issued lots</x:v>
      </x:c>
      <x:c r="L64" s="21" t="str">
        <x:v>separate rotating custody domains</x:v>
      </x:c>
      <x:c r="M64" s="21" t="str">
        <x:v>OPEN</x:v>
      </x:c>
      <x:c r="N64" s="23" t="str">
        <x:v>HOLD</x:v>
      </x:c>
    </x:row>
    <x:row r="65">
      <x:c r="B65" s="21" t="str">
        <x:v>RL-059</x:v>
      </x:c>
      <x:c r="C65" s="21" t="str">
        <x:v>F30</x:v>
      </x:c>
      <x:c r="D65" s="21" t="str">
        <x:v>M05</x:v>
      </x:c>
      <x:c r="E65" s="42" t="n">
        <x:f>'Full Force'!F36*(Assumptions!$C$10+Assumptions!$C$11)*'Family Register'!G36</x:f>
        <x:v>2.64</x:v>
      </x:c>
      <x:c r="F65" s="42" t="n">
        <x:f>Assumptions!$C$10*'Family Register'!G36</x:f>
        <x:v>2</x:v>
      </x:c>
      <x:c r="G65" s="42" t="n">
        <x:f>Assumptions!$C$11*'Family Register'!G36</x:f>
        <x:v>0.4</x:v>
      </x:c>
      <x:c r="H65" s="42" t="n">
        <x:f>MAX(0,E65-F65)</x:f>
        <x:v>0.6400000000000001</x:v>
      </x:c>
      <x:c r="I65" s="42" t="n">
        <x:f>H65/G65</x:f>
        <x:v>1.6000000000000003</x:v>
      </x:c>
      <x:c r="J65" s="21" t="str">
        <x:f>IF(I65&gt;=1,"ADEQUATE","GAP")</x:f>
        <x:v>ADEQUATE</x:v>
      </x:c>
      <x:c r="K65" s="21" t="str">
        <x:v>mission-ready issued lots</x:v>
      </x:c>
      <x:c r="L65" s="21" t="str">
        <x:v>separate rotating custody domains</x:v>
      </x:c>
      <x:c r="M65" s="21" t="str">
        <x:v>OPEN</x:v>
      </x:c>
      <x:c r="N65" s="23" t="str">
        <x:v>HOLD</x:v>
      </x:c>
    </x:row>
    <x:row r="66">
      <x:c r="B66" s="21" t="str">
        <x:v>RL-060</x:v>
      </x:c>
      <x:c r="C66" s="21" t="str">
        <x:v>F30</x:v>
      </x:c>
      <x:c r="D66" s="21" t="str">
        <x:v>M06</x:v>
      </x:c>
      <x:c r="E66" s="42" t="n">
        <x:f>'Full Force'!H36*(Assumptions!$C$12+Assumptions!$C$13)*'Family Register'!G36</x:f>
        <x:v>1.8857142857142861</x:v>
      </x:c>
      <x:c r="F66" s="42" t="n">
        <x:f>Assumptions!$C$12*'Family Register'!G36</x:f>
        <x:v>2.5</x:v>
      </x:c>
      <x:c r="G66" s="42" t="n">
        <x:f>Assumptions!$C$13*'Family Register'!G36</x:f>
        <x:v>0.5</x:v>
      </x:c>
      <x:c r="H66" s="42" t="n">
        <x:f>MAX(0,E66-F66)</x:f>
        <x:v>0</x:v>
      </x:c>
      <x:c r="I66" s="42" t="n">
        <x:f>H66/G66</x:f>
        <x:v>0</x:v>
      </x:c>
      <x:c r="J66" s="21" t="str">
        <x:f>IF(I66&gt;=1,"ADEQUATE","GAP")</x:f>
        <x:v>GAP</x:v>
      </x:c>
      <x:c r="K66" s="21" t="str">
        <x:v>mission-ready issued lots</x:v>
      </x:c>
      <x:c r="L66" s="21" t="str">
        <x:v>separate rotating custody domains</x:v>
      </x:c>
      <x:c r="M66" s="21" t="str">
        <x:v>OPEN</x:v>
      </x:c>
      <x:c r="N66" s="23" t="str">
        <x:v>HOLD</x:v>
      </x:c>
    </x:row>
    <x:row r="67">
      <x:c r="B67" s="21" t="str">
        <x:v>RL-061</x:v>
      </x:c>
      <x:c r="C67" s="21" t="str">
        <x:v>F31</x:v>
      </x:c>
      <x:c r="D67" s="21" t="str">
        <x:v>M05</x:v>
      </x:c>
      <x:c r="E67" s="42" t="n">
        <x:f>'Full Force'!F37*(Assumptions!$C$10+Assumptions!$C$11)*'Family Register'!G37</x:f>
        <x:v>15.84</x:v>
      </x:c>
      <x:c r="F67" s="42" t="n">
        <x:f>Assumptions!$C$10*'Family Register'!G37</x:f>
        <x:v>12</x:v>
      </x:c>
      <x:c r="G67" s="42" t="n">
        <x:f>Assumptions!$C$11*'Family Register'!G37</x:f>
        <x:v>2.4000000000000004</x:v>
      </x:c>
      <x:c r="H67" s="42" t="n">
        <x:f>MAX(0,E67-F67)</x:f>
        <x:v>3.84</x:v>
      </x:c>
      <x:c r="I67" s="42" t="n">
        <x:f>H67/G67</x:f>
        <x:v>1.5999999999999996</x:v>
      </x:c>
      <x:c r="J67" s="21" t="str">
        <x:f>IF(I67&gt;=1,"ADEQUATE","GAP")</x:f>
        <x:v>ADEQUATE</x:v>
      </x:c>
      <x:c r="K67" s="21" t="str">
        <x:v>mission-ready issued lots</x:v>
      </x:c>
      <x:c r="L67" s="21" t="str">
        <x:v>separate rotating custody domains</x:v>
      </x:c>
      <x:c r="M67" s="21" t="str">
        <x:v>OPEN</x:v>
      </x:c>
      <x:c r="N67" s="23" t="str">
        <x:v>HOLD</x:v>
      </x:c>
    </x:row>
    <x:row r="68">
      <x:c r="B68" s="21" t="str">
        <x:v>RL-062</x:v>
      </x:c>
      <x:c r="C68" s="21" t="str">
        <x:v>F31</x:v>
      </x:c>
      <x:c r="D68" s="21" t="str">
        <x:v>M06</x:v>
      </x:c>
      <x:c r="E68" s="42" t="n">
        <x:f>'Full Force'!H37*(Assumptions!$C$12+Assumptions!$C$13)*'Family Register'!G37</x:f>
        <x:v>11.314285714285717</x:v>
      </x:c>
      <x:c r="F68" s="42" t="n">
        <x:f>Assumptions!$C$12*'Family Register'!G37</x:f>
        <x:v>15</x:v>
      </x:c>
      <x:c r="G68" s="42" t="n">
        <x:f>Assumptions!$C$13*'Family Register'!G37</x:f>
        <x:v>3</x:v>
      </x:c>
      <x:c r="H68" s="42" t="n">
        <x:f>MAX(0,E68-F68)</x:f>
        <x:v>0</x:v>
      </x:c>
      <x:c r="I68" s="42" t="n">
        <x:f>H68/G68</x:f>
        <x:v>0</x:v>
      </x:c>
      <x:c r="J68" s="21" t="str">
        <x:f>IF(I68&gt;=1,"ADEQUATE","GAP")</x:f>
        <x:v>GAP</x:v>
      </x:c>
      <x:c r="K68" s="21" t="str">
        <x:v>mission-ready issued lots</x:v>
      </x:c>
      <x:c r="L68" s="21" t="str">
        <x:v>separate rotating custody domains</x:v>
      </x:c>
      <x:c r="M68" s="21" t="str">
        <x:v>OPEN</x:v>
      </x:c>
      <x:c r="N68" s="23" t="str">
        <x:v>HOLD</x:v>
      </x:c>
    </x:row>
    <x:row r="69">
      <x:c r="B69" s="21" t="str">
        <x:v>RL-063</x:v>
      </x:c>
      <x:c r="C69" s="21" t="str">
        <x:v>F32</x:v>
      </x:c>
      <x:c r="D69" s="21" t="str">
        <x:v>M05</x:v>
      </x:c>
      <x:c r="E69" s="42" t="n">
        <x:f>'Full Force'!F38*(Assumptions!$C$10+Assumptions!$C$11)*'Family Register'!G38</x:f>
        <x:v>10.56</x:v>
      </x:c>
      <x:c r="F69" s="42" t="n">
        <x:f>Assumptions!$C$10*'Family Register'!G38</x:f>
        <x:v>8</x:v>
      </x:c>
      <x:c r="G69" s="42" t="n">
        <x:f>Assumptions!$C$11*'Family Register'!G38</x:f>
        <x:v>1.6</x:v>
      </x:c>
      <x:c r="H69" s="42" t="n">
        <x:f>MAX(0,E69-F69)</x:f>
        <x:v>2.5600000000000005</x:v>
      </x:c>
      <x:c r="I69" s="42" t="n">
        <x:f>H69/G69</x:f>
        <x:v>1.6000000000000003</x:v>
      </x:c>
      <x:c r="J69" s="21" t="str">
        <x:f>IF(I69&gt;=1,"ADEQUATE","GAP")</x:f>
        <x:v>ADEQUATE</x:v>
      </x:c>
      <x:c r="K69" s="21" t="str">
        <x:v>mission-ready issued lots</x:v>
      </x:c>
      <x:c r="L69" s="21" t="str">
        <x:v>separate rotating custody domains</x:v>
      </x:c>
      <x:c r="M69" s="21" t="str">
        <x:v>OPEN</x:v>
      </x:c>
      <x:c r="N69" s="23" t="str">
        <x:v>HOLD</x:v>
      </x:c>
    </x:row>
    <x:row r="70">
      <x:c r="B70" s="21" t="str">
        <x:v>RL-064</x:v>
      </x:c>
      <x:c r="C70" s="21" t="str">
        <x:v>F32</x:v>
      </x:c>
      <x:c r="D70" s="21" t="str">
        <x:v>M06</x:v>
      </x:c>
      <x:c r="E70" s="42" t="n">
        <x:f>'Full Force'!H38*(Assumptions!$C$12+Assumptions!$C$13)*'Family Register'!G38</x:f>
        <x:v>7.5428571428571445</x:v>
      </x:c>
      <x:c r="F70" s="42" t="n">
        <x:f>Assumptions!$C$12*'Family Register'!G38</x:f>
        <x:v>10</x:v>
      </x:c>
      <x:c r="G70" s="42" t="n">
        <x:f>Assumptions!$C$13*'Family Register'!G38</x:f>
        <x:v>2</x:v>
      </x:c>
      <x:c r="H70" s="42" t="n">
        <x:f>MAX(0,E70-F70)</x:f>
        <x:v>0</x:v>
      </x:c>
      <x:c r="I70" s="42" t="n">
        <x:f>H70/G70</x:f>
        <x:v>0</x:v>
      </x:c>
      <x:c r="J70" s="21" t="str">
        <x:f>IF(I70&gt;=1,"ADEQUATE","GAP")</x:f>
        <x:v>GAP</x:v>
      </x:c>
      <x:c r="K70" s="21" t="str">
        <x:v>mission-ready issued lots</x:v>
      </x:c>
      <x:c r="L70" s="21" t="str">
        <x:v>separate rotating custody domains</x:v>
      </x:c>
      <x:c r="M70" s="21" t="str">
        <x:v>OPEN</x:v>
      </x:c>
      <x:c r="N70" s="23" t="str">
        <x:v>HOLD</x:v>
      </x:c>
    </x:row>
    <x:row r="71">
      <x:c r="B71" s="21" t="str">
        <x:v>RL-065</x:v>
      </x:c>
      <x:c r="C71" s="21" t="str">
        <x:v>F33</x:v>
      </x:c>
      <x:c r="D71" s="21" t="str">
        <x:v>M05</x:v>
      </x:c>
      <x:c r="E71" s="42" t="n">
        <x:f>'Full Force'!F39*(Assumptions!$C$10+Assumptions!$C$11)*'Family Register'!G39</x:f>
        <x:v>10.56</x:v>
      </x:c>
      <x:c r="F71" s="42" t="n">
        <x:f>Assumptions!$C$10*'Family Register'!G39</x:f>
        <x:v>8</x:v>
      </x:c>
      <x:c r="G71" s="42" t="n">
        <x:f>Assumptions!$C$11*'Family Register'!G39</x:f>
        <x:v>1.6</x:v>
      </x:c>
      <x:c r="H71" s="42" t="n">
        <x:f>MAX(0,E71-F71)</x:f>
        <x:v>2.5600000000000005</x:v>
      </x:c>
      <x:c r="I71" s="42" t="n">
        <x:f>H71/G71</x:f>
        <x:v>1.6000000000000003</x:v>
      </x:c>
      <x:c r="J71" s="21" t="str">
        <x:f>IF(I71&gt;=1,"ADEQUATE","GAP")</x:f>
        <x:v>ADEQUATE</x:v>
      </x:c>
      <x:c r="K71" s="21" t="str">
        <x:v>mission-ready issued lots</x:v>
      </x:c>
      <x:c r="L71" s="21" t="str">
        <x:v>separate rotating custody domains</x:v>
      </x:c>
      <x:c r="M71" s="21" t="str">
        <x:v>OPEN</x:v>
      </x:c>
      <x:c r="N71" s="23" t="str">
        <x:v>HOLD</x:v>
      </x:c>
    </x:row>
    <x:row r="72">
      <x:c r="B72" s="21" t="str">
        <x:v>RL-066</x:v>
      </x:c>
      <x:c r="C72" s="21" t="str">
        <x:v>F33</x:v>
      </x:c>
      <x:c r="D72" s="21" t="str">
        <x:v>M06</x:v>
      </x:c>
      <x:c r="E72" s="42" t="n">
        <x:f>'Full Force'!H39*(Assumptions!$C$12+Assumptions!$C$13)*'Family Register'!G39</x:f>
        <x:v>7.5428571428571445</x:v>
      </x:c>
      <x:c r="F72" s="42" t="n">
        <x:f>Assumptions!$C$12*'Family Register'!G39</x:f>
        <x:v>10</x:v>
      </x:c>
      <x:c r="G72" s="42" t="n">
        <x:f>Assumptions!$C$13*'Family Register'!G39</x:f>
        <x:v>2</x:v>
      </x:c>
      <x:c r="H72" s="42" t="n">
        <x:f>MAX(0,E72-F72)</x:f>
        <x:v>0</x:v>
      </x:c>
      <x:c r="I72" s="42" t="n">
        <x:f>H72/G72</x:f>
        <x:v>0</x:v>
      </x:c>
      <x:c r="J72" s="21" t="str">
        <x:f>IF(I72&gt;=1,"ADEQUATE","GAP")</x:f>
        <x:v>GAP</x:v>
      </x:c>
      <x:c r="K72" s="21" t="str">
        <x:v>mission-ready issued lots</x:v>
      </x:c>
      <x:c r="L72" s="21" t="str">
        <x:v>separate rotating custody domains</x:v>
      </x:c>
      <x:c r="M72" s="21" t="str">
        <x:v>OPEN</x:v>
      </x:c>
      <x:c r="N72" s="23" t="str">
        <x:v>HOLD</x:v>
      </x:c>
    </x:row>
    <x:row r="73">
      <x:c r="B73" s="21" t="str">
        <x:v>RL-067</x:v>
      </x:c>
      <x:c r="C73" s="21" t="str">
        <x:v>F34</x:v>
      </x:c>
      <x:c r="D73" s="21" t="str">
        <x:v>M05</x:v>
      </x:c>
      <x:c r="E73" s="42" t="n">
        <x:f>'Full Force'!F40*(Assumptions!$C$10+Assumptions!$C$11)*'Family Register'!G40</x:f>
        <x:v>5.28</x:v>
      </x:c>
      <x:c r="F73" s="42" t="n">
        <x:f>Assumptions!$C$10*'Family Register'!G40</x:f>
        <x:v>4</x:v>
      </x:c>
      <x:c r="G73" s="42" t="n">
        <x:f>Assumptions!$C$11*'Family Register'!G40</x:f>
        <x:v>0.8</x:v>
      </x:c>
      <x:c r="H73" s="42" t="n">
        <x:f>MAX(0,E73-F73)</x:f>
        <x:v>1.2800000000000002</x:v>
      </x:c>
      <x:c r="I73" s="42" t="n">
        <x:f>H73/G73</x:f>
        <x:v>1.6000000000000003</x:v>
      </x:c>
      <x:c r="J73" s="21" t="str">
        <x:f>IF(I73&gt;=1,"ADEQUATE","GAP")</x:f>
        <x:v>ADEQUATE</x:v>
      </x:c>
      <x:c r="K73" s="21" t="str">
        <x:v>mission-ready issued lots</x:v>
      </x:c>
      <x:c r="L73" s="21" t="str">
        <x:v>separate rotating custody domains</x:v>
      </x:c>
      <x:c r="M73" s="21" t="str">
        <x:v>OPEN</x:v>
      </x:c>
      <x:c r="N73" s="23" t="str">
        <x:v>HOLD</x:v>
      </x:c>
    </x:row>
    <x:row r="74">
      <x:c r="B74" s="21" t="str">
        <x:v>RL-068</x:v>
      </x:c>
      <x:c r="C74" s="21" t="str">
        <x:v>F34</x:v>
      </x:c>
      <x:c r="D74" s="21" t="str">
        <x:v>M06</x:v>
      </x:c>
      <x:c r="E74" s="42" t="n">
        <x:f>'Full Force'!H40*(Assumptions!$C$12+Assumptions!$C$13)*'Family Register'!G40</x:f>
        <x:v>4.061538461538461</x:v>
      </x:c>
      <x:c r="F74" s="42" t="n">
        <x:f>Assumptions!$C$12*'Family Register'!G40</x:f>
        <x:v>5</x:v>
      </x:c>
      <x:c r="G74" s="42" t="n">
        <x:f>Assumptions!$C$13*'Family Register'!G40</x:f>
        <x:v>1</x:v>
      </x:c>
      <x:c r="H74" s="42" t="n">
        <x:f>MAX(0,E74-F74)</x:f>
        <x:v>0</x:v>
      </x:c>
      <x:c r="I74" s="42" t="n">
        <x:f>H74/G74</x:f>
        <x:v>0</x:v>
      </x:c>
      <x:c r="J74" s="21" t="str">
        <x:f>IF(I74&gt;=1,"ADEQUATE","GAP")</x:f>
        <x:v>GAP</x:v>
      </x:c>
      <x:c r="K74" s="21" t="str">
        <x:v>mission-ready issued lots</x:v>
      </x:c>
      <x:c r="L74" s="21" t="str">
        <x:v>separate rotating custody domains</x:v>
      </x:c>
      <x:c r="M74" s="21" t="str">
        <x:v>OPEN</x:v>
      </x:c>
      <x:c r="N74" s="23" t="str">
        <x:v>HOLD</x:v>
      </x:c>
    </x:row>
    <x:row r="75">
      <x:c r="B75" s="21" t="str">
        <x:v>RL-069</x:v>
      </x:c>
      <x:c r="C75" s="21" t="str">
        <x:v>F35</x:v>
      </x:c>
      <x:c r="D75" s="21" t="str">
        <x:v>M05</x:v>
      </x:c>
      <x:c r="E75" s="42" t="n">
        <x:f>'Full Force'!F41*(Assumptions!$C$10+Assumptions!$C$11)*'Family Register'!G41</x:f>
        <x:v>5.28</x:v>
      </x:c>
      <x:c r="F75" s="42" t="n">
        <x:f>Assumptions!$C$10*'Family Register'!G41</x:f>
        <x:v>4</x:v>
      </x:c>
      <x:c r="G75" s="42" t="n">
        <x:f>Assumptions!$C$11*'Family Register'!G41</x:f>
        <x:v>0.8</x:v>
      </x:c>
      <x:c r="H75" s="42" t="n">
        <x:f>MAX(0,E75-F75)</x:f>
        <x:v>1.2800000000000002</x:v>
      </x:c>
      <x:c r="I75" s="42" t="n">
        <x:f>H75/G75</x:f>
        <x:v>1.6000000000000003</x:v>
      </x:c>
      <x:c r="J75" s="21" t="str">
        <x:f>IF(I75&gt;=1,"ADEQUATE","GAP")</x:f>
        <x:v>ADEQUATE</x:v>
      </x:c>
      <x:c r="K75" s="21" t="str">
        <x:v>mission-ready issued lots</x:v>
      </x:c>
      <x:c r="L75" s="21" t="str">
        <x:v>separate rotating custody domains</x:v>
      </x:c>
      <x:c r="M75" s="21" t="str">
        <x:v>OPEN</x:v>
      </x:c>
      <x:c r="N75" s="23" t="str">
        <x:v>HOLD</x:v>
      </x:c>
    </x:row>
    <x:row r="76">
      <x:c r="B76" s="21" t="str">
        <x:v>RL-070</x:v>
      </x:c>
      <x:c r="C76" s="21" t="str">
        <x:v>F35</x:v>
      </x:c>
      <x:c r="D76" s="21" t="str">
        <x:v>M06</x:v>
      </x:c>
      <x:c r="E76" s="42" t="n">
        <x:f>'Full Force'!H41*(Assumptions!$C$12+Assumptions!$C$13)*'Family Register'!G41</x:f>
        <x:v>4.061538461538461</x:v>
      </x:c>
      <x:c r="F76" s="42" t="n">
        <x:f>Assumptions!$C$12*'Family Register'!G41</x:f>
        <x:v>5</x:v>
      </x:c>
      <x:c r="G76" s="42" t="n">
        <x:f>Assumptions!$C$13*'Family Register'!G41</x:f>
        <x:v>1</x:v>
      </x:c>
      <x:c r="H76" s="42" t="n">
        <x:f>MAX(0,E76-F76)</x:f>
        <x:v>0</x:v>
      </x:c>
      <x:c r="I76" s="42" t="n">
        <x:f>H76/G76</x:f>
        <x:v>0</x:v>
      </x:c>
      <x:c r="J76" s="21" t="str">
        <x:f>IF(I76&gt;=1,"ADEQUATE","GAP")</x:f>
        <x:v>GAP</x:v>
      </x:c>
      <x:c r="K76" s="21" t="str">
        <x:v>mission-ready issued lots</x:v>
      </x:c>
      <x:c r="L76" s="21" t="str">
        <x:v>separate rotating custody domains</x:v>
      </x:c>
      <x:c r="M76" s="21" t="str">
        <x:v>OPEN</x:v>
      </x:c>
      <x:c r="N76" s="23" t="str">
        <x:v>HOLD</x:v>
      </x:c>
    </x:row>
    <x:row r="77">
      <x:c r="B77" s="21" t="str">
        <x:v>RL-071</x:v>
      </x:c>
      <x:c r="C77" s="21" t="str">
        <x:v>F36</x:v>
      </x:c>
      <x:c r="D77" s="21" t="str">
        <x:v>M05</x:v>
      </x:c>
      <x:c r="E77" s="42" t="n">
        <x:f>'Full Force'!F42*(Assumptions!$C$10+Assumptions!$C$11)*'Family Register'!G42</x:f>
        <x:v>10.56</x:v>
      </x:c>
      <x:c r="F77" s="42" t="n">
        <x:f>Assumptions!$C$10*'Family Register'!G42</x:f>
        <x:v>8</x:v>
      </x:c>
      <x:c r="G77" s="42" t="n">
        <x:f>Assumptions!$C$11*'Family Register'!G42</x:f>
        <x:v>1.6</x:v>
      </x:c>
      <x:c r="H77" s="42" t="n">
        <x:f>MAX(0,E77-F77)</x:f>
        <x:v>2.5600000000000005</x:v>
      </x:c>
      <x:c r="I77" s="42" t="n">
        <x:f>H77/G77</x:f>
        <x:v>1.6000000000000003</x:v>
      </x:c>
      <x:c r="J77" s="21" t="str">
        <x:f>IF(I77&gt;=1,"ADEQUATE","GAP")</x:f>
        <x:v>ADEQUATE</x:v>
      </x:c>
      <x:c r="K77" s="21" t="str">
        <x:v>mission-ready issued lots</x:v>
      </x:c>
      <x:c r="L77" s="21" t="str">
        <x:v>separate rotating custody domains</x:v>
      </x:c>
      <x:c r="M77" s="21" t="str">
        <x:v>OPEN</x:v>
      </x:c>
      <x:c r="N77" s="23" t="str">
        <x:v>HOLD</x:v>
      </x:c>
    </x:row>
    <x:row r="78">
      <x:c r="B78" s="21" t="str">
        <x:v>RL-072</x:v>
      </x:c>
      <x:c r="C78" s="21" t="str">
        <x:v>F36</x:v>
      </x:c>
      <x:c r="D78" s="21" t="str">
        <x:v>M06</x:v>
      </x:c>
      <x:c r="E78" s="42" t="n">
        <x:f>'Full Force'!H42*(Assumptions!$C$12+Assumptions!$C$13)*'Family Register'!G42</x:f>
        <x:v>7.652571428571429</x:v>
      </x:c>
      <x:c r="F78" s="42" t="n">
        <x:f>Assumptions!$C$12*'Family Register'!G42</x:f>
        <x:v>10</x:v>
      </x:c>
      <x:c r="G78" s="42" t="n">
        <x:f>Assumptions!$C$13*'Family Register'!G42</x:f>
        <x:v>2</x:v>
      </x:c>
      <x:c r="H78" s="42" t="n">
        <x:f>MAX(0,E78-F78)</x:f>
        <x:v>0</x:v>
      </x:c>
      <x:c r="I78" s="42" t="n">
        <x:f>H78/G78</x:f>
        <x:v>0</x:v>
      </x:c>
      <x:c r="J78" s="21" t="str">
        <x:f>IF(I78&gt;=1,"ADEQUATE","GAP")</x:f>
        <x:v>GAP</x:v>
      </x:c>
      <x:c r="K78" s="21" t="str">
        <x:v>mission-ready issued lots</x:v>
      </x:c>
      <x:c r="L78" s="21" t="str">
        <x:v>separate rotating custody domains</x:v>
      </x:c>
      <x:c r="M78" s="21" t="str">
        <x:v>OPEN</x:v>
      </x:c>
      <x:c r="N78" s="23" t="str">
        <x:v>HOLD</x:v>
      </x:c>
    </x:row>
    <x:row r="79">
      <x:c r="B79" s="21" t="str">
        <x:v>RL-073</x:v>
      </x:c>
      <x:c r="C79" s="21" t="str">
        <x:v>F37</x:v>
      </x:c>
      <x:c r="D79" s="21" t="str">
        <x:v>M05</x:v>
      </x:c>
      <x:c r="E79" s="42" t="n">
        <x:f>'Full Force'!F43*(Assumptions!$C$10+Assumptions!$C$11)*'Family Register'!G43</x:f>
        <x:v>5.28</x:v>
      </x:c>
      <x:c r="F79" s="42" t="n">
        <x:f>Assumptions!$C$10*'Family Register'!G43</x:f>
        <x:v>4</x:v>
      </x:c>
      <x:c r="G79" s="42" t="n">
        <x:f>Assumptions!$C$11*'Family Register'!G43</x:f>
        <x:v>0.8</x:v>
      </x:c>
      <x:c r="H79" s="42" t="n">
        <x:f>MAX(0,E79-F79)</x:f>
        <x:v>1.2800000000000002</x:v>
      </x:c>
      <x:c r="I79" s="42" t="n">
        <x:f>H79/G79</x:f>
        <x:v>1.6000000000000003</x:v>
      </x:c>
      <x:c r="J79" s="21" t="str">
        <x:f>IF(I79&gt;=1,"ADEQUATE","GAP")</x:f>
        <x:v>ADEQUATE</x:v>
      </x:c>
      <x:c r="K79" s="21" t="str">
        <x:v>mission-ready issued lots</x:v>
      </x:c>
      <x:c r="L79" s="21" t="str">
        <x:v>separate rotating custody domains</x:v>
      </x:c>
      <x:c r="M79" s="21" t="str">
        <x:v>OPEN</x:v>
      </x:c>
      <x:c r="N79" s="23" t="str">
        <x:v>HOLD</x:v>
      </x:c>
    </x:row>
    <x:row r="80">
      <x:c r="B80" s="21" t="str">
        <x:v>RL-074</x:v>
      </x:c>
      <x:c r="C80" s="21" t="str">
        <x:v>F37</x:v>
      </x:c>
      <x:c r="D80" s="21" t="str">
        <x:v>M06</x:v>
      </x:c>
      <x:c r="E80" s="42" t="n">
        <x:f>'Full Force'!H43*(Assumptions!$C$12+Assumptions!$C$13)*'Family Register'!G43</x:f>
        <x:v>4.061538461538461</x:v>
      </x:c>
      <x:c r="F80" s="42" t="n">
        <x:f>Assumptions!$C$12*'Family Register'!G43</x:f>
        <x:v>5</x:v>
      </x:c>
      <x:c r="G80" s="42" t="n">
        <x:f>Assumptions!$C$13*'Family Register'!G43</x:f>
        <x:v>1</x:v>
      </x:c>
      <x:c r="H80" s="42" t="n">
        <x:f>MAX(0,E80-F80)</x:f>
        <x:v>0</x:v>
      </x:c>
      <x:c r="I80" s="42" t="n">
        <x:f>H80/G80</x:f>
        <x:v>0</x:v>
      </x:c>
      <x:c r="J80" s="21" t="str">
        <x:f>IF(I80&gt;=1,"ADEQUATE","GAP")</x:f>
        <x:v>GAP</x:v>
      </x:c>
      <x:c r="K80" s="21" t="str">
        <x:v>mission-ready issued lots</x:v>
      </x:c>
      <x:c r="L80" s="21" t="str">
        <x:v>separate rotating custody domains</x:v>
      </x:c>
      <x:c r="M80" s="21" t="str">
        <x:v>OPEN</x:v>
      </x:c>
      <x:c r="N80" s="23" t="str">
        <x:v>HOLD</x:v>
      </x:c>
    </x:row>
    <x:row r="81">
      <x:c r="B81" s="21" t="str">
        <x:v>RL-075</x:v>
      </x:c>
      <x:c r="C81" s="21" t="str">
        <x:v>F38</x:v>
      </x:c>
      <x:c r="D81" s="21" t="str">
        <x:v>M05</x:v>
      </x:c>
      <x:c r="E81" s="42" t="n">
        <x:f>'Full Force'!F44*(Assumptions!$C$10+Assumptions!$C$11)*'Family Register'!G44</x:f>
        <x:v>15.84</x:v>
      </x:c>
      <x:c r="F81" s="42" t="n">
        <x:f>Assumptions!$C$10*'Family Register'!G44</x:f>
        <x:v>12</x:v>
      </x:c>
      <x:c r="G81" s="42" t="n">
        <x:f>Assumptions!$C$11*'Family Register'!G44</x:f>
        <x:v>2.4000000000000004</x:v>
      </x:c>
      <x:c r="H81" s="42" t="n">
        <x:f>MAX(0,E81-F81)</x:f>
        <x:v>3.84</x:v>
      </x:c>
      <x:c r="I81" s="42" t="n">
        <x:f>H81/G81</x:f>
        <x:v>1.5999999999999996</x:v>
      </x:c>
      <x:c r="J81" s="21" t="str">
        <x:f>IF(I81&gt;=1,"ADEQUATE","GAP")</x:f>
        <x:v>ADEQUATE</x:v>
      </x:c>
      <x:c r="K81" s="21" t="str">
        <x:v>mission-ready issued lots</x:v>
      </x:c>
      <x:c r="L81" s="21" t="str">
        <x:v>separate rotating custody domains</x:v>
      </x:c>
      <x:c r="M81" s="21" t="str">
        <x:v>OPEN</x:v>
      </x:c>
      <x:c r="N81" s="23" t="str">
        <x:v>HOLD</x:v>
      </x:c>
    </x:row>
    <x:row r="82">
      <x:c r="B82" s="21" t="str">
        <x:v>RL-076</x:v>
      </x:c>
      <x:c r="C82" s="21" t="str">
        <x:v>F38</x:v>
      </x:c>
      <x:c r="D82" s="21" t="str">
        <x:v>M06</x:v>
      </x:c>
      <x:c r="E82" s="42" t="n">
        <x:f>'Full Force'!H44*(Assumptions!$C$12+Assumptions!$C$13)*'Family Register'!G44</x:f>
        <x:v>11.404800000000002</x:v>
      </x:c>
      <x:c r="F82" s="42" t="n">
        <x:f>Assumptions!$C$12*'Family Register'!G44</x:f>
        <x:v>15</x:v>
      </x:c>
      <x:c r="G82" s="42" t="n">
        <x:f>Assumptions!$C$13*'Family Register'!G44</x:f>
        <x:v>3</x:v>
      </x:c>
      <x:c r="H82" s="42" t="n">
        <x:f>MAX(0,E82-F82)</x:f>
        <x:v>0</x:v>
      </x:c>
      <x:c r="I82" s="42" t="n">
        <x:f>H82/G82</x:f>
        <x:v>0</x:v>
      </x:c>
      <x:c r="J82" s="21" t="str">
        <x:f>IF(I82&gt;=1,"ADEQUATE","GAP")</x:f>
        <x:v>GAP</x:v>
      </x:c>
      <x:c r="K82" s="21" t="str">
        <x:v>mission-ready issued lots</x:v>
      </x:c>
      <x:c r="L82" s="21" t="str">
        <x:v>separate rotating custody domains</x:v>
      </x:c>
      <x:c r="M82" s="21" t="str">
        <x:v>OPEN</x:v>
      </x:c>
      <x:c r="N82" s="23" t="str">
        <x:v>HOLD</x:v>
      </x:c>
    </x:row>
    <x:row r="83">
      <x:c r="B83" s="21" t="str">
        <x:v>RL-077</x:v>
      </x:c>
      <x:c r="C83" s="21" t="str">
        <x:v>F39</x:v>
      </x:c>
      <x:c r="D83" s="21" t="str">
        <x:v>M05</x:v>
      </x:c>
      <x:c r="E83" s="42" t="n">
        <x:f>'Full Force'!F45*(Assumptions!$C$10+Assumptions!$C$11)*'Family Register'!G45</x:f>
        <x:v>5.28</x:v>
      </x:c>
      <x:c r="F83" s="42" t="n">
        <x:f>Assumptions!$C$10*'Family Register'!G45</x:f>
        <x:v>4</x:v>
      </x:c>
      <x:c r="G83" s="42" t="n">
        <x:f>Assumptions!$C$11*'Family Register'!G45</x:f>
        <x:v>0.8</x:v>
      </x:c>
      <x:c r="H83" s="42" t="n">
        <x:f>MAX(0,E83-F83)</x:f>
        <x:v>1.2800000000000002</x:v>
      </x:c>
      <x:c r="I83" s="42" t="n">
        <x:f>H83/G83</x:f>
        <x:v>1.6000000000000003</x:v>
      </x:c>
      <x:c r="J83" s="21" t="str">
        <x:f>IF(I83&gt;=1,"ADEQUATE","GAP")</x:f>
        <x:v>ADEQUATE</x:v>
      </x:c>
      <x:c r="K83" s="21" t="str">
        <x:v>mission-ready issued lots</x:v>
      </x:c>
      <x:c r="L83" s="21" t="str">
        <x:v>separate rotating custody domains</x:v>
      </x:c>
      <x:c r="M83" s="21" t="str">
        <x:v>OPEN</x:v>
      </x:c>
      <x:c r="N83" s="23" t="str">
        <x:v>HOLD</x:v>
      </x:c>
    </x:row>
    <x:row r="84">
      <x:c r="B84" s="21" t="str">
        <x:v>RL-078</x:v>
      </x:c>
      <x:c r="C84" s="21" t="str">
        <x:v>F39</x:v>
      </x:c>
      <x:c r="D84" s="21" t="str">
        <x:v>M06</x:v>
      </x:c>
      <x:c r="E84" s="42" t="n">
        <x:f>'Full Force'!H45*(Assumptions!$C$12+Assumptions!$C$13)*'Family Register'!G45</x:f>
        <x:v>3.8016000000000005</x:v>
      </x:c>
      <x:c r="F84" s="42" t="n">
        <x:f>Assumptions!$C$12*'Family Register'!G45</x:f>
        <x:v>5</x:v>
      </x:c>
      <x:c r="G84" s="42" t="n">
        <x:f>Assumptions!$C$13*'Family Register'!G45</x:f>
        <x:v>1</x:v>
      </x:c>
      <x:c r="H84" s="42" t="n">
        <x:f>MAX(0,E84-F84)</x:f>
        <x:v>0</x:v>
      </x:c>
      <x:c r="I84" s="42" t="n">
        <x:f>H84/G84</x:f>
        <x:v>0</x:v>
      </x:c>
      <x:c r="J84" s="21" t="str">
        <x:f>IF(I84&gt;=1,"ADEQUATE","GAP")</x:f>
        <x:v>GAP</x:v>
      </x:c>
      <x:c r="K84" s="21" t="str">
        <x:v>mission-ready issued lots</x:v>
      </x:c>
      <x:c r="L84" s="21" t="str">
        <x:v>separate rotating custody domains</x:v>
      </x:c>
      <x:c r="M84" s="21" t="str">
        <x:v>OPEN</x:v>
      </x:c>
      <x:c r="N84" s="23" t="str">
        <x:v>HOLD</x:v>
      </x:c>
    </x:row>
    <x:row r="85">
      <x:c r="B85" s="21" t="str">
        <x:v>RL-079</x:v>
      </x:c>
      <x:c r="C85" s="21" t="str">
        <x:v>F40</x:v>
      </x:c>
      <x:c r="D85" s="21" t="str">
        <x:v>M05</x:v>
      </x:c>
      <x:c r="E85" s="42" t="n">
        <x:f>'Full Force'!F46*(Assumptions!$C$10+Assumptions!$C$11)*'Family Register'!G46</x:f>
        <x:v>5.28</x:v>
      </x:c>
      <x:c r="F85" s="42" t="n">
        <x:f>Assumptions!$C$10*'Family Register'!G46</x:f>
        <x:v>4</x:v>
      </x:c>
      <x:c r="G85" s="42" t="n">
        <x:f>Assumptions!$C$11*'Family Register'!G46</x:f>
        <x:v>0.8</x:v>
      </x:c>
      <x:c r="H85" s="42" t="n">
        <x:f>MAX(0,E85-F85)</x:f>
        <x:v>1.2800000000000002</x:v>
      </x:c>
      <x:c r="I85" s="42" t="n">
        <x:f>H85/G85</x:f>
        <x:v>1.6000000000000003</x:v>
      </x:c>
      <x:c r="J85" s="21" t="str">
        <x:f>IF(I85&gt;=1,"ADEQUATE","GAP")</x:f>
        <x:v>ADEQUATE</x:v>
      </x:c>
      <x:c r="K85" s="21" t="str">
        <x:v>mission-ready issued lots</x:v>
      </x:c>
      <x:c r="L85" s="21" t="str">
        <x:v>separate rotating custody domains</x:v>
      </x:c>
      <x:c r="M85" s="21" t="str">
        <x:v>OPEN</x:v>
      </x:c>
      <x:c r="N85" s="23" t="str">
        <x:v>HOLD</x:v>
      </x:c>
    </x:row>
    <x:row r="86">
      <x:c r="B86" s="21" t="str">
        <x:v>RL-080</x:v>
      </x:c>
      <x:c r="C86" s="21" t="str">
        <x:v>F40</x:v>
      </x:c>
      <x:c r="D86" s="21" t="str">
        <x:v>M06</x:v>
      </x:c>
      <x:c r="E86" s="42" t="n">
        <x:f>'Full Force'!H46*(Assumptions!$C$12+Assumptions!$C$13)*'Family Register'!G46</x:f>
        <x:v>3.8016000000000005</x:v>
      </x:c>
      <x:c r="F86" s="42" t="n">
        <x:f>Assumptions!$C$12*'Family Register'!G46</x:f>
        <x:v>5</x:v>
      </x:c>
      <x:c r="G86" s="42" t="n">
        <x:f>Assumptions!$C$13*'Family Register'!G46</x:f>
        <x:v>1</x:v>
      </x:c>
      <x:c r="H86" s="42" t="n">
        <x:f>MAX(0,E86-F86)</x:f>
        <x:v>0</x:v>
      </x:c>
      <x:c r="I86" s="42" t="n">
        <x:f>H86/G86</x:f>
        <x:v>0</x:v>
      </x:c>
      <x:c r="J86" s="21" t="str">
        <x:f>IF(I86&gt;=1,"ADEQUATE","GAP")</x:f>
        <x:v>GAP</x:v>
      </x:c>
      <x:c r="K86" s="21" t="str">
        <x:v>mission-ready issued lots</x:v>
      </x:c>
      <x:c r="L86" s="21" t="str">
        <x:v>separate rotating custody domains</x:v>
      </x:c>
      <x:c r="M86" s="21" t="str">
        <x:v>OPEN</x:v>
      </x:c>
      <x:c r="N86" s="23" t="str">
        <x:v>HOLD</x:v>
      </x:c>
    </x:row>
    <x:row r="87">
      <x:c r="B87" s="21" t="str">
        <x:v>RL-081</x:v>
      </x:c>
      <x:c r="C87" s="21" t="str">
        <x:v>F41</x:v>
      </x:c>
      <x:c r="D87" s="21" t="str">
        <x:v>M05</x:v>
      </x:c>
      <x:c r="E87" s="42" t="n">
        <x:f>'Full Force'!F47*(Assumptions!$C$10+Assumptions!$C$11)*'Family Register'!G47</x:f>
        <x:v>5.28</x:v>
      </x:c>
      <x:c r="F87" s="42" t="n">
        <x:f>Assumptions!$C$10*'Family Register'!G47</x:f>
        <x:v>4</x:v>
      </x:c>
      <x:c r="G87" s="42" t="n">
        <x:f>Assumptions!$C$11*'Family Register'!G47</x:f>
        <x:v>0.8</x:v>
      </x:c>
      <x:c r="H87" s="42" t="n">
        <x:f>MAX(0,E87-F87)</x:f>
        <x:v>1.2800000000000002</x:v>
      </x:c>
      <x:c r="I87" s="42" t="n">
        <x:f>H87/G87</x:f>
        <x:v>1.6000000000000003</x:v>
      </x:c>
      <x:c r="J87" s="21" t="str">
        <x:f>IF(I87&gt;=1,"ADEQUATE","GAP")</x:f>
        <x:v>ADEQUATE</x:v>
      </x:c>
      <x:c r="K87" s="21" t="str">
        <x:v>mission-ready issued lots</x:v>
      </x:c>
      <x:c r="L87" s="21" t="str">
        <x:v>separate rotating custody domains</x:v>
      </x:c>
      <x:c r="M87" s="21" t="str">
        <x:v>OPEN</x:v>
      </x:c>
      <x:c r="N87" s="23" t="str">
        <x:v>HOLD</x:v>
      </x:c>
    </x:row>
    <x:row r="88">
      <x:c r="B88" s="21" t="str">
        <x:v>RL-082</x:v>
      </x:c>
      <x:c r="C88" s="21" t="str">
        <x:v>F41</x:v>
      </x:c>
      <x:c r="D88" s="21" t="str">
        <x:v>M06</x:v>
      </x:c>
      <x:c r="E88" s="42" t="n">
        <x:f>'Full Force'!H47*(Assumptions!$C$12+Assumptions!$C$13)*'Family Register'!G47</x:f>
        <x:v>3.8016000000000005</x:v>
      </x:c>
      <x:c r="F88" s="42" t="n">
        <x:f>Assumptions!$C$12*'Family Register'!G47</x:f>
        <x:v>5</x:v>
      </x:c>
      <x:c r="G88" s="42" t="n">
        <x:f>Assumptions!$C$13*'Family Register'!G47</x:f>
        <x:v>1</x:v>
      </x:c>
      <x:c r="H88" s="42" t="n">
        <x:f>MAX(0,E88-F88)</x:f>
        <x:v>0</x:v>
      </x:c>
      <x:c r="I88" s="42" t="n">
        <x:f>H88/G88</x:f>
        <x:v>0</x:v>
      </x:c>
      <x:c r="J88" s="21" t="str">
        <x:f>IF(I88&gt;=1,"ADEQUATE","GAP")</x:f>
        <x:v>GAP</x:v>
      </x:c>
      <x:c r="K88" s="21" t="str">
        <x:v>mission-ready issued lots</x:v>
      </x:c>
      <x:c r="L88" s="21" t="str">
        <x:v>separate rotating custody domains</x:v>
      </x:c>
      <x:c r="M88" s="21" t="str">
        <x:v>OPEN</x:v>
      </x:c>
      <x:c r="N88" s="23" t="str">
        <x:v>HOLD</x:v>
      </x:c>
    </x:row>
    <x:row r="89">
      <x:c r="B89" s="21" t="str">
        <x:v>RL-083</x:v>
      </x:c>
      <x:c r="C89" s="21" t="str">
        <x:v>F42</x:v>
      </x:c>
      <x:c r="D89" s="21" t="str">
        <x:v>M05</x:v>
      </x:c>
      <x:c r="E89" s="42" t="n">
        <x:f>'Full Force'!F48*(Assumptions!$C$10+Assumptions!$C$11)*'Family Register'!G48</x:f>
        <x:v>5.28</x:v>
      </x:c>
      <x:c r="F89" s="42" t="n">
        <x:f>Assumptions!$C$10*'Family Register'!G48</x:f>
        <x:v>4</x:v>
      </x:c>
      <x:c r="G89" s="42" t="n">
        <x:f>Assumptions!$C$11*'Family Register'!G48</x:f>
        <x:v>0.8</x:v>
      </x:c>
      <x:c r="H89" s="42" t="n">
        <x:f>MAX(0,E89-F89)</x:f>
        <x:v>1.2800000000000002</x:v>
      </x:c>
      <x:c r="I89" s="42" t="n">
        <x:f>H89/G89</x:f>
        <x:v>1.6000000000000003</x:v>
      </x:c>
      <x:c r="J89" s="21" t="str">
        <x:f>IF(I89&gt;=1,"ADEQUATE","GAP")</x:f>
        <x:v>ADEQUATE</x:v>
      </x:c>
      <x:c r="K89" s="21" t="str">
        <x:v>mission-ready issued lots</x:v>
      </x:c>
      <x:c r="L89" s="21" t="str">
        <x:v>separate rotating custody domains</x:v>
      </x:c>
      <x:c r="M89" s="21" t="str">
        <x:v>OPEN</x:v>
      </x:c>
      <x:c r="N89" s="23" t="str">
        <x:v>HOLD</x:v>
      </x:c>
    </x:row>
    <x:row r="90">
      <x:c r="B90" s="21" t="str">
        <x:v>RL-084</x:v>
      </x:c>
      <x:c r="C90" s="21" t="str">
        <x:v>F42</x:v>
      </x:c>
      <x:c r="D90" s="21" t="str">
        <x:v>M06</x:v>
      </x:c>
      <x:c r="E90" s="42" t="n">
        <x:f>'Full Force'!H48*(Assumptions!$C$12+Assumptions!$C$13)*'Family Register'!G48</x:f>
        <x:v>3.8016000000000005</x:v>
      </x:c>
      <x:c r="F90" s="42" t="n">
        <x:f>Assumptions!$C$12*'Family Register'!G48</x:f>
        <x:v>5</x:v>
      </x:c>
      <x:c r="G90" s="42" t="n">
        <x:f>Assumptions!$C$13*'Family Register'!G48</x:f>
        <x:v>1</x:v>
      </x:c>
      <x:c r="H90" s="42" t="n">
        <x:f>MAX(0,E90-F90)</x:f>
        <x:v>0</x:v>
      </x:c>
      <x:c r="I90" s="42" t="n">
        <x:f>H90/G90</x:f>
        <x:v>0</x:v>
      </x:c>
      <x:c r="J90" s="21" t="str">
        <x:f>IF(I90&gt;=1,"ADEQUATE","GAP")</x:f>
        <x:v>GAP</x:v>
      </x:c>
      <x:c r="K90" s="21" t="str">
        <x:v>mission-ready issued lots</x:v>
      </x:c>
      <x:c r="L90" s="21" t="str">
        <x:v>separate rotating custody domains</x:v>
      </x:c>
      <x:c r="M90" s="21" t="str">
        <x:v>OPEN</x:v>
      </x:c>
      <x:c r="N90" s="23" t="str">
        <x:v>HOLD</x:v>
      </x:c>
    </x:row>
    <x:row r="91">
      <x:c r="B91" s="21" t="str">
        <x:v>RL-085</x:v>
      </x:c>
      <x:c r="C91" s="21" t="str">
        <x:v>F43</x:v>
      </x:c>
      <x:c r="D91" s="21" t="str">
        <x:v>M05</x:v>
      </x:c>
      <x:c r="E91" s="42" t="n">
        <x:f>'Full Force'!F49*(Assumptions!$C$10+Assumptions!$C$11)*'Family Register'!G49</x:f>
        <x:v>5.28</x:v>
      </x:c>
      <x:c r="F91" s="42" t="n">
        <x:f>Assumptions!$C$10*'Family Register'!G49</x:f>
        <x:v>4</x:v>
      </x:c>
      <x:c r="G91" s="42" t="n">
        <x:f>Assumptions!$C$11*'Family Register'!G49</x:f>
        <x:v>0.8</x:v>
      </x:c>
      <x:c r="H91" s="42" t="n">
        <x:f>MAX(0,E91-F91)</x:f>
        <x:v>1.2800000000000002</x:v>
      </x:c>
      <x:c r="I91" s="42" t="n">
        <x:f>H91/G91</x:f>
        <x:v>1.6000000000000003</x:v>
      </x:c>
      <x:c r="J91" s="21" t="str">
        <x:f>IF(I91&gt;=1,"ADEQUATE","GAP")</x:f>
        <x:v>ADEQUATE</x:v>
      </x:c>
      <x:c r="K91" s="21" t="str">
        <x:v>mission-ready issued lots</x:v>
      </x:c>
      <x:c r="L91" s="21" t="str">
        <x:v>separate rotating custody domains</x:v>
      </x:c>
      <x:c r="M91" s="21" t="str">
        <x:v>OPEN</x:v>
      </x:c>
      <x:c r="N91" s="23" t="str">
        <x:v>HOLD</x:v>
      </x:c>
    </x:row>
    <x:row r="92">
      <x:c r="B92" s="21" t="str">
        <x:v>RL-086</x:v>
      </x:c>
      <x:c r="C92" s="21" t="str">
        <x:v>F43</x:v>
      </x:c>
      <x:c r="D92" s="21" t="str">
        <x:v>M06</x:v>
      </x:c>
      <x:c r="E92" s="42" t="n">
        <x:f>'Full Force'!H49*(Assumptions!$C$12+Assumptions!$C$13)*'Family Register'!G49</x:f>
        <x:v>3.8016000000000005</x:v>
      </x:c>
      <x:c r="F92" s="42" t="n">
        <x:f>Assumptions!$C$12*'Family Register'!G49</x:f>
        <x:v>5</x:v>
      </x:c>
      <x:c r="G92" s="42" t="n">
        <x:f>Assumptions!$C$13*'Family Register'!G49</x:f>
        <x:v>1</x:v>
      </x:c>
      <x:c r="H92" s="42" t="n">
        <x:f>MAX(0,E92-F92)</x:f>
        <x:v>0</x:v>
      </x:c>
      <x:c r="I92" s="42" t="n">
        <x:f>H92/G92</x:f>
        <x:v>0</x:v>
      </x:c>
      <x:c r="J92" s="21" t="str">
        <x:f>IF(I92&gt;=1,"ADEQUATE","GAP")</x:f>
        <x:v>GAP</x:v>
      </x:c>
      <x:c r="K92" s="21" t="str">
        <x:v>mission-ready issued lots</x:v>
      </x:c>
      <x:c r="L92" s="21" t="str">
        <x:v>separate rotating custody domains</x:v>
      </x:c>
      <x:c r="M92" s="21" t="str">
        <x:v>OPEN</x:v>
      </x:c>
      <x:c r="N92" s="23" t="str">
        <x:v>HOLD</x:v>
      </x:c>
    </x:row>
    <x:row r="93">
      <x:c r="B93" s="21" t="str">
        <x:v>RL-087</x:v>
      </x:c>
      <x:c r="C93" s="21" t="str">
        <x:v>F44</x:v>
      </x:c>
      <x:c r="D93" s="21" t="str">
        <x:v>M05</x:v>
      </x:c>
      <x:c r="E93" s="42" t="n">
        <x:f>'Full Force'!F50*(Assumptions!$C$10+Assumptions!$C$11)*'Family Register'!G50</x:f>
        <x:v>10.56</x:v>
      </x:c>
      <x:c r="F93" s="42" t="n">
        <x:f>Assumptions!$C$10*'Family Register'!G50</x:f>
        <x:v>8</x:v>
      </x:c>
      <x:c r="G93" s="42" t="n">
        <x:f>Assumptions!$C$11*'Family Register'!G50</x:f>
        <x:v>1.6</x:v>
      </x:c>
      <x:c r="H93" s="42" t="n">
        <x:f>MAX(0,E93-F93)</x:f>
        <x:v>2.5600000000000005</x:v>
      </x:c>
      <x:c r="I93" s="42" t="n">
        <x:f>H93/G93</x:f>
        <x:v>1.6000000000000003</x:v>
      </x:c>
      <x:c r="J93" s="21" t="str">
        <x:f>IF(I93&gt;=1,"ADEQUATE","GAP")</x:f>
        <x:v>ADEQUATE</x:v>
      </x:c>
      <x:c r="K93" s="21" t="str">
        <x:v>mission-ready issued lots</x:v>
      </x:c>
      <x:c r="L93" s="21" t="str">
        <x:v>separate rotating custody domains</x:v>
      </x:c>
      <x:c r="M93" s="21" t="str">
        <x:v>OPEN</x:v>
      </x:c>
      <x:c r="N93" s="23" t="str">
        <x:v>HOLD</x:v>
      </x:c>
    </x:row>
    <x:row r="94">
      <x:c r="B94" s="21" t="str">
        <x:v>RL-088</x:v>
      </x:c>
      <x:c r="C94" s="21" t="str">
        <x:v>F44</x:v>
      </x:c>
      <x:c r="D94" s="21" t="str">
        <x:v>M06</x:v>
      </x:c>
      <x:c r="E94" s="42" t="n">
        <x:f>'Full Force'!H50*(Assumptions!$C$12+Assumptions!$C$13)*'Family Register'!G50</x:f>
        <x:v>7.603200000000001</x:v>
      </x:c>
      <x:c r="F94" s="42" t="n">
        <x:f>Assumptions!$C$12*'Family Register'!G50</x:f>
        <x:v>10</x:v>
      </x:c>
      <x:c r="G94" s="42" t="n">
        <x:f>Assumptions!$C$13*'Family Register'!G50</x:f>
        <x:v>2</x:v>
      </x:c>
      <x:c r="H94" s="42" t="n">
        <x:f>MAX(0,E94-F94)</x:f>
        <x:v>0</x:v>
      </x:c>
      <x:c r="I94" s="42" t="n">
        <x:f>H94/G94</x:f>
        <x:v>0</x:v>
      </x:c>
      <x:c r="J94" s="21" t="str">
        <x:f>IF(I94&gt;=1,"ADEQUATE","GAP")</x:f>
        <x:v>GAP</x:v>
      </x:c>
      <x:c r="K94" s="21" t="str">
        <x:v>mission-ready issued lots</x:v>
      </x:c>
      <x:c r="L94" s="21" t="str">
        <x:v>separate rotating custody domains</x:v>
      </x:c>
      <x:c r="M94" s="21" t="str">
        <x:v>OPEN</x:v>
      </x:c>
      <x:c r="N94" s="23" t="str">
        <x:v>HOLD</x:v>
      </x:c>
    </x:row>
    <x:row r="95">
      <x:c r="B95" s="21" t="str">
        <x:v>RL-089</x:v>
      </x:c>
      <x:c r="C95" s="21" t="str">
        <x:v>F45</x:v>
      </x:c>
      <x:c r="D95" s="21" t="str">
        <x:v>M05</x:v>
      </x:c>
      <x:c r="E95" s="42" t="n">
        <x:f>'Full Force'!F51*(Assumptions!$C$10+Assumptions!$C$11)*'Family Register'!G51</x:f>
        <x:v>10.56</x:v>
      </x:c>
      <x:c r="F95" s="42" t="n">
        <x:f>Assumptions!$C$10*'Family Register'!G51</x:f>
        <x:v>8</x:v>
      </x:c>
      <x:c r="G95" s="42" t="n">
        <x:f>Assumptions!$C$11*'Family Register'!G51</x:f>
        <x:v>1.6</x:v>
      </x:c>
      <x:c r="H95" s="42" t="n">
        <x:f>MAX(0,E95-F95)</x:f>
        <x:v>2.5600000000000005</x:v>
      </x:c>
      <x:c r="I95" s="42" t="n">
        <x:f>H95/G95</x:f>
        <x:v>1.6000000000000003</x:v>
      </x:c>
      <x:c r="J95" s="21" t="str">
        <x:f>IF(I95&gt;=1,"ADEQUATE","GAP")</x:f>
        <x:v>ADEQUATE</x:v>
      </x:c>
      <x:c r="K95" s="21" t="str">
        <x:v>mission-ready issued lots</x:v>
      </x:c>
      <x:c r="L95" s="21" t="str">
        <x:v>separate rotating custody domains</x:v>
      </x:c>
      <x:c r="M95" s="21" t="str">
        <x:v>OPEN</x:v>
      </x:c>
      <x:c r="N95" s="23" t="str">
        <x:v>HOLD</x:v>
      </x:c>
    </x:row>
    <x:row r="96">
      <x:c r="B96" s="21" t="str">
        <x:v>RL-090</x:v>
      </x:c>
      <x:c r="C96" s="21" t="str">
        <x:v>F45</x:v>
      </x:c>
      <x:c r="D96" s="21" t="str">
        <x:v>M06</x:v>
      </x:c>
      <x:c r="E96" s="42" t="n">
        <x:f>'Full Force'!H51*(Assumptions!$C$12+Assumptions!$C$13)*'Family Register'!G51</x:f>
        <x:v>7.5428571428571445</x:v>
      </x:c>
      <x:c r="F96" s="42" t="n">
        <x:f>Assumptions!$C$12*'Family Register'!G51</x:f>
        <x:v>10</x:v>
      </x:c>
      <x:c r="G96" s="42" t="n">
        <x:f>Assumptions!$C$13*'Family Register'!G51</x:f>
        <x:v>2</x:v>
      </x:c>
      <x:c r="H96" s="42" t="n">
        <x:f>MAX(0,E96-F96)</x:f>
        <x:v>0</x:v>
      </x:c>
      <x:c r="I96" s="42" t="n">
        <x:f>H96/G96</x:f>
        <x:v>0</x:v>
      </x:c>
      <x:c r="J96" s="21" t="str">
        <x:f>IF(I96&gt;=1,"ADEQUATE","GAP")</x:f>
        <x:v>GAP</x:v>
      </x:c>
      <x:c r="K96" s="21" t="str">
        <x:v>mission-ready issued lots</x:v>
      </x:c>
      <x:c r="L96" s="21" t="str">
        <x:v>separate rotating custody domains</x:v>
      </x:c>
      <x:c r="M96" s="21" t="str">
        <x:v>OPEN</x:v>
      </x:c>
      <x:c r="N96" s="23" t="str">
        <x:v>HOLD</x:v>
      </x:c>
    </x:row>
    <x:row r="97">
      <x:c r="B97" s="21" t="str">
        <x:v>RL-091</x:v>
      </x:c>
      <x:c r="C97" s="21" t="str">
        <x:v>F46</x:v>
      </x:c>
      <x:c r="D97" s="21" t="str">
        <x:v>M05</x:v>
      </x:c>
      <x:c r="E97" s="42" t="n">
        <x:f>'Full Force'!F52*(Assumptions!$C$10+Assumptions!$C$11)*'Family Register'!G52</x:f>
        <x:v>10.651200000000001</x:v>
      </x:c>
      <x:c r="F97" s="42" t="n">
        <x:f>Assumptions!$C$10*'Family Register'!G52</x:f>
        <x:v>8</x:v>
      </x:c>
      <x:c r="G97" s="42" t="n">
        <x:f>Assumptions!$C$11*'Family Register'!G52</x:f>
        <x:v>1.6</x:v>
      </x:c>
      <x:c r="H97" s="42" t="n">
        <x:f>MAX(0,E97-F97)</x:f>
        <x:v>2.651200000000001</x:v>
      </x:c>
      <x:c r="I97" s="42" t="n">
        <x:f>H97/G97</x:f>
        <x:v>1.6570000000000007</x:v>
      </x:c>
      <x:c r="J97" s="21" t="str">
        <x:f>IF(I97&gt;=1,"ADEQUATE","GAP")</x:f>
        <x:v>ADEQUATE</x:v>
      </x:c>
      <x:c r="K97" s="21" t="str">
        <x:v>mission-ready issued lots</x:v>
      </x:c>
      <x:c r="L97" s="21" t="str">
        <x:v>separate rotating custody domains</x:v>
      </x:c>
      <x:c r="M97" s="21" t="str">
        <x:v>OPEN</x:v>
      </x:c>
      <x:c r="N97" s="23" t="str">
        <x:v>HOLD</x:v>
      </x:c>
    </x:row>
    <x:row r="98">
      <x:c r="B98" s="21" t="str">
        <x:v>RL-092</x:v>
      </x:c>
      <x:c r="C98" s="21" t="str">
        <x:v>F46</x:v>
      </x:c>
      <x:c r="D98" s="21" t="str">
        <x:v>M06</x:v>
      </x:c>
      <x:c r="E98" s="42" t="n">
        <x:f>'Full Force'!H52*(Assumptions!$C$12+Assumptions!$C$13)*'Family Register'!G52</x:f>
        <x:v>7.693714285714286</x:v>
      </x:c>
      <x:c r="F98" s="42" t="n">
        <x:f>Assumptions!$C$12*'Family Register'!G52</x:f>
        <x:v>10</x:v>
      </x:c>
      <x:c r="G98" s="42" t="n">
        <x:f>Assumptions!$C$13*'Family Register'!G52</x:f>
        <x:v>2</x:v>
      </x:c>
      <x:c r="H98" s="42" t="n">
        <x:f>MAX(0,E98-F98)</x:f>
        <x:v>0</x:v>
      </x:c>
      <x:c r="I98" s="42" t="n">
        <x:f>H98/G98</x:f>
        <x:v>0</x:v>
      </x:c>
      <x:c r="J98" s="21" t="str">
        <x:f>IF(I98&gt;=1,"ADEQUATE","GAP")</x:f>
        <x:v>GAP</x:v>
      </x:c>
      <x:c r="K98" s="21" t="str">
        <x:v>mission-ready issued lots</x:v>
      </x:c>
      <x:c r="L98" s="21" t="str">
        <x:v>separate rotating custody domains</x:v>
      </x:c>
      <x:c r="M98" s="21" t="str">
        <x:v>OPEN</x:v>
      </x:c>
      <x:c r="N98" s="23" t="str">
        <x:v>HOLD</x:v>
      </x:c>
    </x:row>
    <x:row r="99">
      <x:c r="B99" s="21" t="str">
        <x:v>RL-093</x:v>
      </x:c>
      <x:c r="C99" s="21" t="str">
        <x:v>F47</x:v>
      </x:c>
      <x:c r="D99" s="21" t="str">
        <x:v>M05</x:v>
      </x:c>
      <x:c r="E99" s="42" t="n">
        <x:f>'Full Force'!F53*(Assumptions!$C$10+Assumptions!$C$11)*'Family Register'!G53</x:f>
        <x:v>15.84</x:v>
      </x:c>
      <x:c r="F99" s="42" t="n">
        <x:f>Assumptions!$C$10*'Family Register'!G53</x:f>
        <x:v>12</x:v>
      </x:c>
      <x:c r="G99" s="42" t="n">
        <x:f>Assumptions!$C$11*'Family Register'!G53</x:f>
        <x:v>2.4000000000000004</x:v>
      </x:c>
      <x:c r="H99" s="42" t="n">
        <x:f>MAX(0,E99-F99)</x:f>
        <x:v>3.84</x:v>
      </x:c>
      <x:c r="I99" s="42" t="n">
        <x:f>H99/G99</x:f>
        <x:v>1.5999999999999996</x:v>
      </x:c>
      <x:c r="J99" s="21" t="str">
        <x:f>IF(I99&gt;=1,"ADEQUATE","GAP")</x:f>
        <x:v>ADEQUATE</x:v>
      </x:c>
      <x:c r="K99" s="21" t="str">
        <x:v>mission-ready issued lots</x:v>
      </x:c>
      <x:c r="L99" s="21" t="str">
        <x:v>separate rotating custody domains</x:v>
      </x:c>
      <x:c r="M99" s="21" t="str">
        <x:v>OPEN</x:v>
      </x:c>
      <x:c r="N99" s="23" t="str">
        <x:v>HOLD</x:v>
      </x:c>
    </x:row>
    <x:row r="100">
      <x:c r="B100" s="21" t="str">
        <x:v>RL-094</x:v>
      </x:c>
      <x:c r="C100" s="21" t="str">
        <x:v>F47</x:v>
      </x:c>
      <x:c r="D100" s="21" t="str">
        <x:v>M06</x:v>
      </x:c>
      <x:c r="E100" s="42" t="n">
        <x:f>'Full Force'!H53*(Assumptions!$C$12+Assumptions!$C$13)*'Family Register'!G53</x:f>
        <x:v>11.314285714285717</x:v>
      </x:c>
      <x:c r="F100" s="42" t="n">
        <x:f>Assumptions!$C$12*'Family Register'!G53</x:f>
        <x:v>15</x:v>
      </x:c>
      <x:c r="G100" s="42" t="n">
        <x:f>Assumptions!$C$13*'Family Register'!G53</x:f>
        <x:v>3</x:v>
      </x:c>
      <x:c r="H100" s="42" t="n">
        <x:f>MAX(0,E100-F100)</x:f>
        <x:v>0</x:v>
      </x:c>
      <x:c r="I100" s="42" t="n">
        <x:f>H100/G100</x:f>
        <x:v>0</x:v>
      </x:c>
      <x:c r="J100" s="21" t="str">
        <x:f>IF(I100&gt;=1,"ADEQUATE","GAP")</x:f>
        <x:v>GAP</x:v>
      </x:c>
      <x:c r="K100" s="21" t="str">
        <x:v>mission-ready issued lots</x:v>
      </x:c>
      <x:c r="L100" s="21" t="str">
        <x:v>separate rotating custody domains</x:v>
      </x:c>
      <x:c r="M100" s="21" t="str">
        <x:v>OPEN</x:v>
      </x:c>
      <x:c r="N100" s="23" t="str">
        <x:v>HOLD</x:v>
      </x:c>
    </x:row>
    <x:row r="101">
      <x:c r="B101" s="21" t="str">
        <x:v>RL-095</x:v>
      </x:c>
      <x:c r="C101" s="21" t="str">
        <x:v>F48</x:v>
      </x:c>
      <x:c r="D101" s="21" t="str">
        <x:v>M05</x:v>
      </x:c>
      <x:c r="E101" s="42" t="n">
        <x:f>'Full Force'!F54*(Assumptions!$C$10+Assumptions!$C$11)*'Family Register'!G54</x:f>
        <x:v>15.84</x:v>
      </x:c>
      <x:c r="F101" s="42" t="n">
        <x:f>Assumptions!$C$10*'Family Register'!G54</x:f>
        <x:v>12</x:v>
      </x:c>
      <x:c r="G101" s="42" t="n">
        <x:f>Assumptions!$C$11*'Family Register'!G54</x:f>
        <x:v>2.4000000000000004</x:v>
      </x:c>
      <x:c r="H101" s="42" t="n">
        <x:f>MAX(0,E101-F101)</x:f>
        <x:v>3.84</x:v>
      </x:c>
      <x:c r="I101" s="42" t="n">
        <x:f>H101/G101</x:f>
        <x:v>1.5999999999999996</x:v>
      </x:c>
      <x:c r="J101" s="21" t="str">
        <x:f>IF(I101&gt;=1,"ADEQUATE","GAP")</x:f>
        <x:v>ADEQUATE</x:v>
      </x:c>
      <x:c r="K101" s="21" t="str">
        <x:v>mission-ready issued lots</x:v>
      </x:c>
      <x:c r="L101" s="21" t="str">
        <x:v>separate rotating custody domains</x:v>
      </x:c>
      <x:c r="M101" s="21" t="str">
        <x:v>OPEN</x:v>
      </x:c>
      <x:c r="N101" s="23" t="str">
        <x:v>HOLD</x:v>
      </x:c>
    </x:row>
    <x:row r="102">
      <x:c r="B102" s="24" t="str">
        <x:v>RL-096</x:v>
      </x:c>
      <x:c r="C102" s="24" t="str">
        <x:v>F48</x:v>
      </x:c>
      <x:c r="D102" s="24" t="str">
        <x:v>M06</x:v>
      </x:c>
      <x:c r="E102" s="43" t="n">
        <x:f>'Full Force'!H54*(Assumptions!$C$12+Assumptions!$C$13)*'Family Register'!G54</x:f>
        <x:v>11.404800000000002</x:v>
      </x:c>
      <x:c r="F102" s="43" t="n">
        <x:f>Assumptions!$C$12*'Family Register'!G54</x:f>
        <x:v>15</x:v>
      </x:c>
      <x:c r="G102" s="43" t="n">
        <x:f>Assumptions!$C$13*'Family Register'!G54</x:f>
        <x:v>3</x:v>
      </x:c>
      <x:c r="H102" s="43" t="n">
        <x:f>MAX(0,E102-F102)</x:f>
        <x:v>0</x:v>
      </x:c>
      <x:c r="I102" s="43" t="n">
        <x:f>H102/G102</x:f>
        <x:v>0</x:v>
      </x:c>
      <x:c r="J102" s="24" t="str">
        <x:f>IF(I102&gt;=1,"ADEQUATE","GAP")</x:f>
        <x:v>GAP</x:v>
      </x:c>
      <x:c r="K102" s="24" t="str">
        <x:v>mission-ready issued lots</x:v>
      </x:c>
      <x:c r="L102" s="24" t="str">
        <x:v>separate rotating custody domains</x:v>
      </x:c>
      <x:c r="M102" s="24" t="str">
        <x:v>OPEN</x:v>
      </x:c>
      <x:c r="N102" s="26" t="str">
        <x:v>HOLD</x:v>
      </x:c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</x:sheetData>
  <x:mergeCells>
    <x:mergeCell ref="B3:N3"/>
  </x:mergeCells>
  <x:conditionalFormatting sqref="J7:N102">
    <x:cfRule type="containsText" dxfId="63" priority="1" operator="containsText" text="OPEN"/>
    <x:cfRule type="containsText" dxfId="64" priority="2" operator="containsText" text="HOLD"/>
    <x:cfRule type="containsText" dxfId="65" priority="3" operator="containsText" text="BLOCKED"/>
    <x:cfRule type="containsText" dxfId="66" priority="4" operator="containsText" text="GAP"/>
    <x:cfRule type="containsText" dxfId="67" priority="5" operator="containsText" text="NOT ADMITTED"/>
    <x:cfRule type="containsText" dxfId="68" priority="6" operator="containsText" text="FAIL"/>
    <x:cfRule type="containsText" dxfId="69" priority="7" operator="containsText" text="PASS"/>
    <x:cfRule type="containsText" dxfId="70" priority="8" operator="containsText" text="ADEQUATE"/>
    <x:cfRule type="containsText" dxfId="71" priority="9" operator="containsText" text="CLOSES M05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41" hidden="0" customWidth="1"/>
    <x:col min="4" max="4" width="16" hidden="0" customWidth="1"/>
    <x:col min="5" max="5" width="19" hidden="0" customWidth="1"/>
    <x:col min="6" max="6" width="18" hidden="0" customWidth="1"/>
    <x:col min="7" max="7" width="14" hidden="0" customWidth="1"/>
    <x:col min="8" max="8" width="66" hidden="0" customWidth="1"/>
    <x:col min="9" max="9" width="64" hidden="0" customWidth="1"/>
    <x:col min="10" max="10" width="48" hidden="0" customWidth="1"/>
  </x:cols>
  <x:sheetData>
    <x:row r="2">
      <x:c r="B2" s="3" t="str">
        <x:v>Mission-led industrial technology portfolio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Twenty-four campaigns attack the enabling constraints exposed by the family redesigns. Allocations are program architecture, not price estimates.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Campaign</x:v>
      </x:c>
      <x:c r="C6" s="20" t="str">
        <x:v>Name</x:v>
      </x:c>
      <x:c r="D6" s="20" t="str">
        <x:v>Architecture</x:v>
      </x:c>
      <x:c r="E6" s="20" t="str">
        <x:v>Raw capital weight</x:v>
      </x:c>
      <x:c r="F6" s="20" t="str">
        <x:v>Allocated USD B</x:v>
      </x:c>
      <x:c r="G6" s="20" t="str">
        <x:v>Entry TRL</x:v>
      </x:c>
      <x:c r="H6" s="20" t="str">
        <x:v>Required invention</x:v>
      </x:c>
      <x:c r="I6" s="20" t="str">
        <x:v>Decisive trial</x:v>
      </x:c>
      <x:c r="J6" s="20" t="str">
        <x:v>Stop condition</x:v>
      </x:c>
    </x:row>
    <x:row r="7" ht="48" customHeight="1">
      <x:c r="B7" s="35" t="str">
        <x:v>T01</x:v>
      </x:c>
      <x:c r="C7" s="35" t="str">
        <x:v>Industrial black-start utility pack</x:v>
      </x:c>
      <x:c r="D7" s="35" t="str">
        <x:v>A2</x:v>
      </x:c>
      <x:c r="E7" s="44" t="n">
        <x:v>3</x:v>
      </x:c>
      <x:c r="F7" s="44" t="n">
        <x:v>2.7607361963190185</x:v>
      </x:c>
      <x:c r="G7" s="35" t="n">
        <x:v>8</x:v>
      </x:c>
      <x:c r="H7" s="35" t="str">
        <x:v>power heat cooling water and controls operate as one certified plant</x:v>
      </x:c>
      <x:c r="I7" s="35" t="str">
        <x:v>72-hour full-load black start without regional utilities</x:v>
      </x:c>
      <x:c r="J7" s="37" t="str">
        <x:v>unsafe common-mode trip</x:v>
      </x:c>
    </x:row>
    <x:row r="8" ht="48" customHeight="1">
      <x:c r="B8" s="35" t="str">
        <x:v>T02</x:v>
      </x:c>
      <x:c r="C8" s="35" t="str">
        <x:v>Closed-loop industrial thermal rejection</x:v>
      </x:c>
      <x:c r="D8" s="35" t="str">
        <x:v>A2</x:v>
      </x:c>
      <x:c r="E8" s="44" t="n">
        <x:v>3</x:v>
      </x:c>
      <x:c r="F8" s="44" t="n">
        <x:v>2.7607361963190185</x:v>
      </x:c>
      <x:c r="G8" s="35" t="n">
        <x:v>7</x:v>
      </x:c>
      <x:c r="H8" s="35" t="str">
        <x:v>portable high-flux heat rejection without local water dependence</x:v>
      </x:c>
      <x:c r="I8" s="35" t="str">
        <x:v>representative process heat rejected through two loss states</x:v>
      </x:c>
      <x:c r="J8" s="37" t="str">
        <x:v>unbounded water or plume burden</x:v>
      </x:c>
    </x:row>
    <x:row r="9" ht="48" customHeight="1">
      <x:c r="B9" s="35" t="str">
        <x:v>T03</x:v>
      </x:c>
      <x:c r="C9" s="35" t="str">
        <x:v>Transferable sterile process suite</x:v>
      </x:c>
      <x:c r="D9" s="35" t="str">
        <x:v>A1</x:v>
      </x:c>
      <x:c r="E9" s="44" t="n">
        <x:v>6</x:v>
      </x:c>
      <x:c r="F9" s="44" t="n">
        <x:v>5.521472392638037</x:v>
      </x:c>
      <x:c r="G9" s="35" t="n">
        <x:v>7</x:v>
      </x:c>
      <x:c r="H9" s="35" t="str">
        <x:v>sterile bioprocess moves with retained environmental and batch state</x:v>
      </x:c>
      <x:c r="I9" s="35" t="str">
        <x:v>independent facility produces releasable batch</x:v>
      </x:c>
      <x:c r="J9" s="37" t="str">
        <x:v>original provider discretionary support</x:v>
      </x:c>
    </x:row>
    <x:row r="10" ht="48" customHeight="1">
      <x:c r="B10" s="35" t="str">
        <x:v>T04</x:v>
      </x:c>
      <x:c r="C10" s="35" t="str">
        <x:v>Rapid nutrition process cell</x:v>
      </x:c>
      <x:c r="D10" s="35" t="str">
        <x:v>A1</x:v>
      </x:c>
      <x:c r="E10" s="44" t="n">
        <x:v>6</x:v>
      </x:c>
      <x:c r="F10" s="44" t="n">
        <x:v>5.521472392638037</x:v>
      </x:c>
      <x:c r="G10" s="35" t="n">
        <x:v>6</x:v>
      </x:c>
      <x:c r="H10" s="35" t="str">
        <x:v>multi-feed nutrition production with continuous safety release</x:v>
      </x:c>
      <x:c r="I10" s="35" t="str">
        <x:v>unknown-feed batch meets nutrition and safety contract</x:v>
      </x:c>
      <x:c r="J10" s="37" t="str">
        <x:v>single feedstock or lab dependency</x:v>
      </x:c>
    </x:row>
    <x:row r="11" ht="48" customHeight="1">
      <x:c r="B11" s="35" t="str">
        <x:v>T05</x:v>
      </x:c>
      <x:c r="C11" s="35" t="str">
        <x:v>Reconfigurable joining and fabrication kernel</x:v>
      </x:c>
      <x:c r="D11" s="35" t="str">
        <x:v>A7</x:v>
      </x:c>
      <x:c r="E11" s="44" t="n">
        <x:v>4</x:v>
      </x:c>
      <x:c r="F11" s="44" t="n">
        <x:v>3.6809815950920246</x:v>
      </x:c>
      <x:c r="G11" s="35" t="n">
        <x:v>8</x:v>
      </x:c>
      <x:c r="H11" s="35" t="str">
        <x:v>one qualified toolchain joins pipe structure conductor and enclosure families</x:v>
      </x:c>
      <x:c r="I11" s="35" t="str">
        <x:v>four material and geometry classes pass destructive trials</x:v>
      </x:c>
      <x:c r="J11" s="37" t="str">
        <x:v>configuration-specific strength loss</x:v>
      </x:c>
    </x:row>
    <x:row r="12" ht="48" customHeight="1">
      <x:c r="B12" s="35" t="str">
        <x:v>T06</x:v>
      </x:c>
      <x:c r="C12" s="35" t="str">
        <x:v>Transferable public metrology pod</x:v>
      </x:c>
      <x:c r="D12" s="35" t="str">
        <x:v>A7</x:v>
      </x:c>
      <x:c r="E12" s="44" t="n">
        <x:v>7</x:v>
      </x:c>
      <x:c r="F12" s="44" t="n">
        <x:v>6.441717791411043</x:v>
      </x:c>
      <x:c r="G12" s="35" t="n">
        <x:v>7</x:v>
      </x:c>
      <x:c r="H12" s="35" t="str">
        <x:v>offline calibration and acceptance follows the process</x:v>
      </x:c>
      <x:c r="I12" s="35" t="str">
        <x:v>second team reproduces acceptance uncertainty</x:v>
      </x:c>
      <x:c r="J12" s="37" t="str">
        <x:v>cloud or vendor instrument lock</x:v>
      </x:c>
    </x:row>
    <x:row r="13" ht="48" customHeight="1">
      <x:c r="B13" s="35" t="str">
        <x:v>T07</x:v>
      </x:c>
      <x:c r="C13" s="35" t="str">
        <x:v>Alternative-feedstock qualification engine</x:v>
      </x:c>
      <x:c r="D13" s="35" t="str">
        <x:v>A6</x:v>
      </x:c>
      <x:c r="E13" s="44" t="n">
        <x:v>4</x:v>
      </x:c>
      <x:c r="F13" s="44" t="n">
        <x:v>3.6809815950920246</x:v>
      </x:c>
      <x:c r="G13" s="35" t="n">
        <x:v>6</x:v>
      </x:c>
      <x:c r="H13" s="35" t="str">
        <x:v>fast bounded qualification of declared material families</x:v>
      </x:c>
      <x:c r="I13" s="35" t="str">
        <x:v>alternate lot enters production without hidden property drift</x:v>
      </x:c>
      <x:c r="J13" s="37" t="str">
        <x:v>unregistered substitution</x:v>
      </x:c>
    </x:row>
    <x:row r="14" ht="48" customHeight="1">
      <x:c r="B14" s="35" t="str">
        <x:v>T08</x:v>
      </x:c>
      <x:c r="C14" s="35" t="str">
        <x:v>Self-describing tooling and process state</x:v>
      </x:c>
      <x:c r="D14" s="35" t="str">
        <x:v>A7</x:v>
      </x:c>
      <x:c r="E14" s="44" t="n">
        <x:v>4</x:v>
      </x:c>
      <x:c r="F14" s="44" t="n">
        <x:v>3.6809815950920246</x:v>
      </x:c>
      <x:c r="G14" s="35" t="n">
        <x:v>6</x:v>
      </x:c>
      <x:c r="H14" s="35" t="str">
        <x:v>fixtures instruments software and process windows retain machine-readable identity</x:v>
      </x:c>
      <x:c r="I14" s="35" t="str">
        <x:v>cold facility reconstructs qualified state</x:v>
      </x:c>
      <x:c r="J14" s="37" t="str">
        <x:v>tacit setup dependency</x:v>
      </x:c>
    </x:row>
    <x:row r="15" ht="48" customHeight="1">
      <x:c r="B15" s="35" t="str">
        <x:v>T09</x:v>
      </x:c>
      <x:c r="C15" s="35" t="str">
        <x:v>Autonomous cold-start inspection and setup</x:v>
      </x:c>
      <x:c r="D15" s="35" t="str">
        <x:v>A5</x:v>
      </x:c>
      <x:c r="E15" s="44" t="n">
        <x:v>2</x:v>
      </x:c>
      <x:c r="F15" s="44" t="n">
        <x:v>1.8404907975460123</x:v>
      </x:c>
      <x:c r="G15" s="35" t="n">
        <x:v>7</x:v>
      </x:c>
      <x:c r="H15" s="35" t="str">
        <x:v>robots inspect dormant lines configure tooling and perform hazardous first runs</x:v>
      </x:c>
      <x:c r="I15" s="35" t="str">
        <x:v>unprepared shift reaches safe conforming output</x:v>
      </x:c>
      <x:c r="J15" s="37" t="str">
        <x:v>remote link required for safe state</x:v>
      </x:c>
    </x:row>
    <x:row r="16" ht="48" customHeight="1">
      <x:c r="B16" s="35" t="str">
        <x:v>T10</x:v>
      </x:c>
      <x:c r="C16" s="35" t="str">
        <x:v>Distributed deterministic process control</x:v>
      </x:c>
      <x:c r="D16" s="35" t="str">
        <x:v>A1</x:v>
      </x:c>
      <x:c r="E16" s="44" t="n">
        <x:v>5</x:v>
      </x:c>
      <x:c r="F16" s="44" t="n">
        <x:v>4.601226993865031</x:v>
      </x:c>
      <x:c r="G16" s="35" t="n">
        <x:v>6</x:v>
      </x:c>
      <x:c r="H16" s="35" t="str">
        <x:v>local process control survives network and timing loss</x:v>
      </x:c>
      <x:c r="I16" s="35" t="str">
        <x:v>parallel cells remain within accepted process envelope</x:v>
      </x:c>
      <x:c r="J16" s="37" t="str">
        <x:v>shared remote control plane</x:v>
      </x:c>
    </x:row>
    <x:row r="17" ht="48" customHeight="1">
      <x:c r="B17" s="35" t="str">
        <x:v>T11</x:v>
      </x:c>
      <x:c r="C17" s="35" t="str">
        <x:v>Mission-lot physical decomposition</x:v>
      </x:c>
      <x:c r="D17" s="35" t="str">
        <x:v>A3</x:v>
      </x:c>
      <x:c r="E17" s="44" t="n">
        <x:v>8</x:v>
      </x:c>
      <x:c r="F17" s="44" t="n">
        <x:v>7.361963190184049</x:v>
      </x:c>
      <x:c r="G17" s="35" t="n">
        <x:v>7</x:v>
      </x:c>
      <x:c r="H17" s="35" t="str">
        <x:v>large systems separate into receiver-ready independently testable service lots</x:v>
      </x:c>
      <x:c r="I17" s="35" t="str">
        <x:v>recombined lot retains safety and effect</x:v>
      </x:c>
      <x:c r="J17" s="37" t="str">
        <x:v>shipping split invalidates qualification</x:v>
      </x:c>
    </x:row>
    <x:row r="18" ht="48" customHeight="1">
      <x:c r="B18" s="35" t="str">
        <x:v>T12</x:v>
      </x:c>
      <x:c r="C18" s="35" t="str">
        <x:v>Self-loading multimodal interface</x:v>
      </x:c>
      <x:c r="D18" s="35" t="str">
        <x:v>A4</x:v>
      </x:c>
      <x:c r="E18" s="44" t="n">
        <x:v>8</x:v>
      </x:c>
      <x:c r="F18" s="44" t="n">
        <x:v>7.361963190184049</x:v>
      </x:c>
      <x:c r="G18" s="35" t="n">
        <x:v>6</x:v>
      </x:c>
      <x:c r="H18" s="35" t="str">
        <x:v>lots transfer among road rail air water and austere nodes without unique cranes</x:v>
      </x:c>
      <x:c r="I18" s="35" t="str">
        <x:v>one transfer-node loss preserves custody and rate</x:v>
      </x:c>
      <x:c r="J18" s="37" t="str">
        <x:v>special transload dependency</x:v>
      </x:c>
    </x:row>
    <x:row r="19" ht="48" customHeight="1">
      <x:c r="B19" s="35" t="str">
        <x:v>T13</x:v>
      </x:c>
      <x:c r="C19" s="35" t="str">
        <x:v>Damage-aware route and custody engine</x:v>
      </x:c>
      <x:c r="D19" s="35" t="str">
        <x:v>A4</x:v>
      </x:c>
      <x:c r="E19" s="44" t="n">
        <x:v>9</x:v>
      </x:c>
      <x:c r="F19" s="44" t="n">
        <x:v>8.282208588957054</x:v>
      </x:c>
      <x:c r="G19" s="35" t="n">
        <x:v>7</x:v>
      </x:c>
      <x:c r="H19" s="35" t="str">
        <x:v>offline routing preserves serial custody hazard and deadline constraints</x:v>
      </x:c>
      <x:c r="I19" s="35" t="str">
        <x:v>sealed lots reroute through removed corridor</x:v>
      </x:c>
      <x:c r="J19" s="37" t="str">
        <x:v>optimization without executable route</x:v>
      </x:c>
    </x:row>
    <x:row r="20" ht="48" customHeight="1">
      <x:c r="B20" s="35" t="str">
        <x:v>T14</x:v>
      </x:c>
      <x:c r="C20" s="35" t="str">
        <x:v>Universal civil utility adapter set</x:v>
      </x:c>
      <x:c r="D20" s="35" t="str">
        <x:v>A3</x:v>
      </x:c>
      <x:c r="E20" s="44" t="n">
        <x:v>10</x:v>
      </x:c>
      <x:c r="F20" s="44" t="n">
        <x:v>9.202453987730062</x:v>
      </x:c>
      <x:c r="G20" s="35" t="n">
        <x:v>6</x:v>
      </x:c>
      <x:c r="H20" s="35" t="str">
        <x:v>bounded water power thermal data and structural adapters absorb regional standards</x:v>
      </x:c>
      <x:c r="I20" s="35" t="str">
        <x:v>third-party receiver admits service without unsafe burden</x:v>
      </x:c>
      <x:c r="J20" s="37" t="str">
        <x:v>adapter exports fault to receiver</x:v>
      </x:c>
    </x:row>
    <x:row r="21" ht="48" customHeight="1">
      <x:c r="B21" s="35" t="str">
        <x:v>T15</x:v>
      </x:c>
      <x:c r="C21" s="35" t="str">
        <x:v>Portable public-effect commissioning metrology</x:v>
      </x:c>
      <x:c r="D21" s="35" t="str">
        <x:v>A3</x:v>
      </x:c>
      <x:c r="E21" s="44" t="n">
        <x:v>11</x:v>
      </x:c>
      <x:c r="F21" s="44" t="n">
        <x:v>10.122699386503067</x:v>
      </x:c>
      <x:c r="G21" s="35" t="n">
        <x:v>7</x:v>
      </x:c>
      <x:c r="H21" s="35" t="str">
        <x:v>independent instruments prove service at the civilian boundary</x:v>
      </x:c>
      <x:c r="I21" s="35" t="str">
        <x:v>receiver measures effect and residual in denied time</x:v>
      </x:c>
      <x:c r="J21" s="37" t="str">
        <x:v>equipment-presence proxy</x:v>
      </x:c>
    </x:row>
    <x:row r="22" ht="48" customHeight="1">
      <x:c r="B22" s="35" t="str">
        <x:v>T16</x:v>
      </x:c>
      <x:c r="C22" s="35" t="str">
        <x:v>Public technical-data execution environment</x:v>
      </x:c>
      <x:c r="D22" s="35" t="str">
        <x:v>A8</x:v>
      </x:c>
      <x:c r="E22" s="44" t="n">
        <x:v>5</x:v>
      </x:c>
      <x:c r="F22" s="44" t="n">
        <x:v>4.601226993865031</x:v>
      </x:c>
      <x:c r="G22" s="35" t="n">
        <x:v>6</x:v>
      </x:c>
      <x:c r="H22" s="35" t="str">
        <x:v>a second team builds software process and evidence state from public custody</x:v>
      </x:c>
      <x:c r="I22" s="35" t="str">
        <x:v>clean-room reproduction reaches accepted lot</x:v>
      </x:c>
      <x:c r="J22" s="37" t="str">
        <x:v>missing proprietary executable state</x:v>
      </x:c>
    </x:row>
    <x:row r="23" ht="48" customHeight="1">
      <x:c r="B23" s="35" t="str">
        <x:v>T17</x:v>
      </x:c>
      <x:c r="C23" s="35" t="str">
        <x:v>Credential-continuity and role substitution system</x:v>
      </x:c>
      <x:c r="D23" s="35" t="str">
        <x:v>A5</x:v>
      </x:c>
      <x:c r="E23" s="44" t="n">
        <x:v>2</x:v>
      </x:c>
      <x:c r="F23" s="44" t="n">
        <x:v>1.8404907975460123</x:v>
      </x:c>
      <x:c r="G23" s="35" t="n">
        <x:v>7</x:v>
      </x:c>
      <x:c r="H23" s="35" t="str">
        <x:v>qualified roles transfer across jurisdictions without lowering competence</x:v>
      </x:c>
      <x:c r="I23" s="35" t="str">
        <x:v>loss of credential authority preserves lawful staffing</x:v>
      </x:c>
      <x:c r="J23" s="37" t="str">
        <x:v>paper credential without demonstrated task</x:v>
      </x:c>
    </x:row>
    <x:row r="24" ht="48" customHeight="1">
      <x:c r="B24" s="35" t="str">
        <x:v>T18</x:v>
      </x:c>
      <x:c r="C24" s="35" t="str">
        <x:v>Remote expert and robotic commissioning</x:v>
      </x:c>
      <x:c r="D24" s="35" t="str">
        <x:v>A5</x:v>
      </x:c>
      <x:c r="E24" s="44" t="n">
        <x:v>10</x:v>
      </x:c>
      <x:c r="F24" s="44" t="n">
        <x:v>9.202453987730062</x:v>
      </x:c>
      <x:c r="G24" s="35" t="n">
        <x:v>6</x:v>
      </x:c>
      <x:c r="H24" s="35" t="str">
        <x:v>local teams use offline expert models and robots for hazardous commissioning</x:v>
      </x:c>
      <x:c r="I24" s="35" t="str">
        <x:v>receiver starts service after specialist loss</x:v>
      </x:c>
      <x:c r="J24" s="37" t="str">
        <x:v>remote network becomes mission critical</x:v>
      </x:c>
    </x:row>
    <x:row r="25" ht="48" customHeight="1">
      <x:c r="B25" s="35" t="str">
        <x:v>T19</x:v>
      </x:c>
      <x:c r="C25" s="35" t="str">
        <x:v>Material passport and circular recovery</x:v>
      </x:c>
      <x:c r="D25" s="35" t="str">
        <x:v>A6</x:v>
      </x:c>
      <x:c r="E25" s="44" t="n">
        <x:v>12</x:v>
      </x:c>
      <x:c r="F25" s="44" t="n">
        <x:v>11.042944785276074</x:v>
      </x:c>
      <x:c r="G25" s="35" t="n">
        <x:v>5</x:v>
      </x:c>
      <x:c r="H25" s="35" t="str">
        <x:v>used components and debris retain material hazard and qualification state</x:v>
      </x:c>
      <x:c r="I25" s="35" t="str">
        <x:v>recovered feed re-enters a declared configuration</x:v>
      </x:c>
      <x:c r="J25" s="37" t="str">
        <x:v>untraceable recycled material</x:v>
      </x:c>
    </x:row>
    <x:row r="26" ht="48" customHeight="1">
      <x:c r="B26" s="35" t="str">
        <x:v>T20</x:v>
      </x:c>
      <x:c r="C26" s="35" t="str">
        <x:v>Modular remanufacture cell</x:v>
      </x:c>
      <x:c r="D26" s="35" t="str">
        <x:v>A6</x:v>
      </x:c>
      <x:c r="E26" s="44" t="n">
        <x:v>12</x:v>
      </x:c>
      <x:c r="F26" s="44" t="n">
        <x:v>11.042944785276074</x:v>
      </x:c>
      <x:c r="G26" s="35" t="n">
        <x:v>6</x:v>
      </x:c>
      <x:c r="H26" s="35" t="str">
        <x:v>field cells restore decisive components and acceptance state</x:v>
      </x:c>
      <x:c r="I26" s="35" t="str">
        <x:v>consumed first-wave lot is replaced locally</x:v>
      </x:c>
      <x:c r="J26" s="37" t="str">
        <x:v>repair without configuration acceptance</x:v>
      </x:c>
    </x:row>
    <x:row r="27" ht="48" customHeight="1">
      <x:c r="B27" s="35" t="str">
        <x:v>T21</x:v>
      </x:c>
      <x:c r="C27" s="35" t="str">
        <x:v>Protected long-lead reserve architecture</x:v>
      </x:c>
      <x:c r="D27" s="35" t="str">
        <x:v>A6</x:v>
      </x:c>
      <x:c r="E27" s="44" t="n">
        <x:v>12</x:v>
      </x:c>
      <x:c r="F27" s="44" t="n">
        <x:v>11.042944785276074</x:v>
      </x:c>
      <x:c r="G27" s="35" t="n">
        <x:v>5</x:v>
      </x:c>
      <x:c r="H27" s="35" t="str">
        <x:v>long-lead stock is partitioned rotated and released without common custody</x:v>
      </x:c>
      <x:c r="I27" s="35" t="str">
        <x:v>one reserve domain loss preserves the floor</x:v>
      </x:c>
      <x:c r="J27" s="37" t="str">
        <x:v>inventory exists only in accounting</x:v>
      </x:c>
    </x:row>
    <x:row r="28" ht="48" customHeight="1">
      <x:c r="B28" s="35" t="str">
        <x:v>T22</x:v>
      </x:c>
      <x:c r="C28" s="35" t="str">
        <x:v>Allied licensed process transfer</x:v>
      </x:c>
      <x:c r="D28" s="35" t="str">
        <x:v>A8</x:v>
      </x:c>
      <x:c r="E28" s="44" t="n">
        <x:v>5</x:v>
      </x:c>
      <x:c r="F28" s="44" t="n">
        <x:v>4.601226993865031</x:v>
      </x:c>
      <x:c r="G28" s="35" t="n">
        <x:v>5</x:v>
      </x:c>
      <x:c r="H28" s="35" t="str">
        <x:v>rights metrology and source state permit lawful allied production</x:v>
      </x:c>
      <x:c r="I28" s="35" t="str">
        <x:v>allied team creates accepted interchangeable lot</x:v>
      </x:c>
      <x:c r="J28" s="37" t="str">
        <x:v>foreign flag without root independence</x:v>
      </x:c>
    </x:row>
    <x:row r="29" ht="48" customHeight="1">
      <x:c r="B29" s="35" t="str">
        <x:v>T23</x:v>
      </x:c>
      <x:c r="C29" s="35" t="str">
        <x:v>High-hazard mobile safe-state control</x:v>
      </x:c>
      <x:c r="D29" s="35" t="str">
        <x:v>A2</x:v>
      </x:c>
      <x:c r="E29" s="44" t="n">
        <x:v>3</x:v>
      </x:c>
      <x:c r="F29" s="44" t="n">
        <x:v>2.7607361963190185</x:v>
      </x:c>
      <x:c r="G29" s="35" t="n">
        <x:v>5</x:v>
      </x:c>
      <x:c r="H29" s="35" t="str">
        <x:v>reactor biological chemical and energetic processes fail safely while mobile</x:v>
      </x:c>
      <x:c r="I29" s="35" t="str">
        <x:v>injected utility and control loss reaches bounded safe state</x:v>
      </x:c>
      <x:c r="J29" s="37" t="str">
        <x:v>mission urgency overrides stop</x:v>
      </x:c>
    </x:row>
    <x:row r="30" ht="48" customHeight="1">
      <x:c r="B30" s="38" t="str">
        <x:v>T24</x:v>
      </x:c>
      <x:c r="C30" s="38" t="str">
        <x:v>Two-domain-loss full-chain demonstrator</x:v>
      </x:c>
      <x:c r="D30" s="38" t="str">
        <x:v>A8</x:v>
      </x:c>
      <x:c r="E30" s="45" t="n">
        <x:v>12</x:v>
      </x:c>
      <x:c r="F30" s="45" t="n">
        <x:v>11.042944785276074</x:v>
      </x:c>
      <x:c r="G30" s="38" t="n">
        <x:v>6</x:v>
      </x:c>
      <x:c r="H30" s="38" t="str">
        <x:v>one family crosses all twelve stages after two industrial domains are removed</x:v>
      </x:c>
      <x:c r="I30" s="38" t="str">
        <x:v>commissioned service and regeneration both admit</x:v>
      </x:c>
      <x:c r="J30" s="40" t="str">
        <x:v>prepared substitute chain</x:v>
      </x:c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mergeCells>
    <x:mergeCell ref="B3:J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43" hidden="0" customWidth="1"/>
    <x:col min="4" max="4" width="12" hidden="0" customWidth="1"/>
    <x:col min="5" max="5" width="20" hidden="0" customWidth="1"/>
    <x:col min="6" max="6" width="19" hidden="0" customWidth="1"/>
    <x:col min="7" max="7" width="64" hidden="0" customWidth="1"/>
    <x:col min="8" max="8" width="20" hidden="0" customWidth="1"/>
    <x:col min="9" max="9" width="13" hidden="0" customWidth="1"/>
  </x:cols>
  <x:sheetData>
    <x:row r="2">
      <x:c r="B2" s="3" t="str">
        <x:v>Public industrial-resilience facility program</x:v>
      </x:c>
      <x:c r="C2" s="2"/>
      <x:c r="D2" s="2"/>
      <x:c r="E2" s="2"/>
      <x:c r="F2" s="2"/>
      <x:c r="G2" s="2"/>
      <x:c r="H2" s="2"/>
      <x:c r="I2" s="2"/>
    </x:row>
    <x:row r="3">
      <x:c r="B3" s="4" t="str">
        <x:v>One hundred twenty-eight new or mission-dedicated nodes give the redesign a physical public commons. They complement, and do not overwrite, the prior 136-node AIMC network.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Program</x:v>
      </x:c>
      <x:c r="C6" s="20" t="str">
        <x:v>Facility family</x:v>
      </x:c>
      <x:c r="D6" s="20" t="str">
        <x:v>Sites</x:v>
      </x:c>
      <x:c r="E6" s="20" t="str">
        <x:v>Unit capital USD B</x:v>
      </x:c>
      <x:c r="F6" s="20" t="str">
        <x:v>Capital USD B</x:v>
      </x:c>
      <x:c r="G6" s="20" t="str">
        <x:v>Public function</x:v>
      </x:c>
      <x:c r="H6" s="20" t="str">
        <x:v>Architecture served</x:v>
      </x:c>
      <x:c r="I6" s="20" t="str">
        <x:v>Evidence</x:v>
      </x:c>
    </x:row>
    <x:row r="7" ht="44" customHeight="1">
      <x:c r="B7" s="35" t="str">
        <x:v>N01</x:v>
      </x:c>
      <x:c r="C7" s="35" t="str">
        <x:v>Islandable production-utility nodes</x:v>
      </x:c>
      <x:c r="D7" s="44" t="n">
        <x:v>48</x:v>
      </x:c>
      <x:c r="E7" s="44" t="n">
        <x:v>2</x:v>
      </x:c>
      <x:c r="F7" s="44" t="n">
        <x:v>96</x:v>
      </x:c>
      <x:c r="G7" s="35" t="str">
        <x:v>power heat cooling water and safe start for process lines</x:v>
      </x:c>
      <x:c r="H7" s="35" t="str">
        <x:v>A2</x:v>
      </x:c>
      <x:c r="I7" s="37" t="str">
        <x:v>OPEN</x:v>
      </x:c>
    </x:row>
    <x:row r="8" ht="44" customHeight="1">
      <x:c r="B8" s="35" t="str">
        <x:v>N02</x:v>
      </x:c>
      <x:c r="C8" s="35" t="str">
        <x:v>Portable process-foundry campuses</x:v>
      </x:c>
      <x:c r="D8" s="44" t="n">
        <x:v>16</x:v>
      </x:c>
      <x:c r="E8" s="44" t="n">
        <x:v>3</x:v>
      </x:c>
      <x:c r="F8" s="44" t="n">
        <x:v>48</x:v>
      </x:c>
      <x:c r="G8" s="35" t="str">
        <x:v>transferable process cells tooling and pilot production</x:v>
      </x:c>
      <x:c r="H8" s="35" t="str">
        <x:v>A1/A7</x:v>
      </x:c>
      <x:c r="I8" s="37" t="str">
        <x:v>OPEN</x:v>
      </x:c>
    </x:row>
    <x:row r="9" ht="44" customHeight="1">
      <x:c r="B9" s="35" t="str">
        <x:v>N03</x:v>
      </x:c>
      <x:c r="C9" s="35" t="str">
        <x:v>Receiver completion arsenals</x:v>
      </x:c>
      <x:c r="D9" s="44" t="n">
        <x:v>24</x:v>
      </x:c>
      <x:c r="E9" s="44" t="n">
        <x:v>1.5</x:v>
      </x:c>
      <x:c r="F9" s="44" t="n">
        <x:v>36</x:v>
      </x:c>
      <x:c r="G9" s="35" t="str">
        <x:v>local completion adapters commissioning and protected kits</x:v>
      </x:c>
      <x:c r="H9" s="35" t="str">
        <x:v>A3</x:v>
      </x:c>
      <x:c r="I9" s="37" t="str">
        <x:v>OPEN</x:v>
      </x:c>
    </x:row>
    <x:row r="10" ht="44" customHeight="1">
      <x:c r="B10" s="35" t="str">
        <x:v>N04</x:v>
      </x:c>
      <x:c r="C10" s="35" t="str">
        <x:v>Mobile metrology depots</x:v>
      </x:c>
      <x:c r="D10" s="44" t="n">
        <x:v>12</x:v>
      </x:c>
      <x:c r="E10" s="44" t="n">
        <x:v>1</x:v>
      </x:c>
      <x:c r="F10" s="44" t="n">
        <x:v>12</x:v>
      </x:c>
      <x:c r="G10" s="35" t="str">
        <x:v>offline calibration acceptance and public-effect measurement</x:v>
      </x:c>
      <x:c r="H10" s="35" t="str">
        <x:v>A7</x:v>
      </x:c>
      <x:c r="I10" s="37" t="str">
        <x:v>OPEN</x:v>
      </x:c>
    </x:row>
    <x:row r="11" ht="44" customHeight="1">
      <x:c r="B11" s="35" t="str">
        <x:v>N05</x:v>
      </x:c>
      <x:c r="C11" s="35" t="str">
        <x:v>Multimodal loadout and custody yards</x:v>
      </x:c>
      <x:c r="D11" s="44" t="n">
        <x:v>8</x:v>
      </x:c>
      <x:c r="E11" s="44" t="n">
        <x:v>1.5</x:v>
      </x:c>
      <x:c r="F11" s="44" t="n">
        <x:v>12</x:v>
      </x:c>
      <x:c r="G11" s="35" t="str">
        <x:v>self-load transfer packaging and alternate-route dispatch</x:v>
      </x:c>
      <x:c r="H11" s="35" t="str">
        <x:v>A4</x:v>
      </x:c>
      <x:c r="I11" s="37" t="str">
        <x:v>OPEN</x:v>
      </x:c>
    </x:row>
    <x:row r="12" ht="44" customHeight="1">
      <x:c r="B12" s="35" t="str">
        <x:v>N06</x:v>
      </x:c>
      <x:c r="C12" s="35" t="str">
        <x:v>Workforce-continuity centers</x:v>
      </x:c>
      <x:c r="D12" s="44" t="n">
        <x:v>8</x:v>
      </x:c>
      <x:c r="E12" s="44" t="n">
        <x:v>0.5</x:v>
      </x:c>
      <x:c r="F12" s="44" t="n">
        <x:v>4</x:v>
      </x:c>
      <x:c r="G12" s="35" t="str">
        <x:v>cross-credentialing simulation and replacement cadres</x:v>
      </x:c>
      <x:c r="H12" s="35" t="str">
        <x:v>A5</x:v>
      </x:c>
      <x:c r="I12" s="37" t="str">
        <x:v>OPEN</x:v>
      </x:c>
    </x:row>
    <x:row r="13" ht="44" customHeight="1">
      <x:c r="B13" s="35" t="str">
        <x:v>N07</x:v>
      </x:c>
      <x:c r="C13" s="35" t="str">
        <x:v>Material-substitution laboratories</x:v>
      </x:c>
      <x:c r="D13" s="44" t="n">
        <x:v>6</x:v>
      </x:c>
      <x:c r="E13" s="44" t="n">
        <x:v>1</x:v>
      </x:c>
      <x:c r="F13" s="44" t="n">
        <x:v>6</x:v>
      </x:c>
      <x:c r="G13" s="35" t="str">
        <x:v>alternate feedstock coupon and process qualification</x:v>
      </x:c>
      <x:c r="H13" s="35" t="str">
        <x:v>A6</x:v>
      </x:c>
      <x:c r="I13" s="37" t="str">
        <x:v>OPEN</x:v>
      </x:c>
    </x:row>
    <x:row r="14" ht="44" customHeight="1">
      <x:c r="B14" s="38" t="str">
        <x:v>N08</x:v>
      </x:c>
      <x:c r="C14" s="38" t="str">
        <x:v>Circular remanufacture centers</x:v>
      </x:c>
      <x:c r="D14" s="45" t="n">
        <x:v>6</x:v>
      </x:c>
      <x:c r="E14" s="45" t="n">
        <x:v>1</x:v>
      </x:c>
      <x:c r="F14" s="45" t="n">
        <x:v>6</x:v>
      </x:c>
      <x:c r="G14" s="38" t="str">
        <x:v>component recovery remanufacture and reserve rotation</x:v>
      </x:c>
      <x:c r="H14" s="38" t="str">
        <x:v>A6</x:v>
      </x:c>
      <x:c r="I14" s="40" t="str">
        <x:v>OPEN</x:v>
      </x:c>
    </x:row>
    <x:row r="15">
      <x:c r="B15" s="2"/>
      <x:c r="C15" s="2"/>
      <x:c r="D15" s="2"/>
      <x:c r="E15" s="2"/>
      <x:c r="F15" s="2"/>
      <x:c r="G15" s="2"/>
      <x:c r="H15" s="2"/>
      <x:c r="I15" s="2"/>
    </x:row>
    <x:row r="16">
      <x:c r="B16" s="2"/>
      <x:c r="C16" s="2"/>
      <x:c r="D16" s="2"/>
      <x:c r="E16" s="2"/>
      <x:c r="F16" s="2"/>
      <x:c r="G16" s="2"/>
      <x:c r="H16" s="2"/>
      <x:c r="I16" s="2"/>
    </x:row>
    <x:row r="17">
      <x:c r="B17" s="2"/>
      <x:c r="C17" s="2"/>
      <x:c r="D17" s="2"/>
      <x:c r="E17" s="2"/>
      <x:c r="F17" s="2"/>
      <x:c r="G17" s="2"/>
      <x:c r="H17" s="2"/>
      <x:c r="I17" s="2"/>
    </x:row>
    <x:row r="18">
      <x:c r="B18" s="2"/>
      <x:c r="C18" s="2"/>
      <x:c r="D18" s="2"/>
      <x:c r="E18" s="2"/>
      <x:c r="F18" s="2"/>
      <x:c r="G18" s="2"/>
      <x:c r="H18" s="2"/>
      <x:c r="I18" s="2"/>
    </x:row>
    <x:row r="19">
      <x:c r="B19" s="2"/>
      <x:c r="C19" s="2"/>
      <x:c r="D19" s="2"/>
      <x:c r="E19" s="2"/>
      <x:c r="F19" s="2"/>
      <x:c r="G19" s="2"/>
      <x:c r="H19" s="2"/>
      <x:c r="I19" s="2"/>
    </x:row>
    <x:row r="20">
      <x:c r="B20" s="2"/>
      <x:c r="C20" s="2"/>
      <x:c r="D20" s="2"/>
      <x:c r="E20" s="2"/>
      <x:c r="F20" s="2"/>
      <x:c r="G20" s="2"/>
      <x:c r="H20" s="2"/>
      <x:c r="I20" s="2"/>
    </x:row>
  </x:sheetData>
  <x:mergeCells>
    <x:mergeCell ref="B3:I3"/>
  </x:mergeCells>
  <x:conditionalFormatting sqref="I7:I14">
    <x:cfRule type="containsText" dxfId="72" priority="1" operator="containsText" text="OPEN"/>
    <x:cfRule type="containsText" dxfId="73" priority="2" operator="containsText" text="HOLD"/>
    <x:cfRule type="containsText" dxfId="74" priority="3" operator="containsText" text="BLOCKED"/>
    <x:cfRule type="containsText" dxfId="75" priority="4" operator="containsText" text="GAP"/>
    <x:cfRule type="containsText" dxfId="76" priority="5" operator="containsText" text="NOT ADMITTED"/>
    <x:cfRule type="containsText" dxfId="77" priority="6" operator="containsText" text="FAIL"/>
    <x:cfRule type="containsText" dxfId="78" priority="7" operator="containsText" text="PASS"/>
    <x:cfRule type="containsText" dxfId="79" priority="8" operator="containsText" text="ADEQUATE"/>
    <x:cfRule type="containsText" dxfId="80" priority="9" operator="containsText" text="CLOSES M05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6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4" hidden="0" customWidth="1"/>
    <x:col min="8" max="8" width="38" hidden="0" customWidth="1"/>
    <x:col min="9" max="9" width="42" hidden="0" customWidth="1"/>
  </x:cols>
  <x:sheetData>
    <x:row r="2">
      <x:c r="B2" s="3" t="str">
        <x:v>Nested capital control and AIMC cross-classification</x:v>
      </x:c>
      <x:c r="C2" s="2"/>
      <x:c r="D2" s="2"/>
      <x:c r="E2" s="2"/>
      <x:c r="F2" s="2"/>
      <x:c r="G2" s="2"/>
      <x:c r="H2" s="2"/>
      <x:c r="I2" s="2"/>
    </x:row>
    <x:row r="3">
      <x:c r="B3" s="4" t="str">
        <x:v>USD 1.8T is a cross-classification inside the existing USD 5.25T AIMC enterprise allocation. It is not additional force capital.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Pass 99 use</x:v>
      </x:c>
      <x:c r="C6" s="20" t="str">
        <x:v>Capital USD B</x:v>
      </x:c>
      <x:c r="D6" s="20" t="str">
        <x:v>Share</x:v>
      </x:c>
      <x:c r="E6" s="20" t="str">
        <x:v>Boundary</x:v>
      </x:c>
      <x:c r="F6" s="20" t="str">
        <x:v>Evidence</x:v>
      </x:c>
      <x:c r="G6" s="20" t="str">
        <x:v>Decision</x:v>
      </x:c>
      <x:c r="H6" s="20" t="str">
        <x:v>Double-count rule</x:v>
      </x:c>
      <x:c r="I6" s="20" t="str">
        <x:v>Reopen trigger</x:v>
      </x:c>
    </x:row>
    <x:row r="7">
      <x:c r="B7" s="21" t="str">
        <x:v>Family redesign programs</x:v>
      </x:c>
      <x:c r="C7" s="42" t="n">
        <x:v>1080</x:v>
      </x:c>
      <x:c r="D7" s="42" t="n">
        <x:f>C7/SUM($C$7:$C$11)</x:f>
        <x:v>0.6</x:v>
      </x:c>
      <x:c r="E7" s="42" t="str">
        <x:v>inside AIMC USD 5.25T</x:v>
      </x:c>
      <x:c r="F7" s="21" t="str">
        <x:v>OPEN</x:v>
      </x:c>
      <x:c r="G7" s="21" t="str">
        <x:v>HOLD</x:v>
      </x:c>
      <x:c r="H7" s="21" t="str">
        <x:v>one Pass 99 use; one AIMC source</x:v>
      </x:c>
      <x:c r="I7" s="23" t="str">
        <x:v>appropriation or validated cost</x:v>
      </x:c>
    </x:row>
    <x:row r="8">
      <x:c r="B8" s="21" t="str">
        <x:v>Technology campaigns</x:v>
      </x:c>
      <x:c r="C8" s="42" t="n">
        <x:v>150</x:v>
      </x:c>
      <x:c r="D8" s="42" t="n">
        <x:f>C8/SUM($C$7:$C$11)</x:f>
        <x:v>0.08333333333333333</x:v>
      </x:c>
      <x:c r="E8" s="42" t="str">
        <x:v>inside AIMC USD 5.25T</x:v>
      </x:c>
      <x:c r="F8" s="21" t="str">
        <x:v>OPEN</x:v>
      </x:c>
      <x:c r="G8" s="21" t="str">
        <x:v>HOLD</x:v>
      </x:c>
      <x:c r="H8" s="21" t="str">
        <x:v>one Pass 99 use; one AIMC source</x:v>
      </x:c>
      <x:c r="I8" s="23" t="str">
        <x:v>appropriation or validated cost</x:v>
      </x:c>
    </x:row>
    <x:row r="9">
      <x:c r="B9" s="21" t="str">
        <x:v>Public facility program</x:v>
      </x:c>
      <x:c r="C9" s="42" t="n">
        <x:v>220</x:v>
      </x:c>
      <x:c r="D9" s="42" t="n">
        <x:f>C9/SUM($C$7:$C$11)</x:f>
        <x:v>0.12222222222222222</x:v>
      </x:c>
      <x:c r="E9" s="42" t="str">
        <x:v>inside AIMC USD 5.25T</x:v>
      </x:c>
      <x:c r="F9" s="21" t="str">
        <x:v>OPEN</x:v>
      </x:c>
      <x:c r="G9" s="21" t="str">
        <x:v>HOLD</x:v>
      </x:c>
      <x:c r="H9" s="21" t="str">
        <x:v>one Pass 99 use; one AIMC source</x:v>
      </x:c>
      <x:c r="I9" s="23" t="str">
        <x:v>appropriation or validated cost</x:v>
      </x:c>
    </x:row>
    <x:row r="10">
      <x:c r="B10" s="21" t="str">
        <x:v>Standards and execution data</x:v>
      </x:c>
      <x:c r="C10" s="42" t="n">
        <x:v>50</x:v>
      </x:c>
      <x:c r="D10" s="42" t="n">
        <x:f>C10/SUM($C$7:$C$11)</x:f>
        <x:v>0.027777777777777776</x:v>
      </x:c>
      <x:c r="E10" s="42" t="str">
        <x:v>inside AIMC USD 5.25T</x:v>
      </x:c>
      <x:c r="F10" s="21" t="str">
        <x:v>OPEN</x:v>
      </x:c>
      <x:c r="G10" s="21" t="str">
        <x:v>HOLD</x:v>
      </x:c>
      <x:c r="H10" s="21" t="str">
        <x:v>one Pass 99 use; one AIMC source</x:v>
      </x:c>
      <x:c r="I10" s="23" t="str">
        <x:v>appropriation or validated cost</x:v>
      </x:c>
    </x:row>
    <x:row r="11">
      <x:c r="B11" s="21" t="str">
        <x:v>Program reserve</x:v>
      </x:c>
      <x:c r="C11" s="42" t="n">
        <x:v>300</x:v>
      </x:c>
      <x:c r="D11" s="42" t="n">
        <x:f>C11/SUM($C$7:$C$11)</x:f>
        <x:v>0.16666666666666666</x:v>
      </x:c>
      <x:c r="E11" s="42" t="str">
        <x:v>inside AIMC USD 5.25T</x:v>
      </x:c>
      <x:c r="F11" s="21" t="str">
        <x:v>OPEN</x:v>
      </x:c>
      <x:c r="G11" s="21" t="str">
        <x:v>HOLD</x:v>
      </x:c>
      <x:c r="H11" s="21" t="str">
        <x:v>one Pass 99 use; one AIMC source</x:v>
      </x:c>
      <x:c r="I11" s="23" t="str">
        <x:v>appropriation or validated cost</x:v>
      </x:c>
    </x:row>
    <x:row r="12">
      <x:c r="B12" s="21"/>
      <x:c r="C12" s="42"/>
      <x:c r="D12" s="42"/>
      <x:c r="E12" s="42"/>
      <x:c r="F12" s="21"/>
      <x:c r="G12" s="21"/>
      <x:c r="H12" s="21"/>
      <x:c r="I12" s="23"/>
    </x:row>
    <x:row r="13">
      <x:c r="B13" s="21" t="str">
        <x:v>PASS 99 TOTAL</x:v>
      </x:c>
      <x:c r="C13" s="42" t="n">
        <x:f>SUM(C7:C11)</x:f>
        <x:v>1800</x:v>
      </x:c>
      <x:c r="D13" s="42" t="n">
        <x:v>1</x:v>
      </x:c>
      <x:c r="E13" s="42" t="str">
        <x:v>inside AIMC USD 5.25T</x:v>
      </x:c>
      <x:c r="F13" s="21" t="str">
        <x:v>OPEN</x:v>
      </x:c>
      <x:c r="G13" s="21" t="str">
        <x:v>HOLD</x:v>
      </x:c>
      <x:c r="H13" s="21" t="str">
        <x:v>no addition to force boundary</x:v>
      </x:c>
      <x:c r="I13" s="23" t="str">
        <x:v>capital-control finding</x:v>
      </x:c>
    </x:row>
    <x:row r="14">
      <x:c r="B14" s="21"/>
      <x:c r="C14" s="42"/>
      <x:c r="D14" s="42"/>
      <x:c r="E14" s="42"/>
      <x:c r="F14" s="21"/>
      <x:c r="G14" s="21"/>
      <x:c r="H14" s="21"/>
      <x:c r="I14" s="23"/>
    </x:row>
    <x:row r="15">
      <x:c r="B15" s="21"/>
      <x:c r="C15" s="42"/>
      <x:c r="D15" s="42"/>
      <x:c r="E15" s="42"/>
      <x:c r="F15" s="21"/>
      <x:c r="G15" s="21"/>
      <x:c r="H15" s="21"/>
      <x:c r="I15" s="23"/>
    </x:row>
    <x:row r="16">
      <x:c r="B16" s="48" t="str">
        <x:v>Cross-classification to established AIMC workstreams</x:v>
      </x:c>
      <x:c r="C16" s="49" t="str">
        <x:v>Cross-classification to established AIMC workstreams</x:v>
      </x:c>
      <x:c r="D16" s="49" t="str">
        <x:v>Cross-classification to established AIMC workstreams</x:v>
      </x:c>
      <x:c r="E16" s="49" t="str">
        <x:v>Cross-classification to established AIMC workstreams</x:v>
      </x:c>
      <x:c r="F16" s="48" t="str">
        <x:v>Cross-classification to established AIMC workstreams</x:v>
      </x:c>
      <x:c r="G16" s="48" t="str">
        <x:v>Cross-classification to established AIMC workstreams</x:v>
      </x:c>
      <x:c r="H16" s="48" t="str">
        <x:v>Cross-classification to established AIMC workstreams</x:v>
      </x:c>
      <x:c r="I16" s="50" t="str">
        <x:v>Cross-classification to established AIMC workstreams</x:v>
      </x:c>
    </x:row>
    <x:row r="17">
      <x:c r="B17" s="51" t="str">
        <x:v>AIMC workstream</x:v>
      </x:c>
      <x:c r="C17" s="52" t="str">
        <x:v>Existing USD B</x:v>
      </x:c>
      <x:c r="D17" s="52" t="str">
        <x:v>Pass 99 use USD B</x:v>
      </x:c>
      <x:c r="E17" s="52" t="str">
        <x:v>Remaining USD B</x:v>
      </x:c>
      <x:c r="F17" s="53" t="str">
        <x:v>Within source</x:v>
      </x:c>
      <x:c r="G17" s="53" t="str">
        <x:v>Evidence</x:v>
      </x:c>
      <x:c r="H17" s="53" t="str">
        <x:v>Authority</x:v>
      </x:c>
      <x:c r="I17" s="53" t="str">
        <x:v>Interpretation</x:v>
      </x:c>
    </x:row>
    <x:row r="18">
      <x:c r="B18" s="21" t="str">
        <x:v>Sovereign design and test infrastructure</x:v>
      </x:c>
      <x:c r="C18" s="42" t="n">
        <x:v>1350</x:v>
      </x:c>
      <x:c r="D18" s="42" t="n">
        <x:v>330</x:v>
      </x:c>
      <x:c r="E18" s="42" t="n">
        <x:f>C18-D18</x:f>
        <x:v>1020</x:v>
      </x:c>
      <x:c r="F18" s="21" t="str">
        <x:f>IF(E18&gt;=0,"PASS","FAIL")</x:f>
        <x:v>PASS</x:v>
      </x:c>
      <x:c r="G18" s="21" t="str">
        <x:v>OPEN</x:v>
      </x:c>
      <x:c r="H18" s="21" t="str">
        <x:v>AIMC capital authority</x:v>
      </x:c>
      <x:c r="I18" s="23" t="str">
        <x:v>Pass 99 is analytical tagging, not a second appropriation</x:v>
      </x:c>
    </x:row>
    <x:row r="19">
      <x:c r="B19" s="21" t="str">
        <x:v>Pilot production and public foundries</x:v>
      </x:c>
      <x:c r="C19" s="42" t="n">
        <x:v>950</x:v>
      </x:c>
      <x:c r="D19" s="42" t="n">
        <x:v>420</x:v>
      </x:c>
      <x:c r="E19" s="42" t="n">
        <x:f>C19-D19</x:f>
        <x:v>530</x:v>
      </x:c>
      <x:c r="F19" s="21" t="str">
        <x:f>IF(E19&gt;=0,"PASS","FAIL")</x:f>
        <x:v>PASS</x:v>
      </x:c>
      <x:c r="G19" s="21" t="str">
        <x:v>OPEN</x:v>
      </x:c>
      <x:c r="H19" s="21" t="str">
        <x:v>AIMC capital authority</x:v>
      </x:c>
      <x:c r="I19" s="23" t="str">
        <x:v>Pass 99 is analytical tagging, not a second appropriation</x:v>
      </x:c>
    </x:row>
    <x:row r="20">
      <x:c r="B20" s="21" t="str">
        <x:v>Science and challenge programs</x:v>
      </x:c>
      <x:c r="C20" s="42" t="n">
        <x:v>750</x:v>
      </x:c>
      <x:c r="D20" s="42" t="n">
        <x:v>280</x:v>
      </x:c>
      <x:c r="E20" s="42" t="n">
        <x:f>C20-D20</x:f>
        <x:v>470</x:v>
      </x:c>
      <x:c r="F20" s="21" t="str">
        <x:f>IF(E20&gt;=0,"PASS","FAIL")</x:f>
        <x:v>PASS</x:v>
      </x:c>
      <x:c r="G20" s="21" t="str">
        <x:v>OPEN</x:v>
      </x:c>
      <x:c r="H20" s="21" t="str">
        <x:v>AIMC capital authority</x:v>
      </x:c>
      <x:c r="I20" s="23" t="str">
        <x:v>Pass 99 is analytical tagging, not a second appropriation</x:v>
      </x:c>
    </x:row>
    <x:row r="21">
      <x:c r="B21" s="21" t="str">
        <x:v>Rival prototyping and replication</x:v>
      </x:c>
      <x:c r="C21" s="42" t="n">
        <x:v>800</x:v>
      </x:c>
      <x:c r="D21" s="42" t="n">
        <x:v>270</x:v>
      </x:c>
      <x:c r="E21" s="42" t="n">
        <x:f>C21-D21</x:f>
        <x:v>530</x:v>
      </x:c>
      <x:c r="F21" s="21" t="str">
        <x:f>IF(E21&gt;=0,"PASS","FAIL")</x:f>
        <x:v>PASS</x:v>
      </x:c>
      <x:c r="G21" s="21" t="str">
        <x:v>OPEN</x:v>
      </x:c>
      <x:c r="H21" s="21" t="str">
        <x:v>AIMC capital authority</x:v>
      </x:c>
      <x:c r="I21" s="23" t="str">
        <x:v>Pass 99 is analytical tagging, not a second appropriation</x:v>
      </x:c>
    </x:row>
    <x:row r="22">
      <x:c r="B22" s="21" t="str">
        <x:v>Industrial mobilization and material reserves</x:v>
      </x:c>
      <x:c r="C22" s="42" t="n">
        <x:v>600</x:v>
      </x:c>
      <x:c r="D22" s="42" t="n">
        <x:v>100</x:v>
      </x:c>
      <x:c r="E22" s="42" t="n">
        <x:f>C22-D22</x:f>
        <x:v>500</x:v>
      </x:c>
      <x:c r="F22" s="21" t="str">
        <x:f>IF(E22&gt;=0,"PASS","FAIL")</x:f>
        <x:v>PASS</x:v>
      </x:c>
      <x:c r="G22" s="21" t="str">
        <x:v>OPEN</x:v>
      </x:c>
      <x:c r="H22" s="21" t="str">
        <x:v>AIMC capital authority</x:v>
      </x:c>
      <x:c r="I22" s="23" t="str">
        <x:v>Pass 99 is analytical tagging, not a second appropriation</x:v>
      </x:c>
    </x:row>
    <x:row r="23">
      <x:c r="B23" s="21" t="str">
        <x:v>Standards data and configuration</x:v>
      </x:c>
      <x:c r="C23" s="42" t="n">
        <x:v>250</x:v>
      </x:c>
      <x:c r="D23" s="42" t="n">
        <x:v>80</x:v>
      </x:c>
      <x:c r="E23" s="42" t="n">
        <x:f>C23-D23</x:f>
        <x:v>170</x:v>
      </x:c>
      <x:c r="F23" s="21" t="str">
        <x:f>IF(E23&gt;=0,"PASS","FAIL")</x:f>
        <x:v>PASS</x:v>
      </x:c>
      <x:c r="G23" s="21" t="str">
        <x:v>OPEN</x:v>
      </x:c>
      <x:c r="H23" s="21" t="str">
        <x:v>AIMC capital authority</x:v>
      </x:c>
      <x:c r="I23" s="23" t="str">
        <x:v>Pass 99 is analytical tagging, not a second appropriation</x:v>
      </x:c>
    </x:row>
    <x:row r="24">
      <x:c r="B24" s="21" t="str">
        <x:v>Workforce and schools</x:v>
      </x:c>
      <x:c r="C24" s="42" t="n">
        <x:v>150</x:v>
      </x:c>
      <x:c r="D24" s="42" t="n">
        <x:v>20</x:v>
      </x:c>
      <x:c r="E24" s="42" t="n">
        <x:f>C24-D24</x:f>
        <x:v>130</x:v>
      </x:c>
      <x:c r="F24" s="21" t="str">
        <x:f>IF(E24&gt;=0,"PASS","FAIL")</x:f>
        <x:v>PASS</x:v>
      </x:c>
      <x:c r="G24" s="21" t="str">
        <x:v>OPEN</x:v>
      </x:c>
      <x:c r="H24" s="21" t="str">
        <x:v>AIMC capital authority</x:v>
      </x:c>
      <x:c r="I24" s="23" t="str">
        <x:v>Pass 99 is analytical tagging, not a second appropriation</x:v>
      </x:c>
    </x:row>
    <x:row r="25">
      <x:c r="B25" s="21" t="str">
        <x:v>Allied production and export</x:v>
      </x:c>
      <x:c r="C25" s="42" t="n">
        <x:v>100</x:v>
      </x:c>
      <x:c r="D25" s="42" t="n">
        <x:v>0</x:v>
      </x:c>
      <x:c r="E25" s="42" t="n">
        <x:f>C25-D25</x:f>
        <x:v>100</x:v>
      </x:c>
      <x:c r="F25" s="21" t="str">
        <x:f>IF(E25&gt;=0,"PASS","FAIL")</x:f>
        <x:v>PASS</x:v>
      </x:c>
      <x:c r="G25" s="21" t="str">
        <x:v>OPEN</x:v>
      </x:c>
      <x:c r="H25" s="21" t="str">
        <x:v>AIMC capital authority</x:v>
      </x:c>
      <x:c r="I25" s="23" t="str">
        <x:v>Pass 99 is analytical tagging, not a second appropriation</x:v>
      </x:c>
    </x:row>
    <x:row r="26">
      <x:c r="B26" s="21" t="str">
        <x:v>Enterprise reserve</x:v>
      </x:c>
      <x:c r="C26" s="42" t="n">
        <x:v>300</x:v>
      </x:c>
      <x:c r="D26" s="42" t="n">
        <x:v>300</x:v>
      </x:c>
      <x:c r="E26" s="42" t="n">
        <x:f>C26-D26</x:f>
        <x:v>0</x:v>
      </x:c>
      <x:c r="F26" s="21" t="str">
        <x:f>IF(E26&gt;=0,"PASS","FAIL")</x:f>
        <x:v>PASS</x:v>
      </x:c>
      <x:c r="G26" s="21" t="str">
        <x:v>OPEN</x:v>
      </x:c>
      <x:c r="H26" s="21" t="str">
        <x:v>AIMC capital authority</x:v>
      </x:c>
      <x:c r="I26" s="23" t="str">
        <x:v>Pass 99 is analytical tagging, not a second appropriation</x:v>
      </x:c>
    </x:row>
    <x:row r="27">
      <x:c r="B27" s="21"/>
      <x:c r="C27" s="42"/>
      <x:c r="D27" s="42"/>
      <x:c r="E27" s="42"/>
      <x:c r="F27" s="21"/>
      <x:c r="G27" s="21"/>
      <x:c r="H27" s="21"/>
      <x:c r="I27" s="23"/>
    </x:row>
    <x:row r="28">
      <x:c r="B28" s="24" t="str">
        <x:v>AIMC TOTAL</x:v>
      </x:c>
      <x:c r="C28" s="43" t="n">
        <x:v>5250</x:v>
      </x:c>
      <x:c r="D28" s="43" t="n">
        <x:f>SUM(D18:D26)</x:f>
        <x:v>1800</x:v>
      </x:c>
      <x:c r="E28" s="43" t="n">
        <x:f>C28-D28</x:f>
        <x:v>3450</x:v>
      </x:c>
      <x:c r="F28" s="24" t="str">
        <x:f>IF(AND(D28=C13,E28&gt;=0),"PASS","FAIL")</x:f>
        <x:v>PASS</x:v>
      </x:c>
      <x:c r="G28" s="24" t="str">
        <x:v>OPEN</x:v>
      </x:c>
      <x:c r="H28" s="24" t="str">
        <x:v>AIMC capital authority</x:v>
      </x:c>
      <x:c r="I28" s="26" t="str">
        <x:v>established boundary</x:v>
      </x:c>
    </x:row>
    <x:row r="29">
      <x:c r="B29" s="2"/>
      <x:c r="C29" s="2"/>
      <x:c r="D29" s="2"/>
      <x:c r="E29" s="2"/>
      <x:c r="F29" s="2"/>
      <x:c r="G29" s="2"/>
      <x:c r="H29" s="2"/>
      <x:c r="I29" s="2"/>
    </x:row>
    <x:row r="30">
      <x:c r="B30" s="2"/>
      <x:c r="C30" s="2"/>
      <x:c r="D30" s="2"/>
      <x:c r="E30" s="2"/>
      <x:c r="F30" s="2"/>
      <x:c r="G30" s="2"/>
      <x:c r="H30" s="2"/>
      <x:c r="I30" s="2"/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  <x:row r="35">
      <x:c r="B35" s="2"/>
      <x:c r="C35" s="2"/>
      <x:c r="D35" s="2"/>
      <x:c r="E35" s="2"/>
      <x:c r="F35" s="2"/>
      <x:c r="G35" s="2"/>
      <x:c r="H35" s="2"/>
      <x:c r="I35" s="2"/>
    </x:row>
    <x:row r="36">
      <x:c r="B36" s="2"/>
      <x:c r="C36" s="2"/>
      <x:c r="D36" s="2"/>
      <x:c r="E36" s="2"/>
      <x:c r="F36" s="2"/>
      <x:c r="G36" s="2"/>
      <x:c r="H36" s="2"/>
      <x:c r="I36" s="2"/>
    </x:row>
    <x:row r="37">
      <x:c r="B37" s="2"/>
      <x:c r="C37" s="2"/>
      <x:c r="D37" s="2"/>
      <x:c r="E37" s="2"/>
      <x:c r="F37" s="2"/>
      <x:c r="G37" s="2"/>
      <x:c r="H37" s="2"/>
      <x:c r="I37" s="2"/>
    </x:row>
    <x:row r="38">
      <x:c r="B38" s="2"/>
      <x:c r="C38" s="2"/>
      <x:c r="D38" s="2"/>
      <x:c r="E38" s="2"/>
      <x:c r="F38" s="2"/>
      <x:c r="G38" s="2"/>
      <x:c r="H38" s="2"/>
      <x:c r="I38" s="2"/>
    </x:row>
    <x:row r="39">
      <x:c r="B39" s="2"/>
      <x:c r="C39" s="2"/>
      <x:c r="D39" s="2"/>
      <x:c r="E39" s="2"/>
      <x:c r="F39" s="2"/>
      <x:c r="G39" s="2"/>
      <x:c r="H39" s="2"/>
      <x:c r="I39" s="2"/>
    </x:row>
    <x:row r="40">
      <x:c r="B40" s="2"/>
      <x:c r="C40" s="2"/>
      <x:c r="D40" s="2"/>
      <x:c r="E40" s="2"/>
      <x:c r="F40" s="2"/>
      <x:c r="G40" s="2"/>
      <x:c r="H40" s="2"/>
      <x:c r="I40" s="2"/>
    </x:row>
    <x:row r="41">
      <x:c r="B41" s="2"/>
      <x:c r="C41" s="2"/>
      <x:c r="D41" s="2"/>
      <x:c r="E41" s="2"/>
      <x:c r="F41" s="2"/>
      <x:c r="G41" s="2"/>
      <x:c r="H41" s="2"/>
      <x:c r="I41" s="2"/>
    </x:row>
    <x:row r="42">
      <x:c r="B42" s="2"/>
      <x:c r="C42" s="2"/>
      <x:c r="D42" s="2"/>
      <x:c r="E42" s="2"/>
      <x:c r="F42" s="2"/>
      <x:c r="G42" s="2"/>
      <x:c r="H42" s="2"/>
      <x:c r="I42" s="2"/>
    </x:row>
  </x:sheetData>
  <x:mergeCells>
    <x:mergeCell ref="B3:I3"/>
    <x:mergeCell ref="B16:I16"/>
  </x:mergeCells>
  <x:conditionalFormatting sqref="F7:G28">
    <x:cfRule type="containsText" dxfId="81" priority="1" operator="containsText" text="OPEN"/>
    <x:cfRule type="containsText" dxfId="82" priority="2" operator="containsText" text="HOLD"/>
    <x:cfRule type="containsText" dxfId="83" priority="3" operator="containsText" text="BLOCKED"/>
    <x:cfRule type="containsText" dxfId="84" priority="4" operator="containsText" text="GAP"/>
    <x:cfRule type="containsText" dxfId="85" priority="5" operator="containsText" text="NOT ADMITTED"/>
    <x:cfRule type="containsText" dxfId="86" priority="6" operator="containsText" text="FAIL"/>
    <x:cfRule type="containsText" dxfId="87" priority="7" operator="containsText" text="PASS"/>
    <x:cfRule type="containsText" dxfId="88" priority="8" operator="containsText" text="ADEQUATE"/>
    <x:cfRule type="containsText" dxfId="89" priority="9" operator="containsText" text="CLOSES M05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18" hidden="0" customWidth="1"/>
    <x:col min="4" max="4" width="16" hidden="0" customWidth="1"/>
    <x:col min="5" max="5" width="24" hidden="0" customWidth="1"/>
    <x:col min="6" max="6" width="13" hidden="0" customWidth="1"/>
    <x:col min="7" max="7" width="13" hidden="0" customWidth="1"/>
    <x:col min="8" max="8" width="64" hidden="0" customWidth="1"/>
  </x:cols>
  <x:sheetData>
    <x:row r="2">
      <x:c r="B2" s="3" t="str">
        <x:v>Mature annual operating control</x:v>
      </x:c>
      <x:c r="C2" s="2"/>
      <x:c r="D2" s="2"/>
      <x:c r="E2" s="2"/>
      <x:c r="F2" s="2"/>
      <x:c r="G2" s="2"/>
      <x:c r="H2" s="2"/>
    </x:row>
    <x:row r="3">
      <x:c r="B3" s="4" t="str">
        <x:v>The redesign's USD 138.8B annual burden remains inside the established USD 310B mature AIMC operating design.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Operating function</x:v>
      </x:c>
      <x:c r="C6" s="20" t="str">
        <x:v>Annual USD B</x:v>
      </x:c>
      <x:c r="D6" s="20" t="str">
        <x:v>Share AIMC</x:v>
      </x:c>
      <x:c r="E6" s="20" t="str">
        <x:v>Boundary</x:v>
      </x:c>
      <x:c r="F6" s="20" t="str">
        <x:v>Evidence</x:v>
      </x:c>
      <x:c r="G6" s="20" t="str">
        <x:v>Decision</x:v>
      </x:c>
      <x:c r="H6" s="20" t="str">
        <x:v>Interpretation</x:v>
      </x:c>
    </x:row>
    <x:row r="7">
      <x:c r="B7" s="21" t="str">
        <x:v>Family readiness and rotation</x:v>
      </x:c>
      <x:c r="C7" s="55" t="n">
        <x:v>64.8</x:v>
      </x:c>
      <x:c r="D7" s="55" t="n">
        <x:f>C7/Assumptions!$C$19</x:f>
        <x:v>0.2090322580645161</x:v>
      </x:c>
      <x:c r="E7" s="21" t="str">
        <x:v>inside mature AIMC</x:v>
      </x:c>
      <x:c r="F7" s="21" t="str">
        <x:v>OPEN</x:v>
      </x:c>
      <x:c r="G7" s="21" t="str">
        <x:v>HOLD</x:v>
      </x:c>
      <x:c r="H7" s="23" t="str">
        <x:v>planning allocation; no observed operating-cost base</x:v>
      </x:c>
    </x:row>
    <x:row r="8">
      <x:c r="B8" s="21" t="str">
        <x:v>Facility readiness and calibration</x:v>
      </x:c>
      <x:c r="C8" s="55" t="n">
        <x:v>6</x:v>
      </x:c>
      <x:c r="D8" s="55" t="n">
        <x:f>C8/Assumptions!$C$19</x:f>
        <x:v>0.01935483870967742</x:v>
      </x:c>
      <x:c r="E8" s="21" t="str">
        <x:v>inside mature AIMC</x:v>
      </x:c>
      <x:c r="F8" s="21" t="str">
        <x:v>OPEN</x:v>
      </x:c>
      <x:c r="G8" s="21" t="str">
        <x:v>HOLD</x:v>
      </x:c>
      <x:c r="H8" s="23" t="str">
        <x:v>planning allocation; no observed operating-cost base</x:v>
      </x:c>
    </x:row>
    <x:row r="9">
      <x:c r="B9" s="21" t="str">
        <x:v>Standards data and configuration</x:v>
      </x:c>
      <x:c r="C9" s="55" t="n">
        <x:v>3</x:v>
      </x:c>
      <x:c r="D9" s="55" t="n">
        <x:f>C9/Assumptions!$C$19</x:f>
        <x:v>0.00967741935483871</x:v>
      </x:c>
      <x:c r="E9" s="21" t="str">
        <x:v>inside mature AIMC</x:v>
      </x:c>
      <x:c r="F9" s="21" t="str">
        <x:v>OPEN</x:v>
      </x:c>
      <x:c r="G9" s="21" t="str">
        <x:v>HOLD</x:v>
      </x:c>
      <x:c r="H9" s="23" t="str">
        <x:v>planning allocation; no observed operating-cost base</x:v>
      </x:c>
    </x:row>
    <x:row r="10">
      <x:c r="B10" s="21" t="str">
        <x:v>Allied transfer and exercises</x:v>
      </x:c>
      <x:c r="C10" s="55" t="n">
        <x:v>3</x:v>
      </x:c>
      <x:c r="D10" s="55" t="n">
        <x:f>C10/Assumptions!$C$19</x:f>
        <x:v>0.00967741935483871</x:v>
      </x:c>
      <x:c r="E10" s="21" t="str">
        <x:v>inside mature AIMC</x:v>
      </x:c>
      <x:c r="F10" s="21" t="str">
        <x:v>OPEN</x:v>
      </x:c>
      <x:c r="G10" s="21" t="str">
        <x:v>HOLD</x:v>
      </x:c>
      <x:c r="H10" s="23" t="str">
        <x:v>planning allocation; no observed operating-cost base</x:v>
      </x:c>
    </x:row>
    <x:row r="11">
      <x:c r="B11" s="21" t="str">
        <x:v>National mobilization exercise</x:v>
      </x:c>
      <x:c r="C11" s="55" t="n">
        <x:v>62</x:v>
      </x:c>
      <x:c r="D11" s="55" t="n">
        <x:f>C11/Assumptions!$C$19</x:f>
        <x:v>0.2</x:v>
      </x:c>
      <x:c r="E11" s="21" t="str">
        <x:v>inside mature AIMC</x:v>
      </x:c>
      <x:c r="F11" s="21" t="str">
        <x:v>OPEN</x:v>
      </x:c>
      <x:c r="G11" s="21" t="str">
        <x:v>HOLD</x:v>
      </x:c>
      <x:c r="H11" s="23" t="str">
        <x:v>planning allocation; no observed operating-cost base</x:v>
      </x:c>
    </x:row>
    <x:row r="12">
      <x:c r="B12" s="21"/>
      <x:c r="C12" s="55"/>
      <x:c r="D12" s="55"/>
      <x:c r="E12" s="21"/>
      <x:c r="F12" s="21"/>
      <x:c r="G12" s="21"/>
      <x:c r="H12" s="23"/>
    </x:row>
    <x:row r="13">
      <x:c r="B13" s="21" t="str">
        <x:v>PASS 99 OPERATIONS</x:v>
      </x:c>
      <x:c r="C13" s="55" t="n">
        <x:f>SUM(C7:C11)</x:f>
        <x:v>138.8</x:v>
      </x:c>
      <x:c r="D13" s="55" t="n">
        <x:f>C13/Assumptions!$C$19</x:f>
        <x:v>0.447741935483871</x:v>
      </x:c>
      <x:c r="E13" s="21" t="str">
        <x:v>inside mature AIMC</x:v>
      </x:c>
      <x:c r="F13" s="21" t="str">
        <x:v>OPEN</x:v>
      </x:c>
      <x:c r="G13" s="21" t="str">
        <x:v>HOLD</x:v>
      </x:c>
      <x:c r="H13" s="23" t="str">
        <x:v>family readiness plus shared enablers and Pass 98 exercise</x:v>
      </x:c>
    </x:row>
    <x:row r="14">
      <x:c r="B14" s="24" t="str">
        <x:v>REMAINING AIMC OPERATIONS</x:v>
      </x:c>
      <x:c r="C14" s="56" t="n">
        <x:f>Assumptions!$C$19-C13</x:f>
        <x:v>171.2</x:v>
      </x:c>
      <x:c r="D14" s="56" t="n">
        <x:f>C14/Assumptions!$C$19</x:f>
        <x:v>0.552258064516129</x:v>
      </x:c>
      <x:c r="E14" s="24" t="str">
        <x:v>other AIMC functions</x:v>
      </x:c>
      <x:c r="F14" s="24" t="str">
        <x:v>OPEN</x:v>
      </x:c>
      <x:c r="G14" s="24" t="str">
        <x:v>HOLD</x:v>
      </x:c>
      <x:c r="H14" s="26" t="str">
        <x:v>not released by this pass</x:v>
      </x:c>
    </x:row>
    <x:row r="15">
      <x:c r="B15" s="2"/>
      <x:c r="C15" s="2"/>
      <x:c r="D15" s="2"/>
      <x:c r="E15" s="2"/>
      <x:c r="F15" s="2"/>
      <x:c r="G15" s="2"/>
      <x:c r="H15" s="2"/>
    </x:row>
    <x:row r="16">
      <x:c r="B16" s="2"/>
      <x:c r="C16" s="2"/>
      <x:c r="D16" s="2"/>
      <x:c r="E16" s="2"/>
      <x:c r="F16" s="2"/>
      <x:c r="G16" s="2"/>
      <x:c r="H16" s="2"/>
    </x:row>
    <x:row r="17">
      <x:c r="B17" s="2"/>
      <x:c r="C17" s="2"/>
      <x:c r="D17" s="2"/>
      <x:c r="E17" s="2"/>
      <x:c r="F17" s="2"/>
      <x:c r="G17" s="2"/>
      <x:c r="H17" s="2"/>
    </x:row>
    <x:row r="18">
      <x:c r="B18" s="2"/>
      <x:c r="C18" s="2"/>
      <x:c r="D18" s="2"/>
      <x:c r="E18" s="2"/>
      <x:c r="F18" s="2"/>
      <x:c r="G18" s="2"/>
      <x:c r="H18" s="2"/>
    </x:row>
    <x:row r="19">
      <x:c r="B19" s="2"/>
      <x:c r="C19" s="2"/>
      <x:c r="D19" s="2"/>
      <x:c r="E19" s="2"/>
      <x:c r="F19" s="2"/>
      <x:c r="G19" s="2"/>
      <x:c r="H19" s="2"/>
    </x:row>
    <x:row r="20">
      <x:c r="B20" s="2"/>
      <x:c r="C20" s="2"/>
      <x:c r="D20" s="2"/>
      <x:c r="E20" s="2"/>
      <x:c r="F20" s="2"/>
      <x:c r="G20" s="2"/>
      <x:c r="H20" s="2"/>
    </x:row>
    <x:row r="21">
      <x:c r="B21" s="2"/>
      <x:c r="C21" s="2"/>
      <x:c r="D21" s="2"/>
      <x:c r="E21" s="2"/>
      <x:c r="F21" s="2"/>
      <x:c r="G21" s="2"/>
      <x:c r="H21" s="2"/>
    </x:row>
    <x:row r="22">
      <x:c r="B22" s="2"/>
      <x:c r="C22" s="2"/>
      <x:c r="D22" s="2"/>
      <x:c r="E22" s="2"/>
      <x:c r="F22" s="2"/>
      <x:c r="G22" s="2"/>
      <x:c r="H22" s="2"/>
    </x:row>
    <x:row r="23">
      <x:c r="B23" s="2"/>
      <x:c r="C23" s="2"/>
      <x:c r="D23" s="2"/>
      <x:c r="E23" s="2"/>
      <x:c r="F23" s="2"/>
      <x:c r="G23" s="2"/>
      <x:c r="H23" s="2"/>
    </x:row>
    <x:row r="24">
      <x:c r="B24" s="2"/>
      <x:c r="C24" s="2"/>
      <x:c r="D24" s="2"/>
      <x:c r="E24" s="2"/>
      <x:c r="F24" s="2"/>
      <x:c r="G24" s="2"/>
      <x:c r="H24" s="2"/>
    </x:row>
  </x:sheetData>
  <x:mergeCells>
    <x:mergeCell ref="B3:H3"/>
  </x:mergeCells>
  <x:conditionalFormatting sqref="F7:G14">
    <x:cfRule type="containsText" dxfId="90" priority="1" operator="containsText" text="OPEN"/>
    <x:cfRule type="containsText" dxfId="91" priority="2" operator="containsText" text="HOLD"/>
    <x:cfRule type="containsText" dxfId="92" priority="3" operator="containsText" text="BLOCKED"/>
    <x:cfRule type="containsText" dxfId="93" priority="4" operator="containsText" text="GAP"/>
    <x:cfRule type="containsText" dxfId="94" priority="5" operator="containsText" text="NOT ADMITTED"/>
    <x:cfRule type="containsText" dxfId="95" priority="6" operator="containsText" text="FAIL"/>
    <x:cfRule type="containsText" dxfId="96" priority="7" operator="containsText" text="PASS"/>
    <x:cfRule type="containsText" dxfId="97" priority="8" operator="containsText" text="ADEQUATE"/>
    <x:cfRule type="containsText" dxfId="98" priority="9" operator="containsText" text="CLOSES M05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0" hidden="0" customWidth="1"/>
    <x:col min="4" max="4" width="67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1" hidden="0" customWidth="1"/>
    <x:col min="11" max="11" width="20" hidden="0" customWidth="1"/>
  </x:cols>
  <x:sheetData>
    <x:row r="2">
      <x:c r="B2" s="3" t="str">
        <x:v>First complete-chain evidence ledger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A family earns no capacity credit from a component test. The admitted object is a receiver-accepted service lot followed by regeneration under the declared loss world.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Evidence record</x:v>
      </x:c>
      <x:c r="C6" s="20" t="str">
        <x:v>Family</x:v>
      </x:c>
      <x:c r="D6" s="20" t="str">
        <x:v>First complete article</x:v>
      </x:c>
      <x:c r="E6" s="20" t="str">
        <x:v>Evidence authority</x:v>
      </x:c>
      <x:c r="F6" s="20" t="str">
        <x:v>Physical complete</x:v>
      </x:c>
      <x:c r="G6" s="20" t="str">
        <x:v>Evidence accepted</x:v>
      </x:c>
      <x:c r="H6" s="20" t="str">
        <x:v>Service admitted</x:v>
      </x:c>
      <x:c r="I6" s="20" t="str">
        <x:v>Regeneration admitted</x:v>
      </x:c>
      <x:c r="J6" s="20" t="str">
        <x:v>Rendering authority</x:v>
      </x:c>
      <x:c r="K6" s="20" t="str">
        <x:v>State</x:v>
      </x:c>
    </x:row>
    <x:row r="7" ht="45" customHeight="1">
      <x:c r="B7" s="35" t="str">
        <x:v>EV-F05</x:v>
      </x:c>
      <x:c r="C7" s="35" t="str">
        <x:v>F05</x:v>
      </x:c>
      <x:c r="D7" s="35" t="str">
        <x:v>second-region nutrition cell produces and replaces one accepted batch</x:v>
      </x:c>
      <x:c r="E7" s="35" t="str">
        <x:v>Independent Service Evidence Authority</x:v>
      </x:c>
      <x:c r="F7" s="35" t="n">
        <x:v>0</x:v>
      </x:c>
      <x:c r="G7" s="35" t="n">
        <x:v>0</x:v>
      </x:c>
      <x:c r="H7" s="35" t="n">
        <x:v>0</x:v>
      </x:c>
      <x:c r="I7" s="35" t="n">
        <x:v>0</x:v>
      </x:c>
      <x:c r="J7" s="35" t="n">
        <x:v>0</x:v>
      </x:c>
      <x:c r="K7" s="37" t="str">
        <x:v>NOT ADMITTED</x:v>
      </x:c>
    </x:row>
    <x:row r="8" ht="45" customHeight="1">
      <x:c r="B8" s="35" t="str">
        <x:v>EV-F06</x:v>
      </x:c>
      <x:c r="C8" s="35" t="str">
        <x:v>F06</x:v>
      </x:c>
      <x:c r="D8" s="35" t="str">
        <x:v>seven-day grid-denied cold-chain transfer and reset</x:v>
      </x:c>
      <x:c r="E8" s="35" t="str">
        <x:v>Independent Service Evidence Authority</x:v>
      </x:c>
      <x:c r="F8" s="35" t="n">
        <x:v>0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7" t="str">
        <x:v>NOT ADMITTED</x:v>
      </x:c>
    </x:row>
    <x:row r="9" ht="45" customHeight="1">
      <x:c r="B9" s="35" t="str">
        <x:v>EV-F07</x:v>
      </x:c>
      <x:c r="C9" s="35" t="str">
        <x:v>F07</x:v>
      </x:c>
      <x:c r="D9" s="35" t="str">
        <x:v>receiver manufactures and certifies one occupied shelter lot</x:v>
      </x:c>
      <x:c r="E9" s="35" t="str">
        <x:v>Independent Service Evidence Authority</x:v>
      </x:c>
      <x:c r="F9" s="35" t="n">
        <x:v>0</x:v>
      </x:c>
      <x:c r="G9" s="35" t="n">
        <x:v>0</x:v>
      </x:c>
      <x:c r="H9" s="35" t="n">
        <x:v>0</x:v>
      </x:c>
      <x:c r="I9" s="35" t="n">
        <x:v>0</x:v>
      </x:c>
      <x:c r="J9" s="35" t="n">
        <x:v>0</x:v>
      </x:c>
      <x:c r="K9" s="37" t="str">
        <x:v>NOT ADMITTED</x:v>
      </x:c>
    </x:row>
    <x:row r="10" ht="45" customHeight="1">
      <x:c r="B10" s="35" t="str">
        <x:v>EV-F08</x:v>
      </x:c>
      <x:c r="C10" s="35" t="str">
        <x:v>F08</x:v>
      </x:c>
      <x:c r="D10" s="35" t="str">
        <x:v>blind product switch at an alternate foundry</x:v>
      </x:c>
      <x:c r="E10" s="35" t="str">
        <x:v>Independent Service Evidence Authority</x:v>
      </x:c>
      <x:c r="F10" s="35" t="n">
        <x:v>0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7" t="str">
        <x:v>NOT ADMITTED</x:v>
      </x:c>
    </x:row>
    <x:row r="11" ht="45" customHeight="1">
      <x:c r="B11" s="35" t="str">
        <x:v>EV-F13</x:v>
      </x:c>
      <x:c r="C11" s="35" t="str">
        <x:v>F13</x:v>
      </x:c>
      <x:c r="D11" s="35" t="str">
        <x:v>second-team sterile batch through independent release</x:v>
      </x:c>
      <x:c r="E11" s="35" t="str">
        <x:v>Independent Service Evidence Authority</x:v>
      </x:c>
      <x:c r="F11" s="35" t="n">
        <x:v>0</x:v>
      </x:c>
      <x:c r="G11" s="35" t="n">
        <x:v>0</x:v>
      </x:c>
      <x:c r="H11" s="35" t="n">
        <x:v>0</x:v>
      </x:c>
      <x:c r="I11" s="35" t="n">
        <x:v>0</x:v>
      </x:c>
      <x:c r="J11" s="35" t="n">
        <x:v>0</x:v>
      </x:c>
      <x:c r="K11" s="37" t="str">
        <x:v>NOT ADMITTED</x:v>
      </x:c>
    </x:row>
    <x:row r="12" ht="45" customHeight="1">
      <x:c r="B12" s="35" t="str">
        <x:v>EV-F17</x:v>
      </x:c>
      <x:c r="C12" s="35" t="str">
        <x:v>F17</x:v>
      </x:c>
      <x:c r="D12" s="35" t="str">
        <x:v>grid-denied safe start and accepted power-module lot</x:v>
      </x:c>
      <x:c r="E12" s="35" t="str">
        <x:v>Independent Service Evidence Authority</x:v>
      </x:c>
      <x:c r="F12" s="35" t="n">
        <x:v>0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7" t="str">
        <x:v>NOT ADMITTED</x:v>
      </x:c>
    </x:row>
    <x:row r="13" ht="45" customHeight="1">
      <x:c r="B13" s="35" t="str">
        <x:v>EV-F18</x:v>
      </x:c>
      <x:c r="C13" s="35" t="str">
        <x:v>F18</x:v>
      </x:c>
      <x:c r="D13" s="35" t="str">
        <x:v>alternate-facility storage-module reproduction and recovery</x:v>
      </x:c>
      <x:c r="E13" s="35" t="str">
        <x:v>Independent Service Evidence Authority</x:v>
      </x:c>
      <x:c r="F13" s="35" t="n">
        <x:v>0</x:v>
      </x:c>
      <x:c r="G13" s="35" t="n">
        <x:v>0</x:v>
      </x:c>
      <x:c r="H13" s="35" t="n">
        <x:v>0</x:v>
      </x:c>
      <x:c r="I13" s="35" t="n">
        <x:v>0</x:v>
      </x:c>
      <x:c r="J13" s="35" t="n">
        <x:v>0</x:v>
      </x:c>
      <x:c r="K13" s="37" t="str">
        <x:v>NOT ADMITTED</x:v>
      </x:c>
    </x:row>
    <x:row r="14" ht="45" customHeight="1">
      <x:c r="B14" s="35" t="str">
        <x:v>EV-F20</x:v>
      </x:c>
      <x:c r="C14" s="35" t="str">
        <x:v>F20</x:v>
      </x:c>
      <x:c r="D14" s="35" t="str">
        <x:v>unknown-feed fuel batch with residual and catalyst reset</x:v>
      </x:c>
      <x:c r="E14" s="35" t="str">
        <x:v>Independent Service Evidence Authority</x:v>
      </x:c>
      <x:c r="F14" s="35" t="n">
        <x:v>0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7" t="str">
        <x:v>NOT ADMITTED</x:v>
      </x:c>
    </x:row>
    <x:row r="15" ht="45" customHeight="1">
      <x:c r="B15" s="35" t="str">
        <x:v>EV-F21</x:v>
      </x:c>
      <x:c r="C15" s="35" t="str">
        <x:v>F21</x:v>
      </x:c>
      <x:c r="D15" s="35" t="str">
        <x:v>damaged-corridor line segment installed and energized</x:v>
      </x:c>
      <x:c r="E15" s="35" t="str">
        <x:v>Independent Service Evidence Authority</x:v>
      </x:c>
      <x:c r="F15" s="35" t="n">
        <x:v>0</x:v>
      </x:c>
      <x:c r="G15" s="35" t="n">
        <x:v>0</x:v>
      </x:c>
      <x:c r="H15" s="35" t="n">
        <x:v>0</x:v>
      </x:c>
      <x:c r="I15" s="35" t="n">
        <x:v>0</x:v>
      </x:c>
      <x:c r="J15" s="35" t="n">
        <x:v>0</x:v>
      </x:c>
      <x:c r="K15" s="37" t="str">
        <x:v>NOT ADMITTED</x:v>
      </x:c>
    </x:row>
    <x:row r="16" ht="45" customHeight="1">
      <x:c r="B16" s="35" t="str">
        <x:v>EV-F27</x:v>
      </x:c>
      <x:c r="C16" s="35" t="str">
        <x:v>F27</x:v>
      </x:c>
      <x:c r="D16" s="35" t="str">
        <x:v>alternate-base heavy sortie after route and supplier loss</x:v>
      </x:c>
      <x:c r="E16" s="35" t="str">
        <x:v>Independent Service Evidence Authority</x:v>
      </x:c>
      <x:c r="F16" s="35" t="n">
        <x:v>0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7" t="str">
        <x:v>NOT ADMITTED</x:v>
      </x:c>
    </x:row>
    <x:row r="17" ht="45" customHeight="1">
      <x:c r="B17" s="35" t="str">
        <x:v>EV-F29</x:v>
      </x:c>
      <x:c r="C17" s="35" t="str">
        <x:v>F29</x:v>
      </x:c>
      <x:c r="D17" s="35" t="str">
        <x:v>damaged-port sortie with pier denial and reset</x:v>
      </x:c>
      <x:c r="E17" s="35" t="str">
        <x:v>Independent Service Evidence Authority</x:v>
      </x:c>
      <x:c r="F17" s="35" t="n">
        <x:v>0</x:v>
      </x:c>
      <x:c r="G17" s="35" t="n">
        <x:v>0</x:v>
      </x:c>
      <x:c r="H17" s="35" t="n">
        <x:v>0</x:v>
      </x:c>
      <x:c r="I17" s="35" t="n">
        <x:v>0</x:v>
      </x:c>
      <x:c r="J17" s="35" t="n">
        <x:v>0</x:v>
      </x:c>
      <x:c r="K17" s="37" t="str">
        <x:v>NOT ADMITTED</x:v>
      </x:c>
    </x:row>
    <x:row r="18" ht="45" customHeight="1">
      <x:c r="B18" s="35" t="str">
        <x:v>EV-F30</x:v>
      </x:c>
      <x:c r="C18" s="35" t="str">
        <x:v>F30</x:v>
      </x:c>
      <x:c r="D18" s="35" t="str">
        <x:v>unannounced basin transfer and debris-waterway mission</x:v>
      </x:c>
      <x:c r="E18" s="35" t="str">
        <x:v>Independent Service Evidence Authority</x:v>
      </x:c>
      <x:c r="F18" s="35" t="n">
        <x:v>0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7" t="str">
        <x:v>NOT ADMITTED</x:v>
      </x:c>
    </x:row>
    <x:row r="19" ht="45" customHeight="1">
      <x:c r="B19" s="35" t="str">
        <x:v>EV-F31</x:v>
      </x:c>
      <x:c r="C19" s="35" t="str">
        <x:v>F31</x:v>
      </x:c>
      <x:c r="D19" s="35" t="str">
        <x:v>one-cell loss followed by independent convoy service</x:v>
      </x:c>
      <x:c r="E19" s="35" t="str">
        <x:v>Independent Service Evidence Authority</x:v>
      </x:c>
      <x:c r="F19" s="35" t="n">
        <x:v>0</x:v>
      </x:c>
      <x:c r="G19" s="35" t="n">
        <x:v>0</x:v>
      </x:c>
      <x:c r="H19" s="35" t="n">
        <x:v>0</x:v>
      </x:c>
      <x:c r="I19" s="35" t="n">
        <x:v>0</x:v>
      </x:c>
      <x:c r="J19" s="35" t="n">
        <x:v>0</x:v>
      </x:c>
      <x:c r="K19" s="37" t="str">
        <x:v>NOT ADMITTED</x:v>
      </x:c>
    </x:row>
    <x:row r="20" ht="45" customHeight="1">
      <x:c r="B20" s="35" t="str">
        <x:v>EV-F32</x:v>
      </x:c>
      <x:c r="C20" s="35" t="str">
        <x:v>F32</x:v>
      </x:c>
      <x:c r="D20" s="35" t="str">
        <x:v>alternate-site heavy crossing from cold inventory</x:v>
      </x:c>
      <x:c r="E20" s="35" t="str">
        <x:v>Independent Service Evidence Authority</x:v>
      </x:c>
      <x:c r="F20" s="35" t="n">
        <x:v>0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7" t="str">
        <x:v>NOT ADMITTED</x:v>
      </x:c>
    </x:row>
    <x:row r="21" ht="45" customHeight="1">
      <x:c r="B21" s="35" t="str">
        <x:v>EV-F33</x:v>
      </x:c>
      <x:c r="C21" s="35" t="str">
        <x:v>F33</x:v>
      </x:c>
      <x:c r="D21" s="35" t="str">
        <x:v>one integrated port-rail-airfield node reopened after two access cuts</x:v>
      </x:c>
      <x:c r="E21" s="35" t="str">
        <x:v>Independent Service Evidence Authority</x:v>
      </x:c>
      <x:c r="F21" s="35" t="n">
        <x:v>0</x:v>
      </x:c>
      <x:c r="G21" s="35" t="n">
        <x:v>0</x:v>
      </x:c>
      <x:c r="H21" s="35" t="n">
        <x:v>0</x:v>
      </x:c>
      <x:c r="I21" s="35" t="n">
        <x:v>0</x:v>
      </x:c>
      <x:c r="J21" s="35" t="n">
        <x:v>0</x:v>
      </x:c>
      <x:c r="K21" s="37" t="str">
        <x:v>NOT ADMITTED</x:v>
      </x:c>
    </x:row>
    <x:row r="22" ht="45" customHeight="1">
      <x:c r="B22" s="35" t="str">
        <x:v>EV-F34</x:v>
      </x:c>
      <x:c r="C22" s="35" t="str">
        <x:v>F34</x:v>
      </x:c>
      <x:c r="D22" s="35" t="str">
        <x:v>grid- and shipyard-denied utility-block acceptance</x:v>
      </x:c>
      <x:c r="E22" s="35" t="str">
        <x:v>Independent Service Evidence Authority</x:v>
      </x:c>
      <x:c r="F22" s="35" t="n">
        <x:v>0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7" t="str">
        <x:v>NOT ADMITTED</x:v>
      </x:c>
    </x:row>
    <x:row r="23" ht="45" customHeight="1">
      <x:c r="B23" s="35" t="str">
        <x:v>EV-F35</x:v>
      </x:c>
      <x:c r="C23" s="35" t="str">
        <x:v>F35</x:v>
      </x:c>
      <x:c r="D23" s="35" t="str">
        <x:v>unknown-feed treatment lot with full residual recovery</x:v>
      </x:c>
      <x:c r="E23" s="35" t="str">
        <x:v>Independent Service Evidence Authority</x:v>
      </x:c>
      <x:c r="F23" s="35" t="n">
        <x:v>0</x:v>
      </x:c>
      <x:c r="G23" s="35" t="n">
        <x:v>0</x:v>
      </x:c>
      <x:c r="H23" s="35" t="n">
        <x:v>0</x:v>
      </x:c>
      <x:c r="I23" s="35" t="n">
        <x:v>0</x:v>
      </x:c>
      <x:c r="J23" s="35" t="n">
        <x:v>0</x:v>
      </x:c>
      <x:c r="K23" s="37" t="str">
        <x:v>NOT ADMITTED</x:v>
      </x:c>
    </x:row>
    <x:row r="24" ht="45" customHeight="1">
      <x:c r="B24" s="35" t="str">
        <x:v>EV-F36</x:v>
      </x:c>
      <x:c r="C24" s="35" t="str">
        <x:v>F36</x:v>
      </x:c>
      <x:c r="D24" s="35" t="str">
        <x:v>ten-kilometre trunkline from sealed cold state through potable release</x:v>
      </x:c>
      <x:c r="E24" s="35" t="str">
        <x:v>Independent Service Evidence Authority</x:v>
      </x:c>
      <x:c r="F24" s="35" t="n">
        <x:v>0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7" t="str">
        <x:v>NOT ADMITTED</x:v>
      </x:c>
    </x:row>
    <x:row r="25" ht="45" customHeight="1">
      <x:c r="B25" s="35" t="str">
        <x:v>EV-F37</x:v>
      </x:c>
      <x:c r="C25" s="35" t="str">
        <x:v>F37</x:v>
      </x:c>
      <x:c r="D25" s="35" t="str">
        <x:v>grid-denied wastewater service and biological reset</x:v>
      </x:c>
      <x:c r="E25" s="35" t="str">
        <x:v>Independent Service Evidence Authority</x:v>
      </x:c>
      <x:c r="F25" s="35" t="n">
        <x:v>0</x:v>
      </x:c>
      <x:c r="G25" s="35" t="n">
        <x:v>0</x:v>
      </x:c>
      <x:c r="H25" s="35" t="n">
        <x:v>0</x:v>
      </x:c>
      <x:c r="I25" s="35" t="n">
        <x:v>0</x:v>
      </x:c>
      <x:c r="J25" s="35" t="n">
        <x:v>0</x:v>
      </x:c>
      <x:c r="K25" s="37" t="str">
        <x:v>NOT ADMITTED</x:v>
      </x:c>
    </x:row>
    <x:row r="26" ht="45" customHeight="1">
      <x:c r="B26" s="35" t="str">
        <x:v>EV-F45</x:v>
      </x:c>
      <x:c r="C26" s="35" t="str">
        <x:v>F45</x:v>
      </x:c>
      <x:c r="D26" s="35" t="str">
        <x:v>occupied housing block completed after corridor loss</x:v>
      </x:c>
      <x:c r="E26" s="35" t="str">
        <x:v>Independent Service Evidence Authority</x:v>
      </x:c>
      <x:c r="F26" s="35" t="n">
        <x:v>0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7" t="str">
        <x:v>NOT ADMITTED</x:v>
      </x:c>
    </x:row>
    <x:row r="27" ht="45" customHeight="1">
      <x:c r="B27" s="35" t="str">
        <x:v>EV-F46</x:v>
      </x:c>
      <x:c r="C27" s="35" t="str">
        <x:v>F46</x:v>
      </x:c>
      <x:c r="D27" s="35" t="str">
        <x:v>contaminated debris stream becomes qualified replacement feed</x:v>
      </x:c>
      <x:c r="E27" s="35" t="str">
        <x:v>Independent Service Evidence Authority</x:v>
      </x:c>
      <x:c r="F27" s="35" t="n">
        <x:v>0</x:v>
      </x:c>
      <x:c r="G27" s="35" t="n">
        <x:v>0</x:v>
      </x:c>
      <x:c r="H27" s="35" t="n">
        <x:v>0</x:v>
      </x:c>
      <x:c r="I27" s="35" t="n">
        <x:v>0</x:v>
      </x:c>
      <x:c r="J27" s="35" t="n">
        <x:v>0</x:v>
      </x:c>
      <x:c r="K27" s="37" t="str">
        <x:v>NOT ADMITTED</x:v>
      </x:c>
    </x:row>
    <x:row r="28" ht="45" customHeight="1">
      <x:c r="B28" s="38" t="str">
        <x:v>EV-F47</x:v>
      </x:c>
      <x:c r="C28" s="38" t="str">
        <x:v>F47</x:v>
      </x:c>
      <x:c r="D28" s="38" t="str">
        <x:v>second-city utility and public-works block activation</x:v>
      </x:c>
      <x:c r="E28" s="38" t="str">
        <x:v>Independent Service Evidence Authority</x:v>
      </x:c>
      <x:c r="F28" s="38" t="n">
        <x:v>0</x:v>
      </x:c>
      <x:c r="G28" s="38" t="n">
        <x:v>0</x:v>
      </x:c>
      <x:c r="H28" s="38" t="n">
        <x:v>0</x:v>
      </x:c>
      <x:c r="I28" s="38" t="n">
        <x:v>0</x:v>
      </x:c>
      <x:c r="J28" s="38" t="n">
        <x:v>0</x:v>
      </x:c>
      <x:c r="K28" s="40" t="str">
        <x:v>NOT ADMITTED</x:v>
      </x:c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</x:sheetData>
  <x:mergeCells>
    <x:mergeCell ref="B3:K3"/>
  </x:mergeCells>
  <x:conditionalFormatting sqref="F7:K28">
    <x:cfRule type="containsText" dxfId="99" priority="1" operator="containsText" text="OPEN"/>
    <x:cfRule type="containsText" dxfId="100" priority="2" operator="containsText" text="HOLD"/>
    <x:cfRule type="containsText" dxfId="101" priority="3" operator="containsText" text="BLOCKED"/>
    <x:cfRule type="containsText" dxfId="102" priority="4" operator="containsText" text="GAP"/>
    <x:cfRule type="containsText" dxfId="103" priority="5" operator="containsText" text="NOT ADMITTED"/>
    <x:cfRule type="containsText" dxfId="104" priority="6" operator="containsText" text="FAIL"/>
    <x:cfRule type="containsText" dxfId="105" priority="7" operator="containsText" text="PASS"/>
    <x:cfRule type="containsText" dxfId="106" priority="8" operator="containsText" text="ADEQUATE"/>
    <x:cfRule type="containsText" dxfId="107" priority="9" operator="containsText" text="CLOSES M05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40" hidden="0" customWidth="1"/>
    <x:col min="4" max="4" width="56" hidden="0" customWidth="1"/>
    <x:col min="5" max="5" width="44" hidden="0" customWidth="1"/>
    <x:col min="6" max="6" width="48" hidden="0" customWidth="1"/>
    <x:col min="7" max="7" width="13" hidden="0" customWidth="1"/>
    <x:col min="8" max="8" width="13" hidden="0" customWidth="1"/>
    <x:col min="9" max="9" width="11" hidden="0" customWidth="1"/>
  </x:cols>
  <x:sheetData>
    <x:row r="2">
      <x:c r="B2" s="3" t="str">
        <x:v>Industrial redesign decision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Thirty gates prevent financial completeness, architecture prose or emergency urgency from impersonating physical readiness.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Gate</x:v>
      </x:c>
      <x:c r="C6" s="20" t="str">
        <x:v>Question</x:v>
      </x:c>
      <x:c r="D6" s="20" t="str">
        <x:v>Required answer</x:v>
      </x:c>
      <x:c r="E6" s="20" t="str">
        <x:v>Authority</x:v>
      </x:c>
      <x:c r="F6" s="20" t="str">
        <x:v>Reopen trigger</x:v>
      </x:c>
      <x:c r="G6" s="20" t="str">
        <x:v>Evidence</x:v>
      </x:c>
      <x:c r="H6" s="20" t="str">
        <x:v>Status</x:v>
      </x:c>
      <x:c r="I6" s="20" t="str">
        <x:v>Credit</x:v>
      </x:c>
    </x:row>
    <x:row r="7" ht="38" customHeight="1">
      <x:c r="B7" s="35" t="str">
        <x:v>D01</x:v>
      </x:c>
      <x:c r="C7" s="35" t="str">
        <x:v>Family dependency declaration</x:v>
      </x:c>
      <x:c r="D7" s="35" t="str">
        <x:v>declared dependency closes without composite offset</x:v>
      </x:c>
      <x:c r="E7" s="35" t="str">
        <x:v>Family Program Office + named independent authority</x:v>
      </x:c>
      <x:c r="F7" s="35" t="str">
        <x:v>accepted gate-specific artifact</x:v>
      </x:c>
      <x:c r="G7" s="35" t="str">
        <x:v>OPEN</x:v>
      </x:c>
      <x:c r="H7" s="35" t="str">
        <x:v>HOLD</x:v>
      </x:c>
      <x:c r="I7" s="37" t="n">
        <x:v>0</x:v>
      </x:c>
    </x:row>
    <x:row r="8" ht="38" customHeight="1">
      <x:c r="B8" s="35" t="str">
        <x:v>D02</x:v>
      </x:c>
      <x:c r="C8" s="35" t="str">
        <x:v>Mission-lot identity</x:v>
      </x:c>
      <x:c r="D8" s="35" t="str">
        <x:v>declared dependency closes without composite offset</x:v>
      </x:c>
      <x:c r="E8" s="35" t="str">
        <x:v>Family Program Office + named independent authority</x:v>
      </x:c>
      <x:c r="F8" s="35" t="str">
        <x:v>accepted gate-specific artifact</x:v>
      </x:c>
      <x:c r="G8" s="35" t="str">
        <x:v>OPEN</x:v>
      </x:c>
      <x:c r="H8" s="35" t="str">
        <x:v>HOLD</x:v>
      </x:c>
      <x:c r="I8" s="37" t="n">
        <x:v>0</x:v>
      </x:c>
    </x:row>
    <x:row r="9" ht="38" customHeight="1">
      <x:c r="B9" s="35" t="str">
        <x:v>D03</x:v>
      </x:c>
      <x:c r="C9" s="35" t="str">
        <x:v>Baseline reconstruction</x:v>
      </x:c>
      <x:c r="D9" s="35" t="str">
        <x:v>declared dependency closes without composite offset</x:v>
      </x:c>
      <x:c r="E9" s="35" t="str">
        <x:v>Family Program Office + named independent authority</x:v>
      </x:c>
      <x:c r="F9" s="35" t="str">
        <x:v>accepted gate-specific artifact</x:v>
      </x:c>
      <x:c r="G9" s="35" t="str">
        <x:v>OPEN</x:v>
      </x:c>
      <x:c r="H9" s="35" t="str">
        <x:v>HOLD</x:v>
      </x:c>
      <x:c r="I9" s="37" t="n">
        <x:v>0</x:v>
      </x:c>
    </x:row>
    <x:row r="10" ht="38" customHeight="1">
      <x:c r="B10" s="35" t="str">
        <x:v>D04</x:v>
      </x:c>
      <x:c r="C10" s="35" t="str">
        <x:v>Capacity units</x:v>
      </x:c>
      <x:c r="D10" s="35" t="str">
        <x:v>declared dependency closes without composite offset</x:v>
      </x:c>
      <x:c r="E10" s="35" t="str">
        <x:v>Family Program Office + named independent authority</x:v>
      </x:c>
      <x:c r="F10" s="35" t="str">
        <x:v>accepted gate-specific artifact</x:v>
      </x:c>
      <x:c r="G10" s="35" t="str">
        <x:v>OPEN</x:v>
      </x:c>
      <x:c r="H10" s="35" t="str">
        <x:v>HOLD</x:v>
      </x:c>
      <x:c r="I10" s="37" t="n">
        <x:v>0</x:v>
      </x:c>
    </x:row>
    <x:row r="11" ht="38" customHeight="1">
      <x:c r="B11" s="35" t="str">
        <x:v>D05</x:v>
      </x:c>
      <x:c r="C11" s="35" t="str">
        <x:v>Protected reserve custody</x:v>
      </x:c>
      <x:c r="D11" s="35" t="str">
        <x:v>declared dependency closes without composite offset</x:v>
      </x:c>
      <x:c r="E11" s="35" t="str">
        <x:v>Family Program Office + named independent authority</x:v>
      </x:c>
      <x:c r="F11" s="35" t="str">
        <x:v>accepted gate-specific artifact</x:v>
      </x:c>
      <x:c r="G11" s="35" t="str">
        <x:v>OPEN</x:v>
      </x:c>
      <x:c r="H11" s="35" t="str">
        <x:v>HOLD</x:v>
      </x:c>
      <x:c r="I11" s="37" t="n">
        <x:v>0</x:v>
      </x:c>
    </x:row>
    <x:row r="12" ht="38" customHeight="1">
      <x:c r="B12" s="35" t="str">
        <x:v>D06</x:v>
      </x:c>
      <x:c r="C12" s="35" t="str">
        <x:v>Primary architecture</x:v>
      </x:c>
      <x:c r="D12" s="35" t="str">
        <x:v>declared dependency closes without composite offset</x:v>
      </x:c>
      <x:c r="E12" s="35" t="str">
        <x:v>Family Program Office + named independent authority</x:v>
      </x:c>
      <x:c r="F12" s="35" t="str">
        <x:v>accepted gate-specific artifact</x:v>
      </x:c>
      <x:c r="G12" s="35" t="str">
        <x:v>OPEN</x:v>
      </x:c>
      <x:c r="H12" s="35" t="str">
        <x:v>HOLD</x:v>
      </x:c>
      <x:c r="I12" s="37" t="n">
        <x:v>0</x:v>
      </x:c>
    </x:row>
    <x:row r="13" ht="38" customHeight="1">
      <x:c r="B13" s="35" t="str">
        <x:v>D07</x:v>
      </x:c>
      <x:c r="C13" s="35" t="str">
        <x:v>Secondary architecture</x:v>
      </x:c>
      <x:c r="D13" s="35" t="str">
        <x:v>declared dependency closes without composite offset</x:v>
      </x:c>
      <x:c r="E13" s="35" t="str">
        <x:v>Family Program Office + named independent authority</x:v>
      </x:c>
      <x:c r="F13" s="35" t="str">
        <x:v>accepted gate-specific artifact</x:v>
      </x:c>
      <x:c r="G13" s="35" t="str">
        <x:v>OPEN</x:v>
      </x:c>
      <x:c r="H13" s="35" t="str">
        <x:v>HOLD</x:v>
      </x:c>
      <x:c r="I13" s="37" t="n">
        <x:v>0</x:v>
      </x:c>
    </x:row>
    <x:row r="14" ht="38" customHeight="1">
      <x:c r="B14" s="35" t="str">
        <x:v>D08</x:v>
      </x:c>
      <x:c r="C14" s="35" t="str">
        <x:v>Whole-chain layer</x:v>
      </x:c>
      <x:c r="D14" s="35" t="str">
        <x:v>declared dependency closes without composite offset</x:v>
      </x:c>
      <x:c r="E14" s="35" t="str">
        <x:v>Family Program Office + named independent authority</x:v>
      </x:c>
      <x:c r="F14" s="35" t="str">
        <x:v>accepted gate-specific artifact</x:v>
      </x:c>
      <x:c r="G14" s="35" t="str">
        <x:v>OPEN</x:v>
      </x:c>
      <x:c r="H14" s="35" t="str">
        <x:v>HOLD</x:v>
      </x:c>
      <x:c r="I14" s="37" t="n">
        <x:v>0</x:v>
      </x:c>
    </x:row>
    <x:row r="15" ht="38" customHeight="1">
      <x:c r="B15" s="35" t="str">
        <x:v>D09</x:v>
      </x:c>
      <x:c r="C15" s="35" t="str">
        <x:v>No composite offset</x:v>
      </x:c>
      <x:c r="D15" s="35" t="str">
        <x:v>declared dependency closes without composite offset</x:v>
      </x:c>
      <x:c r="E15" s="35" t="str">
        <x:v>Family Program Office + named independent authority</x:v>
      </x:c>
      <x:c r="F15" s="35" t="str">
        <x:v>accepted gate-specific artifact</x:v>
      </x:c>
      <x:c r="G15" s="35" t="str">
        <x:v>OPEN</x:v>
      </x:c>
      <x:c r="H15" s="35" t="str">
        <x:v>HOLD</x:v>
      </x:c>
      <x:c r="I15" s="37" t="n">
        <x:v>0</x:v>
      </x:c>
    </x:row>
    <x:row r="16" ht="38" customHeight="1">
      <x:c r="B16" s="35" t="str">
        <x:v>D10</x:v>
      </x:c>
      <x:c r="C16" s="35" t="str">
        <x:v>M05 headroom</x:v>
      </x:c>
      <x:c r="D16" s="35" t="str">
        <x:v>declared dependency closes without composite offset</x:v>
      </x:c>
      <x:c r="E16" s="35" t="str">
        <x:v>Family Program Office + named independent authority</x:v>
      </x:c>
      <x:c r="F16" s="35" t="str">
        <x:v>accepted gate-specific artifact</x:v>
      </x:c>
      <x:c r="G16" s="35" t="str">
        <x:v>OPEN</x:v>
      </x:c>
      <x:c r="H16" s="35" t="str">
        <x:v>HOLD</x:v>
      </x:c>
      <x:c r="I16" s="37" t="n">
        <x:v>0</x:v>
      </x:c>
    </x:row>
    <x:row r="17" ht="38" customHeight="1">
      <x:c r="B17" s="35" t="str">
        <x:v>D11</x:v>
      </x:c>
      <x:c r="C17" s="35" t="str">
        <x:v>M06 disclosure</x:v>
      </x:c>
      <x:c r="D17" s="35" t="str">
        <x:v>declared dependency closes without composite offset</x:v>
      </x:c>
      <x:c r="E17" s="35" t="str">
        <x:v>Family Program Office + named independent authority</x:v>
      </x:c>
      <x:c r="F17" s="35" t="str">
        <x:v>accepted gate-specific artifact</x:v>
      </x:c>
      <x:c r="G17" s="35" t="str">
        <x:v>OPEN</x:v>
      </x:c>
      <x:c r="H17" s="35" t="str">
        <x:v>HOLD</x:v>
      </x:c>
      <x:c r="I17" s="37" t="n">
        <x:v>0</x:v>
      </x:c>
    </x:row>
    <x:row r="18" ht="38" customHeight="1">
      <x:c r="B18" s="35" t="str">
        <x:v>D12</x:v>
      </x:c>
      <x:c r="C18" s="35" t="str">
        <x:v>Root independence</x:v>
      </x:c>
      <x:c r="D18" s="35" t="str">
        <x:v>declared dependency closes without composite offset</x:v>
      </x:c>
      <x:c r="E18" s="35" t="str">
        <x:v>Family Program Office + named independent authority</x:v>
      </x:c>
      <x:c r="F18" s="35" t="str">
        <x:v>accepted gate-specific artifact</x:v>
      </x:c>
      <x:c r="G18" s="35" t="str">
        <x:v>OPEN</x:v>
      </x:c>
      <x:c r="H18" s="35" t="str">
        <x:v>HOLD</x:v>
      </x:c>
      <x:c r="I18" s="37" t="n">
        <x:v>0</x:v>
      </x:c>
    </x:row>
    <x:row r="19" ht="38" customHeight="1">
      <x:c r="B19" s="35" t="str">
        <x:v>D13</x:v>
      </x:c>
      <x:c r="C19" s="35" t="str">
        <x:v>Islanded utilities</x:v>
      </x:c>
      <x:c r="D19" s="35" t="str">
        <x:v>declared dependency closes without composite offset</x:v>
      </x:c>
      <x:c r="E19" s="35" t="str">
        <x:v>Family Program Office + named independent authority</x:v>
      </x:c>
      <x:c r="F19" s="35" t="str">
        <x:v>accepted gate-specific artifact</x:v>
      </x:c>
      <x:c r="G19" s="35" t="str">
        <x:v>OPEN</x:v>
      </x:c>
      <x:c r="H19" s="35" t="str">
        <x:v>HOLD</x:v>
      </x:c>
      <x:c r="I19" s="37" t="n">
        <x:v>0</x:v>
      </x:c>
    </x:row>
    <x:row r="20" ht="38" customHeight="1">
      <x:c r="B20" s="35" t="str">
        <x:v>D14</x:v>
      </x:c>
      <x:c r="C20" s="35" t="str">
        <x:v>Transferable tooling</x:v>
      </x:c>
      <x:c r="D20" s="35" t="str">
        <x:v>declared dependency closes without composite offset</x:v>
      </x:c>
      <x:c r="E20" s="35" t="str">
        <x:v>Family Program Office + named independent authority</x:v>
      </x:c>
      <x:c r="F20" s="35" t="str">
        <x:v>accepted gate-specific artifact</x:v>
      </x:c>
      <x:c r="G20" s="35" t="str">
        <x:v>OPEN</x:v>
      </x:c>
      <x:c r="H20" s="35" t="str">
        <x:v>HOLD</x:v>
      </x:c>
      <x:c r="I20" s="37" t="n">
        <x:v>0</x:v>
      </x:c>
    </x:row>
    <x:row r="21" ht="38" customHeight="1">
      <x:c r="B21" s="35" t="str">
        <x:v>D15</x:v>
      </x:c>
      <x:c r="C21" s="35" t="str">
        <x:v>Material substitution</x:v>
      </x:c>
      <x:c r="D21" s="35" t="str">
        <x:v>declared dependency closes without composite offset</x:v>
      </x:c>
      <x:c r="E21" s="35" t="str">
        <x:v>Family Program Office + named independent authority</x:v>
      </x:c>
      <x:c r="F21" s="35" t="str">
        <x:v>accepted gate-specific artifact</x:v>
      </x:c>
      <x:c r="G21" s="35" t="str">
        <x:v>OPEN</x:v>
      </x:c>
      <x:c r="H21" s="35" t="str">
        <x:v>HOLD</x:v>
      </x:c>
      <x:c r="I21" s="37" t="n">
        <x:v>0</x:v>
      </x:c>
    </x:row>
    <x:row r="22" ht="38" customHeight="1">
      <x:c r="B22" s="35" t="str">
        <x:v>D16</x:v>
      </x:c>
      <x:c r="C22" s="35" t="str">
        <x:v>Conforming yield</x:v>
      </x:c>
      <x:c r="D22" s="35" t="str">
        <x:v>declared dependency closes without composite offset</x:v>
      </x:c>
      <x:c r="E22" s="35" t="str">
        <x:v>Family Program Office + named independent authority</x:v>
      </x:c>
      <x:c r="F22" s="35" t="str">
        <x:v>accepted gate-specific artifact</x:v>
      </x:c>
      <x:c r="G22" s="35" t="str">
        <x:v>OPEN</x:v>
      </x:c>
      <x:c r="H22" s="35" t="str">
        <x:v>HOLD</x:v>
      </x:c>
      <x:c r="I22" s="37" t="n">
        <x:v>0</x:v>
      </x:c>
    </x:row>
    <x:row r="23" ht="38" customHeight="1">
      <x:c r="B23" s="35" t="str">
        <x:v>D17</x:v>
      </x:c>
      <x:c r="C23" s="35" t="str">
        <x:v>Self-load and transfer</x:v>
      </x:c>
      <x:c r="D23" s="35" t="str">
        <x:v>declared dependency closes without composite offset</x:v>
      </x:c>
      <x:c r="E23" s="35" t="str">
        <x:v>Family Program Office + named independent authority</x:v>
      </x:c>
      <x:c r="F23" s="35" t="str">
        <x:v>accepted gate-specific artifact</x:v>
      </x:c>
      <x:c r="G23" s="35" t="str">
        <x:v>OPEN</x:v>
      </x:c>
      <x:c r="H23" s="35" t="str">
        <x:v>HOLD</x:v>
      </x:c>
      <x:c r="I23" s="37" t="n">
        <x:v>0</x:v>
      </x:c>
    </x:row>
    <x:row r="24" ht="38" customHeight="1">
      <x:c r="B24" s="35" t="str">
        <x:v>D18</x:v>
      </x:c>
      <x:c r="C24" s="35" t="str">
        <x:v>Route diversity</x:v>
      </x:c>
      <x:c r="D24" s="35" t="str">
        <x:v>declared dependency closes without composite offset</x:v>
      </x:c>
      <x:c r="E24" s="35" t="str">
        <x:v>Family Program Office + named independent authority</x:v>
      </x:c>
      <x:c r="F24" s="35" t="str">
        <x:v>accepted gate-specific artifact</x:v>
      </x:c>
      <x:c r="G24" s="35" t="str">
        <x:v>OPEN</x:v>
      </x:c>
      <x:c r="H24" s="35" t="str">
        <x:v>HOLD</x:v>
      </x:c>
      <x:c r="I24" s="37" t="n">
        <x:v>0</x:v>
      </x:c>
    </x:row>
    <x:row r="25" ht="38" customHeight="1">
      <x:c r="B25" s="35" t="str">
        <x:v>D19</x:v>
      </x:c>
      <x:c r="C25" s="35" t="str">
        <x:v>Receiver consent</x:v>
      </x:c>
      <x:c r="D25" s="35" t="str">
        <x:v>declared dependency closes without composite offset</x:v>
      </x:c>
      <x:c r="E25" s="35" t="str">
        <x:v>Family Program Office + named independent authority</x:v>
      </x:c>
      <x:c r="F25" s="35" t="str">
        <x:v>accepted gate-specific artifact</x:v>
      </x:c>
      <x:c r="G25" s="35" t="str">
        <x:v>OPEN</x:v>
      </x:c>
      <x:c r="H25" s="35" t="str">
        <x:v>HOLD</x:v>
      </x:c>
      <x:c r="I25" s="37" t="n">
        <x:v>0</x:v>
      </x:c>
    </x:row>
    <x:row r="26" ht="38" customHeight="1">
      <x:c r="B26" s="35" t="str">
        <x:v>D20</x:v>
      </x:c>
      <x:c r="C26" s="35" t="str">
        <x:v>Commissioned effect</x:v>
      </x:c>
      <x:c r="D26" s="35" t="str">
        <x:v>declared dependency closes without composite offset</x:v>
      </x:c>
      <x:c r="E26" s="35" t="str">
        <x:v>Family Program Office + named independent authority</x:v>
      </x:c>
      <x:c r="F26" s="35" t="str">
        <x:v>accepted gate-specific artifact</x:v>
      </x:c>
      <x:c r="G26" s="35" t="str">
        <x:v>OPEN</x:v>
      </x:c>
      <x:c r="H26" s="35" t="str">
        <x:v>HOLD</x:v>
      </x:c>
      <x:c r="I26" s="37" t="n">
        <x:v>0</x:v>
      </x:c>
    </x:row>
    <x:row r="27" ht="38" customHeight="1">
      <x:c r="B27" s="35" t="str">
        <x:v>D21</x:v>
      </x:c>
      <x:c r="C27" s="35" t="str">
        <x:v>Regeneration</x:v>
      </x:c>
      <x:c r="D27" s="35" t="str">
        <x:v>declared dependency closes without composite offset</x:v>
      </x:c>
      <x:c r="E27" s="35" t="str">
        <x:v>Family Program Office + named independent authority</x:v>
      </x:c>
      <x:c r="F27" s="35" t="str">
        <x:v>accepted gate-specific artifact</x:v>
      </x:c>
      <x:c r="G27" s="35" t="str">
        <x:v>OPEN</x:v>
      </x:c>
      <x:c r="H27" s="35" t="str">
        <x:v>HOLD</x:v>
      </x:c>
      <x:c r="I27" s="37" t="n">
        <x:v>0</x:v>
      </x:c>
    </x:row>
    <x:row r="28" ht="38" customHeight="1">
      <x:c r="B28" s="35" t="str">
        <x:v>D22</x:v>
      </x:c>
      <x:c r="C28" s="35" t="str">
        <x:v>Technology campaign</x:v>
      </x:c>
      <x:c r="D28" s="35" t="str">
        <x:v>declared dependency closes without composite offset</x:v>
      </x:c>
      <x:c r="E28" s="35" t="str">
        <x:v>Family Program Office + named independent authority</x:v>
      </x:c>
      <x:c r="F28" s="35" t="str">
        <x:v>accepted gate-specific artifact</x:v>
      </x:c>
      <x:c r="G28" s="35" t="str">
        <x:v>OPEN</x:v>
      </x:c>
      <x:c r="H28" s="35" t="str">
        <x:v>HOLD</x:v>
      </x:c>
      <x:c r="I28" s="37" t="n">
        <x:v>0</x:v>
      </x:c>
    </x:row>
    <x:row r="29" ht="38" customHeight="1">
      <x:c r="B29" s="35" t="str">
        <x:v>D23</x:v>
      </x:c>
      <x:c r="C29" s="35" t="str">
        <x:v>Public facilities</x:v>
      </x:c>
      <x:c r="D29" s="35" t="str">
        <x:v>declared dependency closes without composite offset</x:v>
      </x:c>
      <x:c r="E29" s="35" t="str">
        <x:v>Family Program Office + named independent authority</x:v>
      </x:c>
      <x:c r="F29" s="35" t="str">
        <x:v>accepted gate-specific artifact</x:v>
      </x:c>
      <x:c r="G29" s="35" t="str">
        <x:v>OPEN</x:v>
      </x:c>
      <x:c r="H29" s="35" t="str">
        <x:v>HOLD</x:v>
      </x:c>
      <x:c r="I29" s="37" t="n">
        <x:v>0</x:v>
      </x:c>
    </x:row>
    <x:row r="30" ht="38" customHeight="1">
      <x:c r="B30" s="35" t="str">
        <x:v>D24</x:v>
      </x:c>
      <x:c r="C30" s="35" t="str">
        <x:v>Capital nesting</x:v>
      </x:c>
      <x:c r="D30" s="35" t="str">
        <x:v>declared dependency closes without composite offset</x:v>
      </x:c>
      <x:c r="E30" s="35" t="str">
        <x:v>Family Program Office + named independent authority</x:v>
      </x:c>
      <x:c r="F30" s="35" t="str">
        <x:v>accepted gate-specific artifact</x:v>
      </x:c>
      <x:c r="G30" s="35" t="str">
        <x:v>OPEN</x:v>
      </x:c>
      <x:c r="H30" s="35" t="str">
        <x:v>HOLD</x:v>
      </x:c>
      <x:c r="I30" s="37" t="n">
        <x:v>0</x:v>
      </x:c>
    </x:row>
    <x:row r="31" ht="38" customHeight="1">
      <x:c r="B31" s="35" t="str">
        <x:v>D25</x:v>
      </x:c>
      <x:c r="C31" s="35" t="str">
        <x:v>Family allocation</x:v>
      </x:c>
      <x:c r="D31" s="35" t="str">
        <x:v>declared dependency closes without composite offset</x:v>
      </x:c>
      <x:c r="E31" s="35" t="str">
        <x:v>Family Program Office + named independent authority</x:v>
      </x:c>
      <x:c r="F31" s="35" t="str">
        <x:v>accepted gate-specific artifact</x:v>
      </x:c>
      <x:c r="G31" s="35" t="str">
        <x:v>OPEN</x:v>
      </x:c>
      <x:c r="H31" s="35" t="str">
        <x:v>HOLD</x:v>
      </x:c>
      <x:c r="I31" s="37" t="n">
        <x:v>0</x:v>
      </x:c>
    </x:row>
    <x:row r="32" ht="38" customHeight="1">
      <x:c r="B32" s="35" t="str">
        <x:v>D26</x:v>
      </x:c>
      <x:c r="C32" s="35" t="str">
        <x:v>Shared enablers</x:v>
      </x:c>
      <x:c r="D32" s="35" t="str">
        <x:v>declared dependency closes without composite offset</x:v>
      </x:c>
      <x:c r="E32" s="35" t="str">
        <x:v>Family Program Office + named independent authority</x:v>
      </x:c>
      <x:c r="F32" s="35" t="str">
        <x:v>accepted gate-specific artifact</x:v>
      </x:c>
      <x:c r="G32" s="35" t="str">
        <x:v>OPEN</x:v>
      </x:c>
      <x:c r="H32" s="35" t="str">
        <x:v>HOLD</x:v>
      </x:c>
      <x:c r="I32" s="37" t="n">
        <x:v>0</x:v>
      </x:c>
    </x:row>
    <x:row r="33" ht="38" customHeight="1">
      <x:c r="B33" s="35" t="str">
        <x:v>D27</x:v>
      </x:c>
      <x:c r="C33" s="35" t="str">
        <x:v>Program reserve</x:v>
      </x:c>
      <x:c r="D33" s="35" t="str">
        <x:v>declared dependency closes without composite offset</x:v>
      </x:c>
      <x:c r="E33" s="35" t="str">
        <x:v>Family Program Office + named independent authority</x:v>
      </x:c>
      <x:c r="F33" s="35" t="str">
        <x:v>accepted gate-specific artifact</x:v>
      </x:c>
      <x:c r="G33" s="35" t="str">
        <x:v>OPEN</x:v>
      </x:c>
      <x:c r="H33" s="35" t="str">
        <x:v>HOLD</x:v>
      </x:c>
      <x:c r="I33" s="37" t="n">
        <x:v>0</x:v>
      </x:c>
    </x:row>
    <x:row r="34" ht="38" customHeight="1">
      <x:c r="B34" s="35" t="str">
        <x:v>D28</x:v>
      </x:c>
      <x:c r="C34" s="35" t="str">
        <x:v>Operating nesting</x:v>
      </x:c>
      <x:c r="D34" s="35" t="str">
        <x:v>declared dependency closes without composite offset</x:v>
      </x:c>
      <x:c r="E34" s="35" t="str">
        <x:v>Family Program Office + named independent authority</x:v>
      </x:c>
      <x:c r="F34" s="35" t="str">
        <x:v>accepted gate-specific artifact</x:v>
      </x:c>
      <x:c r="G34" s="35" t="str">
        <x:v>OPEN</x:v>
      </x:c>
      <x:c r="H34" s="35" t="str">
        <x:v>HOLD</x:v>
      </x:c>
      <x:c r="I34" s="37" t="n">
        <x:v>0</x:v>
      </x:c>
    </x:row>
    <x:row r="35" ht="38" customHeight="1">
      <x:c r="B35" s="35" t="str">
        <x:v>D29</x:v>
      </x:c>
      <x:c r="C35" s="35" t="str">
        <x:v>Physical evidence</x:v>
      </x:c>
      <x:c r="D35" s="35" t="str">
        <x:v>complete chain produces accepted public effect and regeneration</x:v>
      </x:c>
      <x:c r="E35" s="35" t="str">
        <x:v>Independent Service Evidence Authority</x:v>
      </x:c>
      <x:c r="F35" s="35" t="str">
        <x:v>accepted complete-chain finding</x:v>
      </x:c>
      <x:c r="G35" s="35" t="str">
        <x:v>OPEN</x:v>
      </x:c>
      <x:c r="H35" s="35" t="str">
        <x:v>HOLD</x:v>
      </x:c>
      <x:c r="I35" s="37" t="n">
        <x:v>0</x:v>
      </x:c>
    </x:row>
    <x:row r="36" ht="38" customHeight="1">
      <x:c r="B36" s="38" t="str">
        <x:v>D30</x:v>
      </x:c>
      <x:c r="C36" s="38" t="str">
        <x:v>Rendering authority</x:v>
      </x:c>
      <x:c r="D36" s="38" t="str">
        <x:v>representative geometry follows accepted internal sections</x:v>
      </x:c>
      <x:c r="E36" s="38" t="str">
        <x:v>Chief Engineer + Evidence Authority</x:v>
      </x:c>
      <x:c r="F36" s="38" t="str">
        <x:v>measured representative form</x:v>
      </x:c>
      <x:c r="G36" s="38" t="str">
        <x:v>OPEN</x:v>
      </x:c>
      <x:c r="H36" s="38" t="str">
        <x:v>BLOCKED</x:v>
      </x:c>
      <x:c r="I36" s="40" t="n">
        <x:v>0</x:v>
      </x:c>
    </x:row>
    <x:row r="37">
      <x:c r="B37" s="2"/>
      <x:c r="C37" s="2"/>
      <x:c r="D37" s="2"/>
      <x:c r="E37" s="2"/>
      <x:c r="F37" s="2"/>
      <x:c r="G37" s="2"/>
      <x:c r="H37" s="2"/>
      <x:c r="I37" s="2"/>
    </x:row>
    <x:row r="38">
      <x:c r="B38" s="2"/>
      <x:c r="C38" s="2"/>
      <x:c r="D38" s="2"/>
      <x:c r="E38" s="2"/>
      <x:c r="F38" s="2"/>
      <x:c r="G38" s="2"/>
      <x:c r="H38" s="2"/>
      <x:c r="I38" s="2"/>
    </x:row>
    <x:row r="39">
      <x:c r="B39" s="2"/>
      <x:c r="C39" s="2"/>
      <x:c r="D39" s="2"/>
      <x:c r="E39" s="2"/>
      <x:c r="F39" s="2"/>
      <x:c r="G39" s="2"/>
      <x:c r="H39" s="2"/>
      <x:c r="I39" s="2"/>
    </x:row>
    <x:row r="40"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B3:I3"/>
  </x:mergeCells>
  <x:conditionalFormatting sqref="G7:H36">
    <x:cfRule type="containsText" dxfId="108" priority="1" operator="containsText" text="OPEN"/>
    <x:cfRule type="containsText" dxfId="109" priority="2" operator="containsText" text="HOLD"/>
    <x:cfRule type="containsText" dxfId="110" priority="3" operator="containsText" text="BLOCKED"/>
    <x:cfRule type="containsText" dxfId="111" priority="4" operator="containsText" text="GAP"/>
    <x:cfRule type="containsText" dxfId="112" priority="5" operator="containsText" text="NOT ADMITTED"/>
    <x:cfRule type="containsText" dxfId="113" priority="6" operator="containsText" text="FAIL"/>
    <x:cfRule type="containsText" dxfId="114" priority="7" operator="containsText" text="PASS"/>
    <x:cfRule type="containsText" dxfId="115" priority="8" operator="containsText" text="ADEQUATE"/>
    <x:cfRule type="containsText" dxfId="116" priority="9" operator="containsText" text="CLOSES M05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22" hidden="0" customWidth="1"/>
    <x:col min="4" max="4" width="58" hidden="0" customWidth="1"/>
    <x:col min="5" max="5" width="14" hidden="0" customWidth="1"/>
    <x:col min="6" max="6" width="14" hidden="0" customWidth="1"/>
    <x:col min="7" max="7" width="14" hidden="0" customWidth="1"/>
  </x:cols>
  <x:sheetData>
    <x:row r="2">
      <x:c r="B2" s="3" t="str">
        <x:v>Deterministic model audit</x:v>
      </x:c>
      <x:c r="C2" s="2"/>
      <x:c r="D2" s="2"/>
      <x:c r="E2" s="2"/>
      <x:c r="F2" s="2"/>
      <x:c r="G2" s="2"/>
    </x:row>
    <x:row r="3">
      <x:c r="B3" s="4" t="str">
        <x:v>Two thousand one hundred twenty-three formula controls test stage arithmetic, reserve treatment, force results, allocations, gates and global invariants. They validate model coherence only.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19" t="str">
        <x:v>Control</x:v>
      </x:c>
      <x:c r="C6" s="20" t="str">
        <x:v>Scope</x:v>
      </x:c>
      <x:c r="D6" s="20" t="str">
        <x:v>Test</x:v>
      </x:c>
      <x:c r="E6" s="20" t="str">
        <x:v>Observed</x:v>
      </x:c>
      <x:c r="F6" s="20" t="str">
        <x:v>Expected</x:v>
      </x:c>
      <x:c r="G6" s="20" t="str">
        <x:v>Result</x:v>
      </x:c>
    </x:row>
    <x:row r="7">
      <x:c r="B7" s="21" t="str">
        <x:v>C0001</x:v>
      </x:c>
      <x:c r="C7" s="21" t="str">
        <x:v>stage build</x:v>
      </x:c>
      <x:c r="D7" s="21" t="str">
        <x:v>baseline nonnegative row 7</x:v>
      </x:c>
      <x:c r="E7" s="21" t="n">
        <x:f>IF('Stage Build'!F7&gt;=0,1,0)</x:f>
        <x:v>1</x:v>
      </x:c>
      <x:c r="F7" s="21" t="n">
        <x:v>1</x:v>
      </x:c>
      <x:c r="G7" s="23" t="str">
        <x:f>IF(E7=F7,"PASS","FAIL")</x:f>
        <x:v>PASS</x:v>
      </x:c>
    </x:row>
    <x:row r="8">
      <x:c r="B8" s="21" t="str">
        <x:v>C0002</x:v>
      </x:c>
      <x:c r="C8" s="21" t="str">
        <x:v>stage build</x:v>
      </x:c>
      <x:c r="D8" s="21" t="str">
        <x:v>targeted additions nonnegative row 7</x:v>
      </x:c>
      <x:c r="E8" s="21" t="n">
        <x:f>IF(AND('Stage Build'!G7&gt;=0,'Stage Build'!H7&gt;=0),1,0)</x:f>
        <x:v>1</x:v>
      </x:c>
      <x:c r="F8" s="21" t="n">
        <x:v>1</x:v>
      </x:c>
      <x:c r="G8" s="23" t="str">
        <x:f>IF(E8=F8,"PASS","FAIL")</x:f>
        <x:v>PASS</x:v>
      </x:c>
    </x:row>
    <x:row r="9">
      <x:c r="B9" s="21" t="str">
        <x:v>C0003</x:v>
      </x:c>
      <x:c r="C9" s="21" t="str">
        <x:v>stage build</x:v>
      </x:c>
      <x:c r="D9" s="21" t="str">
        <x:v>pre-replication identity row 7</x:v>
      </x:c>
      <x:c r="E9" s="21" t="n">
        <x:f>IF(ABS('Stage Build'!I7-SUM('Stage Build'!F7:H7))&lt;0.000001,1,0)</x:f>
        <x:v>1</x:v>
      </x:c>
      <x:c r="F9" s="21" t="n">
        <x:v>1</x:v>
      </x:c>
      <x:c r="G9" s="23" t="str">
        <x:f>IF(E9=F9,"PASS","FAIL")</x:f>
        <x:v>PASS</x:v>
      </x:c>
    </x:row>
    <x:row r="10">
      <x:c r="B10" s="21" t="str">
        <x:v>C0004</x:v>
      </x:c>
      <x:c r="C10" s="21" t="str">
        <x:v>stage build</x:v>
      </x:c>
      <x:c r="D10" s="21" t="str">
        <x:v>replication layer nonnegative row 7</x:v>
      </x:c>
      <x:c r="E10" s="21" t="n">
        <x:f>IF('Stage Build'!J7&gt;=0,1,0)</x:f>
        <x:v>1</x:v>
      </x:c>
      <x:c r="F10" s="21" t="n">
        <x:v>1</x:v>
      </x:c>
      <x:c r="G10" s="23" t="str">
        <x:f>IF(E10=F10,"PASS","FAIL")</x:f>
        <x:v>PASS</x:v>
      </x:c>
    </x:row>
    <x:row r="11">
      <x:c r="B11" s="21" t="str">
        <x:v>C0005</x:v>
      </x:c>
      <x:c r="C11" s="21" t="str">
        <x:v>stage build</x:v>
      </x:c>
      <x:c r="D11" s="21" t="str">
        <x:v>designed ratio identity row 7</x:v>
      </x:c>
      <x:c r="E11" s="21" t="n">
        <x:f>IF(ABS('Stage Build'!K7-'Stage Build'!I7-'Stage Build'!J7)&lt;0.000001,1,0)</x:f>
        <x:v>1</x:v>
      </x:c>
      <x:c r="F11" s="21" t="n">
        <x:v>1</x:v>
      </x:c>
      <x:c r="G11" s="23" t="str">
        <x:f>IF(E11=F11,"PASS","FAIL")</x:f>
        <x:v>PASS</x:v>
      </x:c>
    </x:row>
    <x:row r="12">
      <x:c r="B12" s="21" t="str">
        <x:v>C0006</x:v>
      </x:c>
      <x:c r="C12" s="21" t="str">
        <x:v>stage build</x:v>
      </x:c>
      <x:c r="D12" s="21" t="str">
        <x:v>M05 status identity row 7</x:v>
      </x:c>
      <x:c r="E12" s="21" t="n">
        <x:f>IF('Stage Build'!L7=IF('Stage Build'!K7&gt;=Assumptions!$C$9,"ADEQUATE","GAP"),1,0)</x:f>
        <x:v>1</x:v>
      </x:c>
      <x:c r="F12" s="21" t="n">
        <x:v>1</x:v>
      </x:c>
      <x:c r="G12" s="23" t="str">
        <x:f>IF(E12=F12,"PASS","FAIL")</x:f>
        <x:v>PASS</x:v>
      </x:c>
    </x:row>
    <x:row r="13">
      <x:c r="B13" s="21" t="str">
        <x:v>C0007</x:v>
      </x:c>
      <x:c r="C13" s="21" t="str">
        <x:v>stage build</x:v>
      </x:c>
      <x:c r="D13" s="21" t="str">
        <x:v>baseline nonnegative row 8</x:v>
      </x:c>
      <x:c r="E13" s="21" t="n">
        <x:f>IF('Stage Build'!F8&gt;=0,1,0)</x:f>
        <x:v>1</x:v>
      </x:c>
      <x:c r="F13" s="21" t="n">
        <x:v>1</x:v>
      </x:c>
      <x:c r="G13" s="23" t="str">
        <x:f>IF(E13=F13,"PASS","FAIL")</x:f>
        <x:v>PASS</x:v>
      </x:c>
    </x:row>
    <x:row r="14">
      <x:c r="B14" s="21" t="str">
        <x:v>C0008</x:v>
      </x:c>
      <x:c r="C14" s="21" t="str">
        <x:v>stage build</x:v>
      </x:c>
      <x:c r="D14" s="21" t="str">
        <x:v>targeted additions nonnegative row 8</x:v>
      </x:c>
      <x:c r="E14" s="21" t="n">
        <x:f>IF(AND('Stage Build'!G8&gt;=0,'Stage Build'!H8&gt;=0),1,0)</x:f>
        <x:v>1</x:v>
      </x:c>
      <x:c r="F14" s="21" t="n">
        <x:v>1</x:v>
      </x:c>
      <x:c r="G14" s="23" t="str">
        <x:f>IF(E14=F14,"PASS","FAIL")</x:f>
        <x:v>PASS</x:v>
      </x:c>
    </x:row>
    <x:row r="15">
      <x:c r="B15" s="21" t="str">
        <x:v>C0009</x:v>
      </x:c>
      <x:c r="C15" s="21" t="str">
        <x:v>stage build</x:v>
      </x:c>
      <x:c r="D15" s="21" t="str">
        <x:v>pre-replication identity row 8</x:v>
      </x:c>
      <x:c r="E15" s="21" t="n">
        <x:f>IF(ABS('Stage Build'!I8-SUM('Stage Build'!F8:H8))&lt;0.000001,1,0)</x:f>
        <x:v>1</x:v>
      </x:c>
      <x:c r="F15" s="21" t="n">
        <x:v>1</x:v>
      </x:c>
      <x:c r="G15" s="23" t="str">
        <x:f>IF(E15=F15,"PASS","FAIL")</x:f>
        <x:v>PASS</x:v>
      </x:c>
    </x:row>
    <x:row r="16">
      <x:c r="B16" s="21" t="str">
        <x:v>C0010</x:v>
      </x:c>
      <x:c r="C16" s="21" t="str">
        <x:v>stage build</x:v>
      </x:c>
      <x:c r="D16" s="21" t="str">
        <x:v>replication layer nonnegative row 8</x:v>
      </x:c>
      <x:c r="E16" s="21" t="n">
        <x:f>IF('Stage Build'!J8&gt;=0,1,0)</x:f>
        <x:v>1</x:v>
      </x:c>
      <x:c r="F16" s="21" t="n">
        <x:v>1</x:v>
      </x:c>
      <x:c r="G16" s="23" t="str">
        <x:f>IF(E16=F16,"PASS","FAIL")</x:f>
        <x:v>PASS</x:v>
      </x:c>
    </x:row>
    <x:row r="17">
      <x:c r="B17" s="21" t="str">
        <x:v>C0011</x:v>
      </x:c>
      <x:c r="C17" s="21" t="str">
        <x:v>stage build</x:v>
      </x:c>
      <x:c r="D17" s="21" t="str">
        <x:v>designed ratio identity row 8</x:v>
      </x:c>
      <x:c r="E17" s="21" t="n">
        <x:f>IF(ABS('Stage Build'!K8-'Stage Build'!I8-'Stage Build'!J8)&lt;0.000001,1,0)</x:f>
        <x:v>1</x:v>
      </x:c>
      <x:c r="F17" s="21" t="n">
        <x:v>1</x:v>
      </x:c>
      <x:c r="G17" s="23" t="str">
        <x:f>IF(E17=F17,"PASS","FAIL")</x:f>
        <x:v>PASS</x:v>
      </x:c>
    </x:row>
    <x:row r="18">
      <x:c r="B18" s="21" t="str">
        <x:v>C0012</x:v>
      </x:c>
      <x:c r="C18" s="21" t="str">
        <x:v>stage build</x:v>
      </x:c>
      <x:c r="D18" s="21" t="str">
        <x:v>M05 status identity row 8</x:v>
      </x:c>
      <x:c r="E18" s="21" t="n">
        <x:f>IF('Stage Build'!L8=IF('Stage Build'!K8&gt;=Assumptions!$C$9,"ADEQUATE","GAP"),1,0)</x:f>
        <x:v>1</x:v>
      </x:c>
      <x:c r="F18" s="21" t="n">
        <x:v>1</x:v>
      </x:c>
      <x:c r="G18" s="23" t="str">
        <x:f>IF(E18=F18,"PASS","FAIL")</x:f>
        <x:v>PASS</x:v>
      </x:c>
    </x:row>
    <x:row r="19">
      <x:c r="B19" s="21" t="str">
        <x:v>C0013</x:v>
      </x:c>
      <x:c r="C19" s="21" t="str">
        <x:v>stage build</x:v>
      </x:c>
      <x:c r="D19" s="21" t="str">
        <x:v>baseline nonnegative row 9</x:v>
      </x:c>
      <x:c r="E19" s="21" t="n">
        <x:f>IF('Stage Build'!F9&gt;=0,1,0)</x:f>
        <x:v>1</x:v>
      </x:c>
      <x:c r="F19" s="21" t="n">
        <x:v>1</x:v>
      </x:c>
      <x:c r="G19" s="23" t="str">
        <x:f>IF(E19=F19,"PASS","FAIL")</x:f>
        <x:v>PASS</x:v>
      </x:c>
    </x:row>
    <x:row r="20">
      <x:c r="B20" s="21" t="str">
        <x:v>C0014</x:v>
      </x:c>
      <x:c r="C20" s="21" t="str">
        <x:v>stage build</x:v>
      </x:c>
      <x:c r="D20" s="21" t="str">
        <x:v>targeted additions nonnegative row 9</x:v>
      </x:c>
      <x:c r="E20" s="21" t="n">
        <x:f>IF(AND('Stage Build'!G9&gt;=0,'Stage Build'!H9&gt;=0),1,0)</x:f>
        <x:v>1</x:v>
      </x:c>
      <x:c r="F20" s="21" t="n">
        <x:v>1</x:v>
      </x:c>
      <x:c r="G20" s="23" t="str">
        <x:f>IF(E20=F20,"PASS","FAIL")</x:f>
        <x:v>PASS</x:v>
      </x:c>
    </x:row>
    <x:row r="21">
      <x:c r="B21" s="21" t="str">
        <x:v>C0015</x:v>
      </x:c>
      <x:c r="C21" s="21" t="str">
        <x:v>stage build</x:v>
      </x:c>
      <x:c r="D21" s="21" t="str">
        <x:v>pre-replication identity row 9</x:v>
      </x:c>
      <x:c r="E21" s="21" t="n">
        <x:f>IF(ABS('Stage Build'!I9-SUM('Stage Build'!F9:H9))&lt;0.000001,1,0)</x:f>
        <x:v>1</x:v>
      </x:c>
      <x:c r="F21" s="21" t="n">
        <x:v>1</x:v>
      </x:c>
      <x:c r="G21" s="23" t="str">
        <x:f>IF(E21=F21,"PASS","FAIL")</x:f>
        <x:v>PASS</x:v>
      </x:c>
    </x:row>
    <x:row r="22">
      <x:c r="B22" s="21" t="str">
        <x:v>C0016</x:v>
      </x:c>
      <x:c r="C22" s="21" t="str">
        <x:v>stage build</x:v>
      </x:c>
      <x:c r="D22" s="21" t="str">
        <x:v>replication layer nonnegative row 9</x:v>
      </x:c>
      <x:c r="E22" s="21" t="n">
        <x:f>IF('Stage Build'!J9&gt;=0,1,0)</x:f>
        <x:v>1</x:v>
      </x:c>
      <x:c r="F22" s="21" t="n">
        <x:v>1</x:v>
      </x:c>
      <x:c r="G22" s="23" t="str">
        <x:f>IF(E22=F22,"PASS","FAIL")</x:f>
        <x:v>PASS</x:v>
      </x:c>
    </x:row>
    <x:row r="23">
      <x:c r="B23" s="21" t="str">
        <x:v>C0017</x:v>
      </x:c>
      <x:c r="C23" s="21" t="str">
        <x:v>stage build</x:v>
      </x:c>
      <x:c r="D23" s="21" t="str">
        <x:v>designed ratio identity row 9</x:v>
      </x:c>
      <x:c r="E23" s="21" t="n">
        <x:f>IF(ABS('Stage Build'!K9-'Stage Build'!I9-'Stage Build'!J9)&lt;0.000001,1,0)</x:f>
        <x:v>1</x:v>
      </x:c>
      <x:c r="F23" s="21" t="n">
        <x:v>1</x:v>
      </x:c>
      <x:c r="G23" s="23" t="str">
        <x:f>IF(E23=F23,"PASS","FAIL")</x:f>
        <x:v>PASS</x:v>
      </x:c>
    </x:row>
    <x:row r="24">
      <x:c r="B24" s="21" t="str">
        <x:v>C0018</x:v>
      </x:c>
      <x:c r="C24" s="21" t="str">
        <x:v>stage build</x:v>
      </x:c>
      <x:c r="D24" s="21" t="str">
        <x:v>M05 status identity row 9</x:v>
      </x:c>
      <x:c r="E24" s="21" t="n">
        <x:f>IF('Stage Build'!L9=IF('Stage Build'!K9&gt;=Assumptions!$C$9,"ADEQUATE","GAP"),1,0)</x:f>
        <x:v>1</x:v>
      </x:c>
      <x:c r="F24" s="21" t="n">
        <x:v>1</x:v>
      </x:c>
      <x:c r="G24" s="23" t="str">
        <x:f>IF(E24=F24,"PASS","FAIL")</x:f>
        <x:v>PASS</x:v>
      </x:c>
    </x:row>
    <x:row r="25">
      <x:c r="B25" s="21" t="str">
        <x:v>C0019</x:v>
      </x:c>
      <x:c r="C25" s="21" t="str">
        <x:v>stage build</x:v>
      </x:c>
      <x:c r="D25" s="21" t="str">
        <x:v>baseline nonnegative row 10</x:v>
      </x:c>
      <x:c r="E25" s="21" t="n">
        <x:f>IF('Stage Build'!F10&gt;=0,1,0)</x:f>
        <x:v>1</x:v>
      </x:c>
      <x:c r="F25" s="21" t="n">
        <x:v>1</x:v>
      </x:c>
      <x:c r="G25" s="23" t="str">
        <x:f>IF(E25=F25,"PASS","FAIL")</x:f>
        <x:v>PASS</x:v>
      </x:c>
    </x:row>
    <x:row r="26">
      <x:c r="B26" s="21" t="str">
        <x:v>C0020</x:v>
      </x:c>
      <x:c r="C26" s="21" t="str">
        <x:v>stage build</x:v>
      </x:c>
      <x:c r="D26" s="21" t="str">
        <x:v>targeted additions nonnegative row 10</x:v>
      </x:c>
      <x:c r="E26" s="21" t="n">
        <x:f>IF(AND('Stage Build'!G10&gt;=0,'Stage Build'!H10&gt;=0),1,0)</x:f>
        <x:v>1</x:v>
      </x:c>
      <x:c r="F26" s="21" t="n">
        <x:v>1</x:v>
      </x:c>
      <x:c r="G26" s="23" t="str">
        <x:f>IF(E26=F26,"PASS","FAIL")</x:f>
        <x:v>PASS</x:v>
      </x:c>
    </x:row>
    <x:row r="27">
      <x:c r="B27" s="21" t="str">
        <x:v>C0021</x:v>
      </x:c>
      <x:c r="C27" s="21" t="str">
        <x:v>stage build</x:v>
      </x:c>
      <x:c r="D27" s="21" t="str">
        <x:v>pre-replication identity row 10</x:v>
      </x:c>
      <x:c r="E27" s="21" t="n">
        <x:f>IF(ABS('Stage Build'!I10-SUM('Stage Build'!F10:H10))&lt;0.000001,1,0)</x:f>
        <x:v>1</x:v>
      </x:c>
      <x:c r="F27" s="21" t="n">
        <x:v>1</x:v>
      </x:c>
      <x:c r="G27" s="23" t="str">
        <x:f>IF(E27=F27,"PASS","FAIL")</x:f>
        <x:v>PASS</x:v>
      </x:c>
    </x:row>
    <x:row r="28">
      <x:c r="B28" s="21" t="str">
        <x:v>C0022</x:v>
      </x:c>
      <x:c r="C28" s="21" t="str">
        <x:v>stage build</x:v>
      </x:c>
      <x:c r="D28" s="21" t="str">
        <x:v>replication layer nonnegative row 10</x:v>
      </x:c>
      <x:c r="E28" s="21" t="n">
        <x:f>IF('Stage Build'!J10&gt;=0,1,0)</x:f>
        <x:v>1</x:v>
      </x:c>
      <x:c r="F28" s="21" t="n">
        <x:v>1</x:v>
      </x:c>
      <x:c r="G28" s="23" t="str">
        <x:f>IF(E28=F28,"PASS","FAIL")</x:f>
        <x:v>PASS</x:v>
      </x:c>
    </x:row>
    <x:row r="29">
      <x:c r="B29" s="21" t="str">
        <x:v>C0023</x:v>
      </x:c>
      <x:c r="C29" s="21" t="str">
        <x:v>stage build</x:v>
      </x:c>
      <x:c r="D29" s="21" t="str">
        <x:v>designed ratio identity row 10</x:v>
      </x:c>
      <x:c r="E29" s="21" t="n">
        <x:f>IF(ABS('Stage Build'!K10-'Stage Build'!I10-'Stage Build'!J10)&lt;0.000001,1,0)</x:f>
        <x:v>1</x:v>
      </x:c>
      <x:c r="F29" s="21" t="n">
        <x:v>1</x:v>
      </x:c>
      <x:c r="G29" s="23" t="str">
        <x:f>IF(E29=F29,"PASS","FAIL")</x:f>
        <x:v>PASS</x:v>
      </x:c>
    </x:row>
    <x:row r="30">
      <x:c r="B30" s="21" t="str">
        <x:v>C0024</x:v>
      </x:c>
      <x:c r="C30" s="21" t="str">
        <x:v>stage build</x:v>
      </x:c>
      <x:c r="D30" s="21" t="str">
        <x:v>M05 status identity row 10</x:v>
      </x:c>
      <x:c r="E30" s="21" t="n">
        <x:f>IF('Stage Build'!L10=IF('Stage Build'!K10&gt;=Assumptions!$C$9,"ADEQUATE","GAP"),1,0)</x:f>
        <x:v>1</x:v>
      </x:c>
      <x:c r="F30" s="21" t="n">
        <x:v>1</x:v>
      </x:c>
      <x:c r="G30" s="23" t="str">
        <x:f>IF(E30=F30,"PASS","FAIL")</x:f>
        <x:v>PASS</x:v>
      </x:c>
    </x:row>
    <x:row r="31">
      <x:c r="B31" s="21" t="str">
        <x:v>C0025</x:v>
      </x:c>
      <x:c r="C31" s="21" t="str">
        <x:v>stage build</x:v>
      </x:c>
      <x:c r="D31" s="21" t="str">
        <x:v>baseline nonnegative row 11</x:v>
      </x:c>
      <x:c r="E31" s="21" t="n">
        <x:f>IF('Stage Build'!F11&gt;=0,1,0)</x:f>
        <x:v>1</x:v>
      </x:c>
      <x:c r="F31" s="21" t="n">
        <x:v>1</x:v>
      </x:c>
      <x:c r="G31" s="23" t="str">
        <x:f>IF(E31=F31,"PASS","FAIL")</x:f>
        <x:v>PASS</x:v>
      </x:c>
    </x:row>
    <x:row r="32">
      <x:c r="B32" s="21" t="str">
        <x:v>C0026</x:v>
      </x:c>
      <x:c r="C32" s="21" t="str">
        <x:v>stage build</x:v>
      </x:c>
      <x:c r="D32" s="21" t="str">
        <x:v>targeted additions nonnegative row 11</x:v>
      </x:c>
      <x:c r="E32" s="21" t="n">
        <x:f>IF(AND('Stage Build'!G11&gt;=0,'Stage Build'!H11&gt;=0),1,0)</x:f>
        <x:v>1</x:v>
      </x:c>
      <x:c r="F32" s="21" t="n">
        <x:v>1</x:v>
      </x:c>
      <x:c r="G32" s="23" t="str">
        <x:f>IF(E32=F32,"PASS","FAIL")</x:f>
        <x:v>PASS</x:v>
      </x:c>
    </x:row>
    <x:row r="33">
      <x:c r="B33" s="21" t="str">
        <x:v>C0027</x:v>
      </x:c>
      <x:c r="C33" s="21" t="str">
        <x:v>stage build</x:v>
      </x:c>
      <x:c r="D33" s="21" t="str">
        <x:v>pre-replication identity row 11</x:v>
      </x:c>
      <x:c r="E33" s="21" t="n">
        <x:f>IF(ABS('Stage Build'!I11-SUM('Stage Build'!F11:H11))&lt;0.000001,1,0)</x:f>
        <x:v>1</x:v>
      </x:c>
      <x:c r="F33" s="21" t="n">
        <x:v>1</x:v>
      </x:c>
      <x:c r="G33" s="23" t="str">
        <x:f>IF(E33=F33,"PASS","FAIL")</x:f>
        <x:v>PASS</x:v>
      </x:c>
    </x:row>
    <x:row r="34">
      <x:c r="B34" s="21" t="str">
        <x:v>C0028</x:v>
      </x:c>
      <x:c r="C34" s="21" t="str">
        <x:v>stage build</x:v>
      </x:c>
      <x:c r="D34" s="21" t="str">
        <x:v>replication layer nonnegative row 11</x:v>
      </x:c>
      <x:c r="E34" s="21" t="n">
        <x:f>IF('Stage Build'!J11&gt;=0,1,0)</x:f>
        <x:v>1</x:v>
      </x:c>
      <x:c r="F34" s="21" t="n">
        <x:v>1</x:v>
      </x:c>
      <x:c r="G34" s="23" t="str">
        <x:f>IF(E34=F34,"PASS","FAIL")</x:f>
        <x:v>PASS</x:v>
      </x:c>
    </x:row>
    <x:row r="35">
      <x:c r="B35" s="21" t="str">
        <x:v>C0029</x:v>
      </x:c>
      <x:c r="C35" s="21" t="str">
        <x:v>stage build</x:v>
      </x:c>
      <x:c r="D35" s="21" t="str">
        <x:v>designed ratio identity row 11</x:v>
      </x:c>
      <x:c r="E35" s="21" t="n">
        <x:f>IF(ABS('Stage Build'!K11-'Stage Build'!I11-'Stage Build'!J11)&lt;0.000001,1,0)</x:f>
        <x:v>1</x:v>
      </x:c>
      <x:c r="F35" s="21" t="n">
        <x:v>1</x:v>
      </x:c>
      <x:c r="G35" s="23" t="str">
        <x:f>IF(E35=F35,"PASS","FAIL")</x:f>
        <x:v>PASS</x:v>
      </x:c>
    </x:row>
    <x:row r="36">
      <x:c r="B36" s="21" t="str">
        <x:v>C0030</x:v>
      </x:c>
      <x:c r="C36" s="21" t="str">
        <x:v>stage build</x:v>
      </x:c>
      <x:c r="D36" s="21" t="str">
        <x:v>M05 status identity row 11</x:v>
      </x:c>
      <x:c r="E36" s="21" t="n">
        <x:f>IF('Stage Build'!L11=IF('Stage Build'!K11&gt;=Assumptions!$C$9,"ADEQUATE","GAP"),1,0)</x:f>
        <x:v>1</x:v>
      </x:c>
      <x:c r="F36" s="21" t="n">
        <x:v>1</x:v>
      </x:c>
      <x:c r="G36" s="23" t="str">
        <x:f>IF(E36=F36,"PASS","FAIL")</x:f>
        <x:v>PASS</x:v>
      </x:c>
    </x:row>
    <x:row r="37">
      <x:c r="B37" s="21" t="str">
        <x:v>C0031</x:v>
      </x:c>
      <x:c r="C37" s="21" t="str">
        <x:v>stage build</x:v>
      </x:c>
      <x:c r="D37" s="21" t="str">
        <x:v>baseline nonnegative row 12</x:v>
      </x:c>
      <x:c r="E37" s="21" t="n">
        <x:f>IF('Stage Build'!F12&gt;=0,1,0)</x:f>
        <x:v>1</x:v>
      </x:c>
      <x:c r="F37" s="21" t="n">
        <x:v>1</x:v>
      </x:c>
      <x:c r="G37" s="23" t="str">
        <x:f>IF(E37=F37,"PASS","FAIL")</x:f>
        <x:v>PASS</x:v>
      </x:c>
    </x:row>
    <x:row r="38">
      <x:c r="B38" s="21" t="str">
        <x:v>C0032</x:v>
      </x:c>
      <x:c r="C38" s="21" t="str">
        <x:v>stage build</x:v>
      </x:c>
      <x:c r="D38" s="21" t="str">
        <x:v>targeted additions nonnegative row 12</x:v>
      </x:c>
      <x:c r="E38" s="21" t="n">
        <x:f>IF(AND('Stage Build'!G12&gt;=0,'Stage Build'!H12&gt;=0),1,0)</x:f>
        <x:v>1</x:v>
      </x:c>
      <x:c r="F38" s="21" t="n">
        <x:v>1</x:v>
      </x:c>
      <x:c r="G38" s="23" t="str">
        <x:f>IF(E38=F38,"PASS","FAIL")</x:f>
        <x:v>PASS</x:v>
      </x:c>
    </x:row>
    <x:row r="39">
      <x:c r="B39" s="21" t="str">
        <x:v>C0033</x:v>
      </x:c>
      <x:c r="C39" s="21" t="str">
        <x:v>stage build</x:v>
      </x:c>
      <x:c r="D39" s="21" t="str">
        <x:v>pre-replication identity row 12</x:v>
      </x:c>
      <x:c r="E39" s="21" t="n">
        <x:f>IF(ABS('Stage Build'!I12-SUM('Stage Build'!F12:H12))&lt;0.000001,1,0)</x:f>
        <x:v>1</x:v>
      </x:c>
      <x:c r="F39" s="21" t="n">
        <x:v>1</x:v>
      </x:c>
      <x:c r="G39" s="23" t="str">
        <x:f>IF(E39=F39,"PASS","FAIL")</x:f>
        <x:v>PASS</x:v>
      </x:c>
    </x:row>
    <x:row r="40">
      <x:c r="B40" s="21" t="str">
        <x:v>C0034</x:v>
      </x:c>
      <x:c r="C40" s="21" t="str">
        <x:v>stage build</x:v>
      </x:c>
      <x:c r="D40" s="21" t="str">
        <x:v>replication layer nonnegative row 12</x:v>
      </x:c>
      <x:c r="E40" s="21" t="n">
        <x:f>IF('Stage Build'!J12&gt;=0,1,0)</x:f>
        <x:v>1</x:v>
      </x:c>
      <x:c r="F40" s="21" t="n">
        <x:v>1</x:v>
      </x:c>
      <x:c r="G40" s="23" t="str">
        <x:f>IF(E40=F40,"PASS","FAIL")</x:f>
        <x:v>PASS</x:v>
      </x:c>
    </x:row>
    <x:row r="41">
      <x:c r="B41" s="21" t="str">
        <x:v>C0035</x:v>
      </x:c>
      <x:c r="C41" s="21" t="str">
        <x:v>stage build</x:v>
      </x:c>
      <x:c r="D41" s="21" t="str">
        <x:v>designed ratio identity row 12</x:v>
      </x:c>
      <x:c r="E41" s="21" t="n">
        <x:f>IF(ABS('Stage Build'!K12-'Stage Build'!I12-'Stage Build'!J12)&lt;0.000001,1,0)</x:f>
        <x:v>1</x:v>
      </x:c>
      <x:c r="F41" s="21" t="n">
        <x:v>1</x:v>
      </x:c>
      <x:c r="G41" s="23" t="str">
        <x:f>IF(E41=F41,"PASS","FAIL")</x:f>
        <x:v>PASS</x:v>
      </x:c>
    </x:row>
    <x:row r="42">
      <x:c r="B42" s="21" t="str">
        <x:v>C0036</x:v>
      </x:c>
      <x:c r="C42" s="21" t="str">
        <x:v>stage build</x:v>
      </x:c>
      <x:c r="D42" s="21" t="str">
        <x:v>M05 status identity row 12</x:v>
      </x:c>
      <x:c r="E42" s="21" t="n">
        <x:f>IF('Stage Build'!L12=IF('Stage Build'!K12&gt;=Assumptions!$C$9,"ADEQUATE","GAP"),1,0)</x:f>
        <x:v>1</x:v>
      </x:c>
      <x:c r="F42" s="21" t="n">
        <x:v>1</x:v>
      </x:c>
      <x:c r="G42" s="23" t="str">
        <x:f>IF(E42=F42,"PASS","FAIL")</x:f>
        <x:v>PASS</x:v>
      </x:c>
    </x:row>
    <x:row r="43">
      <x:c r="B43" s="21" t="str">
        <x:v>C0037</x:v>
      </x:c>
      <x:c r="C43" s="21" t="str">
        <x:v>stage build</x:v>
      </x:c>
      <x:c r="D43" s="21" t="str">
        <x:v>baseline nonnegative row 13</x:v>
      </x:c>
      <x:c r="E43" s="21" t="n">
        <x:f>IF('Stage Build'!F13&gt;=0,1,0)</x:f>
        <x:v>1</x:v>
      </x:c>
      <x:c r="F43" s="21" t="n">
        <x:v>1</x:v>
      </x:c>
      <x:c r="G43" s="23" t="str">
        <x:f>IF(E43=F43,"PASS","FAIL")</x:f>
        <x:v>PASS</x:v>
      </x:c>
    </x:row>
    <x:row r="44">
      <x:c r="B44" s="21" t="str">
        <x:v>C0038</x:v>
      </x:c>
      <x:c r="C44" s="21" t="str">
        <x:v>stage build</x:v>
      </x:c>
      <x:c r="D44" s="21" t="str">
        <x:v>targeted additions nonnegative row 13</x:v>
      </x:c>
      <x:c r="E44" s="21" t="n">
        <x:f>IF(AND('Stage Build'!G13&gt;=0,'Stage Build'!H13&gt;=0),1,0)</x:f>
        <x:v>1</x:v>
      </x:c>
      <x:c r="F44" s="21" t="n">
        <x:v>1</x:v>
      </x:c>
      <x:c r="G44" s="23" t="str">
        <x:f>IF(E44=F44,"PASS","FAIL")</x:f>
        <x:v>PASS</x:v>
      </x:c>
    </x:row>
    <x:row r="45">
      <x:c r="B45" s="21" t="str">
        <x:v>C0039</x:v>
      </x:c>
      <x:c r="C45" s="21" t="str">
        <x:v>stage build</x:v>
      </x:c>
      <x:c r="D45" s="21" t="str">
        <x:v>pre-replication identity row 13</x:v>
      </x:c>
      <x:c r="E45" s="21" t="n">
        <x:f>IF(ABS('Stage Build'!I13-SUM('Stage Build'!F13:H13))&lt;0.000001,1,0)</x:f>
        <x:v>1</x:v>
      </x:c>
      <x:c r="F45" s="21" t="n">
        <x:v>1</x:v>
      </x:c>
      <x:c r="G45" s="23" t="str">
        <x:f>IF(E45=F45,"PASS","FAIL")</x:f>
        <x:v>PASS</x:v>
      </x:c>
    </x:row>
    <x:row r="46">
      <x:c r="B46" s="21" t="str">
        <x:v>C0040</x:v>
      </x:c>
      <x:c r="C46" s="21" t="str">
        <x:v>stage build</x:v>
      </x:c>
      <x:c r="D46" s="21" t="str">
        <x:v>replication layer nonnegative row 13</x:v>
      </x:c>
      <x:c r="E46" s="21" t="n">
        <x:f>IF('Stage Build'!J13&gt;=0,1,0)</x:f>
        <x:v>1</x:v>
      </x:c>
      <x:c r="F46" s="21" t="n">
        <x:v>1</x:v>
      </x:c>
      <x:c r="G46" s="23" t="str">
        <x:f>IF(E46=F46,"PASS","FAIL")</x:f>
        <x:v>PASS</x:v>
      </x:c>
    </x:row>
    <x:row r="47">
      <x:c r="B47" s="21" t="str">
        <x:v>C0041</x:v>
      </x:c>
      <x:c r="C47" s="21" t="str">
        <x:v>stage build</x:v>
      </x:c>
      <x:c r="D47" s="21" t="str">
        <x:v>designed ratio identity row 13</x:v>
      </x:c>
      <x:c r="E47" s="21" t="n">
        <x:f>IF(ABS('Stage Build'!K13-'Stage Build'!I13-'Stage Build'!J13)&lt;0.000001,1,0)</x:f>
        <x:v>1</x:v>
      </x:c>
      <x:c r="F47" s="21" t="n">
        <x:v>1</x:v>
      </x:c>
      <x:c r="G47" s="23" t="str">
        <x:f>IF(E47=F47,"PASS","FAIL")</x:f>
        <x:v>PASS</x:v>
      </x:c>
    </x:row>
    <x:row r="48">
      <x:c r="B48" s="21" t="str">
        <x:v>C0042</x:v>
      </x:c>
      <x:c r="C48" s="21" t="str">
        <x:v>stage build</x:v>
      </x:c>
      <x:c r="D48" s="21" t="str">
        <x:v>M05 status identity row 13</x:v>
      </x:c>
      <x:c r="E48" s="21" t="n">
        <x:f>IF('Stage Build'!L13=IF('Stage Build'!K13&gt;=Assumptions!$C$9,"ADEQUATE","GAP"),1,0)</x:f>
        <x:v>1</x:v>
      </x:c>
      <x:c r="F48" s="21" t="n">
        <x:v>1</x:v>
      </x:c>
      <x:c r="G48" s="23" t="str">
        <x:f>IF(E48=F48,"PASS","FAIL")</x:f>
        <x:v>PASS</x:v>
      </x:c>
    </x:row>
    <x:row r="49">
      <x:c r="B49" s="21" t="str">
        <x:v>C0043</x:v>
      </x:c>
      <x:c r="C49" s="21" t="str">
        <x:v>stage build</x:v>
      </x:c>
      <x:c r="D49" s="21" t="str">
        <x:v>baseline nonnegative row 14</x:v>
      </x:c>
      <x:c r="E49" s="21" t="n">
        <x:f>IF('Stage Build'!F14&gt;=0,1,0)</x:f>
        <x:v>1</x:v>
      </x:c>
      <x:c r="F49" s="21" t="n">
        <x:v>1</x:v>
      </x:c>
      <x:c r="G49" s="23" t="str">
        <x:f>IF(E49=F49,"PASS","FAIL")</x:f>
        <x:v>PASS</x:v>
      </x:c>
    </x:row>
    <x:row r="50">
      <x:c r="B50" s="21" t="str">
        <x:v>C0044</x:v>
      </x:c>
      <x:c r="C50" s="21" t="str">
        <x:v>stage build</x:v>
      </x:c>
      <x:c r="D50" s="21" t="str">
        <x:v>targeted additions nonnegative row 14</x:v>
      </x:c>
      <x:c r="E50" s="21" t="n">
        <x:f>IF(AND('Stage Build'!G14&gt;=0,'Stage Build'!H14&gt;=0),1,0)</x:f>
        <x:v>1</x:v>
      </x:c>
      <x:c r="F50" s="21" t="n">
        <x:v>1</x:v>
      </x:c>
      <x:c r="G50" s="23" t="str">
        <x:f>IF(E50=F50,"PASS","FAIL")</x:f>
        <x:v>PASS</x:v>
      </x:c>
    </x:row>
    <x:row r="51">
      <x:c r="B51" s="21" t="str">
        <x:v>C0045</x:v>
      </x:c>
      <x:c r="C51" s="21" t="str">
        <x:v>stage build</x:v>
      </x:c>
      <x:c r="D51" s="21" t="str">
        <x:v>pre-replication identity row 14</x:v>
      </x:c>
      <x:c r="E51" s="21" t="n">
        <x:f>IF(ABS('Stage Build'!I14-SUM('Stage Build'!F14:H14))&lt;0.000001,1,0)</x:f>
        <x:v>1</x:v>
      </x:c>
      <x:c r="F51" s="21" t="n">
        <x:v>1</x:v>
      </x:c>
      <x:c r="G51" s="23" t="str">
        <x:f>IF(E51=F51,"PASS","FAIL")</x:f>
        <x:v>PASS</x:v>
      </x:c>
    </x:row>
    <x:row r="52">
      <x:c r="B52" s="21" t="str">
        <x:v>C0046</x:v>
      </x:c>
      <x:c r="C52" s="21" t="str">
        <x:v>stage build</x:v>
      </x:c>
      <x:c r="D52" s="21" t="str">
        <x:v>replication layer nonnegative row 14</x:v>
      </x:c>
      <x:c r="E52" s="21" t="n">
        <x:f>IF('Stage Build'!J14&gt;=0,1,0)</x:f>
        <x:v>1</x:v>
      </x:c>
      <x:c r="F52" s="21" t="n">
        <x:v>1</x:v>
      </x:c>
      <x:c r="G52" s="23" t="str">
        <x:f>IF(E52=F52,"PASS","FAIL")</x:f>
        <x:v>PASS</x:v>
      </x:c>
    </x:row>
    <x:row r="53">
      <x:c r="B53" s="21" t="str">
        <x:v>C0047</x:v>
      </x:c>
      <x:c r="C53" s="21" t="str">
        <x:v>stage build</x:v>
      </x:c>
      <x:c r="D53" s="21" t="str">
        <x:v>designed ratio identity row 14</x:v>
      </x:c>
      <x:c r="E53" s="21" t="n">
        <x:f>IF(ABS('Stage Build'!K14-'Stage Build'!I14-'Stage Build'!J14)&lt;0.000001,1,0)</x:f>
        <x:v>1</x:v>
      </x:c>
      <x:c r="F53" s="21" t="n">
        <x:v>1</x:v>
      </x:c>
      <x:c r="G53" s="23" t="str">
        <x:f>IF(E53=F53,"PASS","FAIL")</x:f>
        <x:v>PASS</x:v>
      </x:c>
    </x:row>
    <x:row r="54">
      <x:c r="B54" s="21" t="str">
        <x:v>C0048</x:v>
      </x:c>
      <x:c r="C54" s="21" t="str">
        <x:v>stage build</x:v>
      </x:c>
      <x:c r="D54" s="21" t="str">
        <x:v>M05 status identity row 14</x:v>
      </x:c>
      <x:c r="E54" s="21" t="n">
        <x:f>IF('Stage Build'!L14=IF('Stage Build'!K14&gt;=Assumptions!$C$9,"ADEQUATE","GAP"),1,0)</x:f>
        <x:v>1</x:v>
      </x:c>
      <x:c r="F54" s="21" t="n">
        <x:v>1</x:v>
      </x:c>
      <x:c r="G54" s="23" t="str">
        <x:f>IF(E54=F54,"PASS","FAIL")</x:f>
        <x:v>PASS</x:v>
      </x:c>
    </x:row>
    <x:row r="55">
      <x:c r="B55" s="21" t="str">
        <x:v>C0049</x:v>
      </x:c>
      <x:c r="C55" s="21" t="str">
        <x:v>stage build</x:v>
      </x:c>
      <x:c r="D55" s="21" t="str">
        <x:v>baseline nonnegative row 15</x:v>
      </x:c>
      <x:c r="E55" s="21" t="n">
        <x:f>IF('Stage Build'!F15&gt;=0,1,0)</x:f>
        <x:v>1</x:v>
      </x:c>
      <x:c r="F55" s="21" t="n">
        <x:v>1</x:v>
      </x:c>
      <x:c r="G55" s="23" t="str">
        <x:f>IF(E55=F55,"PASS","FAIL")</x:f>
        <x:v>PASS</x:v>
      </x:c>
    </x:row>
    <x:row r="56">
      <x:c r="B56" s="21" t="str">
        <x:v>C0050</x:v>
      </x:c>
      <x:c r="C56" s="21" t="str">
        <x:v>stage build</x:v>
      </x:c>
      <x:c r="D56" s="21" t="str">
        <x:v>targeted additions nonnegative row 15</x:v>
      </x:c>
      <x:c r="E56" s="21" t="n">
        <x:f>IF(AND('Stage Build'!G15&gt;=0,'Stage Build'!H15&gt;=0),1,0)</x:f>
        <x:v>1</x:v>
      </x:c>
      <x:c r="F56" s="21" t="n">
        <x:v>1</x:v>
      </x:c>
      <x:c r="G56" s="23" t="str">
        <x:f>IF(E56=F56,"PASS","FAIL")</x:f>
        <x:v>PASS</x:v>
      </x:c>
    </x:row>
    <x:row r="57">
      <x:c r="B57" s="21" t="str">
        <x:v>C0051</x:v>
      </x:c>
      <x:c r="C57" s="21" t="str">
        <x:v>stage build</x:v>
      </x:c>
      <x:c r="D57" s="21" t="str">
        <x:v>pre-replication identity row 15</x:v>
      </x:c>
      <x:c r="E57" s="21" t="n">
        <x:f>IF(ABS('Stage Build'!I15-SUM('Stage Build'!F15:H15))&lt;0.000001,1,0)</x:f>
        <x:v>1</x:v>
      </x:c>
      <x:c r="F57" s="21" t="n">
        <x:v>1</x:v>
      </x:c>
      <x:c r="G57" s="23" t="str">
        <x:f>IF(E57=F57,"PASS","FAIL")</x:f>
        <x:v>PASS</x:v>
      </x:c>
    </x:row>
    <x:row r="58">
      <x:c r="B58" s="21" t="str">
        <x:v>C0052</x:v>
      </x:c>
      <x:c r="C58" s="21" t="str">
        <x:v>stage build</x:v>
      </x:c>
      <x:c r="D58" s="21" t="str">
        <x:v>replication layer nonnegative row 15</x:v>
      </x:c>
      <x:c r="E58" s="21" t="n">
        <x:f>IF('Stage Build'!J15&gt;=0,1,0)</x:f>
        <x:v>1</x:v>
      </x:c>
      <x:c r="F58" s="21" t="n">
        <x:v>1</x:v>
      </x:c>
      <x:c r="G58" s="23" t="str">
        <x:f>IF(E58=F58,"PASS","FAIL")</x:f>
        <x:v>PASS</x:v>
      </x:c>
    </x:row>
    <x:row r="59">
      <x:c r="B59" s="21" t="str">
        <x:v>C0053</x:v>
      </x:c>
      <x:c r="C59" s="21" t="str">
        <x:v>stage build</x:v>
      </x:c>
      <x:c r="D59" s="21" t="str">
        <x:v>designed ratio identity row 15</x:v>
      </x:c>
      <x:c r="E59" s="21" t="n">
        <x:f>IF(ABS('Stage Build'!K15-'Stage Build'!I15-'Stage Build'!J15)&lt;0.000001,1,0)</x:f>
        <x:v>1</x:v>
      </x:c>
      <x:c r="F59" s="21" t="n">
        <x:v>1</x:v>
      </x:c>
      <x:c r="G59" s="23" t="str">
        <x:f>IF(E59=F59,"PASS","FAIL")</x:f>
        <x:v>PASS</x:v>
      </x:c>
    </x:row>
    <x:row r="60">
      <x:c r="B60" s="21" t="str">
        <x:v>C0054</x:v>
      </x:c>
      <x:c r="C60" s="21" t="str">
        <x:v>stage build</x:v>
      </x:c>
      <x:c r="D60" s="21" t="str">
        <x:v>M05 status identity row 15</x:v>
      </x:c>
      <x:c r="E60" s="21" t="n">
        <x:f>IF('Stage Build'!L15=IF('Stage Build'!K15&gt;=Assumptions!$C$9,"ADEQUATE","GAP"),1,0)</x:f>
        <x:v>1</x:v>
      </x:c>
      <x:c r="F60" s="21" t="n">
        <x:v>1</x:v>
      </x:c>
      <x:c r="G60" s="23" t="str">
        <x:f>IF(E60=F60,"PASS","FAIL")</x:f>
        <x:v>PASS</x:v>
      </x:c>
    </x:row>
    <x:row r="61">
      <x:c r="B61" s="21" t="str">
        <x:v>C0055</x:v>
      </x:c>
      <x:c r="C61" s="21" t="str">
        <x:v>stage build</x:v>
      </x:c>
      <x:c r="D61" s="21" t="str">
        <x:v>baseline nonnegative row 16</x:v>
      </x:c>
      <x:c r="E61" s="21" t="n">
        <x:f>IF('Stage Build'!F16&gt;=0,1,0)</x:f>
        <x:v>1</x:v>
      </x:c>
      <x:c r="F61" s="21" t="n">
        <x:v>1</x:v>
      </x:c>
      <x:c r="G61" s="23" t="str">
        <x:f>IF(E61=F61,"PASS","FAIL")</x:f>
        <x:v>PASS</x:v>
      </x:c>
    </x:row>
    <x:row r="62">
      <x:c r="B62" s="21" t="str">
        <x:v>C0056</x:v>
      </x:c>
      <x:c r="C62" s="21" t="str">
        <x:v>stage build</x:v>
      </x:c>
      <x:c r="D62" s="21" t="str">
        <x:v>targeted additions nonnegative row 16</x:v>
      </x:c>
      <x:c r="E62" s="21" t="n">
        <x:f>IF(AND('Stage Build'!G16&gt;=0,'Stage Build'!H16&gt;=0),1,0)</x:f>
        <x:v>1</x:v>
      </x:c>
      <x:c r="F62" s="21" t="n">
        <x:v>1</x:v>
      </x:c>
      <x:c r="G62" s="23" t="str">
        <x:f>IF(E62=F62,"PASS","FAIL")</x:f>
        <x:v>PASS</x:v>
      </x:c>
    </x:row>
    <x:row r="63">
      <x:c r="B63" s="21" t="str">
        <x:v>C0057</x:v>
      </x:c>
      <x:c r="C63" s="21" t="str">
        <x:v>stage build</x:v>
      </x:c>
      <x:c r="D63" s="21" t="str">
        <x:v>pre-replication identity row 16</x:v>
      </x:c>
      <x:c r="E63" s="21" t="n">
        <x:f>IF(ABS('Stage Build'!I16-SUM('Stage Build'!F16:H16))&lt;0.000001,1,0)</x:f>
        <x:v>1</x:v>
      </x:c>
      <x:c r="F63" s="21" t="n">
        <x:v>1</x:v>
      </x:c>
      <x:c r="G63" s="23" t="str">
        <x:f>IF(E63=F63,"PASS","FAIL")</x:f>
        <x:v>PASS</x:v>
      </x:c>
    </x:row>
    <x:row r="64">
      <x:c r="B64" s="21" t="str">
        <x:v>C0058</x:v>
      </x:c>
      <x:c r="C64" s="21" t="str">
        <x:v>stage build</x:v>
      </x:c>
      <x:c r="D64" s="21" t="str">
        <x:v>replication layer nonnegative row 16</x:v>
      </x:c>
      <x:c r="E64" s="21" t="n">
        <x:f>IF('Stage Build'!J16&gt;=0,1,0)</x:f>
        <x:v>1</x:v>
      </x:c>
      <x:c r="F64" s="21" t="n">
        <x:v>1</x:v>
      </x:c>
      <x:c r="G64" s="23" t="str">
        <x:f>IF(E64=F64,"PASS","FAIL")</x:f>
        <x:v>PASS</x:v>
      </x:c>
    </x:row>
    <x:row r="65">
      <x:c r="B65" s="21" t="str">
        <x:v>C0059</x:v>
      </x:c>
      <x:c r="C65" s="21" t="str">
        <x:v>stage build</x:v>
      </x:c>
      <x:c r="D65" s="21" t="str">
        <x:v>designed ratio identity row 16</x:v>
      </x:c>
      <x:c r="E65" s="21" t="n">
        <x:f>IF(ABS('Stage Build'!K16-'Stage Build'!I16-'Stage Build'!J16)&lt;0.000001,1,0)</x:f>
        <x:v>1</x:v>
      </x:c>
      <x:c r="F65" s="21" t="n">
        <x:v>1</x:v>
      </x:c>
      <x:c r="G65" s="23" t="str">
        <x:f>IF(E65=F65,"PASS","FAIL")</x:f>
        <x:v>PASS</x:v>
      </x:c>
    </x:row>
    <x:row r="66">
      <x:c r="B66" s="21" t="str">
        <x:v>C0060</x:v>
      </x:c>
      <x:c r="C66" s="21" t="str">
        <x:v>stage build</x:v>
      </x:c>
      <x:c r="D66" s="21" t="str">
        <x:v>M05 status identity row 16</x:v>
      </x:c>
      <x:c r="E66" s="21" t="n">
        <x:f>IF('Stage Build'!L16=IF('Stage Build'!K16&gt;=Assumptions!$C$9,"ADEQUATE","GAP"),1,0)</x:f>
        <x:v>1</x:v>
      </x:c>
      <x:c r="F66" s="21" t="n">
        <x:v>1</x:v>
      </x:c>
      <x:c r="G66" s="23" t="str">
        <x:f>IF(E66=F66,"PASS","FAIL")</x:f>
        <x:v>PASS</x:v>
      </x:c>
    </x:row>
    <x:row r="67">
      <x:c r="B67" s="21" t="str">
        <x:v>C0061</x:v>
      </x:c>
      <x:c r="C67" s="21" t="str">
        <x:v>stage build</x:v>
      </x:c>
      <x:c r="D67" s="21" t="str">
        <x:v>baseline nonnegative row 17</x:v>
      </x:c>
      <x:c r="E67" s="21" t="n">
        <x:f>IF('Stage Build'!F17&gt;=0,1,0)</x:f>
        <x:v>1</x:v>
      </x:c>
      <x:c r="F67" s="21" t="n">
        <x:v>1</x:v>
      </x:c>
      <x:c r="G67" s="23" t="str">
        <x:f>IF(E67=F67,"PASS","FAIL")</x:f>
        <x:v>PASS</x:v>
      </x:c>
    </x:row>
    <x:row r="68">
      <x:c r="B68" s="21" t="str">
        <x:v>C0062</x:v>
      </x:c>
      <x:c r="C68" s="21" t="str">
        <x:v>stage build</x:v>
      </x:c>
      <x:c r="D68" s="21" t="str">
        <x:v>targeted additions nonnegative row 17</x:v>
      </x:c>
      <x:c r="E68" s="21" t="n">
        <x:f>IF(AND('Stage Build'!G17&gt;=0,'Stage Build'!H17&gt;=0),1,0)</x:f>
        <x:v>1</x:v>
      </x:c>
      <x:c r="F68" s="21" t="n">
        <x:v>1</x:v>
      </x:c>
      <x:c r="G68" s="23" t="str">
        <x:f>IF(E68=F68,"PASS","FAIL")</x:f>
        <x:v>PASS</x:v>
      </x:c>
    </x:row>
    <x:row r="69">
      <x:c r="B69" s="21" t="str">
        <x:v>C0063</x:v>
      </x:c>
      <x:c r="C69" s="21" t="str">
        <x:v>stage build</x:v>
      </x:c>
      <x:c r="D69" s="21" t="str">
        <x:v>pre-replication identity row 17</x:v>
      </x:c>
      <x:c r="E69" s="21" t="n">
        <x:f>IF(ABS('Stage Build'!I17-SUM('Stage Build'!F17:H17))&lt;0.000001,1,0)</x:f>
        <x:v>1</x:v>
      </x:c>
      <x:c r="F69" s="21" t="n">
        <x:v>1</x:v>
      </x:c>
      <x:c r="G69" s="23" t="str">
        <x:f>IF(E69=F69,"PASS","FAIL")</x:f>
        <x:v>PASS</x:v>
      </x:c>
    </x:row>
    <x:row r="70">
      <x:c r="B70" s="21" t="str">
        <x:v>C0064</x:v>
      </x:c>
      <x:c r="C70" s="21" t="str">
        <x:v>stage build</x:v>
      </x:c>
      <x:c r="D70" s="21" t="str">
        <x:v>replication layer nonnegative row 17</x:v>
      </x:c>
      <x:c r="E70" s="21" t="n">
        <x:f>IF('Stage Build'!J17&gt;=0,1,0)</x:f>
        <x:v>1</x:v>
      </x:c>
      <x:c r="F70" s="21" t="n">
        <x:v>1</x:v>
      </x:c>
      <x:c r="G70" s="23" t="str">
        <x:f>IF(E70=F70,"PASS","FAIL")</x:f>
        <x:v>PASS</x:v>
      </x:c>
    </x:row>
    <x:row r="71">
      <x:c r="B71" s="21" t="str">
        <x:v>C0065</x:v>
      </x:c>
      <x:c r="C71" s="21" t="str">
        <x:v>stage build</x:v>
      </x:c>
      <x:c r="D71" s="21" t="str">
        <x:v>designed ratio identity row 17</x:v>
      </x:c>
      <x:c r="E71" s="21" t="n">
        <x:f>IF(ABS('Stage Build'!K17-'Stage Build'!I17-'Stage Build'!J17)&lt;0.000001,1,0)</x:f>
        <x:v>1</x:v>
      </x:c>
      <x:c r="F71" s="21" t="n">
        <x:v>1</x:v>
      </x:c>
      <x:c r="G71" s="23" t="str">
        <x:f>IF(E71=F71,"PASS","FAIL")</x:f>
        <x:v>PASS</x:v>
      </x:c>
    </x:row>
    <x:row r="72">
      <x:c r="B72" s="21" t="str">
        <x:v>C0066</x:v>
      </x:c>
      <x:c r="C72" s="21" t="str">
        <x:v>stage build</x:v>
      </x:c>
      <x:c r="D72" s="21" t="str">
        <x:v>M05 status identity row 17</x:v>
      </x:c>
      <x:c r="E72" s="21" t="n">
        <x:f>IF('Stage Build'!L17=IF('Stage Build'!K17&gt;=Assumptions!$C$9,"ADEQUATE","GAP"),1,0)</x:f>
        <x:v>1</x:v>
      </x:c>
      <x:c r="F72" s="21" t="n">
        <x:v>1</x:v>
      </x:c>
      <x:c r="G72" s="23" t="str">
        <x:f>IF(E72=F72,"PASS","FAIL")</x:f>
        <x:v>PASS</x:v>
      </x:c>
    </x:row>
    <x:row r="73">
      <x:c r="B73" s="21" t="str">
        <x:v>C0067</x:v>
      </x:c>
      <x:c r="C73" s="21" t="str">
        <x:v>stage build</x:v>
      </x:c>
      <x:c r="D73" s="21" t="str">
        <x:v>baseline nonnegative row 18</x:v>
      </x:c>
      <x:c r="E73" s="21" t="n">
        <x:f>IF('Stage Build'!F18&gt;=0,1,0)</x:f>
        <x:v>1</x:v>
      </x:c>
      <x:c r="F73" s="21" t="n">
        <x:v>1</x:v>
      </x:c>
      <x:c r="G73" s="23" t="str">
        <x:f>IF(E73=F73,"PASS","FAIL")</x:f>
        <x:v>PASS</x:v>
      </x:c>
    </x:row>
    <x:row r="74">
      <x:c r="B74" s="21" t="str">
        <x:v>C0068</x:v>
      </x:c>
      <x:c r="C74" s="21" t="str">
        <x:v>stage build</x:v>
      </x:c>
      <x:c r="D74" s="21" t="str">
        <x:v>targeted additions nonnegative row 18</x:v>
      </x:c>
      <x:c r="E74" s="21" t="n">
        <x:f>IF(AND('Stage Build'!G18&gt;=0,'Stage Build'!H18&gt;=0),1,0)</x:f>
        <x:v>1</x:v>
      </x:c>
      <x:c r="F74" s="21" t="n">
        <x:v>1</x:v>
      </x:c>
      <x:c r="G74" s="23" t="str">
        <x:f>IF(E74=F74,"PASS","FAIL")</x:f>
        <x:v>PASS</x:v>
      </x:c>
    </x:row>
    <x:row r="75">
      <x:c r="B75" s="21" t="str">
        <x:v>C0069</x:v>
      </x:c>
      <x:c r="C75" s="21" t="str">
        <x:v>stage build</x:v>
      </x:c>
      <x:c r="D75" s="21" t="str">
        <x:v>pre-replication identity row 18</x:v>
      </x:c>
      <x:c r="E75" s="21" t="n">
        <x:f>IF(ABS('Stage Build'!I18-SUM('Stage Build'!F18:H18))&lt;0.000001,1,0)</x:f>
        <x:v>1</x:v>
      </x:c>
      <x:c r="F75" s="21" t="n">
        <x:v>1</x:v>
      </x:c>
      <x:c r="G75" s="23" t="str">
        <x:f>IF(E75=F75,"PASS","FAIL")</x:f>
        <x:v>PASS</x:v>
      </x:c>
    </x:row>
    <x:row r="76">
      <x:c r="B76" s="21" t="str">
        <x:v>C0070</x:v>
      </x:c>
      <x:c r="C76" s="21" t="str">
        <x:v>stage build</x:v>
      </x:c>
      <x:c r="D76" s="21" t="str">
        <x:v>replication layer nonnegative row 18</x:v>
      </x:c>
      <x:c r="E76" s="21" t="n">
        <x:f>IF('Stage Build'!J18&gt;=0,1,0)</x:f>
        <x:v>1</x:v>
      </x:c>
      <x:c r="F76" s="21" t="n">
        <x:v>1</x:v>
      </x:c>
      <x:c r="G76" s="23" t="str">
        <x:f>IF(E76=F76,"PASS","FAIL")</x:f>
        <x:v>PASS</x:v>
      </x:c>
    </x:row>
    <x:row r="77">
      <x:c r="B77" s="21" t="str">
        <x:v>C0071</x:v>
      </x:c>
      <x:c r="C77" s="21" t="str">
        <x:v>stage build</x:v>
      </x:c>
      <x:c r="D77" s="21" t="str">
        <x:v>designed ratio identity row 18</x:v>
      </x:c>
      <x:c r="E77" s="21" t="n">
        <x:f>IF(ABS('Stage Build'!K18-'Stage Build'!I18-'Stage Build'!J18)&lt;0.000001,1,0)</x:f>
        <x:v>1</x:v>
      </x:c>
      <x:c r="F77" s="21" t="n">
        <x:v>1</x:v>
      </x:c>
      <x:c r="G77" s="23" t="str">
        <x:f>IF(E77=F77,"PASS","FAIL")</x:f>
        <x:v>PASS</x:v>
      </x:c>
    </x:row>
    <x:row r="78">
      <x:c r="B78" s="21" t="str">
        <x:v>C0072</x:v>
      </x:c>
      <x:c r="C78" s="21" t="str">
        <x:v>stage build</x:v>
      </x:c>
      <x:c r="D78" s="21" t="str">
        <x:v>M05 status identity row 18</x:v>
      </x:c>
      <x:c r="E78" s="21" t="n">
        <x:f>IF('Stage Build'!L18=IF('Stage Build'!K18&gt;=Assumptions!$C$9,"ADEQUATE","GAP"),1,0)</x:f>
        <x:v>1</x:v>
      </x:c>
      <x:c r="F78" s="21" t="n">
        <x:v>1</x:v>
      </x:c>
      <x:c r="G78" s="23" t="str">
        <x:f>IF(E78=F78,"PASS","FAIL")</x:f>
        <x:v>PASS</x:v>
      </x:c>
    </x:row>
    <x:row r="79">
      <x:c r="B79" s="21" t="str">
        <x:v>C0073</x:v>
      </x:c>
      <x:c r="C79" s="21" t="str">
        <x:v>stage build</x:v>
      </x:c>
      <x:c r="D79" s="21" t="str">
        <x:v>baseline nonnegative row 19</x:v>
      </x:c>
      <x:c r="E79" s="21" t="n">
        <x:f>IF('Stage Build'!F19&gt;=0,1,0)</x:f>
        <x:v>1</x:v>
      </x:c>
      <x:c r="F79" s="21" t="n">
        <x:v>1</x:v>
      </x:c>
      <x:c r="G79" s="23" t="str">
        <x:f>IF(E79=F79,"PASS","FAIL")</x:f>
        <x:v>PASS</x:v>
      </x:c>
    </x:row>
    <x:row r="80">
      <x:c r="B80" s="21" t="str">
        <x:v>C0074</x:v>
      </x:c>
      <x:c r="C80" s="21" t="str">
        <x:v>stage build</x:v>
      </x:c>
      <x:c r="D80" s="21" t="str">
        <x:v>targeted additions nonnegative row 19</x:v>
      </x:c>
      <x:c r="E80" s="21" t="n">
        <x:f>IF(AND('Stage Build'!G19&gt;=0,'Stage Build'!H19&gt;=0),1,0)</x:f>
        <x:v>1</x:v>
      </x:c>
      <x:c r="F80" s="21" t="n">
        <x:v>1</x:v>
      </x:c>
      <x:c r="G80" s="23" t="str">
        <x:f>IF(E80=F80,"PASS","FAIL")</x:f>
        <x:v>PASS</x:v>
      </x:c>
    </x:row>
    <x:row r="81">
      <x:c r="B81" s="21" t="str">
        <x:v>C0075</x:v>
      </x:c>
      <x:c r="C81" s="21" t="str">
        <x:v>stage build</x:v>
      </x:c>
      <x:c r="D81" s="21" t="str">
        <x:v>pre-replication identity row 19</x:v>
      </x:c>
      <x:c r="E81" s="21" t="n">
        <x:f>IF(ABS('Stage Build'!I19-SUM('Stage Build'!F19:H19))&lt;0.000001,1,0)</x:f>
        <x:v>1</x:v>
      </x:c>
      <x:c r="F81" s="21" t="n">
        <x:v>1</x:v>
      </x:c>
      <x:c r="G81" s="23" t="str">
        <x:f>IF(E81=F81,"PASS","FAIL")</x:f>
        <x:v>PASS</x:v>
      </x:c>
    </x:row>
    <x:row r="82">
      <x:c r="B82" s="21" t="str">
        <x:v>C0076</x:v>
      </x:c>
      <x:c r="C82" s="21" t="str">
        <x:v>stage build</x:v>
      </x:c>
      <x:c r="D82" s="21" t="str">
        <x:v>replication layer nonnegative row 19</x:v>
      </x:c>
      <x:c r="E82" s="21" t="n">
        <x:f>IF('Stage Build'!J19&gt;=0,1,0)</x:f>
        <x:v>1</x:v>
      </x:c>
      <x:c r="F82" s="21" t="n">
        <x:v>1</x:v>
      </x:c>
      <x:c r="G82" s="23" t="str">
        <x:f>IF(E82=F82,"PASS","FAIL")</x:f>
        <x:v>PASS</x:v>
      </x:c>
    </x:row>
    <x:row r="83">
      <x:c r="B83" s="21" t="str">
        <x:v>C0077</x:v>
      </x:c>
      <x:c r="C83" s="21" t="str">
        <x:v>stage build</x:v>
      </x:c>
      <x:c r="D83" s="21" t="str">
        <x:v>designed ratio identity row 19</x:v>
      </x:c>
      <x:c r="E83" s="21" t="n">
        <x:f>IF(ABS('Stage Build'!K19-'Stage Build'!I19-'Stage Build'!J19)&lt;0.000001,1,0)</x:f>
        <x:v>1</x:v>
      </x:c>
      <x:c r="F83" s="21" t="n">
        <x:v>1</x:v>
      </x:c>
      <x:c r="G83" s="23" t="str">
        <x:f>IF(E83=F83,"PASS","FAIL")</x:f>
        <x:v>PASS</x:v>
      </x:c>
    </x:row>
    <x:row r="84">
      <x:c r="B84" s="21" t="str">
        <x:v>C0078</x:v>
      </x:c>
      <x:c r="C84" s="21" t="str">
        <x:v>stage build</x:v>
      </x:c>
      <x:c r="D84" s="21" t="str">
        <x:v>M05 status identity row 19</x:v>
      </x:c>
      <x:c r="E84" s="21" t="n">
        <x:f>IF('Stage Build'!L19=IF('Stage Build'!K19&gt;=Assumptions!$C$9,"ADEQUATE","GAP"),1,0)</x:f>
        <x:v>1</x:v>
      </x:c>
      <x:c r="F84" s="21" t="n">
        <x:v>1</x:v>
      </x:c>
      <x:c r="G84" s="23" t="str">
        <x:f>IF(E84=F84,"PASS","FAIL")</x:f>
        <x:v>PASS</x:v>
      </x:c>
    </x:row>
    <x:row r="85">
      <x:c r="B85" s="21" t="str">
        <x:v>C0079</x:v>
      </x:c>
      <x:c r="C85" s="21" t="str">
        <x:v>stage build</x:v>
      </x:c>
      <x:c r="D85" s="21" t="str">
        <x:v>baseline nonnegative row 20</x:v>
      </x:c>
      <x:c r="E85" s="21" t="n">
        <x:f>IF('Stage Build'!F20&gt;=0,1,0)</x:f>
        <x:v>1</x:v>
      </x:c>
      <x:c r="F85" s="21" t="n">
        <x:v>1</x:v>
      </x:c>
      <x:c r="G85" s="23" t="str">
        <x:f>IF(E85=F85,"PASS","FAIL")</x:f>
        <x:v>PASS</x:v>
      </x:c>
    </x:row>
    <x:row r="86">
      <x:c r="B86" s="21" t="str">
        <x:v>C0080</x:v>
      </x:c>
      <x:c r="C86" s="21" t="str">
        <x:v>stage build</x:v>
      </x:c>
      <x:c r="D86" s="21" t="str">
        <x:v>targeted additions nonnegative row 20</x:v>
      </x:c>
      <x:c r="E86" s="21" t="n">
        <x:f>IF(AND('Stage Build'!G20&gt;=0,'Stage Build'!H20&gt;=0),1,0)</x:f>
        <x:v>1</x:v>
      </x:c>
      <x:c r="F86" s="21" t="n">
        <x:v>1</x:v>
      </x:c>
      <x:c r="G86" s="23" t="str">
        <x:f>IF(E86=F86,"PASS","FAIL")</x:f>
        <x:v>PASS</x:v>
      </x:c>
    </x:row>
    <x:row r="87">
      <x:c r="B87" s="21" t="str">
        <x:v>C0081</x:v>
      </x:c>
      <x:c r="C87" s="21" t="str">
        <x:v>stage build</x:v>
      </x:c>
      <x:c r="D87" s="21" t="str">
        <x:v>pre-replication identity row 20</x:v>
      </x:c>
      <x:c r="E87" s="21" t="n">
        <x:f>IF(ABS('Stage Build'!I20-SUM('Stage Build'!F20:H20))&lt;0.000001,1,0)</x:f>
        <x:v>1</x:v>
      </x:c>
      <x:c r="F87" s="21" t="n">
        <x:v>1</x:v>
      </x:c>
      <x:c r="G87" s="23" t="str">
        <x:f>IF(E87=F87,"PASS","FAIL")</x:f>
        <x:v>PASS</x:v>
      </x:c>
    </x:row>
    <x:row r="88">
      <x:c r="B88" s="21" t="str">
        <x:v>C0082</x:v>
      </x:c>
      <x:c r="C88" s="21" t="str">
        <x:v>stage build</x:v>
      </x:c>
      <x:c r="D88" s="21" t="str">
        <x:v>replication layer nonnegative row 20</x:v>
      </x:c>
      <x:c r="E88" s="21" t="n">
        <x:f>IF('Stage Build'!J20&gt;=0,1,0)</x:f>
        <x:v>1</x:v>
      </x:c>
      <x:c r="F88" s="21" t="n">
        <x:v>1</x:v>
      </x:c>
      <x:c r="G88" s="23" t="str">
        <x:f>IF(E88=F88,"PASS","FAIL")</x:f>
        <x:v>PASS</x:v>
      </x:c>
    </x:row>
    <x:row r="89">
      <x:c r="B89" s="21" t="str">
        <x:v>C0083</x:v>
      </x:c>
      <x:c r="C89" s="21" t="str">
        <x:v>stage build</x:v>
      </x:c>
      <x:c r="D89" s="21" t="str">
        <x:v>designed ratio identity row 20</x:v>
      </x:c>
      <x:c r="E89" s="21" t="n">
        <x:f>IF(ABS('Stage Build'!K20-'Stage Build'!I20-'Stage Build'!J20)&lt;0.000001,1,0)</x:f>
        <x:v>1</x:v>
      </x:c>
      <x:c r="F89" s="21" t="n">
        <x:v>1</x:v>
      </x:c>
      <x:c r="G89" s="23" t="str">
        <x:f>IF(E89=F89,"PASS","FAIL")</x:f>
        <x:v>PASS</x:v>
      </x:c>
    </x:row>
    <x:row r="90">
      <x:c r="B90" s="21" t="str">
        <x:v>C0084</x:v>
      </x:c>
      <x:c r="C90" s="21" t="str">
        <x:v>stage build</x:v>
      </x:c>
      <x:c r="D90" s="21" t="str">
        <x:v>M05 status identity row 20</x:v>
      </x:c>
      <x:c r="E90" s="21" t="n">
        <x:f>IF('Stage Build'!L20=IF('Stage Build'!K20&gt;=Assumptions!$C$9,"ADEQUATE","GAP"),1,0)</x:f>
        <x:v>1</x:v>
      </x:c>
      <x:c r="F90" s="21" t="n">
        <x:v>1</x:v>
      </x:c>
      <x:c r="G90" s="23" t="str">
        <x:f>IF(E90=F90,"PASS","FAIL")</x:f>
        <x:v>PASS</x:v>
      </x:c>
    </x:row>
    <x:row r="91">
      <x:c r="B91" s="21" t="str">
        <x:v>C0085</x:v>
      </x:c>
      <x:c r="C91" s="21" t="str">
        <x:v>stage build</x:v>
      </x:c>
      <x:c r="D91" s="21" t="str">
        <x:v>baseline nonnegative row 21</x:v>
      </x:c>
      <x:c r="E91" s="21" t="n">
        <x:f>IF('Stage Build'!F21&gt;=0,1,0)</x:f>
        <x:v>1</x:v>
      </x:c>
      <x:c r="F91" s="21" t="n">
        <x:v>1</x:v>
      </x:c>
      <x:c r="G91" s="23" t="str">
        <x:f>IF(E91=F91,"PASS","FAIL")</x:f>
        <x:v>PASS</x:v>
      </x:c>
    </x:row>
    <x:row r="92">
      <x:c r="B92" s="21" t="str">
        <x:v>C0086</x:v>
      </x:c>
      <x:c r="C92" s="21" t="str">
        <x:v>stage build</x:v>
      </x:c>
      <x:c r="D92" s="21" t="str">
        <x:v>targeted additions nonnegative row 21</x:v>
      </x:c>
      <x:c r="E92" s="21" t="n">
        <x:f>IF(AND('Stage Build'!G21&gt;=0,'Stage Build'!H21&gt;=0),1,0)</x:f>
        <x:v>1</x:v>
      </x:c>
      <x:c r="F92" s="21" t="n">
        <x:v>1</x:v>
      </x:c>
      <x:c r="G92" s="23" t="str">
        <x:f>IF(E92=F92,"PASS","FAIL")</x:f>
        <x:v>PASS</x:v>
      </x:c>
    </x:row>
    <x:row r="93">
      <x:c r="B93" s="21" t="str">
        <x:v>C0087</x:v>
      </x:c>
      <x:c r="C93" s="21" t="str">
        <x:v>stage build</x:v>
      </x:c>
      <x:c r="D93" s="21" t="str">
        <x:v>pre-replication identity row 21</x:v>
      </x:c>
      <x:c r="E93" s="21" t="n">
        <x:f>IF(ABS('Stage Build'!I21-SUM('Stage Build'!F21:H21))&lt;0.000001,1,0)</x:f>
        <x:v>1</x:v>
      </x:c>
      <x:c r="F93" s="21" t="n">
        <x:v>1</x:v>
      </x:c>
      <x:c r="G93" s="23" t="str">
        <x:f>IF(E93=F93,"PASS","FAIL")</x:f>
        <x:v>PASS</x:v>
      </x:c>
    </x:row>
    <x:row r="94">
      <x:c r="B94" s="21" t="str">
        <x:v>C0088</x:v>
      </x:c>
      <x:c r="C94" s="21" t="str">
        <x:v>stage build</x:v>
      </x:c>
      <x:c r="D94" s="21" t="str">
        <x:v>replication layer nonnegative row 21</x:v>
      </x:c>
      <x:c r="E94" s="21" t="n">
        <x:f>IF('Stage Build'!J21&gt;=0,1,0)</x:f>
        <x:v>1</x:v>
      </x:c>
      <x:c r="F94" s="21" t="n">
        <x:v>1</x:v>
      </x:c>
      <x:c r="G94" s="23" t="str">
        <x:f>IF(E94=F94,"PASS","FAIL")</x:f>
        <x:v>PASS</x:v>
      </x:c>
    </x:row>
    <x:row r="95">
      <x:c r="B95" s="21" t="str">
        <x:v>C0089</x:v>
      </x:c>
      <x:c r="C95" s="21" t="str">
        <x:v>stage build</x:v>
      </x:c>
      <x:c r="D95" s="21" t="str">
        <x:v>designed ratio identity row 21</x:v>
      </x:c>
      <x:c r="E95" s="21" t="n">
        <x:f>IF(ABS('Stage Build'!K21-'Stage Build'!I21-'Stage Build'!J21)&lt;0.000001,1,0)</x:f>
        <x:v>1</x:v>
      </x:c>
      <x:c r="F95" s="21" t="n">
        <x:v>1</x:v>
      </x:c>
      <x:c r="G95" s="23" t="str">
        <x:f>IF(E95=F95,"PASS","FAIL")</x:f>
        <x:v>PASS</x:v>
      </x:c>
    </x:row>
    <x:row r="96">
      <x:c r="B96" s="21" t="str">
        <x:v>C0090</x:v>
      </x:c>
      <x:c r="C96" s="21" t="str">
        <x:v>stage build</x:v>
      </x:c>
      <x:c r="D96" s="21" t="str">
        <x:v>M05 status identity row 21</x:v>
      </x:c>
      <x:c r="E96" s="21" t="n">
        <x:f>IF('Stage Build'!L21=IF('Stage Build'!K21&gt;=Assumptions!$C$9,"ADEQUATE","GAP"),1,0)</x:f>
        <x:v>1</x:v>
      </x:c>
      <x:c r="F96" s="21" t="n">
        <x:v>1</x:v>
      </x:c>
      <x:c r="G96" s="23" t="str">
        <x:f>IF(E96=F96,"PASS","FAIL")</x:f>
        <x:v>PASS</x:v>
      </x:c>
    </x:row>
    <x:row r="97">
      <x:c r="B97" s="21" t="str">
        <x:v>C0091</x:v>
      </x:c>
      <x:c r="C97" s="21" t="str">
        <x:v>stage build</x:v>
      </x:c>
      <x:c r="D97" s="21" t="str">
        <x:v>baseline nonnegative row 22</x:v>
      </x:c>
      <x:c r="E97" s="21" t="n">
        <x:f>IF('Stage Build'!F22&gt;=0,1,0)</x:f>
        <x:v>1</x:v>
      </x:c>
      <x:c r="F97" s="21" t="n">
        <x:v>1</x:v>
      </x:c>
      <x:c r="G97" s="23" t="str">
        <x:f>IF(E97=F97,"PASS","FAIL")</x:f>
        <x:v>PASS</x:v>
      </x:c>
    </x:row>
    <x:row r="98">
      <x:c r="B98" s="21" t="str">
        <x:v>C0092</x:v>
      </x:c>
      <x:c r="C98" s="21" t="str">
        <x:v>stage build</x:v>
      </x:c>
      <x:c r="D98" s="21" t="str">
        <x:v>targeted additions nonnegative row 22</x:v>
      </x:c>
      <x:c r="E98" s="21" t="n">
        <x:f>IF(AND('Stage Build'!G22&gt;=0,'Stage Build'!H22&gt;=0),1,0)</x:f>
        <x:v>1</x:v>
      </x:c>
      <x:c r="F98" s="21" t="n">
        <x:v>1</x:v>
      </x:c>
      <x:c r="G98" s="23" t="str">
        <x:f>IF(E98=F98,"PASS","FAIL")</x:f>
        <x:v>PASS</x:v>
      </x:c>
    </x:row>
    <x:row r="99">
      <x:c r="B99" s="21" t="str">
        <x:v>C0093</x:v>
      </x:c>
      <x:c r="C99" s="21" t="str">
        <x:v>stage build</x:v>
      </x:c>
      <x:c r="D99" s="21" t="str">
        <x:v>pre-replication identity row 22</x:v>
      </x:c>
      <x:c r="E99" s="21" t="n">
        <x:f>IF(ABS('Stage Build'!I22-SUM('Stage Build'!F22:H22))&lt;0.000001,1,0)</x:f>
        <x:v>1</x:v>
      </x:c>
      <x:c r="F99" s="21" t="n">
        <x:v>1</x:v>
      </x:c>
      <x:c r="G99" s="23" t="str">
        <x:f>IF(E99=F99,"PASS","FAIL")</x:f>
        <x:v>PASS</x:v>
      </x:c>
    </x:row>
    <x:row r="100">
      <x:c r="B100" s="21" t="str">
        <x:v>C0094</x:v>
      </x:c>
      <x:c r="C100" s="21" t="str">
        <x:v>stage build</x:v>
      </x:c>
      <x:c r="D100" s="21" t="str">
        <x:v>replication layer nonnegative row 22</x:v>
      </x:c>
      <x:c r="E100" s="21" t="n">
        <x:f>IF('Stage Build'!J22&gt;=0,1,0)</x:f>
        <x:v>1</x:v>
      </x:c>
      <x:c r="F100" s="21" t="n">
        <x:v>1</x:v>
      </x:c>
      <x:c r="G100" s="23" t="str">
        <x:f>IF(E100=F100,"PASS","FAIL")</x:f>
        <x:v>PASS</x:v>
      </x:c>
    </x:row>
    <x:row r="101">
      <x:c r="B101" s="21" t="str">
        <x:v>C0095</x:v>
      </x:c>
      <x:c r="C101" s="21" t="str">
        <x:v>stage build</x:v>
      </x:c>
      <x:c r="D101" s="21" t="str">
        <x:v>designed ratio identity row 22</x:v>
      </x:c>
      <x:c r="E101" s="21" t="n">
        <x:f>IF(ABS('Stage Build'!K22-'Stage Build'!I22-'Stage Build'!J22)&lt;0.000001,1,0)</x:f>
        <x:v>1</x:v>
      </x:c>
      <x:c r="F101" s="21" t="n">
        <x:v>1</x:v>
      </x:c>
      <x:c r="G101" s="23" t="str">
        <x:f>IF(E101=F101,"PASS","FAIL")</x:f>
        <x:v>PASS</x:v>
      </x:c>
    </x:row>
    <x:row r="102">
      <x:c r="B102" s="21" t="str">
        <x:v>C0096</x:v>
      </x:c>
      <x:c r="C102" s="21" t="str">
        <x:v>stage build</x:v>
      </x:c>
      <x:c r="D102" s="21" t="str">
        <x:v>M05 status identity row 22</x:v>
      </x:c>
      <x:c r="E102" s="21" t="n">
        <x:f>IF('Stage Build'!L22=IF('Stage Build'!K22&gt;=Assumptions!$C$9,"ADEQUATE","GAP"),1,0)</x:f>
        <x:v>1</x:v>
      </x:c>
      <x:c r="F102" s="21" t="n">
        <x:v>1</x:v>
      </x:c>
      <x:c r="G102" s="23" t="str">
        <x:f>IF(E102=F102,"PASS","FAIL")</x:f>
        <x:v>PASS</x:v>
      </x:c>
    </x:row>
    <x:row r="103">
      <x:c r="B103" s="21" t="str">
        <x:v>C0097</x:v>
      </x:c>
      <x:c r="C103" s="21" t="str">
        <x:v>stage build</x:v>
      </x:c>
      <x:c r="D103" s="21" t="str">
        <x:v>baseline nonnegative row 23</x:v>
      </x:c>
      <x:c r="E103" s="21" t="n">
        <x:f>IF('Stage Build'!F23&gt;=0,1,0)</x:f>
        <x:v>1</x:v>
      </x:c>
      <x:c r="F103" s="21" t="n">
        <x:v>1</x:v>
      </x:c>
      <x:c r="G103" s="23" t="str">
        <x:f>IF(E103=F103,"PASS","FAIL")</x:f>
        <x:v>PASS</x:v>
      </x:c>
    </x:row>
    <x:row r="104">
      <x:c r="B104" s="21" t="str">
        <x:v>C0098</x:v>
      </x:c>
      <x:c r="C104" s="21" t="str">
        <x:v>stage build</x:v>
      </x:c>
      <x:c r="D104" s="21" t="str">
        <x:v>targeted additions nonnegative row 23</x:v>
      </x:c>
      <x:c r="E104" s="21" t="n">
        <x:f>IF(AND('Stage Build'!G23&gt;=0,'Stage Build'!H23&gt;=0),1,0)</x:f>
        <x:v>1</x:v>
      </x:c>
      <x:c r="F104" s="21" t="n">
        <x:v>1</x:v>
      </x:c>
      <x:c r="G104" s="23" t="str">
        <x:f>IF(E104=F104,"PASS","FAIL")</x:f>
        <x:v>PASS</x:v>
      </x:c>
    </x:row>
    <x:row r="105">
      <x:c r="B105" s="21" t="str">
        <x:v>C0099</x:v>
      </x:c>
      <x:c r="C105" s="21" t="str">
        <x:v>stage build</x:v>
      </x:c>
      <x:c r="D105" s="21" t="str">
        <x:v>pre-replication identity row 23</x:v>
      </x:c>
      <x:c r="E105" s="21" t="n">
        <x:f>IF(ABS('Stage Build'!I23-SUM('Stage Build'!F23:H23))&lt;0.000001,1,0)</x:f>
        <x:v>1</x:v>
      </x:c>
      <x:c r="F105" s="21" t="n">
        <x:v>1</x:v>
      </x:c>
      <x:c r="G105" s="23" t="str">
        <x:f>IF(E105=F105,"PASS","FAIL")</x:f>
        <x:v>PASS</x:v>
      </x:c>
    </x:row>
    <x:row r="106">
      <x:c r="B106" s="21" t="str">
        <x:v>C0100</x:v>
      </x:c>
      <x:c r="C106" s="21" t="str">
        <x:v>stage build</x:v>
      </x:c>
      <x:c r="D106" s="21" t="str">
        <x:v>replication layer nonnegative row 23</x:v>
      </x:c>
      <x:c r="E106" s="21" t="n">
        <x:f>IF('Stage Build'!J23&gt;=0,1,0)</x:f>
        <x:v>1</x:v>
      </x:c>
      <x:c r="F106" s="21" t="n">
        <x:v>1</x:v>
      </x:c>
      <x:c r="G106" s="23" t="str">
        <x:f>IF(E106=F106,"PASS","FAIL")</x:f>
        <x:v>PASS</x:v>
      </x:c>
    </x:row>
    <x:row r="107">
      <x:c r="B107" s="21" t="str">
        <x:v>C0101</x:v>
      </x:c>
      <x:c r="C107" s="21" t="str">
        <x:v>stage build</x:v>
      </x:c>
      <x:c r="D107" s="21" t="str">
        <x:v>designed ratio identity row 23</x:v>
      </x:c>
      <x:c r="E107" s="21" t="n">
        <x:f>IF(ABS('Stage Build'!K23-'Stage Build'!I23-'Stage Build'!J23)&lt;0.000001,1,0)</x:f>
        <x:v>1</x:v>
      </x:c>
      <x:c r="F107" s="21" t="n">
        <x:v>1</x:v>
      </x:c>
      <x:c r="G107" s="23" t="str">
        <x:f>IF(E107=F107,"PASS","FAIL")</x:f>
        <x:v>PASS</x:v>
      </x:c>
    </x:row>
    <x:row r="108">
      <x:c r="B108" s="21" t="str">
        <x:v>C0102</x:v>
      </x:c>
      <x:c r="C108" s="21" t="str">
        <x:v>stage build</x:v>
      </x:c>
      <x:c r="D108" s="21" t="str">
        <x:v>M05 status identity row 23</x:v>
      </x:c>
      <x:c r="E108" s="21" t="n">
        <x:f>IF('Stage Build'!L23=IF('Stage Build'!K23&gt;=Assumptions!$C$9,"ADEQUATE","GAP"),1,0)</x:f>
        <x:v>1</x:v>
      </x:c>
      <x:c r="F108" s="21" t="n">
        <x:v>1</x:v>
      </x:c>
      <x:c r="G108" s="23" t="str">
        <x:f>IF(E108=F108,"PASS","FAIL")</x:f>
        <x:v>PASS</x:v>
      </x:c>
    </x:row>
    <x:row r="109">
      <x:c r="B109" s="21" t="str">
        <x:v>C0103</x:v>
      </x:c>
      <x:c r="C109" s="21" t="str">
        <x:v>stage build</x:v>
      </x:c>
      <x:c r="D109" s="21" t="str">
        <x:v>baseline nonnegative row 24</x:v>
      </x:c>
      <x:c r="E109" s="21" t="n">
        <x:f>IF('Stage Build'!F24&gt;=0,1,0)</x:f>
        <x:v>1</x:v>
      </x:c>
      <x:c r="F109" s="21" t="n">
        <x:v>1</x:v>
      </x:c>
      <x:c r="G109" s="23" t="str">
        <x:f>IF(E109=F109,"PASS","FAIL")</x:f>
        <x:v>PASS</x:v>
      </x:c>
    </x:row>
    <x:row r="110">
      <x:c r="B110" s="21" t="str">
        <x:v>C0104</x:v>
      </x:c>
      <x:c r="C110" s="21" t="str">
        <x:v>stage build</x:v>
      </x:c>
      <x:c r="D110" s="21" t="str">
        <x:v>targeted additions nonnegative row 24</x:v>
      </x:c>
      <x:c r="E110" s="21" t="n">
        <x:f>IF(AND('Stage Build'!G24&gt;=0,'Stage Build'!H24&gt;=0),1,0)</x:f>
        <x:v>1</x:v>
      </x:c>
      <x:c r="F110" s="21" t="n">
        <x:v>1</x:v>
      </x:c>
      <x:c r="G110" s="23" t="str">
        <x:f>IF(E110=F110,"PASS","FAIL")</x:f>
        <x:v>PASS</x:v>
      </x:c>
    </x:row>
    <x:row r="111">
      <x:c r="B111" s="21" t="str">
        <x:v>C0105</x:v>
      </x:c>
      <x:c r="C111" s="21" t="str">
        <x:v>stage build</x:v>
      </x:c>
      <x:c r="D111" s="21" t="str">
        <x:v>pre-replication identity row 24</x:v>
      </x:c>
      <x:c r="E111" s="21" t="n">
        <x:f>IF(ABS('Stage Build'!I24-SUM('Stage Build'!F24:H24))&lt;0.000001,1,0)</x:f>
        <x:v>1</x:v>
      </x:c>
      <x:c r="F111" s="21" t="n">
        <x:v>1</x:v>
      </x:c>
      <x:c r="G111" s="23" t="str">
        <x:f>IF(E111=F111,"PASS","FAIL")</x:f>
        <x:v>PASS</x:v>
      </x:c>
    </x:row>
    <x:row r="112">
      <x:c r="B112" s="21" t="str">
        <x:v>C0106</x:v>
      </x:c>
      <x:c r="C112" s="21" t="str">
        <x:v>stage build</x:v>
      </x:c>
      <x:c r="D112" s="21" t="str">
        <x:v>replication layer nonnegative row 24</x:v>
      </x:c>
      <x:c r="E112" s="21" t="n">
        <x:f>IF('Stage Build'!J24&gt;=0,1,0)</x:f>
        <x:v>1</x:v>
      </x:c>
      <x:c r="F112" s="21" t="n">
        <x:v>1</x:v>
      </x:c>
      <x:c r="G112" s="23" t="str">
        <x:f>IF(E112=F112,"PASS","FAIL")</x:f>
        <x:v>PASS</x:v>
      </x:c>
    </x:row>
    <x:row r="113">
      <x:c r="B113" s="21" t="str">
        <x:v>C0107</x:v>
      </x:c>
      <x:c r="C113" s="21" t="str">
        <x:v>stage build</x:v>
      </x:c>
      <x:c r="D113" s="21" t="str">
        <x:v>designed ratio identity row 24</x:v>
      </x:c>
      <x:c r="E113" s="21" t="n">
        <x:f>IF(ABS('Stage Build'!K24-'Stage Build'!I24-'Stage Build'!J24)&lt;0.000001,1,0)</x:f>
        <x:v>1</x:v>
      </x:c>
      <x:c r="F113" s="21" t="n">
        <x:v>1</x:v>
      </x:c>
      <x:c r="G113" s="23" t="str">
        <x:f>IF(E113=F113,"PASS","FAIL")</x:f>
        <x:v>PASS</x:v>
      </x:c>
    </x:row>
    <x:row r="114">
      <x:c r="B114" s="21" t="str">
        <x:v>C0108</x:v>
      </x:c>
      <x:c r="C114" s="21" t="str">
        <x:v>stage build</x:v>
      </x:c>
      <x:c r="D114" s="21" t="str">
        <x:v>M05 status identity row 24</x:v>
      </x:c>
      <x:c r="E114" s="21" t="n">
        <x:f>IF('Stage Build'!L24=IF('Stage Build'!K24&gt;=Assumptions!$C$9,"ADEQUATE","GAP"),1,0)</x:f>
        <x:v>1</x:v>
      </x:c>
      <x:c r="F114" s="21" t="n">
        <x:v>1</x:v>
      </x:c>
      <x:c r="G114" s="23" t="str">
        <x:f>IF(E114=F114,"PASS","FAIL")</x:f>
        <x:v>PASS</x:v>
      </x:c>
    </x:row>
    <x:row r="115">
      <x:c r="B115" s="21" t="str">
        <x:v>C0109</x:v>
      </x:c>
      <x:c r="C115" s="21" t="str">
        <x:v>stage build</x:v>
      </x:c>
      <x:c r="D115" s="21" t="str">
        <x:v>baseline nonnegative row 25</x:v>
      </x:c>
      <x:c r="E115" s="21" t="n">
        <x:f>IF('Stage Build'!F25&gt;=0,1,0)</x:f>
        <x:v>1</x:v>
      </x:c>
      <x:c r="F115" s="21" t="n">
        <x:v>1</x:v>
      </x:c>
      <x:c r="G115" s="23" t="str">
        <x:f>IF(E115=F115,"PASS","FAIL")</x:f>
        <x:v>PASS</x:v>
      </x:c>
    </x:row>
    <x:row r="116">
      <x:c r="B116" s="21" t="str">
        <x:v>C0110</x:v>
      </x:c>
      <x:c r="C116" s="21" t="str">
        <x:v>stage build</x:v>
      </x:c>
      <x:c r="D116" s="21" t="str">
        <x:v>targeted additions nonnegative row 25</x:v>
      </x:c>
      <x:c r="E116" s="21" t="n">
        <x:f>IF(AND('Stage Build'!G25&gt;=0,'Stage Build'!H25&gt;=0),1,0)</x:f>
        <x:v>1</x:v>
      </x:c>
      <x:c r="F116" s="21" t="n">
        <x:v>1</x:v>
      </x:c>
      <x:c r="G116" s="23" t="str">
        <x:f>IF(E116=F116,"PASS","FAIL")</x:f>
        <x:v>PASS</x:v>
      </x:c>
    </x:row>
    <x:row r="117">
      <x:c r="B117" s="21" t="str">
        <x:v>C0111</x:v>
      </x:c>
      <x:c r="C117" s="21" t="str">
        <x:v>stage build</x:v>
      </x:c>
      <x:c r="D117" s="21" t="str">
        <x:v>pre-replication identity row 25</x:v>
      </x:c>
      <x:c r="E117" s="21" t="n">
        <x:f>IF(ABS('Stage Build'!I25-SUM('Stage Build'!F25:H25))&lt;0.000001,1,0)</x:f>
        <x:v>1</x:v>
      </x:c>
      <x:c r="F117" s="21" t="n">
        <x:v>1</x:v>
      </x:c>
      <x:c r="G117" s="23" t="str">
        <x:f>IF(E117=F117,"PASS","FAIL")</x:f>
        <x:v>PASS</x:v>
      </x:c>
    </x:row>
    <x:row r="118">
      <x:c r="B118" s="21" t="str">
        <x:v>C0112</x:v>
      </x:c>
      <x:c r="C118" s="21" t="str">
        <x:v>stage build</x:v>
      </x:c>
      <x:c r="D118" s="21" t="str">
        <x:v>replication layer nonnegative row 25</x:v>
      </x:c>
      <x:c r="E118" s="21" t="n">
        <x:f>IF('Stage Build'!J25&gt;=0,1,0)</x:f>
        <x:v>1</x:v>
      </x:c>
      <x:c r="F118" s="21" t="n">
        <x:v>1</x:v>
      </x:c>
      <x:c r="G118" s="23" t="str">
        <x:f>IF(E118=F118,"PASS","FAIL")</x:f>
        <x:v>PASS</x:v>
      </x:c>
    </x:row>
    <x:row r="119">
      <x:c r="B119" s="21" t="str">
        <x:v>C0113</x:v>
      </x:c>
      <x:c r="C119" s="21" t="str">
        <x:v>stage build</x:v>
      </x:c>
      <x:c r="D119" s="21" t="str">
        <x:v>designed ratio identity row 25</x:v>
      </x:c>
      <x:c r="E119" s="21" t="n">
        <x:f>IF(ABS('Stage Build'!K25-'Stage Build'!I25-'Stage Build'!J25)&lt;0.000001,1,0)</x:f>
        <x:v>1</x:v>
      </x:c>
      <x:c r="F119" s="21" t="n">
        <x:v>1</x:v>
      </x:c>
      <x:c r="G119" s="23" t="str">
        <x:f>IF(E119=F119,"PASS","FAIL")</x:f>
        <x:v>PASS</x:v>
      </x:c>
    </x:row>
    <x:row r="120">
      <x:c r="B120" s="21" t="str">
        <x:v>C0114</x:v>
      </x:c>
      <x:c r="C120" s="21" t="str">
        <x:v>stage build</x:v>
      </x:c>
      <x:c r="D120" s="21" t="str">
        <x:v>M05 status identity row 25</x:v>
      </x:c>
      <x:c r="E120" s="21" t="n">
        <x:f>IF('Stage Build'!L25=IF('Stage Build'!K25&gt;=Assumptions!$C$9,"ADEQUATE","GAP"),1,0)</x:f>
        <x:v>1</x:v>
      </x:c>
      <x:c r="F120" s="21" t="n">
        <x:v>1</x:v>
      </x:c>
      <x:c r="G120" s="23" t="str">
        <x:f>IF(E120=F120,"PASS","FAIL")</x:f>
        <x:v>PASS</x:v>
      </x:c>
    </x:row>
    <x:row r="121">
      <x:c r="B121" s="21" t="str">
        <x:v>C0115</x:v>
      </x:c>
      <x:c r="C121" s="21" t="str">
        <x:v>stage build</x:v>
      </x:c>
      <x:c r="D121" s="21" t="str">
        <x:v>baseline nonnegative row 26</x:v>
      </x:c>
      <x:c r="E121" s="21" t="n">
        <x:f>IF('Stage Build'!F26&gt;=0,1,0)</x:f>
        <x:v>1</x:v>
      </x:c>
      <x:c r="F121" s="21" t="n">
        <x:v>1</x:v>
      </x:c>
      <x:c r="G121" s="23" t="str">
        <x:f>IF(E121=F121,"PASS","FAIL")</x:f>
        <x:v>PASS</x:v>
      </x:c>
    </x:row>
    <x:row r="122">
      <x:c r="B122" s="21" t="str">
        <x:v>C0116</x:v>
      </x:c>
      <x:c r="C122" s="21" t="str">
        <x:v>stage build</x:v>
      </x:c>
      <x:c r="D122" s="21" t="str">
        <x:v>targeted additions nonnegative row 26</x:v>
      </x:c>
      <x:c r="E122" s="21" t="n">
        <x:f>IF(AND('Stage Build'!G26&gt;=0,'Stage Build'!H26&gt;=0),1,0)</x:f>
        <x:v>1</x:v>
      </x:c>
      <x:c r="F122" s="21" t="n">
        <x:v>1</x:v>
      </x:c>
      <x:c r="G122" s="23" t="str">
        <x:f>IF(E122=F122,"PASS","FAIL")</x:f>
        <x:v>PASS</x:v>
      </x:c>
    </x:row>
    <x:row r="123">
      <x:c r="B123" s="21" t="str">
        <x:v>C0117</x:v>
      </x:c>
      <x:c r="C123" s="21" t="str">
        <x:v>stage build</x:v>
      </x:c>
      <x:c r="D123" s="21" t="str">
        <x:v>pre-replication identity row 26</x:v>
      </x:c>
      <x:c r="E123" s="21" t="n">
        <x:f>IF(ABS('Stage Build'!I26-SUM('Stage Build'!F26:H26))&lt;0.000001,1,0)</x:f>
        <x:v>1</x:v>
      </x:c>
      <x:c r="F123" s="21" t="n">
        <x:v>1</x:v>
      </x:c>
      <x:c r="G123" s="23" t="str">
        <x:f>IF(E123=F123,"PASS","FAIL")</x:f>
        <x:v>PASS</x:v>
      </x:c>
    </x:row>
    <x:row r="124">
      <x:c r="B124" s="21" t="str">
        <x:v>C0118</x:v>
      </x:c>
      <x:c r="C124" s="21" t="str">
        <x:v>stage build</x:v>
      </x:c>
      <x:c r="D124" s="21" t="str">
        <x:v>replication layer nonnegative row 26</x:v>
      </x:c>
      <x:c r="E124" s="21" t="n">
        <x:f>IF('Stage Build'!J26&gt;=0,1,0)</x:f>
        <x:v>1</x:v>
      </x:c>
      <x:c r="F124" s="21" t="n">
        <x:v>1</x:v>
      </x:c>
      <x:c r="G124" s="23" t="str">
        <x:f>IF(E124=F124,"PASS","FAIL")</x:f>
        <x:v>PASS</x:v>
      </x:c>
    </x:row>
    <x:row r="125">
      <x:c r="B125" s="21" t="str">
        <x:v>C0119</x:v>
      </x:c>
      <x:c r="C125" s="21" t="str">
        <x:v>stage build</x:v>
      </x:c>
      <x:c r="D125" s="21" t="str">
        <x:v>designed ratio identity row 26</x:v>
      </x:c>
      <x:c r="E125" s="21" t="n">
        <x:f>IF(ABS('Stage Build'!K26-'Stage Build'!I26-'Stage Build'!J26)&lt;0.000001,1,0)</x:f>
        <x:v>1</x:v>
      </x:c>
      <x:c r="F125" s="21" t="n">
        <x:v>1</x:v>
      </x:c>
      <x:c r="G125" s="23" t="str">
        <x:f>IF(E125=F125,"PASS","FAIL")</x:f>
        <x:v>PASS</x:v>
      </x:c>
    </x:row>
    <x:row r="126">
      <x:c r="B126" s="21" t="str">
        <x:v>C0120</x:v>
      </x:c>
      <x:c r="C126" s="21" t="str">
        <x:v>stage build</x:v>
      </x:c>
      <x:c r="D126" s="21" t="str">
        <x:v>M05 status identity row 26</x:v>
      </x:c>
      <x:c r="E126" s="21" t="n">
        <x:f>IF('Stage Build'!L26=IF('Stage Build'!K26&gt;=Assumptions!$C$9,"ADEQUATE","GAP"),1,0)</x:f>
        <x:v>1</x:v>
      </x:c>
      <x:c r="F126" s="21" t="n">
        <x:v>1</x:v>
      </x:c>
      <x:c r="G126" s="23" t="str">
        <x:f>IF(E126=F126,"PASS","FAIL")</x:f>
        <x:v>PASS</x:v>
      </x:c>
    </x:row>
    <x:row r="127">
      <x:c r="B127" s="21" t="str">
        <x:v>C0121</x:v>
      </x:c>
      <x:c r="C127" s="21" t="str">
        <x:v>stage build</x:v>
      </x:c>
      <x:c r="D127" s="21" t="str">
        <x:v>baseline nonnegative row 27</x:v>
      </x:c>
      <x:c r="E127" s="21" t="n">
        <x:f>IF('Stage Build'!F27&gt;=0,1,0)</x:f>
        <x:v>1</x:v>
      </x:c>
      <x:c r="F127" s="21" t="n">
        <x:v>1</x:v>
      </x:c>
      <x:c r="G127" s="23" t="str">
        <x:f>IF(E127=F127,"PASS","FAIL")</x:f>
        <x:v>PASS</x:v>
      </x:c>
    </x:row>
    <x:row r="128">
      <x:c r="B128" s="21" t="str">
        <x:v>C0122</x:v>
      </x:c>
      <x:c r="C128" s="21" t="str">
        <x:v>stage build</x:v>
      </x:c>
      <x:c r="D128" s="21" t="str">
        <x:v>targeted additions nonnegative row 27</x:v>
      </x:c>
      <x:c r="E128" s="21" t="n">
        <x:f>IF(AND('Stage Build'!G27&gt;=0,'Stage Build'!H27&gt;=0),1,0)</x:f>
        <x:v>1</x:v>
      </x:c>
      <x:c r="F128" s="21" t="n">
        <x:v>1</x:v>
      </x:c>
      <x:c r="G128" s="23" t="str">
        <x:f>IF(E128=F128,"PASS","FAIL")</x:f>
        <x:v>PASS</x:v>
      </x:c>
    </x:row>
    <x:row r="129">
      <x:c r="B129" s="21" t="str">
        <x:v>C0123</x:v>
      </x:c>
      <x:c r="C129" s="21" t="str">
        <x:v>stage build</x:v>
      </x:c>
      <x:c r="D129" s="21" t="str">
        <x:v>pre-replication identity row 27</x:v>
      </x:c>
      <x:c r="E129" s="21" t="n">
        <x:f>IF(ABS('Stage Build'!I27-SUM('Stage Build'!F27:H27))&lt;0.000001,1,0)</x:f>
        <x:v>1</x:v>
      </x:c>
      <x:c r="F129" s="21" t="n">
        <x:v>1</x:v>
      </x:c>
      <x:c r="G129" s="23" t="str">
        <x:f>IF(E129=F129,"PASS","FAIL")</x:f>
        <x:v>PASS</x:v>
      </x:c>
    </x:row>
    <x:row r="130">
      <x:c r="B130" s="21" t="str">
        <x:v>C0124</x:v>
      </x:c>
      <x:c r="C130" s="21" t="str">
        <x:v>stage build</x:v>
      </x:c>
      <x:c r="D130" s="21" t="str">
        <x:v>replication layer nonnegative row 27</x:v>
      </x:c>
      <x:c r="E130" s="21" t="n">
        <x:f>IF('Stage Build'!J27&gt;=0,1,0)</x:f>
        <x:v>1</x:v>
      </x:c>
      <x:c r="F130" s="21" t="n">
        <x:v>1</x:v>
      </x:c>
      <x:c r="G130" s="23" t="str">
        <x:f>IF(E130=F130,"PASS","FAIL")</x:f>
        <x:v>PASS</x:v>
      </x:c>
    </x:row>
    <x:row r="131">
      <x:c r="B131" s="21" t="str">
        <x:v>C0125</x:v>
      </x:c>
      <x:c r="C131" s="21" t="str">
        <x:v>stage build</x:v>
      </x:c>
      <x:c r="D131" s="21" t="str">
        <x:v>designed ratio identity row 27</x:v>
      </x:c>
      <x:c r="E131" s="21" t="n">
        <x:f>IF(ABS('Stage Build'!K27-'Stage Build'!I27-'Stage Build'!J27)&lt;0.000001,1,0)</x:f>
        <x:v>1</x:v>
      </x:c>
      <x:c r="F131" s="21" t="n">
        <x:v>1</x:v>
      </x:c>
      <x:c r="G131" s="23" t="str">
        <x:f>IF(E131=F131,"PASS","FAIL")</x:f>
        <x:v>PASS</x:v>
      </x:c>
    </x:row>
    <x:row r="132">
      <x:c r="B132" s="21" t="str">
        <x:v>C0126</x:v>
      </x:c>
      <x:c r="C132" s="21" t="str">
        <x:v>stage build</x:v>
      </x:c>
      <x:c r="D132" s="21" t="str">
        <x:v>M05 status identity row 27</x:v>
      </x:c>
      <x:c r="E132" s="21" t="n">
        <x:f>IF('Stage Build'!L27=IF('Stage Build'!K27&gt;=Assumptions!$C$9,"ADEQUATE","GAP"),1,0)</x:f>
        <x:v>1</x:v>
      </x:c>
      <x:c r="F132" s="21" t="n">
        <x:v>1</x:v>
      </x:c>
      <x:c r="G132" s="23" t="str">
        <x:f>IF(E132=F132,"PASS","FAIL")</x:f>
        <x:v>PASS</x:v>
      </x:c>
    </x:row>
    <x:row r="133">
      <x:c r="B133" s="21" t="str">
        <x:v>C0127</x:v>
      </x:c>
      <x:c r="C133" s="21" t="str">
        <x:v>stage build</x:v>
      </x:c>
      <x:c r="D133" s="21" t="str">
        <x:v>baseline nonnegative row 28</x:v>
      </x:c>
      <x:c r="E133" s="21" t="n">
        <x:f>IF('Stage Build'!F28&gt;=0,1,0)</x:f>
        <x:v>1</x:v>
      </x:c>
      <x:c r="F133" s="21" t="n">
        <x:v>1</x:v>
      </x:c>
      <x:c r="G133" s="23" t="str">
        <x:f>IF(E133=F133,"PASS","FAIL")</x:f>
        <x:v>PASS</x:v>
      </x:c>
    </x:row>
    <x:row r="134">
      <x:c r="B134" s="21" t="str">
        <x:v>C0128</x:v>
      </x:c>
      <x:c r="C134" s="21" t="str">
        <x:v>stage build</x:v>
      </x:c>
      <x:c r="D134" s="21" t="str">
        <x:v>targeted additions nonnegative row 28</x:v>
      </x:c>
      <x:c r="E134" s="21" t="n">
        <x:f>IF(AND('Stage Build'!G28&gt;=0,'Stage Build'!H28&gt;=0),1,0)</x:f>
        <x:v>1</x:v>
      </x:c>
      <x:c r="F134" s="21" t="n">
        <x:v>1</x:v>
      </x:c>
      <x:c r="G134" s="23" t="str">
        <x:f>IF(E134=F134,"PASS","FAIL")</x:f>
        <x:v>PASS</x:v>
      </x:c>
    </x:row>
    <x:row r="135">
      <x:c r="B135" s="21" t="str">
        <x:v>C0129</x:v>
      </x:c>
      <x:c r="C135" s="21" t="str">
        <x:v>stage build</x:v>
      </x:c>
      <x:c r="D135" s="21" t="str">
        <x:v>pre-replication identity row 28</x:v>
      </x:c>
      <x:c r="E135" s="21" t="n">
        <x:f>IF(ABS('Stage Build'!I28-SUM('Stage Build'!F28:H28))&lt;0.000001,1,0)</x:f>
        <x:v>1</x:v>
      </x:c>
      <x:c r="F135" s="21" t="n">
        <x:v>1</x:v>
      </x:c>
      <x:c r="G135" s="23" t="str">
        <x:f>IF(E135=F135,"PASS","FAIL")</x:f>
        <x:v>PASS</x:v>
      </x:c>
    </x:row>
    <x:row r="136">
      <x:c r="B136" s="21" t="str">
        <x:v>C0130</x:v>
      </x:c>
      <x:c r="C136" s="21" t="str">
        <x:v>stage build</x:v>
      </x:c>
      <x:c r="D136" s="21" t="str">
        <x:v>replication layer nonnegative row 28</x:v>
      </x:c>
      <x:c r="E136" s="21" t="n">
        <x:f>IF('Stage Build'!J28&gt;=0,1,0)</x:f>
        <x:v>1</x:v>
      </x:c>
      <x:c r="F136" s="21" t="n">
        <x:v>1</x:v>
      </x:c>
      <x:c r="G136" s="23" t="str">
        <x:f>IF(E136=F136,"PASS","FAIL")</x:f>
        <x:v>PASS</x:v>
      </x:c>
    </x:row>
    <x:row r="137">
      <x:c r="B137" s="21" t="str">
        <x:v>C0131</x:v>
      </x:c>
      <x:c r="C137" s="21" t="str">
        <x:v>stage build</x:v>
      </x:c>
      <x:c r="D137" s="21" t="str">
        <x:v>designed ratio identity row 28</x:v>
      </x:c>
      <x:c r="E137" s="21" t="n">
        <x:f>IF(ABS('Stage Build'!K28-'Stage Build'!I28-'Stage Build'!J28)&lt;0.000001,1,0)</x:f>
        <x:v>1</x:v>
      </x:c>
      <x:c r="F137" s="21" t="n">
        <x:v>1</x:v>
      </x:c>
      <x:c r="G137" s="23" t="str">
        <x:f>IF(E137=F137,"PASS","FAIL")</x:f>
        <x:v>PASS</x:v>
      </x:c>
    </x:row>
    <x:row r="138">
      <x:c r="B138" s="21" t="str">
        <x:v>C0132</x:v>
      </x:c>
      <x:c r="C138" s="21" t="str">
        <x:v>stage build</x:v>
      </x:c>
      <x:c r="D138" s="21" t="str">
        <x:v>M05 status identity row 28</x:v>
      </x:c>
      <x:c r="E138" s="21" t="n">
        <x:f>IF('Stage Build'!L28=IF('Stage Build'!K28&gt;=Assumptions!$C$9,"ADEQUATE","GAP"),1,0)</x:f>
        <x:v>1</x:v>
      </x:c>
      <x:c r="F138" s="21" t="n">
        <x:v>1</x:v>
      </x:c>
      <x:c r="G138" s="23" t="str">
        <x:f>IF(E138=F138,"PASS","FAIL")</x:f>
        <x:v>PASS</x:v>
      </x:c>
    </x:row>
    <x:row r="139">
      <x:c r="B139" s="21" t="str">
        <x:v>C0133</x:v>
      </x:c>
      <x:c r="C139" s="21" t="str">
        <x:v>stage build</x:v>
      </x:c>
      <x:c r="D139" s="21" t="str">
        <x:v>baseline nonnegative row 29</x:v>
      </x:c>
      <x:c r="E139" s="21" t="n">
        <x:f>IF('Stage Build'!F29&gt;=0,1,0)</x:f>
        <x:v>1</x:v>
      </x:c>
      <x:c r="F139" s="21" t="n">
        <x:v>1</x:v>
      </x:c>
      <x:c r="G139" s="23" t="str">
        <x:f>IF(E139=F139,"PASS","FAIL")</x:f>
        <x:v>PASS</x:v>
      </x:c>
    </x:row>
    <x:row r="140">
      <x:c r="B140" s="21" t="str">
        <x:v>C0134</x:v>
      </x:c>
      <x:c r="C140" s="21" t="str">
        <x:v>stage build</x:v>
      </x:c>
      <x:c r="D140" s="21" t="str">
        <x:v>targeted additions nonnegative row 29</x:v>
      </x:c>
      <x:c r="E140" s="21" t="n">
        <x:f>IF(AND('Stage Build'!G29&gt;=0,'Stage Build'!H29&gt;=0),1,0)</x:f>
        <x:v>1</x:v>
      </x:c>
      <x:c r="F140" s="21" t="n">
        <x:v>1</x:v>
      </x:c>
      <x:c r="G140" s="23" t="str">
        <x:f>IF(E140=F140,"PASS","FAIL")</x:f>
        <x:v>PASS</x:v>
      </x:c>
    </x:row>
    <x:row r="141">
      <x:c r="B141" s="21" t="str">
        <x:v>C0135</x:v>
      </x:c>
      <x:c r="C141" s="21" t="str">
        <x:v>stage build</x:v>
      </x:c>
      <x:c r="D141" s="21" t="str">
        <x:v>pre-replication identity row 29</x:v>
      </x:c>
      <x:c r="E141" s="21" t="n">
        <x:f>IF(ABS('Stage Build'!I29-SUM('Stage Build'!F29:H29))&lt;0.000001,1,0)</x:f>
        <x:v>1</x:v>
      </x:c>
      <x:c r="F141" s="21" t="n">
        <x:v>1</x:v>
      </x:c>
      <x:c r="G141" s="23" t="str">
        <x:f>IF(E141=F141,"PASS","FAIL")</x:f>
        <x:v>PASS</x:v>
      </x:c>
    </x:row>
    <x:row r="142">
      <x:c r="B142" s="21" t="str">
        <x:v>C0136</x:v>
      </x:c>
      <x:c r="C142" s="21" t="str">
        <x:v>stage build</x:v>
      </x:c>
      <x:c r="D142" s="21" t="str">
        <x:v>replication layer nonnegative row 29</x:v>
      </x:c>
      <x:c r="E142" s="21" t="n">
        <x:f>IF('Stage Build'!J29&gt;=0,1,0)</x:f>
        <x:v>1</x:v>
      </x:c>
      <x:c r="F142" s="21" t="n">
        <x:v>1</x:v>
      </x:c>
      <x:c r="G142" s="23" t="str">
        <x:f>IF(E142=F142,"PASS","FAIL")</x:f>
        <x:v>PASS</x:v>
      </x:c>
    </x:row>
    <x:row r="143">
      <x:c r="B143" s="21" t="str">
        <x:v>C0137</x:v>
      </x:c>
      <x:c r="C143" s="21" t="str">
        <x:v>stage build</x:v>
      </x:c>
      <x:c r="D143" s="21" t="str">
        <x:v>designed ratio identity row 29</x:v>
      </x:c>
      <x:c r="E143" s="21" t="n">
        <x:f>IF(ABS('Stage Build'!K29-'Stage Build'!I29-'Stage Build'!J29)&lt;0.000001,1,0)</x:f>
        <x:v>1</x:v>
      </x:c>
      <x:c r="F143" s="21" t="n">
        <x:v>1</x:v>
      </x:c>
      <x:c r="G143" s="23" t="str">
        <x:f>IF(E143=F143,"PASS","FAIL")</x:f>
        <x:v>PASS</x:v>
      </x:c>
    </x:row>
    <x:row r="144">
      <x:c r="B144" s="21" t="str">
        <x:v>C0138</x:v>
      </x:c>
      <x:c r="C144" s="21" t="str">
        <x:v>stage build</x:v>
      </x:c>
      <x:c r="D144" s="21" t="str">
        <x:v>M05 status identity row 29</x:v>
      </x:c>
      <x:c r="E144" s="21" t="n">
        <x:f>IF('Stage Build'!L29=IF('Stage Build'!K29&gt;=Assumptions!$C$9,"ADEQUATE","GAP"),1,0)</x:f>
        <x:v>1</x:v>
      </x:c>
      <x:c r="F144" s="21" t="n">
        <x:v>1</x:v>
      </x:c>
      <x:c r="G144" s="23" t="str">
        <x:f>IF(E144=F144,"PASS","FAIL")</x:f>
        <x:v>PASS</x:v>
      </x:c>
    </x:row>
    <x:row r="145">
      <x:c r="B145" s="21" t="str">
        <x:v>C0139</x:v>
      </x:c>
      <x:c r="C145" s="21" t="str">
        <x:v>stage build</x:v>
      </x:c>
      <x:c r="D145" s="21" t="str">
        <x:v>baseline nonnegative row 30</x:v>
      </x:c>
      <x:c r="E145" s="21" t="n">
        <x:f>IF('Stage Build'!F30&gt;=0,1,0)</x:f>
        <x:v>1</x:v>
      </x:c>
      <x:c r="F145" s="21" t="n">
        <x:v>1</x:v>
      </x:c>
      <x:c r="G145" s="23" t="str">
        <x:f>IF(E145=F145,"PASS","FAIL")</x:f>
        <x:v>PASS</x:v>
      </x:c>
    </x:row>
    <x:row r="146">
      <x:c r="B146" s="21" t="str">
        <x:v>C0140</x:v>
      </x:c>
      <x:c r="C146" s="21" t="str">
        <x:v>stage build</x:v>
      </x:c>
      <x:c r="D146" s="21" t="str">
        <x:v>targeted additions nonnegative row 30</x:v>
      </x:c>
      <x:c r="E146" s="21" t="n">
        <x:f>IF(AND('Stage Build'!G30&gt;=0,'Stage Build'!H30&gt;=0),1,0)</x:f>
        <x:v>1</x:v>
      </x:c>
      <x:c r="F146" s="21" t="n">
        <x:v>1</x:v>
      </x:c>
      <x:c r="G146" s="23" t="str">
        <x:f>IF(E146=F146,"PASS","FAIL")</x:f>
        <x:v>PASS</x:v>
      </x:c>
    </x:row>
    <x:row r="147">
      <x:c r="B147" s="21" t="str">
        <x:v>C0141</x:v>
      </x:c>
      <x:c r="C147" s="21" t="str">
        <x:v>stage build</x:v>
      </x:c>
      <x:c r="D147" s="21" t="str">
        <x:v>pre-replication identity row 30</x:v>
      </x:c>
      <x:c r="E147" s="21" t="n">
        <x:f>IF(ABS('Stage Build'!I30-SUM('Stage Build'!F30:H30))&lt;0.000001,1,0)</x:f>
        <x:v>1</x:v>
      </x:c>
      <x:c r="F147" s="21" t="n">
        <x:v>1</x:v>
      </x:c>
      <x:c r="G147" s="23" t="str">
        <x:f>IF(E147=F147,"PASS","FAIL")</x:f>
        <x:v>PASS</x:v>
      </x:c>
    </x:row>
    <x:row r="148">
      <x:c r="B148" s="21" t="str">
        <x:v>C0142</x:v>
      </x:c>
      <x:c r="C148" s="21" t="str">
        <x:v>stage build</x:v>
      </x:c>
      <x:c r="D148" s="21" t="str">
        <x:v>replication layer nonnegative row 30</x:v>
      </x:c>
      <x:c r="E148" s="21" t="n">
        <x:f>IF('Stage Build'!J30&gt;=0,1,0)</x:f>
        <x:v>1</x:v>
      </x:c>
      <x:c r="F148" s="21" t="n">
        <x:v>1</x:v>
      </x:c>
      <x:c r="G148" s="23" t="str">
        <x:f>IF(E148=F148,"PASS","FAIL")</x:f>
        <x:v>PASS</x:v>
      </x:c>
    </x:row>
    <x:row r="149">
      <x:c r="B149" s="21" t="str">
        <x:v>C0143</x:v>
      </x:c>
      <x:c r="C149" s="21" t="str">
        <x:v>stage build</x:v>
      </x:c>
      <x:c r="D149" s="21" t="str">
        <x:v>designed ratio identity row 30</x:v>
      </x:c>
      <x:c r="E149" s="21" t="n">
        <x:f>IF(ABS('Stage Build'!K30-'Stage Build'!I30-'Stage Build'!J30)&lt;0.000001,1,0)</x:f>
        <x:v>1</x:v>
      </x:c>
      <x:c r="F149" s="21" t="n">
        <x:v>1</x:v>
      </x:c>
      <x:c r="G149" s="23" t="str">
        <x:f>IF(E149=F149,"PASS","FAIL")</x:f>
        <x:v>PASS</x:v>
      </x:c>
    </x:row>
    <x:row r="150">
      <x:c r="B150" s="21" t="str">
        <x:v>C0144</x:v>
      </x:c>
      <x:c r="C150" s="21" t="str">
        <x:v>stage build</x:v>
      </x:c>
      <x:c r="D150" s="21" t="str">
        <x:v>M05 status identity row 30</x:v>
      </x:c>
      <x:c r="E150" s="21" t="n">
        <x:f>IF('Stage Build'!L30=IF('Stage Build'!K30&gt;=Assumptions!$C$9,"ADEQUATE","GAP"),1,0)</x:f>
        <x:v>1</x:v>
      </x:c>
      <x:c r="F150" s="21" t="n">
        <x:v>1</x:v>
      </x:c>
      <x:c r="G150" s="23" t="str">
        <x:f>IF(E150=F150,"PASS","FAIL")</x:f>
        <x:v>PASS</x:v>
      </x:c>
    </x:row>
    <x:row r="151">
      <x:c r="B151" s="21" t="str">
        <x:v>C0145</x:v>
      </x:c>
      <x:c r="C151" s="21" t="str">
        <x:v>stage build</x:v>
      </x:c>
      <x:c r="D151" s="21" t="str">
        <x:v>baseline nonnegative row 31</x:v>
      </x:c>
      <x:c r="E151" s="21" t="n">
        <x:f>IF('Stage Build'!F31&gt;=0,1,0)</x:f>
        <x:v>1</x:v>
      </x:c>
      <x:c r="F151" s="21" t="n">
        <x:v>1</x:v>
      </x:c>
      <x:c r="G151" s="23" t="str">
        <x:f>IF(E151=F151,"PASS","FAIL")</x:f>
        <x:v>PASS</x:v>
      </x:c>
    </x:row>
    <x:row r="152">
      <x:c r="B152" s="21" t="str">
        <x:v>C0146</x:v>
      </x:c>
      <x:c r="C152" s="21" t="str">
        <x:v>stage build</x:v>
      </x:c>
      <x:c r="D152" s="21" t="str">
        <x:v>targeted additions nonnegative row 31</x:v>
      </x:c>
      <x:c r="E152" s="21" t="n">
        <x:f>IF(AND('Stage Build'!G31&gt;=0,'Stage Build'!H31&gt;=0),1,0)</x:f>
        <x:v>1</x:v>
      </x:c>
      <x:c r="F152" s="21" t="n">
        <x:v>1</x:v>
      </x:c>
      <x:c r="G152" s="23" t="str">
        <x:f>IF(E152=F152,"PASS","FAIL")</x:f>
        <x:v>PASS</x:v>
      </x:c>
    </x:row>
    <x:row r="153">
      <x:c r="B153" s="21" t="str">
        <x:v>C0147</x:v>
      </x:c>
      <x:c r="C153" s="21" t="str">
        <x:v>stage build</x:v>
      </x:c>
      <x:c r="D153" s="21" t="str">
        <x:v>pre-replication identity row 31</x:v>
      </x:c>
      <x:c r="E153" s="21" t="n">
        <x:f>IF(ABS('Stage Build'!I31-SUM('Stage Build'!F31:H31))&lt;0.000001,1,0)</x:f>
        <x:v>1</x:v>
      </x:c>
      <x:c r="F153" s="21" t="n">
        <x:v>1</x:v>
      </x:c>
      <x:c r="G153" s="23" t="str">
        <x:f>IF(E153=F153,"PASS","FAIL")</x:f>
        <x:v>PASS</x:v>
      </x:c>
    </x:row>
    <x:row r="154">
      <x:c r="B154" s="21" t="str">
        <x:v>C0148</x:v>
      </x:c>
      <x:c r="C154" s="21" t="str">
        <x:v>stage build</x:v>
      </x:c>
      <x:c r="D154" s="21" t="str">
        <x:v>replication layer nonnegative row 31</x:v>
      </x:c>
      <x:c r="E154" s="21" t="n">
        <x:f>IF('Stage Build'!J31&gt;=0,1,0)</x:f>
        <x:v>1</x:v>
      </x:c>
      <x:c r="F154" s="21" t="n">
        <x:v>1</x:v>
      </x:c>
      <x:c r="G154" s="23" t="str">
        <x:f>IF(E154=F154,"PASS","FAIL")</x:f>
        <x:v>PASS</x:v>
      </x:c>
    </x:row>
    <x:row r="155">
      <x:c r="B155" s="21" t="str">
        <x:v>C0149</x:v>
      </x:c>
      <x:c r="C155" s="21" t="str">
        <x:v>stage build</x:v>
      </x:c>
      <x:c r="D155" s="21" t="str">
        <x:v>designed ratio identity row 31</x:v>
      </x:c>
      <x:c r="E155" s="21" t="n">
        <x:f>IF(ABS('Stage Build'!K31-'Stage Build'!I31-'Stage Build'!J31)&lt;0.000001,1,0)</x:f>
        <x:v>1</x:v>
      </x:c>
      <x:c r="F155" s="21" t="n">
        <x:v>1</x:v>
      </x:c>
      <x:c r="G155" s="23" t="str">
        <x:f>IF(E155=F155,"PASS","FAIL")</x:f>
        <x:v>PASS</x:v>
      </x:c>
    </x:row>
    <x:row r="156">
      <x:c r="B156" s="21" t="str">
        <x:v>C0150</x:v>
      </x:c>
      <x:c r="C156" s="21" t="str">
        <x:v>stage build</x:v>
      </x:c>
      <x:c r="D156" s="21" t="str">
        <x:v>M05 status identity row 31</x:v>
      </x:c>
      <x:c r="E156" s="21" t="n">
        <x:f>IF('Stage Build'!L31=IF('Stage Build'!K31&gt;=Assumptions!$C$9,"ADEQUATE","GAP"),1,0)</x:f>
        <x:v>1</x:v>
      </x:c>
      <x:c r="F156" s="21" t="n">
        <x:v>1</x:v>
      </x:c>
      <x:c r="G156" s="23" t="str">
        <x:f>IF(E156=F156,"PASS","FAIL")</x:f>
        <x:v>PASS</x:v>
      </x:c>
    </x:row>
    <x:row r="157">
      <x:c r="B157" s="21" t="str">
        <x:v>C0151</x:v>
      </x:c>
      <x:c r="C157" s="21" t="str">
        <x:v>stage build</x:v>
      </x:c>
      <x:c r="D157" s="21" t="str">
        <x:v>baseline nonnegative row 32</x:v>
      </x:c>
      <x:c r="E157" s="21" t="n">
        <x:f>IF('Stage Build'!F32&gt;=0,1,0)</x:f>
        <x:v>1</x:v>
      </x:c>
      <x:c r="F157" s="21" t="n">
        <x:v>1</x:v>
      </x:c>
      <x:c r="G157" s="23" t="str">
        <x:f>IF(E157=F157,"PASS","FAIL")</x:f>
        <x:v>PASS</x:v>
      </x:c>
    </x:row>
    <x:row r="158">
      <x:c r="B158" s="21" t="str">
        <x:v>C0152</x:v>
      </x:c>
      <x:c r="C158" s="21" t="str">
        <x:v>stage build</x:v>
      </x:c>
      <x:c r="D158" s="21" t="str">
        <x:v>targeted additions nonnegative row 32</x:v>
      </x:c>
      <x:c r="E158" s="21" t="n">
        <x:f>IF(AND('Stage Build'!G32&gt;=0,'Stage Build'!H32&gt;=0),1,0)</x:f>
        <x:v>1</x:v>
      </x:c>
      <x:c r="F158" s="21" t="n">
        <x:v>1</x:v>
      </x:c>
      <x:c r="G158" s="23" t="str">
        <x:f>IF(E158=F158,"PASS","FAIL")</x:f>
        <x:v>PASS</x:v>
      </x:c>
    </x:row>
    <x:row r="159">
      <x:c r="B159" s="21" t="str">
        <x:v>C0153</x:v>
      </x:c>
      <x:c r="C159" s="21" t="str">
        <x:v>stage build</x:v>
      </x:c>
      <x:c r="D159" s="21" t="str">
        <x:v>pre-replication identity row 32</x:v>
      </x:c>
      <x:c r="E159" s="21" t="n">
        <x:f>IF(ABS('Stage Build'!I32-SUM('Stage Build'!F32:H32))&lt;0.000001,1,0)</x:f>
        <x:v>1</x:v>
      </x:c>
      <x:c r="F159" s="21" t="n">
        <x:v>1</x:v>
      </x:c>
      <x:c r="G159" s="23" t="str">
        <x:f>IF(E159=F159,"PASS","FAIL")</x:f>
        <x:v>PASS</x:v>
      </x:c>
    </x:row>
    <x:row r="160">
      <x:c r="B160" s="21" t="str">
        <x:v>C0154</x:v>
      </x:c>
      <x:c r="C160" s="21" t="str">
        <x:v>stage build</x:v>
      </x:c>
      <x:c r="D160" s="21" t="str">
        <x:v>replication layer nonnegative row 32</x:v>
      </x:c>
      <x:c r="E160" s="21" t="n">
        <x:f>IF('Stage Build'!J32&gt;=0,1,0)</x:f>
        <x:v>1</x:v>
      </x:c>
      <x:c r="F160" s="21" t="n">
        <x:v>1</x:v>
      </x:c>
      <x:c r="G160" s="23" t="str">
        <x:f>IF(E160=F160,"PASS","FAIL")</x:f>
        <x:v>PASS</x:v>
      </x:c>
    </x:row>
    <x:row r="161">
      <x:c r="B161" s="21" t="str">
        <x:v>C0155</x:v>
      </x:c>
      <x:c r="C161" s="21" t="str">
        <x:v>stage build</x:v>
      </x:c>
      <x:c r="D161" s="21" t="str">
        <x:v>designed ratio identity row 32</x:v>
      </x:c>
      <x:c r="E161" s="21" t="n">
        <x:f>IF(ABS('Stage Build'!K32-'Stage Build'!I32-'Stage Build'!J32)&lt;0.000001,1,0)</x:f>
        <x:v>1</x:v>
      </x:c>
      <x:c r="F161" s="21" t="n">
        <x:v>1</x:v>
      </x:c>
      <x:c r="G161" s="23" t="str">
        <x:f>IF(E161=F161,"PASS","FAIL")</x:f>
        <x:v>PASS</x:v>
      </x:c>
    </x:row>
    <x:row r="162">
      <x:c r="B162" s="21" t="str">
        <x:v>C0156</x:v>
      </x:c>
      <x:c r="C162" s="21" t="str">
        <x:v>stage build</x:v>
      </x:c>
      <x:c r="D162" s="21" t="str">
        <x:v>M05 status identity row 32</x:v>
      </x:c>
      <x:c r="E162" s="21" t="n">
        <x:f>IF('Stage Build'!L32=IF('Stage Build'!K32&gt;=Assumptions!$C$9,"ADEQUATE","GAP"),1,0)</x:f>
        <x:v>1</x:v>
      </x:c>
      <x:c r="F162" s="21" t="n">
        <x:v>1</x:v>
      </x:c>
      <x:c r="G162" s="23" t="str">
        <x:f>IF(E162=F162,"PASS","FAIL")</x:f>
        <x:v>PASS</x:v>
      </x:c>
    </x:row>
    <x:row r="163">
      <x:c r="B163" s="21" t="str">
        <x:v>C0157</x:v>
      </x:c>
      <x:c r="C163" s="21" t="str">
        <x:v>stage build</x:v>
      </x:c>
      <x:c r="D163" s="21" t="str">
        <x:v>baseline nonnegative row 33</x:v>
      </x:c>
      <x:c r="E163" s="21" t="n">
        <x:f>IF('Stage Build'!F33&gt;=0,1,0)</x:f>
        <x:v>1</x:v>
      </x:c>
      <x:c r="F163" s="21" t="n">
        <x:v>1</x:v>
      </x:c>
      <x:c r="G163" s="23" t="str">
        <x:f>IF(E163=F163,"PASS","FAIL")</x:f>
        <x:v>PASS</x:v>
      </x:c>
    </x:row>
    <x:row r="164">
      <x:c r="B164" s="21" t="str">
        <x:v>C0158</x:v>
      </x:c>
      <x:c r="C164" s="21" t="str">
        <x:v>stage build</x:v>
      </x:c>
      <x:c r="D164" s="21" t="str">
        <x:v>targeted additions nonnegative row 33</x:v>
      </x:c>
      <x:c r="E164" s="21" t="n">
        <x:f>IF(AND('Stage Build'!G33&gt;=0,'Stage Build'!H33&gt;=0),1,0)</x:f>
        <x:v>1</x:v>
      </x:c>
      <x:c r="F164" s="21" t="n">
        <x:v>1</x:v>
      </x:c>
      <x:c r="G164" s="23" t="str">
        <x:f>IF(E164=F164,"PASS","FAIL")</x:f>
        <x:v>PASS</x:v>
      </x:c>
    </x:row>
    <x:row r="165">
      <x:c r="B165" s="21" t="str">
        <x:v>C0159</x:v>
      </x:c>
      <x:c r="C165" s="21" t="str">
        <x:v>stage build</x:v>
      </x:c>
      <x:c r="D165" s="21" t="str">
        <x:v>pre-replication identity row 33</x:v>
      </x:c>
      <x:c r="E165" s="21" t="n">
        <x:f>IF(ABS('Stage Build'!I33-SUM('Stage Build'!F33:H33))&lt;0.000001,1,0)</x:f>
        <x:v>1</x:v>
      </x:c>
      <x:c r="F165" s="21" t="n">
        <x:v>1</x:v>
      </x:c>
      <x:c r="G165" s="23" t="str">
        <x:f>IF(E165=F165,"PASS","FAIL")</x:f>
        <x:v>PASS</x:v>
      </x:c>
    </x:row>
    <x:row r="166">
      <x:c r="B166" s="21" t="str">
        <x:v>C0160</x:v>
      </x:c>
      <x:c r="C166" s="21" t="str">
        <x:v>stage build</x:v>
      </x:c>
      <x:c r="D166" s="21" t="str">
        <x:v>replication layer nonnegative row 33</x:v>
      </x:c>
      <x:c r="E166" s="21" t="n">
        <x:f>IF('Stage Build'!J33&gt;=0,1,0)</x:f>
        <x:v>1</x:v>
      </x:c>
      <x:c r="F166" s="21" t="n">
        <x:v>1</x:v>
      </x:c>
      <x:c r="G166" s="23" t="str">
        <x:f>IF(E166=F166,"PASS","FAIL")</x:f>
        <x:v>PASS</x:v>
      </x:c>
    </x:row>
    <x:row r="167">
      <x:c r="B167" s="21" t="str">
        <x:v>C0161</x:v>
      </x:c>
      <x:c r="C167" s="21" t="str">
        <x:v>stage build</x:v>
      </x:c>
      <x:c r="D167" s="21" t="str">
        <x:v>designed ratio identity row 33</x:v>
      </x:c>
      <x:c r="E167" s="21" t="n">
        <x:f>IF(ABS('Stage Build'!K33-'Stage Build'!I33-'Stage Build'!J33)&lt;0.000001,1,0)</x:f>
        <x:v>1</x:v>
      </x:c>
      <x:c r="F167" s="21" t="n">
        <x:v>1</x:v>
      </x:c>
      <x:c r="G167" s="23" t="str">
        <x:f>IF(E167=F167,"PASS","FAIL")</x:f>
        <x:v>PASS</x:v>
      </x:c>
    </x:row>
    <x:row r="168">
      <x:c r="B168" s="21" t="str">
        <x:v>C0162</x:v>
      </x:c>
      <x:c r="C168" s="21" t="str">
        <x:v>stage build</x:v>
      </x:c>
      <x:c r="D168" s="21" t="str">
        <x:v>M05 status identity row 33</x:v>
      </x:c>
      <x:c r="E168" s="21" t="n">
        <x:f>IF('Stage Build'!L33=IF('Stage Build'!K33&gt;=Assumptions!$C$9,"ADEQUATE","GAP"),1,0)</x:f>
        <x:v>1</x:v>
      </x:c>
      <x:c r="F168" s="21" t="n">
        <x:v>1</x:v>
      </x:c>
      <x:c r="G168" s="23" t="str">
        <x:f>IF(E168=F168,"PASS","FAIL")</x:f>
        <x:v>PASS</x:v>
      </x:c>
    </x:row>
    <x:row r="169">
      <x:c r="B169" s="21" t="str">
        <x:v>C0163</x:v>
      </x:c>
      <x:c r="C169" s="21" t="str">
        <x:v>stage build</x:v>
      </x:c>
      <x:c r="D169" s="21" t="str">
        <x:v>baseline nonnegative row 34</x:v>
      </x:c>
      <x:c r="E169" s="21" t="n">
        <x:f>IF('Stage Build'!F34&gt;=0,1,0)</x:f>
        <x:v>1</x:v>
      </x:c>
      <x:c r="F169" s="21" t="n">
        <x:v>1</x:v>
      </x:c>
      <x:c r="G169" s="23" t="str">
        <x:f>IF(E169=F169,"PASS","FAIL")</x:f>
        <x:v>PASS</x:v>
      </x:c>
    </x:row>
    <x:row r="170">
      <x:c r="B170" s="21" t="str">
        <x:v>C0164</x:v>
      </x:c>
      <x:c r="C170" s="21" t="str">
        <x:v>stage build</x:v>
      </x:c>
      <x:c r="D170" s="21" t="str">
        <x:v>targeted additions nonnegative row 34</x:v>
      </x:c>
      <x:c r="E170" s="21" t="n">
        <x:f>IF(AND('Stage Build'!G34&gt;=0,'Stage Build'!H34&gt;=0),1,0)</x:f>
        <x:v>1</x:v>
      </x:c>
      <x:c r="F170" s="21" t="n">
        <x:v>1</x:v>
      </x:c>
      <x:c r="G170" s="23" t="str">
        <x:f>IF(E170=F170,"PASS","FAIL")</x:f>
        <x:v>PASS</x:v>
      </x:c>
    </x:row>
    <x:row r="171">
      <x:c r="B171" s="21" t="str">
        <x:v>C0165</x:v>
      </x:c>
      <x:c r="C171" s="21" t="str">
        <x:v>stage build</x:v>
      </x:c>
      <x:c r="D171" s="21" t="str">
        <x:v>pre-replication identity row 34</x:v>
      </x:c>
      <x:c r="E171" s="21" t="n">
        <x:f>IF(ABS('Stage Build'!I34-SUM('Stage Build'!F34:H34))&lt;0.000001,1,0)</x:f>
        <x:v>1</x:v>
      </x:c>
      <x:c r="F171" s="21" t="n">
        <x:v>1</x:v>
      </x:c>
      <x:c r="G171" s="23" t="str">
        <x:f>IF(E171=F171,"PASS","FAIL")</x:f>
        <x:v>PASS</x:v>
      </x:c>
    </x:row>
    <x:row r="172">
      <x:c r="B172" s="21" t="str">
        <x:v>C0166</x:v>
      </x:c>
      <x:c r="C172" s="21" t="str">
        <x:v>stage build</x:v>
      </x:c>
      <x:c r="D172" s="21" t="str">
        <x:v>replication layer nonnegative row 34</x:v>
      </x:c>
      <x:c r="E172" s="21" t="n">
        <x:f>IF('Stage Build'!J34&gt;=0,1,0)</x:f>
        <x:v>1</x:v>
      </x:c>
      <x:c r="F172" s="21" t="n">
        <x:v>1</x:v>
      </x:c>
      <x:c r="G172" s="23" t="str">
        <x:f>IF(E172=F172,"PASS","FAIL")</x:f>
        <x:v>PASS</x:v>
      </x:c>
    </x:row>
    <x:row r="173">
      <x:c r="B173" s="21" t="str">
        <x:v>C0167</x:v>
      </x:c>
      <x:c r="C173" s="21" t="str">
        <x:v>stage build</x:v>
      </x:c>
      <x:c r="D173" s="21" t="str">
        <x:v>designed ratio identity row 34</x:v>
      </x:c>
      <x:c r="E173" s="21" t="n">
        <x:f>IF(ABS('Stage Build'!K34-'Stage Build'!I34-'Stage Build'!J34)&lt;0.000001,1,0)</x:f>
        <x:v>1</x:v>
      </x:c>
      <x:c r="F173" s="21" t="n">
        <x:v>1</x:v>
      </x:c>
      <x:c r="G173" s="23" t="str">
        <x:f>IF(E173=F173,"PASS","FAIL")</x:f>
        <x:v>PASS</x:v>
      </x:c>
    </x:row>
    <x:row r="174">
      <x:c r="B174" s="21" t="str">
        <x:v>C0168</x:v>
      </x:c>
      <x:c r="C174" s="21" t="str">
        <x:v>stage build</x:v>
      </x:c>
      <x:c r="D174" s="21" t="str">
        <x:v>M05 status identity row 34</x:v>
      </x:c>
      <x:c r="E174" s="21" t="n">
        <x:f>IF('Stage Build'!L34=IF('Stage Build'!K34&gt;=Assumptions!$C$9,"ADEQUATE","GAP"),1,0)</x:f>
        <x:v>1</x:v>
      </x:c>
      <x:c r="F174" s="21" t="n">
        <x:v>1</x:v>
      </x:c>
      <x:c r="G174" s="23" t="str">
        <x:f>IF(E174=F174,"PASS","FAIL")</x:f>
        <x:v>PASS</x:v>
      </x:c>
    </x:row>
    <x:row r="175">
      <x:c r="B175" s="21" t="str">
        <x:v>C0169</x:v>
      </x:c>
      <x:c r="C175" s="21" t="str">
        <x:v>stage build</x:v>
      </x:c>
      <x:c r="D175" s="21" t="str">
        <x:v>baseline nonnegative row 35</x:v>
      </x:c>
      <x:c r="E175" s="21" t="n">
        <x:f>IF('Stage Build'!F35&gt;=0,1,0)</x:f>
        <x:v>1</x:v>
      </x:c>
      <x:c r="F175" s="21" t="n">
        <x:v>1</x:v>
      </x:c>
      <x:c r="G175" s="23" t="str">
        <x:f>IF(E175=F175,"PASS","FAIL")</x:f>
        <x:v>PASS</x:v>
      </x:c>
    </x:row>
    <x:row r="176">
      <x:c r="B176" s="21" t="str">
        <x:v>C0170</x:v>
      </x:c>
      <x:c r="C176" s="21" t="str">
        <x:v>stage build</x:v>
      </x:c>
      <x:c r="D176" s="21" t="str">
        <x:v>targeted additions nonnegative row 35</x:v>
      </x:c>
      <x:c r="E176" s="21" t="n">
        <x:f>IF(AND('Stage Build'!G35&gt;=0,'Stage Build'!H35&gt;=0),1,0)</x:f>
        <x:v>1</x:v>
      </x:c>
      <x:c r="F176" s="21" t="n">
        <x:v>1</x:v>
      </x:c>
      <x:c r="G176" s="23" t="str">
        <x:f>IF(E176=F176,"PASS","FAIL")</x:f>
        <x:v>PASS</x:v>
      </x:c>
    </x:row>
    <x:row r="177">
      <x:c r="B177" s="21" t="str">
        <x:v>C0171</x:v>
      </x:c>
      <x:c r="C177" s="21" t="str">
        <x:v>stage build</x:v>
      </x:c>
      <x:c r="D177" s="21" t="str">
        <x:v>pre-replication identity row 35</x:v>
      </x:c>
      <x:c r="E177" s="21" t="n">
        <x:f>IF(ABS('Stage Build'!I35-SUM('Stage Build'!F35:H35))&lt;0.000001,1,0)</x:f>
        <x:v>1</x:v>
      </x:c>
      <x:c r="F177" s="21" t="n">
        <x:v>1</x:v>
      </x:c>
      <x:c r="G177" s="23" t="str">
        <x:f>IF(E177=F177,"PASS","FAIL")</x:f>
        <x:v>PASS</x:v>
      </x:c>
    </x:row>
    <x:row r="178">
      <x:c r="B178" s="21" t="str">
        <x:v>C0172</x:v>
      </x:c>
      <x:c r="C178" s="21" t="str">
        <x:v>stage build</x:v>
      </x:c>
      <x:c r="D178" s="21" t="str">
        <x:v>replication layer nonnegative row 35</x:v>
      </x:c>
      <x:c r="E178" s="21" t="n">
        <x:f>IF('Stage Build'!J35&gt;=0,1,0)</x:f>
        <x:v>1</x:v>
      </x:c>
      <x:c r="F178" s="21" t="n">
        <x:v>1</x:v>
      </x:c>
      <x:c r="G178" s="23" t="str">
        <x:f>IF(E178=F178,"PASS","FAIL")</x:f>
        <x:v>PASS</x:v>
      </x:c>
    </x:row>
    <x:row r="179">
      <x:c r="B179" s="21" t="str">
        <x:v>C0173</x:v>
      </x:c>
      <x:c r="C179" s="21" t="str">
        <x:v>stage build</x:v>
      </x:c>
      <x:c r="D179" s="21" t="str">
        <x:v>designed ratio identity row 35</x:v>
      </x:c>
      <x:c r="E179" s="21" t="n">
        <x:f>IF(ABS('Stage Build'!K35-'Stage Build'!I35-'Stage Build'!J35)&lt;0.000001,1,0)</x:f>
        <x:v>1</x:v>
      </x:c>
      <x:c r="F179" s="21" t="n">
        <x:v>1</x:v>
      </x:c>
      <x:c r="G179" s="23" t="str">
        <x:f>IF(E179=F179,"PASS","FAIL")</x:f>
        <x:v>PASS</x:v>
      </x:c>
    </x:row>
    <x:row r="180">
      <x:c r="B180" s="21" t="str">
        <x:v>C0174</x:v>
      </x:c>
      <x:c r="C180" s="21" t="str">
        <x:v>stage build</x:v>
      </x:c>
      <x:c r="D180" s="21" t="str">
        <x:v>M05 status identity row 35</x:v>
      </x:c>
      <x:c r="E180" s="21" t="n">
        <x:f>IF('Stage Build'!L35=IF('Stage Build'!K35&gt;=Assumptions!$C$9,"ADEQUATE","GAP"),1,0)</x:f>
        <x:v>1</x:v>
      </x:c>
      <x:c r="F180" s="21" t="n">
        <x:v>1</x:v>
      </x:c>
      <x:c r="G180" s="23" t="str">
        <x:f>IF(E180=F180,"PASS","FAIL")</x:f>
        <x:v>PASS</x:v>
      </x:c>
    </x:row>
    <x:row r="181">
      <x:c r="B181" s="21" t="str">
        <x:v>C0175</x:v>
      </x:c>
      <x:c r="C181" s="21" t="str">
        <x:v>stage build</x:v>
      </x:c>
      <x:c r="D181" s="21" t="str">
        <x:v>baseline nonnegative row 36</x:v>
      </x:c>
      <x:c r="E181" s="21" t="n">
        <x:f>IF('Stage Build'!F36&gt;=0,1,0)</x:f>
        <x:v>1</x:v>
      </x:c>
      <x:c r="F181" s="21" t="n">
        <x:v>1</x:v>
      </x:c>
      <x:c r="G181" s="23" t="str">
        <x:f>IF(E181=F181,"PASS","FAIL")</x:f>
        <x:v>PASS</x:v>
      </x:c>
    </x:row>
    <x:row r="182">
      <x:c r="B182" s="21" t="str">
        <x:v>C0176</x:v>
      </x:c>
      <x:c r="C182" s="21" t="str">
        <x:v>stage build</x:v>
      </x:c>
      <x:c r="D182" s="21" t="str">
        <x:v>targeted additions nonnegative row 36</x:v>
      </x:c>
      <x:c r="E182" s="21" t="n">
        <x:f>IF(AND('Stage Build'!G36&gt;=0,'Stage Build'!H36&gt;=0),1,0)</x:f>
        <x:v>1</x:v>
      </x:c>
      <x:c r="F182" s="21" t="n">
        <x:v>1</x:v>
      </x:c>
      <x:c r="G182" s="23" t="str">
        <x:f>IF(E182=F182,"PASS","FAIL")</x:f>
        <x:v>PASS</x:v>
      </x:c>
    </x:row>
    <x:row r="183">
      <x:c r="B183" s="21" t="str">
        <x:v>C0177</x:v>
      </x:c>
      <x:c r="C183" s="21" t="str">
        <x:v>stage build</x:v>
      </x:c>
      <x:c r="D183" s="21" t="str">
        <x:v>pre-replication identity row 36</x:v>
      </x:c>
      <x:c r="E183" s="21" t="n">
        <x:f>IF(ABS('Stage Build'!I36-SUM('Stage Build'!F36:H36))&lt;0.000001,1,0)</x:f>
        <x:v>1</x:v>
      </x:c>
      <x:c r="F183" s="21" t="n">
        <x:v>1</x:v>
      </x:c>
      <x:c r="G183" s="23" t="str">
        <x:f>IF(E183=F183,"PASS","FAIL")</x:f>
        <x:v>PASS</x:v>
      </x:c>
    </x:row>
    <x:row r="184">
      <x:c r="B184" s="21" t="str">
        <x:v>C0178</x:v>
      </x:c>
      <x:c r="C184" s="21" t="str">
        <x:v>stage build</x:v>
      </x:c>
      <x:c r="D184" s="21" t="str">
        <x:v>replication layer nonnegative row 36</x:v>
      </x:c>
      <x:c r="E184" s="21" t="n">
        <x:f>IF('Stage Build'!J36&gt;=0,1,0)</x:f>
        <x:v>1</x:v>
      </x:c>
      <x:c r="F184" s="21" t="n">
        <x:v>1</x:v>
      </x:c>
      <x:c r="G184" s="23" t="str">
        <x:f>IF(E184=F184,"PASS","FAIL")</x:f>
        <x:v>PASS</x:v>
      </x:c>
    </x:row>
    <x:row r="185">
      <x:c r="B185" s="21" t="str">
        <x:v>C0179</x:v>
      </x:c>
      <x:c r="C185" s="21" t="str">
        <x:v>stage build</x:v>
      </x:c>
      <x:c r="D185" s="21" t="str">
        <x:v>designed ratio identity row 36</x:v>
      </x:c>
      <x:c r="E185" s="21" t="n">
        <x:f>IF(ABS('Stage Build'!K36-'Stage Build'!I36-'Stage Build'!J36)&lt;0.000001,1,0)</x:f>
        <x:v>1</x:v>
      </x:c>
      <x:c r="F185" s="21" t="n">
        <x:v>1</x:v>
      </x:c>
      <x:c r="G185" s="23" t="str">
        <x:f>IF(E185=F185,"PASS","FAIL")</x:f>
        <x:v>PASS</x:v>
      </x:c>
    </x:row>
    <x:row r="186">
      <x:c r="B186" s="21" t="str">
        <x:v>C0180</x:v>
      </x:c>
      <x:c r="C186" s="21" t="str">
        <x:v>stage build</x:v>
      </x:c>
      <x:c r="D186" s="21" t="str">
        <x:v>M05 status identity row 36</x:v>
      </x:c>
      <x:c r="E186" s="21" t="n">
        <x:f>IF('Stage Build'!L36=IF('Stage Build'!K36&gt;=Assumptions!$C$9,"ADEQUATE","GAP"),1,0)</x:f>
        <x:v>1</x:v>
      </x:c>
      <x:c r="F186" s="21" t="n">
        <x:v>1</x:v>
      </x:c>
      <x:c r="G186" s="23" t="str">
        <x:f>IF(E186=F186,"PASS","FAIL")</x:f>
        <x:v>PASS</x:v>
      </x:c>
    </x:row>
    <x:row r="187">
      <x:c r="B187" s="21" t="str">
        <x:v>C0181</x:v>
      </x:c>
      <x:c r="C187" s="21" t="str">
        <x:v>stage build</x:v>
      </x:c>
      <x:c r="D187" s="21" t="str">
        <x:v>baseline nonnegative row 37</x:v>
      </x:c>
      <x:c r="E187" s="21" t="n">
        <x:f>IF('Stage Build'!F37&gt;=0,1,0)</x:f>
        <x:v>1</x:v>
      </x:c>
      <x:c r="F187" s="21" t="n">
        <x:v>1</x:v>
      </x:c>
      <x:c r="G187" s="23" t="str">
        <x:f>IF(E187=F187,"PASS","FAIL")</x:f>
        <x:v>PASS</x:v>
      </x:c>
    </x:row>
    <x:row r="188">
      <x:c r="B188" s="21" t="str">
        <x:v>C0182</x:v>
      </x:c>
      <x:c r="C188" s="21" t="str">
        <x:v>stage build</x:v>
      </x:c>
      <x:c r="D188" s="21" t="str">
        <x:v>targeted additions nonnegative row 37</x:v>
      </x:c>
      <x:c r="E188" s="21" t="n">
        <x:f>IF(AND('Stage Build'!G37&gt;=0,'Stage Build'!H37&gt;=0),1,0)</x:f>
        <x:v>1</x:v>
      </x:c>
      <x:c r="F188" s="21" t="n">
        <x:v>1</x:v>
      </x:c>
      <x:c r="G188" s="23" t="str">
        <x:f>IF(E188=F188,"PASS","FAIL")</x:f>
        <x:v>PASS</x:v>
      </x:c>
    </x:row>
    <x:row r="189">
      <x:c r="B189" s="21" t="str">
        <x:v>C0183</x:v>
      </x:c>
      <x:c r="C189" s="21" t="str">
        <x:v>stage build</x:v>
      </x:c>
      <x:c r="D189" s="21" t="str">
        <x:v>pre-replication identity row 37</x:v>
      </x:c>
      <x:c r="E189" s="21" t="n">
        <x:f>IF(ABS('Stage Build'!I37-SUM('Stage Build'!F37:H37))&lt;0.000001,1,0)</x:f>
        <x:v>1</x:v>
      </x:c>
      <x:c r="F189" s="21" t="n">
        <x:v>1</x:v>
      </x:c>
      <x:c r="G189" s="23" t="str">
        <x:f>IF(E189=F189,"PASS","FAIL")</x:f>
        <x:v>PASS</x:v>
      </x:c>
    </x:row>
    <x:row r="190">
      <x:c r="B190" s="21" t="str">
        <x:v>C0184</x:v>
      </x:c>
      <x:c r="C190" s="21" t="str">
        <x:v>stage build</x:v>
      </x:c>
      <x:c r="D190" s="21" t="str">
        <x:v>replication layer nonnegative row 37</x:v>
      </x:c>
      <x:c r="E190" s="21" t="n">
        <x:f>IF('Stage Build'!J37&gt;=0,1,0)</x:f>
        <x:v>1</x:v>
      </x:c>
      <x:c r="F190" s="21" t="n">
        <x:v>1</x:v>
      </x:c>
      <x:c r="G190" s="23" t="str">
        <x:f>IF(E190=F190,"PASS","FAIL")</x:f>
        <x:v>PASS</x:v>
      </x:c>
    </x:row>
    <x:row r="191">
      <x:c r="B191" s="21" t="str">
        <x:v>C0185</x:v>
      </x:c>
      <x:c r="C191" s="21" t="str">
        <x:v>stage build</x:v>
      </x:c>
      <x:c r="D191" s="21" t="str">
        <x:v>designed ratio identity row 37</x:v>
      </x:c>
      <x:c r="E191" s="21" t="n">
        <x:f>IF(ABS('Stage Build'!K37-'Stage Build'!I37-'Stage Build'!J37)&lt;0.000001,1,0)</x:f>
        <x:v>1</x:v>
      </x:c>
      <x:c r="F191" s="21" t="n">
        <x:v>1</x:v>
      </x:c>
      <x:c r="G191" s="23" t="str">
        <x:f>IF(E191=F191,"PASS","FAIL")</x:f>
        <x:v>PASS</x:v>
      </x:c>
    </x:row>
    <x:row r="192">
      <x:c r="B192" s="21" t="str">
        <x:v>C0186</x:v>
      </x:c>
      <x:c r="C192" s="21" t="str">
        <x:v>stage build</x:v>
      </x:c>
      <x:c r="D192" s="21" t="str">
        <x:v>M05 status identity row 37</x:v>
      </x:c>
      <x:c r="E192" s="21" t="n">
        <x:f>IF('Stage Build'!L37=IF('Stage Build'!K37&gt;=Assumptions!$C$9,"ADEQUATE","GAP"),1,0)</x:f>
        <x:v>1</x:v>
      </x:c>
      <x:c r="F192" s="21" t="n">
        <x:v>1</x:v>
      </x:c>
      <x:c r="G192" s="23" t="str">
        <x:f>IF(E192=F192,"PASS","FAIL")</x:f>
        <x:v>PASS</x:v>
      </x:c>
    </x:row>
    <x:row r="193">
      <x:c r="B193" s="21" t="str">
        <x:v>C0187</x:v>
      </x:c>
      <x:c r="C193" s="21" t="str">
        <x:v>stage build</x:v>
      </x:c>
      <x:c r="D193" s="21" t="str">
        <x:v>baseline nonnegative row 38</x:v>
      </x:c>
      <x:c r="E193" s="21" t="n">
        <x:f>IF('Stage Build'!F38&gt;=0,1,0)</x:f>
        <x:v>1</x:v>
      </x:c>
      <x:c r="F193" s="21" t="n">
        <x:v>1</x:v>
      </x:c>
      <x:c r="G193" s="23" t="str">
        <x:f>IF(E193=F193,"PASS","FAIL")</x:f>
        <x:v>PASS</x:v>
      </x:c>
    </x:row>
    <x:row r="194">
      <x:c r="B194" s="21" t="str">
        <x:v>C0188</x:v>
      </x:c>
      <x:c r="C194" s="21" t="str">
        <x:v>stage build</x:v>
      </x:c>
      <x:c r="D194" s="21" t="str">
        <x:v>targeted additions nonnegative row 38</x:v>
      </x:c>
      <x:c r="E194" s="21" t="n">
        <x:f>IF(AND('Stage Build'!G38&gt;=0,'Stage Build'!H38&gt;=0),1,0)</x:f>
        <x:v>1</x:v>
      </x:c>
      <x:c r="F194" s="21" t="n">
        <x:v>1</x:v>
      </x:c>
      <x:c r="G194" s="23" t="str">
        <x:f>IF(E194=F194,"PASS","FAIL")</x:f>
        <x:v>PASS</x:v>
      </x:c>
    </x:row>
    <x:row r="195">
      <x:c r="B195" s="21" t="str">
        <x:v>C0189</x:v>
      </x:c>
      <x:c r="C195" s="21" t="str">
        <x:v>stage build</x:v>
      </x:c>
      <x:c r="D195" s="21" t="str">
        <x:v>pre-replication identity row 38</x:v>
      </x:c>
      <x:c r="E195" s="21" t="n">
        <x:f>IF(ABS('Stage Build'!I38-SUM('Stage Build'!F38:H38))&lt;0.000001,1,0)</x:f>
        <x:v>1</x:v>
      </x:c>
      <x:c r="F195" s="21" t="n">
        <x:v>1</x:v>
      </x:c>
      <x:c r="G195" s="23" t="str">
        <x:f>IF(E195=F195,"PASS","FAIL")</x:f>
        <x:v>PASS</x:v>
      </x:c>
    </x:row>
    <x:row r="196">
      <x:c r="B196" s="21" t="str">
        <x:v>C0190</x:v>
      </x:c>
      <x:c r="C196" s="21" t="str">
        <x:v>stage build</x:v>
      </x:c>
      <x:c r="D196" s="21" t="str">
        <x:v>replication layer nonnegative row 38</x:v>
      </x:c>
      <x:c r="E196" s="21" t="n">
        <x:f>IF('Stage Build'!J38&gt;=0,1,0)</x:f>
        <x:v>1</x:v>
      </x:c>
      <x:c r="F196" s="21" t="n">
        <x:v>1</x:v>
      </x:c>
      <x:c r="G196" s="23" t="str">
        <x:f>IF(E196=F196,"PASS","FAIL")</x:f>
        <x:v>PASS</x:v>
      </x:c>
    </x:row>
    <x:row r="197">
      <x:c r="B197" s="21" t="str">
        <x:v>C0191</x:v>
      </x:c>
      <x:c r="C197" s="21" t="str">
        <x:v>stage build</x:v>
      </x:c>
      <x:c r="D197" s="21" t="str">
        <x:v>designed ratio identity row 38</x:v>
      </x:c>
      <x:c r="E197" s="21" t="n">
        <x:f>IF(ABS('Stage Build'!K38-'Stage Build'!I38-'Stage Build'!J38)&lt;0.000001,1,0)</x:f>
        <x:v>1</x:v>
      </x:c>
      <x:c r="F197" s="21" t="n">
        <x:v>1</x:v>
      </x:c>
      <x:c r="G197" s="23" t="str">
        <x:f>IF(E197=F197,"PASS","FAIL")</x:f>
        <x:v>PASS</x:v>
      </x:c>
    </x:row>
    <x:row r="198">
      <x:c r="B198" s="21" t="str">
        <x:v>C0192</x:v>
      </x:c>
      <x:c r="C198" s="21" t="str">
        <x:v>stage build</x:v>
      </x:c>
      <x:c r="D198" s="21" t="str">
        <x:v>M05 status identity row 38</x:v>
      </x:c>
      <x:c r="E198" s="21" t="n">
        <x:f>IF('Stage Build'!L38=IF('Stage Build'!K38&gt;=Assumptions!$C$9,"ADEQUATE","GAP"),1,0)</x:f>
        <x:v>1</x:v>
      </x:c>
      <x:c r="F198" s="21" t="n">
        <x:v>1</x:v>
      </x:c>
      <x:c r="G198" s="23" t="str">
        <x:f>IF(E198=F198,"PASS","FAIL")</x:f>
        <x:v>PASS</x:v>
      </x:c>
    </x:row>
    <x:row r="199">
      <x:c r="B199" s="21" t="str">
        <x:v>C0193</x:v>
      </x:c>
      <x:c r="C199" s="21" t="str">
        <x:v>stage build</x:v>
      </x:c>
      <x:c r="D199" s="21" t="str">
        <x:v>baseline nonnegative row 39</x:v>
      </x:c>
      <x:c r="E199" s="21" t="n">
        <x:f>IF('Stage Build'!F39&gt;=0,1,0)</x:f>
        <x:v>1</x:v>
      </x:c>
      <x:c r="F199" s="21" t="n">
        <x:v>1</x:v>
      </x:c>
      <x:c r="G199" s="23" t="str">
        <x:f>IF(E199=F199,"PASS","FAIL")</x:f>
        <x:v>PASS</x:v>
      </x:c>
    </x:row>
    <x:row r="200">
      <x:c r="B200" s="21" t="str">
        <x:v>C0194</x:v>
      </x:c>
      <x:c r="C200" s="21" t="str">
        <x:v>stage build</x:v>
      </x:c>
      <x:c r="D200" s="21" t="str">
        <x:v>targeted additions nonnegative row 39</x:v>
      </x:c>
      <x:c r="E200" s="21" t="n">
        <x:f>IF(AND('Stage Build'!G39&gt;=0,'Stage Build'!H39&gt;=0),1,0)</x:f>
        <x:v>1</x:v>
      </x:c>
      <x:c r="F200" s="21" t="n">
        <x:v>1</x:v>
      </x:c>
      <x:c r="G200" s="23" t="str">
        <x:f>IF(E200=F200,"PASS","FAIL")</x:f>
        <x:v>PASS</x:v>
      </x:c>
    </x:row>
    <x:row r="201">
      <x:c r="B201" s="21" t="str">
        <x:v>C0195</x:v>
      </x:c>
      <x:c r="C201" s="21" t="str">
        <x:v>stage build</x:v>
      </x:c>
      <x:c r="D201" s="21" t="str">
        <x:v>pre-replication identity row 39</x:v>
      </x:c>
      <x:c r="E201" s="21" t="n">
        <x:f>IF(ABS('Stage Build'!I39-SUM('Stage Build'!F39:H39))&lt;0.000001,1,0)</x:f>
        <x:v>1</x:v>
      </x:c>
      <x:c r="F201" s="21" t="n">
        <x:v>1</x:v>
      </x:c>
      <x:c r="G201" s="23" t="str">
        <x:f>IF(E201=F201,"PASS","FAIL")</x:f>
        <x:v>PASS</x:v>
      </x:c>
    </x:row>
    <x:row r="202">
      <x:c r="B202" s="21" t="str">
        <x:v>C0196</x:v>
      </x:c>
      <x:c r="C202" s="21" t="str">
        <x:v>stage build</x:v>
      </x:c>
      <x:c r="D202" s="21" t="str">
        <x:v>replication layer nonnegative row 39</x:v>
      </x:c>
      <x:c r="E202" s="21" t="n">
        <x:f>IF('Stage Build'!J39&gt;=0,1,0)</x:f>
        <x:v>1</x:v>
      </x:c>
      <x:c r="F202" s="21" t="n">
        <x:v>1</x:v>
      </x:c>
      <x:c r="G202" s="23" t="str">
        <x:f>IF(E202=F202,"PASS","FAIL")</x:f>
        <x:v>PASS</x:v>
      </x:c>
    </x:row>
    <x:row r="203">
      <x:c r="B203" s="21" t="str">
        <x:v>C0197</x:v>
      </x:c>
      <x:c r="C203" s="21" t="str">
        <x:v>stage build</x:v>
      </x:c>
      <x:c r="D203" s="21" t="str">
        <x:v>designed ratio identity row 39</x:v>
      </x:c>
      <x:c r="E203" s="21" t="n">
        <x:f>IF(ABS('Stage Build'!K39-'Stage Build'!I39-'Stage Build'!J39)&lt;0.000001,1,0)</x:f>
        <x:v>1</x:v>
      </x:c>
      <x:c r="F203" s="21" t="n">
        <x:v>1</x:v>
      </x:c>
      <x:c r="G203" s="23" t="str">
        <x:f>IF(E203=F203,"PASS","FAIL")</x:f>
        <x:v>PASS</x:v>
      </x:c>
    </x:row>
    <x:row r="204">
      <x:c r="B204" s="21" t="str">
        <x:v>C0198</x:v>
      </x:c>
      <x:c r="C204" s="21" t="str">
        <x:v>stage build</x:v>
      </x:c>
      <x:c r="D204" s="21" t="str">
        <x:v>M05 status identity row 39</x:v>
      </x:c>
      <x:c r="E204" s="21" t="n">
        <x:f>IF('Stage Build'!L39=IF('Stage Build'!K39&gt;=Assumptions!$C$9,"ADEQUATE","GAP"),1,0)</x:f>
        <x:v>1</x:v>
      </x:c>
      <x:c r="F204" s="21" t="n">
        <x:v>1</x:v>
      </x:c>
      <x:c r="G204" s="23" t="str">
        <x:f>IF(E204=F204,"PASS","FAIL")</x:f>
        <x:v>PASS</x:v>
      </x:c>
    </x:row>
    <x:row r="205">
      <x:c r="B205" s="21" t="str">
        <x:v>C0199</x:v>
      </x:c>
      <x:c r="C205" s="21" t="str">
        <x:v>stage build</x:v>
      </x:c>
      <x:c r="D205" s="21" t="str">
        <x:v>baseline nonnegative row 40</x:v>
      </x:c>
      <x:c r="E205" s="21" t="n">
        <x:f>IF('Stage Build'!F40&gt;=0,1,0)</x:f>
        <x:v>1</x:v>
      </x:c>
      <x:c r="F205" s="21" t="n">
        <x:v>1</x:v>
      </x:c>
      <x:c r="G205" s="23" t="str">
        <x:f>IF(E205=F205,"PASS","FAIL")</x:f>
        <x:v>PASS</x:v>
      </x:c>
    </x:row>
    <x:row r="206">
      <x:c r="B206" s="21" t="str">
        <x:v>C0200</x:v>
      </x:c>
      <x:c r="C206" s="21" t="str">
        <x:v>stage build</x:v>
      </x:c>
      <x:c r="D206" s="21" t="str">
        <x:v>targeted additions nonnegative row 40</x:v>
      </x:c>
      <x:c r="E206" s="21" t="n">
        <x:f>IF(AND('Stage Build'!G40&gt;=0,'Stage Build'!H40&gt;=0),1,0)</x:f>
        <x:v>1</x:v>
      </x:c>
      <x:c r="F206" s="21" t="n">
        <x:v>1</x:v>
      </x:c>
      <x:c r="G206" s="23" t="str">
        <x:f>IF(E206=F206,"PASS","FAIL")</x:f>
        <x:v>PASS</x:v>
      </x:c>
    </x:row>
    <x:row r="207">
      <x:c r="B207" s="21" t="str">
        <x:v>C0201</x:v>
      </x:c>
      <x:c r="C207" s="21" t="str">
        <x:v>stage build</x:v>
      </x:c>
      <x:c r="D207" s="21" t="str">
        <x:v>pre-replication identity row 40</x:v>
      </x:c>
      <x:c r="E207" s="21" t="n">
        <x:f>IF(ABS('Stage Build'!I40-SUM('Stage Build'!F40:H40))&lt;0.000001,1,0)</x:f>
        <x:v>1</x:v>
      </x:c>
      <x:c r="F207" s="21" t="n">
        <x:v>1</x:v>
      </x:c>
      <x:c r="G207" s="23" t="str">
        <x:f>IF(E207=F207,"PASS","FAIL")</x:f>
        <x:v>PASS</x:v>
      </x:c>
    </x:row>
    <x:row r="208">
      <x:c r="B208" s="21" t="str">
        <x:v>C0202</x:v>
      </x:c>
      <x:c r="C208" s="21" t="str">
        <x:v>stage build</x:v>
      </x:c>
      <x:c r="D208" s="21" t="str">
        <x:v>replication layer nonnegative row 40</x:v>
      </x:c>
      <x:c r="E208" s="21" t="n">
        <x:f>IF('Stage Build'!J40&gt;=0,1,0)</x:f>
        <x:v>1</x:v>
      </x:c>
      <x:c r="F208" s="21" t="n">
        <x:v>1</x:v>
      </x:c>
      <x:c r="G208" s="23" t="str">
        <x:f>IF(E208=F208,"PASS","FAIL")</x:f>
        <x:v>PASS</x:v>
      </x:c>
    </x:row>
    <x:row r="209">
      <x:c r="B209" s="21" t="str">
        <x:v>C0203</x:v>
      </x:c>
      <x:c r="C209" s="21" t="str">
        <x:v>stage build</x:v>
      </x:c>
      <x:c r="D209" s="21" t="str">
        <x:v>designed ratio identity row 40</x:v>
      </x:c>
      <x:c r="E209" s="21" t="n">
        <x:f>IF(ABS('Stage Build'!K40-'Stage Build'!I40-'Stage Build'!J40)&lt;0.000001,1,0)</x:f>
        <x:v>1</x:v>
      </x:c>
      <x:c r="F209" s="21" t="n">
        <x:v>1</x:v>
      </x:c>
      <x:c r="G209" s="23" t="str">
        <x:f>IF(E209=F209,"PASS","FAIL")</x:f>
        <x:v>PASS</x:v>
      </x:c>
    </x:row>
    <x:row r="210">
      <x:c r="B210" s="21" t="str">
        <x:v>C0204</x:v>
      </x:c>
      <x:c r="C210" s="21" t="str">
        <x:v>stage build</x:v>
      </x:c>
      <x:c r="D210" s="21" t="str">
        <x:v>M05 status identity row 40</x:v>
      </x:c>
      <x:c r="E210" s="21" t="n">
        <x:f>IF('Stage Build'!L40=IF('Stage Build'!K40&gt;=Assumptions!$C$9,"ADEQUATE","GAP"),1,0)</x:f>
        <x:v>1</x:v>
      </x:c>
      <x:c r="F210" s="21" t="n">
        <x:v>1</x:v>
      </x:c>
      <x:c r="G210" s="23" t="str">
        <x:f>IF(E210=F210,"PASS","FAIL")</x:f>
        <x:v>PASS</x:v>
      </x:c>
    </x:row>
    <x:row r="211">
      <x:c r="B211" s="21" t="str">
        <x:v>C0205</x:v>
      </x:c>
      <x:c r="C211" s="21" t="str">
        <x:v>stage build</x:v>
      </x:c>
      <x:c r="D211" s="21" t="str">
        <x:v>baseline nonnegative row 41</x:v>
      </x:c>
      <x:c r="E211" s="21" t="n">
        <x:f>IF('Stage Build'!F41&gt;=0,1,0)</x:f>
        <x:v>1</x:v>
      </x:c>
      <x:c r="F211" s="21" t="n">
        <x:v>1</x:v>
      </x:c>
      <x:c r="G211" s="23" t="str">
        <x:f>IF(E211=F211,"PASS","FAIL")</x:f>
        <x:v>PASS</x:v>
      </x:c>
    </x:row>
    <x:row r="212">
      <x:c r="B212" s="21" t="str">
        <x:v>C0206</x:v>
      </x:c>
      <x:c r="C212" s="21" t="str">
        <x:v>stage build</x:v>
      </x:c>
      <x:c r="D212" s="21" t="str">
        <x:v>targeted additions nonnegative row 41</x:v>
      </x:c>
      <x:c r="E212" s="21" t="n">
        <x:f>IF(AND('Stage Build'!G41&gt;=0,'Stage Build'!H41&gt;=0),1,0)</x:f>
        <x:v>1</x:v>
      </x:c>
      <x:c r="F212" s="21" t="n">
        <x:v>1</x:v>
      </x:c>
      <x:c r="G212" s="23" t="str">
        <x:f>IF(E212=F212,"PASS","FAIL")</x:f>
        <x:v>PASS</x:v>
      </x:c>
    </x:row>
    <x:row r="213">
      <x:c r="B213" s="21" t="str">
        <x:v>C0207</x:v>
      </x:c>
      <x:c r="C213" s="21" t="str">
        <x:v>stage build</x:v>
      </x:c>
      <x:c r="D213" s="21" t="str">
        <x:v>pre-replication identity row 41</x:v>
      </x:c>
      <x:c r="E213" s="21" t="n">
        <x:f>IF(ABS('Stage Build'!I41-SUM('Stage Build'!F41:H41))&lt;0.000001,1,0)</x:f>
        <x:v>1</x:v>
      </x:c>
      <x:c r="F213" s="21" t="n">
        <x:v>1</x:v>
      </x:c>
      <x:c r="G213" s="23" t="str">
        <x:f>IF(E213=F213,"PASS","FAIL")</x:f>
        <x:v>PASS</x:v>
      </x:c>
    </x:row>
    <x:row r="214">
      <x:c r="B214" s="21" t="str">
        <x:v>C0208</x:v>
      </x:c>
      <x:c r="C214" s="21" t="str">
        <x:v>stage build</x:v>
      </x:c>
      <x:c r="D214" s="21" t="str">
        <x:v>replication layer nonnegative row 41</x:v>
      </x:c>
      <x:c r="E214" s="21" t="n">
        <x:f>IF('Stage Build'!J41&gt;=0,1,0)</x:f>
        <x:v>1</x:v>
      </x:c>
      <x:c r="F214" s="21" t="n">
        <x:v>1</x:v>
      </x:c>
      <x:c r="G214" s="23" t="str">
        <x:f>IF(E214=F214,"PASS","FAIL")</x:f>
        <x:v>PASS</x:v>
      </x:c>
    </x:row>
    <x:row r="215">
      <x:c r="B215" s="21" t="str">
        <x:v>C0209</x:v>
      </x:c>
      <x:c r="C215" s="21" t="str">
        <x:v>stage build</x:v>
      </x:c>
      <x:c r="D215" s="21" t="str">
        <x:v>designed ratio identity row 41</x:v>
      </x:c>
      <x:c r="E215" s="21" t="n">
        <x:f>IF(ABS('Stage Build'!K41-'Stage Build'!I41-'Stage Build'!J41)&lt;0.000001,1,0)</x:f>
        <x:v>1</x:v>
      </x:c>
      <x:c r="F215" s="21" t="n">
        <x:v>1</x:v>
      </x:c>
      <x:c r="G215" s="23" t="str">
        <x:f>IF(E215=F215,"PASS","FAIL")</x:f>
        <x:v>PASS</x:v>
      </x:c>
    </x:row>
    <x:row r="216">
      <x:c r="B216" s="21" t="str">
        <x:v>C0210</x:v>
      </x:c>
      <x:c r="C216" s="21" t="str">
        <x:v>stage build</x:v>
      </x:c>
      <x:c r="D216" s="21" t="str">
        <x:v>M05 status identity row 41</x:v>
      </x:c>
      <x:c r="E216" s="21" t="n">
        <x:f>IF('Stage Build'!L41=IF('Stage Build'!K41&gt;=Assumptions!$C$9,"ADEQUATE","GAP"),1,0)</x:f>
        <x:v>1</x:v>
      </x:c>
      <x:c r="F216" s="21" t="n">
        <x:v>1</x:v>
      </x:c>
      <x:c r="G216" s="23" t="str">
        <x:f>IF(E216=F216,"PASS","FAIL")</x:f>
        <x:v>PASS</x:v>
      </x:c>
    </x:row>
    <x:row r="217">
      <x:c r="B217" s="21" t="str">
        <x:v>C0211</x:v>
      </x:c>
      <x:c r="C217" s="21" t="str">
        <x:v>stage build</x:v>
      </x:c>
      <x:c r="D217" s="21" t="str">
        <x:v>baseline nonnegative row 42</x:v>
      </x:c>
      <x:c r="E217" s="21" t="n">
        <x:f>IF('Stage Build'!F42&gt;=0,1,0)</x:f>
        <x:v>1</x:v>
      </x:c>
      <x:c r="F217" s="21" t="n">
        <x:v>1</x:v>
      </x:c>
      <x:c r="G217" s="23" t="str">
        <x:f>IF(E217=F217,"PASS","FAIL")</x:f>
        <x:v>PASS</x:v>
      </x:c>
    </x:row>
    <x:row r="218">
      <x:c r="B218" s="21" t="str">
        <x:v>C0212</x:v>
      </x:c>
      <x:c r="C218" s="21" t="str">
        <x:v>stage build</x:v>
      </x:c>
      <x:c r="D218" s="21" t="str">
        <x:v>targeted additions nonnegative row 42</x:v>
      </x:c>
      <x:c r="E218" s="21" t="n">
        <x:f>IF(AND('Stage Build'!G42&gt;=0,'Stage Build'!H42&gt;=0),1,0)</x:f>
        <x:v>1</x:v>
      </x:c>
      <x:c r="F218" s="21" t="n">
        <x:v>1</x:v>
      </x:c>
      <x:c r="G218" s="23" t="str">
        <x:f>IF(E218=F218,"PASS","FAIL")</x:f>
        <x:v>PASS</x:v>
      </x:c>
    </x:row>
    <x:row r="219">
      <x:c r="B219" s="21" t="str">
        <x:v>C0213</x:v>
      </x:c>
      <x:c r="C219" s="21" t="str">
        <x:v>stage build</x:v>
      </x:c>
      <x:c r="D219" s="21" t="str">
        <x:v>pre-replication identity row 42</x:v>
      </x:c>
      <x:c r="E219" s="21" t="n">
        <x:f>IF(ABS('Stage Build'!I42-SUM('Stage Build'!F42:H42))&lt;0.000001,1,0)</x:f>
        <x:v>1</x:v>
      </x:c>
      <x:c r="F219" s="21" t="n">
        <x:v>1</x:v>
      </x:c>
      <x:c r="G219" s="23" t="str">
        <x:f>IF(E219=F219,"PASS","FAIL")</x:f>
        <x:v>PASS</x:v>
      </x:c>
    </x:row>
    <x:row r="220">
      <x:c r="B220" s="21" t="str">
        <x:v>C0214</x:v>
      </x:c>
      <x:c r="C220" s="21" t="str">
        <x:v>stage build</x:v>
      </x:c>
      <x:c r="D220" s="21" t="str">
        <x:v>replication layer nonnegative row 42</x:v>
      </x:c>
      <x:c r="E220" s="21" t="n">
        <x:f>IF('Stage Build'!J42&gt;=0,1,0)</x:f>
        <x:v>1</x:v>
      </x:c>
      <x:c r="F220" s="21" t="n">
        <x:v>1</x:v>
      </x:c>
      <x:c r="G220" s="23" t="str">
        <x:f>IF(E220=F220,"PASS","FAIL")</x:f>
        <x:v>PASS</x:v>
      </x:c>
    </x:row>
    <x:row r="221">
      <x:c r="B221" s="21" t="str">
        <x:v>C0215</x:v>
      </x:c>
      <x:c r="C221" s="21" t="str">
        <x:v>stage build</x:v>
      </x:c>
      <x:c r="D221" s="21" t="str">
        <x:v>designed ratio identity row 42</x:v>
      </x:c>
      <x:c r="E221" s="21" t="n">
        <x:f>IF(ABS('Stage Build'!K42-'Stage Build'!I42-'Stage Build'!J42)&lt;0.000001,1,0)</x:f>
        <x:v>1</x:v>
      </x:c>
      <x:c r="F221" s="21" t="n">
        <x:v>1</x:v>
      </x:c>
      <x:c r="G221" s="23" t="str">
        <x:f>IF(E221=F221,"PASS","FAIL")</x:f>
        <x:v>PASS</x:v>
      </x:c>
    </x:row>
    <x:row r="222">
      <x:c r="B222" s="21" t="str">
        <x:v>C0216</x:v>
      </x:c>
      <x:c r="C222" s="21" t="str">
        <x:v>stage build</x:v>
      </x:c>
      <x:c r="D222" s="21" t="str">
        <x:v>M05 status identity row 42</x:v>
      </x:c>
      <x:c r="E222" s="21" t="n">
        <x:f>IF('Stage Build'!L42=IF('Stage Build'!K42&gt;=Assumptions!$C$9,"ADEQUATE","GAP"),1,0)</x:f>
        <x:v>1</x:v>
      </x:c>
      <x:c r="F222" s="21" t="n">
        <x:v>1</x:v>
      </x:c>
      <x:c r="G222" s="23" t="str">
        <x:f>IF(E222=F222,"PASS","FAIL")</x:f>
        <x:v>PASS</x:v>
      </x:c>
    </x:row>
    <x:row r="223">
      <x:c r="B223" s="21" t="str">
        <x:v>C0217</x:v>
      </x:c>
      <x:c r="C223" s="21" t="str">
        <x:v>stage build</x:v>
      </x:c>
      <x:c r="D223" s="21" t="str">
        <x:v>baseline nonnegative row 43</x:v>
      </x:c>
      <x:c r="E223" s="21" t="n">
        <x:f>IF('Stage Build'!F43&gt;=0,1,0)</x:f>
        <x:v>1</x:v>
      </x:c>
      <x:c r="F223" s="21" t="n">
        <x:v>1</x:v>
      </x:c>
      <x:c r="G223" s="23" t="str">
        <x:f>IF(E223=F223,"PASS","FAIL")</x:f>
        <x:v>PASS</x:v>
      </x:c>
    </x:row>
    <x:row r="224">
      <x:c r="B224" s="21" t="str">
        <x:v>C0218</x:v>
      </x:c>
      <x:c r="C224" s="21" t="str">
        <x:v>stage build</x:v>
      </x:c>
      <x:c r="D224" s="21" t="str">
        <x:v>targeted additions nonnegative row 43</x:v>
      </x:c>
      <x:c r="E224" s="21" t="n">
        <x:f>IF(AND('Stage Build'!G43&gt;=0,'Stage Build'!H43&gt;=0),1,0)</x:f>
        <x:v>1</x:v>
      </x:c>
      <x:c r="F224" s="21" t="n">
        <x:v>1</x:v>
      </x:c>
      <x:c r="G224" s="23" t="str">
        <x:f>IF(E224=F224,"PASS","FAIL")</x:f>
        <x:v>PASS</x:v>
      </x:c>
    </x:row>
    <x:row r="225">
      <x:c r="B225" s="21" t="str">
        <x:v>C0219</x:v>
      </x:c>
      <x:c r="C225" s="21" t="str">
        <x:v>stage build</x:v>
      </x:c>
      <x:c r="D225" s="21" t="str">
        <x:v>pre-replication identity row 43</x:v>
      </x:c>
      <x:c r="E225" s="21" t="n">
        <x:f>IF(ABS('Stage Build'!I43-SUM('Stage Build'!F43:H43))&lt;0.000001,1,0)</x:f>
        <x:v>1</x:v>
      </x:c>
      <x:c r="F225" s="21" t="n">
        <x:v>1</x:v>
      </x:c>
      <x:c r="G225" s="23" t="str">
        <x:f>IF(E225=F225,"PASS","FAIL")</x:f>
        <x:v>PASS</x:v>
      </x:c>
    </x:row>
    <x:row r="226">
      <x:c r="B226" s="21" t="str">
        <x:v>C0220</x:v>
      </x:c>
      <x:c r="C226" s="21" t="str">
        <x:v>stage build</x:v>
      </x:c>
      <x:c r="D226" s="21" t="str">
        <x:v>replication layer nonnegative row 43</x:v>
      </x:c>
      <x:c r="E226" s="21" t="n">
        <x:f>IF('Stage Build'!J43&gt;=0,1,0)</x:f>
        <x:v>1</x:v>
      </x:c>
      <x:c r="F226" s="21" t="n">
        <x:v>1</x:v>
      </x:c>
      <x:c r="G226" s="23" t="str">
        <x:f>IF(E226=F226,"PASS","FAIL")</x:f>
        <x:v>PASS</x:v>
      </x:c>
    </x:row>
    <x:row r="227">
      <x:c r="B227" s="21" t="str">
        <x:v>C0221</x:v>
      </x:c>
      <x:c r="C227" s="21" t="str">
        <x:v>stage build</x:v>
      </x:c>
      <x:c r="D227" s="21" t="str">
        <x:v>designed ratio identity row 43</x:v>
      </x:c>
      <x:c r="E227" s="21" t="n">
        <x:f>IF(ABS('Stage Build'!K43-'Stage Build'!I43-'Stage Build'!J43)&lt;0.000001,1,0)</x:f>
        <x:v>1</x:v>
      </x:c>
      <x:c r="F227" s="21" t="n">
        <x:v>1</x:v>
      </x:c>
      <x:c r="G227" s="23" t="str">
        <x:f>IF(E227=F227,"PASS","FAIL")</x:f>
        <x:v>PASS</x:v>
      </x:c>
    </x:row>
    <x:row r="228">
      <x:c r="B228" s="21" t="str">
        <x:v>C0222</x:v>
      </x:c>
      <x:c r="C228" s="21" t="str">
        <x:v>stage build</x:v>
      </x:c>
      <x:c r="D228" s="21" t="str">
        <x:v>M05 status identity row 43</x:v>
      </x:c>
      <x:c r="E228" s="21" t="n">
        <x:f>IF('Stage Build'!L43=IF('Stage Build'!K43&gt;=Assumptions!$C$9,"ADEQUATE","GAP"),1,0)</x:f>
        <x:v>1</x:v>
      </x:c>
      <x:c r="F228" s="21" t="n">
        <x:v>1</x:v>
      </x:c>
      <x:c r="G228" s="23" t="str">
        <x:f>IF(E228=F228,"PASS","FAIL")</x:f>
        <x:v>PASS</x:v>
      </x:c>
    </x:row>
    <x:row r="229">
      <x:c r="B229" s="21" t="str">
        <x:v>C0223</x:v>
      </x:c>
      <x:c r="C229" s="21" t="str">
        <x:v>stage build</x:v>
      </x:c>
      <x:c r="D229" s="21" t="str">
        <x:v>baseline nonnegative row 44</x:v>
      </x:c>
      <x:c r="E229" s="21" t="n">
        <x:f>IF('Stage Build'!F44&gt;=0,1,0)</x:f>
        <x:v>1</x:v>
      </x:c>
      <x:c r="F229" s="21" t="n">
        <x:v>1</x:v>
      </x:c>
      <x:c r="G229" s="23" t="str">
        <x:f>IF(E229=F229,"PASS","FAIL")</x:f>
        <x:v>PASS</x:v>
      </x:c>
    </x:row>
    <x:row r="230">
      <x:c r="B230" s="21" t="str">
        <x:v>C0224</x:v>
      </x:c>
      <x:c r="C230" s="21" t="str">
        <x:v>stage build</x:v>
      </x:c>
      <x:c r="D230" s="21" t="str">
        <x:v>targeted additions nonnegative row 44</x:v>
      </x:c>
      <x:c r="E230" s="21" t="n">
        <x:f>IF(AND('Stage Build'!G44&gt;=0,'Stage Build'!H44&gt;=0),1,0)</x:f>
        <x:v>1</x:v>
      </x:c>
      <x:c r="F230" s="21" t="n">
        <x:v>1</x:v>
      </x:c>
      <x:c r="G230" s="23" t="str">
        <x:f>IF(E230=F230,"PASS","FAIL")</x:f>
        <x:v>PASS</x:v>
      </x:c>
    </x:row>
    <x:row r="231">
      <x:c r="B231" s="21" t="str">
        <x:v>C0225</x:v>
      </x:c>
      <x:c r="C231" s="21" t="str">
        <x:v>stage build</x:v>
      </x:c>
      <x:c r="D231" s="21" t="str">
        <x:v>pre-replication identity row 44</x:v>
      </x:c>
      <x:c r="E231" s="21" t="n">
        <x:f>IF(ABS('Stage Build'!I44-SUM('Stage Build'!F44:H44))&lt;0.000001,1,0)</x:f>
        <x:v>1</x:v>
      </x:c>
      <x:c r="F231" s="21" t="n">
        <x:v>1</x:v>
      </x:c>
      <x:c r="G231" s="23" t="str">
        <x:f>IF(E231=F231,"PASS","FAIL")</x:f>
        <x:v>PASS</x:v>
      </x:c>
    </x:row>
    <x:row r="232">
      <x:c r="B232" s="21" t="str">
        <x:v>C0226</x:v>
      </x:c>
      <x:c r="C232" s="21" t="str">
        <x:v>stage build</x:v>
      </x:c>
      <x:c r="D232" s="21" t="str">
        <x:v>replication layer nonnegative row 44</x:v>
      </x:c>
      <x:c r="E232" s="21" t="n">
        <x:f>IF('Stage Build'!J44&gt;=0,1,0)</x:f>
        <x:v>1</x:v>
      </x:c>
      <x:c r="F232" s="21" t="n">
        <x:v>1</x:v>
      </x:c>
      <x:c r="G232" s="23" t="str">
        <x:f>IF(E232=F232,"PASS","FAIL")</x:f>
        <x:v>PASS</x:v>
      </x:c>
    </x:row>
    <x:row r="233">
      <x:c r="B233" s="21" t="str">
        <x:v>C0227</x:v>
      </x:c>
      <x:c r="C233" s="21" t="str">
        <x:v>stage build</x:v>
      </x:c>
      <x:c r="D233" s="21" t="str">
        <x:v>designed ratio identity row 44</x:v>
      </x:c>
      <x:c r="E233" s="21" t="n">
        <x:f>IF(ABS('Stage Build'!K44-'Stage Build'!I44-'Stage Build'!J44)&lt;0.000001,1,0)</x:f>
        <x:v>1</x:v>
      </x:c>
      <x:c r="F233" s="21" t="n">
        <x:v>1</x:v>
      </x:c>
      <x:c r="G233" s="23" t="str">
        <x:f>IF(E233=F233,"PASS","FAIL")</x:f>
        <x:v>PASS</x:v>
      </x:c>
    </x:row>
    <x:row r="234">
      <x:c r="B234" s="21" t="str">
        <x:v>C0228</x:v>
      </x:c>
      <x:c r="C234" s="21" t="str">
        <x:v>stage build</x:v>
      </x:c>
      <x:c r="D234" s="21" t="str">
        <x:v>M05 status identity row 44</x:v>
      </x:c>
      <x:c r="E234" s="21" t="n">
        <x:f>IF('Stage Build'!L44=IF('Stage Build'!K44&gt;=Assumptions!$C$9,"ADEQUATE","GAP"),1,0)</x:f>
        <x:v>1</x:v>
      </x:c>
      <x:c r="F234" s="21" t="n">
        <x:v>1</x:v>
      </x:c>
      <x:c r="G234" s="23" t="str">
        <x:f>IF(E234=F234,"PASS","FAIL")</x:f>
        <x:v>PASS</x:v>
      </x:c>
    </x:row>
    <x:row r="235">
      <x:c r="B235" s="21" t="str">
        <x:v>C0229</x:v>
      </x:c>
      <x:c r="C235" s="21" t="str">
        <x:v>stage build</x:v>
      </x:c>
      <x:c r="D235" s="21" t="str">
        <x:v>baseline nonnegative row 45</x:v>
      </x:c>
      <x:c r="E235" s="21" t="n">
        <x:f>IF('Stage Build'!F45&gt;=0,1,0)</x:f>
        <x:v>1</x:v>
      </x:c>
      <x:c r="F235" s="21" t="n">
        <x:v>1</x:v>
      </x:c>
      <x:c r="G235" s="23" t="str">
        <x:f>IF(E235=F235,"PASS","FAIL")</x:f>
        <x:v>PASS</x:v>
      </x:c>
    </x:row>
    <x:row r="236">
      <x:c r="B236" s="21" t="str">
        <x:v>C0230</x:v>
      </x:c>
      <x:c r="C236" s="21" t="str">
        <x:v>stage build</x:v>
      </x:c>
      <x:c r="D236" s="21" t="str">
        <x:v>targeted additions nonnegative row 45</x:v>
      </x:c>
      <x:c r="E236" s="21" t="n">
        <x:f>IF(AND('Stage Build'!G45&gt;=0,'Stage Build'!H45&gt;=0),1,0)</x:f>
        <x:v>1</x:v>
      </x:c>
      <x:c r="F236" s="21" t="n">
        <x:v>1</x:v>
      </x:c>
      <x:c r="G236" s="23" t="str">
        <x:f>IF(E236=F236,"PASS","FAIL")</x:f>
        <x:v>PASS</x:v>
      </x:c>
    </x:row>
    <x:row r="237">
      <x:c r="B237" s="21" t="str">
        <x:v>C0231</x:v>
      </x:c>
      <x:c r="C237" s="21" t="str">
        <x:v>stage build</x:v>
      </x:c>
      <x:c r="D237" s="21" t="str">
        <x:v>pre-replication identity row 45</x:v>
      </x:c>
      <x:c r="E237" s="21" t="n">
        <x:f>IF(ABS('Stage Build'!I45-SUM('Stage Build'!F45:H45))&lt;0.000001,1,0)</x:f>
        <x:v>1</x:v>
      </x:c>
      <x:c r="F237" s="21" t="n">
        <x:v>1</x:v>
      </x:c>
      <x:c r="G237" s="23" t="str">
        <x:f>IF(E237=F237,"PASS","FAIL")</x:f>
        <x:v>PASS</x:v>
      </x:c>
    </x:row>
    <x:row r="238">
      <x:c r="B238" s="21" t="str">
        <x:v>C0232</x:v>
      </x:c>
      <x:c r="C238" s="21" t="str">
        <x:v>stage build</x:v>
      </x:c>
      <x:c r="D238" s="21" t="str">
        <x:v>replication layer nonnegative row 45</x:v>
      </x:c>
      <x:c r="E238" s="21" t="n">
        <x:f>IF('Stage Build'!J45&gt;=0,1,0)</x:f>
        <x:v>1</x:v>
      </x:c>
      <x:c r="F238" s="21" t="n">
        <x:v>1</x:v>
      </x:c>
      <x:c r="G238" s="23" t="str">
        <x:f>IF(E238=F238,"PASS","FAIL")</x:f>
        <x:v>PASS</x:v>
      </x:c>
    </x:row>
    <x:row r="239">
      <x:c r="B239" s="21" t="str">
        <x:v>C0233</x:v>
      </x:c>
      <x:c r="C239" s="21" t="str">
        <x:v>stage build</x:v>
      </x:c>
      <x:c r="D239" s="21" t="str">
        <x:v>designed ratio identity row 45</x:v>
      </x:c>
      <x:c r="E239" s="21" t="n">
        <x:f>IF(ABS('Stage Build'!K45-'Stage Build'!I45-'Stage Build'!J45)&lt;0.000001,1,0)</x:f>
        <x:v>1</x:v>
      </x:c>
      <x:c r="F239" s="21" t="n">
        <x:v>1</x:v>
      </x:c>
      <x:c r="G239" s="23" t="str">
        <x:f>IF(E239=F239,"PASS","FAIL")</x:f>
        <x:v>PASS</x:v>
      </x:c>
    </x:row>
    <x:row r="240">
      <x:c r="B240" s="21" t="str">
        <x:v>C0234</x:v>
      </x:c>
      <x:c r="C240" s="21" t="str">
        <x:v>stage build</x:v>
      </x:c>
      <x:c r="D240" s="21" t="str">
        <x:v>M05 status identity row 45</x:v>
      </x:c>
      <x:c r="E240" s="21" t="n">
        <x:f>IF('Stage Build'!L45=IF('Stage Build'!K45&gt;=Assumptions!$C$9,"ADEQUATE","GAP"),1,0)</x:f>
        <x:v>1</x:v>
      </x:c>
      <x:c r="F240" s="21" t="n">
        <x:v>1</x:v>
      </x:c>
      <x:c r="G240" s="23" t="str">
        <x:f>IF(E240=F240,"PASS","FAIL")</x:f>
        <x:v>PASS</x:v>
      </x:c>
    </x:row>
    <x:row r="241">
      <x:c r="B241" s="21" t="str">
        <x:v>C0235</x:v>
      </x:c>
      <x:c r="C241" s="21" t="str">
        <x:v>stage build</x:v>
      </x:c>
      <x:c r="D241" s="21" t="str">
        <x:v>baseline nonnegative row 46</x:v>
      </x:c>
      <x:c r="E241" s="21" t="n">
        <x:f>IF('Stage Build'!F46&gt;=0,1,0)</x:f>
        <x:v>1</x:v>
      </x:c>
      <x:c r="F241" s="21" t="n">
        <x:v>1</x:v>
      </x:c>
      <x:c r="G241" s="23" t="str">
        <x:f>IF(E241=F241,"PASS","FAIL")</x:f>
        <x:v>PASS</x:v>
      </x:c>
    </x:row>
    <x:row r="242">
      <x:c r="B242" s="21" t="str">
        <x:v>C0236</x:v>
      </x:c>
      <x:c r="C242" s="21" t="str">
        <x:v>stage build</x:v>
      </x:c>
      <x:c r="D242" s="21" t="str">
        <x:v>targeted additions nonnegative row 46</x:v>
      </x:c>
      <x:c r="E242" s="21" t="n">
        <x:f>IF(AND('Stage Build'!G46&gt;=0,'Stage Build'!H46&gt;=0),1,0)</x:f>
        <x:v>1</x:v>
      </x:c>
      <x:c r="F242" s="21" t="n">
        <x:v>1</x:v>
      </x:c>
      <x:c r="G242" s="23" t="str">
        <x:f>IF(E242=F242,"PASS","FAIL")</x:f>
        <x:v>PASS</x:v>
      </x:c>
    </x:row>
    <x:row r="243">
      <x:c r="B243" s="21" t="str">
        <x:v>C0237</x:v>
      </x:c>
      <x:c r="C243" s="21" t="str">
        <x:v>stage build</x:v>
      </x:c>
      <x:c r="D243" s="21" t="str">
        <x:v>pre-replication identity row 46</x:v>
      </x:c>
      <x:c r="E243" s="21" t="n">
        <x:f>IF(ABS('Stage Build'!I46-SUM('Stage Build'!F46:H46))&lt;0.000001,1,0)</x:f>
        <x:v>1</x:v>
      </x:c>
      <x:c r="F243" s="21" t="n">
        <x:v>1</x:v>
      </x:c>
      <x:c r="G243" s="23" t="str">
        <x:f>IF(E243=F243,"PASS","FAIL")</x:f>
        <x:v>PASS</x:v>
      </x:c>
    </x:row>
    <x:row r="244">
      <x:c r="B244" s="21" t="str">
        <x:v>C0238</x:v>
      </x:c>
      <x:c r="C244" s="21" t="str">
        <x:v>stage build</x:v>
      </x:c>
      <x:c r="D244" s="21" t="str">
        <x:v>replication layer nonnegative row 46</x:v>
      </x:c>
      <x:c r="E244" s="21" t="n">
        <x:f>IF('Stage Build'!J46&gt;=0,1,0)</x:f>
        <x:v>1</x:v>
      </x:c>
      <x:c r="F244" s="21" t="n">
        <x:v>1</x:v>
      </x:c>
      <x:c r="G244" s="23" t="str">
        <x:f>IF(E244=F244,"PASS","FAIL")</x:f>
        <x:v>PASS</x:v>
      </x:c>
    </x:row>
    <x:row r="245">
      <x:c r="B245" s="21" t="str">
        <x:v>C0239</x:v>
      </x:c>
      <x:c r="C245" s="21" t="str">
        <x:v>stage build</x:v>
      </x:c>
      <x:c r="D245" s="21" t="str">
        <x:v>designed ratio identity row 46</x:v>
      </x:c>
      <x:c r="E245" s="21" t="n">
        <x:f>IF(ABS('Stage Build'!K46-'Stage Build'!I46-'Stage Build'!J46)&lt;0.000001,1,0)</x:f>
        <x:v>1</x:v>
      </x:c>
      <x:c r="F245" s="21" t="n">
        <x:v>1</x:v>
      </x:c>
      <x:c r="G245" s="23" t="str">
        <x:f>IF(E245=F245,"PASS","FAIL")</x:f>
        <x:v>PASS</x:v>
      </x:c>
    </x:row>
    <x:row r="246">
      <x:c r="B246" s="21" t="str">
        <x:v>C0240</x:v>
      </x:c>
      <x:c r="C246" s="21" t="str">
        <x:v>stage build</x:v>
      </x:c>
      <x:c r="D246" s="21" t="str">
        <x:v>M05 status identity row 46</x:v>
      </x:c>
      <x:c r="E246" s="21" t="n">
        <x:f>IF('Stage Build'!L46=IF('Stage Build'!K46&gt;=Assumptions!$C$9,"ADEQUATE","GAP"),1,0)</x:f>
        <x:v>1</x:v>
      </x:c>
      <x:c r="F246" s="21" t="n">
        <x:v>1</x:v>
      </x:c>
      <x:c r="G246" s="23" t="str">
        <x:f>IF(E246=F246,"PASS","FAIL")</x:f>
        <x:v>PASS</x:v>
      </x:c>
    </x:row>
    <x:row r="247">
      <x:c r="B247" s="21" t="str">
        <x:v>C0241</x:v>
      </x:c>
      <x:c r="C247" s="21" t="str">
        <x:v>stage build</x:v>
      </x:c>
      <x:c r="D247" s="21" t="str">
        <x:v>baseline nonnegative row 47</x:v>
      </x:c>
      <x:c r="E247" s="21" t="n">
        <x:f>IF('Stage Build'!F47&gt;=0,1,0)</x:f>
        <x:v>1</x:v>
      </x:c>
      <x:c r="F247" s="21" t="n">
        <x:v>1</x:v>
      </x:c>
      <x:c r="G247" s="23" t="str">
        <x:f>IF(E247=F247,"PASS","FAIL")</x:f>
        <x:v>PASS</x:v>
      </x:c>
    </x:row>
    <x:row r="248">
      <x:c r="B248" s="21" t="str">
        <x:v>C0242</x:v>
      </x:c>
      <x:c r="C248" s="21" t="str">
        <x:v>stage build</x:v>
      </x:c>
      <x:c r="D248" s="21" t="str">
        <x:v>targeted additions nonnegative row 47</x:v>
      </x:c>
      <x:c r="E248" s="21" t="n">
        <x:f>IF(AND('Stage Build'!G47&gt;=0,'Stage Build'!H47&gt;=0),1,0)</x:f>
        <x:v>1</x:v>
      </x:c>
      <x:c r="F248" s="21" t="n">
        <x:v>1</x:v>
      </x:c>
      <x:c r="G248" s="23" t="str">
        <x:f>IF(E248=F248,"PASS","FAIL")</x:f>
        <x:v>PASS</x:v>
      </x:c>
    </x:row>
    <x:row r="249">
      <x:c r="B249" s="21" t="str">
        <x:v>C0243</x:v>
      </x:c>
      <x:c r="C249" s="21" t="str">
        <x:v>stage build</x:v>
      </x:c>
      <x:c r="D249" s="21" t="str">
        <x:v>pre-replication identity row 47</x:v>
      </x:c>
      <x:c r="E249" s="21" t="n">
        <x:f>IF(ABS('Stage Build'!I47-SUM('Stage Build'!F47:H47))&lt;0.000001,1,0)</x:f>
        <x:v>1</x:v>
      </x:c>
      <x:c r="F249" s="21" t="n">
        <x:v>1</x:v>
      </x:c>
      <x:c r="G249" s="23" t="str">
        <x:f>IF(E249=F249,"PASS","FAIL")</x:f>
        <x:v>PASS</x:v>
      </x:c>
    </x:row>
    <x:row r="250">
      <x:c r="B250" s="21" t="str">
        <x:v>C0244</x:v>
      </x:c>
      <x:c r="C250" s="21" t="str">
        <x:v>stage build</x:v>
      </x:c>
      <x:c r="D250" s="21" t="str">
        <x:v>replication layer nonnegative row 47</x:v>
      </x:c>
      <x:c r="E250" s="21" t="n">
        <x:f>IF('Stage Build'!J47&gt;=0,1,0)</x:f>
        <x:v>1</x:v>
      </x:c>
      <x:c r="F250" s="21" t="n">
        <x:v>1</x:v>
      </x:c>
      <x:c r="G250" s="23" t="str">
        <x:f>IF(E250=F250,"PASS","FAIL")</x:f>
        <x:v>PASS</x:v>
      </x:c>
    </x:row>
    <x:row r="251">
      <x:c r="B251" s="21" t="str">
        <x:v>C0245</x:v>
      </x:c>
      <x:c r="C251" s="21" t="str">
        <x:v>stage build</x:v>
      </x:c>
      <x:c r="D251" s="21" t="str">
        <x:v>designed ratio identity row 47</x:v>
      </x:c>
      <x:c r="E251" s="21" t="n">
        <x:f>IF(ABS('Stage Build'!K47-'Stage Build'!I47-'Stage Build'!J47)&lt;0.000001,1,0)</x:f>
        <x:v>1</x:v>
      </x:c>
      <x:c r="F251" s="21" t="n">
        <x:v>1</x:v>
      </x:c>
      <x:c r="G251" s="23" t="str">
        <x:f>IF(E251=F251,"PASS","FAIL")</x:f>
        <x:v>PASS</x:v>
      </x:c>
    </x:row>
    <x:row r="252">
      <x:c r="B252" s="21" t="str">
        <x:v>C0246</x:v>
      </x:c>
      <x:c r="C252" s="21" t="str">
        <x:v>stage build</x:v>
      </x:c>
      <x:c r="D252" s="21" t="str">
        <x:v>M05 status identity row 47</x:v>
      </x:c>
      <x:c r="E252" s="21" t="n">
        <x:f>IF('Stage Build'!L47=IF('Stage Build'!K47&gt;=Assumptions!$C$9,"ADEQUATE","GAP"),1,0)</x:f>
        <x:v>1</x:v>
      </x:c>
      <x:c r="F252" s="21" t="n">
        <x:v>1</x:v>
      </x:c>
      <x:c r="G252" s="23" t="str">
        <x:f>IF(E252=F252,"PASS","FAIL")</x:f>
        <x:v>PASS</x:v>
      </x:c>
    </x:row>
    <x:row r="253">
      <x:c r="B253" s="21" t="str">
        <x:v>C0247</x:v>
      </x:c>
      <x:c r="C253" s="21" t="str">
        <x:v>stage build</x:v>
      </x:c>
      <x:c r="D253" s="21" t="str">
        <x:v>baseline nonnegative row 48</x:v>
      </x:c>
      <x:c r="E253" s="21" t="n">
        <x:f>IF('Stage Build'!F48&gt;=0,1,0)</x:f>
        <x:v>1</x:v>
      </x:c>
      <x:c r="F253" s="21" t="n">
        <x:v>1</x:v>
      </x:c>
      <x:c r="G253" s="23" t="str">
        <x:f>IF(E253=F253,"PASS","FAIL")</x:f>
        <x:v>PASS</x:v>
      </x:c>
    </x:row>
    <x:row r="254">
      <x:c r="B254" s="21" t="str">
        <x:v>C0248</x:v>
      </x:c>
      <x:c r="C254" s="21" t="str">
        <x:v>stage build</x:v>
      </x:c>
      <x:c r="D254" s="21" t="str">
        <x:v>targeted additions nonnegative row 48</x:v>
      </x:c>
      <x:c r="E254" s="21" t="n">
        <x:f>IF(AND('Stage Build'!G48&gt;=0,'Stage Build'!H48&gt;=0),1,0)</x:f>
        <x:v>1</x:v>
      </x:c>
      <x:c r="F254" s="21" t="n">
        <x:v>1</x:v>
      </x:c>
      <x:c r="G254" s="23" t="str">
        <x:f>IF(E254=F254,"PASS","FAIL")</x:f>
        <x:v>PASS</x:v>
      </x:c>
    </x:row>
    <x:row r="255">
      <x:c r="B255" s="21" t="str">
        <x:v>C0249</x:v>
      </x:c>
      <x:c r="C255" s="21" t="str">
        <x:v>stage build</x:v>
      </x:c>
      <x:c r="D255" s="21" t="str">
        <x:v>pre-replication identity row 48</x:v>
      </x:c>
      <x:c r="E255" s="21" t="n">
        <x:f>IF(ABS('Stage Build'!I48-SUM('Stage Build'!F48:H48))&lt;0.000001,1,0)</x:f>
        <x:v>1</x:v>
      </x:c>
      <x:c r="F255" s="21" t="n">
        <x:v>1</x:v>
      </x:c>
      <x:c r="G255" s="23" t="str">
        <x:f>IF(E255=F255,"PASS","FAIL")</x:f>
        <x:v>PASS</x:v>
      </x:c>
    </x:row>
    <x:row r="256">
      <x:c r="B256" s="21" t="str">
        <x:v>C0250</x:v>
      </x:c>
      <x:c r="C256" s="21" t="str">
        <x:v>stage build</x:v>
      </x:c>
      <x:c r="D256" s="21" t="str">
        <x:v>replication layer nonnegative row 48</x:v>
      </x:c>
      <x:c r="E256" s="21" t="n">
        <x:f>IF('Stage Build'!J48&gt;=0,1,0)</x:f>
        <x:v>1</x:v>
      </x:c>
      <x:c r="F256" s="21" t="n">
        <x:v>1</x:v>
      </x:c>
      <x:c r="G256" s="23" t="str">
        <x:f>IF(E256=F256,"PASS","FAIL")</x:f>
        <x:v>PASS</x:v>
      </x:c>
    </x:row>
    <x:row r="257">
      <x:c r="B257" s="21" t="str">
        <x:v>C0251</x:v>
      </x:c>
      <x:c r="C257" s="21" t="str">
        <x:v>stage build</x:v>
      </x:c>
      <x:c r="D257" s="21" t="str">
        <x:v>designed ratio identity row 48</x:v>
      </x:c>
      <x:c r="E257" s="21" t="n">
        <x:f>IF(ABS('Stage Build'!K48-'Stage Build'!I48-'Stage Build'!J48)&lt;0.000001,1,0)</x:f>
        <x:v>1</x:v>
      </x:c>
      <x:c r="F257" s="21" t="n">
        <x:v>1</x:v>
      </x:c>
      <x:c r="G257" s="23" t="str">
        <x:f>IF(E257=F257,"PASS","FAIL")</x:f>
        <x:v>PASS</x:v>
      </x:c>
    </x:row>
    <x:row r="258">
      <x:c r="B258" s="21" t="str">
        <x:v>C0252</x:v>
      </x:c>
      <x:c r="C258" s="21" t="str">
        <x:v>stage build</x:v>
      </x:c>
      <x:c r="D258" s="21" t="str">
        <x:v>M05 status identity row 48</x:v>
      </x:c>
      <x:c r="E258" s="21" t="n">
        <x:f>IF('Stage Build'!L48=IF('Stage Build'!K48&gt;=Assumptions!$C$9,"ADEQUATE","GAP"),1,0)</x:f>
        <x:v>1</x:v>
      </x:c>
      <x:c r="F258" s="21" t="n">
        <x:v>1</x:v>
      </x:c>
      <x:c r="G258" s="23" t="str">
        <x:f>IF(E258=F258,"PASS","FAIL")</x:f>
        <x:v>PASS</x:v>
      </x:c>
    </x:row>
    <x:row r="259">
      <x:c r="B259" s="21" t="str">
        <x:v>C0253</x:v>
      </x:c>
      <x:c r="C259" s="21" t="str">
        <x:v>stage build</x:v>
      </x:c>
      <x:c r="D259" s="21" t="str">
        <x:v>baseline nonnegative row 49</x:v>
      </x:c>
      <x:c r="E259" s="21" t="n">
        <x:f>IF('Stage Build'!F49&gt;=0,1,0)</x:f>
        <x:v>1</x:v>
      </x:c>
      <x:c r="F259" s="21" t="n">
        <x:v>1</x:v>
      </x:c>
      <x:c r="G259" s="23" t="str">
        <x:f>IF(E259=F259,"PASS","FAIL")</x:f>
        <x:v>PASS</x:v>
      </x:c>
    </x:row>
    <x:row r="260">
      <x:c r="B260" s="21" t="str">
        <x:v>C0254</x:v>
      </x:c>
      <x:c r="C260" s="21" t="str">
        <x:v>stage build</x:v>
      </x:c>
      <x:c r="D260" s="21" t="str">
        <x:v>targeted additions nonnegative row 49</x:v>
      </x:c>
      <x:c r="E260" s="21" t="n">
        <x:f>IF(AND('Stage Build'!G49&gt;=0,'Stage Build'!H49&gt;=0),1,0)</x:f>
        <x:v>1</x:v>
      </x:c>
      <x:c r="F260" s="21" t="n">
        <x:v>1</x:v>
      </x:c>
      <x:c r="G260" s="23" t="str">
        <x:f>IF(E260=F260,"PASS","FAIL")</x:f>
        <x:v>PASS</x:v>
      </x:c>
    </x:row>
    <x:row r="261">
      <x:c r="B261" s="21" t="str">
        <x:v>C0255</x:v>
      </x:c>
      <x:c r="C261" s="21" t="str">
        <x:v>stage build</x:v>
      </x:c>
      <x:c r="D261" s="21" t="str">
        <x:v>pre-replication identity row 49</x:v>
      </x:c>
      <x:c r="E261" s="21" t="n">
        <x:f>IF(ABS('Stage Build'!I49-SUM('Stage Build'!F49:H49))&lt;0.000001,1,0)</x:f>
        <x:v>1</x:v>
      </x:c>
      <x:c r="F261" s="21" t="n">
        <x:v>1</x:v>
      </x:c>
      <x:c r="G261" s="23" t="str">
        <x:f>IF(E261=F261,"PASS","FAIL")</x:f>
        <x:v>PASS</x:v>
      </x:c>
    </x:row>
    <x:row r="262">
      <x:c r="B262" s="21" t="str">
        <x:v>C0256</x:v>
      </x:c>
      <x:c r="C262" s="21" t="str">
        <x:v>stage build</x:v>
      </x:c>
      <x:c r="D262" s="21" t="str">
        <x:v>replication layer nonnegative row 49</x:v>
      </x:c>
      <x:c r="E262" s="21" t="n">
        <x:f>IF('Stage Build'!J49&gt;=0,1,0)</x:f>
        <x:v>1</x:v>
      </x:c>
      <x:c r="F262" s="21" t="n">
        <x:v>1</x:v>
      </x:c>
      <x:c r="G262" s="23" t="str">
        <x:f>IF(E262=F262,"PASS","FAIL")</x:f>
        <x:v>PASS</x:v>
      </x:c>
    </x:row>
    <x:row r="263">
      <x:c r="B263" s="21" t="str">
        <x:v>C0257</x:v>
      </x:c>
      <x:c r="C263" s="21" t="str">
        <x:v>stage build</x:v>
      </x:c>
      <x:c r="D263" s="21" t="str">
        <x:v>designed ratio identity row 49</x:v>
      </x:c>
      <x:c r="E263" s="21" t="n">
        <x:f>IF(ABS('Stage Build'!K49-'Stage Build'!I49-'Stage Build'!J49)&lt;0.000001,1,0)</x:f>
        <x:v>1</x:v>
      </x:c>
      <x:c r="F263" s="21" t="n">
        <x:v>1</x:v>
      </x:c>
      <x:c r="G263" s="23" t="str">
        <x:f>IF(E263=F263,"PASS","FAIL")</x:f>
        <x:v>PASS</x:v>
      </x:c>
    </x:row>
    <x:row r="264">
      <x:c r="B264" s="21" t="str">
        <x:v>C0258</x:v>
      </x:c>
      <x:c r="C264" s="21" t="str">
        <x:v>stage build</x:v>
      </x:c>
      <x:c r="D264" s="21" t="str">
        <x:v>M05 status identity row 49</x:v>
      </x:c>
      <x:c r="E264" s="21" t="n">
        <x:f>IF('Stage Build'!L49=IF('Stage Build'!K49&gt;=Assumptions!$C$9,"ADEQUATE","GAP"),1,0)</x:f>
        <x:v>1</x:v>
      </x:c>
      <x:c r="F264" s="21" t="n">
        <x:v>1</x:v>
      </x:c>
      <x:c r="G264" s="23" t="str">
        <x:f>IF(E264=F264,"PASS","FAIL")</x:f>
        <x:v>PASS</x:v>
      </x:c>
    </x:row>
    <x:row r="265">
      <x:c r="B265" s="21" t="str">
        <x:v>C0259</x:v>
      </x:c>
      <x:c r="C265" s="21" t="str">
        <x:v>stage build</x:v>
      </x:c>
      <x:c r="D265" s="21" t="str">
        <x:v>baseline nonnegative row 50</x:v>
      </x:c>
      <x:c r="E265" s="21" t="n">
        <x:f>IF('Stage Build'!F50&gt;=0,1,0)</x:f>
        <x:v>1</x:v>
      </x:c>
      <x:c r="F265" s="21" t="n">
        <x:v>1</x:v>
      </x:c>
      <x:c r="G265" s="23" t="str">
        <x:f>IF(E265=F265,"PASS","FAIL")</x:f>
        <x:v>PASS</x:v>
      </x:c>
    </x:row>
    <x:row r="266">
      <x:c r="B266" s="21" t="str">
        <x:v>C0260</x:v>
      </x:c>
      <x:c r="C266" s="21" t="str">
        <x:v>stage build</x:v>
      </x:c>
      <x:c r="D266" s="21" t="str">
        <x:v>targeted additions nonnegative row 50</x:v>
      </x:c>
      <x:c r="E266" s="21" t="n">
        <x:f>IF(AND('Stage Build'!G50&gt;=0,'Stage Build'!H50&gt;=0),1,0)</x:f>
        <x:v>1</x:v>
      </x:c>
      <x:c r="F266" s="21" t="n">
        <x:v>1</x:v>
      </x:c>
      <x:c r="G266" s="23" t="str">
        <x:f>IF(E266=F266,"PASS","FAIL")</x:f>
        <x:v>PASS</x:v>
      </x:c>
    </x:row>
    <x:row r="267">
      <x:c r="B267" s="21" t="str">
        <x:v>C0261</x:v>
      </x:c>
      <x:c r="C267" s="21" t="str">
        <x:v>stage build</x:v>
      </x:c>
      <x:c r="D267" s="21" t="str">
        <x:v>pre-replication identity row 50</x:v>
      </x:c>
      <x:c r="E267" s="21" t="n">
        <x:f>IF(ABS('Stage Build'!I50-SUM('Stage Build'!F50:H50))&lt;0.000001,1,0)</x:f>
        <x:v>1</x:v>
      </x:c>
      <x:c r="F267" s="21" t="n">
        <x:v>1</x:v>
      </x:c>
      <x:c r="G267" s="23" t="str">
        <x:f>IF(E267=F267,"PASS","FAIL")</x:f>
        <x:v>PASS</x:v>
      </x:c>
    </x:row>
    <x:row r="268">
      <x:c r="B268" s="21" t="str">
        <x:v>C0262</x:v>
      </x:c>
      <x:c r="C268" s="21" t="str">
        <x:v>stage build</x:v>
      </x:c>
      <x:c r="D268" s="21" t="str">
        <x:v>replication layer nonnegative row 50</x:v>
      </x:c>
      <x:c r="E268" s="21" t="n">
        <x:f>IF('Stage Build'!J50&gt;=0,1,0)</x:f>
        <x:v>1</x:v>
      </x:c>
      <x:c r="F268" s="21" t="n">
        <x:v>1</x:v>
      </x:c>
      <x:c r="G268" s="23" t="str">
        <x:f>IF(E268=F268,"PASS","FAIL")</x:f>
        <x:v>PASS</x:v>
      </x:c>
    </x:row>
    <x:row r="269">
      <x:c r="B269" s="21" t="str">
        <x:v>C0263</x:v>
      </x:c>
      <x:c r="C269" s="21" t="str">
        <x:v>stage build</x:v>
      </x:c>
      <x:c r="D269" s="21" t="str">
        <x:v>designed ratio identity row 50</x:v>
      </x:c>
      <x:c r="E269" s="21" t="n">
        <x:f>IF(ABS('Stage Build'!K50-'Stage Build'!I50-'Stage Build'!J50)&lt;0.000001,1,0)</x:f>
        <x:v>1</x:v>
      </x:c>
      <x:c r="F269" s="21" t="n">
        <x:v>1</x:v>
      </x:c>
      <x:c r="G269" s="23" t="str">
        <x:f>IF(E269=F269,"PASS","FAIL")</x:f>
        <x:v>PASS</x:v>
      </x:c>
    </x:row>
    <x:row r="270">
      <x:c r="B270" s="21" t="str">
        <x:v>C0264</x:v>
      </x:c>
      <x:c r="C270" s="21" t="str">
        <x:v>stage build</x:v>
      </x:c>
      <x:c r="D270" s="21" t="str">
        <x:v>M05 status identity row 50</x:v>
      </x:c>
      <x:c r="E270" s="21" t="n">
        <x:f>IF('Stage Build'!L50=IF('Stage Build'!K50&gt;=Assumptions!$C$9,"ADEQUATE","GAP"),1,0)</x:f>
        <x:v>1</x:v>
      </x:c>
      <x:c r="F270" s="21" t="n">
        <x:v>1</x:v>
      </x:c>
      <x:c r="G270" s="23" t="str">
        <x:f>IF(E270=F270,"PASS","FAIL")</x:f>
        <x:v>PASS</x:v>
      </x:c>
    </x:row>
    <x:row r="271">
      <x:c r="B271" s="21" t="str">
        <x:v>C0265</x:v>
      </x:c>
      <x:c r="C271" s="21" t="str">
        <x:v>stage build</x:v>
      </x:c>
      <x:c r="D271" s="21" t="str">
        <x:v>baseline nonnegative row 51</x:v>
      </x:c>
      <x:c r="E271" s="21" t="n">
        <x:f>IF('Stage Build'!F51&gt;=0,1,0)</x:f>
        <x:v>1</x:v>
      </x:c>
      <x:c r="F271" s="21" t="n">
        <x:v>1</x:v>
      </x:c>
      <x:c r="G271" s="23" t="str">
        <x:f>IF(E271=F271,"PASS","FAIL")</x:f>
        <x:v>PASS</x:v>
      </x:c>
    </x:row>
    <x:row r="272">
      <x:c r="B272" s="21" t="str">
        <x:v>C0266</x:v>
      </x:c>
      <x:c r="C272" s="21" t="str">
        <x:v>stage build</x:v>
      </x:c>
      <x:c r="D272" s="21" t="str">
        <x:v>targeted additions nonnegative row 51</x:v>
      </x:c>
      <x:c r="E272" s="21" t="n">
        <x:f>IF(AND('Stage Build'!G51&gt;=0,'Stage Build'!H51&gt;=0),1,0)</x:f>
        <x:v>1</x:v>
      </x:c>
      <x:c r="F272" s="21" t="n">
        <x:v>1</x:v>
      </x:c>
      <x:c r="G272" s="23" t="str">
        <x:f>IF(E272=F272,"PASS","FAIL")</x:f>
        <x:v>PASS</x:v>
      </x:c>
    </x:row>
    <x:row r="273">
      <x:c r="B273" s="21" t="str">
        <x:v>C0267</x:v>
      </x:c>
      <x:c r="C273" s="21" t="str">
        <x:v>stage build</x:v>
      </x:c>
      <x:c r="D273" s="21" t="str">
        <x:v>pre-replication identity row 51</x:v>
      </x:c>
      <x:c r="E273" s="21" t="n">
        <x:f>IF(ABS('Stage Build'!I51-SUM('Stage Build'!F51:H51))&lt;0.000001,1,0)</x:f>
        <x:v>1</x:v>
      </x:c>
      <x:c r="F273" s="21" t="n">
        <x:v>1</x:v>
      </x:c>
      <x:c r="G273" s="23" t="str">
        <x:f>IF(E273=F273,"PASS","FAIL")</x:f>
        <x:v>PASS</x:v>
      </x:c>
    </x:row>
    <x:row r="274">
      <x:c r="B274" s="21" t="str">
        <x:v>C0268</x:v>
      </x:c>
      <x:c r="C274" s="21" t="str">
        <x:v>stage build</x:v>
      </x:c>
      <x:c r="D274" s="21" t="str">
        <x:v>replication layer nonnegative row 51</x:v>
      </x:c>
      <x:c r="E274" s="21" t="n">
        <x:f>IF('Stage Build'!J51&gt;=0,1,0)</x:f>
        <x:v>1</x:v>
      </x:c>
      <x:c r="F274" s="21" t="n">
        <x:v>1</x:v>
      </x:c>
      <x:c r="G274" s="23" t="str">
        <x:f>IF(E274=F274,"PASS","FAIL")</x:f>
        <x:v>PASS</x:v>
      </x:c>
    </x:row>
    <x:row r="275">
      <x:c r="B275" s="21" t="str">
        <x:v>C0269</x:v>
      </x:c>
      <x:c r="C275" s="21" t="str">
        <x:v>stage build</x:v>
      </x:c>
      <x:c r="D275" s="21" t="str">
        <x:v>designed ratio identity row 51</x:v>
      </x:c>
      <x:c r="E275" s="21" t="n">
        <x:f>IF(ABS('Stage Build'!K51-'Stage Build'!I51-'Stage Build'!J51)&lt;0.000001,1,0)</x:f>
        <x:v>1</x:v>
      </x:c>
      <x:c r="F275" s="21" t="n">
        <x:v>1</x:v>
      </x:c>
      <x:c r="G275" s="23" t="str">
        <x:f>IF(E275=F275,"PASS","FAIL")</x:f>
        <x:v>PASS</x:v>
      </x:c>
    </x:row>
    <x:row r="276">
      <x:c r="B276" s="21" t="str">
        <x:v>C0270</x:v>
      </x:c>
      <x:c r="C276" s="21" t="str">
        <x:v>stage build</x:v>
      </x:c>
      <x:c r="D276" s="21" t="str">
        <x:v>M05 status identity row 51</x:v>
      </x:c>
      <x:c r="E276" s="21" t="n">
        <x:f>IF('Stage Build'!L51=IF('Stage Build'!K51&gt;=Assumptions!$C$9,"ADEQUATE","GAP"),1,0)</x:f>
        <x:v>1</x:v>
      </x:c>
      <x:c r="F276" s="21" t="n">
        <x:v>1</x:v>
      </x:c>
      <x:c r="G276" s="23" t="str">
        <x:f>IF(E276=F276,"PASS","FAIL")</x:f>
        <x:v>PASS</x:v>
      </x:c>
    </x:row>
    <x:row r="277">
      <x:c r="B277" s="21" t="str">
        <x:v>C0271</x:v>
      </x:c>
      <x:c r="C277" s="21" t="str">
        <x:v>stage build</x:v>
      </x:c>
      <x:c r="D277" s="21" t="str">
        <x:v>baseline nonnegative row 52</x:v>
      </x:c>
      <x:c r="E277" s="21" t="n">
        <x:f>IF('Stage Build'!F52&gt;=0,1,0)</x:f>
        <x:v>1</x:v>
      </x:c>
      <x:c r="F277" s="21" t="n">
        <x:v>1</x:v>
      </x:c>
      <x:c r="G277" s="23" t="str">
        <x:f>IF(E277=F277,"PASS","FAIL")</x:f>
        <x:v>PASS</x:v>
      </x:c>
    </x:row>
    <x:row r="278">
      <x:c r="B278" s="21" t="str">
        <x:v>C0272</x:v>
      </x:c>
      <x:c r="C278" s="21" t="str">
        <x:v>stage build</x:v>
      </x:c>
      <x:c r="D278" s="21" t="str">
        <x:v>targeted additions nonnegative row 52</x:v>
      </x:c>
      <x:c r="E278" s="21" t="n">
        <x:f>IF(AND('Stage Build'!G52&gt;=0,'Stage Build'!H52&gt;=0),1,0)</x:f>
        <x:v>1</x:v>
      </x:c>
      <x:c r="F278" s="21" t="n">
        <x:v>1</x:v>
      </x:c>
      <x:c r="G278" s="23" t="str">
        <x:f>IF(E278=F278,"PASS","FAIL")</x:f>
        <x:v>PASS</x:v>
      </x:c>
    </x:row>
    <x:row r="279">
      <x:c r="B279" s="21" t="str">
        <x:v>C0273</x:v>
      </x:c>
      <x:c r="C279" s="21" t="str">
        <x:v>stage build</x:v>
      </x:c>
      <x:c r="D279" s="21" t="str">
        <x:v>pre-replication identity row 52</x:v>
      </x:c>
      <x:c r="E279" s="21" t="n">
        <x:f>IF(ABS('Stage Build'!I52-SUM('Stage Build'!F52:H52))&lt;0.000001,1,0)</x:f>
        <x:v>1</x:v>
      </x:c>
      <x:c r="F279" s="21" t="n">
        <x:v>1</x:v>
      </x:c>
      <x:c r="G279" s="23" t="str">
        <x:f>IF(E279=F279,"PASS","FAIL")</x:f>
        <x:v>PASS</x:v>
      </x:c>
    </x:row>
    <x:row r="280">
      <x:c r="B280" s="21" t="str">
        <x:v>C0274</x:v>
      </x:c>
      <x:c r="C280" s="21" t="str">
        <x:v>stage build</x:v>
      </x:c>
      <x:c r="D280" s="21" t="str">
        <x:v>replication layer nonnegative row 52</x:v>
      </x:c>
      <x:c r="E280" s="21" t="n">
        <x:f>IF('Stage Build'!J52&gt;=0,1,0)</x:f>
        <x:v>1</x:v>
      </x:c>
      <x:c r="F280" s="21" t="n">
        <x:v>1</x:v>
      </x:c>
      <x:c r="G280" s="23" t="str">
        <x:f>IF(E280=F280,"PASS","FAIL")</x:f>
        <x:v>PASS</x:v>
      </x:c>
    </x:row>
    <x:row r="281">
      <x:c r="B281" s="21" t="str">
        <x:v>C0275</x:v>
      </x:c>
      <x:c r="C281" s="21" t="str">
        <x:v>stage build</x:v>
      </x:c>
      <x:c r="D281" s="21" t="str">
        <x:v>designed ratio identity row 52</x:v>
      </x:c>
      <x:c r="E281" s="21" t="n">
        <x:f>IF(ABS('Stage Build'!K52-'Stage Build'!I52-'Stage Build'!J52)&lt;0.000001,1,0)</x:f>
        <x:v>1</x:v>
      </x:c>
      <x:c r="F281" s="21" t="n">
        <x:v>1</x:v>
      </x:c>
      <x:c r="G281" s="23" t="str">
        <x:f>IF(E281=F281,"PASS","FAIL")</x:f>
        <x:v>PASS</x:v>
      </x:c>
    </x:row>
    <x:row r="282">
      <x:c r="B282" s="21" t="str">
        <x:v>C0276</x:v>
      </x:c>
      <x:c r="C282" s="21" t="str">
        <x:v>stage build</x:v>
      </x:c>
      <x:c r="D282" s="21" t="str">
        <x:v>M05 status identity row 52</x:v>
      </x:c>
      <x:c r="E282" s="21" t="n">
        <x:f>IF('Stage Build'!L52=IF('Stage Build'!K52&gt;=Assumptions!$C$9,"ADEQUATE","GAP"),1,0)</x:f>
        <x:v>1</x:v>
      </x:c>
      <x:c r="F282" s="21" t="n">
        <x:v>1</x:v>
      </x:c>
      <x:c r="G282" s="23" t="str">
        <x:f>IF(E282=F282,"PASS","FAIL")</x:f>
        <x:v>PASS</x:v>
      </x:c>
    </x:row>
    <x:row r="283">
      <x:c r="B283" s="21" t="str">
        <x:v>C0277</x:v>
      </x:c>
      <x:c r="C283" s="21" t="str">
        <x:v>stage build</x:v>
      </x:c>
      <x:c r="D283" s="21" t="str">
        <x:v>baseline nonnegative row 53</x:v>
      </x:c>
      <x:c r="E283" s="21" t="n">
        <x:f>IF('Stage Build'!F53&gt;=0,1,0)</x:f>
        <x:v>1</x:v>
      </x:c>
      <x:c r="F283" s="21" t="n">
        <x:v>1</x:v>
      </x:c>
      <x:c r="G283" s="23" t="str">
        <x:f>IF(E283=F283,"PASS","FAIL")</x:f>
        <x:v>PASS</x:v>
      </x:c>
    </x:row>
    <x:row r="284">
      <x:c r="B284" s="21" t="str">
        <x:v>C0278</x:v>
      </x:c>
      <x:c r="C284" s="21" t="str">
        <x:v>stage build</x:v>
      </x:c>
      <x:c r="D284" s="21" t="str">
        <x:v>targeted additions nonnegative row 53</x:v>
      </x:c>
      <x:c r="E284" s="21" t="n">
        <x:f>IF(AND('Stage Build'!G53&gt;=0,'Stage Build'!H53&gt;=0),1,0)</x:f>
        <x:v>1</x:v>
      </x:c>
      <x:c r="F284" s="21" t="n">
        <x:v>1</x:v>
      </x:c>
      <x:c r="G284" s="23" t="str">
        <x:f>IF(E284=F284,"PASS","FAIL")</x:f>
        <x:v>PASS</x:v>
      </x:c>
    </x:row>
    <x:row r="285">
      <x:c r="B285" s="21" t="str">
        <x:v>C0279</x:v>
      </x:c>
      <x:c r="C285" s="21" t="str">
        <x:v>stage build</x:v>
      </x:c>
      <x:c r="D285" s="21" t="str">
        <x:v>pre-replication identity row 53</x:v>
      </x:c>
      <x:c r="E285" s="21" t="n">
        <x:f>IF(ABS('Stage Build'!I53-SUM('Stage Build'!F53:H53))&lt;0.000001,1,0)</x:f>
        <x:v>1</x:v>
      </x:c>
      <x:c r="F285" s="21" t="n">
        <x:v>1</x:v>
      </x:c>
      <x:c r="G285" s="23" t="str">
        <x:f>IF(E285=F285,"PASS","FAIL")</x:f>
        <x:v>PASS</x:v>
      </x:c>
    </x:row>
    <x:row r="286">
      <x:c r="B286" s="21" t="str">
        <x:v>C0280</x:v>
      </x:c>
      <x:c r="C286" s="21" t="str">
        <x:v>stage build</x:v>
      </x:c>
      <x:c r="D286" s="21" t="str">
        <x:v>replication layer nonnegative row 53</x:v>
      </x:c>
      <x:c r="E286" s="21" t="n">
        <x:f>IF('Stage Build'!J53&gt;=0,1,0)</x:f>
        <x:v>1</x:v>
      </x:c>
      <x:c r="F286" s="21" t="n">
        <x:v>1</x:v>
      </x:c>
      <x:c r="G286" s="23" t="str">
        <x:f>IF(E286=F286,"PASS","FAIL")</x:f>
        <x:v>PASS</x:v>
      </x:c>
    </x:row>
    <x:row r="287">
      <x:c r="B287" s="21" t="str">
        <x:v>C0281</x:v>
      </x:c>
      <x:c r="C287" s="21" t="str">
        <x:v>stage build</x:v>
      </x:c>
      <x:c r="D287" s="21" t="str">
        <x:v>designed ratio identity row 53</x:v>
      </x:c>
      <x:c r="E287" s="21" t="n">
        <x:f>IF(ABS('Stage Build'!K53-'Stage Build'!I53-'Stage Build'!J53)&lt;0.000001,1,0)</x:f>
        <x:v>1</x:v>
      </x:c>
      <x:c r="F287" s="21" t="n">
        <x:v>1</x:v>
      </x:c>
      <x:c r="G287" s="23" t="str">
        <x:f>IF(E287=F287,"PASS","FAIL")</x:f>
        <x:v>PASS</x:v>
      </x:c>
    </x:row>
    <x:row r="288">
      <x:c r="B288" s="21" t="str">
        <x:v>C0282</x:v>
      </x:c>
      <x:c r="C288" s="21" t="str">
        <x:v>stage build</x:v>
      </x:c>
      <x:c r="D288" s="21" t="str">
        <x:v>M05 status identity row 53</x:v>
      </x:c>
      <x:c r="E288" s="21" t="n">
        <x:f>IF('Stage Build'!L53=IF('Stage Build'!K53&gt;=Assumptions!$C$9,"ADEQUATE","GAP"),1,0)</x:f>
        <x:v>1</x:v>
      </x:c>
      <x:c r="F288" s="21" t="n">
        <x:v>1</x:v>
      </x:c>
      <x:c r="G288" s="23" t="str">
        <x:f>IF(E288=F288,"PASS","FAIL")</x:f>
        <x:v>PASS</x:v>
      </x:c>
    </x:row>
    <x:row r="289">
      <x:c r="B289" s="21" t="str">
        <x:v>C0283</x:v>
      </x:c>
      <x:c r="C289" s="21" t="str">
        <x:v>stage build</x:v>
      </x:c>
      <x:c r="D289" s="21" t="str">
        <x:v>baseline nonnegative row 54</x:v>
      </x:c>
      <x:c r="E289" s="21" t="n">
        <x:f>IF('Stage Build'!F54&gt;=0,1,0)</x:f>
        <x:v>1</x:v>
      </x:c>
      <x:c r="F289" s="21" t="n">
        <x:v>1</x:v>
      </x:c>
      <x:c r="G289" s="23" t="str">
        <x:f>IF(E289=F289,"PASS","FAIL")</x:f>
        <x:v>PASS</x:v>
      </x:c>
    </x:row>
    <x:row r="290">
      <x:c r="B290" s="21" t="str">
        <x:v>C0284</x:v>
      </x:c>
      <x:c r="C290" s="21" t="str">
        <x:v>stage build</x:v>
      </x:c>
      <x:c r="D290" s="21" t="str">
        <x:v>targeted additions nonnegative row 54</x:v>
      </x:c>
      <x:c r="E290" s="21" t="n">
        <x:f>IF(AND('Stage Build'!G54&gt;=0,'Stage Build'!H54&gt;=0),1,0)</x:f>
        <x:v>1</x:v>
      </x:c>
      <x:c r="F290" s="21" t="n">
        <x:v>1</x:v>
      </x:c>
      <x:c r="G290" s="23" t="str">
        <x:f>IF(E290=F290,"PASS","FAIL")</x:f>
        <x:v>PASS</x:v>
      </x:c>
    </x:row>
    <x:row r="291">
      <x:c r="B291" s="21" t="str">
        <x:v>C0285</x:v>
      </x:c>
      <x:c r="C291" s="21" t="str">
        <x:v>stage build</x:v>
      </x:c>
      <x:c r="D291" s="21" t="str">
        <x:v>pre-replication identity row 54</x:v>
      </x:c>
      <x:c r="E291" s="21" t="n">
        <x:f>IF(ABS('Stage Build'!I54-SUM('Stage Build'!F54:H54))&lt;0.000001,1,0)</x:f>
        <x:v>1</x:v>
      </x:c>
      <x:c r="F291" s="21" t="n">
        <x:v>1</x:v>
      </x:c>
      <x:c r="G291" s="23" t="str">
        <x:f>IF(E291=F291,"PASS","FAIL")</x:f>
        <x:v>PASS</x:v>
      </x:c>
    </x:row>
    <x:row r="292">
      <x:c r="B292" s="21" t="str">
        <x:v>C0286</x:v>
      </x:c>
      <x:c r="C292" s="21" t="str">
        <x:v>stage build</x:v>
      </x:c>
      <x:c r="D292" s="21" t="str">
        <x:v>replication layer nonnegative row 54</x:v>
      </x:c>
      <x:c r="E292" s="21" t="n">
        <x:f>IF('Stage Build'!J54&gt;=0,1,0)</x:f>
        <x:v>1</x:v>
      </x:c>
      <x:c r="F292" s="21" t="n">
        <x:v>1</x:v>
      </x:c>
      <x:c r="G292" s="23" t="str">
        <x:f>IF(E292=F292,"PASS","FAIL")</x:f>
        <x:v>PASS</x:v>
      </x:c>
    </x:row>
    <x:row r="293">
      <x:c r="B293" s="21" t="str">
        <x:v>C0287</x:v>
      </x:c>
      <x:c r="C293" s="21" t="str">
        <x:v>stage build</x:v>
      </x:c>
      <x:c r="D293" s="21" t="str">
        <x:v>designed ratio identity row 54</x:v>
      </x:c>
      <x:c r="E293" s="21" t="n">
        <x:f>IF(ABS('Stage Build'!K54-'Stage Build'!I54-'Stage Build'!J54)&lt;0.000001,1,0)</x:f>
        <x:v>1</x:v>
      </x:c>
      <x:c r="F293" s="21" t="n">
        <x:v>1</x:v>
      </x:c>
      <x:c r="G293" s="23" t="str">
        <x:f>IF(E293=F293,"PASS","FAIL")</x:f>
        <x:v>PASS</x:v>
      </x:c>
    </x:row>
    <x:row r="294">
      <x:c r="B294" s="21" t="str">
        <x:v>C0288</x:v>
      </x:c>
      <x:c r="C294" s="21" t="str">
        <x:v>stage build</x:v>
      </x:c>
      <x:c r="D294" s="21" t="str">
        <x:v>M05 status identity row 54</x:v>
      </x:c>
      <x:c r="E294" s="21" t="n">
        <x:f>IF('Stage Build'!L54=IF('Stage Build'!K54&gt;=Assumptions!$C$9,"ADEQUATE","GAP"),1,0)</x:f>
        <x:v>1</x:v>
      </x:c>
      <x:c r="F294" s="21" t="n">
        <x:v>1</x:v>
      </x:c>
      <x:c r="G294" s="23" t="str">
        <x:f>IF(E294=F294,"PASS","FAIL")</x:f>
        <x:v>PASS</x:v>
      </x:c>
    </x:row>
    <x:row r="295">
      <x:c r="B295" s="21" t="str">
        <x:v>C0289</x:v>
      </x:c>
      <x:c r="C295" s="21" t="str">
        <x:v>stage build</x:v>
      </x:c>
      <x:c r="D295" s="21" t="str">
        <x:v>baseline nonnegative row 55</x:v>
      </x:c>
      <x:c r="E295" s="21" t="n">
        <x:f>IF('Stage Build'!F55&gt;=0,1,0)</x:f>
        <x:v>1</x:v>
      </x:c>
      <x:c r="F295" s="21" t="n">
        <x:v>1</x:v>
      </x:c>
      <x:c r="G295" s="23" t="str">
        <x:f>IF(E295=F295,"PASS","FAIL")</x:f>
        <x:v>PASS</x:v>
      </x:c>
    </x:row>
    <x:row r="296">
      <x:c r="B296" s="21" t="str">
        <x:v>C0290</x:v>
      </x:c>
      <x:c r="C296" s="21" t="str">
        <x:v>stage build</x:v>
      </x:c>
      <x:c r="D296" s="21" t="str">
        <x:v>targeted additions nonnegative row 55</x:v>
      </x:c>
      <x:c r="E296" s="21" t="n">
        <x:f>IF(AND('Stage Build'!G55&gt;=0,'Stage Build'!H55&gt;=0),1,0)</x:f>
        <x:v>1</x:v>
      </x:c>
      <x:c r="F296" s="21" t="n">
        <x:v>1</x:v>
      </x:c>
      <x:c r="G296" s="23" t="str">
        <x:f>IF(E296=F296,"PASS","FAIL")</x:f>
        <x:v>PASS</x:v>
      </x:c>
    </x:row>
    <x:row r="297">
      <x:c r="B297" s="21" t="str">
        <x:v>C0291</x:v>
      </x:c>
      <x:c r="C297" s="21" t="str">
        <x:v>stage build</x:v>
      </x:c>
      <x:c r="D297" s="21" t="str">
        <x:v>pre-replication identity row 55</x:v>
      </x:c>
      <x:c r="E297" s="21" t="n">
        <x:f>IF(ABS('Stage Build'!I55-SUM('Stage Build'!F55:H55))&lt;0.000001,1,0)</x:f>
        <x:v>1</x:v>
      </x:c>
      <x:c r="F297" s="21" t="n">
        <x:v>1</x:v>
      </x:c>
      <x:c r="G297" s="23" t="str">
        <x:f>IF(E297=F297,"PASS","FAIL")</x:f>
        <x:v>PASS</x:v>
      </x:c>
    </x:row>
    <x:row r="298">
      <x:c r="B298" s="21" t="str">
        <x:v>C0292</x:v>
      </x:c>
      <x:c r="C298" s="21" t="str">
        <x:v>stage build</x:v>
      </x:c>
      <x:c r="D298" s="21" t="str">
        <x:v>replication layer nonnegative row 55</x:v>
      </x:c>
      <x:c r="E298" s="21" t="n">
        <x:f>IF('Stage Build'!J55&gt;=0,1,0)</x:f>
        <x:v>1</x:v>
      </x:c>
      <x:c r="F298" s="21" t="n">
        <x:v>1</x:v>
      </x:c>
      <x:c r="G298" s="23" t="str">
        <x:f>IF(E298=F298,"PASS","FAIL")</x:f>
        <x:v>PASS</x:v>
      </x:c>
    </x:row>
    <x:row r="299">
      <x:c r="B299" s="21" t="str">
        <x:v>C0293</x:v>
      </x:c>
      <x:c r="C299" s="21" t="str">
        <x:v>stage build</x:v>
      </x:c>
      <x:c r="D299" s="21" t="str">
        <x:v>designed ratio identity row 55</x:v>
      </x:c>
      <x:c r="E299" s="21" t="n">
        <x:f>IF(ABS('Stage Build'!K55-'Stage Build'!I55-'Stage Build'!J55)&lt;0.000001,1,0)</x:f>
        <x:v>1</x:v>
      </x:c>
      <x:c r="F299" s="21" t="n">
        <x:v>1</x:v>
      </x:c>
      <x:c r="G299" s="23" t="str">
        <x:f>IF(E299=F299,"PASS","FAIL")</x:f>
        <x:v>PASS</x:v>
      </x:c>
    </x:row>
    <x:row r="300">
      <x:c r="B300" s="21" t="str">
        <x:v>C0294</x:v>
      </x:c>
      <x:c r="C300" s="21" t="str">
        <x:v>stage build</x:v>
      </x:c>
      <x:c r="D300" s="21" t="str">
        <x:v>M05 status identity row 55</x:v>
      </x:c>
      <x:c r="E300" s="21" t="n">
        <x:f>IF('Stage Build'!L55=IF('Stage Build'!K55&gt;=Assumptions!$C$9,"ADEQUATE","GAP"),1,0)</x:f>
        <x:v>1</x:v>
      </x:c>
      <x:c r="F300" s="21" t="n">
        <x:v>1</x:v>
      </x:c>
      <x:c r="G300" s="23" t="str">
        <x:f>IF(E300=F300,"PASS","FAIL")</x:f>
        <x:v>PASS</x:v>
      </x:c>
    </x:row>
    <x:row r="301">
      <x:c r="B301" s="21" t="str">
        <x:v>C0295</x:v>
      </x:c>
      <x:c r="C301" s="21" t="str">
        <x:v>stage build</x:v>
      </x:c>
      <x:c r="D301" s="21" t="str">
        <x:v>baseline nonnegative row 56</x:v>
      </x:c>
      <x:c r="E301" s="21" t="n">
        <x:f>IF('Stage Build'!F56&gt;=0,1,0)</x:f>
        <x:v>1</x:v>
      </x:c>
      <x:c r="F301" s="21" t="n">
        <x:v>1</x:v>
      </x:c>
      <x:c r="G301" s="23" t="str">
        <x:f>IF(E301=F301,"PASS","FAIL")</x:f>
        <x:v>PASS</x:v>
      </x:c>
    </x:row>
    <x:row r="302">
      <x:c r="B302" s="21" t="str">
        <x:v>C0296</x:v>
      </x:c>
      <x:c r="C302" s="21" t="str">
        <x:v>stage build</x:v>
      </x:c>
      <x:c r="D302" s="21" t="str">
        <x:v>targeted additions nonnegative row 56</x:v>
      </x:c>
      <x:c r="E302" s="21" t="n">
        <x:f>IF(AND('Stage Build'!G56&gt;=0,'Stage Build'!H56&gt;=0),1,0)</x:f>
        <x:v>1</x:v>
      </x:c>
      <x:c r="F302" s="21" t="n">
        <x:v>1</x:v>
      </x:c>
      <x:c r="G302" s="23" t="str">
        <x:f>IF(E302=F302,"PASS","FAIL")</x:f>
        <x:v>PASS</x:v>
      </x:c>
    </x:row>
    <x:row r="303">
      <x:c r="B303" s="21" t="str">
        <x:v>C0297</x:v>
      </x:c>
      <x:c r="C303" s="21" t="str">
        <x:v>stage build</x:v>
      </x:c>
      <x:c r="D303" s="21" t="str">
        <x:v>pre-replication identity row 56</x:v>
      </x:c>
      <x:c r="E303" s="21" t="n">
        <x:f>IF(ABS('Stage Build'!I56-SUM('Stage Build'!F56:H56))&lt;0.000001,1,0)</x:f>
        <x:v>1</x:v>
      </x:c>
      <x:c r="F303" s="21" t="n">
        <x:v>1</x:v>
      </x:c>
      <x:c r="G303" s="23" t="str">
        <x:f>IF(E303=F303,"PASS","FAIL")</x:f>
        <x:v>PASS</x:v>
      </x:c>
    </x:row>
    <x:row r="304">
      <x:c r="B304" s="21" t="str">
        <x:v>C0298</x:v>
      </x:c>
      <x:c r="C304" s="21" t="str">
        <x:v>stage build</x:v>
      </x:c>
      <x:c r="D304" s="21" t="str">
        <x:v>replication layer nonnegative row 56</x:v>
      </x:c>
      <x:c r="E304" s="21" t="n">
        <x:f>IF('Stage Build'!J56&gt;=0,1,0)</x:f>
        <x:v>1</x:v>
      </x:c>
      <x:c r="F304" s="21" t="n">
        <x:v>1</x:v>
      </x:c>
      <x:c r="G304" s="23" t="str">
        <x:f>IF(E304=F304,"PASS","FAIL")</x:f>
        <x:v>PASS</x:v>
      </x:c>
    </x:row>
    <x:row r="305">
      <x:c r="B305" s="21" t="str">
        <x:v>C0299</x:v>
      </x:c>
      <x:c r="C305" s="21" t="str">
        <x:v>stage build</x:v>
      </x:c>
      <x:c r="D305" s="21" t="str">
        <x:v>designed ratio identity row 56</x:v>
      </x:c>
      <x:c r="E305" s="21" t="n">
        <x:f>IF(ABS('Stage Build'!K56-'Stage Build'!I56-'Stage Build'!J56)&lt;0.000001,1,0)</x:f>
        <x:v>1</x:v>
      </x:c>
      <x:c r="F305" s="21" t="n">
        <x:v>1</x:v>
      </x:c>
      <x:c r="G305" s="23" t="str">
        <x:f>IF(E305=F305,"PASS","FAIL")</x:f>
        <x:v>PASS</x:v>
      </x:c>
    </x:row>
    <x:row r="306">
      <x:c r="B306" s="21" t="str">
        <x:v>C0300</x:v>
      </x:c>
      <x:c r="C306" s="21" t="str">
        <x:v>stage build</x:v>
      </x:c>
      <x:c r="D306" s="21" t="str">
        <x:v>M05 status identity row 56</x:v>
      </x:c>
      <x:c r="E306" s="21" t="n">
        <x:f>IF('Stage Build'!L56=IF('Stage Build'!K56&gt;=Assumptions!$C$9,"ADEQUATE","GAP"),1,0)</x:f>
        <x:v>1</x:v>
      </x:c>
      <x:c r="F306" s="21" t="n">
        <x:v>1</x:v>
      </x:c>
      <x:c r="G306" s="23" t="str">
        <x:f>IF(E306=F306,"PASS","FAIL")</x:f>
        <x:v>PASS</x:v>
      </x:c>
    </x:row>
    <x:row r="307">
      <x:c r="B307" s="21" t="str">
        <x:v>C0301</x:v>
      </x:c>
      <x:c r="C307" s="21" t="str">
        <x:v>stage build</x:v>
      </x:c>
      <x:c r="D307" s="21" t="str">
        <x:v>baseline nonnegative row 57</x:v>
      </x:c>
      <x:c r="E307" s="21" t="n">
        <x:f>IF('Stage Build'!F57&gt;=0,1,0)</x:f>
        <x:v>1</x:v>
      </x:c>
      <x:c r="F307" s="21" t="n">
        <x:v>1</x:v>
      </x:c>
      <x:c r="G307" s="23" t="str">
        <x:f>IF(E307=F307,"PASS","FAIL")</x:f>
        <x:v>PASS</x:v>
      </x:c>
    </x:row>
    <x:row r="308">
      <x:c r="B308" s="21" t="str">
        <x:v>C0302</x:v>
      </x:c>
      <x:c r="C308" s="21" t="str">
        <x:v>stage build</x:v>
      </x:c>
      <x:c r="D308" s="21" t="str">
        <x:v>targeted additions nonnegative row 57</x:v>
      </x:c>
      <x:c r="E308" s="21" t="n">
        <x:f>IF(AND('Stage Build'!G57&gt;=0,'Stage Build'!H57&gt;=0),1,0)</x:f>
        <x:v>1</x:v>
      </x:c>
      <x:c r="F308" s="21" t="n">
        <x:v>1</x:v>
      </x:c>
      <x:c r="G308" s="23" t="str">
        <x:f>IF(E308=F308,"PASS","FAIL")</x:f>
        <x:v>PASS</x:v>
      </x:c>
    </x:row>
    <x:row r="309">
      <x:c r="B309" s="21" t="str">
        <x:v>C0303</x:v>
      </x:c>
      <x:c r="C309" s="21" t="str">
        <x:v>stage build</x:v>
      </x:c>
      <x:c r="D309" s="21" t="str">
        <x:v>pre-replication identity row 57</x:v>
      </x:c>
      <x:c r="E309" s="21" t="n">
        <x:f>IF(ABS('Stage Build'!I57-SUM('Stage Build'!F57:H57))&lt;0.000001,1,0)</x:f>
        <x:v>1</x:v>
      </x:c>
      <x:c r="F309" s="21" t="n">
        <x:v>1</x:v>
      </x:c>
      <x:c r="G309" s="23" t="str">
        <x:f>IF(E309=F309,"PASS","FAIL")</x:f>
        <x:v>PASS</x:v>
      </x:c>
    </x:row>
    <x:row r="310">
      <x:c r="B310" s="21" t="str">
        <x:v>C0304</x:v>
      </x:c>
      <x:c r="C310" s="21" t="str">
        <x:v>stage build</x:v>
      </x:c>
      <x:c r="D310" s="21" t="str">
        <x:v>replication layer nonnegative row 57</x:v>
      </x:c>
      <x:c r="E310" s="21" t="n">
        <x:f>IF('Stage Build'!J57&gt;=0,1,0)</x:f>
        <x:v>1</x:v>
      </x:c>
      <x:c r="F310" s="21" t="n">
        <x:v>1</x:v>
      </x:c>
      <x:c r="G310" s="23" t="str">
        <x:f>IF(E310=F310,"PASS","FAIL")</x:f>
        <x:v>PASS</x:v>
      </x:c>
    </x:row>
    <x:row r="311">
      <x:c r="B311" s="21" t="str">
        <x:v>C0305</x:v>
      </x:c>
      <x:c r="C311" s="21" t="str">
        <x:v>stage build</x:v>
      </x:c>
      <x:c r="D311" s="21" t="str">
        <x:v>designed ratio identity row 57</x:v>
      </x:c>
      <x:c r="E311" s="21" t="n">
        <x:f>IF(ABS('Stage Build'!K57-'Stage Build'!I57-'Stage Build'!J57)&lt;0.000001,1,0)</x:f>
        <x:v>1</x:v>
      </x:c>
      <x:c r="F311" s="21" t="n">
        <x:v>1</x:v>
      </x:c>
      <x:c r="G311" s="23" t="str">
        <x:f>IF(E311=F311,"PASS","FAIL")</x:f>
        <x:v>PASS</x:v>
      </x:c>
    </x:row>
    <x:row r="312">
      <x:c r="B312" s="21" t="str">
        <x:v>C0306</x:v>
      </x:c>
      <x:c r="C312" s="21" t="str">
        <x:v>stage build</x:v>
      </x:c>
      <x:c r="D312" s="21" t="str">
        <x:v>M05 status identity row 57</x:v>
      </x:c>
      <x:c r="E312" s="21" t="n">
        <x:f>IF('Stage Build'!L57=IF('Stage Build'!K57&gt;=Assumptions!$C$9,"ADEQUATE","GAP"),1,0)</x:f>
        <x:v>1</x:v>
      </x:c>
      <x:c r="F312" s="21" t="n">
        <x:v>1</x:v>
      </x:c>
      <x:c r="G312" s="23" t="str">
        <x:f>IF(E312=F312,"PASS","FAIL")</x:f>
        <x:v>PASS</x:v>
      </x:c>
    </x:row>
    <x:row r="313">
      <x:c r="B313" s="21" t="str">
        <x:v>C0307</x:v>
      </x:c>
      <x:c r="C313" s="21" t="str">
        <x:v>stage build</x:v>
      </x:c>
      <x:c r="D313" s="21" t="str">
        <x:v>baseline nonnegative row 58</x:v>
      </x:c>
      <x:c r="E313" s="21" t="n">
        <x:f>IF('Stage Build'!F58&gt;=0,1,0)</x:f>
        <x:v>1</x:v>
      </x:c>
      <x:c r="F313" s="21" t="n">
        <x:v>1</x:v>
      </x:c>
      <x:c r="G313" s="23" t="str">
        <x:f>IF(E313=F313,"PASS","FAIL")</x:f>
        <x:v>PASS</x:v>
      </x:c>
    </x:row>
    <x:row r="314">
      <x:c r="B314" s="21" t="str">
        <x:v>C0308</x:v>
      </x:c>
      <x:c r="C314" s="21" t="str">
        <x:v>stage build</x:v>
      </x:c>
      <x:c r="D314" s="21" t="str">
        <x:v>targeted additions nonnegative row 58</x:v>
      </x:c>
      <x:c r="E314" s="21" t="n">
        <x:f>IF(AND('Stage Build'!G58&gt;=0,'Stage Build'!H58&gt;=0),1,0)</x:f>
        <x:v>1</x:v>
      </x:c>
      <x:c r="F314" s="21" t="n">
        <x:v>1</x:v>
      </x:c>
      <x:c r="G314" s="23" t="str">
        <x:f>IF(E314=F314,"PASS","FAIL")</x:f>
        <x:v>PASS</x:v>
      </x:c>
    </x:row>
    <x:row r="315">
      <x:c r="B315" s="21" t="str">
        <x:v>C0309</x:v>
      </x:c>
      <x:c r="C315" s="21" t="str">
        <x:v>stage build</x:v>
      </x:c>
      <x:c r="D315" s="21" t="str">
        <x:v>pre-replication identity row 58</x:v>
      </x:c>
      <x:c r="E315" s="21" t="n">
        <x:f>IF(ABS('Stage Build'!I58-SUM('Stage Build'!F58:H58))&lt;0.000001,1,0)</x:f>
        <x:v>1</x:v>
      </x:c>
      <x:c r="F315" s="21" t="n">
        <x:v>1</x:v>
      </x:c>
      <x:c r="G315" s="23" t="str">
        <x:f>IF(E315=F315,"PASS","FAIL")</x:f>
        <x:v>PASS</x:v>
      </x:c>
    </x:row>
    <x:row r="316">
      <x:c r="B316" s="21" t="str">
        <x:v>C0310</x:v>
      </x:c>
      <x:c r="C316" s="21" t="str">
        <x:v>stage build</x:v>
      </x:c>
      <x:c r="D316" s="21" t="str">
        <x:v>replication layer nonnegative row 58</x:v>
      </x:c>
      <x:c r="E316" s="21" t="n">
        <x:f>IF('Stage Build'!J58&gt;=0,1,0)</x:f>
        <x:v>1</x:v>
      </x:c>
      <x:c r="F316" s="21" t="n">
        <x:v>1</x:v>
      </x:c>
      <x:c r="G316" s="23" t="str">
        <x:f>IF(E316=F316,"PASS","FAIL")</x:f>
        <x:v>PASS</x:v>
      </x:c>
    </x:row>
    <x:row r="317">
      <x:c r="B317" s="21" t="str">
        <x:v>C0311</x:v>
      </x:c>
      <x:c r="C317" s="21" t="str">
        <x:v>stage build</x:v>
      </x:c>
      <x:c r="D317" s="21" t="str">
        <x:v>designed ratio identity row 58</x:v>
      </x:c>
      <x:c r="E317" s="21" t="n">
        <x:f>IF(ABS('Stage Build'!K58-'Stage Build'!I58-'Stage Build'!J58)&lt;0.000001,1,0)</x:f>
        <x:v>1</x:v>
      </x:c>
      <x:c r="F317" s="21" t="n">
        <x:v>1</x:v>
      </x:c>
      <x:c r="G317" s="23" t="str">
        <x:f>IF(E317=F317,"PASS","FAIL")</x:f>
        <x:v>PASS</x:v>
      </x:c>
    </x:row>
    <x:row r="318">
      <x:c r="B318" s="21" t="str">
        <x:v>C0312</x:v>
      </x:c>
      <x:c r="C318" s="21" t="str">
        <x:v>stage build</x:v>
      </x:c>
      <x:c r="D318" s="21" t="str">
        <x:v>M05 status identity row 58</x:v>
      </x:c>
      <x:c r="E318" s="21" t="n">
        <x:f>IF('Stage Build'!L58=IF('Stage Build'!K58&gt;=Assumptions!$C$9,"ADEQUATE","GAP"),1,0)</x:f>
        <x:v>1</x:v>
      </x:c>
      <x:c r="F318" s="21" t="n">
        <x:v>1</x:v>
      </x:c>
      <x:c r="G318" s="23" t="str">
        <x:f>IF(E318=F318,"PASS","FAIL")</x:f>
        <x:v>PASS</x:v>
      </x:c>
    </x:row>
    <x:row r="319">
      <x:c r="B319" s="21" t="str">
        <x:v>C0313</x:v>
      </x:c>
      <x:c r="C319" s="21" t="str">
        <x:v>stage build</x:v>
      </x:c>
      <x:c r="D319" s="21" t="str">
        <x:v>baseline nonnegative row 59</x:v>
      </x:c>
      <x:c r="E319" s="21" t="n">
        <x:f>IF('Stage Build'!F59&gt;=0,1,0)</x:f>
        <x:v>1</x:v>
      </x:c>
      <x:c r="F319" s="21" t="n">
        <x:v>1</x:v>
      </x:c>
      <x:c r="G319" s="23" t="str">
        <x:f>IF(E319=F319,"PASS","FAIL")</x:f>
        <x:v>PASS</x:v>
      </x:c>
    </x:row>
    <x:row r="320">
      <x:c r="B320" s="21" t="str">
        <x:v>C0314</x:v>
      </x:c>
      <x:c r="C320" s="21" t="str">
        <x:v>stage build</x:v>
      </x:c>
      <x:c r="D320" s="21" t="str">
        <x:v>targeted additions nonnegative row 59</x:v>
      </x:c>
      <x:c r="E320" s="21" t="n">
        <x:f>IF(AND('Stage Build'!G59&gt;=0,'Stage Build'!H59&gt;=0),1,0)</x:f>
        <x:v>1</x:v>
      </x:c>
      <x:c r="F320" s="21" t="n">
        <x:v>1</x:v>
      </x:c>
      <x:c r="G320" s="23" t="str">
        <x:f>IF(E320=F320,"PASS","FAIL")</x:f>
        <x:v>PASS</x:v>
      </x:c>
    </x:row>
    <x:row r="321">
      <x:c r="B321" s="21" t="str">
        <x:v>C0315</x:v>
      </x:c>
      <x:c r="C321" s="21" t="str">
        <x:v>stage build</x:v>
      </x:c>
      <x:c r="D321" s="21" t="str">
        <x:v>pre-replication identity row 59</x:v>
      </x:c>
      <x:c r="E321" s="21" t="n">
        <x:f>IF(ABS('Stage Build'!I59-SUM('Stage Build'!F59:H59))&lt;0.000001,1,0)</x:f>
        <x:v>1</x:v>
      </x:c>
      <x:c r="F321" s="21" t="n">
        <x:v>1</x:v>
      </x:c>
      <x:c r="G321" s="23" t="str">
        <x:f>IF(E321=F321,"PASS","FAIL")</x:f>
        <x:v>PASS</x:v>
      </x:c>
    </x:row>
    <x:row r="322">
      <x:c r="B322" s="21" t="str">
        <x:v>C0316</x:v>
      </x:c>
      <x:c r="C322" s="21" t="str">
        <x:v>stage build</x:v>
      </x:c>
      <x:c r="D322" s="21" t="str">
        <x:v>replication layer nonnegative row 59</x:v>
      </x:c>
      <x:c r="E322" s="21" t="n">
        <x:f>IF('Stage Build'!J59&gt;=0,1,0)</x:f>
        <x:v>1</x:v>
      </x:c>
      <x:c r="F322" s="21" t="n">
        <x:v>1</x:v>
      </x:c>
      <x:c r="G322" s="23" t="str">
        <x:f>IF(E322=F322,"PASS","FAIL")</x:f>
        <x:v>PASS</x:v>
      </x:c>
    </x:row>
    <x:row r="323">
      <x:c r="B323" s="21" t="str">
        <x:v>C0317</x:v>
      </x:c>
      <x:c r="C323" s="21" t="str">
        <x:v>stage build</x:v>
      </x:c>
      <x:c r="D323" s="21" t="str">
        <x:v>designed ratio identity row 59</x:v>
      </x:c>
      <x:c r="E323" s="21" t="n">
        <x:f>IF(ABS('Stage Build'!K59-'Stage Build'!I59-'Stage Build'!J59)&lt;0.000001,1,0)</x:f>
        <x:v>1</x:v>
      </x:c>
      <x:c r="F323" s="21" t="n">
        <x:v>1</x:v>
      </x:c>
      <x:c r="G323" s="23" t="str">
        <x:f>IF(E323=F323,"PASS","FAIL")</x:f>
        <x:v>PASS</x:v>
      </x:c>
    </x:row>
    <x:row r="324">
      <x:c r="B324" s="21" t="str">
        <x:v>C0318</x:v>
      </x:c>
      <x:c r="C324" s="21" t="str">
        <x:v>stage build</x:v>
      </x:c>
      <x:c r="D324" s="21" t="str">
        <x:v>M05 status identity row 59</x:v>
      </x:c>
      <x:c r="E324" s="21" t="n">
        <x:f>IF('Stage Build'!L59=IF('Stage Build'!K59&gt;=Assumptions!$C$9,"ADEQUATE","GAP"),1,0)</x:f>
        <x:v>1</x:v>
      </x:c>
      <x:c r="F324" s="21" t="n">
        <x:v>1</x:v>
      </x:c>
      <x:c r="G324" s="23" t="str">
        <x:f>IF(E324=F324,"PASS","FAIL")</x:f>
        <x:v>PASS</x:v>
      </x:c>
    </x:row>
    <x:row r="325">
      <x:c r="B325" s="21" t="str">
        <x:v>C0319</x:v>
      </x:c>
      <x:c r="C325" s="21" t="str">
        <x:v>stage build</x:v>
      </x:c>
      <x:c r="D325" s="21" t="str">
        <x:v>baseline nonnegative row 60</x:v>
      </x:c>
      <x:c r="E325" s="21" t="n">
        <x:f>IF('Stage Build'!F60&gt;=0,1,0)</x:f>
        <x:v>1</x:v>
      </x:c>
      <x:c r="F325" s="21" t="n">
        <x:v>1</x:v>
      </x:c>
      <x:c r="G325" s="23" t="str">
        <x:f>IF(E325=F325,"PASS","FAIL")</x:f>
        <x:v>PASS</x:v>
      </x:c>
    </x:row>
    <x:row r="326">
      <x:c r="B326" s="21" t="str">
        <x:v>C0320</x:v>
      </x:c>
      <x:c r="C326" s="21" t="str">
        <x:v>stage build</x:v>
      </x:c>
      <x:c r="D326" s="21" t="str">
        <x:v>targeted additions nonnegative row 60</x:v>
      </x:c>
      <x:c r="E326" s="21" t="n">
        <x:f>IF(AND('Stage Build'!G60&gt;=0,'Stage Build'!H60&gt;=0),1,0)</x:f>
        <x:v>1</x:v>
      </x:c>
      <x:c r="F326" s="21" t="n">
        <x:v>1</x:v>
      </x:c>
      <x:c r="G326" s="23" t="str">
        <x:f>IF(E326=F326,"PASS","FAIL")</x:f>
        <x:v>PASS</x:v>
      </x:c>
    </x:row>
    <x:row r="327">
      <x:c r="B327" s="21" t="str">
        <x:v>C0321</x:v>
      </x:c>
      <x:c r="C327" s="21" t="str">
        <x:v>stage build</x:v>
      </x:c>
      <x:c r="D327" s="21" t="str">
        <x:v>pre-replication identity row 60</x:v>
      </x:c>
      <x:c r="E327" s="21" t="n">
        <x:f>IF(ABS('Stage Build'!I60-SUM('Stage Build'!F60:H60))&lt;0.000001,1,0)</x:f>
        <x:v>1</x:v>
      </x:c>
      <x:c r="F327" s="21" t="n">
        <x:v>1</x:v>
      </x:c>
      <x:c r="G327" s="23" t="str">
        <x:f>IF(E327=F327,"PASS","FAIL")</x:f>
        <x:v>PASS</x:v>
      </x:c>
    </x:row>
    <x:row r="328">
      <x:c r="B328" s="21" t="str">
        <x:v>C0322</x:v>
      </x:c>
      <x:c r="C328" s="21" t="str">
        <x:v>stage build</x:v>
      </x:c>
      <x:c r="D328" s="21" t="str">
        <x:v>replication layer nonnegative row 60</x:v>
      </x:c>
      <x:c r="E328" s="21" t="n">
        <x:f>IF('Stage Build'!J60&gt;=0,1,0)</x:f>
        <x:v>1</x:v>
      </x:c>
      <x:c r="F328" s="21" t="n">
        <x:v>1</x:v>
      </x:c>
      <x:c r="G328" s="23" t="str">
        <x:f>IF(E328=F328,"PASS","FAIL")</x:f>
        <x:v>PASS</x:v>
      </x:c>
    </x:row>
    <x:row r="329">
      <x:c r="B329" s="21" t="str">
        <x:v>C0323</x:v>
      </x:c>
      <x:c r="C329" s="21" t="str">
        <x:v>stage build</x:v>
      </x:c>
      <x:c r="D329" s="21" t="str">
        <x:v>designed ratio identity row 60</x:v>
      </x:c>
      <x:c r="E329" s="21" t="n">
        <x:f>IF(ABS('Stage Build'!K60-'Stage Build'!I60-'Stage Build'!J60)&lt;0.000001,1,0)</x:f>
        <x:v>1</x:v>
      </x:c>
      <x:c r="F329" s="21" t="n">
        <x:v>1</x:v>
      </x:c>
      <x:c r="G329" s="23" t="str">
        <x:f>IF(E329=F329,"PASS","FAIL")</x:f>
        <x:v>PASS</x:v>
      </x:c>
    </x:row>
    <x:row r="330">
      <x:c r="B330" s="21" t="str">
        <x:v>C0324</x:v>
      </x:c>
      <x:c r="C330" s="21" t="str">
        <x:v>stage build</x:v>
      </x:c>
      <x:c r="D330" s="21" t="str">
        <x:v>M05 status identity row 60</x:v>
      </x:c>
      <x:c r="E330" s="21" t="n">
        <x:f>IF('Stage Build'!L60=IF('Stage Build'!K60&gt;=Assumptions!$C$9,"ADEQUATE","GAP"),1,0)</x:f>
        <x:v>1</x:v>
      </x:c>
      <x:c r="F330" s="21" t="n">
        <x:v>1</x:v>
      </x:c>
      <x:c r="G330" s="23" t="str">
        <x:f>IF(E330=F330,"PASS","FAIL")</x:f>
        <x:v>PASS</x:v>
      </x:c>
    </x:row>
    <x:row r="331">
      <x:c r="B331" s="21" t="str">
        <x:v>C0325</x:v>
      </x:c>
      <x:c r="C331" s="21" t="str">
        <x:v>stage build</x:v>
      </x:c>
      <x:c r="D331" s="21" t="str">
        <x:v>baseline nonnegative row 61</x:v>
      </x:c>
      <x:c r="E331" s="21" t="n">
        <x:f>IF('Stage Build'!F61&gt;=0,1,0)</x:f>
        <x:v>1</x:v>
      </x:c>
      <x:c r="F331" s="21" t="n">
        <x:v>1</x:v>
      </x:c>
      <x:c r="G331" s="23" t="str">
        <x:f>IF(E331=F331,"PASS","FAIL")</x:f>
        <x:v>PASS</x:v>
      </x:c>
    </x:row>
    <x:row r="332">
      <x:c r="B332" s="21" t="str">
        <x:v>C0326</x:v>
      </x:c>
      <x:c r="C332" s="21" t="str">
        <x:v>stage build</x:v>
      </x:c>
      <x:c r="D332" s="21" t="str">
        <x:v>targeted additions nonnegative row 61</x:v>
      </x:c>
      <x:c r="E332" s="21" t="n">
        <x:f>IF(AND('Stage Build'!G61&gt;=0,'Stage Build'!H61&gt;=0),1,0)</x:f>
        <x:v>1</x:v>
      </x:c>
      <x:c r="F332" s="21" t="n">
        <x:v>1</x:v>
      </x:c>
      <x:c r="G332" s="23" t="str">
        <x:f>IF(E332=F332,"PASS","FAIL")</x:f>
        <x:v>PASS</x:v>
      </x:c>
    </x:row>
    <x:row r="333">
      <x:c r="B333" s="21" t="str">
        <x:v>C0327</x:v>
      </x:c>
      <x:c r="C333" s="21" t="str">
        <x:v>stage build</x:v>
      </x:c>
      <x:c r="D333" s="21" t="str">
        <x:v>pre-replication identity row 61</x:v>
      </x:c>
      <x:c r="E333" s="21" t="n">
        <x:f>IF(ABS('Stage Build'!I61-SUM('Stage Build'!F61:H61))&lt;0.000001,1,0)</x:f>
        <x:v>1</x:v>
      </x:c>
      <x:c r="F333" s="21" t="n">
        <x:v>1</x:v>
      </x:c>
      <x:c r="G333" s="23" t="str">
        <x:f>IF(E333=F333,"PASS","FAIL")</x:f>
        <x:v>PASS</x:v>
      </x:c>
    </x:row>
    <x:row r="334">
      <x:c r="B334" s="21" t="str">
        <x:v>C0328</x:v>
      </x:c>
      <x:c r="C334" s="21" t="str">
        <x:v>stage build</x:v>
      </x:c>
      <x:c r="D334" s="21" t="str">
        <x:v>replication layer nonnegative row 61</x:v>
      </x:c>
      <x:c r="E334" s="21" t="n">
        <x:f>IF('Stage Build'!J61&gt;=0,1,0)</x:f>
        <x:v>1</x:v>
      </x:c>
      <x:c r="F334" s="21" t="n">
        <x:v>1</x:v>
      </x:c>
      <x:c r="G334" s="23" t="str">
        <x:f>IF(E334=F334,"PASS","FAIL")</x:f>
        <x:v>PASS</x:v>
      </x:c>
    </x:row>
    <x:row r="335">
      <x:c r="B335" s="21" t="str">
        <x:v>C0329</x:v>
      </x:c>
      <x:c r="C335" s="21" t="str">
        <x:v>stage build</x:v>
      </x:c>
      <x:c r="D335" s="21" t="str">
        <x:v>designed ratio identity row 61</x:v>
      </x:c>
      <x:c r="E335" s="21" t="n">
        <x:f>IF(ABS('Stage Build'!K61-'Stage Build'!I61-'Stage Build'!J61)&lt;0.000001,1,0)</x:f>
        <x:v>1</x:v>
      </x:c>
      <x:c r="F335" s="21" t="n">
        <x:v>1</x:v>
      </x:c>
      <x:c r="G335" s="23" t="str">
        <x:f>IF(E335=F335,"PASS","FAIL")</x:f>
        <x:v>PASS</x:v>
      </x:c>
    </x:row>
    <x:row r="336">
      <x:c r="B336" s="21" t="str">
        <x:v>C0330</x:v>
      </x:c>
      <x:c r="C336" s="21" t="str">
        <x:v>stage build</x:v>
      </x:c>
      <x:c r="D336" s="21" t="str">
        <x:v>M05 status identity row 61</x:v>
      </x:c>
      <x:c r="E336" s="21" t="n">
        <x:f>IF('Stage Build'!L61=IF('Stage Build'!K61&gt;=Assumptions!$C$9,"ADEQUATE","GAP"),1,0)</x:f>
        <x:v>1</x:v>
      </x:c>
      <x:c r="F336" s="21" t="n">
        <x:v>1</x:v>
      </x:c>
      <x:c r="G336" s="23" t="str">
        <x:f>IF(E336=F336,"PASS","FAIL")</x:f>
        <x:v>PASS</x:v>
      </x:c>
    </x:row>
    <x:row r="337">
      <x:c r="B337" s="21" t="str">
        <x:v>C0331</x:v>
      </x:c>
      <x:c r="C337" s="21" t="str">
        <x:v>stage build</x:v>
      </x:c>
      <x:c r="D337" s="21" t="str">
        <x:v>baseline nonnegative row 62</x:v>
      </x:c>
      <x:c r="E337" s="21" t="n">
        <x:f>IF('Stage Build'!F62&gt;=0,1,0)</x:f>
        <x:v>1</x:v>
      </x:c>
      <x:c r="F337" s="21" t="n">
        <x:v>1</x:v>
      </x:c>
      <x:c r="G337" s="23" t="str">
        <x:f>IF(E337=F337,"PASS","FAIL")</x:f>
        <x:v>PASS</x:v>
      </x:c>
    </x:row>
    <x:row r="338">
      <x:c r="B338" s="21" t="str">
        <x:v>C0332</x:v>
      </x:c>
      <x:c r="C338" s="21" t="str">
        <x:v>stage build</x:v>
      </x:c>
      <x:c r="D338" s="21" t="str">
        <x:v>targeted additions nonnegative row 62</x:v>
      </x:c>
      <x:c r="E338" s="21" t="n">
        <x:f>IF(AND('Stage Build'!G62&gt;=0,'Stage Build'!H62&gt;=0),1,0)</x:f>
        <x:v>1</x:v>
      </x:c>
      <x:c r="F338" s="21" t="n">
        <x:v>1</x:v>
      </x:c>
      <x:c r="G338" s="23" t="str">
        <x:f>IF(E338=F338,"PASS","FAIL")</x:f>
        <x:v>PASS</x:v>
      </x:c>
    </x:row>
    <x:row r="339">
      <x:c r="B339" s="21" t="str">
        <x:v>C0333</x:v>
      </x:c>
      <x:c r="C339" s="21" t="str">
        <x:v>stage build</x:v>
      </x:c>
      <x:c r="D339" s="21" t="str">
        <x:v>pre-replication identity row 62</x:v>
      </x:c>
      <x:c r="E339" s="21" t="n">
        <x:f>IF(ABS('Stage Build'!I62-SUM('Stage Build'!F62:H62))&lt;0.000001,1,0)</x:f>
        <x:v>1</x:v>
      </x:c>
      <x:c r="F339" s="21" t="n">
        <x:v>1</x:v>
      </x:c>
      <x:c r="G339" s="23" t="str">
        <x:f>IF(E339=F339,"PASS","FAIL")</x:f>
        <x:v>PASS</x:v>
      </x:c>
    </x:row>
    <x:row r="340">
      <x:c r="B340" s="21" t="str">
        <x:v>C0334</x:v>
      </x:c>
      <x:c r="C340" s="21" t="str">
        <x:v>stage build</x:v>
      </x:c>
      <x:c r="D340" s="21" t="str">
        <x:v>replication layer nonnegative row 62</x:v>
      </x:c>
      <x:c r="E340" s="21" t="n">
        <x:f>IF('Stage Build'!J62&gt;=0,1,0)</x:f>
        <x:v>1</x:v>
      </x:c>
      <x:c r="F340" s="21" t="n">
        <x:v>1</x:v>
      </x:c>
      <x:c r="G340" s="23" t="str">
        <x:f>IF(E340=F340,"PASS","FAIL")</x:f>
        <x:v>PASS</x:v>
      </x:c>
    </x:row>
    <x:row r="341">
      <x:c r="B341" s="21" t="str">
        <x:v>C0335</x:v>
      </x:c>
      <x:c r="C341" s="21" t="str">
        <x:v>stage build</x:v>
      </x:c>
      <x:c r="D341" s="21" t="str">
        <x:v>designed ratio identity row 62</x:v>
      </x:c>
      <x:c r="E341" s="21" t="n">
        <x:f>IF(ABS('Stage Build'!K62-'Stage Build'!I62-'Stage Build'!J62)&lt;0.000001,1,0)</x:f>
        <x:v>1</x:v>
      </x:c>
      <x:c r="F341" s="21" t="n">
        <x:v>1</x:v>
      </x:c>
      <x:c r="G341" s="23" t="str">
        <x:f>IF(E341=F341,"PASS","FAIL")</x:f>
        <x:v>PASS</x:v>
      </x:c>
    </x:row>
    <x:row r="342">
      <x:c r="B342" s="21" t="str">
        <x:v>C0336</x:v>
      </x:c>
      <x:c r="C342" s="21" t="str">
        <x:v>stage build</x:v>
      </x:c>
      <x:c r="D342" s="21" t="str">
        <x:v>M05 status identity row 62</x:v>
      </x:c>
      <x:c r="E342" s="21" t="n">
        <x:f>IF('Stage Build'!L62=IF('Stage Build'!K62&gt;=Assumptions!$C$9,"ADEQUATE","GAP"),1,0)</x:f>
        <x:v>1</x:v>
      </x:c>
      <x:c r="F342" s="21" t="n">
        <x:v>1</x:v>
      </x:c>
      <x:c r="G342" s="23" t="str">
        <x:f>IF(E342=F342,"PASS","FAIL")</x:f>
        <x:v>PASS</x:v>
      </x:c>
    </x:row>
    <x:row r="343">
      <x:c r="B343" s="21" t="str">
        <x:v>C0337</x:v>
      </x:c>
      <x:c r="C343" s="21" t="str">
        <x:v>stage build</x:v>
      </x:c>
      <x:c r="D343" s="21" t="str">
        <x:v>baseline nonnegative row 63</x:v>
      </x:c>
      <x:c r="E343" s="21" t="n">
        <x:f>IF('Stage Build'!F63&gt;=0,1,0)</x:f>
        <x:v>1</x:v>
      </x:c>
      <x:c r="F343" s="21" t="n">
        <x:v>1</x:v>
      </x:c>
      <x:c r="G343" s="23" t="str">
        <x:f>IF(E343=F343,"PASS","FAIL")</x:f>
        <x:v>PASS</x:v>
      </x:c>
    </x:row>
    <x:row r="344">
      <x:c r="B344" s="21" t="str">
        <x:v>C0338</x:v>
      </x:c>
      <x:c r="C344" s="21" t="str">
        <x:v>stage build</x:v>
      </x:c>
      <x:c r="D344" s="21" t="str">
        <x:v>targeted additions nonnegative row 63</x:v>
      </x:c>
      <x:c r="E344" s="21" t="n">
        <x:f>IF(AND('Stage Build'!G63&gt;=0,'Stage Build'!H63&gt;=0),1,0)</x:f>
        <x:v>1</x:v>
      </x:c>
      <x:c r="F344" s="21" t="n">
        <x:v>1</x:v>
      </x:c>
      <x:c r="G344" s="23" t="str">
        <x:f>IF(E344=F344,"PASS","FAIL")</x:f>
        <x:v>PASS</x:v>
      </x:c>
    </x:row>
    <x:row r="345">
      <x:c r="B345" s="21" t="str">
        <x:v>C0339</x:v>
      </x:c>
      <x:c r="C345" s="21" t="str">
        <x:v>stage build</x:v>
      </x:c>
      <x:c r="D345" s="21" t="str">
        <x:v>pre-replication identity row 63</x:v>
      </x:c>
      <x:c r="E345" s="21" t="n">
        <x:f>IF(ABS('Stage Build'!I63-SUM('Stage Build'!F63:H63))&lt;0.000001,1,0)</x:f>
        <x:v>1</x:v>
      </x:c>
      <x:c r="F345" s="21" t="n">
        <x:v>1</x:v>
      </x:c>
      <x:c r="G345" s="23" t="str">
        <x:f>IF(E345=F345,"PASS","FAIL")</x:f>
        <x:v>PASS</x:v>
      </x:c>
    </x:row>
    <x:row r="346">
      <x:c r="B346" s="21" t="str">
        <x:v>C0340</x:v>
      </x:c>
      <x:c r="C346" s="21" t="str">
        <x:v>stage build</x:v>
      </x:c>
      <x:c r="D346" s="21" t="str">
        <x:v>replication layer nonnegative row 63</x:v>
      </x:c>
      <x:c r="E346" s="21" t="n">
        <x:f>IF('Stage Build'!J63&gt;=0,1,0)</x:f>
        <x:v>1</x:v>
      </x:c>
      <x:c r="F346" s="21" t="n">
        <x:v>1</x:v>
      </x:c>
      <x:c r="G346" s="23" t="str">
        <x:f>IF(E346=F346,"PASS","FAIL")</x:f>
        <x:v>PASS</x:v>
      </x:c>
    </x:row>
    <x:row r="347">
      <x:c r="B347" s="21" t="str">
        <x:v>C0341</x:v>
      </x:c>
      <x:c r="C347" s="21" t="str">
        <x:v>stage build</x:v>
      </x:c>
      <x:c r="D347" s="21" t="str">
        <x:v>designed ratio identity row 63</x:v>
      </x:c>
      <x:c r="E347" s="21" t="n">
        <x:f>IF(ABS('Stage Build'!K63-'Stage Build'!I63-'Stage Build'!J63)&lt;0.000001,1,0)</x:f>
        <x:v>1</x:v>
      </x:c>
      <x:c r="F347" s="21" t="n">
        <x:v>1</x:v>
      </x:c>
      <x:c r="G347" s="23" t="str">
        <x:f>IF(E347=F347,"PASS","FAIL")</x:f>
        <x:v>PASS</x:v>
      </x:c>
    </x:row>
    <x:row r="348">
      <x:c r="B348" s="21" t="str">
        <x:v>C0342</x:v>
      </x:c>
      <x:c r="C348" s="21" t="str">
        <x:v>stage build</x:v>
      </x:c>
      <x:c r="D348" s="21" t="str">
        <x:v>M05 status identity row 63</x:v>
      </x:c>
      <x:c r="E348" s="21" t="n">
        <x:f>IF('Stage Build'!L63=IF('Stage Build'!K63&gt;=Assumptions!$C$9,"ADEQUATE","GAP"),1,0)</x:f>
        <x:v>1</x:v>
      </x:c>
      <x:c r="F348" s="21" t="n">
        <x:v>1</x:v>
      </x:c>
      <x:c r="G348" s="23" t="str">
        <x:f>IF(E348=F348,"PASS","FAIL")</x:f>
        <x:v>PASS</x:v>
      </x:c>
    </x:row>
    <x:row r="349">
      <x:c r="B349" s="21" t="str">
        <x:v>C0343</x:v>
      </x:c>
      <x:c r="C349" s="21" t="str">
        <x:v>stage build</x:v>
      </x:c>
      <x:c r="D349" s="21" t="str">
        <x:v>baseline nonnegative row 64</x:v>
      </x:c>
      <x:c r="E349" s="21" t="n">
        <x:f>IF('Stage Build'!F64&gt;=0,1,0)</x:f>
        <x:v>1</x:v>
      </x:c>
      <x:c r="F349" s="21" t="n">
        <x:v>1</x:v>
      </x:c>
      <x:c r="G349" s="23" t="str">
        <x:f>IF(E349=F349,"PASS","FAIL")</x:f>
        <x:v>PASS</x:v>
      </x:c>
    </x:row>
    <x:row r="350">
      <x:c r="B350" s="21" t="str">
        <x:v>C0344</x:v>
      </x:c>
      <x:c r="C350" s="21" t="str">
        <x:v>stage build</x:v>
      </x:c>
      <x:c r="D350" s="21" t="str">
        <x:v>targeted additions nonnegative row 64</x:v>
      </x:c>
      <x:c r="E350" s="21" t="n">
        <x:f>IF(AND('Stage Build'!G64&gt;=0,'Stage Build'!H64&gt;=0),1,0)</x:f>
        <x:v>1</x:v>
      </x:c>
      <x:c r="F350" s="21" t="n">
        <x:v>1</x:v>
      </x:c>
      <x:c r="G350" s="23" t="str">
        <x:f>IF(E350=F350,"PASS","FAIL")</x:f>
        <x:v>PASS</x:v>
      </x:c>
    </x:row>
    <x:row r="351">
      <x:c r="B351" s="21" t="str">
        <x:v>C0345</x:v>
      </x:c>
      <x:c r="C351" s="21" t="str">
        <x:v>stage build</x:v>
      </x:c>
      <x:c r="D351" s="21" t="str">
        <x:v>pre-replication identity row 64</x:v>
      </x:c>
      <x:c r="E351" s="21" t="n">
        <x:f>IF(ABS('Stage Build'!I64-SUM('Stage Build'!F64:H64))&lt;0.000001,1,0)</x:f>
        <x:v>1</x:v>
      </x:c>
      <x:c r="F351" s="21" t="n">
        <x:v>1</x:v>
      </x:c>
      <x:c r="G351" s="23" t="str">
        <x:f>IF(E351=F351,"PASS","FAIL")</x:f>
        <x:v>PASS</x:v>
      </x:c>
    </x:row>
    <x:row r="352">
      <x:c r="B352" s="21" t="str">
        <x:v>C0346</x:v>
      </x:c>
      <x:c r="C352" s="21" t="str">
        <x:v>stage build</x:v>
      </x:c>
      <x:c r="D352" s="21" t="str">
        <x:v>replication layer nonnegative row 64</x:v>
      </x:c>
      <x:c r="E352" s="21" t="n">
        <x:f>IF('Stage Build'!J64&gt;=0,1,0)</x:f>
        <x:v>1</x:v>
      </x:c>
      <x:c r="F352" s="21" t="n">
        <x:v>1</x:v>
      </x:c>
      <x:c r="G352" s="23" t="str">
        <x:f>IF(E352=F352,"PASS","FAIL")</x:f>
        <x:v>PASS</x:v>
      </x:c>
    </x:row>
    <x:row r="353">
      <x:c r="B353" s="21" t="str">
        <x:v>C0347</x:v>
      </x:c>
      <x:c r="C353" s="21" t="str">
        <x:v>stage build</x:v>
      </x:c>
      <x:c r="D353" s="21" t="str">
        <x:v>designed ratio identity row 64</x:v>
      </x:c>
      <x:c r="E353" s="21" t="n">
        <x:f>IF(ABS('Stage Build'!K64-'Stage Build'!I64-'Stage Build'!J64)&lt;0.000001,1,0)</x:f>
        <x:v>1</x:v>
      </x:c>
      <x:c r="F353" s="21" t="n">
        <x:v>1</x:v>
      </x:c>
      <x:c r="G353" s="23" t="str">
        <x:f>IF(E353=F353,"PASS","FAIL")</x:f>
        <x:v>PASS</x:v>
      </x:c>
    </x:row>
    <x:row r="354">
      <x:c r="B354" s="21" t="str">
        <x:v>C0348</x:v>
      </x:c>
      <x:c r="C354" s="21" t="str">
        <x:v>stage build</x:v>
      </x:c>
      <x:c r="D354" s="21" t="str">
        <x:v>M05 status identity row 64</x:v>
      </x:c>
      <x:c r="E354" s="21" t="n">
        <x:f>IF('Stage Build'!L64=IF('Stage Build'!K64&gt;=Assumptions!$C$9,"ADEQUATE","GAP"),1,0)</x:f>
        <x:v>1</x:v>
      </x:c>
      <x:c r="F354" s="21" t="n">
        <x:v>1</x:v>
      </x:c>
      <x:c r="G354" s="23" t="str">
        <x:f>IF(E354=F354,"PASS","FAIL")</x:f>
        <x:v>PASS</x:v>
      </x:c>
    </x:row>
    <x:row r="355">
      <x:c r="B355" s="21" t="str">
        <x:v>C0349</x:v>
      </x:c>
      <x:c r="C355" s="21" t="str">
        <x:v>stage build</x:v>
      </x:c>
      <x:c r="D355" s="21" t="str">
        <x:v>baseline nonnegative row 65</x:v>
      </x:c>
      <x:c r="E355" s="21" t="n">
        <x:f>IF('Stage Build'!F65&gt;=0,1,0)</x:f>
        <x:v>1</x:v>
      </x:c>
      <x:c r="F355" s="21" t="n">
        <x:v>1</x:v>
      </x:c>
      <x:c r="G355" s="23" t="str">
        <x:f>IF(E355=F355,"PASS","FAIL")</x:f>
        <x:v>PASS</x:v>
      </x:c>
    </x:row>
    <x:row r="356">
      <x:c r="B356" s="21" t="str">
        <x:v>C0350</x:v>
      </x:c>
      <x:c r="C356" s="21" t="str">
        <x:v>stage build</x:v>
      </x:c>
      <x:c r="D356" s="21" t="str">
        <x:v>targeted additions nonnegative row 65</x:v>
      </x:c>
      <x:c r="E356" s="21" t="n">
        <x:f>IF(AND('Stage Build'!G65&gt;=0,'Stage Build'!H65&gt;=0),1,0)</x:f>
        <x:v>1</x:v>
      </x:c>
      <x:c r="F356" s="21" t="n">
        <x:v>1</x:v>
      </x:c>
      <x:c r="G356" s="23" t="str">
        <x:f>IF(E356=F356,"PASS","FAIL")</x:f>
        <x:v>PASS</x:v>
      </x:c>
    </x:row>
    <x:row r="357">
      <x:c r="B357" s="21" t="str">
        <x:v>C0351</x:v>
      </x:c>
      <x:c r="C357" s="21" t="str">
        <x:v>stage build</x:v>
      </x:c>
      <x:c r="D357" s="21" t="str">
        <x:v>pre-replication identity row 65</x:v>
      </x:c>
      <x:c r="E357" s="21" t="n">
        <x:f>IF(ABS('Stage Build'!I65-SUM('Stage Build'!F65:H65))&lt;0.000001,1,0)</x:f>
        <x:v>1</x:v>
      </x:c>
      <x:c r="F357" s="21" t="n">
        <x:v>1</x:v>
      </x:c>
      <x:c r="G357" s="23" t="str">
        <x:f>IF(E357=F357,"PASS","FAIL")</x:f>
        <x:v>PASS</x:v>
      </x:c>
    </x:row>
    <x:row r="358">
      <x:c r="B358" s="21" t="str">
        <x:v>C0352</x:v>
      </x:c>
      <x:c r="C358" s="21" t="str">
        <x:v>stage build</x:v>
      </x:c>
      <x:c r="D358" s="21" t="str">
        <x:v>replication layer nonnegative row 65</x:v>
      </x:c>
      <x:c r="E358" s="21" t="n">
        <x:f>IF('Stage Build'!J65&gt;=0,1,0)</x:f>
        <x:v>1</x:v>
      </x:c>
      <x:c r="F358" s="21" t="n">
        <x:v>1</x:v>
      </x:c>
      <x:c r="G358" s="23" t="str">
        <x:f>IF(E358=F358,"PASS","FAIL")</x:f>
        <x:v>PASS</x:v>
      </x:c>
    </x:row>
    <x:row r="359">
      <x:c r="B359" s="21" t="str">
        <x:v>C0353</x:v>
      </x:c>
      <x:c r="C359" s="21" t="str">
        <x:v>stage build</x:v>
      </x:c>
      <x:c r="D359" s="21" t="str">
        <x:v>designed ratio identity row 65</x:v>
      </x:c>
      <x:c r="E359" s="21" t="n">
        <x:f>IF(ABS('Stage Build'!K65-'Stage Build'!I65-'Stage Build'!J65)&lt;0.000001,1,0)</x:f>
        <x:v>1</x:v>
      </x:c>
      <x:c r="F359" s="21" t="n">
        <x:v>1</x:v>
      </x:c>
      <x:c r="G359" s="23" t="str">
        <x:f>IF(E359=F359,"PASS","FAIL")</x:f>
        <x:v>PASS</x:v>
      </x:c>
    </x:row>
    <x:row r="360">
      <x:c r="B360" s="21" t="str">
        <x:v>C0354</x:v>
      </x:c>
      <x:c r="C360" s="21" t="str">
        <x:v>stage build</x:v>
      </x:c>
      <x:c r="D360" s="21" t="str">
        <x:v>M05 status identity row 65</x:v>
      </x:c>
      <x:c r="E360" s="21" t="n">
        <x:f>IF('Stage Build'!L65=IF('Stage Build'!K65&gt;=Assumptions!$C$9,"ADEQUATE","GAP"),1,0)</x:f>
        <x:v>1</x:v>
      </x:c>
      <x:c r="F360" s="21" t="n">
        <x:v>1</x:v>
      </x:c>
      <x:c r="G360" s="23" t="str">
        <x:f>IF(E360=F360,"PASS","FAIL")</x:f>
        <x:v>PASS</x:v>
      </x:c>
    </x:row>
    <x:row r="361">
      <x:c r="B361" s="21" t="str">
        <x:v>C0355</x:v>
      </x:c>
      <x:c r="C361" s="21" t="str">
        <x:v>stage build</x:v>
      </x:c>
      <x:c r="D361" s="21" t="str">
        <x:v>baseline nonnegative row 66</x:v>
      </x:c>
      <x:c r="E361" s="21" t="n">
        <x:f>IF('Stage Build'!F66&gt;=0,1,0)</x:f>
        <x:v>1</x:v>
      </x:c>
      <x:c r="F361" s="21" t="n">
        <x:v>1</x:v>
      </x:c>
      <x:c r="G361" s="23" t="str">
        <x:f>IF(E361=F361,"PASS","FAIL")</x:f>
        <x:v>PASS</x:v>
      </x:c>
    </x:row>
    <x:row r="362">
      <x:c r="B362" s="21" t="str">
        <x:v>C0356</x:v>
      </x:c>
      <x:c r="C362" s="21" t="str">
        <x:v>stage build</x:v>
      </x:c>
      <x:c r="D362" s="21" t="str">
        <x:v>targeted additions nonnegative row 66</x:v>
      </x:c>
      <x:c r="E362" s="21" t="n">
        <x:f>IF(AND('Stage Build'!G66&gt;=0,'Stage Build'!H66&gt;=0),1,0)</x:f>
        <x:v>1</x:v>
      </x:c>
      <x:c r="F362" s="21" t="n">
        <x:v>1</x:v>
      </x:c>
      <x:c r="G362" s="23" t="str">
        <x:f>IF(E362=F362,"PASS","FAIL")</x:f>
        <x:v>PASS</x:v>
      </x:c>
    </x:row>
    <x:row r="363">
      <x:c r="B363" s="21" t="str">
        <x:v>C0357</x:v>
      </x:c>
      <x:c r="C363" s="21" t="str">
        <x:v>stage build</x:v>
      </x:c>
      <x:c r="D363" s="21" t="str">
        <x:v>pre-replication identity row 66</x:v>
      </x:c>
      <x:c r="E363" s="21" t="n">
        <x:f>IF(ABS('Stage Build'!I66-SUM('Stage Build'!F66:H66))&lt;0.000001,1,0)</x:f>
        <x:v>1</x:v>
      </x:c>
      <x:c r="F363" s="21" t="n">
        <x:v>1</x:v>
      </x:c>
      <x:c r="G363" s="23" t="str">
        <x:f>IF(E363=F363,"PASS","FAIL")</x:f>
        <x:v>PASS</x:v>
      </x:c>
    </x:row>
    <x:row r="364">
      <x:c r="B364" s="21" t="str">
        <x:v>C0358</x:v>
      </x:c>
      <x:c r="C364" s="21" t="str">
        <x:v>stage build</x:v>
      </x:c>
      <x:c r="D364" s="21" t="str">
        <x:v>replication layer nonnegative row 66</x:v>
      </x:c>
      <x:c r="E364" s="21" t="n">
        <x:f>IF('Stage Build'!J66&gt;=0,1,0)</x:f>
        <x:v>1</x:v>
      </x:c>
      <x:c r="F364" s="21" t="n">
        <x:v>1</x:v>
      </x:c>
      <x:c r="G364" s="23" t="str">
        <x:f>IF(E364=F364,"PASS","FAIL")</x:f>
        <x:v>PASS</x:v>
      </x:c>
    </x:row>
    <x:row r="365">
      <x:c r="B365" s="21" t="str">
        <x:v>C0359</x:v>
      </x:c>
      <x:c r="C365" s="21" t="str">
        <x:v>stage build</x:v>
      </x:c>
      <x:c r="D365" s="21" t="str">
        <x:v>designed ratio identity row 66</x:v>
      </x:c>
      <x:c r="E365" s="21" t="n">
        <x:f>IF(ABS('Stage Build'!K66-'Stage Build'!I66-'Stage Build'!J66)&lt;0.000001,1,0)</x:f>
        <x:v>1</x:v>
      </x:c>
      <x:c r="F365" s="21" t="n">
        <x:v>1</x:v>
      </x:c>
      <x:c r="G365" s="23" t="str">
        <x:f>IF(E365=F365,"PASS","FAIL")</x:f>
        <x:v>PASS</x:v>
      </x:c>
    </x:row>
    <x:row r="366">
      <x:c r="B366" s="21" t="str">
        <x:v>C0360</x:v>
      </x:c>
      <x:c r="C366" s="21" t="str">
        <x:v>stage build</x:v>
      </x:c>
      <x:c r="D366" s="21" t="str">
        <x:v>M05 status identity row 66</x:v>
      </x:c>
      <x:c r="E366" s="21" t="n">
        <x:f>IF('Stage Build'!L66=IF('Stage Build'!K66&gt;=Assumptions!$C$9,"ADEQUATE","GAP"),1,0)</x:f>
        <x:v>1</x:v>
      </x:c>
      <x:c r="F366" s="21" t="n">
        <x:v>1</x:v>
      </x:c>
      <x:c r="G366" s="23" t="str">
        <x:f>IF(E366=F366,"PASS","FAIL")</x:f>
        <x:v>PASS</x:v>
      </x:c>
    </x:row>
    <x:row r="367">
      <x:c r="B367" s="21" t="str">
        <x:v>C0361</x:v>
      </x:c>
      <x:c r="C367" s="21" t="str">
        <x:v>stage build</x:v>
      </x:c>
      <x:c r="D367" s="21" t="str">
        <x:v>baseline nonnegative row 67</x:v>
      </x:c>
      <x:c r="E367" s="21" t="n">
        <x:f>IF('Stage Build'!F67&gt;=0,1,0)</x:f>
        <x:v>1</x:v>
      </x:c>
      <x:c r="F367" s="21" t="n">
        <x:v>1</x:v>
      </x:c>
      <x:c r="G367" s="23" t="str">
        <x:f>IF(E367=F367,"PASS","FAIL")</x:f>
        <x:v>PASS</x:v>
      </x:c>
    </x:row>
    <x:row r="368">
      <x:c r="B368" s="21" t="str">
        <x:v>C0362</x:v>
      </x:c>
      <x:c r="C368" s="21" t="str">
        <x:v>stage build</x:v>
      </x:c>
      <x:c r="D368" s="21" t="str">
        <x:v>targeted additions nonnegative row 67</x:v>
      </x:c>
      <x:c r="E368" s="21" t="n">
        <x:f>IF(AND('Stage Build'!G67&gt;=0,'Stage Build'!H67&gt;=0),1,0)</x:f>
        <x:v>1</x:v>
      </x:c>
      <x:c r="F368" s="21" t="n">
        <x:v>1</x:v>
      </x:c>
      <x:c r="G368" s="23" t="str">
        <x:f>IF(E368=F368,"PASS","FAIL")</x:f>
        <x:v>PASS</x:v>
      </x:c>
    </x:row>
    <x:row r="369">
      <x:c r="B369" s="21" t="str">
        <x:v>C0363</x:v>
      </x:c>
      <x:c r="C369" s="21" t="str">
        <x:v>stage build</x:v>
      </x:c>
      <x:c r="D369" s="21" t="str">
        <x:v>pre-replication identity row 67</x:v>
      </x:c>
      <x:c r="E369" s="21" t="n">
        <x:f>IF(ABS('Stage Build'!I67-SUM('Stage Build'!F67:H67))&lt;0.000001,1,0)</x:f>
        <x:v>1</x:v>
      </x:c>
      <x:c r="F369" s="21" t="n">
        <x:v>1</x:v>
      </x:c>
      <x:c r="G369" s="23" t="str">
        <x:f>IF(E369=F369,"PASS","FAIL")</x:f>
        <x:v>PASS</x:v>
      </x:c>
    </x:row>
    <x:row r="370">
      <x:c r="B370" s="21" t="str">
        <x:v>C0364</x:v>
      </x:c>
      <x:c r="C370" s="21" t="str">
        <x:v>stage build</x:v>
      </x:c>
      <x:c r="D370" s="21" t="str">
        <x:v>replication layer nonnegative row 67</x:v>
      </x:c>
      <x:c r="E370" s="21" t="n">
        <x:f>IF('Stage Build'!J67&gt;=0,1,0)</x:f>
        <x:v>1</x:v>
      </x:c>
      <x:c r="F370" s="21" t="n">
        <x:v>1</x:v>
      </x:c>
      <x:c r="G370" s="23" t="str">
        <x:f>IF(E370=F370,"PASS","FAIL")</x:f>
        <x:v>PASS</x:v>
      </x:c>
    </x:row>
    <x:row r="371">
      <x:c r="B371" s="21" t="str">
        <x:v>C0365</x:v>
      </x:c>
      <x:c r="C371" s="21" t="str">
        <x:v>stage build</x:v>
      </x:c>
      <x:c r="D371" s="21" t="str">
        <x:v>designed ratio identity row 67</x:v>
      </x:c>
      <x:c r="E371" s="21" t="n">
        <x:f>IF(ABS('Stage Build'!K67-'Stage Build'!I67-'Stage Build'!J67)&lt;0.000001,1,0)</x:f>
        <x:v>1</x:v>
      </x:c>
      <x:c r="F371" s="21" t="n">
        <x:v>1</x:v>
      </x:c>
      <x:c r="G371" s="23" t="str">
        <x:f>IF(E371=F371,"PASS","FAIL")</x:f>
        <x:v>PASS</x:v>
      </x:c>
    </x:row>
    <x:row r="372">
      <x:c r="B372" s="21" t="str">
        <x:v>C0366</x:v>
      </x:c>
      <x:c r="C372" s="21" t="str">
        <x:v>stage build</x:v>
      </x:c>
      <x:c r="D372" s="21" t="str">
        <x:v>M05 status identity row 67</x:v>
      </x:c>
      <x:c r="E372" s="21" t="n">
        <x:f>IF('Stage Build'!L67=IF('Stage Build'!K67&gt;=Assumptions!$C$9,"ADEQUATE","GAP"),1,0)</x:f>
        <x:v>1</x:v>
      </x:c>
      <x:c r="F372" s="21" t="n">
        <x:v>1</x:v>
      </x:c>
      <x:c r="G372" s="23" t="str">
        <x:f>IF(E372=F372,"PASS","FAIL")</x:f>
        <x:v>PASS</x:v>
      </x:c>
    </x:row>
    <x:row r="373">
      <x:c r="B373" s="21" t="str">
        <x:v>C0367</x:v>
      </x:c>
      <x:c r="C373" s="21" t="str">
        <x:v>stage build</x:v>
      </x:c>
      <x:c r="D373" s="21" t="str">
        <x:v>baseline nonnegative row 68</x:v>
      </x:c>
      <x:c r="E373" s="21" t="n">
        <x:f>IF('Stage Build'!F68&gt;=0,1,0)</x:f>
        <x:v>1</x:v>
      </x:c>
      <x:c r="F373" s="21" t="n">
        <x:v>1</x:v>
      </x:c>
      <x:c r="G373" s="23" t="str">
        <x:f>IF(E373=F373,"PASS","FAIL")</x:f>
        <x:v>PASS</x:v>
      </x:c>
    </x:row>
    <x:row r="374">
      <x:c r="B374" s="21" t="str">
        <x:v>C0368</x:v>
      </x:c>
      <x:c r="C374" s="21" t="str">
        <x:v>stage build</x:v>
      </x:c>
      <x:c r="D374" s="21" t="str">
        <x:v>targeted additions nonnegative row 68</x:v>
      </x:c>
      <x:c r="E374" s="21" t="n">
        <x:f>IF(AND('Stage Build'!G68&gt;=0,'Stage Build'!H68&gt;=0),1,0)</x:f>
        <x:v>1</x:v>
      </x:c>
      <x:c r="F374" s="21" t="n">
        <x:v>1</x:v>
      </x:c>
      <x:c r="G374" s="23" t="str">
        <x:f>IF(E374=F374,"PASS","FAIL")</x:f>
        <x:v>PASS</x:v>
      </x:c>
    </x:row>
    <x:row r="375">
      <x:c r="B375" s="21" t="str">
        <x:v>C0369</x:v>
      </x:c>
      <x:c r="C375" s="21" t="str">
        <x:v>stage build</x:v>
      </x:c>
      <x:c r="D375" s="21" t="str">
        <x:v>pre-replication identity row 68</x:v>
      </x:c>
      <x:c r="E375" s="21" t="n">
        <x:f>IF(ABS('Stage Build'!I68-SUM('Stage Build'!F68:H68))&lt;0.000001,1,0)</x:f>
        <x:v>1</x:v>
      </x:c>
      <x:c r="F375" s="21" t="n">
        <x:v>1</x:v>
      </x:c>
      <x:c r="G375" s="23" t="str">
        <x:f>IF(E375=F375,"PASS","FAIL")</x:f>
        <x:v>PASS</x:v>
      </x:c>
    </x:row>
    <x:row r="376">
      <x:c r="B376" s="21" t="str">
        <x:v>C0370</x:v>
      </x:c>
      <x:c r="C376" s="21" t="str">
        <x:v>stage build</x:v>
      </x:c>
      <x:c r="D376" s="21" t="str">
        <x:v>replication layer nonnegative row 68</x:v>
      </x:c>
      <x:c r="E376" s="21" t="n">
        <x:f>IF('Stage Build'!J68&gt;=0,1,0)</x:f>
        <x:v>1</x:v>
      </x:c>
      <x:c r="F376" s="21" t="n">
        <x:v>1</x:v>
      </x:c>
      <x:c r="G376" s="23" t="str">
        <x:f>IF(E376=F376,"PASS","FAIL")</x:f>
        <x:v>PASS</x:v>
      </x:c>
    </x:row>
    <x:row r="377">
      <x:c r="B377" s="21" t="str">
        <x:v>C0371</x:v>
      </x:c>
      <x:c r="C377" s="21" t="str">
        <x:v>stage build</x:v>
      </x:c>
      <x:c r="D377" s="21" t="str">
        <x:v>designed ratio identity row 68</x:v>
      </x:c>
      <x:c r="E377" s="21" t="n">
        <x:f>IF(ABS('Stage Build'!K68-'Stage Build'!I68-'Stage Build'!J68)&lt;0.000001,1,0)</x:f>
        <x:v>1</x:v>
      </x:c>
      <x:c r="F377" s="21" t="n">
        <x:v>1</x:v>
      </x:c>
      <x:c r="G377" s="23" t="str">
        <x:f>IF(E377=F377,"PASS","FAIL")</x:f>
        <x:v>PASS</x:v>
      </x:c>
    </x:row>
    <x:row r="378">
      <x:c r="B378" s="21" t="str">
        <x:v>C0372</x:v>
      </x:c>
      <x:c r="C378" s="21" t="str">
        <x:v>stage build</x:v>
      </x:c>
      <x:c r="D378" s="21" t="str">
        <x:v>M05 status identity row 68</x:v>
      </x:c>
      <x:c r="E378" s="21" t="n">
        <x:f>IF('Stage Build'!L68=IF('Stage Build'!K68&gt;=Assumptions!$C$9,"ADEQUATE","GAP"),1,0)</x:f>
        <x:v>1</x:v>
      </x:c>
      <x:c r="F378" s="21" t="n">
        <x:v>1</x:v>
      </x:c>
      <x:c r="G378" s="23" t="str">
        <x:f>IF(E378=F378,"PASS","FAIL")</x:f>
        <x:v>PASS</x:v>
      </x:c>
    </x:row>
    <x:row r="379">
      <x:c r="B379" s="21" t="str">
        <x:v>C0373</x:v>
      </x:c>
      <x:c r="C379" s="21" t="str">
        <x:v>stage build</x:v>
      </x:c>
      <x:c r="D379" s="21" t="str">
        <x:v>baseline nonnegative row 69</x:v>
      </x:c>
      <x:c r="E379" s="21" t="n">
        <x:f>IF('Stage Build'!F69&gt;=0,1,0)</x:f>
        <x:v>1</x:v>
      </x:c>
      <x:c r="F379" s="21" t="n">
        <x:v>1</x:v>
      </x:c>
      <x:c r="G379" s="23" t="str">
        <x:f>IF(E379=F379,"PASS","FAIL")</x:f>
        <x:v>PASS</x:v>
      </x:c>
    </x:row>
    <x:row r="380">
      <x:c r="B380" s="21" t="str">
        <x:v>C0374</x:v>
      </x:c>
      <x:c r="C380" s="21" t="str">
        <x:v>stage build</x:v>
      </x:c>
      <x:c r="D380" s="21" t="str">
        <x:v>targeted additions nonnegative row 69</x:v>
      </x:c>
      <x:c r="E380" s="21" t="n">
        <x:f>IF(AND('Stage Build'!G69&gt;=0,'Stage Build'!H69&gt;=0),1,0)</x:f>
        <x:v>1</x:v>
      </x:c>
      <x:c r="F380" s="21" t="n">
        <x:v>1</x:v>
      </x:c>
      <x:c r="G380" s="23" t="str">
        <x:f>IF(E380=F380,"PASS","FAIL")</x:f>
        <x:v>PASS</x:v>
      </x:c>
    </x:row>
    <x:row r="381">
      <x:c r="B381" s="21" t="str">
        <x:v>C0375</x:v>
      </x:c>
      <x:c r="C381" s="21" t="str">
        <x:v>stage build</x:v>
      </x:c>
      <x:c r="D381" s="21" t="str">
        <x:v>pre-replication identity row 69</x:v>
      </x:c>
      <x:c r="E381" s="21" t="n">
        <x:f>IF(ABS('Stage Build'!I69-SUM('Stage Build'!F69:H69))&lt;0.000001,1,0)</x:f>
        <x:v>1</x:v>
      </x:c>
      <x:c r="F381" s="21" t="n">
        <x:v>1</x:v>
      </x:c>
      <x:c r="G381" s="23" t="str">
        <x:f>IF(E381=F381,"PASS","FAIL")</x:f>
        <x:v>PASS</x:v>
      </x:c>
    </x:row>
    <x:row r="382">
      <x:c r="B382" s="21" t="str">
        <x:v>C0376</x:v>
      </x:c>
      <x:c r="C382" s="21" t="str">
        <x:v>stage build</x:v>
      </x:c>
      <x:c r="D382" s="21" t="str">
        <x:v>replication layer nonnegative row 69</x:v>
      </x:c>
      <x:c r="E382" s="21" t="n">
        <x:f>IF('Stage Build'!J69&gt;=0,1,0)</x:f>
        <x:v>1</x:v>
      </x:c>
      <x:c r="F382" s="21" t="n">
        <x:v>1</x:v>
      </x:c>
      <x:c r="G382" s="23" t="str">
        <x:f>IF(E382=F382,"PASS","FAIL")</x:f>
        <x:v>PASS</x:v>
      </x:c>
    </x:row>
    <x:row r="383">
      <x:c r="B383" s="21" t="str">
        <x:v>C0377</x:v>
      </x:c>
      <x:c r="C383" s="21" t="str">
        <x:v>stage build</x:v>
      </x:c>
      <x:c r="D383" s="21" t="str">
        <x:v>designed ratio identity row 69</x:v>
      </x:c>
      <x:c r="E383" s="21" t="n">
        <x:f>IF(ABS('Stage Build'!K69-'Stage Build'!I69-'Stage Build'!J69)&lt;0.000001,1,0)</x:f>
        <x:v>1</x:v>
      </x:c>
      <x:c r="F383" s="21" t="n">
        <x:v>1</x:v>
      </x:c>
      <x:c r="G383" s="23" t="str">
        <x:f>IF(E383=F383,"PASS","FAIL")</x:f>
        <x:v>PASS</x:v>
      </x:c>
    </x:row>
    <x:row r="384">
      <x:c r="B384" s="21" t="str">
        <x:v>C0378</x:v>
      </x:c>
      <x:c r="C384" s="21" t="str">
        <x:v>stage build</x:v>
      </x:c>
      <x:c r="D384" s="21" t="str">
        <x:v>M05 status identity row 69</x:v>
      </x:c>
      <x:c r="E384" s="21" t="n">
        <x:f>IF('Stage Build'!L69=IF('Stage Build'!K69&gt;=Assumptions!$C$9,"ADEQUATE","GAP"),1,0)</x:f>
        <x:v>1</x:v>
      </x:c>
      <x:c r="F384" s="21" t="n">
        <x:v>1</x:v>
      </x:c>
      <x:c r="G384" s="23" t="str">
        <x:f>IF(E384=F384,"PASS","FAIL")</x:f>
        <x:v>PASS</x:v>
      </x:c>
    </x:row>
    <x:row r="385">
      <x:c r="B385" s="21" t="str">
        <x:v>C0379</x:v>
      </x:c>
      <x:c r="C385" s="21" t="str">
        <x:v>stage build</x:v>
      </x:c>
      <x:c r="D385" s="21" t="str">
        <x:v>baseline nonnegative row 70</x:v>
      </x:c>
      <x:c r="E385" s="21" t="n">
        <x:f>IF('Stage Build'!F70&gt;=0,1,0)</x:f>
        <x:v>1</x:v>
      </x:c>
      <x:c r="F385" s="21" t="n">
        <x:v>1</x:v>
      </x:c>
      <x:c r="G385" s="23" t="str">
        <x:f>IF(E385=F385,"PASS","FAIL")</x:f>
        <x:v>PASS</x:v>
      </x:c>
    </x:row>
    <x:row r="386">
      <x:c r="B386" s="21" t="str">
        <x:v>C0380</x:v>
      </x:c>
      <x:c r="C386" s="21" t="str">
        <x:v>stage build</x:v>
      </x:c>
      <x:c r="D386" s="21" t="str">
        <x:v>targeted additions nonnegative row 70</x:v>
      </x:c>
      <x:c r="E386" s="21" t="n">
        <x:f>IF(AND('Stage Build'!G70&gt;=0,'Stage Build'!H70&gt;=0),1,0)</x:f>
        <x:v>1</x:v>
      </x:c>
      <x:c r="F386" s="21" t="n">
        <x:v>1</x:v>
      </x:c>
      <x:c r="G386" s="23" t="str">
        <x:f>IF(E386=F386,"PASS","FAIL")</x:f>
        <x:v>PASS</x:v>
      </x:c>
    </x:row>
    <x:row r="387">
      <x:c r="B387" s="21" t="str">
        <x:v>C0381</x:v>
      </x:c>
      <x:c r="C387" s="21" t="str">
        <x:v>stage build</x:v>
      </x:c>
      <x:c r="D387" s="21" t="str">
        <x:v>pre-replication identity row 70</x:v>
      </x:c>
      <x:c r="E387" s="21" t="n">
        <x:f>IF(ABS('Stage Build'!I70-SUM('Stage Build'!F70:H70))&lt;0.000001,1,0)</x:f>
        <x:v>1</x:v>
      </x:c>
      <x:c r="F387" s="21" t="n">
        <x:v>1</x:v>
      </x:c>
      <x:c r="G387" s="23" t="str">
        <x:f>IF(E387=F387,"PASS","FAIL")</x:f>
        <x:v>PASS</x:v>
      </x:c>
    </x:row>
    <x:row r="388">
      <x:c r="B388" s="21" t="str">
        <x:v>C0382</x:v>
      </x:c>
      <x:c r="C388" s="21" t="str">
        <x:v>stage build</x:v>
      </x:c>
      <x:c r="D388" s="21" t="str">
        <x:v>replication layer nonnegative row 70</x:v>
      </x:c>
      <x:c r="E388" s="21" t="n">
        <x:f>IF('Stage Build'!J70&gt;=0,1,0)</x:f>
        <x:v>1</x:v>
      </x:c>
      <x:c r="F388" s="21" t="n">
        <x:v>1</x:v>
      </x:c>
      <x:c r="G388" s="23" t="str">
        <x:f>IF(E388=F388,"PASS","FAIL")</x:f>
        <x:v>PASS</x:v>
      </x:c>
    </x:row>
    <x:row r="389">
      <x:c r="B389" s="21" t="str">
        <x:v>C0383</x:v>
      </x:c>
      <x:c r="C389" s="21" t="str">
        <x:v>stage build</x:v>
      </x:c>
      <x:c r="D389" s="21" t="str">
        <x:v>designed ratio identity row 70</x:v>
      </x:c>
      <x:c r="E389" s="21" t="n">
        <x:f>IF(ABS('Stage Build'!K70-'Stage Build'!I70-'Stage Build'!J70)&lt;0.000001,1,0)</x:f>
        <x:v>1</x:v>
      </x:c>
      <x:c r="F389" s="21" t="n">
        <x:v>1</x:v>
      </x:c>
      <x:c r="G389" s="23" t="str">
        <x:f>IF(E389=F389,"PASS","FAIL")</x:f>
        <x:v>PASS</x:v>
      </x:c>
    </x:row>
    <x:row r="390">
      <x:c r="B390" s="21" t="str">
        <x:v>C0384</x:v>
      </x:c>
      <x:c r="C390" s="21" t="str">
        <x:v>stage build</x:v>
      </x:c>
      <x:c r="D390" s="21" t="str">
        <x:v>M05 status identity row 70</x:v>
      </x:c>
      <x:c r="E390" s="21" t="n">
        <x:f>IF('Stage Build'!L70=IF('Stage Build'!K70&gt;=Assumptions!$C$9,"ADEQUATE","GAP"),1,0)</x:f>
        <x:v>1</x:v>
      </x:c>
      <x:c r="F390" s="21" t="n">
        <x:v>1</x:v>
      </x:c>
      <x:c r="G390" s="23" t="str">
        <x:f>IF(E390=F390,"PASS","FAIL")</x:f>
        <x:v>PASS</x:v>
      </x:c>
    </x:row>
    <x:row r="391">
      <x:c r="B391" s="21" t="str">
        <x:v>C0385</x:v>
      </x:c>
      <x:c r="C391" s="21" t="str">
        <x:v>stage build</x:v>
      </x:c>
      <x:c r="D391" s="21" t="str">
        <x:v>baseline nonnegative row 71</x:v>
      </x:c>
      <x:c r="E391" s="21" t="n">
        <x:f>IF('Stage Build'!F71&gt;=0,1,0)</x:f>
        <x:v>1</x:v>
      </x:c>
      <x:c r="F391" s="21" t="n">
        <x:v>1</x:v>
      </x:c>
      <x:c r="G391" s="23" t="str">
        <x:f>IF(E391=F391,"PASS","FAIL")</x:f>
        <x:v>PASS</x:v>
      </x:c>
    </x:row>
    <x:row r="392">
      <x:c r="B392" s="21" t="str">
        <x:v>C0386</x:v>
      </x:c>
      <x:c r="C392" s="21" t="str">
        <x:v>stage build</x:v>
      </x:c>
      <x:c r="D392" s="21" t="str">
        <x:v>targeted additions nonnegative row 71</x:v>
      </x:c>
      <x:c r="E392" s="21" t="n">
        <x:f>IF(AND('Stage Build'!G71&gt;=0,'Stage Build'!H71&gt;=0),1,0)</x:f>
        <x:v>1</x:v>
      </x:c>
      <x:c r="F392" s="21" t="n">
        <x:v>1</x:v>
      </x:c>
      <x:c r="G392" s="23" t="str">
        <x:f>IF(E392=F392,"PASS","FAIL")</x:f>
        <x:v>PASS</x:v>
      </x:c>
    </x:row>
    <x:row r="393">
      <x:c r="B393" s="21" t="str">
        <x:v>C0387</x:v>
      </x:c>
      <x:c r="C393" s="21" t="str">
        <x:v>stage build</x:v>
      </x:c>
      <x:c r="D393" s="21" t="str">
        <x:v>pre-replication identity row 71</x:v>
      </x:c>
      <x:c r="E393" s="21" t="n">
        <x:f>IF(ABS('Stage Build'!I71-SUM('Stage Build'!F71:H71))&lt;0.000001,1,0)</x:f>
        <x:v>1</x:v>
      </x:c>
      <x:c r="F393" s="21" t="n">
        <x:v>1</x:v>
      </x:c>
      <x:c r="G393" s="23" t="str">
        <x:f>IF(E393=F393,"PASS","FAIL")</x:f>
        <x:v>PASS</x:v>
      </x:c>
    </x:row>
    <x:row r="394">
      <x:c r="B394" s="21" t="str">
        <x:v>C0388</x:v>
      </x:c>
      <x:c r="C394" s="21" t="str">
        <x:v>stage build</x:v>
      </x:c>
      <x:c r="D394" s="21" t="str">
        <x:v>replication layer nonnegative row 71</x:v>
      </x:c>
      <x:c r="E394" s="21" t="n">
        <x:f>IF('Stage Build'!J71&gt;=0,1,0)</x:f>
        <x:v>1</x:v>
      </x:c>
      <x:c r="F394" s="21" t="n">
        <x:v>1</x:v>
      </x:c>
      <x:c r="G394" s="23" t="str">
        <x:f>IF(E394=F394,"PASS","FAIL")</x:f>
        <x:v>PASS</x:v>
      </x:c>
    </x:row>
    <x:row r="395">
      <x:c r="B395" s="21" t="str">
        <x:v>C0389</x:v>
      </x:c>
      <x:c r="C395" s="21" t="str">
        <x:v>stage build</x:v>
      </x:c>
      <x:c r="D395" s="21" t="str">
        <x:v>designed ratio identity row 71</x:v>
      </x:c>
      <x:c r="E395" s="21" t="n">
        <x:f>IF(ABS('Stage Build'!K71-'Stage Build'!I71-'Stage Build'!J71)&lt;0.000001,1,0)</x:f>
        <x:v>1</x:v>
      </x:c>
      <x:c r="F395" s="21" t="n">
        <x:v>1</x:v>
      </x:c>
      <x:c r="G395" s="23" t="str">
        <x:f>IF(E395=F395,"PASS","FAIL")</x:f>
        <x:v>PASS</x:v>
      </x:c>
    </x:row>
    <x:row r="396">
      <x:c r="B396" s="21" t="str">
        <x:v>C0390</x:v>
      </x:c>
      <x:c r="C396" s="21" t="str">
        <x:v>stage build</x:v>
      </x:c>
      <x:c r="D396" s="21" t="str">
        <x:v>M05 status identity row 71</x:v>
      </x:c>
      <x:c r="E396" s="21" t="n">
        <x:f>IF('Stage Build'!L71=IF('Stage Build'!K71&gt;=Assumptions!$C$9,"ADEQUATE","GAP"),1,0)</x:f>
        <x:v>1</x:v>
      </x:c>
      <x:c r="F396" s="21" t="n">
        <x:v>1</x:v>
      </x:c>
      <x:c r="G396" s="23" t="str">
        <x:f>IF(E396=F396,"PASS","FAIL")</x:f>
        <x:v>PASS</x:v>
      </x:c>
    </x:row>
    <x:row r="397">
      <x:c r="B397" s="21" t="str">
        <x:v>C0391</x:v>
      </x:c>
      <x:c r="C397" s="21" t="str">
        <x:v>stage build</x:v>
      </x:c>
      <x:c r="D397" s="21" t="str">
        <x:v>baseline nonnegative row 72</x:v>
      </x:c>
      <x:c r="E397" s="21" t="n">
        <x:f>IF('Stage Build'!F72&gt;=0,1,0)</x:f>
        <x:v>1</x:v>
      </x:c>
      <x:c r="F397" s="21" t="n">
        <x:v>1</x:v>
      </x:c>
      <x:c r="G397" s="23" t="str">
        <x:f>IF(E397=F397,"PASS","FAIL")</x:f>
        <x:v>PASS</x:v>
      </x:c>
    </x:row>
    <x:row r="398">
      <x:c r="B398" s="21" t="str">
        <x:v>C0392</x:v>
      </x:c>
      <x:c r="C398" s="21" t="str">
        <x:v>stage build</x:v>
      </x:c>
      <x:c r="D398" s="21" t="str">
        <x:v>targeted additions nonnegative row 72</x:v>
      </x:c>
      <x:c r="E398" s="21" t="n">
        <x:f>IF(AND('Stage Build'!G72&gt;=0,'Stage Build'!H72&gt;=0),1,0)</x:f>
        <x:v>1</x:v>
      </x:c>
      <x:c r="F398" s="21" t="n">
        <x:v>1</x:v>
      </x:c>
      <x:c r="G398" s="23" t="str">
        <x:f>IF(E398=F398,"PASS","FAIL")</x:f>
        <x:v>PASS</x:v>
      </x:c>
    </x:row>
    <x:row r="399">
      <x:c r="B399" s="21" t="str">
        <x:v>C0393</x:v>
      </x:c>
      <x:c r="C399" s="21" t="str">
        <x:v>stage build</x:v>
      </x:c>
      <x:c r="D399" s="21" t="str">
        <x:v>pre-replication identity row 72</x:v>
      </x:c>
      <x:c r="E399" s="21" t="n">
        <x:f>IF(ABS('Stage Build'!I72-SUM('Stage Build'!F72:H72))&lt;0.000001,1,0)</x:f>
        <x:v>1</x:v>
      </x:c>
      <x:c r="F399" s="21" t="n">
        <x:v>1</x:v>
      </x:c>
      <x:c r="G399" s="23" t="str">
        <x:f>IF(E399=F399,"PASS","FAIL")</x:f>
        <x:v>PASS</x:v>
      </x:c>
    </x:row>
    <x:row r="400">
      <x:c r="B400" s="21" t="str">
        <x:v>C0394</x:v>
      </x:c>
      <x:c r="C400" s="21" t="str">
        <x:v>stage build</x:v>
      </x:c>
      <x:c r="D400" s="21" t="str">
        <x:v>replication layer nonnegative row 72</x:v>
      </x:c>
      <x:c r="E400" s="21" t="n">
        <x:f>IF('Stage Build'!J72&gt;=0,1,0)</x:f>
        <x:v>1</x:v>
      </x:c>
      <x:c r="F400" s="21" t="n">
        <x:v>1</x:v>
      </x:c>
      <x:c r="G400" s="23" t="str">
        <x:f>IF(E400=F400,"PASS","FAIL")</x:f>
        <x:v>PASS</x:v>
      </x:c>
    </x:row>
    <x:row r="401">
      <x:c r="B401" s="21" t="str">
        <x:v>C0395</x:v>
      </x:c>
      <x:c r="C401" s="21" t="str">
        <x:v>stage build</x:v>
      </x:c>
      <x:c r="D401" s="21" t="str">
        <x:v>designed ratio identity row 72</x:v>
      </x:c>
      <x:c r="E401" s="21" t="n">
        <x:f>IF(ABS('Stage Build'!K72-'Stage Build'!I72-'Stage Build'!J72)&lt;0.000001,1,0)</x:f>
        <x:v>1</x:v>
      </x:c>
      <x:c r="F401" s="21" t="n">
        <x:v>1</x:v>
      </x:c>
      <x:c r="G401" s="23" t="str">
        <x:f>IF(E401=F401,"PASS","FAIL")</x:f>
        <x:v>PASS</x:v>
      </x:c>
    </x:row>
    <x:row r="402">
      <x:c r="B402" s="21" t="str">
        <x:v>C0396</x:v>
      </x:c>
      <x:c r="C402" s="21" t="str">
        <x:v>stage build</x:v>
      </x:c>
      <x:c r="D402" s="21" t="str">
        <x:v>M05 status identity row 72</x:v>
      </x:c>
      <x:c r="E402" s="21" t="n">
        <x:f>IF('Stage Build'!L72=IF('Stage Build'!K72&gt;=Assumptions!$C$9,"ADEQUATE","GAP"),1,0)</x:f>
        <x:v>1</x:v>
      </x:c>
      <x:c r="F402" s="21" t="n">
        <x:v>1</x:v>
      </x:c>
      <x:c r="G402" s="23" t="str">
        <x:f>IF(E402=F402,"PASS","FAIL")</x:f>
        <x:v>PASS</x:v>
      </x:c>
    </x:row>
    <x:row r="403">
      <x:c r="B403" s="21" t="str">
        <x:v>C0397</x:v>
      </x:c>
      <x:c r="C403" s="21" t="str">
        <x:v>stage build</x:v>
      </x:c>
      <x:c r="D403" s="21" t="str">
        <x:v>baseline nonnegative row 73</x:v>
      </x:c>
      <x:c r="E403" s="21" t="n">
        <x:f>IF('Stage Build'!F73&gt;=0,1,0)</x:f>
        <x:v>1</x:v>
      </x:c>
      <x:c r="F403" s="21" t="n">
        <x:v>1</x:v>
      </x:c>
      <x:c r="G403" s="23" t="str">
        <x:f>IF(E403=F403,"PASS","FAIL")</x:f>
        <x:v>PASS</x:v>
      </x:c>
    </x:row>
    <x:row r="404">
      <x:c r="B404" s="21" t="str">
        <x:v>C0398</x:v>
      </x:c>
      <x:c r="C404" s="21" t="str">
        <x:v>stage build</x:v>
      </x:c>
      <x:c r="D404" s="21" t="str">
        <x:v>targeted additions nonnegative row 73</x:v>
      </x:c>
      <x:c r="E404" s="21" t="n">
        <x:f>IF(AND('Stage Build'!G73&gt;=0,'Stage Build'!H73&gt;=0),1,0)</x:f>
        <x:v>1</x:v>
      </x:c>
      <x:c r="F404" s="21" t="n">
        <x:v>1</x:v>
      </x:c>
      <x:c r="G404" s="23" t="str">
        <x:f>IF(E404=F404,"PASS","FAIL")</x:f>
        <x:v>PASS</x:v>
      </x:c>
    </x:row>
    <x:row r="405">
      <x:c r="B405" s="21" t="str">
        <x:v>C0399</x:v>
      </x:c>
      <x:c r="C405" s="21" t="str">
        <x:v>stage build</x:v>
      </x:c>
      <x:c r="D405" s="21" t="str">
        <x:v>pre-replication identity row 73</x:v>
      </x:c>
      <x:c r="E405" s="21" t="n">
        <x:f>IF(ABS('Stage Build'!I73-SUM('Stage Build'!F73:H73))&lt;0.000001,1,0)</x:f>
        <x:v>1</x:v>
      </x:c>
      <x:c r="F405" s="21" t="n">
        <x:v>1</x:v>
      </x:c>
      <x:c r="G405" s="23" t="str">
        <x:f>IF(E405=F405,"PASS","FAIL")</x:f>
        <x:v>PASS</x:v>
      </x:c>
    </x:row>
    <x:row r="406">
      <x:c r="B406" s="21" t="str">
        <x:v>C0400</x:v>
      </x:c>
      <x:c r="C406" s="21" t="str">
        <x:v>stage build</x:v>
      </x:c>
      <x:c r="D406" s="21" t="str">
        <x:v>replication layer nonnegative row 73</x:v>
      </x:c>
      <x:c r="E406" s="21" t="n">
        <x:f>IF('Stage Build'!J73&gt;=0,1,0)</x:f>
        <x:v>1</x:v>
      </x:c>
      <x:c r="F406" s="21" t="n">
        <x:v>1</x:v>
      </x:c>
      <x:c r="G406" s="23" t="str">
        <x:f>IF(E406=F406,"PASS","FAIL")</x:f>
        <x:v>PASS</x:v>
      </x:c>
    </x:row>
    <x:row r="407">
      <x:c r="B407" s="21" t="str">
        <x:v>C0401</x:v>
      </x:c>
      <x:c r="C407" s="21" t="str">
        <x:v>stage build</x:v>
      </x:c>
      <x:c r="D407" s="21" t="str">
        <x:v>designed ratio identity row 73</x:v>
      </x:c>
      <x:c r="E407" s="21" t="n">
        <x:f>IF(ABS('Stage Build'!K73-'Stage Build'!I73-'Stage Build'!J73)&lt;0.000001,1,0)</x:f>
        <x:v>1</x:v>
      </x:c>
      <x:c r="F407" s="21" t="n">
        <x:v>1</x:v>
      </x:c>
      <x:c r="G407" s="23" t="str">
        <x:f>IF(E407=F407,"PASS","FAIL")</x:f>
        <x:v>PASS</x:v>
      </x:c>
    </x:row>
    <x:row r="408">
      <x:c r="B408" s="21" t="str">
        <x:v>C0402</x:v>
      </x:c>
      <x:c r="C408" s="21" t="str">
        <x:v>stage build</x:v>
      </x:c>
      <x:c r="D408" s="21" t="str">
        <x:v>M05 status identity row 73</x:v>
      </x:c>
      <x:c r="E408" s="21" t="n">
        <x:f>IF('Stage Build'!L73=IF('Stage Build'!K73&gt;=Assumptions!$C$9,"ADEQUATE","GAP"),1,0)</x:f>
        <x:v>1</x:v>
      </x:c>
      <x:c r="F408" s="21" t="n">
        <x:v>1</x:v>
      </x:c>
      <x:c r="G408" s="23" t="str">
        <x:f>IF(E408=F408,"PASS","FAIL")</x:f>
        <x:v>PASS</x:v>
      </x:c>
    </x:row>
    <x:row r="409">
      <x:c r="B409" s="21" t="str">
        <x:v>C0403</x:v>
      </x:c>
      <x:c r="C409" s="21" t="str">
        <x:v>stage build</x:v>
      </x:c>
      <x:c r="D409" s="21" t="str">
        <x:v>baseline nonnegative row 74</x:v>
      </x:c>
      <x:c r="E409" s="21" t="n">
        <x:f>IF('Stage Build'!F74&gt;=0,1,0)</x:f>
        <x:v>1</x:v>
      </x:c>
      <x:c r="F409" s="21" t="n">
        <x:v>1</x:v>
      </x:c>
      <x:c r="G409" s="23" t="str">
        <x:f>IF(E409=F409,"PASS","FAIL")</x:f>
        <x:v>PASS</x:v>
      </x:c>
    </x:row>
    <x:row r="410">
      <x:c r="B410" s="21" t="str">
        <x:v>C0404</x:v>
      </x:c>
      <x:c r="C410" s="21" t="str">
        <x:v>stage build</x:v>
      </x:c>
      <x:c r="D410" s="21" t="str">
        <x:v>targeted additions nonnegative row 74</x:v>
      </x:c>
      <x:c r="E410" s="21" t="n">
        <x:f>IF(AND('Stage Build'!G74&gt;=0,'Stage Build'!H74&gt;=0),1,0)</x:f>
        <x:v>1</x:v>
      </x:c>
      <x:c r="F410" s="21" t="n">
        <x:v>1</x:v>
      </x:c>
      <x:c r="G410" s="23" t="str">
        <x:f>IF(E410=F410,"PASS","FAIL")</x:f>
        <x:v>PASS</x:v>
      </x:c>
    </x:row>
    <x:row r="411">
      <x:c r="B411" s="21" t="str">
        <x:v>C0405</x:v>
      </x:c>
      <x:c r="C411" s="21" t="str">
        <x:v>stage build</x:v>
      </x:c>
      <x:c r="D411" s="21" t="str">
        <x:v>pre-replication identity row 74</x:v>
      </x:c>
      <x:c r="E411" s="21" t="n">
        <x:f>IF(ABS('Stage Build'!I74-SUM('Stage Build'!F74:H74))&lt;0.000001,1,0)</x:f>
        <x:v>1</x:v>
      </x:c>
      <x:c r="F411" s="21" t="n">
        <x:v>1</x:v>
      </x:c>
      <x:c r="G411" s="23" t="str">
        <x:f>IF(E411=F411,"PASS","FAIL")</x:f>
        <x:v>PASS</x:v>
      </x:c>
    </x:row>
    <x:row r="412">
      <x:c r="B412" s="21" t="str">
        <x:v>C0406</x:v>
      </x:c>
      <x:c r="C412" s="21" t="str">
        <x:v>stage build</x:v>
      </x:c>
      <x:c r="D412" s="21" t="str">
        <x:v>replication layer nonnegative row 74</x:v>
      </x:c>
      <x:c r="E412" s="21" t="n">
        <x:f>IF('Stage Build'!J74&gt;=0,1,0)</x:f>
        <x:v>1</x:v>
      </x:c>
      <x:c r="F412" s="21" t="n">
        <x:v>1</x:v>
      </x:c>
      <x:c r="G412" s="23" t="str">
        <x:f>IF(E412=F412,"PASS","FAIL")</x:f>
        <x:v>PASS</x:v>
      </x:c>
    </x:row>
    <x:row r="413">
      <x:c r="B413" s="21" t="str">
        <x:v>C0407</x:v>
      </x:c>
      <x:c r="C413" s="21" t="str">
        <x:v>stage build</x:v>
      </x:c>
      <x:c r="D413" s="21" t="str">
        <x:v>designed ratio identity row 74</x:v>
      </x:c>
      <x:c r="E413" s="21" t="n">
        <x:f>IF(ABS('Stage Build'!K74-'Stage Build'!I74-'Stage Build'!J74)&lt;0.000001,1,0)</x:f>
        <x:v>1</x:v>
      </x:c>
      <x:c r="F413" s="21" t="n">
        <x:v>1</x:v>
      </x:c>
      <x:c r="G413" s="23" t="str">
        <x:f>IF(E413=F413,"PASS","FAIL")</x:f>
        <x:v>PASS</x:v>
      </x:c>
    </x:row>
    <x:row r="414">
      <x:c r="B414" s="21" t="str">
        <x:v>C0408</x:v>
      </x:c>
      <x:c r="C414" s="21" t="str">
        <x:v>stage build</x:v>
      </x:c>
      <x:c r="D414" s="21" t="str">
        <x:v>M05 status identity row 74</x:v>
      </x:c>
      <x:c r="E414" s="21" t="n">
        <x:f>IF('Stage Build'!L74=IF('Stage Build'!K74&gt;=Assumptions!$C$9,"ADEQUATE","GAP"),1,0)</x:f>
        <x:v>1</x:v>
      </x:c>
      <x:c r="F414" s="21" t="n">
        <x:v>1</x:v>
      </x:c>
      <x:c r="G414" s="23" t="str">
        <x:f>IF(E414=F414,"PASS","FAIL")</x:f>
        <x:v>PASS</x:v>
      </x:c>
    </x:row>
    <x:row r="415">
      <x:c r="B415" s="21" t="str">
        <x:v>C0409</x:v>
      </x:c>
      <x:c r="C415" s="21" t="str">
        <x:v>stage build</x:v>
      </x:c>
      <x:c r="D415" s="21" t="str">
        <x:v>baseline nonnegative row 75</x:v>
      </x:c>
      <x:c r="E415" s="21" t="n">
        <x:f>IF('Stage Build'!F75&gt;=0,1,0)</x:f>
        <x:v>1</x:v>
      </x:c>
      <x:c r="F415" s="21" t="n">
        <x:v>1</x:v>
      </x:c>
      <x:c r="G415" s="23" t="str">
        <x:f>IF(E415=F415,"PASS","FAIL")</x:f>
        <x:v>PASS</x:v>
      </x:c>
    </x:row>
    <x:row r="416">
      <x:c r="B416" s="21" t="str">
        <x:v>C0410</x:v>
      </x:c>
      <x:c r="C416" s="21" t="str">
        <x:v>stage build</x:v>
      </x:c>
      <x:c r="D416" s="21" t="str">
        <x:v>targeted additions nonnegative row 75</x:v>
      </x:c>
      <x:c r="E416" s="21" t="n">
        <x:f>IF(AND('Stage Build'!G75&gt;=0,'Stage Build'!H75&gt;=0),1,0)</x:f>
        <x:v>1</x:v>
      </x:c>
      <x:c r="F416" s="21" t="n">
        <x:v>1</x:v>
      </x:c>
      <x:c r="G416" s="23" t="str">
        <x:f>IF(E416=F416,"PASS","FAIL")</x:f>
        <x:v>PASS</x:v>
      </x:c>
    </x:row>
    <x:row r="417">
      <x:c r="B417" s="21" t="str">
        <x:v>C0411</x:v>
      </x:c>
      <x:c r="C417" s="21" t="str">
        <x:v>stage build</x:v>
      </x:c>
      <x:c r="D417" s="21" t="str">
        <x:v>pre-replication identity row 75</x:v>
      </x:c>
      <x:c r="E417" s="21" t="n">
        <x:f>IF(ABS('Stage Build'!I75-SUM('Stage Build'!F75:H75))&lt;0.000001,1,0)</x:f>
        <x:v>1</x:v>
      </x:c>
      <x:c r="F417" s="21" t="n">
        <x:v>1</x:v>
      </x:c>
      <x:c r="G417" s="23" t="str">
        <x:f>IF(E417=F417,"PASS","FAIL")</x:f>
        <x:v>PASS</x:v>
      </x:c>
    </x:row>
    <x:row r="418">
      <x:c r="B418" s="21" t="str">
        <x:v>C0412</x:v>
      </x:c>
      <x:c r="C418" s="21" t="str">
        <x:v>stage build</x:v>
      </x:c>
      <x:c r="D418" s="21" t="str">
        <x:v>replication layer nonnegative row 75</x:v>
      </x:c>
      <x:c r="E418" s="21" t="n">
        <x:f>IF('Stage Build'!J75&gt;=0,1,0)</x:f>
        <x:v>1</x:v>
      </x:c>
      <x:c r="F418" s="21" t="n">
        <x:v>1</x:v>
      </x:c>
      <x:c r="G418" s="23" t="str">
        <x:f>IF(E418=F418,"PASS","FAIL")</x:f>
        <x:v>PASS</x:v>
      </x:c>
    </x:row>
    <x:row r="419">
      <x:c r="B419" s="21" t="str">
        <x:v>C0413</x:v>
      </x:c>
      <x:c r="C419" s="21" t="str">
        <x:v>stage build</x:v>
      </x:c>
      <x:c r="D419" s="21" t="str">
        <x:v>designed ratio identity row 75</x:v>
      </x:c>
      <x:c r="E419" s="21" t="n">
        <x:f>IF(ABS('Stage Build'!K75-'Stage Build'!I75-'Stage Build'!J75)&lt;0.000001,1,0)</x:f>
        <x:v>1</x:v>
      </x:c>
      <x:c r="F419" s="21" t="n">
        <x:v>1</x:v>
      </x:c>
      <x:c r="G419" s="23" t="str">
        <x:f>IF(E419=F419,"PASS","FAIL")</x:f>
        <x:v>PASS</x:v>
      </x:c>
    </x:row>
    <x:row r="420">
      <x:c r="B420" s="21" t="str">
        <x:v>C0414</x:v>
      </x:c>
      <x:c r="C420" s="21" t="str">
        <x:v>stage build</x:v>
      </x:c>
      <x:c r="D420" s="21" t="str">
        <x:v>M05 status identity row 75</x:v>
      </x:c>
      <x:c r="E420" s="21" t="n">
        <x:f>IF('Stage Build'!L75=IF('Stage Build'!K75&gt;=Assumptions!$C$9,"ADEQUATE","GAP"),1,0)</x:f>
        <x:v>1</x:v>
      </x:c>
      <x:c r="F420" s="21" t="n">
        <x:v>1</x:v>
      </x:c>
      <x:c r="G420" s="23" t="str">
        <x:f>IF(E420=F420,"PASS","FAIL")</x:f>
        <x:v>PASS</x:v>
      </x:c>
    </x:row>
    <x:row r="421">
      <x:c r="B421" s="21" t="str">
        <x:v>C0415</x:v>
      </x:c>
      <x:c r="C421" s="21" t="str">
        <x:v>stage build</x:v>
      </x:c>
      <x:c r="D421" s="21" t="str">
        <x:v>baseline nonnegative row 76</x:v>
      </x:c>
      <x:c r="E421" s="21" t="n">
        <x:f>IF('Stage Build'!F76&gt;=0,1,0)</x:f>
        <x:v>1</x:v>
      </x:c>
      <x:c r="F421" s="21" t="n">
        <x:v>1</x:v>
      </x:c>
      <x:c r="G421" s="23" t="str">
        <x:f>IF(E421=F421,"PASS","FAIL")</x:f>
        <x:v>PASS</x:v>
      </x:c>
    </x:row>
    <x:row r="422">
      <x:c r="B422" s="21" t="str">
        <x:v>C0416</x:v>
      </x:c>
      <x:c r="C422" s="21" t="str">
        <x:v>stage build</x:v>
      </x:c>
      <x:c r="D422" s="21" t="str">
        <x:v>targeted additions nonnegative row 76</x:v>
      </x:c>
      <x:c r="E422" s="21" t="n">
        <x:f>IF(AND('Stage Build'!G76&gt;=0,'Stage Build'!H76&gt;=0),1,0)</x:f>
        <x:v>1</x:v>
      </x:c>
      <x:c r="F422" s="21" t="n">
        <x:v>1</x:v>
      </x:c>
      <x:c r="G422" s="23" t="str">
        <x:f>IF(E422=F422,"PASS","FAIL")</x:f>
        <x:v>PASS</x:v>
      </x:c>
    </x:row>
    <x:row r="423">
      <x:c r="B423" s="21" t="str">
        <x:v>C0417</x:v>
      </x:c>
      <x:c r="C423" s="21" t="str">
        <x:v>stage build</x:v>
      </x:c>
      <x:c r="D423" s="21" t="str">
        <x:v>pre-replication identity row 76</x:v>
      </x:c>
      <x:c r="E423" s="21" t="n">
        <x:f>IF(ABS('Stage Build'!I76-SUM('Stage Build'!F76:H76))&lt;0.000001,1,0)</x:f>
        <x:v>1</x:v>
      </x:c>
      <x:c r="F423" s="21" t="n">
        <x:v>1</x:v>
      </x:c>
      <x:c r="G423" s="23" t="str">
        <x:f>IF(E423=F423,"PASS","FAIL")</x:f>
        <x:v>PASS</x:v>
      </x:c>
    </x:row>
    <x:row r="424">
      <x:c r="B424" s="21" t="str">
        <x:v>C0418</x:v>
      </x:c>
      <x:c r="C424" s="21" t="str">
        <x:v>stage build</x:v>
      </x:c>
      <x:c r="D424" s="21" t="str">
        <x:v>replication layer nonnegative row 76</x:v>
      </x:c>
      <x:c r="E424" s="21" t="n">
        <x:f>IF('Stage Build'!J76&gt;=0,1,0)</x:f>
        <x:v>1</x:v>
      </x:c>
      <x:c r="F424" s="21" t="n">
        <x:v>1</x:v>
      </x:c>
      <x:c r="G424" s="23" t="str">
        <x:f>IF(E424=F424,"PASS","FAIL")</x:f>
        <x:v>PASS</x:v>
      </x:c>
    </x:row>
    <x:row r="425">
      <x:c r="B425" s="21" t="str">
        <x:v>C0419</x:v>
      </x:c>
      <x:c r="C425" s="21" t="str">
        <x:v>stage build</x:v>
      </x:c>
      <x:c r="D425" s="21" t="str">
        <x:v>designed ratio identity row 76</x:v>
      </x:c>
      <x:c r="E425" s="21" t="n">
        <x:f>IF(ABS('Stage Build'!K76-'Stage Build'!I76-'Stage Build'!J76)&lt;0.000001,1,0)</x:f>
        <x:v>1</x:v>
      </x:c>
      <x:c r="F425" s="21" t="n">
        <x:v>1</x:v>
      </x:c>
      <x:c r="G425" s="23" t="str">
        <x:f>IF(E425=F425,"PASS","FAIL")</x:f>
        <x:v>PASS</x:v>
      </x:c>
    </x:row>
    <x:row r="426">
      <x:c r="B426" s="21" t="str">
        <x:v>C0420</x:v>
      </x:c>
      <x:c r="C426" s="21" t="str">
        <x:v>stage build</x:v>
      </x:c>
      <x:c r="D426" s="21" t="str">
        <x:v>M05 status identity row 76</x:v>
      </x:c>
      <x:c r="E426" s="21" t="n">
        <x:f>IF('Stage Build'!L76=IF('Stage Build'!K76&gt;=Assumptions!$C$9,"ADEQUATE","GAP"),1,0)</x:f>
        <x:v>1</x:v>
      </x:c>
      <x:c r="F426" s="21" t="n">
        <x:v>1</x:v>
      </x:c>
      <x:c r="G426" s="23" t="str">
        <x:f>IF(E426=F426,"PASS","FAIL")</x:f>
        <x:v>PASS</x:v>
      </x:c>
    </x:row>
    <x:row r="427">
      <x:c r="B427" s="21" t="str">
        <x:v>C0421</x:v>
      </x:c>
      <x:c r="C427" s="21" t="str">
        <x:v>stage build</x:v>
      </x:c>
      <x:c r="D427" s="21" t="str">
        <x:v>baseline nonnegative row 77</x:v>
      </x:c>
      <x:c r="E427" s="21" t="n">
        <x:f>IF('Stage Build'!F77&gt;=0,1,0)</x:f>
        <x:v>1</x:v>
      </x:c>
      <x:c r="F427" s="21" t="n">
        <x:v>1</x:v>
      </x:c>
      <x:c r="G427" s="23" t="str">
        <x:f>IF(E427=F427,"PASS","FAIL")</x:f>
        <x:v>PASS</x:v>
      </x:c>
    </x:row>
    <x:row r="428">
      <x:c r="B428" s="21" t="str">
        <x:v>C0422</x:v>
      </x:c>
      <x:c r="C428" s="21" t="str">
        <x:v>stage build</x:v>
      </x:c>
      <x:c r="D428" s="21" t="str">
        <x:v>targeted additions nonnegative row 77</x:v>
      </x:c>
      <x:c r="E428" s="21" t="n">
        <x:f>IF(AND('Stage Build'!G77&gt;=0,'Stage Build'!H77&gt;=0),1,0)</x:f>
        <x:v>1</x:v>
      </x:c>
      <x:c r="F428" s="21" t="n">
        <x:v>1</x:v>
      </x:c>
      <x:c r="G428" s="23" t="str">
        <x:f>IF(E428=F428,"PASS","FAIL")</x:f>
        <x:v>PASS</x:v>
      </x:c>
    </x:row>
    <x:row r="429">
      <x:c r="B429" s="21" t="str">
        <x:v>C0423</x:v>
      </x:c>
      <x:c r="C429" s="21" t="str">
        <x:v>stage build</x:v>
      </x:c>
      <x:c r="D429" s="21" t="str">
        <x:v>pre-replication identity row 77</x:v>
      </x:c>
      <x:c r="E429" s="21" t="n">
        <x:f>IF(ABS('Stage Build'!I77-SUM('Stage Build'!F77:H77))&lt;0.000001,1,0)</x:f>
        <x:v>1</x:v>
      </x:c>
      <x:c r="F429" s="21" t="n">
        <x:v>1</x:v>
      </x:c>
      <x:c r="G429" s="23" t="str">
        <x:f>IF(E429=F429,"PASS","FAIL")</x:f>
        <x:v>PASS</x:v>
      </x:c>
    </x:row>
    <x:row r="430">
      <x:c r="B430" s="21" t="str">
        <x:v>C0424</x:v>
      </x:c>
      <x:c r="C430" s="21" t="str">
        <x:v>stage build</x:v>
      </x:c>
      <x:c r="D430" s="21" t="str">
        <x:v>replication layer nonnegative row 77</x:v>
      </x:c>
      <x:c r="E430" s="21" t="n">
        <x:f>IF('Stage Build'!J77&gt;=0,1,0)</x:f>
        <x:v>1</x:v>
      </x:c>
      <x:c r="F430" s="21" t="n">
        <x:v>1</x:v>
      </x:c>
      <x:c r="G430" s="23" t="str">
        <x:f>IF(E430=F430,"PASS","FAIL")</x:f>
        <x:v>PASS</x:v>
      </x:c>
    </x:row>
    <x:row r="431">
      <x:c r="B431" s="21" t="str">
        <x:v>C0425</x:v>
      </x:c>
      <x:c r="C431" s="21" t="str">
        <x:v>stage build</x:v>
      </x:c>
      <x:c r="D431" s="21" t="str">
        <x:v>designed ratio identity row 77</x:v>
      </x:c>
      <x:c r="E431" s="21" t="n">
        <x:f>IF(ABS('Stage Build'!K77-'Stage Build'!I77-'Stage Build'!J77)&lt;0.000001,1,0)</x:f>
        <x:v>1</x:v>
      </x:c>
      <x:c r="F431" s="21" t="n">
        <x:v>1</x:v>
      </x:c>
      <x:c r="G431" s="23" t="str">
        <x:f>IF(E431=F431,"PASS","FAIL")</x:f>
        <x:v>PASS</x:v>
      </x:c>
    </x:row>
    <x:row r="432">
      <x:c r="B432" s="21" t="str">
        <x:v>C0426</x:v>
      </x:c>
      <x:c r="C432" s="21" t="str">
        <x:v>stage build</x:v>
      </x:c>
      <x:c r="D432" s="21" t="str">
        <x:v>M05 status identity row 77</x:v>
      </x:c>
      <x:c r="E432" s="21" t="n">
        <x:f>IF('Stage Build'!L77=IF('Stage Build'!K77&gt;=Assumptions!$C$9,"ADEQUATE","GAP"),1,0)</x:f>
        <x:v>1</x:v>
      </x:c>
      <x:c r="F432" s="21" t="n">
        <x:v>1</x:v>
      </x:c>
      <x:c r="G432" s="23" t="str">
        <x:f>IF(E432=F432,"PASS","FAIL")</x:f>
        <x:v>PASS</x:v>
      </x:c>
    </x:row>
    <x:row r="433">
      <x:c r="B433" s="21" t="str">
        <x:v>C0427</x:v>
      </x:c>
      <x:c r="C433" s="21" t="str">
        <x:v>stage build</x:v>
      </x:c>
      <x:c r="D433" s="21" t="str">
        <x:v>baseline nonnegative row 78</x:v>
      </x:c>
      <x:c r="E433" s="21" t="n">
        <x:f>IF('Stage Build'!F78&gt;=0,1,0)</x:f>
        <x:v>1</x:v>
      </x:c>
      <x:c r="F433" s="21" t="n">
        <x:v>1</x:v>
      </x:c>
      <x:c r="G433" s="23" t="str">
        <x:f>IF(E433=F433,"PASS","FAIL")</x:f>
        <x:v>PASS</x:v>
      </x:c>
    </x:row>
    <x:row r="434">
      <x:c r="B434" s="21" t="str">
        <x:v>C0428</x:v>
      </x:c>
      <x:c r="C434" s="21" t="str">
        <x:v>stage build</x:v>
      </x:c>
      <x:c r="D434" s="21" t="str">
        <x:v>targeted additions nonnegative row 78</x:v>
      </x:c>
      <x:c r="E434" s="21" t="n">
        <x:f>IF(AND('Stage Build'!G78&gt;=0,'Stage Build'!H78&gt;=0),1,0)</x:f>
        <x:v>1</x:v>
      </x:c>
      <x:c r="F434" s="21" t="n">
        <x:v>1</x:v>
      </x:c>
      <x:c r="G434" s="23" t="str">
        <x:f>IF(E434=F434,"PASS","FAIL")</x:f>
        <x:v>PASS</x:v>
      </x:c>
    </x:row>
    <x:row r="435">
      <x:c r="B435" s="21" t="str">
        <x:v>C0429</x:v>
      </x:c>
      <x:c r="C435" s="21" t="str">
        <x:v>stage build</x:v>
      </x:c>
      <x:c r="D435" s="21" t="str">
        <x:v>pre-replication identity row 78</x:v>
      </x:c>
      <x:c r="E435" s="21" t="n">
        <x:f>IF(ABS('Stage Build'!I78-SUM('Stage Build'!F78:H78))&lt;0.000001,1,0)</x:f>
        <x:v>1</x:v>
      </x:c>
      <x:c r="F435" s="21" t="n">
        <x:v>1</x:v>
      </x:c>
      <x:c r="G435" s="23" t="str">
        <x:f>IF(E435=F435,"PASS","FAIL")</x:f>
        <x:v>PASS</x:v>
      </x:c>
    </x:row>
    <x:row r="436">
      <x:c r="B436" s="21" t="str">
        <x:v>C0430</x:v>
      </x:c>
      <x:c r="C436" s="21" t="str">
        <x:v>stage build</x:v>
      </x:c>
      <x:c r="D436" s="21" t="str">
        <x:v>replication layer nonnegative row 78</x:v>
      </x:c>
      <x:c r="E436" s="21" t="n">
        <x:f>IF('Stage Build'!J78&gt;=0,1,0)</x:f>
        <x:v>1</x:v>
      </x:c>
      <x:c r="F436" s="21" t="n">
        <x:v>1</x:v>
      </x:c>
      <x:c r="G436" s="23" t="str">
        <x:f>IF(E436=F436,"PASS","FAIL")</x:f>
        <x:v>PASS</x:v>
      </x:c>
    </x:row>
    <x:row r="437">
      <x:c r="B437" s="21" t="str">
        <x:v>C0431</x:v>
      </x:c>
      <x:c r="C437" s="21" t="str">
        <x:v>stage build</x:v>
      </x:c>
      <x:c r="D437" s="21" t="str">
        <x:v>designed ratio identity row 78</x:v>
      </x:c>
      <x:c r="E437" s="21" t="n">
        <x:f>IF(ABS('Stage Build'!K78-'Stage Build'!I78-'Stage Build'!J78)&lt;0.000001,1,0)</x:f>
        <x:v>1</x:v>
      </x:c>
      <x:c r="F437" s="21" t="n">
        <x:v>1</x:v>
      </x:c>
      <x:c r="G437" s="23" t="str">
        <x:f>IF(E437=F437,"PASS","FAIL")</x:f>
        <x:v>PASS</x:v>
      </x:c>
    </x:row>
    <x:row r="438">
      <x:c r="B438" s="21" t="str">
        <x:v>C0432</x:v>
      </x:c>
      <x:c r="C438" s="21" t="str">
        <x:v>stage build</x:v>
      </x:c>
      <x:c r="D438" s="21" t="str">
        <x:v>M05 status identity row 78</x:v>
      </x:c>
      <x:c r="E438" s="21" t="n">
        <x:f>IF('Stage Build'!L78=IF('Stage Build'!K78&gt;=Assumptions!$C$9,"ADEQUATE","GAP"),1,0)</x:f>
        <x:v>1</x:v>
      </x:c>
      <x:c r="F438" s="21" t="n">
        <x:v>1</x:v>
      </x:c>
      <x:c r="G438" s="23" t="str">
        <x:f>IF(E438=F438,"PASS","FAIL")</x:f>
        <x:v>PASS</x:v>
      </x:c>
    </x:row>
    <x:row r="439">
      <x:c r="B439" s="21" t="str">
        <x:v>C0433</x:v>
      </x:c>
      <x:c r="C439" s="21" t="str">
        <x:v>stage build</x:v>
      </x:c>
      <x:c r="D439" s="21" t="str">
        <x:v>baseline nonnegative row 79</x:v>
      </x:c>
      <x:c r="E439" s="21" t="n">
        <x:f>IF('Stage Build'!F79&gt;=0,1,0)</x:f>
        <x:v>1</x:v>
      </x:c>
      <x:c r="F439" s="21" t="n">
        <x:v>1</x:v>
      </x:c>
      <x:c r="G439" s="23" t="str">
        <x:f>IF(E439=F439,"PASS","FAIL")</x:f>
        <x:v>PASS</x:v>
      </x:c>
    </x:row>
    <x:row r="440">
      <x:c r="B440" s="21" t="str">
        <x:v>C0434</x:v>
      </x:c>
      <x:c r="C440" s="21" t="str">
        <x:v>stage build</x:v>
      </x:c>
      <x:c r="D440" s="21" t="str">
        <x:v>targeted additions nonnegative row 79</x:v>
      </x:c>
      <x:c r="E440" s="21" t="n">
        <x:f>IF(AND('Stage Build'!G79&gt;=0,'Stage Build'!H79&gt;=0),1,0)</x:f>
        <x:v>1</x:v>
      </x:c>
      <x:c r="F440" s="21" t="n">
        <x:v>1</x:v>
      </x:c>
      <x:c r="G440" s="23" t="str">
        <x:f>IF(E440=F440,"PASS","FAIL")</x:f>
        <x:v>PASS</x:v>
      </x:c>
    </x:row>
    <x:row r="441">
      <x:c r="B441" s="21" t="str">
        <x:v>C0435</x:v>
      </x:c>
      <x:c r="C441" s="21" t="str">
        <x:v>stage build</x:v>
      </x:c>
      <x:c r="D441" s="21" t="str">
        <x:v>pre-replication identity row 79</x:v>
      </x:c>
      <x:c r="E441" s="21" t="n">
        <x:f>IF(ABS('Stage Build'!I79-SUM('Stage Build'!F79:H79))&lt;0.000001,1,0)</x:f>
        <x:v>1</x:v>
      </x:c>
      <x:c r="F441" s="21" t="n">
        <x:v>1</x:v>
      </x:c>
      <x:c r="G441" s="23" t="str">
        <x:f>IF(E441=F441,"PASS","FAIL")</x:f>
        <x:v>PASS</x:v>
      </x:c>
    </x:row>
    <x:row r="442">
      <x:c r="B442" s="21" t="str">
        <x:v>C0436</x:v>
      </x:c>
      <x:c r="C442" s="21" t="str">
        <x:v>stage build</x:v>
      </x:c>
      <x:c r="D442" s="21" t="str">
        <x:v>replication layer nonnegative row 79</x:v>
      </x:c>
      <x:c r="E442" s="21" t="n">
        <x:f>IF('Stage Build'!J79&gt;=0,1,0)</x:f>
        <x:v>1</x:v>
      </x:c>
      <x:c r="F442" s="21" t="n">
        <x:v>1</x:v>
      </x:c>
      <x:c r="G442" s="23" t="str">
        <x:f>IF(E442=F442,"PASS","FAIL")</x:f>
        <x:v>PASS</x:v>
      </x:c>
    </x:row>
    <x:row r="443">
      <x:c r="B443" s="21" t="str">
        <x:v>C0437</x:v>
      </x:c>
      <x:c r="C443" s="21" t="str">
        <x:v>stage build</x:v>
      </x:c>
      <x:c r="D443" s="21" t="str">
        <x:v>designed ratio identity row 79</x:v>
      </x:c>
      <x:c r="E443" s="21" t="n">
        <x:f>IF(ABS('Stage Build'!K79-'Stage Build'!I79-'Stage Build'!J79)&lt;0.000001,1,0)</x:f>
        <x:v>1</x:v>
      </x:c>
      <x:c r="F443" s="21" t="n">
        <x:v>1</x:v>
      </x:c>
      <x:c r="G443" s="23" t="str">
        <x:f>IF(E443=F443,"PASS","FAIL")</x:f>
        <x:v>PASS</x:v>
      </x:c>
    </x:row>
    <x:row r="444">
      <x:c r="B444" s="21" t="str">
        <x:v>C0438</x:v>
      </x:c>
      <x:c r="C444" s="21" t="str">
        <x:v>stage build</x:v>
      </x:c>
      <x:c r="D444" s="21" t="str">
        <x:v>M05 status identity row 79</x:v>
      </x:c>
      <x:c r="E444" s="21" t="n">
        <x:f>IF('Stage Build'!L79=IF('Stage Build'!K79&gt;=Assumptions!$C$9,"ADEQUATE","GAP"),1,0)</x:f>
        <x:v>1</x:v>
      </x:c>
      <x:c r="F444" s="21" t="n">
        <x:v>1</x:v>
      </x:c>
      <x:c r="G444" s="23" t="str">
        <x:f>IF(E444=F444,"PASS","FAIL")</x:f>
        <x:v>PASS</x:v>
      </x:c>
    </x:row>
    <x:row r="445">
      <x:c r="B445" s="21" t="str">
        <x:v>C0439</x:v>
      </x:c>
      <x:c r="C445" s="21" t="str">
        <x:v>stage build</x:v>
      </x:c>
      <x:c r="D445" s="21" t="str">
        <x:v>baseline nonnegative row 80</x:v>
      </x:c>
      <x:c r="E445" s="21" t="n">
        <x:f>IF('Stage Build'!F80&gt;=0,1,0)</x:f>
        <x:v>1</x:v>
      </x:c>
      <x:c r="F445" s="21" t="n">
        <x:v>1</x:v>
      </x:c>
      <x:c r="G445" s="23" t="str">
        <x:f>IF(E445=F445,"PASS","FAIL")</x:f>
        <x:v>PASS</x:v>
      </x:c>
    </x:row>
    <x:row r="446">
      <x:c r="B446" s="21" t="str">
        <x:v>C0440</x:v>
      </x:c>
      <x:c r="C446" s="21" t="str">
        <x:v>stage build</x:v>
      </x:c>
      <x:c r="D446" s="21" t="str">
        <x:v>targeted additions nonnegative row 80</x:v>
      </x:c>
      <x:c r="E446" s="21" t="n">
        <x:f>IF(AND('Stage Build'!G80&gt;=0,'Stage Build'!H80&gt;=0),1,0)</x:f>
        <x:v>1</x:v>
      </x:c>
      <x:c r="F446" s="21" t="n">
        <x:v>1</x:v>
      </x:c>
      <x:c r="G446" s="23" t="str">
        <x:f>IF(E446=F446,"PASS","FAIL")</x:f>
        <x:v>PASS</x:v>
      </x:c>
    </x:row>
    <x:row r="447">
      <x:c r="B447" s="21" t="str">
        <x:v>C0441</x:v>
      </x:c>
      <x:c r="C447" s="21" t="str">
        <x:v>stage build</x:v>
      </x:c>
      <x:c r="D447" s="21" t="str">
        <x:v>pre-replication identity row 80</x:v>
      </x:c>
      <x:c r="E447" s="21" t="n">
        <x:f>IF(ABS('Stage Build'!I80-SUM('Stage Build'!F80:H80))&lt;0.000001,1,0)</x:f>
        <x:v>1</x:v>
      </x:c>
      <x:c r="F447" s="21" t="n">
        <x:v>1</x:v>
      </x:c>
      <x:c r="G447" s="23" t="str">
        <x:f>IF(E447=F447,"PASS","FAIL")</x:f>
        <x:v>PASS</x:v>
      </x:c>
    </x:row>
    <x:row r="448">
      <x:c r="B448" s="21" t="str">
        <x:v>C0442</x:v>
      </x:c>
      <x:c r="C448" s="21" t="str">
        <x:v>stage build</x:v>
      </x:c>
      <x:c r="D448" s="21" t="str">
        <x:v>replication layer nonnegative row 80</x:v>
      </x:c>
      <x:c r="E448" s="21" t="n">
        <x:f>IF('Stage Build'!J80&gt;=0,1,0)</x:f>
        <x:v>1</x:v>
      </x:c>
      <x:c r="F448" s="21" t="n">
        <x:v>1</x:v>
      </x:c>
      <x:c r="G448" s="23" t="str">
        <x:f>IF(E448=F448,"PASS","FAIL")</x:f>
        <x:v>PASS</x:v>
      </x:c>
    </x:row>
    <x:row r="449">
      <x:c r="B449" s="21" t="str">
        <x:v>C0443</x:v>
      </x:c>
      <x:c r="C449" s="21" t="str">
        <x:v>stage build</x:v>
      </x:c>
      <x:c r="D449" s="21" t="str">
        <x:v>designed ratio identity row 80</x:v>
      </x:c>
      <x:c r="E449" s="21" t="n">
        <x:f>IF(ABS('Stage Build'!K80-'Stage Build'!I80-'Stage Build'!J80)&lt;0.000001,1,0)</x:f>
        <x:v>1</x:v>
      </x:c>
      <x:c r="F449" s="21" t="n">
        <x:v>1</x:v>
      </x:c>
      <x:c r="G449" s="23" t="str">
        <x:f>IF(E449=F449,"PASS","FAIL")</x:f>
        <x:v>PASS</x:v>
      </x:c>
    </x:row>
    <x:row r="450">
      <x:c r="B450" s="21" t="str">
        <x:v>C0444</x:v>
      </x:c>
      <x:c r="C450" s="21" t="str">
        <x:v>stage build</x:v>
      </x:c>
      <x:c r="D450" s="21" t="str">
        <x:v>M05 status identity row 80</x:v>
      </x:c>
      <x:c r="E450" s="21" t="n">
        <x:f>IF('Stage Build'!L80=IF('Stage Build'!K80&gt;=Assumptions!$C$9,"ADEQUATE","GAP"),1,0)</x:f>
        <x:v>1</x:v>
      </x:c>
      <x:c r="F450" s="21" t="n">
        <x:v>1</x:v>
      </x:c>
      <x:c r="G450" s="23" t="str">
        <x:f>IF(E450=F450,"PASS","FAIL")</x:f>
        <x:v>PASS</x:v>
      </x:c>
    </x:row>
    <x:row r="451">
      <x:c r="B451" s="21" t="str">
        <x:v>C0445</x:v>
      </x:c>
      <x:c r="C451" s="21" t="str">
        <x:v>stage build</x:v>
      </x:c>
      <x:c r="D451" s="21" t="str">
        <x:v>baseline nonnegative row 81</x:v>
      </x:c>
      <x:c r="E451" s="21" t="n">
        <x:f>IF('Stage Build'!F81&gt;=0,1,0)</x:f>
        <x:v>1</x:v>
      </x:c>
      <x:c r="F451" s="21" t="n">
        <x:v>1</x:v>
      </x:c>
      <x:c r="G451" s="23" t="str">
        <x:f>IF(E451=F451,"PASS","FAIL")</x:f>
        <x:v>PASS</x:v>
      </x:c>
    </x:row>
    <x:row r="452">
      <x:c r="B452" s="21" t="str">
        <x:v>C0446</x:v>
      </x:c>
      <x:c r="C452" s="21" t="str">
        <x:v>stage build</x:v>
      </x:c>
      <x:c r="D452" s="21" t="str">
        <x:v>targeted additions nonnegative row 81</x:v>
      </x:c>
      <x:c r="E452" s="21" t="n">
        <x:f>IF(AND('Stage Build'!G81&gt;=0,'Stage Build'!H81&gt;=0),1,0)</x:f>
        <x:v>1</x:v>
      </x:c>
      <x:c r="F452" s="21" t="n">
        <x:v>1</x:v>
      </x:c>
      <x:c r="G452" s="23" t="str">
        <x:f>IF(E452=F452,"PASS","FAIL")</x:f>
        <x:v>PASS</x:v>
      </x:c>
    </x:row>
    <x:row r="453">
      <x:c r="B453" s="21" t="str">
        <x:v>C0447</x:v>
      </x:c>
      <x:c r="C453" s="21" t="str">
        <x:v>stage build</x:v>
      </x:c>
      <x:c r="D453" s="21" t="str">
        <x:v>pre-replication identity row 81</x:v>
      </x:c>
      <x:c r="E453" s="21" t="n">
        <x:f>IF(ABS('Stage Build'!I81-SUM('Stage Build'!F81:H81))&lt;0.000001,1,0)</x:f>
        <x:v>1</x:v>
      </x:c>
      <x:c r="F453" s="21" t="n">
        <x:v>1</x:v>
      </x:c>
      <x:c r="G453" s="23" t="str">
        <x:f>IF(E453=F453,"PASS","FAIL")</x:f>
        <x:v>PASS</x:v>
      </x:c>
    </x:row>
    <x:row r="454">
      <x:c r="B454" s="21" t="str">
        <x:v>C0448</x:v>
      </x:c>
      <x:c r="C454" s="21" t="str">
        <x:v>stage build</x:v>
      </x:c>
      <x:c r="D454" s="21" t="str">
        <x:v>replication layer nonnegative row 81</x:v>
      </x:c>
      <x:c r="E454" s="21" t="n">
        <x:f>IF('Stage Build'!J81&gt;=0,1,0)</x:f>
        <x:v>1</x:v>
      </x:c>
      <x:c r="F454" s="21" t="n">
        <x:v>1</x:v>
      </x:c>
      <x:c r="G454" s="23" t="str">
        <x:f>IF(E454=F454,"PASS","FAIL")</x:f>
        <x:v>PASS</x:v>
      </x:c>
    </x:row>
    <x:row r="455">
      <x:c r="B455" s="21" t="str">
        <x:v>C0449</x:v>
      </x:c>
      <x:c r="C455" s="21" t="str">
        <x:v>stage build</x:v>
      </x:c>
      <x:c r="D455" s="21" t="str">
        <x:v>designed ratio identity row 81</x:v>
      </x:c>
      <x:c r="E455" s="21" t="n">
        <x:f>IF(ABS('Stage Build'!K81-'Stage Build'!I81-'Stage Build'!J81)&lt;0.000001,1,0)</x:f>
        <x:v>1</x:v>
      </x:c>
      <x:c r="F455" s="21" t="n">
        <x:v>1</x:v>
      </x:c>
      <x:c r="G455" s="23" t="str">
        <x:f>IF(E455=F455,"PASS","FAIL")</x:f>
        <x:v>PASS</x:v>
      </x:c>
    </x:row>
    <x:row r="456">
      <x:c r="B456" s="21" t="str">
        <x:v>C0450</x:v>
      </x:c>
      <x:c r="C456" s="21" t="str">
        <x:v>stage build</x:v>
      </x:c>
      <x:c r="D456" s="21" t="str">
        <x:v>M05 status identity row 81</x:v>
      </x:c>
      <x:c r="E456" s="21" t="n">
        <x:f>IF('Stage Build'!L81=IF('Stage Build'!K81&gt;=Assumptions!$C$9,"ADEQUATE","GAP"),1,0)</x:f>
        <x:v>1</x:v>
      </x:c>
      <x:c r="F456" s="21" t="n">
        <x:v>1</x:v>
      </x:c>
      <x:c r="G456" s="23" t="str">
        <x:f>IF(E456=F456,"PASS","FAIL")</x:f>
        <x:v>PASS</x:v>
      </x:c>
    </x:row>
    <x:row r="457">
      <x:c r="B457" s="21" t="str">
        <x:v>C0451</x:v>
      </x:c>
      <x:c r="C457" s="21" t="str">
        <x:v>stage build</x:v>
      </x:c>
      <x:c r="D457" s="21" t="str">
        <x:v>baseline nonnegative row 82</x:v>
      </x:c>
      <x:c r="E457" s="21" t="n">
        <x:f>IF('Stage Build'!F82&gt;=0,1,0)</x:f>
        <x:v>1</x:v>
      </x:c>
      <x:c r="F457" s="21" t="n">
        <x:v>1</x:v>
      </x:c>
      <x:c r="G457" s="23" t="str">
        <x:f>IF(E457=F457,"PASS","FAIL")</x:f>
        <x:v>PASS</x:v>
      </x:c>
    </x:row>
    <x:row r="458">
      <x:c r="B458" s="21" t="str">
        <x:v>C0452</x:v>
      </x:c>
      <x:c r="C458" s="21" t="str">
        <x:v>stage build</x:v>
      </x:c>
      <x:c r="D458" s="21" t="str">
        <x:v>targeted additions nonnegative row 82</x:v>
      </x:c>
      <x:c r="E458" s="21" t="n">
        <x:f>IF(AND('Stage Build'!G82&gt;=0,'Stage Build'!H82&gt;=0),1,0)</x:f>
        <x:v>1</x:v>
      </x:c>
      <x:c r="F458" s="21" t="n">
        <x:v>1</x:v>
      </x:c>
      <x:c r="G458" s="23" t="str">
        <x:f>IF(E458=F458,"PASS","FAIL")</x:f>
        <x:v>PASS</x:v>
      </x:c>
    </x:row>
    <x:row r="459">
      <x:c r="B459" s="21" t="str">
        <x:v>C0453</x:v>
      </x:c>
      <x:c r="C459" s="21" t="str">
        <x:v>stage build</x:v>
      </x:c>
      <x:c r="D459" s="21" t="str">
        <x:v>pre-replication identity row 82</x:v>
      </x:c>
      <x:c r="E459" s="21" t="n">
        <x:f>IF(ABS('Stage Build'!I82-SUM('Stage Build'!F82:H82))&lt;0.000001,1,0)</x:f>
        <x:v>1</x:v>
      </x:c>
      <x:c r="F459" s="21" t="n">
        <x:v>1</x:v>
      </x:c>
      <x:c r="G459" s="23" t="str">
        <x:f>IF(E459=F459,"PASS","FAIL")</x:f>
        <x:v>PASS</x:v>
      </x:c>
    </x:row>
    <x:row r="460">
      <x:c r="B460" s="21" t="str">
        <x:v>C0454</x:v>
      </x:c>
      <x:c r="C460" s="21" t="str">
        <x:v>stage build</x:v>
      </x:c>
      <x:c r="D460" s="21" t="str">
        <x:v>replication layer nonnegative row 82</x:v>
      </x:c>
      <x:c r="E460" s="21" t="n">
        <x:f>IF('Stage Build'!J82&gt;=0,1,0)</x:f>
        <x:v>1</x:v>
      </x:c>
      <x:c r="F460" s="21" t="n">
        <x:v>1</x:v>
      </x:c>
      <x:c r="G460" s="23" t="str">
        <x:f>IF(E460=F460,"PASS","FAIL")</x:f>
        <x:v>PASS</x:v>
      </x:c>
    </x:row>
    <x:row r="461">
      <x:c r="B461" s="21" t="str">
        <x:v>C0455</x:v>
      </x:c>
      <x:c r="C461" s="21" t="str">
        <x:v>stage build</x:v>
      </x:c>
      <x:c r="D461" s="21" t="str">
        <x:v>designed ratio identity row 82</x:v>
      </x:c>
      <x:c r="E461" s="21" t="n">
        <x:f>IF(ABS('Stage Build'!K82-'Stage Build'!I82-'Stage Build'!J82)&lt;0.000001,1,0)</x:f>
        <x:v>1</x:v>
      </x:c>
      <x:c r="F461" s="21" t="n">
        <x:v>1</x:v>
      </x:c>
      <x:c r="G461" s="23" t="str">
        <x:f>IF(E461=F461,"PASS","FAIL")</x:f>
        <x:v>PASS</x:v>
      </x:c>
    </x:row>
    <x:row r="462">
      <x:c r="B462" s="21" t="str">
        <x:v>C0456</x:v>
      </x:c>
      <x:c r="C462" s="21" t="str">
        <x:v>stage build</x:v>
      </x:c>
      <x:c r="D462" s="21" t="str">
        <x:v>M05 status identity row 82</x:v>
      </x:c>
      <x:c r="E462" s="21" t="n">
        <x:f>IF('Stage Build'!L82=IF('Stage Build'!K82&gt;=Assumptions!$C$9,"ADEQUATE","GAP"),1,0)</x:f>
        <x:v>1</x:v>
      </x:c>
      <x:c r="F462" s="21" t="n">
        <x:v>1</x:v>
      </x:c>
      <x:c r="G462" s="23" t="str">
        <x:f>IF(E462=F462,"PASS","FAIL")</x:f>
        <x:v>PASS</x:v>
      </x:c>
    </x:row>
    <x:row r="463">
      <x:c r="B463" s="21" t="str">
        <x:v>C0457</x:v>
      </x:c>
      <x:c r="C463" s="21" t="str">
        <x:v>stage build</x:v>
      </x:c>
      <x:c r="D463" s="21" t="str">
        <x:v>baseline nonnegative row 83</x:v>
      </x:c>
      <x:c r="E463" s="21" t="n">
        <x:f>IF('Stage Build'!F83&gt;=0,1,0)</x:f>
        <x:v>1</x:v>
      </x:c>
      <x:c r="F463" s="21" t="n">
        <x:v>1</x:v>
      </x:c>
      <x:c r="G463" s="23" t="str">
        <x:f>IF(E463=F463,"PASS","FAIL")</x:f>
        <x:v>PASS</x:v>
      </x:c>
    </x:row>
    <x:row r="464">
      <x:c r="B464" s="21" t="str">
        <x:v>C0458</x:v>
      </x:c>
      <x:c r="C464" s="21" t="str">
        <x:v>stage build</x:v>
      </x:c>
      <x:c r="D464" s="21" t="str">
        <x:v>targeted additions nonnegative row 83</x:v>
      </x:c>
      <x:c r="E464" s="21" t="n">
        <x:f>IF(AND('Stage Build'!G83&gt;=0,'Stage Build'!H83&gt;=0),1,0)</x:f>
        <x:v>1</x:v>
      </x:c>
      <x:c r="F464" s="21" t="n">
        <x:v>1</x:v>
      </x:c>
      <x:c r="G464" s="23" t="str">
        <x:f>IF(E464=F464,"PASS","FAIL")</x:f>
        <x:v>PASS</x:v>
      </x:c>
    </x:row>
    <x:row r="465">
      <x:c r="B465" s="21" t="str">
        <x:v>C0459</x:v>
      </x:c>
      <x:c r="C465" s="21" t="str">
        <x:v>stage build</x:v>
      </x:c>
      <x:c r="D465" s="21" t="str">
        <x:v>pre-replication identity row 83</x:v>
      </x:c>
      <x:c r="E465" s="21" t="n">
        <x:f>IF(ABS('Stage Build'!I83-SUM('Stage Build'!F83:H83))&lt;0.000001,1,0)</x:f>
        <x:v>1</x:v>
      </x:c>
      <x:c r="F465" s="21" t="n">
        <x:v>1</x:v>
      </x:c>
      <x:c r="G465" s="23" t="str">
        <x:f>IF(E465=F465,"PASS","FAIL")</x:f>
        <x:v>PASS</x:v>
      </x:c>
    </x:row>
    <x:row r="466">
      <x:c r="B466" s="21" t="str">
        <x:v>C0460</x:v>
      </x:c>
      <x:c r="C466" s="21" t="str">
        <x:v>stage build</x:v>
      </x:c>
      <x:c r="D466" s="21" t="str">
        <x:v>replication layer nonnegative row 83</x:v>
      </x:c>
      <x:c r="E466" s="21" t="n">
        <x:f>IF('Stage Build'!J83&gt;=0,1,0)</x:f>
        <x:v>1</x:v>
      </x:c>
      <x:c r="F466" s="21" t="n">
        <x:v>1</x:v>
      </x:c>
      <x:c r="G466" s="23" t="str">
        <x:f>IF(E466=F466,"PASS","FAIL")</x:f>
        <x:v>PASS</x:v>
      </x:c>
    </x:row>
    <x:row r="467">
      <x:c r="B467" s="21" t="str">
        <x:v>C0461</x:v>
      </x:c>
      <x:c r="C467" s="21" t="str">
        <x:v>stage build</x:v>
      </x:c>
      <x:c r="D467" s="21" t="str">
        <x:v>designed ratio identity row 83</x:v>
      </x:c>
      <x:c r="E467" s="21" t="n">
        <x:f>IF(ABS('Stage Build'!K83-'Stage Build'!I83-'Stage Build'!J83)&lt;0.000001,1,0)</x:f>
        <x:v>1</x:v>
      </x:c>
      <x:c r="F467" s="21" t="n">
        <x:v>1</x:v>
      </x:c>
      <x:c r="G467" s="23" t="str">
        <x:f>IF(E467=F467,"PASS","FAIL")</x:f>
        <x:v>PASS</x:v>
      </x:c>
    </x:row>
    <x:row r="468">
      <x:c r="B468" s="21" t="str">
        <x:v>C0462</x:v>
      </x:c>
      <x:c r="C468" s="21" t="str">
        <x:v>stage build</x:v>
      </x:c>
      <x:c r="D468" s="21" t="str">
        <x:v>M05 status identity row 83</x:v>
      </x:c>
      <x:c r="E468" s="21" t="n">
        <x:f>IF('Stage Build'!L83=IF('Stage Build'!K83&gt;=Assumptions!$C$9,"ADEQUATE","GAP"),1,0)</x:f>
        <x:v>1</x:v>
      </x:c>
      <x:c r="F468" s="21" t="n">
        <x:v>1</x:v>
      </x:c>
      <x:c r="G468" s="23" t="str">
        <x:f>IF(E468=F468,"PASS","FAIL")</x:f>
        <x:v>PASS</x:v>
      </x:c>
    </x:row>
    <x:row r="469">
      <x:c r="B469" s="21" t="str">
        <x:v>C0463</x:v>
      </x:c>
      <x:c r="C469" s="21" t="str">
        <x:v>stage build</x:v>
      </x:c>
      <x:c r="D469" s="21" t="str">
        <x:v>baseline nonnegative row 84</x:v>
      </x:c>
      <x:c r="E469" s="21" t="n">
        <x:f>IF('Stage Build'!F84&gt;=0,1,0)</x:f>
        <x:v>1</x:v>
      </x:c>
      <x:c r="F469" s="21" t="n">
        <x:v>1</x:v>
      </x:c>
      <x:c r="G469" s="23" t="str">
        <x:f>IF(E469=F469,"PASS","FAIL")</x:f>
        <x:v>PASS</x:v>
      </x:c>
    </x:row>
    <x:row r="470">
      <x:c r="B470" s="21" t="str">
        <x:v>C0464</x:v>
      </x:c>
      <x:c r="C470" s="21" t="str">
        <x:v>stage build</x:v>
      </x:c>
      <x:c r="D470" s="21" t="str">
        <x:v>targeted additions nonnegative row 84</x:v>
      </x:c>
      <x:c r="E470" s="21" t="n">
        <x:f>IF(AND('Stage Build'!G84&gt;=0,'Stage Build'!H84&gt;=0),1,0)</x:f>
        <x:v>1</x:v>
      </x:c>
      <x:c r="F470" s="21" t="n">
        <x:v>1</x:v>
      </x:c>
      <x:c r="G470" s="23" t="str">
        <x:f>IF(E470=F470,"PASS","FAIL")</x:f>
        <x:v>PASS</x:v>
      </x:c>
    </x:row>
    <x:row r="471">
      <x:c r="B471" s="21" t="str">
        <x:v>C0465</x:v>
      </x:c>
      <x:c r="C471" s="21" t="str">
        <x:v>stage build</x:v>
      </x:c>
      <x:c r="D471" s="21" t="str">
        <x:v>pre-replication identity row 84</x:v>
      </x:c>
      <x:c r="E471" s="21" t="n">
        <x:f>IF(ABS('Stage Build'!I84-SUM('Stage Build'!F84:H84))&lt;0.000001,1,0)</x:f>
        <x:v>1</x:v>
      </x:c>
      <x:c r="F471" s="21" t="n">
        <x:v>1</x:v>
      </x:c>
      <x:c r="G471" s="23" t="str">
        <x:f>IF(E471=F471,"PASS","FAIL")</x:f>
        <x:v>PASS</x:v>
      </x:c>
    </x:row>
    <x:row r="472">
      <x:c r="B472" s="21" t="str">
        <x:v>C0466</x:v>
      </x:c>
      <x:c r="C472" s="21" t="str">
        <x:v>stage build</x:v>
      </x:c>
      <x:c r="D472" s="21" t="str">
        <x:v>replication layer nonnegative row 84</x:v>
      </x:c>
      <x:c r="E472" s="21" t="n">
        <x:f>IF('Stage Build'!J84&gt;=0,1,0)</x:f>
        <x:v>1</x:v>
      </x:c>
      <x:c r="F472" s="21" t="n">
        <x:v>1</x:v>
      </x:c>
      <x:c r="G472" s="23" t="str">
        <x:f>IF(E472=F472,"PASS","FAIL")</x:f>
        <x:v>PASS</x:v>
      </x:c>
    </x:row>
    <x:row r="473">
      <x:c r="B473" s="21" t="str">
        <x:v>C0467</x:v>
      </x:c>
      <x:c r="C473" s="21" t="str">
        <x:v>stage build</x:v>
      </x:c>
      <x:c r="D473" s="21" t="str">
        <x:v>designed ratio identity row 84</x:v>
      </x:c>
      <x:c r="E473" s="21" t="n">
        <x:f>IF(ABS('Stage Build'!K84-'Stage Build'!I84-'Stage Build'!J84)&lt;0.000001,1,0)</x:f>
        <x:v>1</x:v>
      </x:c>
      <x:c r="F473" s="21" t="n">
        <x:v>1</x:v>
      </x:c>
      <x:c r="G473" s="23" t="str">
        <x:f>IF(E473=F473,"PASS","FAIL")</x:f>
        <x:v>PASS</x:v>
      </x:c>
    </x:row>
    <x:row r="474">
      <x:c r="B474" s="21" t="str">
        <x:v>C0468</x:v>
      </x:c>
      <x:c r="C474" s="21" t="str">
        <x:v>stage build</x:v>
      </x:c>
      <x:c r="D474" s="21" t="str">
        <x:v>M05 status identity row 84</x:v>
      </x:c>
      <x:c r="E474" s="21" t="n">
        <x:f>IF('Stage Build'!L84=IF('Stage Build'!K84&gt;=Assumptions!$C$9,"ADEQUATE","GAP"),1,0)</x:f>
        <x:v>1</x:v>
      </x:c>
      <x:c r="F474" s="21" t="n">
        <x:v>1</x:v>
      </x:c>
      <x:c r="G474" s="23" t="str">
        <x:f>IF(E474=F474,"PASS","FAIL")</x:f>
        <x:v>PASS</x:v>
      </x:c>
    </x:row>
    <x:row r="475">
      <x:c r="B475" s="21" t="str">
        <x:v>C0469</x:v>
      </x:c>
      <x:c r="C475" s="21" t="str">
        <x:v>stage build</x:v>
      </x:c>
      <x:c r="D475" s="21" t="str">
        <x:v>baseline nonnegative row 85</x:v>
      </x:c>
      <x:c r="E475" s="21" t="n">
        <x:f>IF('Stage Build'!F85&gt;=0,1,0)</x:f>
        <x:v>1</x:v>
      </x:c>
      <x:c r="F475" s="21" t="n">
        <x:v>1</x:v>
      </x:c>
      <x:c r="G475" s="23" t="str">
        <x:f>IF(E475=F475,"PASS","FAIL")</x:f>
        <x:v>PASS</x:v>
      </x:c>
    </x:row>
    <x:row r="476">
      <x:c r="B476" s="21" t="str">
        <x:v>C0470</x:v>
      </x:c>
      <x:c r="C476" s="21" t="str">
        <x:v>stage build</x:v>
      </x:c>
      <x:c r="D476" s="21" t="str">
        <x:v>targeted additions nonnegative row 85</x:v>
      </x:c>
      <x:c r="E476" s="21" t="n">
        <x:f>IF(AND('Stage Build'!G85&gt;=0,'Stage Build'!H85&gt;=0),1,0)</x:f>
        <x:v>1</x:v>
      </x:c>
      <x:c r="F476" s="21" t="n">
        <x:v>1</x:v>
      </x:c>
      <x:c r="G476" s="23" t="str">
        <x:f>IF(E476=F476,"PASS","FAIL")</x:f>
        <x:v>PASS</x:v>
      </x:c>
    </x:row>
    <x:row r="477">
      <x:c r="B477" s="21" t="str">
        <x:v>C0471</x:v>
      </x:c>
      <x:c r="C477" s="21" t="str">
        <x:v>stage build</x:v>
      </x:c>
      <x:c r="D477" s="21" t="str">
        <x:v>pre-replication identity row 85</x:v>
      </x:c>
      <x:c r="E477" s="21" t="n">
        <x:f>IF(ABS('Stage Build'!I85-SUM('Stage Build'!F85:H85))&lt;0.000001,1,0)</x:f>
        <x:v>1</x:v>
      </x:c>
      <x:c r="F477" s="21" t="n">
        <x:v>1</x:v>
      </x:c>
      <x:c r="G477" s="23" t="str">
        <x:f>IF(E477=F477,"PASS","FAIL")</x:f>
        <x:v>PASS</x:v>
      </x:c>
    </x:row>
    <x:row r="478">
      <x:c r="B478" s="21" t="str">
        <x:v>C0472</x:v>
      </x:c>
      <x:c r="C478" s="21" t="str">
        <x:v>stage build</x:v>
      </x:c>
      <x:c r="D478" s="21" t="str">
        <x:v>replication layer nonnegative row 85</x:v>
      </x:c>
      <x:c r="E478" s="21" t="n">
        <x:f>IF('Stage Build'!J85&gt;=0,1,0)</x:f>
        <x:v>1</x:v>
      </x:c>
      <x:c r="F478" s="21" t="n">
        <x:v>1</x:v>
      </x:c>
      <x:c r="G478" s="23" t="str">
        <x:f>IF(E478=F478,"PASS","FAIL")</x:f>
        <x:v>PASS</x:v>
      </x:c>
    </x:row>
    <x:row r="479">
      <x:c r="B479" s="21" t="str">
        <x:v>C0473</x:v>
      </x:c>
      <x:c r="C479" s="21" t="str">
        <x:v>stage build</x:v>
      </x:c>
      <x:c r="D479" s="21" t="str">
        <x:v>designed ratio identity row 85</x:v>
      </x:c>
      <x:c r="E479" s="21" t="n">
        <x:f>IF(ABS('Stage Build'!K85-'Stage Build'!I85-'Stage Build'!J85)&lt;0.000001,1,0)</x:f>
        <x:v>1</x:v>
      </x:c>
      <x:c r="F479" s="21" t="n">
        <x:v>1</x:v>
      </x:c>
      <x:c r="G479" s="23" t="str">
        <x:f>IF(E479=F479,"PASS","FAIL")</x:f>
        <x:v>PASS</x:v>
      </x:c>
    </x:row>
    <x:row r="480">
      <x:c r="B480" s="21" t="str">
        <x:v>C0474</x:v>
      </x:c>
      <x:c r="C480" s="21" t="str">
        <x:v>stage build</x:v>
      </x:c>
      <x:c r="D480" s="21" t="str">
        <x:v>M05 status identity row 85</x:v>
      </x:c>
      <x:c r="E480" s="21" t="n">
        <x:f>IF('Stage Build'!L85=IF('Stage Build'!K85&gt;=Assumptions!$C$9,"ADEQUATE","GAP"),1,0)</x:f>
        <x:v>1</x:v>
      </x:c>
      <x:c r="F480" s="21" t="n">
        <x:v>1</x:v>
      </x:c>
      <x:c r="G480" s="23" t="str">
        <x:f>IF(E480=F480,"PASS","FAIL")</x:f>
        <x:v>PASS</x:v>
      </x:c>
    </x:row>
    <x:row r="481">
      <x:c r="B481" s="21" t="str">
        <x:v>C0475</x:v>
      </x:c>
      <x:c r="C481" s="21" t="str">
        <x:v>stage build</x:v>
      </x:c>
      <x:c r="D481" s="21" t="str">
        <x:v>baseline nonnegative row 86</x:v>
      </x:c>
      <x:c r="E481" s="21" t="n">
        <x:f>IF('Stage Build'!F86&gt;=0,1,0)</x:f>
        <x:v>1</x:v>
      </x:c>
      <x:c r="F481" s="21" t="n">
        <x:v>1</x:v>
      </x:c>
      <x:c r="G481" s="23" t="str">
        <x:f>IF(E481=F481,"PASS","FAIL")</x:f>
        <x:v>PASS</x:v>
      </x:c>
    </x:row>
    <x:row r="482">
      <x:c r="B482" s="21" t="str">
        <x:v>C0476</x:v>
      </x:c>
      <x:c r="C482" s="21" t="str">
        <x:v>stage build</x:v>
      </x:c>
      <x:c r="D482" s="21" t="str">
        <x:v>targeted additions nonnegative row 86</x:v>
      </x:c>
      <x:c r="E482" s="21" t="n">
        <x:f>IF(AND('Stage Build'!G86&gt;=0,'Stage Build'!H86&gt;=0),1,0)</x:f>
        <x:v>1</x:v>
      </x:c>
      <x:c r="F482" s="21" t="n">
        <x:v>1</x:v>
      </x:c>
      <x:c r="G482" s="23" t="str">
        <x:f>IF(E482=F482,"PASS","FAIL")</x:f>
        <x:v>PASS</x:v>
      </x:c>
    </x:row>
    <x:row r="483">
      <x:c r="B483" s="21" t="str">
        <x:v>C0477</x:v>
      </x:c>
      <x:c r="C483" s="21" t="str">
        <x:v>stage build</x:v>
      </x:c>
      <x:c r="D483" s="21" t="str">
        <x:v>pre-replication identity row 86</x:v>
      </x:c>
      <x:c r="E483" s="21" t="n">
        <x:f>IF(ABS('Stage Build'!I86-SUM('Stage Build'!F86:H86))&lt;0.000001,1,0)</x:f>
        <x:v>1</x:v>
      </x:c>
      <x:c r="F483" s="21" t="n">
        <x:v>1</x:v>
      </x:c>
      <x:c r="G483" s="23" t="str">
        <x:f>IF(E483=F483,"PASS","FAIL")</x:f>
        <x:v>PASS</x:v>
      </x:c>
    </x:row>
    <x:row r="484">
      <x:c r="B484" s="21" t="str">
        <x:v>C0478</x:v>
      </x:c>
      <x:c r="C484" s="21" t="str">
        <x:v>stage build</x:v>
      </x:c>
      <x:c r="D484" s="21" t="str">
        <x:v>replication layer nonnegative row 86</x:v>
      </x:c>
      <x:c r="E484" s="21" t="n">
        <x:f>IF('Stage Build'!J86&gt;=0,1,0)</x:f>
        <x:v>1</x:v>
      </x:c>
      <x:c r="F484" s="21" t="n">
        <x:v>1</x:v>
      </x:c>
      <x:c r="G484" s="23" t="str">
        <x:f>IF(E484=F484,"PASS","FAIL")</x:f>
        <x:v>PASS</x:v>
      </x:c>
    </x:row>
    <x:row r="485">
      <x:c r="B485" s="21" t="str">
        <x:v>C0479</x:v>
      </x:c>
      <x:c r="C485" s="21" t="str">
        <x:v>stage build</x:v>
      </x:c>
      <x:c r="D485" s="21" t="str">
        <x:v>designed ratio identity row 86</x:v>
      </x:c>
      <x:c r="E485" s="21" t="n">
        <x:f>IF(ABS('Stage Build'!K86-'Stage Build'!I86-'Stage Build'!J86)&lt;0.000001,1,0)</x:f>
        <x:v>1</x:v>
      </x:c>
      <x:c r="F485" s="21" t="n">
        <x:v>1</x:v>
      </x:c>
      <x:c r="G485" s="23" t="str">
        <x:f>IF(E485=F485,"PASS","FAIL")</x:f>
        <x:v>PASS</x:v>
      </x:c>
    </x:row>
    <x:row r="486">
      <x:c r="B486" s="21" t="str">
        <x:v>C0480</x:v>
      </x:c>
      <x:c r="C486" s="21" t="str">
        <x:v>stage build</x:v>
      </x:c>
      <x:c r="D486" s="21" t="str">
        <x:v>M05 status identity row 86</x:v>
      </x:c>
      <x:c r="E486" s="21" t="n">
        <x:f>IF('Stage Build'!L86=IF('Stage Build'!K86&gt;=Assumptions!$C$9,"ADEQUATE","GAP"),1,0)</x:f>
        <x:v>1</x:v>
      </x:c>
      <x:c r="F486" s="21" t="n">
        <x:v>1</x:v>
      </x:c>
      <x:c r="G486" s="23" t="str">
        <x:f>IF(E486=F486,"PASS","FAIL")</x:f>
        <x:v>PASS</x:v>
      </x:c>
    </x:row>
    <x:row r="487">
      <x:c r="B487" s="21" t="str">
        <x:v>C0481</x:v>
      </x:c>
      <x:c r="C487" s="21" t="str">
        <x:v>stage build</x:v>
      </x:c>
      <x:c r="D487" s="21" t="str">
        <x:v>baseline nonnegative row 87</x:v>
      </x:c>
      <x:c r="E487" s="21" t="n">
        <x:f>IF('Stage Build'!F87&gt;=0,1,0)</x:f>
        <x:v>1</x:v>
      </x:c>
      <x:c r="F487" s="21" t="n">
        <x:v>1</x:v>
      </x:c>
      <x:c r="G487" s="23" t="str">
        <x:f>IF(E487=F487,"PASS","FAIL")</x:f>
        <x:v>PASS</x:v>
      </x:c>
    </x:row>
    <x:row r="488">
      <x:c r="B488" s="21" t="str">
        <x:v>C0482</x:v>
      </x:c>
      <x:c r="C488" s="21" t="str">
        <x:v>stage build</x:v>
      </x:c>
      <x:c r="D488" s="21" t="str">
        <x:v>targeted additions nonnegative row 87</x:v>
      </x:c>
      <x:c r="E488" s="21" t="n">
        <x:f>IF(AND('Stage Build'!G87&gt;=0,'Stage Build'!H87&gt;=0),1,0)</x:f>
        <x:v>1</x:v>
      </x:c>
      <x:c r="F488" s="21" t="n">
        <x:v>1</x:v>
      </x:c>
      <x:c r="G488" s="23" t="str">
        <x:f>IF(E488=F488,"PASS","FAIL")</x:f>
        <x:v>PASS</x:v>
      </x:c>
    </x:row>
    <x:row r="489">
      <x:c r="B489" s="21" t="str">
        <x:v>C0483</x:v>
      </x:c>
      <x:c r="C489" s="21" t="str">
        <x:v>stage build</x:v>
      </x:c>
      <x:c r="D489" s="21" t="str">
        <x:v>pre-replication identity row 87</x:v>
      </x:c>
      <x:c r="E489" s="21" t="n">
        <x:f>IF(ABS('Stage Build'!I87-SUM('Stage Build'!F87:H87))&lt;0.000001,1,0)</x:f>
        <x:v>1</x:v>
      </x:c>
      <x:c r="F489" s="21" t="n">
        <x:v>1</x:v>
      </x:c>
      <x:c r="G489" s="23" t="str">
        <x:f>IF(E489=F489,"PASS","FAIL")</x:f>
        <x:v>PASS</x:v>
      </x:c>
    </x:row>
    <x:row r="490">
      <x:c r="B490" s="21" t="str">
        <x:v>C0484</x:v>
      </x:c>
      <x:c r="C490" s="21" t="str">
        <x:v>stage build</x:v>
      </x:c>
      <x:c r="D490" s="21" t="str">
        <x:v>replication layer nonnegative row 87</x:v>
      </x:c>
      <x:c r="E490" s="21" t="n">
        <x:f>IF('Stage Build'!J87&gt;=0,1,0)</x:f>
        <x:v>1</x:v>
      </x:c>
      <x:c r="F490" s="21" t="n">
        <x:v>1</x:v>
      </x:c>
      <x:c r="G490" s="23" t="str">
        <x:f>IF(E490=F490,"PASS","FAIL")</x:f>
        <x:v>PASS</x:v>
      </x:c>
    </x:row>
    <x:row r="491">
      <x:c r="B491" s="21" t="str">
        <x:v>C0485</x:v>
      </x:c>
      <x:c r="C491" s="21" t="str">
        <x:v>stage build</x:v>
      </x:c>
      <x:c r="D491" s="21" t="str">
        <x:v>designed ratio identity row 87</x:v>
      </x:c>
      <x:c r="E491" s="21" t="n">
        <x:f>IF(ABS('Stage Build'!K87-'Stage Build'!I87-'Stage Build'!J87)&lt;0.000001,1,0)</x:f>
        <x:v>1</x:v>
      </x:c>
      <x:c r="F491" s="21" t="n">
        <x:v>1</x:v>
      </x:c>
      <x:c r="G491" s="23" t="str">
        <x:f>IF(E491=F491,"PASS","FAIL")</x:f>
        <x:v>PASS</x:v>
      </x:c>
    </x:row>
    <x:row r="492">
      <x:c r="B492" s="21" t="str">
        <x:v>C0486</x:v>
      </x:c>
      <x:c r="C492" s="21" t="str">
        <x:v>stage build</x:v>
      </x:c>
      <x:c r="D492" s="21" t="str">
        <x:v>M05 status identity row 87</x:v>
      </x:c>
      <x:c r="E492" s="21" t="n">
        <x:f>IF('Stage Build'!L87=IF('Stage Build'!K87&gt;=Assumptions!$C$9,"ADEQUATE","GAP"),1,0)</x:f>
        <x:v>1</x:v>
      </x:c>
      <x:c r="F492" s="21" t="n">
        <x:v>1</x:v>
      </x:c>
      <x:c r="G492" s="23" t="str">
        <x:f>IF(E492=F492,"PASS","FAIL")</x:f>
        <x:v>PASS</x:v>
      </x:c>
    </x:row>
    <x:row r="493">
      <x:c r="B493" s="21" t="str">
        <x:v>C0487</x:v>
      </x:c>
      <x:c r="C493" s="21" t="str">
        <x:v>stage build</x:v>
      </x:c>
      <x:c r="D493" s="21" t="str">
        <x:v>baseline nonnegative row 88</x:v>
      </x:c>
      <x:c r="E493" s="21" t="n">
        <x:f>IF('Stage Build'!F88&gt;=0,1,0)</x:f>
        <x:v>1</x:v>
      </x:c>
      <x:c r="F493" s="21" t="n">
        <x:v>1</x:v>
      </x:c>
      <x:c r="G493" s="23" t="str">
        <x:f>IF(E493=F493,"PASS","FAIL")</x:f>
        <x:v>PASS</x:v>
      </x:c>
    </x:row>
    <x:row r="494">
      <x:c r="B494" s="21" t="str">
        <x:v>C0488</x:v>
      </x:c>
      <x:c r="C494" s="21" t="str">
        <x:v>stage build</x:v>
      </x:c>
      <x:c r="D494" s="21" t="str">
        <x:v>targeted additions nonnegative row 88</x:v>
      </x:c>
      <x:c r="E494" s="21" t="n">
        <x:f>IF(AND('Stage Build'!G88&gt;=0,'Stage Build'!H88&gt;=0),1,0)</x:f>
        <x:v>1</x:v>
      </x:c>
      <x:c r="F494" s="21" t="n">
        <x:v>1</x:v>
      </x:c>
      <x:c r="G494" s="23" t="str">
        <x:f>IF(E494=F494,"PASS","FAIL")</x:f>
        <x:v>PASS</x:v>
      </x:c>
    </x:row>
    <x:row r="495">
      <x:c r="B495" s="21" t="str">
        <x:v>C0489</x:v>
      </x:c>
      <x:c r="C495" s="21" t="str">
        <x:v>stage build</x:v>
      </x:c>
      <x:c r="D495" s="21" t="str">
        <x:v>pre-replication identity row 88</x:v>
      </x:c>
      <x:c r="E495" s="21" t="n">
        <x:f>IF(ABS('Stage Build'!I88-SUM('Stage Build'!F88:H88))&lt;0.000001,1,0)</x:f>
        <x:v>1</x:v>
      </x:c>
      <x:c r="F495" s="21" t="n">
        <x:v>1</x:v>
      </x:c>
      <x:c r="G495" s="23" t="str">
        <x:f>IF(E495=F495,"PASS","FAIL")</x:f>
        <x:v>PASS</x:v>
      </x:c>
    </x:row>
    <x:row r="496">
      <x:c r="B496" s="21" t="str">
        <x:v>C0490</x:v>
      </x:c>
      <x:c r="C496" s="21" t="str">
        <x:v>stage build</x:v>
      </x:c>
      <x:c r="D496" s="21" t="str">
        <x:v>replication layer nonnegative row 88</x:v>
      </x:c>
      <x:c r="E496" s="21" t="n">
        <x:f>IF('Stage Build'!J88&gt;=0,1,0)</x:f>
        <x:v>1</x:v>
      </x:c>
      <x:c r="F496" s="21" t="n">
        <x:v>1</x:v>
      </x:c>
      <x:c r="G496" s="23" t="str">
        <x:f>IF(E496=F496,"PASS","FAIL")</x:f>
        <x:v>PASS</x:v>
      </x:c>
    </x:row>
    <x:row r="497">
      <x:c r="B497" s="21" t="str">
        <x:v>C0491</x:v>
      </x:c>
      <x:c r="C497" s="21" t="str">
        <x:v>stage build</x:v>
      </x:c>
      <x:c r="D497" s="21" t="str">
        <x:v>designed ratio identity row 88</x:v>
      </x:c>
      <x:c r="E497" s="21" t="n">
        <x:f>IF(ABS('Stage Build'!K88-'Stage Build'!I88-'Stage Build'!J88)&lt;0.000001,1,0)</x:f>
        <x:v>1</x:v>
      </x:c>
      <x:c r="F497" s="21" t="n">
        <x:v>1</x:v>
      </x:c>
      <x:c r="G497" s="23" t="str">
        <x:f>IF(E497=F497,"PASS","FAIL")</x:f>
        <x:v>PASS</x:v>
      </x:c>
    </x:row>
    <x:row r="498">
      <x:c r="B498" s="21" t="str">
        <x:v>C0492</x:v>
      </x:c>
      <x:c r="C498" s="21" t="str">
        <x:v>stage build</x:v>
      </x:c>
      <x:c r="D498" s="21" t="str">
        <x:v>M05 status identity row 88</x:v>
      </x:c>
      <x:c r="E498" s="21" t="n">
        <x:f>IF('Stage Build'!L88=IF('Stage Build'!K88&gt;=Assumptions!$C$9,"ADEQUATE","GAP"),1,0)</x:f>
        <x:v>1</x:v>
      </x:c>
      <x:c r="F498" s="21" t="n">
        <x:v>1</x:v>
      </x:c>
      <x:c r="G498" s="23" t="str">
        <x:f>IF(E498=F498,"PASS","FAIL")</x:f>
        <x:v>PASS</x:v>
      </x:c>
    </x:row>
    <x:row r="499">
      <x:c r="B499" s="21" t="str">
        <x:v>C0493</x:v>
      </x:c>
      <x:c r="C499" s="21" t="str">
        <x:v>stage build</x:v>
      </x:c>
      <x:c r="D499" s="21" t="str">
        <x:v>baseline nonnegative row 89</x:v>
      </x:c>
      <x:c r="E499" s="21" t="n">
        <x:f>IF('Stage Build'!F89&gt;=0,1,0)</x:f>
        <x:v>1</x:v>
      </x:c>
      <x:c r="F499" s="21" t="n">
        <x:v>1</x:v>
      </x:c>
      <x:c r="G499" s="23" t="str">
        <x:f>IF(E499=F499,"PASS","FAIL")</x:f>
        <x:v>PASS</x:v>
      </x:c>
    </x:row>
    <x:row r="500">
      <x:c r="B500" s="21" t="str">
        <x:v>C0494</x:v>
      </x:c>
      <x:c r="C500" s="21" t="str">
        <x:v>stage build</x:v>
      </x:c>
      <x:c r="D500" s="21" t="str">
        <x:v>targeted additions nonnegative row 89</x:v>
      </x:c>
      <x:c r="E500" s="21" t="n">
        <x:f>IF(AND('Stage Build'!G89&gt;=0,'Stage Build'!H89&gt;=0),1,0)</x:f>
        <x:v>1</x:v>
      </x:c>
      <x:c r="F500" s="21" t="n">
        <x:v>1</x:v>
      </x:c>
      <x:c r="G500" s="23" t="str">
        <x:f>IF(E500=F500,"PASS","FAIL")</x:f>
        <x:v>PASS</x:v>
      </x:c>
    </x:row>
    <x:row r="501">
      <x:c r="B501" s="21" t="str">
        <x:v>C0495</x:v>
      </x:c>
      <x:c r="C501" s="21" t="str">
        <x:v>stage build</x:v>
      </x:c>
      <x:c r="D501" s="21" t="str">
        <x:v>pre-replication identity row 89</x:v>
      </x:c>
      <x:c r="E501" s="21" t="n">
        <x:f>IF(ABS('Stage Build'!I89-SUM('Stage Build'!F89:H89))&lt;0.000001,1,0)</x:f>
        <x:v>1</x:v>
      </x:c>
      <x:c r="F501" s="21" t="n">
        <x:v>1</x:v>
      </x:c>
      <x:c r="G501" s="23" t="str">
        <x:f>IF(E501=F501,"PASS","FAIL")</x:f>
        <x:v>PASS</x:v>
      </x:c>
    </x:row>
    <x:row r="502">
      <x:c r="B502" s="21" t="str">
        <x:v>C0496</x:v>
      </x:c>
      <x:c r="C502" s="21" t="str">
        <x:v>stage build</x:v>
      </x:c>
      <x:c r="D502" s="21" t="str">
        <x:v>replication layer nonnegative row 89</x:v>
      </x:c>
      <x:c r="E502" s="21" t="n">
        <x:f>IF('Stage Build'!J89&gt;=0,1,0)</x:f>
        <x:v>1</x:v>
      </x:c>
      <x:c r="F502" s="21" t="n">
        <x:v>1</x:v>
      </x:c>
      <x:c r="G502" s="23" t="str">
        <x:f>IF(E502=F502,"PASS","FAIL")</x:f>
        <x:v>PASS</x:v>
      </x:c>
    </x:row>
    <x:row r="503">
      <x:c r="B503" s="21" t="str">
        <x:v>C0497</x:v>
      </x:c>
      <x:c r="C503" s="21" t="str">
        <x:v>stage build</x:v>
      </x:c>
      <x:c r="D503" s="21" t="str">
        <x:v>designed ratio identity row 89</x:v>
      </x:c>
      <x:c r="E503" s="21" t="n">
        <x:f>IF(ABS('Stage Build'!K89-'Stage Build'!I89-'Stage Build'!J89)&lt;0.000001,1,0)</x:f>
        <x:v>1</x:v>
      </x:c>
      <x:c r="F503" s="21" t="n">
        <x:v>1</x:v>
      </x:c>
      <x:c r="G503" s="23" t="str">
        <x:f>IF(E503=F503,"PASS","FAIL")</x:f>
        <x:v>PASS</x:v>
      </x:c>
    </x:row>
    <x:row r="504">
      <x:c r="B504" s="21" t="str">
        <x:v>C0498</x:v>
      </x:c>
      <x:c r="C504" s="21" t="str">
        <x:v>stage build</x:v>
      </x:c>
      <x:c r="D504" s="21" t="str">
        <x:v>M05 status identity row 89</x:v>
      </x:c>
      <x:c r="E504" s="21" t="n">
        <x:f>IF('Stage Build'!L89=IF('Stage Build'!K89&gt;=Assumptions!$C$9,"ADEQUATE","GAP"),1,0)</x:f>
        <x:v>1</x:v>
      </x:c>
      <x:c r="F504" s="21" t="n">
        <x:v>1</x:v>
      </x:c>
      <x:c r="G504" s="23" t="str">
        <x:f>IF(E504=F504,"PASS","FAIL")</x:f>
        <x:v>PASS</x:v>
      </x:c>
    </x:row>
    <x:row r="505">
      <x:c r="B505" s="21" t="str">
        <x:v>C0499</x:v>
      </x:c>
      <x:c r="C505" s="21" t="str">
        <x:v>stage build</x:v>
      </x:c>
      <x:c r="D505" s="21" t="str">
        <x:v>baseline nonnegative row 90</x:v>
      </x:c>
      <x:c r="E505" s="21" t="n">
        <x:f>IF('Stage Build'!F90&gt;=0,1,0)</x:f>
        <x:v>1</x:v>
      </x:c>
      <x:c r="F505" s="21" t="n">
        <x:v>1</x:v>
      </x:c>
      <x:c r="G505" s="23" t="str">
        <x:f>IF(E505=F505,"PASS","FAIL")</x:f>
        <x:v>PASS</x:v>
      </x:c>
    </x:row>
    <x:row r="506">
      <x:c r="B506" s="21" t="str">
        <x:v>C0500</x:v>
      </x:c>
      <x:c r="C506" s="21" t="str">
        <x:v>stage build</x:v>
      </x:c>
      <x:c r="D506" s="21" t="str">
        <x:v>targeted additions nonnegative row 90</x:v>
      </x:c>
      <x:c r="E506" s="21" t="n">
        <x:f>IF(AND('Stage Build'!G90&gt;=0,'Stage Build'!H90&gt;=0),1,0)</x:f>
        <x:v>1</x:v>
      </x:c>
      <x:c r="F506" s="21" t="n">
        <x:v>1</x:v>
      </x:c>
      <x:c r="G506" s="23" t="str">
        <x:f>IF(E506=F506,"PASS","FAIL")</x:f>
        <x:v>PASS</x:v>
      </x:c>
    </x:row>
    <x:row r="507">
      <x:c r="B507" s="21" t="str">
        <x:v>C0501</x:v>
      </x:c>
      <x:c r="C507" s="21" t="str">
        <x:v>stage build</x:v>
      </x:c>
      <x:c r="D507" s="21" t="str">
        <x:v>pre-replication identity row 90</x:v>
      </x:c>
      <x:c r="E507" s="21" t="n">
        <x:f>IF(ABS('Stage Build'!I90-SUM('Stage Build'!F90:H90))&lt;0.000001,1,0)</x:f>
        <x:v>1</x:v>
      </x:c>
      <x:c r="F507" s="21" t="n">
        <x:v>1</x:v>
      </x:c>
      <x:c r="G507" s="23" t="str">
        <x:f>IF(E507=F507,"PASS","FAIL")</x:f>
        <x:v>PASS</x:v>
      </x:c>
    </x:row>
    <x:row r="508">
      <x:c r="B508" s="21" t="str">
        <x:v>C0502</x:v>
      </x:c>
      <x:c r="C508" s="21" t="str">
        <x:v>stage build</x:v>
      </x:c>
      <x:c r="D508" s="21" t="str">
        <x:v>replication layer nonnegative row 90</x:v>
      </x:c>
      <x:c r="E508" s="21" t="n">
        <x:f>IF('Stage Build'!J90&gt;=0,1,0)</x:f>
        <x:v>1</x:v>
      </x:c>
      <x:c r="F508" s="21" t="n">
        <x:v>1</x:v>
      </x:c>
      <x:c r="G508" s="23" t="str">
        <x:f>IF(E508=F508,"PASS","FAIL")</x:f>
        <x:v>PASS</x:v>
      </x:c>
    </x:row>
    <x:row r="509">
      <x:c r="B509" s="21" t="str">
        <x:v>C0503</x:v>
      </x:c>
      <x:c r="C509" s="21" t="str">
        <x:v>stage build</x:v>
      </x:c>
      <x:c r="D509" s="21" t="str">
        <x:v>designed ratio identity row 90</x:v>
      </x:c>
      <x:c r="E509" s="21" t="n">
        <x:f>IF(ABS('Stage Build'!K90-'Stage Build'!I90-'Stage Build'!J90)&lt;0.000001,1,0)</x:f>
        <x:v>1</x:v>
      </x:c>
      <x:c r="F509" s="21" t="n">
        <x:v>1</x:v>
      </x:c>
      <x:c r="G509" s="23" t="str">
        <x:f>IF(E509=F509,"PASS","FAIL")</x:f>
        <x:v>PASS</x:v>
      </x:c>
    </x:row>
    <x:row r="510">
      <x:c r="B510" s="21" t="str">
        <x:v>C0504</x:v>
      </x:c>
      <x:c r="C510" s="21" t="str">
        <x:v>stage build</x:v>
      </x:c>
      <x:c r="D510" s="21" t="str">
        <x:v>M05 status identity row 90</x:v>
      </x:c>
      <x:c r="E510" s="21" t="n">
        <x:f>IF('Stage Build'!L90=IF('Stage Build'!K90&gt;=Assumptions!$C$9,"ADEQUATE","GAP"),1,0)</x:f>
        <x:v>1</x:v>
      </x:c>
      <x:c r="F510" s="21" t="n">
        <x:v>1</x:v>
      </x:c>
      <x:c r="G510" s="23" t="str">
        <x:f>IF(E510=F510,"PASS","FAIL")</x:f>
        <x:v>PASS</x:v>
      </x:c>
    </x:row>
    <x:row r="511">
      <x:c r="B511" s="21" t="str">
        <x:v>C0505</x:v>
      </x:c>
      <x:c r="C511" s="21" t="str">
        <x:v>stage build</x:v>
      </x:c>
      <x:c r="D511" s="21" t="str">
        <x:v>baseline nonnegative row 91</x:v>
      </x:c>
      <x:c r="E511" s="21" t="n">
        <x:f>IF('Stage Build'!F91&gt;=0,1,0)</x:f>
        <x:v>1</x:v>
      </x:c>
      <x:c r="F511" s="21" t="n">
        <x:v>1</x:v>
      </x:c>
      <x:c r="G511" s="23" t="str">
        <x:f>IF(E511=F511,"PASS","FAIL")</x:f>
        <x:v>PASS</x:v>
      </x:c>
    </x:row>
    <x:row r="512">
      <x:c r="B512" s="21" t="str">
        <x:v>C0506</x:v>
      </x:c>
      <x:c r="C512" s="21" t="str">
        <x:v>stage build</x:v>
      </x:c>
      <x:c r="D512" s="21" t="str">
        <x:v>targeted additions nonnegative row 91</x:v>
      </x:c>
      <x:c r="E512" s="21" t="n">
        <x:f>IF(AND('Stage Build'!G91&gt;=0,'Stage Build'!H91&gt;=0),1,0)</x:f>
        <x:v>1</x:v>
      </x:c>
      <x:c r="F512" s="21" t="n">
        <x:v>1</x:v>
      </x:c>
      <x:c r="G512" s="23" t="str">
        <x:f>IF(E512=F512,"PASS","FAIL")</x:f>
        <x:v>PASS</x:v>
      </x:c>
    </x:row>
    <x:row r="513">
      <x:c r="B513" s="21" t="str">
        <x:v>C0507</x:v>
      </x:c>
      <x:c r="C513" s="21" t="str">
        <x:v>stage build</x:v>
      </x:c>
      <x:c r="D513" s="21" t="str">
        <x:v>pre-replication identity row 91</x:v>
      </x:c>
      <x:c r="E513" s="21" t="n">
        <x:f>IF(ABS('Stage Build'!I91-SUM('Stage Build'!F91:H91))&lt;0.000001,1,0)</x:f>
        <x:v>1</x:v>
      </x:c>
      <x:c r="F513" s="21" t="n">
        <x:v>1</x:v>
      </x:c>
      <x:c r="G513" s="23" t="str">
        <x:f>IF(E513=F513,"PASS","FAIL")</x:f>
        <x:v>PASS</x:v>
      </x:c>
    </x:row>
    <x:row r="514">
      <x:c r="B514" s="21" t="str">
        <x:v>C0508</x:v>
      </x:c>
      <x:c r="C514" s="21" t="str">
        <x:v>stage build</x:v>
      </x:c>
      <x:c r="D514" s="21" t="str">
        <x:v>replication layer nonnegative row 91</x:v>
      </x:c>
      <x:c r="E514" s="21" t="n">
        <x:f>IF('Stage Build'!J91&gt;=0,1,0)</x:f>
        <x:v>1</x:v>
      </x:c>
      <x:c r="F514" s="21" t="n">
        <x:v>1</x:v>
      </x:c>
      <x:c r="G514" s="23" t="str">
        <x:f>IF(E514=F514,"PASS","FAIL")</x:f>
        <x:v>PASS</x:v>
      </x:c>
    </x:row>
    <x:row r="515">
      <x:c r="B515" s="21" t="str">
        <x:v>C0509</x:v>
      </x:c>
      <x:c r="C515" s="21" t="str">
        <x:v>stage build</x:v>
      </x:c>
      <x:c r="D515" s="21" t="str">
        <x:v>designed ratio identity row 91</x:v>
      </x:c>
      <x:c r="E515" s="21" t="n">
        <x:f>IF(ABS('Stage Build'!K91-'Stage Build'!I91-'Stage Build'!J91)&lt;0.000001,1,0)</x:f>
        <x:v>1</x:v>
      </x:c>
      <x:c r="F515" s="21" t="n">
        <x:v>1</x:v>
      </x:c>
      <x:c r="G515" s="23" t="str">
        <x:f>IF(E515=F515,"PASS","FAIL")</x:f>
        <x:v>PASS</x:v>
      </x:c>
    </x:row>
    <x:row r="516">
      <x:c r="B516" s="21" t="str">
        <x:v>C0510</x:v>
      </x:c>
      <x:c r="C516" s="21" t="str">
        <x:v>stage build</x:v>
      </x:c>
      <x:c r="D516" s="21" t="str">
        <x:v>M05 status identity row 91</x:v>
      </x:c>
      <x:c r="E516" s="21" t="n">
        <x:f>IF('Stage Build'!L91=IF('Stage Build'!K91&gt;=Assumptions!$C$9,"ADEQUATE","GAP"),1,0)</x:f>
        <x:v>1</x:v>
      </x:c>
      <x:c r="F516" s="21" t="n">
        <x:v>1</x:v>
      </x:c>
      <x:c r="G516" s="23" t="str">
        <x:f>IF(E516=F516,"PASS","FAIL")</x:f>
        <x:v>PASS</x:v>
      </x:c>
    </x:row>
    <x:row r="517">
      <x:c r="B517" s="21" t="str">
        <x:v>C0511</x:v>
      </x:c>
      <x:c r="C517" s="21" t="str">
        <x:v>stage build</x:v>
      </x:c>
      <x:c r="D517" s="21" t="str">
        <x:v>baseline nonnegative row 92</x:v>
      </x:c>
      <x:c r="E517" s="21" t="n">
        <x:f>IF('Stage Build'!F92&gt;=0,1,0)</x:f>
        <x:v>1</x:v>
      </x:c>
      <x:c r="F517" s="21" t="n">
        <x:v>1</x:v>
      </x:c>
      <x:c r="G517" s="23" t="str">
        <x:f>IF(E517=F517,"PASS","FAIL")</x:f>
        <x:v>PASS</x:v>
      </x:c>
    </x:row>
    <x:row r="518">
      <x:c r="B518" s="21" t="str">
        <x:v>C0512</x:v>
      </x:c>
      <x:c r="C518" s="21" t="str">
        <x:v>stage build</x:v>
      </x:c>
      <x:c r="D518" s="21" t="str">
        <x:v>targeted additions nonnegative row 92</x:v>
      </x:c>
      <x:c r="E518" s="21" t="n">
        <x:f>IF(AND('Stage Build'!G92&gt;=0,'Stage Build'!H92&gt;=0),1,0)</x:f>
        <x:v>1</x:v>
      </x:c>
      <x:c r="F518" s="21" t="n">
        <x:v>1</x:v>
      </x:c>
      <x:c r="G518" s="23" t="str">
        <x:f>IF(E518=F518,"PASS","FAIL")</x:f>
        <x:v>PASS</x:v>
      </x:c>
    </x:row>
    <x:row r="519">
      <x:c r="B519" s="21" t="str">
        <x:v>C0513</x:v>
      </x:c>
      <x:c r="C519" s="21" t="str">
        <x:v>stage build</x:v>
      </x:c>
      <x:c r="D519" s="21" t="str">
        <x:v>pre-replication identity row 92</x:v>
      </x:c>
      <x:c r="E519" s="21" t="n">
        <x:f>IF(ABS('Stage Build'!I92-SUM('Stage Build'!F92:H92))&lt;0.000001,1,0)</x:f>
        <x:v>1</x:v>
      </x:c>
      <x:c r="F519" s="21" t="n">
        <x:v>1</x:v>
      </x:c>
      <x:c r="G519" s="23" t="str">
        <x:f>IF(E519=F519,"PASS","FAIL")</x:f>
        <x:v>PASS</x:v>
      </x:c>
    </x:row>
    <x:row r="520">
      <x:c r="B520" s="21" t="str">
        <x:v>C0514</x:v>
      </x:c>
      <x:c r="C520" s="21" t="str">
        <x:v>stage build</x:v>
      </x:c>
      <x:c r="D520" s="21" t="str">
        <x:v>replication layer nonnegative row 92</x:v>
      </x:c>
      <x:c r="E520" s="21" t="n">
        <x:f>IF('Stage Build'!J92&gt;=0,1,0)</x:f>
        <x:v>1</x:v>
      </x:c>
      <x:c r="F520" s="21" t="n">
        <x:v>1</x:v>
      </x:c>
      <x:c r="G520" s="23" t="str">
        <x:f>IF(E520=F520,"PASS","FAIL")</x:f>
        <x:v>PASS</x:v>
      </x:c>
    </x:row>
    <x:row r="521">
      <x:c r="B521" s="21" t="str">
        <x:v>C0515</x:v>
      </x:c>
      <x:c r="C521" s="21" t="str">
        <x:v>stage build</x:v>
      </x:c>
      <x:c r="D521" s="21" t="str">
        <x:v>designed ratio identity row 92</x:v>
      </x:c>
      <x:c r="E521" s="21" t="n">
        <x:f>IF(ABS('Stage Build'!K92-'Stage Build'!I92-'Stage Build'!J92)&lt;0.000001,1,0)</x:f>
        <x:v>1</x:v>
      </x:c>
      <x:c r="F521" s="21" t="n">
        <x:v>1</x:v>
      </x:c>
      <x:c r="G521" s="23" t="str">
        <x:f>IF(E521=F521,"PASS","FAIL")</x:f>
        <x:v>PASS</x:v>
      </x:c>
    </x:row>
    <x:row r="522">
      <x:c r="B522" s="21" t="str">
        <x:v>C0516</x:v>
      </x:c>
      <x:c r="C522" s="21" t="str">
        <x:v>stage build</x:v>
      </x:c>
      <x:c r="D522" s="21" t="str">
        <x:v>M05 status identity row 92</x:v>
      </x:c>
      <x:c r="E522" s="21" t="n">
        <x:f>IF('Stage Build'!L92=IF('Stage Build'!K92&gt;=Assumptions!$C$9,"ADEQUATE","GAP"),1,0)</x:f>
        <x:v>1</x:v>
      </x:c>
      <x:c r="F522" s="21" t="n">
        <x:v>1</x:v>
      </x:c>
      <x:c r="G522" s="23" t="str">
        <x:f>IF(E522=F522,"PASS","FAIL")</x:f>
        <x:v>PASS</x:v>
      </x:c>
    </x:row>
    <x:row r="523">
      <x:c r="B523" s="21" t="str">
        <x:v>C0517</x:v>
      </x:c>
      <x:c r="C523" s="21" t="str">
        <x:v>stage build</x:v>
      </x:c>
      <x:c r="D523" s="21" t="str">
        <x:v>baseline nonnegative row 93</x:v>
      </x:c>
      <x:c r="E523" s="21" t="n">
        <x:f>IF('Stage Build'!F93&gt;=0,1,0)</x:f>
        <x:v>1</x:v>
      </x:c>
      <x:c r="F523" s="21" t="n">
        <x:v>1</x:v>
      </x:c>
      <x:c r="G523" s="23" t="str">
        <x:f>IF(E523=F523,"PASS","FAIL")</x:f>
        <x:v>PASS</x:v>
      </x:c>
    </x:row>
    <x:row r="524">
      <x:c r="B524" s="21" t="str">
        <x:v>C0518</x:v>
      </x:c>
      <x:c r="C524" s="21" t="str">
        <x:v>stage build</x:v>
      </x:c>
      <x:c r="D524" s="21" t="str">
        <x:v>targeted additions nonnegative row 93</x:v>
      </x:c>
      <x:c r="E524" s="21" t="n">
        <x:f>IF(AND('Stage Build'!G93&gt;=0,'Stage Build'!H93&gt;=0),1,0)</x:f>
        <x:v>1</x:v>
      </x:c>
      <x:c r="F524" s="21" t="n">
        <x:v>1</x:v>
      </x:c>
      <x:c r="G524" s="23" t="str">
        <x:f>IF(E524=F524,"PASS","FAIL")</x:f>
        <x:v>PASS</x:v>
      </x:c>
    </x:row>
    <x:row r="525">
      <x:c r="B525" s="21" t="str">
        <x:v>C0519</x:v>
      </x:c>
      <x:c r="C525" s="21" t="str">
        <x:v>stage build</x:v>
      </x:c>
      <x:c r="D525" s="21" t="str">
        <x:v>pre-replication identity row 93</x:v>
      </x:c>
      <x:c r="E525" s="21" t="n">
        <x:f>IF(ABS('Stage Build'!I93-SUM('Stage Build'!F93:H93))&lt;0.000001,1,0)</x:f>
        <x:v>1</x:v>
      </x:c>
      <x:c r="F525" s="21" t="n">
        <x:v>1</x:v>
      </x:c>
      <x:c r="G525" s="23" t="str">
        <x:f>IF(E525=F525,"PASS","FAIL")</x:f>
        <x:v>PASS</x:v>
      </x:c>
    </x:row>
    <x:row r="526">
      <x:c r="B526" s="21" t="str">
        <x:v>C0520</x:v>
      </x:c>
      <x:c r="C526" s="21" t="str">
        <x:v>stage build</x:v>
      </x:c>
      <x:c r="D526" s="21" t="str">
        <x:v>replication layer nonnegative row 93</x:v>
      </x:c>
      <x:c r="E526" s="21" t="n">
        <x:f>IF('Stage Build'!J93&gt;=0,1,0)</x:f>
        <x:v>1</x:v>
      </x:c>
      <x:c r="F526" s="21" t="n">
        <x:v>1</x:v>
      </x:c>
      <x:c r="G526" s="23" t="str">
        <x:f>IF(E526=F526,"PASS","FAIL")</x:f>
        <x:v>PASS</x:v>
      </x:c>
    </x:row>
    <x:row r="527">
      <x:c r="B527" s="21" t="str">
        <x:v>C0521</x:v>
      </x:c>
      <x:c r="C527" s="21" t="str">
        <x:v>stage build</x:v>
      </x:c>
      <x:c r="D527" s="21" t="str">
        <x:v>designed ratio identity row 93</x:v>
      </x:c>
      <x:c r="E527" s="21" t="n">
        <x:f>IF(ABS('Stage Build'!K93-'Stage Build'!I93-'Stage Build'!J93)&lt;0.000001,1,0)</x:f>
        <x:v>1</x:v>
      </x:c>
      <x:c r="F527" s="21" t="n">
        <x:v>1</x:v>
      </x:c>
      <x:c r="G527" s="23" t="str">
        <x:f>IF(E527=F527,"PASS","FAIL")</x:f>
        <x:v>PASS</x:v>
      </x:c>
    </x:row>
    <x:row r="528">
      <x:c r="B528" s="21" t="str">
        <x:v>C0522</x:v>
      </x:c>
      <x:c r="C528" s="21" t="str">
        <x:v>stage build</x:v>
      </x:c>
      <x:c r="D528" s="21" t="str">
        <x:v>M05 status identity row 93</x:v>
      </x:c>
      <x:c r="E528" s="21" t="n">
        <x:f>IF('Stage Build'!L93=IF('Stage Build'!K93&gt;=Assumptions!$C$9,"ADEQUATE","GAP"),1,0)</x:f>
        <x:v>1</x:v>
      </x:c>
      <x:c r="F528" s="21" t="n">
        <x:v>1</x:v>
      </x:c>
      <x:c r="G528" s="23" t="str">
        <x:f>IF(E528=F528,"PASS","FAIL")</x:f>
        <x:v>PASS</x:v>
      </x:c>
    </x:row>
    <x:row r="529">
      <x:c r="B529" s="21" t="str">
        <x:v>C0523</x:v>
      </x:c>
      <x:c r="C529" s="21" t="str">
        <x:v>stage build</x:v>
      </x:c>
      <x:c r="D529" s="21" t="str">
        <x:v>baseline nonnegative row 94</x:v>
      </x:c>
      <x:c r="E529" s="21" t="n">
        <x:f>IF('Stage Build'!F94&gt;=0,1,0)</x:f>
        <x:v>1</x:v>
      </x:c>
      <x:c r="F529" s="21" t="n">
        <x:v>1</x:v>
      </x:c>
      <x:c r="G529" s="23" t="str">
        <x:f>IF(E529=F529,"PASS","FAIL")</x:f>
        <x:v>PASS</x:v>
      </x:c>
    </x:row>
    <x:row r="530">
      <x:c r="B530" s="21" t="str">
        <x:v>C0524</x:v>
      </x:c>
      <x:c r="C530" s="21" t="str">
        <x:v>stage build</x:v>
      </x:c>
      <x:c r="D530" s="21" t="str">
        <x:v>targeted additions nonnegative row 94</x:v>
      </x:c>
      <x:c r="E530" s="21" t="n">
        <x:f>IF(AND('Stage Build'!G94&gt;=0,'Stage Build'!H94&gt;=0),1,0)</x:f>
        <x:v>1</x:v>
      </x:c>
      <x:c r="F530" s="21" t="n">
        <x:v>1</x:v>
      </x:c>
      <x:c r="G530" s="23" t="str">
        <x:f>IF(E530=F530,"PASS","FAIL")</x:f>
        <x:v>PASS</x:v>
      </x:c>
    </x:row>
    <x:row r="531">
      <x:c r="B531" s="21" t="str">
        <x:v>C0525</x:v>
      </x:c>
      <x:c r="C531" s="21" t="str">
        <x:v>stage build</x:v>
      </x:c>
      <x:c r="D531" s="21" t="str">
        <x:v>pre-replication identity row 94</x:v>
      </x:c>
      <x:c r="E531" s="21" t="n">
        <x:f>IF(ABS('Stage Build'!I94-SUM('Stage Build'!F94:H94))&lt;0.000001,1,0)</x:f>
        <x:v>1</x:v>
      </x:c>
      <x:c r="F531" s="21" t="n">
        <x:v>1</x:v>
      </x:c>
      <x:c r="G531" s="23" t="str">
        <x:f>IF(E531=F531,"PASS","FAIL")</x:f>
        <x:v>PASS</x:v>
      </x:c>
    </x:row>
    <x:row r="532">
      <x:c r="B532" s="21" t="str">
        <x:v>C0526</x:v>
      </x:c>
      <x:c r="C532" s="21" t="str">
        <x:v>stage build</x:v>
      </x:c>
      <x:c r="D532" s="21" t="str">
        <x:v>replication layer nonnegative row 94</x:v>
      </x:c>
      <x:c r="E532" s="21" t="n">
        <x:f>IF('Stage Build'!J94&gt;=0,1,0)</x:f>
        <x:v>1</x:v>
      </x:c>
      <x:c r="F532" s="21" t="n">
        <x:v>1</x:v>
      </x:c>
      <x:c r="G532" s="23" t="str">
        <x:f>IF(E532=F532,"PASS","FAIL")</x:f>
        <x:v>PASS</x:v>
      </x:c>
    </x:row>
    <x:row r="533">
      <x:c r="B533" s="21" t="str">
        <x:v>C0527</x:v>
      </x:c>
      <x:c r="C533" s="21" t="str">
        <x:v>stage build</x:v>
      </x:c>
      <x:c r="D533" s="21" t="str">
        <x:v>designed ratio identity row 94</x:v>
      </x:c>
      <x:c r="E533" s="21" t="n">
        <x:f>IF(ABS('Stage Build'!K94-'Stage Build'!I94-'Stage Build'!J94)&lt;0.000001,1,0)</x:f>
        <x:v>1</x:v>
      </x:c>
      <x:c r="F533" s="21" t="n">
        <x:v>1</x:v>
      </x:c>
      <x:c r="G533" s="23" t="str">
        <x:f>IF(E533=F533,"PASS","FAIL")</x:f>
        <x:v>PASS</x:v>
      </x:c>
    </x:row>
    <x:row r="534">
      <x:c r="B534" s="21" t="str">
        <x:v>C0528</x:v>
      </x:c>
      <x:c r="C534" s="21" t="str">
        <x:v>stage build</x:v>
      </x:c>
      <x:c r="D534" s="21" t="str">
        <x:v>M05 status identity row 94</x:v>
      </x:c>
      <x:c r="E534" s="21" t="n">
        <x:f>IF('Stage Build'!L94=IF('Stage Build'!K94&gt;=Assumptions!$C$9,"ADEQUATE","GAP"),1,0)</x:f>
        <x:v>1</x:v>
      </x:c>
      <x:c r="F534" s="21" t="n">
        <x:v>1</x:v>
      </x:c>
      <x:c r="G534" s="23" t="str">
        <x:f>IF(E534=F534,"PASS","FAIL")</x:f>
        <x:v>PASS</x:v>
      </x:c>
    </x:row>
    <x:row r="535">
      <x:c r="B535" s="21" t="str">
        <x:v>C0529</x:v>
      </x:c>
      <x:c r="C535" s="21" t="str">
        <x:v>stage build</x:v>
      </x:c>
      <x:c r="D535" s="21" t="str">
        <x:v>baseline nonnegative row 95</x:v>
      </x:c>
      <x:c r="E535" s="21" t="n">
        <x:f>IF('Stage Build'!F95&gt;=0,1,0)</x:f>
        <x:v>1</x:v>
      </x:c>
      <x:c r="F535" s="21" t="n">
        <x:v>1</x:v>
      </x:c>
      <x:c r="G535" s="23" t="str">
        <x:f>IF(E535=F535,"PASS","FAIL")</x:f>
        <x:v>PASS</x:v>
      </x:c>
    </x:row>
    <x:row r="536">
      <x:c r="B536" s="21" t="str">
        <x:v>C0530</x:v>
      </x:c>
      <x:c r="C536" s="21" t="str">
        <x:v>stage build</x:v>
      </x:c>
      <x:c r="D536" s="21" t="str">
        <x:v>targeted additions nonnegative row 95</x:v>
      </x:c>
      <x:c r="E536" s="21" t="n">
        <x:f>IF(AND('Stage Build'!G95&gt;=0,'Stage Build'!H95&gt;=0),1,0)</x:f>
        <x:v>1</x:v>
      </x:c>
      <x:c r="F536" s="21" t="n">
        <x:v>1</x:v>
      </x:c>
      <x:c r="G536" s="23" t="str">
        <x:f>IF(E536=F536,"PASS","FAIL")</x:f>
        <x:v>PASS</x:v>
      </x:c>
    </x:row>
    <x:row r="537">
      <x:c r="B537" s="21" t="str">
        <x:v>C0531</x:v>
      </x:c>
      <x:c r="C537" s="21" t="str">
        <x:v>stage build</x:v>
      </x:c>
      <x:c r="D537" s="21" t="str">
        <x:v>pre-replication identity row 95</x:v>
      </x:c>
      <x:c r="E537" s="21" t="n">
        <x:f>IF(ABS('Stage Build'!I95-SUM('Stage Build'!F95:H95))&lt;0.000001,1,0)</x:f>
        <x:v>1</x:v>
      </x:c>
      <x:c r="F537" s="21" t="n">
        <x:v>1</x:v>
      </x:c>
      <x:c r="G537" s="23" t="str">
        <x:f>IF(E537=F537,"PASS","FAIL")</x:f>
        <x:v>PASS</x:v>
      </x:c>
    </x:row>
    <x:row r="538">
      <x:c r="B538" s="21" t="str">
        <x:v>C0532</x:v>
      </x:c>
      <x:c r="C538" s="21" t="str">
        <x:v>stage build</x:v>
      </x:c>
      <x:c r="D538" s="21" t="str">
        <x:v>replication layer nonnegative row 95</x:v>
      </x:c>
      <x:c r="E538" s="21" t="n">
        <x:f>IF('Stage Build'!J95&gt;=0,1,0)</x:f>
        <x:v>1</x:v>
      </x:c>
      <x:c r="F538" s="21" t="n">
        <x:v>1</x:v>
      </x:c>
      <x:c r="G538" s="23" t="str">
        <x:f>IF(E538=F538,"PASS","FAIL")</x:f>
        <x:v>PASS</x:v>
      </x:c>
    </x:row>
    <x:row r="539">
      <x:c r="B539" s="21" t="str">
        <x:v>C0533</x:v>
      </x:c>
      <x:c r="C539" s="21" t="str">
        <x:v>stage build</x:v>
      </x:c>
      <x:c r="D539" s="21" t="str">
        <x:v>designed ratio identity row 95</x:v>
      </x:c>
      <x:c r="E539" s="21" t="n">
        <x:f>IF(ABS('Stage Build'!K95-'Stage Build'!I95-'Stage Build'!J95)&lt;0.000001,1,0)</x:f>
        <x:v>1</x:v>
      </x:c>
      <x:c r="F539" s="21" t="n">
        <x:v>1</x:v>
      </x:c>
      <x:c r="G539" s="23" t="str">
        <x:f>IF(E539=F539,"PASS","FAIL")</x:f>
        <x:v>PASS</x:v>
      </x:c>
    </x:row>
    <x:row r="540">
      <x:c r="B540" s="21" t="str">
        <x:v>C0534</x:v>
      </x:c>
      <x:c r="C540" s="21" t="str">
        <x:v>stage build</x:v>
      </x:c>
      <x:c r="D540" s="21" t="str">
        <x:v>M05 status identity row 95</x:v>
      </x:c>
      <x:c r="E540" s="21" t="n">
        <x:f>IF('Stage Build'!L95=IF('Stage Build'!K95&gt;=Assumptions!$C$9,"ADEQUATE","GAP"),1,0)</x:f>
        <x:v>1</x:v>
      </x:c>
      <x:c r="F540" s="21" t="n">
        <x:v>1</x:v>
      </x:c>
      <x:c r="G540" s="23" t="str">
        <x:f>IF(E540=F540,"PASS","FAIL")</x:f>
        <x:v>PASS</x:v>
      </x:c>
    </x:row>
    <x:row r="541">
      <x:c r="B541" s="21" t="str">
        <x:v>C0535</x:v>
      </x:c>
      <x:c r="C541" s="21" t="str">
        <x:v>stage build</x:v>
      </x:c>
      <x:c r="D541" s="21" t="str">
        <x:v>baseline nonnegative row 96</x:v>
      </x:c>
      <x:c r="E541" s="21" t="n">
        <x:f>IF('Stage Build'!F96&gt;=0,1,0)</x:f>
        <x:v>1</x:v>
      </x:c>
      <x:c r="F541" s="21" t="n">
        <x:v>1</x:v>
      </x:c>
      <x:c r="G541" s="23" t="str">
        <x:f>IF(E541=F541,"PASS","FAIL")</x:f>
        <x:v>PASS</x:v>
      </x:c>
    </x:row>
    <x:row r="542">
      <x:c r="B542" s="21" t="str">
        <x:v>C0536</x:v>
      </x:c>
      <x:c r="C542" s="21" t="str">
        <x:v>stage build</x:v>
      </x:c>
      <x:c r="D542" s="21" t="str">
        <x:v>targeted additions nonnegative row 96</x:v>
      </x:c>
      <x:c r="E542" s="21" t="n">
        <x:f>IF(AND('Stage Build'!G96&gt;=0,'Stage Build'!H96&gt;=0),1,0)</x:f>
        <x:v>1</x:v>
      </x:c>
      <x:c r="F542" s="21" t="n">
        <x:v>1</x:v>
      </x:c>
      <x:c r="G542" s="23" t="str">
        <x:f>IF(E542=F542,"PASS","FAIL")</x:f>
        <x:v>PASS</x:v>
      </x:c>
    </x:row>
    <x:row r="543">
      <x:c r="B543" s="21" t="str">
        <x:v>C0537</x:v>
      </x:c>
      <x:c r="C543" s="21" t="str">
        <x:v>stage build</x:v>
      </x:c>
      <x:c r="D543" s="21" t="str">
        <x:v>pre-replication identity row 96</x:v>
      </x:c>
      <x:c r="E543" s="21" t="n">
        <x:f>IF(ABS('Stage Build'!I96-SUM('Stage Build'!F96:H96))&lt;0.000001,1,0)</x:f>
        <x:v>1</x:v>
      </x:c>
      <x:c r="F543" s="21" t="n">
        <x:v>1</x:v>
      </x:c>
      <x:c r="G543" s="23" t="str">
        <x:f>IF(E543=F543,"PASS","FAIL")</x:f>
        <x:v>PASS</x:v>
      </x:c>
    </x:row>
    <x:row r="544">
      <x:c r="B544" s="21" t="str">
        <x:v>C0538</x:v>
      </x:c>
      <x:c r="C544" s="21" t="str">
        <x:v>stage build</x:v>
      </x:c>
      <x:c r="D544" s="21" t="str">
        <x:v>replication layer nonnegative row 96</x:v>
      </x:c>
      <x:c r="E544" s="21" t="n">
        <x:f>IF('Stage Build'!J96&gt;=0,1,0)</x:f>
        <x:v>1</x:v>
      </x:c>
      <x:c r="F544" s="21" t="n">
        <x:v>1</x:v>
      </x:c>
      <x:c r="G544" s="23" t="str">
        <x:f>IF(E544=F544,"PASS","FAIL")</x:f>
        <x:v>PASS</x:v>
      </x:c>
    </x:row>
    <x:row r="545">
      <x:c r="B545" s="21" t="str">
        <x:v>C0539</x:v>
      </x:c>
      <x:c r="C545" s="21" t="str">
        <x:v>stage build</x:v>
      </x:c>
      <x:c r="D545" s="21" t="str">
        <x:v>designed ratio identity row 96</x:v>
      </x:c>
      <x:c r="E545" s="21" t="n">
        <x:f>IF(ABS('Stage Build'!K96-'Stage Build'!I96-'Stage Build'!J96)&lt;0.000001,1,0)</x:f>
        <x:v>1</x:v>
      </x:c>
      <x:c r="F545" s="21" t="n">
        <x:v>1</x:v>
      </x:c>
      <x:c r="G545" s="23" t="str">
        <x:f>IF(E545=F545,"PASS","FAIL")</x:f>
        <x:v>PASS</x:v>
      </x:c>
    </x:row>
    <x:row r="546">
      <x:c r="B546" s="21" t="str">
        <x:v>C0540</x:v>
      </x:c>
      <x:c r="C546" s="21" t="str">
        <x:v>stage build</x:v>
      </x:c>
      <x:c r="D546" s="21" t="str">
        <x:v>M05 status identity row 96</x:v>
      </x:c>
      <x:c r="E546" s="21" t="n">
        <x:f>IF('Stage Build'!L96=IF('Stage Build'!K96&gt;=Assumptions!$C$9,"ADEQUATE","GAP"),1,0)</x:f>
        <x:v>1</x:v>
      </x:c>
      <x:c r="F546" s="21" t="n">
        <x:v>1</x:v>
      </x:c>
      <x:c r="G546" s="23" t="str">
        <x:f>IF(E546=F546,"PASS","FAIL")</x:f>
        <x:v>PASS</x:v>
      </x:c>
    </x:row>
    <x:row r="547">
      <x:c r="B547" s="21" t="str">
        <x:v>C0541</x:v>
      </x:c>
      <x:c r="C547" s="21" t="str">
        <x:v>stage build</x:v>
      </x:c>
      <x:c r="D547" s="21" t="str">
        <x:v>baseline nonnegative row 97</x:v>
      </x:c>
      <x:c r="E547" s="21" t="n">
        <x:f>IF('Stage Build'!F97&gt;=0,1,0)</x:f>
        <x:v>1</x:v>
      </x:c>
      <x:c r="F547" s="21" t="n">
        <x:v>1</x:v>
      </x:c>
      <x:c r="G547" s="23" t="str">
        <x:f>IF(E547=F547,"PASS","FAIL")</x:f>
        <x:v>PASS</x:v>
      </x:c>
    </x:row>
    <x:row r="548">
      <x:c r="B548" s="21" t="str">
        <x:v>C0542</x:v>
      </x:c>
      <x:c r="C548" s="21" t="str">
        <x:v>stage build</x:v>
      </x:c>
      <x:c r="D548" s="21" t="str">
        <x:v>targeted additions nonnegative row 97</x:v>
      </x:c>
      <x:c r="E548" s="21" t="n">
        <x:f>IF(AND('Stage Build'!G97&gt;=0,'Stage Build'!H97&gt;=0),1,0)</x:f>
        <x:v>1</x:v>
      </x:c>
      <x:c r="F548" s="21" t="n">
        <x:v>1</x:v>
      </x:c>
      <x:c r="G548" s="23" t="str">
        <x:f>IF(E548=F548,"PASS","FAIL")</x:f>
        <x:v>PASS</x:v>
      </x:c>
    </x:row>
    <x:row r="549">
      <x:c r="B549" s="21" t="str">
        <x:v>C0543</x:v>
      </x:c>
      <x:c r="C549" s="21" t="str">
        <x:v>stage build</x:v>
      </x:c>
      <x:c r="D549" s="21" t="str">
        <x:v>pre-replication identity row 97</x:v>
      </x:c>
      <x:c r="E549" s="21" t="n">
        <x:f>IF(ABS('Stage Build'!I97-SUM('Stage Build'!F97:H97))&lt;0.000001,1,0)</x:f>
        <x:v>1</x:v>
      </x:c>
      <x:c r="F549" s="21" t="n">
        <x:v>1</x:v>
      </x:c>
      <x:c r="G549" s="23" t="str">
        <x:f>IF(E549=F549,"PASS","FAIL")</x:f>
        <x:v>PASS</x:v>
      </x:c>
    </x:row>
    <x:row r="550">
      <x:c r="B550" s="21" t="str">
        <x:v>C0544</x:v>
      </x:c>
      <x:c r="C550" s="21" t="str">
        <x:v>stage build</x:v>
      </x:c>
      <x:c r="D550" s="21" t="str">
        <x:v>replication layer nonnegative row 97</x:v>
      </x:c>
      <x:c r="E550" s="21" t="n">
        <x:f>IF('Stage Build'!J97&gt;=0,1,0)</x:f>
        <x:v>1</x:v>
      </x:c>
      <x:c r="F550" s="21" t="n">
        <x:v>1</x:v>
      </x:c>
      <x:c r="G550" s="23" t="str">
        <x:f>IF(E550=F550,"PASS","FAIL")</x:f>
        <x:v>PASS</x:v>
      </x:c>
    </x:row>
    <x:row r="551">
      <x:c r="B551" s="21" t="str">
        <x:v>C0545</x:v>
      </x:c>
      <x:c r="C551" s="21" t="str">
        <x:v>stage build</x:v>
      </x:c>
      <x:c r="D551" s="21" t="str">
        <x:v>designed ratio identity row 97</x:v>
      </x:c>
      <x:c r="E551" s="21" t="n">
        <x:f>IF(ABS('Stage Build'!K97-'Stage Build'!I97-'Stage Build'!J97)&lt;0.000001,1,0)</x:f>
        <x:v>1</x:v>
      </x:c>
      <x:c r="F551" s="21" t="n">
        <x:v>1</x:v>
      </x:c>
      <x:c r="G551" s="23" t="str">
        <x:f>IF(E551=F551,"PASS","FAIL")</x:f>
        <x:v>PASS</x:v>
      </x:c>
    </x:row>
    <x:row r="552">
      <x:c r="B552" s="21" t="str">
        <x:v>C0546</x:v>
      </x:c>
      <x:c r="C552" s="21" t="str">
        <x:v>stage build</x:v>
      </x:c>
      <x:c r="D552" s="21" t="str">
        <x:v>M05 status identity row 97</x:v>
      </x:c>
      <x:c r="E552" s="21" t="n">
        <x:f>IF('Stage Build'!L97=IF('Stage Build'!K97&gt;=Assumptions!$C$9,"ADEQUATE","GAP"),1,0)</x:f>
        <x:v>1</x:v>
      </x:c>
      <x:c r="F552" s="21" t="n">
        <x:v>1</x:v>
      </x:c>
      <x:c r="G552" s="23" t="str">
        <x:f>IF(E552=F552,"PASS","FAIL")</x:f>
        <x:v>PASS</x:v>
      </x:c>
    </x:row>
    <x:row r="553">
      <x:c r="B553" s="21" t="str">
        <x:v>C0547</x:v>
      </x:c>
      <x:c r="C553" s="21" t="str">
        <x:v>stage build</x:v>
      </x:c>
      <x:c r="D553" s="21" t="str">
        <x:v>baseline nonnegative row 98</x:v>
      </x:c>
      <x:c r="E553" s="21" t="n">
        <x:f>IF('Stage Build'!F98&gt;=0,1,0)</x:f>
        <x:v>1</x:v>
      </x:c>
      <x:c r="F553" s="21" t="n">
        <x:v>1</x:v>
      </x:c>
      <x:c r="G553" s="23" t="str">
        <x:f>IF(E553=F553,"PASS","FAIL")</x:f>
        <x:v>PASS</x:v>
      </x:c>
    </x:row>
    <x:row r="554">
      <x:c r="B554" s="21" t="str">
        <x:v>C0548</x:v>
      </x:c>
      <x:c r="C554" s="21" t="str">
        <x:v>stage build</x:v>
      </x:c>
      <x:c r="D554" s="21" t="str">
        <x:v>targeted additions nonnegative row 98</x:v>
      </x:c>
      <x:c r="E554" s="21" t="n">
        <x:f>IF(AND('Stage Build'!G98&gt;=0,'Stage Build'!H98&gt;=0),1,0)</x:f>
        <x:v>1</x:v>
      </x:c>
      <x:c r="F554" s="21" t="n">
        <x:v>1</x:v>
      </x:c>
      <x:c r="G554" s="23" t="str">
        <x:f>IF(E554=F554,"PASS","FAIL")</x:f>
        <x:v>PASS</x:v>
      </x:c>
    </x:row>
    <x:row r="555">
      <x:c r="B555" s="21" t="str">
        <x:v>C0549</x:v>
      </x:c>
      <x:c r="C555" s="21" t="str">
        <x:v>stage build</x:v>
      </x:c>
      <x:c r="D555" s="21" t="str">
        <x:v>pre-replication identity row 98</x:v>
      </x:c>
      <x:c r="E555" s="21" t="n">
        <x:f>IF(ABS('Stage Build'!I98-SUM('Stage Build'!F98:H98))&lt;0.000001,1,0)</x:f>
        <x:v>1</x:v>
      </x:c>
      <x:c r="F555" s="21" t="n">
        <x:v>1</x:v>
      </x:c>
      <x:c r="G555" s="23" t="str">
        <x:f>IF(E555=F555,"PASS","FAIL")</x:f>
        <x:v>PASS</x:v>
      </x:c>
    </x:row>
    <x:row r="556">
      <x:c r="B556" s="21" t="str">
        <x:v>C0550</x:v>
      </x:c>
      <x:c r="C556" s="21" t="str">
        <x:v>stage build</x:v>
      </x:c>
      <x:c r="D556" s="21" t="str">
        <x:v>replication layer nonnegative row 98</x:v>
      </x:c>
      <x:c r="E556" s="21" t="n">
        <x:f>IF('Stage Build'!J98&gt;=0,1,0)</x:f>
        <x:v>1</x:v>
      </x:c>
      <x:c r="F556" s="21" t="n">
        <x:v>1</x:v>
      </x:c>
      <x:c r="G556" s="23" t="str">
        <x:f>IF(E556=F556,"PASS","FAIL")</x:f>
        <x:v>PASS</x:v>
      </x:c>
    </x:row>
    <x:row r="557">
      <x:c r="B557" s="21" t="str">
        <x:v>C0551</x:v>
      </x:c>
      <x:c r="C557" s="21" t="str">
        <x:v>stage build</x:v>
      </x:c>
      <x:c r="D557" s="21" t="str">
        <x:v>designed ratio identity row 98</x:v>
      </x:c>
      <x:c r="E557" s="21" t="n">
        <x:f>IF(ABS('Stage Build'!K98-'Stage Build'!I98-'Stage Build'!J98)&lt;0.000001,1,0)</x:f>
        <x:v>1</x:v>
      </x:c>
      <x:c r="F557" s="21" t="n">
        <x:v>1</x:v>
      </x:c>
      <x:c r="G557" s="23" t="str">
        <x:f>IF(E557=F557,"PASS","FAIL")</x:f>
        <x:v>PASS</x:v>
      </x:c>
    </x:row>
    <x:row r="558">
      <x:c r="B558" s="21" t="str">
        <x:v>C0552</x:v>
      </x:c>
      <x:c r="C558" s="21" t="str">
        <x:v>stage build</x:v>
      </x:c>
      <x:c r="D558" s="21" t="str">
        <x:v>M05 status identity row 98</x:v>
      </x:c>
      <x:c r="E558" s="21" t="n">
        <x:f>IF('Stage Build'!L98=IF('Stage Build'!K98&gt;=Assumptions!$C$9,"ADEQUATE","GAP"),1,0)</x:f>
        <x:v>1</x:v>
      </x:c>
      <x:c r="F558" s="21" t="n">
        <x:v>1</x:v>
      </x:c>
      <x:c r="G558" s="23" t="str">
        <x:f>IF(E558=F558,"PASS","FAIL")</x:f>
        <x:v>PASS</x:v>
      </x:c>
    </x:row>
    <x:row r="559">
      <x:c r="B559" s="21" t="str">
        <x:v>C0553</x:v>
      </x:c>
      <x:c r="C559" s="21" t="str">
        <x:v>stage build</x:v>
      </x:c>
      <x:c r="D559" s="21" t="str">
        <x:v>baseline nonnegative row 99</x:v>
      </x:c>
      <x:c r="E559" s="21" t="n">
        <x:f>IF('Stage Build'!F99&gt;=0,1,0)</x:f>
        <x:v>1</x:v>
      </x:c>
      <x:c r="F559" s="21" t="n">
        <x:v>1</x:v>
      </x:c>
      <x:c r="G559" s="23" t="str">
        <x:f>IF(E559=F559,"PASS","FAIL")</x:f>
        <x:v>PASS</x:v>
      </x:c>
    </x:row>
    <x:row r="560">
      <x:c r="B560" s="21" t="str">
        <x:v>C0554</x:v>
      </x:c>
      <x:c r="C560" s="21" t="str">
        <x:v>stage build</x:v>
      </x:c>
      <x:c r="D560" s="21" t="str">
        <x:v>targeted additions nonnegative row 99</x:v>
      </x:c>
      <x:c r="E560" s="21" t="n">
        <x:f>IF(AND('Stage Build'!G99&gt;=0,'Stage Build'!H99&gt;=0),1,0)</x:f>
        <x:v>1</x:v>
      </x:c>
      <x:c r="F560" s="21" t="n">
        <x:v>1</x:v>
      </x:c>
      <x:c r="G560" s="23" t="str">
        <x:f>IF(E560=F560,"PASS","FAIL")</x:f>
        <x:v>PASS</x:v>
      </x:c>
    </x:row>
    <x:row r="561">
      <x:c r="B561" s="21" t="str">
        <x:v>C0555</x:v>
      </x:c>
      <x:c r="C561" s="21" t="str">
        <x:v>stage build</x:v>
      </x:c>
      <x:c r="D561" s="21" t="str">
        <x:v>pre-replication identity row 99</x:v>
      </x:c>
      <x:c r="E561" s="21" t="n">
        <x:f>IF(ABS('Stage Build'!I99-SUM('Stage Build'!F99:H99))&lt;0.000001,1,0)</x:f>
        <x:v>1</x:v>
      </x:c>
      <x:c r="F561" s="21" t="n">
        <x:v>1</x:v>
      </x:c>
      <x:c r="G561" s="23" t="str">
        <x:f>IF(E561=F561,"PASS","FAIL")</x:f>
        <x:v>PASS</x:v>
      </x:c>
    </x:row>
    <x:row r="562">
      <x:c r="B562" s="21" t="str">
        <x:v>C0556</x:v>
      </x:c>
      <x:c r="C562" s="21" t="str">
        <x:v>stage build</x:v>
      </x:c>
      <x:c r="D562" s="21" t="str">
        <x:v>replication layer nonnegative row 99</x:v>
      </x:c>
      <x:c r="E562" s="21" t="n">
        <x:f>IF('Stage Build'!J99&gt;=0,1,0)</x:f>
        <x:v>1</x:v>
      </x:c>
      <x:c r="F562" s="21" t="n">
        <x:v>1</x:v>
      </x:c>
      <x:c r="G562" s="23" t="str">
        <x:f>IF(E562=F562,"PASS","FAIL")</x:f>
        <x:v>PASS</x:v>
      </x:c>
    </x:row>
    <x:row r="563">
      <x:c r="B563" s="21" t="str">
        <x:v>C0557</x:v>
      </x:c>
      <x:c r="C563" s="21" t="str">
        <x:v>stage build</x:v>
      </x:c>
      <x:c r="D563" s="21" t="str">
        <x:v>designed ratio identity row 99</x:v>
      </x:c>
      <x:c r="E563" s="21" t="n">
        <x:f>IF(ABS('Stage Build'!K99-'Stage Build'!I99-'Stage Build'!J99)&lt;0.000001,1,0)</x:f>
        <x:v>1</x:v>
      </x:c>
      <x:c r="F563" s="21" t="n">
        <x:v>1</x:v>
      </x:c>
      <x:c r="G563" s="23" t="str">
        <x:f>IF(E563=F563,"PASS","FAIL")</x:f>
        <x:v>PASS</x:v>
      </x:c>
    </x:row>
    <x:row r="564">
      <x:c r="B564" s="21" t="str">
        <x:v>C0558</x:v>
      </x:c>
      <x:c r="C564" s="21" t="str">
        <x:v>stage build</x:v>
      </x:c>
      <x:c r="D564" s="21" t="str">
        <x:v>M05 status identity row 99</x:v>
      </x:c>
      <x:c r="E564" s="21" t="n">
        <x:f>IF('Stage Build'!L99=IF('Stage Build'!K99&gt;=Assumptions!$C$9,"ADEQUATE","GAP"),1,0)</x:f>
        <x:v>1</x:v>
      </x:c>
      <x:c r="F564" s="21" t="n">
        <x:v>1</x:v>
      </x:c>
      <x:c r="G564" s="23" t="str">
        <x:f>IF(E564=F564,"PASS","FAIL")</x:f>
        <x:v>PASS</x:v>
      </x:c>
    </x:row>
    <x:row r="565">
      <x:c r="B565" s="21" t="str">
        <x:v>C0559</x:v>
      </x:c>
      <x:c r="C565" s="21" t="str">
        <x:v>stage build</x:v>
      </x:c>
      <x:c r="D565" s="21" t="str">
        <x:v>baseline nonnegative row 100</x:v>
      </x:c>
      <x:c r="E565" s="21" t="n">
        <x:f>IF('Stage Build'!F100&gt;=0,1,0)</x:f>
        <x:v>1</x:v>
      </x:c>
      <x:c r="F565" s="21" t="n">
        <x:v>1</x:v>
      </x:c>
      <x:c r="G565" s="23" t="str">
        <x:f>IF(E565=F565,"PASS","FAIL")</x:f>
        <x:v>PASS</x:v>
      </x:c>
    </x:row>
    <x:row r="566">
      <x:c r="B566" s="21" t="str">
        <x:v>C0560</x:v>
      </x:c>
      <x:c r="C566" s="21" t="str">
        <x:v>stage build</x:v>
      </x:c>
      <x:c r="D566" s="21" t="str">
        <x:v>targeted additions nonnegative row 100</x:v>
      </x:c>
      <x:c r="E566" s="21" t="n">
        <x:f>IF(AND('Stage Build'!G100&gt;=0,'Stage Build'!H100&gt;=0),1,0)</x:f>
        <x:v>1</x:v>
      </x:c>
      <x:c r="F566" s="21" t="n">
        <x:v>1</x:v>
      </x:c>
      <x:c r="G566" s="23" t="str">
        <x:f>IF(E566=F566,"PASS","FAIL")</x:f>
        <x:v>PASS</x:v>
      </x:c>
    </x:row>
    <x:row r="567">
      <x:c r="B567" s="21" t="str">
        <x:v>C0561</x:v>
      </x:c>
      <x:c r="C567" s="21" t="str">
        <x:v>stage build</x:v>
      </x:c>
      <x:c r="D567" s="21" t="str">
        <x:v>pre-replication identity row 100</x:v>
      </x:c>
      <x:c r="E567" s="21" t="n">
        <x:f>IF(ABS('Stage Build'!I100-SUM('Stage Build'!F100:H100))&lt;0.000001,1,0)</x:f>
        <x:v>1</x:v>
      </x:c>
      <x:c r="F567" s="21" t="n">
        <x:v>1</x:v>
      </x:c>
      <x:c r="G567" s="23" t="str">
        <x:f>IF(E567=F567,"PASS","FAIL")</x:f>
        <x:v>PASS</x:v>
      </x:c>
    </x:row>
    <x:row r="568">
      <x:c r="B568" s="21" t="str">
        <x:v>C0562</x:v>
      </x:c>
      <x:c r="C568" s="21" t="str">
        <x:v>stage build</x:v>
      </x:c>
      <x:c r="D568" s="21" t="str">
        <x:v>replication layer nonnegative row 100</x:v>
      </x:c>
      <x:c r="E568" s="21" t="n">
        <x:f>IF('Stage Build'!J100&gt;=0,1,0)</x:f>
        <x:v>1</x:v>
      </x:c>
      <x:c r="F568" s="21" t="n">
        <x:v>1</x:v>
      </x:c>
      <x:c r="G568" s="23" t="str">
        <x:f>IF(E568=F568,"PASS","FAIL")</x:f>
        <x:v>PASS</x:v>
      </x:c>
    </x:row>
    <x:row r="569">
      <x:c r="B569" s="21" t="str">
        <x:v>C0563</x:v>
      </x:c>
      <x:c r="C569" s="21" t="str">
        <x:v>stage build</x:v>
      </x:c>
      <x:c r="D569" s="21" t="str">
        <x:v>designed ratio identity row 100</x:v>
      </x:c>
      <x:c r="E569" s="21" t="n">
        <x:f>IF(ABS('Stage Build'!K100-'Stage Build'!I100-'Stage Build'!J100)&lt;0.000001,1,0)</x:f>
        <x:v>1</x:v>
      </x:c>
      <x:c r="F569" s="21" t="n">
        <x:v>1</x:v>
      </x:c>
      <x:c r="G569" s="23" t="str">
        <x:f>IF(E569=F569,"PASS","FAIL")</x:f>
        <x:v>PASS</x:v>
      </x:c>
    </x:row>
    <x:row r="570">
      <x:c r="B570" s="21" t="str">
        <x:v>C0564</x:v>
      </x:c>
      <x:c r="C570" s="21" t="str">
        <x:v>stage build</x:v>
      </x:c>
      <x:c r="D570" s="21" t="str">
        <x:v>M05 status identity row 100</x:v>
      </x:c>
      <x:c r="E570" s="21" t="n">
        <x:f>IF('Stage Build'!L100=IF('Stage Build'!K100&gt;=Assumptions!$C$9,"ADEQUATE","GAP"),1,0)</x:f>
        <x:v>1</x:v>
      </x:c>
      <x:c r="F570" s="21" t="n">
        <x:v>1</x:v>
      </x:c>
      <x:c r="G570" s="23" t="str">
        <x:f>IF(E570=F570,"PASS","FAIL")</x:f>
        <x:v>PASS</x:v>
      </x:c>
    </x:row>
    <x:row r="571">
      <x:c r="B571" s="21" t="str">
        <x:v>C0565</x:v>
      </x:c>
      <x:c r="C571" s="21" t="str">
        <x:v>stage build</x:v>
      </x:c>
      <x:c r="D571" s="21" t="str">
        <x:v>baseline nonnegative row 101</x:v>
      </x:c>
      <x:c r="E571" s="21" t="n">
        <x:f>IF('Stage Build'!F101&gt;=0,1,0)</x:f>
        <x:v>1</x:v>
      </x:c>
      <x:c r="F571" s="21" t="n">
        <x:v>1</x:v>
      </x:c>
      <x:c r="G571" s="23" t="str">
        <x:f>IF(E571=F571,"PASS","FAIL")</x:f>
        <x:v>PASS</x:v>
      </x:c>
    </x:row>
    <x:row r="572">
      <x:c r="B572" s="21" t="str">
        <x:v>C0566</x:v>
      </x:c>
      <x:c r="C572" s="21" t="str">
        <x:v>stage build</x:v>
      </x:c>
      <x:c r="D572" s="21" t="str">
        <x:v>targeted additions nonnegative row 101</x:v>
      </x:c>
      <x:c r="E572" s="21" t="n">
        <x:f>IF(AND('Stage Build'!G101&gt;=0,'Stage Build'!H101&gt;=0),1,0)</x:f>
        <x:v>1</x:v>
      </x:c>
      <x:c r="F572" s="21" t="n">
        <x:v>1</x:v>
      </x:c>
      <x:c r="G572" s="23" t="str">
        <x:f>IF(E572=F572,"PASS","FAIL")</x:f>
        <x:v>PASS</x:v>
      </x:c>
    </x:row>
    <x:row r="573">
      <x:c r="B573" s="21" t="str">
        <x:v>C0567</x:v>
      </x:c>
      <x:c r="C573" s="21" t="str">
        <x:v>stage build</x:v>
      </x:c>
      <x:c r="D573" s="21" t="str">
        <x:v>pre-replication identity row 101</x:v>
      </x:c>
      <x:c r="E573" s="21" t="n">
        <x:f>IF(ABS('Stage Build'!I101-SUM('Stage Build'!F101:H101))&lt;0.000001,1,0)</x:f>
        <x:v>1</x:v>
      </x:c>
      <x:c r="F573" s="21" t="n">
        <x:v>1</x:v>
      </x:c>
      <x:c r="G573" s="23" t="str">
        <x:f>IF(E573=F573,"PASS","FAIL")</x:f>
        <x:v>PASS</x:v>
      </x:c>
    </x:row>
    <x:row r="574">
      <x:c r="B574" s="21" t="str">
        <x:v>C0568</x:v>
      </x:c>
      <x:c r="C574" s="21" t="str">
        <x:v>stage build</x:v>
      </x:c>
      <x:c r="D574" s="21" t="str">
        <x:v>replication layer nonnegative row 101</x:v>
      </x:c>
      <x:c r="E574" s="21" t="n">
        <x:f>IF('Stage Build'!J101&gt;=0,1,0)</x:f>
        <x:v>1</x:v>
      </x:c>
      <x:c r="F574" s="21" t="n">
        <x:v>1</x:v>
      </x:c>
      <x:c r="G574" s="23" t="str">
        <x:f>IF(E574=F574,"PASS","FAIL")</x:f>
        <x:v>PASS</x:v>
      </x:c>
    </x:row>
    <x:row r="575">
      <x:c r="B575" s="21" t="str">
        <x:v>C0569</x:v>
      </x:c>
      <x:c r="C575" s="21" t="str">
        <x:v>stage build</x:v>
      </x:c>
      <x:c r="D575" s="21" t="str">
        <x:v>designed ratio identity row 101</x:v>
      </x:c>
      <x:c r="E575" s="21" t="n">
        <x:f>IF(ABS('Stage Build'!K101-'Stage Build'!I101-'Stage Build'!J101)&lt;0.000001,1,0)</x:f>
        <x:v>1</x:v>
      </x:c>
      <x:c r="F575" s="21" t="n">
        <x:v>1</x:v>
      </x:c>
      <x:c r="G575" s="23" t="str">
        <x:f>IF(E575=F575,"PASS","FAIL")</x:f>
        <x:v>PASS</x:v>
      </x:c>
    </x:row>
    <x:row r="576">
      <x:c r="B576" s="21" t="str">
        <x:v>C0570</x:v>
      </x:c>
      <x:c r="C576" s="21" t="str">
        <x:v>stage build</x:v>
      </x:c>
      <x:c r="D576" s="21" t="str">
        <x:v>M05 status identity row 101</x:v>
      </x:c>
      <x:c r="E576" s="21" t="n">
        <x:f>IF('Stage Build'!L101=IF('Stage Build'!K101&gt;=Assumptions!$C$9,"ADEQUATE","GAP"),1,0)</x:f>
        <x:v>1</x:v>
      </x:c>
      <x:c r="F576" s="21" t="n">
        <x:v>1</x:v>
      </x:c>
      <x:c r="G576" s="23" t="str">
        <x:f>IF(E576=F576,"PASS","FAIL")</x:f>
        <x:v>PASS</x:v>
      </x:c>
    </x:row>
    <x:row r="577">
      <x:c r="B577" s="21" t="str">
        <x:v>C0571</x:v>
      </x:c>
      <x:c r="C577" s="21" t="str">
        <x:v>stage build</x:v>
      </x:c>
      <x:c r="D577" s="21" t="str">
        <x:v>baseline nonnegative row 102</x:v>
      </x:c>
      <x:c r="E577" s="21" t="n">
        <x:f>IF('Stage Build'!F102&gt;=0,1,0)</x:f>
        <x:v>1</x:v>
      </x:c>
      <x:c r="F577" s="21" t="n">
        <x:v>1</x:v>
      </x:c>
      <x:c r="G577" s="23" t="str">
        <x:f>IF(E577=F577,"PASS","FAIL")</x:f>
        <x:v>PASS</x:v>
      </x:c>
    </x:row>
    <x:row r="578">
      <x:c r="B578" s="21" t="str">
        <x:v>C0572</x:v>
      </x:c>
      <x:c r="C578" s="21" t="str">
        <x:v>stage build</x:v>
      </x:c>
      <x:c r="D578" s="21" t="str">
        <x:v>targeted additions nonnegative row 102</x:v>
      </x:c>
      <x:c r="E578" s="21" t="n">
        <x:f>IF(AND('Stage Build'!G102&gt;=0,'Stage Build'!H102&gt;=0),1,0)</x:f>
        <x:v>1</x:v>
      </x:c>
      <x:c r="F578" s="21" t="n">
        <x:v>1</x:v>
      </x:c>
      <x:c r="G578" s="23" t="str">
        <x:f>IF(E578=F578,"PASS","FAIL")</x:f>
        <x:v>PASS</x:v>
      </x:c>
    </x:row>
    <x:row r="579">
      <x:c r="B579" s="21" t="str">
        <x:v>C0573</x:v>
      </x:c>
      <x:c r="C579" s="21" t="str">
        <x:v>stage build</x:v>
      </x:c>
      <x:c r="D579" s="21" t="str">
        <x:v>pre-replication identity row 102</x:v>
      </x:c>
      <x:c r="E579" s="21" t="n">
        <x:f>IF(ABS('Stage Build'!I102-SUM('Stage Build'!F102:H102))&lt;0.000001,1,0)</x:f>
        <x:v>1</x:v>
      </x:c>
      <x:c r="F579" s="21" t="n">
        <x:v>1</x:v>
      </x:c>
      <x:c r="G579" s="23" t="str">
        <x:f>IF(E579=F579,"PASS","FAIL")</x:f>
        <x:v>PASS</x:v>
      </x:c>
    </x:row>
    <x:row r="580">
      <x:c r="B580" s="21" t="str">
        <x:v>C0574</x:v>
      </x:c>
      <x:c r="C580" s="21" t="str">
        <x:v>stage build</x:v>
      </x:c>
      <x:c r="D580" s="21" t="str">
        <x:v>replication layer nonnegative row 102</x:v>
      </x:c>
      <x:c r="E580" s="21" t="n">
        <x:f>IF('Stage Build'!J102&gt;=0,1,0)</x:f>
        <x:v>1</x:v>
      </x:c>
      <x:c r="F580" s="21" t="n">
        <x:v>1</x:v>
      </x:c>
      <x:c r="G580" s="23" t="str">
        <x:f>IF(E580=F580,"PASS","FAIL")</x:f>
        <x:v>PASS</x:v>
      </x:c>
    </x:row>
    <x:row r="581">
      <x:c r="B581" s="21" t="str">
        <x:v>C0575</x:v>
      </x:c>
      <x:c r="C581" s="21" t="str">
        <x:v>stage build</x:v>
      </x:c>
      <x:c r="D581" s="21" t="str">
        <x:v>designed ratio identity row 102</x:v>
      </x:c>
      <x:c r="E581" s="21" t="n">
        <x:f>IF(ABS('Stage Build'!K102-'Stage Build'!I102-'Stage Build'!J102)&lt;0.000001,1,0)</x:f>
        <x:v>1</x:v>
      </x:c>
      <x:c r="F581" s="21" t="n">
        <x:v>1</x:v>
      </x:c>
      <x:c r="G581" s="23" t="str">
        <x:f>IF(E581=F581,"PASS","FAIL")</x:f>
        <x:v>PASS</x:v>
      </x:c>
    </x:row>
    <x:row r="582">
      <x:c r="B582" s="21" t="str">
        <x:v>C0576</x:v>
      </x:c>
      <x:c r="C582" s="21" t="str">
        <x:v>stage build</x:v>
      </x:c>
      <x:c r="D582" s="21" t="str">
        <x:v>M05 status identity row 102</x:v>
      </x:c>
      <x:c r="E582" s="21" t="n">
        <x:f>IF('Stage Build'!L102=IF('Stage Build'!K102&gt;=Assumptions!$C$9,"ADEQUATE","GAP"),1,0)</x:f>
        <x:v>1</x:v>
      </x:c>
      <x:c r="F582" s="21" t="n">
        <x:v>1</x:v>
      </x:c>
      <x:c r="G582" s="23" t="str">
        <x:f>IF(E582=F582,"PASS","FAIL")</x:f>
        <x:v>PASS</x:v>
      </x:c>
    </x:row>
    <x:row r="583">
      <x:c r="B583" s="21" t="str">
        <x:v>C0577</x:v>
      </x:c>
      <x:c r="C583" s="21" t="str">
        <x:v>stage build</x:v>
      </x:c>
      <x:c r="D583" s="21" t="str">
        <x:v>baseline nonnegative row 103</x:v>
      </x:c>
      <x:c r="E583" s="21" t="n">
        <x:f>IF('Stage Build'!F103&gt;=0,1,0)</x:f>
        <x:v>1</x:v>
      </x:c>
      <x:c r="F583" s="21" t="n">
        <x:v>1</x:v>
      </x:c>
      <x:c r="G583" s="23" t="str">
        <x:f>IF(E583=F583,"PASS","FAIL")</x:f>
        <x:v>PASS</x:v>
      </x:c>
    </x:row>
    <x:row r="584">
      <x:c r="B584" s="21" t="str">
        <x:v>C0578</x:v>
      </x:c>
      <x:c r="C584" s="21" t="str">
        <x:v>stage build</x:v>
      </x:c>
      <x:c r="D584" s="21" t="str">
        <x:v>targeted additions nonnegative row 103</x:v>
      </x:c>
      <x:c r="E584" s="21" t="n">
        <x:f>IF(AND('Stage Build'!G103&gt;=0,'Stage Build'!H103&gt;=0),1,0)</x:f>
        <x:v>1</x:v>
      </x:c>
      <x:c r="F584" s="21" t="n">
        <x:v>1</x:v>
      </x:c>
      <x:c r="G584" s="23" t="str">
        <x:f>IF(E584=F584,"PASS","FAIL")</x:f>
        <x:v>PASS</x:v>
      </x:c>
    </x:row>
    <x:row r="585">
      <x:c r="B585" s="21" t="str">
        <x:v>C0579</x:v>
      </x:c>
      <x:c r="C585" s="21" t="str">
        <x:v>stage build</x:v>
      </x:c>
      <x:c r="D585" s="21" t="str">
        <x:v>pre-replication identity row 103</x:v>
      </x:c>
      <x:c r="E585" s="21" t="n">
        <x:f>IF(ABS('Stage Build'!I103-SUM('Stage Build'!F103:H103))&lt;0.000001,1,0)</x:f>
        <x:v>1</x:v>
      </x:c>
      <x:c r="F585" s="21" t="n">
        <x:v>1</x:v>
      </x:c>
      <x:c r="G585" s="23" t="str">
        <x:f>IF(E585=F585,"PASS","FAIL")</x:f>
        <x:v>PASS</x:v>
      </x:c>
    </x:row>
    <x:row r="586">
      <x:c r="B586" s="21" t="str">
        <x:v>C0580</x:v>
      </x:c>
      <x:c r="C586" s="21" t="str">
        <x:v>stage build</x:v>
      </x:c>
      <x:c r="D586" s="21" t="str">
        <x:v>replication layer nonnegative row 103</x:v>
      </x:c>
      <x:c r="E586" s="21" t="n">
        <x:f>IF('Stage Build'!J103&gt;=0,1,0)</x:f>
        <x:v>1</x:v>
      </x:c>
      <x:c r="F586" s="21" t="n">
        <x:v>1</x:v>
      </x:c>
      <x:c r="G586" s="23" t="str">
        <x:f>IF(E586=F586,"PASS","FAIL")</x:f>
        <x:v>PASS</x:v>
      </x:c>
    </x:row>
    <x:row r="587">
      <x:c r="B587" s="21" t="str">
        <x:v>C0581</x:v>
      </x:c>
      <x:c r="C587" s="21" t="str">
        <x:v>stage build</x:v>
      </x:c>
      <x:c r="D587" s="21" t="str">
        <x:v>designed ratio identity row 103</x:v>
      </x:c>
      <x:c r="E587" s="21" t="n">
        <x:f>IF(ABS('Stage Build'!K103-'Stage Build'!I103-'Stage Build'!J103)&lt;0.000001,1,0)</x:f>
        <x:v>1</x:v>
      </x:c>
      <x:c r="F587" s="21" t="n">
        <x:v>1</x:v>
      </x:c>
      <x:c r="G587" s="23" t="str">
        <x:f>IF(E587=F587,"PASS","FAIL")</x:f>
        <x:v>PASS</x:v>
      </x:c>
    </x:row>
    <x:row r="588">
      <x:c r="B588" s="21" t="str">
        <x:v>C0582</x:v>
      </x:c>
      <x:c r="C588" s="21" t="str">
        <x:v>stage build</x:v>
      </x:c>
      <x:c r="D588" s="21" t="str">
        <x:v>M05 status identity row 103</x:v>
      </x:c>
      <x:c r="E588" s="21" t="n">
        <x:f>IF('Stage Build'!L103=IF('Stage Build'!K103&gt;=Assumptions!$C$9,"ADEQUATE","GAP"),1,0)</x:f>
        <x:v>1</x:v>
      </x:c>
      <x:c r="F588" s="21" t="n">
        <x:v>1</x:v>
      </x:c>
      <x:c r="G588" s="23" t="str">
        <x:f>IF(E588=F588,"PASS","FAIL")</x:f>
        <x:v>PASS</x:v>
      </x:c>
    </x:row>
    <x:row r="589">
      <x:c r="B589" s="21" t="str">
        <x:v>C0583</x:v>
      </x:c>
      <x:c r="C589" s="21" t="str">
        <x:v>stage build</x:v>
      </x:c>
      <x:c r="D589" s="21" t="str">
        <x:v>baseline nonnegative row 104</x:v>
      </x:c>
      <x:c r="E589" s="21" t="n">
        <x:f>IF('Stage Build'!F104&gt;=0,1,0)</x:f>
        <x:v>1</x:v>
      </x:c>
      <x:c r="F589" s="21" t="n">
        <x:v>1</x:v>
      </x:c>
      <x:c r="G589" s="23" t="str">
        <x:f>IF(E589=F589,"PASS","FAIL")</x:f>
        <x:v>PASS</x:v>
      </x:c>
    </x:row>
    <x:row r="590">
      <x:c r="B590" s="21" t="str">
        <x:v>C0584</x:v>
      </x:c>
      <x:c r="C590" s="21" t="str">
        <x:v>stage build</x:v>
      </x:c>
      <x:c r="D590" s="21" t="str">
        <x:v>targeted additions nonnegative row 104</x:v>
      </x:c>
      <x:c r="E590" s="21" t="n">
        <x:f>IF(AND('Stage Build'!G104&gt;=0,'Stage Build'!H104&gt;=0),1,0)</x:f>
        <x:v>1</x:v>
      </x:c>
      <x:c r="F590" s="21" t="n">
        <x:v>1</x:v>
      </x:c>
      <x:c r="G590" s="23" t="str">
        <x:f>IF(E590=F590,"PASS","FAIL")</x:f>
        <x:v>PASS</x:v>
      </x:c>
    </x:row>
    <x:row r="591">
      <x:c r="B591" s="21" t="str">
        <x:v>C0585</x:v>
      </x:c>
      <x:c r="C591" s="21" t="str">
        <x:v>stage build</x:v>
      </x:c>
      <x:c r="D591" s="21" t="str">
        <x:v>pre-replication identity row 104</x:v>
      </x:c>
      <x:c r="E591" s="21" t="n">
        <x:f>IF(ABS('Stage Build'!I104-SUM('Stage Build'!F104:H104))&lt;0.000001,1,0)</x:f>
        <x:v>1</x:v>
      </x:c>
      <x:c r="F591" s="21" t="n">
        <x:v>1</x:v>
      </x:c>
      <x:c r="G591" s="23" t="str">
        <x:f>IF(E591=F591,"PASS","FAIL")</x:f>
        <x:v>PASS</x:v>
      </x:c>
    </x:row>
    <x:row r="592">
      <x:c r="B592" s="21" t="str">
        <x:v>C0586</x:v>
      </x:c>
      <x:c r="C592" s="21" t="str">
        <x:v>stage build</x:v>
      </x:c>
      <x:c r="D592" s="21" t="str">
        <x:v>replication layer nonnegative row 104</x:v>
      </x:c>
      <x:c r="E592" s="21" t="n">
        <x:f>IF('Stage Build'!J104&gt;=0,1,0)</x:f>
        <x:v>1</x:v>
      </x:c>
      <x:c r="F592" s="21" t="n">
        <x:v>1</x:v>
      </x:c>
      <x:c r="G592" s="23" t="str">
        <x:f>IF(E592=F592,"PASS","FAIL")</x:f>
        <x:v>PASS</x:v>
      </x:c>
    </x:row>
    <x:row r="593">
      <x:c r="B593" s="21" t="str">
        <x:v>C0587</x:v>
      </x:c>
      <x:c r="C593" s="21" t="str">
        <x:v>stage build</x:v>
      </x:c>
      <x:c r="D593" s="21" t="str">
        <x:v>designed ratio identity row 104</x:v>
      </x:c>
      <x:c r="E593" s="21" t="n">
        <x:f>IF(ABS('Stage Build'!K104-'Stage Build'!I104-'Stage Build'!J104)&lt;0.000001,1,0)</x:f>
        <x:v>1</x:v>
      </x:c>
      <x:c r="F593" s="21" t="n">
        <x:v>1</x:v>
      </x:c>
      <x:c r="G593" s="23" t="str">
        <x:f>IF(E593=F593,"PASS","FAIL")</x:f>
        <x:v>PASS</x:v>
      </x:c>
    </x:row>
    <x:row r="594">
      <x:c r="B594" s="21" t="str">
        <x:v>C0588</x:v>
      </x:c>
      <x:c r="C594" s="21" t="str">
        <x:v>stage build</x:v>
      </x:c>
      <x:c r="D594" s="21" t="str">
        <x:v>M05 status identity row 104</x:v>
      </x:c>
      <x:c r="E594" s="21" t="n">
        <x:f>IF('Stage Build'!L104=IF('Stage Build'!K104&gt;=Assumptions!$C$9,"ADEQUATE","GAP"),1,0)</x:f>
        <x:v>1</x:v>
      </x:c>
      <x:c r="F594" s="21" t="n">
        <x:v>1</x:v>
      </x:c>
      <x:c r="G594" s="23" t="str">
        <x:f>IF(E594=F594,"PASS","FAIL")</x:f>
        <x:v>PASS</x:v>
      </x:c>
    </x:row>
    <x:row r="595">
      <x:c r="B595" s="21" t="str">
        <x:v>C0589</x:v>
      </x:c>
      <x:c r="C595" s="21" t="str">
        <x:v>stage build</x:v>
      </x:c>
      <x:c r="D595" s="21" t="str">
        <x:v>baseline nonnegative row 105</x:v>
      </x:c>
      <x:c r="E595" s="21" t="n">
        <x:f>IF('Stage Build'!F105&gt;=0,1,0)</x:f>
        <x:v>1</x:v>
      </x:c>
      <x:c r="F595" s="21" t="n">
        <x:v>1</x:v>
      </x:c>
      <x:c r="G595" s="23" t="str">
        <x:f>IF(E595=F595,"PASS","FAIL")</x:f>
        <x:v>PASS</x:v>
      </x:c>
    </x:row>
    <x:row r="596">
      <x:c r="B596" s="21" t="str">
        <x:v>C0590</x:v>
      </x:c>
      <x:c r="C596" s="21" t="str">
        <x:v>stage build</x:v>
      </x:c>
      <x:c r="D596" s="21" t="str">
        <x:v>targeted additions nonnegative row 105</x:v>
      </x:c>
      <x:c r="E596" s="21" t="n">
        <x:f>IF(AND('Stage Build'!G105&gt;=0,'Stage Build'!H105&gt;=0),1,0)</x:f>
        <x:v>1</x:v>
      </x:c>
      <x:c r="F596" s="21" t="n">
        <x:v>1</x:v>
      </x:c>
      <x:c r="G596" s="23" t="str">
        <x:f>IF(E596=F596,"PASS","FAIL")</x:f>
        <x:v>PASS</x:v>
      </x:c>
    </x:row>
    <x:row r="597">
      <x:c r="B597" s="21" t="str">
        <x:v>C0591</x:v>
      </x:c>
      <x:c r="C597" s="21" t="str">
        <x:v>stage build</x:v>
      </x:c>
      <x:c r="D597" s="21" t="str">
        <x:v>pre-replication identity row 105</x:v>
      </x:c>
      <x:c r="E597" s="21" t="n">
        <x:f>IF(ABS('Stage Build'!I105-SUM('Stage Build'!F105:H105))&lt;0.000001,1,0)</x:f>
        <x:v>1</x:v>
      </x:c>
      <x:c r="F597" s="21" t="n">
        <x:v>1</x:v>
      </x:c>
      <x:c r="G597" s="23" t="str">
        <x:f>IF(E597=F597,"PASS","FAIL")</x:f>
        <x:v>PASS</x:v>
      </x:c>
    </x:row>
    <x:row r="598">
      <x:c r="B598" s="21" t="str">
        <x:v>C0592</x:v>
      </x:c>
      <x:c r="C598" s="21" t="str">
        <x:v>stage build</x:v>
      </x:c>
      <x:c r="D598" s="21" t="str">
        <x:v>replication layer nonnegative row 105</x:v>
      </x:c>
      <x:c r="E598" s="21" t="n">
        <x:f>IF('Stage Build'!J105&gt;=0,1,0)</x:f>
        <x:v>1</x:v>
      </x:c>
      <x:c r="F598" s="21" t="n">
        <x:v>1</x:v>
      </x:c>
      <x:c r="G598" s="23" t="str">
        <x:f>IF(E598=F598,"PASS","FAIL")</x:f>
        <x:v>PASS</x:v>
      </x:c>
    </x:row>
    <x:row r="599">
      <x:c r="B599" s="21" t="str">
        <x:v>C0593</x:v>
      </x:c>
      <x:c r="C599" s="21" t="str">
        <x:v>stage build</x:v>
      </x:c>
      <x:c r="D599" s="21" t="str">
        <x:v>designed ratio identity row 105</x:v>
      </x:c>
      <x:c r="E599" s="21" t="n">
        <x:f>IF(ABS('Stage Build'!K105-'Stage Build'!I105-'Stage Build'!J105)&lt;0.000001,1,0)</x:f>
        <x:v>1</x:v>
      </x:c>
      <x:c r="F599" s="21" t="n">
        <x:v>1</x:v>
      </x:c>
      <x:c r="G599" s="23" t="str">
        <x:f>IF(E599=F599,"PASS","FAIL")</x:f>
        <x:v>PASS</x:v>
      </x:c>
    </x:row>
    <x:row r="600">
      <x:c r="B600" s="21" t="str">
        <x:v>C0594</x:v>
      </x:c>
      <x:c r="C600" s="21" t="str">
        <x:v>stage build</x:v>
      </x:c>
      <x:c r="D600" s="21" t="str">
        <x:v>M05 status identity row 105</x:v>
      </x:c>
      <x:c r="E600" s="21" t="n">
        <x:f>IF('Stage Build'!L105=IF('Stage Build'!K105&gt;=Assumptions!$C$9,"ADEQUATE","GAP"),1,0)</x:f>
        <x:v>1</x:v>
      </x:c>
      <x:c r="F600" s="21" t="n">
        <x:v>1</x:v>
      </x:c>
      <x:c r="G600" s="23" t="str">
        <x:f>IF(E600=F600,"PASS","FAIL")</x:f>
        <x:v>PASS</x:v>
      </x:c>
    </x:row>
    <x:row r="601">
      <x:c r="B601" s="21" t="str">
        <x:v>C0595</x:v>
      </x:c>
      <x:c r="C601" s="21" t="str">
        <x:v>stage build</x:v>
      </x:c>
      <x:c r="D601" s="21" t="str">
        <x:v>baseline nonnegative row 106</x:v>
      </x:c>
      <x:c r="E601" s="21" t="n">
        <x:f>IF('Stage Build'!F106&gt;=0,1,0)</x:f>
        <x:v>1</x:v>
      </x:c>
      <x:c r="F601" s="21" t="n">
        <x:v>1</x:v>
      </x:c>
      <x:c r="G601" s="23" t="str">
        <x:f>IF(E601=F601,"PASS","FAIL")</x:f>
        <x:v>PASS</x:v>
      </x:c>
    </x:row>
    <x:row r="602">
      <x:c r="B602" s="21" t="str">
        <x:v>C0596</x:v>
      </x:c>
      <x:c r="C602" s="21" t="str">
        <x:v>stage build</x:v>
      </x:c>
      <x:c r="D602" s="21" t="str">
        <x:v>targeted additions nonnegative row 106</x:v>
      </x:c>
      <x:c r="E602" s="21" t="n">
        <x:f>IF(AND('Stage Build'!G106&gt;=0,'Stage Build'!H106&gt;=0),1,0)</x:f>
        <x:v>1</x:v>
      </x:c>
      <x:c r="F602" s="21" t="n">
        <x:v>1</x:v>
      </x:c>
      <x:c r="G602" s="23" t="str">
        <x:f>IF(E602=F602,"PASS","FAIL")</x:f>
        <x:v>PASS</x:v>
      </x:c>
    </x:row>
    <x:row r="603">
      <x:c r="B603" s="21" t="str">
        <x:v>C0597</x:v>
      </x:c>
      <x:c r="C603" s="21" t="str">
        <x:v>stage build</x:v>
      </x:c>
      <x:c r="D603" s="21" t="str">
        <x:v>pre-replication identity row 106</x:v>
      </x:c>
      <x:c r="E603" s="21" t="n">
        <x:f>IF(ABS('Stage Build'!I106-SUM('Stage Build'!F106:H106))&lt;0.000001,1,0)</x:f>
        <x:v>1</x:v>
      </x:c>
      <x:c r="F603" s="21" t="n">
        <x:v>1</x:v>
      </x:c>
      <x:c r="G603" s="23" t="str">
        <x:f>IF(E603=F603,"PASS","FAIL")</x:f>
        <x:v>PASS</x:v>
      </x:c>
    </x:row>
    <x:row r="604">
      <x:c r="B604" s="21" t="str">
        <x:v>C0598</x:v>
      </x:c>
      <x:c r="C604" s="21" t="str">
        <x:v>stage build</x:v>
      </x:c>
      <x:c r="D604" s="21" t="str">
        <x:v>replication layer nonnegative row 106</x:v>
      </x:c>
      <x:c r="E604" s="21" t="n">
        <x:f>IF('Stage Build'!J106&gt;=0,1,0)</x:f>
        <x:v>1</x:v>
      </x:c>
      <x:c r="F604" s="21" t="n">
        <x:v>1</x:v>
      </x:c>
      <x:c r="G604" s="23" t="str">
        <x:f>IF(E604=F604,"PASS","FAIL")</x:f>
        <x:v>PASS</x:v>
      </x:c>
    </x:row>
    <x:row r="605">
      <x:c r="B605" s="21" t="str">
        <x:v>C0599</x:v>
      </x:c>
      <x:c r="C605" s="21" t="str">
        <x:v>stage build</x:v>
      </x:c>
      <x:c r="D605" s="21" t="str">
        <x:v>designed ratio identity row 106</x:v>
      </x:c>
      <x:c r="E605" s="21" t="n">
        <x:f>IF(ABS('Stage Build'!K106-'Stage Build'!I106-'Stage Build'!J106)&lt;0.000001,1,0)</x:f>
        <x:v>1</x:v>
      </x:c>
      <x:c r="F605" s="21" t="n">
        <x:v>1</x:v>
      </x:c>
      <x:c r="G605" s="23" t="str">
        <x:f>IF(E605=F605,"PASS","FAIL")</x:f>
        <x:v>PASS</x:v>
      </x:c>
    </x:row>
    <x:row r="606">
      <x:c r="B606" s="21" t="str">
        <x:v>C0600</x:v>
      </x:c>
      <x:c r="C606" s="21" t="str">
        <x:v>stage build</x:v>
      </x:c>
      <x:c r="D606" s="21" t="str">
        <x:v>M05 status identity row 106</x:v>
      </x:c>
      <x:c r="E606" s="21" t="n">
        <x:f>IF('Stage Build'!L106=IF('Stage Build'!K106&gt;=Assumptions!$C$9,"ADEQUATE","GAP"),1,0)</x:f>
        <x:v>1</x:v>
      </x:c>
      <x:c r="F606" s="21" t="n">
        <x:v>1</x:v>
      </x:c>
      <x:c r="G606" s="23" t="str">
        <x:f>IF(E606=F606,"PASS","FAIL")</x:f>
        <x:v>PASS</x:v>
      </x:c>
    </x:row>
    <x:row r="607">
      <x:c r="B607" s="21" t="str">
        <x:v>C0601</x:v>
      </x:c>
      <x:c r="C607" s="21" t="str">
        <x:v>stage build</x:v>
      </x:c>
      <x:c r="D607" s="21" t="str">
        <x:v>baseline nonnegative row 107</x:v>
      </x:c>
      <x:c r="E607" s="21" t="n">
        <x:f>IF('Stage Build'!F107&gt;=0,1,0)</x:f>
        <x:v>1</x:v>
      </x:c>
      <x:c r="F607" s="21" t="n">
        <x:v>1</x:v>
      </x:c>
      <x:c r="G607" s="23" t="str">
        <x:f>IF(E607=F607,"PASS","FAIL")</x:f>
        <x:v>PASS</x:v>
      </x:c>
    </x:row>
    <x:row r="608">
      <x:c r="B608" s="21" t="str">
        <x:v>C0602</x:v>
      </x:c>
      <x:c r="C608" s="21" t="str">
        <x:v>stage build</x:v>
      </x:c>
      <x:c r="D608" s="21" t="str">
        <x:v>targeted additions nonnegative row 107</x:v>
      </x:c>
      <x:c r="E608" s="21" t="n">
        <x:f>IF(AND('Stage Build'!G107&gt;=0,'Stage Build'!H107&gt;=0),1,0)</x:f>
        <x:v>1</x:v>
      </x:c>
      <x:c r="F608" s="21" t="n">
        <x:v>1</x:v>
      </x:c>
      <x:c r="G608" s="23" t="str">
        <x:f>IF(E608=F608,"PASS","FAIL")</x:f>
        <x:v>PASS</x:v>
      </x:c>
    </x:row>
    <x:row r="609">
      <x:c r="B609" s="21" t="str">
        <x:v>C0603</x:v>
      </x:c>
      <x:c r="C609" s="21" t="str">
        <x:v>stage build</x:v>
      </x:c>
      <x:c r="D609" s="21" t="str">
        <x:v>pre-replication identity row 107</x:v>
      </x:c>
      <x:c r="E609" s="21" t="n">
        <x:f>IF(ABS('Stage Build'!I107-SUM('Stage Build'!F107:H107))&lt;0.000001,1,0)</x:f>
        <x:v>1</x:v>
      </x:c>
      <x:c r="F609" s="21" t="n">
        <x:v>1</x:v>
      </x:c>
      <x:c r="G609" s="23" t="str">
        <x:f>IF(E609=F609,"PASS","FAIL")</x:f>
        <x:v>PASS</x:v>
      </x:c>
    </x:row>
    <x:row r="610">
      <x:c r="B610" s="21" t="str">
        <x:v>C0604</x:v>
      </x:c>
      <x:c r="C610" s="21" t="str">
        <x:v>stage build</x:v>
      </x:c>
      <x:c r="D610" s="21" t="str">
        <x:v>replication layer nonnegative row 107</x:v>
      </x:c>
      <x:c r="E610" s="21" t="n">
        <x:f>IF('Stage Build'!J107&gt;=0,1,0)</x:f>
        <x:v>1</x:v>
      </x:c>
      <x:c r="F610" s="21" t="n">
        <x:v>1</x:v>
      </x:c>
      <x:c r="G610" s="23" t="str">
        <x:f>IF(E610=F610,"PASS","FAIL")</x:f>
        <x:v>PASS</x:v>
      </x:c>
    </x:row>
    <x:row r="611">
      <x:c r="B611" s="21" t="str">
        <x:v>C0605</x:v>
      </x:c>
      <x:c r="C611" s="21" t="str">
        <x:v>stage build</x:v>
      </x:c>
      <x:c r="D611" s="21" t="str">
        <x:v>designed ratio identity row 107</x:v>
      </x:c>
      <x:c r="E611" s="21" t="n">
        <x:f>IF(ABS('Stage Build'!K107-'Stage Build'!I107-'Stage Build'!J107)&lt;0.000001,1,0)</x:f>
        <x:v>1</x:v>
      </x:c>
      <x:c r="F611" s="21" t="n">
        <x:v>1</x:v>
      </x:c>
      <x:c r="G611" s="23" t="str">
        <x:f>IF(E611=F611,"PASS","FAIL")</x:f>
        <x:v>PASS</x:v>
      </x:c>
    </x:row>
    <x:row r="612">
      <x:c r="B612" s="21" t="str">
        <x:v>C0606</x:v>
      </x:c>
      <x:c r="C612" s="21" t="str">
        <x:v>stage build</x:v>
      </x:c>
      <x:c r="D612" s="21" t="str">
        <x:v>M05 status identity row 107</x:v>
      </x:c>
      <x:c r="E612" s="21" t="n">
        <x:f>IF('Stage Build'!L107=IF('Stage Build'!K107&gt;=Assumptions!$C$9,"ADEQUATE","GAP"),1,0)</x:f>
        <x:v>1</x:v>
      </x:c>
      <x:c r="F612" s="21" t="n">
        <x:v>1</x:v>
      </x:c>
      <x:c r="G612" s="23" t="str">
        <x:f>IF(E612=F612,"PASS","FAIL")</x:f>
        <x:v>PASS</x:v>
      </x:c>
    </x:row>
    <x:row r="613">
      <x:c r="B613" s="21" t="str">
        <x:v>C0607</x:v>
      </x:c>
      <x:c r="C613" s="21" t="str">
        <x:v>stage build</x:v>
      </x:c>
      <x:c r="D613" s="21" t="str">
        <x:v>baseline nonnegative row 108</x:v>
      </x:c>
      <x:c r="E613" s="21" t="n">
        <x:f>IF('Stage Build'!F108&gt;=0,1,0)</x:f>
        <x:v>1</x:v>
      </x:c>
      <x:c r="F613" s="21" t="n">
        <x:v>1</x:v>
      </x:c>
      <x:c r="G613" s="23" t="str">
        <x:f>IF(E613=F613,"PASS","FAIL")</x:f>
        <x:v>PASS</x:v>
      </x:c>
    </x:row>
    <x:row r="614">
      <x:c r="B614" s="21" t="str">
        <x:v>C0608</x:v>
      </x:c>
      <x:c r="C614" s="21" t="str">
        <x:v>stage build</x:v>
      </x:c>
      <x:c r="D614" s="21" t="str">
        <x:v>targeted additions nonnegative row 108</x:v>
      </x:c>
      <x:c r="E614" s="21" t="n">
        <x:f>IF(AND('Stage Build'!G108&gt;=0,'Stage Build'!H108&gt;=0),1,0)</x:f>
        <x:v>1</x:v>
      </x:c>
      <x:c r="F614" s="21" t="n">
        <x:v>1</x:v>
      </x:c>
      <x:c r="G614" s="23" t="str">
        <x:f>IF(E614=F614,"PASS","FAIL")</x:f>
        <x:v>PASS</x:v>
      </x:c>
    </x:row>
    <x:row r="615">
      <x:c r="B615" s="21" t="str">
        <x:v>C0609</x:v>
      </x:c>
      <x:c r="C615" s="21" t="str">
        <x:v>stage build</x:v>
      </x:c>
      <x:c r="D615" s="21" t="str">
        <x:v>pre-replication identity row 108</x:v>
      </x:c>
      <x:c r="E615" s="21" t="n">
        <x:f>IF(ABS('Stage Build'!I108-SUM('Stage Build'!F108:H108))&lt;0.000001,1,0)</x:f>
        <x:v>1</x:v>
      </x:c>
      <x:c r="F615" s="21" t="n">
        <x:v>1</x:v>
      </x:c>
      <x:c r="G615" s="23" t="str">
        <x:f>IF(E615=F615,"PASS","FAIL")</x:f>
        <x:v>PASS</x:v>
      </x:c>
    </x:row>
    <x:row r="616">
      <x:c r="B616" s="21" t="str">
        <x:v>C0610</x:v>
      </x:c>
      <x:c r="C616" s="21" t="str">
        <x:v>stage build</x:v>
      </x:c>
      <x:c r="D616" s="21" t="str">
        <x:v>replication layer nonnegative row 108</x:v>
      </x:c>
      <x:c r="E616" s="21" t="n">
        <x:f>IF('Stage Build'!J108&gt;=0,1,0)</x:f>
        <x:v>1</x:v>
      </x:c>
      <x:c r="F616" s="21" t="n">
        <x:v>1</x:v>
      </x:c>
      <x:c r="G616" s="23" t="str">
        <x:f>IF(E616=F616,"PASS","FAIL")</x:f>
        <x:v>PASS</x:v>
      </x:c>
    </x:row>
    <x:row r="617">
      <x:c r="B617" s="21" t="str">
        <x:v>C0611</x:v>
      </x:c>
      <x:c r="C617" s="21" t="str">
        <x:v>stage build</x:v>
      </x:c>
      <x:c r="D617" s="21" t="str">
        <x:v>designed ratio identity row 108</x:v>
      </x:c>
      <x:c r="E617" s="21" t="n">
        <x:f>IF(ABS('Stage Build'!K108-'Stage Build'!I108-'Stage Build'!J108)&lt;0.000001,1,0)</x:f>
        <x:v>1</x:v>
      </x:c>
      <x:c r="F617" s="21" t="n">
        <x:v>1</x:v>
      </x:c>
      <x:c r="G617" s="23" t="str">
        <x:f>IF(E617=F617,"PASS","FAIL")</x:f>
        <x:v>PASS</x:v>
      </x:c>
    </x:row>
    <x:row r="618">
      <x:c r="B618" s="21" t="str">
        <x:v>C0612</x:v>
      </x:c>
      <x:c r="C618" s="21" t="str">
        <x:v>stage build</x:v>
      </x:c>
      <x:c r="D618" s="21" t="str">
        <x:v>M05 status identity row 108</x:v>
      </x:c>
      <x:c r="E618" s="21" t="n">
        <x:f>IF('Stage Build'!L108=IF('Stage Build'!K108&gt;=Assumptions!$C$9,"ADEQUATE","GAP"),1,0)</x:f>
        <x:v>1</x:v>
      </x:c>
      <x:c r="F618" s="21" t="n">
        <x:v>1</x:v>
      </x:c>
      <x:c r="G618" s="23" t="str">
        <x:f>IF(E618=F618,"PASS","FAIL")</x:f>
        <x:v>PASS</x:v>
      </x:c>
    </x:row>
    <x:row r="619">
      <x:c r="B619" s="21" t="str">
        <x:v>C0613</x:v>
      </x:c>
      <x:c r="C619" s="21" t="str">
        <x:v>stage build</x:v>
      </x:c>
      <x:c r="D619" s="21" t="str">
        <x:v>baseline nonnegative row 109</x:v>
      </x:c>
      <x:c r="E619" s="21" t="n">
        <x:f>IF('Stage Build'!F109&gt;=0,1,0)</x:f>
        <x:v>1</x:v>
      </x:c>
      <x:c r="F619" s="21" t="n">
        <x:v>1</x:v>
      </x:c>
      <x:c r="G619" s="23" t="str">
        <x:f>IF(E619=F619,"PASS","FAIL")</x:f>
        <x:v>PASS</x:v>
      </x:c>
    </x:row>
    <x:row r="620">
      <x:c r="B620" s="21" t="str">
        <x:v>C0614</x:v>
      </x:c>
      <x:c r="C620" s="21" t="str">
        <x:v>stage build</x:v>
      </x:c>
      <x:c r="D620" s="21" t="str">
        <x:v>targeted additions nonnegative row 109</x:v>
      </x:c>
      <x:c r="E620" s="21" t="n">
        <x:f>IF(AND('Stage Build'!G109&gt;=0,'Stage Build'!H109&gt;=0),1,0)</x:f>
        <x:v>1</x:v>
      </x:c>
      <x:c r="F620" s="21" t="n">
        <x:v>1</x:v>
      </x:c>
      <x:c r="G620" s="23" t="str">
        <x:f>IF(E620=F620,"PASS","FAIL")</x:f>
        <x:v>PASS</x:v>
      </x:c>
    </x:row>
    <x:row r="621">
      <x:c r="B621" s="21" t="str">
        <x:v>C0615</x:v>
      </x:c>
      <x:c r="C621" s="21" t="str">
        <x:v>stage build</x:v>
      </x:c>
      <x:c r="D621" s="21" t="str">
        <x:v>pre-replication identity row 109</x:v>
      </x:c>
      <x:c r="E621" s="21" t="n">
        <x:f>IF(ABS('Stage Build'!I109-SUM('Stage Build'!F109:H109))&lt;0.000001,1,0)</x:f>
        <x:v>1</x:v>
      </x:c>
      <x:c r="F621" s="21" t="n">
        <x:v>1</x:v>
      </x:c>
      <x:c r="G621" s="23" t="str">
        <x:f>IF(E621=F621,"PASS","FAIL")</x:f>
        <x:v>PASS</x:v>
      </x:c>
    </x:row>
    <x:row r="622">
      <x:c r="B622" s="21" t="str">
        <x:v>C0616</x:v>
      </x:c>
      <x:c r="C622" s="21" t="str">
        <x:v>stage build</x:v>
      </x:c>
      <x:c r="D622" s="21" t="str">
        <x:v>replication layer nonnegative row 109</x:v>
      </x:c>
      <x:c r="E622" s="21" t="n">
        <x:f>IF('Stage Build'!J109&gt;=0,1,0)</x:f>
        <x:v>1</x:v>
      </x:c>
      <x:c r="F622" s="21" t="n">
        <x:v>1</x:v>
      </x:c>
      <x:c r="G622" s="23" t="str">
        <x:f>IF(E622=F622,"PASS","FAIL")</x:f>
        <x:v>PASS</x:v>
      </x:c>
    </x:row>
    <x:row r="623">
      <x:c r="B623" s="21" t="str">
        <x:v>C0617</x:v>
      </x:c>
      <x:c r="C623" s="21" t="str">
        <x:v>stage build</x:v>
      </x:c>
      <x:c r="D623" s="21" t="str">
        <x:v>designed ratio identity row 109</x:v>
      </x:c>
      <x:c r="E623" s="21" t="n">
        <x:f>IF(ABS('Stage Build'!K109-'Stage Build'!I109-'Stage Build'!J109)&lt;0.000001,1,0)</x:f>
        <x:v>1</x:v>
      </x:c>
      <x:c r="F623" s="21" t="n">
        <x:v>1</x:v>
      </x:c>
      <x:c r="G623" s="23" t="str">
        <x:f>IF(E623=F623,"PASS","FAIL")</x:f>
        <x:v>PASS</x:v>
      </x:c>
    </x:row>
    <x:row r="624">
      <x:c r="B624" s="21" t="str">
        <x:v>C0618</x:v>
      </x:c>
      <x:c r="C624" s="21" t="str">
        <x:v>stage build</x:v>
      </x:c>
      <x:c r="D624" s="21" t="str">
        <x:v>M05 status identity row 109</x:v>
      </x:c>
      <x:c r="E624" s="21" t="n">
        <x:f>IF('Stage Build'!L109=IF('Stage Build'!K109&gt;=Assumptions!$C$9,"ADEQUATE","GAP"),1,0)</x:f>
        <x:v>1</x:v>
      </x:c>
      <x:c r="F624" s="21" t="n">
        <x:v>1</x:v>
      </x:c>
      <x:c r="G624" s="23" t="str">
        <x:f>IF(E624=F624,"PASS","FAIL")</x:f>
        <x:v>PASS</x:v>
      </x:c>
    </x:row>
    <x:row r="625">
      <x:c r="B625" s="21" t="str">
        <x:v>C0619</x:v>
      </x:c>
      <x:c r="C625" s="21" t="str">
        <x:v>stage build</x:v>
      </x:c>
      <x:c r="D625" s="21" t="str">
        <x:v>baseline nonnegative row 110</x:v>
      </x:c>
      <x:c r="E625" s="21" t="n">
        <x:f>IF('Stage Build'!F110&gt;=0,1,0)</x:f>
        <x:v>1</x:v>
      </x:c>
      <x:c r="F625" s="21" t="n">
        <x:v>1</x:v>
      </x:c>
      <x:c r="G625" s="23" t="str">
        <x:f>IF(E625=F625,"PASS","FAIL")</x:f>
        <x:v>PASS</x:v>
      </x:c>
    </x:row>
    <x:row r="626">
      <x:c r="B626" s="21" t="str">
        <x:v>C0620</x:v>
      </x:c>
      <x:c r="C626" s="21" t="str">
        <x:v>stage build</x:v>
      </x:c>
      <x:c r="D626" s="21" t="str">
        <x:v>targeted additions nonnegative row 110</x:v>
      </x:c>
      <x:c r="E626" s="21" t="n">
        <x:f>IF(AND('Stage Build'!G110&gt;=0,'Stage Build'!H110&gt;=0),1,0)</x:f>
        <x:v>1</x:v>
      </x:c>
      <x:c r="F626" s="21" t="n">
        <x:v>1</x:v>
      </x:c>
      <x:c r="G626" s="23" t="str">
        <x:f>IF(E626=F626,"PASS","FAIL")</x:f>
        <x:v>PASS</x:v>
      </x:c>
    </x:row>
    <x:row r="627">
      <x:c r="B627" s="21" t="str">
        <x:v>C0621</x:v>
      </x:c>
      <x:c r="C627" s="21" t="str">
        <x:v>stage build</x:v>
      </x:c>
      <x:c r="D627" s="21" t="str">
        <x:v>pre-replication identity row 110</x:v>
      </x:c>
      <x:c r="E627" s="21" t="n">
        <x:f>IF(ABS('Stage Build'!I110-SUM('Stage Build'!F110:H110))&lt;0.000001,1,0)</x:f>
        <x:v>1</x:v>
      </x:c>
      <x:c r="F627" s="21" t="n">
        <x:v>1</x:v>
      </x:c>
      <x:c r="G627" s="23" t="str">
        <x:f>IF(E627=F627,"PASS","FAIL")</x:f>
        <x:v>PASS</x:v>
      </x:c>
    </x:row>
    <x:row r="628">
      <x:c r="B628" s="21" t="str">
        <x:v>C0622</x:v>
      </x:c>
      <x:c r="C628" s="21" t="str">
        <x:v>stage build</x:v>
      </x:c>
      <x:c r="D628" s="21" t="str">
        <x:v>replication layer nonnegative row 110</x:v>
      </x:c>
      <x:c r="E628" s="21" t="n">
        <x:f>IF('Stage Build'!J110&gt;=0,1,0)</x:f>
        <x:v>1</x:v>
      </x:c>
      <x:c r="F628" s="21" t="n">
        <x:v>1</x:v>
      </x:c>
      <x:c r="G628" s="23" t="str">
        <x:f>IF(E628=F628,"PASS","FAIL")</x:f>
        <x:v>PASS</x:v>
      </x:c>
    </x:row>
    <x:row r="629">
      <x:c r="B629" s="21" t="str">
        <x:v>C0623</x:v>
      </x:c>
      <x:c r="C629" s="21" t="str">
        <x:v>stage build</x:v>
      </x:c>
      <x:c r="D629" s="21" t="str">
        <x:v>designed ratio identity row 110</x:v>
      </x:c>
      <x:c r="E629" s="21" t="n">
        <x:f>IF(ABS('Stage Build'!K110-'Stage Build'!I110-'Stage Build'!J110)&lt;0.000001,1,0)</x:f>
        <x:v>1</x:v>
      </x:c>
      <x:c r="F629" s="21" t="n">
        <x:v>1</x:v>
      </x:c>
      <x:c r="G629" s="23" t="str">
        <x:f>IF(E629=F629,"PASS","FAIL")</x:f>
        <x:v>PASS</x:v>
      </x:c>
    </x:row>
    <x:row r="630">
      <x:c r="B630" s="21" t="str">
        <x:v>C0624</x:v>
      </x:c>
      <x:c r="C630" s="21" t="str">
        <x:v>stage build</x:v>
      </x:c>
      <x:c r="D630" s="21" t="str">
        <x:v>M05 status identity row 110</x:v>
      </x:c>
      <x:c r="E630" s="21" t="n">
        <x:f>IF('Stage Build'!L110=IF('Stage Build'!K110&gt;=Assumptions!$C$9,"ADEQUATE","GAP"),1,0)</x:f>
        <x:v>1</x:v>
      </x:c>
      <x:c r="F630" s="21" t="n">
        <x:v>1</x:v>
      </x:c>
      <x:c r="G630" s="23" t="str">
        <x:f>IF(E630=F630,"PASS","FAIL")</x:f>
        <x:v>PASS</x:v>
      </x:c>
    </x:row>
    <x:row r="631">
      <x:c r="B631" s="21" t="str">
        <x:v>C0625</x:v>
      </x:c>
      <x:c r="C631" s="21" t="str">
        <x:v>stage build</x:v>
      </x:c>
      <x:c r="D631" s="21" t="str">
        <x:v>baseline nonnegative row 111</x:v>
      </x:c>
      <x:c r="E631" s="21" t="n">
        <x:f>IF('Stage Build'!F111&gt;=0,1,0)</x:f>
        <x:v>1</x:v>
      </x:c>
      <x:c r="F631" s="21" t="n">
        <x:v>1</x:v>
      </x:c>
      <x:c r="G631" s="23" t="str">
        <x:f>IF(E631=F631,"PASS","FAIL")</x:f>
        <x:v>PASS</x:v>
      </x:c>
    </x:row>
    <x:row r="632">
      <x:c r="B632" s="21" t="str">
        <x:v>C0626</x:v>
      </x:c>
      <x:c r="C632" s="21" t="str">
        <x:v>stage build</x:v>
      </x:c>
      <x:c r="D632" s="21" t="str">
        <x:v>targeted additions nonnegative row 111</x:v>
      </x:c>
      <x:c r="E632" s="21" t="n">
        <x:f>IF(AND('Stage Build'!G111&gt;=0,'Stage Build'!H111&gt;=0),1,0)</x:f>
        <x:v>1</x:v>
      </x:c>
      <x:c r="F632" s="21" t="n">
        <x:v>1</x:v>
      </x:c>
      <x:c r="G632" s="23" t="str">
        <x:f>IF(E632=F632,"PASS","FAIL")</x:f>
        <x:v>PASS</x:v>
      </x:c>
    </x:row>
    <x:row r="633">
      <x:c r="B633" s="21" t="str">
        <x:v>C0627</x:v>
      </x:c>
      <x:c r="C633" s="21" t="str">
        <x:v>stage build</x:v>
      </x:c>
      <x:c r="D633" s="21" t="str">
        <x:v>pre-replication identity row 111</x:v>
      </x:c>
      <x:c r="E633" s="21" t="n">
        <x:f>IF(ABS('Stage Build'!I111-SUM('Stage Build'!F111:H111))&lt;0.000001,1,0)</x:f>
        <x:v>1</x:v>
      </x:c>
      <x:c r="F633" s="21" t="n">
        <x:v>1</x:v>
      </x:c>
      <x:c r="G633" s="23" t="str">
        <x:f>IF(E633=F633,"PASS","FAIL")</x:f>
        <x:v>PASS</x:v>
      </x:c>
    </x:row>
    <x:row r="634">
      <x:c r="B634" s="21" t="str">
        <x:v>C0628</x:v>
      </x:c>
      <x:c r="C634" s="21" t="str">
        <x:v>stage build</x:v>
      </x:c>
      <x:c r="D634" s="21" t="str">
        <x:v>replication layer nonnegative row 111</x:v>
      </x:c>
      <x:c r="E634" s="21" t="n">
        <x:f>IF('Stage Build'!J111&gt;=0,1,0)</x:f>
        <x:v>1</x:v>
      </x:c>
      <x:c r="F634" s="21" t="n">
        <x:v>1</x:v>
      </x:c>
      <x:c r="G634" s="23" t="str">
        <x:f>IF(E634=F634,"PASS","FAIL")</x:f>
        <x:v>PASS</x:v>
      </x:c>
    </x:row>
    <x:row r="635">
      <x:c r="B635" s="21" t="str">
        <x:v>C0629</x:v>
      </x:c>
      <x:c r="C635" s="21" t="str">
        <x:v>stage build</x:v>
      </x:c>
      <x:c r="D635" s="21" t="str">
        <x:v>designed ratio identity row 111</x:v>
      </x:c>
      <x:c r="E635" s="21" t="n">
        <x:f>IF(ABS('Stage Build'!K111-'Stage Build'!I111-'Stage Build'!J111)&lt;0.000001,1,0)</x:f>
        <x:v>1</x:v>
      </x:c>
      <x:c r="F635" s="21" t="n">
        <x:v>1</x:v>
      </x:c>
      <x:c r="G635" s="23" t="str">
        <x:f>IF(E635=F635,"PASS","FAIL")</x:f>
        <x:v>PASS</x:v>
      </x:c>
    </x:row>
    <x:row r="636">
      <x:c r="B636" s="21" t="str">
        <x:v>C0630</x:v>
      </x:c>
      <x:c r="C636" s="21" t="str">
        <x:v>stage build</x:v>
      </x:c>
      <x:c r="D636" s="21" t="str">
        <x:v>M05 status identity row 111</x:v>
      </x:c>
      <x:c r="E636" s="21" t="n">
        <x:f>IF('Stage Build'!L111=IF('Stage Build'!K111&gt;=Assumptions!$C$9,"ADEQUATE","GAP"),1,0)</x:f>
        <x:v>1</x:v>
      </x:c>
      <x:c r="F636" s="21" t="n">
        <x:v>1</x:v>
      </x:c>
      <x:c r="G636" s="23" t="str">
        <x:f>IF(E636=F636,"PASS","FAIL")</x:f>
        <x:v>PASS</x:v>
      </x:c>
    </x:row>
    <x:row r="637">
      <x:c r="B637" s="21" t="str">
        <x:v>C0631</x:v>
      </x:c>
      <x:c r="C637" s="21" t="str">
        <x:v>stage build</x:v>
      </x:c>
      <x:c r="D637" s="21" t="str">
        <x:v>baseline nonnegative row 112</x:v>
      </x:c>
      <x:c r="E637" s="21" t="n">
        <x:f>IF('Stage Build'!F112&gt;=0,1,0)</x:f>
        <x:v>1</x:v>
      </x:c>
      <x:c r="F637" s="21" t="n">
        <x:v>1</x:v>
      </x:c>
      <x:c r="G637" s="23" t="str">
        <x:f>IF(E637=F637,"PASS","FAIL")</x:f>
        <x:v>PASS</x:v>
      </x:c>
    </x:row>
    <x:row r="638">
      <x:c r="B638" s="21" t="str">
        <x:v>C0632</x:v>
      </x:c>
      <x:c r="C638" s="21" t="str">
        <x:v>stage build</x:v>
      </x:c>
      <x:c r="D638" s="21" t="str">
        <x:v>targeted additions nonnegative row 112</x:v>
      </x:c>
      <x:c r="E638" s="21" t="n">
        <x:f>IF(AND('Stage Build'!G112&gt;=0,'Stage Build'!H112&gt;=0),1,0)</x:f>
        <x:v>1</x:v>
      </x:c>
      <x:c r="F638" s="21" t="n">
        <x:v>1</x:v>
      </x:c>
      <x:c r="G638" s="23" t="str">
        <x:f>IF(E638=F638,"PASS","FAIL")</x:f>
        <x:v>PASS</x:v>
      </x:c>
    </x:row>
    <x:row r="639">
      <x:c r="B639" s="21" t="str">
        <x:v>C0633</x:v>
      </x:c>
      <x:c r="C639" s="21" t="str">
        <x:v>stage build</x:v>
      </x:c>
      <x:c r="D639" s="21" t="str">
        <x:v>pre-replication identity row 112</x:v>
      </x:c>
      <x:c r="E639" s="21" t="n">
        <x:f>IF(ABS('Stage Build'!I112-SUM('Stage Build'!F112:H112))&lt;0.000001,1,0)</x:f>
        <x:v>1</x:v>
      </x:c>
      <x:c r="F639" s="21" t="n">
        <x:v>1</x:v>
      </x:c>
      <x:c r="G639" s="23" t="str">
        <x:f>IF(E639=F639,"PASS","FAIL")</x:f>
        <x:v>PASS</x:v>
      </x:c>
    </x:row>
    <x:row r="640">
      <x:c r="B640" s="21" t="str">
        <x:v>C0634</x:v>
      </x:c>
      <x:c r="C640" s="21" t="str">
        <x:v>stage build</x:v>
      </x:c>
      <x:c r="D640" s="21" t="str">
        <x:v>replication layer nonnegative row 112</x:v>
      </x:c>
      <x:c r="E640" s="21" t="n">
        <x:f>IF('Stage Build'!J112&gt;=0,1,0)</x:f>
        <x:v>1</x:v>
      </x:c>
      <x:c r="F640" s="21" t="n">
        <x:v>1</x:v>
      </x:c>
      <x:c r="G640" s="23" t="str">
        <x:f>IF(E640=F640,"PASS","FAIL")</x:f>
        <x:v>PASS</x:v>
      </x:c>
    </x:row>
    <x:row r="641">
      <x:c r="B641" s="21" t="str">
        <x:v>C0635</x:v>
      </x:c>
      <x:c r="C641" s="21" t="str">
        <x:v>stage build</x:v>
      </x:c>
      <x:c r="D641" s="21" t="str">
        <x:v>designed ratio identity row 112</x:v>
      </x:c>
      <x:c r="E641" s="21" t="n">
        <x:f>IF(ABS('Stage Build'!K112-'Stage Build'!I112-'Stage Build'!J112)&lt;0.000001,1,0)</x:f>
        <x:v>1</x:v>
      </x:c>
      <x:c r="F641" s="21" t="n">
        <x:v>1</x:v>
      </x:c>
      <x:c r="G641" s="23" t="str">
        <x:f>IF(E641=F641,"PASS","FAIL")</x:f>
        <x:v>PASS</x:v>
      </x:c>
    </x:row>
    <x:row r="642">
      <x:c r="B642" s="21" t="str">
        <x:v>C0636</x:v>
      </x:c>
      <x:c r="C642" s="21" t="str">
        <x:v>stage build</x:v>
      </x:c>
      <x:c r="D642" s="21" t="str">
        <x:v>M05 status identity row 112</x:v>
      </x:c>
      <x:c r="E642" s="21" t="n">
        <x:f>IF('Stage Build'!L112=IF('Stage Build'!K112&gt;=Assumptions!$C$9,"ADEQUATE","GAP"),1,0)</x:f>
        <x:v>1</x:v>
      </x:c>
      <x:c r="F642" s="21" t="n">
        <x:v>1</x:v>
      </x:c>
      <x:c r="G642" s="23" t="str">
        <x:f>IF(E642=F642,"PASS","FAIL")</x:f>
        <x:v>PASS</x:v>
      </x:c>
    </x:row>
    <x:row r="643">
      <x:c r="B643" s="21" t="str">
        <x:v>C0637</x:v>
      </x:c>
      <x:c r="C643" s="21" t="str">
        <x:v>stage build</x:v>
      </x:c>
      <x:c r="D643" s="21" t="str">
        <x:v>baseline nonnegative row 113</x:v>
      </x:c>
      <x:c r="E643" s="21" t="n">
        <x:f>IF('Stage Build'!F113&gt;=0,1,0)</x:f>
        <x:v>1</x:v>
      </x:c>
      <x:c r="F643" s="21" t="n">
        <x:v>1</x:v>
      </x:c>
      <x:c r="G643" s="23" t="str">
        <x:f>IF(E643=F643,"PASS","FAIL")</x:f>
        <x:v>PASS</x:v>
      </x:c>
    </x:row>
    <x:row r="644">
      <x:c r="B644" s="21" t="str">
        <x:v>C0638</x:v>
      </x:c>
      <x:c r="C644" s="21" t="str">
        <x:v>stage build</x:v>
      </x:c>
      <x:c r="D644" s="21" t="str">
        <x:v>targeted additions nonnegative row 113</x:v>
      </x:c>
      <x:c r="E644" s="21" t="n">
        <x:f>IF(AND('Stage Build'!G113&gt;=0,'Stage Build'!H113&gt;=0),1,0)</x:f>
        <x:v>1</x:v>
      </x:c>
      <x:c r="F644" s="21" t="n">
        <x:v>1</x:v>
      </x:c>
      <x:c r="G644" s="23" t="str">
        <x:f>IF(E644=F644,"PASS","FAIL")</x:f>
        <x:v>PASS</x:v>
      </x:c>
    </x:row>
    <x:row r="645">
      <x:c r="B645" s="21" t="str">
        <x:v>C0639</x:v>
      </x:c>
      <x:c r="C645" s="21" t="str">
        <x:v>stage build</x:v>
      </x:c>
      <x:c r="D645" s="21" t="str">
        <x:v>pre-replication identity row 113</x:v>
      </x:c>
      <x:c r="E645" s="21" t="n">
        <x:f>IF(ABS('Stage Build'!I113-SUM('Stage Build'!F113:H113))&lt;0.000001,1,0)</x:f>
        <x:v>1</x:v>
      </x:c>
      <x:c r="F645" s="21" t="n">
        <x:v>1</x:v>
      </x:c>
      <x:c r="G645" s="23" t="str">
        <x:f>IF(E645=F645,"PASS","FAIL")</x:f>
        <x:v>PASS</x:v>
      </x:c>
    </x:row>
    <x:row r="646">
      <x:c r="B646" s="21" t="str">
        <x:v>C0640</x:v>
      </x:c>
      <x:c r="C646" s="21" t="str">
        <x:v>stage build</x:v>
      </x:c>
      <x:c r="D646" s="21" t="str">
        <x:v>replication layer nonnegative row 113</x:v>
      </x:c>
      <x:c r="E646" s="21" t="n">
        <x:f>IF('Stage Build'!J113&gt;=0,1,0)</x:f>
        <x:v>1</x:v>
      </x:c>
      <x:c r="F646" s="21" t="n">
        <x:v>1</x:v>
      </x:c>
      <x:c r="G646" s="23" t="str">
        <x:f>IF(E646=F646,"PASS","FAIL")</x:f>
        <x:v>PASS</x:v>
      </x:c>
    </x:row>
    <x:row r="647">
      <x:c r="B647" s="21" t="str">
        <x:v>C0641</x:v>
      </x:c>
      <x:c r="C647" s="21" t="str">
        <x:v>stage build</x:v>
      </x:c>
      <x:c r="D647" s="21" t="str">
        <x:v>designed ratio identity row 113</x:v>
      </x:c>
      <x:c r="E647" s="21" t="n">
        <x:f>IF(ABS('Stage Build'!K113-'Stage Build'!I113-'Stage Build'!J113)&lt;0.000001,1,0)</x:f>
        <x:v>1</x:v>
      </x:c>
      <x:c r="F647" s="21" t="n">
        <x:v>1</x:v>
      </x:c>
      <x:c r="G647" s="23" t="str">
        <x:f>IF(E647=F647,"PASS","FAIL")</x:f>
        <x:v>PASS</x:v>
      </x:c>
    </x:row>
    <x:row r="648">
      <x:c r="B648" s="21" t="str">
        <x:v>C0642</x:v>
      </x:c>
      <x:c r="C648" s="21" t="str">
        <x:v>stage build</x:v>
      </x:c>
      <x:c r="D648" s="21" t="str">
        <x:v>M05 status identity row 113</x:v>
      </x:c>
      <x:c r="E648" s="21" t="n">
        <x:f>IF('Stage Build'!L113=IF('Stage Build'!K113&gt;=Assumptions!$C$9,"ADEQUATE","GAP"),1,0)</x:f>
        <x:v>1</x:v>
      </x:c>
      <x:c r="F648" s="21" t="n">
        <x:v>1</x:v>
      </x:c>
      <x:c r="G648" s="23" t="str">
        <x:f>IF(E648=F648,"PASS","FAIL")</x:f>
        <x:v>PASS</x:v>
      </x:c>
    </x:row>
    <x:row r="649">
      <x:c r="B649" s="21" t="str">
        <x:v>C0643</x:v>
      </x:c>
      <x:c r="C649" s="21" t="str">
        <x:v>stage build</x:v>
      </x:c>
      <x:c r="D649" s="21" t="str">
        <x:v>baseline nonnegative row 114</x:v>
      </x:c>
      <x:c r="E649" s="21" t="n">
        <x:f>IF('Stage Build'!F114&gt;=0,1,0)</x:f>
        <x:v>1</x:v>
      </x:c>
      <x:c r="F649" s="21" t="n">
        <x:v>1</x:v>
      </x:c>
      <x:c r="G649" s="23" t="str">
        <x:f>IF(E649=F649,"PASS","FAIL")</x:f>
        <x:v>PASS</x:v>
      </x:c>
    </x:row>
    <x:row r="650">
      <x:c r="B650" s="21" t="str">
        <x:v>C0644</x:v>
      </x:c>
      <x:c r="C650" s="21" t="str">
        <x:v>stage build</x:v>
      </x:c>
      <x:c r="D650" s="21" t="str">
        <x:v>targeted additions nonnegative row 114</x:v>
      </x:c>
      <x:c r="E650" s="21" t="n">
        <x:f>IF(AND('Stage Build'!G114&gt;=0,'Stage Build'!H114&gt;=0),1,0)</x:f>
        <x:v>1</x:v>
      </x:c>
      <x:c r="F650" s="21" t="n">
        <x:v>1</x:v>
      </x:c>
      <x:c r="G650" s="23" t="str">
        <x:f>IF(E650=F650,"PASS","FAIL")</x:f>
        <x:v>PASS</x:v>
      </x:c>
    </x:row>
    <x:row r="651">
      <x:c r="B651" s="21" t="str">
        <x:v>C0645</x:v>
      </x:c>
      <x:c r="C651" s="21" t="str">
        <x:v>stage build</x:v>
      </x:c>
      <x:c r="D651" s="21" t="str">
        <x:v>pre-replication identity row 114</x:v>
      </x:c>
      <x:c r="E651" s="21" t="n">
        <x:f>IF(ABS('Stage Build'!I114-SUM('Stage Build'!F114:H114))&lt;0.000001,1,0)</x:f>
        <x:v>1</x:v>
      </x:c>
      <x:c r="F651" s="21" t="n">
        <x:v>1</x:v>
      </x:c>
      <x:c r="G651" s="23" t="str">
        <x:f>IF(E651=F651,"PASS","FAIL")</x:f>
        <x:v>PASS</x:v>
      </x:c>
    </x:row>
    <x:row r="652">
      <x:c r="B652" s="21" t="str">
        <x:v>C0646</x:v>
      </x:c>
      <x:c r="C652" s="21" t="str">
        <x:v>stage build</x:v>
      </x:c>
      <x:c r="D652" s="21" t="str">
        <x:v>replication layer nonnegative row 114</x:v>
      </x:c>
      <x:c r="E652" s="21" t="n">
        <x:f>IF('Stage Build'!J114&gt;=0,1,0)</x:f>
        <x:v>1</x:v>
      </x:c>
      <x:c r="F652" s="21" t="n">
        <x:v>1</x:v>
      </x:c>
      <x:c r="G652" s="23" t="str">
        <x:f>IF(E652=F652,"PASS","FAIL")</x:f>
        <x:v>PASS</x:v>
      </x:c>
    </x:row>
    <x:row r="653">
      <x:c r="B653" s="21" t="str">
        <x:v>C0647</x:v>
      </x:c>
      <x:c r="C653" s="21" t="str">
        <x:v>stage build</x:v>
      </x:c>
      <x:c r="D653" s="21" t="str">
        <x:v>designed ratio identity row 114</x:v>
      </x:c>
      <x:c r="E653" s="21" t="n">
        <x:f>IF(ABS('Stage Build'!K114-'Stage Build'!I114-'Stage Build'!J114)&lt;0.000001,1,0)</x:f>
        <x:v>1</x:v>
      </x:c>
      <x:c r="F653" s="21" t="n">
        <x:v>1</x:v>
      </x:c>
      <x:c r="G653" s="23" t="str">
        <x:f>IF(E653=F653,"PASS","FAIL")</x:f>
        <x:v>PASS</x:v>
      </x:c>
    </x:row>
    <x:row r="654">
      <x:c r="B654" s="21" t="str">
        <x:v>C0648</x:v>
      </x:c>
      <x:c r="C654" s="21" t="str">
        <x:v>stage build</x:v>
      </x:c>
      <x:c r="D654" s="21" t="str">
        <x:v>M05 status identity row 114</x:v>
      </x:c>
      <x:c r="E654" s="21" t="n">
        <x:f>IF('Stage Build'!L114=IF('Stage Build'!K114&gt;=Assumptions!$C$9,"ADEQUATE","GAP"),1,0)</x:f>
        <x:v>1</x:v>
      </x:c>
      <x:c r="F654" s="21" t="n">
        <x:v>1</x:v>
      </x:c>
      <x:c r="G654" s="23" t="str">
        <x:f>IF(E654=F654,"PASS","FAIL")</x:f>
        <x:v>PASS</x:v>
      </x:c>
    </x:row>
    <x:row r="655">
      <x:c r="B655" s="21" t="str">
        <x:v>C0649</x:v>
      </x:c>
      <x:c r="C655" s="21" t="str">
        <x:v>stage build</x:v>
      </x:c>
      <x:c r="D655" s="21" t="str">
        <x:v>baseline nonnegative row 115</x:v>
      </x:c>
      <x:c r="E655" s="21" t="n">
        <x:f>IF('Stage Build'!F115&gt;=0,1,0)</x:f>
        <x:v>1</x:v>
      </x:c>
      <x:c r="F655" s="21" t="n">
        <x:v>1</x:v>
      </x:c>
      <x:c r="G655" s="23" t="str">
        <x:f>IF(E655=F655,"PASS","FAIL")</x:f>
        <x:v>PASS</x:v>
      </x:c>
    </x:row>
    <x:row r="656">
      <x:c r="B656" s="21" t="str">
        <x:v>C0650</x:v>
      </x:c>
      <x:c r="C656" s="21" t="str">
        <x:v>stage build</x:v>
      </x:c>
      <x:c r="D656" s="21" t="str">
        <x:v>targeted additions nonnegative row 115</x:v>
      </x:c>
      <x:c r="E656" s="21" t="n">
        <x:f>IF(AND('Stage Build'!G115&gt;=0,'Stage Build'!H115&gt;=0),1,0)</x:f>
        <x:v>1</x:v>
      </x:c>
      <x:c r="F656" s="21" t="n">
        <x:v>1</x:v>
      </x:c>
      <x:c r="G656" s="23" t="str">
        <x:f>IF(E656=F656,"PASS","FAIL")</x:f>
        <x:v>PASS</x:v>
      </x:c>
    </x:row>
    <x:row r="657">
      <x:c r="B657" s="21" t="str">
        <x:v>C0651</x:v>
      </x:c>
      <x:c r="C657" s="21" t="str">
        <x:v>stage build</x:v>
      </x:c>
      <x:c r="D657" s="21" t="str">
        <x:v>pre-replication identity row 115</x:v>
      </x:c>
      <x:c r="E657" s="21" t="n">
        <x:f>IF(ABS('Stage Build'!I115-SUM('Stage Build'!F115:H115))&lt;0.000001,1,0)</x:f>
        <x:v>1</x:v>
      </x:c>
      <x:c r="F657" s="21" t="n">
        <x:v>1</x:v>
      </x:c>
      <x:c r="G657" s="23" t="str">
        <x:f>IF(E657=F657,"PASS","FAIL")</x:f>
        <x:v>PASS</x:v>
      </x:c>
    </x:row>
    <x:row r="658">
      <x:c r="B658" s="21" t="str">
        <x:v>C0652</x:v>
      </x:c>
      <x:c r="C658" s="21" t="str">
        <x:v>stage build</x:v>
      </x:c>
      <x:c r="D658" s="21" t="str">
        <x:v>replication layer nonnegative row 115</x:v>
      </x:c>
      <x:c r="E658" s="21" t="n">
        <x:f>IF('Stage Build'!J115&gt;=0,1,0)</x:f>
        <x:v>1</x:v>
      </x:c>
      <x:c r="F658" s="21" t="n">
        <x:v>1</x:v>
      </x:c>
      <x:c r="G658" s="23" t="str">
        <x:f>IF(E658=F658,"PASS","FAIL")</x:f>
        <x:v>PASS</x:v>
      </x:c>
    </x:row>
    <x:row r="659">
      <x:c r="B659" s="21" t="str">
        <x:v>C0653</x:v>
      </x:c>
      <x:c r="C659" s="21" t="str">
        <x:v>stage build</x:v>
      </x:c>
      <x:c r="D659" s="21" t="str">
        <x:v>designed ratio identity row 115</x:v>
      </x:c>
      <x:c r="E659" s="21" t="n">
        <x:f>IF(ABS('Stage Build'!K115-'Stage Build'!I115-'Stage Build'!J115)&lt;0.000001,1,0)</x:f>
        <x:v>1</x:v>
      </x:c>
      <x:c r="F659" s="21" t="n">
        <x:v>1</x:v>
      </x:c>
      <x:c r="G659" s="23" t="str">
        <x:f>IF(E659=F659,"PASS","FAIL")</x:f>
        <x:v>PASS</x:v>
      </x:c>
    </x:row>
    <x:row r="660">
      <x:c r="B660" s="21" t="str">
        <x:v>C0654</x:v>
      </x:c>
      <x:c r="C660" s="21" t="str">
        <x:v>stage build</x:v>
      </x:c>
      <x:c r="D660" s="21" t="str">
        <x:v>M05 status identity row 115</x:v>
      </x:c>
      <x:c r="E660" s="21" t="n">
        <x:f>IF('Stage Build'!L115=IF('Stage Build'!K115&gt;=Assumptions!$C$9,"ADEQUATE","GAP"),1,0)</x:f>
        <x:v>1</x:v>
      </x:c>
      <x:c r="F660" s="21" t="n">
        <x:v>1</x:v>
      </x:c>
      <x:c r="G660" s="23" t="str">
        <x:f>IF(E660=F660,"PASS","FAIL")</x:f>
        <x:v>PASS</x:v>
      </x:c>
    </x:row>
    <x:row r="661">
      <x:c r="B661" s="21" t="str">
        <x:v>C0655</x:v>
      </x:c>
      <x:c r="C661" s="21" t="str">
        <x:v>stage build</x:v>
      </x:c>
      <x:c r="D661" s="21" t="str">
        <x:v>baseline nonnegative row 116</x:v>
      </x:c>
      <x:c r="E661" s="21" t="n">
        <x:f>IF('Stage Build'!F116&gt;=0,1,0)</x:f>
        <x:v>1</x:v>
      </x:c>
      <x:c r="F661" s="21" t="n">
        <x:v>1</x:v>
      </x:c>
      <x:c r="G661" s="23" t="str">
        <x:f>IF(E661=F661,"PASS","FAIL")</x:f>
        <x:v>PASS</x:v>
      </x:c>
    </x:row>
    <x:row r="662">
      <x:c r="B662" s="21" t="str">
        <x:v>C0656</x:v>
      </x:c>
      <x:c r="C662" s="21" t="str">
        <x:v>stage build</x:v>
      </x:c>
      <x:c r="D662" s="21" t="str">
        <x:v>targeted additions nonnegative row 116</x:v>
      </x:c>
      <x:c r="E662" s="21" t="n">
        <x:f>IF(AND('Stage Build'!G116&gt;=0,'Stage Build'!H116&gt;=0),1,0)</x:f>
        <x:v>1</x:v>
      </x:c>
      <x:c r="F662" s="21" t="n">
        <x:v>1</x:v>
      </x:c>
      <x:c r="G662" s="23" t="str">
        <x:f>IF(E662=F662,"PASS","FAIL")</x:f>
        <x:v>PASS</x:v>
      </x:c>
    </x:row>
    <x:row r="663">
      <x:c r="B663" s="21" t="str">
        <x:v>C0657</x:v>
      </x:c>
      <x:c r="C663" s="21" t="str">
        <x:v>stage build</x:v>
      </x:c>
      <x:c r="D663" s="21" t="str">
        <x:v>pre-replication identity row 116</x:v>
      </x:c>
      <x:c r="E663" s="21" t="n">
        <x:f>IF(ABS('Stage Build'!I116-SUM('Stage Build'!F116:H116))&lt;0.000001,1,0)</x:f>
        <x:v>1</x:v>
      </x:c>
      <x:c r="F663" s="21" t="n">
        <x:v>1</x:v>
      </x:c>
      <x:c r="G663" s="23" t="str">
        <x:f>IF(E663=F663,"PASS","FAIL")</x:f>
        <x:v>PASS</x:v>
      </x:c>
    </x:row>
    <x:row r="664">
      <x:c r="B664" s="21" t="str">
        <x:v>C0658</x:v>
      </x:c>
      <x:c r="C664" s="21" t="str">
        <x:v>stage build</x:v>
      </x:c>
      <x:c r="D664" s="21" t="str">
        <x:v>replication layer nonnegative row 116</x:v>
      </x:c>
      <x:c r="E664" s="21" t="n">
        <x:f>IF('Stage Build'!J116&gt;=0,1,0)</x:f>
        <x:v>1</x:v>
      </x:c>
      <x:c r="F664" s="21" t="n">
        <x:v>1</x:v>
      </x:c>
      <x:c r="G664" s="23" t="str">
        <x:f>IF(E664=F664,"PASS","FAIL")</x:f>
        <x:v>PASS</x:v>
      </x:c>
    </x:row>
    <x:row r="665">
      <x:c r="B665" s="21" t="str">
        <x:v>C0659</x:v>
      </x:c>
      <x:c r="C665" s="21" t="str">
        <x:v>stage build</x:v>
      </x:c>
      <x:c r="D665" s="21" t="str">
        <x:v>designed ratio identity row 116</x:v>
      </x:c>
      <x:c r="E665" s="21" t="n">
        <x:f>IF(ABS('Stage Build'!K116-'Stage Build'!I116-'Stage Build'!J116)&lt;0.000001,1,0)</x:f>
        <x:v>1</x:v>
      </x:c>
      <x:c r="F665" s="21" t="n">
        <x:v>1</x:v>
      </x:c>
      <x:c r="G665" s="23" t="str">
        <x:f>IF(E665=F665,"PASS","FAIL")</x:f>
        <x:v>PASS</x:v>
      </x:c>
    </x:row>
    <x:row r="666">
      <x:c r="B666" s="21" t="str">
        <x:v>C0660</x:v>
      </x:c>
      <x:c r="C666" s="21" t="str">
        <x:v>stage build</x:v>
      </x:c>
      <x:c r="D666" s="21" t="str">
        <x:v>M05 status identity row 116</x:v>
      </x:c>
      <x:c r="E666" s="21" t="n">
        <x:f>IF('Stage Build'!L116=IF('Stage Build'!K116&gt;=Assumptions!$C$9,"ADEQUATE","GAP"),1,0)</x:f>
        <x:v>1</x:v>
      </x:c>
      <x:c r="F666" s="21" t="n">
        <x:v>1</x:v>
      </x:c>
      <x:c r="G666" s="23" t="str">
        <x:f>IF(E666=F666,"PASS","FAIL")</x:f>
        <x:v>PASS</x:v>
      </x:c>
    </x:row>
    <x:row r="667">
      <x:c r="B667" s="21" t="str">
        <x:v>C0661</x:v>
      </x:c>
      <x:c r="C667" s="21" t="str">
        <x:v>stage build</x:v>
      </x:c>
      <x:c r="D667" s="21" t="str">
        <x:v>baseline nonnegative row 117</x:v>
      </x:c>
      <x:c r="E667" s="21" t="n">
        <x:f>IF('Stage Build'!F117&gt;=0,1,0)</x:f>
        <x:v>1</x:v>
      </x:c>
      <x:c r="F667" s="21" t="n">
        <x:v>1</x:v>
      </x:c>
      <x:c r="G667" s="23" t="str">
        <x:f>IF(E667=F667,"PASS","FAIL")</x:f>
        <x:v>PASS</x:v>
      </x:c>
    </x:row>
    <x:row r="668">
      <x:c r="B668" s="21" t="str">
        <x:v>C0662</x:v>
      </x:c>
      <x:c r="C668" s="21" t="str">
        <x:v>stage build</x:v>
      </x:c>
      <x:c r="D668" s="21" t="str">
        <x:v>targeted additions nonnegative row 117</x:v>
      </x:c>
      <x:c r="E668" s="21" t="n">
        <x:f>IF(AND('Stage Build'!G117&gt;=0,'Stage Build'!H117&gt;=0),1,0)</x:f>
        <x:v>1</x:v>
      </x:c>
      <x:c r="F668" s="21" t="n">
        <x:v>1</x:v>
      </x:c>
      <x:c r="G668" s="23" t="str">
        <x:f>IF(E668=F668,"PASS","FAIL")</x:f>
        <x:v>PASS</x:v>
      </x:c>
    </x:row>
    <x:row r="669">
      <x:c r="B669" s="21" t="str">
        <x:v>C0663</x:v>
      </x:c>
      <x:c r="C669" s="21" t="str">
        <x:v>stage build</x:v>
      </x:c>
      <x:c r="D669" s="21" t="str">
        <x:v>pre-replication identity row 117</x:v>
      </x:c>
      <x:c r="E669" s="21" t="n">
        <x:f>IF(ABS('Stage Build'!I117-SUM('Stage Build'!F117:H117))&lt;0.000001,1,0)</x:f>
        <x:v>1</x:v>
      </x:c>
      <x:c r="F669" s="21" t="n">
        <x:v>1</x:v>
      </x:c>
      <x:c r="G669" s="23" t="str">
        <x:f>IF(E669=F669,"PASS","FAIL")</x:f>
        <x:v>PASS</x:v>
      </x:c>
    </x:row>
    <x:row r="670">
      <x:c r="B670" s="21" t="str">
        <x:v>C0664</x:v>
      </x:c>
      <x:c r="C670" s="21" t="str">
        <x:v>stage build</x:v>
      </x:c>
      <x:c r="D670" s="21" t="str">
        <x:v>replication layer nonnegative row 117</x:v>
      </x:c>
      <x:c r="E670" s="21" t="n">
        <x:f>IF('Stage Build'!J117&gt;=0,1,0)</x:f>
        <x:v>1</x:v>
      </x:c>
      <x:c r="F670" s="21" t="n">
        <x:v>1</x:v>
      </x:c>
      <x:c r="G670" s="23" t="str">
        <x:f>IF(E670=F670,"PASS","FAIL")</x:f>
        <x:v>PASS</x:v>
      </x:c>
    </x:row>
    <x:row r="671">
      <x:c r="B671" s="21" t="str">
        <x:v>C0665</x:v>
      </x:c>
      <x:c r="C671" s="21" t="str">
        <x:v>stage build</x:v>
      </x:c>
      <x:c r="D671" s="21" t="str">
        <x:v>designed ratio identity row 117</x:v>
      </x:c>
      <x:c r="E671" s="21" t="n">
        <x:f>IF(ABS('Stage Build'!K117-'Stage Build'!I117-'Stage Build'!J117)&lt;0.000001,1,0)</x:f>
        <x:v>1</x:v>
      </x:c>
      <x:c r="F671" s="21" t="n">
        <x:v>1</x:v>
      </x:c>
      <x:c r="G671" s="23" t="str">
        <x:f>IF(E671=F671,"PASS","FAIL")</x:f>
        <x:v>PASS</x:v>
      </x:c>
    </x:row>
    <x:row r="672">
      <x:c r="B672" s="21" t="str">
        <x:v>C0666</x:v>
      </x:c>
      <x:c r="C672" s="21" t="str">
        <x:v>stage build</x:v>
      </x:c>
      <x:c r="D672" s="21" t="str">
        <x:v>M05 status identity row 117</x:v>
      </x:c>
      <x:c r="E672" s="21" t="n">
        <x:f>IF('Stage Build'!L117=IF('Stage Build'!K117&gt;=Assumptions!$C$9,"ADEQUATE","GAP"),1,0)</x:f>
        <x:v>1</x:v>
      </x:c>
      <x:c r="F672" s="21" t="n">
        <x:v>1</x:v>
      </x:c>
      <x:c r="G672" s="23" t="str">
        <x:f>IF(E672=F672,"PASS","FAIL")</x:f>
        <x:v>PASS</x:v>
      </x:c>
    </x:row>
    <x:row r="673">
      <x:c r="B673" s="21" t="str">
        <x:v>C0667</x:v>
      </x:c>
      <x:c r="C673" s="21" t="str">
        <x:v>stage build</x:v>
      </x:c>
      <x:c r="D673" s="21" t="str">
        <x:v>baseline nonnegative row 118</x:v>
      </x:c>
      <x:c r="E673" s="21" t="n">
        <x:f>IF('Stage Build'!F118&gt;=0,1,0)</x:f>
        <x:v>1</x:v>
      </x:c>
      <x:c r="F673" s="21" t="n">
        <x:v>1</x:v>
      </x:c>
      <x:c r="G673" s="23" t="str">
        <x:f>IF(E673=F673,"PASS","FAIL")</x:f>
        <x:v>PASS</x:v>
      </x:c>
    </x:row>
    <x:row r="674">
      <x:c r="B674" s="21" t="str">
        <x:v>C0668</x:v>
      </x:c>
      <x:c r="C674" s="21" t="str">
        <x:v>stage build</x:v>
      </x:c>
      <x:c r="D674" s="21" t="str">
        <x:v>targeted additions nonnegative row 118</x:v>
      </x:c>
      <x:c r="E674" s="21" t="n">
        <x:f>IF(AND('Stage Build'!G118&gt;=0,'Stage Build'!H118&gt;=0),1,0)</x:f>
        <x:v>1</x:v>
      </x:c>
      <x:c r="F674" s="21" t="n">
        <x:v>1</x:v>
      </x:c>
      <x:c r="G674" s="23" t="str">
        <x:f>IF(E674=F674,"PASS","FAIL")</x:f>
        <x:v>PASS</x:v>
      </x:c>
    </x:row>
    <x:row r="675">
      <x:c r="B675" s="21" t="str">
        <x:v>C0669</x:v>
      </x:c>
      <x:c r="C675" s="21" t="str">
        <x:v>stage build</x:v>
      </x:c>
      <x:c r="D675" s="21" t="str">
        <x:v>pre-replication identity row 118</x:v>
      </x:c>
      <x:c r="E675" s="21" t="n">
        <x:f>IF(ABS('Stage Build'!I118-SUM('Stage Build'!F118:H118))&lt;0.000001,1,0)</x:f>
        <x:v>1</x:v>
      </x:c>
      <x:c r="F675" s="21" t="n">
        <x:v>1</x:v>
      </x:c>
      <x:c r="G675" s="23" t="str">
        <x:f>IF(E675=F675,"PASS","FAIL")</x:f>
        <x:v>PASS</x:v>
      </x:c>
    </x:row>
    <x:row r="676">
      <x:c r="B676" s="21" t="str">
        <x:v>C0670</x:v>
      </x:c>
      <x:c r="C676" s="21" t="str">
        <x:v>stage build</x:v>
      </x:c>
      <x:c r="D676" s="21" t="str">
        <x:v>replication layer nonnegative row 118</x:v>
      </x:c>
      <x:c r="E676" s="21" t="n">
        <x:f>IF('Stage Build'!J118&gt;=0,1,0)</x:f>
        <x:v>1</x:v>
      </x:c>
      <x:c r="F676" s="21" t="n">
        <x:v>1</x:v>
      </x:c>
      <x:c r="G676" s="23" t="str">
        <x:f>IF(E676=F676,"PASS","FAIL")</x:f>
        <x:v>PASS</x:v>
      </x:c>
    </x:row>
    <x:row r="677">
      <x:c r="B677" s="21" t="str">
        <x:v>C0671</x:v>
      </x:c>
      <x:c r="C677" s="21" t="str">
        <x:v>stage build</x:v>
      </x:c>
      <x:c r="D677" s="21" t="str">
        <x:v>designed ratio identity row 118</x:v>
      </x:c>
      <x:c r="E677" s="21" t="n">
        <x:f>IF(ABS('Stage Build'!K118-'Stage Build'!I118-'Stage Build'!J118)&lt;0.000001,1,0)</x:f>
        <x:v>1</x:v>
      </x:c>
      <x:c r="F677" s="21" t="n">
        <x:v>1</x:v>
      </x:c>
      <x:c r="G677" s="23" t="str">
        <x:f>IF(E677=F677,"PASS","FAIL")</x:f>
        <x:v>PASS</x:v>
      </x:c>
    </x:row>
    <x:row r="678">
      <x:c r="B678" s="21" t="str">
        <x:v>C0672</x:v>
      </x:c>
      <x:c r="C678" s="21" t="str">
        <x:v>stage build</x:v>
      </x:c>
      <x:c r="D678" s="21" t="str">
        <x:v>M05 status identity row 118</x:v>
      </x:c>
      <x:c r="E678" s="21" t="n">
        <x:f>IF('Stage Build'!L118=IF('Stage Build'!K118&gt;=Assumptions!$C$9,"ADEQUATE","GAP"),1,0)</x:f>
        <x:v>1</x:v>
      </x:c>
      <x:c r="F678" s="21" t="n">
        <x:v>1</x:v>
      </x:c>
      <x:c r="G678" s="23" t="str">
        <x:f>IF(E678=F678,"PASS","FAIL")</x:f>
        <x:v>PASS</x:v>
      </x:c>
    </x:row>
    <x:row r="679">
      <x:c r="B679" s="21" t="str">
        <x:v>C0673</x:v>
      </x:c>
      <x:c r="C679" s="21" t="str">
        <x:v>stage build</x:v>
      </x:c>
      <x:c r="D679" s="21" t="str">
        <x:v>baseline nonnegative row 119</x:v>
      </x:c>
      <x:c r="E679" s="21" t="n">
        <x:f>IF('Stage Build'!F119&gt;=0,1,0)</x:f>
        <x:v>1</x:v>
      </x:c>
      <x:c r="F679" s="21" t="n">
        <x:v>1</x:v>
      </x:c>
      <x:c r="G679" s="23" t="str">
        <x:f>IF(E679=F679,"PASS","FAIL")</x:f>
        <x:v>PASS</x:v>
      </x:c>
    </x:row>
    <x:row r="680">
      <x:c r="B680" s="21" t="str">
        <x:v>C0674</x:v>
      </x:c>
      <x:c r="C680" s="21" t="str">
        <x:v>stage build</x:v>
      </x:c>
      <x:c r="D680" s="21" t="str">
        <x:v>targeted additions nonnegative row 119</x:v>
      </x:c>
      <x:c r="E680" s="21" t="n">
        <x:f>IF(AND('Stage Build'!G119&gt;=0,'Stage Build'!H119&gt;=0),1,0)</x:f>
        <x:v>1</x:v>
      </x:c>
      <x:c r="F680" s="21" t="n">
        <x:v>1</x:v>
      </x:c>
      <x:c r="G680" s="23" t="str">
        <x:f>IF(E680=F680,"PASS","FAIL")</x:f>
        <x:v>PASS</x:v>
      </x:c>
    </x:row>
    <x:row r="681">
      <x:c r="B681" s="21" t="str">
        <x:v>C0675</x:v>
      </x:c>
      <x:c r="C681" s="21" t="str">
        <x:v>stage build</x:v>
      </x:c>
      <x:c r="D681" s="21" t="str">
        <x:v>pre-replication identity row 119</x:v>
      </x:c>
      <x:c r="E681" s="21" t="n">
        <x:f>IF(ABS('Stage Build'!I119-SUM('Stage Build'!F119:H119))&lt;0.000001,1,0)</x:f>
        <x:v>1</x:v>
      </x:c>
      <x:c r="F681" s="21" t="n">
        <x:v>1</x:v>
      </x:c>
      <x:c r="G681" s="23" t="str">
        <x:f>IF(E681=F681,"PASS","FAIL")</x:f>
        <x:v>PASS</x:v>
      </x:c>
    </x:row>
    <x:row r="682">
      <x:c r="B682" s="21" t="str">
        <x:v>C0676</x:v>
      </x:c>
      <x:c r="C682" s="21" t="str">
        <x:v>stage build</x:v>
      </x:c>
      <x:c r="D682" s="21" t="str">
        <x:v>replication layer nonnegative row 119</x:v>
      </x:c>
      <x:c r="E682" s="21" t="n">
        <x:f>IF('Stage Build'!J119&gt;=0,1,0)</x:f>
        <x:v>1</x:v>
      </x:c>
      <x:c r="F682" s="21" t="n">
        <x:v>1</x:v>
      </x:c>
      <x:c r="G682" s="23" t="str">
        <x:f>IF(E682=F682,"PASS","FAIL")</x:f>
        <x:v>PASS</x:v>
      </x:c>
    </x:row>
    <x:row r="683">
      <x:c r="B683" s="21" t="str">
        <x:v>C0677</x:v>
      </x:c>
      <x:c r="C683" s="21" t="str">
        <x:v>stage build</x:v>
      </x:c>
      <x:c r="D683" s="21" t="str">
        <x:v>designed ratio identity row 119</x:v>
      </x:c>
      <x:c r="E683" s="21" t="n">
        <x:f>IF(ABS('Stage Build'!K119-'Stage Build'!I119-'Stage Build'!J119)&lt;0.000001,1,0)</x:f>
        <x:v>1</x:v>
      </x:c>
      <x:c r="F683" s="21" t="n">
        <x:v>1</x:v>
      </x:c>
      <x:c r="G683" s="23" t="str">
        <x:f>IF(E683=F683,"PASS","FAIL")</x:f>
        <x:v>PASS</x:v>
      </x:c>
    </x:row>
    <x:row r="684">
      <x:c r="B684" s="21" t="str">
        <x:v>C0678</x:v>
      </x:c>
      <x:c r="C684" s="21" t="str">
        <x:v>stage build</x:v>
      </x:c>
      <x:c r="D684" s="21" t="str">
        <x:v>M05 status identity row 119</x:v>
      </x:c>
      <x:c r="E684" s="21" t="n">
        <x:f>IF('Stage Build'!L119=IF('Stage Build'!K119&gt;=Assumptions!$C$9,"ADEQUATE","GAP"),1,0)</x:f>
        <x:v>1</x:v>
      </x:c>
      <x:c r="F684" s="21" t="n">
        <x:v>1</x:v>
      </x:c>
      <x:c r="G684" s="23" t="str">
        <x:f>IF(E684=F684,"PASS","FAIL")</x:f>
        <x:v>PASS</x:v>
      </x:c>
    </x:row>
    <x:row r="685">
      <x:c r="B685" s="21" t="str">
        <x:v>C0679</x:v>
      </x:c>
      <x:c r="C685" s="21" t="str">
        <x:v>stage build</x:v>
      </x:c>
      <x:c r="D685" s="21" t="str">
        <x:v>baseline nonnegative row 120</x:v>
      </x:c>
      <x:c r="E685" s="21" t="n">
        <x:f>IF('Stage Build'!F120&gt;=0,1,0)</x:f>
        <x:v>1</x:v>
      </x:c>
      <x:c r="F685" s="21" t="n">
        <x:v>1</x:v>
      </x:c>
      <x:c r="G685" s="23" t="str">
        <x:f>IF(E685=F685,"PASS","FAIL")</x:f>
        <x:v>PASS</x:v>
      </x:c>
    </x:row>
    <x:row r="686">
      <x:c r="B686" s="21" t="str">
        <x:v>C0680</x:v>
      </x:c>
      <x:c r="C686" s="21" t="str">
        <x:v>stage build</x:v>
      </x:c>
      <x:c r="D686" s="21" t="str">
        <x:v>targeted additions nonnegative row 120</x:v>
      </x:c>
      <x:c r="E686" s="21" t="n">
        <x:f>IF(AND('Stage Build'!G120&gt;=0,'Stage Build'!H120&gt;=0),1,0)</x:f>
        <x:v>1</x:v>
      </x:c>
      <x:c r="F686" s="21" t="n">
        <x:v>1</x:v>
      </x:c>
      <x:c r="G686" s="23" t="str">
        <x:f>IF(E686=F686,"PASS","FAIL")</x:f>
        <x:v>PASS</x:v>
      </x:c>
    </x:row>
    <x:row r="687">
      <x:c r="B687" s="21" t="str">
        <x:v>C0681</x:v>
      </x:c>
      <x:c r="C687" s="21" t="str">
        <x:v>stage build</x:v>
      </x:c>
      <x:c r="D687" s="21" t="str">
        <x:v>pre-replication identity row 120</x:v>
      </x:c>
      <x:c r="E687" s="21" t="n">
        <x:f>IF(ABS('Stage Build'!I120-SUM('Stage Build'!F120:H120))&lt;0.000001,1,0)</x:f>
        <x:v>1</x:v>
      </x:c>
      <x:c r="F687" s="21" t="n">
        <x:v>1</x:v>
      </x:c>
      <x:c r="G687" s="23" t="str">
        <x:f>IF(E687=F687,"PASS","FAIL")</x:f>
        <x:v>PASS</x:v>
      </x:c>
    </x:row>
    <x:row r="688">
      <x:c r="B688" s="21" t="str">
        <x:v>C0682</x:v>
      </x:c>
      <x:c r="C688" s="21" t="str">
        <x:v>stage build</x:v>
      </x:c>
      <x:c r="D688" s="21" t="str">
        <x:v>replication layer nonnegative row 120</x:v>
      </x:c>
      <x:c r="E688" s="21" t="n">
        <x:f>IF('Stage Build'!J120&gt;=0,1,0)</x:f>
        <x:v>1</x:v>
      </x:c>
      <x:c r="F688" s="21" t="n">
        <x:v>1</x:v>
      </x:c>
      <x:c r="G688" s="23" t="str">
        <x:f>IF(E688=F688,"PASS","FAIL")</x:f>
        <x:v>PASS</x:v>
      </x:c>
    </x:row>
    <x:row r="689">
      <x:c r="B689" s="21" t="str">
        <x:v>C0683</x:v>
      </x:c>
      <x:c r="C689" s="21" t="str">
        <x:v>stage build</x:v>
      </x:c>
      <x:c r="D689" s="21" t="str">
        <x:v>designed ratio identity row 120</x:v>
      </x:c>
      <x:c r="E689" s="21" t="n">
        <x:f>IF(ABS('Stage Build'!K120-'Stage Build'!I120-'Stage Build'!J120)&lt;0.000001,1,0)</x:f>
        <x:v>1</x:v>
      </x:c>
      <x:c r="F689" s="21" t="n">
        <x:v>1</x:v>
      </x:c>
      <x:c r="G689" s="23" t="str">
        <x:f>IF(E689=F689,"PASS","FAIL")</x:f>
        <x:v>PASS</x:v>
      </x:c>
    </x:row>
    <x:row r="690">
      <x:c r="B690" s="21" t="str">
        <x:v>C0684</x:v>
      </x:c>
      <x:c r="C690" s="21" t="str">
        <x:v>stage build</x:v>
      </x:c>
      <x:c r="D690" s="21" t="str">
        <x:v>M05 status identity row 120</x:v>
      </x:c>
      <x:c r="E690" s="21" t="n">
        <x:f>IF('Stage Build'!L120=IF('Stage Build'!K120&gt;=Assumptions!$C$9,"ADEQUATE","GAP"),1,0)</x:f>
        <x:v>1</x:v>
      </x:c>
      <x:c r="F690" s="21" t="n">
        <x:v>1</x:v>
      </x:c>
      <x:c r="G690" s="23" t="str">
        <x:f>IF(E690=F690,"PASS","FAIL")</x:f>
        <x:v>PASS</x:v>
      </x:c>
    </x:row>
    <x:row r="691">
      <x:c r="B691" s="21" t="str">
        <x:v>C0685</x:v>
      </x:c>
      <x:c r="C691" s="21" t="str">
        <x:v>stage build</x:v>
      </x:c>
      <x:c r="D691" s="21" t="str">
        <x:v>baseline nonnegative row 121</x:v>
      </x:c>
      <x:c r="E691" s="21" t="n">
        <x:f>IF('Stage Build'!F121&gt;=0,1,0)</x:f>
        <x:v>1</x:v>
      </x:c>
      <x:c r="F691" s="21" t="n">
        <x:v>1</x:v>
      </x:c>
      <x:c r="G691" s="23" t="str">
        <x:f>IF(E691=F691,"PASS","FAIL")</x:f>
        <x:v>PASS</x:v>
      </x:c>
    </x:row>
    <x:row r="692">
      <x:c r="B692" s="21" t="str">
        <x:v>C0686</x:v>
      </x:c>
      <x:c r="C692" s="21" t="str">
        <x:v>stage build</x:v>
      </x:c>
      <x:c r="D692" s="21" t="str">
        <x:v>targeted additions nonnegative row 121</x:v>
      </x:c>
      <x:c r="E692" s="21" t="n">
        <x:f>IF(AND('Stage Build'!G121&gt;=0,'Stage Build'!H121&gt;=0),1,0)</x:f>
        <x:v>1</x:v>
      </x:c>
      <x:c r="F692" s="21" t="n">
        <x:v>1</x:v>
      </x:c>
      <x:c r="G692" s="23" t="str">
        <x:f>IF(E692=F692,"PASS","FAIL")</x:f>
        <x:v>PASS</x:v>
      </x:c>
    </x:row>
    <x:row r="693">
      <x:c r="B693" s="21" t="str">
        <x:v>C0687</x:v>
      </x:c>
      <x:c r="C693" s="21" t="str">
        <x:v>stage build</x:v>
      </x:c>
      <x:c r="D693" s="21" t="str">
        <x:v>pre-replication identity row 121</x:v>
      </x:c>
      <x:c r="E693" s="21" t="n">
        <x:f>IF(ABS('Stage Build'!I121-SUM('Stage Build'!F121:H121))&lt;0.000001,1,0)</x:f>
        <x:v>1</x:v>
      </x:c>
      <x:c r="F693" s="21" t="n">
        <x:v>1</x:v>
      </x:c>
      <x:c r="G693" s="23" t="str">
        <x:f>IF(E693=F693,"PASS","FAIL")</x:f>
        <x:v>PASS</x:v>
      </x:c>
    </x:row>
    <x:row r="694">
      <x:c r="B694" s="21" t="str">
        <x:v>C0688</x:v>
      </x:c>
      <x:c r="C694" s="21" t="str">
        <x:v>stage build</x:v>
      </x:c>
      <x:c r="D694" s="21" t="str">
        <x:v>replication layer nonnegative row 121</x:v>
      </x:c>
      <x:c r="E694" s="21" t="n">
        <x:f>IF('Stage Build'!J121&gt;=0,1,0)</x:f>
        <x:v>1</x:v>
      </x:c>
      <x:c r="F694" s="21" t="n">
        <x:v>1</x:v>
      </x:c>
      <x:c r="G694" s="23" t="str">
        <x:f>IF(E694=F694,"PASS","FAIL")</x:f>
        <x:v>PASS</x:v>
      </x:c>
    </x:row>
    <x:row r="695">
      <x:c r="B695" s="21" t="str">
        <x:v>C0689</x:v>
      </x:c>
      <x:c r="C695" s="21" t="str">
        <x:v>stage build</x:v>
      </x:c>
      <x:c r="D695" s="21" t="str">
        <x:v>designed ratio identity row 121</x:v>
      </x:c>
      <x:c r="E695" s="21" t="n">
        <x:f>IF(ABS('Stage Build'!K121-'Stage Build'!I121-'Stage Build'!J121)&lt;0.000001,1,0)</x:f>
        <x:v>1</x:v>
      </x:c>
      <x:c r="F695" s="21" t="n">
        <x:v>1</x:v>
      </x:c>
      <x:c r="G695" s="23" t="str">
        <x:f>IF(E695=F695,"PASS","FAIL")</x:f>
        <x:v>PASS</x:v>
      </x:c>
    </x:row>
    <x:row r="696">
      <x:c r="B696" s="21" t="str">
        <x:v>C0690</x:v>
      </x:c>
      <x:c r="C696" s="21" t="str">
        <x:v>stage build</x:v>
      </x:c>
      <x:c r="D696" s="21" t="str">
        <x:v>M05 status identity row 121</x:v>
      </x:c>
      <x:c r="E696" s="21" t="n">
        <x:f>IF('Stage Build'!L121=IF('Stage Build'!K121&gt;=Assumptions!$C$9,"ADEQUATE","GAP"),1,0)</x:f>
        <x:v>1</x:v>
      </x:c>
      <x:c r="F696" s="21" t="n">
        <x:v>1</x:v>
      </x:c>
      <x:c r="G696" s="23" t="str">
        <x:f>IF(E696=F696,"PASS","FAIL")</x:f>
        <x:v>PASS</x:v>
      </x:c>
    </x:row>
    <x:row r="697">
      <x:c r="B697" s="21" t="str">
        <x:v>C0691</x:v>
      </x:c>
      <x:c r="C697" s="21" t="str">
        <x:v>stage build</x:v>
      </x:c>
      <x:c r="D697" s="21" t="str">
        <x:v>baseline nonnegative row 122</x:v>
      </x:c>
      <x:c r="E697" s="21" t="n">
        <x:f>IF('Stage Build'!F122&gt;=0,1,0)</x:f>
        <x:v>1</x:v>
      </x:c>
      <x:c r="F697" s="21" t="n">
        <x:v>1</x:v>
      </x:c>
      <x:c r="G697" s="23" t="str">
        <x:f>IF(E697=F697,"PASS","FAIL")</x:f>
        <x:v>PASS</x:v>
      </x:c>
    </x:row>
    <x:row r="698">
      <x:c r="B698" s="21" t="str">
        <x:v>C0692</x:v>
      </x:c>
      <x:c r="C698" s="21" t="str">
        <x:v>stage build</x:v>
      </x:c>
      <x:c r="D698" s="21" t="str">
        <x:v>targeted additions nonnegative row 122</x:v>
      </x:c>
      <x:c r="E698" s="21" t="n">
        <x:f>IF(AND('Stage Build'!G122&gt;=0,'Stage Build'!H122&gt;=0),1,0)</x:f>
        <x:v>1</x:v>
      </x:c>
      <x:c r="F698" s="21" t="n">
        <x:v>1</x:v>
      </x:c>
      <x:c r="G698" s="23" t="str">
        <x:f>IF(E698=F698,"PASS","FAIL")</x:f>
        <x:v>PASS</x:v>
      </x:c>
    </x:row>
    <x:row r="699">
      <x:c r="B699" s="21" t="str">
        <x:v>C0693</x:v>
      </x:c>
      <x:c r="C699" s="21" t="str">
        <x:v>stage build</x:v>
      </x:c>
      <x:c r="D699" s="21" t="str">
        <x:v>pre-replication identity row 122</x:v>
      </x:c>
      <x:c r="E699" s="21" t="n">
        <x:f>IF(ABS('Stage Build'!I122-SUM('Stage Build'!F122:H122))&lt;0.000001,1,0)</x:f>
        <x:v>1</x:v>
      </x:c>
      <x:c r="F699" s="21" t="n">
        <x:v>1</x:v>
      </x:c>
      <x:c r="G699" s="23" t="str">
        <x:f>IF(E699=F699,"PASS","FAIL")</x:f>
        <x:v>PASS</x:v>
      </x:c>
    </x:row>
    <x:row r="700">
      <x:c r="B700" s="21" t="str">
        <x:v>C0694</x:v>
      </x:c>
      <x:c r="C700" s="21" t="str">
        <x:v>stage build</x:v>
      </x:c>
      <x:c r="D700" s="21" t="str">
        <x:v>replication layer nonnegative row 122</x:v>
      </x:c>
      <x:c r="E700" s="21" t="n">
        <x:f>IF('Stage Build'!J122&gt;=0,1,0)</x:f>
        <x:v>1</x:v>
      </x:c>
      <x:c r="F700" s="21" t="n">
        <x:v>1</x:v>
      </x:c>
      <x:c r="G700" s="23" t="str">
        <x:f>IF(E700=F700,"PASS","FAIL")</x:f>
        <x:v>PASS</x:v>
      </x:c>
    </x:row>
    <x:row r="701">
      <x:c r="B701" s="21" t="str">
        <x:v>C0695</x:v>
      </x:c>
      <x:c r="C701" s="21" t="str">
        <x:v>stage build</x:v>
      </x:c>
      <x:c r="D701" s="21" t="str">
        <x:v>designed ratio identity row 122</x:v>
      </x:c>
      <x:c r="E701" s="21" t="n">
        <x:f>IF(ABS('Stage Build'!K122-'Stage Build'!I122-'Stage Build'!J122)&lt;0.000001,1,0)</x:f>
        <x:v>1</x:v>
      </x:c>
      <x:c r="F701" s="21" t="n">
        <x:v>1</x:v>
      </x:c>
      <x:c r="G701" s="23" t="str">
        <x:f>IF(E701=F701,"PASS","FAIL")</x:f>
        <x:v>PASS</x:v>
      </x:c>
    </x:row>
    <x:row r="702">
      <x:c r="B702" s="21" t="str">
        <x:v>C0696</x:v>
      </x:c>
      <x:c r="C702" s="21" t="str">
        <x:v>stage build</x:v>
      </x:c>
      <x:c r="D702" s="21" t="str">
        <x:v>M05 status identity row 122</x:v>
      </x:c>
      <x:c r="E702" s="21" t="n">
        <x:f>IF('Stage Build'!L122=IF('Stage Build'!K122&gt;=Assumptions!$C$9,"ADEQUATE","GAP"),1,0)</x:f>
        <x:v>1</x:v>
      </x:c>
      <x:c r="F702" s="21" t="n">
        <x:v>1</x:v>
      </x:c>
      <x:c r="G702" s="23" t="str">
        <x:f>IF(E702=F702,"PASS","FAIL")</x:f>
        <x:v>PASS</x:v>
      </x:c>
    </x:row>
    <x:row r="703">
      <x:c r="B703" s="21" t="str">
        <x:v>C0697</x:v>
      </x:c>
      <x:c r="C703" s="21" t="str">
        <x:v>stage build</x:v>
      </x:c>
      <x:c r="D703" s="21" t="str">
        <x:v>baseline nonnegative row 123</x:v>
      </x:c>
      <x:c r="E703" s="21" t="n">
        <x:f>IF('Stage Build'!F123&gt;=0,1,0)</x:f>
        <x:v>1</x:v>
      </x:c>
      <x:c r="F703" s="21" t="n">
        <x:v>1</x:v>
      </x:c>
      <x:c r="G703" s="23" t="str">
        <x:f>IF(E703=F703,"PASS","FAIL")</x:f>
        <x:v>PASS</x:v>
      </x:c>
    </x:row>
    <x:row r="704">
      <x:c r="B704" s="21" t="str">
        <x:v>C0698</x:v>
      </x:c>
      <x:c r="C704" s="21" t="str">
        <x:v>stage build</x:v>
      </x:c>
      <x:c r="D704" s="21" t="str">
        <x:v>targeted additions nonnegative row 123</x:v>
      </x:c>
      <x:c r="E704" s="21" t="n">
        <x:f>IF(AND('Stage Build'!G123&gt;=0,'Stage Build'!H123&gt;=0),1,0)</x:f>
        <x:v>1</x:v>
      </x:c>
      <x:c r="F704" s="21" t="n">
        <x:v>1</x:v>
      </x:c>
      <x:c r="G704" s="23" t="str">
        <x:f>IF(E704=F704,"PASS","FAIL")</x:f>
        <x:v>PASS</x:v>
      </x:c>
    </x:row>
    <x:row r="705">
      <x:c r="B705" s="21" t="str">
        <x:v>C0699</x:v>
      </x:c>
      <x:c r="C705" s="21" t="str">
        <x:v>stage build</x:v>
      </x:c>
      <x:c r="D705" s="21" t="str">
        <x:v>pre-replication identity row 123</x:v>
      </x:c>
      <x:c r="E705" s="21" t="n">
        <x:f>IF(ABS('Stage Build'!I123-SUM('Stage Build'!F123:H123))&lt;0.000001,1,0)</x:f>
        <x:v>1</x:v>
      </x:c>
      <x:c r="F705" s="21" t="n">
        <x:v>1</x:v>
      </x:c>
      <x:c r="G705" s="23" t="str">
        <x:f>IF(E705=F705,"PASS","FAIL")</x:f>
        <x:v>PASS</x:v>
      </x:c>
    </x:row>
    <x:row r="706">
      <x:c r="B706" s="21" t="str">
        <x:v>C0700</x:v>
      </x:c>
      <x:c r="C706" s="21" t="str">
        <x:v>stage build</x:v>
      </x:c>
      <x:c r="D706" s="21" t="str">
        <x:v>replication layer nonnegative row 123</x:v>
      </x:c>
      <x:c r="E706" s="21" t="n">
        <x:f>IF('Stage Build'!J123&gt;=0,1,0)</x:f>
        <x:v>1</x:v>
      </x:c>
      <x:c r="F706" s="21" t="n">
        <x:v>1</x:v>
      </x:c>
      <x:c r="G706" s="23" t="str">
        <x:f>IF(E706=F706,"PASS","FAIL")</x:f>
        <x:v>PASS</x:v>
      </x:c>
    </x:row>
    <x:row r="707">
      <x:c r="B707" s="21" t="str">
        <x:v>C0701</x:v>
      </x:c>
      <x:c r="C707" s="21" t="str">
        <x:v>stage build</x:v>
      </x:c>
      <x:c r="D707" s="21" t="str">
        <x:v>designed ratio identity row 123</x:v>
      </x:c>
      <x:c r="E707" s="21" t="n">
        <x:f>IF(ABS('Stage Build'!K123-'Stage Build'!I123-'Stage Build'!J123)&lt;0.000001,1,0)</x:f>
        <x:v>1</x:v>
      </x:c>
      <x:c r="F707" s="21" t="n">
        <x:v>1</x:v>
      </x:c>
      <x:c r="G707" s="23" t="str">
        <x:f>IF(E707=F707,"PASS","FAIL")</x:f>
        <x:v>PASS</x:v>
      </x:c>
    </x:row>
    <x:row r="708">
      <x:c r="B708" s="21" t="str">
        <x:v>C0702</x:v>
      </x:c>
      <x:c r="C708" s="21" t="str">
        <x:v>stage build</x:v>
      </x:c>
      <x:c r="D708" s="21" t="str">
        <x:v>M05 status identity row 123</x:v>
      </x:c>
      <x:c r="E708" s="21" t="n">
        <x:f>IF('Stage Build'!L123=IF('Stage Build'!K123&gt;=Assumptions!$C$9,"ADEQUATE","GAP"),1,0)</x:f>
        <x:v>1</x:v>
      </x:c>
      <x:c r="F708" s="21" t="n">
        <x:v>1</x:v>
      </x:c>
      <x:c r="G708" s="23" t="str">
        <x:f>IF(E708=F708,"PASS","FAIL")</x:f>
        <x:v>PASS</x:v>
      </x:c>
    </x:row>
    <x:row r="709">
      <x:c r="B709" s="21" t="str">
        <x:v>C0703</x:v>
      </x:c>
      <x:c r="C709" s="21" t="str">
        <x:v>stage build</x:v>
      </x:c>
      <x:c r="D709" s="21" t="str">
        <x:v>baseline nonnegative row 124</x:v>
      </x:c>
      <x:c r="E709" s="21" t="n">
        <x:f>IF('Stage Build'!F124&gt;=0,1,0)</x:f>
        <x:v>1</x:v>
      </x:c>
      <x:c r="F709" s="21" t="n">
        <x:v>1</x:v>
      </x:c>
      <x:c r="G709" s="23" t="str">
        <x:f>IF(E709=F709,"PASS","FAIL")</x:f>
        <x:v>PASS</x:v>
      </x:c>
    </x:row>
    <x:row r="710">
      <x:c r="B710" s="21" t="str">
        <x:v>C0704</x:v>
      </x:c>
      <x:c r="C710" s="21" t="str">
        <x:v>stage build</x:v>
      </x:c>
      <x:c r="D710" s="21" t="str">
        <x:v>targeted additions nonnegative row 124</x:v>
      </x:c>
      <x:c r="E710" s="21" t="n">
        <x:f>IF(AND('Stage Build'!G124&gt;=0,'Stage Build'!H124&gt;=0),1,0)</x:f>
        <x:v>1</x:v>
      </x:c>
      <x:c r="F710" s="21" t="n">
        <x:v>1</x:v>
      </x:c>
      <x:c r="G710" s="23" t="str">
        <x:f>IF(E710=F710,"PASS","FAIL")</x:f>
        <x:v>PASS</x:v>
      </x:c>
    </x:row>
    <x:row r="711">
      <x:c r="B711" s="21" t="str">
        <x:v>C0705</x:v>
      </x:c>
      <x:c r="C711" s="21" t="str">
        <x:v>stage build</x:v>
      </x:c>
      <x:c r="D711" s="21" t="str">
        <x:v>pre-replication identity row 124</x:v>
      </x:c>
      <x:c r="E711" s="21" t="n">
        <x:f>IF(ABS('Stage Build'!I124-SUM('Stage Build'!F124:H124))&lt;0.000001,1,0)</x:f>
        <x:v>1</x:v>
      </x:c>
      <x:c r="F711" s="21" t="n">
        <x:v>1</x:v>
      </x:c>
      <x:c r="G711" s="23" t="str">
        <x:f>IF(E711=F711,"PASS","FAIL")</x:f>
        <x:v>PASS</x:v>
      </x:c>
    </x:row>
    <x:row r="712">
      <x:c r="B712" s="21" t="str">
        <x:v>C0706</x:v>
      </x:c>
      <x:c r="C712" s="21" t="str">
        <x:v>stage build</x:v>
      </x:c>
      <x:c r="D712" s="21" t="str">
        <x:v>replication layer nonnegative row 124</x:v>
      </x:c>
      <x:c r="E712" s="21" t="n">
        <x:f>IF('Stage Build'!J124&gt;=0,1,0)</x:f>
        <x:v>1</x:v>
      </x:c>
      <x:c r="F712" s="21" t="n">
        <x:v>1</x:v>
      </x:c>
      <x:c r="G712" s="23" t="str">
        <x:f>IF(E712=F712,"PASS","FAIL")</x:f>
        <x:v>PASS</x:v>
      </x:c>
    </x:row>
    <x:row r="713">
      <x:c r="B713" s="21" t="str">
        <x:v>C0707</x:v>
      </x:c>
      <x:c r="C713" s="21" t="str">
        <x:v>stage build</x:v>
      </x:c>
      <x:c r="D713" s="21" t="str">
        <x:v>designed ratio identity row 124</x:v>
      </x:c>
      <x:c r="E713" s="21" t="n">
        <x:f>IF(ABS('Stage Build'!K124-'Stage Build'!I124-'Stage Build'!J124)&lt;0.000001,1,0)</x:f>
        <x:v>1</x:v>
      </x:c>
      <x:c r="F713" s="21" t="n">
        <x:v>1</x:v>
      </x:c>
      <x:c r="G713" s="23" t="str">
        <x:f>IF(E713=F713,"PASS","FAIL")</x:f>
        <x:v>PASS</x:v>
      </x:c>
    </x:row>
    <x:row r="714">
      <x:c r="B714" s="21" t="str">
        <x:v>C0708</x:v>
      </x:c>
      <x:c r="C714" s="21" t="str">
        <x:v>stage build</x:v>
      </x:c>
      <x:c r="D714" s="21" t="str">
        <x:v>M05 status identity row 124</x:v>
      </x:c>
      <x:c r="E714" s="21" t="n">
        <x:f>IF('Stage Build'!L124=IF('Stage Build'!K124&gt;=Assumptions!$C$9,"ADEQUATE","GAP"),1,0)</x:f>
        <x:v>1</x:v>
      </x:c>
      <x:c r="F714" s="21" t="n">
        <x:v>1</x:v>
      </x:c>
      <x:c r="G714" s="23" t="str">
        <x:f>IF(E714=F714,"PASS","FAIL")</x:f>
        <x:v>PASS</x:v>
      </x:c>
    </x:row>
    <x:row r="715">
      <x:c r="B715" s="21" t="str">
        <x:v>C0709</x:v>
      </x:c>
      <x:c r="C715" s="21" t="str">
        <x:v>stage build</x:v>
      </x:c>
      <x:c r="D715" s="21" t="str">
        <x:v>baseline nonnegative row 125</x:v>
      </x:c>
      <x:c r="E715" s="21" t="n">
        <x:f>IF('Stage Build'!F125&gt;=0,1,0)</x:f>
        <x:v>1</x:v>
      </x:c>
      <x:c r="F715" s="21" t="n">
        <x:v>1</x:v>
      </x:c>
      <x:c r="G715" s="23" t="str">
        <x:f>IF(E715=F715,"PASS","FAIL")</x:f>
        <x:v>PASS</x:v>
      </x:c>
    </x:row>
    <x:row r="716">
      <x:c r="B716" s="21" t="str">
        <x:v>C0710</x:v>
      </x:c>
      <x:c r="C716" s="21" t="str">
        <x:v>stage build</x:v>
      </x:c>
      <x:c r="D716" s="21" t="str">
        <x:v>targeted additions nonnegative row 125</x:v>
      </x:c>
      <x:c r="E716" s="21" t="n">
        <x:f>IF(AND('Stage Build'!G125&gt;=0,'Stage Build'!H125&gt;=0),1,0)</x:f>
        <x:v>1</x:v>
      </x:c>
      <x:c r="F716" s="21" t="n">
        <x:v>1</x:v>
      </x:c>
      <x:c r="G716" s="23" t="str">
        <x:f>IF(E716=F716,"PASS","FAIL")</x:f>
        <x:v>PASS</x:v>
      </x:c>
    </x:row>
    <x:row r="717">
      <x:c r="B717" s="21" t="str">
        <x:v>C0711</x:v>
      </x:c>
      <x:c r="C717" s="21" t="str">
        <x:v>stage build</x:v>
      </x:c>
      <x:c r="D717" s="21" t="str">
        <x:v>pre-replication identity row 125</x:v>
      </x:c>
      <x:c r="E717" s="21" t="n">
        <x:f>IF(ABS('Stage Build'!I125-SUM('Stage Build'!F125:H125))&lt;0.000001,1,0)</x:f>
        <x:v>1</x:v>
      </x:c>
      <x:c r="F717" s="21" t="n">
        <x:v>1</x:v>
      </x:c>
      <x:c r="G717" s="23" t="str">
        <x:f>IF(E717=F717,"PASS","FAIL")</x:f>
        <x:v>PASS</x:v>
      </x:c>
    </x:row>
    <x:row r="718">
      <x:c r="B718" s="21" t="str">
        <x:v>C0712</x:v>
      </x:c>
      <x:c r="C718" s="21" t="str">
        <x:v>stage build</x:v>
      </x:c>
      <x:c r="D718" s="21" t="str">
        <x:v>replication layer nonnegative row 125</x:v>
      </x:c>
      <x:c r="E718" s="21" t="n">
        <x:f>IF('Stage Build'!J125&gt;=0,1,0)</x:f>
        <x:v>1</x:v>
      </x:c>
      <x:c r="F718" s="21" t="n">
        <x:v>1</x:v>
      </x:c>
      <x:c r="G718" s="23" t="str">
        <x:f>IF(E718=F718,"PASS","FAIL")</x:f>
        <x:v>PASS</x:v>
      </x:c>
    </x:row>
    <x:row r="719">
      <x:c r="B719" s="21" t="str">
        <x:v>C0713</x:v>
      </x:c>
      <x:c r="C719" s="21" t="str">
        <x:v>stage build</x:v>
      </x:c>
      <x:c r="D719" s="21" t="str">
        <x:v>designed ratio identity row 125</x:v>
      </x:c>
      <x:c r="E719" s="21" t="n">
        <x:f>IF(ABS('Stage Build'!K125-'Stage Build'!I125-'Stage Build'!J125)&lt;0.000001,1,0)</x:f>
        <x:v>1</x:v>
      </x:c>
      <x:c r="F719" s="21" t="n">
        <x:v>1</x:v>
      </x:c>
      <x:c r="G719" s="23" t="str">
        <x:f>IF(E719=F719,"PASS","FAIL")</x:f>
        <x:v>PASS</x:v>
      </x:c>
    </x:row>
    <x:row r="720">
      <x:c r="B720" s="21" t="str">
        <x:v>C0714</x:v>
      </x:c>
      <x:c r="C720" s="21" t="str">
        <x:v>stage build</x:v>
      </x:c>
      <x:c r="D720" s="21" t="str">
        <x:v>M05 status identity row 125</x:v>
      </x:c>
      <x:c r="E720" s="21" t="n">
        <x:f>IF('Stage Build'!L125=IF('Stage Build'!K125&gt;=Assumptions!$C$9,"ADEQUATE","GAP"),1,0)</x:f>
        <x:v>1</x:v>
      </x:c>
      <x:c r="F720" s="21" t="n">
        <x:v>1</x:v>
      </x:c>
      <x:c r="G720" s="23" t="str">
        <x:f>IF(E720=F720,"PASS","FAIL")</x:f>
        <x:v>PASS</x:v>
      </x:c>
    </x:row>
    <x:row r="721">
      <x:c r="B721" s="21" t="str">
        <x:v>C0715</x:v>
      </x:c>
      <x:c r="C721" s="21" t="str">
        <x:v>stage build</x:v>
      </x:c>
      <x:c r="D721" s="21" t="str">
        <x:v>baseline nonnegative row 126</x:v>
      </x:c>
      <x:c r="E721" s="21" t="n">
        <x:f>IF('Stage Build'!F126&gt;=0,1,0)</x:f>
        <x:v>1</x:v>
      </x:c>
      <x:c r="F721" s="21" t="n">
        <x:v>1</x:v>
      </x:c>
      <x:c r="G721" s="23" t="str">
        <x:f>IF(E721=F721,"PASS","FAIL")</x:f>
        <x:v>PASS</x:v>
      </x:c>
    </x:row>
    <x:row r="722">
      <x:c r="B722" s="21" t="str">
        <x:v>C0716</x:v>
      </x:c>
      <x:c r="C722" s="21" t="str">
        <x:v>stage build</x:v>
      </x:c>
      <x:c r="D722" s="21" t="str">
        <x:v>targeted additions nonnegative row 126</x:v>
      </x:c>
      <x:c r="E722" s="21" t="n">
        <x:f>IF(AND('Stage Build'!G126&gt;=0,'Stage Build'!H126&gt;=0),1,0)</x:f>
        <x:v>1</x:v>
      </x:c>
      <x:c r="F722" s="21" t="n">
        <x:v>1</x:v>
      </x:c>
      <x:c r="G722" s="23" t="str">
        <x:f>IF(E722=F722,"PASS","FAIL")</x:f>
        <x:v>PASS</x:v>
      </x:c>
    </x:row>
    <x:row r="723">
      <x:c r="B723" s="21" t="str">
        <x:v>C0717</x:v>
      </x:c>
      <x:c r="C723" s="21" t="str">
        <x:v>stage build</x:v>
      </x:c>
      <x:c r="D723" s="21" t="str">
        <x:v>pre-replication identity row 126</x:v>
      </x:c>
      <x:c r="E723" s="21" t="n">
        <x:f>IF(ABS('Stage Build'!I126-SUM('Stage Build'!F126:H126))&lt;0.000001,1,0)</x:f>
        <x:v>1</x:v>
      </x:c>
      <x:c r="F723" s="21" t="n">
        <x:v>1</x:v>
      </x:c>
      <x:c r="G723" s="23" t="str">
        <x:f>IF(E723=F723,"PASS","FAIL")</x:f>
        <x:v>PASS</x:v>
      </x:c>
    </x:row>
    <x:row r="724">
      <x:c r="B724" s="21" t="str">
        <x:v>C0718</x:v>
      </x:c>
      <x:c r="C724" s="21" t="str">
        <x:v>stage build</x:v>
      </x:c>
      <x:c r="D724" s="21" t="str">
        <x:v>replication layer nonnegative row 126</x:v>
      </x:c>
      <x:c r="E724" s="21" t="n">
        <x:f>IF('Stage Build'!J126&gt;=0,1,0)</x:f>
        <x:v>1</x:v>
      </x:c>
      <x:c r="F724" s="21" t="n">
        <x:v>1</x:v>
      </x:c>
      <x:c r="G724" s="23" t="str">
        <x:f>IF(E724=F724,"PASS","FAIL")</x:f>
        <x:v>PASS</x:v>
      </x:c>
    </x:row>
    <x:row r="725">
      <x:c r="B725" s="21" t="str">
        <x:v>C0719</x:v>
      </x:c>
      <x:c r="C725" s="21" t="str">
        <x:v>stage build</x:v>
      </x:c>
      <x:c r="D725" s="21" t="str">
        <x:v>designed ratio identity row 126</x:v>
      </x:c>
      <x:c r="E725" s="21" t="n">
        <x:f>IF(ABS('Stage Build'!K126-'Stage Build'!I126-'Stage Build'!J126)&lt;0.000001,1,0)</x:f>
        <x:v>1</x:v>
      </x:c>
      <x:c r="F725" s="21" t="n">
        <x:v>1</x:v>
      </x:c>
      <x:c r="G725" s="23" t="str">
        <x:f>IF(E725=F725,"PASS","FAIL")</x:f>
        <x:v>PASS</x:v>
      </x:c>
    </x:row>
    <x:row r="726">
      <x:c r="B726" s="21" t="str">
        <x:v>C0720</x:v>
      </x:c>
      <x:c r="C726" s="21" t="str">
        <x:v>stage build</x:v>
      </x:c>
      <x:c r="D726" s="21" t="str">
        <x:v>M05 status identity row 126</x:v>
      </x:c>
      <x:c r="E726" s="21" t="n">
        <x:f>IF('Stage Build'!L126=IF('Stage Build'!K126&gt;=Assumptions!$C$9,"ADEQUATE","GAP"),1,0)</x:f>
        <x:v>1</x:v>
      </x:c>
      <x:c r="F726" s="21" t="n">
        <x:v>1</x:v>
      </x:c>
      <x:c r="G726" s="23" t="str">
        <x:f>IF(E726=F726,"PASS","FAIL")</x:f>
        <x:v>PASS</x:v>
      </x:c>
    </x:row>
    <x:row r="727">
      <x:c r="B727" s="21" t="str">
        <x:v>C0721</x:v>
      </x:c>
      <x:c r="C727" s="21" t="str">
        <x:v>stage build</x:v>
      </x:c>
      <x:c r="D727" s="21" t="str">
        <x:v>baseline nonnegative row 127</x:v>
      </x:c>
      <x:c r="E727" s="21" t="n">
        <x:f>IF('Stage Build'!F127&gt;=0,1,0)</x:f>
        <x:v>1</x:v>
      </x:c>
      <x:c r="F727" s="21" t="n">
        <x:v>1</x:v>
      </x:c>
      <x:c r="G727" s="23" t="str">
        <x:f>IF(E727=F727,"PASS","FAIL")</x:f>
        <x:v>PASS</x:v>
      </x:c>
    </x:row>
    <x:row r="728">
      <x:c r="B728" s="21" t="str">
        <x:v>C0722</x:v>
      </x:c>
      <x:c r="C728" s="21" t="str">
        <x:v>stage build</x:v>
      </x:c>
      <x:c r="D728" s="21" t="str">
        <x:v>targeted additions nonnegative row 127</x:v>
      </x:c>
      <x:c r="E728" s="21" t="n">
        <x:f>IF(AND('Stage Build'!G127&gt;=0,'Stage Build'!H127&gt;=0),1,0)</x:f>
        <x:v>1</x:v>
      </x:c>
      <x:c r="F728" s="21" t="n">
        <x:v>1</x:v>
      </x:c>
      <x:c r="G728" s="23" t="str">
        <x:f>IF(E728=F728,"PASS","FAIL")</x:f>
        <x:v>PASS</x:v>
      </x:c>
    </x:row>
    <x:row r="729">
      <x:c r="B729" s="21" t="str">
        <x:v>C0723</x:v>
      </x:c>
      <x:c r="C729" s="21" t="str">
        <x:v>stage build</x:v>
      </x:c>
      <x:c r="D729" s="21" t="str">
        <x:v>pre-replication identity row 127</x:v>
      </x:c>
      <x:c r="E729" s="21" t="n">
        <x:f>IF(ABS('Stage Build'!I127-SUM('Stage Build'!F127:H127))&lt;0.000001,1,0)</x:f>
        <x:v>1</x:v>
      </x:c>
      <x:c r="F729" s="21" t="n">
        <x:v>1</x:v>
      </x:c>
      <x:c r="G729" s="23" t="str">
        <x:f>IF(E729=F729,"PASS","FAIL")</x:f>
        <x:v>PASS</x:v>
      </x:c>
    </x:row>
    <x:row r="730">
      <x:c r="B730" s="21" t="str">
        <x:v>C0724</x:v>
      </x:c>
      <x:c r="C730" s="21" t="str">
        <x:v>stage build</x:v>
      </x:c>
      <x:c r="D730" s="21" t="str">
        <x:v>replication layer nonnegative row 127</x:v>
      </x:c>
      <x:c r="E730" s="21" t="n">
        <x:f>IF('Stage Build'!J127&gt;=0,1,0)</x:f>
        <x:v>1</x:v>
      </x:c>
      <x:c r="F730" s="21" t="n">
        <x:v>1</x:v>
      </x:c>
      <x:c r="G730" s="23" t="str">
        <x:f>IF(E730=F730,"PASS","FAIL")</x:f>
        <x:v>PASS</x:v>
      </x:c>
    </x:row>
    <x:row r="731">
      <x:c r="B731" s="21" t="str">
        <x:v>C0725</x:v>
      </x:c>
      <x:c r="C731" s="21" t="str">
        <x:v>stage build</x:v>
      </x:c>
      <x:c r="D731" s="21" t="str">
        <x:v>designed ratio identity row 127</x:v>
      </x:c>
      <x:c r="E731" s="21" t="n">
        <x:f>IF(ABS('Stage Build'!K127-'Stage Build'!I127-'Stage Build'!J127)&lt;0.000001,1,0)</x:f>
        <x:v>1</x:v>
      </x:c>
      <x:c r="F731" s="21" t="n">
        <x:v>1</x:v>
      </x:c>
      <x:c r="G731" s="23" t="str">
        <x:f>IF(E731=F731,"PASS","FAIL")</x:f>
        <x:v>PASS</x:v>
      </x:c>
    </x:row>
    <x:row r="732">
      <x:c r="B732" s="21" t="str">
        <x:v>C0726</x:v>
      </x:c>
      <x:c r="C732" s="21" t="str">
        <x:v>stage build</x:v>
      </x:c>
      <x:c r="D732" s="21" t="str">
        <x:v>M05 status identity row 127</x:v>
      </x:c>
      <x:c r="E732" s="21" t="n">
        <x:f>IF('Stage Build'!L127=IF('Stage Build'!K127&gt;=Assumptions!$C$9,"ADEQUATE","GAP"),1,0)</x:f>
        <x:v>1</x:v>
      </x:c>
      <x:c r="F732" s="21" t="n">
        <x:v>1</x:v>
      </x:c>
      <x:c r="G732" s="23" t="str">
        <x:f>IF(E732=F732,"PASS","FAIL")</x:f>
        <x:v>PASS</x:v>
      </x:c>
    </x:row>
    <x:row r="733">
      <x:c r="B733" s="21" t="str">
        <x:v>C0727</x:v>
      </x:c>
      <x:c r="C733" s="21" t="str">
        <x:v>stage build</x:v>
      </x:c>
      <x:c r="D733" s="21" t="str">
        <x:v>baseline nonnegative row 128</x:v>
      </x:c>
      <x:c r="E733" s="21" t="n">
        <x:f>IF('Stage Build'!F128&gt;=0,1,0)</x:f>
        <x:v>1</x:v>
      </x:c>
      <x:c r="F733" s="21" t="n">
        <x:v>1</x:v>
      </x:c>
      <x:c r="G733" s="23" t="str">
        <x:f>IF(E733=F733,"PASS","FAIL")</x:f>
        <x:v>PASS</x:v>
      </x:c>
    </x:row>
    <x:row r="734">
      <x:c r="B734" s="21" t="str">
        <x:v>C0728</x:v>
      </x:c>
      <x:c r="C734" s="21" t="str">
        <x:v>stage build</x:v>
      </x:c>
      <x:c r="D734" s="21" t="str">
        <x:v>targeted additions nonnegative row 128</x:v>
      </x:c>
      <x:c r="E734" s="21" t="n">
        <x:f>IF(AND('Stage Build'!G128&gt;=0,'Stage Build'!H128&gt;=0),1,0)</x:f>
        <x:v>1</x:v>
      </x:c>
      <x:c r="F734" s="21" t="n">
        <x:v>1</x:v>
      </x:c>
      <x:c r="G734" s="23" t="str">
        <x:f>IF(E734=F734,"PASS","FAIL")</x:f>
        <x:v>PASS</x:v>
      </x:c>
    </x:row>
    <x:row r="735">
      <x:c r="B735" s="21" t="str">
        <x:v>C0729</x:v>
      </x:c>
      <x:c r="C735" s="21" t="str">
        <x:v>stage build</x:v>
      </x:c>
      <x:c r="D735" s="21" t="str">
        <x:v>pre-replication identity row 128</x:v>
      </x:c>
      <x:c r="E735" s="21" t="n">
        <x:f>IF(ABS('Stage Build'!I128-SUM('Stage Build'!F128:H128))&lt;0.000001,1,0)</x:f>
        <x:v>1</x:v>
      </x:c>
      <x:c r="F735" s="21" t="n">
        <x:v>1</x:v>
      </x:c>
      <x:c r="G735" s="23" t="str">
        <x:f>IF(E735=F735,"PASS","FAIL")</x:f>
        <x:v>PASS</x:v>
      </x:c>
    </x:row>
    <x:row r="736">
      <x:c r="B736" s="21" t="str">
        <x:v>C0730</x:v>
      </x:c>
      <x:c r="C736" s="21" t="str">
        <x:v>stage build</x:v>
      </x:c>
      <x:c r="D736" s="21" t="str">
        <x:v>replication layer nonnegative row 128</x:v>
      </x:c>
      <x:c r="E736" s="21" t="n">
        <x:f>IF('Stage Build'!J128&gt;=0,1,0)</x:f>
        <x:v>1</x:v>
      </x:c>
      <x:c r="F736" s="21" t="n">
        <x:v>1</x:v>
      </x:c>
      <x:c r="G736" s="23" t="str">
        <x:f>IF(E736=F736,"PASS","FAIL")</x:f>
        <x:v>PASS</x:v>
      </x:c>
    </x:row>
    <x:row r="737">
      <x:c r="B737" s="21" t="str">
        <x:v>C0731</x:v>
      </x:c>
      <x:c r="C737" s="21" t="str">
        <x:v>stage build</x:v>
      </x:c>
      <x:c r="D737" s="21" t="str">
        <x:v>designed ratio identity row 128</x:v>
      </x:c>
      <x:c r="E737" s="21" t="n">
        <x:f>IF(ABS('Stage Build'!K128-'Stage Build'!I128-'Stage Build'!J128)&lt;0.000001,1,0)</x:f>
        <x:v>1</x:v>
      </x:c>
      <x:c r="F737" s="21" t="n">
        <x:v>1</x:v>
      </x:c>
      <x:c r="G737" s="23" t="str">
        <x:f>IF(E737=F737,"PASS","FAIL")</x:f>
        <x:v>PASS</x:v>
      </x:c>
    </x:row>
    <x:row r="738">
      <x:c r="B738" s="21" t="str">
        <x:v>C0732</x:v>
      </x:c>
      <x:c r="C738" s="21" t="str">
        <x:v>stage build</x:v>
      </x:c>
      <x:c r="D738" s="21" t="str">
        <x:v>M05 status identity row 128</x:v>
      </x:c>
      <x:c r="E738" s="21" t="n">
        <x:f>IF('Stage Build'!L128=IF('Stage Build'!K128&gt;=Assumptions!$C$9,"ADEQUATE","GAP"),1,0)</x:f>
        <x:v>1</x:v>
      </x:c>
      <x:c r="F738" s="21" t="n">
        <x:v>1</x:v>
      </x:c>
      <x:c r="G738" s="23" t="str">
        <x:f>IF(E738=F738,"PASS","FAIL")</x:f>
        <x:v>PASS</x:v>
      </x:c>
    </x:row>
    <x:row r="739">
      <x:c r="B739" s="21" t="str">
        <x:v>C0733</x:v>
      </x:c>
      <x:c r="C739" s="21" t="str">
        <x:v>stage build</x:v>
      </x:c>
      <x:c r="D739" s="21" t="str">
        <x:v>baseline nonnegative row 129</x:v>
      </x:c>
      <x:c r="E739" s="21" t="n">
        <x:f>IF('Stage Build'!F129&gt;=0,1,0)</x:f>
        <x:v>1</x:v>
      </x:c>
      <x:c r="F739" s="21" t="n">
        <x:v>1</x:v>
      </x:c>
      <x:c r="G739" s="23" t="str">
        <x:f>IF(E739=F739,"PASS","FAIL")</x:f>
        <x:v>PASS</x:v>
      </x:c>
    </x:row>
    <x:row r="740">
      <x:c r="B740" s="21" t="str">
        <x:v>C0734</x:v>
      </x:c>
      <x:c r="C740" s="21" t="str">
        <x:v>stage build</x:v>
      </x:c>
      <x:c r="D740" s="21" t="str">
        <x:v>targeted additions nonnegative row 129</x:v>
      </x:c>
      <x:c r="E740" s="21" t="n">
        <x:f>IF(AND('Stage Build'!G129&gt;=0,'Stage Build'!H129&gt;=0),1,0)</x:f>
        <x:v>1</x:v>
      </x:c>
      <x:c r="F740" s="21" t="n">
        <x:v>1</x:v>
      </x:c>
      <x:c r="G740" s="23" t="str">
        <x:f>IF(E740=F740,"PASS","FAIL")</x:f>
        <x:v>PASS</x:v>
      </x:c>
    </x:row>
    <x:row r="741">
      <x:c r="B741" s="21" t="str">
        <x:v>C0735</x:v>
      </x:c>
      <x:c r="C741" s="21" t="str">
        <x:v>stage build</x:v>
      </x:c>
      <x:c r="D741" s="21" t="str">
        <x:v>pre-replication identity row 129</x:v>
      </x:c>
      <x:c r="E741" s="21" t="n">
        <x:f>IF(ABS('Stage Build'!I129-SUM('Stage Build'!F129:H129))&lt;0.000001,1,0)</x:f>
        <x:v>1</x:v>
      </x:c>
      <x:c r="F741" s="21" t="n">
        <x:v>1</x:v>
      </x:c>
      <x:c r="G741" s="23" t="str">
        <x:f>IF(E741=F741,"PASS","FAIL")</x:f>
        <x:v>PASS</x:v>
      </x:c>
    </x:row>
    <x:row r="742">
      <x:c r="B742" s="21" t="str">
        <x:v>C0736</x:v>
      </x:c>
      <x:c r="C742" s="21" t="str">
        <x:v>stage build</x:v>
      </x:c>
      <x:c r="D742" s="21" t="str">
        <x:v>replication layer nonnegative row 129</x:v>
      </x:c>
      <x:c r="E742" s="21" t="n">
        <x:f>IF('Stage Build'!J129&gt;=0,1,0)</x:f>
        <x:v>1</x:v>
      </x:c>
      <x:c r="F742" s="21" t="n">
        <x:v>1</x:v>
      </x:c>
      <x:c r="G742" s="23" t="str">
        <x:f>IF(E742=F742,"PASS","FAIL")</x:f>
        <x:v>PASS</x:v>
      </x:c>
    </x:row>
    <x:row r="743">
      <x:c r="B743" s="21" t="str">
        <x:v>C0737</x:v>
      </x:c>
      <x:c r="C743" s="21" t="str">
        <x:v>stage build</x:v>
      </x:c>
      <x:c r="D743" s="21" t="str">
        <x:v>designed ratio identity row 129</x:v>
      </x:c>
      <x:c r="E743" s="21" t="n">
        <x:f>IF(ABS('Stage Build'!K129-'Stage Build'!I129-'Stage Build'!J129)&lt;0.000001,1,0)</x:f>
        <x:v>1</x:v>
      </x:c>
      <x:c r="F743" s="21" t="n">
        <x:v>1</x:v>
      </x:c>
      <x:c r="G743" s="23" t="str">
        <x:f>IF(E743=F743,"PASS","FAIL")</x:f>
        <x:v>PASS</x:v>
      </x:c>
    </x:row>
    <x:row r="744">
      <x:c r="B744" s="21" t="str">
        <x:v>C0738</x:v>
      </x:c>
      <x:c r="C744" s="21" t="str">
        <x:v>stage build</x:v>
      </x:c>
      <x:c r="D744" s="21" t="str">
        <x:v>M05 status identity row 129</x:v>
      </x:c>
      <x:c r="E744" s="21" t="n">
        <x:f>IF('Stage Build'!L129=IF('Stage Build'!K129&gt;=Assumptions!$C$9,"ADEQUATE","GAP"),1,0)</x:f>
        <x:v>1</x:v>
      </x:c>
      <x:c r="F744" s="21" t="n">
        <x:v>1</x:v>
      </x:c>
      <x:c r="G744" s="23" t="str">
        <x:f>IF(E744=F744,"PASS","FAIL")</x:f>
        <x:v>PASS</x:v>
      </x:c>
    </x:row>
    <x:row r="745">
      <x:c r="B745" s="21" t="str">
        <x:v>C0739</x:v>
      </x:c>
      <x:c r="C745" s="21" t="str">
        <x:v>stage build</x:v>
      </x:c>
      <x:c r="D745" s="21" t="str">
        <x:v>baseline nonnegative row 130</x:v>
      </x:c>
      <x:c r="E745" s="21" t="n">
        <x:f>IF('Stage Build'!F130&gt;=0,1,0)</x:f>
        <x:v>1</x:v>
      </x:c>
      <x:c r="F745" s="21" t="n">
        <x:v>1</x:v>
      </x:c>
      <x:c r="G745" s="23" t="str">
        <x:f>IF(E745=F745,"PASS","FAIL")</x:f>
        <x:v>PASS</x:v>
      </x:c>
    </x:row>
    <x:row r="746">
      <x:c r="B746" s="21" t="str">
        <x:v>C0740</x:v>
      </x:c>
      <x:c r="C746" s="21" t="str">
        <x:v>stage build</x:v>
      </x:c>
      <x:c r="D746" s="21" t="str">
        <x:v>targeted additions nonnegative row 130</x:v>
      </x:c>
      <x:c r="E746" s="21" t="n">
        <x:f>IF(AND('Stage Build'!G130&gt;=0,'Stage Build'!H130&gt;=0),1,0)</x:f>
        <x:v>1</x:v>
      </x:c>
      <x:c r="F746" s="21" t="n">
        <x:v>1</x:v>
      </x:c>
      <x:c r="G746" s="23" t="str">
        <x:f>IF(E746=F746,"PASS","FAIL")</x:f>
        <x:v>PASS</x:v>
      </x:c>
    </x:row>
    <x:row r="747">
      <x:c r="B747" s="21" t="str">
        <x:v>C0741</x:v>
      </x:c>
      <x:c r="C747" s="21" t="str">
        <x:v>stage build</x:v>
      </x:c>
      <x:c r="D747" s="21" t="str">
        <x:v>pre-replication identity row 130</x:v>
      </x:c>
      <x:c r="E747" s="21" t="n">
        <x:f>IF(ABS('Stage Build'!I130-SUM('Stage Build'!F130:H130))&lt;0.000001,1,0)</x:f>
        <x:v>1</x:v>
      </x:c>
      <x:c r="F747" s="21" t="n">
        <x:v>1</x:v>
      </x:c>
      <x:c r="G747" s="23" t="str">
        <x:f>IF(E747=F747,"PASS","FAIL")</x:f>
        <x:v>PASS</x:v>
      </x:c>
    </x:row>
    <x:row r="748">
      <x:c r="B748" s="21" t="str">
        <x:v>C0742</x:v>
      </x:c>
      <x:c r="C748" s="21" t="str">
        <x:v>stage build</x:v>
      </x:c>
      <x:c r="D748" s="21" t="str">
        <x:v>replication layer nonnegative row 130</x:v>
      </x:c>
      <x:c r="E748" s="21" t="n">
        <x:f>IF('Stage Build'!J130&gt;=0,1,0)</x:f>
        <x:v>1</x:v>
      </x:c>
      <x:c r="F748" s="21" t="n">
        <x:v>1</x:v>
      </x:c>
      <x:c r="G748" s="23" t="str">
        <x:f>IF(E748=F748,"PASS","FAIL")</x:f>
        <x:v>PASS</x:v>
      </x:c>
    </x:row>
    <x:row r="749">
      <x:c r="B749" s="21" t="str">
        <x:v>C0743</x:v>
      </x:c>
      <x:c r="C749" s="21" t="str">
        <x:v>stage build</x:v>
      </x:c>
      <x:c r="D749" s="21" t="str">
        <x:v>designed ratio identity row 130</x:v>
      </x:c>
      <x:c r="E749" s="21" t="n">
        <x:f>IF(ABS('Stage Build'!K130-'Stage Build'!I130-'Stage Build'!J130)&lt;0.000001,1,0)</x:f>
        <x:v>1</x:v>
      </x:c>
      <x:c r="F749" s="21" t="n">
        <x:v>1</x:v>
      </x:c>
      <x:c r="G749" s="23" t="str">
        <x:f>IF(E749=F749,"PASS","FAIL")</x:f>
        <x:v>PASS</x:v>
      </x:c>
    </x:row>
    <x:row r="750">
      <x:c r="B750" s="21" t="str">
        <x:v>C0744</x:v>
      </x:c>
      <x:c r="C750" s="21" t="str">
        <x:v>stage build</x:v>
      </x:c>
      <x:c r="D750" s="21" t="str">
        <x:v>M05 status identity row 130</x:v>
      </x:c>
      <x:c r="E750" s="21" t="n">
        <x:f>IF('Stage Build'!L130=IF('Stage Build'!K130&gt;=Assumptions!$C$9,"ADEQUATE","GAP"),1,0)</x:f>
        <x:v>1</x:v>
      </x:c>
      <x:c r="F750" s="21" t="n">
        <x:v>1</x:v>
      </x:c>
      <x:c r="G750" s="23" t="str">
        <x:f>IF(E750=F750,"PASS","FAIL")</x:f>
        <x:v>PASS</x:v>
      </x:c>
    </x:row>
    <x:row r="751">
      <x:c r="B751" s="21" t="str">
        <x:v>C0745</x:v>
      </x:c>
      <x:c r="C751" s="21" t="str">
        <x:v>stage build</x:v>
      </x:c>
      <x:c r="D751" s="21" t="str">
        <x:v>baseline nonnegative row 131</x:v>
      </x:c>
      <x:c r="E751" s="21" t="n">
        <x:f>IF('Stage Build'!F131&gt;=0,1,0)</x:f>
        <x:v>1</x:v>
      </x:c>
      <x:c r="F751" s="21" t="n">
        <x:v>1</x:v>
      </x:c>
      <x:c r="G751" s="23" t="str">
        <x:f>IF(E751=F751,"PASS","FAIL")</x:f>
        <x:v>PASS</x:v>
      </x:c>
    </x:row>
    <x:row r="752">
      <x:c r="B752" s="21" t="str">
        <x:v>C0746</x:v>
      </x:c>
      <x:c r="C752" s="21" t="str">
        <x:v>stage build</x:v>
      </x:c>
      <x:c r="D752" s="21" t="str">
        <x:v>targeted additions nonnegative row 131</x:v>
      </x:c>
      <x:c r="E752" s="21" t="n">
        <x:f>IF(AND('Stage Build'!G131&gt;=0,'Stage Build'!H131&gt;=0),1,0)</x:f>
        <x:v>1</x:v>
      </x:c>
      <x:c r="F752" s="21" t="n">
        <x:v>1</x:v>
      </x:c>
      <x:c r="G752" s="23" t="str">
        <x:f>IF(E752=F752,"PASS","FAIL")</x:f>
        <x:v>PASS</x:v>
      </x:c>
    </x:row>
    <x:row r="753">
      <x:c r="B753" s="21" t="str">
        <x:v>C0747</x:v>
      </x:c>
      <x:c r="C753" s="21" t="str">
        <x:v>stage build</x:v>
      </x:c>
      <x:c r="D753" s="21" t="str">
        <x:v>pre-replication identity row 131</x:v>
      </x:c>
      <x:c r="E753" s="21" t="n">
        <x:f>IF(ABS('Stage Build'!I131-SUM('Stage Build'!F131:H131))&lt;0.000001,1,0)</x:f>
        <x:v>1</x:v>
      </x:c>
      <x:c r="F753" s="21" t="n">
        <x:v>1</x:v>
      </x:c>
      <x:c r="G753" s="23" t="str">
        <x:f>IF(E753=F753,"PASS","FAIL")</x:f>
        <x:v>PASS</x:v>
      </x:c>
    </x:row>
    <x:row r="754">
      <x:c r="B754" s="21" t="str">
        <x:v>C0748</x:v>
      </x:c>
      <x:c r="C754" s="21" t="str">
        <x:v>stage build</x:v>
      </x:c>
      <x:c r="D754" s="21" t="str">
        <x:v>replication layer nonnegative row 131</x:v>
      </x:c>
      <x:c r="E754" s="21" t="n">
        <x:f>IF('Stage Build'!J131&gt;=0,1,0)</x:f>
        <x:v>1</x:v>
      </x:c>
      <x:c r="F754" s="21" t="n">
        <x:v>1</x:v>
      </x:c>
      <x:c r="G754" s="23" t="str">
        <x:f>IF(E754=F754,"PASS","FAIL")</x:f>
        <x:v>PASS</x:v>
      </x:c>
    </x:row>
    <x:row r="755">
      <x:c r="B755" s="21" t="str">
        <x:v>C0749</x:v>
      </x:c>
      <x:c r="C755" s="21" t="str">
        <x:v>stage build</x:v>
      </x:c>
      <x:c r="D755" s="21" t="str">
        <x:v>designed ratio identity row 131</x:v>
      </x:c>
      <x:c r="E755" s="21" t="n">
        <x:f>IF(ABS('Stage Build'!K131-'Stage Build'!I131-'Stage Build'!J131)&lt;0.000001,1,0)</x:f>
        <x:v>1</x:v>
      </x:c>
      <x:c r="F755" s="21" t="n">
        <x:v>1</x:v>
      </x:c>
      <x:c r="G755" s="23" t="str">
        <x:f>IF(E755=F755,"PASS","FAIL")</x:f>
        <x:v>PASS</x:v>
      </x:c>
    </x:row>
    <x:row r="756">
      <x:c r="B756" s="21" t="str">
        <x:v>C0750</x:v>
      </x:c>
      <x:c r="C756" s="21" t="str">
        <x:v>stage build</x:v>
      </x:c>
      <x:c r="D756" s="21" t="str">
        <x:v>M05 status identity row 131</x:v>
      </x:c>
      <x:c r="E756" s="21" t="n">
        <x:f>IF('Stage Build'!L131=IF('Stage Build'!K131&gt;=Assumptions!$C$9,"ADEQUATE","GAP"),1,0)</x:f>
        <x:v>1</x:v>
      </x:c>
      <x:c r="F756" s="21" t="n">
        <x:v>1</x:v>
      </x:c>
      <x:c r="G756" s="23" t="str">
        <x:f>IF(E756=F756,"PASS","FAIL")</x:f>
        <x:v>PASS</x:v>
      </x:c>
    </x:row>
    <x:row r="757">
      <x:c r="B757" s="21" t="str">
        <x:v>C0751</x:v>
      </x:c>
      <x:c r="C757" s="21" t="str">
        <x:v>stage build</x:v>
      </x:c>
      <x:c r="D757" s="21" t="str">
        <x:v>baseline nonnegative row 132</x:v>
      </x:c>
      <x:c r="E757" s="21" t="n">
        <x:f>IF('Stage Build'!F132&gt;=0,1,0)</x:f>
        <x:v>1</x:v>
      </x:c>
      <x:c r="F757" s="21" t="n">
        <x:v>1</x:v>
      </x:c>
      <x:c r="G757" s="23" t="str">
        <x:f>IF(E757=F757,"PASS","FAIL")</x:f>
        <x:v>PASS</x:v>
      </x:c>
    </x:row>
    <x:row r="758">
      <x:c r="B758" s="21" t="str">
        <x:v>C0752</x:v>
      </x:c>
      <x:c r="C758" s="21" t="str">
        <x:v>stage build</x:v>
      </x:c>
      <x:c r="D758" s="21" t="str">
        <x:v>targeted additions nonnegative row 132</x:v>
      </x:c>
      <x:c r="E758" s="21" t="n">
        <x:f>IF(AND('Stage Build'!G132&gt;=0,'Stage Build'!H132&gt;=0),1,0)</x:f>
        <x:v>1</x:v>
      </x:c>
      <x:c r="F758" s="21" t="n">
        <x:v>1</x:v>
      </x:c>
      <x:c r="G758" s="23" t="str">
        <x:f>IF(E758=F758,"PASS","FAIL")</x:f>
        <x:v>PASS</x:v>
      </x:c>
    </x:row>
    <x:row r="759">
      <x:c r="B759" s="21" t="str">
        <x:v>C0753</x:v>
      </x:c>
      <x:c r="C759" s="21" t="str">
        <x:v>stage build</x:v>
      </x:c>
      <x:c r="D759" s="21" t="str">
        <x:v>pre-replication identity row 132</x:v>
      </x:c>
      <x:c r="E759" s="21" t="n">
        <x:f>IF(ABS('Stage Build'!I132-SUM('Stage Build'!F132:H132))&lt;0.000001,1,0)</x:f>
        <x:v>1</x:v>
      </x:c>
      <x:c r="F759" s="21" t="n">
        <x:v>1</x:v>
      </x:c>
      <x:c r="G759" s="23" t="str">
        <x:f>IF(E759=F759,"PASS","FAIL")</x:f>
        <x:v>PASS</x:v>
      </x:c>
    </x:row>
    <x:row r="760">
      <x:c r="B760" s="21" t="str">
        <x:v>C0754</x:v>
      </x:c>
      <x:c r="C760" s="21" t="str">
        <x:v>stage build</x:v>
      </x:c>
      <x:c r="D760" s="21" t="str">
        <x:v>replication layer nonnegative row 132</x:v>
      </x:c>
      <x:c r="E760" s="21" t="n">
        <x:f>IF('Stage Build'!J132&gt;=0,1,0)</x:f>
        <x:v>1</x:v>
      </x:c>
      <x:c r="F760" s="21" t="n">
        <x:v>1</x:v>
      </x:c>
      <x:c r="G760" s="23" t="str">
        <x:f>IF(E760=F760,"PASS","FAIL")</x:f>
        <x:v>PASS</x:v>
      </x:c>
    </x:row>
    <x:row r="761">
      <x:c r="B761" s="21" t="str">
        <x:v>C0755</x:v>
      </x:c>
      <x:c r="C761" s="21" t="str">
        <x:v>stage build</x:v>
      </x:c>
      <x:c r="D761" s="21" t="str">
        <x:v>designed ratio identity row 132</x:v>
      </x:c>
      <x:c r="E761" s="21" t="n">
        <x:f>IF(ABS('Stage Build'!K132-'Stage Build'!I132-'Stage Build'!J132)&lt;0.000001,1,0)</x:f>
        <x:v>1</x:v>
      </x:c>
      <x:c r="F761" s="21" t="n">
        <x:v>1</x:v>
      </x:c>
      <x:c r="G761" s="23" t="str">
        <x:f>IF(E761=F761,"PASS","FAIL")</x:f>
        <x:v>PASS</x:v>
      </x:c>
    </x:row>
    <x:row r="762">
      <x:c r="B762" s="21" t="str">
        <x:v>C0756</x:v>
      </x:c>
      <x:c r="C762" s="21" t="str">
        <x:v>stage build</x:v>
      </x:c>
      <x:c r="D762" s="21" t="str">
        <x:v>M05 status identity row 132</x:v>
      </x:c>
      <x:c r="E762" s="21" t="n">
        <x:f>IF('Stage Build'!L132=IF('Stage Build'!K132&gt;=Assumptions!$C$9,"ADEQUATE","GAP"),1,0)</x:f>
        <x:v>1</x:v>
      </x:c>
      <x:c r="F762" s="21" t="n">
        <x:v>1</x:v>
      </x:c>
      <x:c r="G762" s="23" t="str">
        <x:f>IF(E762=F762,"PASS","FAIL")</x:f>
        <x:v>PASS</x:v>
      </x:c>
    </x:row>
    <x:row r="763">
      <x:c r="B763" s="21" t="str">
        <x:v>C0757</x:v>
      </x:c>
      <x:c r="C763" s="21" t="str">
        <x:v>stage build</x:v>
      </x:c>
      <x:c r="D763" s="21" t="str">
        <x:v>baseline nonnegative row 133</x:v>
      </x:c>
      <x:c r="E763" s="21" t="n">
        <x:f>IF('Stage Build'!F133&gt;=0,1,0)</x:f>
        <x:v>1</x:v>
      </x:c>
      <x:c r="F763" s="21" t="n">
        <x:v>1</x:v>
      </x:c>
      <x:c r="G763" s="23" t="str">
        <x:f>IF(E763=F763,"PASS","FAIL")</x:f>
        <x:v>PASS</x:v>
      </x:c>
    </x:row>
    <x:row r="764">
      <x:c r="B764" s="21" t="str">
        <x:v>C0758</x:v>
      </x:c>
      <x:c r="C764" s="21" t="str">
        <x:v>stage build</x:v>
      </x:c>
      <x:c r="D764" s="21" t="str">
        <x:v>targeted additions nonnegative row 133</x:v>
      </x:c>
      <x:c r="E764" s="21" t="n">
        <x:f>IF(AND('Stage Build'!G133&gt;=0,'Stage Build'!H133&gt;=0),1,0)</x:f>
        <x:v>1</x:v>
      </x:c>
      <x:c r="F764" s="21" t="n">
        <x:v>1</x:v>
      </x:c>
      <x:c r="G764" s="23" t="str">
        <x:f>IF(E764=F764,"PASS","FAIL")</x:f>
        <x:v>PASS</x:v>
      </x:c>
    </x:row>
    <x:row r="765">
      <x:c r="B765" s="21" t="str">
        <x:v>C0759</x:v>
      </x:c>
      <x:c r="C765" s="21" t="str">
        <x:v>stage build</x:v>
      </x:c>
      <x:c r="D765" s="21" t="str">
        <x:v>pre-replication identity row 133</x:v>
      </x:c>
      <x:c r="E765" s="21" t="n">
        <x:f>IF(ABS('Stage Build'!I133-SUM('Stage Build'!F133:H133))&lt;0.000001,1,0)</x:f>
        <x:v>1</x:v>
      </x:c>
      <x:c r="F765" s="21" t="n">
        <x:v>1</x:v>
      </x:c>
      <x:c r="G765" s="23" t="str">
        <x:f>IF(E765=F765,"PASS","FAIL")</x:f>
        <x:v>PASS</x:v>
      </x:c>
    </x:row>
    <x:row r="766">
      <x:c r="B766" s="21" t="str">
        <x:v>C0760</x:v>
      </x:c>
      <x:c r="C766" s="21" t="str">
        <x:v>stage build</x:v>
      </x:c>
      <x:c r="D766" s="21" t="str">
        <x:v>replication layer nonnegative row 133</x:v>
      </x:c>
      <x:c r="E766" s="21" t="n">
        <x:f>IF('Stage Build'!J133&gt;=0,1,0)</x:f>
        <x:v>1</x:v>
      </x:c>
      <x:c r="F766" s="21" t="n">
        <x:v>1</x:v>
      </x:c>
      <x:c r="G766" s="23" t="str">
        <x:f>IF(E766=F766,"PASS","FAIL")</x:f>
        <x:v>PASS</x:v>
      </x:c>
    </x:row>
    <x:row r="767">
      <x:c r="B767" s="21" t="str">
        <x:v>C0761</x:v>
      </x:c>
      <x:c r="C767" s="21" t="str">
        <x:v>stage build</x:v>
      </x:c>
      <x:c r="D767" s="21" t="str">
        <x:v>designed ratio identity row 133</x:v>
      </x:c>
      <x:c r="E767" s="21" t="n">
        <x:f>IF(ABS('Stage Build'!K133-'Stage Build'!I133-'Stage Build'!J133)&lt;0.000001,1,0)</x:f>
        <x:v>1</x:v>
      </x:c>
      <x:c r="F767" s="21" t="n">
        <x:v>1</x:v>
      </x:c>
      <x:c r="G767" s="23" t="str">
        <x:f>IF(E767=F767,"PASS","FAIL")</x:f>
        <x:v>PASS</x:v>
      </x:c>
    </x:row>
    <x:row r="768">
      <x:c r="B768" s="21" t="str">
        <x:v>C0762</x:v>
      </x:c>
      <x:c r="C768" s="21" t="str">
        <x:v>stage build</x:v>
      </x:c>
      <x:c r="D768" s="21" t="str">
        <x:v>M05 status identity row 133</x:v>
      </x:c>
      <x:c r="E768" s="21" t="n">
        <x:f>IF('Stage Build'!L133=IF('Stage Build'!K133&gt;=Assumptions!$C$9,"ADEQUATE","GAP"),1,0)</x:f>
        <x:v>1</x:v>
      </x:c>
      <x:c r="F768" s="21" t="n">
        <x:v>1</x:v>
      </x:c>
      <x:c r="G768" s="23" t="str">
        <x:f>IF(E768=F768,"PASS","FAIL")</x:f>
        <x:v>PASS</x:v>
      </x:c>
    </x:row>
    <x:row r="769">
      <x:c r="B769" s="21" t="str">
        <x:v>C0763</x:v>
      </x:c>
      <x:c r="C769" s="21" t="str">
        <x:v>stage build</x:v>
      </x:c>
      <x:c r="D769" s="21" t="str">
        <x:v>baseline nonnegative row 134</x:v>
      </x:c>
      <x:c r="E769" s="21" t="n">
        <x:f>IF('Stage Build'!F134&gt;=0,1,0)</x:f>
        <x:v>1</x:v>
      </x:c>
      <x:c r="F769" s="21" t="n">
        <x:v>1</x:v>
      </x:c>
      <x:c r="G769" s="23" t="str">
        <x:f>IF(E769=F769,"PASS","FAIL")</x:f>
        <x:v>PASS</x:v>
      </x:c>
    </x:row>
    <x:row r="770">
      <x:c r="B770" s="21" t="str">
        <x:v>C0764</x:v>
      </x:c>
      <x:c r="C770" s="21" t="str">
        <x:v>stage build</x:v>
      </x:c>
      <x:c r="D770" s="21" t="str">
        <x:v>targeted additions nonnegative row 134</x:v>
      </x:c>
      <x:c r="E770" s="21" t="n">
        <x:f>IF(AND('Stage Build'!G134&gt;=0,'Stage Build'!H134&gt;=0),1,0)</x:f>
        <x:v>1</x:v>
      </x:c>
      <x:c r="F770" s="21" t="n">
        <x:v>1</x:v>
      </x:c>
      <x:c r="G770" s="23" t="str">
        <x:f>IF(E770=F770,"PASS","FAIL")</x:f>
        <x:v>PASS</x:v>
      </x:c>
    </x:row>
    <x:row r="771">
      <x:c r="B771" s="21" t="str">
        <x:v>C0765</x:v>
      </x:c>
      <x:c r="C771" s="21" t="str">
        <x:v>stage build</x:v>
      </x:c>
      <x:c r="D771" s="21" t="str">
        <x:v>pre-replication identity row 134</x:v>
      </x:c>
      <x:c r="E771" s="21" t="n">
        <x:f>IF(ABS('Stage Build'!I134-SUM('Stage Build'!F134:H134))&lt;0.000001,1,0)</x:f>
        <x:v>1</x:v>
      </x:c>
      <x:c r="F771" s="21" t="n">
        <x:v>1</x:v>
      </x:c>
      <x:c r="G771" s="23" t="str">
        <x:f>IF(E771=F771,"PASS","FAIL")</x:f>
        <x:v>PASS</x:v>
      </x:c>
    </x:row>
    <x:row r="772">
      <x:c r="B772" s="21" t="str">
        <x:v>C0766</x:v>
      </x:c>
      <x:c r="C772" s="21" t="str">
        <x:v>stage build</x:v>
      </x:c>
      <x:c r="D772" s="21" t="str">
        <x:v>replication layer nonnegative row 134</x:v>
      </x:c>
      <x:c r="E772" s="21" t="n">
        <x:f>IF('Stage Build'!J134&gt;=0,1,0)</x:f>
        <x:v>1</x:v>
      </x:c>
      <x:c r="F772" s="21" t="n">
        <x:v>1</x:v>
      </x:c>
      <x:c r="G772" s="23" t="str">
        <x:f>IF(E772=F772,"PASS","FAIL")</x:f>
        <x:v>PASS</x:v>
      </x:c>
    </x:row>
    <x:row r="773">
      <x:c r="B773" s="21" t="str">
        <x:v>C0767</x:v>
      </x:c>
      <x:c r="C773" s="21" t="str">
        <x:v>stage build</x:v>
      </x:c>
      <x:c r="D773" s="21" t="str">
        <x:v>designed ratio identity row 134</x:v>
      </x:c>
      <x:c r="E773" s="21" t="n">
        <x:f>IF(ABS('Stage Build'!K134-'Stage Build'!I134-'Stage Build'!J134)&lt;0.000001,1,0)</x:f>
        <x:v>1</x:v>
      </x:c>
      <x:c r="F773" s="21" t="n">
        <x:v>1</x:v>
      </x:c>
      <x:c r="G773" s="23" t="str">
        <x:f>IF(E773=F773,"PASS","FAIL")</x:f>
        <x:v>PASS</x:v>
      </x:c>
    </x:row>
    <x:row r="774">
      <x:c r="B774" s="21" t="str">
        <x:v>C0768</x:v>
      </x:c>
      <x:c r="C774" s="21" t="str">
        <x:v>stage build</x:v>
      </x:c>
      <x:c r="D774" s="21" t="str">
        <x:v>M05 status identity row 134</x:v>
      </x:c>
      <x:c r="E774" s="21" t="n">
        <x:f>IF('Stage Build'!L134=IF('Stage Build'!K134&gt;=Assumptions!$C$9,"ADEQUATE","GAP"),1,0)</x:f>
        <x:v>1</x:v>
      </x:c>
      <x:c r="F774" s="21" t="n">
        <x:v>1</x:v>
      </x:c>
      <x:c r="G774" s="23" t="str">
        <x:f>IF(E774=F774,"PASS","FAIL")</x:f>
        <x:v>PASS</x:v>
      </x:c>
    </x:row>
    <x:row r="775">
      <x:c r="B775" s="21" t="str">
        <x:v>C0769</x:v>
      </x:c>
      <x:c r="C775" s="21" t="str">
        <x:v>stage build</x:v>
      </x:c>
      <x:c r="D775" s="21" t="str">
        <x:v>baseline nonnegative row 135</x:v>
      </x:c>
      <x:c r="E775" s="21" t="n">
        <x:f>IF('Stage Build'!F135&gt;=0,1,0)</x:f>
        <x:v>1</x:v>
      </x:c>
      <x:c r="F775" s="21" t="n">
        <x:v>1</x:v>
      </x:c>
      <x:c r="G775" s="23" t="str">
        <x:f>IF(E775=F775,"PASS","FAIL")</x:f>
        <x:v>PASS</x:v>
      </x:c>
    </x:row>
    <x:row r="776">
      <x:c r="B776" s="21" t="str">
        <x:v>C0770</x:v>
      </x:c>
      <x:c r="C776" s="21" t="str">
        <x:v>stage build</x:v>
      </x:c>
      <x:c r="D776" s="21" t="str">
        <x:v>targeted additions nonnegative row 135</x:v>
      </x:c>
      <x:c r="E776" s="21" t="n">
        <x:f>IF(AND('Stage Build'!G135&gt;=0,'Stage Build'!H135&gt;=0),1,0)</x:f>
        <x:v>1</x:v>
      </x:c>
      <x:c r="F776" s="21" t="n">
        <x:v>1</x:v>
      </x:c>
      <x:c r="G776" s="23" t="str">
        <x:f>IF(E776=F776,"PASS","FAIL")</x:f>
        <x:v>PASS</x:v>
      </x:c>
    </x:row>
    <x:row r="777">
      <x:c r="B777" s="21" t="str">
        <x:v>C0771</x:v>
      </x:c>
      <x:c r="C777" s="21" t="str">
        <x:v>stage build</x:v>
      </x:c>
      <x:c r="D777" s="21" t="str">
        <x:v>pre-replication identity row 135</x:v>
      </x:c>
      <x:c r="E777" s="21" t="n">
        <x:f>IF(ABS('Stage Build'!I135-SUM('Stage Build'!F135:H135))&lt;0.000001,1,0)</x:f>
        <x:v>1</x:v>
      </x:c>
      <x:c r="F777" s="21" t="n">
        <x:v>1</x:v>
      </x:c>
      <x:c r="G777" s="23" t="str">
        <x:f>IF(E777=F777,"PASS","FAIL")</x:f>
        <x:v>PASS</x:v>
      </x:c>
    </x:row>
    <x:row r="778">
      <x:c r="B778" s="21" t="str">
        <x:v>C0772</x:v>
      </x:c>
      <x:c r="C778" s="21" t="str">
        <x:v>stage build</x:v>
      </x:c>
      <x:c r="D778" s="21" t="str">
        <x:v>replication layer nonnegative row 135</x:v>
      </x:c>
      <x:c r="E778" s="21" t="n">
        <x:f>IF('Stage Build'!J135&gt;=0,1,0)</x:f>
        <x:v>1</x:v>
      </x:c>
      <x:c r="F778" s="21" t="n">
        <x:v>1</x:v>
      </x:c>
      <x:c r="G778" s="23" t="str">
        <x:f>IF(E778=F778,"PASS","FAIL")</x:f>
        <x:v>PASS</x:v>
      </x:c>
    </x:row>
    <x:row r="779">
      <x:c r="B779" s="21" t="str">
        <x:v>C0773</x:v>
      </x:c>
      <x:c r="C779" s="21" t="str">
        <x:v>stage build</x:v>
      </x:c>
      <x:c r="D779" s="21" t="str">
        <x:v>designed ratio identity row 135</x:v>
      </x:c>
      <x:c r="E779" s="21" t="n">
        <x:f>IF(ABS('Stage Build'!K135-'Stage Build'!I135-'Stage Build'!J135)&lt;0.000001,1,0)</x:f>
        <x:v>1</x:v>
      </x:c>
      <x:c r="F779" s="21" t="n">
        <x:v>1</x:v>
      </x:c>
      <x:c r="G779" s="23" t="str">
        <x:f>IF(E779=F779,"PASS","FAIL")</x:f>
        <x:v>PASS</x:v>
      </x:c>
    </x:row>
    <x:row r="780">
      <x:c r="B780" s="21" t="str">
        <x:v>C0774</x:v>
      </x:c>
      <x:c r="C780" s="21" t="str">
        <x:v>stage build</x:v>
      </x:c>
      <x:c r="D780" s="21" t="str">
        <x:v>M05 status identity row 135</x:v>
      </x:c>
      <x:c r="E780" s="21" t="n">
        <x:f>IF('Stage Build'!L135=IF('Stage Build'!K135&gt;=Assumptions!$C$9,"ADEQUATE","GAP"),1,0)</x:f>
        <x:v>1</x:v>
      </x:c>
      <x:c r="F780" s="21" t="n">
        <x:v>1</x:v>
      </x:c>
      <x:c r="G780" s="23" t="str">
        <x:f>IF(E780=F780,"PASS","FAIL")</x:f>
        <x:v>PASS</x:v>
      </x:c>
    </x:row>
    <x:row r="781">
      <x:c r="B781" s="21" t="str">
        <x:v>C0775</x:v>
      </x:c>
      <x:c r="C781" s="21" t="str">
        <x:v>stage build</x:v>
      </x:c>
      <x:c r="D781" s="21" t="str">
        <x:v>baseline nonnegative row 136</x:v>
      </x:c>
      <x:c r="E781" s="21" t="n">
        <x:f>IF('Stage Build'!F136&gt;=0,1,0)</x:f>
        <x:v>1</x:v>
      </x:c>
      <x:c r="F781" s="21" t="n">
        <x:v>1</x:v>
      </x:c>
      <x:c r="G781" s="23" t="str">
        <x:f>IF(E781=F781,"PASS","FAIL")</x:f>
        <x:v>PASS</x:v>
      </x:c>
    </x:row>
    <x:row r="782">
      <x:c r="B782" s="21" t="str">
        <x:v>C0776</x:v>
      </x:c>
      <x:c r="C782" s="21" t="str">
        <x:v>stage build</x:v>
      </x:c>
      <x:c r="D782" s="21" t="str">
        <x:v>targeted additions nonnegative row 136</x:v>
      </x:c>
      <x:c r="E782" s="21" t="n">
        <x:f>IF(AND('Stage Build'!G136&gt;=0,'Stage Build'!H136&gt;=0),1,0)</x:f>
        <x:v>1</x:v>
      </x:c>
      <x:c r="F782" s="21" t="n">
        <x:v>1</x:v>
      </x:c>
      <x:c r="G782" s="23" t="str">
        <x:f>IF(E782=F782,"PASS","FAIL")</x:f>
        <x:v>PASS</x:v>
      </x:c>
    </x:row>
    <x:row r="783">
      <x:c r="B783" s="21" t="str">
        <x:v>C0777</x:v>
      </x:c>
      <x:c r="C783" s="21" t="str">
        <x:v>stage build</x:v>
      </x:c>
      <x:c r="D783" s="21" t="str">
        <x:v>pre-replication identity row 136</x:v>
      </x:c>
      <x:c r="E783" s="21" t="n">
        <x:f>IF(ABS('Stage Build'!I136-SUM('Stage Build'!F136:H136))&lt;0.000001,1,0)</x:f>
        <x:v>1</x:v>
      </x:c>
      <x:c r="F783" s="21" t="n">
        <x:v>1</x:v>
      </x:c>
      <x:c r="G783" s="23" t="str">
        <x:f>IF(E783=F783,"PASS","FAIL")</x:f>
        <x:v>PASS</x:v>
      </x:c>
    </x:row>
    <x:row r="784">
      <x:c r="B784" s="21" t="str">
        <x:v>C0778</x:v>
      </x:c>
      <x:c r="C784" s="21" t="str">
        <x:v>stage build</x:v>
      </x:c>
      <x:c r="D784" s="21" t="str">
        <x:v>replication layer nonnegative row 136</x:v>
      </x:c>
      <x:c r="E784" s="21" t="n">
        <x:f>IF('Stage Build'!J136&gt;=0,1,0)</x:f>
        <x:v>1</x:v>
      </x:c>
      <x:c r="F784" s="21" t="n">
        <x:v>1</x:v>
      </x:c>
      <x:c r="G784" s="23" t="str">
        <x:f>IF(E784=F784,"PASS","FAIL")</x:f>
        <x:v>PASS</x:v>
      </x:c>
    </x:row>
    <x:row r="785">
      <x:c r="B785" s="21" t="str">
        <x:v>C0779</x:v>
      </x:c>
      <x:c r="C785" s="21" t="str">
        <x:v>stage build</x:v>
      </x:c>
      <x:c r="D785" s="21" t="str">
        <x:v>designed ratio identity row 136</x:v>
      </x:c>
      <x:c r="E785" s="21" t="n">
        <x:f>IF(ABS('Stage Build'!K136-'Stage Build'!I136-'Stage Build'!J136)&lt;0.000001,1,0)</x:f>
        <x:v>1</x:v>
      </x:c>
      <x:c r="F785" s="21" t="n">
        <x:v>1</x:v>
      </x:c>
      <x:c r="G785" s="23" t="str">
        <x:f>IF(E785=F785,"PASS","FAIL")</x:f>
        <x:v>PASS</x:v>
      </x:c>
    </x:row>
    <x:row r="786">
      <x:c r="B786" s="21" t="str">
        <x:v>C0780</x:v>
      </x:c>
      <x:c r="C786" s="21" t="str">
        <x:v>stage build</x:v>
      </x:c>
      <x:c r="D786" s="21" t="str">
        <x:v>M05 status identity row 136</x:v>
      </x:c>
      <x:c r="E786" s="21" t="n">
        <x:f>IF('Stage Build'!L136=IF('Stage Build'!K136&gt;=Assumptions!$C$9,"ADEQUATE","GAP"),1,0)</x:f>
        <x:v>1</x:v>
      </x:c>
      <x:c r="F786" s="21" t="n">
        <x:v>1</x:v>
      </x:c>
      <x:c r="G786" s="23" t="str">
        <x:f>IF(E786=F786,"PASS","FAIL")</x:f>
        <x:v>PASS</x:v>
      </x:c>
    </x:row>
    <x:row r="787">
      <x:c r="B787" s="21" t="str">
        <x:v>C0781</x:v>
      </x:c>
      <x:c r="C787" s="21" t="str">
        <x:v>stage build</x:v>
      </x:c>
      <x:c r="D787" s="21" t="str">
        <x:v>baseline nonnegative row 137</x:v>
      </x:c>
      <x:c r="E787" s="21" t="n">
        <x:f>IF('Stage Build'!F137&gt;=0,1,0)</x:f>
        <x:v>1</x:v>
      </x:c>
      <x:c r="F787" s="21" t="n">
        <x:v>1</x:v>
      </x:c>
      <x:c r="G787" s="23" t="str">
        <x:f>IF(E787=F787,"PASS","FAIL")</x:f>
        <x:v>PASS</x:v>
      </x:c>
    </x:row>
    <x:row r="788">
      <x:c r="B788" s="21" t="str">
        <x:v>C0782</x:v>
      </x:c>
      <x:c r="C788" s="21" t="str">
        <x:v>stage build</x:v>
      </x:c>
      <x:c r="D788" s="21" t="str">
        <x:v>targeted additions nonnegative row 137</x:v>
      </x:c>
      <x:c r="E788" s="21" t="n">
        <x:f>IF(AND('Stage Build'!G137&gt;=0,'Stage Build'!H137&gt;=0),1,0)</x:f>
        <x:v>1</x:v>
      </x:c>
      <x:c r="F788" s="21" t="n">
        <x:v>1</x:v>
      </x:c>
      <x:c r="G788" s="23" t="str">
        <x:f>IF(E788=F788,"PASS","FAIL")</x:f>
        <x:v>PASS</x:v>
      </x:c>
    </x:row>
    <x:row r="789">
      <x:c r="B789" s="21" t="str">
        <x:v>C0783</x:v>
      </x:c>
      <x:c r="C789" s="21" t="str">
        <x:v>stage build</x:v>
      </x:c>
      <x:c r="D789" s="21" t="str">
        <x:v>pre-replication identity row 137</x:v>
      </x:c>
      <x:c r="E789" s="21" t="n">
        <x:f>IF(ABS('Stage Build'!I137-SUM('Stage Build'!F137:H137))&lt;0.000001,1,0)</x:f>
        <x:v>1</x:v>
      </x:c>
      <x:c r="F789" s="21" t="n">
        <x:v>1</x:v>
      </x:c>
      <x:c r="G789" s="23" t="str">
        <x:f>IF(E789=F789,"PASS","FAIL")</x:f>
        <x:v>PASS</x:v>
      </x:c>
    </x:row>
    <x:row r="790">
      <x:c r="B790" s="21" t="str">
        <x:v>C0784</x:v>
      </x:c>
      <x:c r="C790" s="21" t="str">
        <x:v>stage build</x:v>
      </x:c>
      <x:c r="D790" s="21" t="str">
        <x:v>replication layer nonnegative row 137</x:v>
      </x:c>
      <x:c r="E790" s="21" t="n">
        <x:f>IF('Stage Build'!J137&gt;=0,1,0)</x:f>
        <x:v>1</x:v>
      </x:c>
      <x:c r="F790" s="21" t="n">
        <x:v>1</x:v>
      </x:c>
      <x:c r="G790" s="23" t="str">
        <x:f>IF(E790=F790,"PASS","FAIL")</x:f>
        <x:v>PASS</x:v>
      </x:c>
    </x:row>
    <x:row r="791">
      <x:c r="B791" s="21" t="str">
        <x:v>C0785</x:v>
      </x:c>
      <x:c r="C791" s="21" t="str">
        <x:v>stage build</x:v>
      </x:c>
      <x:c r="D791" s="21" t="str">
        <x:v>designed ratio identity row 137</x:v>
      </x:c>
      <x:c r="E791" s="21" t="n">
        <x:f>IF(ABS('Stage Build'!K137-'Stage Build'!I137-'Stage Build'!J137)&lt;0.000001,1,0)</x:f>
        <x:v>1</x:v>
      </x:c>
      <x:c r="F791" s="21" t="n">
        <x:v>1</x:v>
      </x:c>
      <x:c r="G791" s="23" t="str">
        <x:f>IF(E791=F791,"PASS","FAIL")</x:f>
        <x:v>PASS</x:v>
      </x:c>
    </x:row>
    <x:row r="792">
      <x:c r="B792" s="21" t="str">
        <x:v>C0786</x:v>
      </x:c>
      <x:c r="C792" s="21" t="str">
        <x:v>stage build</x:v>
      </x:c>
      <x:c r="D792" s="21" t="str">
        <x:v>M05 status identity row 137</x:v>
      </x:c>
      <x:c r="E792" s="21" t="n">
        <x:f>IF('Stage Build'!L137=IF('Stage Build'!K137&gt;=Assumptions!$C$9,"ADEQUATE","GAP"),1,0)</x:f>
        <x:v>1</x:v>
      </x:c>
      <x:c r="F792" s="21" t="n">
        <x:v>1</x:v>
      </x:c>
      <x:c r="G792" s="23" t="str">
        <x:f>IF(E792=F792,"PASS","FAIL")</x:f>
        <x:v>PASS</x:v>
      </x:c>
    </x:row>
    <x:row r="793">
      <x:c r="B793" s="21" t="str">
        <x:v>C0787</x:v>
      </x:c>
      <x:c r="C793" s="21" t="str">
        <x:v>stage build</x:v>
      </x:c>
      <x:c r="D793" s="21" t="str">
        <x:v>baseline nonnegative row 138</x:v>
      </x:c>
      <x:c r="E793" s="21" t="n">
        <x:f>IF('Stage Build'!F138&gt;=0,1,0)</x:f>
        <x:v>1</x:v>
      </x:c>
      <x:c r="F793" s="21" t="n">
        <x:v>1</x:v>
      </x:c>
      <x:c r="G793" s="23" t="str">
        <x:f>IF(E793=F793,"PASS","FAIL")</x:f>
        <x:v>PASS</x:v>
      </x:c>
    </x:row>
    <x:row r="794">
      <x:c r="B794" s="21" t="str">
        <x:v>C0788</x:v>
      </x:c>
      <x:c r="C794" s="21" t="str">
        <x:v>stage build</x:v>
      </x:c>
      <x:c r="D794" s="21" t="str">
        <x:v>targeted additions nonnegative row 138</x:v>
      </x:c>
      <x:c r="E794" s="21" t="n">
        <x:f>IF(AND('Stage Build'!G138&gt;=0,'Stage Build'!H138&gt;=0),1,0)</x:f>
        <x:v>1</x:v>
      </x:c>
      <x:c r="F794" s="21" t="n">
        <x:v>1</x:v>
      </x:c>
      <x:c r="G794" s="23" t="str">
        <x:f>IF(E794=F794,"PASS","FAIL")</x:f>
        <x:v>PASS</x:v>
      </x:c>
    </x:row>
    <x:row r="795">
      <x:c r="B795" s="21" t="str">
        <x:v>C0789</x:v>
      </x:c>
      <x:c r="C795" s="21" t="str">
        <x:v>stage build</x:v>
      </x:c>
      <x:c r="D795" s="21" t="str">
        <x:v>pre-replication identity row 138</x:v>
      </x:c>
      <x:c r="E795" s="21" t="n">
        <x:f>IF(ABS('Stage Build'!I138-SUM('Stage Build'!F138:H138))&lt;0.000001,1,0)</x:f>
        <x:v>1</x:v>
      </x:c>
      <x:c r="F795" s="21" t="n">
        <x:v>1</x:v>
      </x:c>
      <x:c r="G795" s="23" t="str">
        <x:f>IF(E795=F795,"PASS","FAIL")</x:f>
        <x:v>PASS</x:v>
      </x:c>
    </x:row>
    <x:row r="796">
      <x:c r="B796" s="21" t="str">
        <x:v>C0790</x:v>
      </x:c>
      <x:c r="C796" s="21" t="str">
        <x:v>stage build</x:v>
      </x:c>
      <x:c r="D796" s="21" t="str">
        <x:v>replication layer nonnegative row 138</x:v>
      </x:c>
      <x:c r="E796" s="21" t="n">
        <x:f>IF('Stage Build'!J138&gt;=0,1,0)</x:f>
        <x:v>1</x:v>
      </x:c>
      <x:c r="F796" s="21" t="n">
        <x:v>1</x:v>
      </x:c>
      <x:c r="G796" s="23" t="str">
        <x:f>IF(E796=F796,"PASS","FAIL")</x:f>
        <x:v>PASS</x:v>
      </x:c>
    </x:row>
    <x:row r="797">
      <x:c r="B797" s="21" t="str">
        <x:v>C0791</x:v>
      </x:c>
      <x:c r="C797" s="21" t="str">
        <x:v>stage build</x:v>
      </x:c>
      <x:c r="D797" s="21" t="str">
        <x:v>designed ratio identity row 138</x:v>
      </x:c>
      <x:c r="E797" s="21" t="n">
        <x:f>IF(ABS('Stage Build'!K138-'Stage Build'!I138-'Stage Build'!J138)&lt;0.000001,1,0)</x:f>
        <x:v>1</x:v>
      </x:c>
      <x:c r="F797" s="21" t="n">
        <x:v>1</x:v>
      </x:c>
      <x:c r="G797" s="23" t="str">
        <x:f>IF(E797=F797,"PASS","FAIL")</x:f>
        <x:v>PASS</x:v>
      </x:c>
    </x:row>
    <x:row r="798">
      <x:c r="B798" s="21" t="str">
        <x:v>C0792</x:v>
      </x:c>
      <x:c r="C798" s="21" t="str">
        <x:v>stage build</x:v>
      </x:c>
      <x:c r="D798" s="21" t="str">
        <x:v>M05 status identity row 138</x:v>
      </x:c>
      <x:c r="E798" s="21" t="n">
        <x:f>IF('Stage Build'!L138=IF('Stage Build'!K138&gt;=Assumptions!$C$9,"ADEQUATE","GAP"),1,0)</x:f>
        <x:v>1</x:v>
      </x:c>
      <x:c r="F798" s="21" t="n">
        <x:v>1</x:v>
      </x:c>
      <x:c r="G798" s="23" t="str">
        <x:f>IF(E798=F798,"PASS","FAIL")</x:f>
        <x:v>PASS</x:v>
      </x:c>
    </x:row>
    <x:row r="799">
      <x:c r="B799" s="21" t="str">
        <x:v>C0793</x:v>
      </x:c>
      <x:c r="C799" s="21" t="str">
        <x:v>stage build</x:v>
      </x:c>
      <x:c r="D799" s="21" t="str">
        <x:v>baseline nonnegative row 139</x:v>
      </x:c>
      <x:c r="E799" s="21" t="n">
        <x:f>IF('Stage Build'!F139&gt;=0,1,0)</x:f>
        <x:v>1</x:v>
      </x:c>
      <x:c r="F799" s="21" t="n">
        <x:v>1</x:v>
      </x:c>
      <x:c r="G799" s="23" t="str">
        <x:f>IF(E799=F799,"PASS","FAIL")</x:f>
        <x:v>PASS</x:v>
      </x:c>
    </x:row>
    <x:row r="800">
      <x:c r="B800" s="21" t="str">
        <x:v>C0794</x:v>
      </x:c>
      <x:c r="C800" s="21" t="str">
        <x:v>stage build</x:v>
      </x:c>
      <x:c r="D800" s="21" t="str">
        <x:v>targeted additions nonnegative row 139</x:v>
      </x:c>
      <x:c r="E800" s="21" t="n">
        <x:f>IF(AND('Stage Build'!G139&gt;=0,'Stage Build'!H139&gt;=0),1,0)</x:f>
        <x:v>1</x:v>
      </x:c>
      <x:c r="F800" s="21" t="n">
        <x:v>1</x:v>
      </x:c>
      <x:c r="G800" s="23" t="str">
        <x:f>IF(E800=F800,"PASS","FAIL")</x:f>
        <x:v>PASS</x:v>
      </x:c>
    </x:row>
    <x:row r="801">
      <x:c r="B801" s="21" t="str">
        <x:v>C0795</x:v>
      </x:c>
      <x:c r="C801" s="21" t="str">
        <x:v>stage build</x:v>
      </x:c>
      <x:c r="D801" s="21" t="str">
        <x:v>pre-replication identity row 139</x:v>
      </x:c>
      <x:c r="E801" s="21" t="n">
        <x:f>IF(ABS('Stage Build'!I139-SUM('Stage Build'!F139:H139))&lt;0.000001,1,0)</x:f>
        <x:v>1</x:v>
      </x:c>
      <x:c r="F801" s="21" t="n">
        <x:v>1</x:v>
      </x:c>
      <x:c r="G801" s="23" t="str">
        <x:f>IF(E801=F801,"PASS","FAIL")</x:f>
        <x:v>PASS</x:v>
      </x:c>
    </x:row>
    <x:row r="802">
      <x:c r="B802" s="21" t="str">
        <x:v>C0796</x:v>
      </x:c>
      <x:c r="C802" s="21" t="str">
        <x:v>stage build</x:v>
      </x:c>
      <x:c r="D802" s="21" t="str">
        <x:v>replication layer nonnegative row 139</x:v>
      </x:c>
      <x:c r="E802" s="21" t="n">
        <x:f>IF('Stage Build'!J139&gt;=0,1,0)</x:f>
        <x:v>1</x:v>
      </x:c>
      <x:c r="F802" s="21" t="n">
        <x:v>1</x:v>
      </x:c>
      <x:c r="G802" s="23" t="str">
        <x:f>IF(E802=F802,"PASS","FAIL")</x:f>
        <x:v>PASS</x:v>
      </x:c>
    </x:row>
    <x:row r="803">
      <x:c r="B803" s="21" t="str">
        <x:v>C0797</x:v>
      </x:c>
      <x:c r="C803" s="21" t="str">
        <x:v>stage build</x:v>
      </x:c>
      <x:c r="D803" s="21" t="str">
        <x:v>designed ratio identity row 139</x:v>
      </x:c>
      <x:c r="E803" s="21" t="n">
        <x:f>IF(ABS('Stage Build'!K139-'Stage Build'!I139-'Stage Build'!J139)&lt;0.000001,1,0)</x:f>
        <x:v>1</x:v>
      </x:c>
      <x:c r="F803" s="21" t="n">
        <x:v>1</x:v>
      </x:c>
      <x:c r="G803" s="23" t="str">
        <x:f>IF(E803=F803,"PASS","FAIL")</x:f>
        <x:v>PASS</x:v>
      </x:c>
    </x:row>
    <x:row r="804">
      <x:c r="B804" s="21" t="str">
        <x:v>C0798</x:v>
      </x:c>
      <x:c r="C804" s="21" t="str">
        <x:v>stage build</x:v>
      </x:c>
      <x:c r="D804" s="21" t="str">
        <x:v>M05 status identity row 139</x:v>
      </x:c>
      <x:c r="E804" s="21" t="n">
        <x:f>IF('Stage Build'!L139=IF('Stage Build'!K139&gt;=Assumptions!$C$9,"ADEQUATE","GAP"),1,0)</x:f>
        <x:v>1</x:v>
      </x:c>
      <x:c r="F804" s="21" t="n">
        <x:v>1</x:v>
      </x:c>
      <x:c r="G804" s="23" t="str">
        <x:f>IF(E804=F804,"PASS","FAIL")</x:f>
        <x:v>PASS</x:v>
      </x:c>
    </x:row>
    <x:row r="805">
      <x:c r="B805" s="21" t="str">
        <x:v>C0799</x:v>
      </x:c>
      <x:c r="C805" s="21" t="str">
        <x:v>stage build</x:v>
      </x:c>
      <x:c r="D805" s="21" t="str">
        <x:v>baseline nonnegative row 140</x:v>
      </x:c>
      <x:c r="E805" s="21" t="n">
        <x:f>IF('Stage Build'!F140&gt;=0,1,0)</x:f>
        <x:v>1</x:v>
      </x:c>
      <x:c r="F805" s="21" t="n">
        <x:v>1</x:v>
      </x:c>
      <x:c r="G805" s="23" t="str">
        <x:f>IF(E805=F805,"PASS","FAIL")</x:f>
        <x:v>PASS</x:v>
      </x:c>
    </x:row>
    <x:row r="806">
      <x:c r="B806" s="21" t="str">
        <x:v>C0800</x:v>
      </x:c>
      <x:c r="C806" s="21" t="str">
        <x:v>stage build</x:v>
      </x:c>
      <x:c r="D806" s="21" t="str">
        <x:v>targeted additions nonnegative row 140</x:v>
      </x:c>
      <x:c r="E806" s="21" t="n">
        <x:f>IF(AND('Stage Build'!G140&gt;=0,'Stage Build'!H140&gt;=0),1,0)</x:f>
        <x:v>1</x:v>
      </x:c>
      <x:c r="F806" s="21" t="n">
        <x:v>1</x:v>
      </x:c>
      <x:c r="G806" s="23" t="str">
        <x:f>IF(E806=F806,"PASS","FAIL")</x:f>
        <x:v>PASS</x:v>
      </x:c>
    </x:row>
    <x:row r="807">
      <x:c r="B807" s="21" t="str">
        <x:v>C0801</x:v>
      </x:c>
      <x:c r="C807" s="21" t="str">
        <x:v>stage build</x:v>
      </x:c>
      <x:c r="D807" s="21" t="str">
        <x:v>pre-replication identity row 140</x:v>
      </x:c>
      <x:c r="E807" s="21" t="n">
        <x:f>IF(ABS('Stage Build'!I140-SUM('Stage Build'!F140:H140))&lt;0.000001,1,0)</x:f>
        <x:v>1</x:v>
      </x:c>
      <x:c r="F807" s="21" t="n">
        <x:v>1</x:v>
      </x:c>
      <x:c r="G807" s="23" t="str">
        <x:f>IF(E807=F807,"PASS","FAIL")</x:f>
        <x:v>PASS</x:v>
      </x:c>
    </x:row>
    <x:row r="808">
      <x:c r="B808" s="21" t="str">
        <x:v>C0802</x:v>
      </x:c>
      <x:c r="C808" s="21" t="str">
        <x:v>stage build</x:v>
      </x:c>
      <x:c r="D808" s="21" t="str">
        <x:v>replication layer nonnegative row 140</x:v>
      </x:c>
      <x:c r="E808" s="21" t="n">
        <x:f>IF('Stage Build'!J140&gt;=0,1,0)</x:f>
        <x:v>1</x:v>
      </x:c>
      <x:c r="F808" s="21" t="n">
        <x:v>1</x:v>
      </x:c>
      <x:c r="G808" s="23" t="str">
        <x:f>IF(E808=F808,"PASS","FAIL")</x:f>
        <x:v>PASS</x:v>
      </x:c>
    </x:row>
    <x:row r="809">
      <x:c r="B809" s="21" t="str">
        <x:v>C0803</x:v>
      </x:c>
      <x:c r="C809" s="21" t="str">
        <x:v>stage build</x:v>
      </x:c>
      <x:c r="D809" s="21" t="str">
        <x:v>designed ratio identity row 140</x:v>
      </x:c>
      <x:c r="E809" s="21" t="n">
        <x:f>IF(ABS('Stage Build'!K140-'Stage Build'!I140-'Stage Build'!J140)&lt;0.000001,1,0)</x:f>
        <x:v>1</x:v>
      </x:c>
      <x:c r="F809" s="21" t="n">
        <x:v>1</x:v>
      </x:c>
      <x:c r="G809" s="23" t="str">
        <x:f>IF(E809=F809,"PASS","FAIL")</x:f>
        <x:v>PASS</x:v>
      </x:c>
    </x:row>
    <x:row r="810">
      <x:c r="B810" s="21" t="str">
        <x:v>C0804</x:v>
      </x:c>
      <x:c r="C810" s="21" t="str">
        <x:v>stage build</x:v>
      </x:c>
      <x:c r="D810" s="21" t="str">
        <x:v>M05 status identity row 140</x:v>
      </x:c>
      <x:c r="E810" s="21" t="n">
        <x:f>IF('Stage Build'!L140=IF('Stage Build'!K140&gt;=Assumptions!$C$9,"ADEQUATE","GAP"),1,0)</x:f>
        <x:v>1</x:v>
      </x:c>
      <x:c r="F810" s="21" t="n">
        <x:v>1</x:v>
      </x:c>
      <x:c r="G810" s="23" t="str">
        <x:f>IF(E810=F810,"PASS","FAIL")</x:f>
        <x:v>PASS</x:v>
      </x:c>
    </x:row>
    <x:row r="811">
      <x:c r="B811" s="21" t="str">
        <x:v>C0805</x:v>
      </x:c>
      <x:c r="C811" s="21" t="str">
        <x:v>stage build</x:v>
      </x:c>
      <x:c r="D811" s="21" t="str">
        <x:v>baseline nonnegative row 141</x:v>
      </x:c>
      <x:c r="E811" s="21" t="n">
        <x:f>IF('Stage Build'!F141&gt;=0,1,0)</x:f>
        <x:v>1</x:v>
      </x:c>
      <x:c r="F811" s="21" t="n">
        <x:v>1</x:v>
      </x:c>
      <x:c r="G811" s="23" t="str">
        <x:f>IF(E811=F811,"PASS","FAIL")</x:f>
        <x:v>PASS</x:v>
      </x:c>
    </x:row>
    <x:row r="812">
      <x:c r="B812" s="21" t="str">
        <x:v>C0806</x:v>
      </x:c>
      <x:c r="C812" s="21" t="str">
        <x:v>stage build</x:v>
      </x:c>
      <x:c r="D812" s="21" t="str">
        <x:v>targeted additions nonnegative row 141</x:v>
      </x:c>
      <x:c r="E812" s="21" t="n">
        <x:f>IF(AND('Stage Build'!G141&gt;=0,'Stage Build'!H141&gt;=0),1,0)</x:f>
        <x:v>1</x:v>
      </x:c>
      <x:c r="F812" s="21" t="n">
        <x:v>1</x:v>
      </x:c>
      <x:c r="G812" s="23" t="str">
        <x:f>IF(E812=F812,"PASS","FAIL")</x:f>
        <x:v>PASS</x:v>
      </x:c>
    </x:row>
    <x:row r="813">
      <x:c r="B813" s="21" t="str">
        <x:v>C0807</x:v>
      </x:c>
      <x:c r="C813" s="21" t="str">
        <x:v>stage build</x:v>
      </x:c>
      <x:c r="D813" s="21" t="str">
        <x:v>pre-replication identity row 141</x:v>
      </x:c>
      <x:c r="E813" s="21" t="n">
        <x:f>IF(ABS('Stage Build'!I141-SUM('Stage Build'!F141:H141))&lt;0.000001,1,0)</x:f>
        <x:v>1</x:v>
      </x:c>
      <x:c r="F813" s="21" t="n">
        <x:v>1</x:v>
      </x:c>
      <x:c r="G813" s="23" t="str">
        <x:f>IF(E813=F813,"PASS","FAIL")</x:f>
        <x:v>PASS</x:v>
      </x:c>
    </x:row>
    <x:row r="814">
      <x:c r="B814" s="21" t="str">
        <x:v>C0808</x:v>
      </x:c>
      <x:c r="C814" s="21" t="str">
        <x:v>stage build</x:v>
      </x:c>
      <x:c r="D814" s="21" t="str">
        <x:v>replication layer nonnegative row 141</x:v>
      </x:c>
      <x:c r="E814" s="21" t="n">
        <x:f>IF('Stage Build'!J141&gt;=0,1,0)</x:f>
        <x:v>1</x:v>
      </x:c>
      <x:c r="F814" s="21" t="n">
        <x:v>1</x:v>
      </x:c>
      <x:c r="G814" s="23" t="str">
        <x:f>IF(E814=F814,"PASS","FAIL")</x:f>
        <x:v>PASS</x:v>
      </x:c>
    </x:row>
    <x:row r="815">
      <x:c r="B815" s="21" t="str">
        <x:v>C0809</x:v>
      </x:c>
      <x:c r="C815" s="21" t="str">
        <x:v>stage build</x:v>
      </x:c>
      <x:c r="D815" s="21" t="str">
        <x:v>designed ratio identity row 141</x:v>
      </x:c>
      <x:c r="E815" s="21" t="n">
        <x:f>IF(ABS('Stage Build'!K141-'Stage Build'!I141-'Stage Build'!J141)&lt;0.000001,1,0)</x:f>
        <x:v>1</x:v>
      </x:c>
      <x:c r="F815" s="21" t="n">
        <x:v>1</x:v>
      </x:c>
      <x:c r="G815" s="23" t="str">
        <x:f>IF(E815=F815,"PASS","FAIL")</x:f>
        <x:v>PASS</x:v>
      </x:c>
    </x:row>
    <x:row r="816">
      <x:c r="B816" s="21" t="str">
        <x:v>C0810</x:v>
      </x:c>
      <x:c r="C816" s="21" t="str">
        <x:v>stage build</x:v>
      </x:c>
      <x:c r="D816" s="21" t="str">
        <x:v>M05 status identity row 141</x:v>
      </x:c>
      <x:c r="E816" s="21" t="n">
        <x:f>IF('Stage Build'!L141=IF('Stage Build'!K141&gt;=Assumptions!$C$9,"ADEQUATE","GAP"),1,0)</x:f>
        <x:v>1</x:v>
      </x:c>
      <x:c r="F816" s="21" t="n">
        <x:v>1</x:v>
      </x:c>
      <x:c r="G816" s="23" t="str">
        <x:f>IF(E816=F816,"PASS","FAIL")</x:f>
        <x:v>PASS</x:v>
      </x:c>
    </x:row>
    <x:row r="817">
      <x:c r="B817" s="21" t="str">
        <x:v>C0811</x:v>
      </x:c>
      <x:c r="C817" s="21" t="str">
        <x:v>stage build</x:v>
      </x:c>
      <x:c r="D817" s="21" t="str">
        <x:v>baseline nonnegative row 142</x:v>
      </x:c>
      <x:c r="E817" s="21" t="n">
        <x:f>IF('Stage Build'!F142&gt;=0,1,0)</x:f>
        <x:v>1</x:v>
      </x:c>
      <x:c r="F817" s="21" t="n">
        <x:v>1</x:v>
      </x:c>
      <x:c r="G817" s="23" t="str">
        <x:f>IF(E817=F817,"PASS","FAIL")</x:f>
        <x:v>PASS</x:v>
      </x:c>
    </x:row>
    <x:row r="818">
      <x:c r="B818" s="21" t="str">
        <x:v>C0812</x:v>
      </x:c>
      <x:c r="C818" s="21" t="str">
        <x:v>stage build</x:v>
      </x:c>
      <x:c r="D818" s="21" t="str">
        <x:v>targeted additions nonnegative row 142</x:v>
      </x:c>
      <x:c r="E818" s="21" t="n">
        <x:f>IF(AND('Stage Build'!G142&gt;=0,'Stage Build'!H142&gt;=0),1,0)</x:f>
        <x:v>1</x:v>
      </x:c>
      <x:c r="F818" s="21" t="n">
        <x:v>1</x:v>
      </x:c>
      <x:c r="G818" s="23" t="str">
        <x:f>IF(E818=F818,"PASS","FAIL")</x:f>
        <x:v>PASS</x:v>
      </x:c>
    </x:row>
    <x:row r="819">
      <x:c r="B819" s="21" t="str">
        <x:v>C0813</x:v>
      </x:c>
      <x:c r="C819" s="21" t="str">
        <x:v>stage build</x:v>
      </x:c>
      <x:c r="D819" s="21" t="str">
        <x:v>pre-replication identity row 142</x:v>
      </x:c>
      <x:c r="E819" s="21" t="n">
        <x:f>IF(ABS('Stage Build'!I142-SUM('Stage Build'!F142:H142))&lt;0.000001,1,0)</x:f>
        <x:v>1</x:v>
      </x:c>
      <x:c r="F819" s="21" t="n">
        <x:v>1</x:v>
      </x:c>
      <x:c r="G819" s="23" t="str">
        <x:f>IF(E819=F819,"PASS","FAIL")</x:f>
        <x:v>PASS</x:v>
      </x:c>
    </x:row>
    <x:row r="820">
      <x:c r="B820" s="21" t="str">
        <x:v>C0814</x:v>
      </x:c>
      <x:c r="C820" s="21" t="str">
        <x:v>stage build</x:v>
      </x:c>
      <x:c r="D820" s="21" t="str">
        <x:v>replication layer nonnegative row 142</x:v>
      </x:c>
      <x:c r="E820" s="21" t="n">
        <x:f>IF('Stage Build'!J142&gt;=0,1,0)</x:f>
        <x:v>1</x:v>
      </x:c>
      <x:c r="F820" s="21" t="n">
        <x:v>1</x:v>
      </x:c>
      <x:c r="G820" s="23" t="str">
        <x:f>IF(E820=F820,"PASS","FAIL")</x:f>
        <x:v>PASS</x:v>
      </x:c>
    </x:row>
    <x:row r="821">
      <x:c r="B821" s="21" t="str">
        <x:v>C0815</x:v>
      </x:c>
      <x:c r="C821" s="21" t="str">
        <x:v>stage build</x:v>
      </x:c>
      <x:c r="D821" s="21" t="str">
        <x:v>designed ratio identity row 142</x:v>
      </x:c>
      <x:c r="E821" s="21" t="n">
        <x:f>IF(ABS('Stage Build'!K142-'Stage Build'!I142-'Stage Build'!J142)&lt;0.000001,1,0)</x:f>
        <x:v>1</x:v>
      </x:c>
      <x:c r="F821" s="21" t="n">
        <x:v>1</x:v>
      </x:c>
      <x:c r="G821" s="23" t="str">
        <x:f>IF(E821=F821,"PASS","FAIL")</x:f>
        <x:v>PASS</x:v>
      </x:c>
    </x:row>
    <x:row r="822">
      <x:c r="B822" s="21" t="str">
        <x:v>C0816</x:v>
      </x:c>
      <x:c r="C822" s="21" t="str">
        <x:v>stage build</x:v>
      </x:c>
      <x:c r="D822" s="21" t="str">
        <x:v>M05 status identity row 142</x:v>
      </x:c>
      <x:c r="E822" s="21" t="n">
        <x:f>IF('Stage Build'!L142=IF('Stage Build'!K142&gt;=Assumptions!$C$9,"ADEQUATE","GAP"),1,0)</x:f>
        <x:v>1</x:v>
      </x:c>
      <x:c r="F822" s="21" t="n">
        <x:v>1</x:v>
      </x:c>
      <x:c r="G822" s="23" t="str">
        <x:f>IF(E822=F822,"PASS","FAIL")</x:f>
        <x:v>PASS</x:v>
      </x:c>
    </x:row>
    <x:row r="823">
      <x:c r="B823" s="21" t="str">
        <x:v>C0817</x:v>
      </x:c>
      <x:c r="C823" s="21" t="str">
        <x:v>stage build</x:v>
      </x:c>
      <x:c r="D823" s="21" t="str">
        <x:v>baseline nonnegative row 143</x:v>
      </x:c>
      <x:c r="E823" s="21" t="n">
        <x:f>IF('Stage Build'!F143&gt;=0,1,0)</x:f>
        <x:v>1</x:v>
      </x:c>
      <x:c r="F823" s="21" t="n">
        <x:v>1</x:v>
      </x:c>
      <x:c r="G823" s="23" t="str">
        <x:f>IF(E823=F823,"PASS","FAIL")</x:f>
        <x:v>PASS</x:v>
      </x:c>
    </x:row>
    <x:row r="824">
      <x:c r="B824" s="21" t="str">
        <x:v>C0818</x:v>
      </x:c>
      <x:c r="C824" s="21" t="str">
        <x:v>stage build</x:v>
      </x:c>
      <x:c r="D824" s="21" t="str">
        <x:v>targeted additions nonnegative row 143</x:v>
      </x:c>
      <x:c r="E824" s="21" t="n">
        <x:f>IF(AND('Stage Build'!G143&gt;=0,'Stage Build'!H143&gt;=0),1,0)</x:f>
        <x:v>1</x:v>
      </x:c>
      <x:c r="F824" s="21" t="n">
        <x:v>1</x:v>
      </x:c>
      <x:c r="G824" s="23" t="str">
        <x:f>IF(E824=F824,"PASS","FAIL")</x:f>
        <x:v>PASS</x:v>
      </x:c>
    </x:row>
    <x:row r="825">
      <x:c r="B825" s="21" t="str">
        <x:v>C0819</x:v>
      </x:c>
      <x:c r="C825" s="21" t="str">
        <x:v>stage build</x:v>
      </x:c>
      <x:c r="D825" s="21" t="str">
        <x:v>pre-replication identity row 143</x:v>
      </x:c>
      <x:c r="E825" s="21" t="n">
        <x:f>IF(ABS('Stage Build'!I143-SUM('Stage Build'!F143:H143))&lt;0.000001,1,0)</x:f>
        <x:v>1</x:v>
      </x:c>
      <x:c r="F825" s="21" t="n">
        <x:v>1</x:v>
      </x:c>
      <x:c r="G825" s="23" t="str">
        <x:f>IF(E825=F825,"PASS","FAIL")</x:f>
        <x:v>PASS</x:v>
      </x:c>
    </x:row>
    <x:row r="826">
      <x:c r="B826" s="21" t="str">
        <x:v>C0820</x:v>
      </x:c>
      <x:c r="C826" s="21" t="str">
        <x:v>stage build</x:v>
      </x:c>
      <x:c r="D826" s="21" t="str">
        <x:v>replication layer nonnegative row 143</x:v>
      </x:c>
      <x:c r="E826" s="21" t="n">
        <x:f>IF('Stage Build'!J143&gt;=0,1,0)</x:f>
        <x:v>1</x:v>
      </x:c>
      <x:c r="F826" s="21" t="n">
        <x:v>1</x:v>
      </x:c>
      <x:c r="G826" s="23" t="str">
        <x:f>IF(E826=F826,"PASS","FAIL")</x:f>
        <x:v>PASS</x:v>
      </x:c>
    </x:row>
    <x:row r="827">
      <x:c r="B827" s="21" t="str">
        <x:v>C0821</x:v>
      </x:c>
      <x:c r="C827" s="21" t="str">
        <x:v>stage build</x:v>
      </x:c>
      <x:c r="D827" s="21" t="str">
        <x:v>designed ratio identity row 143</x:v>
      </x:c>
      <x:c r="E827" s="21" t="n">
        <x:f>IF(ABS('Stage Build'!K143-'Stage Build'!I143-'Stage Build'!J143)&lt;0.000001,1,0)</x:f>
        <x:v>1</x:v>
      </x:c>
      <x:c r="F827" s="21" t="n">
        <x:v>1</x:v>
      </x:c>
      <x:c r="G827" s="23" t="str">
        <x:f>IF(E827=F827,"PASS","FAIL")</x:f>
        <x:v>PASS</x:v>
      </x:c>
    </x:row>
    <x:row r="828">
      <x:c r="B828" s="21" t="str">
        <x:v>C0822</x:v>
      </x:c>
      <x:c r="C828" s="21" t="str">
        <x:v>stage build</x:v>
      </x:c>
      <x:c r="D828" s="21" t="str">
        <x:v>M05 status identity row 143</x:v>
      </x:c>
      <x:c r="E828" s="21" t="n">
        <x:f>IF('Stage Build'!L143=IF('Stage Build'!K143&gt;=Assumptions!$C$9,"ADEQUATE","GAP"),1,0)</x:f>
        <x:v>1</x:v>
      </x:c>
      <x:c r="F828" s="21" t="n">
        <x:v>1</x:v>
      </x:c>
      <x:c r="G828" s="23" t="str">
        <x:f>IF(E828=F828,"PASS","FAIL")</x:f>
        <x:v>PASS</x:v>
      </x:c>
    </x:row>
    <x:row r="829">
      <x:c r="B829" s="21" t="str">
        <x:v>C0823</x:v>
      </x:c>
      <x:c r="C829" s="21" t="str">
        <x:v>stage build</x:v>
      </x:c>
      <x:c r="D829" s="21" t="str">
        <x:v>baseline nonnegative row 144</x:v>
      </x:c>
      <x:c r="E829" s="21" t="n">
        <x:f>IF('Stage Build'!F144&gt;=0,1,0)</x:f>
        <x:v>1</x:v>
      </x:c>
      <x:c r="F829" s="21" t="n">
        <x:v>1</x:v>
      </x:c>
      <x:c r="G829" s="23" t="str">
        <x:f>IF(E829=F829,"PASS","FAIL")</x:f>
        <x:v>PASS</x:v>
      </x:c>
    </x:row>
    <x:row r="830">
      <x:c r="B830" s="21" t="str">
        <x:v>C0824</x:v>
      </x:c>
      <x:c r="C830" s="21" t="str">
        <x:v>stage build</x:v>
      </x:c>
      <x:c r="D830" s="21" t="str">
        <x:v>targeted additions nonnegative row 144</x:v>
      </x:c>
      <x:c r="E830" s="21" t="n">
        <x:f>IF(AND('Stage Build'!G144&gt;=0,'Stage Build'!H144&gt;=0),1,0)</x:f>
        <x:v>1</x:v>
      </x:c>
      <x:c r="F830" s="21" t="n">
        <x:v>1</x:v>
      </x:c>
      <x:c r="G830" s="23" t="str">
        <x:f>IF(E830=F830,"PASS","FAIL")</x:f>
        <x:v>PASS</x:v>
      </x:c>
    </x:row>
    <x:row r="831">
      <x:c r="B831" s="21" t="str">
        <x:v>C0825</x:v>
      </x:c>
      <x:c r="C831" s="21" t="str">
        <x:v>stage build</x:v>
      </x:c>
      <x:c r="D831" s="21" t="str">
        <x:v>pre-replication identity row 144</x:v>
      </x:c>
      <x:c r="E831" s="21" t="n">
        <x:f>IF(ABS('Stage Build'!I144-SUM('Stage Build'!F144:H144))&lt;0.000001,1,0)</x:f>
        <x:v>1</x:v>
      </x:c>
      <x:c r="F831" s="21" t="n">
        <x:v>1</x:v>
      </x:c>
      <x:c r="G831" s="23" t="str">
        <x:f>IF(E831=F831,"PASS","FAIL")</x:f>
        <x:v>PASS</x:v>
      </x:c>
    </x:row>
    <x:row r="832">
      <x:c r="B832" s="21" t="str">
        <x:v>C0826</x:v>
      </x:c>
      <x:c r="C832" s="21" t="str">
        <x:v>stage build</x:v>
      </x:c>
      <x:c r="D832" s="21" t="str">
        <x:v>replication layer nonnegative row 144</x:v>
      </x:c>
      <x:c r="E832" s="21" t="n">
        <x:f>IF('Stage Build'!J144&gt;=0,1,0)</x:f>
        <x:v>1</x:v>
      </x:c>
      <x:c r="F832" s="21" t="n">
        <x:v>1</x:v>
      </x:c>
      <x:c r="G832" s="23" t="str">
        <x:f>IF(E832=F832,"PASS","FAIL")</x:f>
        <x:v>PASS</x:v>
      </x:c>
    </x:row>
    <x:row r="833">
      <x:c r="B833" s="21" t="str">
        <x:v>C0827</x:v>
      </x:c>
      <x:c r="C833" s="21" t="str">
        <x:v>stage build</x:v>
      </x:c>
      <x:c r="D833" s="21" t="str">
        <x:v>designed ratio identity row 144</x:v>
      </x:c>
      <x:c r="E833" s="21" t="n">
        <x:f>IF(ABS('Stage Build'!K144-'Stage Build'!I144-'Stage Build'!J144)&lt;0.000001,1,0)</x:f>
        <x:v>1</x:v>
      </x:c>
      <x:c r="F833" s="21" t="n">
        <x:v>1</x:v>
      </x:c>
      <x:c r="G833" s="23" t="str">
        <x:f>IF(E833=F833,"PASS","FAIL")</x:f>
        <x:v>PASS</x:v>
      </x:c>
    </x:row>
    <x:row r="834">
      <x:c r="B834" s="21" t="str">
        <x:v>C0828</x:v>
      </x:c>
      <x:c r="C834" s="21" t="str">
        <x:v>stage build</x:v>
      </x:c>
      <x:c r="D834" s="21" t="str">
        <x:v>M05 status identity row 144</x:v>
      </x:c>
      <x:c r="E834" s="21" t="n">
        <x:f>IF('Stage Build'!L144=IF('Stage Build'!K144&gt;=Assumptions!$C$9,"ADEQUATE","GAP"),1,0)</x:f>
        <x:v>1</x:v>
      </x:c>
      <x:c r="F834" s="21" t="n">
        <x:v>1</x:v>
      </x:c>
      <x:c r="G834" s="23" t="str">
        <x:f>IF(E834=F834,"PASS","FAIL")</x:f>
        <x:v>PASS</x:v>
      </x:c>
    </x:row>
    <x:row r="835">
      <x:c r="B835" s="21" t="str">
        <x:v>C0829</x:v>
      </x:c>
      <x:c r="C835" s="21" t="str">
        <x:v>stage build</x:v>
      </x:c>
      <x:c r="D835" s="21" t="str">
        <x:v>baseline nonnegative row 145</x:v>
      </x:c>
      <x:c r="E835" s="21" t="n">
        <x:f>IF('Stage Build'!F145&gt;=0,1,0)</x:f>
        <x:v>1</x:v>
      </x:c>
      <x:c r="F835" s="21" t="n">
        <x:v>1</x:v>
      </x:c>
      <x:c r="G835" s="23" t="str">
        <x:f>IF(E835=F835,"PASS","FAIL")</x:f>
        <x:v>PASS</x:v>
      </x:c>
    </x:row>
    <x:row r="836">
      <x:c r="B836" s="21" t="str">
        <x:v>C0830</x:v>
      </x:c>
      <x:c r="C836" s="21" t="str">
        <x:v>stage build</x:v>
      </x:c>
      <x:c r="D836" s="21" t="str">
        <x:v>targeted additions nonnegative row 145</x:v>
      </x:c>
      <x:c r="E836" s="21" t="n">
        <x:f>IF(AND('Stage Build'!G145&gt;=0,'Stage Build'!H145&gt;=0),1,0)</x:f>
        <x:v>1</x:v>
      </x:c>
      <x:c r="F836" s="21" t="n">
        <x:v>1</x:v>
      </x:c>
      <x:c r="G836" s="23" t="str">
        <x:f>IF(E836=F836,"PASS","FAIL")</x:f>
        <x:v>PASS</x:v>
      </x:c>
    </x:row>
    <x:row r="837">
      <x:c r="B837" s="21" t="str">
        <x:v>C0831</x:v>
      </x:c>
      <x:c r="C837" s="21" t="str">
        <x:v>stage build</x:v>
      </x:c>
      <x:c r="D837" s="21" t="str">
        <x:v>pre-replication identity row 145</x:v>
      </x:c>
      <x:c r="E837" s="21" t="n">
        <x:f>IF(ABS('Stage Build'!I145-SUM('Stage Build'!F145:H145))&lt;0.000001,1,0)</x:f>
        <x:v>1</x:v>
      </x:c>
      <x:c r="F837" s="21" t="n">
        <x:v>1</x:v>
      </x:c>
      <x:c r="G837" s="23" t="str">
        <x:f>IF(E837=F837,"PASS","FAIL")</x:f>
        <x:v>PASS</x:v>
      </x:c>
    </x:row>
    <x:row r="838">
      <x:c r="B838" s="21" t="str">
        <x:v>C0832</x:v>
      </x:c>
      <x:c r="C838" s="21" t="str">
        <x:v>stage build</x:v>
      </x:c>
      <x:c r="D838" s="21" t="str">
        <x:v>replication layer nonnegative row 145</x:v>
      </x:c>
      <x:c r="E838" s="21" t="n">
        <x:f>IF('Stage Build'!J145&gt;=0,1,0)</x:f>
        <x:v>1</x:v>
      </x:c>
      <x:c r="F838" s="21" t="n">
        <x:v>1</x:v>
      </x:c>
      <x:c r="G838" s="23" t="str">
        <x:f>IF(E838=F838,"PASS","FAIL")</x:f>
        <x:v>PASS</x:v>
      </x:c>
    </x:row>
    <x:row r="839">
      <x:c r="B839" s="21" t="str">
        <x:v>C0833</x:v>
      </x:c>
      <x:c r="C839" s="21" t="str">
        <x:v>stage build</x:v>
      </x:c>
      <x:c r="D839" s="21" t="str">
        <x:v>designed ratio identity row 145</x:v>
      </x:c>
      <x:c r="E839" s="21" t="n">
        <x:f>IF(ABS('Stage Build'!K145-'Stage Build'!I145-'Stage Build'!J145)&lt;0.000001,1,0)</x:f>
        <x:v>1</x:v>
      </x:c>
      <x:c r="F839" s="21" t="n">
        <x:v>1</x:v>
      </x:c>
      <x:c r="G839" s="23" t="str">
        <x:f>IF(E839=F839,"PASS","FAIL")</x:f>
        <x:v>PASS</x:v>
      </x:c>
    </x:row>
    <x:row r="840">
      <x:c r="B840" s="21" t="str">
        <x:v>C0834</x:v>
      </x:c>
      <x:c r="C840" s="21" t="str">
        <x:v>stage build</x:v>
      </x:c>
      <x:c r="D840" s="21" t="str">
        <x:v>M05 status identity row 145</x:v>
      </x:c>
      <x:c r="E840" s="21" t="n">
        <x:f>IF('Stage Build'!L145=IF('Stage Build'!K145&gt;=Assumptions!$C$9,"ADEQUATE","GAP"),1,0)</x:f>
        <x:v>1</x:v>
      </x:c>
      <x:c r="F840" s="21" t="n">
        <x:v>1</x:v>
      </x:c>
      <x:c r="G840" s="23" t="str">
        <x:f>IF(E840=F840,"PASS","FAIL")</x:f>
        <x:v>PASS</x:v>
      </x:c>
    </x:row>
    <x:row r="841">
      <x:c r="B841" s="21" t="str">
        <x:v>C0835</x:v>
      </x:c>
      <x:c r="C841" s="21" t="str">
        <x:v>stage build</x:v>
      </x:c>
      <x:c r="D841" s="21" t="str">
        <x:v>baseline nonnegative row 146</x:v>
      </x:c>
      <x:c r="E841" s="21" t="n">
        <x:f>IF('Stage Build'!F146&gt;=0,1,0)</x:f>
        <x:v>1</x:v>
      </x:c>
      <x:c r="F841" s="21" t="n">
        <x:v>1</x:v>
      </x:c>
      <x:c r="G841" s="23" t="str">
        <x:f>IF(E841=F841,"PASS","FAIL")</x:f>
        <x:v>PASS</x:v>
      </x:c>
    </x:row>
    <x:row r="842">
      <x:c r="B842" s="21" t="str">
        <x:v>C0836</x:v>
      </x:c>
      <x:c r="C842" s="21" t="str">
        <x:v>stage build</x:v>
      </x:c>
      <x:c r="D842" s="21" t="str">
        <x:v>targeted additions nonnegative row 146</x:v>
      </x:c>
      <x:c r="E842" s="21" t="n">
        <x:f>IF(AND('Stage Build'!G146&gt;=0,'Stage Build'!H146&gt;=0),1,0)</x:f>
        <x:v>1</x:v>
      </x:c>
      <x:c r="F842" s="21" t="n">
        <x:v>1</x:v>
      </x:c>
      <x:c r="G842" s="23" t="str">
        <x:f>IF(E842=F842,"PASS","FAIL")</x:f>
        <x:v>PASS</x:v>
      </x:c>
    </x:row>
    <x:row r="843">
      <x:c r="B843" s="21" t="str">
        <x:v>C0837</x:v>
      </x:c>
      <x:c r="C843" s="21" t="str">
        <x:v>stage build</x:v>
      </x:c>
      <x:c r="D843" s="21" t="str">
        <x:v>pre-replication identity row 146</x:v>
      </x:c>
      <x:c r="E843" s="21" t="n">
        <x:f>IF(ABS('Stage Build'!I146-SUM('Stage Build'!F146:H146))&lt;0.000001,1,0)</x:f>
        <x:v>1</x:v>
      </x:c>
      <x:c r="F843" s="21" t="n">
        <x:v>1</x:v>
      </x:c>
      <x:c r="G843" s="23" t="str">
        <x:f>IF(E843=F843,"PASS","FAIL")</x:f>
        <x:v>PASS</x:v>
      </x:c>
    </x:row>
    <x:row r="844">
      <x:c r="B844" s="21" t="str">
        <x:v>C0838</x:v>
      </x:c>
      <x:c r="C844" s="21" t="str">
        <x:v>stage build</x:v>
      </x:c>
      <x:c r="D844" s="21" t="str">
        <x:v>replication layer nonnegative row 146</x:v>
      </x:c>
      <x:c r="E844" s="21" t="n">
        <x:f>IF('Stage Build'!J146&gt;=0,1,0)</x:f>
        <x:v>1</x:v>
      </x:c>
      <x:c r="F844" s="21" t="n">
        <x:v>1</x:v>
      </x:c>
      <x:c r="G844" s="23" t="str">
        <x:f>IF(E844=F844,"PASS","FAIL")</x:f>
        <x:v>PASS</x:v>
      </x:c>
    </x:row>
    <x:row r="845">
      <x:c r="B845" s="21" t="str">
        <x:v>C0839</x:v>
      </x:c>
      <x:c r="C845" s="21" t="str">
        <x:v>stage build</x:v>
      </x:c>
      <x:c r="D845" s="21" t="str">
        <x:v>designed ratio identity row 146</x:v>
      </x:c>
      <x:c r="E845" s="21" t="n">
        <x:f>IF(ABS('Stage Build'!K146-'Stage Build'!I146-'Stage Build'!J146)&lt;0.000001,1,0)</x:f>
        <x:v>1</x:v>
      </x:c>
      <x:c r="F845" s="21" t="n">
        <x:v>1</x:v>
      </x:c>
      <x:c r="G845" s="23" t="str">
        <x:f>IF(E845=F845,"PASS","FAIL")</x:f>
        <x:v>PASS</x:v>
      </x:c>
    </x:row>
    <x:row r="846">
      <x:c r="B846" s="21" t="str">
        <x:v>C0840</x:v>
      </x:c>
      <x:c r="C846" s="21" t="str">
        <x:v>stage build</x:v>
      </x:c>
      <x:c r="D846" s="21" t="str">
        <x:v>M05 status identity row 146</x:v>
      </x:c>
      <x:c r="E846" s="21" t="n">
        <x:f>IF('Stage Build'!L146=IF('Stage Build'!K146&gt;=Assumptions!$C$9,"ADEQUATE","GAP"),1,0)</x:f>
        <x:v>1</x:v>
      </x:c>
      <x:c r="F846" s="21" t="n">
        <x:v>1</x:v>
      </x:c>
      <x:c r="G846" s="23" t="str">
        <x:f>IF(E846=F846,"PASS","FAIL")</x:f>
        <x:v>PASS</x:v>
      </x:c>
    </x:row>
    <x:row r="847">
      <x:c r="B847" s="21" t="str">
        <x:v>C0841</x:v>
      </x:c>
      <x:c r="C847" s="21" t="str">
        <x:v>stage build</x:v>
      </x:c>
      <x:c r="D847" s="21" t="str">
        <x:v>baseline nonnegative row 147</x:v>
      </x:c>
      <x:c r="E847" s="21" t="n">
        <x:f>IF('Stage Build'!F147&gt;=0,1,0)</x:f>
        <x:v>1</x:v>
      </x:c>
      <x:c r="F847" s="21" t="n">
        <x:v>1</x:v>
      </x:c>
      <x:c r="G847" s="23" t="str">
        <x:f>IF(E847=F847,"PASS","FAIL")</x:f>
        <x:v>PASS</x:v>
      </x:c>
    </x:row>
    <x:row r="848">
      <x:c r="B848" s="21" t="str">
        <x:v>C0842</x:v>
      </x:c>
      <x:c r="C848" s="21" t="str">
        <x:v>stage build</x:v>
      </x:c>
      <x:c r="D848" s="21" t="str">
        <x:v>targeted additions nonnegative row 147</x:v>
      </x:c>
      <x:c r="E848" s="21" t="n">
        <x:f>IF(AND('Stage Build'!G147&gt;=0,'Stage Build'!H147&gt;=0),1,0)</x:f>
        <x:v>1</x:v>
      </x:c>
      <x:c r="F848" s="21" t="n">
        <x:v>1</x:v>
      </x:c>
      <x:c r="G848" s="23" t="str">
        <x:f>IF(E848=F848,"PASS","FAIL")</x:f>
        <x:v>PASS</x:v>
      </x:c>
    </x:row>
    <x:row r="849">
      <x:c r="B849" s="21" t="str">
        <x:v>C0843</x:v>
      </x:c>
      <x:c r="C849" s="21" t="str">
        <x:v>stage build</x:v>
      </x:c>
      <x:c r="D849" s="21" t="str">
        <x:v>pre-replication identity row 147</x:v>
      </x:c>
      <x:c r="E849" s="21" t="n">
        <x:f>IF(ABS('Stage Build'!I147-SUM('Stage Build'!F147:H147))&lt;0.000001,1,0)</x:f>
        <x:v>1</x:v>
      </x:c>
      <x:c r="F849" s="21" t="n">
        <x:v>1</x:v>
      </x:c>
      <x:c r="G849" s="23" t="str">
        <x:f>IF(E849=F849,"PASS","FAIL")</x:f>
        <x:v>PASS</x:v>
      </x:c>
    </x:row>
    <x:row r="850">
      <x:c r="B850" s="21" t="str">
        <x:v>C0844</x:v>
      </x:c>
      <x:c r="C850" s="21" t="str">
        <x:v>stage build</x:v>
      </x:c>
      <x:c r="D850" s="21" t="str">
        <x:v>replication layer nonnegative row 147</x:v>
      </x:c>
      <x:c r="E850" s="21" t="n">
        <x:f>IF('Stage Build'!J147&gt;=0,1,0)</x:f>
        <x:v>1</x:v>
      </x:c>
      <x:c r="F850" s="21" t="n">
        <x:v>1</x:v>
      </x:c>
      <x:c r="G850" s="23" t="str">
        <x:f>IF(E850=F850,"PASS","FAIL")</x:f>
        <x:v>PASS</x:v>
      </x:c>
    </x:row>
    <x:row r="851">
      <x:c r="B851" s="21" t="str">
        <x:v>C0845</x:v>
      </x:c>
      <x:c r="C851" s="21" t="str">
        <x:v>stage build</x:v>
      </x:c>
      <x:c r="D851" s="21" t="str">
        <x:v>designed ratio identity row 147</x:v>
      </x:c>
      <x:c r="E851" s="21" t="n">
        <x:f>IF(ABS('Stage Build'!K147-'Stage Build'!I147-'Stage Build'!J147)&lt;0.000001,1,0)</x:f>
        <x:v>1</x:v>
      </x:c>
      <x:c r="F851" s="21" t="n">
        <x:v>1</x:v>
      </x:c>
      <x:c r="G851" s="23" t="str">
        <x:f>IF(E851=F851,"PASS","FAIL")</x:f>
        <x:v>PASS</x:v>
      </x:c>
    </x:row>
    <x:row r="852">
      <x:c r="B852" s="21" t="str">
        <x:v>C0846</x:v>
      </x:c>
      <x:c r="C852" s="21" t="str">
        <x:v>stage build</x:v>
      </x:c>
      <x:c r="D852" s="21" t="str">
        <x:v>M05 status identity row 147</x:v>
      </x:c>
      <x:c r="E852" s="21" t="n">
        <x:f>IF('Stage Build'!L147=IF('Stage Build'!K147&gt;=Assumptions!$C$9,"ADEQUATE","GAP"),1,0)</x:f>
        <x:v>1</x:v>
      </x:c>
      <x:c r="F852" s="21" t="n">
        <x:v>1</x:v>
      </x:c>
      <x:c r="G852" s="23" t="str">
        <x:f>IF(E852=F852,"PASS","FAIL")</x:f>
        <x:v>PASS</x:v>
      </x:c>
    </x:row>
    <x:row r="853">
      <x:c r="B853" s="21" t="str">
        <x:v>C0847</x:v>
      </x:c>
      <x:c r="C853" s="21" t="str">
        <x:v>stage build</x:v>
      </x:c>
      <x:c r="D853" s="21" t="str">
        <x:v>baseline nonnegative row 148</x:v>
      </x:c>
      <x:c r="E853" s="21" t="n">
        <x:f>IF('Stage Build'!F148&gt;=0,1,0)</x:f>
        <x:v>1</x:v>
      </x:c>
      <x:c r="F853" s="21" t="n">
        <x:v>1</x:v>
      </x:c>
      <x:c r="G853" s="23" t="str">
        <x:f>IF(E853=F853,"PASS","FAIL")</x:f>
        <x:v>PASS</x:v>
      </x:c>
    </x:row>
    <x:row r="854">
      <x:c r="B854" s="21" t="str">
        <x:v>C0848</x:v>
      </x:c>
      <x:c r="C854" s="21" t="str">
        <x:v>stage build</x:v>
      </x:c>
      <x:c r="D854" s="21" t="str">
        <x:v>targeted additions nonnegative row 148</x:v>
      </x:c>
      <x:c r="E854" s="21" t="n">
        <x:f>IF(AND('Stage Build'!G148&gt;=0,'Stage Build'!H148&gt;=0),1,0)</x:f>
        <x:v>1</x:v>
      </x:c>
      <x:c r="F854" s="21" t="n">
        <x:v>1</x:v>
      </x:c>
      <x:c r="G854" s="23" t="str">
        <x:f>IF(E854=F854,"PASS","FAIL")</x:f>
        <x:v>PASS</x:v>
      </x:c>
    </x:row>
    <x:row r="855">
      <x:c r="B855" s="21" t="str">
        <x:v>C0849</x:v>
      </x:c>
      <x:c r="C855" s="21" t="str">
        <x:v>stage build</x:v>
      </x:c>
      <x:c r="D855" s="21" t="str">
        <x:v>pre-replication identity row 148</x:v>
      </x:c>
      <x:c r="E855" s="21" t="n">
        <x:f>IF(ABS('Stage Build'!I148-SUM('Stage Build'!F148:H148))&lt;0.000001,1,0)</x:f>
        <x:v>1</x:v>
      </x:c>
      <x:c r="F855" s="21" t="n">
        <x:v>1</x:v>
      </x:c>
      <x:c r="G855" s="23" t="str">
        <x:f>IF(E855=F855,"PASS","FAIL")</x:f>
        <x:v>PASS</x:v>
      </x:c>
    </x:row>
    <x:row r="856">
      <x:c r="B856" s="21" t="str">
        <x:v>C0850</x:v>
      </x:c>
      <x:c r="C856" s="21" t="str">
        <x:v>stage build</x:v>
      </x:c>
      <x:c r="D856" s="21" t="str">
        <x:v>replication layer nonnegative row 148</x:v>
      </x:c>
      <x:c r="E856" s="21" t="n">
        <x:f>IF('Stage Build'!J148&gt;=0,1,0)</x:f>
        <x:v>1</x:v>
      </x:c>
      <x:c r="F856" s="21" t="n">
        <x:v>1</x:v>
      </x:c>
      <x:c r="G856" s="23" t="str">
        <x:f>IF(E856=F856,"PASS","FAIL")</x:f>
        <x:v>PASS</x:v>
      </x:c>
    </x:row>
    <x:row r="857">
      <x:c r="B857" s="21" t="str">
        <x:v>C0851</x:v>
      </x:c>
      <x:c r="C857" s="21" t="str">
        <x:v>stage build</x:v>
      </x:c>
      <x:c r="D857" s="21" t="str">
        <x:v>designed ratio identity row 148</x:v>
      </x:c>
      <x:c r="E857" s="21" t="n">
        <x:f>IF(ABS('Stage Build'!K148-'Stage Build'!I148-'Stage Build'!J148)&lt;0.000001,1,0)</x:f>
        <x:v>1</x:v>
      </x:c>
      <x:c r="F857" s="21" t="n">
        <x:v>1</x:v>
      </x:c>
      <x:c r="G857" s="23" t="str">
        <x:f>IF(E857=F857,"PASS","FAIL")</x:f>
        <x:v>PASS</x:v>
      </x:c>
    </x:row>
    <x:row r="858">
      <x:c r="B858" s="21" t="str">
        <x:v>C0852</x:v>
      </x:c>
      <x:c r="C858" s="21" t="str">
        <x:v>stage build</x:v>
      </x:c>
      <x:c r="D858" s="21" t="str">
        <x:v>M05 status identity row 148</x:v>
      </x:c>
      <x:c r="E858" s="21" t="n">
        <x:f>IF('Stage Build'!L148=IF('Stage Build'!K148&gt;=Assumptions!$C$9,"ADEQUATE","GAP"),1,0)</x:f>
        <x:v>1</x:v>
      </x:c>
      <x:c r="F858" s="21" t="n">
        <x:v>1</x:v>
      </x:c>
      <x:c r="G858" s="23" t="str">
        <x:f>IF(E858=F858,"PASS","FAIL")</x:f>
        <x:v>PASS</x:v>
      </x:c>
    </x:row>
    <x:row r="859">
      <x:c r="B859" s="21" t="str">
        <x:v>C0853</x:v>
      </x:c>
      <x:c r="C859" s="21" t="str">
        <x:v>stage build</x:v>
      </x:c>
      <x:c r="D859" s="21" t="str">
        <x:v>baseline nonnegative row 149</x:v>
      </x:c>
      <x:c r="E859" s="21" t="n">
        <x:f>IF('Stage Build'!F149&gt;=0,1,0)</x:f>
        <x:v>1</x:v>
      </x:c>
      <x:c r="F859" s="21" t="n">
        <x:v>1</x:v>
      </x:c>
      <x:c r="G859" s="23" t="str">
        <x:f>IF(E859=F859,"PASS","FAIL")</x:f>
        <x:v>PASS</x:v>
      </x:c>
    </x:row>
    <x:row r="860">
      <x:c r="B860" s="21" t="str">
        <x:v>C0854</x:v>
      </x:c>
      <x:c r="C860" s="21" t="str">
        <x:v>stage build</x:v>
      </x:c>
      <x:c r="D860" s="21" t="str">
        <x:v>targeted additions nonnegative row 149</x:v>
      </x:c>
      <x:c r="E860" s="21" t="n">
        <x:f>IF(AND('Stage Build'!G149&gt;=0,'Stage Build'!H149&gt;=0),1,0)</x:f>
        <x:v>1</x:v>
      </x:c>
      <x:c r="F860" s="21" t="n">
        <x:v>1</x:v>
      </x:c>
      <x:c r="G860" s="23" t="str">
        <x:f>IF(E860=F860,"PASS","FAIL")</x:f>
        <x:v>PASS</x:v>
      </x:c>
    </x:row>
    <x:row r="861">
      <x:c r="B861" s="21" t="str">
        <x:v>C0855</x:v>
      </x:c>
      <x:c r="C861" s="21" t="str">
        <x:v>stage build</x:v>
      </x:c>
      <x:c r="D861" s="21" t="str">
        <x:v>pre-replication identity row 149</x:v>
      </x:c>
      <x:c r="E861" s="21" t="n">
        <x:f>IF(ABS('Stage Build'!I149-SUM('Stage Build'!F149:H149))&lt;0.000001,1,0)</x:f>
        <x:v>1</x:v>
      </x:c>
      <x:c r="F861" s="21" t="n">
        <x:v>1</x:v>
      </x:c>
      <x:c r="G861" s="23" t="str">
        <x:f>IF(E861=F861,"PASS","FAIL")</x:f>
        <x:v>PASS</x:v>
      </x:c>
    </x:row>
    <x:row r="862">
      <x:c r="B862" s="21" t="str">
        <x:v>C0856</x:v>
      </x:c>
      <x:c r="C862" s="21" t="str">
        <x:v>stage build</x:v>
      </x:c>
      <x:c r="D862" s="21" t="str">
        <x:v>replication layer nonnegative row 149</x:v>
      </x:c>
      <x:c r="E862" s="21" t="n">
        <x:f>IF('Stage Build'!J149&gt;=0,1,0)</x:f>
        <x:v>1</x:v>
      </x:c>
      <x:c r="F862" s="21" t="n">
        <x:v>1</x:v>
      </x:c>
      <x:c r="G862" s="23" t="str">
        <x:f>IF(E862=F862,"PASS","FAIL")</x:f>
        <x:v>PASS</x:v>
      </x:c>
    </x:row>
    <x:row r="863">
      <x:c r="B863" s="21" t="str">
        <x:v>C0857</x:v>
      </x:c>
      <x:c r="C863" s="21" t="str">
        <x:v>stage build</x:v>
      </x:c>
      <x:c r="D863" s="21" t="str">
        <x:v>designed ratio identity row 149</x:v>
      </x:c>
      <x:c r="E863" s="21" t="n">
        <x:f>IF(ABS('Stage Build'!K149-'Stage Build'!I149-'Stage Build'!J149)&lt;0.000001,1,0)</x:f>
        <x:v>1</x:v>
      </x:c>
      <x:c r="F863" s="21" t="n">
        <x:v>1</x:v>
      </x:c>
      <x:c r="G863" s="23" t="str">
        <x:f>IF(E863=F863,"PASS","FAIL")</x:f>
        <x:v>PASS</x:v>
      </x:c>
    </x:row>
    <x:row r="864">
      <x:c r="B864" s="21" t="str">
        <x:v>C0858</x:v>
      </x:c>
      <x:c r="C864" s="21" t="str">
        <x:v>stage build</x:v>
      </x:c>
      <x:c r="D864" s="21" t="str">
        <x:v>M05 status identity row 149</x:v>
      </x:c>
      <x:c r="E864" s="21" t="n">
        <x:f>IF('Stage Build'!L149=IF('Stage Build'!K149&gt;=Assumptions!$C$9,"ADEQUATE","GAP"),1,0)</x:f>
        <x:v>1</x:v>
      </x:c>
      <x:c r="F864" s="21" t="n">
        <x:v>1</x:v>
      </x:c>
      <x:c r="G864" s="23" t="str">
        <x:f>IF(E864=F864,"PASS","FAIL")</x:f>
        <x:v>PASS</x:v>
      </x:c>
    </x:row>
    <x:row r="865">
      <x:c r="B865" s="21" t="str">
        <x:v>C0859</x:v>
      </x:c>
      <x:c r="C865" s="21" t="str">
        <x:v>stage build</x:v>
      </x:c>
      <x:c r="D865" s="21" t="str">
        <x:v>baseline nonnegative row 150</x:v>
      </x:c>
      <x:c r="E865" s="21" t="n">
        <x:f>IF('Stage Build'!F150&gt;=0,1,0)</x:f>
        <x:v>1</x:v>
      </x:c>
      <x:c r="F865" s="21" t="n">
        <x:v>1</x:v>
      </x:c>
      <x:c r="G865" s="23" t="str">
        <x:f>IF(E865=F865,"PASS","FAIL")</x:f>
        <x:v>PASS</x:v>
      </x:c>
    </x:row>
    <x:row r="866">
      <x:c r="B866" s="21" t="str">
        <x:v>C0860</x:v>
      </x:c>
      <x:c r="C866" s="21" t="str">
        <x:v>stage build</x:v>
      </x:c>
      <x:c r="D866" s="21" t="str">
        <x:v>targeted additions nonnegative row 150</x:v>
      </x:c>
      <x:c r="E866" s="21" t="n">
        <x:f>IF(AND('Stage Build'!G150&gt;=0,'Stage Build'!H150&gt;=0),1,0)</x:f>
        <x:v>1</x:v>
      </x:c>
      <x:c r="F866" s="21" t="n">
        <x:v>1</x:v>
      </x:c>
      <x:c r="G866" s="23" t="str">
        <x:f>IF(E866=F866,"PASS","FAIL")</x:f>
        <x:v>PASS</x:v>
      </x:c>
    </x:row>
    <x:row r="867">
      <x:c r="B867" s="21" t="str">
        <x:v>C0861</x:v>
      </x:c>
      <x:c r="C867" s="21" t="str">
        <x:v>stage build</x:v>
      </x:c>
      <x:c r="D867" s="21" t="str">
        <x:v>pre-replication identity row 150</x:v>
      </x:c>
      <x:c r="E867" s="21" t="n">
        <x:f>IF(ABS('Stage Build'!I150-SUM('Stage Build'!F150:H150))&lt;0.000001,1,0)</x:f>
        <x:v>1</x:v>
      </x:c>
      <x:c r="F867" s="21" t="n">
        <x:v>1</x:v>
      </x:c>
      <x:c r="G867" s="23" t="str">
        <x:f>IF(E867=F867,"PASS","FAIL")</x:f>
        <x:v>PASS</x:v>
      </x:c>
    </x:row>
    <x:row r="868">
      <x:c r="B868" s="21" t="str">
        <x:v>C0862</x:v>
      </x:c>
      <x:c r="C868" s="21" t="str">
        <x:v>stage build</x:v>
      </x:c>
      <x:c r="D868" s="21" t="str">
        <x:v>replication layer nonnegative row 150</x:v>
      </x:c>
      <x:c r="E868" s="21" t="n">
        <x:f>IF('Stage Build'!J150&gt;=0,1,0)</x:f>
        <x:v>1</x:v>
      </x:c>
      <x:c r="F868" s="21" t="n">
        <x:v>1</x:v>
      </x:c>
      <x:c r="G868" s="23" t="str">
        <x:f>IF(E868=F868,"PASS","FAIL")</x:f>
        <x:v>PASS</x:v>
      </x:c>
    </x:row>
    <x:row r="869">
      <x:c r="B869" s="21" t="str">
        <x:v>C0863</x:v>
      </x:c>
      <x:c r="C869" s="21" t="str">
        <x:v>stage build</x:v>
      </x:c>
      <x:c r="D869" s="21" t="str">
        <x:v>designed ratio identity row 150</x:v>
      </x:c>
      <x:c r="E869" s="21" t="n">
        <x:f>IF(ABS('Stage Build'!K150-'Stage Build'!I150-'Stage Build'!J150)&lt;0.000001,1,0)</x:f>
        <x:v>1</x:v>
      </x:c>
      <x:c r="F869" s="21" t="n">
        <x:v>1</x:v>
      </x:c>
      <x:c r="G869" s="23" t="str">
        <x:f>IF(E869=F869,"PASS","FAIL")</x:f>
        <x:v>PASS</x:v>
      </x:c>
    </x:row>
    <x:row r="870">
      <x:c r="B870" s="21" t="str">
        <x:v>C0864</x:v>
      </x:c>
      <x:c r="C870" s="21" t="str">
        <x:v>stage build</x:v>
      </x:c>
      <x:c r="D870" s="21" t="str">
        <x:v>M05 status identity row 150</x:v>
      </x:c>
      <x:c r="E870" s="21" t="n">
        <x:f>IF('Stage Build'!L150=IF('Stage Build'!K150&gt;=Assumptions!$C$9,"ADEQUATE","GAP"),1,0)</x:f>
        <x:v>1</x:v>
      </x:c>
      <x:c r="F870" s="21" t="n">
        <x:v>1</x:v>
      </x:c>
      <x:c r="G870" s="23" t="str">
        <x:f>IF(E870=F870,"PASS","FAIL")</x:f>
        <x:v>PASS</x:v>
      </x:c>
    </x:row>
    <x:row r="871">
      <x:c r="B871" s="21" t="str">
        <x:v>C0865</x:v>
      </x:c>
      <x:c r="C871" s="21" t="str">
        <x:v>stage build</x:v>
      </x:c>
      <x:c r="D871" s="21" t="str">
        <x:v>baseline nonnegative row 151</x:v>
      </x:c>
      <x:c r="E871" s="21" t="n">
        <x:f>IF('Stage Build'!F151&gt;=0,1,0)</x:f>
        <x:v>1</x:v>
      </x:c>
      <x:c r="F871" s="21" t="n">
        <x:v>1</x:v>
      </x:c>
      <x:c r="G871" s="23" t="str">
        <x:f>IF(E871=F871,"PASS","FAIL")</x:f>
        <x:v>PASS</x:v>
      </x:c>
    </x:row>
    <x:row r="872">
      <x:c r="B872" s="21" t="str">
        <x:v>C0866</x:v>
      </x:c>
      <x:c r="C872" s="21" t="str">
        <x:v>stage build</x:v>
      </x:c>
      <x:c r="D872" s="21" t="str">
        <x:v>targeted additions nonnegative row 151</x:v>
      </x:c>
      <x:c r="E872" s="21" t="n">
        <x:f>IF(AND('Stage Build'!G151&gt;=0,'Stage Build'!H151&gt;=0),1,0)</x:f>
        <x:v>1</x:v>
      </x:c>
      <x:c r="F872" s="21" t="n">
        <x:v>1</x:v>
      </x:c>
      <x:c r="G872" s="23" t="str">
        <x:f>IF(E872=F872,"PASS","FAIL")</x:f>
        <x:v>PASS</x:v>
      </x:c>
    </x:row>
    <x:row r="873">
      <x:c r="B873" s="21" t="str">
        <x:v>C0867</x:v>
      </x:c>
      <x:c r="C873" s="21" t="str">
        <x:v>stage build</x:v>
      </x:c>
      <x:c r="D873" s="21" t="str">
        <x:v>pre-replication identity row 151</x:v>
      </x:c>
      <x:c r="E873" s="21" t="n">
        <x:f>IF(ABS('Stage Build'!I151-SUM('Stage Build'!F151:H151))&lt;0.000001,1,0)</x:f>
        <x:v>1</x:v>
      </x:c>
      <x:c r="F873" s="21" t="n">
        <x:v>1</x:v>
      </x:c>
      <x:c r="G873" s="23" t="str">
        <x:f>IF(E873=F873,"PASS","FAIL")</x:f>
        <x:v>PASS</x:v>
      </x:c>
    </x:row>
    <x:row r="874">
      <x:c r="B874" s="21" t="str">
        <x:v>C0868</x:v>
      </x:c>
      <x:c r="C874" s="21" t="str">
        <x:v>stage build</x:v>
      </x:c>
      <x:c r="D874" s="21" t="str">
        <x:v>replication layer nonnegative row 151</x:v>
      </x:c>
      <x:c r="E874" s="21" t="n">
        <x:f>IF('Stage Build'!J151&gt;=0,1,0)</x:f>
        <x:v>1</x:v>
      </x:c>
      <x:c r="F874" s="21" t="n">
        <x:v>1</x:v>
      </x:c>
      <x:c r="G874" s="23" t="str">
        <x:f>IF(E874=F874,"PASS","FAIL")</x:f>
        <x:v>PASS</x:v>
      </x:c>
    </x:row>
    <x:row r="875">
      <x:c r="B875" s="21" t="str">
        <x:v>C0869</x:v>
      </x:c>
      <x:c r="C875" s="21" t="str">
        <x:v>stage build</x:v>
      </x:c>
      <x:c r="D875" s="21" t="str">
        <x:v>designed ratio identity row 151</x:v>
      </x:c>
      <x:c r="E875" s="21" t="n">
        <x:f>IF(ABS('Stage Build'!K151-'Stage Build'!I151-'Stage Build'!J151)&lt;0.000001,1,0)</x:f>
        <x:v>1</x:v>
      </x:c>
      <x:c r="F875" s="21" t="n">
        <x:v>1</x:v>
      </x:c>
      <x:c r="G875" s="23" t="str">
        <x:f>IF(E875=F875,"PASS","FAIL")</x:f>
        <x:v>PASS</x:v>
      </x:c>
    </x:row>
    <x:row r="876">
      <x:c r="B876" s="21" t="str">
        <x:v>C0870</x:v>
      </x:c>
      <x:c r="C876" s="21" t="str">
        <x:v>stage build</x:v>
      </x:c>
      <x:c r="D876" s="21" t="str">
        <x:v>M05 status identity row 151</x:v>
      </x:c>
      <x:c r="E876" s="21" t="n">
        <x:f>IF('Stage Build'!L151=IF('Stage Build'!K151&gt;=Assumptions!$C$9,"ADEQUATE","GAP"),1,0)</x:f>
        <x:v>1</x:v>
      </x:c>
      <x:c r="F876" s="21" t="n">
        <x:v>1</x:v>
      </x:c>
      <x:c r="G876" s="23" t="str">
        <x:f>IF(E876=F876,"PASS","FAIL")</x:f>
        <x:v>PASS</x:v>
      </x:c>
    </x:row>
    <x:row r="877">
      <x:c r="B877" s="21" t="str">
        <x:v>C0871</x:v>
      </x:c>
      <x:c r="C877" s="21" t="str">
        <x:v>stage build</x:v>
      </x:c>
      <x:c r="D877" s="21" t="str">
        <x:v>baseline nonnegative row 152</x:v>
      </x:c>
      <x:c r="E877" s="21" t="n">
        <x:f>IF('Stage Build'!F152&gt;=0,1,0)</x:f>
        <x:v>1</x:v>
      </x:c>
      <x:c r="F877" s="21" t="n">
        <x:v>1</x:v>
      </x:c>
      <x:c r="G877" s="23" t="str">
        <x:f>IF(E877=F877,"PASS","FAIL")</x:f>
        <x:v>PASS</x:v>
      </x:c>
    </x:row>
    <x:row r="878">
      <x:c r="B878" s="21" t="str">
        <x:v>C0872</x:v>
      </x:c>
      <x:c r="C878" s="21" t="str">
        <x:v>stage build</x:v>
      </x:c>
      <x:c r="D878" s="21" t="str">
        <x:v>targeted additions nonnegative row 152</x:v>
      </x:c>
      <x:c r="E878" s="21" t="n">
        <x:f>IF(AND('Stage Build'!G152&gt;=0,'Stage Build'!H152&gt;=0),1,0)</x:f>
        <x:v>1</x:v>
      </x:c>
      <x:c r="F878" s="21" t="n">
        <x:v>1</x:v>
      </x:c>
      <x:c r="G878" s="23" t="str">
        <x:f>IF(E878=F878,"PASS","FAIL")</x:f>
        <x:v>PASS</x:v>
      </x:c>
    </x:row>
    <x:row r="879">
      <x:c r="B879" s="21" t="str">
        <x:v>C0873</x:v>
      </x:c>
      <x:c r="C879" s="21" t="str">
        <x:v>stage build</x:v>
      </x:c>
      <x:c r="D879" s="21" t="str">
        <x:v>pre-replication identity row 152</x:v>
      </x:c>
      <x:c r="E879" s="21" t="n">
        <x:f>IF(ABS('Stage Build'!I152-SUM('Stage Build'!F152:H152))&lt;0.000001,1,0)</x:f>
        <x:v>1</x:v>
      </x:c>
      <x:c r="F879" s="21" t="n">
        <x:v>1</x:v>
      </x:c>
      <x:c r="G879" s="23" t="str">
        <x:f>IF(E879=F879,"PASS","FAIL")</x:f>
        <x:v>PASS</x:v>
      </x:c>
    </x:row>
    <x:row r="880">
      <x:c r="B880" s="21" t="str">
        <x:v>C0874</x:v>
      </x:c>
      <x:c r="C880" s="21" t="str">
        <x:v>stage build</x:v>
      </x:c>
      <x:c r="D880" s="21" t="str">
        <x:v>replication layer nonnegative row 152</x:v>
      </x:c>
      <x:c r="E880" s="21" t="n">
        <x:f>IF('Stage Build'!J152&gt;=0,1,0)</x:f>
        <x:v>1</x:v>
      </x:c>
      <x:c r="F880" s="21" t="n">
        <x:v>1</x:v>
      </x:c>
      <x:c r="G880" s="23" t="str">
        <x:f>IF(E880=F880,"PASS","FAIL")</x:f>
        <x:v>PASS</x:v>
      </x:c>
    </x:row>
    <x:row r="881">
      <x:c r="B881" s="21" t="str">
        <x:v>C0875</x:v>
      </x:c>
      <x:c r="C881" s="21" t="str">
        <x:v>stage build</x:v>
      </x:c>
      <x:c r="D881" s="21" t="str">
        <x:v>designed ratio identity row 152</x:v>
      </x:c>
      <x:c r="E881" s="21" t="n">
        <x:f>IF(ABS('Stage Build'!K152-'Stage Build'!I152-'Stage Build'!J152)&lt;0.000001,1,0)</x:f>
        <x:v>1</x:v>
      </x:c>
      <x:c r="F881" s="21" t="n">
        <x:v>1</x:v>
      </x:c>
      <x:c r="G881" s="23" t="str">
        <x:f>IF(E881=F881,"PASS","FAIL")</x:f>
        <x:v>PASS</x:v>
      </x:c>
    </x:row>
    <x:row r="882">
      <x:c r="B882" s="21" t="str">
        <x:v>C0876</x:v>
      </x:c>
      <x:c r="C882" s="21" t="str">
        <x:v>stage build</x:v>
      </x:c>
      <x:c r="D882" s="21" t="str">
        <x:v>M05 status identity row 152</x:v>
      </x:c>
      <x:c r="E882" s="21" t="n">
        <x:f>IF('Stage Build'!L152=IF('Stage Build'!K152&gt;=Assumptions!$C$9,"ADEQUATE","GAP"),1,0)</x:f>
        <x:v>1</x:v>
      </x:c>
      <x:c r="F882" s="21" t="n">
        <x:v>1</x:v>
      </x:c>
      <x:c r="G882" s="23" t="str">
        <x:f>IF(E882=F882,"PASS","FAIL")</x:f>
        <x:v>PASS</x:v>
      </x:c>
    </x:row>
    <x:row r="883">
      <x:c r="B883" s="21" t="str">
        <x:v>C0877</x:v>
      </x:c>
      <x:c r="C883" s="21" t="str">
        <x:v>stage build</x:v>
      </x:c>
      <x:c r="D883" s="21" t="str">
        <x:v>baseline nonnegative row 153</x:v>
      </x:c>
      <x:c r="E883" s="21" t="n">
        <x:f>IF('Stage Build'!F153&gt;=0,1,0)</x:f>
        <x:v>1</x:v>
      </x:c>
      <x:c r="F883" s="21" t="n">
        <x:v>1</x:v>
      </x:c>
      <x:c r="G883" s="23" t="str">
        <x:f>IF(E883=F883,"PASS","FAIL")</x:f>
        <x:v>PASS</x:v>
      </x:c>
    </x:row>
    <x:row r="884">
      <x:c r="B884" s="21" t="str">
        <x:v>C0878</x:v>
      </x:c>
      <x:c r="C884" s="21" t="str">
        <x:v>stage build</x:v>
      </x:c>
      <x:c r="D884" s="21" t="str">
        <x:v>targeted additions nonnegative row 153</x:v>
      </x:c>
      <x:c r="E884" s="21" t="n">
        <x:f>IF(AND('Stage Build'!G153&gt;=0,'Stage Build'!H153&gt;=0),1,0)</x:f>
        <x:v>1</x:v>
      </x:c>
      <x:c r="F884" s="21" t="n">
        <x:v>1</x:v>
      </x:c>
      <x:c r="G884" s="23" t="str">
        <x:f>IF(E884=F884,"PASS","FAIL")</x:f>
        <x:v>PASS</x:v>
      </x:c>
    </x:row>
    <x:row r="885">
      <x:c r="B885" s="21" t="str">
        <x:v>C0879</x:v>
      </x:c>
      <x:c r="C885" s="21" t="str">
        <x:v>stage build</x:v>
      </x:c>
      <x:c r="D885" s="21" t="str">
        <x:v>pre-replication identity row 153</x:v>
      </x:c>
      <x:c r="E885" s="21" t="n">
        <x:f>IF(ABS('Stage Build'!I153-SUM('Stage Build'!F153:H153))&lt;0.000001,1,0)</x:f>
        <x:v>1</x:v>
      </x:c>
      <x:c r="F885" s="21" t="n">
        <x:v>1</x:v>
      </x:c>
      <x:c r="G885" s="23" t="str">
        <x:f>IF(E885=F885,"PASS","FAIL")</x:f>
        <x:v>PASS</x:v>
      </x:c>
    </x:row>
    <x:row r="886">
      <x:c r="B886" s="21" t="str">
        <x:v>C0880</x:v>
      </x:c>
      <x:c r="C886" s="21" t="str">
        <x:v>stage build</x:v>
      </x:c>
      <x:c r="D886" s="21" t="str">
        <x:v>replication layer nonnegative row 153</x:v>
      </x:c>
      <x:c r="E886" s="21" t="n">
        <x:f>IF('Stage Build'!J153&gt;=0,1,0)</x:f>
        <x:v>1</x:v>
      </x:c>
      <x:c r="F886" s="21" t="n">
        <x:v>1</x:v>
      </x:c>
      <x:c r="G886" s="23" t="str">
        <x:f>IF(E886=F886,"PASS","FAIL")</x:f>
        <x:v>PASS</x:v>
      </x:c>
    </x:row>
    <x:row r="887">
      <x:c r="B887" s="21" t="str">
        <x:v>C0881</x:v>
      </x:c>
      <x:c r="C887" s="21" t="str">
        <x:v>stage build</x:v>
      </x:c>
      <x:c r="D887" s="21" t="str">
        <x:v>designed ratio identity row 153</x:v>
      </x:c>
      <x:c r="E887" s="21" t="n">
        <x:f>IF(ABS('Stage Build'!K153-'Stage Build'!I153-'Stage Build'!J153)&lt;0.000001,1,0)</x:f>
        <x:v>1</x:v>
      </x:c>
      <x:c r="F887" s="21" t="n">
        <x:v>1</x:v>
      </x:c>
      <x:c r="G887" s="23" t="str">
        <x:f>IF(E887=F887,"PASS","FAIL")</x:f>
        <x:v>PASS</x:v>
      </x:c>
    </x:row>
    <x:row r="888">
      <x:c r="B888" s="21" t="str">
        <x:v>C0882</x:v>
      </x:c>
      <x:c r="C888" s="21" t="str">
        <x:v>stage build</x:v>
      </x:c>
      <x:c r="D888" s="21" t="str">
        <x:v>M05 status identity row 153</x:v>
      </x:c>
      <x:c r="E888" s="21" t="n">
        <x:f>IF('Stage Build'!L153=IF('Stage Build'!K153&gt;=Assumptions!$C$9,"ADEQUATE","GAP"),1,0)</x:f>
        <x:v>1</x:v>
      </x:c>
      <x:c r="F888" s="21" t="n">
        <x:v>1</x:v>
      </x:c>
      <x:c r="G888" s="23" t="str">
        <x:f>IF(E888=F888,"PASS","FAIL")</x:f>
        <x:v>PASS</x:v>
      </x:c>
    </x:row>
    <x:row r="889">
      <x:c r="B889" s="21" t="str">
        <x:v>C0883</x:v>
      </x:c>
      <x:c r="C889" s="21" t="str">
        <x:v>stage build</x:v>
      </x:c>
      <x:c r="D889" s="21" t="str">
        <x:v>baseline nonnegative row 154</x:v>
      </x:c>
      <x:c r="E889" s="21" t="n">
        <x:f>IF('Stage Build'!F154&gt;=0,1,0)</x:f>
        <x:v>1</x:v>
      </x:c>
      <x:c r="F889" s="21" t="n">
        <x:v>1</x:v>
      </x:c>
      <x:c r="G889" s="23" t="str">
        <x:f>IF(E889=F889,"PASS","FAIL")</x:f>
        <x:v>PASS</x:v>
      </x:c>
    </x:row>
    <x:row r="890">
      <x:c r="B890" s="21" t="str">
        <x:v>C0884</x:v>
      </x:c>
      <x:c r="C890" s="21" t="str">
        <x:v>stage build</x:v>
      </x:c>
      <x:c r="D890" s="21" t="str">
        <x:v>targeted additions nonnegative row 154</x:v>
      </x:c>
      <x:c r="E890" s="21" t="n">
        <x:f>IF(AND('Stage Build'!G154&gt;=0,'Stage Build'!H154&gt;=0),1,0)</x:f>
        <x:v>1</x:v>
      </x:c>
      <x:c r="F890" s="21" t="n">
        <x:v>1</x:v>
      </x:c>
      <x:c r="G890" s="23" t="str">
        <x:f>IF(E890=F890,"PASS","FAIL")</x:f>
        <x:v>PASS</x:v>
      </x:c>
    </x:row>
    <x:row r="891">
      <x:c r="B891" s="21" t="str">
        <x:v>C0885</x:v>
      </x:c>
      <x:c r="C891" s="21" t="str">
        <x:v>stage build</x:v>
      </x:c>
      <x:c r="D891" s="21" t="str">
        <x:v>pre-replication identity row 154</x:v>
      </x:c>
      <x:c r="E891" s="21" t="n">
        <x:f>IF(ABS('Stage Build'!I154-SUM('Stage Build'!F154:H154))&lt;0.000001,1,0)</x:f>
        <x:v>1</x:v>
      </x:c>
      <x:c r="F891" s="21" t="n">
        <x:v>1</x:v>
      </x:c>
      <x:c r="G891" s="23" t="str">
        <x:f>IF(E891=F891,"PASS","FAIL")</x:f>
        <x:v>PASS</x:v>
      </x:c>
    </x:row>
    <x:row r="892">
      <x:c r="B892" s="21" t="str">
        <x:v>C0886</x:v>
      </x:c>
      <x:c r="C892" s="21" t="str">
        <x:v>stage build</x:v>
      </x:c>
      <x:c r="D892" s="21" t="str">
        <x:v>replication layer nonnegative row 154</x:v>
      </x:c>
      <x:c r="E892" s="21" t="n">
        <x:f>IF('Stage Build'!J154&gt;=0,1,0)</x:f>
        <x:v>1</x:v>
      </x:c>
      <x:c r="F892" s="21" t="n">
        <x:v>1</x:v>
      </x:c>
      <x:c r="G892" s="23" t="str">
        <x:f>IF(E892=F892,"PASS","FAIL")</x:f>
        <x:v>PASS</x:v>
      </x:c>
    </x:row>
    <x:row r="893">
      <x:c r="B893" s="21" t="str">
        <x:v>C0887</x:v>
      </x:c>
      <x:c r="C893" s="21" t="str">
        <x:v>stage build</x:v>
      </x:c>
      <x:c r="D893" s="21" t="str">
        <x:v>designed ratio identity row 154</x:v>
      </x:c>
      <x:c r="E893" s="21" t="n">
        <x:f>IF(ABS('Stage Build'!K154-'Stage Build'!I154-'Stage Build'!J154)&lt;0.000001,1,0)</x:f>
        <x:v>1</x:v>
      </x:c>
      <x:c r="F893" s="21" t="n">
        <x:v>1</x:v>
      </x:c>
      <x:c r="G893" s="23" t="str">
        <x:f>IF(E893=F893,"PASS","FAIL")</x:f>
        <x:v>PASS</x:v>
      </x:c>
    </x:row>
    <x:row r="894">
      <x:c r="B894" s="21" t="str">
        <x:v>C0888</x:v>
      </x:c>
      <x:c r="C894" s="21" t="str">
        <x:v>stage build</x:v>
      </x:c>
      <x:c r="D894" s="21" t="str">
        <x:v>M05 status identity row 154</x:v>
      </x:c>
      <x:c r="E894" s="21" t="n">
        <x:f>IF('Stage Build'!L154=IF('Stage Build'!K154&gt;=Assumptions!$C$9,"ADEQUATE","GAP"),1,0)</x:f>
        <x:v>1</x:v>
      </x:c>
      <x:c r="F894" s="21" t="n">
        <x:v>1</x:v>
      </x:c>
      <x:c r="G894" s="23" t="str">
        <x:f>IF(E894=F894,"PASS","FAIL")</x:f>
        <x:v>PASS</x:v>
      </x:c>
    </x:row>
    <x:row r="895">
      <x:c r="B895" s="21" t="str">
        <x:v>C0889</x:v>
      </x:c>
      <x:c r="C895" s="21" t="str">
        <x:v>stage build</x:v>
      </x:c>
      <x:c r="D895" s="21" t="str">
        <x:v>baseline nonnegative row 155</x:v>
      </x:c>
      <x:c r="E895" s="21" t="n">
        <x:f>IF('Stage Build'!F155&gt;=0,1,0)</x:f>
        <x:v>1</x:v>
      </x:c>
      <x:c r="F895" s="21" t="n">
        <x:v>1</x:v>
      </x:c>
      <x:c r="G895" s="23" t="str">
        <x:f>IF(E895=F895,"PASS","FAIL")</x:f>
        <x:v>PASS</x:v>
      </x:c>
    </x:row>
    <x:row r="896">
      <x:c r="B896" s="21" t="str">
        <x:v>C0890</x:v>
      </x:c>
      <x:c r="C896" s="21" t="str">
        <x:v>stage build</x:v>
      </x:c>
      <x:c r="D896" s="21" t="str">
        <x:v>targeted additions nonnegative row 155</x:v>
      </x:c>
      <x:c r="E896" s="21" t="n">
        <x:f>IF(AND('Stage Build'!G155&gt;=0,'Stage Build'!H155&gt;=0),1,0)</x:f>
        <x:v>1</x:v>
      </x:c>
      <x:c r="F896" s="21" t="n">
        <x:v>1</x:v>
      </x:c>
      <x:c r="G896" s="23" t="str">
        <x:f>IF(E896=F896,"PASS","FAIL")</x:f>
        <x:v>PASS</x:v>
      </x:c>
    </x:row>
    <x:row r="897">
      <x:c r="B897" s="21" t="str">
        <x:v>C0891</x:v>
      </x:c>
      <x:c r="C897" s="21" t="str">
        <x:v>stage build</x:v>
      </x:c>
      <x:c r="D897" s="21" t="str">
        <x:v>pre-replication identity row 155</x:v>
      </x:c>
      <x:c r="E897" s="21" t="n">
        <x:f>IF(ABS('Stage Build'!I155-SUM('Stage Build'!F155:H155))&lt;0.000001,1,0)</x:f>
        <x:v>1</x:v>
      </x:c>
      <x:c r="F897" s="21" t="n">
        <x:v>1</x:v>
      </x:c>
      <x:c r="G897" s="23" t="str">
        <x:f>IF(E897=F897,"PASS","FAIL")</x:f>
        <x:v>PASS</x:v>
      </x:c>
    </x:row>
    <x:row r="898">
      <x:c r="B898" s="21" t="str">
        <x:v>C0892</x:v>
      </x:c>
      <x:c r="C898" s="21" t="str">
        <x:v>stage build</x:v>
      </x:c>
      <x:c r="D898" s="21" t="str">
        <x:v>replication layer nonnegative row 155</x:v>
      </x:c>
      <x:c r="E898" s="21" t="n">
        <x:f>IF('Stage Build'!J155&gt;=0,1,0)</x:f>
        <x:v>1</x:v>
      </x:c>
      <x:c r="F898" s="21" t="n">
        <x:v>1</x:v>
      </x:c>
      <x:c r="G898" s="23" t="str">
        <x:f>IF(E898=F898,"PASS","FAIL")</x:f>
        <x:v>PASS</x:v>
      </x:c>
    </x:row>
    <x:row r="899">
      <x:c r="B899" s="21" t="str">
        <x:v>C0893</x:v>
      </x:c>
      <x:c r="C899" s="21" t="str">
        <x:v>stage build</x:v>
      </x:c>
      <x:c r="D899" s="21" t="str">
        <x:v>designed ratio identity row 155</x:v>
      </x:c>
      <x:c r="E899" s="21" t="n">
        <x:f>IF(ABS('Stage Build'!K155-'Stage Build'!I155-'Stage Build'!J155)&lt;0.000001,1,0)</x:f>
        <x:v>1</x:v>
      </x:c>
      <x:c r="F899" s="21" t="n">
        <x:v>1</x:v>
      </x:c>
      <x:c r="G899" s="23" t="str">
        <x:f>IF(E899=F899,"PASS","FAIL")</x:f>
        <x:v>PASS</x:v>
      </x:c>
    </x:row>
    <x:row r="900">
      <x:c r="B900" s="21" t="str">
        <x:v>C0894</x:v>
      </x:c>
      <x:c r="C900" s="21" t="str">
        <x:v>stage build</x:v>
      </x:c>
      <x:c r="D900" s="21" t="str">
        <x:v>M05 status identity row 155</x:v>
      </x:c>
      <x:c r="E900" s="21" t="n">
        <x:f>IF('Stage Build'!L155=IF('Stage Build'!K155&gt;=Assumptions!$C$9,"ADEQUATE","GAP"),1,0)</x:f>
        <x:v>1</x:v>
      </x:c>
      <x:c r="F900" s="21" t="n">
        <x:v>1</x:v>
      </x:c>
      <x:c r="G900" s="23" t="str">
        <x:f>IF(E900=F900,"PASS","FAIL")</x:f>
        <x:v>PASS</x:v>
      </x:c>
    </x:row>
    <x:row r="901">
      <x:c r="B901" s="21" t="str">
        <x:v>C0895</x:v>
      </x:c>
      <x:c r="C901" s="21" t="str">
        <x:v>stage build</x:v>
      </x:c>
      <x:c r="D901" s="21" t="str">
        <x:v>baseline nonnegative row 156</x:v>
      </x:c>
      <x:c r="E901" s="21" t="n">
        <x:f>IF('Stage Build'!F156&gt;=0,1,0)</x:f>
        <x:v>1</x:v>
      </x:c>
      <x:c r="F901" s="21" t="n">
        <x:v>1</x:v>
      </x:c>
      <x:c r="G901" s="23" t="str">
        <x:f>IF(E901=F901,"PASS","FAIL")</x:f>
        <x:v>PASS</x:v>
      </x:c>
    </x:row>
    <x:row r="902">
      <x:c r="B902" s="21" t="str">
        <x:v>C0896</x:v>
      </x:c>
      <x:c r="C902" s="21" t="str">
        <x:v>stage build</x:v>
      </x:c>
      <x:c r="D902" s="21" t="str">
        <x:v>targeted additions nonnegative row 156</x:v>
      </x:c>
      <x:c r="E902" s="21" t="n">
        <x:f>IF(AND('Stage Build'!G156&gt;=0,'Stage Build'!H156&gt;=0),1,0)</x:f>
        <x:v>1</x:v>
      </x:c>
      <x:c r="F902" s="21" t="n">
        <x:v>1</x:v>
      </x:c>
      <x:c r="G902" s="23" t="str">
        <x:f>IF(E902=F902,"PASS","FAIL")</x:f>
        <x:v>PASS</x:v>
      </x:c>
    </x:row>
    <x:row r="903">
      <x:c r="B903" s="21" t="str">
        <x:v>C0897</x:v>
      </x:c>
      <x:c r="C903" s="21" t="str">
        <x:v>stage build</x:v>
      </x:c>
      <x:c r="D903" s="21" t="str">
        <x:v>pre-replication identity row 156</x:v>
      </x:c>
      <x:c r="E903" s="21" t="n">
        <x:f>IF(ABS('Stage Build'!I156-SUM('Stage Build'!F156:H156))&lt;0.000001,1,0)</x:f>
        <x:v>1</x:v>
      </x:c>
      <x:c r="F903" s="21" t="n">
        <x:v>1</x:v>
      </x:c>
      <x:c r="G903" s="23" t="str">
        <x:f>IF(E903=F903,"PASS","FAIL")</x:f>
        <x:v>PASS</x:v>
      </x:c>
    </x:row>
    <x:row r="904">
      <x:c r="B904" s="21" t="str">
        <x:v>C0898</x:v>
      </x:c>
      <x:c r="C904" s="21" t="str">
        <x:v>stage build</x:v>
      </x:c>
      <x:c r="D904" s="21" t="str">
        <x:v>replication layer nonnegative row 156</x:v>
      </x:c>
      <x:c r="E904" s="21" t="n">
        <x:f>IF('Stage Build'!J156&gt;=0,1,0)</x:f>
        <x:v>1</x:v>
      </x:c>
      <x:c r="F904" s="21" t="n">
        <x:v>1</x:v>
      </x:c>
      <x:c r="G904" s="23" t="str">
        <x:f>IF(E904=F904,"PASS","FAIL")</x:f>
        <x:v>PASS</x:v>
      </x:c>
    </x:row>
    <x:row r="905">
      <x:c r="B905" s="21" t="str">
        <x:v>C0899</x:v>
      </x:c>
      <x:c r="C905" s="21" t="str">
        <x:v>stage build</x:v>
      </x:c>
      <x:c r="D905" s="21" t="str">
        <x:v>designed ratio identity row 156</x:v>
      </x:c>
      <x:c r="E905" s="21" t="n">
        <x:f>IF(ABS('Stage Build'!K156-'Stage Build'!I156-'Stage Build'!J156)&lt;0.000001,1,0)</x:f>
        <x:v>1</x:v>
      </x:c>
      <x:c r="F905" s="21" t="n">
        <x:v>1</x:v>
      </x:c>
      <x:c r="G905" s="23" t="str">
        <x:f>IF(E905=F905,"PASS","FAIL")</x:f>
        <x:v>PASS</x:v>
      </x:c>
    </x:row>
    <x:row r="906">
      <x:c r="B906" s="21" t="str">
        <x:v>C0900</x:v>
      </x:c>
      <x:c r="C906" s="21" t="str">
        <x:v>stage build</x:v>
      </x:c>
      <x:c r="D906" s="21" t="str">
        <x:v>M05 status identity row 156</x:v>
      </x:c>
      <x:c r="E906" s="21" t="n">
        <x:f>IF('Stage Build'!L156=IF('Stage Build'!K156&gt;=Assumptions!$C$9,"ADEQUATE","GAP"),1,0)</x:f>
        <x:v>1</x:v>
      </x:c>
      <x:c r="F906" s="21" t="n">
        <x:v>1</x:v>
      </x:c>
      <x:c r="G906" s="23" t="str">
        <x:f>IF(E906=F906,"PASS","FAIL")</x:f>
        <x:v>PASS</x:v>
      </x:c>
    </x:row>
    <x:row r="907">
      <x:c r="B907" s="21" t="str">
        <x:v>C0901</x:v>
      </x:c>
      <x:c r="C907" s="21" t="str">
        <x:v>stage build</x:v>
      </x:c>
      <x:c r="D907" s="21" t="str">
        <x:v>baseline nonnegative row 157</x:v>
      </x:c>
      <x:c r="E907" s="21" t="n">
        <x:f>IF('Stage Build'!F157&gt;=0,1,0)</x:f>
        <x:v>1</x:v>
      </x:c>
      <x:c r="F907" s="21" t="n">
        <x:v>1</x:v>
      </x:c>
      <x:c r="G907" s="23" t="str">
        <x:f>IF(E907=F907,"PASS","FAIL")</x:f>
        <x:v>PASS</x:v>
      </x:c>
    </x:row>
    <x:row r="908">
      <x:c r="B908" s="21" t="str">
        <x:v>C0902</x:v>
      </x:c>
      <x:c r="C908" s="21" t="str">
        <x:v>stage build</x:v>
      </x:c>
      <x:c r="D908" s="21" t="str">
        <x:v>targeted additions nonnegative row 157</x:v>
      </x:c>
      <x:c r="E908" s="21" t="n">
        <x:f>IF(AND('Stage Build'!G157&gt;=0,'Stage Build'!H157&gt;=0),1,0)</x:f>
        <x:v>1</x:v>
      </x:c>
      <x:c r="F908" s="21" t="n">
        <x:v>1</x:v>
      </x:c>
      <x:c r="G908" s="23" t="str">
        <x:f>IF(E908=F908,"PASS","FAIL")</x:f>
        <x:v>PASS</x:v>
      </x:c>
    </x:row>
    <x:row r="909">
      <x:c r="B909" s="21" t="str">
        <x:v>C0903</x:v>
      </x:c>
      <x:c r="C909" s="21" t="str">
        <x:v>stage build</x:v>
      </x:c>
      <x:c r="D909" s="21" t="str">
        <x:v>pre-replication identity row 157</x:v>
      </x:c>
      <x:c r="E909" s="21" t="n">
        <x:f>IF(ABS('Stage Build'!I157-SUM('Stage Build'!F157:H157))&lt;0.000001,1,0)</x:f>
        <x:v>1</x:v>
      </x:c>
      <x:c r="F909" s="21" t="n">
        <x:v>1</x:v>
      </x:c>
      <x:c r="G909" s="23" t="str">
        <x:f>IF(E909=F909,"PASS","FAIL")</x:f>
        <x:v>PASS</x:v>
      </x:c>
    </x:row>
    <x:row r="910">
      <x:c r="B910" s="21" t="str">
        <x:v>C0904</x:v>
      </x:c>
      <x:c r="C910" s="21" t="str">
        <x:v>stage build</x:v>
      </x:c>
      <x:c r="D910" s="21" t="str">
        <x:v>replication layer nonnegative row 157</x:v>
      </x:c>
      <x:c r="E910" s="21" t="n">
        <x:f>IF('Stage Build'!J157&gt;=0,1,0)</x:f>
        <x:v>1</x:v>
      </x:c>
      <x:c r="F910" s="21" t="n">
        <x:v>1</x:v>
      </x:c>
      <x:c r="G910" s="23" t="str">
        <x:f>IF(E910=F910,"PASS","FAIL")</x:f>
        <x:v>PASS</x:v>
      </x:c>
    </x:row>
    <x:row r="911">
      <x:c r="B911" s="21" t="str">
        <x:v>C0905</x:v>
      </x:c>
      <x:c r="C911" s="21" t="str">
        <x:v>stage build</x:v>
      </x:c>
      <x:c r="D911" s="21" t="str">
        <x:v>designed ratio identity row 157</x:v>
      </x:c>
      <x:c r="E911" s="21" t="n">
        <x:f>IF(ABS('Stage Build'!K157-'Stage Build'!I157-'Stage Build'!J157)&lt;0.000001,1,0)</x:f>
        <x:v>1</x:v>
      </x:c>
      <x:c r="F911" s="21" t="n">
        <x:v>1</x:v>
      </x:c>
      <x:c r="G911" s="23" t="str">
        <x:f>IF(E911=F911,"PASS","FAIL")</x:f>
        <x:v>PASS</x:v>
      </x:c>
    </x:row>
    <x:row r="912">
      <x:c r="B912" s="21" t="str">
        <x:v>C0906</x:v>
      </x:c>
      <x:c r="C912" s="21" t="str">
        <x:v>stage build</x:v>
      </x:c>
      <x:c r="D912" s="21" t="str">
        <x:v>M05 status identity row 157</x:v>
      </x:c>
      <x:c r="E912" s="21" t="n">
        <x:f>IF('Stage Build'!L157=IF('Stage Build'!K157&gt;=Assumptions!$C$9,"ADEQUATE","GAP"),1,0)</x:f>
        <x:v>1</x:v>
      </x:c>
      <x:c r="F912" s="21" t="n">
        <x:v>1</x:v>
      </x:c>
      <x:c r="G912" s="23" t="str">
        <x:f>IF(E912=F912,"PASS","FAIL")</x:f>
        <x:v>PASS</x:v>
      </x:c>
    </x:row>
    <x:row r="913">
      <x:c r="B913" s="21" t="str">
        <x:v>C0907</x:v>
      </x:c>
      <x:c r="C913" s="21" t="str">
        <x:v>stage build</x:v>
      </x:c>
      <x:c r="D913" s="21" t="str">
        <x:v>baseline nonnegative row 158</x:v>
      </x:c>
      <x:c r="E913" s="21" t="n">
        <x:f>IF('Stage Build'!F158&gt;=0,1,0)</x:f>
        <x:v>1</x:v>
      </x:c>
      <x:c r="F913" s="21" t="n">
        <x:v>1</x:v>
      </x:c>
      <x:c r="G913" s="23" t="str">
        <x:f>IF(E913=F913,"PASS","FAIL")</x:f>
        <x:v>PASS</x:v>
      </x:c>
    </x:row>
    <x:row r="914">
      <x:c r="B914" s="21" t="str">
        <x:v>C0908</x:v>
      </x:c>
      <x:c r="C914" s="21" t="str">
        <x:v>stage build</x:v>
      </x:c>
      <x:c r="D914" s="21" t="str">
        <x:v>targeted additions nonnegative row 158</x:v>
      </x:c>
      <x:c r="E914" s="21" t="n">
        <x:f>IF(AND('Stage Build'!G158&gt;=0,'Stage Build'!H158&gt;=0),1,0)</x:f>
        <x:v>1</x:v>
      </x:c>
      <x:c r="F914" s="21" t="n">
        <x:v>1</x:v>
      </x:c>
      <x:c r="G914" s="23" t="str">
        <x:f>IF(E914=F914,"PASS","FAIL")</x:f>
        <x:v>PASS</x:v>
      </x:c>
    </x:row>
    <x:row r="915">
      <x:c r="B915" s="21" t="str">
        <x:v>C0909</x:v>
      </x:c>
      <x:c r="C915" s="21" t="str">
        <x:v>stage build</x:v>
      </x:c>
      <x:c r="D915" s="21" t="str">
        <x:v>pre-replication identity row 158</x:v>
      </x:c>
      <x:c r="E915" s="21" t="n">
        <x:f>IF(ABS('Stage Build'!I158-SUM('Stage Build'!F158:H158))&lt;0.000001,1,0)</x:f>
        <x:v>1</x:v>
      </x:c>
      <x:c r="F915" s="21" t="n">
        <x:v>1</x:v>
      </x:c>
      <x:c r="G915" s="23" t="str">
        <x:f>IF(E915=F915,"PASS","FAIL")</x:f>
        <x:v>PASS</x:v>
      </x:c>
    </x:row>
    <x:row r="916">
      <x:c r="B916" s="21" t="str">
        <x:v>C0910</x:v>
      </x:c>
      <x:c r="C916" s="21" t="str">
        <x:v>stage build</x:v>
      </x:c>
      <x:c r="D916" s="21" t="str">
        <x:v>replication layer nonnegative row 158</x:v>
      </x:c>
      <x:c r="E916" s="21" t="n">
        <x:f>IF('Stage Build'!J158&gt;=0,1,0)</x:f>
        <x:v>1</x:v>
      </x:c>
      <x:c r="F916" s="21" t="n">
        <x:v>1</x:v>
      </x:c>
      <x:c r="G916" s="23" t="str">
        <x:f>IF(E916=F916,"PASS","FAIL")</x:f>
        <x:v>PASS</x:v>
      </x:c>
    </x:row>
    <x:row r="917">
      <x:c r="B917" s="21" t="str">
        <x:v>C0911</x:v>
      </x:c>
      <x:c r="C917" s="21" t="str">
        <x:v>stage build</x:v>
      </x:c>
      <x:c r="D917" s="21" t="str">
        <x:v>designed ratio identity row 158</x:v>
      </x:c>
      <x:c r="E917" s="21" t="n">
        <x:f>IF(ABS('Stage Build'!K158-'Stage Build'!I158-'Stage Build'!J158)&lt;0.000001,1,0)</x:f>
        <x:v>1</x:v>
      </x:c>
      <x:c r="F917" s="21" t="n">
        <x:v>1</x:v>
      </x:c>
      <x:c r="G917" s="23" t="str">
        <x:f>IF(E917=F917,"PASS","FAIL")</x:f>
        <x:v>PASS</x:v>
      </x:c>
    </x:row>
    <x:row r="918">
      <x:c r="B918" s="21" t="str">
        <x:v>C0912</x:v>
      </x:c>
      <x:c r="C918" s="21" t="str">
        <x:v>stage build</x:v>
      </x:c>
      <x:c r="D918" s="21" t="str">
        <x:v>M05 status identity row 158</x:v>
      </x:c>
      <x:c r="E918" s="21" t="n">
        <x:f>IF('Stage Build'!L158=IF('Stage Build'!K158&gt;=Assumptions!$C$9,"ADEQUATE","GAP"),1,0)</x:f>
        <x:v>1</x:v>
      </x:c>
      <x:c r="F918" s="21" t="n">
        <x:v>1</x:v>
      </x:c>
      <x:c r="G918" s="23" t="str">
        <x:f>IF(E918=F918,"PASS","FAIL")</x:f>
        <x:v>PASS</x:v>
      </x:c>
    </x:row>
    <x:row r="919">
      <x:c r="B919" s="21" t="str">
        <x:v>C0913</x:v>
      </x:c>
      <x:c r="C919" s="21" t="str">
        <x:v>stage build</x:v>
      </x:c>
      <x:c r="D919" s="21" t="str">
        <x:v>baseline nonnegative row 159</x:v>
      </x:c>
      <x:c r="E919" s="21" t="n">
        <x:f>IF('Stage Build'!F159&gt;=0,1,0)</x:f>
        <x:v>1</x:v>
      </x:c>
      <x:c r="F919" s="21" t="n">
        <x:v>1</x:v>
      </x:c>
      <x:c r="G919" s="23" t="str">
        <x:f>IF(E919=F919,"PASS","FAIL")</x:f>
        <x:v>PASS</x:v>
      </x:c>
    </x:row>
    <x:row r="920">
      <x:c r="B920" s="21" t="str">
        <x:v>C0914</x:v>
      </x:c>
      <x:c r="C920" s="21" t="str">
        <x:v>stage build</x:v>
      </x:c>
      <x:c r="D920" s="21" t="str">
        <x:v>targeted additions nonnegative row 159</x:v>
      </x:c>
      <x:c r="E920" s="21" t="n">
        <x:f>IF(AND('Stage Build'!G159&gt;=0,'Stage Build'!H159&gt;=0),1,0)</x:f>
        <x:v>1</x:v>
      </x:c>
      <x:c r="F920" s="21" t="n">
        <x:v>1</x:v>
      </x:c>
      <x:c r="G920" s="23" t="str">
        <x:f>IF(E920=F920,"PASS","FAIL")</x:f>
        <x:v>PASS</x:v>
      </x:c>
    </x:row>
    <x:row r="921">
      <x:c r="B921" s="21" t="str">
        <x:v>C0915</x:v>
      </x:c>
      <x:c r="C921" s="21" t="str">
        <x:v>stage build</x:v>
      </x:c>
      <x:c r="D921" s="21" t="str">
        <x:v>pre-replication identity row 159</x:v>
      </x:c>
      <x:c r="E921" s="21" t="n">
        <x:f>IF(ABS('Stage Build'!I159-SUM('Stage Build'!F159:H159))&lt;0.000001,1,0)</x:f>
        <x:v>1</x:v>
      </x:c>
      <x:c r="F921" s="21" t="n">
        <x:v>1</x:v>
      </x:c>
      <x:c r="G921" s="23" t="str">
        <x:f>IF(E921=F921,"PASS","FAIL")</x:f>
        <x:v>PASS</x:v>
      </x:c>
    </x:row>
    <x:row r="922">
      <x:c r="B922" s="21" t="str">
        <x:v>C0916</x:v>
      </x:c>
      <x:c r="C922" s="21" t="str">
        <x:v>stage build</x:v>
      </x:c>
      <x:c r="D922" s="21" t="str">
        <x:v>replication layer nonnegative row 159</x:v>
      </x:c>
      <x:c r="E922" s="21" t="n">
        <x:f>IF('Stage Build'!J159&gt;=0,1,0)</x:f>
        <x:v>1</x:v>
      </x:c>
      <x:c r="F922" s="21" t="n">
        <x:v>1</x:v>
      </x:c>
      <x:c r="G922" s="23" t="str">
        <x:f>IF(E922=F922,"PASS","FAIL")</x:f>
        <x:v>PASS</x:v>
      </x:c>
    </x:row>
    <x:row r="923">
      <x:c r="B923" s="21" t="str">
        <x:v>C0917</x:v>
      </x:c>
      <x:c r="C923" s="21" t="str">
        <x:v>stage build</x:v>
      </x:c>
      <x:c r="D923" s="21" t="str">
        <x:v>designed ratio identity row 159</x:v>
      </x:c>
      <x:c r="E923" s="21" t="n">
        <x:f>IF(ABS('Stage Build'!K159-'Stage Build'!I159-'Stage Build'!J159)&lt;0.000001,1,0)</x:f>
        <x:v>1</x:v>
      </x:c>
      <x:c r="F923" s="21" t="n">
        <x:v>1</x:v>
      </x:c>
      <x:c r="G923" s="23" t="str">
        <x:f>IF(E923=F923,"PASS","FAIL")</x:f>
        <x:v>PASS</x:v>
      </x:c>
    </x:row>
    <x:row r="924">
      <x:c r="B924" s="21" t="str">
        <x:v>C0918</x:v>
      </x:c>
      <x:c r="C924" s="21" t="str">
        <x:v>stage build</x:v>
      </x:c>
      <x:c r="D924" s="21" t="str">
        <x:v>M05 status identity row 159</x:v>
      </x:c>
      <x:c r="E924" s="21" t="n">
        <x:f>IF('Stage Build'!L159=IF('Stage Build'!K159&gt;=Assumptions!$C$9,"ADEQUATE","GAP"),1,0)</x:f>
        <x:v>1</x:v>
      </x:c>
      <x:c r="F924" s="21" t="n">
        <x:v>1</x:v>
      </x:c>
      <x:c r="G924" s="23" t="str">
        <x:f>IF(E924=F924,"PASS","FAIL")</x:f>
        <x:v>PASS</x:v>
      </x:c>
    </x:row>
    <x:row r="925">
      <x:c r="B925" s="21" t="str">
        <x:v>C0919</x:v>
      </x:c>
      <x:c r="C925" s="21" t="str">
        <x:v>stage build</x:v>
      </x:c>
      <x:c r="D925" s="21" t="str">
        <x:v>baseline nonnegative row 160</x:v>
      </x:c>
      <x:c r="E925" s="21" t="n">
        <x:f>IF('Stage Build'!F160&gt;=0,1,0)</x:f>
        <x:v>1</x:v>
      </x:c>
      <x:c r="F925" s="21" t="n">
        <x:v>1</x:v>
      </x:c>
      <x:c r="G925" s="23" t="str">
        <x:f>IF(E925=F925,"PASS","FAIL")</x:f>
        <x:v>PASS</x:v>
      </x:c>
    </x:row>
    <x:row r="926">
      <x:c r="B926" s="21" t="str">
        <x:v>C0920</x:v>
      </x:c>
      <x:c r="C926" s="21" t="str">
        <x:v>stage build</x:v>
      </x:c>
      <x:c r="D926" s="21" t="str">
        <x:v>targeted additions nonnegative row 160</x:v>
      </x:c>
      <x:c r="E926" s="21" t="n">
        <x:f>IF(AND('Stage Build'!G160&gt;=0,'Stage Build'!H160&gt;=0),1,0)</x:f>
        <x:v>1</x:v>
      </x:c>
      <x:c r="F926" s="21" t="n">
        <x:v>1</x:v>
      </x:c>
      <x:c r="G926" s="23" t="str">
        <x:f>IF(E926=F926,"PASS","FAIL")</x:f>
        <x:v>PASS</x:v>
      </x:c>
    </x:row>
    <x:row r="927">
      <x:c r="B927" s="21" t="str">
        <x:v>C0921</x:v>
      </x:c>
      <x:c r="C927" s="21" t="str">
        <x:v>stage build</x:v>
      </x:c>
      <x:c r="D927" s="21" t="str">
        <x:v>pre-replication identity row 160</x:v>
      </x:c>
      <x:c r="E927" s="21" t="n">
        <x:f>IF(ABS('Stage Build'!I160-SUM('Stage Build'!F160:H160))&lt;0.000001,1,0)</x:f>
        <x:v>1</x:v>
      </x:c>
      <x:c r="F927" s="21" t="n">
        <x:v>1</x:v>
      </x:c>
      <x:c r="G927" s="23" t="str">
        <x:f>IF(E927=F927,"PASS","FAIL")</x:f>
        <x:v>PASS</x:v>
      </x:c>
    </x:row>
    <x:row r="928">
      <x:c r="B928" s="21" t="str">
        <x:v>C0922</x:v>
      </x:c>
      <x:c r="C928" s="21" t="str">
        <x:v>stage build</x:v>
      </x:c>
      <x:c r="D928" s="21" t="str">
        <x:v>replication layer nonnegative row 160</x:v>
      </x:c>
      <x:c r="E928" s="21" t="n">
        <x:f>IF('Stage Build'!J160&gt;=0,1,0)</x:f>
        <x:v>1</x:v>
      </x:c>
      <x:c r="F928" s="21" t="n">
        <x:v>1</x:v>
      </x:c>
      <x:c r="G928" s="23" t="str">
        <x:f>IF(E928=F928,"PASS","FAIL")</x:f>
        <x:v>PASS</x:v>
      </x:c>
    </x:row>
    <x:row r="929">
      <x:c r="B929" s="21" t="str">
        <x:v>C0923</x:v>
      </x:c>
      <x:c r="C929" s="21" t="str">
        <x:v>stage build</x:v>
      </x:c>
      <x:c r="D929" s="21" t="str">
        <x:v>designed ratio identity row 160</x:v>
      </x:c>
      <x:c r="E929" s="21" t="n">
        <x:f>IF(ABS('Stage Build'!K160-'Stage Build'!I160-'Stage Build'!J160)&lt;0.000001,1,0)</x:f>
        <x:v>1</x:v>
      </x:c>
      <x:c r="F929" s="21" t="n">
        <x:v>1</x:v>
      </x:c>
      <x:c r="G929" s="23" t="str">
        <x:f>IF(E929=F929,"PASS","FAIL")</x:f>
        <x:v>PASS</x:v>
      </x:c>
    </x:row>
    <x:row r="930">
      <x:c r="B930" s="21" t="str">
        <x:v>C0924</x:v>
      </x:c>
      <x:c r="C930" s="21" t="str">
        <x:v>stage build</x:v>
      </x:c>
      <x:c r="D930" s="21" t="str">
        <x:v>M05 status identity row 160</x:v>
      </x:c>
      <x:c r="E930" s="21" t="n">
        <x:f>IF('Stage Build'!L160=IF('Stage Build'!K160&gt;=Assumptions!$C$9,"ADEQUATE","GAP"),1,0)</x:f>
        <x:v>1</x:v>
      </x:c>
      <x:c r="F930" s="21" t="n">
        <x:v>1</x:v>
      </x:c>
      <x:c r="G930" s="23" t="str">
        <x:f>IF(E930=F930,"PASS","FAIL")</x:f>
        <x:v>PASS</x:v>
      </x:c>
    </x:row>
    <x:row r="931">
      <x:c r="B931" s="21" t="str">
        <x:v>C0925</x:v>
      </x:c>
      <x:c r="C931" s="21" t="str">
        <x:v>stage build</x:v>
      </x:c>
      <x:c r="D931" s="21" t="str">
        <x:v>baseline nonnegative row 161</x:v>
      </x:c>
      <x:c r="E931" s="21" t="n">
        <x:f>IF('Stage Build'!F161&gt;=0,1,0)</x:f>
        <x:v>1</x:v>
      </x:c>
      <x:c r="F931" s="21" t="n">
        <x:v>1</x:v>
      </x:c>
      <x:c r="G931" s="23" t="str">
        <x:f>IF(E931=F931,"PASS","FAIL")</x:f>
        <x:v>PASS</x:v>
      </x:c>
    </x:row>
    <x:row r="932">
      <x:c r="B932" s="21" t="str">
        <x:v>C0926</x:v>
      </x:c>
      <x:c r="C932" s="21" t="str">
        <x:v>stage build</x:v>
      </x:c>
      <x:c r="D932" s="21" t="str">
        <x:v>targeted additions nonnegative row 161</x:v>
      </x:c>
      <x:c r="E932" s="21" t="n">
        <x:f>IF(AND('Stage Build'!G161&gt;=0,'Stage Build'!H161&gt;=0),1,0)</x:f>
        <x:v>1</x:v>
      </x:c>
      <x:c r="F932" s="21" t="n">
        <x:v>1</x:v>
      </x:c>
      <x:c r="G932" s="23" t="str">
        <x:f>IF(E932=F932,"PASS","FAIL")</x:f>
        <x:v>PASS</x:v>
      </x:c>
    </x:row>
    <x:row r="933">
      <x:c r="B933" s="21" t="str">
        <x:v>C0927</x:v>
      </x:c>
      <x:c r="C933" s="21" t="str">
        <x:v>stage build</x:v>
      </x:c>
      <x:c r="D933" s="21" t="str">
        <x:v>pre-replication identity row 161</x:v>
      </x:c>
      <x:c r="E933" s="21" t="n">
        <x:f>IF(ABS('Stage Build'!I161-SUM('Stage Build'!F161:H161))&lt;0.000001,1,0)</x:f>
        <x:v>1</x:v>
      </x:c>
      <x:c r="F933" s="21" t="n">
        <x:v>1</x:v>
      </x:c>
      <x:c r="G933" s="23" t="str">
        <x:f>IF(E933=F933,"PASS","FAIL")</x:f>
        <x:v>PASS</x:v>
      </x:c>
    </x:row>
    <x:row r="934">
      <x:c r="B934" s="21" t="str">
        <x:v>C0928</x:v>
      </x:c>
      <x:c r="C934" s="21" t="str">
        <x:v>stage build</x:v>
      </x:c>
      <x:c r="D934" s="21" t="str">
        <x:v>replication layer nonnegative row 161</x:v>
      </x:c>
      <x:c r="E934" s="21" t="n">
        <x:f>IF('Stage Build'!J161&gt;=0,1,0)</x:f>
        <x:v>1</x:v>
      </x:c>
      <x:c r="F934" s="21" t="n">
        <x:v>1</x:v>
      </x:c>
      <x:c r="G934" s="23" t="str">
        <x:f>IF(E934=F934,"PASS","FAIL")</x:f>
        <x:v>PASS</x:v>
      </x:c>
    </x:row>
    <x:row r="935">
      <x:c r="B935" s="21" t="str">
        <x:v>C0929</x:v>
      </x:c>
      <x:c r="C935" s="21" t="str">
        <x:v>stage build</x:v>
      </x:c>
      <x:c r="D935" s="21" t="str">
        <x:v>designed ratio identity row 161</x:v>
      </x:c>
      <x:c r="E935" s="21" t="n">
        <x:f>IF(ABS('Stage Build'!K161-'Stage Build'!I161-'Stage Build'!J161)&lt;0.000001,1,0)</x:f>
        <x:v>1</x:v>
      </x:c>
      <x:c r="F935" s="21" t="n">
        <x:v>1</x:v>
      </x:c>
      <x:c r="G935" s="23" t="str">
        <x:f>IF(E935=F935,"PASS","FAIL")</x:f>
        <x:v>PASS</x:v>
      </x:c>
    </x:row>
    <x:row r="936">
      <x:c r="B936" s="21" t="str">
        <x:v>C0930</x:v>
      </x:c>
      <x:c r="C936" s="21" t="str">
        <x:v>stage build</x:v>
      </x:c>
      <x:c r="D936" s="21" t="str">
        <x:v>M05 status identity row 161</x:v>
      </x:c>
      <x:c r="E936" s="21" t="n">
        <x:f>IF('Stage Build'!L161=IF('Stage Build'!K161&gt;=Assumptions!$C$9,"ADEQUATE","GAP"),1,0)</x:f>
        <x:v>1</x:v>
      </x:c>
      <x:c r="F936" s="21" t="n">
        <x:v>1</x:v>
      </x:c>
      <x:c r="G936" s="23" t="str">
        <x:f>IF(E936=F936,"PASS","FAIL")</x:f>
        <x:v>PASS</x:v>
      </x:c>
    </x:row>
    <x:row r="937">
      <x:c r="B937" s="21" t="str">
        <x:v>C0931</x:v>
      </x:c>
      <x:c r="C937" s="21" t="str">
        <x:v>stage build</x:v>
      </x:c>
      <x:c r="D937" s="21" t="str">
        <x:v>baseline nonnegative row 162</x:v>
      </x:c>
      <x:c r="E937" s="21" t="n">
        <x:f>IF('Stage Build'!F162&gt;=0,1,0)</x:f>
        <x:v>1</x:v>
      </x:c>
      <x:c r="F937" s="21" t="n">
        <x:v>1</x:v>
      </x:c>
      <x:c r="G937" s="23" t="str">
        <x:f>IF(E937=F937,"PASS","FAIL")</x:f>
        <x:v>PASS</x:v>
      </x:c>
    </x:row>
    <x:row r="938">
      <x:c r="B938" s="21" t="str">
        <x:v>C0932</x:v>
      </x:c>
      <x:c r="C938" s="21" t="str">
        <x:v>stage build</x:v>
      </x:c>
      <x:c r="D938" s="21" t="str">
        <x:v>targeted additions nonnegative row 162</x:v>
      </x:c>
      <x:c r="E938" s="21" t="n">
        <x:f>IF(AND('Stage Build'!G162&gt;=0,'Stage Build'!H162&gt;=0),1,0)</x:f>
        <x:v>1</x:v>
      </x:c>
      <x:c r="F938" s="21" t="n">
        <x:v>1</x:v>
      </x:c>
      <x:c r="G938" s="23" t="str">
        <x:f>IF(E938=F938,"PASS","FAIL")</x:f>
        <x:v>PASS</x:v>
      </x:c>
    </x:row>
    <x:row r="939">
      <x:c r="B939" s="21" t="str">
        <x:v>C0933</x:v>
      </x:c>
      <x:c r="C939" s="21" t="str">
        <x:v>stage build</x:v>
      </x:c>
      <x:c r="D939" s="21" t="str">
        <x:v>pre-replication identity row 162</x:v>
      </x:c>
      <x:c r="E939" s="21" t="n">
        <x:f>IF(ABS('Stage Build'!I162-SUM('Stage Build'!F162:H162))&lt;0.000001,1,0)</x:f>
        <x:v>1</x:v>
      </x:c>
      <x:c r="F939" s="21" t="n">
        <x:v>1</x:v>
      </x:c>
      <x:c r="G939" s="23" t="str">
        <x:f>IF(E939=F939,"PASS","FAIL")</x:f>
        <x:v>PASS</x:v>
      </x:c>
    </x:row>
    <x:row r="940">
      <x:c r="B940" s="21" t="str">
        <x:v>C0934</x:v>
      </x:c>
      <x:c r="C940" s="21" t="str">
        <x:v>stage build</x:v>
      </x:c>
      <x:c r="D940" s="21" t="str">
        <x:v>replication layer nonnegative row 162</x:v>
      </x:c>
      <x:c r="E940" s="21" t="n">
        <x:f>IF('Stage Build'!J162&gt;=0,1,0)</x:f>
        <x:v>1</x:v>
      </x:c>
      <x:c r="F940" s="21" t="n">
        <x:v>1</x:v>
      </x:c>
      <x:c r="G940" s="23" t="str">
        <x:f>IF(E940=F940,"PASS","FAIL")</x:f>
        <x:v>PASS</x:v>
      </x:c>
    </x:row>
    <x:row r="941">
      <x:c r="B941" s="21" t="str">
        <x:v>C0935</x:v>
      </x:c>
      <x:c r="C941" s="21" t="str">
        <x:v>stage build</x:v>
      </x:c>
      <x:c r="D941" s="21" t="str">
        <x:v>designed ratio identity row 162</x:v>
      </x:c>
      <x:c r="E941" s="21" t="n">
        <x:f>IF(ABS('Stage Build'!K162-'Stage Build'!I162-'Stage Build'!J162)&lt;0.000001,1,0)</x:f>
        <x:v>1</x:v>
      </x:c>
      <x:c r="F941" s="21" t="n">
        <x:v>1</x:v>
      </x:c>
      <x:c r="G941" s="23" t="str">
        <x:f>IF(E941=F941,"PASS","FAIL")</x:f>
        <x:v>PASS</x:v>
      </x:c>
    </x:row>
    <x:row r="942">
      <x:c r="B942" s="21" t="str">
        <x:v>C0936</x:v>
      </x:c>
      <x:c r="C942" s="21" t="str">
        <x:v>stage build</x:v>
      </x:c>
      <x:c r="D942" s="21" t="str">
        <x:v>M05 status identity row 162</x:v>
      </x:c>
      <x:c r="E942" s="21" t="n">
        <x:f>IF('Stage Build'!L162=IF('Stage Build'!K162&gt;=Assumptions!$C$9,"ADEQUATE","GAP"),1,0)</x:f>
        <x:v>1</x:v>
      </x:c>
      <x:c r="F942" s="21" t="n">
        <x:v>1</x:v>
      </x:c>
      <x:c r="G942" s="23" t="str">
        <x:f>IF(E942=F942,"PASS","FAIL")</x:f>
        <x:v>PASS</x:v>
      </x:c>
    </x:row>
    <x:row r="943">
      <x:c r="B943" s="21" t="str">
        <x:v>C0937</x:v>
      </x:c>
      <x:c r="C943" s="21" t="str">
        <x:v>stage build</x:v>
      </x:c>
      <x:c r="D943" s="21" t="str">
        <x:v>baseline nonnegative row 163</x:v>
      </x:c>
      <x:c r="E943" s="21" t="n">
        <x:f>IF('Stage Build'!F163&gt;=0,1,0)</x:f>
        <x:v>1</x:v>
      </x:c>
      <x:c r="F943" s="21" t="n">
        <x:v>1</x:v>
      </x:c>
      <x:c r="G943" s="23" t="str">
        <x:f>IF(E943=F943,"PASS","FAIL")</x:f>
        <x:v>PASS</x:v>
      </x:c>
    </x:row>
    <x:row r="944">
      <x:c r="B944" s="21" t="str">
        <x:v>C0938</x:v>
      </x:c>
      <x:c r="C944" s="21" t="str">
        <x:v>stage build</x:v>
      </x:c>
      <x:c r="D944" s="21" t="str">
        <x:v>targeted additions nonnegative row 163</x:v>
      </x:c>
      <x:c r="E944" s="21" t="n">
        <x:f>IF(AND('Stage Build'!G163&gt;=0,'Stage Build'!H163&gt;=0),1,0)</x:f>
        <x:v>1</x:v>
      </x:c>
      <x:c r="F944" s="21" t="n">
        <x:v>1</x:v>
      </x:c>
      <x:c r="G944" s="23" t="str">
        <x:f>IF(E944=F944,"PASS","FAIL")</x:f>
        <x:v>PASS</x:v>
      </x:c>
    </x:row>
    <x:row r="945">
      <x:c r="B945" s="21" t="str">
        <x:v>C0939</x:v>
      </x:c>
      <x:c r="C945" s="21" t="str">
        <x:v>stage build</x:v>
      </x:c>
      <x:c r="D945" s="21" t="str">
        <x:v>pre-replication identity row 163</x:v>
      </x:c>
      <x:c r="E945" s="21" t="n">
        <x:f>IF(ABS('Stage Build'!I163-SUM('Stage Build'!F163:H163))&lt;0.000001,1,0)</x:f>
        <x:v>1</x:v>
      </x:c>
      <x:c r="F945" s="21" t="n">
        <x:v>1</x:v>
      </x:c>
      <x:c r="G945" s="23" t="str">
        <x:f>IF(E945=F945,"PASS","FAIL")</x:f>
        <x:v>PASS</x:v>
      </x:c>
    </x:row>
    <x:row r="946">
      <x:c r="B946" s="21" t="str">
        <x:v>C0940</x:v>
      </x:c>
      <x:c r="C946" s="21" t="str">
        <x:v>stage build</x:v>
      </x:c>
      <x:c r="D946" s="21" t="str">
        <x:v>replication layer nonnegative row 163</x:v>
      </x:c>
      <x:c r="E946" s="21" t="n">
        <x:f>IF('Stage Build'!J163&gt;=0,1,0)</x:f>
        <x:v>1</x:v>
      </x:c>
      <x:c r="F946" s="21" t="n">
        <x:v>1</x:v>
      </x:c>
      <x:c r="G946" s="23" t="str">
        <x:f>IF(E946=F946,"PASS","FAIL")</x:f>
        <x:v>PASS</x:v>
      </x:c>
    </x:row>
    <x:row r="947">
      <x:c r="B947" s="21" t="str">
        <x:v>C0941</x:v>
      </x:c>
      <x:c r="C947" s="21" t="str">
        <x:v>stage build</x:v>
      </x:c>
      <x:c r="D947" s="21" t="str">
        <x:v>designed ratio identity row 163</x:v>
      </x:c>
      <x:c r="E947" s="21" t="n">
        <x:f>IF(ABS('Stage Build'!K163-'Stage Build'!I163-'Stage Build'!J163)&lt;0.000001,1,0)</x:f>
        <x:v>1</x:v>
      </x:c>
      <x:c r="F947" s="21" t="n">
        <x:v>1</x:v>
      </x:c>
      <x:c r="G947" s="23" t="str">
        <x:f>IF(E947=F947,"PASS","FAIL")</x:f>
        <x:v>PASS</x:v>
      </x:c>
    </x:row>
    <x:row r="948">
      <x:c r="B948" s="21" t="str">
        <x:v>C0942</x:v>
      </x:c>
      <x:c r="C948" s="21" t="str">
        <x:v>stage build</x:v>
      </x:c>
      <x:c r="D948" s="21" t="str">
        <x:v>M05 status identity row 163</x:v>
      </x:c>
      <x:c r="E948" s="21" t="n">
        <x:f>IF('Stage Build'!L163=IF('Stage Build'!K163&gt;=Assumptions!$C$9,"ADEQUATE","GAP"),1,0)</x:f>
        <x:v>1</x:v>
      </x:c>
      <x:c r="F948" s="21" t="n">
        <x:v>1</x:v>
      </x:c>
      <x:c r="G948" s="23" t="str">
        <x:f>IF(E948=F948,"PASS","FAIL")</x:f>
        <x:v>PASS</x:v>
      </x:c>
    </x:row>
    <x:row r="949">
      <x:c r="B949" s="21" t="str">
        <x:v>C0943</x:v>
      </x:c>
      <x:c r="C949" s="21" t="str">
        <x:v>stage build</x:v>
      </x:c>
      <x:c r="D949" s="21" t="str">
        <x:v>baseline nonnegative row 164</x:v>
      </x:c>
      <x:c r="E949" s="21" t="n">
        <x:f>IF('Stage Build'!F164&gt;=0,1,0)</x:f>
        <x:v>1</x:v>
      </x:c>
      <x:c r="F949" s="21" t="n">
        <x:v>1</x:v>
      </x:c>
      <x:c r="G949" s="23" t="str">
        <x:f>IF(E949=F949,"PASS","FAIL")</x:f>
        <x:v>PASS</x:v>
      </x:c>
    </x:row>
    <x:row r="950">
      <x:c r="B950" s="21" t="str">
        <x:v>C0944</x:v>
      </x:c>
      <x:c r="C950" s="21" t="str">
        <x:v>stage build</x:v>
      </x:c>
      <x:c r="D950" s="21" t="str">
        <x:v>targeted additions nonnegative row 164</x:v>
      </x:c>
      <x:c r="E950" s="21" t="n">
        <x:f>IF(AND('Stage Build'!G164&gt;=0,'Stage Build'!H164&gt;=0),1,0)</x:f>
        <x:v>1</x:v>
      </x:c>
      <x:c r="F950" s="21" t="n">
        <x:v>1</x:v>
      </x:c>
      <x:c r="G950" s="23" t="str">
        <x:f>IF(E950=F950,"PASS","FAIL")</x:f>
        <x:v>PASS</x:v>
      </x:c>
    </x:row>
    <x:row r="951">
      <x:c r="B951" s="21" t="str">
        <x:v>C0945</x:v>
      </x:c>
      <x:c r="C951" s="21" t="str">
        <x:v>stage build</x:v>
      </x:c>
      <x:c r="D951" s="21" t="str">
        <x:v>pre-replication identity row 164</x:v>
      </x:c>
      <x:c r="E951" s="21" t="n">
        <x:f>IF(ABS('Stage Build'!I164-SUM('Stage Build'!F164:H164))&lt;0.000001,1,0)</x:f>
        <x:v>1</x:v>
      </x:c>
      <x:c r="F951" s="21" t="n">
        <x:v>1</x:v>
      </x:c>
      <x:c r="G951" s="23" t="str">
        <x:f>IF(E951=F951,"PASS","FAIL")</x:f>
        <x:v>PASS</x:v>
      </x:c>
    </x:row>
    <x:row r="952">
      <x:c r="B952" s="21" t="str">
        <x:v>C0946</x:v>
      </x:c>
      <x:c r="C952" s="21" t="str">
        <x:v>stage build</x:v>
      </x:c>
      <x:c r="D952" s="21" t="str">
        <x:v>replication layer nonnegative row 164</x:v>
      </x:c>
      <x:c r="E952" s="21" t="n">
        <x:f>IF('Stage Build'!J164&gt;=0,1,0)</x:f>
        <x:v>1</x:v>
      </x:c>
      <x:c r="F952" s="21" t="n">
        <x:v>1</x:v>
      </x:c>
      <x:c r="G952" s="23" t="str">
        <x:f>IF(E952=F952,"PASS","FAIL")</x:f>
        <x:v>PASS</x:v>
      </x:c>
    </x:row>
    <x:row r="953">
      <x:c r="B953" s="21" t="str">
        <x:v>C0947</x:v>
      </x:c>
      <x:c r="C953" s="21" t="str">
        <x:v>stage build</x:v>
      </x:c>
      <x:c r="D953" s="21" t="str">
        <x:v>designed ratio identity row 164</x:v>
      </x:c>
      <x:c r="E953" s="21" t="n">
        <x:f>IF(ABS('Stage Build'!K164-'Stage Build'!I164-'Stage Build'!J164)&lt;0.000001,1,0)</x:f>
        <x:v>1</x:v>
      </x:c>
      <x:c r="F953" s="21" t="n">
        <x:v>1</x:v>
      </x:c>
      <x:c r="G953" s="23" t="str">
        <x:f>IF(E953=F953,"PASS","FAIL")</x:f>
        <x:v>PASS</x:v>
      </x:c>
    </x:row>
    <x:row r="954">
      <x:c r="B954" s="21" t="str">
        <x:v>C0948</x:v>
      </x:c>
      <x:c r="C954" s="21" t="str">
        <x:v>stage build</x:v>
      </x:c>
      <x:c r="D954" s="21" t="str">
        <x:v>M05 status identity row 164</x:v>
      </x:c>
      <x:c r="E954" s="21" t="n">
        <x:f>IF('Stage Build'!L164=IF('Stage Build'!K164&gt;=Assumptions!$C$9,"ADEQUATE","GAP"),1,0)</x:f>
        <x:v>1</x:v>
      </x:c>
      <x:c r="F954" s="21" t="n">
        <x:v>1</x:v>
      </x:c>
      <x:c r="G954" s="23" t="str">
        <x:f>IF(E954=F954,"PASS","FAIL")</x:f>
        <x:v>PASS</x:v>
      </x:c>
    </x:row>
    <x:row r="955">
      <x:c r="B955" s="21" t="str">
        <x:v>C0949</x:v>
      </x:c>
      <x:c r="C955" s="21" t="str">
        <x:v>stage build</x:v>
      </x:c>
      <x:c r="D955" s="21" t="str">
        <x:v>baseline nonnegative row 165</x:v>
      </x:c>
      <x:c r="E955" s="21" t="n">
        <x:f>IF('Stage Build'!F165&gt;=0,1,0)</x:f>
        <x:v>1</x:v>
      </x:c>
      <x:c r="F955" s="21" t="n">
        <x:v>1</x:v>
      </x:c>
      <x:c r="G955" s="23" t="str">
        <x:f>IF(E955=F955,"PASS","FAIL")</x:f>
        <x:v>PASS</x:v>
      </x:c>
    </x:row>
    <x:row r="956">
      <x:c r="B956" s="21" t="str">
        <x:v>C0950</x:v>
      </x:c>
      <x:c r="C956" s="21" t="str">
        <x:v>stage build</x:v>
      </x:c>
      <x:c r="D956" s="21" t="str">
        <x:v>targeted additions nonnegative row 165</x:v>
      </x:c>
      <x:c r="E956" s="21" t="n">
        <x:f>IF(AND('Stage Build'!G165&gt;=0,'Stage Build'!H165&gt;=0),1,0)</x:f>
        <x:v>1</x:v>
      </x:c>
      <x:c r="F956" s="21" t="n">
        <x:v>1</x:v>
      </x:c>
      <x:c r="G956" s="23" t="str">
        <x:f>IF(E956=F956,"PASS","FAIL")</x:f>
        <x:v>PASS</x:v>
      </x:c>
    </x:row>
    <x:row r="957">
      <x:c r="B957" s="21" t="str">
        <x:v>C0951</x:v>
      </x:c>
      <x:c r="C957" s="21" t="str">
        <x:v>stage build</x:v>
      </x:c>
      <x:c r="D957" s="21" t="str">
        <x:v>pre-replication identity row 165</x:v>
      </x:c>
      <x:c r="E957" s="21" t="n">
        <x:f>IF(ABS('Stage Build'!I165-SUM('Stage Build'!F165:H165))&lt;0.000001,1,0)</x:f>
        <x:v>1</x:v>
      </x:c>
      <x:c r="F957" s="21" t="n">
        <x:v>1</x:v>
      </x:c>
      <x:c r="G957" s="23" t="str">
        <x:f>IF(E957=F957,"PASS","FAIL")</x:f>
        <x:v>PASS</x:v>
      </x:c>
    </x:row>
    <x:row r="958">
      <x:c r="B958" s="21" t="str">
        <x:v>C0952</x:v>
      </x:c>
      <x:c r="C958" s="21" t="str">
        <x:v>stage build</x:v>
      </x:c>
      <x:c r="D958" s="21" t="str">
        <x:v>replication layer nonnegative row 165</x:v>
      </x:c>
      <x:c r="E958" s="21" t="n">
        <x:f>IF('Stage Build'!J165&gt;=0,1,0)</x:f>
        <x:v>1</x:v>
      </x:c>
      <x:c r="F958" s="21" t="n">
        <x:v>1</x:v>
      </x:c>
      <x:c r="G958" s="23" t="str">
        <x:f>IF(E958=F958,"PASS","FAIL")</x:f>
        <x:v>PASS</x:v>
      </x:c>
    </x:row>
    <x:row r="959">
      <x:c r="B959" s="21" t="str">
        <x:v>C0953</x:v>
      </x:c>
      <x:c r="C959" s="21" t="str">
        <x:v>stage build</x:v>
      </x:c>
      <x:c r="D959" s="21" t="str">
        <x:v>designed ratio identity row 165</x:v>
      </x:c>
      <x:c r="E959" s="21" t="n">
        <x:f>IF(ABS('Stage Build'!K165-'Stage Build'!I165-'Stage Build'!J165)&lt;0.000001,1,0)</x:f>
        <x:v>1</x:v>
      </x:c>
      <x:c r="F959" s="21" t="n">
        <x:v>1</x:v>
      </x:c>
      <x:c r="G959" s="23" t="str">
        <x:f>IF(E959=F959,"PASS","FAIL")</x:f>
        <x:v>PASS</x:v>
      </x:c>
    </x:row>
    <x:row r="960">
      <x:c r="B960" s="21" t="str">
        <x:v>C0954</x:v>
      </x:c>
      <x:c r="C960" s="21" t="str">
        <x:v>stage build</x:v>
      </x:c>
      <x:c r="D960" s="21" t="str">
        <x:v>M05 status identity row 165</x:v>
      </x:c>
      <x:c r="E960" s="21" t="n">
        <x:f>IF('Stage Build'!L165=IF('Stage Build'!K165&gt;=Assumptions!$C$9,"ADEQUATE","GAP"),1,0)</x:f>
        <x:v>1</x:v>
      </x:c>
      <x:c r="F960" s="21" t="n">
        <x:v>1</x:v>
      </x:c>
      <x:c r="G960" s="23" t="str">
        <x:f>IF(E960=F960,"PASS","FAIL")</x:f>
        <x:v>PASS</x:v>
      </x:c>
    </x:row>
    <x:row r="961">
      <x:c r="B961" s="21" t="str">
        <x:v>C0955</x:v>
      </x:c>
      <x:c r="C961" s="21" t="str">
        <x:v>stage build</x:v>
      </x:c>
      <x:c r="D961" s="21" t="str">
        <x:v>baseline nonnegative row 166</x:v>
      </x:c>
      <x:c r="E961" s="21" t="n">
        <x:f>IF('Stage Build'!F166&gt;=0,1,0)</x:f>
        <x:v>1</x:v>
      </x:c>
      <x:c r="F961" s="21" t="n">
        <x:v>1</x:v>
      </x:c>
      <x:c r="G961" s="23" t="str">
        <x:f>IF(E961=F961,"PASS","FAIL")</x:f>
        <x:v>PASS</x:v>
      </x:c>
    </x:row>
    <x:row r="962">
      <x:c r="B962" s="21" t="str">
        <x:v>C0956</x:v>
      </x:c>
      <x:c r="C962" s="21" t="str">
        <x:v>stage build</x:v>
      </x:c>
      <x:c r="D962" s="21" t="str">
        <x:v>targeted additions nonnegative row 166</x:v>
      </x:c>
      <x:c r="E962" s="21" t="n">
        <x:f>IF(AND('Stage Build'!G166&gt;=0,'Stage Build'!H166&gt;=0),1,0)</x:f>
        <x:v>1</x:v>
      </x:c>
      <x:c r="F962" s="21" t="n">
        <x:v>1</x:v>
      </x:c>
      <x:c r="G962" s="23" t="str">
        <x:f>IF(E962=F962,"PASS","FAIL")</x:f>
        <x:v>PASS</x:v>
      </x:c>
    </x:row>
    <x:row r="963">
      <x:c r="B963" s="21" t="str">
        <x:v>C0957</x:v>
      </x:c>
      <x:c r="C963" s="21" t="str">
        <x:v>stage build</x:v>
      </x:c>
      <x:c r="D963" s="21" t="str">
        <x:v>pre-replication identity row 166</x:v>
      </x:c>
      <x:c r="E963" s="21" t="n">
        <x:f>IF(ABS('Stage Build'!I166-SUM('Stage Build'!F166:H166))&lt;0.000001,1,0)</x:f>
        <x:v>1</x:v>
      </x:c>
      <x:c r="F963" s="21" t="n">
        <x:v>1</x:v>
      </x:c>
      <x:c r="G963" s="23" t="str">
        <x:f>IF(E963=F963,"PASS","FAIL")</x:f>
        <x:v>PASS</x:v>
      </x:c>
    </x:row>
    <x:row r="964">
      <x:c r="B964" s="21" t="str">
        <x:v>C0958</x:v>
      </x:c>
      <x:c r="C964" s="21" t="str">
        <x:v>stage build</x:v>
      </x:c>
      <x:c r="D964" s="21" t="str">
        <x:v>replication layer nonnegative row 166</x:v>
      </x:c>
      <x:c r="E964" s="21" t="n">
        <x:f>IF('Stage Build'!J166&gt;=0,1,0)</x:f>
        <x:v>1</x:v>
      </x:c>
      <x:c r="F964" s="21" t="n">
        <x:v>1</x:v>
      </x:c>
      <x:c r="G964" s="23" t="str">
        <x:f>IF(E964=F964,"PASS","FAIL")</x:f>
        <x:v>PASS</x:v>
      </x:c>
    </x:row>
    <x:row r="965">
      <x:c r="B965" s="21" t="str">
        <x:v>C0959</x:v>
      </x:c>
      <x:c r="C965" s="21" t="str">
        <x:v>stage build</x:v>
      </x:c>
      <x:c r="D965" s="21" t="str">
        <x:v>designed ratio identity row 166</x:v>
      </x:c>
      <x:c r="E965" s="21" t="n">
        <x:f>IF(ABS('Stage Build'!K166-'Stage Build'!I166-'Stage Build'!J166)&lt;0.000001,1,0)</x:f>
        <x:v>1</x:v>
      </x:c>
      <x:c r="F965" s="21" t="n">
        <x:v>1</x:v>
      </x:c>
      <x:c r="G965" s="23" t="str">
        <x:f>IF(E965=F965,"PASS","FAIL")</x:f>
        <x:v>PASS</x:v>
      </x:c>
    </x:row>
    <x:row r="966">
      <x:c r="B966" s="21" t="str">
        <x:v>C0960</x:v>
      </x:c>
      <x:c r="C966" s="21" t="str">
        <x:v>stage build</x:v>
      </x:c>
      <x:c r="D966" s="21" t="str">
        <x:v>M05 status identity row 166</x:v>
      </x:c>
      <x:c r="E966" s="21" t="n">
        <x:f>IF('Stage Build'!L166=IF('Stage Build'!K166&gt;=Assumptions!$C$9,"ADEQUATE","GAP"),1,0)</x:f>
        <x:v>1</x:v>
      </x:c>
      <x:c r="F966" s="21" t="n">
        <x:v>1</x:v>
      </x:c>
      <x:c r="G966" s="23" t="str">
        <x:f>IF(E966=F966,"PASS","FAIL")</x:f>
        <x:v>PASS</x:v>
      </x:c>
    </x:row>
    <x:row r="967">
      <x:c r="B967" s="21" t="str">
        <x:v>C0961</x:v>
      </x:c>
      <x:c r="C967" s="21" t="str">
        <x:v>stage build</x:v>
      </x:c>
      <x:c r="D967" s="21" t="str">
        <x:v>baseline nonnegative row 167</x:v>
      </x:c>
      <x:c r="E967" s="21" t="n">
        <x:f>IF('Stage Build'!F167&gt;=0,1,0)</x:f>
        <x:v>1</x:v>
      </x:c>
      <x:c r="F967" s="21" t="n">
        <x:v>1</x:v>
      </x:c>
      <x:c r="G967" s="23" t="str">
        <x:f>IF(E967=F967,"PASS","FAIL")</x:f>
        <x:v>PASS</x:v>
      </x:c>
    </x:row>
    <x:row r="968">
      <x:c r="B968" s="21" t="str">
        <x:v>C0962</x:v>
      </x:c>
      <x:c r="C968" s="21" t="str">
        <x:v>stage build</x:v>
      </x:c>
      <x:c r="D968" s="21" t="str">
        <x:v>targeted additions nonnegative row 167</x:v>
      </x:c>
      <x:c r="E968" s="21" t="n">
        <x:f>IF(AND('Stage Build'!G167&gt;=0,'Stage Build'!H167&gt;=0),1,0)</x:f>
        <x:v>1</x:v>
      </x:c>
      <x:c r="F968" s="21" t="n">
        <x:v>1</x:v>
      </x:c>
      <x:c r="G968" s="23" t="str">
        <x:f>IF(E968=F968,"PASS","FAIL")</x:f>
        <x:v>PASS</x:v>
      </x:c>
    </x:row>
    <x:row r="969">
      <x:c r="B969" s="21" t="str">
        <x:v>C0963</x:v>
      </x:c>
      <x:c r="C969" s="21" t="str">
        <x:v>stage build</x:v>
      </x:c>
      <x:c r="D969" s="21" t="str">
        <x:v>pre-replication identity row 167</x:v>
      </x:c>
      <x:c r="E969" s="21" t="n">
        <x:f>IF(ABS('Stage Build'!I167-SUM('Stage Build'!F167:H167))&lt;0.000001,1,0)</x:f>
        <x:v>1</x:v>
      </x:c>
      <x:c r="F969" s="21" t="n">
        <x:v>1</x:v>
      </x:c>
      <x:c r="G969" s="23" t="str">
        <x:f>IF(E969=F969,"PASS","FAIL")</x:f>
        <x:v>PASS</x:v>
      </x:c>
    </x:row>
    <x:row r="970">
      <x:c r="B970" s="21" t="str">
        <x:v>C0964</x:v>
      </x:c>
      <x:c r="C970" s="21" t="str">
        <x:v>stage build</x:v>
      </x:c>
      <x:c r="D970" s="21" t="str">
        <x:v>replication layer nonnegative row 167</x:v>
      </x:c>
      <x:c r="E970" s="21" t="n">
        <x:f>IF('Stage Build'!J167&gt;=0,1,0)</x:f>
        <x:v>1</x:v>
      </x:c>
      <x:c r="F970" s="21" t="n">
        <x:v>1</x:v>
      </x:c>
      <x:c r="G970" s="23" t="str">
        <x:f>IF(E970=F970,"PASS","FAIL")</x:f>
        <x:v>PASS</x:v>
      </x:c>
    </x:row>
    <x:row r="971">
      <x:c r="B971" s="21" t="str">
        <x:v>C0965</x:v>
      </x:c>
      <x:c r="C971" s="21" t="str">
        <x:v>stage build</x:v>
      </x:c>
      <x:c r="D971" s="21" t="str">
        <x:v>designed ratio identity row 167</x:v>
      </x:c>
      <x:c r="E971" s="21" t="n">
        <x:f>IF(ABS('Stage Build'!K167-'Stage Build'!I167-'Stage Build'!J167)&lt;0.000001,1,0)</x:f>
        <x:v>1</x:v>
      </x:c>
      <x:c r="F971" s="21" t="n">
        <x:v>1</x:v>
      </x:c>
      <x:c r="G971" s="23" t="str">
        <x:f>IF(E971=F971,"PASS","FAIL")</x:f>
        <x:v>PASS</x:v>
      </x:c>
    </x:row>
    <x:row r="972">
      <x:c r="B972" s="21" t="str">
        <x:v>C0966</x:v>
      </x:c>
      <x:c r="C972" s="21" t="str">
        <x:v>stage build</x:v>
      </x:c>
      <x:c r="D972" s="21" t="str">
        <x:v>M05 status identity row 167</x:v>
      </x:c>
      <x:c r="E972" s="21" t="n">
        <x:f>IF('Stage Build'!L167=IF('Stage Build'!K167&gt;=Assumptions!$C$9,"ADEQUATE","GAP"),1,0)</x:f>
        <x:v>1</x:v>
      </x:c>
      <x:c r="F972" s="21" t="n">
        <x:v>1</x:v>
      </x:c>
      <x:c r="G972" s="23" t="str">
        <x:f>IF(E972=F972,"PASS","FAIL")</x:f>
        <x:v>PASS</x:v>
      </x:c>
    </x:row>
    <x:row r="973">
      <x:c r="B973" s="21" t="str">
        <x:v>C0967</x:v>
      </x:c>
      <x:c r="C973" s="21" t="str">
        <x:v>stage build</x:v>
      </x:c>
      <x:c r="D973" s="21" t="str">
        <x:v>baseline nonnegative row 168</x:v>
      </x:c>
      <x:c r="E973" s="21" t="n">
        <x:f>IF('Stage Build'!F168&gt;=0,1,0)</x:f>
        <x:v>1</x:v>
      </x:c>
      <x:c r="F973" s="21" t="n">
        <x:v>1</x:v>
      </x:c>
      <x:c r="G973" s="23" t="str">
        <x:f>IF(E973=F973,"PASS","FAIL")</x:f>
        <x:v>PASS</x:v>
      </x:c>
    </x:row>
    <x:row r="974">
      <x:c r="B974" s="21" t="str">
        <x:v>C0968</x:v>
      </x:c>
      <x:c r="C974" s="21" t="str">
        <x:v>stage build</x:v>
      </x:c>
      <x:c r="D974" s="21" t="str">
        <x:v>targeted additions nonnegative row 168</x:v>
      </x:c>
      <x:c r="E974" s="21" t="n">
        <x:f>IF(AND('Stage Build'!G168&gt;=0,'Stage Build'!H168&gt;=0),1,0)</x:f>
        <x:v>1</x:v>
      </x:c>
      <x:c r="F974" s="21" t="n">
        <x:v>1</x:v>
      </x:c>
      <x:c r="G974" s="23" t="str">
        <x:f>IF(E974=F974,"PASS","FAIL")</x:f>
        <x:v>PASS</x:v>
      </x:c>
    </x:row>
    <x:row r="975">
      <x:c r="B975" s="21" t="str">
        <x:v>C0969</x:v>
      </x:c>
      <x:c r="C975" s="21" t="str">
        <x:v>stage build</x:v>
      </x:c>
      <x:c r="D975" s="21" t="str">
        <x:v>pre-replication identity row 168</x:v>
      </x:c>
      <x:c r="E975" s="21" t="n">
        <x:f>IF(ABS('Stage Build'!I168-SUM('Stage Build'!F168:H168))&lt;0.000001,1,0)</x:f>
        <x:v>1</x:v>
      </x:c>
      <x:c r="F975" s="21" t="n">
        <x:v>1</x:v>
      </x:c>
      <x:c r="G975" s="23" t="str">
        <x:f>IF(E975=F975,"PASS","FAIL")</x:f>
        <x:v>PASS</x:v>
      </x:c>
    </x:row>
    <x:row r="976">
      <x:c r="B976" s="21" t="str">
        <x:v>C0970</x:v>
      </x:c>
      <x:c r="C976" s="21" t="str">
        <x:v>stage build</x:v>
      </x:c>
      <x:c r="D976" s="21" t="str">
        <x:v>replication layer nonnegative row 168</x:v>
      </x:c>
      <x:c r="E976" s="21" t="n">
        <x:f>IF('Stage Build'!J168&gt;=0,1,0)</x:f>
        <x:v>1</x:v>
      </x:c>
      <x:c r="F976" s="21" t="n">
        <x:v>1</x:v>
      </x:c>
      <x:c r="G976" s="23" t="str">
        <x:f>IF(E976=F976,"PASS","FAIL")</x:f>
        <x:v>PASS</x:v>
      </x:c>
    </x:row>
    <x:row r="977">
      <x:c r="B977" s="21" t="str">
        <x:v>C0971</x:v>
      </x:c>
      <x:c r="C977" s="21" t="str">
        <x:v>stage build</x:v>
      </x:c>
      <x:c r="D977" s="21" t="str">
        <x:v>designed ratio identity row 168</x:v>
      </x:c>
      <x:c r="E977" s="21" t="n">
        <x:f>IF(ABS('Stage Build'!K168-'Stage Build'!I168-'Stage Build'!J168)&lt;0.000001,1,0)</x:f>
        <x:v>1</x:v>
      </x:c>
      <x:c r="F977" s="21" t="n">
        <x:v>1</x:v>
      </x:c>
      <x:c r="G977" s="23" t="str">
        <x:f>IF(E977=F977,"PASS","FAIL")</x:f>
        <x:v>PASS</x:v>
      </x:c>
    </x:row>
    <x:row r="978">
      <x:c r="B978" s="21" t="str">
        <x:v>C0972</x:v>
      </x:c>
      <x:c r="C978" s="21" t="str">
        <x:v>stage build</x:v>
      </x:c>
      <x:c r="D978" s="21" t="str">
        <x:v>M05 status identity row 168</x:v>
      </x:c>
      <x:c r="E978" s="21" t="n">
        <x:f>IF('Stage Build'!L168=IF('Stage Build'!K168&gt;=Assumptions!$C$9,"ADEQUATE","GAP"),1,0)</x:f>
        <x:v>1</x:v>
      </x:c>
      <x:c r="F978" s="21" t="n">
        <x:v>1</x:v>
      </x:c>
      <x:c r="G978" s="23" t="str">
        <x:f>IF(E978=F978,"PASS","FAIL")</x:f>
        <x:v>PASS</x:v>
      </x:c>
    </x:row>
    <x:row r="979">
      <x:c r="B979" s="21" t="str">
        <x:v>C0973</x:v>
      </x:c>
      <x:c r="C979" s="21" t="str">
        <x:v>stage build</x:v>
      </x:c>
      <x:c r="D979" s="21" t="str">
        <x:v>baseline nonnegative row 169</x:v>
      </x:c>
      <x:c r="E979" s="21" t="n">
        <x:f>IF('Stage Build'!F169&gt;=0,1,0)</x:f>
        <x:v>1</x:v>
      </x:c>
      <x:c r="F979" s="21" t="n">
        <x:v>1</x:v>
      </x:c>
      <x:c r="G979" s="23" t="str">
        <x:f>IF(E979=F979,"PASS","FAIL")</x:f>
        <x:v>PASS</x:v>
      </x:c>
    </x:row>
    <x:row r="980">
      <x:c r="B980" s="21" t="str">
        <x:v>C0974</x:v>
      </x:c>
      <x:c r="C980" s="21" t="str">
        <x:v>stage build</x:v>
      </x:c>
      <x:c r="D980" s="21" t="str">
        <x:v>targeted additions nonnegative row 169</x:v>
      </x:c>
      <x:c r="E980" s="21" t="n">
        <x:f>IF(AND('Stage Build'!G169&gt;=0,'Stage Build'!H169&gt;=0),1,0)</x:f>
        <x:v>1</x:v>
      </x:c>
      <x:c r="F980" s="21" t="n">
        <x:v>1</x:v>
      </x:c>
      <x:c r="G980" s="23" t="str">
        <x:f>IF(E980=F980,"PASS","FAIL")</x:f>
        <x:v>PASS</x:v>
      </x:c>
    </x:row>
    <x:row r="981">
      <x:c r="B981" s="21" t="str">
        <x:v>C0975</x:v>
      </x:c>
      <x:c r="C981" s="21" t="str">
        <x:v>stage build</x:v>
      </x:c>
      <x:c r="D981" s="21" t="str">
        <x:v>pre-replication identity row 169</x:v>
      </x:c>
      <x:c r="E981" s="21" t="n">
        <x:f>IF(ABS('Stage Build'!I169-SUM('Stage Build'!F169:H169))&lt;0.000001,1,0)</x:f>
        <x:v>1</x:v>
      </x:c>
      <x:c r="F981" s="21" t="n">
        <x:v>1</x:v>
      </x:c>
      <x:c r="G981" s="23" t="str">
        <x:f>IF(E981=F981,"PASS","FAIL")</x:f>
        <x:v>PASS</x:v>
      </x:c>
    </x:row>
    <x:row r="982">
      <x:c r="B982" s="21" t="str">
        <x:v>C0976</x:v>
      </x:c>
      <x:c r="C982" s="21" t="str">
        <x:v>stage build</x:v>
      </x:c>
      <x:c r="D982" s="21" t="str">
        <x:v>replication layer nonnegative row 169</x:v>
      </x:c>
      <x:c r="E982" s="21" t="n">
        <x:f>IF('Stage Build'!J169&gt;=0,1,0)</x:f>
        <x:v>1</x:v>
      </x:c>
      <x:c r="F982" s="21" t="n">
        <x:v>1</x:v>
      </x:c>
      <x:c r="G982" s="23" t="str">
        <x:f>IF(E982=F982,"PASS","FAIL")</x:f>
        <x:v>PASS</x:v>
      </x:c>
    </x:row>
    <x:row r="983">
      <x:c r="B983" s="21" t="str">
        <x:v>C0977</x:v>
      </x:c>
      <x:c r="C983" s="21" t="str">
        <x:v>stage build</x:v>
      </x:c>
      <x:c r="D983" s="21" t="str">
        <x:v>designed ratio identity row 169</x:v>
      </x:c>
      <x:c r="E983" s="21" t="n">
        <x:f>IF(ABS('Stage Build'!K169-'Stage Build'!I169-'Stage Build'!J169)&lt;0.000001,1,0)</x:f>
        <x:v>1</x:v>
      </x:c>
      <x:c r="F983" s="21" t="n">
        <x:v>1</x:v>
      </x:c>
      <x:c r="G983" s="23" t="str">
        <x:f>IF(E983=F983,"PASS","FAIL")</x:f>
        <x:v>PASS</x:v>
      </x:c>
    </x:row>
    <x:row r="984">
      <x:c r="B984" s="21" t="str">
        <x:v>C0978</x:v>
      </x:c>
      <x:c r="C984" s="21" t="str">
        <x:v>stage build</x:v>
      </x:c>
      <x:c r="D984" s="21" t="str">
        <x:v>M05 status identity row 169</x:v>
      </x:c>
      <x:c r="E984" s="21" t="n">
        <x:f>IF('Stage Build'!L169=IF('Stage Build'!K169&gt;=Assumptions!$C$9,"ADEQUATE","GAP"),1,0)</x:f>
        <x:v>1</x:v>
      </x:c>
      <x:c r="F984" s="21" t="n">
        <x:v>1</x:v>
      </x:c>
      <x:c r="G984" s="23" t="str">
        <x:f>IF(E984=F984,"PASS","FAIL")</x:f>
        <x:v>PASS</x:v>
      </x:c>
    </x:row>
    <x:row r="985">
      <x:c r="B985" s="21" t="str">
        <x:v>C0979</x:v>
      </x:c>
      <x:c r="C985" s="21" t="str">
        <x:v>stage build</x:v>
      </x:c>
      <x:c r="D985" s="21" t="str">
        <x:v>baseline nonnegative row 170</x:v>
      </x:c>
      <x:c r="E985" s="21" t="n">
        <x:f>IF('Stage Build'!F170&gt;=0,1,0)</x:f>
        <x:v>1</x:v>
      </x:c>
      <x:c r="F985" s="21" t="n">
        <x:v>1</x:v>
      </x:c>
      <x:c r="G985" s="23" t="str">
        <x:f>IF(E985=F985,"PASS","FAIL")</x:f>
        <x:v>PASS</x:v>
      </x:c>
    </x:row>
    <x:row r="986">
      <x:c r="B986" s="21" t="str">
        <x:v>C0980</x:v>
      </x:c>
      <x:c r="C986" s="21" t="str">
        <x:v>stage build</x:v>
      </x:c>
      <x:c r="D986" s="21" t="str">
        <x:v>targeted additions nonnegative row 170</x:v>
      </x:c>
      <x:c r="E986" s="21" t="n">
        <x:f>IF(AND('Stage Build'!G170&gt;=0,'Stage Build'!H170&gt;=0),1,0)</x:f>
        <x:v>1</x:v>
      </x:c>
      <x:c r="F986" s="21" t="n">
        <x:v>1</x:v>
      </x:c>
      <x:c r="G986" s="23" t="str">
        <x:f>IF(E986=F986,"PASS","FAIL")</x:f>
        <x:v>PASS</x:v>
      </x:c>
    </x:row>
    <x:row r="987">
      <x:c r="B987" s="21" t="str">
        <x:v>C0981</x:v>
      </x:c>
      <x:c r="C987" s="21" t="str">
        <x:v>stage build</x:v>
      </x:c>
      <x:c r="D987" s="21" t="str">
        <x:v>pre-replication identity row 170</x:v>
      </x:c>
      <x:c r="E987" s="21" t="n">
        <x:f>IF(ABS('Stage Build'!I170-SUM('Stage Build'!F170:H170))&lt;0.000001,1,0)</x:f>
        <x:v>1</x:v>
      </x:c>
      <x:c r="F987" s="21" t="n">
        <x:v>1</x:v>
      </x:c>
      <x:c r="G987" s="23" t="str">
        <x:f>IF(E987=F987,"PASS","FAIL")</x:f>
        <x:v>PASS</x:v>
      </x:c>
    </x:row>
    <x:row r="988">
      <x:c r="B988" s="21" t="str">
        <x:v>C0982</x:v>
      </x:c>
      <x:c r="C988" s="21" t="str">
        <x:v>stage build</x:v>
      </x:c>
      <x:c r="D988" s="21" t="str">
        <x:v>replication layer nonnegative row 170</x:v>
      </x:c>
      <x:c r="E988" s="21" t="n">
        <x:f>IF('Stage Build'!J170&gt;=0,1,0)</x:f>
        <x:v>1</x:v>
      </x:c>
      <x:c r="F988" s="21" t="n">
        <x:v>1</x:v>
      </x:c>
      <x:c r="G988" s="23" t="str">
        <x:f>IF(E988=F988,"PASS","FAIL")</x:f>
        <x:v>PASS</x:v>
      </x:c>
    </x:row>
    <x:row r="989">
      <x:c r="B989" s="21" t="str">
        <x:v>C0983</x:v>
      </x:c>
      <x:c r="C989" s="21" t="str">
        <x:v>stage build</x:v>
      </x:c>
      <x:c r="D989" s="21" t="str">
        <x:v>designed ratio identity row 170</x:v>
      </x:c>
      <x:c r="E989" s="21" t="n">
        <x:f>IF(ABS('Stage Build'!K170-'Stage Build'!I170-'Stage Build'!J170)&lt;0.000001,1,0)</x:f>
        <x:v>1</x:v>
      </x:c>
      <x:c r="F989" s="21" t="n">
        <x:v>1</x:v>
      </x:c>
      <x:c r="G989" s="23" t="str">
        <x:f>IF(E989=F989,"PASS","FAIL")</x:f>
        <x:v>PASS</x:v>
      </x:c>
    </x:row>
    <x:row r="990">
      <x:c r="B990" s="21" t="str">
        <x:v>C0984</x:v>
      </x:c>
      <x:c r="C990" s="21" t="str">
        <x:v>stage build</x:v>
      </x:c>
      <x:c r="D990" s="21" t="str">
        <x:v>M05 status identity row 170</x:v>
      </x:c>
      <x:c r="E990" s="21" t="n">
        <x:f>IF('Stage Build'!L170=IF('Stage Build'!K170&gt;=Assumptions!$C$9,"ADEQUATE","GAP"),1,0)</x:f>
        <x:v>1</x:v>
      </x:c>
      <x:c r="F990" s="21" t="n">
        <x:v>1</x:v>
      </x:c>
      <x:c r="G990" s="23" t="str">
        <x:f>IF(E990=F990,"PASS","FAIL")</x:f>
        <x:v>PASS</x:v>
      </x:c>
    </x:row>
    <x:row r="991">
      <x:c r="B991" s="21" t="str">
        <x:v>C0985</x:v>
      </x:c>
      <x:c r="C991" s="21" t="str">
        <x:v>stage build</x:v>
      </x:c>
      <x:c r="D991" s="21" t="str">
        <x:v>baseline nonnegative row 171</x:v>
      </x:c>
      <x:c r="E991" s="21" t="n">
        <x:f>IF('Stage Build'!F171&gt;=0,1,0)</x:f>
        <x:v>1</x:v>
      </x:c>
      <x:c r="F991" s="21" t="n">
        <x:v>1</x:v>
      </x:c>
      <x:c r="G991" s="23" t="str">
        <x:f>IF(E991=F991,"PASS","FAIL")</x:f>
        <x:v>PASS</x:v>
      </x:c>
    </x:row>
    <x:row r="992">
      <x:c r="B992" s="21" t="str">
        <x:v>C0986</x:v>
      </x:c>
      <x:c r="C992" s="21" t="str">
        <x:v>stage build</x:v>
      </x:c>
      <x:c r="D992" s="21" t="str">
        <x:v>targeted additions nonnegative row 171</x:v>
      </x:c>
      <x:c r="E992" s="21" t="n">
        <x:f>IF(AND('Stage Build'!G171&gt;=0,'Stage Build'!H171&gt;=0),1,0)</x:f>
        <x:v>1</x:v>
      </x:c>
      <x:c r="F992" s="21" t="n">
        <x:v>1</x:v>
      </x:c>
      <x:c r="G992" s="23" t="str">
        <x:f>IF(E992=F992,"PASS","FAIL")</x:f>
        <x:v>PASS</x:v>
      </x:c>
    </x:row>
    <x:row r="993">
      <x:c r="B993" s="21" t="str">
        <x:v>C0987</x:v>
      </x:c>
      <x:c r="C993" s="21" t="str">
        <x:v>stage build</x:v>
      </x:c>
      <x:c r="D993" s="21" t="str">
        <x:v>pre-replication identity row 171</x:v>
      </x:c>
      <x:c r="E993" s="21" t="n">
        <x:f>IF(ABS('Stage Build'!I171-SUM('Stage Build'!F171:H171))&lt;0.000001,1,0)</x:f>
        <x:v>1</x:v>
      </x:c>
      <x:c r="F993" s="21" t="n">
        <x:v>1</x:v>
      </x:c>
      <x:c r="G993" s="23" t="str">
        <x:f>IF(E993=F993,"PASS","FAIL")</x:f>
        <x:v>PASS</x:v>
      </x:c>
    </x:row>
    <x:row r="994">
      <x:c r="B994" s="21" t="str">
        <x:v>C0988</x:v>
      </x:c>
      <x:c r="C994" s="21" t="str">
        <x:v>stage build</x:v>
      </x:c>
      <x:c r="D994" s="21" t="str">
        <x:v>replication layer nonnegative row 171</x:v>
      </x:c>
      <x:c r="E994" s="21" t="n">
        <x:f>IF('Stage Build'!J171&gt;=0,1,0)</x:f>
        <x:v>1</x:v>
      </x:c>
      <x:c r="F994" s="21" t="n">
        <x:v>1</x:v>
      </x:c>
      <x:c r="G994" s="23" t="str">
        <x:f>IF(E994=F994,"PASS","FAIL")</x:f>
        <x:v>PASS</x:v>
      </x:c>
    </x:row>
    <x:row r="995">
      <x:c r="B995" s="21" t="str">
        <x:v>C0989</x:v>
      </x:c>
      <x:c r="C995" s="21" t="str">
        <x:v>stage build</x:v>
      </x:c>
      <x:c r="D995" s="21" t="str">
        <x:v>designed ratio identity row 171</x:v>
      </x:c>
      <x:c r="E995" s="21" t="n">
        <x:f>IF(ABS('Stage Build'!K171-'Stage Build'!I171-'Stage Build'!J171)&lt;0.000001,1,0)</x:f>
        <x:v>1</x:v>
      </x:c>
      <x:c r="F995" s="21" t="n">
        <x:v>1</x:v>
      </x:c>
      <x:c r="G995" s="23" t="str">
        <x:f>IF(E995=F995,"PASS","FAIL")</x:f>
        <x:v>PASS</x:v>
      </x:c>
    </x:row>
    <x:row r="996">
      <x:c r="B996" s="21" t="str">
        <x:v>C0990</x:v>
      </x:c>
      <x:c r="C996" s="21" t="str">
        <x:v>stage build</x:v>
      </x:c>
      <x:c r="D996" s="21" t="str">
        <x:v>M05 status identity row 171</x:v>
      </x:c>
      <x:c r="E996" s="21" t="n">
        <x:f>IF('Stage Build'!L171=IF('Stage Build'!K171&gt;=Assumptions!$C$9,"ADEQUATE","GAP"),1,0)</x:f>
        <x:v>1</x:v>
      </x:c>
      <x:c r="F996" s="21" t="n">
        <x:v>1</x:v>
      </x:c>
      <x:c r="G996" s="23" t="str">
        <x:f>IF(E996=F996,"PASS","FAIL")</x:f>
        <x:v>PASS</x:v>
      </x:c>
    </x:row>
    <x:row r="997">
      <x:c r="B997" s="21" t="str">
        <x:v>C0991</x:v>
      </x:c>
      <x:c r="C997" s="21" t="str">
        <x:v>stage build</x:v>
      </x:c>
      <x:c r="D997" s="21" t="str">
        <x:v>baseline nonnegative row 172</x:v>
      </x:c>
      <x:c r="E997" s="21" t="n">
        <x:f>IF('Stage Build'!F172&gt;=0,1,0)</x:f>
        <x:v>1</x:v>
      </x:c>
      <x:c r="F997" s="21" t="n">
        <x:v>1</x:v>
      </x:c>
      <x:c r="G997" s="23" t="str">
        <x:f>IF(E997=F997,"PASS","FAIL")</x:f>
        <x:v>PASS</x:v>
      </x:c>
    </x:row>
    <x:row r="998">
      <x:c r="B998" s="21" t="str">
        <x:v>C0992</x:v>
      </x:c>
      <x:c r="C998" s="21" t="str">
        <x:v>stage build</x:v>
      </x:c>
      <x:c r="D998" s="21" t="str">
        <x:v>targeted additions nonnegative row 172</x:v>
      </x:c>
      <x:c r="E998" s="21" t="n">
        <x:f>IF(AND('Stage Build'!G172&gt;=0,'Stage Build'!H172&gt;=0),1,0)</x:f>
        <x:v>1</x:v>
      </x:c>
      <x:c r="F998" s="21" t="n">
        <x:v>1</x:v>
      </x:c>
      <x:c r="G998" s="23" t="str">
        <x:f>IF(E998=F998,"PASS","FAIL")</x:f>
        <x:v>PASS</x:v>
      </x:c>
    </x:row>
    <x:row r="999">
      <x:c r="B999" s="21" t="str">
        <x:v>C0993</x:v>
      </x:c>
      <x:c r="C999" s="21" t="str">
        <x:v>stage build</x:v>
      </x:c>
      <x:c r="D999" s="21" t="str">
        <x:v>pre-replication identity row 172</x:v>
      </x:c>
      <x:c r="E999" s="21" t="n">
        <x:f>IF(ABS('Stage Build'!I172-SUM('Stage Build'!F172:H172))&lt;0.000001,1,0)</x:f>
        <x:v>1</x:v>
      </x:c>
      <x:c r="F999" s="21" t="n">
        <x:v>1</x:v>
      </x:c>
      <x:c r="G999" s="23" t="str">
        <x:f>IF(E999=F999,"PASS","FAIL")</x:f>
        <x:v>PASS</x:v>
      </x:c>
    </x:row>
    <x:row r="1000">
      <x:c r="B1000" s="21" t="str">
        <x:v>C0994</x:v>
      </x:c>
      <x:c r="C1000" s="21" t="str">
        <x:v>stage build</x:v>
      </x:c>
      <x:c r="D1000" s="21" t="str">
        <x:v>replication layer nonnegative row 172</x:v>
      </x:c>
      <x:c r="E1000" s="21" t="n">
        <x:f>IF('Stage Build'!J172&gt;=0,1,0)</x:f>
        <x:v>1</x:v>
      </x:c>
      <x:c r="F1000" s="21" t="n">
        <x:v>1</x:v>
      </x:c>
      <x:c r="G1000" s="23" t="str">
        <x:f>IF(E1000=F1000,"PASS","FAIL")</x:f>
        <x:v>PASS</x:v>
      </x:c>
    </x:row>
    <x:row r="1001">
      <x:c r="B1001" s="21" t="str">
        <x:v>C0995</x:v>
      </x:c>
      <x:c r="C1001" s="21" t="str">
        <x:v>stage build</x:v>
      </x:c>
      <x:c r="D1001" s="21" t="str">
        <x:v>designed ratio identity row 172</x:v>
      </x:c>
      <x:c r="E1001" s="21" t="n">
        <x:f>IF(ABS('Stage Build'!K172-'Stage Build'!I172-'Stage Build'!J172)&lt;0.000001,1,0)</x:f>
        <x:v>1</x:v>
      </x:c>
      <x:c r="F1001" s="21" t="n">
        <x:v>1</x:v>
      </x:c>
      <x:c r="G1001" s="23" t="str">
        <x:f>IF(E1001=F1001,"PASS","FAIL")</x:f>
        <x:v>PASS</x:v>
      </x:c>
    </x:row>
    <x:row r="1002">
      <x:c r="B1002" s="21" t="str">
        <x:v>C0996</x:v>
      </x:c>
      <x:c r="C1002" s="21" t="str">
        <x:v>stage build</x:v>
      </x:c>
      <x:c r="D1002" s="21" t="str">
        <x:v>M05 status identity row 172</x:v>
      </x:c>
      <x:c r="E1002" s="21" t="n">
        <x:f>IF('Stage Build'!L172=IF('Stage Build'!K172&gt;=Assumptions!$C$9,"ADEQUATE","GAP"),1,0)</x:f>
        <x:v>1</x:v>
      </x:c>
      <x:c r="F1002" s="21" t="n">
        <x:v>1</x:v>
      </x:c>
      <x:c r="G1002" s="23" t="str">
        <x:f>IF(E1002=F1002,"PASS","FAIL")</x:f>
        <x:v>PASS</x:v>
      </x:c>
    </x:row>
    <x:row r="1003">
      <x:c r="B1003" s="21" t="str">
        <x:v>C0997</x:v>
      </x:c>
      <x:c r="C1003" s="21" t="str">
        <x:v>stage build</x:v>
      </x:c>
      <x:c r="D1003" s="21" t="str">
        <x:v>baseline nonnegative row 173</x:v>
      </x:c>
      <x:c r="E1003" s="21" t="n">
        <x:f>IF('Stage Build'!F173&gt;=0,1,0)</x:f>
        <x:v>1</x:v>
      </x:c>
      <x:c r="F1003" s="21" t="n">
        <x:v>1</x:v>
      </x:c>
      <x:c r="G1003" s="23" t="str">
        <x:f>IF(E1003=F1003,"PASS","FAIL")</x:f>
        <x:v>PASS</x:v>
      </x:c>
    </x:row>
    <x:row r="1004">
      <x:c r="B1004" s="21" t="str">
        <x:v>C0998</x:v>
      </x:c>
      <x:c r="C1004" s="21" t="str">
        <x:v>stage build</x:v>
      </x:c>
      <x:c r="D1004" s="21" t="str">
        <x:v>targeted additions nonnegative row 173</x:v>
      </x:c>
      <x:c r="E1004" s="21" t="n">
        <x:f>IF(AND('Stage Build'!G173&gt;=0,'Stage Build'!H173&gt;=0),1,0)</x:f>
        <x:v>1</x:v>
      </x:c>
      <x:c r="F1004" s="21" t="n">
        <x:v>1</x:v>
      </x:c>
      <x:c r="G1004" s="23" t="str">
        <x:f>IF(E1004=F1004,"PASS","FAIL")</x:f>
        <x:v>PASS</x:v>
      </x:c>
    </x:row>
    <x:row r="1005">
      <x:c r="B1005" s="21" t="str">
        <x:v>C0999</x:v>
      </x:c>
      <x:c r="C1005" s="21" t="str">
        <x:v>stage build</x:v>
      </x:c>
      <x:c r="D1005" s="21" t="str">
        <x:v>pre-replication identity row 173</x:v>
      </x:c>
      <x:c r="E1005" s="21" t="n">
        <x:f>IF(ABS('Stage Build'!I173-SUM('Stage Build'!F173:H173))&lt;0.000001,1,0)</x:f>
        <x:v>1</x:v>
      </x:c>
      <x:c r="F1005" s="21" t="n">
        <x:v>1</x:v>
      </x:c>
      <x:c r="G1005" s="23" t="str">
        <x:f>IF(E1005=F1005,"PASS","FAIL")</x:f>
        <x:v>PASS</x:v>
      </x:c>
    </x:row>
    <x:row r="1006">
      <x:c r="B1006" s="21" t="str">
        <x:v>C1000</x:v>
      </x:c>
      <x:c r="C1006" s="21" t="str">
        <x:v>stage build</x:v>
      </x:c>
      <x:c r="D1006" s="21" t="str">
        <x:v>replication layer nonnegative row 173</x:v>
      </x:c>
      <x:c r="E1006" s="21" t="n">
        <x:f>IF('Stage Build'!J173&gt;=0,1,0)</x:f>
        <x:v>1</x:v>
      </x:c>
      <x:c r="F1006" s="21" t="n">
        <x:v>1</x:v>
      </x:c>
      <x:c r="G1006" s="23" t="str">
        <x:f>IF(E1006=F1006,"PASS","FAIL")</x:f>
        <x:v>PASS</x:v>
      </x:c>
    </x:row>
    <x:row r="1007">
      <x:c r="B1007" s="21" t="str">
        <x:v>C1001</x:v>
      </x:c>
      <x:c r="C1007" s="21" t="str">
        <x:v>stage build</x:v>
      </x:c>
      <x:c r="D1007" s="21" t="str">
        <x:v>designed ratio identity row 173</x:v>
      </x:c>
      <x:c r="E1007" s="21" t="n">
        <x:f>IF(ABS('Stage Build'!K173-'Stage Build'!I173-'Stage Build'!J173)&lt;0.000001,1,0)</x:f>
        <x:v>1</x:v>
      </x:c>
      <x:c r="F1007" s="21" t="n">
        <x:v>1</x:v>
      </x:c>
      <x:c r="G1007" s="23" t="str">
        <x:f>IF(E1007=F1007,"PASS","FAIL")</x:f>
        <x:v>PASS</x:v>
      </x:c>
    </x:row>
    <x:row r="1008">
      <x:c r="B1008" s="21" t="str">
        <x:v>C1002</x:v>
      </x:c>
      <x:c r="C1008" s="21" t="str">
        <x:v>stage build</x:v>
      </x:c>
      <x:c r="D1008" s="21" t="str">
        <x:v>M05 status identity row 173</x:v>
      </x:c>
      <x:c r="E1008" s="21" t="n">
        <x:f>IF('Stage Build'!L173=IF('Stage Build'!K173&gt;=Assumptions!$C$9,"ADEQUATE","GAP"),1,0)</x:f>
        <x:v>1</x:v>
      </x:c>
      <x:c r="F1008" s="21" t="n">
        <x:v>1</x:v>
      </x:c>
      <x:c r="G1008" s="23" t="str">
        <x:f>IF(E1008=F1008,"PASS","FAIL")</x:f>
        <x:v>PASS</x:v>
      </x:c>
    </x:row>
    <x:row r="1009">
      <x:c r="B1009" s="21" t="str">
        <x:v>C1003</x:v>
      </x:c>
      <x:c r="C1009" s="21" t="str">
        <x:v>stage build</x:v>
      </x:c>
      <x:c r="D1009" s="21" t="str">
        <x:v>baseline nonnegative row 174</x:v>
      </x:c>
      <x:c r="E1009" s="21" t="n">
        <x:f>IF('Stage Build'!F174&gt;=0,1,0)</x:f>
        <x:v>1</x:v>
      </x:c>
      <x:c r="F1009" s="21" t="n">
        <x:v>1</x:v>
      </x:c>
      <x:c r="G1009" s="23" t="str">
        <x:f>IF(E1009=F1009,"PASS","FAIL")</x:f>
        <x:v>PASS</x:v>
      </x:c>
    </x:row>
    <x:row r="1010">
      <x:c r="B1010" s="21" t="str">
        <x:v>C1004</x:v>
      </x:c>
      <x:c r="C1010" s="21" t="str">
        <x:v>stage build</x:v>
      </x:c>
      <x:c r="D1010" s="21" t="str">
        <x:v>targeted additions nonnegative row 174</x:v>
      </x:c>
      <x:c r="E1010" s="21" t="n">
        <x:f>IF(AND('Stage Build'!G174&gt;=0,'Stage Build'!H174&gt;=0),1,0)</x:f>
        <x:v>1</x:v>
      </x:c>
      <x:c r="F1010" s="21" t="n">
        <x:v>1</x:v>
      </x:c>
      <x:c r="G1010" s="23" t="str">
        <x:f>IF(E1010=F1010,"PASS","FAIL")</x:f>
        <x:v>PASS</x:v>
      </x:c>
    </x:row>
    <x:row r="1011">
      <x:c r="B1011" s="21" t="str">
        <x:v>C1005</x:v>
      </x:c>
      <x:c r="C1011" s="21" t="str">
        <x:v>stage build</x:v>
      </x:c>
      <x:c r="D1011" s="21" t="str">
        <x:v>pre-replication identity row 174</x:v>
      </x:c>
      <x:c r="E1011" s="21" t="n">
        <x:f>IF(ABS('Stage Build'!I174-SUM('Stage Build'!F174:H174))&lt;0.000001,1,0)</x:f>
        <x:v>1</x:v>
      </x:c>
      <x:c r="F1011" s="21" t="n">
        <x:v>1</x:v>
      </x:c>
      <x:c r="G1011" s="23" t="str">
        <x:f>IF(E1011=F1011,"PASS","FAIL")</x:f>
        <x:v>PASS</x:v>
      </x:c>
    </x:row>
    <x:row r="1012">
      <x:c r="B1012" s="21" t="str">
        <x:v>C1006</x:v>
      </x:c>
      <x:c r="C1012" s="21" t="str">
        <x:v>stage build</x:v>
      </x:c>
      <x:c r="D1012" s="21" t="str">
        <x:v>replication layer nonnegative row 174</x:v>
      </x:c>
      <x:c r="E1012" s="21" t="n">
        <x:f>IF('Stage Build'!J174&gt;=0,1,0)</x:f>
        <x:v>1</x:v>
      </x:c>
      <x:c r="F1012" s="21" t="n">
        <x:v>1</x:v>
      </x:c>
      <x:c r="G1012" s="23" t="str">
        <x:f>IF(E1012=F1012,"PASS","FAIL")</x:f>
        <x:v>PASS</x:v>
      </x:c>
    </x:row>
    <x:row r="1013">
      <x:c r="B1013" s="21" t="str">
        <x:v>C1007</x:v>
      </x:c>
      <x:c r="C1013" s="21" t="str">
        <x:v>stage build</x:v>
      </x:c>
      <x:c r="D1013" s="21" t="str">
        <x:v>designed ratio identity row 174</x:v>
      </x:c>
      <x:c r="E1013" s="21" t="n">
        <x:f>IF(ABS('Stage Build'!K174-'Stage Build'!I174-'Stage Build'!J174)&lt;0.000001,1,0)</x:f>
        <x:v>1</x:v>
      </x:c>
      <x:c r="F1013" s="21" t="n">
        <x:v>1</x:v>
      </x:c>
      <x:c r="G1013" s="23" t="str">
        <x:f>IF(E1013=F1013,"PASS","FAIL")</x:f>
        <x:v>PASS</x:v>
      </x:c>
    </x:row>
    <x:row r="1014">
      <x:c r="B1014" s="21" t="str">
        <x:v>C1008</x:v>
      </x:c>
      <x:c r="C1014" s="21" t="str">
        <x:v>stage build</x:v>
      </x:c>
      <x:c r="D1014" s="21" t="str">
        <x:v>M05 status identity row 174</x:v>
      </x:c>
      <x:c r="E1014" s="21" t="n">
        <x:f>IF('Stage Build'!L174=IF('Stage Build'!K174&gt;=Assumptions!$C$9,"ADEQUATE","GAP"),1,0)</x:f>
        <x:v>1</x:v>
      </x:c>
      <x:c r="F1014" s="21" t="n">
        <x:v>1</x:v>
      </x:c>
      <x:c r="G1014" s="23" t="str">
        <x:f>IF(E1014=F1014,"PASS","FAIL")</x:f>
        <x:v>PASS</x:v>
      </x:c>
    </x:row>
    <x:row r="1015">
      <x:c r="B1015" s="21" t="str">
        <x:v>C1009</x:v>
      </x:c>
      <x:c r="C1015" s="21" t="str">
        <x:v>stage build</x:v>
      </x:c>
      <x:c r="D1015" s="21" t="str">
        <x:v>baseline nonnegative row 175</x:v>
      </x:c>
      <x:c r="E1015" s="21" t="n">
        <x:f>IF('Stage Build'!F175&gt;=0,1,0)</x:f>
        <x:v>1</x:v>
      </x:c>
      <x:c r="F1015" s="21" t="n">
        <x:v>1</x:v>
      </x:c>
      <x:c r="G1015" s="23" t="str">
        <x:f>IF(E1015=F1015,"PASS","FAIL")</x:f>
        <x:v>PASS</x:v>
      </x:c>
    </x:row>
    <x:row r="1016">
      <x:c r="B1016" s="21" t="str">
        <x:v>C1010</x:v>
      </x:c>
      <x:c r="C1016" s="21" t="str">
        <x:v>stage build</x:v>
      </x:c>
      <x:c r="D1016" s="21" t="str">
        <x:v>targeted additions nonnegative row 175</x:v>
      </x:c>
      <x:c r="E1016" s="21" t="n">
        <x:f>IF(AND('Stage Build'!G175&gt;=0,'Stage Build'!H175&gt;=0),1,0)</x:f>
        <x:v>1</x:v>
      </x:c>
      <x:c r="F1016" s="21" t="n">
        <x:v>1</x:v>
      </x:c>
      <x:c r="G1016" s="23" t="str">
        <x:f>IF(E1016=F1016,"PASS","FAIL")</x:f>
        <x:v>PASS</x:v>
      </x:c>
    </x:row>
    <x:row r="1017">
      <x:c r="B1017" s="21" t="str">
        <x:v>C1011</x:v>
      </x:c>
      <x:c r="C1017" s="21" t="str">
        <x:v>stage build</x:v>
      </x:c>
      <x:c r="D1017" s="21" t="str">
        <x:v>pre-replication identity row 175</x:v>
      </x:c>
      <x:c r="E1017" s="21" t="n">
        <x:f>IF(ABS('Stage Build'!I175-SUM('Stage Build'!F175:H175))&lt;0.000001,1,0)</x:f>
        <x:v>1</x:v>
      </x:c>
      <x:c r="F1017" s="21" t="n">
        <x:v>1</x:v>
      </x:c>
      <x:c r="G1017" s="23" t="str">
        <x:f>IF(E1017=F1017,"PASS","FAIL")</x:f>
        <x:v>PASS</x:v>
      </x:c>
    </x:row>
    <x:row r="1018">
      <x:c r="B1018" s="21" t="str">
        <x:v>C1012</x:v>
      </x:c>
      <x:c r="C1018" s="21" t="str">
        <x:v>stage build</x:v>
      </x:c>
      <x:c r="D1018" s="21" t="str">
        <x:v>replication layer nonnegative row 175</x:v>
      </x:c>
      <x:c r="E1018" s="21" t="n">
        <x:f>IF('Stage Build'!J175&gt;=0,1,0)</x:f>
        <x:v>1</x:v>
      </x:c>
      <x:c r="F1018" s="21" t="n">
        <x:v>1</x:v>
      </x:c>
      <x:c r="G1018" s="23" t="str">
        <x:f>IF(E1018=F1018,"PASS","FAIL")</x:f>
        <x:v>PASS</x:v>
      </x:c>
    </x:row>
    <x:row r="1019">
      <x:c r="B1019" s="21" t="str">
        <x:v>C1013</x:v>
      </x:c>
      <x:c r="C1019" s="21" t="str">
        <x:v>stage build</x:v>
      </x:c>
      <x:c r="D1019" s="21" t="str">
        <x:v>designed ratio identity row 175</x:v>
      </x:c>
      <x:c r="E1019" s="21" t="n">
        <x:f>IF(ABS('Stage Build'!K175-'Stage Build'!I175-'Stage Build'!J175)&lt;0.000001,1,0)</x:f>
        <x:v>1</x:v>
      </x:c>
      <x:c r="F1019" s="21" t="n">
        <x:v>1</x:v>
      </x:c>
      <x:c r="G1019" s="23" t="str">
        <x:f>IF(E1019=F1019,"PASS","FAIL")</x:f>
        <x:v>PASS</x:v>
      </x:c>
    </x:row>
    <x:row r="1020">
      <x:c r="B1020" s="21" t="str">
        <x:v>C1014</x:v>
      </x:c>
      <x:c r="C1020" s="21" t="str">
        <x:v>stage build</x:v>
      </x:c>
      <x:c r="D1020" s="21" t="str">
        <x:v>M05 status identity row 175</x:v>
      </x:c>
      <x:c r="E1020" s="21" t="n">
        <x:f>IF('Stage Build'!L175=IF('Stage Build'!K175&gt;=Assumptions!$C$9,"ADEQUATE","GAP"),1,0)</x:f>
        <x:v>1</x:v>
      </x:c>
      <x:c r="F1020" s="21" t="n">
        <x:v>1</x:v>
      </x:c>
      <x:c r="G1020" s="23" t="str">
        <x:f>IF(E1020=F1020,"PASS","FAIL")</x:f>
        <x:v>PASS</x:v>
      </x:c>
    </x:row>
    <x:row r="1021">
      <x:c r="B1021" s="21" t="str">
        <x:v>C1015</x:v>
      </x:c>
      <x:c r="C1021" s="21" t="str">
        <x:v>stage build</x:v>
      </x:c>
      <x:c r="D1021" s="21" t="str">
        <x:v>baseline nonnegative row 176</x:v>
      </x:c>
      <x:c r="E1021" s="21" t="n">
        <x:f>IF('Stage Build'!F176&gt;=0,1,0)</x:f>
        <x:v>1</x:v>
      </x:c>
      <x:c r="F1021" s="21" t="n">
        <x:v>1</x:v>
      </x:c>
      <x:c r="G1021" s="23" t="str">
        <x:f>IF(E1021=F1021,"PASS","FAIL")</x:f>
        <x:v>PASS</x:v>
      </x:c>
    </x:row>
    <x:row r="1022">
      <x:c r="B1022" s="21" t="str">
        <x:v>C1016</x:v>
      </x:c>
      <x:c r="C1022" s="21" t="str">
        <x:v>stage build</x:v>
      </x:c>
      <x:c r="D1022" s="21" t="str">
        <x:v>targeted additions nonnegative row 176</x:v>
      </x:c>
      <x:c r="E1022" s="21" t="n">
        <x:f>IF(AND('Stage Build'!G176&gt;=0,'Stage Build'!H176&gt;=0),1,0)</x:f>
        <x:v>1</x:v>
      </x:c>
      <x:c r="F1022" s="21" t="n">
        <x:v>1</x:v>
      </x:c>
      <x:c r="G1022" s="23" t="str">
        <x:f>IF(E1022=F1022,"PASS","FAIL")</x:f>
        <x:v>PASS</x:v>
      </x:c>
    </x:row>
    <x:row r="1023">
      <x:c r="B1023" s="21" t="str">
        <x:v>C1017</x:v>
      </x:c>
      <x:c r="C1023" s="21" t="str">
        <x:v>stage build</x:v>
      </x:c>
      <x:c r="D1023" s="21" t="str">
        <x:v>pre-replication identity row 176</x:v>
      </x:c>
      <x:c r="E1023" s="21" t="n">
        <x:f>IF(ABS('Stage Build'!I176-SUM('Stage Build'!F176:H176))&lt;0.000001,1,0)</x:f>
        <x:v>1</x:v>
      </x:c>
      <x:c r="F1023" s="21" t="n">
        <x:v>1</x:v>
      </x:c>
      <x:c r="G1023" s="23" t="str">
        <x:f>IF(E1023=F1023,"PASS","FAIL")</x:f>
        <x:v>PASS</x:v>
      </x:c>
    </x:row>
    <x:row r="1024">
      <x:c r="B1024" s="21" t="str">
        <x:v>C1018</x:v>
      </x:c>
      <x:c r="C1024" s="21" t="str">
        <x:v>stage build</x:v>
      </x:c>
      <x:c r="D1024" s="21" t="str">
        <x:v>replication layer nonnegative row 176</x:v>
      </x:c>
      <x:c r="E1024" s="21" t="n">
        <x:f>IF('Stage Build'!J176&gt;=0,1,0)</x:f>
        <x:v>1</x:v>
      </x:c>
      <x:c r="F1024" s="21" t="n">
        <x:v>1</x:v>
      </x:c>
      <x:c r="G1024" s="23" t="str">
        <x:f>IF(E1024=F1024,"PASS","FAIL")</x:f>
        <x:v>PASS</x:v>
      </x:c>
    </x:row>
    <x:row r="1025">
      <x:c r="B1025" s="21" t="str">
        <x:v>C1019</x:v>
      </x:c>
      <x:c r="C1025" s="21" t="str">
        <x:v>stage build</x:v>
      </x:c>
      <x:c r="D1025" s="21" t="str">
        <x:v>designed ratio identity row 176</x:v>
      </x:c>
      <x:c r="E1025" s="21" t="n">
        <x:f>IF(ABS('Stage Build'!K176-'Stage Build'!I176-'Stage Build'!J176)&lt;0.000001,1,0)</x:f>
        <x:v>1</x:v>
      </x:c>
      <x:c r="F1025" s="21" t="n">
        <x:v>1</x:v>
      </x:c>
      <x:c r="G1025" s="23" t="str">
        <x:f>IF(E1025=F1025,"PASS","FAIL")</x:f>
        <x:v>PASS</x:v>
      </x:c>
    </x:row>
    <x:row r="1026">
      <x:c r="B1026" s="21" t="str">
        <x:v>C1020</x:v>
      </x:c>
      <x:c r="C1026" s="21" t="str">
        <x:v>stage build</x:v>
      </x:c>
      <x:c r="D1026" s="21" t="str">
        <x:v>M05 status identity row 176</x:v>
      </x:c>
      <x:c r="E1026" s="21" t="n">
        <x:f>IF('Stage Build'!L176=IF('Stage Build'!K176&gt;=Assumptions!$C$9,"ADEQUATE","GAP"),1,0)</x:f>
        <x:v>1</x:v>
      </x:c>
      <x:c r="F1026" s="21" t="n">
        <x:v>1</x:v>
      </x:c>
      <x:c r="G1026" s="23" t="str">
        <x:f>IF(E1026=F1026,"PASS","FAIL")</x:f>
        <x:v>PASS</x:v>
      </x:c>
    </x:row>
    <x:row r="1027">
      <x:c r="B1027" s="21" t="str">
        <x:v>C1021</x:v>
      </x:c>
      <x:c r="C1027" s="21" t="str">
        <x:v>stage build</x:v>
      </x:c>
      <x:c r="D1027" s="21" t="str">
        <x:v>baseline nonnegative row 177</x:v>
      </x:c>
      <x:c r="E1027" s="21" t="n">
        <x:f>IF('Stage Build'!F177&gt;=0,1,0)</x:f>
        <x:v>1</x:v>
      </x:c>
      <x:c r="F1027" s="21" t="n">
        <x:v>1</x:v>
      </x:c>
      <x:c r="G1027" s="23" t="str">
        <x:f>IF(E1027=F1027,"PASS","FAIL")</x:f>
        <x:v>PASS</x:v>
      </x:c>
    </x:row>
    <x:row r="1028">
      <x:c r="B1028" s="21" t="str">
        <x:v>C1022</x:v>
      </x:c>
      <x:c r="C1028" s="21" t="str">
        <x:v>stage build</x:v>
      </x:c>
      <x:c r="D1028" s="21" t="str">
        <x:v>targeted additions nonnegative row 177</x:v>
      </x:c>
      <x:c r="E1028" s="21" t="n">
        <x:f>IF(AND('Stage Build'!G177&gt;=0,'Stage Build'!H177&gt;=0),1,0)</x:f>
        <x:v>1</x:v>
      </x:c>
      <x:c r="F1028" s="21" t="n">
        <x:v>1</x:v>
      </x:c>
      <x:c r="G1028" s="23" t="str">
        <x:f>IF(E1028=F1028,"PASS","FAIL")</x:f>
        <x:v>PASS</x:v>
      </x:c>
    </x:row>
    <x:row r="1029">
      <x:c r="B1029" s="21" t="str">
        <x:v>C1023</x:v>
      </x:c>
      <x:c r="C1029" s="21" t="str">
        <x:v>stage build</x:v>
      </x:c>
      <x:c r="D1029" s="21" t="str">
        <x:v>pre-replication identity row 177</x:v>
      </x:c>
      <x:c r="E1029" s="21" t="n">
        <x:f>IF(ABS('Stage Build'!I177-SUM('Stage Build'!F177:H177))&lt;0.000001,1,0)</x:f>
        <x:v>1</x:v>
      </x:c>
      <x:c r="F1029" s="21" t="n">
        <x:v>1</x:v>
      </x:c>
      <x:c r="G1029" s="23" t="str">
        <x:f>IF(E1029=F1029,"PASS","FAIL")</x:f>
        <x:v>PASS</x:v>
      </x:c>
    </x:row>
    <x:row r="1030">
      <x:c r="B1030" s="21" t="str">
        <x:v>C1024</x:v>
      </x:c>
      <x:c r="C1030" s="21" t="str">
        <x:v>stage build</x:v>
      </x:c>
      <x:c r="D1030" s="21" t="str">
        <x:v>replication layer nonnegative row 177</x:v>
      </x:c>
      <x:c r="E1030" s="21" t="n">
        <x:f>IF('Stage Build'!J177&gt;=0,1,0)</x:f>
        <x:v>1</x:v>
      </x:c>
      <x:c r="F1030" s="21" t="n">
        <x:v>1</x:v>
      </x:c>
      <x:c r="G1030" s="23" t="str">
        <x:f>IF(E1030=F1030,"PASS","FAIL")</x:f>
        <x:v>PASS</x:v>
      </x:c>
    </x:row>
    <x:row r="1031">
      <x:c r="B1031" s="21" t="str">
        <x:v>C1025</x:v>
      </x:c>
      <x:c r="C1031" s="21" t="str">
        <x:v>stage build</x:v>
      </x:c>
      <x:c r="D1031" s="21" t="str">
        <x:v>designed ratio identity row 177</x:v>
      </x:c>
      <x:c r="E1031" s="21" t="n">
        <x:f>IF(ABS('Stage Build'!K177-'Stage Build'!I177-'Stage Build'!J177)&lt;0.000001,1,0)</x:f>
        <x:v>1</x:v>
      </x:c>
      <x:c r="F1031" s="21" t="n">
        <x:v>1</x:v>
      </x:c>
      <x:c r="G1031" s="23" t="str">
        <x:f>IF(E1031=F1031,"PASS","FAIL")</x:f>
        <x:v>PASS</x:v>
      </x:c>
    </x:row>
    <x:row r="1032">
      <x:c r="B1032" s="21" t="str">
        <x:v>C1026</x:v>
      </x:c>
      <x:c r="C1032" s="21" t="str">
        <x:v>stage build</x:v>
      </x:c>
      <x:c r="D1032" s="21" t="str">
        <x:v>M05 status identity row 177</x:v>
      </x:c>
      <x:c r="E1032" s="21" t="n">
        <x:f>IF('Stage Build'!L177=IF('Stage Build'!K177&gt;=Assumptions!$C$9,"ADEQUATE","GAP"),1,0)</x:f>
        <x:v>1</x:v>
      </x:c>
      <x:c r="F1032" s="21" t="n">
        <x:v>1</x:v>
      </x:c>
      <x:c r="G1032" s="23" t="str">
        <x:f>IF(E1032=F1032,"PASS","FAIL")</x:f>
        <x:v>PASS</x:v>
      </x:c>
    </x:row>
    <x:row r="1033">
      <x:c r="B1033" s="21" t="str">
        <x:v>C1027</x:v>
      </x:c>
      <x:c r="C1033" s="21" t="str">
        <x:v>stage build</x:v>
      </x:c>
      <x:c r="D1033" s="21" t="str">
        <x:v>baseline nonnegative row 178</x:v>
      </x:c>
      <x:c r="E1033" s="21" t="n">
        <x:f>IF('Stage Build'!F178&gt;=0,1,0)</x:f>
        <x:v>1</x:v>
      </x:c>
      <x:c r="F1033" s="21" t="n">
        <x:v>1</x:v>
      </x:c>
      <x:c r="G1033" s="23" t="str">
        <x:f>IF(E1033=F1033,"PASS","FAIL")</x:f>
        <x:v>PASS</x:v>
      </x:c>
    </x:row>
    <x:row r="1034">
      <x:c r="B1034" s="21" t="str">
        <x:v>C1028</x:v>
      </x:c>
      <x:c r="C1034" s="21" t="str">
        <x:v>stage build</x:v>
      </x:c>
      <x:c r="D1034" s="21" t="str">
        <x:v>targeted additions nonnegative row 178</x:v>
      </x:c>
      <x:c r="E1034" s="21" t="n">
        <x:f>IF(AND('Stage Build'!G178&gt;=0,'Stage Build'!H178&gt;=0),1,0)</x:f>
        <x:v>1</x:v>
      </x:c>
      <x:c r="F1034" s="21" t="n">
        <x:v>1</x:v>
      </x:c>
      <x:c r="G1034" s="23" t="str">
        <x:f>IF(E1034=F1034,"PASS","FAIL")</x:f>
        <x:v>PASS</x:v>
      </x:c>
    </x:row>
    <x:row r="1035">
      <x:c r="B1035" s="21" t="str">
        <x:v>C1029</x:v>
      </x:c>
      <x:c r="C1035" s="21" t="str">
        <x:v>stage build</x:v>
      </x:c>
      <x:c r="D1035" s="21" t="str">
        <x:v>pre-replication identity row 178</x:v>
      </x:c>
      <x:c r="E1035" s="21" t="n">
        <x:f>IF(ABS('Stage Build'!I178-SUM('Stage Build'!F178:H178))&lt;0.000001,1,0)</x:f>
        <x:v>1</x:v>
      </x:c>
      <x:c r="F1035" s="21" t="n">
        <x:v>1</x:v>
      </x:c>
      <x:c r="G1035" s="23" t="str">
        <x:f>IF(E1035=F1035,"PASS","FAIL")</x:f>
        <x:v>PASS</x:v>
      </x:c>
    </x:row>
    <x:row r="1036">
      <x:c r="B1036" s="21" t="str">
        <x:v>C1030</x:v>
      </x:c>
      <x:c r="C1036" s="21" t="str">
        <x:v>stage build</x:v>
      </x:c>
      <x:c r="D1036" s="21" t="str">
        <x:v>replication layer nonnegative row 178</x:v>
      </x:c>
      <x:c r="E1036" s="21" t="n">
        <x:f>IF('Stage Build'!J178&gt;=0,1,0)</x:f>
        <x:v>1</x:v>
      </x:c>
      <x:c r="F1036" s="21" t="n">
        <x:v>1</x:v>
      </x:c>
      <x:c r="G1036" s="23" t="str">
        <x:f>IF(E1036=F1036,"PASS","FAIL")</x:f>
        <x:v>PASS</x:v>
      </x:c>
    </x:row>
    <x:row r="1037">
      <x:c r="B1037" s="21" t="str">
        <x:v>C1031</x:v>
      </x:c>
      <x:c r="C1037" s="21" t="str">
        <x:v>stage build</x:v>
      </x:c>
      <x:c r="D1037" s="21" t="str">
        <x:v>designed ratio identity row 178</x:v>
      </x:c>
      <x:c r="E1037" s="21" t="n">
        <x:f>IF(ABS('Stage Build'!K178-'Stage Build'!I178-'Stage Build'!J178)&lt;0.000001,1,0)</x:f>
        <x:v>1</x:v>
      </x:c>
      <x:c r="F1037" s="21" t="n">
        <x:v>1</x:v>
      </x:c>
      <x:c r="G1037" s="23" t="str">
        <x:f>IF(E1037=F1037,"PASS","FAIL")</x:f>
        <x:v>PASS</x:v>
      </x:c>
    </x:row>
    <x:row r="1038">
      <x:c r="B1038" s="21" t="str">
        <x:v>C1032</x:v>
      </x:c>
      <x:c r="C1038" s="21" t="str">
        <x:v>stage build</x:v>
      </x:c>
      <x:c r="D1038" s="21" t="str">
        <x:v>M05 status identity row 178</x:v>
      </x:c>
      <x:c r="E1038" s="21" t="n">
        <x:f>IF('Stage Build'!L178=IF('Stage Build'!K178&gt;=Assumptions!$C$9,"ADEQUATE","GAP"),1,0)</x:f>
        <x:v>1</x:v>
      </x:c>
      <x:c r="F1038" s="21" t="n">
        <x:v>1</x:v>
      </x:c>
      <x:c r="G1038" s="23" t="str">
        <x:f>IF(E1038=F1038,"PASS","FAIL")</x:f>
        <x:v>PASS</x:v>
      </x:c>
    </x:row>
    <x:row r="1039">
      <x:c r="B1039" s="21" t="str">
        <x:v>C1033</x:v>
      </x:c>
      <x:c r="C1039" s="21" t="str">
        <x:v>stage build</x:v>
      </x:c>
      <x:c r="D1039" s="21" t="str">
        <x:v>baseline nonnegative row 179</x:v>
      </x:c>
      <x:c r="E1039" s="21" t="n">
        <x:f>IF('Stage Build'!F179&gt;=0,1,0)</x:f>
        <x:v>1</x:v>
      </x:c>
      <x:c r="F1039" s="21" t="n">
        <x:v>1</x:v>
      </x:c>
      <x:c r="G1039" s="23" t="str">
        <x:f>IF(E1039=F1039,"PASS","FAIL")</x:f>
        <x:v>PASS</x:v>
      </x:c>
    </x:row>
    <x:row r="1040">
      <x:c r="B1040" s="21" t="str">
        <x:v>C1034</x:v>
      </x:c>
      <x:c r="C1040" s="21" t="str">
        <x:v>stage build</x:v>
      </x:c>
      <x:c r="D1040" s="21" t="str">
        <x:v>targeted additions nonnegative row 179</x:v>
      </x:c>
      <x:c r="E1040" s="21" t="n">
        <x:f>IF(AND('Stage Build'!G179&gt;=0,'Stage Build'!H179&gt;=0),1,0)</x:f>
        <x:v>1</x:v>
      </x:c>
      <x:c r="F1040" s="21" t="n">
        <x:v>1</x:v>
      </x:c>
      <x:c r="G1040" s="23" t="str">
        <x:f>IF(E1040=F1040,"PASS","FAIL")</x:f>
        <x:v>PASS</x:v>
      </x:c>
    </x:row>
    <x:row r="1041">
      <x:c r="B1041" s="21" t="str">
        <x:v>C1035</x:v>
      </x:c>
      <x:c r="C1041" s="21" t="str">
        <x:v>stage build</x:v>
      </x:c>
      <x:c r="D1041" s="21" t="str">
        <x:v>pre-replication identity row 179</x:v>
      </x:c>
      <x:c r="E1041" s="21" t="n">
        <x:f>IF(ABS('Stage Build'!I179-SUM('Stage Build'!F179:H179))&lt;0.000001,1,0)</x:f>
        <x:v>1</x:v>
      </x:c>
      <x:c r="F1041" s="21" t="n">
        <x:v>1</x:v>
      </x:c>
      <x:c r="G1041" s="23" t="str">
        <x:f>IF(E1041=F1041,"PASS","FAIL")</x:f>
        <x:v>PASS</x:v>
      </x:c>
    </x:row>
    <x:row r="1042">
      <x:c r="B1042" s="21" t="str">
        <x:v>C1036</x:v>
      </x:c>
      <x:c r="C1042" s="21" t="str">
        <x:v>stage build</x:v>
      </x:c>
      <x:c r="D1042" s="21" t="str">
        <x:v>replication layer nonnegative row 179</x:v>
      </x:c>
      <x:c r="E1042" s="21" t="n">
        <x:f>IF('Stage Build'!J179&gt;=0,1,0)</x:f>
        <x:v>1</x:v>
      </x:c>
      <x:c r="F1042" s="21" t="n">
        <x:v>1</x:v>
      </x:c>
      <x:c r="G1042" s="23" t="str">
        <x:f>IF(E1042=F1042,"PASS","FAIL")</x:f>
        <x:v>PASS</x:v>
      </x:c>
    </x:row>
    <x:row r="1043">
      <x:c r="B1043" s="21" t="str">
        <x:v>C1037</x:v>
      </x:c>
      <x:c r="C1043" s="21" t="str">
        <x:v>stage build</x:v>
      </x:c>
      <x:c r="D1043" s="21" t="str">
        <x:v>designed ratio identity row 179</x:v>
      </x:c>
      <x:c r="E1043" s="21" t="n">
        <x:f>IF(ABS('Stage Build'!K179-'Stage Build'!I179-'Stage Build'!J179)&lt;0.000001,1,0)</x:f>
        <x:v>1</x:v>
      </x:c>
      <x:c r="F1043" s="21" t="n">
        <x:v>1</x:v>
      </x:c>
      <x:c r="G1043" s="23" t="str">
        <x:f>IF(E1043=F1043,"PASS","FAIL")</x:f>
        <x:v>PASS</x:v>
      </x:c>
    </x:row>
    <x:row r="1044">
      <x:c r="B1044" s="21" t="str">
        <x:v>C1038</x:v>
      </x:c>
      <x:c r="C1044" s="21" t="str">
        <x:v>stage build</x:v>
      </x:c>
      <x:c r="D1044" s="21" t="str">
        <x:v>M05 status identity row 179</x:v>
      </x:c>
      <x:c r="E1044" s="21" t="n">
        <x:f>IF('Stage Build'!L179=IF('Stage Build'!K179&gt;=Assumptions!$C$9,"ADEQUATE","GAP"),1,0)</x:f>
        <x:v>1</x:v>
      </x:c>
      <x:c r="F1044" s="21" t="n">
        <x:v>1</x:v>
      </x:c>
      <x:c r="G1044" s="23" t="str">
        <x:f>IF(E1044=F1044,"PASS","FAIL")</x:f>
        <x:v>PASS</x:v>
      </x:c>
    </x:row>
    <x:row r="1045">
      <x:c r="B1045" s="21" t="str">
        <x:v>C1039</x:v>
      </x:c>
      <x:c r="C1045" s="21" t="str">
        <x:v>stage build</x:v>
      </x:c>
      <x:c r="D1045" s="21" t="str">
        <x:v>baseline nonnegative row 180</x:v>
      </x:c>
      <x:c r="E1045" s="21" t="n">
        <x:f>IF('Stage Build'!F180&gt;=0,1,0)</x:f>
        <x:v>1</x:v>
      </x:c>
      <x:c r="F1045" s="21" t="n">
        <x:v>1</x:v>
      </x:c>
      <x:c r="G1045" s="23" t="str">
        <x:f>IF(E1045=F1045,"PASS","FAIL")</x:f>
        <x:v>PASS</x:v>
      </x:c>
    </x:row>
    <x:row r="1046">
      <x:c r="B1046" s="21" t="str">
        <x:v>C1040</x:v>
      </x:c>
      <x:c r="C1046" s="21" t="str">
        <x:v>stage build</x:v>
      </x:c>
      <x:c r="D1046" s="21" t="str">
        <x:v>targeted additions nonnegative row 180</x:v>
      </x:c>
      <x:c r="E1046" s="21" t="n">
        <x:f>IF(AND('Stage Build'!G180&gt;=0,'Stage Build'!H180&gt;=0),1,0)</x:f>
        <x:v>1</x:v>
      </x:c>
      <x:c r="F1046" s="21" t="n">
        <x:v>1</x:v>
      </x:c>
      <x:c r="G1046" s="23" t="str">
        <x:f>IF(E1046=F1046,"PASS","FAIL")</x:f>
        <x:v>PASS</x:v>
      </x:c>
    </x:row>
    <x:row r="1047">
      <x:c r="B1047" s="21" t="str">
        <x:v>C1041</x:v>
      </x:c>
      <x:c r="C1047" s="21" t="str">
        <x:v>stage build</x:v>
      </x:c>
      <x:c r="D1047" s="21" t="str">
        <x:v>pre-replication identity row 180</x:v>
      </x:c>
      <x:c r="E1047" s="21" t="n">
        <x:f>IF(ABS('Stage Build'!I180-SUM('Stage Build'!F180:H180))&lt;0.000001,1,0)</x:f>
        <x:v>1</x:v>
      </x:c>
      <x:c r="F1047" s="21" t="n">
        <x:v>1</x:v>
      </x:c>
      <x:c r="G1047" s="23" t="str">
        <x:f>IF(E1047=F1047,"PASS","FAIL")</x:f>
        <x:v>PASS</x:v>
      </x:c>
    </x:row>
    <x:row r="1048">
      <x:c r="B1048" s="21" t="str">
        <x:v>C1042</x:v>
      </x:c>
      <x:c r="C1048" s="21" t="str">
        <x:v>stage build</x:v>
      </x:c>
      <x:c r="D1048" s="21" t="str">
        <x:v>replication layer nonnegative row 180</x:v>
      </x:c>
      <x:c r="E1048" s="21" t="n">
        <x:f>IF('Stage Build'!J180&gt;=0,1,0)</x:f>
        <x:v>1</x:v>
      </x:c>
      <x:c r="F1048" s="21" t="n">
        <x:v>1</x:v>
      </x:c>
      <x:c r="G1048" s="23" t="str">
        <x:f>IF(E1048=F1048,"PASS","FAIL")</x:f>
        <x:v>PASS</x:v>
      </x:c>
    </x:row>
    <x:row r="1049">
      <x:c r="B1049" s="21" t="str">
        <x:v>C1043</x:v>
      </x:c>
      <x:c r="C1049" s="21" t="str">
        <x:v>stage build</x:v>
      </x:c>
      <x:c r="D1049" s="21" t="str">
        <x:v>designed ratio identity row 180</x:v>
      </x:c>
      <x:c r="E1049" s="21" t="n">
        <x:f>IF(ABS('Stage Build'!K180-'Stage Build'!I180-'Stage Build'!J180)&lt;0.000001,1,0)</x:f>
        <x:v>1</x:v>
      </x:c>
      <x:c r="F1049" s="21" t="n">
        <x:v>1</x:v>
      </x:c>
      <x:c r="G1049" s="23" t="str">
        <x:f>IF(E1049=F1049,"PASS","FAIL")</x:f>
        <x:v>PASS</x:v>
      </x:c>
    </x:row>
    <x:row r="1050">
      <x:c r="B1050" s="21" t="str">
        <x:v>C1044</x:v>
      </x:c>
      <x:c r="C1050" s="21" t="str">
        <x:v>stage build</x:v>
      </x:c>
      <x:c r="D1050" s="21" t="str">
        <x:v>M05 status identity row 180</x:v>
      </x:c>
      <x:c r="E1050" s="21" t="n">
        <x:f>IF('Stage Build'!L180=IF('Stage Build'!K180&gt;=Assumptions!$C$9,"ADEQUATE","GAP"),1,0)</x:f>
        <x:v>1</x:v>
      </x:c>
      <x:c r="F1050" s="21" t="n">
        <x:v>1</x:v>
      </x:c>
      <x:c r="G1050" s="23" t="str">
        <x:f>IF(E1050=F1050,"PASS","FAIL")</x:f>
        <x:v>PASS</x:v>
      </x:c>
    </x:row>
    <x:row r="1051">
      <x:c r="B1051" s="21" t="str">
        <x:v>C1045</x:v>
      </x:c>
      <x:c r="C1051" s="21" t="str">
        <x:v>stage build</x:v>
      </x:c>
      <x:c r="D1051" s="21" t="str">
        <x:v>baseline nonnegative row 181</x:v>
      </x:c>
      <x:c r="E1051" s="21" t="n">
        <x:f>IF('Stage Build'!F181&gt;=0,1,0)</x:f>
        <x:v>1</x:v>
      </x:c>
      <x:c r="F1051" s="21" t="n">
        <x:v>1</x:v>
      </x:c>
      <x:c r="G1051" s="23" t="str">
        <x:f>IF(E1051=F1051,"PASS","FAIL")</x:f>
        <x:v>PASS</x:v>
      </x:c>
    </x:row>
    <x:row r="1052">
      <x:c r="B1052" s="21" t="str">
        <x:v>C1046</x:v>
      </x:c>
      <x:c r="C1052" s="21" t="str">
        <x:v>stage build</x:v>
      </x:c>
      <x:c r="D1052" s="21" t="str">
        <x:v>targeted additions nonnegative row 181</x:v>
      </x:c>
      <x:c r="E1052" s="21" t="n">
        <x:f>IF(AND('Stage Build'!G181&gt;=0,'Stage Build'!H181&gt;=0),1,0)</x:f>
        <x:v>1</x:v>
      </x:c>
      <x:c r="F1052" s="21" t="n">
        <x:v>1</x:v>
      </x:c>
      <x:c r="G1052" s="23" t="str">
        <x:f>IF(E1052=F1052,"PASS","FAIL")</x:f>
        <x:v>PASS</x:v>
      </x:c>
    </x:row>
    <x:row r="1053">
      <x:c r="B1053" s="21" t="str">
        <x:v>C1047</x:v>
      </x:c>
      <x:c r="C1053" s="21" t="str">
        <x:v>stage build</x:v>
      </x:c>
      <x:c r="D1053" s="21" t="str">
        <x:v>pre-replication identity row 181</x:v>
      </x:c>
      <x:c r="E1053" s="21" t="n">
        <x:f>IF(ABS('Stage Build'!I181-SUM('Stage Build'!F181:H181))&lt;0.000001,1,0)</x:f>
        <x:v>1</x:v>
      </x:c>
      <x:c r="F1053" s="21" t="n">
        <x:v>1</x:v>
      </x:c>
      <x:c r="G1053" s="23" t="str">
        <x:f>IF(E1053=F1053,"PASS","FAIL")</x:f>
        <x:v>PASS</x:v>
      </x:c>
    </x:row>
    <x:row r="1054">
      <x:c r="B1054" s="21" t="str">
        <x:v>C1048</x:v>
      </x:c>
      <x:c r="C1054" s="21" t="str">
        <x:v>stage build</x:v>
      </x:c>
      <x:c r="D1054" s="21" t="str">
        <x:v>replication layer nonnegative row 181</x:v>
      </x:c>
      <x:c r="E1054" s="21" t="n">
        <x:f>IF('Stage Build'!J181&gt;=0,1,0)</x:f>
        <x:v>1</x:v>
      </x:c>
      <x:c r="F1054" s="21" t="n">
        <x:v>1</x:v>
      </x:c>
      <x:c r="G1054" s="23" t="str">
        <x:f>IF(E1054=F1054,"PASS","FAIL")</x:f>
        <x:v>PASS</x:v>
      </x:c>
    </x:row>
    <x:row r="1055">
      <x:c r="B1055" s="21" t="str">
        <x:v>C1049</x:v>
      </x:c>
      <x:c r="C1055" s="21" t="str">
        <x:v>stage build</x:v>
      </x:c>
      <x:c r="D1055" s="21" t="str">
        <x:v>designed ratio identity row 181</x:v>
      </x:c>
      <x:c r="E1055" s="21" t="n">
        <x:f>IF(ABS('Stage Build'!K181-'Stage Build'!I181-'Stage Build'!J181)&lt;0.000001,1,0)</x:f>
        <x:v>1</x:v>
      </x:c>
      <x:c r="F1055" s="21" t="n">
        <x:v>1</x:v>
      </x:c>
      <x:c r="G1055" s="23" t="str">
        <x:f>IF(E1055=F1055,"PASS","FAIL")</x:f>
        <x:v>PASS</x:v>
      </x:c>
    </x:row>
    <x:row r="1056">
      <x:c r="B1056" s="21" t="str">
        <x:v>C1050</x:v>
      </x:c>
      <x:c r="C1056" s="21" t="str">
        <x:v>stage build</x:v>
      </x:c>
      <x:c r="D1056" s="21" t="str">
        <x:v>M05 status identity row 181</x:v>
      </x:c>
      <x:c r="E1056" s="21" t="n">
        <x:f>IF('Stage Build'!L181=IF('Stage Build'!K181&gt;=Assumptions!$C$9,"ADEQUATE","GAP"),1,0)</x:f>
        <x:v>1</x:v>
      </x:c>
      <x:c r="F1056" s="21" t="n">
        <x:v>1</x:v>
      </x:c>
      <x:c r="G1056" s="23" t="str">
        <x:f>IF(E1056=F1056,"PASS","FAIL")</x:f>
        <x:v>PASS</x:v>
      </x:c>
    </x:row>
    <x:row r="1057">
      <x:c r="B1057" s="21" t="str">
        <x:v>C1051</x:v>
      </x:c>
      <x:c r="C1057" s="21" t="str">
        <x:v>stage build</x:v>
      </x:c>
      <x:c r="D1057" s="21" t="str">
        <x:v>baseline nonnegative row 182</x:v>
      </x:c>
      <x:c r="E1057" s="21" t="n">
        <x:f>IF('Stage Build'!F182&gt;=0,1,0)</x:f>
        <x:v>1</x:v>
      </x:c>
      <x:c r="F1057" s="21" t="n">
        <x:v>1</x:v>
      </x:c>
      <x:c r="G1057" s="23" t="str">
        <x:f>IF(E1057=F1057,"PASS","FAIL")</x:f>
        <x:v>PASS</x:v>
      </x:c>
    </x:row>
    <x:row r="1058">
      <x:c r="B1058" s="21" t="str">
        <x:v>C1052</x:v>
      </x:c>
      <x:c r="C1058" s="21" t="str">
        <x:v>stage build</x:v>
      </x:c>
      <x:c r="D1058" s="21" t="str">
        <x:v>targeted additions nonnegative row 182</x:v>
      </x:c>
      <x:c r="E1058" s="21" t="n">
        <x:f>IF(AND('Stage Build'!G182&gt;=0,'Stage Build'!H182&gt;=0),1,0)</x:f>
        <x:v>1</x:v>
      </x:c>
      <x:c r="F1058" s="21" t="n">
        <x:v>1</x:v>
      </x:c>
      <x:c r="G1058" s="23" t="str">
        <x:f>IF(E1058=F1058,"PASS","FAIL")</x:f>
        <x:v>PASS</x:v>
      </x:c>
    </x:row>
    <x:row r="1059">
      <x:c r="B1059" s="21" t="str">
        <x:v>C1053</x:v>
      </x:c>
      <x:c r="C1059" s="21" t="str">
        <x:v>stage build</x:v>
      </x:c>
      <x:c r="D1059" s="21" t="str">
        <x:v>pre-replication identity row 182</x:v>
      </x:c>
      <x:c r="E1059" s="21" t="n">
        <x:f>IF(ABS('Stage Build'!I182-SUM('Stage Build'!F182:H182))&lt;0.000001,1,0)</x:f>
        <x:v>1</x:v>
      </x:c>
      <x:c r="F1059" s="21" t="n">
        <x:v>1</x:v>
      </x:c>
      <x:c r="G1059" s="23" t="str">
        <x:f>IF(E1059=F1059,"PASS","FAIL")</x:f>
        <x:v>PASS</x:v>
      </x:c>
    </x:row>
    <x:row r="1060">
      <x:c r="B1060" s="21" t="str">
        <x:v>C1054</x:v>
      </x:c>
      <x:c r="C1060" s="21" t="str">
        <x:v>stage build</x:v>
      </x:c>
      <x:c r="D1060" s="21" t="str">
        <x:v>replication layer nonnegative row 182</x:v>
      </x:c>
      <x:c r="E1060" s="21" t="n">
        <x:f>IF('Stage Build'!J182&gt;=0,1,0)</x:f>
        <x:v>1</x:v>
      </x:c>
      <x:c r="F1060" s="21" t="n">
        <x:v>1</x:v>
      </x:c>
      <x:c r="G1060" s="23" t="str">
        <x:f>IF(E1060=F1060,"PASS","FAIL")</x:f>
        <x:v>PASS</x:v>
      </x:c>
    </x:row>
    <x:row r="1061">
      <x:c r="B1061" s="21" t="str">
        <x:v>C1055</x:v>
      </x:c>
      <x:c r="C1061" s="21" t="str">
        <x:v>stage build</x:v>
      </x:c>
      <x:c r="D1061" s="21" t="str">
        <x:v>designed ratio identity row 182</x:v>
      </x:c>
      <x:c r="E1061" s="21" t="n">
        <x:f>IF(ABS('Stage Build'!K182-'Stage Build'!I182-'Stage Build'!J182)&lt;0.000001,1,0)</x:f>
        <x:v>1</x:v>
      </x:c>
      <x:c r="F1061" s="21" t="n">
        <x:v>1</x:v>
      </x:c>
      <x:c r="G1061" s="23" t="str">
        <x:f>IF(E1061=F1061,"PASS","FAIL")</x:f>
        <x:v>PASS</x:v>
      </x:c>
    </x:row>
    <x:row r="1062">
      <x:c r="B1062" s="21" t="str">
        <x:v>C1056</x:v>
      </x:c>
      <x:c r="C1062" s="21" t="str">
        <x:v>stage build</x:v>
      </x:c>
      <x:c r="D1062" s="21" t="str">
        <x:v>M05 status identity row 182</x:v>
      </x:c>
      <x:c r="E1062" s="21" t="n">
        <x:f>IF('Stage Build'!L182=IF('Stage Build'!K182&gt;=Assumptions!$C$9,"ADEQUATE","GAP"),1,0)</x:f>
        <x:v>1</x:v>
      </x:c>
      <x:c r="F1062" s="21" t="n">
        <x:v>1</x:v>
      </x:c>
      <x:c r="G1062" s="23" t="str">
        <x:f>IF(E1062=F1062,"PASS","FAIL")</x:f>
        <x:v>PASS</x:v>
      </x:c>
    </x:row>
    <x:row r="1063">
      <x:c r="B1063" s="21" t="str">
        <x:v>C1057</x:v>
      </x:c>
      <x:c r="C1063" s="21" t="str">
        <x:v>stage build</x:v>
      </x:c>
      <x:c r="D1063" s="21" t="str">
        <x:v>baseline nonnegative row 183</x:v>
      </x:c>
      <x:c r="E1063" s="21" t="n">
        <x:f>IF('Stage Build'!F183&gt;=0,1,0)</x:f>
        <x:v>1</x:v>
      </x:c>
      <x:c r="F1063" s="21" t="n">
        <x:v>1</x:v>
      </x:c>
      <x:c r="G1063" s="23" t="str">
        <x:f>IF(E1063=F1063,"PASS","FAIL")</x:f>
        <x:v>PASS</x:v>
      </x:c>
    </x:row>
    <x:row r="1064">
      <x:c r="B1064" s="21" t="str">
        <x:v>C1058</x:v>
      </x:c>
      <x:c r="C1064" s="21" t="str">
        <x:v>stage build</x:v>
      </x:c>
      <x:c r="D1064" s="21" t="str">
        <x:v>targeted additions nonnegative row 183</x:v>
      </x:c>
      <x:c r="E1064" s="21" t="n">
        <x:f>IF(AND('Stage Build'!G183&gt;=0,'Stage Build'!H183&gt;=0),1,0)</x:f>
        <x:v>1</x:v>
      </x:c>
      <x:c r="F1064" s="21" t="n">
        <x:v>1</x:v>
      </x:c>
      <x:c r="G1064" s="23" t="str">
        <x:f>IF(E1064=F1064,"PASS","FAIL")</x:f>
        <x:v>PASS</x:v>
      </x:c>
    </x:row>
    <x:row r="1065">
      <x:c r="B1065" s="21" t="str">
        <x:v>C1059</x:v>
      </x:c>
      <x:c r="C1065" s="21" t="str">
        <x:v>stage build</x:v>
      </x:c>
      <x:c r="D1065" s="21" t="str">
        <x:v>pre-replication identity row 183</x:v>
      </x:c>
      <x:c r="E1065" s="21" t="n">
        <x:f>IF(ABS('Stage Build'!I183-SUM('Stage Build'!F183:H183))&lt;0.000001,1,0)</x:f>
        <x:v>1</x:v>
      </x:c>
      <x:c r="F1065" s="21" t="n">
        <x:v>1</x:v>
      </x:c>
      <x:c r="G1065" s="23" t="str">
        <x:f>IF(E1065=F1065,"PASS","FAIL")</x:f>
        <x:v>PASS</x:v>
      </x:c>
    </x:row>
    <x:row r="1066">
      <x:c r="B1066" s="21" t="str">
        <x:v>C1060</x:v>
      </x:c>
      <x:c r="C1066" s="21" t="str">
        <x:v>stage build</x:v>
      </x:c>
      <x:c r="D1066" s="21" t="str">
        <x:v>replication layer nonnegative row 183</x:v>
      </x:c>
      <x:c r="E1066" s="21" t="n">
        <x:f>IF('Stage Build'!J183&gt;=0,1,0)</x:f>
        <x:v>1</x:v>
      </x:c>
      <x:c r="F1066" s="21" t="n">
        <x:v>1</x:v>
      </x:c>
      <x:c r="G1066" s="23" t="str">
        <x:f>IF(E1066=F1066,"PASS","FAIL")</x:f>
        <x:v>PASS</x:v>
      </x:c>
    </x:row>
    <x:row r="1067">
      <x:c r="B1067" s="21" t="str">
        <x:v>C1061</x:v>
      </x:c>
      <x:c r="C1067" s="21" t="str">
        <x:v>stage build</x:v>
      </x:c>
      <x:c r="D1067" s="21" t="str">
        <x:v>designed ratio identity row 183</x:v>
      </x:c>
      <x:c r="E1067" s="21" t="n">
        <x:f>IF(ABS('Stage Build'!K183-'Stage Build'!I183-'Stage Build'!J183)&lt;0.000001,1,0)</x:f>
        <x:v>1</x:v>
      </x:c>
      <x:c r="F1067" s="21" t="n">
        <x:v>1</x:v>
      </x:c>
      <x:c r="G1067" s="23" t="str">
        <x:f>IF(E1067=F1067,"PASS","FAIL")</x:f>
        <x:v>PASS</x:v>
      </x:c>
    </x:row>
    <x:row r="1068">
      <x:c r="B1068" s="21" t="str">
        <x:v>C1062</x:v>
      </x:c>
      <x:c r="C1068" s="21" t="str">
        <x:v>stage build</x:v>
      </x:c>
      <x:c r="D1068" s="21" t="str">
        <x:v>M05 status identity row 183</x:v>
      </x:c>
      <x:c r="E1068" s="21" t="n">
        <x:f>IF('Stage Build'!L183=IF('Stage Build'!K183&gt;=Assumptions!$C$9,"ADEQUATE","GAP"),1,0)</x:f>
        <x:v>1</x:v>
      </x:c>
      <x:c r="F1068" s="21" t="n">
        <x:v>1</x:v>
      </x:c>
      <x:c r="G1068" s="23" t="str">
        <x:f>IF(E1068=F1068,"PASS","FAIL")</x:f>
        <x:v>PASS</x:v>
      </x:c>
    </x:row>
    <x:row r="1069">
      <x:c r="B1069" s="21" t="str">
        <x:v>C1063</x:v>
      </x:c>
      <x:c r="C1069" s="21" t="str">
        <x:v>stage build</x:v>
      </x:c>
      <x:c r="D1069" s="21" t="str">
        <x:v>baseline nonnegative row 184</x:v>
      </x:c>
      <x:c r="E1069" s="21" t="n">
        <x:f>IF('Stage Build'!F184&gt;=0,1,0)</x:f>
        <x:v>1</x:v>
      </x:c>
      <x:c r="F1069" s="21" t="n">
        <x:v>1</x:v>
      </x:c>
      <x:c r="G1069" s="23" t="str">
        <x:f>IF(E1069=F1069,"PASS","FAIL")</x:f>
        <x:v>PASS</x:v>
      </x:c>
    </x:row>
    <x:row r="1070">
      <x:c r="B1070" s="21" t="str">
        <x:v>C1064</x:v>
      </x:c>
      <x:c r="C1070" s="21" t="str">
        <x:v>stage build</x:v>
      </x:c>
      <x:c r="D1070" s="21" t="str">
        <x:v>targeted additions nonnegative row 184</x:v>
      </x:c>
      <x:c r="E1070" s="21" t="n">
        <x:f>IF(AND('Stage Build'!G184&gt;=0,'Stage Build'!H184&gt;=0),1,0)</x:f>
        <x:v>1</x:v>
      </x:c>
      <x:c r="F1070" s="21" t="n">
        <x:v>1</x:v>
      </x:c>
      <x:c r="G1070" s="23" t="str">
        <x:f>IF(E1070=F1070,"PASS","FAIL")</x:f>
        <x:v>PASS</x:v>
      </x:c>
    </x:row>
    <x:row r="1071">
      <x:c r="B1071" s="21" t="str">
        <x:v>C1065</x:v>
      </x:c>
      <x:c r="C1071" s="21" t="str">
        <x:v>stage build</x:v>
      </x:c>
      <x:c r="D1071" s="21" t="str">
        <x:v>pre-replication identity row 184</x:v>
      </x:c>
      <x:c r="E1071" s="21" t="n">
        <x:f>IF(ABS('Stage Build'!I184-SUM('Stage Build'!F184:H184))&lt;0.000001,1,0)</x:f>
        <x:v>1</x:v>
      </x:c>
      <x:c r="F1071" s="21" t="n">
        <x:v>1</x:v>
      </x:c>
      <x:c r="G1071" s="23" t="str">
        <x:f>IF(E1071=F1071,"PASS","FAIL")</x:f>
        <x:v>PASS</x:v>
      </x:c>
    </x:row>
    <x:row r="1072">
      <x:c r="B1072" s="21" t="str">
        <x:v>C1066</x:v>
      </x:c>
      <x:c r="C1072" s="21" t="str">
        <x:v>stage build</x:v>
      </x:c>
      <x:c r="D1072" s="21" t="str">
        <x:v>replication layer nonnegative row 184</x:v>
      </x:c>
      <x:c r="E1072" s="21" t="n">
        <x:f>IF('Stage Build'!J184&gt;=0,1,0)</x:f>
        <x:v>1</x:v>
      </x:c>
      <x:c r="F1072" s="21" t="n">
        <x:v>1</x:v>
      </x:c>
      <x:c r="G1072" s="23" t="str">
        <x:f>IF(E1072=F1072,"PASS","FAIL")</x:f>
        <x:v>PASS</x:v>
      </x:c>
    </x:row>
    <x:row r="1073">
      <x:c r="B1073" s="21" t="str">
        <x:v>C1067</x:v>
      </x:c>
      <x:c r="C1073" s="21" t="str">
        <x:v>stage build</x:v>
      </x:c>
      <x:c r="D1073" s="21" t="str">
        <x:v>designed ratio identity row 184</x:v>
      </x:c>
      <x:c r="E1073" s="21" t="n">
        <x:f>IF(ABS('Stage Build'!K184-'Stage Build'!I184-'Stage Build'!J184)&lt;0.000001,1,0)</x:f>
        <x:v>1</x:v>
      </x:c>
      <x:c r="F1073" s="21" t="n">
        <x:v>1</x:v>
      </x:c>
      <x:c r="G1073" s="23" t="str">
        <x:f>IF(E1073=F1073,"PASS","FAIL")</x:f>
        <x:v>PASS</x:v>
      </x:c>
    </x:row>
    <x:row r="1074">
      <x:c r="B1074" s="21" t="str">
        <x:v>C1068</x:v>
      </x:c>
      <x:c r="C1074" s="21" t="str">
        <x:v>stage build</x:v>
      </x:c>
      <x:c r="D1074" s="21" t="str">
        <x:v>M05 status identity row 184</x:v>
      </x:c>
      <x:c r="E1074" s="21" t="n">
        <x:f>IF('Stage Build'!L184=IF('Stage Build'!K184&gt;=Assumptions!$C$9,"ADEQUATE","GAP"),1,0)</x:f>
        <x:v>1</x:v>
      </x:c>
      <x:c r="F1074" s="21" t="n">
        <x:v>1</x:v>
      </x:c>
      <x:c r="G1074" s="23" t="str">
        <x:f>IF(E1074=F1074,"PASS","FAIL")</x:f>
        <x:v>PASS</x:v>
      </x:c>
    </x:row>
    <x:row r="1075">
      <x:c r="B1075" s="21" t="str">
        <x:v>C1069</x:v>
      </x:c>
      <x:c r="C1075" s="21" t="str">
        <x:v>stage build</x:v>
      </x:c>
      <x:c r="D1075" s="21" t="str">
        <x:v>baseline nonnegative row 185</x:v>
      </x:c>
      <x:c r="E1075" s="21" t="n">
        <x:f>IF('Stage Build'!F185&gt;=0,1,0)</x:f>
        <x:v>1</x:v>
      </x:c>
      <x:c r="F1075" s="21" t="n">
        <x:v>1</x:v>
      </x:c>
      <x:c r="G1075" s="23" t="str">
        <x:f>IF(E1075=F1075,"PASS","FAIL")</x:f>
        <x:v>PASS</x:v>
      </x:c>
    </x:row>
    <x:row r="1076">
      <x:c r="B1076" s="21" t="str">
        <x:v>C1070</x:v>
      </x:c>
      <x:c r="C1076" s="21" t="str">
        <x:v>stage build</x:v>
      </x:c>
      <x:c r="D1076" s="21" t="str">
        <x:v>targeted additions nonnegative row 185</x:v>
      </x:c>
      <x:c r="E1076" s="21" t="n">
        <x:f>IF(AND('Stage Build'!G185&gt;=0,'Stage Build'!H185&gt;=0),1,0)</x:f>
        <x:v>1</x:v>
      </x:c>
      <x:c r="F1076" s="21" t="n">
        <x:v>1</x:v>
      </x:c>
      <x:c r="G1076" s="23" t="str">
        <x:f>IF(E1076=F1076,"PASS","FAIL")</x:f>
        <x:v>PASS</x:v>
      </x:c>
    </x:row>
    <x:row r="1077">
      <x:c r="B1077" s="21" t="str">
        <x:v>C1071</x:v>
      </x:c>
      <x:c r="C1077" s="21" t="str">
        <x:v>stage build</x:v>
      </x:c>
      <x:c r="D1077" s="21" t="str">
        <x:v>pre-replication identity row 185</x:v>
      </x:c>
      <x:c r="E1077" s="21" t="n">
        <x:f>IF(ABS('Stage Build'!I185-SUM('Stage Build'!F185:H185))&lt;0.000001,1,0)</x:f>
        <x:v>1</x:v>
      </x:c>
      <x:c r="F1077" s="21" t="n">
        <x:v>1</x:v>
      </x:c>
      <x:c r="G1077" s="23" t="str">
        <x:f>IF(E1077=F1077,"PASS","FAIL")</x:f>
        <x:v>PASS</x:v>
      </x:c>
    </x:row>
    <x:row r="1078">
      <x:c r="B1078" s="21" t="str">
        <x:v>C1072</x:v>
      </x:c>
      <x:c r="C1078" s="21" t="str">
        <x:v>stage build</x:v>
      </x:c>
      <x:c r="D1078" s="21" t="str">
        <x:v>replication layer nonnegative row 185</x:v>
      </x:c>
      <x:c r="E1078" s="21" t="n">
        <x:f>IF('Stage Build'!J185&gt;=0,1,0)</x:f>
        <x:v>1</x:v>
      </x:c>
      <x:c r="F1078" s="21" t="n">
        <x:v>1</x:v>
      </x:c>
      <x:c r="G1078" s="23" t="str">
        <x:f>IF(E1078=F1078,"PASS","FAIL")</x:f>
        <x:v>PASS</x:v>
      </x:c>
    </x:row>
    <x:row r="1079">
      <x:c r="B1079" s="21" t="str">
        <x:v>C1073</x:v>
      </x:c>
      <x:c r="C1079" s="21" t="str">
        <x:v>stage build</x:v>
      </x:c>
      <x:c r="D1079" s="21" t="str">
        <x:v>designed ratio identity row 185</x:v>
      </x:c>
      <x:c r="E1079" s="21" t="n">
        <x:f>IF(ABS('Stage Build'!K185-'Stage Build'!I185-'Stage Build'!J185)&lt;0.000001,1,0)</x:f>
        <x:v>1</x:v>
      </x:c>
      <x:c r="F1079" s="21" t="n">
        <x:v>1</x:v>
      </x:c>
      <x:c r="G1079" s="23" t="str">
        <x:f>IF(E1079=F1079,"PASS","FAIL")</x:f>
        <x:v>PASS</x:v>
      </x:c>
    </x:row>
    <x:row r="1080">
      <x:c r="B1080" s="21" t="str">
        <x:v>C1074</x:v>
      </x:c>
      <x:c r="C1080" s="21" t="str">
        <x:v>stage build</x:v>
      </x:c>
      <x:c r="D1080" s="21" t="str">
        <x:v>M05 status identity row 185</x:v>
      </x:c>
      <x:c r="E1080" s="21" t="n">
        <x:f>IF('Stage Build'!L185=IF('Stage Build'!K185&gt;=Assumptions!$C$9,"ADEQUATE","GAP"),1,0)</x:f>
        <x:v>1</x:v>
      </x:c>
      <x:c r="F1080" s="21" t="n">
        <x:v>1</x:v>
      </x:c>
      <x:c r="G1080" s="23" t="str">
        <x:f>IF(E1080=F1080,"PASS","FAIL")</x:f>
        <x:v>PASS</x:v>
      </x:c>
    </x:row>
    <x:row r="1081">
      <x:c r="B1081" s="21" t="str">
        <x:v>C1075</x:v>
      </x:c>
      <x:c r="C1081" s="21" t="str">
        <x:v>stage build</x:v>
      </x:c>
      <x:c r="D1081" s="21" t="str">
        <x:v>baseline nonnegative row 186</x:v>
      </x:c>
      <x:c r="E1081" s="21" t="n">
        <x:f>IF('Stage Build'!F186&gt;=0,1,0)</x:f>
        <x:v>1</x:v>
      </x:c>
      <x:c r="F1081" s="21" t="n">
        <x:v>1</x:v>
      </x:c>
      <x:c r="G1081" s="23" t="str">
        <x:f>IF(E1081=F1081,"PASS","FAIL")</x:f>
        <x:v>PASS</x:v>
      </x:c>
    </x:row>
    <x:row r="1082">
      <x:c r="B1082" s="21" t="str">
        <x:v>C1076</x:v>
      </x:c>
      <x:c r="C1082" s="21" t="str">
        <x:v>stage build</x:v>
      </x:c>
      <x:c r="D1082" s="21" t="str">
        <x:v>targeted additions nonnegative row 186</x:v>
      </x:c>
      <x:c r="E1082" s="21" t="n">
        <x:f>IF(AND('Stage Build'!G186&gt;=0,'Stage Build'!H186&gt;=0),1,0)</x:f>
        <x:v>1</x:v>
      </x:c>
      <x:c r="F1082" s="21" t="n">
        <x:v>1</x:v>
      </x:c>
      <x:c r="G1082" s="23" t="str">
        <x:f>IF(E1082=F1082,"PASS","FAIL")</x:f>
        <x:v>PASS</x:v>
      </x:c>
    </x:row>
    <x:row r="1083">
      <x:c r="B1083" s="21" t="str">
        <x:v>C1077</x:v>
      </x:c>
      <x:c r="C1083" s="21" t="str">
        <x:v>stage build</x:v>
      </x:c>
      <x:c r="D1083" s="21" t="str">
        <x:v>pre-replication identity row 186</x:v>
      </x:c>
      <x:c r="E1083" s="21" t="n">
        <x:f>IF(ABS('Stage Build'!I186-SUM('Stage Build'!F186:H186))&lt;0.000001,1,0)</x:f>
        <x:v>1</x:v>
      </x:c>
      <x:c r="F1083" s="21" t="n">
        <x:v>1</x:v>
      </x:c>
      <x:c r="G1083" s="23" t="str">
        <x:f>IF(E1083=F1083,"PASS","FAIL")</x:f>
        <x:v>PASS</x:v>
      </x:c>
    </x:row>
    <x:row r="1084">
      <x:c r="B1084" s="21" t="str">
        <x:v>C1078</x:v>
      </x:c>
      <x:c r="C1084" s="21" t="str">
        <x:v>stage build</x:v>
      </x:c>
      <x:c r="D1084" s="21" t="str">
        <x:v>replication layer nonnegative row 186</x:v>
      </x:c>
      <x:c r="E1084" s="21" t="n">
        <x:f>IF('Stage Build'!J186&gt;=0,1,0)</x:f>
        <x:v>1</x:v>
      </x:c>
      <x:c r="F1084" s="21" t="n">
        <x:v>1</x:v>
      </x:c>
      <x:c r="G1084" s="23" t="str">
        <x:f>IF(E1084=F1084,"PASS","FAIL")</x:f>
        <x:v>PASS</x:v>
      </x:c>
    </x:row>
    <x:row r="1085">
      <x:c r="B1085" s="21" t="str">
        <x:v>C1079</x:v>
      </x:c>
      <x:c r="C1085" s="21" t="str">
        <x:v>stage build</x:v>
      </x:c>
      <x:c r="D1085" s="21" t="str">
        <x:v>designed ratio identity row 186</x:v>
      </x:c>
      <x:c r="E1085" s="21" t="n">
        <x:f>IF(ABS('Stage Build'!K186-'Stage Build'!I186-'Stage Build'!J186)&lt;0.000001,1,0)</x:f>
        <x:v>1</x:v>
      </x:c>
      <x:c r="F1085" s="21" t="n">
        <x:v>1</x:v>
      </x:c>
      <x:c r="G1085" s="23" t="str">
        <x:f>IF(E1085=F1085,"PASS","FAIL")</x:f>
        <x:v>PASS</x:v>
      </x:c>
    </x:row>
    <x:row r="1086">
      <x:c r="B1086" s="21" t="str">
        <x:v>C1080</x:v>
      </x:c>
      <x:c r="C1086" s="21" t="str">
        <x:v>stage build</x:v>
      </x:c>
      <x:c r="D1086" s="21" t="str">
        <x:v>M05 status identity row 186</x:v>
      </x:c>
      <x:c r="E1086" s="21" t="n">
        <x:f>IF('Stage Build'!L186=IF('Stage Build'!K186&gt;=Assumptions!$C$9,"ADEQUATE","GAP"),1,0)</x:f>
        <x:v>1</x:v>
      </x:c>
      <x:c r="F1086" s="21" t="n">
        <x:v>1</x:v>
      </x:c>
      <x:c r="G1086" s="23" t="str">
        <x:f>IF(E1086=F1086,"PASS","FAIL")</x:f>
        <x:v>PASS</x:v>
      </x:c>
    </x:row>
    <x:row r="1087">
      <x:c r="B1087" s="21" t="str">
        <x:v>C1081</x:v>
      </x:c>
      <x:c r="C1087" s="21" t="str">
        <x:v>stage build</x:v>
      </x:c>
      <x:c r="D1087" s="21" t="str">
        <x:v>baseline nonnegative row 187</x:v>
      </x:c>
      <x:c r="E1087" s="21" t="n">
        <x:f>IF('Stage Build'!F187&gt;=0,1,0)</x:f>
        <x:v>1</x:v>
      </x:c>
      <x:c r="F1087" s="21" t="n">
        <x:v>1</x:v>
      </x:c>
      <x:c r="G1087" s="23" t="str">
        <x:f>IF(E1087=F1087,"PASS","FAIL")</x:f>
        <x:v>PASS</x:v>
      </x:c>
    </x:row>
    <x:row r="1088">
      <x:c r="B1088" s="21" t="str">
        <x:v>C1082</x:v>
      </x:c>
      <x:c r="C1088" s="21" t="str">
        <x:v>stage build</x:v>
      </x:c>
      <x:c r="D1088" s="21" t="str">
        <x:v>targeted additions nonnegative row 187</x:v>
      </x:c>
      <x:c r="E1088" s="21" t="n">
        <x:f>IF(AND('Stage Build'!G187&gt;=0,'Stage Build'!H187&gt;=0),1,0)</x:f>
        <x:v>1</x:v>
      </x:c>
      <x:c r="F1088" s="21" t="n">
        <x:v>1</x:v>
      </x:c>
      <x:c r="G1088" s="23" t="str">
        <x:f>IF(E1088=F1088,"PASS","FAIL")</x:f>
        <x:v>PASS</x:v>
      </x:c>
    </x:row>
    <x:row r="1089">
      <x:c r="B1089" s="21" t="str">
        <x:v>C1083</x:v>
      </x:c>
      <x:c r="C1089" s="21" t="str">
        <x:v>stage build</x:v>
      </x:c>
      <x:c r="D1089" s="21" t="str">
        <x:v>pre-replication identity row 187</x:v>
      </x:c>
      <x:c r="E1089" s="21" t="n">
        <x:f>IF(ABS('Stage Build'!I187-SUM('Stage Build'!F187:H187))&lt;0.000001,1,0)</x:f>
        <x:v>1</x:v>
      </x:c>
      <x:c r="F1089" s="21" t="n">
        <x:v>1</x:v>
      </x:c>
      <x:c r="G1089" s="23" t="str">
        <x:f>IF(E1089=F1089,"PASS","FAIL")</x:f>
        <x:v>PASS</x:v>
      </x:c>
    </x:row>
    <x:row r="1090">
      <x:c r="B1090" s="21" t="str">
        <x:v>C1084</x:v>
      </x:c>
      <x:c r="C1090" s="21" t="str">
        <x:v>stage build</x:v>
      </x:c>
      <x:c r="D1090" s="21" t="str">
        <x:v>replication layer nonnegative row 187</x:v>
      </x:c>
      <x:c r="E1090" s="21" t="n">
        <x:f>IF('Stage Build'!J187&gt;=0,1,0)</x:f>
        <x:v>1</x:v>
      </x:c>
      <x:c r="F1090" s="21" t="n">
        <x:v>1</x:v>
      </x:c>
      <x:c r="G1090" s="23" t="str">
        <x:f>IF(E1090=F1090,"PASS","FAIL")</x:f>
        <x:v>PASS</x:v>
      </x:c>
    </x:row>
    <x:row r="1091">
      <x:c r="B1091" s="21" t="str">
        <x:v>C1085</x:v>
      </x:c>
      <x:c r="C1091" s="21" t="str">
        <x:v>stage build</x:v>
      </x:c>
      <x:c r="D1091" s="21" t="str">
        <x:v>designed ratio identity row 187</x:v>
      </x:c>
      <x:c r="E1091" s="21" t="n">
        <x:f>IF(ABS('Stage Build'!K187-'Stage Build'!I187-'Stage Build'!J187)&lt;0.000001,1,0)</x:f>
        <x:v>1</x:v>
      </x:c>
      <x:c r="F1091" s="21" t="n">
        <x:v>1</x:v>
      </x:c>
      <x:c r="G1091" s="23" t="str">
        <x:f>IF(E1091=F1091,"PASS","FAIL")</x:f>
        <x:v>PASS</x:v>
      </x:c>
    </x:row>
    <x:row r="1092">
      <x:c r="B1092" s="21" t="str">
        <x:v>C1086</x:v>
      </x:c>
      <x:c r="C1092" s="21" t="str">
        <x:v>stage build</x:v>
      </x:c>
      <x:c r="D1092" s="21" t="str">
        <x:v>M05 status identity row 187</x:v>
      </x:c>
      <x:c r="E1092" s="21" t="n">
        <x:f>IF('Stage Build'!L187=IF('Stage Build'!K187&gt;=Assumptions!$C$9,"ADEQUATE","GAP"),1,0)</x:f>
        <x:v>1</x:v>
      </x:c>
      <x:c r="F1092" s="21" t="n">
        <x:v>1</x:v>
      </x:c>
      <x:c r="G1092" s="23" t="str">
        <x:f>IF(E1092=F1092,"PASS","FAIL")</x:f>
        <x:v>PASS</x:v>
      </x:c>
    </x:row>
    <x:row r="1093">
      <x:c r="B1093" s="21" t="str">
        <x:v>C1087</x:v>
      </x:c>
      <x:c r="C1093" s="21" t="str">
        <x:v>stage build</x:v>
      </x:c>
      <x:c r="D1093" s="21" t="str">
        <x:v>baseline nonnegative row 188</x:v>
      </x:c>
      <x:c r="E1093" s="21" t="n">
        <x:f>IF('Stage Build'!F188&gt;=0,1,0)</x:f>
        <x:v>1</x:v>
      </x:c>
      <x:c r="F1093" s="21" t="n">
        <x:v>1</x:v>
      </x:c>
      <x:c r="G1093" s="23" t="str">
        <x:f>IF(E1093=F1093,"PASS","FAIL")</x:f>
        <x:v>PASS</x:v>
      </x:c>
    </x:row>
    <x:row r="1094">
      <x:c r="B1094" s="21" t="str">
        <x:v>C1088</x:v>
      </x:c>
      <x:c r="C1094" s="21" t="str">
        <x:v>stage build</x:v>
      </x:c>
      <x:c r="D1094" s="21" t="str">
        <x:v>targeted additions nonnegative row 188</x:v>
      </x:c>
      <x:c r="E1094" s="21" t="n">
        <x:f>IF(AND('Stage Build'!G188&gt;=0,'Stage Build'!H188&gt;=0),1,0)</x:f>
        <x:v>1</x:v>
      </x:c>
      <x:c r="F1094" s="21" t="n">
        <x:v>1</x:v>
      </x:c>
      <x:c r="G1094" s="23" t="str">
        <x:f>IF(E1094=F1094,"PASS","FAIL")</x:f>
        <x:v>PASS</x:v>
      </x:c>
    </x:row>
    <x:row r="1095">
      <x:c r="B1095" s="21" t="str">
        <x:v>C1089</x:v>
      </x:c>
      <x:c r="C1095" s="21" t="str">
        <x:v>stage build</x:v>
      </x:c>
      <x:c r="D1095" s="21" t="str">
        <x:v>pre-replication identity row 188</x:v>
      </x:c>
      <x:c r="E1095" s="21" t="n">
        <x:f>IF(ABS('Stage Build'!I188-SUM('Stage Build'!F188:H188))&lt;0.000001,1,0)</x:f>
        <x:v>1</x:v>
      </x:c>
      <x:c r="F1095" s="21" t="n">
        <x:v>1</x:v>
      </x:c>
      <x:c r="G1095" s="23" t="str">
        <x:f>IF(E1095=F1095,"PASS","FAIL")</x:f>
        <x:v>PASS</x:v>
      </x:c>
    </x:row>
    <x:row r="1096">
      <x:c r="B1096" s="21" t="str">
        <x:v>C1090</x:v>
      </x:c>
      <x:c r="C1096" s="21" t="str">
        <x:v>stage build</x:v>
      </x:c>
      <x:c r="D1096" s="21" t="str">
        <x:v>replication layer nonnegative row 188</x:v>
      </x:c>
      <x:c r="E1096" s="21" t="n">
        <x:f>IF('Stage Build'!J188&gt;=0,1,0)</x:f>
        <x:v>1</x:v>
      </x:c>
      <x:c r="F1096" s="21" t="n">
        <x:v>1</x:v>
      </x:c>
      <x:c r="G1096" s="23" t="str">
        <x:f>IF(E1096=F1096,"PASS","FAIL")</x:f>
        <x:v>PASS</x:v>
      </x:c>
    </x:row>
    <x:row r="1097">
      <x:c r="B1097" s="21" t="str">
        <x:v>C1091</x:v>
      </x:c>
      <x:c r="C1097" s="21" t="str">
        <x:v>stage build</x:v>
      </x:c>
      <x:c r="D1097" s="21" t="str">
        <x:v>designed ratio identity row 188</x:v>
      </x:c>
      <x:c r="E1097" s="21" t="n">
        <x:f>IF(ABS('Stage Build'!K188-'Stage Build'!I188-'Stage Build'!J188)&lt;0.000001,1,0)</x:f>
        <x:v>1</x:v>
      </x:c>
      <x:c r="F1097" s="21" t="n">
        <x:v>1</x:v>
      </x:c>
      <x:c r="G1097" s="23" t="str">
        <x:f>IF(E1097=F1097,"PASS","FAIL")</x:f>
        <x:v>PASS</x:v>
      </x:c>
    </x:row>
    <x:row r="1098">
      <x:c r="B1098" s="21" t="str">
        <x:v>C1092</x:v>
      </x:c>
      <x:c r="C1098" s="21" t="str">
        <x:v>stage build</x:v>
      </x:c>
      <x:c r="D1098" s="21" t="str">
        <x:v>M05 status identity row 188</x:v>
      </x:c>
      <x:c r="E1098" s="21" t="n">
        <x:f>IF('Stage Build'!L188=IF('Stage Build'!K188&gt;=Assumptions!$C$9,"ADEQUATE","GAP"),1,0)</x:f>
        <x:v>1</x:v>
      </x:c>
      <x:c r="F1098" s="21" t="n">
        <x:v>1</x:v>
      </x:c>
      <x:c r="G1098" s="23" t="str">
        <x:f>IF(E1098=F1098,"PASS","FAIL")</x:f>
        <x:v>PASS</x:v>
      </x:c>
    </x:row>
    <x:row r="1099">
      <x:c r="B1099" s="21" t="str">
        <x:v>C1093</x:v>
      </x:c>
      <x:c r="C1099" s="21" t="str">
        <x:v>stage build</x:v>
      </x:c>
      <x:c r="D1099" s="21" t="str">
        <x:v>baseline nonnegative row 189</x:v>
      </x:c>
      <x:c r="E1099" s="21" t="n">
        <x:f>IF('Stage Build'!F189&gt;=0,1,0)</x:f>
        <x:v>1</x:v>
      </x:c>
      <x:c r="F1099" s="21" t="n">
        <x:v>1</x:v>
      </x:c>
      <x:c r="G1099" s="23" t="str">
        <x:f>IF(E1099=F1099,"PASS","FAIL")</x:f>
        <x:v>PASS</x:v>
      </x:c>
    </x:row>
    <x:row r="1100">
      <x:c r="B1100" s="21" t="str">
        <x:v>C1094</x:v>
      </x:c>
      <x:c r="C1100" s="21" t="str">
        <x:v>stage build</x:v>
      </x:c>
      <x:c r="D1100" s="21" t="str">
        <x:v>targeted additions nonnegative row 189</x:v>
      </x:c>
      <x:c r="E1100" s="21" t="n">
        <x:f>IF(AND('Stage Build'!G189&gt;=0,'Stage Build'!H189&gt;=0),1,0)</x:f>
        <x:v>1</x:v>
      </x:c>
      <x:c r="F1100" s="21" t="n">
        <x:v>1</x:v>
      </x:c>
      <x:c r="G1100" s="23" t="str">
        <x:f>IF(E1100=F1100,"PASS","FAIL")</x:f>
        <x:v>PASS</x:v>
      </x:c>
    </x:row>
    <x:row r="1101">
      <x:c r="B1101" s="21" t="str">
        <x:v>C1095</x:v>
      </x:c>
      <x:c r="C1101" s="21" t="str">
        <x:v>stage build</x:v>
      </x:c>
      <x:c r="D1101" s="21" t="str">
        <x:v>pre-replication identity row 189</x:v>
      </x:c>
      <x:c r="E1101" s="21" t="n">
        <x:f>IF(ABS('Stage Build'!I189-SUM('Stage Build'!F189:H189))&lt;0.000001,1,0)</x:f>
        <x:v>1</x:v>
      </x:c>
      <x:c r="F1101" s="21" t="n">
        <x:v>1</x:v>
      </x:c>
      <x:c r="G1101" s="23" t="str">
        <x:f>IF(E1101=F1101,"PASS","FAIL")</x:f>
        <x:v>PASS</x:v>
      </x:c>
    </x:row>
    <x:row r="1102">
      <x:c r="B1102" s="21" t="str">
        <x:v>C1096</x:v>
      </x:c>
      <x:c r="C1102" s="21" t="str">
        <x:v>stage build</x:v>
      </x:c>
      <x:c r="D1102" s="21" t="str">
        <x:v>replication layer nonnegative row 189</x:v>
      </x:c>
      <x:c r="E1102" s="21" t="n">
        <x:f>IF('Stage Build'!J189&gt;=0,1,0)</x:f>
        <x:v>1</x:v>
      </x:c>
      <x:c r="F1102" s="21" t="n">
        <x:v>1</x:v>
      </x:c>
      <x:c r="G1102" s="23" t="str">
        <x:f>IF(E1102=F1102,"PASS","FAIL")</x:f>
        <x:v>PASS</x:v>
      </x:c>
    </x:row>
    <x:row r="1103">
      <x:c r="B1103" s="21" t="str">
        <x:v>C1097</x:v>
      </x:c>
      <x:c r="C1103" s="21" t="str">
        <x:v>stage build</x:v>
      </x:c>
      <x:c r="D1103" s="21" t="str">
        <x:v>designed ratio identity row 189</x:v>
      </x:c>
      <x:c r="E1103" s="21" t="n">
        <x:f>IF(ABS('Stage Build'!K189-'Stage Build'!I189-'Stage Build'!J189)&lt;0.000001,1,0)</x:f>
        <x:v>1</x:v>
      </x:c>
      <x:c r="F1103" s="21" t="n">
        <x:v>1</x:v>
      </x:c>
      <x:c r="G1103" s="23" t="str">
        <x:f>IF(E1103=F1103,"PASS","FAIL")</x:f>
        <x:v>PASS</x:v>
      </x:c>
    </x:row>
    <x:row r="1104">
      <x:c r="B1104" s="21" t="str">
        <x:v>C1098</x:v>
      </x:c>
      <x:c r="C1104" s="21" t="str">
        <x:v>stage build</x:v>
      </x:c>
      <x:c r="D1104" s="21" t="str">
        <x:v>M05 status identity row 189</x:v>
      </x:c>
      <x:c r="E1104" s="21" t="n">
        <x:f>IF('Stage Build'!L189=IF('Stage Build'!K189&gt;=Assumptions!$C$9,"ADEQUATE","GAP"),1,0)</x:f>
        <x:v>1</x:v>
      </x:c>
      <x:c r="F1104" s="21" t="n">
        <x:v>1</x:v>
      </x:c>
      <x:c r="G1104" s="23" t="str">
        <x:f>IF(E1104=F1104,"PASS","FAIL")</x:f>
        <x:v>PASS</x:v>
      </x:c>
    </x:row>
    <x:row r="1105">
      <x:c r="B1105" s="21" t="str">
        <x:v>C1099</x:v>
      </x:c>
      <x:c r="C1105" s="21" t="str">
        <x:v>stage build</x:v>
      </x:c>
      <x:c r="D1105" s="21" t="str">
        <x:v>baseline nonnegative row 190</x:v>
      </x:c>
      <x:c r="E1105" s="21" t="n">
        <x:f>IF('Stage Build'!F190&gt;=0,1,0)</x:f>
        <x:v>1</x:v>
      </x:c>
      <x:c r="F1105" s="21" t="n">
        <x:v>1</x:v>
      </x:c>
      <x:c r="G1105" s="23" t="str">
        <x:f>IF(E1105=F1105,"PASS","FAIL")</x:f>
        <x:v>PASS</x:v>
      </x:c>
    </x:row>
    <x:row r="1106">
      <x:c r="B1106" s="21" t="str">
        <x:v>C1100</x:v>
      </x:c>
      <x:c r="C1106" s="21" t="str">
        <x:v>stage build</x:v>
      </x:c>
      <x:c r="D1106" s="21" t="str">
        <x:v>targeted additions nonnegative row 190</x:v>
      </x:c>
      <x:c r="E1106" s="21" t="n">
        <x:f>IF(AND('Stage Build'!G190&gt;=0,'Stage Build'!H190&gt;=0),1,0)</x:f>
        <x:v>1</x:v>
      </x:c>
      <x:c r="F1106" s="21" t="n">
        <x:v>1</x:v>
      </x:c>
      <x:c r="G1106" s="23" t="str">
        <x:f>IF(E1106=F1106,"PASS","FAIL")</x:f>
        <x:v>PASS</x:v>
      </x:c>
    </x:row>
    <x:row r="1107">
      <x:c r="B1107" s="21" t="str">
        <x:v>C1101</x:v>
      </x:c>
      <x:c r="C1107" s="21" t="str">
        <x:v>stage build</x:v>
      </x:c>
      <x:c r="D1107" s="21" t="str">
        <x:v>pre-replication identity row 190</x:v>
      </x:c>
      <x:c r="E1107" s="21" t="n">
        <x:f>IF(ABS('Stage Build'!I190-SUM('Stage Build'!F190:H190))&lt;0.000001,1,0)</x:f>
        <x:v>1</x:v>
      </x:c>
      <x:c r="F1107" s="21" t="n">
        <x:v>1</x:v>
      </x:c>
      <x:c r="G1107" s="23" t="str">
        <x:f>IF(E1107=F1107,"PASS","FAIL")</x:f>
        <x:v>PASS</x:v>
      </x:c>
    </x:row>
    <x:row r="1108">
      <x:c r="B1108" s="21" t="str">
        <x:v>C1102</x:v>
      </x:c>
      <x:c r="C1108" s="21" t="str">
        <x:v>stage build</x:v>
      </x:c>
      <x:c r="D1108" s="21" t="str">
        <x:v>replication layer nonnegative row 190</x:v>
      </x:c>
      <x:c r="E1108" s="21" t="n">
        <x:f>IF('Stage Build'!J190&gt;=0,1,0)</x:f>
        <x:v>1</x:v>
      </x:c>
      <x:c r="F1108" s="21" t="n">
        <x:v>1</x:v>
      </x:c>
      <x:c r="G1108" s="23" t="str">
        <x:f>IF(E1108=F1108,"PASS","FAIL")</x:f>
        <x:v>PASS</x:v>
      </x:c>
    </x:row>
    <x:row r="1109">
      <x:c r="B1109" s="21" t="str">
        <x:v>C1103</x:v>
      </x:c>
      <x:c r="C1109" s="21" t="str">
        <x:v>stage build</x:v>
      </x:c>
      <x:c r="D1109" s="21" t="str">
        <x:v>designed ratio identity row 190</x:v>
      </x:c>
      <x:c r="E1109" s="21" t="n">
        <x:f>IF(ABS('Stage Build'!K190-'Stage Build'!I190-'Stage Build'!J190)&lt;0.000001,1,0)</x:f>
        <x:v>1</x:v>
      </x:c>
      <x:c r="F1109" s="21" t="n">
        <x:v>1</x:v>
      </x:c>
      <x:c r="G1109" s="23" t="str">
        <x:f>IF(E1109=F1109,"PASS","FAIL")</x:f>
        <x:v>PASS</x:v>
      </x:c>
    </x:row>
    <x:row r="1110">
      <x:c r="B1110" s="21" t="str">
        <x:v>C1104</x:v>
      </x:c>
      <x:c r="C1110" s="21" t="str">
        <x:v>stage build</x:v>
      </x:c>
      <x:c r="D1110" s="21" t="str">
        <x:v>M05 status identity row 190</x:v>
      </x:c>
      <x:c r="E1110" s="21" t="n">
        <x:f>IF('Stage Build'!L190=IF('Stage Build'!K190&gt;=Assumptions!$C$9,"ADEQUATE","GAP"),1,0)</x:f>
        <x:v>1</x:v>
      </x:c>
      <x:c r="F1110" s="21" t="n">
        <x:v>1</x:v>
      </x:c>
      <x:c r="G1110" s="23" t="str">
        <x:f>IF(E1110=F1110,"PASS","FAIL")</x:f>
        <x:v>PASS</x:v>
      </x:c>
    </x:row>
    <x:row r="1111">
      <x:c r="B1111" s="21" t="str">
        <x:v>C1105</x:v>
      </x:c>
      <x:c r="C1111" s="21" t="str">
        <x:v>stage build</x:v>
      </x:c>
      <x:c r="D1111" s="21" t="str">
        <x:v>baseline nonnegative row 191</x:v>
      </x:c>
      <x:c r="E1111" s="21" t="n">
        <x:f>IF('Stage Build'!F191&gt;=0,1,0)</x:f>
        <x:v>1</x:v>
      </x:c>
      <x:c r="F1111" s="21" t="n">
        <x:v>1</x:v>
      </x:c>
      <x:c r="G1111" s="23" t="str">
        <x:f>IF(E1111=F1111,"PASS","FAIL")</x:f>
        <x:v>PASS</x:v>
      </x:c>
    </x:row>
    <x:row r="1112">
      <x:c r="B1112" s="21" t="str">
        <x:v>C1106</x:v>
      </x:c>
      <x:c r="C1112" s="21" t="str">
        <x:v>stage build</x:v>
      </x:c>
      <x:c r="D1112" s="21" t="str">
        <x:v>targeted additions nonnegative row 191</x:v>
      </x:c>
      <x:c r="E1112" s="21" t="n">
        <x:f>IF(AND('Stage Build'!G191&gt;=0,'Stage Build'!H191&gt;=0),1,0)</x:f>
        <x:v>1</x:v>
      </x:c>
      <x:c r="F1112" s="21" t="n">
        <x:v>1</x:v>
      </x:c>
      <x:c r="G1112" s="23" t="str">
        <x:f>IF(E1112=F1112,"PASS","FAIL")</x:f>
        <x:v>PASS</x:v>
      </x:c>
    </x:row>
    <x:row r="1113">
      <x:c r="B1113" s="21" t="str">
        <x:v>C1107</x:v>
      </x:c>
      <x:c r="C1113" s="21" t="str">
        <x:v>stage build</x:v>
      </x:c>
      <x:c r="D1113" s="21" t="str">
        <x:v>pre-replication identity row 191</x:v>
      </x:c>
      <x:c r="E1113" s="21" t="n">
        <x:f>IF(ABS('Stage Build'!I191-SUM('Stage Build'!F191:H191))&lt;0.000001,1,0)</x:f>
        <x:v>1</x:v>
      </x:c>
      <x:c r="F1113" s="21" t="n">
        <x:v>1</x:v>
      </x:c>
      <x:c r="G1113" s="23" t="str">
        <x:f>IF(E1113=F1113,"PASS","FAIL")</x:f>
        <x:v>PASS</x:v>
      </x:c>
    </x:row>
    <x:row r="1114">
      <x:c r="B1114" s="21" t="str">
        <x:v>C1108</x:v>
      </x:c>
      <x:c r="C1114" s="21" t="str">
        <x:v>stage build</x:v>
      </x:c>
      <x:c r="D1114" s="21" t="str">
        <x:v>replication layer nonnegative row 191</x:v>
      </x:c>
      <x:c r="E1114" s="21" t="n">
        <x:f>IF('Stage Build'!J191&gt;=0,1,0)</x:f>
        <x:v>1</x:v>
      </x:c>
      <x:c r="F1114" s="21" t="n">
        <x:v>1</x:v>
      </x:c>
      <x:c r="G1114" s="23" t="str">
        <x:f>IF(E1114=F1114,"PASS","FAIL")</x:f>
        <x:v>PASS</x:v>
      </x:c>
    </x:row>
    <x:row r="1115">
      <x:c r="B1115" s="21" t="str">
        <x:v>C1109</x:v>
      </x:c>
      <x:c r="C1115" s="21" t="str">
        <x:v>stage build</x:v>
      </x:c>
      <x:c r="D1115" s="21" t="str">
        <x:v>designed ratio identity row 191</x:v>
      </x:c>
      <x:c r="E1115" s="21" t="n">
        <x:f>IF(ABS('Stage Build'!K191-'Stage Build'!I191-'Stage Build'!J191)&lt;0.000001,1,0)</x:f>
        <x:v>1</x:v>
      </x:c>
      <x:c r="F1115" s="21" t="n">
        <x:v>1</x:v>
      </x:c>
      <x:c r="G1115" s="23" t="str">
        <x:f>IF(E1115=F1115,"PASS","FAIL")</x:f>
        <x:v>PASS</x:v>
      </x:c>
    </x:row>
    <x:row r="1116">
      <x:c r="B1116" s="21" t="str">
        <x:v>C1110</x:v>
      </x:c>
      <x:c r="C1116" s="21" t="str">
        <x:v>stage build</x:v>
      </x:c>
      <x:c r="D1116" s="21" t="str">
        <x:v>M05 status identity row 191</x:v>
      </x:c>
      <x:c r="E1116" s="21" t="n">
        <x:f>IF('Stage Build'!L191=IF('Stage Build'!K191&gt;=Assumptions!$C$9,"ADEQUATE","GAP"),1,0)</x:f>
        <x:v>1</x:v>
      </x:c>
      <x:c r="F1116" s="21" t="n">
        <x:v>1</x:v>
      </x:c>
      <x:c r="G1116" s="23" t="str">
        <x:f>IF(E1116=F1116,"PASS","FAIL")</x:f>
        <x:v>PASS</x:v>
      </x:c>
    </x:row>
    <x:row r="1117">
      <x:c r="B1117" s="21" t="str">
        <x:v>C1111</x:v>
      </x:c>
      <x:c r="C1117" s="21" t="str">
        <x:v>stage build</x:v>
      </x:c>
      <x:c r="D1117" s="21" t="str">
        <x:v>baseline nonnegative row 192</x:v>
      </x:c>
      <x:c r="E1117" s="21" t="n">
        <x:f>IF('Stage Build'!F192&gt;=0,1,0)</x:f>
        <x:v>1</x:v>
      </x:c>
      <x:c r="F1117" s="21" t="n">
        <x:v>1</x:v>
      </x:c>
      <x:c r="G1117" s="23" t="str">
        <x:f>IF(E1117=F1117,"PASS","FAIL")</x:f>
        <x:v>PASS</x:v>
      </x:c>
    </x:row>
    <x:row r="1118">
      <x:c r="B1118" s="21" t="str">
        <x:v>C1112</x:v>
      </x:c>
      <x:c r="C1118" s="21" t="str">
        <x:v>stage build</x:v>
      </x:c>
      <x:c r="D1118" s="21" t="str">
        <x:v>targeted additions nonnegative row 192</x:v>
      </x:c>
      <x:c r="E1118" s="21" t="n">
        <x:f>IF(AND('Stage Build'!G192&gt;=0,'Stage Build'!H192&gt;=0),1,0)</x:f>
        <x:v>1</x:v>
      </x:c>
      <x:c r="F1118" s="21" t="n">
        <x:v>1</x:v>
      </x:c>
      <x:c r="G1118" s="23" t="str">
        <x:f>IF(E1118=F1118,"PASS","FAIL")</x:f>
        <x:v>PASS</x:v>
      </x:c>
    </x:row>
    <x:row r="1119">
      <x:c r="B1119" s="21" t="str">
        <x:v>C1113</x:v>
      </x:c>
      <x:c r="C1119" s="21" t="str">
        <x:v>stage build</x:v>
      </x:c>
      <x:c r="D1119" s="21" t="str">
        <x:v>pre-replication identity row 192</x:v>
      </x:c>
      <x:c r="E1119" s="21" t="n">
        <x:f>IF(ABS('Stage Build'!I192-SUM('Stage Build'!F192:H192))&lt;0.000001,1,0)</x:f>
        <x:v>1</x:v>
      </x:c>
      <x:c r="F1119" s="21" t="n">
        <x:v>1</x:v>
      </x:c>
      <x:c r="G1119" s="23" t="str">
        <x:f>IF(E1119=F1119,"PASS","FAIL")</x:f>
        <x:v>PASS</x:v>
      </x:c>
    </x:row>
    <x:row r="1120">
      <x:c r="B1120" s="21" t="str">
        <x:v>C1114</x:v>
      </x:c>
      <x:c r="C1120" s="21" t="str">
        <x:v>stage build</x:v>
      </x:c>
      <x:c r="D1120" s="21" t="str">
        <x:v>replication layer nonnegative row 192</x:v>
      </x:c>
      <x:c r="E1120" s="21" t="n">
        <x:f>IF('Stage Build'!J192&gt;=0,1,0)</x:f>
        <x:v>1</x:v>
      </x:c>
      <x:c r="F1120" s="21" t="n">
        <x:v>1</x:v>
      </x:c>
      <x:c r="G1120" s="23" t="str">
        <x:f>IF(E1120=F1120,"PASS","FAIL")</x:f>
        <x:v>PASS</x:v>
      </x:c>
    </x:row>
    <x:row r="1121">
      <x:c r="B1121" s="21" t="str">
        <x:v>C1115</x:v>
      </x:c>
      <x:c r="C1121" s="21" t="str">
        <x:v>stage build</x:v>
      </x:c>
      <x:c r="D1121" s="21" t="str">
        <x:v>designed ratio identity row 192</x:v>
      </x:c>
      <x:c r="E1121" s="21" t="n">
        <x:f>IF(ABS('Stage Build'!K192-'Stage Build'!I192-'Stage Build'!J192)&lt;0.000001,1,0)</x:f>
        <x:v>1</x:v>
      </x:c>
      <x:c r="F1121" s="21" t="n">
        <x:v>1</x:v>
      </x:c>
      <x:c r="G1121" s="23" t="str">
        <x:f>IF(E1121=F1121,"PASS","FAIL")</x:f>
        <x:v>PASS</x:v>
      </x:c>
    </x:row>
    <x:row r="1122">
      <x:c r="B1122" s="21" t="str">
        <x:v>C1116</x:v>
      </x:c>
      <x:c r="C1122" s="21" t="str">
        <x:v>stage build</x:v>
      </x:c>
      <x:c r="D1122" s="21" t="str">
        <x:v>M05 status identity row 192</x:v>
      </x:c>
      <x:c r="E1122" s="21" t="n">
        <x:f>IF('Stage Build'!L192=IF('Stage Build'!K192&gt;=Assumptions!$C$9,"ADEQUATE","GAP"),1,0)</x:f>
        <x:v>1</x:v>
      </x:c>
      <x:c r="F1122" s="21" t="n">
        <x:v>1</x:v>
      </x:c>
      <x:c r="G1122" s="23" t="str">
        <x:f>IF(E1122=F1122,"PASS","FAIL")</x:f>
        <x:v>PASS</x:v>
      </x:c>
    </x:row>
    <x:row r="1123">
      <x:c r="B1123" s="21" t="str">
        <x:v>C1117</x:v>
      </x:c>
      <x:c r="C1123" s="21" t="str">
        <x:v>stage build</x:v>
      </x:c>
      <x:c r="D1123" s="21" t="str">
        <x:v>baseline nonnegative row 193</x:v>
      </x:c>
      <x:c r="E1123" s="21" t="n">
        <x:f>IF('Stage Build'!F193&gt;=0,1,0)</x:f>
        <x:v>1</x:v>
      </x:c>
      <x:c r="F1123" s="21" t="n">
        <x:v>1</x:v>
      </x:c>
      <x:c r="G1123" s="23" t="str">
        <x:f>IF(E1123=F1123,"PASS","FAIL")</x:f>
        <x:v>PASS</x:v>
      </x:c>
    </x:row>
    <x:row r="1124">
      <x:c r="B1124" s="21" t="str">
        <x:v>C1118</x:v>
      </x:c>
      <x:c r="C1124" s="21" t="str">
        <x:v>stage build</x:v>
      </x:c>
      <x:c r="D1124" s="21" t="str">
        <x:v>targeted additions nonnegative row 193</x:v>
      </x:c>
      <x:c r="E1124" s="21" t="n">
        <x:f>IF(AND('Stage Build'!G193&gt;=0,'Stage Build'!H193&gt;=0),1,0)</x:f>
        <x:v>1</x:v>
      </x:c>
      <x:c r="F1124" s="21" t="n">
        <x:v>1</x:v>
      </x:c>
      <x:c r="G1124" s="23" t="str">
        <x:f>IF(E1124=F1124,"PASS","FAIL")</x:f>
        <x:v>PASS</x:v>
      </x:c>
    </x:row>
    <x:row r="1125">
      <x:c r="B1125" s="21" t="str">
        <x:v>C1119</x:v>
      </x:c>
      <x:c r="C1125" s="21" t="str">
        <x:v>stage build</x:v>
      </x:c>
      <x:c r="D1125" s="21" t="str">
        <x:v>pre-replication identity row 193</x:v>
      </x:c>
      <x:c r="E1125" s="21" t="n">
        <x:f>IF(ABS('Stage Build'!I193-SUM('Stage Build'!F193:H193))&lt;0.000001,1,0)</x:f>
        <x:v>1</x:v>
      </x:c>
      <x:c r="F1125" s="21" t="n">
        <x:v>1</x:v>
      </x:c>
      <x:c r="G1125" s="23" t="str">
        <x:f>IF(E1125=F1125,"PASS","FAIL")</x:f>
        <x:v>PASS</x:v>
      </x:c>
    </x:row>
    <x:row r="1126">
      <x:c r="B1126" s="21" t="str">
        <x:v>C1120</x:v>
      </x:c>
      <x:c r="C1126" s="21" t="str">
        <x:v>stage build</x:v>
      </x:c>
      <x:c r="D1126" s="21" t="str">
        <x:v>replication layer nonnegative row 193</x:v>
      </x:c>
      <x:c r="E1126" s="21" t="n">
        <x:f>IF('Stage Build'!J193&gt;=0,1,0)</x:f>
        <x:v>1</x:v>
      </x:c>
      <x:c r="F1126" s="21" t="n">
        <x:v>1</x:v>
      </x:c>
      <x:c r="G1126" s="23" t="str">
        <x:f>IF(E1126=F1126,"PASS","FAIL")</x:f>
        <x:v>PASS</x:v>
      </x:c>
    </x:row>
    <x:row r="1127">
      <x:c r="B1127" s="21" t="str">
        <x:v>C1121</x:v>
      </x:c>
      <x:c r="C1127" s="21" t="str">
        <x:v>stage build</x:v>
      </x:c>
      <x:c r="D1127" s="21" t="str">
        <x:v>designed ratio identity row 193</x:v>
      </x:c>
      <x:c r="E1127" s="21" t="n">
        <x:f>IF(ABS('Stage Build'!K193-'Stage Build'!I193-'Stage Build'!J193)&lt;0.000001,1,0)</x:f>
        <x:v>1</x:v>
      </x:c>
      <x:c r="F1127" s="21" t="n">
        <x:v>1</x:v>
      </x:c>
      <x:c r="G1127" s="23" t="str">
        <x:f>IF(E1127=F1127,"PASS","FAIL")</x:f>
        <x:v>PASS</x:v>
      </x:c>
    </x:row>
    <x:row r="1128">
      <x:c r="B1128" s="21" t="str">
        <x:v>C1122</x:v>
      </x:c>
      <x:c r="C1128" s="21" t="str">
        <x:v>stage build</x:v>
      </x:c>
      <x:c r="D1128" s="21" t="str">
        <x:v>M05 status identity row 193</x:v>
      </x:c>
      <x:c r="E1128" s="21" t="n">
        <x:f>IF('Stage Build'!L193=IF('Stage Build'!K193&gt;=Assumptions!$C$9,"ADEQUATE","GAP"),1,0)</x:f>
        <x:v>1</x:v>
      </x:c>
      <x:c r="F1128" s="21" t="n">
        <x:v>1</x:v>
      </x:c>
      <x:c r="G1128" s="23" t="str">
        <x:f>IF(E1128=F1128,"PASS","FAIL")</x:f>
        <x:v>PASS</x:v>
      </x:c>
    </x:row>
    <x:row r="1129">
      <x:c r="B1129" s="21" t="str">
        <x:v>C1123</x:v>
      </x:c>
      <x:c r="C1129" s="21" t="str">
        <x:v>stage build</x:v>
      </x:c>
      <x:c r="D1129" s="21" t="str">
        <x:v>baseline nonnegative row 194</x:v>
      </x:c>
      <x:c r="E1129" s="21" t="n">
        <x:f>IF('Stage Build'!F194&gt;=0,1,0)</x:f>
        <x:v>1</x:v>
      </x:c>
      <x:c r="F1129" s="21" t="n">
        <x:v>1</x:v>
      </x:c>
      <x:c r="G1129" s="23" t="str">
        <x:f>IF(E1129=F1129,"PASS","FAIL")</x:f>
        <x:v>PASS</x:v>
      </x:c>
    </x:row>
    <x:row r="1130">
      <x:c r="B1130" s="21" t="str">
        <x:v>C1124</x:v>
      </x:c>
      <x:c r="C1130" s="21" t="str">
        <x:v>stage build</x:v>
      </x:c>
      <x:c r="D1130" s="21" t="str">
        <x:v>targeted additions nonnegative row 194</x:v>
      </x:c>
      <x:c r="E1130" s="21" t="n">
        <x:f>IF(AND('Stage Build'!G194&gt;=0,'Stage Build'!H194&gt;=0),1,0)</x:f>
        <x:v>1</x:v>
      </x:c>
      <x:c r="F1130" s="21" t="n">
        <x:v>1</x:v>
      </x:c>
      <x:c r="G1130" s="23" t="str">
        <x:f>IF(E1130=F1130,"PASS","FAIL")</x:f>
        <x:v>PASS</x:v>
      </x:c>
    </x:row>
    <x:row r="1131">
      <x:c r="B1131" s="21" t="str">
        <x:v>C1125</x:v>
      </x:c>
      <x:c r="C1131" s="21" t="str">
        <x:v>stage build</x:v>
      </x:c>
      <x:c r="D1131" s="21" t="str">
        <x:v>pre-replication identity row 194</x:v>
      </x:c>
      <x:c r="E1131" s="21" t="n">
        <x:f>IF(ABS('Stage Build'!I194-SUM('Stage Build'!F194:H194))&lt;0.000001,1,0)</x:f>
        <x:v>1</x:v>
      </x:c>
      <x:c r="F1131" s="21" t="n">
        <x:v>1</x:v>
      </x:c>
      <x:c r="G1131" s="23" t="str">
        <x:f>IF(E1131=F1131,"PASS","FAIL")</x:f>
        <x:v>PASS</x:v>
      </x:c>
    </x:row>
    <x:row r="1132">
      <x:c r="B1132" s="21" t="str">
        <x:v>C1126</x:v>
      </x:c>
      <x:c r="C1132" s="21" t="str">
        <x:v>stage build</x:v>
      </x:c>
      <x:c r="D1132" s="21" t="str">
        <x:v>replication layer nonnegative row 194</x:v>
      </x:c>
      <x:c r="E1132" s="21" t="n">
        <x:f>IF('Stage Build'!J194&gt;=0,1,0)</x:f>
        <x:v>1</x:v>
      </x:c>
      <x:c r="F1132" s="21" t="n">
        <x:v>1</x:v>
      </x:c>
      <x:c r="G1132" s="23" t="str">
        <x:f>IF(E1132=F1132,"PASS","FAIL")</x:f>
        <x:v>PASS</x:v>
      </x:c>
    </x:row>
    <x:row r="1133">
      <x:c r="B1133" s="21" t="str">
        <x:v>C1127</x:v>
      </x:c>
      <x:c r="C1133" s="21" t="str">
        <x:v>stage build</x:v>
      </x:c>
      <x:c r="D1133" s="21" t="str">
        <x:v>designed ratio identity row 194</x:v>
      </x:c>
      <x:c r="E1133" s="21" t="n">
        <x:f>IF(ABS('Stage Build'!K194-'Stage Build'!I194-'Stage Build'!J194)&lt;0.000001,1,0)</x:f>
        <x:v>1</x:v>
      </x:c>
      <x:c r="F1133" s="21" t="n">
        <x:v>1</x:v>
      </x:c>
      <x:c r="G1133" s="23" t="str">
        <x:f>IF(E1133=F1133,"PASS","FAIL")</x:f>
        <x:v>PASS</x:v>
      </x:c>
    </x:row>
    <x:row r="1134">
      <x:c r="B1134" s="21" t="str">
        <x:v>C1128</x:v>
      </x:c>
      <x:c r="C1134" s="21" t="str">
        <x:v>stage build</x:v>
      </x:c>
      <x:c r="D1134" s="21" t="str">
        <x:v>M05 status identity row 194</x:v>
      </x:c>
      <x:c r="E1134" s="21" t="n">
        <x:f>IF('Stage Build'!L194=IF('Stage Build'!K194&gt;=Assumptions!$C$9,"ADEQUATE","GAP"),1,0)</x:f>
        <x:v>1</x:v>
      </x:c>
      <x:c r="F1134" s="21" t="n">
        <x:v>1</x:v>
      </x:c>
      <x:c r="G1134" s="23" t="str">
        <x:f>IF(E1134=F1134,"PASS","FAIL")</x:f>
        <x:v>PASS</x:v>
      </x:c>
    </x:row>
    <x:row r="1135">
      <x:c r="B1135" s="21" t="str">
        <x:v>C1129</x:v>
      </x:c>
      <x:c r="C1135" s="21" t="str">
        <x:v>stage build</x:v>
      </x:c>
      <x:c r="D1135" s="21" t="str">
        <x:v>baseline nonnegative row 195</x:v>
      </x:c>
      <x:c r="E1135" s="21" t="n">
        <x:f>IF('Stage Build'!F195&gt;=0,1,0)</x:f>
        <x:v>1</x:v>
      </x:c>
      <x:c r="F1135" s="21" t="n">
        <x:v>1</x:v>
      </x:c>
      <x:c r="G1135" s="23" t="str">
        <x:f>IF(E1135=F1135,"PASS","FAIL")</x:f>
        <x:v>PASS</x:v>
      </x:c>
    </x:row>
    <x:row r="1136">
      <x:c r="B1136" s="21" t="str">
        <x:v>C1130</x:v>
      </x:c>
      <x:c r="C1136" s="21" t="str">
        <x:v>stage build</x:v>
      </x:c>
      <x:c r="D1136" s="21" t="str">
        <x:v>targeted additions nonnegative row 195</x:v>
      </x:c>
      <x:c r="E1136" s="21" t="n">
        <x:f>IF(AND('Stage Build'!G195&gt;=0,'Stage Build'!H195&gt;=0),1,0)</x:f>
        <x:v>1</x:v>
      </x:c>
      <x:c r="F1136" s="21" t="n">
        <x:v>1</x:v>
      </x:c>
      <x:c r="G1136" s="23" t="str">
        <x:f>IF(E1136=F1136,"PASS","FAIL")</x:f>
        <x:v>PASS</x:v>
      </x:c>
    </x:row>
    <x:row r="1137">
      <x:c r="B1137" s="21" t="str">
        <x:v>C1131</x:v>
      </x:c>
      <x:c r="C1137" s="21" t="str">
        <x:v>stage build</x:v>
      </x:c>
      <x:c r="D1137" s="21" t="str">
        <x:v>pre-replication identity row 195</x:v>
      </x:c>
      <x:c r="E1137" s="21" t="n">
        <x:f>IF(ABS('Stage Build'!I195-SUM('Stage Build'!F195:H195))&lt;0.000001,1,0)</x:f>
        <x:v>1</x:v>
      </x:c>
      <x:c r="F1137" s="21" t="n">
        <x:v>1</x:v>
      </x:c>
      <x:c r="G1137" s="23" t="str">
        <x:f>IF(E1137=F1137,"PASS","FAIL")</x:f>
        <x:v>PASS</x:v>
      </x:c>
    </x:row>
    <x:row r="1138">
      <x:c r="B1138" s="21" t="str">
        <x:v>C1132</x:v>
      </x:c>
      <x:c r="C1138" s="21" t="str">
        <x:v>stage build</x:v>
      </x:c>
      <x:c r="D1138" s="21" t="str">
        <x:v>replication layer nonnegative row 195</x:v>
      </x:c>
      <x:c r="E1138" s="21" t="n">
        <x:f>IF('Stage Build'!J195&gt;=0,1,0)</x:f>
        <x:v>1</x:v>
      </x:c>
      <x:c r="F1138" s="21" t="n">
        <x:v>1</x:v>
      </x:c>
      <x:c r="G1138" s="23" t="str">
        <x:f>IF(E1138=F1138,"PASS","FAIL")</x:f>
        <x:v>PASS</x:v>
      </x:c>
    </x:row>
    <x:row r="1139">
      <x:c r="B1139" s="21" t="str">
        <x:v>C1133</x:v>
      </x:c>
      <x:c r="C1139" s="21" t="str">
        <x:v>stage build</x:v>
      </x:c>
      <x:c r="D1139" s="21" t="str">
        <x:v>designed ratio identity row 195</x:v>
      </x:c>
      <x:c r="E1139" s="21" t="n">
        <x:f>IF(ABS('Stage Build'!K195-'Stage Build'!I195-'Stage Build'!J195)&lt;0.000001,1,0)</x:f>
        <x:v>1</x:v>
      </x:c>
      <x:c r="F1139" s="21" t="n">
        <x:v>1</x:v>
      </x:c>
      <x:c r="G1139" s="23" t="str">
        <x:f>IF(E1139=F1139,"PASS","FAIL")</x:f>
        <x:v>PASS</x:v>
      </x:c>
    </x:row>
    <x:row r="1140">
      <x:c r="B1140" s="21" t="str">
        <x:v>C1134</x:v>
      </x:c>
      <x:c r="C1140" s="21" t="str">
        <x:v>stage build</x:v>
      </x:c>
      <x:c r="D1140" s="21" t="str">
        <x:v>M05 status identity row 195</x:v>
      </x:c>
      <x:c r="E1140" s="21" t="n">
        <x:f>IF('Stage Build'!L195=IF('Stage Build'!K195&gt;=Assumptions!$C$9,"ADEQUATE","GAP"),1,0)</x:f>
        <x:v>1</x:v>
      </x:c>
      <x:c r="F1140" s="21" t="n">
        <x:v>1</x:v>
      </x:c>
      <x:c r="G1140" s="23" t="str">
        <x:f>IF(E1140=F1140,"PASS","FAIL")</x:f>
        <x:v>PASS</x:v>
      </x:c>
    </x:row>
    <x:row r="1141">
      <x:c r="B1141" s="21" t="str">
        <x:v>C1135</x:v>
      </x:c>
      <x:c r="C1141" s="21" t="str">
        <x:v>stage build</x:v>
      </x:c>
      <x:c r="D1141" s="21" t="str">
        <x:v>baseline nonnegative row 196</x:v>
      </x:c>
      <x:c r="E1141" s="21" t="n">
        <x:f>IF('Stage Build'!F196&gt;=0,1,0)</x:f>
        <x:v>1</x:v>
      </x:c>
      <x:c r="F1141" s="21" t="n">
        <x:v>1</x:v>
      </x:c>
      <x:c r="G1141" s="23" t="str">
        <x:f>IF(E1141=F1141,"PASS","FAIL")</x:f>
        <x:v>PASS</x:v>
      </x:c>
    </x:row>
    <x:row r="1142">
      <x:c r="B1142" s="21" t="str">
        <x:v>C1136</x:v>
      </x:c>
      <x:c r="C1142" s="21" t="str">
        <x:v>stage build</x:v>
      </x:c>
      <x:c r="D1142" s="21" t="str">
        <x:v>targeted additions nonnegative row 196</x:v>
      </x:c>
      <x:c r="E1142" s="21" t="n">
        <x:f>IF(AND('Stage Build'!G196&gt;=0,'Stage Build'!H196&gt;=0),1,0)</x:f>
        <x:v>1</x:v>
      </x:c>
      <x:c r="F1142" s="21" t="n">
        <x:v>1</x:v>
      </x:c>
      <x:c r="G1142" s="23" t="str">
        <x:f>IF(E1142=F1142,"PASS","FAIL")</x:f>
        <x:v>PASS</x:v>
      </x:c>
    </x:row>
    <x:row r="1143">
      <x:c r="B1143" s="21" t="str">
        <x:v>C1137</x:v>
      </x:c>
      <x:c r="C1143" s="21" t="str">
        <x:v>stage build</x:v>
      </x:c>
      <x:c r="D1143" s="21" t="str">
        <x:v>pre-replication identity row 196</x:v>
      </x:c>
      <x:c r="E1143" s="21" t="n">
        <x:f>IF(ABS('Stage Build'!I196-SUM('Stage Build'!F196:H196))&lt;0.000001,1,0)</x:f>
        <x:v>1</x:v>
      </x:c>
      <x:c r="F1143" s="21" t="n">
        <x:v>1</x:v>
      </x:c>
      <x:c r="G1143" s="23" t="str">
        <x:f>IF(E1143=F1143,"PASS","FAIL")</x:f>
        <x:v>PASS</x:v>
      </x:c>
    </x:row>
    <x:row r="1144">
      <x:c r="B1144" s="21" t="str">
        <x:v>C1138</x:v>
      </x:c>
      <x:c r="C1144" s="21" t="str">
        <x:v>stage build</x:v>
      </x:c>
      <x:c r="D1144" s="21" t="str">
        <x:v>replication layer nonnegative row 196</x:v>
      </x:c>
      <x:c r="E1144" s="21" t="n">
        <x:f>IF('Stage Build'!J196&gt;=0,1,0)</x:f>
        <x:v>1</x:v>
      </x:c>
      <x:c r="F1144" s="21" t="n">
        <x:v>1</x:v>
      </x:c>
      <x:c r="G1144" s="23" t="str">
        <x:f>IF(E1144=F1144,"PASS","FAIL")</x:f>
        <x:v>PASS</x:v>
      </x:c>
    </x:row>
    <x:row r="1145">
      <x:c r="B1145" s="21" t="str">
        <x:v>C1139</x:v>
      </x:c>
      <x:c r="C1145" s="21" t="str">
        <x:v>stage build</x:v>
      </x:c>
      <x:c r="D1145" s="21" t="str">
        <x:v>designed ratio identity row 196</x:v>
      </x:c>
      <x:c r="E1145" s="21" t="n">
        <x:f>IF(ABS('Stage Build'!K196-'Stage Build'!I196-'Stage Build'!J196)&lt;0.000001,1,0)</x:f>
        <x:v>1</x:v>
      </x:c>
      <x:c r="F1145" s="21" t="n">
        <x:v>1</x:v>
      </x:c>
      <x:c r="G1145" s="23" t="str">
        <x:f>IF(E1145=F1145,"PASS","FAIL")</x:f>
        <x:v>PASS</x:v>
      </x:c>
    </x:row>
    <x:row r="1146">
      <x:c r="B1146" s="21" t="str">
        <x:v>C1140</x:v>
      </x:c>
      <x:c r="C1146" s="21" t="str">
        <x:v>stage build</x:v>
      </x:c>
      <x:c r="D1146" s="21" t="str">
        <x:v>M05 status identity row 196</x:v>
      </x:c>
      <x:c r="E1146" s="21" t="n">
        <x:f>IF('Stage Build'!L196=IF('Stage Build'!K196&gt;=Assumptions!$C$9,"ADEQUATE","GAP"),1,0)</x:f>
        <x:v>1</x:v>
      </x:c>
      <x:c r="F1146" s="21" t="n">
        <x:v>1</x:v>
      </x:c>
      <x:c r="G1146" s="23" t="str">
        <x:f>IF(E1146=F1146,"PASS","FAIL")</x:f>
        <x:v>PASS</x:v>
      </x:c>
    </x:row>
    <x:row r="1147">
      <x:c r="B1147" s="21" t="str">
        <x:v>C1141</x:v>
      </x:c>
      <x:c r="C1147" s="21" t="str">
        <x:v>stage build</x:v>
      </x:c>
      <x:c r="D1147" s="21" t="str">
        <x:v>baseline nonnegative row 197</x:v>
      </x:c>
      <x:c r="E1147" s="21" t="n">
        <x:f>IF('Stage Build'!F197&gt;=0,1,0)</x:f>
        <x:v>1</x:v>
      </x:c>
      <x:c r="F1147" s="21" t="n">
        <x:v>1</x:v>
      </x:c>
      <x:c r="G1147" s="23" t="str">
        <x:f>IF(E1147=F1147,"PASS","FAIL")</x:f>
        <x:v>PASS</x:v>
      </x:c>
    </x:row>
    <x:row r="1148">
      <x:c r="B1148" s="21" t="str">
        <x:v>C1142</x:v>
      </x:c>
      <x:c r="C1148" s="21" t="str">
        <x:v>stage build</x:v>
      </x:c>
      <x:c r="D1148" s="21" t="str">
        <x:v>targeted additions nonnegative row 197</x:v>
      </x:c>
      <x:c r="E1148" s="21" t="n">
        <x:f>IF(AND('Stage Build'!G197&gt;=0,'Stage Build'!H197&gt;=0),1,0)</x:f>
        <x:v>1</x:v>
      </x:c>
      <x:c r="F1148" s="21" t="n">
        <x:v>1</x:v>
      </x:c>
      <x:c r="G1148" s="23" t="str">
        <x:f>IF(E1148=F1148,"PASS","FAIL")</x:f>
        <x:v>PASS</x:v>
      </x:c>
    </x:row>
    <x:row r="1149">
      <x:c r="B1149" s="21" t="str">
        <x:v>C1143</x:v>
      </x:c>
      <x:c r="C1149" s="21" t="str">
        <x:v>stage build</x:v>
      </x:c>
      <x:c r="D1149" s="21" t="str">
        <x:v>pre-replication identity row 197</x:v>
      </x:c>
      <x:c r="E1149" s="21" t="n">
        <x:f>IF(ABS('Stage Build'!I197-SUM('Stage Build'!F197:H197))&lt;0.000001,1,0)</x:f>
        <x:v>1</x:v>
      </x:c>
      <x:c r="F1149" s="21" t="n">
        <x:v>1</x:v>
      </x:c>
      <x:c r="G1149" s="23" t="str">
        <x:f>IF(E1149=F1149,"PASS","FAIL")</x:f>
        <x:v>PASS</x:v>
      </x:c>
    </x:row>
    <x:row r="1150">
      <x:c r="B1150" s="21" t="str">
        <x:v>C1144</x:v>
      </x:c>
      <x:c r="C1150" s="21" t="str">
        <x:v>stage build</x:v>
      </x:c>
      <x:c r="D1150" s="21" t="str">
        <x:v>replication layer nonnegative row 197</x:v>
      </x:c>
      <x:c r="E1150" s="21" t="n">
        <x:f>IF('Stage Build'!J197&gt;=0,1,0)</x:f>
        <x:v>1</x:v>
      </x:c>
      <x:c r="F1150" s="21" t="n">
        <x:v>1</x:v>
      </x:c>
      <x:c r="G1150" s="23" t="str">
        <x:f>IF(E1150=F1150,"PASS","FAIL")</x:f>
        <x:v>PASS</x:v>
      </x:c>
    </x:row>
    <x:row r="1151">
      <x:c r="B1151" s="21" t="str">
        <x:v>C1145</x:v>
      </x:c>
      <x:c r="C1151" s="21" t="str">
        <x:v>stage build</x:v>
      </x:c>
      <x:c r="D1151" s="21" t="str">
        <x:v>designed ratio identity row 197</x:v>
      </x:c>
      <x:c r="E1151" s="21" t="n">
        <x:f>IF(ABS('Stage Build'!K197-'Stage Build'!I197-'Stage Build'!J197)&lt;0.000001,1,0)</x:f>
        <x:v>1</x:v>
      </x:c>
      <x:c r="F1151" s="21" t="n">
        <x:v>1</x:v>
      </x:c>
      <x:c r="G1151" s="23" t="str">
        <x:f>IF(E1151=F1151,"PASS","FAIL")</x:f>
        <x:v>PASS</x:v>
      </x:c>
    </x:row>
    <x:row r="1152">
      <x:c r="B1152" s="21" t="str">
        <x:v>C1146</x:v>
      </x:c>
      <x:c r="C1152" s="21" t="str">
        <x:v>stage build</x:v>
      </x:c>
      <x:c r="D1152" s="21" t="str">
        <x:v>M05 status identity row 197</x:v>
      </x:c>
      <x:c r="E1152" s="21" t="n">
        <x:f>IF('Stage Build'!L197=IF('Stage Build'!K197&gt;=Assumptions!$C$9,"ADEQUATE","GAP"),1,0)</x:f>
        <x:v>1</x:v>
      </x:c>
      <x:c r="F1152" s="21" t="n">
        <x:v>1</x:v>
      </x:c>
      <x:c r="G1152" s="23" t="str">
        <x:f>IF(E1152=F1152,"PASS","FAIL")</x:f>
        <x:v>PASS</x:v>
      </x:c>
    </x:row>
    <x:row r="1153">
      <x:c r="B1153" s="21" t="str">
        <x:v>C1147</x:v>
      </x:c>
      <x:c r="C1153" s="21" t="str">
        <x:v>stage build</x:v>
      </x:c>
      <x:c r="D1153" s="21" t="str">
        <x:v>baseline nonnegative row 198</x:v>
      </x:c>
      <x:c r="E1153" s="21" t="n">
        <x:f>IF('Stage Build'!F198&gt;=0,1,0)</x:f>
        <x:v>1</x:v>
      </x:c>
      <x:c r="F1153" s="21" t="n">
        <x:v>1</x:v>
      </x:c>
      <x:c r="G1153" s="23" t="str">
        <x:f>IF(E1153=F1153,"PASS","FAIL")</x:f>
        <x:v>PASS</x:v>
      </x:c>
    </x:row>
    <x:row r="1154">
      <x:c r="B1154" s="21" t="str">
        <x:v>C1148</x:v>
      </x:c>
      <x:c r="C1154" s="21" t="str">
        <x:v>stage build</x:v>
      </x:c>
      <x:c r="D1154" s="21" t="str">
        <x:v>targeted additions nonnegative row 198</x:v>
      </x:c>
      <x:c r="E1154" s="21" t="n">
        <x:f>IF(AND('Stage Build'!G198&gt;=0,'Stage Build'!H198&gt;=0),1,0)</x:f>
        <x:v>1</x:v>
      </x:c>
      <x:c r="F1154" s="21" t="n">
        <x:v>1</x:v>
      </x:c>
      <x:c r="G1154" s="23" t="str">
        <x:f>IF(E1154=F1154,"PASS","FAIL")</x:f>
        <x:v>PASS</x:v>
      </x:c>
    </x:row>
    <x:row r="1155">
      <x:c r="B1155" s="21" t="str">
        <x:v>C1149</x:v>
      </x:c>
      <x:c r="C1155" s="21" t="str">
        <x:v>stage build</x:v>
      </x:c>
      <x:c r="D1155" s="21" t="str">
        <x:v>pre-replication identity row 198</x:v>
      </x:c>
      <x:c r="E1155" s="21" t="n">
        <x:f>IF(ABS('Stage Build'!I198-SUM('Stage Build'!F198:H198))&lt;0.000001,1,0)</x:f>
        <x:v>1</x:v>
      </x:c>
      <x:c r="F1155" s="21" t="n">
        <x:v>1</x:v>
      </x:c>
      <x:c r="G1155" s="23" t="str">
        <x:f>IF(E1155=F1155,"PASS","FAIL")</x:f>
        <x:v>PASS</x:v>
      </x:c>
    </x:row>
    <x:row r="1156">
      <x:c r="B1156" s="21" t="str">
        <x:v>C1150</x:v>
      </x:c>
      <x:c r="C1156" s="21" t="str">
        <x:v>stage build</x:v>
      </x:c>
      <x:c r="D1156" s="21" t="str">
        <x:v>replication layer nonnegative row 198</x:v>
      </x:c>
      <x:c r="E1156" s="21" t="n">
        <x:f>IF('Stage Build'!J198&gt;=0,1,0)</x:f>
        <x:v>1</x:v>
      </x:c>
      <x:c r="F1156" s="21" t="n">
        <x:v>1</x:v>
      </x:c>
      <x:c r="G1156" s="23" t="str">
        <x:f>IF(E1156=F1156,"PASS","FAIL")</x:f>
        <x:v>PASS</x:v>
      </x:c>
    </x:row>
    <x:row r="1157">
      <x:c r="B1157" s="21" t="str">
        <x:v>C1151</x:v>
      </x:c>
      <x:c r="C1157" s="21" t="str">
        <x:v>stage build</x:v>
      </x:c>
      <x:c r="D1157" s="21" t="str">
        <x:v>designed ratio identity row 198</x:v>
      </x:c>
      <x:c r="E1157" s="21" t="n">
        <x:f>IF(ABS('Stage Build'!K198-'Stage Build'!I198-'Stage Build'!J198)&lt;0.000001,1,0)</x:f>
        <x:v>1</x:v>
      </x:c>
      <x:c r="F1157" s="21" t="n">
        <x:v>1</x:v>
      </x:c>
      <x:c r="G1157" s="23" t="str">
        <x:f>IF(E1157=F1157,"PASS","FAIL")</x:f>
        <x:v>PASS</x:v>
      </x:c>
    </x:row>
    <x:row r="1158">
      <x:c r="B1158" s="21" t="str">
        <x:v>C1152</x:v>
      </x:c>
      <x:c r="C1158" s="21" t="str">
        <x:v>stage build</x:v>
      </x:c>
      <x:c r="D1158" s="21" t="str">
        <x:v>M05 status identity row 198</x:v>
      </x:c>
      <x:c r="E1158" s="21" t="n">
        <x:f>IF('Stage Build'!L198=IF('Stage Build'!K198&gt;=Assumptions!$C$9,"ADEQUATE","GAP"),1,0)</x:f>
        <x:v>1</x:v>
      </x:c>
      <x:c r="F1158" s="21" t="n">
        <x:v>1</x:v>
      </x:c>
      <x:c r="G1158" s="23" t="str">
        <x:f>IF(E1158=F1158,"PASS","FAIL")</x:f>
        <x:v>PASS</x:v>
      </x:c>
    </x:row>
    <x:row r="1159">
      <x:c r="B1159" s="21" t="str">
        <x:v>C1153</x:v>
      </x:c>
      <x:c r="C1159" s="21" t="str">
        <x:v>stage build</x:v>
      </x:c>
      <x:c r="D1159" s="21" t="str">
        <x:v>baseline nonnegative row 199</x:v>
      </x:c>
      <x:c r="E1159" s="21" t="n">
        <x:f>IF('Stage Build'!F199&gt;=0,1,0)</x:f>
        <x:v>1</x:v>
      </x:c>
      <x:c r="F1159" s="21" t="n">
        <x:v>1</x:v>
      </x:c>
      <x:c r="G1159" s="23" t="str">
        <x:f>IF(E1159=F1159,"PASS","FAIL")</x:f>
        <x:v>PASS</x:v>
      </x:c>
    </x:row>
    <x:row r="1160">
      <x:c r="B1160" s="21" t="str">
        <x:v>C1154</x:v>
      </x:c>
      <x:c r="C1160" s="21" t="str">
        <x:v>stage build</x:v>
      </x:c>
      <x:c r="D1160" s="21" t="str">
        <x:v>targeted additions nonnegative row 199</x:v>
      </x:c>
      <x:c r="E1160" s="21" t="n">
        <x:f>IF(AND('Stage Build'!G199&gt;=0,'Stage Build'!H199&gt;=0),1,0)</x:f>
        <x:v>1</x:v>
      </x:c>
      <x:c r="F1160" s="21" t="n">
        <x:v>1</x:v>
      </x:c>
      <x:c r="G1160" s="23" t="str">
        <x:f>IF(E1160=F1160,"PASS","FAIL")</x:f>
        <x:v>PASS</x:v>
      </x:c>
    </x:row>
    <x:row r="1161">
      <x:c r="B1161" s="21" t="str">
        <x:v>C1155</x:v>
      </x:c>
      <x:c r="C1161" s="21" t="str">
        <x:v>stage build</x:v>
      </x:c>
      <x:c r="D1161" s="21" t="str">
        <x:v>pre-replication identity row 199</x:v>
      </x:c>
      <x:c r="E1161" s="21" t="n">
        <x:f>IF(ABS('Stage Build'!I199-SUM('Stage Build'!F199:H199))&lt;0.000001,1,0)</x:f>
        <x:v>1</x:v>
      </x:c>
      <x:c r="F1161" s="21" t="n">
        <x:v>1</x:v>
      </x:c>
      <x:c r="G1161" s="23" t="str">
        <x:f>IF(E1161=F1161,"PASS","FAIL")</x:f>
        <x:v>PASS</x:v>
      </x:c>
    </x:row>
    <x:row r="1162">
      <x:c r="B1162" s="21" t="str">
        <x:v>C1156</x:v>
      </x:c>
      <x:c r="C1162" s="21" t="str">
        <x:v>stage build</x:v>
      </x:c>
      <x:c r="D1162" s="21" t="str">
        <x:v>replication layer nonnegative row 199</x:v>
      </x:c>
      <x:c r="E1162" s="21" t="n">
        <x:f>IF('Stage Build'!J199&gt;=0,1,0)</x:f>
        <x:v>1</x:v>
      </x:c>
      <x:c r="F1162" s="21" t="n">
        <x:v>1</x:v>
      </x:c>
      <x:c r="G1162" s="23" t="str">
        <x:f>IF(E1162=F1162,"PASS","FAIL")</x:f>
        <x:v>PASS</x:v>
      </x:c>
    </x:row>
    <x:row r="1163">
      <x:c r="B1163" s="21" t="str">
        <x:v>C1157</x:v>
      </x:c>
      <x:c r="C1163" s="21" t="str">
        <x:v>stage build</x:v>
      </x:c>
      <x:c r="D1163" s="21" t="str">
        <x:v>designed ratio identity row 199</x:v>
      </x:c>
      <x:c r="E1163" s="21" t="n">
        <x:f>IF(ABS('Stage Build'!K199-'Stage Build'!I199-'Stage Build'!J199)&lt;0.000001,1,0)</x:f>
        <x:v>1</x:v>
      </x:c>
      <x:c r="F1163" s="21" t="n">
        <x:v>1</x:v>
      </x:c>
      <x:c r="G1163" s="23" t="str">
        <x:f>IF(E1163=F1163,"PASS","FAIL")</x:f>
        <x:v>PASS</x:v>
      </x:c>
    </x:row>
    <x:row r="1164">
      <x:c r="B1164" s="21" t="str">
        <x:v>C1158</x:v>
      </x:c>
      <x:c r="C1164" s="21" t="str">
        <x:v>stage build</x:v>
      </x:c>
      <x:c r="D1164" s="21" t="str">
        <x:v>M05 status identity row 199</x:v>
      </x:c>
      <x:c r="E1164" s="21" t="n">
        <x:f>IF('Stage Build'!L199=IF('Stage Build'!K199&gt;=Assumptions!$C$9,"ADEQUATE","GAP"),1,0)</x:f>
        <x:v>1</x:v>
      </x:c>
      <x:c r="F1164" s="21" t="n">
        <x:v>1</x:v>
      </x:c>
      <x:c r="G1164" s="23" t="str">
        <x:f>IF(E1164=F1164,"PASS","FAIL")</x:f>
        <x:v>PASS</x:v>
      </x:c>
    </x:row>
    <x:row r="1165">
      <x:c r="B1165" s="21" t="str">
        <x:v>C1159</x:v>
      </x:c>
      <x:c r="C1165" s="21" t="str">
        <x:v>stage build</x:v>
      </x:c>
      <x:c r="D1165" s="21" t="str">
        <x:v>baseline nonnegative row 200</x:v>
      </x:c>
      <x:c r="E1165" s="21" t="n">
        <x:f>IF('Stage Build'!F200&gt;=0,1,0)</x:f>
        <x:v>1</x:v>
      </x:c>
      <x:c r="F1165" s="21" t="n">
        <x:v>1</x:v>
      </x:c>
      <x:c r="G1165" s="23" t="str">
        <x:f>IF(E1165=F1165,"PASS","FAIL")</x:f>
        <x:v>PASS</x:v>
      </x:c>
    </x:row>
    <x:row r="1166">
      <x:c r="B1166" s="21" t="str">
        <x:v>C1160</x:v>
      </x:c>
      <x:c r="C1166" s="21" t="str">
        <x:v>stage build</x:v>
      </x:c>
      <x:c r="D1166" s="21" t="str">
        <x:v>targeted additions nonnegative row 200</x:v>
      </x:c>
      <x:c r="E1166" s="21" t="n">
        <x:f>IF(AND('Stage Build'!G200&gt;=0,'Stage Build'!H200&gt;=0),1,0)</x:f>
        <x:v>1</x:v>
      </x:c>
      <x:c r="F1166" s="21" t="n">
        <x:v>1</x:v>
      </x:c>
      <x:c r="G1166" s="23" t="str">
        <x:f>IF(E1166=F1166,"PASS","FAIL")</x:f>
        <x:v>PASS</x:v>
      </x:c>
    </x:row>
    <x:row r="1167">
      <x:c r="B1167" s="21" t="str">
        <x:v>C1161</x:v>
      </x:c>
      <x:c r="C1167" s="21" t="str">
        <x:v>stage build</x:v>
      </x:c>
      <x:c r="D1167" s="21" t="str">
        <x:v>pre-replication identity row 200</x:v>
      </x:c>
      <x:c r="E1167" s="21" t="n">
        <x:f>IF(ABS('Stage Build'!I200-SUM('Stage Build'!F200:H200))&lt;0.000001,1,0)</x:f>
        <x:v>1</x:v>
      </x:c>
      <x:c r="F1167" s="21" t="n">
        <x:v>1</x:v>
      </x:c>
      <x:c r="G1167" s="23" t="str">
        <x:f>IF(E1167=F1167,"PASS","FAIL")</x:f>
        <x:v>PASS</x:v>
      </x:c>
    </x:row>
    <x:row r="1168">
      <x:c r="B1168" s="21" t="str">
        <x:v>C1162</x:v>
      </x:c>
      <x:c r="C1168" s="21" t="str">
        <x:v>stage build</x:v>
      </x:c>
      <x:c r="D1168" s="21" t="str">
        <x:v>replication layer nonnegative row 200</x:v>
      </x:c>
      <x:c r="E1168" s="21" t="n">
        <x:f>IF('Stage Build'!J200&gt;=0,1,0)</x:f>
        <x:v>1</x:v>
      </x:c>
      <x:c r="F1168" s="21" t="n">
        <x:v>1</x:v>
      </x:c>
      <x:c r="G1168" s="23" t="str">
        <x:f>IF(E1168=F1168,"PASS","FAIL")</x:f>
        <x:v>PASS</x:v>
      </x:c>
    </x:row>
    <x:row r="1169">
      <x:c r="B1169" s="21" t="str">
        <x:v>C1163</x:v>
      </x:c>
      <x:c r="C1169" s="21" t="str">
        <x:v>stage build</x:v>
      </x:c>
      <x:c r="D1169" s="21" t="str">
        <x:v>designed ratio identity row 200</x:v>
      </x:c>
      <x:c r="E1169" s="21" t="n">
        <x:f>IF(ABS('Stage Build'!K200-'Stage Build'!I200-'Stage Build'!J200)&lt;0.000001,1,0)</x:f>
        <x:v>1</x:v>
      </x:c>
      <x:c r="F1169" s="21" t="n">
        <x:v>1</x:v>
      </x:c>
      <x:c r="G1169" s="23" t="str">
        <x:f>IF(E1169=F1169,"PASS","FAIL")</x:f>
        <x:v>PASS</x:v>
      </x:c>
    </x:row>
    <x:row r="1170">
      <x:c r="B1170" s="21" t="str">
        <x:v>C1164</x:v>
      </x:c>
      <x:c r="C1170" s="21" t="str">
        <x:v>stage build</x:v>
      </x:c>
      <x:c r="D1170" s="21" t="str">
        <x:v>M05 status identity row 200</x:v>
      </x:c>
      <x:c r="E1170" s="21" t="n">
        <x:f>IF('Stage Build'!L200=IF('Stage Build'!K200&gt;=Assumptions!$C$9,"ADEQUATE","GAP"),1,0)</x:f>
        <x:v>1</x:v>
      </x:c>
      <x:c r="F1170" s="21" t="n">
        <x:v>1</x:v>
      </x:c>
      <x:c r="G1170" s="23" t="str">
        <x:f>IF(E1170=F1170,"PASS","FAIL")</x:f>
        <x:v>PASS</x:v>
      </x:c>
    </x:row>
    <x:row r="1171">
      <x:c r="B1171" s="21" t="str">
        <x:v>C1165</x:v>
      </x:c>
      <x:c r="C1171" s="21" t="str">
        <x:v>stage build</x:v>
      </x:c>
      <x:c r="D1171" s="21" t="str">
        <x:v>baseline nonnegative row 201</x:v>
      </x:c>
      <x:c r="E1171" s="21" t="n">
        <x:f>IF('Stage Build'!F201&gt;=0,1,0)</x:f>
        <x:v>1</x:v>
      </x:c>
      <x:c r="F1171" s="21" t="n">
        <x:v>1</x:v>
      </x:c>
      <x:c r="G1171" s="23" t="str">
        <x:f>IF(E1171=F1171,"PASS","FAIL")</x:f>
        <x:v>PASS</x:v>
      </x:c>
    </x:row>
    <x:row r="1172">
      <x:c r="B1172" s="21" t="str">
        <x:v>C1166</x:v>
      </x:c>
      <x:c r="C1172" s="21" t="str">
        <x:v>stage build</x:v>
      </x:c>
      <x:c r="D1172" s="21" t="str">
        <x:v>targeted additions nonnegative row 201</x:v>
      </x:c>
      <x:c r="E1172" s="21" t="n">
        <x:f>IF(AND('Stage Build'!G201&gt;=0,'Stage Build'!H201&gt;=0),1,0)</x:f>
        <x:v>1</x:v>
      </x:c>
      <x:c r="F1172" s="21" t="n">
        <x:v>1</x:v>
      </x:c>
      <x:c r="G1172" s="23" t="str">
        <x:f>IF(E1172=F1172,"PASS","FAIL")</x:f>
        <x:v>PASS</x:v>
      </x:c>
    </x:row>
    <x:row r="1173">
      <x:c r="B1173" s="21" t="str">
        <x:v>C1167</x:v>
      </x:c>
      <x:c r="C1173" s="21" t="str">
        <x:v>stage build</x:v>
      </x:c>
      <x:c r="D1173" s="21" t="str">
        <x:v>pre-replication identity row 201</x:v>
      </x:c>
      <x:c r="E1173" s="21" t="n">
        <x:f>IF(ABS('Stage Build'!I201-SUM('Stage Build'!F201:H201))&lt;0.000001,1,0)</x:f>
        <x:v>1</x:v>
      </x:c>
      <x:c r="F1173" s="21" t="n">
        <x:v>1</x:v>
      </x:c>
      <x:c r="G1173" s="23" t="str">
        <x:f>IF(E1173=F1173,"PASS","FAIL")</x:f>
        <x:v>PASS</x:v>
      </x:c>
    </x:row>
    <x:row r="1174">
      <x:c r="B1174" s="21" t="str">
        <x:v>C1168</x:v>
      </x:c>
      <x:c r="C1174" s="21" t="str">
        <x:v>stage build</x:v>
      </x:c>
      <x:c r="D1174" s="21" t="str">
        <x:v>replication layer nonnegative row 201</x:v>
      </x:c>
      <x:c r="E1174" s="21" t="n">
        <x:f>IF('Stage Build'!J201&gt;=0,1,0)</x:f>
        <x:v>1</x:v>
      </x:c>
      <x:c r="F1174" s="21" t="n">
        <x:v>1</x:v>
      </x:c>
      <x:c r="G1174" s="23" t="str">
        <x:f>IF(E1174=F1174,"PASS","FAIL")</x:f>
        <x:v>PASS</x:v>
      </x:c>
    </x:row>
    <x:row r="1175">
      <x:c r="B1175" s="21" t="str">
        <x:v>C1169</x:v>
      </x:c>
      <x:c r="C1175" s="21" t="str">
        <x:v>stage build</x:v>
      </x:c>
      <x:c r="D1175" s="21" t="str">
        <x:v>designed ratio identity row 201</x:v>
      </x:c>
      <x:c r="E1175" s="21" t="n">
        <x:f>IF(ABS('Stage Build'!K201-'Stage Build'!I201-'Stage Build'!J201)&lt;0.000001,1,0)</x:f>
        <x:v>1</x:v>
      </x:c>
      <x:c r="F1175" s="21" t="n">
        <x:v>1</x:v>
      </x:c>
      <x:c r="G1175" s="23" t="str">
        <x:f>IF(E1175=F1175,"PASS","FAIL")</x:f>
        <x:v>PASS</x:v>
      </x:c>
    </x:row>
    <x:row r="1176">
      <x:c r="B1176" s="21" t="str">
        <x:v>C1170</x:v>
      </x:c>
      <x:c r="C1176" s="21" t="str">
        <x:v>stage build</x:v>
      </x:c>
      <x:c r="D1176" s="21" t="str">
        <x:v>M05 status identity row 201</x:v>
      </x:c>
      <x:c r="E1176" s="21" t="n">
        <x:f>IF('Stage Build'!L201=IF('Stage Build'!K201&gt;=Assumptions!$C$9,"ADEQUATE","GAP"),1,0)</x:f>
        <x:v>1</x:v>
      </x:c>
      <x:c r="F1176" s="21" t="n">
        <x:v>1</x:v>
      </x:c>
      <x:c r="G1176" s="23" t="str">
        <x:f>IF(E1176=F1176,"PASS","FAIL")</x:f>
        <x:v>PASS</x:v>
      </x:c>
    </x:row>
    <x:row r="1177">
      <x:c r="B1177" s="21" t="str">
        <x:v>C1171</x:v>
      </x:c>
      <x:c r="C1177" s="21" t="str">
        <x:v>stage build</x:v>
      </x:c>
      <x:c r="D1177" s="21" t="str">
        <x:v>baseline nonnegative row 202</x:v>
      </x:c>
      <x:c r="E1177" s="21" t="n">
        <x:f>IF('Stage Build'!F202&gt;=0,1,0)</x:f>
        <x:v>1</x:v>
      </x:c>
      <x:c r="F1177" s="21" t="n">
        <x:v>1</x:v>
      </x:c>
      <x:c r="G1177" s="23" t="str">
        <x:f>IF(E1177=F1177,"PASS","FAIL")</x:f>
        <x:v>PASS</x:v>
      </x:c>
    </x:row>
    <x:row r="1178">
      <x:c r="B1178" s="21" t="str">
        <x:v>C1172</x:v>
      </x:c>
      <x:c r="C1178" s="21" t="str">
        <x:v>stage build</x:v>
      </x:c>
      <x:c r="D1178" s="21" t="str">
        <x:v>targeted additions nonnegative row 202</x:v>
      </x:c>
      <x:c r="E1178" s="21" t="n">
        <x:f>IF(AND('Stage Build'!G202&gt;=0,'Stage Build'!H202&gt;=0),1,0)</x:f>
        <x:v>1</x:v>
      </x:c>
      <x:c r="F1178" s="21" t="n">
        <x:v>1</x:v>
      </x:c>
      <x:c r="G1178" s="23" t="str">
        <x:f>IF(E1178=F1178,"PASS","FAIL")</x:f>
        <x:v>PASS</x:v>
      </x:c>
    </x:row>
    <x:row r="1179">
      <x:c r="B1179" s="21" t="str">
        <x:v>C1173</x:v>
      </x:c>
      <x:c r="C1179" s="21" t="str">
        <x:v>stage build</x:v>
      </x:c>
      <x:c r="D1179" s="21" t="str">
        <x:v>pre-replication identity row 202</x:v>
      </x:c>
      <x:c r="E1179" s="21" t="n">
        <x:f>IF(ABS('Stage Build'!I202-SUM('Stage Build'!F202:H202))&lt;0.000001,1,0)</x:f>
        <x:v>1</x:v>
      </x:c>
      <x:c r="F1179" s="21" t="n">
        <x:v>1</x:v>
      </x:c>
      <x:c r="G1179" s="23" t="str">
        <x:f>IF(E1179=F1179,"PASS","FAIL")</x:f>
        <x:v>PASS</x:v>
      </x:c>
    </x:row>
    <x:row r="1180">
      <x:c r="B1180" s="21" t="str">
        <x:v>C1174</x:v>
      </x:c>
      <x:c r="C1180" s="21" t="str">
        <x:v>stage build</x:v>
      </x:c>
      <x:c r="D1180" s="21" t="str">
        <x:v>replication layer nonnegative row 202</x:v>
      </x:c>
      <x:c r="E1180" s="21" t="n">
        <x:f>IF('Stage Build'!J202&gt;=0,1,0)</x:f>
        <x:v>1</x:v>
      </x:c>
      <x:c r="F1180" s="21" t="n">
        <x:v>1</x:v>
      </x:c>
      <x:c r="G1180" s="23" t="str">
        <x:f>IF(E1180=F1180,"PASS","FAIL")</x:f>
        <x:v>PASS</x:v>
      </x:c>
    </x:row>
    <x:row r="1181">
      <x:c r="B1181" s="21" t="str">
        <x:v>C1175</x:v>
      </x:c>
      <x:c r="C1181" s="21" t="str">
        <x:v>stage build</x:v>
      </x:c>
      <x:c r="D1181" s="21" t="str">
        <x:v>designed ratio identity row 202</x:v>
      </x:c>
      <x:c r="E1181" s="21" t="n">
        <x:f>IF(ABS('Stage Build'!K202-'Stage Build'!I202-'Stage Build'!J202)&lt;0.000001,1,0)</x:f>
        <x:v>1</x:v>
      </x:c>
      <x:c r="F1181" s="21" t="n">
        <x:v>1</x:v>
      </x:c>
      <x:c r="G1181" s="23" t="str">
        <x:f>IF(E1181=F1181,"PASS","FAIL")</x:f>
        <x:v>PASS</x:v>
      </x:c>
    </x:row>
    <x:row r="1182">
      <x:c r="B1182" s="21" t="str">
        <x:v>C1176</x:v>
      </x:c>
      <x:c r="C1182" s="21" t="str">
        <x:v>stage build</x:v>
      </x:c>
      <x:c r="D1182" s="21" t="str">
        <x:v>M05 status identity row 202</x:v>
      </x:c>
      <x:c r="E1182" s="21" t="n">
        <x:f>IF('Stage Build'!L202=IF('Stage Build'!K202&gt;=Assumptions!$C$9,"ADEQUATE","GAP"),1,0)</x:f>
        <x:v>1</x:v>
      </x:c>
      <x:c r="F1182" s="21" t="n">
        <x:v>1</x:v>
      </x:c>
      <x:c r="G1182" s="23" t="str">
        <x:f>IF(E1182=F1182,"PASS","FAIL")</x:f>
        <x:v>PASS</x:v>
      </x:c>
    </x:row>
    <x:row r="1183">
      <x:c r="B1183" s="21" t="str">
        <x:v>C1177</x:v>
      </x:c>
      <x:c r="C1183" s="21" t="str">
        <x:v>stage build</x:v>
      </x:c>
      <x:c r="D1183" s="21" t="str">
        <x:v>baseline nonnegative row 203</x:v>
      </x:c>
      <x:c r="E1183" s="21" t="n">
        <x:f>IF('Stage Build'!F203&gt;=0,1,0)</x:f>
        <x:v>1</x:v>
      </x:c>
      <x:c r="F1183" s="21" t="n">
        <x:v>1</x:v>
      </x:c>
      <x:c r="G1183" s="23" t="str">
        <x:f>IF(E1183=F1183,"PASS","FAIL")</x:f>
        <x:v>PASS</x:v>
      </x:c>
    </x:row>
    <x:row r="1184">
      <x:c r="B1184" s="21" t="str">
        <x:v>C1178</x:v>
      </x:c>
      <x:c r="C1184" s="21" t="str">
        <x:v>stage build</x:v>
      </x:c>
      <x:c r="D1184" s="21" t="str">
        <x:v>targeted additions nonnegative row 203</x:v>
      </x:c>
      <x:c r="E1184" s="21" t="n">
        <x:f>IF(AND('Stage Build'!G203&gt;=0,'Stage Build'!H203&gt;=0),1,0)</x:f>
        <x:v>1</x:v>
      </x:c>
      <x:c r="F1184" s="21" t="n">
        <x:v>1</x:v>
      </x:c>
      <x:c r="G1184" s="23" t="str">
        <x:f>IF(E1184=F1184,"PASS","FAIL")</x:f>
        <x:v>PASS</x:v>
      </x:c>
    </x:row>
    <x:row r="1185">
      <x:c r="B1185" s="21" t="str">
        <x:v>C1179</x:v>
      </x:c>
      <x:c r="C1185" s="21" t="str">
        <x:v>stage build</x:v>
      </x:c>
      <x:c r="D1185" s="21" t="str">
        <x:v>pre-replication identity row 203</x:v>
      </x:c>
      <x:c r="E1185" s="21" t="n">
        <x:f>IF(ABS('Stage Build'!I203-SUM('Stage Build'!F203:H203))&lt;0.000001,1,0)</x:f>
        <x:v>1</x:v>
      </x:c>
      <x:c r="F1185" s="21" t="n">
        <x:v>1</x:v>
      </x:c>
      <x:c r="G1185" s="23" t="str">
        <x:f>IF(E1185=F1185,"PASS","FAIL")</x:f>
        <x:v>PASS</x:v>
      </x:c>
    </x:row>
    <x:row r="1186">
      <x:c r="B1186" s="21" t="str">
        <x:v>C1180</x:v>
      </x:c>
      <x:c r="C1186" s="21" t="str">
        <x:v>stage build</x:v>
      </x:c>
      <x:c r="D1186" s="21" t="str">
        <x:v>replication layer nonnegative row 203</x:v>
      </x:c>
      <x:c r="E1186" s="21" t="n">
        <x:f>IF('Stage Build'!J203&gt;=0,1,0)</x:f>
        <x:v>1</x:v>
      </x:c>
      <x:c r="F1186" s="21" t="n">
        <x:v>1</x:v>
      </x:c>
      <x:c r="G1186" s="23" t="str">
        <x:f>IF(E1186=F1186,"PASS","FAIL")</x:f>
        <x:v>PASS</x:v>
      </x:c>
    </x:row>
    <x:row r="1187">
      <x:c r="B1187" s="21" t="str">
        <x:v>C1181</x:v>
      </x:c>
      <x:c r="C1187" s="21" t="str">
        <x:v>stage build</x:v>
      </x:c>
      <x:c r="D1187" s="21" t="str">
        <x:v>designed ratio identity row 203</x:v>
      </x:c>
      <x:c r="E1187" s="21" t="n">
        <x:f>IF(ABS('Stage Build'!K203-'Stage Build'!I203-'Stage Build'!J203)&lt;0.000001,1,0)</x:f>
        <x:v>1</x:v>
      </x:c>
      <x:c r="F1187" s="21" t="n">
        <x:v>1</x:v>
      </x:c>
      <x:c r="G1187" s="23" t="str">
        <x:f>IF(E1187=F1187,"PASS","FAIL")</x:f>
        <x:v>PASS</x:v>
      </x:c>
    </x:row>
    <x:row r="1188">
      <x:c r="B1188" s="21" t="str">
        <x:v>C1182</x:v>
      </x:c>
      <x:c r="C1188" s="21" t="str">
        <x:v>stage build</x:v>
      </x:c>
      <x:c r="D1188" s="21" t="str">
        <x:v>M05 status identity row 203</x:v>
      </x:c>
      <x:c r="E1188" s="21" t="n">
        <x:f>IF('Stage Build'!L203=IF('Stage Build'!K203&gt;=Assumptions!$C$9,"ADEQUATE","GAP"),1,0)</x:f>
        <x:v>1</x:v>
      </x:c>
      <x:c r="F1188" s="21" t="n">
        <x:v>1</x:v>
      </x:c>
      <x:c r="G1188" s="23" t="str">
        <x:f>IF(E1188=F1188,"PASS","FAIL")</x:f>
        <x:v>PASS</x:v>
      </x:c>
    </x:row>
    <x:row r="1189">
      <x:c r="B1189" s="21" t="str">
        <x:v>C1183</x:v>
      </x:c>
      <x:c r="C1189" s="21" t="str">
        <x:v>stage build</x:v>
      </x:c>
      <x:c r="D1189" s="21" t="str">
        <x:v>baseline nonnegative row 204</x:v>
      </x:c>
      <x:c r="E1189" s="21" t="n">
        <x:f>IF('Stage Build'!F204&gt;=0,1,0)</x:f>
        <x:v>1</x:v>
      </x:c>
      <x:c r="F1189" s="21" t="n">
        <x:v>1</x:v>
      </x:c>
      <x:c r="G1189" s="23" t="str">
        <x:f>IF(E1189=F1189,"PASS","FAIL")</x:f>
        <x:v>PASS</x:v>
      </x:c>
    </x:row>
    <x:row r="1190">
      <x:c r="B1190" s="21" t="str">
        <x:v>C1184</x:v>
      </x:c>
      <x:c r="C1190" s="21" t="str">
        <x:v>stage build</x:v>
      </x:c>
      <x:c r="D1190" s="21" t="str">
        <x:v>targeted additions nonnegative row 204</x:v>
      </x:c>
      <x:c r="E1190" s="21" t="n">
        <x:f>IF(AND('Stage Build'!G204&gt;=0,'Stage Build'!H204&gt;=0),1,0)</x:f>
        <x:v>1</x:v>
      </x:c>
      <x:c r="F1190" s="21" t="n">
        <x:v>1</x:v>
      </x:c>
      <x:c r="G1190" s="23" t="str">
        <x:f>IF(E1190=F1190,"PASS","FAIL")</x:f>
        <x:v>PASS</x:v>
      </x:c>
    </x:row>
    <x:row r="1191">
      <x:c r="B1191" s="21" t="str">
        <x:v>C1185</x:v>
      </x:c>
      <x:c r="C1191" s="21" t="str">
        <x:v>stage build</x:v>
      </x:c>
      <x:c r="D1191" s="21" t="str">
        <x:v>pre-replication identity row 204</x:v>
      </x:c>
      <x:c r="E1191" s="21" t="n">
        <x:f>IF(ABS('Stage Build'!I204-SUM('Stage Build'!F204:H204))&lt;0.000001,1,0)</x:f>
        <x:v>1</x:v>
      </x:c>
      <x:c r="F1191" s="21" t="n">
        <x:v>1</x:v>
      </x:c>
      <x:c r="G1191" s="23" t="str">
        <x:f>IF(E1191=F1191,"PASS","FAIL")</x:f>
        <x:v>PASS</x:v>
      </x:c>
    </x:row>
    <x:row r="1192">
      <x:c r="B1192" s="21" t="str">
        <x:v>C1186</x:v>
      </x:c>
      <x:c r="C1192" s="21" t="str">
        <x:v>stage build</x:v>
      </x:c>
      <x:c r="D1192" s="21" t="str">
        <x:v>replication layer nonnegative row 204</x:v>
      </x:c>
      <x:c r="E1192" s="21" t="n">
        <x:f>IF('Stage Build'!J204&gt;=0,1,0)</x:f>
        <x:v>1</x:v>
      </x:c>
      <x:c r="F1192" s="21" t="n">
        <x:v>1</x:v>
      </x:c>
      <x:c r="G1192" s="23" t="str">
        <x:f>IF(E1192=F1192,"PASS","FAIL")</x:f>
        <x:v>PASS</x:v>
      </x:c>
    </x:row>
    <x:row r="1193">
      <x:c r="B1193" s="21" t="str">
        <x:v>C1187</x:v>
      </x:c>
      <x:c r="C1193" s="21" t="str">
        <x:v>stage build</x:v>
      </x:c>
      <x:c r="D1193" s="21" t="str">
        <x:v>designed ratio identity row 204</x:v>
      </x:c>
      <x:c r="E1193" s="21" t="n">
        <x:f>IF(ABS('Stage Build'!K204-'Stage Build'!I204-'Stage Build'!J204)&lt;0.000001,1,0)</x:f>
        <x:v>1</x:v>
      </x:c>
      <x:c r="F1193" s="21" t="n">
        <x:v>1</x:v>
      </x:c>
      <x:c r="G1193" s="23" t="str">
        <x:f>IF(E1193=F1193,"PASS","FAIL")</x:f>
        <x:v>PASS</x:v>
      </x:c>
    </x:row>
    <x:row r="1194">
      <x:c r="B1194" s="21" t="str">
        <x:v>C1188</x:v>
      </x:c>
      <x:c r="C1194" s="21" t="str">
        <x:v>stage build</x:v>
      </x:c>
      <x:c r="D1194" s="21" t="str">
        <x:v>M05 status identity row 204</x:v>
      </x:c>
      <x:c r="E1194" s="21" t="n">
        <x:f>IF('Stage Build'!L204=IF('Stage Build'!K204&gt;=Assumptions!$C$9,"ADEQUATE","GAP"),1,0)</x:f>
        <x:v>1</x:v>
      </x:c>
      <x:c r="F1194" s="21" t="n">
        <x:v>1</x:v>
      </x:c>
      <x:c r="G1194" s="23" t="str">
        <x:f>IF(E1194=F1194,"PASS","FAIL")</x:f>
        <x:v>PASS</x:v>
      </x:c>
    </x:row>
    <x:row r="1195">
      <x:c r="B1195" s="21" t="str">
        <x:v>C1189</x:v>
      </x:c>
      <x:c r="C1195" s="21" t="str">
        <x:v>stage build</x:v>
      </x:c>
      <x:c r="D1195" s="21" t="str">
        <x:v>baseline nonnegative row 205</x:v>
      </x:c>
      <x:c r="E1195" s="21" t="n">
        <x:f>IF('Stage Build'!F205&gt;=0,1,0)</x:f>
        <x:v>1</x:v>
      </x:c>
      <x:c r="F1195" s="21" t="n">
        <x:v>1</x:v>
      </x:c>
      <x:c r="G1195" s="23" t="str">
        <x:f>IF(E1195=F1195,"PASS","FAIL")</x:f>
        <x:v>PASS</x:v>
      </x:c>
    </x:row>
    <x:row r="1196">
      <x:c r="B1196" s="21" t="str">
        <x:v>C1190</x:v>
      </x:c>
      <x:c r="C1196" s="21" t="str">
        <x:v>stage build</x:v>
      </x:c>
      <x:c r="D1196" s="21" t="str">
        <x:v>targeted additions nonnegative row 205</x:v>
      </x:c>
      <x:c r="E1196" s="21" t="n">
        <x:f>IF(AND('Stage Build'!G205&gt;=0,'Stage Build'!H205&gt;=0),1,0)</x:f>
        <x:v>1</x:v>
      </x:c>
      <x:c r="F1196" s="21" t="n">
        <x:v>1</x:v>
      </x:c>
      <x:c r="G1196" s="23" t="str">
        <x:f>IF(E1196=F1196,"PASS","FAIL")</x:f>
        <x:v>PASS</x:v>
      </x:c>
    </x:row>
    <x:row r="1197">
      <x:c r="B1197" s="21" t="str">
        <x:v>C1191</x:v>
      </x:c>
      <x:c r="C1197" s="21" t="str">
        <x:v>stage build</x:v>
      </x:c>
      <x:c r="D1197" s="21" t="str">
        <x:v>pre-replication identity row 205</x:v>
      </x:c>
      <x:c r="E1197" s="21" t="n">
        <x:f>IF(ABS('Stage Build'!I205-SUM('Stage Build'!F205:H205))&lt;0.000001,1,0)</x:f>
        <x:v>1</x:v>
      </x:c>
      <x:c r="F1197" s="21" t="n">
        <x:v>1</x:v>
      </x:c>
      <x:c r="G1197" s="23" t="str">
        <x:f>IF(E1197=F1197,"PASS","FAIL")</x:f>
        <x:v>PASS</x:v>
      </x:c>
    </x:row>
    <x:row r="1198">
      <x:c r="B1198" s="21" t="str">
        <x:v>C1192</x:v>
      </x:c>
      <x:c r="C1198" s="21" t="str">
        <x:v>stage build</x:v>
      </x:c>
      <x:c r="D1198" s="21" t="str">
        <x:v>replication layer nonnegative row 205</x:v>
      </x:c>
      <x:c r="E1198" s="21" t="n">
        <x:f>IF('Stage Build'!J205&gt;=0,1,0)</x:f>
        <x:v>1</x:v>
      </x:c>
      <x:c r="F1198" s="21" t="n">
        <x:v>1</x:v>
      </x:c>
      <x:c r="G1198" s="23" t="str">
        <x:f>IF(E1198=F1198,"PASS","FAIL")</x:f>
        <x:v>PASS</x:v>
      </x:c>
    </x:row>
    <x:row r="1199">
      <x:c r="B1199" s="21" t="str">
        <x:v>C1193</x:v>
      </x:c>
      <x:c r="C1199" s="21" t="str">
        <x:v>stage build</x:v>
      </x:c>
      <x:c r="D1199" s="21" t="str">
        <x:v>designed ratio identity row 205</x:v>
      </x:c>
      <x:c r="E1199" s="21" t="n">
        <x:f>IF(ABS('Stage Build'!K205-'Stage Build'!I205-'Stage Build'!J205)&lt;0.000001,1,0)</x:f>
        <x:v>1</x:v>
      </x:c>
      <x:c r="F1199" s="21" t="n">
        <x:v>1</x:v>
      </x:c>
      <x:c r="G1199" s="23" t="str">
        <x:f>IF(E1199=F1199,"PASS","FAIL")</x:f>
        <x:v>PASS</x:v>
      </x:c>
    </x:row>
    <x:row r="1200">
      <x:c r="B1200" s="21" t="str">
        <x:v>C1194</x:v>
      </x:c>
      <x:c r="C1200" s="21" t="str">
        <x:v>stage build</x:v>
      </x:c>
      <x:c r="D1200" s="21" t="str">
        <x:v>M05 status identity row 205</x:v>
      </x:c>
      <x:c r="E1200" s="21" t="n">
        <x:f>IF('Stage Build'!L205=IF('Stage Build'!K205&gt;=Assumptions!$C$9,"ADEQUATE","GAP"),1,0)</x:f>
        <x:v>1</x:v>
      </x:c>
      <x:c r="F1200" s="21" t="n">
        <x:v>1</x:v>
      </x:c>
      <x:c r="G1200" s="23" t="str">
        <x:f>IF(E1200=F1200,"PASS","FAIL")</x:f>
        <x:v>PASS</x:v>
      </x:c>
    </x:row>
    <x:row r="1201">
      <x:c r="B1201" s="21" t="str">
        <x:v>C1195</x:v>
      </x:c>
      <x:c r="C1201" s="21" t="str">
        <x:v>stage build</x:v>
      </x:c>
      <x:c r="D1201" s="21" t="str">
        <x:v>baseline nonnegative row 206</x:v>
      </x:c>
      <x:c r="E1201" s="21" t="n">
        <x:f>IF('Stage Build'!F206&gt;=0,1,0)</x:f>
        <x:v>1</x:v>
      </x:c>
      <x:c r="F1201" s="21" t="n">
        <x:v>1</x:v>
      </x:c>
      <x:c r="G1201" s="23" t="str">
        <x:f>IF(E1201=F1201,"PASS","FAIL")</x:f>
        <x:v>PASS</x:v>
      </x:c>
    </x:row>
    <x:row r="1202">
      <x:c r="B1202" s="21" t="str">
        <x:v>C1196</x:v>
      </x:c>
      <x:c r="C1202" s="21" t="str">
        <x:v>stage build</x:v>
      </x:c>
      <x:c r="D1202" s="21" t="str">
        <x:v>targeted additions nonnegative row 206</x:v>
      </x:c>
      <x:c r="E1202" s="21" t="n">
        <x:f>IF(AND('Stage Build'!G206&gt;=0,'Stage Build'!H206&gt;=0),1,0)</x:f>
        <x:v>1</x:v>
      </x:c>
      <x:c r="F1202" s="21" t="n">
        <x:v>1</x:v>
      </x:c>
      <x:c r="G1202" s="23" t="str">
        <x:f>IF(E1202=F1202,"PASS","FAIL")</x:f>
        <x:v>PASS</x:v>
      </x:c>
    </x:row>
    <x:row r="1203">
      <x:c r="B1203" s="21" t="str">
        <x:v>C1197</x:v>
      </x:c>
      <x:c r="C1203" s="21" t="str">
        <x:v>stage build</x:v>
      </x:c>
      <x:c r="D1203" s="21" t="str">
        <x:v>pre-replication identity row 206</x:v>
      </x:c>
      <x:c r="E1203" s="21" t="n">
        <x:f>IF(ABS('Stage Build'!I206-SUM('Stage Build'!F206:H206))&lt;0.000001,1,0)</x:f>
        <x:v>1</x:v>
      </x:c>
      <x:c r="F1203" s="21" t="n">
        <x:v>1</x:v>
      </x:c>
      <x:c r="G1203" s="23" t="str">
        <x:f>IF(E1203=F1203,"PASS","FAIL")</x:f>
        <x:v>PASS</x:v>
      </x:c>
    </x:row>
    <x:row r="1204">
      <x:c r="B1204" s="21" t="str">
        <x:v>C1198</x:v>
      </x:c>
      <x:c r="C1204" s="21" t="str">
        <x:v>stage build</x:v>
      </x:c>
      <x:c r="D1204" s="21" t="str">
        <x:v>replication layer nonnegative row 206</x:v>
      </x:c>
      <x:c r="E1204" s="21" t="n">
        <x:f>IF('Stage Build'!J206&gt;=0,1,0)</x:f>
        <x:v>1</x:v>
      </x:c>
      <x:c r="F1204" s="21" t="n">
        <x:v>1</x:v>
      </x:c>
      <x:c r="G1204" s="23" t="str">
        <x:f>IF(E1204=F1204,"PASS","FAIL")</x:f>
        <x:v>PASS</x:v>
      </x:c>
    </x:row>
    <x:row r="1205">
      <x:c r="B1205" s="21" t="str">
        <x:v>C1199</x:v>
      </x:c>
      <x:c r="C1205" s="21" t="str">
        <x:v>stage build</x:v>
      </x:c>
      <x:c r="D1205" s="21" t="str">
        <x:v>designed ratio identity row 206</x:v>
      </x:c>
      <x:c r="E1205" s="21" t="n">
        <x:f>IF(ABS('Stage Build'!K206-'Stage Build'!I206-'Stage Build'!J206)&lt;0.000001,1,0)</x:f>
        <x:v>1</x:v>
      </x:c>
      <x:c r="F1205" s="21" t="n">
        <x:v>1</x:v>
      </x:c>
      <x:c r="G1205" s="23" t="str">
        <x:f>IF(E1205=F1205,"PASS","FAIL")</x:f>
        <x:v>PASS</x:v>
      </x:c>
    </x:row>
    <x:row r="1206">
      <x:c r="B1206" s="21" t="str">
        <x:v>C1200</x:v>
      </x:c>
      <x:c r="C1206" s="21" t="str">
        <x:v>stage build</x:v>
      </x:c>
      <x:c r="D1206" s="21" t="str">
        <x:v>M05 status identity row 206</x:v>
      </x:c>
      <x:c r="E1206" s="21" t="n">
        <x:f>IF('Stage Build'!L206=IF('Stage Build'!K206&gt;=Assumptions!$C$9,"ADEQUATE","GAP"),1,0)</x:f>
        <x:v>1</x:v>
      </x:c>
      <x:c r="F1206" s="21" t="n">
        <x:v>1</x:v>
      </x:c>
      <x:c r="G1206" s="23" t="str">
        <x:f>IF(E1206=F1206,"PASS","FAIL")</x:f>
        <x:v>PASS</x:v>
      </x:c>
    </x:row>
    <x:row r="1207">
      <x:c r="B1207" s="21" t="str">
        <x:v>C1201</x:v>
      </x:c>
      <x:c r="C1207" s="21" t="str">
        <x:v>stage build</x:v>
      </x:c>
      <x:c r="D1207" s="21" t="str">
        <x:v>baseline nonnegative row 207</x:v>
      </x:c>
      <x:c r="E1207" s="21" t="n">
        <x:f>IF('Stage Build'!F207&gt;=0,1,0)</x:f>
        <x:v>1</x:v>
      </x:c>
      <x:c r="F1207" s="21" t="n">
        <x:v>1</x:v>
      </x:c>
      <x:c r="G1207" s="23" t="str">
        <x:f>IF(E1207=F1207,"PASS","FAIL")</x:f>
        <x:v>PASS</x:v>
      </x:c>
    </x:row>
    <x:row r="1208">
      <x:c r="B1208" s="21" t="str">
        <x:v>C1202</x:v>
      </x:c>
      <x:c r="C1208" s="21" t="str">
        <x:v>stage build</x:v>
      </x:c>
      <x:c r="D1208" s="21" t="str">
        <x:v>targeted additions nonnegative row 207</x:v>
      </x:c>
      <x:c r="E1208" s="21" t="n">
        <x:f>IF(AND('Stage Build'!G207&gt;=0,'Stage Build'!H207&gt;=0),1,0)</x:f>
        <x:v>1</x:v>
      </x:c>
      <x:c r="F1208" s="21" t="n">
        <x:v>1</x:v>
      </x:c>
      <x:c r="G1208" s="23" t="str">
        <x:f>IF(E1208=F1208,"PASS","FAIL")</x:f>
        <x:v>PASS</x:v>
      </x:c>
    </x:row>
    <x:row r="1209">
      <x:c r="B1209" s="21" t="str">
        <x:v>C1203</x:v>
      </x:c>
      <x:c r="C1209" s="21" t="str">
        <x:v>stage build</x:v>
      </x:c>
      <x:c r="D1209" s="21" t="str">
        <x:v>pre-replication identity row 207</x:v>
      </x:c>
      <x:c r="E1209" s="21" t="n">
        <x:f>IF(ABS('Stage Build'!I207-SUM('Stage Build'!F207:H207))&lt;0.000001,1,0)</x:f>
        <x:v>1</x:v>
      </x:c>
      <x:c r="F1209" s="21" t="n">
        <x:v>1</x:v>
      </x:c>
      <x:c r="G1209" s="23" t="str">
        <x:f>IF(E1209=F1209,"PASS","FAIL")</x:f>
        <x:v>PASS</x:v>
      </x:c>
    </x:row>
    <x:row r="1210">
      <x:c r="B1210" s="21" t="str">
        <x:v>C1204</x:v>
      </x:c>
      <x:c r="C1210" s="21" t="str">
        <x:v>stage build</x:v>
      </x:c>
      <x:c r="D1210" s="21" t="str">
        <x:v>replication layer nonnegative row 207</x:v>
      </x:c>
      <x:c r="E1210" s="21" t="n">
        <x:f>IF('Stage Build'!J207&gt;=0,1,0)</x:f>
        <x:v>1</x:v>
      </x:c>
      <x:c r="F1210" s="21" t="n">
        <x:v>1</x:v>
      </x:c>
      <x:c r="G1210" s="23" t="str">
        <x:f>IF(E1210=F1210,"PASS","FAIL")</x:f>
        <x:v>PASS</x:v>
      </x:c>
    </x:row>
    <x:row r="1211">
      <x:c r="B1211" s="21" t="str">
        <x:v>C1205</x:v>
      </x:c>
      <x:c r="C1211" s="21" t="str">
        <x:v>stage build</x:v>
      </x:c>
      <x:c r="D1211" s="21" t="str">
        <x:v>designed ratio identity row 207</x:v>
      </x:c>
      <x:c r="E1211" s="21" t="n">
        <x:f>IF(ABS('Stage Build'!K207-'Stage Build'!I207-'Stage Build'!J207)&lt;0.000001,1,0)</x:f>
        <x:v>1</x:v>
      </x:c>
      <x:c r="F1211" s="21" t="n">
        <x:v>1</x:v>
      </x:c>
      <x:c r="G1211" s="23" t="str">
        <x:f>IF(E1211=F1211,"PASS","FAIL")</x:f>
        <x:v>PASS</x:v>
      </x:c>
    </x:row>
    <x:row r="1212">
      <x:c r="B1212" s="21" t="str">
        <x:v>C1206</x:v>
      </x:c>
      <x:c r="C1212" s="21" t="str">
        <x:v>stage build</x:v>
      </x:c>
      <x:c r="D1212" s="21" t="str">
        <x:v>M05 status identity row 207</x:v>
      </x:c>
      <x:c r="E1212" s="21" t="n">
        <x:f>IF('Stage Build'!L207=IF('Stage Build'!K207&gt;=Assumptions!$C$9,"ADEQUATE","GAP"),1,0)</x:f>
        <x:v>1</x:v>
      </x:c>
      <x:c r="F1212" s="21" t="n">
        <x:v>1</x:v>
      </x:c>
      <x:c r="G1212" s="23" t="str">
        <x:f>IF(E1212=F1212,"PASS","FAIL")</x:f>
        <x:v>PASS</x:v>
      </x:c>
    </x:row>
    <x:row r="1213">
      <x:c r="B1213" s="21" t="str">
        <x:v>C1207</x:v>
      </x:c>
      <x:c r="C1213" s="21" t="str">
        <x:v>stage build</x:v>
      </x:c>
      <x:c r="D1213" s="21" t="str">
        <x:v>baseline nonnegative row 208</x:v>
      </x:c>
      <x:c r="E1213" s="21" t="n">
        <x:f>IF('Stage Build'!F208&gt;=0,1,0)</x:f>
        <x:v>1</x:v>
      </x:c>
      <x:c r="F1213" s="21" t="n">
        <x:v>1</x:v>
      </x:c>
      <x:c r="G1213" s="23" t="str">
        <x:f>IF(E1213=F1213,"PASS","FAIL")</x:f>
        <x:v>PASS</x:v>
      </x:c>
    </x:row>
    <x:row r="1214">
      <x:c r="B1214" s="21" t="str">
        <x:v>C1208</x:v>
      </x:c>
      <x:c r="C1214" s="21" t="str">
        <x:v>stage build</x:v>
      </x:c>
      <x:c r="D1214" s="21" t="str">
        <x:v>targeted additions nonnegative row 208</x:v>
      </x:c>
      <x:c r="E1214" s="21" t="n">
        <x:f>IF(AND('Stage Build'!G208&gt;=0,'Stage Build'!H208&gt;=0),1,0)</x:f>
        <x:v>1</x:v>
      </x:c>
      <x:c r="F1214" s="21" t="n">
        <x:v>1</x:v>
      </x:c>
      <x:c r="G1214" s="23" t="str">
        <x:f>IF(E1214=F1214,"PASS","FAIL")</x:f>
        <x:v>PASS</x:v>
      </x:c>
    </x:row>
    <x:row r="1215">
      <x:c r="B1215" s="21" t="str">
        <x:v>C1209</x:v>
      </x:c>
      <x:c r="C1215" s="21" t="str">
        <x:v>stage build</x:v>
      </x:c>
      <x:c r="D1215" s="21" t="str">
        <x:v>pre-replication identity row 208</x:v>
      </x:c>
      <x:c r="E1215" s="21" t="n">
        <x:f>IF(ABS('Stage Build'!I208-SUM('Stage Build'!F208:H208))&lt;0.000001,1,0)</x:f>
        <x:v>1</x:v>
      </x:c>
      <x:c r="F1215" s="21" t="n">
        <x:v>1</x:v>
      </x:c>
      <x:c r="G1215" s="23" t="str">
        <x:f>IF(E1215=F1215,"PASS","FAIL")</x:f>
        <x:v>PASS</x:v>
      </x:c>
    </x:row>
    <x:row r="1216">
      <x:c r="B1216" s="21" t="str">
        <x:v>C1210</x:v>
      </x:c>
      <x:c r="C1216" s="21" t="str">
        <x:v>stage build</x:v>
      </x:c>
      <x:c r="D1216" s="21" t="str">
        <x:v>replication layer nonnegative row 208</x:v>
      </x:c>
      <x:c r="E1216" s="21" t="n">
        <x:f>IF('Stage Build'!J208&gt;=0,1,0)</x:f>
        <x:v>1</x:v>
      </x:c>
      <x:c r="F1216" s="21" t="n">
        <x:v>1</x:v>
      </x:c>
      <x:c r="G1216" s="23" t="str">
        <x:f>IF(E1216=F1216,"PASS","FAIL")</x:f>
        <x:v>PASS</x:v>
      </x:c>
    </x:row>
    <x:row r="1217">
      <x:c r="B1217" s="21" t="str">
        <x:v>C1211</x:v>
      </x:c>
      <x:c r="C1217" s="21" t="str">
        <x:v>stage build</x:v>
      </x:c>
      <x:c r="D1217" s="21" t="str">
        <x:v>designed ratio identity row 208</x:v>
      </x:c>
      <x:c r="E1217" s="21" t="n">
        <x:f>IF(ABS('Stage Build'!K208-'Stage Build'!I208-'Stage Build'!J208)&lt;0.000001,1,0)</x:f>
        <x:v>1</x:v>
      </x:c>
      <x:c r="F1217" s="21" t="n">
        <x:v>1</x:v>
      </x:c>
      <x:c r="G1217" s="23" t="str">
        <x:f>IF(E1217=F1217,"PASS","FAIL")</x:f>
        <x:v>PASS</x:v>
      </x:c>
    </x:row>
    <x:row r="1218">
      <x:c r="B1218" s="21" t="str">
        <x:v>C1212</x:v>
      </x:c>
      <x:c r="C1218" s="21" t="str">
        <x:v>stage build</x:v>
      </x:c>
      <x:c r="D1218" s="21" t="str">
        <x:v>M05 status identity row 208</x:v>
      </x:c>
      <x:c r="E1218" s="21" t="n">
        <x:f>IF('Stage Build'!L208=IF('Stage Build'!K208&gt;=Assumptions!$C$9,"ADEQUATE","GAP"),1,0)</x:f>
        <x:v>1</x:v>
      </x:c>
      <x:c r="F1218" s="21" t="n">
        <x:v>1</x:v>
      </x:c>
      <x:c r="G1218" s="23" t="str">
        <x:f>IF(E1218=F1218,"PASS","FAIL")</x:f>
        <x:v>PASS</x:v>
      </x:c>
    </x:row>
    <x:row r="1219">
      <x:c r="B1219" s="21" t="str">
        <x:v>C1213</x:v>
      </x:c>
      <x:c r="C1219" s="21" t="str">
        <x:v>stage build</x:v>
      </x:c>
      <x:c r="D1219" s="21" t="str">
        <x:v>baseline nonnegative row 209</x:v>
      </x:c>
      <x:c r="E1219" s="21" t="n">
        <x:f>IF('Stage Build'!F209&gt;=0,1,0)</x:f>
        <x:v>1</x:v>
      </x:c>
      <x:c r="F1219" s="21" t="n">
        <x:v>1</x:v>
      </x:c>
      <x:c r="G1219" s="23" t="str">
        <x:f>IF(E1219=F1219,"PASS","FAIL")</x:f>
        <x:v>PASS</x:v>
      </x:c>
    </x:row>
    <x:row r="1220">
      <x:c r="B1220" s="21" t="str">
        <x:v>C1214</x:v>
      </x:c>
      <x:c r="C1220" s="21" t="str">
        <x:v>stage build</x:v>
      </x:c>
      <x:c r="D1220" s="21" t="str">
        <x:v>targeted additions nonnegative row 209</x:v>
      </x:c>
      <x:c r="E1220" s="21" t="n">
        <x:f>IF(AND('Stage Build'!G209&gt;=0,'Stage Build'!H209&gt;=0),1,0)</x:f>
        <x:v>1</x:v>
      </x:c>
      <x:c r="F1220" s="21" t="n">
        <x:v>1</x:v>
      </x:c>
      <x:c r="G1220" s="23" t="str">
        <x:f>IF(E1220=F1220,"PASS","FAIL")</x:f>
        <x:v>PASS</x:v>
      </x:c>
    </x:row>
    <x:row r="1221">
      <x:c r="B1221" s="21" t="str">
        <x:v>C1215</x:v>
      </x:c>
      <x:c r="C1221" s="21" t="str">
        <x:v>stage build</x:v>
      </x:c>
      <x:c r="D1221" s="21" t="str">
        <x:v>pre-replication identity row 209</x:v>
      </x:c>
      <x:c r="E1221" s="21" t="n">
        <x:f>IF(ABS('Stage Build'!I209-SUM('Stage Build'!F209:H209))&lt;0.000001,1,0)</x:f>
        <x:v>1</x:v>
      </x:c>
      <x:c r="F1221" s="21" t="n">
        <x:v>1</x:v>
      </x:c>
      <x:c r="G1221" s="23" t="str">
        <x:f>IF(E1221=F1221,"PASS","FAIL")</x:f>
        <x:v>PASS</x:v>
      </x:c>
    </x:row>
    <x:row r="1222">
      <x:c r="B1222" s="21" t="str">
        <x:v>C1216</x:v>
      </x:c>
      <x:c r="C1222" s="21" t="str">
        <x:v>stage build</x:v>
      </x:c>
      <x:c r="D1222" s="21" t="str">
        <x:v>replication layer nonnegative row 209</x:v>
      </x:c>
      <x:c r="E1222" s="21" t="n">
        <x:f>IF('Stage Build'!J209&gt;=0,1,0)</x:f>
        <x:v>1</x:v>
      </x:c>
      <x:c r="F1222" s="21" t="n">
        <x:v>1</x:v>
      </x:c>
      <x:c r="G1222" s="23" t="str">
        <x:f>IF(E1222=F1222,"PASS","FAIL")</x:f>
        <x:v>PASS</x:v>
      </x:c>
    </x:row>
    <x:row r="1223">
      <x:c r="B1223" s="21" t="str">
        <x:v>C1217</x:v>
      </x:c>
      <x:c r="C1223" s="21" t="str">
        <x:v>stage build</x:v>
      </x:c>
      <x:c r="D1223" s="21" t="str">
        <x:v>designed ratio identity row 209</x:v>
      </x:c>
      <x:c r="E1223" s="21" t="n">
        <x:f>IF(ABS('Stage Build'!K209-'Stage Build'!I209-'Stage Build'!J209)&lt;0.000001,1,0)</x:f>
        <x:v>1</x:v>
      </x:c>
      <x:c r="F1223" s="21" t="n">
        <x:v>1</x:v>
      </x:c>
      <x:c r="G1223" s="23" t="str">
        <x:f>IF(E1223=F1223,"PASS","FAIL")</x:f>
        <x:v>PASS</x:v>
      </x:c>
    </x:row>
    <x:row r="1224">
      <x:c r="B1224" s="21" t="str">
        <x:v>C1218</x:v>
      </x:c>
      <x:c r="C1224" s="21" t="str">
        <x:v>stage build</x:v>
      </x:c>
      <x:c r="D1224" s="21" t="str">
        <x:v>M05 status identity row 209</x:v>
      </x:c>
      <x:c r="E1224" s="21" t="n">
        <x:f>IF('Stage Build'!L209=IF('Stage Build'!K209&gt;=Assumptions!$C$9,"ADEQUATE","GAP"),1,0)</x:f>
        <x:v>1</x:v>
      </x:c>
      <x:c r="F1224" s="21" t="n">
        <x:v>1</x:v>
      </x:c>
      <x:c r="G1224" s="23" t="str">
        <x:f>IF(E1224=F1224,"PASS","FAIL")</x:f>
        <x:v>PASS</x:v>
      </x:c>
    </x:row>
    <x:row r="1225">
      <x:c r="B1225" s="21" t="str">
        <x:v>C1219</x:v>
      </x:c>
      <x:c r="C1225" s="21" t="str">
        <x:v>stage build</x:v>
      </x:c>
      <x:c r="D1225" s="21" t="str">
        <x:v>baseline nonnegative row 210</x:v>
      </x:c>
      <x:c r="E1225" s="21" t="n">
        <x:f>IF('Stage Build'!F210&gt;=0,1,0)</x:f>
        <x:v>1</x:v>
      </x:c>
      <x:c r="F1225" s="21" t="n">
        <x:v>1</x:v>
      </x:c>
      <x:c r="G1225" s="23" t="str">
        <x:f>IF(E1225=F1225,"PASS","FAIL")</x:f>
        <x:v>PASS</x:v>
      </x:c>
    </x:row>
    <x:row r="1226">
      <x:c r="B1226" s="21" t="str">
        <x:v>C1220</x:v>
      </x:c>
      <x:c r="C1226" s="21" t="str">
        <x:v>stage build</x:v>
      </x:c>
      <x:c r="D1226" s="21" t="str">
        <x:v>targeted additions nonnegative row 210</x:v>
      </x:c>
      <x:c r="E1226" s="21" t="n">
        <x:f>IF(AND('Stage Build'!G210&gt;=0,'Stage Build'!H210&gt;=0),1,0)</x:f>
        <x:v>1</x:v>
      </x:c>
      <x:c r="F1226" s="21" t="n">
        <x:v>1</x:v>
      </x:c>
      <x:c r="G1226" s="23" t="str">
        <x:f>IF(E1226=F1226,"PASS","FAIL")</x:f>
        <x:v>PASS</x:v>
      </x:c>
    </x:row>
    <x:row r="1227">
      <x:c r="B1227" s="21" t="str">
        <x:v>C1221</x:v>
      </x:c>
      <x:c r="C1227" s="21" t="str">
        <x:v>stage build</x:v>
      </x:c>
      <x:c r="D1227" s="21" t="str">
        <x:v>pre-replication identity row 210</x:v>
      </x:c>
      <x:c r="E1227" s="21" t="n">
        <x:f>IF(ABS('Stage Build'!I210-SUM('Stage Build'!F210:H210))&lt;0.000001,1,0)</x:f>
        <x:v>1</x:v>
      </x:c>
      <x:c r="F1227" s="21" t="n">
        <x:v>1</x:v>
      </x:c>
      <x:c r="G1227" s="23" t="str">
        <x:f>IF(E1227=F1227,"PASS","FAIL")</x:f>
        <x:v>PASS</x:v>
      </x:c>
    </x:row>
    <x:row r="1228">
      <x:c r="B1228" s="21" t="str">
        <x:v>C1222</x:v>
      </x:c>
      <x:c r="C1228" s="21" t="str">
        <x:v>stage build</x:v>
      </x:c>
      <x:c r="D1228" s="21" t="str">
        <x:v>replication layer nonnegative row 210</x:v>
      </x:c>
      <x:c r="E1228" s="21" t="n">
        <x:f>IF('Stage Build'!J210&gt;=0,1,0)</x:f>
        <x:v>1</x:v>
      </x:c>
      <x:c r="F1228" s="21" t="n">
        <x:v>1</x:v>
      </x:c>
      <x:c r="G1228" s="23" t="str">
        <x:f>IF(E1228=F1228,"PASS","FAIL")</x:f>
        <x:v>PASS</x:v>
      </x:c>
    </x:row>
    <x:row r="1229">
      <x:c r="B1229" s="21" t="str">
        <x:v>C1223</x:v>
      </x:c>
      <x:c r="C1229" s="21" t="str">
        <x:v>stage build</x:v>
      </x:c>
      <x:c r="D1229" s="21" t="str">
        <x:v>designed ratio identity row 210</x:v>
      </x:c>
      <x:c r="E1229" s="21" t="n">
        <x:f>IF(ABS('Stage Build'!K210-'Stage Build'!I210-'Stage Build'!J210)&lt;0.000001,1,0)</x:f>
        <x:v>1</x:v>
      </x:c>
      <x:c r="F1229" s="21" t="n">
        <x:v>1</x:v>
      </x:c>
      <x:c r="G1229" s="23" t="str">
        <x:f>IF(E1229=F1229,"PASS","FAIL")</x:f>
        <x:v>PASS</x:v>
      </x:c>
    </x:row>
    <x:row r="1230">
      <x:c r="B1230" s="21" t="str">
        <x:v>C1224</x:v>
      </x:c>
      <x:c r="C1230" s="21" t="str">
        <x:v>stage build</x:v>
      </x:c>
      <x:c r="D1230" s="21" t="str">
        <x:v>M05 status identity row 210</x:v>
      </x:c>
      <x:c r="E1230" s="21" t="n">
        <x:f>IF('Stage Build'!L210=IF('Stage Build'!K210&gt;=Assumptions!$C$9,"ADEQUATE","GAP"),1,0)</x:f>
        <x:v>1</x:v>
      </x:c>
      <x:c r="F1230" s="21" t="n">
        <x:v>1</x:v>
      </x:c>
      <x:c r="G1230" s="23" t="str">
        <x:f>IF(E1230=F1230,"PASS","FAIL")</x:f>
        <x:v>PASS</x:v>
      </x:c>
    </x:row>
    <x:row r="1231">
      <x:c r="B1231" s="21" t="str">
        <x:v>C1225</x:v>
      </x:c>
      <x:c r="C1231" s="21" t="str">
        <x:v>stage build</x:v>
      </x:c>
      <x:c r="D1231" s="21" t="str">
        <x:v>baseline nonnegative row 211</x:v>
      </x:c>
      <x:c r="E1231" s="21" t="n">
        <x:f>IF('Stage Build'!F211&gt;=0,1,0)</x:f>
        <x:v>1</x:v>
      </x:c>
      <x:c r="F1231" s="21" t="n">
        <x:v>1</x:v>
      </x:c>
      <x:c r="G1231" s="23" t="str">
        <x:f>IF(E1231=F1231,"PASS","FAIL")</x:f>
        <x:v>PASS</x:v>
      </x:c>
    </x:row>
    <x:row r="1232">
      <x:c r="B1232" s="21" t="str">
        <x:v>C1226</x:v>
      </x:c>
      <x:c r="C1232" s="21" t="str">
        <x:v>stage build</x:v>
      </x:c>
      <x:c r="D1232" s="21" t="str">
        <x:v>targeted additions nonnegative row 211</x:v>
      </x:c>
      <x:c r="E1232" s="21" t="n">
        <x:f>IF(AND('Stage Build'!G211&gt;=0,'Stage Build'!H211&gt;=0),1,0)</x:f>
        <x:v>1</x:v>
      </x:c>
      <x:c r="F1232" s="21" t="n">
        <x:v>1</x:v>
      </x:c>
      <x:c r="G1232" s="23" t="str">
        <x:f>IF(E1232=F1232,"PASS","FAIL")</x:f>
        <x:v>PASS</x:v>
      </x:c>
    </x:row>
    <x:row r="1233">
      <x:c r="B1233" s="21" t="str">
        <x:v>C1227</x:v>
      </x:c>
      <x:c r="C1233" s="21" t="str">
        <x:v>stage build</x:v>
      </x:c>
      <x:c r="D1233" s="21" t="str">
        <x:v>pre-replication identity row 211</x:v>
      </x:c>
      <x:c r="E1233" s="21" t="n">
        <x:f>IF(ABS('Stage Build'!I211-SUM('Stage Build'!F211:H211))&lt;0.000001,1,0)</x:f>
        <x:v>1</x:v>
      </x:c>
      <x:c r="F1233" s="21" t="n">
        <x:v>1</x:v>
      </x:c>
      <x:c r="G1233" s="23" t="str">
        <x:f>IF(E1233=F1233,"PASS","FAIL")</x:f>
        <x:v>PASS</x:v>
      </x:c>
    </x:row>
    <x:row r="1234">
      <x:c r="B1234" s="21" t="str">
        <x:v>C1228</x:v>
      </x:c>
      <x:c r="C1234" s="21" t="str">
        <x:v>stage build</x:v>
      </x:c>
      <x:c r="D1234" s="21" t="str">
        <x:v>replication layer nonnegative row 211</x:v>
      </x:c>
      <x:c r="E1234" s="21" t="n">
        <x:f>IF('Stage Build'!J211&gt;=0,1,0)</x:f>
        <x:v>1</x:v>
      </x:c>
      <x:c r="F1234" s="21" t="n">
        <x:v>1</x:v>
      </x:c>
      <x:c r="G1234" s="23" t="str">
        <x:f>IF(E1234=F1234,"PASS","FAIL")</x:f>
        <x:v>PASS</x:v>
      </x:c>
    </x:row>
    <x:row r="1235">
      <x:c r="B1235" s="21" t="str">
        <x:v>C1229</x:v>
      </x:c>
      <x:c r="C1235" s="21" t="str">
        <x:v>stage build</x:v>
      </x:c>
      <x:c r="D1235" s="21" t="str">
        <x:v>designed ratio identity row 211</x:v>
      </x:c>
      <x:c r="E1235" s="21" t="n">
        <x:f>IF(ABS('Stage Build'!K211-'Stage Build'!I211-'Stage Build'!J211)&lt;0.000001,1,0)</x:f>
        <x:v>1</x:v>
      </x:c>
      <x:c r="F1235" s="21" t="n">
        <x:v>1</x:v>
      </x:c>
      <x:c r="G1235" s="23" t="str">
        <x:f>IF(E1235=F1235,"PASS","FAIL")</x:f>
        <x:v>PASS</x:v>
      </x:c>
    </x:row>
    <x:row r="1236">
      <x:c r="B1236" s="21" t="str">
        <x:v>C1230</x:v>
      </x:c>
      <x:c r="C1236" s="21" t="str">
        <x:v>stage build</x:v>
      </x:c>
      <x:c r="D1236" s="21" t="str">
        <x:v>M05 status identity row 211</x:v>
      </x:c>
      <x:c r="E1236" s="21" t="n">
        <x:f>IF('Stage Build'!L211=IF('Stage Build'!K211&gt;=Assumptions!$C$9,"ADEQUATE","GAP"),1,0)</x:f>
        <x:v>1</x:v>
      </x:c>
      <x:c r="F1236" s="21" t="n">
        <x:v>1</x:v>
      </x:c>
      <x:c r="G1236" s="23" t="str">
        <x:f>IF(E1236=F1236,"PASS","FAIL")</x:f>
        <x:v>PASS</x:v>
      </x:c>
    </x:row>
    <x:row r="1237">
      <x:c r="B1237" s="21" t="str">
        <x:v>C1231</x:v>
      </x:c>
      <x:c r="C1237" s="21" t="str">
        <x:v>stage build</x:v>
      </x:c>
      <x:c r="D1237" s="21" t="str">
        <x:v>baseline nonnegative row 212</x:v>
      </x:c>
      <x:c r="E1237" s="21" t="n">
        <x:f>IF('Stage Build'!F212&gt;=0,1,0)</x:f>
        <x:v>1</x:v>
      </x:c>
      <x:c r="F1237" s="21" t="n">
        <x:v>1</x:v>
      </x:c>
      <x:c r="G1237" s="23" t="str">
        <x:f>IF(E1237=F1237,"PASS","FAIL")</x:f>
        <x:v>PASS</x:v>
      </x:c>
    </x:row>
    <x:row r="1238">
      <x:c r="B1238" s="21" t="str">
        <x:v>C1232</x:v>
      </x:c>
      <x:c r="C1238" s="21" t="str">
        <x:v>stage build</x:v>
      </x:c>
      <x:c r="D1238" s="21" t="str">
        <x:v>targeted additions nonnegative row 212</x:v>
      </x:c>
      <x:c r="E1238" s="21" t="n">
        <x:f>IF(AND('Stage Build'!G212&gt;=0,'Stage Build'!H212&gt;=0),1,0)</x:f>
        <x:v>1</x:v>
      </x:c>
      <x:c r="F1238" s="21" t="n">
        <x:v>1</x:v>
      </x:c>
      <x:c r="G1238" s="23" t="str">
        <x:f>IF(E1238=F1238,"PASS","FAIL")</x:f>
        <x:v>PASS</x:v>
      </x:c>
    </x:row>
    <x:row r="1239">
      <x:c r="B1239" s="21" t="str">
        <x:v>C1233</x:v>
      </x:c>
      <x:c r="C1239" s="21" t="str">
        <x:v>stage build</x:v>
      </x:c>
      <x:c r="D1239" s="21" t="str">
        <x:v>pre-replication identity row 212</x:v>
      </x:c>
      <x:c r="E1239" s="21" t="n">
        <x:f>IF(ABS('Stage Build'!I212-SUM('Stage Build'!F212:H212))&lt;0.000001,1,0)</x:f>
        <x:v>1</x:v>
      </x:c>
      <x:c r="F1239" s="21" t="n">
        <x:v>1</x:v>
      </x:c>
      <x:c r="G1239" s="23" t="str">
        <x:f>IF(E1239=F1239,"PASS","FAIL")</x:f>
        <x:v>PASS</x:v>
      </x:c>
    </x:row>
    <x:row r="1240">
      <x:c r="B1240" s="21" t="str">
        <x:v>C1234</x:v>
      </x:c>
      <x:c r="C1240" s="21" t="str">
        <x:v>stage build</x:v>
      </x:c>
      <x:c r="D1240" s="21" t="str">
        <x:v>replication layer nonnegative row 212</x:v>
      </x:c>
      <x:c r="E1240" s="21" t="n">
        <x:f>IF('Stage Build'!J212&gt;=0,1,0)</x:f>
        <x:v>1</x:v>
      </x:c>
      <x:c r="F1240" s="21" t="n">
        <x:v>1</x:v>
      </x:c>
      <x:c r="G1240" s="23" t="str">
        <x:f>IF(E1240=F1240,"PASS","FAIL")</x:f>
        <x:v>PASS</x:v>
      </x:c>
    </x:row>
    <x:row r="1241">
      <x:c r="B1241" s="21" t="str">
        <x:v>C1235</x:v>
      </x:c>
      <x:c r="C1241" s="21" t="str">
        <x:v>stage build</x:v>
      </x:c>
      <x:c r="D1241" s="21" t="str">
        <x:v>designed ratio identity row 212</x:v>
      </x:c>
      <x:c r="E1241" s="21" t="n">
        <x:f>IF(ABS('Stage Build'!K212-'Stage Build'!I212-'Stage Build'!J212)&lt;0.000001,1,0)</x:f>
        <x:v>1</x:v>
      </x:c>
      <x:c r="F1241" s="21" t="n">
        <x:v>1</x:v>
      </x:c>
      <x:c r="G1241" s="23" t="str">
        <x:f>IF(E1241=F1241,"PASS","FAIL")</x:f>
        <x:v>PASS</x:v>
      </x:c>
    </x:row>
    <x:row r="1242">
      <x:c r="B1242" s="21" t="str">
        <x:v>C1236</x:v>
      </x:c>
      <x:c r="C1242" s="21" t="str">
        <x:v>stage build</x:v>
      </x:c>
      <x:c r="D1242" s="21" t="str">
        <x:v>M05 status identity row 212</x:v>
      </x:c>
      <x:c r="E1242" s="21" t="n">
        <x:f>IF('Stage Build'!L212=IF('Stage Build'!K212&gt;=Assumptions!$C$9,"ADEQUATE","GAP"),1,0)</x:f>
        <x:v>1</x:v>
      </x:c>
      <x:c r="F1242" s="21" t="n">
        <x:v>1</x:v>
      </x:c>
      <x:c r="G1242" s="23" t="str">
        <x:f>IF(E1242=F1242,"PASS","FAIL")</x:f>
        <x:v>PASS</x:v>
      </x:c>
    </x:row>
    <x:row r="1243">
      <x:c r="B1243" s="21" t="str">
        <x:v>C1237</x:v>
      </x:c>
      <x:c r="C1243" s="21" t="str">
        <x:v>stage build</x:v>
      </x:c>
      <x:c r="D1243" s="21" t="str">
        <x:v>baseline nonnegative row 213</x:v>
      </x:c>
      <x:c r="E1243" s="21" t="n">
        <x:f>IF('Stage Build'!F213&gt;=0,1,0)</x:f>
        <x:v>1</x:v>
      </x:c>
      <x:c r="F1243" s="21" t="n">
        <x:v>1</x:v>
      </x:c>
      <x:c r="G1243" s="23" t="str">
        <x:f>IF(E1243=F1243,"PASS","FAIL")</x:f>
        <x:v>PASS</x:v>
      </x:c>
    </x:row>
    <x:row r="1244">
      <x:c r="B1244" s="21" t="str">
        <x:v>C1238</x:v>
      </x:c>
      <x:c r="C1244" s="21" t="str">
        <x:v>stage build</x:v>
      </x:c>
      <x:c r="D1244" s="21" t="str">
        <x:v>targeted additions nonnegative row 213</x:v>
      </x:c>
      <x:c r="E1244" s="21" t="n">
        <x:f>IF(AND('Stage Build'!G213&gt;=0,'Stage Build'!H213&gt;=0),1,0)</x:f>
        <x:v>1</x:v>
      </x:c>
      <x:c r="F1244" s="21" t="n">
        <x:v>1</x:v>
      </x:c>
      <x:c r="G1244" s="23" t="str">
        <x:f>IF(E1244=F1244,"PASS","FAIL")</x:f>
        <x:v>PASS</x:v>
      </x:c>
    </x:row>
    <x:row r="1245">
      <x:c r="B1245" s="21" t="str">
        <x:v>C1239</x:v>
      </x:c>
      <x:c r="C1245" s="21" t="str">
        <x:v>stage build</x:v>
      </x:c>
      <x:c r="D1245" s="21" t="str">
        <x:v>pre-replication identity row 213</x:v>
      </x:c>
      <x:c r="E1245" s="21" t="n">
        <x:f>IF(ABS('Stage Build'!I213-SUM('Stage Build'!F213:H213))&lt;0.000001,1,0)</x:f>
        <x:v>1</x:v>
      </x:c>
      <x:c r="F1245" s="21" t="n">
        <x:v>1</x:v>
      </x:c>
      <x:c r="G1245" s="23" t="str">
        <x:f>IF(E1245=F1245,"PASS","FAIL")</x:f>
        <x:v>PASS</x:v>
      </x:c>
    </x:row>
    <x:row r="1246">
      <x:c r="B1246" s="21" t="str">
        <x:v>C1240</x:v>
      </x:c>
      <x:c r="C1246" s="21" t="str">
        <x:v>stage build</x:v>
      </x:c>
      <x:c r="D1246" s="21" t="str">
        <x:v>replication layer nonnegative row 213</x:v>
      </x:c>
      <x:c r="E1246" s="21" t="n">
        <x:f>IF('Stage Build'!J213&gt;=0,1,0)</x:f>
        <x:v>1</x:v>
      </x:c>
      <x:c r="F1246" s="21" t="n">
        <x:v>1</x:v>
      </x:c>
      <x:c r="G1246" s="23" t="str">
        <x:f>IF(E1246=F1246,"PASS","FAIL")</x:f>
        <x:v>PASS</x:v>
      </x:c>
    </x:row>
    <x:row r="1247">
      <x:c r="B1247" s="21" t="str">
        <x:v>C1241</x:v>
      </x:c>
      <x:c r="C1247" s="21" t="str">
        <x:v>stage build</x:v>
      </x:c>
      <x:c r="D1247" s="21" t="str">
        <x:v>designed ratio identity row 213</x:v>
      </x:c>
      <x:c r="E1247" s="21" t="n">
        <x:f>IF(ABS('Stage Build'!K213-'Stage Build'!I213-'Stage Build'!J213)&lt;0.000001,1,0)</x:f>
        <x:v>1</x:v>
      </x:c>
      <x:c r="F1247" s="21" t="n">
        <x:v>1</x:v>
      </x:c>
      <x:c r="G1247" s="23" t="str">
        <x:f>IF(E1247=F1247,"PASS","FAIL")</x:f>
        <x:v>PASS</x:v>
      </x:c>
    </x:row>
    <x:row r="1248">
      <x:c r="B1248" s="21" t="str">
        <x:v>C1242</x:v>
      </x:c>
      <x:c r="C1248" s="21" t="str">
        <x:v>stage build</x:v>
      </x:c>
      <x:c r="D1248" s="21" t="str">
        <x:v>M05 status identity row 213</x:v>
      </x:c>
      <x:c r="E1248" s="21" t="n">
        <x:f>IF('Stage Build'!L213=IF('Stage Build'!K213&gt;=Assumptions!$C$9,"ADEQUATE","GAP"),1,0)</x:f>
        <x:v>1</x:v>
      </x:c>
      <x:c r="F1248" s="21" t="n">
        <x:v>1</x:v>
      </x:c>
      <x:c r="G1248" s="23" t="str">
        <x:f>IF(E1248=F1248,"PASS","FAIL")</x:f>
        <x:v>PASS</x:v>
      </x:c>
    </x:row>
    <x:row r="1249">
      <x:c r="B1249" s="21" t="str">
        <x:v>C1243</x:v>
      </x:c>
      <x:c r="C1249" s="21" t="str">
        <x:v>stage build</x:v>
      </x:c>
      <x:c r="D1249" s="21" t="str">
        <x:v>baseline nonnegative row 214</x:v>
      </x:c>
      <x:c r="E1249" s="21" t="n">
        <x:f>IF('Stage Build'!F214&gt;=0,1,0)</x:f>
        <x:v>1</x:v>
      </x:c>
      <x:c r="F1249" s="21" t="n">
        <x:v>1</x:v>
      </x:c>
      <x:c r="G1249" s="23" t="str">
        <x:f>IF(E1249=F1249,"PASS","FAIL")</x:f>
        <x:v>PASS</x:v>
      </x:c>
    </x:row>
    <x:row r="1250">
      <x:c r="B1250" s="21" t="str">
        <x:v>C1244</x:v>
      </x:c>
      <x:c r="C1250" s="21" t="str">
        <x:v>stage build</x:v>
      </x:c>
      <x:c r="D1250" s="21" t="str">
        <x:v>targeted additions nonnegative row 214</x:v>
      </x:c>
      <x:c r="E1250" s="21" t="n">
        <x:f>IF(AND('Stage Build'!G214&gt;=0,'Stage Build'!H214&gt;=0),1,0)</x:f>
        <x:v>1</x:v>
      </x:c>
      <x:c r="F1250" s="21" t="n">
        <x:v>1</x:v>
      </x:c>
      <x:c r="G1250" s="23" t="str">
        <x:f>IF(E1250=F1250,"PASS","FAIL")</x:f>
        <x:v>PASS</x:v>
      </x:c>
    </x:row>
    <x:row r="1251">
      <x:c r="B1251" s="21" t="str">
        <x:v>C1245</x:v>
      </x:c>
      <x:c r="C1251" s="21" t="str">
        <x:v>stage build</x:v>
      </x:c>
      <x:c r="D1251" s="21" t="str">
        <x:v>pre-replication identity row 214</x:v>
      </x:c>
      <x:c r="E1251" s="21" t="n">
        <x:f>IF(ABS('Stage Build'!I214-SUM('Stage Build'!F214:H214))&lt;0.000001,1,0)</x:f>
        <x:v>1</x:v>
      </x:c>
      <x:c r="F1251" s="21" t="n">
        <x:v>1</x:v>
      </x:c>
      <x:c r="G1251" s="23" t="str">
        <x:f>IF(E1251=F1251,"PASS","FAIL")</x:f>
        <x:v>PASS</x:v>
      </x:c>
    </x:row>
    <x:row r="1252">
      <x:c r="B1252" s="21" t="str">
        <x:v>C1246</x:v>
      </x:c>
      <x:c r="C1252" s="21" t="str">
        <x:v>stage build</x:v>
      </x:c>
      <x:c r="D1252" s="21" t="str">
        <x:v>replication layer nonnegative row 214</x:v>
      </x:c>
      <x:c r="E1252" s="21" t="n">
        <x:f>IF('Stage Build'!J214&gt;=0,1,0)</x:f>
        <x:v>1</x:v>
      </x:c>
      <x:c r="F1252" s="21" t="n">
        <x:v>1</x:v>
      </x:c>
      <x:c r="G1252" s="23" t="str">
        <x:f>IF(E1252=F1252,"PASS","FAIL")</x:f>
        <x:v>PASS</x:v>
      </x:c>
    </x:row>
    <x:row r="1253">
      <x:c r="B1253" s="21" t="str">
        <x:v>C1247</x:v>
      </x:c>
      <x:c r="C1253" s="21" t="str">
        <x:v>stage build</x:v>
      </x:c>
      <x:c r="D1253" s="21" t="str">
        <x:v>designed ratio identity row 214</x:v>
      </x:c>
      <x:c r="E1253" s="21" t="n">
        <x:f>IF(ABS('Stage Build'!K214-'Stage Build'!I214-'Stage Build'!J214)&lt;0.000001,1,0)</x:f>
        <x:v>1</x:v>
      </x:c>
      <x:c r="F1253" s="21" t="n">
        <x:v>1</x:v>
      </x:c>
      <x:c r="G1253" s="23" t="str">
        <x:f>IF(E1253=F1253,"PASS","FAIL")</x:f>
        <x:v>PASS</x:v>
      </x:c>
    </x:row>
    <x:row r="1254">
      <x:c r="B1254" s="21" t="str">
        <x:v>C1248</x:v>
      </x:c>
      <x:c r="C1254" s="21" t="str">
        <x:v>stage build</x:v>
      </x:c>
      <x:c r="D1254" s="21" t="str">
        <x:v>M05 status identity row 214</x:v>
      </x:c>
      <x:c r="E1254" s="21" t="n">
        <x:f>IF('Stage Build'!L214=IF('Stage Build'!K214&gt;=Assumptions!$C$9,"ADEQUATE","GAP"),1,0)</x:f>
        <x:v>1</x:v>
      </x:c>
      <x:c r="F1254" s="21" t="n">
        <x:v>1</x:v>
      </x:c>
      <x:c r="G1254" s="23" t="str">
        <x:f>IF(E1254=F1254,"PASS","FAIL")</x:f>
        <x:v>PASS</x:v>
      </x:c>
    </x:row>
    <x:row r="1255">
      <x:c r="B1255" s="21" t="str">
        <x:v>C1249</x:v>
      </x:c>
      <x:c r="C1255" s="21" t="str">
        <x:v>stage build</x:v>
      </x:c>
      <x:c r="D1255" s="21" t="str">
        <x:v>baseline nonnegative row 215</x:v>
      </x:c>
      <x:c r="E1255" s="21" t="n">
        <x:f>IF('Stage Build'!F215&gt;=0,1,0)</x:f>
        <x:v>1</x:v>
      </x:c>
      <x:c r="F1255" s="21" t="n">
        <x:v>1</x:v>
      </x:c>
      <x:c r="G1255" s="23" t="str">
        <x:f>IF(E1255=F1255,"PASS","FAIL")</x:f>
        <x:v>PASS</x:v>
      </x:c>
    </x:row>
    <x:row r="1256">
      <x:c r="B1256" s="21" t="str">
        <x:v>C1250</x:v>
      </x:c>
      <x:c r="C1256" s="21" t="str">
        <x:v>stage build</x:v>
      </x:c>
      <x:c r="D1256" s="21" t="str">
        <x:v>targeted additions nonnegative row 215</x:v>
      </x:c>
      <x:c r="E1256" s="21" t="n">
        <x:f>IF(AND('Stage Build'!G215&gt;=0,'Stage Build'!H215&gt;=0),1,0)</x:f>
        <x:v>1</x:v>
      </x:c>
      <x:c r="F1256" s="21" t="n">
        <x:v>1</x:v>
      </x:c>
      <x:c r="G1256" s="23" t="str">
        <x:f>IF(E1256=F1256,"PASS","FAIL")</x:f>
        <x:v>PASS</x:v>
      </x:c>
    </x:row>
    <x:row r="1257">
      <x:c r="B1257" s="21" t="str">
        <x:v>C1251</x:v>
      </x:c>
      <x:c r="C1257" s="21" t="str">
        <x:v>stage build</x:v>
      </x:c>
      <x:c r="D1257" s="21" t="str">
        <x:v>pre-replication identity row 215</x:v>
      </x:c>
      <x:c r="E1257" s="21" t="n">
        <x:f>IF(ABS('Stage Build'!I215-SUM('Stage Build'!F215:H215))&lt;0.000001,1,0)</x:f>
        <x:v>1</x:v>
      </x:c>
      <x:c r="F1257" s="21" t="n">
        <x:v>1</x:v>
      </x:c>
      <x:c r="G1257" s="23" t="str">
        <x:f>IF(E1257=F1257,"PASS","FAIL")</x:f>
        <x:v>PASS</x:v>
      </x:c>
    </x:row>
    <x:row r="1258">
      <x:c r="B1258" s="21" t="str">
        <x:v>C1252</x:v>
      </x:c>
      <x:c r="C1258" s="21" t="str">
        <x:v>stage build</x:v>
      </x:c>
      <x:c r="D1258" s="21" t="str">
        <x:v>replication layer nonnegative row 215</x:v>
      </x:c>
      <x:c r="E1258" s="21" t="n">
        <x:f>IF('Stage Build'!J215&gt;=0,1,0)</x:f>
        <x:v>1</x:v>
      </x:c>
      <x:c r="F1258" s="21" t="n">
        <x:v>1</x:v>
      </x:c>
      <x:c r="G1258" s="23" t="str">
        <x:f>IF(E1258=F1258,"PASS","FAIL")</x:f>
        <x:v>PASS</x:v>
      </x:c>
    </x:row>
    <x:row r="1259">
      <x:c r="B1259" s="21" t="str">
        <x:v>C1253</x:v>
      </x:c>
      <x:c r="C1259" s="21" t="str">
        <x:v>stage build</x:v>
      </x:c>
      <x:c r="D1259" s="21" t="str">
        <x:v>designed ratio identity row 215</x:v>
      </x:c>
      <x:c r="E1259" s="21" t="n">
        <x:f>IF(ABS('Stage Build'!K215-'Stage Build'!I215-'Stage Build'!J215)&lt;0.000001,1,0)</x:f>
        <x:v>1</x:v>
      </x:c>
      <x:c r="F1259" s="21" t="n">
        <x:v>1</x:v>
      </x:c>
      <x:c r="G1259" s="23" t="str">
        <x:f>IF(E1259=F1259,"PASS","FAIL")</x:f>
        <x:v>PASS</x:v>
      </x:c>
    </x:row>
    <x:row r="1260">
      <x:c r="B1260" s="21" t="str">
        <x:v>C1254</x:v>
      </x:c>
      <x:c r="C1260" s="21" t="str">
        <x:v>stage build</x:v>
      </x:c>
      <x:c r="D1260" s="21" t="str">
        <x:v>M05 status identity row 215</x:v>
      </x:c>
      <x:c r="E1260" s="21" t="n">
        <x:f>IF('Stage Build'!L215=IF('Stage Build'!K215&gt;=Assumptions!$C$9,"ADEQUATE","GAP"),1,0)</x:f>
        <x:v>1</x:v>
      </x:c>
      <x:c r="F1260" s="21" t="n">
        <x:v>1</x:v>
      </x:c>
      <x:c r="G1260" s="23" t="str">
        <x:f>IF(E1260=F1260,"PASS","FAIL")</x:f>
        <x:v>PASS</x:v>
      </x:c>
    </x:row>
    <x:row r="1261">
      <x:c r="B1261" s="21" t="str">
        <x:v>C1255</x:v>
      </x:c>
      <x:c r="C1261" s="21" t="str">
        <x:v>stage build</x:v>
      </x:c>
      <x:c r="D1261" s="21" t="str">
        <x:v>baseline nonnegative row 216</x:v>
      </x:c>
      <x:c r="E1261" s="21" t="n">
        <x:f>IF('Stage Build'!F216&gt;=0,1,0)</x:f>
        <x:v>1</x:v>
      </x:c>
      <x:c r="F1261" s="21" t="n">
        <x:v>1</x:v>
      </x:c>
      <x:c r="G1261" s="23" t="str">
        <x:f>IF(E1261=F1261,"PASS","FAIL")</x:f>
        <x:v>PASS</x:v>
      </x:c>
    </x:row>
    <x:row r="1262">
      <x:c r="B1262" s="21" t="str">
        <x:v>C1256</x:v>
      </x:c>
      <x:c r="C1262" s="21" t="str">
        <x:v>stage build</x:v>
      </x:c>
      <x:c r="D1262" s="21" t="str">
        <x:v>targeted additions nonnegative row 216</x:v>
      </x:c>
      <x:c r="E1262" s="21" t="n">
        <x:f>IF(AND('Stage Build'!G216&gt;=0,'Stage Build'!H216&gt;=0),1,0)</x:f>
        <x:v>1</x:v>
      </x:c>
      <x:c r="F1262" s="21" t="n">
        <x:v>1</x:v>
      </x:c>
      <x:c r="G1262" s="23" t="str">
        <x:f>IF(E1262=F1262,"PASS","FAIL")</x:f>
        <x:v>PASS</x:v>
      </x:c>
    </x:row>
    <x:row r="1263">
      <x:c r="B1263" s="21" t="str">
        <x:v>C1257</x:v>
      </x:c>
      <x:c r="C1263" s="21" t="str">
        <x:v>stage build</x:v>
      </x:c>
      <x:c r="D1263" s="21" t="str">
        <x:v>pre-replication identity row 216</x:v>
      </x:c>
      <x:c r="E1263" s="21" t="n">
        <x:f>IF(ABS('Stage Build'!I216-SUM('Stage Build'!F216:H216))&lt;0.000001,1,0)</x:f>
        <x:v>1</x:v>
      </x:c>
      <x:c r="F1263" s="21" t="n">
        <x:v>1</x:v>
      </x:c>
      <x:c r="G1263" s="23" t="str">
        <x:f>IF(E1263=F1263,"PASS","FAIL")</x:f>
        <x:v>PASS</x:v>
      </x:c>
    </x:row>
    <x:row r="1264">
      <x:c r="B1264" s="21" t="str">
        <x:v>C1258</x:v>
      </x:c>
      <x:c r="C1264" s="21" t="str">
        <x:v>stage build</x:v>
      </x:c>
      <x:c r="D1264" s="21" t="str">
        <x:v>replication layer nonnegative row 216</x:v>
      </x:c>
      <x:c r="E1264" s="21" t="n">
        <x:f>IF('Stage Build'!J216&gt;=0,1,0)</x:f>
        <x:v>1</x:v>
      </x:c>
      <x:c r="F1264" s="21" t="n">
        <x:v>1</x:v>
      </x:c>
      <x:c r="G1264" s="23" t="str">
        <x:f>IF(E1264=F1264,"PASS","FAIL")</x:f>
        <x:v>PASS</x:v>
      </x:c>
    </x:row>
    <x:row r="1265">
      <x:c r="B1265" s="21" t="str">
        <x:v>C1259</x:v>
      </x:c>
      <x:c r="C1265" s="21" t="str">
        <x:v>stage build</x:v>
      </x:c>
      <x:c r="D1265" s="21" t="str">
        <x:v>designed ratio identity row 216</x:v>
      </x:c>
      <x:c r="E1265" s="21" t="n">
        <x:f>IF(ABS('Stage Build'!K216-'Stage Build'!I216-'Stage Build'!J216)&lt;0.000001,1,0)</x:f>
        <x:v>1</x:v>
      </x:c>
      <x:c r="F1265" s="21" t="n">
        <x:v>1</x:v>
      </x:c>
      <x:c r="G1265" s="23" t="str">
        <x:f>IF(E1265=F1265,"PASS","FAIL")</x:f>
        <x:v>PASS</x:v>
      </x:c>
    </x:row>
    <x:row r="1266">
      <x:c r="B1266" s="21" t="str">
        <x:v>C1260</x:v>
      </x:c>
      <x:c r="C1266" s="21" t="str">
        <x:v>stage build</x:v>
      </x:c>
      <x:c r="D1266" s="21" t="str">
        <x:v>M05 status identity row 216</x:v>
      </x:c>
      <x:c r="E1266" s="21" t="n">
        <x:f>IF('Stage Build'!L216=IF('Stage Build'!K216&gt;=Assumptions!$C$9,"ADEQUATE","GAP"),1,0)</x:f>
        <x:v>1</x:v>
      </x:c>
      <x:c r="F1266" s="21" t="n">
        <x:v>1</x:v>
      </x:c>
      <x:c r="G1266" s="23" t="str">
        <x:f>IF(E1266=F1266,"PASS","FAIL")</x:f>
        <x:v>PASS</x:v>
      </x:c>
    </x:row>
    <x:row r="1267">
      <x:c r="B1267" s="21" t="str">
        <x:v>C1261</x:v>
      </x:c>
      <x:c r="C1267" s="21" t="str">
        <x:v>stage build</x:v>
      </x:c>
      <x:c r="D1267" s="21" t="str">
        <x:v>baseline nonnegative row 217</x:v>
      </x:c>
      <x:c r="E1267" s="21" t="n">
        <x:f>IF('Stage Build'!F217&gt;=0,1,0)</x:f>
        <x:v>1</x:v>
      </x:c>
      <x:c r="F1267" s="21" t="n">
        <x:v>1</x:v>
      </x:c>
      <x:c r="G1267" s="23" t="str">
        <x:f>IF(E1267=F1267,"PASS","FAIL")</x:f>
        <x:v>PASS</x:v>
      </x:c>
    </x:row>
    <x:row r="1268">
      <x:c r="B1268" s="21" t="str">
        <x:v>C1262</x:v>
      </x:c>
      <x:c r="C1268" s="21" t="str">
        <x:v>stage build</x:v>
      </x:c>
      <x:c r="D1268" s="21" t="str">
        <x:v>targeted additions nonnegative row 217</x:v>
      </x:c>
      <x:c r="E1268" s="21" t="n">
        <x:f>IF(AND('Stage Build'!G217&gt;=0,'Stage Build'!H217&gt;=0),1,0)</x:f>
        <x:v>1</x:v>
      </x:c>
      <x:c r="F1268" s="21" t="n">
        <x:v>1</x:v>
      </x:c>
      <x:c r="G1268" s="23" t="str">
        <x:f>IF(E1268=F1268,"PASS","FAIL")</x:f>
        <x:v>PASS</x:v>
      </x:c>
    </x:row>
    <x:row r="1269">
      <x:c r="B1269" s="21" t="str">
        <x:v>C1263</x:v>
      </x:c>
      <x:c r="C1269" s="21" t="str">
        <x:v>stage build</x:v>
      </x:c>
      <x:c r="D1269" s="21" t="str">
        <x:v>pre-replication identity row 217</x:v>
      </x:c>
      <x:c r="E1269" s="21" t="n">
        <x:f>IF(ABS('Stage Build'!I217-SUM('Stage Build'!F217:H217))&lt;0.000001,1,0)</x:f>
        <x:v>1</x:v>
      </x:c>
      <x:c r="F1269" s="21" t="n">
        <x:v>1</x:v>
      </x:c>
      <x:c r="G1269" s="23" t="str">
        <x:f>IF(E1269=F1269,"PASS","FAIL")</x:f>
        <x:v>PASS</x:v>
      </x:c>
    </x:row>
    <x:row r="1270">
      <x:c r="B1270" s="21" t="str">
        <x:v>C1264</x:v>
      </x:c>
      <x:c r="C1270" s="21" t="str">
        <x:v>stage build</x:v>
      </x:c>
      <x:c r="D1270" s="21" t="str">
        <x:v>replication layer nonnegative row 217</x:v>
      </x:c>
      <x:c r="E1270" s="21" t="n">
        <x:f>IF('Stage Build'!J217&gt;=0,1,0)</x:f>
        <x:v>1</x:v>
      </x:c>
      <x:c r="F1270" s="21" t="n">
        <x:v>1</x:v>
      </x:c>
      <x:c r="G1270" s="23" t="str">
        <x:f>IF(E1270=F1270,"PASS","FAIL")</x:f>
        <x:v>PASS</x:v>
      </x:c>
    </x:row>
    <x:row r="1271">
      <x:c r="B1271" s="21" t="str">
        <x:v>C1265</x:v>
      </x:c>
      <x:c r="C1271" s="21" t="str">
        <x:v>stage build</x:v>
      </x:c>
      <x:c r="D1271" s="21" t="str">
        <x:v>designed ratio identity row 217</x:v>
      </x:c>
      <x:c r="E1271" s="21" t="n">
        <x:f>IF(ABS('Stage Build'!K217-'Stage Build'!I217-'Stage Build'!J217)&lt;0.000001,1,0)</x:f>
        <x:v>1</x:v>
      </x:c>
      <x:c r="F1271" s="21" t="n">
        <x:v>1</x:v>
      </x:c>
      <x:c r="G1271" s="23" t="str">
        <x:f>IF(E1271=F1271,"PASS","FAIL")</x:f>
        <x:v>PASS</x:v>
      </x:c>
    </x:row>
    <x:row r="1272">
      <x:c r="B1272" s="21" t="str">
        <x:v>C1266</x:v>
      </x:c>
      <x:c r="C1272" s="21" t="str">
        <x:v>stage build</x:v>
      </x:c>
      <x:c r="D1272" s="21" t="str">
        <x:v>M05 status identity row 217</x:v>
      </x:c>
      <x:c r="E1272" s="21" t="n">
        <x:f>IF('Stage Build'!L217=IF('Stage Build'!K217&gt;=Assumptions!$C$9,"ADEQUATE","GAP"),1,0)</x:f>
        <x:v>1</x:v>
      </x:c>
      <x:c r="F1272" s="21" t="n">
        <x:v>1</x:v>
      </x:c>
      <x:c r="G1272" s="23" t="str">
        <x:f>IF(E1272=F1272,"PASS","FAIL")</x:f>
        <x:v>PASS</x:v>
      </x:c>
    </x:row>
    <x:row r="1273">
      <x:c r="B1273" s="21" t="str">
        <x:v>C1267</x:v>
      </x:c>
      <x:c r="C1273" s="21" t="str">
        <x:v>stage build</x:v>
      </x:c>
      <x:c r="D1273" s="21" t="str">
        <x:v>baseline nonnegative row 218</x:v>
      </x:c>
      <x:c r="E1273" s="21" t="n">
        <x:f>IF('Stage Build'!F218&gt;=0,1,0)</x:f>
        <x:v>1</x:v>
      </x:c>
      <x:c r="F1273" s="21" t="n">
        <x:v>1</x:v>
      </x:c>
      <x:c r="G1273" s="23" t="str">
        <x:f>IF(E1273=F1273,"PASS","FAIL")</x:f>
        <x:v>PASS</x:v>
      </x:c>
    </x:row>
    <x:row r="1274">
      <x:c r="B1274" s="21" t="str">
        <x:v>C1268</x:v>
      </x:c>
      <x:c r="C1274" s="21" t="str">
        <x:v>stage build</x:v>
      </x:c>
      <x:c r="D1274" s="21" t="str">
        <x:v>targeted additions nonnegative row 218</x:v>
      </x:c>
      <x:c r="E1274" s="21" t="n">
        <x:f>IF(AND('Stage Build'!G218&gt;=0,'Stage Build'!H218&gt;=0),1,0)</x:f>
        <x:v>1</x:v>
      </x:c>
      <x:c r="F1274" s="21" t="n">
        <x:v>1</x:v>
      </x:c>
      <x:c r="G1274" s="23" t="str">
        <x:f>IF(E1274=F1274,"PASS","FAIL")</x:f>
        <x:v>PASS</x:v>
      </x:c>
    </x:row>
    <x:row r="1275">
      <x:c r="B1275" s="21" t="str">
        <x:v>C1269</x:v>
      </x:c>
      <x:c r="C1275" s="21" t="str">
        <x:v>stage build</x:v>
      </x:c>
      <x:c r="D1275" s="21" t="str">
        <x:v>pre-replication identity row 218</x:v>
      </x:c>
      <x:c r="E1275" s="21" t="n">
        <x:f>IF(ABS('Stage Build'!I218-SUM('Stage Build'!F218:H218))&lt;0.000001,1,0)</x:f>
        <x:v>1</x:v>
      </x:c>
      <x:c r="F1275" s="21" t="n">
        <x:v>1</x:v>
      </x:c>
      <x:c r="G1275" s="23" t="str">
        <x:f>IF(E1275=F1275,"PASS","FAIL")</x:f>
        <x:v>PASS</x:v>
      </x:c>
    </x:row>
    <x:row r="1276">
      <x:c r="B1276" s="21" t="str">
        <x:v>C1270</x:v>
      </x:c>
      <x:c r="C1276" s="21" t="str">
        <x:v>stage build</x:v>
      </x:c>
      <x:c r="D1276" s="21" t="str">
        <x:v>replication layer nonnegative row 218</x:v>
      </x:c>
      <x:c r="E1276" s="21" t="n">
        <x:f>IF('Stage Build'!J218&gt;=0,1,0)</x:f>
        <x:v>1</x:v>
      </x:c>
      <x:c r="F1276" s="21" t="n">
        <x:v>1</x:v>
      </x:c>
      <x:c r="G1276" s="23" t="str">
        <x:f>IF(E1276=F1276,"PASS","FAIL")</x:f>
        <x:v>PASS</x:v>
      </x:c>
    </x:row>
    <x:row r="1277">
      <x:c r="B1277" s="21" t="str">
        <x:v>C1271</x:v>
      </x:c>
      <x:c r="C1277" s="21" t="str">
        <x:v>stage build</x:v>
      </x:c>
      <x:c r="D1277" s="21" t="str">
        <x:v>designed ratio identity row 218</x:v>
      </x:c>
      <x:c r="E1277" s="21" t="n">
        <x:f>IF(ABS('Stage Build'!K218-'Stage Build'!I218-'Stage Build'!J218)&lt;0.000001,1,0)</x:f>
        <x:v>1</x:v>
      </x:c>
      <x:c r="F1277" s="21" t="n">
        <x:v>1</x:v>
      </x:c>
      <x:c r="G1277" s="23" t="str">
        <x:f>IF(E1277=F1277,"PASS","FAIL")</x:f>
        <x:v>PASS</x:v>
      </x:c>
    </x:row>
    <x:row r="1278">
      <x:c r="B1278" s="21" t="str">
        <x:v>C1272</x:v>
      </x:c>
      <x:c r="C1278" s="21" t="str">
        <x:v>stage build</x:v>
      </x:c>
      <x:c r="D1278" s="21" t="str">
        <x:v>M05 status identity row 218</x:v>
      </x:c>
      <x:c r="E1278" s="21" t="n">
        <x:f>IF('Stage Build'!L218=IF('Stage Build'!K218&gt;=Assumptions!$C$9,"ADEQUATE","GAP"),1,0)</x:f>
        <x:v>1</x:v>
      </x:c>
      <x:c r="F1278" s="21" t="n">
        <x:v>1</x:v>
      </x:c>
      <x:c r="G1278" s="23" t="str">
        <x:f>IF(E1278=F1278,"PASS","FAIL")</x:f>
        <x:v>PASS</x:v>
      </x:c>
    </x:row>
    <x:row r="1279">
      <x:c r="B1279" s="21" t="str">
        <x:v>C1273</x:v>
      </x:c>
      <x:c r="C1279" s="21" t="str">
        <x:v>stage build</x:v>
      </x:c>
      <x:c r="D1279" s="21" t="str">
        <x:v>baseline nonnegative row 219</x:v>
      </x:c>
      <x:c r="E1279" s="21" t="n">
        <x:f>IF('Stage Build'!F219&gt;=0,1,0)</x:f>
        <x:v>1</x:v>
      </x:c>
      <x:c r="F1279" s="21" t="n">
        <x:v>1</x:v>
      </x:c>
      <x:c r="G1279" s="23" t="str">
        <x:f>IF(E1279=F1279,"PASS","FAIL")</x:f>
        <x:v>PASS</x:v>
      </x:c>
    </x:row>
    <x:row r="1280">
      <x:c r="B1280" s="21" t="str">
        <x:v>C1274</x:v>
      </x:c>
      <x:c r="C1280" s="21" t="str">
        <x:v>stage build</x:v>
      </x:c>
      <x:c r="D1280" s="21" t="str">
        <x:v>targeted additions nonnegative row 219</x:v>
      </x:c>
      <x:c r="E1280" s="21" t="n">
        <x:f>IF(AND('Stage Build'!G219&gt;=0,'Stage Build'!H219&gt;=0),1,0)</x:f>
        <x:v>1</x:v>
      </x:c>
      <x:c r="F1280" s="21" t="n">
        <x:v>1</x:v>
      </x:c>
      <x:c r="G1280" s="23" t="str">
        <x:f>IF(E1280=F1280,"PASS","FAIL")</x:f>
        <x:v>PASS</x:v>
      </x:c>
    </x:row>
    <x:row r="1281">
      <x:c r="B1281" s="21" t="str">
        <x:v>C1275</x:v>
      </x:c>
      <x:c r="C1281" s="21" t="str">
        <x:v>stage build</x:v>
      </x:c>
      <x:c r="D1281" s="21" t="str">
        <x:v>pre-replication identity row 219</x:v>
      </x:c>
      <x:c r="E1281" s="21" t="n">
        <x:f>IF(ABS('Stage Build'!I219-SUM('Stage Build'!F219:H219))&lt;0.000001,1,0)</x:f>
        <x:v>1</x:v>
      </x:c>
      <x:c r="F1281" s="21" t="n">
        <x:v>1</x:v>
      </x:c>
      <x:c r="G1281" s="23" t="str">
        <x:f>IF(E1281=F1281,"PASS","FAIL")</x:f>
        <x:v>PASS</x:v>
      </x:c>
    </x:row>
    <x:row r="1282">
      <x:c r="B1282" s="21" t="str">
        <x:v>C1276</x:v>
      </x:c>
      <x:c r="C1282" s="21" t="str">
        <x:v>stage build</x:v>
      </x:c>
      <x:c r="D1282" s="21" t="str">
        <x:v>replication layer nonnegative row 219</x:v>
      </x:c>
      <x:c r="E1282" s="21" t="n">
        <x:f>IF('Stage Build'!J219&gt;=0,1,0)</x:f>
        <x:v>1</x:v>
      </x:c>
      <x:c r="F1282" s="21" t="n">
        <x:v>1</x:v>
      </x:c>
      <x:c r="G1282" s="23" t="str">
        <x:f>IF(E1282=F1282,"PASS","FAIL")</x:f>
        <x:v>PASS</x:v>
      </x:c>
    </x:row>
    <x:row r="1283">
      <x:c r="B1283" s="21" t="str">
        <x:v>C1277</x:v>
      </x:c>
      <x:c r="C1283" s="21" t="str">
        <x:v>stage build</x:v>
      </x:c>
      <x:c r="D1283" s="21" t="str">
        <x:v>designed ratio identity row 219</x:v>
      </x:c>
      <x:c r="E1283" s="21" t="n">
        <x:f>IF(ABS('Stage Build'!K219-'Stage Build'!I219-'Stage Build'!J219)&lt;0.000001,1,0)</x:f>
        <x:v>1</x:v>
      </x:c>
      <x:c r="F1283" s="21" t="n">
        <x:v>1</x:v>
      </x:c>
      <x:c r="G1283" s="23" t="str">
        <x:f>IF(E1283=F1283,"PASS","FAIL")</x:f>
        <x:v>PASS</x:v>
      </x:c>
    </x:row>
    <x:row r="1284">
      <x:c r="B1284" s="21" t="str">
        <x:v>C1278</x:v>
      </x:c>
      <x:c r="C1284" s="21" t="str">
        <x:v>stage build</x:v>
      </x:c>
      <x:c r="D1284" s="21" t="str">
        <x:v>M05 status identity row 219</x:v>
      </x:c>
      <x:c r="E1284" s="21" t="n">
        <x:f>IF('Stage Build'!L219=IF('Stage Build'!K219&gt;=Assumptions!$C$9,"ADEQUATE","GAP"),1,0)</x:f>
        <x:v>1</x:v>
      </x:c>
      <x:c r="F1284" s="21" t="n">
        <x:v>1</x:v>
      </x:c>
      <x:c r="G1284" s="23" t="str">
        <x:f>IF(E1284=F1284,"PASS","FAIL")</x:f>
        <x:v>PASS</x:v>
      </x:c>
    </x:row>
    <x:row r="1285">
      <x:c r="B1285" s="21" t="str">
        <x:v>C1279</x:v>
      </x:c>
      <x:c r="C1285" s="21" t="str">
        <x:v>stage build</x:v>
      </x:c>
      <x:c r="D1285" s="21" t="str">
        <x:v>baseline nonnegative row 220</x:v>
      </x:c>
      <x:c r="E1285" s="21" t="n">
        <x:f>IF('Stage Build'!F220&gt;=0,1,0)</x:f>
        <x:v>1</x:v>
      </x:c>
      <x:c r="F1285" s="21" t="n">
        <x:v>1</x:v>
      </x:c>
      <x:c r="G1285" s="23" t="str">
        <x:f>IF(E1285=F1285,"PASS","FAIL")</x:f>
        <x:v>PASS</x:v>
      </x:c>
    </x:row>
    <x:row r="1286">
      <x:c r="B1286" s="21" t="str">
        <x:v>C1280</x:v>
      </x:c>
      <x:c r="C1286" s="21" t="str">
        <x:v>stage build</x:v>
      </x:c>
      <x:c r="D1286" s="21" t="str">
        <x:v>targeted additions nonnegative row 220</x:v>
      </x:c>
      <x:c r="E1286" s="21" t="n">
        <x:f>IF(AND('Stage Build'!G220&gt;=0,'Stage Build'!H220&gt;=0),1,0)</x:f>
        <x:v>1</x:v>
      </x:c>
      <x:c r="F1286" s="21" t="n">
        <x:v>1</x:v>
      </x:c>
      <x:c r="G1286" s="23" t="str">
        <x:f>IF(E1286=F1286,"PASS","FAIL")</x:f>
        <x:v>PASS</x:v>
      </x:c>
    </x:row>
    <x:row r="1287">
      <x:c r="B1287" s="21" t="str">
        <x:v>C1281</x:v>
      </x:c>
      <x:c r="C1287" s="21" t="str">
        <x:v>stage build</x:v>
      </x:c>
      <x:c r="D1287" s="21" t="str">
        <x:v>pre-replication identity row 220</x:v>
      </x:c>
      <x:c r="E1287" s="21" t="n">
        <x:f>IF(ABS('Stage Build'!I220-SUM('Stage Build'!F220:H220))&lt;0.000001,1,0)</x:f>
        <x:v>1</x:v>
      </x:c>
      <x:c r="F1287" s="21" t="n">
        <x:v>1</x:v>
      </x:c>
      <x:c r="G1287" s="23" t="str">
        <x:f>IF(E1287=F1287,"PASS","FAIL")</x:f>
        <x:v>PASS</x:v>
      </x:c>
    </x:row>
    <x:row r="1288">
      <x:c r="B1288" s="21" t="str">
        <x:v>C1282</x:v>
      </x:c>
      <x:c r="C1288" s="21" t="str">
        <x:v>stage build</x:v>
      </x:c>
      <x:c r="D1288" s="21" t="str">
        <x:v>replication layer nonnegative row 220</x:v>
      </x:c>
      <x:c r="E1288" s="21" t="n">
        <x:f>IF('Stage Build'!J220&gt;=0,1,0)</x:f>
        <x:v>1</x:v>
      </x:c>
      <x:c r="F1288" s="21" t="n">
        <x:v>1</x:v>
      </x:c>
      <x:c r="G1288" s="23" t="str">
        <x:f>IF(E1288=F1288,"PASS","FAIL")</x:f>
        <x:v>PASS</x:v>
      </x:c>
    </x:row>
    <x:row r="1289">
      <x:c r="B1289" s="21" t="str">
        <x:v>C1283</x:v>
      </x:c>
      <x:c r="C1289" s="21" t="str">
        <x:v>stage build</x:v>
      </x:c>
      <x:c r="D1289" s="21" t="str">
        <x:v>designed ratio identity row 220</x:v>
      </x:c>
      <x:c r="E1289" s="21" t="n">
        <x:f>IF(ABS('Stage Build'!K220-'Stage Build'!I220-'Stage Build'!J220)&lt;0.000001,1,0)</x:f>
        <x:v>1</x:v>
      </x:c>
      <x:c r="F1289" s="21" t="n">
        <x:v>1</x:v>
      </x:c>
      <x:c r="G1289" s="23" t="str">
        <x:f>IF(E1289=F1289,"PASS","FAIL")</x:f>
        <x:v>PASS</x:v>
      </x:c>
    </x:row>
    <x:row r="1290">
      <x:c r="B1290" s="21" t="str">
        <x:v>C1284</x:v>
      </x:c>
      <x:c r="C1290" s="21" t="str">
        <x:v>stage build</x:v>
      </x:c>
      <x:c r="D1290" s="21" t="str">
        <x:v>M05 status identity row 220</x:v>
      </x:c>
      <x:c r="E1290" s="21" t="n">
        <x:f>IF('Stage Build'!L220=IF('Stage Build'!K220&gt;=Assumptions!$C$9,"ADEQUATE","GAP"),1,0)</x:f>
        <x:v>1</x:v>
      </x:c>
      <x:c r="F1290" s="21" t="n">
        <x:v>1</x:v>
      </x:c>
      <x:c r="G1290" s="23" t="str">
        <x:f>IF(E1290=F1290,"PASS","FAIL")</x:f>
        <x:v>PASS</x:v>
      </x:c>
    </x:row>
    <x:row r="1291">
      <x:c r="B1291" s="21" t="str">
        <x:v>C1285</x:v>
      </x:c>
      <x:c r="C1291" s="21" t="str">
        <x:v>stage build</x:v>
      </x:c>
      <x:c r="D1291" s="21" t="str">
        <x:v>baseline nonnegative row 221</x:v>
      </x:c>
      <x:c r="E1291" s="21" t="n">
        <x:f>IF('Stage Build'!F221&gt;=0,1,0)</x:f>
        <x:v>1</x:v>
      </x:c>
      <x:c r="F1291" s="21" t="n">
        <x:v>1</x:v>
      </x:c>
      <x:c r="G1291" s="23" t="str">
        <x:f>IF(E1291=F1291,"PASS","FAIL")</x:f>
        <x:v>PASS</x:v>
      </x:c>
    </x:row>
    <x:row r="1292">
      <x:c r="B1292" s="21" t="str">
        <x:v>C1286</x:v>
      </x:c>
      <x:c r="C1292" s="21" t="str">
        <x:v>stage build</x:v>
      </x:c>
      <x:c r="D1292" s="21" t="str">
        <x:v>targeted additions nonnegative row 221</x:v>
      </x:c>
      <x:c r="E1292" s="21" t="n">
        <x:f>IF(AND('Stage Build'!G221&gt;=0,'Stage Build'!H221&gt;=0),1,0)</x:f>
        <x:v>1</x:v>
      </x:c>
      <x:c r="F1292" s="21" t="n">
        <x:v>1</x:v>
      </x:c>
      <x:c r="G1292" s="23" t="str">
        <x:f>IF(E1292=F1292,"PASS","FAIL")</x:f>
        <x:v>PASS</x:v>
      </x:c>
    </x:row>
    <x:row r="1293">
      <x:c r="B1293" s="21" t="str">
        <x:v>C1287</x:v>
      </x:c>
      <x:c r="C1293" s="21" t="str">
        <x:v>stage build</x:v>
      </x:c>
      <x:c r="D1293" s="21" t="str">
        <x:v>pre-replication identity row 221</x:v>
      </x:c>
      <x:c r="E1293" s="21" t="n">
        <x:f>IF(ABS('Stage Build'!I221-SUM('Stage Build'!F221:H221))&lt;0.000001,1,0)</x:f>
        <x:v>1</x:v>
      </x:c>
      <x:c r="F1293" s="21" t="n">
        <x:v>1</x:v>
      </x:c>
      <x:c r="G1293" s="23" t="str">
        <x:f>IF(E1293=F1293,"PASS","FAIL")</x:f>
        <x:v>PASS</x:v>
      </x:c>
    </x:row>
    <x:row r="1294">
      <x:c r="B1294" s="21" t="str">
        <x:v>C1288</x:v>
      </x:c>
      <x:c r="C1294" s="21" t="str">
        <x:v>stage build</x:v>
      </x:c>
      <x:c r="D1294" s="21" t="str">
        <x:v>replication layer nonnegative row 221</x:v>
      </x:c>
      <x:c r="E1294" s="21" t="n">
        <x:f>IF('Stage Build'!J221&gt;=0,1,0)</x:f>
        <x:v>1</x:v>
      </x:c>
      <x:c r="F1294" s="21" t="n">
        <x:v>1</x:v>
      </x:c>
      <x:c r="G1294" s="23" t="str">
        <x:f>IF(E1294=F1294,"PASS","FAIL")</x:f>
        <x:v>PASS</x:v>
      </x:c>
    </x:row>
    <x:row r="1295">
      <x:c r="B1295" s="21" t="str">
        <x:v>C1289</x:v>
      </x:c>
      <x:c r="C1295" s="21" t="str">
        <x:v>stage build</x:v>
      </x:c>
      <x:c r="D1295" s="21" t="str">
        <x:v>designed ratio identity row 221</x:v>
      </x:c>
      <x:c r="E1295" s="21" t="n">
        <x:f>IF(ABS('Stage Build'!K221-'Stage Build'!I221-'Stage Build'!J221)&lt;0.000001,1,0)</x:f>
        <x:v>1</x:v>
      </x:c>
      <x:c r="F1295" s="21" t="n">
        <x:v>1</x:v>
      </x:c>
      <x:c r="G1295" s="23" t="str">
        <x:f>IF(E1295=F1295,"PASS","FAIL")</x:f>
        <x:v>PASS</x:v>
      </x:c>
    </x:row>
    <x:row r="1296">
      <x:c r="B1296" s="21" t="str">
        <x:v>C1290</x:v>
      </x:c>
      <x:c r="C1296" s="21" t="str">
        <x:v>stage build</x:v>
      </x:c>
      <x:c r="D1296" s="21" t="str">
        <x:v>M05 status identity row 221</x:v>
      </x:c>
      <x:c r="E1296" s="21" t="n">
        <x:f>IF('Stage Build'!L221=IF('Stage Build'!K221&gt;=Assumptions!$C$9,"ADEQUATE","GAP"),1,0)</x:f>
        <x:v>1</x:v>
      </x:c>
      <x:c r="F1296" s="21" t="n">
        <x:v>1</x:v>
      </x:c>
      <x:c r="G1296" s="23" t="str">
        <x:f>IF(E1296=F1296,"PASS","FAIL")</x:f>
        <x:v>PASS</x:v>
      </x:c>
    </x:row>
    <x:row r="1297">
      <x:c r="B1297" s="21" t="str">
        <x:v>C1291</x:v>
      </x:c>
      <x:c r="C1297" s="21" t="str">
        <x:v>stage build</x:v>
      </x:c>
      <x:c r="D1297" s="21" t="str">
        <x:v>baseline nonnegative row 222</x:v>
      </x:c>
      <x:c r="E1297" s="21" t="n">
        <x:f>IF('Stage Build'!F222&gt;=0,1,0)</x:f>
        <x:v>1</x:v>
      </x:c>
      <x:c r="F1297" s="21" t="n">
        <x:v>1</x:v>
      </x:c>
      <x:c r="G1297" s="23" t="str">
        <x:f>IF(E1297=F1297,"PASS","FAIL")</x:f>
        <x:v>PASS</x:v>
      </x:c>
    </x:row>
    <x:row r="1298">
      <x:c r="B1298" s="21" t="str">
        <x:v>C1292</x:v>
      </x:c>
      <x:c r="C1298" s="21" t="str">
        <x:v>stage build</x:v>
      </x:c>
      <x:c r="D1298" s="21" t="str">
        <x:v>targeted additions nonnegative row 222</x:v>
      </x:c>
      <x:c r="E1298" s="21" t="n">
        <x:f>IF(AND('Stage Build'!G222&gt;=0,'Stage Build'!H222&gt;=0),1,0)</x:f>
        <x:v>1</x:v>
      </x:c>
      <x:c r="F1298" s="21" t="n">
        <x:v>1</x:v>
      </x:c>
      <x:c r="G1298" s="23" t="str">
        <x:f>IF(E1298=F1298,"PASS","FAIL")</x:f>
        <x:v>PASS</x:v>
      </x:c>
    </x:row>
    <x:row r="1299">
      <x:c r="B1299" s="21" t="str">
        <x:v>C1293</x:v>
      </x:c>
      <x:c r="C1299" s="21" t="str">
        <x:v>stage build</x:v>
      </x:c>
      <x:c r="D1299" s="21" t="str">
        <x:v>pre-replication identity row 222</x:v>
      </x:c>
      <x:c r="E1299" s="21" t="n">
        <x:f>IF(ABS('Stage Build'!I222-SUM('Stage Build'!F222:H222))&lt;0.000001,1,0)</x:f>
        <x:v>1</x:v>
      </x:c>
      <x:c r="F1299" s="21" t="n">
        <x:v>1</x:v>
      </x:c>
      <x:c r="G1299" s="23" t="str">
        <x:f>IF(E1299=F1299,"PASS","FAIL")</x:f>
        <x:v>PASS</x:v>
      </x:c>
    </x:row>
    <x:row r="1300">
      <x:c r="B1300" s="21" t="str">
        <x:v>C1294</x:v>
      </x:c>
      <x:c r="C1300" s="21" t="str">
        <x:v>stage build</x:v>
      </x:c>
      <x:c r="D1300" s="21" t="str">
        <x:v>replication layer nonnegative row 222</x:v>
      </x:c>
      <x:c r="E1300" s="21" t="n">
        <x:f>IF('Stage Build'!J222&gt;=0,1,0)</x:f>
        <x:v>1</x:v>
      </x:c>
      <x:c r="F1300" s="21" t="n">
        <x:v>1</x:v>
      </x:c>
      <x:c r="G1300" s="23" t="str">
        <x:f>IF(E1300=F1300,"PASS","FAIL")</x:f>
        <x:v>PASS</x:v>
      </x:c>
    </x:row>
    <x:row r="1301">
      <x:c r="B1301" s="21" t="str">
        <x:v>C1295</x:v>
      </x:c>
      <x:c r="C1301" s="21" t="str">
        <x:v>stage build</x:v>
      </x:c>
      <x:c r="D1301" s="21" t="str">
        <x:v>designed ratio identity row 222</x:v>
      </x:c>
      <x:c r="E1301" s="21" t="n">
        <x:f>IF(ABS('Stage Build'!K222-'Stage Build'!I222-'Stage Build'!J222)&lt;0.000001,1,0)</x:f>
        <x:v>1</x:v>
      </x:c>
      <x:c r="F1301" s="21" t="n">
        <x:v>1</x:v>
      </x:c>
      <x:c r="G1301" s="23" t="str">
        <x:f>IF(E1301=F1301,"PASS","FAIL")</x:f>
        <x:v>PASS</x:v>
      </x:c>
    </x:row>
    <x:row r="1302">
      <x:c r="B1302" s="21" t="str">
        <x:v>C1296</x:v>
      </x:c>
      <x:c r="C1302" s="21" t="str">
        <x:v>stage build</x:v>
      </x:c>
      <x:c r="D1302" s="21" t="str">
        <x:v>M05 status identity row 222</x:v>
      </x:c>
      <x:c r="E1302" s="21" t="n">
        <x:f>IF('Stage Build'!L222=IF('Stage Build'!K222&gt;=Assumptions!$C$9,"ADEQUATE","GAP"),1,0)</x:f>
        <x:v>1</x:v>
      </x:c>
      <x:c r="F1302" s="21" t="n">
        <x:v>1</x:v>
      </x:c>
      <x:c r="G1302" s="23" t="str">
        <x:f>IF(E1302=F1302,"PASS","FAIL")</x:f>
        <x:v>PASS</x:v>
      </x:c>
    </x:row>
    <x:row r="1303">
      <x:c r="B1303" s="21" t="str">
        <x:v>C1297</x:v>
      </x:c>
      <x:c r="C1303" s="21" t="str">
        <x:v>stage build</x:v>
      </x:c>
      <x:c r="D1303" s="21" t="str">
        <x:v>baseline nonnegative row 223</x:v>
      </x:c>
      <x:c r="E1303" s="21" t="n">
        <x:f>IF('Stage Build'!F223&gt;=0,1,0)</x:f>
        <x:v>1</x:v>
      </x:c>
      <x:c r="F1303" s="21" t="n">
        <x:v>1</x:v>
      </x:c>
      <x:c r="G1303" s="23" t="str">
        <x:f>IF(E1303=F1303,"PASS","FAIL")</x:f>
        <x:v>PASS</x:v>
      </x:c>
    </x:row>
    <x:row r="1304">
      <x:c r="B1304" s="21" t="str">
        <x:v>C1298</x:v>
      </x:c>
      <x:c r="C1304" s="21" t="str">
        <x:v>stage build</x:v>
      </x:c>
      <x:c r="D1304" s="21" t="str">
        <x:v>targeted additions nonnegative row 223</x:v>
      </x:c>
      <x:c r="E1304" s="21" t="n">
        <x:f>IF(AND('Stage Build'!G223&gt;=0,'Stage Build'!H223&gt;=0),1,0)</x:f>
        <x:v>1</x:v>
      </x:c>
      <x:c r="F1304" s="21" t="n">
        <x:v>1</x:v>
      </x:c>
      <x:c r="G1304" s="23" t="str">
        <x:f>IF(E1304=F1304,"PASS","FAIL")</x:f>
        <x:v>PASS</x:v>
      </x:c>
    </x:row>
    <x:row r="1305">
      <x:c r="B1305" s="21" t="str">
        <x:v>C1299</x:v>
      </x:c>
      <x:c r="C1305" s="21" t="str">
        <x:v>stage build</x:v>
      </x:c>
      <x:c r="D1305" s="21" t="str">
        <x:v>pre-replication identity row 223</x:v>
      </x:c>
      <x:c r="E1305" s="21" t="n">
        <x:f>IF(ABS('Stage Build'!I223-SUM('Stage Build'!F223:H223))&lt;0.000001,1,0)</x:f>
        <x:v>1</x:v>
      </x:c>
      <x:c r="F1305" s="21" t="n">
        <x:v>1</x:v>
      </x:c>
      <x:c r="G1305" s="23" t="str">
        <x:f>IF(E1305=F1305,"PASS","FAIL")</x:f>
        <x:v>PASS</x:v>
      </x:c>
    </x:row>
    <x:row r="1306">
      <x:c r="B1306" s="21" t="str">
        <x:v>C1300</x:v>
      </x:c>
      <x:c r="C1306" s="21" t="str">
        <x:v>stage build</x:v>
      </x:c>
      <x:c r="D1306" s="21" t="str">
        <x:v>replication layer nonnegative row 223</x:v>
      </x:c>
      <x:c r="E1306" s="21" t="n">
        <x:f>IF('Stage Build'!J223&gt;=0,1,0)</x:f>
        <x:v>1</x:v>
      </x:c>
      <x:c r="F1306" s="21" t="n">
        <x:v>1</x:v>
      </x:c>
      <x:c r="G1306" s="23" t="str">
        <x:f>IF(E1306=F1306,"PASS","FAIL")</x:f>
        <x:v>PASS</x:v>
      </x:c>
    </x:row>
    <x:row r="1307">
      <x:c r="B1307" s="21" t="str">
        <x:v>C1301</x:v>
      </x:c>
      <x:c r="C1307" s="21" t="str">
        <x:v>stage build</x:v>
      </x:c>
      <x:c r="D1307" s="21" t="str">
        <x:v>designed ratio identity row 223</x:v>
      </x:c>
      <x:c r="E1307" s="21" t="n">
        <x:f>IF(ABS('Stage Build'!K223-'Stage Build'!I223-'Stage Build'!J223)&lt;0.000001,1,0)</x:f>
        <x:v>1</x:v>
      </x:c>
      <x:c r="F1307" s="21" t="n">
        <x:v>1</x:v>
      </x:c>
      <x:c r="G1307" s="23" t="str">
        <x:f>IF(E1307=F1307,"PASS","FAIL")</x:f>
        <x:v>PASS</x:v>
      </x:c>
    </x:row>
    <x:row r="1308">
      <x:c r="B1308" s="21" t="str">
        <x:v>C1302</x:v>
      </x:c>
      <x:c r="C1308" s="21" t="str">
        <x:v>stage build</x:v>
      </x:c>
      <x:c r="D1308" s="21" t="str">
        <x:v>M05 status identity row 223</x:v>
      </x:c>
      <x:c r="E1308" s="21" t="n">
        <x:f>IF('Stage Build'!L223=IF('Stage Build'!K223&gt;=Assumptions!$C$9,"ADEQUATE","GAP"),1,0)</x:f>
        <x:v>1</x:v>
      </x:c>
      <x:c r="F1308" s="21" t="n">
        <x:v>1</x:v>
      </x:c>
      <x:c r="G1308" s="23" t="str">
        <x:f>IF(E1308=F1308,"PASS","FAIL")</x:f>
        <x:v>PASS</x:v>
      </x:c>
    </x:row>
    <x:row r="1309">
      <x:c r="B1309" s="21" t="str">
        <x:v>C1303</x:v>
      </x:c>
      <x:c r="C1309" s="21" t="str">
        <x:v>stage build</x:v>
      </x:c>
      <x:c r="D1309" s="21" t="str">
        <x:v>baseline nonnegative row 224</x:v>
      </x:c>
      <x:c r="E1309" s="21" t="n">
        <x:f>IF('Stage Build'!F224&gt;=0,1,0)</x:f>
        <x:v>1</x:v>
      </x:c>
      <x:c r="F1309" s="21" t="n">
        <x:v>1</x:v>
      </x:c>
      <x:c r="G1309" s="23" t="str">
        <x:f>IF(E1309=F1309,"PASS","FAIL")</x:f>
        <x:v>PASS</x:v>
      </x:c>
    </x:row>
    <x:row r="1310">
      <x:c r="B1310" s="21" t="str">
        <x:v>C1304</x:v>
      </x:c>
      <x:c r="C1310" s="21" t="str">
        <x:v>stage build</x:v>
      </x:c>
      <x:c r="D1310" s="21" t="str">
        <x:v>targeted additions nonnegative row 224</x:v>
      </x:c>
      <x:c r="E1310" s="21" t="n">
        <x:f>IF(AND('Stage Build'!G224&gt;=0,'Stage Build'!H224&gt;=0),1,0)</x:f>
        <x:v>1</x:v>
      </x:c>
      <x:c r="F1310" s="21" t="n">
        <x:v>1</x:v>
      </x:c>
      <x:c r="G1310" s="23" t="str">
        <x:f>IF(E1310=F1310,"PASS","FAIL")</x:f>
        <x:v>PASS</x:v>
      </x:c>
    </x:row>
    <x:row r="1311">
      <x:c r="B1311" s="21" t="str">
        <x:v>C1305</x:v>
      </x:c>
      <x:c r="C1311" s="21" t="str">
        <x:v>stage build</x:v>
      </x:c>
      <x:c r="D1311" s="21" t="str">
        <x:v>pre-replication identity row 224</x:v>
      </x:c>
      <x:c r="E1311" s="21" t="n">
        <x:f>IF(ABS('Stage Build'!I224-SUM('Stage Build'!F224:H224))&lt;0.000001,1,0)</x:f>
        <x:v>1</x:v>
      </x:c>
      <x:c r="F1311" s="21" t="n">
        <x:v>1</x:v>
      </x:c>
      <x:c r="G1311" s="23" t="str">
        <x:f>IF(E1311=F1311,"PASS","FAIL")</x:f>
        <x:v>PASS</x:v>
      </x:c>
    </x:row>
    <x:row r="1312">
      <x:c r="B1312" s="21" t="str">
        <x:v>C1306</x:v>
      </x:c>
      <x:c r="C1312" s="21" t="str">
        <x:v>stage build</x:v>
      </x:c>
      <x:c r="D1312" s="21" t="str">
        <x:v>replication layer nonnegative row 224</x:v>
      </x:c>
      <x:c r="E1312" s="21" t="n">
        <x:f>IF('Stage Build'!J224&gt;=0,1,0)</x:f>
        <x:v>1</x:v>
      </x:c>
      <x:c r="F1312" s="21" t="n">
        <x:v>1</x:v>
      </x:c>
      <x:c r="G1312" s="23" t="str">
        <x:f>IF(E1312=F1312,"PASS","FAIL")</x:f>
        <x:v>PASS</x:v>
      </x:c>
    </x:row>
    <x:row r="1313">
      <x:c r="B1313" s="21" t="str">
        <x:v>C1307</x:v>
      </x:c>
      <x:c r="C1313" s="21" t="str">
        <x:v>stage build</x:v>
      </x:c>
      <x:c r="D1313" s="21" t="str">
        <x:v>designed ratio identity row 224</x:v>
      </x:c>
      <x:c r="E1313" s="21" t="n">
        <x:f>IF(ABS('Stage Build'!K224-'Stage Build'!I224-'Stage Build'!J224)&lt;0.000001,1,0)</x:f>
        <x:v>1</x:v>
      </x:c>
      <x:c r="F1313" s="21" t="n">
        <x:v>1</x:v>
      </x:c>
      <x:c r="G1313" s="23" t="str">
        <x:f>IF(E1313=F1313,"PASS","FAIL")</x:f>
        <x:v>PASS</x:v>
      </x:c>
    </x:row>
    <x:row r="1314">
      <x:c r="B1314" s="21" t="str">
        <x:v>C1308</x:v>
      </x:c>
      <x:c r="C1314" s="21" t="str">
        <x:v>stage build</x:v>
      </x:c>
      <x:c r="D1314" s="21" t="str">
        <x:v>M05 status identity row 224</x:v>
      </x:c>
      <x:c r="E1314" s="21" t="n">
        <x:f>IF('Stage Build'!L224=IF('Stage Build'!K224&gt;=Assumptions!$C$9,"ADEQUATE","GAP"),1,0)</x:f>
        <x:v>1</x:v>
      </x:c>
      <x:c r="F1314" s="21" t="n">
        <x:v>1</x:v>
      </x:c>
      <x:c r="G1314" s="23" t="str">
        <x:f>IF(E1314=F1314,"PASS","FAIL")</x:f>
        <x:v>PASS</x:v>
      </x:c>
    </x:row>
    <x:row r="1315">
      <x:c r="B1315" s="21" t="str">
        <x:v>C1309</x:v>
      </x:c>
      <x:c r="C1315" s="21" t="str">
        <x:v>stage build</x:v>
      </x:c>
      <x:c r="D1315" s="21" t="str">
        <x:v>baseline nonnegative row 225</x:v>
      </x:c>
      <x:c r="E1315" s="21" t="n">
        <x:f>IF('Stage Build'!F225&gt;=0,1,0)</x:f>
        <x:v>1</x:v>
      </x:c>
      <x:c r="F1315" s="21" t="n">
        <x:v>1</x:v>
      </x:c>
      <x:c r="G1315" s="23" t="str">
        <x:f>IF(E1315=F1315,"PASS","FAIL")</x:f>
        <x:v>PASS</x:v>
      </x:c>
    </x:row>
    <x:row r="1316">
      <x:c r="B1316" s="21" t="str">
        <x:v>C1310</x:v>
      </x:c>
      <x:c r="C1316" s="21" t="str">
        <x:v>stage build</x:v>
      </x:c>
      <x:c r="D1316" s="21" t="str">
        <x:v>targeted additions nonnegative row 225</x:v>
      </x:c>
      <x:c r="E1316" s="21" t="n">
        <x:f>IF(AND('Stage Build'!G225&gt;=0,'Stage Build'!H225&gt;=0),1,0)</x:f>
        <x:v>1</x:v>
      </x:c>
      <x:c r="F1316" s="21" t="n">
        <x:v>1</x:v>
      </x:c>
      <x:c r="G1316" s="23" t="str">
        <x:f>IF(E1316=F1316,"PASS","FAIL")</x:f>
        <x:v>PASS</x:v>
      </x:c>
    </x:row>
    <x:row r="1317">
      <x:c r="B1317" s="21" t="str">
        <x:v>C1311</x:v>
      </x:c>
      <x:c r="C1317" s="21" t="str">
        <x:v>stage build</x:v>
      </x:c>
      <x:c r="D1317" s="21" t="str">
        <x:v>pre-replication identity row 225</x:v>
      </x:c>
      <x:c r="E1317" s="21" t="n">
        <x:f>IF(ABS('Stage Build'!I225-SUM('Stage Build'!F225:H225))&lt;0.000001,1,0)</x:f>
        <x:v>1</x:v>
      </x:c>
      <x:c r="F1317" s="21" t="n">
        <x:v>1</x:v>
      </x:c>
      <x:c r="G1317" s="23" t="str">
        <x:f>IF(E1317=F1317,"PASS","FAIL")</x:f>
        <x:v>PASS</x:v>
      </x:c>
    </x:row>
    <x:row r="1318">
      <x:c r="B1318" s="21" t="str">
        <x:v>C1312</x:v>
      </x:c>
      <x:c r="C1318" s="21" t="str">
        <x:v>stage build</x:v>
      </x:c>
      <x:c r="D1318" s="21" t="str">
        <x:v>replication layer nonnegative row 225</x:v>
      </x:c>
      <x:c r="E1318" s="21" t="n">
        <x:f>IF('Stage Build'!J225&gt;=0,1,0)</x:f>
        <x:v>1</x:v>
      </x:c>
      <x:c r="F1318" s="21" t="n">
        <x:v>1</x:v>
      </x:c>
      <x:c r="G1318" s="23" t="str">
        <x:f>IF(E1318=F1318,"PASS","FAIL")</x:f>
        <x:v>PASS</x:v>
      </x:c>
    </x:row>
    <x:row r="1319">
      <x:c r="B1319" s="21" t="str">
        <x:v>C1313</x:v>
      </x:c>
      <x:c r="C1319" s="21" t="str">
        <x:v>stage build</x:v>
      </x:c>
      <x:c r="D1319" s="21" t="str">
        <x:v>designed ratio identity row 225</x:v>
      </x:c>
      <x:c r="E1319" s="21" t="n">
        <x:f>IF(ABS('Stage Build'!K225-'Stage Build'!I225-'Stage Build'!J225)&lt;0.000001,1,0)</x:f>
        <x:v>1</x:v>
      </x:c>
      <x:c r="F1319" s="21" t="n">
        <x:v>1</x:v>
      </x:c>
      <x:c r="G1319" s="23" t="str">
        <x:f>IF(E1319=F1319,"PASS","FAIL")</x:f>
        <x:v>PASS</x:v>
      </x:c>
    </x:row>
    <x:row r="1320">
      <x:c r="B1320" s="21" t="str">
        <x:v>C1314</x:v>
      </x:c>
      <x:c r="C1320" s="21" t="str">
        <x:v>stage build</x:v>
      </x:c>
      <x:c r="D1320" s="21" t="str">
        <x:v>M05 status identity row 225</x:v>
      </x:c>
      <x:c r="E1320" s="21" t="n">
        <x:f>IF('Stage Build'!L225=IF('Stage Build'!K225&gt;=Assumptions!$C$9,"ADEQUATE","GAP"),1,0)</x:f>
        <x:v>1</x:v>
      </x:c>
      <x:c r="F1320" s="21" t="n">
        <x:v>1</x:v>
      </x:c>
      <x:c r="G1320" s="23" t="str">
        <x:f>IF(E1320=F1320,"PASS","FAIL")</x:f>
        <x:v>PASS</x:v>
      </x:c>
    </x:row>
    <x:row r="1321">
      <x:c r="B1321" s="21" t="str">
        <x:v>C1315</x:v>
      </x:c>
      <x:c r="C1321" s="21" t="str">
        <x:v>stage build</x:v>
      </x:c>
      <x:c r="D1321" s="21" t="str">
        <x:v>baseline nonnegative row 226</x:v>
      </x:c>
      <x:c r="E1321" s="21" t="n">
        <x:f>IF('Stage Build'!F226&gt;=0,1,0)</x:f>
        <x:v>1</x:v>
      </x:c>
      <x:c r="F1321" s="21" t="n">
        <x:v>1</x:v>
      </x:c>
      <x:c r="G1321" s="23" t="str">
        <x:f>IF(E1321=F1321,"PASS","FAIL")</x:f>
        <x:v>PASS</x:v>
      </x:c>
    </x:row>
    <x:row r="1322">
      <x:c r="B1322" s="21" t="str">
        <x:v>C1316</x:v>
      </x:c>
      <x:c r="C1322" s="21" t="str">
        <x:v>stage build</x:v>
      </x:c>
      <x:c r="D1322" s="21" t="str">
        <x:v>targeted additions nonnegative row 226</x:v>
      </x:c>
      <x:c r="E1322" s="21" t="n">
        <x:f>IF(AND('Stage Build'!G226&gt;=0,'Stage Build'!H226&gt;=0),1,0)</x:f>
        <x:v>1</x:v>
      </x:c>
      <x:c r="F1322" s="21" t="n">
        <x:v>1</x:v>
      </x:c>
      <x:c r="G1322" s="23" t="str">
        <x:f>IF(E1322=F1322,"PASS","FAIL")</x:f>
        <x:v>PASS</x:v>
      </x:c>
    </x:row>
    <x:row r="1323">
      <x:c r="B1323" s="21" t="str">
        <x:v>C1317</x:v>
      </x:c>
      <x:c r="C1323" s="21" t="str">
        <x:v>stage build</x:v>
      </x:c>
      <x:c r="D1323" s="21" t="str">
        <x:v>pre-replication identity row 226</x:v>
      </x:c>
      <x:c r="E1323" s="21" t="n">
        <x:f>IF(ABS('Stage Build'!I226-SUM('Stage Build'!F226:H226))&lt;0.000001,1,0)</x:f>
        <x:v>1</x:v>
      </x:c>
      <x:c r="F1323" s="21" t="n">
        <x:v>1</x:v>
      </x:c>
      <x:c r="G1323" s="23" t="str">
        <x:f>IF(E1323=F1323,"PASS","FAIL")</x:f>
        <x:v>PASS</x:v>
      </x:c>
    </x:row>
    <x:row r="1324">
      <x:c r="B1324" s="21" t="str">
        <x:v>C1318</x:v>
      </x:c>
      <x:c r="C1324" s="21" t="str">
        <x:v>stage build</x:v>
      </x:c>
      <x:c r="D1324" s="21" t="str">
        <x:v>replication layer nonnegative row 226</x:v>
      </x:c>
      <x:c r="E1324" s="21" t="n">
        <x:f>IF('Stage Build'!J226&gt;=0,1,0)</x:f>
        <x:v>1</x:v>
      </x:c>
      <x:c r="F1324" s="21" t="n">
        <x:v>1</x:v>
      </x:c>
      <x:c r="G1324" s="23" t="str">
        <x:f>IF(E1324=F1324,"PASS","FAIL")</x:f>
        <x:v>PASS</x:v>
      </x:c>
    </x:row>
    <x:row r="1325">
      <x:c r="B1325" s="21" t="str">
        <x:v>C1319</x:v>
      </x:c>
      <x:c r="C1325" s="21" t="str">
        <x:v>stage build</x:v>
      </x:c>
      <x:c r="D1325" s="21" t="str">
        <x:v>designed ratio identity row 226</x:v>
      </x:c>
      <x:c r="E1325" s="21" t="n">
        <x:f>IF(ABS('Stage Build'!K226-'Stage Build'!I226-'Stage Build'!J226)&lt;0.000001,1,0)</x:f>
        <x:v>1</x:v>
      </x:c>
      <x:c r="F1325" s="21" t="n">
        <x:v>1</x:v>
      </x:c>
      <x:c r="G1325" s="23" t="str">
        <x:f>IF(E1325=F1325,"PASS","FAIL")</x:f>
        <x:v>PASS</x:v>
      </x:c>
    </x:row>
    <x:row r="1326">
      <x:c r="B1326" s="21" t="str">
        <x:v>C1320</x:v>
      </x:c>
      <x:c r="C1326" s="21" t="str">
        <x:v>stage build</x:v>
      </x:c>
      <x:c r="D1326" s="21" t="str">
        <x:v>M05 status identity row 226</x:v>
      </x:c>
      <x:c r="E1326" s="21" t="n">
        <x:f>IF('Stage Build'!L226=IF('Stage Build'!K226&gt;=Assumptions!$C$9,"ADEQUATE","GAP"),1,0)</x:f>
        <x:v>1</x:v>
      </x:c>
      <x:c r="F1326" s="21" t="n">
        <x:v>1</x:v>
      </x:c>
      <x:c r="G1326" s="23" t="str">
        <x:f>IF(E1326=F1326,"PASS","FAIL")</x:f>
        <x:v>PASS</x:v>
      </x:c>
    </x:row>
    <x:row r="1327">
      <x:c r="B1327" s="21" t="str">
        <x:v>C1321</x:v>
      </x:c>
      <x:c r="C1327" s="21" t="str">
        <x:v>stage build</x:v>
      </x:c>
      <x:c r="D1327" s="21" t="str">
        <x:v>baseline nonnegative row 227</x:v>
      </x:c>
      <x:c r="E1327" s="21" t="n">
        <x:f>IF('Stage Build'!F227&gt;=0,1,0)</x:f>
        <x:v>1</x:v>
      </x:c>
      <x:c r="F1327" s="21" t="n">
        <x:v>1</x:v>
      </x:c>
      <x:c r="G1327" s="23" t="str">
        <x:f>IF(E1327=F1327,"PASS","FAIL")</x:f>
        <x:v>PASS</x:v>
      </x:c>
    </x:row>
    <x:row r="1328">
      <x:c r="B1328" s="21" t="str">
        <x:v>C1322</x:v>
      </x:c>
      <x:c r="C1328" s="21" t="str">
        <x:v>stage build</x:v>
      </x:c>
      <x:c r="D1328" s="21" t="str">
        <x:v>targeted additions nonnegative row 227</x:v>
      </x:c>
      <x:c r="E1328" s="21" t="n">
        <x:f>IF(AND('Stage Build'!G227&gt;=0,'Stage Build'!H227&gt;=0),1,0)</x:f>
        <x:v>1</x:v>
      </x:c>
      <x:c r="F1328" s="21" t="n">
        <x:v>1</x:v>
      </x:c>
      <x:c r="G1328" s="23" t="str">
        <x:f>IF(E1328=F1328,"PASS","FAIL")</x:f>
        <x:v>PASS</x:v>
      </x:c>
    </x:row>
    <x:row r="1329">
      <x:c r="B1329" s="21" t="str">
        <x:v>C1323</x:v>
      </x:c>
      <x:c r="C1329" s="21" t="str">
        <x:v>stage build</x:v>
      </x:c>
      <x:c r="D1329" s="21" t="str">
        <x:v>pre-replication identity row 227</x:v>
      </x:c>
      <x:c r="E1329" s="21" t="n">
        <x:f>IF(ABS('Stage Build'!I227-SUM('Stage Build'!F227:H227))&lt;0.000001,1,0)</x:f>
        <x:v>1</x:v>
      </x:c>
      <x:c r="F1329" s="21" t="n">
        <x:v>1</x:v>
      </x:c>
      <x:c r="G1329" s="23" t="str">
        <x:f>IF(E1329=F1329,"PASS","FAIL")</x:f>
        <x:v>PASS</x:v>
      </x:c>
    </x:row>
    <x:row r="1330">
      <x:c r="B1330" s="21" t="str">
        <x:v>C1324</x:v>
      </x:c>
      <x:c r="C1330" s="21" t="str">
        <x:v>stage build</x:v>
      </x:c>
      <x:c r="D1330" s="21" t="str">
        <x:v>replication layer nonnegative row 227</x:v>
      </x:c>
      <x:c r="E1330" s="21" t="n">
        <x:f>IF('Stage Build'!J227&gt;=0,1,0)</x:f>
        <x:v>1</x:v>
      </x:c>
      <x:c r="F1330" s="21" t="n">
        <x:v>1</x:v>
      </x:c>
      <x:c r="G1330" s="23" t="str">
        <x:f>IF(E1330=F1330,"PASS","FAIL")</x:f>
        <x:v>PASS</x:v>
      </x:c>
    </x:row>
    <x:row r="1331">
      <x:c r="B1331" s="21" t="str">
        <x:v>C1325</x:v>
      </x:c>
      <x:c r="C1331" s="21" t="str">
        <x:v>stage build</x:v>
      </x:c>
      <x:c r="D1331" s="21" t="str">
        <x:v>designed ratio identity row 227</x:v>
      </x:c>
      <x:c r="E1331" s="21" t="n">
        <x:f>IF(ABS('Stage Build'!K227-'Stage Build'!I227-'Stage Build'!J227)&lt;0.000001,1,0)</x:f>
        <x:v>1</x:v>
      </x:c>
      <x:c r="F1331" s="21" t="n">
        <x:v>1</x:v>
      </x:c>
      <x:c r="G1331" s="23" t="str">
        <x:f>IF(E1331=F1331,"PASS","FAIL")</x:f>
        <x:v>PASS</x:v>
      </x:c>
    </x:row>
    <x:row r="1332">
      <x:c r="B1332" s="21" t="str">
        <x:v>C1326</x:v>
      </x:c>
      <x:c r="C1332" s="21" t="str">
        <x:v>stage build</x:v>
      </x:c>
      <x:c r="D1332" s="21" t="str">
        <x:v>M05 status identity row 227</x:v>
      </x:c>
      <x:c r="E1332" s="21" t="n">
        <x:f>IF('Stage Build'!L227=IF('Stage Build'!K227&gt;=Assumptions!$C$9,"ADEQUATE","GAP"),1,0)</x:f>
        <x:v>1</x:v>
      </x:c>
      <x:c r="F1332" s="21" t="n">
        <x:v>1</x:v>
      </x:c>
      <x:c r="G1332" s="23" t="str">
        <x:f>IF(E1332=F1332,"PASS","FAIL")</x:f>
        <x:v>PASS</x:v>
      </x:c>
    </x:row>
    <x:row r="1333">
      <x:c r="B1333" s="21" t="str">
        <x:v>C1327</x:v>
      </x:c>
      <x:c r="C1333" s="21" t="str">
        <x:v>stage build</x:v>
      </x:c>
      <x:c r="D1333" s="21" t="str">
        <x:v>baseline nonnegative row 228</x:v>
      </x:c>
      <x:c r="E1333" s="21" t="n">
        <x:f>IF('Stage Build'!F228&gt;=0,1,0)</x:f>
        <x:v>1</x:v>
      </x:c>
      <x:c r="F1333" s="21" t="n">
        <x:v>1</x:v>
      </x:c>
      <x:c r="G1333" s="23" t="str">
        <x:f>IF(E1333=F1333,"PASS","FAIL")</x:f>
        <x:v>PASS</x:v>
      </x:c>
    </x:row>
    <x:row r="1334">
      <x:c r="B1334" s="21" t="str">
        <x:v>C1328</x:v>
      </x:c>
      <x:c r="C1334" s="21" t="str">
        <x:v>stage build</x:v>
      </x:c>
      <x:c r="D1334" s="21" t="str">
        <x:v>targeted additions nonnegative row 228</x:v>
      </x:c>
      <x:c r="E1334" s="21" t="n">
        <x:f>IF(AND('Stage Build'!G228&gt;=0,'Stage Build'!H228&gt;=0),1,0)</x:f>
        <x:v>1</x:v>
      </x:c>
      <x:c r="F1334" s="21" t="n">
        <x:v>1</x:v>
      </x:c>
      <x:c r="G1334" s="23" t="str">
        <x:f>IF(E1334=F1334,"PASS","FAIL")</x:f>
        <x:v>PASS</x:v>
      </x:c>
    </x:row>
    <x:row r="1335">
      <x:c r="B1335" s="21" t="str">
        <x:v>C1329</x:v>
      </x:c>
      <x:c r="C1335" s="21" t="str">
        <x:v>stage build</x:v>
      </x:c>
      <x:c r="D1335" s="21" t="str">
        <x:v>pre-replication identity row 228</x:v>
      </x:c>
      <x:c r="E1335" s="21" t="n">
        <x:f>IF(ABS('Stage Build'!I228-SUM('Stage Build'!F228:H228))&lt;0.000001,1,0)</x:f>
        <x:v>1</x:v>
      </x:c>
      <x:c r="F1335" s="21" t="n">
        <x:v>1</x:v>
      </x:c>
      <x:c r="G1335" s="23" t="str">
        <x:f>IF(E1335=F1335,"PASS","FAIL")</x:f>
        <x:v>PASS</x:v>
      </x:c>
    </x:row>
    <x:row r="1336">
      <x:c r="B1336" s="21" t="str">
        <x:v>C1330</x:v>
      </x:c>
      <x:c r="C1336" s="21" t="str">
        <x:v>stage build</x:v>
      </x:c>
      <x:c r="D1336" s="21" t="str">
        <x:v>replication layer nonnegative row 228</x:v>
      </x:c>
      <x:c r="E1336" s="21" t="n">
        <x:f>IF('Stage Build'!J228&gt;=0,1,0)</x:f>
        <x:v>1</x:v>
      </x:c>
      <x:c r="F1336" s="21" t="n">
        <x:v>1</x:v>
      </x:c>
      <x:c r="G1336" s="23" t="str">
        <x:f>IF(E1336=F1336,"PASS","FAIL")</x:f>
        <x:v>PASS</x:v>
      </x:c>
    </x:row>
    <x:row r="1337">
      <x:c r="B1337" s="21" t="str">
        <x:v>C1331</x:v>
      </x:c>
      <x:c r="C1337" s="21" t="str">
        <x:v>stage build</x:v>
      </x:c>
      <x:c r="D1337" s="21" t="str">
        <x:v>designed ratio identity row 228</x:v>
      </x:c>
      <x:c r="E1337" s="21" t="n">
        <x:f>IF(ABS('Stage Build'!K228-'Stage Build'!I228-'Stage Build'!J228)&lt;0.000001,1,0)</x:f>
        <x:v>1</x:v>
      </x:c>
      <x:c r="F1337" s="21" t="n">
        <x:v>1</x:v>
      </x:c>
      <x:c r="G1337" s="23" t="str">
        <x:f>IF(E1337=F1337,"PASS","FAIL")</x:f>
        <x:v>PASS</x:v>
      </x:c>
    </x:row>
    <x:row r="1338">
      <x:c r="B1338" s="21" t="str">
        <x:v>C1332</x:v>
      </x:c>
      <x:c r="C1338" s="21" t="str">
        <x:v>stage build</x:v>
      </x:c>
      <x:c r="D1338" s="21" t="str">
        <x:v>M05 status identity row 228</x:v>
      </x:c>
      <x:c r="E1338" s="21" t="n">
        <x:f>IF('Stage Build'!L228=IF('Stage Build'!K228&gt;=Assumptions!$C$9,"ADEQUATE","GAP"),1,0)</x:f>
        <x:v>1</x:v>
      </x:c>
      <x:c r="F1338" s="21" t="n">
        <x:v>1</x:v>
      </x:c>
      <x:c r="G1338" s="23" t="str">
        <x:f>IF(E1338=F1338,"PASS","FAIL")</x:f>
        <x:v>PASS</x:v>
      </x:c>
    </x:row>
    <x:row r="1339">
      <x:c r="B1339" s="21" t="str">
        <x:v>C1333</x:v>
      </x:c>
      <x:c r="C1339" s="21" t="str">
        <x:v>stage build</x:v>
      </x:c>
      <x:c r="D1339" s="21" t="str">
        <x:v>baseline nonnegative row 229</x:v>
      </x:c>
      <x:c r="E1339" s="21" t="n">
        <x:f>IF('Stage Build'!F229&gt;=0,1,0)</x:f>
        <x:v>1</x:v>
      </x:c>
      <x:c r="F1339" s="21" t="n">
        <x:v>1</x:v>
      </x:c>
      <x:c r="G1339" s="23" t="str">
        <x:f>IF(E1339=F1339,"PASS","FAIL")</x:f>
        <x:v>PASS</x:v>
      </x:c>
    </x:row>
    <x:row r="1340">
      <x:c r="B1340" s="21" t="str">
        <x:v>C1334</x:v>
      </x:c>
      <x:c r="C1340" s="21" t="str">
        <x:v>stage build</x:v>
      </x:c>
      <x:c r="D1340" s="21" t="str">
        <x:v>targeted additions nonnegative row 229</x:v>
      </x:c>
      <x:c r="E1340" s="21" t="n">
        <x:f>IF(AND('Stage Build'!G229&gt;=0,'Stage Build'!H229&gt;=0),1,0)</x:f>
        <x:v>1</x:v>
      </x:c>
      <x:c r="F1340" s="21" t="n">
        <x:v>1</x:v>
      </x:c>
      <x:c r="G1340" s="23" t="str">
        <x:f>IF(E1340=F1340,"PASS","FAIL")</x:f>
        <x:v>PASS</x:v>
      </x:c>
    </x:row>
    <x:row r="1341">
      <x:c r="B1341" s="21" t="str">
        <x:v>C1335</x:v>
      </x:c>
      <x:c r="C1341" s="21" t="str">
        <x:v>stage build</x:v>
      </x:c>
      <x:c r="D1341" s="21" t="str">
        <x:v>pre-replication identity row 229</x:v>
      </x:c>
      <x:c r="E1341" s="21" t="n">
        <x:f>IF(ABS('Stage Build'!I229-SUM('Stage Build'!F229:H229))&lt;0.000001,1,0)</x:f>
        <x:v>1</x:v>
      </x:c>
      <x:c r="F1341" s="21" t="n">
        <x:v>1</x:v>
      </x:c>
      <x:c r="G1341" s="23" t="str">
        <x:f>IF(E1341=F1341,"PASS","FAIL")</x:f>
        <x:v>PASS</x:v>
      </x:c>
    </x:row>
    <x:row r="1342">
      <x:c r="B1342" s="21" t="str">
        <x:v>C1336</x:v>
      </x:c>
      <x:c r="C1342" s="21" t="str">
        <x:v>stage build</x:v>
      </x:c>
      <x:c r="D1342" s="21" t="str">
        <x:v>replication layer nonnegative row 229</x:v>
      </x:c>
      <x:c r="E1342" s="21" t="n">
        <x:f>IF('Stage Build'!J229&gt;=0,1,0)</x:f>
        <x:v>1</x:v>
      </x:c>
      <x:c r="F1342" s="21" t="n">
        <x:v>1</x:v>
      </x:c>
      <x:c r="G1342" s="23" t="str">
        <x:f>IF(E1342=F1342,"PASS","FAIL")</x:f>
        <x:v>PASS</x:v>
      </x:c>
    </x:row>
    <x:row r="1343">
      <x:c r="B1343" s="21" t="str">
        <x:v>C1337</x:v>
      </x:c>
      <x:c r="C1343" s="21" t="str">
        <x:v>stage build</x:v>
      </x:c>
      <x:c r="D1343" s="21" t="str">
        <x:v>designed ratio identity row 229</x:v>
      </x:c>
      <x:c r="E1343" s="21" t="n">
        <x:f>IF(ABS('Stage Build'!K229-'Stage Build'!I229-'Stage Build'!J229)&lt;0.000001,1,0)</x:f>
        <x:v>1</x:v>
      </x:c>
      <x:c r="F1343" s="21" t="n">
        <x:v>1</x:v>
      </x:c>
      <x:c r="G1343" s="23" t="str">
        <x:f>IF(E1343=F1343,"PASS","FAIL")</x:f>
        <x:v>PASS</x:v>
      </x:c>
    </x:row>
    <x:row r="1344">
      <x:c r="B1344" s="21" t="str">
        <x:v>C1338</x:v>
      </x:c>
      <x:c r="C1344" s="21" t="str">
        <x:v>stage build</x:v>
      </x:c>
      <x:c r="D1344" s="21" t="str">
        <x:v>M05 status identity row 229</x:v>
      </x:c>
      <x:c r="E1344" s="21" t="n">
        <x:f>IF('Stage Build'!L229=IF('Stage Build'!K229&gt;=Assumptions!$C$9,"ADEQUATE","GAP"),1,0)</x:f>
        <x:v>1</x:v>
      </x:c>
      <x:c r="F1344" s="21" t="n">
        <x:v>1</x:v>
      </x:c>
      <x:c r="G1344" s="23" t="str">
        <x:f>IF(E1344=F1344,"PASS","FAIL")</x:f>
        <x:v>PASS</x:v>
      </x:c>
    </x:row>
    <x:row r="1345">
      <x:c r="B1345" s="21" t="str">
        <x:v>C1339</x:v>
      </x:c>
      <x:c r="C1345" s="21" t="str">
        <x:v>stage build</x:v>
      </x:c>
      <x:c r="D1345" s="21" t="str">
        <x:v>baseline nonnegative row 230</x:v>
      </x:c>
      <x:c r="E1345" s="21" t="n">
        <x:f>IF('Stage Build'!F230&gt;=0,1,0)</x:f>
        <x:v>1</x:v>
      </x:c>
      <x:c r="F1345" s="21" t="n">
        <x:v>1</x:v>
      </x:c>
      <x:c r="G1345" s="23" t="str">
        <x:f>IF(E1345=F1345,"PASS","FAIL")</x:f>
        <x:v>PASS</x:v>
      </x:c>
    </x:row>
    <x:row r="1346">
      <x:c r="B1346" s="21" t="str">
        <x:v>C1340</x:v>
      </x:c>
      <x:c r="C1346" s="21" t="str">
        <x:v>stage build</x:v>
      </x:c>
      <x:c r="D1346" s="21" t="str">
        <x:v>targeted additions nonnegative row 230</x:v>
      </x:c>
      <x:c r="E1346" s="21" t="n">
        <x:f>IF(AND('Stage Build'!G230&gt;=0,'Stage Build'!H230&gt;=0),1,0)</x:f>
        <x:v>1</x:v>
      </x:c>
      <x:c r="F1346" s="21" t="n">
        <x:v>1</x:v>
      </x:c>
      <x:c r="G1346" s="23" t="str">
        <x:f>IF(E1346=F1346,"PASS","FAIL")</x:f>
        <x:v>PASS</x:v>
      </x:c>
    </x:row>
    <x:row r="1347">
      <x:c r="B1347" s="21" t="str">
        <x:v>C1341</x:v>
      </x:c>
      <x:c r="C1347" s="21" t="str">
        <x:v>stage build</x:v>
      </x:c>
      <x:c r="D1347" s="21" t="str">
        <x:v>pre-replication identity row 230</x:v>
      </x:c>
      <x:c r="E1347" s="21" t="n">
        <x:f>IF(ABS('Stage Build'!I230-SUM('Stage Build'!F230:H230))&lt;0.000001,1,0)</x:f>
        <x:v>1</x:v>
      </x:c>
      <x:c r="F1347" s="21" t="n">
        <x:v>1</x:v>
      </x:c>
      <x:c r="G1347" s="23" t="str">
        <x:f>IF(E1347=F1347,"PASS","FAIL")</x:f>
        <x:v>PASS</x:v>
      </x:c>
    </x:row>
    <x:row r="1348">
      <x:c r="B1348" s="21" t="str">
        <x:v>C1342</x:v>
      </x:c>
      <x:c r="C1348" s="21" t="str">
        <x:v>stage build</x:v>
      </x:c>
      <x:c r="D1348" s="21" t="str">
        <x:v>replication layer nonnegative row 230</x:v>
      </x:c>
      <x:c r="E1348" s="21" t="n">
        <x:f>IF('Stage Build'!J230&gt;=0,1,0)</x:f>
        <x:v>1</x:v>
      </x:c>
      <x:c r="F1348" s="21" t="n">
        <x:v>1</x:v>
      </x:c>
      <x:c r="G1348" s="23" t="str">
        <x:f>IF(E1348=F1348,"PASS","FAIL")</x:f>
        <x:v>PASS</x:v>
      </x:c>
    </x:row>
    <x:row r="1349">
      <x:c r="B1349" s="21" t="str">
        <x:v>C1343</x:v>
      </x:c>
      <x:c r="C1349" s="21" t="str">
        <x:v>stage build</x:v>
      </x:c>
      <x:c r="D1349" s="21" t="str">
        <x:v>designed ratio identity row 230</x:v>
      </x:c>
      <x:c r="E1349" s="21" t="n">
        <x:f>IF(ABS('Stage Build'!K230-'Stage Build'!I230-'Stage Build'!J230)&lt;0.000001,1,0)</x:f>
        <x:v>1</x:v>
      </x:c>
      <x:c r="F1349" s="21" t="n">
        <x:v>1</x:v>
      </x:c>
      <x:c r="G1349" s="23" t="str">
        <x:f>IF(E1349=F1349,"PASS","FAIL")</x:f>
        <x:v>PASS</x:v>
      </x:c>
    </x:row>
    <x:row r="1350">
      <x:c r="B1350" s="21" t="str">
        <x:v>C1344</x:v>
      </x:c>
      <x:c r="C1350" s="21" t="str">
        <x:v>stage build</x:v>
      </x:c>
      <x:c r="D1350" s="21" t="str">
        <x:v>M05 status identity row 230</x:v>
      </x:c>
      <x:c r="E1350" s="21" t="n">
        <x:f>IF('Stage Build'!L230=IF('Stage Build'!K230&gt;=Assumptions!$C$9,"ADEQUATE","GAP"),1,0)</x:f>
        <x:v>1</x:v>
      </x:c>
      <x:c r="F1350" s="21" t="n">
        <x:v>1</x:v>
      </x:c>
      <x:c r="G1350" s="23" t="str">
        <x:f>IF(E1350=F1350,"PASS","FAIL")</x:f>
        <x:v>PASS</x:v>
      </x:c>
    </x:row>
    <x:row r="1351">
      <x:c r="B1351" s="21" t="str">
        <x:v>C1345</x:v>
      </x:c>
      <x:c r="C1351" s="21" t="str">
        <x:v>stage build</x:v>
      </x:c>
      <x:c r="D1351" s="21" t="str">
        <x:v>baseline nonnegative row 231</x:v>
      </x:c>
      <x:c r="E1351" s="21" t="n">
        <x:f>IF('Stage Build'!F231&gt;=0,1,0)</x:f>
        <x:v>1</x:v>
      </x:c>
      <x:c r="F1351" s="21" t="n">
        <x:v>1</x:v>
      </x:c>
      <x:c r="G1351" s="23" t="str">
        <x:f>IF(E1351=F1351,"PASS","FAIL")</x:f>
        <x:v>PASS</x:v>
      </x:c>
    </x:row>
    <x:row r="1352">
      <x:c r="B1352" s="21" t="str">
        <x:v>C1346</x:v>
      </x:c>
      <x:c r="C1352" s="21" t="str">
        <x:v>stage build</x:v>
      </x:c>
      <x:c r="D1352" s="21" t="str">
        <x:v>targeted additions nonnegative row 231</x:v>
      </x:c>
      <x:c r="E1352" s="21" t="n">
        <x:f>IF(AND('Stage Build'!G231&gt;=0,'Stage Build'!H231&gt;=0),1,0)</x:f>
        <x:v>1</x:v>
      </x:c>
      <x:c r="F1352" s="21" t="n">
        <x:v>1</x:v>
      </x:c>
      <x:c r="G1352" s="23" t="str">
        <x:f>IF(E1352=F1352,"PASS","FAIL")</x:f>
        <x:v>PASS</x:v>
      </x:c>
    </x:row>
    <x:row r="1353">
      <x:c r="B1353" s="21" t="str">
        <x:v>C1347</x:v>
      </x:c>
      <x:c r="C1353" s="21" t="str">
        <x:v>stage build</x:v>
      </x:c>
      <x:c r="D1353" s="21" t="str">
        <x:v>pre-replication identity row 231</x:v>
      </x:c>
      <x:c r="E1353" s="21" t="n">
        <x:f>IF(ABS('Stage Build'!I231-SUM('Stage Build'!F231:H231))&lt;0.000001,1,0)</x:f>
        <x:v>1</x:v>
      </x:c>
      <x:c r="F1353" s="21" t="n">
        <x:v>1</x:v>
      </x:c>
      <x:c r="G1353" s="23" t="str">
        <x:f>IF(E1353=F1353,"PASS","FAIL")</x:f>
        <x:v>PASS</x:v>
      </x:c>
    </x:row>
    <x:row r="1354">
      <x:c r="B1354" s="21" t="str">
        <x:v>C1348</x:v>
      </x:c>
      <x:c r="C1354" s="21" t="str">
        <x:v>stage build</x:v>
      </x:c>
      <x:c r="D1354" s="21" t="str">
        <x:v>replication layer nonnegative row 231</x:v>
      </x:c>
      <x:c r="E1354" s="21" t="n">
        <x:f>IF('Stage Build'!J231&gt;=0,1,0)</x:f>
        <x:v>1</x:v>
      </x:c>
      <x:c r="F1354" s="21" t="n">
        <x:v>1</x:v>
      </x:c>
      <x:c r="G1354" s="23" t="str">
        <x:f>IF(E1354=F1354,"PASS","FAIL")</x:f>
        <x:v>PASS</x:v>
      </x:c>
    </x:row>
    <x:row r="1355">
      <x:c r="B1355" s="21" t="str">
        <x:v>C1349</x:v>
      </x:c>
      <x:c r="C1355" s="21" t="str">
        <x:v>stage build</x:v>
      </x:c>
      <x:c r="D1355" s="21" t="str">
        <x:v>designed ratio identity row 231</x:v>
      </x:c>
      <x:c r="E1355" s="21" t="n">
        <x:f>IF(ABS('Stage Build'!K231-'Stage Build'!I231-'Stage Build'!J231)&lt;0.000001,1,0)</x:f>
        <x:v>1</x:v>
      </x:c>
      <x:c r="F1355" s="21" t="n">
        <x:v>1</x:v>
      </x:c>
      <x:c r="G1355" s="23" t="str">
        <x:f>IF(E1355=F1355,"PASS","FAIL")</x:f>
        <x:v>PASS</x:v>
      </x:c>
    </x:row>
    <x:row r="1356">
      <x:c r="B1356" s="21" t="str">
        <x:v>C1350</x:v>
      </x:c>
      <x:c r="C1356" s="21" t="str">
        <x:v>stage build</x:v>
      </x:c>
      <x:c r="D1356" s="21" t="str">
        <x:v>M05 status identity row 231</x:v>
      </x:c>
      <x:c r="E1356" s="21" t="n">
        <x:f>IF('Stage Build'!L231=IF('Stage Build'!K231&gt;=Assumptions!$C$9,"ADEQUATE","GAP"),1,0)</x:f>
        <x:v>1</x:v>
      </x:c>
      <x:c r="F1356" s="21" t="n">
        <x:v>1</x:v>
      </x:c>
      <x:c r="G1356" s="23" t="str">
        <x:f>IF(E1356=F1356,"PASS","FAIL")</x:f>
        <x:v>PASS</x:v>
      </x:c>
    </x:row>
    <x:row r="1357">
      <x:c r="B1357" s="21" t="str">
        <x:v>C1351</x:v>
      </x:c>
      <x:c r="C1357" s="21" t="str">
        <x:v>stage build</x:v>
      </x:c>
      <x:c r="D1357" s="21" t="str">
        <x:v>baseline nonnegative row 232</x:v>
      </x:c>
      <x:c r="E1357" s="21" t="n">
        <x:f>IF('Stage Build'!F232&gt;=0,1,0)</x:f>
        <x:v>1</x:v>
      </x:c>
      <x:c r="F1357" s="21" t="n">
        <x:v>1</x:v>
      </x:c>
      <x:c r="G1357" s="23" t="str">
        <x:f>IF(E1357=F1357,"PASS","FAIL")</x:f>
        <x:v>PASS</x:v>
      </x:c>
    </x:row>
    <x:row r="1358">
      <x:c r="B1358" s="21" t="str">
        <x:v>C1352</x:v>
      </x:c>
      <x:c r="C1358" s="21" t="str">
        <x:v>stage build</x:v>
      </x:c>
      <x:c r="D1358" s="21" t="str">
        <x:v>targeted additions nonnegative row 232</x:v>
      </x:c>
      <x:c r="E1358" s="21" t="n">
        <x:f>IF(AND('Stage Build'!G232&gt;=0,'Stage Build'!H232&gt;=0),1,0)</x:f>
        <x:v>1</x:v>
      </x:c>
      <x:c r="F1358" s="21" t="n">
        <x:v>1</x:v>
      </x:c>
      <x:c r="G1358" s="23" t="str">
        <x:f>IF(E1358=F1358,"PASS","FAIL")</x:f>
        <x:v>PASS</x:v>
      </x:c>
    </x:row>
    <x:row r="1359">
      <x:c r="B1359" s="21" t="str">
        <x:v>C1353</x:v>
      </x:c>
      <x:c r="C1359" s="21" t="str">
        <x:v>stage build</x:v>
      </x:c>
      <x:c r="D1359" s="21" t="str">
        <x:v>pre-replication identity row 232</x:v>
      </x:c>
      <x:c r="E1359" s="21" t="n">
        <x:f>IF(ABS('Stage Build'!I232-SUM('Stage Build'!F232:H232))&lt;0.000001,1,0)</x:f>
        <x:v>1</x:v>
      </x:c>
      <x:c r="F1359" s="21" t="n">
        <x:v>1</x:v>
      </x:c>
      <x:c r="G1359" s="23" t="str">
        <x:f>IF(E1359=F1359,"PASS","FAIL")</x:f>
        <x:v>PASS</x:v>
      </x:c>
    </x:row>
    <x:row r="1360">
      <x:c r="B1360" s="21" t="str">
        <x:v>C1354</x:v>
      </x:c>
      <x:c r="C1360" s="21" t="str">
        <x:v>stage build</x:v>
      </x:c>
      <x:c r="D1360" s="21" t="str">
        <x:v>replication layer nonnegative row 232</x:v>
      </x:c>
      <x:c r="E1360" s="21" t="n">
        <x:f>IF('Stage Build'!J232&gt;=0,1,0)</x:f>
        <x:v>1</x:v>
      </x:c>
      <x:c r="F1360" s="21" t="n">
        <x:v>1</x:v>
      </x:c>
      <x:c r="G1360" s="23" t="str">
        <x:f>IF(E1360=F1360,"PASS","FAIL")</x:f>
        <x:v>PASS</x:v>
      </x:c>
    </x:row>
    <x:row r="1361">
      <x:c r="B1361" s="21" t="str">
        <x:v>C1355</x:v>
      </x:c>
      <x:c r="C1361" s="21" t="str">
        <x:v>stage build</x:v>
      </x:c>
      <x:c r="D1361" s="21" t="str">
        <x:v>designed ratio identity row 232</x:v>
      </x:c>
      <x:c r="E1361" s="21" t="n">
        <x:f>IF(ABS('Stage Build'!K232-'Stage Build'!I232-'Stage Build'!J232)&lt;0.000001,1,0)</x:f>
        <x:v>1</x:v>
      </x:c>
      <x:c r="F1361" s="21" t="n">
        <x:v>1</x:v>
      </x:c>
      <x:c r="G1361" s="23" t="str">
        <x:f>IF(E1361=F1361,"PASS","FAIL")</x:f>
        <x:v>PASS</x:v>
      </x:c>
    </x:row>
    <x:row r="1362">
      <x:c r="B1362" s="21" t="str">
        <x:v>C1356</x:v>
      </x:c>
      <x:c r="C1362" s="21" t="str">
        <x:v>stage build</x:v>
      </x:c>
      <x:c r="D1362" s="21" t="str">
        <x:v>M05 status identity row 232</x:v>
      </x:c>
      <x:c r="E1362" s="21" t="n">
        <x:f>IF('Stage Build'!L232=IF('Stage Build'!K232&gt;=Assumptions!$C$9,"ADEQUATE","GAP"),1,0)</x:f>
        <x:v>1</x:v>
      </x:c>
      <x:c r="F1362" s="21" t="n">
        <x:v>1</x:v>
      </x:c>
      <x:c r="G1362" s="23" t="str">
        <x:f>IF(E1362=F1362,"PASS","FAIL")</x:f>
        <x:v>PASS</x:v>
      </x:c>
    </x:row>
    <x:row r="1363">
      <x:c r="B1363" s="21" t="str">
        <x:v>C1357</x:v>
      </x:c>
      <x:c r="C1363" s="21" t="str">
        <x:v>stage build</x:v>
      </x:c>
      <x:c r="D1363" s="21" t="str">
        <x:v>baseline nonnegative row 233</x:v>
      </x:c>
      <x:c r="E1363" s="21" t="n">
        <x:f>IF('Stage Build'!F233&gt;=0,1,0)</x:f>
        <x:v>1</x:v>
      </x:c>
      <x:c r="F1363" s="21" t="n">
        <x:v>1</x:v>
      </x:c>
      <x:c r="G1363" s="23" t="str">
        <x:f>IF(E1363=F1363,"PASS","FAIL")</x:f>
        <x:v>PASS</x:v>
      </x:c>
    </x:row>
    <x:row r="1364">
      <x:c r="B1364" s="21" t="str">
        <x:v>C1358</x:v>
      </x:c>
      <x:c r="C1364" s="21" t="str">
        <x:v>stage build</x:v>
      </x:c>
      <x:c r="D1364" s="21" t="str">
        <x:v>targeted additions nonnegative row 233</x:v>
      </x:c>
      <x:c r="E1364" s="21" t="n">
        <x:f>IF(AND('Stage Build'!G233&gt;=0,'Stage Build'!H233&gt;=0),1,0)</x:f>
        <x:v>1</x:v>
      </x:c>
      <x:c r="F1364" s="21" t="n">
        <x:v>1</x:v>
      </x:c>
      <x:c r="G1364" s="23" t="str">
        <x:f>IF(E1364=F1364,"PASS","FAIL")</x:f>
        <x:v>PASS</x:v>
      </x:c>
    </x:row>
    <x:row r="1365">
      <x:c r="B1365" s="21" t="str">
        <x:v>C1359</x:v>
      </x:c>
      <x:c r="C1365" s="21" t="str">
        <x:v>stage build</x:v>
      </x:c>
      <x:c r="D1365" s="21" t="str">
        <x:v>pre-replication identity row 233</x:v>
      </x:c>
      <x:c r="E1365" s="21" t="n">
        <x:f>IF(ABS('Stage Build'!I233-SUM('Stage Build'!F233:H233))&lt;0.000001,1,0)</x:f>
        <x:v>1</x:v>
      </x:c>
      <x:c r="F1365" s="21" t="n">
        <x:v>1</x:v>
      </x:c>
      <x:c r="G1365" s="23" t="str">
        <x:f>IF(E1365=F1365,"PASS","FAIL")</x:f>
        <x:v>PASS</x:v>
      </x:c>
    </x:row>
    <x:row r="1366">
      <x:c r="B1366" s="21" t="str">
        <x:v>C1360</x:v>
      </x:c>
      <x:c r="C1366" s="21" t="str">
        <x:v>stage build</x:v>
      </x:c>
      <x:c r="D1366" s="21" t="str">
        <x:v>replication layer nonnegative row 233</x:v>
      </x:c>
      <x:c r="E1366" s="21" t="n">
        <x:f>IF('Stage Build'!J233&gt;=0,1,0)</x:f>
        <x:v>1</x:v>
      </x:c>
      <x:c r="F1366" s="21" t="n">
        <x:v>1</x:v>
      </x:c>
      <x:c r="G1366" s="23" t="str">
        <x:f>IF(E1366=F1366,"PASS","FAIL")</x:f>
        <x:v>PASS</x:v>
      </x:c>
    </x:row>
    <x:row r="1367">
      <x:c r="B1367" s="21" t="str">
        <x:v>C1361</x:v>
      </x:c>
      <x:c r="C1367" s="21" t="str">
        <x:v>stage build</x:v>
      </x:c>
      <x:c r="D1367" s="21" t="str">
        <x:v>designed ratio identity row 233</x:v>
      </x:c>
      <x:c r="E1367" s="21" t="n">
        <x:f>IF(ABS('Stage Build'!K233-'Stage Build'!I233-'Stage Build'!J233)&lt;0.000001,1,0)</x:f>
        <x:v>1</x:v>
      </x:c>
      <x:c r="F1367" s="21" t="n">
        <x:v>1</x:v>
      </x:c>
      <x:c r="G1367" s="23" t="str">
        <x:f>IF(E1367=F1367,"PASS","FAIL")</x:f>
        <x:v>PASS</x:v>
      </x:c>
    </x:row>
    <x:row r="1368">
      <x:c r="B1368" s="21" t="str">
        <x:v>C1362</x:v>
      </x:c>
      <x:c r="C1368" s="21" t="str">
        <x:v>stage build</x:v>
      </x:c>
      <x:c r="D1368" s="21" t="str">
        <x:v>M05 status identity row 233</x:v>
      </x:c>
      <x:c r="E1368" s="21" t="n">
        <x:f>IF('Stage Build'!L233=IF('Stage Build'!K233&gt;=Assumptions!$C$9,"ADEQUATE","GAP"),1,0)</x:f>
        <x:v>1</x:v>
      </x:c>
      <x:c r="F1368" s="21" t="n">
        <x:v>1</x:v>
      </x:c>
      <x:c r="G1368" s="23" t="str">
        <x:f>IF(E1368=F1368,"PASS","FAIL")</x:f>
        <x:v>PASS</x:v>
      </x:c>
    </x:row>
    <x:row r="1369">
      <x:c r="B1369" s="21" t="str">
        <x:v>C1363</x:v>
      </x:c>
      <x:c r="C1369" s="21" t="str">
        <x:v>stage build</x:v>
      </x:c>
      <x:c r="D1369" s="21" t="str">
        <x:v>baseline nonnegative row 234</x:v>
      </x:c>
      <x:c r="E1369" s="21" t="n">
        <x:f>IF('Stage Build'!F234&gt;=0,1,0)</x:f>
        <x:v>1</x:v>
      </x:c>
      <x:c r="F1369" s="21" t="n">
        <x:v>1</x:v>
      </x:c>
      <x:c r="G1369" s="23" t="str">
        <x:f>IF(E1369=F1369,"PASS","FAIL")</x:f>
        <x:v>PASS</x:v>
      </x:c>
    </x:row>
    <x:row r="1370">
      <x:c r="B1370" s="21" t="str">
        <x:v>C1364</x:v>
      </x:c>
      <x:c r="C1370" s="21" t="str">
        <x:v>stage build</x:v>
      </x:c>
      <x:c r="D1370" s="21" t="str">
        <x:v>targeted additions nonnegative row 234</x:v>
      </x:c>
      <x:c r="E1370" s="21" t="n">
        <x:f>IF(AND('Stage Build'!G234&gt;=0,'Stage Build'!H234&gt;=0),1,0)</x:f>
        <x:v>1</x:v>
      </x:c>
      <x:c r="F1370" s="21" t="n">
        <x:v>1</x:v>
      </x:c>
      <x:c r="G1370" s="23" t="str">
        <x:f>IF(E1370=F1370,"PASS","FAIL")</x:f>
        <x:v>PASS</x:v>
      </x:c>
    </x:row>
    <x:row r="1371">
      <x:c r="B1371" s="21" t="str">
        <x:v>C1365</x:v>
      </x:c>
      <x:c r="C1371" s="21" t="str">
        <x:v>stage build</x:v>
      </x:c>
      <x:c r="D1371" s="21" t="str">
        <x:v>pre-replication identity row 234</x:v>
      </x:c>
      <x:c r="E1371" s="21" t="n">
        <x:f>IF(ABS('Stage Build'!I234-SUM('Stage Build'!F234:H234))&lt;0.000001,1,0)</x:f>
        <x:v>1</x:v>
      </x:c>
      <x:c r="F1371" s="21" t="n">
        <x:v>1</x:v>
      </x:c>
      <x:c r="G1371" s="23" t="str">
        <x:f>IF(E1371=F1371,"PASS","FAIL")</x:f>
        <x:v>PASS</x:v>
      </x:c>
    </x:row>
    <x:row r="1372">
      <x:c r="B1372" s="21" t="str">
        <x:v>C1366</x:v>
      </x:c>
      <x:c r="C1372" s="21" t="str">
        <x:v>stage build</x:v>
      </x:c>
      <x:c r="D1372" s="21" t="str">
        <x:v>replication layer nonnegative row 234</x:v>
      </x:c>
      <x:c r="E1372" s="21" t="n">
        <x:f>IF('Stage Build'!J234&gt;=0,1,0)</x:f>
        <x:v>1</x:v>
      </x:c>
      <x:c r="F1372" s="21" t="n">
        <x:v>1</x:v>
      </x:c>
      <x:c r="G1372" s="23" t="str">
        <x:f>IF(E1372=F1372,"PASS","FAIL")</x:f>
        <x:v>PASS</x:v>
      </x:c>
    </x:row>
    <x:row r="1373">
      <x:c r="B1373" s="21" t="str">
        <x:v>C1367</x:v>
      </x:c>
      <x:c r="C1373" s="21" t="str">
        <x:v>stage build</x:v>
      </x:c>
      <x:c r="D1373" s="21" t="str">
        <x:v>designed ratio identity row 234</x:v>
      </x:c>
      <x:c r="E1373" s="21" t="n">
        <x:f>IF(ABS('Stage Build'!K234-'Stage Build'!I234-'Stage Build'!J234)&lt;0.000001,1,0)</x:f>
        <x:v>1</x:v>
      </x:c>
      <x:c r="F1373" s="21" t="n">
        <x:v>1</x:v>
      </x:c>
      <x:c r="G1373" s="23" t="str">
        <x:f>IF(E1373=F1373,"PASS","FAIL")</x:f>
        <x:v>PASS</x:v>
      </x:c>
    </x:row>
    <x:row r="1374">
      <x:c r="B1374" s="21" t="str">
        <x:v>C1368</x:v>
      </x:c>
      <x:c r="C1374" s="21" t="str">
        <x:v>stage build</x:v>
      </x:c>
      <x:c r="D1374" s="21" t="str">
        <x:v>M05 status identity row 234</x:v>
      </x:c>
      <x:c r="E1374" s="21" t="n">
        <x:f>IF('Stage Build'!L234=IF('Stage Build'!K234&gt;=Assumptions!$C$9,"ADEQUATE","GAP"),1,0)</x:f>
        <x:v>1</x:v>
      </x:c>
      <x:c r="F1374" s="21" t="n">
        <x:v>1</x:v>
      </x:c>
      <x:c r="G1374" s="23" t="str">
        <x:f>IF(E1374=F1374,"PASS","FAIL")</x:f>
        <x:v>PASS</x:v>
      </x:c>
    </x:row>
    <x:row r="1375">
      <x:c r="B1375" s="21" t="str">
        <x:v>C1369</x:v>
      </x:c>
      <x:c r="C1375" s="21" t="str">
        <x:v>stage build</x:v>
      </x:c>
      <x:c r="D1375" s="21" t="str">
        <x:v>baseline nonnegative row 235</x:v>
      </x:c>
      <x:c r="E1375" s="21" t="n">
        <x:f>IF('Stage Build'!F235&gt;=0,1,0)</x:f>
        <x:v>1</x:v>
      </x:c>
      <x:c r="F1375" s="21" t="n">
        <x:v>1</x:v>
      </x:c>
      <x:c r="G1375" s="23" t="str">
        <x:f>IF(E1375=F1375,"PASS","FAIL")</x:f>
        <x:v>PASS</x:v>
      </x:c>
    </x:row>
    <x:row r="1376">
      <x:c r="B1376" s="21" t="str">
        <x:v>C1370</x:v>
      </x:c>
      <x:c r="C1376" s="21" t="str">
        <x:v>stage build</x:v>
      </x:c>
      <x:c r="D1376" s="21" t="str">
        <x:v>targeted additions nonnegative row 235</x:v>
      </x:c>
      <x:c r="E1376" s="21" t="n">
        <x:f>IF(AND('Stage Build'!G235&gt;=0,'Stage Build'!H235&gt;=0),1,0)</x:f>
        <x:v>1</x:v>
      </x:c>
      <x:c r="F1376" s="21" t="n">
        <x:v>1</x:v>
      </x:c>
      <x:c r="G1376" s="23" t="str">
        <x:f>IF(E1376=F1376,"PASS","FAIL")</x:f>
        <x:v>PASS</x:v>
      </x:c>
    </x:row>
    <x:row r="1377">
      <x:c r="B1377" s="21" t="str">
        <x:v>C1371</x:v>
      </x:c>
      <x:c r="C1377" s="21" t="str">
        <x:v>stage build</x:v>
      </x:c>
      <x:c r="D1377" s="21" t="str">
        <x:v>pre-replication identity row 235</x:v>
      </x:c>
      <x:c r="E1377" s="21" t="n">
        <x:f>IF(ABS('Stage Build'!I235-SUM('Stage Build'!F235:H235))&lt;0.000001,1,0)</x:f>
        <x:v>1</x:v>
      </x:c>
      <x:c r="F1377" s="21" t="n">
        <x:v>1</x:v>
      </x:c>
      <x:c r="G1377" s="23" t="str">
        <x:f>IF(E1377=F1377,"PASS","FAIL")</x:f>
        <x:v>PASS</x:v>
      </x:c>
    </x:row>
    <x:row r="1378">
      <x:c r="B1378" s="21" t="str">
        <x:v>C1372</x:v>
      </x:c>
      <x:c r="C1378" s="21" t="str">
        <x:v>stage build</x:v>
      </x:c>
      <x:c r="D1378" s="21" t="str">
        <x:v>replication layer nonnegative row 235</x:v>
      </x:c>
      <x:c r="E1378" s="21" t="n">
        <x:f>IF('Stage Build'!J235&gt;=0,1,0)</x:f>
        <x:v>1</x:v>
      </x:c>
      <x:c r="F1378" s="21" t="n">
        <x:v>1</x:v>
      </x:c>
      <x:c r="G1378" s="23" t="str">
        <x:f>IF(E1378=F1378,"PASS","FAIL")</x:f>
        <x:v>PASS</x:v>
      </x:c>
    </x:row>
    <x:row r="1379">
      <x:c r="B1379" s="21" t="str">
        <x:v>C1373</x:v>
      </x:c>
      <x:c r="C1379" s="21" t="str">
        <x:v>stage build</x:v>
      </x:c>
      <x:c r="D1379" s="21" t="str">
        <x:v>designed ratio identity row 235</x:v>
      </x:c>
      <x:c r="E1379" s="21" t="n">
        <x:f>IF(ABS('Stage Build'!K235-'Stage Build'!I235-'Stage Build'!J235)&lt;0.000001,1,0)</x:f>
        <x:v>1</x:v>
      </x:c>
      <x:c r="F1379" s="21" t="n">
        <x:v>1</x:v>
      </x:c>
      <x:c r="G1379" s="23" t="str">
        <x:f>IF(E1379=F1379,"PASS","FAIL")</x:f>
        <x:v>PASS</x:v>
      </x:c>
    </x:row>
    <x:row r="1380">
      <x:c r="B1380" s="21" t="str">
        <x:v>C1374</x:v>
      </x:c>
      <x:c r="C1380" s="21" t="str">
        <x:v>stage build</x:v>
      </x:c>
      <x:c r="D1380" s="21" t="str">
        <x:v>M05 status identity row 235</x:v>
      </x:c>
      <x:c r="E1380" s="21" t="n">
        <x:f>IF('Stage Build'!L235=IF('Stage Build'!K235&gt;=Assumptions!$C$9,"ADEQUATE","GAP"),1,0)</x:f>
        <x:v>1</x:v>
      </x:c>
      <x:c r="F1380" s="21" t="n">
        <x:v>1</x:v>
      </x:c>
      <x:c r="G1380" s="23" t="str">
        <x:f>IF(E1380=F1380,"PASS","FAIL")</x:f>
        <x:v>PASS</x:v>
      </x:c>
    </x:row>
    <x:row r="1381">
      <x:c r="B1381" s="21" t="str">
        <x:v>C1375</x:v>
      </x:c>
      <x:c r="C1381" s="21" t="str">
        <x:v>stage build</x:v>
      </x:c>
      <x:c r="D1381" s="21" t="str">
        <x:v>baseline nonnegative row 236</x:v>
      </x:c>
      <x:c r="E1381" s="21" t="n">
        <x:f>IF('Stage Build'!F236&gt;=0,1,0)</x:f>
        <x:v>1</x:v>
      </x:c>
      <x:c r="F1381" s="21" t="n">
        <x:v>1</x:v>
      </x:c>
      <x:c r="G1381" s="23" t="str">
        <x:f>IF(E1381=F1381,"PASS","FAIL")</x:f>
        <x:v>PASS</x:v>
      </x:c>
    </x:row>
    <x:row r="1382">
      <x:c r="B1382" s="21" t="str">
        <x:v>C1376</x:v>
      </x:c>
      <x:c r="C1382" s="21" t="str">
        <x:v>stage build</x:v>
      </x:c>
      <x:c r="D1382" s="21" t="str">
        <x:v>targeted additions nonnegative row 236</x:v>
      </x:c>
      <x:c r="E1382" s="21" t="n">
        <x:f>IF(AND('Stage Build'!G236&gt;=0,'Stage Build'!H236&gt;=0),1,0)</x:f>
        <x:v>1</x:v>
      </x:c>
      <x:c r="F1382" s="21" t="n">
        <x:v>1</x:v>
      </x:c>
      <x:c r="G1382" s="23" t="str">
        <x:f>IF(E1382=F1382,"PASS","FAIL")</x:f>
        <x:v>PASS</x:v>
      </x:c>
    </x:row>
    <x:row r="1383">
      <x:c r="B1383" s="21" t="str">
        <x:v>C1377</x:v>
      </x:c>
      <x:c r="C1383" s="21" t="str">
        <x:v>stage build</x:v>
      </x:c>
      <x:c r="D1383" s="21" t="str">
        <x:v>pre-replication identity row 236</x:v>
      </x:c>
      <x:c r="E1383" s="21" t="n">
        <x:f>IF(ABS('Stage Build'!I236-SUM('Stage Build'!F236:H236))&lt;0.000001,1,0)</x:f>
        <x:v>1</x:v>
      </x:c>
      <x:c r="F1383" s="21" t="n">
        <x:v>1</x:v>
      </x:c>
      <x:c r="G1383" s="23" t="str">
        <x:f>IF(E1383=F1383,"PASS","FAIL")</x:f>
        <x:v>PASS</x:v>
      </x:c>
    </x:row>
    <x:row r="1384">
      <x:c r="B1384" s="21" t="str">
        <x:v>C1378</x:v>
      </x:c>
      <x:c r="C1384" s="21" t="str">
        <x:v>stage build</x:v>
      </x:c>
      <x:c r="D1384" s="21" t="str">
        <x:v>replication layer nonnegative row 236</x:v>
      </x:c>
      <x:c r="E1384" s="21" t="n">
        <x:f>IF('Stage Build'!J236&gt;=0,1,0)</x:f>
        <x:v>1</x:v>
      </x:c>
      <x:c r="F1384" s="21" t="n">
        <x:v>1</x:v>
      </x:c>
      <x:c r="G1384" s="23" t="str">
        <x:f>IF(E1384=F1384,"PASS","FAIL")</x:f>
        <x:v>PASS</x:v>
      </x:c>
    </x:row>
    <x:row r="1385">
      <x:c r="B1385" s="21" t="str">
        <x:v>C1379</x:v>
      </x:c>
      <x:c r="C1385" s="21" t="str">
        <x:v>stage build</x:v>
      </x:c>
      <x:c r="D1385" s="21" t="str">
        <x:v>designed ratio identity row 236</x:v>
      </x:c>
      <x:c r="E1385" s="21" t="n">
        <x:f>IF(ABS('Stage Build'!K236-'Stage Build'!I236-'Stage Build'!J236)&lt;0.000001,1,0)</x:f>
        <x:v>1</x:v>
      </x:c>
      <x:c r="F1385" s="21" t="n">
        <x:v>1</x:v>
      </x:c>
      <x:c r="G1385" s="23" t="str">
        <x:f>IF(E1385=F1385,"PASS","FAIL")</x:f>
        <x:v>PASS</x:v>
      </x:c>
    </x:row>
    <x:row r="1386">
      <x:c r="B1386" s="21" t="str">
        <x:v>C1380</x:v>
      </x:c>
      <x:c r="C1386" s="21" t="str">
        <x:v>stage build</x:v>
      </x:c>
      <x:c r="D1386" s="21" t="str">
        <x:v>M05 status identity row 236</x:v>
      </x:c>
      <x:c r="E1386" s="21" t="n">
        <x:f>IF('Stage Build'!L236=IF('Stage Build'!K236&gt;=Assumptions!$C$9,"ADEQUATE","GAP"),1,0)</x:f>
        <x:v>1</x:v>
      </x:c>
      <x:c r="F1386" s="21" t="n">
        <x:v>1</x:v>
      </x:c>
      <x:c r="G1386" s="23" t="str">
        <x:f>IF(E1386=F1386,"PASS","FAIL")</x:f>
        <x:v>PASS</x:v>
      </x:c>
    </x:row>
    <x:row r="1387">
      <x:c r="B1387" s="21" t="str">
        <x:v>C1381</x:v>
      </x:c>
      <x:c r="C1387" s="21" t="str">
        <x:v>stage build</x:v>
      </x:c>
      <x:c r="D1387" s="21" t="str">
        <x:v>baseline nonnegative row 237</x:v>
      </x:c>
      <x:c r="E1387" s="21" t="n">
        <x:f>IF('Stage Build'!F237&gt;=0,1,0)</x:f>
        <x:v>1</x:v>
      </x:c>
      <x:c r="F1387" s="21" t="n">
        <x:v>1</x:v>
      </x:c>
      <x:c r="G1387" s="23" t="str">
        <x:f>IF(E1387=F1387,"PASS","FAIL")</x:f>
        <x:v>PASS</x:v>
      </x:c>
    </x:row>
    <x:row r="1388">
      <x:c r="B1388" s="21" t="str">
        <x:v>C1382</x:v>
      </x:c>
      <x:c r="C1388" s="21" t="str">
        <x:v>stage build</x:v>
      </x:c>
      <x:c r="D1388" s="21" t="str">
        <x:v>targeted additions nonnegative row 237</x:v>
      </x:c>
      <x:c r="E1388" s="21" t="n">
        <x:f>IF(AND('Stage Build'!G237&gt;=0,'Stage Build'!H237&gt;=0),1,0)</x:f>
        <x:v>1</x:v>
      </x:c>
      <x:c r="F1388" s="21" t="n">
        <x:v>1</x:v>
      </x:c>
      <x:c r="G1388" s="23" t="str">
        <x:f>IF(E1388=F1388,"PASS","FAIL")</x:f>
        <x:v>PASS</x:v>
      </x:c>
    </x:row>
    <x:row r="1389">
      <x:c r="B1389" s="21" t="str">
        <x:v>C1383</x:v>
      </x:c>
      <x:c r="C1389" s="21" t="str">
        <x:v>stage build</x:v>
      </x:c>
      <x:c r="D1389" s="21" t="str">
        <x:v>pre-replication identity row 237</x:v>
      </x:c>
      <x:c r="E1389" s="21" t="n">
        <x:f>IF(ABS('Stage Build'!I237-SUM('Stage Build'!F237:H237))&lt;0.000001,1,0)</x:f>
        <x:v>1</x:v>
      </x:c>
      <x:c r="F1389" s="21" t="n">
        <x:v>1</x:v>
      </x:c>
      <x:c r="G1389" s="23" t="str">
        <x:f>IF(E1389=F1389,"PASS","FAIL")</x:f>
        <x:v>PASS</x:v>
      </x:c>
    </x:row>
    <x:row r="1390">
      <x:c r="B1390" s="21" t="str">
        <x:v>C1384</x:v>
      </x:c>
      <x:c r="C1390" s="21" t="str">
        <x:v>stage build</x:v>
      </x:c>
      <x:c r="D1390" s="21" t="str">
        <x:v>replication layer nonnegative row 237</x:v>
      </x:c>
      <x:c r="E1390" s="21" t="n">
        <x:f>IF('Stage Build'!J237&gt;=0,1,0)</x:f>
        <x:v>1</x:v>
      </x:c>
      <x:c r="F1390" s="21" t="n">
        <x:v>1</x:v>
      </x:c>
      <x:c r="G1390" s="23" t="str">
        <x:f>IF(E1390=F1390,"PASS","FAIL")</x:f>
        <x:v>PASS</x:v>
      </x:c>
    </x:row>
    <x:row r="1391">
      <x:c r="B1391" s="21" t="str">
        <x:v>C1385</x:v>
      </x:c>
      <x:c r="C1391" s="21" t="str">
        <x:v>stage build</x:v>
      </x:c>
      <x:c r="D1391" s="21" t="str">
        <x:v>designed ratio identity row 237</x:v>
      </x:c>
      <x:c r="E1391" s="21" t="n">
        <x:f>IF(ABS('Stage Build'!K237-'Stage Build'!I237-'Stage Build'!J237)&lt;0.000001,1,0)</x:f>
        <x:v>1</x:v>
      </x:c>
      <x:c r="F1391" s="21" t="n">
        <x:v>1</x:v>
      </x:c>
      <x:c r="G1391" s="23" t="str">
        <x:f>IF(E1391=F1391,"PASS","FAIL")</x:f>
        <x:v>PASS</x:v>
      </x:c>
    </x:row>
    <x:row r="1392">
      <x:c r="B1392" s="21" t="str">
        <x:v>C1386</x:v>
      </x:c>
      <x:c r="C1392" s="21" t="str">
        <x:v>stage build</x:v>
      </x:c>
      <x:c r="D1392" s="21" t="str">
        <x:v>M05 status identity row 237</x:v>
      </x:c>
      <x:c r="E1392" s="21" t="n">
        <x:f>IF('Stage Build'!L237=IF('Stage Build'!K237&gt;=Assumptions!$C$9,"ADEQUATE","GAP"),1,0)</x:f>
        <x:v>1</x:v>
      </x:c>
      <x:c r="F1392" s="21" t="n">
        <x:v>1</x:v>
      </x:c>
      <x:c r="G1392" s="23" t="str">
        <x:f>IF(E1392=F1392,"PASS","FAIL")</x:f>
        <x:v>PASS</x:v>
      </x:c>
    </x:row>
    <x:row r="1393">
      <x:c r="B1393" s="21" t="str">
        <x:v>C1387</x:v>
      </x:c>
      <x:c r="C1393" s="21" t="str">
        <x:v>stage build</x:v>
      </x:c>
      <x:c r="D1393" s="21" t="str">
        <x:v>baseline nonnegative row 238</x:v>
      </x:c>
      <x:c r="E1393" s="21" t="n">
        <x:f>IF('Stage Build'!F238&gt;=0,1,0)</x:f>
        <x:v>1</x:v>
      </x:c>
      <x:c r="F1393" s="21" t="n">
        <x:v>1</x:v>
      </x:c>
      <x:c r="G1393" s="23" t="str">
        <x:f>IF(E1393=F1393,"PASS","FAIL")</x:f>
        <x:v>PASS</x:v>
      </x:c>
    </x:row>
    <x:row r="1394">
      <x:c r="B1394" s="21" t="str">
        <x:v>C1388</x:v>
      </x:c>
      <x:c r="C1394" s="21" t="str">
        <x:v>stage build</x:v>
      </x:c>
      <x:c r="D1394" s="21" t="str">
        <x:v>targeted additions nonnegative row 238</x:v>
      </x:c>
      <x:c r="E1394" s="21" t="n">
        <x:f>IF(AND('Stage Build'!G238&gt;=0,'Stage Build'!H238&gt;=0),1,0)</x:f>
        <x:v>1</x:v>
      </x:c>
      <x:c r="F1394" s="21" t="n">
        <x:v>1</x:v>
      </x:c>
      <x:c r="G1394" s="23" t="str">
        <x:f>IF(E1394=F1394,"PASS","FAIL")</x:f>
        <x:v>PASS</x:v>
      </x:c>
    </x:row>
    <x:row r="1395">
      <x:c r="B1395" s="21" t="str">
        <x:v>C1389</x:v>
      </x:c>
      <x:c r="C1395" s="21" t="str">
        <x:v>stage build</x:v>
      </x:c>
      <x:c r="D1395" s="21" t="str">
        <x:v>pre-replication identity row 238</x:v>
      </x:c>
      <x:c r="E1395" s="21" t="n">
        <x:f>IF(ABS('Stage Build'!I238-SUM('Stage Build'!F238:H238))&lt;0.000001,1,0)</x:f>
        <x:v>1</x:v>
      </x:c>
      <x:c r="F1395" s="21" t="n">
        <x:v>1</x:v>
      </x:c>
      <x:c r="G1395" s="23" t="str">
        <x:f>IF(E1395=F1395,"PASS","FAIL")</x:f>
        <x:v>PASS</x:v>
      </x:c>
    </x:row>
    <x:row r="1396">
      <x:c r="B1396" s="21" t="str">
        <x:v>C1390</x:v>
      </x:c>
      <x:c r="C1396" s="21" t="str">
        <x:v>stage build</x:v>
      </x:c>
      <x:c r="D1396" s="21" t="str">
        <x:v>replication layer nonnegative row 238</x:v>
      </x:c>
      <x:c r="E1396" s="21" t="n">
        <x:f>IF('Stage Build'!J238&gt;=0,1,0)</x:f>
        <x:v>1</x:v>
      </x:c>
      <x:c r="F1396" s="21" t="n">
        <x:v>1</x:v>
      </x:c>
      <x:c r="G1396" s="23" t="str">
        <x:f>IF(E1396=F1396,"PASS","FAIL")</x:f>
        <x:v>PASS</x:v>
      </x:c>
    </x:row>
    <x:row r="1397">
      <x:c r="B1397" s="21" t="str">
        <x:v>C1391</x:v>
      </x:c>
      <x:c r="C1397" s="21" t="str">
        <x:v>stage build</x:v>
      </x:c>
      <x:c r="D1397" s="21" t="str">
        <x:v>designed ratio identity row 238</x:v>
      </x:c>
      <x:c r="E1397" s="21" t="n">
        <x:f>IF(ABS('Stage Build'!K238-'Stage Build'!I238-'Stage Build'!J238)&lt;0.000001,1,0)</x:f>
        <x:v>1</x:v>
      </x:c>
      <x:c r="F1397" s="21" t="n">
        <x:v>1</x:v>
      </x:c>
      <x:c r="G1397" s="23" t="str">
        <x:f>IF(E1397=F1397,"PASS","FAIL")</x:f>
        <x:v>PASS</x:v>
      </x:c>
    </x:row>
    <x:row r="1398">
      <x:c r="B1398" s="21" t="str">
        <x:v>C1392</x:v>
      </x:c>
      <x:c r="C1398" s="21" t="str">
        <x:v>stage build</x:v>
      </x:c>
      <x:c r="D1398" s="21" t="str">
        <x:v>M05 status identity row 238</x:v>
      </x:c>
      <x:c r="E1398" s="21" t="n">
        <x:f>IF('Stage Build'!L238=IF('Stage Build'!K238&gt;=Assumptions!$C$9,"ADEQUATE","GAP"),1,0)</x:f>
        <x:v>1</x:v>
      </x:c>
      <x:c r="F1398" s="21" t="n">
        <x:v>1</x:v>
      </x:c>
      <x:c r="G1398" s="23" t="str">
        <x:f>IF(E1398=F1398,"PASS","FAIL")</x:f>
        <x:v>PASS</x:v>
      </x:c>
    </x:row>
    <x:row r="1399">
      <x:c r="B1399" s="21" t="str">
        <x:v>C1393</x:v>
      </x:c>
      <x:c r="C1399" s="21" t="str">
        <x:v>stage build</x:v>
      </x:c>
      <x:c r="D1399" s="21" t="str">
        <x:v>baseline nonnegative row 239</x:v>
      </x:c>
      <x:c r="E1399" s="21" t="n">
        <x:f>IF('Stage Build'!F239&gt;=0,1,0)</x:f>
        <x:v>1</x:v>
      </x:c>
      <x:c r="F1399" s="21" t="n">
        <x:v>1</x:v>
      </x:c>
      <x:c r="G1399" s="23" t="str">
        <x:f>IF(E1399=F1399,"PASS","FAIL")</x:f>
        <x:v>PASS</x:v>
      </x:c>
    </x:row>
    <x:row r="1400">
      <x:c r="B1400" s="21" t="str">
        <x:v>C1394</x:v>
      </x:c>
      <x:c r="C1400" s="21" t="str">
        <x:v>stage build</x:v>
      </x:c>
      <x:c r="D1400" s="21" t="str">
        <x:v>targeted additions nonnegative row 239</x:v>
      </x:c>
      <x:c r="E1400" s="21" t="n">
        <x:f>IF(AND('Stage Build'!G239&gt;=0,'Stage Build'!H239&gt;=0),1,0)</x:f>
        <x:v>1</x:v>
      </x:c>
      <x:c r="F1400" s="21" t="n">
        <x:v>1</x:v>
      </x:c>
      <x:c r="G1400" s="23" t="str">
        <x:f>IF(E1400=F1400,"PASS","FAIL")</x:f>
        <x:v>PASS</x:v>
      </x:c>
    </x:row>
    <x:row r="1401">
      <x:c r="B1401" s="21" t="str">
        <x:v>C1395</x:v>
      </x:c>
      <x:c r="C1401" s="21" t="str">
        <x:v>stage build</x:v>
      </x:c>
      <x:c r="D1401" s="21" t="str">
        <x:v>pre-replication identity row 239</x:v>
      </x:c>
      <x:c r="E1401" s="21" t="n">
        <x:f>IF(ABS('Stage Build'!I239-SUM('Stage Build'!F239:H239))&lt;0.000001,1,0)</x:f>
        <x:v>1</x:v>
      </x:c>
      <x:c r="F1401" s="21" t="n">
        <x:v>1</x:v>
      </x:c>
      <x:c r="G1401" s="23" t="str">
        <x:f>IF(E1401=F1401,"PASS","FAIL")</x:f>
        <x:v>PASS</x:v>
      </x:c>
    </x:row>
    <x:row r="1402">
      <x:c r="B1402" s="21" t="str">
        <x:v>C1396</x:v>
      </x:c>
      <x:c r="C1402" s="21" t="str">
        <x:v>stage build</x:v>
      </x:c>
      <x:c r="D1402" s="21" t="str">
        <x:v>replication layer nonnegative row 239</x:v>
      </x:c>
      <x:c r="E1402" s="21" t="n">
        <x:f>IF('Stage Build'!J239&gt;=0,1,0)</x:f>
        <x:v>1</x:v>
      </x:c>
      <x:c r="F1402" s="21" t="n">
        <x:v>1</x:v>
      </x:c>
      <x:c r="G1402" s="23" t="str">
        <x:f>IF(E1402=F1402,"PASS","FAIL")</x:f>
        <x:v>PASS</x:v>
      </x:c>
    </x:row>
    <x:row r="1403">
      <x:c r="B1403" s="21" t="str">
        <x:v>C1397</x:v>
      </x:c>
      <x:c r="C1403" s="21" t="str">
        <x:v>stage build</x:v>
      </x:c>
      <x:c r="D1403" s="21" t="str">
        <x:v>designed ratio identity row 239</x:v>
      </x:c>
      <x:c r="E1403" s="21" t="n">
        <x:f>IF(ABS('Stage Build'!K239-'Stage Build'!I239-'Stage Build'!J239)&lt;0.000001,1,0)</x:f>
        <x:v>1</x:v>
      </x:c>
      <x:c r="F1403" s="21" t="n">
        <x:v>1</x:v>
      </x:c>
      <x:c r="G1403" s="23" t="str">
        <x:f>IF(E1403=F1403,"PASS","FAIL")</x:f>
        <x:v>PASS</x:v>
      </x:c>
    </x:row>
    <x:row r="1404">
      <x:c r="B1404" s="21" t="str">
        <x:v>C1398</x:v>
      </x:c>
      <x:c r="C1404" s="21" t="str">
        <x:v>stage build</x:v>
      </x:c>
      <x:c r="D1404" s="21" t="str">
        <x:v>M05 status identity row 239</x:v>
      </x:c>
      <x:c r="E1404" s="21" t="n">
        <x:f>IF('Stage Build'!L239=IF('Stage Build'!K239&gt;=Assumptions!$C$9,"ADEQUATE","GAP"),1,0)</x:f>
        <x:v>1</x:v>
      </x:c>
      <x:c r="F1404" s="21" t="n">
        <x:v>1</x:v>
      </x:c>
      <x:c r="G1404" s="23" t="str">
        <x:f>IF(E1404=F1404,"PASS","FAIL")</x:f>
        <x:v>PASS</x:v>
      </x:c>
    </x:row>
    <x:row r="1405">
      <x:c r="B1405" s="21" t="str">
        <x:v>C1399</x:v>
      </x:c>
      <x:c r="C1405" s="21" t="str">
        <x:v>stage build</x:v>
      </x:c>
      <x:c r="D1405" s="21" t="str">
        <x:v>baseline nonnegative row 240</x:v>
      </x:c>
      <x:c r="E1405" s="21" t="n">
        <x:f>IF('Stage Build'!F240&gt;=0,1,0)</x:f>
        <x:v>1</x:v>
      </x:c>
      <x:c r="F1405" s="21" t="n">
        <x:v>1</x:v>
      </x:c>
      <x:c r="G1405" s="23" t="str">
        <x:f>IF(E1405=F1405,"PASS","FAIL")</x:f>
        <x:v>PASS</x:v>
      </x:c>
    </x:row>
    <x:row r="1406">
      <x:c r="B1406" s="21" t="str">
        <x:v>C1400</x:v>
      </x:c>
      <x:c r="C1406" s="21" t="str">
        <x:v>stage build</x:v>
      </x:c>
      <x:c r="D1406" s="21" t="str">
        <x:v>targeted additions nonnegative row 240</x:v>
      </x:c>
      <x:c r="E1406" s="21" t="n">
        <x:f>IF(AND('Stage Build'!G240&gt;=0,'Stage Build'!H240&gt;=0),1,0)</x:f>
        <x:v>1</x:v>
      </x:c>
      <x:c r="F1406" s="21" t="n">
        <x:v>1</x:v>
      </x:c>
      <x:c r="G1406" s="23" t="str">
        <x:f>IF(E1406=F1406,"PASS","FAIL")</x:f>
        <x:v>PASS</x:v>
      </x:c>
    </x:row>
    <x:row r="1407">
      <x:c r="B1407" s="21" t="str">
        <x:v>C1401</x:v>
      </x:c>
      <x:c r="C1407" s="21" t="str">
        <x:v>stage build</x:v>
      </x:c>
      <x:c r="D1407" s="21" t="str">
        <x:v>pre-replication identity row 240</x:v>
      </x:c>
      <x:c r="E1407" s="21" t="n">
        <x:f>IF(ABS('Stage Build'!I240-SUM('Stage Build'!F240:H240))&lt;0.000001,1,0)</x:f>
        <x:v>1</x:v>
      </x:c>
      <x:c r="F1407" s="21" t="n">
        <x:v>1</x:v>
      </x:c>
      <x:c r="G1407" s="23" t="str">
        <x:f>IF(E1407=F1407,"PASS","FAIL")</x:f>
        <x:v>PASS</x:v>
      </x:c>
    </x:row>
    <x:row r="1408">
      <x:c r="B1408" s="21" t="str">
        <x:v>C1402</x:v>
      </x:c>
      <x:c r="C1408" s="21" t="str">
        <x:v>stage build</x:v>
      </x:c>
      <x:c r="D1408" s="21" t="str">
        <x:v>replication layer nonnegative row 240</x:v>
      </x:c>
      <x:c r="E1408" s="21" t="n">
        <x:f>IF('Stage Build'!J240&gt;=0,1,0)</x:f>
        <x:v>1</x:v>
      </x:c>
      <x:c r="F1408" s="21" t="n">
        <x:v>1</x:v>
      </x:c>
      <x:c r="G1408" s="23" t="str">
        <x:f>IF(E1408=F1408,"PASS","FAIL")</x:f>
        <x:v>PASS</x:v>
      </x:c>
    </x:row>
    <x:row r="1409">
      <x:c r="B1409" s="21" t="str">
        <x:v>C1403</x:v>
      </x:c>
      <x:c r="C1409" s="21" t="str">
        <x:v>stage build</x:v>
      </x:c>
      <x:c r="D1409" s="21" t="str">
        <x:v>designed ratio identity row 240</x:v>
      </x:c>
      <x:c r="E1409" s="21" t="n">
        <x:f>IF(ABS('Stage Build'!K240-'Stage Build'!I240-'Stage Build'!J240)&lt;0.000001,1,0)</x:f>
        <x:v>1</x:v>
      </x:c>
      <x:c r="F1409" s="21" t="n">
        <x:v>1</x:v>
      </x:c>
      <x:c r="G1409" s="23" t="str">
        <x:f>IF(E1409=F1409,"PASS","FAIL")</x:f>
        <x:v>PASS</x:v>
      </x:c>
    </x:row>
    <x:row r="1410">
      <x:c r="B1410" s="21" t="str">
        <x:v>C1404</x:v>
      </x:c>
      <x:c r="C1410" s="21" t="str">
        <x:v>stage build</x:v>
      </x:c>
      <x:c r="D1410" s="21" t="str">
        <x:v>M05 status identity row 240</x:v>
      </x:c>
      <x:c r="E1410" s="21" t="n">
        <x:f>IF('Stage Build'!L240=IF('Stage Build'!K240&gt;=Assumptions!$C$9,"ADEQUATE","GAP"),1,0)</x:f>
        <x:v>1</x:v>
      </x:c>
      <x:c r="F1410" s="21" t="n">
        <x:v>1</x:v>
      </x:c>
      <x:c r="G1410" s="23" t="str">
        <x:f>IF(E1410=F1410,"PASS","FAIL")</x:f>
        <x:v>PASS</x:v>
      </x:c>
    </x:row>
    <x:row r="1411">
      <x:c r="B1411" s="21" t="str">
        <x:v>C1405</x:v>
      </x:c>
      <x:c r="C1411" s="21" t="str">
        <x:v>stage build</x:v>
      </x:c>
      <x:c r="D1411" s="21" t="str">
        <x:v>baseline nonnegative row 241</x:v>
      </x:c>
      <x:c r="E1411" s="21" t="n">
        <x:f>IF('Stage Build'!F241&gt;=0,1,0)</x:f>
        <x:v>1</x:v>
      </x:c>
      <x:c r="F1411" s="21" t="n">
        <x:v>1</x:v>
      </x:c>
      <x:c r="G1411" s="23" t="str">
        <x:f>IF(E1411=F1411,"PASS","FAIL")</x:f>
        <x:v>PASS</x:v>
      </x:c>
    </x:row>
    <x:row r="1412">
      <x:c r="B1412" s="21" t="str">
        <x:v>C1406</x:v>
      </x:c>
      <x:c r="C1412" s="21" t="str">
        <x:v>stage build</x:v>
      </x:c>
      <x:c r="D1412" s="21" t="str">
        <x:v>targeted additions nonnegative row 241</x:v>
      </x:c>
      <x:c r="E1412" s="21" t="n">
        <x:f>IF(AND('Stage Build'!G241&gt;=0,'Stage Build'!H241&gt;=0),1,0)</x:f>
        <x:v>1</x:v>
      </x:c>
      <x:c r="F1412" s="21" t="n">
        <x:v>1</x:v>
      </x:c>
      <x:c r="G1412" s="23" t="str">
        <x:f>IF(E1412=F1412,"PASS","FAIL")</x:f>
        <x:v>PASS</x:v>
      </x:c>
    </x:row>
    <x:row r="1413">
      <x:c r="B1413" s="21" t="str">
        <x:v>C1407</x:v>
      </x:c>
      <x:c r="C1413" s="21" t="str">
        <x:v>stage build</x:v>
      </x:c>
      <x:c r="D1413" s="21" t="str">
        <x:v>pre-replication identity row 241</x:v>
      </x:c>
      <x:c r="E1413" s="21" t="n">
        <x:f>IF(ABS('Stage Build'!I241-SUM('Stage Build'!F241:H241))&lt;0.000001,1,0)</x:f>
        <x:v>1</x:v>
      </x:c>
      <x:c r="F1413" s="21" t="n">
        <x:v>1</x:v>
      </x:c>
      <x:c r="G1413" s="23" t="str">
        <x:f>IF(E1413=F1413,"PASS","FAIL")</x:f>
        <x:v>PASS</x:v>
      </x:c>
    </x:row>
    <x:row r="1414">
      <x:c r="B1414" s="21" t="str">
        <x:v>C1408</x:v>
      </x:c>
      <x:c r="C1414" s="21" t="str">
        <x:v>stage build</x:v>
      </x:c>
      <x:c r="D1414" s="21" t="str">
        <x:v>replication layer nonnegative row 241</x:v>
      </x:c>
      <x:c r="E1414" s="21" t="n">
        <x:f>IF('Stage Build'!J241&gt;=0,1,0)</x:f>
        <x:v>1</x:v>
      </x:c>
      <x:c r="F1414" s="21" t="n">
        <x:v>1</x:v>
      </x:c>
      <x:c r="G1414" s="23" t="str">
        <x:f>IF(E1414=F1414,"PASS","FAIL")</x:f>
        <x:v>PASS</x:v>
      </x:c>
    </x:row>
    <x:row r="1415">
      <x:c r="B1415" s="21" t="str">
        <x:v>C1409</x:v>
      </x:c>
      <x:c r="C1415" s="21" t="str">
        <x:v>stage build</x:v>
      </x:c>
      <x:c r="D1415" s="21" t="str">
        <x:v>designed ratio identity row 241</x:v>
      </x:c>
      <x:c r="E1415" s="21" t="n">
        <x:f>IF(ABS('Stage Build'!K241-'Stage Build'!I241-'Stage Build'!J241)&lt;0.000001,1,0)</x:f>
        <x:v>1</x:v>
      </x:c>
      <x:c r="F1415" s="21" t="n">
        <x:v>1</x:v>
      </x:c>
      <x:c r="G1415" s="23" t="str">
        <x:f>IF(E1415=F1415,"PASS","FAIL")</x:f>
        <x:v>PASS</x:v>
      </x:c>
    </x:row>
    <x:row r="1416">
      <x:c r="B1416" s="21" t="str">
        <x:v>C1410</x:v>
      </x:c>
      <x:c r="C1416" s="21" t="str">
        <x:v>stage build</x:v>
      </x:c>
      <x:c r="D1416" s="21" t="str">
        <x:v>M05 status identity row 241</x:v>
      </x:c>
      <x:c r="E1416" s="21" t="n">
        <x:f>IF('Stage Build'!L241=IF('Stage Build'!K241&gt;=Assumptions!$C$9,"ADEQUATE","GAP"),1,0)</x:f>
        <x:v>1</x:v>
      </x:c>
      <x:c r="F1416" s="21" t="n">
        <x:v>1</x:v>
      </x:c>
      <x:c r="G1416" s="23" t="str">
        <x:f>IF(E1416=F1416,"PASS","FAIL")</x:f>
        <x:v>PASS</x:v>
      </x:c>
    </x:row>
    <x:row r="1417">
      <x:c r="B1417" s="21" t="str">
        <x:v>C1411</x:v>
      </x:c>
      <x:c r="C1417" s="21" t="str">
        <x:v>stage build</x:v>
      </x:c>
      <x:c r="D1417" s="21" t="str">
        <x:v>baseline nonnegative row 242</x:v>
      </x:c>
      <x:c r="E1417" s="21" t="n">
        <x:f>IF('Stage Build'!F242&gt;=0,1,0)</x:f>
        <x:v>1</x:v>
      </x:c>
      <x:c r="F1417" s="21" t="n">
        <x:v>1</x:v>
      </x:c>
      <x:c r="G1417" s="23" t="str">
        <x:f>IF(E1417=F1417,"PASS","FAIL")</x:f>
        <x:v>PASS</x:v>
      </x:c>
    </x:row>
    <x:row r="1418">
      <x:c r="B1418" s="21" t="str">
        <x:v>C1412</x:v>
      </x:c>
      <x:c r="C1418" s="21" t="str">
        <x:v>stage build</x:v>
      </x:c>
      <x:c r="D1418" s="21" t="str">
        <x:v>targeted additions nonnegative row 242</x:v>
      </x:c>
      <x:c r="E1418" s="21" t="n">
        <x:f>IF(AND('Stage Build'!G242&gt;=0,'Stage Build'!H242&gt;=0),1,0)</x:f>
        <x:v>1</x:v>
      </x:c>
      <x:c r="F1418" s="21" t="n">
        <x:v>1</x:v>
      </x:c>
      <x:c r="G1418" s="23" t="str">
        <x:f>IF(E1418=F1418,"PASS","FAIL")</x:f>
        <x:v>PASS</x:v>
      </x:c>
    </x:row>
    <x:row r="1419">
      <x:c r="B1419" s="21" t="str">
        <x:v>C1413</x:v>
      </x:c>
      <x:c r="C1419" s="21" t="str">
        <x:v>stage build</x:v>
      </x:c>
      <x:c r="D1419" s="21" t="str">
        <x:v>pre-replication identity row 242</x:v>
      </x:c>
      <x:c r="E1419" s="21" t="n">
        <x:f>IF(ABS('Stage Build'!I242-SUM('Stage Build'!F242:H242))&lt;0.000001,1,0)</x:f>
        <x:v>1</x:v>
      </x:c>
      <x:c r="F1419" s="21" t="n">
        <x:v>1</x:v>
      </x:c>
      <x:c r="G1419" s="23" t="str">
        <x:f>IF(E1419=F1419,"PASS","FAIL")</x:f>
        <x:v>PASS</x:v>
      </x:c>
    </x:row>
    <x:row r="1420">
      <x:c r="B1420" s="21" t="str">
        <x:v>C1414</x:v>
      </x:c>
      <x:c r="C1420" s="21" t="str">
        <x:v>stage build</x:v>
      </x:c>
      <x:c r="D1420" s="21" t="str">
        <x:v>replication layer nonnegative row 242</x:v>
      </x:c>
      <x:c r="E1420" s="21" t="n">
        <x:f>IF('Stage Build'!J242&gt;=0,1,0)</x:f>
        <x:v>1</x:v>
      </x:c>
      <x:c r="F1420" s="21" t="n">
        <x:v>1</x:v>
      </x:c>
      <x:c r="G1420" s="23" t="str">
        <x:f>IF(E1420=F1420,"PASS","FAIL")</x:f>
        <x:v>PASS</x:v>
      </x:c>
    </x:row>
    <x:row r="1421">
      <x:c r="B1421" s="21" t="str">
        <x:v>C1415</x:v>
      </x:c>
      <x:c r="C1421" s="21" t="str">
        <x:v>stage build</x:v>
      </x:c>
      <x:c r="D1421" s="21" t="str">
        <x:v>designed ratio identity row 242</x:v>
      </x:c>
      <x:c r="E1421" s="21" t="n">
        <x:f>IF(ABS('Stage Build'!K242-'Stage Build'!I242-'Stage Build'!J242)&lt;0.000001,1,0)</x:f>
        <x:v>1</x:v>
      </x:c>
      <x:c r="F1421" s="21" t="n">
        <x:v>1</x:v>
      </x:c>
      <x:c r="G1421" s="23" t="str">
        <x:f>IF(E1421=F1421,"PASS","FAIL")</x:f>
        <x:v>PASS</x:v>
      </x:c>
    </x:row>
    <x:row r="1422">
      <x:c r="B1422" s="21" t="str">
        <x:v>C1416</x:v>
      </x:c>
      <x:c r="C1422" s="21" t="str">
        <x:v>stage build</x:v>
      </x:c>
      <x:c r="D1422" s="21" t="str">
        <x:v>M05 status identity row 242</x:v>
      </x:c>
      <x:c r="E1422" s="21" t="n">
        <x:f>IF('Stage Build'!L242=IF('Stage Build'!K242&gt;=Assumptions!$C$9,"ADEQUATE","GAP"),1,0)</x:f>
        <x:v>1</x:v>
      </x:c>
      <x:c r="F1422" s="21" t="n">
        <x:v>1</x:v>
      </x:c>
      <x:c r="G1422" s="23" t="str">
        <x:f>IF(E1422=F1422,"PASS","FAIL")</x:f>
        <x:v>PASS</x:v>
      </x:c>
    </x:row>
    <x:row r="1423">
      <x:c r="B1423" s="21" t="str">
        <x:v>C1417</x:v>
      </x:c>
      <x:c r="C1423" s="21" t="str">
        <x:v>stage build</x:v>
      </x:c>
      <x:c r="D1423" s="21" t="str">
        <x:v>baseline nonnegative row 243</x:v>
      </x:c>
      <x:c r="E1423" s="21" t="n">
        <x:f>IF('Stage Build'!F243&gt;=0,1,0)</x:f>
        <x:v>1</x:v>
      </x:c>
      <x:c r="F1423" s="21" t="n">
        <x:v>1</x:v>
      </x:c>
      <x:c r="G1423" s="23" t="str">
        <x:f>IF(E1423=F1423,"PASS","FAIL")</x:f>
        <x:v>PASS</x:v>
      </x:c>
    </x:row>
    <x:row r="1424">
      <x:c r="B1424" s="21" t="str">
        <x:v>C1418</x:v>
      </x:c>
      <x:c r="C1424" s="21" t="str">
        <x:v>stage build</x:v>
      </x:c>
      <x:c r="D1424" s="21" t="str">
        <x:v>targeted additions nonnegative row 243</x:v>
      </x:c>
      <x:c r="E1424" s="21" t="n">
        <x:f>IF(AND('Stage Build'!G243&gt;=0,'Stage Build'!H243&gt;=0),1,0)</x:f>
        <x:v>1</x:v>
      </x:c>
      <x:c r="F1424" s="21" t="n">
        <x:v>1</x:v>
      </x:c>
      <x:c r="G1424" s="23" t="str">
        <x:f>IF(E1424=F1424,"PASS","FAIL")</x:f>
        <x:v>PASS</x:v>
      </x:c>
    </x:row>
    <x:row r="1425">
      <x:c r="B1425" s="21" t="str">
        <x:v>C1419</x:v>
      </x:c>
      <x:c r="C1425" s="21" t="str">
        <x:v>stage build</x:v>
      </x:c>
      <x:c r="D1425" s="21" t="str">
        <x:v>pre-replication identity row 243</x:v>
      </x:c>
      <x:c r="E1425" s="21" t="n">
        <x:f>IF(ABS('Stage Build'!I243-SUM('Stage Build'!F243:H243))&lt;0.000001,1,0)</x:f>
        <x:v>1</x:v>
      </x:c>
      <x:c r="F1425" s="21" t="n">
        <x:v>1</x:v>
      </x:c>
      <x:c r="G1425" s="23" t="str">
        <x:f>IF(E1425=F1425,"PASS","FAIL")</x:f>
        <x:v>PASS</x:v>
      </x:c>
    </x:row>
    <x:row r="1426">
      <x:c r="B1426" s="21" t="str">
        <x:v>C1420</x:v>
      </x:c>
      <x:c r="C1426" s="21" t="str">
        <x:v>stage build</x:v>
      </x:c>
      <x:c r="D1426" s="21" t="str">
        <x:v>replication layer nonnegative row 243</x:v>
      </x:c>
      <x:c r="E1426" s="21" t="n">
        <x:f>IF('Stage Build'!J243&gt;=0,1,0)</x:f>
        <x:v>1</x:v>
      </x:c>
      <x:c r="F1426" s="21" t="n">
        <x:v>1</x:v>
      </x:c>
      <x:c r="G1426" s="23" t="str">
        <x:f>IF(E1426=F1426,"PASS","FAIL")</x:f>
        <x:v>PASS</x:v>
      </x:c>
    </x:row>
    <x:row r="1427">
      <x:c r="B1427" s="21" t="str">
        <x:v>C1421</x:v>
      </x:c>
      <x:c r="C1427" s="21" t="str">
        <x:v>stage build</x:v>
      </x:c>
      <x:c r="D1427" s="21" t="str">
        <x:v>designed ratio identity row 243</x:v>
      </x:c>
      <x:c r="E1427" s="21" t="n">
        <x:f>IF(ABS('Stage Build'!K243-'Stage Build'!I243-'Stage Build'!J243)&lt;0.000001,1,0)</x:f>
        <x:v>1</x:v>
      </x:c>
      <x:c r="F1427" s="21" t="n">
        <x:v>1</x:v>
      </x:c>
      <x:c r="G1427" s="23" t="str">
        <x:f>IF(E1427=F1427,"PASS","FAIL")</x:f>
        <x:v>PASS</x:v>
      </x:c>
    </x:row>
    <x:row r="1428">
      <x:c r="B1428" s="21" t="str">
        <x:v>C1422</x:v>
      </x:c>
      <x:c r="C1428" s="21" t="str">
        <x:v>stage build</x:v>
      </x:c>
      <x:c r="D1428" s="21" t="str">
        <x:v>M05 status identity row 243</x:v>
      </x:c>
      <x:c r="E1428" s="21" t="n">
        <x:f>IF('Stage Build'!L243=IF('Stage Build'!K243&gt;=Assumptions!$C$9,"ADEQUATE","GAP"),1,0)</x:f>
        <x:v>1</x:v>
      </x:c>
      <x:c r="F1428" s="21" t="n">
        <x:v>1</x:v>
      </x:c>
      <x:c r="G1428" s="23" t="str">
        <x:f>IF(E1428=F1428,"PASS","FAIL")</x:f>
        <x:v>PASS</x:v>
      </x:c>
    </x:row>
    <x:row r="1429">
      <x:c r="B1429" s="21" t="str">
        <x:v>C1423</x:v>
      </x:c>
      <x:c r="C1429" s="21" t="str">
        <x:v>stage build</x:v>
      </x:c>
      <x:c r="D1429" s="21" t="str">
        <x:v>baseline nonnegative row 244</x:v>
      </x:c>
      <x:c r="E1429" s="21" t="n">
        <x:f>IF('Stage Build'!F244&gt;=0,1,0)</x:f>
        <x:v>1</x:v>
      </x:c>
      <x:c r="F1429" s="21" t="n">
        <x:v>1</x:v>
      </x:c>
      <x:c r="G1429" s="23" t="str">
        <x:f>IF(E1429=F1429,"PASS","FAIL")</x:f>
        <x:v>PASS</x:v>
      </x:c>
    </x:row>
    <x:row r="1430">
      <x:c r="B1430" s="21" t="str">
        <x:v>C1424</x:v>
      </x:c>
      <x:c r="C1430" s="21" t="str">
        <x:v>stage build</x:v>
      </x:c>
      <x:c r="D1430" s="21" t="str">
        <x:v>targeted additions nonnegative row 244</x:v>
      </x:c>
      <x:c r="E1430" s="21" t="n">
        <x:f>IF(AND('Stage Build'!G244&gt;=0,'Stage Build'!H244&gt;=0),1,0)</x:f>
        <x:v>1</x:v>
      </x:c>
      <x:c r="F1430" s="21" t="n">
        <x:v>1</x:v>
      </x:c>
      <x:c r="G1430" s="23" t="str">
        <x:f>IF(E1430=F1430,"PASS","FAIL")</x:f>
        <x:v>PASS</x:v>
      </x:c>
    </x:row>
    <x:row r="1431">
      <x:c r="B1431" s="21" t="str">
        <x:v>C1425</x:v>
      </x:c>
      <x:c r="C1431" s="21" t="str">
        <x:v>stage build</x:v>
      </x:c>
      <x:c r="D1431" s="21" t="str">
        <x:v>pre-replication identity row 244</x:v>
      </x:c>
      <x:c r="E1431" s="21" t="n">
        <x:f>IF(ABS('Stage Build'!I244-SUM('Stage Build'!F244:H244))&lt;0.000001,1,0)</x:f>
        <x:v>1</x:v>
      </x:c>
      <x:c r="F1431" s="21" t="n">
        <x:v>1</x:v>
      </x:c>
      <x:c r="G1431" s="23" t="str">
        <x:f>IF(E1431=F1431,"PASS","FAIL")</x:f>
        <x:v>PASS</x:v>
      </x:c>
    </x:row>
    <x:row r="1432">
      <x:c r="B1432" s="21" t="str">
        <x:v>C1426</x:v>
      </x:c>
      <x:c r="C1432" s="21" t="str">
        <x:v>stage build</x:v>
      </x:c>
      <x:c r="D1432" s="21" t="str">
        <x:v>replication layer nonnegative row 244</x:v>
      </x:c>
      <x:c r="E1432" s="21" t="n">
        <x:f>IF('Stage Build'!J244&gt;=0,1,0)</x:f>
        <x:v>1</x:v>
      </x:c>
      <x:c r="F1432" s="21" t="n">
        <x:v>1</x:v>
      </x:c>
      <x:c r="G1432" s="23" t="str">
        <x:f>IF(E1432=F1432,"PASS","FAIL")</x:f>
        <x:v>PASS</x:v>
      </x:c>
    </x:row>
    <x:row r="1433">
      <x:c r="B1433" s="21" t="str">
        <x:v>C1427</x:v>
      </x:c>
      <x:c r="C1433" s="21" t="str">
        <x:v>stage build</x:v>
      </x:c>
      <x:c r="D1433" s="21" t="str">
        <x:v>designed ratio identity row 244</x:v>
      </x:c>
      <x:c r="E1433" s="21" t="n">
        <x:f>IF(ABS('Stage Build'!K244-'Stage Build'!I244-'Stage Build'!J244)&lt;0.000001,1,0)</x:f>
        <x:v>1</x:v>
      </x:c>
      <x:c r="F1433" s="21" t="n">
        <x:v>1</x:v>
      </x:c>
      <x:c r="G1433" s="23" t="str">
        <x:f>IF(E1433=F1433,"PASS","FAIL")</x:f>
        <x:v>PASS</x:v>
      </x:c>
    </x:row>
    <x:row r="1434">
      <x:c r="B1434" s="21" t="str">
        <x:v>C1428</x:v>
      </x:c>
      <x:c r="C1434" s="21" t="str">
        <x:v>stage build</x:v>
      </x:c>
      <x:c r="D1434" s="21" t="str">
        <x:v>M05 status identity row 244</x:v>
      </x:c>
      <x:c r="E1434" s="21" t="n">
        <x:f>IF('Stage Build'!L244=IF('Stage Build'!K244&gt;=Assumptions!$C$9,"ADEQUATE","GAP"),1,0)</x:f>
        <x:v>1</x:v>
      </x:c>
      <x:c r="F1434" s="21" t="n">
        <x:v>1</x:v>
      </x:c>
      <x:c r="G1434" s="23" t="str">
        <x:f>IF(E1434=F1434,"PASS","FAIL")</x:f>
        <x:v>PASS</x:v>
      </x:c>
    </x:row>
    <x:row r="1435">
      <x:c r="B1435" s="21" t="str">
        <x:v>C1429</x:v>
      </x:c>
      <x:c r="C1435" s="21" t="str">
        <x:v>stage build</x:v>
      </x:c>
      <x:c r="D1435" s="21" t="str">
        <x:v>baseline nonnegative row 245</x:v>
      </x:c>
      <x:c r="E1435" s="21" t="n">
        <x:f>IF('Stage Build'!F245&gt;=0,1,0)</x:f>
        <x:v>1</x:v>
      </x:c>
      <x:c r="F1435" s="21" t="n">
        <x:v>1</x:v>
      </x:c>
      <x:c r="G1435" s="23" t="str">
        <x:f>IF(E1435=F1435,"PASS","FAIL")</x:f>
        <x:v>PASS</x:v>
      </x:c>
    </x:row>
    <x:row r="1436">
      <x:c r="B1436" s="21" t="str">
        <x:v>C1430</x:v>
      </x:c>
      <x:c r="C1436" s="21" t="str">
        <x:v>stage build</x:v>
      </x:c>
      <x:c r="D1436" s="21" t="str">
        <x:v>targeted additions nonnegative row 245</x:v>
      </x:c>
      <x:c r="E1436" s="21" t="n">
        <x:f>IF(AND('Stage Build'!G245&gt;=0,'Stage Build'!H245&gt;=0),1,0)</x:f>
        <x:v>1</x:v>
      </x:c>
      <x:c r="F1436" s="21" t="n">
        <x:v>1</x:v>
      </x:c>
      <x:c r="G1436" s="23" t="str">
        <x:f>IF(E1436=F1436,"PASS","FAIL")</x:f>
        <x:v>PASS</x:v>
      </x:c>
    </x:row>
    <x:row r="1437">
      <x:c r="B1437" s="21" t="str">
        <x:v>C1431</x:v>
      </x:c>
      <x:c r="C1437" s="21" t="str">
        <x:v>stage build</x:v>
      </x:c>
      <x:c r="D1437" s="21" t="str">
        <x:v>pre-replication identity row 245</x:v>
      </x:c>
      <x:c r="E1437" s="21" t="n">
        <x:f>IF(ABS('Stage Build'!I245-SUM('Stage Build'!F245:H245))&lt;0.000001,1,0)</x:f>
        <x:v>1</x:v>
      </x:c>
      <x:c r="F1437" s="21" t="n">
        <x:v>1</x:v>
      </x:c>
      <x:c r="G1437" s="23" t="str">
        <x:f>IF(E1437=F1437,"PASS","FAIL")</x:f>
        <x:v>PASS</x:v>
      </x:c>
    </x:row>
    <x:row r="1438">
      <x:c r="B1438" s="21" t="str">
        <x:v>C1432</x:v>
      </x:c>
      <x:c r="C1438" s="21" t="str">
        <x:v>stage build</x:v>
      </x:c>
      <x:c r="D1438" s="21" t="str">
        <x:v>replication layer nonnegative row 245</x:v>
      </x:c>
      <x:c r="E1438" s="21" t="n">
        <x:f>IF('Stage Build'!J245&gt;=0,1,0)</x:f>
        <x:v>1</x:v>
      </x:c>
      <x:c r="F1438" s="21" t="n">
        <x:v>1</x:v>
      </x:c>
      <x:c r="G1438" s="23" t="str">
        <x:f>IF(E1438=F1438,"PASS","FAIL")</x:f>
        <x:v>PASS</x:v>
      </x:c>
    </x:row>
    <x:row r="1439">
      <x:c r="B1439" s="21" t="str">
        <x:v>C1433</x:v>
      </x:c>
      <x:c r="C1439" s="21" t="str">
        <x:v>stage build</x:v>
      </x:c>
      <x:c r="D1439" s="21" t="str">
        <x:v>designed ratio identity row 245</x:v>
      </x:c>
      <x:c r="E1439" s="21" t="n">
        <x:f>IF(ABS('Stage Build'!K245-'Stage Build'!I245-'Stage Build'!J245)&lt;0.000001,1,0)</x:f>
        <x:v>1</x:v>
      </x:c>
      <x:c r="F1439" s="21" t="n">
        <x:v>1</x:v>
      </x:c>
      <x:c r="G1439" s="23" t="str">
        <x:f>IF(E1439=F1439,"PASS","FAIL")</x:f>
        <x:v>PASS</x:v>
      </x:c>
    </x:row>
    <x:row r="1440">
      <x:c r="B1440" s="21" t="str">
        <x:v>C1434</x:v>
      </x:c>
      <x:c r="C1440" s="21" t="str">
        <x:v>stage build</x:v>
      </x:c>
      <x:c r="D1440" s="21" t="str">
        <x:v>M05 status identity row 245</x:v>
      </x:c>
      <x:c r="E1440" s="21" t="n">
        <x:f>IF('Stage Build'!L245=IF('Stage Build'!K245&gt;=Assumptions!$C$9,"ADEQUATE","GAP"),1,0)</x:f>
        <x:v>1</x:v>
      </x:c>
      <x:c r="F1440" s="21" t="n">
        <x:v>1</x:v>
      </x:c>
      <x:c r="G1440" s="23" t="str">
        <x:f>IF(E1440=F1440,"PASS","FAIL")</x:f>
        <x:v>PASS</x:v>
      </x:c>
    </x:row>
    <x:row r="1441">
      <x:c r="B1441" s="21" t="str">
        <x:v>C1435</x:v>
      </x:c>
      <x:c r="C1441" s="21" t="str">
        <x:v>stage build</x:v>
      </x:c>
      <x:c r="D1441" s="21" t="str">
        <x:v>baseline nonnegative row 246</x:v>
      </x:c>
      <x:c r="E1441" s="21" t="n">
        <x:f>IF('Stage Build'!F246&gt;=0,1,0)</x:f>
        <x:v>1</x:v>
      </x:c>
      <x:c r="F1441" s="21" t="n">
        <x:v>1</x:v>
      </x:c>
      <x:c r="G1441" s="23" t="str">
        <x:f>IF(E1441=F1441,"PASS","FAIL")</x:f>
        <x:v>PASS</x:v>
      </x:c>
    </x:row>
    <x:row r="1442">
      <x:c r="B1442" s="21" t="str">
        <x:v>C1436</x:v>
      </x:c>
      <x:c r="C1442" s="21" t="str">
        <x:v>stage build</x:v>
      </x:c>
      <x:c r="D1442" s="21" t="str">
        <x:v>targeted additions nonnegative row 246</x:v>
      </x:c>
      <x:c r="E1442" s="21" t="n">
        <x:f>IF(AND('Stage Build'!G246&gt;=0,'Stage Build'!H246&gt;=0),1,0)</x:f>
        <x:v>1</x:v>
      </x:c>
      <x:c r="F1442" s="21" t="n">
        <x:v>1</x:v>
      </x:c>
      <x:c r="G1442" s="23" t="str">
        <x:f>IF(E1442=F1442,"PASS","FAIL")</x:f>
        <x:v>PASS</x:v>
      </x:c>
    </x:row>
    <x:row r="1443">
      <x:c r="B1443" s="21" t="str">
        <x:v>C1437</x:v>
      </x:c>
      <x:c r="C1443" s="21" t="str">
        <x:v>stage build</x:v>
      </x:c>
      <x:c r="D1443" s="21" t="str">
        <x:v>pre-replication identity row 246</x:v>
      </x:c>
      <x:c r="E1443" s="21" t="n">
        <x:f>IF(ABS('Stage Build'!I246-SUM('Stage Build'!F246:H246))&lt;0.000001,1,0)</x:f>
        <x:v>1</x:v>
      </x:c>
      <x:c r="F1443" s="21" t="n">
        <x:v>1</x:v>
      </x:c>
      <x:c r="G1443" s="23" t="str">
        <x:f>IF(E1443=F1443,"PASS","FAIL")</x:f>
        <x:v>PASS</x:v>
      </x:c>
    </x:row>
    <x:row r="1444">
      <x:c r="B1444" s="21" t="str">
        <x:v>C1438</x:v>
      </x:c>
      <x:c r="C1444" s="21" t="str">
        <x:v>stage build</x:v>
      </x:c>
      <x:c r="D1444" s="21" t="str">
        <x:v>replication layer nonnegative row 246</x:v>
      </x:c>
      <x:c r="E1444" s="21" t="n">
        <x:f>IF('Stage Build'!J246&gt;=0,1,0)</x:f>
        <x:v>1</x:v>
      </x:c>
      <x:c r="F1444" s="21" t="n">
        <x:v>1</x:v>
      </x:c>
      <x:c r="G1444" s="23" t="str">
        <x:f>IF(E1444=F1444,"PASS","FAIL")</x:f>
        <x:v>PASS</x:v>
      </x:c>
    </x:row>
    <x:row r="1445">
      <x:c r="B1445" s="21" t="str">
        <x:v>C1439</x:v>
      </x:c>
      <x:c r="C1445" s="21" t="str">
        <x:v>stage build</x:v>
      </x:c>
      <x:c r="D1445" s="21" t="str">
        <x:v>designed ratio identity row 246</x:v>
      </x:c>
      <x:c r="E1445" s="21" t="n">
        <x:f>IF(ABS('Stage Build'!K246-'Stage Build'!I246-'Stage Build'!J246)&lt;0.000001,1,0)</x:f>
        <x:v>1</x:v>
      </x:c>
      <x:c r="F1445" s="21" t="n">
        <x:v>1</x:v>
      </x:c>
      <x:c r="G1445" s="23" t="str">
        <x:f>IF(E1445=F1445,"PASS","FAIL")</x:f>
        <x:v>PASS</x:v>
      </x:c>
    </x:row>
    <x:row r="1446">
      <x:c r="B1446" s="21" t="str">
        <x:v>C1440</x:v>
      </x:c>
      <x:c r="C1446" s="21" t="str">
        <x:v>stage build</x:v>
      </x:c>
      <x:c r="D1446" s="21" t="str">
        <x:v>M05 status identity row 246</x:v>
      </x:c>
      <x:c r="E1446" s="21" t="n">
        <x:f>IF('Stage Build'!L246=IF('Stage Build'!K246&gt;=Assumptions!$C$9,"ADEQUATE","GAP"),1,0)</x:f>
        <x:v>1</x:v>
      </x:c>
      <x:c r="F1446" s="21" t="n">
        <x:v>1</x:v>
      </x:c>
      <x:c r="G1446" s="23" t="str">
        <x:f>IF(E1446=F1446,"PASS","FAIL")</x:f>
        <x:v>PASS</x:v>
      </x:c>
    </x:row>
    <x:row r="1447">
      <x:c r="B1447" s="21" t="str">
        <x:v>C1441</x:v>
      </x:c>
      <x:c r="C1447" s="21" t="str">
        <x:v>stage build</x:v>
      </x:c>
      <x:c r="D1447" s="21" t="str">
        <x:v>baseline nonnegative row 247</x:v>
      </x:c>
      <x:c r="E1447" s="21" t="n">
        <x:f>IF('Stage Build'!F247&gt;=0,1,0)</x:f>
        <x:v>1</x:v>
      </x:c>
      <x:c r="F1447" s="21" t="n">
        <x:v>1</x:v>
      </x:c>
      <x:c r="G1447" s="23" t="str">
        <x:f>IF(E1447=F1447,"PASS","FAIL")</x:f>
        <x:v>PASS</x:v>
      </x:c>
    </x:row>
    <x:row r="1448">
      <x:c r="B1448" s="21" t="str">
        <x:v>C1442</x:v>
      </x:c>
      <x:c r="C1448" s="21" t="str">
        <x:v>stage build</x:v>
      </x:c>
      <x:c r="D1448" s="21" t="str">
        <x:v>targeted additions nonnegative row 247</x:v>
      </x:c>
      <x:c r="E1448" s="21" t="n">
        <x:f>IF(AND('Stage Build'!G247&gt;=0,'Stage Build'!H247&gt;=0),1,0)</x:f>
        <x:v>1</x:v>
      </x:c>
      <x:c r="F1448" s="21" t="n">
        <x:v>1</x:v>
      </x:c>
      <x:c r="G1448" s="23" t="str">
        <x:f>IF(E1448=F1448,"PASS","FAIL")</x:f>
        <x:v>PASS</x:v>
      </x:c>
    </x:row>
    <x:row r="1449">
      <x:c r="B1449" s="21" t="str">
        <x:v>C1443</x:v>
      </x:c>
      <x:c r="C1449" s="21" t="str">
        <x:v>stage build</x:v>
      </x:c>
      <x:c r="D1449" s="21" t="str">
        <x:v>pre-replication identity row 247</x:v>
      </x:c>
      <x:c r="E1449" s="21" t="n">
        <x:f>IF(ABS('Stage Build'!I247-SUM('Stage Build'!F247:H247))&lt;0.000001,1,0)</x:f>
        <x:v>1</x:v>
      </x:c>
      <x:c r="F1449" s="21" t="n">
        <x:v>1</x:v>
      </x:c>
      <x:c r="G1449" s="23" t="str">
        <x:f>IF(E1449=F1449,"PASS","FAIL")</x:f>
        <x:v>PASS</x:v>
      </x:c>
    </x:row>
    <x:row r="1450">
      <x:c r="B1450" s="21" t="str">
        <x:v>C1444</x:v>
      </x:c>
      <x:c r="C1450" s="21" t="str">
        <x:v>stage build</x:v>
      </x:c>
      <x:c r="D1450" s="21" t="str">
        <x:v>replication layer nonnegative row 247</x:v>
      </x:c>
      <x:c r="E1450" s="21" t="n">
        <x:f>IF('Stage Build'!J247&gt;=0,1,0)</x:f>
        <x:v>1</x:v>
      </x:c>
      <x:c r="F1450" s="21" t="n">
        <x:v>1</x:v>
      </x:c>
      <x:c r="G1450" s="23" t="str">
        <x:f>IF(E1450=F1450,"PASS","FAIL")</x:f>
        <x:v>PASS</x:v>
      </x:c>
    </x:row>
    <x:row r="1451">
      <x:c r="B1451" s="21" t="str">
        <x:v>C1445</x:v>
      </x:c>
      <x:c r="C1451" s="21" t="str">
        <x:v>stage build</x:v>
      </x:c>
      <x:c r="D1451" s="21" t="str">
        <x:v>designed ratio identity row 247</x:v>
      </x:c>
      <x:c r="E1451" s="21" t="n">
        <x:f>IF(ABS('Stage Build'!K247-'Stage Build'!I247-'Stage Build'!J247)&lt;0.000001,1,0)</x:f>
        <x:v>1</x:v>
      </x:c>
      <x:c r="F1451" s="21" t="n">
        <x:v>1</x:v>
      </x:c>
      <x:c r="G1451" s="23" t="str">
        <x:f>IF(E1451=F1451,"PASS","FAIL")</x:f>
        <x:v>PASS</x:v>
      </x:c>
    </x:row>
    <x:row r="1452">
      <x:c r="B1452" s="21" t="str">
        <x:v>C1446</x:v>
      </x:c>
      <x:c r="C1452" s="21" t="str">
        <x:v>stage build</x:v>
      </x:c>
      <x:c r="D1452" s="21" t="str">
        <x:v>M05 status identity row 247</x:v>
      </x:c>
      <x:c r="E1452" s="21" t="n">
        <x:f>IF('Stage Build'!L247=IF('Stage Build'!K247&gt;=Assumptions!$C$9,"ADEQUATE","GAP"),1,0)</x:f>
        <x:v>1</x:v>
      </x:c>
      <x:c r="F1452" s="21" t="n">
        <x:v>1</x:v>
      </x:c>
      <x:c r="G1452" s="23" t="str">
        <x:f>IF(E1452=F1452,"PASS","FAIL")</x:f>
        <x:v>PASS</x:v>
      </x:c>
    </x:row>
    <x:row r="1453">
      <x:c r="B1453" s="21" t="str">
        <x:v>C1447</x:v>
      </x:c>
      <x:c r="C1453" s="21" t="str">
        <x:v>stage build</x:v>
      </x:c>
      <x:c r="D1453" s="21" t="str">
        <x:v>baseline nonnegative row 248</x:v>
      </x:c>
      <x:c r="E1453" s="21" t="n">
        <x:f>IF('Stage Build'!F248&gt;=0,1,0)</x:f>
        <x:v>1</x:v>
      </x:c>
      <x:c r="F1453" s="21" t="n">
        <x:v>1</x:v>
      </x:c>
      <x:c r="G1453" s="23" t="str">
        <x:f>IF(E1453=F1453,"PASS","FAIL")</x:f>
        <x:v>PASS</x:v>
      </x:c>
    </x:row>
    <x:row r="1454">
      <x:c r="B1454" s="21" t="str">
        <x:v>C1448</x:v>
      </x:c>
      <x:c r="C1454" s="21" t="str">
        <x:v>stage build</x:v>
      </x:c>
      <x:c r="D1454" s="21" t="str">
        <x:v>targeted additions nonnegative row 248</x:v>
      </x:c>
      <x:c r="E1454" s="21" t="n">
        <x:f>IF(AND('Stage Build'!G248&gt;=0,'Stage Build'!H248&gt;=0),1,0)</x:f>
        <x:v>1</x:v>
      </x:c>
      <x:c r="F1454" s="21" t="n">
        <x:v>1</x:v>
      </x:c>
      <x:c r="G1454" s="23" t="str">
        <x:f>IF(E1454=F1454,"PASS","FAIL")</x:f>
        <x:v>PASS</x:v>
      </x:c>
    </x:row>
    <x:row r="1455">
      <x:c r="B1455" s="21" t="str">
        <x:v>C1449</x:v>
      </x:c>
      <x:c r="C1455" s="21" t="str">
        <x:v>stage build</x:v>
      </x:c>
      <x:c r="D1455" s="21" t="str">
        <x:v>pre-replication identity row 248</x:v>
      </x:c>
      <x:c r="E1455" s="21" t="n">
        <x:f>IF(ABS('Stage Build'!I248-SUM('Stage Build'!F248:H248))&lt;0.000001,1,0)</x:f>
        <x:v>1</x:v>
      </x:c>
      <x:c r="F1455" s="21" t="n">
        <x:v>1</x:v>
      </x:c>
      <x:c r="G1455" s="23" t="str">
        <x:f>IF(E1455=F1455,"PASS","FAIL")</x:f>
        <x:v>PASS</x:v>
      </x:c>
    </x:row>
    <x:row r="1456">
      <x:c r="B1456" s="21" t="str">
        <x:v>C1450</x:v>
      </x:c>
      <x:c r="C1456" s="21" t="str">
        <x:v>stage build</x:v>
      </x:c>
      <x:c r="D1456" s="21" t="str">
        <x:v>replication layer nonnegative row 248</x:v>
      </x:c>
      <x:c r="E1456" s="21" t="n">
        <x:f>IF('Stage Build'!J248&gt;=0,1,0)</x:f>
        <x:v>1</x:v>
      </x:c>
      <x:c r="F1456" s="21" t="n">
        <x:v>1</x:v>
      </x:c>
      <x:c r="G1456" s="23" t="str">
        <x:f>IF(E1456=F1456,"PASS","FAIL")</x:f>
        <x:v>PASS</x:v>
      </x:c>
    </x:row>
    <x:row r="1457">
      <x:c r="B1457" s="21" t="str">
        <x:v>C1451</x:v>
      </x:c>
      <x:c r="C1457" s="21" t="str">
        <x:v>stage build</x:v>
      </x:c>
      <x:c r="D1457" s="21" t="str">
        <x:v>designed ratio identity row 248</x:v>
      </x:c>
      <x:c r="E1457" s="21" t="n">
        <x:f>IF(ABS('Stage Build'!K248-'Stage Build'!I248-'Stage Build'!J248)&lt;0.000001,1,0)</x:f>
        <x:v>1</x:v>
      </x:c>
      <x:c r="F1457" s="21" t="n">
        <x:v>1</x:v>
      </x:c>
      <x:c r="G1457" s="23" t="str">
        <x:f>IF(E1457=F1457,"PASS","FAIL")</x:f>
        <x:v>PASS</x:v>
      </x:c>
    </x:row>
    <x:row r="1458">
      <x:c r="B1458" s="21" t="str">
        <x:v>C1452</x:v>
      </x:c>
      <x:c r="C1458" s="21" t="str">
        <x:v>stage build</x:v>
      </x:c>
      <x:c r="D1458" s="21" t="str">
        <x:v>M05 status identity row 248</x:v>
      </x:c>
      <x:c r="E1458" s="21" t="n">
        <x:f>IF('Stage Build'!L248=IF('Stage Build'!K248&gt;=Assumptions!$C$9,"ADEQUATE","GAP"),1,0)</x:f>
        <x:v>1</x:v>
      </x:c>
      <x:c r="F1458" s="21" t="n">
        <x:v>1</x:v>
      </x:c>
      <x:c r="G1458" s="23" t="str">
        <x:f>IF(E1458=F1458,"PASS","FAIL")</x:f>
        <x:v>PASS</x:v>
      </x:c>
    </x:row>
    <x:row r="1459">
      <x:c r="B1459" s="21" t="str">
        <x:v>C1453</x:v>
      </x:c>
      <x:c r="C1459" s="21" t="str">
        <x:v>stage build</x:v>
      </x:c>
      <x:c r="D1459" s="21" t="str">
        <x:v>baseline nonnegative row 249</x:v>
      </x:c>
      <x:c r="E1459" s="21" t="n">
        <x:f>IF('Stage Build'!F249&gt;=0,1,0)</x:f>
        <x:v>1</x:v>
      </x:c>
      <x:c r="F1459" s="21" t="n">
        <x:v>1</x:v>
      </x:c>
      <x:c r="G1459" s="23" t="str">
        <x:f>IF(E1459=F1459,"PASS","FAIL")</x:f>
        <x:v>PASS</x:v>
      </x:c>
    </x:row>
    <x:row r="1460">
      <x:c r="B1460" s="21" t="str">
        <x:v>C1454</x:v>
      </x:c>
      <x:c r="C1460" s="21" t="str">
        <x:v>stage build</x:v>
      </x:c>
      <x:c r="D1460" s="21" t="str">
        <x:v>targeted additions nonnegative row 249</x:v>
      </x:c>
      <x:c r="E1460" s="21" t="n">
        <x:f>IF(AND('Stage Build'!G249&gt;=0,'Stage Build'!H249&gt;=0),1,0)</x:f>
        <x:v>1</x:v>
      </x:c>
      <x:c r="F1460" s="21" t="n">
        <x:v>1</x:v>
      </x:c>
      <x:c r="G1460" s="23" t="str">
        <x:f>IF(E1460=F1460,"PASS","FAIL")</x:f>
        <x:v>PASS</x:v>
      </x:c>
    </x:row>
    <x:row r="1461">
      <x:c r="B1461" s="21" t="str">
        <x:v>C1455</x:v>
      </x:c>
      <x:c r="C1461" s="21" t="str">
        <x:v>stage build</x:v>
      </x:c>
      <x:c r="D1461" s="21" t="str">
        <x:v>pre-replication identity row 249</x:v>
      </x:c>
      <x:c r="E1461" s="21" t="n">
        <x:f>IF(ABS('Stage Build'!I249-SUM('Stage Build'!F249:H249))&lt;0.000001,1,0)</x:f>
        <x:v>1</x:v>
      </x:c>
      <x:c r="F1461" s="21" t="n">
        <x:v>1</x:v>
      </x:c>
      <x:c r="G1461" s="23" t="str">
        <x:f>IF(E1461=F1461,"PASS","FAIL")</x:f>
        <x:v>PASS</x:v>
      </x:c>
    </x:row>
    <x:row r="1462">
      <x:c r="B1462" s="21" t="str">
        <x:v>C1456</x:v>
      </x:c>
      <x:c r="C1462" s="21" t="str">
        <x:v>stage build</x:v>
      </x:c>
      <x:c r="D1462" s="21" t="str">
        <x:v>replication layer nonnegative row 249</x:v>
      </x:c>
      <x:c r="E1462" s="21" t="n">
        <x:f>IF('Stage Build'!J249&gt;=0,1,0)</x:f>
        <x:v>1</x:v>
      </x:c>
      <x:c r="F1462" s="21" t="n">
        <x:v>1</x:v>
      </x:c>
      <x:c r="G1462" s="23" t="str">
        <x:f>IF(E1462=F1462,"PASS","FAIL")</x:f>
        <x:v>PASS</x:v>
      </x:c>
    </x:row>
    <x:row r="1463">
      <x:c r="B1463" s="21" t="str">
        <x:v>C1457</x:v>
      </x:c>
      <x:c r="C1463" s="21" t="str">
        <x:v>stage build</x:v>
      </x:c>
      <x:c r="D1463" s="21" t="str">
        <x:v>designed ratio identity row 249</x:v>
      </x:c>
      <x:c r="E1463" s="21" t="n">
        <x:f>IF(ABS('Stage Build'!K249-'Stage Build'!I249-'Stage Build'!J249)&lt;0.000001,1,0)</x:f>
        <x:v>1</x:v>
      </x:c>
      <x:c r="F1463" s="21" t="n">
        <x:v>1</x:v>
      </x:c>
      <x:c r="G1463" s="23" t="str">
        <x:f>IF(E1463=F1463,"PASS","FAIL")</x:f>
        <x:v>PASS</x:v>
      </x:c>
    </x:row>
    <x:row r="1464">
      <x:c r="B1464" s="21" t="str">
        <x:v>C1458</x:v>
      </x:c>
      <x:c r="C1464" s="21" t="str">
        <x:v>stage build</x:v>
      </x:c>
      <x:c r="D1464" s="21" t="str">
        <x:v>M05 status identity row 249</x:v>
      </x:c>
      <x:c r="E1464" s="21" t="n">
        <x:f>IF('Stage Build'!L249=IF('Stage Build'!K249&gt;=Assumptions!$C$9,"ADEQUATE","GAP"),1,0)</x:f>
        <x:v>1</x:v>
      </x:c>
      <x:c r="F1464" s="21" t="n">
        <x:v>1</x:v>
      </x:c>
      <x:c r="G1464" s="23" t="str">
        <x:f>IF(E1464=F1464,"PASS","FAIL")</x:f>
        <x:v>PASS</x:v>
      </x:c>
    </x:row>
    <x:row r="1465">
      <x:c r="B1465" s="21" t="str">
        <x:v>C1459</x:v>
      </x:c>
      <x:c r="C1465" s="21" t="str">
        <x:v>stage build</x:v>
      </x:c>
      <x:c r="D1465" s="21" t="str">
        <x:v>baseline nonnegative row 250</x:v>
      </x:c>
      <x:c r="E1465" s="21" t="n">
        <x:f>IF('Stage Build'!F250&gt;=0,1,0)</x:f>
        <x:v>1</x:v>
      </x:c>
      <x:c r="F1465" s="21" t="n">
        <x:v>1</x:v>
      </x:c>
      <x:c r="G1465" s="23" t="str">
        <x:f>IF(E1465=F1465,"PASS","FAIL")</x:f>
        <x:v>PASS</x:v>
      </x:c>
    </x:row>
    <x:row r="1466">
      <x:c r="B1466" s="21" t="str">
        <x:v>C1460</x:v>
      </x:c>
      <x:c r="C1466" s="21" t="str">
        <x:v>stage build</x:v>
      </x:c>
      <x:c r="D1466" s="21" t="str">
        <x:v>targeted additions nonnegative row 250</x:v>
      </x:c>
      <x:c r="E1466" s="21" t="n">
        <x:f>IF(AND('Stage Build'!G250&gt;=0,'Stage Build'!H250&gt;=0),1,0)</x:f>
        <x:v>1</x:v>
      </x:c>
      <x:c r="F1466" s="21" t="n">
        <x:v>1</x:v>
      </x:c>
      <x:c r="G1466" s="23" t="str">
        <x:f>IF(E1466=F1466,"PASS","FAIL")</x:f>
        <x:v>PASS</x:v>
      </x:c>
    </x:row>
    <x:row r="1467">
      <x:c r="B1467" s="21" t="str">
        <x:v>C1461</x:v>
      </x:c>
      <x:c r="C1467" s="21" t="str">
        <x:v>stage build</x:v>
      </x:c>
      <x:c r="D1467" s="21" t="str">
        <x:v>pre-replication identity row 250</x:v>
      </x:c>
      <x:c r="E1467" s="21" t="n">
        <x:f>IF(ABS('Stage Build'!I250-SUM('Stage Build'!F250:H250))&lt;0.000001,1,0)</x:f>
        <x:v>1</x:v>
      </x:c>
      <x:c r="F1467" s="21" t="n">
        <x:v>1</x:v>
      </x:c>
      <x:c r="G1467" s="23" t="str">
        <x:f>IF(E1467=F1467,"PASS","FAIL")</x:f>
        <x:v>PASS</x:v>
      </x:c>
    </x:row>
    <x:row r="1468">
      <x:c r="B1468" s="21" t="str">
        <x:v>C1462</x:v>
      </x:c>
      <x:c r="C1468" s="21" t="str">
        <x:v>stage build</x:v>
      </x:c>
      <x:c r="D1468" s="21" t="str">
        <x:v>replication layer nonnegative row 250</x:v>
      </x:c>
      <x:c r="E1468" s="21" t="n">
        <x:f>IF('Stage Build'!J250&gt;=0,1,0)</x:f>
        <x:v>1</x:v>
      </x:c>
      <x:c r="F1468" s="21" t="n">
        <x:v>1</x:v>
      </x:c>
      <x:c r="G1468" s="23" t="str">
        <x:f>IF(E1468=F1468,"PASS","FAIL")</x:f>
        <x:v>PASS</x:v>
      </x:c>
    </x:row>
    <x:row r="1469">
      <x:c r="B1469" s="21" t="str">
        <x:v>C1463</x:v>
      </x:c>
      <x:c r="C1469" s="21" t="str">
        <x:v>stage build</x:v>
      </x:c>
      <x:c r="D1469" s="21" t="str">
        <x:v>designed ratio identity row 250</x:v>
      </x:c>
      <x:c r="E1469" s="21" t="n">
        <x:f>IF(ABS('Stage Build'!K250-'Stage Build'!I250-'Stage Build'!J250)&lt;0.000001,1,0)</x:f>
        <x:v>1</x:v>
      </x:c>
      <x:c r="F1469" s="21" t="n">
        <x:v>1</x:v>
      </x:c>
      <x:c r="G1469" s="23" t="str">
        <x:f>IF(E1469=F1469,"PASS","FAIL")</x:f>
        <x:v>PASS</x:v>
      </x:c>
    </x:row>
    <x:row r="1470">
      <x:c r="B1470" s="21" t="str">
        <x:v>C1464</x:v>
      </x:c>
      <x:c r="C1470" s="21" t="str">
        <x:v>stage build</x:v>
      </x:c>
      <x:c r="D1470" s="21" t="str">
        <x:v>M05 status identity row 250</x:v>
      </x:c>
      <x:c r="E1470" s="21" t="n">
        <x:f>IF('Stage Build'!L250=IF('Stage Build'!K250&gt;=Assumptions!$C$9,"ADEQUATE","GAP"),1,0)</x:f>
        <x:v>1</x:v>
      </x:c>
      <x:c r="F1470" s="21" t="n">
        <x:v>1</x:v>
      </x:c>
      <x:c r="G1470" s="23" t="str">
        <x:f>IF(E1470=F1470,"PASS","FAIL")</x:f>
        <x:v>PASS</x:v>
      </x:c>
    </x:row>
    <x:row r="1471">
      <x:c r="B1471" s="21" t="str">
        <x:v>C1465</x:v>
      </x:c>
      <x:c r="C1471" s="21" t="str">
        <x:v>stage build</x:v>
      </x:c>
      <x:c r="D1471" s="21" t="str">
        <x:v>baseline nonnegative row 251</x:v>
      </x:c>
      <x:c r="E1471" s="21" t="n">
        <x:f>IF('Stage Build'!F251&gt;=0,1,0)</x:f>
        <x:v>1</x:v>
      </x:c>
      <x:c r="F1471" s="21" t="n">
        <x:v>1</x:v>
      </x:c>
      <x:c r="G1471" s="23" t="str">
        <x:f>IF(E1471=F1471,"PASS","FAIL")</x:f>
        <x:v>PASS</x:v>
      </x:c>
    </x:row>
    <x:row r="1472">
      <x:c r="B1472" s="21" t="str">
        <x:v>C1466</x:v>
      </x:c>
      <x:c r="C1472" s="21" t="str">
        <x:v>stage build</x:v>
      </x:c>
      <x:c r="D1472" s="21" t="str">
        <x:v>targeted additions nonnegative row 251</x:v>
      </x:c>
      <x:c r="E1472" s="21" t="n">
        <x:f>IF(AND('Stage Build'!G251&gt;=0,'Stage Build'!H251&gt;=0),1,0)</x:f>
        <x:v>1</x:v>
      </x:c>
      <x:c r="F1472" s="21" t="n">
        <x:v>1</x:v>
      </x:c>
      <x:c r="G1472" s="23" t="str">
        <x:f>IF(E1472=F1472,"PASS","FAIL")</x:f>
        <x:v>PASS</x:v>
      </x:c>
    </x:row>
    <x:row r="1473">
      <x:c r="B1473" s="21" t="str">
        <x:v>C1467</x:v>
      </x:c>
      <x:c r="C1473" s="21" t="str">
        <x:v>stage build</x:v>
      </x:c>
      <x:c r="D1473" s="21" t="str">
        <x:v>pre-replication identity row 251</x:v>
      </x:c>
      <x:c r="E1473" s="21" t="n">
        <x:f>IF(ABS('Stage Build'!I251-SUM('Stage Build'!F251:H251))&lt;0.000001,1,0)</x:f>
        <x:v>1</x:v>
      </x:c>
      <x:c r="F1473" s="21" t="n">
        <x:v>1</x:v>
      </x:c>
      <x:c r="G1473" s="23" t="str">
        <x:f>IF(E1473=F1473,"PASS","FAIL")</x:f>
        <x:v>PASS</x:v>
      </x:c>
    </x:row>
    <x:row r="1474">
      <x:c r="B1474" s="21" t="str">
        <x:v>C1468</x:v>
      </x:c>
      <x:c r="C1474" s="21" t="str">
        <x:v>stage build</x:v>
      </x:c>
      <x:c r="D1474" s="21" t="str">
        <x:v>replication layer nonnegative row 251</x:v>
      </x:c>
      <x:c r="E1474" s="21" t="n">
        <x:f>IF('Stage Build'!J251&gt;=0,1,0)</x:f>
        <x:v>1</x:v>
      </x:c>
      <x:c r="F1474" s="21" t="n">
        <x:v>1</x:v>
      </x:c>
      <x:c r="G1474" s="23" t="str">
        <x:f>IF(E1474=F1474,"PASS","FAIL")</x:f>
        <x:v>PASS</x:v>
      </x:c>
    </x:row>
    <x:row r="1475">
      <x:c r="B1475" s="21" t="str">
        <x:v>C1469</x:v>
      </x:c>
      <x:c r="C1475" s="21" t="str">
        <x:v>stage build</x:v>
      </x:c>
      <x:c r="D1475" s="21" t="str">
        <x:v>designed ratio identity row 251</x:v>
      </x:c>
      <x:c r="E1475" s="21" t="n">
        <x:f>IF(ABS('Stage Build'!K251-'Stage Build'!I251-'Stage Build'!J251)&lt;0.000001,1,0)</x:f>
        <x:v>1</x:v>
      </x:c>
      <x:c r="F1475" s="21" t="n">
        <x:v>1</x:v>
      </x:c>
      <x:c r="G1475" s="23" t="str">
        <x:f>IF(E1475=F1475,"PASS","FAIL")</x:f>
        <x:v>PASS</x:v>
      </x:c>
    </x:row>
    <x:row r="1476">
      <x:c r="B1476" s="21" t="str">
        <x:v>C1470</x:v>
      </x:c>
      <x:c r="C1476" s="21" t="str">
        <x:v>stage build</x:v>
      </x:c>
      <x:c r="D1476" s="21" t="str">
        <x:v>M05 status identity row 251</x:v>
      </x:c>
      <x:c r="E1476" s="21" t="n">
        <x:f>IF('Stage Build'!L251=IF('Stage Build'!K251&gt;=Assumptions!$C$9,"ADEQUATE","GAP"),1,0)</x:f>
        <x:v>1</x:v>
      </x:c>
      <x:c r="F1476" s="21" t="n">
        <x:v>1</x:v>
      </x:c>
      <x:c r="G1476" s="23" t="str">
        <x:f>IF(E1476=F1476,"PASS","FAIL")</x:f>
        <x:v>PASS</x:v>
      </x:c>
    </x:row>
    <x:row r="1477">
      <x:c r="B1477" s="21" t="str">
        <x:v>C1471</x:v>
      </x:c>
      <x:c r="C1477" s="21" t="str">
        <x:v>stage build</x:v>
      </x:c>
      <x:c r="D1477" s="21" t="str">
        <x:v>baseline nonnegative row 252</x:v>
      </x:c>
      <x:c r="E1477" s="21" t="n">
        <x:f>IF('Stage Build'!F252&gt;=0,1,0)</x:f>
        <x:v>1</x:v>
      </x:c>
      <x:c r="F1477" s="21" t="n">
        <x:v>1</x:v>
      </x:c>
      <x:c r="G1477" s="23" t="str">
        <x:f>IF(E1477=F1477,"PASS","FAIL")</x:f>
        <x:v>PASS</x:v>
      </x:c>
    </x:row>
    <x:row r="1478">
      <x:c r="B1478" s="21" t="str">
        <x:v>C1472</x:v>
      </x:c>
      <x:c r="C1478" s="21" t="str">
        <x:v>stage build</x:v>
      </x:c>
      <x:c r="D1478" s="21" t="str">
        <x:v>targeted additions nonnegative row 252</x:v>
      </x:c>
      <x:c r="E1478" s="21" t="n">
        <x:f>IF(AND('Stage Build'!G252&gt;=0,'Stage Build'!H252&gt;=0),1,0)</x:f>
        <x:v>1</x:v>
      </x:c>
      <x:c r="F1478" s="21" t="n">
        <x:v>1</x:v>
      </x:c>
      <x:c r="G1478" s="23" t="str">
        <x:f>IF(E1478=F1478,"PASS","FAIL")</x:f>
        <x:v>PASS</x:v>
      </x:c>
    </x:row>
    <x:row r="1479">
      <x:c r="B1479" s="21" t="str">
        <x:v>C1473</x:v>
      </x:c>
      <x:c r="C1479" s="21" t="str">
        <x:v>stage build</x:v>
      </x:c>
      <x:c r="D1479" s="21" t="str">
        <x:v>pre-replication identity row 252</x:v>
      </x:c>
      <x:c r="E1479" s="21" t="n">
        <x:f>IF(ABS('Stage Build'!I252-SUM('Stage Build'!F252:H252))&lt;0.000001,1,0)</x:f>
        <x:v>1</x:v>
      </x:c>
      <x:c r="F1479" s="21" t="n">
        <x:v>1</x:v>
      </x:c>
      <x:c r="G1479" s="23" t="str">
        <x:f>IF(E1479=F1479,"PASS","FAIL")</x:f>
        <x:v>PASS</x:v>
      </x:c>
    </x:row>
    <x:row r="1480">
      <x:c r="B1480" s="21" t="str">
        <x:v>C1474</x:v>
      </x:c>
      <x:c r="C1480" s="21" t="str">
        <x:v>stage build</x:v>
      </x:c>
      <x:c r="D1480" s="21" t="str">
        <x:v>replication layer nonnegative row 252</x:v>
      </x:c>
      <x:c r="E1480" s="21" t="n">
        <x:f>IF('Stage Build'!J252&gt;=0,1,0)</x:f>
        <x:v>1</x:v>
      </x:c>
      <x:c r="F1480" s="21" t="n">
        <x:v>1</x:v>
      </x:c>
      <x:c r="G1480" s="23" t="str">
        <x:f>IF(E1480=F1480,"PASS","FAIL")</x:f>
        <x:v>PASS</x:v>
      </x:c>
    </x:row>
    <x:row r="1481">
      <x:c r="B1481" s="21" t="str">
        <x:v>C1475</x:v>
      </x:c>
      <x:c r="C1481" s="21" t="str">
        <x:v>stage build</x:v>
      </x:c>
      <x:c r="D1481" s="21" t="str">
        <x:v>designed ratio identity row 252</x:v>
      </x:c>
      <x:c r="E1481" s="21" t="n">
        <x:f>IF(ABS('Stage Build'!K252-'Stage Build'!I252-'Stage Build'!J252)&lt;0.000001,1,0)</x:f>
        <x:v>1</x:v>
      </x:c>
      <x:c r="F1481" s="21" t="n">
        <x:v>1</x:v>
      </x:c>
      <x:c r="G1481" s="23" t="str">
        <x:f>IF(E1481=F1481,"PASS","FAIL")</x:f>
        <x:v>PASS</x:v>
      </x:c>
    </x:row>
    <x:row r="1482">
      <x:c r="B1482" s="21" t="str">
        <x:v>C1476</x:v>
      </x:c>
      <x:c r="C1482" s="21" t="str">
        <x:v>stage build</x:v>
      </x:c>
      <x:c r="D1482" s="21" t="str">
        <x:v>M05 status identity row 252</x:v>
      </x:c>
      <x:c r="E1482" s="21" t="n">
        <x:f>IF('Stage Build'!L252=IF('Stage Build'!K252&gt;=Assumptions!$C$9,"ADEQUATE","GAP"),1,0)</x:f>
        <x:v>1</x:v>
      </x:c>
      <x:c r="F1482" s="21" t="n">
        <x:v>1</x:v>
      </x:c>
      <x:c r="G1482" s="23" t="str">
        <x:f>IF(E1482=F1482,"PASS","FAIL")</x:f>
        <x:v>PASS</x:v>
      </x:c>
    </x:row>
    <x:row r="1483">
      <x:c r="B1483" s="21" t="str">
        <x:v>C1477</x:v>
      </x:c>
      <x:c r="C1483" s="21" t="str">
        <x:v>stage build</x:v>
      </x:c>
      <x:c r="D1483" s="21" t="str">
        <x:v>baseline nonnegative row 253</x:v>
      </x:c>
      <x:c r="E1483" s="21" t="n">
        <x:f>IF('Stage Build'!F253&gt;=0,1,0)</x:f>
        <x:v>1</x:v>
      </x:c>
      <x:c r="F1483" s="21" t="n">
        <x:v>1</x:v>
      </x:c>
      <x:c r="G1483" s="23" t="str">
        <x:f>IF(E1483=F1483,"PASS","FAIL")</x:f>
        <x:v>PASS</x:v>
      </x:c>
    </x:row>
    <x:row r="1484">
      <x:c r="B1484" s="21" t="str">
        <x:v>C1478</x:v>
      </x:c>
      <x:c r="C1484" s="21" t="str">
        <x:v>stage build</x:v>
      </x:c>
      <x:c r="D1484" s="21" t="str">
        <x:v>targeted additions nonnegative row 253</x:v>
      </x:c>
      <x:c r="E1484" s="21" t="n">
        <x:f>IF(AND('Stage Build'!G253&gt;=0,'Stage Build'!H253&gt;=0),1,0)</x:f>
        <x:v>1</x:v>
      </x:c>
      <x:c r="F1484" s="21" t="n">
        <x:v>1</x:v>
      </x:c>
      <x:c r="G1484" s="23" t="str">
        <x:f>IF(E1484=F1484,"PASS","FAIL")</x:f>
        <x:v>PASS</x:v>
      </x:c>
    </x:row>
    <x:row r="1485">
      <x:c r="B1485" s="21" t="str">
        <x:v>C1479</x:v>
      </x:c>
      <x:c r="C1485" s="21" t="str">
        <x:v>stage build</x:v>
      </x:c>
      <x:c r="D1485" s="21" t="str">
        <x:v>pre-replication identity row 253</x:v>
      </x:c>
      <x:c r="E1485" s="21" t="n">
        <x:f>IF(ABS('Stage Build'!I253-SUM('Stage Build'!F253:H253))&lt;0.000001,1,0)</x:f>
        <x:v>1</x:v>
      </x:c>
      <x:c r="F1485" s="21" t="n">
        <x:v>1</x:v>
      </x:c>
      <x:c r="G1485" s="23" t="str">
        <x:f>IF(E1485=F1485,"PASS","FAIL")</x:f>
        <x:v>PASS</x:v>
      </x:c>
    </x:row>
    <x:row r="1486">
      <x:c r="B1486" s="21" t="str">
        <x:v>C1480</x:v>
      </x:c>
      <x:c r="C1486" s="21" t="str">
        <x:v>stage build</x:v>
      </x:c>
      <x:c r="D1486" s="21" t="str">
        <x:v>replication layer nonnegative row 253</x:v>
      </x:c>
      <x:c r="E1486" s="21" t="n">
        <x:f>IF('Stage Build'!J253&gt;=0,1,0)</x:f>
        <x:v>1</x:v>
      </x:c>
      <x:c r="F1486" s="21" t="n">
        <x:v>1</x:v>
      </x:c>
      <x:c r="G1486" s="23" t="str">
        <x:f>IF(E1486=F1486,"PASS","FAIL")</x:f>
        <x:v>PASS</x:v>
      </x:c>
    </x:row>
    <x:row r="1487">
      <x:c r="B1487" s="21" t="str">
        <x:v>C1481</x:v>
      </x:c>
      <x:c r="C1487" s="21" t="str">
        <x:v>stage build</x:v>
      </x:c>
      <x:c r="D1487" s="21" t="str">
        <x:v>designed ratio identity row 253</x:v>
      </x:c>
      <x:c r="E1487" s="21" t="n">
        <x:f>IF(ABS('Stage Build'!K253-'Stage Build'!I253-'Stage Build'!J253)&lt;0.000001,1,0)</x:f>
        <x:v>1</x:v>
      </x:c>
      <x:c r="F1487" s="21" t="n">
        <x:v>1</x:v>
      </x:c>
      <x:c r="G1487" s="23" t="str">
        <x:f>IF(E1487=F1487,"PASS","FAIL")</x:f>
        <x:v>PASS</x:v>
      </x:c>
    </x:row>
    <x:row r="1488">
      <x:c r="B1488" s="21" t="str">
        <x:v>C1482</x:v>
      </x:c>
      <x:c r="C1488" s="21" t="str">
        <x:v>stage build</x:v>
      </x:c>
      <x:c r="D1488" s="21" t="str">
        <x:v>M05 status identity row 253</x:v>
      </x:c>
      <x:c r="E1488" s="21" t="n">
        <x:f>IF('Stage Build'!L253=IF('Stage Build'!K253&gt;=Assumptions!$C$9,"ADEQUATE","GAP"),1,0)</x:f>
        <x:v>1</x:v>
      </x:c>
      <x:c r="F1488" s="21" t="n">
        <x:v>1</x:v>
      </x:c>
      <x:c r="G1488" s="23" t="str">
        <x:f>IF(E1488=F1488,"PASS","FAIL")</x:f>
        <x:v>PASS</x:v>
      </x:c>
    </x:row>
    <x:row r="1489">
      <x:c r="B1489" s="21" t="str">
        <x:v>C1483</x:v>
      </x:c>
      <x:c r="C1489" s="21" t="str">
        <x:v>stage build</x:v>
      </x:c>
      <x:c r="D1489" s="21" t="str">
        <x:v>baseline nonnegative row 254</x:v>
      </x:c>
      <x:c r="E1489" s="21" t="n">
        <x:f>IF('Stage Build'!F254&gt;=0,1,0)</x:f>
        <x:v>1</x:v>
      </x:c>
      <x:c r="F1489" s="21" t="n">
        <x:v>1</x:v>
      </x:c>
      <x:c r="G1489" s="23" t="str">
        <x:f>IF(E1489=F1489,"PASS","FAIL")</x:f>
        <x:v>PASS</x:v>
      </x:c>
    </x:row>
    <x:row r="1490">
      <x:c r="B1490" s="21" t="str">
        <x:v>C1484</x:v>
      </x:c>
      <x:c r="C1490" s="21" t="str">
        <x:v>stage build</x:v>
      </x:c>
      <x:c r="D1490" s="21" t="str">
        <x:v>targeted additions nonnegative row 254</x:v>
      </x:c>
      <x:c r="E1490" s="21" t="n">
        <x:f>IF(AND('Stage Build'!G254&gt;=0,'Stage Build'!H254&gt;=0),1,0)</x:f>
        <x:v>1</x:v>
      </x:c>
      <x:c r="F1490" s="21" t="n">
        <x:v>1</x:v>
      </x:c>
      <x:c r="G1490" s="23" t="str">
        <x:f>IF(E1490=F1490,"PASS","FAIL")</x:f>
        <x:v>PASS</x:v>
      </x:c>
    </x:row>
    <x:row r="1491">
      <x:c r="B1491" s="21" t="str">
        <x:v>C1485</x:v>
      </x:c>
      <x:c r="C1491" s="21" t="str">
        <x:v>stage build</x:v>
      </x:c>
      <x:c r="D1491" s="21" t="str">
        <x:v>pre-replication identity row 254</x:v>
      </x:c>
      <x:c r="E1491" s="21" t="n">
        <x:f>IF(ABS('Stage Build'!I254-SUM('Stage Build'!F254:H254))&lt;0.000001,1,0)</x:f>
        <x:v>1</x:v>
      </x:c>
      <x:c r="F1491" s="21" t="n">
        <x:v>1</x:v>
      </x:c>
      <x:c r="G1491" s="23" t="str">
        <x:f>IF(E1491=F1491,"PASS","FAIL")</x:f>
        <x:v>PASS</x:v>
      </x:c>
    </x:row>
    <x:row r="1492">
      <x:c r="B1492" s="21" t="str">
        <x:v>C1486</x:v>
      </x:c>
      <x:c r="C1492" s="21" t="str">
        <x:v>stage build</x:v>
      </x:c>
      <x:c r="D1492" s="21" t="str">
        <x:v>replication layer nonnegative row 254</x:v>
      </x:c>
      <x:c r="E1492" s="21" t="n">
        <x:f>IF('Stage Build'!J254&gt;=0,1,0)</x:f>
        <x:v>1</x:v>
      </x:c>
      <x:c r="F1492" s="21" t="n">
        <x:v>1</x:v>
      </x:c>
      <x:c r="G1492" s="23" t="str">
        <x:f>IF(E1492=F1492,"PASS","FAIL")</x:f>
        <x:v>PASS</x:v>
      </x:c>
    </x:row>
    <x:row r="1493">
      <x:c r="B1493" s="21" t="str">
        <x:v>C1487</x:v>
      </x:c>
      <x:c r="C1493" s="21" t="str">
        <x:v>stage build</x:v>
      </x:c>
      <x:c r="D1493" s="21" t="str">
        <x:v>designed ratio identity row 254</x:v>
      </x:c>
      <x:c r="E1493" s="21" t="n">
        <x:f>IF(ABS('Stage Build'!K254-'Stage Build'!I254-'Stage Build'!J254)&lt;0.000001,1,0)</x:f>
        <x:v>1</x:v>
      </x:c>
      <x:c r="F1493" s="21" t="n">
        <x:v>1</x:v>
      </x:c>
      <x:c r="G1493" s="23" t="str">
        <x:f>IF(E1493=F1493,"PASS","FAIL")</x:f>
        <x:v>PASS</x:v>
      </x:c>
    </x:row>
    <x:row r="1494">
      <x:c r="B1494" s="21" t="str">
        <x:v>C1488</x:v>
      </x:c>
      <x:c r="C1494" s="21" t="str">
        <x:v>stage build</x:v>
      </x:c>
      <x:c r="D1494" s="21" t="str">
        <x:v>M05 status identity row 254</x:v>
      </x:c>
      <x:c r="E1494" s="21" t="n">
        <x:f>IF('Stage Build'!L254=IF('Stage Build'!K254&gt;=Assumptions!$C$9,"ADEQUATE","GAP"),1,0)</x:f>
        <x:v>1</x:v>
      </x:c>
      <x:c r="F1494" s="21" t="n">
        <x:v>1</x:v>
      </x:c>
      <x:c r="G1494" s="23" t="str">
        <x:f>IF(E1494=F1494,"PASS","FAIL")</x:f>
        <x:v>PASS</x:v>
      </x:c>
    </x:row>
    <x:row r="1495">
      <x:c r="B1495" s="21" t="str">
        <x:v>C1489</x:v>
      </x:c>
      <x:c r="C1495" s="21" t="str">
        <x:v>stage build</x:v>
      </x:c>
      <x:c r="D1495" s="21" t="str">
        <x:v>baseline nonnegative row 255</x:v>
      </x:c>
      <x:c r="E1495" s="21" t="n">
        <x:f>IF('Stage Build'!F255&gt;=0,1,0)</x:f>
        <x:v>1</x:v>
      </x:c>
      <x:c r="F1495" s="21" t="n">
        <x:v>1</x:v>
      </x:c>
      <x:c r="G1495" s="23" t="str">
        <x:f>IF(E1495=F1495,"PASS","FAIL")</x:f>
        <x:v>PASS</x:v>
      </x:c>
    </x:row>
    <x:row r="1496">
      <x:c r="B1496" s="21" t="str">
        <x:v>C1490</x:v>
      </x:c>
      <x:c r="C1496" s="21" t="str">
        <x:v>stage build</x:v>
      </x:c>
      <x:c r="D1496" s="21" t="str">
        <x:v>targeted additions nonnegative row 255</x:v>
      </x:c>
      <x:c r="E1496" s="21" t="n">
        <x:f>IF(AND('Stage Build'!G255&gt;=0,'Stage Build'!H255&gt;=0),1,0)</x:f>
        <x:v>1</x:v>
      </x:c>
      <x:c r="F1496" s="21" t="n">
        <x:v>1</x:v>
      </x:c>
      <x:c r="G1496" s="23" t="str">
        <x:f>IF(E1496=F1496,"PASS","FAIL")</x:f>
        <x:v>PASS</x:v>
      </x:c>
    </x:row>
    <x:row r="1497">
      <x:c r="B1497" s="21" t="str">
        <x:v>C1491</x:v>
      </x:c>
      <x:c r="C1497" s="21" t="str">
        <x:v>stage build</x:v>
      </x:c>
      <x:c r="D1497" s="21" t="str">
        <x:v>pre-replication identity row 255</x:v>
      </x:c>
      <x:c r="E1497" s="21" t="n">
        <x:f>IF(ABS('Stage Build'!I255-SUM('Stage Build'!F255:H255))&lt;0.000001,1,0)</x:f>
        <x:v>1</x:v>
      </x:c>
      <x:c r="F1497" s="21" t="n">
        <x:v>1</x:v>
      </x:c>
      <x:c r="G1497" s="23" t="str">
        <x:f>IF(E1497=F1497,"PASS","FAIL")</x:f>
        <x:v>PASS</x:v>
      </x:c>
    </x:row>
    <x:row r="1498">
      <x:c r="B1498" s="21" t="str">
        <x:v>C1492</x:v>
      </x:c>
      <x:c r="C1498" s="21" t="str">
        <x:v>stage build</x:v>
      </x:c>
      <x:c r="D1498" s="21" t="str">
        <x:v>replication layer nonnegative row 255</x:v>
      </x:c>
      <x:c r="E1498" s="21" t="n">
        <x:f>IF('Stage Build'!J255&gt;=0,1,0)</x:f>
        <x:v>1</x:v>
      </x:c>
      <x:c r="F1498" s="21" t="n">
        <x:v>1</x:v>
      </x:c>
      <x:c r="G1498" s="23" t="str">
        <x:f>IF(E1498=F1498,"PASS","FAIL")</x:f>
        <x:v>PASS</x:v>
      </x:c>
    </x:row>
    <x:row r="1499">
      <x:c r="B1499" s="21" t="str">
        <x:v>C1493</x:v>
      </x:c>
      <x:c r="C1499" s="21" t="str">
        <x:v>stage build</x:v>
      </x:c>
      <x:c r="D1499" s="21" t="str">
        <x:v>designed ratio identity row 255</x:v>
      </x:c>
      <x:c r="E1499" s="21" t="n">
        <x:f>IF(ABS('Stage Build'!K255-'Stage Build'!I255-'Stage Build'!J255)&lt;0.000001,1,0)</x:f>
        <x:v>1</x:v>
      </x:c>
      <x:c r="F1499" s="21" t="n">
        <x:v>1</x:v>
      </x:c>
      <x:c r="G1499" s="23" t="str">
        <x:f>IF(E1499=F1499,"PASS","FAIL")</x:f>
        <x:v>PASS</x:v>
      </x:c>
    </x:row>
    <x:row r="1500">
      <x:c r="B1500" s="21" t="str">
        <x:v>C1494</x:v>
      </x:c>
      <x:c r="C1500" s="21" t="str">
        <x:v>stage build</x:v>
      </x:c>
      <x:c r="D1500" s="21" t="str">
        <x:v>M05 status identity row 255</x:v>
      </x:c>
      <x:c r="E1500" s="21" t="n">
        <x:f>IF('Stage Build'!L255=IF('Stage Build'!K255&gt;=Assumptions!$C$9,"ADEQUATE","GAP"),1,0)</x:f>
        <x:v>1</x:v>
      </x:c>
      <x:c r="F1500" s="21" t="n">
        <x:v>1</x:v>
      </x:c>
      <x:c r="G1500" s="23" t="str">
        <x:f>IF(E1500=F1500,"PASS","FAIL")</x:f>
        <x:v>PASS</x:v>
      </x:c>
    </x:row>
    <x:row r="1501">
      <x:c r="B1501" s="21" t="str">
        <x:v>C1495</x:v>
      </x:c>
      <x:c r="C1501" s="21" t="str">
        <x:v>stage build</x:v>
      </x:c>
      <x:c r="D1501" s="21" t="str">
        <x:v>baseline nonnegative row 256</x:v>
      </x:c>
      <x:c r="E1501" s="21" t="n">
        <x:f>IF('Stage Build'!F256&gt;=0,1,0)</x:f>
        <x:v>1</x:v>
      </x:c>
      <x:c r="F1501" s="21" t="n">
        <x:v>1</x:v>
      </x:c>
      <x:c r="G1501" s="23" t="str">
        <x:f>IF(E1501=F1501,"PASS","FAIL")</x:f>
        <x:v>PASS</x:v>
      </x:c>
    </x:row>
    <x:row r="1502">
      <x:c r="B1502" s="21" t="str">
        <x:v>C1496</x:v>
      </x:c>
      <x:c r="C1502" s="21" t="str">
        <x:v>stage build</x:v>
      </x:c>
      <x:c r="D1502" s="21" t="str">
        <x:v>targeted additions nonnegative row 256</x:v>
      </x:c>
      <x:c r="E1502" s="21" t="n">
        <x:f>IF(AND('Stage Build'!G256&gt;=0,'Stage Build'!H256&gt;=0),1,0)</x:f>
        <x:v>1</x:v>
      </x:c>
      <x:c r="F1502" s="21" t="n">
        <x:v>1</x:v>
      </x:c>
      <x:c r="G1502" s="23" t="str">
        <x:f>IF(E1502=F1502,"PASS","FAIL")</x:f>
        <x:v>PASS</x:v>
      </x:c>
    </x:row>
    <x:row r="1503">
      <x:c r="B1503" s="21" t="str">
        <x:v>C1497</x:v>
      </x:c>
      <x:c r="C1503" s="21" t="str">
        <x:v>stage build</x:v>
      </x:c>
      <x:c r="D1503" s="21" t="str">
        <x:v>pre-replication identity row 256</x:v>
      </x:c>
      <x:c r="E1503" s="21" t="n">
        <x:f>IF(ABS('Stage Build'!I256-SUM('Stage Build'!F256:H256))&lt;0.000001,1,0)</x:f>
        <x:v>1</x:v>
      </x:c>
      <x:c r="F1503" s="21" t="n">
        <x:v>1</x:v>
      </x:c>
      <x:c r="G1503" s="23" t="str">
        <x:f>IF(E1503=F1503,"PASS","FAIL")</x:f>
        <x:v>PASS</x:v>
      </x:c>
    </x:row>
    <x:row r="1504">
      <x:c r="B1504" s="21" t="str">
        <x:v>C1498</x:v>
      </x:c>
      <x:c r="C1504" s="21" t="str">
        <x:v>stage build</x:v>
      </x:c>
      <x:c r="D1504" s="21" t="str">
        <x:v>replication layer nonnegative row 256</x:v>
      </x:c>
      <x:c r="E1504" s="21" t="n">
        <x:f>IF('Stage Build'!J256&gt;=0,1,0)</x:f>
        <x:v>1</x:v>
      </x:c>
      <x:c r="F1504" s="21" t="n">
        <x:v>1</x:v>
      </x:c>
      <x:c r="G1504" s="23" t="str">
        <x:f>IF(E1504=F1504,"PASS","FAIL")</x:f>
        <x:v>PASS</x:v>
      </x:c>
    </x:row>
    <x:row r="1505">
      <x:c r="B1505" s="21" t="str">
        <x:v>C1499</x:v>
      </x:c>
      <x:c r="C1505" s="21" t="str">
        <x:v>stage build</x:v>
      </x:c>
      <x:c r="D1505" s="21" t="str">
        <x:v>designed ratio identity row 256</x:v>
      </x:c>
      <x:c r="E1505" s="21" t="n">
        <x:f>IF(ABS('Stage Build'!K256-'Stage Build'!I256-'Stage Build'!J256)&lt;0.000001,1,0)</x:f>
        <x:v>1</x:v>
      </x:c>
      <x:c r="F1505" s="21" t="n">
        <x:v>1</x:v>
      </x:c>
      <x:c r="G1505" s="23" t="str">
        <x:f>IF(E1505=F1505,"PASS","FAIL")</x:f>
        <x:v>PASS</x:v>
      </x:c>
    </x:row>
    <x:row r="1506">
      <x:c r="B1506" s="21" t="str">
        <x:v>C1500</x:v>
      </x:c>
      <x:c r="C1506" s="21" t="str">
        <x:v>stage build</x:v>
      </x:c>
      <x:c r="D1506" s="21" t="str">
        <x:v>M05 status identity row 256</x:v>
      </x:c>
      <x:c r="E1506" s="21" t="n">
        <x:f>IF('Stage Build'!L256=IF('Stage Build'!K256&gt;=Assumptions!$C$9,"ADEQUATE","GAP"),1,0)</x:f>
        <x:v>1</x:v>
      </x:c>
      <x:c r="F1506" s="21" t="n">
        <x:v>1</x:v>
      </x:c>
      <x:c r="G1506" s="23" t="str">
        <x:f>IF(E1506=F1506,"PASS","FAIL")</x:f>
        <x:v>PASS</x:v>
      </x:c>
    </x:row>
    <x:row r="1507">
      <x:c r="B1507" s="21" t="str">
        <x:v>C1501</x:v>
      </x:c>
      <x:c r="C1507" s="21" t="str">
        <x:v>stage build</x:v>
      </x:c>
      <x:c r="D1507" s="21" t="str">
        <x:v>baseline nonnegative row 257</x:v>
      </x:c>
      <x:c r="E1507" s="21" t="n">
        <x:f>IF('Stage Build'!F257&gt;=0,1,0)</x:f>
        <x:v>1</x:v>
      </x:c>
      <x:c r="F1507" s="21" t="n">
        <x:v>1</x:v>
      </x:c>
      <x:c r="G1507" s="23" t="str">
        <x:f>IF(E1507=F1507,"PASS","FAIL")</x:f>
        <x:v>PASS</x:v>
      </x:c>
    </x:row>
    <x:row r="1508">
      <x:c r="B1508" s="21" t="str">
        <x:v>C1502</x:v>
      </x:c>
      <x:c r="C1508" s="21" t="str">
        <x:v>stage build</x:v>
      </x:c>
      <x:c r="D1508" s="21" t="str">
        <x:v>targeted additions nonnegative row 257</x:v>
      </x:c>
      <x:c r="E1508" s="21" t="n">
        <x:f>IF(AND('Stage Build'!G257&gt;=0,'Stage Build'!H257&gt;=0),1,0)</x:f>
        <x:v>1</x:v>
      </x:c>
      <x:c r="F1508" s="21" t="n">
        <x:v>1</x:v>
      </x:c>
      <x:c r="G1508" s="23" t="str">
        <x:f>IF(E1508=F1508,"PASS","FAIL")</x:f>
        <x:v>PASS</x:v>
      </x:c>
    </x:row>
    <x:row r="1509">
      <x:c r="B1509" s="21" t="str">
        <x:v>C1503</x:v>
      </x:c>
      <x:c r="C1509" s="21" t="str">
        <x:v>stage build</x:v>
      </x:c>
      <x:c r="D1509" s="21" t="str">
        <x:v>pre-replication identity row 257</x:v>
      </x:c>
      <x:c r="E1509" s="21" t="n">
        <x:f>IF(ABS('Stage Build'!I257-SUM('Stage Build'!F257:H257))&lt;0.000001,1,0)</x:f>
        <x:v>1</x:v>
      </x:c>
      <x:c r="F1509" s="21" t="n">
        <x:v>1</x:v>
      </x:c>
      <x:c r="G1509" s="23" t="str">
        <x:f>IF(E1509=F1509,"PASS","FAIL")</x:f>
        <x:v>PASS</x:v>
      </x:c>
    </x:row>
    <x:row r="1510">
      <x:c r="B1510" s="21" t="str">
        <x:v>C1504</x:v>
      </x:c>
      <x:c r="C1510" s="21" t="str">
        <x:v>stage build</x:v>
      </x:c>
      <x:c r="D1510" s="21" t="str">
        <x:v>replication layer nonnegative row 257</x:v>
      </x:c>
      <x:c r="E1510" s="21" t="n">
        <x:f>IF('Stage Build'!J257&gt;=0,1,0)</x:f>
        <x:v>1</x:v>
      </x:c>
      <x:c r="F1510" s="21" t="n">
        <x:v>1</x:v>
      </x:c>
      <x:c r="G1510" s="23" t="str">
        <x:f>IF(E1510=F1510,"PASS","FAIL")</x:f>
        <x:v>PASS</x:v>
      </x:c>
    </x:row>
    <x:row r="1511">
      <x:c r="B1511" s="21" t="str">
        <x:v>C1505</x:v>
      </x:c>
      <x:c r="C1511" s="21" t="str">
        <x:v>stage build</x:v>
      </x:c>
      <x:c r="D1511" s="21" t="str">
        <x:v>designed ratio identity row 257</x:v>
      </x:c>
      <x:c r="E1511" s="21" t="n">
        <x:f>IF(ABS('Stage Build'!K257-'Stage Build'!I257-'Stage Build'!J257)&lt;0.000001,1,0)</x:f>
        <x:v>1</x:v>
      </x:c>
      <x:c r="F1511" s="21" t="n">
        <x:v>1</x:v>
      </x:c>
      <x:c r="G1511" s="23" t="str">
        <x:f>IF(E1511=F1511,"PASS","FAIL")</x:f>
        <x:v>PASS</x:v>
      </x:c>
    </x:row>
    <x:row r="1512">
      <x:c r="B1512" s="21" t="str">
        <x:v>C1506</x:v>
      </x:c>
      <x:c r="C1512" s="21" t="str">
        <x:v>stage build</x:v>
      </x:c>
      <x:c r="D1512" s="21" t="str">
        <x:v>M05 status identity row 257</x:v>
      </x:c>
      <x:c r="E1512" s="21" t="n">
        <x:f>IF('Stage Build'!L257=IF('Stage Build'!K257&gt;=Assumptions!$C$9,"ADEQUATE","GAP"),1,0)</x:f>
        <x:v>1</x:v>
      </x:c>
      <x:c r="F1512" s="21" t="n">
        <x:v>1</x:v>
      </x:c>
      <x:c r="G1512" s="23" t="str">
        <x:f>IF(E1512=F1512,"PASS","FAIL")</x:f>
        <x:v>PASS</x:v>
      </x:c>
    </x:row>
    <x:row r="1513">
      <x:c r="B1513" s="21" t="str">
        <x:v>C1507</x:v>
      </x:c>
      <x:c r="C1513" s="21" t="str">
        <x:v>stage build</x:v>
      </x:c>
      <x:c r="D1513" s="21" t="str">
        <x:v>baseline nonnegative row 258</x:v>
      </x:c>
      <x:c r="E1513" s="21" t="n">
        <x:f>IF('Stage Build'!F258&gt;=0,1,0)</x:f>
        <x:v>1</x:v>
      </x:c>
      <x:c r="F1513" s="21" t="n">
        <x:v>1</x:v>
      </x:c>
      <x:c r="G1513" s="23" t="str">
        <x:f>IF(E1513=F1513,"PASS","FAIL")</x:f>
        <x:v>PASS</x:v>
      </x:c>
    </x:row>
    <x:row r="1514">
      <x:c r="B1514" s="21" t="str">
        <x:v>C1508</x:v>
      </x:c>
      <x:c r="C1514" s="21" t="str">
        <x:v>stage build</x:v>
      </x:c>
      <x:c r="D1514" s="21" t="str">
        <x:v>targeted additions nonnegative row 258</x:v>
      </x:c>
      <x:c r="E1514" s="21" t="n">
        <x:f>IF(AND('Stage Build'!G258&gt;=0,'Stage Build'!H258&gt;=0),1,0)</x:f>
        <x:v>1</x:v>
      </x:c>
      <x:c r="F1514" s="21" t="n">
        <x:v>1</x:v>
      </x:c>
      <x:c r="G1514" s="23" t="str">
        <x:f>IF(E1514=F1514,"PASS","FAIL")</x:f>
        <x:v>PASS</x:v>
      </x:c>
    </x:row>
    <x:row r="1515">
      <x:c r="B1515" s="21" t="str">
        <x:v>C1509</x:v>
      </x:c>
      <x:c r="C1515" s="21" t="str">
        <x:v>stage build</x:v>
      </x:c>
      <x:c r="D1515" s="21" t="str">
        <x:v>pre-replication identity row 258</x:v>
      </x:c>
      <x:c r="E1515" s="21" t="n">
        <x:f>IF(ABS('Stage Build'!I258-SUM('Stage Build'!F258:H258))&lt;0.000001,1,0)</x:f>
        <x:v>1</x:v>
      </x:c>
      <x:c r="F1515" s="21" t="n">
        <x:v>1</x:v>
      </x:c>
      <x:c r="G1515" s="23" t="str">
        <x:f>IF(E1515=F1515,"PASS","FAIL")</x:f>
        <x:v>PASS</x:v>
      </x:c>
    </x:row>
    <x:row r="1516">
      <x:c r="B1516" s="21" t="str">
        <x:v>C1510</x:v>
      </x:c>
      <x:c r="C1516" s="21" t="str">
        <x:v>stage build</x:v>
      </x:c>
      <x:c r="D1516" s="21" t="str">
        <x:v>replication layer nonnegative row 258</x:v>
      </x:c>
      <x:c r="E1516" s="21" t="n">
        <x:f>IF('Stage Build'!J258&gt;=0,1,0)</x:f>
        <x:v>1</x:v>
      </x:c>
      <x:c r="F1516" s="21" t="n">
        <x:v>1</x:v>
      </x:c>
      <x:c r="G1516" s="23" t="str">
        <x:f>IF(E1516=F1516,"PASS","FAIL")</x:f>
        <x:v>PASS</x:v>
      </x:c>
    </x:row>
    <x:row r="1517">
      <x:c r="B1517" s="21" t="str">
        <x:v>C1511</x:v>
      </x:c>
      <x:c r="C1517" s="21" t="str">
        <x:v>stage build</x:v>
      </x:c>
      <x:c r="D1517" s="21" t="str">
        <x:v>designed ratio identity row 258</x:v>
      </x:c>
      <x:c r="E1517" s="21" t="n">
        <x:f>IF(ABS('Stage Build'!K258-'Stage Build'!I258-'Stage Build'!J258)&lt;0.000001,1,0)</x:f>
        <x:v>1</x:v>
      </x:c>
      <x:c r="F1517" s="21" t="n">
        <x:v>1</x:v>
      </x:c>
      <x:c r="G1517" s="23" t="str">
        <x:f>IF(E1517=F1517,"PASS","FAIL")</x:f>
        <x:v>PASS</x:v>
      </x:c>
    </x:row>
    <x:row r="1518">
      <x:c r="B1518" s="21" t="str">
        <x:v>C1512</x:v>
      </x:c>
      <x:c r="C1518" s="21" t="str">
        <x:v>stage build</x:v>
      </x:c>
      <x:c r="D1518" s="21" t="str">
        <x:v>M05 status identity row 258</x:v>
      </x:c>
      <x:c r="E1518" s="21" t="n">
        <x:f>IF('Stage Build'!L258=IF('Stage Build'!K258&gt;=Assumptions!$C$9,"ADEQUATE","GAP"),1,0)</x:f>
        <x:v>1</x:v>
      </x:c>
      <x:c r="F1518" s="21" t="n">
        <x:v>1</x:v>
      </x:c>
      <x:c r="G1518" s="23" t="str">
        <x:f>IF(E1518=F1518,"PASS","FAIL")</x:f>
        <x:v>PASS</x:v>
      </x:c>
    </x:row>
    <x:row r="1519">
      <x:c r="B1519" s="21" t="str">
        <x:v>C1513</x:v>
      </x:c>
      <x:c r="C1519" s="21" t="str">
        <x:v>stage build</x:v>
      </x:c>
      <x:c r="D1519" s="21" t="str">
        <x:v>baseline nonnegative row 259</x:v>
      </x:c>
      <x:c r="E1519" s="21" t="n">
        <x:f>IF('Stage Build'!F259&gt;=0,1,0)</x:f>
        <x:v>1</x:v>
      </x:c>
      <x:c r="F1519" s="21" t="n">
        <x:v>1</x:v>
      </x:c>
      <x:c r="G1519" s="23" t="str">
        <x:f>IF(E1519=F1519,"PASS","FAIL")</x:f>
        <x:v>PASS</x:v>
      </x:c>
    </x:row>
    <x:row r="1520">
      <x:c r="B1520" s="21" t="str">
        <x:v>C1514</x:v>
      </x:c>
      <x:c r="C1520" s="21" t="str">
        <x:v>stage build</x:v>
      </x:c>
      <x:c r="D1520" s="21" t="str">
        <x:v>targeted additions nonnegative row 259</x:v>
      </x:c>
      <x:c r="E1520" s="21" t="n">
        <x:f>IF(AND('Stage Build'!G259&gt;=0,'Stage Build'!H259&gt;=0),1,0)</x:f>
        <x:v>1</x:v>
      </x:c>
      <x:c r="F1520" s="21" t="n">
        <x:v>1</x:v>
      </x:c>
      <x:c r="G1520" s="23" t="str">
        <x:f>IF(E1520=F1520,"PASS","FAIL")</x:f>
        <x:v>PASS</x:v>
      </x:c>
    </x:row>
    <x:row r="1521">
      <x:c r="B1521" s="21" t="str">
        <x:v>C1515</x:v>
      </x:c>
      <x:c r="C1521" s="21" t="str">
        <x:v>stage build</x:v>
      </x:c>
      <x:c r="D1521" s="21" t="str">
        <x:v>pre-replication identity row 259</x:v>
      </x:c>
      <x:c r="E1521" s="21" t="n">
        <x:f>IF(ABS('Stage Build'!I259-SUM('Stage Build'!F259:H259))&lt;0.000001,1,0)</x:f>
        <x:v>1</x:v>
      </x:c>
      <x:c r="F1521" s="21" t="n">
        <x:v>1</x:v>
      </x:c>
      <x:c r="G1521" s="23" t="str">
        <x:f>IF(E1521=F1521,"PASS","FAIL")</x:f>
        <x:v>PASS</x:v>
      </x:c>
    </x:row>
    <x:row r="1522">
      <x:c r="B1522" s="21" t="str">
        <x:v>C1516</x:v>
      </x:c>
      <x:c r="C1522" s="21" t="str">
        <x:v>stage build</x:v>
      </x:c>
      <x:c r="D1522" s="21" t="str">
        <x:v>replication layer nonnegative row 259</x:v>
      </x:c>
      <x:c r="E1522" s="21" t="n">
        <x:f>IF('Stage Build'!J259&gt;=0,1,0)</x:f>
        <x:v>1</x:v>
      </x:c>
      <x:c r="F1522" s="21" t="n">
        <x:v>1</x:v>
      </x:c>
      <x:c r="G1522" s="23" t="str">
        <x:f>IF(E1522=F1522,"PASS","FAIL")</x:f>
        <x:v>PASS</x:v>
      </x:c>
    </x:row>
    <x:row r="1523">
      <x:c r="B1523" s="21" t="str">
        <x:v>C1517</x:v>
      </x:c>
      <x:c r="C1523" s="21" t="str">
        <x:v>stage build</x:v>
      </x:c>
      <x:c r="D1523" s="21" t="str">
        <x:v>designed ratio identity row 259</x:v>
      </x:c>
      <x:c r="E1523" s="21" t="n">
        <x:f>IF(ABS('Stage Build'!K259-'Stage Build'!I259-'Stage Build'!J259)&lt;0.000001,1,0)</x:f>
        <x:v>1</x:v>
      </x:c>
      <x:c r="F1523" s="21" t="n">
        <x:v>1</x:v>
      </x:c>
      <x:c r="G1523" s="23" t="str">
        <x:f>IF(E1523=F1523,"PASS","FAIL")</x:f>
        <x:v>PASS</x:v>
      </x:c>
    </x:row>
    <x:row r="1524">
      <x:c r="B1524" s="21" t="str">
        <x:v>C1518</x:v>
      </x:c>
      <x:c r="C1524" s="21" t="str">
        <x:v>stage build</x:v>
      </x:c>
      <x:c r="D1524" s="21" t="str">
        <x:v>M05 status identity row 259</x:v>
      </x:c>
      <x:c r="E1524" s="21" t="n">
        <x:f>IF('Stage Build'!L259=IF('Stage Build'!K259&gt;=Assumptions!$C$9,"ADEQUATE","GAP"),1,0)</x:f>
        <x:v>1</x:v>
      </x:c>
      <x:c r="F1524" s="21" t="n">
        <x:v>1</x:v>
      </x:c>
      <x:c r="G1524" s="23" t="str">
        <x:f>IF(E1524=F1524,"PASS","FAIL")</x:f>
        <x:v>PASS</x:v>
      </x:c>
    </x:row>
    <x:row r="1525">
      <x:c r="B1525" s="21" t="str">
        <x:v>C1519</x:v>
      </x:c>
      <x:c r="C1525" s="21" t="str">
        <x:v>stage build</x:v>
      </x:c>
      <x:c r="D1525" s="21" t="str">
        <x:v>baseline nonnegative row 260</x:v>
      </x:c>
      <x:c r="E1525" s="21" t="n">
        <x:f>IF('Stage Build'!F260&gt;=0,1,0)</x:f>
        <x:v>1</x:v>
      </x:c>
      <x:c r="F1525" s="21" t="n">
        <x:v>1</x:v>
      </x:c>
      <x:c r="G1525" s="23" t="str">
        <x:f>IF(E1525=F1525,"PASS","FAIL")</x:f>
        <x:v>PASS</x:v>
      </x:c>
    </x:row>
    <x:row r="1526">
      <x:c r="B1526" s="21" t="str">
        <x:v>C1520</x:v>
      </x:c>
      <x:c r="C1526" s="21" t="str">
        <x:v>stage build</x:v>
      </x:c>
      <x:c r="D1526" s="21" t="str">
        <x:v>targeted additions nonnegative row 260</x:v>
      </x:c>
      <x:c r="E1526" s="21" t="n">
        <x:f>IF(AND('Stage Build'!G260&gt;=0,'Stage Build'!H260&gt;=0),1,0)</x:f>
        <x:v>1</x:v>
      </x:c>
      <x:c r="F1526" s="21" t="n">
        <x:v>1</x:v>
      </x:c>
      <x:c r="G1526" s="23" t="str">
        <x:f>IF(E1526=F1526,"PASS","FAIL")</x:f>
        <x:v>PASS</x:v>
      </x:c>
    </x:row>
    <x:row r="1527">
      <x:c r="B1527" s="21" t="str">
        <x:v>C1521</x:v>
      </x:c>
      <x:c r="C1527" s="21" t="str">
        <x:v>stage build</x:v>
      </x:c>
      <x:c r="D1527" s="21" t="str">
        <x:v>pre-replication identity row 260</x:v>
      </x:c>
      <x:c r="E1527" s="21" t="n">
        <x:f>IF(ABS('Stage Build'!I260-SUM('Stage Build'!F260:H260))&lt;0.000001,1,0)</x:f>
        <x:v>1</x:v>
      </x:c>
      <x:c r="F1527" s="21" t="n">
        <x:v>1</x:v>
      </x:c>
      <x:c r="G1527" s="23" t="str">
        <x:f>IF(E1527=F1527,"PASS","FAIL")</x:f>
        <x:v>PASS</x:v>
      </x:c>
    </x:row>
    <x:row r="1528">
      <x:c r="B1528" s="21" t="str">
        <x:v>C1522</x:v>
      </x:c>
      <x:c r="C1528" s="21" t="str">
        <x:v>stage build</x:v>
      </x:c>
      <x:c r="D1528" s="21" t="str">
        <x:v>replication layer nonnegative row 260</x:v>
      </x:c>
      <x:c r="E1528" s="21" t="n">
        <x:f>IF('Stage Build'!J260&gt;=0,1,0)</x:f>
        <x:v>1</x:v>
      </x:c>
      <x:c r="F1528" s="21" t="n">
        <x:v>1</x:v>
      </x:c>
      <x:c r="G1528" s="23" t="str">
        <x:f>IF(E1528=F1528,"PASS","FAIL")</x:f>
        <x:v>PASS</x:v>
      </x:c>
    </x:row>
    <x:row r="1529">
      <x:c r="B1529" s="21" t="str">
        <x:v>C1523</x:v>
      </x:c>
      <x:c r="C1529" s="21" t="str">
        <x:v>stage build</x:v>
      </x:c>
      <x:c r="D1529" s="21" t="str">
        <x:v>designed ratio identity row 260</x:v>
      </x:c>
      <x:c r="E1529" s="21" t="n">
        <x:f>IF(ABS('Stage Build'!K260-'Stage Build'!I260-'Stage Build'!J260)&lt;0.000001,1,0)</x:f>
        <x:v>1</x:v>
      </x:c>
      <x:c r="F1529" s="21" t="n">
        <x:v>1</x:v>
      </x:c>
      <x:c r="G1529" s="23" t="str">
        <x:f>IF(E1529=F1529,"PASS","FAIL")</x:f>
        <x:v>PASS</x:v>
      </x:c>
    </x:row>
    <x:row r="1530">
      <x:c r="B1530" s="21" t="str">
        <x:v>C1524</x:v>
      </x:c>
      <x:c r="C1530" s="21" t="str">
        <x:v>stage build</x:v>
      </x:c>
      <x:c r="D1530" s="21" t="str">
        <x:v>M05 status identity row 260</x:v>
      </x:c>
      <x:c r="E1530" s="21" t="n">
        <x:f>IF('Stage Build'!L260=IF('Stage Build'!K260&gt;=Assumptions!$C$9,"ADEQUATE","GAP"),1,0)</x:f>
        <x:v>1</x:v>
      </x:c>
      <x:c r="F1530" s="21" t="n">
        <x:v>1</x:v>
      </x:c>
      <x:c r="G1530" s="23" t="str">
        <x:f>IF(E1530=F1530,"PASS","FAIL")</x:f>
        <x:v>PASS</x:v>
      </x:c>
    </x:row>
    <x:row r="1531">
      <x:c r="B1531" s="21" t="str">
        <x:v>C1525</x:v>
      </x:c>
      <x:c r="C1531" s="21" t="str">
        <x:v>stage build</x:v>
      </x:c>
      <x:c r="D1531" s="21" t="str">
        <x:v>baseline nonnegative row 261</x:v>
      </x:c>
      <x:c r="E1531" s="21" t="n">
        <x:f>IF('Stage Build'!F261&gt;=0,1,0)</x:f>
        <x:v>1</x:v>
      </x:c>
      <x:c r="F1531" s="21" t="n">
        <x:v>1</x:v>
      </x:c>
      <x:c r="G1531" s="23" t="str">
        <x:f>IF(E1531=F1531,"PASS","FAIL")</x:f>
        <x:v>PASS</x:v>
      </x:c>
    </x:row>
    <x:row r="1532">
      <x:c r="B1532" s="21" t="str">
        <x:v>C1526</x:v>
      </x:c>
      <x:c r="C1532" s="21" t="str">
        <x:v>stage build</x:v>
      </x:c>
      <x:c r="D1532" s="21" t="str">
        <x:v>targeted additions nonnegative row 261</x:v>
      </x:c>
      <x:c r="E1532" s="21" t="n">
        <x:f>IF(AND('Stage Build'!G261&gt;=0,'Stage Build'!H261&gt;=0),1,0)</x:f>
        <x:v>1</x:v>
      </x:c>
      <x:c r="F1532" s="21" t="n">
        <x:v>1</x:v>
      </x:c>
      <x:c r="G1532" s="23" t="str">
        <x:f>IF(E1532=F1532,"PASS","FAIL")</x:f>
        <x:v>PASS</x:v>
      </x:c>
    </x:row>
    <x:row r="1533">
      <x:c r="B1533" s="21" t="str">
        <x:v>C1527</x:v>
      </x:c>
      <x:c r="C1533" s="21" t="str">
        <x:v>stage build</x:v>
      </x:c>
      <x:c r="D1533" s="21" t="str">
        <x:v>pre-replication identity row 261</x:v>
      </x:c>
      <x:c r="E1533" s="21" t="n">
        <x:f>IF(ABS('Stage Build'!I261-SUM('Stage Build'!F261:H261))&lt;0.000001,1,0)</x:f>
        <x:v>1</x:v>
      </x:c>
      <x:c r="F1533" s="21" t="n">
        <x:v>1</x:v>
      </x:c>
      <x:c r="G1533" s="23" t="str">
        <x:f>IF(E1533=F1533,"PASS","FAIL")</x:f>
        <x:v>PASS</x:v>
      </x:c>
    </x:row>
    <x:row r="1534">
      <x:c r="B1534" s="21" t="str">
        <x:v>C1528</x:v>
      </x:c>
      <x:c r="C1534" s="21" t="str">
        <x:v>stage build</x:v>
      </x:c>
      <x:c r="D1534" s="21" t="str">
        <x:v>replication layer nonnegative row 261</x:v>
      </x:c>
      <x:c r="E1534" s="21" t="n">
        <x:f>IF('Stage Build'!J261&gt;=0,1,0)</x:f>
        <x:v>1</x:v>
      </x:c>
      <x:c r="F1534" s="21" t="n">
        <x:v>1</x:v>
      </x:c>
      <x:c r="G1534" s="23" t="str">
        <x:f>IF(E1534=F1534,"PASS","FAIL")</x:f>
        <x:v>PASS</x:v>
      </x:c>
    </x:row>
    <x:row r="1535">
      <x:c r="B1535" s="21" t="str">
        <x:v>C1529</x:v>
      </x:c>
      <x:c r="C1535" s="21" t="str">
        <x:v>stage build</x:v>
      </x:c>
      <x:c r="D1535" s="21" t="str">
        <x:v>designed ratio identity row 261</x:v>
      </x:c>
      <x:c r="E1535" s="21" t="n">
        <x:f>IF(ABS('Stage Build'!K261-'Stage Build'!I261-'Stage Build'!J261)&lt;0.000001,1,0)</x:f>
        <x:v>1</x:v>
      </x:c>
      <x:c r="F1535" s="21" t="n">
        <x:v>1</x:v>
      </x:c>
      <x:c r="G1535" s="23" t="str">
        <x:f>IF(E1535=F1535,"PASS","FAIL")</x:f>
        <x:v>PASS</x:v>
      </x:c>
    </x:row>
    <x:row r="1536">
      <x:c r="B1536" s="21" t="str">
        <x:v>C1530</x:v>
      </x:c>
      <x:c r="C1536" s="21" t="str">
        <x:v>stage build</x:v>
      </x:c>
      <x:c r="D1536" s="21" t="str">
        <x:v>M05 status identity row 261</x:v>
      </x:c>
      <x:c r="E1536" s="21" t="n">
        <x:f>IF('Stage Build'!L261=IF('Stage Build'!K261&gt;=Assumptions!$C$9,"ADEQUATE","GAP"),1,0)</x:f>
        <x:v>1</x:v>
      </x:c>
      <x:c r="F1536" s="21" t="n">
        <x:v>1</x:v>
      </x:c>
      <x:c r="G1536" s="23" t="str">
        <x:f>IF(E1536=F1536,"PASS","FAIL")</x:f>
        <x:v>PASS</x:v>
      </x:c>
    </x:row>
    <x:row r="1537">
      <x:c r="B1537" s="21" t="str">
        <x:v>C1531</x:v>
      </x:c>
      <x:c r="C1537" s="21" t="str">
        <x:v>stage build</x:v>
      </x:c>
      <x:c r="D1537" s="21" t="str">
        <x:v>baseline nonnegative row 262</x:v>
      </x:c>
      <x:c r="E1537" s="21" t="n">
        <x:f>IF('Stage Build'!F262&gt;=0,1,0)</x:f>
        <x:v>1</x:v>
      </x:c>
      <x:c r="F1537" s="21" t="n">
        <x:v>1</x:v>
      </x:c>
      <x:c r="G1537" s="23" t="str">
        <x:f>IF(E1537=F1537,"PASS","FAIL")</x:f>
        <x:v>PASS</x:v>
      </x:c>
    </x:row>
    <x:row r="1538">
      <x:c r="B1538" s="21" t="str">
        <x:v>C1532</x:v>
      </x:c>
      <x:c r="C1538" s="21" t="str">
        <x:v>stage build</x:v>
      </x:c>
      <x:c r="D1538" s="21" t="str">
        <x:v>targeted additions nonnegative row 262</x:v>
      </x:c>
      <x:c r="E1538" s="21" t="n">
        <x:f>IF(AND('Stage Build'!G262&gt;=0,'Stage Build'!H262&gt;=0),1,0)</x:f>
        <x:v>1</x:v>
      </x:c>
      <x:c r="F1538" s="21" t="n">
        <x:v>1</x:v>
      </x:c>
      <x:c r="G1538" s="23" t="str">
        <x:f>IF(E1538=F1538,"PASS","FAIL")</x:f>
        <x:v>PASS</x:v>
      </x:c>
    </x:row>
    <x:row r="1539">
      <x:c r="B1539" s="21" t="str">
        <x:v>C1533</x:v>
      </x:c>
      <x:c r="C1539" s="21" t="str">
        <x:v>stage build</x:v>
      </x:c>
      <x:c r="D1539" s="21" t="str">
        <x:v>pre-replication identity row 262</x:v>
      </x:c>
      <x:c r="E1539" s="21" t="n">
        <x:f>IF(ABS('Stage Build'!I262-SUM('Stage Build'!F262:H262))&lt;0.000001,1,0)</x:f>
        <x:v>1</x:v>
      </x:c>
      <x:c r="F1539" s="21" t="n">
        <x:v>1</x:v>
      </x:c>
      <x:c r="G1539" s="23" t="str">
        <x:f>IF(E1539=F1539,"PASS","FAIL")</x:f>
        <x:v>PASS</x:v>
      </x:c>
    </x:row>
    <x:row r="1540">
      <x:c r="B1540" s="21" t="str">
        <x:v>C1534</x:v>
      </x:c>
      <x:c r="C1540" s="21" t="str">
        <x:v>stage build</x:v>
      </x:c>
      <x:c r="D1540" s="21" t="str">
        <x:v>replication layer nonnegative row 262</x:v>
      </x:c>
      <x:c r="E1540" s="21" t="n">
        <x:f>IF('Stage Build'!J262&gt;=0,1,0)</x:f>
        <x:v>1</x:v>
      </x:c>
      <x:c r="F1540" s="21" t="n">
        <x:v>1</x:v>
      </x:c>
      <x:c r="G1540" s="23" t="str">
        <x:f>IF(E1540=F1540,"PASS","FAIL")</x:f>
        <x:v>PASS</x:v>
      </x:c>
    </x:row>
    <x:row r="1541">
      <x:c r="B1541" s="21" t="str">
        <x:v>C1535</x:v>
      </x:c>
      <x:c r="C1541" s="21" t="str">
        <x:v>stage build</x:v>
      </x:c>
      <x:c r="D1541" s="21" t="str">
        <x:v>designed ratio identity row 262</x:v>
      </x:c>
      <x:c r="E1541" s="21" t="n">
        <x:f>IF(ABS('Stage Build'!K262-'Stage Build'!I262-'Stage Build'!J262)&lt;0.000001,1,0)</x:f>
        <x:v>1</x:v>
      </x:c>
      <x:c r="F1541" s="21" t="n">
        <x:v>1</x:v>
      </x:c>
      <x:c r="G1541" s="23" t="str">
        <x:f>IF(E1541=F1541,"PASS","FAIL")</x:f>
        <x:v>PASS</x:v>
      </x:c>
    </x:row>
    <x:row r="1542">
      <x:c r="B1542" s="21" t="str">
        <x:v>C1536</x:v>
      </x:c>
      <x:c r="C1542" s="21" t="str">
        <x:v>stage build</x:v>
      </x:c>
      <x:c r="D1542" s="21" t="str">
        <x:v>M05 status identity row 262</x:v>
      </x:c>
      <x:c r="E1542" s="21" t="n">
        <x:f>IF('Stage Build'!L262=IF('Stage Build'!K262&gt;=Assumptions!$C$9,"ADEQUATE","GAP"),1,0)</x:f>
        <x:v>1</x:v>
      </x:c>
      <x:c r="F1542" s="21" t="n">
        <x:v>1</x:v>
      </x:c>
      <x:c r="G1542" s="23" t="str">
        <x:f>IF(E1542=F1542,"PASS","FAIL")</x:f>
        <x:v>PASS</x:v>
      </x:c>
    </x:row>
    <x:row r="1543">
      <x:c r="B1543" s="21" t="str">
        <x:v>C1537</x:v>
      </x:c>
      <x:c r="C1543" s="21" t="str">
        <x:v>stage build</x:v>
      </x:c>
      <x:c r="D1543" s="21" t="str">
        <x:v>baseline nonnegative row 263</x:v>
      </x:c>
      <x:c r="E1543" s="21" t="n">
        <x:f>IF('Stage Build'!F263&gt;=0,1,0)</x:f>
        <x:v>1</x:v>
      </x:c>
      <x:c r="F1543" s="21" t="n">
        <x:v>1</x:v>
      </x:c>
      <x:c r="G1543" s="23" t="str">
        <x:f>IF(E1543=F1543,"PASS","FAIL")</x:f>
        <x:v>PASS</x:v>
      </x:c>
    </x:row>
    <x:row r="1544">
      <x:c r="B1544" s="21" t="str">
        <x:v>C1538</x:v>
      </x:c>
      <x:c r="C1544" s="21" t="str">
        <x:v>stage build</x:v>
      </x:c>
      <x:c r="D1544" s="21" t="str">
        <x:v>targeted additions nonnegative row 263</x:v>
      </x:c>
      <x:c r="E1544" s="21" t="n">
        <x:f>IF(AND('Stage Build'!G263&gt;=0,'Stage Build'!H263&gt;=0),1,0)</x:f>
        <x:v>1</x:v>
      </x:c>
      <x:c r="F1544" s="21" t="n">
        <x:v>1</x:v>
      </x:c>
      <x:c r="G1544" s="23" t="str">
        <x:f>IF(E1544=F1544,"PASS","FAIL")</x:f>
        <x:v>PASS</x:v>
      </x:c>
    </x:row>
    <x:row r="1545">
      <x:c r="B1545" s="21" t="str">
        <x:v>C1539</x:v>
      </x:c>
      <x:c r="C1545" s="21" t="str">
        <x:v>stage build</x:v>
      </x:c>
      <x:c r="D1545" s="21" t="str">
        <x:v>pre-replication identity row 263</x:v>
      </x:c>
      <x:c r="E1545" s="21" t="n">
        <x:f>IF(ABS('Stage Build'!I263-SUM('Stage Build'!F263:H263))&lt;0.000001,1,0)</x:f>
        <x:v>1</x:v>
      </x:c>
      <x:c r="F1545" s="21" t="n">
        <x:v>1</x:v>
      </x:c>
      <x:c r="G1545" s="23" t="str">
        <x:f>IF(E1545=F1545,"PASS","FAIL")</x:f>
        <x:v>PASS</x:v>
      </x:c>
    </x:row>
    <x:row r="1546">
      <x:c r="B1546" s="21" t="str">
        <x:v>C1540</x:v>
      </x:c>
      <x:c r="C1546" s="21" t="str">
        <x:v>stage build</x:v>
      </x:c>
      <x:c r="D1546" s="21" t="str">
        <x:v>replication layer nonnegative row 263</x:v>
      </x:c>
      <x:c r="E1546" s="21" t="n">
        <x:f>IF('Stage Build'!J263&gt;=0,1,0)</x:f>
        <x:v>1</x:v>
      </x:c>
      <x:c r="F1546" s="21" t="n">
        <x:v>1</x:v>
      </x:c>
      <x:c r="G1546" s="23" t="str">
        <x:f>IF(E1546=F1546,"PASS","FAIL")</x:f>
        <x:v>PASS</x:v>
      </x:c>
    </x:row>
    <x:row r="1547">
      <x:c r="B1547" s="21" t="str">
        <x:v>C1541</x:v>
      </x:c>
      <x:c r="C1547" s="21" t="str">
        <x:v>stage build</x:v>
      </x:c>
      <x:c r="D1547" s="21" t="str">
        <x:v>designed ratio identity row 263</x:v>
      </x:c>
      <x:c r="E1547" s="21" t="n">
        <x:f>IF(ABS('Stage Build'!K263-'Stage Build'!I263-'Stage Build'!J263)&lt;0.000001,1,0)</x:f>
        <x:v>1</x:v>
      </x:c>
      <x:c r="F1547" s="21" t="n">
        <x:v>1</x:v>
      </x:c>
      <x:c r="G1547" s="23" t="str">
        <x:f>IF(E1547=F1547,"PASS","FAIL")</x:f>
        <x:v>PASS</x:v>
      </x:c>
    </x:row>
    <x:row r="1548">
      <x:c r="B1548" s="21" t="str">
        <x:v>C1542</x:v>
      </x:c>
      <x:c r="C1548" s="21" t="str">
        <x:v>stage build</x:v>
      </x:c>
      <x:c r="D1548" s="21" t="str">
        <x:v>M05 status identity row 263</x:v>
      </x:c>
      <x:c r="E1548" s="21" t="n">
        <x:f>IF('Stage Build'!L263=IF('Stage Build'!K263&gt;=Assumptions!$C$9,"ADEQUATE","GAP"),1,0)</x:f>
        <x:v>1</x:v>
      </x:c>
      <x:c r="F1548" s="21" t="n">
        <x:v>1</x:v>
      </x:c>
      <x:c r="G1548" s="23" t="str">
        <x:f>IF(E1548=F1548,"PASS","FAIL")</x:f>
        <x:v>PASS</x:v>
      </x:c>
    </x:row>
    <x:row r="1549">
      <x:c r="B1549" s="21" t="str">
        <x:v>C1543</x:v>
      </x:c>
      <x:c r="C1549" s="21" t="str">
        <x:v>stage build</x:v>
      </x:c>
      <x:c r="D1549" s="21" t="str">
        <x:v>baseline nonnegative row 264</x:v>
      </x:c>
      <x:c r="E1549" s="21" t="n">
        <x:f>IF('Stage Build'!F264&gt;=0,1,0)</x:f>
        <x:v>1</x:v>
      </x:c>
      <x:c r="F1549" s="21" t="n">
        <x:v>1</x:v>
      </x:c>
      <x:c r="G1549" s="23" t="str">
        <x:f>IF(E1549=F1549,"PASS","FAIL")</x:f>
        <x:v>PASS</x:v>
      </x:c>
    </x:row>
    <x:row r="1550">
      <x:c r="B1550" s="21" t="str">
        <x:v>C1544</x:v>
      </x:c>
      <x:c r="C1550" s="21" t="str">
        <x:v>stage build</x:v>
      </x:c>
      <x:c r="D1550" s="21" t="str">
        <x:v>targeted additions nonnegative row 264</x:v>
      </x:c>
      <x:c r="E1550" s="21" t="n">
        <x:f>IF(AND('Stage Build'!G264&gt;=0,'Stage Build'!H264&gt;=0),1,0)</x:f>
        <x:v>1</x:v>
      </x:c>
      <x:c r="F1550" s="21" t="n">
        <x:v>1</x:v>
      </x:c>
      <x:c r="G1550" s="23" t="str">
        <x:f>IF(E1550=F1550,"PASS","FAIL")</x:f>
        <x:v>PASS</x:v>
      </x:c>
    </x:row>
    <x:row r="1551">
      <x:c r="B1551" s="21" t="str">
        <x:v>C1545</x:v>
      </x:c>
      <x:c r="C1551" s="21" t="str">
        <x:v>stage build</x:v>
      </x:c>
      <x:c r="D1551" s="21" t="str">
        <x:v>pre-replication identity row 264</x:v>
      </x:c>
      <x:c r="E1551" s="21" t="n">
        <x:f>IF(ABS('Stage Build'!I264-SUM('Stage Build'!F264:H264))&lt;0.000001,1,0)</x:f>
        <x:v>1</x:v>
      </x:c>
      <x:c r="F1551" s="21" t="n">
        <x:v>1</x:v>
      </x:c>
      <x:c r="G1551" s="23" t="str">
        <x:f>IF(E1551=F1551,"PASS","FAIL")</x:f>
        <x:v>PASS</x:v>
      </x:c>
    </x:row>
    <x:row r="1552">
      <x:c r="B1552" s="21" t="str">
        <x:v>C1546</x:v>
      </x:c>
      <x:c r="C1552" s="21" t="str">
        <x:v>stage build</x:v>
      </x:c>
      <x:c r="D1552" s="21" t="str">
        <x:v>replication layer nonnegative row 264</x:v>
      </x:c>
      <x:c r="E1552" s="21" t="n">
        <x:f>IF('Stage Build'!J264&gt;=0,1,0)</x:f>
        <x:v>1</x:v>
      </x:c>
      <x:c r="F1552" s="21" t="n">
        <x:v>1</x:v>
      </x:c>
      <x:c r="G1552" s="23" t="str">
        <x:f>IF(E1552=F1552,"PASS","FAIL")</x:f>
        <x:v>PASS</x:v>
      </x:c>
    </x:row>
    <x:row r="1553">
      <x:c r="B1553" s="21" t="str">
        <x:v>C1547</x:v>
      </x:c>
      <x:c r="C1553" s="21" t="str">
        <x:v>stage build</x:v>
      </x:c>
      <x:c r="D1553" s="21" t="str">
        <x:v>designed ratio identity row 264</x:v>
      </x:c>
      <x:c r="E1553" s="21" t="n">
        <x:f>IF(ABS('Stage Build'!K264-'Stage Build'!I264-'Stage Build'!J264)&lt;0.000001,1,0)</x:f>
        <x:v>1</x:v>
      </x:c>
      <x:c r="F1553" s="21" t="n">
        <x:v>1</x:v>
      </x:c>
      <x:c r="G1553" s="23" t="str">
        <x:f>IF(E1553=F1553,"PASS","FAIL")</x:f>
        <x:v>PASS</x:v>
      </x:c>
    </x:row>
    <x:row r="1554">
      <x:c r="B1554" s="21" t="str">
        <x:v>C1548</x:v>
      </x:c>
      <x:c r="C1554" s="21" t="str">
        <x:v>stage build</x:v>
      </x:c>
      <x:c r="D1554" s="21" t="str">
        <x:v>M05 status identity row 264</x:v>
      </x:c>
      <x:c r="E1554" s="21" t="n">
        <x:f>IF('Stage Build'!L264=IF('Stage Build'!K264&gt;=Assumptions!$C$9,"ADEQUATE","GAP"),1,0)</x:f>
        <x:v>1</x:v>
      </x:c>
      <x:c r="F1554" s="21" t="n">
        <x:v>1</x:v>
      </x:c>
      <x:c r="G1554" s="23" t="str">
        <x:f>IF(E1554=F1554,"PASS","FAIL")</x:f>
        <x:v>PASS</x:v>
      </x:c>
    </x:row>
    <x:row r="1555">
      <x:c r="B1555" s="21" t="str">
        <x:v>C1549</x:v>
      </x:c>
      <x:c r="C1555" s="21" t="str">
        <x:v>stage build</x:v>
      </x:c>
      <x:c r="D1555" s="21" t="str">
        <x:v>baseline nonnegative row 265</x:v>
      </x:c>
      <x:c r="E1555" s="21" t="n">
        <x:f>IF('Stage Build'!F265&gt;=0,1,0)</x:f>
        <x:v>1</x:v>
      </x:c>
      <x:c r="F1555" s="21" t="n">
        <x:v>1</x:v>
      </x:c>
      <x:c r="G1555" s="23" t="str">
        <x:f>IF(E1555=F1555,"PASS","FAIL")</x:f>
        <x:v>PASS</x:v>
      </x:c>
    </x:row>
    <x:row r="1556">
      <x:c r="B1556" s="21" t="str">
        <x:v>C1550</x:v>
      </x:c>
      <x:c r="C1556" s="21" t="str">
        <x:v>stage build</x:v>
      </x:c>
      <x:c r="D1556" s="21" t="str">
        <x:v>targeted additions nonnegative row 265</x:v>
      </x:c>
      <x:c r="E1556" s="21" t="n">
        <x:f>IF(AND('Stage Build'!G265&gt;=0,'Stage Build'!H265&gt;=0),1,0)</x:f>
        <x:v>1</x:v>
      </x:c>
      <x:c r="F1556" s="21" t="n">
        <x:v>1</x:v>
      </x:c>
      <x:c r="G1556" s="23" t="str">
        <x:f>IF(E1556=F1556,"PASS","FAIL")</x:f>
        <x:v>PASS</x:v>
      </x:c>
    </x:row>
    <x:row r="1557">
      <x:c r="B1557" s="21" t="str">
        <x:v>C1551</x:v>
      </x:c>
      <x:c r="C1557" s="21" t="str">
        <x:v>stage build</x:v>
      </x:c>
      <x:c r="D1557" s="21" t="str">
        <x:v>pre-replication identity row 265</x:v>
      </x:c>
      <x:c r="E1557" s="21" t="n">
        <x:f>IF(ABS('Stage Build'!I265-SUM('Stage Build'!F265:H265))&lt;0.000001,1,0)</x:f>
        <x:v>1</x:v>
      </x:c>
      <x:c r="F1557" s="21" t="n">
        <x:v>1</x:v>
      </x:c>
      <x:c r="G1557" s="23" t="str">
        <x:f>IF(E1557=F1557,"PASS","FAIL")</x:f>
        <x:v>PASS</x:v>
      </x:c>
    </x:row>
    <x:row r="1558">
      <x:c r="B1558" s="21" t="str">
        <x:v>C1552</x:v>
      </x:c>
      <x:c r="C1558" s="21" t="str">
        <x:v>stage build</x:v>
      </x:c>
      <x:c r="D1558" s="21" t="str">
        <x:v>replication layer nonnegative row 265</x:v>
      </x:c>
      <x:c r="E1558" s="21" t="n">
        <x:f>IF('Stage Build'!J265&gt;=0,1,0)</x:f>
        <x:v>1</x:v>
      </x:c>
      <x:c r="F1558" s="21" t="n">
        <x:v>1</x:v>
      </x:c>
      <x:c r="G1558" s="23" t="str">
        <x:f>IF(E1558=F1558,"PASS","FAIL")</x:f>
        <x:v>PASS</x:v>
      </x:c>
    </x:row>
    <x:row r="1559">
      <x:c r="B1559" s="21" t="str">
        <x:v>C1553</x:v>
      </x:c>
      <x:c r="C1559" s="21" t="str">
        <x:v>stage build</x:v>
      </x:c>
      <x:c r="D1559" s="21" t="str">
        <x:v>designed ratio identity row 265</x:v>
      </x:c>
      <x:c r="E1559" s="21" t="n">
        <x:f>IF(ABS('Stage Build'!K265-'Stage Build'!I265-'Stage Build'!J265)&lt;0.000001,1,0)</x:f>
        <x:v>1</x:v>
      </x:c>
      <x:c r="F1559" s="21" t="n">
        <x:v>1</x:v>
      </x:c>
      <x:c r="G1559" s="23" t="str">
        <x:f>IF(E1559=F1559,"PASS","FAIL")</x:f>
        <x:v>PASS</x:v>
      </x:c>
    </x:row>
    <x:row r="1560">
      <x:c r="B1560" s="21" t="str">
        <x:v>C1554</x:v>
      </x:c>
      <x:c r="C1560" s="21" t="str">
        <x:v>stage build</x:v>
      </x:c>
      <x:c r="D1560" s="21" t="str">
        <x:v>M05 status identity row 265</x:v>
      </x:c>
      <x:c r="E1560" s="21" t="n">
        <x:f>IF('Stage Build'!L265=IF('Stage Build'!K265&gt;=Assumptions!$C$9,"ADEQUATE","GAP"),1,0)</x:f>
        <x:v>1</x:v>
      </x:c>
      <x:c r="F1560" s="21" t="n">
        <x:v>1</x:v>
      </x:c>
      <x:c r="G1560" s="23" t="str">
        <x:f>IF(E1560=F1560,"PASS","FAIL")</x:f>
        <x:v>PASS</x:v>
      </x:c>
    </x:row>
    <x:row r="1561">
      <x:c r="B1561" s="21" t="str">
        <x:v>C1555</x:v>
      </x:c>
      <x:c r="C1561" s="21" t="str">
        <x:v>stage build</x:v>
      </x:c>
      <x:c r="D1561" s="21" t="str">
        <x:v>baseline nonnegative row 266</x:v>
      </x:c>
      <x:c r="E1561" s="21" t="n">
        <x:f>IF('Stage Build'!F266&gt;=0,1,0)</x:f>
        <x:v>1</x:v>
      </x:c>
      <x:c r="F1561" s="21" t="n">
        <x:v>1</x:v>
      </x:c>
      <x:c r="G1561" s="23" t="str">
        <x:f>IF(E1561=F1561,"PASS","FAIL")</x:f>
        <x:v>PASS</x:v>
      </x:c>
    </x:row>
    <x:row r="1562">
      <x:c r="B1562" s="21" t="str">
        <x:v>C1556</x:v>
      </x:c>
      <x:c r="C1562" s="21" t="str">
        <x:v>stage build</x:v>
      </x:c>
      <x:c r="D1562" s="21" t="str">
        <x:v>targeted additions nonnegative row 266</x:v>
      </x:c>
      <x:c r="E1562" s="21" t="n">
        <x:f>IF(AND('Stage Build'!G266&gt;=0,'Stage Build'!H266&gt;=0),1,0)</x:f>
        <x:v>1</x:v>
      </x:c>
      <x:c r="F1562" s="21" t="n">
        <x:v>1</x:v>
      </x:c>
      <x:c r="G1562" s="23" t="str">
        <x:f>IF(E1562=F1562,"PASS","FAIL")</x:f>
        <x:v>PASS</x:v>
      </x:c>
    </x:row>
    <x:row r="1563">
      <x:c r="B1563" s="21" t="str">
        <x:v>C1557</x:v>
      </x:c>
      <x:c r="C1563" s="21" t="str">
        <x:v>stage build</x:v>
      </x:c>
      <x:c r="D1563" s="21" t="str">
        <x:v>pre-replication identity row 266</x:v>
      </x:c>
      <x:c r="E1563" s="21" t="n">
        <x:f>IF(ABS('Stage Build'!I266-SUM('Stage Build'!F266:H266))&lt;0.000001,1,0)</x:f>
        <x:v>1</x:v>
      </x:c>
      <x:c r="F1563" s="21" t="n">
        <x:v>1</x:v>
      </x:c>
      <x:c r="G1563" s="23" t="str">
        <x:f>IF(E1563=F1563,"PASS","FAIL")</x:f>
        <x:v>PASS</x:v>
      </x:c>
    </x:row>
    <x:row r="1564">
      <x:c r="B1564" s="21" t="str">
        <x:v>C1558</x:v>
      </x:c>
      <x:c r="C1564" s="21" t="str">
        <x:v>stage build</x:v>
      </x:c>
      <x:c r="D1564" s="21" t="str">
        <x:v>replication layer nonnegative row 266</x:v>
      </x:c>
      <x:c r="E1564" s="21" t="n">
        <x:f>IF('Stage Build'!J266&gt;=0,1,0)</x:f>
        <x:v>1</x:v>
      </x:c>
      <x:c r="F1564" s="21" t="n">
        <x:v>1</x:v>
      </x:c>
      <x:c r="G1564" s="23" t="str">
        <x:f>IF(E1564=F1564,"PASS","FAIL")</x:f>
        <x:v>PASS</x:v>
      </x:c>
    </x:row>
    <x:row r="1565">
      <x:c r="B1565" s="21" t="str">
        <x:v>C1559</x:v>
      </x:c>
      <x:c r="C1565" s="21" t="str">
        <x:v>stage build</x:v>
      </x:c>
      <x:c r="D1565" s="21" t="str">
        <x:v>designed ratio identity row 266</x:v>
      </x:c>
      <x:c r="E1565" s="21" t="n">
        <x:f>IF(ABS('Stage Build'!K266-'Stage Build'!I266-'Stage Build'!J266)&lt;0.000001,1,0)</x:f>
        <x:v>1</x:v>
      </x:c>
      <x:c r="F1565" s="21" t="n">
        <x:v>1</x:v>
      </x:c>
      <x:c r="G1565" s="23" t="str">
        <x:f>IF(E1565=F1565,"PASS","FAIL")</x:f>
        <x:v>PASS</x:v>
      </x:c>
    </x:row>
    <x:row r="1566">
      <x:c r="B1566" s="21" t="str">
        <x:v>C1560</x:v>
      </x:c>
      <x:c r="C1566" s="21" t="str">
        <x:v>stage build</x:v>
      </x:c>
      <x:c r="D1566" s="21" t="str">
        <x:v>M05 status identity row 266</x:v>
      </x:c>
      <x:c r="E1566" s="21" t="n">
        <x:f>IF('Stage Build'!L266=IF('Stage Build'!K266&gt;=Assumptions!$C$9,"ADEQUATE","GAP"),1,0)</x:f>
        <x:v>1</x:v>
      </x:c>
      <x:c r="F1566" s="21" t="n">
        <x:v>1</x:v>
      </x:c>
      <x:c r="G1566" s="23" t="str">
        <x:f>IF(E1566=F1566,"PASS","FAIL")</x:f>
        <x:v>PASS</x:v>
      </x:c>
    </x:row>
    <x:row r="1567">
      <x:c r="B1567" s="21" t="str">
        <x:v>C1561</x:v>
      </x:c>
      <x:c r="C1567" s="21" t="str">
        <x:v>stage build</x:v>
      </x:c>
      <x:c r="D1567" s="21" t="str">
        <x:v>baseline nonnegative row 267</x:v>
      </x:c>
      <x:c r="E1567" s="21" t="n">
        <x:f>IF('Stage Build'!F267&gt;=0,1,0)</x:f>
        <x:v>1</x:v>
      </x:c>
      <x:c r="F1567" s="21" t="n">
        <x:v>1</x:v>
      </x:c>
      <x:c r="G1567" s="23" t="str">
        <x:f>IF(E1567=F1567,"PASS","FAIL")</x:f>
        <x:v>PASS</x:v>
      </x:c>
    </x:row>
    <x:row r="1568">
      <x:c r="B1568" s="21" t="str">
        <x:v>C1562</x:v>
      </x:c>
      <x:c r="C1568" s="21" t="str">
        <x:v>stage build</x:v>
      </x:c>
      <x:c r="D1568" s="21" t="str">
        <x:v>targeted additions nonnegative row 267</x:v>
      </x:c>
      <x:c r="E1568" s="21" t="n">
        <x:f>IF(AND('Stage Build'!G267&gt;=0,'Stage Build'!H267&gt;=0),1,0)</x:f>
        <x:v>1</x:v>
      </x:c>
      <x:c r="F1568" s="21" t="n">
        <x:v>1</x:v>
      </x:c>
      <x:c r="G1568" s="23" t="str">
        <x:f>IF(E1568=F1568,"PASS","FAIL")</x:f>
        <x:v>PASS</x:v>
      </x:c>
    </x:row>
    <x:row r="1569">
      <x:c r="B1569" s="21" t="str">
        <x:v>C1563</x:v>
      </x:c>
      <x:c r="C1569" s="21" t="str">
        <x:v>stage build</x:v>
      </x:c>
      <x:c r="D1569" s="21" t="str">
        <x:v>pre-replication identity row 267</x:v>
      </x:c>
      <x:c r="E1569" s="21" t="n">
        <x:f>IF(ABS('Stage Build'!I267-SUM('Stage Build'!F267:H267))&lt;0.000001,1,0)</x:f>
        <x:v>1</x:v>
      </x:c>
      <x:c r="F1569" s="21" t="n">
        <x:v>1</x:v>
      </x:c>
      <x:c r="G1569" s="23" t="str">
        <x:f>IF(E1569=F1569,"PASS","FAIL")</x:f>
        <x:v>PASS</x:v>
      </x:c>
    </x:row>
    <x:row r="1570">
      <x:c r="B1570" s="21" t="str">
        <x:v>C1564</x:v>
      </x:c>
      <x:c r="C1570" s="21" t="str">
        <x:v>stage build</x:v>
      </x:c>
      <x:c r="D1570" s="21" t="str">
        <x:v>replication layer nonnegative row 267</x:v>
      </x:c>
      <x:c r="E1570" s="21" t="n">
        <x:f>IF('Stage Build'!J267&gt;=0,1,0)</x:f>
        <x:v>1</x:v>
      </x:c>
      <x:c r="F1570" s="21" t="n">
        <x:v>1</x:v>
      </x:c>
      <x:c r="G1570" s="23" t="str">
        <x:f>IF(E1570=F1570,"PASS","FAIL")</x:f>
        <x:v>PASS</x:v>
      </x:c>
    </x:row>
    <x:row r="1571">
      <x:c r="B1571" s="21" t="str">
        <x:v>C1565</x:v>
      </x:c>
      <x:c r="C1571" s="21" t="str">
        <x:v>stage build</x:v>
      </x:c>
      <x:c r="D1571" s="21" t="str">
        <x:v>designed ratio identity row 267</x:v>
      </x:c>
      <x:c r="E1571" s="21" t="n">
        <x:f>IF(ABS('Stage Build'!K267-'Stage Build'!I267-'Stage Build'!J267)&lt;0.000001,1,0)</x:f>
        <x:v>1</x:v>
      </x:c>
      <x:c r="F1571" s="21" t="n">
        <x:v>1</x:v>
      </x:c>
      <x:c r="G1571" s="23" t="str">
        <x:f>IF(E1571=F1571,"PASS","FAIL")</x:f>
        <x:v>PASS</x:v>
      </x:c>
    </x:row>
    <x:row r="1572">
      <x:c r="B1572" s="21" t="str">
        <x:v>C1566</x:v>
      </x:c>
      <x:c r="C1572" s="21" t="str">
        <x:v>stage build</x:v>
      </x:c>
      <x:c r="D1572" s="21" t="str">
        <x:v>M05 status identity row 267</x:v>
      </x:c>
      <x:c r="E1572" s="21" t="n">
        <x:f>IF('Stage Build'!L267=IF('Stage Build'!K267&gt;=Assumptions!$C$9,"ADEQUATE","GAP"),1,0)</x:f>
        <x:v>1</x:v>
      </x:c>
      <x:c r="F1572" s="21" t="n">
        <x:v>1</x:v>
      </x:c>
      <x:c r="G1572" s="23" t="str">
        <x:f>IF(E1572=F1572,"PASS","FAIL")</x:f>
        <x:v>PASS</x:v>
      </x:c>
    </x:row>
    <x:row r="1573">
      <x:c r="B1573" s="21" t="str">
        <x:v>C1567</x:v>
      </x:c>
      <x:c r="C1573" s="21" t="str">
        <x:v>stage build</x:v>
      </x:c>
      <x:c r="D1573" s="21" t="str">
        <x:v>baseline nonnegative row 268</x:v>
      </x:c>
      <x:c r="E1573" s="21" t="n">
        <x:f>IF('Stage Build'!F268&gt;=0,1,0)</x:f>
        <x:v>1</x:v>
      </x:c>
      <x:c r="F1573" s="21" t="n">
        <x:v>1</x:v>
      </x:c>
      <x:c r="G1573" s="23" t="str">
        <x:f>IF(E1573=F1573,"PASS","FAIL")</x:f>
        <x:v>PASS</x:v>
      </x:c>
    </x:row>
    <x:row r="1574">
      <x:c r="B1574" s="21" t="str">
        <x:v>C1568</x:v>
      </x:c>
      <x:c r="C1574" s="21" t="str">
        <x:v>stage build</x:v>
      </x:c>
      <x:c r="D1574" s="21" t="str">
        <x:v>targeted additions nonnegative row 268</x:v>
      </x:c>
      <x:c r="E1574" s="21" t="n">
        <x:f>IF(AND('Stage Build'!G268&gt;=0,'Stage Build'!H268&gt;=0),1,0)</x:f>
        <x:v>1</x:v>
      </x:c>
      <x:c r="F1574" s="21" t="n">
        <x:v>1</x:v>
      </x:c>
      <x:c r="G1574" s="23" t="str">
        <x:f>IF(E1574=F1574,"PASS","FAIL")</x:f>
        <x:v>PASS</x:v>
      </x:c>
    </x:row>
    <x:row r="1575">
      <x:c r="B1575" s="21" t="str">
        <x:v>C1569</x:v>
      </x:c>
      <x:c r="C1575" s="21" t="str">
        <x:v>stage build</x:v>
      </x:c>
      <x:c r="D1575" s="21" t="str">
        <x:v>pre-replication identity row 268</x:v>
      </x:c>
      <x:c r="E1575" s="21" t="n">
        <x:f>IF(ABS('Stage Build'!I268-SUM('Stage Build'!F268:H268))&lt;0.000001,1,0)</x:f>
        <x:v>1</x:v>
      </x:c>
      <x:c r="F1575" s="21" t="n">
        <x:v>1</x:v>
      </x:c>
      <x:c r="G1575" s="23" t="str">
        <x:f>IF(E1575=F1575,"PASS","FAIL")</x:f>
        <x:v>PASS</x:v>
      </x:c>
    </x:row>
    <x:row r="1576">
      <x:c r="B1576" s="21" t="str">
        <x:v>C1570</x:v>
      </x:c>
      <x:c r="C1576" s="21" t="str">
        <x:v>stage build</x:v>
      </x:c>
      <x:c r="D1576" s="21" t="str">
        <x:v>replication layer nonnegative row 268</x:v>
      </x:c>
      <x:c r="E1576" s="21" t="n">
        <x:f>IF('Stage Build'!J268&gt;=0,1,0)</x:f>
        <x:v>1</x:v>
      </x:c>
      <x:c r="F1576" s="21" t="n">
        <x:v>1</x:v>
      </x:c>
      <x:c r="G1576" s="23" t="str">
        <x:f>IF(E1576=F1576,"PASS","FAIL")</x:f>
        <x:v>PASS</x:v>
      </x:c>
    </x:row>
    <x:row r="1577">
      <x:c r="B1577" s="21" t="str">
        <x:v>C1571</x:v>
      </x:c>
      <x:c r="C1577" s="21" t="str">
        <x:v>stage build</x:v>
      </x:c>
      <x:c r="D1577" s="21" t="str">
        <x:v>designed ratio identity row 268</x:v>
      </x:c>
      <x:c r="E1577" s="21" t="n">
        <x:f>IF(ABS('Stage Build'!K268-'Stage Build'!I268-'Stage Build'!J268)&lt;0.000001,1,0)</x:f>
        <x:v>1</x:v>
      </x:c>
      <x:c r="F1577" s="21" t="n">
        <x:v>1</x:v>
      </x:c>
      <x:c r="G1577" s="23" t="str">
        <x:f>IF(E1577=F1577,"PASS","FAIL")</x:f>
        <x:v>PASS</x:v>
      </x:c>
    </x:row>
    <x:row r="1578">
      <x:c r="B1578" s="21" t="str">
        <x:v>C1572</x:v>
      </x:c>
      <x:c r="C1578" s="21" t="str">
        <x:v>stage build</x:v>
      </x:c>
      <x:c r="D1578" s="21" t="str">
        <x:v>M05 status identity row 268</x:v>
      </x:c>
      <x:c r="E1578" s="21" t="n">
        <x:f>IF('Stage Build'!L268=IF('Stage Build'!K268&gt;=Assumptions!$C$9,"ADEQUATE","GAP"),1,0)</x:f>
        <x:v>1</x:v>
      </x:c>
      <x:c r="F1578" s="21" t="n">
        <x:v>1</x:v>
      </x:c>
      <x:c r="G1578" s="23" t="str">
        <x:f>IF(E1578=F1578,"PASS","FAIL")</x:f>
        <x:v>PASS</x:v>
      </x:c>
    </x:row>
    <x:row r="1579">
      <x:c r="B1579" s="21" t="str">
        <x:v>C1573</x:v>
      </x:c>
      <x:c r="C1579" s="21" t="str">
        <x:v>stage build</x:v>
      </x:c>
      <x:c r="D1579" s="21" t="str">
        <x:v>baseline nonnegative row 269</x:v>
      </x:c>
      <x:c r="E1579" s="21" t="n">
        <x:f>IF('Stage Build'!F269&gt;=0,1,0)</x:f>
        <x:v>1</x:v>
      </x:c>
      <x:c r="F1579" s="21" t="n">
        <x:v>1</x:v>
      </x:c>
      <x:c r="G1579" s="23" t="str">
        <x:f>IF(E1579=F1579,"PASS","FAIL")</x:f>
        <x:v>PASS</x:v>
      </x:c>
    </x:row>
    <x:row r="1580">
      <x:c r="B1580" s="21" t="str">
        <x:v>C1574</x:v>
      </x:c>
      <x:c r="C1580" s="21" t="str">
        <x:v>stage build</x:v>
      </x:c>
      <x:c r="D1580" s="21" t="str">
        <x:v>targeted additions nonnegative row 269</x:v>
      </x:c>
      <x:c r="E1580" s="21" t="n">
        <x:f>IF(AND('Stage Build'!G269&gt;=0,'Stage Build'!H269&gt;=0),1,0)</x:f>
        <x:v>1</x:v>
      </x:c>
      <x:c r="F1580" s="21" t="n">
        <x:v>1</x:v>
      </x:c>
      <x:c r="G1580" s="23" t="str">
        <x:f>IF(E1580=F1580,"PASS","FAIL")</x:f>
        <x:v>PASS</x:v>
      </x:c>
    </x:row>
    <x:row r="1581">
      <x:c r="B1581" s="21" t="str">
        <x:v>C1575</x:v>
      </x:c>
      <x:c r="C1581" s="21" t="str">
        <x:v>stage build</x:v>
      </x:c>
      <x:c r="D1581" s="21" t="str">
        <x:v>pre-replication identity row 269</x:v>
      </x:c>
      <x:c r="E1581" s="21" t="n">
        <x:f>IF(ABS('Stage Build'!I269-SUM('Stage Build'!F269:H269))&lt;0.000001,1,0)</x:f>
        <x:v>1</x:v>
      </x:c>
      <x:c r="F1581" s="21" t="n">
        <x:v>1</x:v>
      </x:c>
      <x:c r="G1581" s="23" t="str">
        <x:f>IF(E1581=F1581,"PASS","FAIL")</x:f>
        <x:v>PASS</x:v>
      </x:c>
    </x:row>
    <x:row r="1582">
      <x:c r="B1582" s="21" t="str">
        <x:v>C1576</x:v>
      </x:c>
      <x:c r="C1582" s="21" t="str">
        <x:v>stage build</x:v>
      </x:c>
      <x:c r="D1582" s="21" t="str">
        <x:v>replication layer nonnegative row 269</x:v>
      </x:c>
      <x:c r="E1582" s="21" t="n">
        <x:f>IF('Stage Build'!J269&gt;=0,1,0)</x:f>
        <x:v>1</x:v>
      </x:c>
      <x:c r="F1582" s="21" t="n">
        <x:v>1</x:v>
      </x:c>
      <x:c r="G1582" s="23" t="str">
        <x:f>IF(E1582=F1582,"PASS","FAIL")</x:f>
        <x:v>PASS</x:v>
      </x:c>
    </x:row>
    <x:row r="1583">
      <x:c r="B1583" s="21" t="str">
        <x:v>C1577</x:v>
      </x:c>
      <x:c r="C1583" s="21" t="str">
        <x:v>stage build</x:v>
      </x:c>
      <x:c r="D1583" s="21" t="str">
        <x:v>designed ratio identity row 269</x:v>
      </x:c>
      <x:c r="E1583" s="21" t="n">
        <x:f>IF(ABS('Stage Build'!K269-'Stage Build'!I269-'Stage Build'!J269)&lt;0.000001,1,0)</x:f>
        <x:v>1</x:v>
      </x:c>
      <x:c r="F1583" s="21" t="n">
        <x:v>1</x:v>
      </x:c>
      <x:c r="G1583" s="23" t="str">
        <x:f>IF(E1583=F1583,"PASS","FAIL")</x:f>
        <x:v>PASS</x:v>
      </x:c>
    </x:row>
    <x:row r="1584">
      <x:c r="B1584" s="21" t="str">
        <x:v>C1578</x:v>
      </x:c>
      <x:c r="C1584" s="21" t="str">
        <x:v>stage build</x:v>
      </x:c>
      <x:c r="D1584" s="21" t="str">
        <x:v>M05 status identity row 269</x:v>
      </x:c>
      <x:c r="E1584" s="21" t="n">
        <x:f>IF('Stage Build'!L269=IF('Stage Build'!K269&gt;=Assumptions!$C$9,"ADEQUATE","GAP"),1,0)</x:f>
        <x:v>1</x:v>
      </x:c>
      <x:c r="F1584" s="21" t="n">
        <x:v>1</x:v>
      </x:c>
      <x:c r="G1584" s="23" t="str">
        <x:f>IF(E1584=F1584,"PASS","FAIL")</x:f>
        <x:v>PASS</x:v>
      </x:c>
    </x:row>
    <x:row r="1585">
      <x:c r="B1585" s="21" t="str">
        <x:v>C1579</x:v>
      </x:c>
      <x:c r="C1585" s="21" t="str">
        <x:v>stage build</x:v>
      </x:c>
      <x:c r="D1585" s="21" t="str">
        <x:v>baseline nonnegative row 270</x:v>
      </x:c>
      <x:c r="E1585" s="21" t="n">
        <x:f>IF('Stage Build'!F270&gt;=0,1,0)</x:f>
        <x:v>1</x:v>
      </x:c>
      <x:c r="F1585" s="21" t="n">
        <x:v>1</x:v>
      </x:c>
      <x:c r="G1585" s="23" t="str">
        <x:f>IF(E1585=F1585,"PASS","FAIL")</x:f>
        <x:v>PASS</x:v>
      </x:c>
    </x:row>
    <x:row r="1586">
      <x:c r="B1586" s="21" t="str">
        <x:v>C1580</x:v>
      </x:c>
      <x:c r="C1586" s="21" t="str">
        <x:v>stage build</x:v>
      </x:c>
      <x:c r="D1586" s="21" t="str">
        <x:v>targeted additions nonnegative row 270</x:v>
      </x:c>
      <x:c r="E1586" s="21" t="n">
        <x:f>IF(AND('Stage Build'!G270&gt;=0,'Stage Build'!H270&gt;=0),1,0)</x:f>
        <x:v>1</x:v>
      </x:c>
      <x:c r="F1586" s="21" t="n">
        <x:v>1</x:v>
      </x:c>
      <x:c r="G1586" s="23" t="str">
        <x:f>IF(E1586=F1586,"PASS","FAIL")</x:f>
        <x:v>PASS</x:v>
      </x:c>
    </x:row>
    <x:row r="1587">
      <x:c r="B1587" s="21" t="str">
        <x:v>C1581</x:v>
      </x:c>
      <x:c r="C1587" s="21" t="str">
        <x:v>stage build</x:v>
      </x:c>
      <x:c r="D1587" s="21" t="str">
        <x:v>pre-replication identity row 270</x:v>
      </x:c>
      <x:c r="E1587" s="21" t="n">
        <x:f>IF(ABS('Stage Build'!I270-SUM('Stage Build'!F270:H270))&lt;0.000001,1,0)</x:f>
        <x:v>1</x:v>
      </x:c>
      <x:c r="F1587" s="21" t="n">
        <x:v>1</x:v>
      </x:c>
      <x:c r="G1587" s="23" t="str">
        <x:f>IF(E1587=F1587,"PASS","FAIL")</x:f>
        <x:v>PASS</x:v>
      </x:c>
    </x:row>
    <x:row r="1588">
      <x:c r="B1588" s="21" t="str">
        <x:v>C1582</x:v>
      </x:c>
      <x:c r="C1588" s="21" t="str">
        <x:v>stage build</x:v>
      </x:c>
      <x:c r="D1588" s="21" t="str">
        <x:v>replication layer nonnegative row 270</x:v>
      </x:c>
      <x:c r="E1588" s="21" t="n">
        <x:f>IF('Stage Build'!J270&gt;=0,1,0)</x:f>
        <x:v>1</x:v>
      </x:c>
      <x:c r="F1588" s="21" t="n">
        <x:v>1</x:v>
      </x:c>
      <x:c r="G1588" s="23" t="str">
        <x:f>IF(E1588=F1588,"PASS","FAIL")</x:f>
        <x:v>PASS</x:v>
      </x:c>
    </x:row>
    <x:row r="1589">
      <x:c r="B1589" s="21" t="str">
        <x:v>C1583</x:v>
      </x:c>
      <x:c r="C1589" s="21" t="str">
        <x:v>stage build</x:v>
      </x:c>
      <x:c r="D1589" s="21" t="str">
        <x:v>designed ratio identity row 270</x:v>
      </x:c>
      <x:c r="E1589" s="21" t="n">
        <x:f>IF(ABS('Stage Build'!K270-'Stage Build'!I270-'Stage Build'!J270)&lt;0.000001,1,0)</x:f>
        <x:v>1</x:v>
      </x:c>
      <x:c r="F1589" s="21" t="n">
        <x:v>1</x:v>
      </x:c>
      <x:c r="G1589" s="23" t="str">
        <x:f>IF(E1589=F1589,"PASS","FAIL")</x:f>
        <x:v>PASS</x:v>
      </x:c>
    </x:row>
    <x:row r="1590">
      <x:c r="B1590" s="21" t="str">
        <x:v>C1584</x:v>
      </x:c>
      <x:c r="C1590" s="21" t="str">
        <x:v>stage build</x:v>
      </x:c>
      <x:c r="D1590" s="21" t="str">
        <x:v>M05 status identity row 270</x:v>
      </x:c>
      <x:c r="E1590" s="21" t="n">
        <x:f>IF('Stage Build'!L270=IF('Stage Build'!K270&gt;=Assumptions!$C$9,"ADEQUATE","GAP"),1,0)</x:f>
        <x:v>1</x:v>
      </x:c>
      <x:c r="F1590" s="21" t="n">
        <x:v>1</x:v>
      </x:c>
      <x:c r="G1590" s="23" t="str">
        <x:f>IF(E1590=F1590,"PASS","FAIL")</x:f>
        <x:v>PASS</x:v>
      </x:c>
    </x:row>
    <x:row r="1591">
      <x:c r="B1591" s="21" t="str">
        <x:v>C1585</x:v>
      </x:c>
      <x:c r="C1591" s="21" t="str">
        <x:v>reserve ledger</x:v>
      </x:c>
      <x:c r="D1591" s="21" t="str">
        <x:v>post-service identity row 7</x:v>
      </x:c>
      <x:c r="E1591" s="21" t="n">
        <x:f>IF(ABS('Reserve Ledger'!H7-MAX(0,'Reserve Ledger'!E7-'Reserve Ledger'!F7))&lt;0.000001,1,0)</x:f>
        <x:v>1</x:v>
      </x:c>
      <x:c r="F1591" s="21" t="n">
        <x:v>1</x:v>
      </x:c>
      <x:c r="G1591" s="23" t="str">
        <x:f>IF(E1591=F1591,"PASS","FAIL")</x:f>
        <x:v>PASS</x:v>
      </x:c>
    </x:row>
    <x:row r="1592">
      <x:c r="B1592" s="21" t="str">
        <x:v>C1586</x:v>
      </x:c>
      <x:c r="C1592" s="21" t="str">
        <x:v>reserve ledger</x:v>
      </x:c>
      <x:c r="D1592" s="21" t="str">
        <x:v>reserve ratio identity row 7</x:v>
      </x:c>
      <x:c r="E1592" s="21" t="n">
        <x:f>IF(ABS('Reserve Ledger'!I7-'Reserve Ledger'!H7/'Reserve Ledger'!G7)&lt;0.000001,1,0)</x:f>
        <x:v>1</x:v>
      </x:c>
      <x:c r="F1592" s="21" t="n">
        <x:v>1</x:v>
      </x:c>
      <x:c r="G1592" s="23" t="str">
        <x:f>IF(E1592=F1592,"PASS","FAIL")</x:f>
        <x:v>PASS</x:v>
      </x:c>
    </x:row>
    <x:row r="1593">
      <x:c r="B1593" s="21" t="str">
        <x:v>C1587</x:v>
      </x:c>
      <x:c r="C1593" s="21" t="str">
        <x:v>reserve ledger</x:v>
      </x:c>
      <x:c r="D1593" s="21" t="str">
        <x:v>reserve status identity row 7</x:v>
      </x:c>
      <x:c r="E1593" s="21" t="n">
        <x:f>IF('Reserve Ledger'!J7=IF('Reserve Ledger'!I7&gt;=1,"ADEQUATE","GAP"),1,0)</x:f>
        <x:v>1</x:v>
      </x:c>
      <x:c r="F1593" s="21" t="n">
        <x:v>1</x:v>
      </x:c>
      <x:c r="G1593" s="23" t="str">
        <x:f>IF(E1593=F1593,"PASS","FAIL")</x:f>
        <x:v>PASS</x:v>
      </x:c>
    </x:row>
    <x:row r="1594">
      <x:c r="B1594" s="21" t="str">
        <x:v>C1588</x:v>
      </x:c>
      <x:c r="C1594" s="21" t="str">
        <x:v>reserve ledger</x:v>
      </x:c>
      <x:c r="D1594" s="21" t="str">
        <x:v>post-service identity row 8</x:v>
      </x:c>
      <x:c r="E1594" s="21" t="n">
        <x:f>IF(ABS('Reserve Ledger'!H8-MAX(0,'Reserve Ledger'!E8-'Reserve Ledger'!F8))&lt;0.000001,1,0)</x:f>
        <x:v>1</x:v>
      </x:c>
      <x:c r="F1594" s="21" t="n">
        <x:v>1</x:v>
      </x:c>
      <x:c r="G1594" s="23" t="str">
        <x:f>IF(E1594=F1594,"PASS","FAIL")</x:f>
        <x:v>PASS</x:v>
      </x:c>
    </x:row>
    <x:row r="1595">
      <x:c r="B1595" s="21" t="str">
        <x:v>C1589</x:v>
      </x:c>
      <x:c r="C1595" s="21" t="str">
        <x:v>reserve ledger</x:v>
      </x:c>
      <x:c r="D1595" s="21" t="str">
        <x:v>reserve ratio identity row 8</x:v>
      </x:c>
      <x:c r="E1595" s="21" t="n">
        <x:f>IF(ABS('Reserve Ledger'!I8-'Reserve Ledger'!H8/'Reserve Ledger'!G8)&lt;0.000001,1,0)</x:f>
        <x:v>1</x:v>
      </x:c>
      <x:c r="F1595" s="21" t="n">
        <x:v>1</x:v>
      </x:c>
      <x:c r="G1595" s="23" t="str">
        <x:f>IF(E1595=F1595,"PASS","FAIL")</x:f>
        <x:v>PASS</x:v>
      </x:c>
    </x:row>
    <x:row r="1596">
      <x:c r="B1596" s="21" t="str">
        <x:v>C1590</x:v>
      </x:c>
      <x:c r="C1596" s="21" t="str">
        <x:v>reserve ledger</x:v>
      </x:c>
      <x:c r="D1596" s="21" t="str">
        <x:v>reserve status identity row 8</x:v>
      </x:c>
      <x:c r="E1596" s="21" t="n">
        <x:f>IF('Reserve Ledger'!J8=IF('Reserve Ledger'!I8&gt;=1,"ADEQUATE","GAP"),1,0)</x:f>
        <x:v>1</x:v>
      </x:c>
      <x:c r="F1596" s="21" t="n">
        <x:v>1</x:v>
      </x:c>
      <x:c r="G1596" s="23" t="str">
        <x:f>IF(E1596=F1596,"PASS","FAIL")</x:f>
        <x:v>PASS</x:v>
      </x:c>
    </x:row>
    <x:row r="1597">
      <x:c r="B1597" s="21" t="str">
        <x:v>C1591</x:v>
      </x:c>
      <x:c r="C1597" s="21" t="str">
        <x:v>reserve ledger</x:v>
      </x:c>
      <x:c r="D1597" s="21" t="str">
        <x:v>post-service identity row 9</x:v>
      </x:c>
      <x:c r="E1597" s="21" t="n">
        <x:f>IF(ABS('Reserve Ledger'!H9-MAX(0,'Reserve Ledger'!E9-'Reserve Ledger'!F9))&lt;0.000001,1,0)</x:f>
        <x:v>1</x:v>
      </x:c>
      <x:c r="F1597" s="21" t="n">
        <x:v>1</x:v>
      </x:c>
      <x:c r="G1597" s="23" t="str">
        <x:f>IF(E1597=F1597,"PASS","FAIL")</x:f>
        <x:v>PASS</x:v>
      </x:c>
    </x:row>
    <x:row r="1598">
      <x:c r="B1598" s="21" t="str">
        <x:v>C1592</x:v>
      </x:c>
      <x:c r="C1598" s="21" t="str">
        <x:v>reserve ledger</x:v>
      </x:c>
      <x:c r="D1598" s="21" t="str">
        <x:v>reserve ratio identity row 9</x:v>
      </x:c>
      <x:c r="E1598" s="21" t="n">
        <x:f>IF(ABS('Reserve Ledger'!I9-'Reserve Ledger'!H9/'Reserve Ledger'!G9)&lt;0.000001,1,0)</x:f>
        <x:v>1</x:v>
      </x:c>
      <x:c r="F1598" s="21" t="n">
        <x:v>1</x:v>
      </x:c>
      <x:c r="G1598" s="23" t="str">
        <x:f>IF(E1598=F1598,"PASS","FAIL")</x:f>
        <x:v>PASS</x:v>
      </x:c>
    </x:row>
    <x:row r="1599">
      <x:c r="B1599" s="21" t="str">
        <x:v>C1593</x:v>
      </x:c>
      <x:c r="C1599" s="21" t="str">
        <x:v>reserve ledger</x:v>
      </x:c>
      <x:c r="D1599" s="21" t="str">
        <x:v>reserve status identity row 9</x:v>
      </x:c>
      <x:c r="E1599" s="21" t="n">
        <x:f>IF('Reserve Ledger'!J9=IF('Reserve Ledger'!I9&gt;=1,"ADEQUATE","GAP"),1,0)</x:f>
        <x:v>1</x:v>
      </x:c>
      <x:c r="F1599" s="21" t="n">
        <x:v>1</x:v>
      </x:c>
      <x:c r="G1599" s="23" t="str">
        <x:f>IF(E1599=F1599,"PASS","FAIL")</x:f>
        <x:v>PASS</x:v>
      </x:c>
    </x:row>
    <x:row r="1600">
      <x:c r="B1600" s="21" t="str">
        <x:v>C1594</x:v>
      </x:c>
      <x:c r="C1600" s="21" t="str">
        <x:v>reserve ledger</x:v>
      </x:c>
      <x:c r="D1600" s="21" t="str">
        <x:v>post-service identity row 10</x:v>
      </x:c>
      <x:c r="E1600" s="21" t="n">
        <x:f>IF(ABS('Reserve Ledger'!H10-MAX(0,'Reserve Ledger'!E10-'Reserve Ledger'!F10))&lt;0.000001,1,0)</x:f>
        <x:v>1</x:v>
      </x:c>
      <x:c r="F1600" s="21" t="n">
        <x:v>1</x:v>
      </x:c>
      <x:c r="G1600" s="23" t="str">
        <x:f>IF(E1600=F1600,"PASS","FAIL")</x:f>
        <x:v>PASS</x:v>
      </x:c>
    </x:row>
    <x:row r="1601">
      <x:c r="B1601" s="21" t="str">
        <x:v>C1595</x:v>
      </x:c>
      <x:c r="C1601" s="21" t="str">
        <x:v>reserve ledger</x:v>
      </x:c>
      <x:c r="D1601" s="21" t="str">
        <x:v>reserve ratio identity row 10</x:v>
      </x:c>
      <x:c r="E1601" s="21" t="n">
        <x:f>IF(ABS('Reserve Ledger'!I10-'Reserve Ledger'!H10/'Reserve Ledger'!G10)&lt;0.000001,1,0)</x:f>
        <x:v>1</x:v>
      </x:c>
      <x:c r="F1601" s="21" t="n">
        <x:v>1</x:v>
      </x:c>
      <x:c r="G1601" s="23" t="str">
        <x:f>IF(E1601=F1601,"PASS","FAIL")</x:f>
        <x:v>PASS</x:v>
      </x:c>
    </x:row>
    <x:row r="1602">
      <x:c r="B1602" s="21" t="str">
        <x:v>C1596</x:v>
      </x:c>
      <x:c r="C1602" s="21" t="str">
        <x:v>reserve ledger</x:v>
      </x:c>
      <x:c r="D1602" s="21" t="str">
        <x:v>reserve status identity row 10</x:v>
      </x:c>
      <x:c r="E1602" s="21" t="n">
        <x:f>IF('Reserve Ledger'!J10=IF('Reserve Ledger'!I10&gt;=1,"ADEQUATE","GAP"),1,0)</x:f>
        <x:v>1</x:v>
      </x:c>
      <x:c r="F1602" s="21" t="n">
        <x:v>1</x:v>
      </x:c>
      <x:c r="G1602" s="23" t="str">
        <x:f>IF(E1602=F1602,"PASS","FAIL")</x:f>
        <x:v>PASS</x:v>
      </x:c>
    </x:row>
    <x:row r="1603">
      <x:c r="B1603" s="21" t="str">
        <x:v>C1597</x:v>
      </x:c>
      <x:c r="C1603" s="21" t="str">
        <x:v>reserve ledger</x:v>
      </x:c>
      <x:c r="D1603" s="21" t="str">
        <x:v>post-service identity row 11</x:v>
      </x:c>
      <x:c r="E1603" s="21" t="n">
        <x:f>IF(ABS('Reserve Ledger'!H11-MAX(0,'Reserve Ledger'!E11-'Reserve Ledger'!F11))&lt;0.000001,1,0)</x:f>
        <x:v>1</x:v>
      </x:c>
      <x:c r="F1603" s="21" t="n">
        <x:v>1</x:v>
      </x:c>
      <x:c r="G1603" s="23" t="str">
        <x:f>IF(E1603=F1603,"PASS","FAIL")</x:f>
        <x:v>PASS</x:v>
      </x:c>
    </x:row>
    <x:row r="1604">
      <x:c r="B1604" s="21" t="str">
        <x:v>C1598</x:v>
      </x:c>
      <x:c r="C1604" s="21" t="str">
        <x:v>reserve ledger</x:v>
      </x:c>
      <x:c r="D1604" s="21" t="str">
        <x:v>reserve ratio identity row 11</x:v>
      </x:c>
      <x:c r="E1604" s="21" t="n">
        <x:f>IF(ABS('Reserve Ledger'!I11-'Reserve Ledger'!H11/'Reserve Ledger'!G11)&lt;0.000001,1,0)</x:f>
        <x:v>1</x:v>
      </x:c>
      <x:c r="F1604" s="21" t="n">
        <x:v>1</x:v>
      </x:c>
      <x:c r="G1604" s="23" t="str">
        <x:f>IF(E1604=F1604,"PASS","FAIL")</x:f>
        <x:v>PASS</x:v>
      </x:c>
    </x:row>
    <x:row r="1605">
      <x:c r="B1605" s="21" t="str">
        <x:v>C1599</x:v>
      </x:c>
      <x:c r="C1605" s="21" t="str">
        <x:v>reserve ledger</x:v>
      </x:c>
      <x:c r="D1605" s="21" t="str">
        <x:v>reserve status identity row 11</x:v>
      </x:c>
      <x:c r="E1605" s="21" t="n">
        <x:f>IF('Reserve Ledger'!J11=IF('Reserve Ledger'!I11&gt;=1,"ADEQUATE","GAP"),1,0)</x:f>
        <x:v>1</x:v>
      </x:c>
      <x:c r="F1605" s="21" t="n">
        <x:v>1</x:v>
      </x:c>
      <x:c r="G1605" s="23" t="str">
        <x:f>IF(E1605=F1605,"PASS","FAIL")</x:f>
        <x:v>PASS</x:v>
      </x:c>
    </x:row>
    <x:row r="1606">
      <x:c r="B1606" s="21" t="str">
        <x:v>C1600</x:v>
      </x:c>
      <x:c r="C1606" s="21" t="str">
        <x:v>reserve ledger</x:v>
      </x:c>
      <x:c r="D1606" s="21" t="str">
        <x:v>post-service identity row 12</x:v>
      </x:c>
      <x:c r="E1606" s="21" t="n">
        <x:f>IF(ABS('Reserve Ledger'!H12-MAX(0,'Reserve Ledger'!E12-'Reserve Ledger'!F12))&lt;0.000001,1,0)</x:f>
        <x:v>1</x:v>
      </x:c>
      <x:c r="F1606" s="21" t="n">
        <x:v>1</x:v>
      </x:c>
      <x:c r="G1606" s="23" t="str">
        <x:f>IF(E1606=F1606,"PASS","FAIL")</x:f>
        <x:v>PASS</x:v>
      </x:c>
    </x:row>
    <x:row r="1607">
      <x:c r="B1607" s="21" t="str">
        <x:v>C1601</x:v>
      </x:c>
      <x:c r="C1607" s="21" t="str">
        <x:v>reserve ledger</x:v>
      </x:c>
      <x:c r="D1607" s="21" t="str">
        <x:v>reserve ratio identity row 12</x:v>
      </x:c>
      <x:c r="E1607" s="21" t="n">
        <x:f>IF(ABS('Reserve Ledger'!I12-'Reserve Ledger'!H12/'Reserve Ledger'!G12)&lt;0.000001,1,0)</x:f>
        <x:v>1</x:v>
      </x:c>
      <x:c r="F1607" s="21" t="n">
        <x:v>1</x:v>
      </x:c>
      <x:c r="G1607" s="23" t="str">
        <x:f>IF(E1607=F1607,"PASS","FAIL")</x:f>
        <x:v>PASS</x:v>
      </x:c>
    </x:row>
    <x:row r="1608">
      <x:c r="B1608" s="21" t="str">
        <x:v>C1602</x:v>
      </x:c>
      <x:c r="C1608" s="21" t="str">
        <x:v>reserve ledger</x:v>
      </x:c>
      <x:c r="D1608" s="21" t="str">
        <x:v>reserve status identity row 12</x:v>
      </x:c>
      <x:c r="E1608" s="21" t="n">
        <x:f>IF('Reserve Ledger'!J12=IF('Reserve Ledger'!I12&gt;=1,"ADEQUATE","GAP"),1,0)</x:f>
        <x:v>1</x:v>
      </x:c>
      <x:c r="F1608" s="21" t="n">
        <x:v>1</x:v>
      </x:c>
      <x:c r="G1608" s="23" t="str">
        <x:f>IF(E1608=F1608,"PASS","FAIL")</x:f>
        <x:v>PASS</x:v>
      </x:c>
    </x:row>
    <x:row r="1609">
      <x:c r="B1609" s="21" t="str">
        <x:v>C1603</x:v>
      </x:c>
      <x:c r="C1609" s="21" t="str">
        <x:v>reserve ledger</x:v>
      </x:c>
      <x:c r="D1609" s="21" t="str">
        <x:v>post-service identity row 13</x:v>
      </x:c>
      <x:c r="E1609" s="21" t="n">
        <x:f>IF(ABS('Reserve Ledger'!H13-MAX(0,'Reserve Ledger'!E13-'Reserve Ledger'!F13))&lt;0.000001,1,0)</x:f>
        <x:v>1</x:v>
      </x:c>
      <x:c r="F1609" s="21" t="n">
        <x:v>1</x:v>
      </x:c>
      <x:c r="G1609" s="23" t="str">
        <x:f>IF(E1609=F1609,"PASS","FAIL")</x:f>
        <x:v>PASS</x:v>
      </x:c>
    </x:row>
    <x:row r="1610">
      <x:c r="B1610" s="21" t="str">
        <x:v>C1604</x:v>
      </x:c>
      <x:c r="C1610" s="21" t="str">
        <x:v>reserve ledger</x:v>
      </x:c>
      <x:c r="D1610" s="21" t="str">
        <x:v>reserve ratio identity row 13</x:v>
      </x:c>
      <x:c r="E1610" s="21" t="n">
        <x:f>IF(ABS('Reserve Ledger'!I13-'Reserve Ledger'!H13/'Reserve Ledger'!G13)&lt;0.000001,1,0)</x:f>
        <x:v>1</x:v>
      </x:c>
      <x:c r="F1610" s="21" t="n">
        <x:v>1</x:v>
      </x:c>
      <x:c r="G1610" s="23" t="str">
        <x:f>IF(E1610=F1610,"PASS","FAIL")</x:f>
        <x:v>PASS</x:v>
      </x:c>
    </x:row>
    <x:row r="1611">
      <x:c r="B1611" s="21" t="str">
        <x:v>C1605</x:v>
      </x:c>
      <x:c r="C1611" s="21" t="str">
        <x:v>reserve ledger</x:v>
      </x:c>
      <x:c r="D1611" s="21" t="str">
        <x:v>reserve status identity row 13</x:v>
      </x:c>
      <x:c r="E1611" s="21" t="n">
        <x:f>IF('Reserve Ledger'!J13=IF('Reserve Ledger'!I13&gt;=1,"ADEQUATE","GAP"),1,0)</x:f>
        <x:v>1</x:v>
      </x:c>
      <x:c r="F1611" s="21" t="n">
        <x:v>1</x:v>
      </x:c>
      <x:c r="G1611" s="23" t="str">
        <x:f>IF(E1611=F1611,"PASS","FAIL")</x:f>
        <x:v>PASS</x:v>
      </x:c>
    </x:row>
    <x:row r="1612">
      <x:c r="B1612" s="21" t="str">
        <x:v>C1606</x:v>
      </x:c>
      <x:c r="C1612" s="21" t="str">
        <x:v>reserve ledger</x:v>
      </x:c>
      <x:c r="D1612" s="21" t="str">
        <x:v>post-service identity row 14</x:v>
      </x:c>
      <x:c r="E1612" s="21" t="n">
        <x:f>IF(ABS('Reserve Ledger'!H14-MAX(0,'Reserve Ledger'!E14-'Reserve Ledger'!F14))&lt;0.000001,1,0)</x:f>
        <x:v>1</x:v>
      </x:c>
      <x:c r="F1612" s="21" t="n">
        <x:v>1</x:v>
      </x:c>
      <x:c r="G1612" s="23" t="str">
        <x:f>IF(E1612=F1612,"PASS","FAIL")</x:f>
        <x:v>PASS</x:v>
      </x:c>
    </x:row>
    <x:row r="1613">
      <x:c r="B1613" s="21" t="str">
        <x:v>C1607</x:v>
      </x:c>
      <x:c r="C1613" s="21" t="str">
        <x:v>reserve ledger</x:v>
      </x:c>
      <x:c r="D1613" s="21" t="str">
        <x:v>reserve ratio identity row 14</x:v>
      </x:c>
      <x:c r="E1613" s="21" t="n">
        <x:f>IF(ABS('Reserve Ledger'!I14-'Reserve Ledger'!H14/'Reserve Ledger'!G14)&lt;0.000001,1,0)</x:f>
        <x:v>1</x:v>
      </x:c>
      <x:c r="F1613" s="21" t="n">
        <x:v>1</x:v>
      </x:c>
      <x:c r="G1613" s="23" t="str">
        <x:f>IF(E1613=F1613,"PASS","FAIL")</x:f>
        <x:v>PASS</x:v>
      </x:c>
    </x:row>
    <x:row r="1614">
      <x:c r="B1614" s="21" t="str">
        <x:v>C1608</x:v>
      </x:c>
      <x:c r="C1614" s="21" t="str">
        <x:v>reserve ledger</x:v>
      </x:c>
      <x:c r="D1614" s="21" t="str">
        <x:v>reserve status identity row 14</x:v>
      </x:c>
      <x:c r="E1614" s="21" t="n">
        <x:f>IF('Reserve Ledger'!J14=IF('Reserve Ledger'!I14&gt;=1,"ADEQUATE","GAP"),1,0)</x:f>
        <x:v>1</x:v>
      </x:c>
      <x:c r="F1614" s="21" t="n">
        <x:v>1</x:v>
      </x:c>
      <x:c r="G1614" s="23" t="str">
        <x:f>IF(E1614=F1614,"PASS","FAIL")</x:f>
        <x:v>PASS</x:v>
      </x:c>
    </x:row>
    <x:row r="1615">
      <x:c r="B1615" s="21" t="str">
        <x:v>C1609</x:v>
      </x:c>
      <x:c r="C1615" s="21" t="str">
        <x:v>reserve ledger</x:v>
      </x:c>
      <x:c r="D1615" s="21" t="str">
        <x:v>post-service identity row 15</x:v>
      </x:c>
      <x:c r="E1615" s="21" t="n">
        <x:f>IF(ABS('Reserve Ledger'!H15-MAX(0,'Reserve Ledger'!E15-'Reserve Ledger'!F15))&lt;0.000001,1,0)</x:f>
        <x:v>1</x:v>
      </x:c>
      <x:c r="F1615" s="21" t="n">
        <x:v>1</x:v>
      </x:c>
      <x:c r="G1615" s="23" t="str">
        <x:f>IF(E1615=F1615,"PASS","FAIL")</x:f>
        <x:v>PASS</x:v>
      </x:c>
    </x:row>
    <x:row r="1616">
      <x:c r="B1616" s="21" t="str">
        <x:v>C1610</x:v>
      </x:c>
      <x:c r="C1616" s="21" t="str">
        <x:v>reserve ledger</x:v>
      </x:c>
      <x:c r="D1616" s="21" t="str">
        <x:v>reserve ratio identity row 15</x:v>
      </x:c>
      <x:c r="E1616" s="21" t="n">
        <x:f>IF(ABS('Reserve Ledger'!I15-'Reserve Ledger'!H15/'Reserve Ledger'!G15)&lt;0.000001,1,0)</x:f>
        <x:v>1</x:v>
      </x:c>
      <x:c r="F1616" s="21" t="n">
        <x:v>1</x:v>
      </x:c>
      <x:c r="G1616" s="23" t="str">
        <x:f>IF(E1616=F1616,"PASS","FAIL")</x:f>
        <x:v>PASS</x:v>
      </x:c>
    </x:row>
    <x:row r="1617">
      <x:c r="B1617" s="21" t="str">
        <x:v>C1611</x:v>
      </x:c>
      <x:c r="C1617" s="21" t="str">
        <x:v>reserve ledger</x:v>
      </x:c>
      <x:c r="D1617" s="21" t="str">
        <x:v>reserve status identity row 15</x:v>
      </x:c>
      <x:c r="E1617" s="21" t="n">
        <x:f>IF('Reserve Ledger'!J15=IF('Reserve Ledger'!I15&gt;=1,"ADEQUATE","GAP"),1,0)</x:f>
        <x:v>1</x:v>
      </x:c>
      <x:c r="F1617" s="21" t="n">
        <x:v>1</x:v>
      </x:c>
      <x:c r="G1617" s="23" t="str">
        <x:f>IF(E1617=F1617,"PASS","FAIL")</x:f>
        <x:v>PASS</x:v>
      </x:c>
    </x:row>
    <x:row r="1618">
      <x:c r="B1618" s="21" t="str">
        <x:v>C1612</x:v>
      </x:c>
      <x:c r="C1618" s="21" t="str">
        <x:v>reserve ledger</x:v>
      </x:c>
      <x:c r="D1618" s="21" t="str">
        <x:v>post-service identity row 16</x:v>
      </x:c>
      <x:c r="E1618" s="21" t="n">
        <x:f>IF(ABS('Reserve Ledger'!H16-MAX(0,'Reserve Ledger'!E16-'Reserve Ledger'!F16))&lt;0.000001,1,0)</x:f>
        <x:v>1</x:v>
      </x:c>
      <x:c r="F1618" s="21" t="n">
        <x:v>1</x:v>
      </x:c>
      <x:c r="G1618" s="23" t="str">
        <x:f>IF(E1618=F1618,"PASS","FAIL")</x:f>
        <x:v>PASS</x:v>
      </x:c>
    </x:row>
    <x:row r="1619">
      <x:c r="B1619" s="21" t="str">
        <x:v>C1613</x:v>
      </x:c>
      <x:c r="C1619" s="21" t="str">
        <x:v>reserve ledger</x:v>
      </x:c>
      <x:c r="D1619" s="21" t="str">
        <x:v>reserve ratio identity row 16</x:v>
      </x:c>
      <x:c r="E1619" s="21" t="n">
        <x:f>IF(ABS('Reserve Ledger'!I16-'Reserve Ledger'!H16/'Reserve Ledger'!G16)&lt;0.000001,1,0)</x:f>
        <x:v>1</x:v>
      </x:c>
      <x:c r="F1619" s="21" t="n">
        <x:v>1</x:v>
      </x:c>
      <x:c r="G1619" s="23" t="str">
        <x:f>IF(E1619=F1619,"PASS","FAIL")</x:f>
        <x:v>PASS</x:v>
      </x:c>
    </x:row>
    <x:row r="1620">
      <x:c r="B1620" s="21" t="str">
        <x:v>C1614</x:v>
      </x:c>
      <x:c r="C1620" s="21" t="str">
        <x:v>reserve ledger</x:v>
      </x:c>
      <x:c r="D1620" s="21" t="str">
        <x:v>reserve status identity row 16</x:v>
      </x:c>
      <x:c r="E1620" s="21" t="n">
        <x:f>IF('Reserve Ledger'!J16=IF('Reserve Ledger'!I16&gt;=1,"ADEQUATE","GAP"),1,0)</x:f>
        <x:v>1</x:v>
      </x:c>
      <x:c r="F1620" s="21" t="n">
        <x:v>1</x:v>
      </x:c>
      <x:c r="G1620" s="23" t="str">
        <x:f>IF(E1620=F1620,"PASS","FAIL")</x:f>
        <x:v>PASS</x:v>
      </x:c>
    </x:row>
    <x:row r="1621">
      <x:c r="B1621" s="21" t="str">
        <x:v>C1615</x:v>
      </x:c>
      <x:c r="C1621" s="21" t="str">
        <x:v>reserve ledger</x:v>
      </x:c>
      <x:c r="D1621" s="21" t="str">
        <x:v>post-service identity row 17</x:v>
      </x:c>
      <x:c r="E1621" s="21" t="n">
        <x:f>IF(ABS('Reserve Ledger'!H17-MAX(0,'Reserve Ledger'!E17-'Reserve Ledger'!F17))&lt;0.000001,1,0)</x:f>
        <x:v>1</x:v>
      </x:c>
      <x:c r="F1621" s="21" t="n">
        <x:v>1</x:v>
      </x:c>
      <x:c r="G1621" s="23" t="str">
        <x:f>IF(E1621=F1621,"PASS","FAIL")</x:f>
        <x:v>PASS</x:v>
      </x:c>
    </x:row>
    <x:row r="1622">
      <x:c r="B1622" s="21" t="str">
        <x:v>C1616</x:v>
      </x:c>
      <x:c r="C1622" s="21" t="str">
        <x:v>reserve ledger</x:v>
      </x:c>
      <x:c r="D1622" s="21" t="str">
        <x:v>reserve ratio identity row 17</x:v>
      </x:c>
      <x:c r="E1622" s="21" t="n">
        <x:f>IF(ABS('Reserve Ledger'!I17-'Reserve Ledger'!H17/'Reserve Ledger'!G17)&lt;0.000001,1,0)</x:f>
        <x:v>1</x:v>
      </x:c>
      <x:c r="F1622" s="21" t="n">
        <x:v>1</x:v>
      </x:c>
      <x:c r="G1622" s="23" t="str">
        <x:f>IF(E1622=F1622,"PASS","FAIL")</x:f>
        <x:v>PASS</x:v>
      </x:c>
    </x:row>
    <x:row r="1623">
      <x:c r="B1623" s="21" t="str">
        <x:v>C1617</x:v>
      </x:c>
      <x:c r="C1623" s="21" t="str">
        <x:v>reserve ledger</x:v>
      </x:c>
      <x:c r="D1623" s="21" t="str">
        <x:v>reserve status identity row 17</x:v>
      </x:c>
      <x:c r="E1623" s="21" t="n">
        <x:f>IF('Reserve Ledger'!J17=IF('Reserve Ledger'!I17&gt;=1,"ADEQUATE","GAP"),1,0)</x:f>
        <x:v>1</x:v>
      </x:c>
      <x:c r="F1623" s="21" t="n">
        <x:v>1</x:v>
      </x:c>
      <x:c r="G1623" s="23" t="str">
        <x:f>IF(E1623=F1623,"PASS","FAIL")</x:f>
        <x:v>PASS</x:v>
      </x:c>
    </x:row>
    <x:row r="1624">
      <x:c r="B1624" s="21" t="str">
        <x:v>C1618</x:v>
      </x:c>
      <x:c r="C1624" s="21" t="str">
        <x:v>reserve ledger</x:v>
      </x:c>
      <x:c r="D1624" s="21" t="str">
        <x:v>post-service identity row 18</x:v>
      </x:c>
      <x:c r="E1624" s="21" t="n">
        <x:f>IF(ABS('Reserve Ledger'!H18-MAX(0,'Reserve Ledger'!E18-'Reserve Ledger'!F18))&lt;0.000001,1,0)</x:f>
        <x:v>1</x:v>
      </x:c>
      <x:c r="F1624" s="21" t="n">
        <x:v>1</x:v>
      </x:c>
      <x:c r="G1624" s="23" t="str">
        <x:f>IF(E1624=F1624,"PASS","FAIL")</x:f>
        <x:v>PASS</x:v>
      </x:c>
    </x:row>
    <x:row r="1625">
      <x:c r="B1625" s="21" t="str">
        <x:v>C1619</x:v>
      </x:c>
      <x:c r="C1625" s="21" t="str">
        <x:v>reserve ledger</x:v>
      </x:c>
      <x:c r="D1625" s="21" t="str">
        <x:v>reserve ratio identity row 18</x:v>
      </x:c>
      <x:c r="E1625" s="21" t="n">
        <x:f>IF(ABS('Reserve Ledger'!I18-'Reserve Ledger'!H18/'Reserve Ledger'!G18)&lt;0.000001,1,0)</x:f>
        <x:v>1</x:v>
      </x:c>
      <x:c r="F1625" s="21" t="n">
        <x:v>1</x:v>
      </x:c>
      <x:c r="G1625" s="23" t="str">
        <x:f>IF(E1625=F1625,"PASS","FAIL")</x:f>
        <x:v>PASS</x:v>
      </x:c>
    </x:row>
    <x:row r="1626">
      <x:c r="B1626" s="21" t="str">
        <x:v>C1620</x:v>
      </x:c>
      <x:c r="C1626" s="21" t="str">
        <x:v>reserve ledger</x:v>
      </x:c>
      <x:c r="D1626" s="21" t="str">
        <x:v>reserve status identity row 18</x:v>
      </x:c>
      <x:c r="E1626" s="21" t="n">
        <x:f>IF('Reserve Ledger'!J18=IF('Reserve Ledger'!I18&gt;=1,"ADEQUATE","GAP"),1,0)</x:f>
        <x:v>1</x:v>
      </x:c>
      <x:c r="F1626" s="21" t="n">
        <x:v>1</x:v>
      </x:c>
      <x:c r="G1626" s="23" t="str">
        <x:f>IF(E1626=F1626,"PASS","FAIL")</x:f>
        <x:v>PASS</x:v>
      </x:c>
    </x:row>
    <x:row r="1627">
      <x:c r="B1627" s="21" t="str">
        <x:v>C1621</x:v>
      </x:c>
      <x:c r="C1627" s="21" t="str">
        <x:v>reserve ledger</x:v>
      </x:c>
      <x:c r="D1627" s="21" t="str">
        <x:v>post-service identity row 19</x:v>
      </x:c>
      <x:c r="E1627" s="21" t="n">
        <x:f>IF(ABS('Reserve Ledger'!H19-MAX(0,'Reserve Ledger'!E19-'Reserve Ledger'!F19))&lt;0.000001,1,0)</x:f>
        <x:v>1</x:v>
      </x:c>
      <x:c r="F1627" s="21" t="n">
        <x:v>1</x:v>
      </x:c>
      <x:c r="G1627" s="23" t="str">
        <x:f>IF(E1627=F1627,"PASS","FAIL")</x:f>
        <x:v>PASS</x:v>
      </x:c>
    </x:row>
    <x:row r="1628">
      <x:c r="B1628" s="21" t="str">
        <x:v>C1622</x:v>
      </x:c>
      <x:c r="C1628" s="21" t="str">
        <x:v>reserve ledger</x:v>
      </x:c>
      <x:c r="D1628" s="21" t="str">
        <x:v>reserve ratio identity row 19</x:v>
      </x:c>
      <x:c r="E1628" s="21" t="n">
        <x:f>IF(ABS('Reserve Ledger'!I19-'Reserve Ledger'!H19/'Reserve Ledger'!G19)&lt;0.000001,1,0)</x:f>
        <x:v>1</x:v>
      </x:c>
      <x:c r="F1628" s="21" t="n">
        <x:v>1</x:v>
      </x:c>
      <x:c r="G1628" s="23" t="str">
        <x:f>IF(E1628=F1628,"PASS","FAIL")</x:f>
        <x:v>PASS</x:v>
      </x:c>
    </x:row>
    <x:row r="1629">
      <x:c r="B1629" s="21" t="str">
        <x:v>C1623</x:v>
      </x:c>
      <x:c r="C1629" s="21" t="str">
        <x:v>reserve ledger</x:v>
      </x:c>
      <x:c r="D1629" s="21" t="str">
        <x:v>reserve status identity row 19</x:v>
      </x:c>
      <x:c r="E1629" s="21" t="n">
        <x:f>IF('Reserve Ledger'!J19=IF('Reserve Ledger'!I19&gt;=1,"ADEQUATE","GAP"),1,0)</x:f>
        <x:v>1</x:v>
      </x:c>
      <x:c r="F1629" s="21" t="n">
        <x:v>1</x:v>
      </x:c>
      <x:c r="G1629" s="23" t="str">
        <x:f>IF(E1629=F1629,"PASS","FAIL")</x:f>
        <x:v>PASS</x:v>
      </x:c>
    </x:row>
    <x:row r="1630">
      <x:c r="B1630" s="21" t="str">
        <x:v>C1624</x:v>
      </x:c>
      <x:c r="C1630" s="21" t="str">
        <x:v>reserve ledger</x:v>
      </x:c>
      <x:c r="D1630" s="21" t="str">
        <x:v>post-service identity row 20</x:v>
      </x:c>
      <x:c r="E1630" s="21" t="n">
        <x:f>IF(ABS('Reserve Ledger'!H20-MAX(0,'Reserve Ledger'!E20-'Reserve Ledger'!F20))&lt;0.000001,1,0)</x:f>
        <x:v>1</x:v>
      </x:c>
      <x:c r="F1630" s="21" t="n">
        <x:v>1</x:v>
      </x:c>
      <x:c r="G1630" s="23" t="str">
        <x:f>IF(E1630=F1630,"PASS","FAIL")</x:f>
        <x:v>PASS</x:v>
      </x:c>
    </x:row>
    <x:row r="1631">
      <x:c r="B1631" s="21" t="str">
        <x:v>C1625</x:v>
      </x:c>
      <x:c r="C1631" s="21" t="str">
        <x:v>reserve ledger</x:v>
      </x:c>
      <x:c r="D1631" s="21" t="str">
        <x:v>reserve ratio identity row 20</x:v>
      </x:c>
      <x:c r="E1631" s="21" t="n">
        <x:f>IF(ABS('Reserve Ledger'!I20-'Reserve Ledger'!H20/'Reserve Ledger'!G20)&lt;0.000001,1,0)</x:f>
        <x:v>1</x:v>
      </x:c>
      <x:c r="F1631" s="21" t="n">
        <x:v>1</x:v>
      </x:c>
      <x:c r="G1631" s="23" t="str">
        <x:f>IF(E1631=F1631,"PASS","FAIL")</x:f>
        <x:v>PASS</x:v>
      </x:c>
    </x:row>
    <x:row r="1632">
      <x:c r="B1632" s="21" t="str">
        <x:v>C1626</x:v>
      </x:c>
      <x:c r="C1632" s="21" t="str">
        <x:v>reserve ledger</x:v>
      </x:c>
      <x:c r="D1632" s="21" t="str">
        <x:v>reserve status identity row 20</x:v>
      </x:c>
      <x:c r="E1632" s="21" t="n">
        <x:f>IF('Reserve Ledger'!J20=IF('Reserve Ledger'!I20&gt;=1,"ADEQUATE","GAP"),1,0)</x:f>
        <x:v>1</x:v>
      </x:c>
      <x:c r="F1632" s="21" t="n">
        <x:v>1</x:v>
      </x:c>
      <x:c r="G1632" s="23" t="str">
        <x:f>IF(E1632=F1632,"PASS","FAIL")</x:f>
        <x:v>PASS</x:v>
      </x:c>
    </x:row>
    <x:row r="1633">
      <x:c r="B1633" s="21" t="str">
        <x:v>C1627</x:v>
      </x:c>
      <x:c r="C1633" s="21" t="str">
        <x:v>reserve ledger</x:v>
      </x:c>
      <x:c r="D1633" s="21" t="str">
        <x:v>post-service identity row 21</x:v>
      </x:c>
      <x:c r="E1633" s="21" t="n">
        <x:f>IF(ABS('Reserve Ledger'!H21-MAX(0,'Reserve Ledger'!E21-'Reserve Ledger'!F21))&lt;0.000001,1,0)</x:f>
        <x:v>1</x:v>
      </x:c>
      <x:c r="F1633" s="21" t="n">
        <x:v>1</x:v>
      </x:c>
      <x:c r="G1633" s="23" t="str">
        <x:f>IF(E1633=F1633,"PASS","FAIL")</x:f>
        <x:v>PASS</x:v>
      </x:c>
    </x:row>
    <x:row r="1634">
      <x:c r="B1634" s="21" t="str">
        <x:v>C1628</x:v>
      </x:c>
      <x:c r="C1634" s="21" t="str">
        <x:v>reserve ledger</x:v>
      </x:c>
      <x:c r="D1634" s="21" t="str">
        <x:v>reserve ratio identity row 21</x:v>
      </x:c>
      <x:c r="E1634" s="21" t="n">
        <x:f>IF(ABS('Reserve Ledger'!I21-'Reserve Ledger'!H21/'Reserve Ledger'!G21)&lt;0.000001,1,0)</x:f>
        <x:v>1</x:v>
      </x:c>
      <x:c r="F1634" s="21" t="n">
        <x:v>1</x:v>
      </x:c>
      <x:c r="G1634" s="23" t="str">
        <x:f>IF(E1634=F1634,"PASS","FAIL")</x:f>
        <x:v>PASS</x:v>
      </x:c>
    </x:row>
    <x:row r="1635">
      <x:c r="B1635" s="21" t="str">
        <x:v>C1629</x:v>
      </x:c>
      <x:c r="C1635" s="21" t="str">
        <x:v>reserve ledger</x:v>
      </x:c>
      <x:c r="D1635" s="21" t="str">
        <x:v>reserve status identity row 21</x:v>
      </x:c>
      <x:c r="E1635" s="21" t="n">
        <x:f>IF('Reserve Ledger'!J21=IF('Reserve Ledger'!I21&gt;=1,"ADEQUATE","GAP"),1,0)</x:f>
        <x:v>1</x:v>
      </x:c>
      <x:c r="F1635" s="21" t="n">
        <x:v>1</x:v>
      </x:c>
      <x:c r="G1635" s="23" t="str">
        <x:f>IF(E1635=F1635,"PASS","FAIL")</x:f>
        <x:v>PASS</x:v>
      </x:c>
    </x:row>
    <x:row r="1636">
      <x:c r="B1636" s="21" t="str">
        <x:v>C1630</x:v>
      </x:c>
      <x:c r="C1636" s="21" t="str">
        <x:v>reserve ledger</x:v>
      </x:c>
      <x:c r="D1636" s="21" t="str">
        <x:v>post-service identity row 22</x:v>
      </x:c>
      <x:c r="E1636" s="21" t="n">
        <x:f>IF(ABS('Reserve Ledger'!H22-MAX(0,'Reserve Ledger'!E22-'Reserve Ledger'!F22))&lt;0.000001,1,0)</x:f>
        <x:v>1</x:v>
      </x:c>
      <x:c r="F1636" s="21" t="n">
        <x:v>1</x:v>
      </x:c>
      <x:c r="G1636" s="23" t="str">
        <x:f>IF(E1636=F1636,"PASS","FAIL")</x:f>
        <x:v>PASS</x:v>
      </x:c>
    </x:row>
    <x:row r="1637">
      <x:c r="B1637" s="21" t="str">
        <x:v>C1631</x:v>
      </x:c>
      <x:c r="C1637" s="21" t="str">
        <x:v>reserve ledger</x:v>
      </x:c>
      <x:c r="D1637" s="21" t="str">
        <x:v>reserve ratio identity row 22</x:v>
      </x:c>
      <x:c r="E1637" s="21" t="n">
        <x:f>IF(ABS('Reserve Ledger'!I22-'Reserve Ledger'!H22/'Reserve Ledger'!G22)&lt;0.000001,1,0)</x:f>
        <x:v>1</x:v>
      </x:c>
      <x:c r="F1637" s="21" t="n">
        <x:v>1</x:v>
      </x:c>
      <x:c r="G1637" s="23" t="str">
        <x:f>IF(E1637=F1637,"PASS","FAIL")</x:f>
        <x:v>PASS</x:v>
      </x:c>
    </x:row>
    <x:row r="1638">
      <x:c r="B1638" s="21" t="str">
        <x:v>C1632</x:v>
      </x:c>
      <x:c r="C1638" s="21" t="str">
        <x:v>reserve ledger</x:v>
      </x:c>
      <x:c r="D1638" s="21" t="str">
        <x:v>reserve status identity row 22</x:v>
      </x:c>
      <x:c r="E1638" s="21" t="n">
        <x:f>IF('Reserve Ledger'!J22=IF('Reserve Ledger'!I22&gt;=1,"ADEQUATE","GAP"),1,0)</x:f>
        <x:v>1</x:v>
      </x:c>
      <x:c r="F1638" s="21" t="n">
        <x:v>1</x:v>
      </x:c>
      <x:c r="G1638" s="23" t="str">
        <x:f>IF(E1638=F1638,"PASS","FAIL")</x:f>
        <x:v>PASS</x:v>
      </x:c>
    </x:row>
    <x:row r="1639">
      <x:c r="B1639" s="21" t="str">
        <x:v>C1633</x:v>
      </x:c>
      <x:c r="C1639" s="21" t="str">
        <x:v>reserve ledger</x:v>
      </x:c>
      <x:c r="D1639" s="21" t="str">
        <x:v>post-service identity row 23</x:v>
      </x:c>
      <x:c r="E1639" s="21" t="n">
        <x:f>IF(ABS('Reserve Ledger'!H23-MAX(0,'Reserve Ledger'!E23-'Reserve Ledger'!F23))&lt;0.000001,1,0)</x:f>
        <x:v>1</x:v>
      </x:c>
      <x:c r="F1639" s="21" t="n">
        <x:v>1</x:v>
      </x:c>
      <x:c r="G1639" s="23" t="str">
        <x:f>IF(E1639=F1639,"PASS","FAIL")</x:f>
        <x:v>PASS</x:v>
      </x:c>
    </x:row>
    <x:row r="1640">
      <x:c r="B1640" s="21" t="str">
        <x:v>C1634</x:v>
      </x:c>
      <x:c r="C1640" s="21" t="str">
        <x:v>reserve ledger</x:v>
      </x:c>
      <x:c r="D1640" s="21" t="str">
        <x:v>reserve ratio identity row 23</x:v>
      </x:c>
      <x:c r="E1640" s="21" t="n">
        <x:f>IF(ABS('Reserve Ledger'!I23-'Reserve Ledger'!H23/'Reserve Ledger'!G23)&lt;0.000001,1,0)</x:f>
        <x:v>1</x:v>
      </x:c>
      <x:c r="F1640" s="21" t="n">
        <x:v>1</x:v>
      </x:c>
      <x:c r="G1640" s="23" t="str">
        <x:f>IF(E1640=F1640,"PASS","FAIL")</x:f>
        <x:v>PASS</x:v>
      </x:c>
    </x:row>
    <x:row r="1641">
      <x:c r="B1641" s="21" t="str">
        <x:v>C1635</x:v>
      </x:c>
      <x:c r="C1641" s="21" t="str">
        <x:v>reserve ledger</x:v>
      </x:c>
      <x:c r="D1641" s="21" t="str">
        <x:v>reserve status identity row 23</x:v>
      </x:c>
      <x:c r="E1641" s="21" t="n">
        <x:f>IF('Reserve Ledger'!J23=IF('Reserve Ledger'!I23&gt;=1,"ADEQUATE","GAP"),1,0)</x:f>
        <x:v>1</x:v>
      </x:c>
      <x:c r="F1641" s="21" t="n">
        <x:v>1</x:v>
      </x:c>
      <x:c r="G1641" s="23" t="str">
        <x:f>IF(E1641=F1641,"PASS","FAIL")</x:f>
        <x:v>PASS</x:v>
      </x:c>
    </x:row>
    <x:row r="1642">
      <x:c r="B1642" s="21" t="str">
        <x:v>C1636</x:v>
      </x:c>
      <x:c r="C1642" s="21" t="str">
        <x:v>reserve ledger</x:v>
      </x:c>
      <x:c r="D1642" s="21" t="str">
        <x:v>post-service identity row 24</x:v>
      </x:c>
      <x:c r="E1642" s="21" t="n">
        <x:f>IF(ABS('Reserve Ledger'!H24-MAX(0,'Reserve Ledger'!E24-'Reserve Ledger'!F24))&lt;0.000001,1,0)</x:f>
        <x:v>1</x:v>
      </x:c>
      <x:c r="F1642" s="21" t="n">
        <x:v>1</x:v>
      </x:c>
      <x:c r="G1642" s="23" t="str">
        <x:f>IF(E1642=F1642,"PASS","FAIL")</x:f>
        <x:v>PASS</x:v>
      </x:c>
    </x:row>
    <x:row r="1643">
      <x:c r="B1643" s="21" t="str">
        <x:v>C1637</x:v>
      </x:c>
      <x:c r="C1643" s="21" t="str">
        <x:v>reserve ledger</x:v>
      </x:c>
      <x:c r="D1643" s="21" t="str">
        <x:v>reserve ratio identity row 24</x:v>
      </x:c>
      <x:c r="E1643" s="21" t="n">
        <x:f>IF(ABS('Reserve Ledger'!I24-'Reserve Ledger'!H24/'Reserve Ledger'!G24)&lt;0.000001,1,0)</x:f>
        <x:v>1</x:v>
      </x:c>
      <x:c r="F1643" s="21" t="n">
        <x:v>1</x:v>
      </x:c>
      <x:c r="G1643" s="23" t="str">
        <x:f>IF(E1643=F1643,"PASS","FAIL")</x:f>
        <x:v>PASS</x:v>
      </x:c>
    </x:row>
    <x:row r="1644">
      <x:c r="B1644" s="21" t="str">
        <x:v>C1638</x:v>
      </x:c>
      <x:c r="C1644" s="21" t="str">
        <x:v>reserve ledger</x:v>
      </x:c>
      <x:c r="D1644" s="21" t="str">
        <x:v>reserve status identity row 24</x:v>
      </x:c>
      <x:c r="E1644" s="21" t="n">
        <x:f>IF('Reserve Ledger'!J24=IF('Reserve Ledger'!I24&gt;=1,"ADEQUATE","GAP"),1,0)</x:f>
        <x:v>1</x:v>
      </x:c>
      <x:c r="F1644" s="21" t="n">
        <x:v>1</x:v>
      </x:c>
      <x:c r="G1644" s="23" t="str">
        <x:f>IF(E1644=F1644,"PASS","FAIL")</x:f>
        <x:v>PASS</x:v>
      </x:c>
    </x:row>
    <x:row r="1645">
      <x:c r="B1645" s="21" t="str">
        <x:v>C1639</x:v>
      </x:c>
      <x:c r="C1645" s="21" t="str">
        <x:v>reserve ledger</x:v>
      </x:c>
      <x:c r="D1645" s="21" t="str">
        <x:v>post-service identity row 25</x:v>
      </x:c>
      <x:c r="E1645" s="21" t="n">
        <x:f>IF(ABS('Reserve Ledger'!H25-MAX(0,'Reserve Ledger'!E25-'Reserve Ledger'!F25))&lt;0.000001,1,0)</x:f>
        <x:v>1</x:v>
      </x:c>
      <x:c r="F1645" s="21" t="n">
        <x:v>1</x:v>
      </x:c>
      <x:c r="G1645" s="23" t="str">
        <x:f>IF(E1645=F1645,"PASS","FAIL")</x:f>
        <x:v>PASS</x:v>
      </x:c>
    </x:row>
    <x:row r="1646">
      <x:c r="B1646" s="21" t="str">
        <x:v>C1640</x:v>
      </x:c>
      <x:c r="C1646" s="21" t="str">
        <x:v>reserve ledger</x:v>
      </x:c>
      <x:c r="D1646" s="21" t="str">
        <x:v>reserve ratio identity row 25</x:v>
      </x:c>
      <x:c r="E1646" s="21" t="n">
        <x:f>IF(ABS('Reserve Ledger'!I25-'Reserve Ledger'!H25/'Reserve Ledger'!G25)&lt;0.000001,1,0)</x:f>
        <x:v>1</x:v>
      </x:c>
      <x:c r="F1646" s="21" t="n">
        <x:v>1</x:v>
      </x:c>
      <x:c r="G1646" s="23" t="str">
        <x:f>IF(E1646=F1646,"PASS","FAIL")</x:f>
        <x:v>PASS</x:v>
      </x:c>
    </x:row>
    <x:row r="1647">
      <x:c r="B1647" s="21" t="str">
        <x:v>C1641</x:v>
      </x:c>
      <x:c r="C1647" s="21" t="str">
        <x:v>reserve ledger</x:v>
      </x:c>
      <x:c r="D1647" s="21" t="str">
        <x:v>reserve status identity row 25</x:v>
      </x:c>
      <x:c r="E1647" s="21" t="n">
        <x:f>IF('Reserve Ledger'!J25=IF('Reserve Ledger'!I25&gt;=1,"ADEQUATE","GAP"),1,0)</x:f>
        <x:v>1</x:v>
      </x:c>
      <x:c r="F1647" s="21" t="n">
        <x:v>1</x:v>
      </x:c>
      <x:c r="G1647" s="23" t="str">
        <x:f>IF(E1647=F1647,"PASS","FAIL")</x:f>
        <x:v>PASS</x:v>
      </x:c>
    </x:row>
    <x:row r="1648">
      <x:c r="B1648" s="21" t="str">
        <x:v>C1642</x:v>
      </x:c>
      <x:c r="C1648" s="21" t="str">
        <x:v>reserve ledger</x:v>
      </x:c>
      <x:c r="D1648" s="21" t="str">
        <x:v>post-service identity row 26</x:v>
      </x:c>
      <x:c r="E1648" s="21" t="n">
        <x:f>IF(ABS('Reserve Ledger'!H26-MAX(0,'Reserve Ledger'!E26-'Reserve Ledger'!F26))&lt;0.000001,1,0)</x:f>
        <x:v>1</x:v>
      </x:c>
      <x:c r="F1648" s="21" t="n">
        <x:v>1</x:v>
      </x:c>
      <x:c r="G1648" s="23" t="str">
        <x:f>IF(E1648=F1648,"PASS","FAIL")</x:f>
        <x:v>PASS</x:v>
      </x:c>
    </x:row>
    <x:row r="1649">
      <x:c r="B1649" s="21" t="str">
        <x:v>C1643</x:v>
      </x:c>
      <x:c r="C1649" s="21" t="str">
        <x:v>reserve ledger</x:v>
      </x:c>
      <x:c r="D1649" s="21" t="str">
        <x:v>reserve ratio identity row 26</x:v>
      </x:c>
      <x:c r="E1649" s="21" t="n">
        <x:f>IF(ABS('Reserve Ledger'!I26-'Reserve Ledger'!H26/'Reserve Ledger'!G26)&lt;0.000001,1,0)</x:f>
        <x:v>1</x:v>
      </x:c>
      <x:c r="F1649" s="21" t="n">
        <x:v>1</x:v>
      </x:c>
      <x:c r="G1649" s="23" t="str">
        <x:f>IF(E1649=F1649,"PASS","FAIL")</x:f>
        <x:v>PASS</x:v>
      </x:c>
    </x:row>
    <x:row r="1650">
      <x:c r="B1650" s="21" t="str">
        <x:v>C1644</x:v>
      </x:c>
      <x:c r="C1650" s="21" t="str">
        <x:v>reserve ledger</x:v>
      </x:c>
      <x:c r="D1650" s="21" t="str">
        <x:v>reserve status identity row 26</x:v>
      </x:c>
      <x:c r="E1650" s="21" t="n">
        <x:f>IF('Reserve Ledger'!J26=IF('Reserve Ledger'!I26&gt;=1,"ADEQUATE","GAP"),1,0)</x:f>
        <x:v>1</x:v>
      </x:c>
      <x:c r="F1650" s="21" t="n">
        <x:v>1</x:v>
      </x:c>
      <x:c r="G1650" s="23" t="str">
        <x:f>IF(E1650=F1650,"PASS","FAIL")</x:f>
        <x:v>PASS</x:v>
      </x:c>
    </x:row>
    <x:row r="1651">
      <x:c r="B1651" s="21" t="str">
        <x:v>C1645</x:v>
      </x:c>
      <x:c r="C1651" s="21" t="str">
        <x:v>reserve ledger</x:v>
      </x:c>
      <x:c r="D1651" s="21" t="str">
        <x:v>post-service identity row 27</x:v>
      </x:c>
      <x:c r="E1651" s="21" t="n">
        <x:f>IF(ABS('Reserve Ledger'!H27-MAX(0,'Reserve Ledger'!E27-'Reserve Ledger'!F27))&lt;0.000001,1,0)</x:f>
        <x:v>1</x:v>
      </x:c>
      <x:c r="F1651" s="21" t="n">
        <x:v>1</x:v>
      </x:c>
      <x:c r="G1651" s="23" t="str">
        <x:f>IF(E1651=F1651,"PASS","FAIL")</x:f>
        <x:v>PASS</x:v>
      </x:c>
    </x:row>
    <x:row r="1652">
      <x:c r="B1652" s="21" t="str">
        <x:v>C1646</x:v>
      </x:c>
      <x:c r="C1652" s="21" t="str">
        <x:v>reserve ledger</x:v>
      </x:c>
      <x:c r="D1652" s="21" t="str">
        <x:v>reserve ratio identity row 27</x:v>
      </x:c>
      <x:c r="E1652" s="21" t="n">
        <x:f>IF(ABS('Reserve Ledger'!I27-'Reserve Ledger'!H27/'Reserve Ledger'!G27)&lt;0.000001,1,0)</x:f>
        <x:v>1</x:v>
      </x:c>
      <x:c r="F1652" s="21" t="n">
        <x:v>1</x:v>
      </x:c>
      <x:c r="G1652" s="23" t="str">
        <x:f>IF(E1652=F1652,"PASS","FAIL")</x:f>
        <x:v>PASS</x:v>
      </x:c>
    </x:row>
    <x:row r="1653">
      <x:c r="B1653" s="21" t="str">
        <x:v>C1647</x:v>
      </x:c>
      <x:c r="C1653" s="21" t="str">
        <x:v>reserve ledger</x:v>
      </x:c>
      <x:c r="D1653" s="21" t="str">
        <x:v>reserve status identity row 27</x:v>
      </x:c>
      <x:c r="E1653" s="21" t="n">
        <x:f>IF('Reserve Ledger'!J27=IF('Reserve Ledger'!I27&gt;=1,"ADEQUATE","GAP"),1,0)</x:f>
        <x:v>1</x:v>
      </x:c>
      <x:c r="F1653" s="21" t="n">
        <x:v>1</x:v>
      </x:c>
      <x:c r="G1653" s="23" t="str">
        <x:f>IF(E1653=F1653,"PASS","FAIL")</x:f>
        <x:v>PASS</x:v>
      </x:c>
    </x:row>
    <x:row r="1654">
      <x:c r="B1654" s="21" t="str">
        <x:v>C1648</x:v>
      </x:c>
      <x:c r="C1654" s="21" t="str">
        <x:v>reserve ledger</x:v>
      </x:c>
      <x:c r="D1654" s="21" t="str">
        <x:v>post-service identity row 28</x:v>
      </x:c>
      <x:c r="E1654" s="21" t="n">
        <x:f>IF(ABS('Reserve Ledger'!H28-MAX(0,'Reserve Ledger'!E28-'Reserve Ledger'!F28))&lt;0.000001,1,0)</x:f>
        <x:v>1</x:v>
      </x:c>
      <x:c r="F1654" s="21" t="n">
        <x:v>1</x:v>
      </x:c>
      <x:c r="G1654" s="23" t="str">
        <x:f>IF(E1654=F1654,"PASS","FAIL")</x:f>
        <x:v>PASS</x:v>
      </x:c>
    </x:row>
    <x:row r="1655">
      <x:c r="B1655" s="21" t="str">
        <x:v>C1649</x:v>
      </x:c>
      <x:c r="C1655" s="21" t="str">
        <x:v>reserve ledger</x:v>
      </x:c>
      <x:c r="D1655" s="21" t="str">
        <x:v>reserve ratio identity row 28</x:v>
      </x:c>
      <x:c r="E1655" s="21" t="n">
        <x:f>IF(ABS('Reserve Ledger'!I28-'Reserve Ledger'!H28/'Reserve Ledger'!G28)&lt;0.000001,1,0)</x:f>
        <x:v>1</x:v>
      </x:c>
      <x:c r="F1655" s="21" t="n">
        <x:v>1</x:v>
      </x:c>
      <x:c r="G1655" s="23" t="str">
        <x:f>IF(E1655=F1655,"PASS","FAIL")</x:f>
        <x:v>PASS</x:v>
      </x:c>
    </x:row>
    <x:row r="1656">
      <x:c r="B1656" s="21" t="str">
        <x:v>C1650</x:v>
      </x:c>
      <x:c r="C1656" s="21" t="str">
        <x:v>reserve ledger</x:v>
      </x:c>
      <x:c r="D1656" s="21" t="str">
        <x:v>reserve status identity row 28</x:v>
      </x:c>
      <x:c r="E1656" s="21" t="n">
        <x:f>IF('Reserve Ledger'!J28=IF('Reserve Ledger'!I28&gt;=1,"ADEQUATE","GAP"),1,0)</x:f>
        <x:v>1</x:v>
      </x:c>
      <x:c r="F1656" s="21" t="n">
        <x:v>1</x:v>
      </x:c>
      <x:c r="G1656" s="23" t="str">
        <x:f>IF(E1656=F1656,"PASS","FAIL")</x:f>
        <x:v>PASS</x:v>
      </x:c>
    </x:row>
    <x:row r="1657">
      <x:c r="B1657" s="21" t="str">
        <x:v>C1651</x:v>
      </x:c>
      <x:c r="C1657" s="21" t="str">
        <x:v>reserve ledger</x:v>
      </x:c>
      <x:c r="D1657" s="21" t="str">
        <x:v>post-service identity row 29</x:v>
      </x:c>
      <x:c r="E1657" s="21" t="n">
        <x:f>IF(ABS('Reserve Ledger'!H29-MAX(0,'Reserve Ledger'!E29-'Reserve Ledger'!F29))&lt;0.000001,1,0)</x:f>
        <x:v>1</x:v>
      </x:c>
      <x:c r="F1657" s="21" t="n">
        <x:v>1</x:v>
      </x:c>
      <x:c r="G1657" s="23" t="str">
        <x:f>IF(E1657=F1657,"PASS","FAIL")</x:f>
        <x:v>PASS</x:v>
      </x:c>
    </x:row>
    <x:row r="1658">
      <x:c r="B1658" s="21" t="str">
        <x:v>C1652</x:v>
      </x:c>
      <x:c r="C1658" s="21" t="str">
        <x:v>reserve ledger</x:v>
      </x:c>
      <x:c r="D1658" s="21" t="str">
        <x:v>reserve ratio identity row 29</x:v>
      </x:c>
      <x:c r="E1658" s="21" t="n">
        <x:f>IF(ABS('Reserve Ledger'!I29-'Reserve Ledger'!H29/'Reserve Ledger'!G29)&lt;0.000001,1,0)</x:f>
        <x:v>1</x:v>
      </x:c>
      <x:c r="F1658" s="21" t="n">
        <x:v>1</x:v>
      </x:c>
      <x:c r="G1658" s="23" t="str">
        <x:f>IF(E1658=F1658,"PASS","FAIL")</x:f>
        <x:v>PASS</x:v>
      </x:c>
    </x:row>
    <x:row r="1659">
      <x:c r="B1659" s="21" t="str">
        <x:v>C1653</x:v>
      </x:c>
      <x:c r="C1659" s="21" t="str">
        <x:v>reserve ledger</x:v>
      </x:c>
      <x:c r="D1659" s="21" t="str">
        <x:v>reserve status identity row 29</x:v>
      </x:c>
      <x:c r="E1659" s="21" t="n">
        <x:f>IF('Reserve Ledger'!J29=IF('Reserve Ledger'!I29&gt;=1,"ADEQUATE","GAP"),1,0)</x:f>
        <x:v>1</x:v>
      </x:c>
      <x:c r="F1659" s="21" t="n">
        <x:v>1</x:v>
      </x:c>
      <x:c r="G1659" s="23" t="str">
        <x:f>IF(E1659=F1659,"PASS","FAIL")</x:f>
        <x:v>PASS</x:v>
      </x:c>
    </x:row>
    <x:row r="1660">
      <x:c r="B1660" s="21" t="str">
        <x:v>C1654</x:v>
      </x:c>
      <x:c r="C1660" s="21" t="str">
        <x:v>reserve ledger</x:v>
      </x:c>
      <x:c r="D1660" s="21" t="str">
        <x:v>post-service identity row 30</x:v>
      </x:c>
      <x:c r="E1660" s="21" t="n">
        <x:f>IF(ABS('Reserve Ledger'!H30-MAX(0,'Reserve Ledger'!E30-'Reserve Ledger'!F30))&lt;0.000001,1,0)</x:f>
        <x:v>1</x:v>
      </x:c>
      <x:c r="F1660" s="21" t="n">
        <x:v>1</x:v>
      </x:c>
      <x:c r="G1660" s="23" t="str">
        <x:f>IF(E1660=F1660,"PASS","FAIL")</x:f>
        <x:v>PASS</x:v>
      </x:c>
    </x:row>
    <x:row r="1661">
      <x:c r="B1661" s="21" t="str">
        <x:v>C1655</x:v>
      </x:c>
      <x:c r="C1661" s="21" t="str">
        <x:v>reserve ledger</x:v>
      </x:c>
      <x:c r="D1661" s="21" t="str">
        <x:v>reserve ratio identity row 30</x:v>
      </x:c>
      <x:c r="E1661" s="21" t="n">
        <x:f>IF(ABS('Reserve Ledger'!I30-'Reserve Ledger'!H30/'Reserve Ledger'!G30)&lt;0.000001,1,0)</x:f>
        <x:v>1</x:v>
      </x:c>
      <x:c r="F1661" s="21" t="n">
        <x:v>1</x:v>
      </x:c>
      <x:c r="G1661" s="23" t="str">
        <x:f>IF(E1661=F1661,"PASS","FAIL")</x:f>
        <x:v>PASS</x:v>
      </x:c>
    </x:row>
    <x:row r="1662">
      <x:c r="B1662" s="21" t="str">
        <x:v>C1656</x:v>
      </x:c>
      <x:c r="C1662" s="21" t="str">
        <x:v>reserve ledger</x:v>
      </x:c>
      <x:c r="D1662" s="21" t="str">
        <x:v>reserve status identity row 30</x:v>
      </x:c>
      <x:c r="E1662" s="21" t="n">
        <x:f>IF('Reserve Ledger'!J30=IF('Reserve Ledger'!I30&gt;=1,"ADEQUATE","GAP"),1,0)</x:f>
        <x:v>1</x:v>
      </x:c>
      <x:c r="F1662" s="21" t="n">
        <x:v>1</x:v>
      </x:c>
      <x:c r="G1662" s="23" t="str">
        <x:f>IF(E1662=F1662,"PASS","FAIL")</x:f>
        <x:v>PASS</x:v>
      </x:c>
    </x:row>
    <x:row r="1663">
      <x:c r="B1663" s="21" t="str">
        <x:v>C1657</x:v>
      </x:c>
      <x:c r="C1663" s="21" t="str">
        <x:v>reserve ledger</x:v>
      </x:c>
      <x:c r="D1663" s="21" t="str">
        <x:v>post-service identity row 31</x:v>
      </x:c>
      <x:c r="E1663" s="21" t="n">
        <x:f>IF(ABS('Reserve Ledger'!H31-MAX(0,'Reserve Ledger'!E31-'Reserve Ledger'!F31))&lt;0.000001,1,0)</x:f>
        <x:v>1</x:v>
      </x:c>
      <x:c r="F1663" s="21" t="n">
        <x:v>1</x:v>
      </x:c>
      <x:c r="G1663" s="23" t="str">
        <x:f>IF(E1663=F1663,"PASS","FAIL")</x:f>
        <x:v>PASS</x:v>
      </x:c>
    </x:row>
    <x:row r="1664">
      <x:c r="B1664" s="21" t="str">
        <x:v>C1658</x:v>
      </x:c>
      <x:c r="C1664" s="21" t="str">
        <x:v>reserve ledger</x:v>
      </x:c>
      <x:c r="D1664" s="21" t="str">
        <x:v>reserve ratio identity row 31</x:v>
      </x:c>
      <x:c r="E1664" s="21" t="n">
        <x:f>IF(ABS('Reserve Ledger'!I31-'Reserve Ledger'!H31/'Reserve Ledger'!G31)&lt;0.000001,1,0)</x:f>
        <x:v>1</x:v>
      </x:c>
      <x:c r="F1664" s="21" t="n">
        <x:v>1</x:v>
      </x:c>
      <x:c r="G1664" s="23" t="str">
        <x:f>IF(E1664=F1664,"PASS","FAIL")</x:f>
        <x:v>PASS</x:v>
      </x:c>
    </x:row>
    <x:row r="1665">
      <x:c r="B1665" s="21" t="str">
        <x:v>C1659</x:v>
      </x:c>
      <x:c r="C1665" s="21" t="str">
        <x:v>reserve ledger</x:v>
      </x:c>
      <x:c r="D1665" s="21" t="str">
        <x:v>reserve status identity row 31</x:v>
      </x:c>
      <x:c r="E1665" s="21" t="n">
        <x:f>IF('Reserve Ledger'!J31=IF('Reserve Ledger'!I31&gt;=1,"ADEQUATE","GAP"),1,0)</x:f>
        <x:v>1</x:v>
      </x:c>
      <x:c r="F1665" s="21" t="n">
        <x:v>1</x:v>
      </x:c>
      <x:c r="G1665" s="23" t="str">
        <x:f>IF(E1665=F1665,"PASS","FAIL")</x:f>
        <x:v>PASS</x:v>
      </x:c>
    </x:row>
    <x:row r="1666">
      <x:c r="B1666" s="21" t="str">
        <x:v>C1660</x:v>
      </x:c>
      <x:c r="C1666" s="21" t="str">
        <x:v>reserve ledger</x:v>
      </x:c>
      <x:c r="D1666" s="21" t="str">
        <x:v>post-service identity row 32</x:v>
      </x:c>
      <x:c r="E1666" s="21" t="n">
        <x:f>IF(ABS('Reserve Ledger'!H32-MAX(0,'Reserve Ledger'!E32-'Reserve Ledger'!F32))&lt;0.000001,1,0)</x:f>
        <x:v>1</x:v>
      </x:c>
      <x:c r="F1666" s="21" t="n">
        <x:v>1</x:v>
      </x:c>
      <x:c r="G1666" s="23" t="str">
        <x:f>IF(E1666=F1666,"PASS","FAIL")</x:f>
        <x:v>PASS</x:v>
      </x:c>
    </x:row>
    <x:row r="1667">
      <x:c r="B1667" s="21" t="str">
        <x:v>C1661</x:v>
      </x:c>
      <x:c r="C1667" s="21" t="str">
        <x:v>reserve ledger</x:v>
      </x:c>
      <x:c r="D1667" s="21" t="str">
        <x:v>reserve ratio identity row 32</x:v>
      </x:c>
      <x:c r="E1667" s="21" t="n">
        <x:f>IF(ABS('Reserve Ledger'!I32-'Reserve Ledger'!H32/'Reserve Ledger'!G32)&lt;0.000001,1,0)</x:f>
        <x:v>1</x:v>
      </x:c>
      <x:c r="F1667" s="21" t="n">
        <x:v>1</x:v>
      </x:c>
      <x:c r="G1667" s="23" t="str">
        <x:f>IF(E1667=F1667,"PASS","FAIL")</x:f>
        <x:v>PASS</x:v>
      </x:c>
    </x:row>
    <x:row r="1668">
      <x:c r="B1668" s="21" t="str">
        <x:v>C1662</x:v>
      </x:c>
      <x:c r="C1668" s="21" t="str">
        <x:v>reserve ledger</x:v>
      </x:c>
      <x:c r="D1668" s="21" t="str">
        <x:v>reserve status identity row 32</x:v>
      </x:c>
      <x:c r="E1668" s="21" t="n">
        <x:f>IF('Reserve Ledger'!J32=IF('Reserve Ledger'!I32&gt;=1,"ADEQUATE","GAP"),1,0)</x:f>
        <x:v>1</x:v>
      </x:c>
      <x:c r="F1668" s="21" t="n">
        <x:v>1</x:v>
      </x:c>
      <x:c r="G1668" s="23" t="str">
        <x:f>IF(E1668=F1668,"PASS","FAIL")</x:f>
        <x:v>PASS</x:v>
      </x:c>
    </x:row>
    <x:row r="1669">
      <x:c r="B1669" s="21" t="str">
        <x:v>C1663</x:v>
      </x:c>
      <x:c r="C1669" s="21" t="str">
        <x:v>reserve ledger</x:v>
      </x:c>
      <x:c r="D1669" s="21" t="str">
        <x:v>post-service identity row 33</x:v>
      </x:c>
      <x:c r="E1669" s="21" t="n">
        <x:f>IF(ABS('Reserve Ledger'!H33-MAX(0,'Reserve Ledger'!E33-'Reserve Ledger'!F33))&lt;0.000001,1,0)</x:f>
        <x:v>1</x:v>
      </x:c>
      <x:c r="F1669" s="21" t="n">
        <x:v>1</x:v>
      </x:c>
      <x:c r="G1669" s="23" t="str">
        <x:f>IF(E1669=F1669,"PASS","FAIL")</x:f>
        <x:v>PASS</x:v>
      </x:c>
    </x:row>
    <x:row r="1670">
      <x:c r="B1670" s="21" t="str">
        <x:v>C1664</x:v>
      </x:c>
      <x:c r="C1670" s="21" t="str">
        <x:v>reserve ledger</x:v>
      </x:c>
      <x:c r="D1670" s="21" t="str">
        <x:v>reserve ratio identity row 33</x:v>
      </x:c>
      <x:c r="E1670" s="21" t="n">
        <x:f>IF(ABS('Reserve Ledger'!I33-'Reserve Ledger'!H33/'Reserve Ledger'!G33)&lt;0.000001,1,0)</x:f>
        <x:v>1</x:v>
      </x:c>
      <x:c r="F1670" s="21" t="n">
        <x:v>1</x:v>
      </x:c>
      <x:c r="G1670" s="23" t="str">
        <x:f>IF(E1670=F1670,"PASS","FAIL")</x:f>
        <x:v>PASS</x:v>
      </x:c>
    </x:row>
    <x:row r="1671">
      <x:c r="B1671" s="21" t="str">
        <x:v>C1665</x:v>
      </x:c>
      <x:c r="C1671" s="21" t="str">
        <x:v>reserve ledger</x:v>
      </x:c>
      <x:c r="D1671" s="21" t="str">
        <x:v>reserve status identity row 33</x:v>
      </x:c>
      <x:c r="E1671" s="21" t="n">
        <x:f>IF('Reserve Ledger'!J33=IF('Reserve Ledger'!I33&gt;=1,"ADEQUATE","GAP"),1,0)</x:f>
        <x:v>1</x:v>
      </x:c>
      <x:c r="F1671" s="21" t="n">
        <x:v>1</x:v>
      </x:c>
      <x:c r="G1671" s="23" t="str">
        <x:f>IF(E1671=F1671,"PASS","FAIL")</x:f>
        <x:v>PASS</x:v>
      </x:c>
    </x:row>
    <x:row r="1672">
      <x:c r="B1672" s="21" t="str">
        <x:v>C1666</x:v>
      </x:c>
      <x:c r="C1672" s="21" t="str">
        <x:v>reserve ledger</x:v>
      </x:c>
      <x:c r="D1672" s="21" t="str">
        <x:v>post-service identity row 34</x:v>
      </x:c>
      <x:c r="E1672" s="21" t="n">
        <x:f>IF(ABS('Reserve Ledger'!H34-MAX(0,'Reserve Ledger'!E34-'Reserve Ledger'!F34))&lt;0.000001,1,0)</x:f>
        <x:v>1</x:v>
      </x:c>
      <x:c r="F1672" s="21" t="n">
        <x:v>1</x:v>
      </x:c>
      <x:c r="G1672" s="23" t="str">
        <x:f>IF(E1672=F1672,"PASS","FAIL")</x:f>
        <x:v>PASS</x:v>
      </x:c>
    </x:row>
    <x:row r="1673">
      <x:c r="B1673" s="21" t="str">
        <x:v>C1667</x:v>
      </x:c>
      <x:c r="C1673" s="21" t="str">
        <x:v>reserve ledger</x:v>
      </x:c>
      <x:c r="D1673" s="21" t="str">
        <x:v>reserve ratio identity row 34</x:v>
      </x:c>
      <x:c r="E1673" s="21" t="n">
        <x:f>IF(ABS('Reserve Ledger'!I34-'Reserve Ledger'!H34/'Reserve Ledger'!G34)&lt;0.000001,1,0)</x:f>
        <x:v>1</x:v>
      </x:c>
      <x:c r="F1673" s="21" t="n">
        <x:v>1</x:v>
      </x:c>
      <x:c r="G1673" s="23" t="str">
        <x:f>IF(E1673=F1673,"PASS","FAIL")</x:f>
        <x:v>PASS</x:v>
      </x:c>
    </x:row>
    <x:row r="1674">
      <x:c r="B1674" s="21" t="str">
        <x:v>C1668</x:v>
      </x:c>
      <x:c r="C1674" s="21" t="str">
        <x:v>reserve ledger</x:v>
      </x:c>
      <x:c r="D1674" s="21" t="str">
        <x:v>reserve status identity row 34</x:v>
      </x:c>
      <x:c r="E1674" s="21" t="n">
        <x:f>IF('Reserve Ledger'!J34=IF('Reserve Ledger'!I34&gt;=1,"ADEQUATE","GAP"),1,0)</x:f>
        <x:v>1</x:v>
      </x:c>
      <x:c r="F1674" s="21" t="n">
        <x:v>1</x:v>
      </x:c>
      <x:c r="G1674" s="23" t="str">
        <x:f>IF(E1674=F1674,"PASS","FAIL")</x:f>
        <x:v>PASS</x:v>
      </x:c>
    </x:row>
    <x:row r="1675">
      <x:c r="B1675" s="21" t="str">
        <x:v>C1669</x:v>
      </x:c>
      <x:c r="C1675" s="21" t="str">
        <x:v>reserve ledger</x:v>
      </x:c>
      <x:c r="D1675" s="21" t="str">
        <x:v>post-service identity row 35</x:v>
      </x:c>
      <x:c r="E1675" s="21" t="n">
        <x:f>IF(ABS('Reserve Ledger'!H35-MAX(0,'Reserve Ledger'!E35-'Reserve Ledger'!F35))&lt;0.000001,1,0)</x:f>
        <x:v>1</x:v>
      </x:c>
      <x:c r="F1675" s="21" t="n">
        <x:v>1</x:v>
      </x:c>
      <x:c r="G1675" s="23" t="str">
        <x:f>IF(E1675=F1675,"PASS","FAIL")</x:f>
        <x:v>PASS</x:v>
      </x:c>
    </x:row>
    <x:row r="1676">
      <x:c r="B1676" s="21" t="str">
        <x:v>C1670</x:v>
      </x:c>
      <x:c r="C1676" s="21" t="str">
        <x:v>reserve ledger</x:v>
      </x:c>
      <x:c r="D1676" s="21" t="str">
        <x:v>reserve ratio identity row 35</x:v>
      </x:c>
      <x:c r="E1676" s="21" t="n">
        <x:f>IF(ABS('Reserve Ledger'!I35-'Reserve Ledger'!H35/'Reserve Ledger'!G35)&lt;0.000001,1,0)</x:f>
        <x:v>1</x:v>
      </x:c>
      <x:c r="F1676" s="21" t="n">
        <x:v>1</x:v>
      </x:c>
      <x:c r="G1676" s="23" t="str">
        <x:f>IF(E1676=F1676,"PASS","FAIL")</x:f>
        <x:v>PASS</x:v>
      </x:c>
    </x:row>
    <x:row r="1677">
      <x:c r="B1677" s="21" t="str">
        <x:v>C1671</x:v>
      </x:c>
      <x:c r="C1677" s="21" t="str">
        <x:v>reserve ledger</x:v>
      </x:c>
      <x:c r="D1677" s="21" t="str">
        <x:v>reserve status identity row 35</x:v>
      </x:c>
      <x:c r="E1677" s="21" t="n">
        <x:f>IF('Reserve Ledger'!J35=IF('Reserve Ledger'!I35&gt;=1,"ADEQUATE","GAP"),1,0)</x:f>
        <x:v>1</x:v>
      </x:c>
      <x:c r="F1677" s="21" t="n">
        <x:v>1</x:v>
      </x:c>
      <x:c r="G1677" s="23" t="str">
        <x:f>IF(E1677=F1677,"PASS","FAIL")</x:f>
        <x:v>PASS</x:v>
      </x:c>
    </x:row>
    <x:row r="1678">
      <x:c r="B1678" s="21" t="str">
        <x:v>C1672</x:v>
      </x:c>
      <x:c r="C1678" s="21" t="str">
        <x:v>reserve ledger</x:v>
      </x:c>
      <x:c r="D1678" s="21" t="str">
        <x:v>post-service identity row 36</x:v>
      </x:c>
      <x:c r="E1678" s="21" t="n">
        <x:f>IF(ABS('Reserve Ledger'!H36-MAX(0,'Reserve Ledger'!E36-'Reserve Ledger'!F36))&lt;0.000001,1,0)</x:f>
        <x:v>1</x:v>
      </x:c>
      <x:c r="F1678" s="21" t="n">
        <x:v>1</x:v>
      </x:c>
      <x:c r="G1678" s="23" t="str">
        <x:f>IF(E1678=F1678,"PASS","FAIL")</x:f>
        <x:v>PASS</x:v>
      </x:c>
    </x:row>
    <x:row r="1679">
      <x:c r="B1679" s="21" t="str">
        <x:v>C1673</x:v>
      </x:c>
      <x:c r="C1679" s="21" t="str">
        <x:v>reserve ledger</x:v>
      </x:c>
      <x:c r="D1679" s="21" t="str">
        <x:v>reserve ratio identity row 36</x:v>
      </x:c>
      <x:c r="E1679" s="21" t="n">
        <x:f>IF(ABS('Reserve Ledger'!I36-'Reserve Ledger'!H36/'Reserve Ledger'!G36)&lt;0.000001,1,0)</x:f>
        <x:v>1</x:v>
      </x:c>
      <x:c r="F1679" s="21" t="n">
        <x:v>1</x:v>
      </x:c>
      <x:c r="G1679" s="23" t="str">
        <x:f>IF(E1679=F1679,"PASS","FAIL")</x:f>
        <x:v>PASS</x:v>
      </x:c>
    </x:row>
    <x:row r="1680">
      <x:c r="B1680" s="21" t="str">
        <x:v>C1674</x:v>
      </x:c>
      <x:c r="C1680" s="21" t="str">
        <x:v>reserve ledger</x:v>
      </x:c>
      <x:c r="D1680" s="21" t="str">
        <x:v>reserve status identity row 36</x:v>
      </x:c>
      <x:c r="E1680" s="21" t="n">
        <x:f>IF('Reserve Ledger'!J36=IF('Reserve Ledger'!I36&gt;=1,"ADEQUATE","GAP"),1,0)</x:f>
        <x:v>1</x:v>
      </x:c>
      <x:c r="F1680" s="21" t="n">
        <x:v>1</x:v>
      </x:c>
      <x:c r="G1680" s="23" t="str">
        <x:f>IF(E1680=F1680,"PASS","FAIL")</x:f>
        <x:v>PASS</x:v>
      </x:c>
    </x:row>
    <x:row r="1681">
      <x:c r="B1681" s="21" t="str">
        <x:v>C1675</x:v>
      </x:c>
      <x:c r="C1681" s="21" t="str">
        <x:v>reserve ledger</x:v>
      </x:c>
      <x:c r="D1681" s="21" t="str">
        <x:v>post-service identity row 37</x:v>
      </x:c>
      <x:c r="E1681" s="21" t="n">
        <x:f>IF(ABS('Reserve Ledger'!H37-MAX(0,'Reserve Ledger'!E37-'Reserve Ledger'!F37))&lt;0.000001,1,0)</x:f>
        <x:v>1</x:v>
      </x:c>
      <x:c r="F1681" s="21" t="n">
        <x:v>1</x:v>
      </x:c>
      <x:c r="G1681" s="23" t="str">
        <x:f>IF(E1681=F1681,"PASS","FAIL")</x:f>
        <x:v>PASS</x:v>
      </x:c>
    </x:row>
    <x:row r="1682">
      <x:c r="B1682" s="21" t="str">
        <x:v>C1676</x:v>
      </x:c>
      <x:c r="C1682" s="21" t="str">
        <x:v>reserve ledger</x:v>
      </x:c>
      <x:c r="D1682" s="21" t="str">
        <x:v>reserve ratio identity row 37</x:v>
      </x:c>
      <x:c r="E1682" s="21" t="n">
        <x:f>IF(ABS('Reserve Ledger'!I37-'Reserve Ledger'!H37/'Reserve Ledger'!G37)&lt;0.000001,1,0)</x:f>
        <x:v>1</x:v>
      </x:c>
      <x:c r="F1682" s="21" t="n">
        <x:v>1</x:v>
      </x:c>
      <x:c r="G1682" s="23" t="str">
        <x:f>IF(E1682=F1682,"PASS","FAIL")</x:f>
        <x:v>PASS</x:v>
      </x:c>
    </x:row>
    <x:row r="1683">
      <x:c r="B1683" s="21" t="str">
        <x:v>C1677</x:v>
      </x:c>
      <x:c r="C1683" s="21" t="str">
        <x:v>reserve ledger</x:v>
      </x:c>
      <x:c r="D1683" s="21" t="str">
        <x:v>reserve status identity row 37</x:v>
      </x:c>
      <x:c r="E1683" s="21" t="n">
        <x:f>IF('Reserve Ledger'!J37=IF('Reserve Ledger'!I37&gt;=1,"ADEQUATE","GAP"),1,0)</x:f>
        <x:v>1</x:v>
      </x:c>
      <x:c r="F1683" s="21" t="n">
        <x:v>1</x:v>
      </x:c>
      <x:c r="G1683" s="23" t="str">
        <x:f>IF(E1683=F1683,"PASS","FAIL")</x:f>
        <x:v>PASS</x:v>
      </x:c>
    </x:row>
    <x:row r="1684">
      <x:c r="B1684" s="21" t="str">
        <x:v>C1678</x:v>
      </x:c>
      <x:c r="C1684" s="21" t="str">
        <x:v>reserve ledger</x:v>
      </x:c>
      <x:c r="D1684" s="21" t="str">
        <x:v>post-service identity row 38</x:v>
      </x:c>
      <x:c r="E1684" s="21" t="n">
        <x:f>IF(ABS('Reserve Ledger'!H38-MAX(0,'Reserve Ledger'!E38-'Reserve Ledger'!F38))&lt;0.000001,1,0)</x:f>
        <x:v>1</x:v>
      </x:c>
      <x:c r="F1684" s="21" t="n">
        <x:v>1</x:v>
      </x:c>
      <x:c r="G1684" s="23" t="str">
        <x:f>IF(E1684=F1684,"PASS","FAIL")</x:f>
        <x:v>PASS</x:v>
      </x:c>
    </x:row>
    <x:row r="1685">
      <x:c r="B1685" s="21" t="str">
        <x:v>C1679</x:v>
      </x:c>
      <x:c r="C1685" s="21" t="str">
        <x:v>reserve ledger</x:v>
      </x:c>
      <x:c r="D1685" s="21" t="str">
        <x:v>reserve ratio identity row 38</x:v>
      </x:c>
      <x:c r="E1685" s="21" t="n">
        <x:f>IF(ABS('Reserve Ledger'!I38-'Reserve Ledger'!H38/'Reserve Ledger'!G38)&lt;0.000001,1,0)</x:f>
        <x:v>1</x:v>
      </x:c>
      <x:c r="F1685" s="21" t="n">
        <x:v>1</x:v>
      </x:c>
      <x:c r="G1685" s="23" t="str">
        <x:f>IF(E1685=F1685,"PASS","FAIL")</x:f>
        <x:v>PASS</x:v>
      </x:c>
    </x:row>
    <x:row r="1686">
      <x:c r="B1686" s="21" t="str">
        <x:v>C1680</x:v>
      </x:c>
      <x:c r="C1686" s="21" t="str">
        <x:v>reserve ledger</x:v>
      </x:c>
      <x:c r="D1686" s="21" t="str">
        <x:v>reserve status identity row 38</x:v>
      </x:c>
      <x:c r="E1686" s="21" t="n">
        <x:f>IF('Reserve Ledger'!J38=IF('Reserve Ledger'!I38&gt;=1,"ADEQUATE","GAP"),1,0)</x:f>
        <x:v>1</x:v>
      </x:c>
      <x:c r="F1686" s="21" t="n">
        <x:v>1</x:v>
      </x:c>
      <x:c r="G1686" s="23" t="str">
        <x:f>IF(E1686=F1686,"PASS","FAIL")</x:f>
        <x:v>PASS</x:v>
      </x:c>
    </x:row>
    <x:row r="1687">
      <x:c r="B1687" s="21" t="str">
        <x:v>C1681</x:v>
      </x:c>
      <x:c r="C1687" s="21" t="str">
        <x:v>reserve ledger</x:v>
      </x:c>
      <x:c r="D1687" s="21" t="str">
        <x:v>post-service identity row 39</x:v>
      </x:c>
      <x:c r="E1687" s="21" t="n">
        <x:f>IF(ABS('Reserve Ledger'!H39-MAX(0,'Reserve Ledger'!E39-'Reserve Ledger'!F39))&lt;0.000001,1,0)</x:f>
        <x:v>1</x:v>
      </x:c>
      <x:c r="F1687" s="21" t="n">
        <x:v>1</x:v>
      </x:c>
      <x:c r="G1687" s="23" t="str">
        <x:f>IF(E1687=F1687,"PASS","FAIL")</x:f>
        <x:v>PASS</x:v>
      </x:c>
    </x:row>
    <x:row r="1688">
      <x:c r="B1688" s="21" t="str">
        <x:v>C1682</x:v>
      </x:c>
      <x:c r="C1688" s="21" t="str">
        <x:v>reserve ledger</x:v>
      </x:c>
      <x:c r="D1688" s="21" t="str">
        <x:v>reserve ratio identity row 39</x:v>
      </x:c>
      <x:c r="E1688" s="21" t="n">
        <x:f>IF(ABS('Reserve Ledger'!I39-'Reserve Ledger'!H39/'Reserve Ledger'!G39)&lt;0.000001,1,0)</x:f>
        <x:v>1</x:v>
      </x:c>
      <x:c r="F1688" s="21" t="n">
        <x:v>1</x:v>
      </x:c>
      <x:c r="G1688" s="23" t="str">
        <x:f>IF(E1688=F1688,"PASS","FAIL")</x:f>
        <x:v>PASS</x:v>
      </x:c>
    </x:row>
    <x:row r="1689">
      <x:c r="B1689" s="21" t="str">
        <x:v>C1683</x:v>
      </x:c>
      <x:c r="C1689" s="21" t="str">
        <x:v>reserve ledger</x:v>
      </x:c>
      <x:c r="D1689" s="21" t="str">
        <x:v>reserve status identity row 39</x:v>
      </x:c>
      <x:c r="E1689" s="21" t="n">
        <x:f>IF('Reserve Ledger'!J39=IF('Reserve Ledger'!I39&gt;=1,"ADEQUATE","GAP"),1,0)</x:f>
        <x:v>1</x:v>
      </x:c>
      <x:c r="F1689" s="21" t="n">
        <x:v>1</x:v>
      </x:c>
      <x:c r="G1689" s="23" t="str">
        <x:f>IF(E1689=F1689,"PASS","FAIL")</x:f>
        <x:v>PASS</x:v>
      </x:c>
    </x:row>
    <x:row r="1690">
      <x:c r="B1690" s="21" t="str">
        <x:v>C1684</x:v>
      </x:c>
      <x:c r="C1690" s="21" t="str">
        <x:v>reserve ledger</x:v>
      </x:c>
      <x:c r="D1690" s="21" t="str">
        <x:v>post-service identity row 40</x:v>
      </x:c>
      <x:c r="E1690" s="21" t="n">
        <x:f>IF(ABS('Reserve Ledger'!H40-MAX(0,'Reserve Ledger'!E40-'Reserve Ledger'!F40))&lt;0.000001,1,0)</x:f>
        <x:v>1</x:v>
      </x:c>
      <x:c r="F1690" s="21" t="n">
        <x:v>1</x:v>
      </x:c>
      <x:c r="G1690" s="23" t="str">
        <x:f>IF(E1690=F1690,"PASS","FAIL")</x:f>
        <x:v>PASS</x:v>
      </x:c>
    </x:row>
    <x:row r="1691">
      <x:c r="B1691" s="21" t="str">
        <x:v>C1685</x:v>
      </x:c>
      <x:c r="C1691" s="21" t="str">
        <x:v>reserve ledger</x:v>
      </x:c>
      <x:c r="D1691" s="21" t="str">
        <x:v>reserve ratio identity row 40</x:v>
      </x:c>
      <x:c r="E1691" s="21" t="n">
        <x:f>IF(ABS('Reserve Ledger'!I40-'Reserve Ledger'!H40/'Reserve Ledger'!G40)&lt;0.000001,1,0)</x:f>
        <x:v>1</x:v>
      </x:c>
      <x:c r="F1691" s="21" t="n">
        <x:v>1</x:v>
      </x:c>
      <x:c r="G1691" s="23" t="str">
        <x:f>IF(E1691=F1691,"PASS","FAIL")</x:f>
        <x:v>PASS</x:v>
      </x:c>
    </x:row>
    <x:row r="1692">
      <x:c r="B1692" s="21" t="str">
        <x:v>C1686</x:v>
      </x:c>
      <x:c r="C1692" s="21" t="str">
        <x:v>reserve ledger</x:v>
      </x:c>
      <x:c r="D1692" s="21" t="str">
        <x:v>reserve status identity row 40</x:v>
      </x:c>
      <x:c r="E1692" s="21" t="n">
        <x:f>IF('Reserve Ledger'!J40=IF('Reserve Ledger'!I40&gt;=1,"ADEQUATE","GAP"),1,0)</x:f>
        <x:v>1</x:v>
      </x:c>
      <x:c r="F1692" s="21" t="n">
        <x:v>1</x:v>
      </x:c>
      <x:c r="G1692" s="23" t="str">
        <x:f>IF(E1692=F1692,"PASS","FAIL")</x:f>
        <x:v>PASS</x:v>
      </x:c>
    </x:row>
    <x:row r="1693">
      <x:c r="B1693" s="21" t="str">
        <x:v>C1687</x:v>
      </x:c>
      <x:c r="C1693" s="21" t="str">
        <x:v>reserve ledger</x:v>
      </x:c>
      <x:c r="D1693" s="21" t="str">
        <x:v>post-service identity row 41</x:v>
      </x:c>
      <x:c r="E1693" s="21" t="n">
        <x:f>IF(ABS('Reserve Ledger'!H41-MAX(0,'Reserve Ledger'!E41-'Reserve Ledger'!F41))&lt;0.000001,1,0)</x:f>
        <x:v>1</x:v>
      </x:c>
      <x:c r="F1693" s="21" t="n">
        <x:v>1</x:v>
      </x:c>
      <x:c r="G1693" s="23" t="str">
        <x:f>IF(E1693=F1693,"PASS","FAIL")</x:f>
        <x:v>PASS</x:v>
      </x:c>
    </x:row>
    <x:row r="1694">
      <x:c r="B1694" s="21" t="str">
        <x:v>C1688</x:v>
      </x:c>
      <x:c r="C1694" s="21" t="str">
        <x:v>reserve ledger</x:v>
      </x:c>
      <x:c r="D1694" s="21" t="str">
        <x:v>reserve ratio identity row 41</x:v>
      </x:c>
      <x:c r="E1694" s="21" t="n">
        <x:f>IF(ABS('Reserve Ledger'!I41-'Reserve Ledger'!H41/'Reserve Ledger'!G41)&lt;0.000001,1,0)</x:f>
        <x:v>1</x:v>
      </x:c>
      <x:c r="F1694" s="21" t="n">
        <x:v>1</x:v>
      </x:c>
      <x:c r="G1694" s="23" t="str">
        <x:f>IF(E1694=F1694,"PASS","FAIL")</x:f>
        <x:v>PASS</x:v>
      </x:c>
    </x:row>
    <x:row r="1695">
      <x:c r="B1695" s="21" t="str">
        <x:v>C1689</x:v>
      </x:c>
      <x:c r="C1695" s="21" t="str">
        <x:v>reserve ledger</x:v>
      </x:c>
      <x:c r="D1695" s="21" t="str">
        <x:v>reserve status identity row 41</x:v>
      </x:c>
      <x:c r="E1695" s="21" t="n">
        <x:f>IF('Reserve Ledger'!J41=IF('Reserve Ledger'!I41&gt;=1,"ADEQUATE","GAP"),1,0)</x:f>
        <x:v>1</x:v>
      </x:c>
      <x:c r="F1695" s="21" t="n">
        <x:v>1</x:v>
      </x:c>
      <x:c r="G1695" s="23" t="str">
        <x:f>IF(E1695=F1695,"PASS","FAIL")</x:f>
        <x:v>PASS</x:v>
      </x:c>
    </x:row>
    <x:row r="1696">
      <x:c r="B1696" s="21" t="str">
        <x:v>C1690</x:v>
      </x:c>
      <x:c r="C1696" s="21" t="str">
        <x:v>reserve ledger</x:v>
      </x:c>
      <x:c r="D1696" s="21" t="str">
        <x:v>post-service identity row 42</x:v>
      </x:c>
      <x:c r="E1696" s="21" t="n">
        <x:f>IF(ABS('Reserve Ledger'!H42-MAX(0,'Reserve Ledger'!E42-'Reserve Ledger'!F42))&lt;0.000001,1,0)</x:f>
        <x:v>1</x:v>
      </x:c>
      <x:c r="F1696" s="21" t="n">
        <x:v>1</x:v>
      </x:c>
      <x:c r="G1696" s="23" t="str">
        <x:f>IF(E1696=F1696,"PASS","FAIL")</x:f>
        <x:v>PASS</x:v>
      </x:c>
    </x:row>
    <x:row r="1697">
      <x:c r="B1697" s="21" t="str">
        <x:v>C1691</x:v>
      </x:c>
      <x:c r="C1697" s="21" t="str">
        <x:v>reserve ledger</x:v>
      </x:c>
      <x:c r="D1697" s="21" t="str">
        <x:v>reserve ratio identity row 42</x:v>
      </x:c>
      <x:c r="E1697" s="21" t="n">
        <x:f>IF(ABS('Reserve Ledger'!I42-'Reserve Ledger'!H42/'Reserve Ledger'!G42)&lt;0.000001,1,0)</x:f>
        <x:v>1</x:v>
      </x:c>
      <x:c r="F1697" s="21" t="n">
        <x:v>1</x:v>
      </x:c>
      <x:c r="G1697" s="23" t="str">
        <x:f>IF(E1697=F1697,"PASS","FAIL")</x:f>
        <x:v>PASS</x:v>
      </x:c>
    </x:row>
    <x:row r="1698">
      <x:c r="B1698" s="21" t="str">
        <x:v>C1692</x:v>
      </x:c>
      <x:c r="C1698" s="21" t="str">
        <x:v>reserve ledger</x:v>
      </x:c>
      <x:c r="D1698" s="21" t="str">
        <x:v>reserve status identity row 42</x:v>
      </x:c>
      <x:c r="E1698" s="21" t="n">
        <x:f>IF('Reserve Ledger'!J42=IF('Reserve Ledger'!I42&gt;=1,"ADEQUATE","GAP"),1,0)</x:f>
        <x:v>1</x:v>
      </x:c>
      <x:c r="F1698" s="21" t="n">
        <x:v>1</x:v>
      </x:c>
      <x:c r="G1698" s="23" t="str">
        <x:f>IF(E1698=F1698,"PASS","FAIL")</x:f>
        <x:v>PASS</x:v>
      </x:c>
    </x:row>
    <x:row r="1699">
      <x:c r="B1699" s="21" t="str">
        <x:v>C1693</x:v>
      </x:c>
      <x:c r="C1699" s="21" t="str">
        <x:v>reserve ledger</x:v>
      </x:c>
      <x:c r="D1699" s="21" t="str">
        <x:v>post-service identity row 43</x:v>
      </x:c>
      <x:c r="E1699" s="21" t="n">
        <x:f>IF(ABS('Reserve Ledger'!H43-MAX(0,'Reserve Ledger'!E43-'Reserve Ledger'!F43))&lt;0.000001,1,0)</x:f>
        <x:v>1</x:v>
      </x:c>
      <x:c r="F1699" s="21" t="n">
        <x:v>1</x:v>
      </x:c>
      <x:c r="G1699" s="23" t="str">
        <x:f>IF(E1699=F1699,"PASS","FAIL")</x:f>
        <x:v>PASS</x:v>
      </x:c>
    </x:row>
    <x:row r="1700">
      <x:c r="B1700" s="21" t="str">
        <x:v>C1694</x:v>
      </x:c>
      <x:c r="C1700" s="21" t="str">
        <x:v>reserve ledger</x:v>
      </x:c>
      <x:c r="D1700" s="21" t="str">
        <x:v>reserve ratio identity row 43</x:v>
      </x:c>
      <x:c r="E1700" s="21" t="n">
        <x:f>IF(ABS('Reserve Ledger'!I43-'Reserve Ledger'!H43/'Reserve Ledger'!G43)&lt;0.000001,1,0)</x:f>
        <x:v>1</x:v>
      </x:c>
      <x:c r="F1700" s="21" t="n">
        <x:v>1</x:v>
      </x:c>
      <x:c r="G1700" s="23" t="str">
        <x:f>IF(E1700=F1700,"PASS","FAIL")</x:f>
        <x:v>PASS</x:v>
      </x:c>
    </x:row>
    <x:row r="1701">
      <x:c r="B1701" s="21" t="str">
        <x:v>C1695</x:v>
      </x:c>
      <x:c r="C1701" s="21" t="str">
        <x:v>reserve ledger</x:v>
      </x:c>
      <x:c r="D1701" s="21" t="str">
        <x:v>reserve status identity row 43</x:v>
      </x:c>
      <x:c r="E1701" s="21" t="n">
        <x:f>IF('Reserve Ledger'!J43=IF('Reserve Ledger'!I43&gt;=1,"ADEQUATE","GAP"),1,0)</x:f>
        <x:v>1</x:v>
      </x:c>
      <x:c r="F1701" s="21" t="n">
        <x:v>1</x:v>
      </x:c>
      <x:c r="G1701" s="23" t="str">
        <x:f>IF(E1701=F1701,"PASS","FAIL")</x:f>
        <x:v>PASS</x:v>
      </x:c>
    </x:row>
    <x:row r="1702">
      <x:c r="B1702" s="21" t="str">
        <x:v>C1696</x:v>
      </x:c>
      <x:c r="C1702" s="21" t="str">
        <x:v>reserve ledger</x:v>
      </x:c>
      <x:c r="D1702" s="21" t="str">
        <x:v>post-service identity row 44</x:v>
      </x:c>
      <x:c r="E1702" s="21" t="n">
        <x:f>IF(ABS('Reserve Ledger'!H44-MAX(0,'Reserve Ledger'!E44-'Reserve Ledger'!F44))&lt;0.000001,1,0)</x:f>
        <x:v>1</x:v>
      </x:c>
      <x:c r="F1702" s="21" t="n">
        <x:v>1</x:v>
      </x:c>
      <x:c r="G1702" s="23" t="str">
        <x:f>IF(E1702=F1702,"PASS","FAIL")</x:f>
        <x:v>PASS</x:v>
      </x:c>
    </x:row>
    <x:row r="1703">
      <x:c r="B1703" s="21" t="str">
        <x:v>C1697</x:v>
      </x:c>
      <x:c r="C1703" s="21" t="str">
        <x:v>reserve ledger</x:v>
      </x:c>
      <x:c r="D1703" s="21" t="str">
        <x:v>reserve ratio identity row 44</x:v>
      </x:c>
      <x:c r="E1703" s="21" t="n">
        <x:f>IF(ABS('Reserve Ledger'!I44-'Reserve Ledger'!H44/'Reserve Ledger'!G44)&lt;0.000001,1,0)</x:f>
        <x:v>1</x:v>
      </x:c>
      <x:c r="F1703" s="21" t="n">
        <x:v>1</x:v>
      </x:c>
      <x:c r="G1703" s="23" t="str">
        <x:f>IF(E1703=F1703,"PASS","FAIL")</x:f>
        <x:v>PASS</x:v>
      </x:c>
    </x:row>
    <x:row r="1704">
      <x:c r="B1704" s="21" t="str">
        <x:v>C1698</x:v>
      </x:c>
      <x:c r="C1704" s="21" t="str">
        <x:v>reserve ledger</x:v>
      </x:c>
      <x:c r="D1704" s="21" t="str">
        <x:v>reserve status identity row 44</x:v>
      </x:c>
      <x:c r="E1704" s="21" t="n">
        <x:f>IF('Reserve Ledger'!J44=IF('Reserve Ledger'!I44&gt;=1,"ADEQUATE","GAP"),1,0)</x:f>
        <x:v>1</x:v>
      </x:c>
      <x:c r="F1704" s="21" t="n">
        <x:v>1</x:v>
      </x:c>
      <x:c r="G1704" s="23" t="str">
        <x:f>IF(E1704=F1704,"PASS","FAIL")</x:f>
        <x:v>PASS</x:v>
      </x:c>
    </x:row>
    <x:row r="1705">
      <x:c r="B1705" s="21" t="str">
        <x:v>C1699</x:v>
      </x:c>
      <x:c r="C1705" s="21" t="str">
        <x:v>reserve ledger</x:v>
      </x:c>
      <x:c r="D1705" s="21" t="str">
        <x:v>post-service identity row 45</x:v>
      </x:c>
      <x:c r="E1705" s="21" t="n">
        <x:f>IF(ABS('Reserve Ledger'!H45-MAX(0,'Reserve Ledger'!E45-'Reserve Ledger'!F45))&lt;0.000001,1,0)</x:f>
        <x:v>1</x:v>
      </x:c>
      <x:c r="F1705" s="21" t="n">
        <x:v>1</x:v>
      </x:c>
      <x:c r="G1705" s="23" t="str">
        <x:f>IF(E1705=F1705,"PASS","FAIL")</x:f>
        <x:v>PASS</x:v>
      </x:c>
    </x:row>
    <x:row r="1706">
      <x:c r="B1706" s="21" t="str">
        <x:v>C1700</x:v>
      </x:c>
      <x:c r="C1706" s="21" t="str">
        <x:v>reserve ledger</x:v>
      </x:c>
      <x:c r="D1706" s="21" t="str">
        <x:v>reserve ratio identity row 45</x:v>
      </x:c>
      <x:c r="E1706" s="21" t="n">
        <x:f>IF(ABS('Reserve Ledger'!I45-'Reserve Ledger'!H45/'Reserve Ledger'!G45)&lt;0.000001,1,0)</x:f>
        <x:v>1</x:v>
      </x:c>
      <x:c r="F1706" s="21" t="n">
        <x:v>1</x:v>
      </x:c>
      <x:c r="G1706" s="23" t="str">
        <x:f>IF(E1706=F1706,"PASS","FAIL")</x:f>
        <x:v>PASS</x:v>
      </x:c>
    </x:row>
    <x:row r="1707">
      <x:c r="B1707" s="21" t="str">
        <x:v>C1701</x:v>
      </x:c>
      <x:c r="C1707" s="21" t="str">
        <x:v>reserve ledger</x:v>
      </x:c>
      <x:c r="D1707" s="21" t="str">
        <x:v>reserve status identity row 45</x:v>
      </x:c>
      <x:c r="E1707" s="21" t="n">
        <x:f>IF('Reserve Ledger'!J45=IF('Reserve Ledger'!I45&gt;=1,"ADEQUATE","GAP"),1,0)</x:f>
        <x:v>1</x:v>
      </x:c>
      <x:c r="F1707" s="21" t="n">
        <x:v>1</x:v>
      </x:c>
      <x:c r="G1707" s="23" t="str">
        <x:f>IF(E1707=F1707,"PASS","FAIL")</x:f>
        <x:v>PASS</x:v>
      </x:c>
    </x:row>
    <x:row r="1708">
      <x:c r="B1708" s="21" t="str">
        <x:v>C1702</x:v>
      </x:c>
      <x:c r="C1708" s="21" t="str">
        <x:v>reserve ledger</x:v>
      </x:c>
      <x:c r="D1708" s="21" t="str">
        <x:v>post-service identity row 46</x:v>
      </x:c>
      <x:c r="E1708" s="21" t="n">
        <x:f>IF(ABS('Reserve Ledger'!H46-MAX(0,'Reserve Ledger'!E46-'Reserve Ledger'!F46))&lt;0.000001,1,0)</x:f>
        <x:v>1</x:v>
      </x:c>
      <x:c r="F1708" s="21" t="n">
        <x:v>1</x:v>
      </x:c>
      <x:c r="G1708" s="23" t="str">
        <x:f>IF(E1708=F1708,"PASS","FAIL")</x:f>
        <x:v>PASS</x:v>
      </x:c>
    </x:row>
    <x:row r="1709">
      <x:c r="B1709" s="21" t="str">
        <x:v>C1703</x:v>
      </x:c>
      <x:c r="C1709" s="21" t="str">
        <x:v>reserve ledger</x:v>
      </x:c>
      <x:c r="D1709" s="21" t="str">
        <x:v>reserve ratio identity row 46</x:v>
      </x:c>
      <x:c r="E1709" s="21" t="n">
        <x:f>IF(ABS('Reserve Ledger'!I46-'Reserve Ledger'!H46/'Reserve Ledger'!G46)&lt;0.000001,1,0)</x:f>
        <x:v>1</x:v>
      </x:c>
      <x:c r="F1709" s="21" t="n">
        <x:v>1</x:v>
      </x:c>
      <x:c r="G1709" s="23" t="str">
        <x:f>IF(E1709=F1709,"PASS","FAIL")</x:f>
        <x:v>PASS</x:v>
      </x:c>
    </x:row>
    <x:row r="1710">
      <x:c r="B1710" s="21" t="str">
        <x:v>C1704</x:v>
      </x:c>
      <x:c r="C1710" s="21" t="str">
        <x:v>reserve ledger</x:v>
      </x:c>
      <x:c r="D1710" s="21" t="str">
        <x:v>reserve status identity row 46</x:v>
      </x:c>
      <x:c r="E1710" s="21" t="n">
        <x:f>IF('Reserve Ledger'!J46=IF('Reserve Ledger'!I46&gt;=1,"ADEQUATE","GAP"),1,0)</x:f>
        <x:v>1</x:v>
      </x:c>
      <x:c r="F1710" s="21" t="n">
        <x:v>1</x:v>
      </x:c>
      <x:c r="G1710" s="23" t="str">
        <x:f>IF(E1710=F1710,"PASS","FAIL")</x:f>
        <x:v>PASS</x:v>
      </x:c>
    </x:row>
    <x:row r="1711">
      <x:c r="B1711" s="21" t="str">
        <x:v>C1705</x:v>
      </x:c>
      <x:c r="C1711" s="21" t="str">
        <x:v>reserve ledger</x:v>
      </x:c>
      <x:c r="D1711" s="21" t="str">
        <x:v>post-service identity row 47</x:v>
      </x:c>
      <x:c r="E1711" s="21" t="n">
        <x:f>IF(ABS('Reserve Ledger'!H47-MAX(0,'Reserve Ledger'!E47-'Reserve Ledger'!F47))&lt;0.000001,1,0)</x:f>
        <x:v>1</x:v>
      </x:c>
      <x:c r="F1711" s="21" t="n">
        <x:v>1</x:v>
      </x:c>
      <x:c r="G1711" s="23" t="str">
        <x:f>IF(E1711=F1711,"PASS","FAIL")</x:f>
        <x:v>PASS</x:v>
      </x:c>
    </x:row>
    <x:row r="1712">
      <x:c r="B1712" s="21" t="str">
        <x:v>C1706</x:v>
      </x:c>
      <x:c r="C1712" s="21" t="str">
        <x:v>reserve ledger</x:v>
      </x:c>
      <x:c r="D1712" s="21" t="str">
        <x:v>reserve ratio identity row 47</x:v>
      </x:c>
      <x:c r="E1712" s="21" t="n">
        <x:f>IF(ABS('Reserve Ledger'!I47-'Reserve Ledger'!H47/'Reserve Ledger'!G47)&lt;0.000001,1,0)</x:f>
        <x:v>1</x:v>
      </x:c>
      <x:c r="F1712" s="21" t="n">
        <x:v>1</x:v>
      </x:c>
      <x:c r="G1712" s="23" t="str">
        <x:f>IF(E1712=F1712,"PASS","FAIL")</x:f>
        <x:v>PASS</x:v>
      </x:c>
    </x:row>
    <x:row r="1713">
      <x:c r="B1713" s="21" t="str">
        <x:v>C1707</x:v>
      </x:c>
      <x:c r="C1713" s="21" t="str">
        <x:v>reserve ledger</x:v>
      </x:c>
      <x:c r="D1713" s="21" t="str">
        <x:v>reserve status identity row 47</x:v>
      </x:c>
      <x:c r="E1713" s="21" t="n">
        <x:f>IF('Reserve Ledger'!J47=IF('Reserve Ledger'!I47&gt;=1,"ADEQUATE","GAP"),1,0)</x:f>
        <x:v>1</x:v>
      </x:c>
      <x:c r="F1713" s="21" t="n">
        <x:v>1</x:v>
      </x:c>
      <x:c r="G1713" s="23" t="str">
        <x:f>IF(E1713=F1713,"PASS","FAIL")</x:f>
        <x:v>PASS</x:v>
      </x:c>
    </x:row>
    <x:row r="1714">
      <x:c r="B1714" s="21" t="str">
        <x:v>C1708</x:v>
      </x:c>
      <x:c r="C1714" s="21" t="str">
        <x:v>reserve ledger</x:v>
      </x:c>
      <x:c r="D1714" s="21" t="str">
        <x:v>post-service identity row 48</x:v>
      </x:c>
      <x:c r="E1714" s="21" t="n">
        <x:f>IF(ABS('Reserve Ledger'!H48-MAX(0,'Reserve Ledger'!E48-'Reserve Ledger'!F48))&lt;0.000001,1,0)</x:f>
        <x:v>1</x:v>
      </x:c>
      <x:c r="F1714" s="21" t="n">
        <x:v>1</x:v>
      </x:c>
      <x:c r="G1714" s="23" t="str">
        <x:f>IF(E1714=F1714,"PASS","FAIL")</x:f>
        <x:v>PASS</x:v>
      </x:c>
    </x:row>
    <x:row r="1715">
      <x:c r="B1715" s="21" t="str">
        <x:v>C1709</x:v>
      </x:c>
      <x:c r="C1715" s="21" t="str">
        <x:v>reserve ledger</x:v>
      </x:c>
      <x:c r="D1715" s="21" t="str">
        <x:v>reserve ratio identity row 48</x:v>
      </x:c>
      <x:c r="E1715" s="21" t="n">
        <x:f>IF(ABS('Reserve Ledger'!I48-'Reserve Ledger'!H48/'Reserve Ledger'!G48)&lt;0.000001,1,0)</x:f>
        <x:v>1</x:v>
      </x:c>
      <x:c r="F1715" s="21" t="n">
        <x:v>1</x:v>
      </x:c>
      <x:c r="G1715" s="23" t="str">
        <x:f>IF(E1715=F1715,"PASS","FAIL")</x:f>
        <x:v>PASS</x:v>
      </x:c>
    </x:row>
    <x:row r="1716">
      <x:c r="B1716" s="21" t="str">
        <x:v>C1710</x:v>
      </x:c>
      <x:c r="C1716" s="21" t="str">
        <x:v>reserve ledger</x:v>
      </x:c>
      <x:c r="D1716" s="21" t="str">
        <x:v>reserve status identity row 48</x:v>
      </x:c>
      <x:c r="E1716" s="21" t="n">
        <x:f>IF('Reserve Ledger'!J48=IF('Reserve Ledger'!I48&gt;=1,"ADEQUATE","GAP"),1,0)</x:f>
        <x:v>1</x:v>
      </x:c>
      <x:c r="F1716" s="21" t="n">
        <x:v>1</x:v>
      </x:c>
      <x:c r="G1716" s="23" t="str">
        <x:f>IF(E1716=F1716,"PASS","FAIL")</x:f>
        <x:v>PASS</x:v>
      </x:c>
    </x:row>
    <x:row r="1717">
      <x:c r="B1717" s="21" t="str">
        <x:v>C1711</x:v>
      </x:c>
      <x:c r="C1717" s="21" t="str">
        <x:v>reserve ledger</x:v>
      </x:c>
      <x:c r="D1717" s="21" t="str">
        <x:v>post-service identity row 49</x:v>
      </x:c>
      <x:c r="E1717" s="21" t="n">
        <x:f>IF(ABS('Reserve Ledger'!H49-MAX(0,'Reserve Ledger'!E49-'Reserve Ledger'!F49))&lt;0.000001,1,0)</x:f>
        <x:v>1</x:v>
      </x:c>
      <x:c r="F1717" s="21" t="n">
        <x:v>1</x:v>
      </x:c>
      <x:c r="G1717" s="23" t="str">
        <x:f>IF(E1717=F1717,"PASS","FAIL")</x:f>
        <x:v>PASS</x:v>
      </x:c>
    </x:row>
    <x:row r="1718">
      <x:c r="B1718" s="21" t="str">
        <x:v>C1712</x:v>
      </x:c>
      <x:c r="C1718" s="21" t="str">
        <x:v>reserve ledger</x:v>
      </x:c>
      <x:c r="D1718" s="21" t="str">
        <x:v>reserve ratio identity row 49</x:v>
      </x:c>
      <x:c r="E1718" s="21" t="n">
        <x:f>IF(ABS('Reserve Ledger'!I49-'Reserve Ledger'!H49/'Reserve Ledger'!G49)&lt;0.000001,1,0)</x:f>
        <x:v>1</x:v>
      </x:c>
      <x:c r="F1718" s="21" t="n">
        <x:v>1</x:v>
      </x:c>
      <x:c r="G1718" s="23" t="str">
        <x:f>IF(E1718=F1718,"PASS","FAIL")</x:f>
        <x:v>PASS</x:v>
      </x:c>
    </x:row>
    <x:row r="1719">
      <x:c r="B1719" s="21" t="str">
        <x:v>C1713</x:v>
      </x:c>
      <x:c r="C1719" s="21" t="str">
        <x:v>reserve ledger</x:v>
      </x:c>
      <x:c r="D1719" s="21" t="str">
        <x:v>reserve status identity row 49</x:v>
      </x:c>
      <x:c r="E1719" s="21" t="n">
        <x:f>IF('Reserve Ledger'!J49=IF('Reserve Ledger'!I49&gt;=1,"ADEQUATE","GAP"),1,0)</x:f>
        <x:v>1</x:v>
      </x:c>
      <x:c r="F1719" s="21" t="n">
        <x:v>1</x:v>
      </x:c>
      <x:c r="G1719" s="23" t="str">
        <x:f>IF(E1719=F1719,"PASS","FAIL")</x:f>
        <x:v>PASS</x:v>
      </x:c>
    </x:row>
    <x:row r="1720">
      <x:c r="B1720" s="21" t="str">
        <x:v>C1714</x:v>
      </x:c>
      <x:c r="C1720" s="21" t="str">
        <x:v>reserve ledger</x:v>
      </x:c>
      <x:c r="D1720" s="21" t="str">
        <x:v>post-service identity row 50</x:v>
      </x:c>
      <x:c r="E1720" s="21" t="n">
        <x:f>IF(ABS('Reserve Ledger'!H50-MAX(0,'Reserve Ledger'!E50-'Reserve Ledger'!F50))&lt;0.000001,1,0)</x:f>
        <x:v>1</x:v>
      </x:c>
      <x:c r="F1720" s="21" t="n">
        <x:v>1</x:v>
      </x:c>
      <x:c r="G1720" s="23" t="str">
        <x:f>IF(E1720=F1720,"PASS","FAIL")</x:f>
        <x:v>PASS</x:v>
      </x:c>
    </x:row>
    <x:row r="1721">
      <x:c r="B1721" s="21" t="str">
        <x:v>C1715</x:v>
      </x:c>
      <x:c r="C1721" s="21" t="str">
        <x:v>reserve ledger</x:v>
      </x:c>
      <x:c r="D1721" s="21" t="str">
        <x:v>reserve ratio identity row 50</x:v>
      </x:c>
      <x:c r="E1721" s="21" t="n">
        <x:f>IF(ABS('Reserve Ledger'!I50-'Reserve Ledger'!H50/'Reserve Ledger'!G50)&lt;0.000001,1,0)</x:f>
        <x:v>1</x:v>
      </x:c>
      <x:c r="F1721" s="21" t="n">
        <x:v>1</x:v>
      </x:c>
      <x:c r="G1721" s="23" t="str">
        <x:f>IF(E1721=F1721,"PASS","FAIL")</x:f>
        <x:v>PASS</x:v>
      </x:c>
    </x:row>
    <x:row r="1722">
      <x:c r="B1722" s="21" t="str">
        <x:v>C1716</x:v>
      </x:c>
      <x:c r="C1722" s="21" t="str">
        <x:v>reserve ledger</x:v>
      </x:c>
      <x:c r="D1722" s="21" t="str">
        <x:v>reserve status identity row 50</x:v>
      </x:c>
      <x:c r="E1722" s="21" t="n">
        <x:f>IF('Reserve Ledger'!J50=IF('Reserve Ledger'!I50&gt;=1,"ADEQUATE","GAP"),1,0)</x:f>
        <x:v>1</x:v>
      </x:c>
      <x:c r="F1722" s="21" t="n">
        <x:v>1</x:v>
      </x:c>
      <x:c r="G1722" s="23" t="str">
        <x:f>IF(E1722=F1722,"PASS","FAIL")</x:f>
        <x:v>PASS</x:v>
      </x:c>
    </x:row>
    <x:row r="1723">
      <x:c r="B1723" s="21" t="str">
        <x:v>C1717</x:v>
      </x:c>
      <x:c r="C1723" s="21" t="str">
        <x:v>reserve ledger</x:v>
      </x:c>
      <x:c r="D1723" s="21" t="str">
        <x:v>post-service identity row 51</x:v>
      </x:c>
      <x:c r="E1723" s="21" t="n">
        <x:f>IF(ABS('Reserve Ledger'!H51-MAX(0,'Reserve Ledger'!E51-'Reserve Ledger'!F51))&lt;0.000001,1,0)</x:f>
        <x:v>1</x:v>
      </x:c>
      <x:c r="F1723" s="21" t="n">
        <x:v>1</x:v>
      </x:c>
      <x:c r="G1723" s="23" t="str">
        <x:f>IF(E1723=F1723,"PASS","FAIL")</x:f>
        <x:v>PASS</x:v>
      </x:c>
    </x:row>
    <x:row r="1724">
      <x:c r="B1724" s="21" t="str">
        <x:v>C1718</x:v>
      </x:c>
      <x:c r="C1724" s="21" t="str">
        <x:v>reserve ledger</x:v>
      </x:c>
      <x:c r="D1724" s="21" t="str">
        <x:v>reserve ratio identity row 51</x:v>
      </x:c>
      <x:c r="E1724" s="21" t="n">
        <x:f>IF(ABS('Reserve Ledger'!I51-'Reserve Ledger'!H51/'Reserve Ledger'!G51)&lt;0.000001,1,0)</x:f>
        <x:v>1</x:v>
      </x:c>
      <x:c r="F1724" s="21" t="n">
        <x:v>1</x:v>
      </x:c>
      <x:c r="G1724" s="23" t="str">
        <x:f>IF(E1724=F1724,"PASS","FAIL")</x:f>
        <x:v>PASS</x:v>
      </x:c>
    </x:row>
    <x:row r="1725">
      <x:c r="B1725" s="21" t="str">
        <x:v>C1719</x:v>
      </x:c>
      <x:c r="C1725" s="21" t="str">
        <x:v>reserve ledger</x:v>
      </x:c>
      <x:c r="D1725" s="21" t="str">
        <x:v>reserve status identity row 51</x:v>
      </x:c>
      <x:c r="E1725" s="21" t="n">
        <x:f>IF('Reserve Ledger'!J51=IF('Reserve Ledger'!I51&gt;=1,"ADEQUATE","GAP"),1,0)</x:f>
        <x:v>1</x:v>
      </x:c>
      <x:c r="F1725" s="21" t="n">
        <x:v>1</x:v>
      </x:c>
      <x:c r="G1725" s="23" t="str">
        <x:f>IF(E1725=F1725,"PASS","FAIL")</x:f>
        <x:v>PASS</x:v>
      </x:c>
    </x:row>
    <x:row r="1726">
      <x:c r="B1726" s="21" t="str">
        <x:v>C1720</x:v>
      </x:c>
      <x:c r="C1726" s="21" t="str">
        <x:v>reserve ledger</x:v>
      </x:c>
      <x:c r="D1726" s="21" t="str">
        <x:v>post-service identity row 52</x:v>
      </x:c>
      <x:c r="E1726" s="21" t="n">
        <x:f>IF(ABS('Reserve Ledger'!H52-MAX(0,'Reserve Ledger'!E52-'Reserve Ledger'!F52))&lt;0.000001,1,0)</x:f>
        <x:v>1</x:v>
      </x:c>
      <x:c r="F1726" s="21" t="n">
        <x:v>1</x:v>
      </x:c>
      <x:c r="G1726" s="23" t="str">
        <x:f>IF(E1726=F1726,"PASS","FAIL")</x:f>
        <x:v>PASS</x:v>
      </x:c>
    </x:row>
    <x:row r="1727">
      <x:c r="B1727" s="21" t="str">
        <x:v>C1721</x:v>
      </x:c>
      <x:c r="C1727" s="21" t="str">
        <x:v>reserve ledger</x:v>
      </x:c>
      <x:c r="D1727" s="21" t="str">
        <x:v>reserve ratio identity row 52</x:v>
      </x:c>
      <x:c r="E1727" s="21" t="n">
        <x:f>IF(ABS('Reserve Ledger'!I52-'Reserve Ledger'!H52/'Reserve Ledger'!G52)&lt;0.000001,1,0)</x:f>
        <x:v>1</x:v>
      </x:c>
      <x:c r="F1727" s="21" t="n">
        <x:v>1</x:v>
      </x:c>
      <x:c r="G1727" s="23" t="str">
        <x:f>IF(E1727=F1727,"PASS","FAIL")</x:f>
        <x:v>PASS</x:v>
      </x:c>
    </x:row>
    <x:row r="1728">
      <x:c r="B1728" s="21" t="str">
        <x:v>C1722</x:v>
      </x:c>
      <x:c r="C1728" s="21" t="str">
        <x:v>reserve ledger</x:v>
      </x:c>
      <x:c r="D1728" s="21" t="str">
        <x:v>reserve status identity row 52</x:v>
      </x:c>
      <x:c r="E1728" s="21" t="n">
        <x:f>IF('Reserve Ledger'!J52=IF('Reserve Ledger'!I52&gt;=1,"ADEQUATE","GAP"),1,0)</x:f>
        <x:v>1</x:v>
      </x:c>
      <x:c r="F1728" s="21" t="n">
        <x:v>1</x:v>
      </x:c>
      <x:c r="G1728" s="23" t="str">
        <x:f>IF(E1728=F1728,"PASS","FAIL")</x:f>
        <x:v>PASS</x:v>
      </x:c>
    </x:row>
    <x:row r="1729">
      <x:c r="B1729" s="21" t="str">
        <x:v>C1723</x:v>
      </x:c>
      <x:c r="C1729" s="21" t="str">
        <x:v>reserve ledger</x:v>
      </x:c>
      <x:c r="D1729" s="21" t="str">
        <x:v>post-service identity row 53</x:v>
      </x:c>
      <x:c r="E1729" s="21" t="n">
        <x:f>IF(ABS('Reserve Ledger'!H53-MAX(0,'Reserve Ledger'!E53-'Reserve Ledger'!F53))&lt;0.000001,1,0)</x:f>
        <x:v>1</x:v>
      </x:c>
      <x:c r="F1729" s="21" t="n">
        <x:v>1</x:v>
      </x:c>
      <x:c r="G1729" s="23" t="str">
        <x:f>IF(E1729=F1729,"PASS","FAIL")</x:f>
        <x:v>PASS</x:v>
      </x:c>
    </x:row>
    <x:row r="1730">
      <x:c r="B1730" s="21" t="str">
        <x:v>C1724</x:v>
      </x:c>
      <x:c r="C1730" s="21" t="str">
        <x:v>reserve ledger</x:v>
      </x:c>
      <x:c r="D1730" s="21" t="str">
        <x:v>reserve ratio identity row 53</x:v>
      </x:c>
      <x:c r="E1730" s="21" t="n">
        <x:f>IF(ABS('Reserve Ledger'!I53-'Reserve Ledger'!H53/'Reserve Ledger'!G53)&lt;0.000001,1,0)</x:f>
        <x:v>1</x:v>
      </x:c>
      <x:c r="F1730" s="21" t="n">
        <x:v>1</x:v>
      </x:c>
      <x:c r="G1730" s="23" t="str">
        <x:f>IF(E1730=F1730,"PASS","FAIL")</x:f>
        <x:v>PASS</x:v>
      </x:c>
    </x:row>
    <x:row r="1731">
      <x:c r="B1731" s="21" t="str">
        <x:v>C1725</x:v>
      </x:c>
      <x:c r="C1731" s="21" t="str">
        <x:v>reserve ledger</x:v>
      </x:c>
      <x:c r="D1731" s="21" t="str">
        <x:v>reserve status identity row 53</x:v>
      </x:c>
      <x:c r="E1731" s="21" t="n">
        <x:f>IF('Reserve Ledger'!J53=IF('Reserve Ledger'!I53&gt;=1,"ADEQUATE","GAP"),1,0)</x:f>
        <x:v>1</x:v>
      </x:c>
      <x:c r="F1731" s="21" t="n">
        <x:v>1</x:v>
      </x:c>
      <x:c r="G1731" s="23" t="str">
        <x:f>IF(E1731=F1731,"PASS","FAIL")</x:f>
        <x:v>PASS</x:v>
      </x:c>
    </x:row>
    <x:row r="1732">
      <x:c r="B1732" s="21" t="str">
        <x:v>C1726</x:v>
      </x:c>
      <x:c r="C1732" s="21" t="str">
        <x:v>reserve ledger</x:v>
      </x:c>
      <x:c r="D1732" s="21" t="str">
        <x:v>post-service identity row 54</x:v>
      </x:c>
      <x:c r="E1732" s="21" t="n">
        <x:f>IF(ABS('Reserve Ledger'!H54-MAX(0,'Reserve Ledger'!E54-'Reserve Ledger'!F54))&lt;0.000001,1,0)</x:f>
        <x:v>1</x:v>
      </x:c>
      <x:c r="F1732" s="21" t="n">
        <x:v>1</x:v>
      </x:c>
      <x:c r="G1732" s="23" t="str">
        <x:f>IF(E1732=F1732,"PASS","FAIL")</x:f>
        <x:v>PASS</x:v>
      </x:c>
    </x:row>
    <x:row r="1733">
      <x:c r="B1733" s="21" t="str">
        <x:v>C1727</x:v>
      </x:c>
      <x:c r="C1733" s="21" t="str">
        <x:v>reserve ledger</x:v>
      </x:c>
      <x:c r="D1733" s="21" t="str">
        <x:v>reserve ratio identity row 54</x:v>
      </x:c>
      <x:c r="E1733" s="21" t="n">
        <x:f>IF(ABS('Reserve Ledger'!I54-'Reserve Ledger'!H54/'Reserve Ledger'!G54)&lt;0.000001,1,0)</x:f>
        <x:v>1</x:v>
      </x:c>
      <x:c r="F1733" s="21" t="n">
        <x:v>1</x:v>
      </x:c>
      <x:c r="G1733" s="23" t="str">
        <x:f>IF(E1733=F1733,"PASS","FAIL")</x:f>
        <x:v>PASS</x:v>
      </x:c>
    </x:row>
    <x:row r="1734">
      <x:c r="B1734" s="21" t="str">
        <x:v>C1728</x:v>
      </x:c>
      <x:c r="C1734" s="21" t="str">
        <x:v>reserve ledger</x:v>
      </x:c>
      <x:c r="D1734" s="21" t="str">
        <x:v>reserve status identity row 54</x:v>
      </x:c>
      <x:c r="E1734" s="21" t="n">
        <x:f>IF('Reserve Ledger'!J54=IF('Reserve Ledger'!I54&gt;=1,"ADEQUATE","GAP"),1,0)</x:f>
        <x:v>1</x:v>
      </x:c>
      <x:c r="F1734" s="21" t="n">
        <x:v>1</x:v>
      </x:c>
      <x:c r="G1734" s="23" t="str">
        <x:f>IF(E1734=F1734,"PASS","FAIL")</x:f>
        <x:v>PASS</x:v>
      </x:c>
    </x:row>
    <x:row r="1735">
      <x:c r="B1735" s="21" t="str">
        <x:v>C1729</x:v>
      </x:c>
      <x:c r="C1735" s="21" t="str">
        <x:v>reserve ledger</x:v>
      </x:c>
      <x:c r="D1735" s="21" t="str">
        <x:v>post-service identity row 55</x:v>
      </x:c>
      <x:c r="E1735" s="21" t="n">
        <x:f>IF(ABS('Reserve Ledger'!H55-MAX(0,'Reserve Ledger'!E55-'Reserve Ledger'!F55))&lt;0.000001,1,0)</x:f>
        <x:v>1</x:v>
      </x:c>
      <x:c r="F1735" s="21" t="n">
        <x:v>1</x:v>
      </x:c>
      <x:c r="G1735" s="23" t="str">
        <x:f>IF(E1735=F1735,"PASS","FAIL")</x:f>
        <x:v>PASS</x:v>
      </x:c>
    </x:row>
    <x:row r="1736">
      <x:c r="B1736" s="21" t="str">
        <x:v>C1730</x:v>
      </x:c>
      <x:c r="C1736" s="21" t="str">
        <x:v>reserve ledger</x:v>
      </x:c>
      <x:c r="D1736" s="21" t="str">
        <x:v>reserve ratio identity row 55</x:v>
      </x:c>
      <x:c r="E1736" s="21" t="n">
        <x:f>IF(ABS('Reserve Ledger'!I55-'Reserve Ledger'!H55/'Reserve Ledger'!G55)&lt;0.000001,1,0)</x:f>
        <x:v>1</x:v>
      </x:c>
      <x:c r="F1736" s="21" t="n">
        <x:v>1</x:v>
      </x:c>
      <x:c r="G1736" s="23" t="str">
        <x:f>IF(E1736=F1736,"PASS","FAIL")</x:f>
        <x:v>PASS</x:v>
      </x:c>
    </x:row>
    <x:row r="1737">
      <x:c r="B1737" s="21" t="str">
        <x:v>C1731</x:v>
      </x:c>
      <x:c r="C1737" s="21" t="str">
        <x:v>reserve ledger</x:v>
      </x:c>
      <x:c r="D1737" s="21" t="str">
        <x:v>reserve status identity row 55</x:v>
      </x:c>
      <x:c r="E1737" s="21" t="n">
        <x:f>IF('Reserve Ledger'!J55=IF('Reserve Ledger'!I55&gt;=1,"ADEQUATE","GAP"),1,0)</x:f>
        <x:v>1</x:v>
      </x:c>
      <x:c r="F1737" s="21" t="n">
        <x:v>1</x:v>
      </x:c>
      <x:c r="G1737" s="23" t="str">
        <x:f>IF(E1737=F1737,"PASS","FAIL")</x:f>
        <x:v>PASS</x:v>
      </x:c>
    </x:row>
    <x:row r="1738">
      <x:c r="B1738" s="21" t="str">
        <x:v>C1732</x:v>
      </x:c>
      <x:c r="C1738" s="21" t="str">
        <x:v>reserve ledger</x:v>
      </x:c>
      <x:c r="D1738" s="21" t="str">
        <x:v>post-service identity row 56</x:v>
      </x:c>
      <x:c r="E1738" s="21" t="n">
        <x:f>IF(ABS('Reserve Ledger'!H56-MAX(0,'Reserve Ledger'!E56-'Reserve Ledger'!F56))&lt;0.000001,1,0)</x:f>
        <x:v>1</x:v>
      </x:c>
      <x:c r="F1738" s="21" t="n">
        <x:v>1</x:v>
      </x:c>
      <x:c r="G1738" s="23" t="str">
        <x:f>IF(E1738=F1738,"PASS","FAIL")</x:f>
        <x:v>PASS</x:v>
      </x:c>
    </x:row>
    <x:row r="1739">
      <x:c r="B1739" s="21" t="str">
        <x:v>C1733</x:v>
      </x:c>
      <x:c r="C1739" s="21" t="str">
        <x:v>reserve ledger</x:v>
      </x:c>
      <x:c r="D1739" s="21" t="str">
        <x:v>reserve ratio identity row 56</x:v>
      </x:c>
      <x:c r="E1739" s="21" t="n">
        <x:f>IF(ABS('Reserve Ledger'!I56-'Reserve Ledger'!H56/'Reserve Ledger'!G56)&lt;0.000001,1,0)</x:f>
        <x:v>1</x:v>
      </x:c>
      <x:c r="F1739" s="21" t="n">
        <x:v>1</x:v>
      </x:c>
      <x:c r="G1739" s="23" t="str">
        <x:f>IF(E1739=F1739,"PASS","FAIL")</x:f>
        <x:v>PASS</x:v>
      </x:c>
    </x:row>
    <x:row r="1740">
      <x:c r="B1740" s="21" t="str">
        <x:v>C1734</x:v>
      </x:c>
      <x:c r="C1740" s="21" t="str">
        <x:v>reserve ledger</x:v>
      </x:c>
      <x:c r="D1740" s="21" t="str">
        <x:v>reserve status identity row 56</x:v>
      </x:c>
      <x:c r="E1740" s="21" t="n">
        <x:f>IF('Reserve Ledger'!J56=IF('Reserve Ledger'!I56&gt;=1,"ADEQUATE","GAP"),1,0)</x:f>
        <x:v>1</x:v>
      </x:c>
      <x:c r="F1740" s="21" t="n">
        <x:v>1</x:v>
      </x:c>
      <x:c r="G1740" s="23" t="str">
        <x:f>IF(E1740=F1740,"PASS","FAIL")</x:f>
        <x:v>PASS</x:v>
      </x:c>
    </x:row>
    <x:row r="1741">
      <x:c r="B1741" s="21" t="str">
        <x:v>C1735</x:v>
      </x:c>
      <x:c r="C1741" s="21" t="str">
        <x:v>reserve ledger</x:v>
      </x:c>
      <x:c r="D1741" s="21" t="str">
        <x:v>post-service identity row 57</x:v>
      </x:c>
      <x:c r="E1741" s="21" t="n">
        <x:f>IF(ABS('Reserve Ledger'!H57-MAX(0,'Reserve Ledger'!E57-'Reserve Ledger'!F57))&lt;0.000001,1,0)</x:f>
        <x:v>1</x:v>
      </x:c>
      <x:c r="F1741" s="21" t="n">
        <x:v>1</x:v>
      </x:c>
      <x:c r="G1741" s="23" t="str">
        <x:f>IF(E1741=F1741,"PASS","FAIL")</x:f>
        <x:v>PASS</x:v>
      </x:c>
    </x:row>
    <x:row r="1742">
      <x:c r="B1742" s="21" t="str">
        <x:v>C1736</x:v>
      </x:c>
      <x:c r="C1742" s="21" t="str">
        <x:v>reserve ledger</x:v>
      </x:c>
      <x:c r="D1742" s="21" t="str">
        <x:v>reserve ratio identity row 57</x:v>
      </x:c>
      <x:c r="E1742" s="21" t="n">
        <x:f>IF(ABS('Reserve Ledger'!I57-'Reserve Ledger'!H57/'Reserve Ledger'!G57)&lt;0.000001,1,0)</x:f>
        <x:v>1</x:v>
      </x:c>
      <x:c r="F1742" s="21" t="n">
        <x:v>1</x:v>
      </x:c>
      <x:c r="G1742" s="23" t="str">
        <x:f>IF(E1742=F1742,"PASS","FAIL")</x:f>
        <x:v>PASS</x:v>
      </x:c>
    </x:row>
    <x:row r="1743">
      <x:c r="B1743" s="21" t="str">
        <x:v>C1737</x:v>
      </x:c>
      <x:c r="C1743" s="21" t="str">
        <x:v>reserve ledger</x:v>
      </x:c>
      <x:c r="D1743" s="21" t="str">
        <x:v>reserve status identity row 57</x:v>
      </x:c>
      <x:c r="E1743" s="21" t="n">
        <x:f>IF('Reserve Ledger'!J57=IF('Reserve Ledger'!I57&gt;=1,"ADEQUATE","GAP"),1,0)</x:f>
        <x:v>1</x:v>
      </x:c>
      <x:c r="F1743" s="21" t="n">
        <x:v>1</x:v>
      </x:c>
      <x:c r="G1743" s="23" t="str">
        <x:f>IF(E1743=F1743,"PASS","FAIL")</x:f>
        <x:v>PASS</x:v>
      </x:c>
    </x:row>
    <x:row r="1744">
      <x:c r="B1744" s="21" t="str">
        <x:v>C1738</x:v>
      </x:c>
      <x:c r="C1744" s="21" t="str">
        <x:v>reserve ledger</x:v>
      </x:c>
      <x:c r="D1744" s="21" t="str">
        <x:v>post-service identity row 58</x:v>
      </x:c>
      <x:c r="E1744" s="21" t="n">
        <x:f>IF(ABS('Reserve Ledger'!H58-MAX(0,'Reserve Ledger'!E58-'Reserve Ledger'!F58))&lt;0.000001,1,0)</x:f>
        <x:v>1</x:v>
      </x:c>
      <x:c r="F1744" s="21" t="n">
        <x:v>1</x:v>
      </x:c>
      <x:c r="G1744" s="23" t="str">
        <x:f>IF(E1744=F1744,"PASS","FAIL")</x:f>
        <x:v>PASS</x:v>
      </x:c>
    </x:row>
    <x:row r="1745">
      <x:c r="B1745" s="21" t="str">
        <x:v>C1739</x:v>
      </x:c>
      <x:c r="C1745" s="21" t="str">
        <x:v>reserve ledger</x:v>
      </x:c>
      <x:c r="D1745" s="21" t="str">
        <x:v>reserve ratio identity row 58</x:v>
      </x:c>
      <x:c r="E1745" s="21" t="n">
        <x:f>IF(ABS('Reserve Ledger'!I58-'Reserve Ledger'!H58/'Reserve Ledger'!G58)&lt;0.000001,1,0)</x:f>
        <x:v>1</x:v>
      </x:c>
      <x:c r="F1745" s="21" t="n">
        <x:v>1</x:v>
      </x:c>
      <x:c r="G1745" s="23" t="str">
        <x:f>IF(E1745=F1745,"PASS","FAIL")</x:f>
        <x:v>PASS</x:v>
      </x:c>
    </x:row>
    <x:row r="1746">
      <x:c r="B1746" s="21" t="str">
        <x:v>C1740</x:v>
      </x:c>
      <x:c r="C1746" s="21" t="str">
        <x:v>reserve ledger</x:v>
      </x:c>
      <x:c r="D1746" s="21" t="str">
        <x:v>reserve status identity row 58</x:v>
      </x:c>
      <x:c r="E1746" s="21" t="n">
        <x:f>IF('Reserve Ledger'!J58=IF('Reserve Ledger'!I58&gt;=1,"ADEQUATE","GAP"),1,0)</x:f>
        <x:v>1</x:v>
      </x:c>
      <x:c r="F1746" s="21" t="n">
        <x:v>1</x:v>
      </x:c>
      <x:c r="G1746" s="23" t="str">
        <x:f>IF(E1746=F1746,"PASS","FAIL")</x:f>
        <x:v>PASS</x:v>
      </x:c>
    </x:row>
    <x:row r="1747">
      <x:c r="B1747" s="21" t="str">
        <x:v>C1741</x:v>
      </x:c>
      <x:c r="C1747" s="21" t="str">
        <x:v>reserve ledger</x:v>
      </x:c>
      <x:c r="D1747" s="21" t="str">
        <x:v>post-service identity row 59</x:v>
      </x:c>
      <x:c r="E1747" s="21" t="n">
        <x:f>IF(ABS('Reserve Ledger'!H59-MAX(0,'Reserve Ledger'!E59-'Reserve Ledger'!F59))&lt;0.000001,1,0)</x:f>
        <x:v>1</x:v>
      </x:c>
      <x:c r="F1747" s="21" t="n">
        <x:v>1</x:v>
      </x:c>
      <x:c r="G1747" s="23" t="str">
        <x:f>IF(E1747=F1747,"PASS","FAIL")</x:f>
        <x:v>PASS</x:v>
      </x:c>
    </x:row>
    <x:row r="1748">
      <x:c r="B1748" s="21" t="str">
        <x:v>C1742</x:v>
      </x:c>
      <x:c r="C1748" s="21" t="str">
        <x:v>reserve ledger</x:v>
      </x:c>
      <x:c r="D1748" s="21" t="str">
        <x:v>reserve ratio identity row 59</x:v>
      </x:c>
      <x:c r="E1748" s="21" t="n">
        <x:f>IF(ABS('Reserve Ledger'!I59-'Reserve Ledger'!H59/'Reserve Ledger'!G59)&lt;0.000001,1,0)</x:f>
        <x:v>1</x:v>
      </x:c>
      <x:c r="F1748" s="21" t="n">
        <x:v>1</x:v>
      </x:c>
      <x:c r="G1748" s="23" t="str">
        <x:f>IF(E1748=F1748,"PASS","FAIL")</x:f>
        <x:v>PASS</x:v>
      </x:c>
    </x:row>
    <x:row r="1749">
      <x:c r="B1749" s="21" t="str">
        <x:v>C1743</x:v>
      </x:c>
      <x:c r="C1749" s="21" t="str">
        <x:v>reserve ledger</x:v>
      </x:c>
      <x:c r="D1749" s="21" t="str">
        <x:v>reserve status identity row 59</x:v>
      </x:c>
      <x:c r="E1749" s="21" t="n">
        <x:f>IF('Reserve Ledger'!J59=IF('Reserve Ledger'!I59&gt;=1,"ADEQUATE","GAP"),1,0)</x:f>
        <x:v>1</x:v>
      </x:c>
      <x:c r="F1749" s="21" t="n">
        <x:v>1</x:v>
      </x:c>
      <x:c r="G1749" s="23" t="str">
        <x:f>IF(E1749=F1749,"PASS","FAIL")</x:f>
        <x:v>PASS</x:v>
      </x:c>
    </x:row>
    <x:row r="1750">
      <x:c r="B1750" s="21" t="str">
        <x:v>C1744</x:v>
      </x:c>
      <x:c r="C1750" s="21" t="str">
        <x:v>reserve ledger</x:v>
      </x:c>
      <x:c r="D1750" s="21" t="str">
        <x:v>post-service identity row 60</x:v>
      </x:c>
      <x:c r="E1750" s="21" t="n">
        <x:f>IF(ABS('Reserve Ledger'!H60-MAX(0,'Reserve Ledger'!E60-'Reserve Ledger'!F60))&lt;0.000001,1,0)</x:f>
        <x:v>1</x:v>
      </x:c>
      <x:c r="F1750" s="21" t="n">
        <x:v>1</x:v>
      </x:c>
      <x:c r="G1750" s="23" t="str">
        <x:f>IF(E1750=F1750,"PASS","FAIL")</x:f>
        <x:v>PASS</x:v>
      </x:c>
    </x:row>
    <x:row r="1751">
      <x:c r="B1751" s="21" t="str">
        <x:v>C1745</x:v>
      </x:c>
      <x:c r="C1751" s="21" t="str">
        <x:v>reserve ledger</x:v>
      </x:c>
      <x:c r="D1751" s="21" t="str">
        <x:v>reserve ratio identity row 60</x:v>
      </x:c>
      <x:c r="E1751" s="21" t="n">
        <x:f>IF(ABS('Reserve Ledger'!I60-'Reserve Ledger'!H60/'Reserve Ledger'!G60)&lt;0.000001,1,0)</x:f>
        <x:v>1</x:v>
      </x:c>
      <x:c r="F1751" s="21" t="n">
        <x:v>1</x:v>
      </x:c>
      <x:c r="G1751" s="23" t="str">
        <x:f>IF(E1751=F1751,"PASS","FAIL")</x:f>
        <x:v>PASS</x:v>
      </x:c>
    </x:row>
    <x:row r="1752">
      <x:c r="B1752" s="21" t="str">
        <x:v>C1746</x:v>
      </x:c>
      <x:c r="C1752" s="21" t="str">
        <x:v>reserve ledger</x:v>
      </x:c>
      <x:c r="D1752" s="21" t="str">
        <x:v>reserve status identity row 60</x:v>
      </x:c>
      <x:c r="E1752" s="21" t="n">
        <x:f>IF('Reserve Ledger'!J60=IF('Reserve Ledger'!I60&gt;=1,"ADEQUATE","GAP"),1,0)</x:f>
        <x:v>1</x:v>
      </x:c>
      <x:c r="F1752" s="21" t="n">
        <x:v>1</x:v>
      </x:c>
      <x:c r="G1752" s="23" t="str">
        <x:f>IF(E1752=F1752,"PASS","FAIL")</x:f>
        <x:v>PASS</x:v>
      </x:c>
    </x:row>
    <x:row r="1753">
      <x:c r="B1753" s="21" t="str">
        <x:v>C1747</x:v>
      </x:c>
      <x:c r="C1753" s="21" t="str">
        <x:v>reserve ledger</x:v>
      </x:c>
      <x:c r="D1753" s="21" t="str">
        <x:v>post-service identity row 61</x:v>
      </x:c>
      <x:c r="E1753" s="21" t="n">
        <x:f>IF(ABS('Reserve Ledger'!H61-MAX(0,'Reserve Ledger'!E61-'Reserve Ledger'!F61))&lt;0.000001,1,0)</x:f>
        <x:v>1</x:v>
      </x:c>
      <x:c r="F1753" s="21" t="n">
        <x:v>1</x:v>
      </x:c>
      <x:c r="G1753" s="23" t="str">
        <x:f>IF(E1753=F1753,"PASS","FAIL")</x:f>
        <x:v>PASS</x:v>
      </x:c>
    </x:row>
    <x:row r="1754">
      <x:c r="B1754" s="21" t="str">
        <x:v>C1748</x:v>
      </x:c>
      <x:c r="C1754" s="21" t="str">
        <x:v>reserve ledger</x:v>
      </x:c>
      <x:c r="D1754" s="21" t="str">
        <x:v>reserve ratio identity row 61</x:v>
      </x:c>
      <x:c r="E1754" s="21" t="n">
        <x:f>IF(ABS('Reserve Ledger'!I61-'Reserve Ledger'!H61/'Reserve Ledger'!G61)&lt;0.000001,1,0)</x:f>
        <x:v>1</x:v>
      </x:c>
      <x:c r="F1754" s="21" t="n">
        <x:v>1</x:v>
      </x:c>
      <x:c r="G1754" s="23" t="str">
        <x:f>IF(E1754=F1754,"PASS","FAIL")</x:f>
        <x:v>PASS</x:v>
      </x:c>
    </x:row>
    <x:row r="1755">
      <x:c r="B1755" s="21" t="str">
        <x:v>C1749</x:v>
      </x:c>
      <x:c r="C1755" s="21" t="str">
        <x:v>reserve ledger</x:v>
      </x:c>
      <x:c r="D1755" s="21" t="str">
        <x:v>reserve status identity row 61</x:v>
      </x:c>
      <x:c r="E1755" s="21" t="n">
        <x:f>IF('Reserve Ledger'!J61=IF('Reserve Ledger'!I61&gt;=1,"ADEQUATE","GAP"),1,0)</x:f>
        <x:v>1</x:v>
      </x:c>
      <x:c r="F1755" s="21" t="n">
        <x:v>1</x:v>
      </x:c>
      <x:c r="G1755" s="23" t="str">
        <x:f>IF(E1755=F1755,"PASS","FAIL")</x:f>
        <x:v>PASS</x:v>
      </x:c>
    </x:row>
    <x:row r="1756">
      <x:c r="B1756" s="21" t="str">
        <x:v>C1750</x:v>
      </x:c>
      <x:c r="C1756" s="21" t="str">
        <x:v>reserve ledger</x:v>
      </x:c>
      <x:c r="D1756" s="21" t="str">
        <x:v>post-service identity row 62</x:v>
      </x:c>
      <x:c r="E1756" s="21" t="n">
        <x:f>IF(ABS('Reserve Ledger'!H62-MAX(0,'Reserve Ledger'!E62-'Reserve Ledger'!F62))&lt;0.000001,1,0)</x:f>
        <x:v>1</x:v>
      </x:c>
      <x:c r="F1756" s="21" t="n">
        <x:v>1</x:v>
      </x:c>
      <x:c r="G1756" s="23" t="str">
        <x:f>IF(E1756=F1756,"PASS","FAIL")</x:f>
        <x:v>PASS</x:v>
      </x:c>
    </x:row>
    <x:row r="1757">
      <x:c r="B1757" s="21" t="str">
        <x:v>C1751</x:v>
      </x:c>
      <x:c r="C1757" s="21" t="str">
        <x:v>reserve ledger</x:v>
      </x:c>
      <x:c r="D1757" s="21" t="str">
        <x:v>reserve ratio identity row 62</x:v>
      </x:c>
      <x:c r="E1757" s="21" t="n">
        <x:f>IF(ABS('Reserve Ledger'!I62-'Reserve Ledger'!H62/'Reserve Ledger'!G62)&lt;0.000001,1,0)</x:f>
        <x:v>1</x:v>
      </x:c>
      <x:c r="F1757" s="21" t="n">
        <x:v>1</x:v>
      </x:c>
      <x:c r="G1757" s="23" t="str">
        <x:f>IF(E1757=F1757,"PASS","FAIL")</x:f>
        <x:v>PASS</x:v>
      </x:c>
    </x:row>
    <x:row r="1758">
      <x:c r="B1758" s="21" t="str">
        <x:v>C1752</x:v>
      </x:c>
      <x:c r="C1758" s="21" t="str">
        <x:v>reserve ledger</x:v>
      </x:c>
      <x:c r="D1758" s="21" t="str">
        <x:v>reserve status identity row 62</x:v>
      </x:c>
      <x:c r="E1758" s="21" t="n">
        <x:f>IF('Reserve Ledger'!J62=IF('Reserve Ledger'!I62&gt;=1,"ADEQUATE","GAP"),1,0)</x:f>
        <x:v>1</x:v>
      </x:c>
      <x:c r="F1758" s="21" t="n">
        <x:v>1</x:v>
      </x:c>
      <x:c r="G1758" s="23" t="str">
        <x:f>IF(E1758=F1758,"PASS","FAIL")</x:f>
        <x:v>PASS</x:v>
      </x:c>
    </x:row>
    <x:row r="1759">
      <x:c r="B1759" s="21" t="str">
        <x:v>C1753</x:v>
      </x:c>
      <x:c r="C1759" s="21" t="str">
        <x:v>reserve ledger</x:v>
      </x:c>
      <x:c r="D1759" s="21" t="str">
        <x:v>post-service identity row 63</x:v>
      </x:c>
      <x:c r="E1759" s="21" t="n">
        <x:f>IF(ABS('Reserve Ledger'!H63-MAX(0,'Reserve Ledger'!E63-'Reserve Ledger'!F63))&lt;0.000001,1,0)</x:f>
        <x:v>1</x:v>
      </x:c>
      <x:c r="F1759" s="21" t="n">
        <x:v>1</x:v>
      </x:c>
      <x:c r="G1759" s="23" t="str">
        <x:f>IF(E1759=F1759,"PASS","FAIL")</x:f>
        <x:v>PASS</x:v>
      </x:c>
    </x:row>
    <x:row r="1760">
      <x:c r="B1760" s="21" t="str">
        <x:v>C1754</x:v>
      </x:c>
      <x:c r="C1760" s="21" t="str">
        <x:v>reserve ledger</x:v>
      </x:c>
      <x:c r="D1760" s="21" t="str">
        <x:v>reserve ratio identity row 63</x:v>
      </x:c>
      <x:c r="E1760" s="21" t="n">
        <x:f>IF(ABS('Reserve Ledger'!I63-'Reserve Ledger'!H63/'Reserve Ledger'!G63)&lt;0.000001,1,0)</x:f>
        <x:v>1</x:v>
      </x:c>
      <x:c r="F1760" s="21" t="n">
        <x:v>1</x:v>
      </x:c>
      <x:c r="G1760" s="23" t="str">
        <x:f>IF(E1760=F1760,"PASS","FAIL")</x:f>
        <x:v>PASS</x:v>
      </x:c>
    </x:row>
    <x:row r="1761">
      <x:c r="B1761" s="21" t="str">
        <x:v>C1755</x:v>
      </x:c>
      <x:c r="C1761" s="21" t="str">
        <x:v>reserve ledger</x:v>
      </x:c>
      <x:c r="D1761" s="21" t="str">
        <x:v>reserve status identity row 63</x:v>
      </x:c>
      <x:c r="E1761" s="21" t="n">
        <x:f>IF('Reserve Ledger'!J63=IF('Reserve Ledger'!I63&gt;=1,"ADEQUATE","GAP"),1,0)</x:f>
        <x:v>1</x:v>
      </x:c>
      <x:c r="F1761" s="21" t="n">
        <x:v>1</x:v>
      </x:c>
      <x:c r="G1761" s="23" t="str">
        <x:f>IF(E1761=F1761,"PASS","FAIL")</x:f>
        <x:v>PASS</x:v>
      </x:c>
    </x:row>
    <x:row r="1762">
      <x:c r="B1762" s="21" t="str">
        <x:v>C1756</x:v>
      </x:c>
      <x:c r="C1762" s="21" t="str">
        <x:v>reserve ledger</x:v>
      </x:c>
      <x:c r="D1762" s="21" t="str">
        <x:v>post-service identity row 64</x:v>
      </x:c>
      <x:c r="E1762" s="21" t="n">
        <x:f>IF(ABS('Reserve Ledger'!H64-MAX(0,'Reserve Ledger'!E64-'Reserve Ledger'!F64))&lt;0.000001,1,0)</x:f>
        <x:v>1</x:v>
      </x:c>
      <x:c r="F1762" s="21" t="n">
        <x:v>1</x:v>
      </x:c>
      <x:c r="G1762" s="23" t="str">
        <x:f>IF(E1762=F1762,"PASS","FAIL")</x:f>
        <x:v>PASS</x:v>
      </x:c>
    </x:row>
    <x:row r="1763">
      <x:c r="B1763" s="21" t="str">
        <x:v>C1757</x:v>
      </x:c>
      <x:c r="C1763" s="21" t="str">
        <x:v>reserve ledger</x:v>
      </x:c>
      <x:c r="D1763" s="21" t="str">
        <x:v>reserve ratio identity row 64</x:v>
      </x:c>
      <x:c r="E1763" s="21" t="n">
        <x:f>IF(ABS('Reserve Ledger'!I64-'Reserve Ledger'!H64/'Reserve Ledger'!G64)&lt;0.000001,1,0)</x:f>
        <x:v>1</x:v>
      </x:c>
      <x:c r="F1763" s="21" t="n">
        <x:v>1</x:v>
      </x:c>
      <x:c r="G1763" s="23" t="str">
        <x:f>IF(E1763=F1763,"PASS","FAIL")</x:f>
        <x:v>PASS</x:v>
      </x:c>
    </x:row>
    <x:row r="1764">
      <x:c r="B1764" s="21" t="str">
        <x:v>C1758</x:v>
      </x:c>
      <x:c r="C1764" s="21" t="str">
        <x:v>reserve ledger</x:v>
      </x:c>
      <x:c r="D1764" s="21" t="str">
        <x:v>reserve status identity row 64</x:v>
      </x:c>
      <x:c r="E1764" s="21" t="n">
        <x:f>IF('Reserve Ledger'!J64=IF('Reserve Ledger'!I64&gt;=1,"ADEQUATE","GAP"),1,0)</x:f>
        <x:v>1</x:v>
      </x:c>
      <x:c r="F1764" s="21" t="n">
        <x:v>1</x:v>
      </x:c>
      <x:c r="G1764" s="23" t="str">
        <x:f>IF(E1764=F1764,"PASS","FAIL")</x:f>
        <x:v>PASS</x:v>
      </x:c>
    </x:row>
    <x:row r="1765">
      <x:c r="B1765" s="21" t="str">
        <x:v>C1759</x:v>
      </x:c>
      <x:c r="C1765" s="21" t="str">
        <x:v>reserve ledger</x:v>
      </x:c>
      <x:c r="D1765" s="21" t="str">
        <x:v>post-service identity row 65</x:v>
      </x:c>
      <x:c r="E1765" s="21" t="n">
        <x:f>IF(ABS('Reserve Ledger'!H65-MAX(0,'Reserve Ledger'!E65-'Reserve Ledger'!F65))&lt;0.000001,1,0)</x:f>
        <x:v>1</x:v>
      </x:c>
      <x:c r="F1765" s="21" t="n">
        <x:v>1</x:v>
      </x:c>
      <x:c r="G1765" s="23" t="str">
        <x:f>IF(E1765=F1765,"PASS","FAIL")</x:f>
        <x:v>PASS</x:v>
      </x:c>
    </x:row>
    <x:row r="1766">
      <x:c r="B1766" s="21" t="str">
        <x:v>C1760</x:v>
      </x:c>
      <x:c r="C1766" s="21" t="str">
        <x:v>reserve ledger</x:v>
      </x:c>
      <x:c r="D1766" s="21" t="str">
        <x:v>reserve ratio identity row 65</x:v>
      </x:c>
      <x:c r="E1766" s="21" t="n">
        <x:f>IF(ABS('Reserve Ledger'!I65-'Reserve Ledger'!H65/'Reserve Ledger'!G65)&lt;0.000001,1,0)</x:f>
        <x:v>1</x:v>
      </x:c>
      <x:c r="F1766" s="21" t="n">
        <x:v>1</x:v>
      </x:c>
      <x:c r="G1766" s="23" t="str">
        <x:f>IF(E1766=F1766,"PASS","FAIL")</x:f>
        <x:v>PASS</x:v>
      </x:c>
    </x:row>
    <x:row r="1767">
      <x:c r="B1767" s="21" t="str">
        <x:v>C1761</x:v>
      </x:c>
      <x:c r="C1767" s="21" t="str">
        <x:v>reserve ledger</x:v>
      </x:c>
      <x:c r="D1767" s="21" t="str">
        <x:v>reserve status identity row 65</x:v>
      </x:c>
      <x:c r="E1767" s="21" t="n">
        <x:f>IF('Reserve Ledger'!J65=IF('Reserve Ledger'!I65&gt;=1,"ADEQUATE","GAP"),1,0)</x:f>
        <x:v>1</x:v>
      </x:c>
      <x:c r="F1767" s="21" t="n">
        <x:v>1</x:v>
      </x:c>
      <x:c r="G1767" s="23" t="str">
        <x:f>IF(E1767=F1767,"PASS","FAIL")</x:f>
        <x:v>PASS</x:v>
      </x:c>
    </x:row>
    <x:row r="1768">
      <x:c r="B1768" s="21" t="str">
        <x:v>C1762</x:v>
      </x:c>
      <x:c r="C1768" s="21" t="str">
        <x:v>reserve ledger</x:v>
      </x:c>
      <x:c r="D1768" s="21" t="str">
        <x:v>post-service identity row 66</x:v>
      </x:c>
      <x:c r="E1768" s="21" t="n">
        <x:f>IF(ABS('Reserve Ledger'!H66-MAX(0,'Reserve Ledger'!E66-'Reserve Ledger'!F66))&lt;0.000001,1,0)</x:f>
        <x:v>1</x:v>
      </x:c>
      <x:c r="F1768" s="21" t="n">
        <x:v>1</x:v>
      </x:c>
      <x:c r="G1768" s="23" t="str">
        <x:f>IF(E1768=F1768,"PASS","FAIL")</x:f>
        <x:v>PASS</x:v>
      </x:c>
    </x:row>
    <x:row r="1769">
      <x:c r="B1769" s="21" t="str">
        <x:v>C1763</x:v>
      </x:c>
      <x:c r="C1769" s="21" t="str">
        <x:v>reserve ledger</x:v>
      </x:c>
      <x:c r="D1769" s="21" t="str">
        <x:v>reserve ratio identity row 66</x:v>
      </x:c>
      <x:c r="E1769" s="21" t="n">
        <x:f>IF(ABS('Reserve Ledger'!I66-'Reserve Ledger'!H66/'Reserve Ledger'!G66)&lt;0.000001,1,0)</x:f>
        <x:v>1</x:v>
      </x:c>
      <x:c r="F1769" s="21" t="n">
        <x:v>1</x:v>
      </x:c>
      <x:c r="G1769" s="23" t="str">
        <x:f>IF(E1769=F1769,"PASS","FAIL")</x:f>
        <x:v>PASS</x:v>
      </x:c>
    </x:row>
    <x:row r="1770">
      <x:c r="B1770" s="21" t="str">
        <x:v>C1764</x:v>
      </x:c>
      <x:c r="C1770" s="21" t="str">
        <x:v>reserve ledger</x:v>
      </x:c>
      <x:c r="D1770" s="21" t="str">
        <x:v>reserve status identity row 66</x:v>
      </x:c>
      <x:c r="E1770" s="21" t="n">
        <x:f>IF('Reserve Ledger'!J66=IF('Reserve Ledger'!I66&gt;=1,"ADEQUATE","GAP"),1,0)</x:f>
        <x:v>1</x:v>
      </x:c>
      <x:c r="F1770" s="21" t="n">
        <x:v>1</x:v>
      </x:c>
      <x:c r="G1770" s="23" t="str">
        <x:f>IF(E1770=F1770,"PASS","FAIL")</x:f>
        <x:v>PASS</x:v>
      </x:c>
    </x:row>
    <x:row r="1771">
      <x:c r="B1771" s="21" t="str">
        <x:v>C1765</x:v>
      </x:c>
      <x:c r="C1771" s="21" t="str">
        <x:v>reserve ledger</x:v>
      </x:c>
      <x:c r="D1771" s="21" t="str">
        <x:v>post-service identity row 67</x:v>
      </x:c>
      <x:c r="E1771" s="21" t="n">
        <x:f>IF(ABS('Reserve Ledger'!H67-MAX(0,'Reserve Ledger'!E67-'Reserve Ledger'!F67))&lt;0.000001,1,0)</x:f>
        <x:v>1</x:v>
      </x:c>
      <x:c r="F1771" s="21" t="n">
        <x:v>1</x:v>
      </x:c>
      <x:c r="G1771" s="23" t="str">
        <x:f>IF(E1771=F1771,"PASS","FAIL")</x:f>
        <x:v>PASS</x:v>
      </x:c>
    </x:row>
    <x:row r="1772">
      <x:c r="B1772" s="21" t="str">
        <x:v>C1766</x:v>
      </x:c>
      <x:c r="C1772" s="21" t="str">
        <x:v>reserve ledger</x:v>
      </x:c>
      <x:c r="D1772" s="21" t="str">
        <x:v>reserve ratio identity row 67</x:v>
      </x:c>
      <x:c r="E1772" s="21" t="n">
        <x:f>IF(ABS('Reserve Ledger'!I67-'Reserve Ledger'!H67/'Reserve Ledger'!G67)&lt;0.000001,1,0)</x:f>
        <x:v>1</x:v>
      </x:c>
      <x:c r="F1772" s="21" t="n">
        <x:v>1</x:v>
      </x:c>
      <x:c r="G1772" s="23" t="str">
        <x:f>IF(E1772=F1772,"PASS","FAIL")</x:f>
        <x:v>PASS</x:v>
      </x:c>
    </x:row>
    <x:row r="1773">
      <x:c r="B1773" s="21" t="str">
        <x:v>C1767</x:v>
      </x:c>
      <x:c r="C1773" s="21" t="str">
        <x:v>reserve ledger</x:v>
      </x:c>
      <x:c r="D1773" s="21" t="str">
        <x:v>reserve status identity row 67</x:v>
      </x:c>
      <x:c r="E1773" s="21" t="n">
        <x:f>IF('Reserve Ledger'!J67=IF('Reserve Ledger'!I67&gt;=1,"ADEQUATE","GAP"),1,0)</x:f>
        <x:v>1</x:v>
      </x:c>
      <x:c r="F1773" s="21" t="n">
        <x:v>1</x:v>
      </x:c>
      <x:c r="G1773" s="23" t="str">
        <x:f>IF(E1773=F1773,"PASS","FAIL")</x:f>
        <x:v>PASS</x:v>
      </x:c>
    </x:row>
    <x:row r="1774">
      <x:c r="B1774" s="21" t="str">
        <x:v>C1768</x:v>
      </x:c>
      <x:c r="C1774" s="21" t="str">
        <x:v>reserve ledger</x:v>
      </x:c>
      <x:c r="D1774" s="21" t="str">
        <x:v>post-service identity row 68</x:v>
      </x:c>
      <x:c r="E1774" s="21" t="n">
        <x:f>IF(ABS('Reserve Ledger'!H68-MAX(0,'Reserve Ledger'!E68-'Reserve Ledger'!F68))&lt;0.000001,1,0)</x:f>
        <x:v>1</x:v>
      </x:c>
      <x:c r="F1774" s="21" t="n">
        <x:v>1</x:v>
      </x:c>
      <x:c r="G1774" s="23" t="str">
        <x:f>IF(E1774=F1774,"PASS","FAIL")</x:f>
        <x:v>PASS</x:v>
      </x:c>
    </x:row>
    <x:row r="1775">
      <x:c r="B1775" s="21" t="str">
        <x:v>C1769</x:v>
      </x:c>
      <x:c r="C1775" s="21" t="str">
        <x:v>reserve ledger</x:v>
      </x:c>
      <x:c r="D1775" s="21" t="str">
        <x:v>reserve ratio identity row 68</x:v>
      </x:c>
      <x:c r="E1775" s="21" t="n">
        <x:f>IF(ABS('Reserve Ledger'!I68-'Reserve Ledger'!H68/'Reserve Ledger'!G68)&lt;0.000001,1,0)</x:f>
        <x:v>1</x:v>
      </x:c>
      <x:c r="F1775" s="21" t="n">
        <x:v>1</x:v>
      </x:c>
      <x:c r="G1775" s="23" t="str">
        <x:f>IF(E1775=F1775,"PASS","FAIL")</x:f>
        <x:v>PASS</x:v>
      </x:c>
    </x:row>
    <x:row r="1776">
      <x:c r="B1776" s="21" t="str">
        <x:v>C1770</x:v>
      </x:c>
      <x:c r="C1776" s="21" t="str">
        <x:v>reserve ledger</x:v>
      </x:c>
      <x:c r="D1776" s="21" t="str">
        <x:v>reserve status identity row 68</x:v>
      </x:c>
      <x:c r="E1776" s="21" t="n">
        <x:f>IF('Reserve Ledger'!J68=IF('Reserve Ledger'!I68&gt;=1,"ADEQUATE","GAP"),1,0)</x:f>
        <x:v>1</x:v>
      </x:c>
      <x:c r="F1776" s="21" t="n">
        <x:v>1</x:v>
      </x:c>
      <x:c r="G1776" s="23" t="str">
        <x:f>IF(E1776=F1776,"PASS","FAIL")</x:f>
        <x:v>PASS</x:v>
      </x:c>
    </x:row>
    <x:row r="1777">
      <x:c r="B1777" s="21" t="str">
        <x:v>C1771</x:v>
      </x:c>
      <x:c r="C1777" s="21" t="str">
        <x:v>reserve ledger</x:v>
      </x:c>
      <x:c r="D1777" s="21" t="str">
        <x:v>post-service identity row 69</x:v>
      </x:c>
      <x:c r="E1777" s="21" t="n">
        <x:f>IF(ABS('Reserve Ledger'!H69-MAX(0,'Reserve Ledger'!E69-'Reserve Ledger'!F69))&lt;0.000001,1,0)</x:f>
        <x:v>1</x:v>
      </x:c>
      <x:c r="F1777" s="21" t="n">
        <x:v>1</x:v>
      </x:c>
      <x:c r="G1777" s="23" t="str">
        <x:f>IF(E1777=F1777,"PASS","FAIL")</x:f>
        <x:v>PASS</x:v>
      </x:c>
    </x:row>
    <x:row r="1778">
      <x:c r="B1778" s="21" t="str">
        <x:v>C1772</x:v>
      </x:c>
      <x:c r="C1778" s="21" t="str">
        <x:v>reserve ledger</x:v>
      </x:c>
      <x:c r="D1778" s="21" t="str">
        <x:v>reserve ratio identity row 69</x:v>
      </x:c>
      <x:c r="E1778" s="21" t="n">
        <x:f>IF(ABS('Reserve Ledger'!I69-'Reserve Ledger'!H69/'Reserve Ledger'!G69)&lt;0.000001,1,0)</x:f>
        <x:v>1</x:v>
      </x:c>
      <x:c r="F1778" s="21" t="n">
        <x:v>1</x:v>
      </x:c>
      <x:c r="G1778" s="23" t="str">
        <x:f>IF(E1778=F1778,"PASS","FAIL")</x:f>
        <x:v>PASS</x:v>
      </x:c>
    </x:row>
    <x:row r="1779">
      <x:c r="B1779" s="21" t="str">
        <x:v>C1773</x:v>
      </x:c>
      <x:c r="C1779" s="21" t="str">
        <x:v>reserve ledger</x:v>
      </x:c>
      <x:c r="D1779" s="21" t="str">
        <x:v>reserve status identity row 69</x:v>
      </x:c>
      <x:c r="E1779" s="21" t="n">
        <x:f>IF('Reserve Ledger'!J69=IF('Reserve Ledger'!I69&gt;=1,"ADEQUATE","GAP"),1,0)</x:f>
        <x:v>1</x:v>
      </x:c>
      <x:c r="F1779" s="21" t="n">
        <x:v>1</x:v>
      </x:c>
      <x:c r="G1779" s="23" t="str">
        <x:f>IF(E1779=F1779,"PASS","FAIL")</x:f>
        <x:v>PASS</x:v>
      </x:c>
    </x:row>
    <x:row r="1780">
      <x:c r="B1780" s="21" t="str">
        <x:v>C1774</x:v>
      </x:c>
      <x:c r="C1780" s="21" t="str">
        <x:v>reserve ledger</x:v>
      </x:c>
      <x:c r="D1780" s="21" t="str">
        <x:v>post-service identity row 70</x:v>
      </x:c>
      <x:c r="E1780" s="21" t="n">
        <x:f>IF(ABS('Reserve Ledger'!H70-MAX(0,'Reserve Ledger'!E70-'Reserve Ledger'!F70))&lt;0.000001,1,0)</x:f>
        <x:v>1</x:v>
      </x:c>
      <x:c r="F1780" s="21" t="n">
        <x:v>1</x:v>
      </x:c>
      <x:c r="G1780" s="23" t="str">
        <x:f>IF(E1780=F1780,"PASS","FAIL")</x:f>
        <x:v>PASS</x:v>
      </x:c>
    </x:row>
    <x:row r="1781">
      <x:c r="B1781" s="21" t="str">
        <x:v>C1775</x:v>
      </x:c>
      <x:c r="C1781" s="21" t="str">
        <x:v>reserve ledger</x:v>
      </x:c>
      <x:c r="D1781" s="21" t="str">
        <x:v>reserve ratio identity row 70</x:v>
      </x:c>
      <x:c r="E1781" s="21" t="n">
        <x:f>IF(ABS('Reserve Ledger'!I70-'Reserve Ledger'!H70/'Reserve Ledger'!G70)&lt;0.000001,1,0)</x:f>
        <x:v>1</x:v>
      </x:c>
      <x:c r="F1781" s="21" t="n">
        <x:v>1</x:v>
      </x:c>
      <x:c r="G1781" s="23" t="str">
        <x:f>IF(E1781=F1781,"PASS","FAIL")</x:f>
        <x:v>PASS</x:v>
      </x:c>
    </x:row>
    <x:row r="1782">
      <x:c r="B1782" s="21" t="str">
        <x:v>C1776</x:v>
      </x:c>
      <x:c r="C1782" s="21" t="str">
        <x:v>reserve ledger</x:v>
      </x:c>
      <x:c r="D1782" s="21" t="str">
        <x:v>reserve status identity row 70</x:v>
      </x:c>
      <x:c r="E1782" s="21" t="n">
        <x:f>IF('Reserve Ledger'!J70=IF('Reserve Ledger'!I70&gt;=1,"ADEQUATE","GAP"),1,0)</x:f>
        <x:v>1</x:v>
      </x:c>
      <x:c r="F1782" s="21" t="n">
        <x:v>1</x:v>
      </x:c>
      <x:c r="G1782" s="23" t="str">
        <x:f>IF(E1782=F1782,"PASS","FAIL")</x:f>
        <x:v>PASS</x:v>
      </x:c>
    </x:row>
    <x:row r="1783">
      <x:c r="B1783" s="21" t="str">
        <x:v>C1777</x:v>
      </x:c>
      <x:c r="C1783" s="21" t="str">
        <x:v>reserve ledger</x:v>
      </x:c>
      <x:c r="D1783" s="21" t="str">
        <x:v>post-service identity row 71</x:v>
      </x:c>
      <x:c r="E1783" s="21" t="n">
        <x:f>IF(ABS('Reserve Ledger'!H71-MAX(0,'Reserve Ledger'!E71-'Reserve Ledger'!F71))&lt;0.000001,1,0)</x:f>
        <x:v>1</x:v>
      </x:c>
      <x:c r="F1783" s="21" t="n">
        <x:v>1</x:v>
      </x:c>
      <x:c r="G1783" s="23" t="str">
        <x:f>IF(E1783=F1783,"PASS","FAIL")</x:f>
        <x:v>PASS</x:v>
      </x:c>
    </x:row>
    <x:row r="1784">
      <x:c r="B1784" s="21" t="str">
        <x:v>C1778</x:v>
      </x:c>
      <x:c r="C1784" s="21" t="str">
        <x:v>reserve ledger</x:v>
      </x:c>
      <x:c r="D1784" s="21" t="str">
        <x:v>reserve ratio identity row 71</x:v>
      </x:c>
      <x:c r="E1784" s="21" t="n">
        <x:f>IF(ABS('Reserve Ledger'!I71-'Reserve Ledger'!H71/'Reserve Ledger'!G71)&lt;0.000001,1,0)</x:f>
        <x:v>1</x:v>
      </x:c>
      <x:c r="F1784" s="21" t="n">
        <x:v>1</x:v>
      </x:c>
      <x:c r="G1784" s="23" t="str">
        <x:f>IF(E1784=F1784,"PASS","FAIL")</x:f>
        <x:v>PASS</x:v>
      </x:c>
    </x:row>
    <x:row r="1785">
      <x:c r="B1785" s="21" t="str">
        <x:v>C1779</x:v>
      </x:c>
      <x:c r="C1785" s="21" t="str">
        <x:v>reserve ledger</x:v>
      </x:c>
      <x:c r="D1785" s="21" t="str">
        <x:v>reserve status identity row 71</x:v>
      </x:c>
      <x:c r="E1785" s="21" t="n">
        <x:f>IF('Reserve Ledger'!J71=IF('Reserve Ledger'!I71&gt;=1,"ADEQUATE","GAP"),1,0)</x:f>
        <x:v>1</x:v>
      </x:c>
      <x:c r="F1785" s="21" t="n">
        <x:v>1</x:v>
      </x:c>
      <x:c r="G1785" s="23" t="str">
        <x:f>IF(E1785=F1785,"PASS","FAIL")</x:f>
        <x:v>PASS</x:v>
      </x:c>
    </x:row>
    <x:row r="1786">
      <x:c r="B1786" s="21" t="str">
        <x:v>C1780</x:v>
      </x:c>
      <x:c r="C1786" s="21" t="str">
        <x:v>reserve ledger</x:v>
      </x:c>
      <x:c r="D1786" s="21" t="str">
        <x:v>post-service identity row 72</x:v>
      </x:c>
      <x:c r="E1786" s="21" t="n">
        <x:f>IF(ABS('Reserve Ledger'!H72-MAX(0,'Reserve Ledger'!E72-'Reserve Ledger'!F72))&lt;0.000001,1,0)</x:f>
        <x:v>1</x:v>
      </x:c>
      <x:c r="F1786" s="21" t="n">
        <x:v>1</x:v>
      </x:c>
      <x:c r="G1786" s="23" t="str">
        <x:f>IF(E1786=F1786,"PASS","FAIL")</x:f>
        <x:v>PASS</x:v>
      </x:c>
    </x:row>
    <x:row r="1787">
      <x:c r="B1787" s="21" t="str">
        <x:v>C1781</x:v>
      </x:c>
      <x:c r="C1787" s="21" t="str">
        <x:v>reserve ledger</x:v>
      </x:c>
      <x:c r="D1787" s="21" t="str">
        <x:v>reserve ratio identity row 72</x:v>
      </x:c>
      <x:c r="E1787" s="21" t="n">
        <x:f>IF(ABS('Reserve Ledger'!I72-'Reserve Ledger'!H72/'Reserve Ledger'!G72)&lt;0.000001,1,0)</x:f>
        <x:v>1</x:v>
      </x:c>
      <x:c r="F1787" s="21" t="n">
        <x:v>1</x:v>
      </x:c>
      <x:c r="G1787" s="23" t="str">
        <x:f>IF(E1787=F1787,"PASS","FAIL")</x:f>
        <x:v>PASS</x:v>
      </x:c>
    </x:row>
    <x:row r="1788">
      <x:c r="B1788" s="21" t="str">
        <x:v>C1782</x:v>
      </x:c>
      <x:c r="C1788" s="21" t="str">
        <x:v>reserve ledger</x:v>
      </x:c>
      <x:c r="D1788" s="21" t="str">
        <x:v>reserve status identity row 72</x:v>
      </x:c>
      <x:c r="E1788" s="21" t="n">
        <x:f>IF('Reserve Ledger'!J72=IF('Reserve Ledger'!I72&gt;=1,"ADEQUATE","GAP"),1,0)</x:f>
        <x:v>1</x:v>
      </x:c>
      <x:c r="F1788" s="21" t="n">
        <x:v>1</x:v>
      </x:c>
      <x:c r="G1788" s="23" t="str">
        <x:f>IF(E1788=F1788,"PASS","FAIL")</x:f>
        <x:v>PASS</x:v>
      </x:c>
    </x:row>
    <x:row r="1789">
      <x:c r="B1789" s="21" t="str">
        <x:v>C1783</x:v>
      </x:c>
      <x:c r="C1789" s="21" t="str">
        <x:v>reserve ledger</x:v>
      </x:c>
      <x:c r="D1789" s="21" t="str">
        <x:v>post-service identity row 73</x:v>
      </x:c>
      <x:c r="E1789" s="21" t="n">
        <x:f>IF(ABS('Reserve Ledger'!H73-MAX(0,'Reserve Ledger'!E73-'Reserve Ledger'!F73))&lt;0.000001,1,0)</x:f>
        <x:v>1</x:v>
      </x:c>
      <x:c r="F1789" s="21" t="n">
        <x:v>1</x:v>
      </x:c>
      <x:c r="G1789" s="23" t="str">
        <x:f>IF(E1789=F1789,"PASS","FAIL")</x:f>
        <x:v>PASS</x:v>
      </x:c>
    </x:row>
    <x:row r="1790">
      <x:c r="B1790" s="21" t="str">
        <x:v>C1784</x:v>
      </x:c>
      <x:c r="C1790" s="21" t="str">
        <x:v>reserve ledger</x:v>
      </x:c>
      <x:c r="D1790" s="21" t="str">
        <x:v>reserve ratio identity row 73</x:v>
      </x:c>
      <x:c r="E1790" s="21" t="n">
        <x:f>IF(ABS('Reserve Ledger'!I73-'Reserve Ledger'!H73/'Reserve Ledger'!G73)&lt;0.000001,1,0)</x:f>
        <x:v>1</x:v>
      </x:c>
      <x:c r="F1790" s="21" t="n">
        <x:v>1</x:v>
      </x:c>
      <x:c r="G1790" s="23" t="str">
        <x:f>IF(E1790=F1790,"PASS","FAIL")</x:f>
        <x:v>PASS</x:v>
      </x:c>
    </x:row>
    <x:row r="1791">
      <x:c r="B1791" s="21" t="str">
        <x:v>C1785</x:v>
      </x:c>
      <x:c r="C1791" s="21" t="str">
        <x:v>reserve ledger</x:v>
      </x:c>
      <x:c r="D1791" s="21" t="str">
        <x:v>reserve status identity row 73</x:v>
      </x:c>
      <x:c r="E1791" s="21" t="n">
        <x:f>IF('Reserve Ledger'!J73=IF('Reserve Ledger'!I73&gt;=1,"ADEQUATE","GAP"),1,0)</x:f>
        <x:v>1</x:v>
      </x:c>
      <x:c r="F1791" s="21" t="n">
        <x:v>1</x:v>
      </x:c>
      <x:c r="G1791" s="23" t="str">
        <x:f>IF(E1791=F1791,"PASS","FAIL")</x:f>
        <x:v>PASS</x:v>
      </x:c>
    </x:row>
    <x:row r="1792">
      <x:c r="B1792" s="21" t="str">
        <x:v>C1786</x:v>
      </x:c>
      <x:c r="C1792" s="21" t="str">
        <x:v>reserve ledger</x:v>
      </x:c>
      <x:c r="D1792" s="21" t="str">
        <x:v>post-service identity row 74</x:v>
      </x:c>
      <x:c r="E1792" s="21" t="n">
        <x:f>IF(ABS('Reserve Ledger'!H74-MAX(0,'Reserve Ledger'!E74-'Reserve Ledger'!F74))&lt;0.000001,1,0)</x:f>
        <x:v>1</x:v>
      </x:c>
      <x:c r="F1792" s="21" t="n">
        <x:v>1</x:v>
      </x:c>
      <x:c r="G1792" s="23" t="str">
        <x:f>IF(E1792=F1792,"PASS","FAIL")</x:f>
        <x:v>PASS</x:v>
      </x:c>
    </x:row>
    <x:row r="1793">
      <x:c r="B1793" s="21" t="str">
        <x:v>C1787</x:v>
      </x:c>
      <x:c r="C1793" s="21" t="str">
        <x:v>reserve ledger</x:v>
      </x:c>
      <x:c r="D1793" s="21" t="str">
        <x:v>reserve ratio identity row 74</x:v>
      </x:c>
      <x:c r="E1793" s="21" t="n">
        <x:f>IF(ABS('Reserve Ledger'!I74-'Reserve Ledger'!H74/'Reserve Ledger'!G74)&lt;0.000001,1,0)</x:f>
        <x:v>1</x:v>
      </x:c>
      <x:c r="F1793" s="21" t="n">
        <x:v>1</x:v>
      </x:c>
      <x:c r="G1793" s="23" t="str">
        <x:f>IF(E1793=F1793,"PASS","FAIL")</x:f>
        <x:v>PASS</x:v>
      </x:c>
    </x:row>
    <x:row r="1794">
      <x:c r="B1794" s="21" t="str">
        <x:v>C1788</x:v>
      </x:c>
      <x:c r="C1794" s="21" t="str">
        <x:v>reserve ledger</x:v>
      </x:c>
      <x:c r="D1794" s="21" t="str">
        <x:v>reserve status identity row 74</x:v>
      </x:c>
      <x:c r="E1794" s="21" t="n">
        <x:f>IF('Reserve Ledger'!J74=IF('Reserve Ledger'!I74&gt;=1,"ADEQUATE","GAP"),1,0)</x:f>
        <x:v>1</x:v>
      </x:c>
      <x:c r="F1794" s="21" t="n">
        <x:v>1</x:v>
      </x:c>
      <x:c r="G1794" s="23" t="str">
        <x:f>IF(E1794=F1794,"PASS","FAIL")</x:f>
        <x:v>PASS</x:v>
      </x:c>
    </x:row>
    <x:row r="1795">
      <x:c r="B1795" s="21" t="str">
        <x:v>C1789</x:v>
      </x:c>
      <x:c r="C1795" s="21" t="str">
        <x:v>reserve ledger</x:v>
      </x:c>
      <x:c r="D1795" s="21" t="str">
        <x:v>post-service identity row 75</x:v>
      </x:c>
      <x:c r="E1795" s="21" t="n">
        <x:f>IF(ABS('Reserve Ledger'!H75-MAX(0,'Reserve Ledger'!E75-'Reserve Ledger'!F75))&lt;0.000001,1,0)</x:f>
        <x:v>1</x:v>
      </x:c>
      <x:c r="F1795" s="21" t="n">
        <x:v>1</x:v>
      </x:c>
      <x:c r="G1795" s="23" t="str">
        <x:f>IF(E1795=F1795,"PASS","FAIL")</x:f>
        <x:v>PASS</x:v>
      </x:c>
    </x:row>
    <x:row r="1796">
      <x:c r="B1796" s="21" t="str">
        <x:v>C1790</x:v>
      </x:c>
      <x:c r="C1796" s="21" t="str">
        <x:v>reserve ledger</x:v>
      </x:c>
      <x:c r="D1796" s="21" t="str">
        <x:v>reserve ratio identity row 75</x:v>
      </x:c>
      <x:c r="E1796" s="21" t="n">
        <x:f>IF(ABS('Reserve Ledger'!I75-'Reserve Ledger'!H75/'Reserve Ledger'!G75)&lt;0.000001,1,0)</x:f>
        <x:v>1</x:v>
      </x:c>
      <x:c r="F1796" s="21" t="n">
        <x:v>1</x:v>
      </x:c>
      <x:c r="G1796" s="23" t="str">
        <x:f>IF(E1796=F1796,"PASS","FAIL")</x:f>
        <x:v>PASS</x:v>
      </x:c>
    </x:row>
    <x:row r="1797">
      <x:c r="B1797" s="21" t="str">
        <x:v>C1791</x:v>
      </x:c>
      <x:c r="C1797" s="21" t="str">
        <x:v>reserve ledger</x:v>
      </x:c>
      <x:c r="D1797" s="21" t="str">
        <x:v>reserve status identity row 75</x:v>
      </x:c>
      <x:c r="E1797" s="21" t="n">
        <x:f>IF('Reserve Ledger'!J75=IF('Reserve Ledger'!I75&gt;=1,"ADEQUATE","GAP"),1,0)</x:f>
        <x:v>1</x:v>
      </x:c>
      <x:c r="F1797" s="21" t="n">
        <x:v>1</x:v>
      </x:c>
      <x:c r="G1797" s="23" t="str">
        <x:f>IF(E1797=F1797,"PASS","FAIL")</x:f>
        <x:v>PASS</x:v>
      </x:c>
    </x:row>
    <x:row r="1798">
      <x:c r="B1798" s="21" t="str">
        <x:v>C1792</x:v>
      </x:c>
      <x:c r="C1798" s="21" t="str">
        <x:v>reserve ledger</x:v>
      </x:c>
      <x:c r="D1798" s="21" t="str">
        <x:v>post-service identity row 76</x:v>
      </x:c>
      <x:c r="E1798" s="21" t="n">
        <x:f>IF(ABS('Reserve Ledger'!H76-MAX(0,'Reserve Ledger'!E76-'Reserve Ledger'!F76))&lt;0.000001,1,0)</x:f>
        <x:v>1</x:v>
      </x:c>
      <x:c r="F1798" s="21" t="n">
        <x:v>1</x:v>
      </x:c>
      <x:c r="G1798" s="23" t="str">
        <x:f>IF(E1798=F1798,"PASS","FAIL")</x:f>
        <x:v>PASS</x:v>
      </x:c>
    </x:row>
    <x:row r="1799">
      <x:c r="B1799" s="21" t="str">
        <x:v>C1793</x:v>
      </x:c>
      <x:c r="C1799" s="21" t="str">
        <x:v>reserve ledger</x:v>
      </x:c>
      <x:c r="D1799" s="21" t="str">
        <x:v>reserve ratio identity row 76</x:v>
      </x:c>
      <x:c r="E1799" s="21" t="n">
        <x:f>IF(ABS('Reserve Ledger'!I76-'Reserve Ledger'!H76/'Reserve Ledger'!G76)&lt;0.000001,1,0)</x:f>
        <x:v>1</x:v>
      </x:c>
      <x:c r="F1799" s="21" t="n">
        <x:v>1</x:v>
      </x:c>
      <x:c r="G1799" s="23" t="str">
        <x:f>IF(E1799=F1799,"PASS","FAIL")</x:f>
        <x:v>PASS</x:v>
      </x:c>
    </x:row>
    <x:row r="1800">
      <x:c r="B1800" s="21" t="str">
        <x:v>C1794</x:v>
      </x:c>
      <x:c r="C1800" s="21" t="str">
        <x:v>reserve ledger</x:v>
      </x:c>
      <x:c r="D1800" s="21" t="str">
        <x:v>reserve status identity row 76</x:v>
      </x:c>
      <x:c r="E1800" s="21" t="n">
        <x:f>IF('Reserve Ledger'!J76=IF('Reserve Ledger'!I76&gt;=1,"ADEQUATE","GAP"),1,0)</x:f>
        <x:v>1</x:v>
      </x:c>
      <x:c r="F1800" s="21" t="n">
        <x:v>1</x:v>
      </x:c>
      <x:c r="G1800" s="23" t="str">
        <x:f>IF(E1800=F1800,"PASS","FAIL")</x:f>
        <x:v>PASS</x:v>
      </x:c>
    </x:row>
    <x:row r="1801">
      <x:c r="B1801" s="21" t="str">
        <x:v>C1795</x:v>
      </x:c>
      <x:c r="C1801" s="21" t="str">
        <x:v>reserve ledger</x:v>
      </x:c>
      <x:c r="D1801" s="21" t="str">
        <x:v>post-service identity row 77</x:v>
      </x:c>
      <x:c r="E1801" s="21" t="n">
        <x:f>IF(ABS('Reserve Ledger'!H77-MAX(0,'Reserve Ledger'!E77-'Reserve Ledger'!F77))&lt;0.000001,1,0)</x:f>
        <x:v>1</x:v>
      </x:c>
      <x:c r="F1801" s="21" t="n">
        <x:v>1</x:v>
      </x:c>
      <x:c r="G1801" s="23" t="str">
        <x:f>IF(E1801=F1801,"PASS","FAIL")</x:f>
        <x:v>PASS</x:v>
      </x:c>
    </x:row>
    <x:row r="1802">
      <x:c r="B1802" s="21" t="str">
        <x:v>C1796</x:v>
      </x:c>
      <x:c r="C1802" s="21" t="str">
        <x:v>reserve ledger</x:v>
      </x:c>
      <x:c r="D1802" s="21" t="str">
        <x:v>reserve ratio identity row 77</x:v>
      </x:c>
      <x:c r="E1802" s="21" t="n">
        <x:f>IF(ABS('Reserve Ledger'!I77-'Reserve Ledger'!H77/'Reserve Ledger'!G77)&lt;0.000001,1,0)</x:f>
        <x:v>1</x:v>
      </x:c>
      <x:c r="F1802" s="21" t="n">
        <x:v>1</x:v>
      </x:c>
      <x:c r="G1802" s="23" t="str">
        <x:f>IF(E1802=F1802,"PASS","FAIL")</x:f>
        <x:v>PASS</x:v>
      </x:c>
    </x:row>
    <x:row r="1803">
      <x:c r="B1803" s="21" t="str">
        <x:v>C1797</x:v>
      </x:c>
      <x:c r="C1803" s="21" t="str">
        <x:v>reserve ledger</x:v>
      </x:c>
      <x:c r="D1803" s="21" t="str">
        <x:v>reserve status identity row 77</x:v>
      </x:c>
      <x:c r="E1803" s="21" t="n">
        <x:f>IF('Reserve Ledger'!J77=IF('Reserve Ledger'!I77&gt;=1,"ADEQUATE","GAP"),1,0)</x:f>
        <x:v>1</x:v>
      </x:c>
      <x:c r="F1803" s="21" t="n">
        <x:v>1</x:v>
      </x:c>
      <x:c r="G1803" s="23" t="str">
        <x:f>IF(E1803=F1803,"PASS","FAIL")</x:f>
        <x:v>PASS</x:v>
      </x:c>
    </x:row>
    <x:row r="1804">
      <x:c r="B1804" s="21" t="str">
        <x:v>C1798</x:v>
      </x:c>
      <x:c r="C1804" s="21" t="str">
        <x:v>reserve ledger</x:v>
      </x:c>
      <x:c r="D1804" s="21" t="str">
        <x:v>post-service identity row 78</x:v>
      </x:c>
      <x:c r="E1804" s="21" t="n">
        <x:f>IF(ABS('Reserve Ledger'!H78-MAX(0,'Reserve Ledger'!E78-'Reserve Ledger'!F78))&lt;0.000001,1,0)</x:f>
        <x:v>1</x:v>
      </x:c>
      <x:c r="F1804" s="21" t="n">
        <x:v>1</x:v>
      </x:c>
      <x:c r="G1804" s="23" t="str">
        <x:f>IF(E1804=F1804,"PASS","FAIL")</x:f>
        <x:v>PASS</x:v>
      </x:c>
    </x:row>
    <x:row r="1805">
      <x:c r="B1805" s="21" t="str">
        <x:v>C1799</x:v>
      </x:c>
      <x:c r="C1805" s="21" t="str">
        <x:v>reserve ledger</x:v>
      </x:c>
      <x:c r="D1805" s="21" t="str">
        <x:v>reserve ratio identity row 78</x:v>
      </x:c>
      <x:c r="E1805" s="21" t="n">
        <x:f>IF(ABS('Reserve Ledger'!I78-'Reserve Ledger'!H78/'Reserve Ledger'!G78)&lt;0.000001,1,0)</x:f>
        <x:v>1</x:v>
      </x:c>
      <x:c r="F1805" s="21" t="n">
        <x:v>1</x:v>
      </x:c>
      <x:c r="G1805" s="23" t="str">
        <x:f>IF(E1805=F1805,"PASS","FAIL")</x:f>
        <x:v>PASS</x:v>
      </x:c>
    </x:row>
    <x:row r="1806">
      <x:c r="B1806" s="21" t="str">
        <x:v>C1800</x:v>
      </x:c>
      <x:c r="C1806" s="21" t="str">
        <x:v>reserve ledger</x:v>
      </x:c>
      <x:c r="D1806" s="21" t="str">
        <x:v>reserve status identity row 78</x:v>
      </x:c>
      <x:c r="E1806" s="21" t="n">
        <x:f>IF('Reserve Ledger'!J78=IF('Reserve Ledger'!I78&gt;=1,"ADEQUATE","GAP"),1,0)</x:f>
        <x:v>1</x:v>
      </x:c>
      <x:c r="F1806" s="21" t="n">
        <x:v>1</x:v>
      </x:c>
      <x:c r="G1806" s="23" t="str">
        <x:f>IF(E1806=F1806,"PASS","FAIL")</x:f>
        <x:v>PASS</x:v>
      </x:c>
    </x:row>
    <x:row r="1807">
      <x:c r="B1807" s="21" t="str">
        <x:v>C1801</x:v>
      </x:c>
      <x:c r="C1807" s="21" t="str">
        <x:v>reserve ledger</x:v>
      </x:c>
      <x:c r="D1807" s="21" t="str">
        <x:v>post-service identity row 79</x:v>
      </x:c>
      <x:c r="E1807" s="21" t="n">
        <x:f>IF(ABS('Reserve Ledger'!H79-MAX(0,'Reserve Ledger'!E79-'Reserve Ledger'!F79))&lt;0.000001,1,0)</x:f>
        <x:v>1</x:v>
      </x:c>
      <x:c r="F1807" s="21" t="n">
        <x:v>1</x:v>
      </x:c>
      <x:c r="G1807" s="23" t="str">
        <x:f>IF(E1807=F1807,"PASS","FAIL")</x:f>
        <x:v>PASS</x:v>
      </x:c>
    </x:row>
    <x:row r="1808">
      <x:c r="B1808" s="21" t="str">
        <x:v>C1802</x:v>
      </x:c>
      <x:c r="C1808" s="21" t="str">
        <x:v>reserve ledger</x:v>
      </x:c>
      <x:c r="D1808" s="21" t="str">
        <x:v>reserve ratio identity row 79</x:v>
      </x:c>
      <x:c r="E1808" s="21" t="n">
        <x:f>IF(ABS('Reserve Ledger'!I79-'Reserve Ledger'!H79/'Reserve Ledger'!G79)&lt;0.000001,1,0)</x:f>
        <x:v>1</x:v>
      </x:c>
      <x:c r="F1808" s="21" t="n">
        <x:v>1</x:v>
      </x:c>
      <x:c r="G1808" s="23" t="str">
        <x:f>IF(E1808=F1808,"PASS","FAIL")</x:f>
        <x:v>PASS</x:v>
      </x:c>
    </x:row>
    <x:row r="1809">
      <x:c r="B1809" s="21" t="str">
        <x:v>C1803</x:v>
      </x:c>
      <x:c r="C1809" s="21" t="str">
        <x:v>reserve ledger</x:v>
      </x:c>
      <x:c r="D1809" s="21" t="str">
        <x:v>reserve status identity row 79</x:v>
      </x:c>
      <x:c r="E1809" s="21" t="n">
        <x:f>IF('Reserve Ledger'!J79=IF('Reserve Ledger'!I79&gt;=1,"ADEQUATE","GAP"),1,0)</x:f>
        <x:v>1</x:v>
      </x:c>
      <x:c r="F1809" s="21" t="n">
        <x:v>1</x:v>
      </x:c>
      <x:c r="G1809" s="23" t="str">
        <x:f>IF(E1809=F1809,"PASS","FAIL")</x:f>
        <x:v>PASS</x:v>
      </x:c>
    </x:row>
    <x:row r="1810">
      <x:c r="B1810" s="21" t="str">
        <x:v>C1804</x:v>
      </x:c>
      <x:c r="C1810" s="21" t="str">
        <x:v>reserve ledger</x:v>
      </x:c>
      <x:c r="D1810" s="21" t="str">
        <x:v>post-service identity row 80</x:v>
      </x:c>
      <x:c r="E1810" s="21" t="n">
        <x:f>IF(ABS('Reserve Ledger'!H80-MAX(0,'Reserve Ledger'!E80-'Reserve Ledger'!F80))&lt;0.000001,1,0)</x:f>
        <x:v>1</x:v>
      </x:c>
      <x:c r="F1810" s="21" t="n">
        <x:v>1</x:v>
      </x:c>
      <x:c r="G1810" s="23" t="str">
        <x:f>IF(E1810=F1810,"PASS","FAIL")</x:f>
        <x:v>PASS</x:v>
      </x:c>
    </x:row>
    <x:row r="1811">
      <x:c r="B1811" s="21" t="str">
        <x:v>C1805</x:v>
      </x:c>
      <x:c r="C1811" s="21" t="str">
        <x:v>reserve ledger</x:v>
      </x:c>
      <x:c r="D1811" s="21" t="str">
        <x:v>reserve ratio identity row 80</x:v>
      </x:c>
      <x:c r="E1811" s="21" t="n">
        <x:f>IF(ABS('Reserve Ledger'!I80-'Reserve Ledger'!H80/'Reserve Ledger'!G80)&lt;0.000001,1,0)</x:f>
        <x:v>1</x:v>
      </x:c>
      <x:c r="F1811" s="21" t="n">
        <x:v>1</x:v>
      </x:c>
      <x:c r="G1811" s="23" t="str">
        <x:f>IF(E1811=F1811,"PASS","FAIL")</x:f>
        <x:v>PASS</x:v>
      </x:c>
    </x:row>
    <x:row r="1812">
      <x:c r="B1812" s="21" t="str">
        <x:v>C1806</x:v>
      </x:c>
      <x:c r="C1812" s="21" t="str">
        <x:v>reserve ledger</x:v>
      </x:c>
      <x:c r="D1812" s="21" t="str">
        <x:v>reserve status identity row 80</x:v>
      </x:c>
      <x:c r="E1812" s="21" t="n">
        <x:f>IF('Reserve Ledger'!J80=IF('Reserve Ledger'!I80&gt;=1,"ADEQUATE","GAP"),1,0)</x:f>
        <x:v>1</x:v>
      </x:c>
      <x:c r="F1812" s="21" t="n">
        <x:v>1</x:v>
      </x:c>
      <x:c r="G1812" s="23" t="str">
        <x:f>IF(E1812=F1812,"PASS","FAIL")</x:f>
        <x:v>PASS</x:v>
      </x:c>
    </x:row>
    <x:row r="1813">
      <x:c r="B1813" s="21" t="str">
        <x:v>C1807</x:v>
      </x:c>
      <x:c r="C1813" s="21" t="str">
        <x:v>reserve ledger</x:v>
      </x:c>
      <x:c r="D1813" s="21" t="str">
        <x:v>post-service identity row 81</x:v>
      </x:c>
      <x:c r="E1813" s="21" t="n">
        <x:f>IF(ABS('Reserve Ledger'!H81-MAX(0,'Reserve Ledger'!E81-'Reserve Ledger'!F81))&lt;0.000001,1,0)</x:f>
        <x:v>1</x:v>
      </x:c>
      <x:c r="F1813" s="21" t="n">
        <x:v>1</x:v>
      </x:c>
      <x:c r="G1813" s="23" t="str">
        <x:f>IF(E1813=F1813,"PASS","FAIL")</x:f>
        <x:v>PASS</x:v>
      </x:c>
    </x:row>
    <x:row r="1814">
      <x:c r="B1814" s="21" t="str">
        <x:v>C1808</x:v>
      </x:c>
      <x:c r="C1814" s="21" t="str">
        <x:v>reserve ledger</x:v>
      </x:c>
      <x:c r="D1814" s="21" t="str">
        <x:v>reserve ratio identity row 81</x:v>
      </x:c>
      <x:c r="E1814" s="21" t="n">
        <x:f>IF(ABS('Reserve Ledger'!I81-'Reserve Ledger'!H81/'Reserve Ledger'!G81)&lt;0.000001,1,0)</x:f>
        <x:v>1</x:v>
      </x:c>
      <x:c r="F1814" s="21" t="n">
        <x:v>1</x:v>
      </x:c>
      <x:c r="G1814" s="23" t="str">
        <x:f>IF(E1814=F1814,"PASS","FAIL")</x:f>
        <x:v>PASS</x:v>
      </x:c>
    </x:row>
    <x:row r="1815">
      <x:c r="B1815" s="21" t="str">
        <x:v>C1809</x:v>
      </x:c>
      <x:c r="C1815" s="21" t="str">
        <x:v>reserve ledger</x:v>
      </x:c>
      <x:c r="D1815" s="21" t="str">
        <x:v>reserve status identity row 81</x:v>
      </x:c>
      <x:c r="E1815" s="21" t="n">
        <x:f>IF('Reserve Ledger'!J81=IF('Reserve Ledger'!I81&gt;=1,"ADEQUATE","GAP"),1,0)</x:f>
        <x:v>1</x:v>
      </x:c>
      <x:c r="F1815" s="21" t="n">
        <x:v>1</x:v>
      </x:c>
      <x:c r="G1815" s="23" t="str">
        <x:f>IF(E1815=F1815,"PASS","FAIL")</x:f>
        <x:v>PASS</x:v>
      </x:c>
    </x:row>
    <x:row r="1816">
      <x:c r="B1816" s="21" t="str">
        <x:v>C1810</x:v>
      </x:c>
      <x:c r="C1816" s="21" t="str">
        <x:v>reserve ledger</x:v>
      </x:c>
      <x:c r="D1816" s="21" t="str">
        <x:v>post-service identity row 82</x:v>
      </x:c>
      <x:c r="E1816" s="21" t="n">
        <x:f>IF(ABS('Reserve Ledger'!H82-MAX(0,'Reserve Ledger'!E82-'Reserve Ledger'!F82))&lt;0.000001,1,0)</x:f>
        <x:v>1</x:v>
      </x:c>
      <x:c r="F1816" s="21" t="n">
        <x:v>1</x:v>
      </x:c>
      <x:c r="G1816" s="23" t="str">
        <x:f>IF(E1816=F1816,"PASS","FAIL")</x:f>
        <x:v>PASS</x:v>
      </x:c>
    </x:row>
    <x:row r="1817">
      <x:c r="B1817" s="21" t="str">
        <x:v>C1811</x:v>
      </x:c>
      <x:c r="C1817" s="21" t="str">
        <x:v>reserve ledger</x:v>
      </x:c>
      <x:c r="D1817" s="21" t="str">
        <x:v>reserve ratio identity row 82</x:v>
      </x:c>
      <x:c r="E1817" s="21" t="n">
        <x:f>IF(ABS('Reserve Ledger'!I82-'Reserve Ledger'!H82/'Reserve Ledger'!G82)&lt;0.000001,1,0)</x:f>
        <x:v>1</x:v>
      </x:c>
      <x:c r="F1817" s="21" t="n">
        <x:v>1</x:v>
      </x:c>
      <x:c r="G1817" s="23" t="str">
        <x:f>IF(E1817=F1817,"PASS","FAIL")</x:f>
        <x:v>PASS</x:v>
      </x:c>
    </x:row>
    <x:row r="1818">
      <x:c r="B1818" s="21" t="str">
        <x:v>C1812</x:v>
      </x:c>
      <x:c r="C1818" s="21" t="str">
        <x:v>reserve ledger</x:v>
      </x:c>
      <x:c r="D1818" s="21" t="str">
        <x:v>reserve status identity row 82</x:v>
      </x:c>
      <x:c r="E1818" s="21" t="n">
        <x:f>IF('Reserve Ledger'!J82=IF('Reserve Ledger'!I82&gt;=1,"ADEQUATE","GAP"),1,0)</x:f>
        <x:v>1</x:v>
      </x:c>
      <x:c r="F1818" s="21" t="n">
        <x:v>1</x:v>
      </x:c>
      <x:c r="G1818" s="23" t="str">
        <x:f>IF(E1818=F1818,"PASS","FAIL")</x:f>
        <x:v>PASS</x:v>
      </x:c>
    </x:row>
    <x:row r="1819">
      <x:c r="B1819" s="21" t="str">
        <x:v>C1813</x:v>
      </x:c>
      <x:c r="C1819" s="21" t="str">
        <x:v>reserve ledger</x:v>
      </x:c>
      <x:c r="D1819" s="21" t="str">
        <x:v>post-service identity row 83</x:v>
      </x:c>
      <x:c r="E1819" s="21" t="n">
        <x:f>IF(ABS('Reserve Ledger'!H83-MAX(0,'Reserve Ledger'!E83-'Reserve Ledger'!F83))&lt;0.000001,1,0)</x:f>
        <x:v>1</x:v>
      </x:c>
      <x:c r="F1819" s="21" t="n">
        <x:v>1</x:v>
      </x:c>
      <x:c r="G1819" s="23" t="str">
        <x:f>IF(E1819=F1819,"PASS","FAIL")</x:f>
        <x:v>PASS</x:v>
      </x:c>
    </x:row>
    <x:row r="1820">
      <x:c r="B1820" s="21" t="str">
        <x:v>C1814</x:v>
      </x:c>
      <x:c r="C1820" s="21" t="str">
        <x:v>reserve ledger</x:v>
      </x:c>
      <x:c r="D1820" s="21" t="str">
        <x:v>reserve ratio identity row 83</x:v>
      </x:c>
      <x:c r="E1820" s="21" t="n">
        <x:f>IF(ABS('Reserve Ledger'!I83-'Reserve Ledger'!H83/'Reserve Ledger'!G83)&lt;0.000001,1,0)</x:f>
        <x:v>1</x:v>
      </x:c>
      <x:c r="F1820" s="21" t="n">
        <x:v>1</x:v>
      </x:c>
      <x:c r="G1820" s="23" t="str">
        <x:f>IF(E1820=F1820,"PASS","FAIL")</x:f>
        <x:v>PASS</x:v>
      </x:c>
    </x:row>
    <x:row r="1821">
      <x:c r="B1821" s="21" t="str">
        <x:v>C1815</x:v>
      </x:c>
      <x:c r="C1821" s="21" t="str">
        <x:v>reserve ledger</x:v>
      </x:c>
      <x:c r="D1821" s="21" t="str">
        <x:v>reserve status identity row 83</x:v>
      </x:c>
      <x:c r="E1821" s="21" t="n">
        <x:f>IF('Reserve Ledger'!J83=IF('Reserve Ledger'!I83&gt;=1,"ADEQUATE","GAP"),1,0)</x:f>
        <x:v>1</x:v>
      </x:c>
      <x:c r="F1821" s="21" t="n">
        <x:v>1</x:v>
      </x:c>
      <x:c r="G1821" s="23" t="str">
        <x:f>IF(E1821=F1821,"PASS","FAIL")</x:f>
        <x:v>PASS</x:v>
      </x:c>
    </x:row>
    <x:row r="1822">
      <x:c r="B1822" s="21" t="str">
        <x:v>C1816</x:v>
      </x:c>
      <x:c r="C1822" s="21" t="str">
        <x:v>reserve ledger</x:v>
      </x:c>
      <x:c r="D1822" s="21" t="str">
        <x:v>post-service identity row 84</x:v>
      </x:c>
      <x:c r="E1822" s="21" t="n">
        <x:f>IF(ABS('Reserve Ledger'!H84-MAX(0,'Reserve Ledger'!E84-'Reserve Ledger'!F84))&lt;0.000001,1,0)</x:f>
        <x:v>1</x:v>
      </x:c>
      <x:c r="F1822" s="21" t="n">
        <x:v>1</x:v>
      </x:c>
      <x:c r="G1822" s="23" t="str">
        <x:f>IF(E1822=F1822,"PASS","FAIL")</x:f>
        <x:v>PASS</x:v>
      </x:c>
    </x:row>
    <x:row r="1823">
      <x:c r="B1823" s="21" t="str">
        <x:v>C1817</x:v>
      </x:c>
      <x:c r="C1823" s="21" t="str">
        <x:v>reserve ledger</x:v>
      </x:c>
      <x:c r="D1823" s="21" t="str">
        <x:v>reserve ratio identity row 84</x:v>
      </x:c>
      <x:c r="E1823" s="21" t="n">
        <x:f>IF(ABS('Reserve Ledger'!I84-'Reserve Ledger'!H84/'Reserve Ledger'!G84)&lt;0.000001,1,0)</x:f>
        <x:v>1</x:v>
      </x:c>
      <x:c r="F1823" s="21" t="n">
        <x:v>1</x:v>
      </x:c>
      <x:c r="G1823" s="23" t="str">
        <x:f>IF(E1823=F1823,"PASS","FAIL")</x:f>
        <x:v>PASS</x:v>
      </x:c>
    </x:row>
    <x:row r="1824">
      <x:c r="B1824" s="21" t="str">
        <x:v>C1818</x:v>
      </x:c>
      <x:c r="C1824" s="21" t="str">
        <x:v>reserve ledger</x:v>
      </x:c>
      <x:c r="D1824" s="21" t="str">
        <x:v>reserve status identity row 84</x:v>
      </x:c>
      <x:c r="E1824" s="21" t="n">
        <x:f>IF('Reserve Ledger'!J84=IF('Reserve Ledger'!I84&gt;=1,"ADEQUATE","GAP"),1,0)</x:f>
        <x:v>1</x:v>
      </x:c>
      <x:c r="F1824" s="21" t="n">
        <x:v>1</x:v>
      </x:c>
      <x:c r="G1824" s="23" t="str">
        <x:f>IF(E1824=F1824,"PASS","FAIL")</x:f>
        <x:v>PASS</x:v>
      </x:c>
    </x:row>
    <x:row r="1825">
      <x:c r="B1825" s="21" t="str">
        <x:v>C1819</x:v>
      </x:c>
      <x:c r="C1825" s="21" t="str">
        <x:v>reserve ledger</x:v>
      </x:c>
      <x:c r="D1825" s="21" t="str">
        <x:v>post-service identity row 85</x:v>
      </x:c>
      <x:c r="E1825" s="21" t="n">
        <x:f>IF(ABS('Reserve Ledger'!H85-MAX(0,'Reserve Ledger'!E85-'Reserve Ledger'!F85))&lt;0.000001,1,0)</x:f>
        <x:v>1</x:v>
      </x:c>
      <x:c r="F1825" s="21" t="n">
        <x:v>1</x:v>
      </x:c>
      <x:c r="G1825" s="23" t="str">
        <x:f>IF(E1825=F1825,"PASS","FAIL")</x:f>
        <x:v>PASS</x:v>
      </x:c>
    </x:row>
    <x:row r="1826">
      <x:c r="B1826" s="21" t="str">
        <x:v>C1820</x:v>
      </x:c>
      <x:c r="C1826" s="21" t="str">
        <x:v>reserve ledger</x:v>
      </x:c>
      <x:c r="D1826" s="21" t="str">
        <x:v>reserve ratio identity row 85</x:v>
      </x:c>
      <x:c r="E1826" s="21" t="n">
        <x:f>IF(ABS('Reserve Ledger'!I85-'Reserve Ledger'!H85/'Reserve Ledger'!G85)&lt;0.000001,1,0)</x:f>
        <x:v>1</x:v>
      </x:c>
      <x:c r="F1826" s="21" t="n">
        <x:v>1</x:v>
      </x:c>
      <x:c r="G1826" s="23" t="str">
        <x:f>IF(E1826=F1826,"PASS","FAIL")</x:f>
        <x:v>PASS</x:v>
      </x:c>
    </x:row>
    <x:row r="1827">
      <x:c r="B1827" s="21" t="str">
        <x:v>C1821</x:v>
      </x:c>
      <x:c r="C1827" s="21" t="str">
        <x:v>reserve ledger</x:v>
      </x:c>
      <x:c r="D1827" s="21" t="str">
        <x:v>reserve status identity row 85</x:v>
      </x:c>
      <x:c r="E1827" s="21" t="n">
        <x:f>IF('Reserve Ledger'!J85=IF('Reserve Ledger'!I85&gt;=1,"ADEQUATE","GAP"),1,0)</x:f>
        <x:v>1</x:v>
      </x:c>
      <x:c r="F1827" s="21" t="n">
        <x:v>1</x:v>
      </x:c>
      <x:c r="G1827" s="23" t="str">
        <x:f>IF(E1827=F1827,"PASS","FAIL")</x:f>
        <x:v>PASS</x:v>
      </x:c>
    </x:row>
    <x:row r="1828">
      <x:c r="B1828" s="21" t="str">
        <x:v>C1822</x:v>
      </x:c>
      <x:c r="C1828" s="21" t="str">
        <x:v>reserve ledger</x:v>
      </x:c>
      <x:c r="D1828" s="21" t="str">
        <x:v>post-service identity row 86</x:v>
      </x:c>
      <x:c r="E1828" s="21" t="n">
        <x:f>IF(ABS('Reserve Ledger'!H86-MAX(0,'Reserve Ledger'!E86-'Reserve Ledger'!F86))&lt;0.000001,1,0)</x:f>
        <x:v>1</x:v>
      </x:c>
      <x:c r="F1828" s="21" t="n">
        <x:v>1</x:v>
      </x:c>
      <x:c r="G1828" s="23" t="str">
        <x:f>IF(E1828=F1828,"PASS","FAIL")</x:f>
        <x:v>PASS</x:v>
      </x:c>
    </x:row>
    <x:row r="1829">
      <x:c r="B1829" s="21" t="str">
        <x:v>C1823</x:v>
      </x:c>
      <x:c r="C1829" s="21" t="str">
        <x:v>reserve ledger</x:v>
      </x:c>
      <x:c r="D1829" s="21" t="str">
        <x:v>reserve ratio identity row 86</x:v>
      </x:c>
      <x:c r="E1829" s="21" t="n">
        <x:f>IF(ABS('Reserve Ledger'!I86-'Reserve Ledger'!H86/'Reserve Ledger'!G86)&lt;0.000001,1,0)</x:f>
        <x:v>1</x:v>
      </x:c>
      <x:c r="F1829" s="21" t="n">
        <x:v>1</x:v>
      </x:c>
      <x:c r="G1829" s="23" t="str">
        <x:f>IF(E1829=F1829,"PASS","FAIL")</x:f>
        <x:v>PASS</x:v>
      </x:c>
    </x:row>
    <x:row r="1830">
      <x:c r="B1830" s="21" t="str">
        <x:v>C1824</x:v>
      </x:c>
      <x:c r="C1830" s="21" t="str">
        <x:v>reserve ledger</x:v>
      </x:c>
      <x:c r="D1830" s="21" t="str">
        <x:v>reserve status identity row 86</x:v>
      </x:c>
      <x:c r="E1830" s="21" t="n">
        <x:f>IF('Reserve Ledger'!J86=IF('Reserve Ledger'!I86&gt;=1,"ADEQUATE","GAP"),1,0)</x:f>
        <x:v>1</x:v>
      </x:c>
      <x:c r="F1830" s="21" t="n">
        <x:v>1</x:v>
      </x:c>
      <x:c r="G1830" s="23" t="str">
        <x:f>IF(E1830=F1830,"PASS","FAIL")</x:f>
        <x:v>PASS</x:v>
      </x:c>
    </x:row>
    <x:row r="1831">
      <x:c r="B1831" s="21" t="str">
        <x:v>C1825</x:v>
      </x:c>
      <x:c r="C1831" s="21" t="str">
        <x:v>reserve ledger</x:v>
      </x:c>
      <x:c r="D1831" s="21" t="str">
        <x:v>post-service identity row 87</x:v>
      </x:c>
      <x:c r="E1831" s="21" t="n">
        <x:f>IF(ABS('Reserve Ledger'!H87-MAX(0,'Reserve Ledger'!E87-'Reserve Ledger'!F87))&lt;0.000001,1,0)</x:f>
        <x:v>1</x:v>
      </x:c>
      <x:c r="F1831" s="21" t="n">
        <x:v>1</x:v>
      </x:c>
      <x:c r="G1831" s="23" t="str">
        <x:f>IF(E1831=F1831,"PASS","FAIL")</x:f>
        <x:v>PASS</x:v>
      </x:c>
    </x:row>
    <x:row r="1832">
      <x:c r="B1832" s="21" t="str">
        <x:v>C1826</x:v>
      </x:c>
      <x:c r="C1832" s="21" t="str">
        <x:v>reserve ledger</x:v>
      </x:c>
      <x:c r="D1832" s="21" t="str">
        <x:v>reserve ratio identity row 87</x:v>
      </x:c>
      <x:c r="E1832" s="21" t="n">
        <x:f>IF(ABS('Reserve Ledger'!I87-'Reserve Ledger'!H87/'Reserve Ledger'!G87)&lt;0.000001,1,0)</x:f>
        <x:v>1</x:v>
      </x:c>
      <x:c r="F1832" s="21" t="n">
        <x:v>1</x:v>
      </x:c>
      <x:c r="G1832" s="23" t="str">
        <x:f>IF(E1832=F1832,"PASS","FAIL")</x:f>
        <x:v>PASS</x:v>
      </x:c>
    </x:row>
    <x:row r="1833">
      <x:c r="B1833" s="21" t="str">
        <x:v>C1827</x:v>
      </x:c>
      <x:c r="C1833" s="21" t="str">
        <x:v>reserve ledger</x:v>
      </x:c>
      <x:c r="D1833" s="21" t="str">
        <x:v>reserve status identity row 87</x:v>
      </x:c>
      <x:c r="E1833" s="21" t="n">
        <x:f>IF('Reserve Ledger'!J87=IF('Reserve Ledger'!I87&gt;=1,"ADEQUATE","GAP"),1,0)</x:f>
        <x:v>1</x:v>
      </x:c>
      <x:c r="F1833" s="21" t="n">
        <x:v>1</x:v>
      </x:c>
      <x:c r="G1833" s="23" t="str">
        <x:f>IF(E1833=F1833,"PASS","FAIL")</x:f>
        <x:v>PASS</x:v>
      </x:c>
    </x:row>
    <x:row r="1834">
      <x:c r="B1834" s="21" t="str">
        <x:v>C1828</x:v>
      </x:c>
      <x:c r="C1834" s="21" t="str">
        <x:v>reserve ledger</x:v>
      </x:c>
      <x:c r="D1834" s="21" t="str">
        <x:v>post-service identity row 88</x:v>
      </x:c>
      <x:c r="E1834" s="21" t="n">
        <x:f>IF(ABS('Reserve Ledger'!H88-MAX(0,'Reserve Ledger'!E88-'Reserve Ledger'!F88))&lt;0.000001,1,0)</x:f>
        <x:v>1</x:v>
      </x:c>
      <x:c r="F1834" s="21" t="n">
        <x:v>1</x:v>
      </x:c>
      <x:c r="G1834" s="23" t="str">
        <x:f>IF(E1834=F1834,"PASS","FAIL")</x:f>
        <x:v>PASS</x:v>
      </x:c>
    </x:row>
    <x:row r="1835">
      <x:c r="B1835" s="21" t="str">
        <x:v>C1829</x:v>
      </x:c>
      <x:c r="C1835" s="21" t="str">
        <x:v>reserve ledger</x:v>
      </x:c>
      <x:c r="D1835" s="21" t="str">
        <x:v>reserve ratio identity row 88</x:v>
      </x:c>
      <x:c r="E1835" s="21" t="n">
        <x:f>IF(ABS('Reserve Ledger'!I88-'Reserve Ledger'!H88/'Reserve Ledger'!G88)&lt;0.000001,1,0)</x:f>
        <x:v>1</x:v>
      </x:c>
      <x:c r="F1835" s="21" t="n">
        <x:v>1</x:v>
      </x:c>
      <x:c r="G1835" s="23" t="str">
        <x:f>IF(E1835=F1835,"PASS","FAIL")</x:f>
        <x:v>PASS</x:v>
      </x:c>
    </x:row>
    <x:row r="1836">
      <x:c r="B1836" s="21" t="str">
        <x:v>C1830</x:v>
      </x:c>
      <x:c r="C1836" s="21" t="str">
        <x:v>reserve ledger</x:v>
      </x:c>
      <x:c r="D1836" s="21" t="str">
        <x:v>reserve status identity row 88</x:v>
      </x:c>
      <x:c r="E1836" s="21" t="n">
        <x:f>IF('Reserve Ledger'!J88=IF('Reserve Ledger'!I88&gt;=1,"ADEQUATE","GAP"),1,0)</x:f>
        <x:v>1</x:v>
      </x:c>
      <x:c r="F1836" s="21" t="n">
        <x:v>1</x:v>
      </x:c>
      <x:c r="G1836" s="23" t="str">
        <x:f>IF(E1836=F1836,"PASS","FAIL")</x:f>
        <x:v>PASS</x:v>
      </x:c>
    </x:row>
    <x:row r="1837">
      <x:c r="B1837" s="21" t="str">
        <x:v>C1831</x:v>
      </x:c>
      <x:c r="C1837" s="21" t="str">
        <x:v>reserve ledger</x:v>
      </x:c>
      <x:c r="D1837" s="21" t="str">
        <x:v>post-service identity row 89</x:v>
      </x:c>
      <x:c r="E1837" s="21" t="n">
        <x:f>IF(ABS('Reserve Ledger'!H89-MAX(0,'Reserve Ledger'!E89-'Reserve Ledger'!F89))&lt;0.000001,1,0)</x:f>
        <x:v>1</x:v>
      </x:c>
      <x:c r="F1837" s="21" t="n">
        <x:v>1</x:v>
      </x:c>
      <x:c r="G1837" s="23" t="str">
        <x:f>IF(E1837=F1837,"PASS","FAIL")</x:f>
        <x:v>PASS</x:v>
      </x:c>
    </x:row>
    <x:row r="1838">
      <x:c r="B1838" s="21" t="str">
        <x:v>C1832</x:v>
      </x:c>
      <x:c r="C1838" s="21" t="str">
        <x:v>reserve ledger</x:v>
      </x:c>
      <x:c r="D1838" s="21" t="str">
        <x:v>reserve ratio identity row 89</x:v>
      </x:c>
      <x:c r="E1838" s="21" t="n">
        <x:f>IF(ABS('Reserve Ledger'!I89-'Reserve Ledger'!H89/'Reserve Ledger'!G89)&lt;0.000001,1,0)</x:f>
        <x:v>1</x:v>
      </x:c>
      <x:c r="F1838" s="21" t="n">
        <x:v>1</x:v>
      </x:c>
      <x:c r="G1838" s="23" t="str">
        <x:f>IF(E1838=F1838,"PASS","FAIL")</x:f>
        <x:v>PASS</x:v>
      </x:c>
    </x:row>
    <x:row r="1839">
      <x:c r="B1839" s="21" t="str">
        <x:v>C1833</x:v>
      </x:c>
      <x:c r="C1839" s="21" t="str">
        <x:v>reserve ledger</x:v>
      </x:c>
      <x:c r="D1839" s="21" t="str">
        <x:v>reserve status identity row 89</x:v>
      </x:c>
      <x:c r="E1839" s="21" t="n">
        <x:f>IF('Reserve Ledger'!J89=IF('Reserve Ledger'!I89&gt;=1,"ADEQUATE","GAP"),1,0)</x:f>
        <x:v>1</x:v>
      </x:c>
      <x:c r="F1839" s="21" t="n">
        <x:v>1</x:v>
      </x:c>
      <x:c r="G1839" s="23" t="str">
        <x:f>IF(E1839=F1839,"PASS","FAIL")</x:f>
        <x:v>PASS</x:v>
      </x:c>
    </x:row>
    <x:row r="1840">
      <x:c r="B1840" s="21" t="str">
        <x:v>C1834</x:v>
      </x:c>
      <x:c r="C1840" s="21" t="str">
        <x:v>reserve ledger</x:v>
      </x:c>
      <x:c r="D1840" s="21" t="str">
        <x:v>post-service identity row 90</x:v>
      </x:c>
      <x:c r="E1840" s="21" t="n">
        <x:f>IF(ABS('Reserve Ledger'!H90-MAX(0,'Reserve Ledger'!E90-'Reserve Ledger'!F90))&lt;0.000001,1,0)</x:f>
        <x:v>1</x:v>
      </x:c>
      <x:c r="F1840" s="21" t="n">
        <x:v>1</x:v>
      </x:c>
      <x:c r="G1840" s="23" t="str">
        <x:f>IF(E1840=F1840,"PASS","FAIL")</x:f>
        <x:v>PASS</x:v>
      </x:c>
    </x:row>
    <x:row r="1841">
      <x:c r="B1841" s="21" t="str">
        <x:v>C1835</x:v>
      </x:c>
      <x:c r="C1841" s="21" t="str">
        <x:v>reserve ledger</x:v>
      </x:c>
      <x:c r="D1841" s="21" t="str">
        <x:v>reserve ratio identity row 90</x:v>
      </x:c>
      <x:c r="E1841" s="21" t="n">
        <x:f>IF(ABS('Reserve Ledger'!I90-'Reserve Ledger'!H90/'Reserve Ledger'!G90)&lt;0.000001,1,0)</x:f>
        <x:v>1</x:v>
      </x:c>
      <x:c r="F1841" s="21" t="n">
        <x:v>1</x:v>
      </x:c>
      <x:c r="G1841" s="23" t="str">
        <x:f>IF(E1841=F1841,"PASS","FAIL")</x:f>
        <x:v>PASS</x:v>
      </x:c>
    </x:row>
    <x:row r="1842">
      <x:c r="B1842" s="21" t="str">
        <x:v>C1836</x:v>
      </x:c>
      <x:c r="C1842" s="21" t="str">
        <x:v>reserve ledger</x:v>
      </x:c>
      <x:c r="D1842" s="21" t="str">
        <x:v>reserve status identity row 90</x:v>
      </x:c>
      <x:c r="E1842" s="21" t="n">
        <x:f>IF('Reserve Ledger'!J90=IF('Reserve Ledger'!I90&gt;=1,"ADEQUATE","GAP"),1,0)</x:f>
        <x:v>1</x:v>
      </x:c>
      <x:c r="F1842" s="21" t="n">
        <x:v>1</x:v>
      </x:c>
      <x:c r="G1842" s="23" t="str">
        <x:f>IF(E1842=F1842,"PASS","FAIL")</x:f>
        <x:v>PASS</x:v>
      </x:c>
    </x:row>
    <x:row r="1843">
      <x:c r="B1843" s="21" t="str">
        <x:v>C1837</x:v>
      </x:c>
      <x:c r="C1843" s="21" t="str">
        <x:v>reserve ledger</x:v>
      </x:c>
      <x:c r="D1843" s="21" t="str">
        <x:v>post-service identity row 91</x:v>
      </x:c>
      <x:c r="E1843" s="21" t="n">
        <x:f>IF(ABS('Reserve Ledger'!H91-MAX(0,'Reserve Ledger'!E91-'Reserve Ledger'!F91))&lt;0.000001,1,0)</x:f>
        <x:v>1</x:v>
      </x:c>
      <x:c r="F1843" s="21" t="n">
        <x:v>1</x:v>
      </x:c>
      <x:c r="G1843" s="23" t="str">
        <x:f>IF(E1843=F1843,"PASS","FAIL")</x:f>
        <x:v>PASS</x:v>
      </x:c>
    </x:row>
    <x:row r="1844">
      <x:c r="B1844" s="21" t="str">
        <x:v>C1838</x:v>
      </x:c>
      <x:c r="C1844" s="21" t="str">
        <x:v>reserve ledger</x:v>
      </x:c>
      <x:c r="D1844" s="21" t="str">
        <x:v>reserve ratio identity row 91</x:v>
      </x:c>
      <x:c r="E1844" s="21" t="n">
        <x:f>IF(ABS('Reserve Ledger'!I91-'Reserve Ledger'!H91/'Reserve Ledger'!G91)&lt;0.000001,1,0)</x:f>
        <x:v>1</x:v>
      </x:c>
      <x:c r="F1844" s="21" t="n">
        <x:v>1</x:v>
      </x:c>
      <x:c r="G1844" s="23" t="str">
        <x:f>IF(E1844=F1844,"PASS","FAIL")</x:f>
        <x:v>PASS</x:v>
      </x:c>
    </x:row>
    <x:row r="1845">
      <x:c r="B1845" s="21" t="str">
        <x:v>C1839</x:v>
      </x:c>
      <x:c r="C1845" s="21" t="str">
        <x:v>reserve ledger</x:v>
      </x:c>
      <x:c r="D1845" s="21" t="str">
        <x:v>reserve status identity row 91</x:v>
      </x:c>
      <x:c r="E1845" s="21" t="n">
        <x:f>IF('Reserve Ledger'!J91=IF('Reserve Ledger'!I91&gt;=1,"ADEQUATE","GAP"),1,0)</x:f>
        <x:v>1</x:v>
      </x:c>
      <x:c r="F1845" s="21" t="n">
        <x:v>1</x:v>
      </x:c>
      <x:c r="G1845" s="23" t="str">
        <x:f>IF(E1845=F1845,"PASS","FAIL")</x:f>
        <x:v>PASS</x:v>
      </x:c>
    </x:row>
    <x:row r="1846">
      <x:c r="B1846" s="21" t="str">
        <x:v>C1840</x:v>
      </x:c>
      <x:c r="C1846" s="21" t="str">
        <x:v>reserve ledger</x:v>
      </x:c>
      <x:c r="D1846" s="21" t="str">
        <x:v>post-service identity row 92</x:v>
      </x:c>
      <x:c r="E1846" s="21" t="n">
        <x:f>IF(ABS('Reserve Ledger'!H92-MAX(0,'Reserve Ledger'!E92-'Reserve Ledger'!F92))&lt;0.000001,1,0)</x:f>
        <x:v>1</x:v>
      </x:c>
      <x:c r="F1846" s="21" t="n">
        <x:v>1</x:v>
      </x:c>
      <x:c r="G1846" s="23" t="str">
        <x:f>IF(E1846=F1846,"PASS","FAIL")</x:f>
        <x:v>PASS</x:v>
      </x:c>
    </x:row>
    <x:row r="1847">
      <x:c r="B1847" s="21" t="str">
        <x:v>C1841</x:v>
      </x:c>
      <x:c r="C1847" s="21" t="str">
        <x:v>reserve ledger</x:v>
      </x:c>
      <x:c r="D1847" s="21" t="str">
        <x:v>reserve ratio identity row 92</x:v>
      </x:c>
      <x:c r="E1847" s="21" t="n">
        <x:f>IF(ABS('Reserve Ledger'!I92-'Reserve Ledger'!H92/'Reserve Ledger'!G92)&lt;0.000001,1,0)</x:f>
        <x:v>1</x:v>
      </x:c>
      <x:c r="F1847" s="21" t="n">
        <x:v>1</x:v>
      </x:c>
      <x:c r="G1847" s="23" t="str">
        <x:f>IF(E1847=F1847,"PASS","FAIL")</x:f>
        <x:v>PASS</x:v>
      </x:c>
    </x:row>
    <x:row r="1848">
      <x:c r="B1848" s="21" t="str">
        <x:v>C1842</x:v>
      </x:c>
      <x:c r="C1848" s="21" t="str">
        <x:v>reserve ledger</x:v>
      </x:c>
      <x:c r="D1848" s="21" t="str">
        <x:v>reserve status identity row 92</x:v>
      </x:c>
      <x:c r="E1848" s="21" t="n">
        <x:f>IF('Reserve Ledger'!J92=IF('Reserve Ledger'!I92&gt;=1,"ADEQUATE","GAP"),1,0)</x:f>
        <x:v>1</x:v>
      </x:c>
      <x:c r="F1848" s="21" t="n">
        <x:v>1</x:v>
      </x:c>
      <x:c r="G1848" s="23" t="str">
        <x:f>IF(E1848=F1848,"PASS","FAIL")</x:f>
        <x:v>PASS</x:v>
      </x:c>
    </x:row>
    <x:row r="1849">
      <x:c r="B1849" s="21" t="str">
        <x:v>C1843</x:v>
      </x:c>
      <x:c r="C1849" s="21" t="str">
        <x:v>reserve ledger</x:v>
      </x:c>
      <x:c r="D1849" s="21" t="str">
        <x:v>post-service identity row 93</x:v>
      </x:c>
      <x:c r="E1849" s="21" t="n">
        <x:f>IF(ABS('Reserve Ledger'!H93-MAX(0,'Reserve Ledger'!E93-'Reserve Ledger'!F93))&lt;0.000001,1,0)</x:f>
        <x:v>1</x:v>
      </x:c>
      <x:c r="F1849" s="21" t="n">
        <x:v>1</x:v>
      </x:c>
      <x:c r="G1849" s="23" t="str">
        <x:f>IF(E1849=F1849,"PASS","FAIL")</x:f>
        <x:v>PASS</x:v>
      </x:c>
    </x:row>
    <x:row r="1850">
      <x:c r="B1850" s="21" t="str">
        <x:v>C1844</x:v>
      </x:c>
      <x:c r="C1850" s="21" t="str">
        <x:v>reserve ledger</x:v>
      </x:c>
      <x:c r="D1850" s="21" t="str">
        <x:v>reserve ratio identity row 93</x:v>
      </x:c>
      <x:c r="E1850" s="21" t="n">
        <x:f>IF(ABS('Reserve Ledger'!I93-'Reserve Ledger'!H93/'Reserve Ledger'!G93)&lt;0.000001,1,0)</x:f>
        <x:v>1</x:v>
      </x:c>
      <x:c r="F1850" s="21" t="n">
        <x:v>1</x:v>
      </x:c>
      <x:c r="G1850" s="23" t="str">
        <x:f>IF(E1850=F1850,"PASS","FAIL")</x:f>
        <x:v>PASS</x:v>
      </x:c>
    </x:row>
    <x:row r="1851">
      <x:c r="B1851" s="21" t="str">
        <x:v>C1845</x:v>
      </x:c>
      <x:c r="C1851" s="21" t="str">
        <x:v>reserve ledger</x:v>
      </x:c>
      <x:c r="D1851" s="21" t="str">
        <x:v>reserve status identity row 93</x:v>
      </x:c>
      <x:c r="E1851" s="21" t="n">
        <x:f>IF('Reserve Ledger'!J93=IF('Reserve Ledger'!I93&gt;=1,"ADEQUATE","GAP"),1,0)</x:f>
        <x:v>1</x:v>
      </x:c>
      <x:c r="F1851" s="21" t="n">
        <x:v>1</x:v>
      </x:c>
      <x:c r="G1851" s="23" t="str">
        <x:f>IF(E1851=F1851,"PASS","FAIL")</x:f>
        <x:v>PASS</x:v>
      </x:c>
    </x:row>
    <x:row r="1852">
      <x:c r="B1852" s="21" t="str">
        <x:v>C1846</x:v>
      </x:c>
      <x:c r="C1852" s="21" t="str">
        <x:v>reserve ledger</x:v>
      </x:c>
      <x:c r="D1852" s="21" t="str">
        <x:v>post-service identity row 94</x:v>
      </x:c>
      <x:c r="E1852" s="21" t="n">
        <x:f>IF(ABS('Reserve Ledger'!H94-MAX(0,'Reserve Ledger'!E94-'Reserve Ledger'!F94))&lt;0.000001,1,0)</x:f>
        <x:v>1</x:v>
      </x:c>
      <x:c r="F1852" s="21" t="n">
        <x:v>1</x:v>
      </x:c>
      <x:c r="G1852" s="23" t="str">
        <x:f>IF(E1852=F1852,"PASS","FAIL")</x:f>
        <x:v>PASS</x:v>
      </x:c>
    </x:row>
    <x:row r="1853">
      <x:c r="B1853" s="21" t="str">
        <x:v>C1847</x:v>
      </x:c>
      <x:c r="C1853" s="21" t="str">
        <x:v>reserve ledger</x:v>
      </x:c>
      <x:c r="D1853" s="21" t="str">
        <x:v>reserve ratio identity row 94</x:v>
      </x:c>
      <x:c r="E1853" s="21" t="n">
        <x:f>IF(ABS('Reserve Ledger'!I94-'Reserve Ledger'!H94/'Reserve Ledger'!G94)&lt;0.000001,1,0)</x:f>
        <x:v>1</x:v>
      </x:c>
      <x:c r="F1853" s="21" t="n">
        <x:v>1</x:v>
      </x:c>
      <x:c r="G1853" s="23" t="str">
        <x:f>IF(E1853=F1853,"PASS","FAIL")</x:f>
        <x:v>PASS</x:v>
      </x:c>
    </x:row>
    <x:row r="1854">
      <x:c r="B1854" s="21" t="str">
        <x:v>C1848</x:v>
      </x:c>
      <x:c r="C1854" s="21" t="str">
        <x:v>reserve ledger</x:v>
      </x:c>
      <x:c r="D1854" s="21" t="str">
        <x:v>reserve status identity row 94</x:v>
      </x:c>
      <x:c r="E1854" s="21" t="n">
        <x:f>IF('Reserve Ledger'!J94=IF('Reserve Ledger'!I94&gt;=1,"ADEQUATE","GAP"),1,0)</x:f>
        <x:v>1</x:v>
      </x:c>
      <x:c r="F1854" s="21" t="n">
        <x:v>1</x:v>
      </x:c>
      <x:c r="G1854" s="23" t="str">
        <x:f>IF(E1854=F1854,"PASS","FAIL")</x:f>
        <x:v>PASS</x:v>
      </x:c>
    </x:row>
    <x:row r="1855">
      <x:c r="B1855" s="21" t="str">
        <x:v>C1849</x:v>
      </x:c>
      <x:c r="C1855" s="21" t="str">
        <x:v>reserve ledger</x:v>
      </x:c>
      <x:c r="D1855" s="21" t="str">
        <x:v>post-service identity row 95</x:v>
      </x:c>
      <x:c r="E1855" s="21" t="n">
        <x:f>IF(ABS('Reserve Ledger'!H95-MAX(0,'Reserve Ledger'!E95-'Reserve Ledger'!F95))&lt;0.000001,1,0)</x:f>
        <x:v>1</x:v>
      </x:c>
      <x:c r="F1855" s="21" t="n">
        <x:v>1</x:v>
      </x:c>
      <x:c r="G1855" s="23" t="str">
        <x:f>IF(E1855=F1855,"PASS","FAIL")</x:f>
        <x:v>PASS</x:v>
      </x:c>
    </x:row>
    <x:row r="1856">
      <x:c r="B1856" s="21" t="str">
        <x:v>C1850</x:v>
      </x:c>
      <x:c r="C1856" s="21" t="str">
        <x:v>reserve ledger</x:v>
      </x:c>
      <x:c r="D1856" s="21" t="str">
        <x:v>reserve ratio identity row 95</x:v>
      </x:c>
      <x:c r="E1856" s="21" t="n">
        <x:f>IF(ABS('Reserve Ledger'!I95-'Reserve Ledger'!H95/'Reserve Ledger'!G95)&lt;0.000001,1,0)</x:f>
        <x:v>1</x:v>
      </x:c>
      <x:c r="F1856" s="21" t="n">
        <x:v>1</x:v>
      </x:c>
      <x:c r="G1856" s="23" t="str">
        <x:f>IF(E1856=F1856,"PASS","FAIL")</x:f>
        <x:v>PASS</x:v>
      </x:c>
    </x:row>
    <x:row r="1857">
      <x:c r="B1857" s="21" t="str">
        <x:v>C1851</x:v>
      </x:c>
      <x:c r="C1857" s="21" t="str">
        <x:v>reserve ledger</x:v>
      </x:c>
      <x:c r="D1857" s="21" t="str">
        <x:v>reserve status identity row 95</x:v>
      </x:c>
      <x:c r="E1857" s="21" t="n">
        <x:f>IF('Reserve Ledger'!J95=IF('Reserve Ledger'!I95&gt;=1,"ADEQUATE","GAP"),1,0)</x:f>
        <x:v>1</x:v>
      </x:c>
      <x:c r="F1857" s="21" t="n">
        <x:v>1</x:v>
      </x:c>
      <x:c r="G1857" s="23" t="str">
        <x:f>IF(E1857=F1857,"PASS","FAIL")</x:f>
        <x:v>PASS</x:v>
      </x:c>
    </x:row>
    <x:row r="1858">
      <x:c r="B1858" s="21" t="str">
        <x:v>C1852</x:v>
      </x:c>
      <x:c r="C1858" s="21" t="str">
        <x:v>reserve ledger</x:v>
      </x:c>
      <x:c r="D1858" s="21" t="str">
        <x:v>post-service identity row 96</x:v>
      </x:c>
      <x:c r="E1858" s="21" t="n">
        <x:f>IF(ABS('Reserve Ledger'!H96-MAX(0,'Reserve Ledger'!E96-'Reserve Ledger'!F96))&lt;0.000001,1,0)</x:f>
        <x:v>1</x:v>
      </x:c>
      <x:c r="F1858" s="21" t="n">
        <x:v>1</x:v>
      </x:c>
      <x:c r="G1858" s="23" t="str">
        <x:f>IF(E1858=F1858,"PASS","FAIL")</x:f>
        <x:v>PASS</x:v>
      </x:c>
    </x:row>
    <x:row r="1859">
      <x:c r="B1859" s="21" t="str">
        <x:v>C1853</x:v>
      </x:c>
      <x:c r="C1859" s="21" t="str">
        <x:v>reserve ledger</x:v>
      </x:c>
      <x:c r="D1859" s="21" t="str">
        <x:v>reserve ratio identity row 96</x:v>
      </x:c>
      <x:c r="E1859" s="21" t="n">
        <x:f>IF(ABS('Reserve Ledger'!I96-'Reserve Ledger'!H96/'Reserve Ledger'!G96)&lt;0.000001,1,0)</x:f>
        <x:v>1</x:v>
      </x:c>
      <x:c r="F1859" s="21" t="n">
        <x:v>1</x:v>
      </x:c>
      <x:c r="G1859" s="23" t="str">
        <x:f>IF(E1859=F1859,"PASS","FAIL")</x:f>
        <x:v>PASS</x:v>
      </x:c>
    </x:row>
    <x:row r="1860">
      <x:c r="B1860" s="21" t="str">
        <x:v>C1854</x:v>
      </x:c>
      <x:c r="C1860" s="21" t="str">
        <x:v>reserve ledger</x:v>
      </x:c>
      <x:c r="D1860" s="21" t="str">
        <x:v>reserve status identity row 96</x:v>
      </x:c>
      <x:c r="E1860" s="21" t="n">
        <x:f>IF('Reserve Ledger'!J96=IF('Reserve Ledger'!I96&gt;=1,"ADEQUATE","GAP"),1,0)</x:f>
        <x:v>1</x:v>
      </x:c>
      <x:c r="F1860" s="21" t="n">
        <x:v>1</x:v>
      </x:c>
      <x:c r="G1860" s="23" t="str">
        <x:f>IF(E1860=F1860,"PASS","FAIL")</x:f>
        <x:v>PASS</x:v>
      </x:c>
    </x:row>
    <x:row r="1861">
      <x:c r="B1861" s="21" t="str">
        <x:v>C1855</x:v>
      </x:c>
      <x:c r="C1861" s="21" t="str">
        <x:v>reserve ledger</x:v>
      </x:c>
      <x:c r="D1861" s="21" t="str">
        <x:v>post-service identity row 97</x:v>
      </x:c>
      <x:c r="E1861" s="21" t="n">
        <x:f>IF(ABS('Reserve Ledger'!H97-MAX(0,'Reserve Ledger'!E97-'Reserve Ledger'!F97))&lt;0.000001,1,0)</x:f>
        <x:v>1</x:v>
      </x:c>
      <x:c r="F1861" s="21" t="n">
        <x:v>1</x:v>
      </x:c>
      <x:c r="G1861" s="23" t="str">
        <x:f>IF(E1861=F1861,"PASS","FAIL")</x:f>
        <x:v>PASS</x:v>
      </x:c>
    </x:row>
    <x:row r="1862">
      <x:c r="B1862" s="21" t="str">
        <x:v>C1856</x:v>
      </x:c>
      <x:c r="C1862" s="21" t="str">
        <x:v>reserve ledger</x:v>
      </x:c>
      <x:c r="D1862" s="21" t="str">
        <x:v>reserve ratio identity row 97</x:v>
      </x:c>
      <x:c r="E1862" s="21" t="n">
        <x:f>IF(ABS('Reserve Ledger'!I97-'Reserve Ledger'!H97/'Reserve Ledger'!G97)&lt;0.000001,1,0)</x:f>
        <x:v>1</x:v>
      </x:c>
      <x:c r="F1862" s="21" t="n">
        <x:v>1</x:v>
      </x:c>
      <x:c r="G1862" s="23" t="str">
        <x:f>IF(E1862=F1862,"PASS","FAIL")</x:f>
        <x:v>PASS</x:v>
      </x:c>
    </x:row>
    <x:row r="1863">
      <x:c r="B1863" s="21" t="str">
        <x:v>C1857</x:v>
      </x:c>
      <x:c r="C1863" s="21" t="str">
        <x:v>reserve ledger</x:v>
      </x:c>
      <x:c r="D1863" s="21" t="str">
        <x:v>reserve status identity row 97</x:v>
      </x:c>
      <x:c r="E1863" s="21" t="n">
        <x:f>IF('Reserve Ledger'!J97=IF('Reserve Ledger'!I97&gt;=1,"ADEQUATE","GAP"),1,0)</x:f>
        <x:v>1</x:v>
      </x:c>
      <x:c r="F1863" s="21" t="n">
        <x:v>1</x:v>
      </x:c>
      <x:c r="G1863" s="23" t="str">
        <x:f>IF(E1863=F1863,"PASS","FAIL")</x:f>
        <x:v>PASS</x:v>
      </x:c>
    </x:row>
    <x:row r="1864">
      <x:c r="B1864" s="21" t="str">
        <x:v>C1858</x:v>
      </x:c>
      <x:c r="C1864" s="21" t="str">
        <x:v>reserve ledger</x:v>
      </x:c>
      <x:c r="D1864" s="21" t="str">
        <x:v>post-service identity row 98</x:v>
      </x:c>
      <x:c r="E1864" s="21" t="n">
        <x:f>IF(ABS('Reserve Ledger'!H98-MAX(0,'Reserve Ledger'!E98-'Reserve Ledger'!F98))&lt;0.000001,1,0)</x:f>
        <x:v>1</x:v>
      </x:c>
      <x:c r="F1864" s="21" t="n">
        <x:v>1</x:v>
      </x:c>
      <x:c r="G1864" s="23" t="str">
        <x:f>IF(E1864=F1864,"PASS","FAIL")</x:f>
        <x:v>PASS</x:v>
      </x:c>
    </x:row>
    <x:row r="1865">
      <x:c r="B1865" s="21" t="str">
        <x:v>C1859</x:v>
      </x:c>
      <x:c r="C1865" s="21" t="str">
        <x:v>reserve ledger</x:v>
      </x:c>
      <x:c r="D1865" s="21" t="str">
        <x:v>reserve ratio identity row 98</x:v>
      </x:c>
      <x:c r="E1865" s="21" t="n">
        <x:f>IF(ABS('Reserve Ledger'!I98-'Reserve Ledger'!H98/'Reserve Ledger'!G98)&lt;0.000001,1,0)</x:f>
        <x:v>1</x:v>
      </x:c>
      <x:c r="F1865" s="21" t="n">
        <x:v>1</x:v>
      </x:c>
      <x:c r="G1865" s="23" t="str">
        <x:f>IF(E1865=F1865,"PASS","FAIL")</x:f>
        <x:v>PASS</x:v>
      </x:c>
    </x:row>
    <x:row r="1866">
      <x:c r="B1866" s="21" t="str">
        <x:v>C1860</x:v>
      </x:c>
      <x:c r="C1866" s="21" t="str">
        <x:v>reserve ledger</x:v>
      </x:c>
      <x:c r="D1866" s="21" t="str">
        <x:v>reserve status identity row 98</x:v>
      </x:c>
      <x:c r="E1866" s="21" t="n">
        <x:f>IF('Reserve Ledger'!J98=IF('Reserve Ledger'!I98&gt;=1,"ADEQUATE","GAP"),1,0)</x:f>
        <x:v>1</x:v>
      </x:c>
      <x:c r="F1866" s="21" t="n">
        <x:v>1</x:v>
      </x:c>
      <x:c r="G1866" s="23" t="str">
        <x:f>IF(E1866=F1866,"PASS","FAIL")</x:f>
        <x:v>PASS</x:v>
      </x:c>
    </x:row>
    <x:row r="1867">
      <x:c r="B1867" s="21" t="str">
        <x:v>C1861</x:v>
      </x:c>
      <x:c r="C1867" s="21" t="str">
        <x:v>reserve ledger</x:v>
      </x:c>
      <x:c r="D1867" s="21" t="str">
        <x:v>post-service identity row 99</x:v>
      </x:c>
      <x:c r="E1867" s="21" t="n">
        <x:f>IF(ABS('Reserve Ledger'!H99-MAX(0,'Reserve Ledger'!E99-'Reserve Ledger'!F99))&lt;0.000001,1,0)</x:f>
        <x:v>1</x:v>
      </x:c>
      <x:c r="F1867" s="21" t="n">
        <x:v>1</x:v>
      </x:c>
      <x:c r="G1867" s="23" t="str">
        <x:f>IF(E1867=F1867,"PASS","FAIL")</x:f>
        <x:v>PASS</x:v>
      </x:c>
    </x:row>
    <x:row r="1868">
      <x:c r="B1868" s="21" t="str">
        <x:v>C1862</x:v>
      </x:c>
      <x:c r="C1868" s="21" t="str">
        <x:v>reserve ledger</x:v>
      </x:c>
      <x:c r="D1868" s="21" t="str">
        <x:v>reserve ratio identity row 99</x:v>
      </x:c>
      <x:c r="E1868" s="21" t="n">
        <x:f>IF(ABS('Reserve Ledger'!I99-'Reserve Ledger'!H99/'Reserve Ledger'!G99)&lt;0.000001,1,0)</x:f>
        <x:v>1</x:v>
      </x:c>
      <x:c r="F1868" s="21" t="n">
        <x:v>1</x:v>
      </x:c>
      <x:c r="G1868" s="23" t="str">
        <x:f>IF(E1868=F1868,"PASS","FAIL")</x:f>
        <x:v>PASS</x:v>
      </x:c>
    </x:row>
    <x:row r="1869">
      <x:c r="B1869" s="21" t="str">
        <x:v>C1863</x:v>
      </x:c>
      <x:c r="C1869" s="21" t="str">
        <x:v>reserve ledger</x:v>
      </x:c>
      <x:c r="D1869" s="21" t="str">
        <x:v>reserve status identity row 99</x:v>
      </x:c>
      <x:c r="E1869" s="21" t="n">
        <x:f>IF('Reserve Ledger'!J99=IF('Reserve Ledger'!I99&gt;=1,"ADEQUATE","GAP"),1,0)</x:f>
        <x:v>1</x:v>
      </x:c>
      <x:c r="F1869" s="21" t="n">
        <x:v>1</x:v>
      </x:c>
      <x:c r="G1869" s="23" t="str">
        <x:f>IF(E1869=F1869,"PASS","FAIL")</x:f>
        <x:v>PASS</x:v>
      </x:c>
    </x:row>
    <x:row r="1870">
      <x:c r="B1870" s="21" t="str">
        <x:v>C1864</x:v>
      </x:c>
      <x:c r="C1870" s="21" t="str">
        <x:v>reserve ledger</x:v>
      </x:c>
      <x:c r="D1870" s="21" t="str">
        <x:v>post-service identity row 100</x:v>
      </x:c>
      <x:c r="E1870" s="21" t="n">
        <x:f>IF(ABS('Reserve Ledger'!H100-MAX(0,'Reserve Ledger'!E100-'Reserve Ledger'!F100))&lt;0.000001,1,0)</x:f>
        <x:v>1</x:v>
      </x:c>
      <x:c r="F1870" s="21" t="n">
        <x:v>1</x:v>
      </x:c>
      <x:c r="G1870" s="23" t="str">
        <x:f>IF(E1870=F1870,"PASS","FAIL")</x:f>
        <x:v>PASS</x:v>
      </x:c>
    </x:row>
    <x:row r="1871">
      <x:c r="B1871" s="21" t="str">
        <x:v>C1865</x:v>
      </x:c>
      <x:c r="C1871" s="21" t="str">
        <x:v>reserve ledger</x:v>
      </x:c>
      <x:c r="D1871" s="21" t="str">
        <x:v>reserve ratio identity row 100</x:v>
      </x:c>
      <x:c r="E1871" s="21" t="n">
        <x:f>IF(ABS('Reserve Ledger'!I100-'Reserve Ledger'!H100/'Reserve Ledger'!G100)&lt;0.000001,1,0)</x:f>
        <x:v>1</x:v>
      </x:c>
      <x:c r="F1871" s="21" t="n">
        <x:v>1</x:v>
      </x:c>
      <x:c r="G1871" s="23" t="str">
        <x:f>IF(E1871=F1871,"PASS","FAIL")</x:f>
        <x:v>PASS</x:v>
      </x:c>
    </x:row>
    <x:row r="1872">
      <x:c r="B1872" s="21" t="str">
        <x:v>C1866</x:v>
      </x:c>
      <x:c r="C1872" s="21" t="str">
        <x:v>reserve ledger</x:v>
      </x:c>
      <x:c r="D1872" s="21" t="str">
        <x:v>reserve status identity row 100</x:v>
      </x:c>
      <x:c r="E1872" s="21" t="n">
        <x:f>IF('Reserve Ledger'!J100=IF('Reserve Ledger'!I100&gt;=1,"ADEQUATE","GAP"),1,0)</x:f>
        <x:v>1</x:v>
      </x:c>
      <x:c r="F1872" s="21" t="n">
        <x:v>1</x:v>
      </x:c>
      <x:c r="G1872" s="23" t="str">
        <x:f>IF(E1872=F1872,"PASS","FAIL")</x:f>
        <x:v>PASS</x:v>
      </x:c>
    </x:row>
    <x:row r="1873">
      <x:c r="B1873" s="21" t="str">
        <x:v>C1867</x:v>
      </x:c>
      <x:c r="C1873" s="21" t="str">
        <x:v>reserve ledger</x:v>
      </x:c>
      <x:c r="D1873" s="21" t="str">
        <x:v>post-service identity row 101</x:v>
      </x:c>
      <x:c r="E1873" s="21" t="n">
        <x:f>IF(ABS('Reserve Ledger'!H101-MAX(0,'Reserve Ledger'!E101-'Reserve Ledger'!F101))&lt;0.000001,1,0)</x:f>
        <x:v>1</x:v>
      </x:c>
      <x:c r="F1873" s="21" t="n">
        <x:v>1</x:v>
      </x:c>
      <x:c r="G1873" s="23" t="str">
        <x:f>IF(E1873=F1873,"PASS","FAIL")</x:f>
        <x:v>PASS</x:v>
      </x:c>
    </x:row>
    <x:row r="1874">
      <x:c r="B1874" s="21" t="str">
        <x:v>C1868</x:v>
      </x:c>
      <x:c r="C1874" s="21" t="str">
        <x:v>reserve ledger</x:v>
      </x:c>
      <x:c r="D1874" s="21" t="str">
        <x:v>reserve ratio identity row 101</x:v>
      </x:c>
      <x:c r="E1874" s="21" t="n">
        <x:f>IF(ABS('Reserve Ledger'!I101-'Reserve Ledger'!H101/'Reserve Ledger'!G101)&lt;0.000001,1,0)</x:f>
        <x:v>1</x:v>
      </x:c>
      <x:c r="F1874" s="21" t="n">
        <x:v>1</x:v>
      </x:c>
      <x:c r="G1874" s="23" t="str">
        <x:f>IF(E1874=F1874,"PASS","FAIL")</x:f>
        <x:v>PASS</x:v>
      </x:c>
    </x:row>
    <x:row r="1875">
      <x:c r="B1875" s="21" t="str">
        <x:v>C1869</x:v>
      </x:c>
      <x:c r="C1875" s="21" t="str">
        <x:v>reserve ledger</x:v>
      </x:c>
      <x:c r="D1875" s="21" t="str">
        <x:v>reserve status identity row 101</x:v>
      </x:c>
      <x:c r="E1875" s="21" t="n">
        <x:f>IF('Reserve Ledger'!J101=IF('Reserve Ledger'!I101&gt;=1,"ADEQUATE","GAP"),1,0)</x:f>
        <x:v>1</x:v>
      </x:c>
      <x:c r="F1875" s="21" t="n">
        <x:v>1</x:v>
      </x:c>
      <x:c r="G1875" s="23" t="str">
        <x:f>IF(E1875=F1875,"PASS","FAIL")</x:f>
        <x:v>PASS</x:v>
      </x:c>
    </x:row>
    <x:row r="1876">
      <x:c r="B1876" s="21" t="str">
        <x:v>C1870</x:v>
      </x:c>
      <x:c r="C1876" s="21" t="str">
        <x:v>reserve ledger</x:v>
      </x:c>
      <x:c r="D1876" s="21" t="str">
        <x:v>post-service identity row 102</x:v>
      </x:c>
      <x:c r="E1876" s="21" t="n">
        <x:f>IF(ABS('Reserve Ledger'!H102-MAX(0,'Reserve Ledger'!E102-'Reserve Ledger'!F102))&lt;0.000001,1,0)</x:f>
        <x:v>1</x:v>
      </x:c>
      <x:c r="F1876" s="21" t="n">
        <x:v>1</x:v>
      </x:c>
      <x:c r="G1876" s="23" t="str">
        <x:f>IF(E1876=F1876,"PASS","FAIL")</x:f>
        <x:v>PASS</x:v>
      </x:c>
    </x:row>
    <x:row r="1877">
      <x:c r="B1877" s="21" t="str">
        <x:v>C1871</x:v>
      </x:c>
      <x:c r="C1877" s="21" t="str">
        <x:v>reserve ledger</x:v>
      </x:c>
      <x:c r="D1877" s="21" t="str">
        <x:v>reserve ratio identity row 102</x:v>
      </x:c>
      <x:c r="E1877" s="21" t="n">
        <x:f>IF(ABS('Reserve Ledger'!I102-'Reserve Ledger'!H102/'Reserve Ledger'!G102)&lt;0.000001,1,0)</x:f>
        <x:v>1</x:v>
      </x:c>
      <x:c r="F1877" s="21" t="n">
        <x:v>1</x:v>
      </x:c>
      <x:c r="G1877" s="23" t="str">
        <x:f>IF(E1877=F1877,"PASS","FAIL")</x:f>
        <x:v>PASS</x:v>
      </x:c>
    </x:row>
    <x:row r="1878">
      <x:c r="B1878" s="21" t="str">
        <x:v>C1872</x:v>
      </x:c>
      <x:c r="C1878" s="21" t="str">
        <x:v>reserve ledger</x:v>
      </x:c>
      <x:c r="D1878" s="21" t="str">
        <x:v>reserve status identity row 102</x:v>
      </x:c>
      <x:c r="E1878" s="21" t="n">
        <x:f>IF('Reserve Ledger'!J102=IF('Reserve Ledger'!I102&gt;=1,"ADEQUATE","GAP"),1,0)</x:f>
        <x:v>1</x:v>
      </x:c>
      <x:c r="F1878" s="21" t="n">
        <x:v>1</x:v>
      </x:c>
      <x:c r="G1878" s="23" t="str">
        <x:f>IF(E1878=F1878,"PASS","FAIL")</x:f>
        <x:v>PASS</x:v>
      </x:c>
    </x:row>
    <x:row r="1879">
      <x:c r="B1879" s="21" t="str">
        <x:v>C1873</x:v>
      </x:c>
      <x:c r="C1879" s="21" t="str">
        <x:v>full force</x:v>
      </x:c>
      <x:c r="D1879" s="21" t="str">
        <x:v>M05 status identity row 7</x:v>
      </x:c>
      <x:c r="E1879" s="21" t="n">
        <x:f>IF('Full Force'!G7=IF('Full Force'!F7&gt;=Assumptions!$C$9,"CLOSES M05","GAP"),1,0)</x:f>
        <x:v>1</x:v>
      </x:c>
      <x:c r="F1879" s="21" t="n">
        <x:v>1</x:v>
      </x:c>
      <x:c r="G1879" s="23" t="str">
        <x:f>IF(E1879=F1879,"PASS","FAIL")</x:f>
        <x:v>PASS</x:v>
      </x:c>
    </x:row>
    <x:row r="1880">
      <x:c r="B1880" s="21" t="str">
        <x:v>C1874</x:v>
      </x:c>
      <x:c r="C1880" s="21" t="str">
        <x:v>full force</x:v>
      </x:c>
      <x:c r="D1880" s="21" t="str">
        <x:v>no physical admission row 7</x:v>
      </x:c>
      <x:c r="E1880" s="21" t="n">
        <x:f>IF(AND('Full Force'!J7=0,'Full Force'!K7="NOT ADMITTED"),1,0)</x:f>
        <x:v>1</x:v>
      </x:c>
      <x:c r="F1880" s="21" t="n">
        <x:v>1</x:v>
      </x:c>
      <x:c r="G1880" s="23" t="str">
        <x:f>IF(E1880=F1880,"PASS","FAIL")</x:f>
        <x:v>PASS</x:v>
      </x:c>
    </x:row>
    <x:row r="1881">
      <x:c r="B1881" s="21" t="str">
        <x:v>C1875</x:v>
      </x:c>
      <x:c r="C1881" s="21" t="str">
        <x:v>full force</x:v>
      </x:c>
      <x:c r="D1881" s="21" t="str">
        <x:v>M05 status identity row 8</x:v>
      </x:c>
      <x:c r="E1881" s="21" t="n">
        <x:f>IF('Full Force'!G8=IF('Full Force'!F8&gt;=Assumptions!$C$9,"CLOSES M05","GAP"),1,0)</x:f>
        <x:v>1</x:v>
      </x:c>
      <x:c r="F1881" s="21" t="n">
        <x:v>1</x:v>
      </x:c>
      <x:c r="G1881" s="23" t="str">
        <x:f>IF(E1881=F1881,"PASS","FAIL")</x:f>
        <x:v>PASS</x:v>
      </x:c>
    </x:row>
    <x:row r="1882">
      <x:c r="B1882" s="21" t="str">
        <x:v>C1876</x:v>
      </x:c>
      <x:c r="C1882" s="21" t="str">
        <x:v>full force</x:v>
      </x:c>
      <x:c r="D1882" s="21" t="str">
        <x:v>no physical admission row 8</x:v>
      </x:c>
      <x:c r="E1882" s="21" t="n">
        <x:f>IF(AND('Full Force'!J8=0,'Full Force'!K8="NOT ADMITTED"),1,0)</x:f>
        <x:v>1</x:v>
      </x:c>
      <x:c r="F1882" s="21" t="n">
        <x:v>1</x:v>
      </x:c>
      <x:c r="G1882" s="23" t="str">
        <x:f>IF(E1882=F1882,"PASS","FAIL")</x:f>
        <x:v>PASS</x:v>
      </x:c>
    </x:row>
    <x:row r="1883">
      <x:c r="B1883" s="21" t="str">
        <x:v>C1877</x:v>
      </x:c>
      <x:c r="C1883" s="21" t="str">
        <x:v>full force</x:v>
      </x:c>
      <x:c r="D1883" s="21" t="str">
        <x:v>M05 status identity row 9</x:v>
      </x:c>
      <x:c r="E1883" s="21" t="n">
        <x:f>IF('Full Force'!G9=IF('Full Force'!F9&gt;=Assumptions!$C$9,"CLOSES M05","GAP"),1,0)</x:f>
        <x:v>1</x:v>
      </x:c>
      <x:c r="F1883" s="21" t="n">
        <x:v>1</x:v>
      </x:c>
      <x:c r="G1883" s="23" t="str">
        <x:f>IF(E1883=F1883,"PASS","FAIL")</x:f>
        <x:v>PASS</x:v>
      </x:c>
    </x:row>
    <x:row r="1884">
      <x:c r="B1884" s="21" t="str">
        <x:v>C1878</x:v>
      </x:c>
      <x:c r="C1884" s="21" t="str">
        <x:v>full force</x:v>
      </x:c>
      <x:c r="D1884" s="21" t="str">
        <x:v>no physical admission row 9</x:v>
      </x:c>
      <x:c r="E1884" s="21" t="n">
        <x:f>IF(AND('Full Force'!J9=0,'Full Force'!K9="NOT ADMITTED"),1,0)</x:f>
        <x:v>1</x:v>
      </x:c>
      <x:c r="F1884" s="21" t="n">
        <x:v>1</x:v>
      </x:c>
      <x:c r="G1884" s="23" t="str">
        <x:f>IF(E1884=F1884,"PASS","FAIL")</x:f>
        <x:v>PASS</x:v>
      </x:c>
    </x:row>
    <x:row r="1885">
      <x:c r="B1885" s="21" t="str">
        <x:v>C1879</x:v>
      </x:c>
      <x:c r="C1885" s="21" t="str">
        <x:v>full force</x:v>
      </x:c>
      <x:c r="D1885" s="21" t="str">
        <x:v>M05 status identity row 10</x:v>
      </x:c>
      <x:c r="E1885" s="21" t="n">
        <x:f>IF('Full Force'!G10=IF('Full Force'!F10&gt;=Assumptions!$C$9,"CLOSES M05","GAP"),1,0)</x:f>
        <x:v>1</x:v>
      </x:c>
      <x:c r="F1885" s="21" t="n">
        <x:v>1</x:v>
      </x:c>
      <x:c r="G1885" s="23" t="str">
        <x:f>IF(E1885=F1885,"PASS","FAIL")</x:f>
        <x:v>PASS</x:v>
      </x:c>
    </x:row>
    <x:row r="1886">
      <x:c r="B1886" s="21" t="str">
        <x:v>C1880</x:v>
      </x:c>
      <x:c r="C1886" s="21" t="str">
        <x:v>full force</x:v>
      </x:c>
      <x:c r="D1886" s="21" t="str">
        <x:v>no physical admission row 10</x:v>
      </x:c>
      <x:c r="E1886" s="21" t="n">
        <x:f>IF(AND('Full Force'!J10=0,'Full Force'!K10="NOT ADMITTED"),1,0)</x:f>
        <x:v>1</x:v>
      </x:c>
      <x:c r="F1886" s="21" t="n">
        <x:v>1</x:v>
      </x:c>
      <x:c r="G1886" s="23" t="str">
        <x:f>IF(E1886=F1886,"PASS","FAIL")</x:f>
        <x:v>PASS</x:v>
      </x:c>
    </x:row>
    <x:row r="1887">
      <x:c r="B1887" s="21" t="str">
        <x:v>C1881</x:v>
      </x:c>
      <x:c r="C1887" s="21" t="str">
        <x:v>full force</x:v>
      </x:c>
      <x:c r="D1887" s="21" t="str">
        <x:v>M05 status identity row 11</x:v>
      </x:c>
      <x:c r="E1887" s="21" t="n">
        <x:f>IF('Full Force'!G11=IF('Full Force'!F11&gt;=Assumptions!$C$9,"CLOSES M05","GAP"),1,0)</x:f>
        <x:v>1</x:v>
      </x:c>
      <x:c r="F1887" s="21" t="n">
        <x:v>1</x:v>
      </x:c>
      <x:c r="G1887" s="23" t="str">
        <x:f>IF(E1887=F1887,"PASS","FAIL")</x:f>
        <x:v>PASS</x:v>
      </x:c>
    </x:row>
    <x:row r="1888">
      <x:c r="B1888" s="21" t="str">
        <x:v>C1882</x:v>
      </x:c>
      <x:c r="C1888" s="21" t="str">
        <x:v>full force</x:v>
      </x:c>
      <x:c r="D1888" s="21" t="str">
        <x:v>no physical admission row 11</x:v>
      </x:c>
      <x:c r="E1888" s="21" t="n">
        <x:f>IF(AND('Full Force'!J11=0,'Full Force'!K11="NOT ADMITTED"),1,0)</x:f>
        <x:v>1</x:v>
      </x:c>
      <x:c r="F1888" s="21" t="n">
        <x:v>1</x:v>
      </x:c>
      <x:c r="G1888" s="23" t="str">
        <x:f>IF(E1888=F1888,"PASS","FAIL")</x:f>
        <x:v>PASS</x:v>
      </x:c>
    </x:row>
    <x:row r="1889">
      <x:c r="B1889" s="21" t="str">
        <x:v>C1883</x:v>
      </x:c>
      <x:c r="C1889" s="21" t="str">
        <x:v>full force</x:v>
      </x:c>
      <x:c r="D1889" s="21" t="str">
        <x:v>M05 status identity row 12</x:v>
      </x:c>
      <x:c r="E1889" s="21" t="n">
        <x:f>IF('Full Force'!G12=IF('Full Force'!F12&gt;=Assumptions!$C$9,"CLOSES M05","GAP"),1,0)</x:f>
        <x:v>1</x:v>
      </x:c>
      <x:c r="F1889" s="21" t="n">
        <x:v>1</x:v>
      </x:c>
      <x:c r="G1889" s="23" t="str">
        <x:f>IF(E1889=F1889,"PASS","FAIL")</x:f>
        <x:v>PASS</x:v>
      </x:c>
    </x:row>
    <x:row r="1890">
      <x:c r="B1890" s="21" t="str">
        <x:v>C1884</x:v>
      </x:c>
      <x:c r="C1890" s="21" t="str">
        <x:v>full force</x:v>
      </x:c>
      <x:c r="D1890" s="21" t="str">
        <x:v>no physical admission row 12</x:v>
      </x:c>
      <x:c r="E1890" s="21" t="n">
        <x:f>IF(AND('Full Force'!J12=0,'Full Force'!K12="NOT ADMITTED"),1,0)</x:f>
        <x:v>1</x:v>
      </x:c>
      <x:c r="F1890" s="21" t="n">
        <x:v>1</x:v>
      </x:c>
      <x:c r="G1890" s="23" t="str">
        <x:f>IF(E1890=F1890,"PASS","FAIL")</x:f>
        <x:v>PASS</x:v>
      </x:c>
    </x:row>
    <x:row r="1891">
      <x:c r="B1891" s="21" t="str">
        <x:v>C1885</x:v>
      </x:c>
      <x:c r="C1891" s="21" t="str">
        <x:v>full force</x:v>
      </x:c>
      <x:c r="D1891" s="21" t="str">
        <x:v>M05 status identity row 13</x:v>
      </x:c>
      <x:c r="E1891" s="21" t="n">
        <x:f>IF('Full Force'!G13=IF('Full Force'!F13&gt;=Assumptions!$C$9,"CLOSES M05","GAP"),1,0)</x:f>
        <x:v>1</x:v>
      </x:c>
      <x:c r="F1891" s="21" t="n">
        <x:v>1</x:v>
      </x:c>
      <x:c r="G1891" s="23" t="str">
        <x:f>IF(E1891=F1891,"PASS","FAIL")</x:f>
        <x:v>PASS</x:v>
      </x:c>
    </x:row>
    <x:row r="1892">
      <x:c r="B1892" s="21" t="str">
        <x:v>C1886</x:v>
      </x:c>
      <x:c r="C1892" s="21" t="str">
        <x:v>full force</x:v>
      </x:c>
      <x:c r="D1892" s="21" t="str">
        <x:v>no physical admission row 13</x:v>
      </x:c>
      <x:c r="E1892" s="21" t="n">
        <x:f>IF(AND('Full Force'!J13=0,'Full Force'!K13="NOT ADMITTED"),1,0)</x:f>
        <x:v>1</x:v>
      </x:c>
      <x:c r="F1892" s="21" t="n">
        <x:v>1</x:v>
      </x:c>
      <x:c r="G1892" s="23" t="str">
        <x:f>IF(E1892=F1892,"PASS","FAIL")</x:f>
        <x:v>PASS</x:v>
      </x:c>
    </x:row>
    <x:row r="1893">
      <x:c r="B1893" s="21" t="str">
        <x:v>C1887</x:v>
      </x:c>
      <x:c r="C1893" s="21" t="str">
        <x:v>full force</x:v>
      </x:c>
      <x:c r="D1893" s="21" t="str">
        <x:v>M05 status identity row 14</x:v>
      </x:c>
      <x:c r="E1893" s="21" t="n">
        <x:f>IF('Full Force'!G14=IF('Full Force'!F14&gt;=Assumptions!$C$9,"CLOSES M05","GAP"),1,0)</x:f>
        <x:v>1</x:v>
      </x:c>
      <x:c r="F1893" s="21" t="n">
        <x:v>1</x:v>
      </x:c>
      <x:c r="G1893" s="23" t="str">
        <x:f>IF(E1893=F1893,"PASS","FAIL")</x:f>
        <x:v>PASS</x:v>
      </x:c>
    </x:row>
    <x:row r="1894">
      <x:c r="B1894" s="21" t="str">
        <x:v>C1888</x:v>
      </x:c>
      <x:c r="C1894" s="21" t="str">
        <x:v>full force</x:v>
      </x:c>
      <x:c r="D1894" s="21" t="str">
        <x:v>no physical admission row 14</x:v>
      </x:c>
      <x:c r="E1894" s="21" t="n">
        <x:f>IF(AND('Full Force'!J14=0,'Full Force'!K14="NOT ADMITTED"),1,0)</x:f>
        <x:v>1</x:v>
      </x:c>
      <x:c r="F1894" s="21" t="n">
        <x:v>1</x:v>
      </x:c>
      <x:c r="G1894" s="23" t="str">
        <x:f>IF(E1894=F1894,"PASS","FAIL")</x:f>
        <x:v>PASS</x:v>
      </x:c>
    </x:row>
    <x:row r="1895">
      <x:c r="B1895" s="21" t="str">
        <x:v>C1889</x:v>
      </x:c>
      <x:c r="C1895" s="21" t="str">
        <x:v>full force</x:v>
      </x:c>
      <x:c r="D1895" s="21" t="str">
        <x:v>M05 status identity row 15</x:v>
      </x:c>
      <x:c r="E1895" s="21" t="n">
        <x:f>IF('Full Force'!G15=IF('Full Force'!F15&gt;=Assumptions!$C$9,"CLOSES M05","GAP"),1,0)</x:f>
        <x:v>1</x:v>
      </x:c>
      <x:c r="F1895" s="21" t="n">
        <x:v>1</x:v>
      </x:c>
      <x:c r="G1895" s="23" t="str">
        <x:f>IF(E1895=F1895,"PASS","FAIL")</x:f>
        <x:v>PASS</x:v>
      </x:c>
    </x:row>
    <x:row r="1896">
      <x:c r="B1896" s="21" t="str">
        <x:v>C1890</x:v>
      </x:c>
      <x:c r="C1896" s="21" t="str">
        <x:v>full force</x:v>
      </x:c>
      <x:c r="D1896" s="21" t="str">
        <x:v>no physical admission row 15</x:v>
      </x:c>
      <x:c r="E1896" s="21" t="n">
        <x:f>IF(AND('Full Force'!J15=0,'Full Force'!K15="NOT ADMITTED"),1,0)</x:f>
        <x:v>1</x:v>
      </x:c>
      <x:c r="F1896" s="21" t="n">
        <x:v>1</x:v>
      </x:c>
      <x:c r="G1896" s="23" t="str">
        <x:f>IF(E1896=F1896,"PASS","FAIL")</x:f>
        <x:v>PASS</x:v>
      </x:c>
    </x:row>
    <x:row r="1897">
      <x:c r="B1897" s="21" t="str">
        <x:v>C1891</x:v>
      </x:c>
      <x:c r="C1897" s="21" t="str">
        <x:v>full force</x:v>
      </x:c>
      <x:c r="D1897" s="21" t="str">
        <x:v>M05 status identity row 16</x:v>
      </x:c>
      <x:c r="E1897" s="21" t="n">
        <x:f>IF('Full Force'!G16=IF('Full Force'!F16&gt;=Assumptions!$C$9,"CLOSES M05","GAP"),1,0)</x:f>
        <x:v>1</x:v>
      </x:c>
      <x:c r="F1897" s="21" t="n">
        <x:v>1</x:v>
      </x:c>
      <x:c r="G1897" s="23" t="str">
        <x:f>IF(E1897=F1897,"PASS","FAIL")</x:f>
        <x:v>PASS</x:v>
      </x:c>
    </x:row>
    <x:row r="1898">
      <x:c r="B1898" s="21" t="str">
        <x:v>C1892</x:v>
      </x:c>
      <x:c r="C1898" s="21" t="str">
        <x:v>full force</x:v>
      </x:c>
      <x:c r="D1898" s="21" t="str">
        <x:v>no physical admission row 16</x:v>
      </x:c>
      <x:c r="E1898" s="21" t="n">
        <x:f>IF(AND('Full Force'!J16=0,'Full Force'!K16="NOT ADMITTED"),1,0)</x:f>
        <x:v>1</x:v>
      </x:c>
      <x:c r="F1898" s="21" t="n">
        <x:v>1</x:v>
      </x:c>
      <x:c r="G1898" s="23" t="str">
        <x:f>IF(E1898=F1898,"PASS","FAIL")</x:f>
        <x:v>PASS</x:v>
      </x:c>
    </x:row>
    <x:row r="1899">
      <x:c r="B1899" s="21" t="str">
        <x:v>C1893</x:v>
      </x:c>
      <x:c r="C1899" s="21" t="str">
        <x:v>full force</x:v>
      </x:c>
      <x:c r="D1899" s="21" t="str">
        <x:v>M05 status identity row 17</x:v>
      </x:c>
      <x:c r="E1899" s="21" t="n">
        <x:f>IF('Full Force'!G17=IF('Full Force'!F17&gt;=Assumptions!$C$9,"CLOSES M05","GAP"),1,0)</x:f>
        <x:v>1</x:v>
      </x:c>
      <x:c r="F1899" s="21" t="n">
        <x:v>1</x:v>
      </x:c>
      <x:c r="G1899" s="23" t="str">
        <x:f>IF(E1899=F1899,"PASS","FAIL")</x:f>
        <x:v>PASS</x:v>
      </x:c>
    </x:row>
    <x:row r="1900">
      <x:c r="B1900" s="21" t="str">
        <x:v>C1894</x:v>
      </x:c>
      <x:c r="C1900" s="21" t="str">
        <x:v>full force</x:v>
      </x:c>
      <x:c r="D1900" s="21" t="str">
        <x:v>no physical admission row 17</x:v>
      </x:c>
      <x:c r="E1900" s="21" t="n">
        <x:f>IF(AND('Full Force'!J17=0,'Full Force'!K17="NOT ADMITTED"),1,0)</x:f>
        <x:v>1</x:v>
      </x:c>
      <x:c r="F1900" s="21" t="n">
        <x:v>1</x:v>
      </x:c>
      <x:c r="G1900" s="23" t="str">
        <x:f>IF(E1900=F1900,"PASS","FAIL")</x:f>
        <x:v>PASS</x:v>
      </x:c>
    </x:row>
    <x:row r="1901">
      <x:c r="B1901" s="21" t="str">
        <x:v>C1895</x:v>
      </x:c>
      <x:c r="C1901" s="21" t="str">
        <x:v>full force</x:v>
      </x:c>
      <x:c r="D1901" s="21" t="str">
        <x:v>M05 status identity row 18</x:v>
      </x:c>
      <x:c r="E1901" s="21" t="n">
        <x:f>IF('Full Force'!G18=IF('Full Force'!F18&gt;=Assumptions!$C$9,"CLOSES M05","GAP"),1,0)</x:f>
        <x:v>1</x:v>
      </x:c>
      <x:c r="F1901" s="21" t="n">
        <x:v>1</x:v>
      </x:c>
      <x:c r="G1901" s="23" t="str">
        <x:f>IF(E1901=F1901,"PASS","FAIL")</x:f>
        <x:v>PASS</x:v>
      </x:c>
    </x:row>
    <x:row r="1902">
      <x:c r="B1902" s="21" t="str">
        <x:v>C1896</x:v>
      </x:c>
      <x:c r="C1902" s="21" t="str">
        <x:v>full force</x:v>
      </x:c>
      <x:c r="D1902" s="21" t="str">
        <x:v>no physical admission row 18</x:v>
      </x:c>
      <x:c r="E1902" s="21" t="n">
        <x:f>IF(AND('Full Force'!J18=0,'Full Force'!K18="NOT ADMITTED"),1,0)</x:f>
        <x:v>1</x:v>
      </x:c>
      <x:c r="F1902" s="21" t="n">
        <x:v>1</x:v>
      </x:c>
      <x:c r="G1902" s="23" t="str">
        <x:f>IF(E1902=F1902,"PASS","FAIL")</x:f>
        <x:v>PASS</x:v>
      </x:c>
    </x:row>
    <x:row r="1903">
      <x:c r="B1903" s="21" t="str">
        <x:v>C1897</x:v>
      </x:c>
      <x:c r="C1903" s="21" t="str">
        <x:v>full force</x:v>
      </x:c>
      <x:c r="D1903" s="21" t="str">
        <x:v>M05 status identity row 19</x:v>
      </x:c>
      <x:c r="E1903" s="21" t="n">
        <x:f>IF('Full Force'!G19=IF('Full Force'!F19&gt;=Assumptions!$C$9,"CLOSES M05","GAP"),1,0)</x:f>
        <x:v>1</x:v>
      </x:c>
      <x:c r="F1903" s="21" t="n">
        <x:v>1</x:v>
      </x:c>
      <x:c r="G1903" s="23" t="str">
        <x:f>IF(E1903=F1903,"PASS","FAIL")</x:f>
        <x:v>PASS</x:v>
      </x:c>
    </x:row>
    <x:row r="1904">
      <x:c r="B1904" s="21" t="str">
        <x:v>C1898</x:v>
      </x:c>
      <x:c r="C1904" s="21" t="str">
        <x:v>full force</x:v>
      </x:c>
      <x:c r="D1904" s="21" t="str">
        <x:v>no physical admission row 19</x:v>
      </x:c>
      <x:c r="E1904" s="21" t="n">
        <x:f>IF(AND('Full Force'!J19=0,'Full Force'!K19="NOT ADMITTED"),1,0)</x:f>
        <x:v>1</x:v>
      </x:c>
      <x:c r="F1904" s="21" t="n">
        <x:v>1</x:v>
      </x:c>
      <x:c r="G1904" s="23" t="str">
        <x:f>IF(E1904=F1904,"PASS","FAIL")</x:f>
        <x:v>PASS</x:v>
      </x:c>
    </x:row>
    <x:row r="1905">
      <x:c r="B1905" s="21" t="str">
        <x:v>C1899</x:v>
      </x:c>
      <x:c r="C1905" s="21" t="str">
        <x:v>full force</x:v>
      </x:c>
      <x:c r="D1905" s="21" t="str">
        <x:v>M05 status identity row 20</x:v>
      </x:c>
      <x:c r="E1905" s="21" t="n">
        <x:f>IF('Full Force'!G20=IF('Full Force'!F20&gt;=Assumptions!$C$9,"CLOSES M05","GAP"),1,0)</x:f>
        <x:v>1</x:v>
      </x:c>
      <x:c r="F1905" s="21" t="n">
        <x:v>1</x:v>
      </x:c>
      <x:c r="G1905" s="23" t="str">
        <x:f>IF(E1905=F1905,"PASS","FAIL")</x:f>
        <x:v>PASS</x:v>
      </x:c>
    </x:row>
    <x:row r="1906">
      <x:c r="B1906" s="21" t="str">
        <x:v>C1900</x:v>
      </x:c>
      <x:c r="C1906" s="21" t="str">
        <x:v>full force</x:v>
      </x:c>
      <x:c r="D1906" s="21" t="str">
        <x:v>no physical admission row 20</x:v>
      </x:c>
      <x:c r="E1906" s="21" t="n">
        <x:f>IF(AND('Full Force'!J20=0,'Full Force'!K20="NOT ADMITTED"),1,0)</x:f>
        <x:v>1</x:v>
      </x:c>
      <x:c r="F1906" s="21" t="n">
        <x:v>1</x:v>
      </x:c>
      <x:c r="G1906" s="23" t="str">
        <x:f>IF(E1906=F1906,"PASS","FAIL")</x:f>
        <x:v>PASS</x:v>
      </x:c>
    </x:row>
    <x:row r="1907">
      <x:c r="B1907" s="21" t="str">
        <x:v>C1901</x:v>
      </x:c>
      <x:c r="C1907" s="21" t="str">
        <x:v>full force</x:v>
      </x:c>
      <x:c r="D1907" s="21" t="str">
        <x:v>M05 status identity row 21</x:v>
      </x:c>
      <x:c r="E1907" s="21" t="n">
        <x:f>IF('Full Force'!G21=IF('Full Force'!F21&gt;=Assumptions!$C$9,"CLOSES M05","GAP"),1,0)</x:f>
        <x:v>1</x:v>
      </x:c>
      <x:c r="F1907" s="21" t="n">
        <x:v>1</x:v>
      </x:c>
      <x:c r="G1907" s="23" t="str">
        <x:f>IF(E1907=F1907,"PASS","FAIL")</x:f>
        <x:v>PASS</x:v>
      </x:c>
    </x:row>
    <x:row r="1908">
      <x:c r="B1908" s="21" t="str">
        <x:v>C1902</x:v>
      </x:c>
      <x:c r="C1908" s="21" t="str">
        <x:v>full force</x:v>
      </x:c>
      <x:c r="D1908" s="21" t="str">
        <x:v>no physical admission row 21</x:v>
      </x:c>
      <x:c r="E1908" s="21" t="n">
        <x:f>IF(AND('Full Force'!J21=0,'Full Force'!K21="NOT ADMITTED"),1,0)</x:f>
        <x:v>1</x:v>
      </x:c>
      <x:c r="F1908" s="21" t="n">
        <x:v>1</x:v>
      </x:c>
      <x:c r="G1908" s="23" t="str">
        <x:f>IF(E1908=F1908,"PASS","FAIL")</x:f>
        <x:v>PASS</x:v>
      </x:c>
    </x:row>
    <x:row r="1909">
      <x:c r="B1909" s="21" t="str">
        <x:v>C1903</x:v>
      </x:c>
      <x:c r="C1909" s="21" t="str">
        <x:v>full force</x:v>
      </x:c>
      <x:c r="D1909" s="21" t="str">
        <x:v>M05 status identity row 22</x:v>
      </x:c>
      <x:c r="E1909" s="21" t="n">
        <x:f>IF('Full Force'!G22=IF('Full Force'!F22&gt;=Assumptions!$C$9,"CLOSES M05","GAP"),1,0)</x:f>
        <x:v>1</x:v>
      </x:c>
      <x:c r="F1909" s="21" t="n">
        <x:v>1</x:v>
      </x:c>
      <x:c r="G1909" s="23" t="str">
        <x:f>IF(E1909=F1909,"PASS","FAIL")</x:f>
        <x:v>PASS</x:v>
      </x:c>
    </x:row>
    <x:row r="1910">
      <x:c r="B1910" s="21" t="str">
        <x:v>C1904</x:v>
      </x:c>
      <x:c r="C1910" s="21" t="str">
        <x:v>full force</x:v>
      </x:c>
      <x:c r="D1910" s="21" t="str">
        <x:v>no physical admission row 22</x:v>
      </x:c>
      <x:c r="E1910" s="21" t="n">
        <x:f>IF(AND('Full Force'!J22=0,'Full Force'!K22="NOT ADMITTED"),1,0)</x:f>
        <x:v>1</x:v>
      </x:c>
      <x:c r="F1910" s="21" t="n">
        <x:v>1</x:v>
      </x:c>
      <x:c r="G1910" s="23" t="str">
        <x:f>IF(E1910=F1910,"PASS","FAIL")</x:f>
        <x:v>PASS</x:v>
      </x:c>
    </x:row>
    <x:row r="1911">
      <x:c r="B1911" s="21" t="str">
        <x:v>C1905</x:v>
      </x:c>
      <x:c r="C1911" s="21" t="str">
        <x:v>full force</x:v>
      </x:c>
      <x:c r="D1911" s="21" t="str">
        <x:v>M05 status identity row 23</x:v>
      </x:c>
      <x:c r="E1911" s="21" t="n">
        <x:f>IF('Full Force'!G23=IF('Full Force'!F23&gt;=Assumptions!$C$9,"CLOSES M05","GAP"),1,0)</x:f>
        <x:v>1</x:v>
      </x:c>
      <x:c r="F1911" s="21" t="n">
        <x:v>1</x:v>
      </x:c>
      <x:c r="G1911" s="23" t="str">
        <x:f>IF(E1911=F1911,"PASS","FAIL")</x:f>
        <x:v>PASS</x:v>
      </x:c>
    </x:row>
    <x:row r="1912">
      <x:c r="B1912" s="21" t="str">
        <x:v>C1906</x:v>
      </x:c>
      <x:c r="C1912" s="21" t="str">
        <x:v>full force</x:v>
      </x:c>
      <x:c r="D1912" s="21" t="str">
        <x:v>no physical admission row 23</x:v>
      </x:c>
      <x:c r="E1912" s="21" t="n">
        <x:f>IF(AND('Full Force'!J23=0,'Full Force'!K23="NOT ADMITTED"),1,0)</x:f>
        <x:v>1</x:v>
      </x:c>
      <x:c r="F1912" s="21" t="n">
        <x:v>1</x:v>
      </x:c>
      <x:c r="G1912" s="23" t="str">
        <x:f>IF(E1912=F1912,"PASS","FAIL")</x:f>
        <x:v>PASS</x:v>
      </x:c>
    </x:row>
    <x:row r="1913">
      <x:c r="B1913" s="21" t="str">
        <x:v>C1907</x:v>
      </x:c>
      <x:c r="C1913" s="21" t="str">
        <x:v>full force</x:v>
      </x:c>
      <x:c r="D1913" s="21" t="str">
        <x:v>M05 status identity row 24</x:v>
      </x:c>
      <x:c r="E1913" s="21" t="n">
        <x:f>IF('Full Force'!G24=IF('Full Force'!F24&gt;=Assumptions!$C$9,"CLOSES M05","GAP"),1,0)</x:f>
        <x:v>1</x:v>
      </x:c>
      <x:c r="F1913" s="21" t="n">
        <x:v>1</x:v>
      </x:c>
      <x:c r="G1913" s="23" t="str">
        <x:f>IF(E1913=F1913,"PASS","FAIL")</x:f>
        <x:v>PASS</x:v>
      </x:c>
    </x:row>
    <x:row r="1914">
      <x:c r="B1914" s="21" t="str">
        <x:v>C1908</x:v>
      </x:c>
      <x:c r="C1914" s="21" t="str">
        <x:v>full force</x:v>
      </x:c>
      <x:c r="D1914" s="21" t="str">
        <x:v>no physical admission row 24</x:v>
      </x:c>
      <x:c r="E1914" s="21" t="n">
        <x:f>IF(AND('Full Force'!J24=0,'Full Force'!K24="NOT ADMITTED"),1,0)</x:f>
        <x:v>1</x:v>
      </x:c>
      <x:c r="F1914" s="21" t="n">
        <x:v>1</x:v>
      </x:c>
      <x:c r="G1914" s="23" t="str">
        <x:f>IF(E1914=F1914,"PASS","FAIL")</x:f>
        <x:v>PASS</x:v>
      </x:c>
    </x:row>
    <x:row r="1915">
      <x:c r="B1915" s="21" t="str">
        <x:v>C1909</x:v>
      </x:c>
      <x:c r="C1915" s="21" t="str">
        <x:v>full force</x:v>
      </x:c>
      <x:c r="D1915" s="21" t="str">
        <x:v>M05 status identity row 25</x:v>
      </x:c>
      <x:c r="E1915" s="21" t="n">
        <x:f>IF('Full Force'!G25=IF('Full Force'!F25&gt;=Assumptions!$C$9,"CLOSES M05","GAP"),1,0)</x:f>
        <x:v>1</x:v>
      </x:c>
      <x:c r="F1915" s="21" t="n">
        <x:v>1</x:v>
      </x:c>
      <x:c r="G1915" s="23" t="str">
        <x:f>IF(E1915=F1915,"PASS","FAIL")</x:f>
        <x:v>PASS</x:v>
      </x:c>
    </x:row>
    <x:row r="1916">
      <x:c r="B1916" s="21" t="str">
        <x:v>C1910</x:v>
      </x:c>
      <x:c r="C1916" s="21" t="str">
        <x:v>full force</x:v>
      </x:c>
      <x:c r="D1916" s="21" t="str">
        <x:v>no physical admission row 25</x:v>
      </x:c>
      <x:c r="E1916" s="21" t="n">
        <x:f>IF(AND('Full Force'!J25=0,'Full Force'!K25="NOT ADMITTED"),1,0)</x:f>
        <x:v>1</x:v>
      </x:c>
      <x:c r="F1916" s="21" t="n">
        <x:v>1</x:v>
      </x:c>
      <x:c r="G1916" s="23" t="str">
        <x:f>IF(E1916=F1916,"PASS","FAIL")</x:f>
        <x:v>PASS</x:v>
      </x:c>
    </x:row>
    <x:row r="1917">
      <x:c r="B1917" s="21" t="str">
        <x:v>C1911</x:v>
      </x:c>
      <x:c r="C1917" s="21" t="str">
        <x:v>full force</x:v>
      </x:c>
      <x:c r="D1917" s="21" t="str">
        <x:v>M05 status identity row 26</x:v>
      </x:c>
      <x:c r="E1917" s="21" t="n">
        <x:f>IF('Full Force'!G26=IF('Full Force'!F26&gt;=Assumptions!$C$9,"CLOSES M05","GAP"),1,0)</x:f>
        <x:v>1</x:v>
      </x:c>
      <x:c r="F1917" s="21" t="n">
        <x:v>1</x:v>
      </x:c>
      <x:c r="G1917" s="23" t="str">
        <x:f>IF(E1917=F1917,"PASS","FAIL")</x:f>
        <x:v>PASS</x:v>
      </x:c>
    </x:row>
    <x:row r="1918">
      <x:c r="B1918" s="21" t="str">
        <x:v>C1912</x:v>
      </x:c>
      <x:c r="C1918" s="21" t="str">
        <x:v>full force</x:v>
      </x:c>
      <x:c r="D1918" s="21" t="str">
        <x:v>no physical admission row 26</x:v>
      </x:c>
      <x:c r="E1918" s="21" t="n">
        <x:f>IF(AND('Full Force'!J26=0,'Full Force'!K26="NOT ADMITTED"),1,0)</x:f>
        <x:v>1</x:v>
      </x:c>
      <x:c r="F1918" s="21" t="n">
        <x:v>1</x:v>
      </x:c>
      <x:c r="G1918" s="23" t="str">
        <x:f>IF(E1918=F1918,"PASS","FAIL")</x:f>
        <x:v>PASS</x:v>
      </x:c>
    </x:row>
    <x:row r="1919">
      <x:c r="B1919" s="21" t="str">
        <x:v>C1913</x:v>
      </x:c>
      <x:c r="C1919" s="21" t="str">
        <x:v>full force</x:v>
      </x:c>
      <x:c r="D1919" s="21" t="str">
        <x:v>M05 status identity row 27</x:v>
      </x:c>
      <x:c r="E1919" s="21" t="n">
        <x:f>IF('Full Force'!G27=IF('Full Force'!F27&gt;=Assumptions!$C$9,"CLOSES M05","GAP"),1,0)</x:f>
        <x:v>1</x:v>
      </x:c>
      <x:c r="F1919" s="21" t="n">
        <x:v>1</x:v>
      </x:c>
      <x:c r="G1919" s="23" t="str">
        <x:f>IF(E1919=F1919,"PASS","FAIL")</x:f>
        <x:v>PASS</x:v>
      </x:c>
    </x:row>
    <x:row r="1920">
      <x:c r="B1920" s="21" t="str">
        <x:v>C1914</x:v>
      </x:c>
      <x:c r="C1920" s="21" t="str">
        <x:v>full force</x:v>
      </x:c>
      <x:c r="D1920" s="21" t="str">
        <x:v>no physical admission row 27</x:v>
      </x:c>
      <x:c r="E1920" s="21" t="n">
        <x:f>IF(AND('Full Force'!J27=0,'Full Force'!K27="NOT ADMITTED"),1,0)</x:f>
        <x:v>1</x:v>
      </x:c>
      <x:c r="F1920" s="21" t="n">
        <x:v>1</x:v>
      </x:c>
      <x:c r="G1920" s="23" t="str">
        <x:f>IF(E1920=F1920,"PASS","FAIL")</x:f>
        <x:v>PASS</x:v>
      </x:c>
    </x:row>
    <x:row r="1921">
      <x:c r="B1921" s="21" t="str">
        <x:v>C1915</x:v>
      </x:c>
      <x:c r="C1921" s="21" t="str">
        <x:v>full force</x:v>
      </x:c>
      <x:c r="D1921" s="21" t="str">
        <x:v>M05 status identity row 28</x:v>
      </x:c>
      <x:c r="E1921" s="21" t="n">
        <x:f>IF('Full Force'!G28=IF('Full Force'!F28&gt;=Assumptions!$C$9,"CLOSES M05","GAP"),1,0)</x:f>
        <x:v>1</x:v>
      </x:c>
      <x:c r="F1921" s="21" t="n">
        <x:v>1</x:v>
      </x:c>
      <x:c r="G1921" s="23" t="str">
        <x:f>IF(E1921=F1921,"PASS","FAIL")</x:f>
        <x:v>PASS</x:v>
      </x:c>
    </x:row>
    <x:row r="1922">
      <x:c r="B1922" s="21" t="str">
        <x:v>C1916</x:v>
      </x:c>
      <x:c r="C1922" s="21" t="str">
        <x:v>full force</x:v>
      </x:c>
      <x:c r="D1922" s="21" t="str">
        <x:v>no physical admission row 28</x:v>
      </x:c>
      <x:c r="E1922" s="21" t="n">
        <x:f>IF(AND('Full Force'!J28=0,'Full Force'!K28="NOT ADMITTED"),1,0)</x:f>
        <x:v>1</x:v>
      </x:c>
      <x:c r="F1922" s="21" t="n">
        <x:v>1</x:v>
      </x:c>
      <x:c r="G1922" s="23" t="str">
        <x:f>IF(E1922=F1922,"PASS","FAIL")</x:f>
        <x:v>PASS</x:v>
      </x:c>
    </x:row>
    <x:row r="1923">
      <x:c r="B1923" s="21" t="str">
        <x:v>C1917</x:v>
      </x:c>
      <x:c r="C1923" s="21" t="str">
        <x:v>full force</x:v>
      </x:c>
      <x:c r="D1923" s="21" t="str">
        <x:v>M05 status identity row 29</x:v>
      </x:c>
      <x:c r="E1923" s="21" t="n">
        <x:f>IF('Full Force'!G29=IF('Full Force'!F29&gt;=Assumptions!$C$9,"CLOSES M05","GAP"),1,0)</x:f>
        <x:v>1</x:v>
      </x:c>
      <x:c r="F1923" s="21" t="n">
        <x:v>1</x:v>
      </x:c>
      <x:c r="G1923" s="23" t="str">
        <x:f>IF(E1923=F1923,"PASS","FAIL")</x:f>
        <x:v>PASS</x:v>
      </x:c>
    </x:row>
    <x:row r="1924">
      <x:c r="B1924" s="21" t="str">
        <x:v>C1918</x:v>
      </x:c>
      <x:c r="C1924" s="21" t="str">
        <x:v>full force</x:v>
      </x:c>
      <x:c r="D1924" s="21" t="str">
        <x:v>no physical admission row 29</x:v>
      </x:c>
      <x:c r="E1924" s="21" t="n">
        <x:f>IF(AND('Full Force'!J29=0,'Full Force'!K29="NOT ADMITTED"),1,0)</x:f>
        <x:v>1</x:v>
      </x:c>
      <x:c r="F1924" s="21" t="n">
        <x:v>1</x:v>
      </x:c>
      <x:c r="G1924" s="23" t="str">
        <x:f>IF(E1924=F1924,"PASS","FAIL")</x:f>
        <x:v>PASS</x:v>
      </x:c>
    </x:row>
    <x:row r="1925">
      <x:c r="B1925" s="21" t="str">
        <x:v>C1919</x:v>
      </x:c>
      <x:c r="C1925" s="21" t="str">
        <x:v>full force</x:v>
      </x:c>
      <x:c r="D1925" s="21" t="str">
        <x:v>M05 status identity row 30</x:v>
      </x:c>
      <x:c r="E1925" s="21" t="n">
        <x:f>IF('Full Force'!G30=IF('Full Force'!F30&gt;=Assumptions!$C$9,"CLOSES M05","GAP"),1,0)</x:f>
        <x:v>1</x:v>
      </x:c>
      <x:c r="F1925" s="21" t="n">
        <x:v>1</x:v>
      </x:c>
      <x:c r="G1925" s="23" t="str">
        <x:f>IF(E1925=F1925,"PASS","FAIL")</x:f>
        <x:v>PASS</x:v>
      </x:c>
    </x:row>
    <x:row r="1926">
      <x:c r="B1926" s="21" t="str">
        <x:v>C1920</x:v>
      </x:c>
      <x:c r="C1926" s="21" t="str">
        <x:v>full force</x:v>
      </x:c>
      <x:c r="D1926" s="21" t="str">
        <x:v>no physical admission row 30</x:v>
      </x:c>
      <x:c r="E1926" s="21" t="n">
        <x:f>IF(AND('Full Force'!J30=0,'Full Force'!K30="NOT ADMITTED"),1,0)</x:f>
        <x:v>1</x:v>
      </x:c>
      <x:c r="F1926" s="21" t="n">
        <x:v>1</x:v>
      </x:c>
      <x:c r="G1926" s="23" t="str">
        <x:f>IF(E1926=F1926,"PASS","FAIL")</x:f>
        <x:v>PASS</x:v>
      </x:c>
    </x:row>
    <x:row r="1927">
      <x:c r="B1927" s="21" t="str">
        <x:v>C1921</x:v>
      </x:c>
      <x:c r="C1927" s="21" t="str">
        <x:v>full force</x:v>
      </x:c>
      <x:c r="D1927" s="21" t="str">
        <x:v>M05 status identity row 31</x:v>
      </x:c>
      <x:c r="E1927" s="21" t="n">
        <x:f>IF('Full Force'!G31=IF('Full Force'!F31&gt;=Assumptions!$C$9,"CLOSES M05","GAP"),1,0)</x:f>
        <x:v>1</x:v>
      </x:c>
      <x:c r="F1927" s="21" t="n">
        <x:v>1</x:v>
      </x:c>
      <x:c r="G1927" s="23" t="str">
        <x:f>IF(E1927=F1927,"PASS","FAIL")</x:f>
        <x:v>PASS</x:v>
      </x:c>
    </x:row>
    <x:row r="1928">
      <x:c r="B1928" s="21" t="str">
        <x:v>C1922</x:v>
      </x:c>
      <x:c r="C1928" s="21" t="str">
        <x:v>full force</x:v>
      </x:c>
      <x:c r="D1928" s="21" t="str">
        <x:v>no physical admission row 31</x:v>
      </x:c>
      <x:c r="E1928" s="21" t="n">
        <x:f>IF(AND('Full Force'!J31=0,'Full Force'!K31="NOT ADMITTED"),1,0)</x:f>
        <x:v>1</x:v>
      </x:c>
      <x:c r="F1928" s="21" t="n">
        <x:v>1</x:v>
      </x:c>
      <x:c r="G1928" s="23" t="str">
        <x:f>IF(E1928=F1928,"PASS","FAIL")</x:f>
        <x:v>PASS</x:v>
      </x:c>
    </x:row>
    <x:row r="1929">
      <x:c r="B1929" s="21" t="str">
        <x:v>C1923</x:v>
      </x:c>
      <x:c r="C1929" s="21" t="str">
        <x:v>full force</x:v>
      </x:c>
      <x:c r="D1929" s="21" t="str">
        <x:v>M05 status identity row 32</x:v>
      </x:c>
      <x:c r="E1929" s="21" t="n">
        <x:f>IF('Full Force'!G32=IF('Full Force'!F32&gt;=Assumptions!$C$9,"CLOSES M05","GAP"),1,0)</x:f>
        <x:v>1</x:v>
      </x:c>
      <x:c r="F1929" s="21" t="n">
        <x:v>1</x:v>
      </x:c>
      <x:c r="G1929" s="23" t="str">
        <x:f>IF(E1929=F1929,"PASS","FAIL")</x:f>
        <x:v>PASS</x:v>
      </x:c>
    </x:row>
    <x:row r="1930">
      <x:c r="B1930" s="21" t="str">
        <x:v>C1924</x:v>
      </x:c>
      <x:c r="C1930" s="21" t="str">
        <x:v>full force</x:v>
      </x:c>
      <x:c r="D1930" s="21" t="str">
        <x:v>no physical admission row 32</x:v>
      </x:c>
      <x:c r="E1930" s="21" t="n">
        <x:f>IF(AND('Full Force'!J32=0,'Full Force'!K32="NOT ADMITTED"),1,0)</x:f>
        <x:v>1</x:v>
      </x:c>
      <x:c r="F1930" s="21" t="n">
        <x:v>1</x:v>
      </x:c>
      <x:c r="G1930" s="23" t="str">
        <x:f>IF(E1930=F1930,"PASS","FAIL")</x:f>
        <x:v>PASS</x:v>
      </x:c>
    </x:row>
    <x:row r="1931">
      <x:c r="B1931" s="21" t="str">
        <x:v>C1925</x:v>
      </x:c>
      <x:c r="C1931" s="21" t="str">
        <x:v>full force</x:v>
      </x:c>
      <x:c r="D1931" s="21" t="str">
        <x:v>M05 status identity row 33</x:v>
      </x:c>
      <x:c r="E1931" s="21" t="n">
        <x:f>IF('Full Force'!G33=IF('Full Force'!F33&gt;=Assumptions!$C$9,"CLOSES M05","GAP"),1,0)</x:f>
        <x:v>1</x:v>
      </x:c>
      <x:c r="F1931" s="21" t="n">
        <x:v>1</x:v>
      </x:c>
      <x:c r="G1931" s="23" t="str">
        <x:f>IF(E1931=F1931,"PASS","FAIL")</x:f>
        <x:v>PASS</x:v>
      </x:c>
    </x:row>
    <x:row r="1932">
      <x:c r="B1932" s="21" t="str">
        <x:v>C1926</x:v>
      </x:c>
      <x:c r="C1932" s="21" t="str">
        <x:v>full force</x:v>
      </x:c>
      <x:c r="D1932" s="21" t="str">
        <x:v>no physical admission row 33</x:v>
      </x:c>
      <x:c r="E1932" s="21" t="n">
        <x:f>IF(AND('Full Force'!J33=0,'Full Force'!K33="NOT ADMITTED"),1,0)</x:f>
        <x:v>1</x:v>
      </x:c>
      <x:c r="F1932" s="21" t="n">
        <x:v>1</x:v>
      </x:c>
      <x:c r="G1932" s="23" t="str">
        <x:f>IF(E1932=F1932,"PASS","FAIL")</x:f>
        <x:v>PASS</x:v>
      </x:c>
    </x:row>
    <x:row r="1933">
      <x:c r="B1933" s="21" t="str">
        <x:v>C1927</x:v>
      </x:c>
      <x:c r="C1933" s="21" t="str">
        <x:v>full force</x:v>
      </x:c>
      <x:c r="D1933" s="21" t="str">
        <x:v>M05 status identity row 34</x:v>
      </x:c>
      <x:c r="E1933" s="21" t="n">
        <x:f>IF('Full Force'!G34=IF('Full Force'!F34&gt;=Assumptions!$C$9,"CLOSES M05","GAP"),1,0)</x:f>
        <x:v>1</x:v>
      </x:c>
      <x:c r="F1933" s="21" t="n">
        <x:v>1</x:v>
      </x:c>
      <x:c r="G1933" s="23" t="str">
        <x:f>IF(E1933=F1933,"PASS","FAIL")</x:f>
        <x:v>PASS</x:v>
      </x:c>
    </x:row>
    <x:row r="1934">
      <x:c r="B1934" s="21" t="str">
        <x:v>C1928</x:v>
      </x:c>
      <x:c r="C1934" s="21" t="str">
        <x:v>full force</x:v>
      </x:c>
      <x:c r="D1934" s="21" t="str">
        <x:v>no physical admission row 34</x:v>
      </x:c>
      <x:c r="E1934" s="21" t="n">
        <x:f>IF(AND('Full Force'!J34=0,'Full Force'!K34="NOT ADMITTED"),1,0)</x:f>
        <x:v>1</x:v>
      </x:c>
      <x:c r="F1934" s="21" t="n">
        <x:v>1</x:v>
      </x:c>
      <x:c r="G1934" s="23" t="str">
        <x:f>IF(E1934=F1934,"PASS","FAIL")</x:f>
        <x:v>PASS</x:v>
      </x:c>
    </x:row>
    <x:row r="1935">
      <x:c r="B1935" s="21" t="str">
        <x:v>C1929</x:v>
      </x:c>
      <x:c r="C1935" s="21" t="str">
        <x:v>full force</x:v>
      </x:c>
      <x:c r="D1935" s="21" t="str">
        <x:v>M05 status identity row 35</x:v>
      </x:c>
      <x:c r="E1935" s="21" t="n">
        <x:f>IF('Full Force'!G35=IF('Full Force'!F35&gt;=Assumptions!$C$9,"CLOSES M05","GAP"),1,0)</x:f>
        <x:v>1</x:v>
      </x:c>
      <x:c r="F1935" s="21" t="n">
        <x:v>1</x:v>
      </x:c>
      <x:c r="G1935" s="23" t="str">
        <x:f>IF(E1935=F1935,"PASS","FAIL")</x:f>
        <x:v>PASS</x:v>
      </x:c>
    </x:row>
    <x:row r="1936">
      <x:c r="B1936" s="21" t="str">
        <x:v>C1930</x:v>
      </x:c>
      <x:c r="C1936" s="21" t="str">
        <x:v>full force</x:v>
      </x:c>
      <x:c r="D1936" s="21" t="str">
        <x:v>no physical admission row 35</x:v>
      </x:c>
      <x:c r="E1936" s="21" t="n">
        <x:f>IF(AND('Full Force'!J35=0,'Full Force'!K35="NOT ADMITTED"),1,0)</x:f>
        <x:v>1</x:v>
      </x:c>
      <x:c r="F1936" s="21" t="n">
        <x:v>1</x:v>
      </x:c>
      <x:c r="G1936" s="23" t="str">
        <x:f>IF(E1936=F1936,"PASS","FAIL")</x:f>
        <x:v>PASS</x:v>
      </x:c>
    </x:row>
    <x:row r="1937">
      <x:c r="B1937" s="21" t="str">
        <x:v>C1931</x:v>
      </x:c>
      <x:c r="C1937" s="21" t="str">
        <x:v>full force</x:v>
      </x:c>
      <x:c r="D1937" s="21" t="str">
        <x:v>M05 status identity row 36</x:v>
      </x:c>
      <x:c r="E1937" s="21" t="n">
        <x:f>IF('Full Force'!G36=IF('Full Force'!F36&gt;=Assumptions!$C$9,"CLOSES M05","GAP"),1,0)</x:f>
        <x:v>1</x:v>
      </x:c>
      <x:c r="F1937" s="21" t="n">
        <x:v>1</x:v>
      </x:c>
      <x:c r="G1937" s="23" t="str">
        <x:f>IF(E1937=F1937,"PASS","FAIL")</x:f>
        <x:v>PASS</x:v>
      </x:c>
    </x:row>
    <x:row r="1938">
      <x:c r="B1938" s="21" t="str">
        <x:v>C1932</x:v>
      </x:c>
      <x:c r="C1938" s="21" t="str">
        <x:v>full force</x:v>
      </x:c>
      <x:c r="D1938" s="21" t="str">
        <x:v>no physical admission row 36</x:v>
      </x:c>
      <x:c r="E1938" s="21" t="n">
        <x:f>IF(AND('Full Force'!J36=0,'Full Force'!K36="NOT ADMITTED"),1,0)</x:f>
        <x:v>1</x:v>
      </x:c>
      <x:c r="F1938" s="21" t="n">
        <x:v>1</x:v>
      </x:c>
      <x:c r="G1938" s="23" t="str">
        <x:f>IF(E1938=F1938,"PASS","FAIL")</x:f>
        <x:v>PASS</x:v>
      </x:c>
    </x:row>
    <x:row r="1939">
      <x:c r="B1939" s="21" t="str">
        <x:v>C1933</x:v>
      </x:c>
      <x:c r="C1939" s="21" t="str">
        <x:v>full force</x:v>
      </x:c>
      <x:c r="D1939" s="21" t="str">
        <x:v>M05 status identity row 37</x:v>
      </x:c>
      <x:c r="E1939" s="21" t="n">
        <x:f>IF('Full Force'!G37=IF('Full Force'!F37&gt;=Assumptions!$C$9,"CLOSES M05","GAP"),1,0)</x:f>
        <x:v>1</x:v>
      </x:c>
      <x:c r="F1939" s="21" t="n">
        <x:v>1</x:v>
      </x:c>
      <x:c r="G1939" s="23" t="str">
        <x:f>IF(E1939=F1939,"PASS","FAIL")</x:f>
        <x:v>PASS</x:v>
      </x:c>
    </x:row>
    <x:row r="1940">
      <x:c r="B1940" s="21" t="str">
        <x:v>C1934</x:v>
      </x:c>
      <x:c r="C1940" s="21" t="str">
        <x:v>full force</x:v>
      </x:c>
      <x:c r="D1940" s="21" t="str">
        <x:v>no physical admission row 37</x:v>
      </x:c>
      <x:c r="E1940" s="21" t="n">
        <x:f>IF(AND('Full Force'!J37=0,'Full Force'!K37="NOT ADMITTED"),1,0)</x:f>
        <x:v>1</x:v>
      </x:c>
      <x:c r="F1940" s="21" t="n">
        <x:v>1</x:v>
      </x:c>
      <x:c r="G1940" s="23" t="str">
        <x:f>IF(E1940=F1940,"PASS","FAIL")</x:f>
        <x:v>PASS</x:v>
      </x:c>
    </x:row>
    <x:row r="1941">
      <x:c r="B1941" s="21" t="str">
        <x:v>C1935</x:v>
      </x:c>
      <x:c r="C1941" s="21" t="str">
        <x:v>full force</x:v>
      </x:c>
      <x:c r="D1941" s="21" t="str">
        <x:v>M05 status identity row 38</x:v>
      </x:c>
      <x:c r="E1941" s="21" t="n">
        <x:f>IF('Full Force'!G38=IF('Full Force'!F38&gt;=Assumptions!$C$9,"CLOSES M05","GAP"),1,0)</x:f>
        <x:v>1</x:v>
      </x:c>
      <x:c r="F1941" s="21" t="n">
        <x:v>1</x:v>
      </x:c>
      <x:c r="G1941" s="23" t="str">
        <x:f>IF(E1941=F1941,"PASS","FAIL")</x:f>
        <x:v>PASS</x:v>
      </x:c>
    </x:row>
    <x:row r="1942">
      <x:c r="B1942" s="21" t="str">
        <x:v>C1936</x:v>
      </x:c>
      <x:c r="C1942" s="21" t="str">
        <x:v>full force</x:v>
      </x:c>
      <x:c r="D1942" s="21" t="str">
        <x:v>no physical admission row 38</x:v>
      </x:c>
      <x:c r="E1942" s="21" t="n">
        <x:f>IF(AND('Full Force'!J38=0,'Full Force'!K38="NOT ADMITTED"),1,0)</x:f>
        <x:v>1</x:v>
      </x:c>
      <x:c r="F1942" s="21" t="n">
        <x:v>1</x:v>
      </x:c>
      <x:c r="G1942" s="23" t="str">
        <x:f>IF(E1942=F1942,"PASS","FAIL")</x:f>
        <x:v>PASS</x:v>
      </x:c>
    </x:row>
    <x:row r="1943">
      <x:c r="B1943" s="21" t="str">
        <x:v>C1937</x:v>
      </x:c>
      <x:c r="C1943" s="21" t="str">
        <x:v>full force</x:v>
      </x:c>
      <x:c r="D1943" s="21" t="str">
        <x:v>M05 status identity row 39</x:v>
      </x:c>
      <x:c r="E1943" s="21" t="n">
        <x:f>IF('Full Force'!G39=IF('Full Force'!F39&gt;=Assumptions!$C$9,"CLOSES M05","GAP"),1,0)</x:f>
        <x:v>1</x:v>
      </x:c>
      <x:c r="F1943" s="21" t="n">
        <x:v>1</x:v>
      </x:c>
      <x:c r="G1943" s="23" t="str">
        <x:f>IF(E1943=F1943,"PASS","FAIL")</x:f>
        <x:v>PASS</x:v>
      </x:c>
    </x:row>
    <x:row r="1944">
      <x:c r="B1944" s="21" t="str">
        <x:v>C1938</x:v>
      </x:c>
      <x:c r="C1944" s="21" t="str">
        <x:v>full force</x:v>
      </x:c>
      <x:c r="D1944" s="21" t="str">
        <x:v>no physical admission row 39</x:v>
      </x:c>
      <x:c r="E1944" s="21" t="n">
        <x:f>IF(AND('Full Force'!J39=0,'Full Force'!K39="NOT ADMITTED"),1,0)</x:f>
        <x:v>1</x:v>
      </x:c>
      <x:c r="F1944" s="21" t="n">
        <x:v>1</x:v>
      </x:c>
      <x:c r="G1944" s="23" t="str">
        <x:f>IF(E1944=F1944,"PASS","FAIL")</x:f>
        <x:v>PASS</x:v>
      </x:c>
    </x:row>
    <x:row r="1945">
      <x:c r="B1945" s="21" t="str">
        <x:v>C1939</x:v>
      </x:c>
      <x:c r="C1945" s="21" t="str">
        <x:v>full force</x:v>
      </x:c>
      <x:c r="D1945" s="21" t="str">
        <x:v>M05 status identity row 40</x:v>
      </x:c>
      <x:c r="E1945" s="21" t="n">
        <x:f>IF('Full Force'!G40=IF('Full Force'!F40&gt;=Assumptions!$C$9,"CLOSES M05","GAP"),1,0)</x:f>
        <x:v>1</x:v>
      </x:c>
      <x:c r="F1945" s="21" t="n">
        <x:v>1</x:v>
      </x:c>
      <x:c r="G1945" s="23" t="str">
        <x:f>IF(E1945=F1945,"PASS","FAIL")</x:f>
        <x:v>PASS</x:v>
      </x:c>
    </x:row>
    <x:row r="1946">
      <x:c r="B1946" s="21" t="str">
        <x:v>C1940</x:v>
      </x:c>
      <x:c r="C1946" s="21" t="str">
        <x:v>full force</x:v>
      </x:c>
      <x:c r="D1946" s="21" t="str">
        <x:v>no physical admission row 40</x:v>
      </x:c>
      <x:c r="E1946" s="21" t="n">
        <x:f>IF(AND('Full Force'!J40=0,'Full Force'!K40="NOT ADMITTED"),1,0)</x:f>
        <x:v>1</x:v>
      </x:c>
      <x:c r="F1946" s="21" t="n">
        <x:v>1</x:v>
      </x:c>
      <x:c r="G1946" s="23" t="str">
        <x:f>IF(E1946=F1946,"PASS","FAIL")</x:f>
        <x:v>PASS</x:v>
      </x:c>
    </x:row>
    <x:row r="1947">
      <x:c r="B1947" s="21" t="str">
        <x:v>C1941</x:v>
      </x:c>
      <x:c r="C1947" s="21" t="str">
        <x:v>full force</x:v>
      </x:c>
      <x:c r="D1947" s="21" t="str">
        <x:v>M05 status identity row 41</x:v>
      </x:c>
      <x:c r="E1947" s="21" t="n">
        <x:f>IF('Full Force'!G41=IF('Full Force'!F41&gt;=Assumptions!$C$9,"CLOSES M05","GAP"),1,0)</x:f>
        <x:v>1</x:v>
      </x:c>
      <x:c r="F1947" s="21" t="n">
        <x:v>1</x:v>
      </x:c>
      <x:c r="G1947" s="23" t="str">
        <x:f>IF(E1947=F1947,"PASS","FAIL")</x:f>
        <x:v>PASS</x:v>
      </x:c>
    </x:row>
    <x:row r="1948">
      <x:c r="B1948" s="21" t="str">
        <x:v>C1942</x:v>
      </x:c>
      <x:c r="C1948" s="21" t="str">
        <x:v>full force</x:v>
      </x:c>
      <x:c r="D1948" s="21" t="str">
        <x:v>no physical admission row 41</x:v>
      </x:c>
      <x:c r="E1948" s="21" t="n">
        <x:f>IF(AND('Full Force'!J41=0,'Full Force'!K41="NOT ADMITTED"),1,0)</x:f>
        <x:v>1</x:v>
      </x:c>
      <x:c r="F1948" s="21" t="n">
        <x:v>1</x:v>
      </x:c>
      <x:c r="G1948" s="23" t="str">
        <x:f>IF(E1948=F1948,"PASS","FAIL")</x:f>
        <x:v>PASS</x:v>
      </x:c>
    </x:row>
    <x:row r="1949">
      <x:c r="B1949" s="21" t="str">
        <x:v>C1943</x:v>
      </x:c>
      <x:c r="C1949" s="21" t="str">
        <x:v>full force</x:v>
      </x:c>
      <x:c r="D1949" s="21" t="str">
        <x:v>M05 status identity row 42</x:v>
      </x:c>
      <x:c r="E1949" s="21" t="n">
        <x:f>IF('Full Force'!G42=IF('Full Force'!F42&gt;=Assumptions!$C$9,"CLOSES M05","GAP"),1,0)</x:f>
        <x:v>1</x:v>
      </x:c>
      <x:c r="F1949" s="21" t="n">
        <x:v>1</x:v>
      </x:c>
      <x:c r="G1949" s="23" t="str">
        <x:f>IF(E1949=F1949,"PASS","FAIL")</x:f>
        <x:v>PASS</x:v>
      </x:c>
    </x:row>
    <x:row r="1950">
      <x:c r="B1950" s="21" t="str">
        <x:v>C1944</x:v>
      </x:c>
      <x:c r="C1950" s="21" t="str">
        <x:v>full force</x:v>
      </x:c>
      <x:c r="D1950" s="21" t="str">
        <x:v>no physical admission row 42</x:v>
      </x:c>
      <x:c r="E1950" s="21" t="n">
        <x:f>IF(AND('Full Force'!J42=0,'Full Force'!K42="NOT ADMITTED"),1,0)</x:f>
        <x:v>1</x:v>
      </x:c>
      <x:c r="F1950" s="21" t="n">
        <x:v>1</x:v>
      </x:c>
      <x:c r="G1950" s="23" t="str">
        <x:f>IF(E1950=F1950,"PASS","FAIL")</x:f>
        <x:v>PASS</x:v>
      </x:c>
    </x:row>
    <x:row r="1951">
      <x:c r="B1951" s="21" t="str">
        <x:v>C1945</x:v>
      </x:c>
      <x:c r="C1951" s="21" t="str">
        <x:v>full force</x:v>
      </x:c>
      <x:c r="D1951" s="21" t="str">
        <x:v>M05 status identity row 43</x:v>
      </x:c>
      <x:c r="E1951" s="21" t="n">
        <x:f>IF('Full Force'!G43=IF('Full Force'!F43&gt;=Assumptions!$C$9,"CLOSES M05","GAP"),1,0)</x:f>
        <x:v>1</x:v>
      </x:c>
      <x:c r="F1951" s="21" t="n">
        <x:v>1</x:v>
      </x:c>
      <x:c r="G1951" s="23" t="str">
        <x:f>IF(E1951=F1951,"PASS","FAIL")</x:f>
        <x:v>PASS</x:v>
      </x:c>
    </x:row>
    <x:row r="1952">
      <x:c r="B1952" s="21" t="str">
        <x:v>C1946</x:v>
      </x:c>
      <x:c r="C1952" s="21" t="str">
        <x:v>full force</x:v>
      </x:c>
      <x:c r="D1952" s="21" t="str">
        <x:v>no physical admission row 43</x:v>
      </x:c>
      <x:c r="E1952" s="21" t="n">
        <x:f>IF(AND('Full Force'!J43=0,'Full Force'!K43="NOT ADMITTED"),1,0)</x:f>
        <x:v>1</x:v>
      </x:c>
      <x:c r="F1952" s="21" t="n">
        <x:v>1</x:v>
      </x:c>
      <x:c r="G1952" s="23" t="str">
        <x:f>IF(E1952=F1952,"PASS","FAIL")</x:f>
        <x:v>PASS</x:v>
      </x:c>
    </x:row>
    <x:row r="1953">
      <x:c r="B1953" s="21" t="str">
        <x:v>C1947</x:v>
      </x:c>
      <x:c r="C1953" s="21" t="str">
        <x:v>full force</x:v>
      </x:c>
      <x:c r="D1953" s="21" t="str">
        <x:v>M05 status identity row 44</x:v>
      </x:c>
      <x:c r="E1953" s="21" t="n">
        <x:f>IF('Full Force'!G44=IF('Full Force'!F44&gt;=Assumptions!$C$9,"CLOSES M05","GAP"),1,0)</x:f>
        <x:v>1</x:v>
      </x:c>
      <x:c r="F1953" s="21" t="n">
        <x:v>1</x:v>
      </x:c>
      <x:c r="G1953" s="23" t="str">
        <x:f>IF(E1953=F1953,"PASS","FAIL")</x:f>
        <x:v>PASS</x:v>
      </x:c>
    </x:row>
    <x:row r="1954">
      <x:c r="B1954" s="21" t="str">
        <x:v>C1948</x:v>
      </x:c>
      <x:c r="C1954" s="21" t="str">
        <x:v>full force</x:v>
      </x:c>
      <x:c r="D1954" s="21" t="str">
        <x:v>no physical admission row 44</x:v>
      </x:c>
      <x:c r="E1954" s="21" t="n">
        <x:f>IF(AND('Full Force'!J44=0,'Full Force'!K44="NOT ADMITTED"),1,0)</x:f>
        <x:v>1</x:v>
      </x:c>
      <x:c r="F1954" s="21" t="n">
        <x:v>1</x:v>
      </x:c>
      <x:c r="G1954" s="23" t="str">
        <x:f>IF(E1954=F1954,"PASS","FAIL")</x:f>
        <x:v>PASS</x:v>
      </x:c>
    </x:row>
    <x:row r="1955">
      <x:c r="B1955" s="21" t="str">
        <x:v>C1949</x:v>
      </x:c>
      <x:c r="C1955" s="21" t="str">
        <x:v>full force</x:v>
      </x:c>
      <x:c r="D1955" s="21" t="str">
        <x:v>M05 status identity row 45</x:v>
      </x:c>
      <x:c r="E1955" s="21" t="n">
        <x:f>IF('Full Force'!G45=IF('Full Force'!F45&gt;=Assumptions!$C$9,"CLOSES M05","GAP"),1,0)</x:f>
        <x:v>1</x:v>
      </x:c>
      <x:c r="F1955" s="21" t="n">
        <x:v>1</x:v>
      </x:c>
      <x:c r="G1955" s="23" t="str">
        <x:f>IF(E1955=F1955,"PASS","FAIL")</x:f>
        <x:v>PASS</x:v>
      </x:c>
    </x:row>
    <x:row r="1956">
      <x:c r="B1956" s="21" t="str">
        <x:v>C1950</x:v>
      </x:c>
      <x:c r="C1956" s="21" t="str">
        <x:v>full force</x:v>
      </x:c>
      <x:c r="D1956" s="21" t="str">
        <x:v>no physical admission row 45</x:v>
      </x:c>
      <x:c r="E1956" s="21" t="n">
        <x:f>IF(AND('Full Force'!J45=0,'Full Force'!K45="NOT ADMITTED"),1,0)</x:f>
        <x:v>1</x:v>
      </x:c>
      <x:c r="F1956" s="21" t="n">
        <x:v>1</x:v>
      </x:c>
      <x:c r="G1956" s="23" t="str">
        <x:f>IF(E1956=F1956,"PASS","FAIL")</x:f>
        <x:v>PASS</x:v>
      </x:c>
    </x:row>
    <x:row r="1957">
      <x:c r="B1957" s="21" t="str">
        <x:v>C1951</x:v>
      </x:c>
      <x:c r="C1957" s="21" t="str">
        <x:v>full force</x:v>
      </x:c>
      <x:c r="D1957" s="21" t="str">
        <x:v>M05 status identity row 46</x:v>
      </x:c>
      <x:c r="E1957" s="21" t="n">
        <x:f>IF('Full Force'!G46=IF('Full Force'!F46&gt;=Assumptions!$C$9,"CLOSES M05","GAP"),1,0)</x:f>
        <x:v>1</x:v>
      </x:c>
      <x:c r="F1957" s="21" t="n">
        <x:v>1</x:v>
      </x:c>
      <x:c r="G1957" s="23" t="str">
        <x:f>IF(E1957=F1957,"PASS","FAIL")</x:f>
        <x:v>PASS</x:v>
      </x:c>
    </x:row>
    <x:row r="1958">
      <x:c r="B1958" s="21" t="str">
        <x:v>C1952</x:v>
      </x:c>
      <x:c r="C1958" s="21" t="str">
        <x:v>full force</x:v>
      </x:c>
      <x:c r="D1958" s="21" t="str">
        <x:v>no physical admission row 46</x:v>
      </x:c>
      <x:c r="E1958" s="21" t="n">
        <x:f>IF(AND('Full Force'!J46=0,'Full Force'!K46="NOT ADMITTED"),1,0)</x:f>
        <x:v>1</x:v>
      </x:c>
      <x:c r="F1958" s="21" t="n">
        <x:v>1</x:v>
      </x:c>
      <x:c r="G1958" s="23" t="str">
        <x:f>IF(E1958=F1958,"PASS","FAIL")</x:f>
        <x:v>PASS</x:v>
      </x:c>
    </x:row>
    <x:row r="1959">
      <x:c r="B1959" s="21" t="str">
        <x:v>C1953</x:v>
      </x:c>
      <x:c r="C1959" s="21" t="str">
        <x:v>full force</x:v>
      </x:c>
      <x:c r="D1959" s="21" t="str">
        <x:v>M05 status identity row 47</x:v>
      </x:c>
      <x:c r="E1959" s="21" t="n">
        <x:f>IF('Full Force'!G47=IF('Full Force'!F47&gt;=Assumptions!$C$9,"CLOSES M05","GAP"),1,0)</x:f>
        <x:v>1</x:v>
      </x:c>
      <x:c r="F1959" s="21" t="n">
        <x:v>1</x:v>
      </x:c>
      <x:c r="G1959" s="23" t="str">
        <x:f>IF(E1959=F1959,"PASS","FAIL")</x:f>
        <x:v>PASS</x:v>
      </x:c>
    </x:row>
    <x:row r="1960">
      <x:c r="B1960" s="21" t="str">
        <x:v>C1954</x:v>
      </x:c>
      <x:c r="C1960" s="21" t="str">
        <x:v>full force</x:v>
      </x:c>
      <x:c r="D1960" s="21" t="str">
        <x:v>no physical admission row 47</x:v>
      </x:c>
      <x:c r="E1960" s="21" t="n">
        <x:f>IF(AND('Full Force'!J47=0,'Full Force'!K47="NOT ADMITTED"),1,0)</x:f>
        <x:v>1</x:v>
      </x:c>
      <x:c r="F1960" s="21" t="n">
        <x:v>1</x:v>
      </x:c>
      <x:c r="G1960" s="23" t="str">
        <x:f>IF(E1960=F1960,"PASS","FAIL")</x:f>
        <x:v>PASS</x:v>
      </x:c>
    </x:row>
    <x:row r="1961">
      <x:c r="B1961" s="21" t="str">
        <x:v>C1955</x:v>
      </x:c>
      <x:c r="C1961" s="21" t="str">
        <x:v>full force</x:v>
      </x:c>
      <x:c r="D1961" s="21" t="str">
        <x:v>M05 status identity row 48</x:v>
      </x:c>
      <x:c r="E1961" s="21" t="n">
        <x:f>IF('Full Force'!G48=IF('Full Force'!F48&gt;=Assumptions!$C$9,"CLOSES M05","GAP"),1,0)</x:f>
        <x:v>1</x:v>
      </x:c>
      <x:c r="F1961" s="21" t="n">
        <x:v>1</x:v>
      </x:c>
      <x:c r="G1961" s="23" t="str">
        <x:f>IF(E1961=F1961,"PASS","FAIL")</x:f>
        <x:v>PASS</x:v>
      </x:c>
    </x:row>
    <x:row r="1962">
      <x:c r="B1962" s="21" t="str">
        <x:v>C1956</x:v>
      </x:c>
      <x:c r="C1962" s="21" t="str">
        <x:v>full force</x:v>
      </x:c>
      <x:c r="D1962" s="21" t="str">
        <x:v>no physical admission row 48</x:v>
      </x:c>
      <x:c r="E1962" s="21" t="n">
        <x:f>IF(AND('Full Force'!J48=0,'Full Force'!K48="NOT ADMITTED"),1,0)</x:f>
        <x:v>1</x:v>
      </x:c>
      <x:c r="F1962" s="21" t="n">
        <x:v>1</x:v>
      </x:c>
      <x:c r="G1962" s="23" t="str">
        <x:f>IF(E1962=F1962,"PASS","FAIL")</x:f>
        <x:v>PASS</x:v>
      </x:c>
    </x:row>
    <x:row r="1963">
      <x:c r="B1963" s="21" t="str">
        <x:v>C1957</x:v>
      </x:c>
      <x:c r="C1963" s="21" t="str">
        <x:v>full force</x:v>
      </x:c>
      <x:c r="D1963" s="21" t="str">
        <x:v>M05 status identity row 49</x:v>
      </x:c>
      <x:c r="E1963" s="21" t="n">
        <x:f>IF('Full Force'!G49=IF('Full Force'!F49&gt;=Assumptions!$C$9,"CLOSES M05","GAP"),1,0)</x:f>
        <x:v>1</x:v>
      </x:c>
      <x:c r="F1963" s="21" t="n">
        <x:v>1</x:v>
      </x:c>
      <x:c r="G1963" s="23" t="str">
        <x:f>IF(E1963=F1963,"PASS","FAIL")</x:f>
        <x:v>PASS</x:v>
      </x:c>
    </x:row>
    <x:row r="1964">
      <x:c r="B1964" s="21" t="str">
        <x:v>C1958</x:v>
      </x:c>
      <x:c r="C1964" s="21" t="str">
        <x:v>full force</x:v>
      </x:c>
      <x:c r="D1964" s="21" t="str">
        <x:v>no physical admission row 49</x:v>
      </x:c>
      <x:c r="E1964" s="21" t="n">
        <x:f>IF(AND('Full Force'!J49=0,'Full Force'!K49="NOT ADMITTED"),1,0)</x:f>
        <x:v>1</x:v>
      </x:c>
      <x:c r="F1964" s="21" t="n">
        <x:v>1</x:v>
      </x:c>
      <x:c r="G1964" s="23" t="str">
        <x:f>IF(E1964=F1964,"PASS","FAIL")</x:f>
        <x:v>PASS</x:v>
      </x:c>
    </x:row>
    <x:row r="1965">
      <x:c r="B1965" s="21" t="str">
        <x:v>C1959</x:v>
      </x:c>
      <x:c r="C1965" s="21" t="str">
        <x:v>full force</x:v>
      </x:c>
      <x:c r="D1965" s="21" t="str">
        <x:v>M05 status identity row 50</x:v>
      </x:c>
      <x:c r="E1965" s="21" t="n">
        <x:f>IF('Full Force'!G50=IF('Full Force'!F50&gt;=Assumptions!$C$9,"CLOSES M05","GAP"),1,0)</x:f>
        <x:v>1</x:v>
      </x:c>
      <x:c r="F1965" s="21" t="n">
        <x:v>1</x:v>
      </x:c>
      <x:c r="G1965" s="23" t="str">
        <x:f>IF(E1965=F1965,"PASS","FAIL")</x:f>
        <x:v>PASS</x:v>
      </x:c>
    </x:row>
    <x:row r="1966">
      <x:c r="B1966" s="21" t="str">
        <x:v>C1960</x:v>
      </x:c>
      <x:c r="C1966" s="21" t="str">
        <x:v>full force</x:v>
      </x:c>
      <x:c r="D1966" s="21" t="str">
        <x:v>no physical admission row 50</x:v>
      </x:c>
      <x:c r="E1966" s="21" t="n">
        <x:f>IF(AND('Full Force'!J50=0,'Full Force'!K50="NOT ADMITTED"),1,0)</x:f>
        <x:v>1</x:v>
      </x:c>
      <x:c r="F1966" s="21" t="n">
        <x:v>1</x:v>
      </x:c>
      <x:c r="G1966" s="23" t="str">
        <x:f>IF(E1966=F1966,"PASS","FAIL")</x:f>
        <x:v>PASS</x:v>
      </x:c>
    </x:row>
    <x:row r="1967">
      <x:c r="B1967" s="21" t="str">
        <x:v>C1961</x:v>
      </x:c>
      <x:c r="C1967" s="21" t="str">
        <x:v>full force</x:v>
      </x:c>
      <x:c r="D1967" s="21" t="str">
        <x:v>M05 status identity row 51</x:v>
      </x:c>
      <x:c r="E1967" s="21" t="n">
        <x:f>IF('Full Force'!G51=IF('Full Force'!F51&gt;=Assumptions!$C$9,"CLOSES M05","GAP"),1,0)</x:f>
        <x:v>1</x:v>
      </x:c>
      <x:c r="F1967" s="21" t="n">
        <x:v>1</x:v>
      </x:c>
      <x:c r="G1967" s="23" t="str">
        <x:f>IF(E1967=F1967,"PASS","FAIL")</x:f>
        <x:v>PASS</x:v>
      </x:c>
    </x:row>
    <x:row r="1968">
      <x:c r="B1968" s="21" t="str">
        <x:v>C1962</x:v>
      </x:c>
      <x:c r="C1968" s="21" t="str">
        <x:v>full force</x:v>
      </x:c>
      <x:c r="D1968" s="21" t="str">
        <x:v>no physical admission row 51</x:v>
      </x:c>
      <x:c r="E1968" s="21" t="n">
        <x:f>IF(AND('Full Force'!J51=0,'Full Force'!K51="NOT ADMITTED"),1,0)</x:f>
        <x:v>1</x:v>
      </x:c>
      <x:c r="F1968" s="21" t="n">
        <x:v>1</x:v>
      </x:c>
      <x:c r="G1968" s="23" t="str">
        <x:f>IF(E1968=F1968,"PASS","FAIL")</x:f>
        <x:v>PASS</x:v>
      </x:c>
    </x:row>
    <x:row r="1969">
      <x:c r="B1969" s="21" t="str">
        <x:v>C1963</x:v>
      </x:c>
      <x:c r="C1969" s="21" t="str">
        <x:v>full force</x:v>
      </x:c>
      <x:c r="D1969" s="21" t="str">
        <x:v>M05 status identity row 52</x:v>
      </x:c>
      <x:c r="E1969" s="21" t="n">
        <x:f>IF('Full Force'!G52=IF('Full Force'!F52&gt;=Assumptions!$C$9,"CLOSES M05","GAP"),1,0)</x:f>
        <x:v>1</x:v>
      </x:c>
      <x:c r="F1969" s="21" t="n">
        <x:v>1</x:v>
      </x:c>
      <x:c r="G1969" s="23" t="str">
        <x:f>IF(E1969=F1969,"PASS","FAIL")</x:f>
        <x:v>PASS</x:v>
      </x:c>
    </x:row>
    <x:row r="1970">
      <x:c r="B1970" s="21" t="str">
        <x:v>C1964</x:v>
      </x:c>
      <x:c r="C1970" s="21" t="str">
        <x:v>full force</x:v>
      </x:c>
      <x:c r="D1970" s="21" t="str">
        <x:v>no physical admission row 52</x:v>
      </x:c>
      <x:c r="E1970" s="21" t="n">
        <x:f>IF(AND('Full Force'!J52=0,'Full Force'!K52="NOT ADMITTED"),1,0)</x:f>
        <x:v>1</x:v>
      </x:c>
      <x:c r="F1970" s="21" t="n">
        <x:v>1</x:v>
      </x:c>
      <x:c r="G1970" s="23" t="str">
        <x:f>IF(E1970=F1970,"PASS","FAIL")</x:f>
        <x:v>PASS</x:v>
      </x:c>
    </x:row>
    <x:row r="1971">
      <x:c r="B1971" s="21" t="str">
        <x:v>C1965</x:v>
      </x:c>
      <x:c r="C1971" s="21" t="str">
        <x:v>full force</x:v>
      </x:c>
      <x:c r="D1971" s="21" t="str">
        <x:v>M05 status identity row 53</x:v>
      </x:c>
      <x:c r="E1971" s="21" t="n">
        <x:f>IF('Full Force'!G53=IF('Full Force'!F53&gt;=Assumptions!$C$9,"CLOSES M05","GAP"),1,0)</x:f>
        <x:v>1</x:v>
      </x:c>
      <x:c r="F1971" s="21" t="n">
        <x:v>1</x:v>
      </x:c>
      <x:c r="G1971" s="23" t="str">
        <x:f>IF(E1971=F1971,"PASS","FAIL")</x:f>
        <x:v>PASS</x:v>
      </x:c>
    </x:row>
    <x:row r="1972">
      <x:c r="B1972" s="21" t="str">
        <x:v>C1966</x:v>
      </x:c>
      <x:c r="C1972" s="21" t="str">
        <x:v>full force</x:v>
      </x:c>
      <x:c r="D1972" s="21" t="str">
        <x:v>no physical admission row 53</x:v>
      </x:c>
      <x:c r="E1972" s="21" t="n">
        <x:f>IF(AND('Full Force'!J53=0,'Full Force'!K53="NOT ADMITTED"),1,0)</x:f>
        <x:v>1</x:v>
      </x:c>
      <x:c r="F1972" s="21" t="n">
        <x:v>1</x:v>
      </x:c>
      <x:c r="G1972" s="23" t="str">
        <x:f>IF(E1972=F1972,"PASS","FAIL")</x:f>
        <x:v>PASS</x:v>
      </x:c>
    </x:row>
    <x:row r="1973">
      <x:c r="B1973" s="21" t="str">
        <x:v>C1967</x:v>
      </x:c>
      <x:c r="C1973" s="21" t="str">
        <x:v>full force</x:v>
      </x:c>
      <x:c r="D1973" s="21" t="str">
        <x:v>M05 status identity row 54</x:v>
      </x:c>
      <x:c r="E1973" s="21" t="n">
        <x:f>IF('Full Force'!G54=IF('Full Force'!F54&gt;=Assumptions!$C$9,"CLOSES M05","GAP"),1,0)</x:f>
        <x:v>1</x:v>
      </x:c>
      <x:c r="F1973" s="21" t="n">
        <x:v>1</x:v>
      </x:c>
      <x:c r="G1973" s="23" t="str">
        <x:f>IF(E1973=F1973,"PASS","FAIL")</x:f>
        <x:v>PASS</x:v>
      </x:c>
    </x:row>
    <x:row r="1974">
      <x:c r="B1974" s="21" t="str">
        <x:v>C1968</x:v>
      </x:c>
      <x:c r="C1974" s="21" t="str">
        <x:v>full force</x:v>
      </x:c>
      <x:c r="D1974" s="21" t="str">
        <x:v>no physical admission row 54</x:v>
      </x:c>
      <x:c r="E1974" s="21" t="n">
        <x:f>IF(AND('Full Force'!J54=0,'Full Force'!K54="NOT ADMITTED"),1,0)</x:f>
        <x:v>1</x:v>
      </x:c>
      <x:c r="F1974" s="21" t="n">
        <x:v>1</x:v>
      </x:c>
      <x:c r="G1974" s="23" t="str">
        <x:f>IF(E1974=F1974,"PASS","FAIL")</x:f>
        <x:v>PASS</x:v>
      </x:c>
    </x:row>
    <x:row r="1975">
      <x:c r="B1975" s="21" t="str">
        <x:v>C1969</x:v>
      </x:c>
      <x:c r="C1975" s="21" t="str">
        <x:v>family result</x:v>
      </x:c>
      <x:c r="D1975" s="21" t="str">
        <x:v>M05 result identity row 7</x:v>
      </x:c>
      <x:c r="E1975" s="21" t="n">
        <x:f>IF('Family Results'!J7=IF('Family Results'!I7&gt;=Assumptions!$C$9,"CLOSES M05","GAP"),1,0)</x:f>
        <x:v>1</x:v>
      </x:c>
      <x:c r="F1975" s="21" t="n">
        <x:v>1</x:v>
      </x:c>
      <x:c r="G1975" s="23" t="str">
        <x:f>IF(E1975=F1975,"PASS","FAIL")</x:f>
        <x:v>PASS</x:v>
      </x:c>
    </x:row>
    <x:row r="1976">
      <x:c r="B1976" s="21" t="str">
        <x:v>C1970</x:v>
      </x:c>
      <x:c r="C1976" s="21" t="str">
        <x:v>family result</x:v>
      </x:c>
      <x:c r="D1976" s="21" t="str">
        <x:v>M06 result identity row 7</x:v>
      </x:c>
      <x:c r="E1976" s="21" t="n">
        <x:f>IF('Family Results'!L7=IF('Family Results'!K7&gt;=1,"CLOSES M06","GAP"),1,0)</x:f>
        <x:v>1</x:v>
      </x:c>
      <x:c r="F1976" s="21" t="n">
        <x:v>1</x:v>
      </x:c>
      <x:c r="G1976" s="23" t="str">
        <x:f>IF(E1976=F1976,"PASS","FAIL")</x:f>
        <x:v>PASS</x:v>
      </x:c>
    </x:row>
    <x:row r="1977">
      <x:c r="B1977" s="21" t="str">
        <x:v>C1971</x:v>
      </x:c>
      <x:c r="C1977" s="21" t="str">
        <x:v>family result</x:v>
      </x:c>
      <x:c r="D1977" s="21" t="str">
        <x:v>positive family allocation row 7</x:v>
      </x:c>
      <x:c r="E1977" s="21" t="n">
        <x:f>IF('Family Results'!N7&gt;0,1,0)</x:f>
        <x:v>1</x:v>
      </x:c>
      <x:c r="F1977" s="21" t="n">
        <x:v>1</x:v>
      </x:c>
      <x:c r="G1977" s="23" t="str">
        <x:f>IF(E1977=F1977,"PASS","FAIL")</x:f>
        <x:v>PASS</x:v>
      </x:c>
    </x:row>
    <x:row r="1978">
      <x:c r="B1978" s="21" t="str">
        <x:v>C1972</x:v>
      </x:c>
      <x:c r="C1978" s="21" t="str">
        <x:v>family result</x:v>
      </x:c>
      <x:c r="D1978" s="21" t="str">
        <x:v>M05 result identity row 8</x:v>
      </x:c>
      <x:c r="E1978" s="21" t="n">
        <x:f>IF('Family Results'!J8=IF('Family Results'!I8&gt;=Assumptions!$C$9,"CLOSES M05","GAP"),1,0)</x:f>
        <x:v>1</x:v>
      </x:c>
      <x:c r="F1978" s="21" t="n">
        <x:v>1</x:v>
      </x:c>
      <x:c r="G1978" s="23" t="str">
        <x:f>IF(E1978=F1978,"PASS","FAIL")</x:f>
        <x:v>PASS</x:v>
      </x:c>
    </x:row>
    <x:row r="1979">
      <x:c r="B1979" s="21" t="str">
        <x:v>C1973</x:v>
      </x:c>
      <x:c r="C1979" s="21" t="str">
        <x:v>family result</x:v>
      </x:c>
      <x:c r="D1979" s="21" t="str">
        <x:v>M06 result identity row 8</x:v>
      </x:c>
      <x:c r="E1979" s="21" t="n">
        <x:f>IF('Family Results'!L8=IF('Family Results'!K8&gt;=1,"CLOSES M06","GAP"),1,0)</x:f>
        <x:v>1</x:v>
      </x:c>
      <x:c r="F1979" s="21" t="n">
        <x:v>1</x:v>
      </x:c>
      <x:c r="G1979" s="23" t="str">
        <x:f>IF(E1979=F1979,"PASS","FAIL")</x:f>
        <x:v>PASS</x:v>
      </x:c>
    </x:row>
    <x:row r="1980">
      <x:c r="B1980" s="21" t="str">
        <x:v>C1974</x:v>
      </x:c>
      <x:c r="C1980" s="21" t="str">
        <x:v>family result</x:v>
      </x:c>
      <x:c r="D1980" s="21" t="str">
        <x:v>positive family allocation row 8</x:v>
      </x:c>
      <x:c r="E1980" s="21" t="n">
        <x:f>IF('Family Results'!N8&gt;0,1,0)</x:f>
        <x:v>1</x:v>
      </x:c>
      <x:c r="F1980" s="21" t="n">
        <x:v>1</x:v>
      </x:c>
      <x:c r="G1980" s="23" t="str">
        <x:f>IF(E1980=F1980,"PASS","FAIL")</x:f>
        <x:v>PASS</x:v>
      </x:c>
    </x:row>
    <x:row r="1981">
      <x:c r="B1981" s="21" t="str">
        <x:v>C1975</x:v>
      </x:c>
      <x:c r="C1981" s="21" t="str">
        <x:v>family result</x:v>
      </x:c>
      <x:c r="D1981" s="21" t="str">
        <x:v>M05 result identity row 9</x:v>
      </x:c>
      <x:c r="E1981" s="21" t="n">
        <x:f>IF('Family Results'!J9=IF('Family Results'!I9&gt;=Assumptions!$C$9,"CLOSES M05","GAP"),1,0)</x:f>
        <x:v>1</x:v>
      </x:c>
      <x:c r="F1981" s="21" t="n">
        <x:v>1</x:v>
      </x:c>
      <x:c r="G1981" s="23" t="str">
        <x:f>IF(E1981=F1981,"PASS","FAIL")</x:f>
        <x:v>PASS</x:v>
      </x:c>
    </x:row>
    <x:row r="1982">
      <x:c r="B1982" s="21" t="str">
        <x:v>C1976</x:v>
      </x:c>
      <x:c r="C1982" s="21" t="str">
        <x:v>family result</x:v>
      </x:c>
      <x:c r="D1982" s="21" t="str">
        <x:v>M06 result identity row 9</x:v>
      </x:c>
      <x:c r="E1982" s="21" t="n">
        <x:f>IF('Family Results'!L9=IF('Family Results'!K9&gt;=1,"CLOSES M06","GAP"),1,0)</x:f>
        <x:v>1</x:v>
      </x:c>
      <x:c r="F1982" s="21" t="n">
        <x:v>1</x:v>
      </x:c>
      <x:c r="G1982" s="23" t="str">
        <x:f>IF(E1982=F1982,"PASS","FAIL")</x:f>
        <x:v>PASS</x:v>
      </x:c>
    </x:row>
    <x:row r="1983">
      <x:c r="B1983" s="21" t="str">
        <x:v>C1977</x:v>
      </x:c>
      <x:c r="C1983" s="21" t="str">
        <x:v>family result</x:v>
      </x:c>
      <x:c r="D1983" s="21" t="str">
        <x:v>positive family allocation row 9</x:v>
      </x:c>
      <x:c r="E1983" s="21" t="n">
        <x:f>IF('Family Results'!N9&gt;0,1,0)</x:f>
        <x:v>1</x:v>
      </x:c>
      <x:c r="F1983" s="21" t="n">
        <x:v>1</x:v>
      </x:c>
      <x:c r="G1983" s="23" t="str">
        <x:f>IF(E1983=F1983,"PASS","FAIL")</x:f>
        <x:v>PASS</x:v>
      </x:c>
    </x:row>
    <x:row r="1984">
      <x:c r="B1984" s="21" t="str">
        <x:v>C1978</x:v>
      </x:c>
      <x:c r="C1984" s="21" t="str">
        <x:v>family result</x:v>
      </x:c>
      <x:c r="D1984" s="21" t="str">
        <x:v>M05 result identity row 10</x:v>
      </x:c>
      <x:c r="E1984" s="21" t="n">
        <x:f>IF('Family Results'!J10=IF('Family Results'!I10&gt;=Assumptions!$C$9,"CLOSES M05","GAP"),1,0)</x:f>
        <x:v>1</x:v>
      </x:c>
      <x:c r="F1984" s="21" t="n">
        <x:v>1</x:v>
      </x:c>
      <x:c r="G1984" s="23" t="str">
        <x:f>IF(E1984=F1984,"PASS","FAIL")</x:f>
        <x:v>PASS</x:v>
      </x:c>
    </x:row>
    <x:row r="1985">
      <x:c r="B1985" s="21" t="str">
        <x:v>C1979</x:v>
      </x:c>
      <x:c r="C1985" s="21" t="str">
        <x:v>family result</x:v>
      </x:c>
      <x:c r="D1985" s="21" t="str">
        <x:v>M06 result identity row 10</x:v>
      </x:c>
      <x:c r="E1985" s="21" t="n">
        <x:f>IF('Family Results'!L10=IF('Family Results'!K10&gt;=1,"CLOSES M06","GAP"),1,0)</x:f>
        <x:v>1</x:v>
      </x:c>
      <x:c r="F1985" s="21" t="n">
        <x:v>1</x:v>
      </x:c>
      <x:c r="G1985" s="23" t="str">
        <x:f>IF(E1985=F1985,"PASS","FAIL")</x:f>
        <x:v>PASS</x:v>
      </x:c>
    </x:row>
    <x:row r="1986">
      <x:c r="B1986" s="21" t="str">
        <x:v>C1980</x:v>
      </x:c>
      <x:c r="C1986" s="21" t="str">
        <x:v>family result</x:v>
      </x:c>
      <x:c r="D1986" s="21" t="str">
        <x:v>positive family allocation row 10</x:v>
      </x:c>
      <x:c r="E1986" s="21" t="n">
        <x:f>IF('Family Results'!N10&gt;0,1,0)</x:f>
        <x:v>1</x:v>
      </x:c>
      <x:c r="F1986" s="21" t="n">
        <x:v>1</x:v>
      </x:c>
      <x:c r="G1986" s="23" t="str">
        <x:f>IF(E1986=F1986,"PASS","FAIL")</x:f>
        <x:v>PASS</x:v>
      </x:c>
    </x:row>
    <x:row r="1987">
      <x:c r="B1987" s="21" t="str">
        <x:v>C1981</x:v>
      </x:c>
      <x:c r="C1987" s="21" t="str">
        <x:v>family result</x:v>
      </x:c>
      <x:c r="D1987" s="21" t="str">
        <x:v>M05 result identity row 11</x:v>
      </x:c>
      <x:c r="E1987" s="21" t="n">
        <x:f>IF('Family Results'!J11=IF('Family Results'!I11&gt;=Assumptions!$C$9,"CLOSES M05","GAP"),1,0)</x:f>
        <x:v>1</x:v>
      </x:c>
      <x:c r="F1987" s="21" t="n">
        <x:v>1</x:v>
      </x:c>
      <x:c r="G1987" s="23" t="str">
        <x:f>IF(E1987=F1987,"PASS","FAIL")</x:f>
        <x:v>PASS</x:v>
      </x:c>
    </x:row>
    <x:row r="1988">
      <x:c r="B1988" s="21" t="str">
        <x:v>C1982</x:v>
      </x:c>
      <x:c r="C1988" s="21" t="str">
        <x:v>family result</x:v>
      </x:c>
      <x:c r="D1988" s="21" t="str">
        <x:v>M06 result identity row 11</x:v>
      </x:c>
      <x:c r="E1988" s="21" t="n">
        <x:f>IF('Family Results'!L11=IF('Family Results'!K11&gt;=1,"CLOSES M06","GAP"),1,0)</x:f>
        <x:v>1</x:v>
      </x:c>
      <x:c r="F1988" s="21" t="n">
        <x:v>1</x:v>
      </x:c>
      <x:c r="G1988" s="23" t="str">
        <x:f>IF(E1988=F1988,"PASS","FAIL")</x:f>
        <x:v>PASS</x:v>
      </x:c>
    </x:row>
    <x:row r="1989">
      <x:c r="B1989" s="21" t="str">
        <x:v>C1983</x:v>
      </x:c>
      <x:c r="C1989" s="21" t="str">
        <x:v>family result</x:v>
      </x:c>
      <x:c r="D1989" s="21" t="str">
        <x:v>positive family allocation row 11</x:v>
      </x:c>
      <x:c r="E1989" s="21" t="n">
        <x:f>IF('Family Results'!N11&gt;0,1,0)</x:f>
        <x:v>1</x:v>
      </x:c>
      <x:c r="F1989" s="21" t="n">
        <x:v>1</x:v>
      </x:c>
      <x:c r="G1989" s="23" t="str">
        <x:f>IF(E1989=F1989,"PASS","FAIL")</x:f>
        <x:v>PASS</x:v>
      </x:c>
    </x:row>
    <x:row r="1990">
      <x:c r="B1990" s="21" t="str">
        <x:v>C1984</x:v>
      </x:c>
      <x:c r="C1990" s="21" t="str">
        <x:v>family result</x:v>
      </x:c>
      <x:c r="D1990" s="21" t="str">
        <x:v>M05 result identity row 12</x:v>
      </x:c>
      <x:c r="E1990" s="21" t="n">
        <x:f>IF('Family Results'!J12=IF('Family Results'!I12&gt;=Assumptions!$C$9,"CLOSES M05","GAP"),1,0)</x:f>
        <x:v>1</x:v>
      </x:c>
      <x:c r="F1990" s="21" t="n">
        <x:v>1</x:v>
      </x:c>
      <x:c r="G1990" s="23" t="str">
        <x:f>IF(E1990=F1990,"PASS","FAIL")</x:f>
        <x:v>PASS</x:v>
      </x:c>
    </x:row>
    <x:row r="1991">
      <x:c r="B1991" s="21" t="str">
        <x:v>C1985</x:v>
      </x:c>
      <x:c r="C1991" s="21" t="str">
        <x:v>family result</x:v>
      </x:c>
      <x:c r="D1991" s="21" t="str">
        <x:v>M06 result identity row 12</x:v>
      </x:c>
      <x:c r="E1991" s="21" t="n">
        <x:f>IF('Family Results'!L12=IF('Family Results'!K12&gt;=1,"CLOSES M06","GAP"),1,0)</x:f>
        <x:v>1</x:v>
      </x:c>
      <x:c r="F1991" s="21" t="n">
        <x:v>1</x:v>
      </x:c>
      <x:c r="G1991" s="23" t="str">
        <x:f>IF(E1991=F1991,"PASS","FAIL")</x:f>
        <x:v>PASS</x:v>
      </x:c>
    </x:row>
    <x:row r="1992">
      <x:c r="B1992" s="21" t="str">
        <x:v>C1986</x:v>
      </x:c>
      <x:c r="C1992" s="21" t="str">
        <x:v>family result</x:v>
      </x:c>
      <x:c r="D1992" s="21" t="str">
        <x:v>positive family allocation row 12</x:v>
      </x:c>
      <x:c r="E1992" s="21" t="n">
        <x:f>IF('Family Results'!N12&gt;0,1,0)</x:f>
        <x:v>1</x:v>
      </x:c>
      <x:c r="F1992" s="21" t="n">
        <x:v>1</x:v>
      </x:c>
      <x:c r="G1992" s="23" t="str">
        <x:f>IF(E1992=F1992,"PASS","FAIL")</x:f>
        <x:v>PASS</x:v>
      </x:c>
    </x:row>
    <x:row r="1993">
      <x:c r="B1993" s="21" t="str">
        <x:v>C1987</x:v>
      </x:c>
      <x:c r="C1993" s="21" t="str">
        <x:v>family result</x:v>
      </x:c>
      <x:c r="D1993" s="21" t="str">
        <x:v>M05 result identity row 13</x:v>
      </x:c>
      <x:c r="E1993" s="21" t="n">
        <x:f>IF('Family Results'!J13=IF('Family Results'!I13&gt;=Assumptions!$C$9,"CLOSES M05","GAP"),1,0)</x:f>
        <x:v>1</x:v>
      </x:c>
      <x:c r="F1993" s="21" t="n">
        <x:v>1</x:v>
      </x:c>
      <x:c r="G1993" s="23" t="str">
        <x:f>IF(E1993=F1993,"PASS","FAIL")</x:f>
        <x:v>PASS</x:v>
      </x:c>
    </x:row>
    <x:row r="1994">
      <x:c r="B1994" s="21" t="str">
        <x:v>C1988</x:v>
      </x:c>
      <x:c r="C1994" s="21" t="str">
        <x:v>family result</x:v>
      </x:c>
      <x:c r="D1994" s="21" t="str">
        <x:v>M06 result identity row 13</x:v>
      </x:c>
      <x:c r="E1994" s="21" t="n">
        <x:f>IF('Family Results'!L13=IF('Family Results'!K13&gt;=1,"CLOSES M06","GAP"),1,0)</x:f>
        <x:v>1</x:v>
      </x:c>
      <x:c r="F1994" s="21" t="n">
        <x:v>1</x:v>
      </x:c>
      <x:c r="G1994" s="23" t="str">
        <x:f>IF(E1994=F1994,"PASS","FAIL")</x:f>
        <x:v>PASS</x:v>
      </x:c>
    </x:row>
    <x:row r="1995">
      <x:c r="B1995" s="21" t="str">
        <x:v>C1989</x:v>
      </x:c>
      <x:c r="C1995" s="21" t="str">
        <x:v>family result</x:v>
      </x:c>
      <x:c r="D1995" s="21" t="str">
        <x:v>positive family allocation row 13</x:v>
      </x:c>
      <x:c r="E1995" s="21" t="n">
        <x:f>IF('Family Results'!N13&gt;0,1,0)</x:f>
        <x:v>1</x:v>
      </x:c>
      <x:c r="F1995" s="21" t="n">
        <x:v>1</x:v>
      </x:c>
      <x:c r="G1995" s="23" t="str">
        <x:f>IF(E1995=F1995,"PASS","FAIL")</x:f>
        <x:v>PASS</x:v>
      </x:c>
    </x:row>
    <x:row r="1996">
      <x:c r="B1996" s="21" t="str">
        <x:v>C1990</x:v>
      </x:c>
      <x:c r="C1996" s="21" t="str">
        <x:v>family result</x:v>
      </x:c>
      <x:c r="D1996" s="21" t="str">
        <x:v>M05 result identity row 14</x:v>
      </x:c>
      <x:c r="E1996" s="21" t="n">
        <x:f>IF('Family Results'!J14=IF('Family Results'!I14&gt;=Assumptions!$C$9,"CLOSES M05","GAP"),1,0)</x:f>
        <x:v>1</x:v>
      </x:c>
      <x:c r="F1996" s="21" t="n">
        <x:v>1</x:v>
      </x:c>
      <x:c r="G1996" s="23" t="str">
        <x:f>IF(E1996=F1996,"PASS","FAIL")</x:f>
        <x:v>PASS</x:v>
      </x:c>
    </x:row>
    <x:row r="1997">
      <x:c r="B1997" s="21" t="str">
        <x:v>C1991</x:v>
      </x:c>
      <x:c r="C1997" s="21" t="str">
        <x:v>family result</x:v>
      </x:c>
      <x:c r="D1997" s="21" t="str">
        <x:v>M06 result identity row 14</x:v>
      </x:c>
      <x:c r="E1997" s="21" t="n">
        <x:f>IF('Family Results'!L14=IF('Family Results'!K14&gt;=1,"CLOSES M06","GAP"),1,0)</x:f>
        <x:v>1</x:v>
      </x:c>
      <x:c r="F1997" s="21" t="n">
        <x:v>1</x:v>
      </x:c>
      <x:c r="G1997" s="23" t="str">
        <x:f>IF(E1997=F1997,"PASS","FAIL")</x:f>
        <x:v>PASS</x:v>
      </x:c>
    </x:row>
    <x:row r="1998">
      <x:c r="B1998" s="21" t="str">
        <x:v>C1992</x:v>
      </x:c>
      <x:c r="C1998" s="21" t="str">
        <x:v>family result</x:v>
      </x:c>
      <x:c r="D1998" s="21" t="str">
        <x:v>positive family allocation row 14</x:v>
      </x:c>
      <x:c r="E1998" s="21" t="n">
        <x:f>IF('Family Results'!N14&gt;0,1,0)</x:f>
        <x:v>1</x:v>
      </x:c>
      <x:c r="F1998" s="21" t="n">
        <x:v>1</x:v>
      </x:c>
      <x:c r="G1998" s="23" t="str">
        <x:f>IF(E1998=F1998,"PASS","FAIL")</x:f>
        <x:v>PASS</x:v>
      </x:c>
    </x:row>
    <x:row r="1999">
      <x:c r="B1999" s="21" t="str">
        <x:v>C1993</x:v>
      </x:c>
      <x:c r="C1999" s="21" t="str">
        <x:v>family result</x:v>
      </x:c>
      <x:c r="D1999" s="21" t="str">
        <x:v>M05 result identity row 15</x:v>
      </x:c>
      <x:c r="E1999" s="21" t="n">
        <x:f>IF('Family Results'!J15=IF('Family Results'!I15&gt;=Assumptions!$C$9,"CLOSES M05","GAP"),1,0)</x:f>
        <x:v>1</x:v>
      </x:c>
      <x:c r="F1999" s="21" t="n">
        <x:v>1</x:v>
      </x:c>
      <x:c r="G1999" s="23" t="str">
        <x:f>IF(E1999=F1999,"PASS","FAIL")</x:f>
        <x:v>PASS</x:v>
      </x:c>
    </x:row>
    <x:row r="2000">
      <x:c r="B2000" s="21" t="str">
        <x:v>C1994</x:v>
      </x:c>
      <x:c r="C2000" s="21" t="str">
        <x:v>family result</x:v>
      </x:c>
      <x:c r="D2000" s="21" t="str">
        <x:v>M06 result identity row 15</x:v>
      </x:c>
      <x:c r="E2000" s="21" t="n">
        <x:f>IF('Family Results'!L15=IF('Family Results'!K15&gt;=1,"CLOSES M06","GAP"),1,0)</x:f>
        <x:v>1</x:v>
      </x:c>
      <x:c r="F2000" s="21" t="n">
        <x:v>1</x:v>
      </x:c>
      <x:c r="G2000" s="23" t="str">
        <x:f>IF(E2000=F2000,"PASS","FAIL")</x:f>
        <x:v>PASS</x:v>
      </x:c>
    </x:row>
    <x:row r="2001">
      <x:c r="B2001" s="21" t="str">
        <x:v>C1995</x:v>
      </x:c>
      <x:c r="C2001" s="21" t="str">
        <x:v>family result</x:v>
      </x:c>
      <x:c r="D2001" s="21" t="str">
        <x:v>positive family allocation row 15</x:v>
      </x:c>
      <x:c r="E2001" s="21" t="n">
        <x:f>IF('Family Results'!N15&gt;0,1,0)</x:f>
        <x:v>1</x:v>
      </x:c>
      <x:c r="F2001" s="21" t="n">
        <x:v>1</x:v>
      </x:c>
      <x:c r="G2001" s="23" t="str">
        <x:f>IF(E2001=F2001,"PASS","FAIL")</x:f>
        <x:v>PASS</x:v>
      </x:c>
    </x:row>
    <x:row r="2002">
      <x:c r="B2002" s="21" t="str">
        <x:v>C1996</x:v>
      </x:c>
      <x:c r="C2002" s="21" t="str">
        <x:v>family result</x:v>
      </x:c>
      <x:c r="D2002" s="21" t="str">
        <x:v>M05 result identity row 16</x:v>
      </x:c>
      <x:c r="E2002" s="21" t="n">
        <x:f>IF('Family Results'!J16=IF('Family Results'!I16&gt;=Assumptions!$C$9,"CLOSES M05","GAP"),1,0)</x:f>
        <x:v>1</x:v>
      </x:c>
      <x:c r="F2002" s="21" t="n">
        <x:v>1</x:v>
      </x:c>
      <x:c r="G2002" s="23" t="str">
        <x:f>IF(E2002=F2002,"PASS","FAIL")</x:f>
        <x:v>PASS</x:v>
      </x:c>
    </x:row>
    <x:row r="2003">
      <x:c r="B2003" s="21" t="str">
        <x:v>C1997</x:v>
      </x:c>
      <x:c r="C2003" s="21" t="str">
        <x:v>family result</x:v>
      </x:c>
      <x:c r="D2003" s="21" t="str">
        <x:v>M06 result identity row 16</x:v>
      </x:c>
      <x:c r="E2003" s="21" t="n">
        <x:f>IF('Family Results'!L16=IF('Family Results'!K16&gt;=1,"CLOSES M06","GAP"),1,0)</x:f>
        <x:v>1</x:v>
      </x:c>
      <x:c r="F2003" s="21" t="n">
        <x:v>1</x:v>
      </x:c>
      <x:c r="G2003" s="23" t="str">
        <x:f>IF(E2003=F2003,"PASS","FAIL")</x:f>
        <x:v>PASS</x:v>
      </x:c>
    </x:row>
    <x:row r="2004">
      <x:c r="B2004" s="21" t="str">
        <x:v>C1998</x:v>
      </x:c>
      <x:c r="C2004" s="21" t="str">
        <x:v>family result</x:v>
      </x:c>
      <x:c r="D2004" s="21" t="str">
        <x:v>positive family allocation row 16</x:v>
      </x:c>
      <x:c r="E2004" s="21" t="n">
        <x:f>IF('Family Results'!N16&gt;0,1,0)</x:f>
        <x:v>1</x:v>
      </x:c>
      <x:c r="F2004" s="21" t="n">
        <x:v>1</x:v>
      </x:c>
      <x:c r="G2004" s="23" t="str">
        <x:f>IF(E2004=F2004,"PASS","FAIL")</x:f>
        <x:v>PASS</x:v>
      </x:c>
    </x:row>
    <x:row r="2005">
      <x:c r="B2005" s="21" t="str">
        <x:v>C1999</x:v>
      </x:c>
      <x:c r="C2005" s="21" t="str">
        <x:v>family result</x:v>
      </x:c>
      <x:c r="D2005" s="21" t="str">
        <x:v>M05 result identity row 17</x:v>
      </x:c>
      <x:c r="E2005" s="21" t="n">
        <x:f>IF('Family Results'!J17=IF('Family Results'!I17&gt;=Assumptions!$C$9,"CLOSES M05","GAP"),1,0)</x:f>
        <x:v>1</x:v>
      </x:c>
      <x:c r="F2005" s="21" t="n">
        <x:v>1</x:v>
      </x:c>
      <x:c r="G2005" s="23" t="str">
        <x:f>IF(E2005=F2005,"PASS","FAIL")</x:f>
        <x:v>PASS</x:v>
      </x:c>
    </x:row>
    <x:row r="2006">
      <x:c r="B2006" s="21" t="str">
        <x:v>C2000</x:v>
      </x:c>
      <x:c r="C2006" s="21" t="str">
        <x:v>family result</x:v>
      </x:c>
      <x:c r="D2006" s="21" t="str">
        <x:v>M06 result identity row 17</x:v>
      </x:c>
      <x:c r="E2006" s="21" t="n">
        <x:f>IF('Family Results'!L17=IF('Family Results'!K17&gt;=1,"CLOSES M06","GAP"),1,0)</x:f>
        <x:v>1</x:v>
      </x:c>
      <x:c r="F2006" s="21" t="n">
        <x:v>1</x:v>
      </x:c>
      <x:c r="G2006" s="23" t="str">
        <x:f>IF(E2006=F2006,"PASS","FAIL")</x:f>
        <x:v>PASS</x:v>
      </x:c>
    </x:row>
    <x:row r="2007">
      <x:c r="B2007" s="21" t="str">
        <x:v>C2001</x:v>
      </x:c>
      <x:c r="C2007" s="21" t="str">
        <x:v>family result</x:v>
      </x:c>
      <x:c r="D2007" s="21" t="str">
        <x:v>positive family allocation row 17</x:v>
      </x:c>
      <x:c r="E2007" s="21" t="n">
        <x:f>IF('Family Results'!N17&gt;0,1,0)</x:f>
        <x:v>1</x:v>
      </x:c>
      <x:c r="F2007" s="21" t="n">
        <x:v>1</x:v>
      </x:c>
      <x:c r="G2007" s="23" t="str">
        <x:f>IF(E2007=F2007,"PASS","FAIL")</x:f>
        <x:v>PASS</x:v>
      </x:c>
    </x:row>
    <x:row r="2008">
      <x:c r="B2008" s="21" t="str">
        <x:v>C2002</x:v>
      </x:c>
      <x:c r="C2008" s="21" t="str">
        <x:v>family result</x:v>
      </x:c>
      <x:c r="D2008" s="21" t="str">
        <x:v>M05 result identity row 18</x:v>
      </x:c>
      <x:c r="E2008" s="21" t="n">
        <x:f>IF('Family Results'!J18=IF('Family Results'!I18&gt;=Assumptions!$C$9,"CLOSES M05","GAP"),1,0)</x:f>
        <x:v>1</x:v>
      </x:c>
      <x:c r="F2008" s="21" t="n">
        <x:v>1</x:v>
      </x:c>
      <x:c r="G2008" s="23" t="str">
        <x:f>IF(E2008=F2008,"PASS","FAIL")</x:f>
        <x:v>PASS</x:v>
      </x:c>
    </x:row>
    <x:row r="2009">
      <x:c r="B2009" s="21" t="str">
        <x:v>C2003</x:v>
      </x:c>
      <x:c r="C2009" s="21" t="str">
        <x:v>family result</x:v>
      </x:c>
      <x:c r="D2009" s="21" t="str">
        <x:v>M06 result identity row 18</x:v>
      </x:c>
      <x:c r="E2009" s="21" t="n">
        <x:f>IF('Family Results'!L18=IF('Family Results'!K18&gt;=1,"CLOSES M06","GAP"),1,0)</x:f>
        <x:v>1</x:v>
      </x:c>
      <x:c r="F2009" s="21" t="n">
        <x:v>1</x:v>
      </x:c>
      <x:c r="G2009" s="23" t="str">
        <x:f>IF(E2009=F2009,"PASS","FAIL")</x:f>
        <x:v>PASS</x:v>
      </x:c>
    </x:row>
    <x:row r="2010">
      <x:c r="B2010" s="21" t="str">
        <x:v>C2004</x:v>
      </x:c>
      <x:c r="C2010" s="21" t="str">
        <x:v>family result</x:v>
      </x:c>
      <x:c r="D2010" s="21" t="str">
        <x:v>positive family allocation row 18</x:v>
      </x:c>
      <x:c r="E2010" s="21" t="n">
        <x:f>IF('Family Results'!N18&gt;0,1,0)</x:f>
        <x:v>1</x:v>
      </x:c>
      <x:c r="F2010" s="21" t="n">
        <x:v>1</x:v>
      </x:c>
      <x:c r="G2010" s="23" t="str">
        <x:f>IF(E2010=F2010,"PASS","FAIL")</x:f>
        <x:v>PASS</x:v>
      </x:c>
    </x:row>
    <x:row r="2011">
      <x:c r="B2011" s="21" t="str">
        <x:v>C2005</x:v>
      </x:c>
      <x:c r="C2011" s="21" t="str">
        <x:v>family result</x:v>
      </x:c>
      <x:c r="D2011" s="21" t="str">
        <x:v>M05 result identity row 19</x:v>
      </x:c>
      <x:c r="E2011" s="21" t="n">
        <x:f>IF('Family Results'!J19=IF('Family Results'!I19&gt;=Assumptions!$C$9,"CLOSES M05","GAP"),1,0)</x:f>
        <x:v>1</x:v>
      </x:c>
      <x:c r="F2011" s="21" t="n">
        <x:v>1</x:v>
      </x:c>
      <x:c r="G2011" s="23" t="str">
        <x:f>IF(E2011=F2011,"PASS","FAIL")</x:f>
        <x:v>PASS</x:v>
      </x:c>
    </x:row>
    <x:row r="2012">
      <x:c r="B2012" s="21" t="str">
        <x:v>C2006</x:v>
      </x:c>
      <x:c r="C2012" s="21" t="str">
        <x:v>family result</x:v>
      </x:c>
      <x:c r="D2012" s="21" t="str">
        <x:v>M06 result identity row 19</x:v>
      </x:c>
      <x:c r="E2012" s="21" t="n">
        <x:f>IF('Family Results'!L19=IF('Family Results'!K19&gt;=1,"CLOSES M06","GAP"),1,0)</x:f>
        <x:v>1</x:v>
      </x:c>
      <x:c r="F2012" s="21" t="n">
        <x:v>1</x:v>
      </x:c>
      <x:c r="G2012" s="23" t="str">
        <x:f>IF(E2012=F2012,"PASS","FAIL")</x:f>
        <x:v>PASS</x:v>
      </x:c>
    </x:row>
    <x:row r="2013">
      <x:c r="B2013" s="21" t="str">
        <x:v>C2007</x:v>
      </x:c>
      <x:c r="C2013" s="21" t="str">
        <x:v>family result</x:v>
      </x:c>
      <x:c r="D2013" s="21" t="str">
        <x:v>positive family allocation row 19</x:v>
      </x:c>
      <x:c r="E2013" s="21" t="n">
        <x:f>IF('Family Results'!N19&gt;0,1,0)</x:f>
        <x:v>1</x:v>
      </x:c>
      <x:c r="F2013" s="21" t="n">
        <x:v>1</x:v>
      </x:c>
      <x:c r="G2013" s="23" t="str">
        <x:f>IF(E2013=F2013,"PASS","FAIL")</x:f>
        <x:v>PASS</x:v>
      </x:c>
    </x:row>
    <x:row r="2014">
      <x:c r="B2014" s="21" t="str">
        <x:v>C2008</x:v>
      </x:c>
      <x:c r="C2014" s="21" t="str">
        <x:v>family result</x:v>
      </x:c>
      <x:c r="D2014" s="21" t="str">
        <x:v>M05 result identity row 20</x:v>
      </x:c>
      <x:c r="E2014" s="21" t="n">
        <x:f>IF('Family Results'!J20=IF('Family Results'!I20&gt;=Assumptions!$C$9,"CLOSES M05","GAP"),1,0)</x:f>
        <x:v>1</x:v>
      </x:c>
      <x:c r="F2014" s="21" t="n">
        <x:v>1</x:v>
      </x:c>
      <x:c r="G2014" s="23" t="str">
        <x:f>IF(E2014=F2014,"PASS","FAIL")</x:f>
        <x:v>PASS</x:v>
      </x:c>
    </x:row>
    <x:row r="2015">
      <x:c r="B2015" s="21" t="str">
        <x:v>C2009</x:v>
      </x:c>
      <x:c r="C2015" s="21" t="str">
        <x:v>family result</x:v>
      </x:c>
      <x:c r="D2015" s="21" t="str">
        <x:v>M06 result identity row 20</x:v>
      </x:c>
      <x:c r="E2015" s="21" t="n">
        <x:f>IF('Family Results'!L20=IF('Family Results'!K20&gt;=1,"CLOSES M06","GAP"),1,0)</x:f>
        <x:v>1</x:v>
      </x:c>
      <x:c r="F2015" s="21" t="n">
        <x:v>1</x:v>
      </x:c>
      <x:c r="G2015" s="23" t="str">
        <x:f>IF(E2015=F2015,"PASS","FAIL")</x:f>
        <x:v>PASS</x:v>
      </x:c>
    </x:row>
    <x:row r="2016">
      <x:c r="B2016" s="21" t="str">
        <x:v>C2010</x:v>
      </x:c>
      <x:c r="C2016" s="21" t="str">
        <x:v>family result</x:v>
      </x:c>
      <x:c r="D2016" s="21" t="str">
        <x:v>positive family allocation row 20</x:v>
      </x:c>
      <x:c r="E2016" s="21" t="n">
        <x:f>IF('Family Results'!N20&gt;0,1,0)</x:f>
        <x:v>1</x:v>
      </x:c>
      <x:c r="F2016" s="21" t="n">
        <x:v>1</x:v>
      </x:c>
      <x:c r="G2016" s="23" t="str">
        <x:f>IF(E2016=F2016,"PASS","FAIL")</x:f>
        <x:v>PASS</x:v>
      </x:c>
    </x:row>
    <x:row r="2017">
      <x:c r="B2017" s="21" t="str">
        <x:v>C2011</x:v>
      </x:c>
      <x:c r="C2017" s="21" t="str">
        <x:v>family result</x:v>
      </x:c>
      <x:c r="D2017" s="21" t="str">
        <x:v>M05 result identity row 21</x:v>
      </x:c>
      <x:c r="E2017" s="21" t="n">
        <x:f>IF('Family Results'!J21=IF('Family Results'!I21&gt;=Assumptions!$C$9,"CLOSES M05","GAP"),1,0)</x:f>
        <x:v>1</x:v>
      </x:c>
      <x:c r="F2017" s="21" t="n">
        <x:v>1</x:v>
      </x:c>
      <x:c r="G2017" s="23" t="str">
        <x:f>IF(E2017=F2017,"PASS","FAIL")</x:f>
        <x:v>PASS</x:v>
      </x:c>
    </x:row>
    <x:row r="2018">
      <x:c r="B2018" s="21" t="str">
        <x:v>C2012</x:v>
      </x:c>
      <x:c r="C2018" s="21" t="str">
        <x:v>family result</x:v>
      </x:c>
      <x:c r="D2018" s="21" t="str">
        <x:v>M06 result identity row 21</x:v>
      </x:c>
      <x:c r="E2018" s="21" t="n">
        <x:f>IF('Family Results'!L21=IF('Family Results'!K21&gt;=1,"CLOSES M06","GAP"),1,0)</x:f>
        <x:v>1</x:v>
      </x:c>
      <x:c r="F2018" s="21" t="n">
        <x:v>1</x:v>
      </x:c>
      <x:c r="G2018" s="23" t="str">
        <x:f>IF(E2018=F2018,"PASS","FAIL")</x:f>
        <x:v>PASS</x:v>
      </x:c>
    </x:row>
    <x:row r="2019">
      <x:c r="B2019" s="21" t="str">
        <x:v>C2013</x:v>
      </x:c>
      <x:c r="C2019" s="21" t="str">
        <x:v>family result</x:v>
      </x:c>
      <x:c r="D2019" s="21" t="str">
        <x:v>positive family allocation row 21</x:v>
      </x:c>
      <x:c r="E2019" s="21" t="n">
        <x:f>IF('Family Results'!N21&gt;0,1,0)</x:f>
        <x:v>1</x:v>
      </x:c>
      <x:c r="F2019" s="21" t="n">
        <x:v>1</x:v>
      </x:c>
      <x:c r="G2019" s="23" t="str">
        <x:f>IF(E2019=F2019,"PASS","FAIL")</x:f>
        <x:v>PASS</x:v>
      </x:c>
    </x:row>
    <x:row r="2020">
      <x:c r="B2020" s="21" t="str">
        <x:v>C2014</x:v>
      </x:c>
      <x:c r="C2020" s="21" t="str">
        <x:v>family result</x:v>
      </x:c>
      <x:c r="D2020" s="21" t="str">
        <x:v>M05 result identity row 22</x:v>
      </x:c>
      <x:c r="E2020" s="21" t="n">
        <x:f>IF('Family Results'!J22=IF('Family Results'!I22&gt;=Assumptions!$C$9,"CLOSES M05","GAP"),1,0)</x:f>
        <x:v>1</x:v>
      </x:c>
      <x:c r="F2020" s="21" t="n">
        <x:v>1</x:v>
      </x:c>
      <x:c r="G2020" s="23" t="str">
        <x:f>IF(E2020=F2020,"PASS","FAIL")</x:f>
        <x:v>PASS</x:v>
      </x:c>
    </x:row>
    <x:row r="2021">
      <x:c r="B2021" s="21" t="str">
        <x:v>C2015</x:v>
      </x:c>
      <x:c r="C2021" s="21" t="str">
        <x:v>family result</x:v>
      </x:c>
      <x:c r="D2021" s="21" t="str">
        <x:v>M06 result identity row 22</x:v>
      </x:c>
      <x:c r="E2021" s="21" t="n">
        <x:f>IF('Family Results'!L22=IF('Family Results'!K22&gt;=1,"CLOSES M06","GAP"),1,0)</x:f>
        <x:v>1</x:v>
      </x:c>
      <x:c r="F2021" s="21" t="n">
        <x:v>1</x:v>
      </x:c>
      <x:c r="G2021" s="23" t="str">
        <x:f>IF(E2021=F2021,"PASS","FAIL")</x:f>
        <x:v>PASS</x:v>
      </x:c>
    </x:row>
    <x:row r="2022">
      <x:c r="B2022" s="21" t="str">
        <x:v>C2016</x:v>
      </x:c>
      <x:c r="C2022" s="21" t="str">
        <x:v>family result</x:v>
      </x:c>
      <x:c r="D2022" s="21" t="str">
        <x:v>positive family allocation row 22</x:v>
      </x:c>
      <x:c r="E2022" s="21" t="n">
        <x:f>IF('Family Results'!N22&gt;0,1,0)</x:f>
        <x:v>1</x:v>
      </x:c>
      <x:c r="F2022" s="21" t="n">
        <x:v>1</x:v>
      </x:c>
      <x:c r="G2022" s="23" t="str">
        <x:f>IF(E2022=F2022,"PASS","FAIL")</x:f>
        <x:v>PASS</x:v>
      </x:c>
    </x:row>
    <x:row r="2023">
      <x:c r="B2023" s="21" t="str">
        <x:v>C2017</x:v>
      </x:c>
      <x:c r="C2023" s="21" t="str">
        <x:v>family result</x:v>
      </x:c>
      <x:c r="D2023" s="21" t="str">
        <x:v>M05 result identity row 23</x:v>
      </x:c>
      <x:c r="E2023" s="21" t="n">
        <x:f>IF('Family Results'!J23=IF('Family Results'!I23&gt;=Assumptions!$C$9,"CLOSES M05","GAP"),1,0)</x:f>
        <x:v>1</x:v>
      </x:c>
      <x:c r="F2023" s="21" t="n">
        <x:v>1</x:v>
      </x:c>
      <x:c r="G2023" s="23" t="str">
        <x:f>IF(E2023=F2023,"PASS","FAIL")</x:f>
        <x:v>PASS</x:v>
      </x:c>
    </x:row>
    <x:row r="2024">
      <x:c r="B2024" s="21" t="str">
        <x:v>C2018</x:v>
      </x:c>
      <x:c r="C2024" s="21" t="str">
        <x:v>family result</x:v>
      </x:c>
      <x:c r="D2024" s="21" t="str">
        <x:v>M06 result identity row 23</x:v>
      </x:c>
      <x:c r="E2024" s="21" t="n">
        <x:f>IF('Family Results'!L23=IF('Family Results'!K23&gt;=1,"CLOSES M06","GAP"),1,0)</x:f>
        <x:v>1</x:v>
      </x:c>
      <x:c r="F2024" s="21" t="n">
        <x:v>1</x:v>
      </x:c>
      <x:c r="G2024" s="23" t="str">
        <x:f>IF(E2024=F2024,"PASS","FAIL")</x:f>
        <x:v>PASS</x:v>
      </x:c>
    </x:row>
    <x:row r="2025">
      <x:c r="B2025" s="21" t="str">
        <x:v>C2019</x:v>
      </x:c>
      <x:c r="C2025" s="21" t="str">
        <x:v>family result</x:v>
      </x:c>
      <x:c r="D2025" s="21" t="str">
        <x:v>positive family allocation row 23</x:v>
      </x:c>
      <x:c r="E2025" s="21" t="n">
        <x:f>IF('Family Results'!N23&gt;0,1,0)</x:f>
        <x:v>1</x:v>
      </x:c>
      <x:c r="F2025" s="21" t="n">
        <x:v>1</x:v>
      </x:c>
      <x:c r="G2025" s="23" t="str">
        <x:f>IF(E2025=F2025,"PASS","FAIL")</x:f>
        <x:v>PASS</x:v>
      </x:c>
    </x:row>
    <x:row r="2026">
      <x:c r="B2026" s="21" t="str">
        <x:v>C2020</x:v>
      </x:c>
      <x:c r="C2026" s="21" t="str">
        <x:v>family result</x:v>
      </x:c>
      <x:c r="D2026" s="21" t="str">
        <x:v>M05 result identity row 24</x:v>
      </x:c>
      <x:c r="E2026" s="21" t="n">
        <x:f>IF('Family Results'!J24=IF('Family Results'!I24&gt;=Assumptions!$C$9,"CLOSES M05","GAP"),1,0)</x:f>
        <x:v>1</x:v>
      </x:c>
      <x:c r="F2026" s="21" t="n">
        <x:v>1</x:v>
      </x:c>
      <x:c r="G2026" s="23" t="str">
        <x:f>IF(E2026=F2026,"PASS","FAIL")</x:f>
        <x:v>PASS</x:v>
      </x:c>
    </x:row>
    <x:row r="2027">
      <x:c r="B2027" s="21" t="str">
        <x:v>C2021</x:v>
      </x:c>
      <x:c r="C2027" s="21" t="str">
        <x:v>family result</x:v>
      </x:c>
      <x:c r="D2027" s="21" t="str">
        <x:v>M06 result identity row 24</x:v>
      </x:c>
      <x:c r="E2027" s="21" t="n">
        <x:f>IF('Family Results'!L24=IF('Family Results'!K24&gt;=1,"CLOSES M06","GAP"),1,0)</x:f>
        <x:v>1</x:v>
      </x:c>
      <x:c r="F2027" s="21" t="n">
        <x:v>1</x:v>
      </x:c>
      <x:c r="G2027" s="23" t="str">
        <x:f>IF(E2027=F2027,"PASS","FAIL")</x:f>
        <x:v>PASS</x:v>
      </x:c>
    </x:row>
    <x:row r="2028">
      <x:c r="B2028" s="21" t="str">
        <x:v>C2022</x:v>
      </x:c>
      <x:c r="C2028" s="21" t="str">
        <x:v>family result</x:v>
      </x:c>
      <x:c r="D2028" s="21" t="str">
        <x:v>positive family allocation row 24</x:v>
      </x:c>
      <x:c r="E2028" s="21" t="n">
        <x:f>IF('Family Results'!N24&gt;0,1,0)</x:f>
        <x:v>1</x:v>
      </x:c>
      <x:c r="F2028" s="21" t="n">
        <x:v>1</x:v>
      </x:c>
      <x:c r="G2028" s="23" t="str">
        <x:f>IF(E2028=F2028,"PASS","FAIL")</x:f>
        <x:v>PASS</x:v>
      </x:c>
    </x:row>
    <x:row r="2029">
      <x:c r="B2029" s="21" t="str">
        <x:v>C2023</x:v>
      </x:c>
      <x:c r="C2029" s="21" t="str">
        <x:v>family result</x:v>
      </x:c>
      <x:c r="D2029" s="21" t="str">
        <x:v>M05 result identity row 25</x:v>
      </x:c>
      <x:c r="E2029" s="21" t="n">
        <x:f>IF('Family Results'!J25=IF('Family Results'!I25&gt;=Assumptions!$C$9,"CLOSES M05","GAP"),1,0)</x:f>
        <x:v>1</x:v>
      </x:c>
      <x:c r="F2029" s="21" t="n">
        <x:v>1</x:v>
      </x:c>
      <x:c r="G2029" s="23" t="str">
        <x:f>IF(E2029=F2029,"PASS","FAIL")</x:f>
        <x:v>PASS</x:v>
      </x:c>
    </x:row>
    <x:row r="2030">
      <x:c r="B2030" s="21" t="str">
        <x:v>C2024</x:v>
      </x:c>
      <x:c r="C2030" s="21" t="str">
        <x:v>family result</x:v>
      </x:c>
      <x:c r="D2030" s="21" t="str">
        <x:v>M06 result identity row 25</x:v>
      </x:c>
      <x:c r="E2030" s="21" t="n">
        <x:f>IF('Family Results'!L25=IF('Family Results'!K25&gt;=1,"CLOSES M06","GAP"),1,0)</x:f>
        <x:v>1</x:v>
      </x:c>
      <x:c r="F2030" s="21" t="n">
        <x:v>1</x:v>
      </x:c>
      <x:c r="G2030" s="23" t="str">
        <x:f>IF(E2030=F2030,"PASS","FAIL")</x:f>
        <x:v>PASS</x:v>
      </x:c>
    </x:row>
    <x:row r="2031">
      <x:c r="B2031" s="21" t="str">
        <x:v>C2025</x:v>
      </x:c>
      <x:c r="C2031" s="21" t="str">
        <x:v>family result</x:v>
      </x:c>
      <x:c r="D2031" s="21" t="str">
        <x:v>positive family allocation row 25</x:v>
      </x:c>
      <x:c r="E2031" s="21" t="n">
        <x:f>IF('Family Results'!N25&gt;0,1,0)</x:f>
        <x:v>1</x:v>
      </x:c>
      <x:c r="F2031" s="21" t="n">
        <x:v>1</x:v>
      </x:c>
      <x:c r="G2031" s="23" t="str">
        <x:f>IF(E2031=F2031,"PASS","FAIL")</x:f>
        <x:v>PASS</x:v>
      </x:c>
    </x:row>
    <x:row r="2032">
      <x:c r="B2032" s="21" t="str">
        <x:v>C2026</x:v>
      </x:c>
      <x:c r="C2032" s="21" t="str">
        <x:v>family result</x:v>
      </x:c>
      <x:c r="D2032" s="21" t="str">
        <x:v>M05 result identity row 26</x:v>
      </x:c>
      <x:c r="E2032" s="21" t="n">
        <x:f>IF('Family Results'!J26=IF('Family Results'!I26&gt;=Assumptions!$C$9,"CLOSES M05","GAP"),1,0)</x:f>
        <x:v>1</x:v>
      </x:c>
      <x:c r="F2032" s="21" t="n">
        <x:v>1</x:v>
      </x:c>
      <x:c r="G2032" s="23" t="str">
        <x:f>IF(E2032=F2032,"PASS","FAIL")</x:f>
        <x:v>PASS</x:v>
      </x:c>
    </x:row>
    <x:row r="2033">
      <x:c r="B2033" s="21" t="str">
        <x:v>C2027</x:v>
      </x:c>
      <x:c r="C2033" s="21" t="str">
        <x:v>family result</x:v>
      </x:c>
      <x:c r="D2033" s="21" t="str">
        <x:v>M06 result identity row 26</x:v>
      </x:c>
      <x:c r="E2033" s="21" t="n">
        <x:f>IF('Family Results'!L26=IF('Family Results'!K26&gt;=1,"CLOSES M06","GAP"),1,0)</x:f>
        <x:v>1</x:v>
      </x:c>
      <x:c r="F2033" s="21" t="n">
        <x:v>1</x:v>
      </x:c>
      <x:c r="G2033" s="23" t="str">
        <x:f>IF(E2033=F2033,"PASS","FAIL")</x:f>
        <x:v>PASS</x:v>
      </x:c>
    </x:row>
    <x:row r="2034">
      <x:c r="B2034" s="21" t="str">
        <x:v>C2028</x:v>
      </x:c>
      <x:c r="C2034" s="21" t="str">
        <x:v>family result</x:v>
      </x:c>
      <x:c r="D2034" s="21" t="str">
        <x:v>positive family allocation row 26</x:v>
      </x:c>
      <x:c r="E2034" s="21" t="n">
        <x:f>IF('Family Results'!N26&gt;0,1,0)</x:f>
        <x:v>1</x:v>
      </x:c>
      <x:c r="F2034" s="21" t="n">
        <x:v>1</x:v>
      </x:c>
      <x:c r="G2034" s="23" t="str">
        <x:f>IF(E2034=F2034,"PASS","FAIL")</x:f>
        <x:v>PASS</x:v>
      </x:c>
    </x:row>
    <x:row r="2035">
      <x:c r="B2035" s="21" t="str">
        <x:v>C2029</x:v>
      </x:c>
      <x:c r="C2035" s="21" t="str">
        <x:v>family result</x:v>
      </x:c>
      <x:c r="D2035" s="21" t="str">
        <x:v>M05 result identity row 27</x:v>
      </x:c>
      <x:c r="E2035" s="21" t="n">
        <x:f>IF('Family Results'!J27=IF('Family Results'!I27&gt;=Assumptions!$C$9,"CLOSES M05","GAP"),1,0)</x:f>
        <x:v>1</x:v>
      </x:c>
      <x:c r="F2035" s="21" t="n">
        <x:v>1</x:v>
      </x:c>
      <x:c r="G2035" s="23" t="str">
        <x:f>IF(E2035=F2035,"PASS","FAIL")</x:f>
        <x:v>PASS</x:v>
      </x:c>
    </x:row>
    <x:row r="2036">
      <x:c r="B2036" s="21" t="str">
        <x:v>C2030</x:v>
      </x:c>
      <x:c r="C2036" s="21" t="str">
        <x:v>family result</x:v>
      </x:c>
      <x:c r="D2036" s="21" t="str">
        <x:v>M06 result identity row 27</x:v>
      </x:c>
      <x:c r="E2036" s="21" t="n">
        <x:f>IF('Family Results'!L27=IF('Family Results'!K27&gt;=1,"CLOSES M06","GAP"),1,0)</x:f>
        <x:v>1</x:v>
      </x:c>
      <x:c r="F2036" s="21" t="n">
        <x:v>1</x:v>
      </x:c>
      <x:c r="G2036" s="23" t="str">
        <x:f>IF(E2036=F2036,"PASS","FAIL")</x:f>
        <x:v>PASS</x:v>
      </x:c>
    </x:row>
    <x:row r="2037">
      <x:c r="B2037" s="21" t="str">
        <x:v>C2031</x:v>
      </x:c>
      <x:c r="C2037" s="21" t="str">
        <x:v>family result</x:v>
      </x:c>
      <x:c r="D2037" s="21" t="str">
        <x:v>positive family allocation row 27</x:v>
      </x:c>
      <x:c r="E2037" s="21" t="n">
        <x:f>IF('Family Results'!N27&gt;0,1,0)</x:f>
        <x:v>1</x:v>
      </x:c>
      <x:c r="F2037" s="21" t="n">
        <x:v>1</x:v>
      </x:c>
      <x:c r="G2037" s="23" t="str">
        <x:f>IF(E2037=F2037,"PASS","FAIL")</x:f>
        <x:v>PASS</x:v>
      </x:c>
    </x:row>
    <x:row r="2038">
      <x:c r="B2038" s="21" t="str">
        <x:v>C2032</x:v>
      </x:c>
      <x:c r="C2038" s="21" t="str">
        <x:v>family result</x:v>
      </x:c>
      <x:c r="D2038" s="21" t="str">
        <x:v>M05 result identity row 28</x:v>
      </x:c>
      <x:c r="E2038" s="21" t="n">
        <x:f>IF('Family Results'!J28=IF('Family Results'!I28&gt;=Assumptions!$C$9,"CLOSES M05","GAP"),1,0)</x:f>
        <x:v>1</x:v>
      </x:c>
      <x:c r="F2038" s="21" t="n">
        <x:v>1</x:v>
      </x:c>
      <x:c r="G2038" s="23" t="str">
        <x:f>IF(E2038=F2038,"PASS","FAIL")</x:f>
        <x:v>PASS</x:v>
      </x:c>
    </x:row>
    <x:row r="2039">
      <x:c r="B2039" s="21" t="str">
        <x:v>C2033</x:v>
      </x:c>
      <x:c r="C2039" s="21" t="str">
        <x:v>family result</x:v>
      </x:c>
      <x:c r="D2039" s="21" t="str">
        <x:v>M06 result identity row 28</x:v>
      </x:c>
      <x:c r="E2039" s="21" t="n">
        <x:f>IF('Family Results'!L28=IF('Family Results'!K28&gt;=1,"CLOSES M06","GAP"),1,0)</x:f>
        <x:v>1</x:v>
      </x:c>
      <x:c r="F2039" s="21" t="n">
        <x:v>1</x:v>
      </x:c>
      <x:c r="G2039" s="23" t="str">
        <x:f>IF(E2039=F2039,"PASS","FAIL")</x:f>
        <x:v>PASS</x:v>
      </x:c>
    </x:row>
    <x:row r="2040">
      <x:c r="B2040" s="21" t="str">
        <x:v>C2034</x:v>
      </x:c>
      <x:c r="C2040" s="21" t="str">
        <x:v>family result</x:v>
      </x:c>
      <x:c r="D2040" s="21" t="str">
        <x:v>positive family allocation row 28</x:v>
      </x:c>
      <x:c r="E2040" s="21" t="n">
        <x:f>IF('Family Results'!N28&gt;0,1,0)</x:f>
        <x:v>1</x:v>
      </x:c>
      <x:c r="F2040" s="21" t="n">
        <x:v>1</x:v>
      </x:c>
      <x:c r="G2040" s="23" t="str">
        <x:f>IF(E2040=F2040,"PASS","FAIL")</x:f>
        <x:v>PASS</x:v>
      </x:c>
    </x:row>
    <x:row r="2041">
      <x:c r="B2041" s="21" t="str">
        <x:v>C2035</x:v>
      </x:c>
      <x:c r="C2041" s="21" t="str">
        <x:v>technology</x:v>
      </x:c>
      <x:c r="D2041" s="21" t="str">
        <x:v>positive technology allocation row 7</x:v>
      </x:c>
      <x:c r="E2041" s="21" t="n">
        <x:f>IF('Technology Portfolio'!F7&gt;0,1,0)</x:f>
        <x:v>1</x:v>
      </x:c>
      <x:c r="F2041" s="21" t="n">
        <x:v>1</x:v>
      </x:c>
      <x:c r="G2041" s="23" t="str">
        <x:f>IF(E2041=F2041,"PASS","FAIL")</x:f>
        <x:v>PASS</x:v>
      </x:c>
    </x:row>
    <x:row r="2042">
      <x:c r="B2042" s="21" t="str">
        <x:v>C2036</x:v>
      </x:c>
      <x:c r="C2042" s="21" t="str">
        <x:v>technology</x:v>
      </x:c>
      <x:c r="D2042" s="21" t="str">
        <x:v>positive technology allocation row 8</x:v>
      </x:c>
      <x:c r="E2042" s="21" t="n">
        <x:f>IF('Technology Portfolio'!F8&gt;0,1,0)</x:f>
        <x:v>1</x:v>
      </x:c>
      <x:c r="F2042" s="21" t="n">
        <x:v>1</x:v>
      </x:c>
      <x:c r="G2042" s="23" t="str">
        <x:f>IF(E2042=F2042,"PASS","FAIL")</x:f>
        <x:v>PASS</x:v>
      </x:c>
    </x:row>
    <x:row r="2043">
      <x:c r="B2043" s="21" t="str">
        <x:v>C2037</x:v>
      </x:c>
      <x:c r="C2043" s="21" t="str">
        <x:v>technology</x:v>
      </x:c>
      <x:c r="D2043" s="21" t="str">
        <x:v>positive technology allocation row 9</x:v>
      </x:c>
      <x:c r="E2043" s="21" t="n">
        <x:f>IF('Technology Portfolio'!F9&gt;0,1,0)</x:f>
        <x:v>1</x:v>
      </x:c>
      <x:c r="F2043" s="21" t="n">
        <x:v>1</x:v>
      </x:c>
      <x:c r="G2043" s="23" t="str">
        <x:f>IF(E2043=F2043,"PASS","FAIL")</x:f>
        <x:v>PASS</x:v>
      </x:c>
    </x:row>
    <x:row r="2044">
      <x:c r="B2044" s="21" t="str">
        <x:v>C2038</x:v>
      </x:c>
      <x:c r="C2044" s="21" t="str">
        <x:v>technology</x:v>
      </x:c>
      <x:c r="D2044" s="21" t="str">
        <x:v>positive technology allocation row 10</x:v>
      </x:c>
      <x:c r="E2044" s="21" t="n">
        <x:f>IF('Technology Portfolio'!F10&gt;0,1,0)</x:f>
        <x:v>1</x:v>
      </x:c>
      <x:c r="F2044" s="21" t="n">
        <x:v>1</x:v>
      </x:c>
      <x:c r="G2044" s="23" t="str">
        <x:f>IF(E2044=F2044,"PASS","FAIL")</x:f>
        <x:v>PASS</x:v>
      </x:c>
    </x:row>
    <x:row r="2045">
      <x:c r="B2045" s="21" t="str">
        <x:v>C2039</x:v>
      </x:c>
      <x:c r="C2045" s="21" t="str">
        <x:v>technology</x:v>
      </x:c>
      <x:c r="D2045" s="21" t="str">
        <x:v>positive technology allocation row 11</x:v>
      </x:c>
      <x:c r="E2045" s="21" t="n">
        <x:f>IF('Technology Portfolio'!F11&gt;0,1,0)</x:f>
        <x:v>1</x:v>
      </x:c>
      <x:c r="F2045" s="21" t="n">
        <x:v>1</x:v>
      </x:c>
      <x:c r="G2045" s="23" t="str">
        <x:f>IF(E2045=F2045,"PASS","FAIL")</x:f>
        <x:v>PASS</x:v>
      </x:c>
    </x:row>
    <x:row r="2046">
      <x:c r="B2046" s="21" t="str">
        <x:v>C2040</x:v>
      </x:c>
      <x:c r="C2046" s="21" t="str">
        <x:v>technology</x:v>
      </x:c>
      <x:c r="D2046" s="21" t="str">
        <x:v>positive technology allocation row 12</x:v>
      </x:c>
      <x:c r="E2046" s="21" t="n">
        <x:f>IF('Technology Portfolio'!F12&gt;0,1,0)</x:f>
        <x:v>1</x:v>
      </x:c>
      <x:c r="F2046" s="21" t="n">
        <x:v>1</x:v>
      </x:c>
      <x:c r="G2046" s="23" t="str">
        <x:f>IF(E2046=F2046,"PASS","FAIL")</x:f>
        <x:v>PASS</x:v>
      </x:c>
    </x:row>
    <x:row r="2047">
      <x:c r="B2047" s="21" t="str">
        <x:v>C2041</x:v>
      </x:c>
      <x:c r="C2047" s="21" t="str">
        <x:v>technology</x:v>
      </x:c>
      <x:c r="D2047" s="21" t="str">
        <x:v>positive technology allocation row 13</x:v>
      </x:c>
      <x:c r="E2047" s="21" t="n">
        <x:f>IF('Technology Portfolio'!F13&gt;0,1,0)</x:f>
        <x:v>1</x:v>
      </x:c>
      <x:c r="F2047" s="21" t="n">
        <x:v>1</x:v>
      </x:c>
      <x:c r="G2047" s="23" t="str">
        <x:f>IF(E2047=F2047,"PASS","FAIL")</x:f>
        <x:v>PASS</x:v>
      </x:c>
    </x:row>
    <x:row r="2048">
      <x:c r="B2048" s="21" t="str">
        <x:v>C2042</x:v>
      </x:c>
      <x:c r="C2048" s="21" t="str">
        <x:v>technology</x:v>
      </x:c>
      <x:c r="D2048" s="21" t="str">
        <x:v>positive technology allocation row 14</x:v>
      </x:c>
      <x:c r="E2048" s="21" t="n">
        <x:f>IF('Technology Portfolio'!F14&gt;0,1,0)</x:f>
        <x:v>1</x:v>
      </x:c>
      <x:c r="F2048" s="21" t="n">
        <x:v>1</x:v>
      </x:c>
      <x:c r="G2048" s="23" t="str">
        <x:f>IF(E2048=F2048,"PASS","FAIL")</x:f>
        <x:v>PASS</x:v>
      </x:c>
    </x:row>
    <x:row r="2049">
      <x:c r="B2049" s="21" t="str">
        <x:v>C2043</x:v>
      </x:c>
      <x:c r="C2049" s="21" t="str">
        <x:v>technology</x:v>
      </x:c>
      <x:c r="D2049" s="21" t="str">
        <x:v>positive technology allocation row 15</x:v>
      </x:c>
      <x:c r="E2049" s="21" t="n">
        <x:f>IF('Technology Portfolio'!F15&gt;0,1,0)</x:f>
        <x:v>1</x:v>
      </x:c>
      <x:c r="F2049" s="21" t="n">
        <x:v>1</x:v>
      </x:c>
      <x:c r="G2049" s="23" t="str">
        <x:f>IF(E2049=F2049,"PASS","FAIL")</x:f>
        <x:v>PASS</x:v>
      </x:c>
    </x:row>
    <x:row r="2050">
      <x:c r="B2050" s="21" t="str">
        <x:v>C2044</x:v>
      </x:c>
      <x:c r="C2050" s="21" t="str">
        <x:v>technology</x:v>
      </x:c>
      <x:c r="D2050" s="21" t="str">
        <x:v>positive technology allocation row 16</x:v>
      </x:c>
      <x:c r="E2050" s="21" t="n">
        <x:f>IF('Technology Portfolio'!F16&gt;0,1,0)</x:f>
        <x:v>1</x:v>
      </x:c>
      <x:c r="F2050" s="21" t="n">
        <x:v>1</x:v>
      </x:c>
      <x:c r="G2050" s="23" t="str">
        <x:f>IF(E2050=F2050,"PASS","FAIL")</x:f>
        <x:v>PASS</x:v>
      </x:c>
    </x:row>
    <x:row r="2051">
      <x:c r="B2051" s="21" t="str">
        <x:v>C2045</x:v>
      </x:c>
      <x:c r="C2051" s="21" t="str">
        <x:v>technology</x:v>
      </x:c>
      <x:c r="D2051" s="21" t="str">
        <x:v>positive technology allocation row 17</x:v>
      </x:c>
      <x:c r="E2051" s="21" t="n">
        <x:f>IF('Technology Portfolio'!F17&gt;0,1,0)</x:f>
        <x:v>1</x:v>
      </x:c>
      <x:c r="F2051" s="21" t="n">
        <x:v>1</x:v>
      </x:c>
      <x:c r="G2051" s="23" t="str">
        <x:f>IF(E2051=F2051,"PASS","FAIL")</x:f>
        <x:v>PASS</x:v>
      </x:c>
    </x:row>
    <x:row r="2052">
      <x:c r="B2052" s="21" t="str">
        <x:v>C2046</x:v>
      </x:c>
      <x:c r="C2052" s="21" t="str">
        <x:v>technology</x:v>
      </x:c>
      <x:c r="D2052" s="21" t="str">
        <x:v>positive technology allocation row 18</x:v>
      </x:c>
      <x:c r="E2052" s="21" t="n">
        <x:f>IF('Technology Portfolio'!F18&gt;0,1,0)</x:f>
        <x:v>1</x:v>
      </x:c>
      <x:c r="F2052" s="21" t="n">
        <x:v>1</x:v>
      </x:c>
      <x:c r="G2052" s="23" t="str">
        <x:f>IF(E2052=F2052,"PASS","FAIL")</x:f>
        <x:v>PASS</x:v>
      </x:c>
    </x:row>
    <x:row r="2053">
      <x:c r="B2053" s="21" t="str">
        <x:v>C2047</x:v>
      </x:c>
      <x:c r="C2053" s="21" t="str">
        <x:v>technology</x:v>
      </x:c>
      <x:c r="D2053" s="21" t="str">
        <x:v>positive technology allocation row 19</x:v>
      </x:c>
      <x:c r="E2053" s="21" t="n">
        <x:f>IF('Technology Portfolio'!F19&gt;0,1,0)</x:f>
        <x:v>1</x:v>
      </x:c>
      <x:c r="F2053" s="21" t="n">
        <x:v>1</x:v>
      </x:c>
      <x:c r="G2053" s="23" t="str">
        <x:f>IF(E2053=F2053,"PASS","FAIL")</x:f>
        <x:v>PASS</x:v>
      </x:c>
    </x:row>
    <x:row r="2054">
      <x:c r="B2054" s="21" t="str">
        <x:v>C2048</x:v>
      </x:c>
      <x:c r="C2054" s="21" t="str">
        <x:v>technology</x:v>
      </x:c>
      <x:c r="D2054" s="21" t="str">
        <x:v>positive technology allocation row 20</x:v>
      </x:c>
      <x:c r="E2054" s="21" t="n">
        <x:f>IF('Technology Portfolio'!F20&gt;0,1,0)</x:f>
        <x:v>1</x:v>
      </x:c>
      <x:c r="F2054" s="21" t="n">
        <x:v>1</x:v>
      </x:c>
      <x:c r="G2054" s="23" t="str">
        <x:f>IF(E2054=F2054,"PASS","FAIL")</x:f>
        <x:v>PASS</x:v>
      </x:c>
    </x:row>
    <x:row r="2055">
      <x:c r="B2055" s="21" t="str">
        <x:v>C2049</x:v>
      </x:c>
      <x:c r="C2055" s="21" t="str">
        <x:v>technology</x:v>
      </x:c>
      <x:c r="D2055" s="21" t="str">
        <x:v>positive technology allocation row 21</x:v>
      </x:c>
      <x:c r="E2055" s="21" t="n">
        <x:f>IF('Technology Portfolio'!F21&gt;0,1,0)</x:f>
        <x:v>1</x:v>
      </x:c>
      <x:c r="F2055" s="21" t="n">
        <x:v>1</x:v>
      </x:c>
      <x:c r="G2055" s="23" t="str">
        <x:f>IF(E2055=F2055,"PASS","FAIL")</x:f>
        <x:v>PASS</x:v>
      </x:c>
    </x:row>
    <x:row r="2056">
      <x:c r="B2056" s="21" t="str">
        <x:v>C2050</x:v>
      </x:c>
      <x:c r="C2056" s="21" t="str">
        <x:v>technology</x:v>
      </x:c>
      <x:c r="D2056" s="21" t="str">
        <x:v>positive technology allocation row 22</x:v>
      </x:c>
      <x:c r="E2056" s="21" t="n">
        <x:f>IF('Technology Portfolio'!F22&gt;0,1,0)</x:f>
        <x:v>1</x:v>
      </x:c>
      <x:c r="F2056" s="21" t="n">
        <x:v>1</x:v>
      </x:c>
      <x:c r="G2056" s="23" t="str">
        <x:f>IF(E2056=F2056,"PASS","FAIL")</x:f>
        <x:v>PASS</x:v>
      </x:c>
    </x:row>
    <x:row r="2057">
      <x:c r="B2057" s="21" t="str">
        <x:v>C2051</x:v>
      </x:c>
      <x:c r="C2057" s="21" t="str">
        <x:v>technology</x:v>
      </x:c>
      <x:c r="D2057" s="21" t="str">
        <x:v>positive technology allocation row 23</x:v>
      </x:c>
      <x:c r="E2057" s="21" t="n">
        <x:f>IF('Technology Portfolio'!F23&gt;0,1,0)</x:f>
        <x:v>1</x:v>
      </x:c>
      <x:c r="F2057" s="21" t="n">
        <x:v>1</x:v>
      </x:c>
      <x:c r="G2057" s="23" t="str">
        <x:f>IF(E2057=F2057,"PASS","FAIL")</x:f>
        <x:v>PASS</x:v>
      </x:c>
    </x:row>
    <x:row r="2058">
      <x:c r="B2058" s="21" t="str">
        <x:v>C2052</x:v>
      </x:c>
      <x:c r="C2058" s="21" t="str">
        <x:v>technology</x:v>
      </x:c>
      <x:c r="D2058" s="21" t="str">
        <x:v>positive technology allocation row 24</x:v>
      </x:c>
      <x:c r="E2058" s="21" t="n">
        <x:f>IF('Technology Portfolio'!F24&gt;0,1,0)</x:f>
        <x:v>1</x:v>
      </x:c>
      <x:c r="F2058" s="21" t="n">
        <x:v>1</x:v>
      </x:c>
      <x:c r="G2058" s="23" t="str">
        <x:f>IF(E2058=F2058,"PASS","FAIL")</x:f>
        <x:v>PASS</x:v>
      </x:c>
    </x:row>
    <x:row r="2059">
      <x:c r="B2059" s="21" t="str">
        <x:v>C2053</x:v>
      </x:c>
      <x:c r="C2059" s="21" t="str">
        <x:v>technology</x:v>
      </x:c>
      <x:c r="D2059" s="21" t="str">
        <x:v>positive technology allocation row 25</x:v>
      </x:c>
      <x:c r="E2059" s="21" t="n">
        <x:f>IF('Technology Portfolio'!F25&gt;0,1,0)</x:f>
        <x:v>1</x:v>
      </x:c>
      <x:c r="F2059" s="21" t="n">
        <x:v>1</x:v>
      </x:c>
      <x:c r="G2059" s="23" t="str">
        <x:f>IF(E2059=F2059,"PASS","FAIL")</x:f>
        <x:v>PASS</x:v>
      </x:c>
    </x:row>
    <x:row r="2060">
      <x:c r="B2060" s="21" t="str">
        <x:v>C2054</x:v>
      </x:c>
      <x:c r="C2060" s="21" t="str">
        <x:v>technology</x:v>
      </x:c>
      <x:c r="D2060" s="21" t="str">
        <x:v>positive technology allocation row 26</x:v>
      </x:c>
      <x:c r="E2060" s="21" t="n">
        <x:f>IF('Technology Portfolio'!F26&gt;0,1,0)</x:f>
        <x:v>1</x:v>
      </x:c>
      <x:c r="F2060" s="21" t="n">
        <x:v>1</x:v>
      </x:c>
      <x:c r="G2060" s="23" t="str">
        <x:f>IF(E2060=F2060,"PASS","FAIL")</x:f>
        <x:v>PASS</x:v>
      </x:c>
    </x:row>
    <x:row r="2061">
      <x:c r="B2061" s="21" t="str">
        <x:v>C2055</x:v>
      </x:c>
      <x:c r="C2061" s="21" t="str">
        <x:v>technology</x:v>
      </x:c>
      <x:c r="D2061" s="21" t="str">
        <x:v>positive technology allocation row 27</x:v>
      </x:c>
      <x:c r="E2061" s="21" t="n">
        <x:f>IF('Technology Portfolio'!F27&gt;0,1,0)</x:f>
        <x:v>1</x:v>
      </x:c>
      <x:c r="F2061" s="21" t="n">
        <x:v>1</x:v>
      </x:c>
      <x:c r="G2061" s="23" t="str">
        <x:f>IF(E2061=F2061,"PASS","FAIL")</x:f>
        <x:v>PASS</x:v>
      </x:c>
    </x:row>
    <x:row r="2062">
      <x:c r="B2062" s="21" t="str">
        <x:v>C2056</x:v>
      </x:c>
      <x:c r="C2062" s="21" t="str">
        <x:v>technology</x:v>
      </x:c>
      <x:c r="D2062" s="21" t="str">
        <x:v>positive technology allocation row 28</x:v>
      </x:c>
      <x:c r="E2062" s="21" t="n">
        <x:f>IF('Technology Portfolio'!F28&gt;0,1,0)</x:f>
        <x:v>1</x:v>
      </x:c>
      <x:c r="F2062" s="21" t="n">
        <x:v>1</x:v>
      </x:c>
      <x:c r="G2062" s="23" t="str">
        <x:f>IF(E2062=F2062,"PASS","FAIL")</x:f>
        <x:v>PASS</x:v>
      </x:c>
    </x:row>
    <x:row r="2063">
      <x:c r="B2063" s="21" t="str">
        <x:v>C2057</x:v>
      </x:c>
      <x:c r="C2063" s="21" t="str">
        <x:v>technology</x:v>
      </x:c>
      <x:c r="D2063" s="21" t="str">
        <x:v>positive technology allocation row 29</x:v>
      </x:c>
      <x:c r="E2063" s="21" t="n">
        <x:f>IF('Technology Portfolio'!F29&gt;0,1,0)</x:f>
        <x:v>1</x:v>
      </x:c>
      <x:c r="F2063" s="21" t="n">
        <x:v>1</x:v>
      </x:c>
      <x:c r="G2063" s="23" t="str">
        <x:f>IF(E2063=F2063,"PASS","FAIL")</x:f>
        <x:v>PASS</x:v>
      </x:c>
    </x:row>
    <x:row r="2064">
      <x:c r="B2064" s="21" t="str">
        <x:v>C2058</x:v>
      </x:c>
      <x:c r="C2064" s="21" t="str">
        <x:v>technology</x:v>
      </x:c>
      <x:c r="D2064" s="21" t="str">
        <x:v>positive technology allocation row 30</x:v>
      </x:c>
      <x:c r="E2064" s="21" t="n">
        <x:f>IF('Technology Portfolio'!F30&gt;0,1,0)</x:f>
        <x:v>1</x:v>
      </x:c>
      <x:c r="F2064" s="21" t="n">
        <x:v>1</x:v>
      </x:c>
      <x:c r="G2064" s="23" t="str">
        <x:f>IF(E2064=F2064,"PASS","FAIL")</x:f>
        <x:v>PASS</x:v>
      </x:c>
    </x:row>
    <x:row r="2065">
      <x:c r="B2065" s="21" t="str">
        <x:v>C2059</x:v>
      </x:c>
      <x:c r="C2065" s="21" t="str">
        <x:v>facility</x:v>
      </x:c>
      <x:c r="D2065" s="21" t="str">
        <x:v>positive facility sites row 7</x:v>
      </x:c>
      <x:c r="E2065" s="21" t="n">
        <x:f>IF('Facility Program'!D7&gt;0,1,0)</x:f>
        <x:v>1</x:v>
      </x:c>
      <x:c r="F2065" s="21" t="n">
        <x:v>1</x:v>
      </x:c>
      <x:c r="G2065" s="23" t="str">
        <x:f>IF(E2065=F2065,"PASS","FAIL")</x:f>
        <x:v>PASS</x:v>
      </x:c>
    </x:row>
    <x:row r="2066">
      <x:c r="B2066" s="21" t="str">
        <x:v>C2060</x:v>
      </x:c>
      <x:c r="C2066" s="21" t="str">
        <x:v>facility</x:v>
      </x:c>
      <x:c r="D2066" s="21" t="str">
        <x:v>facility capital identity row 7</x:v>
      </x:c>
      <x:c r="E2066" s="21" t="n">
        <x:f>IF(ABS('Facility Program'!F7-'Facility Program'!D7*'Facility Program'!E7)&lt;0.000001,1,0)</x:f>
        <x:v>1</x:v>
      </x:c>
      <x:c r="F2066" s="21" t="n">
        <x:v>1</x:v>
      </x:c>
      <x:c r="G2066" s="23" t="str">
        <x:f>IF(E2066=F2066,"PASS","FAIL")</x:f>
        <x:v>PASS</x:v>
      </x:c>
    </x:row>
    <x:row r="2067">
      <x:c r="B2067" s="21" t="str">
        <x:v>C2061</x:v>
      </x:c>
      <x:c r="C2067" s="21" t="str">
        <x:v>facility</x:v>
      </x:c>
      <x:c r="D2067" s="21" t="str">
        <x:v>positive facility sites row 8</x:v>
      </x:c>
      <x:c r="E2067" s="21" t="n">
        <x:f>IF('Facility Program'!D8&gt;0,1,0)</x:f>
        <x:v>1</x:v>
      </x:c>
      <x:c r="F2067" s="21" t="n">
        <x:v>1</x:v>
      </x:c>
      <x:c r="G2067" s="23" t="str">
        <x:f>IF(E2067=F2067,"PASS","FAIL")</x:f>
        <x:v>PASS</x:v>
      </x:c>
    </x:row>
    <x:row r="2068">
      <x:c r="B2068" s="21" t="str">
        <x:v>C2062</x:v>
      </x:c>
      <x:c r="C2068" s="21" t="str">
        <x:v>facility</x:v>
      </x:c>
      <x:c r="D2068" s="21" t="str">
        <x:v>facility capital identity row 8</x:v>
      </x:c>
      <x:c r="E2068" s="21" t="n">
        <x:f>IF(ABS('Facility Program'!F8-'Facility Program'!D8*'Facility Program'!E8)&lt;0.000001,1,0)</x:f>
        <x:v>1</x:v>
      </x:c>
      <x:c r="F2068" s="21" t="n">
        <x:v>1</x:v>
      </x:c>
      <x:c r="G2068" s="23" t="str">
        <x:f>IF(E2068=F2068,"PASS","FAIL")</x:f>
        <x:v>PASS</x:v>
      </x:c>
    </x:row>
    <x:row r="2069">
      <x:c r="B2069" s="21" t="str">
        <x:v>C2063</x:v>
      </x:c>
      <x:c r="C2069" s="21" t="str">
        <x:v>facility</x:v>
      </x:c>
      <x:c r="D2069" s="21" t="str">
        <x:v>positive facility sites row 9</x:v>
      </x:c>
      <x:c r="E2069" s="21" t="n">
        <x:f>IF('Facility Program'!D9&gt;0,1,0)</x:f>
        <x:v>1</x:v>
      </x:c>
      <x:c r="F2069" s="21" t="n">
        <x:v>1</x:v>
      </x:c>
      <x:c r="G2069" s="23" t="str">
        <x:f>IF(E2069=F2069,"PASS","FAIL")</x:f>
        <x:v>PASS</x:v>
      </x:c>
    </x:row>
    <x:row r="2070">
      <x:c r="B2070" s="21" t="str">
        <x:v>C2064</x:v>
      </x:c>
      <x:c r="C2070" s="21" t="str">
        <x:v>facility</x:v>
      </x:c>
      <x:c r="D2070" s="21" t="str">
        <x:v>facility capital identity row 9</x:v>
      </x:c>
      <x:c r="E2070" s="21" t="n">
        <x:f>IF(ABS('Facility Program'!F9-'Facility Program'!D9*'Facility Program'!E9)&lt;0.000001,1,0)</x:f>
        <x:v>1</x:v>
      </x:c>
      <x:c r="F2070" s="21" t="n">
        <x:v>1</x:v>
      </x:c>
      <x:c r="G2070" s="23" t="str">
        <x:f>IF(E2070=F2070,"PASS","FAIL")</x:f>
        <x:v>PASS</x:v>
      </x:c>
    </x:row>
    <x:row r="2071">
      <x:c r="B2071" s="21" t="str">
        <x:v>C2065</x:v>
      </x:c>
      <x:c r="C2071" s="21" t="str">
        <x:v>facility</x:v>
      </x:c>
      <x:c r="D2071" s="21" t="str">
        <x:v>positive facility sites row 10</x:v>
      </x:c>
      <x:c r="E2071" s="21" t="n">
        <x:f>IF('Facility Program'!D10&gt;0,1,0)</x:f>
        <x:v>1</x:v>
      </x:c>
      <x:c r="F2071" s="21" t="n">
        <x:v>1</x:v>
      </x:c>
      <x:c r="G2071" s="23" t="str">
        <x:f>IF(E2071=F2071,"PASS","FAIL")</x:f>
        <x:v>PASS</x:v>
      </x:c>
    </x:row>
    <x:row r="2072">
      <x:c r="B2072" s="21" t="str">
        <x:v>C2066</x:v>
      </x:c>
      <x:c r="C2072" s="21" t="str">
        <x:v>facility</x:v>
      </x:c>
      <x:c r="D2072" s="21" t="str">
        <x:v>facility capital identity row 10</x:v>
      </x:c>
      <x:c r="E2072" s="21" t="n">
        <x:f>IF(ABS('Facility Program'!F10-'Facility Program'!D10*'Facility Program'!E10)&lt;0.000001,1,0)</x:f>
        <x:v>1</x:v>
      </x:c>
      <x:c r="F2072" s="21" t="n">
        <x:v>1</x:v>
      </x:c>
      <x:c r="G2072" s="23" t="str">
        <x:f>IF(E2072=F2072,"PASS","FAIL")</x:f>
        <x:v>PASS</x:v>
      </x:c>
    </x:row>
    <x:row r="2073">
      <x:c r="B2073" s="21" t="str">
        <x:v>C2067</x:v>
      </x:c>
      <x:c r="C2073" s="21" t="str">
        <x:v>facility</x:v>
      </x:c>
      <x:c r="D2073" s="21" t="str">
        <x:v>positive facility sites row 11</x:v>
      </x:c>
      <x:c r="E2073" s="21" t="n">
        <x:f>IF('Facility Program'!D11&gt;0,1,0)</x:f>
        <x:v>1</x:v>
      </x:c>
      <x:c r="F2073" s="21" t="n">
        <x:v>1</x:v>
      </x:c>
      <x:c r="G2073" s="23" t="str">
        <x:f>IF(E2073=F2073,"PASS","FAIL")</x:f>
        <x:v>PASS</x:v>
      </x:c>
    </x:row>
    <x:row r="2074">
      <x:c r="B2074" s="21" t="str">
        <x:v>C2068</x:v>
      </x:c>
      <x:c r="C2074" s="21" t="str">
        <x:v>facility</x:v>
      </x:c>
      <x:c r="D2074" s="21" t="str">
        <x:v>facility capital identity row 11</x:v>
      </x:c>
      <x:c r="E2074" s="21" t="n">
        <x:f>IF(ABS('Facility Program'!F11-'Facility Program'!D11*'Facility Program'!E11)&lt;0.000001,1,0)</x:f>
        <x:v>1</x:v>
      </x:c>
      <x:c r="F2074" s="21" t="n">
        <x:v>1</x:v>
      </x:c>
      <x:c r="G2074" s="23" t="str">
        <x:f>IF(E2074=F2074,"PASS","FAIL")</x:f>
        <x:v>PASS</x:v>
      </x:c>
    </x:row>
    <x:row r="2075">
      <x:c r="B2075" s="21" t="str">
        <x:v>C2069</x:v>
      </x:c>
      <x:c r="C2075" s="21" t="str">
        <x:v>facility</x:v>
      </x:c>
      <x:c r="D2075" s="21" t="str">
        <x:v>positive facility sites row 12</x:v>
      </x:c>
      <x:c r="E2075" s="21" t="n">
        <x:f>IF('Facility Program'!D12&gt;0,1,0)</x:f>
        <x:v>1</x:v>
      </x:c>
      <x:c r="F2075" s="21" t="n">
        <x:v>1</x:v>
      </x:c>
      <x:c r="G2075" s="23" t="str">
        <x:f>IF(E2075=F2075,"PASS","FAIL")</x:f>
        <x:v>PASS</x:v>
      </x:c>
    </x:row>
    <x:row r="2076">
      <x:c r="B2076" s="21" t="str">
        <x:v>C2070</x:v>
      </x:c>
      <x:c r="C2076" s="21" t="str">
        <x:v>facility</x:v>
      </x:c>
      <x:c r="D2076" s="21" t="str">
        <x:v>facility capital identity row 12</x:v>
      </x:c>
      <x:c r="E2076" s="21" t="n">
        <x:f>IF(ABS('Facility Program'!F12-'Facility Program'!D12*'Facility Program'!E12)&lt;0.000001,1,0)</x:f>
        <x:v>1</x:v>
      </x:c>
      <x:c r="F2076" s="21" t="n">
        <x:v>1</x:v>
      </x:c>
      <x:c r="G2076" s="23" t="str">
        <x:f>IF(E2076=F2076,"PASS","FAIL")</x:f>
        <x:v>PASS</x:v>
      </x:c>
    </x:row>
    <x:row r="2077">
      <x:c r="B2077" s="21" t="str">
        <x:v>C2071</x:v>
      </x:c>
      <x:c r="C2077" s="21" t="str">
        <x:v>facility</x:v>
      </x:c>
      <x:c r="D2077" s="21" t="str">
        <x:v>positive facility sites row 13</x:v>
      </x:c>
      <x:c r="E2077" s="21" t="n">
        <x:f>IF('Facility Program'!D13&gt;0,1,0)</x:f>
        <x:v>1</x:v>
      </x:c>
      <x:c r="F2077" s="21" t="n">
        <x:v>1</x:v>
      </x:c>
      <x:c r="G2077" s="23" t="str">
        <x:f>IF(E2077=F2077,"PASS","FAIL")</x:f>
        <x:v>PASS</x:v>
      </x:c>
    </x:row>
    <x:row r="2078">
      <x:c r="B2078" s="21" t="str">
        <x:v>C2072</x:v>
      </x:c>
      <x:c r="C2078" s="21" t="str">
        <x:v>facility</x:v>
      </x:c>
      <x:c r="D2078" s="21" t="str">
        <x:v>facility capital identity row 13</x:v>
      </x:c>
      <x:c r="E2078" s="21" t="n">
        <x:f>IF(ABS('Facility Program'!F13-'Facility Program'!D13*'Facility Program'!E13)&lt;0.000001,1,0)</x:f>
        <x:v>1</x:v>
      </x:c>
      <x:c r="F2078" s="21" t="n">
        <x:v>1</x:v>
      </x:c>
      <x:c r="G2078" s="23" t="str">
        <x:f>IF(E2078=F2078,"PASS","FAIL")</x:f>
        <x:v>PASS</x:v>
      </x:c>
    </x:row>
    <x:row r="2079">
      <x:c r="B2079" s="21" t="str">
        <x:v>C2073</x:v>
      </x:c>
      <x:c r="C2079" s="21" t="str">
        <x:v>facility</x:v>
      </x:c>
      <x:c r="D2079" s="21" t="str">
        <x:v>positive facility sites row 14</x:v>
      </x:c>
      <x:c r="E2079" s="21" t="n">
        <x:f>IF('Facility Program'!D14&gt;0,1,0)</x:f>
        <x:v>1</x:v>
      </x:c>
      <x:c r="F2079" s="21" t="n">
        <x:v>1</x:v>
      </x:c>
      <x:c r="G2079" s="23" t="str">
        <x:f>IF(E2079=F2079,"PASS","FAIL")</x:f>
        <x:v>PASS</x:v>
      </x:c>
    </x:row>
    <x:row r="2080">
      <x:c r="B2080" s="21" t="str">
        <x:v>C2074</x:v>
      </x:c>
      <x:c r="C2080" s="21" t="str">
        <x:v>facility</x:v>
      </x:c>
      <x:c r="D2080" s="21" t="str">
        <x:v>facility capital identity row 14</x:v>
      </x:c>
      <x:c r="E2080" s="21" t="n">
        <x:f>IF(ABS('Facility Program'!F14-'Facility Program'!D14*'Facility Program'!E14)&lt;0.000001,1,0)</x:f>
        <x:v>1</x:v>
      </x:c>
      <x:c r="F2080" s="21" t="n">
        <x:v>1</x:v>
      </x:c>
      <x:c r="G2080" s="23" t="str">
        <x:f>IF(E2080=F2080,"PASS","FAIL")</x:f>
        <x:v>PASS</x:v>
      </x:c>
    </x:row>
    <x:row r="2081">
      <x:c r="B2081" s="21" t="str">
        <x:v>C2075</x:v>
      </x:c>
      <x:c r="C2081" s="21" t="str">
        <x:v>decision gate</x:v>
      </x:c>
      <x:c r="D2081" s="21" t="str">
        <x:v>zero unearned credit row 7</x:v>
      </x:c>
      <x:c r="E2081" s="21" t="n">
        <x:f>IF('Decision Gates'!I7=0,1,0)</x:f>
        <x:v>1</x:v>
      </x:c>
      <x:c r="F2081" s="21" t="n">
        <x:v>1</x:v>
      </x:c>
      <x:c r="G2081" s="23" t="str">
        <x:f>IF(E2081=F2081,"PASS","FAIL")</x:f>
        <x:v>PASS</x:v>
      </x:c>
    </x:row>
    <x:row r="2082">
      <x:c r="B2082" s="21" t="str">
        <x:v>C2076</x:v>
      </x:c>
      <x:c r="C2082" s="21" t="str">
        <x:v>decision gate</x:v>
      </x:c>
      <x:c r="D2082" s="21" t="str">
        <x:v>zero unearned credit row 8</x:v>
      </x:c>
      <x:c r="E2082" s="21" t="n">
        <x:f>IF('Decision Gates'!I8=0,1,0)</x:f>
        <x:v>1</x:v>
      </x:c>
      <x:c r="F2082" s="21" t="n">
        <x:v>1</x:v>
      </x:c>
      <x:c r="G2082" s="23" t="str">
        <x:f>IF(E2082=F2082,"PASS","FAIL")</x:f>
        <x:v>PASS</x:v>
      </x:c>
    </x:row>
    <x:row r="2083">
      <x:c r="B2083" s="21" t="str">
        <x:v>C2077</x:v>
      </x:c>
      <x:c r="C2083" s="21" t="str">
        <x:v>decision gate</x:v>
      </x:c>
      <x:c r="D2083" s="21" t="str">
        <x:v>zero unearned credit row 9</x:v>
      </x:c>
      <x:c r="E2083" s="21" t="n">
        <x:f>IF('Decision Gates'!I9=0,1,0)</x:f>
        <x:v>1</x:v>
      </x:c>
      <x:c r="F2083" s="21" t="n">
        <x:v>1</x:v>
      </x:c>
      <x:c r="G2083" s="23" t="str">
        <x:f>IF(E2083=F2083,"PASS","FAIL")</x:f>
        <x:v>PASS</x:v>
      </x:c>
    </x:row>
    <x:row r="2084">
      <x:c r="B2084" s="21" t="str">
        <x:v>C2078</x:v>
      </x:c>
      <x:c r="C2084" s="21" t="str">
        <x:v>decision gate</x:v>
      </x:c>
      <x:c r="D2084" s="21" t="str">
        <x:v>zero unearned credit row 10</x:v>
      </x:c>
      <x:c r="E2084" s="21" t="n">
        <x:f>IF('Decision Gates'!I10=0,1,0)</x:f>
        <x:v>1</x:v>
      </x:c>
      <x:c r="F2084" s="21" t="n">
        <x:v>1</x:v>
      </x:c>
      <x:c r="G2084" s="23" t="str">
        <x:f>IF(E2084=F2084,"PASS","FAIL")</x:f>
        <x:v>PASS</x:v>
      </x:c>
    </x:row>
    <x:row r="2085">
      <x:c r="B2085" s="21" t="str">
        <x:v>C2079</x:v>
      </x:c>
      <x:c r="C2085" s="21" t="str">
        <x:v>decision gate</x:v>
      </x:c>
      <x:c r="D2085" s="21" t="str">
        <x:v>zero unearned credit row 11</x:v>
      </x:c>
      <x:c r="E2085" s="21" t="n">
        <x:f>IF('Decision Gates'!I11=0,1,0)</x:f>
        <x:v>1</x:v>
      </x:c>
      <x:c r="F2085" s="21" t="n">
        <x:v>1</x:v>
      </x:c>
      <x:c r="G2085" s="23" t="str">
        <x:f>IF(E2085=F2085,"PASS","FAIL")</x:f>
        <x:v>PASS</x:v>
      </x:c>
    </x:row>
    <x:row r="2086">
      <x:c r="B2086" s="21" t="str">
        <x:v>C2080</x:v>
      </x:c>
      <x:c r="C2086" s="21" t="str">
        <x:v>decision gate</x:v>
      </x:c>
      <x:c r="D2086" s="21" t="str">
        <x:v>zero unearned credit row 12</x:v>
      </x:c>
      <x:c r="E2086" s="21" t="n">
        <x:f>IF('Decision Gates'!I12=0,1,0)</x:f>
        <x:v>1</x:v>
      </x:c>
      <x:c r="F2086" s="21" t="n">
        <x:v>1</x:v>
      </x:c>
      <x:c r="G2086" s="23" t="str">
        <x:f>IF(E2086=F2086,"PASS","FAIL")</x:f>
        <x:v>PASS</x:v>
      </x:c>
    </x:row>
    <x:row r="2087">
      <x:c r="B2087" s="21" t="str">
        <x:v>C2081</x:v>
      </x:c>
      <x:c r="C2087" s="21" t="str">
        <x:v>decision gate</x:v>
      </x:c>
      <x:c r="D2087" s="21" t="str">
        <x:v>zero unearned credit row 13</x:v>
      </x:c>
      <x:c r="E2087" s="21" t="n">
        <x:f>IF('Decision Gates'!I13=0,1,0)</x:f>
        <x:v>1</x:v>
      </x:c>
      <x:c r="F2087" s="21" t="n">
        <x:v>1</x:v>
      </x:c>
      <x:c r="G2087" s="23" t="str">
        <x:f>IF(E2087=F2087,"PASS","FAIL")</x:f>
        <x:v>PASS</x:v>
      </x:c>
    </x:row>
    <x:row r="2088">
      <x:c r="B2088" s="21" t="str">
        <x:v>C2082</x:v>
      </x:c>
      <x:c r="C2088" s="21" t="str">
        <x:v>decision gate</x:v>
      </x:c>
      <x:c r="D2088" s="21" t="str">
        <x:v>zero unearned credit row 14</x:v>
      </x:c>
      <x:c r="E2088" s="21" t="n">
        <x:f>IF('Decision Gates'!I14=0,1,0)</x:f>
        <x:v>1</x:v>
      </x:c>
      <x:c r="F2088" s="21" t="n">
        <x:v>1</x:v>
      </x:c>
      <x:c r="G2088" s="23" t="str">
        <x:f>IF(E2088=F2088,"PASS","FAIL")</x:f>
        <x:v>PASS</x:v>
      </x:c>
    </x:row>
    <x:row r="2089">
      <x:c r="B2089" s="21" t="str">
        <x:v>C2083</x:v>
      </x:c>
      <x:c r="C2089" s="21" t="str">
        <x:v>decision gate</x:v>
      </x:c>
      <x:c r="D2089" s="21" t="str">
        <x:v>zero unearned credit row 15</x:v>
      </x:c>
      <x:c r="E2089" s="21" t="n">
        <x:f>IF('Decision Gates'!I15=0,1,0)</x:f>
        <x:v>1</x:v>
      </x:c>
      <x:c r="F2089" s="21" t="n">
        <x:v>1</x:v>
      </x:c>
      <x:c r="G2089" s="23" t="str">
        <x:f>IF(E2089=F2089,"PASS","FAIL")</x:f>
        <x:v>PASS</x:v>
      </x:c>
    </x:row>
    <x:row r="2090">
      <x:c r="B2090" s="21" t="str">
        <x:v>C2084</x:v>
      </x:c>
      <x:c r="C2090" s="21" t="str">
        <x:v>decision gate</x:v>
      </x:c>
      <x:c r="D2090" s="21" t="str">
        <x:v>zero unearned credit row 16</x:v>
      </x:c>
      <x:c r="E2090" s="21" t="n">
        <x:f>IF('Decision Gates'!I16=0,1,0)</x:f>
        <x:v>1</x:v>
      </x:c>
      <x:c r="F2090" s="21" t="n">
        <x:v>1</x:v>
      </x:c>
      <x:c r="G2090" s="23" t="str">
        <x:f>IF(E2090=F2090,"PASS","FAIL")</x:f>
        <x:v>PASS</x:v>
      </x:c>
    </x:row>
    <x:row r="2091">
      <x:c r="B2091" s="21" t="str">
        <x:v>C2085</x:v>
      </x:c>
      <x:c r="C2091" s="21" t="str">
        <x:v>decision gate</x:v>
      </x:c>
      <x:c r="D2091" s="21" t="str">
        <x:v>zero unearned credit row 17</x:v>
      </x:c>
      <x:c r="E2091" s="21" t="n">
        <x:f>IF('Decision Gates'!I17=0,1,0)</x:f>
        <x:v>1</x:v>
      </x:c>
      <x:c r="F2091" s="21" t="n">
        <x:v>1</x:v>
      </x:c>
      <x:c r="G2091" s="23" t="str">
        <x:f>IF(E2091=F2091,"PASS","FAIL")</x:f>
        <x:v>PASS</x:v>
      </x:c>
    </x:row>
    <x:row r="2092">
      <x:c r="B2092" s="21" t="str">
        <x:v>C2086</x:v>
      </x:c>
      <x:c r="C2092" s="21" t="str">
        <x:v>decision gate</x:v>
      </x:c>
      <x:c r="D2092" s="21" t="str">
        <x:v>zero unearned credit row 18</x:v>
      </x:c>
      <x:c r="E2092" s="21" t="n">
        <x:f>IF('Decision Gates'!I18=0,1,0)</x:f>
        <x:v>1</x:v>
      </x:c>
      <x:c r="F2092" s="21" t="n">
        <x:v>1</x:v>
      </x:c>
      <x:c r="G2092" s="23" t="str">
        <x:f>IF(E2092=F2092,"PASS","FAIL")</x:f>
        <x:v>PASS</x:v>
      </x:c>
    </x:row>
    <x:row r="2093">
      <x:c r="B2093" s="21" t="str">
        <x:v>C2087</x:v>
      </x:c>
      <x:c r="C2093" s="21" t="str">
        <x:v>decision gate</x:v>
      </x:c>
      <x:c r="D2093" s="21" t="str">
        <x:v>zero unearned credit row 19</x:v>
      </x:c>
      <x:c r="E2093" s="21" t="n">
        <x:f>IF('Decision Gates'!I19=0,1,0)</x:f>
        <x:v>1</x:v>
      </x:c>
      <x:c r="F2093" s="21" t="n">
        <x:v>1</x:v>
      </x:c>
      <x:c r="G2093" s="23" t="str">
        <x:f>IF(E2093=F2093,"PASS","FAIL")</x:f>
        <x:v>PASS</x:v>
      </x:c>
    </x:row>
    <x:row r="2094">
      <x:c r="B2094" s="21" t="str">
        <x:v>C2088</x:v>
      </x:c>
      <x:c r="C2094" s="21" t="str">
        <x:v>decision gate</x:v>
      </x:c>
      <x:c r="D2094" s="21" t="str">
        <x:v>zero unearned credit row 20</x:v>
      </x:c>
      <x:c r="E2094" s="21" t="n">
        <x:f>IF('Decision Gates'!I20=0,1,0)</x:f>
        <x:v>1</x:v>
      </x:c>
      <x:c r="F2094" s="21" t="n">
        <x:v>1</x:v>
      </x:c>
      <x:c r="G2094" s="23" t="str">
        <x:f>IF(E2094=F2094,"PASS","FAIL")</x:f>
        <x:v>PASS</x:v>
      </x:c>
    </x:row>
    <x:row r="2095">
      <x:c r="B2095" s="21" t="str">
        <x:v>C2089</x:v>
      </x:c>
      <x:c r="C2095" s="21" t="str">
        <x:v>decision gate</x:v>
      </x:c>
      <x:c r="D2095" s="21" t="str">
        <x:v>zero unearned credit row 21</x:v>
      </x:c>
      <x:c r="E2095" s="21" t="n">
        <x:f>IF('Decision Gates'!I21=0,1,0)</x:f>
        <x:v>1</x:v>
      </x:c>
      <x:c r="F2095" s="21" t="n">
        <x:v>1</x:v>
      </x:c>
      <x:c r="G2095" s="23" t="str">
        <x:f>IF(E2095=F2095,"PASS","FAIL")</x:f>
        <x:v>PASS</x:v>
      </x:c>
    </x:row>
    <x:row r="2096">
      <x:c r="B2096" s="21" t="str">
        <x:v>C2090</x:v>
      </x:c>
      <x:c r="C2096" s="21" t="str">
        <x:v>decision gate</x:v>
      </x:c>
      <x:c r="D2096" s="21" t="str">
        <x:v>zero unearned credit row 22</x:v>
      </x:c>
      <x:c r="E2096" s="21" t="n">
        <x:f>IF('Decision Gates'!I22=0,1,0)</x:f>
        <x:v>1</x:v>
      </x:c>
      <x:c r="F2096" s="21" t="n">
        <x:v>1</x:v>
      </x:c>
      <x:c r="G2096" s="23" t="str">
        <x:f>IF(E2096=F2096,"PASS","FAIL")</x:f>
        <x:v>PASS</x:v>
      </x:c>
    </x:row>
    <x:row r="2097">
      <x:c r="B2097" s="21" t="str">
        <x:v>C2091</x:v>
      </x:c>
      <x:c r="C2097" s="21" t="str">
        <x:v>decision gate</x:v>
      </x:c>
      <x:c r="D2097" s="21" t="str">
        <x:v>zero unearned credit row 23</x:v>
      </x:c>
      <x:c r="E2097" s="21" t="n">
        <x:f>IF('Decision Gates'!I23=0,1,0)</x:f>
        <x:v>1</x:v>
      </x:c>
      <x:c r="F2097" s="21" t="n">
        <x:v>1</x:v>
      </x:c>
      <x:c r="G2097" s="23" t="str">
        <x:f>IF(E2097=F2097,"PASS","FAIL")</x:f>
        <x:v>PASS</x:v>
      </x:c>
    </x:row>
    <x:row r="2098">
      <x:c r="B2098" s="21" t="str">
        <x:v>C2092</x:v>
      </x:c>
      <x:c r="C2098" s="21" t="str">
        <x:v>decision gate</x:v>
      </x:c>
      <x:c r="D2098" s="21" t="str">
        <x:v>zero unearned credit row 24</x:v>
      </x:c>
      <x:c r="E2098" s="21" t="n">
        <x:f>IF('Decision Gates'!I24=0,1,0)</x:f>
        <x:v>1</x:v>
      </x:c>
      <x:c r="F2098" s="21" t="n">
        <x:v>1</x:v>
      </x:c>
      <x:c r="G2098" s="23" t="str">
        <x:f>IF(E2098=F2098,"PASS","FAIL")</x:f>
        <x:v>PASS</x:v>
      </x:c>
    </x:row>
    <x:row r="2099">
      <x:c r="B2099" s="21" t="str">
        <x:v>C2093</x:v>
      </x:c>
      <x:c r="C2099" s="21" t="str">
        <x:v>decision gate</x:v>
      </x:c>
      <x:c r="D2099" s="21" t="str">
        <x:v>zero unearned credit row 25</x:v>
      </x:c>
      <x:c r="E2099" s="21" t="n">
        <x:f>IF('Decision Gates'!I25=0,1,0)</x:f>
        <x:v>1</x:v>
      </x:c>
      <x:c r="F2099" s="21" t="n">
        <x:v>1</x:v>
      </x:c>
      <x:c r="G2099" s="23" t="str">
        <x:f>IF(E2099=F2099,"PASS","FAIL")</x:f>
        <x:v>PASS</x:v>
      </x:c>
    </x:row>
    <x:row r="2100">
      <x:c r="B2100" s="21" t="str">
        <x:v>C2094</x:v>
      </x:c>
      <x:c r="C2100" s="21" t="str">
        <x:v>decision gate</x:v>
      </x:c>
      <x:c r="D2100" s="21" t="str">
        <x:v>zero unearned credit row 26</x:v>
      </x:c>
      <x:c r="E2100" s="21" t="n">
        <x:f>IF('Decision Gates'!I26=0,1,0)</x:f>
        <x:v>1</x:v>
      </x:c>
      <x:c r="F2100" s="21" t="n">
        <x:v>1</x:v>
      </x:c>
      <x:c r="G2100" s="23" t="str">
        <x:f>IF(E2100=F2100,"PASS","FAIL")</x:f>
        <x:v>PASS</x:v>
      </x:c>
    </x:row>
    <x:row r="2101">
      <x:c r="B2101" s="21" t="str">
        <x:v>C2095</x:v>
      </x:c>
      <x:c r="C2101" s="21" t="str">
        <x:v>decision gate</x:v>
      </x:c>
      <x:c r="D2101" s="21" t="str">
        <x:v>zero unearned credit row 27</x:v>
      </x:c>
      <x:c r="E2101" s="21" t="n">
        <x:f>IF('Decision Gates'!I27=0,1,0)</x:f>
        <x:v>1</x:v>
      </x:c>
      <x:c r="F2101" s="21" t="n">
        <x:v>1</x:v>
      </x:c>
      <x:c r="G2101" s="23" t="str">
        <x:f>IF(E2101=F2101,"PASS","FAIL")</x:f>
        <x:v>PASS</x:v>
      </x:c>
    </x:row>
    <x:row r="2102">
      <x:c r="B2102" s="21" t="str">
        <x:v>C2096</x:v>
      </x:c>
      <x:c r="C2102" s="21" t="str">
        <x:v>decision gate</x:v>
      </x:c>
      <x:c r="D2102" s="21" t="str">
        <x:v>zero unearned credit row 28</x:v>
      </x:c>
      <x:c r="E2102" s="21" t="n">
        <x:f>IF('Decision Gates'!I28=0,1,0)</x:f>
        <x:v>1</x:v>
      </x:c>
      <x:c r="F2102" s="21" t="n">
        <x:v>1</x:v>
      </x:c>
      <x:c r="G2102" s="23" t="str">
        <x:f>IF(E2102=F2102,"PASS","FAIL")</x:f>
        <x:v>PASS</x:v>
      </x:c>
    </x:row>
    <x:row r="2103">
      <x:c r="B2103" s="21" t="str">
        <x:v>C2097</x:v>
      </x:c>
      <x:c r="C2103" s="21" t="str">
        <x:v>decision gate</x:v>
      </x:c>
      <x:c r="D2103" s="21" t="str">
        <x:v>zero unearned credit row 29</x:v>
      </x:c>
      <x:c r="E2103" s="21" t="n">
        <x:f>IF('Decision Gates'!I29=0,1,0)</x:f>
        <x:v>1</x:v>
      </x:c>
      <x:c r="F2103" s="21" t="n">
        <x:v>1</x:v>
      </x:c>
      <x:c r="G2103" s="23" t="str">
        <x:f>IF(E2103=F2103,"PASS","FAIL")</x:f>
        <x:v>PASS</x:v>
      </x:c>
    </x:row>
    <x:row r="2104">
      <x:c r="B2104" s="21" t="str">
        <x:v>C2098</x:v>
      </x:c>
      <x:c r="C2104" s="21" t="str">
        <x:v>decision gate</x:v>
      </x:c>
      <x:c r="D2104" s="21" t="str">
        <x:v>zero unearned credit row 30</x:v>
      </x:c>
      <x:c r="E2104" s="21" t="n">
        <x:f>IF('Decision Gates'!I30=0,1,0)</x:f>
        <x:v>1</x:v>
      </x:c>
      <x:c r="F2104" s="21" t="n">
        <x:v>1</x:v>
      </x:c>
      <x:c r="G2104" s="23" t="str">
        <x:f>IF(E2104=F2104,"PASS","FAIL")</x:f>
        <x:v>PASS</x:v>
      </x:c>
    </x:row>
    <x:row r="2105">
      <x:c r="B2105" s="21" t="str">
        <x:v>C2099</x:v>
      </x:c>
      <x:c r="C2105" s="21" t="str">
        <x:v>decision gate</x:v>
      </x:c>
      <x:c r="D2105" s="21" t="str">
        <x:v>zero unearned credit row 31</x:v>
      </x:c>
      <x:c r="E2105" s="21" t="n">
        <x:f>IF('Decision Gates'!I31=0,1,0)</x:f>
        <x:v>1</x:v>
      </x:c>
      <x:c r="F2105" s="21" t="n">
        <x:v>1</x:v>
      </x:c>
      <x:c r="G2105" s="23" t="str">
        <x:f>IF(E2105=F2105,"PASS","FAIL")</x:f>
        <x:v>PASS</x:v>
      </x:c>
    </x:row>
    <x:row r="2106">
      <x:c r="B2106" s="21" t="str">
        <x:v>C2100</x:v>
      </x:c>
      <x:c r="C2106" s="21" t="str">
        <x:v>decision gate</x:v>
      </x:c>
      <x:c r="D2106" s="21" t="str">
        <x:v>zero unearned credit row 32</x:v>
      </x:c>
      <x:c r="E2106" s="21" t="n">
        <x:f>IF('Decision Gates'!I32=0,1,0)</x:f>
        <x:v>1</x:v>
      </x:c>
      <x:c r="F2106" s="21" t="n">
        <x:v>1</x:v>
      </x:c>
      <x:c r="G2106" s="23" t="str">
        <x:f>IF(E2106=F2106,"PASS","FAIL")</x:f>
        <x:v>PASS</x:v>
      </x:c>
    </x:row>
    <x:row r="2107">
      <x:c r="B2107" s="21" t="str">
        <x:v>C2101</x:v>
      </x:c>
      <x:c r="C2107" s="21" t="str">
        <x:v>decision gate</x:v>
      </x:c>
      <x:c r="D2107" s="21" t="str">
        <x:v>zero unearned credit row 33</x:v>
      </x:c>
      <x:c r="E2107" s="21" t="n">
        <x:f>IF('Decision Gates'!I33=0,1,0)</x:f>
        <x:v>1</x:v>
      </x:c>
      <x:c r="F2107" s="21" t="n">
        <x:v>1</x:v>
      </x:c>
      <x:c r="G2107" s="23" t="str">
        <x:f>IF(E2107=F2107,"PASS","FAIL")</x:f>
        <x:v>PASS</x:v>
      </x:c>
    </x:row>
    <x:row r="2108">
      <x:c r="B2108" s="21" t="str">
        <x:v>C2102</x:v>
      </x:c>
      <x:c r="C2108" s="21" t="str">
        <x:v>decision gate</x:v>
      </x:c>
      <x:c r="D2108" s="21" t="str">
        <x:v>zero unearned credit row 34</x:v>
      </x:c>
      <x:c r="E2108" s="21" t="n">
        <x:f>IF('Decision Gates'!I34=0,1,0)</x:f>
        <x:v>1</x:v>
      </x:c>
      <x:c r="F2108" s="21" t="n">
        <x:v>1</x:v>
      </x:c>
      <x:c r="G2108" s="23" t="str">
        <x:f>IF(E2108=F2108,"PASS","FAIL")</x:f>
        <x:v>PASS</x:v>
      </x:c>
    </x:row>
    <x:row r="2109">
      <x:c r="B2109" s="21" t="str">
        <x:v>C2103</x:v>
      </x:c>
      <x:c r="C2109" s="21" t="str">
        <x:v>decision gate</x:v>
      </x:c>
      <x:c r="D2109" s="21" t="str">
        <x:v>zero unearned credit row 35</x:v>
      </x:c>
      <x:c r="E2109" s="21" t="n">
        <x:f>IF('Decision Gates'!I35=0,1,0)</x:f>
        <x:v>1</x:v>
      </x:c>
      <x:c r="F2109" s="21" t="n">
        <x:v>1</x:v>
      </x:c>
      <x:c r="G2109" s="23" t="str">
        <x:f>IF(E2109=F2109,"PASS","FAIL")</x:f>
        <x:v>PASS</x:v>
      </x:c>
    </x:row>
    <x:row r="2110">
      <x:c r="B2110" s="21" t="str">
        <x:v>C2104</x:v>
      </x:c>
      <x:c r="C2110" s="21" t="str">
        <x:v>decision gate</x:v>
      </x:c>
      <x:c r="D2110" s="21" t="str">
        <x:v>zero unearned credit row 36</x:v>
      </x:c>
      <x:c r="E2110" s="21" t="n">
        <x:f>IF('Decision Gates'!I36=0,1,0)</x:f>
        <x:v>1</x:v>
      </x:c>
      <x:c r="F2110" s="21" t="n">
        <x:v>1</x:v>
      </x:c>
      <x:c r="G2110" s="23" t="str">
        <x:f>IF(E2110=F2110,"PASS","FAIL")</x:f>
        <x:v>PASS</x:v>
      </x:c>
    </x:row>
    <x:row r="2111">
      <x:c r="B2111" s="21" t="str">
        <x:v>C2105</x:v>
      </x:c>
      <x:c r="C2111" s="21" t="str">
        <x:v>global</x:v>
      </x:c>
      <x:c r="D2111" s="21" t="str">
        <x:v>family count</x:v>
      </x:c>
      <x:c r="E2111" s="21" t="n">
        <x:f>IF(COUNTA('Full Force'!B7:B54)=48,1,0)</x:f>
        <x:v>1</x:v>
      </x:c>
      <x:c r="F2111" s="21" t="n">
        <x:v>1</x:v>
      </x:c>
      <x:c r="G2111" s="23" t="str">
        <x:f>IF(E2111=F2111,"PASS","FAIL")</x:f>
        <x:v>PASS</x:v>
      </x:c>
    </x:row>
    <x:row r="2112">
      <x:c r="B2112" s="21" t="str">
        <x:v>C2106</x:v>
      </x:c>
      <x:c r="C2112" s="21" t="str">
        <x:v>global</x:v>
      </x:c>
      <x:c r="D2112" s="21" t="str">
        <x:v>gap-family count</x:v>
      </x:c>
      <x:c r="E2112" s="21" t="n">
        <x:f>IF(COUNTA('Family Results'!B7:B28)=22,1,0)</x:f>
        <x:v>1</x:v>
      </x:c>
      <x:c r="F2112" s="21" t="n">
        <x:v>1</x:v>
      </x:c>
      <x:c r="G2112" s="23" t="str">
        <x:f>IF(E2112=F2112,"PASS","FAIL")</x:f>
        <x:v>PASS</x:v>
      </x:c>
    </x:row>
    <x:row r="2113">
      <x:c r="B2113" s="21" t="str">
        <x:v>C2107</x:v>
      </x:c>
      <x:c r="C2113" s="21" t="str">
        <x:v>global</x:v>
      </x:c>
      <x:c r="D2113" s="21" t="str">
        <x:v>stage-record count</x:v>
      </x:c>
      <x:c r="E2113" s="21" t="n">
        <x:f>IF(COUNTA('Stage Build'!B7:B270)=264,1,0)</x:f>
        <x:v>1</x:v>
      </x:c>
      <x:c r="F2113" s="21" t="n">
        <x:v>1</x:v>
      </x:c>
      <x:c r="G2113" s="23" t="str">
        <x:f>IF(E2113=F2113,"PASS","FAIL")</x:f>
        <x:v>PASS</x:v>
      </x:c>
    </x:row>
    <x:row r="2114">
      <x:c r="B2114" s="21" t="str">
        <x:v>C2108</x:v>
      </x:c>
      <x:c r="C2114" s="21" t="str">
        <x:v>global</x:v>
      </x:c>
      <x:c r="D2114" s="21" t="str">
        <x:v>reserve-record count</x:v>
      </x:c>
      <x:c r="E2114" s="21" t="n">
        <x:f>IF(COUNTA('Reserve Ledger'!B7:B102)=96,1,0)</x:f>
        <x:v>1</x:v>
      </x:c>
      <x:c r="F2114" s="21" t="n">
        <x:v>1</x:v>
      </x:c>
      <x:c r="G2114" s="23" t="str">
        <x:f>IF(E2114=F2114,"PASS","FAIL")</x:f>
        <x:v>PASS</x:v>
      </x:c>
    </x:row>
    <x:row r="2115">
      <x:c r="B2115" s="21" t="str">
        <x:v>C2109</x:v>
      </x:c>
      <x:c r="C2115" s="21" t="str">
        <x:v>global</x:v>
      </x:c>
      <x:c r="D2115" s="21" t="str">
        <x:v>technology-campaign count</x:v>
      </x:c>
      <x:c r="E2115" s="21" t="n">
        <x:f>IF(COUNTA('Technology Portfolio'!B7:B30)=24,1,0)</x:f>
        <x:v>1</x:v>
      </x:c>
      <x:c r="F2115" s="21" t="n">
        <x:v>1</x:v>
      </x:c>
      <x:c r="G2115" s="23" t="str">
        <x:f>IF(E2115=F2115,"PASS","FAIL")</x:f>
        <x:v>PASS</x:v>
      </x:c>
    </x:row>
    <x:row r="2116">
      <x:c r="B2116" s="21" t="str">
        <x:v>C2110</x:v>
      </x:c>
      <x:c r="C2116" s="21" t="str">
        <x:v>global</x:v>
      </x:c>
      <x:c r="D2116" s="21" t="str">
        <x:v>facility-program count</x:v>
      </x:c>
      <x:c r="E2116" s="21" t="n">
        <x:f>IF(COUNTA('Facility Program'!B7:B14)=8,1,0)</x:f>
        <x:v>1</x:v>
      </x:c>
      <x:c r="F2116" s="21" t="n">
        <x:v>1</x:v>
      </x:c>
      <x:c r="G2116" s="23" t="str">
        <x:f>IF(E2116=F2116,"PASS","FAIL")</x:f>
        <x:v>PASS</x:v>
      </x:c>
    </x:row>
    <x:row r="2117">
      <x:c r="B2117" s="21" t="str">
        <x:v>C2111</x:v>
      </x:c>
      <x:c r="C2117" s="21" t="str">
        <x:v>global</x:v>
      </x:c>
      <x:c r="D2117" s="21" t="str">
        <x:v>facility-site total</x:v>
      </x:c>
      <x:c r="E2117" s="21" t="n">
        <x:f>IF(SUM('Facility Program'!D7:D14)=128,1,0)</x:f>
        <x:v>1</x:v>
      </x:c>
      <x:c r="F2117" s="21" t="n">
        <x:v>1</x:v>
      </x:c>
      <x:c r="G2117" s="23" t="str">
        <x:f>IF(E2117=F2117,"PASS","FAIL")</x:f>
        <x:v>PASS</x:v>
      </x:c>
    </x:row>
    <x:row r="2118">
      <x:c r="B2118" s="21" t="str">
        <x:v>C2112</x:v>
      </x:c>
      <x:c r="C2118" s="21" t="str">
        <x:v>global</x:v>
      </x:c>
      <x:c r="D2118" s="21" t="str">
        <x:v>facility-capital total</x:v>
      </x:c>
      <x:c r="E2118" s="21" t="n">
        <x:f>IF(ABS(SUM('Facility Program'!F7:F14)-220)&lt;0.000001,1,0)</x:f>
        <x:v>1</x:v>
      </x:c>
      <x:c r="F2118" s="21" t="n">
        <x:v>1</x:v>
      </x:c>
      <x:c r="G2118" s="23" t="str">
        <x:f>IF(E2118=F2118,"PASS","FAIL")</x:f>
        <x:v>PASS</x:v>
      </x:c>
    </x:row>
    <x:row r="2119">
      <x:c r="B2119" s="21" t="str">
        <x:v>C2113</x:v>
      </x:c>
      <x:c r="C2119" s="21" t="str">
        <x:v>global</x:v>
      </x:c>
      <x:c r="D2119" s="21" t="str">
        <x:v>standards-capital total</x:v>
      </x:c>
      <x:c r="E2119" s="21" t="n">
        <x:f>IF('Capital Control'!C10=50,1,0)</x:f>
        <x:v>1</x:v>
      </x:c>
      <x:c r="F2119" s="21" t="n">
        <x:v>1</x:v>
      </x:c>
      <x:c r="G2119" s="23" t="str">
        <x:f>IF(E2119=F2119,"PASS","FAIL")</x:f>
        <x:v>PASS</x:v>
      </x:c>
    </x:row>
    <x:row r="2120">
      <x:c r="B2120" s="21" t="str">
        <x:v>C2114</x:v>
      </x:c>
      <x:c r="C2120" s="21" t="str">
        <x:v>global</x:v>
      </x:c>
      <x:c r="D2120" s="21" t="str">
        <x:v>family-capital total</x:v>
      </x:c>
      <x:c r="E2120" s="21" t="n">
        <x:f>IF(ABS(SUM('Family Results'!N7:N28)-1080)&lt;0.000001,1,0)</x:f>
        <x:v>1</x:v>
      </x:c>
      <x:c r="F2120" s="21" t="n">
        <x:v>1</x:v>
      </x:c>
      <x:c r="G2120" s="23" t="str">
        <x:f>IF(E2120=F2120,"PASS","FAIL")</x:f>
        <x:v>PASS</x:v>
      </x:c>
    </x:row>
    <x:row r="2121">
      <x:c r="B2121" s="21" t="str">
        <x:v>C2115</x:v>
      </x:c>
      <x:c r="C2121" s="21" t="str">
        <x:v>global</x:v>
      </x:c>
      <x:c r="D2121" s="21" t="str">
        <x:v>shared-enabler capital</x:v>
      </x:c>
      <x:c r="E2121" s="21" t="n">
        <x:f>IF(ABS(SUM('Capital Control'!C8:C10)-420)&lt;0.000001,1,0)</x:f>
        <x:v>1</x:v>
      </x:c>
      <x:c r="F2121" s="21" t="n">
        <x:v>1</x:v>
      </x:c>
      <x:c r="G2121" s="23" t="str">
        <x:f>IF(E2121=F2121,"PASS","FAIL")</x:f>
        <x:v>PASS</x:v>
      </x:c>
    </x:row>
    <x:row r="2122">
      <x:c r="B2122" s="21" t="str">
        <x:v>C2116</x:v>
      </x:c>
      <x:c r="C2122" s="21" t="str">
        <x:v>global</x:v>
      </x:c>
      <x:c r="D2122" s="21" t="str">
        <x:v>program reserve</x:v>
      </x:c>
      <x:c r="E2122" s="21" t="n">
        <x:f>IF('Capital Control'!C11=300,1,0)</x:f>
        <x:v>1</x:v>
      </x:c>
      <x:c r="F2122" s="21" t="n">
        <x:v>1</x:v>
      </x:c>
      <x:c r="G2122" s="23" t="str">
        <x:f>IF(E2122=F2122,"PASS","FAIL")</x:f>
        <x:v>PASS</x:v>
      </x:c>
    </x:row>
    <x:row r="2123">
      <x:c r="B2123" s="21" t="str">
        <x:v>C2117</x:v>
      </x:c>
      <x:c r="C2123" s="21" t="str">
        <x:v>global</x:v>
      </x:c>
      <x:c r="D2123" s="21" t="str">
        <x:v>Pass 99 capital total</x:v>
      </x:c>
      <x:c r="E2123" s="21" t="n">
        <x:f>IF('Capital Control'!C13=1800,1,0)</x:f>
        <x:v>1</x:v>
      </x:c>
      <x:c r="F2123" s="21" t="n">
        <x:v>1</x:v>
      </x:c>
      <x:c r="G2123" s="23" t="str">
        <x:f>IF(E2123=F2123,"PASS","FAIL")</x:f>
        <x:v>PASS</x:v>
      </x:c>
    </x:row>
    <x:row r="2124">
      <x:c r="B2124" s="21" t="str">
        <x:v>C2118</x:v>
      </x:c>
      <x:c r="C2124" s="21" t="str">
        <x:v>global</x:v>
      </x:c>
      <x:c r="D2124" s="21" t="str">
        <x:v>capital nests in AIMC</x:v>
      </x:c>
      <x:c r="E2124" s="21" t="n">
        <x:f>IF('Capital Control'!C13&lt;='Capital Control'!C28,1,0)</x:f>
        <x:v>1</x:v>
      </x:c>
      <x:c r="F2124" s="21" t="n">
        <x:v>1</x:v>
      </x:c>
      <x:c r="G2124" s="23" t="str">
        <x:f>IF(E2124=F2124,"PASS","FAIL")</x:f>
        <x:v>PASS</x:v>
      </x:c>
    </x:row>
    <x:row r="2125">
      <x:c r="B2125" s="21" t="str">
        <x:v>C2119</x:v>
      </x:c>
      <x:c r="C2125" s="21" t="str">
        <x:v>global</x:v>
      </x:c>
      <x:c r="D2125" s="21" t="str">
        <x:v>annual operations total</x:v>
      </x:c>
      <x:c r="E2125" s="21" t="n">
        <x:f>IF(ABS('Annual Operations'!C13-138.8)&lt;0.000001,1,0)</x:f>
        <x:v>1</x:v>
      </x:c>
      <x:c r="F2125" s="21" t="n">
        <x:v>1</x:v>
      </x:c>
      <x:c r="G2125" s="23" t="str">
        <x:f>IF(E2125=F2125,"PASS","FAIL")</x:f>
        <x:v>PASS</x:v>
      </x:c>
    </x:row>
    <x:row r="2126">
      <x:c r="B2126" s="21" t="str">
        <x:v>C2120</x:v>
      </x:c>
      <x:c r="C2126" s="21" t="str">
        <x:v>global</x:v>
      </x:c>
      <x:c r="D2126" s="21" t="str">
        <x:v>full-force M05 closures</x:v>
      </x:c>
      <x:c r="E2126" s="21" t="n">
        <x:f>IF(COUNTIF('Full Force'!G7:G54,"CLOSES M05")=48,1,0)</x:f>
        <x:v>1</x:v>
      </x:c>
      <x:c r="F2126" s="21" t="n">
        <x:v>1</x:v>
      </x:c>
      <x:c r="G2126" s="23" t="str">
        <x:f>IF(E2126=F2126,"PASS","FAIL")</x:f>
        <x:v>PASS</x:v>
      </x:c>
    </x:row>
    <x:row r="2127">
      <x:c r="B2127" s="21" t="str">
        <x:v>C2121</x:v>
      </x:c>
      <x:c r="C2127" s="21" t="str">
        <x:v>global</x:v>
      </x:c>
      <x:c r="D2127" s="21" t="str">
        <x:v>full-force M06 closures</x:v>
      </x:c>
      <x:c r="E2127" s="21" t="n">
        <x:f>IF(COUNTIF('Full Force'!I7:I54,"CLOSES M06")=0,1,0)</x:f>
        <x:v>1</x:v>
      </x:c>
      <x:c r="F2127" s="21" t="n">
        <x:v>1</x:v>
      </x:c>
      <x:c r="G2127" s="23" t="str">
        <x:f>IF(E2127=F2127,"PASS","FAIL")</x:f>
        <x:v>PASS</x:v>
      </x:c>
    </x:row>
    <x:row r="2128">
      <x:c r="B2128" s="21" t="str">
        <x:v>C2122</x:v>
      </x:c>
      <x:c r="C2128" s="21" t="str">
        <x:v>global</x:v>
      </x:c>
      <x:c r="D2128" s="21" t="str">
        <x:v>physical credit zero</x:v>
      </x:c>
      <x:c r="E2128" s="21" t="n">
        <x:f>IF(SUM('Full Force'!J7:J54)=0,1,0)</x:f>
        <x:v>1</x:v>
      </x:c>
      <x:c r="F2128" s="21" t="n">
        <x:v>1</x:v>
      </x:c>
      <x:c r="G2128" s="23" t="str">
        <x:f>IF(E2128=F2128,"PASS","FAIL")</x:f>
        <x:v>PASS</x:v>
      </x:c>
    </x:row>
    <x:row r="2129">
      <x:c r="B2129" s="24" t="str">
        <x:v>C2123</x:v>
      </x:c>
      <x:c r="C2129" s="24" t="str">
        <x:v>global</x:v>
      </x:c>
      <x:c r="D2129" s="24" t="str">
        <x:v>rendering authority zero</x:v>
      </x:c>
      <x:c r="E2129" s="24" t="n">
        <x:f>IF(Assumptions!C22=0,1,0)</x:f>
        <x:v>1</x:v>
      </x:c>
      <x:c r="F2129" s="24" t="n">
        <x:v>1</x:v>
      </x:c>
      <x:c r="G2129" s="26" t="str">
        <x:f>IF(E2129=F2129,"PASS","FAIL")</x:f>
        <x:v>PASS</x:v>
      </x:c>
    </x:row>
    <x:row r="2130">
      <x:c r="B2130" s="2"/>
      <x:c r="C2130" s="2"/>
      <x:c r="D2130" s="2"/>
      <x:c r="E2130" s="2"/>
      <x:c r="F2130" s="2"/>
      <x:c r="G2130" s="2"/>
    </x:row>
    <x:row r="2131">
      <x:c r="B2131" s="2"/>
      <x:c r="C2131" s="2"/>
      <x:c r="D2131" s="2"/>
      <x:c r="E2131" s="2"/>
      <x:c r="F2131" s="2"/>
      <x:c r="G2131" s="2"/>
    </x:row>
    <x:row r="2132">
      <x:c r="B2132" s="2"/>
      <x:c r="C2132" s="2"/>
      <x:c r="D2132" s="2"/>
      <x:c r="E2132" s="2"/>
      <x:c r="F2132" s="2"/>
      <x:c r="G2132" s="2"/>
    </x:row>
    <x:row r="2133">
      <x:c r="B2133" s="2"/>
      <x:c r="C2133" s="2"/>
      <x:c r="D2133" s="2"/>
      <x:c r="E2133" s="2"/>
      <x:c r="F2133" s="2"/>
      <x:c r="G2133" s="2"/>
    </x:row>
    <x:row r="2134">
      <x:c r="B2134" s="2"/>
      <x:c r="C2134" s="2"/>
      <x:c r="D2134" s="2"/>
      <x:c r="E2134" s="2"/>
      <x:c r="F2134" s="2"/>
      <x:c r="G2134" s="2"/>
    </x:row>
    <x:row r="2135">
      <x:c r="B2135" s="2"/>
      <x:c r="C2135" s="2"/>
      <x:c r="D2135" s="2"/>
      <x:c r="E2135" s="2"/>
      <x:c r="F2135" s="2"/>
      <x:c r="G2135" s="2"/>
    </x:row>
    <x:row r="2136">
      <x:c r="B2136" s="2"/>
      <x:c r="C2136" s="2"/>
      <x:c r="D2136" s="2"/>
      <x:c r="E2136" s="2"/>
      <x:c r="F2136" s="2"/>
      <x:c r="G2136" s="2"/>
    </x:row>
    <x:row r="2137">
      <x:c r="B2137" s="2"/>
      <x:c r="C2137" s="2"/>
      <x:c r="D2137" s="2"/>
      <x:c r="E2137" s="2"/>
      <x:c r="F2137" s="2"/>
      <x:c r="G2137" s="2"/>
    </x:row>
    <x:row r="2138">
      <x:c r="B2138" s="2"/>
      <x:c r="C2138" s="2"/>
      <x:c r="D2138" s="2"/>
      <x:c r="E2138" s="2"/>
      <x:c r="F2138" s="2"/>
      <x:c r="G2138" s="2"/>
    </x:row>
    <x:row r="2139">
      <x:c r="B2139" s="2"/>
      <x:c r="C2139" s="2"/>
      <x:c r="D2139" s="2"/>
      <x:c r="E2139" s="2"/>
      <x:c r="F2139" s="2"/>
      <x:c r="G2139" s="2"/>
    </x:row>
    <x:row r="2140">
      <x:c r="B2140" s="2"/>
      <x:c r="C2140" s="2"/>
      <x:c r="D2140" s="2"/>
      <x:c r="E2140" s="2"/>
      <x:c r="F2140" s="2"/>
      <x:c r="G2140" s="2"/>
    </x:row>
    <x:row r="2141">
      <x:c r="B2141" s="2"/>
      <x:c r="C2141" s="2"/>
      <x:c r="D2141" s="2"/>
      <x:c r="E2141" s="2"/>
      <x:c r="F2141" s="2"/>
      <x:c r="G2141" s="2"/>
    </x:row>
    <x:row r="2142">
      <x:c r="B2142" s="2"/>
      <x:c r="C2142" s="2"/>
      <x:c r="D2142" s="2"/>
      <x:c r="E2142" s="2"/>
      <x:c r="F2142" s="2"/>
      <x:c r="G2142" s="2"/>
    </x:row>
    <x:row r="2143">
      <x:c r="B2143" s="2"/>
      <x:c r="C2143" s="2"/>
      <x:c r="D2143" s="2"/>
      <x:c r="E2143" s="2"/>
      <x:c r="F2143" s="2"/>
      <x:c r="G2143" s="2"/>
    </x:row>
    <x:row r="2144">
      <x:c r="B2144" s="2"/>
      <x:c r="C2144" s="2"/>
      <x:c r="D2144" s="2"/>
      <x:c r="E2144" s="2"/>
      <x:c r="F2144" s="2"/>
      <x:c r="G2144" s="2"/>
    </x:row>
    <x:row r="2145">
      <x:c r="B2145" s="2"/>
      <x:c r="C2145" s="2"/>
      <x:c r="D2145" s="2"/>
      <x:c r="E2145" s="2"/>
      <x:c r="F2145" s="2"/>
      <x:c r="G2145" s="2"/>
    </x:row>
    <x:row r="2146">
      <x:c r="B2146" s="2"/>
      <x:c r="C2146" s="2"/>
      <x:c r="D2146" s="2"/>
      <x:c r="E2146" s="2"/>
      <x:c r="F2146" s="2"/>
      <x:c r="G2146" s="2"/>
    </x:row>
    <x:row r="2147">
      <x:c r="B2147" s="2"/>
      <x:c r="C2147" s="2"/>
      <x:c r="D2147" s="2"/>
      <x:c r="E2147" s="2"/>
      <x:c r="F2147" s="2"/>
      <x:c r="G2147" s="2"/>
    </x:row>
    <x:row r="2148">
      <x:c r="B2148" s="2"/>
      <x:c r="C2148" s="2"/>
      <x:c r="D2148" s="2"/>
      <x:c r="E2148" s="2"/>
      <x:c r="F2148" s="2"/>
      <x:c r="G2148" s="2"/>
    </x:row>
    <x:row r="2149">
      <x:c r="B2149" s="2"/>
      <x:c r="C2149" s="2"/>
      <x:c r="D2149" s="2"/>
      <x:c r="E2149" s="2"/>
      <x:c r="F2149" s="2"/>
      <x:c r="G2149" s="2"/>
    </x:row>
    <x:row r="2150">
      <x:c r="B2150" s="2"/>
      <x:c r="C2150" s="2"/>
      <x:c r="D2150" s="2"/>
      <x:c r="E2150" s="2"/>
      <x:c r="F2150" s="2"/>
      <x:c r="G2150" s="2"/>
    </x:row>
    <x:row r="2151">
      <x:c r="B2151" s="2"/>
      <x:c r="C2151" s="2"/>
      <x:c r="D2151" s="2"/>
      <x:c r="E2151" s="2"/>
      <x:c r="F2151" s="2"/>
      <x:c r="G2151" s="2"/>
    </x:row>
    <x:row r="2152">
      <x:c r="B2152" s="2"/>
      <x:c r="C2152" s="2"/>
      <x:c r="D2152" s="2"/>
      <x:c r="E2152" s="2"/>
      <x:c r="F2152" s="2"/>
      <x:c r="G2152" s="2"/>
    </x:row>
    <x:row r="2153">
      <x:c r="B2153" s="2"/>
      <x:c r="C2153" s="2"/>
      <x:c r="D2153" s="2"/>
      <x:c r="E2153" s="2"/>
      <x:c r="F2153" s="2"/>
      <x:c r="G2153" s="2"/>
    </x:row>
    <x:row r="2154">
      <x:c r="B2154" s="2"/>
      <x:c r="C2154" s="2"/>
      <x:c r="D2154" s="2"/>
      <x:c r="E2154" s="2"/>
      <x:c r="F2154" s="2"/>
      <x:c r="G2154" s="2"/>
    </x:row>
    <x:row r="2155">
      <x:c r="B2155" s="2"/>
      <x:c r="C2155" s="2"/>
      <x:c r="D2155" s="2"/>
      <x:c r="E2155" s="2"/>
      <x:c r="F2155" s="2"/>
      <x:c r="G2155" s="2"/>
    </x:row>
    <x:row r="2156">
      <x:c r="B2156" s="2"/>
      <x:c r="C2156" s="2"/>
      <x:c r="D2156" s="2"/>
      <x:c r="E2156" s="2"/>
      <x:c r="F2156" s="2"/>
      <x:c r="G2156" s="2"/>
    </x:row>
    <x:row r="2157">
      <x:c r="B2157" s="2"/>
      <x:c r="C2157" s="2"/>
      <x:c r="D2157" s="2"/>
      <x:c r="E2157" s="2"/>
      <x:c r="F2157" s="2"/>
      <x:c r="G2157" s="2"/>
    </x:row>
    <x:row r="2158">
      <x:c r="B2158" s="2"/>
      <x:c r="C2158" s="2"/>
      <x:c r="D2158" s="2"/>
      <x:c r="E2158" s="2"/>
      <x:c r="F2158" s="2"/>
      <x:c r="G2158" s="2"/>
    </x:row>
    <x:row r="2159">
      <x:c r="B2159" s="2"/>
      <x:c r="C2159" s="2"/>
      <x:c r="D2159" s="2"/>
      <x:c r="E2159" s="2"/>
      <x:c r="F2159" s="2"/>
      <x:c r="G2159" s="2"/>
    </x:row>
    <x:row r="2160">
      <x:c r="B2160" s="2"/>
      <x:c r="C2160" s="2"/>
      <x:c r="D2160" s="2"/>
      <x:c r="E2160" s="2"/>
      <x:c r="F2160" s="2"/>
      <x:c r="G2160" s="2"/>
    </x:row>
    <x:row r="2161">
      <x:c r="B2161" s="2"/>
      <x:c r="C2161" s="2"/>
      <x:c r="D2161" s="2"/>
      <x:c r="E2161" s="2"/>
      <x:c r="F2161" s="2"/>
      <x:c r="G2161" s="2"/>
    </x:row>
    <x:row r="2162">
      <x:c r="B2162" s="2"/>
      <x:c r="C2162" s="2"/>
      <x:c r="D2162" s="2"/>
      <x:c r="E2162" s="2"/>
      <x:c r="F2162" s="2"/>
      <x:c r="G2162" s="2"/>
    </x:row>
    <x:row r="2163">
      <x:c r="B2163" s="2"/>
      <x:c r="C2163" s="2"/>
      <x:c r="D2163" s="2"/>
      <x:c r="E2163" s="2"/>
      <x:c r="F2163" s="2"/>
      <x:c r="G2163" s="2"/>
    </x:row>
    <x:row r="2164">
      <x:c r="B2164" s="2"/>
      <x:c r="C2164" s="2"/>
      <x:c r="D2164" s="2"/>
      <x:c r="E2164" s="2"/>
      <x:c r="F2164" s="2"/>
      <x:c r="G2164" s="2"/>
    </x:row>
    <x:row r="2165">
      <x:c r="B2165" s="2"/>
      <x:c r="C2165" s="2"/>
      <x:c r="D2165" s="2"/>
      <x:c r="E2165" s="2"/>
      <x:c r="F2165" s="2"/>
      <x:c r="G2165" s="2"/>
    </x:row>
    <x:row r="2166">
      <x:c r="B2166" s="2"/>
      <x:c r="C2166" s="2"/>
      <x:c r="D2166" s="2"/>
      <x:c r="E2166" s="2"/>
      <x:c r="F2166" s="2"/>
      <x:c r="G2166" s="2"/>
    </x:row>
    <x:row r="2167">
      <x:c r="B2167" s="2"/>
      <x:c r="C2167" s="2"/>
      <x:c r="D2167" s="2"/>
      <x:c r="E2167" s="2"/>
      <x:c r="F2167" s="2"/>
      <x:c r="G2167" s="2"/>
    </x:row>
    <x:row r="2168">
      <x:c r="B2168" s="2"/>
      <x:c r="C2168" s="2"/>
      <x:c r="D2168" s="2"/>
      <x:c r="E2168" s="2"/>
      <x:c r="F2168" s="2"/>
      <x:c r="G2168" s="2"/>
    </x:row>
    <x:row r="2169">
      <x:c r="B2169" s="2"/>
      <x:c r="C2169" s="2"/>
      <x:c r="D2169" s="2"/>
      <x:c r="E2169" s="2"/>
      <x:c r="F2169" s="2"/>
      <x:c r="G2169" s="2"/>
    </x:row>
    <x:row r="2170">
      <x:c r="B2170" s="2"/>
      <x:c r="C2170" s="2"/>
      <x:c r="D2170" s="2"/>
      <x:c r="E2170" s="2"/>
      <x:c r="F2170" s="2"/>
      <x:c r="G2170" s="2"/>
    </x:row>
    <x:row r="2171">
      <x:c r="B2171" s="2"/>
      <x:c r="C2171" s="2"/>
      <x:c r="D2171" s="2"/>
      <x:c r="E2171" s="2"/>
      <x:c r="F2171" s="2"/>
      <x:c r="G2171" s="2"/>
    </x:row>
    <x:row r="2172">
      <x:c r="B2172" s="2"/>
      <x:c r="C2172" s="2"/>
      <x:c r="D2172" s="2"/>
      <x:c r="E2172" s="2"/>
      <x:c r="F2172" s="2"/>
      <x:c r="G2172" s="2"/>
    </x:row>
    <x:row r="2173">
      <x:c r="B2173" s="2"/>
      <x:c r="C2173" s="2"/>
      <x:c r="D2173" s="2"/>
      <x:c r="E2173" s="2"/>
      <x:c r="F2173" s="2"/>
      <x:c r="G2173" s="2"/>
    </x:row>
    <x:row r="2174">
      <x:c r="B2174" s="2"/>
      <x:c r="C2174" s="2"/>
      <x:c r="D2174" s="2"/>
      <x:c r="E2174" s="2"/>
      <x:c r="F2174" s="2"/>
      <x:c r="G2174" s="2"/>
    </x:row>
    <x:row r="2175">
      <x:c r="B2175" s="2"/>
      <x:c r="C2175" s="2"/>
      <x:c r="D2175" s="2"/>
      <x:c r="E2175" s="2"/>
      <x:c r="F2175" s="2"/>
      <x:c r="G2175" s="2"/>
    </x:row>
    <x:row r="2176">
      <x:c r="B2176" s="2"/>
      <x:c r="C2176" s="2"/>
      <x:c r="D2176" s="2"/>
      <x:c r="E2176" s="2"/>
      <x:c r="F2176" s="2"/>
      <x:c r="G2176" s="2"/>
    </x:row>
    <x:row r="2177">
      <x:c r="B2177" s="2"/>
      <x:c r="C2177" s="2"/>
      <x:c r="D2177" s="2"/>
      <x:c r="E2177" s="2"/>
      <x:c r="F2177" s="2"/>
      <x:c r="G2177" s="2"/>
    </x:row>
    <x:row r="2178">
      <x:c r="B2178" s="2"/>
      <x:c r="C2178" s="2"/>
      <x:c r="D2178" s="2"/>
      <x:c r="E2178" s="2"/>
      <x:c r="F2178" s="2"/>
      <x:c r="G2178" s="2"/>
    </x:row>
    <x:row r="2179">
      <x:c r="B2179" s="2"/>
      <x:c r="C2179" s="2"/>
      <x:c r="D2179" s="2"/>
      <x:c r="E2179" s="2"/>
      <x:c r="F2179" s="2"/>
      <x:c r="G2179" s="2"/>
    </x:row>
    <x:row r="2180">
      <x:c r="B2180" s="2"/>
      <x:c r="C2180" s="2"/>
      <x:c r="D2180" s="2"/>
      <x:c r="E2180" s="2"/>
      <x:c r="F2180" s="2"/>
      <x:c r="G2180" s="2"/>
    </x:row>
    <x:row r="2181">
      <x:c r="B2181" s="2"/>
      <x:c r="C2181" s="2"/>
      <x:c r="D2181" s="2"/>
      <x:c r="E2181" s="2"/>
      <x:c r="F2181" s="2"/>
      <x:c r="G2181" s="2"/>
    </x:row>
    <x:row r="2182">
      <x:c r="B2182" s="2"/>
      <x:c r="C2182" s="2"/>
      <x:c r="D2182" s="2"/>
      <x:c r="E2182" s="2"/>
      <x:c r="F2182" s="2"/>
      <x:c r="G2182" s="2"/>
    </x:row>
    <x:row r="2183">
      <x:c r="B2183" s="2"/>
      <x:c r="C2183" s="2"/>
      <x:c r="D2183" s="2"/>
      <x:c r="E2183" s="2"/>
      <x:c r="F2183" s="2"/>
      <x:c r="G2183" s="2"/>
    </x:row>
    <x:row r="2184">
      <x:c r="B2184" s="2"/>
      <x:c r="C2184" s="2"/>
      <x:c r="D2184" s="2"/>
      <x:c r="E2184" s="2"/>
      <x:c r="F2184" s="2"/>
      <x:c r="G2184" s="2"/>
    </x:row>
    <x:row r="2185">
      <x:c r="B2185" s="2"/>
      <x:c r="C2185" s="2"/>
      <x:c r="D2185" s="2"/>
      <x:c r="E2185" s="2"/>
      <x:c r="F2185" s="2"/>
      <x:c r="G2185" s="2"/>
    </x:row>
    <x:row r="2186">
      <x:c r="B2186" s="2"/>
      <x:c r="C2186" s="2"/>
      <x:c r="D2186" s="2"/>
      <x:c r="E2186" s="2"/>
      <x:c r="F2186" s="2"/>
      <x:c r="G2186" s="2"/>
    </x:row>
    <x:row r="2187">
      <x:c r="B2187" s="2"/>
      <x:c r="C2187" s="2"/>
      <x:c r="D2187" s="2"/>
      <x:c r="E2187" s="2"/>
      <x:c r="F2187" s="2"/>
      <x:c r="G2187" s="2"/>
    </x:row>
    <x:row r="2188">
      <x:c r="B2188" s="2"/>
      <x:c r="C2188" s="2"/>
      <x:c r="D2188" s="2"/>
      <x:c r="E2188" s="2"/>
      <x:c r="F2188" s="2"/>
      <x:c r="G2188" s="2"/>
    </x:row>
    <x:row r="2189">
      <x:c r="B2189" s="2"/>
      <x:c r="C2189" s="2"/>
      <x:c r="D2189" s="2"/>
      <x:c r="E2189" s="2"/>
      <x:c r="F2189" s="2"/>
      <x:c r="G2189" s="2"/>
    </x:row>
    <x:row r="2190">
      <x:c r="B2190" s="2"/>
      <x:c r="C2190" s="2"/>
      <x:c r="D2190" s="2"/>
      <x:c r="E2190" s="2"/>
      <x:c r="F2190" s="2"/>
      <x:c r="G2190" s="2"/>
    </x:row>
    <x:row r="2191">
      <x:c r="B2191" s="2"/>
      <x:c r="C2191" s="2"/>
      <x:c r="D2191" s="2"/>
      <x:c r="E2191" s="2"/>
      <x:c r="F2191" s="2"/>
      <x:c r="G2191" s="2"/>
    </x:row>
    <x:row r="2192">
      <x:c r="B2192" s="2"/>
      <x:c r="C2192" s="2"/>
      <x:c r="D2192" s="2"/>
      <x:c r="E2192" s="2"/>
      <x:c r="F2192" s="2"/>
      <x:c r="G2192" s="2"/>
    </x:row>
    <x:row r="2193">
      <x:c r="B2193" s="2"/>
      <x:c r="C2193" s="2"/>
      <x:c r="D2193" s="2"/>
      <x:c r="E2193" s="2"/>
      <x:c r="F2193" s="2"/>
      <x:c r="G2193" s="2"/>
    </x:row>
    <x:row r="2194">
      <x:c r="B2194" s="2"/>
      <x:c r="C2194" s="2"/>
      <x:c r="D2194" s="2"/>
      <x:c r="E2194" s="2"/>
      <x:c r="F2194" s="2"/>
      <x:c r="G2194" s="2"/>
    </x:row>
    <x:row r="2195">
      <x:c r="B2195" s="2"/>
      <x:c r="C2195" s="2"/>
      <x:c r="D2195" s="2"/>
      <x:c r="E2195" s="2"/>
      <x:c r="F2195" s="2"/>
      <x:c r="G2195" s="2"/>
    </x:row>
    <x:row r="2196">
      <x:c r="B2196" s="2"/>
      <x:c r="C2196" s="2"/>
      <x:c r="D2196" s="2"/>
      <x:c r="E2196" s="2"/>
      <x:c r="F2196" s="2"/>
      <x:c r="G2196" s="2"/>
    </x:row>
    <x:row r="2197">
      <x:c r="B2197" s="2"/>
      <x:c r="C2197" s="2"/>
      <x:c r="D2197" s="2"/>
      <x:c r="E2197" s="2"/>
      <x:c r="F2197" s="2"/>
      <x:c r="G2197" s="2"/>
    </x:row>
    <x:row r="2198">
      <x:c r="B2198" s="2"/>
      <x:c r="C2198" s="2"/>
      <x:c r="D2198" s="2"/>
      <x:c r="E2198" s="2"/>
      <x:c r="F2198" s="2"/>
      <x:c r="G2198" s="2"/>
    </x:row>
    <x:row r="2199">
      <x:c r="B2199" s="2"/>
      <x:c r="C2199" s="2"/>
      <x:c r="D2199" s="2"/>
      <x:c r="E2199" s="2"/>
      <x:c r="F2199" s="2"/>
      <x:c r="G2199" s="2"/>
    </x:row>
    <x:row r="2200">
      <x:c r="B2200" s="2"/>
      <x:c r="C2200" s="2"/>
      <x:c r="D2200" s="2"/>
      <x:c r="E2200" s="2"/>
      <x:c r="F2200" s="2"/>
      <x:c r="G2200" s="2"/>
    </x:row>
    <x:row r="2201">
      <x:c r="B2201" s="2"/>
      <x:c r="C2201" s="2"/>
      <x:c r="D2201" s="2"/>
      <x:c r="E2201" s="2"/>
      <x:c r="F2201" s="2"/>
      <x:c r="G2201" s="2"/>
    </x:row>
    <x:row r="2202">
      <x:c r="B2202" s="2"/>
      <x:c r="C2202" s="2"/>
      <x:c r="D2202" s="2"/>
      <x:c r="E2202" s="2"/>
      <x:c r="F2202" s="2"/>
      <x:c r="G2202" s="2"/>
    </x:row>
    <x:row r="2203">
      <x:c r="B2203" s="2"/>
      <x:c r="C2203" s="2"/>
      <x:c r="D2203" s="2"/>
      <x:c r="E2203" s="2"/>
      <x:c r="F2203" s="2"/>
      <x:c r="G2203" s="2"/>
    </x:row>
    <x:row r="2204">
      <x:c r="B2204" s="2"/>
      <x:c r="C2204" s="2"/>
      <x:c r="D2204" s="2"/>
      <x:c r="E2204" s="2"/>
      <x:c r="F2204" s="2"/>
      <x:c r="G2204" s="2"/>
    </x:row>
    <x:row r="2205">
      <x:c r="B2205" s="2"/>
      <x:c r="C2205" s="2"/>
      <x:c r="D2205" s="2"/>
      <x:c r="E2205" s="2"/>
      <x:c r="F2205" s="2"/>
      <x:c r="G2205" s="2"/>
    </x:row>
    <x:row r="2206">
      <x:c r="B2206" s="2"/>
      <x:c r="C2206" s="2"/>
      <x:c r="D2206" s="2"/>
      <x:c r="E2206" s="2"/>
      <x:c r="F2206" s="2"/>
      <x:c r="G2206" s="2"/>
    </x:row>
    <x:row r="2207">
      <x:c r="B2207" s="2"/>
      <x:c r="C2207" s="2"/>
      <x:c r="D2207" s="2"/>
      <x:c r="E2207" s="2"/>
      <x:c r="F2207" s="2"/>
      <x:c r="G2207" s="2"/>
    </x:row>
    <x:row r="2208">
      <x:c r="B2208" s="2"/>
      <x:c r="C2208" s="2"/>
      <x:c r="D2208" s="2"/>
      <x:c r="E2208" s="2"/>
      <x:c r="F2208" s="2"/>
      <x:c r="G2208" s="2"/>
    </x:row>
    <x:row r="2209">
      <x:c r="B2209" s="2"/>
      <x:c r="C2209" s="2"/>
      <x:c r="D2209" s="2"/>
      <x:c r="E2209" s="2"/>
      <x:c r="F2209" s="2"/>
      <x:c r="G2209" s="2"/>
    </x:row>
    <x:row r="2210">
      <x:c r="B2210" s="2"/>
      <x:c r="C2210" s="2"/>
      <x:c r="D2210" s="2"/>
      <x:c r="E2210" s="2"/>
      <x:c r="F2210" s="2"/>
      <x:c r="G2210" s="2"/>
    </x:row>
    <x:row r="2211">
      <x:c r="B2211" s="2"/>
      <x:c r="C2211" s="2"/>
      <x:c r="D2211" s="2"/>
      <x:c r="E2211" s="2"/>
      <x:c r="F2211" s="2"/>
      <x:c r="G2211" s="2"/>
    </x:row>
    <x:row r="2212">
      <x:c r="B2212" s="2"/>
      <x:c r="C2212" s="2"/>
      <x:c r="D2212" s="2"/>
      <x:c r="E2212" s="2"/>
      <x:c r="F2212" s="2"/>
      <x:c r="G2212" s="2"/>
    </x:row>
    <x:row r="2213">
      <x:c r="B2213" s="2"/>
      <x:c r="C2213" s="2"/>
      <x:c r="D2213" s="2"/>
      <x:c r="E2213" s="2"/>
      <x:c r="F2213" s="2"/>
      <x:c r="G2213" s="2"/>
    </x:row>
    <x:row r="2214">
      <x:c r="B2214" s="2"/>
      <x:c r="C2214" s="2"/>
      <x:c r="D2214" s="2"/>
      <x:c r="E2214" s="2"/>
      <x:c r="F2214" s="2"/>
      <x:c r="G2214" s="2"/>
    </x:row>
    <x:row r="2215">
      <x:c r="B2215" s="2"/>
      <x:c r="C2215" s="2"/>
      <x:c r="D2215" s="2"/>
      <x:c r="E2215" s="2"/>
      <x:c r="F2215" s="2"/>
      <x:c r="G2215" s="2"/>
    </x:row>
    <x:row r="2216">
      <x:c r="B2216" s="2"/>
      <x:c r="C2216" s="2"/>
      <x:c r="D2216" s="2"/>
      <x:c r="E2216" s="2"/>
      <x:c r="F2216" s="2"/>
      <x:c r="G2216" s="2"/>
    </x:row>
    <x:row r="2217">
      <x:c r="B2217" s="2"/>
      <x:c r="C2217" s="2"/>
      <x:c r="D2217" s="2"/>
      <x:c r="E2217" s="2"/>
      <x:c r="F2217" s="2"/>
      <x:c r="G2217" s="2"/>
    </x:row>
    <x:row r="2218">
      <x:c r="B2218" s="2"/>
      <x:c r="C2218" s="2"/>
      <x:c r="D2218" s="2"/>
      <x:c r="E2218" s="2"/>
      <x:c r="F2218" s="2"/>
      <x:c r="G2218" s="2"/>
    </x:row>
    <x:row r="2219">
      <x:c r="B2219" s="2"/>
      <x:c r="C2219" s="2"/>
      <x:c r="D2219" s="2"/>
      <x:c r="E2219" s="2"/>
      <x:c r="F2219" s="2"/>
      <x:c r="G2219" s="2"/>
    </x:row>
    <x:row r="2220">
      <x:c r="B2220" s="2"/>
      <x:c r="C2220" s="2"/>
      <x:c r="D2220" s="2"/>
      <x:c r="E2220" s="2"/>
      <x:c r="F2220" s="2"/>
      <x:c r="G2220" s="2"/>
    </x:row>
    <x:row r="2221">
      <x:c r="B2221" s="2"/>
      <x:c r="C2221" s="2"/>
      <x:c r="D2221" s="2"/>
      <x:c r="E2221" s="2"/>
      <x:c r="F2221" s="2"/>
      <x:c r="G2221" s="2"/>
    </x:row>
    <x:row r="2222">
      <x:c r="B2222" s="2"/>
      <x:c r="C2222" s="2"/>
      <x:c r="D2222" s="2"/>
      <x:c r="E2222" s="2"/>
      <x:c r="F2222" s="2"/>
      <x:c r="G2222" s="2"/>
    </x:row>
    <x:row r="2223">
      <x:c r="B2223" s="2"/>
      <x:c r="C2223" s="2"/>
      <x:c r="D2223" s="2"/>
      <x:c r="E2223" s="2"/>
      <x:c r="F2223" s="2"/>
      <x:c r="G2223" s="2"/>
    </x:row>
    <x:row r="2224">
      <x:c r="B2224" s="2"/>
      <x:c r="C2224" s="2"/>
      <x:c r="D2224" s="2"/>
      <x:c r="E2224" s="2"/>
      <x:c r="F2224" s="2"/>
      <x:c r="G2224" s="2"/>
    </x:row>
    <x:row r="2225">
      <x:c r="B2225" s="2"/>
      <x:c r="C2225" s="2"/>
      <x:c r="D2225" s="2"/>
      <x:c r="E2225" s="2"/>
      <x:c r="F2225" s="2"/>
      <x:c r="G2225" s="2"/>
    </x:row>
    <x:row r="2226">
      <x:c r="B2226" s="2"/>
      <x:c r="C2226" s="2"/>
      <x:c r="D2226" s="2"/>
      <x:c r="E2226" s="2"/>
      <x:c r="F2226" s="2"/>
      <x:c r="G2226" s="2"/>
    </x:row>
    <x:row r="2227">
      <x:c r="B2227" s="2"/>
      <x:c r="C2227" s="2"/>
      <x:c r="D2227" s="2"/>
      <x:c r="E2227" s="2"/>
      <x:c r="F2227" s="2"/>
      <x:c r="G2227" s="2"/>
    </x:row>
    <x:row r="2228">
      <x:c r="B2228" s="2"/>
      <x:c r="C2228" s="2"/>
      <x:c r="D2228" s="2"/>
      <x:c r="E2228" s="2"/>
      <x:c r="F2228" s="2"/>
      <x:c r="G2228" s="2"/>
    </x:row>
    <x:row r="2229">
      <x:c r="B2229" s="2"/>
      <x:c r="C2229" s="2"/>
      <x:c r="D2229" s="2"/>
      <x:c r="E2229" s="2"/>
      <x:c r="F2229" s="2"/>
      <x:c r="G2229" s="2"/>
    </x:row>
    <x:row r="2230">
      <x:c r="B2230" s="2"/>
      <x:c r="C2230" s="2"/>
      <x:c r="D2230" s="2"/>
      <x:c r="E2230" s="2"/>
      <x:c r="F2230" s="2"/>
      <x:c r="G2230" s="2"/>
    </x:row>
    <x:row r="2231">
      <x:c r="B2231" s="2"/>
      <x:c r="C2231" s="2"/>
      <x:c r="D2231" s="2"/>
      <x:c r="E2231" s="2"/>
      <x:c r="F2231" s="2"/>
      <x:c r="G2231" s="2"/>
    </x:row>
    <x:row r="2232">
      <x:c r="B2232" s="2"/>
      <x:c r="C2232" s="2"/>
      <x:c r="D2232" s="2"/>
      <x:c r="E2232" s="2"/>
      <x:c r="F2232" s="2"/>
      <x:c r="G2232" s="2"/>
    </x:row>
    <x:row r="2233">
      <x:c r="B2233" s="2"/>
      <x:c r="C2233" s="2"/>
      <x:c r="D2233" s="2"/>
      <x:c r="E2233" s="2"/>
      <x:c r="F2233" s="2"/>
      <x:c r="G2233" s="2"/>
    </x:row>
    <x:row r="2234">
      <x:c r="B2234" s="2"/>
      <x:c r="C2234" s="2"/>
      <x:c r="D2234" s="2"/>
      <x:c r="E2234" s="2"/>
      <x:c r="F2234" s="2"/>
      <x:c r="G2234" s="2"/>
    </x:row>
    <x:row r="2235">
      <x:c r="B2235" s="2"/>
      <x:c r="C2235" s="2"/>
      <x:c r="D2235" s="2"/>
      <x:c r="E2235" s="2"/>
      <x:c r="F2235" s="2"/>
      <x:c r="G2235" s="2"/>
    </x:row>
    <x:row r="2236">
      <x:c r="B2236" s="2"/>
      <x:c r="C2236" s="2"/>
      <x:c r="D2236" s="2"/>
      <x:c r="E2236" s="2"/>
      <x:c r="F2236" s="2"/>
      <x:c r="G2236" s="2"/>
    </x:row>
    <x:row r="2237">
      <x:c r="B2237" s="2"/>
      <x:c r="C2237" s="2"/>
      <x:c r="D2237" s="2"/>
      <x:c r="E2237" s="2"/>
      <x:c r="F2237" s="2"/>
      <x:c r="G2237" s="2"/>
    </x:row>
    <x:row r="2238">
      <x:c r="B2238" s="2"/>
      <x:c r="C2238" s="2"/>
      <x:c r="D2238" s="2"/>
      <x:c r="E2238" s="2"/>
      <x:c r="F2238" s="2"/>
      <x:c r="G2238" s="2"/>
    </x:row>
    <x:row r="2239">
      <x:c r="B2239" s="2"/>
      <x:c r="C2239" s="2"/>
      <x:c r="D2239" s="2"/>
      <x:c r="E2239" s="2"/>
      <x:c r="F2239" s="2"/>
      <x:c r="G2239" s="2"/>
    </x:row>
    <x:row r="2240">
      <x:c r="B2240" s="2"/>
      <x:c r="C2240" s="2"/>
      <x:c r="D2240" s="2"/>
      <x:c r="E2240" s="2"/>
      <x:c r="F2240" s="2"/>
      <x:c r="G2240" s="2"/>
    </x:row>
    <x:row r="2241">
      <x:c r="B2241" s="2"/>
      <x:c r="C2241" s="2"/>
      <x:c r="D2241" s="2"/>
      <x:c r="E2241" s="2"/>
      <x:c r="F2241" s="2"/>
      <x:c r="G2241" s="2"/>
    </x:row>
    <x:row r="2242">
      <x:c r="B2242" s="2"/>
      <x:c r="C2242" s="2"/>
      <x:c r="D2242" s="2"/>
      <x:c r="E2242" s="2"/>
      <x:c r="F2242" s="2"/>
      <x:c r="G2242" s="2"/>
    </x:row>
    <x:row r="2243">
      <x:c r="B2243" s="2"/>
      <x:c r="C2243" s="2"/>
      <x:c r="D2243" s="2"/>
      <x:c r="E2243" s="2"/>
      <x:c r="F2243" s="2"/>
      <x:c r="G2243" s="2"/>
    </x:row>
    <x:row r="2244">
      <x:c r="B2244" s="2"/>
      <x:c r="C2244" s="2"/>
      <x:c r="D2244" s="2"/>
      <x:c r="E2244" s="2"/>
      <x:c r="F2244" s="2"/>
      <x:c r="G2244" s="2"/>
    </x:row>
    <x:row r="2245">
      <x:c r="B2245" s="2"/>
      <x:c r="C2245" s="2"/>
      <x:c r="D2245" s="2"/>
      <x:c r="E2245" s="2"/>
      <x:c r="F2245" s="2"/>
      <x:c r="G2245" s="2"/>
    </x:row>
    <x:row r="2246">
      <x:c r="B2246" s="2"/>
      <x:c r="C2246" s="2"/>
      <x:c r="D2246" s="2"/>
      <x:c r="E2246" s="2"/>
      <x:c r="F2246" s="2"/>
      <x:c r="G2246" s="2"/>
    </x:row>
    <x:row r="2247">
      <x:c r="B2247" s="2"/>
      <x:c r="C2247" s="2"/>
      <x:c r="D2247" s="2"/>
      <x:c r="E2247" s="2"/>
      <x:c r="F2247" s="2"/>
      <x:c r="G2247" s="2"/>
    </x:row>
    <x:row r="2248">
      <x:c r="B2248" s="2"/>
      <x:c r="C2248" s="2"/>
      <x:c r="D2248" s="2"/>
      <x:c r="E2248" s="2"/>
      <x:c r="F2248" s="2"/>
      <x:c r="G2248" s="2"/>
    </x:row>
    <x:row r="2249">
      <x:c r="B2249" s="2"/>
      <x:c r="C2249" s="2"/>
      <x:c r="D2249" s="2"/>
      <x:c r="E2249" s="2"/>
      <x:c r="F2249" s="2"/>
      <x:c r="G2249" s="2"/>
    </x:row>
    <x:row r="2250">
      <x:c r="B2250" s="2"/>
      <x:c r="C2250" s="2"/>
      <x:c r="D2250" s="2"/>
      <x:c r="E2250" s="2"/>
      <x:c r="F2250" s="2"/>
      <x:c r="G2250" s="2"/>
    </x:row>
    <x:row r="2251">
      <x:c r="B2251" s="2"/>
      <x:c r="C2251" s="2"/>
      <x:c r="D2251" s="2"/>
      <x:c r="E2251" s="2"/>
      <x:c r="F2251" s="2"/>
      <x:c r="G2251" s="2"/>
    </x:row>
    <x:row r="2252">
      <x:c r="B2252" s="2"/>
      <x:c r="C2252" s="2"/>
      <x:c r="D2252" s="2"/>
      <x:c r="E2252" s="2"/>
      <x:c r="F2252" s="2"/>
      <x:c r="G2252" s="2"/>
    </x:row>
    <x:row r="2253">
      <x:c r="B2253" s="2"/>
      <x:c r="C2253" s="2"/>
      <x:c r="D2253" s="2"/>
      <x:c r="E2253" s="2"/>
      <x:c r="F2253" s="2"/>
      <x:c r="G2253" s="2"/>
    </x:row>
    <x:row r="2254">
      <x:c r="B2254" s="2"/>
      <x:c r="C2254" s="2"/>
      <x:c r="D2254" s="2"/>
      <x:c r="E2254" s="2"/>
      <x:c r="F2254" s="2"/>
      <x:c r="G2254" s="2"/>
    </x:row>
    <x:row r="2255">
      <x:c r="B2255" s="2"/>
      <x:c r="C2255" s="2"/>
      <x:c r="D2255" s="2"/>
      <x:c r="E2255" s="2"/>
      <x:c r="F2255" s="2"/>
      <x:c r="G2255" s="2"/>
    </x:row>
    <x:row r="2256">
      <x:c r="B2256" s="2"/>
      <x:c r="C2256" s="2"/>
      <x:c r="D2256" s="2"/>
      <x:c r="E2256" s="2"/>
      <x:c r="F2256" s="2"/>
      <x:c r="G2256" s="2"/>
    </x:row>
    <x:row r="2257">
      <x:c r="B2257" s="2"/>
      <x:c r="C2257" s="2"/>
      <x:c r="D2257" s="2"/>
      <x:c r="E2257" s="2"/>
      <x:c r="F2257" s="2"/>
      <x:c r="G2257" s="2"/>
    </x:row>
    <x:row r="2258">
      <x:c r="B2258" s="2"/>
      <x:c r="C2258" s="2"/>
      <x:c r="D2258" s="2"/>
      <x:c r="E2258" s="2"/>
      <x:c r="F2258" s="2"/>
      <x:c r="G2258" s="2"/>
    </x:row>
    <x:row r="2259">
      <x:c r="B2259" s="2"/>
      <x:c r="C2259" s="2"/>
      <x:c r="D2259" s="2"/>
      <x:c r="E2259" s="2"/>
      <x:c r="F2259" s="2"/>
      <x:c r="G2259" s="2"/>
    </x:row>
    <x:row r="2260">
      <x:c r="B2260" s="2"/>
      <x:c r="C2260" s="2"/>
      <x:c r="D2260" s="2"/>
      <x:c r="E2260" s="2"/>
      <x:c r="F2260" s="2"/>
      <x:c r="G2260" s="2"/>
    </x:row>
    <x:row r="2261">
      <x:c r="B2261" s="2"/>
      <x:c r="C2261" s="2"/>
      <x:c r="D2261" s="2"/>
      <x:c r="E2261" s="2"/>
      <x:c r="F2261" s="2"/>
      <x:c r="G2261" s="2"/>
    </x:row>
    <x:row r="2262">
      <x:c r="B2262" s="2"/>
      <x:c r="C2262" s="2"/>
      <x:c r="D2262" s="2"/>
      <x:c r="E2262" s="2"/>
      <x:c r="F2262" s="2"/>
      <x:c r="G2262" s="2"/>
    </x:row>
    <x:row r="2263">
      <x:c r="B2263" s="2"/>
      <x:c r="C2263" s="2"/>
      <x:c r="D2263" s="2"/>
      <x:c r="E2263" s="2"/>
      <x:c r="F2263" s="2"/>
      <x:c r="G2263" s="2"/>
    </x:row>
    <x:row r="2264">
      <x:c r="B2264" s="2"/>
      <x:c r="C2264" s="2"/>
      <x:c r="D2264" s="2"/>
      <x:c r="E2264" s="2"/>
      <x:c r="F2264" s="2"/>
      <x:c r="G2264" s="2"/>
    </x:row>
    <x:row r="2265">
      <x:c r="B2265" s="2"/>
      <x:c r="C2265" s="2"/>
      <x:c r="D2265" s="2"/>
      <x:c r="E2265" s="2"/>
      <x:c r="F2265" s="2"/>
      <x:c r="G2265" s="2"/>
    </x:row>
    <x:row r="2266">
      <x:c r="B2266" s="2"/>
      <x:c r="C2266" s="2"/>
      <x:c r="D2266" s="2"/>
      <x:c r="E2266" s="2"/>
      <x:c r="F2266" s="2"/>
      <x:c r="G2266" s="2"/>
    </x:row>
    <x:row r="2267">
      <x:c r="B2267" s="2"/>
      <x:c r="C2267" s="2"/>
      <x:c r="D2267" s="2"/>
      <x:c r="E2267" s="2"/>
      <x:c r="F2267" s="2"/>
      <x:c r="G2267" s="2"/>
    </x:row>
    <x:row r="2268">
      <x:c r="B2268" s="2"/>
      <x:c r="C2268" s="2"/>
      <x:c r="D2268" s="2"/>
      <x:c r="E2268" s="2"/>
      <x:c r="F2268" s="2"/>
      <x:c r="G2268" s="2"/>
    </x:row>
    <x:row r="2269">
      <x:c r="B2269" s="2"/>
      <x:c r="C2269" s="2"/>
      <x:c r="D2269" s="2"/>
      <x:c r="E2269" s="2"/>
      <x:c r="F2269" s="2"/>
      <x:c r="G2269" s="2"/>
    </x:row>
    <x:row r="2270">
      <x:c r="B2270" s="2"/>
      <x:c r="C2270" s="2"/>
      <x:c r="D2270" s="2"/>
      <x:c r="E2270" s="2"/>
      <x:c r="F2270" s="2"/>
      <x:c r="G2270" s="2"/>
    </x:row>
    <x:row r="2271">
      <x:c r="B2271" s="2"/>
      <x:c r="C2271" s="2"/>
      <x:c r="D2271" s="2"/>
      <x:c r="E2271" s="2"/>
      <x:c r="F2271" s="2"/>
      <x:c r="G2271" s="2"/>
    </x:row>
    <x:row r="2272">
      <x:c r="B2272" s="2"/>
      <x:c r="C2272" s="2"/>
      <x:c r="D2272" s="2"/>
      <x:c r="E2272" s="2"/>
      <x:c r="F2272" s="2"/>
      <x:c r="G2272" s="2"/>
    </x:row>
    <x:row r="2273">
      <x:c r="B2273" s="2"/>
      <x:c r="C2273" s="2"/>
      <x:c r="D2273" s="2"/>
      <x:c r="E2273" s="2"/>
      <x:c r="F2273" s="2"/>
      <x:c r="G2273" s="2"/>
    </x:row>
    <x:row r="2274">
      <x:c r="B2274" s="2"/>
      <x:c r="C2274" s="2"/>
      <x:c r="D2274" s="2"/>
      <x:c r="E2274" s="2"/>
      <x:c r="F2274" s="2"/>
      <x:c r="G2274" s="2"/>
    </x:row>
    <x:row r="2275">
      <x:c r="B2275" s="2"/>
      <x:c r="C2275" s="2"/>
      <x:c r="D2275" s="2"/>
      <x:c r="E2275" s="2"/>
      <x:c r="F2275" s="2"/>
      <x:c r="G2275" s="2"/>
    </x:row>
    <x:row r="2276">
      <x:c r="B2276" s="2"/>
      <x:c r="C2276" s="2"/>
      <x:c r="D2276" s="2"/>
      <x:c r="E2276" s="2"/>
      <x:c r="F2276" s="2"/>
      <x:c r="G2276" s="2"/>
    </x:row>
    <x:row r="2277">
      <x:c r="B2277" s="2"/>
      <x:c r="C2277" s="2"/>
      <x:c r="D2277" s="2"/>
      <x:c r="E2277" s="2"/>
      <x:c r="F2277" s="2"/>
      <x:c r="G2277" s="2"/>
    </x:row>
    <x:row r="2278">
      <x:c r="B2278" s="2"/>
      <x:c r="C2278" s="2"/>
      <x:c r="D2278" s="2"/>
      <x:c r="E2278" s="2"/>
      <x:c r="F2278" s="2"/>
      <x:c r="G2278" s="2"/>
    </x:row>
    <x:row r="2279">
      <x:c r="B2279" s="2"/>
      <x:c r="C2279" s="2"/>
      <x:c r="D2279" s="2"/>
      <x:c r="E2279" s="2"/>
      <x:c r="F2279" s="2"/>
      <x:c r="G2279" s="2"/>
    </x:row>
    <x:row r="2280">
      <x:c r="B2280" s="2"/>
      <x:c r="C2280" s="2"/>
      <x:c r="D2280" s="2"/>
      <x:c r="E2280" s="2"/>
      <x:c r="F2280" s="2"/>
      <x:c r="G2280" s="2"/>
    </x:row>
    <x:row r="2281">
      <x:c r="B2281" s="2"/>
      <x:c r="C2281" s="2"/>
      <x:c r="D2281" s="2"/>
      <x:c r="E2281" s="2"/>
      <x:c r="F2281" s="2"/>
      <x:c r="G2281" s="2"/>
    </x:row>
    <x:row r="2282">
      <x:c r="B2282" s="2"/>
      <x:c r="C2282" s="2"/>
      <x:c r="D2282" s="2"/>
      <x:c r="E2282" s="2"/>
      <x:c r="F2282" s="2"/>
      <x:c r="G2282" s="2"/>
    </x:row>
    <x:row r="2283">
      <x:c r="B2283" s="2"/>
      <x:c r="C2283" s="2"/>
      <x:c r="D2283" s="2"/>
      <x:c r="E2283" s="2"/>
      <x:c r="F2283" s="2"/>
      <x:c r="G2283" s="2"/>
    </x:row>
    <x:row r="2284">
      <x:c r="B2284" s="2"/>
      <x:c r="C2284" s="2"/>
      <x:c r="D2284" s="2"/>
      <x:c r="E2284" s="2"/>
      <x:c r="F2284" s="2"/>
      <x:c r="G2284" s="2"/>
    </x:row>
    <x:row r="2285">
      <x:c r="B2285" s="2"/>
      <x:c r="C2285" s="2"/>
      <x:c r="D2285" s="2"/>
      <x:c r="E2285" s="2"/>
      <x:c r="F2285" s="2"/>
      <x:c r="G2285" s="2"/>
    </x:row>
    <x:row r="2286">
      <x:c r="B2286" s="2"/>
      <x:c r="C2286" s="2"/>
      <x:c r="D2286" s="2"/>
      <x:c r="E2286" s="2"/>
      <x:c r="F2286" s="2"/>
      <x:c r="G2286" s="2"/>
    </x:row>
    <x:row r="2287">
      <x:c r="B2287" s="2"/>
      <x:c r="C2287" s="2"/>
      <x:c r="D2287" s="2"/>
      <x:c r="E2287" s="2"/>
      <x:c r="F2287" s="2"/>
      <x:c r="G2287" s="2"/>
    </x:row>
    <x:row r="2288">
      <x:c r="B2288" s="2"/>
      <x:c r="C2288" s="2"/>
      <x:c r="D2288" s="2"/>
      <x:c r="E2288" s="2"/>
      <x:c r="F2288" s="2"/>
      <x:c r="G2288" s="2"/>
    </x:row>
    <x:row r="2289">
      <x:c r="B2289" s="2"/>
      <x:c r="C2289" s="2"/>
      <x:c r="D2289" s="2"/>
      <x:c r="E2289" s="2"/>
      <x:c r="F2289" s="2"/>
      <x:c r="G2289" s="2"/>
    </x:row>
    <x:row r="2290">
      <x:c r="B2290" s="2"/>
      <x:c r="C2290" s="2"/>
      <x:c r="D2290" s="2"/>
      <x:c r="E2290" s="2"/>
      <x:c r="F2290" s="2"/>
      <x:c r="G2290" s="2"/>
    </x:row>
    <x:row r="2291">
      <x:c r="B2291" s="2"/>
      <x:c r="C2291" s="2"/>
      <x:c r="D2291" s="2"/>
      <x:c r="E2291" s="2"/>
      <x:c r="F2291" s="2"/>
      <x:c r="G2291" s="2"/>
    </x:row>
    <x:row r="2292">
      <x:c r="B2292" s="2"/>
      <x:c r="C2292" s="2"/>
      <x:c r="D2292" s="2"/>
      <x:c r="E2292" s="2"/>
      <x:c r="F2292" s="2"/>
      <x:c r="G2292" s="2"/>
    </x:row>
    <x:row r="2293">
      <x:c r="B2293" s="2"/>
      <x:c r="C2293" s="2"/>
      <x:c r="D2293" s="2"/>
      <x:c r="E2293" s="2"/>
      <x:c r="F2293" s="2"/>
      <x:c r="G2293" s="2"/>
    </x:row>
    <x:row r="2294">
      <x:c r="B2294" s="2"/>
      <x:c r="C2294" s="2"/>
      <x:c r="D2294" s="2"/>
      <x:c r="E2294" s="2"/>
      <x:c r="F2294" s="2"/>
      <x:c r="G2294" s="2"/>
    </x:row>
    <x:row r="2295">
      <x:c r="B2295" s="2"/>
      <x:c r="C2295" s="2"/>
      <x:c r="D2295" s="2"/>
      <x:c r="E2295" s="2"/>
      <x:c r="F2295" s="2"/>
      <x:c r="G2295" s="2"/>
    </x:row>
    <x:row r="2296">
      <x:c r="B2296" s="2"/>
      <x:c r="C2296" s="2"/>
      <x:c r="D2296" s="2"/>
      <x:c r="E2296" s="2"/>
      <x:c r="F2296" s="2"/>
      <x:c r="G2296" s="2"/>
    </x:row>
    <x:row r="2297">
      <x:c r="B2297" s="2"/>
      <x:c r="C2297" s="2"/>
      <x:c r="D2297" s="2"/>
      <x:c r="E2297" s="2"/>
      <x:c r="F2297" s="2"/>
      <x:c r="G2297" s="2"/>
    </x:row>
    <x:row r="2298">
      <x:c r="B2298" s="2"/>
      <x:c r="C2298" s="2"/>
      <x:c r="D2298" s="2"/>
      <x:c r="E2298" s="2"/>
      <x:c r="F2298" s="2"/>
      <x:c r="G2298" s="2"/>
    </x:row>
    <x:row r="2299">
      <x:c r="B2299" s="2"/>
      <x:c r="C2299" s="2"/>
      <x:c r="D2299" s="2"/>
      <x:c r="E2299" s="2"/>
      <x:c r="F2299" s="2"/>
      <x:c r="G2299" s="2"/>
    </x:row>
    <x:row r="2300">
      <x:c r="B2300" s="2"/>
      <x:c r="C2300" s="2"/>
      <x:c r="D2300" s="2"/>
      <x:c r="E2300" s="2"/>
      <x:c r="F2300" s="2"/>
      <x:c r="G2300" s="2"/>
    </x:row>
    <x:row r="2301">
      <x:c r="B2301" s="2"/>
      <x:c r="C2301" s="2"/>
      <x:c r="D2301" s="2"/>
      <x:c r="E2301" s="2"/>
      <x:c r="F2301" s="2"/>
      <x:c r="G2301" s="2"/>
    </x:row>
    <x:row r="2302">
      <x:c r="B2302" s="2"/>
      <x:c r="C2302" s="2"/>
      <x:c r="D2302" s="2"/>
      <x:c r="E2302" s="2"/>
      <x:c r="F2302" s="2"/>
      <x:c r="G2302" s="2"/>
    </x:row>
    <x:row r="2303">
      <x:c r="B2303" s="2"/>
      <x:c r="C2303" s="2"/>
      <x:c r="D2303" s="2"/>
      <x:c r="E2303" s="2"/>
      <x:c r="F2303" s="2"/>
      <x:c r="G2303" s="2"/>
    </x:row>
    <x:row r="2304">
      <x:c r="B2304" s="2"/>
      <x:c r="C2304" s="2"/>
      <x:c r="D2304" s="2"/>
      <x:c r="E2304" s="2"/>
      <x:c r="F2304" s="2"/>
      <x:c r="G2304" s="2"/>
    </x:row>
    <x:row r="2305">
      <x:c r="B2305" s="2"/>
      <x:c r="C2305" s="2"/>
      <x:c r="D2305" s="2"/>
      <x:c r="E2305" s="2"/>
      <x:c r="F2305" s="2"/>
      <x:c r="G2305" s="2"/>
    </x:row>
    <x:row r="2306">
      <x:c r="B2306" s="2"/>
      <x:c r="C2306" s="2"/>
      <x:c r="D2306" s="2"/>
      <x:c r="E2306" s="2"/>
      <x:c r="F2306" s="2"/>
      <x:c r="G2306" s="2"/>
    </x:row>
    <x:row r="2307">
      <x:c r="B2307" s="2"/>
      <x:c r="C2307" s="2"/>
      <x:c r="D2307" s="2"/>
      <x:c r="E2307" s="2"/>
      <x:c r="F2307" s="2"/>
      <x:c r="G2307" s="2"/>
    </x:row>
    <x:row r="2308">
      <x:c r="B2308" s="2"/>
      <x:c r="C2308" s="2"/>
      <x:c r="D2308" s="2"/>
      <x:c r="E2308" s="2"/>
      <x:c r="F2308" s="2"/>
      <x:c r="G2308" s="2"/>
    </x:row>
    <x:row r="2309">
      <x:c r="B2309" s="2"/>
      <x:c r="C2309" s="2"/>
      <x:c r="D2309" s="2"/>
      <x:c r="E2309" s="2"/>
      <x:c r="F2309" s="2"/>
      <x:c r="G2309" s="2"/>
    </x:row>
    <x:row r="2310">
      <x:c r="B2310" s="2"/>
      <x:c r="C2310" s="2"/>
      <x:c r="D2310" s="2"/>
      <x:c r="E2310" s="2"/>
      <x:c r="F2310" s="2"/>
      <x:c r="G2310" s="2"/>
    </x:row>
    <x:row r="2311">
      <x:c r="B2311" s="2"/>
      <x:c r="C2311" s="2"/>
      <x:c r="D2311" s="2"/>
      <x:c r="E2311" s="2"/>
      <x:c r="F2311" s="2"/>
      <x:c r="G2311" s="2"/>
    </x:row>
    <x:row r="2312">
      <x:c r="B2312" s="2"/>
      <x:c r="C2312" s="2"/>
      <x:c r="D2312" s="2"/>
      <x:c r="E2312" s="2"/>
      <x:c r="F2312" s="2"/>
      <x:c r="G2312" s="2"/>
    </x:row>
    <x:row r="2313">
      <x:c r="B2313" s="2"/>
      <x:c r="C2313" s="2"/>
      <x:c r="D2313" s="2"/>
      <x:c r="E2313" s="2"/>
      <x:c r="F2313" s="2"/>
      <x:c r="G2313" s="2"/>
    </x:row>
    <x:row r="2314">
      <x:c r="B2314" s="2"/>
      <x:c r="C2314" s="2"/>
      <x:c r="D2314" s="2"/>
      <x:c r="E2314" s="2"/>
      <x:c r="F2314" s="2"/>
      <x:c r="G2314" s="2"/>
    </x:row>
    <x:row r="2315">
      <x:c r="B2315" s="2"/>
      <x:c r="C2315" s="2"/>
      <x:c r="D2315" s="2"/>
      <x:c r="E2315" s="2"/>
      <x:c r="F2315" s="2"/>
      <x:c r="G2315" s="2"/>
    </x:row>
    <x:row r="2316">
      <x:c r="B2316" s="2"/>
      <x:c r="C2316" s="2"/>
      <x:c r="D2316" s="2"/>
      <x:c r="E2316" s="2"/>
      <x:c r="F2316" s="2"/>
      <x:c r="G2316" s="2"/>
    </x:row>
    <x:row r="2317">
      <x:c r="B2317" s="2"/>
      <x:c r="C2317" s="2"/>
      <x:c r="D2317" s="2"/>
      <x:c r="E2317" s="2"/>
      <x:c r="F2317" s="2"/>
      <x:c r="G2317" s="2"/>
    </x:row>
    <x:row r="2318">
      <x:c r="B2318" s="2"/>
      <x:c r="C2318" s="2"/>
      <x:c r="D2318" s="2"/>
      <x:c r="E2318" s="2"/>
      <x:c r="F2318" s="2"/>
      <x:c r="G2318" s="2"/>
    </x:row>
    <x:row r="2319">
      <x:c r="B2319" s="2"/>
      <x:c r="C2319" s="2"/>
      <x:c r="D2319" s="2"/>
      <x:c r="E2319" s="2"/>
      <x:c r="F2319" s="2"/>
      <x:c r="G2319" s="2"/>
    </x:row>
    <x:row r="2320">
      <x:c r="B2320" s="2"/>
      <x:c r="C2320" s="2"/>
      <x:c r="D2320" s="2"/>
      <x:c r="E2320" s="2"/>
      <x:c r="F2320" s="2"/>
      <x:c r="G2320" s="2"/>
    </x:row>
    <x:row r="2321">
      <x:c r="B2321" s="2"/>
      <x:c r="C2321" s="2"/>
      <x:c r="D2321" s="2"/>
      <x:c r="E2321" s="2"/>
      <x:c r="F2321" s="2"/>
      <x:c r="G2321" s="2"/>
    </x:row>
    <x:row r="2322">
      <x:c r="B2322" s="2"/>
      <x:c r="C2322" s="2"/>
      <x:c r="D2322" s="2"/>
      <x:c r="E2322" s="2"/>
      <x:c r="F2322" s="2"/>
      <x:c r="G2322" s="2"/>
    </x:row>
    <x:row r="2323">
      <x:c r="B2323" s="2"/>
      <x:c r="C2323" s="2"/>
      <x:c r="D2323" s="2"/>
      <x:c r="E2323" s="2"/>
      <x:c r="F2323" s="2"/>
      <x:c r="G2323" s="2"/>
    </x:row>
    <x:row r="2324">
      <x:c r="B2324" s="2"/>
      <x:c r="C2324" s="2"/>
      <x:c r="D2324" s="2"/>
      <x:c r="E2324" s="2"/>
      <x:c r="F2324" s="2"/>
      <x:c r="G2324" s="2"/>
    </x:row>
    <x:row r="2325">
      <x:c r="B2325" s="2"/>
      <x:c r="C2325" s="2"/>
      <x:c r="D2325" s="2"/>
      <x:c r="E2325" s="2"/>
      <x:c r="F2325" s="2"/>
      <x:c r="G2325" s="2"/>
    </x:row>
    <x:row r="2326">
      <x:c r="B2326" s="2"/>
      <x:c r="C2326" s="2"/>
      <x:c r="D2326" s="2"/>
      <x:c r="E2326" s="2"/>
      <x:c r="F2326" s="2"/>
      <x:c r="G2326" s="2"/>
    </x:row>
    <x:row r="2327">
      <x:c r="B2327" s="2"/>
      <x:c r="C2327" s="2"/>
      <x:c r="D2327" s="2"/>
      <x:c r="E2327" s="2"/>
      <x:c r="F2327" s="2"/>
      <x:c r="G2327" s="2"/>
    </x:row>
    <x:row r="2328">
      <x:c r="B2328" s="2"/>
      <x:c r="C2328" s="2"/>
      <x:c r="D2328" s="2"/>
      <x:c r="E2328" s="2"/>
      <x:c r="F2328" s="2"/>
      <x:c r="G2328" s="2"/>
    </x:row>
    <x:row r="2329">
      <x:c r="B2329" s="2"/>
      <x:c r="C2329" s="2"/>
      <x:c r="D2329" s="2"/>
      <x:c r="E2329" s="2"/>
      <x:c r="F2329" s="2"/>
      <x:c r="G2329" s="2"/>
    </x:row>
    <x:row r="2330">
      <x:c r="B2330" s="2"/>
      <x:c r="C2330" s="2"/>
      <x:c r="D2330" s="2"/>
      <x:c r="E2330" s="2"/>
      <x:c r="F2330" s="2"/>
      <x:c r="G2330" s="2"/>
    </x:row>
    <x:row r="2331">
      <x:c r="B2331" s="2"/>
      <x:c r="C2331" s="2"/>
      <x:c r="D2331" s="2"/>
      <x:c r="E2331" s="2"/>
      <x:c r="F2331" s="2"/>
      <x:c r="G2331" s="2"/>
    </x:row>
    <x:row r="2332">
      <x:c r="B2332" s="2"/>
      <x:c r="C2332" s="2"/>
      <x:c r="D2332" s="2"/>
      <x:c r="E2332" s="2"/>
      <x:c r="F2332" s="2"/>
      <x:c r="G2332" s="2"/>
    </x:row>
    <x:row r="2333">
      <x:c r="B2333" s="2"/>
      <x:c r="C2333" s="2"/>
      <x:c r="D2333" s="2"/>
      <x:c r="E2333" s="2"/>
      <x:c r="F2333" s="2"/>
      <x:c r="G2333" s="2"/>
    </x:row>
    <x:row r="2334">
      <x:c r="B2334" s="2"/>
      <x:c r="C2334" s="2"/>
      <x:c r="D2334" s="2"/>
      <x:c r="E2334" s="2"/>
      <x:c r="F2334" s="2"/>
      <x:c r="G2334" s="2"/>
    </x:row>
    <x:row r="2335">
      <x:c r="B2335" s="2"/>
      <x:c r="C2335" s="2"/>
      <x:c r="D2335" s="2"/>
      <x:c r="E2335" s="2"/>
      <x:c r="F2335" s="2"/>
      <x:c r="G2335" s="2"/>
    </x:row>
    <x:row r="2336">
      <x:c r="B2336" s="2"/>
      <x:c r="C2336" s="2"/>
      <x:c r="D2336" s="2"/>
      <x:c r="E2336" s="2"/>
      <x:c r="F2336" s="2"/>
      <x:c r="G2336" s="2"/>
    </x:row>
    <x:row r="2337">
      <x:c r="B2337" s="2"/>
      <x:c r="C2337" s="2"/>
      <x:c r="D2337" s="2"/>
      <x:c r="E2337" s="2"/>
      <x:c r="F2337" s="2"/>
      <x:c r="G2337" s="2"/>
    </x:row>
    <x:row r="2338">
      <x:c r="B2338" s="2"/>
      <x:c r="C2338" s="2"/>
      <x:c r="D2338" s="2"/>
      <x:c r="E2338" s="2"/>
      <x:c r="F2338" s="2"/>
      <x:c r="G2338" s="2"/>
    </x:row>
    <x:row r="2339">
      <x:c r="B2339" s="2"/>
      <x:c r="C2339" s="2"/>
      <x:c r="D2339" s="2"/>
      <x:c r="E2339" s="2"/>
      <x:c r="F2339" s="2"/>
      <x:c r="G2339" s="2"/>
    </x:row>
    <x:row r="2340">
      <x:c r="B2340" s="2"/>
      <x:c r="C2340" s="2"/>
      <x:c r="D2340" s="2"/>
      <x:c r="E2340" s="2"/>
      <x:c r="F2340" s="2"/>
      <x:c r="G2340" s="2"/>
    </x:row>
    <x:row r="2341">
      <x:c r="B2341" s="2"/>
      <x:c r="C2341" s="2"/>
      <x:c r="D2341" s="2"/>
      <x:c r="E2341" s="2"/>
      <x:c r="F2341" s="2"/>
      <x:c r="G2341" s="2"/>
    </x:row>
    <x:row r="2342">
      <x:c r="B2342" s="2"/>
      <x:c r="C2342" s="2"/>
      <x:c r="D2342" s="2"/>
      <x:c r="E2342" s="2"/>
      <x:c r="F2342" s="2"/>
      <x:c r="G2342" s="2"/>
    </x:row>
    <x:row r="2343">
      <x:c r="B2343" s="2"/>
      <x:c r="C2343" s="2"/>
      <x:c r="D2343" s="2"/>
      <x:c r="E2343" s="2"/>
      <x:c r="F2343" s="2"/>
      <x:c r="G2343" s="2"/>
    </x:row>
    <x:row r="2344">
      <x:c r="B2344" s="2"/>
      <x:c r="C2344" s="2"/>
      <x:c r="D2344" s="2"/>
      <x:c r="E2344" s="2"/>
      <x:c r="F2344" s="2"/>
      <x:c r="G2344" s="2"/>
    </x:row>
    <x:row r="2345">
      <x:c r="B2345" s="2"/>
      <x:c r="C2345" s="2"/>
      <x:c r="D2345" s="2"/>
      <x:c r="E2345" s="2"/>
      <x:c r="F2345" s="2"/>
      <x:c r="G2345" s="2"/>
    </x:row>
    <x:row r="2346">
      <x:c r="B2346" s="2"/>
      <x:c r="C2346" s="2"/>
      <x:c r="D2346" s="2"/>
      <x:c r="E2346" s="2"/>
      <x:c r="F2346" s="2"/>
      <x:c r="G2346" s="2"/>
    </x:row>
    <x:row r="2347">
      <x:c r="B2347" s="2"/>
      <x:c r="C2347" s="2"/>
      <x:c r="D2347" s="2"/>
      <x:c r="E2347" s="2"/>
      <x:c r="F2347" s="2"/>
      <x:c r="G2347" s="2"/>
    </x:row>
    <x:row r="2348">
      <x:c r="B2348" s="2"/>
      <x:c r="C2348" s="2"/>
      <x:c r="D2348" s="2"/>
      <x:c r="E2348" s="2"/>
      <x:c r="F2348" s="2"/>
      <x:c r="G2348" s="2"/>
    </x:row>
    <x:row r="2349">
      <x:c r="B2349" s="2"/>
      <x:c r="C2349" s="2"/>
      <x:c r="D2349" s="2"/>
      <x:c r="E2349" s="2"/>
      <x:c r="F2349" s="2"/>
      <x:c r="G2349" s="2"/>
    </x:row>
    <x:row r="2350">
      <x:c r="B2350" s="2"/>
      <x:c r="C2350" s="2"/>
      <x:c r="D2350" s="2"/>
      <x:c r="E2350" s="2"/>
      <x:c r="F2350" s="2"/>
      <x:c r="G2350" s="2"/>
    </x:row>
    <x:row r="2351">
      <x:c r="B2351" s="2"/>
      <x:c r="C2351" s="2"/>
      <x:c r="D2351" s="2"/>
      <x:c r="E2351" s="2"/>
      <x:c r="F2351" s="2"/>
      <x:c r="G2351" s="2"/>
    </x:row>
    <x:row r="2352">
      <x:c r="B2352" s="2"/>
      <x:c r="C2352" s="2"/>
      <x:c r="D2352" s="2"/>
      <x:c r="E2352" s="2"/>
      <x:c r="F2352" s="2"/>
      <x:c r="G2352" s="2"/>
    </x:row>
    <x:row r="2353">
      <x:c r="B2353" s="2"/>
      <x:c r="C2353" s="2"/>
      <x:c r="D2353" s="2"/>
      <x:c r="E2353" s="2"/>
      <x:c r="F2353" s="2"/>
      <x:c r="G2353" s="2"/>
    </x:row>
    <x:row r="2354">
      <x:c r="B2354" s="2"/>
      <x:c r="C2354" s="2"/>
      <x:c r="D2354" s="2"/>
      <x:c r="E2354" s="2"/>
      <x:c r="F2354" s="2"/>
      <x:c r="G2354" s="2"/>
    </x:row>
    <x:row r="2355">
      <x:c r="B2355" s="2"/>
      <x:c r="C2355" s="2"/>
      <x:c r="D2355" s="2"/>
      <x:c r="E2355" s="2"/>
      <x:c r="F2355" s="2"/>
      <x:c r="G2355" s="2"/>
    </x:row>
    <x:row r="2356">
      <x:c r="B2356" s="2"/>
      <x:c r="C2356" s="2"/>
      <x:c r="D2356" s="2"/>
      <x:c r="E2356" s="2"/>
      <x:c r="F2356" s="2"/>
      <x:c r="G2356" s="2"/>
    </x:row>
    <x:row r="2357">
      <x:c r="B2357" s="2"/>
      <x:c r="C2357" s="2"/>
      <x:c r="D2357" s="2"/>
      <x:c r="E2357" s="2"/>
      <x:c r="F2357" s="2"/>
      <x:c r="G2357" s="2"/>
    </x:row>
    <x:row r="2358">
      <x:c r="B2358" s="2"/>
      <x:c r="C2358" s="2"/>
      <x:c r="D2358" s="2"/>
      <x:c r="E2358" s="2"/>
      <x:c r="F2358" s="2"/>
      <x:c r="G2358" s="2"/>
    </x:row>
    <x:row r="2359">
      <x:c r="B2359" s="2"/>
      <x:c r="C2359" s="2"/>
      <x:c r="D2359" s="2"/>
      <x:c r="E2359" s="2"/>
      <x:c r="F2359" s="2"/>
      <x:c r="G2359" s="2"/>
    </x:row>
    <x:row r="2360">
      <x:c r="B2360" s="2"/>
      <x:c r="C2360" s="2"/>
      <x:c r="D2360" s="2"/>
      <x:c r="E2360" s="2"/>
      <x:c r="F2360" s="2"/>
      <x:c r="G2360" s="2"/>
    </x:row>
    <x:row r="2361">
      <x:c r="B2361" s="2"/>
      <x:c r="C2361" s="2"/>
      <x:c r="D2361" s="2"/>
      <x:c r="E2361" s="2"/>
      <x:c r="F2361" s="2"/>
      <x:c r="G2361" s="2"/>
    </x:row>
    <x:row r="2362">
      <x:c r="B2362" s="2"/>
      <x:c r="C2362" s="2"/>
      <x:c r="D2362" s="2"/>
      <x:c r="E2362" s="2"/>
      <x:c r="F2362" s="2"/>
      <x:c r="G2362" s="2"/>
    </x:row>
    <x:row r="2363">
      <x:c r="B2363" s="2"/>
      <x:c r="C2363" s="2"/>
      <x:c r="D2363" s="2"/>
      <x:c r="E2363" s="2"/>
      <x:c r="F2363" s="2"/>
      <x:c r="G2363" s="2"/>
    </x:row>
    <x:row r="2364">
      <x:c r="B2364" s="2"/>
      <x:c r="C2364" s="2"/>
      <x:c r="D2364" s="2"/>
      <x:c r="E2364" s="2"/>
      <x:c r="F2364" s="2"/>
      <x:c r="G2364" s="2"/>
    </x:row>
    <x:row r="2365">
      <x:c r="B2365" s="2"/>
      <x:c r="C2365" s="2"/>
      <x:c r="D2365" s="2"/>
      <x:c r="E2365" s="2"/>
      <x:c r="F2365" s="2"/>
      <x:c r="G2365" s="2"/>
    </x:row>
    <x:row r="2366">
      <x:c r="B2366" s="2"/>
      <x:c r="C2366" s="2"/>
      <x:c r="D2366" s="2"/>
      <x:c r="E2366" s="2"/>
      <x:c r="F2366" s="2"/>
      <x:c r="G2366" s="2"/>
    </x:row>
    <x:row r="2367">
      <x:c r="B2367" s="2"/>
      <x:c r="C2367" s="2"/>
      <x:c r="D2367" s="2"/>
      <x:c r="E2367" s="2"/>
      <x:c r="F2367" s="2"/>
      <x:c r="G2367" s="2"/>
    </x:row>
    <x:row r="2368">
      <x:c r="B2368" s="2"/>
      <x:c r="C2368" s="2"/>
      <x:c r="D2368" s="2"/>
      <x:c r="E2368" s="2"/>
      <x:c r="F2368" s="2"/>
      <x:c r="G2368" s="2"/>
    </x:row>
    <x:row r="2369">
      <x:c r="B2369" s="2"/>
      <x:c r="C2369" s="2"/>
      <x:c r="D2369" s="2"/>
      <x:c r="E2369" s="2"/>
      <x:c r="F2369" s="2"/>
      <x:c r="G2369" s="2"/>
    </x:row>
    <x:row r="2370">
      <x:c r="B2370" s="2"/>
      <x:c r="C2370" s="2"/>
      <x:c r="D2370" s="2"/>
      <x:c r="E2370" s="2"/>
      <x:c r="F2370" s="2"/>
      <x:c r="G2370" s="2"/>
    </x:row>
    <x:row r="2371">
      <x:c r="B2371" s="2"/>
      <x:c r="C2371" s="2"/>
      <x:c r="D2371" s="2"/>
      <x:c r="E2371" s="2"/>
      <x:c r="F2371" s="2"/>
      <x:c r="G2371" s="2"/>
    </x:row>
    <x:row r="2372">
      <x:c r="B2372" s="2"/>
      <x:c r="C2372" s="2"/>
      <x:c r="D2372" s="2"/>
      <x:c r="E2372" s="2"/>
      <x:c r="F2372" s="2"/>
      <x:c r="G2372" s="2"/>
    </x:row>
    <x:row r="2373">
      <x:c r="B2373" s="2"/>
      <x:c r="C2373" s="2"/>
      <x:c r="D2373" s="2"/>
      <x:c r="E2373" s="2"/>
      <x:c r="F2373" s="2"/>
      <x:c r="G2373" s="2"/>
    </x:row>
    <x:row r="2374">
      <x:c r="B2374" s="2"/>
      <x:c r="C2374" s="2"/>
      <x:c r="D2374" s="2"/>
      <x:c r="E2374" s="2"/>
      <x:c r="F2374" s="2"/>
      <x:c r="G2374" s="2"/>
    </x:row>
    <x:row r="2375">
      <x:c r="B2375" s="2"/>
      <x:c r="C2375" s="2"/>
      <x:c r="D2375" s="2"/>
      <x:c r="E2375" s="2"/>
      <x:c r="F2375" s="2"/>
      <x:c r="G2375" s="2"/>
    </x:row>
    <x:row r="2376">
      <x:c r="B2376" s="2"/>
      <x:c r="C2376" s="2"/>
      <x:c r="D2376" s="2"/>
      <x:c r="E2376" s="2"/>
      <x:c r="F2376" s="2"/>
      <x:c r="G2376" s="2"/>
    </x:row>
    <x:row r="2377">
      <x:c r="B2377" s="2"/>
      <x:c r="C2377" s="2"/>
      <x:c r="D2377" s="2"/>
      <x:c r="E2377" s="2"/>
      <x:c r="F2377" s="2"/>
      <x:c r="G2377" s="2"/>
    </x:row>
    <x:row r="2378">
      <x:c r="B2378" s="2"/>
      <x:c r="C2378" s="2"/>
      <x:c r="D2378" s="2"/>
      <x:c r="E2378" s="2"/>
      <x:c r="F2378" s="2"/>
      <x:c r="G2378" s="2"/>
    </x:row>
    <x:row r="2379">
      <x:c r="B2379" s="2"/>
      <x:c r="C2379" s="2"/>
      <x:c r="D2379" s="2"/>
      <x:c r="E2379" s="2"/>
      <x:c r="F2379" s="2"/>
      <x:c r="G2379" s="2"/>
    </x:row>
    <x:row r="2380">
      <x:c r="B2380" s="2"/>
      <x:c r="C2380" s="2"/>
      <x:c r="D2380" s="2"/>
      <x:c r="E2380" s="2"/>
      <x:c r="F2380" s="2"/>
      <x:c r="G2380" s="2"/>
    </x:row>
    <x:row r="2381">
      <x:c r="B2381" s="2"/>
      <x:c r="C2381" s="2"/>
      <x:c r="D2381" s="2"/>
      <x:c r="E2381" s="2"/>
      <x:c r="F2381" s="2"/>
      <x:c r="G2381" s="2"/>
    </x:row>
    <x:row r="2382">
      <x:c r="B2382" s="2"/>
      <x:c r="C2382" s="2"/>
      <x:c r="D2382" s="2"/>
      <x:c r="E2382" s="2"/>
      <x:c r="F2382" s="2"/>
      <x:c r="G2382" s="2"/>
    </x:row>
    <x:row r="2383">
      <x:c r="B2383" s="2"/>
      <x:c r="C2383" s="2"/>
      <x:c r="D2383" s="2"/>
      <x:c r="E2383" s="2"/>
      <x:c r="F2383" s="2"/>
      <x:c r="G2383" s="2"/>
    </x:row>
    <x:row r="2384">
      <x:c r="B2384" s="2"/>
      <x:c r="C2384" s="2"/>
      <x:c r="D2384" s="2"/>
      <x:c r="E2384" s="2"/>
      <x:c r="F2384" s="2"/>
      <x:c r="G2384" s="2"/>
    </x:row>
    <x:row r="2385">
      <x:c r="B2385" s="2"/>
      <x:c r="C2385" s="2"/>
      <x:c r="D2385" s="2"/>
      <x:c r="E2385" s="2"/>
      <x:c r="F2385" s="2"/>
      <x:c r="G2385" s="2"/>
    </x:row>
    <x:row r="2386">
      <x:c r="B2386" s="2"/>
      <x:c r="C2386" s="2"/>
      <x:c r="D2386" s="2"/>
      <x:c r="E2386" s="2"/>
      <x:c r="F2386" s="2"/>
      <x:c r="G2386" s="2"/>
    </x:row>
    <x:row r="2387">
      <x:c r="B2387" s="2"/>
      <x:c r="C2387" s="2"/>
      <x:c r="D2387" s="2"/>
      <x:c r="E2387" s="2"/>
      <x:c r="F2387" s="2"/>
      <x:c r="G2387" s="2"/>
    </x:row>
    <x:row r="2388">
      <x:c r="B2388" s="2"/>
      <x:c r="C2388" s="2"/>
      <x:c r="D2388" s="2"/>
      <x:c r="E2388" s="2"/>
      <x:c r="F2388" s="2"/>
      <x:c r="G2388" s="2"/>
    </x:row>
    <x:row r="2389">
      <x:c r="B2389" s="2"/>
      <x:c r="C2389" s="2"/>
      <x:c r="D2389" s="2"/>
      <x:c r="E2389" s="2"/>
      <x:c r="F2389" s="2"/>
      <x:c r="G2389" s="2"/>
    </x:row>
    <x:row r="2390">
      <x:c r="B2390" s="2"/>
      <x:c r="C2390" s="2"/>
      <x:c r="D2390" s="2"/>
      <x:c r="E2390" s="2"/>
      <x:c r="F2390" s="2"/>
      <x:c r="G2390" s="2"/>
    </x:row>
    <x:row r="2391">
      <x:c r="B2391" s="2"/>
      <x:c r="C2391" s="2"/>
      <x:c r="D2391" s="2"/>
      <x:c r="E2391" s="2"/>
      <x:c r="F2391" s="2"/>
      <x:c r="G2391" s="2"/>
    </x:row>
    <x:row r="2392">
      <x:c r="B2392" s="2"/>
      <x:c r="C2392" s="2"/>
      <x:c r="D2392" s="2"/>
      <x:c r="E2392" s="2"/>
      <x:c r="F2392" s="2"/>
      <x:c r="G2392" s="2"/>
    </x:row>
    <x:row r="2393">
      <x:c r="B2393" s="2"/>
      <x:c r="C2393" s="2"/>
      <x:c r="D2393" s="2"/>
      <x:c r="E2393" s="2"/>
      <x:c r="F2393" s="2"/>
      <x:c r="G2393" s="2"/>
    </x:row>
    <x:row r="2394">
      <x:c r="B2394" s="2"/>
      <x:c r="C2394" s="2"/>
      <x:c r="D2394" s="2"/>
      <x:c r="E2394" s="2"/>
      <x:c r="F2394" s="2"/>
      <x:c r="G2394" s="2"/>
    </x:row>
    <x:row r="2395">
      <x:c r="B2395" s="2"/>
      <x:c r="C2395" s="2"/>
      <x:c r="D2395" s="2"/>
      <x:c r="E2395" s="2"/>
      <x:c r="F2395" s="2"/>
      <x:c r="G2395" s="2"/>
    </x:row>
    <x:row r="2396">
      <x:c r="B2396" s="2"/>
      <x:c r="C2396" s="2"/>
      <x:c r="D2396" s="2"/>
      <x:c r="E2396" s="2"/>
      <x:c r="F2396" s="2"/>
      <x:c r="G2396" s="2"/>
    </x:row>
    <x:row r="2397">
      <x:c r="B2397" s="2"/>
      <x:c r="C2397" s="2"/>
      <x:c r="D2397" s="2"/>
      <x:c r="E2397" s="2"/>
      <x:c r="F2397" s="2"/>
      <x:c r="G2397" s="2"/>
    </x:row>
    <x:row r="2398">
      <x:c r="B2398" s="2"/>
      <x:c r="C2398" s="2"/>
      <x:c r="D2398" s="2"/>
      <x:c r="E2398" s="2"/>
      <x:c r="F2398" s="2"/>
      <x:c r="G2398" s="2"/>
    </x:row>
    <x:row r="2399">
      <x:c r="B2399" s="2"/>
      <x:c r="C2399" s="2"/>
      <x:c r="D2399" s="2"/>
      <x:c r="E2399" s="2"/>
      <x:c r="F2399" s="2"/>
      <x:c r="G2399" s="2"/>
    </x:row>
    <x:row r="2400">
      <x:c r="B2400" s="2"/>
      <x:c r="C2400" s="2"/>
      <x:c r="D2400" s="2"/>
      <x:c r="E2400" s="2"/>
      <x:c r="F2400" s="2"/>
      <x:c r="G2400" s="2"/>
    </x:row>
    <x:row r="2401">
      <x:c r="B2401" s="2"/>
      <x:c r="C2401" s="2"/>
      <x:c r="D2401" s="2"/>
      <x:c r="E2401" s="2"/>
      <x:c r="F2401" s="2"/>
      <x:c r="G2401" s="2"/>
    </x:row>
    <x:row r="2402">
      <x:c r="B2402" s="2"/>
      <x:c r="C2402" s="2"/>
      <x:c r="D2402" s="2"/>
      <x:c r="E2402" s="2"/>
      <x:c r="F2402" s="2"/>
      <x:c r="G2402" s="2"/>
    </x:row>
    <x:row r="2403">
      <x:c r="B2403" s="2"/>
      <x:c r="C2403" s="2"/>
      <x:c r="D2403" s="2"/>
      <x:c r="E2403" s="2"/>
      <x:c r="F2403" s="2"/>
      <x:c r="G2403" s="2"/>
    </x:row>
    <x:row r="2404">
      <x:c r="B2404" s="2"/>
      <x:c r="C2404" s="2"/>
      <x:c r="D2404" s="2"/>
      <x:c r="E2404" s="2"/>
      <x:c r="F2404" s="2"/>
      <x:c r="G2404" s="2"/>
    </x:row>
    <x:row r="2405">
      <x:c r="B2405" s="2"/>
      <x:c r="C2405" s="2"/>
      <x:c r="D2405" s="2"/>
      <x:c r="E2405" s="2"/>
      <x:c r="F2405" s="2"/>
      <x:c r="G2405" s="2"/>
    </x:row>
    <x:row r="2406">
      <x:c r="B2406" s="2"/>
      <x:c r="C2406" s="2"/>
      <x:c r="D2406" s="2"/>
      <x:c r="E2406" s="2"/>
      <x:c r="F2406" s="2"/>
      <x:c r="G2406" s="2"/>
    </x:row>
    <x:row r="2407">
      <x:c r="B2407" s="2"/>
      <x:c r="C2407" s="2"/>
      <x:c r="D2407" s="2"/>
      <x:c r="E2407" s="2"/>
      <x:c r="F2407" s="2"/>
      <x:c r="G2407" s="2"/>
    </x:row>
    <x:row r="2408">
      <x:c r="B2408" s="2"/>
      <x:c r="C2408" s="2"/>
      <x:c r="D2408" s="2"/>
      <x:c r="E2408" s="2"/>
      <x:c r="F2408" s="2"/>
      <x:c r="G2408" s="2"/>
    </x:row>
    <x:row r="2409">
      <x:c r="B2409" s="2"/>
      <x:c r="C2409" s="2"/>
      <x:c r="D2409" s="2"/>
      <x:c r="E2409" s="2"/>
      <x:c r="F2409" s="2"/>
      <x:c r="G2409" s="2"/>
    </x:row>
    <x:row r="2410">
      <x:c r="B2410" s="2"/>
      <x:c r="C2410" s="2"/>
      <x:c r="D2410" s="2"/>
      <x:c r="E2410" s="2"/>
      <x:c r="F2410" s="2"/>
      <x:c r="G2410" s="2"/>
    </x:row>
    <x:row r="2411">
      <x:c r="B2411" s="2"/>
      <x:c r="C2411" s="2"/>
      <x:c r="D2411" s="2"/>
      <x:c r="E2411" s="2"/>
      <x:c r="F2411" s="2"/>
      <x:c r="G2411" s="2"/>
    </x:row>
    <x:row r="2412">
      <x:c r="B2412" s="2"/>
      <x:c r="C2412" s="2"/>
      <x:c r="D2412" s="2"/>
      <x:c r="E2412" s="2"/>
      <x:c r="F2412" s="2"/>
      <x:c r="G2412" s="2"/>
    </x:row>
    <x:row r="2413">
      <x:c r="B2413" s="2"/>
      <x:c r="C2413" s="2"/>
      <x:c r="D2413" s="2"/>
      <x:c r="E2413" s="2"/>
      <x:c r="F2413" s="2"/>
      <x:c r="G2413" s="2"/>
    </x:row>
    <x:row r="2414">
      <x:c r="B2414" s="2"/>
      <x:c r="C2414" s="2"/>
      <x:c r="D2414" s="2"/>
      <x:c r="E2414" s="2"/>
      <x:c r="F2414" s="2"/>
      <x:c r="G2414" s="2"/>
    </x:row>
    <x:row r="2415">
      <x:c r="B2415" s="2"/>
      <x:c r="C2415" s="2"/>
      <x:c r="D2415" s="2"/>
      <x:c r="E2415" s="2"/>
      <x:c r="F2415" s="2"/>
      <x:c r="G2415" s="2"/>
    </x:row>
    <x:row r="2416">
      <x:c r="B2416" s="2"/>
      <x:c r="C2416" s="2"/>
      <x:c r="D2416" s="2"/>
      <x:c r="E2416" s="2"/>
      <x:c r="F2416" s="2"/>
      <x:c r="G2416" s="2"/>
    </x:row>
    <x:row r="2417">
      <x:c r="B2417" s="2"/>
      <x:c r="C2417" s="2"/>
      <x:c r="D2417" s="2"/>
      <x:c r="E2417" s="2"/>
      <x:c r="F2417" s="2"/>
      <x:c r="G2417" s="2"/>
    </x:row>
    <x:row r="2418">
      <x:c r="B2418" s="2"/>
      <x:c r="C2418" s="2"/>
      <x:c r="D2418" s="2"/>
      <x:c r="E2418" s="2"/>
      <x:c r="F2418" s="2"/>
      <x:c r="G2418" s="2"/>
    </x:row>
    <x:row r="2419">
      <x:c r="B2419" s="2"/>
      <x:c r="C2419" s="2"/>
      <x:c r="D2419" s="2"/>
      <x:c r="E2419" s="2"/>
      <x:c r="F2419" s="2"/>
      <x:c r="G2419" s="2"/>
    </x:row>
    <x:row r="2420">
      <x:c r="B2420" s="2"/>
      <x:c r="C2420" s="2"/>
      <x:c r="D2420" s="2"/>
      <x:c r="E2420" s="2"/>
      <x:c r="F2420" s="2"/>
      <x:c r="G2420" s="2"/>
    </x:row>
    <x:row r="2421">
      <x:c r="B2421" s="2"/>
      <x:c r="C2421" s="2"/>
      <x:c r="D2421" s="2"/>
      <x:c r="E2421" s="2"/>
      <x:c r="F2421" s="2"/>
      <x:c r="G2421" s="2"/>
    </x:row>
    <x:row r="2422">
      <x:c r="B2422" s="2"/>
      <x:c r="C2422" s="2"/>
      <x:c r="D2422" s="2"/>
      <x:c r="E2422" s="2"/>
      <x:c r="F2422" s="2"/>
      <x:c r="G2422" s="2"/>
    </x:row>
    <x:row r="2423">
      <x:c r="B2423" s="2"/>
      <x:c r="C2423" s="2"/>
      <x:c r="D2423" s="2"/>
      <x:c r="E2423" s="2"/>
      <x:c r="F2423" s="2"/>
      <x:c r="G2423" s="2"/>
    </x:row>
    <x:row r="2424">
      <x:c r="B2424" s="2"/>
      <x:c r="C2424" s="2"/>
      <x:c r="D2424" s="2"/>
      <x:c r="E2424" s="2"/>
      <x:c r="F2424" s="2"/>
      <x:c r="G2424" s="2"/>
    </x:row>
    <x:row r="2425">
      <x:c r="B2425" s="2"/>
      <x:c r="C2425" s="2"/>
      <x:c r="D2425" s="2"/>
      <x:c r="E2425" s="2"/>
      <x:c r="F2425" s="2"/>
      <x:c r="G2425" s="2"/>
    </x:row>
    <x:row r="2426">
      <x:c r="B2426" s="2"/>
      <x:c r="C2426" s="2"/>
      <x:c r="D2426" s="2"/>
      <x:c r="E2426" s="2"/>
      <x:c r="F2426" s="2"/>
      <x:c r="G2426" s="2"/>
    </x:row>
    <x:row r="2427">
      <x:c r="B2427" s="2"/>
      <x:c r="C2427" s="2"/>
      <x:c r="D2427" s="2"/>
      <x:c r="E2427" s="2"/>
      <x:c r="F2427" s="2"/>
      <x:c r="G2427" s="2"/>
    </x:row>
    <x:row r="2428">
      <x:c r="B2428" s="2"/>
      <x:c r="C2428" s="2"/>
      <x:c r="D2428" s="2"/>
      <x:c r="E2428" s="2"/>
      <x:c r="F2428" s="2"/>
      <x:c r="G2428" s="2"/>
    </x:row>
    <x:row r="2429">
      <x:c r="B2429" s="2"/>
      <x:c r="C2429" s="2"/>
      <x:c r="D2429" s="2"/>
      <x:c r="E2429" s="2"/>
      <x:c r="F2429" s="2"/>
      <x:c r="G2429" s="2"/>
    </x:row>
    <x:row r="2430">
      <x:c r="B2430" s="2"/>
      <x:c r="C2430" s="2"/>
      <x:c r="D2430" s="2"/>
      <x:c r="E2430" s="2"/>
      <x:c r="F2430" s="2"/>
      <x:c r="G2430" s="2"/>
    </x:row>
    <x:row r="2431">
      <x:c r="B2431" s="2"/>
      <x:c r="C2431" s="2"/>
      <x:c r="D2431" s="2"/>
      <x:c r="E2431" s="2"/>
      <x:c r="F2431" s="2"/>
      <x:c r="G2431" s="2"/>
    </x:row>
    <x:row r="2432">
      <x:c r="B2432" s="2"/>
      <x:c r="C2432" s="2"/>
      <x:c r="D2432" s="2"/>
      <x:c r="E2432" s="2"/>
      <x:c r="F2432" s="2"/>
      <x:c r="G2432" s="2"/>
    </x:row>
    <x:row r="2433">
      <x:c r="B2433" s="2"/>
      <x:c r="C2433" s="2"/>
      <x:c r="D2433" s="2"/>
      <x:c r="E2433" s="2"/>
      <x:c r="F2433" s="2"/>
      <x:c r="G2433" s="2"/>
    </x:row>
    <x:row r="2434">
      <x:c r="B2434" s="2"/>
      <x:c r="C2434" s="2"/>
      <x:c r="D2434" s="2"/>
      <x:c r="E2434" s="2"/>
      <x:c r="F2434" s="2"/>
      <x:c r="G2434" s="2"/>
    </x:row>
    <x:row r="2435">
      <x:c r="B2435" s="2"/>
      <x:c r="C2435" s="2"/>
      <x:c r="D2435" s="2"/>
      <x:c r="E2435" s="2"/>
      <x:c r="F2435" s="2"/>
      <x:c r="G2435" s="2"/>
    </x:row>
    <x:row r="2436">
      <x:c r="B2436" s="2"/>
      <x:c r="C2436" s="2"/>
      <x:c r="D2436" s="2"/>
      <x:c r="E2436" s="2"/>
      <x:c r="F2436" s="2"/>
      <x:c r="G2436" s="2"/>
    </x:row>
    <x:row r="2437">
      <x:c r="B2437" s="2"/>
      <x:c r="C2437" s="2"/>
      <x:c r="D2437" s="2"/>
      <x:c r="E2437" s="2"/>
      <x:c r="F2437" s="2"/>
      <x:c r="G2437" s="2"/>
    </x:row>
    <x:row r="2438">
      <x:c r="B2438" s="2"/>
      <x:c r="C2438" s="2"/>
      <x:c r="D2438" s="2"/>
      <x:c r="E2438" s="2"/>
      <x:c r="F2438" s="2"/>
      <x:c r="G2438" s="2"/>
    </x:row>
    <x:row r="2439">
      <x:c r="B2439" s="2"/>
      <x:c r="C2439" s="2"/>
      <x:c r="D2439" s="2"/>
      <x:c r="E2439" s="2"/>
      <x:c r="F2439" s="2"/>
      <x:c r="G2439" s="2"/>
    </x:row>
    <x:row r="2440">
      <x:c r="B2440" s="2"/>
      <x:c r="C2440" s="2"/>
      <x:c r="D2440" s="2"/>
      <x:c r="E2440" s="2"/>
      <x:c r="F2440" s="2"/>
      <x:c r="G2440" s="2"/>
    </x:row>
    <x:row r="2441">
      <x:c r="B2441" s="2"/>
      <x:c r="C2441" s="2"/>
      <x:c r="D2441" s="2"/>
      <x:c r="E2441" s="2"/>
      <x:c r="F2441" s="2"/>
      <x:c r="G2441" s="2"/>
    </x:row>
    <x:row r="2442">
      <x:c r="B2442" s="2"/>
      <x:c r="C2442" s="2"/>
      <x:c r="D2442" s="2"/>
      <x:c r="E2442" s="2"/>
      <x:c r="F2442" s="2"/>
      <x:c r="G2442" s="2"/>
    </x:row>
    <x:row r="2443">
      <x:c r="B2443" s="2"/>
      <x:c r="C2443" s="2"/>
      <x:c r="D2443" s="2"/>
      <x:c r="E2443" s="2"/>
      <x:c r="F2443" s="2"/>
      <x:c r="G2443" s="2"/>
    </x:row>
    <x:row r="2444">
      <x:c r="B2444" s="2"/>
      <x:c r="C2444" s="2"/>
      <x:c r="D2444" s="2"/>
      <x:c r="E2444" s="2"/>
      <x:c r="F2444" s="2"/>
      <x:c r="G2444" s="2"/>
    </x:row>
    <x:row r="2445">
      <x:c r="B2445" s="2"/>
      <x:c r="C2445" s="2"/>
      <x:c r="D2445" s="2"/>
      <x:c r="E2445" s="2"/>
      <x:c r="F2445" s="2"/>
      <x:c r="G2445" s="2"/>
    </x:row>
    <x:row r="2446">
      <x:c r="B2446" s="2"/>
      <x:c r="C2446" s="2"/>
      <x:c r="D2446" s="2"/>
      <x:c r="E2446" s="2"/>
      <x:c r="F2446" s="2"/>
      <x:c r="G2446" s="2"/>
    </x:row>
    <x:row r="2447">
      <x:c r="B2447" s="2"/>
      <x:c r="C2447" s="2"/>
      <x:c r="D2447" s="2"/>
      <x:c r="E2447" s="2"/>
      <x:c r="F2447" s="2"/>
      <x:c r="G2447" s="2"/>
    </x:row>
    <x:row r="2448">
      <x:c r="B2448" s="2"/>
      <x:c r="C2448" s="2"/>
      <x:c r="D2448" s="2"/>
      <x:c r="E2448" s="2"/>
      <x:c r="F2448" s="2"/>
      <x:c r="G2448" s="2"/>
    </x:row>
    <x:row r="2449">
      <x:c r="B2449" s="2"/>
      <x:c r="C2449" s="2"/>
      <x:c r="D2449" s="2"/>
      <x:c r="E2449" s="2"/>
      <x:c r="F2449" s="2"/>
      <x:c r="G2449" s="2"/>
    </x:row>
    <x:row r="2450">
      <x:c r="B2450" s="2"/>
      <x:c r="C2450" s="2"/>
      <x:c r="D2450" s="2"/>
      <x:c r="E2450" s="2"/>
      <x:c r="F2450" s="2"/>
      <x:c r="G2450" s="2"/>
    </x:row>
    <x:row r="2451">
      <x:c r="B2451" s="2"/>
      <x:c r="C2451" s="2"/>
      <x:c r="D2451" s="2"/>
      <x:c r="E2451" s="2"/>
      <x:c r="F2451" s="2"/>
      <x:c r="G2451" s="2"/>
    </x:row>
    <x:row r="2452">
      <x:c r="B2452" s="2"/>
      <x:c r="C2452" s="2"/>
      <x:c r="D2452" s="2"/>
      <x:c r="E2452" s="2"/>
      <x:c r="F2452" s="2"/>
      <x:c r="G2452" s="2"/>
    </x:row>
    <x:row r="2453">
      <x:c r="B2453" s="2"/>
      <x:c r="C2453" s="2"/>
      <x:c r="D2453" s="2"/>
      <x:c r="E2453" s="2"/>
      <x:c r="F2453" s="2"/>
      <x:c r="G2453" s="2"/>
    </x:row>
    <x:row r="2454">
      <x:c r="B2454" s="2"/>
      <x:c r="C2454" s="2"/>
      <x:c r="D2454" s="2"/>
      <x:c r="E2454" s="2"/>
      <x:c r="F2454" s="2"/>
      <x:c r="G2454" s="2"/>
    </x:row>
    <x:row r="2455">
      <x:c r="B2455" s="2"/>
      <x:c r="C2455" s="2"/>
      <x:c r="D2455" s="2"/>
      <x:c r="E2455" s="2"/>
      <x:c r="F2455" s="2"/>
      <x:c r="G2455" s="2"/>
    </x:row>
    <x:row r="2456">
      <x:c r="B2456" s="2"/>
      <x:c r="C2456" s="2"/>
      <x:c r="D2456" s="2"/>
      <x:c r="E2456" s="2"/>
      <x:c r="F2456" s="2"/>
      <x:c r="G2456" s="2"/>
    </x:row>
    <x:row r="2457">
      <x:c r="B2457" s="2"/>
      <x:c r="C2457" s="2"/>
      <x:c r="D2457" s="2"/>
      <x:c r="E2457" s="2"/>
      <x:c r="F2457" s="2"/>
      <x:c r="G2457" s="2"/>
    </x:row>
    <x:row r="2458">
      <x:c r="B2458" s="2"/>
      <x:c r="C2458" s="2"/>
      <x:c r="D2458" s="2"/>
      <x:c r="E2458" s="2"/>
      <x:c r="F2458" s="2"/>
      <x:c r="G2458" s="2"/>
    </x:row>
    <x:row r="2459">
      <x:c r="B2459" s="2"/>
      <x:c r="C2459" s="2"/>
      <x:c r="D2459" s="2"/>
      <x:c r="E2459" s="2"/>
      <x:c r="F2459" s="2"/>
      <x:c r="G2459" s="2"/>
    </x:row>
    <x:row r="2460">
      <x:c r="B2460" s="2"/>
      <x:c r="C2460" s="2"/>
      <x:c r="D2460" s="2"/>
      <x:c r="E2460" s="2"/>
      <x:c r="F2460" s="2"/>
      <x:c r="G2460" s="2"/>
    </x:row>
    <x:row r="2461">
      <x:c r="B2461" s="2"/>
      <x:c r="C2461" s="2"/>
      <x:c r="D2461" s="2"/>
      <x:c r="E2461" s="2"/>
      <x:c r="F2461" s="2"/>
      <x:c r="G2461" s="2"/>
    </x:row>
    <x:row r="2462">
      <x:c r="B2462" s="2"/>
      <x:c r="C2462" s="2"/>
      <x:c r="D2462" s="2"/>
      <x:c r="E2462" s="2"/>
      <x:c r="F2462" s="2"/>
      <x:c r="G2462" s="2"/>
    </x:row>
    <x:row r="2463">
      <x:c r="B2463" s="2"/>
      <x:c r="C2463" s="2"/>
      <x:c r="D2463" s="2"/>
      <x:c r="E2463" s="2"/>
      <x:c r="F2463" s="2"/>
      <x:c r="G2463" s="2"/>
    </x:row>
    <x:row r="2464">
      <x:c r="B2464" s="2"/>
      <x:c r="C2464" s="2"/>
      <x:c r="D2464" s="2"/>
      <x:c r="E2464" s="2"/>
      <x:c r="F2464" s="2"/>
      <x:c r="G2464" s="2"/>
    </x:row>
    <x:row r="2465">
      <x:c r="B2465" s="2"/>
      <x:c r="C2465" s="2"/>
      <x:c r="D2465" s="2"/>
      <x:c r="E2465" s="2"/>
      <x:c r="F2465" s="2"/>
      <x:c r="G2465" s="2"/>
    </x:row>
    <x:row r="2466">
      <x:c r="B2466" s="2"/>
      <x:c r="C2466" s="2"/>
      <x:c r="D2466" s="2"/>
      <x:c r="E2466" s="2"/>
      <x:c r="F2466" s="2"/>
      <x:c r="G2466" s="2"/>
    </x:row>
    <x:row r="2467">
      <x:c r="B2467" s="2"/>
      <x:c r="C2467" s="2"/>
      <x:c r="D2467" s="2"/>
      <x:c r="E2467" s="2"/>
      <x:c r="F2467" s="2"/>
      <x:c r="G2467" s="2"/>
    </x:row>
    <x:row r="2468">
      <x:c r="B2468" s="2"/>
      <x:c r="C2468" s="2"/>
      <x:c r="D2468" s="2"/>
      <x:c r="E2468" s="2"/>
      <x:c r="F2468" s="2"/>
      <x:c r="G2468" s="2"/>
    </x:row>
    <x:row r="2469">
      <x:c r="B2469" s="2"/>
      <x:c r="C2469" s="2"/>
      <x:c r="D2469" s="2"/>
      <x:c r="E2469" s="2"/>
      <x:c r="F2469" s="2"/>
      <x:c r="G2469" s="2"/>
    </x:row>
    <x:row r="2470">
      <x:c r="B2470" s="2"/>
      <x:c r="C2470" s="2"/>
      <x:c r="D2470" s="2"/>
      <x:c r="E2470" s="2"/>
      <x:c r="F2470" s="2"/>
      <x:c r="G2470" s="2"/>
    </x:row>
    <x:row r="2471">
      <x:c r="B2471" s="2"/>
      <x:c r="C2471" s="2"/>
      <x:c r="D2471" s="2"/>
      <x:c r="E2471" s="2"/>
      <x:c r="F2471" s="2"/>
      <x:c r="G2471" s="2"/>
    </x:row>
    <x:row r="2472">
      <x:c r="B2472" s="2"/>
      <x:c r="C2472" s="2"/>
      <x:c r="D2472" s="2"/>
      <x:c r="E2472" s="2"/>
      <x:c r="F2472" s="2"/>
      <x:c r="G2472" s="2"/>
    </x:row>
    <x:row r="2473">
      <x:c r="B2473" s="2"/>
      <x:c r="C2473" s="2"/>
      <x:c r="D2473" s="2"/>
      <x:c r="E2473" s="2"/>
      <x:c r="F2473" s="2"/>
      <x:c r="G2473" s="2"/>
    </x:row>
    <x:row r="2474">
      <x:c r="B2474" s="2"/>
      <x:c r="C2474" s="2"/>
      <x:c r="D2474" s="2"/>
      <x:c r="E2474" s="2"/>
      <x:c r="F2474" s="2"/>
      <x:c r="G2474" s="2"/>
    </x:row>
    <x:row r="2475">
      <x:c r="B2475" s="2"/>
      <x:c r="C2475" s="2"/>
      <x:c r="D2475" s="2"/>
      <x:c r="E2475" s="2"/>
      <x:c r="F2475" s="2"/>
      <x:c r="G2475" s="2"/>
    </x:row>
    <x:row r="2476">
      <x:c r="B2476" s="2"/>
      <x:c r="C2476" s="2"/>
      <x:c r="D2476" s="2"/>
      <x:c r="E2476" s="2"/>
      <x:c r="F2476" s="2"/>
      <x:c r="G2476" s="2"/>
    </x:row>
    <x:row r="2477">
      <x:c r="B2477" s="2"/>
      <x:c r="C2477" s="2"/>
      <x:c r="D2477" s="2"/>
      <x:c r="E2477" s="2"/>
      <x:c r="F2477" s="2"/>
      <x:c r="G2477" s="2"/>
    </x:row>
    <x:row r="2478">
      <x:c r="B2478" s="2"/>
      <x:c r="C2478" s="2"/>
      <x:c r="D2478" s="2"/>
      <x:c r="E2478" s="2"/>
      <x:c r="F2478" s="2"/>
      <x:c r="G2478" s="2"/>
    </x:row>
    <x:row r="2479">
      <x:c r="B2479" s="2"/>
      <x:c r="C2479" s="2"/>
      <x:c r="D2479" s="2"/>
      <x:c r="E2479" s="2"/>
      <x:c r="F2479" s="2"/>
      <x:c r="G2479" s="2"/>
    </x:row>
    <x:row r="2480">
      <x:c r="B2480" s="2"/>
      <x:c r="C2480" s="2"/>
      <x:c r="D2480" s="2"/>
      <x:c r="E2480" s="2"/>
      <x:c r="F2480" s="2"/>
      <x:c r="G2480" s="2"/>
    </x:row>
    <x:row r="2481">
      <x:c r="B2481" s="2"/>
      <x:c r="C2481" s="2"/>
      <x:c r="D2481" s="2"/>
      <x:c r="E2481" s="2"/>
      <x:c r="F2481" s="2"/>
      <x:c r="G2481" s="2"/>
    </x:row>
    <x:row r="2482">
      <x:c r="B2482" s="2"/>
      <x:c r="C2482" s="2"/>
      <x:c r="D2482" s="2"/>
      <x:c r="E2482" s="2"/>
      <x:c r="F2482" s="2"/>
      <x:c r="G2482" s="2"/>
    </x:row>
    <x:row r="2483">
      <x:c r="B2483" s="2"/>
      <x:c r="C2483" s="2"/>
      <x:c r="D2483" s="2"/>
      <x:c r="E2483" s="2"/>
      <x:c r="F2483" s="2"/>
      <x:c r="G2483" s="2"/>
    </x:row>
    <x:row r="2484">
      <x:c r="B2484" s="2"/>
      <x:c r="C2484" s="2"/>
      <x:c r="D2484" s="2"/>
      <x:c r="E2484" s="2"/>
      <x:c r="F2484" s="2"/>
      <x:c r="G2484" s="2"/>
    </x:row>
    <x:row r="2485">
      <x:c r="B2485" s="2"/>
      <x:c r="C2485" s="2"/>
      <x:c r="D2485" s="2"/>
      <x:c r="E2485" s="2"/>
      <x:c r="F2485" s="2"/>
      <x:c r="G2485" s="2"/>
    </x:row>
    <x:row r="2486">
      <x:c r="B2486" s="2"/>
      <x:c r="C2486" s="2"/>
      <x:c r="D2486" s="2"/>
      <x:c r="E2486" s="2"/>
      <x:c r="F2486" s="2"/>
      <x:c r="G2486" s="2"/>
    </x:row>
    <x:row r="2487">
      <x:c r="B2487" s="2"/>
      <x:c r="C2487" s="2"/>
      <x:c r="D2487" s="2"/>
      <x:c r="E2487" s="2"/>
      <x:c r="F2487" s="2"/>
      <x:c r="G2487" s="2"/>
    </x:row>
    <x:row r="2488">
      <x:c r="B2488" s="2"/>
      <x:c r="C2488" s="2"/>
      <x:c r="D2488" s="2"/>
      <x:c r="E2488" s="2"/>
      <x:c r="F2488" s="2"/>
      <x:c r="G2488" s="2"/>
    </x:row>
    <x:row r="2489">
      <x:c r="B2489" s="2"/>
      <x:c r="C2489" s="2"/>
      <x:c r="D2489" s="2"/>
      <x:c r="E2489" s="2"/>
      <x:c r="F2489" s="2"/>
      <x:c r="G2489" s="2"/>
    </x:row>
    <x:row r="2490">
      <x:c r="B2490" s="2"/>
      <x:c r="C2490" s="2"/>
      <x:c r="D2490" s="2"/>
      <x:c r="E2490" s="2"/>
      <x:c r="F2490" s="2"/>
      <x:c r="G2490" s="2"/>
    </x:row>
    <x:row r="2491">
      <x:c r="B2491" s="2"/>
      <x:c r="C2491" s="2"/>
      <x:c r="D2491" s="2"/>
      <x:c r="E2491" s="2"/>
      <x:c r="F2491" s="2"/>
      <x:c r="G2491" s="2"/>
    </x:row>
    <x:row r="2492">
      <x:c r="B2492" s="2"/>
      <x:c r="C2492" s="2"/>
      <x:c r="D2492" s="2"/>
      <x:c r="E2492" s="2"/>
      <x:c r="F2492" s="2"/>
      <x:c r="G2492" s="2"/>
    </x:row>
    <x:row r="2493">
      <x:c r="B2493" s="2"/>
      <x:c r="C2493" s="2"/>
      <x:c r="D2493" s="2"/>
      <x:c r="E2493" s="2"/>
      <x:c r="F2493" s="2"/>
      <x:c r="G2493" s="2"/>
    </x:row>
    <x:row r="2494">
      <x:c r="B2494" s="2"/>
      <x:c r="C2494" s="2"/>
      <x:c r="D2494" s="2"/>
      <x:c r="E2494" s="2"/>
      <x:c r="F2494" s="2"/>
      <x:c r="G2494" s="2"/>
    </x:row>
    <x:row r="2495">
      <x:c r="B2495" s="2"/>
      <x:c r="C2495" s="2"/>
      <x:c r="D2495" s="2"/>
      <x:c r="E2495" s="2"/>
      <x:c r="F2495" s="2"/>
      <x:c r="G2495" s="2"/>
    </x:row>
    <x:row r="2496">
      <x:c r="B2496" s="2"/>
      <x:c r="C2496" s="2"/>
      <x:c r="D2496" s="2"/>
      <x:c r="E2496" s="2"/>
      <x:c r="F2496" s="2"/>
      <x:c r="G2496" s="2"/>
    </x:row>
    <x:row r="2497">
      <x:c r="B2497" s="2"/>
      <x:c r="C2497" s="2"/>
      <x:c r="D2497" s="2"/>
      <x:c r="E2497" s="2"/>
      <x:c r="F2497" s="2"/>
      <x:c r="G2497" s="2"/>
    </x:row>
    <x:row r="2498">
      <x:c r="B2498" s="2"/>
      <x:c r="C2498" s="2"/>
      <x:c r="D2498" s="2"/>
      <x:c r="E2498" s="2"/>
      <x:c r="F2498" s="2"/>
      <x:c r="G2498" s="2"/>
    </x:row>
    <x:row r="2499">
      <x:c r="B2499" s="2"/>
      <x:c r="C2499" s="2"/>
      <x:c r="D2499" s="2"/>
      <x:c r="E2499" s="2"/>
      <x:c r="F2499" s="2"/>
      <x:c r="G2499" s="2"/>
    </x:row>
    <x:row r="2500">
      <x:c r="B2500" s="2"/>
      <x:c r="C2500" s="2"/>
      <x:c r="D2500" s="2"/>
      <x:c r="E2500" s="2"/>
      <x:c r="F2500" s="2"/>
      <x:c r="G2500" s="2"/>
    </x:row>
    <x:row r="2501">
      <x:c r="B2501" s="2"/>
      <x:c r="C2501" s="2"/>
      <x:c r="D2501" s="2"/>
      <x:c r="E2501" s="2"/>
      <x:c r="F2501" s="2"/>
      <x:c r="G2501" s="2"/>
    </x:row>
    <x:row r="2502">
      <x:c r="B2502" s="2"/>
      <x:c r="C2502" s="2"/>
      <x:c r="D2502" s="2"/>
      <x:c r="E2502" s="2"/>
      <x:c r="F2502" s="2"/>
      <x:c r="G2502" s="2"/>
    </x:row>
    <x:row r="2503">
      <x:c r="B2503" s="2"/>
      <x:c r="C2503" s="2"/>
      <x:c r="D2503" s="2"/>
      <x:c r="E2503" s="2"/>
      <x:c r="F2503" s="2"/>
      <x:c r="G2503" s="2"/>
    </x:row>
    <x:row r="2504">
      <x:c r="B2504" s="2"/>
      <x:c r="C2504" s="2"/>
      <x:c r="D2504" s="2"/>
      <x:c r="E2504" s="2"/>
      <x:c r="F2504" s="2"/>
      <x:c r="G2504" s="2"/>
    </x:row>
    <x:row r="2505">
      <x:c r="B2505" s="2"/>
      <x:c r="C2505" s="2"/>
      <x:c r="D2505" s="2"/>
      <x:c r="E2505" s="2"/>
      <x:c r="F2505" s="2"/>
      <x:c r="G2505" s="2"/>
    </x:row>
    <x:row r="2506">
      <x:c r="B2506" s="2"/>
      <x:c r="C2506" s="2"/>
      <x:c r="D2506" s="2"/>
      <x:c r="E2506" s="2"/>
      <x:c r="F2506" s="2"/>
      <x:c r="G2506" s="2"/>
    </x:row>
    <x:row r="2507">
      <x:c r="B2507" s="2"/>
      <x:c r="C2507" s="2"/>
      <x:c r="D2507" s="2"/>
      <x:c r="E2507" s="2"/>
      <x:c r="F2507" s="2"/>
      <x:c r="G2507" s="2"/>
    </x:row>
    <x:row r="2508">
      <x:c r="B2508" s="2"/>
      <x:c r="C2508" s="2"/>
      <x:c r="D2508" s="2"/>
      <x:c r="E2508" s="2"/>
      <x:c r="F2508" s="2"/>
      <x:c r="G2508" s="2"/>
    </x:row>
    <x:row r="2509">
      <x:c r="B2509" s="2"/>
      <x:c r="C2509" s="2"/>
      <x:c r="D2509" s="2"/>
      <x:c r="E2509" s="2"/>
      <x:c r="F2509" s="2"/>
      <x:c r="G2509" s="2"/>
    </x:row>
    <x:row r="2510">
      <x:c r="B2510" s="2"/>
      <x:c r="C2510" s="2"/>
      <x:c r="D2510" s="2"/>
      <x:c r="E2510" s="2"/>
      <x:c r="F2510" s="2"/>
      <x:c r="G2510" s="2"/>
    </x:row>
    <x:row r="2511">
      <x:c r="B2511" s="2"/>
      <x:c r="C2511" s="2"/>
      <x:c r="D2511" s="2"/>
      <x:c r="E2511" s="2"/>
      <x:c r="F2511" s="2"/>
      <x:c r="G2511" s="2"/>
    </x:row>
    <x:row r="2512">
      <x:c r="B2512" s="2"/>
      <x:c r="C2512" s="2"/>
      <x:c r="D2512" s="2"/>
      <x:c r="E2512" s="2"/>
      <x:c r="F2512" s="2"/>
      <x:c r="G2512" s="2"/>
    </x:row>
    <x:row r="2513">
      <x:c r="B2513" s="2"/>
      <x:c r="C2513" s="2"/>
      <x:c r="D2513" s="2"/>
      <x:c r="E2513" s="2"/>
      <x:c r="F2513" s="2"/>
      <x:c r="G2513" s="2"/>
    </x:row>
    <x:row r="2514">
      <x:c r="B2514" s="2"/>
      <x:c r="C2514" s="2"/>
      <x:c r="D2514" s="2"/>
      <x:c r="E2514" s="2"/>
      <x:c r="F2514" s="2"/>
      <x:c r="G2514" s="2"/>
    </x:row>
    <x:row r="2515">
      <x:c r="B2515" s="2"/>
      <x:c r="C2515" s="2"/>
      <x:c r="D2515" s="2"/>
      <x:c r="E2515" s="2"/>
      <x:c r="F2515" s="2"/>
      <x:c r="G2515" s="2"/>
    </x:row>
    <x:row r="2516">
      <x:c r="B2516" s="2"/>
      <x:c r="C2516" s="2"/>
      <x:c r="D2516" s="2"/>
      <x:c r="E2516" s="2"/>
      <x:c r="F2516" s="2"/>
      <x:c r="G2516" s="2"/>
    </x:row>
    <x:row r="2517">
      <x:c r="B2517" s="2"/>
      <x:c r="C2517" s="2"/>
      <x:c r="D2517" s="2"/>
      <x:c r="E2517" s="2"/>
      <x:c r="F2517" s="2"/>
      <x:c r="G2517" s="2"/>
    </x:row>
    <x:row r="2518">
      <x:c r="B2518" s="2"/>
      <x:c r="C2518" s="2"/>
      <x:c r="D2518" s="2"/>
      <x:c r="E2518" s="2"/>
      <x:c r="F2518" s="2"/>
      <x:c r="G2518" s="2"/>
    </x:row>
    <x:row r="2519">
      <x:c r="B2519" s="2"/>
      <x:c r="C2519" s="2"/>
      <x:c r="D2519" s="2"/>
      <x:c r="E2519" s="2"/>
      <x:c r="F2519" s="2"/>
      <x:c r="G2519" s="2"/>
    </x:row>
    <x:row r="2520">
      <x:c r="B2520" s="2"/>
      <x:c r="C2520" s="2"/>
      <x:c r="D2520" s="2"/>
      <x:c r="E2520" s="2"/>
      <x:c r="F2520" s="2"/>
      <x:c r="G2520" s="2"/>
    </x:row>
    <x:row r="2521">
      <x:c r="B2521" s="2"/>
      <x:c r="C2521" s="2"/>
      <x:c r="D2521" s="2"/>
      <x:c r="E2521" s="2"/>
      <x:c r="F2521" s="2"/>
      <x:c r="G2521" s="2"/>
    </x:row>
    <x:row r="2522">
      <x:c r="B2522" s="2"/>
      <x:c r="C2522" s="2"/>
      <x:c r="D2522" s="2"/>
      <x:c r="E2522" s="2"/>
      <x:c r="F2522" s="2"/>
      <x:c r="G2522" s="2"/>
    </x:row>
    <x:row r="2523">
      <x:c r="B2523" s="2"/>
      <x:c r="C2523" s="2"/>
      <x:c r="D2523" s="2"/>
      <x:c r="E2523" s="2"/>
      <x:c r="F2523" s="2"/>
      <x:c r="G2523" s="2"/>
    </x:row>
    <x:row r="2524">
      <x:c r="B2524" s="2"/>
      <x:c r="C2524" s="2"/>
      <x:c r="D2524" s="2"/>
      <x:c r="E2524" s="2"/>
      <x:c r="F2524" s="2"/>
      <x:c r="G2524" s="2"/>
    </x:row>
    <x:row r="2525">
      <x:c r="B2525" s="2"/>
      <x:c r="C2525" s="2"/>
      <x:c r="D2525" s="2"/>
      <x:c r="E2525" s="2"/>
      <x:c r="F2525" s="2"/>
      <x:c r="G2525" s="2"/>
    </x:row>
    <x:row r="2526">
      <x:c r="B2526" s="2"/>
      <x:c r="C2526" s="2"/>
      <x:c r="D2526" s="2"/>
      <x:c r="E2526" s="2"/>
      <x:c r="F2526" s="2"/>
      <x:c r="G2526" s="2"/>
    </x:row>
    <x:row r="2527">
      <x:c r="B2527" s="2"/>
      <x:c r="C2527" s="2"/>
      <x:c r="D2527" s="2"/>
      <x:c r="E2527" s="2"/>
      <x:c r="F2527" s="2"/>
      <x:c r="G2527" s="2"/>
    </x:row>
    <x:row r="2528">
      <x:c r="B2528" s="2"/>
      <x:c r="C2528" s="2"/>
      <x:c r="D2528" s="2"/>
      <x:c r="E2528" s="2"/>
      <x:c r="F2528" s="2"/>
      <x:c r="G2528" s="2"/>
    </x:row>
    <x:row r="2529">
      <x:c r="B2529" s="2"/>
      <x:c r="C2529" s="2"/>
      <x:c r="D2529" s="2"/>
      <x:c r="E2529" s="2"/>
      <x:c r="F2529" s="2"/>
      <x:c r="G2529" s="2"/>
    </x:row>
    <x:row r="2530">
      <x:c r="B2530" s="2"/>
      <x:c r="C2530" s="2"/>
      <x:c r="D2530" s="2"/>
      <x:c r="E2530" s="2"/>
      <x:c r="F2530" s="2"/>
      <x:c r="G2530" s="2"/>
    </x:row>
    <x:row r="2531">
      <x:c r="B2531" s="2"/>
      <x:c r="C2531" s="2"/>
      <x:c r="D2531" s="2"/>
      <x:c r="E2531" s="2"/>
      <x:c r="F2531" s="2"/>
      <x:c r="G2531" s="2"/>
    </x:row>
    <x:row r="2532">
      <x:c r="B2532" s="2"/>
      <x:c r="C2532" s="2"/>
      <x:c r="D2532" s="2"/>
      <x:c r="E2532" s="2"/>
      <x:c r="F2532" s="2"/>
      <x:c r="G2532" s="2"/>
    </x:row>
    <x:row r="2533">
      <x:c r="B2533" s="2"/>
      <x:c r="C2533" s="2"/>
      <x:c r="D2533" s="2"/>
      <x:c r="E2533" s="2"/>
      <x:c r="F2533" s="2"/>
      <x:c r="G2533" s="2"/>
    </x:row>
    <x:row r="2534">
      <x:c r="B2534" s="2"/>
      <x:c r="C2534" s="2"/>
      <x:c r="D2534" s="2"/>
      <x:c r="E2534" s="2"/>
      <x:c r="F2534" s="2"/>
      <x:c r="G2534" s="2"/>
    </x:row>
    <x:row r="2535">
      <x:c r="B2535" s="2"/>
      <x:c r="C2535" s="2"/>
      <x:c r="D2535" s="2"/>
      <x:c r="E2535" s="2"/>
      <x:c r="F2535" s="2"/>
      <x:c r="G2535" s="2"/>
    </x:row>
    <x:row r="2536">
      <x:c r="B2536" s="2"/>
      <x:c r="C2536" s="2"/>
      <x:c r="D2536" s="2"/>
      <x:c r="E2536" s="2"/>
      <x:c r="F2536" s="2"/>
      <x:c r="G2536" s="2"/>
    </x:row>
    <x:row r="2537">
      <x:c r="B2537" s="2"/>
      <x:c r="C2537" s="2"/>
      <x:c r="D2537" s="2"/>
      <x:c r="E2537" s="2"/>
      <x:c r="F2537" s="2"/>
      <x:c r="G2537" s="2"/>
    </x:row>
    <x:row r="2538">
      <x:c r="B2538" s="2"/>
      <x:c r="C2538" s="2"/>
      <x:c r="D2538" s="2"/>
      <x:c r="E2538" s="2"/>
      <x:c r="F2538" s="2"/>
      <x:c r="G2538" s="2"/>
    </x:row>
    <x:row r="2539">
      <x:c r="B2539" s="2"/>
      <x:c r="C2539" s="2"/>
      <x:c r="D2539" s="2"/>
      <x:c r="E2539" s="2"/>
      <x:c r="F2539" s="2"/>
      <x:c r="G2539" s="2"/>
    </x:row>
    <x:row r="2540">
      <x:c r="B2540" s="2"/>
      <x:c r="C2540" s="2"/>
      <x:c r="D2540" s="2"/>
      <x:c r="E2540" s="2"/>
      <x:c r="F2540" s="2"/>
      <x:c r="G2540" s="2"/>
    </x:row>
    <x:row r="2541">
      <x:c r="B2541" s="2"/>
      <x:c r="C2541" s="2"/>
      <x:c r="D2541" s="2"/>
      <x:c r="E2541" s="2"/>
      <x:c r="F2541" s="2"/>
      <x:c r="G2541" s="2"/>
    </x:row>
    <x:row r="2542">
      <x:c r="B2542" s="2"/>
      <x:c r="C2542" s="2"/>
      <x:c r="D2542" s="2"/>
      <x:c r="E2542" s="2"/>
      <x:c r="F2542" s="2"/>
      <x:c r="G2542" s="2"/>
    </x:row>
    <x:row r="2543">
      <x:c r="B2543" s="2"/>
      <x:c r="C2543" s="2"/>
      <x:c r="D2543" s="2"/>
      <x:c r="E2543" s="2"/>
      <x:c r="F2543" s="2"/>
      <x:c r="G2543" s="2"/>
    </x:row>
    <x:row r="2544">
      <x:c r="B2544" s="2"/>
      <x:c r="C2544" s="2"/>
      <x:c r="D2544" s="2"/>
      <x:c r="E2544" s="2"/>
      <x:c r="F2544" s="2"/>
      <x:c r="G2544" s="2"/>
    </x:row>
    <x:row r="2545">
      <x:c r="B2545" s="2"/>
      <x:c r="C2545" s="2"/>
      <x:c r="D2545" s="2"/>
      <x:c r="E2545" s="2"/>
      <x:c r="F2545" s="2"/>
      <x:c r="G2545" s="2"/>
    </x:row>
    <x:row r="2546">
      <x:c r="B2546" s="2"/>
      <x:c r="C2546" s="2"/>
      <x:c r="D2546" s="2"/>
      <x:c r="E2546" s="2"/>
      <x:c r="F2546" s="2"/>
      <x:c r="G2546" s="2"/>
    </x:row>
    <x:row r="2547">
      <x:c r="B2547" s="2"/>
      <x:c r="C2547" s="2"/>
      <x:c r="D2547" s="2"/>
      <x:c r="E2547" s="2"/>
      <x:c r="F2547" s="2"/>
      <x:c r="G2547" s="2"/>
    </x:row>
    <x:row r="2548">
      <x:c r="B2548" s="2"/>
      <x:c r="C2548" s="2"/>
      <x:c r="D2548" s="2"/>
      <x:c r="E2548" s="2"/>
      <x:c r="F2548" s="2"/>
      <x:c r="G2548" s="2"/>
    </x:row>
    <x:row r="2549">
      <x:c r="B2549" s="2"/>
      <x:c r="C2549" s="2"/>
      <x:c r="D2549" s="2"/>
      <x:c r="E2549" s="2"/>
      <x:c r="F2549" s="2"/>
      <x:c r="G2549" s="2"/>
    </x:row>
    <x:row r="2550">
      <x:c r="B2550" s="2"/>
      <x:c r="C2550" s="2"/>
      <x:c r="D2550" s="2"/>
      <x:c r="E2550" s="2"/>
      <x:c r="F2550" s="2"/>
      <x:c r="G2550" s="2"/>
    </x:row>
    <x:row r="2551">
      <x:c r="B2551" s="2"/>
      <x:c r="C2551" s="2"/>
      <x:c r="D2551" s="2"/>
      <x:c r="E2551" s="2"/>
      <x:c r="F2551" s="2"/>
      <x:c r="G2551" s="2"/>
    </x:row>
    <x:row r="2552">
      <x:c r="B2552" s="2"/>
      <x:c r="C2552" s="2"/>
      <x:c r="D2552" s="2"/>
      <x:c r="E2552" s="2"/>
      <x:c r="F2552" s="2"/>
      <x:c r="G2552" s="2"/>
    </x:row>
    <x:row r="2553">
      <x:c r="B2553" s="2"/>
      <x:c r="C2553" s="2"/>
      <x:c r="D2553" s="2"/>
      <x:c r="E2553" s="2"/>
      <x:c r="F2553" s="2"/>
      <x:c r="G2553" s="2"/>
    </x:row>
    <x:row r="2554">
      <x:c r="B2554" s="2"/>
      <x:c r="C2554" s="2"/>
      <x:c r="D2554" s="2"/>
      <x:c r="E2554" s="2"/>
      <x:c r="F2554" s="2"/>
      <x:c r="G2554" s="2"/>
    </x:row>
    <x:row r="2555">
      <x:c r="B2555" s="2"/>
      <x:c r="C2555" s="2"/>
      <x:c r="D2555" s="2"/>
      <x:c r="E2555" s="2"/>
      <x:c r="F2555" s="2"/>
      <x:c r="G2555" s="2"/>
    </x:row>
    <x:row r="2556">
      <x:c r="B2556" s="2"/>
      <x:c r="C2556" s="2"/>
      <x:c r="D2556" s="2"/>
      <x:c r="E2556" s="2"/>
      <x:c r="F2556" s="2"/>
      <x:c r="G2556" s="2"/>
    </x:row>
    <x:row r="2557">
      <x:c r="B2557" s="2"/>
      <x:c r="C2557" s="2"/>
      <x:c r="D2557" s="2"/>
      <x:c r="E2557" s="2"/>
      <x:c r="F2557" s="2"/>
      <x:c r="G2557" s="2"/>
    </x:row>
    <x:row r="2558">
      <x:c r="B2558" s="2"/>
      <x:c r="C2558" s="2"/>
      <x:c r="D2558" s="2"/>
      <x:c r="E2558" s="2"/>
      <x:c r="F2558" s="2"/>
      <x:c r="G2558" s="2"/>
    </x:row>
    <x:row r="2559">
      <x:c r="B2559" s="2"/>
      <x:c r="C2559" s="2"/>
      <x:c r="D2559" s="2"/>
      <x:c r="E2559" s="2"/>
      <x:c r="F2559" s="2"/>
      <x:c r="G2559" s="2"/>
    </x:row>
    <x:row r="2560">
      <x:c r="B2560" s="2"/>
      <x:c r="C2560" s="2"/>
      <x:c r="D2560" s="2"/>
      <x:c r="E2560" s="2"/>
      <x:c r="F2560" s="2"/>
      <x:c r="G2560" s="2"/>
    </x:row>
    <x:row r="2561">
      <x:c r="B2561" s="2"/>
      <x:c r="C2561" s="2"/>
      <x:c r="D2561" s="2"/>
      <x:c r="E2561" s="2"/>
      <x:c r="F2561" s="2"/>
      <x:c r="G2561" s="2"/>
    </x:row>
    <x:row r="2562">
      <x:c r="B2562" s="2"/>
      <x:c r="C2562" s="2"/>
      <x:c r="D2562" s="2"/>
      <x:c r="E2562" s="2"/>
      <x:c r="F2562" s="2"/>
      <x:c r="G2562" s="2"/>
    </x:row>
    <x:row r="2563">
      <x:c r="B2563" s="2"/>
      <x:c r="C2563" s="2"/>
      <x:c r="D2563" s="2"/>
      <x:c r="E2563" s="2"/>
      <x:c r="F2563" s="2"/>
      <x:c r="G2563" s="2"/>
    </x:row>
    <x:row r="2564">
      <x:c r="B2564" s="2"/>
      <x:c r="C2564" s="2"/>
      <x:c r="D2564" s="2"/>
      <x:c r="E2564" s="2"/>
      <x:c r="F2564" s="2"/>
      <x:c r="G2564" s="2"/>
    </x:row>
    <x:row r="2565">
      <x:c r="B2565" s="2"/>
      <x:c r="C2565" s="2"/>
      <x:c r="D2565" s="2"/>
      <x:c r="E2565" s="2"/>
      <x:c r="F2565" s="2"/>
      <x:c r="G2565" s="2"/>
    </x:row>
    <x:row r="2566">
      <x:c r="B2566" s="2"/>
      <x:c r="C2566" s="2"/>
      <x:c r="D2566" s="2"/>
      <x:c r="E2566" s="2"/>
      <x:c r="F2566" s="2"/>
      <x:c r="G2566" s="2"/>
    </x:row>
    <x:row r="2567">
      <x:c r="B2567" s="2"/>
      <x:c r="C2567" s="2"/>
      <x:c r="D2567" s="2"/>
      <x:c r="E2567" s="2"/>
      <x:c r="F2567" s="2"/>
      <x:c r="G2567" s="2"/>
    </x:row>
    <x:row r="2568">
      <x:c r="B2568" s="2"/>
      <x:c r="C2568" s="2"/>
      <x:c r="D2568" s="2"/>
      <x:c r="E2568" s="2"/>
      <x:c r="F2568" s="2"/>
      <x:c r="G2568" s="2"/>
    </x:row>
    <x:row r="2569">
      <x:c r="B2569" s="2"/>
      <x:c r="C2569" s="2"/>
      <x:c r="D2569" s="2"/>
      <x:c r="E2569" s="2"/>
      <x:c r="F2569" s="2"/>
      <x:c r="G2569" s="2"/>
    </x:row>
    <x:row r="2570">
      <x:c r="B2570" s="2"/>
      <x:c r="C2570" s="2"/>
      <x:c r="D2570" s="2"/>
      <x:c r="E2570" s="2"/>
      <x:c r="F2570" s="2"/>
      <x:c r="G2570" s="2"/>
    </x:row>
    <x:row r="2571">
      <x:c r="B2571" s="2"/>
      <x:c r="C2571" s="2"/>
      <x:c r="D2571" s="2"/>
      <x:c r="E2571" s="2"/>
      <x:c r="F2571" s="2"/>
      <x:c r="G2571" s="2"/>
    </x:row>
    <x:row r="2572">
      <x:c r="B2572" s="2"/>
      <x:c r="C2572" s="2"/>
      <x:c r="D2572" s="2"/>
      <x:c r="E2572" s="2"/>
      <x:c r="F2572" s="2"/>
      <x:c r="G2572" s="2"/>
    </x:row>
    <x:row r="2573">
      <x:c r="B2573" s="2"/>
      <x:c r="C2573" s="2"/>
      <x:c r="D2573" s="2"/>
      <x:c r="E2573" s="2"/>
      <x:c r="F2573" s="2"/>
      <x:c r="G2573" s="2"/>
    </x:row>
    <x:row r="2574">
      <x:c r="B2574" s="2"/>
      <x:c r="C2574" s="2"/>
      <x:c r="D2574" s="2"/>
      <x:c r="E2574" s="2"/>
      <x:c r="F2574" s="2"/>
      <x:c r="G2574" s="2"/>
    </x:row>
    <x:row r="2575">
      <x:c r="B2575" s="2"/>
      <x:c r="C2575" s="2"/>
      <x:c r="D2575" s="2"/>
      <x:c r="E2575" s="2"/>
      <x:c r="F2575" s="2"/>
      <x:c r="G2575" s="2"/>
    </x:row>
    <x:row r="2576">
      <x:c r="B2576" s="2"/>
      <x:c r="C2576" s="2"/>
      <x:c r="D2576" s="2"/>
      <x:c r="E2576" s="2"/>
      <x:c r="F2576" s="2"/>
      <x:c r="G2576" s="2"/>
    </x:row>
    <x:row r="2577">
      <x:c r="B2577" s="2"/>
      <x:c r="C2577" s="2"/>
      <x:c r="D2577" s="2"/>
      <x:c r="E2577" s="2"/>
      <x:c r="F2577" s="2"/>
      <x:c r="G2577" s="2"/>
    </x:row>
    <x:row r="2578">
      <x:c r="B2578" s="2"/>
      <x:c r="C2578" s="2"/>
      <x:c r="D2578" s="2"/>
      <x:c r="E2578" s="2"/>
      <x:c r="F2578" s="2"/>
      <x:c r="G2578" s="2"/>
    </x:row>
    <x:row r="2579">
      <x:c r="B2579" s="2"/>
      <x:c r="C2579" s="2"/>
      <x:c r="D2579" s="2"/>
      <x:c r="E2579" s="2"/>
      <x:c r="F2579" s="2"/>
      <x:c r="G2579" s="2"/>
    </x:row>
    <x:row r="2580">
      <x:c r="B2580" s="2"/>
      <x:c r="C2580" s="2"/>
      <x:c r="D2580" s="2"/>
      <x:c r="E2580" s="2"/>
      <x:c r="F2580" s="2"/>
      <x:c r="G2580" s="2"/>
    </x:row>
    <x:row r="2581">
      <x:c r="B2581" s="2"/>
      <x:c r="C2581" s="2"/>
      <x:c r="D2581" s="2"/>
      <x:c r="E2581" s="2"/>
      <x:c r="F2581" s="2"/>
      <x:c r="G2581" s="2"/>
    </x:row>
    <x:row r="2582">
      <x:c r="B2582" s="2"/>
      <x:c r="C2582" s="2"/>
      <x:c r="D2582" s="2"/>
      <x:c r="E2582" s="2"/>
      <x:c r="F2582" s="2"/>
      <x:c r="G2582" s="2"/>
    </x:row>
    <x:row r="2583">
      <x:c r="B2583" s="2"/>
      <x:c r="C2583" s="2"/>
      <x:c r="D2583" s="2"/>
      <x:c r="E2583" s="2"/>
      <x:c r="F2583" s="2"/>
      <x:c r="G2583" s="2"/>
    </x:row>
    <x:row r="2584">
      <x:c r="B2584" s="2"/>
      <x:c r="C2584" s="2"/>
      <x:c r="D2584" s="2"/>
      <x:c r="E2584" s="2"/>
      <x:c r="F2584" s="2"/>
      <x:c r="G2584" s="2"/>
    </x:row>
    <x:row r="2585">
      <x:c r="B2585" s="2"/>
      <x:c r="C2585" s="2"/>
      <x:c r="D2585" s="2"/>
      <x:c r="E2585" s="2"/>
      <x:c r="F2585" s="2"/>
      <x:c r="G2585" s="2"/>
    </x:row>
    <x:row r="2586">
      <x:c r="B2586" s="2"/>
      <x:c r="C2586" s="2"/>
      <x:c r="D2586" s="2"/>
      <x:c r="E2586" s="2"/>
      <x:c r="F2586" s="2"/>
      <x:c r="G2586" s="2"/>
    </x:row>
    <x:row r="2587">
      <x:c r="B2587" s="2"/>
      <x:c r="C2587" s="2"/>
      <x:c r="D2587" s="2"/>
      <x:c r="E2587" s="2"/>
      <x:c r="F2587" s="2"/>
      <x:c r="G2587" s="2"/>
    </x:row>
    <x:row r="2588">
      <x:c r="B2588" s="2"/>
      <x:c r="C2588" s="2"/>
      <x:c r="D2588" s="2"/>
      <x:c r="E2588" s="2"/>
      <x:c r="F2588" s="2"/>
      <x:c r="G2588" s="2"/>
    </x:row>
    <x:row r="2589">
      <x:c r="B2589" s="2"/>
      <x:c r="C2589" s="2"/>
      <x:c r="D2589" s="2"/>
      <x:c r="E2589" s="2"/>
      <x:c r="F2589" s="2"/>
      <x:c r="G2589" s="2"/>
    </x:row>
    <x:row r="2590">
      <x:c r="B2590" s="2"/>
      <x:c r="C2590" s="2"/>
      <x:c r="D2590" s="2"/>
      <x:c r="E2590" s="2"/>
      <x:c r="F2590" s="2"/>
      <x:c r="G2590" s="2"/>
    </x:row>
    <x:row r="2591">
      <x:c r="B2591" s="2"/>
      <x:c r="C2591" s="2"/>
      <x:c r="D2591" s="2"/>
      <x:c r="E2591" s="2"/>
      <x:c r="F2591" s="2"/>
      <x:c r="G2591" s="2"/>
    </x:row>
    <x:row r="2592">
      <x:c r="B2592" s="2"/>
      <x:c r="C2592" s="2"/>
      <x:c r="D2592" s="2"/>
      <x:c r="E2592" s="2"/>
      <x:c r="F2592" s="2"/>
      <x:c r="G2592" s="2"/>
    </x:row>
    <x:row r="2593">
      <x:c r="B2593" s="2"/>
      <x:c r="C2593" s="2"/>
      <x:c r="D2593" s="2"/>
      <x:c r="E2593" s="2"/>
      <x:c r="F2593" s="2"/>
      <x:c r="G2593" s="2"/>
    </x:row>
    <x:row r="2594">
      <x:c r="B2594" s="2"/>
      <x:c r="C2594" s="2"/>
      <x:c r="D2594" s="2"/>
      <x:c r="E2594" s="2"/>
      <x:c r="F2594" s="2"/>
      <x:c r="G2594" s="2"/>
    </x:row>
    <x:row r="2595">
      <x:c r="B2595" s="2"/>
      <x:c r="C2595" s="2"/>
      <x:c r="D2595" s="2"/>
      <x:c r="E2595" s="2"/>
      <x:c r="F2595" s="2"/>
      <x:c r="G2595" s="2"/>
    </x:row>
    <x:row r="2596">
      <x:c r="B2596" s="2"/>
      <x:c r="C2596" s="2"/>
      <x:c r="D2596" s="2"/>
      <x:c r="E2596" s="2"/>
      <x:c r="F2596" s="2"/>
      <x:c r="G2596" s="2"/>
    </x:row>
    <x:row r="2597">
      <x:c r="B2597" s="2"/>
      <x:c r="C2597" s="2"/>
      <x:c r="D2597" s="2"/>
      <x:c r="E2597" s="2"/>
      <x:c r="F2597" s="2"/>
      <x:c r="G2597" s="2"/>
    </x:row>
    <x:row r="2598">
      <x:c r="B2598" s="2"/>
      <x:c r="C2598" s="2"/>
      <x:c r="D2598" s="2"/>
      <x:c r="E2598" s="2"/>
      <x:c r="F2598" s="2"/>
      <x:c r="G2598" s="2"/>
    </x:row>
    <x:row r="2599">
      <x:c r="B2599" s="2"/>
      <x:c r="C2599" s="2"/>
      <x:c r="D2599" s="2"/>
      <x:c r="E2599" s="2"/>
      <x:c r="F2599" s="2"/>
      <x:c r="G2599" s="2"/>
    </x:row>
    <x:row r="2600">
      <x:c r="B2600" s="2"/>
      <x:c r="C2600" s="2"/>
      <x:c r="D2600" s="2"/>
      <x:c r="E2600" s="2"/>
      <x:c r="F2600" s="2"/>
      <x:c r="G2600" s="2"/>
    </x:row>
    <x:row r="2601">
      <x:c r="B2601" s="2"/>
      <x:c r="C2601" s="2"/>
      <x:c r="D2601" s="2"/>
      <x:c r="E2601" s="2"/>
      <x:c r="F2601" s="2"/>
      <x:c r="G2601" s="2"/>
    </x:row>
    <x:row r="2602">
      <x:c r="B2602" s="2"/>
      <x:c r="C2602" s="2"/>
      <x:c r="D2602" s="2"/>
      <x:c r="E2602" s="2"/>
      <x:c r="F2602" s="2"/>
      <x:c r="G2602" s="2"/>
    </x:row>
    <x:row r="2603">
      <x:c r="B2603" s="2"/>
      <x:c r="C2603" s="2"/>
      <x:c r="D2603" s="2"/>
      <x:c r="E2603" s="2"/>
      <x:c r="F2603" s="2"/>
      <x:c r="G2603" s="2"/>
    </x:row>
    <x:row r="2604">
      <x:c r="B2604" s="2"/>
      <x:c r="C2604" s="2"/>
      <x:c r="D2604" s="2"/>
      <x:c r="E2604" s="2"/>
      <x:c r="F2604" s="2"/>
      <x:c r="G2604" s="2"/>
    </x:row>
    <x:row r="2605">
      <x:c r="B2605" s="2"/>
      <x:c r="C2605" s="2"/>
      <x:c r="D2605" s="2"/>
      <x:c r="E2605" s="2"/>
      <x:c r="F2605" s="2"/>
      <x:c r="G2605" s="2"/>
    </x:row>
    <x:row r="2606">
      <x:c r="B2606" s="2"/>
      <x:c r="C2606" s="2"/>
      <x:c r="D2606" s="2"/>
      <x:c r="E2606" s="2"/>
      <x:c r="F2606" s="2"/>
      <x:c r="G2606" s="2"/>
    </x:row>
    <x:row r="2607">
      <x:c r="B2607" s="2"/>
      <x:c r="C2607" s="2"/>
      <x:c r="D2607" s="2"/>
      <x:c r="E2607" s="2"/>
      <x:c r="F2607" s="2"/>
      <x:c r="G2607" s="2"/>
    </x:row>
    <x:row r="2608">
      <x:c r="B2608" s="2"/>
      <x:c r="C2608" s="2"/>
      <x:c r="D2608" s="2"/>
      <x:c r="E2608" s="2"/>
      <x:c r="F2608" s="2"/>
      <x:c r="G2608" s="2"/>
    </x:row>
    <x:row r="2609">
      <x:c r="B2609" s="2"/>
      <x:c r="C2609" s="2"/>
      <x:c r="D2609" s="2"/>
      <x:c r="E2609" s="2"/>
      <x:c r="F2609" s="2"/>
      <x:c r="G2609" s="2"/>
    </x:row>
    <x:row r="2610">
      <x:c r="B2610" s="2"/>
      <x:c r="C2610" s="2"/>
      <x:c r="D2610" s="2"/>
      <x:c r="E2610" s="2"/>
      <x:c r="F2610" s="2"/>
      <x:c r="G2610" s="2"/>
    </x:row>
    <x:row r="2611">
      <x:c r="B2611" s="2"/>
      <x:c r="C2611" s="2"/>
      <x:c r="D2611" s="2"/>
      <x:c r="E2611" s="2"/>
      <x:c r="F2611" s="2"/>
      <x:c r="G2611" s="2"/>
    </x:row>
    <x:row r="2612">
      <x:c r="B2612" s="2"/>
      <x:c r="C2612" s="2"/>
      <x:c r="D2612" s="2"/>
      <x:c r="E2612" s="2"/>
      <x:c r="F2612" s="2"/>
      <x:c r="G2612" s="2"/>
    </x:row>
    <x:row r="2613">
      <x:c r="B2613" s="2"/>
      <x:c r="C2613" s="2"/>
      <x:c r="D2613" s="2"/>
      <x:c r="E2613" s="2"/>
      <x:c r="F2613" s="2"/>
      <x:c r="G2613" s="2"/>
    </x:row>
    <x:row r="2614">
      <x:c r="B2614" s="2"/>
      <x:c r="C2614" s="2"/>
      <x:c r="D2614" s="2"/>
      <x:c r="E2614" s="2"/>
      <x:c r="F2614" s="2"/>
      <x:c r="G2614" s="2"/>
    </x:row>
    <x:row r="2615">
      <x:c r="B2615" s="2"/>
      <x:c r="C2615" s="2"/>
      <x:c r="D2615" s="2"/>
      <x:c r="E2615" s="2"/>
      <x:c r="F2615" s="2"/>
      <x:c r="G2615" s="2"/>
    </x:row>
    <x:row r="2616">
      <x:c r="B2616" s="2"/>
      <x:c r="C2616" s="2"/>
      <x:c r="D2616" s="2"/>
      <x:c r="E2616" s="2"/>
      <x:c r="F2616" s="2"/>
      <x:c r="G2616" s="2"/>
    </x:row>
    <x:row r="2617">
      <x:c r="B2617" s="2"/>
      <x:c r="C2617" s="2"/>
      <x:c r="D2617" s="2"/>
      <x:c r="E2617" s="2"/>
      <x:c r="F2617" s="2"/>
      <x:c r="G2617" s="2"/>
    </x:row>
    <x:row r="2618">
      <x:c r="B2618" s="2"/>
      <x:c r="C2618" s="2"/>
      <x:c r="D2618" s="2"/>
      <x:c r="E2618" s="2"/>
      <x:c r="F2618" s="2"/>
      <x:c r="G2618" s="2"/>
    </x:row>
    <x:row r="2619">
      <x:c r="B2619" s="2"/>
      <x:c r="C2619" s="2"/>
      <x:c r="D2619" s="2"/>
      <x:c r="E2619" s="2"/>
      <x:c r="F2619" s="2"/>
      <x:c r="G2619" s="2"/>
    </x:row>
    <x:row r="2620">
      <x:c r="B2620" s="2"/>
      <x:c r="C2620" s="2"/>
      <x:c r="D2620" s="2"/>
      <x:c r="E2620" s="2"/>
      <x:c r="F2620" s="2"/>
      <x:c r="G2620" s="2"/>
    </x:row>
    <x:row r="2621">
      <x:c r="B2621" s="2"/>
      <x:c r="C2621" s="2"/>
      <x:c r="D2621" s="2"/>
      <x:c r="E2621" s="2"/>
      <x:c r="F2621" s="2"/>
      <x:c r="G2621" s="2"/>
    </x:row>
    <x:row r="2622">
      <x:c r="B2622" s="2"/>
      <x:c r="C2622" s="2"/>
      <x:c r="D2622" s="2"/>
      <x:c r="E2622" s="2"/>
      <x:c r="F2622" s="2"/>
      <x:c r="G2622" s="2"/>
    </x:row>
    <x:row r="2623">
      <x:c r="B2623" s="2"/>
      <x:c r="C2623" s="2"/>
      <x:c r="D2623" s="2"/>
      <x:c r="E2623" s="2"/>
      <x:c r="F2623" s="2"/>
      <x:c r="G2623" s="2"/>
    </x:row>
    <x:row r="2624">
      <x:c r="B2624" s="2"/>
      <x:c r="C2624" s="2"/>
      <x:c r="D2624" s="2"/>
      <x:c r="E2624" s="2"/>
      <x:c r="F2624" s="2"/>
      <x:c r="G2624" s="2"/>
    </x:row>
    <x:row r="2625">
      <x:c r="B2625" s="2"/>
      <x:c r="C2625" s="2"/>
      <x:c r="D2625" s="2"/>
      <x:c r="E2625" s="2"/>
      <x:c r="F2625" s="2"/>
      <x:c r="G2625" s="2"/>
    </x:row>
    <x:row r="2626">
      <x:c r="B2626" s="2"/>
      <x:c r="C2626" s="2"/>
      <x:c r="D2626" s="2"/>
      <x:c r="E2626" s="2"/>
      <x:c r="F2626" s="2"/>
      <x:c r="G2626" s="2"/>
    </x:row>
    <x:row r="2627">
      <x:c r="B2627" s="2"/>
      <x:c r="C2627" s="2"/>
      <x:c r="D2627" s="2"/>
      <x:c r="E2627" s="2"/>
      <x:c r="F2627" s="2"/>
      <x:c r="G2627" s="2"/>
    </x:row>
    <x:row r="2628">
      <x:c r="B2628" s="2"/>
      <x:c r="C2628" s="2"/>
      <x:c r="D2628" s="2"/>
      <x:c r="E2628" s="2"/>
      <x:c r="F2628" s="2"/>
      <x:c r="G2628" s="2"/>
    </x:row>
    <x:row r="2629">
      <x:c r="B2629" s="2"/>
      <x:c r="C2629" s="2"/>
      <x:c r="D2629" s="2"/>
      <x:c r="E2629" s="2"/>
      <x:c r="F2629" s="2"/>
      <x:c r="G2629" s="2"/>
    </x:row>
    <x:row r="2630">
      <x:c r="B2630" s="2"/>
      <x:c r="C2630" s="2"/>
      <x:c r="D2630" s="2"/>
      <x:c r="E2630" s="2"/>
      <x:c r="F2630" s="2"/>
      <x:c r="G2630" s="2"/>
    </x:row>
    <x:row r="2631">
      <x:c r="B2631" s="2"/>
      <x:c r="C2631" s="2"/>
      <x:c r="D2631" s="2"/>
      <x:c r="E2631" s="2"/>
      <x:c r="F2631" s="2"/>
      <x:c r="G2631" s="2"/>
    </x:row>
    <x:row r="2632">
      <x:c r="B2632" s="2"/>
      <x:c r="C2632" s="2"/>
      <x:c r="D2632" s="2"/>
      <x:c r="E2632" s="2"/>
      <x:c r="F2632" s="2"/>
      <x:c r="G2632" s="2"/>
    </x:row>
    <x:row r="2633">
      <x:c r="B2633" s="2"/>
      <x:c r="C2633" s="2"/>
      <x:c r="D2633" s="2"/>
      <x:c r="E2633" s="2"/>
      <x:c r="F2633" s="2"/>
      <x:c r="G2633" s="2"/>
    </x:row>
    <x:row r="2634">
      <x:c r="B2634" s="2"/>
      <x:c r="C2634" s="2"/>
      <x:c r="D2634" s="2"/>
      <x:c r="E2634" s="2"/>
      <x:c r="F2634" s="2"/>
      <x:c r="G2634" s="2"/>
    </x:row>
    <x:row r="2635">
      <x:c r="B2635" s="2"/>
      <x:c r="C2635" s="2"/>
      <x:c r="D2635" s="2"/>
      <x:c r="E2635" s="2"/>
      <x:c r="F2635" s="2"/>
      <x:c r="G2635" s="2"/>
    </x:row>
    <x:row r="2636">
      <x:c r="B2636" s="2"/>
      <x:c r="C2636" s="2"/>
      <x:c r="D2636" s="2"/>
      <x:c r="E2636" s="2"/>
      <x:c r="F2636" s="2"/>
      <x:c r="G2636" s="2"/>
    </x:row>
    <x:row r="2637">
      <x:c r="B2637" s="2"/>
      <x:c r="C2637" s="2"/>
      <x:c r="D2637" s="2"/>
      <x:c r="E2637" s="2"/>
      <x:c r="F2637" s="2"/>
      <x:c r="G2637" s="2"/>
    </x:row>
    <x:row r="2638">
      <x:c r="B2638" s="2"/>
      <x:c r="C2638" s="2"/>
      <x:c r="D2638" s="2"/>
      <x:c r="E2638" s="2"/>
      <x:c r="F2638" s="2"/>
      <x:c r="G2638" s="2"/>
    </x:row>
    <x:row r="2639">
      <x:c r="B2639" s="2"/>
      <x:c r="C2639" s="2"/>
      <x:c r="D2639" s="2"/>
      <x:c r="E2639" s="2"/>
      <x:c r="F2639" s="2"/>
      <x:c r="G2639" s="2"/>
    </x:row>
    <x:row r="2640">
      <x:c r="B2640" s="2"/>
      <x:c r="C2640" s="2"/>
      <x:c r="D2640" s="2"/>
      <x:c r="E2640" s="2"/>
      <x:c r="F2640" s="2"/>
      <x:c r="G2640" s="2"/>
    </x:row>
    <x:row r="2641">
      <x:c r="B2641" s="2"/>
      <x:c r="C2641" s="2"/>
      <x:c r="D2641" s="2"/>
      <x:c r="E2641" s="2"/>
      <x:c r="F2641" s="2"/>
      <x:c r="G2641" s="2"/>
    </x:row>
    <x:row r="2642">
      <x:c r="B2642" s="2"/>
      <x:c r="C2642" s="2"/>
      <x:c r="D2642" s="2"/>
      <x:c r="E2642" s="2"/>
      <x:c r="F2642" s="2"/>
      <x:c r="G2642" s="2"/>
    </x:row>
    <x:row r="2643">
      <x:c r="B2643" s="2"/>
      <x:c r="C2643" s="2"/>
      <x:c r="D2643" s="2"/>
      <x:c r="E2643" s="2"/>
      <x:c r="F2643" s="2"/>
      <x:c r="G2643" s="2"/>
    </x:row>
    <x:row r="2644">
      <x:c r="B2644" s="2"/>
      <x:c r="C2644" s="2"/>
      <x:c r="D2644" s="2"/>
      <x:c r="E2644" s="2"/>
      <x:c r="F2644" s="2"/>
      <x:c r="G2644" s="2"/>
    </x:row>
    <x:row r="2645">
      <x:c r="B2645" s="2"/>
      <x:c r="C2645" s="2"/>
      <x:c r="D2645" s="2"/>
      <x:c r="E2645" s="2"/>
      <x:c r="F2645" s="2"/>
      <x:c r="G2645" s="2"/>
    </x:row>
    <x:row r="2646">
      <x:c r="B2646" s="2"/>
      <x:c r="C2646" s="2"/>
      <x:c r="D2646" s="2"/>
      <x:c r="E2646" s="2"/>
      <x:c r="F2646" s="2"/>
      <x:c r="G2646" s="2"/>
    </x:row>
    <x:row r="2647">
      <x:c r="B2647" s="2"/>
      <x:c r="C2647" s="2"/>
      <x:c r="D2647" s="2"/>
      <x:c r="E2647" s="2"/>
      <x:c r="F2647" s="2"/>
      <x:c r="G2647" s="2"/>
    </x:row>
    <x:row r="2648">
      <x:c r="B2648" s="2"/>
      <x:c r="C2648" s="2"/>
      <x:c r="D2648" s="2"/>
      <x:c r="E2648" s="2"/>
      <x:c r="F2648" s="2"/>
      <x:c r="G2648" s="2"/>
    </x:row>
    <x:row r="2649">
      <x:c r="B2649" s="2"/>
      <x:c r="C2649" s="2"/>
      <x:c r="D2649" s="2"/>
      <x:c r="E2649" s="2"/>
      <x:c r="F2649" s="2"/>
      <x:c r="G2649" s="2"/>
    </x:row>
    <x:row r="2650">
      <x:c r="B2650" s="2"/>
      <x:c r="C2650" s="2"/>
      <x:c r="D2650" s="2"/>
      <x:c r="E2650" s="2"/>
      <x:c r="F2650" s="2"/>
      <x:c r="G2650" s="2"/>
    </x:row>
    <x:row r="2651">
      <x:c r="B2651" s="2"/>
      <x:c r="C2651" s="2"/>
      <x:c r="D2651" s="2"/>
      <x:c r="E2651" s="2"/>
      <x:c r="F2651" s="2"/>
      <x:c r="G2651" s="2"/>
    </x:row>
    <x:row r="2652">
      <x:c r="B2652" s="2"/>
      <x:c r="C2652" s="2"/>
      <x:c r="D2652" s="2"/>
      <x:c r="E2652" s="2"/>
      <x:c r="F2652" s="2"/>
      <x:c r="G2652" s="2"/>
    </x:row>
    <x:row r="2653">
      <x:c r="B2653" s="2"/>
      <x:c r="C2653" s="2"/>
      <x:c r="D2653" s="2"/>
      <x:c r="E2653" s="2"/>
      <x:c r="F2653" s="2"/>
      <x:c r="G2653" s="2"/>
    </x:row>
    <x:row r="2654">
      <x:c r="B2654" s="2"/>
      <x:c r="C2654" s="2"/>
      <x:c r="D2654" s="2"/>
      <x:c r="E2654" s="2"/>
      <x:c r="F2654" s="2"/>
      <x:c r="G2654" s="2"/>
    </x:row>
    <x:row r="2655">
      <x:c r="B2655" s="2"/>
      <x:c r="C2655" s="2"/>
      <x:c r="D2655" s="2"/>
      <x:c r="E2655" s="2"/>
      <x:c r="F2655" s="2"/>
      <x:c r="G2655" s="2"/>
    </x:row>
    <x:row r="2656">
      <x:c r="B2656" s="2"/>
      <x:c r="C2656" s="2"/>
      <x:c r="D2656" s="2"/>
      <x:c r="E2656" s="2"/>
      <x:c r="F2656" s="2"/>
      <x:c r="G2656" s="2"/>
    </x:row>
    <x:row r="2657">
      <x:c r="B2657" s="2"/>
      <x:c r="C2657" s="2"/>
      <x:c r="D2657" s="2"/>
      <x:c r="E2657" s="2"/>
      <x:c r="F2657" s="2"/>
      <x:c r="G2657" s="2"/>
    </x:row>
    <x:row r="2658">
      <x:c r="B2658" s="2"/>
      <x:c r="C2658" s="2"/>
      <x:c r="D2658" s="2"/>
      <x:c r="E2658" s="2"/>
      <x:c r="F2658" s="2"/>
      <x:c r="G2658" s="2"/>
    </x:row>
    <x:row r="2659">
      <x:c r="B2659" s="2"/>
      <x:c r="C2659" s="2"/>
      <x:c r="D2659" s="2"/>
      <x:c r="E2659" s="2"/>
      <x:c r="F2659" s="2"/>
      <x:c r="G2659" s="2"/>
    </x:row>
    <x:row r="2660">
      <x:c r="B2660" s="2"/>
      <x:c r="C2660" s="2"/>
      <x:c r="D2660" s="2"/>
      <x:c r="E2660" s="2"/>
      <x:c r="F2660" s="2"/>
      <x:c r="G2660" s="2"/>
    </x:row>
    <x:row r="2661">
      <x:c r="B2661" s="2"/>
      <x:c r="C2661" s="2"/>
      <x:c r="D2661" s="2"/>
      <x:c r="E2661" s="2"/>
      <x:c r="F2661" s="2"/>
      <x:c r="G2661" s="2"/>
    </x:row>
    <x:row r="2662">
      <x:c r="B2662" s="2"/>
      <x:c r="C2662" s="2"/>
      <x:c r="D2662" s="2"/>
      <x:c r="E2662" s="2"/>
      <x:c r="F2662" s="2"/>
      <x:c r="G2662" s="2"/>
    </x:row>
    <x:row r="2663">
      <x:c r="B2663" s="2"/>
      <x:c r="C2663" s="2"/>
      <x:c r="D2663" s="2"/>
      <x:c r="E2663" s="2"/>
      <x:c r="F2663" s="2"/>
      <x:c r="G2663" s="2"/>
    </x:row>
    <x:row r="2664">
      <x:c r="B2664" s="2"/>
      <x:c r="C2664" s="2"/>
      <x:c r="D2664" s="2"/>
      <x:c r="E2664" s="2"/>
      <x:c r="F2664" s="2"/>
      <x:c r="G2664" s="2"/>
    </x:row>
    <x:row r="2665">
      <x:c r="B2665" s="2"/>
      <x:c r="C2665" s="2"/>
      <x:c r="D2665" s="2"/>
      <x:c r="E2665" s="2"/>
      <x:c r="F2665" s="2"/>
      <x:c r="G2665" s="2"/>
    </x:row>
    <x:row r="2666">
      <x:c r="B2666" s="2"/>
      <x:c r="C2666" s="2"/>
      <x:c r="D2666" s="2"/>
      <x:c r="E2666" s="2"/>
      <x:c r="F2666" s="2"/>
      <x:c r="G2666" s="2"/>
    </x:row>
    <x:row r="2667">
      <x:c r="B2667" s="2"/>
      <x:c r="C2667" s="2"/>
      <x:c r="D2667" s="2"/>
      <x:c r="E2667" s="2"/>
      <x:c r="F2667" s="2"/>
      <x:c r="G2667" s="2"/>
    </x:row>
    <x:row r="2668">
      <x:c r="B2668" s="2"/>
      <x:c r="C2668" s="2"/>
      <x:c r="D2668" s="2"/>
      <x:c r="E2668" s="2"/>
      <x:c r="F2668" s="2"/>
      <x:c r="G2668" s="2"/>
    </x:row>
    <x:row r="2669">
      <x:c r="B2669" s="2"/>
      <x:c r="C2669" s="2"/>
      <x:c r="D2669" s="2"/>
      <x:c r="E2669" s="2"/>
      <x:c r="F2669" s="2"/>
      <x:c r="G2669" s="2"/>
    </x:row>
    <x:row r="2670">
      <x:c r="B2670" s="2"/>
      <x:c r="C2670" s="2"/>
      <x:c r="D2670" s="2"/>
      <x:c r="E2670" s="2"/>
      <x:c r="F2670" s="2"/>
      <x:c r="G2670" s="2"/>
    </x:row>
    <x:row r="2671">
      <x:c r="B2671" s="2"/>
      <x:c r="C2671" s="2"/>
      <x:c r="D2671" s="2"/>
      <x:c r="E2671" s="2"/>
      <x:c r="F2671" s="2"/>
      <x:c r="G2671" s="2"/>
    </x:row>
    <x:row r="2672">
      <x:c r="B2672" s="2"/>
      <x:c r="C2672" s="2"/>
      <x:c r="D2672" s="2"/>
      <x:c r="E2672" s="2"/>
      <x:c r="F2672" s="2"/>
      <x:c r="G2672" s="2"/>
    </x:row>
    <x:row r="2673">
      <x:c r="B2673" s="2"/>
      <x:c r="C2673" s="2"/>
      <x:c r="D2673" s="2"/>
      <x:c r="E2673" s="2"/>
      <x:c r="F2673" s="2"/>
      <x:c r="G2673" s="2"/>
    </x:row>
    <x:row r="2674">
      <x:c r="B2674" s="2"/>
      <x:c r="C2674" s="2"/>
      <x:c r="D2674" s="2"/>
      <x:c r="E2674" s="2"/>
      <x:c r="F2674" s="2"/>
      <x:c r="G2674" s="2"/>
    </x:row>
    <x:row r="2675">
      <x:c r="B2675" s="2"/>
      <x:c r="C2675" s="2"/>
      <x:c r="D2675" s="2"/>
      <x:c r="E2675" s="2"/>
      <x:c r="F2675" s="2"/>
      <x:c r="G2675" s="2"/>
    </x:row>
    <x:row r="2676">
      <x:c r="B2676" s="2"/>
      <x:c r="C2676" s="2"/>
      <x:c r="D2676" s="2"/>
      <x:c r="E2676" s="2"/>
      <x:c r="F2676" s="2"/>
      <x:c r="G2676" s="2"/>
    </x:row>
    <x:row r="2677">
      <x:c r="B2677" s="2"/>
      <x:c r="C2677" s="2"/>
      <x:c r="D2677" s="2"/>
      <x:c r="E2677" s="2"/>
      <x:c r="F2677" s="2"/>
      <x:c r="G2677" s="2"/>
    </x:row>
    <x:row r="2678">
      <x:c r="B2678" s="2"/>
      <x:c r="C2678" s="2"/>
      <x:c r="D2678" s="2"/>
      <x:c r="E2678" s="2"/>
      <x:c r="F2678" s="2"/>
      <x:c r="G2678" s="2"/>
    </x:row>
    <x:row r="2679">
      <x:c r="B2679" s="2"/>
      <x:c r="C2679" s="2"/>
      <x:c r="D2679" s="2"/>
      <x:c r="E2679" s="2"/>
      <x:c r="F2679" s="2"/>
      <x:c r="G2679" s="2"/>
    </x:row>
    <x:row r="2680">
      <x:c r="B2680" s="2"/>
      <x:c r="C2680" s="2"/>
      <x:c r="D2680" s="2"/>
      <x:c r="E2680" s="2"/>
      <x:c r="F2680" s="2"/>
      <x:c r="G2680" s="2"/>
    </x:row>
    <x:row r="2681">
      <x:c r="B2681" s="2"/>
      <x:c r="C2681" s="2"/>
      <x:c r="D2681" s="2"/>
      <x:c r="E2681" s="2"/>
      <x:c r="F2681" s="2"/>
      <x:c r="G2681" s="2"/>
    </x:row>
    <x:row r="2682">
      <x:c r="B2682" s="2"/>
      <x:c r="C2682" s="2"/>
      <x:c r="D2682" s="2"/>
      <x:c r="E2682" s="2"/>
      <x:c r="F2682" s="2"/>
      <x:c r="G2682" s="2"/>
    </x:row>
    <x:row r="2683">
      <x:c r="B2683" s="2"/>
      <x:c r="C2683" s="2"/>
      <x:c r="D2683" s="2"/>
      <x:c r="E2683" s="2"/>
      <x:c r="F2683" s="2"/>
      <x:c r="G2683" s="2"/>
    </x:row>
    <x:row r="2684">
      <x:c r="B2684" s="2"/>
      <x:c r="C2684" s="2"/>
      <x:c r="D2684" s="2"/>
      <x:c r="E2684" s="2"/>
      <x:c r="F2684" s="2"/>
      <x:c r="G2684" s="2"/>
    </x:row>
    <x:row r="2685">
      <x:c r="B2685" s="2"/>
      <x:c r="C2685" s="2"/>
      <x:c r="D2685" s="2"/>
      <x:c r="E2685" s="2"/>
      <x:c r="F2685" s="2"/>
      <x:c r="G2685" s="2"/>
    </x:row>
    <x:row r="2686">
      <x:c r="B2686" s="2"/>
      <x:c r="C2686" s="2"/>
      <x:c r="D2686" s="2"/>
      <x:c r="E2686" s="2"/>
      <x:c r="F2686" s="2"/>
      <x:c r="G2686" s="2"/>
    </x:row>
    <x:row r="2687">
      <x:c r="B2687" s="2"/>
      <x:c r="C2687" s="2"/>
      <x:c r="D2687" s="2"/>
      <x:c r="E2687" s="2"/>
      <x:c r="F2687" s="2"/>
      <x:c r="G2687" s="2"/>
    </x:row>
    <x:row r="2688">
      <x:c r="B2688" s="2"/>
      <x:c r="C2688" s="2"/>
      <x:c r="D2688" s="2"/>
      <x:c r="E2688" s="2"/>
      <x:c r="F2688" s="2"/>
      <x:c r="G2688" s="2"/>
    </x:row>
    <x:row r="2689">
      <x:c r="B2689" s="2"/>
      <x:c r="C2689" s="2"/>
      <x:c r="D2689" s="2"/>
      <x:c r="E2689" s="2"/>
      <x:c r="F2689" s="2"/>
      <x:c r="G2689" s="2"/>
    </x:row>
    <x:row r="2690">
      <x:c r="B2690" s="2"/>
      <x:c r="C2690" s="2"/>
      <x:c r="D2690" s="2"/>
      <x:c r="E2690" s="2"/>
      <x:c r="F2690" s="2"/>
      <x:c r="G2690" s="2"/>
    </x:row>
    <x:row r="2691">
      <x:c r="B2691" s="2"/>
      <x:c r="C2691" s="2"/>
      <x:c r="D2691" s="2"/>
      <x:c r="E2691" s="2"/>
      <x:c r="F2691" s="2"/>
      <x:c r="G2691" s="2"/>
    </x:row>
    <x:row r="2692">
      <x:c r="B2692" s="2"/>
      <x:c r="C2692" s="2"/>
      <x:c r="D2692" s="2"/>
      <x:c r="E2692" s="2"/>
      <x:c r="F2692" s="2"/>
      <x:c r="G2692" s="2"/>
    </x:row>
    <x:row r="2693">
      <x:c r="B2693" s="2"/>
      <x:c r="C2693" s="2"/>
      <x:c r="D2693" s="2"/>
      <x:c r="E2693" s="2"/>
      <x:c r="F2693" s="2"/>
      <x:c r="G2693" s="2"/>
    </x:row>
    <x:row r="2694">
      <x:c r="B2694" s="2"/>
      <x:c r="C2694" s="2"/>
      <x:c r="D2694" s="2"/>
      <x:c r="E2694" s="2"/>
      <x:c r="F2694" s="2"/>
      <x:c r="G2694" s="2"/>
    </x:row>
    <x:row r="2695">
      <x:c r="B2695" s="2"/>
      <x:c r="C2695" s="2"/>
      <x:c r="D2695" s="2"/>
      <x:c r="E2695" s="2"/>
      <x:c r="F2695" s="2"/>
      <x:c r="G2695" s="2"/>
    </x:row>
    <x:row r="2696">
      <x:c r="B2696" s="2"/>
      <x:c r="C2696" s="2"/>
      <x:c r="D2696" s="2"/>
      <x:c r="E2696" s="2"/>
      <x:c r="F2696" s="2"/>
      <x:c r="G2696" s="2"/>
    </x:row>
    <x:row r="2697">
      <x:c r="B2697" s="2"/>
      <x:c r="C2697" s="2"/>
      <x:c r="D2697" s="2"/>
      <x:c r="E2697" s="2"/>
      <x:c r="F2697" s="2"/>
      <x:c r="G2697" s="2"/>
    </x:row>
    <x:row r="2698">
      <x:c r="B2698" s="2"/>
      <x:c r="C2698" s="2"/>
      <x:c r="D2698" s="2"/>
      <x:c r="E2698" s="2"/>
      <x:c r="F2698" s="2"/>
      <x:c r="G2698" s="2"/>
    </x:row>
    <x:row r="2699">
      <x:c r="B2699" s="2"/>
      <x:c r="C2699" s="2"/>
      <x:c r="D2699" s="2"/>
      <x:c r="E2699" s="2"/>
      <x:c r="F2699" s="2"/>
      <x:c r="G2699" s="2"/>
    </x:row>
    <x:row r="2700">
      <x:c r="B2700" s="2"/>
      <x:c r="C2700" s="2"/>
      <x:c r="D2700" s="2"/>
      <x:c r="E2700" s="2"/>
      <x:c r="F2700" s="2"/>
      <x:c r="G2700" s="2"/>
    </x:row>
    <x:row r="2701">
      <x:c r="B2701" s="2"/>
      <x:c r="C2701" s="2"/>
      <x:c r="D2701" s="2"/>
      <x:c r="E2701" s="2"/>
      <x:c r="F2701" s="2"/>
      <x:c r="G2701" s="2"/>
    </x:row>
    <x:row r="2702">
      <x:c r="B2702" s="2"/>
      <x:c r="C2702" s="2"/>
      <x:c r="D2702" s="2"/>
      <x:c r="E2702" s="2"/>
      <x:c r="F2702" s="2"/>
      <x:c r="G2702" s="2"/>
    </x:row>
    <x:row r="2703">
      <x:c r="B2703" s="2"/>
      <x:c r="C2703" s="2"/>
      <x:c r="D2703" s="2"/>
      <x:c r="E2703" s="2"/>
      <x:c r="F2703" s="2"/>
      <x:c r="G2703" s="2"/>
    </x:row>
    <x:row r="2704">
      <x:c r="B2704" s="2"/>
      <x:c r="C2704" s="2"/>
      <x:c r="D2704" s="2"/>
      <x:c r="E2704" s="2"/>
      <x:c r="F2704" s="2"/>
      <x:c r="G2704" s="2"/>
    </x:row>
    <x:row r="2705">
      <x:c r="B2705" s="2"/>
      <x:c r="C2705" s="2"/>
      <x:c r="D2705" s="2"/>
      <x:c r="E2705" s="2"/>
      <x:c r="F2705" s="2"/>
      <x:c r="G2705" s="2"/>
    </x:row>
    <x:row r="2706">
      <x:c r="B2706" s="2"/>
      <x:c r="C2706" s="2"/>
      <x:c r="D2706" s="2"/>
      <x:c r="E2706" s="2"/>
      <x:c r="F2706" s="2"/>
      <x:c r="G2706" s="2"/>
    </x:row>
    <x:row r="2707">
      <x:c r="B2707" s="2"/>
      <x:c r="C2707" s="2"/>
      <x:c r="D2707" s="2"/>
      <x:c r="E2707" s="2"/>
      <x:c r="F2707" s="2"/>
      <x:c r="G2707" s="2"/>
    </x:row>
    <x:row r="2708">
      <x:c r="B2708" s="2"/>
      <x:c r="C2708" s="2"/>
      <x:c r="D2708" s="2"/>
      <x:c r="E2708" s="2"/>
      <x:c r="F2708" s="2"/>
      <x:c r="G2708" s="2"/>
    </x:row>
    <x:row r="2709">
      <x:c r="B2709" s="2"/>
      <x:c r="C2709" s="2"/>
      <x:c r="D2709" s="2"/>
      <x:c r="E2709" s="2"/>
      <x:c r="F2709" s="2"/>
      <x:c r="G2709" s="2"/>
    </x:row>
    <x:row r="2710">
      <x:c r="B2710" s="2"/>
      <x:c r="C2710" s="2"/>
      <x:c r="D2710" s="2"/>
      <x:c r="E2710" s="2"/>
      <x:c r="F2710" s="2"/>
      <x:c r="G2710" s="2"/>
    </x:row>
    <x:row r="2711">
      <x:c r="B2711" s="2"/>
      <x:c r="C2711" s="2"/>
      <x:c r="D2711" s="2"/>
      <x:c r="E2711" s="2"/>
      <x:c r="F2711" s="2"/>
      <x:c r="G2711" s="2"/>
    </x:row>
    <x:row r="2712">
      <x:c r="B2712" s="2"/>
      <x:c r="C2712" s="2"/>
      <x:c r="D2712" s="2"/>
      <x:c r="E2712" s="2"/>
      <x:c r="F2712" s="2"/>
      <x:c r="G2712" s="2"/>
    </x:row>
    <x:row r="2713">
      <x:c r="B2713" s="2"/>
      <x:c r="C2713" s="2"/>
      <x:c r="D2713" s="2"/>
      <x:c r="E2713" s="2"/>
      <x:c r="F2713" s="2"/>
      <x:c r="G2713" s="2"/>
    </x:row>
    <x:row r="2714">
      <x:c r="B2714" s="2"/>
      <x:c r="C2714" s="2"/>
      <x:c r="D2714" s="2"/>
      <x:c r="E2714" s="2"/>
      <x:c r="F2714" s="2"/>
      <x:c r="G2714" s="2"/>
    </x:row>
    <x:row r="2715">
      <x:c r="B2715" s="2"/>
      <x:c r="C2715" s="2"/>
      <x:c r="D2715" s="2"/>
      <x:c r="E2715" s="2"/>
      <x:c r="F2715" s="2"/>
      <x:c r="G2715" s="2"/>
    </x:row>
    <x:row r="2716">
      <x:c r="B2716" s="2"/>
      <x:c r="C2716" s="2"/>
      <x:c r="D2716" s="2"/>
      <x:c r="E2716" s="2"/>
      <x:c r="F2716" s="2"/>
      <x:c r="G2716" s="2"/>
    </x:row>
    <x:row r="2717">
      <x:c r="B2717" s="2"/>
      <x:c r="C2717" s="2"/>
      <x:c r="D2717" s="2"/>
      <x:c r="E2717" s="2"/>
      <x:c r="F2717" s="2"/>
      <x:c r="G2717" s="2"/>
    </x:row>
    <x:row r="2718">
      <x:c r="B2718" s="2"/>
      <x:c r="C2718" s="2"/>
      <x:c r="D2718" s="2"/>
      <x:c r="E2718" s="2"/>
      <x:c r="F2718" s="2"/>
      <x:c r="G2718" s="2"/>
    </x:row>
    <x:row r="2719">
      <x:c r="B2719" s="2"/>
      <x:c r="C2719" s="2"/>
      <x:c r="D2719" s="2"/>
      <x:c r="E2719" s="2"/>
      <x:c r="F2719" s="2"/>
      <x:c r="G2719" s="2"/>
    </x:row>
    <x:row r="2720">
      <x:c r="B2720" s="2"/>
      <x:c r="C2720" s="2"/>
      <x:c r="D2720" s="2"/>
      <x:c r="E2720" s="2"/>
      <x:c r="F2720" s="2"/>
      <x:c r="G2720" s="2"/>
    </x:row>
    <x:row r="2721">
      <x:c r="B2721" s="2"/>
      <x:c r="C2721" s="2"/>
      <x:c r="D2721" s="2"/>
      <x:c r="E2721" s="2"/>
      <x:c r="F2721" s="2"/>
      <x:c r="G2721" s="2"/>
    </x:row>
    <x:row r="2722">
      <x:c r="B2722" s="2"/>
      <x:c r="C2722" s="2"/>
      <x:c r="D2722" s="2"/>
      <x:c r="E2722" s="2"/>
      <x:c r="F2722" s="2"/>
      <x:c r="G2722" s="2"/>
    </x:row>
    <x:row r="2723">
      <x:c r="B2723" s="2"/>
      <x:c r="C2723" s="2"/>
      <x:c r="D2723" s="2"/>
      <x:c r="E2723" s="2"/>
      <x:c r="F2723" s="2"/>
      <x:c r="G2723" s="2"/>
    </x:row>
    <x:row r="2724">
      <x:c r="B2724" s="2"/>
      <x:c r="C2724" s="2"/>
      <x:c r="D2724" s="2"/>
      <x:c r="E2724" s="2"/>
      <x:c r="F2724" s="2"/>
      <x:c r="G2724" s="2"/>
    </x:row>
    <x:row r="2725">
      <x:c r="B2725" s="2"/>
      <x:c r="C2725" s="2"/>
      <x:c r="D2725" s="2"/>
      <x:c r="E2725" s="2"/>
      <x:c r="F2725" s="2"/>
      <x:c r="G2725" s="2"/>
    </x:row>
    <x:row r="2726">
      <x:c r="B2726" s="2"/>
      <x:c r="C2726" s="2"/>
      <x:c r="D2726" s="2"/>
      <x:c r="E2726" s="2"/>
      <x:c r="F2726" s="2"/>
      <x:c r="G2726" s="2"/>
    </x:row>
    <x:row r="2727">
      <x:c r="B2727" s="2"/>
      <x:c r="C2727" s="2"/>
      <x:c r="D2727" s="2"/>
      <x:c r="E2727" s="2"/>
      <x:c r="F2727" s="2"/>
      <x:c r="G2727" s="2"/>
    </x:row>
    <x:row r="2728">
      <x:c r="B2728" s="2"/>
      <x:c r="C2728" s="2"/>
      <x:c r="D2728" s="2"/>
      <x:c r="E2728" s="2"/>
      <x:c r="F2728" s="2"/>
      <x:c r="G2728" s="2"/>
    </x:row>
    <x:row r="2729">
      <x:c r="B2729" s="2"/>
      <x:c r="C2729" s="2"/>
      <x:c r="D2729" s="2"/>
      <x:c r="E2729" s="2"/>
      <x:c r="F2729" s="2"/>
      <x:c r="G2729" s="2"/>
    </x:row>
    <x:row r="2730">
      <x:c r="B2730" s="2"/>
      <x:c r="C2730" s="2"/>
      <x:c r="D2730" s="2"/>
      <x:c r="E2730" s="2"/>
      <x:c r="F2730" s="2"/>
      <x:c r="G2730" s="2"/>
    </x:row>
    <x:row r="2731">
      <x:c r="B2731" s="2"/>
      <x:c r="C2731" s="2"/>
      <x:c r="D2731" s="2"/>
      <x:c r="E2731" s="2"/>
      <x:c r="F2731" s="2"/>
      <x:c r="G2731" s="2"/>
    </x:row>
    <x:row r="2732">
      <x:c r="B2732" s="2"/>
      <x:c r="C2732" s="2"/>
      <x:c r="D2732" s="2"/>
      <x:c r="E2732" s="2"/>
      <x:c r="F2732" s="2"/>
      <x:c r="G2732" s="2"/>
    </x:row>
    <x:row r="2733">
      <x:c r="B2733" s="2"/>
      <x:c r="C2733" s="2"/>
      <x:c r="D2733" s="2"/>
      <x:c r="E2733" s="2"/>
      <x:c r="F2733" s="2"/>
      <x:c r="G2733" s="2"/>
    </x:row>
    <x:row r="2734">
      <x:c r="B2734" s="2"/>
      <x:c r="C2734" s="2"/>
      <x:c r="D2734" s="2"/>
      <x:c r="E2734" s="2"/>
      <x:c r="F2734" s="2"/>
      <x:c r="G2734" s="2"/>
    </x:row>
    <x:row r="2735">
      <x:c r="B2735" s="2"/>
      <x:c r="C2735" s="2"/>
      <x:c r="D2735" s="2"/>
      <x:c r="E2735" s="2"/>
      <x:c r="F2735" s="2"/>
      <x:c r="G2735" s="2"/>
    </x:row>
    <x:row r="2736">
      <x:c r="B2736" s="2"/>
      <x:c r="C2736" s="2"/>
      <x:c r="D2736" s="2"/>
      <x:c r="E2736" s="2"/>
      <x:c r="F2736" s="2"/>
      <x:c r="G2736" s="2"/>
    </x:row>
    <x:row r="2737">
      <x:c r="B2737" s="2"/>
      <x:c r="C2737" s="2"/>
      <x:c r="D2737" s="2"/>
      <x:c r="E2737" s="2"/>
      <x:c r="F2737" s="2"/>
      <x:c r="G2737" s="2"/>
    </x:row>
    <x:row r="2738">
      <x:c r="B2738" s="2"/>
      <x:c r="C2738" s="2"/>
      <x:c r="D2738" s="2"/>
      <x:c r="E2738" s="2"/>
      <x:c r="F2738" s="2"/>
      <x:c r="G2738" s="2"/>
    </x:row>
    <x:row r="2739">
      <x:c r="B2739" s="2"/>
      <x:c r="C2739" s="2"/>
      <x:c r="D2739" s="2"/>
      <x:c r="E2739" s="2"/>
      <x:c r="F2739" s="2"/>
      <x:c r="G2739" s="2"/>
    </x:row>
    <x:row r="2740">
      <x:c r="B2740" s="2"/>
      <x:c r="C2740" s="2"/>
      <x:c r="D2740" s="2"/>
      <x:c r="E2740" s="2"/>
      <x:c r="F2740" s="2"/>
      <x:c r="G2740" s="2"/>
    </x:row>
    <x:row r="2741">
      <x:c r="B2741" s="2"/>
      <x:c r="C2741" s="2"/>
      <x:c r="D2741" s="2"/>
      <x:c r="E2741" s="2"/>
      <x:c r="F2741" s="2"/>
      <x:c r="G2741" s="2"/>
    </x:row>
    <x:row r="2742">
      <x:c r="B2742" s="2"/>
      <x:c r="C2742" s="2"/>
      <x:c r="D2742" s="2"/>
      <x:c r="E2742" s="2"/>
      <x:c r="F2742" s="2"/>
      <x:c r="G2742" s="2"/>
    </x:row>
    <x:row r="2743">
      <x:c r="B2743" s="2"/>
      <x:c r="C2743" s="2"/>
      <x:c r="D2743" s="2"/>
      <x:c r="E2743" s="2"/>
      <x:c r="F2743" s="2"/>
      <x:c r="G2743" s="2"/>
    </x:row>
    <x:row r="2744">
      <x:c r="B2744" s="2"/>
      <x:c r="C2744" s="2"/>
      <x:c r="D2744" s="2"/>
      <x:c r="E2744" s="2"/>
      <x:c r="F2744" s="2"/>
      <x:c r="G2744" s="2"/>
    </x:row>
    <x:row r="2745">
      <x:c r="B2745" s="2"/>
      <x:c r="C2745" s="2"/>
      <x:c r="D2745" s="2"/>
      <x:c r="E2745" s="2"/>
      <x:c r="F2745" s="2"/>
      <x:c r="G2745" s="2"/>
    </x:row>
    <x:row r="2746">
      <x:c r="B2746" s="2"/>
      <x:c r="C2746" s="2"/>
      <x:c r="D2746" s="2"/>
      <x:c r="E2746" s="2"/>
      <x:c r="F2746" s="2"/>
      <x:c r="G2746" s="2"/>
    </x:row>
    <x:row r="2747">
      <x:c r="B2747" s="2"/>
      <x:c r="C2747" s="2"/>
      <x:c r="D2747" s="2"/>
      <x:c r="E2747" s="2"/>
      <x:c r="F2747" s="2"/>
      <x:c r="G2747" s="2"/>
    </x:row>
    <x:row r="2748">
      <x:c r="B2748" s="2"/>
      <x:c r="C2748" s="2"/>
      <x:c r="D2748" s="2"/>
      <x:c r="E2748" s="2"/>
      <x:c r="F2748" s="2"/>
      <x:c r="G2748" s="2"/>
    </x:row>
    <x:row r="2749">
      <x:c r="B2749" s="2"/>
      <x:c r="C2749" s="2"/>
      <x:c r="D2749" s="2"/>
      <x:c r="E2749" s="2"/>
      <x:c r="F2749" s="2"/>
      <x:c r="G2749" s="2"/>
    </x:row>
    <x:row r="2750">
      <x:c r="B2750" s="2"/>
      <x:c r="C2750" s="2"/>
      <x:c r="D2750" s="2"/>
      <x:c r="E2750" s="2"/>
      <x:c r="F2750" s="2"/>
      <x:c r="G2750" s="2"/>
    </x:row>
    <x:row r="2751">
      <x:c r="B2751" s="2"/>
      <x:c r="C2751" s="2"/>
      <x:c r="D2751" s="2"/>
      <x:c r="E2751" s="2"/>
      <x:c r="F2751" s="2"/>
      <x:c r="G2751" s="2"/>
    </x:row>
    <x:row r="2752">
      <x:c r="B2752" s="2"/>
      <x:c r="C2752" s="2"/>
      <x:c r="D2752" s="2"/>
      <x:c r="E2752" s="2"/>
      <x:c r="F2752" s="2"/>
      <x:c r="G2752" s="2"/>
    </x:row>
    <x:row r="2753">
      <x:c r="B2753" s="2"/>
      <x:c r="C2753" s="2"/>
      <x:c r="D2753" s="2"/>
      <x:c r="E2753" s="2"/>
      <x:c r="F2753" s="2"/>
      <x:c r="G2753" s="2"/>
    </x:row>
    <x:row r="2754">
      <x:c r="B2754" s="2"/>
      <x:c r="C2754" s="2"/>
      <x:c r="D2754" s="2"/>
      <x:c r="E2754" s="2"/>
      <x:c r="F2754" s="2"/>
      <x:c r="G2754" s="2"/>
    </x:row>
    <x:row r="2755">
      <x:c r="B2755" s="2"/>
      <x:c r="C2755" s="2"/>
      <x:c r="D2755" s="2"/>
      <x:c r="E2755" s="2"/>
      <x:c r="F2755" s="2"/>
      <x:c r="G2755" s="2"/>
    </x:row>
    <x:row r="2756">
      <x:c r="B2756" s="2"/>
      <x:c r="C2756" s="2"/>
      <x:c r="D2756" s="2"/>
      <x:c r="E2756" s="2"/>
      <x:c r="F2756" s="2"/>
      <x:c r="G2756" s="2"/>
    </x:row>
    <x:row r="2757">
      <x:c r="B2757" s="2"/>
      <x:c r="C2757" s="2"/>
      <x:c r="D2757" s="2"/>
      <x:c r="E2757" s="2"/>
      <x:c r="F2757" s="2"/>
      <x:c r="G2757" s="2"/>
    </x:row>
    <x:row r="2758">
      <x:c r="B2758" s="2"/>
      <x:c r="C2758" s="2"/>
      <x:c r="D2758" s="2"/>
      <x:c r="E2758" s="2"/>
      <x:c r="F2758" s="2"/>
      <x:c r="G2758" s="2"/>
    </x:row>
    <x:row r="2759">
      <x:c r="B2759" s="2"/>
      <x:c r="C2759" s="2"/>
      <x:c r="D2759" s="2"/>
      <x:c r="E2759" s="2"/>
      <x:c r="F2759" s="2"/>
      <x:c r="G2759" s="2"/>
    </x:row>
    <x:row r="2760">
      <x:c r="B2760" s="2"/>
      <x:c r="C2760" s="2"/>
      <x:c r="D2760" s="2"/>
      <x:c r="E2760" s="2"/>
      <x:c r="F2760" s="2"/>
      <x:c r="G2760" s="2"/>
    </x:row>
    <x:row r="2761">
      <x:c r="B2761" s="2"/>
      <x:c r="C2761" s="2"/>
      <x:c r="D2761" s="2"/>
      <x:c r="E2761" s="2"/>
      <x:c r="F2761" s="2"/>
      <x:c r="G2761" s="2"/>
    </x:row>
    <x:row r="2762">
      <x:c r="B2762" s="2"/>
      <x:c r="C2762" s="2"/>
      <x:c r="D2762" s="2"/>
      <x:c r="E2762" s="2"/>
      <x:c r="F2762" s="2"/>
      <x:c r="G2762" s="2"/>
    </x:row>
    <x:row r="2763">
      <x:c r="B2763" s="2"/>
      <x:c r="C2763" s="2"/>
      <x:c r="D2763" s="2"/>
      <x:c r="E2763" s="2"/>
      <x:c r="F2763" s="2"/>
      <x:c r="G2763" s="2"/>
    </x:row>
    <x:row r="2764">
      <x:c r="B2764" s="2"/>
      <x:c r="C2764" s="2"/>
      <x:c r="D2764" s="2"/>
      <x:c r="E2764" s="2"/>
      <x:c r="F2764" s="2"/>
      <x:c r="G2764" s="2"/>
    </x:row>
    <x:row r="2765">
      <x:c r="B2765" s="2"/>
      <x:c r="C2765" s="2"/>
      <x:c r="D2765" s="2"/>
      <x:c r="E2765" s="2"/>
      <x:c r="F2765" s="2"/>
      <x:c r="G2765" s="2"/>
    </x:row>
    <x:row r="2766">
      <x:c r="B2766" s="2"/>
      <x:c r="C2766" s="2"/>
      <x:c r="D2766" s="2"/>
      <x:c r="E2766" s="2"/>
      <x:c r="F2766" s="2"/>
      <x:c r="G2766" s="2"/>
    </x:row>
    <x:row r="2767">
      <x:c r="B2767" s="2"/>
      <x:c r="C2767" s="2"/>
      <x:c r="D2767" s="2"/>
      <x:c r="E2767" s="2"/>
      <x:c r="F2767" s="2"/>
      <x:c r="G2767" s="2"/>
    </x:row>
    <x:row r="2768">
      <x:c r="B2768" s="2"/>
      <x:c r="C2768" s="2"/>
      <x:c r="D2768" s="2"/>
      <x:c r="E2768" s="2"/>
      <x:c r="F2768" s="2"/>
      <x:c r="G2768" s="2"/>
    </x:row>
    <x:row r="2769">
      <x:c r="B2769" s="2"/>
      <x:c r="C2769" s="2"/>
      <x:c r="D2769" s="2"/>
      <x:c r="E2769" s="2"/>
      <x:c r="F2769" s="2"/>
      <x:c r="G2769" s="2"/>
    </x:row>
    <x:row r="2770">
      <x:c r="B2770" s="2"/>
      <x:c r="C2770" s="2"/>
      <x:c r="D2770" s="2"/>
      <x:c r="E2770" s="2"/>
      <x:c r="F2770" s="2"/>
      <x:c r="G2770" s="2"/>
    </x:row>
    <x:row r="2771">
      <x:c r="B2771" s="2"/>
      <x:c r="C2771" s="2"/>
      <x:c r="D2771" s="2"/>
      <x:c r="E2771" s="2"/>
      <x:c r="F2771" s="2"/>
      <x:c r="G2771" s="2"/>
    </x:row>
    <x:row r="2772">
      <x:c r="B2772" s="2"/>
      <x:c r="C2772" s="2"/>
      <x:c r="D2772" s="2"/>
      <x:c r="E2772" s="2"/>
      <x:c r="F2772" s="2"/>
      <x:c r="G2772" s="2"/>
    </x:row>
    <x:row r="2773">
      <x:c r="B2773" s="2"/>
      <x:c r="C2773" s="2"/>
      <x:c r="D2773" s="2"/>
      <x:c r="E2773" s="2"/>
      <x:c r="F2773" s="2"/>
      <x:c r="G2773" s="2"/>
    </x:row>
    <x:row r="2774">
      <x:c r="B2774" s="2"/>
      <x:c r="C2774" s="2"/>
      <x:c r="D2774" s="2"/>
      <x:c r="E2774" s="2"/>
      <x:c r="F2774" s="2"/>
      <x:c r="G2774" s="2"/>
    </x:row>
    <x:row r="2775">
      <x:c r="B2775" s="2"/>
      <x:c r="C2775" s="2"/>
      <x:c r="D2775" s="2"/>
      <x:c r="E2775" s="2"/>
      <x:c r="F2775" s="2"/>
      <x:c r="G2775" s="2"/>
    </x:row>
    <x:row r="2776">
      <x:c r="B2776" s="2"/>
      <x:c r="C2776" s="2"/>
      <x:c r="D2776" s="2"/>
      <x:c r="E2776" s="2"/>
      <x:c r="F2776" s="2"/>
      <x:c r="G2776" s="2"/>
    </x:row>
    <x:row r="2777">
      <x:c r="B2777" s="2"/>
      <x:c r="C2777" s="2"/>
      <x:c r="D2777" s="2"/>
      <x:c r="E2777" s="2"/>
      <x:c r="F2777" s="2"/>
      <x:c r="G2777" s="2"/>
    </x:row>
    <x:row r="2778">
      <x:c r="B2778" s="2"/>
      <x:c r="C2778" s="2"/>
      <x:c r="D2778" s="2"/>
      <x:c r="E2778" s="2"/>
      <x:c r="F2778" s="2"/>
      <x:c r="G2778" s="2"/>
    </x:row>
    <x:row r="2779">
      <x:c r="B2779" s="2"/>
      <x:c r="C2779" s="2"/>
      <x:c r="D2779" s="2"/>
      <x:c r="E2779" s="2"/>
      <x:c r="F2779" s="2"/>
      <x:c r="G2779" s="2"/>
    </x:row>
    <x:row r="2780">
      <x:c r="B2780" s="2"/>
      <x:c r="C2780" s="2"/>
      <x:c r="D2780" s="2"/>
      <x:c r="E2780" s="2"/>
      <x:c r="F2780" s="2"/>
      <x:c r="G2780" s="2"/>
    </x:row>
    <x:row r="2781">
      <x:c r="B2781" s="2"/>
      <x:c r="C2781" s="2"/>
      <x:c r="D2781" s="2"/>
      <x:c r="E2781" s="2"/>
      <x:c r="F2781" s="2"/>
      <x:c r="G2781" s="2"/>
    </x:row>
    <x:row r="2782">
      <x:c r="B2782" s="2"/>
      <x:c r="C2782" s="2"/>
      <x:c r="D2782" s="2"/>
      <x:c r="E2782" s="2"/>
      <x:c r="F2782" s="2"/>
      <x:c r="G2782" s="2"/>
    </x:row>
    <x:row r="2783">
      <x:c r="B2783" s="2"/>
      <x:c r="C2783" s="2"/>
      <x:c r="D2783" s="2"/>
      <x:c r="E2783" s="2"/>
      <x:c r="F2783" s="2"/>
      <x:c r="G2783" s="2"/>
    </x:row>
    <x:row r="2784">
      <x:c r="B2784" s="2"/>
      <x:c r="C2784" s="2"/>
      <x:c r="D2784" s="2"/>
      <x:c r="E2784" s="2"/>
      <x:c r="F2784" s="2"/>
      <x:c r="G2784" s="2"/>
    </x:row>
    <x:row r="2785">
      <x:c r="B2785" s="2"/>
      <x:c r="C2785" s="2"/>
      <x:c r="D2785" s="2"/>
      <x:c r="E2785" s="2"/>
      <x:c r="F2785" s="2"/>
      <x:c r="G2785" s="2"/>
    </x:row>
    <x:row r="2786">
      <x:c r="B2786" s="2"/>
      <x:c r="C2786" s="2"/>
      <x:c r="D2786" s="2"/>
      <x:c r="E2786" s="2"/>
      <x:c r="F2786" s="2"/>
      <x:c r="G2786" s="2"/>
    </x:row>
    <x:row r="2787">
      <x:c r="B2787" s="2"/>
      <x:c r="C2787" s="2"/>
      <x:c r="D2787" s="2"/>
      <x:c r="E2787" s="2"/>
      <x:c r="F2787" s="2"/>
      <x:c r="G2787" s="2"/>
    </x:row>
    <x:row r="2788">
      <x:c r="B2788" s="2"/>
      <x:c r="C2788" s="2"/>
      <x:c r="D2788" s="2"/>
      <x:c r="E2788" s="2"/>
      <x:c r="F2788" s="2"/>
      <x:c r="G2788" s="2"/>
    </x:row>
    <x:row r="2789">
      <x:c r="B2789" s="2"/>
      <x:c r="C2789" s="2"/>
      <x:c r="D2789" s="2"/>
      <x:c r="E2789" s="2"/>
      <x:c r="F2789" s="2"/>
      <x:c r="G2789" s="2"/>
    </x:row>
    <x:row r="2790">
      <x:c r="B2790" s="2"/>
      <x:c r="C2790" s="2"/>
      <x:c r="D2790" s="2"/>
      <x:c r="E2790" s="2"/>
      <x:c r="F2790" s="2"/>
      <x:c r="G2790" s="2"/>
    </x:row>
    <x:row r="2791">
      <x:c r="B2791" s="2"/>
      <x:c r="C2791" s="2"/>
      <x:c r="D2791" s="2"/>
      <x:c r="E2791" s="2"/>
      <x:c r="F2791" s="2"/>
      <x:c r="G2791" s="2"/>
    </x:row>
    <x:row r="2792">
      <x:c r="B2792" s="2"/>
      <x:c r="C2792" s="2"/>
      <x:c r="D2792" s="2"/>
      <x:c r="E2792" s="2"/>
      <x:c r="F2792" s="2"/>
      <x:c r="G2792" s="2"/>
    </x:row>
    <x:row r="2793">
      <x:c r="B2793" s="2"/>
      <x:c r="C2793" s="2"/>
      <x:c r="D2793" s="2"/>
      <x:c r="E2793" s="2"/>
      <x:c r="F2793" s="2"/>
      <x:c r="G2793" s="2"/>
    </x:row>
    <x:row r="2794">
      <x:c r="B2794" s="2"/>
      <x:c r="C2794" s="2"/>
      <x:c r="D2794" s="2"/>
      <x:c r="E2794" s="2"/>
      <x:c r="F2794" s="2"/>
      <x:c r="G2794" s="2"/>
    </x:row>
    <x:row r="2795">
      <x:c r="B2795" s="2"/>
      <x:c r="C2795" s="2"/>
      <x:c r="D2795" s="2"/>
      <x:c r="E2795" s="2"/>
      <x:c r="F2795" s="2"/>
      <x:c r="G2795" s="2"/>
    </x:row>
    <x:row r="2796">
      <x:c r="B2796" s="2"/>
      <x:c r="C2796" s="2"/>
      <x:c r="D2796" s="2"/>
      <x:c r="E2796" s="2"/>
      <x:c r="F2796" s="2"/>
      <x:c r="G2796" s="2"/>
    </x:row>
    <x:row r="2797">
      <x:c r="B2797" s="2"/>
      <x:c r="C2797" s="2"/>
      <x:c r="D2797" s="2"/>
      <x:c r="E2797" s="2"/>
      <x:c r="F2797" s="2"/>
      <x:c r="G2797" s="2"/>
    </x:row>
    <x:row r="2798">
      <x:c r="B2798" s="2"/>
      <x:c r="C2798" s="2"/>
      <x:c r="D2798" s="2"/>
      <x:c r="E2798" s="2"/>
      <x:c r="F2798" s="2"/>
      <x:c r="G2798" s="2"/>
    </x:row>
    <x:row r="2799">
      <x:c r="B2799" s="2"/>
      <x:c r="C2799" s="2"/>
      <x:c r="D2799" s="2"/>
      <x:c r="E2799" s="2"/>
      <x:c r="F2799" s="2"/>
      <x:c r="G2799" s="2"/>
    </x:row>
    <x:row r="2800">
      <x:c r="B2800" s="2"/>
      <x:c r="C2800" s="2"/>
      <x:c r="D2800" s="2"/>
      <x:c r="E2800" s="2"/>
      <x:c r="F2800" s="2"/>
      <x:c r="G2800" s="2"/>
    </x:row>
    <x:row r="2801">
      <x:c r="B2801" s="2"/>
      <x:c r="C2801" s="2"/>
      <x:c r="D2801" s="2"/>
      <x:c r="E2801" s="2"/>
      <x:c r="F2801" s="2"/>
      <x:c r="G2801" s="2"/>
    </x:row>
    <x:row r="2802">
      <x:c r="B2802" s="2"/>
      <x:c r="C2802" s="2"/>
      <x:c r="D2802" s="2"/>
      <x:c r="E2802" s="2"/>
      <x:c r="F2802" s="2"/>
      <x:c r="G2802" s="2"/>
    </x:row>
    <x:row r="2803">
      <x:c r="B2803" s="2"/>
      <x:c r="C2803" s="2"/>
      <x:c r="D2803" s="2"/>
      <x:c r="E2803" s="2"/>
      <x:c r="F2803" s="2"/>
      <x:c r="G2803" s="2"/>
    </x:row>
    <x:row r="2804">
      <x:c r="B2804" s="2"/>
      <x:c r="C2804" s="2"/>
      <x:c r="D2804" s="2"/>
      <x:c r="E2804" s="2"/>
      <x:c r="F2804" s="2"/>
      <x:c r="G2804" s="2"/>
    </x:row>
    <x:row r="2805">
      <x:c r="B2805" s="2"/>
      <x:c r="C2805" s="2"/>
      <x:c r="D2805" s="2"/>
      <x:c r="E2805" s="2"/>
      <x:c r="F2805" s="2"/>
      <x:c r="G2805" s="2"/>
    </x:row>
    <x:row r="2806">
      <x:c r="B2806" s="2"/>
      <x:c r="C2806" s="2"/>
      <x:c r="D2806" s="2"/>
      <x:c r="E2806" s="2"/>
      <x:c r="F2806" s="2"/>
      <x:c r="G2806" s="2"/>
    </x:row>
    <x:row r="2807">
      <x:c r="B2807" s="2"/>
      <x:c r="C2807" s="2"/>
      <x:c r="D2807" s="2"/>
      <x:c r="E2807" s="2"/>
      <x:c r="F2807" s="2"/>
      <x:c r="G2807" s="2"/>
    </x:row>
    <x:row r="2808">
      <x:c r="B2808" s="2"/>
      <x:c r="C2808" s="2"/>
      <x:c r="D2808" s="2"/>
      <x:c r="E2808" s="2"/>
      <x:c r="F2808" s="2"/>
      <x:c r="G2808" s="2"/>
    </x:row>
    <x:row r="2809">
      <x:c r="B2809" s="2"/>
      <x:c r="C2809" s="2"/>
      <x:c r="D2809" s="2"/>
      <x:c r="E2809" s="2"/>
      <x:c r="F2809" s="2"/>
      <x:c r="G2809" s="2"/>
    </x:row>
    <x:row r="2810">
      <x:c r="B2810" s="2"/>
      <x:c r="C2810" s="2"/>
      <x:c r="D2810" s="2"/>
      <x:c r="E2810" s="2"/>
      <x:c r="F2810" s="2"/>
      <x:c r="G2810" s="2"/>
    </x:row>
    <x:row r="2811">
      <x:c r="B2811" s="2"/>
      <x:c r="C2811" s="2"/>
      <x:c r="D2811" s="2"/>
      <x:c r="E2811" s="2"/>
      <x:c r="F2811" s="2"/>
      <x:c r="G2811" s="2"/>
    </x:row>
    <x:row r="2812">
      <x:c r="B2812" s="2"/>
      <x:c r="C2812" s="2"/>
      <x:c r="D2812" s="2"/>
      <x:c r="E2812" s="2"/>
      <x:c r="F2812" s="2"/>
      <x:c r="G2812" s="2"/>
    </x:row>
    <x:row r="2813">
      <x:c r="B2813" s="2"/>
      <x:c r="C2813" s="2"/>
      <x:c r="D2813" s="2"/>
      <x:c r="E2813" s="2"/>
      <x:c r="F2813" s="2"/>
      <x:c r="G2813" s="2"/>
    </x:row>
    <x:row r="2814">
      <x:c r="B2814" s="2"/>
      <x:c r="C2814" s="2"/>
      <x:c r="D2814" s="2"/>
      <x:c r="E2814" s="2"/>
      <x:c r="F2814" s="2"/>
      <x:c r="G2814" s="2"/>
    </x:row>
    <x:row r="2815">
      <x:c r="B2815" s="2"/>
      <x:c r="C2815" s="2"/>
      <x:c r="D2815" s="2"/>
      <x:c r="E2815" s="2"/>
      <x:c r="F2815" s="2"/>
      <x:c r="G2815" s="2"/>
    </x:row>
    <x:row r="2816">
      <x:c r="B2816" s="2"/>
      <x:c r="C2816" s="2"/>
      <x:c r="D2816" s="2"/>
      <x:c r="E2816" s="2"/>
      <x:c r="F2816" s="2"/>
      <x:c r="G2816" s="2"/>
    </x:row>
    <x:row r="2817">
      <x:c r="B2817" s="2"/>
      <x:c r="C2817" s="2"/>
      <x:c r="D2817" s="2"/>
      <x:c r="E2817" s="2"/>
      <x:c r="F2817" s="2"/>
      <x:c r="G2817" s="2"/>
    </x:row>
    <x:row r="2818">
      <x:c r="B2818" s="2"/>
      <x:c r="C2818" s="2"/>
      <x:c r="D2818" s="2"/>
      <x:c r="E2818" s="2"/>
      <x:c r="F2818" s="2"/>
      <x:c r="G2818" s="2"/>
    </x:row>
    <x:row r="2819">
      <x:c r="B2819" s="2"/>
      <x:c r="C2819" s="2"/>
      <x:c r="D2819" s="2"/>
      <x:c r="E2819" s="2"/>
      <x:c r="F2819" s="2"/>
      <x:c r="G2819" s="2"/>
    </x:row>
    <x:row r="2820">
      <x:c r="B2820" s="2"/>
      <x:c r="C2820" s="2"/>
      <x:c r="D2820" s="2"/>
      <x:c r="E2820" s="2"/>
      <x:c r="F2820" s="2"/>
      <x:c r="G2820" s="2"/>
    </x:row>
    <x:row r="2821">
      <x:c r="B2821" s="2"/>
      <x:c r="C2821" s="2"/>
      <x:c r="D2821" s="2"/>
      <x:c r="E2821" s="2"/>
      <x:c r="F2821" s="2"/>
      <x:c r="G2821" s="2"/>
    </x:row>
    <x:row r="2822">
      <x:c r="B2822" s="2"/>
      <x:c r="C2822" s="2"/>
      <x:c r="D2822" s="2"/>
      <x:c r="E2822" s="2"/>
      <x:c r="F2822" s="2"/>
      <x:c r="G2822" s="2"/>
    </x:row>
    <x:row r="2823">
      <x:c r="B2823" s="2"/>
      <x:c r="C2823" s="2"/>
      <x:c r="D2823" s="2"/>
      <x:c r="E2823" s="2"/>
      <x:c r="F2823" s="2"/>
      <x:c r="G2823" s="2"/>
    </x:row>
    <x:row r="2824">
      <x:c r="B2824" s="2"/>
      <x:c r="C2824" s="2"/>
      <x:c r="D2824" s="2"/>
      <x:c r="E2824" s="2"/>
      <x:c r="F2824" s="2"/>
      <x:c r="G2824" s="2"/>
    </x:row>
    <x:row r="2825">
      <x:c r="B2825" s="2"/>
      <x:c r="C2825" s="2"/>
      <x:c r="D2825" s="2"/>
      <x:c r="E2825" s="2"/>
      <x:c r="F2825" s="2"/>
      <x:c r="G2825" s="2"/>
    </x:row>
    <x:row r="2826">
      <x:c r="B2826" s="2"/>
      <x:c r="C2826" s="2"/>
      <x:c r="D2826" s="2"/>
      <x:c r="E2826" s="2"/>
      <x:c r="F2826" s="2"/>
      <x:c r="G2826" s="2"/>
    </x:row>
    <x:row r="2827">
      <x:c r="B2827" s="2"/>
      <x:c r="C2827" s="2"/>
      <x:c r="D2827" s="2"/>
      <x:c r="E2827" s="2"/>
      <x:c r="F2827" s="2"/>
      <x:c r="G2827" s="2"/>
    </x:row>
    <x:row r="2828">
      <x:c r="B2828" s="2"/>
      <x:c r="C2828" s="2"/>
      <x:c r="D2828" s="2"/>
      <x:c r="E2828" s="2"/>
      <x:c r="F2828" s="2"/>
      <x:c r="G2828" s="2"/>
    </x:row>
    <x:row r="2829">
      <x:c r="B2829" s="2"/>
      <x:c r="C2829" s="2"/>
      <x:c r="D2829" s="2"/>
      <x:c r="E2829" s="2"/>
      <x:c r="F2829" s="2"/>
      <x:c r="G2829" s="2"/>
    </x:row>
    <x:row r="2830">
      <x:c r="B2830" s="2"/>
      <x:c r="C2830" s="2"/>
      <x:c r="D2830" s="2"/>
      <x:c r="E2830" s="2"/>
      <x:c r="F2830" s="2"/>
      <x:c r="G2830" s="2"/>
    </x:row>
    <x:row r="2831">
      <x:c r="B2831" s="2"/>
      <x:c r="C2831" s="2"/>
      <x:c r="D2831" s="2"/>
      <x:c r="E2831" s="2"/>
      <x:c r="F2831" s="2"/>
      <x:c r="G2831" s="2"/>
    </x:row>
    <x:row r="2832">
      <x:c r="B2832" s="2"/>
      <x:c r="C2832" s="2"/>
      <x:c r="D2832" s="2"/>
      <x:c r="E2832" s="2"/>
      <x:c r="F2832" s="2"/>
      <x:c r="G2832" s="2"/>
    </x:row>
    <x:row r="2833">
      <x:c r="B2833" s="2"/>
      <x:c r="C2833" s="2"/>
      <x:c r="D2833" s="2"/>
      <x:c r="E2833" s="2"/>
      <x:c r="F2833" s="2"/>
      <x:c r="G2833" s="2"/>
    </x:row>
    <x:row r="2834">
      <x:c r="B2834" s="2"/>
      <x:c r="C2834" s="2"/>
      <x:c r="D2834" s="2"/>
      <x:c r="E2834" s="2"/>
      <x:c r="F2834" s="2"/>
      <x:c r="G2834" s="2"/>
    </x:row>
    <x:row r="2835">
      <x:c r="B2835" s="2"/>
      <x:c r="C2835" s="2"/>
      <x:c r="D2835" s="2"/>
      <x:c r="E2835" s="2"/>
      <x:c r="F2835" s="2"/>
      <x:c r="G2835" s="2"/>
    </x:row>
    <x:row r="2836">
      <x:c r="B2836" s="2"/>
      <x:c r="C2836" s="2"/>
      <x:c r="D2836" s="2"/>
      <x:c r="E2836" s="2"/>
      <x:c r="F2836" s="2"/>
      <x:c r="G2836" s="2"/>
    </x:row>
    <x:row r="2837">
      <x:c r="B2837" s="2"/>
      <x:c r="C2837" s="2"/>
      <x:c r="D2837" s="2"/>
      <x:c r="E2837" s="2"/>
      <x:c r="F2837" s="2"/>
      <x:c r="G2837" s="2"/>
    </x:row>
    <x:row r="2838">
      <x:c r="B2838" s="2"/>
      <x:c r="C2838" s="2"/>
      <x:c r="D2838" s="2"/>
      <x:c r="E2838" s="2"/>
      <x:c r="F2838" s="2"/>
      <x:c r="G2838" s="2"/>
    </x:row>
    <x:row r="2839">
      <x:c r="B2839" s="2"/>
      <x:c r="C2839" s="2"/>
      <x:c r="D2839" s="2"/>
      <x:c r="E2839" s="2"/>
      <x:c r="F2839" s="2"/>
      <x:c r="G2839" s="2"/>
    </x:row>
    <x:row r="2840">
      <x:c r="B2840" s="2"/>
      <x:c r="C2840" s="2"/>
      <x:c r="D2840" s="2"/>
      <x:c r="E2840" s="2"/>
      <x:c r="F2840" s="2"/>
      <x:c r="G2840" s="2"/>
    </x:row>
    <x:row r="2841">
      <x:c r="B2841" s="2"/>
      <x:c r="C2841" s="2"/>
      <x:c r="D2841" s="2"/>
      <x:c r="E2841" s="2"/>
      <x:c r="F2841" s="2"/>
      <x:c r="G2841" s="2"/>
    </x:row>
    <x:row r="2842">
      <x:c r="B2842" s="2"/>
      <x:c r="C2842" s="2"/>
      <x:c r="D2842" s="2"/>
      <x:c r="E2842" s="2"/>
      <x:c r="F2842" s="2"/>
      <x:c r="G2842" s="2"/>
    </x:row>
    <x:row r="2843">
      <x:c r="B2843" s="2"/>
      <x:c r="C2843" s="2"/>
      <x:c r="D2843" s="2"/>
      <x:c r="E2843" s="2"/>
      <x:c r="F2843" s="2"/>
      <x:c r="G2843" s="2"/>
    </x:row>
    <x:row r="2844">
      <x:c r="B2844" s="2"/>
      <x:c r="C2844" s="2"/>
      <x:c r="D2844" s="2"/>
      <x:c r="E2844" s="2"/>
      <x:c r="F2844" s="2"/>
      <x:c r="G2844" s="2"/>
    </x:row>
    <x:row r="2845">
      <x:c r="B2845" s="2"/>
      <x:c r="C2845" s="2"/>
      <x:c r="D2845" s="2"/>
      <x:c r="E2845" s="2"/>
      <x:c r="F2845" s="2"/>
      <x:c r="G2845" s="2"/>
    </x:row>
    <x:row r="2846">
      <x:c r="B2846" s="2"/>
      <x:c r="C2846" s="2"/>
      <x:c r="D2846" s="2"/>
      <x:c r="E2846" s="2"/>
      <x:c r="F2846" s="2"/>
      <x:c r="G2846" s="2"/>
    </x:row>
    <x:row r="2847">
      <x:c r="B2847" s="2"/>
      <x:c r="C2847" s="2"/>
      <x:c r="D2847" s="2"/>
      <x:c r="E2847" s="2"/>
      <x:c r="F2847" s="2"/>
      <x:c r="G2847" s="2"/>
    </x:row>
    <x:row r="2848">
      <x:c r="B2848" s="2"/>
      <x:c r="C2848" s="2"/>
      <x:c r="D2848" s="2"/>
      <x:c r="E2848" s="2"/>
      <x:c r="F2848" s="2"/>
      <x:c r="G2848" s="2"/>
    </x:row>
    <x:row r="2849">
      <x:c r="B2849" s="2"/>
      <x:c r="C2849" s="2"/>
      <x:c r="D2849" s="2"/>
      <x:c r="E2849" s="2"/>
      <x:c r="F2849" s="2"/>
      <x:c r="G2849" s="2"/>
    </x:row>
    <x:row r="2850">
      <x:c r="B2850" s="2"/>
      <x:c r="C2850" s="2"/>
      <x:c r="D2850" s="2"/>
      <x:c r="E2850" s="2"/>
      <x:c r="F2850" s="2"/>
      <x:c r="G2850" s="2"/>
    </x:row>
    <x:row r="2851">
      <x:c r="B2851" s="2"/>
      <x:c r="C2851" s="2"/>
      <x:c r="D2851" s="2"/>
      <x:c r="E2851" s="2"/>
      <x:c r="F2851" s="2"/>
      <x:c r="G2851" s="2"/>
    </x:row>
    <x:row r="2852">
      <x:c r="B2852" s="2"/>
      <x:c r="C2852" s="2"/>
      <x:c r="D2852" s="2"/>
      <x:c r="E2852" s="2"/>
      <x:c r="F2852" s="2"/>
      <x:c r="G2852" s="2"/>
    </x:row>
    <x:row r="2853">
      <x:c r="B2853" s="2"/>
      <x:c r="C2853" s="2"/>
      <x:c r="D2853" s="2"/>
      <x:c r="E2853" s="2"/>
      <x:c r="F2853" s="2"/>
      <x:c r="G2853" s="2"/>
    </x:row>
    <x:row r="2854">
      <x:c r="B2854" s="2"/>
      <x:c r="C2854" s="2"/>
      <x:c r="D2854" s="2"/>
      <x:c r="E2854" s="2"/>
      <x:c r="F2854" s="2"/>
      <x:c r="G2854" s="2"/>
    </x:row>
    <x:row r="2855">
      <x:c r="B2855" s="2"/>
      <x:c r="C2855" s="2"/>
      <x:c r="D2855" s="2"/>
      <x:c r="E2855" s="2"/>
      <x:c r="F2855" s="2"/>
      <x:c r="G2855" s="2"/>
    </x:row>
    <x:row r="2856">
      <x:c r="B2856" s="2"/>
      <x:c r="C2856" s="2"/>
      <x:c r="D2856" s="2"/>
      <x:c r="E2856" s="2"/>
      <x:c r="F2856" s="2"/>
      <x:c r="G2856" s="2"/>
    </x:row>
    <x:row r="2857">
      <x:c r="B2857" s="2"/>
      <x:c r="C2857" s="2"/>
      <x:c r="D2857" s="2"/>
      <x:c r="E2857" s="2"/>
      <x:c r="F2857" s="2"/>
      <x:c r="G2857" s="2"/>
    </x:row>
    <x:row r="2858">
      <x:c r="B2858" s="2"/>
      <x:c r="C2858" s="2"/>
      <x:c r="D2858" s="2"/>
      <x:c r="E2858" s="2"/>
      <x:c r="F2858" s="2"/>
      <x:c r="G2858" s="2"/>
    </x:row>
    <x:row r="2859">
      <x:c r="B2859" s="2"/>
      <x:c r="C2859" s="2"/>
      <x:c r="D2859" s="2"/>
      <x:c r="E2859" s="2"/>
      <x:c r="F2859" s="2"/>
      <x:c r="G2859" s="2"/>
    </x:row>
    <x:row r="2860">
      <x:c r="B2860" s="2"/>
      <x:c r="C2860" s="2"/>
      <x:c r="D2860" s="2"/>
      <x:c r="E2860" s="2"/>
      <x:c r="F2860" s="2"/>
      <x:c r="G2860" s="2"/>
    </x:row>
    <x:row r="2861">
      <x:c r="B2861" s="2"/>
      <x:c r="C2861" s="2"/>
      <x:c r="D2861" s="2"/>
      <x:c r="E2861" s="2"/>
      <x:c r="F2861" s="2"/>
      <x:c r="G2861" s="2"/>
    </x:row>
    <x:row r="2862">
      <x:c r="B2862" s="2"/>
      <x:c r="C2862" s="2"/>
      <x:c r="D2862" s="2"/>
      <x:c r="E2862" s="2"/>
      <x:c r="F2862" s="2"/>
      <x:c r="G2862" s="2"/>
    </x:row>
    <x:row r="2863">
      <x:c r="B2863" s="2"/>
      <x:c r="C2863" s="2"/>
      <x:c r="D2863" s="2"/>
      <x:c r="E2863" s="2"/>
      <x:c r="F2863" s="2"/>
      <x:c r="G2863" s="2"/>
    </x:row>
    <x:row r="2864">
      <x:c r="B2864" s="2"/>
      <x:c r="C2864" s="2"/>
      <x:c r="D2864" s="2"/>
      <x:c r="E2864" s="2"/>
      <x:c r="F2864" s="2"/>
      <x:c r="G2864" s="2"/>
    </x:row>
    <x:row r="2865">
      <x:c r="B2865" s="2"/>
      <x:c r="C2865" s="2"/>
      <x:c r="D2865" s="2"/>
      <x:c r="E2865" s="2"/>
      <x:c r="F2865" s="2"/>
      <x:c r="G2865" s="2"/>
    </x:row>
    <x:row r="2866">
      <x:c r="B2866" s="2"/>
      <x:c r="C2866" s="2"/>
      <x:c r="D2866" s="2"/>
      <x:c r="E2866" s="2"/>
      <x:c r="F2866" s="2"/>
      <x:c r="G2866" s="2"/>
    </x:row>
    <x:row r="2867">
      <x:c r="B2867" s="2"/>
      <x:c r="C2867" s="2"/>
      <x:c r="D2867" s="2"/>
      <x:c r="E2867" s="2"/>
      <x:c r="F2867" s="2"/>
      <x:c r="G2867" s="2"/>
    </x:row>
    <x:row r="2868">
      <x:c r="B2868" s="2"/>
      <x:c r="C2868" s="2"/>
      <x:c r="D2868" s="2"/>
      <x:c r="E2868" s="2"/>
      <x:c r="F2868" s="2"/>
      <x:c r="G2868" s="2"/>
    </x:row>
    <x:row r="2869">
      <x:c r="B2869" s="2"/>
      <x:c r="C2869" s="2"/>
      <x:c r="D2869" s="2"/>
      <x:c r="E2869" s="2"/>
      <x:c r="F2869" s="2"/>
      <x:c r="G2869" s="2"/>
    </x:row>
    <x:row r="2870">
      <x:c r="B2870" s="2"/>
      <x:c r="C2870" s="2"/>
      <x:c r="D2870" s="2"/>
      <x:c r="E2870" s="2"/>
      <x:c r="F2870" s="2"/>
      <x:c r="G2870" s="2"/>
    </x:row>
    <x:row r="2871">
      <x:c r="B2871" s="2"/>
      <x:c r="C2871" s="2"/>
      <x:c r="D2871" s="2"/>
      <x:c r="E2871" s="2"/>
      <x:c r="F2871" s="2"/>
      <x:c r="G2871" s="2"/>
    </x:row>
    <x:row r="2872">
      <x:c r="B2872" s="2"/>
      <x:c r="C2872" s="2"/>
      <x:c r="D2872" s="2"/>
      <x:c r="E2872" s="2"/>
      <x:c r="F2872" s="2"/>
      <x:c r="G2872" s="2"/>
    </x:row>
    <x:row r="2873">
      <x:c r="B2873" s="2"/>
      <x:c r="C2873" s="2"/>
      <x:c r="D2873" s="2"/>
      <x:c r="E2873" s="2"/>
      <x:c r="F2873" s="2"/>
      <x:c r="G2873" s="2"/>
    </x:row>
    <x:row r="2874">
      <x:c r="B2874" s="2"/>
      <x:c r="C2874" s="2"/>
      <x:c r="D2874" s="2"/>
      <x:c r="E2874" s="2"/>
      <x:c r="F2874" s="2"/>
      <x:c r="G2874" s="2"/>
    </x:row>
    <x:row r="2875">
      <x:c r="B2875" s="2"/>
      <x:c r="C2875" s="2"/>
      <x:c r="D2875" s="2"/>
      <x:c r="E2875" s="2"/>
      <x:c r="F2875" s="2"/>
      <x:c r="G2875" s="2"/>
    </x:row>
    <x:row r="2876">
      <x:c r="B2876" s="2"/>
      <x:c r="C2876" s="2"/>
      <x:c r="D2876" s="2"/>
      <x:c r="E2876" s="2"/>
      <x:c r="F2876" s="2"/>
      <x:c r="G2876" s="2"/>
    </x:row>
    <x:row r="2877">
      <x:c r="B2877" s="2"/>
      <x:c r="C2877" s="2"/>
      <x:c r="D2877" s="2"/>
      <x:c r="E2877" s="2"/>
      <x:c r="F2877" s="2"/>
      <x:c r="G2877" s="2"/>
    </x:row>
    <x:row r="2878">
      <x:c r="B2878" s="2"/>
      <x:c r="C2878" s="2"/>
      <x:c r="D2878" s="2"/>
      <x:c r="E2878" s="2"/>
      <x:c r="F2878" s="2"/>
      <x:c r="G2878" s="2"/>
    </x:row>
    <x:row r="2879">
      <x:c r="B2879" s="2"/>
      <x:c r="C2879" s="2"/>
      <x:c r="D2879" s="2"/>
      <x:c r="E2879" s="2"/>
      <x:c r="F2879" s="2"/>
      <x:c r="G2879" s="2"/>
    </x:row>
    <x:row r="2880">
      <x:c r="B2880" s="2"/>
      <x:c r="C2880" s="2"/>
      <x:c r="D2880" s="2"/>
      <x:c r="E2880" s="2"/>
      <x:c r="F2880" s="2"/>
      <x:c r="G2880" s="2"/>
    </x:row>
    <x:row r="2881">
      <x:c r="B2881" s="2"/>
      <x:c r="C2881" s="2"/>
      <x:c r="D2881" s="2"/>
      <x:c r="E2881" s="2"/>
      <x:c r="F2881" s="2"/>
      <x:c r="G2881" s="2"/>
    </x:row>
    <x:row r="2882">
      <x:c r="B2882" s="2"/>
      <x:c r="C2882" s="2"/>
      <x:c r="D2882" s="2"/>
      <x:c r="E2882" s="2"/>
      <x:c r="F2882" s="2"/>
      <x:c r="G2882" s="2"/>
    </x:row>
    <x:row r="2883">
      <x:c r="B2883" s="2"/>
      <x:c r="C2883" s="2"/>
      <x:c r="D2883" s="2"/>
      <x:c r="E2883" s="2"/>
      <x:c r="F2883" s="2"/>
      <x:c r="G2883" s="2"/>
    </x:row>
    <x:row r="2884">
      <x:c r="B2884" s="2"/>
      <x:c r="C2884" s="2"/>
      <x:c r="D2884" s="2"/>
      <x:c r="E2884" s="2"/>
      <x:c r="F2884" s="2"/>
      <x:c r="G2884" s="2"/>
    </x:row>
    <x:row r="2885">
      <x:c r="B2885" s="2"/>
      <x:c r="C2885" s="2"/>
      <x:c r="D2885" s="2"/>
      <x:c r="E2885" s="2"/>
      <x:c r="F2885" s="2"/>
      <x:c r="G2885" s="2"/>
    </x:row>
    <x:row r="2886">
      <x:c r="B2886" s="2"/>
      <x:c r="C2886" s="2"/>
      <x:c r="D2886" s="2"/>
      <x:c r="E2886" s="2"/>
      <x:c r="F2886" s="2"/>
      <x:c r="G2886" s="2"/>
    </x:row>
    <x:row r="2887">
      <x:c r="B2887" s="2"/>
      <x:c r="C2887" s="2"/>
      <x:c r="D2887" s="2"/>
      <x:c r="E2887" s="2"/>
      <x:c r="F2887" s="2"/>
      <x:c r="G2887" s="2"/>
    </x:row>
    <x:row r="2888">
      <x:c r="B2888" s="2"/>
      <x:c r="C2888" s="2"/>
      <x:c r="D2888" s="2"/>
      <x:c r="E2888" s="2"/>
      <x:c r="F2888" s="2"/>
      <x:c r="G2888" s="2"/>
    </x:row>
    <x:row r="2889">
      <x:c r="B2889" s="2"/>
      <x:c r="C2889" s="2"/>
      <x:c r="D2889" s="2"/>
      <x:c r="E2889" s="2"/>
      <x:c r="F2889" s="2"/>
      <x:c r="G2889" s="2"/>
    </x:row>
    <x:row r="2890">
      <x:c r="B2890" s="2"/>
      <x:c r="C2890" s="2"/>
      <x:c r="D2890" s="2"/>
      <x:c r="E2890" s="2"/>
      <x:c r="F2890" s="2"/>
      <x:c r="G2890" s="2"/>
    </x:row>
    <x:row r="2891">
      <x:c r="B2891" s="2"/>
      <x:c r="C2891" s="2"/>
      <x:c r="D2891" s="2"/>
      <x:c r="E2891" s="2"/>
      <x:c r="F2891" s="2"/>
      <x:c r="G2891" s="2"/>
    </x:row>
    <x:row r="2892">
      <x:c r="B2892" s="2"/>
      <x:c r="C2892" s="2"/>
      <x:c r="D2892" s="2"/>
      <x:c r="E2892" s="2"/>
      <x:c r="F2892" s="2"/>
      <x:c r="G2892" s="2"/>
    </x:row>
    <x:row r="2893">
      <x:c r="B2893" s="2"/>
      <x:c r="C2893" s="2"/>
      <x:c r="D2893" s="2"/>
      <x:c r="E2893" s="2"/>
      <x:c r="F2893" s="2"/>
      <x:c r="G2893" s="2"/>
    </x:row>
    <x:row r="2894">
      <x:c r="B2894" s="2"/>
      <x:c r="C2894" s="2"/>
      <x:c r="D2894" s="2"/>
      <x:c r="E2894" s="2"/>
      <x:c r="F2894" s="2"/>
      <x:c r="G2894" s="2"/>
    </x:row>
    <x:row r="2895">
      <x:c r="B2895" s="2"/>
      <x:c r="C2895" s="2"/>
      <x:c r="D2895" s="2"/>
      <x:c r="E2895" s="2"/>
      <x:c r="F2895" s="2"/>
      <x:c r="G2895" s="2"/>
    </x:row>
    <x:row r="2896">
      <x:c r="B2896" s="2"/>
      <x:c r="C2896" s="2"/>
      <x:c r="D2896" s="2"/>
      <x:c r="E2896" s="2"/>
      <x:c r="F2896" s="2"/>
      <x:c r="G2896" s="2"/>
    </x:row>
    <x:row r="2897">
      <x:c r="B2897" s="2"/>
      <x:c r="C2897" s="2"/>
      <x:c r="D2897" s="2"/>
      <x:c r="E2897" s="2"/>
      <x:c r="F2897" s="2"/>
      <x:c r="G2897" s="2"/>
    </x:row>
    <x:row r="2898">
      <x:c r="B2898" s="2"/>
      <x:c r="C2898" s="2"/>
      <x:c r="D2898" s="2"/>
      <x:c r="E2898" s="2"/>
      <x:c r="F2898" s="2"/>
      <x:c r="G2898" s="2"/>
    </x:row>
    <x:row r="2899">
      <x:c r="B2899" s="2"/>
      <x:c r="C2899" s="2"/>
      <x:c r="D2899" s="2"/>
      <x:c r="E2899" s="2"/>
      <x:c r="F2899" s="2"/>
      <x:c r="G2899" s="2"/>
    </x:row>
    <x:row r="2900">
      <x:c r="B2900" s="2"/>
      <x:c r="C2900" s="2"/>
      <x:c r="D2900" s="2"/>
      <x:c r="E2900" s="2"/>
      <x:c r="F2900" s="2"/>
      <x:c r="G2900" s="2"/>
    </x:row>
    <x:row r="2901">
      <x:c r="B2901" s="2"/>
      <x:c r="C2901" s="2"/>
      <x:c r="D2901" s="2"/>
      <x:c r="E2901" s="2"/>
      <x:c r="F2901" s="2"/>
      <x:c r="G2901" s="2"/>
    </x:row>
    <x:row r="2902">
      <x:c r="B2902" s="2"/>
      <x:c r="C2902" s="2"/>
      <x:c r="D2902" s="2"/>
      <x:c r="E2902" s="2"/>
      <x:c r="F2902" s="2"/>
      <x:c r="G2902" s="2"/>
    </x:row>
    <x:row r="2903">
      <x:c r="B2903" s="2"/>
      <x:c r="C2903" s="2"/>
      <x:c r="D2903" s="2"/>
      <x:c r="E2903" s="2"/>
      <x:c r="F2903" s="2"/>
      <x:c r="G2903" s="2"/>
    </x:row>
    <x:row r="2904">
      <x:c r="B2904" s="2"/>
      <x:c r="C2904" s="2"/>
      <x:c r="D2904" s="2"/>
      <x:c r="E2904" s="2"/>
      <x:c r="F2904" s="2"/>
      <x:c r="G2904" s="2"/>
    </x:row>
    <x:row r="2905">
      <x:c r="B2905" s="2"/>
      <x:c r="C2905" s="2"/>
      <x:c r="D2905" s="2"/>
      <x:c r="E2905" s="2"/>
      <x:c r="F2905" s="2"/>
      <x:c r="G2905" s="2"/>
    </x:row>
    <x:row r="2906">
      <x:c r="B2906" s="2"/>
      <x:c r="C2906" s="2"/>
      <x:c r="D2906" s="2"/>
      <x:c r="E2906" s="2"/>
      <x:c r="F2906" s="2"/>
      <x:c r="G2906" s="2"/>
    </x:row>
    <x:row r="2907">
      <x:c r="B2907" s="2"/>
      <x:c r="C2907" s="2"/>
      <x:c r="D2907" s="2"/>
      <x:c r="E2907" s="2"/>
      <x:c r="F2907" s="2"/>
      <x:c r="G2907" s="2"/>
    </x:row>
    <x:row r="2908">
      <x:c r="B2908" s="2"/>
      <x:c r="C2908" s="2"/>
      <x:c r="D2908" s="2"/>
      <x:c r="E2908" s="2"/>
      <x:c r="F2908" s="2"/>
      <x:c r="G2908" s="2"/>
    </x:row>
    <x:row r="2909">
      <x:c r="B2909" s="2"/>
      <x:c r="C2909" s="2"/>
      <x:c r="D2909" s="2"/>
      <x:c r="E2909" s="2"/>
      <x:c r="F2909" s="2"/>
      <x:c r="G2909" s="2"/>
    </x:row>
    <x:row r="2910">
      <x:c r="B2910" s="2"/>
      <x:c r="C2910" s="2"/>
      <x:c r="D2910" s="2"/>
      <x:c r="E2910" s="2"/>
      <x:c r="F2910" s="2"/>
      <x:c r="G2910" s="2"/>
    </x:row>
    <x:row r="2911">
      <x:c r="B2911" s="2"/>
      <x:c r="C2911" s="2"/>
      <x:c r="D2911" s="2"/>
      <x:c r="E2911" s="2"/>
      <x:c r="F2911" s="2"/>
      <x:c r="G2911" s="2"/>
    </x:row>
    <x:row r="2912">
      <x:c r="B2912" s="2"/>
      <x:c r="C2912" s="2"/>
      <x:c r="D2912" s="2"/>
      <x:c r="E2912" s="2"/>
      <x:c r="F2912" s="2"/>
      <x:c r="G2912" s="2"/>
    </x:row>
    <x:row r="2913">
      <x:c r="B2913" s="2"/>
      <x:c r="C2913" s="2"/>
      <x:c r="D2913" s="2"/>
      <x:c r="E2913" s="2"/>
      <x:c r="F2913" s="2"/>
      <x:c r="G2913" s="2"/>
    </x:row>
    <x:row r="2914">
      <x:c r="B2914" s="2"/>
      <x:c r="C2914" s="2"/>
      <x:c r="D2914" s="2"/>
      <x:c r="E2914" s="2"/>
      <x:c r="F2914" s="2"/>
      <x:c r="G2914" s="2"/>
    </x:row>
    <x:row r="2915">
      <x:c r="B2915" s="2"/>
      <x:c r="C2915" s="2"/>
      <x:c r="D2915" s="2"/>
      <x:c r="E2915" s="2"/>
      <x:c r="F2915" s="2"/>
      <x:c r="G2915" s="2"/>
    </x:row>
    <x:row r="2916">
      <x:c r="B2916" s="2"/>
      <x:c r="C2916" s="2"/>
      <x:c r="D2916" s="2"/>
      <x:c r="E2916" s="2"/>
      <x:c r="F2916" s="2"/>
      <x:c r="G2916" s="2"/>
    </x:row>
    <x:row r="2917">
      <x:c r="B2917" s="2"/>
      <x:c r="C2917" s="2"/>
      <x:c r="D2917" s="2"/>
      <x:c r="E2917" s="2"/>
      <x:c r="F2917" s="2"/>
      <x:c r="G2917" s="2"/>
    </x:row>
    <x:row r="2918">
      <x:c r="B2918" s="2"/>
      <x:c r="C2918" s="2"/>
      <x:c r="D2918" s="2"/>
      <x:c r="E2918" s="2"/>
      <x:c r="F2918" s="2"/>
      <x:c r="G2918" s="2"/>
    </x:row>
    <x:row r="2919">
      <x:c r="B2919" s="2"/>
      <x:c r="C2919" s="2"/>
      <x:c r="D2919" s="2"/>
      <x:c r="E2919" s="2"/>
      <x:c r="F2919" s="2"/>
      <x:c r="G2919" s="2"/>
    </x:row>
    <x:row r="2920">
      <x:c r="B2920" s="2"/>
      <x:c r="C2920" s="2"/>
      <x:c r="D2920" s="2"/>
      <x:c r="E2920" s="2"/>
      <x:c r="F2920" s="2"/>
      <x:c r="G2920" s="2"/>
    </x:row>
    <x:row r="2921">
      <x:c r="B2921" s="2"/>
      <x:c r="C2921" s="2"/>
      <x:c r="D2921" s="2"/>
      <x:c r="E2921" s="2"/>
      <x:c r="F2921" s="2"/>
      <x:c r="G2921" s="2"/>
    </x:row>
    <x:row r="2922">
      <x:c r="B2922" s="2"/>
      <x:c r="C2922" s="2"/>
      <x:c r="D2922" s="2"/>
      <x:c r="E2922" s="2"/>
      <x:c r="F2922" s="2"/>
      <x:c r="G2922" s="2"/>
    </x:row>
    <x:row r="2923">
      <x:c r="B2923" s="2"/>
      <x:c r="C2923" s="2"/>
      <x:c r="D2923" s="2"/>
      <x:c r="E2923" s="2"/>
      <x:c r="F2923" s="2"/>
      <x:c r="G2923" s="2"/>
    </x:row>
    <x:row r="2924">
      <x:c r="B2924" s="2"/>
      <x:c r="C2924" s="2"/>
      <x:c r="D2924" s="2"/>
      <x:c r="E2924" s="2"/>
      <x:c r="F2924" s="2"/>
      <x:c r="G2924" s="2"/>
    </x:row>
    <x:row r="2925">
      <x:c r="B2925" s="2"/>
      <x:c r="C2925" s="2"/>
      <x:c r="D2925" s="2"/>
      <x:c r="E2925" s="2"/>
      <x:c r="F2925" s="2"/>
      <x:c r="G2925" s="2"/>
    </x:row>
    <x:row r="2926">
      <x:c r="B2926" s="2"/>
      <x:c r="C2926" s="2"/>
      <x:c r="D2926" s="2"/>
      <x:c r="E2926" s="2"/>
      <x:c r="F2926" s="2"/>
      <x:c r="G2926" s="2"/>
    </x:row>
    <x:row r="2927">
      <x:c r="B2927" s="2"/>
      <x:c r="C2927" s="2"/>
      <x:c r="D2927" s="2"/>
      <x:c r="E2927" s="2"/>
      <x:c r="F2927" s="2"/>
      <x:c r="G2927" s="2"/>
    </x:row>
    <x:row r="2928">
      <x:c r="B2928" s="2"/>
      <x:c r="C2928" s="2"/>
      <x:c r="D2928" s="2"/>
      <x:c r="E2928" s="2"/>
      <x:c r="F2928" s="2"/>
      <x:c r="G2928" s="2"/>
    </x:row>
    <x:row r="2929">
      <x:c r="B2929" s="2"/>
      <x:c r="C2929" s="2"/>
      <x:c r="D2929" s="2"/>
      <x:c r="E2929" s="2"/>
      <x:c r="F2929" s="2"/>
      <x:c r="G2929" s="2"/>
    </x:row>
    <x:row r="2930">
      <x:c r="B2930" s="2"/>
      <x:c r="C2930" s="2"/>
      <x:c r="D2930" s="2"/>
      <x:c r="E2930" s="2"/>
      <x:c r="F2930" s="2"/>
      <x:c r="G2930" s="2"/>
    </x:row>
    <x:row r="2931">
      <x:c r="B2931" s="2"/>
      <x:c r="C2931" s="2"/>
      <x:c r="D2931" s="2"/>
      <x:c r="E2931" s="2"/>
      <x:c r="F2931" s="2"/>
      <x:c r="G2931" s="2"/>
    </x:row>
    <x:row r="2932">
      <x:c r="B2932" s="2"/>
      <x:c r="C2932" s="2"/>
      <x:c r="D2932" s="2"/>
      <x:c r="E2932" s="2"/>
      <x:c r="F2932" s="2"/>
      <x:c r="G2932" s="2"/>
    </x:row>
    <x:row r="2933">
      <x:c r="B2933" s="2"/>
      <x:c r="C2933" s="2"/>
      <x:c r="D2933" s="2"/>
      <x:c r="E2933" s="2"/>
      <x:c r="F2933" s="2"/>
      <x:c r="G2933" s="2"/>
    </x:row>
    <x:row r="2934">
      <x:c r="B2934" s="2"/>
      <x:c r="C2934" s="2"/>
      <x:c r="D2934" s="2"/>
      <x:c r="E2934" s="2"/>
      <x:c r="F2934" s="2"/>
      <x:c r="G2934" s="2"/>
    </x:row>
    <x:row r="2935">
      <x:c r="B2935" s="2"/>
      <x:c r="C2935" s="2"/>
      <x:c r="D2935" s="2"/>
      <x:c r="E2935" s="2"/>
      <x:c r="F2935" s="2"/>
      <x:c r="G2935" s="2"/>
    </x:row>
    <x:row r="2936">
      <x:c r="B2936" s="2"/>
      <x:c r="C2936" s="2"/>
      <x:c r="D2936" s="2"/>
      <x:c r="E2936" s="2"/>
      <x:c r="F2936" s="2"/>
      <x:c r="G2936" s="2"/>
    </x:row>
    <x:row r="2937">
      <x:c r="B2937" s="2"/>
      <x:c r="C2937" s="2"/>
      <x:c r="D2937" s="2"/>
      <x:c r="E2937" s="2"/>
      <x:c r="F2937" s="2"/>
      <x:c r="G2937" s="2"/>
    </x:row>
    <x:row r="2938">
      <x:c r="B2938" s="2"/>
      <x:c r="C2938" s="2"/>
      <x:c r="D2938" s="2"/>
      <x:c r="E2938" s="2"/>
      <x:c r="F2938" s="2"/>
      <x:c r="G2938" s="2"/>
    </x:row>
    <x:row r="2939">
      <x:c r="B2939" s="2"/>
      <x:c r="C2939" s="2"/>
      <x:c r="D2939" s="2"/>
      <x:c r="E2939" s="2"/>
      <x:c r="F2939" s="2"/>
      <x:c r="G2939" s="2"/>
    </x:row>
    <x:row r="2940">
      <x:c r="B2940" s="2"/>
      <x:c r="C2940" s="2"/>
      <x:c r="D2940" s="2"/>
      <x:c r="E2940" s="2"/>
      <x:c r="F2940" s="2"/>
      <x:c r="G2940" s="2"/>
    </x:row>
    <x:row r="2941">
      <x:c r="B2941" s="2"/>
      <x:c r="C2941" s="2"/>
      <x:c r="D2941" s="2"/>
      <x:c r="E2941" s="2"/>
      <x:c r="F2941" s="2"/>
      <x:c r="G2941" s="2"/>
    </x:row>
    <x:row r="2942">
      <x:c r="B2942" s="2"/>
      <x:c r="C2942" s="2"/>
      <x:c r="D2942" s="2"/>
      <x:c r="E2942" s="2"/>
      <x:c r="F2942" s="2"/>
      <x:c r="G2942" s="2"/>
    </x:row>
    <x:row r="2943">
      <x:c r="B2943" s="2"/>
      <x:c r="C2943" s="2"/>
      <x:c r="D2943" s="2"/>
      <x:c r="E2943" s="2"/>
      <x:c r="F2943" s="2"/>
      <x:c r="G2943" s="2"/>
    </x:row>
    <x:row r="2944">
      <x:c r="B2944" s="2"/>
      <x:c r="C2944" s="2"/>
      <x:c r="D2944" s="2"/>
      <x:c r="E2944" s="2"/>
      <x:c r="F2944" s="2"/>
      <x:c r="G2944" s="2"/>
    </x:row>
    <x:row r="2945">
      <x:c r="B2945" s="2"/>
      <x:c r="C2945" s="2"/>
      <x:c r="D2945" s="2"/>
      <x:c r="E2945" s="2"/>
      <x:c r="F2945" s="2"/>
      <x:c r="G2945" s="2"/>
    </x:row>
    <x:row r="2946">
      <x:c r="B2946" s="2"/>
      <x:c r="C2946" s="2"/>
      <x:c r="D2946" s="2"/>
      <x:c r="E2946" s="2"/>
      <x:c r="F2946" s="2"/>
      <x:c r="G2946" s="2"/>
    </x:row>
    <x:row r="2947">
      <x:c r="B2947" s="2"/>
      <x:c r="C2947" s="2"/>
      <x:c r="D2947" s="2"/>
      <x:c r="E2947" s="2"/>
      <x:c r="F2947" s="2"/>
      <x:c r="G2947" s="2"/>
    </x:row>
    <x:row r="2948">
      <x:c r="B2948" s="2"/>
      <x:c r="C2948" s="2"/>
      <x:c r="D2948" s="2"/>
      <x:c r="E2948" s="2"/>
      <x:c r="F2948" s="2"/>
      <x:c r="G2948" s="2"/>
    </x:row>
    <x:row r="2949">
      <x:c r="B2949" s="2"/>
      <x:c r="C2949" s="2"/>
      <x:c r="D2949" s="2"/>
      <x:c r="E2949" s="2"/>
      <x:c r="F2949" s="2"/>
      <x:c r="G2949" s="2"/>
    </x:row>
    <x:row r="2950">
      <x:c r="B2950" s="2"/>
      <x:c r="C2950" s="2"/>
      <x:c r="D2950" s="2"/>
      <x:c r="E2950" s="2"/>
      <x:c r="F2950" s="2"/>
      <x:c r="G2950" s="2"/>
    </x:row>
    <x:row r="2951">
      <x:c r="B2951" s="2"/>
      <x:c r="C2951" s="2"/>
      <x:c r="D2951" s="2"/>
      <x:c r="E2951" s="2"/>
      <x:c r="F2951" s="2"/>
      <x:c r="G2951" s="2"/>
    </x:row>
    <x:row r="2952">
      <x:c r="B2952" s="2"/>
      <x:c r="C2952" s="2"/>
      <x:c r="D2952" s="2"/>
      <x:c r="E2952" s="2"/>
      <x:c r="F2952" s="2"/>
      <x:c r="G2952" s="2"/>
    </x:row>
    <x:row r="2953">
      <x:c r="B2953" s="2"/>
      <x:c r="C2953" s="2"/>
      <x:c r="D2953" s="2"/>
      <x:c r="E2953" s="2"/>
      <x:c r="F2953" s="2"/>
      <x:c r="G2953" s="2"/>
    </x:row>
    <x:row r="2954">
      <x:c r="B2954" s="2"/>
      <x:c r="C2954" s="2"/>
      <x:c r="D2954" s="2"/>
      <x:c r="E2954" s="2"/>
      <x:c r="F2954" s="2"/>
      <x:c r="G2954" s="2"/>
    </x:row>
    <x:row r="2955">
      <x:c r="B2955" s="2"/>
      <x:c r="C2955" s="2"/>
      <x:c r="D2955" s="2"/>
      <x:c r="E2955" s="2"/>
      <x:c r="F2955" s="2"/>
      <x:c r="G2955" s="2"/>
    </x:row>
    <x:row r="2956">
      <x:c r="B2956" s="2"/>
      <x:c r="C2956" s="2"/>
      <x:c r="D2956" s="2"/>
      <x:c r="E2956" s="2"/>
      <x:c r="F2956" s="2"/>
      <x:c r="G2956" s="2"/>
    </x:row>
    <x:row r="2957">
      <x:c r="B2957" s="2"/>
      <x:c r="C2957" s="2"/>
      <x:c r="D2957" s="2"/>
      <x:c r="E2957" s="2"/>
      <x:c r="F2957" s="2"/>
      <x:c r="G2957" s="2"/>
    </x:row>
    <x:row r="2958">
      <x:c r="B2958" s="2"/>
      <x:c r="C2958" s="2"/>
      <x:c r="D2958" s="2"/>
      <x:c r="E2958" s="2"/>
      <x:c r="F2958" s="2"/>
      <x:c r="G2958" s="2"/>
    </x:row>
    <x:row r="2959">
      <x:c r="B2959" s="2"/>
      <x:c r="C2959" s="2"/>
      <x:c r="D2959" s="2"/>
      <x:c r="E2959" s="2"/>
      <x:c r="F2959" s="2"/>
      <x:c r="G2959" s="2"/>
    </x:row>
    <x:row r="2960">
      <x:c r="B2960" s="2"/>
      <x:c r="C2960" s="2"/>
      <x:c r="D2960" s="2"/>
      <x:c r="E2960" s="2"/>
      <x:c r="F2960" s="2"/>
      <x:c r="G2960" s="2"/>
    </x:row>
    <x:row r="2961">
      <x:c r="B2961" s="2"/>
      <x:c r="C2961" s="2"/>
      <x:c r="D2961" s="2"/>
      <x:c r="E2961" s="2"/>
      <x:c r="F2961" s="2"/>
      <x:c r="G2961" s="2"/>
    </x:row>
    <x:row r="2962">
      <x:c r="B2962" s="2"/>
      <x:c r="C2962" s="2"/>
      <x:c r="D2962" s="2"/>
      <x:c r="E2962" s="2"/>
      <x:c r="F2962" s="2"/>
      <x:c r="G2962" s="2"/>
    </x:row>
    <x:row r="2963">
      <x:c r="B2963" s="2"/>
      <x:c r="C2963" s="2"/>
      <x:c r="D2963" s="2"/>
      <x:c r="E2963" s="2"/>
      <x:c r="F2963" s="2"/>
      <x:c r="G2963" s="2"/>
    </x:row>
    <x:row r="2964">
      <x:c r="B2964" s="2"/>
      <x:c r="C2964" s="2"/>
      <x:c r="D2964" s="2"/>
      <x:c r="E2964" s="2"/>
      <x:c r="F2964" s="2"/>
      <x:c r="G2964" s="2"/>
    </x:row>
    <x:row r="2965">
      <x:c r="B2965" s="2"/>
      <x:c r="C2965" s="2"/>
      <x:c r="D2965" s="2"/>
      <x:c r="E2965" s="2"/>
      <x:c r="F2965" s="2"/>
      <x:c r="G2965" s="2"/>
    </x:row>
    <x:row r="2966">
      <x:c r="B2966" s="2"/>
      <x:c r="C2966" s="2"/>
      <x:c r="D2966" s="2"/>
      <x:c r="E2966" s="2"/>
      <x:c r="F2966" s="2"/>
      <x:c r="G2966" s="2"/>
    </x:row>
    <x:row r="2967">
      <x:c r="B2967" s="2"/>
      <x:c r="C2967" s="2"/>
      <x:c r="D2967" s="2"/>
      <x:c r="E2967" s="2"/>
      <x:c r="F2967" s="2"/>
      <x:c r="G2967" s="2"/>
    </x:row>
    <x:row r="2968">
      <x:c r="B2968" s="2"/>
      <x:c r="C2968" s="2"/>
      <x:c r="D2968" s="2"/>
      <x:c r="E2968" s="2"/>
      <x:c r="F2968" s="2"/>
      <x:c r="G2968" s="2"/>
    </x:row>
    <x:row r="2969">
      <x:c r="B2969" s="2"/>
      <x:c r="C2969" s="2"/>
      <x:c r="D2969" s="2"/>
      <x:c r="E2969" s="2"/>
      <x:c r="F2969" s="2"/>
      <x:c r="G2969" s="2"/>
    </x:row>
    <x:row r="2970">
      <x:c r="B2970" s="2"/>
      <x:c r="C2970" s="2"/>
      <x:c r="D2970" s="2"/>
      <x:c r="E2970" s="2"/>
      <x:c r="F2970" s="2"/>
      <x:c r="G2970" s="2"/>
    </x:row>
    <x:row r="2971">
      <x:c r="B2971" s="2"/>
      <x:c r="C2971" s="2"/>
      <x:c r="D2971" s="2"/>
      <x:c r="E2971" s="2"/>
      <x:c r="F2971" s="2"/>
      <x:c r="G2971" s="2"/>
    </x:row>
    <x:row r="2972">
      <x:c r="B2972" s="2"/>
      <x:c r="C2972" s="2"/>
      <x:c r="D2972" s="2"/>
      <x:c r="E2972" s="2"/>
      <x:c r="F2972" s="2"/>
      <x:c r="G2972" s="2"/>
    </x:row>
    <x:row r="2973">
      <x:c r="B2973" s="2"/>
      <x:c r="C2973" s="2"/>
      <x:c r="D2973" s="2"/>
      <x:c r="E2973" s="2"/>
      <x:c r="F2973" s="2"/>
      <x:c r="G2973" s="2"/>
    </x:row>
    <x:row r="2974">
      <x:c r="B2974" s="2"/>
      <x:c r="C2974" s="2"/>
      <x:c r="D2974" s="2"/>
      <x:c r="E2974" s="2"/>
      <x:c r="F2974" s="2"/>
      <x:c r="G2974" s="2"/>
    </x:row>
    <x:row r="2975">
      <x:c r="B2975" s="2"/>
      <x:c r="C2975" s="2"/>
      <x:c r="D2975" s="2"/>
      <x:c r="E2975" s="2"/>
      <x:c r="F2975" s="2"/>
      <x:c r="G2975" s="2"/>
    </x:row>
    <x:row r="2976">
      <x:c r="B2976" s="2"/>
      <x:c r="C2976" s="2"/>
      <x:c r="D2976" s="2"/>
      <x:c r="E2976" s="2"/>
      <x:c r="F2976" s="2"/>
      <x:c r="G2976" s="2"/>
    </x:row>
    <x:row r="2977">
      <x:c r="B2977" s="2"/>
      <x:c r="C2977" s="2"/>
      <x:c r="D2977" s="2"/>
      <x:c r="E2977" s="2"/>
      <x:c r="F2977" s="2"/>
      <x:c r="G2977" s="2"/>
    </x:row>
    <x:row r="2978">
      <x:c r="B2978" s="2"/>
      <x:c r="C2978" s="2"/>
      <x:c r="D2978" s="2"/>
      <x:c r="E2978" s="2"/>
      <x:c r="F2978" s="2"/>
      <x:c r="G2978" s="2"/>
    </x:row>
    <x:row r="2979">
      <x:c r="B2979" s="2"/>
      <x:c r="C2979" s="2"/>
      <x:c r="D2979" s="2"/>
      <x:c r="E2979" s="2"/>
      <x:c r="F2979" s="2"/>
      <x:c r="G2979" s="2"/>
    </x:row>
    <x:row r="2980">
      <x:c r="B2980" s="2"/>
      <x:c r="C2980" s="2"/>
      <x:c r="D2980" s="2"/>
      <x:c r="E2980" s="2"/>
      <x:c r="F2980" s="2"/>
      <x:c r="G2980" s="2"/>
    </x:row>
    <x:row r="2981">
      <x:c r="B2981" s="2"/>
      <x:c r="C2981" s="2"/>
      <x:c r="D2981" s="2"/>
      <x:c r="E2981" s="2"/>
      <x:c r="F2981" s="2"/>
      <x:c r="G2981" s="2"/>
    </x:row>
    <x:row r="2982">
      <x:c r="B2982" s="2"/>
      <x:c r="C2982" s="2"/>
      <x:c r="D2982" s="2"/>
      <x:c r="E2982" s="2"/>
      <x:c r="F2982" s="2"/>
      <x:c r="G2982" s="2"/>
    </x:row>
    <x:row r="2983">
      <x:c r="B2983" s="2"/>
      <x:c r="C2983" s="2"/>
      <x:c r="D2983" s="2"/>
      <x:c r="E2983" s="2"/>
      <x:c r="F2983" s="2"/>
      <x:c r="G2983" s="2"/>
    </x:row>
    <x:row r="2984">
      <x:c r="B2984" s="2"/>
      <x:c r="C2984" s="2"/>
      <x:c r="D2984" s="2"/>
      <x:c r="E2984" s="2"/>
      <x:c r="F2984" s="2"/>
      <x:c r="G2984" s="2"/>
    </x:row>
    <x:row r="2985">
      <x:c r="B2985" s="2"/>
      <x:c r="C2985" s="2"/>
      <x:c r="D2985" s="2"/>
      <x:c r="E2985" s="2"/>
      <x:c r="F2985" s="2"/>
      <x:c r="G2985" s="2"/>
    </x:row>
    <x:row r="2986">
      <x:c r="B2986" s="2"/>
      <x:c r="C2986" s="2"/>
      <x:c r="D2986" s="2"/>
      <x:c r="E2986" s="2"/>
      <x:c r="F2986" s="2"/>
      <x:c r="G2986" s="2"/>
    </x:row>
    <x:row r="2987">
      <x:c r="B2987" s="2"/>
      <x:c r="C2987" s="2"/>
      <x:c r="D2987" s="2"/>
      <x:c r="E2987" s="2"/>
      <x:c r="F2987" s="2"/>
      <x:c r="G2987" s="2"/>
    </x:row>
    <x:row r="2988">
      <x:c r="B2988" s="2"/>
      <x:c r="C2988" s="2"/>
      <x:c r="D2988" s="2"/>
      <x:c r="E2988" s="2"/>
      <x:c r="F2988" s="2"/>
      <x:c r="G2988" s="2"/>
    </x:row>
    <x:row r="2989">
      <x:c r="B2989" s="2"/>
      <x:c r="C2989" s="2"/>
      <x:c r="D2989" s="2"/>
      <x:c r="E2989" s="2"/>
      <x:c r="F2989" s="2"/>
      <x:c r="G2989" s="2"/>
    </x:row>
    <x:row r="2990">
      <x:c r="B2990" s="2"/>
      <x:c r="C2990" s="2"/>
      <x:c r="D2990" s="2"/>
      <x:c r="E2990" s="2"/>
      <x:c r="F2990" s="2"/>
      <x:c r="G2990" s="2"/>
    </x:row>
    <x:row r="2991">
      <x:c r="B2991" s="2"/>
      <x:c r="C2991" s="2"/>
      <x:c r="D2991" s="2"/>
      <x:c r="E2991" s="2"/>
      <x:c r="F2991" s="2"/>
      <x:c r="G2991" s="2"/>
    </x:row>
    <x:row r="2992">
      <x:c r="B2992" s="2"/>
      <x:c r="C2992" s="2"/>
      <x:c r="D2992" s="2"/>
      <x:c r="E2992" s="2"/>
      <x:c r="F2992" s="2"/>
      <x:c r="G2992" s="2"/>
    </x:row>
    <x:row r="2993">
      <x:c r="B2993" s="2"/>
      <x:c r="C2993" s="2"/>
      <x:c r="D2993" s="2"/>
      <x:c r="E2993" s="2"/>
      <x:c r="F2993" s="2"/>
      <x:c r="G2993" s="2"/>
    </x:row>
    <x:row r="2994">
      <x:c r="B2994" s="2"/>
      <x:c r="C2994" s="2"/>
      <x:c r="D2994" s="2"/>
      <x:c r="E2994" s="2"/>
      <x:c r="F2994" s="2"/>
      <x:c r="G2994" s="2"/>
    </x:row>
    <x:row r="2995">
      <x:c r="B2995" s="2"/>
      <x:c r="C2995" s="2"/>
      <x:c r="D2995" s="2"/>
      <x:c r="E2995" s="2"/>
      <x:c r="F2995" s="2"/>
      <x:c r="G2995" s="2"/>
    </x:row>
    <x:row r="2996">
      <x:c r="B2996" s="2"/>
      <x:c r="C2996" s="2"/>
      <x:c r="D2996" s="2"/>
      <x:c r="E2996" s="2"/>
      <x:c r="F2996" s="2"/>
      <x:c r="G2996" s="2"/>
    </x:row>
    <x:row r="2997">
      <x:c r="B2997" s="2"/>
      <x:c r="C2997" s="2"/>
      <x:c r="D2997" s="2"/>
      <x:c r="E2997" s="2"/>
      <x:c r="F2997" s="2"/>
      <x:c r="G2997" s="2"/>
    </x:row>
    <x:row r="2998">
      <x:c r="B2998" s="2"/>
      <x:c r="C2998" s="2"/>
      <x:c r="D2998" s="2"/>
      <x:c r="E2998" s="2"/>
      <x:c r="F2998" s="2"/>
      <x:c r="G2998" s="2"/>
    </x:row>
    <x:row r="2999">
      <x:c r="B2999" s="2"/>
      <x:c r="C2999" s="2"/>
      <x:c r="D2999" s="2"/>
      <x:c r="E2999" s="2"/>
      <x:c r="F2999" s="2"/>
      <x:c r="G2999" s="2"/>
    </x:row>
    <x:row r="3000">
      <x:c r="B3000" s="2"/>
      <x:c r="C3000" s="2"/>
      <x:c r="D3000" s="2"/>
      <x:c r="E3000" s="2"/>
      <x:c r="F3000" s="2"/>
      <x:c r="G3000" s="2"/>
    </x:row>
    <x:row r="3001">
      <x:c r="B3001" s="2"/>
      <x:c r="C3001" s="2"/>
      <x:c r="D3001" s="2"/>
      <x:c r="E3001" s="2"/>
      <x:c r="F3001" s="2"/>
      <x:c r="G3001" s="2"/>
    </x:row>
    <x:row r="3002">
      <x:c r="B3002" s="2"/>
      <x:c r="C3002" s="2"/>
      <x:c r="D3002" s="2"/>
      <x:c r="E3002" s="2"/>
      <x:c r="F3002" s="2"/>
      <x:c r="G3002" s="2"/>
    </x:row>
    <x:row r="3003">
      <x:c r="B3003" s="2"/>
      <x:c r="C3003" s="2"/>
      <x:c r="D3003" s="2"/>
      <x:c r="E3003" s="2"/>
      <x:c r="F3003" s="2"/>
      <x:c r="G3003" s="2"/>
    </x:row>
    <x:row r="3004">
      <x:c r="B3004" s="2"/>
      <x:c r="C3004" s="2"/>
      <x:c r="D3004" s="2"/>
      <x:c r="E3004" s="2"/>
      <x:c r="F3004" s="2"/>
      <x:c r="G3004" s="2"/>
    </x:row>
    <x:row r="3005">
      <x:c r="B3005" s="2"/>
      <x:c r="C3005" s="2"/>
      <x:c r="D3005" s="2"/>
      <x:c r="E3005" s="2"/>
      <x:c r="F3005" s="2"/>
      <x:c r="G3005" s="2"/>
    </x:row>
    <x:row r="3006">
      <x:c r="B3006" s="2"/>
      <x:c r="C3006" s="2"/>
      <x:c r="D3006" s="2"/>
      <x:c r="E3006" s="2"/>
      <x:c r="F3006" s="2"/>
      <x:c r="G3006" s="2"/>
    </x:row>
    <x:row r="3007">
      <x:c r="B3007" s="2"/>
      <x:c r="C3007" s="2"/>
      <x:c r="D3007" s="2"/>
      <x:c r="E3007" s="2"/>
      <x:c r="F3007" s="2"/>
      <x:c r="G3007" s="2"/>
    </x:row>
    <x:row r="3008">
      <x:c r="B3008" s="2"/>
      <x:c r="C3008" s="2"/>
      <x:c r="D3008" s="2"/>
      <x:c r="E3008" s="2"/>
      <x:c r="F3008" s="2"/>
      <x:c r="G3008" s="2"/>
    </x:row>
    <x:row r="3009">
      <x:c r="B3009" s="2"/>
      <x:c r="C3009" s="2"/>
      <x:c r="D3009" s="2"/>
      <x:c r="E3009" s="2"/>
      <x:c r="F3009" s="2"/>
      <x:c r="G3009" s="2"/>
    </x:row>
    <x:row r="3010">
      <x:c r="B3010" s="2"/>
      <x:c r="C3010" s="2"/>
      <x:c r="D3010" s="2"/>
      <x:c r="E3010" s="2"/>
      <x:c r="F3010" s="2"/>
      <x:c r="G3010" s="2"/>
    </x:row>
    <x:row r="3011">
      <x:c r="B3011" s="2"/>
      <x:c r="C3011" s="2"/>
      <x:c r="D3011" s="2"/>
      <x:c r="E3011" s="2"/>
      <x:c r="F3011" s="2"/>
      <x:c r="G3011" s="2"/>
    </x:row>
    <x:row r="3012">
      <x:c r="B3012" s="2"/>
      <x:c r="C3012" s="2"/>
      <x:c r="D3012" s="2"/>
      <x:c r="E3012" s="2"/>
      <x:c r="F3012" s="2"/>
      <x:c r="G3012" s="2"/>
    </x:row>
    <x:row r="3013">
      <x:c r="B3013" s="2"/>
      <x:c r="C3013" s="2"/>
      <x:c r="D3013" s="2"/>
      <x:c r="E3013" s="2"/>
      <x:c r="F3013" s="2"/>
      <x:c r="G3013" s="2"/>
    </x:row>
    <x:row r="3014">
      <x:c r="B3014" s="2"/>
      <x:c r="C3014" s="2"/>
      <x:c r="D3014" s="2"/>
      <x:c r="E3014" s="2"/>
      <x:c r="F3014" s="2"/>
      <x:c r="G3014" s="2"/>
    </x:row>
    <x:row r="3015">
      <x:c r="B3015" s="2"/>
      <x:c r="C3015" s="2"/>
      <x:c r="D3015" s="2"/>
      <x:c r="E3015" s="2"/>
      <x:c r="F3015" s="2"/>
      <x:c r="G3015" s="2"/>
    </x:row>
    <x:row r="3016">
      <x:c r="B3016" s="2"/>
      <x:c r="C3016" s="2"/>
      <x:c r="D3016" s="2"/>
      <x:c r="E3016" s="2"/>
      <x:c r="F3016" s="2"/>
      <x:c r="G3016" s="2"/>
    </x:row>
    <x:row r="3017">
      <x:c r="B3017" s="2"/>
      <x:c r="C3017" s="2"/>
      <x:c r="D3017" s="2"/>
      <x:c r="E3017" s="2"/>
      <x:c r="F3017" s="2"/>
      <x:c r="G3017" s="2"/>
    </x:row>
    <x:row r="3018">
      <x:c r="B3018" s="2"/>
      <x:c r="C3018" s="2"/>
      <x:c r="D3018" s="2"/>
      <x:c r="E3018" s="2"/>
      <x:c r="F3018" s="2"/>
      <x:c r="G3018" s="2"/>
    </x:row>
    <x:row r="3019">
      <x:c r="B3019" s="2"/>
      <x:c r="C3019" s="2"/>
      <x:c r="D3019" s="2"/>
      <x:c r="E3019" s="2"/>
      <x:c r="F3019" s="2"/>
      <x:c r="G3019" s="2"/>
    </x:row>
    <x:row r="3020">
      <x:c r="B3020" s="2"/>
      <x:c r="C3020" s="2"/>
      <x:c r="D3020" s="2"/>
      <x:c r="E3020" s="2"/>
      <x:c r="F3020" s="2"/>
      <x:c r="G3020" s="2"/>
    </x:row>
    <x:row r="3021">
      <x:c r="B3021" s="2"/>
      <x:c r="C3021" s="2"/>
      <x:c r="D3021" s="2"/>
      <x:c r="E3021" s="2"/>
      <x:c r="F3021" s="2"/>
      <x:c r="G3021" s="2"/>
    </x:row>
    <x:row r="3022">
      <x:c r="B3022" s="2"/>
      <x:c r="C3022" s="2"/>
      <x:c r="D3022" s="2"/>
      <x:c r="E3022" s="2"/>
      <x:c r="F3022" s="2"/>
      <x:c r="G3022" s="2"/>
    </x:row>
    <x:row r="3023">
      <x:c r="B3023" s="2"/>
      <x:c r="C3023" s="2"/>
      <x:c r="D3023" s="2"/>
      <x:c r="E3023" s="2"/>
      <x:c r="F3023" s="2"/>
      <x:c r="G3023" s="2"/>
    </x:row>
    <x:row r="3024">
      <x:c r="B3024" s="2"/>
      <x:c r="C3024" s="2"/>
      <x:c r="D3024" s="2"/>
      <x:c r="E3024" s="2"/>
      <x:c r="F3024" s="2"/>
      <x:c r="G3024" s="2"/>
    </x:row>
    <x:row r="3025">
      <x:c r="B3025" s="2"/>
      <x:c r="C3025" s="2"/>
      <x:c r="D3025" s="2"/>
      <x:c r="E3025" s="2"/>
      <x:c r="F3025" s="2"/>
      <x:c r="G3025" s="2"/>
    </x:row>
    <x:row r="3026">
      <x:c r="B3026" s="2"/>
      <x:c r="C3026" s="2"/>
      <x:c r="D3026" s="2"/>
      <x:c r="E3026" s="2"/>
      <x:c r="F3026" s="2"/>
      <x:c r="G3026" s="2"/>
    </x:row>
    <x:row r="3027">
      <x:c r="B3027" s="2"/>
      <x:c r="C3027" s="2"/>
      <x:c r="D3027" s="2"/>
      <x:c r="E3027" s="2"/>
      <x:c r="F3027" s="2"/>
      <x:c r="G3027" s="2"/>
    </x:row>
    <x:row r="3028">
      <x:c r="B3028" s="2"/>
      <x:c r="C3028" s="2"/>
      <x:c r="D3028" s="2"/>
      <x:c r="E3028" s="2"/>
      <x:c r="F3028" s="2"/>
      <x:c r="G3028" s="2"/>
    </x:row>
    <x:row r="3029">
      <x:c r="B3029" s="2"/>
      <x:c r="C3029" s="2"/>
      <x:c r="D3029" s="2"/>
      <x:c r="E3029" s="2"/>
      <x:c r="F3029" s="2"/>
      <x:c r="G3029" s="2"/>
    </x:row>
    <x:row r="3030">
      <x:c r="B3030" s="2"/>
      <x:c r="C3030" s="2"/>
      <x:c r="D3030" s="2"/>
      <x:c r="E3030" s="2"/>
      <x:c r="F3030" s="2"/>
      <x:c r="G3030" s="2"/>
    </x:row>
    <x:row r="3031">
      <x:c r="B3031" s="2"/>
      <x:c r="C3031" s="2"/>
      <x:c r="D3031" s="2"/>
      <x:c r="E3031" s="2"/>
      <x:c r="F3031" s="2"/>
      <x:c r="G3031" s="2"/>
    </x:row>
    <x:row r="3032">
      <x:c r="B3032" s="2"/>
      <x:c r="C3032" s="2"/>
      <x:c r="D3032" s="2"/>
      <x:c r="E3032" s="2"/>
      <x:c r="F3032" s="2"/>
      <x:c r="G3032" s="2"/>
    </x:row>
    <x:row r="3033">
      <x:c r="B3033" s="2"/>
      <x:c r="C3033" s="2"/>
      <x:c r="D3033" s="2"/>
      <x:c r="E3033" s="2"/>
      <x:c r="F3033" s="2"/>
      <x:c r="G3033" s="2"/>
    </x:row>
    <x:row r="3034">
      <x:c r="B3034" s="2"/>
      <x:c r="C3034" s="2"/>
      <x:c r="D3034" s="2"/>
      <x:c r="E3034" s="2"/>
      <x:c r="F3034" s="2"/>
      <x:c r="G3034" s="2"/>
    </x:row>
    <x:row r="3035">
      <x:c r="B3035" s="2"/>
      <x:c r="C3035" s="2"/>
      <x:c r="D3035" s="2"/>
      <x:c r="E3035" s="2"/>
      <x:c r="F3035" s="2"/>
      <x:c r="G3035" s="2"/>
    </x:row>
    <x:row r="3036">
      <x:c r="B3036" s="2"/>
      <x:c r="C3036" s="2"/>
      <x:c r="D3036" s="2"/>
      <x:c r="E3036" s="2"/>
      <x:c r="F3036" s="2"/>
      <x:c r="G3036" s="2"/>
    </x:row>
    <x:row r="3037">
      <x:c r="B3037" s="2"/>
      <x:c r="C3037" s="2"/>
      <x:c r="D3037" s="2"/>
      <x:c r="E3037" s="2"/>
      <x:c r="F3037" s="2"/>
      <x:c r="G3037" s="2"/>
    </x:row>
    <x:row r="3038">
      <x:c r="B3038" s="2"/>
      <x:c r="C3038" s="2"/>
      <x:c r="D3038" s="2"/>
      <x:c r="E3038" s="2"/>
      <x:c r="F3038" s="2"/>
      <x:c r="G3038" s="2"/>
    </x:row>
    <x:row r="3039">
      <x:c r="B3039" s="2"/>
      <x:c r="C3039" s="2"/>
      <x:c r="D3039" s="2"/>
      <x:c r="E3039" s="2"/>
      <x:c r="F3039" s="2"/>
      <x:c r="G3039" s="2"/>
    </x:row>
    <x:row r="3040">
      <x:c r="B3040" s="2"/>
      <x:c r="C3040" s="2"/>
      <x:c r="D3040" s="2"/>
      <x:c r="E3040" s="2"/>
      <x:c r="F3040" s="2"/>
      <x:c r="G3040" s="2"/>
    </x:row>
    <x:row r="3041">
      <x:c r="B3041" s="2"/>
      <x:c r="C3041" s="2"/>
      <x:c r="D3041" s="2"/>
      <x:c r="E3041" s="2"/>
      <x:c r="F3041" s="2"/>
      <x:c r="G3041" s="2"/>
    </x:row>
    <x:row r="3042">
      <x:c r="B3042" s="2"/>
      <x:c r="C3042" s="2"/>
      <x:c r="D3042" s="2"/>
      <x:c r="E3042" s="2"/>
      <x:c r="F3042" s="2"/>
      <x:c r="G3042" s="2"/>
    </x:row>
    <x:row r="3043">
      <x:c r="B3043" s="2"/>
      <x:c r="C3043" s="2"/>
      <x:c r="D3043" s="2"/>
      <x:c r="E3043" s="2"/>
      <x:c r="F3043" s="2"/>
      <x:c r="G3043" s="2"/>
    </x:row>
    <x:row r="3044">
      <x:c r="B3044" s="2"/>
      <x:c r="C3044" s="2"/>
      <x:c r="D3044" s="2"/>
      <x:c r="E3044" s="2"/>
      <x:c r="F3044" s="2"/>
      <x:c r="G3044" s="2"/>
    </x:row>
    <x:row r="3045">
      <x:c r="B3045" s="2"/>
      <x:c r="C3045" s="2"/>
      <x:c r="D3045" s="2"/>
      <x:c r="E3045" s="2"/>
      <x:c r="F3045" s="2"/>
      <x:c r="G3045" s="2"/>
    </x:row>
    <x:row r="3046">
      <x:c r="B3046" s="2"/>
      <x:c r="C3046" s="2"/>
      <x:c r="D3046" s="2"/>
      <x:c r="E3046" s="2"/>
      <x:c r="F3046" s="2"/>
      <x:c r="G3046" s="2"/>
    </x:row>
    <x:row r="3047">
      <x:c r="B3047" s="2"/>
      <x:c r="C3047" s="2"/>
      <x:c r="D3047" s="2"/>
      <x:c r="E3047" s="2"/>
      <x:c r="F3047" s="2"/>
      <x:c r="G3047" s="2"/>
    </x:row>
    <x:row r="3048">
      <x:c r="B3048" s="2"/>
      <x:c r="C3048" s="2"/>
      <x:c r="D3048" s="2"/>
      <x:c r="E3048" s="2"/>
      <x:c r="F3048" s="2"/>
      <x:c r="G3048" s="2"/>
    </x:row>
    <x:row r="3049">
      <x:c r="B3049" s="2"/>
      <x:c r="C3049" s="2"/>
      <x:c r="D3049" s="2"/>
      <x:c r="E3049" s="2"/>
      <x:c r="F3049" s="2"/>
      <x:c r="G3049" s="2"/>
    </x:row>
    <x:row r="3050">
      <x:c r="B3050" s="2"/>
      <x:c r="C3050" s="2"/>
      <x:c r="D3050" s="2"/>
      <x:c r="E3050" s="2"/>
      <x:c r="F3050" s="2"/>
      <x:c r="G3050" s="2"/>
    </x:row>
    <x:row r="3051">
      <x:c r="B3051" s="2"/>
      <x:c r="C3051" s="2"/>
      <x:c r="D3051" s="2"/>
      <x:c r="E3051" s="2"/>
      <x:c r="F3051" s="2"/>
      <x:c r="G3051" s="2"/>
    </x:row>
    <x:row r="3052">
      <x:c r="B3052" s="2"/>
      <x:c r="C3052" s="2"/>
      <x:c r="D3052" s="2"/>
      <x:c r="E3052" s="2"/>
      <x:c r="F3052" s="2"/>
      <x:c r="G3052" s="2"/>
    </x:row>
    <x:row r="3053">
      <x:c r="B3053" s="2"/>
      <x:c r="C3053" s="2"/>
      <x:c r="D3053" s="2"/>
      <x:c r="E3053" s="2"/>
      <x:c r="F3053" s="2"/>
      <x:c r="G3053" s="2"/>
    </x:row>
    <x:row r="3054">
      <x:c r="B3054" s="2"/>
      <x:c r="C3054" s="2"/>
      <x:c r="D3054" s="2"/>
      <x:c r="E3054" s="2"/>
      <x:c r="F3054" s="2"/>
      <x:c r="G3054" s="2"/>
    </x:row>
    <x:row r="3055">
      <x:c r="B3055" s="2"/>
      <x:c r="C3055" s="2"/>
      <x:c r="D3055" s="2"/>
      <x:c r="E3055" s="2"/>
      <x:c r="F3055" s="2"/>
      <x:c r="G3055" s="2"/>
    </x:row>
    <x:row r="3056">
      <x:c r="B3056" s="2"/>
      <x:c r="C3056" s="2"/>
      <x:c r="D3056" s="2"/>
      <x:c r="E3056" s="2"/>
      <x:c r="F3056" s="2"/>
      <x:c r="G3056" s="2"/>
    </x:row>
    <x:row r="3057">
      <x:c r="B3057" s="2"/>
      <x:c r="C3057" s="2"/>
      <x:c r="D3057" s="2"/>
      <x:c r="E3057" s="2"/>
      <x:c r="F3057" s="2"/>
      <x:c r="G3057" s="2"/>
    </x:row>
    <x:row r="3058">
      <x:c r="B3058" s="2"/>
      <x:c r="C3058" s="2"/>
      <x:c r="D3058" s="2"/>
      <x:c r="E3058" s="2"/>
      <x:c r="F3058" s="2"/>
      <x:c r="G3058" s="2"/>
    </x:row>
    <x:row r="3059">
      <x:c r="B3059" s="2"/>
      <x:c r="C3059" s="2"/>
      <x:c r="D3059" s="2"/>
      <x:c r="E3059" s="2"/>
      <x:c r="F3059" s="2"/>
      <x:c r="G3059" s="2"/>
    </x:row>
    <x:row r="3060">
      <x:c r="B3060" s="2"/>
      <x:c r="C3060" s="2"/>
      <x:c r="D3060" s="2"/>
      <x:c r="E3060" s="2"/>
      <x:c r="F3060" s="2"/>
      <x:c r="G3060" s="2"/>
    </x:row>
    <x:row r="3061">
      <x:c r="B3061" s="2"/>
      <x:c r="C3061" s="2"/>
      <x:c r="D3061" s="2"/>
      <x:c r="E3061" s="2"/>
      <x:c r="F3061" s="2"/>
      <x:c r="G3061" s="2"/>
    </x:row>
    <x:row r="3062">
      <x:c r="B3062" s="2"/>
      <x:c r="C3062" s="2"/>
      <x:c r="D3062" s="2"/>
      <x:c r="E3062" s="2"/>
      <x:c r="F3062" s="2"/>
      <x:c r="G3062" s="2"/>
    </x:row>
    <x:row r="3063">
      <x:c r="B3063" s="2"/>
      <x:c r="C3063" s="2"/>
      <x:c r="D3063" s="2"/>
      <x:c r="E3063" s="2"/>
      <x:c r="F3063" s="2"/>
      <x:c r="G3063" s="2"/>
    </x:row>
    <x:row r="3064">
      <x:c r="B3064" s="2"/>
      <x:c r="C3064" s="2"/>
      <x:c r="D3064" s="2"/>
      <x:c r="E3064" s="2"/>
      <x:c r="F3064" s="2"/>
      <x:c r="G3064" s="2"/>
    </x:row>
    <x:row r="3065">
      <x:c r="B3065" s="2"/>
      <x:c r="C3065" s="2"/>
      <x:c r="D3065" s="2"/>
      <x:c r="E3065" s="2"/>
      <x:c r="F3065" s="2"/>
      <x:c r="G3065" s="2"/>
    </x:row>
    <x:row r="3066">
      <x:c r="B3066" s="2"/>
      <x:c r="C3066" s="2"/>
      <x:c r="D3066" s="2"/>
      <x:c r="E3066" s="2"/>
      <x:c r="F3066" s="2"/>
      <x:c r="G3066" s="2"/>
    </x:row>
    <x:row r="3067">
      <x:c r="B3067" s="2"/>
      <x:c r="C3067" s="2"/>
      <x:c r="D3067" s="2"/>
      <x:c r="E3067" s="2"/>
      <x:c r="F3067" s="2"/>
      <x:c r="G3067" s="2"/>
    </x:row>
    <x:row r="3068">
      <x:c r="B3068" s="2"/>
      <x:c r="C3068" s="2"/>
      <x:c r="D3068" s="2"/>
      <x:c r="E3068" s="2"/>
      <x:c r="F3068" s="2"/>
      <x:c r="G3068" s="2"/>
    </x:row>
    <x:row r="3069">
      <x:c r="B3069" s="2"/>
      <x:c r="C3069" s="2"/>
      <x:c r="D3069" s="2"/>
      <x:c r="E3069" s="2"/>
      <x:c r="F3069" s="2"/>
      <x:c r="G3069" s="2"/>
    </x:row>
    <x:row r="3070">
      <x:c r="B3070" s="2"/>
      <x:c r="C3070" s="2"/>
      <x:c r="D3070" s="2"/>
      <x:c r="E3070" s="2"/>
      <x:c r="F3070" s="2"/>
      <x:c r="G3070" s="2"/>
    </x:row>
    <x:row r="3071">
      <x:c r="B3071" s="2"/>
      <x:c r="C3071" s="2"/>
      <x:c r="D3071" s="2"/>
      <x:c r="E3071" s="2"/>
      <x:c r="F3071" s="2"/>
      <x:c r="G3071" s="2"/>
    </x:row>
    <x:row r="3072">
      <x:c r="B3072" s="2"/>
      <x:c r="C3072" s="2"/>
      <x:c r="D3072" s="2"/>
      <x:c r="E3072" s="2"/>
      <x:c r="F3072" s="2"/>
      <x:c r="G3072" s="2"/>
    </x:row>
    <x:row r="3073">
      <x:c r="B3073" s="2"/>
      <x:c r="C3073" s="2"/>
      <x:c r="D3073" s="2"/>
      <x:c r="E3073" s="2"/>
      <x:c r="F3073" s="2"/>
      <x:c r="G3073" s="2"/>
    </x:row>
    <x:row r="3074">
      <x:c r="B3074" s="2"/>
      <x:c r="C3074" s="2"/>
      <x:c r="D3074" s="2"/>
      <x:c r="E3074" s="2"/>
      <x:c r="F3074" s="2"/>
      <x:c r="G3074" s="2"/>
    </x:row>
    <x:row r="3075">
      <x:c r="B3075" s="2"/>
      <x:c r="C3075" s="2"/>
      <x:c r="D3075" s="2"/>
      <x:c r="E3075" s="2"/>
      <x:c r="F3075" s="2"/>
      <x:c r="G3075" s="2"/>
    </x:row>
    <x:row r="3076">
      <x:c r="B3076" s="2"/>
      <x:c r="C3076" s="2"/>
      <x:c r="D3076" s="2"/>
      <x:c r="E3076" s="2"/>
      <x:c r="F3076" s="2"/>
      <x:c r="G3076" s="2"/>
    </x:row>
    <x:row r="3077">
      <x:c r="B3077" s="2"/>
      <x:c r="C3077" s="2"/>
      <x:c r="D3077" s="2"/>
      <x:c r="E3077" s="2"/>
      <x:c r="F3077" s="2"/>
      <x:c r="G3077" s="2"/>
    </x:row>
    <x:row r="3078">
      <x:c r="B3078" s="2"/>
      <x:c r="C3078" s="2"/>
      <x:c r="D3078" s="2"/>
      <x:c r="E3078" s="2"/>
      <x:c r="F3078" s="2"/>
      <x:c r="G3078" s="2"/>
    </x:row>
    <x:row r="3079">
      <x:c r="B3079" s="2"/>
      <x:c r="C3079" s="2"/>
      <x:c r="D3079" s="2"/>
      <x:c r="E3079" s="2"/>
      <x:c r="F3079" s="2"/>
      <x:c r="G3079" s="2"/>
    </x:row>
    <x:row r="3080">
      <x:c r="B3080" s="2"/>
      <x:c r="C3080" s="2"/>
      <x:c r="D3080" s="2"/>
      <x:c r="E3080" s="2"/>
      <x:c r="F3080" s="2"/>
      <x:c r="G3080" s="2"/>
    </x:row>
    <x:row r="3081">
      <x:c r="B3081" s="2"/>
      <x:c r="C3081" s="2"/>
      <x:c r="D3081" s="2"/>
      <x:c r="E3081" s="2"/>
      <x:c r="F3081" s="2"/>
      <x:c r="G3081" s="2"/>
    </x:row>
    <x:row r="3082">
      <x:c r="B3082" s="2"/>
      <x:c r="C3082" s="2"/>
      <x:c r="D3082" s="2"/>
      <x:c r="E3082" s="2"/>
      <x:c r="F3082" s="2"/>
      <x:c r="G3082" s="2"/>
    </x:row>
    <x:row r="3083">
      <x:c r="B3083" s="2"/>
      <x:c r="C3083" s="2"/>
      <x:c r="D3083" s="2"/>
      <x:c r="E3083" s="2"/>
      <x:c r="F3083" s="2"/>
      <x:c r="G3083" s="2"/>
    </x:row>
    <x:row r="3084">
      <x:c r="B3084" s="2"/>
      <x:c r="C3084" s="2"/>
      <x:c r="D3084" s="2"/>
      <x:c r="E3084" s="2"/>
      <x:c r="F3084" s="2"/>
      <x:c r="G3084" s="2"/>
    </x:row>
    <x:row r="3085">
      <x:c r="B3085" s="2"/>
      <x:c r="C3085" s="2"/>
      <x:c r="D3085" s="2"/>
      <x:c r="E3085" s="2"/>
      <x:c r="F3085" s="2"/>
      <x:c r="G3085" s="2"/>
    </x:row>
    <x:row r="3086">
      <x:c r="B3086" s="2"/>
      <x:c r="C3086" s="2"/>
      <x:c r="D3086" s="2"/>
      <x:c r="E3086" s="2"/>
      <x:c r="F3086" s="2"/>
      <x:c r="G3086" s="2"/>
    </x:row>
    <x:row r="3087">
      <x:c r="B3087" s="2"/>
      <x:c r="C3087" s="2"/>
      <x:c r="D3087" s="2"/>
      <x:c r="E3087" s="2"/>
      <x:c r="F3087" s="2"/>
      <x:c r="G3087" s="2"/>
    </x:row>
    <x:row r="3088">
      <x:c r="B3088" s="2"/>
      <x:c r="C3088" s="2"/>
      <x:c r="D3088" s="2"/>
      <x:c r="E3088" s="2"/>
      <x:c r="F3088" s="2"/>
      <x:c r="G3088" s="2"/>
    </x:row>
    <x:row r="3089">
      <x:c r="B3089" s="2"/>
      <x:c r="C3089" s="2"/>
      <x:c r="D3089" s="2"/>
      <x:c r="E3089" s="2"/>
      <x:c r="F3089" s="2"/>
      <x:c r="G3089" s="2"/>
    </x:row>
    <x:row r="3090">
      <x:c r="B3090" s="2"/>
      <x:c r="C3090" s="2"/>
      <x:c r="D3090" s="2"/>
      <x:c r="E3090" s="2"/>
      <x:c r="F3090" s="2"/>
      <x:c r="G3090" s="2"/>
    </x:row>
    <x:row r="3091">
      <x:c r="B3091" s="2"/>
      <x:c r="C3091" s="2"/>
      <x:c r="D3091" s="2"/>
      <x:c r="E3091" s="2"/>
      <x:c r="F3091" s="2"/>
      <x:c r="G3091" s="2"/>
    </x:row>
    <x:row r="3092">
      <x:c r="B3092" s="2"/>
      <x:c r="C3092" s="2"/>
      <x:c r="D3092" s="2"/>
      <x:c r="E3092" s="2"/>
      <x:c r="F3092" s="2"/>
      <x:c r="G3092" s="2"/>
    </x:row>
    <x:row r="3093">
      <x:c r="B3093" s="2"/>
      <x:c r="C3093" s="2"/>
      <x:c r="D3093" s="2"/>
      <x:c r="E3093" s="2"/>
      <x:c r="F3093" s="2"/>
      <x:c r="G3093" s="2"/>
    </x:row>
    <x:row r="3094">
      <x:c r="B3094" s="2"/>
      <x:c r="C3094" s="2"/>
      <x:c r="D3094" s="2"/>
      <x:c r="E3094" s="2"/>
      <x:c r="F3094" s="2"/>
      <x:c r="G3094" s="2"/>
    </x:row>
    <x:row r="3095">
      <x:c r="B3095" s="2"/>
      <x:c r="C3095" s="2"/>
      <x:c r="D3095" s="2"/>
      <x:c r="E3095" s="2"/>
      <x:c r="F3095" s="2"/>
      <x:c r="G3095" s="2"/>
    </x:row>
    <x:row r="3096">
      <x:c r="B3096" s="2"/>
      <x:c r="C3096" s="2"/>
      <x:c r="D3096" s="2"/>
      <x:c r="E3096" s="2"/>
      <x:c r="F3096" s="2"/>
      <x:c r="G3096" s="2"/>
    </x:row>
    <x:row r="3097">
      <x:c r="B3097" s="2"/>
      <x:c r="C3097" s="2"/>
      <x:c r="D3097" s="2"/>
      <x:c r="E3097" s="2"/>
      <x:c r="F3097" s="2"/>
      <x:c r="G3097" s="2"/>
    </x:row>
    <x:row r="3098">
      <x:c r="B3098" s="2"/>
      <x:c r="C3098" s="2"/>
      <x:c r="D3098" s="2"/>
      <x:c r="E3098" s="2"/>
      <x:c r="F3098" s="2"/>
      <x:c r="G3098" s="2"/>
    </x:row>
    <x:row r="3099">
      <x:c r="B3099" s="2"/>
      <x:c r="C3099" s="2"/>
      <x:c r="D3099" s="2"/>
      <x:c r="E3099" s="2"/>
      <x:c r="F3099" s="2"/>
      <x:c r="G3099" s="2"/>
    </x:row>
    <x:row r="3100">
      <x:c r="B3100" s="2"/>
      <x:c r="C3100" s="2"/>
      <x:c r="D3100" s="2"/>
      <x:c r="E3100" s="2"/>
      <x:c r="F3100" s="2"/>
      <x:c r="G3100" s="2"/>
    </x:row>
    <x:row r="3101">
      <x:c r="B3101" s="2"/>
      <x:c r="C3101" s="2"/>
      <x:c r="D3101" s="2"/>
      <x:c r="E3101" s="2"/>
      <x:c r="F3101" s="2"/>
      <x:c r="G3101" s="2"/>
    </x:row>
    <x:row r="3102">
      <x:c r="B3102" s="2"/>
      <x:c r="C3102" s="2"/>
      <x:c r="D3102" s="2"/>
      <x:c r="E3102" s="2"/>
      <x:c r="F3102" s="2"/>
      <x:c r="G3102" s="2"/>
    </x:row>
    <x:row r="3103">
      <x:c r="B3103" s="2"/>
      <x:c r="C3103" s="2"/>
      <x:c r="D3103" s="2"/>
      <x:c r="E3103" s="2"/>
      <x:c r="F3103" s="2"/>
      <x:c r="G3103" s="2"/>
    </x:row>
    <x:row r="3104">
      <x:c r="B3104" s="2"/>
      <x:c r="C3104" s="2"/>
      <x:c r="D3104" s="2"/>
      <x:c r="E3104" s="2"/>
      <x:c r="F3104" s="2"/>
      <x:c r="G3104" s="2"/>
    </x:row>
    <x:row r="3105">
      <x:c r="B3105" s="2"/>
      <x:c r="C3105" s="2"/>
      <x:c r="D3105" s="2"/>
      <x:c r="E3105" s="2"/>
      <x:c r="F3105" s="2"/>
      <x:c r="G3105" s="2"/>
    </x:row>
    <x:row r="3106">
      <x:c r="B3106" s="2"/>
      <x:c r="C3106" s="2"/>
      <x:c r="D3106" s="2"/>
      <x:c r="E3106" s="2"/>
      <x:c r="F3106" s="2"/>
      <x:c r="G3106" s="2"/>
    </x:row>
    <x:row r="3107">
      <x:c r="B3107" s="2"/>
      <x:c r="C3107" s="2"/>
      <x:c r="D3107" s="2"/>
      <x:c r="E3107" s="2"/>
      <x:c r="F3107" s="2"/>
      <x:c r="G3107" s="2"/>
    </x:row>
    <x:row r="3108">
      <x:c r="B3108" s="2"/>
      <x:c r="C3108" s="2"/>
      <x:c r="D3108" s="2"/>
      <x:c r="E3108" s="2"/>
      <x:c r="F3108" s="2"/>
      <x:c r="G3108" s="2"/>
    </x:row>
    <x:row r="3109">
      <x:c r="B3109" s="2"/>
      <x:c r="C3109" s="2"/>
      <x:c r="D3109" s="2"/>
      <x:c r="E3109" s="2"/>
      <x:c r="F3109" s="2"/>
      <x:c r="G3109" s="2"/>
    </x:row>
    <x:row r="3110">
      <x:c r="B3110" s="2"/>
      <x:c r="C3110" s="2"/>
      <x:c r="D3110" s="2"/>
      <x:c r="E3110" s="2"/>
      <x:c r="F3110" s="2"/>
      <x:c r="G3110" s="2"/>
    </x:row>
    <x:row r="3111">
      <x:c r="B3111" s="2"/>
      <x:c r="C3111" s="2"/>
      <x:c r="D3111" s="2"/>
      <x:c r="E3111" s="2"/>
      <x:c r="F3111" s="2"/>
      <x:c r="G3111" s="2"/>
    </x:row>
    <x:row r="3112">
      <x:c r="B3112" s="2"/>
      <x:c r="C3112" s="2"/>
      <x:c r="D3112" s="2"/>
      <x:c r="E3112" s="2"/>
      <x:c r="F3112" s="2"/>
      <x:c r="G3112" s="2"/>
    </x:row>
    <x:row r="3113">
      <x:c r="B3113" s="2"/>
      <x:c r="C3113" s="2"/>
      <x:c r="D3113" s="2"/>
      <x:c r="E3113" s="2"/>
      <x:c r="F3113" s="2"/>
      <x:c r="G3113" s="2"/>
    </x:row>
    <x:row r="3114">
      <x:c r="B3114" s="2"/>
      <x:c r="C3114" s="2"/>
      <x:c r="D3114" s="2"/>
      <x:c r="E3114" s="2"/>
      <x:c r="F3114" s="2"/>
      <x:c r="G3114" s="2"/>
    </x:row>
    <x:row r="3115">
      <x:c r="B3115" s="2"/>
      <x:c r="C3115" s="2"/>
      <x:c r="D3115" s="2"/>
      <x:c r="E3115" s="2"/>
      <x:c r="F3115" s="2"/>
      <x:c r="G3115" s="2"/>
    </x:row>
    <x:row r="3116">
      <x:c r="B3116" s="2"/>
      <x:c r="C3116" s="2"/>
      <x:c r="D3116" s="2"/>
      <x:c r="E3116" s="2"/>
      <x:c r="F3116" s="2"/>
      <x:c r="G3116" s="2"/>
    </x:row>
    <x:row r="3117">
      <x:c r="B3117" s="2"/>
      <x:c r="C3117" s="2"/>
      <x:c r="D3117" s="2"/>
      <x:c r="E3117" s="2"/>
      <x:c r="F3117" s="2"/>
      <x:c r="G3117" s="2"/>
    </x:row>
    <x:row r="3118">
      <x:c r="B3118" s="2"/>
      <x:c r="C3118" s="2"/>
      <x:c r="D3118" s="2"/>
      <x:c r="E3118" s="2"/>
      <x:c r="F3118" s="2"/>
      <x:c r="G3118" s="2"/>
    </x:row>
    <x:row r="3119">
      <x:c r="B3119" s="2"/>
      <x:c r="C3119" s="2"/>
      <x:c r="D3119" s="2"/>
      <x:c r="E3119" s="2"/>
      <x:c r="F3119" s="2"/>
      <x:c r="G3119" s="2"/>
    </x:row>
    <x:row r="3120">
      <x:c r="B3120" s="2"/>
      <x:c r="C3120" s="2"/>
      <x:c r="D3120" s="2"/>
      <x:c r="E3120" s="2"/>
      <x:c r="F3120" s="2"/>
      <x:c r="G3120" s="2"/>
    </x:row>
    <x:row r="3121">
      <x:c r="B3121" s="2"/>
      <x:c r="C3121" s="2"/>
      <x:c r="D3121" s="2"/>
      <x:c r="E3121" s="2"/>
      <x:c r="F3121" s="2"/>
      <x:c r="G3121" s="2"/>
    </x:row>
    <x:row r="3122">
      <x:c r="B3122" s="2"/>
      <x:c r="C3122" s="2"/>
      <x:c r="D3122" s="2"/>
      <x:c r="E3122" s="2"/>
      <x:c r="F3122" s="2"/>
      <x:c r="G3122" s="2"/>
    </x:row>
    <x:row r="3123">
      <x:c r="B3123" s="2"/>
      <x:c r="C3123" s="2"/>
      <x:c r="D3123" s="2"/>
      <x:c r="E3123" s="2"/>
      <x:c r="F3123" s="2"/>
      <x:c r="G3123" s="2"/>
    </x:row>
    <x:row r="3124">
      <x:c r="B3124" s="2"/>
      <x:c r="C3124" s="2"/>
      <x:c r="D3124" s="2"/>
      <x:c r="E3124" s="2"/>
      <x:c r="F3124" s="2"/>
      <x:c r="G3124" s="2"/>
    </x:row>
    <x:row r="3125">
      <x:c r="B3125" s="2"/>
      <x:c r="C3125" s="2"/>
      <x:c r="D3125" s="2"/>
      <x:c r="E3125" s="2"/>
      <x:c r="F3125" s="2"/>
      <x:c r="G3125" s="2"/>
    </x:row>
    <x:row r="3126">
      <x:c r="B3126" s="2"/>
      <x:c r="C3126" s="2"/>
      <x:c r="D3126" s="2"/>
      <x:c r="E3126" s="2"/>
      <x:c r="F3126" s="2"/>
      <x:c r="G3126" s="2"/>
    </x:row>
    <x:row r="3127">
      <x:c r="B3127" s="2"/>
      <x:c r="C3127" s="2"/>
      <x:c r="D3127" s="2"/>
      <x:c r="E3127" s="2"/>
      <x:c r="F3127" s="2"/>
      <x:c r="G3127" s="2"/>
    </x:row>
    <x:row r="3128">
      <x:c r="B3128" s="2"/>
      <x:c r="C3128" s="2"/>
      <x:c r="D3128" s="2"/>
      <x:c r="E3128" s="2"/>
      <x:c r="F3128" s="2"/>
      <x:c r="G3128" s="2"/>
    </x:row>
    <x:row r="3129">
      <x:c r="B3129" s="2"/>
      <x:c r="C3129" s="2"/>
      <x:c r="D3129" s="2"/>
      <x:c r="E3129" s="2"/>
      <x:c r="F3129" s="2"/>
      <x:c r="G3129" s="2"/>
    </x:row>
    <x:row r="3130">
      <x:c r="B3130" s="2"/>
      <x:c r="C3130" s="2"/>
      <x:c r="D3130" s="2"/>
      <x:c r="E3130" s="2"/>
      <x:c r="F3130" s="2"/>
      <x:c r="G3130" s="2"/>
    </x:row>
    <x:row r="3131">
      <x:c r="B3131" s="2"/>
      <x:c r="C3131" s="2"/>
      <x:c r="D3131" s="2"/>
      <x:c r="E3131" s="2"/>
      <x:c r="F3131" s="2"/>
      <x:c r="G3131" s="2"/>
    </x:row>
    <x:row r="3132">
      <x:c r="B3132" s="2"/>
      <x:c r="C3132" s="2"/>
      <x:c r="D3132" s="2"/>
      <x:c r="E3132" s="2"/>
      <x:c r="F3132" s="2"/>
      <x:c r="G3132" s="2"/>
    </x:row>
    <x:row r="3133">
      <x:c r="B3133" s="2"/>
      <x:c r="C3133" s="2"/>
      <x:c r="D3133" s="2"/>
      <x:c r="E3133" s="2"/>
      <x:c r="F3133" s="2"/>
      <x:c r="G3133" s="2"/>
    </x:row>
    <x:row r="3134">
      <x:c r="B3134" s="2"/>
      <x:c r="C3134" s="2"/>
      <x:c r="D3134" s="2"/>
      <x:c r="E3134" s="2"/>
      <x:c r="F3134" s="2"/>
      <x:c r="G3134" s="2"/>
    </x:row>
    <x:row r="3135">
      <x:c r="B3135" s="2"/>
      <x:c r="C3135" s="2"/>
      <x:c r="D3135" s="2"/>
      <x:c r="E3135" s="2"/>
      <x:c r="F3135" s="2"/>
      <x:c r="G3135" s="2"/>
    </x:row>
    <x:row r="3136">
      <x:c r="B3136" s="2"/>
      <x:c r="C3136" s="2"/>
      <x:c r="D3136" s="2"/>
      <x:c r="E3136" s="2"/>
      <x:c r="F3136" s="2"/>
      <x:c r="G3136" s="2"/>
    </x:row>
    <x:row r="3137">
      <x:c r="B3137" s="2"/>
      <x:c r="C3137" s="2"/>
      <x:c r="D3137" s="2"/>
      <x:c r="E3137" s="2"/>
      <x:c r="F3137" s="2"/>
      <x:c r="G3137" s="2"/>
    </x:row>
    <x:row r="3138">
      <x:c r="B3138" s="2"/>
      <x:c r="C3138" s="2"/>
      <x:c r="D3138" s="2"/>
      <x:c r="E3138" s="2"/>
      <x:c r="F3138" s="2"/>
      <x:c r="G3138" s="2"/>
    </x:row>
    <x:row r="3139">
      <x:c r="B3139" s="2"/>
      <x:c r="C3139" s="2"/>
      <x:c r="D3139" s="2"/>
      <x:c r="E3139" s="2"/>
      <x:c r="F3139" s="2"/>
      <x:c r="G3139" s="2"/>
    </x:row>
    <x:row r="3140">
      <x:c r="B3140" s="2"/>
      <x:c r="C3140" s="2"/>
      <x:c r="D3140" s="2"/>
      <x:c r="E3140" s="2"/>
      <x:c r="F3140" s="2"/>
      <x:c r="G3140" s="2"/>
    </x:row>
    <x:row r="3141">
      <x:c r="B3141" s="2"/>
      <x:c r="C3141" s="2"/>
      <x:c r="D3141" s="2"/>
      <x:c r="E3141" s="2"/>
      <x:c r="F3141" s="2"/>
      <x:c r="G3141" s="2"/>
    </x:row>
    <x:row r="3142">
      <x:c r="B3142" s="2"/>
      <x:c r="C3142" s="2"/>
      <x:c r="D3142" s="2"/>
      <x:c r="E3142" s="2"/>
      <x:c r="F3142" s="2"/>
      <x:c r="G3142" s="2"/>
    </x:row>
    <x:row r="3143">
      <x:c r="B3143" s="2"/>
      <x:c r="C3143" s="2"/>
      <x:c r="D3143" s="2"/>
      <x:c r="E3143" s="2"/>
      <x:c r="F3143" s="2"/>
      <x:c r="G3143" s="2"/>
    </x:row>
    <x:row r="3144">
      <x:c r="B3144" s="2"/>
      <x:c r="C3144" s="2"/>
      <x:c r="D3144" s="2"/>
      <x:c r="E3144" s="2"/>
      <x:c r="F3144" s="2"/>
      <x:c r="G3144" s="2"/>
    </x:row>
    <x:row r="3145">
      <x:c r="B3145" s="2"/>
      <x:c r="C3145" s="2"/>
      <x:c r="D3145" s="2"/>
      <x:c r="E3145" s="2"/>
      <x:c r="F3145" s="2"/>
      <x:c r="G3145" s="2"/>
    </x:row>
    <x:row r="3146">
      <x:c r="B3146" s="2"/>
      <x:c r="C3146" s="2"/>
      <x:c r="D3146" s="2"/>
      <x:c r="E3146" s="2"/>
      <x:c r="F3146" s="2"/>
      <x:c r="G3146" s="2"/>
    </x:row>
    <x:row r="3147">
      <x:c r="B3147" s="2"/>
      <x:c r="C3147" s="2"/>
      <x:c r="D3147" s="2"/>
      <x:c r="E3147" s="2"/>
      <x:c r="F3147" s="2"/>
      <x:c r="G3147" s="2"/>
    </x:row>
    <x:row r="3148">
      <x:c r="B3148" s="2"/>
      <x:c r="C3148" s="2"/>
      <x:c r="D3148" s="2"/>
      <x:c r="E3148" s="2"/>
      <x:c r="F3148" s="2"/>
      <x:c r="G3148" s="2"/>
    </x:row>
    <x:row r="3149">
      <x:c r="B3149" s="2"/>
      <x:c r="C3149" s="2"/>
      <x:c r="D3149" s="2"/>
      <x:c r="E3149" s="2"/>
      <x:c r="F3149" s="2"/>
      <x:c r="G3149" s="2"/>
    </x:row>
    <x:row r="3150">
      <x:c r="B3150" s="2"/>
      <x:c r="C3150" s="2"/>
      <x:c r="D3150" s="2"/>
      <x:c r="E3150" s="2"/>
      <x:c r="F3150" s="2"/>
      <x:c r="G3150" s="2"/>
    </x:row>
    <x:row r="3151">
      <x:c r="B3151" s="2"/>
      <x:c r="C3151" s="2"/>
      <x:c r="D3151" s="2"/>
      <x:c r="E3151" s="2"/>
      <x:c r="F3151" s="2"/>
      <x:c r="G3151" s="2"/>
    </x:row>
    <x:row r="3152">
      <x:c r="B3152" s="2"/>
      <x:c r="C3152" s="2"/>
      <x:c r="D3152" s="2"/>
      <x:c r="E3152" s="2"/>
      <x:c r="F3152" s="2"/>
      <x:c r="G3152" s="2"/>
    </x:row>
    <x:row r="3153">
      <x:c r="B3153" s="2"/>
      <x:c r="C3153" s="2"/>
      <x:c r="D3153" s="2"/>
      <x:c r="E3153" s="2"/>
      <x:c r="F3153" s="2"/>
      <x:c r="G3153" s="2"/>
    </x:row>
    <x:row r="3154">
      <x:c r="B3154" s="2"/>
      <x:c r="C3154" s="2"/>
      <x:c r="D3154" s="2"/>
      <x:c r="E3154" s="2"/>
      <x:c r="F3154" s="2"/>
      <x:c r="G3154" s="2"/>
    </x:row>
    <x:row r="3155">
      <x:c r="B3155" s="2"/>
      <x:c r="C3155" s="2"/>
      <x:c r="D3155" s="2"/>
      <x:c r="E3155" s="2"/>
      <x:c r="F3155" s="2"/>
      <x:c r="G3155" s="2"/>
    </x:row>
    <x:row r="3156">
      <x:c r="B3156" s="2"/>
      <x:c r="C3156" s="2"/>
      <x:c r="D3156" s="2"/>
      <x:c r="E3156" s="2"/>
      <x:c r="F3156" s="2"/>
      <x:c r="G3156" s="2"/>
    </x:row>
    <x:row r="3157">
      <x:c r="B3157" s="2"/>
      <x:c r="C3157" s="2"/>
      <x:c r="D3157" s="2"/>
      <x:c r="E3157" s="2"/>
      <x:c r="F3157" s="2"/>
      <x:c r="G3157" s="2"/>
    </x:row>
    <x:row r="3158">
      <x:c r="B3158" s="2"/>
      <x:c r="C3158" s="2"/>
      <x:c r="D3158" s="2"/>
      <x:c r="E3158" s="2"/>
      <x:c r="F3158" s="2"/>
      <x:c r="G3158" s="2"/>
    </x:row>
    <x:row r="3159">
      <x:c r="B3159" s="2"/>
      <x:c r="C3159" s="2"/>
      <x:c r="D3159" s="2"/>
      <x:c r="E3159" s="2"/>
      <x:c r="F3159" s="2"/>
      <x:c r="G3159" s="2"/>
    </x:row>
    <x:row r="3160">
      <x:c r="B3160" s="2"/>
      <x:c r="C3160" s="2"/>
      <x:c r="D3160" s="2"/>
      <x:c r="E3160" s="2"/>
      <x:c r="F3160" s="2"/>
      <x:c r="G3160" s="2"/>
    </x:row>
    <x:row r="3161">
      <x:c r="B3161" s="2"/>
      <x:c r="C3161" s="2"/>
      <x:c r="D3161" s="2"/>
      <x:c r="E3161" s="2"/>
      <x:c r="F3161" s="2"/>
      <x:c r="G3161" s="2"/>
    </x:row>
    <x:row r="3162">
      <x:c r="B3162" s="2"/>
      <x:c r="C3162" s="2"/>
      <x:c r="D3162" s="2"/>
      <x:c r="E3162" s="2"/>
      <x:c r="F3162" s="2"/>
      <x:c r="G3162" s="2"/>
    </x:row>
    <x:row r="3163">
      <x:c r="B3163" s="2"/>
      <x:c r="C3163" s="2"/>
      <x:c r="D3163" s="2"/>
      <x:c r="E3163" s="2"/>
      <x:c r="F3163" s="2"/>
      <x:c r="G3163" s="2"/>
    </x:row>
    <x:row r="3164">
      <x:c r="B3164" s="2"/>
      <x:c r="C3164" s="2"/>
      <x:c r="D3164" s="2"/>
      <x:c r="E3164" s="2"/>
      <x:c r="F3164" s="2"/>
      <x:c r="G3164" s="2"/>
    </x:row>
    <x:row r="3165">
      <x:c r="B3165" s="2"/>
      <x:c r="C3165" s="2"/>
      <x:c r="D3165" s="2"/>
      <x:c r="E3165" s="2"/>
      <x:c r="F3165" s="2"/>
      <x:c r="G3165" s="2"/>
    </x:row>
    <x:row r="3166">
      <x:c r="B3166" s="2"/>
      <x:c r="C3166" s="2"/>
      <x:c r="D3166" s="2"/>
      <x:c r="E3166" s="2"/>
      <x:c r="F3166" s="2"/>
      <x:c r="G3166" s="2"/>
    </x:row>
    <x:row r="3167">
      <x:c r="B3167" s="2"/>
      <x:c r="C3167" s="2"/>
      <x:c r="D3167" s="2"/>
      <x:c r="E3167" s="2"/>
      <x:c r="F3167" s="2"/>
      <x:c r="G3167" s="2"/>
    </x:row>
    <x:row r="3168">
      <x:c r="B3168" s="2"/>
      <x:c r="C3168" s="2"/>
      <x:c r="D3168" s="2"/>
      <x:c r="E3168" s="2"/>
      <x:c r="F3168" s="2"/>
      <x:c r="G3168" s="2"/>
    </x:row>
    <x:row r="3169">
      <x:c r="B3169" s="2"/>
      <x:c r="C3169" s="2"/>
      <x:c r="D3169" s="2"/>
      <x:c r="E3169" s="2"/>
      <x:c r="F3169" s="2"/>
      <x:c r="G3169" s="2"/>
    </x:row>
    <x:row r="3170">
      <x:c r="B3170" s="2"/>
      <x:c r="C3170" s="2"/>
      <x:c r="D3170" s="2"/>
      <x:c r="E3170" s="2"/>
      <x:c r="F3170" s="2"/>
      <x:c r="G3170" s="2"/>
    </x:row>
    <x:row r="3171">
      <x:c r="B3171" s="2"/>
      <x:c r="C3171" s="2"/>
      <x:c r="D3171" s="2"/>
      <x:c r="E3171" s="2"/>
      <x:c r="F3171" s="2"/>
      <x:c r="G3171" s="2"/>
    </x:row>
    <x:row r="3172">
      <x:c r="B3172" s="2"/>
      <x:c r="C3172" s="2"/>
      <x:c r="D3172" s="2"/>
      <x:c r="E3172" s="2"/>
      <x:c r="F3172" s="2"/>
      <x:c r="G3172" s="2"/>
    </x:row>
    <x:row r="3173">
      <x:c r="B3173" s="2"/>
      <x:c r="C3173" s="2"/>
      <x:c r="D3173" s="2"/>
      <x:c r="E3173" s="2"/>
      <x:c r="F3173" s="2"/>
      <x:c r="G3173" s="2"/>
    </x:row>
    <x:row r="3174">
      <x:c r="B3174" s="2"/>
      <x:c r="C3174" s="2"/>
      <x:c r="D3174" s="2"/>
      <x:c r="E3174" s="2"/>
      <x:c r="F3174" s="2"/>
      <x:c r="G3174" s="2"/>
    </x:row>
    <x:row r="3175">
      <x:c r="B3175" s="2"/>
      <x:c r="C3175" s="2"/>
      <x:c r="D3175" s="2"/>
      <x:c r="E3175" s="2"/>
      <x:c r="F3175" s="2"/>
      <x:c r="G3175" s="2"/>
    </x:row>
    <x:row r="3176">
      <x:c r="B3176" s="2"/>
      <x:c r="C3176" s="2"/>
      <x:c r="D3176" s="2"/>
      <x:c r="E3176" s="2"/>
      <x:c r="F3176" s="2"/>
      <x:c r="G3176" s="2"/>
    </x:row>
    <x:row r="3177">
      <x:c r="B3177" s="2"/>
      <x:c r="C3177" s="2"/>
      <x:c r="D3177" s="2"/>
      <x:c r="E3177" s="2"/>
      <x:c r="F3177" s="2"/>
      <x:c r="G3177" s="2"/>
    </x:row>
    <x:row r="3178">
      <x:c r="B3178" s="2"/>
      <x:c r="C3178" s="2"/>
      <x:c r="D3178" s="2"/>
      <x:c r="E3178" s="2"/>
      <x:c r="F3178" s="2"/>
      <x:c r="G3178" s="2"/>
    </x:row>
    <x:row r="3179">
      <x:c r="B3179" s="2"/>
      <x:c r="C3179" s="2"/>
      <x:c r="D3179" s="2"/>
      <x:c r="E3179" s="2"/>
      <x:c r="F3179" s="2"/>
      <x:c r="G3179" s="2"/>
    </x:row>
    <x:row r="3180">
      <x:c r="B3180" s="2"/>
      <x:c r="C3180" s="2"/>
      <x:c r="D3180" s="2"/>
      <x:c r="E3180" s="2"/>
      <x:c r="F3180" s="2"/>
      <x:c r="G3180" s="2"/>
    </x:row>
    <x:row r="3181">
      <x:c r="B3181" s="2"/>
      <x:c r="C3181" s="2"/>
      <x:c r="D3181" s="2"/>
      <x:c r="E3181" s="2"/>
      <x:c r="F3181" s="2"/>
      <x:c r="G3181" s="2"/>
    </x:row>
    <x:row r="3182">
      <x:c r="B3182" s="2"/>
      <x:c r="C3182" s="2"/>
      <x:c r="D3182" s="2"/>
      <x:c r="E3182" s="2"/>
      <x:c r="F3182" s="2"/>
      <x:c r="G3182" s="2"/>
    </x:row>
    <x:row r="3183">
      <x:c r="B3183" s="2"/>
      <x:c r="C3183" s="2"/>
      <x:c r="D3183" s="2"/>
      <x:c r="E3183" s="2"/>
      <x:c r="F3183" s="2"/>
      <x:c r="G3183" s="2"/>
    </x:row>
    <x:row r="3184">
      <x:c r="B3184" s="2"/>
      <x:c r="C3184" s="2"/>
      <x:c r="D3184" s="2"/>
      <x:c r="E3184" s="2"/>
      <x:c r="F3184" s="2"/>
      <x:c r="G3184" s="2"/>
    </x:row>
    <x:row r="3185">
      <x:c r="B3185" s="2"/>
      <x:c r="C3185" s="2"/>
      <x:c r="D3185" s="2"/>
      <x:c r="E3185" s="2"/>
      <x:c r="F3185" s="2"/>
      <x:c r="G3185" s="2"/>
    </x:row>
    <x:row r="3186">
      <x:c r="B3186" s="2"/>
      <x:c r="C3186" s="2"/>
      <x:c r="D3186" s="2"/>
      <x:c r="E3186" s="2"/>
      <x:c r="F3186" s="2"/>
      <x:c r="G3186" s="2"/>
    </x:row>
    <x:row r="3187">
      <x:c r="B3187" s="2"/>
      <x:c r="C3187" s="2"/>
      <x:c r="D3187" s="2"/>
      <x:c r="E3187" s="2"/>
      <x:c r="F3187" s="2"/>
      <x:c r="G3187" s="2"/>
    </x:row>
    <x:row r="3188">
      <x:c r="B3188" s="2"/>
      <x:c r="C3188" s="2"/>
      <x:c r="D3188" s="2"/>
      <x:c r="E3188" s="2"/>
      <x:c r="F3188" s="2"/>
      <x:c r="G3188" s="2"/>
    </x:row>
    <x:row r="3189">
      <x:c r="B3189" s="2"/>
      <x:c r="C3189" s="2"/>
      <x:c r="D3189" s="2"/>
      <x:c r="E3189" s="2"/>
      <x:c r="F3189" s="2"/>
      <x:c r="G3189" s="2"/>
    </x:row>
    <x:row r="3190">
      <x:c r="B3190" s="2"/>
      <x:c r="C3190" s="2"/>
      <x:c r="D3190" s="2"/>
      <x:c r="E3190" s="2"/>
      <x:c r="F3190" s="2"/>
      <x:c r="G3190" s="2"/>
    </x:row>
    <x:row r="3191">
      <x:c r="B3191" s="2"/>
      <x:c r="C3191" s="2"/>
      <x:c r="D3191" s="2"/>
      <x:c r="E3191" s="2"/>
      <x:c r="F3191" s="2"/>
      <x:c r="G3191" s="2"/>
    </x:row>
    <x:row r="3192">
      <x:c r="B3192" s="2"/>
      <x:c r="C3192" s="2"/>
      <x:c r="D3192" s="2"/>
      <x:c r="E3192" s="2"/>
      <x:c r="F3192" s="2"/>
      <x:c r="G3192" s="2"/>
    </x:row>
    <x:row r="3193">
      <x:c r="B3193" s="2"/>
      <x:c r="C3193" s="2"/>
      <x:c r="D3193" s="2"/>
      <x:c r="E3193" s="2"/>
      <x:c r="F3193" s="2"/>
      <x:c r="G3193" s="2"/>
    </x:row>
    <x:row r="3194">
      <x:c r="B3194" s="2"/>
      <x:c r="C3194" s="2"/>
      <x:c r="D3194" s="2"/>
      <x:c r="E3194" s="2"/>
      <x:c r="F3194" s="2"/>
      <x:c r="G3194" s="2"/>
    </x:row>
    <x:row r="3195">
      <x:c r="B3195" s="2"/>
      <x:c r="C3195" s="2"/>
      <x:c r="D3195" s="2"/>
      <x:c r="E3195" s="2"/>
      <x:c r="F3195" s="2"/>
      <x:c r="G3195" s="2"/>
    </x:row>
    <x:row r="3196">
      <x:c r="B3196" s="2"/>
      <x:c r="C3196" s="2"/>
      <x:c r="D3196" s="2"/>
      <x:c r="E3196" s="2"/>
      <x:c r="F3196" s="2"/>
      <x:c r="G3196" s="2"/>
    </x:row>
    <x:row r="3197">
      <x:c r="B3197" s="2"/>
      <x:c r="C3197" s="2"/>
      <x:c r="D3197" s="2"/>
      <x:c r="E3197" s="2"/>
      <x:c r="F3197" s="2"/>
      <x:c r="G3197" s="2"/>
    </x:row>
    <x:row r="3198">
      <x:c r="B3198" s="2"/>
      <x:c r="C3198" s="2"/>
      <x:c r="D3198" s="2"/>
      <x:c r="E3198" s="2"/>
      <x:c r="F3198" s="2"/>
      <x:c r="G3198" s="2"/>
    </x:row>
    <x:row r="3199">
      <x:c r="B3199" s="2"/>
      <x:c r="C3199" s="2"/>
      <x:c r="D3199" s="2"/>
      <x:c r="E3199" s="2"/>
      <x:c r="F3199" s="2"/>
      <x:c r="G3199" s="2"/>
    </x:row>
    <x:row r="3200">
      <x:c r="B3200" s="2"/>
      <x:c r="C3200" s="2"/>
      <x:c r="D3200" s="2"/>
      <x:c r="E3200" s="2"/>
      <x:c r="F3200" s="2"/>
      <x:c r="G3200" s="2"/>
    </x:row>
    <x:row r="3201">
      <x:c r="B3201" s="2"/>
      <x:c r="C3201" s="2"/>
      <x:c r="D3201" s="2"/>
      <x:c r="E3201" s="2"/>
      <x:c r="F3201" s="2"/>
      <x:c r="G3201" s="2"/>
    </x:row>
    <x:row r="3202">
      <x:c r="B3202" s="2"/>
      <x:c r="C3202" s="2"/>
      <x:c r="D3202" s="2"/>
      <x:c r="E3202" s="2"/>
      <x:c r="F3202" s="2"/>
      <x:c r="G3202" s="2"/>
    </x:row>
    <x:row r="3203">
      <x:c r="B3203" s="2"/>
      <x:c r="C3203" s="2"/>
      <x:c r="D3203" s="2"/>
      <x:c r="E3203" s="2"/>
      <x:c r="F3203" s="2"/>
      <x:c r="G3203" s="2"/>
    </x:row>
    <x:row r="3204">
      <x:c r="B3204" s="2"/>
      <x:c r="C3204" s="2"/>
      <x:c r="D3204" s="2"/>
      <x:c r="E3204" s="2"/>
      <x:c r="F3204" s="2"/>
      <x:c r="G3204" s="2"/>
    </x:row>
    <x:row r="3205">
      <x:c r="B3205" s="2"/>
      <x:c r="C3205" s="2"/>
      <x:c r="D3205" s="2"/>
      <x:c r="E3205" s="2"/>
      <x:c r="F3205" s="2"/>
      <x:c r="G3205" s="2"/>
    </x:row>
    <x:row r="3206">
      <x:c r="B3206" s="2"/>
      <x:c r="C3206" s="2"/>
      <x:c r="D3206" s="2"/>
      <x:c r="E3206" s="2"/>
      <x:c r="F3206" s="2"/>
      <x:c r="G3206" s="2"/>
    </x:row>
    <x:row r="3207">
      <x:c r="B3207" s="2"/>
      <x:c r="C3207" s="2"/>
      <x:c r="D3207" s="2"/>
      <x:c r="E3207" s="2"/>
      <x:c r="F3207" s="2"/>
      <x:c r="G3207" s="2"/>
    </x:row>
    <x:row r="3208">
      <x:c r="B3208" s="2"/>
      <x:c r="C3208" s="2"/>
      <x:c r="D3208" s="2"/>
      <x:c r="E3208" s="2"/>
      <x:c r="F3208" s="2"/>
      <x:c r="G3208" s="2"/>
    </x:row>
    <x:row r="3209">
      <x:c r="B3209" s="2"/>
      <x:c r="C3209" s="2"/>
      <x:c r="D3209" s="2"/>
      <x:c r="E3209" s="2"/>
      <x:c r="F3209" s="2"/>
      <x:c r="G3209" s="2"/>
    </x:row>
    <x:row r="3210">
      <x:c r="B3210" s="2"/>
      <x:c r="C3210" s="2"/>
      <x:c r="D3210" s="2"/>
      <x:c r="E3210" s="2"/>
      <x:c r="F3210" s="2"/>
      <x:c r="G3210" s="2"/>
    </x:row>
    <x:row r="3211">
      <x:c r="B3211" s="2"/>
      <x:c r="C3211" s="2"/>
      <x:c r="D3211" s="2"/>
      <x:c r="E3211" s="2"/>
      <x:c r="F3211" s="2"/>
      <x:c r="G3211" s="2"/>
    </x:row>
    <x:row r="3212">
      <x:c r="B3212" s="2"/>
      <x:c r="C3212" s="2"/>
      <x:c r="D3212" s="2"/>
      <x:c r="E3212" s="2"/>
      <x:c r="F3212" s="2"/>
      <x:c r="G3212" s="2"/>
    </x:row>
    <x:row r="3213">
      <x:c r="B3213" s="2"/>
      <x:c r="C3213" s="2"/>
      <x:c r="D3213" s="2"/>
      <x:c r="E3213" s="2"/>
      <x:c r="F3213" s="2"/>
      <x:c r="G3213" s="2"/>
    </x:row>
    <x:row r="3214">
      <x:c r="B3214" s="2"/>
      <x:c r="C3214" s="2"/>
      <x:c r="D3214" s="2"/>
      <x:c r="E3214" s="2"/>
      <x:c r="F3214" s="2"/>
      <x:c r="G3214" s="2"/>
    </x:row>
    <x:row r="3215">
      <x:c r="B3215" s="2"/>
      <x:c r="C3215" s="2"/>
      <x:c r="D3215" s="2"/>
      <x:c r="E3215" s="2"/>
      <x:c r="F3215" s="2"/>
      <x:c r="G3215" s="2"/>
    </x:row>
    <x:row r="3216">
      <x:c r="B3216" s="2"/>
      <x:c r="C3216" s="2"/>
      <x:c r="D3216" s="2"/>
      <x:c r="E3216" s="2"/>
      <x:c r="F3216" s="2"/>
      <x:c r="G3216" s="2"/>
    </x:row>
    <x:row r="3217">
      <x:c r="B3217" s="2"/>
      <x:c r="C3217" s="2"/>
      <x:c r="D3217" s="2"/>
      <x:c r="E3217" s="2"/>
      <x:c r="F3217" s="2"/>
      <x:c r="G3217" s="2"/>
    </x:row>
    <x:row r="3218">
      <x:c r="B3218" s="2"/>
      <x:c r="C3218" s="2"/>
      <x:c r="D3218" s="2"/>
      <x:c r="E3218" s="2"/>
      <x:c r="F3218" s="2"/>
      <x:c r="G3218" s="2"/>
    </x:row>
    <x:row r="3219">
      <x:c r="B3219" s="2"/>
      <x:c r="C3219" s="2"/>
      <x:c r="D3219" s="2"/>
      <x:c r="E3219" s="2"/>
      <x:c r="F3219" s="2"/>
      <x:c r="G3219" s="2"/>
    </x:row>
    <x:row r="3220">
      <x:c r="B3220" s="2"/>
      <x:c r="C3220" s="2"/>
      <x:c r="D3220" s="2"/>
      <x:c r="E3220" s="2"/>
      <x:c r="F3220" s="2"/>
      <x:c r="G3220" s="2"/>
    </x:row>
    <x:row r="3221">
      <x:c r="B3221" s="2"/>
      <x:c r="C3221" s="2"/>
      <x:c r="D3221" s="2"/>
      <x:c r="E3221" s="2"/>
      <x:c r="F3221" s="2"/>
      <x:c r="G3221" s="2"/>
    </x:row>
    <x:row r="3222">
      <x:c r="B3222" s="2"/>
      <x:c r="C3222" s="2"/>
      <x:c r="D3222" s="2"/>
      <x:c r="E3222" s="2"/>
      <x:c r="F3222" s="2"/>
      <x:c r="G3222" s="2"/>
    </x:row>
    <x:row r="3223">
      <x:c r="B3223" s="2"/>
      <x:c r="C3223" s="2"/>
      <x:c r="D3223" s="2"/>
      <x:c r="E3223" s="2"/>
      <x:c r="F3223" s="2"/>
      <x:c r="G3223" s="2"/>
    </x:row>
    <x:row r="3224">
      <x:c r="B3224" s="2"/>
      <x:c r="C3224" s="2"/>
      <x:c r="D3224" s="2"/>
      <x:c r="E3224" s="2"/>
      <x:c r="F3224" s="2"/>
      <x:c r="G3224" s="2"/>
    </x:row>
    <x:row r="3225">
      <x:c r="B3225" s="2"/>
      <x:c r="C3225" s="2"/>
      <x:c r="D3225" s="2"/>
      <x:c r="E3225" s="2"/>
      <x:c r="F3225" s="2"/>
      <x:c r="G3225" s="2"/>
    </x:row>
    <x:row r="3226">
      <x:c r="B3226" s="2"/>
      <x:c r="C3226" s="2"/>
      <x:c r="D3226" s="2"/>
      <x:c r="E3226" s="2"/>
      <x:c r="F3226" s="2"/>
      <x:c r="G3226" s="2"/>
    </x:row>
    <x:row r="3227">
      <x:c r="B3227" s="2"/>
      <x:c r="C3227" s="2"/>
      <x:c r="D3227" s="2"/>
      <x:c r="E3227" s="2"/>
      <x:c r="F3227" s="2"/>
      <x:c r="G3227" s="2"/>
    </x:row>
    <x:row r="3228">
      <x:c r="B3228" s="2"/>
      <x:c r="C3228" s="2"/>
      <x:c r="D3228" s="2"/>
      <x:c r="E3228" s="2"/>
      <x:c r="F3228" s="2"/>
      <x:c r="G3228" s="2"/>
    </x:row>
    <x:row r="3229">
      <x:c r="B3229" s="2"/>
      <x:c r="C3229" s="2"/>
      <x:c r="D3229" s="2"/>
      <x:c r="E3229" s="2"/>
      <x:c r="F3229" s="2"/>
      <x:c r="G3229" s="2"/>
    </x:row>
    <x:row r="3230">
      <x:c r="B3230" s="2"/>
      <x:c r="C3230" s="2"/>
      <x:c r="D3230" s="2"/>
      <x:c r="E3230" s="2"/>
      <x:c r="F3230" s="2"/>
      <x:c r="G3230" s="2"/>
    </x:row>
    <x:row r="3231">
      <x:c r="B3231" s="2"/>
      <x:c r="C3231" s="2"/>
      <x:c r="D3231" s="2"/>
      <x:c r="E3231" s="2"/>
      <x:c r="F3231" s="2"/>
      <x:c r="G3231" s="2"/>
    </x:row>
    <x:row r="3232">
      <x:c r="B3232" s="2"/>
      <x:c r="C3232" s="2"/>
      <x:c r="D3232" s="2"/>
      <x:c r="E3232" s="2"/>
      <x:c r="F3232" s="2"/>
      <x:c r="G3232" s="2"/>
    </x:row>
    <x:row r="3233">
      <x:c r="B3233" s="2"/>
      <x:c r="C3233" s="2"/>
      <x:c r="D3233" s="2"/>
      <x:c r="E3233" s="2"/>
      <x:c r="F3233" s="2"/>
      <x:c r="G3233" s="2"/>
    </x:row>
    <x:row r="3234">
      <x:c r="B3234" s="2"/>
      <x:c r="C3234" s="2"/>
      <x:c r="D3234" s="2"/>
      <x:c r="E3234" s="2"/>
      <x:c r="F3234" s="2"/>
      <x:c r="G3234" s="2"/>
    </x:row>
    <x:row r="3235">
      <x:c r="B3235" s="2"/>
      <x:c r="C3235" s="2"/>
      <x:c r="D3235" s="2"/>
      <x:c r="E3235" s="2"/>
      <x:c r="F3235" s="2"/>
      <x:c r="G3235" s="2"/>
    </x:row>
    <x:row r="3236">
      <x:c r="B3236" s="2"/>
      <x:c r="C3236" s="2"/>
      <x:c r="D3236" s="2"/>
      <x:c r="E3236" s="2"/>
      <x:c r="F3236" s="2"/>
      <x:c r="G3236" s="2"/>
    </x:row>
    <x:row r="3237">
      <x:c r="B3237" s="2"/>
      <x:c r="C3237" s="2"/>
      <x:c r="D3237" s="2"/>
      <x:c r="E3237" s="2"/>
      <x:c r="F3237" s="2"/>
      <x:c r="G3237" s="2"/>
    </x:row>
    <x:row r="3238">
      <x:c r="B3238" s="2"/>
      <x:c r="C3238" s="2"/>
      <x:c r="D3238" s="2"/>
      <x:c r="E3238" s="2"/>
      <x:c r="F3238" s="2"/>
      <x:c r="G3238" s="2"/>
    </x:row>
    <x:row r="3239">
      <x:c r="B3239" s="2"/>
      <x:c r="C3239" s="2"/>
      <x:c r="D3239" s="2"/>
      <x:c r="E3239" s="2"/>
      <x:c r="F3239" s="2"/>
      <x:c r="G3239" s="2"/>
    </x:row>
    <x:row r="3240">
      <x:c r="B3240" s="2"/>
      <x:c r="C3240" s="2"/>
      <x:c r="D3240" s="2"/>
      <x:c r="E3240" s="2"/>
      <x:c r="F3240" s="2"/>
      <x:c r="G3240" s="2"/>
    </x:row>
    <x:row r="3241">
      <x:c r="B3241" s="2"/>
      <x:c r="C3241" s="2"/>
      <x:c r="D3241" s="2"/>
      <x:c r="E3241" s="2"/>
      <x:c r="F3241" s="2"/>
      <x:c r="G3241" s="2"/>
    </x:row>
    <x:row r="3242">
      <x:c r="B3242" s="2"/>
      <x:c r="C3242" s="2"/>
      <x:c r="D3242" s="2"/>
      <x:c r="E3242" s="2"/>
      <x:c r="F3242" s="2"/>
      <x:c r="G3242" s="2"/>
    </x:row>
    <x:row r="3243">
      <x:c r="B3243" s="2"/>
      <x:c r="C3243" s="2"/>
      <x:c r="D3243" s="2"/>
      <x:c r="E3243" s="2"/>
      <x:c r="F3243" s="2"/>
      <x:c r="G3243" s="2"/>
    </x:row>
    <x:row r="3244">
      <x:c r="B3244" s="2"/>
      <x:c r="C3244" s="2"/>
      <x:c r="D3244" s="2"/>
      <x:c r="E3244" s="2"/>
      <x:c r="F3244" s="2"/>
      <x:c r="G3244" s="2"/>
    </x:row>
    <x:row r="3245">
      <x:c r="B3245" s="2"/>
      <x:c r="C3245" s="2"/>
      <x:c r="D3245" s="2"/>
      <x:c r="E3245" s="2"/>
      <x:c r="F3245" s="2"/>
      <x:c r="G3245" s="2"/>
    </x:row>
    <x:row r="3246">
      <x:c r="B3246" s="2"/>
      <x:c r="C3246" s="2"/>
      <x:c r="D3246" s="2"/>
      <x:c r="E3246" s="2"/>
      <x:c r="F3246" s="2"/>
      <x:c r="G3246" s="2"/>
    </x:row>
    <x:row r="3247">
      <x:c r="B3247" s="2"/>
      <x:c r="C3247" s="2"/>
      <x:c r="D3247" s="2"/>
      <x:c r="E3247" s="2"/>
      <x:c r="F3247" s="2"/>
      <x:c r="G3247" s="2"/>
    </x:row>
    <x:row r="3248">
      <x:c r="B3248" s="2"/>
      <x:c r="C3248" s="2"/>
      <x:c r="D3248" s="2"/>
      <x:c r="E3248" s="2"/>
      <x:c r="F3248" s="2"/>
      <x:c r="G3248" s="2"/>
    </x:row>
    <x:row r="3249">
      <x:c r="B3249" s="2"/>
      <x:c r="C3249" s="2"/>
      <x:c r="D3249" s="2"/>
      <x:c r="E3249" s="2"/>
      <x:c r="F3249" s="2"/>
      <x:c r="G3249" s="2"/>
    </x:row>
    <x:row r="3250">
      <x:c r="B3250" s="2"/>
      <x:c r="C3250" s="2"/>
      <x:c r="D3250" s="2"/>
      <x:c r="E3250" s="2"/>
      <x:c r="F3250" s="2"/>
      <x:c r="G3250" s="2"/>
    </x:row>
    <x:row r="3251">
      <x:c r="B3251" s="2"/>
      <x:c r="C3251" s="2"/>
      <x:c r="D3251" s="2"/>
      <x:c r="E3251" s="2"/>
      <x:c r="F3251" s="2"/>
      <x:c r="G3251" s="2"/>
    </x:row>
    <x:row r="3252">
      <x:c r="B3252" s="2"/>
      <x:c r="C3252" s="2"/>
      <x:c r="D3252" s="2"/>
      <x:c r="E3252" s="2"/>
      <x:c r="F3252" s="2"/>
      <x:c r="G3252" s="2"/>
    </x:row>
    <x:row r="3253">
      <x:c r="B3253" s="2"/>
      <x:c r="C3253" s="2"/>
      <x:c r="D3253" s="2"/>
      <x:c r="E3253" s="2"/>
      <x:c r="F3253" s="2"/>
      <x:c r="G3253" s="2"/>
    </x:row>
    <x:row r="3254">
      <x:c r="B3254" s="2"/>
      <x:c r="C3254" s="2"/>
      <x:c r="D3254" s="2"/>
      <x:c r="E3254" s="2"/>
      <x:c r="F3254" s="2"/>
      <x:c r="G3254" s="2"/>
    </x:row>
    <x:row r="3255">
      <x:c r="B3255" s="2"/>
      <x:c r="C3255" s="2"/>
      <x:c r="D3255" s="2"/>
      <x:c r="E3255" s="2"/>
      <x:c r="F3255" s="2"/>
      <x:c r="G3255" s="2"/>
    </x:row>
    <x:row r="3256">
      <x:c r="B3256" s="2"/>
      <x:c r="C3256" s="2"/>
      <x:c r="D3256" s="2"/>
      <x:c r="E3256" s="2"/>
      <x:c r="F3256" s="2"/>
      <x:c r="G3256" s="2"/>
    </x:row>
    <x:row r="3257">
      <x:c r="B3257" s="2"/>
      <x:c r="C3257" s="2"/>
      <x:c r="D3257" s="2"/>
      <x:c r="E3257" s="2"/>
      <x:c r="F3257" s="2"/>
      <x:c r="G3257" s="2"/>
    </x:row>
    <x:row r="3258">
      <x:c r="B3258" s="2"/>
      <x:c r="C3258" s="2"/>
      <x:c r="D3258" s="2"/>
      <x:c r="E3258" s="2"/>
      <x:c r="F3258" s="2"/>
      <x:c r="G3258" s="2"/>
    </x:row>
    <x:row r="3259">
      <x:c r="B3259" s="2"/>
      <x:c r="C3259" s="2"/>
      <x:c r="D3259" s="2"/>
      <x:c r="E3259" s="2"/>
      <x:c r="F3259" s="2"/>
      <x:c r="G3259" s="2"/>
    </x:row>
    <x:row r="3260">
      <x:c r="B3260" s="2"/>
      <x:c r="C3260" s="2"/>
      <x:c r="D3260" s="2"/>
      <x:c r="E3260" s="2"/>
      <x:c r="F3260" s="2"/>
      <x:c r="G3260" s="2"/>
    </x:row>
    <x:row r="3261">
      <x:c r="B3261" s="2"/>
      <x:c r="C3261" s="2"/>
      <x:c r="D3261" s="2"/>
      <x:c r="E3261" s="2"/>
      <x:c r="F3261" s="2"/>
      <x:c r="G3261" s="2"/>
    </x:row>
    <x:row r="3262">
      <x:c r="B3262" s="2"/>
      <x:c r="C3262" s="2"/>
      <x:c r="D3262" s="2"/>
      <x:c r="E3262" s="2"/>
      <x:c r="F3262" s="2"/>
      <x:c r="G3262" s="2"/>
    </x:row>
    <x:row r="3263">
      <x:c r="B3263" s="2"/>
      <x:c r="C3263" s="2"/>
      <x:c r="D3263" s="2"/>
      <x:c r="E3263" s="2"/>
      <x:c r="F3263" s="2"/>
      <x:c r="G3263" s="2"/>
    </x:row>
    <x:row r="3264">
      <x:c r="B3264" s="2"/>
      <x:c r="C3264" s="2"/>
      <x:c r="D3264" s="2"/>
      <x:c r="E3264" s="2"/>
      <x:c r="F3264" s="2"/>
      <x:c r="G3264" s="2"/>
    </x:row>
    <x:row r="3265">
      <x:c r="B3265" s="2"/>
      <x:c r="C3265" s="2"/>
      <x:c r="D3265" s="2"/>
      <x:c r="E3265" s="2"/>
      <x:c r="F3265" s="2"/>
      <x:c r="G3265" s="2"/>
    </x:row>
    <x:row r="3266">
      <x:c r="B3266" s="2"/>
      <x:c r="C3266" s="2"/>
      <x:c r="D3266" s="2"/>
      <x:c r="E3266" s="2"/>
      <x:c r="F3266" s="2"/>
      <x:c r="G3266" s="2"/>
    </x:row>
    <x:row r="3267">
      <x:c r="B3267" s="2"/>
      <x:c r="C3267" s="2"/>
      <x:c r="D3267" s="2"/>
      <x:c r="E3267" s="2"/>
      <x:c r="F3267" s="2"/>
      <x:c r="G3267" s="2"/>
    </x:row>
    <x:row r="3268">
      <x:c r="B3268" s="2"/>
      <x:c r="C3268" s="2"/>
      <x:c r="D3268" s="2"/>
      <x:c r="E3268" s="2"/>
      <x:c r="F3268" s="2"/>
      <x:c r="G3268" s="2"/>
    </x:row>
    <x:row r="3269">
      <x:c r="B3269" s="2"/>
      <x:c r="C3269" s="2"/>
      <x:c r="D3269" s="2"/>
      <x:c r="E3269" s="2"/>
      <x:c r="F3269" s="2"/>
      <x:c r="G3269" s="2"/>
    </x:row>
    <x:row r="3270">
      <x:c r="B3270" s="2"/>
      <x:c r="C3270" s="2"/>
      <x:c r="D3270" s="2"/>
      <x:c r="E3270" s="2"/>
      <x:c r="F3270" s="2"/>
      <x:c r="G3270" s="2"/>
    </x:row>
    <x:row r="3271">
      <x:c r="B3271" s="2"/>
      <x:c r="C3271" s="2"/>
      <x:c r="D3271" s="2"/>
      <x:c r="E3271" s="2"/>
      <x:c r="F3271" s="2"/>
      <x:c r="G3271" s="2"/>
    </x:row>
    <x:row r="3272">
      <x:c r="B3272" s="2"/>
      <x:c r="C3272" s="2"/>
      <x:c r="D3272" s="2"/>
      <x:c r="E3272" s="2"/>
      <x:c r="F3272" s="2"/>
      <x:c r="G3272" s="2"/>
    </x:row>
    <x:row r="3273">
      <x:c r="B3273" s="2"/>
      <x:c r="C3273" s="2"/>
      <x:c r="D3273" s="2"/>
      <x:c r="E3273" s="2"/>
      <x:c r="F3273" s="2"/>
      <x:c r="G3273" s="2"/>
    </x:row>
    <x:row r="3274">
      <x:c r="B3274" s="2"/>
      <x:c r="C3274" s="2"/>
      <x:c r="D3274" s="2"/>
      <x:c r="E3274" s="2"/>
      <x:c r="F3274" s="2"/>
      <x:c r="G3274" s="2"/>
    </x:row>
    <x:row r="3275">
      <x:c r="B3275" s="2"/>
      <x:c r="C3275" s="2"/>
      <x:c r="D3275" s="2"/>
      <x:c r="E3275" s="2"/>
      <x:c r="F3275" s="2"/>
      <x:c r="G3275" s="2"/>
    </x:row>
    <x:row r="3276">
      <x:c r="B3276" s="2"/>
      <x:c r="C3276" s="2"/>
      <x:c r="D3276" s="2"/>
      <x:c r="E3276" s="2"/>
      <x:c r="F3276" s="2"/>
      <x:c r="G3276" s="2"/>
    </x:row>
    <x:row r="3277">
      <x:c r="B3277" s="2"/>
      <x:c r="C3277" s="2"/>
      <x:c r="D3277" s="2"/>
      <x:c r="E3277" s="2"/>
      <x:c r="F3277" s="2"/>
      <x:c r="G3277" s="2"/>
    </x:row>
    <x:row r="3278">
      <x:c r="B3278" s="2"/>
      <x:c r="C3278" s="2"/>
      <x:c r="D3278" s="2"/>
      <x:c r="E3278" s="2"/>
      <x:c r="F3278" s="2"/>
      <x:c r="G3278" s="2"/>
    </x:row>
    <x:row r="3279">
      <x:c r="B3279" s="2"/>
      <x:c r="C3279" s="2"/>
      <x:c r="D3279" s="2"/>
      <x:c r="E3279" s="2"/>
      <x:c r="F3279" s="2"/>
      <x:c r="G3279" s="2"/>
    </x:row>
    <x:row r="3280">
      <x:c r="B3280" s="2"/>
      <x:c r="C3280" s="2"/>
      <x:c r="D3280" s="2"/>
      <x:c r="E3280" s="2"/>
      <x:c r="F3280" s="2"/>
      <x:c r="G3280" s="2"/>
    </x:row>
    <x:row r="3281">
      <x:c r="B3281" s="2"/>
      <x:c r="C3281" s="2"/>
      <x:c r="D3281" s="2"/>
      <x:c r="E3281" s="2"/>
      <x:c r="F3281" s="2"/>
      <x:c r="G3281" s="2"/>
    </x:row>
    <x:row r="3282">
      <x:c r="B3282" s="2"/>
      <x:c r="C3282" s="2"/>
      <x:c r="D3282" s="2"/>
      <x:c r="E3282" s="2"/>
      <x:c r="F3282" s="2"/>
      <x:c r="G3282" s="2"/>
    </x:row>
    <x:row r="3283">
      <x:c r="B3283" s="2"/>
      <x:c r="C3283" s="2"/>
      <x:c r="D3283" s="2"/>
      <x:c r="E3283" s="2"/>
      <x:c r="F3283" s="2"/>
      <x:c r="G3283" s="2"/>
    </x:row>
    <x:row r="3284">
      <x:c r="B3284" s="2"/>
      <x:c r="C3284" s="2"/>
      <x:c r="D3284" s="2"/>
      <x:c r="E3284" s="2"/>
      <x:c r="F3284" s="2"/>
      <x:c r="G3284" s="2"/>
    </x:row>
    <x:row r="3285">
      <x:c r="B3285" s="2"/>
      <x:c r="C3285" s="2"/>
      <x:c r="D3285" s="2"/>
      <x:c r="E3285" s="2"/>
      <x:c r="F3285" s="2"/>
      <x:c r="G3285" s="2"/>
    </x:row>
    <x:row r="3286">
      <x:c r="B3286" s="2"/>
      <x:c r="C3286" s="2"/>
      <x:c r="D3286" s="2"/>
      <x:c r="E3286" s="2"/>
      <x:c r="F3286" s="2"/>
      <x:c r="G3286" s="2"/>
    </x:row>
    <x:row r="3287">
      <x:c r="B3287" s="2"/>
      <x:c r="C3287" s="2"/>
      <x:c r="D3287" s="2"/>
      <x:c r="E3287" s="2"/>
      <x:c r="F3287" s="2"/>
      <x:c r="G3287" s="2"/>
    </x:row>
    <x:row r="3288">
      <x:c r="B3288" s="2"/>
      <x:c r="C3288" s="2"/>
      <x:c r="D3288" s="2"/>
      <x:c r="E3288" s="2"/>
      <x:c r="F3288" s="2"/>
      <x:c r="G3288" s="2"/>
    </x:row>
    <x:row r="3289">
      <x:c r="B3289" s="2"/>
      <x:c r="C3289" s="2"/>
      <x:c r="D3289" s="2"/>
      <x:c r="E3289" s="2"/>
      <x:c r="F3289" s="2"/>
      <x:c r="G3289" s="2"/>
    </x:row>
    <x:row r="3290">
      <x:c r="B3290" s="2"/>
      <x:c r="C3290" s="2"/>
      <x:c r="D3290" s="2"/>
      <x:c r="E3290" s="2"/>
      <x:c r="F3290" s="2"/>
      <x:c r="G3290" s="2"/>
    </x:row>
    <x:row r="3291">
      <x:c r="B3291" s="2"/>
      <x:c r="C3291" s="2"/>
      <x:c r="D3291" s="2"/>
      <x:c r="E3291" s="2"/>
      <x:c r="F3291" s="2"/>
      <x:c r="G3291" s="2"/>
    </x:row>
    <x:row r="3292">
      <x:c r="B3292" s="2"/>
      <x:c r="C3292" s="2"/>
      <x:c r="D3292" s="2"/>
      <x:c r="E3292" s="2"/>
      <x:c r="F3292" s="2"/>
      <x:c r="G3292" s="2"/>
    </x:row>
    <x:row r="3293">
      <x:c r="B3293" s="2"/>
      <x:c r="C3293" s="2"/>
      <x:c r="D3293" s="2"/>
      <x:c r="E3293" s="2"/>
      <x:c r="F3293" s="2"/>
      <x:c r="G3293" s="2"/>
    </x:row>
    <x:row r="3294">
      <x:c r="B3294" s="2"/>
      <x:c r="C3294" s="2"/>
      <x:c r="D3294" s="2"/>
      <x:c r="E3294" s="2"/>
      <x:c r="F3294" s="2"/>
      <x:c r="G3294" s="2"/>
    </x:row>
    <x:row r="3295">
      <x:c r="B3295" s="2"/>
      <x:c r="C3295" s="2"/>
      <x:c r="D3295" s="2"/>
      <x:c r="E3295" s="2"/>
      <x:c r="F3295" s="2"/>
      <x:c r="G3295" s="2"/>
    </x:row>
    <x:row r="3296">
      <x:c r="B3296" s="2"/>
      <x:c r="C3296" s="2"/>
      <x:c r="D3296" s="2"/>
      <x:c r="E3296" s="2"/>
      <x:c r="F3296" s="2"/>
      <x:c r="G3296" s="2"/>
    </x:row>
    <x:row r="3297">
      <x:c r="B3297" s="2"/>
      <x:c r="C3297" s="2"/>
      <x:c r="D3297" s="2"/>
      <x:c r="E3297" s="2"/>
      <x:c r="F3297" s="2"/>
      <x:c r="G3297" s="2"/>
    </x:row>
    <x:row r="3298">
      <x:c r="B3298" s="2"/>
      <x:c r="C3298" s="2"/>
      <x:c r="D3298" s="2"/>
      <x:c r="E3298" s="2"/>
      <x:c r="F3298" s="2"/>
      <x:c r="G3298" s="2"/>
    </x:row>
    <x:row r="3299">
      <x:c r="B3299" s="2"/>
      <x:c r="C3299" s="2"/>
      <x:c r="D3299" s="2"/>
      <x:c r="E3299" s="2"/>
      <x:c r="F3299" s="2"/>
      <x:c r="G3299" s="2"/>
    </x:row>
    <x:row r="3300">
      <x:c r="B3300" s="2"/>
      <x:c r="C3300" s="2"/>
      <x:c r="D3300" s="2"/>
      <x:c r="E3300" s="2"/>
      <x:c r="F3300" s="2"/>
      <x:c r="G3300" s="2"/>
    </x:row>
    <x:row r="3301">
      <x:c r="B3301" s="2"/>
      <x:c r="C3301" s="2"/>
      <x:c r="D3301" s="2"/>
      <x:c r="E3301" s="2"/>
      <x:c r="F3301" s="2"/>
      <x:c r="G3301" s="2"/>
    </x:row>
    <x:row r="3302">
      <x:c r="B3302" s="2"/>
      <x:c r="C3302" s="2"/>
      <x:c r="D3302" s="2"/>
      <x:c r="E3302" s="2"/>
      <x:c r="F3302" s="2"/>
      <x:c r="G3302" s="2"/>
    </x:row>
    <x:row r="3303">
      <x:c r="B3303" s="2"/>
      <x:c r="C3303" s="2"/>
      <x:c r="D3303" s="2"/>
      <x:c r="E3303" s="2"/>
      <x:c r="F3303" s="2"/>
      <x:c r="G3303" s="2"/>
    </x:row>
    <x:row r="3304">
      <x:c r="B3304" s="2"/>
      <x:c r="C3304" s="2"/>
      <x:c r="D3304" s="2"/>
      <x:c r="E3304" s="2"/>
      <x:c r="F3304" s="2"/>
      <x:c r="G3304" s="2"/>
    </x:row>
    <x:row r="3305">
      <x:c r="B3305" s="2"/>
      <x:c r="C3305" s="2"/>
      <x:c r="D3305" s="2"/>
      <x:c r="E3305" s="2"/>
      <x:c r="F3305" s="2"/>
      <x:c r="G3305" s="2"/>
    </x:row>
    <x:row r="3306">
      <x:c r="B3306" s="2"/>
      <x:c r="C3306" s="2"/>
      <x:c r="D3306" s="2"/>
      <x:c r="E3306" s="2"/>
      <x:c r="F3306" s="2"/>
      <x:c r="G3306" s="2"/>
    </x:row>
    <x:row r="3307">
      <x:c r="B3307" s="2"/>
      <x:c r="C3307" s="2"/>
      <x:c r="D3307" s="2"/>
      <x:c r="E3307" s="2"/>
      <x:c r="F3307" s="2"/>
      <x:c r="G3307" s="2"/>
    </x:row>
    <x:row r="3308">
      <x:c r="B3308" s="2"/>
      <x:c r="C3308" s="2"/>
      <x:c r="D3308" s="2"/>
      <x:c r="E3308" s="2"/>
      <x:c r="F3308" s="2"/>
      <x:c r="G3308" s="2"/>
    </x:row>
    <x:row r="3309">
      <x:c r="B3309" s="2"/>
      <x:c r="C3309" s="2"/>
      <x:c r="D3309" s="2"/>
      <x:c r="E3309" s="2"/>
      <x:c r="F3309" s="2"/>
      <x:c r="G3309" s="2"/>
    </x:row>
    <x:row r="3310">
      <x:c r="B3310" s="2"/>
      <x:c r="C3310" s="2"/>
      <x:c r="D3310" s="2"/>
      <x:c r="E3310" s="2"/>
      <x:c r="F3310" s="2"/>
      <x:c r="G3310" s="2"/>
    </x:row>
    <x:row r="3311">
      <x:c r="B3311" s="2"/>
      <x:c r="C3311" s="2"/>
      <x:c r="D3311" s="2"/>
      <x:c r="E3311" s="2"/>
      <x:c r="F3311" s="2"/>
      <x:c r="G3311" s="2"/>
    </x:row>
    <x:row r="3312">
      <x:c r="B3312" s="2"/>
      <x:c r="C3312" s="2"/>
      <x:c r="D3312" s="2"/>
      <x:c r="E3312" s="2"/>
      <x:c r="F3312" s="2"/>
      <x:c r="G3312" s="2"/>
    </x:row>
    <x:row r="3313">
      <x:c r="B3313" s="2"/>
      <x:c r="C3313" s="2"/>
      <x:c r="D3313" s="2"/>
      <x:c r="E3313" s="2"/>
      <x:c r="F3313" s="2"/>
      <x:c r="G3313" s="2"/>
    </x:row>
    <x:row r="3314">
      <x:c r="B3314" s="2"/>
      <x:c r="C3314" s="2"/>
      <x:c r="D3314" s="2"/>
      <x:c r="E3314" s="2"/>
      <x:c r="F3314" s="2"/>
      <x:c r="G3314" s="2"/>
    </x:row>
    <x:row r="3315">
      <x:c r="B3315" s="2"/>
      <x:c r="C3315" s="2"/>
      <x:c r="D3315" s="2"/>
      <x:c r="E3315" s="2"/>
      <x:c r="F3315" s="2"/>
      <x:c r="G3315" s="2"/>
    </x:row>
    <x:row r="3316">
      <x:c r="B3316" s="2"/>
      <x:c r="C3316" s="2"/>
      <x:c r="D3316" s="2"/>
      <x:c r="E3316" s="2"/>
      <x:c r="F3316" s="2"/>
      <x:c r="G3316" s="2"/>
    </x:row>
    <x:row r="3317">
      <x:c r="B3317" s="2"/>
      <x:c r="C3317" s="2"/>
      <x:c r="D3317" s="2"/>
      <x:c r="E3317" s="2"/>
      <x:c r="F3317" s="2"/>
      <x:c r="G3317" s="2"/>
    </x:row>
    <x:row r="3318">
      <x:c r="B3318" s="2"/>
      <x:c r="C3318" s="2"/>
      <x:c r="D3318" s="2"/>
      <x:c r="E3318" s="2"/>
      <x:c r="F3318" s="2"/>
      <x:c r="G3318" s="2"/>
    </x:row>
    <x:row r="3319">
      <x:c r="B3319" s="2"/>
      <x:c r="C3319" s="2"/>
      <x:c r="D3319" s="2"/>
      <x:c r="E3319" s="2"/>
      <x:c r="F3319" s="2"/>
      <x:c r="G3319" s="2"/>
    </x:row>
    <x:row r="3320">
      <x:c r="B3320" s="2"/>
      <x:c r="C3320" s="2"/>
      <x:c r="D3320" s="2"/>
      <x:c r="E3320" s="2"/>
      <x:c r="F3320" s="2"/>
      <x:c r="G3320" s="2"/>
    </x:row>
    <x:row r="3321">
      <x:c r="B3321" s="2"/>
      <x:c r="C3321" s="2"/>
      <x:c r="D3321" s="2"/>
      <x:c r="E3321" s="2"/>
      <x:c r="F3321" s="2"/>
      <x:c r="G3321" s="2"/>
    </x:row>
    <x:row r="3322">
      <x:c r="B3322" s="2"/>
      <x:c r="C3322" s="2"/>
      <x:c r="D3322" s="2"/>
      <x:c r="E3322" s="2"/>
      <x:c r="F3322" s="2"/>
      <x:c r="G3322" s="2"/>
    </x:row>
    <x:row r="3323">
      <x:c r="B3323" s="2"/>
      <x:c r="C3323" s="2"/>
      <x:c r="D3323" s="2"/>
      <x:c r="E3323" s="2"/>
      <x:c r="F3323" s="2"/>
      <x:c r="G3323" s="2"/>
    </x:row>
    <x:row r="3324">
      <x:c r="B3324" s="2"/>
      <x:c r="C3324" s="2"/>
      <x:c r="D3324" s="2"/>
      <x:c r="E3324" s="2"/>
      <x:c r="F3324" s="2"/>
      <x:c r="G3324" s="2"/>
    </x:row>
    <x:row r="3325">
      <x:c r="B3325" s="2"/>
      <x:c r="C3325" s="2"/>
      <x:c r="D3325" s="2"/>
      <x:c r="E3325" s="2"/>
      <x:c r="F3325" s="2"/>
      <x:c r="G3325" s="2"/>
    </x:row>
    <x:row r="3326">
      <x:c r="B3326" s="2"/>
      <x:c r="C3326" s="2"/>
      <x:c r="D3326" s="2"/>
      <x:c r="E3326" s="2"/>
      <x:c r="F3326" s="2"/>
      <x:c r="G3326" s="2"/>
    </x:row>
    <x:row r="3327">
      <x:c r="B3327" s="2"/>
      <x:c r="C3327" s="2"/>
      <x:c r="D3327" s="2"/>
      <x:c r="E3327" s="2"/>
      <x:c r="F3327" s="2"/>
      <x:c r="G3327" s="2"/>
    </x:row>
    <x:row r="3328">
      <x:c r="B3328" s="2"/>
      <x:c r="C3328" s="2"/>
      <x:c r="D3328" s="2"/>
      <x:c r="E3328" s="2"/>
      <x:c r="F3328" s="2"/>
      <x:c r="G3328" s="2"/>
    </x:row>
    <x:row r="3329">
      <x:c r="B3329" s="2"/>
      <x:c r="C3329" s="2"/>
      <x:c r="D3329" s="2"/>
      <x:c r="E3329" s="2"/>
      <x:c r="F3329" s="2"/>
      <x:c r="G3329" s="2"/>
    </x:row>
    <x:row r="3330">
      <x:c r="B3330" s="2"/>
      <x:c r="C3330" s="2"/>
      <x:c r="D3330" s="2"/>
      <x:c r="E3330" s="2"/>
      <x:c r="F3330" s="2"/>
      <x:c r="G3330" s="2"/>
    </x:row>
    <x:row r="3331">
      <x:c r="B3331" s="2"/>
      <x:c r="C3331" s="2"/>
      <x:c r="D3331" s="2"/>
      <x:c r="E3331" s="2"/>
      <x:c r="F3331" s="2"/>
      <x:c r="G3331" s="2"/>
    </x:row>
    <x:row r="3332">
      <x:c r="B3332" s="2"/>
      <x:c r="C3332" s="2"/>
      <x:c r="D3332" s="2"/>
      <x:c r="E3332" s="2"/>
      <x:c r="F3332" s="2"/>
      <x:c r="G3332" s="2"/>
    </x:row>
    <x:row r="3333">
      <x:c r="B3333" s="2"/>
      <x:c r="C3333" s="2"/>
      <x:c r="D3333" s="2"/>
      <x:c r="E3333" s="2"/>
      <x:c r="F3333" s="2"/>
      <x:c r="G3333" s="2"/>
    </x:row>
    <x:row r="3334">
      <x:c r="B3334" s="2"/>
      <x:c r="C3334" s="2"/>
      <x:c r="D3334" s="2"/>
      <x:c r="E3334" s="2"/>
      <x:c r="F3334" s="2"/>
      <x:c r="G3334" s="2"/>
    </x:row>
    <x:row r="3335">
      <x:c r="B3335" s="2"/>
      <x:c r="C3335" s="2"/>
      <x:c r="D3335" s="2"/>
      <x:c r="E3335" s="2"/>
      <x:c r="F3335" s="2"/>
      <x:c r="G3335" s="2"/>
    </x:row>
    <x:row r="3336">
      <x:c r="B3336" s="2"/>
      <x:c r="C3336" s="2"/>
      <x:c r="D3336" s="2"/>
      <x:c r="E3336" s="2"/>
      <x:c r="F3336" s="2"/>
      <x:c r="G3336" s="2"/>
    </x:row>
    <x:row r="3337">
      <x:c r="B3337" s="2"/>
      <x:c r="C3337" s="2"/>
      <x:c r="D3337" s="2"/>
      <x:c r="E3337" s="2"/>
      <x:c r="F3337" s="2"/>
      <x:c r="G3337" s="2"/>
    </x:row>
    <x:row r="3338">
      <x:c r="B3338" s="2"/>
      <x:c r="C3338" s="2"/>
      <x:c r="D3338" s="2"/>
      <x:c r="E3338" s="2"/>
      <x:c r="F3338" s="2"/>
      <x:c r="G3338" s="2"/>
    </x:row>
    <x:row r="3339">
      <x:c r="B3339" s="2"/>
      <x:c r="C3339" s="2"/>
      <x:c r="D3339" s="2"/>
      <x:c r="E3339" s="2"/>
      <x:c r="F3339" s="2"/>
      <x:c r="G3339" s="2"/>
    </x:row>
    <x:row r="3340">
      <x:c r="B3340" s="2"/>
      <x:c r="C3340" s="2"/>
      <x:c r="D3340" s="2"/>
      <x:c r="E3340" s="2"/>
      <x:c r="F3340" s="2"/>
      <x:c r="G3340" s="2"/>
    </x:row>
    <x:row r="3341">
      <x:c r="B3341" s="2"/>
      <x:c r="C3341" s="2"/>
      <x:c r="D3341" s="2"/>
      <x:c r="E3341" s="2"/>
      <x:c r="F3341" s="2"/>
      <x:c r="G3341" s="2"/>
    </x:row>
    <x:row r="3342">
      <x:c r="B3342" s="2"/>
      <x:c r="C3342" s="2"/>
      <x:c r="D3342" s="2"/>
      <x:c r="E3342" s="2"/>
      <x:c r="F3342" s="2"/>
      <x:c r="G3342" s="2"/>
    </x:row>
    <x:row r="3343">
      <x:c r="B3343" s="2"/>
      <x:c r="C3343" s="2"/>
      <x:c r="D3343" s="2"/>
      <x:c r="E3343" s="2"/>
      <x:c r="F3343" s="2"/>
      <x:c r="G3343" s="2"/>
    </x:row>
    <x:row r="3344">
      <x:c r="B3344" s="2"/>
      <x:c r="C3344" s="2"/>
      <x:c r="D3344" s="2"/>
      <x:c r="E3344" s="2"/>
      <x:c r="F3344" s="2"/>
      <x:c r="G3344" s="2"/>
    </x:row>
    <x:row r="3345">
      <x:c r="B3345" s="2"/>
      <x:c r="C3345" s="2"/>
      <x:c r="D3345" s="2"/>
      <x:c r="E3345" s="2"/>
      <x:c r="F3345" s="2"/>
      <x:c r="G3345" s="2"/>
    </x:row>
    <x:row r="3346">
      <x:c r="B3346" s="2"/>
      <x:c r="C3346" s="2"/>
      <x:c r="D3346" s="2"/>
      <x:c r="E3346" s="2"/>
      <x:c r="F3346" s="2"/>
      <x:c r="G3346" s="2"/>
    </x:row>
    <x:row r="3347">
      <x:c r="B3347" s="2"/>
      <x:c r="C3347" s="2"/>
      <x:c r="D3347" s="2"/>
      <x:c r="E3347" s="2"/>
      <x:c r="F3347" s="2"/>
      <x:c r="G3347" s="2"/>
    </x:row>
    <x:row r="3348">
      <x:c r="B3348" s="2"/>
      <x:c r="C3348" s="2"/>
      <x:c r="D3348" s="2"/>
      <x:c r="E3348" s="2"/>
      <x:c r="F3348" s="2"/>
      <x:c r="G3348" s="2"/>
    </x:row>
    <x:row r="3349">
      <x:c r="B3349" s="2"/>
      <x:c r="C3349" s="2"/>
      <x:c r="D3349" s="2"/>
      <x:c r="E3349" s="2"/>
      <x:c r="F3349" s="2"/>
      <x:c r="G3349" s="2"/>
    </x:row>
    <x:row r="3350">
      <x:c r="B3350" s="2"/>
      <x:c r="C3350" s="2"/>
      <x:c r="D3350" s="2"/>
      <x:c r="E3350" s="2"/>
      <x:c r="F3350" s="2"/>
      <x:c r="G3350" s="2"/>
    </x:row>
    <x:row r="3351">
      <x:c r="B3351" s="2"/>
      <x:c r="C3351" s="2"/>
      <x:c r="D3351" s="2"/>
      <x:c r="E3351" s="2"/>
      <x:c r="F3351" s="2"/>
      <x:c r="G3351" s="2"/>
    </x:row>
    <x:row r="3352">
      <x:c r="B3352" s="2"/>
      <x:c r="C3352" s="2"/>
      <x:c r="D3352" s="2"/>
      <x:c r="E3352" s="2"/>
      <x:c r="F3352" s="2"/>
      <x:c r="G3352" s="2"/>
    </x:row>
    <x:row r="3353">
      <x:c r="B3353" s="2"/>
      <x:c r="C3353" s="2"/>
      <x:c r="D3353" s="2"/>
      <x:c r="E3353" s="2"/>
      <x:c r="F3353" s="2"/>
      <x:c r="G3353" s="2"/>
    </x:row>
    <x:row r="3354">
      <x:c r="B3354" s="2"/>
      <x:c r="C3354" s="2"/>
      <x:c r="D3354" s="2"/>
      <x:c r="E3354" s="2"/>
      <x:c r="F3354" s="2"/>
      <x:c r="G3354" s="2"/>
    </x:row>
    <x:row r="3355">
      <x:c r="B3355" s="2"/>
      <x:c r="C3355" s="2"/>
      <x:c r="D3355" s="2"/>
      <x:c r="E3355" s="2"/>
      <x:c r="F3355" s="2"/>
      <x:c r="G3355" s="2"/>
    </x:row>
    <x:row r="3356">
      <x:c r="B3356" s="2"/>
      <x:c r="C3356" s="2"/>
      <x:c r="D3356" s="2"/>
      <x:c r="E3356" s="2"/>
      <x:c r="F3356" s="2"/>
      <x:c r="G3356" s="2"/>
    </x:row>
    <x:row r="3357">
      <x:c r="B3357" s="2"/>
      <x:c r="C3357" s="2"/>
      <x:c r="D3357" s="2"/>
      <x:c r="E3357" s="2"/>
      <x:c r="F3357" s="2"/>
      <x:c r="G3357" s="2"/>
    </x:row>
    <x:row r="3358">
      <x:c r="B3358" s="2"/>
      <x:c r="C3358" s="2"/>
      <x:c r="D3358" s="2"/>
      <x:c r="E3358" s="2"/>
      <x:c r="F3358" s="2"/>
      <x:c r="G3358" s="2"/>
    </x:row>
    <x:row r="3359">
      <x:c r="B3359" s="2"/>
      <x:c r="C3359" s="2"/>
      <x:c r="D3359" s="2"/>
      <x:c r="E3359" s="2"/>
      <x:c r="F3359" s="2"/>
      <x:c r="G3359" s="2"/>
    </x:row>
    <x:row r="3360">
      <x:c r="B3360" s="2"/>
      <x:c r="C3360" s="2"/>
      <x:c r="D3360" s="2"/>
      <x:c r="E3360" s="2"/>
      <x:c r="F3360" s="2"/>
      <x:c r="G3360" s="2"/>
    </x:row>
    <x:row r="3361">
      <x:c r="B3361" s="2"/>
      <x:c r="C3361" s="2"/>
      <x:c r="D3361" s="2"/>
      <x:c r="E3361" s="2"/>
      <x:c r="F3361" s="2"/>
      <x:c r="G3361" s="2"/>
    </x:row>
    <x:row r="3362">
      <x:c r="B3362" s="2"/>
      <x:c r="C3362" s="2"/>
      <x:c r="D3362" s="2"/>
      <x:c r="E3362" s="2"/>
      <x:c r="F3362" s="2"/>
      <x:c r="G3362" s="2"/>
    </x:row>
    <x:row r="3363">
      <x:c r="B3363" s="2"/>
      <x:c r="C3363" s="2"/>
      <x:c r="D3363" s="2"/>
      <x:c r="E3363" s="2"/>
      <x:c r="F3363" s="2"/>
      <x:c r="G3363" s="2"/>
    </x:row>
    <x:row r="3364">
      <x:c r="B3364" s="2"/>
      <x:c r="C3364" s="2"/>
      <x:c r="D3364" s="2"/>
      <x:c r="E3364" s="2"/>
      <x:c r="F3364" s="2"/>
      <x:c r="G3364" s="2"/>
    </x:row>
    <x:row r="3365">
      <x:c r="B3365" s="2"/>
      <x:c r="C3365" s="2"/>
      <x:c r="D3365" s="2"/>
      <x:c r="E3365" s="2"/>
      <x:c r="F3365" s="2"/>
      <x:c r="G3365" s="2"/>
    </x:row>
    <x:row r="3366">
      <x:c r="B3366" s="2"/>
      <x:c r="C3366" s="2"/>
      <x:c r="D3366" s="2"/>
      <x:c r="E3366" s="2"/>
      <x:c r="F3366" s="2"/>
      <x:c r="G3366" s="2"/>
    </x:row>
    <x:row r="3367">
      <x:c r="B3367" s="2"/>
      <x:c r="C3367" s="2"/>
      <x:c r="D3367" s="2"/>
      <x:c r="E3367" s="2"/>
      <x:c r="F3367" s="2"/>
      <x:c r="G3367" s="2"/>
    </x:row>
    <x:row r="3368">
      <x:c r="B3368" s="2"/>
      <x:c r="C3368" s="2"/>
      <x:c r="D3368" s="2"/>
      <x:c r="E3368" s="2"/>
      <x:c r="F3368" s="2"/>
      <x:c r="G3368" s="2"/>
    </x:row>
    <x:row r="3369">
      <x:c r="B3369" s="2"/>
      <x:c r="C3369" s="2"/>
      <x:c r="D3369" s="2"/>
      <x:c r="E3369" s="2"/>
      <x:c r="F3369" s="2"/>
      <x:c r="G3369" s="2"/>
    </x:row>
    <x:row r="3370">
      <x:c r="B3370" s="2"/>
      <x:c r="C3370" s="2"/>
      <x:c r="D3370" s="2"/>
      <x:c r="E3370" s="2"/>
      <x:c r="F3370" s="2"/>
      <x:c r="G3370" s="2"/>
    </x:row>
    <x:row r="3371">
      <x:c r="B3371" s="2"/>
      <x:c r="C3371" s="2"/>
      <x:c r="D3371" s="2"/>
      <x:c r="E3371" s="2"/>
      <x:c r="F3371" s="2"/>
      <x:c r="G3371" s="2"/>
    </x:row>
    <x:row r="3372">
      <x:c r="B3372" s="2"/>
      <x:c r="C3372" s="2"/>
      <x:c r="D3372" s="2"/>
      <x:c r="E3372" s="2"/>
      <x:c r="F3372" s="2"/>
      <x:c r="G3372" s="2"/>
    </x:row>
    <x:row r="3373">
      <x:c r="B3373" s="2"/>
      <x:c r="C3373" s="2"/>
      <x:c r="D3373" s="2"/>
      <x:c r="E3373" s="2"/>
      <x:c r="F3373" s="2"/>
      <x:c r="G3373" s="2"/>
    </x:row>
    <x:row r="3374">
      <x:c r="B3374" s="2"/>
      <x:c r="C3374" s="2"/>
      <x:c r="D3374" s="2"/>
      <x:c r="E3374" s="2"/>
      <x:c r="F3374" s="2"/>
      <x:c r="G3374" s="2"/>
    </x:row>
    <x:row r="3375">
      <x:c r="B3375" s="2"/>
      <x:c r="C3375" s="2"/>
      <x:c r="D3375" s="2"/>
      <x:c r="E3375" s="2"/>
      <x:c r="F3375" s="2"/>
      <x:c r="G3375" s="2"/>
    </x:row>
    <x:row r="3376">
      <x:c r="B3376" s="2"/>
      <x:c r="C3376" s="2"/>
      <x:c r="D3376" s="2"/>
      <x:c r="E3376" s="2"/>
      <x:c r="F3376" s="2"/>
      <x:c r="G3376" s="2"/>
    </x:row>
    <x:row r="3377">
      <x:c r="B3377" s="2"/>
      <x:c r="C3377" s="2"/>
      <x:c r="D3377" s="2"/>
      <x:c r="E3377" s="2"/>
      <x:c r="F3377" s="2"/>
      <x:c r="G3377" s="2"/>
    </x:row>
    <x:row r="3378">
      <x:c r="B3378" s="2"/>
      <x:c r="C3378" s="2"/>
      <x:c r="D3378" s="2"/>
      <x:c r="E3378" s="2"/>
      <x:c r="F3378" s="2"/>
      <x:c r="G3378" s="2"/>
    </x:row>
    <x:row r="3379">
      <x:c r="B3379" s="2"/>
      <x:c r="C3379" s="2"/>
      <x:c r="D3379" s="2"/>
      <x:c r="E3379" s="2"/>
      <x:c r="F3379" s="2"/>
      <x:c r="G3379" s="2"/>
    </x:row>
    <x:row r="3380">
      <x:c r="B3380" s="2"/>
      <x:c r="C3380" s="2"/>
      <x:c r="D3380" s="2"/>
      <x:c r="E3380" s="2"/>
      <x:c r="F3380" s="2"/>
      <x:c r="G3380" s="2"/>
    </x:row>
    <x:row r="3381">
      <x:c r="B3381" s="2"/>
      <x:c r="C3381" s="2"/>
      <x:c r="D3381" s="2"/>
      <x:c r="E3381" s="2"/>
      <x:c r="F3381" s="2"/>
      <x:c r="G3381" s="2"/>
    </x:row>
    <x:row r="3382">
      <x:c r="B3382" s="2"/>
      <x:c r="C3382" s="2"/>
      <x:c r="D3382" s="2"/>
      <x:c r="E3382" s="2"/>
      <x:c r="F3382" s="2"/>
      <x:c r="G3382" s="2"/>
    </x:row>
    <x:row r="3383">
      <x:c r="B3383" s="2"/>
      <x:c r="C3383" s="2"/>
      <x:c r="D3383" s="2"/>
      <x:c r="E3383" s="2"/>
      <x:c r="F3383" s="2"/>
      <x:c r="G3383" s="2"/>
    </x:row>
    <x:row r="3384">
      <x:c r="B3384" s="2"/>
      <x:c r="C3384" s="2"/>
      <x:c r="D3384" s="2"/>
      <x:c r="E3384" s="2"/>
      <x:c r="F3384" s="2"/>
      <x:c r="G3384" s="2"/>
    </x:row>
    <x:row r="3385">
      <x:c r="B3385" s="2"/>
      <x:c r="C3385" s="2"/>
      <x:c r="D3385" s="2"/>
      <x:c r="E3385" s="2"/>
      <x:c r="F3385" s="2"/>
      <x:c r="G3385" s="2"/>
    </x:row>
    <x:row r="3386">
      <x:c r="B3386" s="2"/>
      <x:c r="C3386" s="2"/>
      <x:c r="D3386" s="2"/>
      <x:c r="E3386" s="2"/>
      <x:c r="F3386" s="2"/>
      <x:c r="G3386" s="2"/>
    </x:row>
    <x:row r="3387">
      <x:c r="B3387" s="2"/>
      <x:c r="C3387" s="2"/>
      <x:c r="D3387" s="2"/>
      <x:c r="E3387" s="2"/>
      <x:c r="F3387" s="2"/>
      <x:c r="G3387" s="2"/>
    </x:row>
    <x:row r="3388">
      <x:c r="B3388" s="2"/>
      <x:c r="C3388" s="2"/>
      <x:c r="D3388" s="2"/>
      <x:c r="E3388" s="2"/>
      <x:c r="F3388" s="2"/>
      <x:c r="G3388" s="2"/>
    </x:row>
    <x:row r="3389">
      <x:c r="B3389" s="2"/>
      <x:c r="C3389" s="2"/>
      <x:c r="D3389" s="2"/>
      <x:c r="E3389" s="2"/>
      <x:c r="F3389" s="2"/>
      <x:c r="G3389" s="2"/>
    </x:row>
    <x:row r="3390">
      <x:c r="B3390" s="2"/>
      <x:c r="C3390" s="2"/>
      <x:c r="D3390" s="2"/>
      <x:c r="E3390" s="2"/>
      <x:c r="F3390" s="2"/>
      <x:c r="G3390" s="2"/>
    </x:row>
    <x:row r="3391">
      <x:c r="B3391" s="2"/>
      <x:c r="C3391" s="2"/>
      <x:c r="D3391" s="2"/>
      <x:c r="E3391" s="2"/>
      <x:c r="F3391" s="2"/>
      <x:c r="G3391" s="2"/>
    </x:row>
    <x:row r="3392">
      <x:c r="B3392" s="2"/>
      <x:c r="C3392" s="2"/>
      <x:c r="D3392" s="2"/>
      <x:c r="E3392" s="2"/>
      <x:c r="F3392" s="2"/>
      <x:c r="G3392" s="2"/>
    </x:row>
    <x:row r="3393">
      <x:c r="B3393" s="2"/>
      <x:c r="C3393" s="2"/>
      <x:c r="D3393" s="2"/>
      <x:c r="E3393" s="2"/>
      <x:c r="F3393" s="2"/>
      <x:c r="G3393" s="2"/>
    </x:row>
    <x:row r="3394">
      <x:c r="B3394" s="2"/>
      <x:c r="C3394" s="2"/>
      <x:c r="D3394" s="2"/>
      <x:c r="E3394" s="2"/>
      <x:c r="F3394" s="2"/>
      <x:c r="G3394" s="2"/>
    </x:row>
    <x:row r="3395">
      <x:c r="B3395" s="2"/>
      <x:c r="C3395" s="2"/>
      <x:c r="D3395" s="2"/>
      <x:c r="E3395" s="2"/>
      <x:c r="F3395" s="2"/>
      <x:c r="G3395" s="2"/>
    </x:row>
    <x:row r="3396">
      <x:c r="B3396" s="2"/>
      <x:c r="C3396" s="2"/>
      <x:c r="D3396" s="2"/>
      <x:c r="E3396" s="2"/>
      <x:c r="F3396" s="2"/>
      <x:c r="G3396" s="2"/>
    </x:row>
    <x:row r="3397">
      <x:c r="B3397" s="2"/>
      <x:c r="C3397" s="2"/>
      <x:c r="D3397" s="2"/>
      <x:c r="E3397" s="2"/>
      <x:c r="F3397" s="2"/>
      <x:c r="G3397" s="2"/>
    </x:row>
    <x:row r="3398">
      <x:c r="B3398" s="2"/>
      <x:c r="C3398" s="2"/>
      <x:c r="D3398" s="2"/>
      <x:c r="E3398" s="2"/>
      <x:c r="F3398" s="2"/>
      <x:c r="G3398" s="2"/>
    </x:row>
    <x:row r="3399">
      <x:c r="B3399" s="2"/>
      <x:c r="C3399" s="2"/>
      <x:c r="D3399" s="2"/>
      <x:c r="E3399" s="2"/>
      <x:c r="F3399" s="2"/>
      <x:c r="G3399" s="2"/>
    </x:row>
    <x:row r="3400">
      <x:c r="B3400" s="2"/>
      <x:c r="C3400" s="2"/>
      <x:c r="D3400" s="2"/>
      <x:c r="E3400" s="2"/>
      <x:c r="F3400" s="2"/>
      <x:c r="G3400" s="2"/>
    </x:row>
    <x:row r="3401">
      <x:c r="B3401" s="2"/>
      <x:c r="C3401" s="2"/>
      <x:c r="D3401" s="2"/>
      <x:c r="E3401" s="2"/>
      <x:c r="F3401" s="2"/>
      <x:c r="G3401" s="2"/>
    </x:row>
    <x:row r="3402">
      <x:c r="B3402" s="2"/>
      <x:c r="C3402" s="2"/>
      <x:c r="D3402" s="2"/>
      <x:c r="E3402" s="2"/>
      <x:c r="F3402" s="2"/>
      <x:c r="G3402" s="2"/>
    </x:row>
    <x:row r="3403">
      <x:c r="B3403" s="2"/>
      <x:c r="C3403" s="2"/>
      <x:c r="D3403" s="2"/>
      <x:c r="E3403" s="2"/>
      <x:c r="F3403" s="2"/>
      <x:c r="G3403" s="2"/>
    </x:row>
    <x:row r="3404">
      <x:c r="B3404" s="2"/>
      <x:c r="C3404" s="2"/>
      <x:c r="D3404" s="2"/>
      <x:c r="E3404" s="2"/>
      <x:c r="F3404" s="2"/>
      <x:c r="G3404" s="2"/>
    </x:row>
    <x:row r="3405">
      <x:c r="B3405" s="2"/>
      <x:c r="C3405" s="2"/>
      <x:c r="D3405" s="2"/>
      <x:c r="E3405" s="2"/>
      <x:c r="F3405" s="2"/>
      <x:c r="G3405" s="2"/>
    </x:row>
    <x:row r="3406">
      <x:c r="B3406" s="2"/>
      <x:c r="C3406" s="2"/>
      <x:c r="D3406" s="2"/>
      <x:c r="E3406" s="2"/>
      <x:c r="F3406" s="2"/>
      <x:c r="G3406" s="2"/>
    </x:row>
    <x:row r="3407">
      <x:c r="B3407" s="2"/>
      <x:c r="C3407" s="2"/>
      <x:c r="D3407" s="2"/>
      <x:c r="E3407" s="2"/>
      <x:c r="F3407" s="2"/>
      <x:c r="G3407" s="2"/>
    </x:row>
    <x:row r="3408">
      <x:c r="B3408" s="2"/>
      <x:c r="C3408" s="2"/>
      <x:c r="D3408" s="2"/>
      <x:c r="E3408" s="2"/>
      <x:c r="F3408" s="2"/>
      <x:c r="G3408" s="2"/>
    </x:row>
    <x:row r="3409">
      <x:c r="B3409" s="2"/>
      <x:c r="C3409" s="2"/>
      <x:c r="D3409" s="2"/>
      <x:c r="E3409" s="2"/>
      <x:c r="F3409" s="2"/>
      <x:c r="G3409" s="2"/>
    </x:row>
    <x:row r="3410">
      <x:c r="B3410" s="2"/>
      <x:c r="C3410" s="2"/>
      <x:c r="D3410" s="2"/>
      <x:c r="E3410" s="2"/>
      <x:c r="F3410" s="2"/>
      <x:c r="G3410" s="2"/>
    </x:row>
    <x:row r="3411">
      <x:c r="B3411" s="2"/>
      <x:c r="C3411" s="2"/>
      <x:c r="D3411" s="2"/>
      <x:c r="E3411" s="2"/>
      <x:c r="F3411" s="2"/>
      <x:c r="G3411" s="2"/>
    </x:row>
    <x:row r="3412">
      <x:c r="B3412" s="2"/>
      <x:c r="C3412" s="2"/>
      <x:c r="D3412" s="2"/>
      <x:c r="E3412" s="2"/>
      <x:c r="F3412" s="2"/>
      <x:c r="G3412" s="2"/>
    </x:row>
    <x:row r="3413">
      <x:c r="B3413" s="2"/>
      <x:c r="C3413" s="2"/>
      <x:c r="D3413" s="2"/>
      <x:c r="E3413" s="2"/>
      <x:c r="F3413" s="2"/>
      <x:c r="G3413" s="2"/>
    </x:row>
    <x:row r="3414">
      <x:c r="B3414" s="2"/>
      <x:c r="C3414" s="2"/>
      <x:c r="D3414" s="2"/>
      <x:c r="E3414" s="2"/>
      <x:c r="F3414" s="2"/>
      <x:c r="G3414" s="2"/>
    </x:row>
    <x:row r="3415">
      <x:c r="B3415" s="2"/>
      <x:c r="C3415" s="2"/>
      <x:c r="D3415" s="2"/>
      <x:c r="E3415" s="2"/>
      <x:c r="F3415" s="2"/>
      <x:c r="G3415" s="2"/>
    </x:row>
    <x:row r="3416">
      <x:c r="B3416" s="2"/>
      <x:c r="C3416" s="2"/>
      <x:c r="D3416" s="2"/>
      <x:c r="E3416" s="2"/>
      <x:c r="F3416" s="2"/>
      <x:c r="G3416" s="2"/>
    </x:row>
    <x:row r="3417">
      <x:c r="B3417" s="2"/>
      <x:c r="C3417" s="2"/>
      <x:c r="D3417" s="2"/>
      <x:c r="E3417" s="2"/>
      <x:c r="F3417" s="2"/>
      <x:c r="G3417" s="2"/>
    </x:row>
    <x:row r="3418">
      <x:c r="B3418" s="2"/>
      <x:c r="C3418" s="2"/>
      <x:c r="D3418" s="2"/>
      <x:c r="E3418" s="2"/>
      <x:c r="F3418" s="2"/>
      <x:c r="G3418" s="2"/>
    </x:row>
    <x:row r="3419">
      <x:c r="B3419" s="2"/>
      <x:c r="C3419" s="2"/>
      <x:c r="D3419" s="2"/>
      <x:c r="E3419" s="2"/>
      <x:c r="F3419" s="2"/>
      <x:c r="G3419" s="2"/>
    </x:row>
    <x:row r="3420">
      <x:c r="B3420" s="2"/>
      <x:c r="C3420" s="2"/>
      <x:c r="D3420" s="2"/>
      <x:c r="E3420" s="2"/>
      <x:c r="F3420" s="2"/>
      <x:c r="G3420" s="2"/>
    </x:row>
    <x:row r="3421">
      <x:c r="B3421" s="2"/>
      <x:c r="C3421" s="2"/>
      <x:c r="D3421" s="2"/>
      <x:c r="E3421" s="2"/>
      <x:c r="F3421" s="2"/>
      <x:c r="G3421" s="2"/>
    </x:row>
    <x:row r="3422">
      <x:c r="B3422" s="2"/>
      <x:c r="C3422" s="2"/>
      <x:c r="D3422" s="2"/>
      <x:c r="E3422" s="2"/>
      <x:c r="F3422" s="2"/>
      <x:c r="G3422" s="2"/>
    </x:row>
    <x:row r="3423">
      <x:c r="B3423" s="2"/>
      <x:c r="C3423" s="2"/>
      <x:c r="D3423" s="2"/>
      <x:c r="E3423" s="2"/>
      <x:c r="F3423" s="2"/>
      <x:c r="G3423" s="2"/>
    </x:row>
    <x:row r="3424">
      <x:c r="B3424" s="2"/>
      <x:c r="C3424" s="2"/>
      <x:c r="D3424" s="2"/>
      <x:c r="E3424" s="2"/>
      <x:c r="F3424" s="2"/>
      <x:c r="G3424" s="2"/>
    </x:row>
    <x:row r="3425">
      <x:c r="B3425" s="2"/>
      <x:c r="C3425" s="2"/>
      <x:c r="D3425" s="2"/>
      <x:c r="E3425" s="2"/>
      <x:c r="F3425" s="2"/>
      <x:c r="G3425" s="2"/>
    </x:row>
    <x:row r="3426">
      <x:c r="B3426" s="2"/>
      <x:c r="C3426" s="2"/>
      <x:c r="D3426" s="2"/>
      <x:c r="E3426" s="2"/>
      <x:c r="F3426" s="2"/>
      <x:c r="G3426" s="2"/>
    </x:row>
    <x:row r="3427">
      <x:c r="B3427" s="2"/>
      <x:c r="C3427" s="2"/>
      <x:c r="D3427" s="2"/>
      <x:c r="E3427" s="2"/>
      <x:c r="F3427" s="2"/>
      <x:c r="G3427" s="2"/>
    </x:row>
    <x:row r="3428">
      <x:c r="B3428" s="2"/>
      <x:c r="C3428" s="2"/>
      <x:c r="D3428" s="2"/>
      <x:c r="E3428" s="2"/>
      <x:c r="F3428" s="2"/>
      <x:c r="G3428" s="2"/>
    </x:row>
    <x:row r="3429">
      <x:c r="B3429" s="2"/>
      <x:c r="C3429" s="2"/>
      <x:c r="D3429" s="2"/>
      <x:c r="E3429" s="2"/>
      <x:c r="F3429" s="2"/>
      <x:c r="G3429" s="2"/>
    </x:row>
    <x:row r="3430">
      <x:c r="B3430" s="2"/>
      <x:c r="C3430" s="2"/>
      <x:c r="D3430" s="2"/>
      <x:c r="E3430" s="2"/>
      <x:c r="F3430" s="2"/>
      <x:c r="G3430" s="2"/>
    </x:row>
    <x:row r="3431">
      <x:c r="B3431" s="2"/>
      <x:c r="C3431" s="2"/>
      <x:c r="D3431" s="2"/>
      <x:c r="E3431" s="2"/>
      <x:c r="F3431" s="2"/>
      <x:c r="G3431" s="2"/>
    </x:row>
    <x:row r="3432">
      <x:c r="B3432" s="2"/>
      <x:c r="C3432" s="2"/>
      <x:c r="D3432" s="2"/>
      <x:c r="E3432" s="2"/>
      <x:c r="F3432" s="2"/>
      <x:c r="G3432" s="2"/>
    </x:row>
    <x:row r="3433">
      <x:c r="B3433" s="2"/>
      <x:c r="C3433" s="2"/>
      <x:c r="D3433" s="2"/>
      <x:c r="E3433" s="2"/>
      <x:c r="F3433" s="2"/>
      <x:c r="G3433" s="2"/>
    </x:row>
    <x:row r="3434">
      <x:c r="B3434" s="2"/>
      <x:c r="C3434" s="2"/>
      <x:c r="D3434" s="2"/>
      <x:c r="E3434" s="2"/>
      <x:c r="F3434" s="2"/>
      <x:c r="G3434" s="2"/>
    </x:row>
    <x:row r="3435">
      <x:c r="B3435" s="2"/>
      <x:c r="C3435" s="2"/>
      <x:c r="D3435" s="2"/>
      <x:c r="E3435" s="2"/>
      <x:c r="F3435" s="2"/>
      <x:c r="G3435" s="2"/>
    </x:row>
    <x:row r="3436">
      <x:c r="B3436" s="2"/>
      <x:c r="C3436" s="2"/>
      <x:c r="D3436" s="2"/>
      <x:c r="E3436" s="2"/>
      <x:c r="F3436" s="2"/>
      <x:c r="G3436" s="2"/>
    </x:row>
    <x:row r="3437">
      <x:c r="B3437" s="2"/>
      <x:c r="C3437" s="2"/>
      <x:c r="D3437" s="2"/>
      <x:c r="E3437" s="2"/>
      <x:c r="F3437" s="2"/>
      <x:c r="G3437" s="2"/>
    </x:row>
    <x:row r="3438">
      <x:c r="B3438" s="2"/>
      <x:c r="C3438" s="2"/>
      <x:c r="D3438" s="2"/>
      <x:c r="E3438" s="2"/>
      <x:c r="F3438" s="2"/>
      <x:c r="G3438" s="2"/>
    </x:row>
    <x:row r="3439">
      <x:c r="B3439" s="2"/>
      <x:c r="C3439" s="2"/>
      <x:c r="D3439" s="2"/>
      <x:c r="E3439" s="2"/>
      <x:c r="F3439" s="2"/>
      <x:c r="G3439" s="2"/>
    </x:row>
    <x:row r="3440">
      <x:c r="B3440" s="2"/>
      <x:c r="C3440" s="2"/>
      <x:c r="D3440" s="2"/>
      <x:c r="E3440" s="2"/>
      <x:c r="F3440" s="2"/>
      <x:c r="G3440" s="2"/>
    </x:row>
    <x:row r="3441">
      <x:c r="B3441" s="2"/>
      <x:c r="C3441" s="2"/>
      <x:c r="D3441" s="2"/>
      <x:c r="E3441" s="2"/>
      <x:c r="F3441" s="2"/>
      <x:c r="G3441" s="2"/>
    </x:row>
    <x:row r="3442">
      <x:c r="B3442" s="2"/>
      <x:c r="C3442" s="2"/>
      <x:c r="D3442" s="2"/>
      <x:c r="E3442" s="2"/>
      <x:c r="F3442" s="2"/>
      <x:c r="G3442" s="2"/>
    </x:row>
    <x:row r="3443">
      <x:c r="B3443" s="2"/>
      <x:c r="C3443" s="2"/>
      <x:c r="D3443" s="2"/>
      <x:c r="E3443" s="2"/>
      <x:c r="F3443" s="2"/>
      <x:c r="G3443" s="2"/>
    </x:row>
    <x:row r="3444">
      <x:c r="B3444" s="2"/>
      <x:c r="C3444" s="2"/>
      <x:c r="D3444" s="2"/>
      <x:c r="E3444" s="2"/>
      <x:c r="F3444" s="2"/>
      <x:c r="G3444" s="2"/>
    </x:row>
    <x:row r="3445">
      <x:c r="B3445" s="2"/>
      <x:c r="C3445" s="2"/>
      <x:c r="D3445" s="2"/>
      <x:c r="E3445" s="2"/>
      <x:c r="F3445" s="2"/>
      <x:c r="G3445" s="2"/>
    </x:row>
    <x:row r="3446">
      <x:c r="B3446" s="2"/>
      <x:c r="C3446" s="2"/>
      <x:c r="D3446" s="2"/>
      <x:c r="E3446" s="2"/>
      <x:c r="F3446" s="2"/>
      <x:c r="G3446" s="2"/>
    </x:row>
    <x:row r="3447">
      <x:c r="B3447" s="2"/>
      <x:c r="C3447" s="2"/>
      <x:c r="D3447" s="2"/>
      <x:c r="E3447" s="2"/>
      <x:c r="F3447" s="2"/>
      <x:c r="G3447" s="2"/>
    </x:row>
    <x:row r="3448">
      <x:c r="B3448" s="2"/>
      <x:c r="C3448" s="2"/>
      <x:c r="D3448" s="2"/>
      <x:c r="E3448" s="2"/>
      <x:c r="F3448" s="2"/>
      <x:c r="G3448" s="2"/>
    </x:row>
    <x:row r="3449">
      <x:c r="B3449" s="2"/>
      <x:c r="C3449" s="2"/>
      <x:c r="D3449" s="2"/>
      <x:c r="E3449" s="2"/>
      <x:c r="F3449" s="2"/>
      <x:c r="G3449" s="2"/>
    </x:row>
    <x:row r="3450">
      <x:c r="B3450" s="2"/>
      <x:c r="C3450" s="2"/>
      <x:c r="D3450" s="2"/>
      <x:c r="E3450" s="2"/>
      <x:c r="F3450" s="2"/>
      <x:c r="G3450" s="2"/>
    </x:row>
    <x:row r="3451">
      <x:c r="B3451" s="2"/>
      <x:c r="C3451" s="2"/>
      <x:c r="D3451" s="2"/>
      <x:c r="E3451" s="2"/>
      <x:c r="F3451" s="2"/>
      <x:c r="G3451" s="2"/>
    </x:row>
    <x:row r="3452">
      <x:c r="B3452" s="2"/>
      <x:c r="C3452" s="2"/>
      <x:c r="D3452" s="2"/>
      <x:c r="E3452" s="2"/>
      <x:c r="F3452" s="2"/>
      <x:c r="G3452" s="2"/>
    </x:row>
    <x:row r="3453">
      <x:c r="B3453" s="2"/>
      <x:c r="C3453" s="2"/>
      <x:c r="D3453" s="2"/>
      <x:c r="E3453" s="2"/>
      <x:c r="F3453" s="2"/>
      <x:c r="G3453" s="2"/>
    </x:row>
    <x:row r="3454">
      <x:c r="B3454" s="2"/>
      <x:c r="C3454" s="2"/>
      <x:c r="D3454" s="2"/>
      <x:c r="E3454" s="2"/>
      <x:c r="F3454" s="2"/>
      <x:c r="G3454" s="2"/>
    </x:row>
    <x:row r="3455">
      <x:c r="B3455" s="2"/>
      <x:c r="C3455" s="2"/>
      <x:c r="D3455" s="2"/>
      <x:c r="E3455" s="2"/>
      <x:c r="F3455" s="2"/>
      <x:c r="G3455" s="2"/>
    </x:row>
    <x:row r="3456">
      <x:c r="B3456" s="2"/>
      <x:c r="C3456" s="2"/>
      <x:c r="D3456" s="2"/>
      <x:c r="E3456" s="2"/>
      <x:c r="F3456" s="2"/>
      <x:c r="G3456" s="2"/>
    </x:row>
    <x:row r="3457">
      <x:c r="B3457" s="2"/>
      <x:c r="C3457" s="2"/>
      <x:c r="D3457" s="2"/>
      <x:c r="E3457" s="2"/>
      <x:c r="F3457" s="2"/>
      <x:c r="G3457" s="2"/>
    </x:row>
    <x:row r="3458">
      <x:c r="B3458" s="2"/>
      <x:c r="C3458" s="2"/>
      <x:c r="D3458" s="2"/>
      <x:c r="E3458" s="2"/>
      <x:c r="F3458" s="2"/>
      <x:c r="G3458" s="2"/>
    </x:row>
    <x:row r="3459">
      <x:c r="B3459" s="2"/>
      <x:c r="C3459" s="2"/>
      <x:c r="D3459" s="2"/>
      <x:c r="E3459" s="2"/>
      <x:c r="F3459" s="2"/>
      <x:c r="G3459" s="2"/>
    </x:row>
    <x:row r="3460">
      <x:c r="B3460" s="2"/>
      <x:c r="C3460" s="2"/>
      <x:c r="D3460" s="2"/>
      <x:c r="E3460" s="2"/>
      <x:c r="F3460" s="2"/>
      <x:c r="G3460" s="2"/>
    </x:row>
    <x:row r="3461">
      <x:c r="B3461" s="2"/>
      <x:c r="C3461" s="2"/>
      <x:c r="D3461" s="2"/>
      <x:c r="E3461" s="2"/>
      <x:c r="F3461" s="2"/>
      <x:c r="G3461" s="2"/>
    </x:row>
    <x:row r="3462">
      <x:c r="B3462" s="2"/>
      <x:c r="C3462" s="2"/>
      <x:c r="D3462" s="2"/>
      <x:c r="E3462" s="2"/>
      <x:c r="F3462" s="2"/>
      <x:c r="G3462" s="2"/>
    </x:row>
    <x:row r="3463">
      <x:c r="B3463" s="2"/>
      <x:c r="C3463" s="2"/>
      <x:c r="D3463" s="2"/>
      <x:c r="E3463" s="2"/>
      <x:c r="F3463" s="2"/>
      <x:c r="G3463" s="2"/>
    </x:row>
    <x:row r="3464">
      <x:c r="B3464" s="2"/>
      <x:c r="C3464" s="2"/>
      <x:c r="D3464" s="2"/>
      <x:c r="E3464" s="2"/>
      <x:c r="F3464" s="2"/>
      <x:c r="G3464" s="2"/>
    </x:row>
    <x:row r="3465">
      <x:c r="B3465" s="2"/>
      <x:c r="C3465" s="2"/>
      <x:c r="D3465" s="2"/>
      <x:c r="E3465" s="2"/>
      <x:c r="F3465" s="2"/>
      <x:c r="G3465" s="2"/>
    </x:row>
    <x:row r="3466">
      <x:c r="B3466" s="2"/>
      <x:c r="C3466" s="2"/>
      <x:c r="D3466" s="2"/>
      <x:c r="E3466" s="2"/>
      <x:c r="F3466" s="2"/>
      <x:c r="G3466" s="2"/>
    </x:row>
    <x:row r="3467">
      <x:c r="B3467" s="2"/>
      <x:c r="C3467" s="2"/>
      <x:c r="D3467" s="2"/>
      <x:c r="E3467" s="2"/>
      <x:c r="F3467" s="2"/>
      <x:c r="G3467" s="2"/>
    </x:row>
    <x:row r="3468">
      <x:c r="B3468" s="2"/>
      <x:c r="C3468" s="2"/>
      <x:c r="D3468" s="2"/>
      <x:c r="E3468" s="2"/>
      <x:c r="F3468" s="2"/>
      <x:c r="G3468" s="2"/>
    </x:row>
    <x:row r="3469">
      <x:c r="B3469" s="2"/>
      <x:c r="C3469" s="2"/>
      <x:c r="D3469" s="2"/>
      <x:c r="E3469" s="2"/>
      <x:c r="F3469" s="2"/>
      <x:c r="G3469" s="2"/>
    </x:row>
    <x:row r="3470">
      <x:c r="B3470" s="2"/>
      <x:c r="C3470" s="2"/>
      <x:c r="D3470" s="2"/>
      <x:c r="E3470" s="2"/>
      <x:c r="F3470" s="2"/>
      <x:c r="G3470" s="2"/>
    </x:row>
    <x:row r="3471">
      <x:c r="B3471" s="2"/>
      <x:c r="C3471" s="2"/>
      <x:c r="D3471" s="2"/>
      <x:c r="E3471" s="2"/>
      <x:c r="F3471" s="2"/>
      <x:c r="G3471" s="2"/>
    </x:row>
    <x:row r="3472">
      <x:c r="B3472" s="2"/>
      <x:c r="C3472" s="2"/>
      <x:c r="D3472" s="2"/>
      <x:c r="E3472" s="2"/>
      <x:c r="F3472" s="2"/>
      <x:c r="G3472" s="2"/>
    </x:row>
    <x:row r="3473">
      <x:c r="B3473" s="2"/>
      <x:c r="C3473" s="2"/>
      <x:c r="D3473" s="2"/>
      <x:c r="E3473" s="2"/>
      <x:c r="F3473" s="2"/>
      <x:c r="G3473" s="2"/>
    </x:row>
    <x:row r="3474">
      <x:c r="B3474" s="2"/>
      <x:c r="C3474" s="2"/>
      <x:c r="D3474" s="2"/>
      <x:c r="E3474" s="2"/>
      <x:c r="F3474" s="2"/>
      <x:c r="G3474" s="2"/>
    </x:row>
    <x:row r="3475">
      <x:c r="B3475" s="2"/>
      <x:c r="C3475" s="2"/>
      <x:c r="D3475" s="2"/>
      <x:c r="E3475" s="2"/>
      <x:c r="F3475" s="2"/>
      <x:c r="G3475" s="2"/>
    </x:row>
    <x:row r="3476">
      <x:c r="B3476" s="2"/>
      <x:c r="C3476" s="2"/>
      <x:c r="D3476" s="2"/>
      <x:c r="E3476" s="2"/>
      <x:c r="F3476" s="2"/>
      <x:c r="G3476" s="2"/>
    </x:row>
    <x:row r="3477">
      <x:c r="B3477" s="2"/>
      <x:c r="C3477" s="2"/>
      <x:c r="D3477" s="2"/>
      <x:c r="E3477" s="2"/>
      <x:c r="F3477" s="2"/>
      <x:c r="G3477" s="2"/>
    </x:row>
    <x:row r="3478">
      <x:c r="B3478" s="2"/>
      <x:c r="C3478" s="2"/>
      <x:c r="D3478" s="2"/>
      <x:c r="E3478" s="2"/>
      <x:c r="F3478" s="2"/>
      <x:c r="G3478" s="2"/>
    </x:row>
    <x:row r="3479">
      <x:c r="B3479" s="2"/>
      <x:c r="C3479" s="2"/>
      <x:c r="D3479" s="2"/>
      <x:c r="E3479" s="2"/>
      <x:c r="F3479" s="2"/>
      <x:c r="G3479" s="2"/>
    </x:row>
    <x:row r="3480">
      <x:c r="B3480" s="2"/>
      <x:c r="C3480" s="2"/>
      <x:c r="D3480" s="2"/>
      <x:c r="E3480" s="2"/>
      <x:c r="F3480" s="2"/>
      <x:c r="G3480" s="2"/>
    </x:row>
    <x:row r="3481">
      <x:c r="B3481" s="2"/>
      <x:c r="C3481" s="2"/>
      <x:c r="D3481" s="2"/>
      <x:c r="E3481" s="2"/>
      <x:c r="F3481" s="2"/>
      <x:c r="G3481" s="2"/>
    </x:row>
    <x:row r="3482">
      <x:c r="B3482" s="2"/>
      <x:c r="C3482" s="2"/>
      <x:c r="D3482" s="2"/>
      <x:c r="E3482" s="2"/>
      <x:c r="F3482" s="2"/>
      <x:c r="G3482" s="2"/>
    </x:row>
    <x:row r="3483">
      <x:c r="B3483" s="2"/>
      <x:c r="C3483" s="2"/>
      <x:c r="D3483" s="2"/>
      <x:c r="E3483" s="2"/>
      <x:c r="F3483" s="2"/>
      <x:c r="G3483" s="2"/>
    </x:row>
    <x:row r="3484">
      <x:c r="B3484" s="2"/>
      <x:c r="C3484" s="2"/>
      <x:c r="D3484" s="2"/>
      <x:c r="E3484" s="2"/>
      <x:c r="F3484" s="2"/>
      <x:c r="G3484" s="2"/>
    </x:row>
    <x:row r="3485">
      <x:c r="B3485" s="2"/>
      <x:c r="C3485" s="2"/>
      <x:c r="D3485" s="2"/>
      <x:c r="E3485" s="2"/>
      <x:c r="F3485" s="2"/>
      <x:c r="G3485" s="2"/>
    </x:row>
    <x:row r="3486">
      <x:c r="B3486" s="2"/>
      <x:c r="C3486" s="2"/>
      <x:c r="D3486" s="2"/>
      <x:c r="E3486" s="2"/>
      <x:c r="F3486" s="2"/>
      <x:c r="G3486" s="2"/>
    </x:row>
    <x:row r="3487">
      <x:c r="B3487" s="2"/>
      <x:c r="C3487" s="2"/>
      <x:c r="D3487" s="2"/>
      <x:c r="E3487" s="2"/>
      <x:c r="F3487" s="2"/>
      <x:c r="G3487" s="2"/>
    </x:row>
    <x:row r="3488">
      <x:c r="B3488" s="2"/>
      <x:c r="C3488" s="2"/>
      <x:c r="D3488" s="2"/>
      <x:c r="E3488" s="2"/>
      <x:c r="F3488" s="2"/>
      <x:c r="G3488" s="2"/>
    </x:row>
    <x:row r="3489">
      <x:c r="B3489" s="2"/>
      <x:c r="C3489" s="2"/>
      <x:c r="D3489" s="2"/>
      <x:c r="E3489" s="2"/>
      <x:c r="F3489" s="2"/>
      <x:c r="G3489" s="2"/>
    </x:row>
    <x:row r="3490">
      <x:c r="B3490" s="2"/>
      <x:c r="C3490" s="2"/>
      <x:c r="D3490" s="2"/>
      <x:c r="E3490" s="2"/>
      <x:c r="F3490" s="2"/>
      <x:c r="G3490" s="2"/>
    </x:row>
    <x:row r="3491">
      <x:c r="B3491" s="2"/>
      <x:c r="C3491" s="2"/>
      <x:c r="D3491" s="2"/>
      <x:c r="E3491" s="2"/>
      <x:c r="F3491" s="2"/>
      <x:c r="G3491" s="2"/>
    </x:row>
    <x:row r="3492">
      <x:c r="B3492" s="2"/>
      <x:c r="C3492" s="2"/>
      <x:c r="D3492" s="2"/>
      <x:c r="E3492" s="2"/>
      <x:c r="F3492" s="2"/>
      <x:c r="G3492" s="2"/>
    </x:row>
    <x:row r="3493">
      <x:c r="B3493" s="2"/>
      <x:c r="C3493" s="2"/>
      <x:c r="D3493" s="2"/>
      <x:c r="E3493" s="2"/>
      <x:c r="F3493" s="2"/>
      <x:c r="G3493" s="2"/>
    </x:row>
    <x:row r="3494">
      <x:c r="B3494" s="2"/>
      <x:c r="C3494" s="2"/>
      <x:c r="D3494" s="2"/>
      <x:c r="E3494" s="2"/>
      <x:c r="F3494" s="2"/>
      <x:c r="G3494" s="2"/>
    </x:row>
    <x:row r="3495">
      <x:c r="B3495" s="2"/>
      <x:c r="C3495" s="2"/>
      <x:c r="D3495" s="2"/>
      <x:c r="E3495" s="2"/>
      <x:c r="F3495" s="2"/>
      <x:c r="G3495" s="2"/>
    </x:row>
    <x:row r="3496">
      <x:c r="B3496" s="2"/>
      <x:c r="C3496" s="2"/>
      <x:c r="D3496" s="2"/>
      <x:c r="E3496" s="2"/>
      <x:c r="F3496" s="2"/>
      <x:c r="G3496" s="2"/>
    </x:row>
    <x:row r="3497">
      <x:c r="B3497" s="2"/>
      <x:c r="C3497" s="2"/>
      <x:c r="D3497" s="2"/>
      <x:c r="E3497" s="2"/>
      <x:c r="F3497" s="2"/>
      <x:c r="G3497" s="2"/>
    </x:row>
    <x:row r="3498">
      <x:c r="B3498" s="2"/>
      <x:c r="C3498" s="2"/>
      <x:c r="D3498" s="2"/>
      <x:c r="E3498" s="2"/>
      <x:c r="F3498" s="2"/>
      <x:c r="G3498" s="2"/>
    </x:row>
    <x:row r="3499">
      <x:c r="B3499" s="2"/>
      <x:c r="C3499" s="2"/>
      <x:c r="D3499" s="2"/>
      <x:c r="E3499" s="2"/>
      <x:c r="F3499" s="2"/>
      <x:c r="G3499" s="2"/>
    </x:row>
    <x:row r="3500">
      <x:c r="B3500" s="2"/>
      <x:c r="C3500" s="2"/>
      <x:c r="D3500" s="2"/>
      <x:c r="E3500" s="2"/>
      <x:c r="F3500" s="2"/>
      <x:c r="G3500" s="2"/>
    </x:row>
    <x:row r="3501">
      <x:c r="B3501" s="2"/>
      <x:c r="C3501" s="2"/>
      <x:c r="D3501" s="2"/>
      <x:c r="E3501" s="2"/>
      <x:c r="F3501" s="2"/>
      <x:c r="G3501" s="2"/>
    </x:row>
    <x:row r="3502">
      <x:c r="B3502" s="2"/>
      <x:c r="C3502" s="2"/>
      <x:c r="D3502" s="2"/>
      <x:c r="E3502" s="2"/>
      <x:c r="F3502" s="2"/>
      <x:c r="G3502" s="2"/>
    </x:row>
    <x:row r="3503">
      <x:c r="B3503" s="2"/>
      <x:c r="C3503" s="2"/>
      <x:c r="D3503" s="2"/>
      <x:c r="E3503" s="2"/>
      <x:c r="F3503" s="2"/>
      <x:c r="G3503" s="2"/>
    </x:row>
    <x:row r="3504">
      <x:c r="B3504" s="2"/>
      <x:c r="C3504" s="2"/>
      <x:c r="D3504" s="2"/>
      <x:c r="E3504" s="2"/>
      <x:c r="F3504" s="2"/>
      <x:c r="G3504" s="2"/>
    </x:row>
    <x:row r="3505">
      <x:c r="B3505" s="2"/>
      <x:c r="C3505" s="2"/>
      <x:c r="D3505" s="2"/>
      <x:c r="E3505" s="2"/>
      <x:c r="F3505" s="2"/>
      <x:c r="G3505" s="2"/>
    </x:row>
    <x:row r="3506">
      <x:c r="B3506" s="2"/>
      <x:c r="C3506" s="2"/>
      <x:c r="D3506" s="2"/>
      <x:c r="E3506" s="2"/>
      <x:c r="F3506" s="2"/>
      <x:c r="G3506" s="2"/>
    </x:row>
    <x:row r="3507">
      <x:c r="B3507" s="2"/>
      <x:c r="C3507" s="2"/>
      <x:c r="D3507" s="2"/>
      <x:c r="E3507" s="2"/>
      <x:c r="F3507" s="2"/>
      <x:c r="G3507" s="2"/>
    </x:row>
    <x:row r="3508">
      <x:c r="B3508" s="2"/>
      <x:c r="C3508" s="2"/>
      <x:c r="D3508" s="2"/>
      <x:c r="E3508" s="2"/>
      <x:c r="F3508" s="2"/>
      <x:c r="G3508" s="2"/>
    </x:row>
    <x:row r="3509">
      <x:c r="B3509" s="2"/>
      <x:c r="C3509" s="2"/>
      <x:c r="D3509" s="2"/>
      <x:c r="E3509" s="2"/>
      <x:c r="F3509" s="2"/>
      <x:c r="G3509" s="2"/>
    </x:row>
    <x:row r="3510">
      <x:c r="B3510" s="2"/>
      <x:c r="C3510" s="2"/>
      <x:c r="D3510" s="2"/>
      <x:c r="E3510" s="2"/>
      <x:c r="F3510" s="2"/>
      <x:c r="G3510" s="2"/>
    </x:row>
    <x:row r="3511">
      <x:c r="B3511" s="2"/>
      <x:c r="C3511" s="2"/>
      <x:c r="D3511" s="2"/>
      <x:c r="E3511" s="2"/>
      <x:c r="F3511" s="2"/>
      <x:c r="G3511" s="2"/>
    </x:row>
    <x:row r="3512">
      <x:c r="B3512" s="2"/>
      <x:c r="C3512" s="2"/>
      <x:c r="D3512" s="2"/>
      <x:c r="E3512" s="2"/>
      <x:c r="F3512" s="2"/>
      <x:c r="G3512" s="2"/>
    </x:row>
    <x:row r="3513">
      <x:c r="B3513" s="2"/>
      <x:c r="C3513" s="2"/>
      <x:c r="D3513" s="2"/>
      <x:c r="E3513" s="2"/>
      <x:c r="F3513" s="2"/>
      <x:c r="G3513" s="2"/>
    </x:row>
    <x:row r="3514">
      <x:c r="B3514" s="2"/>
      <x:c r="C3514" s="2"/>
      <x:c r="D3514" s="2"/>
      <x:c r="E3514" s="2"/>
      <x:c r="F3514" s="2"/>
      <x:c r="G3514" s="2"/>
    </x:row>
    <x:row r="3515">
      <x:c r="B3515" s="2"/>
      <x:c r="C3515" s="2"/>
      <x:c r="D3515" s="2"/>
      <x:c r="E3515" s="2"/>
      <x:c r="F3515" s="2"/>
      <x:c r="G3515" s="2"/>
    </x:row>
    <x:row r="3516">
      <x:c r="B3516" s="2"/>
      <x:c r="C3516" s="2"/>
      <x:c r="D3516" s="2"/>
      <x:c r="E3516" s="2"/>
      <x:c r="F3516" s="2"/>
      <x:c r="G3516" s="2"/>
    </x:row>
    <x:row r="3517">
      <x:c r="B3517" s="2"/>
      <x:c r="C3517" s="2"/>
      <x:c r="D3517" s="2"/>
      <x:c r="E3517" s="2"/>
      <x:c r="F3517" s="2"/>
      <x:c r="G3517" s="2"/>
    </x:row>
    <x:row r="3518">
      <x:c r="B3518" s="2"/>
      <x:c r="C3518" s="2"/>
      <x:c r="D3518" s="2"/>
      <x:c r="E3518" s="2"/>
      <x:c r="F3518" s="2"/>
      <x:c r="G3518" s="2"/>
    </x:row>
    <x:row r="3519">
      <x:c r="B3519" s="2"/>
      <x:c r="C3519" s="2"/>
      <x:c r="D3519" s="2"/>
      <x:c r="E3519" s="2"/>
      <x:c r="F3519" s="2"/>
      <x:c r="G3519" s="2"/>
    </x:row>
    <x:row r="3520">
      <x:c r="B3520" s="2"/>
      <x:c r="C3520" s="2"/>
      <x:c r="D3520" s="2"/>
      <x:c r="E3520" s="2"/>
      <x:c r="F3520" s="2"/>
      <x:c r="G3520" s="2"/>
    </x:row>
    <x:row r="3521">
      <x:c r="B3521" s="2"/>
      <x:c r="C3521" s="2"/>
      <x:c r="D3521" s="2"/>
      <x:c r="E3521" s="2"/>
      <x:c r="F3521" s="2"/>
      <x:c r="G3521" s="2"/>
    </x:row>
    <x:row r="3522">
      <x:c r="B3522" s="2"/>
      <x:c r="C3522" s="2"/>
      <x:c r="D3522" s="2"/>
      <x:c r="E3522" s="2"/>
      <x:c r="F3522" s="2"/>
      <x:c r="G3522" s="2"/>
    </x:row>
    <x:row r="3523">
      <x:c r="B3523" s="2"/>
      <x:c r="C3523" s="2"/>
      <x:c r="D3523" s="2"/>
      <x:c r="E3523" s="2"/>
      <x:c r="F3523" s="2"/>
      <x:c r="G3523" s="2"/>
    </x:row>
    <x:row r="3524">
      <x:c r="B3524" s="2"/>
      <x:c r="C3524" s="2"/>
      <x:c r="D3524" s="2"/>
      <x:c r="E3524" s="2"/>
      <x:c r="F3524" s="2"/>
      <x:c r="G3524" s="2"/>
    </x:row>
    <x:row r="3525">
      <x:c r="B3525" s="2"/>
      <x:c r="C3525" s="2"/>
      <x:c r="D3525" s="2"/>
      <x:c r="E3525" s="2"/>
      <x:c r="F3525" s="2"/>
      <x:c r="G3525" s="2"/>
    </x:row>
    <x:row r="3526">
      <x:c r="B3526" s="2"/>
      <x:c r="C3526" s="2"/>
      <x:c r="D3526" s="2"/>
      <x:c r="E3526" s="2"/>
      <x:c r="F3526" s="2"/>
      <x:c r="G3526" s="2"/>
    </x:row>
    <x:row r="3527">
      <x:c r="B3527" s="2"/>
      <x:c r="C3527" s="2"/>
      <x:c r="D3527" s="2"/>
      <x:c r="E3527" s="2"/>
      <x:c r="F3527" s="2"/>
      <x:c r="G3527" s="2"/>
    </x:row>
    <x:row r="3528">
      <x:c r="B3528" s="2"/>
      <x:c r="C3528" s="2"/>
      <x:c r="D3528" s="2"/>
      <x:c r="E3528" s="2"/>
      <x:c r="F3528" s="2"/>
      <x:c r="G3528" s="2"/>
    </x:row>
    <x:row r="3529">
      <x:c r="B3529" s="2"/>
      <x:c r="C3529" s="2"/>
      <x:c r="D3529" s="2"/>
      <x:c r="E3529" s="2"/>
      <x:c r="F3529" s="2"/>
      <x:c r="G3529" s="2"/>
    </x:row>
    <x:row r="3530">
      <x:c r="B3530" s="2"/>
      <x:c r="C3530" s="2"/>
      <x:c r="D3530" s="2"/>
      <x:c r="E3530" s="2"/>
      <x:c r="F3530" s="2"/>
      <x:c r="G3530" s="2"/>
    </x:row>
    <x:row r="3531">
      <x:c r="B3531" s="2"/>
      <x:c r="C3531" s="2"/>
      <x:c r="D3531" s="2"/>
      <x:c r="E3531" s="2"/>
      <x:c r="F3531" s="2"/>
      <x:c r="G3531" s="2"/>
    </x:row>
    <x:row r="3532">
      <x:c r="B3532" s="2"/>
      <x:c r="C3532" s="2"/>
      <x:c r="D3532" s="2"/>
      <x:c r="E3532" s="2"/>
      <x:c r="F3532" s="2"/>
      <x:c r="G3532" s="2"/>
    </x:row>
    <x:row r="3533">
      <x:c r="B3533" s="2"/>
      <x:c r="C3533" s="2"/>
      <x:c r="D3533" s="2"/>
      <x:c r="E3533" s="2"/>
      <x:c r="F3533" s="2"/>
      <x:c r="G3533" s="2"/>
    </x:row>
    <x:row r="3534">
      <x:c r="B3534" s="2"/>
      <x:c r="C3534" s="2"/>
      <x:c r="D3534" s="2"/>
      <x:c r="E3534" s="2"/>
      <x:c r="F3534" s="2"/>
      <x:c r="G3534" s="2"/>
    </x:row>
    <x:row r="3535">
      <x:c r="B3535" s="2"/>
      <x:c r="C3535" s="2"/>
      <x:c r="D3535" s="2"/>
      <x:c r="E3535" s="2"/>
      <x:c r="F3535" s="2"/>
      <x:c r="G3535" s="2"/>
    </x:row>
    <x:row r="3536">
      <x:c r="B3536" s="2"/>
      <x:c r="C3536" s="2"/>
      <x:c r="D3536" s="2"/>
      <x:c r="E3536" s="2"/>
      <x:c r="F3536" s="2"/>
      <x:c r="G3536" s="2"/>
    </x:row>
    <x:row r="3537">
      <x:c r="B3537" s="2"/>
      <x:c r="C3537" s="2"/>
      <x:c r="D3537" s="2"/>
      <x:c r="E3537" s="2"/>
      <x:c r="F3537" s="2"/>
      <x:c r="G3537" s="2"/>
    </x:row>
    <x:row r="3538">
      <x:c r="B3538" s="2"/>
      <x:c r="C3538" s="2"/>
      <x:c r="D3538" s="2"/>
      <x:c r="E3538" s="2"/>
      <x:c r="F3538" s="2"/>
      <x:c r="G3538" s="2"/>
    </x:row>
    <x:row r="3539">
      <x:c r="B3539" s="2"/>
      <x:c r="C3539" s="2"/>
      <x:c r="D3539" s="2"/>
      <x:c r="E3539" s="2"/>
      <x:c r="F3539" s="2"/>
      <x:c r="G3539" s="2"/>
    </x:row>
    <x:row r="3540">
      <x:c r="B3540" s="2"/>
      <x:c r="C3540" s="2"/>
      <x:c r="D3540" s="2"/>
      <x:c r="E3540" s="2"/>
      <x:c r="F3540" s="2"/>
      <x:c r="G3540" s="2"/>
    </x:row>
    <x:row r="3541">
      <x:c r="B3541" s="2"/>
      <x:c r="C3541" s="2"/>
      <x:c r="D3541" s="2"/>
      <x:c r="E3541" s="2"/>
      <x:c r="F3541" s="2"/>
      <x:c r="G3541" s="2"/>
    </x:row>
    <x:row r="3542">
      <x:c r="B3542" s="2"/>
      <x:c r="C3542" s="2"/>
      <x:c r="D3542" s="2"/>
      <x:c r="E3542" s="2"/>
      <x:c r="F3542" s="2"/>
      <x:c r="G3542" s="2"/>
    </x:row>
    <x:row r="3543">
      <x:c r="B3543" s="2"/>
      <x:c r="C3543" s="2"/>
      <x:c r="D3543" s="2"/>
      <x:c r="E3543" s="2"/>
      <x:c r="F3543" s="2"/>
      <x:c r="G3543" s="2"/>
    </x:row>
    <x:row r="3544">
      <x:c r="B3544" s="2"/>
      <x:c r="C3544" s="2"/>
      <x:c r="D3544" s="2"/>
      <x:c r="E3544" s="2"/>
      <x:c r="F3544" s="2"/>
      <x:c r="G3544" s="2"/>
    </x:row>
    <x:row r="3545">
      <x:c r="B3545" s="2"/>
      <x:c r="C3545" s="2"/>
      <x:c r="D3545" s="2"/>
      <x:c r="E3545" s="2"/>
      <x:c r="F3545" s="2"/>
      <x:c r="G3545" s="2"/>
    </x:row>
    <x:row r="3546">
      <x:c r="B3546" s="2"/>
      <x:c r="C3546" s="2"/>
      <x:c r="D3546" s="2"/>
      <x:c r="E3546" s="2"/>
      <x:c r="F3546" s="2"/>
      <x:c r="G3546" s="2"/>
    </x:row>
    <x:row r="3547">
      <x:c r="B3547" s="2"/>
      <x:c r="C3547" s="2"/>
      <x:c r="D3547" s="2"/>
      <x:c r="E3547" s="2"/>
      <x:c r="F3547" s="2"/>
      <x:c r="G3547" s="2"/>
    </x:row>
    <x:row r="3548">
      <x:c r="B3548" s="2"/>
      <x:c r="C3548" s="2"/>
      <x:c r="D3548" s="2"/>
      <x:c r="E3548" s="2"/>
      <x:c r="F3548" s="2"/>
      <x:c r="G3548" s="2"/>
    </x:row>
    <x:row r="3549">
      <x:c r="B3549" s="2"/>
      <x:c r="C3549" s="2"/>
      <x:c r="D3549" s="2"/>
      <x:c r="E3549" s="2"/>
      <x:c r="F3549" s="2"/>
      <x:c r="G3549" s="2"/>
    </x:row>
    <x:row r="3550">
      <x:c r="B3550" s="2"/>
      <x:c r="C3550" s="2"/>
      <x:c r="D3550" s="2"/>
      <x:c r="E3550" s="2"/>
      <x:c r="F3550" s="2"/>
      <x:c r="G3550" s="2"/>
    </x:row>
    <x:row r="3551">
      <x:c r="B3551" s="2"/>
      <x:c r="C3551" s="2"/>
      <x:c r="D3551" s="2"/>
      <x:c r="E3551" s="2"/>
      <x:c r="F3551" s="2"/>
      <x:c r="G3551" s="2"/>
    </x:row>
    <x:row r="3552">
      <x:c r="B3552" s="2"/>
      <x:c r="C3552" s="2"/>
      <x:c r="D3552" s="2"/>
      <x:c r="E3552" s="2"/>
      <x:c r="F3552" s="2"/>
      <x:c r="G3552" s="2"/>
    </x:row>
    <x:row r="3553">
      <x:c r="B3553" s="2"/>
      <x:c r="C3553" s="2"/>
      <x:c r="D3553" s="2"/>
      <x:c r="E3553" s="2"/>
      <x:c r="F3553" s="2"/>
      <x:c r="G3553" s="2"/>
    </x:row>
    <x:row r="3554">
      <x:c r="B3554" s="2"/>
      <x:c r="C3554" s="2"/>
      <x:c r="D3554" s="2"/>
      <x:c r="E3554" s="2"/>
      <x:c r="F3554" s="2"/>
      <x:c r="G3554" s="2"/>
    </x:row>
    <x:row r="3555">
      <x:c r="B3555" s="2"/>
      <x:c r="C3555" s="2"/>
      <x:c r="D3555" s="2"/>
      <x:c r="E3555" s="2"/>
      <x:c r="F3555" s="2"/>
      <x:c r="G3555" s="2"/>
    </x:row>
    <x:row r="3556">
      <x:c r="B3556" s="2"/>
      <x:c r="C3556" s="2"/>
      <x:c r="D3556" s="2"/>
      <x:c r="E3556" s="2"/>
      <x:c r="F3556" s="2"/>
      <x:c r="G3556" s="2"/>
    </x:row>
    <x:row r="3557">
      <x:c r="B3557" s="2"/>
      <x:c r="C3557" s="2"/>
      <x:c r="D3557" s="2"/>
      <x:c r="E3557" s="2"/>
      <x:c r="F3557" s="2"/>
      <x:c r="G3557" s="2"/>
    </x:row>
    <x:row r="3558">
      <x:c r="B3558" s="2"/>
      <x:c r="C3558" s="2"/>
      <x:c r="D3558" s="2"/>
      <x:c r="E3558" s="2"/>
      <x:c r="F3558" s="2"/>
      <x:c r="G3558" s="2"/>
    </x:row>
    <x:row r="3559">
      <x:c r="B3559" s="2"/>
      <x:c r="C3559" s="2"/>
      <x:c r="D3559" s="2"/>
      <x:c r="E3559" s="2"/>
      <x:c r="F3559" s="2"/>
      <x:c r="G3559" s="2"/>
    </x:row>
    <x:row r="3560">
      <x:c r="B3560" s="2"/>
      <x:c r="C3560" s="2"/>
      <x:c r="D3560" s="2"/>
      <x:c r="E3560" s="2"/>
      <x:c r="F3560" s="2"/>
      <x:c r="G3560" s="2"/>
    </x:row>
    <x:row r="3561">
      <x:c r="B3561" s="2"/>
      <x:c r="C3561" s="2"/>
      <x:c r="D3561" s="2"/>
      <x:c r="E3561" s="2"/>
      <x:c r="F3561" s="2"/>
      <x:c r="G3561" s="2"/>
    </x:row>
    <x:row r="3562">
      <x:c r="B3562" s="2"/>
      <x:c r="C3562" s="2"/>
      <x:c r="D3562" s="2"/>
      <x:c r="E3562" s="2"/>
      <x:c r="F3562" s="2"/>
      <x:c r="G3562" s="2"/>
    </x:row>
    <x:row r="3563">
      <x:c r="B3563" s="2"/>
      <x:c r="C3563" s="2"/>
      <x:c r="D3563" s="2"/>
      <x:c r="E3563" s="2"/>
      <x:c r="F3563" s="2"/>
      <x:c r="G3563" s="2"/>
    </x:row>
    <x:row r="3564">
      <x:c r="B3564" s="2"/>
      <x:c r="C3564" s="2"/>
      <x:c r="D3564" s="2"/>
      <x:c r="E3564" s="2"/>
      <x:c r="F3564" s="2"/>
      <x:c r="G3564" s="2"/>
    </x:row>
    <x:row r="3565">
      <x:c r="B3565" s="2"/>
      <x:c r="C3565" s="2"/>
      <x:c r="D3565" s="2"/>
      <x:c r="E3565" s="2"/>
      <x:c r="F3565" s="2"/>
      <x:c r="G3565" s="2"/>
    </x:row>
    <x:row r="3566">
      <x:c r="B3566" s="2"/>
      <x:c r="C3566" s="2"/>
      <x:c r="D3566" s="2"/>
      <x:c r="E3566" s="2"/>
      <x:c r="F3566" s="2"/>
      <x:c r="G3566" s="2"/>
    </x:row>
    <x:row r="3567">
      <x:c r="B3567" s="2"/>
      <x:c r="C3567" s="2"/>
      <x:c r="D3567" s="2"/>
      <x:c r="E3567" s="2"/>
      <x:c r="F3567" s="2"/>
      <x:c r="G3567" s="2"/>
    </x:row>
    <x:row r="3568">
      <x:c r="B3568" s="2"/>
      <x:c r="C3568" s="2"/>
      <x:c r="D3568" s="2"/>
      <x:c r="E3568" s="2"/>
      <x:c r="F3568" s="2"/>
      <x:c r="G3568" s="2"/>
    </x:row>
    <x:row r="3569">
      <x:c r="B3569" s="2"/>
      <x:c r="C3569" s="2"/>
      <x:c r="D3569" s="2"/>
      <x:c r="E3569" s="2"/>
      <x:c r="F3569" s="2"/>
      <x:c r="G3569" s="2"/>
    </x:row>
    <x:row r="3570">
      <x:c r="B3570" s="2"/>
      <x:c r="C3570" s="2"/>
      <x:c r="D3570" s="2"/>
      <x:c r="E3570" s="2"/>
      <x:c r="F3570" s="2"/>
      <x:c r="G3570" s="2"/>
    </x:row>
    <x:row r="3571">
      <x:c r="B3571" s="2"/>
      <x:c r="C3571" s="2"/>
      <x:c r="D3571" s="2"/>
      <x:c r="E3571" s="2"/>
      <x:c r="F3571" s="2"/>
      <x:c r="G3571" s="2"/>
    </x:row>
    <x:row r="3572">
      <x:c r="B3572" s="2"/>
      <x:c r="C3572" s="2"/>
      <x:c r="D3572" s="2"/>
      <x:c r="E3572" s="2"/>
      <x:c r="F3572" s="2"/>
      <x:c r="G3572" s="2"/>
    </x:row>
    <x:row r="3573">
      <x:c r="B3573" s="2"/>
      <x:c r="C3573" s="2"/>
      <x:c r="D3573" s="2"/>
      <x:c r="E3573" s="2"/>
      <x:c r="F3573" s="2"/>
      <x:c r="G3573" s="2"/>
    </x:row>
    <x:row r="3574">
      <x:c r="B3574" s="2"/>
      <x:c r="C3574" s="2"/>
      <x:c r="D3574" s="2"/>
      <x:c r="E3574" s="2"/>
      <x:c r="F3574" s="2"/>
      <x:c r="G3574" s="2"/>
    </x:row>
    <x:row r="3575">
      <x:c r="B3575" s="2"/>
      <x:c r="C3575" s="2"/>
      <x:c r="D3575" s="2"/>
      <x:c r="E3575" s="2"/>
      <x:c r="F3575" s="2"/>
      <x:c r="G3575" s="2"/>
    </x:row>
    <x:row r="3576">
      <x:c r="B3576" s="2"/>
      <x:c r="C3576" s="2"/>
      <x:c r="D3576" s="2"/>
      <x:c r="E3576" s="2"/>
      <x:c r="F3576" s="2"/>
      <x:c r="G3576" s="2"/>
    </x:row>
    <x:row r="3577">
      <x:c r="B3577" s="2"/>
      <x:c r="C3577" s="2"/>
      <x:c r="D3577" s="2"/>
      <x:c r="E3577" s="2"/>
      <x:c r="F3577" s="2"/>
      <x:c r="G3577" s="2"/>
    </x:row>
    <x:row r="3578">
      <x:c r="B3578" s="2"/>
      <x:c r="C3578" s="2"/>
      <x:c r="D3578" s="2"/>
      <x:c r="E3578" s="2"/>
      <x:c r="F3578" s="2"/>
      <x:c r="G3578" s="2"/>
    </x:row>
    <x:row r="3579">
      <x:c r="B3579" s="2"/>
      <x:c r="C3579" s="2"/>
      <x:c r="D3579" s="2"/>
      <x:c r="E3579" s="2"/>
      <x:c r="F3579" s="2"/>
      <x:c r="G3579" s="2"/>
    </x:row>
    <x:row r="3580">
      <x:c r="B3580" s="2"/>
      <x:c r="C3580" s="2"/>
      <x:c r="D3580" s="2"/>
      <x:c r="E3580" s="2"/>
      <x:c r="F3580" s="2"/>
      <x:c r="G3580" s="2"/>
    </x:row>
    <x:row r="3581">
      <x:c r="B3581" s="2"/>
      <x:c r="C3581" s="2"/>
      <x:c r="D3581" s="2"/>
      <x:c r="E3581" s="2"/>
      <x:c r="F3581" s="2"/>
      <x:c r="G3581" s="2"/>
    </x:row>
    <x:row r="3582">
      <x:c r="B3582" s="2"/>
      <x:c r="C3582" s="2"/>
      <x:c r="D3582" s="2"/>
      <x:c r="E3582" s="2"/>
      <x:c r="F3582" s="2"/>
      <x:c r="G3582" s="2"/>
    </x:row>
    <x:row r="3583">
      <x:c r="B3583" s="2"/>
      <x:c r="C3583" s="2"/>
      <x:c r="D3583" s="2"/>
      <x:c r="E3583" s="2"/>
      <x:c r="F3583" s="2"/>
      <x:c r="G3583" s="2"/>
    </x:row>
    <x:row r="3584">
      <x:c r="B3584" s="2"/>
      <x:c r="C3584" s="2"/>
      <x:c r="D3584" s="2"/>
      <x:c r="E3584" s="2"/>
      <x:c r="F3584" s="2"/>
      <x:c r="G3584" s="2"/>
    </x:row>
    <x:row r="3585">
      <x:c r="B3585" s="2"/>
      <x:c r="C3585" s="2"/>
      <x:c r="D3585" s="2"/>
      <x:c r="E3585" s="2"/>
      <x:c r="F3585" s="2"/>
      <x:c r="G3585" s="2"/>
    </x:row>
    <x:row r="3586">
      <x:c r="B3586" s="2"/>
      <x:c r="C3586" s="2"/>
      <x:c r="D3586" s="2"/>
      <x:c r="E3586" s="2"/>
      <x:c r="F3586" s="2"/>
      <x:c r="G3586" s="2"/>
    </x:row>
    <x:row r="3587">
      <x:c r="B3587" s="2"/>
      <x:c r="C3587" s="2"/>
      <x:c r="D3587" s="2"/>
      <x:c r="E3587" s="2"/>
      <x:c r="F3587" s="2"/>
      <x:c r="G3587" s="2"/>
    </x:row>
    <x:row r="3588">
      <x:c r="B3588" s="2"/>
      <x:c r="C3588" s="2"/>
      <x:c r="D3588" s="2"/>
      <x:c r="E3588" s="2"/>
      <x:c r="F3588" s="2"/>
      <x:c r="G3588" s="2"/>
    </x:row>
    <x:row r="3589">
      <x:c r="B3589" s="2"/>
      <x:c r="C3589" s="2"/>
      <x:c r="D3589" s="2"/>
      <x:c r="E3589" s="2"/>
      <x:c r="F3589" s="2"/>
      <x:c r="G3589" s="2"/>
    </x:row>
    <x:row r="3590">
      <x:c r="B3590" s="2"/>
      <x:c r="C3590" s="2"/>
      <x:c r="D3590" s="2"/>
      <x:c r="E3590" s="2"/>
      <x:c r="F3590" s="2"/>
      <x:c r="G3590" s="2"/>
    </x:row>
    <x:row r="3591">
      <x:c r="B3591" s="2"/>
      <x:c r="C3591" s="2"/>
      <x:c r="D3591" s="2"/>
      <x:c r="E3591" s="2"/>
      <x:c r="F3591" s="2"/>
      <x:c r="G3591" s="2"/>
    </x:row>
    <x:row r="3592">
      <x:c r="B3592" s="2"/>
      <x:c r="C3592" s="2"/>
      <x:c r="D3592" s="2"/>
      <x:c r="E3592" s="2"/>
      <x:c r="F3592" s="2"/>
      <x:c r="G3592" s="2"/>
    </x:row>
    <x:row r="3593">
      <x:c r="B3593" s="2"/>
      <x:c r="C3593" s="2"/>
      <x:c r="D3593" s="2"/>
      <x:c r="E3593" s="2"/>
      <x:c r="F3593" s="2"/>
      <x:c r="G3593" s="2"/>
    </x:row>
    <x:row r="3594">
      <x:c r="B3594" s="2"/>
      <x:c r="C3594" s="2"/>
      <x:c r="D3594" s="2"/>
      <x:c r="E3594" s="2"/>
      <x:c r="F3594" s="2"/>
      <x:c r="G3594" s="2"/>
    </x:row>
    <x:row r="3595">
      <x:c r="B3595" s="2"/>
      <x:c r="C3595" s="2"/>
      <x:c r="D3595" s="2"/>
      <x:c r="E3595" s="2"/>
      <x:c r="F3595" s="2"/>
      <x:c r="G3595" s="2"/>
    </x:row>
    <x:row r="3596">
      <x:c r="B3596" s="2"/>
      <x:c r="C3596" s="2"/>
      <x:c r="D3596" s="2"/>
      <x:c r="E3596" s="2"/>
      <x:c r="F3596" s="2"/>
      <x:c r="G3596" s="2"/>
    </x:row>
    <x:row r="3597">
      <x:c r="B3597" s="2"/>
      <x:c r="C3597" s="2"/>
      <x:c r="D3597" s="2"/>
      <x:c r="E3597" s="2"/>
      <x:c r="F3597" s="2"/>
      <x:c r="G3597" s="2"/>
    </x:row>
    <x:row r="3598">
      <x:c r="B3598" s="2"/>
      <x:c r="C3598" s="2"/>
      <x:c r="D3598" s="2"/>
      <x:c r="E3598" s="2"/>
      <x:c r="F3598" s="2"/>
      <x:c r="G3598" s="2"/>
    </x:row>
    <x:row r="3599">
      <x:c r="B3599" s="2"/>
      <x:c r="C3599" s="2"/>
      <x:c r="D3599" s="2"/>
      <x:c r="E3599" s="2"/>
      <x:c r="F3599" s="2"/>
      <x:c r="G3599" s="2"/>
    </x:row>
    <x:row r="3600">
      <x:c r="B3600" s="2"/>
      <x:c r="C3600" s="2"/>
      <x:c r="D3600" s="2"/>
      <x:c r="E3600" s="2"/>
      <x:c r="F3600" s="2"/>
      <x:c r="G3600" s="2"/>
    </x:row>
    <x:row r="3601">
      <x:c r="B3601" s="2"/>
      <x:c r="C3601" s="2"/>
      <x:c r="D3601" s="2"/>
      <x:c r="E3601" s="2"/>
      <x:c r="F3601" s="2"/>
      <x:c r="G3601" s="2"/>
    </x:row>
    <x:row r="3602">
      <x:c r="B3602" s="2"/>
      <x:c r="C3602" s="2"/>
      <x:c r="D3602" s="2"/>
      <x:c r="E3602" s="2"/>
      <x:c r="F3602" s="2"/>
      <x:c r="G3602" s="2"/>
    </x:row>
    <x:row r="3603">
      <x:c r="B3603" s="2"/>
      <x:c r="C3603" s="2"/>
      <x:c r="D3603" s="2"/>
      <x:c r="E3603" s="2"/>
      <x:c r="F3603" s="2"/>
      <x:c r="G3603" s="2"/>
    </x:row>
    <x:row r="3604">
      <x:c r="B3604" s="2"/>
      <x:c r="C3604" s="2"/>
      <x:c r="D3604" s="2"/>
      <x:c r="E3604" s="2"/>
      <x:c r="F3604" s="2"/>
      <x:c r="G3604" s="2"/>
    </x:row>
    <x:row r="3605">
      <x:c r="B3605" s="2"/>
      <x:c r="C3605" s="2"/>
      <x:c r="D3605" s="2"/>
      <x:c r="E3605" s="2"/>
      <x:c r="F3605" s="2"/>
      <x:c r="G3605" s="2"/>
    </x:row>
    <x:row r="3606">
      <x:c r="B3606" s="2"/>
      <x:c r="C3606" s="2"/>
      <x:c r="D3606" s="2"/>
      <x:c r="E3606" s="2"/>
      <x:c r="F3606" s="2"/>
      <x:c r="G3606" s="2"/>
    </x:row>
    <x:row r="3607">
      <x:c r="B3607" s="2"/>
      <x:c r="C3607" s="2"/>
      <x:c r="D3607" s="2"/>
      <x:c r="E3607" s="2"/>
      <x:c r="F3607" s="2"/>
      <x:c r="G3607" s="2"/>
    </x:row>
    <x:row r="3608">
      <x:c r="B3608" s="2"/>
      <x:c r="C3608" s="2"/>
      <x:c r="D3608" s="2"/>
      <x:c r="E3608" s="2"/>
      <x:c r="F3608" s="2"/>
      <x:c r="G3608" s="2"/>
    </x:row>
    <x:row r="3609">
      <x:c r="B3609" s="2"/>
      <x:c r="C3609" s="2"/>
      <x:c r="D3609" s="2"/>
      <x:c r="E3609" s="2"/>
      <x:c r="F3609" s="2"/>
      <x:c r="G3609" s="2"/>
    </x:row>
    <x:row r="3610">
      <x:c r="B3610" s="2"/>
      <x:c r="C3610" s="2"/>
      <x:c r="D3610" s="2"/>
      <x:c r="E3610" s="2"/>
      <x:c r="F3610" s="2"/>
      <x:c r="G3610" s="2"/>
    </x:row>
    <x:row r="3611">
      <x:c r="B3611" s="2"/>
      <x:c r="C3611" s="2"/>
      <x:c r="D3611" s="2"/>
      <x:c r="E3611" s="2"/>
      <x:c r="F3611" s="2"/>
      <x:c r="G3611" s="2"/>
    </x:row>
    <x:row r="3612">
      <x:c r="B3612" s="2"/>
      <x:c r="C3612" s="2"/>
      <x:c r="D3612" s="2"/>
      <x:c r="E3612" s="2"/>
      <x:c r="F3612" s="2"/>
      <x:c r="G3612" s="2"/>
    </x:row>
    <x:row r="3613">
      <x:c r="B3613" s="2"/>
      <x:c r="C3613" s="2"/>
      <x:c r="D3613" s="2"/>
      <x:c r="E3613" s="2"/>
      <x:c r="F3613" s="2"/>
      <x:c r="G3613" s="2"/>
    </x:row>
    <x:row r="3614">
      <x:c r="B3614" s="2"/>
      <x:c r="C3614" s="2"/>
      <x:c r="D3614" s="2"/>
      <x:c r="E3614" s="2"/>
      <x:c r="F3614" s="2"/>
      <x:c r="G3614" s="2"/>
    </x:row>
    <x:row r="3615">
      <x:c r="B3615" s="2"/>
      <x:c r="C3615" s="2"/>
      <x:c r="D3615" s="2"/>
      <x:c r="E3615" s="2"/>
      <x:c r="F3615" s="2"/>
      <x:c r="G3615" s="2"/>
    </x:row>
    <x:row r="3616">
      <x:c r="B3616" s="2"/>
      <x:c r="C3616" s="2"/>
      <x:c r="D3616" s="2"/>
      <x:c r="E3616" s="2"/>
      <x:c r="F3616" s="2"/>
      <x:c r="G3616" s="2"/>
    </x:row>
    <x:row r="3617">
      <x:c r="B3617" s="2"/>
      <x:c r="C3617" s="2"/>
      <x:c r="D3617" s="2"/>
      <x:c r="E3617" s="2"/>
      <x:c r="F3617" s="2"/>
      <x:c r="G3617" s="2"/>
    </x:row>
    <x:row r="3618">
      <x:c r="B3618" s="2"/>
      <x:c r="C3618" s="2"/>
      <x:c r="D3618" s="2"/>
      <x:c r="E3618" s="2"/>
      <x:c r="F3618" s="2"/>
      <x:c r="G3618" s="2"/>
    </x:row>
    <x:row r="3619">
      <x:c r="B3619" s="2"/>
      <x:c r="C3619" s="2"/>
      <x:c r="D3619" s="2"/>
      <x:c r="E3619" s="2"/>
      <x:c r="F3619" s="2"/>
      <x:c r="G3619" s="2"/>
    </x:row>
    <x:row r="3620">
      <x:c r="B3620" s="2"/>
      <x:c r="C3620" s="2"/>
      <x:c r="D3620" s="2"/>
      <x:c r="E3620" s="2"/>
      <x:c r="F3620" s="2"/>
      <x:c r="G3620" s="2"/>
    </x:row>
    <x:row r="3621">
      <x:c r="B3621" s="2"/>
      <x:c r="C3621" s="2"/>
      <x:c r="D3621" s="2"/>
      <x:c r="E3621" s="2"/>
      <x:c r="F3621" s="2"/>
      <x:c r="G3621" s="2"/>
    </x:row>
    <x:row r="3622">
      <x:c r="B3622" s="2"/>
      <x:c r="C3622" s="2"/>
      <x:c r="D3622" s="2"/>
      <x:c r="E3622" s="2"/>
      <x:c r="F3622" s="2"/>
      <x:c r="G3622" s="2"/>
    </x:row>
    <x:row r="3623">
      <x:c r="B3623" s="2"/>
      <x:c r="C3623" s="2"/>
      <x:c r="D3623" s="2"/>
      <x:c r="E3623" s="2"/>
      <x:c r="F3623" s="2"/>
      <x:c r="G3623" s="2"/>
    </x:row>
    <x:row r="3624">
      <x:c r="B3624" s="2"/>
      <x:c r="C3624" s="2"/>
      <x:c r="D3624" s="2"/>
      <x:c r="E3624" s="2"/>
      <x:c r="F3624" s="2"/>
      <x:c r="G3624" s="2"/>
    </x:row>
    <x:row r="3625">
      <x:c r="B3625" s="2"/>
      <x:c r="C3625" s="2"/>
      <x:c r="D3625" s="2"/>
      <x:c r="E3625" s="2"/>
      <x:c r="F3625" s="2"/>
      <x:c r="G3625" s="2"/>
    </x:row>
    <x:row r="3626">
      <x:c r="B3626" s="2"/>
      <x:c r="C3626" s="2"/>
      <x:c r="D3626" s="2"/>
      <x:c r="E3626" s="2"/>
      <x:c r="F3626" s="2"/>
      <x:c r="G3626" s="2"/>
    </x:row>
    <x:row r="3627">
      <x:c r="B3627" s="2"/>
      <x:c r="C3627" s="2"/>
      <x:c r="D3627" s="2"/>
      <x:c r="E3627" s="2"/>
      <x:c r="F3627" s="2"/>
      <x:c r="G3627" s="2"/>
    </x:row>
    <x:row r="3628">
      <x:c r="B3628" s="2"/>
      <x:c r="C3628" s="2"/>
      <x:c r="D3628" s="2"/>
      <x:c r="E3628" s="2"/>
      <x:c r="F3628" s="2"/>
      <x:c r="G3628" s="2"/>
    </x:row>
    <x:row r="3629">
      <x:c r="B3629" s="2"/>
      <x:c r="C3629" s="2"/>
      <x:c r="D3629" s="2"/>
      <x:c r="E3629" s="2"/>
      <x:c r="F3629" s="2"/>
      <x:c r="G3629" s="2"/>
    </x:row>
    <x:row r="3630">
      <x:c r="B3630" s="2"/>
      <x:c r="C3630" s="2"/>
      <x:c r="D3630" s="2"/>
      <x:c r="E3630" s="2"/>
      <x:c r="F3630" s="2"/>
      <x:c r="G3630" s="2"/>
    </x:row>
    <x:row r="3631">
      <x:c r="B3631" s="2"/>
      <x:c r="C3631" s="2"/>
      <x:c r="D3631" s="2"/>
      <x:c r="E3631" s="2"/>
      <x:c r="F3631" s="2"/>
      <x:c r="G3631" s="2"/>
    </x:row>
    <x:row r="3632">
      <x:c r="B3632" s="2"/>
      <x:c r="C3632" s="2"/>
      <x:c r="D3632" s="2"/>
      <x:c r="E3632" s="2"/>
      <x:c r="F3632" s="2"/>
      <x:c r="G3632" s="2"/>
    </x:row>
    <x:row r="3633">
      <x:c r="B3633" s="2"/>
      <x:c r="C3633" s="2"/>
      <x:c r="D3633" s="2"/>
      <x:c r="E3633" s="2"/>
      <x:c r="F3633" s="2"/>
      <x:c r="G3633" s="2"/>
    </x:row>
    <x:row r="3634">
      <x:c r="B3634" s="2"/>
      <x:c r="C3634" s="2"/>
      <x:c r="D3634" s="2"/>
      <x:c r="E3634" s="2"/>
      <x:c r="F3634" s="2"/>
      <x:c r="G3634" s="2"/>
    </x:row>
    <x:row r="3635">
      <x:c r="B3635" s="2"/>
      <x:c r="C3635" s="2"/>
      <x:c r="D3635" s="2"/>
      <x:c r="E3635" s="2"/>
      <x:c r="F3635" s="2"/>
      <x:c r="G3635" s="2"/>
    </x:row>
    <x:row r="3636">
      <x:c r="B3636" s="2"/>
      <x:c r="C3636" s="2"/>
      <x:c r="D3636" s="2"/>
      <x:c r="E3636" s="2"/>
      <x:c r="F3636" s="2"/>
      <x:c r="G3636" s="2"/>
    </x:row>
    <x:row r="3637">
      <x:c r="B3637" s="2"/>
      <x:c r="C3637" s="2"/>
      <x:c r="D3637" s="2"/>
      <x:c r="E3637" s="2"/>
      <x:c r="F3637" s="2"/>
      <x:c r="G3637" s="2"/>
    </x:row>
    <x:row r="3638">
      <x:c r="B3638" s="2"/>
      <x:c r="C3638" s="2"/>
      <x:c r="D3638" s="2"/>
      <x:c r="E3638" s="2"/>
      <x:c r="F3638" s="2"/>
      <x:c r="G3638" s="2"/>
    </x:row>
    <x:row r="3639">
      <x:c r="B3639" s="2"/>
      <x:c r="C3639" s="2"/>
      <x:c r="D3639" s="2"/>
      <x:c r="E3639" s="2"/>
      <x:c r="F3639" s="2"/>
      <x:c r="G3639" s="2"/>
    </x:row>
    <x:row r="3640">
      <x:c r="B3640" s="2"/>
      <x:c r="C3640" s="2"/>
      <x:c r="D3640" s="2"/>
      <x:c r="E3640" s="2"/>
      <x:c r="F3640" s="2"/>
      <x:c r="G3640" s="2"/>
    </x:row>
    <x:row r="3641">
      <x:c r="B3641" s="2"/>
      <x:c r="C3641" s="2"/>
      <x:c r="D3641" s="2"/>
      <x:c r="E3641" s="2"/>
      <x:c r="F3641" s="2"/>
      <x:c r="G3641" s="2"/>
    </x:row>
    <x:row r="3642">
      <x:c r="B3642" s="2"/>
      <x:c r="C3642" s="2"/>
      <x:c r="D3642" s="2"/>
      <x:c r="E3642" s="2"/>
      <x:c r="F3642" s="2"/>
      <x:c r="G3642" s="2"/>
    </x:row>
    <x:row r="3643">
      <x:c r="B3643" s="2"/>
      <x:c r="C3643" s="2"/>
      <x:c r="D3643" s="2"/>
      <x:c r="E3643" s="2"/>
      <x:c r="F3643" s="2"/>
      <x:c r="G3643" s="2"/>
    </x:row>
    <x:row r="3644">
      <x:c r="B3644" s="2"/>
      <x:c r="C3644" s="2"/>
      <x:c r="D3644" s="2"/>
      <x:c r="E3644" s="2"/>
      <x:c r="F3644" s="2"/>
      <x:c r="G3644" s="2"/>
    </x:row>
    <x:row r="3645">
      <x:c r="B3645" s="2"/>
      <x:c r="C3645" s="2"/>
      <x:c r="D3645" s="2"/>
      <x:c r="E3645" s="2"/>
      <x:c r="F3645" s="2"/>
      <x:c r="G3645" s="2"/>
    </x:row>
    <x:row r="3646">
      <x:c r="B3646" s="2"/>
      <x:c r="C3646" s="2"/>
      <x:c r="D3646" s="2"/>
      <x:c r="E3646" s="2"/>
      <x:c r="F3646" s="2"/>
      <x:c r="G3646" s="2"/>
    </x:row>
    <x:row r="3647">
      <x:c r="B3647" s="2"/>
      <x:c r="C3647" s="2"/>
      <x:c r="D3647" s="2"/>
      <x:c r="E3647" s="2"/>
      <x:c r="F3647" s="2"/>
      <x:c r="G3647" s="2"/>
    </x:row>
    <x:row r="3648">
      <x:c r="B3648" s="2"/>
      <x:c r="C3648" s="2"/>
      <x:c r="D3648" s="2"/>
      <x:c r="E3648" s="2"/>
      <x:c r="F3648" s="2"/>
      <x:c r="G3648" s="2"/>
    </x:row>
    <x:row r="3649">
      <x:c r="B3649" s="2"/>
      <x:c r="C3649" s="2"/>
      <x:c r="D3649" s="2"/>
      <x:c r="E3649" s="2"/>
      <x:c r="F3649" s="2"/>
      <x:c r="G3649" s="2"/>
    </x:row>
    <x:row r="3650">
      <x:c r="B3650" s="2"/>
      <x:c r="C3650" s="2"/>
      <x:c r="D3650" s="2"/>
      <x:c r="E3650" s="2"/>
      <x:c r="F3650" s="2"/>
      <x:c r="G3650" s="2"/>
    </x:row>
    <x:row r="3651">
      <x:c r="B3651" s="2"/>
      <x:c r="C3651" s="2"/>
      <x:c r="D3651" s="2"/>
      <x:c r="E3651" s="2"/>
      <x:c r="F3651" s="2"/>
      <x:c r="G3651" s="2"/>
    </x:row>
    <x:row r="3652">
      <x:c r="B3652" s="2"/>
      <x:c r="C3652" s="2"/>
      <x:c r="D3652" s="2"/>
      <x:c r="E3652" s="2"/>
      <x:c r="F3652" s="2"/>
      <x:c r="G3652" s="2"/>
    </x:row>
    <x:row r="3653">
      <x:c r="B3653" s="2"/>
      <x:c r="C3653" s="2"/>
      <x:c r="D3653" s="2"/>
      <x:c r="E3653" s="2"/>
      <x:c r="F3653" s="2"/>
      <x:c r="G3653" s="2"/>
    </x:row>
    <x:row r="3654">
      <x:c r="B3654" s="2"/>
      <x:c r="C3654" s="2"/>
      <x:c r="D3654" s="2"/>
      <x:c r="E3654" s="2"/>
      <x:c r="F3654" s="2"/>
      <x:c r="G3654" s="2"/>
    </x:row>
    <x:row r="3655">
      <x:c r="B3655" s="2"/>
      <x:c r="C3655" s="2"/>
      <x:c r="D3655" s="2"/>
      <x:c r="E3655" s="2"/>
      <x:c r="F3655" s="2"/>
      <x:c r="G3655" s="2"/>
    </x:row>
    <x:row r="3656">
      <x:c r="B3656" s="2"/>
      <x:c r="C3656" s="2"/>
      <x:c r="D3656" s="2"/>
      <x:c r="E3656" s="2"/>
      <x:c r="F3656" s="2"/>
      <x:c r="G3656" s="2"/>
    </x:row>
    <x:row r="3657">
      <x:c r="B3657" s="2"/>
      <x:c r="C3657" s="2"/>
      <x:c r="D3657" s="2"/>
      <x:c r="E3657" s="2"/>
      <x:c r="F3657" s="2"/>
      <x:c r="G3657" s="2"/>
    </x:row>
    <x:row r="3658">
      <x:c r="B3658" s="2"/>
      <x:c r="C3658" s="2"/>
      <x:c r="D3658" s="2"/>
      <x:c r="E3658" s="2"/>
      <x:c r="F3658" s="2"/>
      <x:c r="G3658" s="2"/>
    </x:row>
    <x:row r="3659">
      <x:c r="B3659" s="2"/>
      <x:c r="C3659" s="2"/>
      <x:c r="D3659" s="2"/>
      <x:c r="E3659" s="2"/>
      <x:c r="F3659" s="2"/>
      <x:c r="G3659" s="2"/>
    </x:row>
    <x:row r="3660">
      <x:c r="B3660" s="2"/>
      <x:c r="C3660" s="2"/>
      <x:c r="D3660" s="2"/>
      <x:c r="E3660" s="2"/>
      <x:c r="F3660" s="2"/>
      <x:c r="G3660" s="2"/>
    </x:row>
    <x:row r="3661">
      <x:c r="B3661" s="2"/>
      <x:c r="C3661" s="2"/>
      <x:c r="D3661" s="2"/>
      <x:c r="E3661" s="2"/>
      <x:c r="F3661" s="2"/>
      <x:c r="G3661" s="2"/>
    </x:row>
    <x:row r="3662">
      <x:c r="B3662" s="2"/>
      <x:c r="C3662" s="2"/>
      <x:c r="D3662" s="2"/>
      <x:c r="E3662" s="2"/>
      <x:c r="F3662" s="2"/>
      <x:c r="G3662" s="2"/>
    </x:row>
    <x:row r="3663">
      <x:c r="B3663" s="2"/>
      <x:c r="C3663" s="2"/>
      <x:c r="D3663" s="2"/>
      <x:c r="E3663" s="2"/>
      <x:c r="F3663" s="2"/>
      <x:c r="G3663" s="2"/>
    </x:row>
    <x:row r="3664">
      <x:c r="B3664" s="2"/>
      <x:c r="C3664" s="2"/>
      <x:c r="D3664" s="2"/>
      <x:c r="E3664" s="2"/>
      <x:c r="F3664" s="2"/>
      <x:c r="G3664" s="2"/>
    </x:row>
    <x:row r="3665">
      <x:c r="B3665" s="2"/>
      <x:c r="C3665" s="2"/>
      <x:c r="D3665" s="2"/>
      <x:c r="E3665" s="2"/>
      <x:c r="F3665" s="2"/>
      <x:c r="G3665" s="2"/>
    </x:row>
    <x:row r="3666">
      <x:c r="B3666" s="2"/>
      <x:c r="C3666" s="2"/>
      <x:c r="D3666" s="2"/>
      <x:c r="E3666" s="2"/>
      <x:c r="F3666" s="2"/>
      <x:c r="G3666" s="2"/>
    </x:row>
    <x:row r="3667">
      <x:c r="B3667" s="2"/>
      <x:c r="C3667" s="2"/>
      <x:c r="D3667" s="2"/>
      <x:c r="E3667" s="2"/>
      <x:c r="F3667" s="2"/>
      <x:c r="G3667" s="2"/>
    </x:row>
    <x:row r="3668">
      <x:c r="B3668" s="2"/>
      <x:c r="C3668" s="2"/>
      <x:c r="D3668" s="2"/>
      <x:c r="E3668" s="2"/>
      <x:c r="F3668" s="2"/>
      <x:c r="G3668" s="2"/>
    </x:row>
    <x:row r="3669">
      <x:c r="B3669" s="2"/>
      <x:c r="C3669" s="2"/>
      <x:c r="D3669" s="2"/>
      <x:c r="E3669" s="2"/>
      <x:c r="F3669" s="2"/>
      <x:c r="G3669" s="2"/>
    </x:row>
    <x:row r="3670">
      <x:c r="B3670" s="2"/>
      <x:c r="C3670" s="2"/>
      <x:c r="D3670" s="2"/>
      <x:c r="E3670" s="2"/>
      <x:c r="F3670" s="2"/>
      <x:c r="G3670" s="2"/>
    </x:row>
    <x:row r="3671">
      <x:c r="B3671" s="2"/>
      <x:c r="C3671" s="2"/>
      <x:c r="D3671" s="2"/>
      <x:c r="E3671" s="2"/>
      <x:c r="F3671" s="2"/>
      <x:c r="G3671" s="2"/>
    </x:row>
    <x:row r="3672">
      <x:c r="B3672" s="2"/>
      <x:c r="C3672" s="2"/>
      <x:c r="D3672" s="2"/>
      <x:c r="E3672" s="2"/>
      <x:c r="F3672" s="2"/>
      <x:c r="G3672" s="2"/>
    </x:row>
    <x:row r="3673">
      <x:c r="B3673" s="2"/>
      <x:c r="C3673" s="2"/>
      <x:c r="D3673" s="2"/>
      <x:c r="E3673" s="2"/>
      <x:c r="F3673" s="2"/>
      <x:c r="G3673" s="2"/>
    </x:row>
    <x:row r="3674">
      <x:c r="B3674" s="2"/>
      <x:c r="C3674" s="2"/>
      <x:c r="D3674" s="2"/>
      <x:c r="E3674" s="2"/>
      <x:c r="F3674" s="2"/>
      <x:c r="G3674" s="2"/>
    </x:row>
    <x:row r="3675">
      <x:c r="B3675" s="2"/>
      <x:c r="C3675" s="2"/>
      <x:c r="D3675" s="2"/>
      <x:c r="E3675" s="2"/>
      <x:c r="F3675" s="2"/>
      <x:c r="G3675" s="2"/>
    </x:row>
    <x:row r="3676">
      <x:c r="B3676" s="2"/>
      <x:c r="C3676" s="2"/>
      <x:c r="D3676" s="2"/>
      <x:c r="E3676" s="2"/>
      <x:c r="F3676" s="2"/>
      <x:c r="G3676" s="2"/>
    </x:row>
    <x:row r="3677">
      <x:c r="B3677" s="2"/>
      <x:c r="C3677" s="2"/>
      <x:c r="D3677" s="2"/>
      <x:c r="E3677" s="2"/>
      <x:c r="F3677" s="2"/>
      <x:c r="G3677" s="2"/>
    </x:row>
    <x:row r="3678">
      <x:c r="B3678" s="2"/>
      <x:c r="C3678" s="2"/>
      <x:c r="D3678" s="2"/>
      <x:c r="E3678" s="2"/>
      <x:c r="F3678" s="2"/>
      <x:c r="G3678" s="2"/>
    </x:row>
    <x:row r="3679">
      <x:c r="B3679" s="2"/>
      <x:c r="C3679" s="2"/>
      <x:c r="D3679" s="2"/>
      <x:c r="E3679" s="2"/>
      <x:c r="F3679" s="2"/>
      <x:c r="G3679" s="2"/>
    </x:row>
    <x:row r="3680">
      <x:c r="B3680" s="2"/>
      <x:c r="C3680" s="2"/>
      <x:c r="D3680" s="2"/>
      <x:c r="E3680" s="2"/>
      <x:c r="F3680" s="2"/>
      <x:c r="G3680" s="2"/>
    </x:row>
    <x:row r="3681">
      <x:c r="B3681" s="2"/>
      <x:c r="C3681" s="2"/>
      <x:c r="D3681" s="2"/>
      <x:c r="E3681" s="2"/>
      <x:c r="F3681" s="2"/>
      <x:c r="G3681" s="2"/>
    </x:row>
    <x:row r="3682">
      <x:c r="B3682" s="2"/>
      <x:c r="C3682" s="2"/>
      <x:c r="D3682" s="2"/>
      <x:c r="E3682" s="2"/>
      <x:c r="F3682" s="2"/>
      <x:c r="G3682" s="2"/>
    </x:row>
    <x:row r="3683">
      <x:c r="B3683" s="2"/>
      <x:c r="C3683" s="2"/>
      <x:c r="D3683" s="2"/>
      <x:c r="E3683" s="2"/>
      <x:c r="F3683" s="2"/>
      <x:c r="G3683" s="2"/>
    </x:row>
    <x:row r="3684">
      <x:c r="B3684" s="2"/>
      <x:c r="C3684" s="2"/>
      <x:c r="D3684" s="2"/>
      <x:c r="E3684" s="2"/>
      <x:c r="F3684" s="2"/>
      <x:c r="G3684" s="2"/>
    </x:row>
    <x:row r="3685">
      <x:c r="B3685" s="2"/>
      <x:c r="C3685" s="2"/>
      <x:c r="D3685" s="2"/>
      <x:c r="E3685" s="2"/>
      <x:c r="F3685" s="2"/>
      <x:c r="G3685" s="2"/>
    </x:row>
    <x:row r="3686">
      <x:c r="B3686" s="2"/>
      <x:c r="C3686" s="2"/>
      <x:c r="D3686" s="2"/>
      <x:c r="E3686" s="2"/>
      <x:c r="F3686" s="2"/>
      <x:c r="G3686" s="2"/>
    </x:row>
    <x:row r="3687">
      <x:c r="B3687" s="2"/>
      <x:c r="C3687" s="2"/>
      <x:c r="D3687" s="2"/>
      <x:c r="E3687" s="2"/>
      <x:c r="F3687" s="2"/>
      <x:c r="G3687" s="2"/>
    </x:row>
    <x:row r="3688">
      <x:c r="B3688" s="2"/>
      <x:c r="C3688" s="2"/>
      <x:c r="D3688" s="2"/>
      <x:c r="E3688" s="2"/>
      <x:c r="F3688" s="2"/>
      <x:c r="G3688" s="2"/>
    </x:row>
    <x:row r="3689">
      <x:c r="B3689" s="2"/>
      <x:c r="C3689" s="2"/>
      <x:c r="D3689" s="2"/>
      <x:c r="E3689" s="2"/>
      <x:c r="F3689" s="2"/>
      <x:c r="G3689" s="2"/>
    </x:row>
    <x:row r="3690">
      <x:c r="B3690" s="2"/>
      <x:c r="C3690" s="2"/>
      <x:c r="D3690" s="2"/>
      <x:c r="E3690" s="2"/>
      <x:c r="F3690" s="2"/>
      <x:c r="G3690" s="2"/>
    </x:row>
    <x:row r="3691">
      <x:c r="B3691" s="2"/>
      <x:c r="C3691" s="2"/>
      <x:c r="D3691" s="2"/>
      <x:c r="E3691" s="2"/>
      <x:c r="F3691" s="2"/>
      <x:c r="G3691" s="2"/>
    </x:row>
    <x:row r="3692">
      <x:c r="B3692" s="2"/>
      <x:c r="C3692" s="2"/>
      <x:c r="D3692" s="2"/>
      <x:c r="E3692" s="2"/>
      <x:c r="F3692" s="2"/>
      <x:c r="G3692" s="2"/>
    </x:row>
    <x:row r="3693">
      <x:c r="B3693" s="2"/>
      <x:c r="C3693" s="2"/>
      <x:c r="D3693" s="2"/>
      <x:c r="E3693" s="2"/>
      <x:c r="F3693" s="2"/>
      <x:c r="G3693" s="2"/>
    </x:row>
    <x:row r="3694">
      <x:c r="B3694" s="2"/>
      <x:c r="C3694" s="2"/>
      <x:c r="D3694" s="2"/>
      <x:c r="E3694" s="2"/>
      <x:c r="F3694" s="2"/>
      <x:c r="G3694" s="2"/>
    </x:row>
    <x:row r="3695">
      <x:c r="B3695" s="2"/>
      <x:c r="C3695" s="2"/>
      <x:c r="D3695" s="2"/>
      <x:c r="E3695" s="2"/>
      <x:c r="F3695" s="2"/>
      <x:c r="G3695" s="2"/>
    </x:row>
    <x:row r="3696">
      <x:c r="B3696" s="2"/>
      <x:c r="C3696" s="2"/>
      <x:c r="D3696" s="2"/>
      <x:c r="E3696" s="2"/>
      <x:c r="F3696" s="2"/>
      <x:c r="G3696" s="2"/>
    </x:row>
    <x:row r="3697">
      <x:c r="B3697" s="2"/>
      <x:c r="C3697" s="2"/>
      <x:c r="D3697" s="2"/>
      <x:c r="E3697" s="2"/>
      <x:c r="F3697" s="2"/>
      <x:c r="G3697" s="2"/>
    </x:row>
    <x:row r="3698">
      <x:c r="B3698" s="2"/>
      <x:c r="C3698" s="2"/>
      <x:c r="D3698" s="2"/>
      <x:c r="E3698" s="2"/>
      <x:c r="F3698" s="2"/>
      <x:c r="G3698" s="2"/>
    </x:row>
    <x:row r="3699">
      <x:c r="B3699" s="2"/>
      <x:c r="C3699" s="2"/>
      <x:c r="D3699" s="2"/>
      <x:c r="E3699" s="2"/>
      <x:c r="F3699" s="2"/>
      <x:c r="G3699" s="2"/>
    </x:row>
    <x:row r="3700">
      <x:c r="B3700" s="2"/>
      <x:c r="C3700" s="2"/>
      <x:c r="D3700" s="2"/>
      <x:c r="E3700" s="2"/>
      <x:c r="F3700" s="2"/>
      <x:c r="G3700" s="2"/>
    </x:row>
    <x:row r="3701">
      <x:c r="B3701" s="2"/>
      <x:c r="C3701" s="2"/>
      <x:c r="D3701" s="2"/>
      <x:c r="E3701" s="2"/>
      <x:c r="F3701" s="2"/>
      <x:c r="G3701" s="2"/>
    </x:row>
    <x:row r="3702">
      <x:c r="B3702" s="2"/>
      <x:c r="C3702" s="2"/>
      <x:c r="D3702" s="2"/>
      <x:c r="E3702" s="2"/>
      <x:c r="F3702" s="2"/>
      <x:c r="G3702" s="2"/>
    </x:row>
    <x:row r="3703">
      <x:c r="B3703" s="2"/>
      <x:c r="C3703" s="2"/>
      <x:c r="D3703" s="2"/>
      <x:c r="E3703" s="2"/>
      <x:c r="F3703" s="2"/>
      <x:c r="G3703" s="2"/>
    </x:row>
    <x:row r="3704">
      <x:c r="B3704" s="2"/>
      <x:c r="C3704" s="2"/>
      <x:c r="D3704" s="2"/>
      <x:c r="E3704" s="2"/>
      <x:c r="F3704" s="2"/>
      <x:c r="G3704" s="2"/>
    </x:row>
    <x:row r="3705">
      <x:c r="B3705" s="2"/>
      <x:c r="C3705" s="2"/>
      <x:c r="D3705" s="2"/>
      <x:c r="E3705" s="2"/>
      <x:c r="F3705" s="2"/>
      <x:c r="G3705" s="2"/>
    </x:row>
    <x:row r="3706">
      <x:c r="B3706" s="2"/>
      <x:c r="C3706" s="2"/>
      <x:c r="D3706" s="2"/>
      <x:c r="E3706" s="2"/>
      <x:c r="F3706" s="2"/>
      <x:c r="G3706" s="2"/>
    </x:row>
    <x:row r="3707">
      <x:c r="B3707" s="2"/>
      <x:c r="C3707" s="2"/>
      <x:c r="D3707" s="2"/>
      <x:c r="E3707" s="2"/>
      <x:c r="F3707" s="2"/>
      <x:c r="G3707" s="2"/>
    </x:row>
    <x:row r="3708">
      <x:c r="B3708" s="2"/>
      <x:c r="C3708" s="2"/>
      <x:c r="D3708" s="2"/>
      <x:c r="E3708" s="2"/>
      <x:c r="F3708" s="2"/>
      <x:c r="G3708" s="2"/>
    </x:row>
    <x:row r="3709">
      <x:c r="B3709" s="2"/>
      <x:c r="C3709" s="2"/>
      <x:c r="D3709" s="2"/>
      <x:c r="E3709" s="2"/>
      <x:c r="F3709" s="2"/>
      <x:c r="G3709" s="2"/>
    </x:row>
    <x:row r="3710">
      <x:c r="B3710" s="2"/>
      <x:c r="C3710" s="2"/>
      <x:c r="D3710" s="2"/>
      <x:c r="E3710" s="2"/>
      <x:c r="F3710" s="2"/>
      <x:c r="G3710" s="2"/>
    </x:row>
    <x:row r="3711">
      <x:c r="B3711" s="2"/>
      <x:c r="C3711" s="2"/>
      <x:c r="D3711" s="2"/>
      <x:c r="E3711" s="2"/>
      <x:c r="F3711" s="2"/>
      <x:c r="G3711" s="2"/>
    </x:row>
    <x:row r="3712">
      <x:c r="B3712" s="2"/>
      <x:c r="C3712" s="2"/>
      <x:c r="D3712" s="2"/>
      <x:c r="E3712" s="2"/>
      <x:c r="F3712" s="2"/>
      <x:c r="G3712" s="2"/>
    </x:row>
    <x:row r="3713">
      <x:c r="B3713" s="2"/>
      <x:c r="C3713" s="2"/>
      <x:c r="D3713" s="2"/>
      <x:c r="E3713" s="2"/>
      <x:c r="F3713" s="2"/>
      <x:c r="G3713" s="2"/>
    </x:row>
    <x:row r="3714">
      <x:c r="B3714" s="2"/>
      <x:c r="C3714" s="2"/>
      <x:c r="D3714" s="2"/>
      <x:c r="E3714" s="2"/>
      <x:c r="F3714" s="2"/>
      <x:c r="G3714" s="2"/>
    </x:row>
    <x:row r="3715">
      <x:c r="B3715" s="2"/>
      <x:c r="C3715" s="2"/>
      <x:c r="D3715" s="2"/>
      <x:c r="E3715" s="2"/>
      <x:c r="F3715" s="2"/>
      <x:c r="G3715" s="2"/>
    </x:row>
    <x:row r="3716">
      <x:c r="B3716" s="2"/>
      <x:c r="C3716" s="2"/>
      <x:c r="D3716" s="2"/>
      <x:c r="E3716" s="2"/>
      <x:c r="F3716" s="2"/>
      <x:c r="G3716" s="2"/>
    </x:row>
    <x:row r="3717">
      <x:c r="B3717" s="2"/>
      <x:c r="C3717" s="2"/>
      <x:c r="D3717" s="2"/>
      <x:c r="E3717" s="2"/>
      <x:c r="F3717" s="2"/>
      <x:c r="G3717" s="2"/>
    </x:row>
    <x:row r="3718">
      <x:c r="B3718" s="2"/>
      <x:c r="C3718" s="2"/>
      <x:c r="D3718" s="2"/>
      <x:c r="E3718" s="2"/>
      <x:c r="F3718" s="2"/>
      <x:c r="G3718" s="2"/>
    </x:row>
    <x:row r="3719">
      <x:c r="B3719" s="2"/>
      <x:c r="C3719" s="2"/>
      <x:c r="D3719" s="2"/>
      <x:c r="E3719" s="2"/>
      <x:c r="F3719" s="2"/>
      <x:c r="G3719" s="2"/>
    </x:row>
    <x:row r="3720">
      <x:c r="B3720" s="2"/>
      <x:c r="C3720" s="2"/>
      <x:c r="D3720" s="2"/>
      <x:c r="E3720" s="2"/>
      <x:c r="F3720" s="2"/>
      <x:c r="G3720" s="2"/>
    </x:row>
    <x:row r="3721">
      <x:c r="B3721" s="2"/>
      <x:c r="C3721" s="2"/>
      <x:c r="D3721" s="2"/>
      <x:c r="E3721" s="2"/>
      <x:c r="F3721" s="2"/>
      <x:c r="G3721" s="2"/>
    </x:row>
    <x:row r="3722">
      <x:c r="B3722" s="2"/>
      <x:c r="C3722" s="2"/>
      <x:c r="D3722" s="2"/>
      <x:c r="E3722" s="2"/>
      <x:c r="F3722" s="2"/>
      <x:c r="G3722" s="2"/>
    </x:row>
    <x:row r="3723">
      <x:c r="B3723" s="2"/>
      <x:c r="C3723" s="2"/>
      <x:c r="D3723" s="2"/>
      <x:c r="E3723" s="2"/>
      <x:c r="F3723" s="2"/>
      <x:c r="G3723" s="2"/>
    </x:row>
    <x:row r="3724">
      <x:c r="B3724" s="2"/>
      <x:c r="C3724" s="2"/>
      <x:c r="D3724" s="2"/>
      <x:c r="E3724" s="2"/>
      <x:c r="F3724" s="2"/>
      <x:c r="G3724" s="2"/>
    </x:row>
    <x:row r="3725">
      <x:c r="B3725" s="2"/>
      <x:c r="C3725" s="2"/>
      <x:c r="D3725" s="2"/>
      <x:c r="E3725" s="2"/>
      <x:c r="F3725" s="2"/>
      <x:c r="G3725" s="2"/>
    </x:row>
    <x:row r="3726">
      <x:c r="B3726" s="2"/>
      <x:c r="C3726" s="2"/>
      <x:c r="D3726" s="2"/>
      <x:c r="E3726" s="2"/>
      <x:c r="F3726" s="2"/>
      <x:c r="G3726" s="2"/>
    </x:row>
    <x:row r="3727">
      <x:c r="B3727" s="2"/>
      <x:c r="C3727" s="2"/>
      <x:c r="D3727" s="2"/>
      <x:c r="E3727" s="2"/>
      <x:c r="F3727" s="2"/>
      <x:c r="G3727" s="2"/>
    </x:row>
    <x:row r="3728">
      <x:c r="B3728" s="2"/>
      <x:c r="C3728" s="2"/>
      <x:c r="D3728" s="2"/>
      <x:c r="E3728" s="2"/>
      <x:c r="F3728" s="2"/>
      <x:c r="G3728" s="2"/>
    </x:row>
    <x:row r="3729">
      <x:c r="B3729" s="2"/>
      <x:c r="C3729" s="2"/>
      <x:c r="D3729" s="2"/>
      <x:c r="E3729" s="2"/>
      <x:c r="F3729" s="2"/>
      <x:c r="G3729" s="2"/>
    </x:row>
    <x:row r="3730">
      <x:c r="B3730" s="2"/>
      <x:c r="C3730" s="2"/>
      <x:c r="D3730" s="2"/>
      <x:c r="E3730" s="2"/>
      <x:c r="F3730" s="2"/>
      <x:c r="G3730" s="2"/>
    </x:row>
    <x:row r="3731">
      <x:c r="B3731" s="2"/>
      <x:c r="C3731" s="2"/>
      <x:c r="D3731" s="2"/>
      <x:c r="E3731" s="2"/>
      <x:c r="F3731" s="2"/>
      <x:c r="G3731" s="2"/>
    </x:row>
    <x:row r="3732">
      <x:c r="B3732" s="2"/>
      <x:c r="C3732" s="2"/>
      <x:c r="D3732" s="2"/>
      <x:c r="E3732" s="2"/>
      <x:c r="F3732" s="2"/>
      <x:c r="G3732" s="2"/>
    </x:row>
    <x:row r="3733">
      <x:c r="B3733" s="2"/>
      <x:c r="C3733" s="2"/>
      <x:c r="D3733" s="2"/>
      <x:c r="E3733" s="2"/>
      <x:c r="F3733" s="2"/>
      <x:c r="G3733" s="2"/>
    </x:row>
    <x:row r="3734">
      <x:c r="B3734" s="2"/>
      <x:c r="C3734" s="2"/>
      <x:c r="D3734" s="2"/>
      <x:c r="E3734" s="2"/>
      <x:c r="F3734" s="2"/>
      <x:c r="G3734" s="2"/>
    </x:row>
    <x:row r="3735">
      <x:c r="B3735" s="2"/>
      <x:c r="C3735" s="2"/>
      <x:c r="D3735" s="2"/>
      <x:c r="E3735" s="2"/>
      <x:c r="F3735" s="2"/>
      <x:c r="G3735" s="2"/>
    </x:row>
    <x:row r="3736">
      <x:c r="B3736" s="2"/>
      <x:c r="C3736" s="2"/>
      <x:c r="D3736" s="2"/>
      <x:c r="E3736" s="2"/>
      <x:c r="F3736" s="2"/>
      <x:c r="G3736" s="2"/>
    </x:row>
    <x:row r="3737">
      <x:c r="B3737" s="2"/>
      <x:c r="C3737" s="2"/>
      <x:c r="D3737" s="2"/>
      <x:c r="E3737" s="2"/>
      <x:c r="F3737" s="2"/>
      <x:c r="G3737" s="2"/>
    </x:row>
    <x:row r="3738">
      <x:c r="B3738" s="2"/>
      <x:c r="C3738" s="2"/>
      <x:c r="D3738" s="2"/>
      <x:c r="E3738" s="2"/>
      <x:c r="F3738" s="2"/>
      <x:c r="G3738" s="2"/>
    </x:row>
    <x:row r="3739">
      <x:c r="B3739" s="2"/>
      <x:c r="C3739" s="2"/>
      <x:c r="D3739" s="2"/>
      <x:c r="E3739" s="2"/>
      <x:c r="F3739" s="2"/>
      <x:c r="G3739" s="2"/>
    </x:row>
    <x:row r="3740">
      <x:c r="B3740" s="2"/>
      <x:c r="C3740" s="2"/>
      <x:c r="D3740" s="2"/>
      <x:c r="E3740" s="2"/>
      <x:c r="F3740" s="2"/>
      <x:c r="G3740" s="2"/>
    </x:row>
    <x:row r="3741">
      <x:c r="B3741" s="2"/>
      <x:c r="C3741" s="2"/>
      <x:c r="D3741" s="2"/>
      <x:c r="E3741" s="2"/>
      <x:c r="F3741" s="2"/>
      <x:c r="G3741" s="2"/>
    </x:row>
    <x:row r="3742">
      <x:c r="B3742" s="2"/>
      <x:c r="C3742" s="2"/>
      <x:c r="D3742" s="2"/>
      <x:c r="E3742" s="2"/>
      <x:c r="F3742" s="2"/>
      <x:c r="G3742" s="2"/>
    </x:row>
    <x:row r="3743">
      <x:c r="B3743" s="2"/>
      <x:c r="C3743" s="2"/>
      <x:c r="D3743" s="2"/>
      <x:c r="E3743" s="2"/>
      <x:c r="F3743" s="2"/>
      <x:c r="G3743" s="2"/>
    </x:row>
    <x:row r="3744">
      <x:c r="B3744" s="2"/>
      <x:c r="C3744" s="2"/>
      <x:c r="D3744" s="2"/>
      <x:c r="E3744" s="2"/>
      <x:c r="F3744" s="2"/>
      <x:c r="G3744" s="2"/>
    </x:row>
    <x:row r="3745">
      <x:c r="B3745" s="2"/>
      <x:c r="C3745" s="2"/>
      <x:c r="D3745" s="2"/>
      <x:c r="E3745" s="2"/>
      <x:c r="F3745" s="2"/>
      <x:c r="G3745" s="2"/>
    </x:row>
    <x:row r="3746">
      <x:c r="B3746" s="2"/>
      <x:c r="C3746" s="2"/>
      <x:c r="D3746" s="2"/>
      <x:c r="E3746" s="2"/>
      <x:c r="F3746" s="2"/>
      <x:c r="G3746" s="2"/>
    </x:row>
    <x:row r="3747">
      <x:c r="B3747" s="2"/>
      <x:c r="C3747" s="2"/>
      <x:c r="D3747" s="2"/>
      <x:c r="E3747" s="2"/>
      <x:c r="F3747" s="2"/>
      <x:c r="G3747" s="2"/>
    </x:row>
    <x:row r="3748">
      <x:c r="B3748" s="2"/>
      <x:c r="C3748" s="2"/>
      <x:c r="D3748" s="2"/>
      <x:c r="E3748" s="2"/>
      <x:c r="F3748" s="2"/>
      <x:c r="G3748" s="2"/>
    </x:row>
    <x:row r="3749">
      <x:c r="B3749" s="2"/>
      <x:c r="C3749" s="2"/>
      <x:c r="D3749" s="2"/>
      <x:c r="E3749" s="2"/>
      <x:c r="F3749" s="2"/>
      <x:c r="G3749" s="2"/>
    </x:row>
    <x:row r="3750">
      <x:c r="B3750" s="2"/>
      <x:c r="C3750" s="2"/>
      <x:c r="D3750" s="2"/>
      <x:c r="E3750" s="2"/>
      <x:c r="F3750" s="2"/>
      <x:c r="G3750" s="2"/>
    </x:row>
    <x:row r="3751">
      <x:c r="B3751" s="2"/>
      <x:c r="C3751" s="2"/>
      <x:c r="D3751" s="2"/>
      <x:c r="E3751" s="2"/>
      <x:c r="F3751" s="2"/>
      <x:c r="G3751" s="2"/>
    </x:row>
    <x:row r="3752">
      <x:c r="B3752" s="2"/>
      <x:c r="C3752" s="2"/>
      <x:c r="D3752" s="2"/>
      <x:c r="E3752" s="2"/>
      <x:c r="F3752" s="2"/>
      <x:c r="G3752" s="2"/>
    </x:row>
    <x:row r="3753">
      <x:c r="B3753" s="2"/>
      <x:c r="C3753" s="2"/>
      <x:c r="D3753" s="2"/>
      <x:c r="E3753" s="2"/>
      <x:c r="F3753" s="2"/>
      <x:c r="G3753" s="2"/>
    </x:row>
    <x:row r="3754">
      <x:c r="B3754" s="2"/>
      <x:c r="C3754" s="2"/>
      <x:c r="D3754" s="2"/>
      <x:c r="E3754" s="2"/>
      <x:c r="F3754" s="2"/>
      <x:c r="G3754" s="2"/>
    </x:row>
    <x:row r="3755">
      <x:c r="B3755" s="2"/>
      <x:c r="C3755" s="2"/>
      <x:c r="D3755" s="2"/>
      <x:c r="E3755" s="2"/>
      <x:c r="F3755" s="2"/>
      <x:c r="G3755" s="2"/>
    </x:row>
    <x:row r="3756">
      <x:c r="B3756" s="2"/>
      <x:c r="C3756" s="2"/>
      <x:c r="D3756" s="2"/>
      <x:c r="E3756" s="2"/>
      <x:c r="F3756" s="2"/>
      <x:c r="G3756" s="2"/>
    </x:row>
    <x:row r="3757">
      <x:c r="B3757" s="2"/>
      <x:c r="C3757" s="2"/>
      <x:c r="D3757" s="2"/>
      <x:c r="E3757" s="2"/>
      <x:c r="F3757" s="2"/>
      <x:c r="G3757" s="2"/>
    </x:row>
    <x:row r="3758">
      <x:c r="B3758" s="2"/>
      <x:c r="C3758" s="2"/>
      <x:c r="D3758" s="2"/>
      <x:c r="E3758" s="2"/>
      <x:c r="F3758" s="2"/>
      <x:c r="G3758" s="2"/>
    </x:row>
    <x:row r="3759">
      <x:c r="B3759" s="2"/>
      <x:c r="C3759" s="2"/>
      <x:c r="D3759" s="2"/>
      <x:c r="E3759" s="2"/>
      <x:c r="F3759" s="2"/>
      <x:c r="G3759" s="2"/>
    </x:row>
    <x:row r="3760">
      <x:c r="B3760" s="2"/>
      <x:c r="C3760" s="2"/>
      <x:c r="D3760" s="2"/>
      <x:c r="E3760" s="2"/>
      <x:c r="F3760" s="2"/>
      <x:c r="G3760" s="2"/>
    </x:row>
    <x:row r="3761">
      <x:c r="B3761" s="2"/>
      <x:c r="C3761" s="2"/>
      <x:c r="D3761" s="2"/>
      <x:c r="E3761" s="2"/>
      <x:c r="F3761" s="2"/>
      <x:c r="G3761" s="2"/>
    </x:row>
    <x:row r="3762">
      <x:c r="B3762" s="2"/>
      <x:c r="C3762" s="2"/>
      <x:c r="D3762" s="2"/>
      <x:c r="E3762" s="2"/>
      <x:c r="F3762" s="2"/>
      <x:c r="G3762" s="2"/>
    </x:row>
    <x:row r="3763">
      <x:c r="B3763" s="2"/>
      <x:c r="C3763" s="2"/>
      <x:c r="D3763" s="2"/>
      <x:c r="E3763" s="2"/>
      <x:c r="F3763" s="2"/>
      <x:c r="G3763" s="2"/>
    </x:row>
    <x:row r="3764">
      <x:c r="B3764" s="2"/>
      <x:c r="C3764" s="2"/>
      <x:c r="D3764" s="2"/>
      <x:c r="E3764" s="2"/>
      <x:c r="F3764" s="2"/>
      <x:c r="G3764" s="2"/>
    </x:row>
    <x:row r="3765">
      <x:c r="B3765" s="2"/>
      <x:c r="C3765" s="2"/>
      <x:c r="D3765" s="2"/>
      <x:c r="E3765" s="2"/>
      <x:c r="F3765" s="2"/>
      <x:c r="G3765" s="2"/>
    </x:row>
    <x:row r="3766">
      <x:c r="B3766" s="2"/>
      <x:c r="C3766" s="2"/>
      <x:c r="D3766" s="2"/>
      <x:c r="E3766" s="2"/>
      <x:c r="F3766" s="2"/>
      <x:c r="G3766" s="2"/>
    </x:row>
    <x:row r="3767">
      <x:c r="B3767" s="2"/>
      <x:c r="C3767" s="2"/>
      <x:c r="D3767" s="2"/>
      <x:c r="E3767" s="2"/>
      <x:c r="F3767" s="2"/>
      <x:c r="G3767" s="2"/>
    </x:row>
    <x:row r="3768">
      <x:c r="B3768" s="2"/>
      <x:c r="C3768" s="2"/>
      <x:c r="D3768" s="2"/>
      <x:c r="E3768" s="2"/>
      <x:c r="F3768" s="2"/>
      <x:c r="G3768" s="2"/>
    </x:row>
    <x:row r="3769">
      <x:c r="B3769" s="2"/>
      <x:c r="C3769" s="2"/>
      <x:c r="D3769" s="2"/>
      <x:c r="E3769" s="2"/>
      <x:c r="F3769" s="2"/>
      <x:c r="G3769" s="2"/>
    </x:row>
    <x:row r="3770">
      <x:c r="B3770" s="2"/>
      <x:c r="C3770" s="2"/>
      <x:c r="D3770" s="2"/>
      <x:c r="E3770" s="2"/>
      <x:c r="F3770" s="2"/>
      <x:c r="G3770" s="2"/>
    </x:row>
    <x:row r="3771">
      <x:c r="B3771" s="2"/>
      <x:c r="C3771" s="2"/>
      <x:c r="D3771" s="2"/>
      <x:c r="E3771" s="2"/>
      <x:c r="F3771" s="2"/>
      <x:c r="G3771" s="2"/>
    </x:row>
    <x:row r="3772">
      <x:c r="B3772" s="2"/>
      <x:c r="C3772" s="2"/>
      <x:c r="D3772" s="2"/>
      <x:c r="E3772" s="2"/>
      <x:c r="F3772" s="2"/>
      <x:c r="G3772" s="2"/>
    </x:row>
    <x:row r="3773">
      <x:c r="B3773" s="2"/>
      <x:c r="C3773" s="2"/>
      <x:c r="D3773" s="2"/>
      <x:c r="E3773" s="2"/>
      <x:c r="F3773" s="2"/>
      <x:c r="G3773" s="2"/>
    </x:row>
    <x:row r="3774">
      <x:c r="B3774" s="2"/>
      <x:c r="C3774" s="2"/>
      <x:c r="D3774" s="2"/>
      <x:c r="E3774" s="2"/>
      <x:c r="F3774" s="2"/>
      <x:c r="G3774" s="2"/>
    </x:row>
    <x:row r="3775">
      <x:c r="B3775" s="2"/>
      <x:c r="C3775" s="2"/>
      <x:c r="D3775" s="2"/>
      <x:c r="E3775" s="2"/>
      <x:c r="F3775" s="2"/>
      <x:c r="G3775" s="2"/>
    </x:row>
    <x:row r="3776">
      <x:c r="B3776" s="2"/>
      <x:c r="C3776" s="2"/>
      <x:c r="D3776" s="2"/>
      <x:c r="E3776" s="2"/>
      <x:c r="F3776" s="2"/>
      <x:c r="G3776" s="2"/>
    </x:row>
    <x:row r="3777">
      <x:c r="B3777" s="2"/>
      <x:c r="C3777" s="2"/>
      <x:c r="D3777" s="2"/>
      <x:c r="E3777" s="2"/>
      <x:c r="F3777" s="2"/>
      <x:c r="G3777" s="2"/>
    </x:row>
    <x:row r="3778">
      <x:c r="B3778" s="2"/>
      <x:c r="C3778" s="2"/>
      <x:c r="D3778" s="2"/>
      <x:c r="E3778" s="2"/>
      <x:c r="F3778" s="2"/>
      <x:c r="G3778" s="2"/>
    </x:row>
    <x:row r="3779">
      <x:c r="B3779" s="2"/>
      <x:c r="C3779" s="2"/>
      <x:c r="D3779" s="2"/>
      <x:c r="E3779" s="2"/>
      <x:c r="F3779" s="2"/>
      <x:c r="G3779" s="2"/>
    </x:row>
    <x:row r="3780">
      <x:c r="B3780" s="2"/>
      <x:c r="C3780" s="2"/>
      <x:c r="D3780" s="2"/>
      <x:c r="E3780" s="2"/>
      <x:c r="F3780" s="2"/>
      <x:c r="G3780" s="2"/>
    </x:row>
    <x:row r="3781">
      <x:c r="B3781" s="2"/>
      <x:c r="C3781" s="2"/>
      <x:c r="D3781" s="2"/>
      <x:c r="E3781" s="2"/>
      <x:c r="F3781" s="2"/>
      <x:c r="G3781" s="2"/>
    </x:row>
    <x:row r="3782">
      <x:c r="B3782" s="2"/>
      <x:c r="C3782" s="2"/>
      <x:c r="D3782" s="2"/>
      <x:c r="E3782" s="2"/>
      <x:c r="F3782" s="2"/>
      <x:c r="G3782" s="2"/>
    </x:row>
    <x:row r="3783">
      <x:c r="B3783" s="2"/>
      <x:c r="C3783" s="2"/>
      <x:c r="D3783" s="2"/>
      <x:c r="E3783" s="2"/>
      <x:c r="F3783" s="2"/>
      <x:c r="G3783" s="2"/>
    </x:row>
    <x:row r="3784">
      <x:c r="B3784" s="2"/>
      <x:c r="C3784" s="2"/>
      <x:c r="D3784" s="2"/>
      <x:c r="E3784" s="2"/>
      <x:c r="F3784" s="2"/>
      <x:c r="G3784" s="2"/>
    </x:row>
    <x:row r="3785">
      <x:c r="B3785" s="2"/>
      <x:c r="C3785" s="2"/>
      <x:c r="D3785" s="2"/>
      <x:c r="E3785" s="2"/>
      <x:c r="F3785" s="2"/>
      <x:c r="G3785" s="2"/>
    </x:row>
    <x:row r="3786">
      <x:c r="B3786" s="2"/>
      <x:c r="C3786" s="2"/>
      <x:c r="D3786" s="2"/>
      <x:c r="E3786" s="2"/>
      <x:c r="F3786" s="2"/>
      <x:c r="G3786" s="2"/>
    </x:row>
    <x:row r="3787">
      <x:c r="B3787" s="2"/>
      <x:c r="C3787" s="2"/>
      <x:c r="D3787" s="2"/>
      <x:c r="E3787" s="2"/>
      <x:c r="F3787" s="2"/>
      <x:c r="G3787" s="2"/>
    </x:row>
    <x:row r="3788">
      <x:c r="B3788" s="2"/>
      <x:c r="C3788" s="2"/>
      <x:c r="D3788" s="2"/>
      <x:c r="E3788" s="2"/>
      <x:c r="F3788" s="2"/>
      <x:c r="G3788" s="2"/>
    </x:row>
    <x:row r="3789">
      <x:c r="B3789" s="2"/>
      <x:c r="C3789" s="2"/>
      <x:c r="D3789" s="2"/>
      <x:c r="E3789" s="2"/>
      <x:c r="F3789" s="2"/>
      <x:c r="G3789" s="2"/>
    </x:row>
    <x:row r="3790">
      <x:c r="B3790" s="2"/>
      <x:c r="C3790" s="2"/>
      <x:c r="D3790" s="2"/>
      <x:c r="E3790" s="2"/>
      <x:c r="F3790" s="2"/>
      <x:c r="G3790" s="2"/>
    </x:row>
    <x:row r="3791">
      <x:c r="B3791" s="2"/>
      <x:c r="C3791" s="2"/>
      <x:c r="D3791" s="2"/>
      <x:c r="E3791" s="2"/>
      <x:c r="F3791" s="2"/>
      <x:c r="G3791" s="2"/>
    </x:row>
    <x:row r="3792">
      <x:c r="B3792" s="2"/>
      <x:c r="C3792" s="2"/>
      <x:c r="D3792" s="2"/>
      <x:c r="E3792" s="2"/>
      <x:c r="F3792" s="2"/>
      <x:c r="G3792" s="2"/>
    </x:row>
    <x:row r="3793">
      <x:c r="B3793" s="2"/>
      <x:c r="C3793" s="2"/>
      <x:c r="D3793" s="2"/>
      <x:c r="E3793" s="2"/>
      <x:c r="F3793" s="2"/>
      <x:c r="G3793" s="2"/>
    </x:row>
    <x:row r="3794">
      <x:c r="B3794" s="2"/>
      <x:c r="C3794" s="2"/>
      <x:c r="D3794" s="2"/>
      <x:c r="E3794" s="2"/>
      <x:c r="F3794" s="2"/>
      <x:c r="G3794" s="2"/>
    </x:row>
    <x:row r="3795">
      <x:c r="B3795" s="2"/>
      <x:c r="C3795" s="2"/>
      <x:c r="D3795" s="2"/>
      <x:c r="E3795" s="2"/>
      <x:c r="F3795" s="2"/>
      <x:c r="G3795" s="2"/>
    </x:row>
    <x:row r="3796">
      <x:c r="B3796" s="2"/>
      <x:c r="C3796" s="2"/>
      <x:c r="D3796" s="2"/>
      <x:c r="E3796" s="2"/>
      <x:c r="F3796" s="2"/>
      <x:c r="G3796" s="2"/>
    </x:row>
    <x:row r="3797">
      <x:c r="B3797" s="2"/>
      <x:c r="C3797" s="2"/>
      <x:c r="D3797" s="2"/>
      <x:c r="E3797" s="2"/>
      <x:c r="F3797" s="2"/>
      <x:c r="G3797" s="2"/>
    </x:row>
    <x:row r="3798">
      <x:c r="B3798" s="2"/>
      <x:c r="C3798" s="2"/>
      <x:c r="D3798" s="2"/>
      <x:c r="E3798" s="2"/>
      <x:c r="F3798" s="2"/>
      <x:c r="G3798" s="2"/>
    </x:row>
    <x:row r="3799">
      <x:c r="B3799" s="2"/>
      <x:c r="C3799" s="2"/>
      <x:c r="D3799" s="2"/>
      <x:c r="E3799" s="2"/>
      <x:c r="F3799" s="2"/>
      <x:c r="G3799" s="2"/>
    </x:row>
    <x:row r="3800">
      <x:c r="B3800" s="2"/>
      <x:c r="C3800" s="2"/>
      <x:c r="D3800" s="2"/>
      <x:c r="E3800" s="2"/>
      <x:c r="F3800" s="2"/>
      <x:c r="G3800" s="2"/>
    </x:row>
    <x:row r="3801">
      <x:c r="B3801" s="2"/>
      <x:c r="C3801" s="2"/>
      <x:c r="D3801" s="2"/>
      <x:c r="E3801" s="2"/>
      <x:c r="F3801" s="2"/>
      <x:c r="G3801" s="2"/>
    </x:row>
    <x:row r="3802">
      <x:c r="B3802" s="2"/>
      <x:c r="C3802" s="2"/>
      <x:c r="D3802" s="2"/>
      <x:c r="E3802" s="2"/>
      <x:c r="F3802" s="2"/>
      <x:c r="G3802" s="2"/>
    </x:row>
    <x:row r="3803">
      <x:c r="B3803" s="2"/>
      <x:c r="C3803" s="2"/>
      <x:c r="D3803" s="2"/>
      <x:c r="E3803" s="2"/>
      <x:c r="F3803" s="2"/>
      <x:c r="G3803" s="2"/>
    </x:row>
    <x:row r="3804">
      <x:c r="B3804" s="2"/>
      <x:c r="C3804" s="2"/>
      <x:c r="D3804" s="2"/>
      <x:c r="E3804" s="2"/>
      <x:c r="F3804" s="2"/>
      <x:c r="G3804" s="2"/>
    </x:row>
    <x:row r="3805">
      <x:c r="B3805" s="2"/>
      <x:c r="C3805" s="2"/>
      <x:c r="D3805" s="2"/>
      <x:c r="E3805" s="2"/>
      <x:c r="F3805" s="2"/>
      <x:c r="G3805" s="2"/>
    </x:row>
    <x:row r="3806">
      <x:c r="B3806" s="2"/>
      <x:c r="C3806" s="2"/>
      <x:c r="D3806" s="2"/>
      <x:c r="E3806" s="2"/>
      <x:c r="F3806" s="2"/>
      <x:c r="G3806" s="2"/>
    </x:row>
    <x:row r="3807">
      <x:c r="B3807" s="2"/>
      <x:c r="C3807" s="2"/>
      <x:c r="D3807" s="2"/>
      <x:c r="E3807" s="2"/>
      <x:c r="F3807" s="2"/>
      <x:c r="G3807" s="2"/>
    </x:row>
    <x:row r="3808">
      <x:c r="B3808" s="2"/>
      <x:c r="C3808" s="2"/>
      <x:c r="D3808" s="2"/>
      <x:c r="E3808" s="2"/>
      <x:c r="F3808" s="2"/>
      <x:c r="G3808" s="2"/>
    </x:row>
    <x:row r="3809">
      <x:c r="B3809" s="2"/>
      <x:c r="C3809" s="2"/>
      <x:c r="D3809" s="2"/>
      <x:c r="E3809" s="2"/>
      <x:c r="F3809" s="2"/>
      <x:c r="G3809" s="2"/>
    </x:row>
    <x:row r="3810">
      <x:c r="B3810" s="2"/>
      <x:c r="C3810" s="2"/>
      <x:c r="D3810" s="2"/>
      <x:c r="E3810" s="2"/>
      <x:c r="F3810" s="2"/>
      <x:c r="G3810" s="2"/>
    </x:row>
    <x:row r="3811">
      <x:c r="B3811" s="2"/>
      <x:c r="C3811" s="2"/>
      <x:c r="D3811" s="2"/>
      <x:c r="E3811" s="2"/>
      <x:c r="F3811" s="2"/>
      <x:c r="G3811" s="2"/>
    </x:row>
    <x:row r="3812">
      <x:c r="B3812" s="2"/>
      <x:c r="C3812" s="2"/>
      <x:c r="D3812" s="2"/>
      <x:c r="E3812" s="2"/>
      <x:c r="F3812" s="2"/>
      <x:c r="G3812" s="2"/>
    </x:row>
    <x:row r="3813">
      <x:c r="B3813" s="2"/>
      <x:c r="C3813" s="2"/>
      <x:c r="D3813" s="2"/>
      <x:c r="E3813" s="2"/>
      <x:c r="F3813" s="2"/>
      <x:c r="G3813" s="2"/>
    </x:row>
    <x:row r="3814">
      <x:c r="B3814" s="2"/>
      <x:c r="C3814" s="2"/>
      <x:c r="D3814" s="2"/>
      <x:c r="E3814" s="2"/>
      <x:c r="F3814" s="2"/>
      <x:c r="G3814" s="2"/>
    </x:row>
    <x:row r="3815">
      <x:c r="B3815" s="2"/>
      <x:c r="C3815" s="2"/>
      <x:c r="D3815" s="2"/>
      <x:c r="E3815" s="2"/>
      <x:c r="F3815" s="2"/>
      <x:c r="G3815" s="2"/>
    </x:row>
    <x:row r="3816">
      <x:c r="B3816" s="2"/>
      <x:c r="C3816" s="2"/>
      <x:c r="D3816" s="2"/>
      <x:c r="E3816" s="2"/>
      <x:c r="F3816" s="2"/>
      <x:c r="G3816" s="2"/>
    </x:row>
    <x:row r="3817">
      <x:c r="B3817" s="2"/>
      <x:c r="C3817" s="2"/>
      <x:c r="D3817" s="2"/>
      <x:c r="E3817" s="2"/>
      <x:c r="F3817" s="2"/>
      <x:c r="G3817" s="2"/>
    </x:row>
    <x:row r="3818">
      <x:c r="B3818" s="2"/>
      <x:c r="C3818" s="2"/>
      <x:c r="D3818" s="2"/>
      <x:c r="E3818" s="2"/>
      <x:c r="F3818" s="2"/>
      <x:c r="G3818" s="2"/>
    </x:row>
    <x:row r="3819">
      <x:c r="B3819" s="2"/>
      <x:c r="C3819" s="2"/>
      <x:c r="D3819" s="2"/>
      <x:c r="E3819" s="2"/>
      <x:c r="F3819" s="2"/>
      <x:c r="G3819" s="2"/>
    </x:row>
    <x:row r="3820">
      <x:c r="B3820" s="2"/>
      <x:c r="C3820" s="2"/>
      <x:c r="D3820" s="2"/>
      <x:c r="E3820" s="2"/>
      <x:c r="F3820" s="2"/>
      <x:c r="G3820" s="2"/>
    </x:row>
    <x:row r="3821">
      <x:c r="B3821" s="2"/>
      <x:c r="C3821" s="2"/>
      <x:c r="D3821" s="2"/>
      <x:c r="E3821" s="2"/>
      <x:c r="F3821" s="2"/>
      <x:c r="G3821" s="2"/>
    </x:row>
    <x:row r="3822">
      <x:c r="B3822" s="2"/>
      <x:c r="C3822" s="2"/>
      <x:c r="D3822" s="2"/>
      <x:c r="E3822" s="2"/>
      <x:c r="F3822" s="2"/>
      <x:c r="G3822" s="2"/>
    </x:row>
    <x:row r="3823">
      <x:c r="B3823" s="2"/>
      <x:c r="C3823" s="2"/>
      <x:c r="D3823" s="2"/>
      <x:c r="E3823" s="2"/>
      <x:c r="F3823" s="2"/>
      <x:c r="G3823" s="2"/>
    </x:row>
    <x:row r="3824">
      <x:c r="B3824" s="2"/>
      <x:c r="C3824" s="2"/>
      <x:c r="D3824" s="2"/>
      <x:c r="E3824" s="2"/>
      <x:c r="F3824" s="2"/>
      <x:c r="G3824" s="2"/>
    </x:row>
    <x:row r="3825">
      <x:c r="B3825" s="2"/>
      <x:c r="C3825" s="2"/>
      <x:c r="D3825" s="2"/>
      <x:c r="E3825" s="2"/>
      <x:c r="F3825" s="2"/>
      <x:c r="G3825" s="2"/>
    </x:row>
    <x:row r="3826">
      <x:c r="B3826" s="2"/>
      <x:c r="C3826" s="2"/>
      <x:c r="D3826" s="2"/>
      <x:c r="E3826" s="2"/>
      <x:c r="F3826" s="2"/>
      <x:c r="G3826" s="2"/>
    </x:row>
    <x:row r="3827">
      <x:c r="B3827" s="2"/>
      <x:c r="C3827" s="2"/>
      <x:c r="D3827" s="2"/>
      <x:c r="E3827" s="2"/>
      <x:c r="F3827" s="2"/>
      <x:c r="G3827" s="2"/>
    </x:row>
    <x:row r="3828">
      <x:c r="B3828" s="2"/>
      <x:c r="C3828" s="2"/>
      <x:c r="D3828" s="2"/>
      <x:c r="E3828" s="2"/>
      <x:c r="F3828" s="2"/>
      <x:c r="G3828" s="2"/>
    </x:row>
    <x:row r="3829">
      <x:c r="B3829" s="2"/>
      <x:c r="C3829" s="2"/>
      <x:c r="D3829" s="2"/>
      <x:c r="E3829" s="2"/>
      <x:c r="F3829" s="2"/>
      <x:c r="G3829" s="2"/>
    </x:row>
    <x:row r="3830">
      <x:c r="B3830" s="2"/>
      <x:c r="C3830" s="2"/>
      <x:c r="D3830" s="2"/>
      <x:c r="E3830" s="2"/>
      <x:c r="F3830" s="2"/>
      <x:c r="G3830" s="2"/>
    </x:row>
    <x:row r="3831">
      <x:c r="B3831" s="2"/>
      <x:c r="C3831" s="2"/>
      <x:c r="D3831" s="2"/>
      <x:c r="E3831" s="2"/>
      <x:c r="F3831" s="2"/>
      <x:c r="G3831" s="2"/>
    </x:row>
    <x:row r="3832">
      <x:c r="B3832" s="2"/>
      <x:c r="C3832" s="2"/>
      <x:c r="D3832" s="2"/>
      <x:c r="E3832" s="2"/>
      <x:c r="F3832" s="2"/>
      <x:c r="G3832" s="2"/>
    </x:row>
    <x:row r="3833">
      <x:c r="B3833" s="2"/>
      <x:c r="C3833" s="2"/>
      <x:c r="D3833" s="2"/>
      <x:c r="E3833" s="2"/>
      <x:c r="F3833" s="2"/>
      <x:c r="G3833" s="2"/>
    </x:row>
    <x:row r="3834">
      <x:c r="B3834" s="2"/>
      <x:c r="C3834" s="2"/>
      <x:c r="D3834" s="2"/>
      <x:c r="E3834" s="2"/>
      <x:c r="F3834" s="2"/>
      <x:c r="G3834" s="2"/>
    </x:row>
    <x:row r="3835">
      <x:c r="B3835" s="2"/>
      <x:c r="C3835" s="2"/>
      <x:c r="D3835" s="2"/>
      <x:c r="E3835" s="2"/>
      <x:c r="F3835" s="2"/>
      <x:c r="G3835" s="2"/>
    </x:row>
    <x:row r="3836">
      <x:c r="B3836" s="2"/>
      <x:c r="C3836" s="2"/>
      <x:c r="D3836" s="2"/>
      <x:c r="E3836" s="2"/>
      <x:c r="F3836" s="2"/>
      <x:c r="G3836" s="2"/>
    </x:row>
    <x:row r="3837">
      <x:c r="B3837" s="2"/>
      <x:c r="C3837" s="2"/>
      <x:c r="D3837" s="2"/>
      <x:c r="E3837" s="2"/>
      <x:c r="F3837" s="2"/>
      <x:c r="G3837" s="2"/>
    </x:row>
    <x:row r="3838">
      <x:c r="B3838" s="2"/>
      <x:c r="C3838" s="2"/>
      <x:c r="D3838" s="2"/>
      <x:c r="E3838" s="2"/>
      <x:c r="F3838" s="2"/>
      <x:c r="G3838" s="2"/>
    </x:row>
    <x:row r="3839">
      <x:c r="B3839" s="2"/>
      <x:c r="C3839" s="2"/>
      <x:c r="D3839" s="2"/>
      <x:c r="E3839" s="2"/>
      <x:c r="F3839" s="2"/>
      <x:c r="G3839" s="2"/>
    </x:row>
    <x:row r="3840">
      <x:c r="B3840" s="2"/>
      <x:c r="C3840" s="2"/>
      <x:c r="D3840" s="2"/>
      <x:c r="E3840" s="2"/>
      <x:c r="F3840" s="2"/>
      <x:c r="G3840" s="2"/>
    </x:row>
    <x:row r="3841">
      <x:c r="B3841" s="2"/>
      <x:c r="C3841" s="2"/>
      <x:c r="D3841" s="2"/>
      <x:c r="E3841" s="2"/>
      <x:c r="F3841" s="2"/>
      <x:c r="G3841" s="2"/>
    </x:row>
    <x:row r="3842">
      <x:c r="B3842" s="2"/>
      <x:c r="C3842" s="2"/>
      <x:c r="D3842" s="2"/>
      <x:c r="E3842" s="2"/>
      <x:c r="F3842" s="2"/>
      <x:c r="G3842" s="2"/>
    </x:row>
    <x:row r="3843">
      <x:c r="B3843" s="2"/>
      <x:c r="C3843" s="2"/>
      <x:c r="D3843" s="2"/>
      <x:c r="E3843" s="2"/>
      <x:c r="F3843" s="2"/>
      <x:c r="G3843" s="2"/>
    </x:row>
    <x:row r="3844">
      <x:c r="B3844" s="2"/>
      <x:c r="C3844" s="2"/>
      <x:c r="D3844" s="2"/>
      <x:c r="E3844" s="2"/>
      <x:c r="F3844" s="2"/>
      <x:c r="G3844" s="2"/>
    </x:row>
    <x:row r="3845">
      <x:c r="B3845" s="2"/>
      <x:c r="C3845" s="2"/>
      <x:c r="D3845" s="2"/>
      <x:c r="E3845" s="2"/>
      <x:c r="F3845" s="2"/>
      <x:c r="G3845" s="2"/>
    </x:row>
    <x:row r="3846">
      <x:c r="B3846" s="2"/>
      <x:c r="C3846" s="2"/>
      <x:c r="D3846" s="2"/>
      <x:c r="E3846" s="2"/>
      <x:c r="F3846" s="2"/>
      <x:c r="G3846" s="2"/>
    </x:row>
    <x:row r="3847">
      <x:c r="B3847" s="2"/>
      <x:c r="C3847" s="2"/>
      <x:c r="D3847" s="2"/>
      <x:c r="E3847" s="2"/>
      <x:c r="F3847" s="2"/>
      <x:c r="G3847" s="2"/>
    </x:row>
    <x:row r="3848">
      <x:c r="B3848" s="2"/>
      <x:c r="C3848" s="2"/>
      <x:c r="D3848" s="2"/>
      <x:c r="E3848" s="2"/>
      <x:c r="F3848" s="2"/>
      <x:c r="G3848" s="2"/>
    </x:row>
    <x:row r="3849">
      <x:c r="B3849" s="2"/>
      <x:c r="C3849" s="2"/>
      <x:c r="D3849" s="2"/>
      <x:c r="E3849" s="2"/>
      <x:c r="F3849" s="2"/>
      <x:c r="G3849" s="2"/>
    </x:row>
    <x:row r="3850">
      <x:c r="B3850" s="2"/>
      <x:c r="C3850" s="2"/>
      <x:c r="D3850" s="2"/>
      <x:c r="E3850" s="2"/>
      <x:c r="F3850" s="2"/>
      <x:c r="G3850" s="2"/>
    </x:row>
    <x:row r="3851">
      <x:c r="B3851" s="2"/>
      <x:c r="C3851" s="2"/>
      <x:c r="D3851" s="2"/>
      <x:c r="E3851" s="2"/>
      <x:c r="F3851" s="2"/>
      <x:c r="G3851" s="2"/>
    </x:row>
    <x:row r="3852">
      <x:c r="B3852" s="2"/>
      <x:c r="C3852" s="2"/>
      <x:c r="D3852" s="2"/>
      <x:c r="E3852" s="2"/>
      <x:c r="F3852" s="2"/>
      <x:c r="G3852" s="2"/>
    </x:row>
    <x:row r="3853">
      <x:c r="B3853" s="2"/>
      <x:c r="C3853" s="2"/>
      <x:c r="D3853" s="2"/>
      <x:c r="E3853" s="2"/>
      <x:c r="F3853" s="2"/>
      <x:c r="G3853" s="2"/>
    </x:row>
    <x:row r="3854">
      <x:c r="B3854" s="2"/>
      <x:c r="C3854" s="2"/>
      <x:c r="D3854" s="2"/>
      <x:c r="E3854" s="2"/>
      <x:c r="F3854" s="2"/>
      <x:c r="G3854" s="2"/>
    </x:row>
    <x:row r="3855">
      <x:c r="B3855" s="2"/>
      <x:c r="C3855" s="2"/>
      <x:c r="D3855" s="2"/>
      <x:c r="E3855" s="2"/>
      <x:c r="F3855" s="2"/>
      <x:c r="G3855" s="2"/>
    </x:row>
    <x:row r="3856">
      <x:c r="B3856" s="2"/>
      <x:c r="C3856" s="2"/>
      <x:c r="D3856" s="2"/>
      <x:c r="E3856" s="2"/>
      <x:c r="F3856" s="2"/>
      <x:c r="G3856" s="2"/>
    </x:row>
    <x:row r="3857">
      <x:c r="B3857" s="2"/>
      <x:c r="C3857" s="2"/>
      <x:c r="D3857" s="2"/>
      <x:c r="E3857" s="2"/>
      <x:c r="F3857" s="2"/>
      <x:c r="G3857" s="2"/>
    </x:row>
    <x:row r="3858">
      <x:c r="B3858" s="2"/>
      <x:c r="C3858" s="2"/>
      <x:c r="D3858" s="2"/>
      <x:c r="E3858" s="2"/>
      <x:c r="F3858" s="2"/>
      <x:c r="G3858" s="2"/>
    </x:row>
    <x:row r="3859">
      <x:c r="B3859" s="2"/>
      <x:c r="C3859" s="2"/>
      <x:c r="D3859" s="2"/>
      <x:c r="E3859" s="2"/>
      <x:c r="F3859" s="2"/>
      <x:c r="G3859" s="2"/>
    </x:row>
    <x:row r="3860">
      <x:c r="B3860" s="2"/>
      <x:c r="C3860" s="2"/>
      <x:c r="D3860" s="2"/>
      <x:c r="E3860" s="2"/>
      <x:c r="F3860" s="2"/>
      <x:c r="G3860" s="2"/>
    </x:row>
    <x:row r="3861">
      <x:c r="B3861" s="2"/>
      <x:c r="C3861" s="2"/>
      <x:c r="D3861" s="2"/>
      <x:c r="E3861" s="2"/>
      <x:c r="F3861" s="2"/>
      <x:c r="G3861" s="2"/>
    </x:row>
    <x:row r="3862">
      <x:c r="B3862" s="2"/>
      <x:c r="C3862" s="2"/>
      <x:c r="D3862" s="2"/>
      <x:c r="E3862" s="2"/>
      <x:c r="F3862" s="2"/>
      <x:c r="G3862" s="2"/>
    </x:row>
    <x:row r="3863">
      <x:c r="B3863" s="2"/>
      <x:c r="C3863" s="2"/>
      <x:c r="D3863" s="2"/>
      <x:c r="E3863" s="2"/>
      <x:c r="F3863" s="2"/>
      <x:c r="G3863" s="2"/>
    </x:row>
    <x:row r="3864">
      <x:c r="B3864" s="2"/>
      <x:c r="C3864" s="2"/>
      <x:c r="D3864" s="2"/>
      <x:c r="E3864" s="2"/>
      <x:c r="F3864" s="2"/>
      <x:c r="G3864" s="2"/>
    </x:row>
    <x:row r="3865">
      <x:c r="B3865" s="2"/>
      <x:c r="C3865" s="2"/>
      <x:c r="D3865" s="2"/>
      <x:c r="E3865" s="2"/>
      <x:c r="F3865" s="2"/>
      <x:c r="G3865" s="2"/>
    </x:row>
    <x:row r="3866">
      <x:c r="B3866" s="2"/>
      <x:c r="C3866" s="2"/>
      <x:c r="D3866" s="2"/>
      <x:c r="E3866" s="2"/>
      <x:c r="F3866" s="2"/>
      <x:c r="G3866" s="2"/>
    </x:row>
    <x:row r="3867">
      <x:c r="B3867" s="2"/>
      <x:c r="C3867" s="2"/>
      <x:c r="D3867" s="2"/>
      <x:c r="E3867" s="2"/>
      <x:c r="F3867" s="2"/>
      <x:c r="G3867" s="2"/>
    </x:row>
    <x:row r="3868">
      <x:c r="B3868" s="2"/>
      <x:c r="C3868" s="2"/>
      <x:c r="D3868" s="2"/>
      <x:c r="E3868" s="2"/>
      <x:c r="F3868" s="2"/>
      <x:c r="G3868" s="2"/>
    </x:row>
    <x:row r="3869">
      <x:c r="B3869" s="2"/>
      <x:c r="C3869" s="2"/>
      <x:c r="D3869" s="2"/>
      <x:c r="E3869" s="2"/>
      <x:c r="F3869" s="2"/>
      <x:c r="G3869" s="2"/>
    </x:row>
    <x:row r="3870">
      <x:c r="B3870" s="2"/>
      <x:c r="C3870" s="2"/>
      <x:c r="D3870" s="2"/>
      <x:c r="E3870" s="2"/>
      <x:c r="F3870" s="2"/>
      <x:c r="G3870" s="2"/>
    </x:row>
    <x:row r="3871">
      <x:c r="B3871" s="2"/>
      <x:c r="C3871" s="2"/>
      <x:c r="D3871" s="2"/>
      <x:c r="E3871" s="2"/>
      <x:c r="F3871" s="2"/>
      <x:c r="G3871" s="2"/>
    </x:row>
    <x:row r="3872">
      <x:c r="B3872" s="2"/>
      <x:c r="C3872" s="2"/>
      <x:c r="D3872" s="2"/>
      <x:c r="E3872" s="2"/>
      <x:c r="F3872" s="2"/>
      <x:c r="G3872" s="2"/>
    </x:row>
    <x:row r="3873">
      <x:c r="B3873" s="2"/>
      <x:c r="C3873" s="2"/>
      <x:c r="D3873" s="2"/>
      <x:c r="E3873" s="2"/>
      <x:c r="F3873" s="2"/>
      <x:c r="G3873" s="2"/>
    </x:row>
    <x:row r="3874">
      <x:c r="B3874" s="2"/>
      <x:c r="C3874" s="2"/>
      <x:c r="D3874" s="2"/>
      <x:c r="E3874" s="2"/>
      <x:c r="F3874" s="2"/>
      <x:c r="G3874" s="2"/>
    </x:row>
    <x:row r="3875">
      <x:c r="B3875" s="2"/>
      <x:c r="C3875" s="2"/>
      <x:c r="D3875" s="2"/>
      <x:c r="E3875" s="2"/>
      <x:c r="F3875" s="2"/>
      <x:c r="G3875" s="2"/>
    </x:row>
    <x:row r="3876">
      <x:c r="B3876" s="2"/>
      <x:c r="C3876" s="2"/>
      <x:c r="D3876" s="2"/>
      <x:c r="E3876" s="2"/>
      <x:c r="F3876" s="2"/>
      <x:c r="G3876" s="2"/>
    </x:row>
    <x:row r="3877">
      <x:c r="B3877" s="2"/>
      <x:c r="C3877" s="2"/>
      <x:c r="D3877" s="2"/>
      <x:c r="E3877" s="2"/>
      <x:c r="F3877" s="2"/>
      <x:c r="G3877" s="2"/>
    </x:row>
    <x:row r="3878">
      <x:c r="B3878" s="2"/>
      <x:c r="C3878" s="2"/>
      <x:c r="D3878" s="2"/>
      <x:c r="E3878" s="2"/>
      <x:c r="F3878" s="2"/>
      <x:c r="G3878" s="2"/>
    </x:row>
    <x:row r="3879">
      <x:c r="B3879" s="2"/>
      <x:c r="C3879" s="2"/>
      <x:c r="D3879" s="2"/>
      <x:c r="E3879" s="2"/>
      <x:c r="F3879" s="2"/>
      <x:c r="G3879" s="2"/>
    </x:row>
    <x:row r="3880">
      <x:c r="B3880" s="2"/>
      <x:c r="C3880" s="2"/>
      <x:c r="D3880" s="2"/>
      <x:c r="E3880" s="2"/>
      <x:c r="F3880" s="2"/>
      <x:c r="G3880" s="2"/>
    </x:row>
    <x:row r="3881">
      <x:c r="B3881" s="2"/>
      <x:c r="C3881" s="2"/>
      <x:c r="D3881" s="2"/>
      <x:c r="E3881" s="2"/>
      <x:c r="F3881" s="2"/>
      <x:c r="G3881" s="2"/>
    </x:row>
    <x:row r="3882">
      <x:c r="B3882" s="2"/>
      <x:c r="C3882" s="2"/>
      <x:c r="D3882" s="2"/>
      <x:c r="E3882" s="2"/>
      <x:c r="F3882" s="2"/>
      <x:c r="G3882" s="2"/>
    </x:row>
    <x:row r="3883">
      <x:c r="B3883" s="2"/>
      <x:c r="C3883" s="2"/>
      <x:c r="D3883" s="2"/>
      <x:c r="E3883" s="2"/>
      <x:c r="F3883" s="2"/>
      <x:c r="G3883" s="2"/>
    </x:row>
    <x:row r="3884">
      <x:c r="B3884" s="2"/>
      <x:c r="C3884" s="2"/>
      <x:c r="D3884" s="2"/>
      <x:c r="E3884" s="2"/>
      <x:c r="F3884" s="2"/>
      <x:c r="G3884" s="2"/>
    </x:row>
    <x:row r="3885">
      <x:c r="B3885" s="2"/>
      <x:c r="C3885" s="2"/>
      <x:c r="D3885" s="2"/>
      <x:c r="E3885" s="2"/>
      <x:c r="F3885" s="2"/>
      <x:c r="G3885" s="2"/>
    </x:row>
    <x:row r="3886">
      <x:c r="B3886" s="2"/>
      <x:c r="C3886" s="2"/>
      <x:c r="D3886" s="2"/>
      <x:c r="E3886" s="2"/>
      <x:c r="F3886" s="2"/>
      <x:c r="G3886" s="2"/>
    </x:row>
    <x:row r="3887">
      <x:c r="B3887" s="2"/>
      <x:c r="C3887" s="2"/>
      <x:c r="D3887" s="2"/>
      <x:c r="E3887" s="2"/>
      <x:c r="F3887" s="2"/>
      <x:c r="G3887" s="2"/>
    </x:row>
    <x:row r="3888">
      <x:c r="B3888" s="2"/>
      <x:c r="C3888" s="2"/>
      <x:c r="D3888" s="2"/>
      <x:c r="E3888" s="2"/>
      <x:c r="F3888" s="2"/>
      <x:c r="G3888" s="2"/>
    </x:row>
    <x:row r="3889">
      <x:c r="B3889" s="2"/>
      <x:c r="C3889" s="2"/>
      <x:c r="D3889" s="2"/>
      <x:c r="E3889" s="2"/>
      <x:c r="F3889" s="2"/>
      <x:c r="G3889" s="2"/>
    </x:row>
    <x:row r="3890">
      <x:c r="B3890" s="2"/>
      <x:c r="C3890" s="2"/>
      <x:c r="D3890" s="2"/>
      <x:c r="E3890" s="2"/>
      <x:c r="F3890" s="2"/>
      <x:c r="G3890" s="2"/>
    </x:row>
    <x:row r="3891">
      <x:c r="B3891" s="2"/>
      <x:c r="C3891" s="2"/>
      <x:c r="D3891" s="2"/>
      <x:c r="E3891" s="2"/>
      <x:c r="F3891" s="2"/>
      <x:c r="G3891" s="2"/>
    </x:row>
    <x:row r="3892">
      <x:c r="B3892" s="2"/>
      <x:c r="C3892" s="2"/>
      <x:c r="D3892" s="2"/>
      <x:c r="E3892" s="2"/>
      <x:c r="F3892" s="2"/>
      <x:c r="G3892" s="2"/>
    </x:row>
    <x:row r="3893">
      <x:c r="B3893" s="2"/>
      <x:c r="C3893" s="2"/>
      <x:c r="D3893" s="2"/>
      <x:c r="E3893" s="2"/>
      <x:c r="F3893" s="2"/>
      <x:c r="G3893" s="2"/>
    </x:row>
    <x:row r="3894">
      <x:c r="B3894" s="2"/>
      <x:c r="C3894" s="2"/>
      <x:c r="D3894" s="2"/>
      <x:c r="E3894" s="2"/>
      <x:c r="F3894" s="2"/>
      <x:c r="G3894" s="2"/>
    </x:row>
    <x:row r="3895">
      <x:c r="B3895" s="2"/>
      <x:c r="C3895" s="2"/>
      <x:c r="D3895" s="2"/>
      <x:c r="E3895" s="2"/>
      <x:c r="F3895" s="2"/>
      <x:c r="G3895" s="2"/>
    </x:row>
    <x:row r="3896">
      <x:c r="B3896" s="2"/>
      <x:c r="C3896" s="2"/>
      <x:c r="D3896" s="2"/>
      <x:c r="E3896" s="2"/>
      <x:c r="F3896" s="2"/>
      <x:c r="G3896" s="2"/>
    </x:row>
    <x:row r="3897">
      <x:c r="B3897" s="2"/>
      <x:c r="C3897" s="2"/>
      <x:c r="D3897" s="2"/>
      <x:c r="E3897" s="2"/>
      <x:c r="F3897" s="2"/>
      <x:c r="G3897" s="2"/>
    </x:row>
    <x:row r="3898">
      <x:c r="B3898" s="2"/>
      <x:c r="C3898" s="2"/>
      <x:c r="D3898" s="2"/>
      <x:c r="E3898" s="2"/>
      <x:c r="F3898" s="2"/>
      <x:c r="G3898" s="2"/>
    </x:row>
    <x:row r="3899">
      <x:c r="B3899" s="2"/>
      <x:c r="C3899" s="2"/>
      <x:c r="D3899" s="2"/>
      <x:c r="E3899" s="2"/>
      <x:c r="F3899" s="2"/>
      <x:c r="G3899" s="2"/>
    </x:row>
    <x:row r="3900">
      <x:c r="B3900" s="2"/>
      <x:c r="C3900" s="2"/>
      <x:c r="D3900" s="2"/>
      <x:c r="E3900" s="2"/>
      <x:c r="F3900" s="2"/>
      <x:c r="G3900" s="2"/>
    </x:row>
    <x:row r="3901">
      <x:c r="B3901" s="2"/>
      <x:c r="C3901" s="2"/>
      <x:c r="D3901" s="2"/>
      <x:c r="E3901" s="2"/>
      <x:c r="F3901" s="2"/>
      <x:c r="G3901" s="2"/>
    </x:row>
    <x:row r="3902">
      <x:c r="B3902" s="2"/>
      <x:c r="C3902" s="2"/>
      <x:c r="D3902" s="2"/>
      <x:c r="E3902" s="2"/>
      <x:c r="F3902" s="2"/>
      <x:c r="G3902" s="2"/>
    </x:row>
    <x:row r="3903">
      <x:c r="B3903" s="2"/>
      <x:c r="C3903" s="2"/>
      <x:c r="D3903" s="2"/>
      <x:c r="E3903" s="2"/>
      <x:c r="F3903" s="2"/>
      <x:c r="G3903" s="2"/>
    </x:row>
    <x:row r="3904">
      <x:c r="B3904" s="2"/>
      <x:c r="C3904" s="2"/>
      <x:c r="D3904" s="2"/>
      <x:c r="E3904" s="2"/>
      <x:c r="F3904" s="2"/>
      <x:c r="G3904" s="2"/>
    </x:row>
    <x:row r="3905">
      <x:c r="B3905" s="2"/>
      <x:c r="C3905" s="2"/>
      <x:c r="D3905" s="2"/>
      <x:c r="E3905" s="2"/>
      <x:c r="F3905" s="2"/>
      <x:c r="G3905" s="2"/>
    </x:row>
    <x:row r="3906">
      <x:c r="B3906" s="2"/>
      <x:c r="C3906" s="2"/>
      <x:c r="D3906" s="2"/>
      <x:c r="E3906" s="2"/>
      <x:c r="F3906" s="2"/>
      <x:c r="G3906" s="2"/>
    </x:row>
    <x:row r="3907">
      <x:c r="B3907" s="2"/>
      <x:c r="C3907" s="2"/>
      <x:c r="D3907" s="2"/>
      <x:c r="E3907" s="2"/>
      <x:c r="F3907" s="2"/>
      <x:c r="G3907" s="2"/>
    </x:row>
    <x:row r="3908">
      <x:c r="B3908" s="2"/>
      <x:c r="C3908" s="2"/>
      <x:c r="D3908" s="2"/>
      <x:c r="E3908" s="2"/>
      <x:c r="F3908" s="2"/>
      <x:c r="G3908" s="2"/>
    </x:row>
    <x:row r="3909">
      <x:c r="B3909" s="2"/>
      <x:c r="C3909" s="2"/>
      <x:c r="D3909" s="2"/>
      <x:c r="E3909" s="2"/>
      <x:c r="F3909" s="2"/>
      <x:c r="G3909" s="2"/>
    </x:row>
    <x:row r="3910">
      <x:c r="B3910" s="2"/>
      <x:c r="C3910" s="2"/>
      <x:c r="D3910" s="2"/>
      <x:c r="E3910" s="2"/>
      <x:c r="F3910" s="2"/>
      <x:c r="G3910" s="2"/>
    </x:row>
    <x:row r="3911">
      <x:c r="B3911" s="2"/>
      <x:c r="C3911" s="2"/>
      <x:c r="D3911" s="2"/>
      <x:c r="E3911" s="2"/>
      <x:c r="F3911" s="2"/>
      <x:c r="G3911" s="2"/>
    </x:row>
    <x:row r="3912">
      <x:c r="B3912" s="2"/>
      <x:c r="C3912" s="2"/>
      <x:c r="D3912" s="2"/>
      <x:c r="E3912" s="2"/>
      <x:c r="F3912" s="2"/>
      <x:c r="G3912" s="2"/>
    </x:row>
    <x:row r="3913">
      <x:c r="B3913" s="2"/>
      <x:c r="C3913" s="2"/>
      <x:c r="D3913" s="2"/>
      <x:c r="E3913" s="2"/>
      <x:c r="F3913" s="2"/>
      <x:c r="G3913" s="2"/>
    </x:row>
    <x:row r="3914">
      <x:c r="B3914" s="2"/>
      <x:c r="C3914" s="2"/>
      <x:c r="D3914" s="2"/>
      <x:c r="E3914" s="2"/>
      <x:c r="F3914" s="2"/>
      <x:c r="G3914" s="2"/>
    </x:row>
    <x:row r="3915">
      <x:c r="B3915" s="2"/>
      <x:c r="C3915" s="2"/>
      <x:c r="D3915" s="2"/>
      <x:c r="E3915" s="2"/>
      <x:c r="F3915" s="2"/>
      <x:c r="G3915" s="2"/>
    </x:row>
    <x:row r="3916">
      <x:c r="B3916" s="2"/>
      <x:c r="C3916" s="2"/>
      <x:c r="D3916" s="2"/>
      <x:c r="E3916" s="2"/>
      <x:c r="F3916" s="2"/>
      <x:c r="G3916" s="2"/>
    </x:row>
    <x:row r="3917">
      <x:c r="B3917" s="2"/>
      <x:c r="C3917" s="2"/>
      <x:c r="D3917" s="2"/>
      <x:c r="E3917" s="2"/>
      <x:c r="F3917" s="2"/>
      <x:c r="G3917" s="2"/>
    </x:row>
    <x:row r="3918">
      <x:c r="B3918" s="2"/>
      <x:c r="C3918" s="2"/>
      <x:c r="D3918" s="2"/>
      <x:c r="E3918" s="2"/>
      <x:c r="F3918" s="2"/>
      <x:c r="G3918" s="2"/>
    </x:row>
    <x:row r="3919">
      <x:c r="B3919" s="2"/>
      <x:c r="C3919" s="2"/>
      <x:c r="D3919" s="2"/>
      <x:c r="E3919" s="2"/>
      <x:c r="F3919" s="2"/>
      <x:c r="G3919" s="2"/>
    </x:row>
    <x:row r="3920">
      <x:c r="B3920" s="2"/>
      <x:c r="C3920" s="2"/>
      <x:c r="D3920" s="2"/>
      <x:c r="E3920" s="2"/>
      <x:c r="F3920" s="2"/>
      <x:c r="G3920" s="2"/>
    </x:row>
    <x:row r="3921">
      <x:c r="B3921" s="2"/>
      <x:c r="C3921" s="2"/>
      <x:c r="D3921" s="2"/>
      <x:c r="E3921" s="2"/>
      <x:c r="F3921" s="2"/>
      <x:c r="G3921" s="2"/>
    </x:row>
    <x:row r="3922">
      <x:c r="B3922" s="2"/>
      <x:c r="C3922" s="2"/>
      <x:c r="D3922" s="2"/>
      <x:c r="E3922" s="2"/>
      <x:c r="F3922" s="2"/>
      <x:c r="G3922" s="2"/>
    </x:row>
    <x:row r="3923">
      <x:c r="B3923" s="2"/>
      <x:c r="C3923" s="2"/>
      <x:c r="D3923" s="2"/>
      <x:c r="E3923" s="2"/>
      <x:c r="F3923" s="2"/>
      <x:c r="G3923" s="2"/>
    </x:row>
    <x:row r="3924">
      <x:c r="B3924" s="2"/>
      <x:c r="C3924" s="2"/>
      <x:c r="D3924" s="2"/>
      <x:c r="E3924" s="2"/>
      <x:c r="F3924" s="2"/>
      <x:c r="G3924" s="2"/>
    </x:row>
    <x:row r="3925">
      <x:c r="B3925" s="2"/>
      <x:c r="C3925" s="2"/>
      <x:c r="D3925" s="2"/>
      <x:c r="E3925" s="2"/>
      <x:c r="F3925" s="2"/>
      <x:c r="G3925" s="2"/>
    </x:row>
    <x:row r="3926">
      <x:c r="B3926" s="2"/>
      <x:c r="C3926" s="2"/>
      <x:c r="D3926" s="2"/>
      <x:c r="E3926" s="2"/>
      <x:c r="F3926" s="2"/>
      <x:c r="G3926" s="2"/>
    </x:row>
    <x:row r="3927">
      <x:c r="B3927" s="2"/>
      <x:c r="C3927" s="2"/>
      <x:c r="D3927" s="2"/>
      <x:c r="E3927" s="2"/>
      <x:c r="F3927" s="2"/>
      <x:c r="G3927" s="2"/>
    </x:row>
    <x:row r="3928">
      <x:c r="B3928" s="2"/>
      <x:c r="C3928" s="2"/>
      <x:c r="D3928" s="2"/>
      <x:c r="E3928" s="2"/>
      <x:c r="F3928" s="2"/>
      <x:c r="G3928" s="2"/>
    </x:row>
    <x:row r="3929">
      <x:c r="B3929" s="2"/>
      <x:c r="C3929" s="2"/>
      <x:c r="D3929" s="2"/>
      <x:c r="E3929" s="2"/>
      <x:c r="F3929" s="2"/>
      <x:c r="G3929" s="2"/>
    </x:row>
    <x:row r="3930">
      <x:c r="B3930" s="2"/>
      <x:c r="C3930" s="2"/>
      <x:c r="D3930" s="2"/>
      <x:c r="E3930" s="2"/>
      <x:c r="F3930" s="2"/>
      <x:c r="G3930" s="2"/>
    </x:row>
    <x:row r="3931">
      <x:c r="B3931" s="2"/>
      <x:c r="C3931" s="2"/>
      <x:c r="D3931" s="2"/>
      <x:c r="E3931" s="2"/>
      <x:c r="F3931" s="2"/>
      <x:c r="G3931" s="2"/>
    </x:row>
    <x:row r="3932">
      <x:c r="B3932" s="2"/>
      <x:c r="C3932" s="2"/>
      <x:c r="D3932" s="2"/>
      <x:c r="E3932" s="2"/>
      <x:c r="F3932" s="2"/>
      <x:c r="G3932" s="2"/>
    </x:row>
    <x:row r="3933">
      <x:c r="B3933" s="2"/>
      <x:c r="C3933" s="2"/>
      <x:c r="D3933" s="2"/>
      <x:c r="E3933" s="2"/>
      <x:c r="F3933" s="2"/>
      <x:c r="G3933" s="2"/>
    </x:row>
    <x:row r="3934">
      <x:c r="B3934" s="2"/>
      <x:c r="C3934" s="2"/>
      <x:c r="D3934" s="2"/>
      <x:c r="E3934" s="2"/>
      <x:c r="F3934" s="2"/>
      <x:c r="G3934" s="2"/>
    </x:row>
    <x:row r="3935">
      <x:c r="B3935" s="2"/>
      <x:c r="C3935" s="2"/>
      <x:c r="D3935" s="2"/>
      <x:c r="E3935" s="2"/>
      <x:c r="F3935" s="2"/>
      <x:c r="G3935" s="2"/>
    </x:row>
    <x:row r="3936">
      <x:c r="B3936" s="2"/>
      <x:c r="C3936" s="2"/>
      <x:c r="D3936" s="2"/>
      <x:c r="E3936" s="2"/>
      <x:c r="F3936" s="2"/>
      <x:c r="G3936" s="2"/>
    </x:row>
    <x:row r="3937">
      <x:c r="B3937" s="2"/>
      <x:c r="C3937" s="2"/>
      <x:c r="D3937" s="2"/>
      <x:c r="E3937" s="2"/>
      <x:c r="F3937" s="2"/>
      <x:c r="G3937" s="2"/>
    </x:row>
    <x:row r="3938">
      <x:c r="B3938" s="2"/>
      <x:c r="C3938" s="2"/>
      <x:c r="D3938" s="2"/>
      <x:c r="E3938" s="2"/>
      <x:c r="F3938" s="2"/>
      <x:c r="G3938" s="2"/>
    </x:row>
    <x:row r="3939">
      <x:c r="B3939" s="2"/>
      <x:c r="C3939" s="2"/>
      <x:c r="D3939" s="2"/>
      <x:c r="E3939" s="2"/>
      <x:c r="F3939" s="2"/>
      <x:c r="G3939" s="2"/>
    </x:row>
    <x:row r="3940">
      <x:c r="B3940" s="2"/>
      <x:c r="C3940" s="2"/>
      <x:c r="D3940" s="2"/>
      <x:c r="E3940" s="2"/>
      <x:c r="F3940" s="2"/>
      <x:c r="G3940" s="2"/>
    </x:row>
    <x:row r="3941">
      <x:c r="B3941" s="2"/>
      <x:c r="C3941" s="2"/>
      <x:c r="D3941" s="2"/>
      <x:c r="E3941" s="2"/>
      <x:c r="F3941" s="2"/>
      <x:c r="G3941" s="2"/>
    </x:row>
    <x:row r="3942">
      <x:c r="B3942" s="2"/>
      <x:c r="C3942" s="2"/>
      <x:c r="D3942" s="2"/>
      <x:c r="E3942" s="2"/>
      <x:c r="F3942" s="2"/>
      <x:c r="G3942" s="2"/>
    </x:row>
    <x:row r="3943">
      <x:c r="B3943" s="2"/>
      <x:c r="C3943" s="2"/>
      <x:c r="D3943" s="2"/>
      <x:c r="E3943" s="2"/>
      <x:c r="F3943" s="2"/>
      <x:c r="G3943" s="2"/>
    </x:row>
    <x:row r="3944">
      <x:c r="B3944" s="2"/>
      <x:c r="C3944" s="2"/>
      <x:c r="D3944" s="2"/>
      <x:c r="E3944" s="2"/>
      <x:c r="F3944" s="2"/>
      <x:c r="G3944" s="2"/>
    </x:row>
    <x:row r="3945">
      <x:c r="B3945" s="2"/>
      <x:c r="C3945" s="2"/>
      <x:c r="D3945" s="2"/>
      <x:c r="E3945" s="2"/>
      <x:c r="F3945" s="2"/>
      <x:c r="G3945" s="2"/>
    </x:row>
    <x:row r="3946">
      <x:c r="B3946" s="2"/>
      <x:c r="C3946" s="2"/>
      <x:c r="D3946" s="2"/>
      <x:c r="E3946" s="2"/>
      <x:c r="F3946" s="2"/>
      <x:c r="G3946" s="2"/>
    </x:row>
    <x:row r="3947">
      <x:c r="B3947" s="2"/>
      <x:c r="C3947" s="2"/>
      <x:c r="D3947" s="2"/>
      <x:c r="E3947" s="2"/>
      <x:c r="F3947" s="2"/>
      <x:c r="G3947" s="2"/>
    </x:row>
    <x:row r="3948">
      <x:c r="B3948" s="2"/>
      <x:c r="C3948" s="2"/>
      <x:c r="D3948" s="2"/>
      <x:c r="E3948" s="2"/>
      <x:c r="F3948" s="2"/>
      <x:c r="G3948" s="2"/>
    </x:row>
    <x:row r="3949">
      <x:c r="B3949" s="2"/>
      <x:c r="C3949" s="2"/>
      <x:c r="D3949" s="2"/>
      <x:c r="E3949" s="2"/>
      <x:c r="F3949" s="2"/>
      <x:c r="G3949" s="2"/>
    </x:row>
    <x:row r="3950">
      <x:c r="B3950" s="2"/>
      <x:c r="C3950" s="2"/>
      <x:c r="D3950" s="2"/>
      <x:c r="E3950" s="2"/>
      <x:c r="F3950" s="2"/>
      <x:c r="G3950" s="2"/>
    </x:row>
    <x:row r="3951">
      <x:c r="B3951" s="2"/>
      <x:c r="C3951" s="2"/>
      <x:c r="D3951" s="2"/>
      <x:c r="E3951" s="2"/>
      <x:c r="F3951" s="2"/>
      <x:c r="G3951" s="2"/>
    </x:row>
    <x:row r="3952">
      <x:c r="B3952" s="2"/>
      <x:c r="C3952" s="2"/>
      <x:c r="D3952" s="2"/>
      <x:c r="E3952" s="2"/>
      <x:c r="F3952" s="2"/>
      <x:c r="G3952" s="2"/>
    </x:row>
    <x:row r="3953">
      <x:c r="B3953" s="2"/>
      <x:c r="C3953" s="2"/>
      <x:c r="D3953" s="2"/>
      <x:c r="E3953" s="2"/>
      <x:c r="F3953" s="2"/>
      <x:c r="G3953" s="2"/>
    </x:row>
    <x:row r="3954">
      <x:c r="B3954" s="2"/>
      <x:c r="C3954" s="2"/>
      <x:c r="D3954" s="2"/>
      <x:c r="E3954" s="2"/>
      <x:c r="F3954" s="2"/>
      <x:c r="G3954" s="2"/>
    </x:row>
    <x:row r="3955">
      <x:c r="B3955" s="2"/>
      <x:c r="C3955" s="2"/>
      <x:c r="D3955" s="2"/>
      <x:c r="E3955" s="2"/>
      <x:c r="F3955" s="2"/>
      <x:c r="G3955" s="2"/>
    </x:row>
    <x:row r="3956">
      <x:c r="B3956" s="2"/>
      <x:c r="C3956" s="2"/>
      <x:c r="D3956" s="2"/>
      <x:c r="E3956" s="2"/>
      <x:c r="F3956" s="2"/>
      <x:c r="G3956" s="2"/>
    </x:row>
    <x:row r="3957">
      <x:c r="B3957" s="2"/>
      <x:c r="C3957" s="2"/>
      <x:c r="D3957" s="2"/>
      <x:c r="E3957" s="2"/>
      <x:c r="F3957" s="2"/>
      <x:c r="G3957" s="2"/>
    </x:row>
    <x:row r="3958">
      <x:c r="B3958" s="2"/>
      <x:c r="C3958" s="2"/>
      <x:c r="D3958" s="2"/>
      <x:c r="E3958" s="2"/>
      <x:c r="F3958" s="2"/>
      <x:c r="G3958" s="2"/>
    </x:row>
    <x:row r="3959">
      <x:c r="B3959" s="2"/>
      <x:c r="C3959" s="2"/>
      <x:c r="D3959" s="2"/>
      <x:c r="E3959" s="2"/>
      <x:c r="F3959" s="2"/>
      <x:c r="G3959" s="2"/>
    </x:row>
    <x:row r="3960">
      <x:c r="B3960" s="2"/>
      <x:c r="C3960" s="2"/>
      <x:c r="D3960" s="2"/>
      <x:c r="E3960" s="2"/>
      <x:c r="F3960" s="2"/>
      <x:c r="G3960" s="2"/>
    </x:row>
    <x:row r="3961">
      <x:c r="B3961" s="2"/>
      <x:c r="C3961" s="2"/>
      <x:c r="D3961" s="2"/>
      <x:c r="E3961" s="2"/>
      <x:c r="F3961" s="2"/>
      <x:c r="G3961" s="2"/>
    </x:row>
    <x:row r="3962">
      <x:c r="B3962" s="2"/>
      <x:c r="C3962" s="2"/>
      <x:c r="D3962" s="2"/>
      <x:c r="E3962" s="2"/>
      <x:c r="F3962" s="2"/>
      <x:c r="G3962" s="2"/>
    </x:row>
    <x:row r="3963">
      <x:c r="B3963" s="2"/>
      <x:c r="C3963" s="2"/>
      <x:c r="D3963" s="2"/>
      <x:c r="E3963" s="2"/>
      <x:c r="F3963" s="2"/>
      <x:c r="G3963" s="2"/>
    </x:row>
    <x:row r="3964">
      <x:c r="B3964" s="2"/>
      <x:c r="C3964" s="2"/>
      <x:c r="D3964" s="2"/>
      <x:c r="E3964" s="2"/>
      <x:c r="F3964" s="2"/>
      <x:c r="G3964" s="2"/>
    </x:row>
    <x:row r="3965">
      <x:c r="B3965" s="2"/>
      <x:c r="C3965" s="2"/>
      <x:c r="D3965" s="2"/>
      <x:c r="E3965" s="2"/>
      <x:c r="F3965" s="2"/>
      <x:c r="G3965" s="2"/>
    </x:row>
    <x:row r="3966">
      <x:c r="B3966" s="2"/>
      <x:c r="C3966" s="2"/>
      <x:c r="D3966" s="2"/>
      <x:c r="E3966" s="2"/>
      <x:c r="F3966" s="2"/>
      <x:c r="G3966" s="2"/>
    </x:row>
    <x:row r="3967">
      <x:c r="B3967" s="2"/>
      <x:c r="C3967" s="2"/>
      <x:c r="D3967" s="2"/>
      <x:c r="E3967" s="2"/>
      <x:c r="F3967" s="2"/>
      <x:c r="G3967" s="2"/>
    </x:row>
    <x:row r="3968">
      <x:c r="B3968" s="2"/>
      <x:c r="C3968" s="2"/>
      <x:c r="D3968" s="2"/>
      <x:c r="E3968" s="2"/>
      <x:c r="F3968" s="2"/>
      <x:c r="G3968" s="2"/>
    </x:row>
    <x:row r="3969">
      <x:c r="B3969" s="2"/>
      <x:c r="C3969" s="2"/>
      <x:c r="D3969" s="2"/>
      <x:c r="E3969" s="2"/>
      <x:c r="F3969" s="2"/>
      <x:c r="G3969" s="2"/>
    </x:row>
    <x:row r="3970">
      <x:c r="B3970" s="2"/>
      <x:c r="C3970" s="2"/>
      <x:c r="D3970" s="2"/>
      <x:c r="E3970" s="2"/>
      <x:c r="F3970" s="2"/>
      <x:c r="G3970" s="2"/>
    </x:row>
    <x:row r="3971">
      <x:c r="B3971" s="2"/>
      <x:c r="C3971" s="2"/>
      <x:c r="D3971" s="2"/>
      <x:c r="E3971" s="2"/>
      <x:c r="F3971" s="2"/>
      <x:c r="G3971" s="2"/>
    </x:row>
    <x:row r="3972">
      <x:c r="B3972" s="2"/>
      <x:c r="C3972" s="2"/>
      <x:c r="D3972" s="2"/>
      <x:c r="E3972" s="2"/>
      <x:c r="F3972" s="2"/>
      <x:c r="G3972" s="2"/>
    </x:row>
    <x:row r="3973">
      <x:c r="B3973" s="2"/>
      <x:c r="C3973" s="2"/>
      <x:c r="D3973" s="2"/>
      <x:c r="E3973" s="2"/>
      <x:c r="F3973" s="2"/>
      <x:c r="G3973" s="2"/>
    </x:row>
    <x:row r="3974">
      <x:c r="B3974" s="2"/>
      <x:c r="C3974" s="2"/>
      <x:c r="D3974" s="2"/>
      <x:c r="E3974" s="2"/>
      <x:c r="F3974" s="2"/>
      <x:c r="G3974" s="2"/>
    </x:row>
    <x:row r="3975">
      <x:c r="B3975" s="2"/>
      <x:c r="C3975" s="2"/>
      <x:c r="D3975" s="2"/>
      <x:c r="E3975" s="2"/>
      <x:c r="F3975" s="2"/>
      <x:c r="G3975" s="2"/>
    </x:row>
    <x:row r="3976">
      <x:c r="B3976" s="2"/>
      <x:c r="C3976" s="2"/>
      <x:c r="D3976" s="2"/>
      <x:c r="E3976" s="2"/>
      <x:c r="F3976" s="2"/>
      <x:c r="G3976" s="2"/>
    </x:row>
    <x:row r="3977">
      <x:c r="B3977" s="2"/>
      <x:c r="C3977" s="2"/>
      <x:c r="D3977" s="2"/>
      <x:c r="E3977" s="2"/>
      <x:c r="F3977" s="2"/>
      <x:c r="G3977" s="2"/>
    </x:row>
    <x:row r="3978">
      <x:c r="B3978" s="2"/>
      <x:c r="C3978" s="2"/>
      <x:c r="D3978" s="2"/>
      <x:c r="E3978" s="2"/>
      <x:c r="F3978" s="2"/>
      <x:c r="G3978" s="2"/>
    </x:row>
    <x:row r="3979">
      <x:c r="B3979" s="2"/>
      <x:c r="C3979" s="2"/>
      <x:c r="D3979" s="2"/>
      <x:c r="E3979" s="2"/>
      <x:c r="F3979" s="2"/>
      <x:c r="G3979" s="2"/>
    </x:row>
    <x:row r="3980">
      <x:c r="B3980" s="2"/>
      <x:c r="C3980" s="2"/>
      <x:c r="D3980" s="2"/>
      <x:c r="E3980" s="2"/>
      <x:c r="F3980" s="2"/>
      <x:c r="G3980" s="2"/>
    </x:row>
    <x:row r="3981">
      <x:c r="B3981" s="2"/>
      <x:c r="C3981" s="2"/>
      <x:c r="D3981" s="2"/>
      <x:c r="E3981" s="2"/>
      <x:c r="F3981" s="2"/>
      <x:c r="G3981" s="2"/>
    </x:row>
    <x:row r="3982">
      <x:c r="B3982" s="2"/>
      <x:c r="C3982" s="2"/>
      <x:c r="D3982" s="2"/>
      <x:c r="E3982" s="2"/>
      <x:c r="F3982" s="2"/>
      <x:c r="G3982" s="2"/>
    </x:row>
    <x:row r="3983">
      <x:c r="B3983" s="2"/>
      <x:c r="C3983" s="2"/>
      <x:c r="D3983" s="2"/>
      <x:c r="E3983" s="2"/>
      <x:c r="F3983" s="2"/>
      <x:c r="G3983" s="2"/>
    </x:row>
    <x:row r="3984">
      <x:c r="B3984" s="2"/>
      <x:c r="C3984" s="2"/>
      <x:c r="D3984" s="2"/>
      <x:c r="E3984" s="2"/>
      <x:c r="F3984" s="2"/>
      <x:c r="G3984" s="2"/>
    </x:row>
    <x:row r="3985">
      <x:c r="B3985" s="2"/>
      <x:c r="C3985" s="2"/>
      <x:c r="D3985" s="2"/>
      <x:c r="E3985" s="2"/>
      <x:c r="F3985" s="2"/>
      <x:c r="G3985" s="2"/>
    </x:row>
    <x:row r="3986">
      <x:c r="B3986" s="2"/>
      <x:c r="C3986" s="2"/>
      <x:c r="D3986" s="2"/>
      <x:c r="E3986" s="2"/>
      <x:c r="F3986" s="2"/>
      <x:c r="G3986" s="2"/>
    </x:row>
    <x:row r="3987">
      <x:c r="B3987" s="2"/>
      <x:c r="C3987" s="2"/>
      <x:c r="D3987" s="2"/>
      <x:c r="E3987" s="2"/>
      <x:c r="F3987" s="2"/>
      <x:c r="G3987" s="2"/>
    </x:row>
    <x:row r="3988">
      <x:c r="B3988" s="2"/>
      <x:c r="C3988" s="2"/>
      <x:c r="D3988" s="2"/>
      <x:c r="E3988" s="2"/>
      <x:c r="F3988" s="2"/>
      <x:c r="G3988" s="2"/>
    </x:row>
    <x:row r="3989">
      <x:c r="B3989" s="2"/>
      <x:c r="C3989" s="2"/>
      <x:c r="D3989" s="2"/>
      <x:c r="E3989" s="2"/>
      <x:c r="F3989" s="2"/>
      <x:c r="G3989" s="2"/>
    </x:row>
    <x:row r="3990">
      <x:c r="B3990" s="2"/>
      <x:c r="C3990" s="2"/>
      <x:c r="D3990" s="2"/>
      <x:c r="E3990" s="2"/>
      <x:c r="F3990" s="2"/>
      <x:c r="G3990" s="2"/>
    </x:row>
    <x:row r="3991">
      <x:c r="B3991" s="2"/>
      <x:c r="C3991" s="2"/>
      <x:c r="D3991" s="2"/>
      <x:c r="E3991" s="2"/>
      <x:c r="F3991" s="2"/>
      <x:c r="G3991" s="2"/>
    </x:row>
    <x:row r="3992">
      <x:c r="B3992" s="2"/>
      <x:c r="C3992" s="2"/>
      <x:c r="D3992" s="2"/>
      <x:c r="E3992" s="2"/>
      <x:c r="F3992" s="2"/>
      <x:c r="G3992" s="2"/>
    </x:row>
    <x:row r="3993">
      <x:c r="B3993" s="2"/>
      <x:c r="C3993" s="2"/>
      <x:c r="D3993" s="2"/>
      <x:c r="E3993" s="2"/>
      <x:c r="F3993" s="2"/>
      <x:c r="G3993" s="2"/>
    </x:row>
    <x:row r="3994">
      <x:c r="B3994" s="2"/>
      <x:c r="C3994" s="2"/>
      <x:c r="D3994" s="2"/>
      <x:c r="E3994" s="2"/>
      <x:c r="F3994" s="2"/>
      <x:c r="G3994" s="2"/>
    </x:row>
    <x:row r="3995">
      <x:c r="B3995" s="2"/>
      <x:c r="C3995" s="2"/>
      <x:c r="D3995" s="2"/>
      <x:c r="E3995" s="2"/>
      <x:c r="F3995" s="2"/>
      <x:c r="G3995" s="2"/>
    </x:row>
    <x:row r="3996">
      <x:c r="B3996" s="2"/>
      <x:c r="C3996" s="2"/>
      <x:c r="D3996" s="2"/>
      <x:c r="E3996" s="2"/>
      <x:c r="F3996" s="2"/>
      <x:c r="G3996" s="2"/>
    </x:row>
    <x:row r="3997">
      <x:c r="B3997" s="2"/>
      <x:c r="C3997" s="2"/>
      <x:c r="D3997" s="2"/>
      <x:c r="E3997" s="2"/>
      <x:c r="F3997" s="2"/>
      <x:c r="G3997" s="2"/>
    </x:row>
    <x:row r="3998">
      <x:c r="B3998" s="2"/>
      <x:c r="C3998" s="2"/>
      <x:c r="D3998" s="2"/>
      <x:c r="E3998" s="2"/>
      <x:c r="F3998" s="2"/>
      <x:c r="G3998" s="2"/>
    </x:row>
    <x:row r="3999">
      <x:c r="B3999" s="2"/>
      <x:c r="C3999" s="2"/>
      <x:c r="D3999" s="2"/>
      <x:c r="E3999" s="2"/>
      <x:c r="F3999" s="2"/>
      <x:c r="G3999" s="2"/>
    </x:row>
    <x:row r="4000">
      <x:c r="B4000" s="2"/>
      <x:c r="C4000" s="2"/>
      <x:c r="D4000" s="2"/>
      <x:c r="E4000" s="2"/>
      <x:c r="F4000" s="2"/>
      <x:c r="G4000" s="2"/>
    </x:row>
  </x:sheetData>
  <x:mergeCells>
    <x:mergeCell ref="B3:G3"/>
  </x:mergeCells>
  <x:conditionalFormatting sqref="G7:G2129">
    <x:cfRule type="containsText" dxfId="117" priority="1" operator="containsText" text="OPEN"/>
    <x:cfRule type="containsText" dxfId="118" priority="2" operator="containsText" text="HOLD"/>
    <x:cfRule type="containsText" dxfId="119" priority="3" operator="containsText" text="BLOCKED"/>
    <x:cfRule type="containsText" dxfId="120" priority="4" operator="containsText" text="GAP"/>
    <x:cfRule type="containsText" dxfId="121" priority="5" operator="containsText" text="NOT ADMITTED"/>
    <x:cfRule type="containsText" dxfId="122" priority="6" operator="containsText" text="FAIL"/>
    <x:cfRule type="containsText" dxfId="123" priority="7" operator="containsText" text="PASS"/>
    <x:cfRule type="containsText" dxfId="124" priority="8" operator="containsText" text="ADEQUATE"/>
    <x:cfRule type="containsText" dxfId="125" priority="9" operator="containsText" text="CLOSES M05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3" hidden="0" customWidth="1"/>
    <x:col min="3" max="3" width="46" hidden="0" customWidth="1"/>
    <x:col min="4" max="4" width="23" hidden="0" customWidth="1"/>
    <x:col min="5" max="5" width="35" hidden="0" customWidth="1"/>
    <x:col min="6" max="6" width="39" hidden="0" customWidth="1"/>
    <x:col min="7" max="7" width="31" hidden="0" customWidth="1"/>
    <x:col min="8" max="8" width="18" hidden="0" customWidth="1"/>
    <x:col min="9" max="9" width="18" hidden="0" customWidth="1"/>
    <x:col min="10" max="10" width="34" hidden="0" customWidth="1"/>
  </x:cols>
  <x:sheetData>
    <x:row r="2">
      <x:c r="B2" s="3" t="str">
        <x:v>Workbook guide and authority boundary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This workbook is a planning compiler for industrial-resilience redesign. It does not provide procurement authority, readiness credit, production release or representative geometry.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Sheet</x:v>
      </x:c>
      <x:c r="C6" s="20" t="str">
        <x:v>Question answered</x:v>
      </x:c>
      <x:c r="D6" s="20" t="str">
        <x:v>Decision unit</x:v>
      </x:c>
      <x:c r="E6" s="20" t="str">
        <x:v>Upstream source</x:v>
      </x:c>
      <x:c r="F6" s="20" t="str">
        <x:v>Principal output</x:v>
      </x:c>
      <x:c r="G6" s="20" t="str">
        <x:v>Authority</x:v>
      </x:c>
      <x:c r="H6" s="20" t="str">
        <x:v>Evidence state</x:v>
      </x:c>
      <x:c r="I6" s="20" t="str">
        <x:v>Decision state</x:v>
      </x:c>
      <x:c r="J6" s="20" t="str">
        <x:v>Reopen trigger</x:v>
      </x:c>
    </x:row>
    <x:row r="7" ht="45" customHeight="1">
      <x:c r="B7" s="35" t="str">
        <x:v>Summary</x:v>
      </x:c>
      <x:c r="C7" s="35" t="str">
        <x:v>What has this pass established?</x:v>
      </x:c>
      <x:c r="D7" s="35" t="str">
        <x:v>force frontier</x:v>
      </x:c>
      <x:c r="E7" s="35" t="str">
        <x:v>all sheets</x:v>
      </x:c>
      <x:c r="F7" s="35" t="str">
        <x:v>headline conclusions</x:v>
      </x:c>
      <x:c r="G7" s="35" t="str">
        <x:v>portfolio authority</x:v>
      </x:c>
      <x:c r="H7" s="35" t="str">
        <x:v>modeled</x:v>
      </x:c>
      <x:c r="I7" s="35" t="str">
        <x:v>planning</x:v>
      </x:c>
      <x:c r="J7" s="37" t="str">
        <x:v>failed audit or new evidence</x:v>
      </x:c>
    </x:row>
    <x:row r="8" ht="45" customHeight="1">
      <x:c r="B8" s="35" t="str">
        <x:v>Assumptions</x:v>
      </x:c>
      <x:c r="C8" s="35" t="str">
        <x:v>What is intentionally frozen?</x:v>
      </x:c>
      <x:c r="D8" s="35" t="str">
        <x:v>strategic input</x:v>
      </x:c>
      <x:c r="E8" s="35" t="str">
        <x:v>Passes 96 and 98</x:v>
      </x:c>
      <x:c r="F8" s="35" t="str">
        <x:v>design boundary</x:v>
      </x:c>
      <x:c r="G8" s="35" t="str">
        <x:v>model custodian</x:v>
      </x:c>
      <x:c r="H8" s="35" t="str">
        <x:v>declared</x:v>
      </x:c>
      <x:c r="I8" s="35" t="str">
        <x:v>frozen</x:v>
      </x:c>
      <x:c r="J8" s="37" t="str">
        <x:v>architecture change</x:v>
      </x:c>
    </x:row>
    <x:row r="9" ht="45" customHeight="1">
      <x:c r="B9" s="35" t="str">
        <x:v>Stage Standard</x:v>
      </x:c>
      <x:c r="C9" s="35" t="str">
        <x:v>What physical chain must survive?</x:v>
      </x:c>
      <x:c r="D9" s="35" t="str">
        <x:v>mission-service lot</x:v>
      </x:c>
      <x:c r="E9" s="35" t="str">
        <x:v>mobilization constitution</x:v>
      </x:c>
      <x:c r="F9" s="35" t="str">
        <x:v>twelve stage requirements</x:v>
      </x:c>
      <x:c r="G9" s="35" t="str">
        <x:v>evidence authority</x:v>
      </x:c>
      <x:c r="H9" s="35" t="str">
        <x:v>unaccepted</x:v>
      </x:c>
      <x:c r="I9" s="35" t="str">
        <x:v>hold</x:v>
      </x:c>
      <x:c r="J9" s="37" t="str">
        <x:v>stage finding</x:v>
      </x:c>
    </x:row>
    <x:row r="10" ht="45" customHeight="1">
      <x:c r="B10" s="35" t="str">
        <x:v>Family Register</x:v>
      </x:c>
      <x:c r="C10" s="35" t="str">
        <x:v>Which families are in scope?</x:v>
      </x:c>
      <x:c r="D10" s="35" t="str">
        <x:v>capability family</x:v>
      </x:c>
      <x:c r="E10" s="35" t="str">
        <x:v>canonical 48-family force</x:v>
      </x:c>
      <x:c r="F10" s="35" t="str">
        <x:v>readiness and gap register</x:v>
      </x:c>
      <x:c r="G10" s="35" t="str">
        <x:v>Resilience Staff</x:v>
      </x:c>
      <x:c r="H10" s="35" t="str">
        <x:v>mixed</x:v>
      </x:c>
      <x:c r="I10" s="35" t="str">
        <x:v>hold</x:v>
      </x:c>
      <x:c r="J10" s="37" t="str">
        <x:v>force architecture</x:v>
      </x:c>
    </x:row>
    <x:row r="11" ht="45" customHeight="1">
      <x:c r="B11" s="35" t="str">
        <x:v>Gap Register</x:v>
      </x:c>
      <x:c r="C11" s="35" t="str">
        <x:v>What dependency must change?</x:v>
      </x:c>
      <x:c r="D11" s="35" t="str">
        <x:v>gap family</x:v>
      </x:c>
      <x:c r="E11" s="35" t="str">
        <x:v>Pass 98 after action</x:v>
      </x:c>
      <x:c r="F11" s="35" t="str">
        <x:v>two-root redesign brief</x:v>
      </x:c>
      <x:c r="G11" s="35" t="str">
        <x:v>family program office</x:v>
      </x:c>
      <x:c r="H11" s="35" t="str">
        <x:v>hypothesis</x:v>
      </x:c>
      <x:c r="I11" s="35" t="str">
        <x:v>hold</x:v>
      </x:c>
      <x:c r="J11" s="37" t="str">
        <x:v>dependency evidence</x:v>
      </x:c>
    </x:row>
    <x:row r="12" ht="45" customHeight="1">
      <x:c r="B12" s="35" t="str">
        <x:v>Architecture Library</x:v>
      </x:c>
      <x:c r="C12" s="35" t="str">
        <x:v>What industrial forms remove failure?</x:v>
      </x:c>
      <x:c r="D12" s="35" t="str">
        <x:v>architecture</x:v>
      </x:c>
      <x:c r="E12" s="35" t="str">
        <x:v>first-principles decomposition</x:v>
      </x:c>
      <x:c r="F12" s="35" t="str">
        <x:v>eight physical patterns</x:v>
      </x:c>
      <x:c r="G12" s="35" t="str">
        <x:v>technical integration office</x:v>
      </x:c>
      <x:c r="H12" s="35" t="str">
        <x:v>hypothesis</x:v>
      </x:c>
      <x:c r="I12" s="35" t="str">
        <x:v>planning</x:v>
      </x:c>
      <x:c r="J12" s="37" t="str">
        <x:v>representative trial</x:v>
      </x:c>
    </x:row>
    <x:row r="13" ht="45" customHeight="1">
      <x:c r="B13" s="35" t="str">
        <x:v>Uplift Matrix</x:v>
      </x:c>
      <x:c r="C13" s="35" t="str">
        <x:v>How does each architecture affect stages?</x:v>
      </x:c>
      <x:c r="D13" s="35" t="str">
        <x:v>stage ratio increment</x:v>
      </x:c>
      <x:c r="E13" s="35" t="str">
        <x:v>architecture hypotheses</x:v>
      </x:c>
      <x:c r="F13" s="35" t="str">
        <x:v>capacity additions</x:v>
      </x:c>
      <x:c r="G13" s="35" t="str">
        <x:v>model custodian</x:v>
      </x:c>
      <x:c r="H13" s="35" t="str">
        <x:v>assumed</x:v>
      </x:c>
      <x:c r="I13" s="35" t="str">
        <x:v>hold</x:v>
      </x:c>
      <x:c r="J13" s="37" t="str">
        <x:v>measured capacity</x:v>
      </x:c>
    </x:row>
    <x:row r="14" ht="45" customHeight="1">
      <x:c r="B14" s="35" t="str">
        <x:v>Stage Build</x:v>
      </x:c>
      <x:c r="C14" s="35" t="str">
        <x:v>Where is each family still weak?</x:v>
      </x:c>
      <x:c r="D14" s="35" t="str">
        <x:v>family-stage</x:v>
      </x:c>
      <x:c r="E14" s="35" t="str">
        <x:v>baseline plus architecture</x:v>
      </x:c>
      <x:c r="F14" s="35" t="str">
        <x:v>264 stage builds</x:v>
      </x:c>
      <x:c r="G14" s="35" t="str">
        <x:v>family program office</x:v>
      </x:c>
      <x:c r="H14" s="35" t="str">
        <x:v>modeled</x:v>
      </x:c>
      <x:c r="I14" s="35" t="str">
        <x:v>planning</x:v>
      </x:c>
      <x:c r="J14" s="37" t="str">
        <x:v>capacity test</x:v>
      </x:c>
    </x:row>
    <x:row r="15" ht="45" customHeight="1">
      <x:c r="B15" s="35" t="str">
        <x:v>Family Results</x:v>
      </x:c>
      <x:c r="C15" s="35" t="str">
        <x:v>Does each redesign close M05?</x:v>
      </x:c>
      <x:c r="D15" s="35" t="str">
        <x:v>gap family</x:v>
      </x:c>
      <x:c r="E15" s="35" t="str">
        <x:v>stage build</x:v>
      </x:c>
      <x:c r="F15" s="35" t="str">
        <x:v>twenty-two compiler results</x:v>
      </x:c>
      <x:c r="G15" s="35" t="str">
        <x:v>portfolio authority</x:v>
      </x:c>
      <x:c r="H15" s="35" t="str">
        <x:v>modeled</x:v>
      </x:c>
      <x:c r="I15" s="35" t="str">
        <x:v>hold</x:v>
      </x:c>
      <x:c r="J15" s="37" t="str">
        <x:v>complete-chain finding</x:v>
      </x:c>
    </x:row>
    <x:row r="16" ht="45" customHeight="1">
      <x:c r="B16" s="35" t="str">
        <x:v>Full Force</x:v>
      </x:c>
      <x:c r="C16" s="35" t="str">
        <x:v>What is the force-wide frontier?</x:v>
      </x:c>
      <x:c r="D16" s="35" t="str">
        <x:v>capability family</x:v>
      </x:c>
      <x:c r="E16" s="35" t="str">
        <x:v>family results plus Pass 98</x:v>
      </x:c>
      <x:c r="F16" s="35" t="str">
        <x:v>M05 and M06 disposition</x:v>
      </x:c>
      <x:c r="G16" s="35" t="str">
        <x:v>Resilience Staff</x:v>
      </x:c>
      <x:c r="H16" s="35" t="str">
        <x:v>modeled</x:v>
      </x:c>
      <x:c r="I16" s="35" t="str">
        <x:v>hold</x:v>
      </x:c>
      <x:c r="J16" s="37" t="str">
        <x:v>full-force exercise</x:v>
      </x:c>
    </x:row>
    <x:row r="17" ht="45" customHeight="1">
      <x:c r="B17" s="35" t="str">
        <x:v>Reserve Ledger</x:v>
      </x:c>
      <x:c r="C17" s="35" t="str">
        <x:v>Does capacity survive first issue?</x:v>
      </x:c>
      <x:c r="D17" s="35" t="str">
        <x:v>family-world</x:v>
      </x:c>
      <x:c r="E17" s="35" t="str">
        <x:v>full-force ratios</x:v>
      </x:c>
      <x:c r="F17" s="35" t="str">
        <x:v>protected reserve result</x:v>
      </x:c>
      <x:c r="G17" s="35" t="str">
        <x:v>logistics authority</x:v>
      </x:c>
      <x:c r="H17" s="35" t="str">
        <x:v>unaccepted</x:v>
      </x:c>
      <x:c r="I17" s="35" t="str">
        <x:v>hold</x:v>
      </x:c>
      <x:c r="J17" s="37" t="str">
        <x:v>serial inventory exercise</x:v>
      </x:c>
    </x:row>
    <x:row r="18" ht="45" customHeight="1">
      <x:c r="B18" s="35" t="str">
        <x:v>Technology Portfolio</x:v>
      </x:c>
      <x:c r="C18" s="35" t="str">
        <x:v>What must be invented?</x:v>
      </x:c>
      <x:c r="D18" s="35" t="str">
        <x:v>campaign</x:v>
      </x:c>
      <x:c r="E18" s="35" t="str">
        <x:v>architecture failure modes</x:v>
      </x:c>
      <x:c r="F18" s="35" t="str">
        <x:v>twenty-four mission-led programs</x:v>
      </x:c>
      <x:c r="G18" s="35" t="str">
        <x:v>challenge agency</x:v>
      </x:c>
      <x:c r="H18" s="35" t="str">
        <x:v>unproven</x:v>
      </x:c>
      <x:c r="I18" s="35" t="str">
        <x:v>hold</x:v>
      </x:c>
      <x:c r="J18" s="37" t="str">
        <x:v>decisive trial</x:v>
      </x:c>
    </x:row>
    <x:row r="19" ht="45" customHeight="1">
      <x:c r="B19" s="35" t="str">
        <x:v>Facility Program</x:v>
      </x:c>
      <x:c r="C19" s="35" t="str">
        <x:v>What public infrastructure is required?</x:v>
      </x:c>
      <x:c r="D19" s="35" t="str">
        <x:v>facility family</x:v>
      </x:c>
      <x:c r="E19" s="35" t="str">
        <x:v>architecture needs</x:v>
      </x:c>
      <x:c r="F19" s="35" t="str">
        <x:v>128-site program</x:v>
      </x:c>
      <x:c r="G19" s="35" t="str">
        <x:v>AIMC facilities authority</x:v>
      </x:c>
      <x:c r="H19" s="35" t="str">
        <x:v>unbuilt</x:v>
      </x:c>
      <x:c r="I19" s="35" t="str">
        <x:v>open</x:v>
      </x:c>
      <x:c r="J19" s="37" t="str">
        <x:v>site and process evidence</x:v>
      </x:c>
    </x:row>
    <x:row r="20" ht="45" customHeight="1">
      <x:c r="B20" s="35" t="str">
        <x:v>Capital Control</x:v>
      </x:c>
      <x:c r="C20" s="35" t="str">
        <x:v>Where does USD 1.8T sit?</x:v>
      </x:c>
      <x:c r="D20" s="35" t="str">
        <x:v>capital use</x:v>
      </x:c>
      <x:c r="E20" s="35" t="str">
        <x:v>AIMC USD 5.25T envelope</x:v>
      </x:c>
      <x:c r="F20" s="35" t="str">
        <x:v>nested cross-classification</x:v>
      </x:c>
      <x:c r="G20" s="35" t="str">
        <x:v>cost authority</x:v>
      </x:c>
      <x:c r="H20" s="35" t="str">
        <x:v>planning estimate</x:v>
      </x:c>
      <x:c r="I20" s="35" t="str">
        <x:v>hold</x:v>
      </x:c>
      <x:c r="J20" s="37" t="str">
        <x:v>validated estimate</x:v>
      </x:c>
    </x:row>
    <x:row r="21" ht="45" customHeight="1">
      <x:c r="B21" s="35" t="str">
        <x:v>Annual Operations</x:v>
      </x:c>
      <x:c r="C21" s="35" t="str">
        <x:v>What is the mature burden?</x:v>
      </x:c>
      <x:c r="D21" s="35" t="str">
        <x:v>operating function</x:v>
      </x:c>
      <x:c r="E21" s="35" t="str">
        <x:v>AIMC USD 310B design</x:v>
      </x:c>
      <x:c r="F21" s="35" t="str">
        <x:v>USD 138.8B allocation</x:v>
      </x:c>
      <x:c r="G21" s="35" t="str">
        <x:v>operations authority</x:v>
      </x:c>
      <x:c r="H21" s="35" t="str">
        <x:v>planning estimate</x:v>
      </x:c>
      <x:c r="I21" s="35" t="str">
        <x:v>hold</x:v>
      </x:c>
      <x:c r="J21" s="37" t="str">
        <x:v>execution data</x:v>
      </x:c>
    </x:row>
    <x:row r="22" ht="45" customHeight="1">
      <x:c r="B22" s="35" t="str">
        <x:v>Evidence Ledger</x:v>
      </x:c>
      <x:c r="C22" s="35" t="str">
        <x:v>What article can admit a family?</x:v>
      </x:c>
      <x:c r="D22" s="35" t="str">
        <x:v>complete-chain article</x:v>
      </x:c>
      <x:c r="E22" s="35" t="str">
        <x:v>family redesign brief</x:v>
      </x:c>
      <x:c r="F22" s="35" t="str">
        <x:v>twenty-two evidence records</x:v>
      </x:c>
      <x:c r="G22" s="35" t="str">
        <x:v>independent evidence authority</x:v>
      </x:c>
      <x:c r="H22" s="35" t="str">
        <x:v>zero accepted</x:v>
      </x:c>
      <x:c r="I22" s="35" t="str">
        <x:v>not admitted</x:v>
      </x:c>
      <x:c r="J22" s="37" t="str">
        <x:v>accepted finding</x:v>
      </x:c>
    </x:row>
    <x:row r="23" ht="45" customHeight="1">
      <x:c r="B23" s="35" t="str">
        <x:v>Decision Gates</x:v>
      </x:c>
      <x:c r="C23" s="35" t="str">
        <x:v>What cannot be inferred?</x:v>
      </x:c>
      <x:c r="D23" s="35" t="str">
        <x:v>authority gate</x:v>
      </x:c>
      <x:c r="E23" s="35" t="str">
        <x:v>all registers</x:v>
      </x:c>
      <x:c r="F23" s="35" t="str">
        <x:v>thirty holds</x:v>
      </x:c>
      <x:c r="G23" s="35" t="str">
        <x:v>named authorities</x:v>
      </x:c>
      <x:c r="H23" s="35" t="str">
        <x:v>open</x:v>
      </x:c>
      <x:c r="I23" s="35" t="str">
        <x:v>hold</x:v>
      </x:c>
      <x:c r="J23" s="37" t="str">
        <x:v>gate artifact</x:v>
      </x:c>
    </x:row>
    <x:row r="24" ht="45" customHeight="1">
      <x:c r="B24" s="35" t="str">
        <x:v>Audit</x:v>
      </x:c>
      <x:c r="C24" s="35" t="str">
        <x:v>Is model arithmetic coherent?</x:v>
      </x:c>
      <x:c r="D24" s="35" t="str">
        <x:v>formula control</x:v>
      </x:c>
      <x:c r="E24" s="35" t="str">
        <x:v>all sheets</x:v>
      </x:c>
      <x:c r="F24" s="35" t="str">
        <x:v>2,123 results</x:v>
      </x:c>
      <x:c r="G24" s="35" t="str">
        <x:v>model custodian</x:v>
      </x:c>
      <x:c r="H24" s="35" t="str">
        <x:v>computed</x:v>
      </x:c>
      <x:c r="I24" s="35" t="str">
        <x:v>model only</x:v>
      </x:c>
      <x:c r="J24" s="37" t="str">
        <x:v>input or formula change</x:v>
      </x:c>
    </x:row>
    <x:row r="25" ht="45" customHeight="1">
      <x:c r="B25" s="38" t="str">
        <x:v>ReadMe</x:v>
      </x:c>
      <x:c r="C25" s="38" t="str">
        <x:v>How should the workbook be read?</x:v>
      </x:c>
      <x:c r="D25" s="38" t="str">
        <x:v>sheet contract</x:v>
      </x:c>
      <x:c r="E25" s="38" t="str">
        <x:v>workbook architecture</x:v>
      </x:c>
      <x:c r="F25" s="38" t="str">
        <x:v>authority map</x:v>
      </x:c>
      <x:c r="G25" s="38" t="str">
        <x:v>model custodian</x:v>
      </x:c>
      <x:c r="H25" s="38" t="str">
        <x:v>descriptive</x:v>
      </x:c>
      <x:c r="I25" s="38" t="str">
        <x:v>current</x:v>
      </x:c>
      <x:c r="J25" s="40" t="str">
        <x:v>workbook change</x:v>
      </x:c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9" t="str">
        <x:v>Use constraints</x:v>
      </x:c>
      <x:c r="C28" s="30" t="str">
        <x:v>Use constraints</x:v>
      </x:c>
      <x:c r="D28" s="30" t="str">
        <x:v>Use constraints</x:v>
      </x:c>
      <x:c r="E28" s="30" t="str">
        <x:v>Use constraints</x:v>
      </x:c>
      <x:c r="F28" s="30" t="str">
        <x:v>Use constraints</x:v>
      </x:c>
      <x:c r="G28" s="30" t="str">
        <x:v>Use constraints</x:v>
      </x:c>
      <x:c r="H28" s="30" t="str">
        <x:v>Use constraints</x:v>
      </x:c>
      <x:c r="I28" s="30" t="str">
        <x:v>Use constraints</x:v>
      </x:c>
      <x:c r="J28" s="31" t="str">
        <x:v>Use constraints</x:v>
      </x:c>
    </x:row>
    <x:row r="29">
      <x:c r="B29" s="2" t="str">
        <x:v>All currency is constant US dollars. Values are strategic allocations, not estimates or quotes.</x:v>
      </x:c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</x:row>
    <x:row r="30">
      <x:c r="B30" s="2" t="str">
        <x:v>M05 and M06 ratios are family-specific dimensionless service-capacity ratios; they must never be summed across unlike families.</x:v>
      </x:c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</x:row>
    <x:row r="31">
      <x:c r="B31" s="2" t="str">
        <x:v>M05 planning closure includes the protected-reserve requirement in the denominator, then applies 10 percent additional design headroom.</x:v>
      </x:c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</x:row>
    <x:row r="32">
      <x:c r="B32" s="2" t="str">
        <x:v>No workbook formula grants physical evidence. Evidence cells remain explicit zero or OPEN until an independent finding changes them.</x:v>
      </x:c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</x:row>
    <x:row r="33">
      <x:c r="B33" s="2" t="str">
        <x:v>Capital and operating controls are nested in Pass 96 boundaries. They cannot be added again to the total force envelope.</x:v>
      </x:c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</x:row>
    <x:row r="34">
      <x:c r="B34" s="2" t="str">
        <x:v>No site, web interface or rendering is produced in this pass. Markdown and the executable workbook remain the authoritative forms.</x:v>
      </x:c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mergeCells>
    <x:mergeCell ref="B3:J3"/>
    <x:mergeCell ref="B28:J28"/>
  </x:mergeCells>
  <x:conditionalFormatting sqref="H7:I25">
    <x:cfRule type="containsText" dxfId="144" priority="1" operator="containsText" text="OPEN"/>
    <x:cfRule type="containsText" dxfId="145" priority="2" operator="containsText" text="HOLD"/>
    <x:cfRule type="containsText" dxfId="146" priority="3" operator="containsText" text="BLOCKED"/>
    <x:cfRule type="containsText" dxfId="147" priority="4" operator="containsText" text="GAP"/>
    <x:cfRule type="containsText" dxfId="148" priority="5" operator="containsText" text="NOT ADMITTED"/>
    <x:cfRule type="containsText" dxfId="149" priority="6" operator="containsText" text="FAIL"/>
    <x:cfRule type="containsText" dxfId="150" priority="7" operator="containsText" text="PASS"/>
    <x:cfRule type="containsText" dxfId="151" priority="8" operator="containsText" text="ADEQUATE"/>
    <x:cfRule type="containsText" dxfId="152" priority="9" operator="containsText" text="CLOSES M05"/>
  </x:conditionalFormatting>
  <x:pageMargins left="0.7" right="0.7" top="0.75" bottom="0.75" header="0.3" footer="0.3"/>
</x:worksheet>
</file>