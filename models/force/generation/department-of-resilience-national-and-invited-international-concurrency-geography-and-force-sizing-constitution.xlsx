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d2f5d5976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0f41c0375e26453f"/>
    <x:sheet xmlns:r="http://schemas.openxmlformats.org/officeDocument/2006/relationships" name="Controls" sheetId="2" r:id="R3a841b4e4cb04a24"/>
    <x:sheet xmlns:r="http://schemas.openxmlformats.org/officeDocument/2006/relationships" name="Campaign Charter" sheetId="3" r:id="R2ff34e8819264fb4"/>
    <x:sheet xmlns:r="http://schemas.openxmlformats.org/officeDocument/2006/relationships" name="Effect Matrix" sheetId="4" r:id="R87efabf71de44f79"/>
    <x:sheet xmlns:r="http://schemas.openxmlformats.org/officeDocument/2006/relationships" name="Family Inputs" sheetId="5" r:id="R1b129eabf6344212"/>
    <x:sheet xmlns:r="http://schemas.openxmlformats.org/officeDocument/2006/relationships" name="Family Demand" sheetId="6" r:id="R83a05ceea11b43fb"/>
    <x:sheet xmlns:r="http://schemas.openxmlformats.org/officeDocument/2006/relationships" name="Inventory" sheetId="7" r:id="R8b595b362de542de"/>
    <x:sheet xmlns:r="http://schemas.openxmlformats.org/officeDocument/2006/relationships" name="Service Summary" sheetId="8" r:id="R595be314a9544b7d"/>
    <x:sheet xmlns:r="http://schemas.openxmlformats.org/officeDocument/2006/relationships" name="Geographic Posture" sheetId="9" r:id="Rf9c6cb4869054b2d"/>
    <x:sheet xmlns:r="http://schemas.openxmlformats.org/officeDocument/2006/relationships" name="Occupancy" sheetId="10" r:id="R8bacc20d996b46c7"/>
    <x:sheet xmlns:r="http://schemas.openxmlformats.org/officeDocument/2006/relationships" name="Failure Worlds" sheetId="11" r:id="R3f807f119b694da1"/>
    <x:sheet xmlns:r="http://schemas.openxmlformats.org/officeDocument/2006/relationships" name="Fiscal Screen" sheetId="12" r:id="R06488d2e9ea74ed5"/>
    <x:sheet xmlns:r="http://schemas.openxmlformats.org/officeDocument/2006/relationships" name="Audit" sheetId="13" r:id="R2fe6b7cde87745f1"/>
    <x:sheet xmlns:r="http://schemas.openxmlformats.org/officeDocument/2006/relationships" name="Sources" sheetId="14" r:id="R545061e50ed2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0.0,,&quot;M&quot;"/>
    <x:numFmt numFmtId="202" formatCode="&quot;$&quot;#,##0.0;[Red](&quot;$&quot;#,##0.0);-"/>
    <x:numFmt numFmtId="203" formatCode="0.0%"/>
    <x:numFmt numFmtId="204" formatCode="#,##0.0;[Red](#,##0.0);-"/>
    <x:numFmt numFmtId="205" formatCode="#0.000"/>
  </x:numFmts>
  <x:fonts count="10">
    <x:font>
      <x:sz val="11"/>
      <x:name val="Carlito"/>
    </x:font>
    <x:font>
      <x:sz val="10"/>
      <x:color rgb="FF1F1F1F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i/>
      <x:sz val="10"/>
      <x:color rgb="FF1F1F1F"/>
      <x:name val="Arial"/>
    </x:font>
    <x:font>
      <x:sz val="10"/>
      <x:color rgb="FF0000FF"/>
      <x:name val="Arial"/>
    </x:font>
    <x:font>
      <x:b/>
      <x:sz val="10"/>
      <x:color rgb="FF008000"/>
      <x:name val="Arial"/>
    </x:font>
    <x:font>
      <x:b/>
      <x:i/>
      <x:sz val="10"/>
      <x:color rgb="FF1F1F1F"/>
      <x:name val="Arial"/>
    </x:font>
    <x:font>
      <x:i/>
      <x:sz val="10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6">
    <x:border/>
    <x:border>
      <x:bottom style="medium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4472C4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0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/>
    <x:xf numFmtId="203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203" fontId="7" fillId="0" borderId="0" xfId="0" applyNumberFormat="1" applyFont="1" applyFill="1" applyBorder="1"/>
    <x:xf numFmtId="203" fontId="8" fillId="0" borderId="0" xfId="0" applyNumberFormat="1" applyFont="1" applyFill="1" applyBorder="1"/>
    <x:xf numFmtId="204" fontId="1" fillId="0" borderId="0" xfId="0" applyNumberFormat="1" applyFont="1" applyFill="1" applyBorder="1"/>
    <x:xf numFmtId="0" fontId="9" fillId="0" borderId="0" xfId="0" applyNumberFormat="1" applyFont="1" applyFill="1" applyBorder="1"/>
    <x:xf numFmtId="204" fontId="4" fillId="3" borderId="4" xfId="0" applyNumberFormat="1" applyFont="1" applyFill="1" applyBorder="1"/>
    <x:xf numFmtId="202" fontId="4" fillId="3" borderId="0" xfId="0" applyNumberFormat="1" applyFont="1" applyFill="1" applyBorder="1"/>
    <x:xf numFmtId="202" fontId="4" fillId="3" borderId="4" xfId="0" applyNumberFormat="1" applyFont="1" applyFill="1" applyBorder="1"/>
    <x:xf numFmtId="204" fontId="4" fillId="3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4" fontId="4" fillId="3" borderId="4" xfId="0" applyNumberFormat="1" applyFont="1" applyFill="1" applyBorder="1" applyAlignment="1">
      <x:alignment vertical="center"/>
    </x:xf>
    <x:xf numFmtId="202" fontId="4" fillId="3" borderId="4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f3f8f43464b18" /><Relationship Type="http://schemas.openxmlformats.org/officeDocument/2006/relationships/theme" Target="/xl/theme/theme1.xml" Id="Rf34d8ae01846490b" /><Relationship Type="http://schemas.openxmlformats.org/officeDocument/2006/relationships/sharedStrings" Target="/xl/sharedStrings.xml" Id="R05d3b8d6f25a4ae3" /><Relationship Type="http://schemas.openxmlformats.org/officeDocument/2006/relationships/worksheet" Target="/xl/worksheets/sheet1.xml" Id="R0f41c0375e26453f" /><Relationship Type="http://schemas.openxmlformats.org/officeDocument/2006/relationships/worksheet" Target="/xl/worksheets/sheet2.xml" Id="R3a841b4e4cb04a24" /><Relationship Type="http://schemas.openxmlformats.org/officeDocument/2006/relationships/worksheet" Target="/xl/worksheets/sheet3.xml" Id="R2ff34e8819264fb4" /><Relationship Type="http://schemas.openxmlformats.org/officeDocument/2006/relationships/worksheet" Target="/xl/worksheets/sheet4.xml" Id="R87efabf71de44f79" /><Relationship Type="http://schemas.openxmlformats.org/officeDocument/2006/relationships/worksheet" Target="/xl/worksheets/sheet5.xml" Id="R1b129eabf6344212" /><Relationship Type="http://schemas.openxmlformats.org/officeDocument/2006/relationships/worksheet" Target="/xl/worksheets/sheet6.xml" Id="R83a05ceea11b43fb" /><Relationship Type="http://schemas.openxmlformats.org/officeDocument/2006/relationships/worksheet" Target="/xl/worksheets/sheet7.xml" Id="R8b595b362de542de" /><Relationship Type="http://schemas.openxmlformats.org/officeDocument/2006/relationships/worksheet" Target="/xl/worksheets/sheet8.xml" Id="R595be314a9544b7d" /><Relationship Type="http://schemas.openxmlformats.org/officeDocument/2006/relationships/worksheet" Target="/xl/worksheets/sheet9.xml" Id="Rf9c6cb4869054b2d" /><Relationship Type="http://schemas.openxmlformats.org/officeDocument/2006/relationships/worksheet" Target="/xl/worksheets/sheet10.xml" Id="R8bacc20d996b46c7" /><Relationship Type="http://schemas.openxmlformats.org/officeDocument/2006/relationships/worksheet" Target="/xl/worksheets/sheet11.xml" Id="R3f807f119b694da1" /><Relationship Type="http://schemas.openxmlformats.org/officeDocument/2006/relationships/worksheet" Target="/xl/worksheets/sheet12.xml" Id="R06488d2e9ea74ed5" /><Relationship Type="http://schemas.openxmlformats.org/officeDocument/2006/relationships/worksheet" Target="/xl/worksheets/sheet13.xml" Id="R2fe6b7cde87745f1" /><Relationship Type="http://schemas.openxmlformats.org/officeDocument/2006/relationships/worksheet" Target="/xl/worksheets/sheet14.xml" Id="R545061e50ed247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82d4ed2ca74b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Demand and selected inventory by service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Concurrent demand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'Decision'!$J$5:$J$12</c:f>
              <c:strCache>
                <c:ptCount val="0"/>
              </c:strCache>
            </c:strRef>
          </c:cat>
          <c:val>
            <c:numRef>
              <c:f>'Decision'!$K$5:$K$12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N−1 inventory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'Decision'!$J$5:$J$12</c:f>
              <c:strCache>
                <c:ptCount val="0"/>
              </c:strCache>
            </c:strRef>
          </c:cat>
          <c:val>
            <c:numRef>
              <c:f>'Decision'!$L$5:$L$12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82d4ed2ca74b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781e71903645b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9" hidden="0" customWidth="1"/>
    <x:col min="4" max="4" width="102" hidden="0" customWidth="1"/>
    <x:col min="10" max="10" width="4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National and invited-international force-sizing constitution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Decision field</x:v>
      </x:c>
      <x:c r="D4" s="13" t="str">
        <x:v>Pass 167 result</x:v>
      </x:c>
      <x:c r="E4" s="40"/>
      <x:c r="F4" s="40"/>
      <x:c r="G4" s="40"/>
      <x:c r="H4" s="40"/>
      <x:c r="I4" s="40"/>
      <x:c r="J4" s="40" t="str">
        <x:v>Generating service</x:v>
      </x:c>
      <x:c r="K4" s="40" t="str">
        <x:v>Concurrent demand</x:v>
      </x:c>
      <x:c r="L4" s="40" t="str">
        <x:v>N−1 inventory</x:v>
      </x:c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v>Verdict</x:v>
      </x:c>
      <x:c r="D5" s="40" t="str">
        <x:v>CLOSE</x:v>
      </x:c>
      <x:c r="E5" s="40"/>
      <x:c r="F5" s="40"/>
      <x:c r="G5" s="40"/>
      <x:c r="H5" s="40"/>
      <x:c r="I5" s="40"/>
      <x:c r="J5" s="40" t="str">
        <x:v>Joint</x:v>
      </x:c>
      <x:c r="K5" s="40" t="n">
        <x:f>'Service Summary'!E5</x:f>
        <x:v>205</x:v>
      </x:c>
      <x:c r="L5" s="40" t="n">
        <x:f>'Service Summary'!H5</x:f>
        <x:v>398</x:v>
      </x:c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v>National promise</x:v>
      </x:c>
      <x:c r="D6" s="40" t="str">
        <x:v>3 catastrophic domestic + 5 major domestic + 2 invited international campaigns + 20% protected reserve</x:v>
      </x:c>
      <x:c r="E6" s="40"/>
      <x:c r="F6" s="40"/>
      <x:c r="G6" s="40"/>
      <x:c r="H6" s="40"/>
      <x:c r="I6" s="40"/>
      <x:c r="J6" s="40" t="str">
        <x:v>Land Engineering</x:v>
      </x:c>
      <x:c r="K6" s="40" t="n">
        <x:f>'Service Summary'!E6</x:f>
        <x:v>271</x:v>
      </x:c>
      <x:c r="L6" s="40" t="n">
        <x:f>'Service Summary'!H6</x:f>
        <x:v>584</x:v>
      </x:c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v>Geographic standard</x:v>
      </x:c>
      <x:c r="D7" s="40" t="str">
        <x:v>Seven domestic readiness districts and two international reach networks</x:v>
      </x:c>
      <x:c r="E7" s="40"/>
      <x:c r="F7" s="40"/>
      <x:c r="G7" s="40"/>
      <x:c r="H7" s="40"/>
      <x:c r="I7" s="40"/>
      <x:c r="J7" s="40" t="str">
        <x:v>Air Response</x:v>
      </x:c>
      <x:c r="K7" s="40" t="n">
        <x:f>'Service Summary'!E7</x:f>
        <x:v>218</x:v>
      </x:c>
      <x:c r="L7" s="40" t="n">
        <x:f>'Service Summary'!H7</x:f>
        <x:v>506</x:v>
      </x:c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v>Denial standard</x:v>
      </x:c>
      <x:c r="D8" s="40" t="str">
        <x:v>Retain the full promise and reserve after loss of one district capped at 20% of any family</x:v>
      </x:c>
      <x:c r="E8" s="40"/>
      <x:c r="F8" s="40"/>
      <x:c r="G8" s="40"/>
      <x:c r="H8" s="40"/>
      <x:c r="I8" s="40"/>
      <x:c r="J8" s="40" t="str">
        <x:v>Maritime Response</x:v>
      </x:c>
      <x:c r="K8" s="40" t="n">
        <x:f>'Service Summary'!E8</x:f>
        <x:v>188</x:v>
      </x:c>
      <x:c r="L8" s="40" t="n">
        <x:f>'Service Summary'!H8</x:f>
        <x:v>436</x:v>
      </x:c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v>Campaign demand</x:v>
      </x:c>
      <x:c r="D9" s="40" t="str">
        <x:v>2,420 heterogeneous formation-equivalent commitments</x:v>
      </x:c>
      <x:c r="E9" s="40"/>
      <x:c r="F9" s="40"/>
      <x:c r="G9" s="40"/>
      <x:c r="H9" s="40"/>
      <x:c r="I9" s="40"/>
      <x:c r="J9" s="40" t="str">
        <x:v>Infrastructure Restoration</x:v>
      </x:c>
      <x:c r="K9" s="40" t="n">
        <x:f>'Service Summary'!E9</x:f>
        <x:v>360</x:v>
      </x:c>
      <x:c r="L9" s="40" t="n">
        <x:f>'Service Summary'!H9</x:f>
        <x:v>773</x:v>
      </x:c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v>Selected inventory</x:v>
      </x:c>
      <x:c r="D10" s="41" t="n">
        <x:f>SUM(Inventory!M5:M52)</x:f>
        <x:v>5251</x:v>
      </x:c>
      <x:c r="E10" s="40"/>
      <x:c r="F10" s="40"/>
      <x:c r="G10" s="40"/>
      <x:c r="H10" s="40"/>
      <x:c r="I10" s="40"/>
      <x:c r="J10" s="40" t="str">
        <x:v>Health Protection</x:v>
      </x:c>
      <x:c r="K10" s="40" t="n">
        <x:f>'Service Summary'!E10</x:f>
        <x:v>318</x:v>
      </x:c>
      <x:c r="L10" s="40" t="n">
        <x:f>'Service Summary'!H10</x:f>
        <x:v>738</x:v>
      </x:c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v>Affiliated establishment</x:v>
      </x:c>
      <x:c r="D11" s="42" t="n">
        <x:f>'Fiscal Screen'!D65</x:f>
        <x:v>13039236.110000001</x:v>
      </x:c>
      <x:c r="E11" s="40"/>
      <x:c r="F11" s="40"/>
      <x:c r="G11" s="40"/>
      <x:c r="H11" s="40"/>
      <x:c r="I11" s="40"/>
      <x:c r="J11" s="40" t="str">
        <x:v>Community Stabilization</x:v>
      </x:c>
      <x:c r="K11" s="40" t="n">
        <x:f>'Service Summary'!E11</x:f>
        <x:v>498</x:v>
      </x:c>
      <x:c r="L11" s="40" t="n">
        <x:f>'Service Summary'!H11</x:f>
        <x:v>996</x:v>
      </x:c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v>25-year capital screen</x:v>
      </x:c>
      <x:c r="D12" s="43" t="n">
        <x:f>'Fiscal Screen'!D60</x:f>
        <x:v>17410.272</x:v>
      </x:c>
      <x:c r="E12" s="40"/>
      <x:c r="F12" s="40"/>
      <x:c r="G12" s="40"/>
      <x:c r="H12" s="40"/>
      <x:c r="I12" s="40"/>
      <x:c r="J12" s="40" t="str">
        <x:v>Civil Mobility and Continuity</x:v>
      </x:c>
      <x:c r="K12" s="40" t="n">
        <x:f>'Service Summary'!E12</x:f>
        <x:v>362</x:v>
      </x:c>
      <x:c r="L12" s="40" t="n">
        <x:f>'Service Summary'!H12</x:f>
        <x:v>820</x:v>
      </x:c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v>Mature annual operations</x:v>
      </x:c>
      <x:c r="D13" s="43" t="n">
        <x:f>'Fiscal Screen'!D69</x:f>
        <x:v>2113.8743006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4" t="str">
        <x:v>Resolution test</x:v>
      </x:c>
      <x:c r="D15" s="44" t="str">
        <x:v>Changing this scenario changes every service inventory, readiness district, international commitment, workforce and capital boundary.</x:v>
      </x:c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5" t="str">
        <x:v>Scenario</x:v>
      </x:c>
      <x:c r="D17" s="40" t="str">
        <x:v>All ten campaigns are simultaneous allocation claims, not independent forecasts</x:v>
      </x:c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5" t="str">
        <x:v>International</x:v>
      </x:c>
      <x:c r="D18" s="40" t="str">
        <x:v>Invited missions are optional before acceptance and non-recallable after commitment</x:v>
      </x:c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5" t="str">
        <x:v>Reserve</x:v>
      </x:c>
      <x:c r="D19" s="40" t="str">
        <x:v>The 20% pool remains immediately employable after a readiness-district loss</x:v>
      </x:c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5" t="str">
        <x:v>Concentration</x:v>
      </x:c>
      <x:c r="D20" s="40" t="str">
        <x:v>No district may hold more than the active family concentration cap</x:v>
      </x:c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5" t="str">
        <x:v>Common capacity</x:v>
      </x:c>
      <x:c r="D21" s="40" t="str">
        <x:v>No cross-portfolio quantity reduction is admitted</x:v>
      </x:c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5" t="str">
        <x:v>Industrial consequence</x:v>
      </x:c>
      <x:c r="D22" s="40" t="str">
        <x:v>The N−1 posture adds bodies, crews, depots and capital rather than paper availability</x:v>
      </x:c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5" t="str">
        <x:v>Rendering</x:v>
      </x:c>
      <x:c r="D23" s="40" t="str">
        <x:v>Exterior form remains withheld</x:v>
      </x:c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  <x:drawing xmlns:r="http://schemas.openxmlformats.org/officeDocument/2006/relationships" r:id="R3e781e71903645bd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6" hidden="0" customWidth="1"/>
    <x:col min="4" max="4" width="24" hidden="0" customWidth="1"/>
    <x:col min="5" max="5" width="78" hidden="0" customWidth="1"/>
    <x:col min="6" max="6" width="4" hidden="0" customWidth="1"/>
    <x:col min="7" max="7" width="34" hidden="0" customWidth="1"/>
    <x:col min="8" max="8" width="22" hidden="0" customWidth="1"/>
    <x:col min="9" max="9" width="4" hidden="0" customWidth="1"/>
    <x:col min="10" max="10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Scenario and force-generation controls</x:v>
      </x:c>
      <x:c r="D2" s="2"/>
      <x:c r="E2" s="2"/>
      <x:c r="F2" s="2"/>
      <x:c r="G2" s="2"/>
      <x:c r="H2" s="2"/>
      <x:c r="I2" s="2"/>
      <x:c r="J2" s="2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Control</x:v>
      </x:c>
      <x:c r="D4" s="24" t="str">
        <x:v>Value</x:v>
      </x:c>
      <x:c r="E4" s="13" t="str">
        <x:v>Basis / boundary</x:v>
      </x:c>
      <x:c r="F4" s="40"/>
      <x:c r="G4" s="12" t="str">
        <x:v>Case</x:v>
      </x:c>
      <x:c r="H4" s="13" t="str">
        <x:v>Concentration cap</x:v>
      </x:c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v>Case selector</x:v>
      </x:c>
      <x:c r="D5" s="46" t="n">
        <x:v>2</x:v>
      </x:c>
      <x:c r="E5" s="40" t="str">
        <x:v>Edit 1–3</x:v>
      </x:c>
      <x:c r="F5" s="40"/>
      <x:c r="G5" s="40" t="str">
        <x:v>No district-loss requirement</x:v>
      </x:c>
      <x:c r="H5" s="47" t="n">
        <x:v>0</x:v>
      </x:c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v>Selected case</x:v>
      </x:c>
      <x:c r="D6" s="48" t="str">
        <x:f>INDEX(G5:G7,D5)</x:f>
        <x:v>N−1 reference</x:v>
      </x:c>
      <x:c r="E6" s="40" t="str">
        <x:v>Formula-linked</x:v>
      </x:c>
      <x:c r="F6" s="40"/>
      <x:c r="G6" s="40" t="str">
        <x:v>N−1 reference</x:v>
      </x:c>
      <x:c r="H6" s="47" t="n">
        <x:v>0.2</x:v>
      </x:c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v>Protected reserve</x:v>
      </x:c>
      <x:c r="D7" s="47" t="n">
        <x:v>0.2</x:v>
      </x:c>
      <x:c r="E7" s="40" t="str">
        <x:v>Immediately employable after the selected geographic loss</x:v>
      </x:c>
      <x:c r="F7" s="40"/>
      <x:c r="G7" s="40" t="str">
        <x:v>Distributed N−1</x:v>
      </x:c>
      <x:c r="H7" s="47" t="n">
        <x:v>0.15</x:v>
      </x:c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v>Reference district concentration cap</x:v>
      </x:c>
      <x:c r="D8" s="47" t="n">
        <x:v>0.2</x:v>
      </x:c>
      <x:c r="E8" s="40" t="str">
        <x:v>No district may contain a larger share of one family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v>Distributed district concentration cap</x:v>
      </x:c>
      <x:c r="D9" s="47" t="n">
        <x:v>0.15</x:v>
      </x:c>
      <x:c r="E9" s="40" t="str">
        <x:v>Higher-cost sensitivity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v>Active concentration cap</x:v>
      </x:c>
      <x:c r="D10" s="49" t="n">
        <x:f>INDEX(H5:H7,D5)</x:f>
        <x:v>0.2</x:v>
      </x:c>
      <x:c r="E10" s="40" t="str">
        <x:v>Formula-linked</x:v>
      </x:c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v>Invited-force duplicate floor</x:v>
      </x:c>
      <x:c r="D11" s="40" t="n">
        <x:v>1.5</x:v>
      </x:c>
      <x:c r="E11" s="40" t="str">
        <x:v>Minimum globally eligible inventory relative to invited demand</x:v>
      </x:c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v>Institutional depth</x:v>
      </x:c>
      <x:c r="D12" s="47" t="n">
        <x:v>0.12</x:v>
      </x:c>
      <x:c r="E12" s="40" t="str">
        <x:v>Schools, depots, doctrine, test and replacement outside formations</x:v>
      </x:c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v>Capital program reserve</x:v>
      </x:c>
      <x:c r="D13" s="47" t="n">
        <x:v>0.2</x:v>
      </x:c>
      <x:c r="E13" s="40" t="str">
        <x:v>Applied to formation and common capital</x:v>
      </x:c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 t="str">
        <x:v>Common capital (USD B)</x:v>
      </x:c>
      <x:c r="D14" s="43" t="n">
        <x:v>5098</x:v>
      </x:c>
      <x:c r="E14" s="40" t="str">
        <x:v>NUPS, bases, proving, education, digital and strategic industry held once</x:v>
      </x:c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0" t="str">
        <x:v>Pass 58 total capital (USD B)</x:v>
      </x:c>
      <x:c r="D15" s="43" t="n">
        <x:v>15178.9176</x:v>
      </x:c>
      <x:c r="E15" s="40" t="str">
        <x:v>Canonical predecessor</x:v>
      </x:c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 t="str">
        <x:v>Pass 58 establishment</x:v>
      </x:c>
      <x:c r="D16" s="43" t="n">
        <x:v>10484235.438</x:v>
      </x:c>
      <x:c r="E16" s="40" t="str">
        <x:v>Canonical predecessor affiliated billets</x:v>
      </x:c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 t="str">
        <x:v>Pass 58 direct billets</x:v>
      </x:c>
      <x:c r="D17" s="43" t="n">
        <x:v>9183962.4</x:v>
      </x:c>
      <x:c r="E17" s="40" t="str">
        <x:v>Canonical predecessor</x:v>
      </x:c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 t="str">
        <x:v>Pass 58 mature annual operations (USD B)</x:v>
      </x:c>
      <x:c r="D18" s="43" t="n">
        <x:v>1736.41782438</x:v>
      </x:c>
      <x:c r="E18" s="40" t="str">
        <x:v>Canonical predecessor</x:v>
      </x:c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 t="str">
        <x:v>Common utility workforce</x:v>
      </x:c>
      <x:c r="D19" s="50" t="n">
        <x:v>198197.55</x:v>
      </x:c>
      <x:c r="E19" s="40" t="str">
        <x:v>Held once outside formation-direct billets</x:v>
      </x:c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 t="str">
        <x:v>Permanent billet-year (USD)</x:v>
      </x:c>
      <x:c r="D20" s="43" t="n">
        <x:v>160000</x:v>
      </x:c>
      <x:c r="E20" s="40" t="str">
        <x:v>Loaded planning factor</x:v>
      </x:c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 t="str">
        <x:v>Reserve billet-year (USD)</x:v>
      </x:c>
      <x:c r="D21" s="43" t="n">
        <x:v>50000</x:v>
      </x:c>
      <x:c r="E21" s="40" t="str">
        <x:v>Loaded planning factor</x:v>
      </x:c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 t="str">
        <x:v>State/territorial billet-year (USD)</x:v>
      </x:c>
      <x:c r="D22" s="43" t="n">
        <x:v>55000</x:v>
      </x:c>
      <x:c r="E22" s="40" t="str">
        <x:v>Loaded planning factor</x:v>
      </x:c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 t="str">
        <x:v>Certified-industry billet-year (USD)</x:v>
      </x:c>
      <x:c r="D23" s="43" t="n">
        <x:v>90000</x:v>
      </x:c>
      <x:c r="E23" s="40" t="str">
        <x:v>Loaded planning factor</x:v>
      </x:c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 t="str">
        <x:v>Partner/allied billet-year (USD)</x:v>
      </x:c>
      <x:c r="D24" s="43" t="n">
        <x:v>20000</x:v>
      </x:c>
      <x:c r="E24" s="40" t="str">
        <x:v>Loaded planning factor</x:v>
      </x:c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dataValidations count="1">
    <x:dataValidation type="whole" operator="between" sqref="D5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9" hidden="0" customWidth="1"/>
    <x:col min="4" max="4" width="23" hidden="0" customWidth="1"/>
    <x:col min="5" max="5" width="18" hidden="0" customWidth="1"/>
    <x:col min="6" max="6" width="45" hidden="0" customWidth="1"/>
    <x:col min="7" max="7" width="34" hidden="0" customWidth="1"/>
    <x:col min="8" max="8" width="19" hidden="0" customWidth="1"/>
    <x:col min="9" max="9" width="14" hidden="0" customWidth="1"/>
    <x:col min="10" max="10" width="17" hidden="0" customWidth="1"/>
    <x:col min="11" max="11" width="13" hidden="0" customWidth="1"/>
    <x:col min="12" max="12" width="17" hidden="0" customWidth="1"/>
    <x:col min="13" max="13" width="17" hidden="0" customWidth="1"/>
    <x:col min="14" max="14" width="13" hidden="0" customWidth="1"/>
    <x:col min="15" max="15" width="20" hidden="0" customWidth="1"/>
    <x:col min="16" max="16" width="15" hidden="0" customWidth="1"/>
    <x:col min="17" max="17" width="16" hidden="0" customWidth="1"/>
    <x:col min="18" max="18" width="6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Ten-campaign planning charter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ID</x:v>
      </x:c>
      <x:c r="D4" s="24" t="str">
        <x:v>Class</x:v>
      </x:c>
      <x:c r="E4" s="24" t="str">
        <x:v>Design lineage</x:v>
      </x:c>
      <x:c r="F4" s="24" t="str">
        <x:v>Mission</x:v>
      </x:c>
      <x:c r="G4" s="24" t="str">
        <x:v>Primary geography</x:v>
      </x:c>
      <x:c r="H4" s="24" t="str">
        <x:v>Readiness district</x:v>
      </x:c>
      <x:c r="I4" s="24" t="str">
        <x:v>Notice (h)</x:v>
      </x:c>
      <x:c r="J4" s="24" t="str">
        <x:v>Preparation (d)</x:v>
      </x:c>
      <x:c r="K4" s="24" t="str">
        <x:v>Transit (d)</x:v>
      </x:c>
      <x:c r="L4" s="24" t="str">
        <x:v>Mission (d)</x:v>
      </x:c>
      <x:c r="M4" s="24" t="str">
        <x:v>Withdrawal (d)</x:v>
      </x:c>
      <x:c r="N4" s="24" t="str">
        <x:v>Quarantine (d)</x:v>
      </x:c>
      <x:c r="O4" s="24" t="str">
        <x:v>Repair (d)</x:v>
      </x:c>
      <x:c r="P4" s="24" t="str">
        <x:v>Recertification (d)</x:v>
      </x:c>
      <x:c r="Q4" s="24" t="str">
        <x:v>Occupied (d)</x:v>
      </x:c>
      <x:c r="R4" s="13" t="str">
        <x:v>Recall rule</x:v>
      </x:c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v>C1</x:v>
      </x:c>
      <x:c r="D5" s="40" t="str">
        <x:v>Catastrophic domestic</x:v>
      </x:c>
      <x:c r="E5" s="40" t="str">
        <x:v>DRM-6</x:v>
      </x:c>
      <x:c r="F5" s="40" t="str">
        <x:v>Continental grid failure during temperature extreme</x:v>
      </x:c>
      <x:c r="G5" s="40" t="str">
        <x:v>National distributed</x:v>
      </x:c>
      <x:c r="H5" s="40" t="str">
        <x:v>D1 systemic</x:v>
      </x:c>
      <x:c r="I5" s="40" t="n">
        <x:v>6</x:v>
      </x:c>
      <x:c r="J5" s="40" t="n">
        <x:v>1</x:v>
      </x:c>
      <x:c r="K5" s="40" t="n">
        <x:v>2</x:v>
      </x:c>
      <x:c r="L5" s="40" t="n">
        <x:v>90</x:v>
      </x:c>
      <x:c r="M5" s="40" t="n">
        <x:v>3</x:v>
      </x:c>
      <x:c r="N5" s="40" t="n">
        <x:v>2</x:v>
      </x:c>
      <x:c r="O5" s="40" t="n">
        <x:v>21</x:v>
      </x:c>
      <x:c r="P5" s="40" t="n">
        <x:v>14</x:v>
      </x:c>
      <x:c r="Q5" s="40" t="n">
        <x:f>SUM(J5:P5)</x:f>
        <x:v>133</x:v>
      </x:c>
      <x:c r="R5" s="40" t="str">
        <x:v>Domestic allocation; no recall before certified release</x:v>
      </x:c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v>C2</x:v>
      </x:c>
      <x:c r="D6" s="40" t="str">
        <x:v>Catastrophic domestic</x:v>
      </x:c>
      <x:c r="E6" s="40" t="str">
        <x:v>DRM-3</x:v>
      </x:c>
      <x:c r="F6" s="40" t="str">
        <x:v>Sequential Gulf–Atlantic hurricanes</x:v>
      </x:c>
      <x:c r="G6" s="40" t="str">
        <x:v>Gulf and Atlantic coasts</x:v>
      </x:c>
      <x:c r="H6" s="40" t="str">
        <x:v>D2 dual coast</x:v>
      </x:c>
      <x:c r="I6" s="40" t="n">
        <x:v>120</x:v>
      </x:c>
      <x:c r="J6" s="40" t="n">
        <x:v>5</x:v>
      </x:c>
      <x:c r="K6" s="40" t="n">
        <x:v>3</x:v>
      </x:c>
      <x:c r="L6" s="40" t="n">
        <x:v>120</x:v>
      </x:c>
      <x:c r="M6" s="40" t="n">
        <x:v>5</x:v>
      </x:c>
      <x:c r="N6" s="40" t="n">
        <x:v>3</x:v>
      </x:c>
      <x:c r="O6" s="40" t="n">
        <x:v>28</x:v>
      </x:c>
      <x:c r="P6" s="40" t="n">
        <x:v>14</x:v>
      </x:c>
      <x:c r="Q6" s="40" t="n">
        <x:f>SUM(J6:P6)</x:f>
        <x:v>178</x:v>
      </x:c>
      <x:c r="R6" s="40" t="str">
        <x:v>Domestic allocation; second landfall is part of the same promise</x:v>
      </x:c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v>C3</x:v>
      </x:c>
      <x:c r="D7" s="40" t="str">
        <x:v>Catastrophic domestic</x:v>
      </x:c>
      <x:c r="E7" s="40" t="str">
        <x:v>DRM-4</x:v>
      </x:c>
      <x:c r="F7" s="40" t="str">
        <x:v>Cascadia earthquake and tsunami</x:v>
      </x:c>
      <x:c r="G7" s="40" t="str">
        <x:v>Pacific Northwest</x:v>
      </x:c>
      <x:c r="H7" s="40" t="str">
        <x:v>D3 Pacific</x:v>
      </x:c>
      <x:c r="I7" s="40" t="n">
        <x:v>0</x:v>
      </x:c>
      <x:c r="J7" s="40" t="n">
        <x:v>1</x:v>
      </x:c>
      <x:c r="K7" s="40" t="n">
        <x:v>4</x:v>
      </x:c>
      <x:c r="L7" s="40" t="n">
        <x:v>180</x:v>
      </x:c>
      <x:c r="M7" s="40" t="n">
        <x:v>7</x:v>
      </x:c>
      <x:c r="N7" s="40" t="n">
        <x:v>5</x:v>
      </x:c>
      <x:c r="O7" s="40" t="n">
        <x:v>42</x:v>
      </x:c>
      <x:c r="P7" s="40" t="n">
        <x:v>21</x:v>
      </x:c>
      <x:c r="Q7" s="40" t="n">
        <x:f>SUM(J7:P7)</x:f>
        <x:v>260</x:v>
      </x:c>
      <x:c r="R7" s="40" t="str">
        <x:v>Domestic allocation; no-notice onset</x:v>
      </x:c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v>M1</x:v>
      </x:c>
      <x:c r="D8" s="40" t="str">
        <x:v>Major domestic</x:v>
      </x:c>
      <x:c r="E8" s="40" t="str">
        <x:v>DRM-5</x:v>
      </x:c>
      <x:c r="F8" s="40" t="str">
        <x:v>Western wildfire, heat and smoke complex</x:v>
      </x:c>
      <x:c r="G8" s="40" t="str">
        <x:v>Western interior</x:v>
      </x:c>
      <x:c r="H8" s="40" t="str">
        <x:v>D4 West</x:v>
      </x:c>
      <x:c r="I8" s="40" t="n">
        <x:v>48</x:v>
      </x:c>
      <x:c r="J8" s="40" t="n">
        <x:v>2</x:v>
      </x:c>
      <x:c r="K8" s="40" t="n">
        <x:v>2</x:v>
      </x:c>
      <x:c r="L8" s="40" t="n">
        <x:v>90</x:v>
      </x:c>
      <x:c r="M8" s="40" t="n">
        <x:v>3</x:v>
      </x:c>
      <x:c r="N8" s="40" t="n">
        <x:v>2</x:v>
      </x:c>
      <x:c r="O8" s="40" t="n">
        <x:v>21</x:v>
      </x:c>
      <x:c r="P8" s="40" t="n">
        <x:v>14</x:v>
      </x:c>
      <x:c r="Q8" s="40" t="n">
        <x:f>SUM(J8:P8)</x:f>
        <x:v>134</x:v>
      </x:c>
      <x:c r="R8" s="40" t="str">
        <x:v>Domestic allocation; multiple fire sectors remain one campaign</x:v>
      </x:c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v>M2</x:v>
      </x:c>
      <x:c r="D9" s="40" t="str">
        <x:v>Major domestic</x:v>
      </x:c>
      <x:c r="E9" s="40" t="str">
        <x:v>DRM-6 derivative</x:v>
      </x:c>
      <x:c r="F9" s="40" t="str">
        <x:v>Urban heat emergency with grid stress</x:v>
      </x:c>
      <x:c r="G9" s="40" t="str">
        <x:v>Great Lakes or Northeast metro</x:v>
      </x:c>
      <x:c r="H9" s="40" t="str">
        <x:v>D5 urban</x:v>
      </x:c>
      <x:c r="I9" s="40" t="n">
        <x:v>72</x:v>
      </x:c>
      <x:c r="J9" s="40" t="n">
        <x:v>3</x:v>
      </x:c>
      <x:c r="K9" s="40" t="n">
        <x:v>1</x:v>
      </x:c>
      <x:c r="L9" s="40" t="n">
        <x:v>45</x:v>
      </x:c>
      <x:c r="M9" s="40" t="n">
        <x:v>2</x:v>
      </x:c>
      <x:c r="N9" s="40" t="n">
        <x:v>1</x:v>
      </x:c>
      <x:c r="O9" s="40" t="n">
        <x:v>14</x:v>
      </x:c>
      <x:c r="P9" s="40" t="n">
        <x:v>7</x:v>
      </x:c>
      <x:c r="Q9" s="40" t="n">
        <x:f>SUM(J9:P9)</x:f>
        <x:v>73</x:v>
      </x:c>
      <x:c r="R9" s="40" t="str">
        <x:v>Domestic allocation</x:v>
      </x:c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v>M3</x:v>
      </x:c>
      <x:c r="D10" s="40" t="str">
        <x:v>Major domestic</x:v>
      </x:c>
      <x:c r="E10" s="40" t="str">
        <x:v>DRM-2 derivative</x:v>
      </x:c>
      <x:c r="F10" s="40" t="str">
        <x:v>Inland megaflood and hydraulic-control campaign</x:v>
      </x:c>
      <x:c r="G10" s="40" t="str">
        <x:v>Mississippi or Central Valley</x:v>
      </x:c>
      <x:c r="H10" s="40" t="str">
        <x:v>D6 inland</x:v>
      </x:c>
      <x:c r="I10" s="40" t="n">
        <x:v>72</x:v>
      </x:c>
      <x:c r="J10" s="40" t="n">
        <x:v>3</x:v>
      </x:c>
      <x:c r="K10" s="40" t="n">
        <x:v>2</x:v>
      </x:c>
      <x:c r="L10" s="40" t="n">
        <x:v>90</x:v>
      </x:c>
      <x:c r="M10" s="40" t="n">
        <x:v>5</x:v>
      </x:c>
      <x:c r="N10" s="40" t="n">
        <x:v>3</x:v>
      </x:c>
      <x:c r="O10" s="40" t="n">
        <x:v>28</x:v>
      </x:c>
      <x:c r="P10" s="40" t="n">
        <x:v>14</x:v>
      </x:c>
      <x:c r="Q10" s="40" t="n">
        <x:f>SUM(J10:P10)</x:f>
        <x:v>145</x:v>
      </x:c>
      <x:c r="R10" s="40" t="str">
        <x:v>Domestic allocation</x:v>
      </x:c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v>M4</x:v>
      </x:c>
      <x:c r="D11" s="40" t="str">
        <x:v>Major domestic</x:v>
      </x:c>
      <x:c r="E11" s="40" t="str">
        <x:v>DRM set extension</x:v>
      </x:c>
      <x:c r="F11" s="40" t="str">
        <x:v>Regional tornado sequence and utility disruption</x:v>
      </x:c>
      <x:c r="G11" s="40" t="str">
        <x:v>Plains and South</x:v>
      </x:c>
      <x:c r="H11" s="40" t="str">
        <x:v>D6 inland</x:v>
      </x:c>
      <x:c r="I11" s="40" t="n">
        <x:v>24</x:v>
      </x:c>
      <x:c r="J11" s="40" t="n">
        <x:v>1</x:v>
      </x:c>
      <x:c r="K11" s="40" t="n">
        <x:v>1</x:v>
      </x:c>
      <x:c r="L11" s="40" t="n">
        <x:v>30</x:v>
      </x:c>
      <x:c r="M11" s="40" t="n">
        <x:v>2</x:v>
      </x:c>
      <x:c r="N11" s="40" t="n">
        <x:v>1</x:v>
      </x:c>
      <x:c r="O11" s="40" t="n">
        <x:v>14</x:v>
      </x:c>
      <x:c r="P11" s="40" t="n">
        <x:v>7</x:v>
      </x:c>
      <x:c r="Q11" s="40" t="n">
        <x:f>SUM(J11:P11)</x:f>
        <x:v>56</x:v>
      </x:c>
      <x:c r="R11" s="40" t="str">
        <x:v>Domestic allocation</x:v>
      </x:c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v>M5</x:v>
      </x:c>
      <x:c r="D12" s="40" t="str">
        <x:v>Major domestic</x:v>
      </x:c>
      <x:c r="E12" s="40" t="str">
        <x:v>DRM-7 / DRM-9</x:v>
      </x:c>
      <x:c r="F12" s="40" t="str">
        <x:v>Territorial drought and compound utility mission</x:v>
      </x:c>
      <x:c r="G12" s="40" t="str">
        <x:v>Caribbean or Pacific territory</x:v>
      </x:c>
      <x:c r="H12" s="40" t="str">
        <x:v>D7 territory</x:v>
      </x:c>
      <x:c r="I12" s="40" t="n">
        <x:v>720</x:v>
      </x:c>
      <x:c r="J12" s="40" t="n">
        <x:v>14</x:v>
      </x:c>
      <x:c r="K12" s="40" t="n">
        <x:v>7</x:v>
      </x:c>
      <x:c r="L12" s="40" t="n">
        <x:v>180</x:v>
      </x:c>
      <x:c r="M12" s="40" t="n">
        <x:v>7</x:v>
      </x:c>
      <x:c r="N12" s="40" t="n">
        <x:v>3</x:v>
      </x:c>
      <x:c r="O12" s="40" t="n">
        <x:v>28</x:v>
      </x:c>
      <x:c r="P12" s="40" t="n">
        <x:v>14</x:v>
      </x:c>
      <x:c r="Q12" s="40" t="n">
        <x:f>SUM(J12:P12)</x:f>
        <x:v>253</x:v>
      </x:c>
      <x:c r="R12" s="40" t="str">
        <x:v>Domestic allocation; territory is not treated as international</x:v>
      </x:c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v>I1</x:v>
      </x:c>
      <x:c r="D13" s="40" t="str">
        <x:v>Invited international</x:v>
      </x:c>
      <x:c r="E13" s="40" t="str">
        <x:v>DRM-10</x:v>
      </x:c>
      <x:c r="F13" s="40" t="str">
        <x:v>Allied coastal megacity earthquake</x:v>
      </x:c>
      <x:c r="G13" s="40" t="str">
        <x:v>Indo-Pacific host nation</x:v>
      </x:c>
      <x:c r="H13" s="40" t="str">
        <x:v>I1 Indo-Pacific</x:v>
      </x:c>
      <x:c r="I13" s="40" t="n">
        <x:v>0</x:v>
      </x:c>
      <x:c r="J13" s="40" t="n">
        <x:v>3</x:v>
      </x:c>
      <x:c r="K13" s="40" t="n">
        <x:v>14</x:v>
      </x:c>
      <x:c r="L13" s="40" t="n">
        <x:v>180</x:v>
      </x:c>
      <x:c r="M13" s="40" t="n">
        <x:v>14</x:v>
      </x:c>
      <x:c r="N13" s="40" t="n">
        <x:v>7</x:v>
      </x:c>
      <x:c r="O13" s="40" t="n">
        <x:v>42</x:v>
      </x:c>
      <x:c r="P13" s="40" t="n">
        <x:v>21</x:v>
      </x:c>
      <x:c r="Q13" s="40" t="n">
        <x:f>SUM(J13:P13)</x:f>
        <x:v>281</x:v>
      </x:c>
      <x:c r="R13" s="40" t="str">
        <x:v>Non-recallable after acceptance unless host and U.S. authorities release</x:v>
      </x:c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 t="str">
        <x:v>I2</x:v>
      </x:c>
      <x:c r="D14" s="40" t="str">
        <x:v>Invited international</x:v>
      </x:c>
      <x:c r="E14" s="40" t="str">
        <x:v>Concurrency extension</x:v>
      </x:c>
      <x:c r="F14" s="40" t="str">
        <x:v>Regional flood and displacement mission</x:v>
      </x:c>
      <x:c r="G14" s="40" t="str">
        <x:v>Atlantic or Americas host nation</x:v>
      </x:c>
      <x:c r="H14" s="40" t="str">
        <x:v>I2 Atlantic</x:v>
      </x:c>
      <x:c r="I14" s="40" t="n">
        <x:v>72</x:v>
      </x:c>
      <x:c r="J14" s="40" t="n">
        <x:v>5</x:v>
      </x:c>
      <x:c r="K14" s="40" t="n">
        <x:v>10</x:v>
      </x:c>
      <x:c r="L14" s="40" t="n">
        <x:v>180</x:v>
      </x:c>
      <x:c r="M14" s="40" t="n">
        <x:v>10</x:v>
      </x:c>
      <x:c r="N14" s="40" t="n">
        <x:v>7</x:v>
      </x:c>
      <x:c r="O14" s="40" t="n">
        <x:v>35</x:v>
      </x:c>
      <x:c r="P14" s="40" t="n">
        <x:v>21</x:v>
      </x:c>
      <x:c r="Q14" s="40" t="n">
        <x:f>SUM(J14:P14)</x:f>
        <x:v>268</x:v>
      </x:c>
      <x:c r="R14" s="40" t="str">
        <x:v>Non-recallable after acceptance unless host and U.S. authorities release</x:v>
      </x:c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4" t="str">
        <x:v>Total / count</x:v>
      </x:c>
      <x:c r="D15" s="44"/>
      <x:c r="E15" s="44"/>
      <x:c r="F15" s="44"/>
      <x:c r="G15" s="44"/>
      <x:c r="H15" s="44" t="n">
        <x:v>9</x:v>
      </x:c>
      <x:c r="I15" s="44" t="n">
        <x:f>SUM(I5:I14)</x:f>
        <x:v>1134</x:v>
      </x:c>
      <x:c r="J15" s="44"/>
      <x:c r="K15" s="44"/>
      <x:c r="L15" s="44"/>
      <x:c r="M15" s="44"/>
      <x:c r="N15" s="44"/>
      <x:c r="O15" s="44"/>
      <x:c r="P15" s="44"/>
      <x:c r="Q15" s="44" t="n">
        <x:f>SUM(Q5:Q14)</x:f>
        <x:v>1781</x:v>
      </x:c>
      <x:c r="R15" s="44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20" hidden="0" customWidth="1"/>
    <x:col min="5" max="5" width="20" hidden="0" customWidth="1"/>
    <x:col min="6" max="6" width="19" hidden="0" customWidth="1"/>
    <x:col min="7" max="7" width="19" hidden="0" customWidth="1"/>
    <x:col min="8" max="8" width="18" hidden="0" customWidth="1"/>
    <x:col min="9" max="9" width="19" hidden="0" customWidth="1"/>
    <x:col min="10" max="10" width="19" hidden="0" customWidth="1"/>
    <x:col min="11" max="11" width="18" hidden="0" customWidth="1"/>
    <x:col min="12" max="12" width="22" hidden="0" customWidth="1"/>
    <x:col min="13" max="13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Campaign effect-completeness matrix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51" t="str">
        <x:v>Ordinal 1–4 completeness check only. These scores do not scale formation demand.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Campaign</x:v>
      </x:c>
      <x:c r="D4" s="24" t="str">
        <x:v>Coordination and safety</x:v>
      </x:c>
      <x:c r="E4" s="24" t="str">
        <x:v>Food, shelter and goods</x:v>
      </x:c>
      <x:c r="F4" s="24" t="str">
        <x:v>Health and medical</x:v>
      </x:c>
      <x:c r="G4" s="24" t="str">
        <x:v>Energy and thermal</x:v>
      </x:c>
      <x:c r="H4" s="24" t="str">
        <x:v>Communications</x:v>
      </x:c>
      <x:c r="I4" s="24" t="str">
        <x:v>Mobility and access</x:v>
      </x:c>
      <x:c r="J4" s="24" t="str">
        <x:v>Water and sanitation</x:v>
      </x:c>
      <x:c r="K4" s="24" t="str">
        <x:v>Hazard control</x:v>
      </x:c>
      <x:c r="L4" s="24" t="str">
        <x:v>Housing and public works</x:v>
      </x:c>
      <x:c r="M4" s="13" t="str">
        <x:v>Effect cells</x:v>
      </x:c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v>C1</x:v>
      </x:c>
      <x:c r="D5" s="40" t="n">
        <x:v>4</x:v>
      </x:c>
      <x:c r="E5" s="40" t="n">
        <x:v>4</x:v>
      </x:c>
      <x:c r="F5" s="40" t="n">
        <x:v>4</x:v>
      </x:c>
      <x:c r="G5" s="40" t="n">
        <x:v>4</x:v>
      </x:c>
      <x:c r="H5" s="40" t="n">
        <x:v>4</x:v>
      </x:c>
      <x:c r="I5" s="40" t="n">
        <x:v>3</x:v>
      </x:c>
      <x:c r="J5" s="40" t="n">
        <x:v>4</x:v>
      </x:c>
      <x:c r="K5" s="40" t="n">
        <x:v>2</x:v>
      </x:c>
      <x:c r="L5" s="40" t="n">
        <x:v>3</x:v>
      </x:c>
      <x:c r="M5" s="40" t="n">
        <x:f>COUNT(D5:L5)</x:f>
        <x:v>9</x:v>
      </x:c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v>C2</x:v>
      </x:c>
      <x:c r="D6" s="40" t="n">
        <x:v>4</x:v>
      </x:c>
      <x:c r="E6" s="40" t="n">
        <x:v>4</x:v>
      </x:c>
      <x:c r="F6" s="40" t="n">
        <x:v>4</x:v>
      </x:c>
      <x:c r="G6" s="40" t="n">
        <x:v>4</x:v>
      </x:c>
      <x:c r="H6" s="40" t="n">
        <x:v>4</x:v>
      </x:c>
      <x:c r="I6" s="40" t="n">
        <x:v>4</x:v>
      </x:c>
      <x:c r="J6" s="40" t="n">
        <x:v>4</x:v>
      </x:c>
      <x:c r="K6" s="40" t="n">
        <x:v>4</x:v>
      </x:c>
      <x:c r="L6" s="40" t="n">
        <x:v>4</x:v>
      </x:c>
      <x:c r="M6" s="40" t="n">
        <x:f>COUNT(D6:L6)</x:f>
        <x:v>9</x:v>
      </x:c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v>C3</x:v>
      </x:c>
      <x:c r="D7" s="40" t="n">
        <x:v>4</x:v>
      </x:c>
      <x:c r="E7" s="40" t="n">
        <x:v>4</x:v>
      </x:c>
      <x:c r="F7" s="40" t="n">
        <x:v>4</x:v>
      </x:c>
      <x:c r="G7" s="40" t="n">
        <x:v>4</x:v>
      </x:c>
      <x:c r="H7" s="40" t="n">
        <x:v>4</x:v>
      </x:c>
      <x:c r="I7" s="40" t="n">
        <x:v>4</x:v>
      </x:c>
      <x:c r="J7" s="40" t="n">
        <x:v>4</x:v>
      </x:c>
      <x:c r="K7" s="40" t="n">
        <x:v>4</x:v>
      </x:c>
      <x:c r="L7" s="40" t="n">
        <x:v>4</x:v>
      </x:c>
      <x:c r="M7" s="40" t="n">
        <x:f>COUNT(D7:L7)</x:f>
        <x:v>9</x:v>
      </x:c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v>M1</x:v>
      </x:c>
      <x:c r="D8" s="40" t="n">
        <x:v>3</x:v>
      </x:c>
      <x:c r="E8" s="40" t="n">
        <x:v>2</x:v>
      </x:c>
      <x:c r="F8" s="40" t="n">
        <x:v>3</x:v>
      </x:c>
      <x:c r="G8" s="40" t="n">
        <x:v>3</x:v>
      </x:c>
      <x:c r="H8" s="40" t="n">
        <x:v>3</x:v>
      </x:c>
      <x:c r="I8" s="40" t="n">
        <x:v>4</x:v>
      </x:c>
      <x:c r="J8" s="40" t="n">
        <x:v>3</x:v>
      </x:c>
      <x:c r="K8" s="40" t="n">
        <x:v>4</x:v>
      </x:c>
      <x:c r="L8" s="40" t="n">
        <x:v>3</x:v>
      </x:c>
      <x:c r="M8" s="40" t="n">
        <x:f>COUNT(D8:L8)</x:f>
        <x:v>9</x:v>
      </x:c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v>M2</x:v>
      </x:c>
      <x:c r="D9" s="40" t="n">
        <x:v>3</x:v>
      </x:c>
      <x:c r="E9" s="40" t="n">
        <x:v>2</x:v>
      </x:c>
      <x:c r="F9" s="40" t="n">
        <x:v>4</x:v>
      </x:c>
      <x:c r="G9" s="40" t="n">
        <x:v>4</x:v>
      </x:c>
      <x:c r="H9" s="40" t="n">
        <x:v>2</x:v>
      </x:c>
      <x:c r="I9" s="40" t="n">
        <x:v>2</x:v>
      </x:c>
      <x:c r="J9" s="40" t="n">
        <x:v>3</x:v>
      </x:c>
      <x:c r="K9" s="40" t="n">
        <x:v>2</x:v>
      </x:c>
      <x:c r="L9" s="40" t="n">
        <x:v>2</x:v>
      </x:c>
      <x:c r="M9" s="40" t="n">
        <x:f>COUNT(D9:L9)</x:f>
        <x:v>9</x:v>
      </x:c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v>M3</x:v>
      </x:c>
      <x:c r="D10" s="40" t="n">
        <x:v>3</x:v>
      </x:c>
      <x:c r="E10" s="40" t="n">
        <x:v>3</x:v>
      </x:c>
      <x:c r="F10" s="40" t="n">
        <x:v>3</x:v>
      </x:c>
      <x:c r="G10" s="40" t="n">
        <x:v>3</x:v>
      </x:c>
      <x:c r="H10" s="40" t="n">
        <x:v>3</x:v>
      </x:c>
      <x:c r="I10" s="40" t="n">
        <x:v>4</x:v>
      </x:c>
      <x:c r="J10" s="40" t="n">
        <x:v>4</x:v>
      </x:c>
      <x:c r="K10" s="40" t="n">
        <x:v>4</x:v>
      </x:c>
      <x:c r="L10" s="40" t="n">
        <x:v>4</x:v>
      </x:c>
      <x:c r="M10" s="40" t="n">
        <x:f>COUNT(D10:L10)</x:f>
        <x:v>9</x:v>
      </x:c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v>M4</x:v>
      </x:c>
      <x:c r="D11" s="40" t="n">
        <x:v>3</x:v>
      </x:c>
      <x:c r="E11" s="40" t="n">
        <x:v>3</x:v>
      </x:c>
      <x:c r="F11" s="40" t="n">
        <x:v>3</x:v>
      </x:c>
      <x:c r="G11" s="40" t="n">
        <x:v>3</x:v>
      </x:c>
      <x:c r="H11" s="40" t="n">
        <x:v>3</x:v>
      </x:c>
      <x:c r="I11" s="40" t="n">
        <x:v>4</x:v>
      </x:c>
      <x:c r="J11" s="40" t="n">
        <x:v>3</x:v>
      </x:c>
      <x:c r="K11" s="40" t="n">
        <x:v>4</x:v>
      </x:c>
      <x:c r="L11" s="40" t="n">
        <x:v>4</x:v>
      </x:c>
      <x:c r="M11" s="40" t="n">
        <x:f>COUNT(D11:L11)</x:f>
        <x:v>9</x:v>
      </x:c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v>M5</x:v>
      </x:c>
      <x:c r="D12" s="40" t="n">
        <x:v>3</x:v>
      </x:c>
      <x:c r="E12" s="40" t="n">
        <x:v>4</x:v>
      </x:c>
      <x:c r="F12" s="40" t="n">
        <x:v>3</x:v>
      </x:c>
      <x:c r="G12" s="40" t="n">
        <x:v>4</x:v>
      </x:c>
      <x:c r="H12" s="40" t="n">
        <x:v>3</x:v>
      </x:c>
      <x:c r="I12" s="40" t="n">
        <x:v>3</x:v>
      </x:c>
      <x:c r="J12" s="40" t="n">
        <x:v>4</x:v>
      </x:c>
      <x:c r="K12" s="40" t="n">
        <x:v>3</x:v>
      </x:c>
      <x:c r="L12" s="40" t="n">
        <x:v>4</x:v>
      </x:c>
      <x:c r="M12" s="40" t="n">
        <x:f>COUNT(D12:L12)</x:f>
        <x:v>9</x:v>
      </x:c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v>I1</x:v>
      </x:c>
      <x:c r="D13" s="40" t="n">
        <x:v>4</x:v>
      </x:c>
      <x:c r="E13" s="40" t="n">
        <x:v>4</x:v>
      </x:c>
      <x:c r="F13" s="40" t="n">
        <x:v>4</x:v>
      </x:c>
      <x:c r="G13" s="40" t="n">
        <x:v>4</x:v>
      </x:c>
      <x:c r="H13" s="40" t="n">
        <x:v>4</x:v>
      </x:c>
      <x:c r="I13" s="40" t="n">
        <x:v>4</x:v>
      </x:c>
      <x:c r="J13" s="40" t="n">
        <x:v>4</x:v>
      </x:c>
      <x:c r="K13" s="40" t="n">
        <x:v>4</x:v>
      </x:c>
      <x:c r="L13" s="40" t="n">
        <x:v>4</x:v>
      </x:c>
      <x:c r="M13" s="40" t="n">
        <x:f>COUNT(D13:L13)</x:f>
        <x:v>9</x:v>
      </x:c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 t="str">
        <x:v>I2</x:v>
      </x:c>
      <x:c r="D14" s="40" t="n">
        <x:v>3</x:v>
      </x:c>
      <x:c r="E14" s="40" t="n">
        <x:v>4</x:v>
      </x:c>
      <x:c r="F14" s="40" t="n">
        <x:v>3</x:v>
      </x:c>
      <x:c r="G14" s="40" t="n">
        <x:v>3</x:v>
      </x:c>
      <x:c r="H14" s="40" t="n">
        <x:v>3</x:v>
      </x:c>
      <x:c r="I14" s="40" t="n">
        <x:v>4</x:v>
      </x:c>
      <x:c r="J14" s="40" t="n">
        <x:v>4</x:v>
      </x:c>
      <x:c r="K14" s="40" t="n">
        <x:v>4</x:v>
      </x:c>
      <x:c r="L14" s="40" t="n">
        <x:v>4</x:v>
      </x:c>
      <x:c r="M14" s="40" t="n">
        <x:f>COUNT(D14:L14)</x:f>
        <x:v>9</x:v>
      </x:c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4" t="str">
        <x:v>Total</x:v>
      </x:c>
      <x:c r="D15" s="44" t="n">
        <x:f>SUM(D5:D14)</x:f>
        <x:v>34</x:v>
      </x:c>
      <x:c r="E15" s="44" t="n">
        <x:f>SUM(E5:E14)</x:f>
        <x:v>34</x:v>
      </x:c>
      <x:c r="F15" s="44" t="n">
        <x:f>SUM(F5:F14)</x:f>
        <x:v>35</x:v>
      </x:c>
      <x:c r="G15" s="44" t="n">
        <x:f>SUM(G5:G14)</x:f>
        <x:v>36</x:v>
      </x:c>
      <x:c r="H15" s="44" t="n">
        <x:f>SUM(H5:H14)</x:f>
        <x:v>33</x:v>
      </x:c>
      <x:c r="I15" s="44" t="n">
        <x:f>SUM(I5:I14)</x:f>
        <x:v>36</x:v>
      </x:c>
      <x:c r="J15" s="44" t="n">
        <x:f>SUM(J5:J14)</x:f>
        <x:v>37</x:v>
      </x:c>
      <x:c r="K15" s="44" t="n">
        <x:f>SUM(K5:K14)</x:f>
        <x:v>35</x:v>
      </x:c>
      <x:c r="L15" s="44" t="n">
        <x:f>SUM(L5:L14)</x:f>
        <x:v>36</x:v>
      </x:c>
      <x:c r="M15" s="44" t="n">
        <x:f>SUM(M5:M14)</x:f>
        <x:v>90</x:v>
      </x:c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28" hidden="0" customWidth="1"/>
    <x:col min="5" max="5" width="42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5" max="15" width="19" hidden="0" customWidth="1"/>
    <x:col min="16" max="16" width="17" hidden="0" customWidth="1"/>
    <x:col min="17" max="17" width="20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28" hidden="0" customWidth="1"/>
    <x:col min="25" max="25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Canonical formation-family inputs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1"/>
    </x:row>
    <x:row r="3">
      <x:c r="A3" s="1"/>
      <x:c r="B3" s="1"/>
      <x:c r="C3" s="51" t="str">
        <x:v>Copied as values from the Pass 58 canonical allocation; no family output is treated as interchangeable.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ID</x:v>
      </x:c>
      <x:c r="D4" s="24" t="str">
        <x:v>Service</x:v>
      </x:c>
      <x:c r="E4" s="24" t="str">
        <x:v>Formation family</x:v>
      </x:c>
      <x:c r="F4" s="24" t="str">
        <x:v>Net on-duty people</x:v>
      </x:c>
      <x:c r="G4" s="24" t="str">
        <x:v>Crew sets</x:v>
      </x:c>
      <x:c r="H4" s="24" t="str">
        <x:v>Material</x:v>
      </x:c>
      <x:c r="I4" s="24" t="str">
        <x:v>Personnel</x:v>
      </x:c>
      <x:c r="J4" s="24" t="str">
        <x:v>Movement</x:v>
      </x:c>
      <x:c r="K4" s="24" t="str">
        <x:v>Reception</x:v>
      </x:c>
      <x:c r="L4" s="24" t="str">
        <x:v>Sustainment</x:v>
      </x:c>
      <x:c r="M4" s="24" t="str">
        <x:v>Bottleneck</x:v>
      </x:c>
      <x:c r="N4" s="24" t="str">
        <x:v>Early share</x:v>
      </x:c>
      <x:c r="O4" s="24" t="str">
        <x:v>Deployable mass (t)</x:v>
      </x:c>
      <x:c r="P4" s="24" t="str">
        <x:v>Supply (t/day)</x:v>
      </x:c>
      <x:c r="Q4" s="24" t="str">
        <x:v>Net unit capital (USD B)</x:v>
      </x:c>
      <x:c r="R4" s="24" t="str">
        <x:v>O&amp;M rate</x:v>
      </x:c>
      <x:c r="S4" s="24" t="str">
        <x:v>Permanent</x:v>
      </x:c>
      <x:c r="T4" s="24" t="str">
        <x:v>Reserve</x:v>
      </x:c>
      <x:c r="U4" s="24" t="str">
        <x:v>State</x:v>
      </x:c>
      <x:c r="V4" s="24" t="str">
        <x:v>Industry</x:v>
      </x:c>
      <x:c r="W4" s="24" t="str">
        <x:v>Partner</x:v>
      </x:c>
      <x:c r="X4" s="24" t="str">
        <x:v>Lineage</x:v>
      </x:c>
      <x:c r="Y4" s="13" t="str">
        <x:v>Input status</x:v>
      </x:c>
      <x:c r="Z4" s="40"/>
    </x:row>
    <x:row r="5">
      <x:c r="A5" s="1"/>
      <x:c r="B5" s="1"/>
      <x:c r="C5" s="40" t="str">
        <x:v>J-CIE</x:v>
      </x:c>
      <x:c r="D5" s="40" t="str">
        <x:v>Joint</x:v>
      </x:c>
      <x:c r="E5" s="40" t="str">
        <x:v>Civil integration and effects group</x:v>
      </x:c>
      <x:c r="F5" s="50" t="n">
        <x:v>120</x:v>
      </x:c>
      <x:c r="G5" s="40" t="n">
        <x:v>2.5</x:v>
      </x:c>
      <x:c r="H5" s="47" t="n">
        <x:v>0.82</x:v>
      </x:c>
      <x:c r="I5" s="47" t="n">
        <x:v>0.8</x:v>
      </x:c>
      <x:c r="J5" s="47" t="n">
        <x:v>0.78</x:v>
      </x:c>
      <x:c r="K5" s="47" t="n">
        <x:v>0.8</x:v>
      </x:c>
      <x:c r="L5" s="47" t="n">
        <x:v>0.82</x:v>
      </x:c>
      <x:c r="M5" s="47" t="n">
        <x:f>MIN(H5:L5)</x:f>
        <x:v>0.78</x:v>
      </x:c>
      <x:c r="N5" s="47" t="n">
        <x:v>0.65</x:v>
      </x:c>
      <x:c r="O5" s="50" t="n">
        <x:v>2200</x:v>
      </x:c>
      <x:c r="P5" s="50" t="n">
        <x:v>45</x:v>
      </x:c>
      <x:c r="Q5" s="43" t="n">
        <x:v>0.25</x:v>
      </x:c>
      <x:c r="R5" s="47" t="n">
        <x:v>0.045</x:v>
      </x:c>
      <x:c r="S5" s="47" t="n">
        <x:v>0.6</x:v>
      </x:c>
      <x:c r="T5" s="47" t="n">
        <x:v>0.2</x:v>
      </x:c>
      <x:c r="U5" s="47" t="n">
        <x:v>0.1</x:v>
      </x:c>
      <x:c r="V5" s="47" t="n">
        <x:v>0.05</x:v>
      </x:c>
      <x:c r="W5" s="47" t="n">
        <x:v>0.05</x:v>
      </x:c>
      <x:c r="X5" s="40" t="str">
        <x:v>Pass 23 retained</x:v>
      </x:c>
      <x:c r="Y5" s="40" t="str">
        <x:v>INHERITED</x:v>
      </x:c>
      <x:c r="Z5" s="40"/>
    </x:row>
    <x:row r="6">
      <x:c r="A6" s="1"/>
      <x:c r="B6" s="1"/>
      <x:c r="C6" s="40" t="str">
        <x:v>J-TOC</x:v>
      </x:c>
      <x:c r="D6" s="40" t="str">
        <x:v>Joint</x:v>
      </x:c>
      <x:c r="E6" s="40" t="str">
        <x:v>Theater-opening command</x:v>
      </x:c>
      <x:c r="F6" s="50" t="n">
        <x:v>600</x:v>
      </x:c>
      <x:c r="G6" s="40" t="n">
        <x:v>2.5</x:v>
      </x:c>
      <x:c r="H6" s="47" t="n">
        <x:v>0.82</x:v>
      </x:c>
      <x:c r="I6" s="47" t="n">
        <x:v>0.8</x:v>
      </x:c>
      <x:c r="J6" s="47" t="n">
        <x:v>0.78</x:v>
      </x:c>
      <x:c r="K6" s="47" t="n">
        <x:v>0.8</x:v>
      </x:c>
      <x:c r="L6" s="47" t="n">
        <x:v>0.82</x:v>
      </x:c>
      <x:c r="M6" s="47" t="n">
        <x:f>MIN(H6:L6)</x:f>
        <x:v>0.78</x:v>
      </x:c>
      <x:c r="N6" s="47" t="n">
        <x:v>0.65</x:v>
      </x:c>
      <x:c r="O6" s="50" t="n">
        <x:v>2200</x:v>
      </x:c>
      <x:c r="P6" s="50" t="n">
        <x:v>45</x:v>
      </x:c>
      <x:c r="Q6" s="43" t="n">
        <x:v>1.2</x:v>
      </x:c>
      <x:c r="R6" s="47" t="n">
        <x:v>0.045</x:v>
      </x:c>
      <x:c r="S6" s="47" t="n">
        <x:v>0.6</x:v>
      </x:c>
      <x:c r="T6" s="47" t="n">
        <x:v>0.2</x:v>
      </x:c>
      <x:c r="U6" s="47" t="n">
        <x:v>0.1</x:v>
      </x:c>
      <x:c r="V6" s="47" t="n">
        <x:v>0.05</x:v>
      </x:c>
      <x:c r="W6" s="47" t="n">
        <x:v>0.05</x:v>
      </x:c>
      <x:c r="X6" s="40" t="str">
        <x:v>Pass 23 retained</x:v>
      </x:c>
      <x:c r="Y6" s="40" t="str">
        <x:v>INHERITED</x:v>
      </x:c>
      <x:c r="Z6" s="40"/>
    </x:row>
    <x:row r="7">
      <x:c r="A7" s="1"/>
      <x:c r="B7" s="1"/>
      <x:c r="C7" s="40" t="str">
        <x:v>J-TSC</x:v>
      </x:c>
      <x:c r="D7" s="40" t="str">
        <x:v>Joint</x:v>
      </x:c>
      <x:c r="E7" s="40" t="str">
        <x:v>Theater sustainment command</x:v>
      </x:c>
      <x:c r="F7" s="50" t="n">
        <x:v>900</x:v>
      </x:c>
      <x:c r="G7" s="40" t="n">
        <x:v>2.5</x:v>
      </x:c>
      <x:c r="H7" s="47" t="n">
        <x:v>0.82</x:v>
      </x:c>
      <x:c r="I7" s="47" t="n">
        <x:v>0.8</x:v>
      </x:c>
      <x:c r="J7" s="47" t="n">
        <x:v>0.78</x:v>
      </x:c>
      <x:c r="K7" s="47" t="n">
        <x:v>0.8</x:v>
      </x:c>
      <x:c r="L7" s="47" t="n">
        <x:v>0.82</x:v>
      </x:c>
      <x:c r="M7" s="47" t="n">
        <x:f>MIN(H7:L7)</x:f>
        <x:v>0.78</x:v>
      </x:c>
      <x:c r="N7" s="47" t="n">
        <x:v>0.65</x:v>
      </x:c>
      <x:c r="O7" s="50" t="n">
        <x:v>2200</x:v>
      </x:c>
      <x:c r="P7" s="50" t="n">
        <x:v>45</x:v>
      </x:c>
      <x:c r="Q7" s="43" t="n">
        <x:v>1.5</x:v>
      </x:c>
      <x:c r="R7" s="47" t="n">
        <x:v>0.045</x:v>
      </x:c>
      <x:c r="S7" s="47" t="n">
        <x:v>0.6</x:v>
      </x:c>
      <x:c r="T7" s="47" t="n">
        <x:v>0.2</x:v>
      </x:c>
      <x:c r="U7" s="47" t="n">
        <x:v>0.1</x:v>
      </x:c>
      <x:c r="V7" s="47" t="n">
        <x:v>0.05</x:v>
      </x:c>
      <x:c r="W7" s="47" t="n">
        <x:v>0.05</x:v>
      </x:c>
      <x:c r="X7" s="40" t="str">
        <x:v>Pass 23 retained</x:v>
      </x:c>
      <x:c r="Y7" s="40" t="str">
        <x:v>INHERITED</x:v>
      </x:c>
      <x:c r="Z7" s="40"/>
    </x:row>
    <x:row r="8">
      <x:c r="A8" s="1"/>
      <x:c r="B8" s="1"/>
      <x:c r="C8" s="40" t="str">
        <x:v>J-RRG</x:v>
      </x:c>
      <x:c r="D8" s="40" t="str">
        <x:v>Joint</x:v>
      </x:c>
      <x:c r="E8" s="40" t="str">
        <x:v>Replacement and reconstitution group</x:v>
      </x:c>
      <x:c r="F8" s="50" t="n">
        <x:v>400</x:v>
      </x:c>
      <x:c r="G8" s="40" t="n">
        <x:v>2.5</x:v>
      </x:c>
      <x:c r="H8" s="47" t="n">
        <x:v>0.82</x:v>
      </x:c>
      <x:c r="I8" s="47" t="n">
        <x:v>0.8</x:v>
      </x:c>
      <x:c r="J8" s="47" t="n">
        <x:v>0.78</x:v>
      </x:c>
      <x:c r="K8" s="47" t="n">
        <x:v>0.8</x:v>
      </x:c>
      <x:c r="L8" s="47" t="n">
        <x:v>0.82</x:v>
      </x:c>
      <x:c r="M8" s="47" t="n">
        <x:f>MIN(H8:L8)</x:f>
        <x:v>0.78</x:v>
      </x:c>
      <x:c r="N8" s="47" t="n">
        <x:v>0.65</x:v>
      </x:c>
      <x:c r="O8" s="50" t="n">
        <x:v>2200</x:v>
      </x:c>
      <x:c r="P8" s="50" t="n">
        <x:v>45</x:v>
      </x:c>
      <x:c r="Q8" s="43" t="n">
        <x:v>0.8</x:v>
      </x:c>
      <x:c r="R8" s="47" t="n">
        <x:v>0.045</x:v>
      </x:c>
      <x:c r="S8" s="47" t="n">
        <x:v>0.6</x:v>
      </x:c>
      <x:c r="T8" s="47" t="n">
        <x:v>0.2</x:v>
      </x:c>
      <x:c r="U8" s="47" t="n">
        <x:v>0.1</x:v>
      </x:c>
      <x:c r="V8" s="47" t="n">
        <x:v>0.05</x:v>
      </x:c>
      <x:c r="W8" s="47" t="n">
        <x:v>0.05</x:v>
      </x:c>
      <x:c r="X8" s="40" t="str">
        <x:v>Pass 23 retained</x:v>
      </x:c>
      <x:c r="Y8" s="40" t="str">
        <x:v>INHERITED</x:v>
      </x:c>
      <x:c r="Z8" s="40"/>
    </x:row>
    <x:row r="9">
      <x:c r="A9" s="1"/>
      <x:c r="B9" s="1"/>
      <x:c r="C9" s="40" t="str">
        <x:v>J-TDG</x:v>
      </x:c>
      <x:c r="D9" s="40" t="str">
        <x:v>Joint</x:v>
      </x:c>
      <x:c r="E9" s="40" t="str">
        <x:v>Transfer and demobilization group</x:v>
      </x:c>
      <x:c r="F9" s="50" t="n">
        <x:v>150</x:v>
      </x:c>
      <x:c r="G9" s="40" t="n">
        <x:v>2.5</x:v>
      </x:c>
      <x:c r="H9" s="47" t="n">
        <x:v>0.82</x:v>
      </x:c>
      <x:c r="I9" s="47" t="n">
        <x:v>0.8</x:v>
      </x:c>
      <x:c r="J9" s="47" t="n">
        <x:v>0.78</x:v>
      </x:c>
      <x:c r="K9" s="47" t="n">
        <x:v>0.8</x:v>
      </x:c>
      <x:c r="L9" s="47" t="n">
        <x:v>0.82</x:v>
      </x:c>
      <x:c r="M9" s="47" t="n">
        <x:f>MIN(H9:L9)</x:f>
        <x:v>0.78</x:v>
      </x:c>
      <x:c r="N9" s="47" t="n">
        <x:v>0.65</x:v>
      </x:c>
      <x:c r="O9" s="50" t="n">
        <x:v>2200</x:v>
      </x:c>
      <x:c r="P9" s="50" t="n">
        <x:v>45</x:v>
      </x:c>
      <x:c r="Q9" s="43" t="n">
        <x:v>0.3</x:v>
      </x:c>
      <x:c r="R9" s="47" t="n">
        <x:v>0.045</x:v>
      </x:c>
      <x:c r="S9" s="47" t="n">
        <x:v>0.6</x:v>
      </x:c>
      <x:c r="T9" s="47" t="n">
        <x:v>0.2</x:v>
      </x:c>
      <x:c r="U9" s="47" t="n">
        <x:v>0.1</x:v>
      </x:c>
      <x:c r="V9" s="47" t="n">
        <x:v>0.05</x:v>
      </x:c>
      <x:c r="W9" s="47" t="n">
        <x:v>0.05</x:v>
      </x:c>
      <x:c r="X9" s="40" t="str">
        <x:v>Pass 23 retained</x:v>
      </x:c>
      <x:c r="Y9" s="40" t="str">
        <x:v>INHERITED</x:v>
      </x:c>
      <x:c r="Z9" s="40"/>
    </x:row>
    <x:row r="10">
      <x:c r="A10" s="1"/>
      <x:c r="B10" s="1"/>
      <x:c r="C10" s="40" t="str">
        <x:v>L-ROG</x:v>
      </x:c>
      <x:c r="D10" s="40" t="str">
        <x:v>Land Engineering</x:v>
      </x:c>
      <x:c r="E10" s="40" t="str">
        <x:v>Access and route-opening group</x:v>
      </x:c>
      <x:c r="F10" s="50" t="n">
        <x:v>350</x:v>
      </x:c>
      <x:c r="G10" s="40" t="n">
        <x:v>2.6</x:v>
      </x:c>
      <x:c r="H10" s="47" t="n">
        <x:v>0.76</x:v>
      </x:c>
      <x:c r="I10" s="47" t="n">
        <x:v>0.74</x:v>
      </x:c>
      <x:c r="J10" s="47" t="n">
        <x:v>0.7</x:v>
      </x:c>
      <x:c r="K10" s="47" t="n">
        <x:v>0.74</x:v>
      </x:c>
      <x:c r="L10" s="47" t="n">
        <x:v>0.75</x:v>
      </x:c>
      <x:c r="M10" s="47" t="n">
        <x:f>MIN(H10:L10)</x:f>
        <x:v>0.7</x:v>
      </x:c>
      <x:c r="N10" s="47" t="n">
        <x:v>0.45</x:v>
      </x:c>
      <x:c r="O10" s="50" t="n">
        <x:v>9000</x:v>
      </x:c>
      <x:c r="P10" s="50" t="n">
        <x:v>90</x:v>
      </x:c>
      <x:c r="Q10" s="43" t="n">
        <x:v>1.2</x:v>
      </x:c>
      <x:c r="R10" s="47" t="n">
        <x:v>0.05</x:v>
      </x:c>
      <x:c r="S10" s="47" t="n">
        <x:v>0.35</x:v>
      </x:c>
      <x:c r="T10" s="47" t="n">
        <x:v>0.25</x:v>
      </x:c>
      <x:c r="U10" s="47" t="n">
        <x:v>0.25</x:v>
      </x:c>
      <x:c r="V10" s="47" t="n">
        <x:v>0.15</x:v>
      </x:c>
      <x:c r="W10" s="47" t="n">
        <x:v>0</x:v>
      </x:c>
      <x:c r="X10" s="40" t="str">
        <x:v>Pass 23 retained</x:v>
      </x:c>
      <x:c r="Y10" s="40" t="str">
        <x:v>INHERITED</x:v>
      </x:c>
      <x:c r="Z10" s="40"/>
    </x:row>
    <x:row r="11">
      <x:c r="A11" s="1"/>
      <x:c r="B11" s="1"/>
      <x:c r="C11" s="40" t="str">
        <x:v>L-HCG</x:v>
      </x:c>
      <x:c r="D11" s="40" t="str">
        <x:v>Land Engineering</x:v>
      </x:c>
      <x:c r="E11" s="40" t="str">
        <x:v>Flood and hydraulic-control group</x:v>
      </x:c>
      <x:c r="F11" s="50" t="n">
        <x:v>500</x:v>
      </x:c>
      <x:c r="G11" s="40" t="n">
        <x:v>2.6</x:v>
      </x:c>
      <x:c r="H11" s="47" t="n">
        <x:v>0.76</x:v>
      </x:c>
      <x:c r="I11" s="47" t="n">
        <x:v>0.74</x:v>
      </x:c>
      <x:c r="J11" s="47" t="n">
        <x:v>0.7</x:v>
      </x:c>
      <x:c r="K11" s="47" t="n">
        <x:v>0.74</x:v>
      </x:c>
      <x:c r="L11" s="47" t="n">
        <x:v>0.75</x:v>
      </x:c>
      <x:c r="M11" s="47" t="n">
        <x:f>MIN(H11:L11)</x:f>
        <x:v>0.7</x:v>
      </x:c>
      <x:c r="N11" s="47" t="n">
        <x:v>0.45</x:v>
      </x:c>
      <x:c r="O11" s="50" t="n">
        <x:v>9000</x:v>
      </x:c>
      <x:c r="P11" s="50" t="n">
        <x:v>90</x:v>
      </x:c>
      <x:c r="Q11" s="43" t="n">
        <x:v>1.8</x:v>
      </x:c>
      <x:c r="R11" s="47" t="n">
        <x:v>0.05</x:v>
      </x:c>
      <x:c r="S11" s="47" t="n">
        <x:v>0.35</x:v>
      </x:c>
      <x:c r="T11" s="47" t="n">
        <x:v>0.25</x:v>
      </x:c>
      <x:c r="U11" s="47" t="n">
        <x:v>0.25</x:v>
      </x:c>
      <x:c r="V11" s="47" t="n">
        <x:v>0.15</x:v>
      </x:c>
      <x:c r="W11" s="47" t="n">
        <x:v>0</x:v>
      </x:c>
      <x:c r="X11" s="40" t="str">
        <x:v>Pass 23 retained</x:v>
      </x:c>
      <x:c r="Y11" s="40" t="str">
        <x:v>INHERITED</x:v>
      </x:c>
      <x:c r="Z11" s="40"/>
    </x:row>
    <x:row r="12">
      <x:c r="A12" s="1"/>
      <x:c r="B12" s="1"/>
      <x:c r="C12" s="40" t="str">
        <x:v>L-DMG</x:v>
      </x:c>
      <x:c r="D12" s="40" t="str">
        <x:v>Land Engineering</x:v>
      </x:c>
      <x:c r="E12" s="40" t="str">
        <x:v>Debris and materials group</x:v>
      </x:c>
      <x:c r="F12" s="50" t="n">
        <x:v>400</x:v>
      </x:c>
      <x:c r="G12" s="40" t="n">
        <x:v>2.6</x:v>
      </x:c>
      <x:c r="H12" s="47" t="n">
        <x:v>0.76</x:v>
      </x:c>
      <x:c r="I12" s="47" t="n">
        <x:v>0.74</x:v>
      </x:c>
      <x:c r="J12" s="47" t="n">
        <x:v>0.7</x:v>
      </x:c>
      <x:c r="K12" s="47" t="n">
        <x:v>0.74</x:v>
      </x:c>
      <x:c r="L12" s="47" t="n">
        <x:v>0.75</x:v>
      </x:c>
      <x:c r="M12" s="47" t="n">
        <x:f>MIN(H12:L12)</x:f>
        <x:v>0.7</x:v>
      </x:c>
      <x:c r="N12" s="47" t="n">
        <x:v>0.45</x:v>
      </x:c>
      <x:c r="O12" s="50" t="n">
        <x:v>9000</x:v>
      </x:c>
      <x:c r="P12" s="50" t="n">
        <x:v>90</x:v>
      </x:c>
      <x:c r="Q12" s="43" t="n">
        <x:v>1.4</x:v>
      </x:c>
      <x:c r="R12" s="47" t="n">
        <x:v>0.05</x:v>
      </x:c>
      <x:c r="S12" s="47" t="n">
        <x:v>0.35</x:v>
      </x:c>
      <x:c r="T12" s="47" t="n">
        <x:v>0.25</x:v>
      </x:c>
      <x:c r="U12" s="47" t="n">
        <x:v>0.25</x:v>
      </x:c>
      <x:c r="V12" s="47" t="n">
        <x:v>0.15</x:v>
      </x:c>
      <x:c r="W12" s="47" t="n">
        <x:v>0</x:v>
      </x:c>
      <x:c r="X12" s="40" t="str">
        <x:v>Pass 23 retained</x:v>
      </x:c>
      <x:c r="Y12" s="40" t="str">
        <x:v>INHERITED</x:v>
      </x:c>
      <x:c r="Z12" s="40"/>
    </x:row>
    <x:row r="13">
      <x:c r="A13" s="1"/>
      <x:c r="B13" s="1"/>
      <x:c r="C13" s="40" t="str">
        <x:v>L-TWG</x:v>
      </x:c>
      <x:c r="D13" s="40" t="str">
        <x:v>Land Engineering</x:v>
      </x:c>
      <x:c r="E13" s="40" t="str">
        <x:v>Temporary works and crossing group</x:v>
      </x:c>
      <x:c r="F13" s="50" t="n">
        <x:v>350</x:v>
      </x:c>
      <x:c r="G13" s="40" t="n">
        <x:v>2.6</x:v>
      </x:c>
      <x:c r="H13" s="47" t="n">
        <x:v>0.76</x:v>
      </x:c>
      <x:c r="I13" s="47" t="n">
        <x:v>0.74</x:v>
      </x:c>
      <x:c r="J13" s="47" t="n">
        <x:v>0.7</x:v>
      </x:c>
      <x:c r="K13" s="47" t="n">
        <x:v>0.74</x:v>
      </x:c>
      <x:c r="L13" s="47" t="n">
        <x:v>0.75</x:v>
      </x:c>
      <x:c r="M13" s="47" t="n">
        <x:f>MIN(H13:L13)</x:f>
        <x:v>0.7</x:v>
      </x:c>
      <x:c r="N13" s="47" t="n">
        <x:v>0.45</x:v>
      </x:c>
      <x:c r="O13" s="50" t="n">
        <x:v>9000</x:v>
      </x:c>
      <x:c r="P13" s="50" t="n">
        <x:v>90</x:v>
      </x:c>
      <x:c r="Q13" s="43" t="n">
        <x:v>1.2</x:v>
      </x:c>
      <x:c r="R13" s="47" t="n">
        <x:v>0.05</x:v>
      </x:c>
      <x:c r="S13" s="47" t="n">
        <x:v>0.35</x:v>
      </x:c>
      <x:c r="T13" s="47" t="n">
        <x:v>0.25</x:v>
      </x:c>
      <x:c r="U13" s="47" t="n">
        <x:v>0.25</x:v>
      </x:c>
      <x:c r="V13" s="47" t="n">
        <x:v>0.15</x:v>
      </x:c>
      <x:c r="W13" s="47" t="n">
        <x:v>0</x:v>
      </x:c>
      <x:c r="X13" s="40" t="str">
        <x:v>Pass 23 retained</x:v>
      </x:c>
      <x:c r="Y13" s="40" t="str">
        <x:v>INHERITED</x:v>
      </x:c>
      <x:c r="Z13" s="40"/>
    </x:row>
    <x:row r="14">
      <x:c r="A14" s="1"/>
      <x:c r="B14" s="1"/>
      <x:c r="C14" s="40" t="str">
        <x:v>L-GFG</x:v>
      </x:c>
      <x:c r="D14" s="40" t="str">
        <x:v>Land Engineering</x:v>
      </x:c>
      <x:c r="E14" s="40" t="str">
        <x:v>Ground fire and landscape group</x:v>
      </x:c>
      <x:c r="F14" s="50" t="n">
        <x:v>450</x:v>
      </x:c>
      <x:c r="G14" s="40" t="n">
        <x:v>2.6</x:v>
      </x:c>
      <x:c r="H14" s="47" t="n">
        <x:v>0.76</x:v>
      </x:c>
      <x:c r="I14" s="47" t="n">
        <x:v>0.74</x:v>
      </x:c>
      <x:c r="J14" s="47" t="n">
        <x:v>0.7</x:v>
      </x:c>
      <x:c r="K14" s="47" t="n">
        <x:v>0.74</x:v>
      </x:c>
      <x:c r="L14" s="47" t="n">
        <x:v>0.75</x:v>
      </x:c>
      <x:c r="M14" s="47" t="n">
        <x:f>MIN(H14:L14)</x:f>
        <x:v>0.7</x:v>
      </x:c>
      <x:c r="N14" s="47" t="n">
        <x:v>0.45</x:v>
      </x:c>
      <x:c r="O14" s="50" t="n">
        <x:v>9000</x:v>
      </x:c>
      <x:c r="P14" s="50" t="n">
        <x:v>90</x:v>
      </x:c>
      <x:c r="Q14" s="43" t="n">
        <x:v>1</x:v>
      </x:c>
      <x:c r="R14" s="47" t="n">
        <x:v>0.05</x:v>
      </x:c>
      <x:c r="S14" s="47" t="n">
        <x:v>0.35</x:v>
      </x:c>
      <x:c r="T14" s="47" t="n">
        <x:v>0.25</x:v>
      </x:c>
      <x:c r="U14" s="47" t="n">
        <x:v>0.25</x:v>
      </x:c>
      <x:c r="V14" s="47" t="n">
        <x:v>0.15</x:v>
      </x:c>
      <x:c r="W14" s="47" t="n">
        <x:v>0</x:v>
      </x:c>
      <x:c r="X14" s="40" t="str">
        <x:v>Pass 23 retained</x:v>
      </x:c>
      <x:c r="Y14" s="40" t="str">
        <x:v>INHERITED</x:v>
      </x:c>
      <x:c r="Z14" s="40"/>
    </x:row>
    <x:row r="15">
      <x:c r="A15" s="1"/>
      <x:c r="B15" s="1"/>
      <x:c r="C15" s="40" t="str">
        <x:v>A-SMW</x:v>
      </x:c>
      <x:c r="D15" s="40" t="str">
        <x:v>Air Response</x:v>
      </x:c>
      <x:c r="E15" s="40" t="str">
        <x:v>Strategic mobility wing</x:v>
      </x:c>
      <x:c r="F15" s="50" t="n">
        <x:v>900</x:v>
      </x:c>
      <x:c r="G15" s="40" t="n">
        <x:v>3</x:v>
      </x:c>
      <x:c r="H15" s="47" t="n">
        <x:v>0.7</x:v>
      </x:c>
      <x:c r="I15" s="47" t="n">
        <x:v>0.72</x:v>
      </x:c>
      <x:c r="J15" s="47" t="n">
        <x:v>0.65</x:v>
      </x:c>
      <x:c r="K15" s="47" t="n">
        <x:v>0.75</x:v>
      </x:c>
      <x:c r="L15" s="47" t="n">
        <x:v>0.72</x:v>
      </x:c>
      <x:c r="M15" s="47" t="n">
        <x:f>MIN(H15:L15)</x:f>
        <x:v>0.65</x:v>
      </x:c>
      <x:c r="N15" s="47" t="n">
        <x:v>0.75</x:v>
      </x:c>
      <x:c r="O15" s="50" t="n">
        <x:v>5000</x:v>
      </x:c>
      <x:c r="P15" s="50" t="n">
        <x:v>100</x:v>
      </x:c>
      <x:c r="Q15" s="43" t="n">
        <x:v>8</x:v>
      </x:c>
      <x:c r="R15" s="47" t="n">
        <x:v>0.07</x:v>
      </x:c>
      <x:c r="S15" s="47" t="n">
        <x:v>0.65</x:v>
      </x:c>
      <x:c r="T15" s="47" t="n">
        <x:v>0.25</x:v>
      </x:c>
      <x:c r="U15" s="47" t="n">
        <x:v>0.05</x:v>
      </x:c>
      <x:c r="V15" s="47" t="n">
        <x:v>0.05</x:v>
      </x:c>
      <x:c r="W15" s="47" t="n">
        <x:v>0</x:v>
      </x:c>
      <x:c r="X15" s="40" t="str">
        <x:v>Pass 23 retained</x:v>
      </x:c>
      <x:c r="Y15" s="40" t="str">
        <x:v>INHERITED</x:v>
      </x:c>
      <x:c r="Z15" s="40"/>
    </x:row>
    <x:row r="16">
      <x:c r="A16" s="1"/>
      <x:c r="B16" s="1"/>
      <x:c r="C16" s="40" t="str">
        <x:v>A-AAG</x:v>
      </x:c>
      <x:c r="D16" s="40" t="str">
        <x:v>Air Response</x:v>
      </x:c>
      <x:c r="E16" s="40" t="str">
        <x:v>Austere air-access group</x:v>
      </x:c>
      <x:c r="F16" s="50" t="n">
        <x:v>350</x:v>
      </x:c>
      <x:c r="G16" s="40" t="n">
        <x:v>3</x:v>
      </x:c>
      <x:c r="H16" s="47" t="n">
        <x:v>0.7</x:v>
      </x:c>
      <x:c r="I16" s="47" t="n">
        <x:v>0.72</x:v>
      </x:c>
      <x:c r="J16" s="47" t="n">
        <x:v>0.65</x:v>
      </x:c>
      <x:c r="K16" s="47" t="n">
        <x:v>0.75</x:v>
      </x:c>
      <x:c r="L16" s="47" t="n">
        <x:v>0.72</x:v>
      </x:c>
      <x:c r="M16" s="47" t="n">
        <x:f>MIN(H16:L16)</x:f>
        <x:v>0.65</x:v>
      </x:c>
      <x:c r="N16" s="47" t="n">
        <x:v>0.75</x:v>
      </x:c>
      <x:c r="O16" s="50" t="n">
        <x:v>5000</x:v>
      </x:c>
      <x:c r="P16" s="50" t="n">
        <x:v>100</x:v>
      </x:c>
      <x:c r="Q16" s="43" t="n">
        <x:v>2.5</x:v>
      </x:c>
      <x:c r="R16" s="47" t="n">
        <x:v>0.07</x:v>
      </x:c>
      <x:c r="S16" s="47" t="n">
        <x:v>0.65</x:v>
      </x:c>
      <x:c r="T16" s="47" t="n">
        <x:v>0.25</x:v>
      </x:c>
      <x:c r="U16" s="47" t="n">
        <x:v>0.05</x:v>
      </x:c>
      <x:c r="V16" s="47" t="n">
        <x:v>0.05</x:v>
      </x:c>
      <x:c r="W16" s="47" t="n">
        <x:v>0</x:v>
      </x:c>
      <x:c r="X16" s="40" t="str">
        <x:v>Pass 23 retained</x:v>
      </x:c>
      <x:c r="Y16" s="40" t="str">
        <x:v>INHERITED</x:v>
      </x:c>
      <x:c r="Z16" s="40"/>
    </x:row>
    <x:row r="17">
      <x:c r="A17" s="1"/>
      <x:c r="B17" s="1"/>
      <x:c r="C17" s="40" t="str">
        <x:v>A-AHW</x:v>
      </x:c>
      <x:c r="D17" s="40" t="str">
        <x:v>Air Response</x:v>
      </x:c>
      <x:c r="E17" s="40" t="str">
        <x:v>Aerial hazard-control wing</x:v>
      </x:c>
      <x:c r="F17" s="50" t="n">
        <x:v>600</x:v>
      </x:c>
      <x:c r="G17" s="40" t="n">
        <x:v>3</x:v>
      </x:c>
      <x:c r="H17" s="47" t="n">
        <x:v>0.7</x:v>
      </x:c>
      <x:c r="I17" s="47" t="n">
        <x:v>0.72</x:v>
      </x:c>
      <x:c r="J17" s="47" t="n">
        <x:v>0.65</x:v>
      </x:c>
      <x:c r="K17" s="47" t="n">
        <x:v>0.75</x:v>
      </x:c>
      <x:c r="L17" s="47" t="n">
        <x:v>0.72</x:v>
      </x:c>
      <x:c r="M17" s="47" t="n">
        <x:f>MIN(H17:L17)</x:f>
        <x:v>0.65</x:v>
      </x:c>
      <x:c r="N17" s="47" t="n">
        <x:v>0.75</x:v>
      </x:c>
      <x:c r="O17" s="50" t="n">
        <x:v>5000</x:v>
      </x:c>
      <x:c r="P17" s="50" t="n">
        <x:v>100</x:v>
      </x:c>
      <x:c r="Q17" s="43" t="n">
        <x:v>6</x:v>
      </x:c>
      <x:c r="R17" s="47" t="n">
        <x:v>0.07</x:v>
      </x:c>
      <x:c r="S17" s="47" t="n">
        <x:v>0.65</x:v>
      </x:c>
      <x:c r="T17" s="47" t="n">
        <x:v>0.25</x:v>
      </x:c>
      <x:c r="U17" s="47" t="n">
        <x:v>0.05</x:v>
      </x:c>
      <x:c r="V17" s="47" t="n">
        <x:v>0.05</x:v>
      </x:c>
      <x:c r="W17" s="47" t="n">
        <x:v>0</x:v>
      </x:c>
      <x:c r="X17" s="40" t="str">
        <x:v>Pass 23 retained</x:v>
      </x:c>
      <x:c r="Y17" s="40" t="str">
        <x:v>INHERITED</x:v>
      </x:c>
      <x:c r="Z17" s="40"/>
    </x:row>
    <x:row r="18">
      <x:c r="A18" s="1"/>
      <x:c r="B18" s="1"/>
      <x:c r="C18" s="40" t="str">
        <x:v>A-TDG</x:v>
      </x:c>
      <x:c r="D18" s="40" t="str">
        <x:v>Air Response</x:v>
      </x:c>
      <x:c r="E18" s="40" t="str">
        <x:v>Tactical distribution group</x:v>
      </x:c>
      <x:c r="F18" s="50" t="n">
        <x:v>450</x:v>
      </x:c>
      <x:c r="G18" s="40" t="n">
        <x:v>3</x:v>
      </x:c>
      <x:c r="H18" s="47" t="n">
        <x:v>0.7</x:v>
      </x:c>
      <x:c r="I18" s="47" t="n">
        <x:v>0.72</x:v>
      </x:c>
      <x:c r="J18" s="47" t="n">
        <x:v>0.65</x:v>
      </x:c>
      <x:c r="K18" s="47" t="n">
        <x:v>0.75</x:v>
      </x:c>
      <x:c r="L18" s="47" t="n">
        <x:v>0.72</x:v>
      </x:c>
      <x:c r="M18" s="47" t="n">
        <x:f>MIN(H18:L18)</x:f>
        <x:v>0.65</x:v>
      </x:c>
      <x:c r="N18" s="47" t="n">
        <x:v>0.75</x:v>
      </x:c>
      <x:c r="O18" s="50" t="n">
        <x:v>5000</x:v>
      </x:c>
      <x:c r="P18" s="50" t="n">
        <x:v>100</x:v>
      </x:c>
      <x:c r="Q18" s="43" t="n">
        <x:v>3</x:v>
      </x:c>
      <x:c r="R18" s="47" t="n">
        <x:v>0.07</x:v>
      </x:c>
      <x:c r="S18" s="47" t="n">
        <x:v>0.65</x:v>
      </x:c>
      <x:c r="T18" s="47" t="n">
        <x:v>0.25</x:v>
      </x:c>
      <x:c r="U18" s="47" t="n">
        <x:v>0.05</x:v>
      </x:c>
      <x:c r="V18" s="47" t="n">
        <x:v>0.05</x:v>
      </x:c>
      <x:c r="W18" s="47" t="n">
        <x:v>0</x:v>
      </x:c>
      <x:c r="X18" s="40" t="str">
        <x:v>Pass 23 retained</x:v>
      </x:c>
      <x:c r="Y18" s="40" t="str">
        <x:v>INHERITED</x:v>
      </x:c>
      <x:c r="Z18" s="40"/>
    </x:row>
    <x:row r="19">
      <x:c r="A19" s="1"/>
      <x:c r="B19" s="1"/>
      <x:c r="C19" s="40" t="str">
        <x:v>A-SRG</x:v>
      </x:c>
      <x:c r="D19" s="40" t="str">
        <x:v>Air Response</x:v>
      </x:c>
      <x:c r="E19" s="40" t="str">
        <x:v>Air sensing and relay group</x:v>
      </x:c>
      <x:c r="F19" s="50" t="n">
        <x:v>180</x:v>
      </x:c>
      <x:c r="G19" s="40" t="n">
        <x:v>3</x:v>
      </x:c>
      <x:c r="H19" s="47" t="n">
        <x:v>0.7</x:v>
      </x:c>
      <x:c r="I19" s="47" t="n">
        <x:v>0.72</x:v>
      </x:c>
      <x:c r="J19" s="47" t="n">
        <x:v>0.65</x:v>
      </x:c>
      <x:c r="K19" s="47" t="n">
        <x:v>0.75</x:v>
      </x:c>
      <x:c r="L19" s="47" t="n">
        <x:v>0.72</x:v>
      </x:c>
      <x:c r="M19" s="47" t="n">
        <x:f>MIN(H19:L19)</x:f>
        <x:v>0.65</x:v>
      </x:c>
      <x:c r="N19" s="47" t="n">
        <x:v>0.75</x:v>
      </x:c>
      <x:c r="O19" s="50" t="n">
        <x:v>5000</x:v>
      </x:c>
      <x:c r="P19" s="50" t="n">
        <x:v>100</x:v>
      </x:c>
      <x:c r="Q19" s="43" t="n">
        <x:v>1.2</x:v>
      </x:c>
      <x:c r="R19" s="47" t="n">
        <x:v>0.07</x:v>
      </x:c>
      <x:c r="S19" s="47" t="n">
        <x:v>0.65</x:v>
      </x:c>
      <x:c r="T19" s="47" t="n">
        <x:v>0.25</x:v>
      </x:c>
      <x:c r="U19" s="47" t="n">
        <x:v>0.05</x:v>
      </x:c>
      <x:c r="V19" s="47" t="n">
        <x:v>0.05</x:v>
      </x:c>
      <x:c r="W19" s="47" t="n">
        <x:v>0</x:v>
      </x:c>
      <x:c r="X19" s="40" t="str">
        <x:v>Pass 23 retained</x:v>
      </x:c>
      <x:c r="Y19" s="40" t="str">
        <x:v>INHERITED</x:v>
      </x:c>
      <x:c r="Z19" s="40"/>
    </x:row>
    <x:row r="20">
      <x:c r="A20" s="1"/>
      <x:c r="B20" s="1"/>
      <x:c r="C20" s="40" t="str">
        <x:v>A-AMG</x:v>
      </x:c>
      <x:c r="D20" s="40" t="str">
        <x:v>Air Response</x:v>
      </x:c>
      <x:c r="E20" s="40" t="str">
        <x:v>Aeromedical movement group</x:v>
      </x:c>
      <x:c r="F20" s="50" t="n">
        <x:v>300</x:v>
      </x:c>
      <x:c r="G20" s="40" t="n">
        <x:v>3</x:v>
      </x:c>
      <x:c r="H20" s="47" t="n">
        <x:v>0.7</x:v>
      </x:c>
      <x:c r="I20" s="47" t="n">
        <x:v>0.72</x:v>
      </x:c>
      <x:c r="J20" s="47" t="n">
        <x:v>0.65</x:v>
      </x:c>
      <x:c r="K20" s="47" t="n">
        <x:v>0.75</x:v>
      </x:c>
      <x:c r="L20" s="47" t="n">
        <x:v>0.72</x:v>
      </x:c>
      <x:c r="M20" s="47" t="n">
        <x:f>MIN(H20:L20)</x:f>
        <x:v>0.65</x:v>
      </x:c>
      <x:c r="N20" s="47" t="n">
        <x:v>0.75</x:v>
      </x:c>
      <x:c r="O20" s="50" t="n">
        <x:v>5000</x:v>
      </x:c>
      <x:c r="P20" s="50" t="n">
        <x:v>100</x:v>
      </x:c>
      <x:c r="Q20" s="43" t="n">
        <x:v>2.5</x:v>
      </x:c>
      <x:c r="R20" s="47" t="n">
        <x:v>0.07</x:v>
      </x:c>
      <x:c r="S20" s="47" t="n">
        <x:v>0.65</x:v>
      </x:c>
      <x:c r="T20" s="47" t="n">
        <x:v>0.25</x:v>
      </x:c>
      <x:c r="U20" s="47" t="n">
        <x:v>0.05</x:v>
      </x:c>
      <x:c r="V20" s="47" t="n">
        <x:v>0.05</x:v>
      </x:c>
      <x:c r="W20" s="47" t="n">
        <x:v>0</x:v>
      </x:c>
      <x:c r="X20" s="40" t="str">
        <x:v>Pass 23 retained</x:v>
      </x:c>
      <x:c r="Y20" s="40" t="str">
        <x:v>INHERITED</x:v>
      </x:c>
      <x:c r="Z20" s="40"/>
    </x:row>
    <x:row r="21">
      <x:c r="A21" s="1"/>
      <x:c r="B21" s="1"/>
      <x:c r="C21" s="40" t="str">
        <x:v>M-POG</x:v>
      </x:c>
      <x:c r="D21" s="40" t="str">
        <x:v>Maritime Response</x:v>
      </x:c>
      <x:c r="E21" s="40" t="str">
        <x:v>Port-opening group</x:v>
      </x:c>
      <x:c r="F21" s="50" t="n">
        <x:v>450</x:v>
      </x:c>
      <x:c r="G21" s="40" t="n">
        <x:v>3</x:v>
      </x:c>
      <x:c r="H21" s="47" t="n">
        <x:v>0.7</x:v>
      </x:c>
      <x:c r="I21" s="47" t="n">
        <x:v>0.72</x:v>
      </x:c>
      <x:c r="J21" s="47" t="n">
        <x:v>0.65</x:v>
      </x:c>
      <x:c r="K21" s="47" t="n">
        <x:v>0.68</x:v>
      </x:c>
      <x:c r="L21" s="47" t="n">
        <x:v>0.7</x:v>
      </x:c>
      <x:c r="M21" s="47" t="n">
        <x:f>MIN(H21:L21)</x:f>
        <x:v>0.65</x:v>
      </x:c>
      <x:c r="N21" s="47" t="n">
        <x:v>0.35</x:v>
      </x:c>
      <x:c r="O21" s="50" t="n">
        <x:v>8000</x:v>
      </x:c>
      <x:c r="P21" s="50" t="n">
        <x:v>120</x:v>
      </x:c>
      <x:c r="Q21" s="43" t="n">
        <x:v>3</x:v>
      </x:c>
      <x:c r="R21" s="47" t="n">
        <x:v>0.065</x:v>
      </x:c>
      <x:c r="S21" s="47" t="n">
        <x:v>0.7</x:v>
      </x:c>
      <x:c r="T21" s="47" t="n">
        <x:v>0.2</x:v>
      </x:c>
      <x:c r="U21" s="47" t="n">
        <x:v>0.02</x:v>
      </x:c>
      <x:c r="V21" s="47" t="n">
        <x:v>0.08</x:v>
      </x:c>
      <x:c r="W21" s="47" t="n">
        <x:v>0</x:v>
      </x:c>
      <x:c r="X21" s="40" t="str">
        <x:v>Pass 23 retained</x:v>
      </x:c>
      <x:c r="Y21" s="40" t="str">
        <x:v>INHERITED</x:v>
      </x:c>
      <x:c r="Z21" s="40"/>
    </x:row>
    <x:row r="22">
      <x:c r="A22" s="1"/>
      <x:c r="B22" s="1"/>
      <x:c r="C22" s="40" t="str">
        <x:v>M-LAG</x:v>
      </x:c>
      <x:c r="D22" s="40" t="str">
        <x:v>Maritime Response</x:v>
      </x:c>
      <x:c r="E22" s="40" t="str">
        <x:v>Littoral-access group</x:v>
      </x:c>
      <x:c r="F22" s="50" t="n">
        <x:v>350</x:v>
      </x:c>
      <x:c r="G22" s="40" t="n">
        <x:v>3</x:v>
      </x:c>
      <x:c r="H22" s="47" t="n">
        <x:v>0.7</x:v>
      </x:c>
      <x:c r="I22" s="47" t="n">
        <x:v>0.72</x:v>
      </x:c>
      <x:c r="J22" s="47" t="n">
        <x:v>0.65</x:v>
      </x:c>
      <x:c r="K22" s="47" t="n">
        <x:v>0.68</x:v>
      </x:c>
      <x:c r="L22" s="47" t="n">
        <x:v>0.7</x:v>
      </x:c>
      <x:c r="M22" s="47" t="n">
        <x:f>MIN(H22:L22)</x:f>
        <x:v>0.65</x:v>
      </x:c>
      <x:c r="N22" s="47" t="n">
        <x:v>0.35</x:v>
      </x:c>
      <x:c r="O22" s="50" t="n">
        <x:v>8000</x:v>
      </x:c>
      <x:c r="P22" s="50" t="n">
        <x:v>120</x:v>
      </x:c>
      <x:c r="Q22" s="43" t="n">
        <x:v>2</x:v>
      </x:c>
      <x:c r="R22" s="47" t="n">
        <x:v>0.065</x:v>
      </x:c>
      <x:c r="S22" s="47" t="n">
        <x:v>0.7</x:v>
      </x:c>
      <x:c r="T22" s="47" t="n">
        <x:v>0.2</x:v>
      </x:c>
      <x:c r="U22" s="47" t="n">
        <x:v>0.02</x:v>
      </x:c>
      <x:c r="V22" s="47" t="n">
        <x:v>0.08</x:v>
      </x:c>
      <x:c r="W22" s="47" t="n">
        <x:v>0</x:v>
      </x:c>
      <x:c r="X22" s="40" t="str">
        <x:v>Pass 23 retained</x:v>
      </x:c>
      <x:c r="Y22" s="40" t="str">
        <x:v>INHERITED</x:v>
      </x:c>
      <x:c r="Z22" s="40"/>
    </x:row>
    <x:row r="23">
      <x:c r="A23" s="1"/>
      <x:c r="B23" s="1"/>
      <x:c r="C23" s="40" t="str">
        <x:v>M-IWG</x:v>
      </x:c>
      <x:c r="D23" s="40" t="str">
        <x:v>Maritime Response</x:v>
      </x:c>
      <x:c r="E23" s="40" t="str">
        <x:v>Inland-waterway group</x:v>
      </x:c>
      <x:c r="F23" s="50" t="n">
        <x:v>250</x:v>
      </x:c>
      <x:c r="G23" s="40" t="n">
        <x:v>3</x:v>
      </x:c>
      <x:c r="H23" s="47" t="n">
        <x:v>0.7</x:v>
      </x:c>
      <x:c r="I23" s="47" t="n">
        <x:v>0.72</x:v>
      </x:c>
      <x:c r="J23" s="47" t="n">
        <x:v>0.65</x:v>
      </x:c>
      <x:c r="K23" s="47" t="n">
        <x:v>0.68</x:v>
      </x:c>
      <x:c r="L23" s="47" t="n">
        <x:v>0.7</x:v>
      </x:c>
      <x:c r="M23" s="47" t="n">
        <x:f>MIN(H23:L23)</x:f>
        <x:v>0.65</x:v>
      </x:c>
      <x:c r="N23" s="47" t="n">
        <x:v>0.35</x:v>
      </x:c>
      <x:c r="O23" s="50" t="n">
        <x:v>8000</x:v>
      </x:c>
      <x:c r="P23" s="50" t="n">
        <x:v>120</x:v>
      </x:c>
      <x:c r="Q23" s="43" t="n">
        <x:v>1.5</x:v>
      </x:c>
      <x:c r="R23" s="47" t="n">
        <x:v>0.065</x:v>
      </x:c>
      <x:c r="S23" s="47" t="n">
        <x:v>0.7</x:v>
      </x:c>
      <x:c r="T23" s="47" t="n">
        <x:v>0.2</x:v>
      </x:c>
      <x:c r="U23" s="47" t="n">
        <x:v>0.02</x:v>
      </x:c>
      <x:c r="V23" s="47" t="n">
        <x:v>0.08</x:v>
      </x:c>
      <x:c r="W23" s="47" t="n">
        <x:v>0</x:v>
      </x:c>
      <x:c r="X23" s="40" t="str">
        <x:v>Pass 23 retained</x:v>
      </x:c>
      <x:c r="Y23" s="40" t="str">
        <x:v>INHERITED</x:v>
      </x:c>
      <x:c r="Z23" s="40"/>
    </x:row>
    <x:row r="24">
      <x:c r="A24" s="1"/>
      <x:c r="B24" s="1"/>
      <x:c r="C24" s="40" t="str">
        <x:v>M-OSG</x:v>
      </x:c>
      <x:c r="D24" s="40" t="str">
        <x:v>Maritime Response</x:v>
      </x:c>
      <x:c r="E24" s="40" t="str">
        <x:v>Offshore-support group</x:v>
      </x:c>
      <x:c r="F24" s="50" t="n">
        <x:v>700</x:v>
      </x:c>
      <x:c r="G24" s="40" t="n">
        <x:v>3</x:v>
      </x:c>
      <x:c r="H24" s="47" t="n">
        <x:v>0.7</x:v>
      </x:c>
      <x:c r="I24" s="47" t="n">
        <x:v>0.72</x:v>
      </x:c>
      <x:c r="J24" s="47" t="n">
        <x:v>0.65</x:v>
      </x:c>
      <x:c r="K24" s="47" t="n">
        <x:v>0.68</x:v>
      </x:c>
      <x:c r="L24" s="47" t="n">
        <x:v>0.7</x:v>
      </x:c>
      <x:c r="M24" s="47" t="n">
        <x:f>MIN(H24:L24)</x:f>
        <x:v>0.65</x:v>
      </x:c>
      <x:c r="N24" s="47" t="n">
        <x:v>0.35</x:v>
      </x:c>
      <x:c r="O24" s="50" t="n">
        <x:v>8000</x:v>
      </x:c>
      <x:c r="P24" s="50" t="n">
        <x:v>120</x:v>
      </x:c>
      <x:c r="Q24" s="43" t="n">
        <x:v>7</x:v>
      </x:c>
      <x:c r="R24" s="47" t="n">
        <x:v>0.065</x:v>
      </x:c>
      <x:c r="S24" s="47" t="n">
        <x:v>0.7</x:v>
      </x:c>
      <x:c r="T24" s="47" t="n">
        <x:v>0.2</x:v>
      </x:c>
      <x:c r="U24" s="47" t="n">
        <x:v>0.02</x:v>
      </x:c>
      <x:c r="V24" s="47" t="n">
        <x:v>0.08</x:v>
      </x:c>
      <x:c r="W24" s="47" t="n">
        <x:v>0</x:v>
      </x:c>
      <x:c r="X24" s="40" t="str">
        <x:v>Pass 23 retained</x:v>
      </x:c>
      <x:c r="Y24" s="40" t="str">
        <x:v>INHERITED</x:v>
      </x:c>
      <x:c r="Z24" s="40"/>
    </x:row>
    <x:row r="25">
      <x:c r="A25" s="1"/>
      <x:c r="B25" s="1"/>
      <x:c r="C25" s="40" t="str">
        <x:v>M-SSG</x:v>
      </x:c>
      <x:c r="D25" s="40" t="str">
        <x:v>Maritime Response</x:v>
      </x:c>
      <x:c r="E25" s="40" t="str">
        <x:v>Ocean sustainment group</x:v>
      </x:c>
      <x:c r="F25" s="50" t="n">
        <x:v>650</x:v>
      </x:c>
      <x:c r="G25" s="40" t="n">
        <x:v>3</x:v>
      </x:c>
      <x:c r="H25" s="47" t="n">
        <x:v>0.7</x:v>
      </x:c>
      <x:c r="I25" s="47" t="n">
        <x:v>0.72</x:v>
      </x:c>
      <x:c r="J25" s="47" t="n">
        <x:v>0.65</x:v>
      </x:c>
      <x:c r="K25" s="47" t="n">
        <x:v>0.68</x:v>
      </x:c>
      <x:c r="L25" s="47" t="n">
        <x:v>0.7</x:v>
      </x:c>
      <x:c r="M25" s="47" t="n">
        <x:f>MIN(H25:L25)</x:f>
        <x:v>0.65</x:v>
      </x:c>
      <x:c r="N25" s="47" t="n">
        <x:v>0.35</x:v>
      </x:c>
      <x:c r="O25" s="50" t="n">
        <x:v>8000</x:v>
      </x:c>
      <x:c r="P25" s="50" t="n">
        <x:v>120</x:v>
      </x:c>
      <x:c r="Q25" s="43" t="n">
        <x:v>9</x:v>
      </x:c>
      <x:c r="R25" s="47" t="n">
        <x:v>0.065</x:v>
      </x:c>
      <x:c r="S25" s="47" t="n">
        <x:v>0.7</x:v>
      </x:c>
      <x:c r="T25" s="47" t="n">
        <x:v>0.2</x:v>
      </x:c>
      <x:c r="U25" s="47" t="n">
        <x:v>0.02</x:v>
      </x:c>
      <x:c r="V25" s="47" t="n">
        <x:v>0.08</x:v>
      </x:c>
      <x:c r="W25" s="47" t="n">
        <x:v>0</x:v>
      </x:c>
      <x:c r="X25" s="40" t="str">
        <x:v>Pass 23 retained</x:v>
      </x:c>
      <x:c r="Y25" s="40" t="str">
        <x:v>INHERITED</x:v>
      </x:c>
      <x:c r="Z25" s="40"/>
    </x:row>
    <x:row r="26">
      <x:c r="A26" s="1"/>
      <x:c r="B26" s="1"/>
      <x:c r="C26" s="40" t="str">
        <x:v>I-CUG</x:v>
      </x:c>
      <x:c r="D26" s="40" t="str">
        <x:v>Infrastructure Restoration</x:v>
      </x:c>
      <x:c r="E26" s="40" t="str">
        <x:v>Communications utility group</x:v>
      </x:c>
      <x:c r="F26" s="50" t="n">
        <x:v>250</x:v>
      </x:c>
      <x:c r="G26" s="40" t="n">
        <x:v>3</x:v>
      </x:c>
      <x:c r="H26" s="47" t="n">
        <x:v>0.78</x:v>
      </x:c>
      <x:c r="I26" s="47" t="n">
        <x:v>0.74</x:v>
      </x:c>
      <x:c r="J26" s="47" t="n">
        <x:v>0.7</x:v>
      </x:c>
      <x:c r="K26" s="47" t="n">
        <x:v>0.72</x:v>
      </x:c>
      <x:c r="L26" s="47" t="n">
        <x:v>0.75</x:v>
      </x:c>
      <x:c r="M26" s="47" t="n">
        <x:f>MIN(H26:L26)</x:f>
        <x:v>0.7</x:v>
      </x:c>
      <x:c r="N26" s="47" t="n">
        <x:v>0.4</x:v>
      </x:c>
      <x:c r="O26" s="50" t="n">
        <x:v>12000</x:v>
      </x:c>
      <x:c r="P26" s="50" t="n">
        <x:v>110</x:v>
      </x:c>
      <x:c r="Q26" s="43" t="n">
        <x:v>1</x:v>
      </x:c>
      <x:c r="R26" s="47" t="n">
        <x:v>0.05</x:v>
      </x:c>
      <x:c r="S26" s="47" t="n">
        <x:v>0.35</x:v>
      </x:c>
      <x:c r="T26" s="47" t="n">
        <x:v>0.25</x:v>
      </x:c>
      <x:c r="U26" s="47" t="n">
        <x:v>0.15</x:v>
      </x:c>
      <x:c r="V26" s="47" t="n">
        <x:v>0.25</x:v>
      </x:c>
      <x:c r="W26" s="47" t="n">
        <x:v>0</x:v>
      </x:c>
      <x:c r="X26" s="40" t="str">
        <x:v>Pass 23 retained</x:v>
      </x:c>
      <x:c r="Y26" s="40" t="str">
        <x:v>INHERITED</x:v>
      </x:c>
      <x:c r="Z26" s="40"/>
    </x:row>
    <x:row r="27">
      <x:c r="A27" s="1"/>
      <x:c r="B27" s="1"/>
      <x:c r="C27" s="40" t="str">
        <x:v>I-TSG</x:v>
      </x:c>
      <x:c r="D27" s="40" t="str">
        <x:v>Infrastructure Restoration</x:v>
      </x:c>
      <x:c r="E27" s="40" t="str">
        <x:v>Thermal safety group</x:v>
      </x:c>
      <x:c r="F27" s="50" t="n">
        <x:v>250</x:v>
      </x:c>
      <x:c r="G27" s="40" t="n">
        <x:v>3</x:v>
      </x:c>
      <x:c r="H27" s="47" t="n">
        <x:v>0.78</x:v>
      </x:c>
      <x:c r="I27" s="47" t="n">
        <x:v>0.74</x:v>
      </x:c>
      <x:c r="J27" s="47" t="n">
        <x:v>0.7</x:v>
      </x:c>
      <x:c r="K27" s="47" t="n">
        <x:v>0.72</x:v>
      </x:c>
      <x:c r="L27" s="47" t="n">
        <x:v>0.75</x:v>
      </x:c>
      <x:c r="M27" s="47" t="n">
        <x:f>MIN(H27:L27)</x:f>
        <x:v>0.7</x:v>
      </x:c>
      <x:c r="N27" s="47" t="n">
        <x:v>0.4</x:v>
      </x:c>
      <x:c r="O27" s="50" t="n">
        <x:v>12000</x:v>
      </x:c>
      <x:c r="P27" s="50" t="n">
        <x:v>110</x:v>
      </x:c>
      <x:c r="Q27" s="43" t="n">
        <x:v>0.8</x:v>
      </x:c>
      <x:c r="R27" s="47" t="n">
        <x:v>0.05</x:v>
      </x:c>
      <x:c r="S27" s="47" t="n">
        <x:v>0.35</x:v>
      </x:c>
      <x:c r="T27" s="47" t="n">
        <x:v>0.25</x:v>
      </x:c>
      <x:c r="U27" s="47" t="n">
        <x:v>0.15</x:v>
      </x:c>
      <x:c r="V27" s="47" t="n">
        <x:v>0.25</x:v>
      </x:c>
      <x:c r="W27" s="47" t="n">
        <x:v>0</x:v>
      </x:c>
      <x:c r="X27" s="40" t="str">
        <x:v>Pass 23 retained</x:v>
      </x:c>
      <x:c r="Y27" s="40" t="str">
        <x:v>INHERITED</x:v>
      </x:c>
      <x:c r="Z27" s="40"/>
    </x:row>
    <x:row r="28">
      <x:c r="A28" s="1"/>
      <x:c r="B28" s="1"/>
      <x:c r="C28" s="40" t="str">
        <x:v>I-URG</x:v>
      </x:c>
      <x:c r="D28" s="40" t="str">
        <x:v>Infrastructure Restoration</x:v>
      </x:c>
      <x:c r="E28" s="40" t="str">
        <x:v>Utility reconstruction group</x:v>
      </x:c>
      <x:c r="F28" s="50" t="n">
        <x:v>450</x:v>
      </x:c>
      <x:c r="G28" s="40" t="n">
        <x:v>3</x:v>
      </x:c>
      <x:c r="H28" s="47" t="n">
        <x:v>0.78</x:v>
      </x:c>
      <x:c r="I28" s="47" t="n">
        <x:v>0.74</x:v>
      </x:c>
      <x:c r="J28" s="47" t="n">
        <x:v>0.7</x:v>
      </x:c>
      <x:c r="K28" s="47" t="n">
        <x:v>0.72</x:v>
      </x:c>
      <x:c r="L28" s="47" t="n">
        <x:v>0.75</x:v>
      </x:c>
      <x:c r="M28" s="47" t="n">
        <x:f>MIN(H28:L28)</x:f>
        <x:v>0.7</x:v>
      </x:c>
      <x:c r="N28" s="47" t="n">
        <x:v>0.4</x:v>
      </x:c>
      <x:c r="O28" s="50" t="n">
        <x:v>12000</x:v>
      </x:c>
      <x:c r="P28" s="50" t="n">
        <x:v>110</x:v>
      </x:c>
      <x:c r="Q28" s="43" t="n">
        <x:v>2</x:v>
      </x:c>
      <x:c r="R28" s="47" t="n">
        <x:v>0.05</x:v>
      </x:c>
      <x:c r="S28" s="47" t="n">
        <x:v>0.35</x:v>
      </x:c>
      <x:c r="T28" s="47" t="n">
        <x:v>0.25</x:v>
      </x:c>
      <x:c r="U28" s="47" t="n">
        <x:v>0.15</x:v>
      </x:c>
      <x:c r="V28" s="47" t="n">
        <x:v>0.25</x:v>
      </x:c>
      <x:c r="W28" s="47" t="n">
        <x:v>0</x:v>
      </x:c>
      <x:c r="X28" s="40" t="str">
        <x:v>Pass 23 retained</x:v>
      </x:c>
      <x:c r="Y28" s="40" t="str">
        <x:v>INHERITED</x:v>
      </x:c>
      <x:c r="Z28" s="40"/>
    </x:row>
    <x:row r="29">
      <x:c r="A29" s="1"/>
      <x:c r="B29" s="1"/>
      <x:c r="C29" s="40" t="str">
        <x:v>H-CHC</x:v>
      </x:c>
      <x:c r="D29" s="40" t="str">
        <x:v>Health Protection</x:v>
      </x:c>
      <x:c r="E29" s="40" t="str">
        <x:v>Community health continuity group</x:v>
      </x:c>
      <x:c r="F29" s="50" t="n">
        <x:v>500</x:v>
      </x:c>
      <x:c r="G29" s="40" t="n">
        <x:v>3.4</x:v>
      </x:c>
      <x:c r="H29" s="47" t="n">
        <x:v>0.75</x:v>
      </x:c>
      <x:c r="I29" s="47" t="n">
        <x:v>0.7</x:v>
      </x:c>
      <x:c r="J29" s="47" t="n">
        <x:v>0.68</x:v>
      </x:c>
      <x:c r="K29" s="47" t="n">
        <x:v>0.65</x:v>
      </x:c>
      <x:c r="L29" s="47" t="n">
        <x:v>0.72</x:v>
      </x:c>
      <x:c r="M29" s="47" t="n">
        <x:f>MIN(H29:L29)</x:f>
        <x:v>0.65</x:v>
      </x:c>
      <x:c r="N29" s="47" t="n">
        <x:v>0.7</x:v>
      </x:c>
      <x:c r="O29" s="50" t="n">
        <x:v>5000</x:v>
      </x:c>
      <x:c r="P29" s="50" t="n">
        <x:v>55</x:v>
      </x:c>
      <x:c r="Q29" s="43" t="n">
        <x:v>1.2</x:v>
      </x:c>
      <x:c r="R29" s="47" t="n">
        <x:v>0.055</x:v>
      </x:c>
      <x:c r="S29" s="47" t="n">
        <x:v>0.35</x:v>
      </x:c>
      <x:c r="T29" s="47" t="n">
        <x:v>0.35</x:v>
      </x:c>
      <x:c r="U29" s="47" t="n">
        <x:v>0.15</x:v>
      </x:c>
      <x:c r="V29" s="47" t="n">
        <x:v>0.15</x:v>
      </x:c>
      <x:c r="W29" s="47" t="n">
        <x:v>0</x:v>
      </x:c>
      <x:c r="X29" s="40" t="str">
        <x:v>Pass 23 retained</x:v>
      </x:c>
      <x:c r="Y29" s="40" t="str">
        <x:v>INHERITED</x:v>
      </x:c>
      <x:c r="Z29" s="40"/>
    </x:row>
    <x:row r="30">
      <x:c r="A30" s="1"/>
      <x:c r="B30" s="1"/>
      <x:c r="C30" s="40" t="str">
        <x:v>H-MAC</x:v>
      </x:c>
      <x:c r="D30" s="40" t="str">
        <x:v>Health Protection</x:v>
      </x:c>
      <x:c r="E30" s="40" t="str">
        <x:v>Mobile acute-care group</x:v>
      </x:c>
      <x:c r="F30" s="50" t="n">
        <x:v>600</x:v>
      </x:c>
      <x:c r="G30" s="40" t="n">
        <x:v>3.4</x:v>
      </x:c>
      <x:c r="H30" s="47" t="n">
        <x:v>0.75</x:v>
      </x:c>
      <x:c r="I30" s="47" t="n">
        <x:v>0.7</x:v>
      </x:c>
      <x:c r="J30" s="47" t="n">
        <x:v>0.68</x:v>
      </x:c>
      <x:c r="K30" s="47" t="n">
        <x:v>0.65</x:v>
      </x:c>
      <x:c r="L30" s="47" t="n">
        <x:v>0.72</x:v>
      </x:c>
      <x:c r="M30" s="47" t="n">
        <x:f>MIN(H30:L30)</x:f>
        <x:v>0.65</x:v>
      </x:c>
      <x:c r="N30" s="47" t="n">
        <x:v>0.7</x:v>
      </x:c>
      <x:c r="O30" s="50" t="n">
        <x:v>5000</x:v>
      </x:c>
      <x:c r="P30" s="50" t="n">
        <x:v>55</x:v>
      </x:c>
      <x:c r="Q30" s="43" t="n">
        <x:v>2.5</x:v>
      </x:c>
      <x:c r="R30" s="47" t="n">
        <x:v>0.055</x:v>
      </x:c>
      <x:c r="S30" s="47" t="n">
        <x:v>0.35</x:v>
      </x:c>
      <x:c r="T30" s="47" t="n">
        <x:v>0.35</x:v>
      </x:c>
      <x:c r="U30" s="47" t="n">
        <x:v>0.15</x:v>
      </x:c>
      <x:c r="V30" s="47" t="n">
        <x:v>0.15</x:v>
      </x:c>
      <x:c r="W30" s="47" t="n">
        <x:v>0</x:v>
      </x:c>
      <x:c r="X30" s="40" t="str">
        <x:v>Pass 23 retained</x:v>
      </x:c>
      <x:c r="Y30" s="40" t="str">
        <x:v>INHERITED</x:v>
      </x:c>
      <x:c r="Z30" s="40"/>
    </x:row>
    <x:row r="31">
      <x:c r="A31" s="1"/>
      <x:c r="B31" s="1"/>
      <x:c r="C31" s="40" t="str">
        <x:v>H-PHC</x:v>
      </x:c>
      <x:c r="D31" s="40" t="str">
        <x:v>Health Protection</x:v>
      </x:c>
      <x:c r="E31" s="40" t="str">
        <x:v>Public-health control group</x:v>
      </x:c>
      <x:c r="F31" s="50" t="n">
        <x:v>250</x:v>
      </x:c>
      <x:c r="G31" s="40" t="n">
        <x:v>3.4</x:v>
      </x:c>
      <x:c r="H31" s="47" t="n">
        <x:v>0.75</x:v>
      </x:c>
      <x:c r="I31" s="47" t="n">
        <x:v>0.7</x:v>
      </x:c>
      <x:c r="J31" s="47" t="n">
        <x:v>0.68</x:v>
      </x:c>
      <x:c r="K31" s="47" t="n">
        <x:v>0.65</x:v>
      </x:c>
      <x:c r="L31" s="47" t="n">
        <x:v>0.72</x:v>
      </x:c>
      <x:c r="M31" s="47" t="n">
        <x:f>MIN(H31:L31)</x:f>
        <x:v>0.65</x:v>
      </x:c>
      <x:c r="N31" s="47" t="n">
        <x:v>0.7</x:v>
      </x:c>
      <x:c r="O31" s="50" t="n">
        <x:v>5000</x:v>
      </x:c>
      <x:c r="P31" s="50" t="n">
        <x:v>55</x:v>
      </x:c>
      <x:c r="Q31" s="43" t="n">
        <x:v>1</x:v>
      </x:c>
      <x:c r="R31" s="47" t="n">
        <x:v>0.055</x:v>
      </x:c>
      <x:c r="S31" s="47" t="n">
        <x:v>0.35</x:v>
      </x:c>
      <x:c r="T31" s="47" t="n">
        <x:v>0.35</x:v>
      </x:c>
      <x:c r="U31" s="47" t="n">
        <x:v>0.15</x:v>
      </x:c>
      <x:c r="V31" s="47" t="n">
        <x:v>0.15</x:v>
      </x:c>
      <x:c r="W31" s="47" t="n">
        <x:v>0</x:v>
      </x:c>
      <x:c r="X31" s="40" t="str">
        <x:v>Pass 23 retained</x:v>
      </x:c>
      <x:c r="Y31" s="40" t="str">
        <x:v>INHERITED</x:v>
      </x:c>
      <x:c r="Z31" s="40"/>
    </x:row>
    <x:row r="32">
      <x:c r="A32" s="1"/>
      <x:c r="B32" s="1"/>
      <x:c r="C32" s="40" t="str">
        <x:v>H-HWR</x:v>
      </x:c>
      <x:c r="D32" s="40" t="str">
        <x:v>Health Protection</x:v>
      </x:c>
      <x:c r="E32" s="40" t="str">
        <x:v>Health workforce replacement group</x:v>
      </x:c>
      <x:c r="F32" s="50" t="n">
        <x:v>550</x:v>
      </x:c>
      <x:c r="G32" s="40" t="n">
        <x:v>3.4</x:v>
      </x:c>
      <x:c r="H32" s="47" t="n">
        <x:v>0.75</x:v>
      </x:c>
      <x:c r="I32" s="47" t="n">
        <x:v>0.7</x:v>
      </x:c>
      <x:c r="J32" s="47" t="n">
        <x:v>0.68</x:v>
      </x:c>
      <x:c r="K32" s="47" t="n">
        <x:v>0.65</x:v>
      </x:c>
      <x:c r="L32" s="47" t="n">
        <x:v>0.72</x:v>
      </x:c>
      <x:c r="M32" s="47" t="n">
        <x:f>MIN(H32:L32)</x:f>
        <x:v>0.65</x:v>
      </x:c>
      <x:c r="N32" s="47" t="n">
        <x:v>0.7</x:v>
      </x:c>
      <x:c r="O32" s="50" t="n">
        <x:v>5000</x:v>
      </x:c>
      <x:c r="P32" s="50" t="n">
        <x:v>55</x:v>
      </x:c>
      <x:c r="Q32" s="43" t="n">
        <x:v>0.8</x:v>
      </x:c>
      <x:c r="R32" s="47" t="n">
        <x:v>0.055</x:v>
      </x:c>
      <x:c r="S32" s="47" t="n">
        <x:v>0.35</x:v>
      </x:c>
      <x:c r="T32" s="47" t="n">
        <x:v>0.35</x:v>
      </x:c>
      <x:c r="U32" s="47" t="n">
        <x:v>0.15</x:v>
      </x:c>
      <x:c r="V32" s="47" t="n">
        <x:v>0.15</x:v>
      </x:c>
      <x:c r="W32" s="47" t="n">
        <x:v>0</x:v>
      </x:c>
      <x:c r="X32" s="40" t="str">
        <x:v>Pass 23 retained</x:v>
      </x:c>
      <x:c r="Y32" s="40" t="str">
        <x:v>INHERITED</x:v>
      </x:c>
      <x:c r="Z32" s="40"/>
    </x:row>
    <x:row r="33">
      <x:c r="A33" s="1"/>
      <x:c r="B33" s="1"/>
      <x:c r="C33" s="40" t="str">
        <x:v>C-PSG</x:v>
      </x:c>
      <x:c r="D33" s="40" t="str">
        <x:v>Community Stabilization</x:v>
      </x:c>
      <x:c r="E33" s="40" t="str">
        <x:v>Population support group</x:v>
      </x:c>
      <x:c r="F33" s="50" t="n">
        <x:v>450</x:v>
      </x:c>
      <x:c r="G33" s="40" t="n">
        <x:v>2.5</x:v>
      </x:c>
      <x:c r="H33" s="47" t="n">
        <x:v>0.82</x:v>
      </x:c>
      <x:c r="I33" s="47" t="n">
        <x:v>0.78</x:v>
      </x:c>
      <x:c r="J33" s="47" t="n">
        <x:v>0.75</x:v>
      </x:c>
      <x:c r="K33" s="47" t="n">
        <x:v>0.8</x:v>
      </x:c>
      <x:c r="L33" s="47" t="n">
        <x:v>0.82</x:v>
      </x:c>
      <x:c r="M33" s="47" t="n">
        <x:f>MIN(H33:L33)</x:f>
        <x:v>0.75</x:v>
      </x:c>
      <x:c r="N33" s="47" t="n">
        <x:v>0.65</x:v>
      </x:c>
      <x:c r="O33" s="50" t="n">
        <x:v>4500</x:v>
      </x:c>
      <x:c r="P33" s="50" t="n">
        <x:v>75</x:v>
      </x:c>
      <x:c r="Q33" s="43" t="n">
        <x:v>0.6</x:v>
      </x:c>
      <x:c r="R33" s="47" t="n">
        <x:v>0.05</x:v>
      </x:c>
      <x:c r="S33" s="47" t="n">
        <x:v>0.2</x:v>
      </x:c>
      <x:c r="T33" s="47" t="n">
        <x:v>0.25</x:v>
      </x:c>
      <x:c r="U33" s="47" t="n">
        <x:v>0.35</x:v>
      </x:c>
      <x:c r="V33" s="47" t="n">
        <x:v>0.2</x:v>
      </x:c>
      <x:c r="W33" s="47" t="n">
        <x:v>0</x:v>
      </x:c>
      <x:c r="X33" s="40" t="str">
        <x:v>Pass 23 retained</x:v>
      </x:c>
      <x:c r="Y33" s="40" t="str">
        <x:v>INHERITED</x:v>
      </x:c>
      <x:c r="Z33" s="40"/>
    </x:row>
    <x:row r="34">
      <x:c r="A34" s="1"/>
      <x:c r="B34" s="1"/>
      <x:c r="C34" s="40" t="str">
        <x:v>C-EGG</x:v>
      </x:c>
      <x:c r="D34" s="40" t="str">
        <x:v>Community Stabilization</x:v>
      </x:c>
      <x:c r="E34" s="40" t="str">
        <x:v>Essential-goods group</x:v>
      </x:c>
      <x:c r="F34" s="50" t="n">
        <x:v>350</x:v>
      </x:c>
      <x:c r="G34" s="40" t="n">
        <x:v>2.5</x:v>
      </x:c>
      <x:c r="H34" s="47" t="n">
        <x:v>0.82</x:v>
      </x:c>
      <x:c r="I34" s="47" t="n">
        <x:v>0.78</x:v>
      </x:c>
      <x:c r="J34" s="47" t="n">
        <x:v>0.75</x:v>
      </x:c>
      <x:c r="K34" s="47" t="n">
        <x:v>0.8</x:v>
      </x:c>
      <x:c r="L34" s="47" t="n">
        <x:v>0.82</x:v>
      </x:c>
      <x:c r="M34" s="47" t="n">
        <x:f>MIN(H34:L34)</x:f>
        <x:v>0.75</x:v>
      </x:c>
      <x:c r="N34" s="47" t="n">
        <x:v>0.65</x:v>
      </x:c>
      <x:c r="O34" s="50" t="n">
        <x:v>4500</x:v>
      </x:c>
      <x:c r="P34" s="50" t="n">
        <x:v>75</x:v>
      </x:c>
      <x:c r="Q34" s="43" t="n">
        <x:v>0.5</x:v>
      </x:c>
      <x:c r="R34" s="47" t="n">
        <x:v>0.05</x:v>
      </x:c>
      <x:c r="S34" s="47" t="n">
        <x:v>0.2</x:v>
      </x:c>
      <x:c r="T34" s="47" t="n">
        <x:v>0.25</x:v>
      </x:c>
      <x:c r="U34" s="47" t="n">
        <x:v>0.35</x:v>
      </x:c>
      <x:c r="V34" s="47" t="n">
        <x:v>0.2</x:v>
      </x:c>
      <x:c r="W34" s="47" t="n">
        <x:v>0</x:v>
      </x:c>
      <x:c r="X34" s="40" t="str">
        <x:v>Pass 23 retained</x:v>
      </x:c>
      <x:c r="Y34" s="40" t="str">
        <x:v>INHERITED</x:v>
      </x:c>
      <x:c r="Z34" s="40"/>
    </x:row>
    <x:row r="35">
      <x:c r="A35" s="1"/>
      <x:c r="B35" s="1"/>
      <x:c r="C35" s="40" t="str">
        <x:v>C-CAG</x:v>
      </x:c>
      <x:c r="D35" s="40" t="str">
        <x:v>Community Stabilization</x:v>
      </x:c>
      <x:c r="E35" s="40" t="str">
        <x:v>Civil access group</x:v>
      </x:c>
      <x:c r="F35" s="50" t="n">
        <x:v>180</x:v>
      </x:c>
      <x:c r="G35" s="40" t="n">
        <x:v>2.5</x:v>
      </x:c>
      <x:c r="H35" s="47" t="n">
        <x:v>0.82</x:v>
      </x:c>
      <x:c r="I35" s="47" t="n">
        <x:v>0.78</x:v>
      </x:c>
      <x:c r="J35" s="47" t="n">
        <x:v>0.75</x:v>
      </x:c>
      <x:c r="K35" s="47" t="n">
        <x:v>0.8</x:v>
      </x:c>
      <x:c r="L35" s="47" t="n">
        <x:v>0.82</x:v>
      </x:c>
      <x:c r="M35" s="47" t="n">
        <x:f>MIN(H35:L35)</x:f>
        <x:v>0.75</x:v>
      </x:c>
      <x:c r="N35" s="47" t="n">
        <x:v>0.65</x:v>
      </x:c>
      <x:c r="O35" s="50" t="n">
        <x:v>4500</x:v>
      </x:c>
      <x:c r="P35" s="50" t="n">
        <x:v>75</x:v>
      </x:c>
      <x:c r="Q35" s="43" t="n">
        <x:v>0.3</x:v>
      </x:c>
      <x:c r="R35" s="47" t="n">
        <x:v>0.05</x:v>
      </x:c>
      <x:c r="S35" s="47" t="n">
        <x:v>0.2</x:v>
      </x:c>
      <x:c r="T35" s="47" t="n">
        <x:v>0.25</x:v>
      </x:c>
      <x:c r="U35" s="47" t="n">
        <x:v>0.35</x:v>
      </x:c>
      <x:c r="V35" s="47" t="n">
        <x:v>0.2</x:v>
      </x:c>
      <x:c r="W35" s="47" t="n">
        <x:v>0</x:v>
      </x:c>
      <x:c r="X35" s="40" t="str">
        <x:v>Pass 23 retained</x:v>
      </x:c>
      <x:c r="Y35" s="40" t="str">
        <x:v>INHERITED</x:v>
      </x:c>
      <x:c r="Z35" s="40"/>
    </x:row>
    <x:row r="36">
      <x:c r="A36" s="1"/>
      <x:c r="B36" s="1"/>
      <x:c r="C36" s="40" t="str">
        <x:v>C-DTG</x:v>
      </x:c>
      <x:c r="D36" s="40" t="str">
        <x:v>Community Stabilization</x:v>
      </x:c>
      <x:c r="E36" s="40" t="str">
        <x:v>Displacement transition group</x:v>
      </x:c>
      <x:c r="F36" s="50" t="n">
        <x:v>300</x:v>
      </x:c>
      <x:c r="G36" s="40" t="n">
        <x:v>2.5</x:v>
      </x:c>
      <x:c r="H36" s="47" t="n">
        <x:v>0.82</x:v>
      </x:c>
      <x:c r="I36" s="47" t="n">
        <x:v>0.78</x:v>
      </x:c>
      <x:c r="J36" s="47" t="n">
        <x:v>0.75</x:v>
      </x:c>
      <x:c r="K36" s="47" t="n">
        <x:v>0.8</x:v>
      </x:c>
      <x:c r="L36" s="47" t="n">
        <x:v>0.82</x:v>
      </x:c>
      <x:c r="M36" s="47" t="n">
        <x:f>MIN(H36:L36)</x:f>
        <x:v>0.75</x:v>
      </x:c>
      <x:c r="N36" s="47" t="n">
        <x:v>0.65</x:v>
      </x:c>
      <x:c r="O36" s="50" t="n">
        <x:v>4500</x:v>
      </x:c>
      <x:c r="P36" s="50" t="n">
        <x:v>75</x:v>
      </x:c>
      <x:c r="Q36" s="43" t="n">
        <x:v>0.4</x:v>
      </x:c>
      <x:c r="R36" s="47" t="n">
        <x:v>0.05</x:v>
      </x:c>
      <x:c r="S36" s="47" t="n">
        <x:v>0.2</x:v>
      </x:c>
      <x:c r="T36" s="47" t="n">
        <x:v>0.25</x:v>
      </x:c>
      <x:c r="U36" s="47" t="n">
        <x:v>0.35</x:v>
      </x:c>
      <x:c r="V36" s="47" t="n">
        <x:v>0.2</x:v>
      </x:c>
      <x:c r="W36" s="47" t="n">
        <x:v>0</x:v>
      </x:c>
      <x:c r="X36" s="40" t="str">
        <x:v>Pass 23 retained</x:v>
      </x:c>
      <x:c r="Y36" s="40" t="str">
        <x:v>INHERITED</x:v>
      </x:c>
      <x:c r="Z36" s="40"/>
    </x:row>
    <x:row r="37">
      <x:c r="A37" s="1"/>
      <x:c r="B37" s="1"/>
      <x:c r="C37" s="40" t="str">
        <x:v>C-CIG</x:v>
      </x:c>
      <x:c r="D37" s="40" t="str">
        <x:v>Community Stabilization</x:v>
      </x:c>
      <x:c r="E37" s="40" t="str">
        <x:v>Community institutions group</x:v>
      </x:c>
      <x:c r="F37" s="50" t="n">
        <x:v>250</x:v>
      </x:c>
      <x:c r="G37" s="40" t="n">
        <x:v>2.5</x:v>
      </x:c>
      <x:c r="H37" s="47" t="n">
        <x:v>0.82</x:v>
      </x:c>
      <x:c r="I37" s="47" t="n">
        <x:v>0.78</x:v>
      </x:c>
      <x:c r="J37" s="47" t="n">
        <x:v>0.75</x:v>
      </x:c>
      <x:c r="K37" s="47" t="n">
        <x:v>0.8</x:v>
      </x:c>
      <x:c r="L37" s="47" t="n">
        <x:v>0.82</x:v>
      </x:c>
      <x:c r="M37" s="47" t="n">
        <x:f>MIN(H37:L37)</x:f>
        <x:v>0.75</x:v>
      </x:c>
      <x:c r="N37" s="47" t="n">
        <x:v>0.65</x:v>
      </x:c>
      <x:c r="O37" s="50" t="n">
        <x:v>4500</x:v>
      </x:c>
      <x:c r="P37" s="50" t="n">
        <x:v>75</x:v>
      </x:c>
      <x:c r="Q37" s="43" t="n">
        <x:v>0.4</x:v>
      </x:c>
      <x:c r="R37" s="47" t="n">
        <x:v>0.05</x:v>
      </x:c>
      <x:c r="S37" s="47" t="n">
        <x:v>0.2</x:v>
      </x:c>
      <x:c r="T37" s="47" t="n">
        <x:v>0.25</x:v>
      </x:c>
      <x:c r="U37" s="47" t="n">
        <x:v>0.35</x:v>
      </x:c>
      <x:c r="V37" s="47" t="n">
        <x:v>0.2</x:v>
      </x:c>
      <x:c r="W37" s="47" t="n">
        <x:v>0</x:v>
      </x:c>
      <x:c r="X37" s="40" t="str">
        <x:v>Pass 23 retained</x:v>
      </x:c>
      <x:c r="Y37" s="40" t="str">
        <x:v>INHERITED</x:v>
      </x:c>
      <x:c r="Z37" s="40"/>
    </x:row>
    <x:row r="38">
      <x:c r="A38" s="1"/>
      <x:c r="B38" s="1"/>
      <x:c r="C38" s="40" t="str">
        <x:v>J-RIG</x:v>
      </x:c>
      <x:c r="D38" s="40" t="str">
        <x:v>Joint</x:v>
      </x:c>
      <x:c r="E38" s="40" t="str">
        <x:v>Resilience information group</x:v>
      </x:c>
      <x:c r="F38" s="50" t="n">
        <x:v>360</x:v>
      </x:c>
      <x:c r="G38" s="40" t="n">
        <x:v>2.5</x:v>
      </x:c>
      <x:c r="H38" s="47" t="n">
        <x:v>0.82</x:v>
      </x:c>
      <x:c r="I38" s="47" t="n">
        <x:v>0.8</x:v>
      </x:c>
      <x:c r="J38" s="47" t="n">
        <x:v>0.78</x:v>
      </x:c>
      <x:c r="K38" s="47" t="n">
        <x:v>0.8</x:v>
      </x:c>
      <x:c r="L38" s="47" t="n">
        <x:v>0.82</x:v>
      </x:c>
      <x:c r="M38" s="47" t="n">
        <x:f>MIN(H38:L38)</x:f>
        <x:v>0.78</x:v>
      </x:c>
      <x:c r="N38" s="47" t="n">
        <x:v>0.65</x:v>
      </x:c>
      <x:c r="O38" s="50" t="n">
        <x:v>2800</x:v>
      </x:c>
      <x:c r="P38" s="50" t="n">
        <x:v>35</x:v>
      </x:c>
      <x:c r="Q38" s="43" t="n">
        <x:v>0.8999999999999999</x:v>
      </x:c>
      <x:c r="R38" s="47" t="n">
        <x:v>0.05</x:v>
      </x:c>
      <x:c r="S38" s="47" t="n">
        <x:v>0.6</x:v>
      </x:c>
      <x:c r="T38" s="47" t="n">
        <x:v>0.2</x:v>
      </x:c>
      <x:c r="U38" s="47" t="n">
        <x:v>0.1</x:v>
      </x:c>
      <x:c r="V38" s="47" t="n">
        <x:v>0.05</x:v>
      </x:c>
      <x:c r="W38" s="47" t="n">
        <x:v>0.05</x:v>
      </x:c>
      <x:c r="X38" s="40" t="str">
        <x:v>Pass 58 canonical addition</x:v>
      </x:c>
      <x:c r="Y38" s="40" t="str">
        <x:v>DECLARED</x:v>
      </x:c>
      <x:c r="Z38" s="40"/>
    </x:row>
    <x:row r="39">
      <x:c r="A39" s="1"/>
      <x:c r="B39" s="1"/>
      <x:c r="C39" s="40" t="str">
        <x:v>M-MPG</x:v>
      </x:c>
      <x:c r="D39" s="40" t="str">
        <x:v>Maritime Response</x:v>
      </x:c>
      <x:c r="E39" s="40" t="str">
        <x:v>Maritime production group</x:v>
      </x:c>
      <x:c r="F39" s="50" t="n">
        <x:v>900</x:v>
      </x:c>
      <x:c r="G39" s="40" t="n">
        <x:v>3</x:v>
      </x:c>
      <x:c r="H39" s="47" t="n">
        <x:v>0.7</x:v>
      </x:c>
      <x:c r="I39" s="47" t="n">
        <x:v>0.72</x:v>
      </x:c>
      <x:c r="J39" s="47" t="n">
        <x:v>0.65</x:v>
      </x:c>
      <x:c r="K39" s="47" t="n">
        <x:v>0.68</x:v>
      </x:c>
      <x:c r="L39" s="47" t="n">
        <x:v>0.7</x:v>
      </x:c>
      <x:c r="M39" s="47" t="n">
        <x:f>MIN(H39:L39)</x:f>
        <x:v>0.65</x:v>
      </x:c>
      <x:c r="N39" s="47" t="n">
        <x:v>0.35</x:v>
      </x:c>
      <x:c r="O39" s="50" t="n">
        <x:v>28000</x:v>
      </x:c>
      <x:c r="P39" s="50" t="n">
        <x:v>50</x:v>
      </x:c>
      <x:c r="Q39" s="43" t="n">
        <x:v>1.5</x:v>
      </x:c>
      <x:c r="R39" s="47" t="n">
        <x:v>0.065</x:v>
      </x:c>
      <x:c r="S39" s="47" t="n">
        <x:v>0.7</x:v>
      </x:c>
      <x:c r="T39" s="47" t="n">
        <x:v>0.2</x:v>
      </x:c>
      <x:c r="U39" s="47" t="n">
        <x:v>0.02</x:v>
      </x:c>
      <x:c r="V39" s="47" t="n">
        <x:v>0.08</x:v>
      </x:c>
      <x:c r="W39" s="47" t="n">
        <x:v>0</x:v>
      </x:c>
      <x:c r="X39" s="40" t="str">
        <x:v>Pass 58 canonical addition</x:v>
      </x:c>
      <x:c r="Y39" s="40" t="str">
        <x:v>DECLARED</x:v>
      </x:c>
      <x:c r="Z39" s="40"/>
    </x:row>
    <x:row r="40">
      <x:c r="A40" s="1"/>
      <x:c r="B40" s="1"/>
      <x:c r="C40" s="40" t="str">
        <x:v>I-WRG</x:v>
      </x:c>
      <x:c r="D40" s="40" t="str">
        <x:v>Infrastructure Restoration</x:v>
      </x:c>
      <x:c r="E40" s="40" t="str">
        <x:v>Water restoration group</x:v>
      </x:c>
      <x:c r="F40" s="50" t="n">
        <x:v>2120</x:v>
      </x:c>
      <x:c r="G40" s="40" t="n">
        <x:v>3</x:v>
      </x:c>
      <x:c r="H40" s="47" t="n">
        <x:v>0.78</x:v>
      </x:c>
      <x:c r="I40" s="47" t="n">
        <x:v>0.74</x:v>
      </x:c>
      <x:c r="J40" s="47" t="n">
        <x:v>0.7</x:v>
      </x:c>
      <x:c r="K40" s="47" t="n">
        <x:v>0.72</x:v>
      </x:c>
      <x:c r="L40" s="47" t="n">
        <x:v>0.75</x:v>
      </x:c>
      <x:c r="M40" s="47" t="n">
        <x:f>MIN(H40:L40)</x:f>
        <x:v>0.7</x:v>
      </x:c>
      <x:c r="N40" s="47" t="n">
        <x:v>0.4</x:v>
      </x:c>
      <x:c r="O40" s="50" t="n">
        <x:v>23516</x:v>
      </x:c>
      <x:c r="P40" s="50" t="n">
        <x:v>65</x:v>
      </x:c>
      <x:c r="Q40" s="43" t="n">
        <x:v>1.5</x:v>
      </x:c>
      <x:c r="R40" s="47" t="n">
        <x:v>0.055</x:v>
      </x:c>
      <x:c r="S40" s="47" t="n">
        <x:v>0.35</x:v>
      </x:c>
      <x:c r="T40" s="47" t="n">
        <x:v>0.25</x:v>
      </x:c>
      <x:c r="U40" s="47" t="n">
        <x:v>0.15</x:v>
      </x:c>
      <x:c r="V40" s="47" t="n">
        <x:v>0.25</x:v>
      </x:c>
      <x:c r="W40" s="47" t="n">
        <x:v>0</x:v>
      </x:c>
      <x:c r="X40" s="40" t="str">
        <x:v>Pass 58 canonical addition</x:v>
      </x:c>
      <x:c r="Y40" s="40" t="str">
        <x:v>DECLARED</x:v>
      </x:c>
      <x:c r="Z40" s="40"/>
    </x:row>
    <x:row r="41">
      <x:c r="A41" s="1"/>
      <x:c r="B41" s="1"/>
      <x:c r="C41" s="40" t="str">
        <x:v>I-PRG</x:v>
      </x:c>
      <x:c r="D41" s="40" t="str">
        <x:v>Infrastructure Restoration</x:v>
      </x:c>
      <x:c r="E41" s="40" t="str">
        <x:v>Power restoration group</x:v>
      </x:c>
      <x:c r="F41" s="50" t="n">
        <x:v>2200</x:v>
      </x:c>
      <x:c r="G41" s="40" t="n">
        <x:v>3</x:v>
      </x:c>
      <x:c r="H41" s="47" t="n">
        <x:v>0.78</x:v>
      </x:c>
      <x:c r="I41" s="47" t="n">
        <x:v>0.74</x:v>
      </x:c>
      <x:c r="J41" s="47" t="n">
        <x:v>0.7</x:v>
      </x:c>
      <x:c r="K41" s="47" t="n">
        <x:v>0.72</x:v>
      </x:c>
      <x:c r="L41" s="47" t="n">
        <x:v>0.75</x:v>
      </x:c>
      <x:c r="M41" s="47" t="n">
        <x:f>MIN(H41:L41)</x:f>
        <x:v>0.7</x:v>
      </x:c>
      <x:c r="N41" s="47" t="n">
        <x:v>0.4</x:v>
      </x:c>
      <x:c r="O41" s="50" t="n">
        <x:v>18332</x:v>
      </x:c>
      <x:c r="P41" s="50" t="n">
        <x:v>80</x:v>
      </x:c>
      <x:c r="Q41" s="43" t="n">
        <x:v>2</x:v>
      </x:c>
      <x:c r="R41" s="47" t="n">
        <x:v>0.06</x:v>
      </x:c>
      <x:c r="S41" s="47" t="n">
        <x:v>0.35</x:v>
      </x:c>
      <x:c r="T41" s="47" t="n">
        <x:v>0.25</x:v>
      </x:c>
      <x:c r="U41" s="47" t="n">
        <x:v>0.15</x:v>
      </x:c>
      <x:c r="V41" s="47" t="n">
        <x:v>0.25</x:v>
      </x:c>
      <x:c r="W41" s="47" t="n">
        <x:v>0</x:v>
      </x:c>
      <x:c r="X41" s="40" t="str">
        <x:v>Pass 58 canonical addition</x:v>
      </x:c>
      <x:c r="Y41" s="40" t="str">
        <x:v>DECLARED</x:v>
      </x:c>
      <x:c r="Z41" s="40"/>
    </x:row>
    <x:row r="42">
      <x:c r="A42" s="1"/>
      <x:c r="B42" s="1"/>
      <x:c r="C42" s="40" t="str">
        <x:v>I-GBG</x:v>
      </x:c>
      <x:c r="D42" s="40" t="str">
        <x:v>Infrastructure Restoration</x:v>
      </x:c>
      <x:c r="E42" s="40" t="str">
        <x:v>Grid bridge group</x:v>
      </x:c>
      <x:c r="F42" s="50" t="n">
        <x:v>1400</x:v>
      </x:c>
      <x:c r="G42" s="40" t="n">
        <x:v>3</x:v>
      </x:c>
      <x:c r="H42" s="47" t="n">
        <x:v>0.78</x:v>
      </x:c>
      <x:c r="I42" s="47" t="n">
        <x:v>0.74</x:v>
      </x:c>
      <x:c r="J42" s="47" t="n">
        <x:v>0.7</x:v>
      </x:c>
      <x:c r="K42" s="47" t="n">
        <x:v>0.72</x:v>
      </x:c>
      <x:c r="L42" s="47" t="n">
        <x:v>0.75</x:v>
      </x:c>
      <x:c r="M42" s="47" t="n">
        <x:f>MIN(H42:L42)</x:f>
        <x:v>0.7</x:v>
      </x:c>
      <x:c r="N42" s="47" t="n">
        <x:v>0.4</x:v>
      </x:c>
      <x:c r="O42" s="50" t="n">
        <x:v>15000</x:v>
      </x:c>
      <x:c r="P42" s="50" t="n">
        <x:v>55</x:v>
      </x:c>
      <x:c r="Q42" s="43" t="n">
        <x:v>1.5</x:v>
      </x:c>
      <x:c r="R42" s="47" t="n">
        <x:v>0.055</x:v>
      </x:c>
      <x:c r="S42" s="47" t="n">
        <x:v>0.35</x:v>
      </x:c>
      <x:c r="T42" s="47" t="n">
        <x:v>0.25</x:v>
      </x:c>
      <x:c r="U42" s="47" t="n">
        <x:v>0.15</x:v>
      </x:c>
      <x:c r="V42" s="47" t="n">
        <x:v>0.25</x:v>
      </x:c>
      <x:c r="W42" s="47" t="n">
        <x:v>0</x:v>
      </x:c>
      <x:c r="X42" s="40" t="str">
        <x:v>Pass 58 canonical addition</x:v>
      </x:c>
      <x:c r="Y42" s="40" t="str">
        <x:v>DECLARED</x:v>
      </x:c>
      <x:c r="Z42" s="40"/>
    </x:row>
    <x:row r="43">
      <x:c r="A43" s="1"/>
      <x:c r="B43" s="1"/>
      <x:c r="C43" s="40" t="str">
        <x:v>H-THC</x:v>
      </x:c>
      <x:c r="D43" s="40" t="str">
        <x:v>Health Protection</x:v>
      </x:c>
      <x:c r="E43" s="40" t="str">
        <x:v>Theater hospital command</x:v>
      </x:c>
      <x:c r="F43" s="50" t="n">
        <x:v>900</x:v>
      </x:c>
      <x:c r="G43" s="40" t="n">
        <x:v>3.4</x:v>
      </x:c>
      <x:c r="H43" s="47" t="n">
        <x:v>0.75</x:v>
      </x:c>
      <x:c r="I43" s="47" t="n">
        <x:v>0.7</x:v>
      </x:c>
      <x:c r="J43" s="47" t="n">
        <x:v>0.68</x:v>
      </x:c>
      <x:c r="K43" s="47" t="n">
        <x:v>0.65</x:v>
      </x:c>
      <x:c r="L43" s="47" t="n">
        <x:v>0.72</x:v>
      </x:c>
      <x:c r="M43" s="47" t="n">
        <x:f>MIN(H43:L43)</x:f>
        <x:v>0.65</x:v>
      </x:c>
      <x:c r="N43" s="47" t="n">
        <x:v>0.7</x:v>
      </x:c>
      <x:c r="O43" s="50" t="n">
        <x:v>3500</x:v>
      </x:c>
      <x:c r="P43" s="50" t="n">
        <x:v>30</x:v>
      </x:c>
      <x:c r="Q43" s="43" t="n">
        <x:v>1.5</x:v>
      </x:c>
      <x:c r="R43" s="47" t="n">
        <x:v>0.05</x:v>
      </x:c>
      <x:c r="S43" s="47" t="n">
        <x:v>0.35</x:v>
      </x:c>
      <x:c r="T43" s="47" t="n">
        <x:v>0.35</x:v>
      </x:c>
      <x:c r="U43" s="47" t="n">
        <x:v>0.15</x:v>
      </x:c>
      <x:c r="V43" s="47" t="n">
        <x:v>0.15</x:v>
      </x:c>
      <x:c r="W43" s="47" t="n">
        <x:v>0</x:v>
      </x:c>
      <x:c r="X43" s="40" t="str">
        <x:v>Pass 58 canonical addition</x:v>
      </x:c>
      <x:c r="Y43" s="40" t="str">
        <x:v>DECLARED</x:v>
      </x:c>
      <x:c r="Z43" s="40"/>
    </x:row>
    <x:row r="44">
      <x:c r="A44" s="1"/>
      <x:c r="B44" s="1"/>
      <x:c r="C44" s="40" t="str">
        <x:v>H-PMG</x:v>
      </x:c>
      <x:c r="D44" s="40" t="str">
        <x:v>Health Protection</x:v>
      </x:c>
      <x:c r="E44" s="40" t="str">
        <x:v>Patient movement group</x:v>
      </x:c>
      <x:c r="F44" s="50" t="n">
        <x:v>450</x:v>
      </x:c>
      <x:c r="G44" s="40" t="n">
        <x:v>3.4</x:v>
      </x:c>
      <x:c r="H44" s="47" t="n">
        <x:v>0.75</x:v>
      </x:c>
      <x:c r="I44" s="47" t="n">
        <x:v>0.7</x:v>
      </x:c>
      <x:c r="J44" s="47" t="n">
        <x:v>0.68</x:v>
      </x:c>
      <x:c r="K44" s="47" t="n">
        <x:v>0.65</x:v>
      </x:c>
      <x:c r="L44" s="47" t="n">
        <x:v>0.72</x:v>
      </x:c>
      <x:c r="M44" s="47" t="n">
        <x:f>MIN(H44:L44)</x:f>
        <x:v>0.65</x:v>
      </x:c>
      <x:c r="N44" s="47" t="n">
        <x:v>0.7</x:v>
      </x:c>
      <x:c r="O44" s="50" t="n">
        <x:v>5500</x:v>
      </x:c>
      <x:c r="P44" s="50" t="n">
        <x:v>40</x:v>
      </x:c>
      <x:c r="Q44" s="43" t="n">
        <x:v>1</x:v>
      </x:c>
      <x:c r="R44" s="47" t="n">
        <x:v>0.06</x:v>
      </x:c>
      <x:c r="S44" s="47" t="n">
        <x:v>0.35</x:v>
      </x:c>
      <x:c r="T44" s="47" t="n">
        <x:v>0.35</x:v>
      </x:c>
      <x:c r="U44" s="47" t="n">
        <x:v>0.15</x:v>
      </x:c>
      <x:c r="V44" s="47" t="n">
        <x:v>0.15</x:v>
      </x:c>
      <x:c r="W44" s="47" t="n">
        <x:v>0</x:v>
      </x:c>
      <x:c r="X44" s="40" t="str">
        <x:v>Pass 58 canonical addition</x:v>
      </x:c>
      <x:c r="Y44" s="40" t="str">
        <x:v>DECLARED</x:v>
      </x:c>
      <x:c r="Z44" s="40"/>
    </x:row>
    <x:row r="45">
      <x:c r="A45" s="1"/>
      <x:c r="B45" s="1"/>
      <x:c r="C45" s="40" t="str">
        <x:v>C-ERG</x:v>
      </x:c>
      <x:c r="D45" s="40" t="str">
        <x:v>Community Stabilization</x:v>
      </x:c>
      <x:c r="E45" s="40" t="str">
        <x:v>Economic restart group</x:v>
      </x:c>
      <x:c r="F45" s="50" t="n">
        <x:v>350</x:v>
      </x:c>
      <x:c r="G45" s="40" t="n">
        <x:v>2.5</x:v>
      </x:c>
      <x:c r="H45" s="47" t="n">
        <x:v>0.82</x:v>
      </x:c>
      <x:c r="I45" s="47" t="n">
        <x:v>0.78</x:v>
      </x:c>
      <x:c r="J45" s="47" t="n">
        <x:v>0.75</x:v>
      </x:c>
      <x:c r="K45" s="47" t="n">
        <x:v>0.8</x:v>
      </x:c>
      <x:c r="L45" s="47" t="n">
        <x:v>0.82</x:v>
      </x:c>
      <x:c r="M45" s="47" t="n">
        <x:f>MIN(H45:L45)</x:f>
        <x:v>0.75</x:v>
      </x:c>
      <x:c r="N45" s="47" t="n">
        <x:v>0.65</x:v>
      </x:c>
      <x:c r="O45" s="50" t="n">
        <x:v>2500</x:v>
      </x:c>
      <x:c r="P45" s="50" t="n">
        <x:v>30</x:v>
      </x:c>
      <x:c r="Q45" s="43" t="n">
        <x:v>0.35</x:v>
      </x:c>
      <x:c r="R45" s="47" t="n">
        <x:v>0.05</x:v>
      </x:c>
      <x:c r="S45" s="47" t="n">
        <x:v>0.2</x:v>
      </x:c>
      <x:c r="T45" s="47" t="n">
        <x:v>0.25</x:v>
      </x:c>
      <x:c r="U45" s="47" t="n">
        <x:v>0.35</x:v>
      </x:c>
      <x:c r="V45" s="47" t="n">
        <x:v>0.2</x:v>
      </x:c>
      <x:c r="W45" s="47" t="n">
        <x:v>0</x:v>
      </x:c>
      <x:c r="X45" s="40" t="str">
        <x:v>Pass 58 canonical addition</x:v>
      </x:c>
      <x:c r="Y45" s="40" t="str">
        <x:v>DECLARED</x:v>
      </x:c>
      <x:c r="Z45" s="40"/>
    </x:row>
    <x:row r="46">
      <x:c r="A46" s="1"/>
      <x:c r="B46" s="1"/>
      <x:c r="C46" s="40" t="str">
        <x:v>CM-HCG</x:v>
      </x:c>
      <x:c r="D46" s="40" t="str">
        <x:v>Civil Mobility and Continuity</x:v>
      </x:c>
      <x:c r="E46" s="40" t="str">
        <x:v>Household collection group</x:v>
      </x:c>
      <x:c r="F46" s="50" t="n">
        <x:v>5587</x:v>
      </x:c>
      <x:c r="G46" s="40" t="n">
        <x:v>3.4</x:v>
      </x:c>
      <x:c r="H46" s="47" t="n">
        <x:v>0.75</x:v>
      </x:c>
      <x:c r="I46" s="47" t="n">
        <x:v>0.7</x:v>
      </x:c>
      <x:c r="J46" s="47" t="n">
        <x:v>0.68</x:v>
      </x:c>
      <x:c r="K46" s="47" t="n">
        <x:v>0.65</x:v>
      </x:c>
      <x:c r="L46" s="47" t="n">
        <x:v>0.72</x:v>
      </x:c>
      <x:c r="M46" s="47" t="n">
        <x:f>MIN(H46:L46)</x:f>
        <x:v>0.65</x:v>
      </x:c>
      <x:c r="N46" s="47" t="n">
        <x:v>0.7</x:v>
      </x:c>
      <x:c r="O46" s="50" t="n">
        <x:v>6388</x:v>
      </x:c>
      <x:c r="P46" s="50" t="n">
        <x:v>45</x:v>
      </x:c>
      <x:c r="Q46" s="43" t="n">
        <x:v>6.866</x:v>
      </x:c>
      <x:c r="R46" s="47" t="n">
        <x:v>0.065</x:v>
      </x:c>
      <x:c r="S46" s="47" t="n">
        <x:v>0.25</x:v>
      </x:c>
      <x:c r="T46" s="47" t="n">
        <x:v>0.25</x:v>
      </x:c>
      <x:c r="U46" s="47" t="n">
        <x:v>0.3</x:v>
      </x:c>
      <x:c r="V46" s="47" t="n">
        <x:v>0.2</x:v>
      </x:c>
      <x:c r="W46" s="47" t="n">
        <x:v>0</x:v>
      </x:c>
      <x:c r="X46" s="40" t="str">
        <x:v>Pass 58 canonical addition</x:v>
      </x:c>
      <x:c r="Y46" s="40" t="str">
        <x:v>DECLARED</x:v>
      </x:c>
      <x:c r="Z46" s="40"/>
    </x:row>
    <x:row r="47">
      <x:c r="A47" s="1"/>
      <x:c r="B47" s="1"/>
      <x:c r="C47" s="40" t="str">
        <x:v>CM-CTN</x:v>
      </x:c>
      <x:c r="D47" s="40" t="str">
        <x:v>Civil Mobility and Continuity</x:v>
      </x:c>
      <x:c r="E47" s="40" t="str">
        <x:v>Continuity transfer-node group</x:v>
      </x:c>
      <x:c r="F47" s="50" t="n">
        <x:v>1800</x:v>
      </x:c>
      <x:c r="G47" s="40" t="n">
        <x:v>3</x:v>
      </x:c>
      <x:c r="H47" s="47" t="n">
        <x:v>0.75</x:v>
      </x:c>
      <x:c r="I47" s="47" t="n">
        <x:v>0.7</x:v>
      </x:c>
      <x:c r="J47" s="47" t="n">
        <x:v>0.68</x:v>
      </x:c>
      <x:c r="K47" s="47" t="n">
        <x:v>0.65</x:v>
      </x:c>
      <x:c r="L47" s="47" t="n">
        <x:v>0.72</x:v>
      </x:c>
      <x:c r="M47" s="47" t="n">
        <x:f>MIN(H47:L47)</x:f>
        <x:v>0.65</x:v>
      </x:c>
      <x:c r="N47" s="47" t="n">
        <x:v>0.7</x:v>
      </x:c>
      <x:c r="O47" s="50" t="n">
        <x:v>4513</x:v>
      </x:c>
      <x:c r="P47" s="50" t="n">
        <x:v>35</x:v>
      </x:c>
      <x:c r="Q47" s="43" t="n">
        <x:v>2</x:v>
      </x:c>
      <x:c r="R47" s="47" t="n">
        <x:v>0.06</x:v>
      </x:c>
      <x:c r="S47" s="47" t="n">
        <x:v>0.25</x:v>
      </x:c>
      <x:c r="T47" s="47" t="n">
        <x:v>0.25</x:v>
      </x:c>
      <x:c r="U47" s="47" t="n">
        <x:v>0.3</x:v>
      </x:c>
      <x:c r="V47" s="47" t="n">
        <x:v>0.2</x:v>
      </x:c>
      <x:c r="W47" s="47" t="n">
        <x:v>0</x:v>
      </x:c>
      <x:c r="X47" s="40" t="str">
        <x:v>Pass 58 canonical addition</x:v>
      </x:c>
      <x:c r="Y47" s="40" t="str">
        <x:v>DECLARED</x:v>
      </x:c>
      <x:c r="Z47" s="40"/>
    </x:row>
    <x:row r="48">
      <x:c r="A48" s="1"/>
      <x:c r="B48" s="1"/>
      <x:c r="C48" s="40" t="str">
        <x:v>CM-RMG</x:v>
      </x:c>
      <x:c r="D48" s="40" t="str">
        <x:v>Civil Mobility and Continuity</x:v>
      </x:c>
      <x:c r="E48" s="40" t="str">
        <x:v>Civil road-mobility group</x:v>
      </x:c>
      <x:c r="F48" s="50" t="n">
        <x:v>650</x:v>
      </x:c>
      <x:c r="G48" s="40" t="n">
        <x:v>3</x:v>
      </x:c>
      <x:c r="H48" s="47" t="n">
        <x:v>0.75</x:v>
      </x:c>
      <x:c r="I48" s="47" t="n">
        <x:v>0.7</x:v>
      </x:c>
      <x:c r="J48" s="47" t="n">
        <x:v>0.65</x:v>
      </x:c>
      <x:c r="K48" s="47" t="n">
        <x:v>0.7</x:v>
      </x:c>
      <x:c r="L48" s="47" t="n">
        <x:v>0.72</x:v>
      </x:c>
      <x:c r="M48" s="47" t="n">
        <x:f>MIN(H48:L48)</x:f>
        <x:v>0.65</x:v>
      </x:c>
      <x:c r="N48" s="47" t="n">
        <x:v>0.7</x:v>
      </x:c>
      <x:c r="O48" s="50" t="n">
        <x:v>5000</x:v>
      </x:c>
      <x:c r="P48" s="50" t="n">
        <x:v>45</x:v>
      </x:c>
      <x:c r="Q48" s="43" t="n">
        <x:v>1.5</x:v>
      </x:c>
      <x:c r="R48" s="47" t="n">
        <x:v>0.065</x:v>
      </x:c>
      <x:c r="S48" s="47" t="n">
        <x:v>0.25</x:v>
      </x:c>
      <x:c r="T48" s="47" t="n">
        <x:v>0.25</x:v>
      </x:c>
      <x:c r="U48" s="47" t="n">
        <x:v>0.3</x:v>
      </x:c>
      <x:c r="V48" s="47" t="n">
        <x:v>0.2</x:v>
      </x:c>
      <x:c r="W48" s="47" t="n">
        <x:v>0</x:v>
      </x:c>
      <x:c r="X48" s="40" t="str">
        <x:v>Pass 58 canonical addition</x:v>
      </x:c>
      <x:c r="Y48" s="40" t="str">
        <x:v>DECLARED</x:v>
      </x:c>
      <x:c r="Z48" s="40"/>
    </x:row>
    <x:row r="49">
      <x:c r="A49" s="1"/>
      <x:c r="B49" s="1"/>
      <x:c r="C49" s="40" t="str">
        <x:v>CM-RLG</x:v>
      </x:c>
      <x:c r="D49" s="40" t="str">
        <x:v>Civil Mobility and Continuity</x:v>
      </x:c>
      <x:c r="E49" s="40" t="str">
        <x:v>Civil rail-mobility group</x:v>
      </x:c>
      <x:c r="F49" s="50" t="n">
        <x:v>400</x:v>
      </x:c>
      <x:c r="G49" s="40" t="n">
        <x:v>3</x:v>
      </x:c>
      <x:c r="H49" s="47" t="n">
        <x:v>0.75</x:v>
      </x:c>
      <x:c r="I49" s="47" t="n">
        <x:v>0.7</x:v>
      </x:c>
      <x:c r="J49" s="47" t="n">
        <x:v>0.65</x:v>
      </x:c>
      <x:c r="K49" s="47" t="n">
        <x:v>0.7</x:v>
      </x:c>
      <x:c r="L49" s="47" t="n">
        <x:v>0.72</x:v>
      </x:c>
      <x:c r="M49" s="47" t="n">
        <x:f>MIN(H49:L49)</x:f>
        <x:v>0.65</x:v>
      </x:c>
      <x:c r="N49" s="47" t="n">
        <x:v>0.6</x:v>
      </x:c>
      <x:c r="O49" s="50" t="n">
        <x:v>8000</x:v>
      </x:c>
      <x:c r="P49" s="50" t="n">
        <x:v>40</x:v>
      </x:c>
      <x:c r="Q49" s="43" t="n">
        <x:v>2</x:v>
      </x:c>
      <x:c r="R49" s="47" t="n">
        <x:v>0.065</x:v>
      </x:c>
      <x:c r="S49" s="47" t="n">
        <x:v>0.25</x:v>
      </x:c>
      <x:c r="T49" s="47" t="n">
        <x:v>0.25</x:v>
      </x:c>
      <x:c r="U49" s="47" t="n">
        <x:v>0.3</x:v>
      </x:c>
      <x:c r="V49" s="47" t="n">
        <x:v>0.2</x:v>
      </x:c>
      <x:c r="W49" s="47" t="n">
        <x:v>0</x:v>
      </x:c>
      <x:c r="X49" s="40" t="str">
        <x:v>Pass 58 canonical addition</x:v>
      </x:c>
      <x:c r="Y49" s="40" t="str">
        <x:v>DECLARED</x:v>
      </x:c>
      <x:c r="Z49" s="40"/>
    </x:row>
    <x:row r="50">
      <x:c r="A50" s="1"/>
      <x:c r="B50" s="1"/>
      <x:c r="C50" s="40" t="str">
        <x:v>CM-AMG</x:v>
      </x:c>
      <x:c r="D50" s="40" t="str">
        <x:v>Civil Mobility and Continuity</x:v>
      </x:c>
      <x:c r="E50" s="40" t="str">
        <x:v>Civil air-mobility group</x:v>
      </x:c>
      <x:c r="F50" s="50" t="n">
        <x:v>400</x:v>
      </x:c>
      <x:c r="G50" s="40" t="n">
        <x:v>3</x:v>
      </x:c>
      <x:c r="H50" s="47" t="n">
        <x:v>0.7</x:v>
      </x:c>
      <x:c r="I50" s="47" t="n">
        <x:v>0.72</x:v>
      </x:c>
      <x:c r="J50" s="47" t="n">
        <x:v>0.65</x:v>
      </x:c>
      <x:c r="K50" s="47" t="n">
        <x:v>0.7</x:v>
      </x:c>
      <x:c r="L50" s="47" t="n">
        <x:v>0.72</x:v>
      </x:c>
      <x:c r="M50" s="47" t="n">
        <x:f>MIN(H50:L50)</x:f>
        <x:v>0.65</x:v>
      </x:c>
      <x:c r="N50" s="47" t="n">
        <x:v>0.75</x:v>
      </x:c>
      <x:c r="O50" s="50" t="n">
        <x:v>6000</x:v>
      </x:c>
      <x:c r="P50" s="50" t="n">
        <x:v>55</x:v>
      </x:c>
      <x:c r="Q50" s="43" t="n">
        <x:v>3</x:v>
      </x:c>
      <x:c r="R50" s="47" t="n">
        <x:v>0.075</x:v>
      </x:c>
      <x:c r="S50" s="47" t="n">
        <x:v>0.25</x:v>
      </x:c>
      <x:c r="T50" s="47" t="n">
        <x:v>0.25</x:v>
      </x:c>
      <x:c r="U50" s="47" t="n">
        <x:v>0.3</x:v>
      </x:c>
      <x:c r="V50" s="47" t="n">
        <x:v>0.2</x:v>
      </x:c>
      <x:c r="W50" s="47" t="n">
        <x:v>0</x:v>
      </x:c>
      <x:c r="X50" s="40" t="str">
        <x:v>Pass 58 canonical addition</x:v>
      </x:c>
      <x:c r="Y50" s="40" t="str">
        <x:v>DECLARED</x:v>
      </x:c>
      <x:c r="Z50" s="40"/>
    </x:row>
    <x:row r="51">
      <x:c r="A51" s="1"/>
      <x:c r="B51" s="1"/>
      <x:c r="C51" s="40" t="str">
        <x:v>CM-WMG</x:v>
      </x:c>
      <x:c r="D51" s="40" t="str">
        <x:v>Civil Mobility and Continuity</x:v>
      </x:c>
      <x:c r="E51" s="40" t="str">
        <x:v>Civil water-mobility group</x:v>
      </x:c>
      <x:c r="F51" s="50" t="n">
        <x:v>400</x:v>
      </x:c>
      <x:c r="G51" s="40" t="n">
        <x:v>3</x:v>
      </x:c>
      <x:c r="H51" s="47" t="n">
        <x:v>0.7</x:v>
      </x:c>
      <x:c r="I51" s="47" t="n">
        <x:v>0.72</x:v>
      </x:c>
      <x:c r="J51" s="47" t="n">
        <x:v>0.65</x:v>
      </x:c>
      <x:c r="K51" s="47" t="n">
        <x:v>0.68</x:v>
      </x:c>
      <x:c r="L51" s="47" t="n">
        <x:v>0.7</x:v>
      </x:c>
      <x:c r="M51" s="47" t="n">
        <x:f>MIN(H51:L51)</x:f>
        <x:v>0.65</x:v>
      </x:c>
      <x:c r="N51" s="47" t="n">
        <x:v>0.5</x:v>
      </x:c>
      <x:c r="O51" s="50" t="n">
        <x:v>9000</x:v>
      </x:c>
      <x:c r="P51" s="50" t="n">
        <x:v>50</x:v>
      </x:c>
      <x:c r="Q51" s="43" t="n">
        <x:v>2</x:v>
      </x:c>
      <x:c r="R51" s="47" t="n">
        <x:v>0.07</x:v>
      </x:c>
      <x:c r="S51" s="47" t="n">
        <x:v>0.25</x:v>
      </x:c>
      <x:c r="T51" s="47" t="n">
        <x:v>0.25</x:v>
      </x:c>
      <x:c r="U51" s="47" t="n">
        <x:v>0.3</x:v>
      </x:c>
      <x:c r="V51" s="47" t="n">
        <x:v>0.2</x:v>
      </x:c>
      <x:c r="W51" s="47" t="n">
        <x:v>0</x:v>
      </x:c>
      <x:c r="X51" s="40" t="str">
        <x:v>Pass 58 canonical addition</x:v>
      </x:c>
      <x:c r="Y51" s="40" t="str">
        <x:v>DECLARED</x:v>
      </x:c>
      <x:c r="Z51" s="40"/>
    </x:row>
    <x:row r="52">
      <x:c r="A52" s="1"/>
      <x:c r="B52" s="1"/>
      <x:c r="C52" s="40" t="str">
        <x:v>CM-RDC</x:v>
      </x:c>
      <x:c r="D52" s="40" t="str">
        <x:v>Civil Mobility and Continuity</x:v>
      </x:c>
      <x:c r="E52" s="40" t="str">
        <x:v>Return and durable-continuity group</x:v>
      </x:c>
      <x:c r="F52" s="50" t="n">
        <x:v>400</x:v>
      </x:c>
      <x:c r="G52" s="40" t="n">
        <x:v>2.5</x:v>
      </x:c>
      <x:c r="H52" s="47" t="n">
        <x:v>0.82</x:v>
      </x:c>
      <x:c r="I52" s="47" t="n">
        <x:v>0.78</x:v>
      </x:c>
      <x:c r="J52" s="47" t="n">
        <x:v>0.75</x:v>
      </x:c>
      <x:c r="K52" s="47" t="n">
        <x:v>0.8</x:v>
      </x:c>
      <x:c r="L52" s="47" t="n">
        <x:v>0.82</x:v>
      </x:c>
      <x:c r="M52" s="47" t="n">
        <x:f>MIN(H52:L52)</x:f>
        <x:v>0.75</x:v>
      </x:c>
      <x:c r="N52" s="47" t="n">
        <x:v>0.5</x:v>
      </x:c>
      <x:c r="O52" s="50" t="n">
        <x:v>1800</x:v>
      </x:c>
      <x:c r="P52" s="50" t="n">
        <x:v>25</x:v>
      </x:c>
      <x:c r="Q52" s="43" t="n">
        <x:v>0.4</x:v>
      </x:c>
      <x:c r="R52" s="47" t="n">
        <x:v>0.05</x:v>
      </x:c>
      <x:c r="S52" s="47" t="n">
        <x:v>0.25</x:v>
      </x:c>
      <x:c r="T52" s="47" t="n">
        <x:v>0.25</x:v>
      </x:c>
      <x:c r="U52" s="47" t="n">
        <x:v>0.3</x:v>
      </x:c>
      <x:c r="V52" s="47" t="n">
        <x:v>0.2</x:v>
      </x:c>
      <x:c r="W52" s="47" t="n">
        <x:v>0</x:v>
      </x:c>
      <x:c r="X52" s="40" t="str">
        <x:v>Pass 58 canonical addition</x:v>
      </x:c>
      <x:c r="Y52" s="40" t="str">
        <x:v>DECLARED</x:v>
      </x:c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42" hidden="0" customWidth="1"/>
    <x:col min="5" max="5" width="28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2" hidden="0" customWidth="1"/>
    <x:col min="17" max="17" width="12" hidden="0" customWidth="1"/>
    <x:col min="18" max="18" width="12" hidden="0" customWidth="1"/>
    <x:col min="19" max="19" width="15" hidden="0" customWidth="1"/>
    <x:col min="20" max="20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Ten-campaign family demand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ID</x:v>
      </x:c>
      <x:c r="D4" s="24" t="str">
        <x:v>Formation family</x:v>
      </x:c>
      <x:c r="E4" s="24" t="str">
        <x:v>Service</x:v>
      </x:c>
      <x:c r="F4" s="24" t="str">
        <x:v>C1</x:v>
      </x:c>
      <x:c r="G4" s="24" t="str">
        <x:v>C2</x:v>
      </x:c>
      <x:c r="H4" s="24" t="str">
        <x:v>C3</x:v>
      </x:c>
      <x:c r="I4" s="24" t="str">
        <x:v>M1</x:v>
      </x:c>
      <x:c r="J4" s="24" t="str">
        <x:v>M2</x:v>
      </x:c>
      <x:c r="K4" s="24" t="str">
        <x:v>M3</x:v>
      </x:c>
      <x:c r="L4" s="24" t="str">
        <x:v>M4</x:v>
      </x:c>
      <x:c r="M4" s="24" t="str">
        <x:v>M5</x:v>
      </x:c>
      <x:c r="N4" s="24" t="str">
        <x:v>I1</x:v>
      </x:c>
      <x:c r="O4" s="24" t="str">
        <x:v>I2</x:v>
      </x:c>
      <x:c r="P4" s="24" t="str">
        <x:v>Total</x:v>
      </x:c>
      <x:c r="Q4" s="24" t="str">
        <x:v>Domestic</x:v>
      </x:c>
      <x:c r="R4" s="24" t="str">
        <x:v>Invited</x:v>
      </x:c>
      <x:c r="S4" s="24" t="str">
        <x:v>Maximum single</x:v>
      </x:c>
      <x:c r="T4" s="13" t="str">
        <x:v>Lineage</x:v>
      </x:c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v>J-CIE</x:v>
      </x:c>
      <x:c r="D5" s="40" t="str">
        <x:v>Civil integration and effects group</x:v>
      </x:c>
      <x:c r="E5" s="40" t="str">
        <x:v>Joint</x:v>
      </x:c>
      <x:c r="F5" s="40" t="n">
        <x:v>4</x:v>
      </x:c>
      <x:c r="G5" s="40" t="n">
        <x:v>4</x:v>
      </x:c>
      <x:c r="H5" s="40" t="n">
        <x:v>5</x:v>
      </x:c>
      <x:c r="I5" s="40" t="n">
        <x:v>2</x:v>
      </x:c>
      <x:c r="J5" s="40" t="n">
        <x:v>2</x:v>
      </x:c>
      <x:c r="K5" s="40" t="n">
        <x:v>3</x:v>
      </x:c>
      <x:c r="L5" s="40" t="n">
        <x:v>3</x:v>
      </x:c>
      <x:c r="M5" s="40" t="n">
        <x:v>3</x:v>
      </x:c>
      <x:c r="N5" s="40" t="n">
        <x:v>4</x:v>
      </x:c>
      <x:c r="O5" s="40" t="n">
        <x:v>4</x:v>
      </x:c>
      <x:c r="P5" s="40" t="n">
        <x:f>SUM(F5:O5)</x:f>
        <x:v>34</x:v>
      </x:c>
      <x:c r="Q5" s="40" t="n">
        <x:f>SUM(F5:M5)</x:f>
        <x:v>26</x:v>
      </x:c>
      <x:c r="R5" s="40" t="n">
        <x:f>SUM(N5:O5)</x:f>
        <x:v>8</x:v>
      </x:c>
      <x:c r="S5" s="40" t="n">
        <x:f>MAX(F5:O5)</x:f>
        <x:v>5</x:v>
      </x:c>
      <x:c r="T5" s="40" t="str">
        <x:v>Pass 23 retained</x:v>
      </x:c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v>J-TOC</x:v>
      </x:c>
      <x:c r="D6" s="40" t="str">
        <x:v>Theater-opening command</x:v>
      </x:c>
      <x:c r="E6" s="40" t="str">
        <x:v>Joint</x:v>
      </x:c>
      <x:c r="F6" s="40" t="n">
        <x:v>2</x:v>
      </x:c>
      <x:c r="G6" s="40" t="n">
        <x:v>3</x:v>
      </x:c>
      <x:c r="H6" s="40" t="n">
        <x:v>4</x:v>
      </x:c>
      <x:c r="I6" s="40" t="n">
        <x:v>1</x:v>
      </x:c>
      <x:c r="J6" s="40" t="n">
        <x:v>1</x:v>
      </x:c>
      <x:c r="K6" s="40" t="n">
        <x:v>2</x:v>
      </x:c>
      <x:c r="L6" s="40" t="n">
        <x:v>2</x:v>
      </x:c>
      <x:c r="M6" s="40" t="n">
        <x:v>2</x:v>
      </x:c>
      <x:c r="N6" s="40" t="n">
        <x:v>3</x:v>
      </x:c>
      <x:c r="O6" s="40" t="n">
        <x:v>3</x:v>
      </x:c>
      <x:c r="P6" s="40" t="n">
        <x:f>SUM(F6:O6)</x:f>
        <x:v>23</x:v>
      </x:c>
      <x:c r="Q6" s="40" t="n">
        <x:f>SUM(F6:M6)</x:f>
        <x:v>17</x:v>
      </x:c>
      <x:c r="R6" s="40" t="n">
        <x:f>SUM(N6:O6)</x:f>
        <x:v>6</x:v>
      </x:c>
      <x:c r="S6" s="40" t="n">
        <x:f>MAX(F6:O6)</x:f>
        <x:v>4</x:v>
      </x:c>
      <x:c r="T6" s="40" t="str">
        <x:v>Pass 23 retained</x:v>
      </x:c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v>J-TSC</x:v>
      </x:c>
      <x:c r="D7" s="40" t="str">
        <x:v>Theater sustainment command</x:v>
      </x:c>
      <x:c r="E7" s="40" t="str">
        <x:v>Joint</x:v>
      </x:c>
      <x:c r="F7" s="40" t="n">
        <x:v>3</x:v>
      </x:c>
      <x:c r="G7" s="40" t="n">
        <x:v>4</x:v>
      </x:c>
      <x:c r="H7" s="40" t="n">
        <x:v>5</x:v>
      </x:c>
      <x:c r="I7" s="40" t="n">
        <x:v>2</x:v>
      </x:c>
      <x:c r="J7" s="40" t="n">
        <x:v>2</x:v>
      </x:c>
      <x:c r="K7" s="40" t="n">
        <x:v>3</x:v>
      </x:c>
      <x:c r="L7" s="40" t="n">
        <x:v>3</x:v>
      </x:c>
      <x:c r="M7" s="40" t="n">
        <x:v>3</x:v>
      </x:c>
      <x:c r="N7" s="40" t="n">
        <x:v>4</x:v>
      </x:c>
      <x:c r="O7" s="40" t="n">
        <x:v>4</x:v>
      </x:c>
      <x:c r="P7" s="40" t="n">
        <x:f>SUM(F7:O7)</x:f>
        <x:v>33</x:v>
      </x:c>
      <x:c r="Q7" s="40" t="n">
        <x:f>SUM(F7:M7)</x:f>
        <x:v>25</x:v>
      </x:c>
      <x:c r="R7" s="40" t="n">
        <x:f>SUM(N7:O7)</x:f>
        <x:v>8</x:v>
      </x:c>
      <x:c r="S7" s="40" t="n">
        <x:f>MAX(F7:O7)</x:f>
        <x:v>5</x:v>
      </x:c>
      <x:c r="T7" s="40" t="str">
        <x:v>Pass 23 retained</x:v>
      </x:c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v>J-RRG</x:v>
      </x:c>
      <x:c r="D8" s="40" t="str">
        <x:v>Replacement and reconstitution group</x:v>
      </x:c>
      <x:c r="E8" s="40" t="str">
        <x:v>Joint</x:v>
      </x:c>
      <x:c r="F8" s="40" t="n">
        <x:v>3</x:v>
      </x:c>
      <x:c r="G8" s="40" t="n">
        <x:v>4</x:v>
      </x:c>
      <x:c r="H8" s="40" t="n">
        <x:v>5</x:v>
      </x:c>
      <x:c r="I8" s="40" t="n">
        <x:v>2</x:v>
      </x:c>
      <x:c r="J8" s="40" t="n">
        <x:v>2</x:v>
      </x:c>
      <x:c r="K8" s="40" t="n">
        <x:v>3</x:v>
      </x:c>
      <x:c r="L8" s="40" t="n">
        <x:v>3</x:v>
      </x:c>
      <x:c r="M8" s="40" t="n">
        <x:v>3</x:v>
      </x:c>
      <x:c r="N8" s="40" t="n">
        <x:v>4</x:v>
      </x:c>
      <x:c r="O8" s="40" t="n">
        <x:v>4</x:v>
      </x:c>
      <x:c r="P8" s="40" t="n">
        <x:f>SUM(F8:O8)</x:f>
        <x:v>33</x:v>
      </x:c>
      <x:c r="Q8" s="40" t="n">
        <x:f>SUM(F8:M8)</x:f>
        <x:v>25</x:v>
      </x:c>
      <x:c r="R8" s="40" t="n">
        <x:f>SUM(N8:O8)</x:f>
        <x:v>8</x:v>
      </x:c>
      <x:c r="S8" s="40" t="n">
        <x:f>MAX(F8:O8)</x:f>
        <x:v>5</x:v>
      </x:c>
      <x:c r="T8" s="40" t="str">
        <x:v>Pass 23 retained</x:v>
      </x:c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v>J-TDG</x:v>
      </x:c>
      <x:c r="D9" s="40" t="str">
        <x:v>Transfer and demobilization group</x:v>
      </x:c>
      <x:c r="E9" s="40" t="str">
        <x:v>Joint</x:v>
      </x:c>
      <x:c r="F9" s="40" t="n">
        <x:v>2</x:v>
      </x:c>
      <x:c r="G9" s="40" t="n">
        <x:v>3</x:v>
      </x:c>
      <x:c r="H9" s="40" t="n">
        <x:v>4</x:v>
      </x:c>
      <x:c r="I9" s="40" t="n">
        <x:v>1</x:v>
      </x:c>
      <x:c r="J9" s="40" t="n">
        <x:v>1</x:v>
      </x:c>
      <x:c r="K9" s="40" t="n">
        <x:v>2</x:v>
      </x:c>
      <x:c r="L9" s="40" t="n">
        <x:v>2</x:v>
      </x:c>
      <x:c r="M9" s="40" t="n">
        <x:v>2</x:v>
      </x:c>
      <x:c r="N9" s="40" t="n">
        <x:v>3</x:v>
      </x:c>
      <x:c r="O9" s="40" t="n">
        <x:v>3</x:v>
      </x:c>
      <x:c r="P9" s="40" t="n">
        <x:f>SUM(F9:O9)</x:f>
        <x:v>23</x:v>
      </x:c>
      <x:c r="Q9" s="40" t="n">
        <x:f>SUM(F9:M9)</x:f>
        <x:v>17</x:v>
      </x:c>
      <x:c r="R9" s="40" t="n">
        <x:f>SUM(N9:O9)</x:f>
        <x:v>6</x:v>
      </x:c>
      <x:c r="S9" s="40" t="n">
        <x:f>MAX(F9:O9)</x:f>
        <x:v>4</x:v>
      </x:c>
      <x:c r="T9" s="40" t="str">
        <x:v>Pass 23 retained</x:v>
      </x:c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v>L-ROG</x:v>
      </x:c>
      <x:c r="D10" s="40" t="str">
        <x:v>Access and route-opening group</x:v>
      </x:c>
      <x:c r="E10" s="40" t="str">
        <x:v>Land Engineering</x:v>
      </x:c>
      <x:c r="F10" s="40" t="n">
        <x:v>4</x:v>
      </x:c>
      <x:c r="G10" s="40" t="n">
        <x:v>8</x:v>
      </x:c>
      <x:c r="H10" s="40" t="n">
        <x:v>12</x:v>
      </x:c>
      <x:c r="I10" s="40" t="n">
        <x:v>4</x:v>
      </x:c>
      <x:c r="J10" s="40" t="n">
        <x:v>2</x:v>
      </x:c>
      <x:c r="K10" s="40" t="n">
        <x:v>8</x:v>
      </x:c>
      <x:c r="L10" s="40" t="n">
        <x:v>10</x:v>
      </x:c>
      <x:c r="M10" s="40" t="n">
        <x:v>4</x:v>
      </x:c>
      <x:c r="N10" s="40" t="n">
        <x:v>10</x:v>
      </x:c>
      <x:c r="O10" s="40" t="n">
        <x:v>8</x:v>
      </x:c>
      <x:c r="P10" s="40" t="n">
        <x:f>SUM(F10:O10)</x:f>
        <x:v>70</x:v>
      </x:c>
      <x:c r="Q10" s="40" t="n">
        <x:f>SUM(F10:M10)</x:f>
        <x:v>52</x:v>
      </x:c>
      <x:c r="R10" s="40" t="n">
        <x:f>SUM(N10:O10)</x:f>
        <x:v>18</x:v>
      </x:c>
      <x:c r="S10" s="40" t="n">
        <x:f>MAX(F10:O10)</x:f>
        <x:v>12</x:v>
      </x:c>
      <x:c r="T10" s="40" t="str">
        <x:v>Pass 23 retained</x:v>
      </x:c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v>L-HCG</x:v>
      </x:c>
      <x:c r="D11" s="40" t="str">
        <x:v>Flood and hydraulic-control group</x:v>
      </x:c>
      <x:c r="E11" s="40" t="str">
        <x:v>Land Engineering</x:v>
      </x:c>
      <x:c r="F11" s="40" t="n">
        <x:v>1</x:v>
      </x:c>
      <x:c r="G11" s="40" t="n">
        <x:v>10</x:v>
      </x:c>
      <x:c r="H11" s="40" t="n">
        <x:v>6</x:v>
      </x:c>
      <x:c r="I11" s="40" t="n">
        <x:v>0</x:v>
      </x:c>
      <x:c r="J11" s="40" t="n">
        <x:v>0</x:v>
      </x:c>
      <x:c r="K11" s="40" t="n">
        <x:v>12</x:v>
      </x:c>
      <x:c r="L11" s="40" t="n">
        <x:v>3</x:v>
      </x:c>
      <x:c r="M11" s="40" t="n">
        <x:v>2</x:v>
      </x:c>
      <x:c r="N11" s="40" t="n">
        <x:v>4</x:v>
      </x:c>
      <x:c r="O11" s="40" t="n">
        <x:v>12</x:v>
      </x:c>
      <x:c r="P11" s="40" t="n">
        <x:f>SUM(F11:O11)</x:f>
        <x:v>50</x:v>
      </x:c>
      <x:c r="Q11" s="40" t="n">
        <x:f>SUM(F11:M11)</x:f>
        <x:v>34</x:v>
      </x:c>
      <x:c r="R11" s="40" t="n">
        <x:f>SUM(N11:O11)</x:f>
        <x:v>16</x:v>
      </x:c>
      <x:c r="S11" s="40" t="n">
        <x:f>MAX(F11:O11)</x:f>
        <x:v>12</x:v>
      </x:c>
      <x:c r="T11" s="40" t="str">
        <x:v>Pass 23 retained</x:v>
      </x:c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v>L-DMG</x:v>
      </x:c>
      <x:c r="D12" s="40" t="str">
        <x:v>Debris and materials group</x:v>
      </x:c>
      <x:c r="E12" s="40" t="str">
        <x:v>Land Engineering</x:v>
      </x:c>
      <x:c r="F12" s="40" t="n">
        <x:v>2</x:v>
      </x:c>
      <x:c r="G12" s="40" t="n">
        <x:v>8</x:v>
      </x:c>
      <x:c r="H12" s="40" t="n">
        <x:v>12</x:v>
      </x:c>
      <x:c r="I12" s="40" t="n">
        <x:v>2</x:v>
      </x:c>
      <x:c r="J12" s="40" t="n">
        <x:v>1</x:v>
      </x:c>
      <x:c r="K12" s="40" t="n">
        <x:v>8</x:v>
      </x:c>
      <x:c r="L12" s="40" t="n">
        <x:v>12</x:v>
      </x:c>
      <x:c r="M12" s="40" t="n">
        <x:v>2</x:v>
      </x:c>
      <x:c r="N12" s="40" t="n">
        <x:v>10</x:v>
      </x:c>
      <x:c r="O12" s="40" t="n">
        <x:v>8</x:v>
      </x:c>
      <x:c r="P12" s="40" t="n">
        <x:f>SUM(F12:O12)</x:f>
        <x:v>65</x:v>
      </x:c>
      <x:c r="Q12" s="40" t="n">
        <x:f>SUM(F12:M12)</x:f>
        <x:v>47</x:v>
      </x:c>
      <x:c r="R12" s="40" t="n">
        <x:f>SUM(N12:O12)</x:f>
        <x:v>18</x:v>
      </x:c>
      <x:c r="S12" s="40" t="n">
        <x:f>MAX(F12:O12)</x:f>
        <x:v>12</x:v>
      </x:c>
      <x:c r="T12" s="40" t="str">
        <x:v>Pass 23 retained</x:v>
      </x:c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v>L-TWG</x:v>
      </x:c>
      <x:c r="D13" s="40" t="str">
        <x:v>Temporary works and crossing group</x:v>
      </x:c>
      <x:c r="E13" s="40" t="str">
        <x:v>Land Engineering</x:v>
      </x:c>
      <x:c r="F13" s="40" t="n">
        <x:v>3</x:v>
      </x:c>
      <x:c r="G13" s="40" t="n">
        <x:v>6</x:v>
      </x:c>
      <x:c r="H13" s="40" t="n">
        <x:v>10</x:v>
      </x:c>
      <x:c r="I13" s="40" t="n">
        <x:v>1</x:v>
      </x:c>
      <x:c r="J13" s="40" t="n">
        <x:v>1</x:v>
      </x:c>
      <x:c r="K13" s="40" t="n">
        <x:v>6</x:v>
      </x:c>
      <x:c r="L13" s="40" t="n">
        <x:v>8</x:v>
      </x:c>
      <x:c r="M13" s="40" t="n">
        <x:v>4</x:v>
      </x:c>
      <x:c r="N13" s="40" t="n">
        <x:v>8</x:v>
      </x:c>
      <x:c r="O13" s="40" t="n">
        <x:v>6</x:v>
      </x:c>
      <x:c r="P13" s="40" t="n">
        <x:f>SUM(F13:O13)</x:f>
        <x:v>53</x:v>
      </x:c>
      <x:c r="Q13" s="40" t="n">
        <x:f>SUM(F13:M13)</x:f>
        <x:v>39</x:v>
      </x:c>
      <x:c r="R13" s="40" t="n">
        <x:f>SUM(N13:O13)</x:f>
        <x:v>14</x:v>
      </x:c>
      <x:c r="S13" s="40" t="n">
        <x:f>MAX(F13:O13)</x:f>
        <x:v>10</x:v>
      </x:c>
      <x:c r="T13" s="40" t="str">
        <x:v>Pass 23 retained</x:v>
      </x:c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 t="str">
        <x:v>L-GFG</x:v>
      </x:c>
      <x:c r="D14" s="40" t="str">
        <x:v>Ground fire and landscape group</x:v>
      </x:c>
      <x:c r="E14" s="40" t="str">
        <x:v>Land Engineering</x:v>
      </x:c>
      <x:c r="F14" s="40" t="n">
        <x:v>2</x:v>
      </x:c>
      <x:c r="G14" s="40" t="n">
        <x:v>3</x:v>
      </x:c>
      <x:c r="H14" s="40" t="n">
        <x:v>4</x:v>
      </x:c>
      <x:c r="I14" s="40" t="n">
        <x:v>12</x:v>
      </x:c>
      <x:c r="J14" s="40" t="n">
        <x:v>3</x:v>
      </x:c>
      <x:c r="K14" s="40" t="n">
        <x:v>1</x:v>
      </x:c>
      <x:c r="L14" s="40" t="n">
        <x:v>2</x:v>
      </x:c>
      <x:c r="M14" s="40" t="n">
        <x:v>2</x:v>
      </x:c>
      <x:c r="N14" s="40" t="n">
        <x:v>2</x:v>
      </x:c>
      <x:c r="O14" s="40" t="n">
        <x:v>2</x:v>
      </x:c>
      <x:c r="P14" s="40" t="n">
        <x:f>SUM(F14:O14)</x:f>
        <x:v>33</x:v>
      </x:c>
      <x:c r="Q14" s="40" t="n">
        <x:f>SUM(F14:M14)</x:f>
        <x:v>29</x:v>
      </x:c>
      <x:c r="R14" s="40" t="n">
        <x:f>SUM(N14:O14)</x:f>
        <x:v>4</x:v>
      </x:c>
      <x:c r="S14" s="40" t="n">
        <x:f>MAX(F14:O14)</x:f>
        <x:v>12</x:v>
      </x:c>
      <x:c r="T14" s="40" t="str">
        <x:v>Pass 23 retained</x:v>
      </x:c>
      <x:c r="U14" s="40"/>
      <x:c r="V14" s="40"/>
      <x:c r="W14" s="40"/>
      <x:c r="X14" s="40"/>
      <x:c r="Y14" s="40"/>
      <x:c r="Z14" s="40"/>
    </x:row>
    <x:row r="15">
      <x:c r="A15" s="1"/>
      <x:c r="B15" s="1"/>
      <x:c r="C15" s="40" t="str">
        <x:v>A-SMW</x:v>
      </x:c>
      <x:c r="D15" s="40" t="str">
        <x:v>Strategic mobility wing</x:v>
      </x:c>
      <x:c r="E15" s="40" t="str">
        <x:v>Air Response</x:v>
      </x:c>
      <x:c r="F15" s="40" t="n">
        <x:v>2</x:v>
      </x:c>
      <x:c r="G15" s="40" t="n">
        <x:v>3</x:v>
      </x:c>
      <x:c r="H15" s="40" t="n">
        <x:v>4</x:v>
      </x:c>
      <x:c r="I15" s="40" t="n">
        <x:v>2</x:v>
      </x:c>
      <x:c r="J15" s="40" t="n">
        <x:v>2</x:v>
      </x:c>
      <x:c r="K15" s="40" t="n">
        <x:v>2</x:v>
      </x:c>
      <x:c r="L15" s="40" t="n">
        <x:v>3</x:v>
      </x:c>
      <x:c r="M15" s="40" t="n">
        <x:v>3</x:v>
      </x:c>
      <x:c r="N15" s="40" t="n">
        <x:v>5</x:v>
      </x:c>
      <x:c r="O15" s="40" t="n">
        <x:v>5</x:v>
      </x:c>
      <x:c r="P15" s="40" t="n">
        <x:f>SUM(F15:O15)</x:f>
        <x:v>31</x:v>
      </x:c>
      <x:c r="Q15" s="40" t="n">
        <x:f>SUM(F15:M15)</x:f>
        <x:v>21</x:v>
      </x:c>
      <x:c r="R15" s="40" t="n">
        <x:f>SUM(N15:O15)</x:f>
        <x:v>10</x:v>
      </x:c>
      <x:c r="S15" s="40" t="n">
        <x:f>MAX(F15:O15)</x:f>
        <x:v>5</x:v>
      </x:c>
      <x:c r="T15" s="40" t="str">
        <x:v>Pass 23 retained</x:v>
      </x:c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 t="str">
        <x:v>A-AAG</x:v>
      </x:c>
      <x:c r="D16" s="40" t="str">
        <x:v>Austere air-access group</x:v>
      </x:c>
      <x:c r="E16" s="40" t="str">
        <x:v>Air Response</x:v>
      </x:c>
      <x:c r="F16" s="40" t="n">
        <x:v>2</x:v>
      </x:c>
      <x:c r="G16" s="40" t="n">
        <x:v>4</x:v>
      </x:c>
      <x:c r="H16" s="40" t="n">
        <x:v>6</x:v>
      </x:c>
      <x:c r="I16" s="40" t="n">
        <x:v>3</x:v>
      </x:c>
      <x:c r="J16" s="40" t="n">
        <x:v>2</x:v>
      </x:c>
      <x:c r="K16" s="40" t="n">
        <x:v>2</x:v>
      </x:c>
      <x:c r="L16" s="40" t="n">
        <x:v>4</x:v>
      </x:c>
      <x:c r="M16" s="40" t="n">
        <x:v>3</x:v>
      </x:c>
      <x:c r="N16" s="40" t="n">
        <x:v>5</x:v>
      </x:c>
      <x:c r="O16" s="40" t="n">
        <x:v>5</x:v>
      </x:c>
      <x:c r="P16" s="40" t="n">
        <x:f>SUM(F16:O16)</x:f>
        <x:v>36</x:v>
      </x:c>
      <x:c r="Q16" s="40" t="n">
        <x:f>SUM(F16:M16)</x:f>
        <x:v>26</x:v>
      </x:c>
      <x:c r="R16" s="40" t="n">
        <x:f>SUM(N16:O16)</x:f>
        <x:v>10</x:v>
      </x:c>
      <x:c r="S16" s="40" t="n">
        <x:f>MAX(F16:O16)</x:f>
        <x:v>6</x:v>
      </x:c>
      <x:c r="T16" s="40" t="str">
        <x:v>Pass 23 retained</x:v>
      </x:c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 t="str">
        <x:v>A-AHW</x:v>
      </x:c>
      <x:c r="D17" s="40" t="str">
        <x:v>Aerial hazard-control wing</x:v>
      </x:c>
      <x:c r="E17" s="40" t="str">
        <x:v>Air Response</x:v>
      </x:c>
      <x:c r="F17" s="40" t="n">
        <x:v>1</x:v>
      </x:c>
      <x:c r="G17" s="40" t="n">
        <x:v>2</x:v>
      </x:c>
      <x:c r="H17" s="40" t="n">
        <x:v>2</x:v>
      </x:c>
      <x:c r="I17" s="40" t="n">
        <x:v>10</x:v>
      </x:c>
      <x:c r="J17" s="40" t="n">
        <x:v>2</x:v>
      </x:c>
      <x:c r="K17" s="40" t="n">
        <x:v>0</x:v>
      </x:c>
      <x:c r="L17" s="40" t="n">
        <x:v>1</x:v>
      </x:c>
      <x:c r="M17" s="40" t="n">
        <x:v>1</x:v>
      </x:c>
      <x:c r="N17" s="40" t="n">
        <x:v>2</x:v>
      </x:c>
      <x:c r="O17" s="40" t="n">
        <x:v>1</x:v>
      </x:c>
      <x:c r="P17" s="40" t="n">
        <x:f>SUM(F17:O17)</x:f>
        <x:v>22</x:v>
      </x:c>
      <x:c r="Q17" s="40" t="n">
        <x:f>SUM(F17:M17)</x:f>
        <x:v>19</x:v>
      </x:c>
      <x:c r="R17" s="40" t="n">
        <x:f>SUM(N17:O17)</x:f>
        <x:v>3</x:v>
      </x:c>
      <x:c r="S17" s="40" t="n">
        <x:f>MAX(F17:O17)</x:f>
        <x:v>10</x:v>
      </x:c>
      <x:c r="T17" s="40" t="str">
        <x:v>Pass 23 retained</x:v>
      </x:c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 t="str">
        <x:v>A-TDG</x:v>
      </x:c>
      <x:c r="D18" s="40" t="str">
        <x:v>Tactical distribution group</x:v>
      </x:c>
      <x:c r="E18" s="40" t="str">
        <x:v>Air Response</x:v>
      </x:c>
      <x:c r="F18" s="40" t="n">
        <x:v>4</x:v>
      </x:c>
      <x:c r="G18" s="40" t="n">
        <x:v>6</x:v>
      </x:c>
      <x:c r="H18" s="40" t="n">
        <x:v>8</x:v>
      </x:c>
      <x:c r="I18" s="40" t="n">
        <x:v>5</x:v>
      </x:c>
      <x:c r="J18" s="40" t="n">
        <x:v>4</x:v>
      </x:c>
      <x:c r="K18" s="40" t="n">
        <x:v>4</x:v>
      </x:c>
      <x:c r="L18" s="40" t="n">
        <x:v>6</x:v>
      </x:c>
      <x:c r="M18" s="40" t="n">
        <x:v>5</x:v>
      </x:c>
      <x:c r="N18" s="40" t="n">
        <x:v>8</x:v>
      </x:c>
      <x:c r="O18" s="40" t="n">
        <x:v>8</x:v>
      </x:c>
      <x:c r="P18" s="40" t="n">
        <x:f>SUM(F18:O18)</x:f>
        <x:v>58</x:v>
      </x:c>
      <x:c r="Q18" s="40" t="n">
        <x:f>SUM(F18:M18)</x:f>
        <x:v>42</x:v>
      </x:c>
      <x:c r="R18" s="40" t="n">
        <x:f>SUM(N18:O18)</x:f>
        <x:v>16</x:v>
      </x:c>
      <x:c r="S18" s="40" t="n">
        <x:f>MAX(F18:O18)</x:f>
        <x:v>8</x:v>
      </x:c>
      <x:c r="T18" s="40" t="str">
        <x:v>Pass 23 retained</x:v>
      </x:c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 t="str">
        <x:v>A-SRG</x:v>
      </x:c>
      <x:c r="D19" s="40" t="str">
        <x:v>Air sensing and relay group</x:v>
      </x:c>
      <x:c r="E19" s="40" t="str">
        <x:v>Air Response</x:v>
      </x:c>
      <x:c r="F19" s="40" t="n">
        <x:v>3</x:v>
      </x:c>
      <x:c r="G19" s="40" t="n">
        <x:v>4</x:v>
      </x:c>
      <x:c r="H19" s="40" t="n">
        <x:v>5</x:v>
      </x:c>
      <x:c r="I19" s="40" t="n">
        <x:v>5</x:v>
      </x:c>
      <x:c r="J19" s="40" t="n">
        <x:v>3</x:v>
      </x:c>
      <x:c r="K19" s="40" t="n">
        <x:v>3</x:v>
      </x:c>
      <x:c r="L19" s="40" t="n">
        <x:v>4</x:v>
      </x:c>
      <x:c r="M19" s="40" t="n">
        <x:v>3</x:v>
      </x:c>
      <x:c r="N19" s="40" t="n">
        <x:v>5</x:v>
      </x:c>
      <x:c r="O19" s="40" t="n">
        <x:v>5</x:v>
      </x:c>
      <x:c r="P19" s="40" t="n">
        <x:f>SUM(F19:O19)</x:f>
        <x:v>40</x:v>
      </x:c>
      <x:c r="Q19" s="40" t="n">
        <x:f>SUM(F19:M19)</x:f>
        <x:v>30</x:v>
      </x:c>
      <x:c r="R19" s="40" t="n">
        <x:f>SUM(N19:O19)</x:f>
        <x:v>10</x:v>
      </x:c>
      <x:c r="S19" s="40" t="n">
        <x:f>MAX(F19:O19)</x:f>
        <x:v>5</x:v>
      </x:c>
      <x:c r="T19" s="40" t="str">
        <x:v>Pass 23 retained</x:v>
      </x:c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 t="str">
        <x:v>A-AMG</x:v>
      </x:c>
      <x:c r="D20" s="40" t="str">
        <x:v>Aeromedical movement group</x:v>
      </x:c>
      <x:c r="E20" s="40" t="str">
        <x:v>Air Response</x:v>
      </x:c>
      <x:c r="F20" s="40" t="n">
        <x:v>2</x:v>
      </x:c>
      <x:c r="G20" s="40" t="n">
        <x:v>3</x:v>
      </x:c>
      <x:c r="H20" s="40" t="n">
        <x:v>5</x:v>
      </x:c>
      <x:c r="I20" s="40" t="n">
        <x:v>2</x:v>
      </x:c>
      <x:c r="J20" s="40" t="n">
        <x:v>3</x:v>
      </x:c>
      <x:c r="K20" s="40" t="n">
        <x:v>2</x:v>
      </x:c>
      <x:c r="L20" s="40" t="n">
        <x:v>3</x:v>
      </x:c>
      <x:c r="M20" s="40" t="n">
        <x:v>2</x:v>
      </x:c>
      <x:c r="N20" s="40" t="n">
        <x:v>5</x:v>
      </x:c>
      <x:c r="O20" s="40" t="n">
        <x:v>4</x:v>
      </x:c>
      <x:c r="P20" s="40" t="n">
        <x:f>SUM(F20:O20)</x:f>
        <x:v>31</x:v>
      </x:c>
      <x:c r="Q20" s="40" t="n">
        <x:f>SUM(F20:M20)</x:f>
        <x:v>22</x:v>
      </x:c>
      <x:c r="R20" s="40" t="n">
        <x:f>SUM(N20:O20)</x:f>
        <x:v>9</x:v>
      </x:c>
      <x:c r="S20" s="40" t="n">
        <x:f>MAX(F20:O20)</x:f>
        <x:v>5</x:v>
      </x:c>
      <x:c r="T20" s="40" t="str">
        <x:v>Pass 23 retained</x:v>
      </x:c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 t="str">
        <x:v>M-POG</x:v>
      </x:c>
      <x:c r="D21" s="40" t="str">
        <x:v>Port-opening group</x:v>
      </x:c>
      <x:c r="E21" s="40" t="str">
        <x:v>Maritime Response</x:v>
      </x:c>
      <x:c r="F21" s="40" t="n">
        <x:v>1</x:v>
      </x:c>
      <x:c r="G21" s="40" t="n">
        <x:v>5</x:v>
      </x:c>
      <x:c r="H21" s="40" t="n">
        <x:v>8</x:v>
      </x:c>
      <x:c r="I21" s="40" t="n">
        <x:v>0</x:v>
      </x:c>
      <x:c r="J21" s="40" t="n">
        <x:v>0</x:v>
      </x:c>
      <x:c r="K21" s="40" t="n">
        <x:v>1</x:v>
      </x:c>
      <x:c r="L21" s="40" t="n">
        <x:v>1</x:v>
      </x:c>
      <x:c r="M21" s="40" t="n">
        <x:v>2</x:v>
      </x:c>
      <x:c r="N21" s="40" t="n">
        <x:v>8</x:v>
      </x:c>
      <x:c r="O21" s="40" t="n">
        <x:v>6</x:v>
      </x:c>
      <x:c r="P21" s="40" t="n">
        <x:f>SUM(F21:O21)</x:f>
        <x:v>32</x:v>
      </x:c>
      <x:c r="Q21" s="40" t="n">
        <x:f>SUM(F21:M21)</x:f>
        <x:v>18</x:v>
      </x:c>
      <x:c r="R21" s="40" t="n">
        <x:f>SUM(N21:O21)</x:f>
        <x:v>14</x:v>
      </x:c>
      <x:c r="S21" s="40" t="n">
        <x:f>MAX(F21:O21)</x:f>
        <x:v>8</x:v>
      </x:c>
      <x:c r="T21" s="40" t="str">
        <x:v>Pass 23 retained</x:v>
      </x:c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 t="str">
        <x:v>M-LAG</x:v>
      </x:c>
      <x:c r="D22" s="40" t="str">
        <x:v>Littoral-access group</x:v>
      </x:c>
      <x:c r="E22" s="40" t="str">
        <x:v>Maritime Response</x:v>
      </x:c>
      <x:c r="F22" s="40" t="n">
        <x:v>1</x:v>
      </x:c>
      <x:c r="G22" s="40" t="n">
        <x:v>6</x:v>
      </x:c>
      <x:c r="H22" s="40" t="n">
        <x:v>8</x:v>
      </x:c>
      <x:c r="I22" s="40" t="n">
        <x:v>0</x:v>
      </x:c>
      <x:c r="J22" s="40" t="n">
        <x:v>0</x:v>
      </x:c>
      <x:c r="K22" s="40" t="n">
        <x:v>2</x:v>
      </x:c>
      <x:c r="L22" s="40" t="n">
        <x:v>1</x:v>
      </x:c>
      <x:c r="M22" s="40" t="n">
        <x:v>3</x:v>
      </x:c>
      <x:c r="N22" s="40" t="n">
        <x:v>8</x:v>
      </x:c>
      <x:c r="O22" s="40" t="n">
        <x:v>8</x:v>
      </x:c>
      <x:c r="P22" s="40" t="n">
        <x:f>SUM(F22:O22)</x:f>
        <x:v>37</x:v>
      </x:c>
      <x:c r="Q22" s="40" t="n">
        <x:f>SUM(F22:M22)</x:f>
        <x:v>21</x:v>
      </x:c>
      <x:c r="R22" s="40" t="n">
        <x:f>SUM(N22:O22)</x:f>
        <x:v>16</x:v>
      </x:c>
      <x:c r="S22" s="40" t="n">
        <x:f>MAX(F22:O22)</x:f>
        <x:v>8</x:v>
      </x:c>
      <x:c r="T22" s="40" t="str">
        <x:v>Pass 23 retained</x:v>
      </x:c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 t="str">
        <x:v>M-IWG</x:v>
      </x:c>
      <x:c r="D23" s="40" t="str">
        <x:v>Inland-waterway group</x:v>
      </x:c>
      <x:c r="E23" s="40" t="str">
        <x:v>Maritime Response</x:v>
      </x:c>
      <x:c r="F23" s="40" t="n">
        <x:v>2</x:v>
      </x:c>
      <x:c r="G23" s="40" t="n">
        <x:v>3</x:v>
      </x:c>
      <x:c r="H23" s="40" t="n">
        <x:v>2</x:v>
      </x:c>
      <x:c r="I23" s="40" t="n">
        <x:v>0</x:v>
      </x:c>
      <x:c r="J23" s="40" t="n">
        <x:v>0</x:v>
      </x:c>
      <x:c r="K23" s="40" t="n">
        <x:v>8</x:v>
      </x:c>
      <x:c r="L23" s="40" t="n">
        <x:v>3</x:v>
      </x:c>
      <x:c r="M23" s="40" t="n">
        <x:v>4</x:v>
      </x:c>
      <x:c r="N23" s="40" t="n">
        <x:v>1</x:v>
      </x:c>
      <x:c r="O23" s="40" t="n">
        <x:v>6</x:v>
      </x:c>
      <x:c r="P23" s="40" t="n">
        <x:f>SUM(F23:O23)</x:f>
        <x:v>29</x:v>
      </x:c>
      <x:c r="Q23" s="40" t="n">
        <x:f>SUM(F23:M23)</x:f>
        <x:v>22</x:v>
      </x:c>
      <x:c r="R23" s="40" t="n">
        <x:f>SUM(N23:O23)</x:f>
        <x:v>7</x:v>
      </x:c>
      <x:c r="S23" s="40" t="n">
        <x:f>MAX(F23:O23)</x:f>
        <x:v>8</x:v>
      </x:c>
      <x:c r="T23" s="40" t="str">
        <x:v>Pass 23 retained</x:v>
      </x:c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 t="str">
        <x:v>M-OSG</x:v>
      </x:c>
      <x:c r="D24" s="40" t="str">
        <x:v>Offshore-support group</x:v>
      </x:c>
      <x:c r="E24" s="40" t="str">
        <x:v>Maritime Response</x:v>
      </x:c>
      <x:c r="F24" s="40" t="n">
        <x:v>1</x:v>
      </x:c>
      <x:c r="G24" s="40" t="n">
        <x:v>3</x:v>
      </x:c>
      <x:c r="H24" s="40" t="n">
        <x:v>4</x:v>
      </x:c>
      <x:c r="I24" s="40" t="n">
        <x:v>0</x:v>
      </x:c>
      <x:c r="J24" s="40" t="n">
        <x:v>0</x:v>
      </x:c>
      <x:c r="K24" s="40" t="n">
        <x:v>1</x:v>
      </x:c>
      <x:c r="L24" s="40" t="n">
        <x:v>1</x:v>
      </x:c>
      <x:c r="M24" s="40" t="n">
        <x:v>3</x:v>
      </x:c>
      <x:c r="N24" s="40" t="n">
        <x:v>6</x:v>
      </x:c>
      <x:c r="O24" s="40" t="n">
        <x:v>5</x:v>
      </x:c>
      <x:c r="P24" s="40" t="n">
        <x:f>SUM(F24:O24)</x:f>
        <x:v>24</x:v>
      </x:c>
      <x:c r="Q24" s="40" t="n">
        <x:f>SUM(F24:M24)</x:f>
        <x:v>13</x:v>
      </x:c>
      <x:c r="R24" s="40" t="n">
        <x:f>SUM(N24:O24)</x:f>
        <x:v>11</x:v>
      </x:c>
      <x:c r="S24" s="40" t="n">
        <x:f>MAX(F24:O24)</x:f>
        <x:v>6</x:v>
      </x:c>
      <x:c r="T24" s="40" t="str">
        <x:v>Pass 23 retained</x:v>
      </x:c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 t="str">
        <x:v>M-SSG</x:v>
      </x:c>
      <x:c r="D25" s="40" t="str">
        <x:v>Ocean sustainment group</x:v>
      </x:c>
      <x:c r="E25" s="40" t="str">
        <x:v>Maritime Response</x:v>
      </x:c>
      <x:c r="F25" s="40" t="n">
        <x:v>2</x:v>
      </x:c>
      <x:c r="G25" s="40" t="n">
        <x:v>4</x:v>
      </x:c>
      <x:c r="H25" s="40" t="n">
        <x:v>6</x:v>
      </x:c>
      <x:c r="I25" s="40" t="n">
        <x:v>1</x:v>
      </x:c>
      <x:c r="J25" s="40" t="n">
        <x:v>1</x:v>
      </x:c>
      <x:c r="K25" s="40" t="n">
        <x:v>2</x:v>
      </x:c>
      <x:c r="L25" s="40" t="n">
        <x:v>2</x:v>
      </x:c>
      <x:c r="M25" s="40" t="n">
        <x:v>4</x:v>
      </x:c>
      <x:c r="N25" s="40" t="n">
        <x:v>8</x:v>
      </x:c>
      <x:c r="O25" s="40" t="n">
        <x:v>8</x:v>
      </x:c>
      <x:c r="P25" s="40" t="n">
        <x:f>SUM(F25:O25)</x:f>
        <x:v>38</x:v>
      </x:c>
      <x:c r="Q25" s="40" t="n">
        <x:f>SUM(F25:M25)</x:f>
        <x:v>22</x:v>
      </x:c>
      <x:c r="R25" s="40" t="n">
        <x:f>SUM(N25:O25)</x:f>
        <x:v>16</x:v>
      </x:c>
      <x:c r="S25" s="40" t="n">
        <x:f>MAX(F25:O25)</x:f>
        <x:v>8</x:v>
      </x:c>
      <x:c r="T25" s="40" t="str">
        <x:v>Pass 23 retained</x:v>
      </x:c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 t="str">
        <x:v>I-CUG</x:v>
      </x:c>
      <x:c r="D26" s="40" t="str">
        <x:v>Communications utility group</x:v>
      </x:c>
      <x:c r="E26" s="40" t="str">
        <x:v>Infrastructure Restoration</x:v>
      </x:c>
      <x:c r="F26" s="40" t="n">
        <x:v>6</x:v>
      </x:c>
      <x:c r="G26" s="40" t="n">
        <x:v>6</x:v>
      </x:c>
      <x:c r="H26" s="40" t="n">
        <x:v>8</x:v>
      </x:c>
      <x:c r="I26" s="40" t="n">
        <x:v>4</x:v>
      </x:c>
      <x:c r="J26" s="40" t="n">
        <x:v>4</x:v>
      </x:c>
      <x:c r="K26" s="40" t="n">
        <x:v>5</x:v>
      </x:c>
      <x:c r="L26" s="40" t="n">
        <x:v>5</x:v>
      </x:c>
      <x:c r="M26" s="40" t="n">
        <x:v>5</x:v>
      </x:c>
      <x:c r="N26" s="40" t="n">
        <x:v>8</x:v>
      </x:c>
      <x:c r="O26" s="40" t="n">
        <x:v>8</x:v>
      </x:c>
      <x:c r="P26" s="40" t="n">
        <x:f>SUM(F26:O26)</x:f>
        <x:v>59</x:v>
      </x:c>
      <x:c r="Q26" s="40" t="n">
        <x:f>SUM(F26:M26)</x:f>
        <x:v>43</x:v>
      </x:c>
      <x:c r="R26" s="40" t="n">
        <x:f>SUM(N26:O26)</x:f>
        <x:v>16</x:v>
      </x:c>
      <x:c r="S26" s="40" t="n">
        <x:f>MAX(F26:O26)</x:f>
        <x:v>8</x:v>
      </x:c>
      <x:c r="T26" s="40" t="str">
        <x:v>Pass 23 retained</x:v>
      </x:c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 t="str">
        <x:v>I-TSG</x:v>
      </x:c>
      <x:c r="D27" s="40" t="str">
        <x:v>Thermal safety group</x:v>
      </x:c>
      <x:c r="E27" s="40" t="str">
        <x:v>Infrastructure Restoration</x:v>
      </x:c>
      <x:c r="F27" s="40" t="n">
        <x:v>12</x:v>
      </x:c>
      <x:c r="G27" s="40" t="n">
        <x:v>6</x:v>
      </x:c>
      <x:c r="H27" s="40" t="n">
        <x:v>8</x:v>
      </x:c>
      <x:c r="I27" s="40" t="n">
        <x:v>4</x:v>
      </x:c>
      <x:c r="J27" s="40" t="n">
        <x:v>10</x:v>
      </x:c>
      <x:c r="K27" s="40" t="n">
        <x:v>3</x:v>
      </x:c>
      <x:c r="L27" s="40" t="n">
        <x:v>4</x:v>
      </x:c>
      <x:c r="M27" s="40" t="n">
        <x:v>5</x:v>
      </x:c>
      <x:c r="N27" s="40" t="n">
        <x:v>6</x:v>
      </x:c>
      <x:c r="O27" s="40" t="n">
        <x:v>5</x:v>
      </x:c>
      <x:c r="P27" s="40" t="n">
        <x:f>SUM(F27:O27)</x:f>
        <x:v>63</x:v>
      </x:c>
      <x:c r="Q27" s="40" t="n">
        <x:f>SUM(F27:M27)</x:f>
        <x:v>52</x:v>
      </x:c>
      <x:c r="R27" s="40" t="n">
        <x:f>SUM(N27:O27)</x:f>
        <x:v>11</x:v>
      </x:c>
      <x:c r="S27" s="40" t="n">
        <x:f>MAX(F27:O27)</x:f>
        <x:v>12</x:v>
      </x:c>
      <x:c r="T27" s="40" t="str">
        <x:v>Pass 23 retained</x:v>
      </x:c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 t="str">
        <x:v>I-URG</x:v>
      </x:c>
      <x:c r="D28" s="40" t="str">
        <x:v>Utility reconstruction group</x:v>
      </x:c>
      <x:c r="E28" s="40" t="str">
        <x:v>Infrastructure Restoration</x:v>
      </x:c>
      <x:c r="F28" s="40" t="n">
        <x:v>8</x:v>
      </x:c>
      <x:c r="G28" s="40" t="n">
        <x:v>8</x:v>
      </x:c>
      <x:c r="H28" s="40" t="n">
        <x:v>12</x:v>
      </x:c>
      <x:c r="I28" s="40" t="n">
        <x:v>3</x:v>
      </x:c>
      <x:c r="J28" s="40" t="n">
        <x:v>4</x:v>
      </x:c>
      <x:c r="K28" s="40" t="n">
        <x:v>6</x:v>
      </x:c>
      <x:c r="L28" s="40" t="n">
        <x:v>8</x:v>
      </x:c>
      <x:c r="M28" s="40" t="n">
        <x:v>6</x:v>
      </x:c>
      <x:c r="N28" s="40" t="n">
        <x:v>10</x:v>
      </x:c>
      <x:c r="O28" s="40" t="n">
        <x:v>8</x:v>
      </x:c>
      <x:c r="P28" s="40" t="n">
        <x:f>SUM(F28:O28)</x:f>
        <x:v>73</x:v>
      </x:c>
      <x:c r="Q28" s="40" t="n">
        <x:f>SUM(F28:M28)</x:f>
        <x:v>55</x:v>
      </x:c>
      <x:c r="R28" s="40" t="n">
        <x:f>SUM(N28:O28)</x:f>
        <x:v>18</x:v>
      </x:c>
      <x:c r="S28" s="40" t="n">
        <x:f>MAX(F28:O28)</x:f>
        <x:v>12</x:v>
      </x:c>
      <x:c r="T28" s="40" t="str">
        <x:v>Pass 23 retained</x:v>
      </x:c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 t="str">
        <x:v>H-CHC</x:v>
      </x:c>
      <x:c r="D29" s="40" t="str">
        <x:v>Community health continuity group</x:v>
      </x:c>
      <x:c r="E29" s="40" t="str">
        <x:v>Health Protection</x:v>
      </x:c>
      <x:c r="F29" s="40" t="n">
        <x:v>8</x:v>
      </x:c>
      <x:c r="G29" s="40" t="n">
        <x:v>8</x:v>
      </x:c>
      <x:c r="H29" s="40" t="n">
        <x:v>10</x:v>
      </x:c>
      <x:c r="I29" s="40" t="n">
        <x:v>4</x:v>
      </x:c>
      <x:c r="J29" s="40" t="n">
        <x:v>8</x:v>
      </x:c>
      <x:c r="K29" s="40" t="n">
        <x:v>5</x:v>
      </x:c>
      <x:c r="L29" s="40" t="n">
        <x:v>6</x:v>
      </x:c>
      <x:c r="M29" s="40" t="n">
        <x:v>6</x:v>
      </x:c>
      <x:c r="N29" s="40" t="n">
        <x:v>10</x:v>
      </x:c>
      <x:c r="O29" s="40" t="n">
        <x:v>10</x:v>
      </x:c>
      <x:c r="P29" s="40" t="n">
        <x:f>SUM(F29:O29)</x:f>
        <x:v>75</x:v>
      </x:c>
      <x:c r="Q29" s="40" t="n">
        <x:f>SUM(F29:M29)</x:f>
        <x:v>55</x:v>
      </x:c>
      <x:c r="R29" s="40" t="n">
        <x:f>SUM(N29:O29)</x:f>
        <x:v>20</x:v>
      </x:c>
      <x:c r="S29" s="40" t="n">
        <x:f>MAX(F29:O29)</x:f>
        <x:v>10</x:v>
      </x:c>
      <x:c r="T29" s="40" t="str">
        <x:v>Pass 23 retained</x:v>
      </x:c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 t="str">
        <x:v>H-MAC</x:v>
      </x:c>
      <x:c r="D30" s="40" t="str">
        <x:v>Mobile acute-care group</x:v>
      </x:c>
      <x:c r="E30" s="40" t="str">
        <x:v>Health Protection</x:v>
      </x:c>
      <x:c r="F30" s="40" t="n">
        <x:v>4</x:v>
      </x:c>
      <x:c r="G30" s="40" t="n">
        <x:v>5</x:v>
      </x:c>
      <x:c r="H30" s="40" t="n">
        <x:v>8</x:v>
      </x:c>
      <x:c r="I30" s="40" t="n">
        <x:v>3</x:v>
      </x:c>
      <x:c r="J30" s="40" t="n">
        <x:v>4</x:v>
      </x:c>
      <x:c r="K30" s="40" t="n">
        <x:v>3</x:v>
      </x:c>
      <x:c r="L30" s="40" t="n">
        <x:v>5</x:v>
      </x:c>
      <x:c r="M30" s="40" t="n">
        <x:v>3</x:v>
      </x:c>
      <x:c r="N30" s="40" t="n">
        <x:v>8</x:v>
      </x:c>
      <x:c r="O30" s="40" t="n">
        <x:v>6</x:v>
      </x:c>
      <x:c r="P30" s="40" t="n">
        <x:f>SUM(F30:O30)</x:f>
        <x:v>49</x:v>
      </x:c>
      <x:c r="Q30" s="40" t="n">
        <x:f>SUM(F30:M30)</x:f>
        <x:v>35</x:v>
      </x:c>
      <x:c r="R30" s="40" t="n">
        <x:f>SUM(N30:O30)</x:f>
        <x:v>14</x:v>
      </x:c>
      <x:c r="S30" s="40" t="n">
        <x:f>MAX(F30:O30)</x:f>
        <x:v>8</x:v>
      </x:c>
      <x:c r="T30" s="40" t="str">
        <x:v>Pass 23 retained</x:v>
      </x:c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 t="str">
        <x:v>H-PHC</x:v>
      </x:c>
      <x:c r="D31" s="40" t="str">
        <x:v>Public-health control group</x:v>
      </x:c>
      <x:c r="E31" s="40" t="str">
        <x:v>Health Protection</x:v>
      </x:c>
      <x:c r="F31" s="40" t="n">
        <x:v>4</x:v>
      </x:c>
      <x:c r="G31" s="40" t="n">
        <x:v>4</x:v>
      </x:c>
      <x:c r="H31" s="40" t="n">
        <x:v>5</x:v>
      </x:c>
      <x:c r="I31" s="40" t="n">
        <x:v>3</x:v>
      </x:c>
      <x:c r="J31" s="40" t="n">
        <x:v>4</x:v>
      </x:c>
      <x:c r="K31" s="40" t="n">
        <x:v>3</x:v>
      </x:c>
      <x:c r="L31" s="40" t="n">
        <x:v>3</x:v>
      </x:c>
      <x:c r="M31" s="40" t="n">
        <x:v>4</x:v>
      </x:c>
      <x:c r="N31" s="40" t="n">
        <x:v>6</x:v>
      </x:c>
      <x:c r="O31" s="40" t="n">
        <x:v>6</x:v>
      </x:c>
      <x:c r="P31" s="40" t="n">
        <x:f>SUM(F31:O31)</x:f>
        <x:v>42</x:v>
      </x:c>
      <x:c r="Q31" s="40" t="n">
        <x:f>SUM(F31:M31)</x:f>
        <x:v>30</x:v>
      </x:c>
      <x:c r="R31" s="40" t="n">
        <x:f>SUM(N31:O31)</x:f>
        <x:v>12</x:v>
      </x:c>
      <x:c r="S31" s="40" t="n">
        <x:f>MAX(F31:O31)</x:f>
        <x:v>6</x:v>
      </x:c>
      <x:c r="T31" s="40" t="str">
        <x:v>Pass 23 retained</x:v>
      </x:c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 t="str">
        <x:v>H-HWR</x:v>
      </x:c>
      <x:c r="D32" s="40" t="str">
        <x:v>Health workforce replacement group</x:v>
      </x:c>
      <x:c r="E32" s="40" t="str">
        <x:v>Health Protection</x:v>
      </x:c>
      <x:c r="F32" s="40" t="n">
        <x:v>8</x:v>
      </x:c>
      <x:c r="G32" s="40" t="n">
        <x:v>8</x:v>
      </x:c>
      <x:c r="H32" s="40" t="n">
        <x:v>10</x:v>
      </x:c>
      <x:c r="I32" s="40" t="n">
        <x:v>4</x:v>
      </x:c>
      <x:c r="J32" s="40" t="n">
        <x:v>8</x:v>
      </x:c>
      <x:c r="K32" s="40" t="n">
        <x:v>5</x:v>
      </x:c>
      <x:c r="L32" s="40" t="n">
        <x:v>6</x:v>
      </x:c>
      <x:c r="M32" s="40" t="n">
        <x:v>6</x:v>
      </x:c>
      <x:c r="N32" s="40" t="n">
        <x:v>10</x:v>
      </x:c>
      <x:c r="O32" s="40" t="n">
        <x:v>10</x:v>
      </x:c>
      <x:c r="P32" s="40" t="n">
        <x:f>SUM(F32:O32)</x:f>
        <x:v>75</x:v>
      </x:c>
      <x:c r="Q32" s="40" t="n">
        <x:f>SUM(F32:M32)</x:f>
        <x:v>55</x:v>
      </x:c>
      <x:c r="R32" s="40" t="n">
        <x:f>SUM(N32:O32)</x:f>
        <x:v>20</x:v>
      </x:c>
      <x:c r="S32" s="40" t="n">
        <x:f>MAX(F32:O32)</x:f>
        <x:v>10</x:v>
      </x:c>
      <x:c r="T32" s="40" t="str">
        <x:v>Pass 23 retained</x:v>
      </x:c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 t="str">
        <x:v>C-PSG</x:v>
      </x:c>
      <x:c r="D33" s="40" t="str">
        <x:v>Population support group</x:v>
      </x:c>
      <x:c r="E33" s="40" t="str">
        <x:v>Community Stabilization</x:v>
      </x:c>
      <x:c r="F33" s="40" t="n">
        <x:v>10</x:v>
      </x:c>
      <x:c r="G33" s="40" t="n">
        <x:v>14</x:v>
      </x:c>
      <x:c r="H33" s="40" t="n">
        <x:v>16</x:v>
      </x:c>
      <x:c r="I33" s="40" t="n">
        <x:v>4</x:v>
      </x:c>
      <x:c r="J33" s="40" t="n">
        <x:v>8</x:v>
      </x:c>
      <x:c r="K33" s="40" t="n">
        <x:v>8</x:v>
      </x:c>
      <x:c r="L33" s="40" t="n">
        <x:v>10</x:v>
      </x:c>
      <x:c r="M33" s="40" t="n">
        <x:v>8</x:v>
      </x:c>
      <x:c r="N33" s="40" t="n">
        <x:v>14</x:v>
      </x:c>
      <x:c r="O33" s="40" t="n">
        <x:v>16</x:v>
      </x:c>
      <x:c r="P33" s="40" t="n">
        <x:f>SUM(F33:O33)</x:f>
        <x:v>108</x:v>
      </x:c>
      <x:c r="Q33" s="40" t="n">
        <x:f>SUM(F33:M33)</x:f>
        <x:v>78</x:v>
      </x:c>
      <x:c r="R33" s="40" t="n">
        <x:f>SUM(N33:O33)</x:f>
        <x:v>30</x:v>
      </x:c>
      <x:c r="S33" s="40" t="n">
        <x:f>MAX(F33:O33)</x:f>
        <x:v>16</x:v>
      </x:c>
      <x:c r="T33" s="40" t="str">
        <x:v>Pass 23 retained</x:v>
      </x:c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 t="str">
        <x:v>C-EGG</x:v>
      </x:c>
      <x:c r="D34" s="40" t="str">
        <x:v>Essential-goods group</x:v>
      </x:c>
      <x:c r="E34" s="40" t="str">
        <x:v>Community Stabilization</x:v>
      </x:c>
      <x:c r="F34" s="40" t="n">
        <x:v>10</x:v>
      </x:c>
      <x:c r="G34" s="40" t="n">
        <x:v>14</x:v>
      </x:c>
      <x:c r="H34" s="40" t="n">
        <x:v>16</x:v>
      </x:c>
      <x:c r="I34" s="40" t="n">
        <x:v>4</x:v>
      </x:c>
      <x:c r="J34" s="40" t="n">
        <x:v>8</x:v>
      </x:c>
      <x:c r="K34" s="40" t="n">
        <x:v>8</x:v>
      </x:c>
      <x:c r="L34" s="40" t="n">
        <x:v>10</x:v>
      </x:c>
      <x:c r="M34" s="40" t="n">
        <x:v>8</x:v>
      </x:c>
      <x:c r="N34" s="40" t="n">
        <x:v>14</x:v>
      </x:c>
      <x:c r="O34" s="40" t="n">
        <x:v>16</x:v>
      </x:c>
      <x:c r="P34" s="40" t="n">
        <x:f>SUM(F34:O34)</x:f>
        <x:v>108</x:v>
      </x:c>
      <x:c r="Q34" s="40" t="n">
        <x:f>SUM(F34:M34)</x:f>
        <x:v>78</x:v>
      </x:c>
      <x:c r="R34" s="40" t="n">
        <x:f>SUM(N34:O34)</x:f>
        <x:v>30</x:v>
      </x:c>
      <x:c r="S34" s="40" t="n">
        <x:f>MAX(F34:O34)</x:f>
        <x:v>16</x:v>
      </x:c>
      <x:c r="T34" s="40" t="str">
        <x:v>Pass 23 retained</x:v>
      </x:c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 t="str">
        <x:v>C-CAG</x:v>
      </x:c>
      <x:c r="D35" s="40" t="str">
        <x:v>Civil access group</x:v>
      </x:c>
      <x:c r="E35" s="40" t="str">
        <x:v>Community Stabilization</x:v>
      </x:c>
      <x:c r="F35" s="40" t="n">
        <x:v>8</x:v>
      </x:c>
      <x:c r="G35" s="40" t="n">
        <x:v>10</x:v>
      </x:c>
      <x:c r="H35" s="40" t="n">
        <x:v>12</x:v>
      </x:c>
      <x:c r="I35" s="40" t="n">
        <x:v>4</x:v>
      </x:c>
      <x:c r="J35" s="40" t="n">
        <x:v>6</x:v>
      </x:c>
      <x:c r="K35" s="40" t="n">
        <x:v>6</x:v>
      </x:c>
      <x:c r="L35" s="40" t="n">
        <x:v>8</x:v>
      </x:c>
      <x:c r="M35" s="40" t="n">
        <x:v>6</x:v>
      </x:c>
      <x:c r="N35" s="40" t="n">
        <x:v>10</x:v>
      </x:c>
      <x:c r="O35" s="40" t="n">
        <x:v>12</x:v>
      </x:c>
      <x:c r="P35" s="40" t="n">
        <x:f>SUM(F35:O35)</x:f>
        <x:v>82</x:v>
      </x:c>
      <x:c r="Q35" s="40" t="n">
        <x:f>SUM(F35:M35)</x:f>
        <x:v>60</x:v>
      </x:c>
      <x:c r="R35" s="40" t="n">
        <x:f>SUM(N35:O35)</x:f>
        <x:v>22</x:v>
      </x:c>
      <x:c r="S35" s="40" t="n">
        <x:f>MAX(F35:O35)</x:f>
        <x:v>12</x:v>
      </x:c>
      <x:c r="T35" s="40" t="str">
        <x:v>Pass 23 retained</x:v>
      </x:c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 t="str">
        <x:v>C-DTG</x:v>
      </x:c>
      <x:c r="D36" s="40" t="str">
        <x:v>Displacement transition group</x:v>
      </x:c>
      <x:c r="E36" s="40" t="str">
        <x:v>Community Stabilization</x:v>
      </x:c>
      <x:c r="F36" s="40" t="n">
        <x:v>6</x:v>
      </x:c>
      <x:c r="G36" s="40" t="n">
        <x:v>10</x:v>
      </x:c>
      <x:c r="H36" s="40" t="n">
        <x:v>12</x:v>
      </x:c>
      <x:c r="I36" s="40" t="n">
        <x:v>2</x:v>
      </x:c>
      <x:c r="J36" s="40" t="n">
        <x:v>6</x:v>
      </x:c>
      <x:c r="K36" s="40" t="n">
        <x:v>5</x:v>
      </x:c>
      <x:c r="L36" s="40" t="n">
        <x:v>8</x:v>
      </x:c>
      <x:c r="M36" s="40" t="n">
        <x:v>6</x:v>
      </x:c>
      <x:c r="N36" s="40" t="n">
        <x:v>10</x:v>
      </x:c>
      <x:c r="O36" s="40" t="n">
        <x:v>14</x:v>
      </x:c>
      <x:c r="P36" s="40" t="n">
        <x:f>SUM(F36:O36)</x:f>
        <x:v>79</x:v>
      </x:c>
      <x:c r="Q36" s="40" t="n">
        <x:f>SUM(F36:M36)</x:f>
        <x:v>55</x:v>
      </x:c>
      <x:c r="R36" s="40" t="n">
        <x:f>SUM(N36:O36)</x:f>
        <x:v>24</x:v>
      </x:c>
      <x:c r="S36" s="40" t="n">
        <x:f>MAX(F36:O36)</x:f>
        <x:v>14</x:v>
      </x:c>
      <x:c r="T36" s="40" t="str">
        <x:v>Pass 23 retained</x:v>
      </x:c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 t="str">
        <x:v>C-CIG</x:v>
      </x:c>
      <x:c r="D37" s="40" t="str">
        <x:v>Community institutions group</x:v>
      </x:c>
      <x:c r="E37" s="40" t="str">
        <x:v>Community Stabilization</x:v>
      </x:c>
      <x:c r="F37" s="40" t="n">
        <x:v>6</x:v>
      </x:c>
      <x:c r="G37" s="40" t="n">
        <x:v>8</x:v>
      </x:c>
      <x:c r="H37" s="40" t="n">
        <x:v>10</x:v>
      </x:c>
      <x:c r="I37" s="40" t="n">
        <x:v>3</x:v>
      </x:c>
      <x:c r="J37" s="40" t="n">
        <x:v>5</x:v>
      </x:c>
      <x:c r="K37" s="40" t="n">
        <x:v>5</x:v>
      </x:c>
      <x:c r="L37" s="40" t="n">
        <x:v>6</x:v>
      </x:c>
      <x:c r="M37" s="40" t="n">
        <x:v>5</x:v>
      </x:c>
      <x:c r="N37" s="40" t="n">
        <x:v>8</x:v>
      </x:c>
      <x:c r="O37" s="40" t="n">
        <x:v>10</x:v>
      </x:c>
      <x:c r="P37" s="40" t="n">
        <x:f>SUM(F37:O37)</x:f>
        <x:v>66</x:v>
      </x:c>
      <x:c r="Q37" s="40" t="n">
        <x:f>SUM(F37:M37)</x:f>
        <x:v>48</x:v>
      </x:c>
      <x:c r="R37" s="40" t="n">
        <x:f>SUM(N37:O37)</x:f>
        <x:v>18</x:v>
      </x:c>
      <x:c r="S37" s="40" t="n">
        <x:f>MAX(F37:O37)</x:f>
        <x:v>10</x:v>
      </x:c>
      <x:c r="T37" s="40" t="str">
        <x:v>Pass 23 retained</x:v>
      </x:c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 t="str">
        <x:v>J-RIG</x:v>
      </x:c>
      <x:c r="D38" s="40" t="str">
        <x:v>Resilience information group</x:v>
      </x:c>
      <x:c r="E38" s="40" t="str">
        <x:v>Joint</x:v>
      </x:c>
      <x:c r="F38" s="40" t="n">
        <x:v>6</x:v>
      </x:c>
      <x:c r="G38" s="40" t="n">
        <x:v>6</x:v>
      </x:c>
      <x:c r="H38" s="40" t="n">
        <x:v>8</x:v>
      </x:c>
      <x:c r="I38" s="40" t="n">
        <x:v>4</x:v>
      </x:c>
      <x:c r="J38" s="40" t="n">
        <x:v>4</x:v>
      </x:c>
      <x:c r="K38" s="40" t="n">
        <x:v>5</x:v>
      </x:c>
      <x:c r="L38" s="40" t="n">
        <x:v>5</x:v>
      </x:c>
      <x:c r="M38" s="40" t="n">
        <x:v>5</x:v>
      </x:c>
      <x:c r="N38" s="40" t="n">
        <x:v>8</x:v>
      </x:c>
      <x:c r="O38" s="40" t="n">
        <x:v>8</x:v>
      </x:c>
      <x:c r="P38" s="40" t="n">
        <x:f>SUM(F38:O38)</x:f>
        <x:v>59</x:v>
      </x:c>
      <x:c r="Q38" s="40" t="n">
        <x:f>SUM(F38:M38)</x:f>
        <x:v>43</x:v>
      </x:c>
      <x:c r="R38" s="40" t="n">
        <x:f>SUM(N38:O38)</x:f>
        <x:v>16</x:v>
      </x:c>
      <x:c r="S38" s="40" t="n">
        <x:f>MAX(F38:O38)</x:f>
        <x:v>8</x:v>
      </x:c>
      <x:c r="T38" s="40" t="str">
        <x:v>Pass 58 canonical addition</x:v>
      </x:c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 t="str">
        <x:v>M-MPG</x:v>
      </x:c>
      <x:c r="D39" s="40" t="str">
        <x:v>Maritime production group</x:v>
      </x:c>
      <x:c r="E39" s="40" t="str">
        <x:v>Maritime Response</x:v>
      </x:c>
      <x:c r="F39" s="40" t="n">
        <x:v>2</x:v>
      </x:c>
      <x:c r="G39" s="40" t="n">
        <x:v>4</x:v>
      </x:c>
      <x:c r="H39" s="40" t="n">
        <x:v>4</x:v>
      </x:c>
      <x:c r="I39" s="40" t="n">
        <x:v>1</x:v>
      </x:c>
      <x:c r="J39" s="40" t="n">
        <x:v>2</x:v>
      </x:c>
      <x:c r="K39" s="40" t="n">
        <x:v>2</x:v>
      </x:c>
      <x:c r="L39" s="40" t="n">
        <x:v>1</x:v>
      </x:c>
      <x:c r="M39" s="40" t="n">
        <x:v>4</x:v>
      </x:c>
      <x:c r="N39" s="40" t="n">
        <x:v>4</x:v>
      </x:c>
      <x:c r="O39" s="40" t="n">
        <x:v>4</x:v>
      </x:c>
      <x:c r="P39" s="40" t="n">
        <x:f>SUM(F39:O39)</x:f>
        <x:v>28</x:v>
      </x:c>
      <x:c r="Q39" s="40" t="n">
        <x:f>SUM(F39:M39)</x:f>
        <x:v>20</x:v>
      </x:c>
      <x:c r="R39" s="40" t="n">
        <x:f>SUM(N39:O39)</x:f>
        <x:v>8</x:v>
      </x:c>
      <x:c r="S39" s="40" t="n">
        <x:f>MAX(F39:O39)</x:f>
        <x:v>4</x:v>
      </x:c>
      <x:c r="T39" s="40" t="str">
        <x:v>Pass 58 canonical addition</x:v>
      </x:c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 t="str">
        <x:v>I-WRG</x:v>
      </x:c>
      <x:c r="D40" s="40" t="str">
        <x:v>Water restoration group</x:v>
      </x:c>
      <x:c r="E40" s="40" t="str">
        <x:v>Infrastructure Restoration</x:v>
      </x:c>
      <x:c r="F40" s="40" t="n">
        <x:v>6</x:v>
      </x:c>
      <x:c r="G40" s="40" t="n">
        <x:v>6</x:v>
      </x:c>
      <x:c r="H40" s="40" t="n">
        <x:v>8</x:v>
      </x:c>
      <x:c r="I40" s="40" t="n">
        <x:v>2</x:v>
      </x:c>
      <x:c r="J40" s="40" t="n">
        <x:v>2</x:v>
      </x:c>
      <x:c r="K40" s="40" t="n">
        <x:v>4</x:v>
      </x:c>
      <x:c r="L40" s="40" t="n">
        <x:v>3</x:v>
      </x:c>
      <x:c r="M40" s="40" t="n">
        <x:v>8</x:v>
      </x:c>
      <x:c r="N40" s="40" t="n">
        <x:v>8</x:v>
      </x:c>
      <x:c r="O40" s="40" t="n">
        <x:v>7</x:v>
      </x:c>
      <x:c r="P40" s="40" t="n">
        <x:f>SUM(F40:O40)</x:f>
        <x:v>54</x:v>
      </x:c>
      <x:c r="Q40" s="40" t="n">
        <x:f>SUM(F40:M40)</x:f>
        <x:v>39</x:v>
      </x:c>
      <x:c r="R40" s="40" t="n">
        <x:f>SUM(N40:O40)</x:f>
        <x:v>15</x:v>
      </x:c>
      <x:c r="S40" s="40" t="n">
        <x:f>MAX(F40:O40)</x:f>
        <x:v>8</x:v>
      </x:c>
      <x:c r="T40" s="40" t="str">
        <x:v>Pass 58 canonical addition</x:v>
      </x:c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 t="str">
        <x:v>I-PRG</x:v>
      </x:c>
      <x:c r="D41" s="40" t="str">
        <x:v>Power restoration group</x:v>
      </x:c>
      <x:c r="E41" s="40" t="str">
        <x:v>Infrastructure Restoration</x:v>
      </x:c>
      <x:c r="F41" s="40" t="n">
        <x:v>8</x:v>
      </x:c>
      <x:c r="G41" s="40" t="n">
        <x:v>6</x:v>
      </x:c>
      <x:c r="H41" s="40" t="n">
        <x:v>10</x:v>
      </x:c>
      <x:c r="I41" s="40" t="n">
        <x:v>3</x:v>
      </x:c>
      <x:c r="J41" s="40" t="n">
        <x:v>6</x:v>
      </x:c>
      <x:c r="K41" s="40" t="n">
        <x:v>5</x:v>
      </x:c>
      <x:c r="L41" s="40" t="n">
        <x:v>4</x:v>
      </x:c>
      <x:c r="M41" s="40" t="n">
        <x:v>6</x:v>
      </x:c>
      <x:c r="N41" s="40" t="n">
        <x:v>8</x:v>
      </x:c>
      <x:c r="O41" s="40" t="n">
        <x:v>7</x:v>
      </x:c>
      <x:c r="P41" s="40" t="n">
        <x:f>SUM(F41:O41)</x:f>
        <x:v>63</x:v>
      </x:c>
      <x:c r="Q41" s="40" t="n">
        <x:f>SUM(F41:M41)</x:f>
        <x:v>48</x:v>
      </x:c>
      <x:c r="R41" s="40" t="n">
        <x:f>SUM(N41:O41)</x:f>
        <x:v>15</x:v>
      </x:c>
      <x:c r="S41" s="40" t="n">
        <x:f>MAX(F41:O41)</x:f>
        <x:v>10</x:v>
      </x:c>
      <x:c r="T41" s="40" t="str">
        <x:v>Pass 58 canonical addition</x:v>
      </x:c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 t="str">
        <x:v>I-GBG</x:v>
      </x:c>
      <x:c r="D42" s="40" t="str">
        <x:v>Grid bridge group</x:v>
      </x:c>
      <x:c r="E42" s="40" t="str">
        <x:v>Infrastructure Restoration</x:v>
      </x:c>
      <x:c r="F42" s="40" t="n">
        <x:v>6</x:v>
      </x:c>
      <x:c r="G42" s="40" t="n">
        <x:v>5</x:v>
      </x:c>
      <x:c r="H42" s="40" t="n">
        <x:v>8</x:v>
      </x:c>
      <x:c r="I42" s="40" t="n">
        <x:v>2</x:v>
      </x:c>
      <x:c r="J42" s="40" t="n">
        <x:v>5</x:v>
      </x:c>
      <x:c r="K42" s="40" t="n">
        <x:v>4</x:v>
      </x:c>
      <x:c r="L42" s="40" t="n">
        <x:v>3</x:v>
      </x:c>
      <x:c r="M42" s="40" t="n">
        <x:v>4</x:v>
      </x:c>
      <x:c r="N42" s="40" t="n">
        <x:v>6</x:v>
      </x:c>
      <x:c r="O42" s="40" t="n">
        <x:v>5</x:v>
      </x:c>
      <x:c r="P42" s="40" t="n">
        <x:f>SUM(F42:O42)</x:f>
        <x:v>48</x:v>
      </x:c>
      <x:c r="Q42" s="40" t="n">
        <x:f>SUM(F42:M42)</x:f>
        <x:v>37</x:v>
      </x:c>
      <x:c r="R42" s="40" t="n">
        <x:f>SUM(N42:O42)</x:f>
        <x:v>11</x:v>
      </x:c>
      <x:c r="S42" s="40" t="n">
        <x:f>MAX(F42:O42)</x:f>
        <x:v>8</x:v>
      </x:c>
      <x:c r="T42" s="40" t="str">
        <x:v>Pass 58 canonical addition</x:v>
      </x:c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 t="str">
        <x:v>H-THC</x:v>
      </x:c>
      <x:c r="D43" s="40" t="str">
        <x:v>Theater hospital command</x:v>
      </x:c>
      <x:c r="E43" s="40" t="str">
        <x:v>Health Protection</x:v>
      </x:c>
      <x:c r="F43" s="40" t="n">
        <x:v>2</x:v>
      </x:c>
      <x:c r="G43" s="40" t="n">
        <x:v>3</x:v>
      </x:c>
      <x:c r="H43" s="40" t="n">
        <x:v>4</x:v>
      </x:c>
      <x:c r="I43" s="40" t="n">
        <x:v>2</x:v>
      </x:c>
      <x:c r="J43" s="40" t="n">
        <x:v>2</x:v>
      </x:c>
      <x:c r="K43" s="40" t="n">
        <x:v>2</x:v>
      </x:c>
      <x:c r="L43" s="40" t="n">
        <x:v>3</x:v>
      </x:c>
      <x:c r="M43" s="40" t="n">
        <x:v>2</x:v>
      </x:c>
      <x:c r="N43" s="40" t="n">
        <x:v>4</x:v>
      </x:c>
      <x:c r="O43" s="40" t="n">
        <x:v>4</x:v>
      </x:c>
      <x:c r="P43" s="40" t="n">
        <x:f>SUM(F43:O43)</x:f>
        <x:v>28</x:v>
      </x:c>
      <x:c r="Q43" s="40" t="n">
        <x:f>SUM(F43:M43)</x:f>
        <x:v>20</x:v>
      </x:c>
      <x:c r="R43" s="40" t="n">
        <x:f>SUM(N43:O43)</x:f>
        <x:v>8</x:v>
      </x:c>
      <x:c r="S43" s="40" t="n">
        <x:f>MAX(F43:O43)</x:f>
        <x:v>4</x:v>
      </x:c>
      <x:c r="T43" s="40" t="str">
        <x:v>Pass 58 canonical addition</x:v>
      </x:c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 t="str">
        <x:v>H-PMG</x:v>
      </x:c>
      <x:c r="D44" s="40" t="str">
        <x:v>Patient movement group</x:v>
      </x:c>
      <x:c r="E44" s="40" t="str">
        <x:v>Health Protection</x:v>
      </x:c>
      <x:c r="F44" s="40" t="n">
        <x:v>4</x:v>
      </x:c>
      <x:c r="G44" s="40" t="n">
        <x:v>5</x:v>
      </x:c>
      <x:c r="H44" s="40" t="n">
        <x:v>8</x:v>
      </x:c>
      <x:c r="I44" s="40" t="n">
        <x:v>3</x:v>
      </x:c>
      <x:c r="J44" s="40" t="n">
        <x:v>4</x:v>
      </x:c>
      <x:c r="K44" s="40" t="n">
        <x:v>3</x:v>
      </x:c>
      <x:c r="L44" s="40" t="n">
        <x:v>5</x:v>
      </x:c>
      <x:c r="M44" s="40" t="n">
        <x:v>3</x:v>
      </x:c>
      <x:c r="N44" s="40" t="n">
        <x:v>8</x:v>
      </x:c>
      <x:c r="O44" s="40" t="n">
        <x:v>6</x:v>
      </x:c>
      <x:c r="P44" s="40" t="n">
        <x:f>SUM(F44:O44)</x:f>
        <x:v>49</x:v>
      </x:c>
      <x:c r="Q44" s="40" t="n">
        <x:f>SUM(F44:M44)</x:f>
        <x:v>35</x:v>
      </x:c>
      <x:c r="R44" s="40" t="n">
        <x:f>SUM(N44:O44)</x:f>
        <x:v>14</x:v>
      </x:c>
      <x:c r="S44" s="40" t="n">
        <x:f>MAX(F44:O44)</x:f>
        <x:v>8</x:v>
      </x:c>
      <x:c r="T44" s="40" t="str">
        <x:v>Pass 58 canonical addition</x:v>
      </x:c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 t="str">
        <x:v>C-ERG</x:v>
      </x:c>
      <x:c r="D45" s="40" t="str">
        <x:v>Economic restart group</x:v>
      </x:c>
      <x:c r="E45" s="40" t="str">
        <x:v>Community Stabilization</x:v>
      </x:c>
      <x:c r="F45" s="40" t="n">
        <x:v>4</x:v>
      </x:c>
      <x:c r="G45" s="40" t="n">
        <x:v>6</x:v>
      </x:c>
      <x:c r="H45" s="40" t="n">
        <x:v>8</x:v>
      </x:c>
      <x:c r="I45" s="40" t="n">
        <x:v>3</x:v>
      </x:c>
      <x:c r="J45" s="40" t="n">
        <x:v>4</x:v>
      </x:c>
      <x:c r="K45" s="40" t="n">
        <x:v>4</x:v>
      </x:c>
      <x:c r="L45" s="40" t="n">
        <x:v>5</x:v>
      </x:c>
      <x:c r="M45" s="40" t="n">
        <x:v>5</x:v>
      </x:c>
      <x:c r="N45" s="40" t="n">
        <x:v>8</x:v>
      </x:c>
      <x:c r="O45" s="40" t="n">
        <x:v>8</x:v>
      </x:c>
      <x:c r="P45" s="40" t="n">
        <x:f>SUM(F45:O45)</x:f>
        <x:v>55</x:v>
      </x:c>
      <x:c r="Q45" s="40" t="n">
        <x:f>SUM(F45:M45)</x:f>
        <x:v>39</x:v>
      </x:c>
      <x:c r="R45" s="40" t="n">
        <x:f>SUM(N45:O45)</x:f>
        <x:v>16</x:v>
      </x:c>
      <x:c r="S45" s="40" t="n">
        <x:f>MAX(F45:O45)</x:f>
        <x:v>8</x:v>
      </x:c>
      <x:c r="T45" s="40" t="str">
        <x:v>Pass 58 canonical addition</x:v>
      </x:c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 t="str">
        <x:v>CM-HCG</x:v>
      </x:c>
      <x:c r="D46" s="40" t="str">
        <x:v>Household collection group</x:v>
      </x:c>
      <x:c r="E46" s="40" t="str">
        <x:v>Civil Mobility and Continuity</x:v>
      </x:c>
      <x:c r="F46" s="40" t="n">
        <x:v>6</x:v>
      </x:c>
      <x:c r="G46" s="40" t="n">
        <x:v>8</x:v>
      </x:c>
      <x:c r="H46" s="40" t="n">
        <x:v>10</x:v>
      </x:c>
      <x:c r="I46" s="40" t="n">
        <x:v>3</x:v>
      </x:c>
      <x:c r="J46" s="40" t="n">
        <x:v>6</x:v>
      </x:c>
      <x:c r="K46" s="40" t="n">
        <x:v>5</x:v>
      </x:c>
      <x:c r="L46" s="40" t="n">
        <x:v>6</x:v>
      </x:c>
      <x:c r="M46" s="40" t="n">
        <x:v>5</x:v>
      </x:c>
      <x:c r="N46" s="40" t="n">
        <x:v>10</x:v>
      </x:c>
      <x:c r="O46" s="40" t="n">
        <x:v>10</x:v>
      </x:c>
      <x:c r="P46" s="40" t="n">
        <x:f>SUM(F46:O46)</x:f>
        <x:v>69</x:v>
      </x:c>
      <x:c r="Q46" s="40" t="n">
        <x:f>SUM(F46:M46)</x:f>
        <x:v>49</x:v>
      </x:c>
      <x:c r="R46" s="40" t="n">
        <x:f>SUM(N46:O46)</x:f>
        <x:v>20</x:v>
      </x:c>
      <x:c r="S46" s="40" t="n">
        <x:f>MAX(F46:O46)</x:f>
        <x:v>10</x:v>
      </x:c>
      <x:c r="T46" s="40" t="str">
        <x:v>Pass 58 canonical addition</x:v>
      </x:c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 t="str">
        <x:v>CM-CTN</x:v>
      </x:c>
      <x:c r="D47" s="40" t="str">
        <x:v>Continuity transfer-node group</x:v>
      </x:c>
      <x:c r="E47" s="40" t="str">
        <x:v>Civil Mobility and Continuity</x:v>
      </x:c>
      <x:c r="F47" s="40" t="n">
        <x:v>4</x:v>
      </x:c>
      <x:c r="G47" s="40" t="n">
        <x:v>6</x:v>
      </x:c>
      <x:c r="H47" s="40" t="n">
        <x:v>8</x:v>
      </x:c>
      <x:c r="I47" s="40" t="n">
        <x:v>3</x:v>
      </x:c>
      <x:c r="J47" s="40" t="n">
        <x:v>4</x:v>
      </x:c>
      <x:c r="K47" s="40" t="n">
        <x:v>4</x:v>
      </x:c>
      <x:c r="L47" s="40" t="n">
        <x:v>5</x:v>
      </x:c>
      <x:c r="M47" s="40" t="n">
        <x:v>4</x:v>
      </x:c>
      <x:c r="N47" s="40" t="n">
        <x:v>8</x:v>
      </x:c>
      <x:c r="O47" s="40" t="n">
        <x:v>8</x:v>
      </x:c>
      <x:c r="P47" s="40" t="n">
        <x:f>SUM(F47:O47)</x:f>
        <x:v>54</x:v>
      </x:c>
      <x:c r="Q47" s="40" t="n">
        <x:f>SUM(F47:M47)</x:f>
        <x:v>38</x:v>
      </x:c>
      <x:c r="R47" s="40" t="n">
        <x:f>SUM(N47:O47)</x:f>
        <x:v>16</x:v>
      </x:c>
      <x:c r="S47" s="40" t="n">
        <x:f>MAX(F47:O47)</x:f>
        <x:v>8</x:v>
      </x:c>
      <x:c r="T47" s="40" t="str">
        <x:v>Pass 58 canonical addition</x:v>
      </x:c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 t="str">
        <x:v>CM-RMG</x:v>
      </x:c>
      <x:c r="D48" s="40" t="str">
        <x:v>Civil road-mobility group</x:v>
      </x:c>
      <x:c r="E48" s="40" t="str">
        <x:v>Civil Mobility and Continuity</x:v>
      </x:c>
      <x:c r="F48" s="40" t="n">
        <x:v>8</x:v>
      </x:c>
      <x:c r="G48" s="40" t="n">
        <x:v>10</x:v>
      </x:c>
      <x:c r="H48" s="40" t="n">
        <x:v>12</x:v>
      </x:c>
      <x:c r="I48" s="40" t="n">
        <x:v>4</x:v>
      </x:c>
      <x:c r="J48" s="40" t="n">
        <x:v>8</x:v>
      </x:c>
      <x:c r="K48" s="40" t="n">
        <x:v>6</x:v>
      </x:c>
      <x:c r="L48" s="40" t="n">
        <x:v>8</x:v>
      </x:c>
      <x:c r="M48" s="40" t="n">
        <x:v>6</x:v>
      </x:c>
      <x:c r="N48" s="40" t="n">
        <x:v>12</x:v>
      </x:c>
      <x:c r="O48" s="40" t="n">
        <x:v>12</x:v>
      </x:c>
      <x:c r="P48" s="40" t="n">
        <x:f>SUM(F48:O48)</x:f>
        <x:v>86</x:v>
      </x:c>
      <x:c r="Q48" s="40" t="n">
        <x:f>SUM(F48:M48)</x:f>
        <x:v>62</x:v>
      </x:c>
      <x:c r="R48" s="40" t="n">
        <x:f>SUM(N48:O48)</x:f>
        <x:v>24</x:v>
      </x:c>
      <x:c r="S48" s="40" t="n">
        <x:f>MAX(F48:O48)</x:f>
        <x:v>12</x:v>
      </x:c>
      <x:c r="T48" s="40" t="str">
        <x:v>Pass 58 canonical addition</x:v>
      </x:c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 t="str">
        <x:v>CM-RLG</x:v>
      </x:c>
      <x:c r="D49" s="40" t="str">
        <x:v>Civil rail-mobility group</x:v>
      </x:c>
      <x:c r="E49" s="40" t="str">
        <x:v>Civil Mobility and Continuity</x:v>
      </x:c>
      <x:c r="F49" s="40" t="n">
        <x:v>3</x:v>
      </x:c>
      <x:c r="G49" s="40" t="n">
        <x:v>4</x:v>
      </x:c>
      <x:c r="H49" s="40" t="n">
        <x:v>5</x:v>
      </x:c>
      <x:c r="I49" s="40" t="n">
        <x:v>1</x:v>
      </x:c>
      <x:c r="J49" s="40" t="n">
        <x:v>2</x:v>
      </x:c>
      <x:c r="K49" s="40" t="n">
        <x:v>2</x:v>
      </x:c>
      <x:c r="L49" s="40" t="n">
        <x:v>3</x:v>
      </x:c>
      <x:c r="M49" s="40" t="n">
        <x:v>2</x:v>
      </x:c>
      <x:c r="N49" s="40" t="n">
        <x:v>5</x:v>
      </x:c>
      <x:c r="O49" s="40" t="n">
        <x:v>5</x:v>
      </x:c>
      <x:c r="P49" s="40" t="n">
        <x:f>SUM(F49:O49)</x:f>
        <x:v>32</x:v>
      </x:c>
      <x:c r="Q49" s="40" t="n">
        <x:f>SUM(F49:M49)</x:f>
        <x:v>22</x:v>
      </x:c>
      <x:c r="R49" s="40" t="n">
        <x:f>SUM(N49:O49)</x:f>
        <x:v>10</x:v>
      </x:c>
      <x:c r="S49" s="40" t="n">
        <x:f>MAX(F49:O49)</x:f>
        <x:v>5</x:v>
      </x:c>
      <x:c r="T49" s="40" t="str">
        <x:v>Pass 58 canonical addition</x:v>
      </x:c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 t="str">
        <x:v>CM-AMG</x:v>
      </x:c>
      <x:c r="D50" s="40" t="str">
        <x:v>Civil air-mobility group</x:v>
      </x:c>
      <x:c r="E50" s="40" t="str">
        <x:v>Civil Mobility and Continuity</x:v>
      </x:c>
      <x:c r="F50" s="40" t="n">
        <x:v>2</x:v>
      </x:c>
      <x:c r="G50" s="40" t="n">
        <x:v>3</x:v>
      </x:c>
      <x:c r="H50" s="40" t="n">
        <x:v>4</x:v>
      </x:c>
      <x:c r="I50" s="40" t="n">
        <x:v>2</x:v>
      </x:c>
      <x:c r="J50" s="40" t="n">
        <x:v>2</x:v>
      </x:c>
      <x:c r="K50" s="40" t="n">
        <x:v>2</x:v>
      </x:c>
      <x:c r="L50" s="40" t="n">
        <x:v>3</x:v>
      </x:c>
      <x:c r="M50" s="40" t="n">
        <x:v>3</x:v>
      </x:c>
      <x:c r="N50" s="40" t="n">
        <x:v>5</x:v>
      </x:c>
      <x:c r="O50" s="40" t="n">
        <x:v>5</x:v>
      </x:c>
      <x:c r="P50" s="40" t="n">
        <x:f>SUM(F50:O50)</x:f>
        <x:v>31</x:v>
      </x:c>
      <x:c r="Q50" s="40" t="n">
        <x:f>SUM(F50:M50)</x:f>
        <x:v>21</x:v>
      </x:c>
      <x:c r="R50" s="40" t="n">
        <x:f>SUM(N50:O50)</x:f>
        <x:v>10</x:v>
      </x:c>
      <x:c r="S50" s="40" t="n">
        <x:f>MAX(F50:O50)</x:f>
        <x:v>5</x:v>
      </x:c>
      <x:c r="T50" s="40" t="str">
        <x:v>Pass 58 canonical addition</x:v>
      </x:c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 t="str">
        <x:v>CM-WMG</x:v>
      </x:c>
      <x:c r="D51" s="40" t="str">
        <x:v>Civil water-mobility group</x:v>
      </x:c>
      <x:c r="E51" s="40" t="str">
        <x:v>Civil Mobility and Continuity</x:v>
      </x:c>
      <x:c r="F51" s="40" t="n">
        <x:v>2</x:v>
      </x:c>
      <x:c r="G51" s="40" t="n">
        <x:v>4</x:v>
      </x:c>
      <x:c r="H51" s="40" t="n">
        <x:v>5</x:v>
      </x:c>
      <x:c r="I51" s="40" t="n">
        <x:v>1</x:v>
      </x:c>
      <x:c r="J51" s="40" t="n">
        <x:v>1</x:v>
      </x:c>
      <x:c r="K51" s="40" t="n">
        <x:v>3</x:v>
      </x:c>
      <x:c r="L51" s="40" t="n">
        <x:v>2</x:v>
      </x:c>
      <x:c r="M51" s="40" t="n">
        <x:v>3</x:v>
      </x:c>
      <x:c r="N51" s="40" t="n">
        <x:v>5</x:v>
      </x:c>
      <x:c r="O51" s="40" t="n">
        <x:v>6</x:v>
      </x:c>
      <x:c r="P51" s="40" t="n">
        <x:f>SUM(F51:O51)</x:f>
        <x:v>32</x:v>
      </x:c>
      <x:c r="Q51" s="40" t="n">
        <x:f>SUM(F51:M51)</x:f>
        <x:v>21</x:v>
      </x:c>
      <x:c r="R51" s="40" t="n">
        <x:f>SUM(N51:O51)</x:f>
        <x:v>11</x:v>
      </x:c>
      <x:c r="S51" s="40" t="n">
        <x:f>MAX(F51:O51)</x:f>
        <x:v>6</x:v>
      </x:c>
      <x:c r="T51" s="40" t="str">
        <x:v>Pass 58 canonical addition</x:v>
      </x:c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 t="str">
        <x:v>CM-RDC</x:v>
      </x:c>
      <x:c r="D52" s="40" t="str">
        <x:v>Return and durable-continuity group</x:v>
      </x:c>
      <x:c r="E52" s="40" t="str">
        <x:v>Civil Mobility and Continuity</x:v>
      </x:c>
      <x:c r="F52" s="40" t="n">
        <x:v>4</x:v>
      </x:c>
      <x:c r="G52" s="40" t="n">
        <x:v>6</x:v>
      </x:c>
      <x:c r="H52" s="40" t="n">
        <x:v>8</x:v>
      </x:c>
      <x:c r="I52" s="40" t="n">
        <x:v>3</x:v>
      </x:c>
      <x:c r="J52" s="40" t="n">
        <x:v>5</x:v>
      </x:c>
      <x:c r="K52" s="40" t="n">
        <x:v>4</x:v>
      </x:c>
      <x:c r="L52" s="40" t="n">
        <x:v>5</x:v>
      </x:c>
      <x:c r="M52" s="40" t="n">
        <x:v>5</x:v>
      </x:c>
      <x:c r="N52" s="40" t="n">
        <x:v>8</x:v>
      </x:c>
      <x:c r="O52" s="40" t="n">
        <x:v>10</x:v>
      </x:c>
      <x:c r="P52" s="40" t="n">
        <x:f>SUM(F52:O52)</x:f>
        <x:v>58</x:v>
      </x:c>
      <x:c r="Q52" s="40" t="n">
        <x:f>SUM(F52:M52)</x:f>
        <x:v>40</x:v>
      </x:c>
      <x:c r="R52" s="40" t="n">
        <x:f>SUM(N52:O52)</x:f>
        <x:v>18</x:v>
      </x:c>
      <x:c r="S52" s="40" t="n">
        <x:f>MAX(F52:O52)</x:f>
        <x:v>10</x:v>
      </x:c>
      <x:c r="T52" s="40" t="str">
        <x:v>Pass 58 canonical addition</x:v>
      </x:c>
      <x:c r="U52" s="40"/>
      <x:c r="V52" s="40"/>
      <x:c r="W52" s="40"/>
      <x:c r="X52" s="40"/>
      <x:c r="Y52" s="40"/>
      <x:c r="Z52" s="40"/>
    </x:row>
    <x:row r="53">
      <x:c r="A53" s="1"/>
      <x:c r="B53" s="1"/>
      <x:c r="C53" s="44" t="str">
        <x:v>Total</x:v>
      </x:c>
      <x:c r="D53" s="44"/>
      <x:c r="E53" s="44"/>
      <x:c r="F53" s="44" t="n">
        <x:f>SUM(F5:F52)</x:f>
        <x:v>204</x:v>
      </x:c>
      <x:c r="G53" s="44" t="n">
        <x:f>SUM(G5:G52)</x:f>
        <x:v>279</x:v>
      </x:c>
      <x:c r="H53" s="44" t="n">
        <x:f>SUM(H5:H52)</x:f>
        <x:v>362</x:v>
      </x:c>
      <x:c r="I53" s="44" t="n">
        <x:f>SUM(I5:I52)</x:f>
        <x:v>134</x:v>
      </x:c>
      <x:c r="J53" s="44" t="n">
        <x:f>SUM(J5:J52)</x:f>
        <x:v>164</x:v>
      </x:c>
      <x:c r="K53" s="44" t="n">
        <x:f>SUM(K5:K52)</x:f>
        <x:v>192</x:v>
      </x:c>
      <x:c r="L53" s="44" t="n">
        <x:f>SUM(L5:L52)</x:f>
        <x:v>217</x:v>
      </x:c>
      <x:c r="M53" s="44" t="n">
        <x:f>SUM(M5:M52)</x:f>
        <x:v>193</x:v>
      </x:c>
      <x:c r="N53" s="44" t="n">
        <x:f>SUM(N5:N52)</x:f>
        <x:v>334</x:v>
      </x:c>
      <x:c r="O53" s="44" t="n">
        <x:f>SUM(O5:O52)</x:f>
        <x:v>341</x:v>
      </x:c>
      <x:c r="P53" s="44" t="n">
        <x:f>SUM(P5:P52)</x:f>
        <x:v>2420</x:v>
      </x:c>
      <x:c r="Q53" s="44" t="n">
        <x:f>SUM(Q5:Q52)</x:f>
        <x:v>1745</x:v>
      </x:c>
      <x:c r="R53" s="44" t="n">
        <x:f>SUM(R5:R52)</x:f>
        <x:v>675</x:v>
      </x:c>
      <x:c r="S53" s="44" t="n">
        <x:f>SUM(S5:S52)</x:f>
        <x:v>406</x:v>
      </x:c>
      <x:c r="T53" s="44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42" hidden="0" customWidth="1"/>
    <x:col min="5" max="5" width="28" hidden="0" customWidth="1"/>
    <x:col min="6" max="6" width="17" hidden="0" customWidth="1"/>
    <x:col min="7" max="7" width="18" hidden="0" customWidth="1"/>
    <x:col min="8" max="8" width="13" hidden="0" customWidth="1"/>
    <x:col min="9" max="9" width="18" hidden="0" customWidth="1"/>
    <x:col min="10" max="10" width="16" hidden="0" customWidth="1"/>
    <x:col min="11" max="11" width="15" hidden="0" customWidth="1"/>
    <x:col min="12" max="12" width="14" hidden="0" customWidth="1"/>
    <x:col min="13" max="13" width="17" hidden="0" customWidth="1"/>
    <x:col min="14" max="14" width="18" hidden="0" customWidth="1"/>
    <x:col min="15" max="15" width="22" hidden="0" customWidth="1"/>
    <x:col min="16" max="16" width="21" hidden="0" customWidth="1"/>
    <x:col min="17" max="17" width="16" hidden="0" customWidth="1"/>
    <x:col min="18" max="18" width="13" hidden="0" customWidth="1"/>
    <x:col min="19" max="19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Formation inventory under reserve and geographic denial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ID</x:v>
      </x:c>
      <x:c r="D4" s="24" t="str">
        <x:v>Formation family</x:v>
      </x:c>
      <x:c r="E4" s="24" t="str">
        <x:v>Service</x:v>
      </x:c>
      <x:c r="F4" s="24" t="str">
        <x:v>Concurrent demand</x:v>
      </x:c>
      <x:c r="G4" s="24" t="str">
        <x:v>Protected demand</x:v>
      </x:c>
      <x:c r="H4" s="24" t="str">
        <x:v>Readiness</x:v>
      </x:c>
      <x:c r="I4" s="24" t="str">
        <x:v>Concentration cap</x:v>
      </x:c>
      <x:c r="J4" s="24" t="str">
        <x:v>No-loss inventory</x:v>
      </x:c>
      <x:c r="K4" s="24" t="str">
        <x:v>N−1 inventory</x:v>
      </x:c>
      <x:c r="L4" s="24" t="str">
        <x:v>Invited floor</x:v>
      </x:c>
      <x:c r="M4" s="24" t="str">
        <x:v>Selected inventory</x:v>
      </x:c>
      <x:c r="N4" s="24" t="str">
        <x:v>Ready after loss</x:v>
      </x:c>
      <x:c r="O4" s="24" t="str">
        <x:v>Residual after commitments</x:v>
      </x:c>
      <x:c r="P4" s="24" t="str">
        <x:v>Margin above protected</x:v>
      </x:c>
      <x:c r="Q4" s="24" t="str">
        <x:v>Pass 58 inventory</x:v>
      </x:c>
      <x:c r="R4" s="24" t="str">
        <x:v>Increment</x:v>
      </x:c>
      <x:c r="S4" s="13" t="str">
        <x:v>Status</x:v>
      </x:c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f>'Family Demand'!C5</x:f>
        <x:v>J-CIE</x:v>
      </x:c>
      <x:c r="D5" s="40" t="str">
        <x:f>'Family Demand'!D5</x:f>
        <x:v>Civil integration and effects group</x:v>
      </x:c>
      <x:c r="E5" s="40" t="str">
        <x:f>'Family Demand'!E5</x:f>
        <x:v>Joint</x:v>
      </x:c>
      <x:c r="F5" s="40" t="n">
        <x:f>'Family Demand'!P5</x:f>
        <x:v>34</x:v>
      </x:c>
      <x:c r="G5" s="50" t="n">
        <x:f>F5*(1+Controls!$D$7)</x:f>
        <x:v>40.8</x:v>
      </x:c>
      <x:c r="H5" s="47" t="n">
        <x:f>'Family Inputs'!M5</x:f>
        <x:v>0.78</x:v>
      </x:c>
      <x:c r="I5" s="47" t="n">
        <x:f>Controls!$D$10</x:f>
        <x:v>0.2</x:v>
      </x:c>
      <x:c r="J5" s="40" t="n">
        <x:f>CEILING(G5/H5,1)</x:f>
        <x:v>53</x:v>
      </x:c>
      <x:c r="K5" s="40" t="n">
        <x:f>CEILING(G5/(H5*(1-I5)),1)</x:f>
        <x:v>66</x:v>
      </x:c>
      <x:c r="L5" s="40" t="n">
        <x:f>CEILING('Family Demand'!R5*Controls!$D$11/(1-I5),1)</x:f>
        <x:v>15</x:v>
      </x:c>
      <x:c r="M5" s="40" t="n">
        <x:f>MAX(J5:L5)</x:f>
        <x:v>66</x:v>
      </x:c>
      <x:c r="N5" s="50" t="n">
        <x:f>M5*H5*(1-I5)</x:f>
        <x:v>41.184000000000005</x:v>
      </x:c>
      <x:c r="O5" s="50" t="n">
        <x:f>N5-F5</x:f>
        <x:v>7.184000000000005</x:v>
      </x:c>
      <x:c r="P5" s="50" t="n">
        <x:f>N5-G5</x:f>
        <x:v>0.38400000000000745</x:v>
      </x:c>
      <x:c r="Q5" s="40" t="n">
        <x:v>53</x:v>
      </x:c>
      <x:c r="R5" s="40" t="n">
        <x:f>M5-Q5</x:f>
        <x:v>13</x:v>
      </x:c>
      <x:c r="S5" s="40" t="str">
        <x:f>IF(P5&gt;=0,"PASS","FAIL")</x:f>
        <x:v>PASS</x:v>
      </x:c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f>'Family Demand'!C6</x:f>
        <x:v>J-TOC</x:v>
      </x:c>
      <x:c r="D6" s="40" t="str">
        <x:f>'Family Demand'!D6</x:f>
        <x:v>Theater-opening command</x:v>
      </x:c>
      <x:c r="E6" s="40" t="str">
        <x:f>'Family Demand'!E6</x:f>
        <x:v>Joint</x:v>
      </x:c>
      <x:c r="F6" s="40" t="n">
        <x:f>'Family Demand'!P6</x:f>
        <x:v>23</x:v>
      </x:c>
      <x:c r="G6" s="50" t="n">
        <x:f>F6*(1+Controls!$D$7)</x:f>
        <x:v>27.599999999999998</x:v>
      </x:c>
      <x:c r="H6" s="47" t="n">
        <x:f>'Family Inputs'!M6</x:f>
        <x:v>0.78</x:v>
      </x:c>
      <x:c r="I6" s="47" t="n">
        <x:f>Controls!$D$10</x:f>
        <x:v>0.2</x:v>
      </x:c>
      <x:c r="J6" s="40" t="n">
        <x:f>CEILING(G6/H6,1)</x:f>
        <x:v>36</x:v>
      </x:c>
      <x:c r="K6" s="40" t="n">
        <x:f>CEILING(G6/(H6*(1-I6)),1)</x:f>
        <x:v>45</x:v>
      </x:c>
      <x:c r="L6" s="40" t="n">
        <x:f>CEILING('Family Demand'!R6*Controls!$D$11/(1-I6),1)</x:f>
        <x:v>12</x:v>
      </x:c>
      <x:c r="M6" s="40" t="n">
        <x:f>MAX(J6:L6)</x:f>
        <x:v>45</x:v>
      </x:c>
      <x:c r="N6" s="50" t="n">
        <x:f>M6*H6*(1-I6)</x:f>
        <x:v>28.080000000000002</x:v>
      </x:c>
      <x:c r="O6" s="50" t="n">
        <x:f>N6-F6</x:f>
        <x:v>5.080000000000002</x:v>
      </x:c>
      <x:c r="P6" s="50" t="n">
        <x:f>N6-G6</x:f>
        <x:v>0.480000000000004</x:v>
      </x:c>
      <x:c r="Q6" s="40" t="n">
        <x:v>36</x:v>
      </x:c>
      <x:c r="R6" s="40" t="n">
        <x:f>M6-Q6</x:f>
        <x:v>9</x:v>
      </x:c>
      <x:c r="S6" s="40" t="str">
        <x:f>IF(P6&gt;=0,"PASS","FAIL")</x:f>
        <x:v>PASS</x:v>
      </x:c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f>'Family Demand'!C7</x:f>
        <x:v>J-TSC</x:v>
      </x:c>
      <x:c r="D7" s="40" t="str">
        <x:f>'Family Demand'!D7</x:f>
        <x:v>Theater sustainment command</x:v>
      </x:c>
      <x:c r="E7" s="40" t="str">
        <x:f>'Family Demand'!E7</x:f>
        <x:v>Joint</x:v>
      </x:c>
      <x:c r="F7" s="40" t="n">
        <x:f>'Family Demand'!P7</x:f>
        <x:v>33</x:v>
      </x:c>
      <x:c r="G7" s="50" t="n">
        <x:f>F7*(1+Controls!$D$7)</x:f>
        <x:v>39.6</x:v>
      </x:c>
      <x:c r="H7" s="47" t="n">
        <x:f>'Family Inputs'!M7</x:f>
        <x:v>0.78</x:v>
      </x:c>
      <x:c r="I7" s="47" t="n">
        <x:f>Controls!$D$10</x:f>
        <x:v>0.2</x:v>
      </x:c>
      <x:c r="J7" s="40" t="n">
        <x:f>CEILING(G7/H7,1)</x:f>
        <x:v>51</x:v>
      </x:c>
      <x:c r="K7" s="40" t="n">
        <x:f>CEILING(G7/(H7*(1-I7)),1)</x:f>
        <x:v>64</x:v>
      </x:c>
      <x:c r="L7" s="40" t="n">
        <x:f>CEILING('Family Demand'!R7*Controls!$D$11/(1-I7),1)</x:f>
        <x:v>15</x:v>
      </x:c>
      <x:c r="M7" s="40" t="n">
        <x:f>MAX(J7:L7)</x:f>
        <x:v>64</x:v>
      </x:c>
      <x:c r="N7" s="50" t="n">
        <x:f>M7*H7*(1-I7)</x:f>
        <x:v>39.93600000000001</x:v>
      </x:c>
      <x:c r="O7" s="50" t="n">
        <x:f>N7-F7</x:f>
        <x:v>6.936000000000007</x:v>
      </x:c>
      <x:c r="P7" s="50" t="n">
        <x:f>N7-G7</x:f>
        <x:v>0.3360000000000056</x:v>
      </x:c>
      <x:c r="Q7" s="40" t="n">
        <x:v>51</x:v>
      </x:c>
      <x:c r="R7" s="40" t="n">
        <x:f>M7-Q7</x:f>
        <x:v>13</x:v>
      </x:c>
      <x:c r="S7" s="40" t="str">
        <x:f>IF(P7&gt;=0,"PASS","FAIL")</x:f>
        <x:v>PASS</x:v>
      </x:c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f>'Family Demand'!C8</x:f>
        <x:v>J-RRG</x:v>
      </x:c>
      <x:c r="D8" s="40" t="str">
        <x:f>'Family Demand'!D8</x:f>
        <x:v>Replacement and reconstitution group</x:v>
      </x:c>
      <x:c r="E8" s="40" t="str">
        <x:f>'Family Demand'!E8</x:f>
        <x:v>Joint</x:v>
      </x:c>
      <x:c r="F8" s="40" t="n">
        <x:f>'Family Demand'!P8</x:f>
        <x:v>33</x:v>
      </x:c>
      <x:c r="G8" s="50" t="n">
        <x:f>F8*(1+Controls!$D$7)</x:f>
        <x:v>39.6</x:v>
      </x:c>
      <x:c r="H8" s="47" t="n">
        <x:f>'Family Inputs'!M8</x:f>
        <x:v>0.78</x:v>
      </x:c>
      <x:c r="I8" s="47" t="n">
        <x:f>Controls!$D$10</x:f>
        <x:v>0.2</x:v>
      </x:c>
      <x:c r="J8" s="40" t="n">
        <x:f>CEILING(G8/H8,1)</x:f>
        <x:v>51</x:v>
      </x:c>
      <x:c r="K8" s="40" t="n">
        <x:f>CEILING(G8/(H8*(1-I8)),1)</x:f>
        <x:v>64</x:v>
      </x:c>
      <x:c r="L8" s="40" t="n">
        <x:f>CEILING('Family Demand'!R8*Controls!$D$11/(1-I8),1)</x:f>
        <x:v>15</x:v>
      </x:c>
      <x:c r="M8" s="40" t="n">
        <x:f>MAX(J8:L8)</x:f>
        <x:v>64</x:v>
      </x:c>
      <x:c r="N8" s="50" t="n">
        <x:f>M8*H8*(1-I8)</x:f>
        <x:v>39.93600000000001</x:v>
      </x:c>
      <x:c r="O8" s="50" t="n">
        <x:f>N8-F8</x:f>
        <x:v>6.936000000000007</x:v>
      </x:c>
      <x:c r="P8" s="50" t="n">
        <x:f>N8-G8</x:f>
        <x:v>0.3360000000000056</x:v>
      </x:c>
      <x:c r="Q8" s="40" t="n">
        <x:v>51</x:v>
      </x:c>
      <x:c r="R8" s="40" t="n">
        <x:f>M8-Q8</x:f>
        <x:v>13</x:v>
      </x:c>
      <x:c r="S8" s="40" t="str">
        <x:f>IF(P8&gt;=0,"PASS","FAIL")</x:f>
        <x:v>PASS</x:v>
      </x:c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f>'Family Demand'!C9</x:f>
        <x:v>J-TDG</x:v>
      </x:c>
      <x:c r="D9" s="40" t="str">
        <x:f>'Family Demand'!D9</x:f>
        <x:v>Transfer and demobilization group</x:v>
      </x:c>
      <x:c r="E9" s="40" t="str">
        <x:f>'Family Demand'!E9</x:f>
        <x:v>Joint</x:v>
      </x:c>
      <x:c r="F9" s="40" t="n">
        <x:f>'Family Demand'!P9</x:f>
        <x:v>23</x:v>
      </x:c>
      <x:c r="G9" s="50" t="n">
        <x:f>F9*(1+Controls!$D$7)</x:f>
        <x:v>27.599999999999998</x:v>
      </x:c>
      <x:c r="H9" s="47" t="n">
        <x:f>'Family Inputs'!M9</x:f>
        <x:v>0.78</x:v>
      </x:c>
      <x:c r="I9" s="47" t="n">
        <x:f>Controls!$D$10</x:f>
        <x:v>0.2</x:v>
      </x:c>
      <x:c r="J9" s="40" t="n">
        <x:f>CEILING(G9/H9,1)</x:f>
        <x:v>36</x:v>
      </x:c>
      <x:c r="K9" s="40" t="n">
        <x:f>CEILING(G9/(H9*(1-I9)),1)</x:f>
        <x:v>45</x:v>
      </x:c>
      <x:c r="L9" s="40" t="n">
        <x:f>CEILING('Family Demand'!R9*Controls!$D$11/(1-I9),1)</x:f>
        <x:v>12</x:v>
      </x:c>
      <x:c r="M9" s="40" t="n">
        <x:f>MAX(J9:L9)</x:f>
        <x:v>45</x:v>
      </x:c>
      <x:c r="N9" s="50" t="n">
        <x:f>M9*H9*(1-I9)</x:f>
        <x:v>28.080000000000002</x:v>
      </x:c>
      <x:c r="O9" s="50" t="n">
        <x:f>N9-F9</x:f>
        <x:v>5.080000000000002</x:v>
      </x:c>
      <x:c r="P9" s="50" t="n">
        <x:f>N9-G9</x:f>
        <x:v>0.480000000000004</x:v>
      </x:c>
      <x:c r="Q9" s="40" t="n">
        <x:v>36</x:v>
      </x:c>
      <x:c r="R9" s="40" t="n">
        <x:f>M9-Q9</x:f>
        <x:v>9</x:v>
      </x:c>
      <x:c r="S9" s="40" t="str">
        <x:f>IF(P9&gt;=0,"PASS","FAIL")</x:f>
        <x:v>PASS</x:v>
      </x:c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f>'Family Demand'!C10</x:f>
        <x:v>L-ROG</x:v>
      </x:c>
      <x:c r="D10" s="40" t="str">
        <x:f>'Family Demand'!D10</x:f>
        <x:v>Access and route-opening group</x:v>
      </x:c>
      <x:c r="E10" s="40" t="str">
        <x:f>'Family Demand'!E10</x:f>
        <x:v>Land Engineering</x:v>
      </x:c>
      <x:c r="F10" s="40" t="n">
        <x:f>'Family Demand'!P10</x:f>
        <x:v>70</x:v>
      </x:c>
      <x:c r="G10" s="50" t="n">
        <x:f>F10*(1+Controls!$D$7)</x:f>
        <x:v>84</x:v>
      </x:c>
      <x:c r="H10" s="47" t="n">
        <x:f>'Family Inputs'!M10</x:f>
        <x:v>0.7</x:v>
      </x:c>
      <x:c r="I10" s="47" t="n">
        <x:f>Controls!$D$10</x:f>
        <x:v>0.2</x:v>
      </x:c>
      <x:c r="J10" s="40" t="n">
        <x:f>CEILING(G10/H10,1)</x:f>
        <x:v>121</x:v>
      </x:c>
      <x:c r="K10" s="40" t="n">
        <x:f>CEILING(G10/(H10*(1-I10)),1)</x:f>
        <x:v>151</x:v>
      </x:c>
      <x:c r="L10" s="40" t="n">
        <x:f>CEILING('Family Demand'!R10*Controls!$D$11/(1-I10),1)</x:f>
        <x:v>34</x:v>
      </x:c>
      <x:c r="M10" s="40" t="n">
        <x:f>MAX(J10:L10)</x:f>
        <x:v>151</x:v>
      </x:c>
      <x:c r="N10" s="50" t="n">
        <x:f>M10*H10*(1-I10)</x:f>
        <x:v>84.56</x:v>
      </x:c>
      <x:c r="O10" s="50" t="n">
        <x:f>N10-F10</x:f>
        <x:v>14.560000000000002</x:v>
      </x:c>
      <x:c r="P10" s="50" t="n">
        <x:f>N10-G10</x:f>
        <x:v>0.5600000000000023</x:v>
      </x:c>
      <x:c r="Q10" s="40" t="n">
        <x:v>121</x:v>
      </x:c>
      <x:c r="R10" s="40" t="n">
        <x:f>M10-Q10</x:f>
        <x:v>30</x:v>
      </x:c>
      <x:c r="S10" s="40" t="str">
        <x:f>IF(P10&gt;=0,"PASS","FAIL")</x:f>
        <x:v>PASS</x:v>
      </x:c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f>'Family Demand'!C11</x:f>
        <x:v>L-HCG</x:v>
      </x:c>
      <x:c r="D11" s="40" t="str">
        <x:f>'Family Demand'!D11</x:f>
        <x:v>Flood and hydraulic-control group</x:v>
      </x:c>
      <x:c r="E11" s="40" t="str">
        <x:f>'Family Demand'!E11</x:f>
        <x:v>Land Engineering</x:v>
      </x:c>
      <x:c r="F11" s="40" t="n">
        <x:f>'Family Demand'!P11</x:f>
        <x:v>50</x:v>
      </x:c>
      <x:c r="G11" s="50" t="n">
        <x:f>F11*(1+Controls!$D$7)</x:f>
        <x:v>60</x:v>
      </x:c>
      <x:c r="H11" s="47" t="n">
        <x:f>'Family Inputs'!M11</x:f>
        <x:v>0.7</x:v>
      </x:c>
      <x:c r="I11" s="47" t="n">
        <x:f>Controls!$D$10</x:f>
        <x:v>0.2</x:v>
      </x:c>
      <x:c r="J11" s="40" t="n">
        <x:f>CEILING(G11/H11,1)</x:f>
        <x:v>86</x:v>
      </x:c>
      <x:c r="K11" s="40" t="n">
        <x:f>CEILING(G11/(H11*(1-I11)),1)</x:f>
        <x:v>108</x:v>
      </x:c>
      <x:c r="L11" s="40" t="n">
        <x:f>CEILING('Family Demand'!R11*Controls!$D$11/(1-I11),1)</x:f>
        <x:v>30</x:v>
      </x:c>
      <x:c r="M11" s="40" t="n">
        <x:f>MAX(J11:L11)</x:f>
        <x:v>108</x:v>
      </x:c>
      <x:c r="N11" s="50" t="n">
        <x:f>M11*H11*(1-I11)</x:f>
        <x:v>60.48</x:v>
      </x:c>
      <x:c r="O11" s="50" t="n">
        <x:f>N11-F11</x:f>
        <x:v>10.479999999999997</x:v>
      </x:c>
      <x:c r="P11" s="50" t="n">
        <x:f>N11-G11</x:f>
        <x:v>0.4799999999999969</x:v>
      </x:c>
      <x:c r="Q11" s="40" t="n">
        <x:v>86</x:v>
      </x:c>
      <x:c r="R11" s="40" t="n">
        <x:f>M11-Q11</x:f>
        <x:v>22</x:v>
      </x:c>
      <x:c r="S11" s="40" t="str">
        <x:f>IF(P11&gt;=0,"PASS","FAIL")</x:f>
        <x:v>PASS</x:v>
      </x:c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f>'Family Demand'!C12</x:f>
        <x:v>L-DMG</x:v>
      </x:c>
      <x:c r="D12" s="40" t="str">
        <x:f>'Family Demand'!D12</x:f>
        <x:v>Debris and materials group</x:v>
      </x:c>
      <x:c r="E12" s="40" t="str">
        <x:f>'Family Demand'!E12</x:f>
        <x:v>Land Engineering</x:v>
      </x:c>
      <x:c r="F12" s="40" t="n">
        <x:f>'Family Demand'!P12</x:f>
        <x:v>65</x:v>
      </x:c>
      <x:c r="G12" s="50" t="n">
        <x:f>F12*(1+Controls!$D$7)</x:f>
        <x:v>78</x:v>
      </x:c>
      <x:c r="H12" s="47" t="n">
        <x:f>'Family Inputs'!M12</x:f>
        <x:v>0.7</x:v>
      </x:c>
      <x:c r="I12" s="47" t="n">
        <x:f>Controls!$D$10</x:f>
        <x:v>0.2</x:v>
      </x:c>
      <x:c r="J12" s="40" t="n">
        <x:f>CEILING(G12/H12,1)</x:f>
        <x:v>112</x:v>
      </x:c>
      <x:c r="K12" s="40" t="n">
        <x:f>CEILING(G12/(H12*(1-I12)),1)</x:f>
        <x:v>140</x:v>
      </x:c>
      <x:c r="L12" s="40" t="n">
        <x:f>CEILING('Family Demand'!R12*Controls!$D$11/(1-I12),1)</x:f>
        <x:v>34</x:v>
      </x:c>
      <x:c r="M12" s="40" t="n">
        <x:f>MAX(J12:L12)</x:f>
        <x:v>140</x:v>
      </x:c>
      <x:c r="N12" s="50" t="n">
        <x:f>M12*H12*(1-I12)</x:f>
        <x:v>78.4</x:v>
      </x:c>
      <x:c r="O12" s="50" t="n">
        <x:f>N12-F12</x:f>
        <x:v>13.400000000000006</x:v>
      </x:c>
      <x:c r="P12" s="50" t="n">
        <x:f>N12-G12</x:f>
        <x:v>0.4000000000000057</x:v>
      </x:c>
      <x:c r="Q12" s="40" t="n">
        <x:v>112</x:v>
      </x:c>
      <x:c r="R12" s="40" t="n">
        <x:f>M12-Q12</x:f>
        <x:v>28</x:v>
      </x:c>
      <x:c r="S12" s="40" t="str">
        <x:f>IF(P12&gt;=0,"PASS","FAIL")</x:f>
        <x:v>PASS</x:v>
      </x:c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f>'Family Demand'!C13</x:f>
        <x:v>L-TWG</x:v>
      </x:c>
      <x:c r="D13" s="40" t="str">
        <x:f>'Family Demand'!D13</x:f>
        <x:v>Temporary works and crossing group</x:v>
      </x:c>
      <x:c r="E13" s="40" t="str">
        <x:f>'Family Demand'!E13</x:f>
        <x:v>Land Engineering</x:v>
      </x:c>
      <x:c r="F13" s="40" t="n">
        <x:f>'Family Demand'!P13</x:f>
        <x:v>53</x:v>
      </x:c>
      <x:c r="G13" s="50" t="n">
        <x:f>F13*(1+Controls!$D$7)</x:f>
        <x:v>63.599999999999994</x:v>
      </x:c>
      <x:c r="H13" s="47" t="n">
        <x:f>'Family Inputs'!M13</x:f>
        <x:v>0.7</x:v>
      </x:c>
      <x:c r="I13" s="47" t="n">
        <x:f>Controls!$D$10</x:f>
        <x:v>0.2</x:v>
      </x:c>
      <x:c r="J13" s="40" t="n">
        <x:f>CEILING(G13/H13,1)</x:f>
        <x:v>91</x:v>
      </x:c>
      <x:c r="K13" s="40" t="n">
        <x:f>CEILING(G13/(H13*(1-I13)),1)</x:f>
        <x:v>114</x:v>
      </x:c>
      <x:c r="L13" s="40" t="n">
        <x:f>CEILING('Family Demand'!R13*Controls!$D$11/(1-I13),1)</x:f>
        <x:v>27</x:v>
      </x:c>
      <x:c r="M13" s="40" t="n">
        <x:f>MAX(J13:L13)</x:f>
        <x:v>114</x:v>
      </x:c>
      <x:c r="N13" s="50" t="n">
        <x:f>M13*H13*(1-I13)</x:f>
        <x:v>63.84</x:v>
      </x:c>
      <x:c r="O13" s="50" t="n">
        <x:f>N13-F13</x:f>
        <x:v>10.840000000000003</x:v>
      </x:c>
      <x:c r="P13" s="50" t="n">
        <x:f>N13-G13</x:f>
        <x:v>0.2400000000000091</x:v>
      </x:c>
      <x:c r="Q13" s="40" t="n">
        <x:v>91</x:v>
      </x:c>
      <x:c r="R13" s="40" t="n">
        <x:f>M13-Q13</x:f>
        <x:v>23</x:v>
      </x:c>
      <x:c r="S13" s="40" t="str">
        <x:f>IF(P13&gt;=0,"PASS","FAIL")</x:f>
        <x:v>PASS</x:v>
      </x:c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 t="str">
        <x:f>'Family Demand'!C14</x:f>
        <x:v>L-GFG</x:v>
      </x:c>
      <x:c r="D14" s="40" t="str">
        <x:f>'Family Demand'!D14</x:f>
        <x:v>Ground fire and landscape group</x:v>
      </x:c>
      <x:c r="E14" s="40" t="str">
        <x:f>'Family Demand'!E14</x:f>
        <x:v>Land Engineering</x:v>
      </x:c>
      <x:c r="F14" s="40" t="n">
        <x:f>'Family Demand'!P14</x:f>
        <x:v>33</x:v>
      </x:c>
      <x:c r="G14" s="50" t="n">
        <x:f>F14*(1+Controls!$D$7)</x:f>
        <x:v>39.6</x:v>
      </x:c>
      <x:c r="H14" s="47" t="n">
        <x:f>'Family Inputs'!M14</x:f>
        <x:v>0.7</x:v>
      </x:c>
      <x:c r="I14" s="47" t="n">
        <x:f>Controls!$D$10</x:f>
        <x:v>0.2</x:v>
      </x:c>
      <x:c r="J14" s="40" t="n">
        <x:f>CEILING(G14/H14,1)</x:f>
        <x:v>57</x:v>
      </x:c>
      <x:c r="K14" s="40" t="n">
        <x:f>CEILING(G14/(H14*(1-I14)),1)</x:f>
        <x:v>71</x:v>
      </x:c>
      <x:c r="L14" s="40" t="n">
        <x:f>CEILING('Family Demand'!R14*Controls!$D$11/(1-I14),1)</x:f>
        <x:v>8</x:v>
      </x:c>
      <x:c r="M14" s="40" t="n">
        <x:f>MAX(J14:L14)</x:f>
        <x:v>71</x:v>
      </x:c>
      <x:c r="N14" s="50" t="n">
        <x:f>M14*H14*(1-I14)</x:f>
        <x:v>39.76</x:v>
      </x:c>
      <x:c r="O14" s="50" t="n">
        <x:f>N14-F14</x:f>
        <x:v>6.759999999999998</x:v>
      </x:c>
      <x:c r="P14" s="50" t="n">
        <x:f>N14-G14</x:f>
        <x:v>0.1599999999999966</x:v>
      </x:c>
      <x:c r="Q14" s="40" t="n">
        <x:v>57</x:v>
      </x:c>
      <x:c r="R14" s="40" t="n">
        <x:f>M14-Q14</x:f>
        <x:v>14</x:v>
      </x:c>
      <x:c r="S14" s="40" t="str">
        <x:f>IF(P14&gt;=0,"PASS","FAIL")</x:f>
        <x:v>PASS</x:v>
      </x:c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0" t="str">
        <x:f>'Family Demand'!C15</x:f>
        <x:v>A-SMW</x:v>
      </x:c>
      <x:c r="D15" s="40" t="str">
        <x:f>'Family Demand'!D15</x:f>
        <x:v>Strategic mobility wing</x:v>
      </x:c>
      <x:c r="E15" s="40" t="str">
        <x:f>'Family Demand'!E15</x:f>
        <x:v>Air Response</x:v>
      </x:c>
      <x:c r="F15" s="40" t="n">
        <x:f>'Family Demand'!P15</x:f>
        <x:v>31</x:v>
      </x:c>
      <x:c r="G15" s="50" t="n">
        <x:f>F15*(1+Controls!$D$7)</x:f>
        <x:v>37.199999999999996</x:v>
      </x:c>
      <x:c r="H15" s="47" t="n">
        <x:f>'Family Inputs'!M15</x:f>
        <x:v>0.65</x:v>
      </x:c>
      <x:c r="I15" s="47" t="n">
        <x:f>Controls!$D$10</x:f>
        <x:v>0.2</x:v>
      </x:c>
      <x:c r="J15" s="40" t="n">
        <x:f>CEILING(G15/H15,1)</x:f>
        <x:v>58</x:v>
      </x:c>
      <x:c r="K15" s="40" t="n">
        <x:f>CEILING(G15/(H15*(1-I15)),1)</x:f>
        <x:v>72</x:v>
      </x:c>
      <x:c r="L15" s="40" t="n">
        <x:f>CEILING('Family Demand'!R15*Controls!$D$11/(1-I15),1)</x:f>
        <x:v>19</x:v>
      </x:c>
      <x:c r="M15" s="40" t="n">
        <x:f>MAX(J15:L15)</x:f>
        <x:v>72</x:v>
      </x:c>
      <x:c r="N15" s="50" t="n">
        <x:f>M15*H15*(1-I15)</x:f>
        <x:v>37.440000000000005</x:v>
      </x:c>
      <x:c r="O15" s="50" t="n">
        <x:f>N15-F15</x:f>
        <x:v>6.440000000000005</x:v>
      </x:c>
      <x:c r="P15" s="50" t="n">
        <x:f>N15-G15</x:f>
        <x:v>0.2400000000000091</x:v>
      </x:c>
      <x:c r="Q15" s="40" t="n">
        <x:v>58</x:v>
      </x:c>
      <x:c r="R15" s="40" t="n">
        <x:f>M15-Q15</x:f>
        <x:v>14</x:v>
      </x:c>
      <x:c r="S15" s="40" t="str">
        <x:f>IF(P15&gt;=0,"PASS","FAIL")</x:f>
        <x:v>PASS</x:v>
      </x:c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 t="str">
        <x:f>'Family Demand'!C16</x:f>
        <x:v>A-AAG</x:v>
      </x:c>
      <x:c r="D16" s="40" t="str">
        <x:f>'Family Demand'!D16</x:f>
        <x:v>Austere air-access group</x:v>
      </x:c>
      <x:c r="E16" s="40" t="str">
        <x:f>'Family Demand'!E16</x:f>
        <x:v>Air Response</x:v>
      </x:c>
      <x:c r="F16" s="40" t="n">
        <x:f>'Family Demand'!P16</x:f>
        <x:v>36</x:v>
      </x:c>
      <x:c r="G16" s="50" t="n">
        <x:f>F16*(1+Controls!$D$7)</x:f>
        <x:v>43.199999999999996</x:v>
      </x:c>
      <x:c r="H16" s="47" t="n">
        <x:f>'Family Inputs'!M16</x:f>
        <x:v>0.65</x:v>
      </x:c>
      <x:c r="I16" s="47" t="n">
        <x:f>Controls!$D$10</x:f>
        <x:v>0.2</x:v>
      </x:c>
      <x:c r="J16" s="40" t="n">
        <x:f>CEILING(G16/H16,1)</x:f>
        <x:v>67</x:v>
      </x:c>
      <x:c r="K16" s="40" t="n">
        <x:f>CEILING(G16/(H16*(1-I16)),1)</x:f>
        <x:v>84</x:v>
      </x:c>
      <x:c r="L16" s="40" t="n">
        <x:f>CEILING('Family Demand'!R16*Controls!$D$11/(1-I16),1)</x:f>
        <x:v>19</x:v>
      </x:c>
      <x:c r="M16" s="40" t="n">
        <x:f>MAX(J16:L16)</x:f>
        <x:v>84</x:v>
      </x:c>
      <x:c r="N16" s="50" t="n">
        <x:f>M16*H16*(1-I16)</x:f>
        <x:v>43.68000000000001</x:v>
      </x:c>
      <x:c r="O16" s="50" t="n">
        <x:f>N16-F16</x:f>
        <x:v>7.680000000000007</x:v>
      </x:c>
      <x:c r="P16" s="50" t="n">
        <x:f>N16-G16</x:f>
        <x:v>0.4800000000000111</x:v>
      </x:c>
      <x:c r="Q16" s="40" t="n">
        <x:v>67</x:v>
      </x:c>
      <x:c r="R16" s="40" t="n">
        <x:f>M16-Q16</x:f>
        <x:v>17</x:v>
      </x:c>
      <x:c r="S16" s="40" t="str">
        <x:f>IF(P16&gt;=0,"PASS","FAIL")</x:f>
        <x:v>PASS</x:v>
      </x:c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 t="str">
        <x:f>'Family Demand'!C17</x:f>
        <x:v>A-AHW</x:v>
      </x:c>
      <x:c r="D17" s="40" t="str">
        <x:f>'Family Demand'!D17</x:f>
        <x:v>Aerial hazard-control wing</x:v>
      </x:c>
      <x:c r="E17" s="40" t="str">
        <x:f>'Family Demand'!E17</x:f>
        <x:v>Air Response</x:v>
      </x:c>
      <x:c r="F17" s="40" t="n">
        <x:f>'Family Demand'!P17</x:f>
        <x:v>22</x:v>
      </x:c>
      <x:c r="G17" s="50" t="n">
        <x:f>F17*(1+Controls!$D$7)</x:f>
        <x:v>26.4</x:v>
      </x:c>
      <x:c r="H17" s="47" t="n">
        <x:f>'Family Inputs'!M17</x:f>
        <x:v>0.65</x:v>
      </x:c>
      <x:c r="I17" s="47" t="n">
        <x:f>Controls!$D$10</x:f>
        <x:v>0.2</x:v>
      </x:c>
      <x:c r="J17" s="40" t="n">
        <x:f>CEILING(G17/H17,1)</x:f>
        <x:v>41</x:v>
      </x:c>
      <x:c r="K17" s="40" t="n">
        <x:f>CEILING(G17/(H17*(1-I17)),1)</x:f>
        <x:v>51</x:v>
      </x:c>
      <x:c r="L17" s="40" t="n">
        <x:f>CEILING('Family Demand'!R17*Controls!$D$11/(1-I17),1)</x:f>
        <x:v>6</x:v>
      </x:c>
      <x:c r="M17" s="40" t="n">
        <x:f>MAX(J17:L17)</x:f>
        <x:v>51</x:v>
      </x:c>
      <x:c r="N17" s="50" t="n">
        <x:f>M17*H17*(1-I17)</x:f>
        <x:v>26.52</x:v>
      </x:c>
      <x:c r="O17" s="50" t="n">
        <x:f>N17-F17</x:f>
        <x:v>4.52</x:v>
      </x:c>
      <x:c r="P17" s="50" t="n">
        <x:f>N17-G17</x:f>
        <x:v>0.120000000000001</x:v>
      </x:c>
      <x:c r="Q17" s="40" t="n">
        <x:v>41</x:v>
      </x:c>
      <x:c r="R17" s="40" t="n">
        <x:f>M17-Q17</x:f>
        <x:v>10</x:v>
      </x:c>
      <x:c r="S17" s="40" t="str">
        <x:f>IF(P17&gt;=0,"PASS","FAIL")</x:f>
        <x:v>PASS</x:v>
      </x:c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 t="str">
        <x:f>'Family Demand'!C18</x:f>
        <x:v>A-TDG</x:v>
      </x:c>
      <x:c r="D18" s="40" t="str">
        <x:f>'Family Demand'!D18</x:f>
        <x:v>Tactical distribution group</x:v>
      </x:c>
      <x:c r="E18" s="40" t="str">
        <x:f>'Family Demand'!E18</x:f>
        <x:v>Air Response</x:v>
      </x:c>
      <x:c r="F18" s="40" t="n">
        <x:f>'Family Demand'!P18</x:f>
        <x:v>58</x:v>
      </x:c>
      <x:c r="G18" s="50" t="n">
        <x:f>F18*(1+Controls!$D$7)</x:f>
        <x:v>69.6</x:v>
      </x:c>
      <x:c r="H18" s="47" t="n">
        <x:f>'Family Inputs'!M18</x:f>
        <x:v>0.65</x:v>
      </x:c>
      <x:c r="I18" s="47" t="n">
        <x:f>Controls!$D$10</x:f>
        <x:v>0.2</x:v>
      </x:c>
      <x:c r="J18" s="40" t="n">
        <x:f>CEILING(G18/H18,1)</x:f>
        <x:v>108</x:v>
      </x:c>
      <x:c r="K18" s="40" t="n">
        <x:f>CEILING(G18/(H18*(1-I18)),1)</x:f>
        <x:v>134</x:v>
      </x:c>
      <x:c r="L18" s="40" t="n">
        <x:f>CEILING('Family Demand'!R18*Controls!$D$11/(1-I18),1)</x:f>
        <x:v>30</x:v>
      </x:c>
      <x:c r="M18" s="40" t="n">
        <x:f>MAX(J18:L18)</x:f>
        <x:v>134</x:v>
      </x:c>
      <x:c r="N18" s="50" t="n">
        <x:f>M18*H18*(1-I18)</x:f>
        <x:v>69.68</x:v>
      </x:c>
      <x:c r="O18" s="50" t="n">
        <x:f>N18-F18</x:f>
        <x:v>11.680000000000007</x:v>
      </x:c>
      <x:c r="P18" s="50" t="n">
        <x:f>N18-G18</x:f>
        <x:v>0.0800000000000125</x:v>
      </x:c>
      <x:c r="Q18" s="40" t="n">
        <x:v>108</x:v>
      </x:c>
      <x:c r="R18" s="40" t="n">
        <x:f>M18-Q18</x:f>
        <x:v>26</x:v>
      </x:c>
      <x:c r="S18" s="40" t="str">
        <x:f>IF(P18&gt;=0,"PASS","FAIL")</x:f>
        <x:v>PASS</x:v>
      </x:c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 t="str">
        <x:f>'Family Demand'!C19</x:f>
        <x:v>A-SRG</x:v>
      </x:c>
      <x:c r="D19" s="40" t="str">
        <x:f>'Family Demand'!D19</x:f>
        <x:v>Air sensing and relay group</x:v>
      </x:c>
      <x:c r="E19" s="40" t="str">
        <x:f>'Family Demand'!E19</x:f>
        <x:v>Air Response</x:v>
      </x:c>
      <x:c r="F19" s="40" t="n">
        <x:f>'Family Demand'!P19</x:f>
        <x:v>40</x:v>
      </x:c>
      <x:c r="G19" s="50" t="n">
        <x:f>F19*(1+Controls!$D$7)</x:f>
        <x:v>48</x:v>
      </x:c>
      <x:c r="H19" s="47" t="n">
        <x:f>'Family Inputs'!M19</x:f>
        <x:v>0.65</x:v>
      </x:c>
      <x:c r="I19" s="47" t="n">
        <x:f>Controls!$D$10</x:f>
        <x:v>0.2</x:v>
      </x:c>
      <x:c r="J19" s="40" t="n">
        <x:f>CEILING(G19/H19,1)</x:f>
        <x:v>74</x:v>
      </x:c>
      <x:c r="K19" s="40" t="n">
        <x:f>CEILING(G19/(H19*(1-I19)),1)</x:f>
        <x:v>93</x:v>
      </x:c>
      <x:c r="L19" s="40" t="n">
        <x:f>CEILING('Family Demand'!R19*Controls!$D$11/(1-I19),1)</x:f>
        <x:v>19</x:v>
      </x:c>
      <x:c r="M19" s="40" t="n">
        <x:f>MAX(J19:L19)</x:f>
        <x:v>93</x:v>
      </x:c>
      <x:c r="N19" s="50" t="n">
        <x:f>M19*H19*(1-I19)</x:f>
        <x:v>48.36000000000001</x:v>
      </x:c>
      <x:c r="O19" s="50" t="n">
        <x:f>N19-F19</x:f>
        <x:v>8.360000000000007</x:v>
      </x:c>
      <x:c r="P19" s="50" t="n">
        <x:f>N19-G19</x:f>
        <x:v>0.36000000000000654</x:v>
      </x:c>
      <x:c r="Q19" s="40" t="n">
        <x:v>74</x:v>
      </x:c>
      <x:c r="R19" s="40" t="n">
        <x:f>M19-Q19</x:f>
        <x:v>19</x:v>
      </x:c>
      <x:c r="S19" s="40" t="str">
        <x:f>IF(P19&gt;=0,"PASS","FAIL")</x:f>
        <x:v>PASS</x:v>
      </x:c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 t="str">
        <x:f>'Family Demand'!C20</x:f>
        <x:v>A-AMG</x:v>
      </x:c>
      <x:c r="D20" s="40" t="str">
        <x:f>'Family Demand'!D20</x:f>
        <x:v>Aeromedical movement group</x:v>
      </x:c>
      <x:c r="E20" s="40" t="str">
        <x:f>'Family Demand'!E20</x:f>
        <x:v>Air Response</x:v>
      </x:c>
      <x:c r="F20" s="40" t="n">
        <x:f>'Family Demand'!P20</x:f>
        <x:v>31</x:v>
      </x:c>
      <x:c r="G20" s="50" t="n">
        <x:f>F20*(1+Controls!$D$7)</x:f>
        <x:v>37.199999999999996</x:v>
      </x:c>
      <x:c r="H20" s="47" t="n">
        <x:f>'Family Inputs'!M20</x:f>
        <x:v>0.65</x:v>
      </x:c>
      <x:c r="I20" s="47" t="n">
        <x:f>Controls!$D$10</x:f>
        <x:v>0.2</x:v>
      </x:c>
      <x:c r="J20" s="40" t="n">
        <x:f>CEILING(G20/H20,1)</x:f>
        <x:v>58</x:v>
      </x:c>
      <x:c r="K20" s="40" t="n">
        <x:f>CEILING(G20/(H20*(1-I20)),1)</x:f>
        <x:v>72</x:v>
      </x:c>
      <x:c r="L20" s="40" t="n">
        <x:f>CEILING('Family Demand'!R20*Controls!$D$11/(1-I20),1)</x:f>
        <x:v>17</x:v>
      </x:c>
      <x:c r="M20" s="40" t="n">
        <x:f>MAX(J20:L20)</x:f>
        <x:v>72</x:v>
      </x:c>
      <x:c r="N20" s="50" t="n">
        <x:f>M20*H20*(1-I20)</x:f>
        <x:v>37.440000000000005</x:v>
      </x:c>
      <x:c r="O20" s="50" t="n">
        <x:f>N20-F20</x:f>
        <x:v>6.440000000000005</x:v>
      </x:c>
      <x:c r="P20" s="50" t="n">
        <x:f>N20-G20</x:f>
        <x:v>0.2400000000000091</x:v>
      </x:c>
      <x:c r="Q20" s="40" t="n">
        <x:v>58</x:v>
      </x:c>
      <x:c r="R20" s="40" t="n">
        <x:f>M20-Q20</x:f>
        <x:v>14</x:v>
      </x:c>
      <x:c r="S20" s="40" t="str">
        <x:f>IF(P20&gt;=0,"PASS","FAIL")</x:f>
        <x:v>PASS</x:v>
      </x:c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 t="str">
        <x:f>'Family Demand'!C21</x:f>
        <x:v>M-POG</x:v>
      </x:c>
      <x:c r="D21" s="40" t="str">
        <x:f>'Family Demand'!D21</x:f>
        <x:v>Port-opening group</x:v>
      </x:c>
      <x:c r="E21" s="40" t="str">
        <x:f>'Family Demand'!E21</x:f>
        <x:v>Maritime Response</x:v>
      </x:c>
      <x:c r="F21" s="40" t="n">
        <x:f>'Family Demand'!P21</x:f>
        <x:v>32</x:v>
      </x:c>
      <x:c r="G21" s="50" t="n">
        <x:f>F21*(1+Controls!$D$7)</x:f>
        <x:v>38.4</x:v>
      </x:c>
      <x:c r="H21" s="47" t="n">
        <x:f>'Family Inputs'!M21</x:f>
        <x:v>0.65</x:v>
      </x:c>
      <x:c r="I21" s="47" t="n">
        <x:f>Controls!$D$10</x:f>
        <x:v>0.2</x:v>
      </x:c>
      <x:c r="J21" s="40" t="n">
        <x:f>CEILING(G21/H21,1)</x:f>
        <x:v>60</x:v>
      </x:c>
      <x:c r="K21" s="40" t="n">
        <x:f>CEILING(G21/(H21*(1-I21)),1)</x:f>
        <x:v>74</x:v>
      </x:c>
      <x:c r="L21" s="40" t="n">
        <x:f>CEILING('Family Demand'!R21*Controls!$D$11/(1-I21),1)</x:f>
        <x:v>27</x:v>
      </x:c>
      <x:c r="M21" s="40" t="n">
        <x:f>MAX(J21:L21)</x:f>
        <x:v>74</x:v>
      </x:c>
      <x:c r="N21" s="50" t="n">
        <x:f>M21*H21*(1-I21)</x:f>
        <x:v>38.480000000000004</x:v>
      </x:c>
      <x:c r="O21" s="50" t="n">
        <x:f>N21-F21</x:f>
        <x:v>6.480000000000004</x:v>
      </x:c>
      <x:c r="P21" s="50" t="n">
        <x:f>N21-G21</x:f>
        <x:v>0.0800000000000054</x:v>
      </x:c>
      <x:c r="Q21" s="40" t="n">
        <x:v>60</x:v>
      </x:c>
      <x:c r="R21" s="40" t="n">
        <x:f>M21-Q21</x:f>
        <x:v>14</x:v>
      </x:c>
      <x:c r="S21" s="40" t="str">
        <x:f>IF(P21&gt;=0,"PASS","FAIL")</x:f>
        <x:v>PASS</x:v>
      </x:c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 t="str">
        <x:f>'Family Demand'!C22</x:f>
        <x:v>M-LAG</x:v>
      </x:c>
      <x:c r="D22" s="40" t="str">
        <x:f>'Family Demand'!D22</x:f>
        <x:v>Littoral-access group</x:v>
      </x:c>
      <x:c r="E22" s="40" t="str">
        <x:f>'Family Demand'!E22</x:f>
        <x:v>Maritime Response</x:v>
      </x:c>
      <x:c r="F22" s="40" t="n">
        <x:f>'Family Demand'!P22</x:f>
        <x:v>37</x:v>
      </x:c>
      <x:c r="G22" s="50" t="n">
        <x:f>F22*(1+Controls!$D$7)</x:f>
        <x:v>44.4</x:v>
      </x:c>
      <x:c r="H22" s="47" t="n">
        <x:f>'Family Inputs'!M22</x:f>
        <x:v>0.65</x:v>
      </x:c>
      <x:c r="I22" s="47" t="n">
        <x:f>Controls!$D$10</x:f>
        <x:v>0.2</x:v>
      </x:c>
      <x:c r="J22" s="40" t="n">
        <x:f>CEILING(G22/H22,1)</x:f>
        <x:v>69</x:v>
      </x:c>
      <x:c r="K22" s="40" t="n">
        <x:f>CEILING(G22/(H22*(1-I22)),1)</x:f>
        <x:v>86</x:v>
      </x:c>
      <x:c r="L22" s="40" t="n">
        <x:f>CEILING('Family Demand'!R22*Controls!$D$11/(1-I22),1)</x:f>
        <x:v>30</x:v>
      </x:c>
      <x:c r="M22" s="40" t="n">
        <x:f>MAX(J22:L22)</x:f>
        <x:v>86</x:v>
      </x:c>
      <x:c r="N22" s="50" t="n">
        <x:f>M22*H22*(1-I22)</x:f>
        <x:v>44.72</x:v>
      </x:c>
      <x:c r="O22" s="50" t="n">
        <x:f>N22-F22</x:f>
        <x:v>7.719999999999999</x:v>
      </x:c>
      <x:c r="P22" s="50" t="n">
        <x:f>N22-G22</x:f>
        <x:v>0.3200000000000003</x:v>
      </x:c>
      <x:c r="Q22" s="40" t="n">
        <x:v>69</x:v>
      </x:c>
      <x:c r="R22" s="40" t="n">
        <x:f>M22-Q22</x:f>
        <x:v>17</x:v>
      </x:c>
      <x:c r="S22" s="40" t="str">
        <x:f>IF(P22&gt;=0,"PASS","FAIL")</x:f>
        <x:v>PASS</x:v>
      </x:c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 t="str">
        <x:f>'Family Demand'!C23</x:f>
        <x:v>M-IWG</x:v>
      </x:c>
      <x:c r="D23" s="40" t="str">
        <x:f>'Family Demand'!D23</x:f>
        <x:v>Inland-waterway group</x:v>
      </x:c>
      <x:c r="E23" s="40" t="str">
        <x:f>'Family Demand'!E23</x:f>
        <x:v>Maritime Response</x:v>
      </x:c>
      <x:c r="F23" s="40" t="n">
        <x:f>'Family Demand'!P23</x:f>
        <x:v>29</x:v>
      </x:c>
      <x:c r="G23" s="50" t="n">
        <x:f>F23*(1+Controls!$D$7)</x:f>
        <x:v>34.8</x:v>
      </x:c>
      <x:c r="H23" s="47" t="n">
        <x:f>'Family Inputs'!M23</x:f>
        <x:v>0.65</x:v>
      </x:c>
      <x:c r="I23" s="47" t="n">
        <x:f>Controls!$D$10</x:f>
        <x:v>0.2</x:v>
      </x:c>
      <x:c r="J23" s="40" t="n">
        <x:f>CEILING(G23/H23,1)</x:f>
        <x:v>54</x:v>
      </x:c>
      <x:c r="K23" s="40" t="n">
        <x:f>CEILING(G23/(H23*(1-I23)),1)</x:f>
        <x:v>67</x:v>
      </x:c>
      <x:c r="L23" s="40" t="n">
        <x:f>CEILING('Family Demand'!R23*Controls!$D$11/(1-I23),1)</x:f>
        <x:v>14</x:v>
      </x:c>
      <x:c r="M23" s="40" t="n">
        <x:f>MAX(J23:L23)</x:f>
        <x:v>67</x:v>
      </x:c>
      <x:c r="N23" s="50" t="n">
        <x:f>M23*H23*(1-I23)</x:f>
        <x:v>34.84</x:v>
      </x:c>
      <x:c r="O23" s="50" t="n">
        <x:f>N23-F23</x:f>
        <x:v>5.840000000000003</x:v>
      </x:c>
      <x:c r="P23" s="50" t="n">
        <x:f>N23-G23</x:f>
        <x:v>0.04000000000000625</x:v>
      </x:c>
      <x:c r="Q23" s="40" t="n">
        <x:v>54</x:v>
      </x:c>
      <x:c r="R23" s="40" t="n">
        <x:f>M23-Q23</x:f>
        <x:v>13</x:v>
      </x:c>
      <x:c r="S23" s="40" t="str">
        <x:f>IF(P23&gt;=0,"PASS","FAIL")</x:f>
        <x:v>PASS</x:v>
      </x:c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 t="str">
        <x:f>'Family Demand'!C24</x:f>
        <x:v>M-OSG</x:v>
      </x:c>
      <x:c r="D24" s="40" t="str">
        <x:f>'Family Demand'!D24</x:f>
        <x:v>Offshore-support group</x:v>
      </x:c>
      <x:c r="E24" s="40" t="str">
        <x:f>'Family Demand'!E24</x:f>
        <x:v>Maritime Response</x:v>
      </x:c>
      <x:c r="F24" s="40" t="n">
        <x:f>'Family Demand'!P24</x:f>
        <x:v>24</x:v>
      </x:c>
      <x:c r="G24" s="50" t="n">
        <x:f>F24*(1+Controls!$D$7)</x:f>
        <x:v>28.799999999999997</x:v>
      </x:c>
      <x:c r="H24" s="47" t="n">
        <x:f>'Family Inputs'!M24</x:f>
        <x:v>0.65</x:v>
      </x:c>
      <x:c r="I24" s="47" t="n">
        <x:f>Controls!$D$10</x:f>
        <x:v>0.2</x:v>
      </x:c>
      <x:c r="J24" s="40" t="n">
        <x:f>CEILING(G24/H24,1)</x:f>
        <x:v>45</x:v>
      </x:c>
      <x:c r="K24" s="40" t="n">
        <x:f>CEILING(G24/(H24*(1-I24)),1)</x:f>
        <x:v>56</x:v>
      </x:c>
      <x:c r="L24" s="40" t="n">
        <x:f>CEILING('Family Demand'!R24*Controls!$D$11/(1-I24),1)</x:f>
        <x:v>21</x:v>
      </x:c>
      <x:c r="M24" s="40" t="n">
        <x:f>MAX(J24:L24)</x:f>
        <x:v>56</x:v>
      </x:c>
      <x:c r="N24" s="50" t="n">
        <x:f>M24*H24*(1-I24)</x:f>
        <x:v>29.12</x:v>
      </x:c>
      <x:c r="O24" s="50" t="n">
        <x:f>N24-F24</x:f>
        <x:v>5.120000000000001</x:v>
      </x:c>
      <x:c r="P24" s="50" t="n">
        <x:f>N24-G24</x:f>
        <x:v>0.32000000000000384</x:v>
      </x:c>
      <x:c r="Q24" s="40" t="n">
        <x:v>45</x:v>
      </x:c>
      <x:c r="R24" s="40" t="n">
        <x:f>M24-Q24</x:f>
        <x:v>11</x:v>
      </x:c>
      <x:c r="S24" s="40" t="str">
        <x:f>IF(P24&gt;=0,"PASS","FAIL")</x:f>
        <x:v>PASS</x:v>
      </x:c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 t="str">
        <x:f>'Family Demand'!C25</x:f>
        <x:v>M-SSG</x:v>
      </x:c>
      <x:c r="D25" s="40" t="str">
        <x:f>'Family Demand'!D25</x:f>
        <x:v>Ocean sustainment group</x:v>
      </x:c>
      <x:c r="E25" s="40" t="str">
        <x:f>'Family Demand'!E25</x:f>
        <x:v>Maritime Response</x:v>
      </x:c>
      <x:c r="F25" s="40" t="n">
        <x:f>'Family Demand'!P25</x:f>
        <x:v>38</x:v>
      </x:c>
      <x:c r="G25" s="50" t="n">
        <x:f>F25*(1+Controls!$D$7)</x:f>
        <x:v>45.6</x:v>
      </x:c>
      <x:c r="H25" s="47" t="n">
        <x:f>'Family Inputs'!M25</x:f>
        <x:v>0.65</x:v>
      </x:c>
      <x:c r="I25" s="47" t="n">
        <x:f>Controls!$D$10</x:f>
        <x:v>0.2</x:v>
      </x:c>
      <x:c r="J25" s="40" t="n">
        <x:f>CEILING(G25/H25,1)</x:f>
        <x:v>71</x:v>
      </x:c>
      <x:c r="K25" s="40" t="n">
        <x:f>CEILING(G25/(H25*(1-I25)),1)</x:f>
        <x:v>88</x:v>
      </x:c>
      <x:c r="L25" s="40" t="n">
        <x:f>CEILING('Family Demand'!R25*Controls!$D$11/(1-I25),1)</x:f>
        <x:v>30</x:v>
      </x:c>
      <x:c r="M25" s="40" t="n">
        <x:f>MAX(J25:L25)</x:f>
        <x:v>88</x:v>
      </x:c>
      <x:c r="N25" s="50" t="n">
        <x:f>M25*H25*(1-I25)</x:f>
        <x:v>45.760000000000005</x:v>
      </x:c>
      <x:c r="O25" s="50" t="n">
        <x:f>N25-F25</x:f>
        <x:v>7.760000000000005</x:v>
      </x:c>
      <x:c r="P25" s="50" t="n">
        <x:f>N25-G25</x:f>
        <x:v>0.1600000000000037</x:v>
      </x:c>
      <x:c r="Q25" s="40" t="n">
        <x:v>71</x:v>
      </x:c>
      <x:c r="R25" s="40" t="n">
        <x:f>M25-Q25</x:f>
        <x:v>17</x:v>
      </x:c>
      <x:c r="S25" s="40" t="str">
        <x:f>IF(P25&gt;=0,"PASS","FAIL")</x:f>
        <x:v>PASS</x:v>
      </x:c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 t="str">
        <x:f>'Family Demand'!C26</x:f>
        <x:v>I-CUG</x:v>
      </x:c>
      <x:c r="D26" s="40" t="str">
        <x:f>'Family Demand'!D26</x:f>
        <x:v>Communications utility group</x:v>
      </x:c>
      <x:c r="E26" s="40" t="str">
        <x:f>'Family Demand'!E26</x:f>
        <x:v>Infrastructure Restoration</x:v>
      </x:c>
      <x:c r="F26" s="40" t="n">
        <x:f>'Family Demand'!P26</x:f>
        <x:v>59</x:v>
      </x:c>
      <x:c r="G26" s="50" t="n">
        <x:f>F26*(1+Controls!$D$7)</x:f>
        <x:v>70.8</x:v>
      </x:c>
      <x:c r="H26" s="47" t="n">
        <x:f>'Family Inputs'!M26</x:f>
        <x:v>0.7</x:v>
      </x:c>
      <x:c r="I26" s="47" t="n">
        <x:f>Controls!$D$10</x:f>
        <x:v>0.2</x:v>
      </x:c>
      <x:c r="J26" s="40" t="n">
        <x:f>CEILING(G26/H26,1)</x:f>
        <x:v>102</x:v>
      </x:c>
      <x:c r="K26" s="40" t="n">
        <x:f>CEILING(G26/(H26*(1-I26)),1)</x:f>
        <x:v>127</x:v>
      </x:c>
      <x:c r="L26" s="40" t="n">
        <x:f>CEILING('Family Demand'!R26*Controls!$D$11/(1-I26),1)</x:f>
        <x:v>30</x:v>
      </x:c>
      <x:c r="M26" s="40" t="n">
        <x:f>MAX(J26:L26)</x:f>
        <x:v>127</x:v>
      </x:c>
      <x:c r="N26" s="50" t="n">
        <x:f>M26*H26*(1-I26)</x:f>
        <x:v>71.11999999999999</x:v>
      </x:c>
      <x:c r="O26" s="50" t="n">
        <x:f>N26-F26</x:f>
        <x:v>12.11999999999999</x:v>
      </x:c>
      <x:c r="P26" s="50" t="n">
        <x:f>N26-G26</x:f>
        <x:v>0.3199999999999932</x:v>
      </x:c>
      <x:c r="Q26" s="40" t="n">
        <x:v>102</x:v>
      </x:c>
      <x:c r="R26" s="40" t="n">
        <x:f>M26-Q26</x:f>
        <x:v>25</x:v>
      </x:c>
      <x:c r="S26" s="40" t="str">
        <x:f>IF(P26&gt;=0,"PASS","FAIL")</x:f>
        <x:v>PASS</x:v>
      </x:c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 t="str">
        <x:f>'Family Demand'!C27</x:f>
        <x:v>I-TSG</x:v>
      </x:c>
      <x:c r="D27" s="40" t="str">
        <x:f>'Family Demand'!D27</x:f>
        <x:v>Thermal safety group</x:v>
      </x:c>
      <x:c r="E27" s="40" t="str">
        <x:f>'Family Demand'!E27</x:f>
        <x:v>Infrastructure Restoration</x:v>
      </x:c>
      <x:c r="F27" s="40" t="n">
        <x:f>'Family Demand'!P27</x:f>
        <x:v>63</x:v>
      </x:c>
      <x:c r="G27" s="50" t="n">
        <x:f>F27*(1+Controls!$D$7)</x:f>
        <x:v>75.6</x:v>
      </x:c>
      <x:c r="H27" s="47" t="n">
        <x:f>'Family Inputs'!M27</x:f>
        <x:v>0.7</x:v>
      </x:c>
      <x:c r="I27" s="47" t="n">
        <x:f>Controls!$D$10</x:f>
        <x:v>0.2</x:v>
      </x:c>
      <x:c r="J27" s="40" t="n">
        <x:f>CEILING(G27/H27,1)</x:f>
        <x:v>108</x:v>
      </x:c>
      <x:c r="K27" s="40" t="n">
        <x:f>CEILING(G27/(H27*(1-I27)),1)</x:f>
        <x:v>135</x:v>
      </x:c>
      <x:c r="L27" s="40" t="n">
        <x:f>CEILING('Family Demand'!R27*Controls!$D$11/(1-I27),1)</x:f>
        <x:v>21</x:v>
      </x:c>
      <x:c r="M27" s="40" t="n">
        <x:f>MAX(J27:L27)</x:f>
        <x:v>135</x:v>
      </x:c>
      <x:c r="N27" s="50" t="n">
        <x:f>M27*H27*(1-I27)</x:f>
        <x:v>75.60000000000001</x:v>
      </x:c>
      <x:c r="O27" s="50" t="n">
        <x:f>N27-F27</x:f>
        <x:v>12.600000000000009</x:v>
      </x:c>
      <x:c r="P27" s="50" t="n">
        <x:f>N27-G27</x:f>
        <x:v>1.4210854715202004e-14</x:v>
      </x:c>
      <x:c r="Q27" s="40" t="n">
        <x:v>108</x:v>
      </x:c>
      <x:c r="R27" s="40" t="n">
        <x:f>M27-Q27</x:f>
        <x:v>27</x:v>
      </x:c>
      <x:c r="S27" s="40" t="str">
        <x:f>IF(P27&gt;=0,"PASS","FAIL")</x:f>
        <x:v>PASS</x:v>
      </x:c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 t="str">
        <x:f>'Family Demand'!C28</x:f>
        <x:v>I-URG</x:v>
      </x:c>
      <x:c r="D28" s="40" t="str">
        <x:f>'Family Demand'!D28</x:f>
        <x:v>Utility reconstruction group</x:v>
      </x:c>
      <x:c r="E28" s="40" t="str">
        <x:f>'Family Demand'!E28</x:f>
        <x:v>Infrastructure Restoration</x:v>
      </x:c>
      <x:c r="F28" s="40" t="n">
        <x:f>'Family Demand'!P28</x:f>
        <x:v>73</x:v>
      </x:c>
      <x:c r="G28" s="50" t="n">
        <x:f>F28*(1+Controls!$D$7)</x:f>
        <x:v>87.6</x:v>
      </x:c>
      <x:c r="H28" s="47" t="n">
        <x:f>'Family Inputs'!M28</x:f>
        <x:v>0.7</x:v>
      </x:c>
      <x:c r="I28" s="47" t="n">
        <x:f>Controls!$D$10</x:f>
        <x:v>0.2</x:v>
      </x:c>
      <x:c r="J28" s="40" t="n">
        <x:f>CEILING(G28/H28,1)</x:f>
        <x:v>126</x:v>
      </x:c>
      <x:c r="K28" s="40" t="n">
        <x:f>CEILING(G28/(H28*(1-I28)),1)</x:f>
        <x:v>157</x:v>
      </x:c>
      <x:c r="L28" s="40" t="n">
        <x:f>CEILING('Family Demand'!R28*Controls!$D$11/(1-I28),1)</x:f>
        <x:v>34</x:v>
      </x:c>
      <x:c r="M28" s="40" t="n">
        <x:f>MAX(J28:L28)</x:f>
        <x:v>157</x:v>
      </x:c>
      <x:c r="N28" s="50" t="n">
        <x:f>M28*H28*(1-I28)</x:f>
        <x:v>87.92</x:v>
      </x:c>
      <x:c r="O28" s="50" t="n">
        <x:f>N28-F28</x:f>
        <x:v>14.920000000000002</x:v>
      </x:c>
      <x:c r="P28" s="50" t="n">
        <x:f>N28-G28</x:f>
        <x:v>0.3200000000000074</x:v>
      </x:c>
      <x:c r="Q28" s="40" t="n">
        <x:v>126</x:v>
      </x:c>
      <x:c r="R28" s="40" t="n">
        <x:f>M28-Q28</x:f>
        <x:v>31</x:v>
      </x:c>
      <x:c r="S28" s="40" t="str">
        <x:f>IF(P28&gt;=0,"PASS","FAIL")</x:f>
        <x:v>PASS</x:v>
      </x:c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 t="str">
        <x:f>'Family Demand'!C29</x:f>
        <x:v>H-CHC</x:v>
      </x:c>
      <x:c r="D29" s="40" t="str">
        <x:f>'Family Demand'!D29</x:f>
        <x:v>Community health continuity group</x:v>
      </x:c>
      <x:c r="E29" s="40" t="str">
        <x:f>'Family Demand'!E29</x:f>
        <x:v>Health Protection</x:v>
      </x:c>
      <x:c r="F29" s="40" t="n">
        <x:f>'Family Demand'!P29</x:f>
        <x:v>75</x:v>
      </x:c>
      <x:c r="G29" s="50" t="n">
        <x:f>F29*(1+Controls!$D$7)</x:f>
        <x:v>90</x:v>
      </x:c>
      <x:c r="H29" s="47" t="n">
        <x:f>'Family Inputs'!M29</x:f>
        <x:v>0.65</x:v>
      </x:c>
      <x:c r="I29" s="47" t="n">
        <x:f>Controls!$D$10</x:f>
        <x:v>0.2</x:v>
      </x:c>
      <x:c r="J29" s="40" t="n">
        <x:f>CEILING(G29/H29,1)</x:f>
        <x:v>139</x:v>
      </x:c>
      <x:c r="K29" s="40" t="n">
        <x:f>CEILING(G29/(H29*(1-I29)),1)</x:f>
        <x:v>174</x:v>
      </x:c>
      <x:c r="L29" s="40" t="n">
        <x:f>CEILING('Family Demand'!R29*Controls!$D$11/(1-I29),1)</x:f>
        <x:v>38</x:v>
      </x:c>
      <x:c r="M29" s="40" t="n">
        <x:f>MAX(J29:L29)</x:f>
        <x:v>174</x:v>
      </x:c>
      <x:c r="N29" s="50" t="n">
        <x:f>M29*H29*(1-I29)</x:f>
        <x:v>90.48000000000002</x:v>
      </x:c>
      <x:c r="O29" s="50" t="n">
        <x:f>N29-F29</x:f>
        <x:v>15.480000000000018</x:v>
      </x:c>
      <x:c r="P29" s="50" t="n">
        <x:f>N29-G29</x:f>
        <x:v>0.4800000000000182</x:v>
      </x:c>
      <x:c r="Q29" s="40" t="n">
        <x:v>139</x:v>
      </x:c>
      <x:c r="R29" s="40" t="n">
        <x:f>M29-Q29</x:f>
        <x:v>35</x:v>
      </x:c>
      <x:c r="S29" s="40" t="str">
        <x:f>IF(P29&gt;=0,"PASS","FAIL")</x:f>
        <x:v>PASS</x:v>
      </x:c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 t="str">
        <x:f>'Family Demand'!C30</x:f>
        <x:v>H-MAC</x:v>
      </x:c>
      <x:c r="D30" s="40" t="str">
        <x:f>'Family Demand'!D30</x:f>
        <x:v>Mobile acute-care group</x:v>
      </x:c>
      <x:c r="E30" s="40" t="str">
        <x:f>'Family Demand'!E30</x:f>
        <x:v>Health Protection</x:v>
      </x:c>
      <x:c r="F30" s="40" t="n">
        <x:f>'Family Demand'!P30</x:f>
        <x:v>49</x:v>
      </x:c>
      <x:c r="G30" s="50" t="n">
        <x:f>F30*(1+Controls!$D$7)</x:f>
        <x:v>58.8</x:v>
      </x:c>
      <x:c r="H30" s="47" t="n">
        <x:f>'Family Inputs'!M30</x:f>
        <x:v>0.65</x:v>
      </x:c>
      <x:c r="I30" s="47" t="n">
        <x:f>Controls!$D$10</x:f>
        <x:v>0.2</x:v>
      </x:c>
      <x:c r="J30" s="40" t="n">
        <x:f>CEILING(G30/H30,1)</x:f>
        <x:v>91</x:v>
      </x:c>
      <x:c r="K30" s="40" t="n">
        <x:f>CEILING(G30/(H30*(1-I30)),1)</x:f>
        <x:v>114</x:v>
      </x:c>
      <x:c r="L30" s="40" t="n">
        <x:f>CEILING('Family Demand'!R30*Controls!$D$11/(1-I30),1)</x:f>
        <x:v>27</x:v>
      </x:c>
      <x:c r="M30" s="40" t="n">
        <x:f>MAX(J30:L30)</x:f>
        <x:v>114</x:v>
      </x:c>
      <x:c r="N30" s="50" t="n">
        <x:f>M30*H30*(1-I30)</x:f>
        <x:v>59.28000000000001</x:v>
      </x:c>
      <x:c r="O30" s="50" t="n">
        <x:f>N30-F30</x:f>
        <x:v>10.280000000000008</x:v>
      </x:c>
      <x:c r="P30" s="50" t="n">
        <x:f>N30-G30</x:f>
        <x:v>0.4800000000000111</x:v>
      </x:c>
      <x:c r="Q30" s="40" t="n">
        <x:v>91</x:v>
      </x:c>
      <x:c r="R30" s="40" t="n">
        <x:f>M30-Q30</x:f>
        <x:v>23</x:v>
      </x:c>
      <x:c r="S30" s="40" t="str">
        <x:f>IF(P30&gt;=0,"PASS","FAIL")</x:f>
        <x:v>PASS</x:v>
      </x:c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 t="str">
        <x:f>'Family Demand'!C31</x:f>
        <x:v>H-PHC</x:v>
      </x:c>
      <x:c r="D31" s="40" t="str">
        <x:f>'Family Demand'!D31</x:f>
        <x:v>Public-health control group</x:v>
      </x:c>
      <x:c r="E31" s="40" t="str">
        <x:f>'Family Demand'!E31</x:f>
        <x:v>Health Protection</x:v>
      </x:c>
      <x:c r="F31" s="40" t="n">
        <x:f>'Family Demand'!P31</x:f>
        <x:v>42</x:v>
      </x:c>
      <x:c r="G31" s="50" t="n">
        <x:f>F31*(1+Controls!$D$7)</x:f>
        <x:v>50.4</x:v>
      </x:c>
      <x:c r="H31" s="47" t="n">
        <x:f>'Family Inputs'!M31</x:f>
        <x:v>0.65</x:v>
      </x:c>
      <x:c r="I31" s="47" t="n">
        <x:f>Controls!$D$10</x:f>
        <x:v>0.2</x:v>
      </x:c>
      <x:c r="J31" s="40" t="n">
        <x:f>CEILING(G31/H31,1)</x:f>
        <x:v>78</x:v>
      </x:c>
      <x:c r="K31" s="40" t="n">
        <x:f>CEILING(G31/(H31*(1-I31)),1)</x:f>
        <x:v>97</x:v>
      </x:c>
      <x:c r="L31" s="40" t="n">
        <x:f>CEILING('Family Demand'!R31*Controls!$D$11/(1-I31),1)</x:f>
        <x:v>23</x:v>
      </x:c>
      <x:c r="M31" s="40" t="n">
        <x:f>MAX(J31:L31)</x:f>
        <x:v>97</x:v>
      </x:c>
      <x:c r="N31" s="50" t="n">
        <x:f>M31*H31*(1-I31)</x:f>
        <x:v>50.440000000000005</x:v>
      </x:c>
      <x:c r="O31" s="50" t="n">
        <x:f>N31-F31</x:f>
        <x:v>8.440000000000005</x:v>
      </x:c>
      <x:c r="P31" s="50" t="n">
        <x:f>N31-G31</x:f>
        <x:v>0.04000000000000625</x:v>
      </x:c>
      <x:c r="Q31" s="40" t="n">
        <x:v>78</x:v>
      </x:c>
      <x:c r="R31" s="40" t="n">
        <x:f>M31-Q31</x:f>
        <x:v>19</x:v>
      </x:c>
      <x:c r="S31" s="40" t="str">
        <x:f>IF(P31&gt;=0,"PASS","FAIL")</x:f>
        <x:v>PASS</x:v>
      </x:c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 t="str">
        <x:f>'Family Demand'!C32</x:f>
        <x:v>H-HWR</x:v>
      </x:c>
      <x:c r="D32" s="40" t="str">
        <x:f>'Family Demand'!D32</x:f>
        <x:v>Health workforce replacement group</x:v>
      </x:c>
      <x:c r="E32" s="40" t="str">
        <x:f>'Family Demand'!E32</x:f>
        <x:v>Health Protection</x:v>
      </x:c>
      <x:c r="F32" s="40" t="n">
        <x:f>'Family Demand'!P32</x:f>
        <x:v>75</x:v>
      </x:c>
      <x:c r="G32" s="50" t="n">
        <x:f>F32*(1+Controls!$D$7)</x:f>
        <x:v>90</x:v>
      </x:c>
      <x:c r="H32" s="47" t="n">
        <x:f>'Family Inputs'!M32</x:f>
        <x:v>0.65</x:v>
      </x:c>
      <x:c r="I32" s="47" t="n">
        <x:f>Controls!$D$10</x:f>
        <x:v>0.2</x:v>
      </x:c>
      <x:c r="J32" s="40" t="n">
        <x:f>CEILING(G32/H32,1)</x:f>
        <x:v>139</x:v>
      </x:c>
      <x:c r="K32" s="40" t="n">
        <x:f>CEILING(G32/(H32*(1-I32)),1)</x:f>
        <x:v>174</x:v>
      </x:c>
      <x:c r="L32" s="40" t="n">
        <x:f>CEILING('Family Demand'!R32*Controls!$D$11/(1-I32),1)</x:f>
        <x:v>38</x:v>
      </x:c>
      <x:c r="M32" s="40" t="n">
        <x:f>MAX(J32:L32)</x:f>
        <x:v>174</x:v>
      </x:c>
      <x:c r="N32" s="50" t="n">
        <x:f>M32*H32*(1-I32)</x:f>
        <x:v>90.48000000000002</x:v>
      </x:c>
      <x:c r="O32" s="50" t="n">
        <x:f>N32-F32</x:f>
        <x:v>15.480000000000018</x:v>
      </x:c>
      <x:c r="P32" s="50" t="n">
        <x:f>N32-G32</x:f>
        <x:v>0.4800000000000182</x:v>
      </x:c>
      <x:c r="Q32" s="40" t="n">
        <x:v>139</x:v>
      </x:c>
      <x:c r="R32" s="40" t="n">
        <x:f>M32-Q32</x:f>
        <x:v>35</x:v>
      </x:c>
      <x:c r="S32" s="40" t="str">
        <x:f>IF(P32&gt;=0,"PASS","FAIL")</x:f>
        <x:v>PASS</x:v>
      </x:c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 t="str">
        <x:f>'Family Demand'!C33</x:f>
        <x:v>C-PSG</x:v>
      </x:c>
      <x:c r="D33" s="40" t="str">
        <x:f>'Family Demand'!D33</x:f>
        <x:v>Population support group</x:v>
      </x:c>
      <x:c r="E33" s="40" t="str">
        <x:f>'Family Demand'!E33</x:f>
        <x:v>Community Stabilization</x:v>
      </x:c>
      <x:c r="F33" s="40" t="n">
        <x:f>'Family Demand'!P33</x:f>
        <x:v>108</x:v>
      </x:c>
      <x:c r="G33" s="50" t="n">
        <x:f>F33*(1+Controls!$D$7)</x:f>
        <x:v>129.6</x:v>
      </x:c>
      <x:c r="H33" s="47" t="n">
        <x:f>'Family Inputs'!M33</x:f>
        <x:v>0.75</x:v>
      </x:c>
      <x:c r="I33" s="47" t="n">
        <x:f>Controls!$D$10</x:f>
        <x:v>0.2</x:v>
      </x:c>
      <x:c r="J33" s="40" t="n">
        <x:f>CEILING(G33/H33,1)</x:f>
        <x:v>173</x:v>
      </x:c>
      <x:c r="K33" s="40" t="n">
        <x:f>CEILING(G33/(H33*(1-I33)),1)</x:f>
        <x:v>216</x:v>
      </x:c>
      <x:c r="L33" s="40" t="n">
        <x:f>CEILING('Family Demand'!R33*Controls!$D$11/(1-I33),1)</x:f>
        <x:v>57</x:v>
      </x:c>
      <x:c r="M33" s="40" t="n">
        <x:f>MAX(J33:L33)</x:f>
        <x:v>216</x:v>
      </x:c>
      <x:c r="N33" s="50" t="n">
        <x:f>M33*H33*(1-I33)</x:f>
        <x:v>129.6</x:v>
      </x:c>
      <x:c r="O33" s="50" t="n">
        <x:f>N33-F33</x:f>
        <x:v>21.599999999999994</x:v>
      </x:c>
      <x:c r="P33" s="50" t="n">
        <x:f>N33-G33</x:f>
        <x:v>0</x:v>
      </x:c>
      <x:c r="Q33" s="40" t="n">
        <x:v>173</x:v>
      </x:c>
      <x:c r="R33" s="40" t="n">
        <x:f>M33-Q33</x:f>
        <x:v>43</x:v>
      </x:c>
      <x:c r="S33" s="40" t="str">
        <x:f>IF(P33&gt;=0,"PASS","FAIL")</x:f>
        <x:v>PASS</x:v>
      </x:c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 t="str">
        <x:f>'Family Demand'!C34</x:f>
        <x:v>C-EGG</x:v>
      </x:c>
      <x:c r="D34" s="40" t="str">
        <x:f>'Family Demand'!D34</x:f>
        <x:v>Essential-goods group</x:v>
      </x:c>
      <x:c r="E34" s="40" t="str">
        <x:f>'Family Demand'!E34</x:f>
        <x:v>Community Stabilization</x:v>
      </x:c>
      <x:c r="F34" s="40" t="n">
        <x:f>'Family Demand'!P34</x:f>
        <x:v>108</x:v>
      </x:c>
      <x:c r="G34" s="50" t="n">
        <x:f>F34*(1+Controls!$D$7)</x:f>
        <x:v>129.6</x:v>
      </x:c>
      <x:c r="H34" s="47" t="n">
        <x:f>'Family Inputs'!M34</x:f>
        <x:v>0.75</x:v>
      </x:c>
      <x:c r="I34" s="47" t="n">
        <x:f>Controls!$D$10</x:f>
        <x:v>0.2</x:v>
      </x:c>
      <x:c r="J34" s="40" t="n">
        <x:f>CEILING(G34/H34,1)</x:f>
        <x:v>173</x:v>
      </x:c>
      <x:c r="K34" s="40" t="n">
        <x:f>CEILING(G34/(H34*(1-I34)),1)</x:f>
        <x:v>216</x:v>
      </x:c>
      <x:c r="L34" s="40" t="n">
        <x:f>CEILING('Family Demand'!R34*Controls!$D$11/(1-I34),1)</x:f>
        <x:v>57</x:v>
      </x:c>
      <x:c r="M34" s="40" t="n">
        <x:f>MAX(J34:L34)</x:f>
        <x:v>216</x:v>
      </x:c>
      <x:c r="N34" s="50" t="n">
        <x:f>M34*H34*(1-I34)</x:f>
        <x:v>129.6</x:v>
      </x:c>
      <x:c r="O34" s="50" t="n">
        <x:f>N34-F34</x:f>
        <x:v>21.599999999999994</x:v>
      </x:c>
      <x:c r="P34" s="50" t="n">
        <x:f>N34-G34</x:f>
        <x:v>0</x:v>
      </x:c>
      <x:c r="Q34" s="40" t="n">
        <x:v>173</x:v>
      </x:c>
      <x:c r="R34" s="40" t="n">
        <x:f>M34-Q34</x:f>
        <x:v>43</x:v>
      </x:c>
      <x:c r="S34" s="40" t="str">
        <x:f>IF(P34&gt;=0,"PASS","FAIL")</x:f>
        <x:v>PASS</x:v>
      </x:c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 t="str">
        <x:f>'Family Demand'!C35</x:f>
        <x:v>C-CAG</x:v>
      </x:c>
      <x:c r="D35" s="40" t="str">
        <x:f>'Family Demand'!D35</x:f>
        <x:v>Civil access group</x:v>
      </x:c>
      <x:c r="E35" s="40" t="str">
        <x:f>'Family Demand'!E35</x:f>
        <x:v>Community Stabilization</x:v>
      </x:c>
      <x:c r="F35" s="40" t="n">
        <x:f>'Family Demand'!P35</x:f>
        <x:v>82</x:v>
      </x:c>
      <x:c r="G35" s="50" t="n">
        <x:f>F35*(1+Controls!$D$7)</x:f>
        <x:v>98.39999999999999</x:v>
      </x:c>
      <x:c r="H35" s="47" t="n">
        <x:f>'Family Inputs'!M35</x:f>
        <x:v>0.75</x:v>
      </x:c>
      <x:c r="I35" s="47" t="n">
        <x:f>Controls!$D$10</x:f>
        <x:v>0.2</x:v>
      </x:c>
      <x:c r="J35" s="40" t="n">
        <x:f>CEILING(G35/H35,1)</x:f>
        <x:v>132</x:v>
      </x:c>
      <x:c r="K35" s="40" t="n">
        <x:f>CEILING(G35/(H35*(1-I35)),1)</x:f>
        <x:v>164</x:v>
      </x:c>
      <x:c r="L35" s="40" t="n">
        <x:f>CEILING('Family Demand'!R35*Controls!$D$11/(1-I35),1)</x:f>
        <x:v>42</x:v>
      </x:c>
      <x:c r="M35" s="40" t="n">
        <x:f>MAX(J35:L35)</x:f>
        <x:v>164</x:v>
      </x:c>
      <x:c r="N35" s="50" t="n">
        <x:f>M35*H35*(1-I35)</x:f>
        <x:v>98.4</x:v>
      </x:c>
      <x:c r="O35" s="50" t="n">
        <x:f>N35-F35</x:f>
        <x:v>16.400000000000006</x:v>
      </x:c>
      <x:c r="P35" s="50" t="n">
        <x:f>N35-G35</x:f>
        <x:v>1.4210854715202004e-14</x:v>
      </x:c>
      <x:c r="Q35" s="40" t="n">
        <x:v>132</x:v>
      </x:c>
      <x:c r="R35" s="40" t="n">
        <x:f>M35-Q35</x:f>
        <x:v>32</x:v>
      </x:c>
      <x:c r="S35" s="40" t="str">
        <x:f>IF(P35&gt;=0,"PASS","FAIL")</x:f>
        <x:v>PASS</x:v>
      </x:c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 t="str">
        <x:f>'Family Demand'!C36</x:f>
        <x:v>C-DTG</x:v>
      </x:c>
      <x:c r="D36" s="40" t="str">
        <x:f>'Family Demand'!D36</x:f>
        <x:v>Displacement transition group</x:v>
      </x:c>
      <x:c r="E36" s="40" t="str">
        <x:f>'Family Demand'!E36</x:f>
        <x:v>Community Stabilization</x:v>
      </x:c>
      <x:c r="F36" s="40" t="n">
        <x:f>'Family Demand'!P36</x:f>
        <x:v>79</x:v>
      </x:c>
      <x:c r="G36" s="50" t="n">
        <x:f>F36*(1+Controls!$D$7)</x:f>
        <x:v>94.8</x:v>
      </x:c>
      <x:c r="H36" s="47" t="n">
        <x:f>'Family Inputs'!M36</x:f>
        <x:v>0.75</x:v>
      </x:c>
      <x:c r="I36" s="47" t="n">
        <x:f>Controls!$D$10</x:f>
        <x:v>0.2</x:v>
      </x:c>
      <x:c r="J36" s="40" t="n">
        <x:f>CEILING(G36/H36,1)</x:f>
        <x:v>127</x:v>
      </x:c>
      <x:c r="K36" s="40" t="n">
        <x:f>CEILING(G36/(H36*(1-I36)),1)</x:f>
        <x:v>158</x:v>
      </x:c>
      <x:c r="L36" s="40" t="n">
        <x:f>CEILING('Family Demand'!R36*Controls!$D$11/(1-I36),1)</x:f>
        <x:v>45</x:v>
      </x:c>
      <x:c r="M36" s="40" t="n">
        <x:f>MAX(J36:L36)</x:f>
        <x:v>158</x:v>
      </x:c>
      <x:c r="N36" s="50" t="n">
        <x:f>M36*H36*(1-I36)</x:f>
        <x:v>94.80000000000001</x:v>
      </x:c>
      <x:c r="O36" s="50" t="n">
        <x:f>N36-F36</x:f>
        <x:v>15.800000000000011</x:v>
      </x:c>
      <x:c r="P36" s="50" t="n">
        <x:f>N36-G36</x:f>
        <x:v>1.4210854715202004e-14</x:v>
      </x:c>
      <x:c r="Q36" s="40" t="n">
        <x:v>127</x:v>
      </x:c>
      <x:c r="R36" s="40" t="n">
        <x:f>M36-Q36</x:f>
        <x:v>31</x:v>
      </x:c>
      <x:c r="S36" s="40" t="str">
        <x:f>IF(P36&gt;=0,"PASS","FAIL")</x:f>
        <x:v>PASS</x:v>
      </x:c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 t="str">
        <x:f>'Family Demand'!C37</x:f>
        <x:v>C-CIG</x:v>
      </x:c>
      <x:c r="D37" s="40" t="str">
        <x:f>'Family Demand'!D37</x:f>
        <x:v>Community institutions group</x:v>
      </x:c>
      <x:c r="E37" s="40" t="str">
        <x:f>'Family Demand'!E37</x:f>
        <x:v>Community Stabilization</x:v>
      </x:c>
      <x:c r="F37" s="40" t="n">
        <x:f>'Family Demand'!P37</x:f>
        <x:v>66</x:v>
      </x:c>
      <x:c r="G37" s="50" t="n">
        <x:f>F37*(1+Controls!$D$7)</x:f>
        <x:v>79.2</x:v>
      </x:c>
      <x:c r="H37" s="47" t="n">
        <x:f>'Family Inputs'!M37</x:f>
        <x:v>0.75</x:v>
      </x:c>
      <x:c r="I37" s="47" t="n">
        <x:f>Controls!$D$10</x:f>
        <x:v>0.2</x:v>
      </x:c>
      <x:c r="J37" s="40" t="n">
        <x:f>CEILING(G37/H37,1)</x:f>
        <x:v>106</x:v>
      </x:c>
      <x:c r="K37" s="40" t="n">
        <x:f>CEILING(G37/(H37*(1-I37)),1)</x:f>
        <x:v>132</x:v>
      </x:c>
      <x:c r="L37" s="40" t="n">
        <x:f>CEILING('Family Demand'!R37*Controls!$D$11/(1-I37),1)</x:f>
        <x:v>34</x:v>
      </x:c>
      <x:c r="M37" s="40" t="n">
        <x:f>MAX(J37:L37)</x:f>
        <x:v>132</x:v>
      </x:c>
      <x:c r="N37" s="50" t="n">
        <x:f>M37*H37*(1-I37)</x:f>
        <x:v>79.2</x:v>
      </x:c>
      <x:c r="O37" s="50" t="n">
        <x:f>N37-F37</x:f>
        <x:v>13.200000000000003</x:v>
      </x:c>
      <x:c r="P37" s="50" t="n">
        <x:f>N37-G37</x:f>
        <x:v>0</x:v>
      </x:c>
      <x:c r="Q37" s="40" t="n">
        <x:v>106</x:v>
      </x:c>
      <x:c r="R37" s="40" t="n">
        <x:f>M37-Q37</x:f>
        <x:v>26</x:v>
      </x:c>
      <x:c r="S37" s="40" t="str">
        <x:f>IF(P37&gt;=0,"PASS","FAIL")</x:f>
        <x:v>PASS</x:v>
      </x:c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 t="str">
        <x:f>'Family Demand'!C38</x:f>
        <x:v>J-RIG</x:v>
      </x:c>
      <x:c r="D38" s="40" t="str">
        <x:f>'Family Demand'!D38</x:f>
        <x:v>Resilience information group</x:v>
      </x:c>
      <x:c r="E38" s="40" t="str">
        <x:f>'Family Demand'!E38</x:f>
        <x:v>Joint</x:v>
      </x:c>
      <x:c r="F38" s="40" t="n">
        <x:f>'Family Demand'!P38</x:f>
        <x:v>59</x:v>
      </x:c>
      <x:c r="G38" s="50" t="n">
        <x:f>F38*(1+Controls!$D$7)</x:f>
        <x:v>70.8</x:v>
      </x:c>
      <x:c r="H38" s="47" t="n">
        <x:f>'Family Inputs'!M38</x:f>
        <x:v>0.78</x:v>
      </x:c>
      <x:c r="I38" s="47" t="n">
        <x:f>Controls!$D$10</x:f>
        <x:v>0.2</x:v>
      </x:c>
      <x:c r="J38" s="40" t="n">
        <x:f>CEILING(G38/H38,1)</x:f>
        <x:v>91</x:v>
      </x:c>
      <x:c r="K38" s="40" t="n">
        <x:f>CEILING(G38/(H38*(1-I38)),1)</x:f>
        <x:v>114</x:v>
      </x:c>
      <x:c r="L38" s="40" t="n">
        <x:f>CEILING('Family Demand'!R38*Controls!$D$11/(1-I38),1)</x:f>
        <x:v>30</x:v>
      </x:c>
      <x:c r="M38" s="40" t="n">
        <x:f>MAX(J38:L38)</x:f>
        <x:v>114</x:v>
      </x:c>
      <x:c r="N38" s="50" t="n">
        <x:f>M38*H38*(1-I38)</x:f>
        <x:v>71.13600000000001</x:v>
      </x:c>
      <x:c r="O38" s="50" t="n">
        <x:f>N38-F38</x:f>
        <x:v>12.13600000000001</x:v>
      </x:c>
      <x:c r="P38" s="50" t="n">
        <x:f>N38-G38</x:f>
        <x:v>0.33600000000001273</x:v>
      </x:c>
      <x:c r="Q38" s="40" t="n">
        <x:v>91</x:v>
      </x:c>
      <x:c r="R38" s="40" t="n">
        <x:f>M38-Q38</x:f>
        <x:v>23</x:v>
      </x:c>
      <x:c r="S38" s="40" t="str">
        <x:f>IF(P38&gt;=0,"PASS","FAIL")</x:f>
        <x:v>PASS</x:v>
      </x:c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 t="str">
        <x:f>'Family Demand'!C39</x:f>
        <x:v>M-MPG</x:v>
      </x:c>
      <x:c r="D39" s="40" t="str">
        <x:f>'Family Demand'!D39</x:f>
        <x:v>Maritime production group</x:v>
      </x:c>
      <x:c r="E39" s="40" t="str">
        <x:f>'Family Demand'!E39</x:f>
        <x:v>Maritime Response</x:v>
      </x:c>
      <x:c r="F39" s="40" t="n">
        <x:f>'Family Demand'!P39</x:f>
        <x:v>28</x:v>
      </x:c>
      <x:c r="G39" s="50" t="n">
        <x:f>F39*(1+Controls!$D$7)</x:f>
        <x:v>33.6</x:v>
      </x:c>
      <x:c r="H39" s="47" t="n">
        <x:f>'Family Inputs'!M39</x:f>
        <x:v>0.65</x:v>
      </x:c>
      <x:c r="I39" s="47" t="n">
        <x:f>Controls!$D$10</x:f>
        <x:v>0.2</x:v>
      </x:c>
      <x:c r="J39" s="40" t="n">
        <x:f>CEILING(G39/H39,1)</x:f>
        <x:v>52</x:v>
      </x:c>
      <x:c r="K39" s="40" t="n">
        <x:f>CEILING(G39/(H39*(1-I39)),1)</x:f>
        <x:v>65</x:v>
      </x:c>
      <x:c r="L39" s="40" t="n">
        <x:f>CEILING('Family Demand'!R39*Controls!$D$11/(1-I39),1)</x:f>
        <x:v>15</x:v>
      </x:c>
      <x:c r="M39" s="40" t="n">
        <x:f>MAX(J39:L39)</x:f>
        <x:v>65</x:v>
      </x:c>
      <x:c r="N39" s="50" t="n">
        <x:f>M39*H39*(1-I39)</x:f>
        <x:v>33.800000000000004</x:v>
      </x:c>
      <x:c r="O39" s="50" t="n">
        <x:f>N39-F39</x:f>
        <x:v>5.800000000000004</x:v>
      </x:c>
      <x:c r="P39" s="50" t="n">
        <x:f>N39-G39</x:f>
        <x:v>0.20000000000000284</x:v>
      </x:c>
      <x:c r="Q39" s="40" t="n">
        <x:v>52</x:v>
      </x:c>
      <x:c r="R39" s="40" t="n">
        <x:f>M39-Q39</x:f>
        <x:v>13</x:v>
      </x:c>
      <x:c r="S39" s="40" t="str">
        <x:f>IF(P39&gt;=0,"PASS","FAIL")</x:f>
        <x:v>PASS</x:v>
      </x:c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 t="str">
        <x:f>'Family Demand'!C40</x:f>
        <x:v>I-WRG</x:v>
      </x:c>
      <x:c r="D40" s="40" t="str">
        <x:f>'Family Demand'!D40</x:f>
        <x:v>Water restoration group</x:v>
      </x:c>
      <x:c r="E40" s="40" t="str">
        <x:f>'Family Demand'!E40</x:f>
        <x:v>Infrastructure Restoration</x:v>
      </x:c>
      <x:c r="F40" s="40" t="n">
        <x:f>'Family Demand'!P40</x:f>
        <x:v>54</x:v>
      </x:c>
      <x:c r="G40" s="50" t="n">
        <x:f>F40*(1+Controls!$D$7)</x:f>
        <x:v>64.8</x:v>
      </x:c>
      <x:c r="H40" s="47" t="n">
        <x:f>'Family Inputs'!M40</x:f>
        <x:v>0.7</x:v>
      </x:c>
      <x:c r="I40" s="47" t="n">
        <x:f>Controls!$D$10</x:f>
        <x:v>0.2</x:v>
      </x:c>
      <x:c r="J40" s="40" t="n">
        <x:f>CEILING(G40/H40,1)</x:f>
        <x:v>93</x:v>
      </x:c>
      <x:c r="K40" s="40" t="n">
        <x:f>CEILING(G40/(H40*(1-I40)),1)</x:f>
        <x:v>116</x:v>
      </x:c>
      <x:c r="L40" s="40" t="n">
        <x:f>CEILING('Family Demand'!R40*Controls!$D$11/(1-I40),1)</x:f>
        <x:v>29</x:v>
      </x:c>
      <x:c r="M40" s="40" t="n">
        <x:f>MAX(J40:L40)</x:f>
        <x:v>116</x:v>
      </x:c>
      <x:c r="N40" s="50" t="n">
        <x:f>M40*H40*(1-I40)</x:f>
        <x:v>64.96</x:v>
      </x:c>
      <x:c r="O40" s="50" t="n">
        <x:f>N40-F40</x:f>
        <x:v>10.959999999999994</x:v>
      </x:c>
      <x:c r="P40" s="50" t="n">
        <x:f>N40-G40</x:f>
        <x:v>0.1599999999999966</x:v>
      </x:c>
      <x:c r="Q40" s="40" t="n">
        <x:v>93</x:v>
      </x:c>
      <x:c r="R40" s="40" t="n">
        <x:f>M40-Q40</x:f>
        <x:v>23</x:v>
      </x:c>
      <x:c r="S40" s="40" t="str">
        <x:f>IF(P40&gt;=0,"PASS","FAIL")</x:f>
        <x:v>PASS</x:v>
      </x:c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 t="str">
        <x:f>'Family Demand'!C41</x:f>
        <x:v>I-PRG</x:v>
      </x:c>
      <x:c r="D41" s="40" t="str">
        <x:f>'Family Demand'!D41</x:f>
        <x:v>Power restoration group</x:v>
      </x:c>
      <x:c r="E41" s="40" t="str">
        <x:f>'Family Demand'!E41</x:f>
        <x:v>Infrastructure Restoration</x:v>
      </x:c>
      <x:c r="F41" s="40" t="n">
        <x:f>'Family Demand'!P41</x:f>
        <x:v>63</x:v>
      </x:c>
      <x:c r="G41" s="50" t="n">
        <x:f>F41*(1+Controls!$D$7)</x:f>
        <x:v>75.6</x:v>
      </x:c>
      <x:c r="H41" s="47" t="n">
        <x:f>'Family Inputs'!M41</x:f>
        <x:v>0.7</x:v>
      </x:c>
      <x:c r="I41" s="47" t="n">
        <x:f>Controls!$D$10</x:f>
        <x:v>0.2</x:v>
      </x:c>
      <x:c r="J41" s="40" t="n">
        <x:f>CEILING(G41/H41,1)</x:f>
        <x:v>108</x:v>
      </x:c>
      <x:c r="K41" s="40" t="n">
        <x:f>CEILING(G41/(H41*(1-I41)),1)</x:f>
        <x:v>135</x:v>
      </x:c>
      <x:c r="L41" s="40" t="n">
        <x:f>CEILING('Family Demand'!R41*Controls!$D$11/(1-I41),1)</x:f>
        <x:v>29</x:v>
      </x:c>
      <x:c r="M41" s="40" t="n">
        <x:f>MAX(J41:L41)</x:f>
        <x:v>135</x:v>
      </x:c>
      <x:c r="N41" s="50" t="n">
        <x:f>M41*H41*(1-I41)</x:f>
        <x:v>75.60000000000001</x:v>
      </x:c>
      <x:c r="O41" s="50" t="n">
        <x:f>N41-F41</x:f>
        <x:v>12.600000000000009</x:v>
      </x:c>
      <x:c r="P41" s="50" t="n">
        <x:f>N41-G41</x:f>
        <x:v>1.4210854715202004e-14</x:v>
      </x:c>
      <x:c r="Q41" s="40" t="n">
        <x:v>108</x:v>
      </x:c>
      <x:c r="R41" s="40" t="n">
        <x:f>M41-Q41</x:f>
        <x:v>27</x:v>
      </x:c>
      <x:c r="S41" s="40" t="str">
        <x:f>IF(P41&gt;=0,"PASS","FAIL")</x:f>
        <x:v>PASS</x:v>
      </x:c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 t="str">
        <x:f>'Family Demand'!C42</x:f>
        <x:v>I-GBG</x:v>
      </x:c>
      <x:c r="D42" s="40" t="str">
        <x:f>'Family Demand'!D42</x:f>
        <x:v>Grid bridge group</x:v>
      </x:c>
      <x:c r="E42" s="40" t="str">
        <x:f>'Family Demand'!E42</x:f>
        <x:v>Infrastructure Restoration</x:v>
      </x:c>
      <x:c r="F42" s="40" t="n">
        <x:f>'Family Demand'!P42</x:f>
        <x:v>48</x:v>
      </x:c>
      <x:c r="G42" s="50" t="n">
        <x:f>F42*(1+Controls!$D$7)</x:f>
        <x:v>57.599999999999994</x:v>
      </x:c>
      <x:c r="H42" s="47" t="n">
        <x:f>'Family Inputs'!M42</x:f>
        <x:v>0.7</x:v>
      </x:c>
      <x:c r="I42" s="47" t="n">
        <x:f>Controls!$D$10</x:f>
        <x:v>0.2</x:v>
      </x:c>
      <x:c r="J42" s="40" t="n">
        <x:f>CEILING(G42/H42,1)</x:f>
        <x:v>83</x:v>
      </x:c>
      <x:c r="K42" s="40" t="n">
        <x:f>CEILING(G42/(H42*(1-I42)),1)</x:f>
        <x:v>103</x:v>
      </x:c>
      <x:c r="L42" s="40" t="n">
        <x:f>CEILING('Family Demand'!R42*Controls!$D$11/(1-I42),1)</x:f>
        <x:v>21</x:v>
      </x:c>
      <x:c r="M42" s="40" t="n">
        <x:f>MAX(J42:L42)</x:f>
        <x:v>103</x:v>
      </x:c>
      <x:c r="N42" s="50" t="n">
        <x:f>M42*H42*(1-I42)</x:f>
        <x:v>57.68</x:v>
      </x:c>
      <x:c r="O42" s="50" t="n">
        <x:f>N42-F42</x:f>
        <x:v>9.68</x:v>
      </x:c>
      <x:c r="P42" s="50" t="n">
        <x:f>N42-G42</x:f>
        <x:v>0.0800000000000054</x:v>
      </x:c>
      <x:c r="Q42" s="40" t="n">
        <x:v>83</x:v>
      </x:c>
      <x:c r="R42" s="40" t="n">
        <x:f>M42-Q42</x:f>
        <x:v>20</x:v>
      </x:c>
      <x:c r="S42" s="40" t="str">
        <x:f>IF(P42&gt;=0,"PASS","FAIL")</x:f>
        <x:v>PASS</x:v>
      </x:c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 t="str">
        <x:f>'Family Demand'!C43</x:f>
        <x:v>H-THC</x:v>
      </x:c>
      <x:c r="D43" s="40" t="str">
        <x:f>'Family Demand'!D43</x:f>
        <x:v>Theater hospital command</x:v>
      </x:c>
      <x:c r="E43" s="40" t="str">
        <x:f>'Family Demand'!E43</x:f>
        <x:v>Health Protection</x:v>
      </x:c>
      <x:c r="F43" s="40" t="n">
        <x:f>'Family Demand'!P43</x:f>
        <x:v>28</x:v>
      </x:c>
      <x:c r="G43" s="50" t="n">
        <x:f>F43*(1+Controls!$D$7)</x:f>
        <x:v>33.6</x:v>
      </x:c>
      <x:c r="H43" s="47" t="n">
        <x:f>'Family Inputs'!M43</x:f>
        <x:v>0.65</x:v>
      </x:c>
      <x:c r="I43" s="47" t="n">
        <x:f>Controls!$D$10</x:f>
        <x:v>0.2</x:v>
      </x:c>
      <x:c r="J43" s="40" t="n">
        <x:f>CEILING(G43/H43,1)</x:f>
        <x:v>52</x:v>
      </x:c>
      <x:c r="K43" s="40" t="n">
        <x:f>CEILING(G43/(H43*(1-I43)),1)</x:f>
        <x:v>65</x:v>
      </x:c>
      <x:c r="L43" s="40" t="n">
        <x:f>CEILING('Family Demand'!R43*Controls!$D$11/(1-I43),1)</x:f>
        <x:v>15</x:v>
      </x:c>
      <x:c r="M43" s="40" t="n">
        <x:f>MAX(J43:L43)</x:f>
        <x:v>65</x:v>
      </x:c>
      <x:c r="N43" s="50" t="n">
        <x:f>M43*H43*(1-I43)</x:f>
        <x:v>33.800000000000004</x:v>
      </x:c>
      <x:c r="O43" s="50" t="n">
        <x:f>N43-F43</x:f>
        <x:v>5.800000000000004</x:v>
      </x:c>
      <x:c r="P43" s="50" t="n">
        <x:f>N43-G43</x:f>
        <x:v>0.20000000000000284</x:v>
      </x:c>
      <x:c r="Q43" s="40" t="n">
        <x:v>52</x:v>
      </x:c>
      <x:c r="R43" s="40" t="n">
        <x:f>M43-Q43</x:f>
        <x:v>13</x:v>
      </x:c>
      <x:c r="S43" s="40" t="str">
        <x:f>IF(P43&gt;=0,"PASS","FAIL")</x:f>
        <x:v>PASS</x:v>
      </x:c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 t="str">
        <x:f>'Family Demand'!C44</x:f>
        <x:v>H-PMG</x:v>
      </x:c>
      <x:c r="D44" s="40" t="str">
        <x:f>'Family Demand'!D44</x:f>
        <x:v>Patient movement group</x:v>
      </x:c>
      <x:c r="E44" s="40" t="str">
        <x:f>'Family Demand'!E44</x:f>
        <x:v>Health Protection</x:v>
      </x:c>
      <x:c r="F44" s="40" t="n">
        <x:f>'Family Demand'!P44</x:f>
        <x:v>49</x:v>
      </x:c>
      <x:c r="G44" s="50" t="n">
        <x:f>F44*(1+Controls!$D$7)</x:f>
        <x:v>58.8</x:v>
      </x:c>
      <x:c r="H44" s="47" t="n">
        <x:f>'Family Inputs'!M44</x:f>
        <x:v>0.65</x:v>
      </x:c>
      <x:c r="I44" s="47" t="n">
        <x:f>Controls!$D$10</x:f>
        <x:v>0.2</x:v>
      </x:c>
      <x:c r="J44" s="40" t="n">
        <x:f>CEILING(G44/H44,1)</x:f>
        <x:v>91</x:v>
      </x:c>
      <x:c r="K44" s="40" t="n">
        <x:f>CEILING(G44/(H44*(1-I44)),1)</x:f>
        <x:v>114</x:v>
      </x:c>
      <x:c r="L44" s="40" t="n">
        <x:f>CEILING('Family Demand'!R44*Controls!$D$11/(1-I44),1)</x:f>
        <x:v>27</x:v>
      </x:c>
      <x:c r="M44" s="40" t="n">
        <x:f>MAX(J44:L44)</x:f>
        <x:v>114</x:v>
      </x:c>
      <x:c r="N44" s="50" t="n">
        <x:f>M44*H44*(1-I44)</x:f>
        <x:v>59.28000000000001</x:v>
      </x:c>
      <x:c r="O44" s="50" t="n">
        <x:f>N44-F44</x:f>
        <x:v>10.280000000000008</x:v>
      </x:c>
      <x:c r="P44" s="50" t="n">
        <x:f>N44-G44</x:f>
        <x:v>0.4800000000000111</x:v>
      </x:c>
      <x:c r="Q44" s="40" t="n">
        <x:v>91</x:v>
      </x:c>
      <x:c r="R44" s="40" t="n">
        <x:f>M44-Q44</x:f>
        <x:v>23</x:v>
      </x:c>
      <x:c r="S44" s="40" t="str">
        <x:f>IF(P44&gt;=0,"PASS","FAIL")</x:f>
        <x:v>PASS</x:v>
      </x:c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 t="str">
        <x:f>'Family Demand'!C45</x:f>
        <x:v>C-ERG</x:v>
      </x:c>
      <x:c r="D45" s="40" t="str">
        <x:f>'Family Demand'!D45</x:f>
        <x:v>Economic restart group</x:v>
      </x:c>
      <x:c r="E45" s="40" t="str">
        <x:f>'Family Demand'!E45</x:f>
        <x:v>Community Stabilization</x:v>
      </x:c>
      <x:c r="F45" s="40" t="n">
        <x:f>'Family Demand'!P45</x:f>
        <x:v>55</x:v>
      </x:c>
      <x:c r="G45" s="50" t="n">
        <x:f>F45*(1+Controls!$D$7)</x:f>
        <x:v>66</x:v>
      </x:c>
      <x:c r="H45" s="47" t="n">
        <x:f>'Family Inputs'!M45</x:f>
        <x:v>0.75</x:v>
      </x:c>
      <x:c r="I45" s="47" t="n">
        <x:f>Controls!$D$10</x:f>
        <x:v>0.2</x:v>
      </x:c>
      <x:c r="J45" s="40" t="n">
        <x:f>CEILING(G45/H45,1)</x:f>
        <x:v>88</x:v>
      </x:c>
      <x:c r="K45" s="40" t="n">
        <x:f>CEILING(G45/(H45*(1-I45)),1)</x:f>
        <x:v>110</x:v>
      </x:c>
      <x:c r="L45" s="40" t="n">
        <x:f>CEILING('Family Demand'!R45*Controls!$D$11/(1-I45),1)</x:f>
        <x:v>30</x:v>
      </x:c>
      <x:c r="M45" s="40" t="n">
        <x:f>MAX(J45:L45)</x:f>
        <x:v>110</x:v>
      </x:c>
      <x:c r="N45" s="50" t="n">
        <x:f>M45*H45*(1-I45)</x:f>
        <x:v>66</x:v>
      </x:c>
      <x:c r="O45" s="50" t="n">
        <x:f>N45-F45</x:f>
        <x:v>11</x:v>
      </x:c>
      <x:c r="P45" s="50" t="n">
        <x:f>N45-G45</x:f>
        <x:v>0</x:v>
      </x:c>
      <x:c r="Q45" s="40" t="n">
        <x:v>88</x:v>
      </x:c>
      <x:c r="R45" s="40" t="n">
        <x:f>M45-Q45</x:f>
        <x:v>22</x:v>
      </x:c>
      <x:c r="S45" s="40" t="str">
        <x:f>IF(P45&gt;=0,"PASS","FAIL")</x:f>
        <x:v>PASS</x:v>
      </x:c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 t="str">
        <x:f>'Family Demand'!C46</x:f>
        <x:v>CM-HCG</x:v>
      </x:c>
      <x:c r="D46" s="40" t="str">
        <x:f>'Family Demand'!D46</x:f>
        <x:v>Household collection group</x:v>
      </x:c>
      <x:c r="E46" s="40" t="str">
        <x:f>'Family Demand'!E46</x:f>
        <x:v>Civil Mobility and Continuity</x:v>
      </x:c>
      <x:c r="F46" s="40" t="n">
        <x:f>'Family Demand'!P46</x:f>
        <x:v>69</x:v>
      </x:c>
      <x:c r="G46" s="50" t="n">
        <x:f>F46*(1+Controls!$D$7)</x:f>
        <x:v>82.8</x:v>
      </x:c>
      <x:c r="H46" s="47" t="n">
        <x:f>'Family Inputs'!M46</x:f>
        <x:v>0.65</x:v>
      </x:c>
      <x:c r="I46" s="47" t="n">
        <x:f>Controls!$D$10</x:f>
        <x:v>0.2</x:v>
      </x:c>
      <x:c r="J46" s="40" t="n">
        <x:f>CEILING(G46/H46,1)</x:f>
        <x:v>128</x:v>
      </x:c>
      <x:c r="K46" s="40" t="n">
        <x:f>CEILING(G46/(H46*(1-I46)),1)</x:f>
        <x:v>160</x:v>
      </x:c>
      <x:c r="L46" s="40" t="n">
        <x:f>CEILING('Family Demand'!R46*Controls!$D$11/(1-I46),1)</x:f>
        <x:v>38</x:v>
      </x:c>
      <x:c r="M46" s="40" t="n">
        <x:f>MAX(J46:L46)</x:f>
        <x:v>160</x:v>
      </x:c>
      <x:c r="N46" s="50" t="n">
        <x:f>M46*H46*(1-I46)</x:f>
        <x:v>83.2</x:v>
      </x:c>
      <x:c r="O46" s="50" t="n">
        <x:f>N46-F46</x:f>
        <x:v>14.200000000000003</x:v>
      </x:c>
      <x:c r="P46" s="50" t="n">
        <x:f>N46-G46</x:f>
        <x:v>0.4000000000000057</x:v>
      </x:c>
      <x:c r="Q46" s="40" t="n">
        <x:v>128</x:v>
      </x:c>
      <x:c r="R46" s="40" t="n">
        <x:f>M46-Q46</x:f>
        <x:v>32</x:v>
      </x:c>
      <x:c r="S46" s="40" t="str">
        <x:f>IF(P46&gt;=0,"PASS","FAIL")</x:f>
        <x:v>PASS</x:v>
      </x:c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 t="str">
        <x:f>'Family Demand'!C47</x:f>
        <x:v>CM-CTN</x:v>
      </x:c>
      <x:c r="D47" s="40" t="str">
        <x:f>'Family Demand'!D47</x:f>
        <x:v>Continuity transfer-node group</x:v>
      </x:c>
      <x:c r="E47" s="40" t="str">
        <x:f>'Family Demand'!E47</x:f>
        <x:v>Civil Mobility and Continuity</x:v>
      </x:c>
      <x:c r="F47" s="40" t="n">
        <x:f>'Family Demand'!P47</x:f>
        <x:v>54</x:v>
      </x:c>
      <x:c r="G47" s="50" t="n">
        <x:f>F47*(1+Controls!$D$7)</x:f>
        <x:v>64.8</x:v>
      </x:c>
      <x:c r="H47" s="47" t="n">
        <x:f>'Family Inputs'!M47</x:f>
        <x:v>0.65</x:v>
      </x:c>
      <x:c r="I47" s="47" t="n">
        <x:f>Controls!$D$10</x:f>
        <x:v>0.2</x:v>
      </x:c>
      <x:c r="J47" s="40" t="n">
        <x:f>CEILING(G47/H47,1)</x:f>
        <x:v>100</x:v>
      </x:c>
      <x:c r="K47" s="40" t="n">
        <x:f>CEILING(G47/(H47*(1-I47)),1)</x:f>
        <x:v>125</x:v>
      </x:c>
      <x:c r="L47" s="40" t="n">
        <x:f>CEILING('Family Demand'!R47*Controls!$D$11/(1-I47),1)</x:f>
        <x:v>30</x:v>
      </x:c>
      <x:c r="M47" s="40" t="n">
        <x:f>MAX(J47:L47)</x:f>
        <x:v>125</x:v>
      </x:c>
      <x:c r="N47" s="50" t="n">
        <x:f>M47*H47*(1-I47)</x:f>
        <x:v>65</x:v>
      </x:c>
      <x:c r="O47" s="50" t="n">
        <x:f>N47-F47</x:f>
        <x:v>11</x:v>
      </x:c>
      <x:c r="P47" s="50" t="n">
        <x:f>N47-G47</x:f>
        <x:v>0.20000000000000284</x:v>
      </x:c>
      <x:c r="Q47" s="40" t="n">
        <x:v>100</x:v>
      </x:c>
      <x:c r="R47" s="40" t="n">
        <x:f>M47-Q47</x:f>
        <x:v>25</x:v>
      </x:c>
      <x:c r="S47" s="40" t="str">
        <x:f>IF(P47&gt;=0,"PASS","FAIL")</x:f>
        <x:v>PASS</x:v>
      </x:c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 t="str">
        <x:f>'Family Demand'!C48</x:f>
        <x:v>CM-RMG</x:v>
      </x:c>
      <x:c r="D48" s="40" t="str">
        <x:f>'Family Demand'!D48</x:f>
        <x:v>Civil road-mobility group</x:v>
      </x:c>
      <x:c r="E48" s="40" t="str">
        <x:f>'Family Demand'!E48</x:f>
        <x:v>Civil Mobility and Continuity</x:v>
      </x:c>
      <x:c r="F48" s="40" t="n">
        <x:f>'Family Demand'!P48</x:f>
        <x:v>86</x:v>
      </x:c>
      <x:c r="G48" s="50" t="n">
        <x:f>F48*(1+Controls!$D$7)</x:f>
        <x:v>103.2</x:v>
      </x:c>
      <x:c r="H48" s="47" t="n">
        <x:f>'Family Inputs'!M48</x:f>
        <x:v>0.65</x:v>
      </x:c>
      <x:c r="I48" s="47" t="n">
        <x:f>Controls!$D$10</x:f>
        <x:v>0.2</x:v>
      </x:c>
      <x:c r="J48" s="40" t="n">
        <x:f>CEILING(G48/H48,1)</x:f>
        <x:v>159</x:v>
      </x:c>
      <x:c r="K48" s="40" t="n">
        <x:f>CEILING(G48/(H48*(1-I48)),1)</x:f>
        <x:v>199</x:v>
      </x:c>
      <x:c r="L48" s="40" t="n">
        <x:f>CEILING('Family Demand'!R48*Controls!$D$11/(1-I48),1)</x:f>
        <x:v>45</x:v>
      </x:c>
      <x:c r="M48" s="40" t="n">
        <x:f>MAX(J48:L48)</x:f>
        <x:v>199</x:v>
      </x:c>
      <x:c r="N48" s="50" t="n">
        <x:f>M48*H48*(1-I48)</x:f>
        <x:v>103.48</x:v>
      </x:c>
      <x:c r="O48" s="50" t="n">
        <x:f>N48-F48</x:f>
        <x:v>17.480000000000004</x:v>
      </x:c>
      <x:c r="P48" s="50" t="n">
        <x:f>N48-G48</x:f>
        <x:v>0.28000000000000114</x:v>
      </x:c>
      <x:c r="Q48" s="40" t="n">
        <x:v>159</x:v>
      </x:c>
      <x:c r="R48" s="40" t="n">
        <x:f>M48-Q48</x:f>
        <x:v>40</x:v>
      </x:c>
      <x:c r="S48" s="40" t="str">
        <x:f>IF(P48&gt;=0,"PASS","FAIL")</x:f>
        <x:v>PASS</x:v>
      </x:c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 t="str">
        <x:f>'Family Demand'!C49</x:f>
        <x:v>CM-RLG</x:v>
      </x:c>
      <x:c r="D49" s="40" t="str">
        <x:f>'Family Demand'!D49</x:f>
        <x:v>Civil rail-mobility group</x:v>
      </x:c>
      <x:c r="E49" s="40" t="str">
        <x:f>'Family Demand'!E49</x:f>
        <x:v>Civil Mobility and Continuity</x:v>
      </x:c>
      <x:c r="F49" s="40" t="n">
        <x:f>'Family Demand'!P49</x:f>
        <x:v>32</x:v>
      </x:c>
      <x:c r="G49" s="50" t="n">
        <x:f>F49*(1+Controls!$D$7)</x:f>
        <x:v>38.4</x:v>
      </x:c>
      <x:c r="H49" s="47" t="n">
        <x:f>'Family Inputs'!M49</x:f>
        <x:v>0.65</x:v>
      </x:c>
      <x:c r="I49" s="47" t="n">
        <x:f>Controls!$D$10</x:f>
        <x:v>0.2</x:v>
      </x:c>
      <x:c r="J49" s="40" t="n">
        <x:f>CEILING(G49/H49,1)</x:f>
        <x:v>60</x:v>
      </x:c>
      <x:c r="K49" s="40" t="n">
        <x:f>CEILING(G49/(H49*(1-I49)),1)</x:f>
        <x:v>74</x:v>
      </x:c>
      <x:c r="L49" s="40" t="n">
        <x:f>CEILING('Family Demand'!R49*Controls!$D$11/(1-I49),1)</x:f>
        <x:v>19</x:v>
      </x:c>
      <x:c r="M49" s="40" t="n">
        <x:f>MAX(J49:L49)</x:f>
        <x:v>74</x:v>
      </x:c>
      <x:c r="N49" s="50" t="n">
        <x:f>M49*H49*(1-I49)</x:f>
        <x:v>38.480000000000004</x:v>
      </x:c>
      <x:c r="O49" s="50" t="n">
        <x:f>N49-F49</x:f>
        <x:v>6.480000000000004</x:v>
      </x:c>
      <x:c r="P49" s="50" t="n">
        <x:f>N49-G49</x:f>
        <x:v>0.0800000000000054</x:v>
      </x:c>
      <x:c r="Q49" s="40" t="n">
        <x:v>60</x:v>
      </x:c>
      <x:c r="R49" s="40" t="n">
        <x:f>M49-Q49</x:f>
        <x:v>14</x:v>
      </x:c>
      <x:c r="S49" s="40" t="str">
        <x:f>IF(P49&gt;=0,"PASS","FAIL")</x:f>
        <x:v>PASS</x:v>
      </x:c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 t="str">
        <x:f>'Family Demand'!C50</x:f>
        <x:v>CM-AMG</x:v>
      </x:c>
      <x:c r="D50" s="40" t="str">
        <x:f>'Family Demand'!D50</x:f>
        <x:v>Civil air-mobility group</x:v>
      </x:c>
      <x:c r="E50" s="40" t="str">
        <x:f>'Family Demand'!E50</x:f>
        <x:v>Civil Mobility and Continuity</x:v>
      </x:c>
      <x:c r="F50" s="40" t="n">
        <x:f>'Family Demand'!P50</x:f>
        <x:v>31</x:v>
      </x:c>
      <x:c r="G50" s="50" t="n">
        <x:f>F50*(1+Controls!$D$7)</x:f>
        <x:v>37.199999999999996</x:v>
      </x:c>
      <x:c r="H50" s="47" t="n">
        <x:f>'Family Inputs'!M50</x:f>
        <x:v>0.65</x:v>
      </x:c>
      <x:c r="I50" s="47" t="n">
        <x:f>Controls!$D$10</x:f>
        <x:v>0.2</x:v>
      </x:c>
      <x:c r="J50" s="40" t="n">
        <x:f>CEILING(G50/H50,1)</x:f>
        <x:v>58</x:v>
      </x:c>
      <x:c r="K50" s="40" t="n">
        <x:f>CEILING(G50/(H50*(1-I50)),1)</x:f>
        <x:v>72</x:v>
      </x:c>
      <x:c r="L50" s="40" t="n">
        <x:f>CEILING('Family Demand'!R50*Controls!$D$11/(1-I50),1)</x:f>
        <x:v>19</x:v>
      </x:c>
      <x:c r="M50" s="40" t="n">
        <x:f>MAX(J50:L50)</x:f>
        <x:v>72</x:v>
      </x:c>
      <x:c r="N50" s="50" t="n">
        <x:f>M50*H50*(1-I50)</x:f>
        <x:v>37.440000000000005</x:v>
      </x:c>
      <x:c r="O50" s="50" t="n">
        <x:f>N50-F50</x:f>
        <x:v>6.440000000000005</x:v>
      </x:c>
      <x:c r="P50" s="50" t="n">
        <x:f>N50-G50</x:f>
        <x:v>0.2400000000000091</x:v>
      </x:c>
      <x:c r="Q50" s="40" t="n">
        <x:v>58</x:v>
      </x:c>
      <x:c r="R50" s="40" t="n">
        <x:f>M50-Q50</x:f>
        <x:v>14</x:v>
      </x:c>
      <x:c r="S50" s="40" t="str">
        <x:f>IF(P50&gt;=0,"PASS","FAIL")</x:f>
        <x:v>PASS</x:v>
      </x:c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 t="str">
        <x:f>'Family Demand'!C51</x:f>
        <x:v>CM-WMG</x:v>
      </x:c>
      <x:c r="D51" s="40" t="str">
        <x:f>'Family Demand'!D51</x:f>
        <x:v>Civil water-mobility group</x:v>
      </x:c>
      <x:c r="E51" s="40" t="str">
        <x:f>'Family Demand'!E51</x:f>
        <x:v>Civil Mobility and Continuity</x:v>
      </x:c>
      <x:c r="F51" s="40" t="n">
        <x:f>'Family Demand'!P51</x:f>
        <x:v>32</x:v>
      </x:c>
      <x:c r="G51" s="50" t="n">
        <x:f>F51*(1+Controls!$D$7)</x:f>
        <x:v>38.4</x:v>
      </x:c>
      <x:c r="H51" s="47" t="n">
        <x:f>'Family Inputs'!M51</x:f>
        <x:v>0.65</x:v>
      </x:c>
      <x:c r="I51" s="47" t="n">
        <x:f>Controls!$D$10</x:f>
        <x:v>0.2</x:v>
      </x:c>
      <x:c r="J51" s="40" t="n">
        <x:f>CEILING(G51/H51,1)</x:f>
        <x:v>60</x:v>
      </x:c>
      <x:c r="K51" s="40" t="n">
        <x:f>CEILING(G51/(H51*(1-I51)),1)</x:f>
        <x:v>74</x:v>
      </x:c>
      <x:c r="L51" s="40" t="n">
        <x:f>CEILING('Family Demand'!R51*Controls!$D$11/(1-I51),1)</x:f>
        <x:v>21</x:v>
      </x:c>
      <x:c r="M51" s="40" t="n">
        <x:f>MAX(J51:L51)</x:f>
        <x:v>74</x:v>
      </x:c>
      <x:c r="N51" s="50" t="n">
        <x:f>M51*H51*(1-I51)</x:f>
        <x:v>38.480000000000004</x:v>
      </x:c>
      <x:c r="O51" s="50" t="n">
        <x:f>N51-F51</x:f>
        <x:v>6.480000000000004</x:v>
      </x:c>
      <x:c r="P51" s="50" t="n">
        <x:f>N51-G51</x:f>
        <x:v>0.0800000000000054</x:v>
      </x:c>
      <x:c r="Q51" s="40" t="n">
        <x:v>60</x:v>
      </x:c>
      <x:c r="R51" s="40" t="n">
        <x:f>M51-Q51</x:f>
        <x:v>14</x:v>
      </x:c>
      <x:c r="S51" s="40" t="str">
        <x:f>IF(P51&gt;=0,"PASS","FAIL")</x:f>
        <x:v>PASS</x:v>
      </x:c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 t="str">
        <x:f>'Family Demand'!C52</x:f>
        <x:v>CM-RDC</x:v>
      </x:c>
      <x:c r="D52" s="40" t="str">
        <x:f>'Family Demand'!D52</x:f>
        <x:v>Return and durable-continuity group</x:v>
      </x:c>
      <x:c r="E52" s="40" t="str">
        <x:f>'Family Demand'!E52</x:f>
        <x:v>Civil Mobility and Continuity</x:v>
      </x:c>
      <x:c r="F52" s="40" t="n">
        <x:f>'Family Demand'!P52</x:f>
        <x:v>58</x:v>
      </x:c>
      <x:c r="G52" s="50" t="n">
        <x:f>F52*(1+Controls!$D$7)</x:f>
        <x:v>69.6</x:v>
      </x:c>
      <x:c r="H52" s="47" t="n">
        <x:f>'Family Inputs'!M52</x:f>
        <x:v>0.75</x:v>
      </x:c>
      <x:c r="I52" s="47" t="n">
        <x:f>Controls!$D$10</x:f>
        <x:v>0.2</x:v>
      </x:c>
      <x:c r="J52" s="40" t="n">
        <x:f>CEILING(G52/H52,1)</x:f>
        <x:v>93</x:v>
      </x:c>
      <x:c r="K52" s="40" t="n">
        <x:f>CEILING(G52/(H52*(1-I52)),1)</x:f>
        <x:v>116</x:v>
      </x:c>
      <x:c r="L52" s="40" t="n">
        <x:f>CEILING('Family Demand'!R52*Controls!$D$11/(1-I52),1)</x:f>
        <x:v>34</x:v>
      </x:c>
      <x:c r="M52" s="40" t="n">
        <x:f>MAX(J52:L52)</x:f>
        <x:v>116</x:v>
      </x:c>
      <x:c r="N52" s="50" t="n">
        <x:f>M52*H52*(1-I52)</x:f>
        <x:v>69.60000000000001</x:v>
      </x:c>
      <x:c r="O52" s="50" t="n">
        <x:f>N52-F52</x:f>
        <x:v>11.600000000000009</x:v>
      </x:c>
      <x:c r="P52" s="50" t="n">
        <x:f>N52-G52</x:f>
        <x:v>1.4210854715202004e-14</x:v>
      </x:c>
      <x:c r="Q52" s="40" t="n">
        <x:v>93</x:v>
      </x:c>
      <x:c r="R52" s="40" t="n">
        <x:f>M52-Q52</x:f>
        <x:v>23</x:v>
      </x:c>
      <x:c r="S52" s="40" t="str">
        <x:f>IF(P52&gt;=0,"PASS","FAIL")</x:f>
        <x:v>PASS</x:v>
      </x:c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4" t="str">
        <x:v>Total</x:v>
      </x:c>
      <x:c r="D53" s="44"/>
      <x:c r="E53" s="44"/>
      <x:c r="F53" s="44" t="n">
        <x:f>SUM(F5:F52)</x:f>
        <x:v>2420</x:v>
      </x:c>
      <x:c r="G53" s="52" t="n">
        <x:f>SUM(G5:G52)</x:f>
        <x:v>2904</x:v>
      </x:c>
      <x:c r="H53" s="44"/>
      <x:c r="I53" s="44"/>
      <x:c r="J53" s="44" t="n">
        <x:f>SUM(J5:J52)</x:f>
        <x:v>4209</x:v>
      </x:c>
      <x:c r="K53" s="44" t="n">
        <x:f>SUM(K5:K52)</x:f>
        <x:v>5251</x:v>
      </x:c>
      <x:c r="L53" s="44" t="n">
        <x:f>SUM(L5:L52)</x:f>
        <x:v>1282</x:v>
      </x:c>
      <x:c r="M53" s="44" t="n">
        <x:f>SUM(M5:M52)</x:f>
        <x:v>5251</x:v>
      </x:c>
      <x:c r="N53" s="52" t="n">
        <x:f>SUM(N5:N52)</x:f>
        <x:v>2915.1520000000005</x:v>
      </x:c>
      <x:c r="O53" s="52" t="n">
        <x:f>SUM(O5:O52)</x:f>
        <x:v>495.15200000000027</x:v>
      </x:c>
      <x:c r="P53" s="52" t="n">
        <x:f>SUM(P5:P52)</x:f>
        <x:v>11.152000000000292</x:v>
      </x:c>
      <x:c r="Q53" s="44" t="n">
        <x:f>SUM(Q5:Q52)</x:f>
        <x:v>4209</x:v>
      </x:c>
      <x:c r="R53" s="44" t="n">
        <x:f>SUM(R5:R52)</x:f>
        <x:v>1042</x:v>
      </x:c>
      <x:c r="S53" s="44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conditionalFormatting sqref="S5:S52">
    <x:cfRule type="containsText" dxfId="0" priority="1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3" hidden="0" customWidth="1"/>
    <x:col min="10" max="10" width="20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Force size by generating service</x:v>
      </x:c>
      <x:c r="D2" s="2"/>
      <x:c r="E2" s="2"/>
      <x:c r="F2" s="2"/>
      <x:c r="G2" s="2"/>
      <x:c r="H2" s="2"/>
      <x:c r="I2" s="2"/>
      <x:c r="J2" s="2"/>
      <x:c r="K2" s="2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Generating service</x:v>
      </x:c>
      <x:c r="D4" s="24" t="str">
        <x:v>Families</x:v>
      </x:c>
      <x:c r="E4" s="24" t="str">
        <x:v>Concurrent demand</x:v>
      </x:c>
      <x:c r="F4" s="24" t="str">
        <x:v>Protected demand</x:v>
      </x:c>
      <x:c r="G4" s="24" t="str">
        <x:v>Pass 58 inventory</x:v>
      </x:c>
      <x:c r="H4" s="24" t="str">
        <x:v>N−1 inventory</x:v>
      </x:c>
      <x:c r="I4" s="24" t="str">
        <x:v>Increment</x:v>
      </x:c>
      <x:c r="J4" s="24" t="str">
        <x:v>Direct billets</x:v>
      </x:c>
      <x:c r="K4" s="13" t="str">
        <x:v>Formation capital (USD B)</x:v>
      </x:c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v>Joint</x:v>
      </x:c>
      <x:c r="D5" s="40" t="n">
        <x:f>COUNTIF(Inventory!$E$5:$E$52,C5)</x:f>
        <x:v>6</x:v>
      </x:c>
      <x:c r="E5" s="40" t="n">
        <x:f>SUMIF(Inventory!$E$5:$E$52,C5,Inventory!$F$5:$F$52)</x:f>
        <x:v>205</x:v>
      </x:c>
      <x:c r="F5" s="50" t="n">
        <x:f>SUMIF(Inventory!$E$5:$E$52,C5,Inventory!$G$5:$G$52)</x:f>
        <x:v>246</x:v>
      </x:c>
      <x:c r="G5" s="40" t="n">
        <x:f>SUMIF(Inventory!$E$5:$E$52,C5,Inventory!$Q$5:$Q$52)</x:f>
        <x:v>318</x:v>
      </x:c>
      <x:c r="H5" s="40" t="n">
        <x:f>SUMIF(Inventory!$E$5:$E$52,C5,Inventory!$M$5:$M$52)</x:f>
        <x:v>398</x:v>
      </x:c>
      <x:c r="I5" s="40" t="n">
        <x:f>H5-G5</x:f>
        <x:v>80</x:v>
      </x:c>
      <x:c r="J5" s="50" t="n">
        <x:f>SUMIF('Fiscal Screen'!$D$5:$D$52,C5,'Fiscal Screen'!$J$5:$J$52)</x:f>
        <x:v>414775</x:v>
      </x:c>
      <x:c r="K5" s="43" t="n">
        <x:f>SUMIF('Fiscal Screen'!$D$5:$D$52,C5,'Fiscal Screen'!$L$5:$L$52)</x:f>
        <x:v>333.79999999999995</x:v>
      </x:c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v>Land Engineering</x:v>
      </x:c>
      <x:c r="D6" s="40" t="n">
        <x:f>COUNTIF(Inventory!$E$5:$E$52,C6)</x:f>
        <x:v>5</x:v>
      </x:c>
      <x:c r="E6" s="40" t="n">
        <x:f>SUMIF(Inventory!$E$5:$E$52,C6,Inventory!$F$5:$F$52)</x:f>
        <x:v>271</x:v>
      </x:c>
      <x:c r="F6" s="50" t="n">
        <x:f>SUMIF(Inventory!$E$5:$E$52,C6,Inventory!$G$5:$G$52)</x:f>
        <x:v>325.20000000000005</x:v>
      </x:c>
      <x:c r="G6" s="40" t="n">
        <x:f>SUMIF(Inventory!$E$5:$E$52,C6,Inventory!$Q$5:$Q$52)</x:f>
        <x:v>467</x:v>
      </x:c>
      <x:c r="H6" s="40" t="n">
        <x:f>SUMIF(Inventory!$E$5:$E$52,C6,Inventory!$M$5:$M$52)</x:f>
        <x:v>584</x:v>
      </x:c>
      <x:c r="I6" s="40" t="n">
        <x:f>H6-G6</x:f>
        <x:v>117</x:v>
      </x:c>
      <x:c r="J6" s="50" t="n">
        <x:f>SUMIF('Fiscal Screen'!$D$5:$D$52,C6,'Fiscal Screen'!$J$5:$J$52)</x:f>
        <x:v>610220</x:v>
      </x:c>
      <x:c r="K6" s="43" t="n">
        <x:f>SUMIF('Fiscal Screen'!$D$5:$D$52,C6,'Fiscal Screen'!$L$5:$L$52)</x:f>
        <x:v>779.4</x:v>
      </x:c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v>Air Response</x:v>
      </x:c>
      <x:c r="D7" s="40" t="n">
        <x:f>COUNTIF(Inventory!$E$5:$E$52,C7)</x:f>
        <x:v>6</x:v>
      </x:c>
      <x:c r="E7" s="40" t="n">
        <x:f>SUMIF(Inventory!$E$5:$E$52,C7,Inventory!$F$5:$F$52)</x:f>
        <x:v>218</x:v>
      </x:c>
      <x:c r="F7" s="50" t="n">
        <x:f>SUMIF(Inventory!$E$5:$E$52,C7,Inventory!$G$5:$G$52)</x:f>
        <x:v>261.59999999999997</x:v>
      </x:c>
      <x:c r="G7" s="40" t="n">
        <x:f>SUMIF(Inventory!$E$5:$E$52,C7,Inventory!$Q$5:$Q$52)</x:f>
        <x:v>406</x:v>
      </x:c>
      <x:c r="H7" s="40" t="n">
        <x:f>SUMIF(Inventory!$E$5:$E$52,C7,Inventory!$M$5:$M$52)</x:f>
        <x:v>506</x:v>
      </x:c>
      <x:c r="I7" s="40" t="n">
        <x:f>H7-G7</x:f>
        <x:v>100</x:v>
      </x:c>
      <x:c r="J7" s="50" t="n">
        <x:f>SUMIF('Fiscal Screen'!$D$5:$D$52,C7,'Fiscal Screen'!$J$5:$J$52)</x:f>
        <x:v>670320</x:v>
      </x:c>
      <x:c r="K7" s="43" t="n">
        <x:f>SUMIF('Fiscal Screen'!$D$5:$D$52,C7,'Fiscal Screen'!$L$5:$L$52)</x:f>
        <x:v>1785.6</x:v>
      </x:c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v>Maritime Response</x:v>
      </x:c>
      <x:c r="D8" s="40" t="n">
        <x:f>COUNTIF(Inventory!$E$5:$E$52,C8)</x:f>
        <x:v>6</x:v>
      </x:c>
      <x:c r="E8" s="40" t="n">
        <x:f>SUMIF(Inventory!$E$5:$E$52,C8,Inventory!$F$5:$F$52)</x:f>
        <x:v>188</x:v>
      </x:c>
      <x:c r="F8" s="50" t="n">
        <x:f>SUMIF(Inventory!$E$5:$E$52,C8,Inventory!$G$5:$G$52)</x:f>
        <x:v>225.59999999999997</x:v>
      </x:c>
      <x:c r="G8" s="40" t="n">
        <x:f>SUMIF(Inventory!$E$5:$E$52,C8,Inventory!$Q$5:$Q$52)</x:f>
        <x:v>351</x:v>
      </x:c>
      <x:c r="H8" s="40" t="n">
        <x:f>SUMIF(Inventory!$E$5:$E$52,C8,Inventory!$M$5:$M$52)</x:f>
        <x:v>436</x:v>
      </x:c>
      <x:c r="I8" s="40" t="n">
        <x:f>H8-G8</x:f>
        <x:v>85</x:v>
      </x:c>
      <x:c r="J8" s="50" t="n">
        <x:f>SUMIF('Fiscal Screen'!$D$5:$D$52,C8,'Fiscal Screen'!$J$5:$J$52)</x:f>
        <x:v>705150</x:v>
      </x:c>
      <x:c r="K8" s="43" t="n">
        <x:f>SUMIF('Fiscal Screen'!$D$5:$D$52,C8,'Fiscal Screen'!$L$5:$L$52)</x:f>
        <x:v>1776</x:v>
      </x:c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v>Infrastructure Restoration</x:v>
      </x:c>
      <x:c r="D9" s="40" t="n">
        <x:f>COUNTIF(Inventory!$E$5:$E$52,C9)</x:f>
        <x:v>6</x:v>
      </x:c>
      <x:c r="E9" s="40" t="n">
        <x:f>SUMIF(Inventory!$E$5:$E$52,C9,Inventory!$F$5:$F$52)</x:f>
        <x:v>360</x:v>
      </x:c>
      <x:c r="F9" s="50" t="n">
        <x:f>SUMIF(Inventory!$E$5:$E$52,C9,Inventory!$G$5:$G$52)</x:f>
        <x:v>432</x:v>
      </x:c>
      <x:c r="G9" s="40" t="n">
        <x:f>SUMIF(Inventory!$E$5:$E$52,C9,Inventory!$Q$5:$Q$52)</x:f>
        <x:v>620</x:v>
      </x:c>
      <x:c r="H9" s="40" t="n">
        <x:f>SUMIF(Inventory!$E$5:$E$52,C9,Inventory!$M$5:$M$52)</x:f>
        <x:v>773</x:v>
      </x:c>
      <x:c r="I9" s="40" t="n">
        <x:f>H9-G9</x:f>
        <x:v>153</x:v>
      </x:c>
      <x:c r="J9" s="50" t="n">
        <x:f>SUMIF('Fiscal Screen'!$D$5:$D$52,C9,'Fiscal Screen'!$J$5:$J$52)</x:f>
        <x:v>2469810</x:v>
      </x:c>
      <x:c r="K9" s="43" t="n">
        <x:f>SUMIF('Fiscal Screen'!$D$5:$D$52,C9,'Fiscal Screen'!$L$5:$L$52)</x:f>
        <x:v>1147.5</x:v>
      </x:c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v>Health Protection</x:v>
      </x:c>
      <x:c r="D10" s="40" t="n">
        <x:f>COUNTIF(Inventory!$E$5:$E$52,C10)</x:f>
        <x:v>6</x:v>
      </x:c>
      <x:c r="E10" s="40" t="n">
        <x:f>SUMIF(Inventory!$E$5:$E$52,C10,Inventory!$F$5:$F$52)</x:f>
        <x:v>318</x:v>
      </x:c>
      <x:c r="F10" s="50" t="n">
        <x:f>SUMIF(Inventory!$E$5:$E$52,C10,Inventory!$G$5:$G$52)</x:f>
        <x:v>381.6000000000001</x:v>
      </x:c>
      <x:c r="G10" s="40" t="n">
        <x:f>SUMIF(Inventory!$E$5:$E$52,C10,Inventory!$Q$5:$Q$52)</x:f>
        <x:v>590</x:v>
      </x:c>
      <x:c r="H10" s="40" t="n">
        <x:f>SUMIF(Inventory!$E$5:$E$52,C10,Inventory!$M$5:$M$52)</x:f>
        <x:v>738</x:v>
      </x:c>
      <x:c r="I10" s="40" t="n">
        <x:f>H10-G10</x:f>
        <x:v>148</x:v>
      </x:c>
      <x:c r="J10" s="50" t="n">
        <x:f>SUMIF('Fiscal Screen'!$D$5:$D$52,C10,'Fiscal Screen'!$J$5:$J$52)</x:f>
        <x:v>1309510</x:v>
      </x:c>
      <x:c r="K10" s="43" t="n">
        <x:f>SUMIF('Fiscal Screen'!$D$5:$D$52,C10,'Fiscal Screen'!$L$5:$L$52)</x:f>
        <x:v>941.5</x:v>
      </x:c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v>Community Stabilization</x:v>
      </x:c>
      <x:c r="D11" s="40" t="n">
        <x:f>COUNTIF(Inventory!$E$5:$E$52,C11)</x:f>
        <x:v>6</x:v>
      </x:c>
      <x:c r="E11" s="40" t="n">
        <x:f>SUMIF(Inventory!$E$5:$E$52,C11,Inventory!$F$5:$F$52)</x:f>
        <x:v>498</x:v>
      </x:c>
      <x:c r="F11" s="50" t="n">
        <x:f>SUMIF(Inventory!$E$5:$E$52,C11,Inventory!$G$5:$G$52)</x:f>
        <x:v>597.6</x:v>
      </x:c>
      <x:c r="G11" s="40" t="n">
        <x:f>SUMIF(Inventory!$E$5:$E$52,C11,Inventory!$Q$5:$Q$52)</x:f>
        <x:v>799</x:v>
      </x:c>
      <x:c r="H11" s="40" t="n">
        <x:f>SUMIF(Inventory!$E$5:$E$52,C11,Inventory!$M$5:$M$52)</x:f>
        <x:v>996</x:v>
      </x:c>
      <x:c r="I11" s="40" t="n">
        <x:f>H11-G11</x:f>
        <x:v>197</x:v>
      </x:c>
      <x:c r="J11" s="50" t="n">
        <x:f>SUMIF('Fiscal Screen'!$D$5:$D$52,C11,'Fiscal Screen'!$J$5:$J$52)</x:f>
        <x:v>803050</x:v>
      </x:c>
      <x:c r="K11" s="43" t="n">
        <x:f>SUMIF('Fiscal Screen'!$D$5:$D$52,C11,'Fiscal Screen'!$L$5:$L$52)</x:f>
        <x:v>441.3</x:v>
      </x:c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v>Civil Mobility and Continuity</x:v>
      </x:c>
      <x:c r="D12" s="40" t="n">
        <x:f>COUNTIF(Inventory!$E$5:$E$52,C12)</x:f>
        <x:v>7</x:v>
      </x:c>
      <x:c r="E12" s="40" t="n">
        <x:f>SUMIF(Inventory!$E$5:$E$52,C12,Inventory!$F$5:$F$52)</x:f>
        <x:v>362</x:v>
      </x:c>
      <x:c r="F12" s="50" t="n">
        <x:f>SUMIF(Inventory!$E$5:$E$52,C12,Inventory!$G$5:$G$52)</x:f>
        <x:v>434.4</x:v>
      </x:c>
      <x:c r="G12" s="40" t="n">
        <x:f>SUMIF(Inventory!$E$5:$E$52,C12,Inventory!$Q$5:$Q$52)</x:f>
        <x:v>658</x:v>
      </x:c>
      <x:c r="H12" s="40" t="n">
        <x:f>SUMIF(Inventory!$E$5:$E$52,C12,Inventory!$M$5:$M$52)</x:f>
        <x:v>820</x:v>
      </x:c>
      <x:c r="I12" s="40" t="n">
        <x:f>H12-G12</x:f>
        <x:v>162</x:v>
      </x:c>
      <x:c r="J12" s="50" t="n">
        <x:f>SUMIF('Fiscal Screen'!$D$5:$D$52,C12,'Fiscal Screen'!$J$5:$J$52)</x:f>
        <x:v>4482378</x:v>
      </x:c>
      <x:c r="K12" s="43" t="n">
        <x:f>SUMIF('Fiscal Screen'!$D$5:$D$52,C12,'Fiscal Screen'!$L$5:$L$52)</x:f>
        <x:v>2205.46</x:v>
      </x:c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4" t="str">
        <x:v>Total</x:v>
      </x:c>
      <x:c r="D13" s="44" t="n">
        <x:f>SUM(D5:D12)</x:f>
        <x:v>48</x:v>
      </x:c>
      <x:c r="E13" s="44" t="n">
        <x:f>SUM(E5:E12)</x:f>
        <x:v>2420</x:v>
      </x:c>
      <x:c r="F13" s="52" t="n">
        <x:f>SUM(F5:F12)</x:f>
        <x:v>2904</x:v>
      </x:c>
      <x:c r="G13" s="44" t="n">
        <x:f>SUM(G5:G12)</x:f>
        <x:v>4209</x:v>
      </x:c>
      <x:c r="H13" s="44" t="n">
        <x:f>SUM(H5:H12)</x:f>
        <x:v>5251</x:v>
      </x:c>
      <x:c r="I13" s="44" t="n">
        <x:f>SUM(I5:I12)</x:f>
        <x:v>1042</x:v>
      </x:c>
      <x:c r="J13" s="52" t="n">
        <x:f>SUM(J5:J12)</x:f>
        <x:v>11465213</x:v>
      </x:c>
      <x:c r="K13" s="53" t="n">
        <x:f>SUM(K5:K12)</x:f>
        <x:v>9410.56</x:v>
      </x:c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24" hidden="0" customWidth="1"/>
    <x:col min="5" max="5" width="34" hidden="0" customWidth="1"/>
    <x:col min="6" max="6" width="21" hidden="0" customWidth="1"/>
    <x:col min="7" max="7" width="13" hidden="0" customWidth="1"/>
    <x:col min="8" max="8" width="13" hidden="0" customWidth="1"/>
    <x:col min="9" max="9" width="14" hidden="0" customWidth="1"/>
    <x:col min="10" max="10" width="18" hidden="0" customWidth="1"/>
    <x:col min="11" max="11" width="22" hidden="0" customWidth="1"/>
    <x:col min="12" max="12" width="24" hidden="0" customWidth="1"/>
    <x:col min="13" max="13" width="20" hidden="0" customWidth="1"/>
    <x:col min="14" max="14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Campaign geography, early-entry and sustainment demand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Campaign</x:v>
      </x:c>
      <x:c r="D4" s="24" t="str">
        <x:v>Class</x:v>
      </x:c>
      <x:c r="E4" s="24" t="str">
        <x:v>Primary geography</x:v>
      </x:c>
      <x:c r="F4" s="24" t="str">
        <x:v>Readiness district</x:v>
      </x:c>
      <x:c r="G4" s="24" t="str">
        <x:v>Notice (h)</x:v>
      </x:c>
      <x:c r="H4" s="24" t="str">
        <x:v>Mission (d)</x:v>
      </x:c>
      <x:c r="I4" s="24" t="str">
        <x:v>Occupied (d)</x:v>
      </x:c>
      <x:c r="J4" s="24" t="str">
        <x:v>Formation demand</x:v>
      </x:c>
      <x:c r="K4" s="24" t="str">
        <x:v>Early-entry equivalent</x:v>
      </x:c>
      <x:c r="L4" s="24" t="str">
        <x:v>Early deployable mass (t)</x:v>
      </x:c>
      <x:c r="M4" s="24" t="str">
        <x:v>Sustainment (t/day)</x:v>
      </x:c>
      <x:c r="N4" s="13" t="str">
        <x:v>Recall rule</x:v>
      </x:c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f>'Campaign Charter'!C5</x:f>
        <x:v>C1</x:v>
      </x:c>
      <x:c r="D5" s="40" t="str">
        <x:f>'Campaign Charter'!D5</x:f>
        <x:v>Catastrophic domestic</x:v>
      </x:c>
      <x:c r="E5" s="40" t="str">
        <x:f>'Campaign Charter'!G5</x:f>
        <x:v>National distributed</x:v>
      </x:c>
      <x:c r="F5" s="40" t="str">
        <x:f>'Campaign Charter'!H5</x:f>
        <x:v>D1 systemic</x:v>
      </x:c>
      <x:c r="G5" s="40" t="n">
        <x:f>'Campaign Charter'!I5</x:f>
        <x:v>6</x:v>
      </x:c>
      <x:c r="H5" s="40" t="n">
        <x:f>'Campaign Charter'!L5</x:f>
        <x:v>90</x:v>
      </x:c>
      <x:c r="I5" s="40" t="n">
        <x:f>'Campaign Charter'!Q5</x:f>
        <x:v>133</x:v>
      </x:c>
      <x:c r="J5" s="40" t="n">
        <x:f>SUM('Family Demand'!F$5:F$52)</x:f>
        <x:v>204</x:v>
      </x:c>
      <x:c r="K5" s="50" t="n">
        <x:f>SUMPRODUCT('Family Demand'!F$5:F$52,'Family Inputs'!$N$5:$N$52)</x:f>
        <x:v>118.95000000000003</x:v>
      </x:c>
      <x:c r="L5" s="50" t="n">
        <x:f>SUMPRODUCT('Family Demand'!F$5:F$52,'Family Inputs'!$N$5:$N$52,'Family Inputs'!$O$5:$O$52)</x:f>
        <x:v>778406.8</x:v>
      </x:c>
      <x:c r="M5" s="50" t="n">
        <x:f>SUMPRODUCT('Family Demand'!F$5:F$52,'Family Inputs'!$P$5:$P$52)</x:f>
        <x:v>14340</x:v>
      </x:c>
      <x:c r="N5" s="40" t="str">
        <x:f>'Campaign Charter'!R5</x:f>
        <x:v>Domestic allocation; no recall before certified release</x:v>
      </x:c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f>'Campaign Charter'!C6</x:f>
        <x:v>C2</x:v>
      </x:c>
      <x:c r="D6" s="40" t="str">
        <x:f>'Campaign Charter'!D6</x:f>
        <x:v>Catastrophic domestic</x:v>
      </x:c>
      <x:c r="E6" s="40" t="str">
        <x:f>'Campaign Charter'!G6</x:f>
        <x:v>Gulf and Atlantic coasts</x:v>
      </x:c>
      <x:c r="F6" s="40" t="str">
        <x:f>'Campaign Charter'!H6</x:f>
        <x:v>D2 dual coast</x:v>
      </x:c>
      <x:c r="G6" s="40" t="n">
        <x:f>'Campaign Charter'!I6</x:f>
        <x:v>120</x:v>
      </x:c>
      <x:c r="H6" s="40" t="n">
        <x:f>'Campaign Charter'!L6</x:f>
        <x:v>120</x:v>
      </x:c>
      <x:c r="I6" s="40" t="n">
        <x:f>'Campaign Charter'!Q6</x:f>
        <x:v>178</x:v>
      </x:c>
      <x:c r="J6" s="40" t="n">
        <x:f>SUM('Family Demand'!G$5:G$52)</x:f>
        <x:v>279</x:v>
      </x:c>
      <x:c r="K6" s="50" t="n">
        <x:f>SUMPRODUCT('Family Demand'!G$5:G$52,'Family Inputs'!$N$5:$N$52)</x:f>
        <x:v>161.24999999999997</x:v>
      </x:c>
      <x:c r="L6" s="50" t="n">
        <x:f>SUMPRODUCT('Family Demand'!G$5:G$52,'Family Inputs'!$N$5:$N$52,'Family Inputs'!$O$5:$O$52)</x:f>
        <x:v>1018822.6000000001</x:v>
      </x:c>
      <x:c r="M6" s="50" t="n">
        <x:f>SUMPRODUCT('Family Demand'!G$5:G$52,'Family Inputs'!$P$5:$P$52)</x:f>
        <x:v>20175</x:v>
      </x:c>
      <x:c r="N6" s="40" t="str">
        <x:f>'Campaign Charter'!R6</x:f>
        <x:v>Domestic allocation; second landfall is part of the same promise</x:v>
      </x:c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f>'Campaign Charter'!C7</x:f>
        <x:v>C3</x:v>
      </x:c>
      <x:c r="D7" s="40" t="str">
        <x:f>'Campaign Charter'!D7</x:f>
        <x:v>Catastrophic domestic</x:v>
      </x:c>
      <x:c r="E7" s="40" t="str">
        <x:f>'Campaign Charter'!G7</x:f>
        <x:v>Pacific Northwest</x:v>
      </x:c>
      <x:c r="F7" s="40" t="str">
        <x:f>'Campaign Charter'!H7</x:f>
        <x:v>D3 Pacific</x:v>
      </x:c>
      <x:c r="G7" s="40" t="n">
        <x:f>'Campaign Charter'!I7</x:f>
        <x:v>0</x:v>
      </x:c>
      <x:c r="H7" s="40" t="n">
        <x:f>'Campaign Charter'!L7</x:f>
        <x:v>180</x:v>
      </x:c>
      <x:c r="I7" s="40" t="n">
        <x:f>'Campaign Charter'!Q7</x:f>
        <x:v>260</x:v>
      </x:c>
      <x:c r="J7" s="40" t="n">
        <x:f>SUM('Family Demand'!H$5:H$52)</x:f>
        <x:v>362</x:v>
      </x:c>
      <x:c r="K7" s="50" t="n">
        <x:f>SUMPRODUCT('Family Demand'!H$5:H$52,'Family Inputs'!$N$5:$N$52)</x:f>
        <x:v>208.35</x:v>
      </x:c>
      <x:c r="L7" s="50" t="n">
        <x:f>SUMPRODUCT('Family Demand'!H$5:H$52,'Family Inputs'!$N$5:$N$52,'Family Inputs'!$O$5:$O$52)</x:f>
        <x:v>1332568</x:v>
      </x:c>
      <x:c r="M7" s="50" t="n">
        <x:f>SUMPRODUCT('Family Demand'!H$5:H$52,'Family Inputs'!$P$5:$P$52)</x:f>
        <x:v>26260</x:v>
      </x:c>
      <x:c r="N7" s="40" t="str">
        <x:f>'Campaign Charter'!R7</x:f>
        <x:v>Domestic allocation; no-notice onset</x:v>
      </x:c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f>'Campaign Charter'!C8</x:f>
        <x:v>M1</x:v>
      </x:c>
      <x:c r="D8" s="40" t="str">
        <x:f>'Campaign Charter'!D8</x:f>
        <x:v>Major domestic</x:v>
      </x:c>
      <x:c r="E8" s="40" t="str">
        <x:f>'Campaign Charter'!G8</x:f>
        <x:v>Western interior</x:v>
      </x:c>
      <x:c r="F8" s="40" t="str">
        <x:f>'Campaign Charter'!H8</x:f>
        <x:v>D4 West</x:v>
      </x:c>
      <x:c r="G8" s="40" t="n">
        <x:f>'Campaign Charter'!I8</x:f>
        <x:v>48</x:v>
      </x:c>
      <x:c r="H8" s="40" t="n">
        <x:f>'Campaign Charter'!L8</x:f>
        <x:v>90</x:v>
      </x:c>
      <x:c r="I8" s="40" t="n">
        <x:f>'Campaign Charter'!Q8</x:f>
        <x:v>134</x:v>
      </x:c>
      <x:c r="J8" s="40" t="n">
        <x:f>SUM('Family Demand'!I$5:I$52)</x:f>
        <x:v>134</x:v>
      </x:c>
      <x:c r="K8" s="50" t="n">
        <x:f>SUMPRODUCT('Family Demand'!I$5:I$52,'Family Inputs'!$N$5:$N$52)</x:f>
        <x:v>81.89999999999999</x:v>
      </x:c>
      <x:c r="L8" s="50" t="n">
        <x:f>SUMPRODUCT('Family Demand'!I$5:I$52,'Family Inputs'!$N$5:$N$52,'Family Inputs'!$O$5:$O$52)</x:f>
        <x:v>493073.3</x:v>
      </x:c>
      <x:c r="M8" s="50" t="n">
        <x:f>SUMPRODUCT('Family Demand'!I$5:I$52,'Family Inputs'!$P$5:$P$52)</x:f>
        <x:v>9780</x:v>
      </x:c>
      <x:c r="N8" s="40" t="str">
        <x:f>'Campaign Charter'!R8</x:f>
        <x:v>Domestic allocation; multiple fire sectors remain one campaign</x:v>
      </x:c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f>'Campaign Charter'!C9</x:f>
        <x:v>M2</x:v>
      </x:c>
      <x:c r="D9" s="40" t="str">
        <x:f>'Campaign Charter'!D9</x:f>
        <x:v>Major domestic</x:v>
      </x:c>
      <x:c r="E9" s="40" t="str">
        <x:f>'Campaign Charter'!G9</x:f>
        <x:v>Great Lakes or Northeast metro</x:v>
      </x:c>
      <x:c r="F9" s="40" t="str">
        <x:f>'Campaign Charter'!H9</x:f>
        <x:v>D5 urban</x:v>
      </x:c>
      <x:c r="G9" s="40" t="n">
        <x:f>'Campaign Charter'!I9</x:f>
        <x:v>72</x:v>
      </x:c>
      <x:c r="H9" s="40" t="n">
        <x:f>'Campaign Charter'!L9</x:f>
        <x:v>45</x:v>
      </x:c>
      <x:c r="I9" s="40" t="n">
        <x:f>'Campaign Charter'!Q9</x:f>
        <x:v>73</x:v>
      </x:c>
      <x:c r="J9" s="40" t="n">
        <x:f>SUM('Family Demand'!J$5:J$52)</x:f>
        <x:v>164</x:v>
      </x:c>
      <x:c r="K9" s="50" t="n">
        <x:f>SUMPRODUCT('Family Demand'!J$5:J$52,'Family Inputs'!$N$5:$N$52)</x:f>
        <x:v>99.75</x:v>
      </x:c>
      <x:c r="L9" s="50" t="n">
        <x:f>SUMPRODUCT('Family Demand'!J$5:J$52,'Family Inputs'!$N$5:$N$52,'Family Inputs'!$O$5:$O$52)</x:f>
        <x:v>611070.6</x:v>
      </x:c>
      <x:c r="M9" s="50" t="n">
        <x:f>SUMPRODUCT('Family Demand'!J$5:J$52,'Family Inputs'!$P$5:$P$52)</x:f>
        <x:v>11085</x:v>
      </x:c>
      <x:c r="N9" s="40" t="str">
        <x:f>'Campaign Charter'!R9</x:f>
        <x:v>Domestic allocation</x:v>
      </x:c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f>'Campaign Charter'!C10</x:f>
        <x:v>M3</x:v>
      </x:c>
      <x:c r="D10" s="40" t="str">
        <x:f>'Campaign Charter'!D10</x:f>
        <x:v>Major domestic</x:v>
      </x:c>
      <x:c r="E10" s="40" t="str">
        <x:f>'Campaign Charter'!G10</x:f>
        <x:v>Mississippi or Central Valley</x:v>
      </x:c>
      <x:c r="F10" s="40" t="str">
        <x:f>'Campaign Charter'!H10</x:f>
        <x:v>D6 inland</x:v>
      </x:c>
      <x:c r="G10" s="40" t="n">
        <x:f>'Campaign Charter'!I10</x:f>
        <x:v>72</x:v>
      </x:c>
      <x:c r="H10" s="40" t="n">
        <x:f>'Campaign Charter'!L10</x:f>
        <x:v>90</x:v>
      </x:c>
      <x:c r="I10" s="40" t="n">
        <x:f>'Campaign Charter'!Q10</x:f>
        <x:v>145</x:v>
      </x:c>
      <x:c r="J10" s="40" t="n">
        <x:f>SUM('Family Demand'!K$5:K$52)</x:f>
        <x:v>192</x:v>
      </x:c>
      <x:c r="K10" s="50" t="n">
        <x:f>SUMPRODUCT('Family Demand'!K$5:K$52,'Family Inputs'!$N$5:$N$52)</x:f>
        <x:v>108.4</x:v>
      </x:c>
      <x:c r="L10" s="50" t="n">
        <x:f>SUMPRODUCT('Family Demand'!K$5:K$52,'Family Inputs'!$N$5:$N$52,'Family Inputs'!$O$5:$O$52)</x:f>
        <x:v>706724</x:v>
      </x:c>
      <x:c r="M10" s="50" t="n">
        <x:f>SUMPRODUCT('Family Demand'!K$5:K$52,'Family Inputs'!$P$5:$P$52)</x:f>
        <x:v>14065</x:v>
      </x:c>
      <x:c r="N10" s="40" t="str">
        <x:f>'Campaign Charter'!R10</x:f>
        <x:v>Domestic allocation</x:v>
      </x:c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f>'Campaign Charter'!C11</x:f>
        <x:v>M4</x:v>
      </x:c>
      <x:c r="D11" s="40" t="str">
        <x:f>'Campaign Charter'!D11</x:f>
        <x:v>Major domestic</x:v>
      </x:c>
      <x:c r="E11" s="40" t="str">
        <x:f>'Campaign Charter'!G11</x:f>
        <x:v>Plains and South</x:v>
      </x:c>
      <x:c r="F11" s="40" t="str">
        <x:f>'Campaign Charter'!H11</x:f>
        <x:v>D6 inland</x:v>
      </x:c>
      <x:c r="G11" s="40" t="n">
        <x:f>'Campaign Charter'!I11</x:f>
        <x:v>24</x:v>
      </x:c>
      <x:c r="H11" s="40" t="n">
        <x:f>'Campaign Charter'!L11</x:f>
        <x:v>30</x:v>
      </x:c>
      <x:c r="I11" s="40" t="n">
        <x:f>'Campaign Charter'!Q11</x:f>
        <x:v>56</x:v>
      </x:c>
      <x:c r="J11" s="40" t="n">
        <x:f>SUM('Family Demand'!L$5:L$52)</x:f>
        <x:v>217</x:v>
      </x:c>
      <x:c r="K11" s="50" t="n">
        <x:f>SUMPRODUCT('Family Demand'!L$5:L$52,'Family Inputs'!$N$5:$N$52)</x:f>
        <x:v>128.15</x:v>
      </x:c>
      <x:c r="L11" s="50" t="n">
        <x:f>SUMPRODUCT('Family Demand'!L$5:L$52,'Family Inputs'!$N$5:$N$52,'Family Inputs'!$O$5:$O$52)</x:f>
        <x:v>777140.4999999999</x:v>
      </x:c>
      <x:c r="M11" s="50" t="n">
        <x:f>SUMPRODUCT('Family Demand'!L$5:L$52,'Family Inputs'!$P$5:$P$52)</x:f>
        <x:v>15575</x:v>
      </x:c>
      <x:c r="N11" s="40" t="str">
        <x:f>'Campaign Charter'!R11</x:f>
        <x:v>Domestic allocation</x:v>
      </x:c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f>'Campaign Charter'!C12</x:f>
        <x:v>M5</x:v>
      </x:c>
      <x:c r="D12" s="40" t="str">
        <x:f>'Campaign Charter'!D12</x:f>
        <x:v>Major domestic</x:v>
      </x:c>
      <x:c r="E12" s="40" t="str">
        <x:f>'Campaign Charter'!G12</x:f>
        <x:v>Caribbean or Pacific territory</x:v>
      </x:c>
      <x:c r="F12" s="40" t="str">
        <x:f>'Campaign Charter'!H12</x:f>
        <x:v>D7 territory</x:v>
      </x:c>
      <x:c r="G12" s="40" t="n">
        <x:f>'Campaign Charter'!I12</x:f>
        <x:v>720</x:v>
      </x:c>
      <x:c r="H12" s="40" t="n">
        <x:f>'Campaign Charter'!L12</x:f>
        <x:v>180</x:v>
      </x:c>
      <x:c r="I12" s="40" t="n">
        <x:f>'Campaign Charter'!Q12</x:f>
        <x:v>253</x:v>
      </x:c>
      <x:c r="J12" s="40" t="n">
        <x:f>SUM('Family Demand'!M$5:M$52)</x:f>
        <x:v>193</x:v>
      </x:c>
      <x:c r="K12" s="50" t="n">
        <x:f>SUMPRODUCT('Family Demand'!M$5:M$52,'Family Inputs'!$N$5:$N$52)</x:f>
        <x:v>110.80000000000003</x:v>
      </x:c>
      <x:c r="L12" s="50" t="n">
        <x:f>SUMPRODUCT('Family Demand'!M$5:M$52,'Family Inputs'!$N$5:$N$52,'Family Inputs'!$O$5:$O$52)</x:f>
        <x:v>736882.4</x:v>
      </x:c>
      <x:c r="M12" s="50" t="n">
        <x:f>SUMPRODUCT('Family Demand'!M$5:M$52,'Family Inputs'!$P$5:$P$52)</x:f>
        <x:v>13825</x:v>
      </x:c>
      <x:c r="N12" s="40" t="str">
        <x:f>'Campaign Charter'!R12</x:f>
        <x:v>Domestic allocation; territory is not treated as international</x:v>
      </x:c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f>'Campaign Charter'!C13</x:f>
        <x:v>I1</x:v>
      </x:c>
      <x:c r="D13" s="40" t="str">
        <x:f>'Campaign Charter'!D13</x:f>
        <x:v>Invited international</x:v>
      </x:c>
      <x:c r="E13" s="40" t="str">
        <x:f>'Campaign Charter'!G13</x:f>
        <x:v>Indo-Pacific host nation</x:v>
      </x:c>
      <x:c r="F13" s="40" t="str">
        <x:f>'Campaign Charter'!H13</x:f>
        <x:v>I1 Indo-Pacific</x:v>
      </x:c>
      <x:c r="G13" s="40" t="n">
        <x:f>'Campaign Charter'!I13</x:f>
        <x:v>0</x:v>
      </x:c>
      <x:c r="H13" s="40" t="n">
        <x:f>'Campaign Charter'!L13</x:f>
        <x:v>180</x:v>
      </x:c>
      <x:c r="I13" s="40" t="n">
        <x:f>'Campaign Charter'!Q13</x:f>
        <x:v>281</x:v>
      </x:c>
      <x:c r="J13" s="40" t="n">
        <x:f>SUM('Family Demand'!N$5:N$52)</x:f>
        <x:v>334</x:v>
      </x:c>
      <x:c r="K13" s="50" t="n">
        <x:f>SUMPRODUCT('Family Demand'!N$5:N$52,'Family Inputs'!$N$5:$N$52)</x:f>
        <x:v>193.39999999999995</x:v>
      </x:c>
      <x:c r="L13" s="50" t="n">
        <x:f>SUMPRODUCT('Family Demand'!N$5:N$52,'Family Inputs'!$N$5:$N$52,'Family Inputs'!$O$5:$O$52)</x:f>
        <x:v>1226202.4000000001</x:v>
      </x:c>
      <x:c r="M13" s="50" t="n">
        <x:f>SUMPRODUCT('Family Demand'!N$5:N$52,'Family Inputs'!$P$5:$P$52)</x:f>
        <x:v>24145</x:v>
      </x:c>
      <x:c r="N13" s="40" t="str">
        <x:f>'Campaign Charter'!R13</x:f>
        <x:v>Non-recallable after acceptance unless host and U.S. authorities release</x:v>
      </x:c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 t="str">
        <x:f>'Campaign Charter'!C14</x:f>
        <x:v>I2</x:v>
      </x:c>
      <x:c r="D14" s="40" t="str">
        <x:f>'Campaign Charter'!D14</x:f>
        <x:v>Invited international</x:v>
      </x:c>
      <x:c r="E14" s="40" t="str">
        <x:f>'Campaign Charter'!G14</x:f>
        <x:v>Atlantic or Americas host nation</x:v>
      </x:c>
      <x:c r="F14" s="40" t="str">
        <x:f>'Campaign Charter'!H14</x:f>
        <x:v>I2 Atlantic</x:v>
      </x:c>
      <x:c r="G14" s="40" t="n">
        <x:f>'Campaign Charter'!I14</x:f>
        <x:v>72</x:v>
      </x:c>
      <x:c r="H14" s="40" t="n">
        <x:f>'Campaign Charter'!L14</x:f>
        <x:v>180</x:v>
      </x:c>
      <x:c r="I14" s="40" t="n">
        <x:f>'Campaign Charter'!Q14</x:f>
        <x:v>268</x:v>
      </x:c>
      <x:c r="J14" s="40" t="n">
        <x:f>SUM('Family Demand'!O$5:O$52)</x:f>
        <x:v>341</x:v>
      </x:c>
      <x:c r="K14" s="50" t="n">
        <x:f>SUMPRODUCT('Family Demand'!O$5:O$52,'Family Inputs'!$N$5:$N$52)</x:f>
        <x:v>197.60000000000002</x:v>
      </x:c>
      <x:c r="L14" s="50" t="n">
        <x:f>SUMPRODUCT('Family Demand'!O$5:O$52,'Family Inputs'!$N$5:$N$52,'Family Inputs'!$O$5:$O$52)</x:f>
        <x:v>1221963.2</x:v>
      </x:c>
      <x:c r="M14" s="50" t="n">
        <x:f>SUMPRODUCT('Family Demand'!O$5:O$52,'Family Inputs'!$P$5:$P$52)</x:f>
        <x:v>24645</x:v>
      </x:c>
      <x:c r="N14" s="40" t="str">
        <x:f>'Campaign Charter'!R14</x:f>
        <x:v>Non-recallable after acceptance unless host and U.S. authorities release</x:v>
      </x:c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4" t="str">
        <x:v>Total</x:v>
      </x:c>
      <x:c r="D15" s="44"/>
      <x:c r="E15" s="44"/>
      <x:c r="F15" s="44"/>
      <x:c r="G15" s="44"/>
      <x:c r="H15" s="44"/>
      <x:c r="I15" s="44"/>
      <x:c r="J15" s="44" t="n">
        <x:f>SUM(J5:J14)</x:f>
        <x:v>2420</x:v>
      </x:c>
      <x:c r="K15" s="52" t="n">
        <x:f>SUM(K5:K14)</x:f>
        <x:v>1408.5499999999997</x:v>
      </x:c>
      <x:c r="L15" s="52" t="n">
        <x:f>SUM(L5:L14)</x:f>
        <x:v>8902853.8</x:v>
      </x:c>
      <x:c r="M15" s="52" t="n">
        <x:f>SUM(M5:M14)</x:f>
        <x:v>173895</x:v>
      </x:c>
      <x:c r="N15" s="44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15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Campaign occupancy and second-wave exclusion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Campaign</x:v>
      </x:c>
      <x:c r="D4" s="24" t="str">
        <x:v>Preparation</x:v>
      </x:c>
      <x:c r="E4" s="24" t="str">
        <x:v>Transit</x:v>
      </x:c>
      <x:c r="F4" s="24" t="str">
        <x:v>Mission</x:v>
      </x:c>
      <x:c r="G4" s="24" t="str">
        <x:v>Withdrawal</x:v>
      </x:c>
      <x:c r="H4" s="24" t="str">
        <x:v>Quarantine</x:v>
      </x:c>
      <x:c r="I4" s="24" t="str">
        <x:v>Repair</x:v>
      </x:c>
      <x:c r="J4" s="24" t="str">
        <x:v>Recertification</x:v>
      </x:c>
      <x:c r="K4" s="24" t="str">
        <x:v>Occupied days</x:v>
      </x:c>
      <x:c r="L4" s="24" t="str">
        <x:v>Formation demand</x:v>
      </x:c>
      <x:c r="M4" s="24" t="str">
        <x:v>Formation-days</x:v>
      </x:c>
      <x:c r="N4" s="13" t="str">
        <x:v>Earliest reuse day</x:v>
      </x:c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f>'Campaign Charter'!C5</x:f>
        <x:v>C1</x:v>
      </x:c>
      <x:c r="D5" s="40" t="n">
        <x:f>'Campaign Charter'!J5</x:f>
        <x:v>1</x:v>
      </x:c>
      <x:c r="E5" s="40" t="n">
        <x:f>'Campaign Charter'!K5</x:f>
        <x:v>2</x:v>
      </x:c>
      <x:c r="F5" s="40" t="n">
        <x:f>'Campaign Charter'!L5</x:f>
        <x:v>90</x:v>
      </x:c>
      <x:c r="G5" s="40" t="n">
        <x:f>'Campaign Charter'!M5</x:f>
        <x:v>3</x:v>
      </x:c>
      <x:c r="H5" s="40" t="n">
        <x:f>'Campaign Charter'!N5</x:f>
        <x:v>2</x:v>
      </x:c>
      <x:c r="I5" s="40" t="n">
        <x:f>'Campaign Charter'!O5</x:f>
        <x:v>21</x:v>
      </x:c>
      <x:c r="J5" s="40" t="n">
        <x:f>'Campaign Charter'!P5</x:f>
        <x:v>14</x:v>
      </x:c>
      <x:c r="K5" s="40" t="n">
        <x:f>SUM(D5:J5)</x:f>
        <x:v>133</x:v>
      </x:c>
      <x:c r="L5" s="40" t="n">
        <x:f>'Geographic Posture'!J5</x:f>
        <x:v>204</x:v>
      </x:c>
      <x:c r="M5" s="40" t="n">
        <x:f>K5*L5</x:f>
        <x:v>27132</x:v>
      </x:c>
      <x:c r="N5" s="40" t="n">
        <x:f>K5+1</x:f>
        <x:v>134</x:v>
      </x:c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f>'Campaign Charter'!C6</x:f>
        <x:v>C2</x:v>
      </x:c>
      <x:c r="D6" s="40" t="n">
        <x:f>'Campaign Charter'!J6</x:f>
        <x:v>5</x:v>
      </x:c>
      <x:c r="E6" s="40" t="n">
        <x:f>'Campaign Charter'!K6</x:f>
        <x:v>3</x:v>
      </x:c>
      <x:c r="F6" s="40" t="n">
        <x:f>'Campaign Charter'!L6</x:f>
        <x:v>120</x:v>
      </x:c>
      <x:c r="G6" s="40" t="n">
        <x:f>'Campaign Charter'!M6</x:f>
        <x:v>5</x:v>
      </x:c>
      <x:c r="H6" s="40" t="n">
        <x:f>'Campaign Charter'!N6</x:f>
        <x:v>3</x:v>
      </x:c>
      <x:c r="I6" s="40" t="n">
        <x:f>'Campaign Charter'!O6</x:f>
        <x:v>28</x:v>
      </x:c>
      <x:c r="J6" s="40" t="n">
        <x:f>'Campaign Charter'!P6</x:f>
        <x:v>14</x:v>
      </x:c>
      <x:c r="K6" s="40" t="n">
        <x:f>SUM(D6:J6)</x:f>
        <x:v>178</x:v>
      </x:c>
      <x:c r="L6" s="40" t="n">
        <x:f>'Geographic Posture'!J6</x:f>
        <x:v>279</x:v>
      </x:c>
      <x:c r="M6" s="40" t="n">
        <x:f>K6*L6</x:f>
        <x:v>49662</x:v>
      </x:c>
      <x:c r="N6" s="40" t="n">
        <x:f>K6+1</x:f>
        <x:v>179</x:v>
      </x:c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f>'Campaign Charter'!C7</x:f>
        <x:v>C3</x:v>
      </x:c>
      <x:c r="D7" s="40" t="n">
        <x:f>'Campaign Charter'!J7</x:f>
        <x:v>1</x:v>
      </x:c>
      <x:c r="E7" s="40" t="n">
        <x:f>'Campaign Charter'!K7</x:f>
        <x:v>4</x:v>
      </x:c>
      <x:c r="F7" s="40" t="n">
        <x:f>'Campaign Charter'!L7</x:f>
        <x:v>180</x:v>
      </x:c>
      <x:c r="G7" s="40" t="n">
        <x:f>'Campaign Charter'!M7</x:f>
        <x:v>7</x:v>
      </x:c>
      <x:c r="H7" s="40" t="n">
        <x:f>'Campaign Charter'!N7</x:f>
        <x:v>5</x:v>
      </x:c>
      <x:c r="I7" s="40" t="n">
        <x:f>'Campaign Charter'!O7</x:f>
        <x:v>42</x:v>
      </x:c>
      <x:c r="J7" s="40" t="n">
        <x:f>'Campaign Charter'!P7</x:f>
        <x:v>21</x:v>
      </x:c>
      <x:c r="K7" s="40" t="n">
        <x:f>SUM(D7:J7)</x:f>
        <x:v>260</x:v>
      </x:c>
      <x:c r="L7" s="40" t="n">
        <x:f>'Geographic Posture'!J7</x:f>
        <x:v>362</x:v>
      </x:c>
      <x:c r="M7" s="40" t="n">
        <x:f>K7*L7</x:f>
        <x:v>94120</x:v>
      </x:c>
      <x:c r="N7" s="40" t="n">
        <x:f>K7+1</x:f>
        <x:v>261</x:v>
      </x:c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f>'Campaign Charter'!C8</x:f>
        <x:v>M1</x:v>
      </x:c>
      <x:c r="D8" s="40" t="n">
        <x:f>'Campaign Charter'!J8</x:f>
        <x:v>2</x:v>
      </x:c>
      <x:c r="E8" s="40" t="n">
        <x:f>'Campaign Charter'!K8</x:f>
        <x:v>2</x:v>
      </x:c>
      <x:c r="F8" s="40" t="n">
        <x:f>'Campaign Charter'!L8</x:f>
        <x:v>90</x:v>
      </x:c>
      <x:c r="G8" s="40" t="n">
        <x:f>'Campaign Charter'!M8</x:f>
        <x:v>3</x:v>
      </x:c>
      <x:c r="H8" s="40" t="n">
        <x:f>'Campaign Charter'!N8</x:f>
        <x:v>2</x:v>
      </x:c>
      <x:c r="I8" s="40" t="n">
        <x:f>'Campaign Charter'!O8</x:f>
        <x:v>21</x:v>
      </x:c>
      <x:c r="J8" s="40" t="n">
        <x:f>'Campaign Charter'!P8</x:f>
        <x:v>14</x:v>
      </x:c>
      <x:c r="K8" s="40" t="n">
        <x:f>SUM(D8:J8)</x:f>
        <x:v>134</x:v>
      </x:c>
      <x:c r="L8" s="40" t="n">
        <x:f>'Geographic Posture'!J8</x:f>
        <x:v>134</x:v>
      </x:c>
      <x:c r="M8" s="40" t="n">
        <x:f>K8*L8</x:f>
        <x:v>17956</x:v>
      </x:c>
      <x:c r="N8" s="40" t="n">
        <x:f>K8+1</x:f>
        <x:v>135</x:v>
      </x:c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f>'Campaign Charter'!C9</x:f>
        <x:v>M2</x:v>
      </x:c>
      <x:c r="D9" s="40" t="n">
        <x:f>'Campaign Charter'!J9</x:f>
        <x:v>3</x:v>
      </x:c>
      <x:c r="E9" s="40" t="n">
        <x:f>'Campaign Charter'!K9</x:f>
        <x:v>1</x:v>
      </x:c>
      <x:c r="F9" s="40" t="n">
        <x:f>'Campaign Charter'!L9</x:f>
        <x:v>45</x:v>
      </x:c>
      <x:c r="G9" s="40" t="n">
        <x:f>'Campaign Charter'!M9</x:f>
        <x:v>2</x:v>
      </x:c>
      <x:c r="H9" s="40" t="n">
        <x:f>'Campaign Charter'!N9</x:f>
        <x:v>1</x:v>
      </x:c>
      <x:c r="I9" s="40" t="n">
        <x:f>'Campaign Charter'!O9</x:f>
        <x:v>14</x:v>
      </x:c>
      <x:c r="J9" s="40" t="n">
        <x:f>'Campaign Charter'!P9</x:f>
        <x:v>7</x:v>
      </x:c>
      <x:c r="K9" s="40" t="n">
        <x:f>SUM(D9:J9)</x:f>
        <x:v>73</x:v>
      </x:c>
      <x:c r="L9" s="40" t="n">
        <x:f>'Geographic Posture'!J9</x:f>
        <x:v>164</x:v>
      </x:c>
      <x:c r="M9" s="40" t="n">
        <x:f>K9*L9</x:f>
        <x:v>11972</x:v>
      </x:c>
      <x:c r="N9" s="40" t="n">
        <x:f>K9+1</x:f>
        <x:v>74</x:v>
      </x:c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f>'Campaign Charter'!C10</x:f>
        <x:v>M3</x:v>
      </x:c>
      <x:c r="D10" s="40" t="n">
        <x:f>'Campaign Charter'!J10</x:f>
        <x:v>3</x:v>
      </x:c>
      <x:c r="E10" s="40" t="n">
        <x:f>'Campaign Charter'!K10</x:f>
        <x:v>2</x:v>
      </x:c>
      <x:c r="F10" s="40" t="n">
        <x:f>'Campaign Charter'!L10</x:f>
        <x:v>90</x:v>
      </x:c>
      <x:c r="G10" s="40" t="n">
        <x:f>'Campaign Charter'!M10</x:f>
        <x:v>5</x:v>
      </x:c>
      <x:c r="H10" s="40" t="n">
        <x:f>'Campaign Charter'!N10</x:f>
        <x:v>3</x:v>
      </x:c>
      <x:c r="I10" s="40" t="n">
        <x:f>'Campaign Charter'!O10</x:f>
        <x:v>28</x:v>
      </x:c>
      <x:c r="J10" s="40" t="n">
        <x:f>'Campaign Charter'!P10</x:f>
        <x:v>14</x:v>
      </x:c>
      <x:c r="K10" s="40" t="n">
        <x:f>SUM(D10:J10)</x:f>
        <x:v>145</x:v>
      </x:c>
      <x:c r="L10" s="40" t="n">
        <x:f>'Geographic Posture'!J10</x:f>
        <x:v>192</x:v>
      </x:c>
      <x:c r="M10" s="40" t="n">
        <x:f>K10*L10</x:f>
        <x:v>27840</x:v>
      </x:c>
      <x:c r="N10" s="40" t="n">
        <x:f>K10+1</x:f>
        <x:v>146</x:v>
      </x:c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f>'Campaign Charter'!C11</x:f>
        <x:v>M4</x:v>
      </x:c>
      <x:c r="D11" s="40" t="n">
        <x:f>'Campaign Charter'!J11</x:f>
        <x:v>1</x:v>
      </x:c>
      <x:c r="E11" s="40" t="n">
        <x:f>'Campaign Charter'!K11</x:f>
        <x:v>1</x:v>
      </x:c>
      <x:c r="F11" s="40" t="n">
        <x:f>'Campaign Charter'!L11</x:f>
        <x:v>30</x:v>
      </x:c>
      <x:c r="G11" s="40" t="n">
        <x:f>'Campaign Charter'!M11</x:f>
        <x:v>2</x:v>
      </x:c>
      <x:c r="H11" s="40" t="n">
        <x:f>'Campaign Charter'!N11</x:f>
        <x:v>1</x:v>
      </x:c>
      <x:c r="I11" s="40" t="n">
        <x:f>'Campaign Charter'!O11</x:f>
        <x:v>14</x:v>
      </x:c>
      <x:c r="J11" s="40" t="n">
        <x:f>'Campaign Charter'!P11</x:f>
        <x:v>7</x:v>
      </x:c>
      <x:c r="K11" s="40" t="n">
        <x:f>SUM(D11:J11)</x:f>
        <x:v>56</x:v>
      </x:c>
      <x:c r="L11" s="40" t="n">
        <x:f>'Geographic Posture'!J11</x:f>
        <x:v>217</x:v>
      </x:c>
      <x:c r="M11" s="40" t="n">
        <x:f>K11*L11</x:f>
        <x:v>12152</x:v>
      </x:c>
      <x:c r="N11" s="40" t="n">
        <x:f>K11+1</x:f>
        <x:v>57</x:v>
      </x:c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f>'Campaign Charter'!C12</x:f>
        <x:v>M5</x:v>
      </x:c>
      <x:c r="D12" s="40" t="n">
        <x:f>'Campaign Charter'!J12</x:f>
        <x:v>14</x:v>
      </x:c>
      <x:c r="E12" s="40" t="n">
        <x:f>'Campaign Charter'!K12</x:f>
        <x:v>7</x:v>
      </x:c>
      <x:c r="F12" s="40" t="n">
        <x:f>'Campaign Charter'!L12</x:f>
        <x:v>180</x:v>
      </x:c>
      <x:c r="G12" s="40" t="n">
        <x:f>'Campaign Charter'!M12</x:f>
        <x:v>7</x:v>
      </x:c>
      <x:c r="H12" s="40" t="n">
        <x:f>'Campaign Charter'!N12</x:f>
        <x:v>3</x:v>
      </x:c>
      <x:c r="I12" s="40" t="n">
        <x:f>'Campaign Charter'!O12</x:f>
        <x:v>28</x:v>
      </x:c>
      <x:c r="J12" s="40" t="n">
        <x:f>'Campaign Charter'!P12</x:f>
        <x:v>14</x:v>
      </x:c>
      <x:c r="K12" s="40" t="n">
        <x:f>SUM(D12:J12)</x:f>
        <x:v>253</x:v>
      </x:c>
      <x:c r="L12" s="40" t="n">
        <x:f>'Geographic Posture'!J12</x:f>
        <x:v>193</x:v>
      </x:c>
      <x:c r="M12" s="40" t="n">
        <x:f>K12*L12</x:f>
        <x:v>48829</x:v>
      </x:c>
      <x:c r="N12" s="40" t="n">
        <x:f>K12+1</x:f>
        <x:v>254</x:v>
      </x:c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f>'Campaign Charter'!C13</x:f>
        <x:v>I1</x:v>
      </x:c>
      <x:c r="D13" s="40" t="n">
        <x:f>'Campaign Charter'!J13</x:f>
        <x:v>3</x:v>
      </x:c>
      <x:c r="E13" s="40" t="n">
        <x:f>'Campaign Charter'!K13</x:f>
        <x:v>14</x:v>
      </x:c>
      <x:c r="F13" s="40" t="n">
        <x:f>'Campaign Charter'!L13</x:f>
        <x:v>180</x:v>
      </x:c>
      <x:c r="G13" s="40" t="n">
        <x:f>'Campaign Charter'!M13</x:f>
        <x:v>14</x:v>
      </x:c>
      <x:c r="H13" s="40" t="n">
        <x:f>'Campaign Charter'!N13</x:f>
        <x:v>7</x:v>
      </x:c>
      <x:c r="I13" s="40" t="n">
        <x:f>'Campaign Charter'!O13</x:f>
        <x:v>42</x:v>
      </x:c>
      <x:c r="J13" s="40" t="n">
        <x:f>'Campaign Charter'!P13</x:f>
        <x:v>21</x:v>
      </x:c>
      <x:c r="K13" s="40" t="n">
        <x:f>SUM(D13:J13)</x:f>
        <x:v>281</x:v>
      </x:c>
      <x:c r="L13" s="40" t="n">
        <x:f>'Geographic Posture'!J13</x:f>
        <x:v>334</x:v>
      </x:c>
      <x:c r="M13" s="40" t="n">
        <x:f>K13*L13</x:f>
        <x:v>93854</x:v>
      </x:c>
      <x:c r="N13" s="40" t="n">
        <x:f>K13+1</x:f>
        <x:v>282</x:v>
      </x:c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 t="str">
        <x:f>'Campaign Charter'!C14</x:f>
        <x:v>I2</x:v>
      </x:c>
      <x:c r="D14" s="40" t="n">
        <x:f>'Campaign Charter'!J14</x:f>
        <x:v>5</x:v>
      </x:c>
      <x:c r="E14" s="40" t="n">
        <x:f>'Campaign Charter'!K14</x:f>
        <x:v>10</x:v>
      </x:c>
      <x:c r="F14" s="40" t="n">
        <x:f>'Campaign Charter'!L14</x:f>
        <x:v>180</x:v>
      </x:c>
      <x:c r="G14" s="40" t="n">
        <x:f>'Campaign Charter'!M14</x:f>
        <x:v>10</x:v>
      </x:c>
      <x:c r="H14" s="40" t="n">
        <x:f>'Campaign Charter'!N14</x:f>
        <x:v>7</x:v>
      </x:c>
      <x:c r="I14" s="40" t="n">
        <x:f>'Campaign Charter'!O14</x:f>
        <x:v>35</x:v>
      </x:c>
      <x:c r="J14" s="40" t="n">
        <x:f>'Campaign Charter'!P14</x:f>
        <x:v>21</x:v>
      </x:c>
      <x:c r="K14" s="40" t="n">
        <x:f>SUM(D14:J14)</x:f>
        <x:v>268</x:v>
      </x:c>
      <x:c r="L14" s="40" t="n">
        <x:f>'Geographic Posture'!J14</x:f>
        <x:v>341</x:v>
      </x:c>
      <x:c r="M14" s="40" t="n">
        <x:f>K14*L14</x:f>
        <x:v>91388</x:v>
      </x:c>
      <x:c r="N14" s="40" t="n">
        <x:f>K14+1</x:f>
        <x:v>269</x:v>
      </x:c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4" t="str">
        <x:v>Total</x:v>
      </x:c>
      <x:c r="D15" s="44"/>
      <x:c r="E15" s="44"/>
      <x:c r="F15" s="44"/>
      <x:c r="G15" s="44"/>
      <x:c r="H15" s="44"/>
      <x:c r="I15" s="44"/>
      <x:c r="J15" s="44"/>
      <x:c r="K15" s="44" t="n">
        <x:f>SUM(K5:K14)</x:f>
        <x:v>1781</x:v>
      </x:c>
      <x:c r="L15" s="44" t="n">
        <x:f>SUM(L5:L14)</x:f>
        <x:v>2420</x:v>
      </x:c>
      <x:c r="M15" s="44" t="n">
        <x:f>SUM(M5:M14)</x:f>
        <x:v>474905</x:v>
      </x:c>
      <x:c r="N15" s="44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30" customHeight="1">
      <x:c r="A18" s="1"/>
      <x:c r="B18" s="1"/>
      <x:c r="C18" s="12" t="str">
        <x:v>Second-wave rule</x:v>
      </x:c>
      <x:c r="D18" s="13" t="str">
        <x:v>Result</x:v>
      </x:c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 t="str">
        <x:v>Reusable committed formations at day 30</x:v>
      </x:c>
      <x:c r="D19" s="50" t="n">
        <x:f>SUMIF(N5:N14,"&lt;=30",L5:L14)</x:f>
        <x:v>0</x:v>
      </x:c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 t="str">
        <x:v>Protected reserve after district loss</x:v>
      </x:c>
      <x:c r="D20" s="50" t="n">
        <x:f>SUM(Inventory!O5:O52)</x:f>
        <x:v>495.15200000000027</x:v>
      </x:c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 t="str">
        <x:v>Interpretation</x:v>
      </x:c>
      <x:c r="D21" s="40" t="str">
        <x:v>No committed campaign has completed its occupied interval by day 30; the second wave must use protected reserve</x:v>
      </x:c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56" hidden="0" customWidth="1"/>
    <x:col min="5" max="5" width="22" hidden="0" customWidth="1"/>
    <x:col min="6" max="6" width="22" hidden="0" customWidth="1"/>
    <x:col min="7" max="7" width="16" hidden="0" customWidth="1"/>
    <x:col min="8" max="8" width="12" hidden="0" customWidth="1"/>
    <x:col min="9" max="9" width="7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Scenario denial and conservation tests</x:v>
      </x:c>
      <x:c r="D2" s="2"/>
      <x:c r="E2" s="2"/>
      <x:c r="F2" s="2"/>
      <x:c r="G2" s="2"/>
      <x:c r="H2" s="2"/>
      <x:c r="I2" s="2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World</x:v>
      </x:c>
      <x:c r="D4" s="24" t="str">
        <x:v>Condition</x:v>
      </x:c>
      <x:c r="E4" s="24" t="str">
        <x:v>Required capacity</x:v>
      </x:c>
      <x:c r="F4" s="24" t="str">
        <x:v>Available capacity</x:v>
      </x:c>
      <x:c r="G4" s="24" t="str">
        <x:v>Margin</x:v>
      </x:c>
      <x:c r="H4" s="24" t="str">
        <x:v>Result</x:v>
      </x:c>
      <x:c r="I4" s="13" t="str">
        <x:v>Interpretation</x:v>
      </x:c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v>FW0</x:v>
      </x:c>
      <x:c r="D5" s="40" t="str">
        <x:v>All ten campaign claims overlap</x:v>
      </x:c>
      <x:c r="E5" s="50" t="n">
        <x:f>SUM(Inventory!F5:F52)</x:f>
        <x:v>2420</x:v>
      </x:c>
      <x:c r="F5" s="50" t="n">
        <x:f>SUMPRODUCT(Inventory!M5:M52,Inventory!H5:H52)</x:f>
        <x:v>3643.9399999999996</x:v>
      </x:c>
      <x:c r="G5" s="50" t="n">
        <x:f>F5-E5</x:f>
        <x:v>1223.9399999999996</x:v>
      </x:c>
      <x:c r="H5" s="40" t="str">
        <x:f>IF(G5&gt;=-0.000001,"PASS","FAIL")</x:f>
        <x:v>PASS</x:v>
      </x:c>
      <x:c r="I5" s="40" t="str">
        <x:v>Full demand is additive across campaigns</x:v>
      </x:c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v>FW1</x:v>
      </x:c>
      <x:c r="D6" s="40" t="str">
        <x:v>Protected reserve remains with no district loss</x:v>
      </x:c>
      <x:c r="E6" s="50" t="n">
        <x:f>SUM(Inventory!G5:G52)</x:f>
        <x:v>2904</x:v>
      </x:c>
      <x:c r="F6" s="50" t="n">
        <x:f>SUMPRODUCT(Inventory!M5:M52,Inventory!H5:H52)</x:f>
        <x:v>3643.9399999999996</x:v>
      </x:c>
      <x:c r="G6" s="50" t="n">
        <x:f>F6-E6</x:f>
        <x:v>739.9399999999996</x:v>
      </x:c>
      <x:c r="H6" s="40" t="str">
        <x:f>IF(G6&gt;=-0.000001,"PASS","FAIL")</x:f>
        <x:v>PASS</x:v>
      </x:c>
      <x:c r="I6" s="40" t="str">
        <x:v>Reserve is not training or overhaul inventory</x:v>
      </x:c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v>FW2</x:v>
      </x:c>
      <x:c r="D7" s="40" t="str">
        <x:v>One readiness district at the concentration cap is unavailable</x:v>
      </x:c>
      <x:c r="E7" s="50" t="n">
        <x:f>SUM(Inventory!G5:G52)</x:f>
        <x:v>2904</x:v>
      </x:c>
      <x:c r="F7" s="50" t="n">
        <x:f>SUM(Inventory!N5:N52)</x:f>
        <x:v>2915.1520000000005</x:v>
      </x:c>
      <x:c r="G7" s="50" t="n">
        <x:f>F7-E7</x:f>
        <x:v>11.152000000000498</x:v>
      </x:c>
      <x:c r="H7" s="40" t="str">
        <x:f>IF(G7&gt;=-0.000001,"PASS","FAIL")</x:f>
        <x:v>PASS</x:v>
      </x:c>
      <x:c r="I7" s="40" t="str">
        <x:v>N−1 geography is the selected sizing case</x:v>
      </x:c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v>FW3</x:v>
      </x:c>
      <x:c r="D8" s="40" t="str">
        <x:v>Both invited missions are committed before the no-notice domestic event</x:v>
      </x:c>
      <x:c r="E8" s="50" t="n">
        <x:f>SUM(Inventory!F5:F52)</x:f>
        <x:v>2420</x:v>
      </x:c>
      <x:c r="F8" s="50" t="n">
        <x:f>SUM(Inventory!N5:N52)</x:f>
        <x:v>2915.1520000000005</x:v>
      </x:c>
      <x:c r="G8" s="50" t="n">
        <x:f>F8-E8</x:f>
        <x:v>495.1520000000005</x:v>
      </x:c>
      <x:c r="H8" s="40" t="str">
        <x:f>IF(G8&gt;=-0.000001,"PASS","FAIL")</x:f>
        <x:v>PASS</x:v>
      </x:c>
      <x:c r="I8" s="40" t="str">
        <x:v>International allocations are not recalled to make the domestic ledger close</x:v>
      </x:c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v>FW4</x:v>
      </x:c>
      <x:c r="D9" s="40" t="str">
        <x:v>Second wave begins before any committed campaign is recertified</x:v>
      </x:c>
      <x:c r="E9" s="50" t="n">
        <x:f>SUM(Inventory!F5:F52)*Controls!D7</x:f>
        <x:v>484</x:v>
      </x:c>
      <x:c r="F9" s="50" t="n">
        <x:f>SUM(Inventory!O5:O52)</x:f>
        <x:v>495.15200000000027</x:v>
      </x:c>
      <x:c r="G9" s="50" t="n">
        <x:f>F9-E9</x:f>
        <x:v>11.152000000000271</x:v>
      </x:c>
      <x:c r="H9" s="40" t="str">
        <x:f>IF(G9&gt;=-0.000001,"PASS","FAIL")</x:f>
        <x:v>PASS</x:v>
      </x:c>
      <x:c r="I9" s="40" t="str">
        <x:v>Only the protected residual is available</x:v>
      </x:c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v>FW5</x:v>
      </x:c>
      <x:c r="D10" s="40" t="str">
        <x:v>Host reception contributes zero U.S.-owned capacity</x:v>
      </x:c>
      <x:c r="E10" s="50" t="n">
        <x:f>SUM(Inventory!F5:F52)</x:f>
        <x:v>2420</x:v>
      </x:c>
      <x:c r="F10" s="50" t="n">
        <x:f>SUM(Inventory!N5:N52)</x:f>
        <x:v>2915.1520000000005</x:v>
      </x:c>
      <x:c r="G10" s="50" t="n">
        <x:f>F10-E10</x:f>
        <x:v>495.1520000000005</x:v>
      </x:c>
      <x:c r="H10" s="40" t="str">
        <x:f>IF(G10&gt;=-0.000001,"PASS","FAIL")</x:f>
        <x:v>PASS</x:v>
      </x:c>
      <x:c r="I10" s="40" t="str">
        <x:v>Invited missions carry U.S. formation demand; host capacity is a benefit, not a planning credit</x:v>
      </x:c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v>FW6</x:v>
      </x:c>
      <x:c r="D11" s="40" t="str">
        <x:v>Training and overhaul bodies are excluded</x:v>
      </x:c>
      <x:c r="E11" s="50" t="n">
        <x:f>SUM(Inventory!G5:G52)</x:f>
        <x:v>2904</x:v>
      </x:c>
      <x:c r="F11" s="50" t="n">
        <x:f>SUM(Inventory!N5:N52)</x:f>
        <x:v>2915.1520000000005</x:v>
      </x:c>
      <x:c r="G11" s="50" t="n">
        <x:f>F11-E11</x:f>
        <x:v>11.152000000000498</x:v>
      </x:c>
      <x:c r="H11" s="40" t="str">
        <x:f>IF(G11&gt;=-0.000001,"PASS","FAIL")</x:f>
        <x:v>PASS</x:v>
      </x:c>
      <x:c r="I11" s="40" t="str">
        <x:v>Readiness bottlenecks remove unavailable inventory before credit</x:v>
      </x:c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v>FW7</x:v>
      </x:c>
      <x:c r="D12" s="40" t="str">
        <x:v>Cross-portfolio common-title savings</x:v>
      </x:c>
      <x:c r="E12" s="50" t="n">
        <x:f>0</x:f>
        <x:v>0</x:v>
      </x:c>
      <x:c r="F12" s="50" t="n">
        <x:f>0</x:f>
        <x:v>0</x:v>
      </x:c>
      <x:c r="G12" s="50" t="n">
        <x:f>F12-E12</x:f>
        <x:v>0</x:v>
      </x:c>
      <x:c r="H12" s="40" t="str">
        <x:f>IF(G12&gt;=-0.000001,"PASS","FAIL")</x:f>
        <x:v>PASS</x:v>
      </x:c>
      <x:c r="I12" s="40" t="str">
        <x:v>No reduction is admitted without serialized reservation evidence</x:v>
      </x:c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conditionalFormatting sqref="H5:H12">
    <x:cfRule type="containsText" dxfId="1" priority="1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28" hidden="0" customWidth="1"/>
    <x:col min="5" max="5" width="42" hidden="0" customWidth="1"/>
    <x:col min="6" max="6" width="16" hidden="0" customWidth="1"/>
    <x:col min="7" max="7" width="15" hidden="0" customWidth="1"/>
    <x:col min="8" max="8" width="12" hidden="0" customWidth="1"/>
    <x:col min="9" max="9" width="17" hidden="0" customWidth="1"/>
    <x:col min="10" max="10" width="17" hidden="0" customWidth="1"/>
    <x:col min="11" max="11" width="20" hidden="0" customWidth="1"/>
    <x:col min="12" max="12" width="23" hidden="0" customWidth="1"/>
    <x:col min="13" max="13" width="22" hidden="0" customWidth="1"/>
    <x:col min="14" max="14" width="22" hidden="0" customWidth="1"/>
    <x:col min="15" max="15" width="19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Workforce, capital and annual operating screen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ID</x:v>
      </x:c>
      <x:c r="D4" s="24" t="str">
        <x:v>Service</x:v>
      </x:c>
      <x:c r="E4" s="24" t="str">
        <x:v>Formation family</x:v>
      </x:c>
      <x:c r="F4" s="24" t="str">
        <x:v>Pass 58 inventory</x:v>
      </x:c>
      <x:c r="G4" s="24" t="str">
        <x:v>N−1 inventory</x:v>
      </x:c>
      <x:c r="H4" s="24" t="str">
        <x:v>Net people</x:v>
      </x:c>
      <x:c r="I4" s="24" t="str">
        <x:v>Crew sets</x:v>
      </x:c>
      <x:c r="J4" s="24" t="str">
        <x:v>Direct billets</x:v>
      </x:c>
      <x:c r="K4" s="24" t="str">
        <x:v>Unit capital (USD B)</x:v>
      </x:c>
      <x:c r="L4" s="24" t="str">
        <x:v>Formation capital (USD B)</x:v>
      </x:c>
      <x:c r="M4" s="24" t="str">
        <x:v>Base personnel (USD B/y)</x:v>
      </x:c>
      <x:c r="N4" s="24" t="str">
        <x:v>N−1 personnel (USD B/y)</x:v>
      </x:c>
      <x:c r="O4" s="24" t="str">
        <x:v>Personnel increment</x:v>
      </x:c>
      <x:c r="P4" s="24" t="str">
        <x:v>Base O&amp;M (USD B/y)</x:v>
      </x:c>
      <x:c r="Q4" s="13" t="str">
        <x:v>N−1 O&amp;M (USD B/y)</x:v>
      </x:c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f>Inventory!C5</x:f>
        <x:v>J-CIE</x:v>
      </x:c>
      <x:c r="D5" s="40" t="str">
        <x:f>Inventory!E5</x:f>
        <x:v>Joint</x:v>
      </x:c>
      <x:c r="E5" s="40" t="str">
        <x:f>Inventory!D5</x:f>
        <x:v>Civil integration and effects group</x:v>
      </x:c>
      <x:c r="F5" s="40" t="n">
        <x:f>Inventory!Q5</x:f>
        <x:v>53</x:v>
      </x:c>
      <x:c r="G5" s="40" t="n">
        <x:f>Inventory!M5</x:f>
        <x:v>66</x:v>
      </x:c>
      <x:c r="H5" s="40" t="n">
        <x:f>'Family Inputs'!F5</x:f>
        <x:v>120</x:v>
      </x:c>
      <x:c r="I5" s="40" t="n">
        <x:f>'Family Inputs'!G5</x:f>
        <x:v>2.5</x:v>
      </x:c>
      <x:c r="J5" s="40" t="n">
        <x:f>G5*H5*I5</x:f>
        <x:v>19800</x:v>
      </x:c>
      <x:c r="K5" s="43" t="n">
        <x:f>'Family Inputs'!Q5</x:f>
        <x:v>0.25</x:v>
      </x:c>
      <x:c r="L5" s="43" t="n">
        <x:f>G5*K5</x:f>
        <x:v>16.5</x:v>
      </x:c>
      <x:c r="M5" s="43" t="n">
        <x:f>F5*H5*I5*('Family Inputs'!S5*Controls!$D$20+'Family Inputs'!T5*Controls!$D$21+'Family Inputs'!U5*Controls!$D$22+'Family Inputs'!V5*Controls!$D$23+'Family Inputs'!W5*Controls!$D$24)/1000000000</x:f>
        <x:v>1.8603</x:v>
      </x:c>
      <x:c r="N5" s="43" t="n">
        <x:f>J5*('Family Inputs'!S5*Controls!$D$20+'Family Inputs'!T5*Controls!$D$21+'Family Inputs'!U5*Controls!$D$22+'Family Inputs'!V5*Controls!$D$23+'Family Inputs'!W5*Controls!$D$24)/1000000000</x:f>
        <x:v>2.3166</x:v>
      </x:c>
      <x:c r="O5" s="43" t="n">
        <x:f>N5-M5</x:f>
        <x:v>0.45630000000000015</x:v>
      </x:c>
      <x:c r="P5" s="43" t="n">
        <x:f>F5*K5*'Family Inputs'!R5</x:f>
        <x:v>0.59625</x:v>
      </x:c>
      <x:c r="Q5" s="43" t="n">
        <x:f>G5*K5*'Family Inputs'!R5</x:f>
        <x:v>0.7424999999999999</x:v>
      </x:c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f>Inventory!C6</x:f>
        <x:v>J-TOC</x:v>
      </x:c>
      <x:c r="D6" s="40" t="str">
        <x:f>Inventory!E6</x:f>
        <x:v>Joint</x:v>
      </x:c>
      <x:c r="E6" s="40" t="str">
        <x:f>Inventory!D6</x:f>
        <x:v>Theater-opening command</x:v>
      </x:c>
      <x:c r="F6" s="40" t="n">
        <x:f>Inventory!Q6</x:f>
        <x:v>36</x:v>
      </x:c>
      <x:c r="G6" s="40" t="n">
        <x:f>Inventory!M6</x:f>
        <x:v>45</x:v>
      </x:c>
      <x:c r="H6" s="40" t="n">
        <x:f>'Family Inputs'!F6</x:f>
        <x:v>600</x:v>
      </x:c>
      <x:c r="I6" s="40" t="n">
        <x:f>'Family Inputs'!G6</x:f>
        <x:v>2.5</x:v>
      </x:c>
      <x:c r="J6" s="40" t="n">
        <x:f>G6*H6*I6</x:f>
        <x:v>67500</x:v>
      </x:c>
      <x:c r="K6" s="43" t="n">
        <x:f>'Family Inputs'!Q6</x:f>
        <x:v>1.2</x:v>
      </x:c>
      <x:c r="L6" s="43" t="n">
        <x:f>G6*K6</x:f>
        <x:v>54</x:v>
      </x:c>
      <x:c r="M6" s="43" t="n">
        <x:f>F6*H6*I6*('Family Inputs'!S6*Controls!$D$20+'Family Inputs'!T6*Controls!$D$21+'Family Inputs'!U6*Controls!$D$22+'Family Inputs'!V6*Controls!$D$23+'Family Inputs'!W6*Controls!$D$24)/1000000000</x:f>
        <x:v>6.318</x:v>
      </x:c>
      <x:c r="N6" s="43" t="n">
        <x:f>J6*('Family Inputs'!S6*Controls!$D$20+'Family Inputs'!T6*Controls!$D$21+'Family Inputs'!U6*Controls!$D$22+'Family Inputs'!V6*Controls!$D$23+'Family Inputs'!W6*Controls!$D$24)/1000000000</x:f>
        <x:v>7.8975</x:v>
      </x:c>
      <x:c r="O6" s="43" t="n">
        <x:f>N6-M6</x:f>
        <x:v>1.5795000000000003</x:v>
      </x:c>
      <x:c r="P6" s="43" t="n">
        <x:f>F6*K6*'Family Inputs'!R6</x:f>
        <x:v>1.9439999999999997</x:v>
      </x:c>
      <x:c r="Q6" s="43" t="n">
        <x:f>G6*K6*'Family Inputs'!R6</x:f>
        <x:v>2.4299999999999997</x:v>
      </x:c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f>Inventory!C7</x:f>
        <x:v>J-TSC</x:v>
      </x:c>
      <x:c r="D7" s="40" t="str">
        <x:f>Inventory!E7</x:f>
        <x:v>Joint</x:v>
      </x:c>
      <x:c r="E7" s="40" t="str">
        <x:f>Inventory!D7</x:f>
        <x:v>Theater sustainment command</x:v>
      </x:c>
      <x:c r="F7" s="40" t="n">
        <x:f>Inventory!Q7</x:f>
        <x:v>51</x:v>
      </x:c>
      <x:c r="G7" s="40" t="n">
        <x:f>Inventory!M7</x:f>
        <x:v>64</x:v>
      </x:c>
      <x:c r="H7" s="40" t="n">
        <x:f>'Family Inputs'!F7</x:f>
        <x:v>900</x:v>
      </x:c>
      <x:c r="I7" s="40" t="n">
        <x:f>'Family Inputs'!G7</x:f>
        <x:v>2.5</x:v>
      </x:c>
      <x:c r="J7" s="40" t="n">
        <x:f>G7*H7*I7</x:f>
        <x:v>144000</x:v>
      </x:c>
      <x:c r="K7" s="43" t="n">
        <x:f>'Family Inputs'!Q7</x:f>
        <x:v>1.5</x:v>
      </x:c>
      <x:c r="L7" s="43" t="n">
        <x:f>G7*K7</x:f>
        <x:v>96</x:v>
      </x:c>
      <x:c r="M7" s="43" t="n">
        <x:f>F7*H7*I7*('Family Inputs'!S7*Controls!$D$20+'Family Inputs'!T7*Controls!$D$21+'Family Inputs'!U7*Controls!$D$22+'Family Inputs'!V7*Controls!$D$23+'Family Inputs'!W7*Controls!$D$24)/1000000000</x:f>
        <x:v>13.42575</x:v>
      </x:c>
      <x:c r="N7" s="43" t="n">
        <x:f>J7*('Family Inputs'!S7*Controls!$D$20+'Family Inputs'!T7*Controls!$D$21+'Family Inputs'!U7*Controls!$D$22+'Family Inputs'!V7*Controls!$D$23+'Family Inputs'!W7*Controls!$D$24)/1000000000</x:f>
        <x:v>16.848</x:v>
      </x:c>
      <x:c r="O7" s="43" t="n">
        <x:f>N7-M7</x:f>
        <x:v>3.4222499999999982</x:v>
      </x:c>
      <x:c r="P7" s="43" t="n">
        <x:f>F7*K7*'Family Inputs'!R7</x:f>
        <x:v>3.4425</x:v>
      </x:c>
      <x:c r="Q7" s="43" t="n">
        <x:f>G7*K7*'Family Inputs'!R7</x:f>
        <x:v>4.32</x:v>
      </x:c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f>Inventory!C8</x:f>
        <x:v>J-RRG</x:v>
      </x:c>
      <x:c r="D8" s="40" t="str">
        <x:f>Inventory!E8</x:f>
        <x:v>Joint</x:v>
      </x:c>
      <x:c r="E8" s="40" t="str">
        <x:f>Inventory!D8</x:f>
        <x:v>Replacement and reconstitution group</x:v>
      </x:c>
      <x:c r="F8" s="40" t="n">
        <x:f>Inventory!Q8</x:f>
        <x:v>51</x:v>
      </x:c>
      <x:c r="G8" s="40" t="n">
        <x:f>Inventory!M8</x:f>
        <x:v>64</x:v>
      </x:c>
      <x:c r="H8" s="40" t="n">
        <x:f>'Family Inputs'!F8</x:f>
        <x:v>400</x:v>
      </x:c>
      <x:c r="I8" s="40" t="n">
        <x:f>'Family Inputs'!G8</x:f>
        <x:v>2.5</x:v>
      </x:c>
      <x:c r="J8" s="40" t="n">
        <x:f>G8*H8*I8</x:f>
        <x:v>64000</x:v>
      </x:c>
      <x:c r="K8" s="43" t="n">
        <x:f>'Family Inputs'!Q8</x:f>
        <x:v>0.8</x:v>
      </x:c>
      <x:c r="L8" s="43" t="n">
        <x:f>G8*K8</x:f>
        <x:v>51.2</x:v>
      </x:c>
      <x:c r="M8" s="43" t="n">
        <x:f>F8*H8*I8*('Family Inputs'!S8*Controls!$D$20+'Family Inputs'!T8*Controls!$D$21+'Family Inputs'!U8*Controls!$D$22+'Family Inputs'!V8*Controls!$D$23+'Family Inputs'!W8*Controls!$D$24)/1000000000</x:f>
        <x:v>5.967</x:v>
      </x:c>
      <x:c r="N8" s="43" t="n">
        <x:f>J8*('Family Inputs'!S8*Controls!$D$20+'Family Inputs'!T8*Controls!$D$21+'Family Inputs'!U8*Controls!$D$22+'Family Inputs'!V8*Controls!$D$23+'Family Inputs'!W8*Controls!$D$24)/1000000000</x:f>
        <x:v>7.488</x:v>
      </x:c>
      <x:c r="O8" s="43" t="n">
        <x:f>N8-M8</x:f>
        <x:v>1.5210000000000008</x:v>
      </x:c>
      <x:c r="P8" s="43" t="n">
        <x:f>F8*K8*'Family Inputs'!R8</x:f>
        <x:v>1.836</x:v>
      </x:c>
      <x:c r="Q8" s="43" t="n">
        <x:f>G8*K8*'Family Inputs'!R8</x:f>
        <x:v>2.304</x:v>
      </x:c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f>Inventory!C9</x:f>
        <x:v>J-TDG</x:v>
      </x:c>
      <x:c r="D9" s="40" t="str">
        <x:f>Inventory!E9</x:f>
        <x:v>Joint</x:v>
      </x:c>
      <x:c r="E9" s="40" t="str">
        <x:f>Inventory!D9</x:f>
        <x:v>Transfer and demobilization group</x:v>
      </x:c>
      <x:c r="F9" s="40" t="n">
        <x:f>Inventory!Q9</x:f>
        <x:v>36</x:v>
      </x:c>
      <x:c r="G9" s="40" t="n">
        <x:f>Inventory!M9</x:f>
        <x:v>45</x:v>
      </x:c>
      <x:c r="H9" s="40" t="n">
        <x:f>'Family Inputs'!F9</x:f>
        <x:v>150</x:v>
      </x:c>
      <x:c r="I9" s="40" t="n">
        <x:f>'Family Inputs'!G9</x:f>
        <x:v>2.5</x:v>
      </x:c>
      <x:c r="J9" s="40" t="n">
        <x:f>G9*H9*I9</x:f>
        <x:v>16875</x:v>
      </x:c>
      <x:c r="K9" s="43" t="n">
        <x:f>'Family Inputs'!Q9</x:f>
        <x:v>0.3</x:v>
      </x:c>
      <x:c r="L9" s="43" t="n">
        <x:f>G9*K9</x:f>
        <x:v>13.5</x:v>
      </x:c>
      <x:c r="M9" s="43" t="n">
        <x:f>F9*H9*I9*('Family Inputs'!S9*Controls!$D$20+'Family Inputs'!T9*Controls!$D$21+'Family Inputs'!U9*Controls!$D$22+'Family Inputs'!V9*Controls!$D$23+'Family Inputs'!W9*Controls!$D$24)/1000000000</x:f>
        <x:v>1.5795</x:v>
      </x:c>
      <x:c r="N9" s="43" t="n">
        <x:f>J9*('Family Inputs'!S9*Controls!$D$20+'Family Inputs'!T9*Controls!$D$21+'Family Inputs'!U9*Controls!$D$22+'Family Inputs'!V9*Controls!$D$23+'Family Inputs'!W9*Controls!$D$24)/1000000000</x:f>
        <x:v>1.974375</x:v>
      </x:c>
      <x:c r="O9" s="43" t="n">
        <x:f>N9-M9</x:f>
        <x:v>0.3948750000000001</x:v>
      </x:c>
      <x:c r="P9" s="43" t="n">
        <x:f>F9*K9*'Family Inputs'!R9</x:f>
        <x:v>0.48599999999999993</x:v>
      </x:c>
      <x:c r="Q9" s="43" t="n">
        <x:f>G9*K9*'Family Inputs'!R9</x:f>
        <x:v>0.6074999999999999</x:v>
      </x:c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f>Inventory!C10</x:f>
        <x:v>L-ROG</x:v>
      </x:c>
      <x:c r="D10" s="40" t="str">
        <x:f>Inventory!E10</x:f>
        <x:v>Land Engineering</x:v>
      </x:c>
      <x:c r="E10" s="40" t="str">
        <x:f>Inventory!D10</x:f>
        <x:v>Access and route-opening group</x:v>
      </x:c>
      <x:c r="F10" s="40" t="n">
        <x:f>Inventory!Q10</x:f>
        <x:v>121</x:v>
      </x:c>
      <x:c r="G10" s="40" t="n">
        <x:f>Inventory!M10</x:f>
        <x:v>151</x:v>
      </x:c>
      <x:c r="H10" s="40" t="n">
        <x:f>'Family Inputs'!F10</x:f>
        <x:v>350</x:v>
      </x:c>
      <x:c r="I10" s="40" t="n">
        <x:f>'Family Inputs'!G10</x:f>
        <x:v>2.6</x:v>
      </x:c>
      <x:c r="J10" s="40" t="n">
        <x:f>G10*H10*I10</x:f>
        <x:v>137410</x:v>
      </x:c>
      <x:c r="K10" s="43" t="n">
        <x:f>'Family Inputs'!Q10</x:f>
        <x:v>1.2</x:v>
      </x:c>
      <x:c r="L10" s="43" t="n">
        <x:f>G10*K10</x:f>
        <x:v>181.2</x:v>
      </x:c>
      <x:c r="M10" s="43" t="n">
        <x:f>F10*H10*I10*('Family Inputs'!S10*Controls!$D$20+'Family Inputs'!T10*Controls!$D$21+'Family Inputs'!U10*Controls!$D$22+'Family Inputs'!V10*Controls!$D$23+'Family Inputs'!W10*Controls!$D$24)/1000000000</x:f>
        <x:v>10.5430325</x:v>
      </x:c>
      <x:c r="N10" s="43" t="n">
        <x:f>J10*('Family Inputs'!S10*Controls!$D$20+'Family Inputs'!T10*Controls!$D$21+'Family Inputs'!U10*Controls!$D$22+'Family Inputs'!V10*Controls!$D$23+'Family Inputs'!W10*Controls!$D$24)/1000000000</x:f>
        <x:v>13.1570075</x:v>
      </x:c>
      <x:c r="O10" s="43" t="n">
        <x:f>N10-M10</x:f>
        <x:v>2.613975</x:v>
      </x:c>
      <x:c r="P10" s="43" t="n">
        <x:f>F10*K10*'Family Inputs'!R10</x:f>
        <x:v>7.26</x:v>
      </x:c>
      <x:c r="Q10" s="43" t="n">
        <x:f>G10*K10*'Family Inputs'!R10</x:f>
        <x:v>9.06</x:v>
      </x:c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f>Inventory!C11</x:f>
        <x:v>L-HCG</x:v>
      </x:c>
      <x:c r="D11" s="40" t="str">
        <x:f>Inventory!E11</x:f>
        <x:v>Land Engineering</x:v>
      </x:c>
      <x:c r="E11" s="40" t="str">
        <x:f>Inventory!D11</x:f>
        <x:v>Flood and hydraulic-control group</x:v>
      </x:c>
      <x:c r="F11" s="40" t="n">
        <x:f>Inventory!Q11</x:f>
        <x:v>86</x:v>
      </x:c>
      <x:c r="G11" s="40" t="n">
        <x:f>Inventory!M11</x:f>
        <x:v>108</x:v>
      </x:c>
      <x:c r="H11" s="40" t="n">
        <x:f>'Family Inputs'!F11</x:f>
        <x:v>500</x:v>
      </x:c>
      <x:c r="I11" s="40" t="n">
        <x:f>'Family Inputs'!G11</x:f>
        <x:v>2.6</x:v>
      </x:c>
      <x:c r="J11" s="40" t="n">
        <x:f>G11*H11*I11</x:f>
        <x:v>140400</x:v>
      </x:c>
      <x:c r="K11" s="43" t="n">
        <x:f>'Family Inputs'!Q11</x:f>
        <x:v>1.8</x:v>
      </x:c>
      <x:c r="L11" s="43" t="n">
        <x:f>G11*K11</x:f>
        <x:v>194.4</x:v>
      </x:c>
      <x:c r="M11" s="43" t="n">
        <x:f>F11*H11*I11*('Family Inputs'!S11*Controls!$D$20+'Family Inputs'!T11*Controls!$D$21+'Family Inputs'!U11*Controls!$D$22+'Family Inputs'!V11*Controls!$D$23+'Family Inputs'!W11*Controls!$D$24)/1000000000</x:f>
        <x:v>10.70485</x:v>
      </x:c>
      <x:c r="N11" s="43" t="n">
        <x:f>J11*('Family Inputs'!S11*Controls!$D$20+'Family Inputs'!T11*Controls!$D$21+'Family Inputs'!U11*Controls!$D$22+'Family Inputs'!V11*Controls!$D$23+'Family Inputs'!W11*Controls!$D$24)/1000000000</x:f>
        <x:v>13.4433</x:v>
      </x:c>
      <x:c r="O11" s="43" t="n">
        <x:f>N11-M11</x:f>
        <x:v>2.7384500000000003</x:v>
      </x:c>
      <x:c r="P11" s="43" t="n">
        <x:f>F11*K11*'Family Inputs'!R11</x:f>
        <x:v>7.740000000000001</x:v>
      </x:c>
      <x:c r="Q11" s="43" t="n">
        <x:f>G11*K11*'Family Inputs'!R11</x:f>
        <x:v>9.72</x:v>
      </x:c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f>Inventory!C12</x:f>
        <x:v>L-DMG</x:v>
      </x:c>
      <x:c r="D12" s="40" t="str">
        <x:f>Inventory!E12</x:f>
        <x:v>Land Engineering</x:v>
      </x:c>
      <x:c r="E12" s="40" t="str">
        <x:f>Inventory!D12</x:f>
        <x:v>Debris and materials group</x:v>
      </x:c>
      <x:c r="F12" s="40" t="n">
        <x:f>Inventory!Q12</x:f>
        <x:v>112</x:v>
      </x:c>
      <x:c r="G12" s="40" t="n">
        <x:f>Inventory!M12</x:f>
        <x:v>140</x:v>
      </x:c>
      <x:c r="H12" s="40" t="n">
        <x:f>'Family Inputs'!F12</x:f>
        <x:v>400</x:v>
      </x:c>
      <x:c r="I12" s="40" t="n">
        <x:f>'Family Inputs'!G12</x:f>
        <x:v>2.6</x:v>
      </x:c>
      <x:c r="J12" s="40" t="n">
        <x:f>G12*H12*I12</x:f>
        <x:v>145600</x:v>
      </x:c>
      <x:c r="K12" s="43" t="n">
        <x:f>'Family Inputs'!Q12</x:f>
        <x:v>1.4</x:v>
      </x:c>
      <x:c r="L12" s="43" t="n">
        <x:f>G12*K12</x:f>
        <x:v>196</x:v>
      </x:c>
      <x:c r="M12" s="43" t="n">
        <x:f>F12*H12*I12*('Family Inputs'!S12*Controls!$D$20+'Family Inputs'!T12*Controls!$D$21+'Family Inputs'!U12*Controls!$D$22+'Family Inputs'!V12*Controls!$D$23+'Family Inputs'!W12*Controls!$D$24)/1000000000</x:f>
        <x:v>11.15296</x:v>
      </x:c>
      <x:c r="N12" s="43" t="n">
        <x:f>J12*('Family Inputs'!S12*Controls!$D$20+'Family Inputs'!T12*Controls!$D$21+'Family Inputs'!U12*Controls!$D$22+'Family Inputs'!V12*Controls!$D$23+'Family Inputs'!W12*Controls!$D$24)/1000000000</x:f>
        <x:v>13.9412</x:v>
      </x:c>
      <x:c r="O12" s="43" t="n">
        <x:f>N12-M12</x:f>
        <x:v>2.78824</x:v>
      </x:c>
      <x:c r="P12" s="43" t="n">
        <x:f>F12*K12*'Family Inputs'!R12</x:f>
        <x:v>7.84</x:v>
      </x:c>
      <x:c r="Q12" s="43" t="n">
        <x:f>G12*K12*'Family Inputs'!R12</x:f>
        <x:v>9.8</x:v>
      </x:c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f>Inventory!C13</x:f>
        <x:v>L-TWG</x:v>
      </x:c>
      <x:c r="D13" s="40" t="str">
        <x:f>Inventory!E13</x:f>
        <x:v>Land Engineering</x:v>
      </x:c>
      <x:c r="E13" s="40" t="str">
        <x:f>Inventory!D13</x:f>
        <x:v>Temporary works and crossing group</x:v>
      </x:c>
      <x:c r="F13" s="40" t="n">
        <x:f>Inventory!Q13</x:f>
        <x:v>91</x:v>
      </x:c>
      <x:c r="G13" s="40" t="n">
        <x:f>Inventory!M13</x:f>
        <x:v>114</x:v>
      </x:c>
      <x:c r="H13" s="40" t="n">
        <x:f>'Family Inputs'!F13</x:f>
        <x:v>350</x:v>
      </x:c>
      <x:c r="I13" s="40" t="n">
        <x:f>'Family Inputs'!G13</x:f>
        <x:v>2.6</x:v>
      </x:c>
      <x:c r="J13" s="40" t="n">
        <x:f>G13*H13*I13</x:f>
        <x:v>103740</x:v>
      </x:c>
      <x:c r="K13" s="43" t="n">
        <x:f>'Family Inputs'!Q13</x:f>
        <x:v>1.2</x:v>
      </x:c>
      <x:c r="L13" s="43" t="n">
        <x:f>G13*K13</x:f>
        <x:v>136.79999999999998</x:v>
      </x:c>
      <x:c r="M13" s="43" t="n">
        <x:f>F13*H13*I13*('Family Inputs'!S13*Controls!$D$20+'Family Inputs'!T13*Controls!$D$21+'Family Inputs'!U13*Controls!$D$22+'Family Inputs'!V13*Controls!$D$23+'Family Inputs'!W13*Controls!$D$24)/1000000000</x:f>
        <x:v>7.9290575</x:v>
      </x:c>
      <x:c r="N13" s="43" t="n">
        <x:f>J13*('Family Inputs'!S13*Controls!$D$20+'Family Inputs'!T13*Controls!$D$21+'Family Inputs'!U13*Controls!$D$22+'Family Inputs'!V13*Controls!$D$23+'Family Inputs'!W13*Controls!$D$24)/1000000000</x:f>
        <x:v>9.933105</x:v>
      </x:c>
      <x:c r="O13" s="43" t="n">
        <x:f>N13-M13</x:f>
        <x:v>2.0040474999999995</x:v>
      </x:c>
      <x:c r="P13" s="43" t="n">
        <x:f>F13*K13*'Family Inputs'!R13</x:f>
        <x:v>5.460000000000001</x:v>
      </x:c>
      <x:c r="Q13" s="43" t="n">
        <x:f>G13*K13*'Family Inputs'!R13</x:f>
        <x:v>6.84</x:v>
      </x:c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 t="str">
        <x:f>Inventory!C14</x:f>
        <x:v>L-GFG</x:v>
      </x:c>
      <x:c r="D14" s="40" t="str">
        <x:f>Inventory!E14</x:f>
        <x:v>Land Engineering</x:v>
      </x:c>
      <x:c r="E14" s="40" t="str">
        <x:f>Inventory!D14</x:f>
        <x:v>Ground fire and landscape group</x:v>
      </x:c>
      <x:c r="F14" s="40" t="n">
        <x:f>Inventory!Q14</x:f>
        <x:v>57</x:v>
      </x:c>
      <x:c r="G14" s="40" t="n">
        <x:f>Inventory!M14</x:f>
        <x:v>71</x:v>
      </x:c>
      <x:c r="H14" s="40" t="n">
        <x:f>'Family Inputs'!F14</x:f>
        <x:v>450</x:v>
      </x:c>
      <x:c r="I14" s="40" t="n">
        <x:f>'Family Inputs'!G14</x:f>
        <x:v>2.6</x:v>
      </x:c>
      <x:c r="J14" s="40" t="n">
        <x:f>G14*H14*I14</x:f>
        <x:v>83070</x:v>
      </x:c>
      <x:c r="K14" s="43" t="n">
        <x:f>'Family Inputs'!Q14</x:f>
        <x:v>1</x:v>
      </x:c>
      <x:c r="L14" s="43" t="n">
        <x:f>G14*K14</x:f>
        <x:v>71</x:v>
      </x:c>
      <x:c r="M14" s="43" t="n">
        <x:f>F14*H14*I14*('Family Inputs'!S14*Controls!$D$20+'Family Inputs'!T14*Controls!$D$21+'Family Inputs'!U14*Controls!$D$22+'Family Inputs'!V14*Controls!$D$23+'Family Inputs'!W14*Controls!$D$24)/1000000000</x:f>
        <x:v>6.3855675</x:v>
      </x:c>
      <x:c r="N14" s="43" t="n">
        <x:f>J14*('Family Inputs'!S14*Controls!$D$20+'Family Inputs'!T14*Controls!$D$21+'Family Inputs'!U14*Controls!$D$22+'Family Inputs'!V14*Controls!$D$23+'Family Inputs'!W14*Controls!$D$24)/1000000000</x:f>
        <x:v>7.9539525</x:v>
      </x:c>
      <x:c r="O14" s="43" t="n">
        <x:f>N14-M14</x:f>
        <x:v>1.5683850000000001</x:v>
      </x:c>
      <x:c r="P14" s="43" t="n">
        <x:f>F14*K14*'Family Inputs'!R14</x:f>
        <x:v>2.85</x:v>
      </x:c>
      <x:c r="Q14" s="43" t="n">
        <x:f>G14*K14*'Family Inputs'!R14</x:f>
        <x:v>3.5500000000000003</x:v>
      </x:c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0" t="str">
        <x:f>Inventory!C15</x:f>
        <x:v>A-SMW</x:v>
      </x:c>
      <x:c r="D15" s="40" t="str">
        <x:f>Inventory!E15</x:f>
        <x:v>Air Response</x:v>
      </x:c>
      <x:c r="E15" s="40" t="str">
        <x:f>Inventory!D15</x:f>
        <x:v>Strategic mobility wing</x:v>
      </x:c>
      <x:c r="F15" s="40" t="n">
        <x:f>Inventory!Q15</x:f>
        <x:v>58</x:v>
      </x:c>
      <x:c r="G15" s="40" t="n">
        <x:f>Inventory!M15</x:f>
        <x:v>72</x:v>
      </x:c>
      <x:c r="H15" s="40" t="n">
        <x:f>'Family Inputs'!F15</x:f>
        <x:v>900</x:v>
      </x:c>
      <x:c r="I15" s="40" t="n">
        <x:f>'Family Inputs'!G15</x:f>
        <x:v>3</x:v>
      </x:c>
      <x:c r="J15" s="40" t="n">
        <x:f>G15*H15*I15</x:f>
        <x:v>194400</x:v>
      </x:c>
      <x:c r="K15" s="43" t="n">
        <x:f>'Family Inputs'!Q15</x:f>
        <x:v>8</x:v>
      </x:c>
      <x:c r="L15" s="43" t="n">
        <x:f>G15*K15</x:f>
        <x:v>576</x:v>
      </x:c>
      <x:c r="M15" s="43" t="n">
        <x:f>F15*H15*I15*('Family Inputs'!S15*Controls!$D$20+'Family Inputs'!T15*Controls!$D$21+'Family Inputs'!U15*Controls!$D$22+'Family Inputs'!V15*Controls!$D$23+'Family Inputs'!W15*Controls!$D$24)/1000000000</x:f>
        <x:v>19.37925</x:v>
      </x:c>
      <x:c r="N15" s="43" t="n">
        <x:f>J15*('Family Inputs'!S15*Controls!$D$20+'Family Inputs'!T15*Controls!$D$21+'Family Inputs'!U15*Controls!$D$22+'Family Inputs'!V15*Controls!$D$23+'Family Inputs'!W15*Controls!$D$24)/1000000000</x:f>
        <x:v>24.057</x:v>
      </x:c>
      <x:c r="O15" s="43" t="n">
        <x:f>N15-M15</x:f>
        <x:v>4.67775</x:v>
      </x:c>
      <x:c r="P15" s="43" t="n">
        <x:f>F15*K15*'Family Inputs'!R15</x:f>
        <x:v>32.480000000000004</x:v>
      </x:c>
      <x:c r="Q15" s="43" t="n">
        <x:f>G15*K15*'Family Inputs'!R15</x:f>
        <x:v>40.32000000000001</x:v>
      </x:c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 t="str">
        <x:f>Inventory!C16</x:f>
        <x:v>A-AAG</x:v>
      </x:c>
      <x:c r="D16" s="40" t="str">
        <x:f>Inventory!E16</x:f>
        <x:v>Air Response</x:v>
      </x:c>
      <x:c r="E16" s="40" t="str">
        <x:f>Inventory!D16</x:f>
        <x:v>Austere air-access group</x:v>
      </x:c>
      <x:c r="F16" s="40" t="n">
        <x:f>Inventory!Q16</x:f>
        <x:v>67</x:v>
      </x:c>
      <x:c r="G16" s="40" t="n">
        <x:f>Inventory!M16</x:f>
        <x:v>84</x:v>
      </x:c>
      <x:c r="H16" s="40" t="n">
        <x:f>'Family Inputs'!F16</x:f>
        <x:v>350</x:v>
      </x:c>
      <x:c r="I16" s="40" t="n">
        <x:f>'Family Inputs'!G16</x:f>
        <x:v>3</x:v>
      </x:c>
      <x:c r="J16" s="40" t="n">
        <x:f>G16*H16*I16</x:f>
        <x:v>88200</x:v>
      </x:c>
      <x:c r="K16" s="43" t="n">
        <x:f>'Family Inputs'!Q16</x:f>
        <x:v>2.5</x:v>
      </x:c>
      <x:c r="L16" s="43" t="n">
        <x:f>G16*K16</x:f>
        <x:v>210</x:v>
      </x:c>
      <x:c r="M16" s="43" t="n">
        <x:f>F16*H16*I16*('Family Inputs'!S16*Controls!$D$20+'Family Inputs'!T16*Controls!$D$21+'Family Inputs'!U16*Controls!$D$22+'Family Inputs'!V16*Controls!$D$23+'Family Inputs'!W16*Controls!$D$24)/1000000000</x:f>
        <x:v>8.7058125</x:v>
      </x:c>
      <x:c r="N16" s="43" t="n">
        <x:f>J16*('Family Inputs'!S16*Controls!$D$20+'Family Inputs'!T16*Controls!$D$21+'Family Inputs'!U16*Controls!$D$22+'Family Inputs'!V16*Controls!$D$23+'Family Inputs'!W16*Controls!$D$24)/1000000000</x:f>
        <x:v>10.91475</x:v>
      </x:c>
      <x:c r="O16" s="43" t="n">
        <x:f>N16-M16</x:f>
        <x:v>2.2089374999999993</x:v>
      </x:c>
      <x:c r="P16" s="43" t="n">
        <x:f>F16*K16*'Family Inputs'!R16</x:f>
        <x:v>11.725000000000001</x:v>
      </x:c>
      <x:c r="Q16" s="43" t="n">
        <x:f>G16*K16*'Family Inputs'!R16</x:f>
        <x:v>14.700000000000001</x:v>
      </x:c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 t="str">
        <x:f>Inventory!C17</x:f>
        <x:v>A-AHW</x:v>
      </x:c>
      <x:c r="D17" s="40" t="str">
        <x:f>Inventory!E17</x:f>
        <x:v>Air Response</x:v>
      </x:c>
      <x:c r="E17" s="40" t="str">
        <x:f>Inventory!D17</x:f>
        <x:v>Aerial hazard-control wing</x:v>
      </x:c>
      <x:c r="F17" s="40" t="n">
        <x:f>Inventory!Q17</x:f>
        <x:v>41</x:v>
      </x:c>
      <x:c r="G17" s="40" t="n">
        <x:f>Inventory!M17</x:f>
        <x:v>51</x:v>
      </x:c>
      <x:c r="H17" s="40" t="n">
        <x:f>'Family Inputs'!F17</x:f>
        <x:v>600</x:v>
      </x:c>
      <x:c r="I17" s="40" t="n">
        <x:f>'Family Inputs'!G17</x:f>
        <x:v>3</x:v>
      </x:c>
      <x:c r="J17" s="40" t="n">
        <x:f>G17*H17*I17</x:f>
        <x:v>91800</x:v>
      </x:c>
      <x:c r="K17" s="43" t="n">
        <x:f>'Family Inputs'!Q17</x:f>
        <x:v>6</x:v>
      </x:c>
      <x:c r="L17" s="43" t="n">
        <x:f>G17*K17</x:f>
        <x:v>306</x:v>
      </x:c>
      <x:c r="M17" s="43" t="n">
        <x:f>F17*H17*I17*('Family Inputs'!S17*Controls!$D$20+'Family Inputs'!T17*Controls!$D$21+'Family Inputs'!U17*Controls!$D$22+'Family Inputs'!V17*Controls!$D$23+'Family Inputs'!W17*Controls!$D$24)/1000000000</x:f>
        <x:v>9.13275</x:v>
      </x:c>
      <x:c r="N17" s="43" t="n">
        <x:f>J17*('Family Inputs'!S17*Controls!$D$20+'Family Inputs'!T17*Controls!$D$21+'Family Inputs'!U17*Controls!$D$22+'Family Inputs'!V17*Controls!$D$23+'Family Inputs'!W17*Controls!$D$24)/1000000000</x:f>
        <x:v>11.36025</x:v>
      </x:c>
      <x:c r="O17" s="43" t="n">
        <x:f>N17-M17</x:f>
        <x:v>2.227500000000001</x:v>
      </x:c>
      <x:c r="P17" s="43" t="n">
        <x:f>F17*K17*'Family Inputs'!R17</x:f>
        <x:v>17.220000000000002</x:v>
      </x:c>
      <x:c r="Q17" s="43" t="n">
        <x:f>G17*K17*'Family Inputs'!R17</x:f>
        <x:v>21.42</x:v>
      </x:c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 t="str">
        <x:f>Inventory!C18</x:f>
        <x:v>A-TDG</x:v>
      </x:c>
      <x:c r="D18" s="40" t="str">
        <x:f>Inventory!E18</x:f>
        <x:v>Air Response</x:v>
      </x:c>
      <x:c r="E18" s="40" t="str">
        <x:f>Inventory!D18</x:f>
        <x:v>Tactical distribution group</x:v>
      </x:c>
      <x:c r="F18" s="40" t="n">
        <x:f>Inventory!Q18</x:f>
        <x:v>108</x:v>
      </x:c>
      <x:c r="G18" s="40" t="n">
        <x:f>Inventory!M18</x:f>
        <x:v>134</x:v>
      </x:c>
      <x:c r="H18" s="40" t="n">
        <x:f>'Family Inputs'!F18</x:f>
        <x:v>450</x:v>
      </x:c>
      <x:c r="I18" s="40" t="n">
        <x:f>'Family Inputs'!G18</x:f>
        <x:v>3</x:v>
      </x:c>
      <x:c r="J18" s="40" t="n">
        <x:f>G18*H18*I18</x:f>
        <x:v>180900</x:v>
      </x:c>
      <x:c r="K18" s="43" t="n">
        <x:f>'Family Inputs'!Q18</x:f>
        <x:v>3</x:v>
      </x:c>
      <x:c r="L18" s="43" t="n">
        <x:f>G18*K18</x:f>
        <x:v>402</x:v>
      </x:c>
      <x:c r="M18" s="43" t="n">
        <x:f>F18*H18*I18*('Family Inputs'!S18*Controls!$D$20+'Family Inputs'!T18*Controls!$D$21+'Family Inputs'!U18*Controls!$D$22+'Family Inputs'!V18*Controls!$D$23+'Family Inputs'!W18*Controls!$D$24)/1000000000</x:f>
        <x:v>18.04275</x:v>
      </x:c>
      <x:c r="N18" s="43" t="n">
        <x:f>J18*('Family Inputs'!S18*Controls!$D$20+'Family Inputs'!T18*Controls!$D$21+'Family Inputs'!U18*Controls!$D$22+'Family Inputs'!V18*Controls!$D$23+'Family Inputs'!W18*Controls!$D$24)/1000000000</x:f>
        <x:v>22.386375</x:v>
      </x:c>
      <x:c r="O18" s="43" t="n">
        <x:f>N18-M18</x:f>
        <x:v>4.343624999999999</x:v>
      </x:c>
      <x:c r="P18" s="43" t="n">
        <x:f>F18*K18*'Family Inputs'!R18</x:f>
        <x:v>22.680000000000003</x:v>
      </x:c>
      <x:c r="Q18" s="43" t="n">
        <x:f>G18*K18*'Family Inputs'!R18</x:f>
        <x:v>28.140000000000004</x:v>
      </x:c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 t="str">
        <x:f>Inventory!C19</x:f>
        <x:v>A-SRG</x:v>
      </x:c>
      <x:c r="D19" s="40" t="str">
        <x:f>Inventory!E19</x:f>
        <x:v>Air Response</x:v>
      </x:c>
      <x:c r="E19" s="40" t="str">
        <x:f>Inventory!D19</x:f>
        <x:v>Air sensing and relay group</x:v>
      </x:c>
      <x:c r="F19" s="40" t="n">
        <x:f>Inventory!Q19</x:f>
        <x:v>74</x:v>
      </x:c>
      <x:c r="G19" s="40" t="n">
        <x:f>Inventory!M19</x:f>
        <x:v>93</x:v>
      </x:c>
      <x:c r="H19" s="40" t="n">
        <x:f>'Family Inputs'!F19</x:f>
        <x:v>180</x:v>
      </x:c>
      <x:c r="I19" s="40" t="n">
        <x:f>'Family Inputs'!G19</x:f>
        <x:v>3</x:v>
      </x:c>
      <x:c r="J19" s="40" t="n">
        <x:f>G19*H19*I19</x:f>
        <x:v>50220</x:v>
      </x:c>
      <x:c r="K19" s="43" t="n">
        <x:f>'Family Inputs'!Q19</x:f>
        <x:v>1.2</x:v>
      </x:c>
      <x:c r="L19" s="43" t="n">
        <x:f>G19*K19</x:f>
        <x:v>111.6</x:v>
      </x:c>
      <x:c r="M19" s="43" t="n">
        <x:f>F19*H19*I19*('Family Inputs'!S19*Controls!$D$20+'Family Inputs'!T19*Controls!$D$21+'Family Inputs'!U19*Controls!$D$22+'Family Inputs'!V19*Controls!$D$23+'Family Inputs'!W19*Controls!$D$24)/1000000000</x:f>
        <x:v>4.94505</x:v>
      </x:c>
      <x:c r="N19" s="43" t="n">
        <x:f>J19*('Family Inputs'!S19*Controls!$D$20+'Family Inputs'!T19*Controls!$D$21+'Family Inputs'!U19*Controls!$D$22+'Family Inputs'!V19*Controls!$D$23+'Family Inputs'!W19*Controls!$D$24)/1000000000</x:f>
        <x:v>6.214725</x:v>
      </x:c>
      <x:c r="O19" s="43" t="n">
        <x:f>N19-M19</x:f>
        <x:v>1.2696749999999994</x:v>
      </x:c>
      <x:c r="P19" s="43" t="n">
        <x:f>F19*K19*'Family Inputs'!R19</x:f>
        <x:v>6.216</x:v>
      </x:c>
      <x:c r="Q19" s="43" t="n">
        <x:f>G19*K19*'Family Inputs'!R19</x:f>
        <x:v>7.812</x:v>
      </x:c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 t="str">
        <x:f>Inventory!C20</x:f>
        <x:v>A-AMG</x:v>
      </x:c>
      <x:c r="D20" s="40" t="str">
        <x:f>Inventory!E20</x:f>
        <x:v>Air Response</x:v>
      </x:c>
      <x:c r="E20" s="40" t="str">
        <x:f>Inventory!D20</x:f>
        <x:v>Aeromedical movement group</x:v>
      </x:c>
      <x:c r="F20" s="40" t="n">
        <x:f>Inventory!Q20</x:f>
        <x:v>58</x:v>
      </x:c>
      <x:c r="G20" s="40" t="n">
        <x:f>Inventory!M20</x:f>
        <x:v>72</x:v>
      </x:c>
      <x:c r="H20" s="40" t="n">
        <x:f>'Family Inputs'!F20</x:f>
        <x:v>300</x:v>
      </x:c>
      <x:c r="I20" s="40" t="n">
        <x:f>'Family Inputs'!G20</x:f>
        <x:v>3</x:v>
      </x:c>
      <x:c r="J20" s="40" t="n">
        <x:f>G20*H20*I20</x:f>
        <x:v>64800</x:v>
      </x:c>
      <x:c r="K20" s="43" t="n">
        <x:f>'Family Inputs'!Q20</x:f>
        <x:v>2.5</x:v>
      </x:c>
      <x:c r="L20" s="43" t="n">
        <x:f>G20*K20</x:f>
        <x:v>180</x:v>
      </x:c>
      <x:c r="M20" s="43" t="n">
        <x:f>F20*H20*I20*('Family Inputs'!S20*Controls!$D$20+'Family Inputs'!T20*Controls!$D$21+'Family Inputs'!U20*Controls!$D$22+'Family Inputs'!V20*Controls!$D$23+'Family Inputs'!W20*Controls!$D$24)/1000000000</x:f>
        <x:v>6.45975</x:v>
      </x:c>
      <x:c r="N20" s="43" t="n">
        <x:f>J20*('Family Inputs'!S20*Controls!$D$20+'Family Inputs'!T20*Controls!$D$21+'Family Inputs'!U20*Controls!$D$22+'Family Inputs'!V20*Controls!$D$23+'Family Inputs'!W20*Controls!$D$24)/1000000000</x:f>
        <x:v>8.019</x:v>
      </x:c>
      <x:c r="O20" s="43" t="n">
        <x:f>N20-M20</x:f>
        <x:v>1.5592500000000005</x:v>
      </x:c>
      <x:c r="P20" s="43" t="n">
        <x:f>F20*K20*'Family Inputs'!R20</x:f>
        <x:v>10.15</x:v>
      </x:c>
      <x:c r="Q20" s="43" t="n">
        <x:f>G20*K20*'Family Inputs'!R20</x:f>
        <x:v>12.600000000000001</x:v>
      </x:c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 t="str">
        <x:f>Inventory!C21</x:f>
        <x:v>M-POG</x:v>
      </x:c>
      <x:c r="D21" s="40" t="str">
        <x:f>Inventory!E21</x:f>
        <x:v>Maritime Response</x:v>
      </x:c>
      <x:c r="E21" s="40" t="str">
        <x:f>Inventory!D21</x:f>
        <x:v>Port-opening group</x:v>
      </x:c>
      <x:c r="F21" s="40" t="n">
        <x:f>Inventory!Q21</x:f>
        <x:v>60</x:v>
      </x:c>
      <x:c r="G21" s="40" t="n">
        <x:f>Inventory!M21</x:f>
        <x:v>74</x:v>
      </x:c>
      <x:c r="H21" s="40" t="n">
        <x:f>'Family Inputs'!F21</x:f>
        <x:v>450</x:v>
      </x:c>
      <x:c r="I21" s="40" t="n">
        <x:f>'Family Inputs'!G21</x:f>
        <x:v>3</x:v>
      </x:c>
      <x:c r="J21" s="40" t="n">
        <x:f>G21*H21*I21</x:f>
        <x:v>99900</x:v>
      </x:c>
      <x:c r="K21" s="43" t="n">
        <x:f>'Family Inputs'!Q21</x:f>
        <x:v>3</x:v>
      </x:c>
      <x:c r="L21" s="43" t="n">
        <x:f>G21*K21</x:f>
        <x:v>222</x:v>
      </x:c>
      <x:c r="M21" s="43" t="n">
        <x:f>F21*H21*I21*('Family Inputs'!S21*Controls!$D$20+'Family Inputs'!T21*Controls!$D$21+'Family Inputs'!U21*Controls!$D$22+'Family Inputs'!V21*Controls!$D$23+'Family Inputs'!W21*Controls!$D$24)/1000000000</x:f>
        <x:v>10.5543</x:v>
      </x:c>
      <x:c r="N21" s="43" t="n">
        <x:f>J21*('Family Inputs'!S21*Controls!$D$20+'Family Inputs'!T21*Controls!$D$21+'Family Inputs'!U21*Controls!$D$22+'Family Inputs'!V21*Controls!$D$23+'Family Inputs'!W21*Controls!$D$24)/1000000000</x:f>
        <x:v>13.01697</x:v>
      </x:c>
      <x:c r="O21" s="43" t="n">
        <x:f>N21-M21</x:f>
        <x:v>2.462670000000001</x:v>
      </x:c>
      <x:c r="P21" s="43" t="n">
        <x:f>F21*K21*'Family Inputs'!R21</x:f>
        <x:v>11.700000000000001</x:v>
      </x:c>
      <x:c r="Q21" s="43" t="n">
        <x:f>G21*K21*'Family Inputs'!R21</x:f>
        <x:v>14.43</x:v>
      </x:c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 t="str">
        <x:f>Inventory!C22</x:f>
        <x:v>M-LAG</x:v>
      </x:c>
      <x:c r="D22" s="40" t="str">
        <x:f>Inventory!E22</x:f>
        <x:v>Maritime Response</x:v>
      </x:c>
      <x:c r="E22" s="40" t="str">
        <x:f>Inventory!D22</x:f>
        <x:v>Littoral-access group</x:v>
      </x:c>
      <x:c r="F22" s="40" t="n">
        <x:f>Inventory!Q22</x:f>
        <x:v>69</x:v>
      </x:c>
      <x:c r="G22" s="40" t="n">
        <x:f>Inventory!M22</x:f>
        <x:v>86</x:v>
      </x:c>
      <x:c r="H22" s="40" t="n">
        <x:f>'Family Inputs'!F22</x:f>
        <x:v>350</x:v>
      </x:c>
      <x:c r="I22" s="40" t="n">
        <x:f>'Family Inputs'!G22</x:f>
        <x:v>3</x:v>
      </x:c>
      <x:c r="J22" s="40" t="n">
        <x:f>G22*H22*I22</x:f>
        <x:v>90300</x:v>
      </x:c>
      <x:c r="K22" s="43" t="n">
        <x:f>'Family Inputs'!Q22</x:f>
        <x:v>2</x:v>
      </x:c>
      <x:c r="L22" s="43" t="n">
        <x:f>G22*K22</x:f>
        <x:v>172</x:v>
      </x:c>
      <x:c r="M22" s="43" t="n">
        <x:f>F22*H22*I22*('Family Inputs'!S22*Controls!$D$20+'Family Inputs'!T22*Controls!$D$21+'Family Inputs'!U22*Controls!$D$22+'Family Inputs'!V22*Controls!$D$23+'Family Inputs'!W22*Controls!$D$24)/1000000000</x:f>
        <x:v>9.440235</x:v>
      </x:c>
      <x:c r="N22" s="43" t="n">
        <x:f>J22*('Family Inputs'!S22*Controls!$D$20+'Family Inputs'!T22*Controls!$D$21+'Family Inputs'!U22*Controls!$D$22+'Family Inputs'!V22*Controls!$D$23+'Family Inputs'!W22*Controls!$D$24)/1000000000</x:f>
        <x:v>11.76609</x:v>
      </x:c>
      <x:c r="O22" s="43" t="n">
        <x:f>N22-M22</x:f>
        <x:v>2.3258550000000007</x:v>
      </x:c>
      <x:c r="P22" s="43" t="n">
        <x:f>F22*K22*'Family Inputs'!R22</x:f>
        <x:v>8.97</x:v>
      </x:c>
      <x:c r="Q22" s="43" t="n">
        <x:f>G22*K22*'Family Inputs'!R22</x:f>
        <x:v>11.18</x:v>
      </x:c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 t="str">
        <x:f>Inventory!C23</x:f>
        <x:v>M-IWG</x:v>
      </x:c>
      <x:c r="D23" s="40" t="str">
        <x:f>Inventory!E23</x:f>
        <x:v>Maritime Response</x:v>
      </x:c>
      <x:c r="E23" s="40" t="str">
        <x:f>Inventory!D23</x:f>
        <x:v>Inland-waterway group</x:v>
      </x:c>
      <x:c r="F23" s="40" t="n">
        <x:f>Inventory!Q23</x:f>
        <x:v>54</x:v>
      </x:c>
      <x:c r="G23" s="40" t="n">
        <x:f>Inventory!M23</x:f>
        <x:v>67</x:v>
      </x:c>
      <x:c r="H23" s="40" t="n">
        <x:f>'Family Inputs'!F23</x:f>
        <x:v>250</x:v>
      </x:c>
      <x:c r="I23" s="40" t="n">
        <x:f>'Family Inputs'!G23</x:f>
        <x:v>3</x:v>
      </x:c>
      <x:c r="J23" s="40" t="n">
        <x:f>G23*H23*I23</x:f>
        <x:v>50250</x:v>
      </x:c>
      <x:c r="K23" s="43" t="n">
        <x:f>'Family Inputs'!Q23</x:f>
        <x:v>1.5</x:v>
      </x:c>
      <x:c r="L23" s="43" t="n">
        <x:f>G23*K23</x:f>
        <x:v>100.5</x:v>
      </x:c>
      <x:c r="M23" s="43" t="n">
        <x:f>F23*H23*I23*('Family Inputs'!S23*Controls!$D$20+'Family Inputs'!T23*Controls!$D$21+'Family Inputs'!U23*Controls!$D$22+'Family Inputs'!V23*Controls!$D$23+'Family Inputs'!W23*Controls!$D$24)/1000000000</x:f>
        <x:v>5.27715</x:v>
      </x:c>
      <x:c r="N23" s="43" t="n">
        <x:f>J23*('Family Inputs'!S23*Controls!$D$20+'Family Inputs'!T23*Controls!$D$21+'Family Inputs'!U23*Controls!$D$22+'Family Inputs'!V23*Controls!$D$23+'Family Inputs'!W23*Controls!$D$24)/1000000000</x:f>
        <x:v>6.547575</x:v>
      </x:c>
      <x:c r="O23" s="43" t="n">
        <x:f>N23-M23</x:f>
        <x:v>1.2704250000000004</x:v>
      </x:c>
      <x:c r="P23" s="43" t="n">
        <x:f>F23*K23*'Family Inputs'!R23</x:f>
        <x:v>5.265000000000001</x:v>
      </x:c>
      <x:c r="Q23" s="43" t="n">
        <x:f>G23*K23*'Family Inputs'!R23</x:f>
        <x:v>6.532500000000001</x:v>
      </x:c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 t="str">
        <x:f>Inventory!C24</x:f>
        <x:v>M-OSG</x:v>
      </x:c>
      <x:c r="D24" s="40" t="str">
        <x:f>Inventory!E24</x:f>
        <x:v>Maritime Response</x:v>
      </x:c>
      <x:c r="E24" s="40" t="str">
        <x:f>Inventory!D24</x:f>
        <x:v>Offshore-support group</x:v>
      </x:c>
      <x:c r="F24" s="40" t="n">
        <x:f>Inventory!Q24</x:f>
        <x:v>45</x:v>
      </x:c>
      <x:c r="G24" s="40" t="n">
        <x:f>Inventory!M24</x:f>
        <x:v>56</x:v>
      </x:c>
      <x:c r="H24" s="40" t="n">
        <x:f>'Family Inputs'!F24</x:f>
        <x:v>700</x:v>
      </x:c>
      <x:c r="I24" s="40" t="n">
        <x:f>'Family Inputs'!G24</x:f>
        <x:v>3</x:v>
      </x:c>
      <x:c r="J24" s="40" t="n">
        <x:f>G24*H24*I24</x:f>
        <x:v>117600</x:v>
      </x:c>
      <x:c r="K24" s="43" t="n">
        <x:f>'Family Inputs'!Q24</x:f>
        <x:v>7</x:v>
      </x:c>
      <x:c r="L24" s="43" t="n">
        <x:f>G24*K24</x:f>
        <x:v>392</x:v>
      </x:c>
      <x:c r="M24" s="43" t="n">
        <x:f>F24*H24*I24*('Family Inputs'!S24*Controls!$D$20+'Family Inputs'!T24*Controls!$D$21+'Family Inputs'!U24*Controls!$D$22+'Family Inputs'!V24*Controls!$D$23+'Family Inputs'!W24*Controls!$D$24)/1000000000</x:f>
        <x:v>12.31335</x:v>
      </x:c>
      <x:c r="N24" s="43" t="n">
        <x:f>J24*('Family Inputs'!S24*Controls!$D$20+'Family Inputs'!T24*Controls!$D$21+'Family Inputs'!U24*Controls!$D$22+'Family Inputs'!V24*Controls!$D$23+'Family Inputs'!W24*Controls!$D$24)/1000000000</x:f>
        <x:v>15.32328</x:v>
      </x:c>
      <x:c r="O24" s="43" t="n">
        <x:f>N24-M24</x:f>
        <x:v>3.0099300000000007</x:v>
      </x:c>
      <x:c r="P24" s="43" t="n">
        <x:f>F24*K24*'Family Inputs'!R24</x:f>
        <x:v>20.475</x:v>
      </x:c>
      <x:c r="Q24" s="43" t="n">
        <x:f>G24*K24*'Family Inputs'!R24</x:f>
        <x:v>25.48</x:v>
      </x:c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 t="str">
        <x:f>Inventory!C25</x:f>
        <x:v>M-SSG</x:v>
      </x:c>
      <x:c r="D25" s="40" t="str">
        <x:f>Inventory!E25</x:f>
        <x:v>Maritime Response</x:v>
      </x:c>
      <x:c r="E25" s="40" t="str">
        <x:f>Inventory!D25</x:f>
        <x:v>Ocean sustainment group</x:v>
      </x:c>
      <x:c r="F25" s="40" t="n">
        <x:f>Inventory!Q25</x:f>
        <x:v>71</x:v>
      </x:c>
      <x:c r="G25" s="40" t="n">
        <x:f>Inventory!M25</x:f>
        <x:v>88</x:v>
      </x:c>
      <x:c r="H25" s="40" t="n">
        <x:f>'Family Inputs'!F25</x:f>
        <x:v>650</x:v>
      </x:c>
      <x:c r="I25" s="40" t="n">
        <x:f>'Family Inputs'!G25</x:f>
        <x:v>3</x:v>
      </x:c>
      <x:c r="J25" s="40" t="n">
        <x:f>G25*H25*I25</x:f>
        <x:v>171600</x:v>
      </x:c>
      <x:c r="K25" s="43" t="n">
        <x:f>'Family Inputs'!Q25</x:f>
        <x:v>9</x:v>
      </x:c>
      <x:c r="L25" s="43" t="n">
        <x:f>G25*K25</x:f>
        <x:v>792</x:v>
      </x:c>
      <x:c r="M25" s="43" t="n">
        <x:f>F25*H25*I25*('Family Inputs'!S25*Controls!$D$20+'Family Inputs'!T25*Controls!$D$21+'Family Inputs'!U25*Controls!$D$22+'Family Inputs'!V25*Controls!$D$23+'Family Inputs'!W25*Controls!$D$24)/1000000000</x:f>
        <x:v>18.040035</x:v>
      </x:c>
      <x:c r="N25" s="43" t="n">
        <x:f>J25*('Family Inputs'!S25*Controls!$D$20+'Family Inputs'!T25*Controls!$D$21+'Family Inputs'!U25*Controls!$D$22+'Family Inputs'!V25*Controls!$D$23+'Family Inputs'!W25*Controls!$D$24)/1000000000</x:f>
        <x:v>22.35948</x:v>
      </x:c>
      <x:c r="O25" s="43" t="n">
        <x:f>N25-M25</x:f>
        <x:v>4.319445000000002</x:v>
      </x:c>
      <x:c r="P25" s="43" t="n">
        <x:f>F25*K25*'Family Inputs'!R25</x:f>
        <x:v>41.535000000000004</x:v>
      </x:c>
      <x:c r="Q25" s="43" t="n">
        <x:f>G25*K25*'Family Inputs'!R25</x:f>
        <x:v>51.480000000000004</x:v>
      </x:c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 t="str">
        <x:f>Inventory!C26</x:f>
        <x:v>I-CUG</x:v>
      </x:c>
      <x:c r="D26" s="40" t="str">
        <x:f>Inventory!E26</x:f>
        <x:v>Infrastructure Restoration</x:v>
      </x:c>
      <x:c r="E26" s="40" t="str">
        <x:f>Inventory!D26</x:f>
        <x:v>Communications utility group</x:v>
      </x:c>
      <x:c r="F26" s="40" t="n">
        <x:f>Inventory!Q26</x:f>
        <x:v>102</x:v>
      </x:c>
      <x:c r="G26" s="40" t="n">
        <x:f>Inventory!M26</x:f>
        <x:v>127</x:v>
      </x:c>
      <x:c r="H26" s="40" t="n">
        <x:f>'Family Inputs'!F26</x:f>
        <x:v>250</x:v>
      </x:c>
      <x:c r="I26" s="40" t="n">
        <x:f>'Family Inputs'!G26</x:f>
        <x:v>3</x:v>
      </x:c>
      <x:c r="J26" s="40" t="n">
        <x:f>G26*H26*I26</x:f>
        <x:v>95250</x:v>
      </x:c>
      <x:c r="K26" s="43" t="n">
        <x:f>'Family Inputs'!Q26</x:f>
        <x:v>1</x:v>
      </x:c>
      <x:c r="L26" s="43" t="n">
        <x:f>G26*K26</x:f>
        <x:v>127</x:v>
      </x:c>
      <x:c r="M26" s="43" t="n">
        <x:f>F26*H26*I26*('Family Inputs'!S26*Controls!$D$20+'Family Inputs'!T26*Controls!$D$21+'Family Inputs'!U26*Controls!$D$22+'Family Inputs'!V26*Controls!$D$23+'Family Inputs'!W26*Controls!$D$24)/1000000000</x:f>
        <x:v>7.592625</x:v>
      </x:c>
      <x:c r="N26" s="43" t="n">
        <x:f>J26*('Family Inputs'!S26*Controls!$D$20+'Family Inputs'!T26*Controls!$D$21+'Family Inputs'!U26*Controls!$D$22+'Family Inputs'!V26*Controls!$D$23+'Family Inputs'!W26*Controls!$D$24)/1000000000</x:f>
        <x:v>9.4535625</x:v>
      </x:c>
      <x:c r="O26" s="43" t="n">
        <x:f>N26-M26</x:f>
        <x:v>1.8609375000000004</x:v>
      </x:c>
      <x:c r="P26" s="43" t="n">
        <x:f>F26*K26*'Family Inputs'!R26</x:f>
        <x:v>5.1000000000000005</x:v>
      </x:c>
      <x:c r="Q26" s="43" t="n">
        <x:f>G26*K26*'Family Inputs'!R26</x:f>
        <x:v>6.3500000000000005</x:v>
      </x:c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 t="str">
        <x:f>Inventory!C27</x:f>
        <x:v>I-TSG</x:v>
      </x:c>
      <x:c r="D27" s="40" t="str">
        <x:f>Inventory!E27</x:f>
        <x:v>Infrastructure Restoration</x:v>
      </x:c>
      <x:c r="E27" s="40" t="str">
        <x:f>Inventory!D27</x:f>
        <x:v>Thermal safety group</x:v>
      </x:c>
      <x:c r="F27" s="40" t="n">
        <x:f>Inventory!Q27</x:f>
        <x:v>108</x:v>
      </x:c>
      <x:c r="G27" s="40" t="n">
        <x:f>Inventory!M27</x:f>
        <x:v>135</x:v>
      </x:c>
      <x:c r="H27" s="40" t="n">
        <x:f>'Family Inputs'!F27</x:f>
        <x:v>250</x:v>
      </x:c>
      <x:c r="I27" s="40" t="n">
        <x:f>'Family Inputs'!G27</x:f>
        <x:v>3</x:v>
      </x:c>
      <x:c r="J27" s="40" t="n">
        <x:f>G27*H27*I27</x:f>
        <x:v>101250</x:v>
      </x:c>
      <x:c r="K27" s="43" t="n">
        <x:f>'Family Inputs'!Q27</x:f>
        <x:v>0.8</x:v>
      </x:c>
      <x:c r="L27" s="43" t="n">
        <x:f>G27*K27</x:f>
        <x:v>108</x:v>
      </x:c>
      <x:c r="M27" s="43" t="n">
        <x:f>F27*H27*I27*('Family Inputs'!S27*Controls!$D$20+'Family Inputs'!T27*Controls!$D$21+'Family Inputs'!U27*Controls!$D$22+'Family Inputs'!V27*Controls!$D$23+'Family Inputs'!W27*Controls!$D$24)/1000000000</x:f>
        <x:v>8.03925</x:v>
      </x:c>
      <x:c r="N27" s="43" t="n">
        <x:f>J27*('Family Inputs'!S27*Controls!$D$20+'Family Inputs'!T27*Controls!$D$21+'Family Inputs'!U27*Controls!$D$22+'Family Inputs'!V27*Controls!$D$23+'Family Inputs'!W27*Controls!$D$24)/1000000000</x:f>
        <x:v>10.0490625</x:v>
      </x:c>
      <x:c r="O27" s="43" t="n">
        <x:f>N27-M27</x:f>
        <x:v>2.0098125000000007</x:v>
      </x:c>
      <x:c r="P27" s="43" t="n">
        <x:f>F27*K27*'Family Inputs'!R27</x:f>
        <x:v>4.32</x:v>
      </x:c>
      <x:c r="Q27" s="43" t="n">
        <x:f>G27*K27*'Family Inputs'!R27</x:f>
        <x:v>5.4</x:v>
      </x:c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 t="str">
        <x:f>Inventory!C28</x:f>
        <x:v>I-URG</x:v>
      </x:c>
      <x:c r="D28" s="40" t="str">
        <x:f>Inventory!E28</x:f>
        <x:v>Infrastructure Restoration</x:v>
      </x:c>
      <x:c r="E28" s="40" t="str">
        <x:f>Inventory!D28</x:f>
        <x:v>Utility reconstruction group</x:v>
      </x:c>
      <x:c r="F28" s="40" t="n">
        <x:f>Inventory!Q28</x:f>
        <x:v>126</x:v>
      </x:c>
      <x:c r="G28" s="40" t="n">
        <x:f>Inventory!M28</x:f>
        <x:v>157</x:v>
      </x:c>
      <x:c r="H28" s="40" t="n">
        <x:f>'Family Inputs'!F28</x:f>
        <x:v>450</x:v>
      </x:c>
      <x:c r="I28" s="40" t="n">
        <x:f>'Family Inputs'!G28</x:f>
        <x:v>3</x:v>
      </x:c>
      <x:c r="J28" s="40" t="n">
        <x:f>G28*H28*I28</x:f>
        <x:v>211950</x:v>
      </x:c>
      <x:c r="K28" s="43" t="n">
        <x:f>'Family Inputs'!Q28</x:f>
        <x:v>2</x:v>
      </x:c>
      <x:c r="L28" s="43" t="n">
        <x:f>G28*K28</x:f>
        <x:v>314</x:v>
      </x:c>
      <x:c r="M28" s="43" t="n">
        <x:f>F28*H28*I28*('Family Inputs'!S28*Controls!$D$20+'Family Inputs'!T28*Controls!$D$21+'Family Inputs'!U28*Controls!$D$22+'Family Inputs'!V28*Controls!$D$23+'Family Inputs'!W28*Controls!$D$24)/1000000000</x:f>
        <x:v>16.882425</x:v>
      </x:c>
      <x:c r="N28" s="43" t="n">
        <x:f>J28*('Family Inputs'!S28*Controls!$D$20+'Family Inputs'!T28*Controls!$D$21+'Family Inputs'!U28*Controls!$D$22+'Family Inputs'!V28*Controls!$D$23+'Family Inputs'!W28*Controls!$D$24)/1000000000</x:f>
        <x:v>21.0360375</x:v>
      </x:c>
      <x:c r="O28" s="43" t="n">
        <x:f>N28-M28</x:f>
        <x:v>4.153612499999998</x:v>
      </x:c>
      <x:c r="P28" s="43" t="n">
        <x:f>F28*K28*'Family Inputs'!R28</x:f>
        <x:v>12.600000000000001</x:v>
      </x:c>
      <x:c r="Q28" s="43" t="n">
        <x:f>G28*K28*'Family Inputs'!R28</x:f>
        <x:v>15.700000000000001</x:v>
      </x:c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 t="str">
        <x:f>Inventory!C29</x:f>
        <x:v>H-CHC</x:v>
      </x:c>
      <x:c r="D29" s="40" t="str">
        <x:f>Inventory!E29</x:f>
        <x:v>Health Protection</x:v>
      </x:c>
      <x:c r="E29" s="40" t="str">
        <x:f>Inventory!D29</x:f>
        <x:v>Community health continuity group</x:v>
      </x:c>
      <x:c r="F29" s="40" t="n">
        <x:f>Inventory!Q29</x:f>
        <x:v>139</x:v>
      </x:c>
      <x:c r="G29" s="40" t="n">
        <x:f>Inventory!M29</x:f>
        <x:v>174</x:v>
      </x:c>
      <x:c r="H29" s="40" t="n">
        <x:f>'Family Inputs'!F29</x:f>
        <x:v>500</x:v>
      </x:c>
      <x:c r="I29" s="40" t="n">
        <x:f>'Family Inputs'!G29</x:f>
        <x:v>3.4</x:v>
      </x:c>
      <x:c r="J29" s="40" t="n">
        <x:f>G29*H29*I29</x:f>
        <x:v>295800</x:v>
      </x:c>
      <x:c r="K29" s="43" t="n">
        <x:f>'Family Inputs'!Q29</x:f>
        <x:v>1.2</x:v>
      </x:c>
      <x:c r="L29" s="43" t="n">
        <x:f>G29*K29</x:f>
        <x:v>208.79999999999998</x:v>
      </x:c>
      <x:c r="M29" s="43" t="n">
        <x:f>F29*H29*I29*('Family Inputs'!S29*Controls!$D$20+'Family Inputs'!T29*Controls!$D$21+'Family Inputs'!U29*Controls!$D$22+'Family Inputs'!V29*Controls!$D$23+'Family Inputs'!W29*Controls!$D$24)/1000000000</x:f>
        <x:v>22.507575</x:v>
      </x:c>
      <x:c r="N29" s="43" t="n">
        <x:f>J29*('Family Inputs'!S29*Controls!$D$20+'Family Inputs'!T29*Controls!$D$21+'Family Inputs'!U29*Controls!$D$22+'Family Inputs'!V29*Controls!$D$23+'Family Inputs'!W29*Controls!$D$24)/1000000000</x:f>
        <x:v>28.17495</x:v>
      </x:c>
      <x:c r="O29" s="43" t="n">
        <x:f>N29-M29</x:f>
        <x:v>5.667375</x:v>
      </x:c>
      <x:c r="P29" s="43" t="n">
        <x:f>F29*K29*'Family Inputs'!R29</x:f>
        <x:v>9.174</x:v>
      </x:c>
      <x:c r="Q29" s="43" t="n">
        <x:f>G29*K29*'Family Inputs'!R29</x:f>
        <x:v>11.484</x:v>
      </x:c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 t="str">
        <x:f>Inventory!C30</x:f>
        <x:v>H-MAC</x:v>
      </x:c>
      <x:c r="D30" s="40" t="str">
        <x:f>Inventory!E30</x:f>
        <x:v>Health Protection</x:v>
      </x:c>
      <x:c r="E30" s="40" t="str">
        <x:f>Inventory!D30</x:f>
        <x:v>Mobile acute-care group</x:v>
      </x:c>
      <x:c r="F30" s="40" t="n">
        <x:f>Inventory!Q30</x:f>
        <x:v>91</x:v>
      </x:c>
      <x:c r="G30" s="40" t="n">
        <x:f>Inventory!M30</x:f>
        <x:v>114</x:v>
      </x:c>
      <x:c r="H30" s="40" t="n">
        <x:f>'Family Inputs'!F30</x:f>
        <x:v>600</x:v>
      </x:c>
      <x:c r="I30" s="40" t="n">
        <x:f>'Family Inputs'!G30</x:f>
        <x:v>3.4</x:v>
      </x:c>
      <x:c r="J30" s="40" t="n">
        <x:f>G30*H30*I30</x:f>
        <x:v>232560</x:v>
      </x:c>
      <x:c r="K30" s="43" t="n">
        <x:f>'Family Inputs'!Q30</x:f>
        <x:v>2.5</x:v>
      </x:c>
      <x:c r="L30" s="43" t="n">
        <x:f>G30*K30</x:f>
        <x:v>285</x:v>
      </x:c>
      <x:c r="M30" s="43" t="n">
        <x:f>F30*H30*I30*('Family Inputs'!S30*Controls!$D$20+'Family Inputs'!T30*Controls!$D$21+'Family Inputs'!U30*Controls!$D$22+'Family Inputs'!V30*Controls!$D$23+'Family Inputs'!W30*Controls!$D$24)/1000000000</x:f>
        <x:v>17.68221</x:v>
      </x:c>
      <x:c r="N30" s="43" t="n">
        <x:f>J30*('Family Inputs'!S30*Controls!$D$20+'Family Inputs'!T30*Controls!$D$21+'Family Inputs'!U30*Controls!$D$22+'Family Inputs'!V30*Controls!$D$23+'Family Inputs'!W30*Controls!$D$24)/1000000000</x:f>
        <x:v>22.15134</x:v>
      </x:c>
      <x:c r="O30" s="43" t="n">
        <x:f>N30-M30</x:f>
        <x:v>4.46913</x:v>
      </x:c>
      <x:c r="P30" s="43" t="n">
        <x:f>F30*K30*'Family Inputs'!R30</x:f>
        <x:v>12.5125</x:v>
      </x:c>
      <x:c r="Q30" s="43" t="n">
        <x:f>G30*K30*'Family Inputs'!R30</x:f>
        <x:v>15.675</x:v>
      </x:c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 t="str">
        <x:f>Inventory!C31</x:f>
        <x:v>H-PHC</x:v>
      </x:c>
      <x:c r="D31" s="40" t="str">
        <x:f>Inventory!E31</x:f>
        <x:v>Health Protection</x:v>
      </x:c>
      <x:c r="E31" s="40" t="str">
        <x:f>Inventory!D31</x:f>
        <x:v>Public-health control group</x:v>
      </x:c>
      <x:c r="F31" s="40" t="n">
        <x:f>Inventory!Q31</x:f>
        <x:v>78</x:v>
      </x:c>
      <x:c r="G31" s="40" t="n">
        <x:f>Inventory!M31</x:f>
        <x:v>97</x:v>
      </x:c>
      <x:c r="H31" s="40" t="n">
        <x:f>'Family Inputs'!F31</x:f>
        <x:v>250</x:v>
      </x:c>
      <x:c r="I31" s="40" t="n">
        <x:f>'Family Inputs'!G31</x:f>
        <x:v>3.4</x:v>
      </x:c>
      <x:c r="J31" s="40" t="n">
        <x:f>G31*H31*I31</x:f>
        <x:v>82450</x:v>
      </x:c>
      <x:c r="K31" s="43" t="n">
        <x:f>'Family Inputs'!Q31</x:f>
        <x:v>1</x:v>
      </x:c>
      <x:c r="L31" s="43" t="n">
        <x:f>G31*K31</x:f>
        <x:v>97</x:v>
      </x:c>
      <x:c r="M31" s="43" t="n">
        <x:f>F31*H31*I31*('Family Inputs'!S31*Controls!$D$20+'Family Inputs'!T31*Controls!$D$21+'Family Inputs'!U31*Controls!$D$22+'Family Inputs'!V31*Controls!$D$23+'Family Inputs'!W31*Controls!$D$24)/1000000000</x:f>
        <x:v>6.315075</x:v>
      </x:c>
      <x:c r="N31" s="43" t="n">
        <x:f>J31*('Family Inputs'!S31*Controls!$D$20+'Family Inputs'!T31*Controls!$D$21+'Family Inputs'!U31*Controls!$D$22+'Family Inputs'!V31*Controls!$D$23+'Family Inputs'!W31*Controls!$D$24)/1000000000</x:f>
        <x:v>7.8533625</x:v>
      </x:c>
      <x:c r="O31" s="43" t="n">
        <x:f>N31-M31</x:f>
        <x:v>1.5382875</x:v>
      </x:c>
      <x:c r="P31" s="43" t="n">
        <x:f>F31*K31*'Family Inputs'!R31</x:f>
        <x:v>4.29</x:v>
      </x:c>
      <x:c r="Q31" s="43" t="n">
        <x:f>G31*K31*'Family Inputs'!R31</x:f>
        <x:v>5.335</x:v>
      </x:c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 t="str">
        <x:f>Inventory!C32</x:f>
        <x:v>H-HWR</x:v>
      </x:c>
      <x:c r="D32" s="40" t="str">
        <x:f>Inventory!E32</x:f>
        <x:v>Health Protection</x:v>
      </x:c>
      <x:c r="E32" s="40" t="str">
        <x:f>Inventory!D32</x:f>
        <x:v>Health workforce replacement group</x:v>
      </x:c>
      <x:c r="F32" s="40" t="n">
        <x:f>Inventory!Q32</x:f>
        <x:v>139</x:v>
      </x:c>
      <x:c r="G32" s="40" t="n">
        <x:f>Inventory!M32</x:f>
        <x:v>174</x:v>
      </x:c>
      <x:c r="H32" s="40" t="n">
        <x:f>'Family Inputs'!F32</x:f>
        <x:v>550</x:v>
      </x:c>
      <x:c r="I32" s="40" t="n">
        <x:f>'Family Inputs'!G32</x:f>
        <x:v>3.4</x:v>
      </x:c>
      <x:c r="J32" s="40" t="n">
        <x:f>G32*H32*I32</x:f>
        <x:v>325380</x:v>
      </x:c>
      <x:c r="K32" s="43" t="n">
        <x:f>'Family Inputs'!Q32</x:f>
        <x:v>0.8</x:v>
      </x:c>
      <x:c r="L32" s="43" t="n">
        <x:f>G32*K32</x:f>
        <x:v>139.20000000000002</x:v>
      </x:c>
      <x:c r="M32" s="43" t="n">
        <x:f>F32*H32*I32*('Family Inputs'!S32*Controls!$D$20+'Family Inputs'!T32*Controls!$D$21+'Family Inputs'!U32*Controls!$D$22+'Family Inputs'!V32*Controls!$D$23+'Family Inputs'!W32*Controls!$D$24)/1000000000</x:f>
        <x:v>24.7583325</x:v>
      </x:c>
      <x:c r="N32" s="43" t="n">
        <x:f>J32*('Family Inputs'!S32*Controls!$D$20+'Family Inputs'!T32*Controls!$D$21+'Family Inputs'!U32*Controls!$D$22+'Family Inputs'!V32*Controls!$D$23+'Family Inputs'!W32*Controls!$D$24)/1000000000</x:f>
        <x:v>30.992445</x:v>
      </x:c>
      <x:c r="O32" s="43" t="n">
        <x:f>N32-M32</x:f>
        <x:v>6.234112499999998</x:v>
      </x:c>
      <x:c r="P32" s="43" t="n">
        <x:f>F32*K32*'Family Inputs'!R32</x:f>
        <x:v>6.1160000000000005</x:v>
      </x:c>
      <x:c r="Q32" s="43" t="n">
        <x:f>G32*K32*'Family Inputs'!R32</x:f>
        <x:v>7.656000000000001</x:v>
      </x:c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 t="str">
        <x:f>Inventory!C33</x:f>
        <x:v>C-PSG</x:v>
      </x:c>
      <x:c r="D33" s="40" t="str">
        <x:f>Inventory!E33</x:f>
        <x:v>Community Stabilization</x:v>
      </x:c>
      <x:c r="E33" s="40" t="str">
        <x:f>Inventory!D33</x:f>
        <x:v>Population support group</x:v>
      </x:c>
      <x:c r="F33" s="40" t="n">
        <x:f>Inventory!Q33</x:f>
        <x:v>173</x:v>
      </x:c>
      <x:c r="G33" s="40" t="n">
        <x:f>Inventory!M33</x:f>
        <x:v>216</x:v>
      </x:c>
      <x:c r="H33" s="40" t="n">
        <x:f>'Family Inputs'!F33</x:f>
        <x:v>450</x:v>
      </x:c>
      <x:c r="I33" s="40" t="n">
        <x:f>'Family Inputs'!G33</x:f>
        <x:v>2.5</x:v>
      </x:c>
      <x:c r="J33" s="40" t="n">
        <x:f>G33*H33*I33</x:f>
        <x:v>243000</x:v>
      </x:c>
      <x:c r="K33" s="43" t="n">
        <x:f>'Family Inputs'!Q33</x:f>
        <x:v>0.6</x:v>
      </x:c>
      <x:c r="L33" s="43" t="n">
        <x:f>G33*K33</x:f>
        <x:v>129.6</x:v>
      </x:c>
      <x:c r="M33" s="43" t="n">
        <x:f>F33*H33*I33*('Family Inputs'!S33*Controls!$D$20+'Family Inputs'!T33*Controls!$D$21+'Family Inputs'!U33*Controls!$D$22+'Family Inputs'!V33*Controls!$D$23+'Family Inputs'!W33*Controls!$D$24)/1000000000</x:f>
        <x:v>15.91059375</x:v>
      </x:c>
      <x:c r="N33" s="43" t="n">
        <x:f>J33*('Family Inputs'!S33*Controls!$D$20+'Family Inputs'!T33*Controls!$D$21+'Family Inputs'!U33*Controls!$D$22+'Family Inputs'!V33*Controls!$D$23+'Family Inputs'!W33*Controls!$D$24)/1000000000</x:f>
        <x:v>19.86525</x:v>
      </x:c>
      <x:c r="O33" s="43" t="n">
        <x:f>N33-M33</x:f>
        <x:v>3.9546562499999993</x:v>
      </x:c>
      <x:c r="P33" s="43" t="n">
        <x:f>F33*K33*'Family Inputs'!R33</x:f>
        <x:v>5.19</x:v>
      </x:c>
      <x:c r="Q33" s="43" t="n">
        <x:f>G33*K33*'Family Inputs'!R33</x:f>
        <x:v>6.48</x:v>
      </x:c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 t="str">
        <x:f>Inventory!C34</x:f>
        <x:v>C-EGG</x:v>
      </x:c>
      <x:c r="D34" s="40" t="str">
        <x:f>Inventory!E34</x:f>
        <x:v>Community Stabilization</x:v>
      </x:c>
      <x:c r="E34" s="40" t="str">
        <x:f>Inventory!D34</x:f>
        <x:v>Essential-goods group</x:v>
      </x:c>
      <x:c r="F34" s="40" t="n">
        <x:f>Inventory!Q34</x:f>
        <x:v>173</x:v>
      </x:c>
      <x:c r="G34" s="40" t="n">
        <x:f>Inventory!M34</x:f>
        <x:v>216</x:v>
      </x:c>
      <x:c r="H34" s="40" t="n">
        <x:f>'Family Inputs'!F34</x:f>
        <x:v>350</x:v>
      </x:c>
      <x:c r="I34" s="40" t="n">
        <x:f>'Family Inputs'!G34</x:f>
        <x:v>2.5</x:v>
      </x:c>
      <x:c r="J34" s="40" t="n">
        <x:f>G34*H34*I34</x:f>
        <x:v>189000</x:v>
      </x:c>
      <x:c r="K34" s="43" t="n">
        <x:f>'Family Inputs'!Q34</x:f>
        <x:v>0.5</x:v>
      </x:c>
      <x:c r="L34" s="43" t="n">
        <x:f>G34*K34</x:f>
        <x:v>108</x:v>
      </x:c>
      <x:c r="M34" s="43" t="n">
        <x:f>F34*H34*I34*('Family Inputs'!S34*Controls!$D$20+'Family Inputs'!T34*Controls!$D$21+'Family Inputs'!U34*Controls!$D$22+'Family Inputs'!V34*Controls!$D$23+'Family Inputs'!W34*Controls!$D$24)/1000000000</x:f>
        <x:v>12.37490625</x:v>
      </x:c>
      <x:c r="N34" s="43" t="n">
        <x:f>J34*('Family Inputs'!S34*Controls!$D$20+'Family Inputs'!T34*Controls!$D$21+'Family Inputs'!U34*Controls!$D$22+'Family Inputs'!V34*Controls!$D$23+'Family Inputs'!W34*Controls!$D$24)/1000000000</x:f>
        <x:v>15.45075</x:v>
      </x:c>
      <x:c r="O34" s="43" t="n">
        <x:f>N34-M34</x:f>
        <x:v>3.075843749999999</x:v>
      </x:c>
      <x:c r="P34" s="43" t="n">
        <x:f>F34*K34*'Family Inputs'!R34</x:f>
        <x:v>4.325</x:v>
      </x:c>
      <x:c r="Q34" s="43" t="n">
        <x:f>G34*K34*'Family Inputs'!R34</x:f>
        <x:v>5.4</x:v>
      </x:c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 t="str">
        <x:f>Inventory!C35</x:f>
        <x:v>C-CAG</x:v>
      </x:c>
      <x:c r="D35" s="40" t="str">
        <x:f>Inventory!E35</x:f>
        <x:v>Community Stabilization</x:v>
      </x:c>
      <x:c r="E35" s="40" t="str">
        <x:f>Inventory!D35</x:f>
        <x:v>Civil access group</x:v>
      </x:c>
      <x:c r="F35" s="40" t="n">
        <x:f>Inventory!Q35</x:f>
        <x:v>132</x:v>
      </x:c>
      <x:c r="G35" s="40" t="n">
        <x:f>Inventory!M35</x:f>
        <x:v>164</x:v>
      </x:c>
      <x:c r="H35" s="40" t="n">
        <x:f>'Family Inputs'!F35</x:f>
        <x:v>180</x:v>
      </x:c>
      <x:c r="I35" s="40" t="n">
        <x:f>'Family Inputs'!G35</x:f>
        <x:v>2.5</x:v>
      </x:c>
      <x:c r="J35" s="40" t="n">
        <x:f>G35*H35*I35</x:f>
        <x:v>73800</x:v>
      </x:c>
      <x:c r="K35" s="43" t="n">
        <x:f>'Family Inputs'!Q35</x:f>
        <x:v>0.3</x:v>
      </x:c>
      <x:c r="L35" s="43" t="n">
        <x:f>G35*K35</x:f>
        <x:v>49.199999999999996</x:v>
      </x:c>
      <x:c r="M35" s="43" t="n">
        <x:f>F35*H35*I35*('Family Inputs'!S35*Controls!$D$20+'Family Inputs'!T35*Controls!$D$21+'Family Inputs'!U35*Controls!$D$22+'Family Inputs'!V35*Controls!$D$23+'Family Inputs'!W35*Controls!$D$24)/1000000000</x:f>
        <x:v>4.85595</x:v>
      </x:c>
      <x:c r="N35" s="43" t="n">
        <x:f>J35*('Family Inputs'!S35*Controls!$D$20+'Family Inputs'!T35*Controls!$D$21+'Family Inputs'!U35*Controls!$D$22+'Family Inputs'!V35*Controls!$D$23+'Family Inputs'!W35*Controls!$D$24)/1000000000</x:f>
        <x:v>6.03315</x:v>
      </x:c>
      <x:c r="O35" s="43" t="n">
        <x:f>N35-M35</x:f>
        <x:v>1.1772</x:v>
      </x:c>
      <x:c r="P35" s="43" t="n">
        <x:f>F35*K35*'Family Inputs'!R35</x:f>
        <x:v>1.9800000000000002</x:v>
      </x:c>
      <x:c r="Q35" s="43" t="n">
        <x:f>G35*K35*'Family Inputs'!R35</x:f>
        <x:v>2.46</x:v>
      </x:c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 t="str">
        <x:f>Inventory!C36</x:f>
        <x:v>C-DTG</x:v>
      </x:c>
      <x:c r="D36" s="40" t="str">
        <x:f>Inventory!E36</x:f>
        <x:v>Community Stabilization</x:v>
      </x:c>
      <x:c r="E36" s="40" t="str">
        <x:f>Inventory!D36</x:f>
        <x:v>Displacement transition group</x:v>
      </x:c>
      <x:c r="F36" s="40" t="n">
        <x:f>Inventory!Q36</x:f>
        <x:v>127</x:v>
      </x:c>
      <x:c r="G36" s="40" t="n">
        <x:f>Inventory!M36</x:f>
        <x:v>158</x:v>
      </x:c>
      <x:c r="H36" s="40" t="n">
        <x:f>'Family Inputs'!F36</x:f>
        <x:v>300</x:v>
      </x:c>
      <x:c r="I36" s="40" t="n">
        <x:f>'Family Inputs'!G36</x:f>
        <x:v>2.5</x:v>
      </x:c>
      <x:c r="J36" s="40" t="n">
        <x:f>G36*H36*I36</x:f>
        <x:v>118500</x:v>
      </x:c>
      <x:c r="K36" s="43" t="n">
        <x:f>'Family Inputs'!Q36</x:f>
        <x:v>0.4</x:v>
      </x:c>
      <x:c r="L36" s="43" t="n">
        <x:f>G36*K36</x:f>
        <x:v>63.2</x:v>
      </x:c>
      <x:c r="M36" s="43" t="n">
        <x:f>F36*H36*I36*('Family Inputs'!S36*Controls!$D$20+'Family Inputs'!T36*Controls!$D$21+'Family Inputs'!U36*Controls!$D$22+'Family Inputs'!V36*Controls!$D$23+'Family Inputs'!W36*Controls!$D$24)/1000000000</x:f>
        <x:v>7.7866875</x:v>
      </x:c>
      <x:c r="N36" s="43" t="n">
        <x:f>J36*('Family Inputs'!S36*Controls!$D$20+'Family Inputs'!T36*Controls!$D$21+'Family Inputs'!U36*Controls!$D$22+'Family Inputs'!V36*Controls!$D$23+'Family Inputs'!W36*Controls!$D$24)/1000000000</x:f>
        <x:v>9.687375</x:v>
      </x:c>
      <x:c r="O36" s="43" t="n">
        <x:f>N36-M36</x:f>
        <x:v>1.9006874999999992</x:v>
      </x:c>
      <x:c r="P36" s="43" t="n">
        <x:f>F36*K36*'Family Inputs'!R36</x:f>
        <x:v>2.5400000000000005</x:v>
      </x:c>
      <x:c r="Q36" s="43" t="n">
        <x:f>G36*K36*'Family Inputs'!R36</x:f>
        <x:v>3.16</x:v>
      </x:c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 t="str">
        <x:f>Inventory!C37</x:f>
        <x:v>C-CIG</x:v>
      </x:c>
      <x:c r="D37" s="40" t="str">
        <x:f>Inventory!E37</x:f>
        <x:v>Community Stabilization</x:v>
      </x:c>
      <x:c r="E37" s="40" t="str">
        <x:f>Inventory!D37</x:f>
        <x:v>Community institutions group</x:v>
      </x:c>
      <x:c r="F37" s="40" t="n">
        <x:f>Inventory!Q37</x:f>
        <x:v>106</x:v>
      </x:c>
      <x:c r="G37" s="40" t="n">
        <x:f>Inventory!M37</x:f>
        <x:v>132</x:v>
      </x:c>
      <x:c r="H37" s="40" t="n">
        <x:f>'Family Inputs'!F37</x:f>
        <x:v>250</x:v>
      </x:c>
      <x:c r="I37" s="40" t="n">
        <x:f>'Family Inputs'!G37</x:f>
        <x:v>2.5</x:v>
      </x:c>
      <x:c r="J37" s="40" t="n">
        <x:f>G37*H37*I37</x:f>
        <x:v>82500</x:v>
      </x:c>
      <x:c r="K37" s="43" t="n">
        <x:f>'Family Inputs'!Q37</x:f>
        <x:v>0.4</x:v>
      </x:c>
      <x:c r="L37" s="43" t="n">
        <x:f>G37*K37</x:f>
        <x:v>52.800000000000004</x:v>
      </x:c>
      <x:c r="M37" s="43" t="n">
        <x:f>F37*H37*I37*('Family Inputs'!S37*Controls!$D$20+'Family Inputs'!T37*Controls!$D$21+'Family Inputs'!U37*Controls!$D$22+'Family Inputs'!V37*Controls!$D$23+'Family Inputs'!W37*Controls!$D$24)/1000000000</x:f>
        <x:v>5.4159375</x:v>
      </x:c>
      <x:c r="N37" s="43" t="n">
        <x:f>J37*('Family Inputs'!S37*Controls!$D$20+'Family Inputs'!T37*Controls!$D$21+'Family Inputs'!U37*Controls!$D$22+'Family Inputs'!V37*Controls!$D$23+'Family Inputs'!W37*Controls!$D$24)/1000000000</x:f>
        <x:v>6.744375</x:v>
      </x:c>
      <x:c r="O37" s="43" t="n">
        <x:f>N37-M37</x:f>
        <x:v>1.3284374999999997</x:v>
      </x:c>
      <x:c r="P37" s="43" t="n">
        <x:f>F37*K37*'Family Inputs'!R37</x:f>
        <x:v>2.1200000000000006</x:v>
      </x:c>
      <x:c r="Q37" s="43" t="n">
        <x:f>G37*K37*'Family Inputs'!R37</x:f>
        <x:v>2.6400000000000006</x:v>
      </x:c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 t="str">
        <x:f>Inventory!C38</x:f>
        <x:v>J-RIG</x:v>
      </x:c>
      <x:c r="D38" s="40" t="str">
        <x:f>Inventory!E38</x:f>
        <x:v>Joint</x:v>
      </x:c>
      <x:c r="E38" s="40" t="str">
        <x:f>Inventory!D38</x:f>
        <x:v>Resilience information group</x:v>
      </x:c>
      <x:c r="F38" s="40" t="n">
        <x:f>Inventory!Q38</x:f>
        <x:v>91</x:v>
      </x:c>
      <x:c r="G38" s="40" t="n">
        <x:f>Inventory!M38</x:f>
        <x:v>114</x:v>
      </x:c>
      <x:c r="H38" s="40" t="n">
        <x:f>'Family Inputs'!F38</x:f>
        <x:v>360</x:v>
      </x:c>
      <x:c r="I38" s="40" t="n">
        <x:f>'Family Inputs'!G38</x:f>
        <x:v>2.5</x:v>
      </x:c>
      <x:c r="J38" s="40" t="n">
        <x:f>G38*H38*I38</x:f>
        <x:v>102600</x:v>
      </x:c>
      <x:c r="K38" s="43" t="n">
        <x:f>'Family Inputs'!Q38</x:f>
        <x:v>0.8999999999999999</x:v>
      </x:c>
      <x:c r="L38" s="43" t="n">
        <x:f>G38*K38</x:f>
        <x:v>102.6</x:v>
      </x:c>
      <x:c r="M38" s="43" t="n">
        <x:f>F38*H38*I38*('Family Inputs'!S38*Controls!$D$20+'Family Inputs'!T38*Controls!$D$21+'Family Inputs'!U38*Controls!$D$22+'Family Inputs'!V38*Controls!$D$23+'Family Inputs'!W38*Controls!$D$24)/1000000000</x:f>
        <x:v>9.5823</x:v>
      </x:c>
      <x:c r="N38" s="43" t="n">
        <x:f>J38*('Family Inputs'!S38*Controls!$D$20+'Family Inputs'!T38*Controls!$D$21+'Family Inputs'!U38*Controls!$D$22+'Family Inputs'!V38*Controls!$D$23+'Family Inputs'!W38*Controls!$D$24)/1000000000</x:f>
        <x:v>12.0042</x:v>
      </x:c>
      <x:c r="O38" s="43" t="n">
        <x:f>N38-M38</x:f>
        <x:v>2.421900000000001</x:v>
      </x:c>
      <x:c r="P38" s="43" t="n">
        <x:f>F38*K38*'Family Inputs'!R38</x:f>
        <x:v>4.095</x:v>
      </x:c>
      <x:c r="Q38" s="43" t="n">
        <x:f>G38*K38*'Family Inputs'!R38</x:f>
        <x:v>5.13</x:v>
      </x:c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 t="str">
        <x:f>Inventory!C39</x:f>
        <x:v>M-MPG</x:v>
      </x:c>
      <x:c r="D39" s="40" t="str">
        <x:f>Inventory!E39</x:f>
        <x:v>Maritime Response</x:v>
      </x:c>
      <x:c r="E39" s="40" t="str">
        <x:f>Inventory!D39</x:f>
        <x:v>Maritime production group</x:v>
      </x:c>
      <x:c r="F39" s="40" t="n">
        <x:f>Inventory!Q39</x:f>
        <x:v>52</x:v>
      </x:c>
      <x:c r="G39" s="40" t="n">
        <x:f>Inventory!M39</x:f>
        <x:v>65</x:v>
      </x:c>
      <x:c r="H39" s="40" t="n">
        <x:f>'Family Inputs'!F39</x:f>
        <x:v>900</x:v>
      </x:c>
      <x:c r="I39" s="40" t="n">
        <x:f>'Family Inputs'!G39</x:f>
        <x:v>3</x:v>
      </x:c>
      <x:c r="J39" s="40" t="n">
        <x:f>G39*H39*I39</x:f>
        <x:v>175500</x:v>
      </x:c>
      <x:c r="K39" s="43" t="n">
        <x:f>'Family Inputs'!Q39</x:f>
        <x:v>1.5</x:v>
      </x:c>
      <x:c r="L39" s="43" t="n">
        <x:f>G39*K39</x:f>
        <x:v>97.5</x:v>
      </x:c>
      <x:c r="M39" s="43" t="n">
        <x:f>F39*H39*I39*('Family Inputs'!S39*Controls!$D$20+'Family Inputs'!T39*Controls!$D$21+'Family Inputs'!U39*Controls!$D$22+'Family Inputs'!V39*Controls!$D$23+'Family Inputs'!W39*Controls!$D$24)/1000000000</x:f>
        <x:v>18.29412</x:v>
      </x:c>
      <x:c r="N39" s="43" t="n">
        <x:f>J39*('Family Inputs'!S39*Controls!$D$20+'Family Inputs'!T39*Controls!$D$21+'Family Inputs'!U39*Controls!$D$22+'Family Inputs'!V39*Controls!$D$23+'Family Inputs'!W39*Controls!$D$24)/1000000000</x:f>
        <x:v>22.86765</x:v>
      </x:c>
      <x:c r="O39" s="43" t="n">
        <x:f>N39-M39</x:f>
        <x:v>4.573530000000002</x:v>
      </x:c>
      <x:c r="P39" s="43" t="n">
        <x:f>F39*K39*'Family Inputs'!R39</x:f>
        <x:v>5.07</x:v>
      </x:c>
      <x:c r="Q39" s="43" t="n">
        <x:f>G39*K39*'Family Inputs'!R39</x:f>
        <x:v>6.3375</x:v>
      </x:c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 t="str">
        <x:f>Inventory!C40</x:f>
        <x:v>I-WRG</x:v>
      </x:c>
      <x:c r="D40" s="40" t="str">
        <x:f>Inventory!E40</x:f>
        <x:v>Infrastructure Restoration</x:v>
      </x:c>
      <x:c r="E40" s="40" t="str">
        <x:f>Inventory!D40</x:f>
        <x:v>Water restoration group</x:v>
      </x:c>
      <x:c r="F40" s="40" t="n">
        <x:f>Inventory!Q40</x:f>
        <x:v>93</x:v>
      </x:c>
      <x:c r="G40" s="40" t="n">
        <x:f>Inventory!M40</x:f>
        <x:v>116</x:v>
      </x:c>
      <x:c r="H40" s="40" t="n">
        <x:f>'Family Inputs'!F40</x:f>
        <x:v>2120</x:v>
      </x:c>
      <x:c r="I40" s="40" t="n">
        <x:f>'Family Inputs'!G40</x:f>
        <x:v>3</x:v>
      </x:c>
      <x:c r="J40" s="40" t="n">
        <x:f>G40*H40*I40</x:f>
        <x:v>737760</x:v>
      </x:c>
      <x:c r="K40" s="43" t="n">
        <x:f>'Family Inputs'!Q40</x:f>
        <x:v>1.5</x:v>
      </x:c>
      <x:c r="L40" s="43" t="n">
        <x:f>G40*K40</x:f>
        <x:v>174</x:v>
      </x:c>
      <x:c r="M40" s="43" t="n">
        <x:f>F40*H40*I40*('Family Inputs'!S40*Controls!$D$20+'Family Inputs'!T40*Controls!$D$21+'Family Inputs'!U40*Controls!$D$22+'Family Inputs'!V40*Controls!$D$23+'Family Inputs'!W40*Controls!$D$24)/1000000000</x:f>
        <x:v>58.70439</x:v>
      </x:c>
      <x:c r="N40" s="43" t="n">
        <x:f>J40*('Family Inputs'!S40*Controls!$D$20+'Family Inputs'!T40*Controls!$D$21+'Family Inputs'!U40*Controls!$D$22+'Family Inputs'!V40*Controls!$D$23+'Family Inputs'!W40*Controls!$D$24)/1000000000</x:f>
        <x:v>73.22268</x:v>
      </x:c>
      <x:c r="O40" s="43" t="n">
        <x:f>N40-M40</x:f>
        <x:v>14.51829</x:v>
      </x:c>
      <x:c r="P40" s="43" t="n">
        <x:f>F40*K40*'Family Inputs'!R40</x:f>
        <x:v>7.6725</x:v>
      </x:c>
      <x:c r="Q40" s="43" t="n">
        <x:f>G40*K40*'Family Inputs'!R40</x:f>
        <x:v>9.57</x:v>
      </x:c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 t="str">
        <x:f>Inventory!C41</x:f>
        <x:v>I-PRG</x:v>
      </x:c>
      <x:c r="D41" s="40" t="str">
        <x:f>Inventory!E41</x:f>
        <x:v>Infrastructure Restoration</x:v>
      </x:c>
      <x:c r="E41" s="40" t="str">
        <x:f>Inventory!D41</x:f>
        <x:v>Power restoration group</x:v>
      </x:c>
      <x:c r="F41" s="40" t="n">
        <x:f>Inventory!Q41</x:f>
        <x:v>108</x:v>
      </x:c>
      <x:c r="G41" s="40" t="n">
        <x:f>Inventory!M41</x:f>
        <x:v>135</x:v>
      </x:c>
      <x:c r="H41" s="40" t="n">
        <x:f>'Family Inputs'!F41</x:f>
        <x:v>2200</x:v>
      </x:c>
      <x:c r="I41" s="40" t="n">
        <x:f>'Family Inputs'!G41</x:f>
        <x:v>3</x:v>
      </x:c>
      <x:c r="J41" s="40" t="n">
        <x:f>G41*H41*I41</x:f>
        <x:v>891000</x:v>
      </x:c>
      <x:c r="K41" s="43" t="n">
        <x:f>'Family Inputs'!Q41</x:f>
        <x:v>2</x:v>
      </x:c>
      <x:c r="L41" s="43" t="n">
        <x:f>G41*K41</x:f>
        <x:v>270</x:v>
      </x:c>
      <x:c r="M41" s="43" t="n">
        <x:f>F41*H41*I41*('Family Inputs'!S41*Controls!$D$20+'Family Inputs'!T41*Controls!$D$21+'Family Inputs'!U41*Controls!$D$22+'Family Inputs'!V41*Controls!$D$23+'Family Inputs'!W41*Controls!$D$24)/1000000000</x:f>
        <x:v>70.7454</x:v>
      </x:c>
      <x:c r="N41" s="43" t="n">
        <x:f>J41*('Family Inputs'!S41*Controls!$D$20+'Family Inputs'!T41*Controls!$D$21+'Family Inputs'!U41*Controls!$D$22+'Family Inputs'!V41*Controls!$D$23+'Family Inputs'!W41*Controls!$D$24)/1000000000</x:f>
        <x:v>88.43175</x:v>
      </x:c>
      <x:c r="O41" s="43" t="n">
        <x:f>N41-M41</x:f>
        <x:v>17.68634999999999</x:v>
      </x:c>
      <x:c r="P41" s="43" t="n">
        <x:f>F41*K41*'Family Inputs'!R41</x:f>
        <x:v>12.959999999999999</x:v>
      </x:c>
      <x:c r="Q41" s="43" t="n">
        <x:f>G41*K41*'Family Inputs'!R41</x:f>
        <x:v>16.2</x:v>
      </x:c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 t="str">
        <x:f>Inventory!C42</x:f>
        <x:v>I-GBG</x:v>
      </x:c>
      <x:c r="D42" s="40" t="str">
        <x:f>Inventory!E42</x:f>
        <x:v>Infrastructure Restoration</x:v>
      </x:c>
      <x:c r="E42" s="40" t="str">
        <x:f>Inventory!D42</x:f>
        <x:v>Grid bridge group</x:v>
      </x:c>
      <x:c r="F42" s="40" t="n">
        <x:f>Inventory!Q42</x:f>
        <x:v>83</x:v>
      </x:c>
      <x:c r="G42" s="40" t="n">
        <x:f>Inventory!M42</x:f>
        <x:v>103</x:v>
      </x:c>
      <x:c r="H42" s="40" t="n">
        <x:f>'Family Inputs'!F42</x:f>
        <x:v>1400</x:v>
      </x:c>
      <x:c r="I42" s="40" t="n">
        <x:f>'Family Inputs'!G42</x:f>
        <x:v>3</x:v>
      </x:c>
      <x:c r="J42" s="40" t="n">
        <x:f>G42*H42*I42</x:f>
        <x:v>432600</x:v>
      </x:c>
      <x:c r="K42" s="43" t="n">
        <x:f>'Family Inputs'!Q42</x:f>
        <x:v>1.5</x:v>
      </x:c>
      <x:c r="L42" s="43" t="n">
        <x:f>G42*K42</x:f>
        <x:v>154.5</x:v>
      </x:c>
      <x:c r="M42" s="43" t="n">
        <x:f>F42*H42*I42*('Family Inputs'!S42*Controls!$D$20+'Family Inputs'!T42*Controls!$D$21+'Family Inputs'!U42*Controls!$D$22+'Family Inputs'!V42*Controls!$D$23+'Family Inputs'!W42*Controls!$D$24)/1000000000</x:f>
        <x:v>34.59855</x:v>
      </x:c>
      <x:c r="N42" s="43" t="n">
        <x:f>J42*('Family Inputs'!S42*Controls!$D$20+'Family Inputs'!T42*Controls!$D$21+'Family Inputs'!U42*Controls!$D$22+'Family Inputs'!V42*Controls!$D$23+'Family Inputs'!W42*Controls!$D$24)/1000000000</x:f>
        <x:v>42.93555</x:v>
      </x:c>
      <x:c r="O42" s="43" t="n">
        <x:f>N42-M42</x:f>
        <x:v>8.336999999999996</x:v>
      </x:c>
      <x:c r="P42" s="43" t="n">
        <x:f>F42*K42*'Family Inputs'!R42</x:f>
        <x:v>6.8475</x:v>
      </x:c>
      <x:c r="Q42" s="43" t="n">
        <x:f>G42*K42*'Family Inputs'!R42</x:f>
        <x:v>8.4975</x:v>
      </x:c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 t="str">
        <x:f>Inventory!C43</x:f>
        <x:v>H-THC</x:v>
      </x:c>
      <x:c r="D43" s="40" t="str">
        <x:f>Inventory!E43</x:f>
        <x:v>Health Protection</x:v>
      </x:c>
      <x:c r="E43" s="40" t="str">
        <x:f>Inventory!D43</x:f>
        <x:v>Theater hospital command</x:v>
      </x:c>
      <x:c r="F43" s="40" t="n">
        <x:f>Inventory!Q43</x:f>
        <x:v>52</x:v>
      </x:c>
      <x:c r="G43" s="40" t="n">
        <x:f>Inventory!M43</x:f>
        <x:v>65</x:v>
      </x:c>
      <x:c r="H43" s="40" t="n">
        <x:f>'Family Inputs'!F43</x:f>
        <x:v>900</x:v>
      </x:c>
      <x:c r="I43" s="40" t="n">
        <x:f>'Family Inputs'!G43</x:f>
        <x:v>3.4</x:v>
      </x:c>
      <x:c r="J43" s="40" t="n">
        <x:f>G43*H43*I43</x:f>
        <x:v>198900</x:v>
      </x:c>
      <x:c r="K43" s="43" t="n">
        <x:f>'Family Inputs'!Q43</x:f>
        <x:v>1.5</x:v>
      </x:c>
      <x:c r="L43" s="43" t="n">
        <x:f>G43*K43</x:f>
        <x:v>97.5</x:v>
      </x:c>
      <x:c r="M43" s="43" t="n">
        <x:f>F43*H43*I43*('Family Inputs'!S43*Controls!$D$20+'Family Inputs'!T43*Controls!$D$21+'Family Inputs'!U43*Controls!$D$22+'Family Inputs'!V43*Controls!$D$23+'Family Inputs'!W43*Controls!$D$24)/1000000000</x:f>
        <x:v>15.15618</x:v>
      </x:c>
      <x:c r="N43" s="43" t="n">
        <x:f>J43*('Family Inputs'!S43*Controls!$D$20+'Family Inputs'!T43*Controls!$D$21+'Family Inputs'!U43*Controls!$D$22+'Family Inputs'!V43*Controls!$D$23+'Family Inputs'!W43*Controls!$D$24)/1000000000</x:f>
        <x:v>18.945225</x:v>
      </x:c>
      <x:c r="O43" s="43" t="n">
        <x:f>N43-M43</x:f>
        <x:v>3.7890449999999998</x:v>
      </x:c>
      <x:c r="P43" s="43" t="n">
        <x:f>F43*K43*'Family Inputs'!R43</x:f>
        <x:v>3.9000000000000004</x:v>
      </x:c>
      <x:c r="Q43" s="43" t="n">
        <x:f>G43*K43*'Family Inputs'!R43</x:f>
        <x:v>4.875</x:v>
      </x:c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 t="str">
        <x:f>Inventory!C44</x:f>
        <x:v>H-PMG</x:v>
      </x:c>
      <x:c r="D44" s="40" t="str">
        <x:f>Inventory!E44</x:f>
        <x:v>Health Protection</x:v>
      </x:c>
      <x:c r="E44" s="40" t="str">
        <x:f>Inventory!D44</x:f>
        <x:v>Patient movement group</x:v>
      </x:c>
      <x:c r="F44" s="40" t="n">
        <x:f>Inventory!Q44</x:f>
        <x:v>91</x:v>
      </x:c>
      <x:c r="G44" s="40" t="n">
        <x:f>Inventory!M44</x:f>
        <x:v>114</x:v>
      </x:c>
      <x:c r="H44" s="40" t="n">
        <x:f>'Family Inputs'!F44</x:f>
        <x:v>450</x:v>
      </x:c>
      <x:c r="I44" s="40" t="n">
        <x:f>'Family Inputs'!G44</x:f>
        <x:v>3.4</x:v>
      </x:c>
      <x:c r="J44" s="40" t="n">
        <x:f>G44*H44*I44</x:f>
        <x:v>174420</x:v>
      </x:c>
      <x:c r="K44" s="43" t="n">
        <x:f>'Family Inputs'!Q44</x:f>
        <x:v>1</x:v>
      </x:c>
      <x:c r="L44" s="43" t="n">
        <x:f>G44*K44</x:f>
        <x:v>114</x:v>
      </x:c>
      <x:c r="M44" s="43" t="n">
        <x:f>F44*H44*I44*('Family Inputs'!S44*Controls!$D$20+'Family Inputs'!T44*Controls!$D$21+'Family Inputs'!U44*Controls!$D$22+'Family Inputs'!V44*Controls!$D$23+'Family Inputs'!W44*Controls!$D$24)/1000000000</x:f>
        <x:v>13.2616575</x:v>
      </x:c>
      <x:c r="N44" s="43" t="n">
        <x:f>J44*('Family Inputs'!S44*Controls!$D$20+'Family Inputs'!T44*Controls!$D$21+'Family Inputs'!U44*Controls!$D$22+'Family Inputs'!V44*Controls!$D$23+'Family Inputs'!W44*Controls!$D$24)/1000000000</x:f>
        <x:v>16.613505</x:v>
      </x:c>
      <x:c r="O44" s="43" t="n">
        <x:f>N44-M44</x:f>
        <x:v>3.3518475</x:v>
      </x:c>
      <x:c r="P44" s="43" t="n">
        <x:f>F44*K44*'Family Inputs'!R44</x:f>
        <x:v>5.46</x:v>
      </x:c>
      <x:c r="Q44" s="43" t="n">
        <x:f>G44*K44*'Family Inputs'!R44</x:f>
        <x:v>6.84</x:v>
      </x:c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 t="str">
        <x:f>Inventory!C45</x:f>
        <x:v>C-ERG</x:v>
      </x:c>
      <x:c r="D45" s="40" t="str">
        <x:f>Inventory!E45</x:f>
        <x:v>Community Stabilization</x:v>
      </x:c>
      <x:c r="E45" s="40" t="str">
        <x:f>Inventory!D45</x:f>
        <x:v>Economic restart group</x:v>
      </x:c>
      <x:c r="F45" s="40" t="n">
        <x:f>Inventory!Q45</x:f>
        <x:v>88</x:v>
      </x:c>
      <x:c r="G45" s="40" t="n">
        <x:f>Inventory!M45</x:f>
        <x:v>110</x:v>
      </x:c>
      <x:c r="H45" s="40" t="n">
        <x:f>'Family Inputs'!F45</x:f>
        <x:v>350</x:v>
      </x:c>
      <x:c r="I45" s="40" t="n">
        <x:f>'Family Inputs'!G45</x:f>
        <x:v>2.5</x:v>
      </x:c>
      <x:c r="J45" s="40" t="n">
        <x:f>G45*H45*I45</x:f>
        <x:v>96250</x:v>
      </x:c>
      <x:c r="K45" s="43" t="n">
        <x:f>'Family Inputs'!Q45</x:f>
        <x:v>0.35</x:v>
      </x:c>
      <x:c r="L45" s="43" t="n">
        <x:f>G45*K45</x:f>
        <x:v>38.5</x:v>
      </x:c>
      <x:c r="M45" s="43" t="n">
        <x:f>F45*H45*I45*('Family Inputs'!S45*Controls!$D$20+'Family Inputs'!T45*Controls!$D$21+'Family Inputs'!U45*Controls!$D$22+'Family Inputs'!V45*Controls!$D$23+'Family Inputs'!W45*Controls!$D$24)/1000000000</x:f>
        <x:v>6.29475</x:v>
      </x:c>
      <x:c r="N45" s="43" t="n">
        <x:f>J45*('Family Inputs'!S45*Controls!$D$20+'Family Inputs'!T45*Controls!$D$21+'Family Inputs'!U45*Controls!$D$22+'Family Inputs'!V45*Controls!$D$23+'Family Inputs'!W45*Controls!$D$24)/1000000000</x:f>
        <x:v>7.8684375</x:v>
      </x:c>
      <x:c r="O45" s="43" t="n">
        <x:f>N45-M45</x:f>
        <x:v>1.5736875000000001</x:v>
      </x:c>
      <x:c r="P45" s="43" t="n">
        <x:f>F45*K45*'Family Inputs'!R45</x:f>
        <x:v>1.54</x:v>
      </x:c>
      <x:c r="Q45" s="43" t="n">
        <x:f>G45*K45*'Family Inputs'!R45</x:f>
        <x:v>1.925</x:v>
      </x:c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 t="str">
        <x:f>Inventory!C46</x:f>
        <x:v>CM-HCG</x:v>
      </x:c>
      <x:c r="D46" s="40" t="str">
        <x:f>Inventory!E46</x:f>
        <x:v>Civil Mobility and Continuity</x:v>
      </x:c>
      <x:c r="E46" s="40" t="str">
        <x:f>Inventory!D46</x:f>
        <x:v>Household collection group</x:v>
      </x:c>
      <x:c r="F46" s="40" t="n">
        <x:f>Inventory!Q46</x:f>
        <x:v>128</x:v>
      </x:c>
      <x:c r="G46" s="40" t="n">
        <x:f>Inventory!M46</x:f>
        <x:v>160</x:v>
      </x:c>
      <x:c r="H46" s="40" t="n">
        <x:f>'Family Inputs'!F46</x:f>
        <x:v>5587</x:v>
      </x:c>
      <x:c r="I46" s="40" t="n">
        <x:f>'Family Inputs'!G46</x:f>
        <x:v>3.4</x:v>
      </x:c>
      <x:c r="J46" s="40" t="n">
        <x:f>G46*H46*I46</x:f>
        <x:v>3039328</x:v>
      </x:c>
      <x:c r="K46" s="43" t="n">
        <x:f>'Family Inputs'!Q46</x:f>
        <x:v>6.866</x:v>
      </x:c>
      <x:c r="L46" s="43" t="n">
        <x:f>G46*K46</x:f>
        <x:v>1098.56</x:v>
      </x:c>
      <x:c r="M46" s="43" t="n">
        <x:f>F46*H46*I46*('Family Inputs'!S46*Controls!$D$20+'Family Inputs'!T46*Controls!$D$21+'Family Inputs'!U46*Controls!$D$22+'Family Inputs'!V46*Controls!$D$23+'Family Inputs'!W46*Controls!$D$24)/1000000000</x:f>
        <x:v>211.5372288</x:v>
      </x:c>
      <x:c r="N46" s="43" t="n">
        <x:f>J46*('Family Inputs'!S46*Controls!$D$20+'Family Inputs'!T46*Controls!$D$21+'Family Inputs'!U46*Controls!$D$22+'Family Inputs'!V46*Controls!$D$23+'Family Inputs'!W46*Controls!$D$24)/1000000000</x:f>
        <x:v>264.421536</x:v>
      </x:c>
      <x:c r="O46" s="43" t="n">
        <x:f>N46-M46</x:f>
        <x:v>52.884307199999995</x:v>
      </x:c>
      <x:c r="P46" s="43" t="n">
        <x:f>F46*K46*'Family Inputs'!R46</x:f>
        <x:v>57.12512</x:v>
      </x:c>
      <x:c r="Q46" s="43" t="n">
        <x:f>G46*K46*'Family Inputs'!R46</x:f>
        <x:v>71.4064</x:v>
      </x:c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 t="str">
        <x:f>Inventory!C47</x:f>
        <x:v>CM-CTN</x:v>
      </x:c>
      <x:c r="D47" s="40" t="str">
        <x:f>Inventory!E47</x:f>
        <x:v>Civil Mobility and Continuity</x:v>
      </x:c>
      <x:c r="E47" s="40" t="str">
        <x:f>Inventory!D47</x:f>
        <x:v>Continuity transfer-node group</x:v>
      </x:c>
      <x:c r="F47" s="40" t="n">
        <x:f>Inventory!Q47</x:f>
        <x:v>100</x:v>
      </x:c>
      <x:c r="G47" s="40" t="n">
        <x:f>Inventory!M47</x:f>
        <x:v>125</x:v>
      </x:c>
      <x:c r="H47" s="40" t="n">
        <x:f>'Family Inputs'!F47</x:f>
        <x:v>1800</x:v>
      </x:c>
      <x:c r="I47" s="40" t="n">
        <x:f>'Family Inputs'!G47</x:f>
        <x:v>3</x:v>
      </x:c>
      <x:c r="J47" s="40" t="n">
        <x:f>G47*H47*I47</x:f>
        <x:v>675000</x:v>
      </x:c>
      <x:c r="K47" s="43" t="n">
        <x:f>'Family Inputs'!Q47</x:f>
        <x:v>2</x:v>
      </x:c>
      <x:c r="L47" s="43" t="n">
        <x:f>G47*K47</x:f>
        <x:v>250</x:v>
      </x:c>
      <x:c r="M47" s="43" t="n">
        <x:f>F47*H47*I47*('Family Inputs'!S47*Controls!$D$20+'Family Inputs'!T47*Controls!$D$21+'Family Inputs'!U47*Controls!$D$22+'Family Inputs'!V47*Controls!$D$23+'Family Inputs'!W47*Controls!$D$24)/1000000000</x:f>
        <x:v>46.98</x:v>
      </x:c>
      <x:c r="N47" s="43" t="n">
        <x:f>J47*('Family Inputs'!S47*Controls!$D$20+'Family Inputs'!T47*Controls!$D$21+'Family Inputs'!U47*Controls!$D$22+'Family Inputs'!V47*Controls!$D$23+'Family Inputs'!W47*Controls!$D$24)/1000000000</x:f>
        <x:v>58.725</x:v>
      </x:c>
      <x:c r="O47" s="43" t="n">
        <x:f>N47-M47</x:f>
        <x:v>11.745000000000005</x:v>
      </x:c>
      <x:c r="P47" s="43" t="n">
        <x:f>F47*K47*'Family Inputs'!R47</x:f>
        <x:v>12</x:v>
      </x:c>
      <x:c r="Q47" s="43" t="n">
        <x:f>G47*K47*'Family Inputs'!R47</x:f>
        <x:v>15</x:v>
      </x:c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 t="str">
        <x:f>Inventory!C48</x:f>
        <x:v>CM-RMG</x:v>
      </x:c>
      <x:c r="D48" s="40" t="str">
        <x:f>Inventory!E48</x:f>
        <x:v>Civil Mobility and Continuity</x:v>
      </x:c>
      <x:c r="E48" s="40" t="str">
        <x:f>Inventory!D48</x:f>
        <x:v>Civil road-mobility group</x:v>
      </x:c>
      <x:c r="F48" s="40" t="n">
        <x:f>Inventory!Q48</x:f>
        <x:v>159</x:v>
      </x:c>
      <x:c r="G48" s="40" t="n">
        <x:f>Inventory!M48</x:f>
        <x:v>199</x:v>
      </x:c>
      <x:c r="H48" s="40" t="n">
        <x:f>'Family Inputs'!F48</x:f>
        <x:v>650</x:v>
      </x:c>
      <x:c r="I48" s="40" t="n">
        <x:f>'Family Inputs'!G48</x:f>
        <x:v>3</x:v>
      </x:c>
      <x:c r="J48" s="40" t="n">
        <x:f>G48*H48*I48</x:f>
        <x:v>388050</x:v>
      </x:c>
      <x:c r="K48" s="43" t="n">
        <x:f>'Family Inputs'!Q48</x:f>
        <x:v>1.5</x:v>
      </x:c>
      <x:c r="L48" s="43" t="n">
        <x:f>G48*K48</x:f>
        <x:v>298.5</x:v>
      </x:c>
      <x:c r="M48" s="43" t="n">
        <x:f>F48*H48*I48*('Family Inputs'!S48*Controls!$D$20+'Family Inputs'!T48*Controls!$D$21+'Family Inputs'!U48*Controls!$D$22+'Family Inputs'!V48*Controls!$D$23+'Family Inputs'!W48*Controls!$D$24)/1000000000</x:f>
        <x:v>26.97435</x:v>
      </x:c>
      <x:c r="N48" s="43" t="n">
        <x:f>J48*('Family Inputs'!S48*Controls!$D$20+'Family Inputs'!T48*Controls!$D$21+'Family Inputs'!U48*Controls!$D$22+'Family Inputs'!V48*Controls!$D$23+'Family Inputs'!W48*Controls!$D$24)/1000000000</x:f>
        <x:v>33.76035</x:v>
      </x:c>
      <x:c r="O48" s="43" t="n">
        <x:f>N48-M48</x:f>
        <x:v>6.786000000000001</x:v>
      </x:c>
      <x:c r="P48" s="43" t="n">
        <x:f>F48*K48*'Family Inputs'!R48</x:f>
        <x:v>15.502500000000001</x:v>
      </x:c>
      <x:c r="Q48" s="43" t="n">
        <x:f>G48*K48*'Family Inputs'!R48</x:f>
        <x:v>19.4025</x:v>
      </x:c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 t="str">
        <x:f>Inventory!C49</x:f>
        <x:v>CM-RLG</x:v>
      </x:c>
      <x:c r="D49" s="40" t="str">
        <x:f>Inventory!E49</x:f>
        <x:v>Civil Mobility and Continuity</x:v>
      </x:c>
      <x:c r="E49" s="40" t="str">
        <x:f>Inventory!D49</x:f>
        <x:v>Civil rail-mobility group</x:v>
      </x:c>
      <x:c r="F49" s="40" t="n">
        <x:f>Inventory!Q49</x:f>
        <x:v>60</x:v>
      </x:c>
      <x:c r="G49" s="40" t="n">
        <x:f>Inventory!M49</x:f>
        <x:v>74</x:v>
      </x:c>
      <x:c r="H49" s="40" t="n">
        <x:f>'Family Inputs'!F49</x:f>
        <x:v>400</x:v>
      </x:c>
      <x:c r="I49" s="40" t="n">
        <x:f>'Family Inputs'!G49</x:f>
        <x:v>3</x:v>
      </x:c>
      <x:c r="J49" s="40" t="n">
        <x:f>G49*H49*I49</x:f>
        <x:v>88800</x:v>
      </x:c>
      <x:c r="K49" s="43" t="n">
        <x:f>'Family Inputs'!Q49</x:f>
        <x:v>2</x:v>
      </x:c>
      <x:c r="L49" s="43" t="n">
        <x:f>G49*K49</x:f>
        <x:v>148</x:v>
      </x:c>
      <x:c r="M49" s="43" t="n">
        <x:f>F49*H49*I49*('Family Inputs'!S49*Controls!$D$20+'Family Inputs'!T49*Controls!$D$21+'Family Inputs'!U49*Controls!$D$22+'Family Inputs'!V49*Controls!$D$23+'Family Inputs'!W49*Controls!$D$24)/1000000000</x:f>
        <x:v>6.264</x:v>
      </x:c>
      <x:c r="N49" s="43" t="n">
        <x:f>J49*('Family Inputs'!S49*Controls!$D$20+'Family Inputs'!T49*Controls!$D$21+'Family Inputs'!U49*Controls!$D$22+'Family Inputs'!V49*Controls!$D$23+'Family Inputs'!W49*Controls!$D$24)/1000000000</x:f>
        <x:v>7.7256</x:v>
      </x:c>
      <x:c r="O49" s="43" t="n">
        <x:f>N49-M49</x:f>
        <x:v>1.4615999999999998</x:v>
      </x:c>
      <x:c r="P49" s="43" t="n">
        <x:f>F49*K49*'Family Inputs'!R49</x:f>
        <x:v>7.800000000000001</x:v>
      </x:c>
      <x:c r="Q49" s="43" t="n">
        <x:f>G49*K49*'Family Inputs'!R49</x:f>
        <x:v>9.620000000000001</x:v>
      </x:c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 t="str">
        <x:f>Inventory!C50</x:f>
        <x:v>CM-AMG</x:v>
      </x:c>
      <x:c r="D50" s="40" t="str">
        <x:f>Inventory!E50</x:f>
        <x:v>Civil Mobility and Continuity</x:v>
      </x:c>
      <x:c r="E50" s="40" t="str">
        <x:f>Inventory!D50</x:f>
        <x:v>Civil air-mobility group</x:v>
      </x:c>
      <x:c r="F50" s="40" t="n">
        <x:f>Inventory!Q50</x:f>
        <x:v>58</x:v>
      </x:c>
      <x:c r="G50" s="40" t="n">
        <x:f>Inventory!M50</x:f>
        <x:v>72</x:v>
      </x:c>
      <x:c r="H50" s="40" t="n">
        <x:f>'Family Inputs'!F50</x:f>
        <x:v>400</x:v>
      </x:c>
      <x:c r="I50" s="40" t="n">
        <x:f>'Family Inputs'!G50</x:f>
        <x:v>3</x:v>
      </x:c>
      <x:c r="J50" s="40" t="n">
        <x:f>G50*H50*I50</x:f>
        <x:v>86400</x:v>
      </x:c>
      <x:c r="K50" s="43" t="n">
        <x:f>'Family Inputs'!Q50</x:f>
        <x:v>3</x:v>
      </x:c>
      <x:c r="L50" s="43" t="n">
        <x:f>G50*K50</x:f>
        <x:v>216</x:v>
      </x:c>
      <x:c r="M50" s="43" t="n">
        <x:f>F50*H50*I50*('Family Inputs'!S50*Controls!$D$20+'Family Inputs'!T50*Controls!$D$21+'Family Inputs'!U50*Controls!$D$22+'Family Inputs'!V50*Controls!$D$23+'Family Inputs'!W50*Controls!$D$24)/1000000000</x:f>
        <x:v>6.0552</x:v>
      </x:c>
      <x:c r="N50" s="43" t="n">
        <x:f>J50*('Family Inputs'!S50*Controls!$D$20+'Family Inputs'!T50*Controls!$D$21+'Family Inputs'!U50*Controls!$D$22+'Family Inputs'!V50*Controls!$D$23+'Family Inputs'!W50*Controls!$D$24)/1000000000</x:f>
        <x:v>7.5168</x:v>
      </x:c>
      <x:c r="O50" s="43" t="n">
        <x:f>N50-M50</x:f>
        <x:v>1.4615999999999998</x:v>
      </x:c>
      <x:c r="P50" s="43" t="n">
        <x:f>F50*K50*'Family Inputs'!R50</x:f>
        <x:v>13.049999999999999</x:v>
      </x:c>
      <x:c r="Q50" s="43" t="n">
        <x:f>G50*K50*'Family Inputs'!R50</x:f>
        <x:v>16.2</x:v>
      </x:c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 t="str">
        <x:f>Inventory!C51</x:f>
        <x:v>CM-WMG</x:v>
      </x:c>
      <x:c r="D51" s="40" t="str">
        <x:f>Inventory!E51</x:f>
        <x:v>Civil Mobility and Continuity</x:v>
      </x:c>
      <x:c r="E51" s="40" t="str">
        <x:f>Inventory!D51</x:f>
        <x:v>Civil water-mobility group</x:v>
      </x:c>
      <x:c r="F51" s="40" t="n">
        <x:f>Inventory!Q51</x:f>
        <x:v>60</x:v>
      </x:c>
      <x:c r="G51" s="40" t="n">
        <x:f>Inventory!M51</x:f>
        <x:v>74</x:v>
      </x:c>
      <x:c r="H51" s="40" t="n">
        <x:f>'Family Inputs'!F51</x:f>
        <x:v>400</x:v>
      </x:c>
      <x:c r="I51" s="40" t="n">
        <x:f>'Family Inputs'!G51</x:f>
        <x:v>3</x:v>
      </x:c>
      <x:c r="J51" s="40" t="n">
        <x:f>G51*H51*I51</x:f>
        <x:v>88800</x:v>
      </x:c>
      <x:c r="K51" s="43" t="n">
        <x:f>'Family Inputs'!Q51</x:f>
        <x:v>2</x:v>
      </x:c>
      <x:c r="L51" s="43" t="n">
        <x:f>G51*K51</x:f>
        <x:v>148</x:v>
      </x:c>
      <x:c r="M51" s="43" t="n">
        <x:f>F51*H51*I51*('Family Inputs'!S51*Controls!$D$20+'Family Inputs'!T51*Controls!$D$21+'Family Inputs'!U51*Controls!$D$22+'Family Inputs'!V51*Controls!$D$23+'Family Inputs'!W51*Controls!$D$24)/1000000000</x:f>
        <x:v>6.264</x:v>
      </x:c>
      <x:c r="N51" s="43" t="n">
        <x:f>J51*('Family Inputs'!S51*Controls!$D$20+'Family Inputs'!T51*Controls!$D$21+'Family Inputs'!U51*Controls!$D$22+'Family Inputs'!V51*Controls!$D$23+'Family Inputs'!W51*Controls!$D$24)/1000000000</x:f>
        <x:v>7.7256</x:v>
      </x:c>
      <x:c r="O51" s="43" t="n">
        <x:f>N51-M51</x:f>
        <x:v>1.4615999999999998</x:v>
      </x:c>
      <x:c r="P51" s="43" t="n">
        <x:f>F51*K51*'Family Inputs'!R51</x:f>
        <x:v>8.4</x:v>
      </x:c>
      <x:c r="Q51" s="43" t="n">
        <x:f>G51*K51*'Family Inputs'!R51</x:f>
        <x:v>10.360000000000001</x:v>
      </x:c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 t="str">
        <x:f>Inventory!C52</x:f>
        <x:v>CM-RDC</x:v>
      </x:c>
      <x:c r="D52" s="40" t="str">
        <x:f>Inventory!E52</x:f>
        <x:v>Civil Mobility and Continuity</x:v>
      </x:c>
      <x:c r="E52" s="40" t="str">
        <x:f>Inventory!D52</x:f>
        <x:v>Return and durable-continuity group</x:v>
      </x:c>
      <x:c r="F52" s="40" t="n">
        <x:f>Inventory!Q52</x:f>
        <x:v>93</x:v>
      </x:c>
      <x:c r="G52" s="40" t="n">
        <x:f>Inventory!M52</x:f>
        <x:v>116</x:v>
      </x:c>
      <x:c r="H52" s="40" t="n">
        <x:f>'Family Inputs'!F52</x:f>
        <x:v>400</x:v>
      </x:c>
      <x:c r="I52" s="40" t="n">
        <x:f>'Family Inputs'!G52</x:f>
        <x:v>2.5</x:v>
      </x:c>
      <x:c r="J52" s="40" t="n">
        <x:f>G52*H52*I52</x:f>
        <x:v>116000</x:v>
      </x:c>
      <x:c r="K52" s="43" t="n">
        <x:f>'Family Inputs'!Q52</x:f>
        <x:v>0.4</x:v>
      </x:c>
      <x:c r="L52" s="43" t="n">
        <x:f>G52*K52</x:f>
        <x:v>46.400000000000006</x:v>
      </x:c>
      <x:c r="M52" s="43" t="n">
        <x:f>F52*H52*I52*('Family Inputs'!S52*Controls!$D$20+'Family Inputs'!T52*Controls!$D$21+'Family Inputs'!U52*Controls!$D$22+'Family Inputs'!V52*Controls!$D$23+'Family Inputs'!W52*Controls!$D$24)/1000000000</x:f>
        <x:v>8.091</x:v>
      </x:c>
      <x:c r="N52" s="43" t="n">
        <x:f>J52*('Family Inputs'!S52*Controls!$D$20+'Family Inputs'!T52*Controls!$D$21+'Family Inputs'!U52*Controls!$D$22+'Family Inputs'!V52*Controls!$D$23+'Family Inputs'!W52*Controls!$D$24)/1000000000</x:f>
        <x:v>10.092</x:v>
      </x:c>
      <x:c r="O52" s="43" t="n">
        <x:f>N52-M52</x:f>
        <x:v>2.0010000000000012</x:v>
      </x:c>
      <x:c r="P52" s="43" t="n">
        <x:f>F52*K52*'Family Inputs'!R52</x:f>
        <x:v>1.8600000000000003</x:v>
      </x:c>
      <x:c r="Q52" s="43" t="n">
        <x:f>G52*K52*'Family Inputs'!R52</x:f>
        <x:v>2.3200000000000003</x:v>
      </x:c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 ht="30" customHeight="1">
      <x:c r="A55" s="1"/>
      <x:c r="B55" s="1"/>
      <x:c r="C55" s="12" t="str">
        <x:v>Capital and establishment bridge</x:v>
      </x:c>
      <x:c r="D55" s="13" t="str">
        <x:v>Value</x:v>
      </x:c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 t="str">
        <x:v>Selected formation capital (USD B)</x:v>
      </x:c>
      <x:c r="D56" s="43" t="n">
        <x:f>SUM(L5:L52)</x:f>
        <x:v>9410.56</x:v>
      </x:c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 t="str">
        <x:v>Common capital held once (USD B)</x:v>
      </x:c>
      <x:c r="D57" s="43" t="n">
        <x:f>Controls!D14</x:f>
        <x:v>5098</x:v>
      </x:c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 t="str">
        <x:v>Capital before reserve (USD B)</x:v>
      </x:c>
      <x:c r="D58" s="43" t="n">
        <x:f>D56+D57</x:f>
        <x:v>14508.56</x:v>
      </x:c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 t="str">
        <x:v>Capital program reserve (USD B)</x:v>
      </x:c>
      <x:c r="D59" s="43" t="n">
        <x:f>D58*Controls!D13</x:f>
        <x:v>2901.712</x:v>
      </x:c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54" t="str">
        <x:v>Total 25-year capital screen (USD B)</x:v>
      </x:c>
      <x:c r="D60" s="55" t="n">
        <x:f>D58+D59</x:f>
        <x:v>17410.272</x:v>
      </x:c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4" t="str">
        <x:v>Capital increase from Pass 58 (USD B)</x:v>
      </x:c>
      <x:c r="D61" s="53" t="n">
        <x:f>D60-Controls!D15</x:f>
        <x:v>2231.3544</x:v>
      </x:c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 t="str">
        <x:v>Direct affiliated billets</x:v>
      </x:c>
      <x:c r="D62" s="50" t="n">
        <x:f>SUM(J5:J52)</x:f>
        <x:v>11465213</x:v>
      </x:c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 t="str">
        <x:v>Institutional depth billets</x:v>
      </x:c>
      <x:c r="D63" s="50" t="n">
        <x:f>D62*Controls!D12</x:f>
        <x:v>1375825.56</x:v>
      </x:c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 t="str">
        <x:v>Common utility workforce</x:v>
      </x:c>
      <x:c r="D64" s="50" t="n">
        <x:f>Controls!D19</x:f>
        <x:v>198197.55</x:v>
      </x:c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54" t="str">
        <x:v>Total affiliated establishment</x:v>
      </x:c>
      <x:c r="D65" s="56" t="n">
        <x:f>D62+D63+D64</x:f>
        <x:v>13039236.110000001</x:v>
      </x:c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4" t="str">
        <x:v>Establishment increase from Pass 58</x:v>
      </x:c>
      <x:c r="D66" s="52" t="n">
        <x:f>D65-Controls!D16</x:f>
        <x:v>2555000.672000002</x:v>
      </x:c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 t="str">
        <x:v>Annual personnel increment (USD B)</x:v>
      </x:c>
      <x:c r="D67" s="43" t="n">
        <x:f>SUM(O5:O52)</x:f>
        <x:v>220.18493469999999</x:v>
      </x:c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 t="str">
        <x:v>Annual institutional increment (USD B)</x:v>
      </x:c>
      <x:c r="D68" s="43" t="n">
        <x:f>(D62-Controls!D17)*Controls!D12*Controls!D20/1000000000</x:f>
        <x:v>43.800011519999984</x:v>
      </x:c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4" t="str">
        <x:v>Mature annual operations (USD B)</x:v>
      </x:c>
      <x:c r="D69" s="53" t="n">
        <x:f>Controls!D18+D67+D68+SUM(Q5:Q52)-SUM(P5:P52)</x:f>
        <x:v>2113.8743006</x:v>
      </x:c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2" hidden="0" customWidth="1"/>
    <x:col min="4" max="4" width="21" hidden="0" customWidth="1"/>
    <x:col min="5" max="5" width="21" hidden="0" customWidth="1"/>
    <x:col min="6" max="6" width="14" hidden="0" customWidth="1"/>
    <x:col min="7" max="7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Independent reconciliation audit</x:v>
      </x:c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Check</x:v>
      </x:c>
      <x:c r="D4" s="24" t="str">
        <x:v>Expected</x:v>
      </x:c>
      <x:c r="E4" s="24" t="str">
        <x:v>Observed</x:v>
      </x:c>
      <x:c r="F4" s="24" t="str">
        <x:v>Tolerance</x:v>
      </x:c>
      <x:c r="G4" s="13" t="str">
        <x:v>Result</x:v>
      </x:c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v>Campaign count</x:v>
      </x:c>
      <x:c r="D5" s="57" t="n">
        <x:v>10</x:v>
      </x:c>
      <x:c r="E5" s="57" t="n">
        <x:f>COUNTA('Campaign Charter'!C5:C14)</x:f>
        <x:v>10</x:v>
      </x:c>
      <x:c r="F5" s="57" t="n">
        <x:v>0</x:v>
      </x:c>
      <x:c r="G5" s="40" t="str">
        <x:f>IF(ABS(D5-E5)&lt;=F5,"PASS","FAIL")</x:f>
        <x:v>PASS</x:v>
      </x:c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v>Catastrophic domestic campaigns</x:v>
      </x:c>
      <x:c r="D6" s="57" t="n">
        <x:v>3</x:v>
      </x:c>
      <x:c r="E6" s="57" t="n">
        <x:f>COUNTIF('Campaign Charter'!D5:D14,"Catastrophic domestic")</x:f>
        <x:v>3</x:v>
      </x:c>
      <x:c r="F6" s="57" t="n">
        <x:v>0</x:v>
      </x:c>
      <x:c r="G6" s="40" t="str">
        <x:f>IF(ABS(D6-E6)&lt;=F6,"PASS","FAIL")</x:f>
        <x:v>PASS</x:v>
      </x:c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v>Major domestic campaigns</x:v>
      </x:c>
      <x:c r="D7" s="57" t="n">
        <x:v>5</x:v>
      </x:c>
      <x:c r="E7" s="57" t="n">
        <x:f>COUNTIF('Campaign Charter'!D5:D14,"Major domestic")</x:f>
        <x:v>5</x:v>
      </x:c>
      <x:c r="F7" s="57" t="n">
        <x:v>0</x:v>
      </x:c>
      <x:c r="G7" s="40" t="str">
        <x:f>IF(ABS(D7-E7)&lt;=F7,"PASS","FAIL")</x:f>
        <x:v>PASS</x:v>
      </x:c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v>Invited international campaigns</x:v>
      </x:c>
      <x:c r="D8" s="57" t="n">
        <x:v>2</x:v>
      </x:c>
      <x:c r="E8" s="57" t="n">
        <x:f>COUNTIF('Campaign Charter'!D5:D14,"Invited international")</x:f>
        <x:v>2</x:v>
      </x:c>
      <x:c r="F8" s="57" t="n">
        <x:v>0</x:v>
      </x:c>
      <x:c r="G8" s="40" t="str">
        <x:f>IF(ABS(D8-E8)&lt;=F8,"PASS","FAIL")</x:f>
        <x:v>PASS</x:v>
      </x:c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v>Effect cells</x:v>
      </x:c>
      <x:c r="D9" s="57" t="n">
        <x:v>90</x:v>
      </x:c>
      <x:c r="E9" s="57" t="n">
        <x:f>'Effect Matrix'!M15</x:f>
        <x:v>90</x:v>
      </x:c>
      <x:c r="F9" s="57" t="n">
        <x:v>0</x:v>
      </x:c>
      <x:c r="G9" s="40" t="str">
        <x:f>IF(ABS(D9-E9)&lt;=F9,"PASS","FAIL")</x:f>
        <x:v>PASS</x:v>
      </x:c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v>Canonical family count</x:v>
      </x:c>
      <x:c r="D10" s="57" t="n">
        <x:v>48</x:v>
      </x:c>
      <x:c r="E10" s="57" t="n">
        <x:f>COUNTA('Family Inputs'!C5:C52)</x:f>
        <x:v>48</x:v>
      </x:c>
      <x:c r="F10" s="57" t="n">
        <x:v>0</x:v>
      </x:c>
      <x:c r="G10" s="40" t="str">
        <x:f>IF(ABS(D10-E10)&lt;=F10,"PASS","FAIL")</x:f>
        <x:v>PASS</x:v>
      </x:c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 t="str">
        <x:v>Family demand total</x:v>
      </x:c>
      <x:c r="D11" s="57" t="n">
        <x:v>2420</x:v>
      </x:c>
      <x:c r="E11" s="57" t="n">
        <x:f>'Family Demand'!P53</x:f>
        <x:v>2420</x:v>
      </x:c>
      <x:c r="F11" s="57" t="n">
        <x:v>0</x:v>
      </x:c>
      <x:c r="G11" s="40" t="str">
        <x:f>IF(ABS(D11-E11)&lt;=F11,"PASS","FAIL")</x:f>
        <x:v>PASS</x:v>
      </x:c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 t="str">
        <x:v>Domestic demand</x:v>
      </x:c>
      <x:c r="D12" s="57" t="n">
        <x:v>1745</x:v>
      </x:c>
      <x:c r="E12" s="57" t="n">
        <x:f>'Family Demand'!Q53</x:f>
        <x:v>1745</x:v>
      </x:c>
      <x:c r="F12" s="57" t="n">
        <x:v>0</x:v>
      </x:c>
      <x:c r="G12" s="40" t="str">
        <x:f>IF(ABS(D12-E12)&lt;=F12,"PASS","FAIL")</x:f>
        <x:v>PASS</x:v>
      </x:c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0" t="str">
        <x:v>Invited demand</x:v>
      </x:c>
      <x:c r="D13" s="57" t="n">
        <x:v>675</x:v>
      </x:c>
      <x:c r="E13" s="57" t="n">
        <x:f>'Family Demand'!R53</x:f>
        <x:v>675</x:v>
      </x:c>
      <x:c r="F13" s="57" t="n">
        <x:v>0</x:v>
      </x:c>
      <x:c r="G13" s="40" t="str">
        <x:f>IF(ABS(D13-E13)&lt;=F13,"PASS","FAIL")</x:f>
        <x:v>PASS</x:v>
      </x:c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0" t="str">
        <x:v>Pass 58 inventory reproduced</x:v>
      </x:c>
      <x:c r="D14" s="57" t="n">
        <x:v>4209</x:v>
      </x:c>
      <x:c r="E14" s="57" t="n">
        <x:f>SUM(Inventory!Q5:Q52)</x:f>
        <x:v>4209</x:v>
      </x:c>
      <x:c r="F14" s="57" t="n">
        <x:v>0</x:v>
      </x:c>
      <x:c r="G14" s="40" t="str">
        <x:f>IF(ABS(D14-E14)&lt;=F14,"PASS","FAIL")</x:f>
        <x:v>PASS</x:v>
      </x:c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0" t="str">
        <x:v>N−1 selected inventory</x:v>
      </x:c>
      <x:c r="D15" s="57" t="n">
        <x:v>5251</x:v>
      </x:c>
      <x:c r="E15" s="57" t="n">
        <x:f>SUM(Inventory!M5:M52)</x:f>
        <x:v>5251</x:v>
      </x:c>
      <x:c r="F15" s="57" t="n">
        <x:v>0</x:v>
      </x:c>
      <x:c r="G15" s="40" t="str">
        <x:f>IF(ABS(D15-E15)&lt;=F15,"PASS","FAIL")</x:f>
        <x:v>PASS</x:v>
      </x:c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0" t="str">
        <x:v>N−1 inventory increment</x:v>
      </x:c>
      <x:c r="D16" s="57" t="n">
        <x:v>1042</x:v>
      </x:c>
      <x:c r="E16" s="57" t="n">
        <x:f>SUM(Inventory!R5:R52)</x:f>
        <x:v>1042</x:v>
      </x:c>
      <x:c r="F16" s="57" t="n">
        <x:v>0</x:v>
      </x:c>
      <x:c r="G16" s="40" t="str">
        <x:f>IF(ABS(D16-E16)&lt;=F16,"PASS","FAIL")</x:f>
        <x:v>PASS</x:v>
      </x:c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0" t="str">
        <x:v>Family inventory tests passing</x:v>
      </x:c>
      <x:c r="D17" s="57" t="n">
        <x:v>48</x:v>
      </x:c>
      <x:c r="E17" s="57" t="n">
        <x:f>COUNTIF(Inventory!S5:S52,"PASS")</x:f>
        <x:v>48</x:v>
      </x:c>
      <x:c r="F17" s="57" t="n">
        <x:v>0</x:v>
      </x:c>
      <x:c r="G17" s="40" t="str">
        <x:f>IF(ABS(D17-E17)&lt;=F17,"PASS","FAIL")</x:f>
        <x:v>PASS</x:v>
      </x:c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0" t="str">
        <x:v>Service demand reconciles</x:v>
      </x:c>
      <x:c r="D18" s="57" t="n">
        <x:v>2420</x:v>
      </x:c>
      <x:c r="E18" s="57" t="n">
        <x:f>'Service Summary'!E13</x:f>
        <x:v>2420</x:v>
      </x:c>
      <x:c r="F18" s="57" t="n">
        <x:v>0</x:v>
      </x:c>
      <x:c r="G18" s="40" t="str">
        <x:f>IF(ABS(D18-E18)&lt;=F18,"PASS","FAIL")</x:f>
        <x:v>PASS</x:v>
      </x:c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0" t="str">
        <x:v>Service inventory reconciles</x:v>
      </x:c>
      <x:c r="D19" s="57" t="n">
        <x:v>5251</x:v>
      </x:c>
      <x:c r="E19" s="57" t="n">
        <x:f>'Service Summary'!H13</x:f>
        <x:v>5251</x:v>
      </x:c>
      <x:c r="F19" s="57" t="n">
        <x:v>0</x:v>
      </x:c>
      <x:c r="G19" s="40" t="str">
        <x:f>IF(ABS(D19-E19)&lt;=F19,"PASS","FAIL")</x:f>
        <x:v>PASS</x:v>
      </x:c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 t="str">
        <x:v>Early-entry equivalent</x:v>
      </x:c>
      <x:c r="D20" s="57" t="n">
        <x:v>1408.55</x:v>
      </x:c>
      <x:c r="E20" s="57" t="n">
        <x:f>'Geographic Posture'!K15</x:f>
        <x:v>1408.5499999999997</x:v>
      </x:c>
      <x:c r="F20" s="57" t="n">
        <x:v>0.001</x:v>
      </x:c>
      <x:c r="G20" s="40" t="str">
        <x:f>IF(ABS(D20-E20)&lt;=F20,"PASS","FAIL")</x:f>
        <x:v>PASS</x:v>
      </x:c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 t="str">
        <x:v>Failure worlds passing</x:v>
      </x:c>
      <x:c r="D21" s="57" t="n">
        <x:v>8</x:v>
      </x:c>
      <x:c r="E21" s="57" t="n">
        <x:f>COUNTIF('Failure Worlds'!H5:H12,"PASS")</x:f>
        <x:v>8</x:v>
      </x:c>
      <x:c r="F21" s="57" t="n">
        <x:v>0</x:v>
      </x:c>
      <x:c r="G21" s="40" t="str">
        <x:f>IF(ABS(D21-E21)&lt;=F21,"PASS","FAIL")</x:f>
        <x:v>PASS</x:v>
      </x:c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 t="str">
        <x:v>Pass 58 capital reproduced</x:v>
      </x:c>
      <x:c r="D22" s="57" t="n">
        <x:v>15178.9176</x:v>
      </x:c>
      <x:c r="E22" s="57" t="n">
        <x:f>Controls!D15</x:f>
        <x:v>15178.9176</x:v>
      </x:c>
      <x:c r="F22" s="57" t="n">
        <x:v>0.001</x:v>
      </x:c>
      <x:c r="G22" s="40" t="str">
        <x:f>IF(ABS(D22-E22)&lt;=F22,"PASS","FAIL")</x:f>
        <x:v>PASS</x:v>
      </x:c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 t="str">
        <x:v>N−1 capital screen</x:v>
      </x:c>
      <x:c r="D23" s="57" t="n">
        <x:v>17410.272</x:v>
      </x:c>
      <x:c r="E23" s="57" t="n">
        <x:f>'Fiscal Screen'!D60</x:f>
        <x:v>17410.272</x:v>
      </x:c>
      <x:c r="F23" s="57" t="n">
        <x:v>0.001</x:v>
      </x:c>
      <x:c r="G23" s="40" t="str">
        <x:f>IF(ABS(D23-E23)&lt;=F23,"PASS","FAIL")</x:f>
        <x:v>PASS</x:v>
      </x:c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 t="str">
        <x:v>Capital increment</x:v>
      </x:c>
      <x:c r="D24" s="57" t="n">
        <x:v>2231.3544</x:v>
      </x:c>
      <x:c r="E24" s="57" t="n">
        <x:f>'Fiscal Screen'!D61</x:f>
        <x:v>2231.3544</x:v>
      </x:c>
      <x:c r="F24" s="57" t="n">
        <x:v>0.001</x:v>
      </x:c>
      <x:c r="G24" s="40" t="str">
        <x:f>IF(ABS(D24-E24)&lt;=F24,"PASS","FAIL")</x:f>
        <x:v>PASS</x:v>
      </x:c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 t="str">
        <x:v>Direct billets</x:v>
      </x:c>
      <x:c r="D25" s="57" t="n">
        <x:v>11465213</x:v>
      </x:c>
      <x:c r="E25" s="57" t="n">
        <x:f>'Fiscal Screen'!D62</x:f>
        <x:v>11465213</x:v>
      </x:c>
      <x:c r="F25" s="57" t="n">
        <x:v>0.001</x:v>
      </x:c>
      <x:c r="G25" s="40" t="str">
        <x:f>IF(ABS(D25-E25)&lt;=F25,"PASS","FAIL")</x:f>
        <x:v>PASS</x:v>
      </x:c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 t="str">
        <x:v>Affiliated establishment</x:v>
      </x:c>
      <x:c r="D26" s="57" t="n">
        <x:v>13039236.11</x:v>
      </x:c>
      <x:c r="E26" s="57" t="n">
        <x:f>'Fiscal Screen'!D65</x:f>
        <x:v>13039236.110000001</x:v>
      </x:c>
      <x:c r="F26" s="57" t="n">
        <x:v>0.01</x:v>
      </x:c>
      <x:c r="G26" s="40" t="str">
        <x:f>IF(ABS(D26-E26)&lt;=F26,"PASS","FAIL")</x:f>
        <x:v>PASS</x:v>
      </x:c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 t="str">
        <x:v>Establishment increment</x:v>
      </x:c>
      <x:c r="D27" s="57" t="n">
        <x:v>2555000.672</x:v>
      </x:c>
      <x:c r="E27" s="57" t="n">
        <x:f>'Fiscal Screen'!D66</x:f>
        <x:v>2555000.672000002</x:v>
      </x:c>
      <x:c r="F27" s="57" t="n">
        <x:v>0.01</x:v>
      </x:c>
      <x:c r="G27" s="40" t="str">
        <x:f>IF(ABS(D27-E27)&lt;=F27,"PASS","FAIL")</x:f>
        <x:v>PASS</x:v>
      </x:c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 t="str">
        <x:v>Mature annual operations</x:v>
      </x:c>
      <x:c r="D28" s="57" t="n">
        <x:v>2113.8743006</x:v>
      </x:c>
      <x:c r="E28" s="57" t="n">
        <x:f>'Fiscal Screen'!D69</x:f>
        <x:v>2113.8743006</x:v>
      </x:c>
      <x:c r="F28" s="57" t="n">
        <x:v>0.001</x:v>
      </x:c>
      <x:c r="G28" s="40" t="str">
        <x:f>IF(ABS(D28-E28)&lt;=F28,"PASS","FAIL")</x:f>
        <x:v>PASS</x:v>
      </x:c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 t="str">
        <x:v>Cross-portfolio quantity reduction</x:v>
      </x:c>
      <x:c r="D29" s="57" t="n">
        <x:v>0</x:v>
      </x:c>
      <x:c r="E29" s="57" t="n">
        <x:v>0</x:v>
      </x:c>
      <x:c r="F29" s="57" t="n">
        <x:v>0</x:v>
      </x:c>
      <x:c r="G29" s="40" t="str">
        <x:f>IF(ABS(D29-E29)&lt;=F29,"PASS","FAIL")</x:f>
        <x:v>PASS</x:v>
      </x:c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 t="str">
        <x:v>Open-item running total</x:v>
      </x:c>
      <x:c r="D30" s="57" t="n">
        <x:v>0</x:v>
      </x:c>
      <x:c r="E30" s="57" t="n">
        <x:v>0</x:v>
      </x:c>
      <x:c r="F30" s="57" t="n">
        <x:v>0</x:v>
      </x:c>
      <x:c r="G30" s="40" t="str">
        <x:f>IF(ABS(D30-E30)&lt;=F30,"PASS","FAIL")</x:f>
        <x:v>PASS</x:v>
      </x:c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conditionalFormatting sqref="G5:G30">
    <x:cfRule type="containsText" dxfId="2" priority="1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88" hidden="0" customWidth="1"/>
    <x:col min="5" max="5" width="18" hidden="0" customWidth="1"/>
    <x:col min="6" max="6" width="72" hidden="0" customWidth="1"/>
    <x:col min="7" max="7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Internal source lineage</x:v>
      </x:c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30" customHeight="1">
      <x:c r="A4" s="1"/>
      <x:c r="B4" s="1"/>
      <x:c r="C4" s="12" t="str">
        <x:v>Source</x:v>
      </x:c>
      <x:c r="D4" s="24" t="str">
        <x:v>Repository artifact</x:v>
      </x:c>
      <x:c r="E4" s="24" t="str">
        <x:v>State date</x:v>
      </x:c>
      <x:c r="F4" s="24" t="str">
        <x:v>Claims used</x:v>
      </x:c>
      <x:c r="G4" s="13" t="str">
        <x:v>Limit</x:v>
      </x:c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1"/>
      <x:c r="B5" s="1"/>
      <x:c r="C5" s="40" t="str">
        <x:v>Design reference missions</x:v>
      </x:c>
      <x:c r="D5" s="40" t="str">
        <x:v>research/mandate/design-reference-missions.md</x:v>
      </x:c>
      <x:c r="E5" s="40" t="str">
        <x:v>2026-09-10</x:v>
      </x:c>
      <x:c r="F5" s="40" t="str">
        <x:v>Ten mission environments, common time windows and initial 3C + 5M + 2G test</x:v>
      </x:c>
      <x:c r="G5" s="40" t="str">
        <x:v>Scenario engineering set; not a probability forecast</x:v>
      </x:c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1"/>
      <x:c r="B6" s="1"/>
      <x:c r="C6" s="40" t="str">
        <x:v>Joint force allocation and order of battle</x:v>
      </x:c>
      <x:c r="D6" s="40" t="str">
        <x:v>research/force/generation/joint-force-allocation-and-order-of-battle.md</x:v>
      </x:c>
      <x:c r="E6" s="40" t="str">
        <x:v>2026-09-10</x:v>
      </x:c>
      <x:c r="F6" s="40" t="str">
        <x:v>3C + 5M + 2G + 20R promise and formation packages</x:v>
      </x:c>
      <x:c r="G6" s="40" t="str">
        <x:v>Pass 23 declared planning coefficients</x:v>
      </x:c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1"/>
      <x:c r="B7" s="1"/>
      <x:c r="C7" s="40" t="str">
        <x:v>Canonical force allocation</x:v>
      </x:c>
      <x:c r="D7" s="40" t="str">
        <x:v>research/force/generation/canonical-force-allocation-and-fiscal-reconciliation.md</x:v>
      </x:c>
      <x:c r="E7" s="40" t="str">
        <x:v>2026-09-10</x:v>
      </x:c>
      <x:c r="F7" s="40" t="str">
        <x:v>48 families, 2,420 commitments, readiness, workforce and capital controls</x:v>
      </x:c>
      <x:c r="G7" s="40" t="str">
        <x:v>Pass 58 planning successor; configurations remain provisional</x:v>
      </x:c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1"/>
      <x:c r="B8" s="1"/>
      <x:c r="C8" s="40" t="str">
        <x:v>Pass 159 NCFC-1</x:v>
      </x:c>
      <x:c r="D8" s="40" t="str">
        <x:v>research/force/generation/f36-cisa40-sa6-root-a-national-common-force-decomposition-availability-contract-and-anti-double-counting-constitution.md</x:v>
      </x:c>
      <x:c r="E8" s="40" t="str">
        <x:v>2026-09-10</x:v>
      </x:c>
      <x:c r="F8" s="40" t="str">
        <x:v>Unique reservations, concurrent worlds and no title-based quantity credit</x:v>
      </x:c>
      <x:c r="G8" s="40" t="str">
        <x:v>Planning constitution</x:v>
      </x:c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1"/>
      <x:c r="B9" s="1"/>
      <x:c r="C9" s="40" t="str">
        <x:v>Pass 160 MPSC-1</x:v>
      </x:c>
      <x:c r="D9" s="40" t="str">
        <x:v>research/force/generation/f36-cisa40-sa6-root-a-five-portfolio-concurrent-service-compiler-common-force-quantity-and-technology-convergence-constitution.md</x:v>
      </x:c>
      <x:c r="E9" s="40" t="str">
        <x:v>2026-09-10</x:v>
      </x:c>
      <x:c r="F9" s="40" t="str">
        <x:v>Portfolio concurrency and occupied-time law</x:v>
      </x:c>
      <x:c r="G9" s="40" t="str">
        <x:v>No physical admission</x:v>
      </x:c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1"/>
      <x:c r="B10" s="1"/>
      <x:c r="C10" s="40" t="str">
        <x:v>Pass 166 JMSA-1</x:v>
      </x:c>
      <x:c r="D10" s="40" t="str">
        <x:v>research/force/generation/department-of-resilience-joint-mission-system-appropriation-reservation-and-accountability-constitution.md</x:v>
      </x:c>
      <x:c r="E10" s="40" t="str">
        <x:v>2026-09-10</x:v>
      </x:c>
      <x:c r="F10" s="40" t="str">
        <x:v>Exclusive accounts and zero admitted cross-portfolio reduction</x:v>
      </x:c>
      <x:c r="G10" s="40" t="str">
        <x:v>Fiscal constitution</x:v>
      </x:c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1"/>
      <x:c r="B11" s="1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1"/>
      <x:c r="B12" s="1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1"/>
      <x:c r="B13" s="1"/>
      <x:c r="C13" s="45" t="str">
        <x:v>Scenario basis</x:v>
      </x:c>
      <x:c r="D13" s="40" t="str">
        <x:v>Requirement-first stress case, not a frequency or loss forecast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1"/>
      <x:c r="B14" s="1"/>
      <x:c r="C14" s="45" t="str">
        <x:v>Financial basis</x:v>
      </x:c>
      <x:c r="D14" s="40" t="str">
        <x:v>Constant 2026 USD; undiscounted capital and mature annual run-rate screens</x:v>
      </x:c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"/>
      <x:c r="B15" s="1"/>
      <x:c r="C15" s="45" t="str">
        <x:v>Quantity basis</x:v>
      </x:c>
      <x:c r="D15" s="40" t="str">
        <x:v>Formation equivalents are heterogeneous organizational obligations</x:v>
      </x:c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1"/>
      <x:c r="B16" s="1"/>
      <x:c r="C16" s="45" t="str">
        <x:v>Geographic basis</x:v>
      </x:c>
      <x:c r="D16" s="40" t="str">
        <x:v>20% concentration cap is a policy requirement, not an observed failure rate</x:v>
      </x:c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1"/>
      <x:c r="B17" s="1"/>
      <x:c r="C17" s="45" t="str">
        <x:v>International basis</x:v>
      </x:c>
      <x:c r="D17" s="40" t="str">
        <x:v>Invited missions are optional before acceptance and additive after commitment</x:v>
      </x:c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1"/>
      <x:c r="B18" s="1"/>
      <x:c r="C18" s="45" t="str">
        <x:v>Capacity credit</x:v>
      </x:c>
      <x:c r="D18" s="40" t="str">
        <x:v>No partner, host, military or common-title quantity credit is admitted</x:v>
      </x:c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1"/>
      <x:c r="B19" s="1"/>
      <x:c r="C19" s="45" t="str">
        <x:v>Rendering</x:v>
      </x:c>
      <x:c r="D19" s="40" t="str">
        <x:v>No exterior form is authorized</x:v>
      </x:c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1"/>
      <x:c r="B20" s="1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1"/>
      <x:c r="B21" s="1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1"/>
      <x:c r="B22" s="1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1"/>
      <x:c r="B23" s="1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1"/>
      <x:c r="B24" s="1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1"/>
      <x:c r="B25" s="1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1"/>
      <x:c r="B26" s="1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1"/>
      <x:c r="B27" s="1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1"/>
      <x:c r="B28" s="1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1"/>
      <x:c r="B29" s="1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1"/>
      <x:c r="B30" s="1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1"/>
      <x:c r="B31" s="1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1"/>
      <x:c r="B32" s="1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1"/>
      <x:c r="B33" s="1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1"/>
      <x:c r="B34" s="1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1"/>
      <x:c r="B35" s="1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1"/>
      <x:c r="B36" s="1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1"/>
      <x:c r="B37" s="1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1"/>
      <x:c r="B38" s="1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1"/>
      <x:c r="B39" s="1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1"/>
      <x:c r="B40" s="1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1"/>
      <x:c r="B41" s="1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1"/>
      <x:c r="B42" s="1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1"/>
      <x:c r="B43" s="1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1"/>
      <x:c r="B44" s="1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1"/>
      <x:c r="B45" s="1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1"/>
      <x:c r="B46" s="1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1"/>
      <x:c r="B47" s="1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1"/>
      <x:c r="B48" s="1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1"/>
      <x:c r="B49" s="1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1"/>
      <x:c r="B50" s="1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1"/>
      <x:c r="B51" s="1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1"/>
      <x:c r="B52" s="1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1"/>
      <x:c r="B53" s="1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1"/>
      <x:c r="B54" s="1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1"/>
      <x:c r="B55" s="1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1"/>
      <x:c r="B56" s="1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1"/>
      <x:c r="B57" s="1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1"/>
      <x:c r="B58" s="1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1"/>
      <x:c r="B59" s="1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1"/>
      <x:c r="B60" s="1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1"/>
      <x:c r="B61" s="1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1"/>
      <x:c r="B62" s="1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1"/>
      <x:c r="B63" s="1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1"/>
      <x:c r="B64" s="1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1"/>
      <x:c r="B65" s="1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1"/>
      <x:c r="B66" s="1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1"/>
      <x:c r="B67" s="1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1"/>
      <x:c r="B68" s="1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1"/>
      <x:c r="B69" s="1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1"/>
      <x:c r="B70" s="1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1"/>
      <x:c r="B71" s="1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1"/>
      <x:c r="B72" s="1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1"/>
      <x:c r="B73" s="1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1"/>
      <x:c r="B74" s="1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1"/>
      <x:c r="B75" s="1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1"/>
      <x:c r="B76" s="1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1"/>
      <x:c r="B77" s="1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1"/>
      <x:c r="B78" s="1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1"/>
      <x:c r="B79" s="1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1"/>
      <x:c r="B80" s="1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1"/>
      <x:c r="B81" s="1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1"/>
      <x:c r="B82" s="1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1"/>
      <x:c r="B83" s="1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1"/>
      <x:c r="B84" s="1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1"/>
      <x:c r="B85" s="1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1"/>
      <x:c r="B86" s="1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1"/>
      <x:c r="B87" s="1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1"/>
      <x:c r="B88" s="1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1"/>
      <x:c r="B89" s="1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1"/>
      <x:c r="B90" s="1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1"/>
      <x:c r="B91" s="1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1"/>
      <x:c r="B92" s="1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1"/>
      <x:c r="B93" s="1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1"/>
      <x:c r="B94" s="1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1"/>
      <x:c r="B95" s="1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1"/>
      <x:c r="B96" s="1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1"/>
      <x:c r="B97" s="1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1"/>
      <x:c r="B98" s="1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1"/>
      <x:c r="B99" s="1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1"/>
      <x:c r="B100" s="1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1"/>
      <x:c r="B101" s="1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1"/>
      <x:c r="B102" s="1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1"/>
      <x:c r="B103" s="1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1"/>
      <x:c r="B104" s="1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1"/>
      <x:c r="B105" s="1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1"/>
      <x:c r="B106" s="1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1"/>
      <x:c r="B107" s="1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1"/>
      <x:c r="B108" s="1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1"/>
      <x:c r="B109" s="1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1"/>
      <x:c r="B110" s="1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1"/>
      <x:c r="B111" s="1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1"/>
      <x:c r="B112" s="1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1"/>
      <x:c r="B113" s="1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1"/>
      <x:c r="B114" s="1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1"/>
      <x:c r="B115" s="1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1"/>
      <x:c r="B116" s="1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1"/>
      <x:c r="B117" s="1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1"/>
      <x:c r="B118" s="1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1"/>
      <x:c r="B119" s="1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1"/>
      <x:c r="B120" s="1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</x:sheetData>
  <x:pageMargins left="0.7" right="0.7" top="0.75" bottom="0.75" header="0.3" footer="0.3"/>
</x:worksheet>
</file>