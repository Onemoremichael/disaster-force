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dc4423199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200389cbe9844e32"/>
    <x:sheet xmlns:r="http://schemas.openxmlformats.org/officeDocument/2006/relationships" name="Controls" sheetId="2" r:id="R92202b7674f74887"/>
    <x:sheet xmlns:r="http://schemas.openxmlformats.org/officeDocument/2006/relationships" name="Topology Test" sheetId="3" r:id="Rb0f3ee9eaa644ccf"/>
    <x:sheet xmlns:r="http://schemas.openxmlformats.org/officeDocument/2006/relationships" name="Mission Systems" sheetId="4" r:id="R72048843edb3477b"/>
    <x:sheet xmlns:r="http://schemas.openxmlformats.org/officeDocument/2006/relationships" name="Family Allocation" sheetId="5" r:id="R0564bae637944dca"/>
    <x:sheet xmlns:r="http://schemas.openxmlformats.org/officeDocument/2006/relationships" name="Effect Ledgers" sheetId="6" r:id="Rd009095aa7694b05"/>
    <x:sheet xmlns:r="http://schemas.openxmlformats.org/officeDocument/2006/relationships" name="Service Matrix" sheetId="7" r:id="Rd16b47f646b34b1f"/>
    <x:sheet xmlns:r="http://schemas.openxmlformats.org/officeDocument/2006/relationships" name="Campaign Load" sheetId="8" r:id="Rc7b8089d02c04a23"/>
    <x:sheet xmlns:r="http://schemas.openxmlformats.org/officeDocument/2006/relationships" name="Technology Portfolio" sheetId="9" r:id="Rf100040c42e84c54"/>
    <x:sheet xmlns:r="http://schemas.openxmlformats.org/officeDocument/2006/relationships" name="Audit" sheetId="10" r:id="R016e9fac7e70448d"/>
    <x:sheet xmlns:r="http://schemas.openxmlformats.org/officeDocument/2006/relationships" name="Sources" sheetId="11" r:id="R310e579d3915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#0.0,,&quot;M&quot;"/>
    <x:numFmt numFmtId="202" formatCode="&quot;$&quot;#,##0.0;[Red](&quot;$&quot;#,##0.0);-"/>
    <x:numFmt numFmtId="203" formatCode="0.0%"/>
    <x:numFmt numFmtId="204" formatCode="#,##0.0;[Red](#,##0.0);-"/>
    <x:numFmt numFmtId="205" formatCode="#0.000"/>
  </x:numFmts>
  <x:fonts count="9">
    <x:font>
      <x:sz val="11"/>
      <x:name val="Carlito"/>
    </x:font>
    <x:font>
      <x:sz val="10"/>
      <x:color rgb="FF1F1F1F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i/>
      <x:sz val="10"/>
      <x:color rgb="FF1F1F1F"/>
      <x:name val="Arial"/>
    </x:font>
    <x:font>
      <x:i/>
      <x:sz val="10"/>
      <x:color rgb="FF666666"/>
      <x:name val="Arial"/>
    </x:font>
    <x:font>
      <x:b/>
      <x:i/>
      <x:sz val="10"/>
      <x:color rgb="FF1F1F1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>
      <x:bottom style="medium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4472C4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0" borderId="0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3" fontId="5" fillId="4" borderId="0" xfId="0" applyNumberFormat="1" applyFont="1" applyFill="1" applyBorder="1"/>
    <x:xf numFmtId="203" fontId="6" fillId="4" borderId="0" xfId="0" applyNumberFormat="1" applyFont="1" applyFill="1" applyBorder="1"/>
    <x:xf numFmtId="202" fontId="5" fillId="4" borderId="0" xfId="0" applyNumberFormat="1" applyFont="1" applyFill="1" applyBorder="1"/>
    <x:xf numFmtId="203" fontId="1" fillId="0" borderId="0" xfId="0" applyNumberFormat="1" applyFont="1" applyFill="1" applyBorder="1"/>
    <x:xf numFmtId="203" fontId="6" fillId="0" borderId="0" xfId="0" applyNumberFormat="1" applyFont="1" applyFill="1" applyBorder="1"/>
    <x:xf numFmtId="0" fontId="7" fillId="0" borderId="0" xfId="0" applyNumberFormat="1" applyFont="1" applyFill="1" applyBorder="1"/>
    <x:xf numFmtId="202" fontId="4" fillId="3" borderId="4" xfId="0" applyNumberFormat="1" applyFont="1" applyFill="1" applyBorder="1"/>
    <x:xf numFmtId="204" fontId="1" fillId="0" borderId="0" xfId="0" applyNumberFormat="1" applyFont="1" applyFill="1" applyBorder="1"/>
    <x:xf numFmtId="204" fontId="4" fillId="3" borderId="4" xfId="0" applyNumberFormat="1" applyFont="1" applyFill="1" applyBorder="1"/>
    <x:xf numFmtId="203" fontId="4" fillId="3" borderId="4" xfId="0" applyNumberFormat="1" applyFont="1" applyFill="1" applyBorder="1"/>
    <x:xf numFmtId="203" fontId="8" fillId="3" borderId="4" xfId="0" applyNumberFormat="1" applyFont="1" applyFill="1" applyBorder="1"/>
    <x:xf numFmtId="205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3" borderId="4" xfId="0" applyNumberFormat="1" applyFont="1" applyFill="1" applyBorder="1" applyAlignment="1">
      <x:alignment vertical="center"/>
    </x:xf>
    <x:xf numFmtId="202" fontId="4" fillId="3" borderId="4" xfId="0" applyNumberFormat="1" applyFont="1" applyFill="1" applyBorder="1" applyAlignment="1">
      <x:alignment vertical="center"/>
    </x:xf>
    <x:xf numFmtId="203" fontId="8" fillId="3" borderId="4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287c2e41840c7" /><Relationship Type="http://schemas.openxmlformats.org/officeDocument/2006/relationships/theme" Target="/xl/theme/theme1.xml" Id="R377fb38dbb0b409c" /><Relationship Type="http://schemas.openxmlformats.org/officeDocument/2006/relationships/sharedStrings" Target="/xl/sharedStrings.xml" Id="Rf65a800b578e40d0" /><Relationship Type="http://schemas.openxmlformats.org/officeDocument/2006/relationships/worksheet" Target="/xl/worksheets/sheet1.xml" Id="R200389cbe9844e32" /><Relationship Type="http://schemas.openxmlformats.org/officeDocument/2006/relationships/worksheet" Target="/xl/worksheets/sheet2.xml" Id="R92202b7674f74887" /><Relationship Type="http://schemas.openxmlformats.org/officeDocument/2006/relationships/worksheet" Target="/xl/worksheets/sheet3.xml" Id="Rb0f3ee9eaa644ccf" /><Relationship Type="http://schemas.openxmlformats.org/officeDocument/2006/relationships/worksheet" Target="/xl/worksheets/sheet4.xml" Id="R72048843edb3477b" /><Relationship Type="http://schemas.openxmlformats.org/officeDocument/2006/relationships/worksheet" Target="/xl/worksheets/sheet5.xml" Id="R0564bae637944dca" /><Relationship Type="http://schemas.openxmlformats.org/officeDocument/2006/relationships/worksheet" Target="/xl/worksheets/sheet6.xml" Id="Rd009095aa7694b05" /><Relationship Type="http://schemas.openxmlformats.org/officeDocument/2006/relationships/worksheet" Target="/xl/worksheets/sheet7.xml" Id="Rd16b47f646b34b1f" /><Relationship Type="http://schemas.openxmlformats.org/officeDocument/2006/relationships/worksheet" Target="/xl/worksheets/sheet8.xml" Id="Rc7b8089d02c04a23" /><Relationship Type="http://schemas.openxmlformats.org/officeDocument/2006/relationships/worksheet" Target="/xl/worksheets/sheet9.xml" Id="Rf100040c42e84c54" /><Relationship Type="http://schemas.openxmlformats.org/officeDocument/2006/relationships/worksheet" Target="/xl/worksheets/sheet10.xml" Id="R016e9fac7e70448d" /><Relationship Type="http://schemas.openxmlformats.org/officeDocument/2006/relationships/worksheet" Target="/xl/worksheets/sheet11.xml" Id="R310e579d39154e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e88d3c043e246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Demand and selected inventory by mission system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Concurrent demand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'Decision'!$J$5:$J$10</c:f>
              <c:strCache>
                <c:ptCount val="0"/>
              </c:strCache>
            </c:strRef>
          </c:cat>
          <c:val>
            <c:numRef>
              <c:f>'Decision'!$K$5:$K$10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N−1 inventory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'Decision'!$J$5:$J$10</c:f>
              <c:strCache>
                <c:ptCount val="0"/>
              </c:strCache>
            </c:strRef>
          </c:cat>
          <c:val>
            <c:numRef>
              <c:f>'Decision'!$L$5:$L$10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88d3c043e246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17412b6fd94a3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02" hidden="0" customWidth="1"/>
    <x:col min="5" max="5" width="4" hidden="0" customWidth="1"/>
    <x:col min="6" max="6" width="13" hidden="0" customWidth="1"/>
    <x:col min="7" max="7" width="14" hidden="0" customWidth="1"/>
    <x:col min="8" max="8" width="25" hidden="0" customWidth="1"/>
    <x:col min="10" max="10" width="4" hidden="0" customWidth="1"/>
    <x:col min="11" max="11" width="2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Mission-system portfolio topology and technology competition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Decision field</x:v>
      </x:c>
      <x:c r="D4" s="13" t="str">
        <x:v>Pass 168 result</x:v>
      </x:c>
      <x:c r="E4" s="39"/>
      <x:c r="F4" s="39"/>
      <x:c r="G4" s="39"/>
      <x:c r="H4" s="39"/>
      <x:c r="I4" s="39"/>
      <x:c r="J4" s="39" t="str">
        <x:v>Mission chain</x:v>
      </x:c>
      <x:c r="K4" s="39" t="str">
        <x:v>Concurrent demand</x:v>
      </x:c>
      <x:c r="L4" s="39" t="str">
        <x:v>N−1 inventory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v>Verdict</x:v>
      </x:c>
      <x:c r="D5" s="39" t="str">
        <x:v>CLOSE</x:v>
      </x:c>
      <x:c r="E5" s="39"/>
      <x:c r="F5" s="39"/>
      <x:c r="G5" s="39"/>
      <x:c r="H5" s="39"/>
      <x:c r="I5" s="39"/>
      <x:c r="J5" s="39" t="str">
        <x:v>Enter a broken theater</x:v>
      </x:c>
      <x:c r="K5" s="39" t="n">
        <x:f>'Mission Systems'!G5</x:f>
        <x:v>369</x:v>
      </x:c>
      <x:c r="L5" s="39" t="n">
        <x:f>'Mission Systems'!H5</x:f>
        <x:v>827</x:v>
      </x:c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v>Selected topology</x:v>
      </x:c>
      <x:c r="D6" s="39" t="str">
        <x:v>Six mission-system portfolios plus nine independent effect ledgers</x:v>
      </x:c>
      <x:c r="E6" s="39"/>
      <x:c r="F6" s="39"/>
      <x:c r="G6" s="39"/>
      <x:c r="H6" s="39"/>
      <x:c r="I6" s="39"/>
      <x:c r="J6" s="39" t="str">
        <x:v>Reach occupied civil terrain</x:v>
      </x:c>
      <x:c r="K6" s="39" t="n">
        <x:f>'Mission Systems'!G6</x:f>
        <x:v>343</x:v>
      </x:c>
      <x:c r="L6" s="39" t="n">
        <x:f>'Mission Systems'!H6</x:f>
        <x:v>724</x:v>
      </x:c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v>Superseded topology</x:v>
      </x:c>
      <x:c r="D7" s="39" t="str">
        <x:v>Nine effect-mirrored appropriation offices</x:v>
      </x:c>
      <x:c r="E7" s="39"/>
      <x:c r="F7" s="39"/>
      <x:c r="G7" s="39"/>
      <x:c r="H7" s="39"/>
      <x:c r="I7" s="39"/>
      <x:c r="J7" s="39" t="str">
        <x:v>Control an active hazard</x:v>
      </x:c>
      <x:c r="K7" s="39" t="n">
        <x:f>'Mission Systems'!G7</x:f>
        <x:v>170</x:v>
      </x:c>
      <x:c r="L7" s="39" t="n">
        <x:f>'Mission Systems'!H7</x:f>
        <x:v>370</x:v>
      </x:c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v>Mission systems</x:v>
      </x:c>
      <x:c r="D8" s="39" t="n">
        <x:v>6</x:v>
      </x:c>
      <x:c r="E8" s="39"/>
      <x:c r="F8" s="39"/>
      <x:c r="G8" s="39"/>
      <x:c r="H8" s="39"/>
      <x:c r="I8" s="39"/>
      <x:c r="J8" s="39" t="str">
        <x:v>Produce and distribute lifelines</x:v>
      </x:c>
      <x:c r="K8" s="39" t="n">
        <x:f>'Mission Systems'!G8</x:f>
        <x:v>256</x:v>
      </x:c>
      <x:c r="L8" s="39" t="n">
        <x:f>'Mission Systems'!H8</x:f>
        <x:v>554</x:v>
      </x:c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v>Effect acceptance ledgers</x:v>
      </x:c>
      <x:c r="D9" s="40" t="n">
        <x:v>9</x:v>
      </x:c>
      <x:c r="E9" s="39"/>
      <x:c r="F9" s="39"/>
      <x:c r="G9" s="39"/>
      <x:c r="H9" s="39"/>
      <x:c r="I9" s="39"/>
      <x:c r="J9" s="39" t="str">
        <x:v>Preserve care and human continuity</x:v>
      </x:c>
      <x:c r="K9" s="39" t="n">
        <x:f>'Mission Systems'!G9</x:f>
        <x:v>879</x:v>
      </x:c>
      <x:c r="L9" s="39" t="n">
        <x:f>'Mission Systems'!H9</x:f>
        <x:v>1944</x:v>
      </x:c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v>Canonical families</x:v>
      </x:c>
      <x:c r="D10" s="40" t="n">
        <x:v>48</x:v>
      </x:c>
      <x:c r="E10" s="39"/>
      <x:c r="F10" s="39"/>
      <x:c r="G10" s="39"/>
      <x:c r="H10" s="39"/>
      <x:c r="I10" s="39"/>
      <x:c r="J10" s="39" t="str">
        <x:v>Sustain, transfer and regenerate</x:v>
      </x:c>
      <x:c r="K10" s="39" t="n">
        <x:f>'Mission Systems'!G10</x:f>
        <x:v>403</x:v>
      </x:c>
      <x:c r="L10" s="39" t="n">
        <x:f>'Mission Systems'!H10</x:f>
        <x:v>832</x:v>
      </x:c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39" t="str">
        <x:v>Concurrent demand</x:v>
      </x:c>
      <x:c r="D11" s="40" t="n">
        <x:v>2420</x:v>
      </x:c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 t="str">
        <x:v>Selected inventory</x:v>
      </x:c>
      <x:c r="D12" s="40" t="n">
        <x:v>5251</x:v>
      </x:c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 t="str">
        <x:v>Direct affiliated billets</x:v>
      </x:c>
      <x:c r="D13" s="41" t="n">
        <x:v>11465213</x:v>
      </x:c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 t="str">
        <x:v>Formation capital (USD B)</x:v>
      </x:c>
      <x:c r="D14" s="42" t="n">
        <x:v>9410.56</x:v>
      </x:c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 t="str">
        <x:v>Technology programs</x:v>
      </x:c>
      <x:c r="D15" s="39" t="n">
        <x:v>24</x:v>
      </x:c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43" t="str">
        <x:v>Resolution test</x:v>
      </x:c>
      <x:c r="D17" s="43" t="str">
        <x:v>Changing this topology changes Department program offices, industrial integrators, budget ownership and the representative campaigns used to admit the force.</x:v>
      </x:c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44" t="str">
        <x:v>Acquisition object</x:v>
      </x:c>
      <x:c r="D19" s="39" t="str">
        <x:v>A stable operational failure chain, not an effect label, service, campaign or platform</x:v>
      </x:c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44" t="str">
        <x:v>Public acceptance</x:v>
      </x:c>
      <x:c r="D20" s="39" t="str">
        <x:v>Nine effects remain independent ledgers and cannot be traded against one another</x:v>
      </x:c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44" t="str">
        <x:v>Portfolio boundary</x:v>
      </x:c>
      <x:c r="D21" s="39" t="str">
        <x:v>Every canonical family has one mission-integration owner while services retain lifecycle authority</x:v>
      </x:c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44" t="str">
        <x:v>Technology</x:v>
      </x:c>
      <x:c r="D22" s="39" t="str">
        <x:v>Four killable problem fields per mission system; no exterior form is selected</x:v>
      </x:c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44" t="str">
        <x:v>Budget</x:v>
      </x:c>
      <x:c r="D23" s="39" t="str">
        <x:v>The Pass 166 USD 550B mission envelope is conserved and reallocated</x:v>
      </x:c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44" t="str">
        <x:v>Common capacity</x:v>
      </x:c>
      <x:c r="D24" s="39" t="str">
        <x:v>No shared-title or cross-portfolio quantity reduction is admitted</x:v>
      </x:c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44" t="str">
        <x:v>Rendering</x:v>
      </x:c>
      <x:c r="D25" s="39" t="str">
        <x:v>Exterior form remains withheld</x:v>
      </x:c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 ht="30" customHeight="1">
      <x:c r="A28" s="1"/>
      <x:c r="B28" s="1"/>
      <x:c r="C28" s="12" t="str">
        <x:v>ID</x:v>
      </x:c>
      <x:c r="D28" s="24" t="str">
        <x:v>Mission chain</x:v>
      </x:c>
      <x:c r="E28" s="24" t="str">
        <x:v>Families</x:v>
      </x:c>
      <x:c r="F28" s="24" t="str">
        <x:v>Demand</x:v>
      </x:c>
      <x:c r="G28" s="24" t="str">
        <x:v>Inventory</x:v>
      </x:c>
      <x:c r="H28" s="13" t="str">
        <x:v>Technology allocation (USD B)</x:v>
      </x:c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 t="str">
        <x:f>'Mission Systems'!C5</x:f>
        <x:v>MS-ET</x:v>
      </x:c>
      <x:c r="D29" s="39" t="str">
        <x:f>'Mission Systems'!D5</x:f>
        <x:v>Enter a broken theater</x:v>
      </x:c>
      <x:c r="E29" s="39" t="n">
        <x:f>'Mission Systems'!F5</x:f>
        <x:v>9</x:v>
      </x:c>
      <x:c r="F29" s="39" t="n">
        <x:f>'Mission Systems'!G5</x:f>
        <x:v>369</x:v>
      </x:c>
      <x:c r="G29" s="39" t="n">
        <x:f>'Mission Systems'!H5</x:f>
        <x:v>827</x:v>
      </x:c>
      <x:c r="H29" s="42" t="n">
        <x:f>'Mission Systems'!S5</x:f>
        <x:v>89.02339608008444</x:v>
      </x:c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 t="str">
        <x:f>'Mission Systems'!C6</x:f>
        <x:v>MS-CT</x:v>
      </x:c>
      <x:c r="D30" s="39" t="str">
        <x:f>'Mission Systems'!D6</x:f>
        <x:v>Reach occupied civil terrain</x:v>
      </x:c>
      <x:c r="E30" s="39" t="n">
        <x:f>'Mission Systems'!F6</x:f>
        <x:v>6</x:v>
      </x:c>
      <x:c r="F30" s="39" t="n">
        <x:f>'Mission Systems'!G6</x:f>
        <x:v>343</x:v>
      </x:c>
      <x:c r="G30" s="39" t="n">
        <x:f>'Mission Systems'!H6</x:f>
        <x:v>724</x:v>
      </x:c>
      <x:c r="H30" s="42" t="n">
        <x:f>'Mission Systems'!S6</x:f>
        <x:v>91.87279861858138</x:v>
      </x:c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 t="str">
        <x:f>'Mission Systems'!C7</x:f>
        <x:v>MS-HC</x:v>
      </x:c>
      <x:c r="D31" s="39" t="str">
        <x:f>'Mission Systems'!D7</x:f>
        <x:v>Control an active hazard</x:v>
      </x:c>
      <x:c r="E31" s="39" t="n">
        <x:f>'Mission Systems'!F7</x:f>
        <x:v>4</x:v>
      </x:c>
      <x:c r="F31" s="39" t="n">
        <x:f>'Mission Systems'!G7</x:f>
        <x:v>170</x:v>
      </x:c>
      <x:c r="G31" s="39" t="n">
        <x:f>'Mission Systems'!H7</x:f>
        <x:v>370</x:v>
      </x:c>
      <x:c r="H31" s="42" t="n">
        <x:f>'Mission Systems'!S7</x:f>
        <x:v>54.64795617252303</x:v>
      </x:c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 t="str">
        <x:f>'Mission Systems'!C8</x:f>
        <x:v>MS-LF</x:v>
      </x:c>
      <x:c r="D32" s="39" t="str">
        <x:f>'Mission Systems'!D8</x:f>
        <x:v>Produce and distribute lifelines</x:v>
      </x:c>
      <x:c r="E32" s="39" t="n">
        <x:f>'Mission Systems'!F8</x:f>
        <x:v>5</x:v>
      </x:c>
      <x:c r="F32" s="39" t="n">
        <x:f>'Mission Systems'!G8</x:f>
        <x:v>256</x:v>
      </x:c>
      <x:c r="G32" s="39" t="n">
        <x:f>'Mission Systems'!H8</x:f>
        <x:v>554</x:v>
      </x:c>
      <x:c r="H32" s="42" t="n">
        <x:f>'Mission Systems'!S8</x:f>
        <x:v>71.95302554564509</x:v>
      </x:c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 t="str">
        <x:f>'Mission Systems'!C9</x:f>
        <x:v>MS-HU</x:v>
      </x:c>
      <x:c r="D33" s="39" t="str">
        <x:f>'Mission Systems'!D9</x:f>
        <x:v>Preserve care and human continuity</x:v>
      </x:c>
      <x:c r="E33" s="39" t="n">
        <x:f>'Mission Systems'!F9</x:f>
        <x:v>15</x:v>
      </x:c>
      <x:c r="F33" s="39" t="n">
        <x:f>'Mission Systems'!G9</x:f>
        <x:v>879</x:v>
      </x:c>
      <x:c r="G33" s="39" t="n">
        <x:f>'Mission Systems'!H9</x:f>
        <x:v>1944</x:v>
      </x:c>
      <x:c r="H33" s="42" t="n">
        <x:f>'Mission Systems'!S9</x:f>
        <x:v>153.1017614897401</x:v>
      </x:c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 t="str">
        <x:f>'Mission Systems'!C10</x:f>
        <x:v>MS-RT</x:v>
      </x:c>
      <x:c r="D34" s="39" t="str">
        <x:f>'Mission Systems'!D10</x:f>
        <x:v>Sustain, transfer and regenerate</x:v>
      </x:c>
      <x:c r="E34" s="39" t="n">
        <x:f>'Mission Systems'!F10</x:f>
        <x:v>9</x:v>
      </x:c>
      <x:c r="F34" s="39" t="n">
        <x:f>'Mission Systems'!G10</x:f>
        <x:v>403</x:v>
      </x:c>
      <x:c r="G34" s="39" t="n">
        <x:f>'Mission Systems'!H10</x:f>
        <x:v>832</x:v>
      </x:c>
      <x:c r="H34" s="42" t="n">
        <x:f>'Mission Systems'!S10</x:f>
        <x:v>89.40106209342595</x:v>
      </x:c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  <x:drawing xmlns:r="http://schemas.openxmlformats.org/officeDocument/2006/relationships" r:id="Rbf17412b6fd94a3f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52" hidden="0" customWidth="1"/>
    <x:col min="4" max="4" width="22" hidden="0" customWidth="1"/>
    <x:col min="5" max="5" width="90" hidden="0" customWidth="1"/>
    <x:col min="6" max="6" width="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Portfolio controls and conserved resources</x:v>
      </x:c>
      <x:c r="D2" s="2"/>
      <x:c r="E2" s="2"/>
      <x:c r="F2" s="2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Control</x:v>
      </x:c>
      <x:c r="D4" s="24" t="str">
        <x:v>Value</x:v>
      </x:c>
      <x:c r="E4" s="13" t="str">
        <x:v>Basis / boundary</x:v>
      </x:c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v>Mission-system technology envelope (USD B)</x:v>
      </x:c>
      <x:c r="D5" s="45" t="n">
        <x:v>550</x:v>
      </x:c>
      <x:c r="E5" s="39" t="str">
        <x:v>Pass 166 reference mission share inside the USD 1.00T technology and proving envelope</x:v>
      </x:c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v>Minimum allocation per mission system (USD B)</x:v>
      </x:c>
      <x:c r="D6" s="45" t="n">
        <x:v>30</x:v>
      </x:c>
      <x:c r="E6" s="39" t="str">
        <x:v>Supports unlike mechanisms, public interfaces and representative proving in every chain</x:v>
      </x:c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v>Demand weight</x:v>
      </x:c>
      <x:c r="D7" s="46" t="n">
        <x:v>0.3</x:v>
      </x:c>
      <x:c r="E7" s="39" t="str">
        <x:v>Share of 2,420 concurrent formation commitments</x:v>
      </x:c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v>Inventory weight</x:v>
      </x:c>
      <x:c r="D8" s="46" t="n">
        <x:v>0.25</x:v>
      </x:c>
      <x:c r="E8" s="39" t="str">
        <x:v>Share of 5,251 N−1 owned formation equivalents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v>Formation-capital weight</x:v>
      </x:c>
      <x:c r="D9" s="46" t="n">
        <x:v>0.2</x:v>
      </x:c>
      <x:c r="E9" s="39" t="str">
        <x:v>Share of USD 9.41T selected formation capital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v>Direct-workforce weight</x:v>
      </x:c>
      <x:c r="D10" s="46" t="n">
        <x:v>0.15</x:v>
      </x:c>
      <x:c r="E10" s="39" t="str">
        <x:v>Share of 11.5M direct affiliated billets</x:v>
      </x:c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39" t="str">
        <x:v>Unclosed-demand weight</x:v>
      </x:c>
      <x:c r="D11" s="46" t="n">
        <x:v>0.1</x:v>
      </x:c>
      <x:c r="E11" s="39" t="str">
        <x:v>Demand weighted by one minus inherited contract completeness</x:v>
      </x:c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 t="str">
        <x:v>Selected topology</x:v>
      </x:c>
      <x:c r="D12" s="39" t="str">
        <x:v>T5</x:v>
      </x:c>
      <x:c r="E12" s="39" t="str">
        <x:v>Only candidate passing every noncompensable gate</x:v>
      </x:c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 t="str">
        <x:v>Cross-portfolio quantity credit</x:v>
      </x:c>
      <x:c r="D13" s="39" t="n">
        <x:v>0</x:v>
      </x:c>
      <x:c r="E13" s="39" t="str">
        <x:v>No serialized reservation or technical substitution evidence is introduced</x:v>
      </x:c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 t="str">
        <x:v>Open-item running total</x:v>
      </x:c>
      <x:c r="D14" s="39" t="n">
        <x:v>0</x:v>
      </x:c>
      <x:c r="E14" s="39" t="str">
        <x:v>Mission-system portfolio topology closes in this pass</x:v>
      </x:c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 t="str">
        <x:v>Exterior rendering admission</x:v>
      </x:c>
      <x:c r="D15" s="39" t="n">
        <x:v>0</x:v>
      </x:c>
      <x:c r="E15" s="39" t="str">
        <x:v>Technology problem fields do not authorize form</x:v>
      </x:c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 ht="30" customHeight="1">
      <x:c r="A17" s="1"/>
      <x:c r="B17" s="1"/>
      <x:c r="C17" s="12" t="str">
        <x:v>Reconciliation</x:v>
      </x:c>
      <x:c r="D17" s="13" t="str">
        <x:v>Value</x:v>
      </x:c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 t="str">
        <x:v>Pressure weights</x:v>
      </x:c>
      <x:c r="D18" s="47" t="n">
        <x:f>SUM(D7:D11)</x:f>
        <x:v>1</x:v>
      </x:c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 t="str">
        <x:v>Minimum allocation total (USD B)</x:v>
      </x:c>
      <x:c r="D19" s="42" t="n">
        <x:f>D6*6</x:f>
        <x:v>180</x:v>
      </x:c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 t="str">
        <x:v>Pressure-allocated remainder (USD B)</x:v>
      </x:c>
      <x:c r="D20" s="42" t="n">
        <x:f>D5-D19</x:f>
        <x:v>370</x:v>
      </x:c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 t="str">
        <x:v>Reconstructed envelope (USD B)</x:v>
      </x:c>
      <x:c r="D21" s="42" t="n">
        <x:f>D19+D20</x:f>
        <x:v>550</x:v>
      </x:c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9" hidden="0" customWidth="1"/>
    <x:col min="4" max="4" width="38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22" hidden="0" customWidth="1"/>
    <x:col min="11" max="11" width="24" hidden="0" customWidth="1"/>
    <x:col min="12" max="12" width="20" hidden="0" customWidth="1"/>
    <x:col min="13" max="13" width="20" hidden="0" customWidth="1"/>
    <x:col min="14" max="14" width="14" hidden="0" customWidth="1"/>
    <x:col min="15" max="15" width="14" hidden="0" customWidth="1"/>
    <x:col min="16" max="16" width="7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Rival portfolio topologies and noncompensable gates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8" t="str">
        <x:v>A candidate is rejected by any failed gate; scores do not compensate for broken authority or service chains.</x:v>
      </x:c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ID</x:v>
      </x:c>
      <x:c r="D4" s="24" t="str">
        <x:v>Candidate topology</x:v>
      </x:c>
      <x:c r="E4" s="24" t="str">
        <x:v>Complete-chain integrator</x:v>
      </x:c>
      <x:c r="F4" s="24" t="str">
        <x:v>Unique family assignment</x:v>
      </x:c>
      <x:c r="G4" s="24" t="str">
        <x:v>Nine effect ledgers</x:v>
      </x:c>
      <x:c r="H4" s="24" t="str">
        <x:v>Service / mission separation</x:v>
      </x:c>
      <x:c r="I4" s="24" t="str">
        <x:v>Ten-campaign portability</x:v>
      </x:c>
      <x:c r="J4" s="24" t="str">
        <x:v>Platform-neutral competition</x:v>
      </x:c>
      <x:c r="K4" s="24" t="str">
        <x:v>Sustain, transfer and regeneration</x:v>
      </x:c>
      <x:c r="L4" s="24" t="str">
        <x:v>Common-capacity conservation</x:v>
      </x:c>
      <x:c r="M4" s="24" t="str">
        <x:v>Invited-use sovereignty</x:v>
      </x:c>
      <x:c r="N4" s="24" t="str">
        <x:v>Gates passed</x:v>
      </x:c>
      <x:c r="O4" s="24" t="str">
        <x:v>Decision</x:v>
      </x:c>
      <x:c r="P4" s="13" t="str">
        <x:v>Decisive failure</x:v>
      </x:c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v>T1</x:v>
      </x:c>
      <x:c r="D5" s="39" t="str">
        <x:v>Nine effect-mirrored program offices</x:v>
      </x:c>
      <x:c r="E5" s="39" t="str">
        <x:v>FAIL</x:v>
      </x:c>
      <x:c r="F5" s="39" t="str">
        <x:v>PASS</x:v>
      </x:c>
      <x:c r="G5" s="39" t="str">
        <x:v>PASS</x:v>
      </x:c>
      <x:c r="H5" s="39" t="str">
        <x:v>PASS</x:v>
      </x:c>
      <x:c r="I5" s="39" t="str">
        <x:v>PASS</x:v>
      </x:c>
      <x:c r="J5" s="39" t="str">
        <x:v>PASS</x:v>
      </x:c>
      <x:c r="K5" s="39" t="str">
        <x:v>FAIL</x:v>
      </x:c>
      <x:c r="L5" s="39" t="str">
        <x:v>PASS</x:v>
      </x:c>
      <x:c r="M5" s="39" t="str">
        <x:v>PASS</x:v>
      </x:c>
      <x:c r="N5" s="39" t="n">
        <x:f>COUNTIFS(E5:M5,"PASS")</x:f>
        <x:v>7</x:v>
      </x:c>
      <x:c r="O5" s="39" t="str">
        <x:f>IF(N5=9,"SELECT","REJECT")</x:f>
        <x:v>REJECT</x:v>
      </x:c>
      <x:c r="P5" s="39" t="str">
        <x:v>Effect ownership fragments operational chains and leaves regeneration as an interface.</x:v>
      </x:c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v>T2</x:v>
      </x:c>
      <x:c r="D6" s="39" t="str">
        <x:v>Seven service plus Joint portfolios</x:v>
      </x:c>
      <x:c r="E6" s="39" t="str">
        <x:v>FAIL</x:v>
      </x:c>
      <x:c r="F6" s="39" t="str">
        <x:v>PASS</x:v>
      </x:c>
      <x:c r="G6" s="39" t="str">
        <x:v>FAIL</x:v>
      </x:c>
      <x:c r="H6" s="39" t="str">
        <x:v>FAIL</x:v>
      </x:c>
      <x:c r="I6" s="39" t="str">
        <x:v>PASS</x:v>
      </x:c>
      <x:c r="J6" s="39" t="str">
        <x:v>PASS</x:v>
      </x:c>
      <x:c r="K6" s="39" t="str">
        <x:v>PASS</x:v>
      </x:c>
      <x:c r="L6" s="39" t="str">
        <x:v>PASS</x:v>
      </x:c>
      <x:c r="M6" s="39" t="str">
        <x:v>PASS</x:v>
      </x:c>
      <x:c r="N6" s="39" t="n">
        <x:f>COUNTIFS(E6:M6,"PASS")</x:f>
        <x:v>6</x:v>
      </x:c>
      <x:c r="O6" s="39" t="str">
        <x:f>IF(N6=9,"SELECT","REJECT")</x:f>
        <x:v>REJECT</x:v>
      </x:c>
      <x:c r="P6" s="39" t="str">
        <x:v>Lifecycle owners can optimize to their boundary without one accountable public outcome.</x:v>
      </x:c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v>T3</x:v>
      </x:c>
      <x:c r="D7" s="39" t="str">
        <x:v>Ten campaign-specific portfolios</x:v>
      </x:c>
      <x:c r="E7" s="39" t="str">
        <x:v>PASS</x:v>
      </x:c>
      <x:c r="F7" s="39" t="str">
        <x:v>FAIL</x:v>
      </x:c>
      <x:c r="G7" s="39" t="str">
        <x:v>PASS</x:v>
      </x:c>
      <x:c r="H7" s="39" t="str">
        <x:v>PASS</x:v>
      </x:c>
      <x:c r="I7" s="39" t="str">
        <x:v>FAIL</x:v>
      </x:c>
      <x:c r="J7" s="39" t="str">
        <x:v>PASS</x:v>
      </x:c>
      <x:c r="K7" s="39" t="str">
        <x:v>PASS</x:v>
      </x:c>
      <x:c r="L7" s="39" t="str">
        <x:v>FAIL</x:v>
      </x:c>
      <x:c r="M7" s="39" t="str">
        <x:v>FAIL</x:v>
      </x:c>
      <x:c r="N7" s="39" t="n">
        <x:f>COUNTIFS(E7:M7,"PASS")</x:f>
        <x:v>5</x:v>
      </x:c>
      <x:c r="O7" s="39" t="str">
        <x:f>IF(N7=9,"SELECT","REJECT")</x:f>
        <x:v>REJECT</x:v>
      </x:c>
      <x:c r="P7" s="39" t="str">
        <x:v>Campaign offices duplicate families, common capacity and domestic/international variants.</x:v>
      </x:c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v>T4</x:v>
      </x:c>
      <x:c r="D8" s="39" t="str">
        <x:v>Four platform or physics ecosystems</x:v>
      </x:c>
      <x:c r="E8" s="39" t="str">
        <x:v>FAIL</x:v>
      </x:c>
      <x:c r="F8" s="39" t="str">
        <x:v>FAIL</x:v>
      </x:c>
      <x:c r="G8" s="39" t="str">
        <x:v>FAIL</x:v>
      </x:c>
      <x:c r="H8" s="39" t="str">
        <x:v>PASS</x:v>
      </x:c>
      <x:c r="I8" s="39" t="str">
        <x:v>PASS</x:v>
      </x:c>
      <x:c r="J8" s="39" t="str">
        <x:v>FAIL</x:v>
      </x:c>
      <x:c r="K8" s="39" t="str">
        <x:v>FAIL</x:v>
      </x:c>
      <x:c r="L8" s="39" t="str">
        <x:v>PASS</x:v>
      </x:c>
      <x:c r="M8" s="39" t="str">
        <x:v>FAIL</x:v>
      </x:c>
      <x:c r="N8" s="39" t="n">
        <x:f>COUNTIFS(E8:M8,"PASS")</x:f>
        <x:v>3</x:v>
      </x:c>
      <x:c r="O8" s="39" t="str">
        <x:f>IF(N8=9,"SELECT","REJECT")</x:f>
        <x:v>REJECT</x:v>
      </x:c>
      <x:c r="P8" s="39" t="str">
        <x:v>Air, sea, ground and fixed assets do not constitute complete civilian service.</x:v>
      </x:c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v>T5</x:v>
      </x:c>
      <x:c r="D9" s="39" t="str">
        <x:v>Six mission chains plus nine effect ledgers</x:v>
      </x:c>
      <x:c r="E9" s="39" t="str">
        <x:v>PASS</x:v>
      </x:c>
      <x:c r="F9" s="39" t="str">
        <x:v>PASS</x:v>
      </x:c>
      <x:c r="G9" s="39" t="str">
        <x:v>PASS</x:v>
      </x:c>
      <x:c r="H9" s="39" t="str">
        <x:v>PASS</x:v>
      </x:c>
      <x:c r="I9" s="39" t="str">
        <x:v>PASS</x:v>
      </x:c>
      <x:c r="J9" s="39" t="str">
        <x:v>PASS</x:v>
      </x:c>
      <x:c r="K9" s="39" t="str">
        <x:v>PASS</x:v>
      </x:c>
      <x:c r="L9" s="39" t="str">
        <x:v>PASS</x:v>
      </x:c>
      <x:c r="M9" s="39" t="str">
        <x:v>PASS</x:v>
      </x:c>
      <x:c r="N9" s="39" t="n">
        <x:f>COUNTIFS(E9:M9,"PASS")</x:f>
        <x:v>9</x:v>
      </x:c>
      <x:c r="O9" s="39" t="str">
        <x:f>IF(N9=9,"SELECT","REJECT")</x:f>
        <x:v>SELECT</x:v>
      </x:c>
      <x:c r="P9" s="39" t="str">
        <x:v>Stable chains integrate families while independent effect ledgers preserve public acceptance.</x:v>
      </x:c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conditionalFormatting sqref="E5:M9">
    <x:cfRule type="containsText" dxfId="0" priority="1" operator="containsText" text="FAIL"/>
  </x:conditionalFormatting>
  <x:conditionalFormatting sqref="O5:O9">
    <x:cfRule type="containsText" dxfId="1" priority="2" operator="containsText" text="SELEC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35" hidden="0" customWidth="1"/>
    <x:col min="5" max="5" width="74" hidden="0" customWidth="1"/>
    <x:col min="6" max="6" width="12" hidden="0" customWidth="1"/>
    <x:col min="7" max="7" width="18" hidden="0" customWidth="1"/>
    <x:col min="8" max="8" width="15" hidden="0" customWidth="1"/>
    <x:col min="9" max="9" width="18" hidden="0" customWidth="1"/>
    <x:col min="10" max="10" width="25" hidden="0" customWidth="1"/>
    <x:col min="11" max="11" width="21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  <x:col min="16" max="16" width="16" hidden="0" customWidth="1"/>
    <x:col min="17" max="17" width="13" hidden="0" customWidth="1"/>
    <x:col min="18" max="18" width="18" hidden="0" customWidth="1"/>
    <x:col min="19" max="19" width="27" hidden="0" customWidth="1"/>
    <x:col min="20" max="20" width="21" hidden="0" customWidth="1"/>
    <x:col min="21" max="21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Six joint mission-system portfolios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ID</x:v>
      </x:c>
      <x:c r="D4" s="24" t="str">
        <x:v>Mission chain</x:v>
      </x:c>
      <x:c r="E4" s="24" t="str">
        <x:v>Constitutional obligation</x:v>
      </x:c>
      <x:c r="F4" s="24" t="str">
        <x:v>Families</x:v>
      </x:c>
      <x:c r="G4" s="24" t="str">
        <x:v>Concurrent demand</x:v>
      </x:c>
      <x:c r="H4" s="24" t="str">
        <x:v>N−1 inventory</x:v>
      </x:c>
      <x:c r="I4" s="24" t="str">
        <x:v>Direct billets</x:v>
      </x:c>
      <x:c r="J4" s="24" t="str">
        <x:v>Formation capital (USD B)</x:v>
      </x:c>
      <x:c r="K4" s="24" t="str">
        <x:v>Weighted completeness</x:v>
      </x:c>
      <x:c r="L4" s="24" t="str">
        <x:v>Unclosed demand</x:v>
      </x:c>
      <x:c r="M4" s="24" t="str">
        <x:v>Demand share</x:v>
      </x:c>
      <x:c r="N4" s="24" t="str">
        <x:v>Inventory share</x:v>
      </x:c>
      <x:c r="O4" s="24" t="str">
        <x:v>Capital share</x:v>
      </x:c>
      <x:c r="P4" s="24" t="str">
        <x:v>Workforce share</x:v>
      </x:c>
      <x:c r="Q4" s="24" t="str">
        <x:v>Gap share</x:v>
      </x:c>
      <x:c r="R4" s="24" t="str">
        <x:v>Mission pressure</x:v>
      </x:c>
      <x:c r="S4" s="24" t="str">
        <x:v>Technology allocation (USD B)</x:v>
      </x:c>
      <x:c r="T4" s="24" t="str">
        <x:v>Technology programs</x:v>
      </x:c>
      <x:c r="U4" s="13" t="str">
        <x:v>Status</x:v>
      </x:c>
      <x:c r="V4" s="39"/>
      <x:c r="W4" s="39"/>
      <x:c r="X4" s="39"/>
      <x:c r="Y4" s="39"/>
      <x:c r="Z4" s="39"/>
    </x:row>
    <x:row r="5">
      <x:c r="A5" s="1"/>
      <x:c r="B5" s="1"/>
      <x:c r="C5" s="39" t="str">
        <x:v>MS-ET</x:v>
      </x:c>
      <x:c r="D5" s="39" t="str">
        <x:v>Enter a broken theater</x:v>
      </x:c>
      <x:c r="E5" s="39" t="str">
        <x:v>Make complete formations operational through damaged ports, airfields, roads, nodes and bases.</x:v>
      </x:c>
      <x:c r="F5" s="39" t="n">
        <x:f>COUNTIFS('Family Allocation'!$E$5:$E$52,$C5)</x:f>
        <x:v>9</x:v>
      </x:c>
      <x:c r="G5" s="39" t="n">
        <x:f>SUMIFS('Family Allocation'!$J$5:$J$52,'Family Allocation'!$E$5:$E$52,$C5)</x:f>
        <x:v>369</x:v>
      </x:c>
      <x:c r="H5" s="39" t="n">
        <x:f>SUMIFS('Family Allocation'!$K$5:$K$52,'Family Allocation'!$E$5:$E$52,$C5)</x:f>
        <x:v>827</x:v>
      </x:c>
      <x:c r="I5" s="49" t="n">
        <x:f>SUMIFS('Family Allocation'!$L$5:$L$52,'Family Allocation'!$E$5:$E$52,$C5)</x:f>
        <x:v>1012600</x:v>
      </x:c>
      <x:c r="J5" s="42" t="n">
        <x:f>SUMIFS('Family Allocation'!$M$5:$M$52,'Family Allocation'!$E$5:$E$52,$C5)</x:f>
        <x:v>2054.5</x:v>
      </x:c>
      <x:c r="K5" s="47" t="n">
        <x:f>1-L5/G5</x:f>
        <x:v>0.4531165311653117</x:v>
      </x:c>
      <x:c r="L5" s="49" t="n">
        <x:f>SUMIFS('Family Allocation'!$N$5:$N$52,'Family Allocation'!$E$5:$E$52,$C5)</x:f>
        <x:v>201.79999999999998</x:v>
      </x:c>
      <x:c r="M5" s="47" t="n">
        <x:f>G5/$G$11</x:f>
        <x:v>0.1524793388429752</x:v>
      </x:c>
      <x:c r="N5" s="47" t="n">
        <x:f>H5/$H$11</x:f>
        <x:v>0.15749381070272328</x:v>
      </x:c>
      <x:c r="O5" s="47" t="n">
        <x:f>J5/$J$11</x:f>
        <x:v>0.21831856977693145</x:v>
      </x:c>
      <x:c r="P5" s="47" t="n">
        <x:f>I5/$I$11</x:f>
        <x:v>0.08831933606466796</x:v>
      </x:c>
      <x:c r="Q5" s="47" t="n">
        <x:f>L5/$L$11</x:f>
        <x:v>0.1749382341467643</x:v>
      </x:c>
      <x:c r="R5" s="47" t="n">
        <x:f>M5*Controls!$D$7+N5*Controls!$D$8+O5*Controls!$D$9+P5*Controls!$D$10+Q5*Controls!$D$11</x:f>
        <x:v>0.1595226921083363</x:v>
      </x:c>
      <x:c r="S5" s="42" t="n">
        <x:f>Controls!$D$6+(Controls!$D$5-Controls!$D$6*6)*R5</x:f>
        <x:v>89.02339608008444</x:v>
      </x:c>
      <x:c r="T5" s="39" t="n">
        <x:f>COUNTIFS('Technology Portfolio'!$D$5:$D$28,$C5)</x:f>
        <x:v>4</x:v>
      </x:c>
      <x:c r="U5" s="39" t="str">
        <x:f>IF(AND(F5&gt;0,G5&gt;0,H5&gt;0,T5=4),"PASS","FAIL")</x:f>
        <x:v>PASS</x:v>
      </x:c>
      <x:c r="V5" s="39"/>
      <x:c r="W5" s="39"/>
      <x:c r="X5" s="39"/>
      <x:c r="Y5" s="39"/>
      <x:c r="Z5" s="39"/>
    </x:row>
    <x:row r="6">
      <x:c r="A6" s="1"/>
      <x:c r="B6" s="1"/>
      <x:c r="C6" s="39" t="str">
        <x:v>MS-CT</x:v>
      </x:c>
      <x:c r="D6" s="39" t="str">
        <x:v>Reach occupied civil terrain</x:v>
      </x:c>
      <x:c r="E6" s="39" t="str">
        <x:v>Find, communicate with and lawfully reach people and essential institutions below the logistics-hub scale.</x:v>
      </x:c>
      <x:c r="F6" s="39" t="n">
        <x:f>COUNTIFS('Family Allocation'!$E$5:$E$52,$C6)</x:f>
        <x:v>6</x:v>
      </x:c>
      <x:c r="G6" s="39" t="n">
        <x:f>SUMIFS('Family Allocation'!$J$5:$J$52,'Family Allocation'!$E$5:$E$52,$C6)</x:f>
        <x:v>343</x:v>
      </x:c>
      <x:c r="H6" s="39" t="n">
        <x:f>SUMIFS('Family Allocation'!$K$5:$K$52,'Family Allocation'!$E$5:$E$52,$C6)</x:f>
        <x:v>724</x:v>
      </x:c>
      <x:c r="I6" s="49" t="n">
        <x:f>SUMIFS('Family Allocation'!$L$5:$L$52,'Family Allocation'!$E$5:$E$52,$C6)</x:f>
        <x:v>3380998</x:v>
      </x:c>
      <x:c r="J6" s="42" t="n">
        <x:f>SUMIFS('Family Allocation'!$M$5:$M$52,'Family Allocation'!$E$5:$E$52,$C6)</x:f>
        <x:v>1505.46</x:v>
      </x:c>
      <x:c r="K6" s="47" t="n">
        <x:f>1-L6/G6</x:f>
        <x:v>0.5290087463556852</x:v>
      </x:c>
      <x:c r="L6" s="49" t="n">
        <x:f>SUMIFS('Family Allocation'!$N$5:$N$52,'Family Allocation'!$E$5:$E$52,$C6)</x:f>
        <x:v>161.55</x:v>
      </x:c>
      <x:c r="M6" s="47" t="n">
        <x:f>G6/$G$11</x:f>
        <x:v>0.14173553719008264</x:v>
      </x:c>
      <x:c r="N6" s="47" t="n">
        <x:f>H6/$H$11</x:f>
        <x:v>0.1378784993334603</x:v>
      </x:c>
      <x:c r="O6" s="47" t="n">
        <x:f>J6/$J$11</x:f>
        <x:v>0.15997560187704027</x:v>
      </x:c>
      <x:c r="P6" s="47" t="n">
        <x:f>I6/$I$11</x:f>
        <x:v>0.2948918611455365</x:v>
      </x:c>
      <x:c r="Q6" s="47" t="n">
        <x:f>L6/$L$11</x:f>
        <x:v>0.14004594512591564</x:v>
      </x:c>
      <x:c r="R6" s="47" t="n">
        <x:f>M6*Controls!$D$7+N6*Controls!$D$8+O6*Controls!$D$9+P6*Controls!$D$10+Q6*Controls!$D$11</x:f>
        <x:v>0.16722378005021996</x:v>
      </x:c>
      <x:c r="S6" s="42" t="n">
        <x:f>Controls!$D$6+(Controls!$D$5-Controls!$D$6*6)*R6</x:f>
        <x:v>91.87279861858138</x:v>
      </x:c>
      <x:c r="T6" s="39" t="n">
        <x:f>COUNTIFS('Technology Portfolio'!$D$5:$D$28,$C6)</x:f>
        <x:v>4</x:v>
      </x:c>
      <x:c r="U6" s="39" t="str">
        <x:f>IF(AND(F6&gt;0,G6&gt;0,H6&gt;0,T6=4),"PASS","FAIL")</x:f>
        <x:v>PASS</x:v>
      </x:c>
      <x:c r="V6" s="39"/>
      <x:c r="W6" s="39"/>
      <x:c r="X6" s="39"/>
      <x:c r="Y6" s="39"/>
      <x:c r="Z6" s="39"/>
    </x:row>
    <x:row r="7">
      <x:c r="A7" s="1"/>
      <x:c r="B7" s="1"/>
      <x:c r="C7" s="39" t="str">
        <x:v>MS-HC</x:v>
      </x:c>
      <x:c r="D7" s="39" t="str">
        <x:v>Control an active hazard</x:v>
      </x:c>
      <x:c r="E7" s="39" t="str">
        <x:v>Reduce a continuing damaging process and govern its residuals before breach, escape or cascade.</x:v>
      </x:c>
      <x:c r="F7" s="39" t="n">
        <x:f>COUNTIFS('Family Allocation'!$E$5:$E$52,$C7)</x:f>
        <x:v>4</x:v>
      </x:c>
      <x:c r="G7" s="39" t="n">
        <x:f>SUMIFS('Family Allocation'!$J$5:$J$52,'Family Allocation'!$E$5:$E$52,$C7)</x:f>
        <x:v>170</x:v>
      </x:c>
      <x:c r="H7" s="39" t="n">
        <x:f>SUMIFS('Family Allocation'!$K$5:$K$52,'Family Allocation'!$E$5:$E$52,$C7)</x:f>
        <x:v>370</x:v>
      </x:c>
      <x:c r="I7" s="49" t="n">
        <x:f>SUMIFS('Family Allocation'!$L$5:$L$52,'Family Allocation'!$E$5:$E$52,$C7)</x:f>
        <x:v>460870</x:v>
      </x:c>
      <x:c r="J7" s="42" t="n">
        <x:f>SUMIFS('Family Allocation'!$M$5:$M$52,'Family Allocation'!$E$5:$E$52,$C7)</x:f>
        <x:v>767.4</x:v>
      </x:c>
      <x:c r="K7" s="47" t="n">
        <x:f>1-L7/G7</x:f>
        <x:v>0.6208823529411764</x:v>
      </x:c>
      <x:c r="L7" s="49" t="n">
        <x:f>SUMIFS('Family Allocation'!$N$5:$N$52,'Family Allocation'!$E$5:$E$52,$C7)</x:f>
        <x:v>64.45</x:v>
      </x:c>
      <x:c r="M7" s="47" t="n">
        <x:f>G7/$G$11</x:f>
        <x:v>0.07024793388429752</x:v>
      </x:c>
      <x:c r="N7" s="47" t="n">
        <x:f>H7/$H$11</x:f>
        <x:v>0.07046276899638164</x:v>
      </x:c>
      <x:c r="O7" s="47" t="n">
        <x:f>J7/$J$11</x:f>
        <x:v>0.08154668797606093</x:v>
      </x:c>
      <x:c r="P7" s="47" t="n">
        <x:f>I7/$I$11</x:f>
        <x:v>0.04019724709868015</x:v>
      </x:c>
      <x:c r="Q7" s="47" t="n">
        <x:f>L7/$L$11</x:f>
        <x:v>0.05587100689176888</x:v>
      </x:c>
      <x:c r="R7" s="47" t="n">
        <x:f>M7*Controls!$D$7+N7*Controls!$D$8+O7*Controls!$D$9+P7*Controls!$D$10+Q7*Controls!$D$11</x:f>
        <x:v>0.06661609776357576</x:v>
      </x:c>
      <x:c r="S7" s="42" t="n">
        <x:f>Controls!$D$6+(Controls!$D$5-Controls!$D$6*6)*R7</x:f>
        <x:v>54.64795617252303</x:v>
      </x:c>
      <x:c r="T7" s="39" t="n">
        <x:f>COUNTIFS('Technology Portfolio'!$D$5:$D$28,$C7)</x:f>
        <x:v>4</x:v>
      </x:c>
      <x:c r="U7" s="39" t="str">
        <x:f>IF(AND(F7&gt;0,G7&gt;0,H7&gt;0,T7=4),"PASS","FAIL")</x:f>
        <x:v>PASS</x:v>
      </x:c>
      <x:c r="V7" s="39"/>
      <x:c r="W7" s="39"/>
      <x:c r="X7" s="39"/>
      <x:c r="Y7" s="39"/>
      <x:c r="Z7" s="39"/>
    </x:row>
    <x:row r="8">
      <x:c r="A8" s="1"/>
      <x:c r="B8" s="1"/>
      <x:c r="C8" s="39" t="str">
        <x:v>MS-LF</x:v>
      </x:c>
      <x:c r="D8" s="39" t="str">
        <x:v>Produce and distribute lifelines</x:v>
      </x:c>
      <x:c r="E8" s="39" t="str">
        <x:v>Deliver safe water, energy, thermal and network service from source through point of use and residual custody.</x:v>
      </x:c>
      <x:c r="F8" s="39" t="n">
        <x:f>COUNTIFS('Family Allocation'!$E$5:$E$52,$C8)</x:f>
        <x:v>5</x:v>
      </x:c>
      <x:c r="G8" s="39" t="n">
        <x:f>SUMIFS('Family Allocation'!$J$5:$J$52,'Family Allocation'!$E$5:$E$52,$C8)</x:f>
        <x:v>256</x:v>
      </x:c>
      <x:c r="H8" s="39" t="n">
        <x:f>SUMIFS('Family Allocation'!$K$5:$K$52,'Family Allocation'!$E$5:$E$52,$C8)</x:f>
        <x:v>554</x:v>
      </x:c>
      <x:c r="I8" s="49" t="n">
        <x:f>SUMIFS('Family Allocation'!$L$5:$L$52,'Family Allocation'!$E$5:$E$52,$C8)</x:f>
        <x:v>2338110</x:v>
      </x:c>
      <x:c r="J8" s="42" t="n">
        <x:f>SUMIFS('Family Allocation'!$M$5:$M$52,'Family Allocation'!$E$5:$E$52,$C8)</x:f>
        <x:v>804</x:v>
      </x:c>
      <x:c r="K8" s="47" t="n">
        <x:f>1-L8/G8</x:f>
        <x:v>0.6576171875</x:v>
      </x:c>
      <x:c r="L8" s="49" t="n">
        <x:f>SUMIFS('Family Allocation'!$N$5:$N$52,'Family Allocation'!$E$5:$E$52,$C8)</x:f>
        <x:v>87.65</x:v>
      </x:c>
      <x:c r="M8" s="47" t="n">
        <x:f>G8/$G$11</x:f>
        <x:v>0.10578512396694215</x:v>
      </x:c>
      <x:c r="N8" s="47" t="n">
        <x:f>H8/$H$11</x:f>
        <x:v>0.10550371357836602</x:v>
      </x:c>
      <x:c r="O8" s="47" t="n">
        <x:f>J8/$J$11</x:f>
        <x:v>0.08543593579978237</x:v>
      </x:c>
      <x:c r="P8" s="47" t="n">
        <x:f>I8/$I$11</x:f>
        <x:v>0.2039307948312866</x:v>
      </x:c>
      <x:c r="Q8" s="47" t="n">
        <x:f>L8/$L$11</x:f>
        <x:v>0.07598283559446924</x:v>
      </x:c>
      <x:c r="R8" s="47" t="n">
        <x:f>M8*Controls!$D$7+N8*Controls!$D$8+O8*Controls!$D$9+P8*Controls!$D$10+Q8*Controls!$D$11</x:f>
        <x:v>0.11338655552877053</x:v>
      </x:c>
      <x:c r="S8" s="42" t="n">
        <x:f>Controls!$D$6+(Controls!$D$5-Controls!$D$6*6)*R8</x:f>
        <x:v>71.95302554564509</x:v>
      </x:c>
      <x:c r="T8" s="39" t="n">
        <x:f>COUNTIFS('Technology Portfolio'!$D$5:$D$28,$C8)</x:f>
        <x:v>4</x:v>
      </x:c>
      <x:c r="U8" s="39" t="str">
        <x:f>IF(AND(F8&gt;0,G8&gt;0,H8&gt;0,T8=4),"PASS","FAIL")</x:f>
        <x:v>PASS</x:v>
      </x:c>
      <x:c r="V8" s="39"/>
      <x:c r="W8" s="39"/>
      <x:c r="X8" s="39"/>
      <x:c r="Y8" s="39"/>
      <x:c r="Z8" s="39"/>
    </x:row>
    <x:row r="9">
      <x:c r="A9" s="1"/>
      <x:c r="B9" s="1"/>
      <x:c r="C9" s="39" t="str">
        <x:v>MS-HU</x:v>
      </x:c>
      <x:c r="D9" s="39" t="str">
        <x:v>Preserve care and human continuity</x:v>
      </x:c>
      <x:c r="E9" s="39" t="str">
        <x:v>Maintain clinical pathways, household integrity, shelter, essential goods and accessible movement through transition.</x:v>
      </x:c>
      <x:c r="F9" s="39" t="n">
        <x:f>COUNTIFS('Family Allocation'!$E$5:$E$52,$C9)</x:f>
        <x:v>15</x:v>
      </x:c>
      <x:c r="G9" s="39" t="n">
        <x:f>SUMIFS('Family Allocation'!$J$5:$J$52,'Family Allocation'!$E$5:$E$52,$C9)</x:f>
        <x:v>879</x:v>
      </x:c>
      <x:c r="H9" s="39" t="n">
        <x:f>SUMIFS('Family Allocation'!$K$5:$K$52,'Family Allocation'!$E$5:$E$52,$C9)</x:f>
        <x:v>1944</x:v>
      </x:c>
      <x:c r="I9" s="49" t="n">
        <x:f>SUMIFS('Family Allocation'!$L$5:$L$52,'Family Allocation'!$E$5:$E$52,$C9)</x:f>
        <x:v>3251860</x:v>
      </x:c>
      <x:c r="J9" s="42" t="n">
        <x:f>SUMIFS('Family Allocation'!$M$5:$M$52,'Family Allocation'!$E$5:$E$52,$C9)</x:f>
        <x:v>2482.8</x:v>
      </x:c>
      <x:c r="K9" s="47" t="n">
        <x:f>1-L9/G9</x:f>
        <x:v>0.5291808873720136</x:v>
      </x:c>
      <x:c r="L9" s="49" t="n">
        <x:f>SUMIFS('Family Allocation'!$N$5:$N$52,'Family Allocation'!$E$5:$E$52,$C9)</x:f>
        <x:v>413.85</x:v>
      </x:c>
      <x:c r="M9" s="47" t="n">
        <x:f>G9/$G$11</x:f>
        <x:v>0.3632231404958678</x:v>
      </x:c>
      <x:c r="N9" s="47" t="n">
        <x:f>H9/$H$11</x:f>
        <x:v>0.37021519710531325</x:v>
      </x:c>
      <x:c r="O9" s="47" t="n">
        <x:f>J9/$J$11</x:f>
        <x:v>0.26383127040261156</x:v>
      </x:c>
      <x:c r="P9" s="47" t="n">
        <x:f>I9/$I$11</x:f>
        <x:v>0.283628398355966</x:v>
      </x:c>
      <x:c r="Q9" s="47" t="n">
        <x:f>L9/$L$11</x:f>
        <x:v>0.358762082267782</x:v>
      </x:c>
      <x:c r="R9" s="47" t="n">
        <x:f>M9*Controls!$D$7+N9*Controls!$D$8+O9*Controls!$D$9+P9*Controls!$D$10+Q9*Controls!$D$11</x:f>
        <x:v>0.33270746348578406</x:v>
      </x:c>
      <x:c r="S9" s="42" t="n">
        <x:f>Controls!$D$6+(Controls!$D$5-Controls!$D$6*6)*R9</x:f>
        <x:v>153.1017614897401</x:v>
      </x:c>
      <x:c r="T9" s="39" t="n">
        <x:f>COUNTIFS('Technology Portfolio'!$D$5:$D$28,$C9)</x:f>
        <x:v>4</x:v>
      </x:c>
      <x:c r="U9" s="39" t="str">
        <x:f>IF(AND(F9&gt;0,G9&gt;0,H9&gt;0,T9=4),"PASS","FAIL")</x:f>
        <x:v>PASS</x:v>
      </x:c>
      <x:c r="V9" s="39"/>
      <x:c r="W9" s="39"/>
      <x:c r="X9" s="39"/>
      <x:c r="Y9" s="39"/>
      <x:c r="Z9" s="39"/>
    </x:row>
    <x:row r="10">
      <x:c r="A10" s="1"/>
      <x:c r="B10" s="1"/>
      <x:c r="C10" s="39" t="str">
        <x:v>MS-RT</x:v>
      </x:c>
      <x:c r="D10" s="39" t="str">
        <x:v>Sustain, transfer and regenerate</x:v>
      </x:c>
      <x:c r="E10" s="39" t="str">
        <x:v>Keep campaigns supplied, transfer service without relapse and restore formations to certified readiness.</x:v>
      </x:c>
      <x:c r="F10" s="39" t="n">
        <x:f>COUNTIFS('Family Allocation'!$E$5:$E$52,$C10)</x:f>
        <x:v>9</x:v>
      </x:c>
      <x:c r="G10" s="39" t="n">
        <x:f>SUMIFS('Family Allocation'!$J$5:$J$52,'Family Allocation'!$E$5:$E$52,$C10)</x:f>
        <x:v>403</x:v>
      </x:c>
      <x:c r="H10" s="39" t="n">
        <x:f>SUMIFS('Family Allocation'!$K$5:$K$52,'Family Allocation'!$E$5:$E$52,$C10)</x:f>
        <x:v>832</x:v>
      </x:c>
      <x:c r="I10" s="49" t="n">
        <x:f>SUMIFS('Family Allocation'!$L$5:$L$52,'Family Allocation'!$E$5:$E$52,$C10)</x:f>
        <x:v>1020775</x:v>
      </x:c>
      <x:c r="J10" s="42" t="n">
        <x:f>SUMIFS('Family Allocation'!$M$5:$M$52,'Family Allocation'!$E$5:$E$52,$C10)</x:f>
        <x:v>1796.4</x:v>
      </x:c>
      <x:c r="K10" s="47" t="n">
        <x:f>1-L10/G10</x:f>
        <x:v>0.44354838709677413</x:v>
      </x:c>
      <x:c r="L10" s="49" t="n">
        <x:f>SUMIFS('Family Allocation'!$N$5:$N$52,'Family Allocation'!$E$5:$E$52,$C10)</x:f>
        <x:v>224.25000000000003</x:v>
      </x:c>
      <x:c r="M10" s="47" t="n">
        <x:f>G10/$G$11</x:f>
        <x:v>0.1665289256198347</x:v>
      </x:c>
      <x:c r="N10" s="47" t="n">
        <x:f>H10/$H$11</x:f>
        <x:v>0.15844601028375546</x:v>
      </x:c>
      <x:c r="O10" s="47" t="n">
        <x:f>J10/$J$11</x:f>
        <x:v>0.19089193416757347</x:v>
      </x:c>
      <x:c r="P10" s="47" t="n">
        <x:f>I10/$I$11</x:f>
        <x:v>0.08903236250386277</x:v>
      </x:c>
      <x:c r="Q10" s="47" t="n">
        <x:f>L10/$L$11</x:f>
        <x:v>0.19439989597329982</x:v>
      </x:c>
      <x:c r="R10" s="47" t="n">
        <x:f>M10*Controls!$D$7+N10*Controls!$D$8+O10*Controls!$D$9+P10*Controls!$D$10+Q10*Controls!$D$11</x:f>
        <x:v>0.16054341106331338</x:v>
      </x:c>
      <x:c r="S10" s="42" t="n">
        <x:f>Controls!$D$6+(Controls!$D$5-Controls!$D$6*6)*R10</x:f>
        <x:v>89.40106209342595</x:v>
      </x:c>
      <x:c r="T10" s="39" t="n">
        <x:f>COUNTIFS('Technology Portfolio'!$D$5:$D$28,$C10)</x:f>
        <x:v>4</x:v>
      </x:c>
      <x:c r="U10" s="39" t="str">
        <x:f>IF(AND(F10&gt;0,G10&gt;0,H10&gt;0,T10=4),"PASS","FAIL")</x:f>
        <x:v>PASS</x:v>
      </x:c>
      <x:c r="V10" s="39"/>
      <x:c r="W10" s="39"/>
      <x:c r="X10" s="39"/>
      <x:c r="Y10" s="39"/>
      <x:c r="Z10" s="39"/>
    </x:row>
    <x:row r="11">
      <x:c r="A11" s="1"/>
      <x:c r="B11" s="1"/>
      <x:c r="C11" s="43" t="str">
        <x:v>Total</x:v>
      </x:c>
      <x:c r="D11" s="43"/>
      <x:c r="E11" s="43"/>
      <x:c r="F11" s="43" t="n">
        <x:f>SUM(F5:F10)</x:f>
        <x:v>48</x:v>
      </x:c>
      <x:c r="G11" s="43" t="n">
        <x:f>SUM(G5:G10)</x:f>
        <x:v>2420</x:v>
      </x:c>
      <x:c r="H11" s="43" t="n">
        <x:f>SUM(H5:H10)</x:f>
        <x:v>5251</x:v>
      </x:c>
      <x:c r="I11" s="50" t="n">
        <x:f>SUM(I5:I10)</x:f>
        <x:v>11465213</x:v>
      </x:c>
      <x:c r="J11" s="51" t="n">
        <x:f>SUM(J5:J10)</x:f>
        <x:v>9410.56</x:v>
      </x:c>
      <x:c r="K11" s="43"/>
      <x:c r="L11" s="50" t="n">
        <x:f>SUM(L5:L10)</x:f>
        <x:v>1153.5500000000002</x:v>
      </x:c>
      <x:c r="M11" s="52" t="n">
        <x:f>SUM(M5:M10)</x:f>
        <x:v>1</x:v>
      </x:c>
      <x:c r="N11" s="52" t="n">
        <x:f>SUM(N5:N10)</x:f>
        <x:v>1</x:v>
      </x:c>
      <x:c r="O11" s="52" t="n">
        <x:f>SUM(O5:O10)</x:f>
        <x:v>1</x:v>
      </x:c>
      <x:c r="P11" s="52" t="n">
        <x:f>SUM(P5:P10)</x:f>
        <x:v>1</x:v>
      </x:c>
      <x:c r="Q11" s="52" t="n">
        <x:f>SUM(Q5:Q10)</x:f>
        <x:v>0.9999999999999998</x:v>
      </x:c>
      <x:c r="R11" s="52" t="n">
        <x:f>SUM(R5:R10)</x:f>
        <x:v>0.9999999999999999</x:v>
      </x:c>
      <x:c r="S11" s="51" t="n">
        <x:f>SUM(S5:S10)</x:f>
        <x:v>550</x:v>
      </x:c>
      <x:c r="T11" s="43" t="n">
        <x:f>SUM(T5:T10)</x:f>
        <x:v>24</x:v>
      </x:c>
      <x:c r="U11" s="43"/>
      <x:c r="V11" s="39"/>
      <x:c r="W11" s="39"/>
      <x:c r="X11" s="39"/>
      <x:c r="Y11" s="39"/>
      <x:c r="Z11" s="39"/>
    </x:row>
    <x:row r="12">
      <x:c r="A12" s="1"/>
      <x:c r="B12" s="1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2" hidden="0" customWidth="1"/>
    <x:col min="5" max="5" width="15" hidden="0" customWidth="1"/>
    <x:col min="6" max="6" width="34" hidden="0" customWidth="1"/>
    <x:col min="7" max="7" width="48" hidden="0" customWidth="1"/>
    <x:col min="8" max="8" width="30" hidden="0" customWidth="1"/>
    <x:col min="9" max="9" width="20" hidden="0" customWidth="1"/>
    <x:col min="10" max="10" width="18" hidden="0" customWidth="1"/>
    <x:col min="11" max="11" width="15" hidden="0" customWidth="1"/>
    <x:col min="12" max="12" width="18" hidden="0" customWidth="1"/>
    <x:col min="13" max="13" width="25" hidden="0" customWidth="1"/>
    <x:col min="14" max="14" width="18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18" hidden="0" customWidth="1"/>
    <x:col min="26" max="26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Canonical families assigned once to mission integration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1"/>
      <x:c r="B3" s="1"/>
      <x:c r="C3" s="48" t="str">
        <x:v>Source values are copied from the Pass 57 registry and Pass 167 force-sizing constitution; mission-system assignment follows the registry's technology thread.</x:v>
      </x:c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ID</x:v>
      </x:c>
      <x:c r="D4" s="24" t="str">
        <x:v>Formation family</x:v>
      </x:c>
      <x:c r="E4" s="24" t="str">
        <x:v>Mission-system ID</x:v>
      </x:c>
      <x:c r="F4" s="24" t="str">
        <x:v>Mission chain</x:v>
      </x:c>
      <x:c r="G4" s="24" t="str">
        <x:v>Primary civilian effect</x:v>
      </x:c>
      <x:c r="H4" s="24" t="str">
        <x:v>Generating service</x:v>
      </x:c>
      <x:c r="I4" s="24" t="str">
        <x:v>Contract completeness</x:v>
      </x:c>
      <x:c r="J4" s="24" t="str">
        <x:v>Concurrent demand</x:v>
      </x:c>
      <x:c r="K4" s="24" t="str">
        <x:v>N−1 inventory</x:v>
      </x:c>
      <x:c r="L4" s="24" t="str">
        <x:v>Direct billets</x:v>
      </x:c>
      <x:c r="M4" s="24" t="str">
        <x:v>Formation capital (USD B)</x:v>
      </x:c>
      <x:c r="N4" s="24" t="str">
        <x:v>Unclosed demand</x:v>
      </x:c>
      <x:c r="O4" s="24" t="str">
        <x:v>C1</x:v>
      </x:c>
      <x:c r="P4" s="24" t="str">
        <x:v>C2</x:v>
      </x:c>
      <x:c r="Q4" s="24" t="str">
        <x:v>C3</x:v>
      </x:c>
      <x:c r="R4" s="24" t="str">
        <x:v>M1</x:v>
      </x:c>
      <x:c r="S4" s="24" t="str">
        <x:v>M2</x:v>
      </x:c>
      <x:c r="T4" s="24" t="str">
        <x:v>M3</x:v>
      </x:c>
      <x:c r="U4" s="24" t="str">
        <x:v>M4</x:v>
      </x:c>
      <x:c r="V4" s="24" t="str">
        <x:v>M5</x:v>
      </x:c>
      <x:c r="W4" s="24" t="str">
        <x:v>I1</x:v>
      </x:c>
      <x:c r="X4" s="24" t="str">
        <x:v>I2</x:v>
      </x:c>
      <x:c r="Y4" s="24" t="str">
        <x:v>Unique assignment</x:v>
      </x:c>
      <x:c r="Z4" s="13" t="str">
        <x:v>Source lineage</x:v>
      </x:c>
    </x:row>
    <x:row r="5">
      <x:c r="A5" s="1"/>
      <x:c r="B5" s="1"/>
      <x:c r="C5" s="39" t="str">
        <x:v>J-CIE</x:v>
      </x:c>
      <x:c r="D5" s="39" t="str">
        <x:v>Civil integration and effects group</x:v>
      </x:c>
      <x:c r="E5" s="39" t="str">
        <x:v>MS-CT</x:v>
      </x:c>
      <x:c r="F5" s="39" t="str">
        <x:v>Reach occupied civil terrain</x:v>
      </x:c>
      <x:c r="G5" s="39" t="str">
        <x:v>Civil coordination, safety and public information</x:v>
      </x:c>
      <x:c r="H5" s="39" t="str">
        <x:v>Joint</x:v>
      </x:c>
      <x:c r="I5" s="47" t="n">
        <x:v>0.45</x:v>
      </x:c>
      <x:c r="J5" s="39" t="n">
        <x:v>34</x:v>
      </x:c>
      <x:c r="K5" s="39" t="n">
        <x:v>66</x:v>
      </x:c>
      <x:c r="L5" s="39" t="n">
        <x:v>19800</x:v>
      </x:c>
      <x:c r="M5" s="42" t="n">
        <x:v>16.5</x:v>
      </x:c>
      <x:c r="N5" s="49" t="n">
        <x:f>J5*(1-I5)</x:f>
        <x:v>18.700000000000003</x:v>
      </x:c>
      <x:c r="O5" s="39" t="n">
        <x:v>4</x:v>
      </x:c>
      <x:c r="P5" s="39" t="n">
        <x:v>4</x:v>
      </x:c>
      <x:c r="Q5" s="39" t="n">
        <x:v>5</x:v>
      </x:c>
      <x:c r="R5" s="39" t="n">
        <x:v>2</x:v>
      </x:c>
      <x:c r="S5" s="39" t="n">
        <x:v>2</x:v>
      </x:c>
      <x:c r="T5" s="39" t="n">
        <x:v>3</x:v>
      </x:c>
      <x:c r="U5" s="39" t="n">
        <x:v>3</x:v>
      </x:c>
      <x:c r="V5" s="39" t="n">
        <x:v>3</x:v>
      </x:c>
      <x:c r="W5" s="39" t="n">
        <x:v>4</x:v>
      </x:c>
      <x:c r="X5" s="39" t="n">
        <x:v>4</x:v>
      </x:c>
      <x:c r="Y5" s="39" t="str">
        <x:f>IF(COUNTIFS($C$5:$C$52,C5)=1,"PASS","FAIL")</x:f>
        <x:v>PASS</x:v>
      </x:c>
      <x:c r="Z5" s="39" t="str">
        <x:v>Pass 57 registry + Pass 167 NIFS-1</x:v>
      </x:c>
    </x:row>
    <x:row r="6">
      <x:c r="A6" s="1"/>
      <x:c r="B6" s="1"/>
      <x:c r="C6" s="39" t="str">
        <x:v>J-TOC</x:v>
      </x:c>
      <x:c r="D6" s="39" t="str">
        <x:v>Theater-opening command</x:v>
      </x:c>
      <x:c r="E6" s="39" t="str">
        <x:v>MS-ET</x:v>
      </x:c>
      <x:c r="F6" s="39" t="str">
        <x:v>Enter a broken theater</x:v>
      </x:c>
      <x:c r="G6" s="39" t="str">
        <x:v>Mobility, access and distribution</x:v>
      </x:c>
      <x:c r="H6" s="39" t="str">
        <x:v>Joint</x:v>
      </x:c>
      <x:c r="I6" s="47" t="n">
        <x:v>0.5</x:v>
      </x:c>
      <x:c r="J6" s="39" t="n">
        <x:v>23</x:v>
      </x:c>
      <x:c r="K6" s="39" t="n">
        <x:v>45</x:v>
      </x:c>
      <x:c r="L6" s="39" t="n">
        <x:v>67500</x:v>
      </x:c>
      <x:c r="M6" s="42" t="n">
        <x:v>54</x:v>
      </x:c>
      <x:c r="N6" s="49" t="n">
        <x:f>J6*(1-I6)</x:f>
        <x:v>11.5</x:v>
      </x:c>
      <x:c r="O6" s="39" t="n">
        <x:v>2</x:v>
      </x:c>
      <x:c r="P6" s="39" t="n">
        <x:v>3</x:v>
      </x:c>
      <x:c r="Q6" s="39" t="n">
        <x:v>4</x:v>
      </x:c>
      <x:c r="R6" s="39" t="n">
        <x:v>1</x:v>
      </x:c>
      <x:c r="S6" s="39" t="n">
        <x:v>1</x:v>
      </x:c>
      <x:c r="T6" s="39" t="n">
        <x:v>2</x:v>
      </x:c>
      <x:c r="U6" s="39" t="n">
        <x:v>2</x:v>
      </x:c>
      <x:c r="V6" s="39" t="n">
        <x:v>2</x:v>
      </x:c>
      <x:c r="W6" s="39" t="n">
        <x:v>3</x:v>
      </x:c>
      <x:c r="X6" s="39" t="n">
        <x:v>3</x:v>
      </x:c>
      <x:c r="Y6" s="39" t="str">
        <x:f>IF(COUNTIFS($C$5:$C$52,C6)=1,"PASS","FAIL")</x:f>
        <x:v>PASS</x:v>
      </x:c>
      <x:c r="Z6" s="39" t="str">
        <x:v>Pass 57 registry + Pass 167 NIFS-1</x:v>
      </x:c>
    </x:row>
    <x:row r="7">
      <x:c r="A7" s="1"/>
      <x:c r="B7" s="1"/>
      <x:c r="C7" s="39" t="str">
        <x:v>J-TSC</x:v>
      </x:c>
      <x:c r="D7" s="39" t="str">
        <x:v>Theater sustainment command</x:v>
      </x:c>
      <x:c r="E7" s="39" t="str">
        <x:v>MS-RT</x:v>
      </x:c>
      <x:c r="F7" s="39" t="str">
        <x:v>Sustain, transfer and regenerate</x:v>
      </x:c>
      <x:c r="G7" s="39" t="str">
        <x:v>Mobility, access and distribution</x:v>
      </x:c>
      <x:c r="H7" s="39" t="str">
        <x:v>Joint</x:v>
      </x:c>
      <x:c r="I7" s="47" t="n">
        <x:v>0.45</x:v>
      </x:c>
      <x:c r="J7" s="39" t="n">
        <x:v>33</x:v>
      </x:c>
      <x:c r="K7" s="39" t="n">
        <x:v>64</x:v>
      </x:c>
      <x:c r="L7" s="39" t="n">
        <x:v>144000</x:v>
      </x:c>
      <x:c r="M7" s="42" t="n">
        <x:v>96</x:v>
      </x:c>
      <x:c r="N7" s="49" t="n">
        <x:f>J7*(1-I7)</x:f>
        <x:v>18.150000000000002</x:v>
      </x:c>
      <x:c r="O7" s="39" t="n">
        <x:v>3</x:v>
      </x:c>
      <x:c r="P7" s="39" t="n">
        <x:v>4</x:v>
      </x:c>
      <x:c r="Q7" s="39" t="n">
        <x:v>5</x:v>
      </x:c>
      <x:c r="R7" s="39" t="n">
        <x:v>2</x:v>
      </x:c>
      <x:c r="S7" s="39" t="n">
        <x:v>2</x:v>
      </x:c>
      <x:c r="T7" s="39" t="n">
        <x:v>3</x:v>
      </x:c>
      <x:c r="U7" s="39" t="n">
        <x:v>3</x:v>
      </x:c>
      <x:c r="V7" s="39" t="n">
        <x:v>3</x:v>
      </x:c>
      <x:c r="W7" s="39" t="n">
        <x:v>4</x:v>
      </x:c>
      <x:c r="X7" s="39" t="n">
        <x:v>4</x:v>
      </x:c>
      <x:c r="Y7" s="39" t="str">
        <x:f>IF(COUNTIFS($C$5:$C$52,C7)=1,"PASS","FAIL")</x:f>
        <x:v>PASS</x:v>
      </x:c>
      <x:c r="Z7" s="39" t="str">
        <x:v>Pass 57 registry + Pass 167 NIFS-1</x:v>
      </x:c>
    </x:row>
    <x:row r="8">
      <x:c r="A8" s="1"/>
      <x:c r="B8" s="1"/>
      <x:c r="C8" s="39" t="str">
        <x:v>J-RIG</x:v>
      </x:c>
      <x:c r="D8" s="39" t="str">
        <x:v>Resilience information group</x:v>
      </x:c>
      <x:c r="E8" s="39" t="str">
        <x:v>MS-CT</x:v>
      </x:c>
      <x:c r="F8" s="39" t="str">
        <x:v>Reach occupied civil terrain</x:v>
      </x:c>
      <x:c r="G8" s="39" t="str">
        <x:v>Communications, computation and public-service access</x:v>
      </x:c>
      <x:c r="H8" s="39" t="str">
        <x:v>Joint</x:v>
      </x:c>
      <x:c r="I8" s="47" t="n">
        <x:v>0.5</x:v>
      </x:c>
      <x:c r="J8" s="39" t="n">
        <x:v>59</x:v>
      </x:c>
      <x:c r="K8" s="39" t="n">
        <x:v>114</x:v>
      </x:c>
      <x:c r="L8" s="39" t="n">
        <x:v>102600</x:v>
      </x:c>
      <x:c r="M8" s="42" t="n">
        <x:v>102.6</x:v>
      </x:c>
      <x:c r="N8" s="49" t="n">
        <x:f>J8*(1-I8)</x:f>
        <x:v>29.5</x:v>
      </x:c>
      <x:c r="O8" s="39" t="n">
        <x:v>6</x:v>
      </x:c>
      <x:c r="P8" s="39" t="n">
        <x:v>6</x:v>
      </x:c>
      <x:c r="Q8" s="39" t="n">
        <x:v>8</x:v>
      </x:c>
      <x:c r="R8" s="39" t="n">
        <x:v>4</x:v>
      </x:c>
      <x:c r="S8" s="39" t="n">
        <x:v>4</x:v>
      </x:c>
      <x:c r="T8" s="39" t="n">
        <x:v>5</x:v>
      </x:c>
      <x:c r="U8" s="39" t="n">
        <x:v>5</x:v>
      </x:c>
      <x:c r="V8" s="39" t="n">
        <x:v>5</x:v>
      </x:c>
      <x:c r="W8" s="39" t="n">
        <x:v>8</x:v>
      </x:c>
      <x:c r="X8" s="39" t="n">
        <x:v>8</x:v>
      </x:c>
      <x:c r="Y8" s="39" t="str">
        <x:f>IF(COUNTIFS($C$5:$C$52,C8)=1,"PASS","FAIL")</x:f>
        <x:v>PASS</x:v>
      </x:c>
      <x:c r="Z8" s="39" t="str">
        <x:v>Pass 57 registry + Pass 167 NIFS-1</x:v>
      </x:c>
    </x:row>
    <x:row r="9">
      <x:c r="A9" s="1"/>
      <x:c r="B9" s="1"/>
      <x:c r="C9" s="39" t="str">
        <x:v>J-RRG</x:v>
      </x:c>
      <x:c r="D9" s="39" t="str">
        <x:v>Replacement and reconstitution group</x:v>
      </x:c>
      <x:c r="E9" s="39" t="str">
        <x:v>MS-RT</x:v>
      </x:c>
      <x:c r="F9" s="39" t="str">
        <x:v>Sustain, transfer and regenerate</x:v>
      </x:c>
      <x:c r="G9" s="39" t="str">
        <x:v>Housing, public works and economic continuity</x:v>
      </x:c>
      <x:c r="H9" s="39" t="str">
        <x:v>Joint</x:v>
      </x:c>
      <x:c r="I9" s="47" t="n">
        <x:v>0.45</x:v>
      </x:c>
      <x:c r="J9" s="39" t="n">
        <x:v>33</x:v>
      </x:c>
      <x:c r="K9" s="39" t="n">
        <x:v>64</x:v>
      </x:c>
      <x:c r="L9" s="39" t="n">
        <x:v>64000</x:v>
      </x:c>
      <x:c r="M9" s="42" t="n">
        <x:v>51.2</x:v>
      </x:c>
      <x:c r="N9" s="49" t="n">
        <x:f>J9*(1-I9)</x:f>
        <x:v>18.150000000000002</x:v>
      </x:c>
      <x:c r="O9" s="39" t="n">
        <x:v>3</x:v>
      </x:c>
      <x:c r="P9" s="39" t="n">
        <x:v>4</x:v>
      </x:c>
      <x:c r="Q9" s="39" t="n">
        <x:v>5</x:v>
      </x:c>
      <x:c r="R9" s="39" t="n">
        <x:v>2</x:v>
      </x:c>
      <x:c r="S9" s="39" t="n">
        <x:v>2</x:v>
      </x:c>
      <x:c r="T9" s="39" t="n">
        <x:v>3</x:v>
      </x:c>
      <x:c r="U9" s="39" t="n">
        <x:v>3</x:v>
      </x:c>
      <x:c r="V9" s="39" t="n">
        <x:v>3</x:v>
      </x:c>
      <x:c r="W9" s="39" t="n">
        <x:v>4</x:v>
      </x:c>
      <x:c r="X9" s="39" t="n">
        <x:v>4</x:v>
      </x:c>
      <x:c r="Y9" s="39" t="str">
        <x:f>IF(COUNTIFS($C$5:$C$52,C9)=1,"PASS","FAIL")</x:f>
        <x:v>PASS</x:v>
      </x:c>
      <x:c r="Z9" s="39" t="str">
        <x:v>Pass 57 registry + Pass 167 NIFS-1</x:v>
      </x:c>
    </x:row>
    <x:row r="10">
      <x:c r="A10" s="1"/>
      <x:c r="B10" s="1"/>
      <x:c r="C10" s="39" t="str">
        <x:v>J-TDG</x:v>
      </x:c>
      <x:c r="D10" s="39" t="str">
        <x:v>Transfer and demobilization group</x:v>
      </x:c>
      <x:c r="E10" s="39" t="str">
        <x:v>MS-RT</x:v>
      </x:c>
      <x:c r="F10" s="39" t="str">
        <x:v>Sustain, transfer and regenerate</x:v>
      </x:c>
      <x:c r="G10" s="39" t="str">
        <x:v>Civil coordination, safety and public information</x:v>
      </x:c>
      <x:c r="H10" s="39" t="str">
        <x:v>Joint</x:v>
      </x:c>
      <x:c r="I10" s="47" t="n">
        <x:v>0.45</x:v>
      </x:c>
      <x:c r="J10" s="39" t="n">
        <x:v>23</x:v>
      </x:c>
      <x:c r="K10" s="39" t="n">
        <x:v>45</x:v>
      </x:c>
      <x:c r="L10" s="39" t="n">
        <x:v>16875</x:v>
      </x:c>
      <x:c r="M10" s="42" t="n">
        <x:v>13.5</x:v>
      </x:c>
      <x:c r="N10" s="49" t="n">
        <x:f>J10*(1-I10)</x:f>
        <x:v>12.65</x:v>
      </x:c>
      <x:c r="O10" s="39" t="n">
        <x:v>2</x:v>
      </x:c>
      <x:c r="P10" s="39" t="n">
        <x:v>3</x:v>
      </x:c>
      <x:c r="Q10" s="39" t="n">
        <x:v>4</x:v>
      </x:c>
      <x:c r="R10" s="39" t="n">
        <x:v>1</x:v>
      </x:c>
      <x:c r="S10" s="39" t="n">
        <x:v>1</x:v>
      </x:c>
      <x:c r="T10" s="39" t="n">
        <x:v>2</x:v>
      </x:c>
      <x:c r="U10" s="39" t="n">
        <x:v>2</x:v>
      </x:c>
      <x:c r="V10" s="39" t="n">
        <x:v>2</x:v>
      </x:c>
      <x:c r="W10" s="39" t="n">
        <x:v>3</x:v>
      </x:c>
      <x:c r="X10" s="39" t="n">
        <x:v>3</x:v>
      </x:c>
      <x:c r="Y10" s="39" t="str">
        <x:f>IF(COUNTIFS($C$5:$C$52,C10)=1,"PASS","FAIL")</x:f>
        <x:v>PASS</x:v>
      </x:c>
      <x:c r="Z10" s="39" t="str">
        <x:v>Pass 57 registry + Pass 167 NIFS-1</x:v>
      </x:c>
    </x:row>
    <x:row r="11">
      <x:c r="A11" s="1"/>
      <x:c r="B11" s="1"/>
      <x:c r="C11" s="39" t="str">
        <x:v>L-ROG</x:v>
      </x:c>
      <x:c r="D11" s="39" t="str">
        <x:v>Access and route-opening group</x:v>
      </x:c>
      <x:c r="E11" s="39" t="str">
        <x:v>MS-ET</x:v>
      </x:c>
      <x:c r="F11" s="39" t="str">
        <x:v>Enter a broken theater</x:v>
      </x:c>
      <x:c r="G11" s="39" t="str">
        <x:v>Mobility, access and distribution</x:v>
      </x:c>
      <x:c r="H11" s="39" t="str">
        <x:v>Land Engineering</x:v>
      </x:c>
      <x:c r="I11" s="47" t="n">
        <x:v>0.45</x:v>
      </x:c>
      <x:c r="J11" s="39" t="n">
        <x:v>70</x:v>
      </x:c>
      <x:c r="K11" s="39" t="n">
        <x:v>151</x:v>
      </x:c>
      <x:c r="L11" s="39" t="n">
        <x:v>137410</x:v>
      </x:c>
      <x:c r="M11" s="42" t="n">
        <x:v>181.2</x:v>
      </x:c>
      <x:c r="N11" s="49" t="n">
        <x:f>J11*(1-I11)</x:f>
        <x:v>38.5</x:v>
      </x:c>
      <x:c r="O11" s="39" t="n">
        <x:v>4</x:v>
      </x:c>
      <x:c r="P11" s="39" t="n">
        <x:v>8</x:v>
      </x:c>
      <x:c r="Q11" s="39" t="n">
        <x:v>12</x:v>
      </x:c>
      <x:c r="R11" s="39" t="n">
        <x:v>4</x:v>
      </x:c>
      <x:c r="S11" s="39" t="n">
        <x:v>2</x:v>
      </x:c>
      <x:c r="T11" s="39" t="n">
        <x:v>8</x:v>
      </x:c>
      <x:c r="U11" s="39" t="n">
        <x:v>10</x:v>
      </x:c>
      <x:c r="V11" s="39" t="n">
        <x:v>4</x:v>
      </x:c>
      <x:c r="W11" s="39" t="n">
        <x:v>10</x:v>
      </x:c>
      <x:c r="X11" s="39" t="n">
        <x:v>8</x:v>
      </x:c>
      <x:c r="Y11" s="39" t="str">
        <x:f>IF(COUNTIFS($C$5:$C$52,C11)=1,"PASS","FAIL")</x:f>
        <x:v>PASS</x:v>
      </x:c>
      <x:c r="Z11" s="39" t="str">
        <x:v>Pass 57 registry + Pass 167 NIFS-1</x:v>
      </x:c>
    </x:row>
    <x:row r="12">
      <x:c r="A12" s="1"/>
      <x:c r="B12" s="1"/>
      <x:c r="C12" s="39" t="str">
        <x:v>L-HCG</x:v>
      </x:c>
      <x:c r="D12" s="39" t="str">
        <x:v>Flood and hydraulic-control group</x:v>
      </x:c>
      <x:c r="E12" s="39" t="str">
        <x:v>MS-HC</x:v>
      </x:c>
      <x:c r="F12" s="39" t="str">
        <x:v>Control an active hazard</x:v>
      </x:c>
      <x:c r="G12" s="39" t="str">
        <x:v>Hazard and environmental control</x:v>
      </x:c>
      <x:c r="H12" s="39" t="str">
        <x:v>Land Engineering</x:v>
      </x:c>
      <x:c r="I12" s="47" t="n">
        <x:v>0.8</x:v>
      </x:c>
      <x:c r="J12" s="39" t="n">
        <x:v>50</x:v>
      </x:c>
      <x:c r="K12" s="39" t="n">
        <x:v>108</x:v>
      </x:c>
      <x:c r="L12" s="39" t="n">
        <x:v>140400</x:v>
      </x:c>
      <x:c r="M12" s="42" t="n">
        <x:v>194.4</x:v>
      </x:c>
      <x:c r="N12" s="49" t="n">
        <x:f>J12*(1-I12)</x:f>
        <x:v>9.999999999999998</x:v>
      </x:c>
      <x:c r="O12" s="39" t="n">
        <x:v>1</x:v>
      </x:c>
      <x:c r="P12" s="39" t="n">
        <x:v>10</x:v>
      </x:c>
      <x:c r="Q12" s="39" t="n">
        <x:v>6</x:v>
      </x:c>
      <x:c r="R12" s="39" t="n">
        <x:v>0</x:v>
      </x:c>
      <x:c r="S12" s="39" t="n">
        <x:v>0</x:v>
      </x:c>
      <x:c r="T12" s="39" t="n">
        <x:v>12</x:v>
      </x:c>
      <x:c r="U12" s="39" t="n">
        <x:v>3</x:v>
      </x:c>
      <x:c r="V12" s="39" t="n">
        <x:v>2</x:v>
      </x:c>
      <x:c r="W12" s="39" t="n">
        <x:v>4</x:v>
      </x:c>
      <x:c r="X12" s="39" t="n">
        <x:v>12</x:v>
      </x:c>
      <x:c r="Y12" s="39" t="str">
        <x:f>IF(COUNTIFS($C$5:$C$52,C12)=1,"PASS","FAIL")</x:f>
        <x:v>PASS</x:v>
      </x:c>
      <x:c r="Z12" s="39" t="str">
        <x:v>Pass 57 registry + Pass 167 NIFS-1</x:v>
      </x:c>
    </x:row>
    <x:row r="13">
      <x:c r="A13" s="1"/>
      <x:c r="B13" s="1"/>
      <x:c r="C13" s="39" t="str">
        <x:v>L-DMG</x:v>
      </x:c>
      <x:c r="D13" s="39" t="str">
        <x:v>Debris and materials group</x:v>
      </x:c>
      <x:c r="E13" s="39" t="str">
        <x:v>MS-HC</x:v>
      </x:c>
      <x:c r="F13" s="39" t="str">
        <x:v>Control an active hazard</x:v>
      </x:c>
      <x:c r="G13" s="39" t="str">
        <x:v>Hazard and environmental control</x:v>
      </x:c>
      <x:c r="H13" s="39" t="str">
        <x:v>Land Engineering</x:v>
      </x:c>
      <x:c r="I13" s="47" t="n">
        <x:v>0.45</x:v>
      </x:c>
      <x:c r="J13" s="39" t="n">
        <x:v>65</x:v>
      </x:c>
      <x:c r="K13" s="39" t="n">
        <x:v>140</x:v>
      </x:c>
      <x:c r="L13" s="39" t="n">
        <x:v>145600</x:v>
      </x:c>
      <x:c r="M13" s="42" t="n">
        <x:v>196</x:v>
      </x:c>
      <x:c r="N13" s="49" t="n">
        <x:f>J13*(1-I13)</x:f>
        <x:v>35.75</x:v>
      </x:c>
      <x:c r="O13" s="39" t="n">
        <x:v>2</x:v>
      </x:c>
      <x:c r="P13" s="39" t="n">
        <x:v>8</x:v>
      </x:c>
      <x:c r="Q13" s="39" t="n">
        <x:v>12</x:v>
      </x:c>
      <x:c r="R13" s="39" t="n">
        <x:v>2</x:v>
      </x:c>
      <x:c r="S13" s="39" t="n">
        <x:v>1</x:v>
      </x:c>
      <x:c r="T13" s="39" t="n">
        <x:v>8</x:v>
      </x:c>
      <x:c r="U13" s="39" t="n">
        <x:v>12</x:v>
      </x:c>
      <x:c r="V13" s="39" t="n">
        <x:v>2</x:v>
      </x:c>
      <x:c r="W13" s="39" t="n">
        <x:v>10</x:v>
      </x:c>
      <x:c r="X13" s="39" t="n">
        <x:v>8</x:v>
      </x:c>
      <x:c r="Y13" s="39" t="str">
        <x:f>IF(COUNTIFS($C$5:$C$52,C13)=1,"PASS","FAIL")</x:f>
        <x:v>PASS</x:v>
      </x:c>
      <x:c r="Z13" s="39" t="str">
        <x:v>Pass 57 registry + Pass 167 NIFS-1</x:v>
      </x:c>
    </x:row>
    <x:row r="14">
      <x:c r="A14" s="1"/>
      <x:c r="B14" s="1"/>
      <x:c r="C14" s="39" t="str">
        <x:v>L-TWG</x:v>
      </x:c>
      <x:c r="D14" s="39" t="str">
        <x:v>Temporary works and crossing group</x:v>
      </x:c>
      <x:c r="E14" s="39" t="str">
        <x:v>MS-ET</x:v>
      </x:c>
      <x:c r="F14" s="39" t="str">
        <x:v>Enter a broken theater</x:v>
      </x:c>
      <x:c r="G14" s="39" t="str">
        <x:v>Housing, public works and economic continuity</x:v>
      </x:c>
      <x:c r="H14" s="39" t="str">
        <x:v>Land Engineering</x:v>
      </x:c>
      <x:c r="I14" s="47" t="n">
        <x:v>0.45</x:v>
      </x:c>
      <x:c r="J14" s="39" t="n">
        <x:v>53</x:v>
      </x:c>
      <x:c r="K14" s="39" t="n">
        <x:v>114</x:v>
      </x:c>
      <x:c r="L14" s="39" t="n">
        <x:v>103740</x:v>
      </x:c>
      <x:c r="M14" s="42" t="n">
        <x:v>136.79999999999998</x:v>
      </x:c>
      <x:c r="N14" s="49" t="n">
        <x:f>J14*(1-I14)</x:f>
        <x:v>29.150000000000002</x:v>
      </x:c>
      <x:c r="O14" s="39" t="n">
        <x:v>3</x:v>
      </x:c>
      <x:c r="P14" s="39" t="n">
        <x:v>6</x:v>
      </x:c>
      <x:c r="Q14" s="39" t="n">
        <x:v>10</x:v>
      </x:c>
      <x:c r="R14" s="39" t="n">
        <x:v>1</x:v>
      </x:c>
      <x:c r="S14" s="39" t="n">
        <x:v>1</x:v>
      </x:c>
      <x:c r="T14" s="39" t="n">
        <x:v>6</x:v>
      </x:c>
      <x:c r="U14" s="39" t="n">
        <x:v>8</x:v>
      </x:c>
      <x:c r="V14" s="39" t="n">
        <x:v>4</x:v>
      </x:c>
      <x:c r="W14" s="39" t="n">
        <x:v>8</x:v>
      </x:c>
      <x:c r="X14" s="39" t="n">
        <x:v>6</x:v>
      </x:c>
      <x:c r="Y14" s="39" t="str">
        <x:f>IF(COUNTIFS($C$5:$C$52,C14)=1,"PASS","FAIL")</x:f>
        <x:v>PASS</x:v>
      </x:c>
      <x:c r="Z14" s="39" t="str">
        <x:v>Pass 57 registry + Pass 167 NIFS-1</x:v>
      </x:c>
    </x:row>
    <x:row r="15">
      <x:c r="A15" s="1"/>
      <x:c r="B15" s="1"/>
      <x:c r="C15" s="39" t="str">
        <x:v>L-GFG</x:v>
      </x:c>
      <x:c r="D15" s="39" t="str">
        <x:v>Ground fire and landscape group</x:v>
      </x:c>
      <x:c r="E15" s="39" t="str">
        <x:v>MS-HC</x:v>
      </x:c>
      <x:c r="F15" s="39" t="str">
        <x:v>Control an active hazard</x:v>
      </x:c>
      <x:c r="G15" s="39" t="str">
        <x:v>Hazard and environmental control</x:v>
      </x:c>
      <x:c r="H15" s="39" t="str">
        <x:v>Land Engineering</x:v>
      </x:c>
      <x:c r="I15" s="47" t="n">
        <x:v>0.8</x:v>
      </x:c>
      <x:c r="J15" s="39" t="n">
        <x:v>33</x:v>
      </x:c>
      <x:c r="K15" s="39" t="n">
        <x:v>71</x:v>
      </x:c>
      <x:c r="L15" s="39" t="n">
        <x:v>83070</x:v>
      </x:c>
      <x:c r="M15" s="42" t="n">
        <x:v>71</x:v>
      </x:c>
      <x:c r="N15" s="49" t="n">
        <x:f>J15*(1-I15)</x:f>
        <x:v>6.599999999999999</x:v>
      </x:c>
      <x:c r="O15" s="39" t="n">
        <x:v>2</x:v>
      </x:c>
      <x:c r="P15" s="39" t="n">
        <x:v>3</x:v>
      </x:c>
      <x:c r="Q15" s="39" t="n">
        <x:v>4</x:v>
      </x:c>
      <x:c r="R15" s="39" t="n">
        <x:v>12</x:v>
      </x:c>
      <x:c r="S15" s="39" t="n">
        <x:v>3</x:v>
      </x:c>
      <x:c r="T15" s="39" t="n">
        <x:v>1</x:v>
      </x:c>
      <x:c r="U15" s="39" t="n">
        <x:v>2</x:v>
      </x:c>
      <x:c r="V15" s="39" t="n">
        <x:v>2</x:v>
      </x:c>
      <x:c r="W15" s="39" t="n">
        <x:v>2</x:v>
      </x:c>
      <x:c r="X15" s="39" t="n">
        <x:v>2</x:v>
      </x:c>
      <x:c r="Y15" s="39" t="str">
        <x:f>IF(COUNTIFS($C$5:$C$52,C15)=1,"PASS","FAIL")</x:f>
        <x:v>PASS</x:v>
      </x:c>
      <x:c r="Z15" s="39" t="str">
        <x:v>Pass 57 registry + Pass 167 NIFS-1</x:v>
      </x:c>
    </x:row>
    <x:row r="16">
      <x:c r="A16" s="1"/>
      <x:c r="B16" s="1"/>
      <x:c r="C16" s="39" t="str">
        <x:v>A-SMW</x:v>
      </x:c>
      <x:c r="D16" s="39" t="str">
        <x:v>Strategic mobility wing</x:v>
      </x:c>
      <x:c r="E16" s="39" t="str">
        <x:v>MS-ET</x:v>
      </x:c>
      <x:c r="F16" s="39" t="str">
        <x:v>Enter a broken theater</x:v>
      </x:c>
      <x:c r="G16" s="39" t="str">
        <x:v>Mobility, access and distribution</x:v>
      </x:c>
      <x:c r="H16" s="39" t="str">
        <x:v>Air Response</x:v>
      </x:c>
      <x:c r="I16" s="47" t="n">
        <x:v>0.45</x:v>
      </x:c>
      <x:c r="J16" s="39" t="n">
        <x:v>31</x:v>
      </x:c>
      <x:c r="K16" s="39" t="n">
        <x:v>72</x:v>
      </x:c>
      <x:c r="L16" s="39" t="n">
        <x:v>194400</x:v>
      </x:c>
      <x:c r="M16" s="42" t="n">
        <x:v>576</x:v>
      </x:c>
      <x:c r="N16" s="49" t="n">
        <x:f>J16*(1-I16)</x:f>
        <x:v>17.05</x:v>
      </x:c>
      <x:c r="O16" s="39" t="n">
        <x:v>2</x:v>
      </x:c>
      <x:c r="P16" s="39" t="n">
        <x:v>3</x:v>
      </x:c>
      <x:c r="Q16" s="39" t="n">
        <x:v>4</x:v>
      </x:c>
      <x:c r="R16" s="39" t="n">
        <x:v>2</x:v>
      </x:c>
      <x:c r="S16" s="39" t="n">
        <x:v>2</x:v>
      </x:c>
      <x:c r="T16" s="39" t="n">
        <x:v>2</x:v>
      </x:c>
      <x:c r="U16" s="39" t="n">
        <x:v>3</x:v>
      </x:c>
      <x:c r="V16" s="39" t="n">
        <x:v>3</x:v>
      </x:c>
      <x:c r="W16" s="39" t="n">
        <x:v>5</x:v>
      </x:c>
      <x:c r="X16" s="39" t="n">
        <x:v>5</x:v>
      </x:c>
      <x:c r="Y16" s="39" t="str">
        <x:f>IF(COUNTIFS($C$5:$C$52,C16)=1,"PASS","FAIL")</x:f>
        <x:v>PASS</x:v>
      </x:c>
      <x:c r="Z16" s="39" t="str">
        <x:v>Pass 57 registry + Pass 167 NIFS-1</x:v>
      </x:c>
    </x:row>
    <x:row r="17">
      <x:c r="A17" s="1"/>
      <x:c r="B17" s="1"/>
      <x:c r="C17" s="39" t="str">
        <x:v>A-AAG</x:v>
      </x:c>
      <x:c r="D17" s="39" t="str">
        <x:v>Austere air-access group</x:v>
      </x:c>
      <x:c r="E17" s="39" t="str">
        <x:v>MS-ET</x:v>
      </x:c>
      <x:c r="F17" s="39" t="str">
        <x:v>Enter a broken theater</x:v>
      </x:c>
      <x:c r="G17" s="39" t="str">
        <x:v>Mobility, access and distribution</x:v>
      </x:c>
      <x:c r="H17" s="39" t="str">
        <x:v>Air Response</x:v>
      </x:c>
      <x:c r="I17" s="47" t="n">
        <x:v>0.45</x:v>
      </x:c>
      <x:c r="J17" s="39" t="n">
        <x:v>36</x:v>
      </x:c>
      <x:c r="K17" s="39" t="n">
        <x:v>84</x:v>
      </x:c>
      <x:c r="L17" s="39" t="n">
        <x:v>88200</x:v>
      </x:c>
      <x:c r="M17" s="42" t="n">
        <x:v>210</x:v>
      </x:c>
      <x:c r="N17" s="49" t="n">
        <x:f>J17*(1-I17)</x:f>
        <x:v>19.8</x:v>
      </x:c>
      <x:c r="O17" s="39" t="n">
        <x:v>2</x:v>
      </x:c>
      <x:c r="P17" s="39" t="n">
        <x:v>4</x:v>
      </x:c>
      <x:c r="Q17" s="39" t="n">
        <x:v>6</x:v>
      </x:c>
      <x:c r="R17" s="39" t="n">
        <x:v>3</x:v>
      </x:c>
      <x:c r="S17" s="39" t="n">
        <x:v>2</x:v>
      </x:c>
      <x:c r="T17" s="39" t="n">
        <x:v>2</x:v>
      </x:c>
      <x:c r="U17" s="39" t="n">
        <x:v>4</x:v>
      </x:c>
      <x:c r="V17" s="39" t="n">
        <x:v>3</x:v>
      </x:c>
      <x:c r="W17" s="39" t="n">
        <x:v>5</x:v>
      </x:c>
      <x:c r="X17" s="39" t="n">
        <x:v>5</x:v>
      </x:c>
      <x:c r="Y17" s="39" t="str">
        <x:f>IF(COUNTIFS($C$5:$C$52,C17)=1,"PASS","FAIL")</x:f>
        <x:v>PASS</x:v>
      </x:c>
      <x:c r="Z17" s="39" t="str">
        <x:v>Pass 57 registry + Pass 167 NIFS-1</x:v>
      </x:c>
    </x:row>
    <x:row r="18">
      <x:c r="A18" s="1"/>
      <x:c r="B18" s="1"/>
      <x:c r="C18" s="39" t="str">
        <x:v>A-AHW</x:v>
      </x:c>
      <x:c r="D18" s="39" t="str">
        <x:v>Aerial hazard-control wing</x:v>
      </x:c>
      <x:c r="E18" s="39" t="str">
        <x:v>MS-HC</x:v>
      </x:c>
      <x:c r="F18" s="39" t="str">
        <x:v>Control an active hazard</x:v>
      </x:c>
      <x:c r="G18" s="39" t="str">
        <x:v>Hazard and environmental control</x:v>
      </x:c>
      <x:c r="H18" s="39" t="str">
        <x:v>Air Response</x:v>
      </x:c>
      <x:c r="I18" s="47" t="n">
        <x:v>0.45</x:v>
      </x:c>
      <x:c r="J18" s="39" t="n">
        <x:v>22</x:v>
      </x:c>
      <x:c r="K18" s="39" t="n">
        <x:v>51</x:v>
      </x:c>
      <x:c r="L18" s="39" t="n">
        <x:v>91800</x:v>
      </x:c>
      <x:c r="M18" s="42" t="n">
        <x:v>306</x:v>
      </x:c>
      <x:c r="N18" s="49" t="n">
        <x:f>J18*(1-I18)</x:f>
        <x:v>12.100000000000001</x:v>
      </x:c>
      <x:c r="O18" s="39" t="n">
        <x:v>1</x:v>
      </x:c>
      <x:c r="P18" s="39" t="n">
        <x:v>2</x:v>
      </x:c>
      <x:c r="Q18" s="39" t="n">
        <x:v>2</x:v>
      </x:c>
      <x:c r="R18" s="39" t="n">
        <x:v>10</x:v>
      </x:c>
      <x:c r="S18" s="39" t="n">
        <x:v>2</x:v>
      </x:c>
      <x:c r="T18" s="39" t="n">
        <x:v>0</x:v>
      </x:c>
      <x:c r="U18" s="39" t="n">
        <x:v>1</x:v>
      </x:c>
      <x:c r="V18" s="39" t="n">
        <x:v>1</x:v>
      </x:c>
      <x:c r="W18" s="39" t="n">
        <x:v>2</x:v>
      </x:c>
      <x:c r="X18" s="39" t="n">
        <x:v>1</x:v>
      </x:c>
      <x:c r="Y18" s="39" t="str">
        <x:f>IF(COUNTIFS($C$5:$C$52,C18)=1,"PASS","FAIL")</x:f>
        <x:v>PASS</x:v>
      </x:c>
      <x:c r="Z18" s="39" t="str">
        <x:v>Pass 57 registry + Pass 167 NIFS-1</x:v>
      </x:c>
    </x:row>
    <x:row r="19">
      <x:c r="A19" s="1"/>
      <x:c r="B19" s="1"/>
      <x:c r="C19" s="39" t="str">
        <x:v>A-TDG</x:v>
      </x:c>
      <x:c r="D19" s="39" t="str">
        <x:v>Tactical distribution group</x:v>
      </x:c>
      <x:c r="E19" s="39" t="str">
        <x:v>MS-ET</x:v>
      </x:c>
      <x:c r="F19" s="39" t="str">
        <x:v>Enter a broken theater</x:v>
      </x:c>
      <x:c r="G19" s="39" t="str">
        <x:v>Mobility, access and distribution</x:v>
      </x:c>
      <x:c r="H19" s="39" t="str">
        <x:v>Air Response</x:v>
      </x:c>
      <x:c r="I19" s="47" t="n">
        <x:v>0.45</x:v>
      </x:c>
      <x:c r="J19" s="39" t="n">
        <x:v>58</x:v>
      </x:c>
      <x:c r="K19" s="39" t="n">
        <x:v>134</x:v>
      </x:c>
      <x:c r="L19" s="39" t="n">
        <x:v>180900</x:v>
      </x:c>
      <x:c r="M19" s="42" t="n">
        <x:v>402</x:v>
      </x:c>
      <x:c r="N19" s="49" t="n">
        <x:f>J19*(1-I19)</x:f>
        <x:v>31.900000000000002</x:v>
      </x:c>
      <x:c r="O19" s="39" t="n">
        <x:v>4</x:v>
      </x:c>
      <x:c r="P19" s="39" t="n">
        <x:v>6</x:v>
      </x:c>
      <x:c r="Q19" s="39" t="n">
        <x:v>8</x:v>
      </x:c>
      <x:c r="R19" s="39" t="n">
        <x:v>5</x:v>
      </x:c>
      <x:c r="S19" s="39" t="n">
        <x:v>4</x:v>
      </x:c>
      <x:c r="T19" s="39" t="n">
        <x:v>4</x:v>
      </x:c>
      <x:c r="U19" s="39" t="n">
        <x:v>6</x:v>
      </x:c>
      <x:c r="V19" s="39" t="n">
        <x:v>5</x:v>
      </x:c>
      <x:c r="W19" s="39" t="n">
        <x:v>8</x:v>
      </x:c>
      <x:c r="X19" s="39" t="n">
        <x:v>8</x:v>
      </x:c>
      <x:c r="Y19" s="39" t="str">
        <x:f>IF(COUNTIFS($C$5:$C$52,C19)=1,"PASS","FAIL")</x:f>
        <x:v>PASS</x:v>
      </x:c>
      <x:c r="Z19" s="39" t="str">
        <x:v>Pass 57 registry + Pass 167 NIFS-1</x:v>
      </x:c>
    </x:row>
    <x:row r="20">
      <x:c r="A20" s="1"/>
      <x:c r="B20" s="1"/>
      <x:c r="C20" s="39" t="str">
        <x:v>A-SRG</x:v>
      </x:c>
      <x:c r="D20" s="39" t="str">
        <x:v>Air sensing and relay group</x:v>
      </x:c>
      <x:c r="E20" s="39" t="str">
        <x:v>MS-CT</x:v>
      </x:c>
      <x:c r="F20" s="39" t="str">
        <x:v>Reach occupied civil terrain</x:v>
      </x:c>
      <x:c r="G20" s="39" t="str">
        <x:v>Communications, computation and public-service access</x:v>
      </x:c>
      <x:c r="H20" s="39" t="str">
        <x:v>Air Response</x:v>
      </x:c>
      <x:c r="I20" s="47" t="n">
        <x:v>0.45</x:v>
      </x:c>
      <x:c r="J20" s="39" t="n">
        <x:v>40</x:v>
      </x:c>
      <x:c r="K20" s="39" t="n">
        <x:v>93</x:v>
      </x:c>
      <x:c r="L20" s="39" t="n">
        <x:v>50220</x:v>
      </x:c>
      <x:c r="M20" s="42" t="n">
        <x:v>111.6</x:v>
      </x:c>
      <x:c r="N20" s="49" t="n">
        <x:f>J20*(1-I20)</x:f>
        <x:v>22</x:v>
      </x:c>
      <x:c r="O20" s="39" t="n">
        <x:v>3</x:v>
      </x:c>
      <x:c r="P20" s="39" t="n">
        <x:v>4</x:v>
      </x:c>
      <x:c r="Q20" s="39" t="n">
        <x:v>5</x:v>
      </x:c>
      <x:c r="R20" s="39" t="n">
        <x:v>5</x:v>
      </x:c>
      <x:c r="S20" s="39" t="n">
        <x:v>3</x:v>
      </x:c>
      <x:c r="T20" s="39" t="n">
        <x:v>3</x:v>
      </x:c>
      <x:c r="U20" s="39" t="n">
        <x:v>4</x:v>
      </x:c>
      <x:c r="V20" s="39" t="n">
        <x:v>3</x:v>
      </x:c>
      <x:c r="W20" s="39" t="n">
        <x:v>5</x:v>
      </x:c>
      <x:c r="X20" s="39" t="n">
        <x:v>5</x:v>
      </x:c>
      <x:c r="Y20" s="39" t="str">
        <x:f>IF(COUNTIFS($C$5:$C$52,C20)=1,"PASS","FAIL")</x:f>
        <x:v>PASS</x:v>
      </x:c>
      <x:c r="Z20" s="39" t="str">
        <x:v>Pass 57 registry + Pass 167 NIFS-1</x:v>
      </x:c>
    </x:row>
    <x:row r="21">
      <x:c r="A21" s="1"/>
      <x:c r="B21" s="1"/>
      <x:c r="C21" s="39" t="str">
        <x:v>A-AMG</x:v>
      </x:c>
      <x:c r="D21" s="39" t="str">
        <x:v>Aeromedical movement group</x:v>
      </x:c>
      <x:c r="E21" s="39" t="str">
        <x:v>MS-HU</x:v>
      </x:c>
      <x:c r="F21" s="39" t="str">
        <x:v>Preserve care and human continuity</x:v>
      </x:c>
      <x:c r="G21" s="39" t="str">
        <x:v>Health and medical continuity</x:v>
      </x:c>
      <x:c r="H21" s="39" t="str">
        <x:v>Air Response</x:v>
      </x:c>
      <x:c r="I21" s="47" t="n">
        <x:v>0.45</x:v>
      </x:c>
      <x:c r="J21" s="39" t="n">
        <x:v>31</x:v>
      </x:c>
      <x:c r="K21" s="39" t="n">
        <x:v>72</x:v>
      </x:c>
      <x:c r="L21" s="39" t="n">
        <x:v>64800</x:v>
      </x:c>
      <x:c r="M21" s="42" t="n">
        <x:v>180</x:v>
      </x:c>
      <x:c r="N21" s="49" t="n">
        <x:f>J21*(1-I21)</x:f>
        <x:v>17.05</x:v>
      </x:c>
      <x:c r="O21" s="39" t="n">
        <x:v>2</x:v>
      </x:c>
      <x:c r="P21" s="39" t="n">
        <x:v>3</x:v>
      </x:c>
      <x:c r="Q21" s="39" t="n">
        <x:v>5</x:v>
      </x:c>
      <x:c r="R21" s="39" t="n">
        <x:v>2</x:v>
      </x:c>
      <x:c r="S21" s="39" t="n">
        <x:v>3</x:v>
      </x:c>
      <x:c r="T21" s="39" t="n">
        <x:v>2</x:v>
      </x:c>
      <x:c r="U21" s="39" t="n">
        <x:v>3</x:v>
      </x:c>
      <x:c r="V21" s="39" t="n">
        <x:v>2</x:v>
      </x:c>
      <x:c r="W21" s="39" t="n">
        <x:v>5</x:v>
      </x:c>
      <x:c r="X21" s="39" t="n">
        <x:v>4</x:v>
      </x:c>
      <x:c r="Y21" s="39" t="str">
        <x:f>IF(COUNTIFS($C$5:$C$52,C21)=1,"PASS","FAIL")</x:f>
        <x:v>PASS</x:v>
      </x:c>
      <x:c r="Z21" s="39" t="str">
        <x:v>Pass 57 registry + Pass 167 NIFS-1</x:v>
      </x:c>
    </x:row>
    <x:row r="22">
      <x:c r="A22" s="1"/>
      <x:c r="B22" s="1"/>
      <x:c r="C22" s="39" t="str">
        <x:v>M-POG</x:v>
      </x:c>
      <x:c r="D22" s="39" t="str">
        <x:v>Port-opening group</x:v>
      </x:c>
      <x:c r="E22" s="39" t="str">
        <x:v>MS-ET</x:v>
      </x:c>
      <x:c r="F22" s="39" t="str">
        <x:v>Enter a broken theater</x:v>
      </x:c>
      <x:c r="G22" s="39" t="str">
        <x:v>Mobility, access and distribution</x:v>
      </x:c>
      <x:c r="H22" s="39" t="str">
        <x:v>Maritime Response</x:v>
      </x:c>
      <x:c r="I22" s="47" t="n">
        <x:v>0.45</x:v>
      </x:c>
      <x:c r="J22" s="39" t="n">
        <x:v>32</x:v>
      </x:c>
      <x:c r="K22" s="39" t="n">
        <x:v>74</x:v>
      </x:c>
      <x:c r="L22" s="39" t="n">
        <x:v>99900</x:v>
      </x:c>
      <x:c r="M22" s="42" t="n">
        <x:v>222</x:v>
      </x:c>
      <x:c r="N22" s="49" t="n">
        <x:f>J22*(1-I22)</x:f>
        <x:v>17.6</x:v>
      </x:c>
      <x:c r="O22" s="39" t="n">
        <x:v>1</x:v>
      </x:c>
      <x:c r="P22" s="39" t="n">
        <x:v>5</x:v>
      </x:c>
      <x:c r="Q22" s="39" t="n">
        <x:v>8</x:v>
      </x:c>
      <x:c r="R22" s="39" t="n">
        <x:v>0</x:v>
      </x:c>
      <x:c r="S22" s="39" t="n">
        <x:v>0</x:v>
      </x:c>
      <x:c r="T22" s="39" t="n">
        <x:v>1</x:v>
      </x:c>
      <x:c r="U22" s="39" t="n">
        <x:v>1</x:v>
      </x:c>
      <x:c r="V22" s="39" t="n">
        <x:v>2</x:v>
      </x:c>
      <x:c r="W22" s="39" t="n">
        <x:v>8</x:v>
      </x:c>
      <x:c r="X22" s="39" t="n">
        <x:v>6</x:v>
      </x:c>
      <x:c r="Y22" s="39" t="str">
        <x:f>IF(COUNTIFS($C$5:$C$52,C22)=1,"PASS","FAIL")</x:f>
        <x:v>PASS</x:v>
      </x:c>
      <x:c r="Z22" s="39" t="str">
        <x:v>Pass 57 registry + Pass 167 NIFS-1</x:v>
      </x:c>
    </x:row>
    <x:row r="23">
      <x:c r="A23" s="1"/>
      <x:c r="B23" s="1"/>
      <x:c r="C23" s="39" t="str">
        <x:v>M-LAG</x:v>
      </x:c>
      <x:c r="D23" s="39" t="str">
        <x:v>Littoral-access group</x:v>
      </x:c>
      <x:c r="E23" s="39" t="str">
        <x:v>MS-ET</x:v>
      </x:c>
      <x:c r="F23" s="39" t="str">
        <x:v>Enter a broken theater</x:v>
      </x:c>
      <x:c r="G23" s="39" t="str">
        <x:v>Mobility, access and distribution</x:v>
      </x:c>
      <x:c r="H23" s="39" t="str">
        <x:v>Maritime Response</x:v>
      </x:c>
      <x:c r="I23" s="47" t="n">
        <x:v>0.45</x:v>
      </x:c>
      <x:c r="J23" s="39" t="n">
        <x:v>37</x:v>
      </x:c>
      <x:c r="K23" s="39" t="n">
        <x:v>86</x:v>
      </x:c>
      <x:c r="L23" s="39" t="n">
        <x:v>90300</x:v>
      </x:c>
      <x:c r="M23" s="42" t="n">
        <x:v>172</x:v>
      </x:c>
      <x:c r="N23" s="49" t="n">
        <x:f>J23*(1-I23)</x:f>
        <x:v>20.35</x:v>
      </x:c>
      <x:c r="O23" s="39" t="n">
        <x:v>1</x:v>
      </x:c>
      <x:c r="P23" s="39" t="n">
        <x:v>6</x:v>
      </x:c>
      <x:c r="Q23" s="39" t="n">
        <x:v>8</x:v>
      </x:c>
      <x:c r="R23" s="39" t="n">
        <x:v>0</x:v>
      </x:c>
      <x:c r="S23" s="39" t="n">
        <x:v>0</x:v>
      </x:c>
      <x:c r="T23" s="39" t="n">
        <x:v>2</x:v>
      </x:c>
      <x:c r="U23" s="39" t="n">
        <x:v>1</x:v>
      </x:c>
      <x:c r="V23" s="39" t="n">
        <x:v>3</x:v>
      </x:c>
      <x:c r="W23" s="39" t="n">
        <x:v>8</x:v>
      </x:c>
      <x:c r="X23" s="39" t="n">
        <x:v>8</x:v>
      </x:c>
      <x:c r="Y23" s="39" t="str">
        <x:f>IF(COUNTIFS($C$5:$C$52,C23)=1,"PASS","FAIL")</x:f>
        <x:v>PASS</x:v>
      </x:c>
      <x:c r="Z23" s="39" t="str">
        <x:v>Pass 57 registry + Pass 167 NIFS-1</x:v>
      </x:c>
    </x:row>
    <x:row r="24">
      <x:c r="A24" s="1"/>
      <x:c r="B24" s="1"/>
      <x:c r="C24" s="39" t="str">
        <x:v>M-IWG</x:v>
      </x:c>
      <x:c r="D24" s="39" t="str">
        <x:v>Inland-waterway group</x:v>
      </x:c>
      <x:c r="E24" s="39" t="str">
        <x:v>MS-ET</x:v>
      </x:c>
      <x:c r="F24" s="39" t="str">
        <x:v>Enter a broken theater</x:v>
      </x:c>
      <x:c r="G24" s="39" t="str">
        <x:v>Mobility, access and distribution</x:v>
      </x:c>
      <x:c r="H24" s="39" t="str">
        <x:v>Maritime Response</x:v>
      </x:c>
      <x:c r="I24" s="47" t="n">
        <x:v>0.45</x:v>
      </x:c>
      <x:c r="J24" s="39" t="n">
        <x:v>29</x:v>
      </x:c>
      <x:c r="K24" s="39" t="n">
        <x:v>67</x:v>
      </x:c>
      <x:c r="L24" s="39" t="n">
        <x:v>50250</x:v>
      </x:c>
      <x:c r="M24" s="42" t="n">
        <x:v>100.5</x:v>
      </x:c>
      <x:c r="N24" s="49" t="n">
        <x:f>J24*(1-I24)</x:f>
        <x:v>15.950000000000001</x:v>
      </x:c>
      <x:c r="O24" s="39" t="n">
        <x:v>2</x:v>
      </x:c>
      <x:c r="P24" s="39" t="n">
        <x:v>3</x:v>
      </x:c>
      <x:c r="Q24" s="39" t="n">
        <x:v>2</x:v>
      </x:c>
      <x:c r="R24" s="39" t="n">
        <x:v>0</x:v>
      </x:c>
      <x:c r="S24" s="39" t="n">
        <x:v>0</x:v>
      </x:c>
      <x:c r="T24" s="39" t="n">
        <x:v>8</x:v>
      </x:c>
      <x:c r="U24" s="39" t="n">
        <x:v>3</x:v>
      </x:c>
      <x:c r="V24" s="39" t="n">
        <x:v>4</x:v>
      </x:c>
      <x:c r="W24" s="39" t="n">
        <x:v>1</x:v>
      </x:c>
      <x:c r="X24" s="39" t="n">
        <x:v>6</x:v>
      </x:c>
      <x:c r="Y24" s="39" t="str">
        <x:f>IF(COUNTIFS($C$5:$C$52,C24)=1,"PASS","FAIL")</x:f>
        <x:v>PASS</x:v>
      </x:c>
      <x:c r="Z24" s="39" t="str">
        <x:v>Pass 57 registry + Pass 167 NIFS-1</x:v>
      </x:c>
    </x:row>
    <x:row r="25">
      <x:c r="A25" s="1"/>
      <x:c r="B25" s="1"/>
      <x:c r="C25" s="39" t="str">
        <x:v>M-OSG</x:v>
      </x:c>
      <x:c r="D25" s="39" t="str">
        <x:v>Offshore-support group</x:v>
      </x:c>
      <x:c r="E25" s="39" t="str">
        <x:v>MS-RT</x:v>
      </x:c>
      <x:c r="F25" s="39" t="str">
        <x:v>Sustain, transfer and regenerate</x:v>
      </x:c>
      <x:c r="G25" s="39" t="str">
        <x:v>Housing, public works and economic continuity</x:v>
      </x:c>
      <x:c r="H25" s="39" t="str">
        <x:v>Maritime Response</x:v>
      </x:c>
      <x:c r="I25" s="47" t="n">
        <x:v>0.45</x:v>
      </x:c>
      <x:c r="J25" s="39" t="n">
        <x:v>24</x:v>
      </x:c>
      <x:c r="K25" s="39" t="n">
        <x:v>56</x:v>
      </x:c>
      <x:c r="L25" s="39" t="n">
        <x:v>117600</x:v>
      </x:c>
      <x:c r="M25" s="42" t="n">
        <x:v>392</x:v>
      </x:c>
      <x:c r="N25" s="49" t="n">
        <x:f>J25*(1-I25)</x:f>
        <x:v>13.200000000000001</x:v>
      </x:c>
      <x:c r="O25" s="39" t="n">
        <x:v>1</x:v>
      </x:c>
      <x:c r="P25" s="39" t="n">
        <x:v>3</x:v>
      </x:c>
      <x:c r="Q25" s="39" t="n">
        <x:v>4</x:v>
      </x:c>
      <x:c r="R25" s="39" t="n">
        <x:v>0</x:v>
      </x:c>
      <x:c r="S25" s="39" t="n">
        <x:v>0</x:v>
      </x:c>
      <x:c r="T25" s="39" t="n">
        <x:v>1</x:v>
      </x:c>
      <x:c r="U25" s="39" t="n">
        <x:v>1</x:v>
      </x:c>
      <x:c r="V25" s="39" t="n">
        <x:v>3</x:v>
      </x:c>
      <x:c r="W25" s="39" t="n">
        <x:v>6</x:v>
      </x:c>
      <x:c r="X25" s="39" t="n">
        <x:v>5</x:v>
      </x:c>
      <x:c r="Y25" s="39" t="str">
        <x:f>IF(COUNTIFS($C$5:$C$52,C25)=1,"PASS","FAIL")</x:f>
        <x:v>PASS</x:v>
      </x:c>
      <x:c r="Z25" s="39" t="str">
        <x:v>Pass 57 registry + Pass 167 NIFS-1</x:v>
      </x:c>
    </x:row>
    <x:row r="26">
      <x:c r="A26" s="1"/>
      <x:c r="B26" s="1"/>
      <x:c r="C26" s="39" t="str">
        <x:v>M-MPG</x:v>
      </x:c>
      <x:c r="D26" s="39" t="str">
        <x:v>Maritime production group</x:v>
      </x:c>
      <x:c r="E26" s="39" t="str">
        <x:v>MS-LF</x:v>
      </x:c>
      <x:c r="F26" s="39" t="str">
        <x:v>Produce and distribute lifelines</x:v>
      </x:c>
      <x:c r="G26" s="39" t="str">
        <x:v>Water, sanitation and hygiene</x:v>
      </x:c>
      <x:c r="H26" s="39" t="str">
        <x:v>Maritime Response</x:v>
      </x:c>
      <x:c r="I26" s="47" t="n">
        <x:v>0.8</x:v>
      </x:c>
      <x:c r="J26" s="39" t="n">
        <x:v>28</x:v>
      </x:c>
      <x:c r="K26" s="39" t="n">
        <x:v>65</x:v>
      </x:c>
      <x:c r="L26" s="39" t="n">
        <x:v>175500</x:v>
      </x:c>
      <x:c r="M26" s="42" t="n">
        <x:v>97.5</x:v>
      </x:c>
      <x:c r="N26" s="49" t="n">
        <x:f>J26*(1-I26)</x:f>
        <x:v>5.599999999999999</x:v>
      </x:c>
      <x:c r="O26" s="39" t="n">
        <x:v>2</x:v>
      </x:c>
      <x:c r="P26" s="39" t="n">
        <x:v>4</x:v>
      </x:c>
      <x:c r="Q26" s="39" t="n">
        <x:v>4</x:v>
      </x:c>
      <x:c r="R26" s="39" t="n">
        <x:v>1</x:v>
      </x:c>
      <x:c r="S26" s="39" t="n">
        <x:v>2</x:v>
      </x:c>
      <x:c r="T26" s="39" t="n">
        <x:v>2</x:v>
      </x:c>
      <x:c r="U26" s="39" t="n">
        <x:v>1</x:v>
      </x:c>
      <x:c r="V26" s="39" t="n">
        <x:v>4</x:v>
      </x:c>
      <x:c r="W26" s="39" t="n">
        <x:v>4</x:v>
      </x:c>
      <x:c r="X26" s="39" t="n">
        <x:v>4</x:v>
      </x:c>
      <x:c r="Y26" s="39" t="str">
        <x:f>IF(COUNTIFS($C$5:$C$52,C26)=1,"PASS","FAIL")</x:f>
        <x:v>PASS</x:v>
      </x:c>
      <x:c r="Z26" s="39" t="str">
        <x:v>Pass 57 registry + Pass 167 NIFS-1</x:v>
      </x:c>
    </x:row>
    <x:row r="27">
      <x:c r="A27" s="1"/>
      <x:c r="B27" s="1"/>
      <x:c r="C27" s="39" t="str">
        <x:v>M-SSG</x:v>
      </x:c>
      <x:c r="D27" s="39" t="str">
        <x:v>Ocean sustainment group</x:v>
      </x:c>
      <x:c r="E27" s="39" t="str">
        <x:v>MS-RT</x:v>
      </x:c>
      <x:c r="F27" s="39" t="str">
        <x:v>Sustain, transfer and regenerate</x:v>
      </x:c>
      <x:c r="G27" s="39" t="str">
        <x:v>Mobility, access and distribution</x:v>
      </x:c>
      <x:c r="H27" s="39" t="str">
        <x:v>Maritime Response</x:v>
      </x:c>
      <x:c r="I27" s="47" t="n">
        <x:v>0.45</x:v>
      </x:c>
      <x:c r="J27" s="39" t="n">
        <x:v>38</x:v>
      </x:c>
      <x:c r="K27" s="39" t="n">
        <x:v>88</x:v>
      </x:c>
      <x:c r="L27" s="39" t="n">
        <x:v>171600</x:v>
      </x:c>
      <x:c r="M27" s="42" t="n">
        <x:v>792</x:v>
      </x:c>
      <x:c r="N27" s="49" t="n">
        <x:f>J27*(1-I27)</x:f>
        <x:v>20.900000000000002</x:v>
      </x:c>
      <x:c r="O27" s="39" t="n">
        <x:v>2</x:v>
      </x:c>
      <x:c r="P27" s="39" t="n">
        <x:v>4</x:v>
      </x:c>
      <x:c r="Q27" s="39" t="n">
        <x:v>6</x:v>
      </x:c>
      <x:c r="R27" s="39" t="n">
        <x:v>1</x:v>
      </x:c>
      <x:c r="S27" s="39" t="n">
        <x:v>1</x:v>
      </x:c>
      <x:c r="T27" s="39" t="n">
        <x:v>2</x:v>
      </x:c>
      <x:c r="U27" s="39" t="n">
        <x:v>2</x:v>
      </x:c>
      <x:c r="V27" s="39" t="n">
        <x:v>4</x:v>
      </x:c>
      <x:c r="W27" s="39" t="n">
        <x:v>8</x:v>
      </x:c>
      <x:c r="X27" s="39" t="n">
        <x:v>8</x:v>
      </x:c>
      <x:c r="Y27" s="39" t="str">
        <x:f>IF(COUNTIFS($C$5:$C$52,C27)=1,"PASS","FAIL")</x:f>
        <x:v>PASS</x:v>
      </x:c>
      <x:c r="Z27" s="39" t="str">
        <x:v>Pass 57 registry + Pass 167 NIFS-1</x:v>
      </x:c>
    </x:row>
    <x:row r="28">
      <x:c r="A28" s="1"/>
      <x:c r="B28" s="1"/>
      <x:c r="C28" s="39" t="str">
        <x:v>I-WRG</x:v>
      </x:c>
      <x:c r="D28" s="39" t="str">
        <x:v>Water restoration group</x:v>
      </x:c>
      <x:c r="E28" s="39" t="str">
        <x:v>MS-LF</x:v>
      </x:c>
      <x:c r="F28" s="39" t="str">
        <x:v>Produce and distribute lifelines</x:v>
      </x:c>
      <x:c r="G28" s="39" t="str">
        <x:v>Water, sanitation and hygiene</x:v>
      </x:c>
      <x:c r="H28" s="39" t="str">
        <x:v>Infrastructure Restoration</x:v>
      </x:c>
      <x:c r="I28" s="47" t="n">
        <x:v>0.8</x:v>
      </x:c>
      <x:c r="J28" s="39" t="n">
        <x:v>54</x:v>
      </x:c>
      <x:c r="K28" s="39" t="n">
        <x:v>116</x:v>
      </x:c>
      <x:c r="L28" s="39" t="n">
        <x:v>737760</x:v>
      </x:c>
      <x:c r="M28" s="42" t="n">
        <x:v>174</x:v>
      </x:c>
      <x:c r="N28" s="49" t="n">
        <x:f>J28*(1-I28)</x:f>
        <x:v>10.799999999999997</x:v>
      </x:c>
      <x:c r="O28" s="39" t="n">
        <x:v>6</x:v>
      </x:c>
      <x:c r="P28" s="39" t="n">
        <x:v>6</x:v>
      </x:c>
      <x:c r="Q28" s="39" t="n">
        <x:v>8</x:v>
      </x:c>
      <x:c r="R28" s="39" t="n">
        <x:v>2</x:v>
      </x:c>
      <x:c r="S28" s="39" t="n">
        <x:v>2</x:v>
      </x:c>
      <x:c r="T28" s="39" t="n">
        <x:v>4</x:v>
      </x:c>
      <x:c r="U28" s="39" t="n">
        <x:v>3</x:v>
      </x:c>
      <x:c r="V28" s="39" t="n">
        <x:v>8</x:v>
      </x:c>
      <x:c r="W28" s="39" t="n">
        <x:v>8</x:v>
      </x:c>
      <x:c r="X28" s="39" t="n">
        <x:v>7</x:v>
      </x:c>
      <x:c r="Y28" s="39" t="str">
        <x:f>IF(COUNTIFS($C$5:$C$52,C28)=1,"PASS","FAIL")</x:f>
        <x:v>PASS</x:v>
      </x:c>
      <x:c r="Z28" s="39" t="str">
        <x:v>Pass 57 registry + Pass 167 NIFS-1</x:v>
      </x:c>
    </x:row>
    <x:row r="29">
      <x:c r="A29" s="1"/>
      <x:c r="B29" s="1"/>
      <x:c r="C29" s="39" t="str">
        <x:v>I-PRG</x:v>
      </x:c>
      <x:c r="D29" s="39" t="str">
        <x:v>Power restoration group</x:v>
      </x:c>
      <x:c r="E29" s="39" t="str">
        <x:v>MS-LF</x:v>
      </x:c>
      <x:c r="F29" s="39" t="str">
        <x:v>Produce and distribute lifelines</x:v>
      </x:c>
      <x:c r="G29" s="39" t="str">
        <x:v>Energy and thermal continuity</x:v>
      </x:c>
      <x:c r="H29" s="39" t="str">
        <x:v>Infrastructure Restoration</x:v>
      </x:c>
      <x:c r="I29" s="47" t="n">
        <x:v>0.8</x:v>
      </x:c>
      <x:c r="J29" s="39" t="n">
        <x:v>63</x:v>
      </x:c>
      <x:c r="K29" s="39" t="n">
        <x:v>135</x:v>
      </x:c>
      <x:c r="L29" s="39" t="n">
        <x:v>891000</x:v>
      </x:c>
      <x:c r="M29" s="42" t="n">
        <x:v>270</x:v>
      </x:c>
      <x:c r="N29" s="49" t="n">
        <x:f>J29*(1-I29)</x:f>
        <x:v>12.599999999999998</x:v>
      </x:c>
      <x:c r="O29" s="39" t="n">
        <x:v>8</x:v>
      </x:c>
      <x:c r="P29" s="39" t="n">
        <x:v>6</x:v>
      </x:c>
      <x:c r="Q29" s="39" t="n">
        <x:v>10</x:v>
      </x:c>
      <x:c r="R29" s="39" t="n">
        <x:v>3</x:v>
      </x:c>
      <x:c r="S29" s="39" t="n">
        <x:v>6</x:v>
      </x:c>
      <x:c r="T29" s="39" t="n">
        <x:v>5</x:v>
      </x:c>
      <x:c r="U29" s="39" t="n">
        <x:v>4</x:v>
      </x:c>
      <x:c r="V29" s="39" t="n">
        <x:v>6</x:v>
      </x:c>
      <x:c r="W29" s="39" t="n">
        <x:v>8</x:v>
      </x:c>
      <x:c r="X29" s="39" t="n">
        <x:v>7</x:v>
      </x:c>
      <x:c r="Y29" s="39" t="str">
        <x:f>IF(COUNTIFS($C$5:$C$52,C29)=1,"PASS","FAIL")</x:f>
        <x:v>PASS</x:v>
      </x:c>
      <x:c r="Z29" s="39" t="str">
        <x:v>Pass 57 registry + Pass 167 NIFS-1</x:v>
      </x:c>
    </x:row>
    <x:row r="30">
      <x:c r="A30" s="1"/>
      <x:c r="B30" s="1"/>
      <x:c r="C30" s="39" t="str">
        <x:v>I-GBG</x:v>
      </x:c>
      <x:c r="D30" s="39" t="str">
        <x:v>Grid bridge group</x:v>
      </x:c>
      <x:c r="E30" s="39" t="str">
        <x:v>MS-LF</x:v>
      </x:c>
      <x:c r="F30" s="39" t="str">
        <x:v>Produce and distribute lifelines</x:v>
      </x:c>
      <x:c r="G30" s="39" t="str">
        <x:v>Energy and thermal continuity</x:v>
      </x:c>
      <x:c r="H30" s="39" t="str">
        <x:v>Infrastructure Restoration</x:v>
      </x:c>
      <x:c r="I30" s="47" t="n">
        <x:v>0.5</x:v>
      </x:c>
      <x:c r="J30" s="39" t="n">
        <x:v>48</x:v>
      </x:c>
      <x:c r="K30" s="39" t="n">
        <x:v>103</x:v>
      </x:c>
      <x:c r="L30" s="39" t="n">
        <x:v>432600</x:v>
      </x:c>
      <x:c r="M30" s="42" t="n">
        <x:v>154.5</x:v>
      </x:c>
      <x:c r="N30" s="49" t="n">
        <x:f>J30*(1-I30)</x:f>
        <x:v>24</x:v>
      </x:c>
      <x:c r="O30" s="39" t="n">
        <x:v>6</x:v>
      </x:c>
      <x:c r="P30" s="39" t="n">
        <x:v>5</x:v>
      </x:c>
      <x:c r="Q30" s="39" t="n">
        <x:v>8</x:v>
      </x:c>
      <x:c r="R30" s="39" t="n">
        <x:v>2</x:v>
      </x:c>
      <x:c r="S30" s="39" t="n">
        <x:v>5</x:v>
      </x:c>
      <x:c r="T30" s="39" t="n">
        <x:v>4</x:v>
      </x:c>
      <x:c r="U30" s="39" t="n">
        <x:v>3</x:v>
      </x:c>
      <x:c r="V30" s="39" t="n">
        <x:v>4</x:v>
      </x:c>
      <x:c r="W30" s="39" t="n">
        <x:v>6</x:v>
      </x:c>
      <x:c r="X30" s="39" t="n">
        <x:v>5</x:v>
      </x:c>
      <x:c r="Y30" s="39" t="str">
        <x:f>IF(COUNTIFS($C$5:$C$52,C30)=1,"PASS","FAIL")</x:f>
        <x:v>PASS</x:v>
      </x:c>
      <x:c r="Z30" s="39" t="str">
        <x:v>Pass 57 registry + Pass 167 NIFS-1</x:v>
      </x:c>
    </x:row>
    <x:row r="31">
      <x:c r="A31" s="1"/>
      <x:c r="B31" s="1"/>
      <x:c r="C31" s="39" t="str">
        <x:v>I-TSG</x:v>
      </x:c>
      <x:c r="D31" s="39" t="str">
        <x:v>Thermal safety group</x:v>
      </x:c>
      <x:c r="E31" s="39" t="str">
        <x:v>MS-LF</x:v>
      </x:c>
      <x:c r="F31" s="39" t="str">
        <x:v>Produce and distribute lifelines</x:v>
      </x:c>
      <x:c r="G31" s="39" t="str">
        <x:v>Energy and thermal continuity</x:v>
      </x:c>
      <x:c r="H31" s="39" t="str">
        <x:v>Infrastructure Restoration</x:v>
      </x:c>
      <x:c r="I31" s="47" t="n">
        <x:v>0.45</x:v>
      </x:c>
      <x:c r="J31" s="39" t="n">
        <x:v>63</x:v>
      </x:c>
      <x:c r="K31" s="39" t="n">
        <x:v>135</x:v>
      </x:c>
      <x:c r="L31" s="39" t="n">
        <x:v>101250</x:v>
      </x:c>
      <x:c r="M31" s="42" t="n">
        <x:v>108</x:v>
      </x:c>
      <x:c r="N31" s="49" t="n">
        <x:f>J31*(1-I31)</x:f>
        <x:v>34.650000000000006</x:v>
      </x:c>
      <x:c r="O31" s="39" t="n">
        <x:v>12</x:v>
      </x:c>
      <x:c r="P31" s="39" t="n">
        <x:v>6</x:v>
      </x:c>
      <x:c r="Q31" s="39" t="n">
        <x:v>8</x:v>
      </x:c>
      <x:c r="R31" s="39" t="n">
        <x:v>4</x:v>
      </x:c>
      <x:c r="S31" s="39" t="n">
        <x:v>10</x:v>
      </x:c>
      <x:c r="T31" s="39" t="n">
        <x:v>3</x:v>
      </x:c>
      <x:c r="U31" s="39" t="n">
        <x:v>4</x:v>
      </x:c>
      <x:c r="V31" s="39" t="n">
        <x:v>5</x:v>
      </x:c>
      <x:c r="W31" s="39" t="n">
        <x:v>6</x:v>
      </x:c>
      <x:c r="X31" s="39" t="n">
        <x:v>5</x:v>
      </x:c>
      <x:c r="Y31" s="39" t="str">
        <x:f>IF(COUNTIFS($C$5:$C$52,C31)=1,"PASS","FAIL")</x:f>
        <x:v>PASS</x:v>
      </x:c>
      <x:c r="Z31" s="39" t="str">
        <x:v>Pass 57 registry + Pass 167 NIFS-1</x:v>
      </x:c>
    </x:row>
    <x:row r="32">
      <x:c r="A32" s="1"/>
      <x:c r="B32" s="1"/>
      <x:c r="C32" s="39" t="str">
        <x:v>I-CUG</x:v>
      </x:c>
      <x:c r="D32" s="39" t="str">
        <x:v>Communications utility group</x:v>
      </x:c>
      <x:c r="E32" s="39" t="str">
        <x:v>MS-CT</x:v>
      </x:c>
      <x:c r="F32" s="39" t="str">
        <x:v>Reach occupied civil terrain</x:v>
      </x:c>
      <x:c r="G32" s="39" t="str">
        <x:v>Communications, computation and public-service access</x:v>
      </x:c>
      <x:c r="H32" s="39" t="str">
        <x:v>Infrastructure Restoration</x:v>
      </x:c>
      <x:c r="I32" s="47" t="n">
        <x:v>0.45</x:v>
      </x:c>
      <x:c r="J32" s="39" t="n">
        <x:v>59</x:v>
      </x:c>
      <x:c r="K32" s="39" t="n">
        <x:v>127</x:v>
      </x:c>
      <x:c r="L32" s="39" t="n">
        <x:v>95250</x:v>
      </x:c>
      <x:c r="M32" s="42" t="n">
        <x:v>127</x:v>
      </x:c>
      <x:c r="N32" s="49" t="n">
        <x:f>J32*(1-I32)</x:f>
        <x:v>32.45</x:v>
      </x:c>
      <x:c r="O32" s="39" t="n">
        <x:v>6</x:v>
      </x:c>
      <x:c r="P32" s="39" t="n">
        <x:v>6</x:v>
      </x:c>
      <x:c r="Q32" s="39" t="n">
        <x:v>8</x:v>
      </x:c>
      <x:c r="R32" s="39" t="n">
        <x:v>4</x:v>
      </x:c>
      <x:c r="S32" s="39" t="n">
        <x:v>4</x:v>
      </x:c>
      <x:c r="T32" s="39" t="n">
        <x:v>5</x:v>
      </x:c>
      <x:c r="U32" s="39" t="n">
        <x:v>5</x:v>
      </x:c>
      <x:c r="V32" s="39" t="n">
        <x:v>5</x:v>
      </x:c>
      <x:c r="W32" s="39" t="n">
        <x:v>8</x:v>
      </x:c>
      <x:c r="X32" s="39" t="n">
        <x:v>8</x:v>
      </x:c>
      <x:c r="Y32" s="39" t="str">
        <x:f>IF(COUNTIFS($C$5:$C$52,C32)=1,"PASS","FAIL")</x:f>
        <x:v>PASS</x:v>
      </x:c>
      <x:c r="Z32" s="39" t="str">
        <x:v>Pass 57 registry + Pass 167 NIFS-1</x:v>
      </x:c>
    </x:row>
    <x:row r="33">
      <x:c r="A33" s="1"/>
      <x:c r="B33" s="1"/>
      <x:c r="C33" s="39" t="str">
        <x:v>I-URG</x:v>
      </x:c>
      <x:c r="D33" s="39" t="str">
        <x:v>Utility reconstruction group</x:v>
      </x:c>
      <x:c r="E33" s="39" t="str">
        <x:v>MS-RT</x:v>
      </x:c>
      <x:c r="F33" s="39" t="str">
        <x:v>Sustain, transfer and regenerate</x:v>
      </x:c>
      <x:c r="G33" s="39" t="str">
        <x:v>Housing, public works and economic continuity</x:v>
      </x:c>
      <x:c r="H33" s="39" t="str">
        <x:v>Infrastructure Restoration</x:v>
      </x:c>
      <x:c r="I33" s="47" t="n">
        <x:v>0.45</x:v>
      </x:c>
      <x:c r="J33" s="39" t="n">
        <x:v>73</x:v>
      </x:c>
      <x:c r="K33" s="39" t="n">
        <x:v>157</x:v>
      </x:c>
      <x:c r="L33" s="39" t="n">
        <x:v>211950</x:v>
      </x:c>
      <x:c r="M33" s="42" t="n">
        <x:v>314</x:v>
      </x:c>
      <x:c r="N33" s="49" t="n">
        <x:f>J33*(1-I33)</x:f>
        <x:v>40.150000000000006</x:v>
      </x:c>
      <x:c r="O33" s="39" t="n">
        <x:v>8</x:v>
      </x:c>
      <x:c r="P33" s="39" t="n">
        <x:v>8</x:v>
      </x:c>
      <x:c r="Q33" s="39" t="n">
        <x:v>12</x:v>
      </x:c>
      <x:c r="R33" s="39" t="n">
        <x:v>3</x:v>
      </x:c>
      <x:c r="S33" s="39" t="n">
        <x:v>4</x:v>
      </x:c>
      <x:c r="T33" s="39" t="n">
        <x:v>6</x:v>
      </x:c>
      <x:c r="U33" s="39" t="n">
        <x:v>8</x:v>
      </x:c>
      <x:c r="V33" s="39" t="n">
        <x:v>6</x:v>
      </x:c>
      <x:c r="W33" s="39" t="n">
        <x:v>10</x:v>
      </x:c>
      <x:c r="X33" s="39" t="n">
        <x:v>8</x:v>
      </x:c>
      <x:c r="Y33" s="39" t="str">
        <x:f>IF(COUNTIFS($C$5:$C$52,C33)=1,"PASS","FAIL")</x:f>
        <x:v>PASS</x:v>
      </x:c>
      <x:c r="Z33" s="39" t="str">
        <x:v>Pass 57 registry + Pass 167 NIFS-1</x:v>
      </x:c>
    </x:row>
    <x:row r="34">
      <x:c r="A34" s="1"/>
      <x:c r="B34" s="1"/>
      <x:c r="C34" s="39" t="str">
        <x:v>H-CHC</x:v>
      </x:c>
      <x:c r="D34" s="39" t="str">
        <x:v>Community health continuity group</x:v>
      </x:c>
      <x:c r="E34" s="39" t="str">
        <x:v>MS-HU</x:v>
      </x:c>
      <x:c r="F34" s="39" t="str">
        <x:v>Preserve care and human continuity</x:v>
      </x:c>
      <x:c r="G34" s="39" t="str">
        <x:v>Health and medical continuity</x:v>
      </x:c>
      <x:c r="H34" s="39" t="str">
        <x:v>Health Protection</x:v>
      </x:c>
      <x:c r="I34" s="47" t="n">
        <x:v>0.45</x:v>
      </x:c>
      <x:c r="J34" s="39" t="n">
        <x:v>75</x:v>
      </x:c>
      <x:c r="K34" s="39" t="n">
        <x:v>174</x:v>
      </x:c>
      <x:c r="L34" s="39" t="n">
        <x:v>295800</x:v>
      </x:c>
      <x:c r="M34" s="42" t="n">
        <x:v>208.79999999999998</x:v>
      </x:c>
      <x:c r="N34" s="49" t="n">
        <x:f>J34*(1-I34)</x:f>
        <x:v>41.25</x:v>
      </x:c>
      <x:c r="O34" s="39" t="n">
        <x:v>8</x:v>
      </x:c>
      <x:c r="P34" s="39" t="n">
        <x:v>8</x:v>
      </x:c>
      <x:c r="Q34" s="39" t="n">
        <x:v>10</x:v>
      </x:c>
      <x:c r="R34" s="39" t="n">
        <x:v>4</x:v>
      </x:c>
      <x:c r="S34" s="39" t="n">
        <x:v>8</x:v>
      </x:c>
      <x:c r="T34" s="39" t="n">
        <x:v>5</x:v>
      </x:c>
      <x:c r="U34" s="39" t="n">
        <x:v>6</x:v>
      </x:c>
      <x:c r="V34" s="39" t="n">
        <x:v>6</x:v>
      </x:c>
      <x:c r="W34" s="39" t="n">
        <x:v>10</x:v>
      </x:c>
      <x:c r="X34" s="39" t="n">
        <x:v>10</x:v>
      </x:c>
      <x:c r="Y34" s="39" t="str">
        <x:f>IF(COUNTIFS($C$5:$C$52,C34)=1,"PASS","FAIL")</x:f>
        <x:v>PASS</x:v>
      </x:c>
      <x:c r="Z34" s="39" t="str">
        <x:v>Pass 57 registry + Pass 167 NIFS-1</x:v>
      </x:c>
    </x:row>
    <x:row r="35">
      <x:c r="A35" s="1"/>
      <x:c r="B35" s="1"/>
      <x:c r="C35" s="39" t="str">
        <x:v>H-MAC</x:v>
      </x:c>
      <x:c r="D35" s="39" t="str">
        <x:v>Mobile acute-care group</x:v>
      </x:c>
      <x:c r="E35" s="39" t="str">
        <x:v>MS-HU</x:v>
      </x:c>
      <x:c r="F35" s="39" t="str">
        <x:v>Preserve care and human continuity</x:v>
      </x:c>
      <x:c r="G35" s="39" t="str">
        <x:v>Health and medical continuity</x:v>
      </x:c>
      <x:c r="H35" s="39" t="str">
        <x:v>Health Protection</x:v>
      </x:c>
      <x:c r="I35" s="47" t="n">
        <x:v>0.45</x:v>
      </x:c>
      <x:c r="J35" s="39" t="n">
        <x:v>49</x:v>
      </x:c>
      <x:c r="K35" s="39" t="n">
        <x:v>114</x:v>
      </x:c>
      <x:c r="L35" s="39" t="n">
        <x:v>232560</x:v>
      </x:c>
      <x:c r="M35" s="42" t="n">
        <x:v>285</x:v>
      </x:c>
      <x:c r="N35" s="49" t="n">
        <x:f>J35*(1-I35)</x:f>
        <x:v>26.950000000000003</x:v>
      </x:c>
      <x:c r="O35" s="39" t="n">
        <x:v>4</x:v>
      </x:c>
      <x:c r="P35" s="39" t="n">
        <x:v>5</x:v>
      </x:c>
      <x:c r="Q35" s="39" t="n">
        <x:v>8</x:v>
      </x:c>
      <x:c r="R35" s="39" t="n">
        <x:v>3</x:v>
      </x:c>
      <x:c r="S35" s="39" t="n">
        <x:v>4</x:v>
      </x:c>
      <x:c r="T35" s="39" t="n">
        <x:v>3</x:v>
      </x:c>
      <x:c r="U35" s="39" t="n">
        <x:v>5</x:v>
      </x:c>
      <x:c r="V35" s="39" t="n">
        <x:v>3</x:v>
      </x:c>
      <x:c r="W35" s="39" t="n">
        <x:v>8</x:v>
      </x:c>
      <x:c r="X35" s="39" t="n">
        <x:v>6</x:v>
      </x:c>
      <x:c r="Y35" s="39" t="str">
        <x:f>IF(COUNTIFS($C$5:$C$52,C35)=1,"PASS","FAIL")</x:f>
        <x:v>PASS</x:v>
      </x:c>
      <x:c r="Z35" s="39" t="str">
        <x:v>Pass 57 registry + Pass 167 NIFS-1</x:v>
      </x:c>
    </x:row>
    <x:row r="36">
      <x:c r="A36" s="1"/>
      <x:c r="B36" s="1"/>
      <x:c r="C36" s="39" t="str">
        <x:v>H-THC</x:v>
      </x:c>
      <x:c r="D36" s="39" t="str">
        <x:v>Theater hospital command</x:v>
      </x:c>
      <x:c r="E36" s="39" t="str">
        <x:v>MS-HU</x:v>
      </x:c>
      <x:c r="F36" s="39" t="str">
        <x:v>Preserve care and human continuity</x:v>
      </x:c>
      <x:c r="G36" s="39" t="str">
        <x:v>Health and medical continuity</x:v>
      </x:c>
      <x:c r="H36" s="39" t="str">
        <x:v>Health Protection</x:v>
      </x:c>
      <x:c r="I36" s="47" t="n">
        <x:v>0.5</x:v>
      </x:c>
      <x:c r="J36" s="39" t="n">
        <x:v>28</x:v>
      </x:c>
      <x:c r="K36" s="39" t="n">
        <x:v>65</x:v>
      </x:c>
      <x:c r="L36" s="39" t="n">
        <x:v>198900</x:v>
      </x:c>
      <x:c r="M36" s="42" t="n">
        <x:v>97.5</x:v>
      </x:c>
      <x:c r="N36" s="49" t="n">
        <x:f>J36*(1-I36)</x:f>
        <x:v>14</x:v>
      </x:c>
      <x:c r="O36" s="39" t="n">
        <x:v>2</x:v>
      </x:c>
      <x:c r="P36" s="39" t="n">
        <x:v>3</x:v>
      </x:c>
      <x:c r="Q36" s="39" t="n">
        <x:v>4</x:v>
      </x:c>
      <x:c r="R36" s="39" t="n">
        <x:v>2</x:v>
      </x:c>
      <x:c r="S36" s="39" t="n">
        <x:v>2</x:v>
      </x:c>
      <x:c r="T36" s="39" t="n">
        <x:v>2</x:v>
      </x:c>
      <x:c r="U36" s="39" t="n">
        <x:v>3</x:v>
      </x:c>
      <x:c r="V36" s="39" t="n">
        <x:v>2</x:v>
      </x:c>
      <x:c r="W36" s="39" t="n">
        <x:v>4</x:v>
      </x:c>
      <x:c r="X36" s="39" t="n">
        <x:v>4</x:v>
      </x:c>
      <x:c r="Y36" s="39" t="str">
        <x:f>IF(COUNTIFS($C$5:$C$52,C36)=1,"PASS","FAIL")</x:f>
        <x:v>PASS</x:v>
      </x:c>
      <x:c r="Z36" s="39" t="str">
        <x:v>Pass 57 registry + Pass 167 NIFS-1</x:v>
      </x:c>
    </x:row>
    <x:row r="37">
      <x:c r="A37" s="1"/>
      <x:c r="B37" s="1"/>
      <x:c r="C37" s="39" t="str">
        <x:v>H-PHC</x:v>
      </x:c>
      <x:c r="D37" s="39" t="str">
        <x:v>Public-health control group</x:v>
      </x:c>
      <x:c r="E37" s="39" t="str">
        <x:v>MS-HU</x:v>
      </x:c>
      <x:c r="F37" s="39" t="str">
        <x:v>Preserve care and human continuity</x:v>
      </x:c>
      <x:c r="G37" s="39" t="str">
        <x:v>Health and medical continuity</x:v>
      </x:c>
      <x:c r="H37" s="39" t="str">
        <x:v>Health Protection</x:v>
      </x:c>
      <x:c r="I37" s="47" t="n">
        <x:v>0.45</x:v>
      </x:c>
      <x:c r="J37" s="39" t="n">
        <x:v>42</x:v>
      </x:c>
      <x:c r="K37" s="39" t="n">
        <x:v>97</x:v>
      </x:c>
      <x:c r="L37" s="39" t="n">
        <x:v>82450</x:v>
      </x:c>
      <x:c r="M37" s="42" t="n">
        <x:v>97</x:v>
      </x:c>
      <x:c r="N37" s="49" t="n">
        <x:f>J37*(1-I37)</x:f>
        <x:v>23.1</x:v>
      </x:c>
      <x:c r="O37" s="39" t="n">
        <x:v>4</x:v>
      </x:c>
      <x:c r="P37" s="39" t="n">
        <x:v>4</x:v>
      </x:c>
      <x:c r="Q37" s="39" t="n">
        <x:v>5</x:v>
      </x:c>
      <x:c r="R37" s="39" t="n">
        <x:v>3</x:v>
      </x:c>
      <x:c r="S37" s="39" t="n">
        <x:v>4</x:v>
      </x:c>
      <x:c r="T37" s="39" t="n">
        <x:v>3</x:v>
      </x:c>
      <x:c r="U37" s="39" t="n">
        <x:v>3</x:v>
      </x:c>
      <x:c r="V37" s="39" t="n">
        <x:v>4</x:v>
      </x:c>
      <x:c r="W37" s="39" t="n">
        <x:v>6</x:v>
      </x:c>
      <x:c r="X37" s="39" t="n">
        <x:v>6</x:v>
      </x:c>
      <x:c r="Y37" s="39" t="str">
        <x:f>IF(COUNTIFS($C$5:$C$52,C37)=1,"PASS","FAIL")</x:f>
        <x:v>PASS</x:v>
      </x:c>
      <x:c r="Z37" s="39" t="str">
        <x:v>Pass 57 registry + Pass 167 NIFS-1</x:v>
      </x:c>
    </x:row>
    <x:row r="38">
      <x:c r="A38" s="1"/>
      <x:c r="B38" s="1"/>
      <x:c r="C38" s="39" t="str">
        <x:v>H-PMG</x:v>
      </x:c>
      <x:c r="D38" s="39" t="str">
        <x:v>Patient movement group</x:v>
      </x:c>
      <x:c r="E38" s="39" t="str">
        <x:v>MS-HU</x:v>
      </x:c>
      <x:c r="F38" s="39" t="str">
        <x:v>Preserve care and human continuity</x:v>
      </x:c>
      <x:c r="G38" s="39" t="str">
        <x:v>Health and medical continuity</x:v>
      </x:c>
      <x:c r="H38" s="39" t="str">
        <x:v>Health Protection</x:v>
      </x:c>
      <x:c r="I38" s="47" t="n">
        <x:v>0.5</x:v>
      </x:c>
      <x:c r="J38" s="39" t="n">
        <x:v>49</x:v>
      </x:c>
      <x:c r="K38" s="39" t="n">
        <x:v>114</x:v>
      </x:c>
      <x:c r="L38" s="39" t="n">
        <x:v>174420</x:v>
      </x:c>
      <x:c r="M38" s="42" t="n">
        <x:v>114</x:v>
      </x:c>
      <x:c r="N38" s="49" t="n">
        <x:f>J38*(1-I38)</x:f>
        <x:v>24.5</x:v>
      </x:c>
      <x:c r="O38" s="39" t="n">
        <x:v>4</x:v>
      </x:c>
      <x:c r="P38" s="39" t="n">
        <x:v>5</x:v>
      </x:c>
      <x:c r="Q38" s="39" t="n">
        <x:v>8</x:v>
      </x:c>
      <x:c r="R38" s="39" t="n">
        <x:v>3</x:v>
      </x:c>
      <x:c r="S38" s="39" t="n">
        <x:v>4</x:v>
      </x:c>
      <x:c r="T38" s="39" t="n">
        <x:v>3</x:v>
      </x:c>
      <x:c r="U38" s="39" t="n">
        <x:v>5</x:v>
      </x:c>
      <x:c r="V38" s="39" t="n">
        <x:v>3</x:v>
      </x:c>
      <x:c r="W38" s="39" t="n">
        <x:v>8</x:v>
      </x:c>
      <x:c r="X38" s="39" t="n">
        <x:v>6</x:v>
      </x:c>
      <x:c r="Y38" s="39" t="str">
        <x:f>IF(COUNTIFS($C$5:$C$52,C38)=1,"PASS","FAIL")</x:f>
        <x:v>PASS</x:v>
      </x:c>
      <x:c r="Z38" s="39" t="str">
        <x:v>Pass 57 registry + Pass 167 NIFS-1</x:v>
      </x:c>
    </x:row>
    <x:row r="39">
      <x:c r="A39" s="1"/>
      <x:c r="B39" s="1"/>
      <x:c r="C39" s="39" t="str">
        <x:v>H-HWR</x:v>
      </x:c>
      <x:c r="D39" s="39" t="str">
        <x:v>Health workforce replacement group</x:v>
      </x:c>
      <x:c r="E39" s="39" t="str">
        <x:v>MS-HU</x:v>
      </x:c>
      <x:c r="F39" s="39" t="str">
        <x:v>Preserve care and human continuity</x:v>
      </x:c>
      <x:c r="G39" s="39" t="str">
        <x:v>Health and medical continuity</x:v>
      </x:c>
      <x:c r="H39" s="39" t="str">
        <x:v>Health Protection</x:v>
      </x:c>
      <x:c r="I39" s="47" t="n">
        <x:v>0.45</x:v>
      </x:c>
      <x:c r="J39" s="39" t="n">
        <x:v>75</x:v>
      </x:c>
      <x:c r="K39" s="39" t="n">
        <x:v>174</x:v>
      </x:c>
      <x:c r="L39" s="39" t="n">
        <x:v>325380</x:v>
      </x:c>
      <x:c r="M39" s="42" t="n">
        <x:v>139.20000000000002</x:v>
      </x:c>
      <x:c r="N39" s="49" t="n">
        <x:f>J39*(1-I39)</x:f>
        <x:v>41.25</x:v>
      </x:c>
      <x:c r="O39" s="39" t="n">
        <x:v>8</x:v>
      </x:c>
      <x:c r="P39" s="39" t="n">
        <x:v>8</x:v>
      </x:c>
      <x:c r="Q39" s="39" t="n">
        <x:v>10</x:v>
      </x:c>
      <x:c r="R39" s="39" t="n">
        <x:v>4</x:v>
      </x:c>
      <x:c r="S39" s="39" t="n">
        <x:v>8</x:v>
      </x:c>
      <x:c r="T39" s="39" t="n">
        <x:v>5</x:v>
      </x:c>
      <x:c r="U39" s="39" t="n">
        <x:v>6</x:v>
      </x:c>
      <x:c r="V39" s="39" t="n">
        <x:v>6</x:v>
      </x:c>
      <x:c r="W39" s="39" t="n">
        <x:v>10</x:v>
      </x:c>
      <x:c r="X39" s="39" t="n">
        <x:v>10</x:v>
      </x:c>
      <x:c r="Y39" s="39" t="str">
        <x:f>IF(COUNTIFS($C$5:$C$52,C39)=1,"PASS","FAIL")</x:f>
        <x:v>PASS</x:v>
      </x:c>
      <x:c r="Z39" s="39" t="str">
        <x:v>Pass 57 registry + Pass 167 NIFS-1</x:v>
      </x:c>
    </x:row>
    <x:row r="40">
      <x:c r="A40" s="1"/>
      <x:c r="B40" s="1"/>
      <x:c r="C40" s="39" t="str">
        <x:v>C-PSG</x:v>
      </x:c>
      <x:c r="D40" s="39" t="str">
        <x:v>Population support group</x:v>
      </x:c>
      <x:c r="E40" s="39" t="str">
        <x:v>MS-HU</x:v>
      </x:c>
      <x:c r="F40" s="39" t="str">
        <x:v>Preserve care and human continuity</x:v>
      </x:c>
      <x:c r="G40" s="39" t="str">
        <x:v>Food, shelter and essential-goods continuity</x:v>
      </x:c>
      <x:c r="H40" s="39" t="str">
        <x:v>Community Stabilization</x:v>
      </x:c>
      <x:c r="I40" s="47" t="n">
        <x:v>0.8</x:v>
      </x:c>
      <x:c r="J40" s="39" t="n">
        <x:v>108</x:v>
      </x:c>
      <x:c r="K40" s="39" t="n">
        <x:v>216</x:v>
      </x:c>
      <x:c r="L40" s="39" t="n">
        <x:v>243000</x:v>
      </x:c>
      <x:c r="M40" s="42" t="n">
        <x:v>129.6</x:v>
      </x:c>
      <x:c r="N40" s="49" t="n">
        <x:f>J40*(1-I40)</x:f>
        <x:v>21.599999999999994</x:v>
      </x:c>
      <x:c r="O40" s="39" t="n">
        <x:v>10</x:v>
      </x:c>
      <x:c r="P40" s="39" t="n">
        <x:v>14</x:v>
      </x:c>
      <x:c r="Q40" s="39" t="n">
        <x:v>16</x:v>
      </x:c>
      <x:c r="R40" s="39" t="n">
        <x:v>4</x:v>
      </x:c>
      <x:c r="S40" s="39" t="n">
        <x:v>8</x:v>
      </x:c>
      <x:c r="T40" s="39" t="n">
        <x:v>8</x:v>
      </x:c>
      <x:c r="U40" s="39" t="n">
        <x:v>10</x:v>
      </x:c>
      <x:c r="V40" s="39" t="n">
        <x:v>8</x:v>
      </x:c>
      <x:c r="W40" s="39" t="n">
        <x:v>14</x:v>
      </x:c>
      <x:c r="X40" s="39" t="n">
        <x:v>16</x:v>
      </x:c>
      <x:c r="Y40" s="39" t="str">
        <x:f>IF(COUNTIFS($C$5:$C$52,C40)=1,"PASS","FAIL")</x:f>
        <x:v>PASS</x:v>
      </x:c>
      <x:c r="Z40" s="39" t="str">
        <x:v>Pass 57 registry + Pass 167 NIFS-1</x:v>
      </x:c>
    </x:row>
    <x:row r="41">
      <x:c r="A41" s="1"/>
      <x:c r="B41" s="1"/>
      <x:c r="C41" s="39" t="str">
        <x:v>C-EGG</x:v>
      </x:c>
      <x:c r="D41" s="39" t="str">
        <x:v>Essential-goods group</x:v>
      </x:c>
      <x:c r="E41" s="39" t="str">
        <x:v>MS-HU</x:v>
      </x:c>
      <x:c r="F41" s="39" t="str">
        <x:v>Preserve care and human continuity</x:v>
      </x:c>
      <x:c r="G41" s="39" t="str">
        <x:v>Food, shelter and essential-goods continuity</x:v>
      </x:c>
      <x:c r="H41" s="39" t="str">
        <x:v>Community Stabilization</x:v>
      </x:c>
      <x:c r="I41" s="47" t="n">
        <x:v>0.45</x:v>
      </x:c>
      <x:c r="J41" s="39" t="n">
        <x:v>108</x:v>
      </x:c>
      <x:c r="K41" s="39" t="n">
        <x:v>216</x:v>
      </x:c>
      <x:c r="L41" s="39" t="n">
        <x:v>189000</x:v>
      </x:c>
      <x:c r="M41" s="42" t="n">
        <x:v>108</x:v>
      </x:c>
      <x:c r="N41" s="49" t="n">
        <x:f>J41*(1-I41)</x:f>
        <x:v>59.400000000000006</x:v>
      </x:c>
      <x:c r="O41" s="39" t="n">
        <x:v>10</x:v>
      </x:c>
      <x:c r="P41" s="39" t="n">
        <x:v>14</x:v>
      </x:c>
      <x:c r="Q41" s="39" t="n">
        <x:v>16</x:v>
      </x:c>
      <x:c r="R41" s="39" t="n">
        <x:v>4</x:v>
      </x:c>
      <x:c r="S41" s="39" t="n">
        <x:v>8</x:v>
      </x:c>
      <x:c r="T41" s="39" t="n">
        <x:v>8</x:v>
      </x:c>
      <x:c r="U41" s="39" t="n">
        <x:v>10</x:v>
      </x:c>
      <x:c r="V41" s="39" t="n">
        <x:v>8</x:v>
      </x:c>
      <x:c r="W41" s="39" t="n">
        <x:v>14</x:v>
      </x:c>
      <x:c r="X41" s="39" t="n">
        <x:v>16</x:v>
      </x:c>
      <x:c r="Y41" s="39" t="str">
        <x:f>IF(COUNTIFS($C$5:$C$52,C41)=1,"PASS","FAIL")</x:f>
        <x:v>PASS</x:v>
      </x:c>
      <x:c r="Z41" s="39" t="str">
        <x:v>Pass 57 registry + Pass 167 NIFS-1</x:v>
      </x:c>
    </x:row>
    <x:row r="42">
      <x:c r="A42" s="1"/>
      <x:c r="B42" s="1"/>
      <x:c r="C42" s="39" t="str">
        <x:v>C-CAG</x:v>
      </x:c>
      <x:c r="D42" s="39" t="str">
        <x:v>Civil access group</x:v>
      </x:c>
      <x:c r="E42" s="39" t="str">
        <x:v>MS-CT</x:v>
      </x:c>
      <x:c r="F42" s="39" t="str">
        <x:v>Reach occupied civil terrain</x:v>
      </x:c>
      <x:c r="G42" s="39" t="str">
        <x:v>Civil coordination, safety and public information</x:v>
      </x:c>
      <x:c r="H42" s="39" t="str">
        <x:v>Community Stabilization</x:v>
      </x:c>
      <x:c r="I42" s="47" t="n">
        <x:v>0.45</x:v>
      </x:c>
      <x:c r="J42" s="39" t="n">
        <x:v>82</x:v>
      </x:c>
      <x:c r="K42" s="39" t="n">
        <x:v>164</x:v>
      </x:c>
      <x:c r="L42" s="39" t="n">
        <x:v>73800</x:v>
      </x:c>
      <x:c r="M42" s="42" t="n">
        <x:v>49.199999999999996</x:v>
      </x:c>
      <x:c r="N42" s="49" t="n">
        <x:f>J42*(1-I42)</x:f>
        <x:v>45.1</x:v>
      </x:c>
      <x:c r="O42" s="39" t="n">
        <x:v>8</x:v>
      </x:c>
      <x:c r="P42" s="39" t="n">
        <x:v>10</x:v>
      </x:c>
      <x:c r="Q42" s="39" t="n">
        <x:v>12</x:v>
      </x:c>
      <x:c r="R42" s="39" t="n">
        <x:v>4</x:v>
      </x:c>
      <x:c r="S42" s="39" t="n">
        <x:v>6</x:v>
      </x:c>
      <x:c r="T42" s="39" t="n">
        <x:v>6</x:v>
      </x:c>
      <x:c r="U42" s="39" t="n">
        <x:v>8</x:v>
      </x:c>
      <x:c r="V42" s="39" t="n">
        <x:v>6</x:v>
      </x:c>
      <x:c r="W42" s="39" t="n">
        <x:v>10</x:v>
      </x:c>
      <x:c r="X42" s="39" t="n">
        <x:v>12</x:v>
      </x:c>
      <x:c r="Y42" s="39" t="str">
        <x:f>IF(COUNTIFS($C$5:$C$52,C42)=1,"PASS","FAIL")</x:f>
        <x:v>PASS</x:v>
      </x:c>
      <x:c r="Z42" s="39" t="str">
        <x:v>Pass 57 registry + Pass 167 NIFS-1</x:v>
      </x:c>
    </x:row>
    <x:row r="43">
      <x:c r="A43" s="1"/>
      <x:c r="B43" s="1"/>
      <x:c r="C43" s="39" t="str">
        <x:v>C-DTG</x:v>
      </x:c>
      <x:c r="D43" s="39" t="str">
        <x:v>Displacement transition group</x:v>
      </x:c>
      <x:c r="E43" s="39" t="str">
        <x:v>MS-HU</x:v>
      </x:c>
      <x:c r="F43" s="39" t="str">
        <x:v>Preserve care and human continuity</x:v>
      </x:c>
      <x:c r="G43" s="39" t="str">
        <x:v>Food, shelter and essential-goods continuity</x:v>
      </x:c>
      <x:c r="H43" s="39" t="str">
        <x:v>Community Stabilization</x:v>
      </x:c>
      <x:c r="I43" s="47" t="n">
        <x:v>0.45</x:v>
      </x:c>
      <x:c r="J43" s="39" t="n">
        <x:v>79</x:v>
      </x:c>
      <x:c r="K43" s="39" t="n">
        <x:v>158</x:v>
      </x:c>
      <x:c r="L43" s="39" t="n">
        <x:v>118500</x:v>
      </x:c>
      <x:c r="M43" s="42" t="n">
        <x:v>63.2</x:v>
      </x:c>
      <x:c r="N43" s="49" t="n">
        <x:f>J43*(1-I43)</x:f>
        <x:v>43.45</x:v>
      </x:c>
      <x:c r="O43" s="39" t="n">
        <x:v>6</x:v>
      </x:c>
      <x:c r="P43" s="39" t="n">
        <x:v>10</x:v>
      </x:c>
      <x:c r="Q43" s="39" t="n">
        <x:v>12</x:v>
      </x:c>
      <x:c r="R43" s="39" t="n">
        <x:v>2</x:v>
      </x:c>
      <x:c r="S43" s="39" t="n">
        <x:v>6</x:v>
      </x:c>
      <x:c r="T43" s="39" t="n">
        <x:v>5</x:v>
      </x:c>
      <x:c r="U43" s="39" t="n">
        <x:v>8</x:v>
      </x:c>
      <x:c r="V43" s="39" t="n">
        <x:v>6</x:v>
      </x:c>
      <x:c r="W43" s="39" t="n">
        <x:v>10</x:v>
      </x:c>
      <x:c r="X43" s="39" t="n">
        <x:v>14</x:v>
      </x:c>
      <x:c r="Y43" s="39" t="str">
        <x:f>IF(COUNTIFS($C$5:$C$52,C43)=1,"PASS","FAIL")</x:f>
        <x:v>PASS</x:v>
      </x:c>
      <x:c r="Z43" s="39" t="str">
        <x:v>Pass 57 registry + Pass 167 NIFS-1</x:v>
      </x:c>
    </x:row>
    <x:row r="44">
      <x:c r="A44" s="1"/>
      <x:c r="B44" s="1"/>
      <x:c r="C44" s="39" t="str">
        <x:v>C-CIG</x:v>
      </x:c>
      <x:c r="D44" s="39" t="str">
        <x:v>Community institutions group</x:v>
      </x:c>
      <x:c r="E44" s="39" t="str">
        <x:v>MS-RT</x:v>
      </x:c>
      <x:c r="F44" s="39" t="str">
        <x:v>Sustain, transfer and regenerate</x:v>
      </x:c>
      <x:c r="G44" s="39" t="str">
        <x:v>Housing, public works and economic continuity</x:v>
      </x:c>
      <x:c r="H44" s="39" t="str">
        <x:v>Community Stabilization</x:v>
      </x:c>
      <x:c r="I44" s="47" t="n">
        <x:v>0.45</x:v>
      </x:c>
      <x:c r="J44" s="39" t="n">
        <x:v>66</x:v>
      </x:c>
      <x:c r="K44" s="39" t="n">
        <x:v>132</x:v>
      </x:c>
      <x:c r="L44" s="39" t="n">
        <x:v>82500</x:v>
      </x:c>
      <x:c r="M44" s="42" t="n">
        <x:v>52.800000000000004</x:v>
      </x:c>
      <x:c r="N44" s="49" t="n">
        <x:f>J44*(1-I44)</x:f>
        <x:v>36.300000000000004</x:v>
      </x:c>
      <x:c r="O44" s="39" t="n">
        <x:v>6</x:v>
      </x:c>
      <x:c r="P44" s="39" t="n">
        <x:v>8</x:v>
      </x:c>
      <x:c r="Q44" s="39" t="n">
        <x:v>10</x:v>
      </x:c>
      <x:c r="R44" s="39" t="n">
        <x:v>3</x:v>
      </x:c>
      <x:c r="S44" s="39" t="n">
        <x:v>5</x:v>
      </x:c>
      <x:c r="T44" s="39" t="n">
        <x:v>5</x:v>
      </x:c>
      <x:c r="U44" s="39" t="n">
        <x:v>6</x:v>
      </x:c>
      <x:c r="V44" s="39" t="n">
        <x:v>5</x:v>
      </x:c>
      <x:c r="W44" s="39" t="n">
        <x:v>8</x:v>
      </x:c>
      <x:c r="X44" s="39" t="n">
        <x:v>10</x:v>
      </x:c>
      <x:c r="Y44" s="39" t="str">
        <x:f>IF(COUNTIFS($C$5:$C$52,C44)=1,"PASS","FAIL")</x:f>
        <x:v>PASS</x:v>
      </x:c>
      <x:c r="Z44" s="39" t="str">
        <x:v>Pass 57 registry + Pass 167 NIFS-1</x:v>
      </x:c>
    </x:row>
    <x:row r="45">
      <x:c r="A45" s="1"/>
      <x:c r="B45" s="1"/>
      <x:c r="C45" s="39" t="str">
        <x:v>C-ERG</x:v>
      </x:c>
      <x:c r="D45" s="39" t="str">
        <x:v>Economic restart group</x:v>
      </x:c>
      <x:c r="E45" s="39" t="str">
        <x:v>MS-RT</x:v>
      </x:c>
      <x:c r="F45" s="39" t="str">
        <x:v>Sustain, transfer and regenerate</x:v>
      </x:c>
      <x:c r="G45" s="39" t="str">
        <x:v>Housing, public works and economic continuity</x:v>
      </x:c>
      <x:c r="H45" s="39" t="str">
        <x:v>Community Stabilization</x:v>
      </x:c>
      <x:c r="I45" s="47" t="n">
        <x:v>0.35</x:v>
      </x:c>
      <x:c r="J45" s="39" t="n">
        <x:v>55</x:v>
      </x:c>
      <x:c r="K45" s="39" t="n">
        <x:v>110</x:v>
      </x:c>
      <x:c r="L45" s="39" t="n">
        <x:v>96250</x:v>
      </x:c>
      <x:c r="M45" s="42" t="n">
        <x:v>38.5</x:v>
      </x:c>
      <x:c r="N45" s="49" t="n">
        <x:f>J45*(1-I45)</x:f>
        <x:v>35.75</x:v>
      </x:c>
      <x:c r="O45" s="39" t="n">
        <x:v>4</x:v>
      </x:c>
      <x:c r="P45" s="39" t="n">
        <x:v>6</x:v>
      </x:c>
      <x:c r="Q45" s="39" t="n">
        <x:v>8</x:v>
      </x:c>
      <x:c r="R45" s="39" t="n">
        <x:v>3</x:v>
      </x:c>
      <x:c r="S45" s="39" t="n">
        <x:v>4</x:v>
      </x:c>
      <x:c r="T45" s="39" t="n">
        <x:v>4</x:v>
      </x:c>
      <x:c r="U45" s="39" t="n">
        <x:v>5</x:v>
      </x:c>
      <x:c r="V45" s="39" t="n">
        <x:v>5</x:v>
      </x:c>
      <x:c r="W45" s="39" t="n">
        <x:v>8</x:v>
      </x:c>
      <x:c r="X45" s="39" t="n">
        <x:v>8</x:v>
      </x:c>
      <x:c r="Y45" s="39" t="str">
        <x:f>IF(COUNTIFS($C$5:$C$52,C45)=1,"PASS","FAIL")</x:f>
        <x:v>PASS</x:v>
      </x:c>
      <x:c r="Z45" s="39" t="str">
        <x:v>Pass 57 registry + Pass 167 NIFS-1</x:v>
      </x:c>
    </x:row>
    <x:row r="46">
      <x:c r="A46" s="1"/>
      <x:c r="B46" s="1"/>
      <x:c r="C46" s="39" t="str">
        <x:v>CM-HCG</x:v>
      </x:c>
      <x:c r="D46" s="39" t="str">
        <x:v>Household collection group</x:v>
      </x:c>
      <x:c r="E46" s="39" t="str">
        <x:v>MS-CT</x:v>
      </x:c>
      <x:c r="F46" s="39" t="str">
        <x:v>Reach occupied civil terrain</x:v>
      </x:c>
      <x:c r="G46" s="39" t="str">
        <x:v>Mobility, access and distribution</x:v>
      </x:c>
      <x:c r="H46" s="39" t="str">
        <x:v>Civil Mobility and Continuity</x:v>
      </x:c>
      <x:c r="I46" s="47" t="n">
        <x:v>0.8</x:v>
      </x:c>
      <x:c r="J46" s="39" t="n">
        <x:v>69</x:v>
      </x:c>
      <x:c r="K46" s="39" t="n">
        <x:v>160</x:v>
      </x:c>
      <x:c r="L46" s="39" t="n">
        <x:v>3039328</x:v>
      </x:c>
      <x:c r="M46" s="42" t="n">
        <x:v>1098.56</x:v>
      </x:c>
      <x:c r="N46" s="49" t="n">
        <x:f>J46*(1-I46)</x:f>
        <x:v>13.799999999999997</x:v>
      </x:c>
      <x:c r="O46" s="39" t="n">
        <x:v>6</x:v>
      </x:c>
      <x:c r="P46" s="39" t="n">
        <x:v>8</x:v>
      </x:c>
      <x:c r="Q46" s="39" t="n">
        <x:v>10</x:v>
      </x:c>
      <x:c r="R46" s="39" t="n">
        <x:v>3</x:v>
      </x:c>
      <x:c r="S46" s="39" t="n">
        <x:v>6</x:v>
      </x:c>
      <x:c r="T46" s="39" t="n">
        <x:v>5</x:v>
      </x:c>
      <x:c r="U46" s="39" t="n">
        <x:v>6</x:v>
      </x:c>
      <x:c r="V46" s="39" t="n">
        <x:v>5</x:v>
      </x:c>
      <x:c r="W46" s="39" t="n">
        <x:v>10</x:v>
      </x:c>
      <x:c r="X46" s="39" t="n">
        <x:v>10</x:v>
      </x:c>
      <x:c r="Y46" s="39" t="str">
        <x:f>IF(COUNTIFS($C$5:$C$52,C46)=1,"PASS","FAIL")</x:f>
        <x:v>PASS</x:v>
      </x:c>
      <x:c r="Z46" s="39" t="str">
        <x:v>Pass 57 registry + Pass 167 NIFS-1</x:v>
      </x:c>
    </x:row>
    <x:row r="47">
      <x:c r="A47" s="1"/>
      <x:c r="B47" s="1"/>
      <x:c r="C47" s="39" t="str">
        <x:v>CM-CTN</x:v>
      </x:c>
      <x:c r="D47" s="39" t="str">
        <x:v>Continuity transfer-node group</x:v>
      </x:c>
      <x:c r="E47" s="39" t="str">
        <x:v>MS-HU</x:v>
      </x:c>
      <x:c r="F47" s="39" t="str">
        <x:v>Preserve care and human continuity</x:v>
      </x:c>
      <x:c r="G47" s="39" t="str">
        <x:v>Mobility, access and distribution</x:v>
      </x:c>
      <x:c r="H47" s="39" t="str">
        <x:v>Civil Mobility and Continuity</x:v>
      </x:c>
      <x:c r="I47" s="47" t="n">
        <x:v>0.8</x:v>
      </x:c>
      <x:c r="J47" s="39" t="n">
        <x:v>54</x:v>
      </x:c>
      <x:c r="K47" s="39" t="n">
        <x:v>125</x:v>
      </x:c>
      <x:c r="L47" s="39" t="n">
        <x:v>675000</x:v>
      </x:c>
      <x:c r="M47" s="42" t="n">
        <x:v>250</x:v>
      </x:c>
      <x:c r="N47" s="49" t="n">
        <x:f>J47*(1-I47)</x:f>
        <x:v>10.799999999999997</x:v>
      </x:c>
      <x:c r="O47" s="39" t="n">
        <x:v>4</x:v>
      </x:c>
      <x:c r="P47" s="39" t="n">
        <x:v>6</x:v>
      </x:c>
      <x:c r="Q47" s="39" t="n">
        <x:v>8</x:v>
      </x:c>
      <x:c r="R47" s="39" t="n">
        <x:v>3</x:v>
      </x:c>
      <x:c r="S47" s="39" t="n">
        <x:v>4</x:v>
      </x:c>
      <x:c r="T47" s="39" t="n">
        <x:v>4</x:v>
      </x:c>
      <x:c r="U47" s="39" t="n">
        <x:v>5</x:v>
      </x:c>
      <x:c r="V47" s="39" t="n">
        <x:v>4</x:v>
      </x:c>
      <x:c r="W47" s="39" t="n">
        <x:v>8</x:v>
      </x:c>
      <x:c r="X47" s="39" t="n">
        <x:v>8</x:v>
      </x:c>
      <x:c r="Y47" s="39" t="str">
        <x:f>IF(COUNTIFS($C$5:$C$52,C47)=1,"PASS","FAIL")</x:f>
        <x:v>PASS</x:v>
      </x:c>
      <x:c r="Z47" s="39" t="str">
        <x:v>Pass 57 registry + Pass 167 NIFS-1</x:v>
      </x:c>
    </x:row>
    <x:row r="48">
      <x:c r="A48" s="1"/>
      <x:c r="B48" s="1"/>
      <x:c r="C48" s="39" t="str">
        <x:v>CM-RMG</x:v>
      </x:c>
      <x:c r="D48" s="39" t="str">
        <x:v>Civil road-mobility group</x:v>
      </x:c>
      <x:c r="E48" s="39" t="str">
        <x:v>MS-HU</x:v>
      </x:c>
      <x:c r="F48" s="39" t="str">
        <x:v>Preserve care and human continuity</x:v>
      </x:c>
      <x:c r="G48" s="39" t="str">
        <x:v>Mobility, access and distribution</x:v>
      </x:c>
      <x:c r="H48" s="39" t="str">
        <x:v>Civil Mobility and Continuity</x:v>
      </x:c>
      <x:c r="I48" s="47" t="n">
        <x:v>0.5</x:v>
      </x:c>
      <x:c r="J48" s="39" t="n">
        <x:v>86</x:v>
      </x:c>
      <x:c r="K48" s="39" t="n">
        <x:v>199</x:v>
      </x:c>
      <x:c r="L48" s="39" t="n">
        <x:v>388050</x:v>
      </x:c>
      <x:c r="M48" s="42" t="n">
        <x:v>298.5</x:v>
      </x:c>
      <x:c r="N48" s="49" t="n">
        <x:f>J48*(1-I48)</x:f>
        <x:v>43</x:v>
      </x:c>
      <x:c r="O48" s="39" t="n">
        <x:v>8</x:v>
      </x:c>
      <x:c r="P48" s="39" t="n">
        <x:v>10</x:v>
      </x:c>
      <x:c r="Q48" s="39" t="n">
        <x:v>12</x:v>
      </x:c>
      <x:c r="R48" s="39" t="n">
        <x:v>4</x:v>
      </x:c>
      <x:c r="S48" s="39" t="n">
        <x:v>8</x:v>
      </x:c>
      <x:c r="T48" s="39" t="n">
        <x:v>6</x:v>
      </x:c>
      <x:c r="U48" s="39" t="n">
        <x:v>8</x:v>
      </x:c>
      <x:c r="V48" s="39" t="n">
        <x:v>6</x:v>
      </x:c>
      <x:c r="W48" s="39" t="n">
        <x:v>12</x:v>
      </x:c>
      <x:c r="X48" s="39" t="n">
        <x:v>12</x:v>
      </x:c>
      <x:c r="Y48" s="39" t="str">
        <x:f>IF(COUNTIFS($C$5:$C$52,C48)=1,"PASS","FAIL")</x:f>
        <x:v>PASS</x:v>
      </x:c>
      <x:c r="Z48" s="39" t="str">
        <x:v>Pass 57 registry + Pass 167 NIFS-1</x:v>
      </x:c>
    </x:row>
    <x:row r="49">
      <x:c r="A49" s="1"/>
      <x:c r="B49" s="1"/>
      <x:c r="C49" s="39" t="str">
        <x:v>CM-RLG</x:v>
      </x:c>
      <x:c r="D49" s="39" t="str">
        <x:v>Civil rail-mobility group</x:v>
      </x:c>
      <x:c r="E49" s="39" t="str">
        <x:v>MS-HU</x:v>
      </x:c>
      <x:c r="F49" s="39" t="str">
        <x:v>Preserve care and human continuity</x:v>
      </x:c>
      <x:c r="G49" s="39" t="str">
        <x:v>Mobility, access and distribution</x:v>
      </x:c>
      <x:c r="H49" s="39" t="str">
        <x:v>Civil Mobility and Continuity</x:v>
      </x:c>
      <x:c r="I49" s="47" t="n">
        <x:v>0.5</x:v>
      </x:c>
      <x:c r="J49" s="39" t="n">
        <x:v>32</x:v>
      </x:c>
      <x:c r="K49" s="39" t="n">
        <x:v>74</x:v>
      </x:c>
      <x:c r="L49" s="39" t="n">
        <x:v>88800</x:v>
      </x:c>
      <x:c r="M49" s="42" t="n">
        <x:v>148</x:v>
      </x:c>
      <x:c r="N49" s="49" t="n">
        <x:f>J49*(1-I49)</x:f>
        <x:v>16</x:v>
      </x:c>
      <x:c r="O49" s="39" t="n">
        <x:v>3</x:v>
      </x:c>
      <x:c r="P49" s="39" t="n">
        <x:v>4</x:v>
      </x:c>
      <x:c r="Q49" s="39" t="n">
        <x:v>5</x:v>
      </x:c>
      <x:c r="R49" s="39" t="n">
        <x:v>1</x:v>
      </x:c>
      <x:c r="S49" s="39" t="n">
        <x:v>2</x:v>
      </x:c>
      <x:c r="T49" s="39" t="n">
        <x:v>2</x:v>
      </x:c>
      <x:c r="U49" s="39" t="n">
        <x:v>3</x:v>
      </x:c>
      <x:c r="V49" s="39" t="n">
        <x:v>2</x:v>
      </x:c>
      <x:c r="W49" s="39" t="n">
        <x:v>5</x:v>
      </x:c>
      <x:c r="X49" s="39" t="n">
        <x:v>5</x:v>
      </x:c>
      <x:c r="Y49" s="39" t="str">
        <x:f>IF(COUNTIFS($C$5:$C$52,C49)=1,"PASS","FAIL")</x:f>
        <x:v>PASS</x:v>
      </x:c>
      <x:c r="Z49" s="39" t="str">
        <x:v>Pass 57 registry + Pass 167 NIFS-1</x:v>
      </x:c>
    </x:row>
    <x:row r="50">
      <x:c r="A50" s="1"/>
      <x:c r="B50" s="1"/>
      <x:c r="C50" s="39" t="str">
        <x:v>CM-AMG</x:v>
      </x:c>
      <x:c r="D50" s="39" t="str">
        <x:v>Civil air-mobility group</x:v>
      </x:c>
      <x:c r="E50" s="39" t="str">
        <x:v>MS-HU</x:v>
      </x:c>
      <x:c r="F50" s="39" t="str">
        <x:v>Preserve care and human continuity</x:v>
      </x:c>
      <x:c r="G50" s="39" t="str">
        <x:v>Mobility, access and distribution</x:v>
      </x:c>
      <x:c r="H50" s="39" t="str">
        <x:v>Civil Mobility and Continuity</x:v>
      </x:c>
      <x:c r="I50" s="47" t="n">
        <x:v>0.5</x:v>
      </x:c>
      <x:c r="J50" s="39" t="n">
        <x:v>31</x:v>
      </x:c>
      <x:c r="K50" s="39" t="n">
        <x:v>72</x:v>
      </x:c>
      <x:c r="L50" s="39" t="n">
        <x:v>86400</x:v>
      </x:c>
      <x:c r="M50" s="42" t="n">
        <x:v>216</x:v>
      </x:c>
      <x:c r="N50" s="49" t="n">
        <x:f>J50*(1-I50)</x:f>
        <x:v>15.5</x:v>
      </x:c>
      <x:c r="O50" s="39" t="n">
        <x:v>2</x:v>
      </x:c>
      <x:c r="P50" s="39" t="n">
        <x:v>3</x:v>
      </x:c>
      <x:c r="Q50" s="39" t="n">
        <x:v>4</x:v>
      </x:c>
      <x:c r="R50" s="39" t="n">
        <x:v>2</x:v>
      </x:c>
      <x:c r="S50" s="39" t="n">
        <x:v>2</x:v>
      </x:c>
      <x:c r="T50" s="39" t="n">
        <x:v>2</x:v>
      </x:c>
      <x:c r="U50" s="39" t="n">
        <x:v>3</x:v>
      </x:c>
      <x:c r="V50" s="39" t="n">
        <x:v>3</x:v>
      </x:c>
      <x:c r="W50" s="39" t="n">
        <x:v>5</x:v>
      </x:c>
      <x:c r="X50" s="39" t="n">
        <x:v>5</x:v>
      </x:c>
      <x:c r="Y50" s="39" t="str">
        <x:f>IF(COUNTIFS($C$5:$C$52,C50)=1,"PASS","FAIL")</x:f>
        <x:v>PASS</x:v>
      </x:c>
      <x:c r="Z50" s="39" t="str">
        <x:v>Pass 57 registry + Pass 167 NIFS-1</x:v>
      </x:c>
    </x:row>
    <x:row r="51">
      <x:c r="A51" s="1"/>
      <x:c r="B51" s="1"/>
      <x:c r="C51" s="39" t="str">
        <x:v>CM-WMG</x:v>
      </x:c>
      <x:c r="D51" s="39" t="str">
        <x:v>Civil water-mobility group</x:v>
      </x:c>
      <x:c r="E51" s="39" t="str">
        <x:v>MS-HU</x:v>
      </x:c>
      <x:c r="F51" s="39" t="str">
        <x:v>Preserve care and human continuity</x:v>
      </x:c>
      <x:c r="G51" s="39" t="str">
        <x:v>Mobility, access and distribution</x:v>
      </x:c>
      <x:c r="H51" s="39" t="str">
        <x:v>Civil Mobility and Continuity</x:v>
      </x:c>
      <x:c r="I51" s="47" t="n">
        <x:v>0.5</x:v>
      </x:c>
      <x:c r="J51" s="39" t="n">
        <x:v>32</x:v>
      </x:c>
      <x:c r="K51" s="39" t="n">
        <x:v>74</x:v>
      </x:c>
      <x:c r="L51" s="39" t="n">
        <x:v>88800</x:v>
      </x:c>
      <x:c r="M51" s="42" t="n">
        <x:v>148</x:v>
      </x:c>
      <x:c r="N51" s="49" t="n">
        <x:f>J51*(1-I51)</x:f>
        <x:v>16</x:v>
      </x:c>
      <x:c r="O51" s="39" t="n">
        <x:v>2</x:v>
      </x:c>
      <x:c r="P51" s="39" t="n">
        <x:v>4</x:v>
      </x:c>
      <x:c r="Q51" s="39" t="n">
        <x:v>5</x:v>
      </x:c>
      <x:c r="R51" s="39" t="n">
        <x:v>1</x:v>
      </x:c>
      <x:c r="S51" s="39" t="n">
        <x:v>1</x:v>
      </x:c>
      <x:c r="T51" s="39" t="n">
        <x:v>3</x:v>
      </x:c>
      <x:c r="U51" s="39" t="n">
        <x:v>2</x:v>
      </x:c>
      <x:c r="V51" s="39" t="n">
        <x:v>3</x:v>
      </x:c>
      <x:c r="W51" s="39" t="n">
        <x:v>5</x:v>
      </x:c>
      <x:c r="X51" s="39" t="n">
        <x:v>6</x:v>
      </x:c>
      <x:c r="Y51" s="39" t="str">
        <x:f>IF(COUNTIFS($C$5:$C$52,C51)=1,"PASS","FAIL")</x:f>
        <x:v>PASS</x:v>
      </x:c>
      <x:c r="Z51" s="39" t="str">
        <x:v>Pass 57 registry + Pass 167 NIFS-1</x:v>
      </x:c>
    </x:row>
    <x:row r="52">
      <x:c r="A52" s="1"/>
      <x:c r="B52" s="1"/>
      <x:c r="C52" s="39" t="str">
        <x:v>CM-RDC</x:v>
      </x:c>
      <x:c r="D52" s="39" t="str">
        <x:v>Return and durable-continuity group</x:v>
      </x:c>
      <x:c r="E52" s="39" t="str">
        <x:v>MS-RT</x:v>
      </x:c>
      <x:c r="F52" s="39" t="str">
        <x:v>Sustain, transfer and regenerate</x:v>
      </x:c>
      <x:c r="G52" s="39" t="str">
        <x:v>Food, shelter and essential-goods continuity</x:v>
      </x:c>
      <x:c r="H52" s="39" t="str">
        <x:v>Civil Mobility and Continuity</x:v>
      </x:c>
      <x:c r="I52" s="47" t="n">
        <x:v>0.5</x:v>
      </x:c>
      <x:c r="J52" s="39" t="n">
        <x:v>58</x:v>
      </x:c>
      <x:c r="K52" s="39" t="n">
        <x:v>116</x:v>
      </x:c>
      <x:c r="L52" s="39" t="n">
        <x:v>116000</x:v>
      </x:c>
      <x:c r="M52" s="42" t="n">
        <x:v>46.400000000000006</x:v>
      </x:c>
      <x:c r="N52" s="49" t="n">
        <x:f>J52*(1-I52)</x:f>
        <x:v>29</x:v>
      </x:c>
      <x:c r="O52" s="39" t="n">
        <x:v>4</x:v>
      </x:c>
      <x:c r="P52" s="39" t="n">
        <x:v>6</x:v>
      </x:c>
      <x:c r="Q52" s="39" t="n">
        <x:v>8</x:v>
      </x:c>
      <x:c r="R52" s="39" t="n">
        <x:v>3</x:v>
      </x:c>
      <x:c r="S52" s="39" t="n">
        <x:v>5</x:v>
      </x:c>
      <x:c r="T52" s="39" t="n">
        <x:v>4</x:v>
      </x:c>
      <x:c r="U52" s="39" t="n">
        <x:v>5</x:v>
      </x:c>
      <x:c r="V52" s="39" t="n">
        <x:v>5</x:v>
      </x:c>
      <x:c r="W52" s="39" t="n">
        <x:v>8</x:v>
      </x:c>
      <x:c r="X52" s="39" t="n">
        <x:v>10</x:v>
      </x:c>
      <x:c r="Y52" s="39" t="str">
        <x:f>IF(COUNTIFS($C$5:$C$52,C52)=1,"PASS","FAIL")</x:f>
        <x:v>PASS</x:v>
      </x:c>
      <x:c r="Z52" s="39" t="str">
        <x:v>Pass 57 registry + Pass 167 NIFS-1</x:v>
      </x:c>
    </x:row>
    <x:row r="53">
      <x:c r="A53" s="1"/>
      <x:c r="B53" s="1"/>
      <x:c r="C53" s="43" t="str">
        <x:v>Total</x:v>
      </x:c>
      <x:c r="D53" s="43"/>
      <x:c r="E53" s="43"/>
      <x:c r="F53" s="43"/>
      <x:c r="G53" s="43"/>
      <x:c r="H53" s="43"/>
      <x:c r="I53" s="43"/>
      <x:c r="J53" s="43" t="n">
        <x:f>SUM(J5:J52)</x:f>
        <x:v>2420</x:v>
      </x:c>
      <x:c r="K53" s="43" t="n">
        <x:f>SUM(K5:K52)</x:f>
        <x:v>5251</x:v>
      </x:c>
      <x:c r="L53" s="43" t="n">
        <x:f>SUM(L5:L52)</x:f>
        <x:v>11465213</x:v>
      </x:c>
      <x:c r="M53" s="51" t="n">
        <x:f>SUM(M5:M52)</x:f>
        <x:v>9410.56</x:v>
      </x:c>
      <x:c r="N53" s="50" t="n">
        <x:f>SUM(N5:N52)</x:f>
        <x:v>1153.5500000000002</x:v>
      </x:c>
      <x:c r="O53" s="43" t="n">
        <x:f>SUM(O5:O52)</x:f>
        <x:v>204</x:v>
      </x:c>
      <x:c r="P53" s="43" t="n">
        <x:f>SUM(P5:P52)</x:f>
        <x:v>279</x:v>
      </x:c>
      <x:c r="Q53" s="43" t="n">
        <x:f>SUM(Q5:Q52)</x:f>
        <x:v>362</x:v>
      </x:c>
      <x:c r="R53" s="43" t="n">
        <x:f>SUM(R5:R52)</x:f>
        <x:v>134</x:v>
      </x:c>
      <x:c r="S53" s="43" t="n">
        <x:f>SUM(S5:S52)</x:f>
        <x:v>164</x:v>
      </x:c>
      <x:c r="T53" s="43" t="n">
        <x:f>SUM(T5:T52)</x:f>
        <x:v>192</x:v>
      </x:c>
      <x:c r="U53" s="43" t="n">
        <x:f>SUM(U5:U52)</x:f>
        <x:v>217</x:v>
      </x:c>
      <x:c r="V53" s="43" t="n">
        <x:f>SUM(V5:V52)</x:f>
        <x:v>193</x:v>
      </x:c>
      <x:c r="W53" s="43" t="n">
        <x:f>SUM(W5:W52)</x:f>
        <x:v>334</x:v>
      </x:c>
      <x:c r="X53" s="43" t="n">
        <x:f>SUM(X5:X52)</x:f>
        <x:v>341</x:v>
      </x:c>
      <x:c r="Y53" s="43"/>
      <x:c r="Z53" s="43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conditionalFormatting sqref="Y5:Y52">
    <x:cfRule type="containsText" dxfId="2" priority="1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0" hidden="0" customWidth="1"/>
    <x:col min="4" max="4" width="48" hidden="0" customWidth="1"/>
    <x:col min="5" max="5" width="78" hidden="0" customWidth="1"/>
    <x:col min="6" max="6" width="12" hidden="0" customWidth="1"/>
    <x:col min="7" max="7" width="18" hidden="0" customWidth="1"/>
    <x:col min="8" max="8" width="22" hidden="0" customWidth="1"/>
    <x:col min="9" max="9" width="23" hidden="0" customWidth="1"/>
    <x:col min="10" max="10" width="18" hidden="0" customWidth="1"/>
    <x:col min="11" max="11" width="12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Nine independent public-effect acceptance ledgers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ID</x:v>
      </x:c>
      <x:c r="D4" s="24" t="str">
        <x:v>Public effect</x:v>
      </x:c>
      <x:c r="E4" s="24" t="str">
        <x:v>Acceptance question</x:v>
      </x:c>
      <x:c r="F4" s="24" t="str">
        <x:v>Families</x:v>
      </x:c>
      <x:c r="G4" s="24" t="str">
        <x:v>Primary demand</x:v>
      </x:c>
      <x:c r="H4" s="24" t="str">
        <x:v>Mission systems contributing</x:v>
      </x:c>
      <x:c r="I4" s="24" t="str">
        <x:v>Ten-campaign ordinal load</x:v>
      </x:c>
      <x:c r="J4" s="24" t="str">
        <x:v>Maximum load</x:v>
      </x:c>
      <x:c r="K4" s="24" t="str">
        <x:v>Status</x:v>
      </x:c>
      <x:c r="L4" s="24" t="str">
        <x:v>MS-ET</x:v>
      </x:c>
      <x:c r="M4" s="24" t="str">
        <x:v>MS-CT</x:v>
      </x:c>
      <x:c r="N4" s="24" t="str">
        <x:v>MS-HC</x:v>
      </x:c>
      <x:c r="O4" s="24" t="str">
        <x:v>MS-LF</x:v>
      </x:c>
      <x:c r="P4" s="24" t="str">
        <x:v>MS-HU</x:v>
      </x:c>
      <x:c r="Q4" s="13" t="str">
        <x:v>MS-RT</x:v>
      </x:c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v>EL-01</x:v>
      </x:c>
      <x:c r="D5" s="39" t="str">
        <x:v>Civil coordination, safety and public information</x:v>
      </x:c>
      <x:c r="E5" s="39" t="str">
        <x:v>Lawful priorities, warnings, public records and safe decisions remain usable.</x:v>
      </x:c>
      <x:c r="F5" s="39" t="n">
        <x:f>COUNTIFS('Family Allocation'!$G$5:$G$52,$D5)</x:f>
        <x:v>3</x:v>
      </x:c>
      <x:c r="G5" s="39" t="n">
        <x:f>SUMIFS('Family Allocation'!$J$5:$J$52,'Family Allocation'!$G$5:$G$52,$D5)</x:f>
        <x:v>139</x:v>
      </x:c>
      <x:c r="H5" s="39" t="n">
        <x:f>COUNTIFS(L5:Q5,"&gt;0")</x:f>
        <x:v>2</x:v>
      </x:c>
      <x:c r="I5" s="39" t="n">
        <x:v>34</x:v>
      </x:c>
      <x:c r="J5" s="39" t="n">
        <x:v>40</x:v>
      </x:c>
      <x:c r="K5" s="39" t="str">
        <x:f>IF(AND(F5&gt;0,G5&gt;0,H5&gt;0,I5&gt;0),"PASS","FAIL")</x:f>
        <x:v>PASS</x:v>
      </x:c>
      <x:c r="L5" s="39" t="n">
        <x:f>SUMIFS('Family Allocation'!$J$5:$J$52,'Family Allocation'!$G$5:$G$52,$D5,'Family Allocation'!$E$5:$E$52,L$4)</x:f>
        <x:v>0</x:v>
      </x:c>
      <x:c r="M5" s="39" t="n">
        <x:f>SUMIFS('Family Allocation'!$J$5:$J$52,'Family Allocation'!$G$5:$G$52,$D5,'Family Allocation'!$E$5:$E$52,M$4)</x:f>
        <x:v>116</x:v>
      </x:c>
      <x:c r="N5" s="39" t="n">
        <x:f>SUMIFS('Family Allocation'!$J$5:$J$52,'Family Allocation'!$G$5:$G$52,$D5,'Family Allocation'!$E$5:$E$52,N$4)</x:f>
        <x:v>0</x:v>
      </x:c>
      <x:c r="O5" s="39" t="n">
        <x:f>SUMIFS('Family Allocation'!$J$5:$J$52,'Family Allocation'!$G$5:$G$52,$D5,'Family Allocation'!$E$5:$E$52,O$4)</x:f>
        <x:v>0</x:v>
      </x:c>
      <x:c r="P5" s="39" t="n">
        <x:f>SUMIFS('Family Allocation'!$J$5:$J$52,'Family Allocation'!$G$5:$G$52,$D5,'Family Allocation'!$E$5:$E$52,P$4)</x:f>
        <x:v>0</x:v>
      </x:c>
      <x:c r="Q5" s="39" t="n">
        <x:f>SUMIFS('Family Allocation'!$J$5:$J$52,'Family Allocation'!$G$5:$G$52,$D5,'Family Allocation'!$E$5:$E$52,Q$4)</x:f>
        <x:v>23</x:v>
      </x:c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v>EL-02</x:v>
      </x:c>
      <x:c r="D6" s="39" t="str">
        <x:v>Food, shelter and essential-goods continuity</x:v>
      </x:c>
      <x:c r="E6" s="39" t="str">
        <x:v>People receive safe support and retain a viable exit from emergency dependency.</x:v>
      </x:c>
      <x:c r="F6" s="39" t="n">
        <x:f>COUNTIFS('Family Allocation'!$G$5:$G$52,$D6)</x:f>
        <x:v>4</x:v>
      </x:c>
      <x:c r="G6" s="39" t="n">
        <x:f>SUMIFS('Family Allocation'!$J$5:$J$52,'Family Allocation'!$G$5:$G$52,$D6)</x:f>
        <x:v>353</x:v>
      </x:c>
      <x:c r="H6" s="39" t="n">
        <x:f>COUNTIFS(L6:Q6,"&gt;0")</x:f>
        <x:v>2</x:v>
      </x:c>
      <x:c r="I6" s="39" t="n">
        <x:v>34</x:v>
      </x:c>
      <x:c r="J6" s="39" t="n">
        <x:v>40</x:v>
      </x:c>
      <x:c r="K6" s="39" t="str">
        <x:f>IF(AND(F6&gt;0,G6&gt;0,H6&gt;0,I6&gt;0),"PASS","FAIL")</x:f>
        <x:v>PASS</x:v>
      </x:c>
      <x:c r="L6" s="39" t="n">
        <x:f>SUMIFS('Family Allocation'!$J$5:$J$52,'Family Allocation'!$G$5:$G$52,$D6,'Family Allocation'!$E$5:$E$52,L$4)</x:f>
        <x:v>0</x:v>
      </x:c>
      <x:c r="M6" s="39" t="n">
        <x:f>SUMIFS('Family Allocation'!$J$5:$J$52,'Family Allocation'!$G$5:$G$52,$D6,'Family Allocation'!$E$5:$E$52,M$4)</x:f>
        <x:v>0</x:v>
      </x:c>
      <x:c r="N6" s="39" t="n">
        <x:f>SUMIFS('Family Allocation'!$J$5:$J$52,'Family Allocation'!$G$5:$G$52,$D6,'Family Allocation'!$E$5:$E$52,N$4)</x:f>
        <x:v>0</x:v>
      </x:c>
      <x:c r="O6" s="39" t="n">
        <x:f>SUMIFS('Family Allocation'!$J$5:$J$52,'Family Allocation'!$G$5:$G$52,$D6,'Family Allocation'!$E$5:$E$52,O$4)</x:f>
        <x:v>0</x:v>
      </x:c>
      <x:c r="P6" s="39" t="n">
        <x:f>SUMIFS('Family Allocation'!$J$5:$J$52,'Family Allocation'!$G$5:$G$52,$D6,'Family Allocation'!$E$5:$E$52,P$4)</x:f>
        <x:v>295</x:v>
      </x:c>
      <x:c r="Q6" s="39" t="n">
        <x:f>SUMIFS('Family Allocation'!$J$5:$J$52,'Family Allocation'!$G$5:$G$52,$D6,'Family Allocation'!$E$5:$E$52,Q$4)</x:f>
        <x:v>58</x:v>
      </x:c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v>EL-03</x:v>
      </x:c>
      <x:c r="D7" s="39" t="str">
        <x:v>Health and medical continuity</x:v>
      </x:c>
      <x:c r="E7" s="39" t="str">
        <x:v>Acuity-specific care and complete patient pathways remain staffed and supplied.</x:v>
      </x:c>
      <x:c r="F7" s="39" t="n">
        <x:f>COUNTIFS('Family Allocation'!$G$5:$G$52,$D7)</x:f>
        <x:v>7</x:v>
      </x:c>
      <x:c r="G7" s="39" t="n">
        <x:f>SUMIFS('Family Allocation'!$J$5:$J$52,'Family Allocation'!$G$5:$G$52,$D7)</x:f>
        <x:v>349</x:v>
      </x:c>
      <x:c r="H7" s="39" t="n">
        <x:f>COUNTIFS(L7:Q7,"&gt;0")</x:f>
        <x:v>1</x:v>
      </x:c>
      <x:c r="I7" s="39" t="n">
        <x:v>35</x:v>
      </x:c>
      <x:c r="J7" s="39" t="n">
        <x:v>40</x:v>
      </x:c>
      <x:c r="K7" s="39" t="str">
        <x:f>IF(AND(F7&gt;0,G7&gt;0,H7&gt;0,I7&gt;0),"PASS","FAIL")</x:f>
        <x:v>PASS</x:v>
      </x:c>
      <x:c r="L7" s="39" t="n">
        <x:f>SUMIFS('Family Allocation'!$J$5:$J$52,'Family Allocation'!$G$5:$G$52,$D7,'Family Allocation'!$E$5:$E$52,L$4)</x:f>
        <x:v>0</x:v>
      </x:c>
      <x:c r="M7" s="39" t="n">
        <x:f>SUMIFS('Family Allocation'!$J$5:$J$52,'Family Allocation'!$G$5:$G$52,$D7,'Family Allocation'!$E$5:$E$52,M$4)</x:f>
        <x:v>0</x:v>
      </x:c>
      <x:c r="N7" s="39" t="n">
        <x:f>SUMIFS('Family Allocation'!$J$5:$J$52,'Family Allocation'!$G$5:$G$52,$D7,'Family Allocation'!$E$5:$E$52,N$4)</x:f>
        <x:v>0</x:v>
      </x:c>
      <x:c r="O7" s="39" t="n">
        <x:f>SUMIFS('Family Allocation'!$J$5:$J$52,'Family Allocation'!$G$5:$G$52,$D7,'Family Allocation'!$E$5:$E$52,O$4)</x:f>
        <x:v>0</x:v>
      </x:c>
      <x:c r="P7" s="39" t="n">
        <x:f>SUMIFS('Family Allocation'!$J$5:$J$52,'Family Allocation'!$G$5:$G$52,$D7,'Family Allocation'!$E$5:$E$52,P$4)</x:f>
        <x:v>349</x:v>
      </x:c>
      <x:c r="Q7" s="39" t="n">
        <x:f>SUMIFS('Family Allocation'!$J$5:$J$52,'Family Allocation'!$G$5:$G$52,$D7,'Family Allocation'!$E$5:$E$52,Q$4)</x:f>
        <x:v>0</x:v>
      </x:c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v>EL-04</x:v>
      </x:c>
      <x:c r="D8" s="39" t="str">
        <x:v>Energy and thermal continuity</x:v>
      </x:c>
      <x:c r="E8" s="39" t="str">
        <x:v>Critical loads and occupied environments remain within declared service envelopes.</x:v>
      </x:c>
      <x:c r="F8" s="39" t="n">
        <x:f>COUNTIFS('Family Allocation'!$G$5:$G$52,$D8)</x:f>
        <x:v>3</x:v>
      </x:c>
      <x:c r="G8" s="39" t="n">
        <x:f>SUMIFS('Family Allocation'!$J$5:$J$52,'Family Allocation'!$G$5:$G$52,$D8)</x:f>
        <x:v>174</x:v>
      </x:c>
      <x:c r="H8" s="39" t="n">
        <x:f>COUNTIFS(L8:Q8,"&gt;0")</x:f>
        <x:v>1</x:v>
      </x:c>
      <x:c r="I8" s="39" t="n">
        <x:v>36</x:v>
      </x:c>
      <x:c r="J8" s="39" t="n">
        <x:v>40</x:v>
      </x:c>
      <x:c r="K8" s="39" t="str">
        <x:f>IF(AND(F8&gt;0,G8&gt;0,H8&gt;0,I8&gt;0),"PASS","FAIL")</x:f>
        <x:v>PASS</x:v>
      </x:c>
      <x:c r="L8" s="39" t="n">
        <x:f>SUMIFS('Family Allocation'!$J$5:$J$52,'Family Allocation'!$G$5:$G$52,$D8,'Family Allocation'!$E$5:$E$52,L$4)</x:f>
        <x:v>0</x:v>
      </x:c>
      <x:c r="M8" s="39" t="n">
        <x:f>SUMIFS('Family Allocation'!$J$5:$J$52,'Family Allocation'!$G$5:$G$52,$D8,'Family Allocation'!$E$5:$E$52,M$4)</x:f>
        <x:v>0</x:v>
      </x:c>
      <x:c r="N8" s="39" t="n">
        <x:f>SUMIFS('Family Allocation'!$J$5:$J$52,'Family Allocation'!$G$5:$G$52,$D8,'Family Allocation'!$E$5:$E$52,N$4)</x:f>
        <x:v>0</x:v>
      </x:c>
      <x:c r="O8" s="39" t="n">
        <x:f>SUMIFS('Family Allocation'!$J$5:$J$52,'Family Allocation'!$G$5:$G$52,$D8,'Family Allocation'!$E$5:$E$52,O$4)</x:f>
        <x:v>174</x:v>
      </x:c>
      <x:c r="P8" s="39" t="n">
        <x:f>SUMIFS('Family Allocation'!$J$5:$J$52,'Family Allocation'!$G$5:$G$52,$D8,'Family Allocation'!$E$5:$E$52,P$4)</x:f>
        <x:v>0</x:v>
      </x:c>
      <x:c r="Q8" s="39" t="n">
        <x:f>SUMIFS('Family Allocation'!$J$5:$J$52,'Family Allocation'!$G$5:$G$52,$D8,'Family Allocation'!$E$5:$E$52,Q$4)</x:f>
        <x:v>0</x:v>
      </x:c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v>EL-05</x:v>
      </x:c>
      <x:c r="D9" s="39" t="str">
        <x:v>Communications, computation and public-service access</x:v>
      </x:c>
      <x:c r="E9" s="39" t="str">
        <x:v>Priority users can authenticate, communicate and reach public service in degraded modes.</x:v>
      </x:c>
      <x:c r="F9" s="39" t="n">
        <x:f>COUNTIFS('Family Allocation'!$G$5:$G$52,$D9)</x:f>
        <x:v>3</x:v>
      </x:c>
      <x:c r="G9" s="39" t="n">
        <x:f>SUMIFS('Family Allocation'!$J$5:$J$52,'Family Allocation'!$G$5:$G$52,$D9)</x:f>
        <x:v>158</x:v>
      </x:c>
      <x:c r="H9" s="39" t="n">
        <x:f>COUNTIFS(L9:Q9,"&gt;0")</x:f>
        <x:v>1</x:v>
      </x:c>
      <x:c r="I9" s="39" t="n">
        <x:v>33</x:v>
      </x:c>
      <x:c r="J9" s="39" t="n">
        <x:v>40</x:v>
      </x:c>
      <x:c r="K9" s="39" t="str">
        <x:f>IF(AND(F9&gt;0,G9&gt;0,H9&gt;0,I9&gt;0),"PASS","FAIL")</x:f>
        <x:v>PASS</x:v>
      </x:c>
      <x:c r="L9" s="39" t="n">
        <x:f>SUMIFS('Family Allocation'!$J$5:$J$52,'Family Allocation'!$G$5:$G$52,$D9,'Family Allocation'!$E$5:$E$52,L$4)</x:f>
        <x:v>0</x:v>
      </x:c>
      <x:c r="M9" s="39" t="n">
        <x:f>SUMIFS('Family Allocation'!$J$5:$J$52,'Family Allocation'!$G$5:$G$52,$D9,'Family Allocation'!$E$5:$E$52,M$4)</x:f>
        <x:v>158</x:v>
      </x:c>
      <x:c r="N9" s="39" t="n">
        <x:f>SUMIFS('Family Allocation'!$J$5:$J$52,'Family Allocation'!$G$5:$G$52,$D9,'Family Allocation'!$E$5:$E$52,N$4)</x:f>
        <x:v>0</x:v>
      </x:c>
      <x:c r="O9" s="39" t="n">
        <x:f>SUMIFS('Family Allocation'!$J$5:$J$52,'Family Allocation'!$G$5:$G$52,$D9,'Family Allocation'!$E$5:$E$52,O$4)</x:f>
        <x:v>0</x:v>
      </x:c>
      <x:c r="P9" s="39" t="n">
        <x:f>SUMIFS('Family Allocation'!$J$5:$J$52,'Family Allocation'!$G$5:$G$52,$D9,'Family Allocation'!$E$5:$E$52,P$4)</x:f>
        <x:v>0</x:v>
      </x:c>
      <x:c r="Q9" s="39" t="n">
        <x:f>SUMIFS('Family Allocation'!$J$5:$J$52,'Family Allocation'!$G$5:$G$52,$D9,'Family Allocation'!$E$5:$E$52,Q$4)</x:f>
        <x:v>0</x:v>
      </x:c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v>EL-06</x:v>
      </x:c>
      <x:c r="D10" s="39" t="str">
        <x:v>Mobility, access and distribution</x:v>
      </x:c>
      <x:c r="E10" s="39" t="str">
        <x:v>People and materiel move from true origin to an admitted destination or service point.</x:v>
      </x:c>
      <x:c r="F10" s="39" t="n">
        <x:f>COUNTIFS('Family Allocation'!$G$5:$G$52,$D10)</x:f>
        <x:v>16</x:v>
      </x:c>
      <x:c r="G10" s="39" t="n">
        <x:f>SUMIFS('Family Allocation'!$J$5:$J$52,'Family Allocation'!$G$5:$G$52,$D10)</x:f>
        <x:v>691</x:v>
      </x:c>
      <x:c r="H10" s="39" t="n">
        <x:f>COUNTIFS(L10:Q10,"&gt;0")</x:f>
        <x:v>4</x:v>
      </x:c>
      <x:c r="I10" s="39" t="n">
        <x:v>36</x:v>
      </x:c>
      <x:c r="J10" s="39" t="n">
        <x:v>40</x:v>
      </x:c>
      <x:c r="K10" s="39" t="str">
        <x:f>IF(AND(F10&gt;0,G10&gt;0,H10&gt;0,I10&gt;0),"PASS","FAIL")</x:f>
        <x:v>PASS</x:v>
      </x:c>
      <x:c r="L10" s="39" t="n">
        <x:f>SUMIFS('Family Allocation'!$J$5:$J$52,'Family Allocation'!$G$5:$G$52,$D10,'Family Allocation'!$E$5:$E$52,L$4)</x:f>
        <x:v>316</x:v>
      </x:c>
      <x:c r="M10" s="39" t="n">
        <x:f>SUMIFS('Family Allocation'!$J$5:$J$52,'Family Allocation'!$G$5:$G$52,$D10,'Family Allocation'!$E$5:$E$52,M$4)</x:f>
        <x:v>69</x:v>
      </x:c>
      <x:c r="N10" s="39" t="n">
        <x:f>SUMIFS('Family Allocation'!$J$5:$J$52,'Family Allocation'!$G$5:$G$52,$D10,'Family Allocation'!$E$5:$E$52,N$4)</x:f>
        <x:v>0</x:v>
      </x:c>
      <x:c r="O10" s="39" t="n">
        <x:f>SUMIFS('Family Allocation'!$J$5:$J$52,'Family Allocation'!$G$5:$G$52,$D10,'Family Allocation'!$E$5:$E$52,O$4)</x:f>
        <x:v>0</x:v>
      </x:c>
      <x:c r="P10" s="39" t="n">
        <x:f>SUMIFS('Family Allocation'!$J$5:$J$52,'Family Allocation'!$G$5:$G$52,$D10,'Family Allocation'!$E$5:$E$52,P$4)</x:f>
        <x:v>235</x:v>
      </x:c>
      <x:c r="Q10" s="39" t="n">
        <x:f>SUMIFS('Family Allocation'!$J$5:$J$52,'Family Allocation'!$G$5:$G$52,$D10,'Family Allocation'!$E$5:$E$52,Q$4)</x:f>
        <x:v>71</x:v>
      </x:c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39" t="str">
        <x:v>EL-07</x:v>
      </x:c>
      <x:c r="D11" s="39" t="str">
        <x:v>Water, sanitation and hygiene</x:v>
      </x:c>
      <x:c r="E11" s="39" t="str">
        <x:v>Compliant water reaches use while wastewater and process residuals remain controlled.</x:v>
      </x:c>
      <x:c r="F11" s="39" t="n">
        <x:f>COUNTIFS('Family Allocation'!$G$5:$G$52,$D11)</x:f>
        <x:v>2</x:v>
      </x:c>
      <x:c r="G11" s="39" t="n">
        <x:f>SUMIFS('Family Allocation'!$J$5:$J$52,'Family Allocation'!$G$5:$G$52,$D11)</x:f>
        <x:v>82</x:v>
      </x:c>
      <x:c r="H11" s="39" t="n">
        <x:f>COUNTIFS(L11:Q11,"&gt;0")</x:f>
        <x:v>1</x:v>
      </x:c>
      <x:c r="I11" s="39" t="n">
        <x:v>37</x:v>
      </x:c>
      <x:c r="J11" s="39" t="n">
        <x:v>40</x:v>
      </x:c>
      <x:c r="K11" s="39" t="str">
        <x:f>IF(AND(F11&gt;0,G11&gt;0,H11&gt;0,I11&gt;0),"PASS","FAIL")</x:f>
        <x:v>PASS</x:v>
      </x:c>
      <x:c r="L11" s="39" t="n">
        <x:f>SUMIFS('Family Allocation'!$J$5:$J$52,'Family Allocation'!$G$5:$G$52,$D11,'Family Allocation'!$E$5:$E$52,L$4)</x:f>
        <x:v>0</x:v>
      </x:c>
      <x:c r="M11" s="39" t="n">
        <x:f>SUMIFS('Family Allocation'!$J$5:$J$52,'Family Allocation'!$G$5:$G$52,$D11,'Family Allocation'!$E$5:$E$52,M$4)</x:f>
        <x:v>0</x:v>
      </x:c>
      <x:c r="N11" s="39" t="n">
        <x:f>SUMIFS('Family Allocation'!$J$5:$J$52,'Family Allocation'!$G$5:$G$52,$D11,'Family Allocation'!$E$5:$E$52,N$4)</x:f>
        <x:v>0</x:v>
      </x:c>
      <x:c r="O11" s="39" t="n">
        <x:f>SUMIFS('Family Allocation'!$J$5:$J$52,'Family Allocation'!$G$5:$G$52,$D11,'Family Allocation'!$E$5:$E$52,O$4)</x:f>
        <x:v>82</x:v>
      </x:c>
      <x:c r="P11" s="39" t="n">
        <x:f>SUMIFS('Family Allocation'!$J$5:$J$52,'Family Allocation'!$G$5:$G$52,$D11,'Family Allocation'!$E$5:$E$52,P$4)</x:f>
        <x:v>0</x:v>
      </x:c>
      <x:c r="Q11" s="39" t="n">
        <x:f>SUMIFS('Family Allocation'!$J$5:$J$52,'Family Allocation'!$G$5:$G$52,$D11,'Family Allocation'!$E$5:$E$52,Q$4)</x:f>
        <x:v>0</x:v>
      </x:c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 t="str">
        <x:v>EL-08</x:v>
      </x:c>
      <x:c r="D12" s="39" t="str">
        <x:v>Hazard and environmental control</x:v>
      </x:c>
      <x:c r="E12" s="39" t="str">
        <x:v>The damaging process and its environmental consequence measurably decline.</x:v>
      </x:c>
      <x:c r="F12" s="39" t="n">
        <x:f>COUNTIFS('Family Allocation'!$G$5:$G$52,$D12)</x:f>
        <x:v>4</x:v>
      </x:c>
      <x:c r="G12" s="39" t="n">
        <x:f>SUMIFS('Family Allocation'!$J$5:$J$52,'Family Allocation'!$G$5:$G$52,$D12)</x:f>
        <x:v>170</x:v>
      </x:c>
      <x:c r="H12" s="39" t="n">
        <x:f>COUNTIFS(L12:Q12,"&gt;0")</x:f>
        <x:v>1</x:v>
      </x:c>
      <x:c r="I12" s="39" t="n">
        <x:v>35</x:v>
      </x:c>
      <x:c r="J12" s="39" t="n">
        <x:v>40</x:v>
      </x:c>
      <x:c r="K12" s="39" t="str">
        <x:f>IF(AND(F12&gt;0,G12&gt;0,H12&gt;0,I12&gt;0),"PASS","FAIL")</x:f>
        <x:v>PASS</x:v>
      </x:c>
      <x:c r="L12" s="39" t="n">
        <x:f>SUMIFS('Family Allocation'!$J$5:$J$52,'Family Allocation'!$G$5:$G$52,$D12,'Family Allocation'!$E$5:$E$52,L$4)</x:f>
        <x:v>0</x:v>
      </x:c>
      <x:c r="M12" s="39" t="n">
        <x:f>SUMIFS('Family Allocation'!$J$5:$J$52,'Family Allocation'!$G$5:$G$52,$D12,'Family Allocation'!$E$5:$E$52,M$4)</x:f>
        <x:v>0</x:v>
      </x:c>
      <x:c r="N12" s="39" t="n">
        <x:f>SUMIFS('Family Allocation'!$J$5:$J$52,'Family Allocation'!$G$5:$G$52,$D12,'Family Allocation'!$E$5:$E$52,N$4)</x:f>
        <x:v>170</x:v>
      </x:c>
      <x:c r="O12" s="39" t="n">
        <x:f>SUMIFS('Family Allocation'!$J$5:$J$52,'Family Allocation'!$G$5:$G$52,$D12,'Family Allocation'!$E$5:$E$52,O$4)</x:f>
        <x:v>0</x:v>
      </x:c>
      <x:c r="P12" s="39" t="n">
        <x:f>SUMIFS('Family Allocation'!$J$5:$J$52,'Family Allocation'!$G$5:$G$52,$D12,'Family Allocation'!$E$5:$E$52,P$4)</x:f>
        <x:v>0</x:v>
      </x:c>
      <x:c r="Q12" s="39" t="n">
        <x:f>SUMIFS('Family Allocation'!$J$5:$J$52,'Family Allocation'!$G$5:$G$52,$D12,'Family Allocation'!$E$5:$E$52,Q$4)</x:f>
        <x:v>0</x:v>
      </x:c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 t="str">
        <x:v>EL-09</x:v>
      </x:c>
      <x:c r="D13" s="39" t="str">
        <x:v>Housing, public works and economic continuity</x:v>
      </x:c>
      <x:c r="E13" s="39" t="str">
        <x:v>Safe occupancy, local institutions and basic economic function return without renewed displacement.</x:v>
      </x:c>
      <x:c r="F13" s="39" t="n">
        <x:f>COUNTIFS('Family Allocation'!$G$5:$G$52,$D13)</x:f>
        <x:v>6</x:v>
      </x:c>
      <x:c r="G13" s="39" t="n">
        <x:f>SUMIFS('Family Allocation'!$J$5:$J$52,'Family Allocation'!$G$5:$G$52,$D13)</x:f>
        <x:v>304</x:v>
      </x:c>
      <x:c r="H13" s="39" t="n">
        <x:f>COUNTIFS(L13:Q13,"&gt;0")</x:f>
        <x:v>2</x:v>
      </x:c>
      <x:c r="I13" s="39" t="n">
        <x:v>36</x:v>
      </x:c>
      <x:c r="J13" s="39" t="n">
        <x:v>40</x:v>
      </x:c>
      <x:c r="K13" s="39" t="str">
        <x:f>IF(AND(F13&gt;0,G13&gt;0,H13&gt;0,I13&gt;0),"PASS","FAIL")</x:f>
        <x:v>PASS</x:v>
      </x:c>
      <x:c r="L13" s="39" t="n">
        <x:f>SUMIFS('Family Allocation'!$J$5:$J$52,'Family Allocation'!$G$5:$G$52,$D13,'Family Allocation'!$E$5:$E$52,L$4)</x:f>
        <x:v>53</x:v>
      </x:c>
      <x:c r="M13" s="39" t="n">
        <x:f>SUMIFS('Family Allocation'!$J$5:$J$52,'Family Allocation'!$G$5:$G$52,$D13,'Family Allocation'!$E$5:$E$52,M$4)</x:f>
        <x:v>0</x:v>
      </x:c>
      <x:c r="N13" s="39" t="n">
        <x:f>SUMIFS('Family Allocation'!$J$5:$J$52,'Family Allocation'!$G$5:$G$52,$D13,'Family Allocation'!$E$5:$E$52,N$4)</x:f>
        <x:v>0</x:v>
      </x:c>
      <x:c r="O13" s="39" t="n">
        <x:f>SUMIFS('Family Allocation'!$J$5:$J$52,'Family Allocation'!$G$5:$G$52,$D13,'Family Allocation'!$E$5:$E$52,O$4)</x:f>
        <x:v>0</x:v>
      </x:c>
      <x:c r="P13" s="39" t="n">
        <x:f>SUMIFS('Family Allocation'!$J$5:$J$52,'Family Allocation'!$G$5:$G$52,$D13,'Family Allocation'!$E$5:$E$52,P$4)</x:f>
        <x:v>0</x:v>
      </x:c>
      <x:c r="Q13" s="39" t="n">
        <x:f>SUMIFS('Family Allocation'!$J$5:$J$52,'Family Allocation'!$G$5:$G$52,$D13,'Family Allocation'!$E$5:$E$52,Q$4)</x:f>
        <x:v>251</x:v>
      </x:c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43" t="str">
        <x:v>Total</x:v>
      </x:c>
      <x:c r="D14" s="43"/>
      <x:c r="E14" s="43"/>
      <x:c r="F14" s="43" t="n">
        <x:f>SUM(F5:F13)</x:f>
        <x:v>48</x:v>
      </x:c>
      <x:c r="G14" s="43" t="n">
        <x:f>SUM(G5:G13)</x:f>
        <x:v>2420</x:v>
      </x:c>
      <x:c r="H14" s="43"/>
      <x:c r="I14" s="43" t="n">
        <x:f>SUM(I5:I13)</x:f>
        <x:v>316</x:v>
      </x:c>
      <x:c r="J14" s="43" t="n">
        <x:f>SUM(J5:J13)</x:f>
        <x:v>360</x:v>
      </x:c>
      <x:c r="K14" s="43"/>
      <x:c r="L14" s="43" t="n">
        <x:f>SUM(L5:L13)</x:f>
        <x:v>369</x:v>
      </x:c>
      <x:c r="M14" s="43" t="n">
        <x:f>SUM(M5:M13)</x:f>
        <x:v>343</x:v>
      </x:c>
      <x:c r="N14" s="43" t="n">
        <x:f>SUM(N5:N13)</x:f>
        <x:v>170</x:v>
      </x:c>
      <x:c r="O14" s="43" t="n">
        <x:f>SUM(O5:O13)</x:f>
        <x:v>256</x:v>
      </x:c>
      <x:c r="P14" s="43" t="n">
        <x:f>SUM(P5:P13)</x:f>
        <x:v>879</x:v>
      </x:c>
      <x:c r="Q14" s="43" t="n">
        <x:f>SUM(Q5:Q13)</x:f>
        <x:v>403</x:v>
      </x:c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4" hidden="0" customWidth="1"/>
    <x:col min="5" max="5" width="18" hidden="0" customWidth="1"/>
    <x:col min="6" max="6" width="17" hidden="0" customWidth="1"/>
    <x:col min="7" max="7" width="19" hidden="0" customWidth="1"/>
    <x:col min="8" max="8" width="24" hidden="0" customWidth="1"/>
    <x:col min="9" max="9" width="19" hidden="0" customWidth="1"/>
    <x:col min="10" max="10" width="23" hidden="0" customWidth="1"/>
    <x:col min="11" max="11" width="28" hidden="0" customWidth="1"/>
    <x:col min="12" max="12" width="20" hidden="0" customWidth="1"/>
    <x:col min="13" max="13" width="16" hidden="0" customWidth="1"/>
    <x:col min="14" max="14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Mission-system demand executed through service-owned families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Mission system</x:v>
      </x:c>
      <x:c r="D4" s="24" t="str">
        <x:v>Joint</x:v>
      </x:c>
      <x:c r="E4" s="24" t="str">
        <x:v>Land Engineering</x:v>
      </x:c>
      <x:c r="F4" s="24" t="str">
        <x:v>Air Response</x:v>
      </x:c>
      <x:c r="G4" s="24" t="str">
        <x:v>Maritime Response</x:v>
      </x:c>
      <x:c r="H4" s="24" t="str">
        <x:v>Infrastructure Restoration</x:v>
      </x:c>
      <x:c r="I4" s="24" t="str">
        <x:v>Health Protection</x:v>
      </x:c>
      <x:c r="J4" s="24" t="str">
        <x:v>Community Stabilization</x:v>
      </x:c>
      <x:c r="K4" s="24" t="str">
        <x:v>Civil Mobility and Continuity</x:v>
      </x:c>
      <x:c r="L4" s="24" t="str">
        <x:v>Active service pairs</x:v>
      </x:c>
      <x:c r="M4" s="24" t="str">
        <x:v>Total demand</x:v>
      </x:c>
      <x:c r="N4" s="13" t="str">
        <x:v>Status</x:v>
      </x:c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f>'Mission Systems'!C5</x:f>
        <x:v>MS-ET</x:v>
      </x:c>
      <x:c r="D5" s="39" t="n">
        <x:f>SUMIFS('Family Allocation'!$J$5:$J$52,'Family Allocation'!$E$5:$E$52,$C5,'Family Allocation'!$H$5:$H$52,D$4)</x:f>
        <x:v>23</x:v>
      </x:c>
      <x:c r="E5" s="39" t="n">
        <x:f>SUMIFS('Family Allocation'!$J$5:$J$52,'Family Allocation'!$E$5:$E$52,$C5,'Family Allocation'!$H$5:$H$52,E$4)</x:f>
        <x:v>123</x:v>
      </x:c>
      <x:c r="F5" s="39" t="n">
        <x:f>SUMIFS('Family Allocation'!$J$5:$J$52,'Family Allocation'!$E$5:$E$52,$C5,'Family Allocation'!$H$5:$H$52,F$4)</x:f>
        <x:v>125</x:v>
      </x:c>
      <x:c r="G5" s="39" t="n">
        <x:f>SUMIFS('Family Allocation'!$J$5:$J$52,'Family Allocation'!$E$5:$E$52,$C5,'Family Allocation'!$H$5:$H$52,G$4)</x:f>
        <x:v>98</x:v>
      </x:c>
      <x:c r="H5" s="39" t="n">
        <x:f>SUMIFS('Family Allocation'!$J$5:$J$52,'Family Allocation'!$E$5:$E$52,$C5,'Family Allocation'!$H$5:$H$52,H$4)</x:f>
        <x:v>0</x:v>
      </x:c>
      <x:c r="I5" s="39" t="n">
        <x:f>SUMIFS('Family Allocation'!$J$5:$J$52,'Family Allocation'!$E$5:$E$52,$C5,'Family Allocation'!$H$5:$H$52,I$4)</x:f>
        <x:v>0</x:v>
      </x:c>
      <x:c r="J5" s="39" t="n">
        <x:f>SUMIFS('Family Allocation'!$J$5:$J$52,'Family Allocation'!$E$5:$E$52,$C5,'Family Allocation'!$H$5:$H$52,J$4)</x:f>
        <x:v>0</x:v>
      </x:c>
      <x:c r="K5" s="39" t="n">
        <x:f>SUMIFS('Family Allocation'!$J$5:$J$52,'Family Allocation'!$E$5:$E$52,$C5,'Family Allocation'!$H$5:$H$52,K$4)</x:f>
        <x:v>0</x:v>
      </x:c>
      <x:c r="L5" s="39" t="n">
        <x:f>COUNTIFS(D5:K5,"&gt;0")</x:f>
        <x:v>4</x:v>
      </x:c>
      <x:c r="M5" s="39" t="n">
        <x:f>SUM(D5:K5)</x:f>
        <x:v>369</x:v>
      </x:c>
      <x:c r="N5" s="39" t="str">
        <x:f>IF(AND(L5&gt;=2,M5&gt;0),"PASS","FAIL")</x:f>
        <x:v>PASS</x:v>
      </x:c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f>'Mission Systems'!C6</x:f>
        <x:v>MS-CT</x:v>
      </x:c>
      <x:c r="D6" s="39" t="n">
        <x:f>SUMIFS('Family Allocation'!$J$5:$J$52,'Family Allocation'!$E$5:$E$52,$C6,'Family Allocation'!$H$5:$H$52,D$4)</x:f>
        <x:v>93</x:v>
      </x:c>
      <x:c r="E6" s="39" t="n">
        <x:f>SUMIFS('Family Allocation'!$J$5:$J$52,'Family Allocation'!$E$5:$E$52,$C6,'Family Allocation'!$H$5:$H$52,E$4)</x:f>
        <x:v>0</x:v>
      </x:c>
      <x:c r="F6" s="39" t="n">
        <x:f>SUMIFS('Family Allocation'!$J$5:$J$52,'Family Allocation'!$E$5:$E$52,$C6,'Family Allocation'!$H$5:$H$52,F$4)</x:f>
        <x:v>40</x:v>
      </x:c>
      <x:c r="G6" s="39" t="n">
        <x:f>SUMIFS('Family Allocation'!$J$5:$J$52,'Family Allocation'!$E$5:$E$52,$C6,'Family Allocation'!$H$5:$H$52,G$4)</x:f>
        <x:v>0</x:v>
      </x:c>
      <x:c r="H6" s="39" t="n">
        <x:f>SUMIFS('Family Allocation'!$J$5:$J$52,'Family Allocation'!$E$5:$E$52,$C6,'Family Allocation'!$H$5:$H$52,H$4)</x:f>
        <x:v>59</x:v>
      </x:c>
      <x:c r="I6" s="39" t="n">
        <x:f>SUMIFS('Family Allocation'!$J$5:$J$52,'Family Allocation'!$E$5:$E$52,$C6,'Family Allocation'!$H$5:$H$52,I$4)</x:f>
        <x:v>0</x:v>
      </x:c>
      <x:c r="J6" s="39" t="n">
        <x:f>SUMIFS('Family Allocation'!$J$5:$J$52,'Family Allocation'!$E$5:$E$52,$C6,'Family Allocation'!$H$5:$H$52,J$4)</x:f>
        <x:v>82</x:v>
      </x:c>
      <x:c r="K6" s="39" t="n">
        <x:f>SUMIFS('Family Allocation'!$J$5:$J$52,'Family Allocation'!$E$5:$E$52,$C6,'Family Allocation'!$H$5:$H$52,K$4)</x:f>
        <x:v>69</x:v>
      </x:c>
      <x:c r="L6" s="39" t="n">
        <x:f>COUNTIFS(D6:K6,"&gt;0")</x:f>
        <x:v>5</x:v>
      </x:c>
      <x:c r="M6" s="39" t="n">
        <x:f>SUM(D6:K6)</x:f>
        <x:v>343</x:v>
      </x:c>
      <x:c r="N6" s="39" t="str">
        <x:f>IF(AND(L6&gt;=2,M6&gt;0),"PASS","FAIL")</x:f>
        <x:v>PASS</x:v>
      </x:c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f>'Mission Systems'!C7</x:f>
        <x:v>MS-HC</x:v>
      </x:c>
      <x:c r="D7" s="39" t="n">
        <x:f>SUMIFS('Family Allocation'!$J$5:$J$52,'Family Allocation'!$E$5:$E$52,$C7,'Family Allocation'!$H$5:$H$52,D$4)</x:f>
        <x:v>0</x:v>
      </x:c>
      <x:c r="E7" s="39" t="n">
        <x:f>SUMIFS('Family Allocation'!$J$5:$J$52,'Family Allocation'!$E$5:$E$52,$C7,'Family Allocation'!$H$5:$H$52,E$4)</x:f>
        <x:v>148</x:v>
      </x:c>
      <x:c r="F7" s="39" t="n">
        <x:f>SUMIFS('Family Allocation'!$J$5:$J$52,'Family Allocation'!$E$5:$E$52,$C7,'Family Allocation'!$H$5:$H$52,F$4)</x:f>
        <x:v>22</x:v>
      </x:c>
      <x:c r="G7" s="39" t="n">
        <x:f>SUMIFS('Family Allocation'!$J$5:$J$52,'Family Allocation'!$E$5:$E$52,$C7,'Family Allocation'!$H$5:$H$52,G$4)</x:f>
        <x:v>0</x:v>
      </x:c>
      <x:c r="H7" s="39" t="n">
        <x:f>SUMIFS('Family Allocation'!$J$5:$J$52,'Family Allocation'!$E$5:$E$52,$C7,'Family Allocation'!$H$5:$H$52,H$4)</x:f>
        <x:v>0</x:v>
      </x:c>
      <x:c r="I7" s="39" t="n">
        <x:f>SUMIFS('Family Allocation'!$J$5:$J$52,'Family Allocation'!$E$5:$E$52,$C7,'Family Allocation'!$H$5:$H$52,I$4)</x:f>
        <x:v>0</x:v>
      </x:c>
      <x:c r="J7" s="39" t="n">
        <x:f>SUMIFS('Family Allocation'!$J$5:$J$52,'Family Allocation'!$E$5:$E$52,$C7,'Family Allocation'!$H$5:$H$52,J$4)</x:f>
        <x:v>0</x:v>
      </x:c>
      <x:c r="K7" s="39" t="n">
        <x:f>SUMIFS('Family Allocation'!$J$5:$J$52,'Family Allocation'!$E$5:$E$52,$C7,'Family Allocation'!$H$5:$H$52,K$4)</x:f>
        <x:v>0</x:v>
      </x:c>
      <x:c r="L7" s="39" t="n">
        <x:f>COUNTIFS(D7:K7,"&gt;0")</x:f>
        <x:v>2</x:v>
      </x:c>
      <x:c r="M7" s="39" t="n">
        <x:f>SUM(D7:K7)</x:f>
        <x:v>170</x:v>
      </x:c>
      <x:c r="N7" s="39" t="str">
        <x:f>IF(AND(L7&gt;=2,M7&gt;0),"PASS","FAIL")</x:f>
        <x:v>PASS</x:v>
      </x:c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f>'Mission Systems'!C8</x:f>
        <x:v>MS-LF</x:v>
      </x:c>
      <x:c r="D8" s="39" t="n">
        <x:f>SUMIFS('Family Allocation'!$J$5:$J$52,'Family Allocation'!$E$5:$E$52,$C8,'Family Allocation'!$H$5:$H$52,D$4)</x:f>
        <x:v>0</x:v>
      </x:c>
      <x:c r="E8" s="39" t="n">
        <x:f>SUMIFS('Family Allocation'!$J$5:$J$52,'Family Allocation'!$E$5:$E$52,$C8,'Family Allocation'!$H$5:$H$52,E$4)</x:f>
        <x:v>0</x:v>
      </x:c>
      <x:c r="F8" s="39" t="n">
        <x:f>SUMIFS('Family Allocation'!$J$5:$J$52,'Family Allocation'!$E$5:$E$52,$C8,'Family Allocation'!$H$5:$H$52,F$4)</x:f>
        <x:v>0</x:v>
      </x:c>
      <x:c r="G8" s="39" t="n">
        <x:f>SUMIFS('Family Allocation'!$J$5:$J$52,'Family Allocation'!$E$5:$E$52,$C8,'Family Allocation'!$H$5:$H$52,G$4)</x:f>
        <x:v>28</x:v>
      </x:c>
      <x:c r="H8" s="39" t="n">
        <x:f>SUMIFS('Family Allocation'!$J$5:$J$52,'Family Allocation'!$E$5:$E$52,$C8,'Family Allocation'!$H$5:$H$52,H$4)</x:f>
        <x:v>228</x:v>
      </x:c>
      <x:c r="I8" s="39" t="n">
        <x:f>SUMIFS('Family Allocation'!$J$5:$J$52,'Family Allocation'!$E$5:$E$52,$C8,'Family Allocation'!$H$5:$H$52,I$4)</x:f>
        <x:v>0</x:v>
      </x:c>
      <x:c r="J8" s="39" t="n">
        <x:f>SUMIFS('Family Allocation'!$J$5:$J$52,'Family Allocation'!$E$5:$E$52,$C8,'Family Allocation'!$H$5:$H$52,J$4)</x:f>
        <x:v>0</x:v>
      </x:c>
      <x:c r="K8" s="39" t="n">
        <x:f>SUMIFS('Family Allocation'!$J$5:$J$52,'Family Allocation'!$E$5:$E$52,$C8,'Family Allocation'!$H$5:$H$52,K$4)</x:f>
        <x:v>0</x:v>
      </x:c>
      <x:c r="L8" s="39" t="n">
        <x:f>COUNTIFS(D8:K8,"&gt;0")</x:f>
        <x:v>2</x:v>
      </x:c>
      <x:c r="M8" s="39" t="n">
        <x:f>SUM(D8:K8)</x:f>
        <x:v>256</x:v>
      </x:c>
      <x:c r="N8" s="39" t="str">
        <x:f>IF(AND(L8&gt;=2,M8&gt;0),"PASS","FAIL")</x:f>
        <x:v>PASS</x:v>
      </x:c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f>'Mission Systems'!C9</x:f>
        <x:v>MS-HU</x:v>
      </x:c>
      <x:c r="D9" s="39" t="n">
        <x:f>SUMIFS('Family Allocation'!$J$5:$J$52,'Family Allocation'!$E$5:$E$52,$C9,'Family Allocation'!$H$5:$H$52,D$4)</x:f>
        <x:v>0</x:v>
      </x:c>
      <x:c r="E9" s="39" t="n">
        <x:f>SUMIFS('Family Allocation'!$J$5:$J$52,'Family Allocation'!$E$5:$E$52,$C9,'Family Allocation'!$H$5:$H$52,E$4)</x:f>
        <x:v>0</x:v>
      </x:c>
      <x:c r="F9" s="39" t="n">
        <x:f>SUMIFS('Family Allocation'!$J$5:$J$52,'Family Allocation'!$E$5:$E$52,$C9,'Family Allocation'!$H$5:$H$52,F$4)</x:f>
        <x:v>31</x:v>
      </x:c>
      <x:c r="G9" s="39" t="n">
        <x:f>SUMIFS('Family Allocation'!$J$5:$J$52,'Family Allocation'!$E$5:$E$52,$C9,'Family Allocation'!$H$5:$H$52,G$4)</x:f>
        <x:v>0</x:v>
      </x:c>
      <x:c r="H9" s="39" t="n">
        <x:f>SUMIFS('Family Allocation'!$J$5:$J$52,'Family Allocation'!$E$5:$E$52,$C9,'Family Allocation'!$H$5:$H$52,H$4)</x:f>
        <x:v>0</x:v>
      </x:c>
      <x:c r="I9" s="39" t="n">
        <x:f>SUMIFS('Family Allocation'!$J$5:$J$52,'Family Allocation'!$E$5:$E$52,$C9,'Family Allocation'!$H$5:$H$52,I$4)</x:f>
        <x:v>318</x:v>
      </x:c>
      <x:c r="J9" s="39" t="n">
        <x:f>SUMIFS('Family Allocation'!$J$5:$J$52,'Family Allocation'!$E$5:$E$52,$C9,'Family Allocation'!$H$5:$H$52,J$4)</x:f>
        <x:v>295</x:v>
      </x:c>
      <x:c r="K9" s="39" t="n">
        <x:f>SUMIFS('Family Allocation'!$J$5:$J$52,'Family Allocation'!$E$5:$E$52,$C9,'Family Allocation'!$H$5:$H$52,K$4)</x:f>
        <x:v>235</x:v>
      </x:c>
      <x:c r="L9" s="39" t="n">
        <x:f>COUNTIFS(D9:K9,"&gt;0")</x:f>
        <x:v>4</x:v>
      </x:c>
      <x:c r="M9" s="39" t="n">
        <x:f>SUM(D9:K9)</x:f>
        <x:v>879</x:v>
      </x:c>
      <x:c r="N9" s="39" t="str">
        <x:f>IF(AND(L9&gt;=2,M9&gt;0),"PASS","FAIL")</x:f>
        <x:v>PASS</x:v>
      </x:c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f>'Mission Systems'!C10</x:f>
        <x:v>MS-RT</x:v>
      </x:c>
      <x:c r="D10" s="39" t="n">
        <x:f>SUMIFS('Family Allocation'!$J$5:$J$52,'Family Allocation'!$E$5:$E$52,$C10,'Family Allocation'!$H$5:$H$52,D$4)</x:f>
        <x:v>89</x:v>
      </x:c>
      <x:c r="E10" s="39" t="n">
        <x:f>SUMIFS('Family Allocation'!$J$5:$J$52,'Family Allocation'!$E$5:$E$52,$C10,'Family Allocation'!$H$5:$H$52,E$4)</x:f>
        <x:v>0</x:v>
      </x:c>
      <x:c r="F10" s="39" t="n">
        <x:f>SUMIFS('Family Allocation'!$J$5:$J$52,'Family Allocation'!$E$5:$E$52,$C10,'Family Allocation'!$H$5:$H$52,F$4)</x:f>
        <x:v>0</x:v>
      </x:c>
      <x:c r="G10" s="39" t="n">
        <x:f>SUMIFS('Family Allocation'!$J$5:$J$52,'Family Allocation'!$E$5:$E$52,$C10,'Family Allocation'!$H$5:$H$52,G$4)</x:f>
        <x:v>62</x:v>
      </x:c>
      <x:c r="H10" s="39" t="n">
        <x:f>SUMIFS('Family Allocation'!$J$5:$J$52,'Family Allocation'!$E$5:$E$52,$C10,'Family Allocation'!$H$5:$H$52,H$4)</x:f>
        <x:v>73</x:v>
      </x:c>
      <x:c r="I10" s="39" t="n">
        <x:f>SUMIFS('Family Allocation'!$J$5:$J$52,'Family Allocation'!$E$5:$E$52,$C10,'Family Allocation'!$H$5:$H$52,I$4)</x:f>
        <x:v>0</x:v>
      </x:c>
      <x:c r="J10" s="39" t="n">
        <x:f>SUMIFS('Family Allocation'!$J$5:$J$52,'Family Allocation'!$E$5:$E$52,$C10,'Family Allocation'!$H$5:$H$52,J$4)</x:f>
        <x:v>121</x:v>
      </x:c>
      <x:c r="K10" s="39" t="n">
        <x:f>SUMIFS('Family Allocation'!$J$5:$J$52,'Family Allocation'!$E$5:$E$52,$C10,'Family Allocation'!$H$5:$H$52,K$4)</x:f>
        <x:v>58</x:v>
      </x:c>
      <x:c r="L10" s="39" t="n">
        <x:f>COUNTIFS(D10:K10,"&gt;0")</x:f>
        <x:v>5</x:v>
      </x:c>
      <x:c r="M10" s="39" t="n">
        <x:f>SUM(D10:K10)</x:f>
        <x:v>403</x:v>
      </x:c>
      <x:c r="N10" s="39" t="str">
        <x:f>IF(AND(L10&gt;=2,M10&gt;0),"PASS","FAIL")</x:f>
        <x:v>PASS</x:v>
      </x:c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43" t="str">
        <x:v>Total</x:v>
      </x:c>
      <x:c r="D11" s="43" t="n">
        <x:f>SUM(D5:D10)</x:f>
        <x:v>205</x:v>
      </x:c>
      <x:c r="E11" s="43" t="n">
        <x:f>SUM(E5:E10)</x:f>
        <x:v>271</x:v>
      </x:c>
      <x:c r="F11" s="43" t="n">
        <x:f>SUM(F5:F10)</x:f>
        <x:v>218</x:v>
      </x:c>
      <x:c r="G11" s="43" t="n">
        <x:f>SUM(G5:G10)</x:f>
        <x:v>188</x:v>
      </x:c>
      <x:c r="H11" s="43" t="n">
        <x:f>SUM(H5:H10)</x:f>
        <x:v>360</x:v>
      </x:c>
      <x:c r="I11" s="43" t="n">
        <x:f>SUM(I5:I10)</x:f>
        <x:v>318</x:v>
      </x:c>
      <x:c r="J11" s="43" t="n">
        <x:f>SUM(J5:J10)</x:f>
        <x:v>498</x:v>
      </x:c>
      <x:c r="K11" s="43" t="n">
        <x:f>SUM(K5:K10)</x:f>
        <x:v>362</x:v>
      </x:c>
      <x:c r="L11" s="43" t="n">
        <x:f>SUM(L5:L10)</x:f>
        <x:v>22</x:v>
      </x:c>
      <x:c r="M11" s="43" t="n">
        <x:f>SUM(M5:M10)</x:f>
        <x:v>2420</x:v>
      </x:c>
      <x:c r="N11" s="43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7" hidden="0" customWidth="1"/>
    <x:col min="15" max="15" width="18" hidden="0" customWidth="1"/>
    <x:col min="16" max="1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Mission-system activation in the ten-campaign force promise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Mission system</x:v>
      </x:c>
      <x:c r="D4" s="24" t="str">
        <x:v>C1</x:v>
      </x:c>
      <x:c r="E4" s="24" t="str">
        <x:v>C2</x:v>
      </x:c>
      <x:c r="F4" s="24" t="str">
        <x:v>C3</x:v>
      </x:c>
      <x:c r="G4" s="24" t="str">
        <x:v>M1</x:v>
      </x:c>
      <x:c r="H4" s="24" t="str">
        <x:v>M2</x:v>
      </x:c>
      <x:c r="I4" s="24" t="str">
        <x:v>M3</x:v>
      </x:c>
      <x:c r="J4" s="24" t="str">
        <x:v>M4</x:v>
      </x:c>
      <x:c r="K4" s="24" t="str">
        <x:v>M5</x:v>
      </x:c>
      <x:c r="L4" s="24" t="str">
        <x:v>I1</x:v>
      </x:c>
      <x:c r="M4" s="24" t="str">
        <x:v>I2</x:v>
      </x:c>
      <x:c r="N4" s="24" t="str">
        <x:v>Total demand</x:v>
      </x:c>
      <x:c r="O4" s="24" t="str">
        <x:v>Active campaigns</x:v>
      </x:c>
      <x:c r="P4" s="13" t="str">
        <x:v>Status</x:v>
      </x:c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f>'Mission Systems'!C5</x:f>
        <x:v>MS-ET</x:v>
      </x:c>
      <x:c r="D5" s="39" t="n">
        <x:f>SUMIFS('Family Allocation'!$O$5:$O$52,'Family Allocation'!$E$5:$E$52,$C5)</x:f>
        <x:v>21</x:v>
      </x:c>
      <x:c r="E5" s="39" t="n">
        <x:f>SUMIFS('Family Allocation'!$P$5:$P$52,'Family Allocation'!$E$5:$E$52,$C5)</x:f>
        <x:v>44</x:v>
      </x:c>
      <x:c r="F5" s="39" t="n">
        <x:f>SUMIFS('Family Allocation'!$Q$5:$Q$52,'Family Allocation'!$E$5:$E$52,$C5)</x:f>
        <x:v>62</x:v>
      </x:c>
      <x:c r="G5" s="39" t="n">
        <x:f>SUMIFS('Family Allocation'!$R$5:$R$52,'Family Allocation'!$E$5:$E$52,$C5)</x:f>
        <x:v>16</x:v>
      </x:c>
      <x:c r="H5" s="39" t="n">
        <x:f>SUMIFS('Family Allocation'!$S$5:$S$52,'Family Allocation'!$E$5:$E$52,$C5)</x:f>
        <x:v>12</x:v>
      </x:c>
      <x:c r="I5" s="39" t="n">
        <x:f>SUMIFS('Family Allocation'!$T$5:$T$52,'Family Allocation'!$E$5:$E$52,$C5)</x:f>
        <x:v>35</x:v>
      </x:c>
      <x:c r="J5" s="39" t="n">
        <x:f>SUMIFS('Family Allocation'!$U$5:$U$52,'Family Allocation'!$E$5:$E$52,$C5)</x:f>
        <x:v>38</x:v>
      </x:c>
      <x:c r="K5" s="39" t="n">
        <x:f>SUMIFS('Family Allocation'!$V$5:$V$52,'Family Allocation'!$E$5:$E$52,$C5)</x:f>
        <x:v>30</x:v>
      </x:c>
      <x:c r="L5" s="39" t="n">
        <x:f>SUMIFS('Family Allocation'!$W$5:$W$52,'Family Allocation'!$E$5:$E$52,$C5)</x:f>
        <x:v>56</x:v>
      </x:c>
      <x:c r="M5" s="39" t="n">
        <x:f>SUMIFS('Family Allocation'!$X$5:$X$52,'Family Allocation'!$E$5:$E$52,$C5)</x:f>
        <x:v>55</x:v>
      </x:c>
      <x:c r="N5" s="39" t="n">
        <x:f>SUM(D5:M5)</x:f>
        <x:v>369</x:v>
      </x:c>
      <x:c r="O5" s="39" t="n">
        <x:f>COUNTIFS(D5:M5,"&gt;0")</x:f>
        <x:v>10</x:v>
      </x:c>
      <x:c r="P5" s="39" t="str">
        <x:f>IF(O5=10,"PASS","FAIL")</x:f>
        <x:v>PASS</x:v>
      </x:c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f>'Mission Systems'!C6</x:f>
        <x:v>MS-CT</x:v>
      </x:c>
      <x:c r="D6" s="39" t="n">
        <x:f>SUMIFS('Family Allocation'!$O$5:$O$52,'Family Allocation'!$E$5:$E$52,$C6)</x:f>
        <x:v>33</x:v>
      </x:c>
      <x:c r="E6" s="39" t="n">
        <x:f>SUMIFS('Family Allocation'!$P$5:$P$52,'Family Allocation'!$E$5:$E$52,$C6)</x:f>
        <x:v>38</x:v>
      </x:c>
      <x:c r="F6" s="39" t="n">
        <x:f>SUMIFS('Family Allocation'!$Q$5:$Q$52,'Family Allocation'!$E$5:$E$52,$C6)</x:f>
        <x:v>48</x:v>
      </x:c>
      <x:c r="G6" s="39" t="n">
        <x:f>SUMIFS('Family Allocation'!$R$5:$R$52,'Family Allocation'!$E$5:$E$52,$C6)</x:f>
        <x:v>22</x:v>
      </x:c>
      <x:c r="H6" s="39" t="n">
        <x:f>SUMIFS('Family Allocation'!$S$5:$S$52,'Family Allocation'!$E$5:$E$52,$C6)</x:f>
        <x:v>25</x:v>
      </x:c>
      <x:c r="I6" s="39" t="n">
        <x:f>SUMIFS('Family Allocation'!$T$5:$T$52,'Family Allocation'!$E$5:$E$52,$C6)</x:f>
        <x:v>27</x:v>
      </x:c>
      <x:c r="J6" s="39" t="n">
        <x:f>SUMIFS('Family Allocation'!$U$5:$U$52,'Family Allocation'!$E$5:$E$52,$C6)</x:f>
        <x:v>31</x:v>
      </x:c>
      <x:c r="K6" s="39" t="n">
        <x:f>SUMIFS('Family Allocation'!$V$5:$V$52,'Family Allocation'!$E$5:$E$52,$C6)</x:f>
        <x:v>27</x:v>
      </x:c>
      <x:c r="L6" s="39" t="n">
        <x:f>SUMIFS('Family Allocation'!$W$5:$W$52,'Family Allocation'!$E$5:$E$52,$C6)</x:f>
        <x:v>45</x:v>
      </x:c>
      <x:c r="M6" s="39" t="n">
        <x:f>SUMIFS('Family Allocation'!$X$5:$X$52,'Family Allocation'!$E$5:$E$52,$C6)</x:f>
        <x:v>47</x:v>
      </x:c>
      <x:c r="N6" s="39" t="n">
        <x:f>SUM(D6:M6)</x:f>
        <x:v>343</x:v>
      </x:c>
      <x:c r="O6" s="39" t="n">
        <x:f>COUNTIFS(D6:M6,"&gt;0")</x:f>
        <x:v>10</x:v>
      </x:c>
      <x:c r="P6" s="39" t="str">
        <x:f>IF(O6=10,"PASS","FAIL")</x:f>
        <x:v>PASS</x:v>
      </x:c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f>'Mission Systems'!C7</x:f>
        <x:v>MS-HC</x:v>
      </x:c>
      <x:c r="D7" s="39" t="n">
        <x:f>SUMIFS('Family Allocation'!$O$5:$O$52,'Family Allocation'!$E$5:$E$52,$C7)</x:f>
        <x:v>6</x:v>
      </x:c>
      <x:c r="E7" s="39" t="n">
        <x:f>SUMIFS('Family Allocation'!$P$5:$P$52,'Family Allocation'!$E$5:$E$52,$C7)</x:f>
        <x:v>23</x:v>
      </x:c>
      <x:c r="F7" s="39" t="n">
        <x:f>SUMIFS('Family Allocation'!$Q$5:$Q$52,'Family Allocation'!$E$5:$E$52,$C7)</x:f>
        <x:v>24</x:v>
      </x:c>
      <x:c r="G7" s="39" t="n">
        <x:f>SUMIFS('Family Allocation'!$R$5:$R$52,'Family Allocation'!$E$5:$E$52,$C7)</x:f>
        <x:v>24</x:v>
      </x:c>
      <x:c r="H7" s="39" t="n">
        <x:f>SUMIFS('Family Allocation'!$S$5:$S$52,'Family Allocation'!$E$5:$E$52,$C7)</x:f>
        <x:v>6</x:v>
      </x:c>
      <x:c r="I7" s="39" t="n">
        <x:f>SUMIFS('Family Allocation'!$T$5:$T$52,'Family Allocation'!$E$5:$E$52,$C7)</x:f>
        <x:v>21</x:v>
      </x:c>
      <x:c r="J7" s="39" t="n">
        <x:f>SUMIFS('Family Allocation'!$U$5:$U$52,'Family Allocation'!$E$5:$E$52,$C7)</x:f>
        <x:v>18</x:v>
      </x:c>
      <x:c r="K7" s="39" t="n">
        <x:f>SUMIFS('Family Allocation'!$V$5:$V$52,'Family Allocation'!$E$5:$E$52,$C7)</x:f>
        <x:v>7</x:v>
      </x:c>
      <x:c r="L7" s="39" t="n">
        <x:f>SUMIFS('Family Allocation'!$W$5:$W$52,'Family Allocation'!$E$5:$E$52,$C7)</x:f>
        <x:v>18</x:v>
      </x:c>
      <x:c r="M7" s="39" t="n">
        <x:f>SUMIFS('Family Allocation'!$X$5:$X$52,'Family Allocation'!$E$5:$E$52,$C7)</x:f>
        <x:v>23</x:v>
      </x:c>
      <x:c r="N7" s="39" t="n">
        <x:f>SUM(D7:M7)</x:f>
        <x:v>170</x:v>
      </x:c>
      <x:c r="O7" s="39" t="n">
        <x:f>COUNTIFS(D7:M7,"&gt;0")</x:f>
        <x:v>10</x:v>
      </x:c>
      <x:c r="P7" s="39" t="str">
        <x:f>IF(O7=10,"PASS","FAIL")</x:f>
        <x:v>PASS</x:v>
      </x:c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f>'Mission Systems'!C8</x:f>
        <x:v>MS-LF</x:v>
      </x:c>
      <x:c r="D8" s="39" t="n">
        <x:f>SUMIFS('Family Allocation'!$O$5:$O$52,'Family Allocation'!$E$5:$E$52,$C8)</x:f>
        <x:v>34</x:v>
      </x:c>
      <x:c r="E8" s="39" t="n">
        <x:f>SUMIFS('Family Allocation'!$P$5:$P$52,'Family Allocation'!$E$5:$E$52,$C8)</x:f>
        <x:v>27</x:v>
      </x:c>
      <x:c r="F8" s="39" t="n">
        <x:f>SUMIFS('Family Allocation'!$Q$5:$Q$52,'Family Allocation'!$E$5:$E$52,$C8)</x:f>
        <x:v>38</x:v>
      </x:c>
      <x:c r="G8" s="39" t="n">
        <x:f>SUMIFS('Family Allocation'!$R$5:$R$52,'Family Allocation'!$E$5:$E$52,$C8)</x:f>
        <x:v>12</x:v>
      </x:c>
      <x:c r="H8" s="39" t="n">
        <x:f>SUMIFS('Family Allocation'!$S$5:$S$52,'Family Allocation'!$E$5:$E$52,$C8)</x:f>
        <x:v>25</x:v>
      </x:c>
      <x:c r="I8" s="39" t="n">
        <x:f>SUMIFS('Family Allocation'!$T$5:$T$52,'Family Allocation'!$E$5:$E$52,$C8)</x:f>
        <x:v>18</x:v>
      </x:c>
      <x:c r="J8" s="39" t="n">
        <x:f>SUMIFS('Family Allocation'!$U$5:$U$52,'Family Allocation'!$E$5:$E$52,$C8)</x:f>
        <x:v>15</x:v>
      </x:c>
      <x:c r="K8" s="39" t="n">
        <x:f>SUMIFS('Family Allocation'!$V$5:$V$52,'Family Allocation'!$E$5:$E$52,$C8)</x:f>
        <x:v>27</x:v>
      </x:c>
      <x:c r="L8" s="39" t="n">
        <x:f>SUMIFS('Family Allocation'!$W$5:$W$52,'Family Allocation'!$E$5:$E$52,$C8)</x:f>
        <x:v>32</x:v>
      </x:c>
      <x:c r="M8" s="39" t="n">
        <x:f>SUMIFS('Family Allocation'!$X$5:$X$52,'Family Allocation'!$E$5:$E$52,$C8)</x:f>
        <x:v>28</x:v>
      </x:c>
      <x:c r="N8" s="39" t="n">
        <x:f>SUM(D8:M8)</x:f>
        <x:v>256</x:v>
      </x:c>
      <x:c r="O8" s="39" t="n">
        <x:f>COUNTIFS(D8:M8,"&gt;0")</x:f>
        <x:v>10</x:v>
      </x:c>
      <x:c r="P8" s="39" t="str">
        <x:f>IF(O8=10,"PASS","FAIL")</x:f>
        <x:v>PASS</x:v>
      </x:c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f>'Mission Systems'!C9</x:f>
        <x:v>MS-HU</x:v>
      </x:c>
      <x:c r="D9" s="39" t="n">
        <x:f>SUMIFS('Family Allocation'!$O$5:$O$52,'Family Allocation'!$E$5:$E$52,$C9)</x:f>
        <x:v>77</x:v>
      </x:c>
      <x:c r="E9" s="39" t="n">
        <x:f>SUMIFS('Family Allocation'!$P$5:$P$52,'Family Allocation'!$E$5:$E$52,$C9)</x:f>
        <x:v>101</x:v>
      </x:c>
      <x:c r="F9" s="39" t="n">
        <x:f>SUMIFS('Family Allocation'!$Q$5:$Q$52,'Family Allocation'!$E$5:$E$52,$C9)</x:f>
        <x:v>128</x:v>
      </x:c>
      <x:c r="G9" s="39" t="n">
        <x:f>SUMIFS('Family Allocation'!$R$5:$R$52,'Family Allocation'!$E$5:$E$52,$C9)</x:f>
        <x:v>42</x:v>
      </x:c>
      <x:c r="H9" s="39" t="n">
        <x:f>SUMIFS('Family Allocation'!$S$5:$S$52,'Family Allocation'!$E$5:$E$52,$C9)</x:f>
        <x:v>72</x:v>
      </x:c>
      <x:c r="I9" s="39" t="n">
        <x:f>SUMIFS('Family Allocation'!$T$5:$T$52,'Family Allocation'!$E$5:$E$52,$C9)</x:f>
        <x:v>61</x:v>
      </x:c>
      <x:c r="J9" s="39" t="n">
        <x:f>SUMIFS('Family Allocation'!$U$5:$U$52,'Family Allocation'!$E$5:$E$52,$C9)</x:f>
        <x:v>80</x:v>
      </x:c>
      <x:c r="K9" s="39" t="n">
        <x:f>SUMIFS('Family Allocation'!$V$5:$V$52,'Family Allocation'!$E$5:$E$52,$C9)</x:f>
        <x:v>66</x:v>
      </x:c>
      <x:c r="L9" s="39" t="n">
        <x:f>SUMIFS('Family Allocation'!$W$5:$W$52,'Family Allocation'!$E$5:$E$52,$C9)</x:f>
        <x:v>124</x:v>
      </x:c>
      <x:c r="M9" s="39" t="n">
        <x:f>SUMIFS('Family Allocation'!$X$5:$X$52,'Family Allocation'!$E$5:$E$52,$C9)</x:f>
        <x:v>128</x:v>
      </x:c>
      <x:c r="N9" s="39" t="n">
        <x:f>SUM(D9:M9)</x:f>
        <x:v>879</x:v>
      </x:c>
      <x:c r="O9" s="39" t="n">
        <x:f>COUNTIFS(D9:M9,"&gt;0")</x:f>
        <x:v>10</x:v>
      </x:c>
      <x:c r="P9" s="39" t="str">
        <x:f>IF(O9=10,"PASS","FAIL")</x:f>
        <x:v>PASS</x:v>
      </x:c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f>'Mission Systems'!C10</x:f>
        <x:v>MS-RT</x:v>
      </x:c>
      <x:c r="D10" s="39" t="n">
        <x:f>SUMIFS('Family Allocation'!$O$5:$O$52,'Family Allocation'!$E$5:$E$52,$C10)</x:f>
        <x:v>33</x:v>
      </x:c>
      <x:c r="E10" s="39" t="n">
        <x:f>SUMIFS('Family Allocation'!$P$5:$P$52,'Family Allocation'!$E$5:$E$52,$C10)</x:f>
        <x:v>46</x:v>
      </x:c>
      <x:c r="F10" s="39" t="n">
        <x:f>SUMIFS('Family Allocation'!$Q$5:$Q$52,'Family Allocation'!$E$5:$E$52,$C10)</x:f>
        <x:v>62</x:v>
      </x:c>
      <x:c r="G10" s="39" t="n">
        <x:f>SUMIFS('Family Allocation'!$R$5:$R$52,'Family Allocation'!$E$5:$E$52,$C10)</x:f>
        <x:v>18</x:v>
      </x:c>
      <x:c r="H10" s="39" t="n">
        <x:f>SUMIFS('Family Allocation'!$S$5:$S$52,'Family Allocation'!$E$5:$E$52,$C10)</x:f>
        <x:v>24</x:v>
      </x:c>
      <x:c r="I10" s="39" t="n">
        <x:f>SUMIFS('Family Allocation'!$T$5:$T$52,'Family Allocation'!$E$5:$E$52,$C10)</x:f>
        <x:v>30</x:v>
      </x:c>
      <x:c r="J10" s="39" t="n">
        <x:f>SUMIFS('Family Allocation'!$U$5:$U$52,'Family Allocation'!$E$5:$E$52,$C10)</x:f>
        <x:v>35</x:v>
      </x:c>
      <x:c r="K10" s="39" t="n">
        <x:f>SUMIFS('Family Allocation'!$V$5:$V$52,'Family Allocation'!$E$5:$E$52,$C10)</x:f>
        <x:v>36</x:v>
      </x:c>
      <x:c r="L10" s="39" t="n">
        <x:f>SUMIFS('Family Allocation'!$W$5:$W$52,'Family Allocation'!$E$5:$E$52,$C10)</x:f>
        <x:v>59</x:v>
      </x:c>
      <x:c r="M10" s="39" t="n">
        <x:f>SUMIFS('Family Allocation'!$X$5:$X$52,'Family Allocation'!$E$5:$E$52,$C10)</x:f>
        <x:v>60</x:v>
      </x:c>
      <x:c r="N10" s="39" t="n">
        <x:f>SUM(D10:M10)</x:f>
        <x:v>403</x:v>
      </x:c>
      <x:c r="O10" s="39" t="n">
        <x:f>COUNTIFS(D10:M10,"&gt;0")</x:f>
        <x:v>10</x:v>
      </x:c>
      <x:c r="P10" s="39" t="str">
        <x:f>IF(O10=10,"PASS","FAIL")</x:f>
        <x:v>PASS</x:v>
      </x:c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43" t="str">
        <x:v>Total</x:v>
      </x:c>
      <x:c r="D11" s="43" t="n">
        <x:f>SUM(D5:D10)</x:f>
        <x:v>204</x:v>
      </x:c>
      <x:c r="E11" s="43" t="n">
        <x:f>SUM(E5:E10)</x:f>
        <x:v>279</x:v>
      </x:c>
      <x:c r="F11" s="43" t="n">
        <x:f>SUM(F5:F10)</x:f>
        <x:v>362</x:v>
      </x:c>
      <x:c r="G11" s="43" t="n">
        <x:f>SUM(G5:G10)</x:f>
        <x:v>134</x:v>
      </x:c>
      <x:c r="H11" s="43" t="n">
        <x:f>SUM(H5:H10)</x:f>
        <x:v>164</x:v>
      </x:c>
      <x:c r="I11" s="43" t="n">
        <x:f>SUM(I5:I10)</x:f>
        <x:v>192</x:v>
      </x:c>
      <x:c r="J11" s="43" t="n">
        <x:f>SUM(J5:J10)</x:f>
        <x:v>217</x:v>
      </x:c>
      <x:c r="K11" s="43" t="n">
        <x:f>SUM(K5:K10)</x:f>
        <x:v>193</x:v>
      </x:c>
      <x:c r="L11" s="43" t="n">
        <x:f>SUM(L5:L10)</x:f>
        <x:v>334</x:v>
      </x:c>
      <x:c r="M11" s="43" t="n">
        <x:f>SUM(M5:M10)</x:f>
        <x:v>341</x:v>
      </x:c>
      <x:c r="N11" s="43" t="n">
        <x:f>SUM(N5:N10)</x:f>
        <x:v>2420</x:v>
      </x:c>
      <x:c r="O11" s="43" t="n">
        <x:f>SUM(O5:O10)</x:f>
        <x:v>60</x:v>
      </x:c>
      <x:c r="P11" s="43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16" hidden="0" customWidth="1"/>
    <x:col min="5" max="5" width="35" hidden="0" customWidth="1"/>
    <x:col min="6" max="6" width="33" hidden="0" customWidth="1"/>
    <x:col min="7" max="7" width="58" hidden="0" customWidth="1"/>
    <x:col min="8" max="8" width="78" hidden="0" customWidth="1"/>
    <x:col min="9" max="9" width="74" hidden="0" customWidth="1"/>
    <x:col min="10" max="10" width="16" hidden="0" customWidth="1"/>
    <x:col min="11" max="11" width="20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Twenty-four mission-led technology competitions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48" t="str">
        <x:v>Each problem field funds unlike mechanisms and has a mission-level kill condition. Allocation is exploratory; no mechanism or exterior form is selected.</x:v>
      </x:c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Program</x:v>
      </x:c>
      <x:c r="D4" s="24" t="str">
        <x:v>Mission-system ID</x:v>
      </x:c>
      <x:c r="E4" s="24" t="str">
        <x:v>Mission chain</x:v>
      </x:c>
      <x:c r="F4" s="24" t="str">
        <x:v>Problem field</x:v>
      </x:c>
      <x:c r="G4" s="24" t="str">
        <x:v>Binding coefficient</x:v>
      </x:c>
      <x:c r="H4" s="24" t="str">
        <x:v>Rival mechanism families</x:v>
      </x:c>
      <x:c r="I4" s="24" t="str">
        <x:v>Kill condition</x:v>
      </x:c>
      <x:c r="J4" s="24" t="str">
        <x:v>Mission share</x:v>
      </x:c>
      <x:c r="K4" s="24" t="str">
        <x:v>Allocation (USD B)</x:v>
      </x:c>
      <x:c r="L4" s="13" t="str">
        <x:v>State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v>ET-01</x:v>
      </x:c>
      <x:c r="D5" s="39" t="str">
        <x:v>MS-ET</x:v>
      </x:c>
      <x:c r="E5" s="39" t="str">
        <x:f>INDEX('Mission Systems'!$D$5:$D$10,MATCH(D5,'Mission Systems'!$C$5:$C$10,0))</x:f>
        <x:v>Enter a broken theater</x:v>
      </x:c>
      <x:c r="F5" s="39" t="str">
        <x:v>No-pier heavy transfer</x:v>
      </x:c>
      <x:c r="G5" s="39" t="str">
        <x:v>Accepted tonnes per hour from carrier to dry staging after port denial</x:v>
      </x:c>
      <x:c r="H5" s="39" t="str">
        <x:v>Ground-effect transfer; semisubmersible exchange; modular causeway; autonomous lighterage</x:v>
      </x:c>
      <x:c r="I5" s="39" t="str">
        <x:v>No rival closes sea state, receiver denial, safety and sustained throughput.</x:v>
      </x:c>
      <x:c r="J5" s="47" t="n">
        <x:v>0.25</x:v>
      </x:c>
      <x:c r="K5" s="42" t="n">
        <x:f>J5*INDEX('Mission Systems'!$S$5:$S$10,MATCH(D5,'Mission Systems'!$C$5:$C$10,0))</x:f>
        <x:v>22.25584902002111</x:v>
      </x:c>
      <x:c r="L5" s="39" t="str">
        <x:v>COMPETE</x:v>
      </x:c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v>ET-02</x:v>
      </x:c>
      <x:c r="D6" s="39" t="str">
        <x:v>MS-ET</x:v>
      </x:c>
      <x:c r="E6" s="39" t="str">
        <x:f>INDEX('Mission Systems'!$D$5:$D$10,MATCH(D6,'Mission Systems'!$C$5:$C$10,0))</x:f>
        <x:v>Enter a broken theater</x:v>
      </x:c>
      <x:c r="F6" s="39" t="str">
        <x:v>Austere strategic lift</x:v>
      </x:c>
      <x:c r="G6" s="39" t="str">
        <x:v>Complete-formation tonnes delivered without a prepared runway</x:v>
      </x:c>
      <x:c r="H6" s="39" t="str">
        <x:v>Ground-coupled buoyant lift; distributed electric heavy lift; short-field lifting body</x:v>
      </x:c>
      <x:c r="I6" s="39" t="str">
        <x:v>Payload arrives without its complete service cell or cannot reset at an austere node.</x:v>
      </x:c>
      <x:c r="J6" s="47" t="n">
        <x:v>0.25</x:v>
      </x:c>
      <x:c r="K6" s="42" t="n">
        <x:f>J6*INDEX('Mission Systems'!$S$5:$S$10,MATCH(D6,'Mission Systems'!$C$5:$C$10,0))</x:f>
        <x:v>22.25584902002111</x:v>
      </x:c>
      <x:c r="L6" s="39" t="str">
        <x:v>COMPETE</x:v>
      </x:c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v>ET-03</x:v>
      </x:c>
      <x:c r="D7" s="39" t="str">
        <x:v>MS-ET</x:v>
      </x:c>
      <x:c r="E7" s="39" t="str">
        <x:f>INDEX('Mission Systems'!$D$5:$D$10,MATCH(D7,'Mission Systems'!$C$5:$C$10,0))</x:f>
        <x:v>Enter a broken theater</x:v>
      </x:c>
      <x:c r="F7" s="39" t="str">
        <x:v>Autonomous node opening</x:v>
      </x:c>
      <x:c r="G7" s="39" t="str">
        <x:v>Hours to certified 1,000-tonne/day reception</x:v>
      </x:c>
      <x:c r="H7" s="39" t="str">
        <x:v>Robotic survey; self-leveling surfaces; modular quay and apron; autonomous cross-dock</x:v>
      </x:c>
      <x:c r="I7" s="39" t="str">
        <x:v>Opening rate depends on unavailable host plant, labor or utilities.</x:v>
      </x:c>
      <x:c r="J7" s="47" t="n">
        <x:v>0.25</x:v>
      </x:c>
      <x:c r="K7" s="42" t="n">
        <x:f>J7*INDEX('Mission Systems'!$S$5:$S$10,MATCH(D7,'Mission Systems'!$C$5:$C$10,0))</x:f>
        <x:v>22.25584902002111</x:v>
      </x:c>
      <x:c r="L7" s="39" t="str">
        <x:v>COMPETE</x:v>
      </x:c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v>ET-04</x:v>
      </x:c>
      <x:c r="D8" s="39" t="str">
        <x:v>MS-ET</x:v>
      </x:c>
      <x:c r="E8" s="39" t="str">
        <x:f>INDEX('Mission Systems'!$D$5:$D$10,MATCH(D8,'Mission Systems'!$C$5:$C$10,0))</x:f>
        <x:v>Enter a broken theater</x:v>
      </x:c>
      <x:c r="F8" s="39" t="str">
        <x:v>Distributed operating bases</x:v>
      </x:c>
      <x:c r="G8" s="39" t="str">
        <x:v>Host-utility burden per formation-day</x:v>
      </x:c>
      <x:c r="H8" s="39" t="str">
        <x:v>Closed-loop mobile base; offshore base; rail base; cellular terrain base</x:v>
      </x:c>
      <x:c r="I8" s="39" t="str">
        <x:v>The base competes with the supported population for water, power, access or waste capacity.</x:v>
      </x:c>
      <x:c r="J8" s="47" t="n">
        <x:v>0.25</x:v>
      </x:c>
      <x:c r="K8" s="42" t="n">
        <x:f>J8*INDEX('Mission Systems'!$S$5:$S$10,MATCH(D8,'Mission Systems'!$C$5:$C$10,0))</x:f>
        <x:v>22.25584902002111</x:v>
      </x:c>
      <x:c r="L8" s="39" t="str">
        <x:v>COMPETE</x:v>
      </x:c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v>CT-01</x:v>
      </x:c>
      <x:c r="D9" s="39" t="str">
        <x:v>MS-CT</x:v>
      </x:c>
      <x:c r="E9" s="39" t="str">
        <x:f>INDEX('Mission Systems'!$D$5:$D$10,MATCH(D9,'Mission Systems'!$C$5:$C$10,0))</x:f>
        <x:v>Reach occupied civil terrain</x:v>
      </x:c>
      <x:c r="F9" s="39" t="str">
        <x:v>Disconnected civil state</x:v>
      </x:c>
      <x:c r="G9" s="39" t="str">
        <x:v>Share of households located, authenticated and served without grid or cloud</x:v>
      </x:c>
      <x:c r="H9" s="39" t="str">
        <x:v>Local-first identity; delay-tolerant civil mesh; privacy-preserving edge records</x:v>
      </x:c>
      <x:c r="I9" s="39" t="str">
        <x:v>Coverage or rights fail for a protected cohort under disconnected operation.</x:v>
      </x:c>
      <x:c r="J9" s="47" t="n">
        <x:v>0.25</x:v>
      </x:c>
      <x:c r="K9" s="42" t="n">
        <x:f>J9*INDEX('Mission Systems'!$S$5:$S$10,MATCH(D9,'Mission Systems'!$C$5:$C$10,0))</x:f>
        <x:v>22.968199654645346</x:v>
      </x:c>
      <x:c r="L9" s="39" t="str">
        <x:v>COMPETE</x:v>
      </x:c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v>CT-02</x:v>
      </x:c>
      <x:c r="D10" s="39" t="str">
        <x:v>MS-CT</x:v>
      </x:c>
      <x:c r="E10" s="39" t="str">
        <x:f>INDEX('Mission Systems'!$D$5:$D$10,MATCH(D10,'Mission Systems'!$C$5:$C$10,0))</x:f>
        <x:v>Reach occupied civil terrain</x:v>
      </x:c>
      <x:c r="F10" s="39" t="str">
        <x:v>Building and vertical access</x:v>
      </x:c>
      <x:c r="G10" s="39" t="str">
        <x:v>Occupied floors safely reached per team-hour</x:v>
      </x:c>
      <x:c r="H10" s="39" t="str">
        <x:v>Robotic entry; temporary vertical systems; exterior access; powered stair support</x:v>
      </x:c>
      <x:c r="I10" s="39" t="str">
        <x:v>The mechanism transfers risk or labor to residents and caregivers.</x:v>
      </x:c>
      <x:c r="J10" s="47" t="n">
        <x:v>0.25</x:v>
      </x:c>
      <x:c r="K10" s="42" t="n">
        <x:f>J10*INDEX('Mission Systems'!$S$5:$S$10,MATCH(D10,'Mission Systems'!$C$5:$C$10,0))</x:f>
        <x:v>22.968199654645346</x:v>
      </x:c>
      <x:c r="L10" s="39" t="str">
        <x:v>COMPETE</x:v>
      </x:c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39" t="str">
        <x:v>CT-03</x:v>
      </x:c>
      <x:c r="D11" s="39" t="str">
        <x:v>MS-CT</x:v>
      </x:c>
      <x:c r="E11" s="39" t="str">
        <x:f>INDEX('Mission Systems'!$D$5:$D$10,MATCH(D11,'Mission Systems'!$C$5:$C$10,0))</x:f>
        <x:v>Reach occupied civil terrain</x:v>
      </x:c>
      <x:c r="F11" s="39" t="str">
        <x:v>Accessible collection</x:v>
      </x:c>
      <x:c r="G11" s="39" t="str">
        <x:v>Complete person-transfers per crew-hour from true origin</x:v>
      </x:c>
      <x:c r="H11" s="39" t="str">
        <x:v>Common-cabin mobility; autonomous neighborhood carriers; modular care cabins</x:v>
      </x:c>
      <x:c r="I11" s="39" t="str">
        <x:v>Seat movement breaks caregiver, device, medication, identity or destination continuity.</x:v>
      </x:c>
      <x:c r="J11" s="47" t="n">
        <x:v>0.25</x:v>
      </x:c>
      <x:c r="K11" s="42" t="n">
        <x:f>J11*INDEX('Mission Systems'!$S$5:$S$10,MATCH(D11,'Mission Systems'!$C$5:$C$10,0))</x:f>
        <x:v>22.968199654645346</x:v>
      </x:c>
      <x:c r="L11" s="39" t="str">
        <x:v>COMPETE</x:v>
      </x:c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 t="str">
        <x:v>CT-04</x:v>
      </x:c>
      <x:c r="D12" s="39" t="str">
        <x:v>MS-CT</x:v>
      </x:c>
      <x:c r="E12" s="39" t="str">
        <x:f>INDEX('Mission Systems'!$D$5:$D$10,MATCH(D12,'Mission Systems'!$C$5:$C$10,0))</x:f>
        <x:v>Reach occupied civil terrain</x:v>
      </x:c>
      <x:c r="F12" s="39" t="str">
        <x:v>Degraded public communications</x:v>
      </x:c>
      <x:c r="G12" s="39" t="str">
        <x:v>Authenticated public-service transactions per kilowatt-hour</x:v>
      </x:c>
      <x:c r="H12" s="39" t="str">
        <x:v>Air relay; terrestrial mesh; optical links; local compute and broadcast</x:v>
      </x:c>
      <x:c r="I12" s="39" t="str">
        <x:v>A common software, spectrum or power loss defeats public and responder access.</x:v>
      </x:c>
      <x:c r="J12" s="47" t="n">
        <x:v>0.25</x:v>
      </x:c>
      <x:c r="K12" s="42" t="n">
        <x:f>J12*INDEX('Mission Systems'!$S$5:$S$10,MATCH(D12,'Mission Systems'!$C$5:$C$10,0))</x:f>
        <x:v>22.968199654645346</x:v>
      </x:c>
      <x:c r="L12" s="39" t="str">
        <x:v>COMPETE</x:v>
      </x:c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 t="str">
        <x:v>HC-01</x:v>
      </x:c>
      <x:c r="D13" s="39" t="str">
        <x:v>MS-HC</x:v>
      </x:c>
      <x:c r="E13" s="39" t="str">
        <x:f>INDEX('Mission Systems'!$D$5:$D$10,MATCH(D13,'Mission Systems'!$C$5:$C$10,0))</x:f>
        <x:v>Control an active hazard</x:v>
      </x:c>
      <x:c r="F13" s="39" t="str">
        <x:v>Persistent fire control</x:v>
      </x:c>
      <x:c r="G13" s="39" t="str">
        <x:v>Contained edge per safe air-and-ground operating cycle</x:v>
      </x:c>
      <x:c r="H13" s="39" t="str">
        <x:v>Purpose-built high-endurance aircraft; uncrewed suppressor lattice; ground-fluid corridor</x:v>
      </x:c>
      <x:c r="I13" s="39" t="str">
        <x:v>Sortie output does not produce measured containment or creates unacceptable crew exposure.</x:v>
      </x:c>
      <x:c r="J13" s="47" t="n">
        <x:v>0.25</x:v>
      </x:c>
      <x:c r="K13" s="42" t="n">
        <x:f>J13*INDEX('Mission Systems'!$S$5:$S$10,MATCH(D13,'Mission Systems'!$C$5:$C$10,0))</x:f>
        <x:v>13.661989043130758</x:v>
      </x:c>
      <x:c r="L13" s="39" t="str">
        <x:v>COMPETE</x:v>
      </x:c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 t="str">
        <x:v>HC-02</x:v>
      </x:c>
      <x:c r="D14" s="39" t="str">
        <x:v>MS-HC</x:v>
      </x:c>
      <x:c r="E14" s="39" t="str">
        <x:f>INDEX('Mission Systems'!$D$5:$D$10,MATCH(D14,'Mission Systems'!$C$5:$C$10,0))</x:f>
        <x:v>Control an active hazard</x:v>
      </x:c>
      <x:c r="F14" s="39" t="str">
        <x:v>Megaflow hydraulic control</x:v>
      </x:c>
      <x:c r="G14" s="39" t="str">
        <x:v>Controlled cubic metres per second per deployed tonne and megawatt</x:v>
      </x:c>
      <x:c r="H14" s="39" t="str">
        <x:v>Cellular pumping; breach-arrest fabrics; mobile diversion; autonomous barrier placement</x:v>
      </x:c>
      <x:c r="I14" s="39" t="str">
        <x:v>The system moves water without closing intake, discharge, erosion, contamination and recovery.</x:v>
      </x:c>
      <x:c r="J14" s="47" t="n">
        <x:v>0.25</x:v>
      </x:c>
      <x:c r="K14" s="42" t="n">
        <x:f>J14*INDEX('Mission Systems'!$S$5:$S$10,MATCH(D14,'Mission Systems'!$C$5:$C$10,0))</x:f>
        <x:v>13.661989043130758</x:v>
      </x:c>
      <x:c r="L14" s="39" t="str">
        <x:v>COMPETE</x:v>
      </x:c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 t="str">
        <x:v>HC-03</x:v>
      </x:c>
      <x:c r="D15" s="39" t="str">
        <x:v>MS-HC</x:v>
      </x:c>
      <x:c r="E15" s="39" t="str">
        <x:f>INDEX('Mission Systems'!$D$5:$D$10,MATCH(D15,'Mission Systems'!$C$5:$C$10,0))</x:f>
        <x:v>Control an active hazard</x:v>
      </x:c>
      <x:c r="F15" s="39" t="str">
        <x:v>Autonomous earth and debris work</x:v>
      </x:c>
      <x:c r="G15" s="39" t="str">
        <x:v>Hazardous cubic metres processed per exposed worker-hour</x:v>
      </x:c>
      <x:c r="H15" s="39" t="str">
        <x:v>Teleoperated fleets; cooperative autonomy; mobile sorting; adaptive heavy plant</x:v>
      </x:c>
      <x:c r="I15" s="39" t="str">
        <x:v>Productivity depends on unsafe human exposure or leaves an unbounded residual stream.</x:v>
      </x:c>
      <x:c r="J15" s="47" t="n">
        <x:v>0.25</x:v>
      </x:c>
      <x:c r="K15" s="42" t="n">
        <x:f>J15*INDEX('Mission Systems'!$S$5:$S$10,MATCH(D15,'Mission Systems'!$C$5:$C$10,0))</x:f>
        <x:v>13.661989043130758</x:v>
      </x:c>
      <x:c r="L15" s="39" t="str">
        <x:v>COMPETE</x:v>
      </x:c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 t="str">
        <x:v>HC-04</x:v>
      </x:c>
      <x:c r="D16" s="39" t="str">
        <x:v>MS-HC</x:v>
      </x:c>
      <x:c r="E16" s="39" t="str">
        <x:f>INDEX('Mission Systems'!$D$5:$D$10,MATCH(D16,'Mission Systems'!$C$5:$C$10,0))</x:f>
        <x:v>Control an active hazard</x:v>
      </x:c>
      <x:c r="F16" s="39" t="str">
        <x:v>Environmental consequence control</x:v>
      </x:c>
      <x:c r="G16" s="39" t="str">
        <x:v>Time from release to bounded source, pathway and safe-state decision</x:v>
      </x:c>
      <x:c r="H16" s="39" t="str">
        <x:v>Distributed chemical/biological sensing; aerial tomography; causal plume and watershed models</x:v>
      </x:c>
      <x:c r="I16" s="39" t="str">
        <x:v>The system detects a signal but cannot support a lawful intervention or release decision.</x:v>
      </x:c>
      <x:c r="J16" s="47" t="n">
        <x:v>0.25</x:v>
      </x:c>
      <x:c r="K16" s="42" t="n">
        <x:f>J16*INDEX('Mission Systems'!$S$5:$S$10,MATCH(D16,'Mission Systems'!$C$5:$C$10,0))</x:f>
        <x:v>13.661989043130758</x:v>
      </x:c>
      <x:c r="L16" s="39" t="str">
        <x:v>COMPETE</x:v>
      </x:c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39" t="str">
        <x:v>LF-01</x:v>
      </x:c>
      <x:c r="D17" s="39" t="str">
        <x:v>MS-LF</x:v>
      </x:c>
      <x:c r="E17" s="39" t="str">
        <x:f>INDEX('Mission Systems'!$D$5:$D$10,MATCH(D17,'Mission Systems'!$C$5:$C$10,0))</x:f>
        <x:v>Produce and distribute lifelines</x:v>
      </x:c>
      <x:c r="F17" s="39" t="str">
        <x:v>Strategic water-energy carriers</x:v>
      </x:c>
      <x:c r="G17" s="39" t="str">
        <x:v>Safe cubic metres and firm megawatts delivered ashore per occupied carrier-day</x:v>
      </x:c>
      <x:c r="H17" s="39" t="str">
        <x:v>Nuclear or unlike firm-source coastal carriers; inland production barges; modular energy islands</x:v>
      </x:c>
      <x:c r="I17" s="39" t="str">
        <x:v>A source cannot close heat, concentrate, pipeline, licensing, crew and shore-transfer obligations.</x:v>
      </x:c>
      <x:c r="J17" s="47" t="n">
        <x:v>0.25</x:v>
      </x:c>
      <x:c r="K17" s="42" t="n">
        <x:f>J17*INDEX('Mission Systems'!$S$5:$S$10,MATCH(D17,'Mission Systems'!$C$5:$C$10,0))</x:f>
        <x:v>17.988256386411273</x:v>
      </x:c>
      <x:c r="L17" s="39" t="str">
        <x:v>COMPETE</x:v>
      </x:c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 t="str">
        <x:v>LF-02</x:v>
      </x:c>
      <x:c r="D18" s="39" t="str">
        <x:v>MS-LF</x:v>
      </x:c>
      <x:c r="E18" s="39" t="str">
        <x:f>INDEX('Mission Systems'!$D$5:$D$10,MATCH(D18,'Mission Systems'!$C$5:$C$10,0))</x:f>
        <x:v>Produce and distribute lifelines</x:v>
      </x:c>
      <x:c r="F18" s="39" t="str">
        <x:v>Self-deploying utility corridors</x:v>
      </x:c>
      <x:c r="G18" s="39" t="str">
        <x:v>Service-capacity kilometres established per day</x:v>
      </x:c>
      <x:c r="H18" s="39" t="str">
        <x:v>Drone-laid flexible pipe; robotic conductor; self-forming supports; autonomous trench and splice</x:v>
      </x:c>
      <x:c r="I18" s="39" t="str">
        <x:v>The corridor cannot survive terrain, pressure, protection, repair and public-interface loads.</x:v>
      </x:c>
      <x:c r="J18" s="47" t="n">
        <x:v>0.25</x:v>
      </x:c>
      <x:c r="K18" s="42" t="n">
        <x:f>J18*INDEX('Mission Systems'!$S$5:$S$10,MATCH(D18,'Mission Systems'!$C$5:$C$10,0))</x:f>
        <x:v>17.988256386411273</x:v>
      </x:c>
      <x:c r="L18" s="39" t="str">
        <x:v>COMPETE</x:v>
      </x:c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 t="str">
        <x:v>LF-03</x:v>
      </x:c>
      <x:c r="D19" s="39" t="str">
        <x:v>MS-LF</x:v>
      </x:c>
      <x:c r="E19" s="39" t="str">
        <x:f>INDEX('Mission Systems'!$D$5:$D$10,MATCH(D19,'Mission Systems'!$C$5:$C$10,0))</x:f>
        <x:v>Produce and distribute lifelines</x:v>
      </x:c>
      <x:c r="F19" s="39" t="str">
        <x:v>Advanced separation and residual control</x:v>
      </x:c>
      <x:c r="G19" s="39" t="str">
        <x:v>Compliant yield per unit energy and residual mass</x:v>
      </x:c>
      <x:c r="H19" s="39" t="str">
        <x:v>Adaptive membranes; electrochemical separation; selective crystallization; biological polishing</x:v>
      </x:c>
      <x:c r="I19" s="39" t="str">
        <x:v>Improved product water externalizes hazardous concentrate, consumables or maintenance.</x:v>
      </x:c>
      <x:c r="J19" s="47" t="n">
        <x:v>0.25</x:v>
      </x:c>
      <x:c r="K19" s="42" t="n">
        <x:f>J19*INDEX('Mission Systems'!$S$5:$S$10,MATCH(D19,'Mission Systems'!$C$5:$C$10,0))</x:f>
        <x:v>17.988256386411273</x:v>
      </x:c>
      <x:c r="L19" s="39" t="str">
        <x:v>COMPETE</x:v>
      </x:c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 t="str">
        <x:v>LF-04</x:v>
      </x:c>
      <x:c r="D20" s="39" t="str">
        <x:v>MS-LF</x:v>
      </x:c>
      <x:c r="E20" s="39" t="str">
        <x:f>INDEX('Mission Systems'!$D$5:$D$10,MATCH(D20,'Mission Systems'!$C$5:$C$10,0))</x:f>
        <x:v>Produce and distribute lifelines</x:v>
      </x:c>
      <x:c r="F20" s="39" t="str">
        <x:v>Grid-forming power and thermal cells</x:v>
      </x:c>
      <x:c r="G20" s="39" t="str">
        <x:v>Critical-load and safe-thermal megawatts per deployed tonne</x:v>
      </x:c>
      <x:c r="H20" s="39" t="str">
        <x:v>Modular firm generation; long-duration storage; mobile thermal networks; adaptive protection</x:v>
      </x:c>
      <x:c r="I20" s="39" t="str">
        <x:v>The source cannot energize a complete load island after largest-source or route loss.</x:v>
      </x:c>
      <x:c r="J20" s="47" t="n">
        <x:v>0.25</x:v>
      </x:c>
      <x:c r="K20" s="42" t="n">
        <x:f>J20*INDEX('Mission Systems'!$S$5:$S$10,MATCH(D20,'Mission Systems'!$C$5:$C$10,0))</x:f>
        <x:v>17.988256386411273</x:v>
      </x:c>
      <x:c r="L20" s="39" t="str">
        <x:v>COMPETE</x:v>
      </x:c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 t="str">
        <x:v>HU-01</x:v>
      </x:c>
      <x:c r="D21" s="39" t="str">
        <x:v>MS-HU</x:v>
      </x:c>
      <x:c r="E21" s="39" t="str">
        <x:f>INDEX('Mission Systems'!$D$5:$D$10,MATCH(D21,'Mission Systems'!$C$5:$C$10,0))</x:f>
        <x:v>Preserve care and human continuity</x:v>
      </x:c>
      <x:c r="F21" s="39" t="str">
        <x:v>Distributed definitive care</x:v>
      </x:c>
      <x:c r="G21" s="39" t="str">
        <x:v>Sustained acuity-adjusted care-hours per deployed tonne and scarce specialist</x:v>
      </x:c>
      <x:c r="H21" s="39" t="str">
        <x:v>Clinical service islands; distributed surgery; robotic diagnostics; mobile sterile supply</x:v>
      </x:c>
      <x:c r="I21" s="39" t="str">
        <x:v>Nominal beds lack staff, oxygen, utilities, waste, referral, discharge or replacement.</x:v>
      </x:c>
      <x:c r="J21" s="47" t="n">
        <x:v>0.25</x:v>
      </x:c>
      <x:c r="K21" s="42" t="n">
        <x:f>J21*INDEX('Mission Systems'!$S$5:$S$10,MATCH(D21,'Mission Systems'!$C$5:$C$10,0))</x:f>
        <x:v>38.27544037243503</x:v>
      </x:c>
      <x:c r="L21" s="39" t="str">
        <x:v>COMPETE</x:v>
      </x:c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 t="str">
        <x:v>HU-02</x:v>
      </x:c>
      <x:c r="D22" s="39" t="str">
        <x:v>MS-HU</x:v>
      </x:c>
      <x:c r="E22" s="39" t="str">
        <x:f>INDEX('Mission Systems'!$D$5:$D$10,MATCH(D22,'Mission Systems'!$C$5:$C$10,0))</x:f>
        <x:v>Preserve care and human continuity</x:v>
      </x:c>
      <x:c r="F22" s="39" t="str">
        <x:v>Clinical workforce multiplication</x:v>
      </x:c>
      <x:c r="G22" s="39" t="str">
        <x:v>Safe licensed care-hours per scarce expert-hour</x:v>
      </x:c>
      <x:c r="H22" s="39" t="str">
        <x:v>Supervised robotics; remote specialty cells; rapid biomanufacturing; modular training</x:v>
      </x:c>
      <x:c r="I22" s="39" t="str">
        <x:v>Productivity gain weakens clinical authority, quality or fatigue limits.</x:v>
      </x:c>
      <x:c r="J22" s="47" t="n">
        <x:v>0.25</x:v>
      </x:c>
      <x:c r="K22" s="42" t="n">
        <x:f>J22*INDEX('Mission Systems'!$S$5:$S$10,MATCH(D22,'Mission Systems'!$C$5:$C$10,0))</x:f>
        <x:v>38.27544037243503</x:v>
      </x:c>
      <x:c r="L22" s="39" t="str">
        <x:v>COMPETE</x:v>
      </x:c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 t="str">
        <x:v>HU-03</x:v>
      </x:c>
      <x:c r="D23" s="39" t="str">
        <x:v>MS-HU</x:v>
      </x:c>
      <x:c r="E23" s="39" t="str">
        <x:f>INDEX('Mission Systems'!$D$5:$D$10,MATCH(D23,'Mission Systems'!$C$5:$C$10,0))</x:f>
        <x:v>Preserve care and human continuity</x:v>
      </x:c>
      <x:c r="F23" s="39" t="str">
        <x:v>Population-support campuses</x:v>
      </x:c>
      <x:c r="G23" s="39" t="str">
        <x:v>Safe person-days per tonne and worker-hour through heat, cold and smoke</x:v>
      </x:c>
      <x:c r="H23" s="39" t="str">
        <x:v>Cellular shelter metabolism; deployable thermal skins; automated feeding and hygiene</x:v>
      </x:c>
      <x:c r="I23" s="39" t="str">
        <x:v>Capacity lacks accessibility, safeguarding, public health, waste or durable exit.</x:v>
      </x:c>
      <x:c r="J23" s="47" t="n">
        <x:v>0.25</x:v>
      </x:c>
      <x:c r="K23" s="42" t="n">
        <x:f>J23*INDEX('Mission Systems'!$S$5:$S$10,MATCH(D23,'Mission Systems'!$C$5:$C$10,0))</x:f>
        <x:v>38.27544037243503</x:v>
      </x:c>
      <x:c r="L23" s="39" t="str">
        <x:v>COMPETE</x:v>
      </x:c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 t="str">
        <x:v>HU-04</x:v>
      </x:c>
      <x:c r="D24" s="39" t="str">
        <x:v>MS-HU</x:v>
      </x:c>
      <x:c r="E24" s="39" t="str">
        <x:f>INDEX('Mission Systems'!$D$5:$D$10,MATCH(D24,'Mission Systems'!$C$5:$C$10,0))</x:f>
        <x:v>Preserve care and human continuity</x:v>
      </x:c>
      <x:c r="F24" s="39" t="str">
        <x:v>Patient and household continuity</x:v>
      </x:c>
      <x:c r="G24" s="39" t="str">
        <x:v>Share of transfers completed with care, identity, devices, caregivers and destination</x:v>
      </x:c>
      <x:c r="H24" s="39" t="str">
        <x:v>Continuity cabins; governed transfer nodes; local-first case state; verified receiver network</x:v>
      </x:c>
      <x:c r="I24" s="39" t="str">
        <x:v>Motion succeeds while the person loses a required relationship or viable destination.</x:v>
      </x:c>
      <x:c r="J24" s="47" t="n">
        <x:v>0.25</x:v>
      </x:c>
      <x:c r="K24" s="42" t="n">
        <x:f>J24*INDEX('Mission Systems'!$S$5:$S$10,MATCH(D24,'Mission Systems'!$C$5:$C$10,0))</x:f>
        <x:v>38.27544037243503</x:v>
      </x:c>
      <x:c r="L24" s="39" t="str">
        <x:v>COMPETE</x:v>
      </x:c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 t="str">
        <x:v>RT-01</x:v>
      </x:c>
      <x:c r="D25" s="39" t="str">
        <x:v>MS-RT</x:v>
      </x:c>
      <x:c r="E25" s="39" t="str">
        <x:f>INDEX('Mission Systems'!$D$5:$D$10,MATCH(D25,'Mission Systems'!$C$5:$C$10,0))</x:f>
        <x:v>Sustain, transfer and regenerate</x:v>
      </x:c>
      <x:c r="F25" s="39" t="str">
        <x:v>Campaign sustainment</x:v>
      </x:c>
      <x:c r="G25" s="39" t="str">
        <x:v>Complete formation-days supported per daily tonne and labor-hour</x:v>
      </x:c>
      <x:c r="H25" s="39" t="str">
        <x:v>Autonomous inventory; predictive replenishment; multi-mode exchange; mobile cold chain</x:v>
      </x:c>
      <x:c r="I25" s="39" t="str">
        <x:v>A commodity subtotal hides a missing class, return flow or theater distribution path.</x:v>
      </x:c>
      <x:c r="J25" s="47" t="n">
        <x:v>0.25</x:v>
      </x:c>
      <x:c r="K25" s="42" t="n">
        <x:f>J25*INDEX('Mission Systems'!$S$5:$S$10,MATCH(D25,'Mission Systems'!$C$5:$C$10,0))</x:f>
        <x:v>22.350265523356487</x:v>
      </x:c>
      <x:c r="L25" s="39" t="str">
        <x:v>COMPETE</x:v>
      </x:c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 t="str">
        <x:v>RT-02</x:v>
      </x:c>
      <x:c r="D26" s="39" t="str">
        <x:v>MS-RT</x:v>
      </x:c>
      <x:c r="E26" s="39" t="str">
        <x:f>INDEX('Mission Systems'!$D$5:$D$10,MATCH(D26,'Mission Systems'!$C$5:$C$10,0))</x:f>
        <x:v>Sustain, transfer and regenerate</x:v>
      </x:c>
      <x:c r="F26" s="39" t="str">
        <x:v>Field regeneration</x:v>
      </x:c>
      <x:c r="G26" s="39" t="str">
        <x:v>Hours from damaged return to independent recertification</x:v>
      </x:c>
      <x:c r="H26" s="39" t="str">
        <x:v>Robotic inspection; modular swap; additive repair; distributed calibration</x:v>
      </x:c>
      <x:c r="I26" s="39" t="str">
        <x:v>Repair returns an article without crew, software, evidence, spares or safe configuration.</x:v>
      </x:c>
      <x:c r="J26" s="47" t="n">
        <x:v>0.25</x:v>
      </x:c>
      <x:c r="K26" s="42" t="n">
        <x:f>J26*INDEX('Mission Systems'!$S$5:$S$10,MATCH(D26,'Mission Systems'!$C$5:$C$10,0))</x:f>
        <x:v>22.350265523356487</x:v>
      </x:c>
      <x:c r="L26" s="39" t="str">
        <x:v>COMPETE</x:v>
      </x:c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 t="str">
        <x:v>RT-03</x:v>
      </x:c>
      <x:c r="D27" s="39" t="str">
        <x:v>MS-RT</x:v>
      </x:c>
      <x:c r="E27" s="39" t="str">
        <x:f>INDEX('Mission Systems'!$D$5:$D$10,MATCH(D27,'Mission Systems'!$C$5:$C$10,0))</x:f>
        <x:v>Sustain, transfer and regenerate</x:v>
      </x:c>
      <x:c r="F27" s="39" t="str">
        <x:v>Circular residual recovery</x:v>
      </x:c>
      <x:c r="G27" s="39" t="str">
        <x:v>Share of mission residual safely reused, immobilized or returned</x:v>
      </x:c>
      <x:c r="H27" s="39" t="str">
        <x:v>Mobile mineralization; high-temperature conversion; selective recovery; closed-loop sanitation</x:v>
      </x:c>
      <x:c r="I27" s="39" t="str">
        <x:v>The process shifts hazard, energy or waste burden to the damaged community.</x:v>
      </x:c>
      <x:c r="J27" s="47" t="n">
        <x:v>0.25</x:v>
      </x:c>
      <x:c r="K27" s="42" t="n">
        <x:f>J27*INDEX('Mission Systems'!$S$5:$S$10,MATCH(D27,'Mission Systems'!$C$5:$C$10,0))</x:f>
        <x:v>22.350265523356487</x:v>
      </x:c>
      <x:c r="L27" s="39" t="str">
        <x:v>COMPETE</x:v>
      </x:c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 t="str">
        <x:v>RT-04</x:v>
      </x:c>
      <x:c r="D28" s="39" t="str">
        <x:v>MS-RT</x:v>
      </x:c>
      <x:c r="E28" s="39" t="str">
        <x:f>INDEX('Mission Systems'!$D$5:$D$10,MATCH(D28,'Mission Systems'!$C$5:$C$10,0))</x:f>
        <x:v>Sustain, transfer and regenerate</x:v>
      </x:c>
      <x:c r="F28" s="39" t="str">
        <x:v>Workforce regeneration</x:v>
      </x:c>
      <x:c r="G28" s="39" t="str">
        <x:v>Certified shift-hours restored per deployed worker and day</x:v>
      </x:c>
      <x:c r="H28" s="39" t="str">
        <x:v>Replacement cohorts; portable credentials; fatigue sensing; family and home-station support</x:v>
      </x:c>
      <x:c r="I28" s="39" t="str">
        <x:v>Readiness depends on exhausted staff, hollowed local systems or untested replacements.</x:v>
      </x:c>
      <x:c r="J28" s="47" t="n">
        <x:v>0.25</x:v>
      </x:c>
      <x:c r="K28" s="42" t="n">
        <x:f>J28*INDEX('Mission Systems'!$S$5:$S$10,MATCH(D28,'Mission Systems'!$C$5:$C$10,0))</x:f>
        <x:v>22.350265523356487</x:v>
      </x:c>
      <x:c r="L28" s="39" t="str">
        <x:v>COMPETE</x:v>
      </x:c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43" t="str">
        <x:v>Total</x:v>
      </x:c>
      <x:c r="D29" s="43"/>
      <x:c r="E29" s="43"/>
      <x:c r="F29" s="43"/>
      <x:c r="G29" s="43"/>
      <x:c r="H29" s="43"/>
      <x:c r="I29" s="43"/>
      <x:c r="J29" s="43"/>
      <x:c r="K29" s="51" t="n">
        <x:f>SUM(K5:K28)</x:f>
        <x:v>549.9999999999999</x:v>
      </x:c>
      <x:c r="L29" s="43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2" hidden="0" customWidth="1"/>
    <x:col min="4" max="4" width="21" hidden="0" customWidth="1"/>
    <x:col min="5" max="5" width="21" hidden="0" customWidth="1"/>
    <x:col min="6" max="6" width="14" hidden="0" customWidth="1"/>
    <x:col min="7" max="7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Independent portfolio reconciliation audit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Check</x:v>
      </x:c>
      <x:c r="D4" s="24" t="str">
        <x:v>Expected</x:v>
      </x:c>
      <x:c r="E4" s="24" t="str">
        <x:v>Observed</x:v>
      </x:c>
      <x:c r="F4" s="24" t="str">
        <x:v>Tolerance</x:v>
      </x:c>
      <x:c r="G4" s="13" t="str">
        <x:v>Result</x:v>
      </x:c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v>Rival topology count</x:v>
      </x:c>
      <x:c r="D5" s="53" t="n">
        <x:v>5</x:v>
      </x:c>
      <x:c r="E5" s="53" t="n">
        <x:f>COUNTA('Topology Test'!C5:C9)</x:f>
        <x:v>5</x:v>
      </x:c>
      <x:c r="F5" s="53" t="n">
        <x:v>0</x:v>
      </x:c>
      <x:c r="G5" s="39" t="str">
        <x:f>IF(ABS(D5-E5)&lt;=F5,"PASS","FAIL")</x:f>
        <x:v>PASS</x:v>
      </x:c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v>Selected topology count</x:v>
      </x:c>
      <x:c r="D6" s="53" t="n">
        <x:v>1</x:v>
      </x:c>
      <x:c r="E6" s="53" t="n">
        <x:f>COUNTIFS('Topology Test'!O5:O9,"SELECT")</x:f>
        <x:v>1</x:v>
      </x:c>
      <x:c r="F6" s="53" t="n">
        <x:v>0</x:v>
      </x:c>
      <x:c r="G6" s="39" t="str">
        <x:f>IF(ABS(D6-E6)&lt;=F6,"PASS","FAIL")</x:f>
        <x:v>PASS</x:v>
      </x:c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v>Selected topology gates</x:v>
      </x:c>
      <x:c r="D7" s="53" t="n">
        <x:v>9</x:v>
      </x:c>
      <x:c r="E7" s="53" t="n">
        <x:f>INDEX('Topology Test'!N5:N9,MATCH("SELECT",'Topology Test'!O5:O9,0))</x:f>
        <x:v>9</x:v>
      </x:c>
      <x:c r="F7" s="53" t="n">
        <x:v>0</x:v>
      </x:c>
      <x:c r="G7" s="39" t="str">
        <x:f>IF(ABS(D7-E7)&lt;=F7,"PASS","FAIL")</x:f>
        <x:v>PASS</x:v>
      </x:c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v>Rejected rivals</x:v>
      </x:c>
      <x:c r="D8" s="53" t="n">
        <x:v>4</x:v>
      </x:c>
      <x:c r="E8" s="53" t="n">
        <x:f>COUNTIFS('Topology Test'!O5:O9,"REJECT")</x:f>
        <x:v>4</x:v>
      </x:c>
      <x:c r="F8" s="53" t="n">
        <x:v>0</x:v>
      </x:c>
      <x:c r="G8" s="39" t="str">
        <x:f>IF(ABS(D8-E8)&lt;=F8,"PASS","FAIL")</x:f>
        <x:v>PASS</x:v>
      </x:c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v>Mission systems</x:v>
      </x:c>
      <x:c r="D9" s="53" t="n">
        <x:v>6</x:v>
      </x:c>
      <x:c r="E9" s="53" t="n">
        <x:f>COUNTA('Mission Systems'!C5:C10)</x:f>
        <x:v>6</x:v>
      </x:c>
      <x:c r="F9" s="53" t="n">
        <x:v>0</x:v>
      </x:c>
      <x:c r="G9" s="39" t="str">
        <x:f>IF(ABS(D9-E9)&lt;=F9,"PASS","FAIL")</x:f>
        <x:v>PASS</x:v>
      </x:c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v>Canonical families</x:v>
      </x:c>
      <x:c r="D10" s="53" t="n">
        <x:v>48</x:v>
      </x:c>
      <x:c r="E10" s="53" t="n">
        <x:f>COUNTA('Family Allocation'!C5:C52)</x:f>
        <x:v>48</x:v>
      </x:c>
      <x:c r="F10" s="53" t="n">
        <x:v>0</x:v>
      </x:c>
      <x:c r="G10" s="39" t="str">
        <x:f>IF(ABS(D10-E10)&lt;=F10,"PASS","FAIL")</x:f>
        <x:v>PASS</x:v>
      </x:c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39" t="str">
        <x:v>Unique family assignments</x:v>
      </x:c>
      <x:c r="D11" s="53" t="n">
        <x:v>48</x:v>
      </x:c>
      <x:c r="E11" s="53" t="n">
        <x:f>COUNTIFS('Family Allocation'!Y5:Y52,"PASS")</x:f>
        <x:v>48</x:v>
      </x:c>
      <x:c r="F11" s="53" t="n">
        <x:v>0</x:v>
      </x:c>
      <x:c r="G11" s="39" t="str">
        <x:f>IF(ABS(D11-E11)&lt;=F11,"PASS","FAIL")</x:f>
        <x:v>PASS</x:v>
      </x:c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 t="str">
        <x:v>Concurrent demand</x:v>
      </x:c>
      <x:c r="D12" s="53" t="n">
        <x:v>2420</x:v>
      </x:c>
      <x:c r="E12" s="53" t="n">
        <x:f>'Mission Systems'!G11</x:f>
        <x:v>2420</x:v>
      </x:c>
      <x:c r="F12" s="53" t="n">
        <x:v>0</x:v>
      </x:c>
      <x:c r="G12" s="39" t="str">
        <x:f>IF(ABS(D12-E12)&lt;=F12,"PASS","FAIL")</x:f>
        <x:v>PASS</x:v>
      </x:c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 t="str">
        <x:v>N−1 inventory</x:v>
      </x:c>
      <x:c r="D13" s="53" t="n">
        <x:v>5251</x:v>
      </x:c>
      <x:c r="E13" s="53" t="n">
        <x:f>'Mission Systems'!H11</x:f>
        <x:v>5251</x:v>
      </x:c>
      <x:c r="F13" s="53" t="n">
        <x:v>0</x:v>
      </x:c>
      <x:c r="G13" s="39" t="str">
        <x:f>IF(ABS(D13-E13)&lt;=F13,"PASS","FAIL")</x:f>
        <x:v>PASS</x:v>
      </x:c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39" t="str">
        <x:v>Direct billets</x:v>
      </x:c>
      <x:c r="D14" s="53" t="n">
        <x:v>11465213</x:v>
      </x:c>
      <x:c r="E14" s="53" t="n">
        <x:f>'Mission Systems'!I11</x:f>
        <x:v>11465213</x:v>
      </x:c>
      <x:c r="F14" s="53" t="n">
        <x:v>0</x:v>
      </x:c>
      <x:c r="G14" s="39" t="str">
        <x:f>IF(ABS(D14-E14)&lt;=F14,"PASS","FAIL")</x:f>
        <x:v>PASS</x:v>
      </x:c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39" t="str">
        <x:v>Formation capital</x:v>
      </x:c>
      <x:c r="D15" s="53" t="n">
        <x:v>9410.56</x:v>
      </x:c>
      <x:c r="E15" s="53" t="n">
        <x:f>'Mission Systems'!J11</x:f>
        <x:v>9410.56</x:v>
      </x:c>
      <x:c r="F15" s="53" t="n">
        <x:v>0.001</x:v>
      </x:c>
      <x:c r="G15" s="39" t="str">
        <x:f>IF(ABS(D15-E15)&lt;=F15,"PASS","FAIL")</x:f>
        <x:v>PASS</x:v>
      </x:c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39" t="str">
        <x:v>Mission-system statuses</x:v>
      </x:c>
      <x:c r="D16" s="53" t="n">
        <x:v>6</x:v>
      </x:c>
      <x:c r="E16" s="53" t="n">
        <x:f>COUNTIFS('Mission Systems'!U5:U10,"PASS")</x:f>
        <x:v>6</x:v>
      </x:c>
      <x:c r="F16" s="53" t="n">
        <x:v>0</x:v>
      </x:c>
      <x:c r="G16" s="39" t="str">
        <x:f>IF(ABS(D16-E16)&lt;=F16,"PASS","FAIL")</x:f>
        <x:v>PASS</x:v>
      </x:c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39" t="str">
        <x:v>Effect ledgers</x:v>
      </x:c>
      <x:c r="D17" s="53" t="n">
        <x:v>9</x:v>
      </x:c>
      <x:c r="E17" s="53" t="n">
        <x:f>COUNTA('Effect Ledgers'!C5:C13)</x:f>
        <x:v>9</x:v>
      </x:c>
      <x:c r="F17" s="53" t="n">
        <x:v>0</x:v>
      </x:c>
      <x:c r="G17" s="39" t="str">
        <x:f>IF(ABS(D17-E17)&lt;=F17,"PASS","FAIL")</x:f>
        <x:v>PASS</x:v>
      </x:c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39" t="str">
        <x:v>Effect ledgers passing</x:v>
      </x:c>
      <x:c r="D18" s="53" t="n">
        <x:v>9</x:v>
      </x:c>
      <x:c r="E18" s="53" t="n">
        <x:f>COUNTIFS('Effect Ledgers'!K5:K13,"PASS")</x:f>
        <x:v>9</x:v>
      </x:c>
      <x:c r="F18" s="53" t="n">
        <x:v>0</x:v>
      </x:c>
      <x:c r="G18" s="39" t="str">
        <x:f>IF(ABS(D18-E18)&lt;=F18,"PASS","FAIL")</x:f>
        <x:v>PASS</x:v>
      </x:c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39" t="str">
        <x:v>Effect primary demand</x:v>
      </x:c>
      <x:c r="D19" s="53" t="n">
        <x:v>2420</x:v>
      </x:c>
      <x:c r="E19" s="53" t="n">
        <x:f>'Effect Ledgers'!G14</x:f>
        <x:v>2420</x:v>
      </x:c>
      <x:c r="F19" s="53" t="n">
        <x:v>0</x:v>
      </x:c>
      <x:c r="G19" s="39" t="str">
        <x:f>IF(ABS(D19-E19)&lt;=F19,"PASS","FAIL")</x:f>
        <x:v>PASS</x:v>
      </x:c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39" t="str">
        <x:v>Effect-by-campaign acceptance obligations</x:v>
      </x:c>
      <x:c r="D20" s="53" t="n">
        <x:v>90</x:v>
      </x:c>
      <x:c r="E20" s="53" t="n">
        <x:f>COUNTA('Effect Ledgers'!C5:C13)*10</x:f>
        <x:v>90</x:v>
      </x:c>
      <x:c r="F20" s="53" t="n">
        <x:v>0</x:v>
      </x:c>
      <x:c r="G20" s="39" t="str">
        <x:f>IF(ABS(D20-E20)&lt;=F20,"PASS","FAIL")</x:f>
        <x:v>PASS</x:v>
      </x:c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 t="str">
        <x:v>Active service work-package pairs</x:v>
      </x:c>
      <x:c r="D21" s="53" t="n">
        <x:v>22</x:v>
      </x:c>
      <x:c r="E21" s="53" t="n">
        <x:f>'Service Matrix'!L11</x:f>
        <x:v>22</x:v>
      </x:c>
      <x:c r="F21" s="53" t="n">
        <x:v>0</x:v>
      </x:c>
      <x:c r="G21" s="39" t="str">
        <x:f>IF(ABS(D21-E21)&lt;=F21,"PASS","FAIL")</x:f>
        <x:v>PASS</x:v>
      </x:c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 t="str">
        <x:v>Service demand reconciles</x:v>
      </x:c>
      <x:c r="D22" s="53" t="n">
        <x:v>2420</x:v>
      </x:c>
      <x:c r="E22" s="53" t="n">
        <x:f>'Service Matrix'!M11</x:f>
        <x:v>2420</x:v>
      </x:c>
      <x:c r="F22" s="53" t="n">
        <x:v>0</x:v>
      </x:c>
      <x:c r="G22" s="39" t="str">
        <x:f>IF(ABS(D22-E22)&lt;=F22,"PASS","FAIL")</x:f>
        <x:v>PASS</x:v>
      </x:c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 t="str">
        <x:v>Active mission-system campaign cells</x:v>
      </x:c>
      <x:c r="D23" s="53" t="n">
        <x:v>60</x:v>
      </x:c>
      <x:c r="E23" s="53" t="n">
        <x:f>'Campaign Load'!O11</x:f>
        <x:v>60</x:v>
      </x:c>
      <x:c r="F23" s="53" t="n">
        <x:v>0</x:v>
      </x:c>
      <x:c r="G23" s="39" t="str">
        <x:f>IF(ABS(D23-E23)&lt;=F23,"PASS","FAIL")</x:f>
        <x:v>PASS</x:v>
      </x:c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 t="str">
        <x:v>Campaign demand reconciles</x:v>
      </x:c>
      <x:c r="D24" s="53" t="n">
        <x:v>2420</x:v>
      </x:c>
      <x:c r="E24" s="53" t="n">
        <x:f>'Campaign Load'!N11</x:f>
        <x:v>2420</x:v>
      </x:c>
      <x:c r="F24" s="53" t="n">
        <x:v>0</x:v>
      </x:c>
      <x:c r="G24" s="39" t="str">
        <x:f>IF(ABS(D24-E24)&lt;=F24,"PASS","FAIL")</x:f>
        <x:v>PASS</x:v>
      </x:c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 t="str">
        <x:v>Technology programs</x:v>
      </x:c>
      <x:c r="D25" s="53" t="n">
        <x:v>24</x:v>
      </x:c>
      <x:c r="E25" s="53" t="n">
        <x:f>COUNTA('Technology Portfolio'!C5:C28)</x:f>
        <x:v>24</x:v>
      </x:c>
      <x:c r="F25" s="53" t="n">
        <x:v>0</x:v>
      </x:c>
      <x:c r="G25" s="39" t="str">
        <x:f>IF(ABS(D25-E25)&lt;=F25,"PASS","FAIL")</x:f>
        <x:v>PASS</x:v>
      </x:c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 t="str">
        <x:v>Four programs per mission system</x:v>
      </x:c>
      <x:c r="D26" s="53" t="n">
        <x:v>6</x:v>
      </x:c>
      <x:c r="E26" s="53" t="n">
        <x:f>COUNTIFS('Mission Systems'!T5:T10,4)</x:f>
        <x:v>6</x:v>
      </x:c>
      <x:c r="F26" s="53" t="n">
        <x:v>0</x:v>
      </x:c>
      <x:c r="G26" s="39" t="str">
        <x:f>IF(ABS(D26-E26)&lt;=F26,"PASS","FAIL")</x:f>
        <x:v>PASS</x:v>
      </x:c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 t="str">
        <x:v>Pressure weights</x:v>
      </x:c>
      <x:c r="D27" s="53" t="n">
        <x:v>1</x:v>
      </x:c>
      <x:c r="E27" s="53" t="n">
        <x:f>Controls!D18</x:f>
        <x:v>1</x:v>
      </x:c>
      <x:c r="F27" s="53" t="n">
        <x:v>0.000001</x:v>
      </x:c>
      <x:c r="G27" s="39" t="str">
        <x:f>IF(ABS(D27-E27)&lt;=F27,"PASS","FAIL")</x:f>
        <x:v>PASS</x:v>
      </x:c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 t="str">
        <x:v>Mission pressure conserved</x:v>
      </x:c>
      <x:c r="D28" s="53" t="n">
        <x:v>1</x:v>
      </x:c>
      <x:c r="E28" s="53" t="n">
        <x:f>'Mission Systems'!R11</x:f>
        <x:v>0.9999999999999999</x:v>
      </x:c>
      <x:c r="F28" s="53" t="n">
        <x:v>0.000001</x:v>
      </x:c>
      <x:c r="G28" s="39" t="str">
        <x:f>IF(ABS(D28-E28)&lt;=F28,"PASS","FAIL")</x:f>
        <x:v>PASS</x:v>
      </x:c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 t="str">
        <x:v>Technology envelope conserved</x:v>
      </x:c>
      <x:c r="D29" s="53" t="n">
        <x:v>550</x:v>
      </x:c>
      <x:c r="E29" s="53" t="n">
        <x:f>'Mission Systems'!S11</x:f>
        <x:v>550</x:v>
      </x:c>
      <x:c r="F29" s="53" t="n">
        <x:v>0.001</x:v>
      </x:c>
      <x:c r="G29" s="39" t="str">
        <x:f>IF(ABS(D29-E29)&lt;=F29,"PASS","FAIL")</x:f>
        <x:v>PASS</x:v>
      </x:c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 t="str">
        <x:v>Technology program allocation</x:v>
      </x:c>
      <x:c r="D30" s="53" t="n">
        <x:v>550</x:v>
      </x:c>
      <x:c r="E30" s="53" t="n">
        <x:f>'Technology Portfolio'!K29</x:f>
        <x:v>549.9999999999999</x:v>
      </x:c>
      <x:c r="F30" s="53" t="n">
        <x:v>0.001</x:v>
      </x:c>
      <x:c r="G30" s="39" t="str">
        <x:f>IF(ABS(D30-E30)&lt;=F30,"PASS","FAIL")</x:f>
        <x:v>PASS</x:v>
      </x:c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 t="str">
        <x:v>Cross-portfolio quantity credit</x:v>
      </x:c>
      <x:c r="D31" s="53" t="n">
        <x:v>0</x:v>
      </x:c>
      <x:c r="E31" s="53" t="n">
        <x:f>Controls!D13</x:f>
        <x:v>0</x:v>
      </x:c>
      <x:c r="F31" s="53" t="n">
        <x:v>0</x:v>
      </x:c>
      <x:c r="G31" s="39" t="str">
        <x:f>IF(ABS(D31-E31)&lt;=F31,"PASS","FAIL")</x:f>
        <x:v>PASS</x:v>
      </x:c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 t="str">
        <x:v>Exterior rendering admission</x:v>
      </x:c>
      <x:c r="D32" s="53" t="n">
        <x:v>0</x:v>
      </x:c>
      <x:c r="E32" s="53" t="n">
        <x:f>Controls!D15</x:f>
        <x:v>0</x:v>
      </x:c>
      <x:c r="F32" s="53" t="n">
        <x:v>0</x:v>
      </x:c>
      <x:c r="G32" s="39" t="str">
        <x:f>IF(ABS(D32-E32)&lt;=F32,"PASS","FAIL")</x:f>
        <x:v>PASS</x:v>
      </x:c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 t="str">
        <x:v>Open-item running total</x:v>
      </x:c>
      <x:c r="D33" s="53" t="n">
        <x:v>0</x:v>
      </x:c>
      <x:c r="E33" s="53" t="n">
        <x:f>Controls!D14</x:f>
        <x:v>0</x:v>
      </x:c>
      <x:c r="F33" s="53" t="n">
        <x:v>0</x:v>
      </x:c>
      <x:c r="G33" s="39" t="str">
        <x:f>IF(ABS(D33-E33)&lt;=F33,"PASS","FAIL")</x:f>
        <x:v>PASS</x:v>
      </x:c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conditionalFormatting sqref="G5:G33">
    <x:cfRule type="containsText" dxfId="3" priority="1" operator="containsText" text="FAIL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0" hidden="0" customWidth="1"/>
    <x:col min="4" max="4" width="94" hidden="0" customWidth="1"/>
    <x:col min="5" max="5" width="18" hidden="0" customWidth="1"/>
    <x:col min="6" max="6" width="74" hidden="0" customWidth="1"/>
    <x:col min="7" max="7" width="5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1"/>
      <x:c r="B2" s="1"/>
      <x:c r="C2" s="3" t="str">
        <x:v>Internal source lineage</x:v>
      </x:c>
      <x:c r="D2" s="2"/>
      <x:c r="E2" s="2"/>
      <x:c r="F2" s="2"/>
      <x:c r="G2" s="2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30" customHeight="1">
      <x:c r="A4" s="1"/>
      <x:c r="B4" s="1"/>
      <x:c r="C4" s="12" t="str">
        <x:v>Source</x:v>
      </x:c>
      <x:c r="D4" s="24" t="str">
        <x:v>Repository artifact</x:v>
      </x:c>
      <x:c r="E4" s="24" t="str">
        <x:v>State date</x:v>
      </x:c>
      <x:c r="F4" s="24" t="str">
        <x:v>Claims used</x:v>
      </x:c>
      <x:c r="G4" s="13" t="str">
        <x:v>Limit</x:v>
      </x:c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1"/>
      <x:c r="B5" s="1"/>
      <x:c r="C5" s="39" t="str">
        <x:v>Force architecture</x:v>
      </x:c>
      <x:c r="D5" s="39" t="str">
        <x:v>research/force/force-architecture.md</x:v>
      </x:c>
      <x:c r="E5" s="39" t="str">
        <x:v>2026-09-10</x:v>
      </x:c>
      <x:c r="F5" s="39" t="str">
        <x:v>Six mission threads, seven services, nine effects and joint mission-system acquisition</x:v>
      </x:c>
      <x:c r="G5" s="39" t="str">
        <x:v>Institutional design authority</x:v>
      </x:c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1"/>
      <x:c r="B6" s="1"/>
      <x:c r="C6" s="39" t="str">
        <x:v>National Formation Registry</x:v>
      </x:c>
      <x:c r="D6" s="39" t="str">
        <x:v>research/force/generation/national-formation-registry.md</x:v>
      </x:c>
      <x:c r="E6" s="39" t="str">
        <x:v>2026-09-10</x:v>
      </x:c>
      <x:c r="F6" s="39" t="str">
        <x:v>48 canonical families, mission-thread assignment, primary effects and contract completeness</x:v>
      </x:c>
      <x:c r="G6" s="39" t="str">
        <x:v>Planning registry; no R3 family</x:v>
      </x:c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1"/>
      <x:c r="B7" s="1"/>
      <x:c r="C7" s="39" t="str">
        <x:v>Pass 166 JMSA-1</x:v>
      </x:c>
      <x:c r="D7" s="39" t="str">
        <x:v>research/force/generation/department-of-resilience-joint-mission-system-appropriation-reservation-and-accountability-constitution.md</x:v>
      </x:c>
      <x:c r="E7" s="39" t="str">
        <x:v>2026-09-10</x:v>
      </x:c>
      <x:c r="F7" s="39" t="str">
        <x:v>USD 550B mission envelope, exclusive accounts and three-authority transaction</x:v>
      </x:c>
      <x:c r="G7" s="39" t="str">
        <x:v>Fiscal constitution; portfolio weights provisional</x:v>
      </x:c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1"/>
      <x:c r="B8" s="1"/>
      <x:c r="C8" s="39" t="str">
        <x:v>Pass 167 NIFS-1</x:v>
      </x:c>
      <x:c r="D8" s="39" t="str">
        <x:v>research/force/generation/department-of-resilience-national-and-invited-international-concurrency-geography-and-force-sizing-constitution.md</x:v>
      </x:c>
      <x:c r="E8" s="39" t="str">
        <x:v>2026-09-10</x:v>
      </x:c>
      <x:c r="F8" s="39" t="str">
        <x:v>2,420 demand, 5,251 inventory, workforce, capital and ten-campaign load</x:v>
      </x:c>
      <x:c r="G8" s="39" t="str">
        <x:v>National sizing constitution; quantities are hypotheses</x:v>
      </x:c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1"/>
      <x:c r="B9" s="1"/>
      <x:c r="C9" s="39" t="str">
        <x:v>Pass 160 MPSC-1</x:v>
      </x:c>
      <x:c r="D9" s="39" t="str">
        <x:v>research/force/generation/f36-cisa40-sa6-root-a-five-portfolio-concurrent-service-compiler-common-force-quantity-and-technology-convergence-constitution.md</x:v>
      </x:c>
      <x:c r="E9" s="39" t="str">
        <x:v>2026-09-10</x:v>
      </x:c>
      <x:c r="F9" s="39" t="str">
        <x:v>Technology envelope lineage, common-force denial and mission-led programs</x:v>
      </x:c>
      <x:c r="G9" s="39" t="str">
        <x:v>No representative substitution</x:v>
      </x:c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1"/>
      <x:c r="B10" s="1"/>
      <x:c r="C10" s="39" t="str">
        <x:v>Common technical architecture</x:v>
      </x:c>
      <x:c r="D10" s="39" t="str">
        <x:v>research/systems/common-technical-architecture.md</x:v>
      </x:c>
      <x:c r="E10" s="39" t="str">
        <x:v>2026-09-10</x:v>
      </x:c>
      <x:c r="F10" s="39" t="str">
        <x:v>Open interfaces, common primitives and unlike mechanism roots</x:v>
      </x:c>
      <x:c r="G10" s="39" t="str">
        <x:v>Architecture doctrine</x:v>
      </x:c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1"/>
      <x:c r="B11" s="1"/>
      <x:c r="C11" s="39" t="str">
        <x:v>Technology frontier</x:v>
      </x:c>
      <x:c r="D11" s="39" t="str">
        <x:v>research/proving/test-enterprise/technology-frontier.md</x:v>
      </x:c>
      <x:c r="E11" s="39" t="str">
        <x:v>2026-09-10</x:v>
      </x:c>
      <x:c r="F11" s="39" t="str">
        <x:v>Killable competitions and public proving logic</x:v>
      </x:c>
      <x:c r="G11" s="39" t="str">
        <x:v>Conceptual portfolio; not physical evidence</x:v>
      </x:c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1"/>
      <x:c r="B12" s="1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"/>
      <x:c r="B13" s="1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1"/>
      <x:c r="B14" s="1"/>
      <x:c r="C14" s="44" t="str">
        <x:v>Portfolio decision</x:v>
      </x:c>
      <x:c r="D14" s="39" t="str">
        <x:v>Six mission chains own integration; nine effects own acceptance</x:v>
      </x:c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1"/>
      <x:c r="B15" s="1"/>
      <x:c r="C15" s="44" t="str">
        <x:v>Financial basis</x:v>
      </x:c>
      <x:c r="D15" s="39" t="str">
        <x:v>Constant 2026 USD; undiscounted 25-year technology allocation</x:v>
      </x:c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1"/>
      <x:c r="B16" s="1"/>
      <x:c r="C16" s="44" t="str">
        <x:v>Allocation basis</x:v>
      </x:c>
      <x:c r="D16" s="39" t="str">
        <x:v>Minimum scale plus demand, inventory, capital, workforce and unclosed-demand shares</x:v>
      </x:c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1"/>
      <x:c r="B17" s="1"/>
      <x:c r="C17" s="44" t="str">
        <x:v>Evidence basis</x:v>
      </x:c>
      <x:c r="D17" s="39" t="str">
        <x:v>All source coefficients remain declared or inherited planning hypotheses</x:v>
      </x:c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1"/>
      <x:c r="B18" s="1"/>
      <x:c r="C18" s="44" t="str">
        <x:v>Common capacity</x:v>
      </x:c>
      <x:c r="D18" s="39" t="str">
        <x:v>No article or quantity credit is introduced</x:v>
      </x:c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"/>
      <x:c r="B19" s="1"/>
      <x:c r="C19" s="44" t="str">
        <x:v>Technology state</x:v>
      </x:c>
      <x:c r="D19" s="39" t="str">
        <x:v>Rival problem fields only; no mechanism is selected</x:v>
      </x:c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1"/>
      <x:c r="B20" s="1"/>
      <x:c r="C20" s="44" t="str">
        <x:v>Rendering</x:v>
      </x:c>
      <x:c r="D20" s="39" t="str">
        <x:v>No exterior form is authorized</x:v>
      </x:c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1"/>
      <x:c r="B21" s="1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"/>
      <x:c r="B22" s="1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"/>
      <x:c r="B23" s="1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1"/>
      <x:c r="B24" s="1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1"/>
      <x:c r="B25" s="1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1"/>
      <x:c r="B26" s="1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1"/>
      <x:c r="B27" s="1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1"/>
      <x:c r="B28" s="1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1"/>
      <x:c r="B29" s="1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1"/>
      <x:c r="B30" s="1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1"/>
      <x:c r="B31" s="1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1"/>
      <x:c r="B32" s="1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1"/>
      <x:c r="B33" s="1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1"/>
      <x:c r="B34" s="1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1"/>
      <x:c r="B35" s="1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1"/>
      <x:c r="B36" s="1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1"/>
      <x:c r="B37" s="1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1"/>
      <x:c r="B38" s="1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1"/>
      <x:c r="B39" s="1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1"/>
      <x:c r="B40" s="1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1"/>
      <x:c r="B41" s="1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1"/>
      <x:c r="B42" s="1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1"/>
      <x:c r="B43" s="1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1"/>
      <x:c r="B44" s="1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1"/>
      <x:c r="B45" s="1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1"/>
      <x:c r="B46" s="1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1"/>
      <x:c r="B47" s="1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1"/>
      <x:c r="B48" s="1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1"/>
      <x:c r="B49" s="1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1"/>
      <x:c r="B50" s="1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1"/>
      <x:c r="B51" s="1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1"/>
      <x:c r="B52" s="1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1"/>
      <x:c r="B53" s="1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1"/>
      <x:c r="B54" s="1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1"/>
      <x:c r="B55" s="1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1"/>
      <x:c r="B56" s="1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1"/>
      <x:c r="B57" s="1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1"/>
      <x:c r="B58" s="1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1"/>
      <x:c r="B59" s="1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1"/>
      <x:c r="B60" s="1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1"/>
      <x:c r="B61" s="1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1"/>
      <x:c r="B62" s="1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1"/>
      <x:c r="B63" s="1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1"/>
      <x:c r="B64" s="1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1"/>
      <x:c r="B65" s="1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1"/>
      <x:c r="B66" s="1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1"/>
      <x:c r="B67" s="1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1"/>
      <x:c r="B68" s="1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1"/>
      <x:c r="B69" s="1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1"/>
      <x:c r="B70" s="1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1"/>
      <x:c r="B71" s="1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1"/>
      <x:c r="B72" s="1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1"/>
      <x:c r="B73" s="1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1"/>
      <x:c r="B74" s="1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1"/>
      <x:c r="B75" s="1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1"/>
      <x:c r="B76" s="1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1"/>
      <x:c r="B77" s="1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1"/>
      <x:c r="B78" s="1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1"/>
      <x:c r="B79" s="1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1"/>
      <x:c r="B80" s="1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1"/>
      <x:c r="B81" s="1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1"/>
      <x:c r="B82" s="1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1"/>
      <x:c r="B83" s="1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1"/>
      <x:c r="B84" s="1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1"/>
      <x:c r="B85" s="1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1"/>
      <x:c r="B86" s="1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1"/>
      <x:c r="B87" s="1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1"/>
      <x:c r="B88" s="1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1"/>
      <x:c r="B89" s="1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1"/>
      <x:c r="B90" s="1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1"/>
      <x:c r="B91" s="1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1"/>
      <x:c r="B92" s="1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1"/>
      <x:c r="B93" s="1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1"/>
      <x:c r="B94" s="1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1"/>
      <x:c r="B95" s="1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1"/>
      <x:c r="B96" s="1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1"/>
      <x:c r="B97" s="1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1"/>
      <x:c r="B98" s="1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1"/>
      <x:c r="B99" s="1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1"/>
      <x:c r="B100" s="1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1"/>
      <x:c r="B101" s="1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1"/>
      <x:c r="B102" s="1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1"/>
      <x:c r="B103" s="1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1"/>
      <x:c r="B104" s="1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1"/>
      <x:c r="B105" s="1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1"/>
      <x:c r="B106" s="1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1"/>
      <x:c r="B107" s="1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1"/>
      <x:c r="B108" s="1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1"/>
      <x:c r="B109" s="1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1"/>
      <x:c r="B110" s="1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1"/>
      <x:c r="B111" s="1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1"/>
      <x:c r="B112" s="1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1"/>
      <x:c r="B113" s="1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1"/>
      <x:c r="B114" s="1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1"/>
      <x:c r="B115" s="1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1"/>
      <x:c r="B116" s="1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1"/>
      <x:c r="B117" s="1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1"/>
      <x:c r="B118" s="1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1"/>
      <x:c r="B119" s="1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1"/>
      <x:c r="B120" s="1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</x:sheetData>
  <x:pageMargins left="0.7" right="0.7" top="0.75" bottom="0.75" header="0.3" footer="0.3"/>
</x:worksheet>
</file>