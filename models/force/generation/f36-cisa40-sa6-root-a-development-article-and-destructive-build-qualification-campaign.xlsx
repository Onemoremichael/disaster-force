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12bbdfb77044f6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6764bca61c93481b"/>
    <x:sheet xmlns:r="http://schemas.openxmlformats.org/officeDocument/2006/relationships" name="Controls" sheetId="2" r:id="R9e1f733c89444b67"/>
    <x:sheet xmlns:r="http://schemas.openxmlformats.org/officeDocument/2006/relationships" name="Research Questions" sheetId="3" r:id="Rf0f541c58e174b73"/>
    <x:sheet xmlns:r="http://schemas.openxmlformats.org/officeDocument/2006/relationships" name="Claim Boundary" sheetId="4" r:id="R1e73d000c3244962"/>
    <x:sheet xmlns:r="http://schemas.openxmlformats.org/officeDocument/2006/relationships" name="Governance" sheetId="5" r:id="Rc5c1a74e9d6d4d87"/>
    <x:sheet xmlns:r="http://schemas.openxmlformats.org/officeDocument/2006/relationships" name="Articles" sheetId="6" r:id="R31544bb57dea4e4b"/>
    <x:sheet xmlns:r="http://schemas.openxmlformats.org/officeDocument/2006/relationships" name="Object Population" sheetId="7" r:id="Ra17682d95bda4031"/>
    <x:sheet xmlns:r="http://schemas.openxmlformats.org/officeDocument/2006/relationships" name="Process Windows" sheetId="8" r:id="R6450c25844764e1f"/>
    <x:sheet xmlns:r="http://schemas.openxmlformats.org/officeDocument/2006/relationships" name="Defect Families" sheetId="9" r:id="R7edb2881207940ce"/>
    <x:sheet xmlns:r="http://schemas.openxmlformats.org/officeDocument/2006/relationships" name="Defect Presentations" sheetId="10" r:id="R7ed3a4df318a4cd5"/>
    <x:sheet xmlns:r="http://schemas.openxmlformats.org/officeDocument/2006/relationships" name="Fixture Families" sheetId="11" r:id="R2a32f25051a44e43"/>
    <x:sheet xmlns:r="http://schemas.openxmlformats.org/officeDocument/2006/relationships" name="Fixture Commission" sheetId="12" r:id="R093268a2508d4377"/>
    <x:sheet xmlns:r="http://schemas.openxmlformats.org/officeDocument/2006/relationships" name="Metrology Plan" sheetId="13" r:id="Rd300d71c87504b3e"/>
    <x:sheet xmlns:r="http://schemas.openxmlformats.org/officeDocument/2006/relationships" name="GRR Records" sheetId="14" r:id="R133651d83f7b4831"/>
    <x:sheet xmlns:r="http://schemas.openxmlformats.org/officeDocument/2006/relationships" name="Uncertainty Budgets" sheetId="15" r:id="Rb8aeb78603fe4cf9"/>
    <x:sheet xmlns:r="http://schemas.openxmlformats.org/officeDocument/2006/relationships" name="Material Lots" sheetId="16" r:id="R5a9b0f12db294245"/>
    <x:sheet xmlns:r="http://schemas.openxmlformats.org/officeDocument/2006/relationships" name="Build Route" sheetId="17" r:id="R6f925b45a4ff4c83"/>
    <x:sheet xmlns:r="http://schemas.openxmlformats.org/officeDocument/2006/relationships" name="Article Travelers" sheetId="18" r:id="Rf9682f4b743d493b"/>
    <x:sheet xmlns:r="http://schemas.openxmlformats.org/officeDocument/2006/relationships" name="Weld Records" sheetId="19" r:id="R78dcae7c65bc47e9"/>
    <x:sheet xmlns:r="http://schemas.openxmlformats.org/officeDocument/2006/relationships" name="Clamp Records" sheetId="20" r:id="R2af830fc2f324fae"/>
    <x:sheet xmlns:r="http://schemas.openxmlformats.org/officeDocument/2006/relationships" name="Article Geometry" sheetId="21" r:id="Rd81f9ad89f704fa7"/>
    <x:sheet xmlns:r="http://schemas.openxmlformats.org/officeDocument/2006/relationships" name="Pressure Program" sheetId="22" r:id="R5ea5edc45bcc4f21"/>
    <x:sheet xmlns:r="http://schemas.openxmlformats.org/officeDocument/2006/relationships" name="Thermal Program" sheetId="23" r:id="R23e363463ce04b66"/>
    <x:sheet xmlns:r="http://schemas.openxmlformats.org/officeDocument/2006/relationships" name="Cycle Program" sheetId="24" r:id="Rad5223ae837c4747"/>
    <x:sheet xmlns:r="http://schemas.openxmlformats.org/officeDocument/2006/relationships" name="Drain Program" sheetId="25" r:id="R3d0562f03f894daf"/>
    <x:sheet xmlns:r="http://schemas.openxmlformats.org/officeDocument/2006/relationships" name="Safeing Program" sheetId="26" r:id="R9279c22dc12c4fa3"/>
    <x:sheet xmlns:r="http://schemas.openxmlformats.org/officeDocument/2006/relationships" name="Energy Program" sheetId="27" r:id="Rb73f62920159477d"/>
    <x:sheet xmlns:r="http://schemas.openxmlformats.org/officeDocument/2006/relationships" name="Evidence Program" sheetId="28" r:id="R010a18a9bfb24d1b"/>
    <x:sheet xmlns:r="http://schemas.openxmlformats.org/officeDocument/2006/relationships" name="Integrated Trials" sheetId="29" r:id="R1f8e9995cd9c44e9"/>
    <x:sheet xmlns:r="http://schemas.openxmlformats.org/officeDocument/2006/relationships" name="Stop Rules" sheetId="30" r:id="R32cf99521bcf4edd"/>
    <x:sheet xmlns:r="http://schemas.openxmlformats.org/officeDocument/2006/relationships" name="Quarantine" sheetId="31" r:id="R6c248e143b2b4619"/>
    <x:sheet xmlns:r="http://schemas.openxmlformats.org/officeDocument/2006/relationships" name="Destructive Plan" sheetId="32" r:id="Rd09b7e10e7b84214"/>
    <x:sheet xmlns:r="http://schemas.openxmlformats.org/officeDocument/2006/relationships" name="Section Register" sheetId="33" r:id="Rb5435b3d26bf45c6"/>
    <x:sheet xmlns:r="http://schemas.openxmlformats.org/officeDocument/2006/relationships" name="Correlation" sheetId="34" r:id="R8895a7d5e8bd49bf"/>
    <x:sheet xmlns:r="http://schemas.openxmlformats.org/officeDocument/2006/relationships" name="Statistical Bounds" sheetId="35" r:id="R727a9deaf8b54db6"/>
    <x:sheet xmlns:r="http://schemas.openxmlformats.org/officeDocument/2006/relationships" name="Decision Rules" sheetId="36" r:id="Rd2d6b6d39b22468b"/>
    <x:sheet xmlns:r="http://schemas.openxmlformats.org/officeDocument/2006/relationships" name="Article Gates" sheetId="37" r:id="R9396359872bd4df5"/>
    <x:sheet xmlns:r="http://schemas.openxmlformats.org/officeDocument/2006/relationships" name="Article Release" sheetId="38" r:id="Rf8d25dc9911a4004"/>
    <x:sheet xmlns:r="http://schemas.openxmlformats.org/officeDocument/2006/relationships" name="Campaign Release" sheetId="39" r:id="R7165371d19a246b9"/>
    <x:sheet xmlns:r="http://schemas.openxmlformats.org/officeDocument/2006/relationships" name="Schedule" sheetId="40" r:id="Rc6a46f78249544f3"/>
    <x:sheet xmlns:r="http://schemas.openxmlformats.org/officeDocument/2006/relationships" name="Capacity" sheetId="41" r:id="Rdd4ef48b23fd48e5"/>
    <x:sheet xmlns:r="http://schemas.openxmlformats.org/officeDocument/2006/relationships" name="Workforce" sheetId="42" r:id="Ra3bef7883c8b460d"/>
    <x:sheet xmlns:r="http://schemas.openxmlformats.org/officeDocument/2006/relationships" name="Capital" sheetId="43" r:id="R88c8c6e89dce49c7"/>
    <x:sheet xmlns:r="http://schemas.openxmlformats.org/officeDocument/2006/relationships" name="Annual Support" sheetId="44" r:id="R5d14ca84b8d64df9"/>
    <x:sheet xmlns:r="http://schemas.openxmlformats.org/officeDocument/2006/relationships" name="Portfolio Boundary" sheetId="45" r:id="Re3c1aef7f6984aa0"/>
    <x:sheet xmlns:r="http://schemas.openxmlformats.org/officeDocument/2006/relationships" name="Technology Programs" sheetId="46" r:id="R8e273eb8e8ef44f5"/>
    <x:sheet xmlns:r="http://schemas.openxmlformats.org/officeDocument/2006/relationships" name="Audit" sheetId="47" r:id="R1a8931adcd0a4fd1"/>
    <x:sheet xmlns:r="http://schemas.openxmlformats.org/officeDocument/2006/relationships" name="Sources" sheetId="48" r:id="Rac20b628e6d1475c"/>
    <x:sheet xmlns:r="http://schemas.openxmlformats.org/officeDocument/2006/relationships" name="ReadMe" sheetId="49" r:id="Rfd2802a6f8594993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5">
    <x:numFmt numFmtId="200" formatCode="0.0000"/>
    <x:numFmt numFmtId="201" formatCode="#,##0"/>
    <x:numFmt numFmtId="202" formatCode="0.0%"/>
    <x:numFmt numFmtId="203" formatCode="0.0"/>
    <x:numFmt numFmtId="204" formatCode="0.00%"/>
  </x:numFmts>
  <x:fonts count="9">
    <x:font>
      <x:sz val="11"/>
      <x:name val="Carlito"/>
    </x:font>
    <x:font>
      <x:b/>
      <x:sz val="14"/>
      <x:color rgb="FF17365D"/>
      <x:name val="Arial"/>
    </x:font>
    <x:font>
      <x:i/>
      <x:sz val="10"/>
      <x:color rgb="FF666666"/>
      <x:name val="Arial"/>
    </x:font>
    <x:font>
      <x:b/>
      <x:sz val="10"/>
      <x:color rgb="FFFFFFFF"/>
      <x:name val="Arial"/>
    </x:font>
    <x:font>
      <x:sz val="10"/>
      <x:color rgb="FF222222"/>
      <x:name val="Arial"/>
    </x:font>
    <x:font>
      <x:sz val="10"/>
      <x:color rgb="FF0070C0"/>
      <x:name val="Arial"/>
    </x:font>
    <x:font>
      <x:b/>
      <x:sz val="10"/>
      <x:color rgb="FF17365D"/>
      <x:name val="Arial"/>
    </x:font>
    <x:font>
      <x:b/>
      <x:sz val="10"/>
      <x:color rgb="FF222222"/>
      <x:name val="Arial"/>
    </x:font>
    <x:font>
      <x:sz val="10"/>
      <x:color rgb="FF008000"/>
      <x:name val="Arial"/>
    </x:font>
  </x:fonts>
  <x:fills count="5">
    <x:fill>
      <x:patternFill patternType="none"/>
    </x:fill>
    <x:fill>
      <x:patternFill patternType="gray125"/>
    </x:fill>
    <x:fill>
      <x:patternFill patternType="solid">
        <x:fgColor rgb="FF17365D"/>
      </x:patternFill>
    </x:fill>
    <x:fill>
      <x:patternFill patternType="solid">
        <x:fgColor rgb="FFFFF2CC"/>
      </x:patternFill>
    </x:fill>
    <x:fill>
      <x:patternFill patternType="solid">
        <x:fgColor rgb="FFD9EAF7"/>
      </x:patternFill>
    </x:fill>
  </x:fills>
  <x:borders count="12">
    <x:border/>
    <x:border>
      <x:left style="thin">
        <x:color rgb="FFD9D9D9"/>
      </x:left>
      <x:top style="thin">
        <x:color rgb="FFD9D9D9"/>
      </x:top>
      <x:bottom style="thin">
        <x:color rgb="FFD9D9D9"/>
      </x:bottom>
    </x:border>
    <x:border>
      <x:top style="thin">
        <x:color rgb="FFD9D9D9"/>
      </x:top>
      <x:bottom style="thin">
        <x:color rgb="FFD9D9D9"/>
      </x:bottom>
    </x:border>
    <x:border>
      <x:right style="thin">
        <x:color rgb="FFD9D9D9"/>
      </x:right>
      <x:top style="thin">
        <x:color rgb="FFD9D9D9"/>
      </x:top>
      <x:bottom style="thin">
        <x:color rgb="FFD9D9D9"/>
      </x:bottom>
    </x:border>
    <x:border>
      <x:left style="thin">
        <x:color rgb="FFD9D9D9"/>
      </x:left>
      <x:top style="thin">
        <x:color rgb="FFD9D9D9"/>
      </x:top>
    </x:border>
    <x:border>
      <x:top style="thin">
        <x:color rgb="FFD9D9D9"/>
      </x:top>
    </x:border>
    <x:border>
      <x:right style="thin">
        <x:color rgb="FFD9D9D9"/>
      </x:right>
      <x:top style="thin">
        <x:color rgb="FFD9D9D9"/>
      </x:top>
    </x:border>
    <x:border>
      <x:left style="thin">
        <x:color rgb="FFD9D9D9"/>
      </x:left>
      <x:bottom style="thin">
        <x:color rgb="FFD9D9D9"/>
      </x:bottom>
    </x:border>
    <x:border>
      <x:bottom style="thin">
        <x:color rgb="FFD9D9D9"/>
      </x:bottom>
    </x:border>
    <x:border>
      <x:right style="thin">
        <x:color rgb="FFD9D9D9"/>
      </x:right>
      <x:bottom style="thin">
        <x:color rgb="FFD9D9D9"/>
      </x:bottom>
    </x:border>
    <x:border>
      <x:left style="thin">
        <x:color rgb="FFD9D9D9"/>
      </x:left>
    </x:border>
    <x:border>
      <x:right style="thin">
        <x:color rgb="FFD9D9D9"/>
      </x:right>
    </x:border>
  </x:borders>
  <x:cellStyleXfs count="1">
    <x:xf numFmtId="0" fontId="0" fillId="0" borderId="0"/>
  </x:cellStyleXfs>
  <x:cellXfs count="68">
    <x:xf numFmtId="0" fontId="0" fillId="0" borderId="0" xfId="0"/>
    <x:xf numFmtId="0" fontId="1" fillId="0" borderId="0" xfId="0" applyNumberFormat="1" applyFont="1" applyFill="1" applyBorder="1"/>
    <x:xf numFmtId="0" fontId="2" fillId="0" borderId="0" xfId="0" applyNumberFormat="1" applyFont="1" applyFill="1" applyBorder="1"/>
    <x:xf numFmtId="0" fontId="0" fillId="2" borderId="0" xfId="0" applyNumberFormat="1" applyFont="1" applyFill="1" applyBorder="1"/>
    <x:xf numFmtId="0" fontId="3" fillId="2" borderId="0" xfId="0" applyNumberFormat="1" applyFont="1" applyFill="1" applyBorder="1"/>
    <x:xf numFmtId="0" fontId="3" fillId="2" borderId="0" xfId="0" applyNumberFormat="1" applyFont="1" applyFill="1" applyBorder="1" applyAlignment="1">
      <x:alignment horizontal="center"/>
    </x:xf>
    <x:xf numFmtId="0" fontId="3" fillId="2" borderId="0" xfId="0" applyNumberFormat="1" applyFont="1" applyFill="1" applyBorder="1" applyAlignment="1">
      <x:alignment horizontal="center" vertical="center"/>
    </x:xf>
    <x:xf numFmtId="0" fontId="4" fillId="0" borderId="0" xfId="0" applyNumberFormat="1" applyFont="1" applyFill="1" applyBorder="1"/>
    <x:xf numFmtId="0" fontId="4" fillId="0" borderId="0" xfId="0" applyNumberFormat="1" applyFont="1" applyFill="1" applyBorder="1" applyAlignment="1">
      <x:alignment vertical="center"/>
    </x:xf>
    <x:xf numFmtId="0" fontId="4" fillId="0" borderId="0" xfId="0" applyNumberFormat="1" applyFont="1" applyFill="1" applyBorder="1" applyAlignment="1">
      <x:alignment vertical="center" wrapText="1"/>
    </x:xf>
    <x:xf numFmtId="0" fontId="4" fillId="3" borderId="0" xfId="0" applyNumberFormat="1" applyFont="1" applyFill="1" applyBorder="1" applyAlignment="1">
      <x:alignment vertical="center"/>
    </x:xf>
    <x:xf numFmtId="0" fontId="5" fillId="3" borderId="0" xfId="0" applyNumberFormat="1" applyFont="1" applyFill="1" applyBorder="1" applyAlignment="1">
      <x:alignment vertical="center"/>
    </x:xf>
    <x:xf numFmtId="200" fontId="5" fillId="3" borderId="0" xfId="0" applyNumberFormat="1" applyFont="1" applyFill="1" applyBorder="1" applyAlignment="1">
      <x:alignment vertical="center"/>
    </x:xf>
    <x:xf numFmtId="0" fontId="0" fillId="4" borderId="0" xfId="0" applyNumberFormat="1" applyFont="1" applyFill="1" applyBorder="1"/>
    <x:xf numFmtId="0" fontId="6" fillId="4" borderId="0" xfId="0" applyNumberFormat="1" applyFont="1" applyFill="1" applyBorder="1"/>
    <x:xf numFmtId="0" fontId="6" fillId="4" borderId="1" xfId="0" applyNumberFormat="1" applyFont="1" applyFill="1" applyBorder="1"/>
    <x:xf numFmtId="0" fontId="6" fillId="4" borderId="2" xfId="0" applyNumberFormat="1" applyFont="1" applyFill="1" applyBorder="1"/>
    <x:xf numFmtId="0" fontId="6" fillId="4" borderId="3" xfId="0" applyNumberFormat="1" applyFont="1" applyFill="1" applyBorder="1"/>
    <x:xf numFmtId="201" fontId="4" fillId="0" borderId="0" xfId="0" applyNumberFormat="1" applyFont="1" applyFill="1" applyBorder="1" applyAlignment="1">
      <x:alignment vertical="center"/>
    </x:xf>
    <x:xf numFmtId="201" fontId="0" fillId="0" borderId="0" xfId="0" applyNumberFormat="1" applyFont="1" applyFill="1" applyBorder="1"/>
    <x:xf numFmtId="201" fontId="6" fillId="4" borderId="2" xfId="0" applyNumberFormat="1" applyFont="1" applyFill="1" applyBorder="1"/>
    <x:xf numFmtId="202" fontId="4" fillId="0" borderId="0" xfId="0" applyNumberFormat="1" applyFont="1" applyFill="1" applyBorder="1" applyAlignment="1">
      <x:alignment vertical="center"/>
    </x:xf>
    <x:xf numFmtId="200" fontId="4" fillId="0" borderId="0" xfId="0" applyNumberFormat="1" applyFont="1" applyFill="1" applyBorder="1" applyAlignment="1">
      <x:alignment vertical="center"/>
    </x:xf>
    <x:xf numFmtId="0" fontId="5" fillId="0" borderId="0" xfId="0" applyNumberFormat="1" applyFont="1" applyFill="1" applyBorder="1" applyAlignment="1">
      <x:alignment vertical="center"/>
    </x:xf>
    <x:xf numFmtId="0" fontId="7" fillId="4" borderId="2" xfId="0" applyNumberFormat="1" applyFont="1" applyFill="1" applyBorder="1"/>
    <x:xf numFmtId="203" fontId="5" fillId="0" borderId="0" xfId="0" applyNumberFormat="1" applyFont="1" applyFill="1" applyBorder="1" applyAlignment="1">
      <x:alignment vertical="center"/>
    </x:xf>
    <x:xf numFmtId="203" fontId="0" fillId="0" borderId="0" xfId="0" applyNumberFormat="1" applyFont="1" applyFill="1" applyBorder="1"/>
    <x:xf numFmtId="203" fontId="7" fillId="4" borderId="2" xfId="0" applyNumberFormat="1" applyFont="1" applyFill="1" applyBorder="1"/>
    <x:xf numFmtId="0" fontId="6" fillId="4" borderId="4" xfId="0" applyNumberFormat="1" applyFont="1" applyFill="1" applyBorder="1"/>
    <x:xf numFmtId="0" fontId="6" fillId="4" borderId="5" xfId="0" applyNumberFormat="1" applyFont="1" applyFill="1" applyBorder="1"/>
    <x:xf numFmtId="0" fontId="6" fillId="4" borderId="6" xfId="0" applyNumberFormat="1" applyFont="1" applyFill="1" applyBorder="1"/>
    <x:xf numFmtId="0" fontId="6" fillId="4" borderId="7" xfId="0" applyNumberFormat="1" applyFont="1" applyFill="1" applyBorder="1"/>
    <x:xf numFmtId="0" fontId="6" fillId="4" borderId="8" xfId="0" applyNumberFormat="1" applyFont="1" applyFill="1" applyBorder="1"/>
    <x:xf numFmtId="0" fontId="6" fillId="4" borderId="9" xfId="0" applyNumberFormat="1" applyFont="1" applyFill="1" applyBorder="1"/>
    <x:xf numFmtId="0" fontId="7" fillId="4" borderId="5" xfId="0" applyNumberFormat="1" applyFont="1" applyFill="1" applyBorder="1"/>
    <x:xf numFmtId="0" fontId="7" fillId="4" borderId="8" xfId="0" applyNumberFormat="1" applyFont="1" applyFill="1" applyBorder="1"/>
    <x:xf numFmtId="203" fontId="7" fillId="4" borderId="5" xfId="0" applyNumberFormat="1" applyFont="1" applyFill="1" applyBorder="1"/>
    <x:xf numFmtId="203" fontId="7" fillId="4" borderId="8" xfId="0" applyNumberFormat="1" applyFont="1" applyFill="1" applyBorder="1"/>
    <x:xf numFmtId="0" fontId="8" fillId="0" borderId="0" xfId="0" applyNumberFormat="1" applyFont="1" applyFill="1" applyBorder="1" applyAlignment="1">
      <x:alignment vertical="center"/>
    </x:xf>
    <x:xf numFmtId="203" fontId="8" fillId="0" borderId="0" xfId="0" applyNumberFormat="1" applyFont="1" applyFill="1" applyBorder="1" applyAlignment="1">
      <x:alignment vertical="center"/>
    </x:xf>
    <x:xf numFmtId="0" fontId="6" fillId="4" borderId="10" xfId="0" applyNumberFormat="1" applyFont="1" applyFill="1" applyBorder="1"/>
    <x:xf numFmtId="0" fontId="6" fillId="4" borderId="11" xfId="0" applyNumberFormat="1" applyFont="1" applyFill="1" applyBorder="1"/>
    <x:xf numFmtId="204" fontId="6" fillId="4" borderId="0" xfId="0" applyNumberFormat="1" applyFont="1" applyFill="1" applyBorder="1"/>
    <x:xf numFmtId="204" fontId="6" fillId="4" borderId="11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0" fillId="0" borderId="0" xfId="0" applyNumberFormat="1" applyFont="1" applyFill="1" applyBorder="1" applyAlignment="1">
      <x:alignment vertical="center"/>
    </x:xf>
    <x:xf numFmtId="0" fontId="2" fillId="0" borderId="0" xfId="0" applyNumberFormat="1" applyFont="1" applyFill="1" applyBorder="1" applyAlignment="1">
      <x:alignment vertical="center"/>
    </x:xf>
    <x:xf numFmtId="0" fontId="6" fillId="4" borderId="4" xfId="0" applyNumberFormat="1" applyFont="1" applyFill="1" applyBorder="1" applyAlignment="1">
      <x:alignment vertical="center"/>
    </x:xf>
    <x:xf numFmtId="0" fontId="6" fillId="4" borderId="5" xfId="0" applyNumberFormat="1" applyFont="1" applyFill="1" applyBorder="1" applyAlignment="1">
      <x:alignment vertical="center"/>
    </x:xf>
    <x:xf numFmtId="0" fontId="6" fillId="4" borderId="6" xfId="0" applyNumberFormat="1" applyFont="1" applyFill="1" applyBorder="1" applyAlignment="1">
      <x:alignment vertical="center"/>
    </x:xf>
    <x:xf numFmtId="0" fontId="6" fillId="4" borderId="10" xfId="0" applyNumberFormat="1" applyFont="1" applyFill="1" applyBorder="1" applyAlignment="1">
      <x:alignment vertical="center"/>
    </x:xf>
    <x:xf numFmtId="0" fontId="6" fillId="4" borderId="0" xfId="0" applyNumberFormat="1" applyFont="1" applyFill="1" applyBorder="1" applyAlignment="1">
      <x:alignment vertical="center"/>
    </x:xf>
    <x:xf numFmtId="0" fontId="6" fillId="4" borderId="11" xfId="0" applyNumberFormat="1" applyFont="1" applyFill="1" applyBorder="1" applyAlignment="1">
      <x:alignment vertical="center"/>
    </x:xf>
    <x:xf numFmtId="204" fontId="6" fillId="4" borderId="0" xfId="0" applyNumberFormat="1" applyFont="1" applyFill="1" applyBorder="1" applyAlignment="1">
      <x:alignment vertical="center"/>
    </x:xf>
    <x:xf numFmtId="204" fontId="6" fillId="4" borderId="11" xfId="0" applyNumberFormat="1" applyFont="1" applyFill="1" applyBorder="1" applyAlignment="1">
      <x:alignment vertical="center"/>
    </x:xf>
    <x:xf numFmtId="0" fontId="6" fillId="4" borderId="7" xfId="0" applyNumberFormat="1" applyFont="1" applyFill="1" applyBorder="1" applyAlignment="1">
      <x:alignment vertical="center"/>
    </x:xf>
    <x:xf numFmtId="0" fontId="6" fillId="4" borderId="8" xfId="0" applyNumberFormat="1" applyFont="1" applyFill="1" applyBorder="1" applyAlignment="1">
      <x:alignment vertical="center"/>
    </x:xf>
    <x:xf numFmtId="0" fontId="6" fillId="4" borderId="9" xfId="0" applyNumberFormat="1" applyFont="1" applyFill="1" applyBorder="1" applyAlignment="1">
      <x:alignment vertical="center"/>
    </x:xf>
    <x:xf numFmtId="201" fontId="0" fillId="0" borderId="0" xfId="0" applyNumberFormat="1" applyFont="1" applyFill="1" applyBorder="1" applyAlignment="1">
      <x:alignment vertical="center"/>
    </x:xf>
    <x:xf numFmtId="0" fontId="6" fillId="4" borderId="1" xfId="0" applyNumberFormat="1" applyFont="1" applyFill="1" applyBorder="1" applyAlignment="1">
      <x:alignment vertical="center"/>
    </x:xf>
    <x:xf numFmtId="0" fontId="6" fillId="4" borderId="2" xfId="0" applyNumberFormat="1" applyFont="1" applyFill="1" applyBorder="1" applyAlignment="1">
      <x:alignment vertical="center"/>
    </x:xf>
    <x:xf numFmtId="201" fontId="6" fillId="4" borderId="2" xfId="0" applyNumberFormat="1" applyFont="1" applyFill="1" applyBorder="1" applyAlignment="1">
      <x:alignment vertical="center"/>
    </x:xf>
    <x:xf numFmtId="0" fontId="6" fillId="4" borderId="3" xfId="0" applyNumberFormat="1" applyFont="1" applyFill="1" applyBorder="1" applyAlignment="1">
      <x:alignment vertical="center"/>
    </x:xf>
    <x:xf numFmtId="203" fontId="0" fillId="0" borderId="0" xfId="0" applyNumberFormat="1" applyFont="1" applyFill="1" applyBorder="1" applyAlignment="1">
      <x:alignment vertical="center"/>
    </x:xf>
    <x:xf numFmtId="203" fontId="7" fillId="4" borderId="2" xfId="0" applyNumberFormat="1" applyFont="1" applyFill="1" applyBorder="1" applyAlignment="1">
      <x:alignment vertical="center"/>
    </x:xf>
    <x:xf numFmtId="203" fontId="7" fillId="4" borderId="5" xfId="0" applyNumberFormat="1" applyFont="1" applyFill="1" applyBorder="1" applyAlignment="1">
      <x:alignment vertical="center"/>
    </x:xf>
    <x:xf numFmtId="203" fontId="7" fillId="4" borderId="8" xfId="0" applyNumberFormat="1" applyFont="1" applyFill="1" applyBorder="1" applyAlignment="1">
      <x:alignment vertical="center"/>
    </x:xf>
    <x:xf numFmtId="0" fontId="7" fillId="4" borderId="2" xfId="0" applyNumberFormat="1" applyFont="1" applyFill="1" applyBorder="1" applyAlignment="1">
      <x:alignment vertical="center"/>
    </x:xf>
  </x:cellXfs>
  <x:cellStyles count="1">
    <x:cellStyle name="Normal" xfId="0"/>
  </x:cellStyles>
  <x:dxfs count="198">
    <x:dxf>
      <x:font>
        <x:b/>
        <x:color rgb="FFC00000"/>
      </x:font>
      <x:fill>
        <x:patternFill patternType="solid">
          <x:bgColor rgb="FFFCE4D6"/>
        </x:patternFill>
      </x:fill>
    </x:dxf>
    <x:dxf>
      <x:font>
        <x:color rgb="FFC00000"/>
      </x:font>
      <x:fill>
        <x:patternFill patternType="solid">
          <x:bgColor rgb="FFFCE4D6"/>
        </x:patternFill>
      </x:fill>
    </x:dxf>
    <x:dxf>
      <x:font>
        <x:color rgb="FF9C6500"/>
      </x:font>
      <x:fill>
        <x:patternFill patternType="solid">
          <x:bgColor rgb="FFFFF2CC"/>
        </x:patternFill>
      </x:fill>
    </x:dxf>
    <x:dxf>
      <x:font>
        <x:color rgb="FF375623"/>
      </x:font>
      <x:fill>
        <x:patternFill patternType="solid">
          <x:bgColor rgb="FFE2F0D9"/>
        </x:patternFill>
      </x:fill>
    </x:dxf>
    <x:dxf>
      <x:font>
        <x:color rgb="FF17365D"/>
      </x:font>
      <x:fill>
        <x:patternFill patternType="solid">
          <x:bgColor rgb="FFD9EAF7"/>
        </x:patternFill>
      </x:fill>
    </x:dxf>
    <x:dxf>
      <x:font>
        <x:color rgb="FF17365D"/>
      </x:font>
      <x:fill>
        <x:patternFill patternType="solid">
          <x:bgColor rgb="FFD9EAF7"/>
        </x:patternFill>
      </x:fill>
    </x:dxf>
    <x:dxf>
      <x:font>
        <x:b/>
        <x:color rgb="FFC00000"/>
      </x:font>
      <x:fill>
        <x:patternFill patternType="solid">
          <x:bgColor rgb="FFFCE4D6"/>
        </x:patternFill>
      </x:fill>
    </x:dxf>
    <x:dxf>
      <x:font>
        <x:color rgb="FFC00000"/>
      </x:font>
      <x:fill>
        <x:patternFill patternType="solid">
          <x:bgColor rgb="FFFCE4D6"/>
        </x:patternFill>
      </x:fill>
    </x:dxf>
    <x:dxf>
      <x:font>
        <x:color rgb="FF9C6500"/>
      </x:font>
      <x:fill>
        <x:patternFill patternType="solid">
          <x:bgColor rgb="FFFFF2CC"/>
        </x:patternFill>
      </x:fill>
    </x:dxf>
    <x:dxf>
      <x:font>
        <x:color rgb="FF375623"/>
      </x:font>
      <x:fill>
        <x:patternFill patternType="solid">
          <x:bgColor rgb="FFE2F0D9"/>
        </x:patternFill>
      </x:fill>
    </x:dxf>
    <x:dxf>
      <x:font>
        <x:color rgb="FF17365D"/>
      </x:font>
      <x:fill>
        <x:patternFill patternType="solid">
          <x:bgColor rgb="FFD9EAF7"/>
        </x:patternFill>
      </x:fill>
    </x:dxf>
    <x:dxf>
      <x:font>
        <x:color rgb="FF17365D"/>
      </x:font>
      <x:fill>
        <x:patternFill patternType="solid">
          <x:bgColor rgb="FFD9EAF7"/>
        </x:patternFill>
      </x:fill>
    </x:dxf>
    <x:dxf>
      <x:font>
        <x:b/>
        <x:color rgb="FFC00000"/>
      </x:font>
      <x:fill>
        <x:patternFill patternType="solid">
          <x:bgColor rgb="FFFCE4D6"/>
        </x:patternFill>
      </x:fill>
    </x:dxf>
    <x:dxf>
      <x:font>
        <x:color rgb="FFC00000"/>
      </x:font>
      <x:fill>
        <x:patternFill patternType="solid">
          <x:bgColor rgb="FFFCE4D6"/>
        </x:patternFill>
      </x:fill>
    </x:dxf>
    <x:dxf>
      <x:font>
        <x:color rgb="FF9C6500"/>
      </x:font>
      <x:fill>
        <x:patternFill patternType="solid">
          <x:bgColor rgb="FFFFF2CC"/>
        </x:patternFill>
      </x:fill>
    </x:dxf>
    <x:dxf>
      <x:font>
        <x:color rgb="FF375623"/>
      </x:font>
      <x:fill>
        <x:patternFill patternType="solid">
          <x:bgColor rgb="FFE2F0D9"/>
        </x:patternFill>
      </x:fill>
    </x:dxf>
    <x:dxf>
      <x:font>
        <x:color rgb="FF17365D"/>
      </x:font>
      <x:fill>
        <x:patternFill patternType="solid">
          <x:bgColor rgb="FFD9EAF7"/>
        </x:patternFill>
      </x:fill>
    </x:dxf>
    <x:dxf>
      <x:font>
        <x:color rgb="FF17365D"/>
      </x:font>
      <x:fill>
        <x:patternFill patternType="solid">
          <x:bgColor rgb="FFD9EAF7"/>
        </x:patternFill>
      </x:fill>
    </x:dxf>
    <x:dxf>
      <x:font>
        <x:b/>
        <x:color rgb="FFC00000"/>
      </x:font>
      <x:fill>
        <x:patternFill patternType="solid">
          <x:bgColor rgb="FFFCE4D6"/>
        </x:patternFill>
      </x:fill>
    </x:dxf>
    <x:dxf>
      <x:font>
        <x:color rgb="FFC00000"/>
      </x:font>
      <x:fill>
        <x:patternFill patternType="solid">
          <x:bgColor rgb="FFFCE4D6"/>
        </x:patternFill>
      </x:fill>
    </x:dxf>
    <x:dxf>
      <x:font>
        <x:color rgb="FF9C6500"/>
      </x:font>
      <x:fill>
        <x:patternFill patternType="solid">
          <x:bgColor rgb="FFFFF2CC"/>
        </x:patternFill>
      </x:fill>
    </x:dxf>
    <x:dxf>
      <x:font>
        <x:color rgb="FF375623"/>
      </x:font>
      <x:fill>
        <x:patternFill patternType="solid">
          <x:bgColor rgb="FFE2F0D9"/>
        </x:patternFill>
      </x:fill>
    </x:dxf>
    <x:dxf>
      <x:font>
        <x:color rgb="FF17365D"/>
      </x:font>
      <x:fill>
        <x:patternFill patternType="solid">
          <x:bgColor rgb="FFD9EAF7"/>
        </x:patternFill>
      </x:fill>
    </x:dxf>
    <x:dxf>
      <x:font>
        <x:color rgb="FF17365D"/>
      </x:font>
      <x:fill>
        <x:patternFill patternType="solid">
          <x:bgColor rgb="FFD9EAF7"/>
        </x:patternFill>
      </x:fill>
    </x:dxf>
    <x:dxf>
      <x:font>
        <x:b/>
        <x:color rgb="FFC00000"/>
      </x:font>
      <x:fill>
        <x:patternFill patternType="solid">
          <x:bgColor rgb="FFFCE4D6"/>
        </x:patternFill>
      </x:fill>
    </x:dxf>
    <x:dxf>
      <x:font>
        <x:color rgb="FFC00000"/>
      </x:font>
      <x:fill>
        <x:patternFill patternType="solid">
          <x:bgColor rgb="FFFCE4D6"/>
        </x:patternFill>
      </x:fill>
    </x:dxf>
    <x:dxf>
      <x:font>
        <x:color rgb="FF9C6500"/>
      </x:font>
      <x:fill>
        <x:patternFill patternType="solid">
          <x:bgColor rgb="FFFFF2CC"/>
        </x:patternFill>
      </x:fill>
    </x:dxf>
    <x:dxf>
      <x:font>
        <x:color rgb="FF375623"/>
      </x:font>
      <x:fill>
        <x:patternFill patternType="solid">
          <x:bgColor rgb="FFE2F0D9"/>
        </x:patternFill>
      </x:fill>
    </x:dxf>
    <x:dxf>
      <x:font>
        <x:color rgb="FF17365D"/>
      </x:font>
      <x:fill>
        <x:patternFill patternType="solid">
          <x:bgColor rgb="FFD9EAF7"/>
        </x:patternFill>
      </x:fill>
    </x:dxf>
    <x:dxf>
      <x:font>
        <x:color rgb="FF17365D"/>
      </x:font>
      <x:fill>
        <x:patternFill patternType="solid">
          <x:bgColor rgb="FFD9EAF7"/>
        </x:patternFill>
      </x:fill>
    </x:dxf>
    <x:dxf>
      <x:font>
        <x:b/>
        <x:color rgb="FFC00000"/>
      </x:font>
      <x:fill>
        <x:patternFill patternType="solid">
          <x:bgColor rgb="FFFCE4D6"/>
        </x:patternFill>
      </x:fill>
    </x:dxf>
    <x:dxf>
      <x:font>
        <x:color rgb="FFC00000"/>
      </x:font>
      <x:fill>
        <x:patternFill patternType="solid">
          <x:bgColor rgb="FFFCE4D6"/>
        </x:patternFill>
      </x:fill>
    </x:dxf>
    <x:dxf>
      <x:font>
        <x:color rgb="FF9C6500"/>
      </x:font>
      <x:fill>
        <x:patternFill patternType="solid">
          <x:bgColor rgb="FFFFF2CC"/>
        </x:patternFill>
      </x:fill>
    </x:dxf>
    <x:dxf>
      <x:font>
        <x:color rgb="FF375623"/>
      </x:font>
      <x:fill>
        <x:patternFill patternType="solid">
          <x:bgColor rgb="FFE2F0D9"/>
        </x:patternFill>
      </x:fill>
    </x:dxf>
    <x:dxf>
      <x:font>
        <x:color rgb="FF17365D"/>
      </x:font>
      <x:fill>
        <x:patternFill patternType="solid">
          <x:bgColor rgb="FFD9EAF7"/>
        </x:patternFill>
      </x:fill>
    </x:dxf>
    <x:dxf>
      <x:font>
        <x:color rgb="FF17365D"/>
      </x:font>
      <x:fill>
        <x:patternFill patternType="solid">
          <x:bgColor rgb="FFD9EAF7"/>
        </x:patternFill>
      </x:fill>
    </x:dxf>
    <x:dxf>
      <x:font>
        <x:b/>
        <x:color rgb="FFC00000"/>
      </x:font>
      <x:fill>
        <x:patternFill patternType="solid">
          <x:bgColor rgb="FFFCE4D6"/>
        </x:patternFill>
      </x:fill>
    </x:dxf>
    <x:dxf>
      <x:font>
        <x:color rgb="FFC00000"/>
      </x:font>
      <x:fill>
        <x:patternFill patternType="solid">
          <x:bgColor rgb="FFFCE4D6"/>
        </x:patternFill>
      </x:fill>
    </x:dxf>
    <x:dxf>
      <x:font>
        <x:color rgb="FF9C6500"/>
      </x:font>
      <x:fill>
        <x:patternFill patternType="solid">
          <x:bgColor rgb="FFFFF2CC"/>
        </x:patternFill>
      </x:fill>
    </x:dxf>
    <x:dxf>
      <x:font>
        <x:color rgb="FF375623"/>
      </x:font>
      <x:fill>
        <x:patternFill patternType="solid">
          <x:bgColor rgb="FFE2F0D9"/>
        </x:patternFill>
      </x:fill>
    </x:dxf>
    <x:dxf>
      <x:font>
        <x:color rgb="FF17365D"/>
      </x:font>
      <x:fill>
        <x:patternFill patternType="solid">
          <x:bgColor rgb="FFD9EAF7"/>
        </x:patternFill>
      </x:fill>
    </x:dxf>
    <x:dxf>
      <x:font>
        <x:color rgb="FF17365D"/>
      </x:font>
      <x:fill>
        <x:patternFill patternType="solid">
          <x:bgColor rgb="FFD9EAF7"/>
        </x:patternFill>
      </x:fill>
    </x:dxf>
    <x:dxf>
      <x:font>
        <x:b/>
        <x:color rgb="FFC00000"/>
      </x:font>
      <x:fill>
        <x:patternFill patternType="solid">
          <x:bgColor rgb="FFFCE4D6"/>
        </x:patternFill>
      </x:fill>
    </x:dxf>
    <x:dxf>
      <x:font>
        <x:color rgb="FFC00000"/>
      </x:font>
      <x:fill>
        <x:patternFill patternType="solid">
          <x:bgColor rgb="FFFCE4D6"/>
        </x:patternFill>
      </x:fill>
    </x:dxf>
    <x:dxf>
      <x:font>
        <x:color rgb="FF9C6500"/>
      </x:font>
      <x:fill>
        <x:patternFill patternType="solid">
          <x:bgColor rgb="FFFFF2CC"/>
        </x:patternFill>
      </x:fill>
    </x:dxf>
    <x:dxf>
      <x:font>
        <x:color rgb="FF375623"/>
      </x:font>
      <x:fill>
        <x:patternFill patternType="solid">
          <x:bgColor rgb="FFE2F0D9"/>
        </x:patternFill>
      </x:fill>
    </x:dxf>
    <x:dxf>
      <x:font>
        <x:color rgb="FF17365D"/>
      </x:font>
      <x:fill>
        <x:patternFill patternType="solid">
          <x:bgColor rgb="FFD9EAF7"/>
        </x:patternFill>
      </x:fill>
    </x:dxf>
    <x:dxf>
      <x:font>
        <x:color rgb="FF17365D"/>
      </x:font>
      <x:fill>
        <x:patternFill patternType="solid">
          <x:bgColor rgb="FFD9EAF7"/>
        </x:patternFill>
      </x:fill>
    </x:dxf>
    <x:dxf>
      <x:font>
        <x:b/>
        <x:color rgb="FFC00000"/>
      </x:font>
      <x:fill>
        <x:patternFill patternType="solid">
          <x:bgColor rgb="FFFCE4D6"/>
        </x:patternFill>
      </x:fill>
    </x:dxf>
    <x:dxf>
      <x:font>
        <x:color rgb="FFC00000"/>
      </x:font>
      <x:fill>
        <x:patternFill patternType="solid">
          <x:bgColor rgb="FFFCE4D6"/>
        </x:patternFill>
      </x:fill>
    </x:dxf>
    <x:dxf>
      <x:font>
        <x:color rgb="FF9C6500"/>
      </x:font>
      <x:fill>
        <x:patternFill patternType="solid">
          <x:bgColor rgb="FFFFF2CC"/>
        </x:patternFill>
      </x:fill>
    </x:dxf>
    <x:dxf>
      <x:font>
        <x:color rgb="FF375623"/>
      </x:font>
      <x:fill>
        <x:patternFill patternType="solid">
          <x:bgColor rgb="FFE2F0D9"/>
        </x:patternFill>
      </x:fill>
    </x:dxf>
    <x:dxf>
      <x:font>
        <x:color rgb="FF17365D"/>
      </x:font>
      <x:fill>
        <x:patternFill patternType="solid">
          <x:bgColor rgb="FFD9EAF7"/>
        </x:patternFill>
      </x:fill>
    </x:dxf>
    <x:dxf>
      <x:font>
        <x:color rgb="FF17365D"/>
      </x:font>
      <x:fill>
        <x:patternFill patternType="solid">
          <x:bgColor rgb="FFD9EAF7"/>
        </x:patternFill>
      </x:fill>
    </x:dxf>
    <x:dxf>
      <x:font>
        <x:b/>
        <x:color rgb="FFC00000"/>
      </x:font>
      <x:fill>
        <x:patternFill patternType="solid">
          <x:bgColor rgb="FFFCE4D6"/>
        </x:patternFill>
      </x:fill>
    </x:dxf>
    <x:dxf>
      <x:font>
        <x:color rgb="FFC00000"/>
      </x:font>
      <x:fill>
        <x:patternFill patternType="solid">
          <x:bgColor rgb="FFFCE4D6"/>
        </x:patternFill>
      </x:fill>
    </x:dxf>
    <x:dxf>
      <x:font>
        <x:color rgb="FF9C6500"/>
      </x:font>
      <x:fill>
        <x:patternFill patternType="solid">
          <x:bgColor rgb="FFFFF2CC"/>
        </x:patternFill>
      </x:fill>
    </x:dxf>
    <x:dxf>
      <x:font>
        <x:color rgb="FF375623"/>
      </x:font>
      <x:fill>
        <x:patternFill patternType="solid">
          <x:bgColor rgb="FFE2F0D9"/>
        </x:patternFill>
      </x:fill>
    </x:dxf>
    <x:dxf>
      <x:font>
        <x:color rgb="FF17365D"/>
      </x:font>
      <x:fill>
        <x:patternFill patternType="solid">
          <x:bgColor rgb="FFD9EAF7"/>
        </x:patternFill>
      </x:fill>
    </x:dxf>
    <x:dxf>
      <x:font>
        <x:color rgb="FF17365D"/>
      </x:font>
      <x:fill>
        <x:patternFill patternType="solid">
          <x:bgColor rgb="FFD9EAF7"/>
        </x:patternFill>
      </x:fill>
    </x:dxf>
    <x:dxf>
      <x:font>
        <x:b/>
        <x:color rgb="FFC00000"/>
      </x:font>
      <x:fill>
        <x:patternFill patternType="solid">
          <x:bgColor rgb="FFFCE4D6"/>
        </x:patternFill>
      </x:fill>
    </x:dxf>
    <x:dxf>
      <x:font>
        <x:color rgb="FFC00000"/>
      </x:font>
      <x:fill>
        <x:patternFill patternType="solid">
          <x:bgColor rgb="FFFCE4D6"/>
        </x:patternFill>
      </x:fill>
    </x:dxf>
    <x:dxf>
      <x:font>
        <x:color rgb="FF9C6500"/>
      </x:font>
      <x:fill>
        <x:patternFill patternType="solid">
          <x:bgColor rgb="FFFFF2CC"/>
        </x:patternFill>
      </x:fill>
    </x:dxf>
    <x:dxf>
      <x:font>
        <x:color rgb="FF375623"/>
      </x:font>
      <x:fill>
        <x:patternFill patternType="solid">
          <x:bgColor rgb="FFE2F0D9"/>
        </x:patternFill>
      </x:fill>
    </x:dxf>
    <x:dxf>
      <x:font>
        <x:color rgb="FF17365D"/>
      </x:font>
      <x:fill>
        <x:patternFill patternType="solid">
          <x:bgColor rgb="FFD9EAF7"/>
        </x:patternFill>
      </x:fill>
    </x:dxf>
    <x:dxf>
      <x:font>
        <x:color rgb="FF17365D"/>
      </x:font>
      <x:fill>
        <x:patternFill patternType="solid">
          <x:bgColor rgb="FFD9EAF7"/>
        </x:patternFill>
      </x:fill>
    </x:dxf>
    <x:dxf>
      <x:font>
        <x:b/>
        <x:color rgb="FFC00000"/>
      </x:font>
      <x:fill>
        <x:patternFill patternType="solid">
          <x:bgColor rgb="FFFCE4D6"/>
        </x:patternFill>
      </x:fill>
    </x:dxf>
    <x:dxf>
      <x:font>
        <x:color rgb="FFC00000"/>
      </x:font>
      <x:fill>
        <x:patternFill patternType="solid">
          <x:bgColor rgb="FFFCE4D6"/>
        </x:patternFill>
      </x:fill>
    </x:dxf>
    <x:dxf>
      <x:font>
        <x:color rgb="FF9C6500"/>
      </x:font>
      <x:fill>
        <x:patternFill patternType="solid">
          <x:bgColor rgb="FFFFF2CC"/>
        </x:patternFill>
      </x:fill>
    </x:dxf>
    <x:dxf>
      <x:font>
        <x:color rgb="FF375623"/>
      </x:font>
      <x:fill>
        <x:patternFill patternType="solid">
          <x:bgColor rgb="FFE2F0D9"/>
        </x:patternFill>
      </x:fill>
    </x:dxf>
    <x:dxf>
      <x:font>
        <x:color rgb="FF17365D"/>
      </x:font>
      <x:fill>
        <x:patternFill patternType="solid">
          <x:bgColor rgb="FFD9EAF7"/>
        </x:patternFill>
      </x:fill>
    </x:dxf>
    <x:dxf>
      <x:font>
        <x:color rgb="FF17365D"/>
      </x:font>
      <x:fill>
        <x:patternFill patternType="solid">
          <x:bgColor rgb="FFD9EAF7"/>
        </x:patternFill>
      </x:fill>
    </x:dxf>
    <x:dxf>
      <x:font>
        <x:b/>
        <x:color rgb="FFC00000"/>
      </x:font>
      <x:fill>
        <x:patternFill patternType="solid">
          <x:bgColor rgb="FFFCE4D6"/>
        </x:patternFill>
      </x:fill>
    </x:dxf>
    <x:dxf>
      <x:font>
        <x:color rgb="FFC00000"/>
      </x:font>
      <x:fill>
        <x:patternFill patternType="solid">
          <x:bgColor rgb="FFFCE4D6"/>
        </x:patternFill>
      </x:fill>
    </x:dxf>
    <x:dxf>
      <x:font>
        <x:color rgb="FF9C6500"/>
      </x:font>
      <x:fill>
        <x:patternFill patternType="solid">
          <x:bgColor rgb="FFFFF2CC"/>
        </x:patternFill>
      </x:fill>
    </x:dxf>
    <x:dxf>
      <x:font>
        <x:color rgb="FF375623"/>
      </x:font>
      <x:fill>
        <x:patternFill patternType="solid">
          <x:bgColor rgb="FFE2F0D9"/>
        </x:patternFill>
      </x:fill>
    </x:dxf>
    <x:dxf>
      <x:font>
        <x:color rgb="FF17365D"/>
      </x:font>
      <x:fill>
        <x:patternFill patternType="solid">
          <x:bgColor rgb="FFD9EAF7"/>
        </x:patternFill>
      </x:fill>
    </x:dxf>
    <x:dxf>
      <x:font>
        <x:color rgb="FF17365D"/>
      </x:font>
      <x:fill>
        <x:patternFill patternType="solid">
          <x:bgColor rgb="FFD9EAF7"/>
        </x:patternFill>
      </x:fill>
    </x:dxf>
    <x:dxf>
      <x:font>
        <x:b/>
        <x:color rgb="FFC00000"/>
      </x:font>
      <x:fill>
        <x:patternFill patternType="solid">
          <x:bgColor rgb="FFFCE4D6"/>
        </x:patternFill>
      </x:fill>
    </x:dxf>
    <x:dxf>
      <x:font>
        <x:color rgb="FFC00000"/>
      </x:font>
      <x:fill>
        <x:patternFill patternType="solid">
          <x:bgColor rgb="FFFCE4D6"/>
        </x:patternFill>
      </x:fill>
    </x:dxf>
    <x:dxf>
      <x:font>
        <x:color rgb="FF9C6500"/>
      </x:font>
      <x:fill>
        <x:patternFill patternType="solid">
          <x:bgColor rgb="FFFFF2CC"/>
        </x:patternFill>
      </x:fill>
    </x:dxf>
    <x:dxf>
      <x:font>
        <x:color rgb="FF375623"/>
      </x:font>
      <x:fill>
        <x:patternFill patternType="solid">
          <x:bgColor rgb="FFE2F0D9"/>
        </x:patternFill>
      </x:fill>
    </x:dxf>
    <x:dxf>
      <x:font>
        <x:color rgb="FF17365D"/>
      </x:font>
      <x:fill>
        <x:patternFill patternType="solid">
          <x:bgColor rgb="FFD9EAF7"/>
        </x:patternFill>
      </x:fill>
    </x:dxf>
    <x:dxf>
      <x:font>
        <x:color rgb="FF17365D"/>
      </x:font>
      <x:fill>
        <x:patternFill patternType="solid">
          <x:bgColor rgb="FFD9EAF7"/>
        </x:patternFill>
      </x:fill>
    </x:dxf>
    <x:dxf>
      <x:font>
        <x:b/>
        <x:color rgb="FFC00000"/>
      </x:font>
      <x:fill>
        <x:patternFill patternType="solid">
          <x:bgColor rgb="FFFCE4D6"/>
        </x:patternFill>
      </x:fill>
    </x:dxf>
    <x:dxf>
      <x:font>
        <x:color rgb="FFC00000"/>
      </x:font>
      <x:fill>
        <x:patternFill patternType="solid">
          <x:bgColor rgb="FFFCE4D6"/>
        </x:patternFill>
      </x:fill>
    </x:dxf>
    <x:dxf>
      <x:font>
        <x:color rgb="FF9C6500"/>
      </x:font>
      <x:fill>
        <x:patternFill patternType="solid">
          <x:bgColor rgb="FFFFF2CC"/>
        </x:patternFill>
      </x:fill>
    </x:dxf>
    <x:dxf>
      <x:font>
        <x:color rgb="FF375623"/>
      </x:font>
      <x:fill>
        <x:patternFill patternType="solid">
          <x:bgColor rgb="FFE2F0D9"/>
        </x:patternFill>
      </x:fill>
    </x:dxf>
    <x:dxf>
      <x:font>
        <x:color rgb="FF17365D"/>
      </x:font>
      <x:fill>
        <x:patternFill patternType="solid">
          <x:bgColor rgb="FFD9EAF7"/>
        </x:patternFill>
      </x:fill>
    </x:dxf>
    <x:dxf>
      <x:font>
        <x:color rgb="FF17365D"/>
      </x:font>
      <x:fill>
        <x:patternFill patternType="solid">
          <x:bgColor rgb="FFD9EAF7"/>
        </x:patternFill>
      </x:fill>
    </x:dxf>
    <x:dxf>
      <x:font>
        <x:b/>
        <x:color rgb="FFC00000"/>
      </x:font>
      <x:fill>
        <x:patternFill patternType="solid">
          <x:bgColor rgb="FFFCE4D6"/>
        </x:patternFill>
      </x:fill>
    </x:dxf>
    <x:dxf>
      <x:font>
        <x:color rgb="FFC00000"/>
      </x:font>
      <x:fill>
        <x:patternFill patternType="solid">
          <x:bgColor rgb="FFFCE4D6"/>
        </x:patternFill>
      </x:fill>
    </x:dxf>
    <x:dxf>
      <x:font>
        <x:color rgb="FF9C6500"/>
      </x:font>
      <x:fill>
        <x:patternFill patternType="solid">
          <x:bgColor rgb="FFFFF2CC"/>
        </x:patternFill>
      </x:fill>
    </x:dxf>
    <x:dxf>
      <x:font>
        <x:color rgb="FF375623"/>
      </x:font>
      <x:fill>
        <x:patternFill patternType="solid">
          <x:bgColor rgb="FFE2F0D9"/>
        </x:patternFill>
      </x:fill>
    </x:dxf>
    <x:dxf>
      <x:font>
        <x:color rgb="FF17365D"/>
      </x:font>
      <x:fill>
        <x:patternFill patternType="solid">
          <x:bgColor rgb="FFD9EAF7"/>
        </x:patternFill>
      </x:fill>
    </x:dxf>
    <x:dxf>
      <x:font>
        <x:color rgb="FF17365D"/>
      </x:font>
      <x:fill>
        <x:patternFill patternType="solid">
          <x:bgColor rgb="FFD9EAF7"/>
        </x:patternFill>
      </x:fill>
    </x:dxf>
    <x:dxf>
      <x:font>
        <x:b/>
        <x:color rgb="FFC00000"/>
      </x:font>
      <x:fill>
        <x:patternFill patternType="solid">
          <x:bgColor rgb="FFFCE4D6"/>
        </x:patternFill>
      </x:fill>
    </x:dxf>
    <x:dxf>
      <x:font>
        <x:color rgb="FFC00000"/>
      </x:font>
      <x:fill>
        <x:patternFill patternType="solid">
          <x:bgColor rgb="FFFCE4D6"/>
        </x:patternFill>
      </x:fill>
    </x:dxf>
    <x:dxf>
      <x:font>
        <x:color rgb="FF9C6500"/>
      </x:font>
      <x:fill>
        <x:patternFill patternType="solid">
          <x:bgColor rgb="FFFFF2CC"/>
        </x:patternFill>
      </x:fill>
    </x:dxf>
    <x:dxf>
      <x:font>
        <x:color rgb="FF375623"/>
      </x:font>
      <x:fill>
        <x:patternFill patternType="solid">
          <x:bgColor rgb="FFE2F0D9"/>
        </x:patternFill>
      </x:fill>
    </x:dxf>
    <x:dxf>
      <x:font>
        <x:color rgb="FF17365D"/>
      </x:font>
      <x:fill>
        <x:patternFill patternType="solid">
          <x:bgColor rgb="FFD9EAF7"/>
        </x:patternFill>
      </x:fill>
    </x:dxf>
    <x:dxf>
      <x:font>
        <x:color rgb="FF17365D"/>
      </x:font>
      <x:fill>
        <x:patternFill patternType="solid">
          <x:bgColor rgb="FFD9EAF7"/>
        </x:patternFill>
      </x:fill>
    </x:dxf>
    <x:dxf>
      <x:font>
        <x:b/>
        <x:color rgb="FFC00000"/>
      </x:font>
      <x:fill>
        <x:patternFill patternType="solid">
          <x:bgColor rgb="FFFCE4D6"/>
        </x:patternFill>
      </x:fill>
    </x:dxf>
    <x:dxf>
      <x:font>
        <x:color rgb="FFC00000"/>
      </x:font>
      <x:fill>
        <x:patternFill patternType="solid">
          <x:bgColor rgb="FFFCE4D6"/>
        </x:patternFill>
      </x:fill>
    </x:dxf>
    <x:dxf>
      <x:font>
        <x:color rgb="FF9C6500"/>
      </x:font>
      <x:fill>
        <x:patternFill patternType="solid">
          <x:bgColor rgb="FFFFF2CC"/>
        </x:patternFill>
      </x:fill>
    </x:dxf>
    <x:dxf>
      <x:font>
        <x:color rgb="FF375623"/>
      </x:font>
      <x:fill>
        <x:patternFill patternType="solid">
          <x:bgColor rgb="FFE2F0D9"/>
        </x:patternFill>
      </x:fill>
    </x:dxf>
    <x:dxf>
      <x:font>
        <x:color rgb="FF17365D"/>
      </x:font>
      <x:fill>
        <x:patternFill patternType="solid">
          <x:bgColor rgb="FFD9EAF7"/>
        </x:patternFill>
      </x:fill>
    </x:dxf>
    <x:dxf>
      <x:font>
        <x:color rgb="FF17365D"/>
      </x:font>
      <x:fill>
        <x:patternFill patternType="solid">
          <x:bgColor rgb="FFD9EAF7"/>
        </x:patternFill>
      </x:fill>
    </x:dxf>
    <x:dxf>
      <x:font>
        <x:b/>
        <x:color rgb="FFC00000"/>
      </x:font>
      <x:fill>
        <x:patternFill patternType="solid">
          <x:bgColor rgb="FFFCE4D6"/>
        </x:patternFill>
      </x:fill>
    </x:dxf>
    <x:dxf>
      <x:font>
        <x:color rgb="FFC00000"/>
      </x:font>
      <x:fill>
        <x:patternFill patternType="solid">
          <x:bgColor rgb="FFFCE4D6"/>
        </x:patternFill>
      </x:fill>
    </x:dxf>
    <x:dxf>
      <x:font>
        <x:color rgb="FF9C6500"/>
      </x:font>
      <x:fill>
        <x:patternFill patternType="solid">
          <x:bgColor rgb="FFFFF2CC"/>
        </x:patternFill>
      </x:fill>
    </x:dxf>
    <x:dxf>
      <x:font>
        <x:color rgb="FF375623"/>
      </x:font>
      <x:fill>
        <x:patternFill patternType="solid">
          <x:bgColor rgb="FFE2F0D9"/>
        </x:patternFill>
      </x:fill>
    </x:dxf>
    <x:dxf>
      <x:font>
        <x:color rgb="FF17365D"/>
      </x:font>
      <x:fill>
        <x:patternFill patternType="solid">
          <x:bgColor rgb="FFD9EAF7"/>
        </x:patternFill>
      </x:fill>
    </x:dxf>
    <x:dxf>
      <x:font>
        <x:color rgb="FF17365D"/>
      </x:font>
      <x:fill>
        <x:patternFill patternType="solid">
          <x:bgColor rgb="FFD9EAF7"/>
        </x:patternFill>
      </x:fill>
    </x:dxf>
    <x:dxf>
      <x:font>
        <x:b/>
        <x:color rgb="FFC00000"/>
      </x:font>
      <x:fill>
        <x:patternFill patternType="solid">
          <x:bgColor rgb="FFFCE4D6"/>
        </x:patternFill>
      </x:fill>
    </x:dxf>
    <x:dxf>
      <x:font>
        <x:color rgb="FFC00000"/>
      </x:font>
      <x:fill>
        <x:patternFill patternType="solid">
          <x:bgColor rgb="FFFCE4D6"/>
        </x:patternFill>
      </x:fill>
    </x:dxf>
    <x:dxf>
      <x:font>
        <x:color rgb="FF9C6500"/>
      </x:font>
      <x:fill>
        <x:patternFill patternType="solid">
          <x:bgColor rgb="FFFFF2CC"/>
        </x:patternFill>
      </x:fill>
    </x:dxf>
    <x:dxf>
      <x:font>
        <x:color rgb="FF375623"/>
      </x:font>
      <x:fill>
        <x:patternFill patternType="solid">
          <x:bgColor rgb="FFE2F0D9"/>
        </x:patternFill>
      </x:fill>
    </x:dxf>
    <x:dxf>
      <x:font>
        <x:color rgb="FF17365D"/>
      </x:font>
      <x:fill>
        <x:patternFill patternType="solid">
          <x:bgColor rgb="FFD9EAF7"/>
        </x:patternFill>
      </x:fill>
    </x:dxf>
    <x:dxf>
      <x:font>
        <x:color rgb="FF17365D"/>
      </x:font>
      <x:fill>
        <x:patternFill patternType="solid">
          <x:bgColor rgb="FFD9EAF7"/>
        </x:patternFill>
      </x:fill>
    </x:dxf>
    <x:dxf>
      <x:font>
        <x:b/>
        <x:color rgb="FFC00000"/>
      </x:font>
      <x:fill>
        <x:patternFill patternType="solid">
          <x:bgColor rgb="FFFCE4D6"/>
        </x:patternFill>
      </x:fill>
    </x:dxf>
    <x:dxf>
      <x:font>
        <x:color rgb="FFC00000"/>
      </x:font>
      <x:fill>
        <x:patternFill patternType="solid">
          <x:bgColor rgb="FFFCE4D6"/>
        </x:patternFill>
      </x:fill>
    </x:dxf>
    <x:dxf>
      <x:font>
        <x:color rgb="FF9C6500"/>
      </x:font>
      <x:fill>
        <x:patternFill patternType="solid">
          <x:bgColor rgb="FFFFF2CC"/>
        </x:patternFill>
      </x:fill>
    </x:dxf>
    <x:dxf>
      <x:font>
        <x:color rgb="FF375623"/>
      </x:font>
      <x:fill>
        <x:patternFill patternType="solid">
          <x:bgColor rgb="FFE2F0D9"/>
        </x:patternFill>
      </x:fill>
    </x:dxf>
    <x:dxf>
      <x:font>
        <x:color rgb="FF17365D"/>
      </x:font>
      <x:fill>
        <x:patternFill patternType="solid">
          <x:bgColor rgb="FFD9EAF7"/>
        </x:patternFill>
      </x:fill>
    </x:dxf>
    <x:dxf>
      <x:font>
        <x:color rgb="FF17365D"/>
      </x:font>
      <x:fill>
        <x:patternFill patternType="solid">
          <x:bgColor rgb="FFD9EAF7"/>
        </x:patternFill>
      </x:fill>
    </x:dxf>
    <x:dxf>
      <x:font>
        <x:b/>
        <x:color rgb="FFC00000"/>
      </x:font>
      <x:fill>
        <x:patternFill patternType="solid">
          <x:bgColor rgb="FFFCE4D6"/>
        </x:patternFill>
      </x:fill>
    </x:dxf>
    <x:dxf>
      <x:font>
        <x:color rgb="FFC00000"/>
      </x:font>
      <x:fill>
        <x:patternFill patternType="solid">
          <x:bgColor rgb="FFFCE4D6"/>
        </x:patternFill>
      </x:fill>
    </x:dxf>
    <x:dxf>
      <x:font>
        <x:color rgb="FF9C6500"/>
      </x:font>
      <x:fill>
        <x:patternFill patternType="solid">
          <x:bgColor rgb="FFFFF2CC"/>
        </x:patternFill>
      </x:fill>
    </x:dxf>
    <x:dxf>
      <x:font>
        <x:color rgb="FF375623"/>
      </x:font>
      <x:fill>
        <x:patternFill patternType="solid">
          <x:bgColor rgb="FFE2F0D9"/>
        </x:patternFill>
      </x:fill>
    </x:dxf>
    <x:dxf>
      <x:font>
        <x:color rgb="FF17365D"/>
      </x:font>
      <x:fill>
        <x:patternFill patternType="solid">
          <x:bgColor rgb="FFD9EAF7"/>
        </x:patternFill>
      </x:fill>
    </x:dxf>
    <x:dxf>
      <x:font>
        <x:color rgb="FF17365D"/>
      </x:font>
      <x:fill>
        <x:patternFill patternType="solid">
          <x:bgColor rgb="FFD9EAF7"/>
        </x:patternFill>
      </x:fill>
    </x:dxf>
    <x:dxf>
      <x:font>
        <x:b/>
        <x:color rgb="FFC00000"/>
      </x:font>
      <x:fill>
        <x:patternFill patternType="solid">
          <x:bgColor rgb="FFFCE4D6"/>
        </x:patternFill>
      </x:fill>
    </x:dxf>
    <x:dxf>
      <x:font>
        <x:color rgb="FFC00000"/>
      </x:font>
      <x:fill>
        <x:patternFill patternType="solid">
          <x:bgColor rgb="FFFCE4D6"/>
        </x:patternFill>
      </x:fill>
    </x:dxf>
    <x:dxf>
      <x:font>
        <x:color rgb="FF9C6500"/>
      </x:font>
      <x:fill>
        <x:patternFill patternType="solid">
          <x:bgColor rgb="FFFFF2CC"/>
        </x:patternFill>
      </x:fill>
    </x:dxf>
    <x:dxf>
      <x:font>
        <x:color rgb="FF375623"/>
      </x:font>
      <x:fill>
        <x:patternFill patternType="solid">
          <x:bgColor rgb="FFE2F0D9"/>
        </x:patternFill>
      </x:fill>
    </x:dxf>
    <x:dxf>
      <x:font>
        <x:color rgb="FF17365D"/>
      </x:font>
      <x:fill>
        <x:patternFill patternType="solid">
          <x:bgColor rgb="FFD9EAF7"/>
        </x:patternFill>
      </x:fill>
    </x:dxf>
    <x:dxf>
      <x:font>
        <x:color rgb="FF17365D"/>
      </x:font>
      <x:fill>
        <x:patternFill patternType="solid">
          <x:bgColor rgb="FFD9EAF7"/>
        </x:patternFill>
      </x:fill>
    </x:dxf>
    <x:dxf>
      <x:font>
        <x:b/>
        <x:color rgb="FFC00000"/>
      </x:font>
      <x:fill>
        <x:patternFill patternType="solid">
          <x:bgColor rgb="FFFCE4D6"/>
        </x:patternFill>
      </x:fill>
    </x:dxf>
    <x:dxf>
      <x:font>
        <x:color rgb="FFC00000"/>
      </x:font>
      <x:fill>
        <x:patternFill patternType="solid">
          <x:bgColor rgb="FFFCE4D6"/>
        </x:patternFill>
      </x:fill>
    </x:dxf>
    <x:dxf>
      <x:font>
        <x:color rgb="FF9C6500"/>
      </x:font>
      <x:fill>
        <x:patternFill patternType="solid">
          <x:bgColor rgb="FFFFF2CC"/>
        </x:patternFill>
      </x:fill>
    </x:dxf>
    <x:dxf>
      <x:font>
        <x:color rgb="FF375623"/>
      </x:font>
      <x:fill>
        <x:patternFill patternType="solid">
          <x:bgColor rgb="FFE2F0D9"/>
        </x:patternFill>
      </x:fill>
    </x:dxf>
    <x:dxf>
      <x:font>
        <x:color rgb="FF17365D"/>
      </x:font>
      <x:fill>
        <x:patternFill patternType="solid">
          <x:bgColor rgb="FFD9EAF7"/>
        </x:patternFill>
      </x:fill>
    </x:dxf>
    <x:dxf>
      <x:font>
        <x:color rgb="FF17365D"/>
      </x:font>
      <x:fill>
        <x:patternFill patternType="solid">
          <x:bgColor rgb="FFD9EAF7"/>
        </x:patternFill>
      </x:fill>
    </x:dxf>
    <x:dxf>
      <x:font>
        <x:b/>
        <x:color rgb="FFC00000"/>
      </x:font>
      <x:fill>
        <x:patternFill patternType="solid">
          <x:bgColor rgb="FFFCE4D6"/>
        </x:patternFill>
      </x:fill>
    </x:dxf>
    <x:dxf>
      <x:font>
        <x:color rgb="FFC00000"/>
      </x:font>
      <x:fill>
        <x:patternFill patternType="solid">
          <x:bgColor rgb="FFFCE4D6"/>
        </x:patternFill>
      </x:fill>
    </x:dxf>
    <x:dxf>
      <x:font>
        <x:color rgb="FF9C6500"/>
      </x:font>
      <x:fill>
        <x:patternFill patternType="solid">
          <x:bgColor rgb="FFFFF2CC"/>
        </x:patternFill>
      </x:fill>
    </x:dxf>
    <x:dxf>
      <x:font>
        <x:color rgb="FF375623"/>
      </x:font>
      <x:fill>
        <x:patternFill patternType="solid">
          <x:bgColor rgb="FFE2F0D9"/>
        </x:patternFill>
      </x:fill>
    </x:dxf>
    <x:dxf>
      <x:font>
        <x:color rgb="FF17365D"/>
      </x:font>
      <x:fill>
        <x:patternFill patternType="solid">
          <x:bgColor rgb="FFD9EAF7"/>
        </x:patternFill>
      </x:fill>
    </x:dxf>
    <x:dxf>
      <x:font>
        <x:color rgb="FF17365D"/>
      </x:font>
      <x:fill>
        <x:patternFill patternType="solid">
          <x:bgColor rgb="FFD9EAF7"/>
        </x:patternFill>
      </x:fill>
    </x:dxf>
    <x:dxf>
      <x:font>
        <x:b/>
        <x:color rgb="FFC00000"/>
      </x:font>
      <x:fill>
        <x:patternFill patternType="solid">
          <x:bgColor rgb="FFFCE4D6"/>
        </x:patternFill>
      </x:fill>
    </x:dxf>
    <x:dxf>
      <x:font>
        <x:color rgb="FFC00000"/>
      </x:font>
      <x:fill>
        <x:patternFill patternType="solid">
          <x:bgColor rgb="FFFCE4D6"/>
        </x:patternFill>
      </x:fill>
    </x:dxf>
    <x:dxf>
      <x:font>
        <x:color rgb="FF9C6500"/>
      </x:font>
      <x:fill>
        <x:patternFill patternType="solid">
          <x:bgColor rgb="FFFFF2CC"/>
        </x:patternFill>
      </x:fill>
    </x:dxf>
    <x:dxf>
      <x:font>
        <x:color rgb="FF375623"/>
      </x:font>
      <x:fill>
        <x:patternFill patternType="solid">
          <x:bgColor rgb="FFE2F0D9"/>
        </x:patternFill>
      </x:fill>
    </x:dxf>
    <x:dxf>
      <x:font>
        <x:color rgb="FF17365D"/>
      </x:font>
      <x:fill>
        <x:patternFill patternType="solid">
          <x:bgColor rgb="FFD9EAF7"/>
        </x:patternFill>
      </x:fill>
    </x:dxf>
    <x:dxf>
      <x:font>
        <x:color rgb="FF17365D"/>
      </x:font>
      <x:fill>
        <x:patternFill patternType="solid">
          <x:bgColor rgb="FFD9EAF7"/>
        </x:patternFill>
      </x:fill>
    </x:dxf>
    <x:dxf>
      <x:font>
        <x:b/>
        <x:color rgb="FFC00000"/>
      </x:font>
      <x:fill>
        <x:patternFill patternType="solid">
          <x:bgColor rgb="FFFCE4D6"/>
        </x:patternFill>
      </x:fill>
    </x:dxf>
    <x:dxf>
      <x:font>
        <x:color rgb="FFC00000"/>
      </x:font>
      <x:fill>
        <x:patternFill patternType="solid">
          <x:bgColor rgb="FFFCE4D6"/>
        </x:patternFill>
      </x:fill>
    </x:dxf>
    <x:dxf>
      <x:font>
        <x:color rgb="FF9C6500"/>
      </x:font>
      <x:fill>
        <x:patternFill patternType="solid">
          <x:bgColor rgb="FFFFF2CC"/>
        </x:patternFill>
      </x:fill>
    </x:dxf>
    <x:dxf>
      <x:font>
        <x:color rgb="FF375623"/>
      </x:font>
      <x:fill>
        <x:patternFill patternType="solid">
          <x:bgColor rgb="FFE2F0D9"/>
        </x:patternFill>
      </x:fill>
    </x:dxf>
    <x:dxf>
      <x:font>
        <x:color rgb="FF17365D"/>
      </x:font>
      <x:fill>
        <x:patternFill patternType="solid">
          <x:bgColor rgb="FFD9EAF7"/>
        </x:patternFill>
      </x:fill>
    </x:dxf>
    <x:dxf>
      <x:font>
        <x:color rgb="FF17365D"/>
      </x:font>
      <x:fill>
        <x:patternFill patternType="solid">
          <x:bgColor rgb="FFD9EAF7"/>
        </x:patternFill>
      </x:fill>
    </x:dxf>
    <x:dxf>
      <x:font>
        <x:b/>
        <x:color rgb="FFC00000"/>
      </x:font>
      <x:fill>
        <x:patternFill patternType="solid">
          <x:bgColor rgb="FFFCE4D6"/>
        </x:patternFill>
      </x:fill>
    </x:dxf>
    <x:dxf>
      <x:font>
        <x:color rgb="FFC00000"/>
      </x:font>
      <x:fill>
        <x:patternFill patternType="solid">
          <x:bgColor rgb="FFFCE4D6"/>
        </x:patternFill>
      </x:fill>
    </x:dxf>
    <x:dxf>
      <x:font>
        <x:color rgb="FF9C6500"/>
      </x:font>
      <x:fill>
        <x:patternFill patternType="solid">
          <x:bgColor rgb="FFFFF2CC"/>
        </x:patternFill>
      </x:fill>
    </x:dxf>
    <x:dxf>
      <x:font>
        <x:color rgb="FF375623"/>
      </x:font>
      <x:fill>
        <x:patternFill patternType="solid">
          <x:bgColor rgb="FFE2F0D9"/>
        </x:patternFill>
      </x:fill>
    </x:dxf>
    <x:dxf>
      <x:font>
        <x:color rgb="FF17365D"/>
      </x:font>
      <x:fill>
        <x:patternFill patternType="solid">
          <x:bgColor rgb="FFD9EAF7"/>
        </x:patternFill>
      </x:fill>
    </x:dxf>
    <x:dxf>
      <x:font>
        <x:color rgb="FF17365D"/>
      </x:font>
      <x:fill>
        <x:patternFill patternType="solid">
          <x:bgColor rgb="FFD9EAF7"/>
        </x:patternFill>
      </x:fill>
    </x:dxf>
    <x:dxf>
      <x:font>
        <x:b/>
        <x:color rgb="FFC00000"/>
      </x:font>
      <x:fill>
        <x:patternFill patternType="solid">
          <x:bgColor rgb="FFFCE4D6"/>
        </x:patternFill>
      </x:fill>
    </x:dxf>
    <x:dxf>
      <x:font>
        <x:color rgb="FFC00000"/>
      </x:font>
      <x:fill>
        <x:patternFill patternType="solid">
          <x:bgColor rgb="FFFCE4D6"/>
        </x:patternFill>
      </x:fill>
    </x:dxf>
    <x:dxf>
      <x:font>
        <x:color rgb="FF9C6500"/>
      </x:font>
      <x:fill>
        <x:patternFill patternType="solid">
          <x:bgColor rgb="FFFFF2CC"/>
        </x:patternFill>
      </x:fill>
    </x:dxf>
    <x:dxf>
      <x:font>
        <x:color rgb="FF375623"/>
      </x:font>
      <x:fill>
        <x:patternFill patternType="solid">
          <x:bgColor rgb="FFE2F0D9"/>
        </x:patternFill>
      </x:fill>
    </x:dxf>
    <x:dxf>
      <x:font>
        <x:color rgb="FF17365D"/>
      </x:font>
      <x:fill>
        <x:patternFill patternType="solid">
          <x:bgColor rgb="FFD9EAF7"/>
        </x:patternFill>
      </x:fill>
    </x:dxf>
    <x:dxf>
      <x:font>
        <x:color rgb="FF17365D"/>
      </x:font>
      <x:fill>
        <x:patternFill patternType="solid">
          <x:bgColor rgb="FFD9EAF7"/>
        </x:patternFill>
      </x:fill>
    </x:dxf>
    <x:dxf>
      <x:font>
        <x:b/>
        <x:color rgb="FFC00000"/>
      </x:font>
      <x:fill>
        <x:patternFill patternType="solid">
          <x:bgColor rgb="FFFCE4D6"/>
        </x:patternFill>
      </x:fill>
    </x:dxf>
    <x:dxf>
      <x:font>
        <x:color rgb="FFC00000"/>
      </x:font>
      <x:fill>
        <x:patternFill patternType="solid">
          <x:bgColor rgb="FFFCE4D6"/>
        </x:patternFill>
      </x:fill>
    </x:dxf>
    <x:dxf>
      <x:font>
        <x:color rgb="FF9C6500"/>
      </x:font>
      <x:fill>
        <x:patternFill patternType="solid">
          <x:bgColor rgb="FFFFF2CC"/>
        </x:patternFill>
      </x:fill>
    </x:dxf>
    <x:dxf>
      <x:font>
        <x:color rgb="FF375623"/>
      </x:font>
      <x:fill>
        <x:patternFill patternType="solid">
          <x:bgColor rgb="FFE2F0D9"/>
        </x:patternFill>
      </x:fill>
    </x:dxf>
    <x:dxf>
      <x:font>
        <x:color rgb="FF17365D"/>
      </x:font>
      <x:fill>
        <x:patternFill patternType="solid">
          <x:bgColor rgb="FFD9EAF7"/>
        </x:patternFill>
      </x:fill>
    </x:dxf>
    <x:dxf>
      <x:font>
        <x:color rgb="FF17365D"/>
      </x:font>
      <x:fill>
        <x:patternFill patternType="solid">
          <x:bgColor rgb="FFD9EAF7"/>
        </x:patternFill>
      </x:fill>
    </x:dxf>
    <x:dxf>
      <x:font>
        <x:b/>
        <x:color rgb="FFC00000"/>
      </x:font>
      <x:fill>
        <x:patternFill patternType="solid">
          <x:bgColor rgb="FFFCE4D6"/>
        </x:patternFill>
      </x:fill>
    </x:dxf>
    <x:dxf>
      <x:font>
        <x:color rgb="FFC00000"/>
      </x:font>
      <x:fill>
        <x:patternFill patternType="solid">
          <x:bgColor rgb="FFFCE4D6"/>
        </x:patternFill>
      </x:fill>
    </x:dxf>
    <x:dxf>
      <x:font>
        <x:color rgb="FF9C6500"/>
      </x:font>
      <x:fill>
        <x:patternFill patternType="solid">
          <x:bgColor rgb="FFFFF2CC"/>
        </x:patternFill>
      </x:fill>
    </x:dxf>
    <x:dxf>
      <x:font>
        <x:color rgb="FF375623"/>
      </x:font>
      <x:fill>
        <x:patternFill patternType="solid">
          <x:bgColor rgb="FFE2F0D9"/>
        </x:patternFill>
      </x:fill>
    </x:dxf>
    <x:dxf>
      <x:font>
        <x:color rgb="FF17365D"/>
      </x:font>
      <x:fill>
        <x:patternFill patternType="solid">
          <x:bgColor rgb="FFD9EAF7"/>
        </x:patternFill>
      </x:fill>
    </x:dxf>
    <x:dxf>
      <x:font>
        <x:color rgb="FF17365D"/>
      </x:font>
      <x:fill>
        <x:patternFill patternType="solid">
          <x:bgColor rgb="FFD9EAF7"/>
        </x:patternFill>
      </x:fill>
    </x:dxf>
    <x:dxf>
      <x:font>
        <x:b/>
        <x:color rgb="FFC00000"/>
      </x:font>
      <x:fill>
        <x:patternFill patternType="solid">
          <x:bgColor rgb="FFFCE4D6"/>
        </x:patternFill>
      </x:fill>
    </x:dxf>
    <x:dxf>
      <x:font>
        <x:color rgb="FFC00000"/>
      </x:font>
      <x:fill>
        <x:patternFill patternType="solid">
          <x:bgColor rgb="FFFCE4D6"/>
        </x:patternFill>
      </x:fill>
    </x:dxf>
    <x:dxf>
      <x:font>
        <x:color rgb="FF9C6500"/>
      </x:font>
      <x:fill>
        <x:patternFill patternType="solid">
          <x:bgColor rgb="FFFFF2CC"/>
        </x:patternFill>
      </x:fill>
    </x:dxf>
    <x:dxf>
      <x:font>
        <x:color rgb="FF375623"/>
      </x:font>
      <x:fill>
        <x:patternFill patternType="solid">
          <x:bgColor rgb="FFE2F0D9"/>
        </x:patternFill>
      </x:fill>
    </x:dxf>
    <x:dxf>
      <x:font>
        <x:color rgb="FF17365D"/>
      </x:font>
      <x:fill>
        <x:patternFill patternType="solid">
          <x:bgColor rgb="FFD9EAF7"/>
        </x:patternFill>
      </x:fill>
    </x:dxf>
    <x:dxf>
      <x:font>
        <x:color rgb="FF17365D"/>
      </x:font>
      <x:fill>
        <x:patternFill patternType="solid">
          <x:bgColor rgb="FFD9EAF7"/>
        </x:patternFill>
      </x:fill>
    </x:dxf>
    <x:dxf>
      <x:font>
        <x:b/>
        <x:color rgb="FFC00000"/>
      </x:font>
      <x:fill>
        <x:patternFill patternType="solid">
          <x:bgColor rgb="FFFCE4D6"/>
        </x:patternFill>
      </x:fill>
    </x:dxf>
    <x:dxf>
      <x:font>
        <x:color rgb="FFC00000"/>
      </x:font>
      <x:fill>
        <x:patternFill patternType="solid">
          <x:bgColor rgb="FFFCE4D6"/>
        </x:patternFill>
      </x:fill>
    </x:dxf>
    <x:dxf>
      <x:font>
        <x:color rgb="FF9C6500"/>
      </x:font>
      <x:fill>
        <x:patternFill patternType="solid">
          <x:bgColor rgb="FFFFF2CC"/>
        </x:patternFill>
      </x:fill>
    </x:dxf>
    <x:dxf>
      <x:font>
        <x:color rgb="FF375623"/>
      </x:font>
      <x:fill>
        <x:patternFill patternType="solid">
          <x:bgColor rgb="FFE2F0D9"/>
        </x:patternFill>
      </x:fill>
    </x:dxf>
    <x:dxf>
      <x:font>
        <x:color rgb="FF17365D"/>
      </x:font>
      <x:fill>
        <x:patternFill patternType="solid">
          <x:bgColor rgb="FFD9EAF7"/>
        </x:patternFill>
      </x:fill>
    </x:dxf>
    <x:dxf>
      <x:font>
        <x:color rgb="FF17365D"/>
      </x:font>
      <x:fill>
        <x:patternFill patternType="solid">
          <x:bgColor rgb="FFD9EAF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26ca73b5b52496d" /><Relationship Type="http://schemas.openxmlformats.org/officeDocument/2006/relationships/theme" Target="/xl/theme/theme1.xml" Id="R412903f9b9f0401f" /><Relationship Type="http://schemas.openxmlformats.org/officeDocument/2006/relationships/sharedStrings" Target="/xl/sharedStrings.xml" Id="Re51f23d591744873" /><Relationship Type="http://schemas.openxmlformats.org/officeDocument/2006/relationships/worksheet" Target="/xl/worksheets/sheet1.xml" Id="R6764bca61c93481b" /><Relationship Type="http://schemas.openxmlformats.org/officeDocument/2006/relationships/worksheet" Target="/xl/worksheets/sheet2.xml" Id="R9e1f733c89444b67" /><Relationship Type="http://schemas.openxmlformats.org/officeDocument/2006/relationships/worksheet" Target="/xl/worksheets/sheet3.xml" Id="Rf0f541c58e174b73" /><Relationship Type="http://schemas.openxmlformats.org/officeDocument/2006/relationships/worksheet" Target="/xl/worksheets/sheet4.xml" Id="R1e73d000c3244962" /><Relationship Type="http://schemas.openxmlformats.org/officeDocument/2006/relationships/worksheet" Target="/xl/worksheets/sheet5.xml" Id="Rc5c1a74e9d6d4d87" /><Relationship Type="http://schemas.openxmlformats.org/officeDocument/2006/relationships/worksheet" Target="/xl/worksheets/sheet6.xml" Id="R31544bb57dea4e4b" /><Relationship Type="http://schemas.openxmlformats.org/officeDocument/2006/relationships/worksheet" Target="/xl/worksheets/sheet7.xml" Id="Ra17682d95bda4031" /><Relationship Type="http://schemas.openxmlformats.org/officeDocument/2006/relationships/worksheet" Target="/xl/worksheets/sheet8.xml" Id="R6450c25844764e1f" /><Relationship Type="http://schemas.openxmlformats.org/officeDocument/2006/relationships/worksheet" Target="/xl/worksheets/sheet9.xml" Id="R7edb2881207940ce" /><Relationship Type="http://schemas.openxmlformats.org/officeDocument/2006/relationships/worksheet" Target="/xl/worksheets/sheet10.xml" Id="R7ed3a4df318a4cd5" /><Relationship Type="http://schemas.openxmlformats.org/officeDocument/2006/relationships/worksheet" Target="/xl/worksheets/sheet11.xml" Id="R2a32f25051a44e43" /><Relationship Type="http://schemas.openxmlformats.org/officeDocument/2006/relationships/worksheet" Target="/xl/worksheets/sheet12.xml" Id="R093268a2508d4377" /><Relationship Type="http://schemas.openxmlformats.org/officeDocument/2006/relationships/worksheet" Target="/xl/worksheets/sheet13.xml" Id="Rd300d71c87504b3e" /><Relationship Type="http://schemas.openxmlformats.org/officeDocument/2006/relationships/worksheet" Target="/xl/worksheets/sheet14.xml" Id="R133651d83f7b4831" /><Relationship Type="http://schemas.openxmlformats.org/officeDocument/2006/relationships/worksheet" Target="/xl/worksheets/sheet15.xml" Id="Rb8aeb78603fe4cf9" /><Relationship Type="http://schemas.openxmlformats.org/officeDocument/2006/relationships/worksheet" Target="/xl/worksheets/sheet16.xml" Id="R5a9b0f12db294245" /><Relationship Type="http://schemas.openxmlformats.org/officeDocument/2006/relationships/worksheet" Target="/xl/worksheets/sheet17.xml" Id="R6f925b45a4ff4c83" /><Relationship Type="http://schemas.openxmlformats.org/officeDocument/2006/relationships/worksheet" Target="/xl/worksheets/sheet18.xml" Id="Rf9682f4b743d493b" /><Relationship Type="http://schemas.openxmlformats.org/officeDocument/2006/relationships/worksheet" Target="/xl/worksheets/sheet19.xml" Id="R78dcae7c65bc47e9" /><Relationship Type="http://schemas.openxmlformats.org/officeDocument/2006/relationships/worksheet" Target="/xl/worksheets/sheet20.xml" Id="R2af830fc2f324fae" /><Relationship Type="http://schemas.openxmlformats.org/officeDocument/2006/relationships/worksheet" Target="/xl/worksheets/sheet21.xml" Id="Rd81f9ad89f704fa7" /><Relationship Type="http://schemas.openxmlformats.org/officeDocument/2006/relationships/worksheet" Target="/xl/worksheets/sheet22.xml" Id="R5ea5edc45bcc4f21" /><Relationship Type="http://schemas.openxmlformats.org/officeDocument/2006/relationships/worksheet" Target="/xl/worksheets/sheet23.xml" Id="R23e363463ce04b66" /><Relationship Type="http://schemas.openxmlformats.org/officeDocument/2006/relationships/worksheet" Target="/xl/worksheets/sheet24.xml" Id="Rad5223ae837c4747" /><Relationship Type="http://schemas.openxmlformats.org/officeDocument/2006/relationships/worksheet" Target="/xl/worksheets/sheet25.xml" Id="R3d0562f03f894daf" /><Relationship Type="http://schemas.openxmlformats.org/officeDocument/2006/relationships/worksheet" Target="/xl/worksheets/sheet26.xml" Id="R9279c22dc12c4fa3" /><Relationship Type="http://schemas.openxmlformats.org/officeDocument/2006/relationships/worksheet" Target="/xl/worksheets/sheet27.xml" Id="Rb73f62920159477d" /><Relationship Type="http://schemas.openxmlformats.org/officeDocument/2006/relationships/worksheet" Target="/xl/worksheets/sheet28.xml" Id="R010a18a9bfb24d1b" /><Relationship Type="http://schemas.openxmlformats.org/officeDocument/2006/relationships/worksheet" Target="/xl/worksheets/sheet29.xml" Id="R1f8e9995cd9c44e9" /><Relationship Type="http://schemas.openxmlformats.org/officeDocument/2006/relationships/worksheet" Target="/xl/worksheets/sheet30.xml" Id="R32cf99521bcf4edd" /><Relationship Type="http://schemas.openxmlformats.org/officeDocument/2006/relationships/worksheet" Target="/xl/worksheets/sheet31.xml" Id="R6c248e143b2b4619" /><Relationship Type="http://schemas.openxmlformats.org/officeDocument/2006/relationships/worksheet" Target="/xl/worksheets/sheet32.xml" Id="Rd09b7e10e7b84214" /><Relationship Type="http://schemas.openxmlformats.org/officeDocument/2006/relationships/worksheet" Target="/xl/worksheets/sheet33.xml" Id="Rb5435b3d26bf45c6" /><Relationship Type="http://schemas.openxmlformats.org/officeDocument/2006/relationships/worksheet" Target="/xl/worksheets/sheet34.xml" Id="R8895a7d5e8bd49bf" /><Relationship Type="http://schemas.openxmlformats.org/officeDocument/2006/relationships/worksheet" Target="/xl/worksheets/sheet35.xml" Id="R727a9deaf8b54db6" /><Relationship Type="http://schemas.openxmlformats.org/officeDocument/2006/relationships/worksheet" Target="/xl/worksheets/sheet36.xml" Id="Rd2d6b6d39b22468b" /><Relationship Type="http://schemas.openxmlformats.org/officeDocument/2006/relationships/worksheet" Target="/xl/worksheets/sheet37.xml" Id="R9396359872bd4df5" /><Relationship Type="http://schemas.openxmlformats.org/officeDocument/2006/relationships/worksheet" Target="/xl/worksheets/sheet38.xml" Id="Rf8d25dc9911a4004" /><Relationship Type="http://schemas.openxmlformats.org/officeDocument/2006/relationships/worksheet" Target="/xl/worksheets/sheet39.xml" Id="R7165371d19a246b9" /><Relationship Type="http://schemas.openxmlformats.org/officeDocument/2006/relationships/worksheet" Target="/xl/worksheets/sheet40.xml" Id="Rc6a46f78249544f3" /><Relationship Type="http://schemas.openxmlformats.org/officeDocument/2006/relationships/worksheet" Target="/xl/worksheets/sheet41.xml" Id="Rdd4ef48b23fd48e5" /><Relationship Type="http://schemas.openxmlformats.org/officeDocument/2006/relationships/worksheet" Target="/xl/worksheets/sheet42.xml" Id="Ra3bef7883c8b460d" /><Relationship Type="http://schemas.openxmlformats.org/officeDocument/2006/relationships/worksheet" Target="/xl/worksheets/sheet43.xml" Id="R88c8c6e89dce49c7" /><Relationship Type="http://schemas.openxmlformats.org/officeDocument/2006/relationships/worksheet" Target="/xl/worksheets/sheet44.xml" Id="R5d14ca84b8d64df9" /><Relationship Type="http://schemas.openxmlformats.org/officeDocument/2006/relationships/worksheet" Target="/xl/worksheets/sheet45.xml" Id="Re3c1aef7f6984aa0" /><Relationship Type="http://schemas.openxmlformats.org/officeDocument/2006/relationships/worksheet" Target="/xl/worksheets/sheet46.xml" Id="R8e273eb8e8ef44f5" /><Relationship Type="http://schemas.openxmlformats.org/officeDocument/2006/relationships/worksheet" Target="/xl/worksheets/sheet47.xml" Id="R1a8931adcd0a4fd1" /><Relationship Type="http://schemas.openxmlformats.org/officeDocument/2006/relationships/worksheet" Target="/xl/worksheets/sheet48.xml" Id="Rac20b628e6d1475c" /><Relationship Type="http://schemas.openxmlformats.org/officeDocument/2006/relationships/worksheet" Target="/xl/worksheets/sheet49.xml" Id="Rfd2802a6f8594993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Pr>
    <x:tabColor rgb="FF17365D"/>
  </x:sheetPr>
  <x:sheetViews>
    <x:sheetView showGridLines="0" workbookViewId="0">
      <x:pane xSplit="2" ySplit="6" topLeftCell="C7" activePane="bottomRight" state="frozen"/>
    </x:sheetView>
  </x:sheetViews>
  <x:sheetFormatPr defaultRowHeight="15"/>
  <x:cols>
    <x:col min="2" max="2" width="31" hidden="0" customWidth="1"/>
    <x:col min="3" max="3" width="119" hidden="0" customWidth="1"/>
    <x:col min="5" max="5" width="26" hidden="0" customWidth="1"/>
    <x:col min="6" max="6" width="20" hidden="0" customWidth="1"/>
    <x:col min="7" max="7" width="25" hidden="0" customWidth="1"/>
    <x:col min="8" max="8" width="20" hidden="0" customWidth="1"/>
  </x:cols>
  <x:sheetData>
    <x:row r="2">
      <x:c r="B2" s="44" t="str">
        <x:v>RAB-1 development-article qualification campaign</x:v>
      </x:c>
      <x:c r="C2" s="45"/>
      <x:c r="D2" s="45"/>
      <x:c r="E2" s="45"/>
      <x:c r="F2" s="45"/>
      <x:c r="G2" s="45"/>
      <x:c r="H2" s="45"/>
    </x:row>
    <x:row r="3">
      <x:c r="B3" s="46" t="str">
        <x:v>Physical qualification infrastructure for two unlike public construction roots.</x:v>
      </x:c>
      <x:c r="C3" s="45"/>
      <x:c r="D3" s="45"/>
      <x:c r="E3" s="45"/>
      <x:c r="F3" s="45"/>
      <x:c r="G3" s="45"/>
      <x:c r="H3" s="45"/>
    </x:row>
    <x:row r="4">
      <x:c r="B4" s="45"/>
      <x:c r="C4" s="45"/>
      <x:c r="D4" s="45"/>
      <x:c r="E4" s="45"/>
      <x:c r="F4" s="45"/>
      <x:c r="G4" s="45"/>
      <x:c r="H4" s="45"/>
    </x:row>
    <x:row r="5">
      <x:c r="B5" s="45"/>
      <x:c r="C5" s="45"/>
      <x:c r="D5" s="45"/>
      <x:c r="E5" s="45"/>
      <x:c r="F5" s="45"/>
      <x:c r="G5" s="45"/>
      <x:c r="H5" s="45"/>
    </x:row>
    <x:row r="6" ht="25" customHeight="1">
      <x:c r="B6" s="6" t="str">
        <x:v>Decision field</x:v>
      </x:c>
      <x:c r="C6" s="6" t="str">
        <x:v>RAB-1 position</x:v>
      </x:c>
      <x:c r="D6" s="45"/>
      <x:c r="E6" s="6" t="str">
        <x:v>NUMERIC ANCHORS</x:v>
      </x:c>
      <x:c r="F6" s="6"/>
      <x:c r="G6" s="6"/>
      <x:c r="H6" s="6"/>
    </x:row>
    <x:row r="7" ht="43" customHeight="1">
      <x:c r="B7" s="8" t="str">
        <x:v>Object</x:v>
      </x:c>
      <x:c r="C7" s="9" t="str">
        <x:v>RAB-1 development-article and destructive build-qualification campaign</x:v>
      </x:c>
      <x:c r="D7" s="45"/>
      <x:c r="E7" s="47" t="str">
        <x:v>Qualification objects</x:v>
      </x:c>
      <x:c r="F7" s="48" t="n">
        <x:f>'Object Population'!D14</x:f>
        <x:v>1766</x:v>
      </x:c>
      <x:c r="G7" s="48" t="str">
        <x:v>Defect presentations</x:v>
      </x:c>
      <x:c r="H7" s="49" t="n">
        <x:f>SUM('Defect Presentations'!F7:F54)</x:f>
        <x:v>1392</x:v>
      </x:c>
    </x:row>
    <x:row r="8" ht="43" customHeight="1">
      <x:c r="B8" s="8" t="str">
        <x:v>Decision</x:v>
      </x:c>
      <x:c r="C8" s="9" t="str">
        <x:v>Test whether both public construction roots are ready for a production-equivalent article lot</x:v>
      </x:c>
      <x:c r="D8" s="45"/>
      <x:c r="E8" s="50" t="str">
        <x:v>Fixture units</x:v>
      </x:c>
      <x:c r="F8" s="51" t="n">
        <x:f>'Fixture Families'!D26</x:f>
        <x:v>33</x:v>
      </x:c>
      <x:c r="G8" s="51" t="str">
        <x:v>Destructive zones</x:v>
      </x:c>
      <x:c r="H8" s="52" t="n">
        <x:f>COUNTA('Destructive Plan'!B7:B102)</x:f>
        <x:v>96</x:v>
      </x:c>
    </x:row>
    <x:row r="9" ht="43" customHeight="1">
      <x:c r="B9" s="8" t="str">
        <x:v>Integrated articles</x:v>
      </x:c>
      <x:c r="C9" s="9" t="str">
        <x:v>DA-X1 and DA-Y1 are sacrificial system witnesses outside the RAP-1 article bank</x:v>
      </x:c>
      <x:c r="D9" s="45"/>
      <x:c r="E9" s="50" t="str">
        <x:v>Detection lower</x:v>
      </x:c>
      <x:c r="F9" s="53" t="n">
        <x:f>'Statistical Bounds'!G7</x:f>
        <x:v>0.9018553723227043</x:v>
      </x:c>
      <x:c r="G9" s="53" t="str">
        <x:v>False-reject upper</x:v>
      </x:c>
      <x:c r="H9" s="54" t="n">
        <x:f>'Statistical Bounds'!G8</x:f>
        <x:v>0.05033933833042015</x:v>
      </x:c>
    </x:row>
    <x:row r="10" ht="43" customHeight="1">
      <x:c r="B10" s="8" t="str">
        <x:v>Independent population</x:v>
      </x:c>
      <x:c r="C10" s="9" t="str">
        <x:v>120 process-window joints and 1,392 blinded defect presentations prevent two successful articles from becoming a false qualification claim</x:v>
      </x:c>
      <x:c r="D10" s="45"/>
      <x:c r="E10" s="50" t="str">
        <x:v>Process upper</x:v>
      </x:c>
      <x:c r="F10" s="53" t="n">
        <x:f>'Statistical Bounds'!G9</x:f>
        <x:v>0.04870291331009746</x:v>
      </x:c>
      <x:c r="G10" s="53" t="str">
        <x:v>Capacity screens</x:v>
      </x:c>
      <x:c r="H10" s="54" t="n">
        <x:f>COUNTIFS('Capacity'!J7:J22,"PASS")</x:f>
        <x:v>16</x:v>
      </x:c>
    </x:row>
    <x:row r="11" ht="43" customHeight="1">
      <x:c r="B11" s="8" t="str">
        <x:v>Inference</x:v>
      </x:c>
      <x:c r="C11" s="9" t="str">
        <x:v>Twenty-nine at-threshold positives give a 90.19 percent one-sided lower detection bound when all are detected</x:v>
      </x:c>
      <x:c r="D11" s="45"/>
      <x:c r="E11" s="50" t="str">
        <x:v>Capital USD M</x:v>
      </x:c>
      <x:c r="F11" s="51" t="n">
        <x:f>'Capital'!D21</x:f>
        <x:v>118</x:v>
      </x:c>
      <x:c r="G11" s="51" t="str">
        <x:v>Annual USD M</x:v>
      </x:c>
      <x:c r="H11" s="52" t="n">
        <x:f>'Annual Support'!D18</x:f>
        <x:v>58</x:v>
      </x:c>
    </x:row>
    <x:row r="12" ht="43" customHeight="1">
      <x:c r="B12" s="8" t="str">
        <x:v>False rejects</x:v>
      </x:c>
      <x:c r="C12" s="9" t="str">
        <x:v>Fifty-eight negative and clean presentations give a 5.04 percent one-sided upper bound when none are rejected</x:v>
      </x:c>
      <x:c r="D12" s="45"/>
      <x:c r="E12" s="50" t="str">
        <x:v>18-month USD M</x:v>
      </x:c>
      <x:c r="F12" s="51" t="n">
        <x:f>'Annual Support'!D19</x:f>
        <x:v>205</x:v>
      </x:c>
      <x:c r="G12" s="51" t="str">
        <x:v>Remaining capital</x:v>
      </x:c>
      <x:c r="H12" s="52" t="n">
        <x:f>'Portfolio Boundary'!D10</x:f>
        <x:v>66</x:v>
      </x:c>
    </x:row>
    <x:row r="13" ht="43" customHeight="1">
      <x:c r="B13" s="8" t="str">
        <x:v>Process screen</x:v>
      </x:c>
      <x:c r="C13" s="9" t="str">
        <x:v>Sixty zero-failure specimens per lineage give a 4.87 percent one-sided upper failure bound</x:v>
      </x:c>
      <x:c r="D13" s="45"/>
      <x:c r="E13" s="55" t="str">
        <x:v>Remaining annual</x:v>
      </x:c>
      <x:c r="F13" s="56" t="n">
        <x:f>'Portfolio Boundary'!D14</x:f>
        <x:v>16</x:v>
      </x:c>
      <x:c r="G13" s="56" t="str">
        <x:v>Technology USD M</x:v>
      </x:c>
      <x:c r="H13" s="57" t="n">
        <x:f>'Technology Programs'!D17</x:f>
        <x:v>180</x:v>
      </x:c>
    </x:row>
    <x:row r="14" ht="43" customHeight="1">
      <x:c r="B14" s="8" t="str">
        <x:v>Fixtures</x:v>
      </x:c>
      <x:c r="C14" s="9" t="str">
        <x:v>Eighteen public fixture families and thirty-three units establish observable range boundaries</x:v>
      </x:c>
      <x:c r="D14" s="45"/>
      <x:c r="E14" s="45"/>
      <x:c r="F14" s="45"/>
      <x:c r="G14" s="45"/>
      <x:c r="H14" s="45"/>
    </x:row>
    <x:row r="15" ht="43" customHeight="1">
      <x:c r="B15" s="8" t="str">
        <x:v>Integrated exposure</x:v>
      </x:c>
      <x:c r="C15" s="9" t="str">
        <x:v>3 MPa liquid proof, 1,000 normal cycles, 50 surge cycles, 20 thermal cycles and 30 drain trials per article</x:v>
      </x:c>
      <x:c r="D15" s="45"/>
      <x:c r="E15" s="45"/>
      <x:c r="F15" s="45"/>
      <x:c r="G15" s="45"/>
      <x:c r="H15" s="45"/>
    </x:row>
    <x:row r="16" ht="43" customHeight="1">
      <x:c r="B16" s="8" t="str">
        <x:v>BL-Y distinction</x:v>
      </x:c>
      <x:c r="C16" s="9" t="str">
        <x:v>Fifty assembly-disassembly cycles test preload, seal set and monitored interspace state</x:v>
      </x:c>
      <x:c r="D16" s="45"/>
      <x:c r="E16" s="45"/>
      <x:c r="F16" s="45"/>
      <x:c r="G16" s="45"/>
      <x:c r="H16" s="45"/>
    </x:row>
    <x:row r="17" ht="43" customHeight="1">
      <x:c r="B17" s="8" t="str">
        <x:v>Destruction</x:v>
      </x:c>
      <x:c r="C17" s="9" t="str">
        <x:v>Ninety-six precommitted article zones correlate NDE with roots, seals, surfaces, mounts, supports and drains</x:v>
      </x:c>
      <x:c r="D17" s="45"/>
      <x:c r="E17" s="45"/>
      <x:c r="F17" s="45"/>
      <x:c r="G17" s="45"/>
      <x:c r="H17" s="45"/>
    </x:row>
    <x:row r="18" ht="43" customHeight="1">
      <x:c r="B18" s="8" t="str">
        <x:v>Institution</x:v>
      </x:c>
      <x:c r="C18" s="9" t="str">
        <x:v>Separated builders, challenge root, inspection, metrology, safety, evidence, forensics and acceptance</x:v>
      </x:c>
      <x:c r="D18" s="45"/>
      <x:c r="E18" s="45"/>
      <x:c r="F18" s="45"/>
      <x:c r="G18" s="45"/>
      <x:c r="H18" s="45"/>
    </x:row>
    <x:row r="19" ht="43" customHeight="1">
      <x:c r="B19" s="8" t="str">
        <x:v>Organization</x:v>
      </x:c>
      <x:c r="C19" s="9" t="str">
        <x:v>218 peak assigned positions inside the 240-position RAP-1 establishment</x:v>
      </x:c>
      <x:c r="D19" s="45"/>
      <x:c r="E19" s="45"/>
      <x:c r="F19" s="45"/>
      <x:c r="G19" s="45"/>
      <x:c r="H19" s="45"/>
    </x:row>
    <x:row r="20" ht="43" customHeight="1">
      <x:c r="B20" s="8" t="str">
        <x:v>Finance</x:v>
      </x:c>
      <x:c r="C20" s="9" t="str">
        <x:v>USD 118M capital, USD 58M/year and USD 205M over eighteen months</x:v>
      </x:c>
      <x:c r="D20" s="45"/>
      <x:c r="E20" s="45"/>
      <x:c r="F20" s="45"/>
      <x:c r="G20" s="45"/>
      <x:c r="H20" s="45"/>
    </x:row>
    <x:row r="21" ht="43" customHeight="1">
      <x:c r="B21" s="8" t="str">
        <x:v>Portfolio</x:v>
      </x:c>
      <x:c r="C21" s="9" t="str">
        <x:v>Combined RAC-1 and RAB-1 allocations leave USD 66M capital and USD 16M/year inside RAP-1</x:v>
      </x:c>
      <x:c r="D21" s="45"/>
      <x:c r="E21" s="45"/>
      <x:c r="F21" s="45"/>
      <x:c r="G21" s="45"/>
      <x:c r="H21" s="45"/>
    </x:row>
    <x:row r="22" ht="43" customHeight="1">
      <x:c r="B22" s="8" t="str">
        <x:v>Technology</x:v>
      </x:c>
      <x:c r="C22" s="9" t="str">
        <x:v>USD 180M cross-classified map, including USD 55M beyond the prior construction subset</x:v>
      </x:c>
      <x:c r="D22" s="45"/>
      <x:c r="E22" s="45"/>
      <x:c r="F22" s="45"/>
      <x:c r="G22" s="45"/>
      <x:c r="H22" s="45"/>
    </x:row>
    <x:row r="23" ht="43" customHeight="1">
      <x:c r="B23" s="8" t="str">
        <x:v>Physical state</x:v>
      </x:c>
      <x:c r="C23" s="9" t="str">
        <x:v>All fixture, build, trial, destructive and article acceptance records remain OPEN</x:v>
      </x:c>
      <x:c r="D23" s="45"/>
      <x:c r="E23" s="45"/>
      <x:c r="F23" s="45"/>
      <x:c r="G23" s="45"/>
      <x:c r="H23" s="45"/>
    </x:row>
    <x:row r="24" ht="43" customHeight="1">
      <x:c r="B24" s="8" t="str">
        <x:v>Authority ceiling</x:v>
      </x:c>
      <x:c r="C24" s="9" t="str">
        <x:v>Production-equivalent construction, RAP-1 execution, source entry and exterior rendering remain blocked</x:v>
      </x:c>
      <x:c r="D24" s="45"/>
      <x:c r="E24" s="45"/>
      <x:c r="F24" s="45"/>
      <x:c r="G24" s="45"/>
      <x:c r="H24" s="45"/>
    </x:row>
    <x:row r="25" ht="43" customHeight="1">
      <x:c r="B25" s="8" t="str">
        <x:v>Next object</x:v>
      </x:c>
      <x:c r="C25" s="9" t="str">
        <x:v>RAQ-1 production-equivalent article-lot construction and second-team reproduction</x:v>
      </x:c>
      <x:c r="D25" s="45"/>
      <x:c r="E25" s="45"/>
      <x:c r="F25" s="45"/>
      <x:c r="G25" s="45"/>
      <x:c r="H25" s="45"/>
    </x:row>
  </x:sheetData>
  <x:mergeCells>
    <x:mergeCell ref="E6:H6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Pr>
    <x:tabColor rgb="FF9DC3E6"/>
  </x:sheetPr>
  <x:sheetViews>
    <x:sheetView showGridLines="0" workbookViewId="0">
      <x:pane xSplit="2" ySplit="6" topLeftCell="C7" activePane="bottomRight" state="frozen"/>
    </x:sheetView>
  </x:sheetViews>
  <x:sheetFormatPr defaultRowHeight="15"/>
  <x:cols>
    <x:col min="2" max="2" width="14" hidden="0" customWidth="1"/>
    <x:col min="3" max="3" width="44" hidden="0" customWidth="1"/>
    <x:col min="4" max="4" width="18" hidden="0" customWidth="1"/>
    <x:col min="5" max="5" width="20" hidden="0" customWidth="1"/>
    <x:col min="6" max="6" width="20" hidden="0" customWidth="1"/>
    <x:col min="7" max="7" width="24" hidden="0" customWidth="1"/>
  </x:cols>
  <x:sheetData>
    <x:row r="2">
      <x:c r="B2" s="44" t="str">
        <x:v>RAB-1 controls and inherited boundaries</x:v>
      </x:c>
      <x:c r="C2" s="45"/>
      <x:c r="D2" s="45"/>
      <x:c r="E2" s="45"/>
      <x:c r="F2" s="45"/>
      <x:c r="G2" s="45"/>
    </x:row>
    <x:row r="3">
      <x:c r="B3" s="46" t="str">
        <x:v>Amber values are editable planning hypotheses. Authority fields remain zero until a named public board acts.</x:v>
      </x:c>
      <x:c r="C3" s="45"/>
      <x:c r="D3" s="45"/>
      <x:c r="E3" s="45"/>
      <x:c r="F3" s="45"/>
      <x:c r="G3" s="45"/>
    </x:row>
    <x:row r="4">
      <x:c r="B4" s="45"/>
      <x:c r="C4" s="45"/>
      <x:c r="D4" s="45"/>
      <x:c r="E4" s="45"/>
      <x:c r="F4" s="45"/>
      <x:c r="G4" s="45"/>
    </x:row>
    <x:row r="5">
      <x:c r="B5" s="45"/>
      <x:c r="C5" s="45"/>
      <x:c r="D5" s="45"/>
      <x:c r="E5" s="45"/>
      <x:c r="F5" s="45"/>
      <x:c r="G5" s="45"/>
    </x:row>
    <x:row r="6" ht="25" customHeight="1">
      <x:c r="B6" s="6" t="str">
        <x:v>Control</x:v>
      </x:c>
      <x:c r="C6" s="6" t="str">
        <x:v>Parameter</x:v>
      </x:c>
      <x:c r="D6" s="6" t="str">
        <x:v>Value</x:v>
      </x:c>
      <x:c r="E6" s="6" t="str">
        <x:v>Unit</x:v>
      </x:c>
      <x:c r="F6" s="6" t="str">
        <x:v>Class</x:v>
      </x:c>
      <x:c r="G6" s="6" t="str">
        <x:v>Authority</x:v>
      </x:c>
    </x:row>
    <x:row r="7" ht="28" customHeight="1">
      <x:c r="B7" s="8" t="str">
        <x:v>C01</x:v>
      </x:c>
      <x:c r="C7" s="9" t="str">
        <x:v>development articles</x:v>
      </x:c>
      <x:c r="D7" s="12" t="n">
        <x:v>2</x:v>
      </x:c>
      <x:c r="E7" s="8" t="str">
        <x:v>articles</x:v>
      </x:c>
      <x:c r="F7" s="8" t="str">
        <x:v>design</x:v>
      </x:c>
      <x:c r="G7" s="8" t="str">
        <x:v>RAB-1</x:v>
      </x:c>
    </x:row>
    <x:row r="8" ht="28" customHeight="1">
      <x:c r="B8" s="8" t="str">
        <x:v>C02</x:v>
      </x:c>
      <x:c r="C8" s="9" t="str">
        <x:v>lineages</x:v>
      </x:c>
      <x:c r="D8" s="12" t="n">
        <x:v>2</x:v>
      </x:c>
      <x:c r="E8" s="8" t="str">
        <x:v>lineages</x:v>
      </x:c>
      <x:c r="F8" s="8" t="str">
        <x:v>inherited</x:v>
      </x:c>
      <x:c r="G8" s="8" t="str">
        <x:v>RAC-1</x:v>
      </x:c>
    </x:row>
    <x:row r="9" ht="28" customHeight="1">
      <x:c r="B9" s="8" t="str">
        <x:v>C03</x:v>
      </x:c>
      <x:c r="C9" s="9" t="str">
        <x:v>segments per article</x:v>
      </x:c>
      <x:c r="D9" s="12" t="n">
        <x:v>6</x:v>
      </x:c>
      <x:c r="E9" s="8" t="str">
        <x:v>segments</x:v>
      </x:c>
      <x:c r="F9" s="8" t="str">
        <x:v>inherited</x:v>
      </x:c>
      <x:c r="G9" s="8" t="str">
        <x:v>RAC-1</x:v>
      </x:c>
    </x:row>
    <x:row r="10" ht="28" customHeight="1">
      <x:c r="B10" s="8" t="str">
        <x:v>C04</x:v>
      </x:c>
      <x:c r="C10" s="9" t="str">
        <x:v>joints per article</x:v>
      </x:c>
      <x:c r="D10" s="12" t="n">
        <x:v>5</x:v>
      </x:c>
      <x:c r="E10" s="8" t="str">
        <x:v>joints</x:v>
      </x:c>
      <x:c r="F10" s="8" t="str">
        <x:v>inherited</x:v>
      </x:c>
      <x:c r="G10" s="8" t="str">
        <x:v>RAC-1</x:v>
      </x:c>
    </x:row>
    <x:row r="11" ht="28" customHeight="1">
      <x:c r="B11" s="8" t="str">
        <x:v>C05</x:v>
      </x:c>
      <x:c r="C11" s="9" t="str">
        <x:v>final elements per article</x:v>
      </x:c>
      <x:c r="D11" s="12" t="n">
        <x:v>12</x:v>
      </x:c>
      <x:c r="E11" s="8" t="str">
        <x:v>assemblies</x:v>
      </x:c>
      <x:c r="F11" s="8" t="str">
        <x:v>inherited</x:v>
      </x:c>
      <x:c r="G11" s="8" t="str">
        <x:v>RAC-1</x:v>
      </x:c>
    </x:row>
    <x:row r="12" ht="28" customHeight="1">
      <x:c r="B12" s="8" t="str">
        <x:v>C06</x:v>
      </x:c>
      <x:c r="C12" s="9" t="str">
        <x:v>channels per article</x:v>
      </x:c>
      <x:c r="D12" s="12" t="n">
        <x:v>144</x:v>
      </x:c>
      <x:c r="E12" s="8" t="str">
        <x:v>channels</x:v>
      </x:c>
      <x:c r="F12" s="8" t="str">
        <x:v>inherited</x:v>
      </x:c>
      <x:c r="G12" s="8" t="str">
        <x:v>RAP-1</x:v>
      </x:c>
    </x:row>
    <x:row r="13" ht="28" customHeight="1">
      <x:c r="B13" s="8" t="str">
        <x:v>C07</x:v>
      </x:c>
      <x:c r="C13" s="9" t="str">
        <x:v>process factors per lineage</x:v>
      </x:c>
      <x:c r="D13" s="12" t="n">
        <x:v>4</x:v>
      </x:c>
      <x:c r="E13" s="8" t="str">
        <x:v>factors</x:v>
      </x:c>
      <x:c r="F13" s="8" t="str">
        <x:v>design</x:v>
      </x:c>
      <x:c r="G13" s="8" t="str">
        <x:v>RAB-1</x:v>
      </x:c>
    </x:row>
    <x:row r="14" ht="28" customHeight="1">
      <x:c r="B14" s="8" t="str">
        <x:v>C08</x:v>
      </x:c>
      <x:c r="C14" s="9" t="str">
        <x:v>factorial corner cells</x:v>
      </x:c>
      <x:c r="D14" s="12" t="n">
        <x:v>16</x:v>
      </x:c>
      <x:c r="E14" s="8" t="str">
        <x:v>cells</x:v>
      </x:c>
      <x:c r="F14" s="8" t="str">
        <x:v>design</x:v>
      </x:c>
      <x:c r="G14" s="8" t="str">
        <x:v>RAB-1</x:v>
      </x:c>
    </x:row>
    <x:row r="15" ht="28" customHeight="1">
      <x:c r="B15" s="8" t="str">
        <x:v>C09</x:v>
      </x:c>
      <x:c r="C15" s="9" t="str">
        <x:v>replicates per corner</x:v>
      </x:c>
      <x:c r="D15" s="12" t="n">
        <x:v>3</x:v>
      </x:c>
      <x:c r="E15" s="8" t="str">
        <x:v>specimens</x:v>
      </x:c>
      <x:c r="F15" s="8" t="str">
        <x:v>design</x:v>
      </x:c>
      <x:c r="G15" s="8" t="str">
        <x:v>RAB-1</x:v>
      </x:c>
    </x:row>
    <x:row r="16" ht="28" customHeight="1">
      <x:c r="B16" s="8" t="str">
        <x:v>C10</x:v>
      </x:c>
      <x:c r="C16" s="9" t="str">
        <x:v>center specimens per lineage</x:v>
      </x:c>
      <x:c r="D16" s="12" t="n">
        <x:v>12</x:v>
      </x:c>
      <x:c r="E16" s="8" t="str">
        <x:v>specimens</x:v>
      </x:c>
      <x:c r="F16" s="8" t="str">
        <x:v>design</x:v>
      </x:c>
      <x:c r="G16" s="8" t="str">
        <x:v>RAB-1</x:v>
      </x:c>
    </x:row>
    <x:row r="17" ht="28" customHeight="1">
      <x:c r="B17" s="8" t="str">
        <x:v>C11</x:v>
      </x:c>
      <x:c r="C17" s="9" t="str">
        <x:v>process specimens per lineage</x:v>
      </x:c>
      <x:c r="D17" s="12" t="n">
        <x:v>60</x:v>
      </x:c>
      <x:c r="E17" s="8" t="str">
        <x:v>specimens</x:v>
      </x:c>
      <x:c r="F17" s="8" t="str">
        <x:v>derived control</x:v>
      </x:c>
      <x:c r="G17" s="8" t="str">
        <x:v>RAB-1</x:v>
      </x:c>
    </x:row>
    <x:row r="18" ht="28" customHeight="1">
      <x:c r="B18" s="8" t="str">
        <x:v>C12</x:v>
      </x:c>
      <x:c r="C18" s="9" t="str">
        <x:v>defect families per lineage</x:v>
      </x:c>
      <x:c r="D18" s="12" t="n">
        <x:v>6</x:v>
      </x:c>
      <x:c r="E18" s="8" t="str">
        <x:v>families</x:v>
      </x:c>
      <x:c r="F18" s="8" t="str">
        <x:v>design</x:v>
      </x:c>
      <x:c r="G18" s="8" t="str">
        <x:v>RAB-1</x:v>
      </x:c>
    </x:row>
    <x:row r="19" ht="28" customHeight="1">
      <x:c r="B19" s="8" t="str">
        <x:v>C13</x:v>
      </x:c>
      <x:c r="C19" s="9" t="str">
        <x:v>defect presentation states</x:v>
      </x:c>
      <x:c r="D19" s="12" t="n">
        <x:v>4</x:v>
      </x:c>
      <x:c r="E19" s="8" t="str">
        <x:v>states</x:v>
      </x:c>
      <x:c r="F19" s="8" t="str">
        <x:v>design</x:v>
      </x:c>
      <x:c r="G19" s="8" t="str">
        <x:v>RAB-1</x:v>
      </x:c>
    </x:row>
    <x:row r="20" ht="28" customHeight="1">
      <x:c r="B20" s="8" t="str">
        <x:v>C14</x:v>
      </x:c>
      <x:c r="C20" s="9" t="str">
        <x:v>presentations per state</x:v>
      </x:c>
      <x:c r="D20" s="12" t="n">
        <x:v>29</x:v>
      </x:c>
      <x:c r="E20" s="8" t="str">
        <x:v>presentations</x:v>
      </x:c>
      <x:c r="F20" s="8" t="str">
        <x:v>design</x:v>
      </x:c>
      <x:c r="G20" s="8" t="str">
        <x:v>RAB-1</x:v>
      </x:c>
    </x:row>
    <x:row r="21" ht="28" customHeight="1">
      <x:c r="B21" s="8" t="str">
        <x:v>C15</x:v>
      </x:c>
      <x:c r="C21" s="9" t="str">
        <x:v>lineage-defect cells</x:v>
      </x:c>
      <x:c r="D21" s="12" t="n">
        <x:v>12</x:v>
      </x:c>
      <x:c r="E21" s="8" t="str">
        <x:v>cells</x:v>
      </x:c>
      <x:c r="F21" s="8" t="str">
        <x:v>derived control</x:v>
      </x:c>
      <x:c r="G21" s="8" t="str">
        <x:v>RAB-1</x:v>
      </x:c>
    </x:row>
    <x:row r="22" ht="28" customHeight="1">
      <x:c r="B22" s="8" t="str">
        <x:v>C16</x:v>
      </x:c>
      <x:c r="C22" s="9" t="str">
        <x:v>blinded defect presentations</x:v>
      </x:c>
      <x:c r="D22" s="12" t="n">
        <x:v>1392</x:v>
      </x:c>
      <x:c r="E22" s="8" t="str">
        <x:v>presentations</x:v>
      </x:c>
      <x:c r="F22" s="8" t="str">
        <x:v>derived control</x:v>
      </x:c>
      <x:c r="G22" s="8" t="str">
        <x:v>RAB-1</x:v>
      </x:c>
    </x:row>
    <x:row r="23" ht="28" customHeight="1">
      <x:c r="B23" s="8" t="str">
        <x:v>C17</x:v>
      </x:c>
      <x:c r="C23" s="9" t="str">
        <x:v>extra safeing specimens per design</x:v>
      </x:c>
      <x:c r="D23" s="12" t="n">
        <x:v>3</x:v>
      </x:c>
      <x:c r="E23" s="8" t="str">
        <x:v>specimens</x:v>
      </x:c>
      <x:c r="F23" s="8" t="str">
        <x:v>design</x:v>
      </x:c>
      <x:c r="G23" s="8" t="str">
        <x:v>RAB-1</x:v>
      </x:c>
    </x:row>
    <x:row r="24" ht="28" customHeight="1">
      <x:c r="B24" s="8" t="str">
        <x:v>C18</x:v>
      </x:c>
      <x:c r="C24" s="9" t="str">
        <x:v>extra mount specimens per family</x:v>
      </x:c>
      <x:c r="D24" s="12" t="n">
        <x:v>3</x:v>
      </x:c>
      <x:c r="E24" s="8" t="str">
        <x:v>specimens</x:v>
      </x:c>
      <x:c r="F24" s="8" t="str">
        <x:v>design</x:v>
      </x:c>
      <x:c r="G24" s="8" t="str">
        <x:v>RAB-1</x:v>
      </x:c>
    </x:row>
    <x:row r="25" ht="28" customHeight="1">
      <x:c r="B25" s="8" t="str">
        <x:v>C19</x:v>
      </x:c>
      <x:c r="C25" s="9" t="str">
        <x:v>surface specimens per segment class</x:v>
      </x:c>
      <x:c r="D25" s="12" t="n">
        <x:v>3</x:v>
      </x:c>
      <x:c r="E25" s="8" t="str">
        <x:v>specimens</x:v>
      </x:c>
      <x:c r="F25" s="8" t="str">
        <x:v>design</x:v>
      </x:c>
      <x:c r="G25" s="8" t="str">
        <x:v>RAB-1</x:v>
      </x:c>
    </x:row>
    <x:row r="26" ht="28" customHeight="1">
      <x:c r="B26" s="8" t="str">
        <x:v>C20</x:v>
      </x:c>
      <x:c r="C26" s="9" t="str">
        <x:v>fixture families</x:v>
      </x:c>
      <x:c r="D26" s="12" t="n">
        <x:v>18</x:v>
      </x:c>
      <x:c r="E26" s="8" t="str">
        <x:v>families</x:v>
      </x:c>
      <x:c r="F26" s="8" t="str">
        <x:v>design</x:v>
      </x:c>
      <x:c r="G26" s="8" t="str">
        <x:v>RAB-1</x:v>
      </x:c>
    </x:row>
    <x:row r="27" ht="28" customHeight="1">
      <x:c r="B27" s="8" t="str">
        <x:v>C21</x:v>
      </x:c>
      <x:c r="C27" s="9" t="str">
        <x:v>fixture units</x:v>
      </x:c>
      <x:c r="D27" s="12" t="n">
        <x:v>33</x:v>
      </x:c>
      <x:c r="E27" s="8" t="str">
        <x:v>units</x:v>
      </x:c>
      <x:c r="F27" s="8" t="str">
        <x:v>design</x:v>
      </x:c>
      <x:c r="G27" s="8" t="str">
        <x:v>RAB-1</x:v>
      </x:c>
    </x:row>
    <x:row r="28" ht="28" customHeight="1">
      <x:c r="B28" s="8" t="str">
        <x:v>C22</x:v>
      </x:c>
      <x:c r="C28" s="9" t="str">
        <x:v>one-sided alpha</x:v>
      </x:c>
      <x:c r="D28" s="12" t="n">
        <x:v>0.05</x:v>
      </x:c>
      <x:c r="E28" s="8" t="str">
        <x:v>fraction</x:v>
      </x:c>
      <x:c r="F28" s="8" t="str">
        <x:v>statistical</x:v>
      </x:c>
      <x:c r="G28" s="8" t="str">
        <x:v>RAB-1</x:v>
      </x:c>
    </x:row>
    <x:row r="29" ht="28" customHeight="1">
      <x:c r="B29" s="8" t="str">
        <x:v>C23</x:v>
      </x:c>
      <x:c r="C29" s="9" t="str">
        <x:v>zero-failure process population</x:v>
      </x:c>
      <x:c r="D29" s="12" t="n">
        <x:v>60</x:v>
      </x:c>
      <x:c r="E29" s="8" t="str">
        <x:v>specimens</x:v>
      </x:c>
      <x:c r="F29" s="8" t="str">
        <x:v>statistical</x:v>
      </x:c>
      <x:c r="G29" s="8" t="str">
        <x:v>RAB-1</x:v>
      </x:c>
    </x:row>
    <x:row r="30" ht="28" customHeight="1">
      <x:c r="B30" s="8" t="str">
        <x:v>C24</x:v>
      </x:c>
      <x:c r="C30" s="9" t="str">
        <x:v>at-threshold positive population</x:v>
      </x:c>
      <x:c r="D30" s="12" t="n">
        <x:v>29</x:v>
      </x:c>
      <x:c r="E30" s="8" t="str">
        <x:v>presentations</x:v>
      </x:c>
      <x:c r="F30" s="8" t="str">
        <x:v>statistical</x:v>
      </x:c>
      <x:c r="G30" s="8" t="str">
        <x:v>RAB-1</x:v>
      </x:c>
    </x:row>
    <x:row r="31" ht="28" customHeight="1">
      <x:c r="B31" s="8" t="str">
        <x:v>C25</x:v>
      </x:c>
      <x:c r="C31" s="9" t="str">
        <x:v>negative population per defect cell</x:v>
      </x:c>
      <x:c r="D31" s="12" t="n">
        <x:v>58</x:v>
      </x:c>
      <x:c r="E31" s="8" t="str">
        <x:v>presentations</x:v>
      </x:c>
      <x:c r="F31" s="8" t="str">
        <x:v>statistical</x:v>
      </x:c>
      <x:c r="G31" s="8" t="str">
        <x:v>RAB-1</x:v>
      </x:c>
    </x:row>
    <x:row r="32" ht="28" customHeight="1">
      <x:c r="B32" s="8" t="str">
        <x:v>C26</x:v>
      </x:c>
      <x:c r="C32" s="9" t="str">
        <x:v>normal pressure cycles per article</x:v>
      </x:c>
      <x:c r="D32" s="12" t="n">
        <x:v>1000</x:v>
      </x:c>
      <x:c r="E32" s="8" t="str">
        <x:v>cycles</x:v>
      </x:c>
      <x:c r="F32" s="8" t="str">
        <x:v>design</x:v>
      </x:c>
      <x:c r="G32" s="8" t="str">
        <x:v>RAB-1</x:v>
      </x:c>
    </x:row>
    <x:row r="33" ht="28" customHeight="1">
      <x:c r="B33" s="8" t="str">
        <x:v>C27</x:v>
      </x:c>
      <x:c r="C33" s="9" t="str">
        <x:v>surge cycles per article</x:v>
      </x:c>
      <x:c r="D33" s="12" t="n">
        <x:v>50</x:v>
      </x:c>
      <x:c r="E33" s="8" t="str">
        <x:v>cycles</x:v>
      </x:c>
      <x:c r="F33" s="8" t="str">
        <x:v>design</x:v>
      </x:c>
      <x:c r="G33" s="8" t="str">
        <x:v>RAB-1</x:v>
      </x:c>
    </x:row>
    <x:row r="34" ht="28" customHeight="1">
      <x:c r="B34" s="8" t="str">
        <x:v>C28</x:v>
      </x:c>
      <x:c r="C34" s="9" t="str">
        <x:v>thermal cycles per article</x:v>
      </x:c>
      <x:c r="D34" s="12" t="n">
        <x:v>20</x:v>
      </x:c>
      <x:c r="E34" s="8" t="str">
        <x:v>cycles</x:v>
      </x:c>
      <x:c r="F34" s="8" t="str">
        <x:v>design</x:v>
      </x:c>
      <x:c r="G34" s="8" t="str">
        <x:v>RAB-1</x:v>
      </x:c>
    </x:row>
    <x:row r="35" ht="28" customHeight="1">
      <x:c r="B35" s="8" t="str">
        <x:v>C29</x:v>
      </x:c>
      <x:c r="C35" s="9" t="str">
        <x:v>drain cycles per article</x:v>
      </x:c>
      <x:c r="D35" s="12" t="n">
        <x:v>30</x:v>
      </x:c>
      <x:c r="E35" s="8" t="str">
        <x:v>cycles</x:v>
      </x:c>
      <x:c r="F35" s="8" t="str">
        <x:v>design</x:v>
      </x:c>
      <x:c r="G35" s="8" t="str">
        <x:v>RAB-1</x:v>
      </x:c>
    </x:row>
    <x:row r="36" ht="28" customHeight="1">
      <x:c r="B36" s="8" t="str">
        <x:v>C30</x:v>
      </x:c>
      <x:c r="C36" s="9" t="str">
        <x:v>BL-Y assembly cycles</x:v>
      </x:c>
      <x:c r="D36" s="12" t="n">
        <x:v>50</x:v>
      </x:c>
      <x:c r="E36" s="8" t="str">
        <x:v>cycles</x:v>
      </x:c>
      <x:c r="F36" s="8" t="str">
        <x:v>design</x:v>
      </x:c>
      <x:c r="G36" s="8" t="str">
        <x:v>RAB-1</x:v>
      </x:c>
    </x:row>
    <x:row r="37" ht="28" customHeight="1">
      <x:c r="B37" s="8" t="str">
        <x:v>C31</x:v>
      </x:c>
      <x:c r="C37" s="9" t="str">
        <x:v>liquid proof</x:v>
      </x:c>
      <x:c r="D37" s="12" t="n">
        <x:v>3</x:v>
      </x:c>
      <x:c r="E37" s="8" t="str">
        <x:v>MPa</x:v>
      </x:c>
      <x:c r="F37" s="8" t="str">
        <x:v>inherited</x:v>
      </x:c>
      <x:c r="G37" s="8" t="str">
        <x:v>RAC-1</x:v>
      </x:c>
    </x:row>
    <x:row r="38" ht="28" customHeight="1">
      <x:c r="B38" s="8" t="str">
        <x:v>C32</x:v>
      </x:c>
      <x:c r="C38" s="9" t="str">
        <x:v>structural design boundary</x:v>
      </x:c>
      <x:c r="D38" s="12" t="n">
        <x:v>2</x:v>
      </x:c>
      <x:c r="E38" s="8" t="str">
        <x:v>MPa</x:v>
      </x:c>
      <x:c r="F38" s="8" t="str">
        <x:v>inherited</x:v>
      </x:c>
      <x:c r="G38" s="8" t="str">
        <x:v>RAC-1</x:v>
      </x:c>
    </x:row>
    <x:row r="39" ht="28" customHeight="1">
      <x:c r="B39" s="8" t="str">
        <x:v>C33</x:v>
      </x:c>
      <x:c r="C39" s="9" t="str">
        <x:v>normal relief</x:v>
      </x:c>
      <x:c r="D39" s="12" t="n">
        <x:v>0.25</x:v>
      </x:c>
      <x:c r="E39" s="8" t="str">
        <x:v>MPa</x:v>
      </x:c>
      <x:c r="F39" s="8" t="str">
        <x:v>inherited</x:v>
      </x:c>
      <x:c r="G39" s="8" t="str">
        <x:v>RAC-1</x:v>
      </x:c>
    </x:row>
    <x:row r="40" ht="28" customHeight="1">
      <x:c r="B40" s="8" t="str">
        <x:v>C34</x:v>
      </x:c>
      <x:c r="C40" s="9" t="str">
        <x:v>instantaneous surge screen</x:v>
      </x:c>
      <x:c r="D40" s="12" t="n">
        <x:v>1.326</x:v>
      </x:c>
      <x:c r="E40" s="8" t="str">
        <x:v>MPa</x:v>
      </x:c>
      <x:c r="F40" s="8" t="str">
        <x:v>derived</x:v>
      </x:c>
      <x:c r="G40" s="8" t="str">
        <x:v>RAC-1</x:v>
      </x:c>
    </x:row>
    <x:row r="41" ht="28" customHeight="1">
      <x:c r="B41" s="8" t="str">
        <x:v>C35</x:v>
      </x:c>
      <x:c r="C41" s="9" t="str">
        <x:v>proof hold</x:v>
      </x:c>
      <x:c r="D41" s="12" t="n">
        <x:v>30</x:v>
      </x:c>
      <x:c r="E41" s="8" t="str">
        <x:v>minutes</x:v>
      </x:c>
      <x:c r="F41" s="8" t="str">
        <x:v>design</x:v>
      </x:c>
      <x:c r="G41" s="8" t="str">
        <x:v>RAB-1</x:v>
      </x:c>
    </x:row>
    <x:row r="42" ht="28" customHeight="1">
      <x:c r="B42" s="8" t="str">
        <x:v>C36</x:v>
      </x:c>
      <x:c r="C42" s="9" t="str">
        <x:v>proof leak limit</x:v>
      </x:c>
      <x:c r="D42" s="12" t="n">
        <x:v>0.005</x:v>
      </x:c>
      <x:c r="E42" s="8" t="str">
        <x:v>kg</x:v>
      </x:c>
      <x:c r="F42" s="8" t="str">
        <x:v>hypothesis</x:v>
      </x:c>
      <x:c r="G42" s="8" t="str">
        <x:v>RAB-1</x:v>
      </x:c>
    </x:row>
    <x:row r="43" ht="28" customHeight="1">
      <x:c r="B43" s="8" t="str">
        <x:v>C37</x:v>
      </x:c>
      <x:c r="C43" s="9" t="str">
        <x:v>proof leak expanded uncertainty</x:v>
      </x:c>
      <x:c r="D43" s="12" t="n">
        <x:v>0.00125</x:v>
      </x:c>
      <x:c r="E43" s="8" t="str">
        <x:v>kg</x:v>
      </x:c>
      <x:c r="F43" s="8" t="str">
        <x:v>measurement</x:v>
      </x:c>
      <x:c r="G43" s="8" t="str">
        <x:v>RAB-1</x:v>
      </x:c>
    </x:row>
    <x:row r="44" ht="28" customHeight="1">
      <x:c r="B44" s="8" t="str">
        <x:v>C38</x:v>
      </x:c>
      <x:c r="C44" s="9" t="str">
        <x:v>bore tolerance width</x:v>
      </x:c>
      <x:c r="D44" s="12" t="n">
        <x:v>0.1</x:v>
      </x:c>
      <x:c r="E44" s="8" t="str">
        <x:v>mm</x:v>
      </x:c>
      <x:c r="F44" s="8" t="str">
        <x:v>inherited</x:v>
      </x:c>
      <x:c r="G44" s="8" t="str">
        <x:v>RAC-1</x:v>
      </x:c>
    </x:row>
    <x:row r="45" ht="28" customHeight="1">
      <x:c r="B45" s="8" t="str">
        <x:v>C39</x:v>
      </x:c>
      <x:c r="C45" s="9" t="str">
        <x:v>bore expanded uncertainty</x:v>
      </x:c>
      <x:c r="D45" s="12" t="n">
        <x:v>0.0125</x:v>
      </x:c>
      <x:c r="E45" s="8" t="str">
        <x:v>mm</x:v>
      </x:c>
      <x:c r="F45" s="8" t="str">
        <x:v>measurement</x:v>
      </x:c>
      <x:c r="G45" s="8" t="str">
        <x:v>RAB-1</x:v>
      </x:c>
    </x:row>
    <x:row r="46" ht="28" customHeight="1">
      <x:c r="B46" s="8" t="str">
        <x:v>C40</x:v>
      </x:c>
      <x:c r="C46" s="9" t="str">
        <x:v>joint step ceiling</x:v>
      </x:c>
      <x:c r="D46" s="12" t="n">
        <x:v>0.1</x:v>
      </x:c>
      <x:c r="E46" s="8" t="str">
        <x:v>mm</x:v>
      </x:c>
      <x:c r="F46" s="8" t="str">
        <x:v>inherited</x:v>
      </x:c>
      <x:c r="G46" s="8" t="str">
        <x:v>RAC-1</x:v>
      </x:c>
    </x:row>
    <x:row r="47" ht="28" customHeight="1">
      <x:c r="B47" s="8" t="str">
        <x:v>C41</x:v>
      </x:c>
      <x:c r="C47" s="9" t="str">
        <x:v>step expanded uncertainty</x:v>
      </x:c>
      <x:c r="D47" s="12" t="n">
        <x:v>0.025</x:v>
      </x:c>
      <x:c r="E47" s="8" t="str">
        <x:v>mm</x:v>
      </x:c>
      <x:c r="F47" s="8" t="str">
        <x:v>measurement</x:v>
      </x:c>
      <x:c r="G47" s="8" t="str">
        <x:v>RAB-1</x:v>
      </x:c>
    </x:row>
    <x:row r="48" ht="28" customHeight="1">
      <x:c r="B48" s="8" t="str">
        <x:v>C42</x:v>
      </x:c>
      <x:c r="C48" s="9" t="str">
        <x:v>drained residual ceiling</x:v>
      </x:c>
      <x:c r="D48" s="12" t="n">
        <x:v>0.2</x:v>
      </x:c>
      <x:c r="E48" s="8" t="str">
        <x:v>kg</x:v>
      </x:c>
      <x:c r="F48" s="8" t="str">
        <x:v>inherited</x:v>
      </x:c>
      <x:c r="G48" s="8" t="str">
        <x:v>RAC-1</x:v>
      </x:c>
    </x:row>
    <x:row r="49" ht="28" customHeight="1">
      <x:c r="B49" s="8" t="str">
        <x:v>C43</x:v>
      </x:c>
      <x:c r="C49" s="9" t="str">
        <x:v>residual expanded uncertainty</x:v>
      </x:c>
      <x:c r="D49" s="12" t="n">
        <x:v>0.05</x:v>
      </x:c>
      <x:c r="E49" s="8" t="str">
        <x:v>kg</x:v>
      </x:c>
      <x:c r="F49" s="8" t="str">
        <x:v>measurement</x:v>
      </x:c>
      <x:c r="G49" s="8" t="str">
        <x:v>RAB-1</x:v>
      </x:c>
    </x:row>
    <x:row r="50" ht="28" customHeight="1">
      <x:c r="B50" s="8" t="str">
        <x:v>C44</x:v>
      </x:c>
      <x:c r="C50" s="9" t="str">
        <x:v>cold state</x:v>
      </x:c>
      <x:c r="D50" s="12" t="n">
        <x:v>-20</x:v>
      </x:c>
      <x:c r="E50" s="8" t="str">
        <x:v>deg C</x:v>
      </x:c>
      <x:c r="F50" s="8" t="str">
        <x:v>inherited</x:v>
      </x:c>
      <x:c r="G50" s="8" t="str">
        <x:v>RAC-1</x:v>
      </x:c>
    </x:row>
    <x:row r="51" ht="28" customHeight="1">
      <x:c r="B51" s="8" t="str">
        <x:v>C45</x:v>
      </x:c>
      <x:c r="C51" s="9" t="str">
        <x:v>hot state</x:v>
      </x:c>
      <x:c r="D51" s="12" t="n">
        <x:v>50</x:v>
      </x:c>
      <x:c r="E51" s="8" t="str">
        <x:v>deg C</x:v>
      </x:c>
      <x:c r="F51" s="8" t="str">
        <x:v>inherited</x:v>
      </x:c>
      <x:c r="G51" s="8" t="str">
        <x:v>RAC-1</x:v>
      </x:c>
    </x:row>
    <x:row r="52" ht="28" customHeight="1">
      <x:c r="B52" s="8" t="str">
        <x:v>C46</x:v>
      </x:c>
      <x:c r="C52" s="9" t="str">
        <x:v>detection lower bound minimum</x:v>
      </x:c>
      <x:c r="D52" s="12" t="n">
        <x:v>0.9</x:v>
      </x:c>
      <x:c r="E52" s="8" t="str">
        <x:v>fraction</x:v>
      </x:c>
      <x:c r="F52" s="8" t="str">
        <x:v>decision</x:v>
      </x:c>
      <x:c r="G52" s="8" t="str">
        <x:v>RAB-1</x:v>
      </x:c>
    </x:row>
    <x:row r="53" ht="28" customHeight="1">
      <x:c r="B53" s="8" t="str">
        <x:v>C47</x:v>
      </x:c>
      <x:c r="C53" s="9" t="str">
        <x:v>false-reject upper bound maximum</x:v>
      </x:c>
      <x:c r="D53" s="12" t="n">
        <x:v>0.06</x:v>
      </x:c>
      <x:c r="E53" s="8" t="str">
        <x:v>fraction</x:v>
      </x:c>
      <x:c r="F53" s="8" t="str">
        <x:v>decision</x:v>
      </x:c>
      <x:c r="G53" s="8" t="str">
        <x:v>RAB-1</x:v>
      </x:c>
    </x:row>
    <x:row r="54" ht="28" customHeight="1">
      <x:c r="B54" s="8" t="str">
        <x:v>C48</x:v>
      </x:c>
      <x:c r="C54" s="9" t="str">
        <x:v>process-failure upper bound maximum</x:v>
      </x:c>
      <x:c r="D54" s="12" t="n">
        <x:v>0.05</x:v>
      </x:c>
      <x:c r="E54" s="8" t="str">
        <x:v>fraction</x:v>
      </x:c>
      <x:c r="F54" s="8" t="str">
        <x:v>decision</x:v>
      </x:c>
      <x:c r="G54" s="8" t="str">
        <x:v>RAB-1</x:v>
      </x:c>
    </x:row>
    <x:row r="55" ht="28" customHeight="1">
      <x:c r="B55" s="8" t="str">
        <x:v>C49</x:v>
      </x:c>
      <x:c r="C55" s="9" t="str">
        <x:v>gage R&amp;R maximum</x:v>
      </x:c>
      <x:c r="D55" s="12" t="n">
        <x:v>0.1</x:v>
      </x:c>
      <x:c r="E55" s="8" t="str">
        <x:v>fraction</x:v>
      </x:c>
      <x:c r="F55" s="8" t="str">
        <x:v>decision</x:v>
      </x:c>
      <x:c r="G55" s="8" t="str">
        <x:v>RAB-1</x:v>
      </x:c>
    </x:row>
    <x:row r="56" ht="28" customHeight="1">
      <x:c r="B56" s="8" t="str">
        <x:v>C50</x:v>
      </x:c>
      <x:c r="C56" s="9" t="str">
        <x:v>test uncertainty ratio minimum</x:v>
      </x:c>
      <x:c r="D56" s="12" t="n">
        <x:v>4</x:v>
      </x:c>
      <x:c r="E56" s="8" t="str">
        <x:v>ratio</x:v>
      </x:c>
      <x:c r="F56" s="8" t="str">
        <x:v>decision</x:v>
      </x:c>
      <x:c r="G56" s="8" t="str">
        <x:v>RAB-1</x:v>
      </x:c>
    </x:row>
    <x:row r="57" ht="28" customHeight="1">
      <x:c r="B57" s="8" t="str">
        <x:v>C51</x:v>
      </x:c>
      <x:c r="C57" s="9" t="str">
        <x:v>facility ready fraction</x:v>
      </x:c>
      <x:c r="D57" s="12" t="n">
        <x:v>0.65</x:v>
      </x:c>
      <x:c r="E57" s="8" t="str">
        <x:v>fraction</x:v>
      </x:c>
      <x:c r="F57" s="8" t="str">
        <x:v>capacity</x:v>
      </x:c>
      <x:c r="G57" s="8" t="str">
        <x:v>RAB-1</x:v>
      </x:c>
    </x:row>
    <x:row r="58" ht="28" customHeight="1">
      <x:c r="B58" s="8" t="str">
        <x:v>C52</x:v>
      </x:c>
      <x:c r="C58" s="9" t="str">
        <x:v>work days per year</x:v>
      </x:c>
      <x:c r="D58" s="12" t="n">
        <x:v>220</x:v>
      </x:c>
      <x:c r="E58" s="8" t="str">
        <x:v>days</x:v>
      </x:c>
      <x:c r="F58" s="8" t="str">
        <x:v>capacity</x:v>
      </x:c>
      <x:c r="G58" s="8" t="str">
        <x:v>RAB-1</x:v>
      </x:c>
    </x:row>
    <x:row r="59" ht="28" customHeight="1">
      <x:c r="B59" s="8" t="str">
        <x:v>C53</x:v>
      </x:c>
      <x:c r="C59" s="9" t="str">
        <x:v>campaign months</x:v>
      </x:c>
      <x:c r="D59" s="12" t="n">
        <x:v>18</x:v>
      </x:c>
      <x:c r="E59" s="8" t="str">
        <x:v>months</x:v>
      </x:c>
      <x:c r="F59" s="8" t="str">
        <x:v>schedule</x:v>
      </x:c>
      <x:c r="G59" s="8" t="str">
        <x:v>RAB-1</x:v>
      </x:c>
    </x:row>
    <x:row r="60" ht="28" customHeight="1">
      <x:c r="B60" s="8" t="str">
        <x:v>C54</x:v>
      </x:c>
      <x:c r="C60" s="9" t="str">
        <x:v>peak assigned positions</x:v>
      </x:c>
      <x:c r="D60" s="12" t="n">
        <x:v>218</x:v>
      </x:c>
      <x:c r="E60" s="8" t="str">
        <x:v>positions</x:v>
      </x:c>
      <x:c r="F60" s="8" t="str">
        <x:v>organization</x:v>
      </x:c>
      <x:c r="G60" s="8" t="str">
        <x:v>RAB-1</x:v>
      </x:c>
    </x:row>
    <x:row r="61" ht="28" customHeight="1">
      <x:c r="B61" s="8" t="str">
        <x:v>C55</x:v>
      </x:c>
      <x:c r="C61" s="9" t="str">
        <x:v>capital</x:v>
      </x:c>
      <x:c r="D61" s="12" t="n">
        <x:v>118</x:v>
      </x:c>
      <x:c r="E61" s="8" t="str">
        <x:v>USD M</x:v>
      </x:c>
      <x:c r="F61" s="8" t="str">
        <x:v>finance</x:v>
      </x:c>
      <x:c r="G61" s="8" t="str">
        <x:v>RAB-1</x:v>
      </x:c>
    </x:row>
    <x:row r="62" ht="28" customHeight="1">
      <x:c r="B62" s="8" t="str">
        <x:v>C56</x:v>
      </x:c>
      <x:c r="C62" s="9" t="str">
        <x:v>annual support</x:v>
      </x:c>
      <x:c r="D62" s="12" t="n">
        <x:v>58</x:v>
      </x:c>
      <x:c r="E62" s="8" t="str">
        <x:v>USD M/year</x:v>
      </x:c>
      <x:c r="F62" s="8" t="str">
        <x:v>finance</x:v>
      </x:c>
      <x:c r="G62" s="8" t="str">
        <x:v>RAB-1</x:v>
      </x:c>
    </x:row>
    <x:row r="63" ht="28" customHeight="1">
      <x:c r="B63" s="8" t="str">
        <x:v>C57</x:v>
      </x:c>
      <x:c r="C63" s="9" t="str">
        <x:v>RAP-1 capital boundary</x:v>
      </x:c>
      <x:c r="D63" s="12" t="n">
        <x:v>248</x:v>
      </x:c>
      <x:c r="E63" s="8" t="str">
        <x:v>USD M</x:v>
      </x:c>
      <x:c r="F63" s="8" t="str">
        <x:v>finance</x:v>
      </x:c>
      <x:c r="G63" s="8" t="str">
        <x:v>RAP-1</x:v>
      </x:c>
    </x:row>
    <x:row r="64" ht="28" customHeight="1">
      <x:c r="B64" s="8" t="str">
        <x:v>C58</x:v>
      </x:c>
      <x:c r="C64" s="9" t="str">
        <x:v>RAP-1 annual boundary</x:v>
      </x:c>
      <x:c r="D64" s="12" t="n">
        <x:v>112</x:v>
      </x:c>
      <x:c r="E64" s="8" t="str">
        <x:v>USD M/year</x:v>
      </x:c>
      <x:c r="F64" s="8" t="str">
        <x:v>finance</x:v>
      </x:c>
      <x:c r="G64" s="8" t="str">
        <x:v>RAP-1</x:v>
      </x:c>
    </x:row>
    <x:row r="65" ht="28" customHeight="1">
      <x:c r="B65" s="8" t="str">
        <x:v>C59</x:v>
      </x:c>
      <x:c r="C65" s="9" t="str">
        <x:v>RAC-1 capital allocation</x:v>
      </x:c>
      <x:c r="D65" s="12" t="n">
        <x:v>64</x:v>
      </x:c>
      <x:c r="E65" s="8" t="str">
        <x:v>USD M</x:v>
      </x:c>
      <x:c r="F65" s="8" t="str">
        <x:v>finance</x:v>
      </x:c>
      <x:c r="G65" s="8" t="str">
        <x:v>RAC-1</x:v>
      </x:c>
    </x:row>
    <x:row r="66" ht="28" customHeight="1">
      <x:c r="B66" s="8" t="str">
        <x:v>C60</x:v>
      </x:c>
      <x:c r="C66" s="9" t="str">
        <x:v>RAC-1 annual allocation</x:v>
      </x:c>
      <x:c r="D66" s="12" t="n">
        <x:v>38</x:v>
      </x:c>
      <x:c r="E66" s="8" t="str">
        <x:v>USD M/year</x:v>
      </x:c>
      <x:c r="F66" s="8" t="str">
        <x:v>finance</x:v>
      </x:c>
      <x:c r="G66" s="8" t="str">
        <x:v>RAC-1</x:v>
      </x:c>
    </x:row>
    <x:row r="67" ht="28" customHeight="1">
      <x:c r="B67" s="8" t="str">
        <x:v>C61</x:v>
      </x:c>
      <x:c r="C67" s="9" t="str">
        <x:v>RAP-1 technology boundary</x:v>
      </x:c>
      <x:c r="D67" s="12" t="n">
        <x:v>310</x:v>
      </x:c>
      <x:c r="E67" s="8" t="str">
        <x:v>USD M</x:v>
      </x:c>
      <x:c r="F67" s="8" t="str">
        <x:v>finance</x:v>
      </x:c>
      <x:c r="G67" s="8" t="str">
        <x:v>RAP-1</x:v>
      </x:c>
    </x:row>
    <x:row r="68" ht="28" customHeight="1">
      <x:c r="B68" s="8" t="str">
        <x:v>C62</x:v>
      </x:c>
      <x:c r="C68" s="9" t="str">
        <x:v>RAB-1 technology mapping</x:v>
      </x:c>
      <x:c r="D68" s="12" t="n">
        <x:v>180</x:v>
      </x:c>
      <x:c r="E68" s="8" t="str">
        <x:v>USD M</x:v>
      </x:c>
      <x:c r="F68" s="8" t="str">
        <x:v>finance</x:v>
      </x:c>
      <x:c r="G68" s="8" t="str">
        <x:v>RAB-1</x:v>
      </x:c>
    </x:row>
    <x:row r="69" ht="28" customHeight="1">
      <x:c r="B69" s="8" t="str">
        <x:v>C63</x:v>
      </x:c>
      <x:c r="C69" s="9" t="str">
        <x:v>technology mapping inherited from RAC-1</x:v>
      </x:c>
      <x:c r="D69" s="12" t="n">
        <x:v>125</x:v>
      </x:c>
      <x:c r="E69" s="8" t="str">
        <x:v>USD M</x:v>
      </x:c>
      <x:c r="F69" s="8" t="str">
        <x:v>finance</x:v>
      </x:c>
      <x:c r="G69" s="8" t="str">
        <x:v>RAC-1</x:v>
      </x:c>
    </x:row>
    <x:row r="70" ht="28" customHeight="1">
      <x:c r="B70" s="8" t="str">
        <x:v>C64</x:v>
      </x:c>
      <x:c r="C70" s="9" t="str">
        <x:v>net portfolio extension</x:v>
      </x:c>
      <x:c r="D70" s="12" t="n">
        <x:v>0</x:v>
      </x:c>
      <x:c r="E70" s="8" t="str">
        <x:v>USD M</x:v>
      </x:c>
      <x:c r="F70" s="8" t="str">
        <x:v>finance</x:v>
      </x:c>
      <x:c r="G70" s="8" t="str">
        <x:v>RAB-1</x:v>
      </x:c>
    </x:row>
    <x:row r="71" ht="28" customHeight="1">
      <x:c r="B71" s="8" t="str">
        <x:v>C65</x:v>
      </x:c>
      <x:c r="C71" s="9" t="str">
        <x:v>development article release authority</x:v>
      </x:c>
      <x:c r="D71" s="12" t="n">
        <x:v>0</x:v>
      </x:c>
      <x:c r="E71" s="8" t="str">
        <x:v>binary</x:v>
      </x:c>
      <x:c r="F71" s="8" t="str">
        <x:v>authority</x:v>
      </x:c>
      <x:c r="G71" s="8" t="str">
        <x:v>public board</x:v>
      </x:c>
    </x:row>
    <x:row r="72" ht="28" customHeight="1">
      <x:c r="B72" s="8" t="str">
        <x:v>C66</x:v>
      </x:c>
      <x:c r="C72" s="9" t="str">
        <x:v>production-equivalent lot authority</x:v>
      </x:c>
      <x:c r="D72" s="12" t="n">
        <x:v>0</x:v>
      </x:c>
      <x:c r="E72" s="8" t="str">
        <x:v>binary</x:v>
      </x:c>
      <x:c r="F72" s="8" t="str">
        <x:v>authority</x:v>
      </x:c>
      <x:c r="G72" s="8" t="str">
        <x:v>public board</x:v>
      </x:c>
    </x:row>
    <x:row r="73" ht="28" customHeight="1">
      <x:c r="B73" s="8" t="str">
        <x:v>C67</x:v>
      </x:c>
      <x:c r="C73" s="9" t="str">
        <x:v>RAP-1 physical campaign authority</x:v>
      </x:c>
      <x:c r="D73" s="12" t="n">
        <x:v>0</x:v>
      </x:c>
      <x:c r="E73" s="8" t="str">
        <x:v>binary</x:v>
      </x:c>
      <x:c r="F73" s="8" t="str">
        <x:v>authority</x:v>
      </x:c>
      <x:c r="G73" s="8" t="str">
        <x:v>public board</x:v>
      </x:c>
    </x:row>
    <x:row r="74" ht="28" customHeight="1">
      <x:c r="B74" s="8" t="str">
        <x:v>C68</x:v>
      </x:c>
      <x:c r="C74" s="9" t="str">
        <x:v>source-entry authority</x:v>
      </x:c>
      <x:c r="D74" s="12" t="n">
        <x:v>0</x:v>
      </x:c>
      <x:c r="E74" s="8" t="str">
        <x:v>binary</x:v>
      </x:c>
      <x:c r="F74" s="8" t="str">
        <x:v>authority</x:v>
      </x:c>
      <x:c r="G74" s="8" t="str">
        <x:v>event issuer</x:v>
      </x:c>
    </x:row>
    <x:row r="75" ht="28" customHeight="1">
      <x:c r="B75" s="8" t="str">
        <x:v>C69</x:v>
      </x:c>
      <x:c r="C75" s="9" t="str">
        <x:v>exterior-rendering authority</x:v>
      </x:c>
      <x:c r="D75" s="12" t="n">
        <x:v>0</x:v>
      </x:c>
      <x:c r="E75" s="8" t="str">
        <x:v>binary</x:v>
      </x:c>
      <x:c r="F75" s="8" t="str">
        <x:v>authority</x:v>
      </x:c>
      <x:c r="G75" s="8" t="str">
        <x:v>candidate board</x:v>
      </x:c>
    </x:row>
    <x:row r="76" ht="28" customHeight="1">
      <x:c r="B76" s="8" t="str">
        <x:v>C70</x:v>
      </x:c>
      <x:c r="C76" s="9" t="str">
        <x:v>article gates required</x:v>
      </x:c>
      <x:c r="D76" s="12" t="n">
        <x:v>18</x:v>
      </x:c>
      <x:c r="E76" s="8" t="str">
        <x:v>gates</x:v>
      </x:c>
      <x:c r="F76" s="8" t="str">
        <x:v>decision</x:v>
      </x:c>
      <x:c r="G76" s="8" t="str">
        <x:v>RAB-1</x:v>
      </x:c>
    </x:row>
    <x:row r="77" ht="28" customHeight="1">
      <x:c r="B77" s="8" t="str">
        <x:v>C71</x:v>
      </x:c>
      <x:c r="C77" s="9" t="str">
        <x:v>outside build teams</x:v>
      </x:c>
      <x:c r="D77" s="12" t="n">
        <x:v>2</x:v>
      </x:c>
      <x:c r="E77" s="8" t="str">
        <x:v>teams</x:v>
      </x:c>
      <x:c r="F77" s="8" t="str">
        <x:v>design</x:v>
      </x:c>
      <x:c r="G77" s="8" t="str">
        <x:v>RAB-1</x:v>
      </x:c>
    </x:row>
    <x:row r="78" ht="28" customHeight="1">
      <x:c r="B78" s="8" t="str">
        <x:v>C72</x:v>
      </x:c>
      <x:c r="C78" s="9" t="str">
        <x:v>independent replay teams</x:v>
      </x:c>
      <x:c r="D78" s="12" t="n">
        <x:v>2</x:v>
      </x:c>
      <x:c r="E78" s="8" t="str">
        <x:v>teams</x:v>
      </x:c>
      <x:c r="F78" s="8" t="str">
        <x:v>design</x:v>
      </x:c>
      <x:c r="G78" s="8" t="str">
        <x:v>RAB-1</x:v>
      </x:c>
    </x:row>
    <x:row r="79" ht="28" customHeight="1">
      <x:c r="B79" s="8" t="str">
        <x:v>C73</x:v>
      </x:c>
      <x:c r="C79" s="9" t="str">
        <x:v>bore reference</x:v>
      </x:c>
      <x:c r="D79" s="12" t="n">
        <x:v>40</x:v>
      </x:c>
      <x:c r="E79" s="8" t="str">
        <x:v>mm</x:v>
      </x:c>
      <x:c r="F79" s="8" t="str">
        <x:v>inherited</x:v>
      </x:c>
      <x:c r="G79" s="8" t="str">
        <x:v>RAC-1</x:v>
      </x:c>
    </x:row>
    <x:row r="80" ht="28" customHeight="1">
      <x:c r="B80" s="8" t="str">
        <x:v>C74</x:v>
      </x:c>
      <x:c r="C80" s="9" t="str">
        <x:v>deployed path</x:v>
      </x:c>
      <x:c r="D80" s="12" t="n">
        <x:v>12</x:v>
      </x:c>
      <x:c r="E80" s="8" t="str">
        <x:v>m</x:v>
      </x:c>
      <x:c r="F80" s="8" t="str">
        <x:v>inherited</x:v>
      </x:c>
      <x:c r="G80" s="8" t="str">
        <x:v>RAC-1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>
      <x:pane xSplit="2" ySplit="6" topLeftCell="C7" activePane="bottomRight" state="frozen"/>
    </x:sheetView>
  </x:sheetViews>
  <x:sheetFormatPr defaultRowHeight="15"/>
  <x:cols>
    <x:col min="2" max="2" width="14" hidden="0" customWidth="1"/>
    <x:col min="3" max="3" width="86" hidden="0" customWidth="1"/>
    <x:col min="4" max="4" width="60" hidden="0" customWidth="1"/>
    <x:col min="5" max="5" width="18" hidden="0" customWidth="1"/>
  </x:cols>
  <x:sheetData>
    <x:row r="2">
      <x:c r="B2" s="44" t="str">
        <x:v>Twelve qualification questions</x:v>
      </x:c>
      <x:c r="C2" s="45"/>
      <x:c r="D2" s="45"/>
      <x:c r="E2" s="45"/>
    </x:row>
    <x:row r="3">
      <x:c r="B3" s="46" t="str">
        <x:v>The campaign is designed to falsify construction claims. It cannot establish fleet reliability or service life.</x:v>
      </x:c>
      <x:c r="C3" s="45"/>
      <x:c r="D3" s="45"/>
      <x:c r="E3" s="45"/>
    </x:row>
    <x:row r="4">
      <x:c r="B4" s="45"/>
      <x:c r="C4" s="45"/>
      <x:c r="D4" s="45"/>
      <x:c r="E4" s="45"/>
    </x:row>
    <x:row r="5">
      <x:c r="B5" s="45"/>
      <x:c r="C5" s="45"/>
      <x:c r="D5" s="45"/>
      <x:c r="E5" s="45"/>
    </x:row>
    <x:row r="6" ht="25" customHeight="1">
      <x:c r="B6" s="6" t="str">
        <x:v>Question</x:v>
      </x:c>
      <x:c r="C6" s="6" t="str">
        <x:v>Research question</x:v>
      </x:c>
      <x:c r="D6" s="6" t="str">
        <x:v>Primary evidence</x:v>
      </x:c>
      <x:c r="E6" s="6" t="str">
        <x:v>Domain</x:v>
      </x:c>
    </x:row>
    <x:row r="7" ht="48" customHeight="1">
      <x:c r="B7" s="8" t="str">
        <x:v>RQ-01</x:v>
      </x:c>
      <x:c r="C7" s="9" t="str">
        <x:v>Can two unlike joint lineages be built from a common public definition without hidden supplier interpretation?</x:v>
      </x:c>
      <x:c r="D7" s="9" t="str">
        <x:v>independent crews and complete travelers</x:v>
      </x:c>
      <x:c r="E7" s="8" t="str">
        <x:v>construction transfer</x:v>
      </x:c>
    </x:row>
    <x:row r="8" ht="48" customHeight="1">
      <x:c r="B8" s="8" t="str">
        <x:v>RQ-02</x:v>
      </x:c>
      <x:c r="C8" s="9" t="str">
        <x:v>Can the measurement system resolve bore, step, leak, residual, work and energy limits before judging hardware?</x:v>
      </x:c>
      <x:c r="D8" s="9" t="str">
        <x:v>gage R&amp;R and uncertainty budgets</x:v>
      </x:c>
      <x:c r="E8" s="8" t="str">
        <x:v>measurement</x:v>
      </x:c>
    </x:row>
    <x:row r="9" ht="48" customHeight="1">
      <x:c r="B9" s="8" t="str">
        <x:v>RQ-03</x:v>
      </x:c>
      <x:c r="C9" s="9" t="str">
        <x:v>Which process-window corners create unacceptable joint or surface states?</x:v>
      </x:c>
      <x:c r="D9" s="9" t="str">
        <x:v>blocked four-factor experiments</x:v>
      </x:c>
      <x:c r="E9" s="8" t="str">
        <x:v>mechanism</x:v>
      </x:c>
    </x:row>
    <x:row r="10" ht="48" customHeight="1">
      <x:c r="B10" s="8" t="str">
        <x:v>RQ-04</x:v>
      </x:c>
      <x:c r="C10" s="9" t="str">
        <x:v>Can blinded inspection distinguish at-threshold defects from below-threshold and clean specimens?</x:v>
      </x:c>
      <x:c r="D10" s="9" t="str">
        <x:v>twelve lineage-defect cells</x:v>
      </x:c>
      <x:c r="E10" s="8" t="str">
        <x:v>detection</x:v>
      </x:c>
    </x:row>
    <x:row r="11" ht="48" customHeight="1">
      <x:c r="B11" s="8" t="str">
        <x:v>RQ-05</x:v>
      </x:c>
      <x:c r="C11" s="9" t="str">
        <x:v>Does BL-X retain acceptable roots after heat, pressure and thermal exposure?</x:v>
      </x:c>
      <x:c r="D11" s="9" t="str">
        <x:v>process records, NDE and terminal sectioning</x:v>
      </x:c>
      <x:c r="E11" s="8" t="str">
        <x:v>BL-X</x:v>
      </x:c>
    </x:row>
    <x:row r="12" ht="48" customHeight="1">
      <x:c r="B12" s="8" t="str">
        <x:v>RQ-06</x:v>
      </x:c>
      <x:c r="C12" s="9" t="str">
        <x:v>Does BL-Y retain preload, barrier separation and bore state through repeated assembly?</x:v>
      </x:c>
      <x:c r="D12" s="9" t="str">
        <x:v>preload history, interspace tests and terminal sectioning</x:v>
      </x:c>
      <x:c r="E12" s="8" t="str">
        <x:v>BL-Y</x:v>
      </x:c>
    </x:row>
    <x:row r="13" ht="48" customHeight="1">
      <x:c r="B13" s="8" t="str">
        <x:v>RQ-07</x:v>
      </x:c>
      <x:c r="C13" s="9" t="str">
        <x:v>Do both articles remain inside geometry, pressure, drain and safeing boundaries after integrated exposure?</x:v>
      </x:c>
      <x:c r="D13" s="9" t="str">
        <x:v>two complete development articles</x:v>
      </x:c>
      <x:c r="E13" s="8" t="str">
        <x:v>integration</x:v>
      </x:c>
    </x:row>
    <x:row r="14" ht="48" customHeight="1">
      <x:c r="B14" s="8" t="str">
        <x:v>RQ-08</x:v>
      </x:c>
      <x:c r="C14" s="9" t="str">
        <x:v>Can failure evidence survive the action that makes the article safe?</x:v>
      </x:c>
      <x:c r="D14" s="9" t="str">
        <x:v>independent power, time and two native originals</x:v>
      </x:c>
      <x:c r="E14" s="8" t="str">
        <x:v>evidence</x:v>
      </x:c>
    </x:row>
    <x:row r="15" ht="48" customHeight="1">
      <x:c r="B15" s="8" t="str">
        <x:v>RQ-09</x:v>
      </x:c>
      <x:c r="C15" s="9" t="str">
        <x:v>Can a repair preserve the failed configuration rather than rewrite its ancestry?</x:v>
      </x:c>
      <x:c r="D15" s="9" t="str">
        <x:v>quarantine and branch law</x:v>
      </x:c>
      <x:c r="E15" s="8" t="str">
        <x:v>configuration</x:v>
      </x:c>
    </x:row>
    <x:row r="16" ht="48" customHeight="1">
      <x:c r="B16" s="8" t="str">
        <x:v>RQ-10</x:v>
      </x:c>
      <x:c r="C16" s="9" t="str">
        <x:v>Can an outside team reconstruct the build and findings from released public records?</x:v>
      </x:c>
      <x:c r="D16" s="9" t="str">
        <x:v>blind replay and independent section review</x:v>
      </x:c>
      <x:c r="E16" s="8" t="str">
        <x:v>reproduction</x:v>
      </x:c>
    </x:row>
    <x:row r="17" ht="48" customHeight="1">
      <x:c r="B17" s="8" t="str">
        <x:v>RQ-11</x:v>
      </x:c>
      <x:c r="C17" s="9" t="str">
        <x:v>What claim is statistically supported by the population, and what remains unmeasured?</x:v>
      </x:c>
      <x:c r="D17" s="9" t="str">
        <x:v>one-sided exact bounds and explicit exclusions</x:v>
      </x:c>
      <x:c r="E17" s="8" t="str">
        <x:v>inference</x:v>
      </x:c>
    </x:row>
    <x:row r="18" ht="48" customHeight="1">
      <x:c r="B18" s="8" t="str">
        <x:v>RQ-12</x:v>
      </x:c>
      <x:c r="C18" s="9" t="str">
        <x:v>Is the first production-equivalent article lot ready to begin?</x:v>
      </x:c>
      <x:c r="D18" s="9" t="str">
        <x:v>eighteen gates per lineage article</x:v>
      </x:c>
      <x:c r="E18" s="8" t="str">
        <x:v>decision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>
      <x:pane xSplit="2" ySplit="6" topLeftCell="C7" activePane="bottomRight" state="frozen"/>
    </x:sheetView>
  </x:sheetViews>
  <x:sheetFormatPr defaultRowHeight="15"/>
  <x:cols>
    <x:col min="2" max="2" width="14" hidden="0" customWidth="1"/>
    <x:col min="3" max="3" width="28" hidden="0" customWidth="1"/>
    <x:col min="4" max="4" width="20" hidden="0" customWidth="1"/>
    <x:col min="5" max="5" width="75" hidden="0" customWidth="1"/>
    <x:col min="6" max="6" width="51" hidden="0" customWidth="1"/>
  </x:cols>
  <x:sheetData>
    <x:row r="2">
      <x:c r="B2" s="44" t="str">
        <x:v>Claim classes and prohibited extrapolations</x:v>
      </x:c>
      <x:c r="C2" s="45"/>
      <x:c r="D2" s="45"/>
      <x:c r="E2" s="45"/>
      <x:c r="F2" s="45"/>
    </x:row>
    <x:row r="3">
      <x:c r="B3" s="46" t="str">
        <x:v>Every conclusion names its object, population, configuration, exposure and excluded inference.</x:v>
      </x:c>
      <x:c r="C3" s="45"/>
      <x:c r="D3" s="45"/>
      <x:c r="E3" s="45"/>
      <x:c r="F3" s="45"/>
    </x:row>
    <x:row r="4">
      <x:c r="B4" s="45"/>
      <x:c r="C4" s="45"/>
      <x:c r="D4" s="45"/>
      <x:c r="E4" s="45"/>
      <x:c r="F4" s="45"/>
    </x:row>
    <x:row r="5">
      <x:c r="B5" s="45"/>
      <x:c r="C5" s="45"/>
      <x:c r="D5" s="45"/>
      <x:c r="E5" s="45"/>
      <x:c r="F5" s="45"/>
    </x:row>
    <x:row r="6" ht="25" customHeight="1">
      <x:c r="B6" s="6" t="str">
        <x:v>Boundary</x:v>
      </x:c>
      <x:c r="C6" s="6" t="str">
        <x:v>Claim</x:v>
      </x:c>
      <x:c r="D6" s="6" t="str">
        <x:v>Availability</x:v>
      </x:c>
      <x:c r="E6" s="6" t="str">
        <x:v>Permitted statement</x:v>
      </x:c>
      <x:c r="F6" s="6" t="str">
        <x:v>Explicit exclusion</x:v>
      </x:c>
    </x:row>
    <x:row r="7" ht="48" customHeight="1">
      <x:c r="B7" s="8" t="str">
        <x:v>CB-01</x:v>
      </x:c>
      <x:c r="C7" s="8" t="str">
        <x:v>measurement capability</x:v>
      </x:c>
      <x:c r="D7" s="8" t="str">
        <x:v>may establish</x:v>
      </x:c>
      <x:c r="E7" s="9" t="str">
        <x:v>the named instrument chain resolves the decision interval in the commissioned fixture</x:v>
      </x:c>
      <x:c r="F7" s="9" t="str">
        <x:v>no transfer to another fixture or range</x:v>
      </x:c>
    </x:row>
    <x:row r="8" ht="48" customHeight="1">
      <x:c r="B8" s="8" t="str">
        <x:v>CB-02</x:v>
      </x:c>
      <x:c r="C8" s="8" t="str">
        <x:v>process-window screen</x:v>
      </x:c>
      <x:c r="D8" s="8" t="str">
        <x:v>may establish</x:v>
      </x:c>
      <x:c r="E8" s="9" t="str">
        <x:v>registered specimens completed the declared process and destructive screen</x:v>
      </x:c>
      <x:c r="F8" s="9" t="str">
        <x:v>no production yield claim</x:v>
      </x:c>
    </x:row>
    <x:row r="9" ht="48" customHeight="1">
      <x:c r="B9" s="8" t="str">
        <x:v>CB-03</x:v>
      </x:c>
      <x:c r="C9" s="8" t="str">
        <x:v>defect discrimination</x:v>
      </x:c>
      <x:c r="D9" s="8" t="str">
        <x:v>may establish</x:v>
      </x:c>
      <x:c r="E9" s="9" t="str">
        <x:v>the inspection method met the declared cell-specific bounds</x:v>
      </x:c>
      <x:c r="F9" s="9" t="str">
        <x:v>no pooling across lineage or defect family</x:v>
      </x:c>
    </x:row>
    <x:row r="10" ht="48" customHeight="1">
      <x:c r="B10" s="8" t="str">
        <x:v>CB-04</x:v>
      </x:c>
      <x:c r="C10" s="8" t="str">
        <x:v>article integration</x:v>
      </x:c>
      <x:c r="D10" s="8" t="str">
        <x:v>may establish</x:v>
      </x:c>
      <x:c r="E10" s="9" t="str">
        <x:v>a serialized development article completed the registered integrated exposure</x:v>
      </x:c>
      <x:c r="F10" s="9" t="str">
        <x:v>no service-life claim</x:v>
      </x:c>
    </x:row>
    <x:row r="11" ht="48" customHeight="1">
      <x:c r="B11" s="8" t="str">
        <x:v>CB-05</x:v>
      </x:c>
      <x:c r="C11" s="8" t="str">
        <x:v>destructive correlation</x:v>
      </x:c>
      <x:c r="D11" s="8" t="str">
        <x:v>may establish</x:v>
      </x:c>
      <x:c r="E11" s="9" t="str">
        <x:v>NDE indications correspond to the committed physical sections</x:v>
      </x:c>
      <x:c r="F11" s="9" t="str">
        <x:v>no uncut region inference</x:v>
      </x:c>
    </x:row>
    <x:row r="12" ht="48" customHeight="1">
      <x:c r="B12" s="8" t="str">
        <x:v>CB-06</x:v>
      </x:c>
      <x:c r="C12" s="8" t="str">
        <x:v>construction transfer</x:v>
      </x:c>
      <x:c r="D12" s="8" t="str">
        <x:v>may establish</x:v>
      </x:c>
      <x:c r="E12" s="9" t="str">
        <x:v>two public teams can follow the released route and preserve evidence</x:v>
      </x:c>
      <x:c r="F12" s="9" t="str">
        <x:v>no supplier interchangeability claim</x:v>
      </x:c>
    </x:row>
    <x:row r="13" ht="48" customHeight="1">
      <x:c r="B13" s="8" t="str">
        <x:v>CB-07</x:v>
      </x:c>
      <x:c r="C13" s="8" t="str">
        <x:v>production-equivalent lot</x:v>
      </x:c>
      <x:c r="D13" s="8" t="str">
        <x:v>cannot establish</x:v>
      </x:c>
      <x:c r="E13" s="9" t="str">
        <x:v>requires new articles built after qualified process windows freeze</x:v>
      </x:c>
      <x:c r="F13" s="9" t="str">
        <x:v>RAQ-1</x:v>
      </x:c>
    </x:row>
    <x:row r="14" ht="48" customHeight="1">
      <x:c r="B14" s="8" t="str">
        <x:v>CB-08</x:v>
      </x:c>
      <x:c r="C14" s="8" t="str">
        <x:v>RAP-1 article bank</x:v>
      </x:c>
      <x:c r="D14" s="8" t="str">
        <x:v>cannot establish</x:v>
      </x:c>
      <x:c r="E14" s="9" t="str">
        <x:v>requires eighteen accepted production-equivalent articles</x:v>
      </x:c>
      <x:c r="F14" s="9" t="str">
        <x:v>later campaign</x:v>
      </x:c>
    </x:row>
    <x:row r="15" ht="48" customHeight="1">
      <x:c r="B15" s="8" t="str">
        <x:v>CB-09</x:v>
      </x:c>
      <x:c r="C15" s="8" t="str">
        <x:v>source entry</x:v>
      </x:c>
      <x:c r="D15" s="8" t="str">
        <x:v>cannot establish</x:v>
      </x:c>
      <x:c r="E15" s="9" t="str">
        <x:v>requires named event, source package and issuer</x:v>
      </x:c>
      <x:c r="F15" s="9" t="str">
        <x:v>event authority</x:v>
      </x:c>
    </x:row>
    <x:row r="16" ht="48" customHeight="1">
      <x:c r="B16" s="8" t="str">
        <x:v>CB-10</x:v>
      </x:c>
      <x:c r="C16" s="8" t="str">
        <x:v>field platform or exterior</x:v>
      </x:c>
      <x:c r="D16" s="8" t="str">
        <x:v>cannot establish</x:v>
      </x:c>
      <x:c r="E16" s="9" t="str">
        <x:v>requires mobility, crew, setup, enclosure, service and production research</x:v>
      </x:c>
      <x:c r="F16" s="9" t="str">
        <x:v>candidate authority</x:v>
      </x:c>
    </x:row>
    <x:row r="17" ht="48" customHeight="1">
      <x:c r="B17" s="8" t="str">
        <x:v>CB-11</x:v>
      </x:c>
      <x:c r="C17" s="8" t="str">
        <x:v>reliability or maintenance interval</x:v>
      </x:c>
      <x:c r="D17" s="8" t="str">
        <x:v>cannot establish</x:v>
      </x:c>
      <x:c r="E17" s="9" t="str">
        <x:v>requires independent populations and exposure models</x:v>
      </x:c>
      <x:c r="F17" s="9" t="str">
        <x:v>fleet research</x:v>
      </x:c>
    </x:row>
    <x:row r="18" ht="48" customHeight="1">
      <x:c r="B18" s="8" t="str">
        <x:v>CB-12</x:v>
      </x:c>
      <x:c r="C18" s="8" t="str">
        <x:v>universal lineage equivalence</x:v>
      </x:c>
      <x:c r="D18" s="8" t="str">
        <x:v>cannot establish</x:v>
      </x:c>
      <x:c r="E18" s="9" t="str">
        <x:v>joint mechanism remains a blocking variable</x:v>
      </x:c>
      <x:c r="F18" s="9" t="str">
        <x:v>analysis law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>
      <x:pane xSplit="2" ySplit="6" topLeftCell="C7" activePane="bottomRight" state="frozen"/>
    </x:sheetView>
  </x:sheetViews>
  <x:sheetFormatPr defaultRowHeight="15"/>
  <x:cols>
    <x:col min="2" max="2" width="14" hidden="0" customWidth="1"/>
    <x:col min="3" max="3" width="31" hidden="0" customWidth="1"/>
    <x:col min="4" max="4" width="55" hidden="0" customWidth="1"/>
    <x:col min="5" max="5" width="50" hidden="0" customWidth="1"/>
    <x:col min="6" max="6" width="38" hidden="0" customWidth="1"/>
  </x:cols>
  <x:sheetData>
    <x:row r="2">
      <x:c r="B2" s="44" t="str">
        <x:v>Separated creation, observation and decision authority</x:v>
      </x:c>
      <x:c r="C2" s="45"/>
      <x:c r="D2" s="45"/>
      <x:c r="E2" s="45"/>
      <x:c r="F2" s="45"/>
    </x:row>
    <x:row r="3">
      <x:c r="B3" s="46" t="str">
        <x:v>No organization may build, inspect, reveal the challenge key and accept the same physical claim.</x:v>
      </x:c>
      <x:c r="C3" s="45"/>
      <x:c r="D3" s="45"/>
      <x:c r="E3" s="45"/>
      <x:c r="F3" s="45"/>
    </x:row>
    <x:row r="4">
      <x:c r="B4" s="45"/>
      <x:c r="C4" s="45"/>
      <x:c r="D4" s="45"/>
      <x:c r="E4" s="45"/>
      <x:c r="F4" s="45"/>
    </x:row>
    <x:row r="5">
      <x:c r="B5" s="45"/>
      <x:c r="C5" s="45"/>
      <x:c r="D5" s="45"/>
      <x:c r="E5" s="45"/>
      <x:c r="F5" s="45"/>
    </x:row>
    <x:row r="6" ht="25" customHeight="1">
      <x:c r="B6" s="6" t="str">
        <x:v>Authority</x:v>
      </x:c>
      <x:c r="C6" s="6" t="str">
        <x:v>Institution</x:v>
      </x:c>
      <x:c r="D6" s="6" t="str">
        <x:v>Owns</x:v>
      </x:c>
      <x:c r="E6" s="6" t="str">
        <x:v>Cannot do</x:v>
      </x:c>
      <x:c r="F6" s="6" t="str">
        <x:v>Office</x:v>
      </x:c>
    </x:row>
    <x:row r="7" ht="46" customHeight="1">
      <x:c r="B7" s="8" t="str">
        <x:v>GA-01</x:v>
      </x:c>
      <x:c r="C7" s="8" t="str">
        <x:v>program authority</x:v>
      </x:c>
      <x:c r="D7" s="9" t="str">
        <x:v>freezes purpose, scope, funds and schedule</x:v>
      </x:c>
      <x:c r="E7" s="9" t="str">
        <x:v>cannot accept technical evidence</x:v>
      </x:c>
      <x:c r="F7" s="9" t="str">
        <x:v>Department research executive</x:v>
      </x:c>
    </x:row>
    <x:row r="8" ht="46" customHeight="1">
      <x:c r="B8" s="8" t="str">
        <x:v>GA-02</x:v>
      </x:c>
      <x:c r="C8" s="8" t="str">
        <x:v>public design authority</x:v>
      </x:c>
      <x:c r="D8" s="9" t="str">
        <x:v>owns interfaces, drawings and process hypotheses</x:v>
      </x:c>
      <x:c r="E8" s="9" t="str">
        <x:v>cannot accept its own build</x:v>
      </x:c>
      <x:c r="F8" s="9" t="str">
        <x:v>AIMC family office</x:v>
      </x:c>
    </x:row>
    <x:row r="9" ht="46" customHeight="1">
      <x:c r="B9" s="8" t="str">
        <x:v>GA-03</x:v>
      </x:c>
      <x:c r="C9" s="8" t="str">
        <x:v>BL-X build authority</x:v>
      </x:c>
      <x:c r="D9" s="9" t="str">
        <x:v>constructs fused specimens and DA-X1</x:v>
      </x:c>
      <x:c r="E9" s="9" t="str">
        <x:v>cannot see blind defect identity</x:v>
      </x:c>
      <x:c r="F9" s="9" t="str">
        <x:v>public build cell X</x:v>
      </x:c>
    </x:row>
    <x:row r="10" ht="46" customHeight="1">
      <x:c r="B10" s="8" t="str">
        <x:v>GA-04</x:v>
      </x:c>
      <x:c r="C10" s="8" t="str">
        <x:v>BL-Y build authority</x:v>
      </x:c>
      <x:c r="D10" s="9" t="str">
        <x:v>constructs cartridge specimens and DA-Y1</x:v>
      </x:c>
      <x:c r="E10" s="9" t="str">
        <x:v>cannot see blind defect identity</x:v>
      </x:c>
      <x:c r="F10" s="9" t="str">
        <x:v>public build cell Y</x:v>
      </x:c>
    </x:row>
    <x:row r="11" ht="46" customHeight="1">
      <x:c r="B11" s="8" t="str">
        <x:v>GA-05</x:v>
      </x:c>
      <x:c r="C11" s="8" t="str">
        <x:v>fixture authority</x:v>
      </x:c>
      <x:c r="D11" s="9" t="str">
        <x:v>commissions physical range boundaries</x:v>
      </x:c>
      <x:c r="E11" s="9" t="str">
        <x:v>cannot grade articles</x:v>
      </x:c>
      <x:c r="F11" s="9" t="str">
        <x:v>Service Systems Proving Command</x:v>
      </x:c>
    </x:row>
    <x:row r="12" ht="46" customHeight="1">
      <x:c r="B12" s="8" t="str">
        <x:v>GA-06</x:v>
      </x:c>
      <x:c r="C12" s="8" t="str">
        <x:v>metrology authority</x:v>
      </x:c>
      <x:c r="D12" s="9" t="str">
        <x:v>owns standards, uncertainty and gage R&amp;R</x:v>
      </x:c>
      <x:c r="E12" s="9" t="str">
        <x:v>cannot alter acceptance bands</x:v>
      </x:c>
      <x:c r="F12" s="9" t="str">
        <x:v>public standards laboratory</x:v>
      </x:c>
    </x:row>
    <x:row r="13" ht="46" customHeight="1">
      <x:c r="B13" s="8" t="str">
        <x:v>GA-07</x:v>
      </x:c>
      <x:c r="C13" s="8" t="str">
        <x:v>challenge authority</x:v>
      </x:c>
      <x:c r="D13" s="9" t="str">
        <x:v>creates, randomizes and seals known defects</x:v>
      </x:c>
      <x:c r="E13" s="9" t="str">
        <x:v>cannot operate inspection</x:v>
      </x:c>
      <x:c r="F13" s="9" t="str">
        <x:v>protected challenge root</x:v>
      </x:c>
    </x:row>
    <x:row r="14" ht="46" customHeight="1">
      <x:c r="B14" s="8" t="str">
        <x:v>GA-08</x:v>
      </x:c>
      <x:c r="C14" s="8" t="str">
        <x:v>inspection authority</x:v>
      </x:c>
      <x:c r="D14" s="9" t="str">
        <x:v>records blind calls and indications</x:v>
      </x:c>
      <x:c r="E14" s="9" t="str">
        <x:v>cannot open challenge key</x:v>
      </x:c>
      <x:c r="F14" s="9" t="str">
        <x:v>independent NDE group</x:v>
      </x:c>
    </x:row>
    <x:row r="15" ht="46" customHeight="1">
      <x:c r="B15" s="8" t="str">
        <x:v>GA-09</x:v>
      </x:c>
      <x:c r="C15" s="8" t="str">
        <x:v>safety authority</x:v>
      </x:c>
      <x:c r="D15" s="9" t="str">
        <x:v>owns automatic stop and rescue release</x:v>
      </x:c>
      <x:c r="E15" s="9" t="str">
        <x:v>cannot waive evidence loss</x:v>
      </x:c>
      <x:c r="F15" s="9" t="str">
        <x:v>range safety director</x:v>
      </x:c>
    </x:row>
    <x:row r="16" ht="46" customHeight="1">
      <x:c r="B16" s="8" t="str">
        <x:v>GA-10</x:v>
      </x:c>
      <x:c r="C16" s="8" t="str">
        <x:v>evidence authority</x:v>
      </x:c>
      <x:c r="D16" s="9" t="str">
        <x:v>owns time, originals, hashes and release</x:v>
      </x:c>
      <x:c r="E16" s="9" t="str">
        <x:v>cannot decide technical acceptance</x:v>
      </x:c>
      <x:c r="F16" s="9" t="str">
        <x:v>independent evidence service</x:v>
      </x:c>
    </x:row>
    <x:row r="17" ht="46" customHeight="1">
      <x:c r="B17" s="8" t="str">
        <x:v>GA-11</x:v>
      </x:c>
      <x:c r="C17" s="8" t="str">
        <x:v>destructive authority</x:v>
      </x:c>
      <x:c r="D17" s="9" t="str">
        <x:v>cuts precommitted sections and preserves ancestry</x:v>
      </x:c>
      <x:c r="E17" s="9" t="str">
        <x:v>cannot choose favorable regions</x:v>
      </x:c>
      <x:c r="F17" s="9" t="str">
        <x:v>public forensic laboratory</x:v>
      </x:c>
    </x:row>
    <x:row r="18" ht="46" customHeight="1">
      <x:c r="B18" s="8" t="str">
        <x:v>GA-12</x:v>
      </x:c>
      <x:c r="C18" s="8" t="str">
        <x:v>article board</x:v>
      </x:c>
      <x:c r="D18" s="9" t="str">
        <x:v>accepts or rejects the bounded development claim</x:v>
      </x:c>
      <x:c r="E18" s="9" t="str">
        <x:v>cannot authorize source entry or exterior form</x:v>
      </x:c>
      <x:c r="F18" s="9" t="str">
        <x:v>independent configuration board</x:v>
      </x:c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>
      <x:pane xSplit="2" ySplit="6" topLeftCell="C7" activePane="bottomRight" state="frozen"/>
    </x:sheetView>
  </x:sheetViews>
  <x:sheetFormatPr defaultRowHeight="15"/>
  <x:cols>
    <x:col min="2" max="2" width="14" hidden="0" customWidth="1"/>
    <x:col min="3" max="3" width="13" hidden="0" customWidth="1"/>
    <x:col min="4" max="4" width="29" hidden="0" customWidth="1"/>
    <x:col min="5" max="5" width="14" hidden="0" customWidth="1"/>
    <x:col min="6" max="6" width="14" hidden="0" customWidth="1"/>
    <x:col min="7" max="7" width="18" hidden="0" customWidth="1"/>
    <x:col min="8" max="8" width="14" hidden="0" customWidth="1"/>
    <x:col min="9" max="9" width="25" hidden="0" customWidth="1"/>
    <x:col min="10" max="10" width="30" hidden="0" customWidth="1"/>
    <x:col min="11" max="11" width="14" hidden="0" customWidth="1"/>
  </x:cols>
  <x:sheetData>
    <x:row r="2">
      <x:c r="B2" s="44" t="str">
        <x:v>Two integrated development articles</x:v>
      </x:c>
      <x:c r="C2" s="45"/>
      <x:c r="D2" s="45"/>
      <x:c r="E2" s="45"/>
      <x:c r="F2" s="45"/>
      <x:c r="G2" s="45"/>
      <x:c r="H2" s="45"/>
      <x:c r="I2" s="45"/>
      <x:c r="J2" s="45"/>
      <x:c r="K2" s="45"/>
    </x:row>
    <x:row r="3">
      <x:c r="B3" s="46" t="str">
        <x:v>These articles are sacrificial research instruments. They never become operational, calibration or reserve articles.</x:v>
      </x:c>
      <x:c r="C3" s="45"/>
      <x:c r="D3" s="45"/>
      <x:c r="E3" s="45"/>
      <x:c r="F3" s="45"/>
      <x:c r="G3" s="45"/>
      <x:c r="H3" s="45"/>
      <x:c r="I3" s="45"/>
      <x:c r="J3" s="45"/>
      <x:c r="K3" s="45"/>
    </x:row>
    <x:row r="4">
      <x:c r="B4" s="45"/>
      <x:c r="C4" s="45"/>
      <x:c r="D4" s="45"/>
      <x:c r="E4" s="45"/>
      <x:c r="F4" s="45"/>
      <x:c r="G4" s="45"/>
      <x:c r="H4" s="45"/>
      <x:c r="I4" s="45"/>
      <x:c r="J4" s="45"/>
      <x:c r="K4" s="45"/>
    </x:row>
    <x:row r="5">
      <x:c r="B5" s="45"/>
      <x:c r="C5" s="45"/>
      <x:c r="D5" s="45"/>
      <x:c r="E5" s="45"/>
      <x:c r="F5" s="45"/>
      <x:c r="G5" s="45"/>
      <x:c r="H5" s="45"/>
      <x:c r="I5" s="45"/>
      <x:c r="J5" s="45"/>
      <x:c r="K5" s="45"/>
    </x:row>
    <x:row r="6" ht="25" customHeight="1">
      <x:c r="B6" s="6" t="str">
        <x:v>Article</x:v>
      </x:c>
      <x:c r="C6" s="6" t="str">
        <x:v>Lineage</x:v>
      </x:c>
      <x:c r="D6" s="6" t="str">
        <x:v>Architecture</x:v>
      </x:c>
      <x:c r="E6" s="6" t="str">
        <x:v>Segments</x:v>
      </x:c>
      <x:c r="F6" s="6" t="str">
        <x:v>Joints</x:v>
      </x:c>
      <x:c r="G6" s="6" t="str">
        <x:v>Final elements</x:v>
      </x:c>
      <x:c r="H6" s="6" t="str">
        <x:v>Channels</x:v>
      </x:c>
      <x:c r="I6" s="6" t="str">
        <x:v>Final disposition</x:v>
      </x:c>
      <x:c r="J6" s="6" t="str">
        <x:v>Statistical role</x:v>
      </x:c>
      <x:c r="K6" s="6" t="str">
        <x:v>State</x:v>
      </x:c>
    </x:row>
    <x:row r="7" ht="40" customHeight="1">
      <x:c r="B7" s="8" t="str">
        <x:v>DA-X1</x:v>
      </x:c>
      <x:c r="C7" s="8" t="str">
        <x:v>BL-X</x:v>
      </x:c>
      <x:c r="D7" s="9" t="str">
        <x:v>fused metallic</x:v>
      </x:c>
      <x:c r="E7" s="8" t="n">
        <x:v>6</x:v>
      </x:c>
      <x:c r="F7" s="8" t="n">
        <x:v>5</x:v>
      </x:c>
      <x:c r="G7" s="8" t="n">
        <x:v>12</x:v>
      </x:c>
      <x:c r="H7" s="8" t="n">
        <x:v>144</x:v>
      </x:c>
      <x:c r="I7" s="9" t="str">
        <x:v>terminal destruction</x:v>
      </x:c>
      <x:c r="J7" s="9" t="str">
        <x:v>outside RAP-1 article bank</x:v>
      </x:c>
      <x:c r="K7" s="8" t="str">
        <x:v>OPEN</x:v>
      </x:c>
    </x:row>
    <x:row r="8" ht="40" customHeight="1">
      <x:c r="B8" s="8" t="str">
        <x:v>DA-Y1</x:v>
      </x:c>
      <x:c r="C8" s="8" t="str">
        <x:v>BL-Y</x:v>
      </x:c>
      <x:c r="D8" s="9" t="str">
        <x:v>serviceable cartridge</x:v>
      </x:c>
      <x:c r="E8" s="8" t="n">
        <x:v>6</x:v>
      </x:c>
      <x:c r="F8" s="8" t="n">
        <x:v>5</x:v>
      </x:c>
      <x:c r="G8" s="8" t="n">
        <x:v>12</x:v>
      </x:c>
      <x:c r="H8" s="8" t="n">
        <x:v>144</x:v>
      </x:c>
      <x:c r="I8" s="9" t="str">
        <x:v>terminal destruction</x:v>
      </x:c>
      <x:c r="J8" s="9" t="str">
        <x:v>outside RAP-1 article bank</x:v>
      </x:c>
      <x:c r="K8" s="8" t="str">
        <x:v>OPEN</x:v>
      </x:c>
    </x:row>
  </x:sheetData>
  <x:conditionalFormatting sqref="K7:K8">
    <x:cfRule type="containsText" dxfId="0" priority="1" operator="containsText" text="FAIL"/>
    <x:cfRule type="containsText" dxfId="1" priority="2" operator="containsText" text="BLOCKED"/>
    <x:cfRule type="containsText" dxfId="2" priority="3" operator="containsText" text="OPEN"/>
    <x:cfRule type="containsText" dxfId="3" priority="4" operator="containsText" text="PASS"/>
    <x:cfRule type="containsText" dxfId="4" priority="5" operator="containsText" text="PLANNED"/>
    <x:cfRule type="containsText" dxfId="5" priority="6" operator="containsText" text="ACTIVE"/>
  </x:conditionalFormatting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Views>
    <x:sheetView showGridLines="0" workbookViewId="0">
      <x:pane xSplit="2" ySplit="6" topLeftCell="C7" activePane="bottomRight" state="frozen"/>
    </x:sheetView>
  </x:sheetViews>
  <x:sheetFormatPr defaultRowHeight="15"/>
  <x:cols>
    <x:col min="2" max="2" width="14" hidden="0" customWidth="1"/>
    <x:col min="3" max="3" width="38" hidden="0" customWidth="1"/>
    <x:col min="4" max="4" width="17" hidden="0" customWidth="1"/>
    <x:col min="5" max="5" width="21" hidden="0" customWidth="1"/>
    <x:col min="6" max="6" width="57" hidden="0" customWidth="1"/>
    <x:col min="7" max="7" width="37" hidden="0" customWidth="1"/>
  </x:cols>
  <x:sheetData>
    <x:row r="2">
      <x:c r="B2" s="44" t="str">
        <x:v>Physical qualification population</x:v>
      </x:c>
      <x:c r="C2" s="45"/>
      <x:c r="D2" s="45"/>
      <x:c r="E2" s="45"/>
      <x:c r="F2" s="45"/>
      <x:c r="G2" s="45"/>
    </x:row>
    <x:row r="3">
      <x:c r="B3" s="46" t="str">
        <x:v>Repeated cycles are exposure. They do not create new independent specimens.</x:v>
      </x:c>
      <x:c r="C3" s="45"/>
      <x:c r="D3" s="45"/>
      <x:c r="E3" s="45"/>
      <x:c r="F3" s="45"/>
      <x:c r="G3" s="45"/>
    </x:row>
    <x:row r="4">
      <x:c r="B4" s="45"/>
      <x:c r="C4" s="45"/>
      <x:c r="D4" s="45"/>
      <x:c r="E4" s="45"/>
      <x:c r="F4" s="45"/>
      <x:c r="G4" s="45"/>
    </x:row>
    <x:row r="5">
      <x:c r="B5" s="45"/>
      <x:c r="C5" s="45"/>
      <x:c r="D5" s="45"/>
      <x:c r="E5" s="45"/>
      <x:c r="F5" s="45"/>
      <x:c r="G5" s="45"/>
    </x:row>
    <x:row r="6" ht="25" customHeight="1">
      <x:c r="B6" s="6" t="str">
        <x:v>Population</x:v>
      </x:c>
      <x:c r="C6" s="6" t="str">
        <x:v>Object</x:v>
      </x:c>
      <x:c r="D6" s="6" t="str">
        <x:v>Count</x:v>
      </x:c>
      <x:c r="E6" s="6" t="str">
        <x:v>Unit</x:v>
      </x:c>
      <x:c r="F6" s="6" t="str">
        <x:v>Purpose</x:v>
      </x:c>
      <x:c r="G6" s="6" t="str">
        <x:v>Inference limit</x:v>
      </x:c>
    </x:row>
    <x:row r="7" ht="42" customHeight="1">
      <x:c r="B7" s="8" t="str">
        <x:v>OP-01</x:v>
      </x:c>
      <x:c r="C7" s="8" t="str">
        <x:v>integrated development articles</x:v>
      </x:c>
      <x:c r="D7" s="18" t="n">
        <x:v>2</x:v>
      </x:c>
      <x:c r="E7" s="8" t="str">
        <x:v>serialized articles</x:v>
      </x:c>
      <x:c r="F7" s="9" t="str">
        <x:v>system integration and terminal sectioning</x:v>
      </x:c>
      <x:c r="G7" s="9" t="str">
        <x:v>not independent reliability units</x:v>
      </x:c>
    </x:row>
    <x:row r="8" ht="42" customHeight="1">
      <x:c r="B8" s="8" t="str">
        <x:v>OP-02</x:v>
      </x:c>
      <x:c r="C8" s="8" t="str">
        <x:v>process-window joint specimens</x:v>
      </x:c>
      <x:c r="D8" s="18" t="n">
        <x:v>120</x:v>
      </x:c>
      <x:c r="E8" s="8" t="str">
        <x:v>joint specimens</x:v>
      </x:c>
      <x:c r="F8" s="9" t="str">
        <x:v>four-factor corner and center screen</x:v>
      </x:c>
      <x:c r="G8" s="9" t="str">
        <x:v>60 per lineage</x:v>
      </x:c>
    </x:row>
    <x:row r="9" ht="42" customHeight="1">
      <x:c r="B9" s="8" t="str">
        <x:v>OP-03</x:v>
      </x:c>
      <x:c r="C9" s="8" t="str">
        <x:v>blinded defect presentations</x:v>
      </x:c>
      <x:c r="D9" s="18" t="n">
        <x:v>1392</x:v>
      </x:c>
      <x:c r="E9" s="8" t="str">
        <x:v>unique specimens</x:v>
      </x:c>
      <x:c r="F9" s="9" t="str">
        <x:v>cell-specific detection and false-reject bounds</x:v>
      </x:c>
      <x:c r="G9" s="9" t="str">
        <x:v>no pooling across cells</x:v>
      </x:c>
    </x:row>
    <x:row r="10" ht="42" customHeight="1">
      <x:c r="B10" s="8" t="str">
        <x:v>OP-04</x:v>
      </x:c>
      <x:c r="C10" s="8" t="str">
        <x:v>safeing mechanism specimens</x:v>
      </x:c>
      <x:c r="D10" s="18" t="n">
        <x:v>72</x:v>
      </x:c>
      <x:c r="E10" s="8" t="str">
        <x:v>assemblies</x:v>
      </x:c>
      <x:c r="F10" s="9" t="str">
        <x:v>three extra specimens for each of twelve designs per lineage</x:v>
      </x:c>
      <x:c r="G10" s="9" t="str">
        <x:v>screen only</x:v>
      </x:c>
    </x:row>
    <x:row r="11" ht="42" customHeight="1">
      <x:c r="B11" s="8" t="str">
        <x:v>OP-05</x:v>
      </x:c>
      <x:c r="C11" s="8" t="str">
        <x:v>instrument-mount specimens</x:v>
      </x:c>
      <x:c r="D11" s="18" t="n">
        <x:v>144</x:v>
      </x:c>
      <x:c r="E11" s="8" t="str">
        <x:v>mounts</x:v>
      </x:c>
      <x:c r="F11" s="9" t="str">
        <x:v>three extra specimens for twenty-four families per lineage</x:v>
      </x:c>
      <x:c r="G11" s="9" t="str">
        <x:v>interface transfer</x:v>
      </x:c>
    </x:row>
    <x:row r="12" ht="42" customHeight="1">
      <x:c r="B12" s="8" t="str">
        <x:v>OP-06</x:v>
      </x:c>
      <x:c r="C12" s="8" t="str">
        <x:v>surface and drain specimens</x:v>
      </x:c>
      <x:c r="D12" s="18" t="n">
        <x:v>36</x:v>
      </x:c>
      <x:c r="E12" s="8" t="str">
        <x:v>segments</x:v>
      </x:c>
      <x:c r="F12" s="9" t="str">
        <x:v>three extra specimens for six segment classes per lineage</x:v>
      </x:c>
      <x:c r="G12" s="9" t="str">
        <x:v>recovery mechanism</x:v>
      </x:c>
    </x:row>
    <x:row r="13">
      <x:c r="B13" s="45"/>
      <x:c r="C13" s="45"/>
      <x:c r="D13" s="58"/>
      <x:c r="E13" s="45"/>
      <x:c r="F13" s="45"/>
      <x:c r="G13" s="45"/>
    </x:row>
    <x:row r="14">
      <x:c r="B14" s="59" t="str">
        <x:v>TOTAL</x:v>
      </x:c>
      <x:c r="C14" s="60" t="str"/>
      <x:c r="D14" s="61" t="n">
        <x:f>SUM(D7:D12)</x:f>
        <x:v>1766</x:v>
      </x:c>
      <x:c r="E14" s="60" t="str"/>
      <x:c r="F14" s="60" t="str">
        <x:v>all planned physical objects</x:v>
      </x:c>
      <x:c r="G14" s="62" t="str">
        <x:v>not one statistical population</x:v>
      </x:c>
    </x:row>
  </x:sheetData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Views>
    <x:sheetView showGridLines="0" workbookViewId="0">
      <x:pane xSplit="2" ySplit="6" topLeftCell="C7" activePane="bottomRight" state="frozen"/>
    </x:sheetView>
  </x:sheetViews>
  <x:sheetFormatPr defaultRowHeight="15"/>
  <x:cols>
    <x:col min="2" max="2" width="18" hidden="0" customWidth="1"/>
    <x:col min="3" max="3" width="13" hidden="0" customWidth="1"/>
    <x:col min="4" max="4" width="14" hidden="0" customWidth="1"/>
    <x:col min="5" max="5" width="14" hidden="0" customWidth="1"/>
    <x:col min="6" max="6" width="14" hidden="0" customWidth="1"/>
    <x:col min="7" max="7" width="14" hidden="0" customWidth="1"/>
    <x:col min="8" max="8" width="14" hidden="0" customWidth="1"/>
    <x:col min="9" max="9" width="16" hidden="0" customWidth="1"/>
    <x:col min="10" max="10" width="18" hidden="0" customWidth="1"/>
    <x:col min="11" max="11" width="20" hidden="0" customWidth="1"/>
    <x:col min="12" max="12" width="14" hidden="0" customWidth="1"/>
  </x:cols>
  <x:sheetData>
    <x:row r="2">
      <x:c r="B2" s="44" t="str">
        <x:v>Blocked four-factor construction experiment</x:v>
      </x:c>
      <x:c r="C2" s="45"/>
      <x:c r="D2" s="45"/>
      <x:c r="E2" s="45"/>
      <x:c r="F2" s="45"/>
      <x:c r="G2" s="45"/>
      <x:c r="H2" s="45"/>
      <x:c r="I2" s="45"/>
      <x:c r="J2" s="45"/>
      <x:c r="K2" s="45"/>
      <x:c r="L2" s="45"/>
    </x:row>
    <x:row r="3">
      <x:c r="B3" s="46" t="str">
        <x:v>Coded factors preserve one common design. BL-X uses purge oxygen, heat input, axial mismatch and end gap. BL-Y uses preload ratio, seal squeeze, face offset and interspace evacuation ratio.</x:v>
      </x:c>
      <x:c r="C3" s="45"/>
      <x:c r="D3" s="45"/>
      <x:c r="E3" s="45"/>
      <x:c r="F3" s="45"/>
      <x:c r="G3" s="45"/>
      <x:c r="H3" s="45"/>
      <x:c r="I3" s="45"/>
      <x:c r="J3" s="45"/>
      <x:c r="K3" s="45"/>
      <x:c r="L3" s="45"/>
    </x:row>
    <x:row r="4">
      <x:c r="B4" s="45"/>
      <x:c r="C4" s="45"/>
      <x:c r="D4" s="45"/>
      <x:c r="E4" s="45"/>
      <x:c r="F4" s="45"/>
      <x:c r="G4" s="45"/>
      <x:c r="H4" s="45"/>
      <x:c r="I4" s="45"/>
      <x:c r="J4" s="45"/>
      <x:c r="K4" s="45"/>
      <x:c r="L4" s="45"/>
    </x:row>
    <x:row r="5">
      <x:c r="B5" s="45"/>
      <x:c r="C5" s="45"/>
      <x:c r="D5" s="45"/>
      <x:c r="E5" s="45"/>
      <x:c r="F5" s="45"/>
      <x:c r="G5" s="45"/>
      <x:c r="H5" s="45"/>
      <x:c r="I5" s="45"/>
      <x:c r="J5" s="45"/>
      <x:c r="K5" s="45"/>
      <x:c r="L5" s="45"/>
    </x:row>
    <x:row r="6" ht="25" customHeight="1">
      <x:c r="B6" s="6" t="str">
        <x:v>Cell</x:v>
      </x:c>
      <x:c r="C6" s="6" t="str">
        <x:v>Lineage</x:v>
      </x:c>
      <x:c r="D6" s="6" t="str">
        <x:v>Class</x:v>
      </x:c>
      <x:c r="E6" s="6" t="str">
        <x:v>F1 code</x:v>
      </x:c>
      <x:c r="F6" s="6" t="str">
        <x:v>F2 code</x:v>
      </x:c>
      <x:c r="G6" s="6" t="str">
        <x:v>F3 code</x:v>
      </x:c>
      <x:c r="H6" s="6" t="str">
        <x:v>F4 code</x:v>
      </x:c>
      <x:c r="I6" s="6" t="str">
        <x:v>Specimens</x:v>
      </x:c>
      <x:c r="J6" s="6" t="str">
        <x:v>Completed</x:v>
      </x:c>
      <x:c r="K6" s="6" t="str">
        <x:v>Accepted UTC</x:v>
      </x:c>
      <x:c r="L6" s="6" t="str">
        <x:v>State</x:v>
      </x:c>
    </x:row>
    <x:row r="7" ht="28" customHeight="1">
      <x:c r="B7" s="8" t="str">
        <x:v>BL-X-PW-01</x:v>
      </x:c>
      <x:c r="C7" s="8" t="str">
        <x:v>BL-X</x:v>
      </x:c>
      <x:c r="D7" s="8" t="str">
        <x:v>corner</x:v>
      </x:c>
      <x:c r="E7" s="8" t="n">
        <x:v>-1</x:v>
      </x:c>
      <x:c r="F7" s="8" t="n">
        <x:v>-1</x:v>
      </x:c>
      <x:c r="G7" s="8" t="n">
        <x:v>-1</x:v>
      </x:c>
      <x:c r="H7" s="8" t="n">
        <x:v>-1</x:v>
      </x:c>
      <x:c r="I7" s="8" t="n">
        <x:v>3</x:v>
      </x:c>
      <x:c r="J7" s="8" t="str"/>
      <x:c r="K7" s="8" t="str"/>
      <x:c r="L7" s="8" t="str">
        <x:f>IF(K7="","OPEN",IF(OR(NOT(ISNUMBER(J7)),J7&lt;I7),"FAIL","PASS"))</x:f>
        <x:v>OPEN</x:v>
      </x:c>
    </x:row>
    <x:row r="8" ht="28" customHeight="1">
      <x:c r="B8" s="8" t="str">
        <x:v>BL-X-PW-02</x:v>
      </x:c>
      <x:c r="C8" s="8" t="str">
        <x:v>BL-X</x:v>
      </x:c>
      <x:c r="D8" s="8" t="str">
        <x:v>corner</x:v>
      </x:c>
      <x:c r="E8" s="8" t="n">
        <x:v>1</x:v>
      </x:c>
      <x:c r="F8" s="8" t="n">
        <x:v>-1</x:v>
      </x:c>
      <x:c r="G8" s="8" t="n">
        <x:v>-1</x:v>
      </x:c>
      <x:c r="H8" s="8" t="n">
        <x:v>-1</x:v>
      </x:c>
      <x:c r="I8" s="8" t="n">
        <x:v>3</x:v>
      </x:c>
      <x:c r="J8" s="8" t="str"/>
      <x:c r="K8" s="8" t="str"/>
      <x:c r="L8" s="8" t="str">
        <x:f>IF(K8="","OPEN",IF(OR(NOT(ISNUMBER(J8)),J8&lt;I8),"FAIL","PASS"))</x:f>
        <x:v>OPEN</x:v>
      </x:c>
    </x:row>
    <x:row r="9" ht="28" customHeight="1">
      <x:c r="B9" s="8" t="str">
        <x:v>BL-X-PW-03</x:v>
      </x:c>
      <x:c r="C9" s="8" t="str">
        <x:v>BL-X</x:v>
      </x:c>
      <x:c r="D9" s="8" t="str">
        <x:v>corner</x:v>
      </x:c>
      <x:c r="E9" s="8" t="n">
        <x:v>-1</x:v>
      </x:c>
      <x:c r="F9" s="8" t="n">
        <x:v>1</x:v>
      </x:c>
      <x:c r="G9" s="8" t="n">
        <x:v>-1</x:v>
      </x:c>
      <x:c r="H9" s="8" t="n">
        <x:v>-1</x:v>
      </x:c>
      <x:c r="I9" s="8" t="n">
        <x:v>3</x:v>
      </x:c>
      <x:c r="J9" s="8" t="str"/>
      <x:c r="K9" s="8" t="str"/>
      <x:c r="L9" s="8" t="str">
        <x:f>IF(K9="","OPEN",IF(OR(NOT(ISNUMBER(J9)),J9&lt;I9),"FAIL","PASS"))</x:f>
        <x:v>OPEN</x:v>
      </x:c>
    </x:row>
    <x:row r="10" ht="28" customHeight="1">
      <x:c r="B10" s="8" t="str">
        <x:v>BL-X-PW-04</x:v>
      </x:c>
      <x:c r="C10" s="8" t="str">
        <x:v>BL-X</x:v>
      </x:c>
      <x:c r="D10" s="8" t="str">
        <x:v>corner</x:v>
      </x:c>
      <x:c r="E10" s="8" t="n">
        <x:v>1</x:v>
      </x:c>
      <x:c r="F10" s="8" t="n">
        <x:v>1</x:v>
      </x:c>
      <x:c r="G10" s="8" t="n">
        <x:v>-1</x:v>
      </x:c>
      <x:c r="H10" s="8" t="n">
        <x:v>-1</x:v>
      </x:c>
      <x:c r="I10" s="8" t="n">
        <x:v>3</x:v>
      </x:c>
      <x:c r="J10" s="8" t="str"/>
      <x:c r="K10" s="8" t="str"/>
      <x:c r="L10" s="8" t="str">
        <x:f>IF(K10="","OPEN",IF(OR(NOT(ISNUMBER(J10)),J10&lt;I10),"FAIL","PASS"))</x:f>
        <x:v>OPEN</x:v>
      </x:c>
    </x:row>
    <x:row r="11" ht="28" customHeight="1">
      <x:c r="B11" s="8" t="str">
        <x:v>BL-X-PW-05</x:v>
      </x:c>
      <x:c r="C11" s="8" t="str">
        <x:v>BL-X</x:v>
      </x:c>
      <x:c r="D11" s="8" t="str">
        <x:v>corner</x:v>
      </x:c>
      <x:c r="E11" s="8" t="n">
        <x:v>-1</x:v>
      </x:c>
      <x:c r="F11" s="8" t="n">
        <x:v>-1</x:v>
      </x:c>
      <x:c r="G11" s="8" t="n">
        <x:v>1</x:v>
      </x:c>
      <x:c r="H11" s="8" t="n">
        <x:v>-1</x:v>
      </x:c>
      <x:c r="I11" s="8" t="n">
        <x:v>3</x:v>
      </x:c>
      <x:c r="J11" s="8" t="str"/>
      <x:c r="K11" s="8" t="str"/>
      <x:c r="L11" s="8" t="str">
        <x:f>IF(K11="","OPEN",IF(OR(NOT(ISNUMBER(J11)),J11&lt;I11),"FAIL","PASS"))</x:f>
        <x:v>OPEN</x:v>
      </x:c>
    </x:row>
    <x:row r="12" ht="28" customHeight="1">
      <x:c r="B12" s="8" t="str">
        <x:v>BL-X-PW-06</x:v>
      </x:c>
      <x:c r="C12" s="8" t="str">
        <x:v>BL-X</x:v>
      </x:c>
      <x:c r="D12" s="8" t="str">
        <x:v>corner</x:v>
      </x:c>
      <x:c r="E12" s="8" t="n">
        <x:v>1</x:v>
      </x:c>
      <x:c r="F12" s="8" t="n">
        <x:v>-1</x:v>
      </x:c>
      <x:c r="G12" s="8" t="n">
        <x:v>1</x:v>
      </x:c>
      <x:c r="H12" s="8" t="n">
        <x:v>-1</x:v>
      </x:c>
      <x:c r="I12" s="8" t="n">
        <x:v>3</x:v>
      </x:c>
      <x:c r="J12" s="8" t="str"/>
      <x:c r="K12" s="8" t="str"/>
      <x:c r="L12" s="8" t="str">
        <x:f>IF(K12="","OPEN",IF(OR(NOT(ISNUMBER(J12)),J12&lt;I12),"FAIL","PASS"))</x:f>
        <x:v>OPEN</x:v>
      </x:c>
    </x:row>
    <x:row r="13" ht="28" customHeight="1">
      <x:c r="B13" s="8" t="str">
        <x:v>BL-X-PW-07</x:v>
      </x:c>
      <x:c r="C13" s="8" t="str">
        <x:v>BL-X</x:v>
      </x:c>
      <x:c r="D13" s="8" t="str">
        <x:v>corner</x:v>
      </x:c>
      <x:c r="E13" s="8" t="n">
        <x:v>-1</x:v>
      </x:c>
      <x:c r="F13" s="8" t="n">
        <x:v>1</x:v>
      </x:c>
      <x:c r="G13" s="8" t="n">
        <x:v>1</x:v>
      </x:c>
      <x:c r="H13" s="8" t="n">
        <x:v>-1</x:v>
      </x:c>
      <x:c r="I13" s="8" t="n">
        <x:v>3</x:v>
      </x:c>
      <x:c r="J13" s="8" t="str"/>
      <x:c r="K13" s="8" t="str"/>
      <x:c r="L13" s="8" t="str">
        <x:f>IF(K13="","OPEN",IF(OR(NOT(ISNUMBER(J13)),J13&lt;I13),"FAIL","PASS"))</x:f>
        <x:v>OPEN</x:v>
      </x:c>
    </x:row>
    <x:row r="14" ht="28" customHeight="1">
      <x:c r="B14" s="8" t="str">
        <x:v>BL-X-PW-08</x:v>
      </x:c>
      <x:c r="C14" s="8" t="str">
        <x:v>BL-X</x:v>
      </x:c>
      <x:c r="D14" s="8" t="str">
        <x:v>corner</x:v>
      </x:c>
      <x:c r="E14" s="8" t="n">
        <x:v>1</x:v>
      </x:c>
      <x:c r="F14" s="8" t="n">
        <x:v>1</x:v>
      </x:c>
      <x:c r="G14" s="8" t="n">
        <x:v>1</x:v>
      </x:c>
      <x:c r="H14" s="8" t="n">
        <x:v>-1</x:v>
      </x:c>
      <x:c r="I14" s="8" t="n">
        <x:v>3</x:v>
      </x:c>
      <x:c r="J14" s="8" t="str"/>
      <x:c r="K14" s="8" t="str"/>
      <x:c r="L14" s="8" t="str">
        <x:f>IF(K14="","OPEN",IF(OR(NOT(ISNUMBER(J14)),J14&lt;I14),"FAIL","PASS"))</x:f>
        <x:v>OPEN</x:v>
      </x:c>
    </x:row>
    <x:row r="15" ht="28" customHeight="1">
      <x:c r="B15" s="8" t="str">
        <x:v>BL-X-PW-09</x:v>
      </x:c>
      <x:c r="C15" s="8" t="str">
        <x:v>BL-X</x:v>
      </x:c>
      <x:c r="D15" s="8" t="str">
        <x:v>corner</x:v>
      </x:c>
      <x:c r="E15" s="8" t="n">
        <x:v>-1</x:v>
      </x:c>
      <x:c r="F15" s="8" t="n">
        <x:v>-1</x:v>
      </x:c>
      <x:c r="G15" s="8" t="n">
        <x:v>-1</x:v>
      </x:c>
      <x:c r="H15" s="8" t="n">
        <x:v>1</x:v>
      </x:c>
      <x:c r="I15" s="8" t="n">
        <x:v>3</x:v>
      </x:c>
      <x:c r="J15" s="8" t="str"/>
      <x:c r="K15" s="8" t="str"/>
      <x:c r="L15" s="8" t="str">
        <x:f>IF(K15="","OPEN",IF(OR(NOT(ISNUMBER(J15)),J15&lt;I15),"FAIL","PASS"))</x:f>
        <x:v>OPEN</x:v>
      </x:c>
    </x:row>
    <x:row r="16" ht="28" customHeight="1">
      <x:c r="B16" s="8" t="str">
        <x:v>BL-X-PW-10</x:v>
      </x:c>
      <x:c r="C16" s="8" t="str">
        <x:v>BL-X</x:v>
      </x:c>
      <x:c r="D16" s="8" t="str">
        <x:v>corner</x:v>
      </x:c>
      <x:c r="E16" s="8" t="n">
        <x:v>1</x:v>
      </x:c>
      <x:c r="F16" s="8" t="n">
        <x:v>-1</x:v>
      </x:c>
      <x:c r="G16" s="8" t="n">
        <x:v>-1</x:v>
      </x:c>
      <x:c r="H16" s="8" t="n">
        <x:v>1</x:v>
      </x:c>
      <x:c r="I16" s="8" t="n">
        <x:v>3</x:v>
      </x:c>
      <x:c r="J16" s="8" t="str"/>
      <x:c r="K16" s="8" t="str"/>
      <x:c r="L16" s="8" t="str">
        <x:f>IF(K16="","OPEN",IF(OR(NOT(ISNUMBER(J16)),J16&lt;I16),"FAIL","PASS"))</x:f>
        <x:v>OPEN</x:v>
      </x:c>
    </x:row>
    <x:row r="17" ht="28" customHeight="1">
      <x:c r="B17" s="8" t="str">
        <x:v>BL-X-PW-11</x:v>
      </x:c>
      <x:c r="C17" s="8" t="str">
        <x:v>BL-X</x:v>
      </x:c>
      <x:c r="D17" s="8" t="str">
        <x:v>corner</x:v>
      </x:c>
      <x:c r="E17" s="8" t="n">
        <x:v>-1</x:v>
      </x:c>
      <x:c r="F17" s="8" t="n">
        <x:v>1</x:v>
      </x:c>
      <x:c r="G17" s="8" t="n">
        <x:v>-1</x:v>
      </x:c>
      <x:c r="H17" s="8" t="n">
        <x:v>1</x:v>
      </x:c>
      <x:c r="I17" s="8" t="n">
        <x:v>3</x:v>
      </x:c>
      <x:c r="J17" s="8" t="str"/>
      <x:c r="K17" s="8" t="str"/>
      <x:c r="L17" s="8" t="str">
        <x:f>IF(K17="","OPEN",IF(OR(NOT(ISNUMBER(J17)),J17&lt;I17),"FAIL","PASS"))</x:f>
        <x:v>OPEN</x:v>
      </x:c>
    </x:row>
    <x:row r="18" ht="28" customHeight="1">
      <x:c r="B18" s="8" t="str">
        <x:v>BL-X-PW-12</x:v>
      </x:c>
      <x:c r="C18" s="8" t="str">
        <x:v>BL-X</x:v>
      </x:c>
      <x:c r="D18" s="8" t="str">
        <x:v>corner</x:v>
      </x:c>
      <x:c r="E18" s="8" t="n">
        <x:v>1</x:v>
      </x:c>
      <x:c r="F18" s="8" t="n">
        <x:v>1</x:v>
      </x:c>
      <x:c r="G18" s="8" t="n">
        <x:v>-1</x:v>
      </x:c>
      <x:c r="H18" s="8" t="n">
        <x:v>1</x:v>
      </x:c>
      <x:c r="I18" s="8" t="n">
        <x:v>3</x:v>
      </x:c>
      <x:c r="J18" s="8" t="str"/>
      <x:c r="K18" s="8" t="str"/>
      <x:c r="L18" s="8" t="str">
        <x:f>IF(K18="","OPEN",IF(OR(NOT(ISNUMBER(J18)),J18&lt;I18),"FAIL","PASS"))</x:f>
        <x:v>OPEN</x:v>
      </x:c>
    </x:row>
    <x:row r="19" ht="28" customHeight="1">
      <x:c r="B19" s="8" t="str">
        <x:v>BL-X-PW-13</x:v>
      </x:c>
      <x:c r="C19" s="8" t="str">
        <x:v>BL-X</x:v>
      </x:c>
      <x:c r="D19" s="8" t="str">
        <x:v>corner</x:v>
      </x:c>
      <x:c r="E19" s="8" t="n">
        <x:v>-1</x:v>
      </x:c>
      <x:c r="F19" s="8" t="n">
        <x:v>-1</x:v>
      </x:c>
      <x:c r="G19" s="8" t="n">
        <x:v>1</x:v>
      </x:c>
      <x:c r="H19" s="8" t="n">
        <x:v>1</x:v>
      </x:c>
      <x:c r="I19" s="8" t="n">
        <x:v>3</x:v>
      </x:c>
      <x:c r="J19" s="8" t="str"/>
      <x:c r="K19" s="8" t="str"/>
      <x:c r="L19" s="8" t="str">
        <x:f>IF(K19="","OPEN",IF(OR(NOT(ISNUMBER(J19)),J19&lt;I19),"FAIL","PASS"))</x:f>
        <x:v>OPEN</x:v>
      </x:c>
    </x:row>
    <x:row r="20" ht="28" customHeight="1">
      <x:c r="B20" s="8" t="str">
        <x:v>BL-X-PW-14</x:v>
      </x:c>
      <x:c r="C20" s="8" t="str">
        <x:v>BL-X</x:v>
      </x:c>
      <x:c r="D20" s="8" t="str">
        <x:v>corner</x:v>
      </x:c>
      <x:c r="E20" s="8" t="n">
        <x:v>1</x:v>
      </x:c>
      <x:c r="F20" s="8" t="n">
        <x:v>-1</x:v>
      </x:c>
      <x:c r="G20" s="8" t="n">
        <x:v>1</x:v>
      </x:c>
      <x:c r="H20" s="8" t="n">
        <x:v>1</x:v>
      </x:c>
      <x:c r="I20" s="8" t="n">
        <x:v>3</x:v>
      </x:c>
      <x:c r="J20" s="8" t="str"/>
      <x:c r="K20" s="8" t="str"/>
      <x:c r="L20" s="8" t="str">
        <x:f>IF(K20="","OPEN",IF(OR(NOT(ISNUMBER(J20)),J20&lt;I20),"FAIL","PASS"))</x:f>
        <x:v>OPEN</x:v>
      </x:c>
    </x:row>
    <x:row r="21" ht="28" customHeight="1">
      <x:c r="B21" s="8" t="str">
        <x:v>BL-X-PW-15</x:v>
      </x:c>
      <x:c r="C21" s="8" t="str">
        <x:v>BL-X</x:v>
      </x:c>
      <x:c r="D21" s="8" t="str">
        <x:v>corner</x:v>
      </x:c>
      <x:c r="E21" s="8" t="n">
        <x:v>-1</x:v>
      </x:c>
      <x:c r="F21" s="8" t="n">
        <x:v>1</x:v>
      </x:c>
      <x:c r="G21" s="8" t="n">
        <x:v>1</x:v>
      </x:c>
      <x:c r="H21" s="8" t="n">
        <x:v>1</x:v>
      </x:c>
      <x:c r="I21" s="8" t="n">
        <x:v>3</x:v>
      </x:c>
      <x:c r="J21" s="8" t="str"/>
      <x:c r="K21" s="8" t="str"/>
      <x:c r="L21" s="8" t="str">
        <x:f>IF(K21="","OPEN",IF(OR(NOT(ISNUMBER(J21)),J21&lt;I21),"FAIL","PASS"))</x:f>
        <x:v>OPEN</x:v>
      </x:c>
    </x:row>
    <x:row r="22" ht="28" customHeight="1">
      <x:c r="B22" s="8" t="str">
        <x:v>BL-X-PW-16</x:v>
      </x:c>
      <x:c r="C22" s="8" t="str">
        <x:v>BL-X</x:v>
      </x:c>
      <x:c r="D22" s="8" t="str">
        <x:v>corner</x:v>
      </x:c>
      <x:c r="E22" s="8" t="n">
        <x:v>1</x:v>
      </x:c>
      <x:c r="F22" s="8" t="n">
        <x:v>1</x:v>
      </x:c>
      <x:c r="G22" s="8" t="n">
        <x:v>1</x:v>
      </x:c>
      <x:c r="H22" s="8" t="n">
        <x:v>1</x:v>
      </x:c>
      <x:c r="I22" s="8" t="n">
        <x:v>3</x:v>
      </x:c>
      <x:c r="J22" s="8" t="str"/>
      <x:c r="K22" s="8" t="str"/>
      <x:c r="L22" s="8" t="str">
        <x:f>IF(K22="","OPEN",IF(OR(NOT(ISNUMBER(J22)),J22&lt;I22),"FAIL","PASS"))</x:f>
        <x:v>OPEN</x:v>
      </x:c>
    </x:row>
    <x:row r="23" ht="28" customHeight="1">
      <x:c r="B23" s="8" t="str">
        <x:v>BL-X-PW-C</x:v>
      </x:c>
      <x:c r="C23" s="8" t="str">
        <x:v>BL-X</x:v>
      </x:c>
      <x:c r="D23" s="8" t="str">
        <x:v>center</x:v>
      </x:c>
      <x:c r="E23" s="8" t="n">
        <x:v>0</x:v>
      </x:c>
      <x:c r="F23" s="8" t="n">
        <x:v>0</x:v>
      </x:c>
      <x:c r="G23" s="8" t="n">
        <x:v>0</x:v>
      </x:c>
      <x:c r="H23" s="8" t="n">
        <x:v>0</x:v>
      </x:c>
      <x:c r="I23" s="8" t="n">
        <x:v>12</x:v>
      </x:c>
      <x:c r="J23" s="8" t="str"/>
      <x:c r="K23" s="8" t="str"/>
      <x:c r="L23" s="8" t="str">
        <x:f>IF(K23="","OPEN",IF(OR(NOT(ISNUMBER(J23)),J23&lt;I23),"FAIL","PASS"))</x:f>
        <x:v>OPEN</x:v>
      </x:c>
    </x:row>
    <x:row r="24" ht="28" customHeight="1">
      <x:c r="B24" s="8" t="str">
        <x:v>BL-Y-PW-01</x:v>
      </x:c>
      <x:c r="C24" s="8" t="str">
        <x:v>BL-Y</x:v>
      </x:c>
      <x:c r="D24" s="8" t="str">
        <x:v>corner</x:v>
      </x:c>
      <x:c r="E24" s="8" t="n">
        <x:v>-1</x:v>
      </x:c>
      <x:c r="F24" s="8" t="n">
        <x:v>-1</x:v>
      </x:c>
      <x:c r="G24" s="8" t="n">
        <x:v>-1</x:v>
      </x:c>
      <x:c r="H24" s="8" t="n">
        <x:v>-1</x:v>
      </x:c>
      <x:c r="I24" s="8" t="n">
        <x:v>3</x:v>
      </x:c>
      <x:c r="J24" s="8" t="str"/>
      <x:c r="K24" s="8" t="str"/>
      <x:c r="L24" s="8" t="str">
        <x:f>IF(K24="","OPEN",IF(OR(NOT(ISNUMBER(J24)),J24&lt;I24),"FAIL","PASS"))</x:f>
        <x:v>OPEN</x:v>
      </x:c>
    </x:row>
    <x:row r="25" ht="28" customHeight="1">
      <x:c r="B25" s="8" t="str">
        <x:v>BL-Y-PW-02</x:v>
      </x:c>
      <x:c r="C25" s="8" t="str">
        <x:v>BL-Y</x:v>
      </x:c>
      <x:c r="D25" s="8" t="str">
        <x:v>corner</x:v>
      </x:c>
      <x:c r="E25" s="8" t="n">
        <x:v>1</x:v>
      </x:c>
      <x:c r="F25" s="8" t="n">
        <x:v>-1</x:v>
      </x:c>
      <x:c r="G25" s="8" t="n">
        <x:v>-1</x:v>
      </x:c>
      <x:c r="H25" s="8" t="n">
        <x:v>-1</x:v>
      </x:c>
      <x:c r="I25" s="8" t="n">
        <x:v>3</x:v>
      </x:c>
      <x:c r="J25" s="8" t="str"/>
      <x:c r="K25" s="8" t="str"/>
      <x:c r="L25" s="8" t="str">
        <x:f>IF(K25="","OPEN",IF(OR(NOT(ISNUMBER(J25)),J25&lt;I25),"FAIL","PASS"))</x:f>
        <x:v>OPEN</x:v>
      </x:c>
    </x:row>
    <x:row r="26" ht="28" customHeight="1">
      <x:c r="B26" s="8" t="str">
        <x:v>BL-Y-PW-03</x:v>
      </x:c>
      <x:c r="C26" s="8" t="str">
        <x:v>BL-Y</x:v>
      </x:c>
      <x:c r="D26" s="8" t="str">
        <x:v>corner</x:v>
      </x:c>
      <x:c r="E26" s="8" t="n">
        <x:v>-1</x:v>
      </x:c>
      <x:c r="F26" s="8" t="n">
        <x:v>1</x:v>
      </x:c>
      <x:c r="G26" s="8" t="n">
        <x:v>-1</x:v>
      </x:c>
      <x:c r="H26" s="8" t="n">
        <x:v>-1</x:v>
      </x:c>
      <x:c r="I26" s="8" t="n">
        <x:v>3</x:v>
      </x:c>
      <x:c r="J26" s="8" t="str"/>
      <x:c r="K26" s="8" t="str"/>
      <x:c r="L26" s="8" t="str">
        <x:f>IF(K26="","OPEN",IF(OR(NOT(ISNUMBER(J26)),J26&lt;I26),"FAIL","PASS"))</x:f>
        <x:v>OPEN</x:v>
      </x:c>
    </x:row>
    <x:row r="27" ht="28" customHeight="1">
      <x:c r="B27" s="8" t="str">
        <x:v>BL-Y-PW-04</x:v>
      </x:c>
      <x:c r="C27" s="8" t="str">
        <x:v>BL-Y</x:v>
      </x:c>
      <x:c r="D27" s="8" t="str">
        <x:v>corner</x:v>
      </x:c>
      <x:c r="E27" s="8" t="n">
        <x:v>1</x:v>
      </x:c>
      <x:c r="F27" s="8" t="n">
        <x:v>1</x:v>
      </x:c>
      <x:c r="G27" s="8" t="n">
        <x:v>-1</x:v>
      </x:c>
      <x:c r="H27" s="8" t="n">
        <x:v>-1</x:v>
      </x:c>
      <x:c r="I27" s="8" t="n">
        <x:v>3</x:v>
      </x:c>
      <x:c r="J27" s="8" t="str"/>
      <x:c r="K27" s="8" t="str"/>
      <x:c r="L27" s="8" t="str">
        <x:f>IF(K27="","OPEN",IF(OR(NOT(ISNUMBER(J27)),J27&lt;I27),"FAIL","PASS"))</x:f>
        <x:v>OPEN</x:v>
      </x:c>
    </x:row>
    <x:row r="28" ht="28" customHeight="1">
      <x:c r="B28" s="8" t="str">
        <x:v>BL-Y-PW-05</x:v>
      </x:c>
      <x:c r="C28" s="8" t="str">
        <x:v>BL-Y</x:v>
      </x:c>
      <x:c r="D28" s="8" t="str">
        <x:v>corner</x:v>
      </x:c>
      <x:c r="E28" s="8" t="n">
        <x:v>-1</x:v>
      </x:c>
      <x:c r="F28" s="8" t="n">
        <x:v>-1</x:v>
      </x:c>
      <x:c r="G28" s="8" t="n">
        <x:v>1</x:v>
      </x:c>
      <x:c r="H28" s="8" t="n">
        <x:v>-1</x:v>
      </x:c>
      <x:c r="I28" s="8" t="n">
        <x:v>3</x:v>
      </x:c>
      <x:c r="J28" s="8" t="str"/>
      <x:c r="K28" s="8" t="str"/>
      <x:c r="L28" s="8" t="str">
        <x:f>IF(K28="","OPEN",IF(OR(NOT(ISNUMBER(J28)),J28&lt;I28),"FAIL","PASS"))</x:f>
        <x:v>OPEN</x:v>
      </x:c>
    </x:row>
    <x:row r="29" ht="28" customHeight="1">
      <x:c r="B29" s="8" t="str">
        <x:v>BL-Y-PW-06</x:v>
      </x:c>
      <x:c r="C29" s="8" t="str">
        <x:v>BL-Y</x:v>
      </x:c>
      <x:c r="D29" s="8" t="str">
        <x:v>corner</x:v>
      </x:c>
      <x:c r="E29" s="8" t="n">
        <x:v>1</x:v>
      </x:c>
      <x:c r="F29" s="8" t="n">
        <x:v>-1</x:v>
      </x:c>
      <x:c r="G29" s="8" t="n">
        <x:v>1</x:v>
      </x:c>
      <x:c r="H29" s="8" t="n">
        <x:v>-1</x:v>
      </x:c>
      <x:c r="I29" s="8" t="n">
        <x:v>3</x:v>
      </x:c>
      <x:c r="J29" s="8" t="str"/>
      <x:c r="K29" s="8" t="str"/>
      <x:c r="L29" s="8" t="str">
        <x:f>IF(K29="","OPEN",IF(OR(NOT(ISNUMBER(J29)),J29&lt;I29),"FAIL","PASS"))</x:f>
        <x:v>OPEN</x:v>
      </x:c>
    </x:row>
    <x:row r="30" ht="28" customHeight="1">
      <x:c r="B30" s="8" t="str">
        <x:v>BL-Y-PW-07</x:v>
      </x:c>
      <x:c r="C30" s="8" t="str">
        <x:v>BL-Y</x:v>
      </x:c>
      <x:c r="D30" s="8" t="str">
        <x:v>corner</x:v>
      </x:c>
      <x:c r="E30" s="8" t="n">
        <x:v>-1</x:v>
      </x:c>
      <x:c r="F30" s="8" t="n">
        <x:v>1</x:v>
      </x:c>
      <x:c r="G30" s="8" t="n">
        <x:v>1</x:v>
      </x:c>
      <x:c r="H30" s="8" t="n">
        <x:v>-1</x:v>
      </x:c>
      <x:c r="I30" s="8" t="n">
        <x:v>3</x:v>
      </x:c>
      <x:c r="J30" s="8" t="str"/>
      <x:c r="K30" s="8" t="str"/>
      <x:c r="L30" s="8" t="str">
        <x:f>IF(K30="","OPEN",IF(OR(NOT(ISNUMBER(J30)),J30&lt;I30),"FAIL","PASS"))</x:f>
        <x:v>OPEN</x:v>
      </x:c>
    </x:row>
    <x:row r="31" ht="28" customHeight="1">
      <x:c r="B31" s="8" t="str">
        <x:v>BL-Y-PW-08</x:v>
      </x:c>
      <x:c r="C31" s="8" t="str">
        <x:v>BL-Y</x:v>
      </x:c>
      <x:c r="D31" s="8" t="str">
        <x:v>corner</x:v>
      </x:c>
      <x:c r="E31" s="8" t="n">
        <x:v>1</x:v>
      </x:c>
      <x:c r="F31" s="8" t="n">
        <x:v>1</x:v>
      </x:c>
      <x:c r="G31" s="8" t="n">
        <x:v>1</x:v>
      </x:c>
      <x:c r="H31" s="8" t="n">
        <x:v>-1</x:v>
      </x:c>
      <x:c r="I31" s="8" t="n">
        <x:v>3</x:v>
      </x:c>
      <x:c r="J31" s="8" t="str"/>
      <x:c r="K31" s="8" t="str"/>
      <x:c r="L31" s="8" t="str">
        <x:f>IF(K31="","OPEN",IF(OR(NOT(ISNUMBER(J31)),J31&lt;I31),"FAIL","PASS"))</x:f>
        <x:v>OPEN</x:v>
      </x:c>
    </x:row>
    <x:row r="32" ht="28" customHeight="1">
      <x:c r="B32" s="8" t="str">
        <x:v>BL-Y-PW-09</x:v>
      </x:c>
      <x:c r="C32" s="8" t="str">
        <x:v>BL-Y</x:v>
      </x:c>
      <x:c r="D32" s="8" t="str">
        <x:v>corner</x:v>
      </x:c>
      <x:c r="E32" s="8" t="n">
        <x:v>-1</x:v>
      </x:c>
      <x:c r="F32" s="8" t="n">
        <x:v>-1</x:v>
      </x:c>
      <x:c r="G32" s="8" t="n">
        <x:v>-1</x:v>
      </x:c>
      <x:c r="H32" s="8" t="n">
        <x:v>1</x:v>
      </x:c>
      <x:c r="I32" s="8" t="n">
        <x:v>3</x:v>
      </x:c>
      <x:c r="J32" s="8" t="str"/>
      <x:c r="K32" s="8" t="str"/>
      <x:c r="L32" s="8" t="str">
        <x:f>IF(K32="","OPEN",IF(OR(NOT(ISNUMBER(J32)),J32&lt;I32),"FAIL","PASS"))</x:f>
        <x:v>OPEN</x:v>
      </x:c>
    </x:row>
    <x:row r="33" ht="28" customHeight="1">
      <x:c r="B33" s="8" t="str">
        <x:v>BL-Y-PW-10</x:v>
      </x:c>
      <x:c r="C33" s="8" t="str">
        <x:v>BL-Y</x:v>
      </x:c>
      <x:c r="D33" s="8" t="str">
        <x:v>corner</x:v>
      </x:c>
      <x:c r="E33" s="8" t="n">
        <x:v>1</x:v>
      </x:c>
      <x:c r="F33" s="8" t="n">
        <x:v>-1</x:v>
      </x:c>
      <x:c r="G33" s="8" t="n">
        <x:v>-1</x:v>
      </x:c>
      <x:c r="H33" s="8" t="n">
        <x:v>1</x:v>
      </x:c>
      <x:c r="I33" s="8" t="n">
        <x:v>3</x:v>
      </x:c>
      <x:c r="J33" s="8" t="str"/>
      <x:c r="K33" s="8" t="str"/>
      <x:c r="L33" s="8" t="str">
        <x:f>IF(K33="","OPEN",IF(OR(NOT(ISNUMBER(J33)),J33&lt;I33),"FAIL","PASS"))</x:f>
        <x:v>OPEN</x:v>
      </x:c>
    </x:row>
    <x:row r="34" ht="28" customHeight="1">
      <x:c r="B34" s="8" t="str">
        <x:v>BL-Y-PW-11</x:v>
      </x:c>
      <x:c r="C34" s="8" t="str">
        <x:v>BL-Y</x:v>
      </x:c>
      <x:c r="D34" s="8" t="str">
        <x:v>corner</x:v>
      </x:c>
      <x:c r="E34" s="8" t="n">
        <x:v>-1</x:v>
      </x:c>
      <x:c r="F34" s="8" t="n">
        <x:v>1</x:v>
      </x:c>
      <x:c r="G34" s="8" t="n">
        <x:v>-1</x:v>
      </x:c>
      <x:c r="H34" s="8" t="n">
        <x:v>1</x:v>
      </x:c>
      <x:c r="I34" s="8" t="n">
        <x:v>3</x:v>
      </x:c>
      <x:c r="J34" s="8" t="str"/>
      <x:c r="K34" s="8" t="str"/>
      <x:c r="L34" s="8" t="str">
        <x:f>IF(K34="","OPEN",IF(OR(NOT(ISNUMBER(J34)),J34&lt;I34),"FAIL","PASS"))</x:f>
        <x:v>OPEN</x:v>
      </x:c>
    </x:row>
    <x:row r="35" ht="28" customHeight="1">
      <x:c r="B35" s="8" t="str">
        <x:v>BL-Y-PW-12</x:v>
      </x:c>
      <x:c r="C35" s="8" t="str">
        <x:v>BL-Y</x:v>
      </x:c>
      <x:c r="D35" s="8" t="str">
        <x:v>corner</x:v>
      </x:c>
      <x:c r="E35" s="8" t="n">
        <x:v>1</x:v>
      </x:c>
      <x:c r="F35" s="8" t="n">
        <x:v>1</x:v>
      </x:c>
      <x:c r="G35" s="8" t="n">
        <x:v>-1</x:v>
      </x:c>
      <x:c r="H35" s="8" t="n">
        <x:v>1</x:v>
      </x:c>
      <x:c r="I35" s="8" t="n">
        <x:v>3</x:v>
      </x:c>
      <x:c r="J35" s="8" t="str"/>
      <x:c r="K35" s="8" t="str"/>
      <x:c r="L35" s="8" t="str">
        <x:f>IF(K35="","OPEN",IF(OR(NOT(ISNUMBER(J35)),J35&lt;I35),"FAIL","PASS"))</x:f>
        <x:v>OPEN</x:v>
      </x:c>
    </x:row>
    <x:row r="36" ht="28" customHeight="1">
      <x:c r="B36" s="8" t="str">
        <x:v>BL-Y-PW-13</x:v>
      </x:c>
      <x:c r="C36" s="8" t="str">
        <x:v>BL-Y</x:v>
      </x:c>
      <x:c r="D36" s="8" t="str">
        <x:v>corner</x:v>
      </x:c>
      <x:c r="E36" s="8" t="n">
        <x:v>-1</x:v>
      </x:c>
      <x:c r="F36" s="8" t="n">
        <x:v>-1</x:v>
      </x:c>
      <x:c r="G36" s="8" t="n">
        <x:v>1</x:v>
      </x:c>
      <x:c r="H36" s="8" t="n">
        <x:v>1</x:v>
      </x:c>
      <x:c r="I36" s="8" t="n">
        <x:v>3</x:v>
      </x:c>
      <x:c r="J36" s="8" t="str"/>
      <x:c r="K36" s="8" t="str"/>
      <x:c r="L36" s="8" t="str">
        <x:f>IF(K36="","OPEN",IF(OR(NOT(ISNUMBER(J36)),J36&lt;I36),"FAIL","PASS"))</x:f>
        <x:v>OPEN</x:v>
      </x:c>
    </x:row>
    <x:row r="37" ht="28" customHeight="1">
      <x:c r="B37" s="8" t="str">
        <x:v>BL-Y-PW-14</x:v>
      </x:c>
      <x:c r="C37" s="8" t="str">
        <x:v>BL-Y</x:v>
      </x:c>
      <x:c r="D37" s="8" t="str">
        <x:v>corner</x:v>
      </x:c>
      <x:c r="E37" s="8" t="n">
        <x:v>1</x:v>
      </x:c>
      <x:c r="F37" s="8" t="n">
        <x:v>-1</x:v>
      </x:c>
      <x:c r="G37" s="8" t="n">
        <x:v>1</x:v>
      </x:c>
      <x:c r="H37" s="8" t="n">
        <x:v>1</x:v>
      </x:c>
      <x:c r="I37" s="8" t="n">
        <x:v>3</x:v>
      </x:c>
      <x:c r="J37" s="8" t="str"/>
      <x:c r="K37" s="8" t="str"/>
      <x:c r="L37" s="8" t="str">
        <x:f>IF(K37="","OPEN",IF(OR(NOT(ISNUMBER(J37)),J37&lt;I37),"FAIL","PASS"))</x:f>
        <x:v>OPEN</x:v>
      </x:c>
    </x:row>
    <x:row r="38" ht="28" customHeight="1">
      <x:c r="B38" s="8" t="str">
        <x:v>BL-Y-PW-15</x:v>
      </x:c>
      <x:c r="C38" s="8" t="str">
        <x:v>BL-Y</x:v>
      </x:c>
      <x:c r="D38" s="8" t="str">
        <x:v>corner</x:v>
      </x:c>
      <x:c r="E38" s="8" t="n">
        <x:v>-1</x:v>
      </x:c>
      <x:c r="F38" s="8" t="n">
        <x:v>1</x:v>
      </x:c>
      <x:c r="G38" s="8" t="n">
        <x:v>1</x:v>
      </x:c>
      <x:c r="H38" s="8" t="n">
        <x:v>1</x:v>
      </x:c>
      <x:c r="I38" s="8" t="n">
        <x:v>3</x:v>
      </x:c>
      <x:c r="J38" s="8" t="str"/>
      <x:c r="K38" s="8" t="str"/>
      <x:c r="L38" s="8" t="str">
        <x:f>IF(K38="","OPEN",IF(OR(NOT(ISNUMBER(J38)),J38&lt;I38),"FAIL","PASS"))</x:f>
        <x:v>OPEN</x:v>
      </x:c>
    </x:row>
    <x:row r="39" ht="28" customHeight="1">
      <x:c r="B39" s="8" t="str">
        <x:v>BL-Y-PW-16</x:v>
      </x:c>
      <x:c r="C39" s="8" t="str">
        <x:v>BL-Y</x:v>
      </x:c>
      <x:c r="D39" s="8" t="str">
        <x:v>corner</x:v>
      </x:c>
      <x:c r="E39" s="8" t="n">
        <x:v>1</x:v>
      </x:c>
      <x:c r="F39" s="8" t="n">
        <x:v>1</x:v>
      </x:c>
      <x:c r="G39" s="8" t="n">
        <x:v>1</x:v>
      </x:c>
      <x:c r="H39" s="8" t="n">
        <x:v>1</x:v>
      </x:c>
      <x:c r="I39" s="8" t="n">
        <x:v>3</x:v>
      </x:c>
      <x:c r="J39" s="8" t="str"/>
      <x:c r="K39" s="8" t="str"/>
      <x:c r="L39" s="8" t="str">
        <x:f>IF(K39="","OPEN",IF(OR(NOT(ISNUMBER(J39)),J39&lt;I39),"FAIL","PASS"))</x:f>
        <x:v>OPEN</x:v>
      </x:c>
    </x:row>
    <x:row r="40" ht="28" customHeight="1">
      <x:c r="B40" s="8" t="str">
        <x:v>BL-Y-PW-C</x:v>
      </x:c>
      <x:c r="C40" s="8" t="str">
        <x:v>BL-Y</x:v>
      </x:c>
      <x:c r="D40" s="8" t="str">
        <x:v>center</x:v>
      </x:c>
      <x:c r="E40" s="8" t="n">
        <x:v>0</x:v>
      </x:c>
      <x:c r="F40" s="8" t="n">
        <x:v>0</x:v>
      </x:c>
      <x:c r="G40" s="8" t="n">
        <x:v>0</x:v>
      </x:c>
      <x:c r="H40" s="8" t="n">
        <x:v>0</x:v>
      </x:c>
      <x:c r="I40" s="8" t="n">
        <x:v>12</x:v>
      </x:c>
      <x:c r="J40" s="8" t="str"/>
      <x:c r="K40" s="8" t="str"/>
      <x:c r="L40" s="8" t="str">
        <x:f>IF(K40="","OPEN",IF(OR(NOT(ISNUMBER(J40)),J40&lt;I40),"FAIL","PASS"))</x:f>
        <x:v>OPEN</x:v>
      </x:c>
    </x:row>
  </x:sheetData>
  <x:conditionalFormatting sqref="L7:L40">
    <x:cfRule type="containsText" dxfId="6" priority="1" operator="containsText" text="FAIL"/>
    <x:cfRule type="containsText" dxfId="7" priority="2" operator="containsText" text="BLOCKED"/>
    <x:cfRule type="containsText" dxfId="8" priority="3" operator="containsText" text="OPEN"/>
    <x:cfRule type="containsText" dxfId="9" priority="4" operator="containsText" text="PASS"/>
    <x:cfRule type="containsText" dxfId="10" priority="5" operator="containsText" text="PLANNED"/>
    <x:cfRule type="containsText" dxfId="11" priority="6" operator="containsText" text="ACTIVE"/>
  </x:conditionalFormatting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Views>
    <x:sheetView showGridLines="0" workbookViewId="0">
      <x:pane xSplit="2" ySplit="6" topLeftCell="C7" activePane="bottomRight" state="frozen"/>
    </x:sheetView>
  </x:sheetViews>
  <x:sheetFormatPr defaultRowHeight="15"/>
  <x:cols>
    <x:col min="2" max="2" width="14" hidden="0" customWidth="1"/>
    <x:col min="3" max="3" width="13" hidden="0" customWidth="1"/>
    <x:col min="4" max="4" width="49" hidden="0" customWidth="1"/>
    <x:col min="5" max="5" width="38" hidden="0" customWidth="1"/>
    <x:col min="6" max="6" width="44" hidden="0" customWidth="1"/>
  </x:cols>
  <x:sheetData>
    <x:row r="2">
      <x:c r="B2" s="44" t="str">
        <x:v>Twelve lineage-specific defect mechanisms</x:v>
      </x:c>
      <x:c r="C2" s="45"/>
      <x:c r="D2" s="45"/>
      <x:c r="E2" s="45"/>
      <x:c r="F2" s="45"/>
    </x:row>
    <x:row r="3">
      <x:c r="B3" s="46" t="str">
        <x:v>Thresholds are committed before blind presentations. A successful cell cannot rescue a failed mechanism.</x:v>
      </x:c>
      <x:c r="C3" s="45"/>
      <x:c r="D3" s="45"/>
      <x:c r="E3" s="45"/>
      <x:c r="F3" s="45"/>
    </x:row>
    <x:row r="4">
      <x:c r="B4" s="45"/>
      <x:c r="C4" s="45"/>
      <x:c r="D4" s="45"/>
      <x:c r="E4" s="45"/>
      <x:c r="F4" s="45"/>
    </x:row>
    <x:row r="5">
      <x:c r="B5" s="45"/>
      <x:c r="C5" s="45"/>
      <x:c r="D5" s="45"/>
      <x:c r="E5" s="45"/>
      <x:c r="F5" s="45"/>
    </x:row>
    <x:row r="6" ht="25" customHeight="1">
      <x:c r="B6" s="6" t="str">
        <x:v>Defect</x:v>
      </x:c>
      <x:c r="C6" s="6" t="str">
        <x:v>Lineage</x:v>
      </x:c>
      <x:c r="D6" s="6" t="str">
        <x:v>Mechanism</x:v>
      </x:c>
      <x:c r="E6" s="6" t="str">
        <x:v>Controlled variable</x:v>
      </x:c>
      <x:c r="F6" s="6" t="str">
        <x:v>Truth method</x:v>
      </x:c>
    </x:row>
    <x:row r="7" ht="42" customHeight="1">
      <x:c r="B7" s="8" t="str">
        <x:v>X-D01</x:v>
      </x:c>
      <x:c r="C7" s="8" t="str">
        <x:v>BL-X</x:v>
      </x:c>
      <x:c r="D7" s="9" t="str">
        <x:v>purge loss and internal oxidation</x:v>
      </x:c>
      <x:c r="E7" s="9" t="str">
        <x:v>oxygen or oxide state</x:v>
      </x:c>
      <x:c r="F7" s="9" t="str">
        <x:v>root image plus section</x:v>
      </x:c>
    </x:row>
    <x:row r="8" ht="42" customHeight="1">
      <x:c r="B8" s="8" t="str">
        <x:v>X-D02</x:v>
      </x:c>
      <x:c r="C8" s="8" t="str">
        <x:v>BL-X</x:v>
      </x:c>
      <x:c r="D8" s="9" t="str">
        <x:v>incomplete fusion or root discontinuity</x:v>
      </x:c>
      <x:c r="E8" s="9" t="str">
        <x:v>embedded planar discontinuity</x:v>
      </x:c>
      <x:c r="F8" s="9" t="str">
        <x:v>volumetric NDE plus section</x:v>
      </x:c>
    </x:row>
    <x:row r="9" ht="42" customHeight="1">
      <x:c r="B9" s="8" t="str">
        <x:v>X-D03</x:v>
      </x:c>
      <x:c r="C9" s="8" t="str">
        <x:v>BL-X</x:v>
      </x:c>
      <x:c r="D9" s="9" t="str">
        <x:v>bore hi-lo and internal step</x:v>
      </x:c>
      <x:c r="E9" s="9" t="str">
        <x:v>radial offset</x:v>
      </x:c>
      <x:c r="F9" s="9" t="str">
        <x:v>robotic bore map plus section</x:v>
      </x:c>
    </x:row>
    <x:row r="10" ht="42" customHeight="1">
      <x:c r="B10" s="8" t="str">
        <x:v>X-D04</x:v>
      </x:c>
      <x:c r="C10" s="8" t="str">
        <x:v>BL-X</x:v>
      </x:c>
      <x:c r="D10" s="9" t="str">
        <x:v>heat-input or heat-affected-zone excursion</x:v>
      </x:c>
      <x:c r="E10" s="9" t="str">
        <x:v>energy and thermal history</x:v>
      </x:c>
      <x:c r="F10" s="9" t="str">
        <x:v>execution record plus microscopy</x:v>
      </x:c>
    </x:row>
    <x:row r="11" ht="42" customHeight="1">
      <x:c r="B11" s="8" t="str">
        <x:v>X-D05</x:v>
      </x:c>
      <x:c r="C11" s="8" t="str">
        <x:v>BL-X</x:v>
      </x:c>
      <x:c r="D11" s="9" t="str">
        <x:v>porosity or through-wall leak path</x:v>
      </x:c>
      <x:c r="E11" s="9" t="str">
        <x:v>void and connected path</x:v>
      </x:c>
      <x:c r="F11" s="9" t="str">
        <x:v>leak test, NDE and section</x:v>
      </x:c>
    </x:row>
    <x:row r="12" ht="42" customHeight="1">
      <x:c r="B12" s="8" t="str">
        <x:v>X-D06</x:v>
      </x:c>
      <x:c r="C12" s="8" t="str">
        <x:v>BL-X</x:v>
      </x:c>
      <x:c r="D12" s="9" t="str">
        <x:v>surface contamination or failed recovery</x:v>
      </x:c>
      <x:c r="E12" s="9" t="str">
        <x:v>surface chemistry and retained film</x:v>
      </x:c>
      <x:c r="F12" s="9" t="str">
        <x:v>surface map plus destructive assay</x:v>
      </x:c>
    </x:row>
    <x:row r="13" ht="42" customHeight="1">
      <x:c r="B13" s="8" t="str">
        <x:v>Y-D01</x:v>
      </x:c>
      <x:c r="C13" s="8" t="str">
        <x:v>BL-Y</x:v>
      </x:c>
      <x:c r="D13" s="9" t="str">
        <x:v>low retained preload</x:v>
      </x:c>
      <x:c r="E13" s="9" t="str">
        <x:v>fastener or clamp force</x:v>
      </x:c>
      <x:c r="F13" s="9" t="str">
        <x:v>direct preload plus teardown</x:v>
      </x:c>
    </x:row>
    <x:row r="14" ht="42" customHeight="1">
      <x:c r="B14" s="8" t="str">
        <x:v>Y-D02</x:v>
      </x:c>
      <x:c r="C14" s="8" t="str">
        <x:v>BL-Y</x:v>
      </x:c>
      <x:c r="D14" s="9" t="str">
        <x:v>incorrect seal compression</x:v>
      </x:c>
      <x:c r="E14" s="9" t="str">
        <x:v>squeeze and gland geometry</x:v>
      </x:c>
      <x:c r="F14" s="9" t="str">
        <x:v>geometry plus seal microscopy</x:v>
      </x:c>
    </x:row>
    <x:row r="15" ht="42" customHeight="1">
      <x:c r="B15" s="8" t="str">
        <x:v>Y-D03</x:v>
      </x:c>
      <x:c r="C15" s="8" t="str">
        <x:v>BL-Y</x:v>
      </x:c>
      <x:c r="D15" s="9" t="str">
        <x:v>key or face misregistration</x:v>
      </x:c>
      <x:c r="E15" s="9" t="str">
        <x:v>angular and radial mismatch</x:v>
      </x:c>
      <x:c r="F15" s="9" t="str">
        <x:v>bore map plus teardown</x:v>
      </x:c>
    </x:row>
    <x:row r="16" ht="42" customHeight="1">
      <x:c r="B16" s="8" t="str">
        <x:v>Y-D04</x:v>
      </x:c>
      <x:c r="C16" s="8" t="str">
        <x:v>BL-Y</x:v>
      </x:c>
      <x:c r="D16" s="9" t="str">
        <x:v>particulate or film contamination</x:v>
      </x:c>
      <x:c r="E16" s="9" t="str">
        <x:v>standardized foreign state</x:v>
      </x:c>
      <x:c r="F16" s="9" t="str">
        <x:v>barrier test plus assay</x:v>
      </x:c>
    </x:row>
    <x:row r="17" ht="42" customHeight="1">
      <x:c r="B17" s="8" t="str">
        <x:v>Y-D05</x:v>
      </x:c>
      <x:c r="C17" s="8" t="str">
        <x:v>BL-Y</x:v>
      </x:c>
      <x:c r="D17" s="9" t="str">
        <x:v>blocked or cross-connected interspace</x:v>
      </x:c>
      <x:c r="E17" s="9" t="str">
        <x:v>monitor path state</x:v>
      </x:c>
      <x:c r="F17" s="9" t="str">
        <x:v>interspace challenge plus section</x:v>
      </x:c>
    </x:row>
    <x:row r="18" ht="42" customHeight="1">
      <x:c r="B18" s="8" t="str">
        <x:v>Y-D06</x:v>
      </x:c>
      <x:c r="C18" s="8" t="str">
        <x:v>BL-Y</x:v>
      </x:c>
      <x:c r="D18" s="9" t="str">
        <x:v>assembly relaxation after cycling</x:v>
      </x:c>
      <x:c r="E18" s="9" t="str">
        <x:v>preload and seal-set loss</x:v>
      </x:c>
      <x:c r="F18" s="9" t="str">
        <x:v>cycle history plus teardown</x:v>
      </x:c>
    </x:row>
  </x:sheetData>
  <x:pageMargins left="0.7" right="0.7" top="0.75" bottom="0.75" header="0.3" footer="0.3"/>
</x:worksheet>
</file>

<file path=xl/worksheets/sheet10.xml><?xml version="1.0" encoding="utf-8"?>
<x:worksheet xmlns:x="http://schemas.openxmlformats.org/spreadsheetml/2006/main">
  <x:sheetViews>
    <x:sheetView showGridLines="0" workbookViewId="0">
      <x:pane xSplit="2" ySplit="6" topLeftCell="C7" activePane="bottomRight" state="frozen"/>
    </x:sheetView>
  </x:sheetViews>
  <x:sheetFormatPr defaultRowHeight="15"/>
  <x:cols>
    <x:col min="2" max="2" width="23" hidden="0" customWidth="1"/>
    <x:col min="3" max="3" width="14" hidden="0" customWidth="1"/>
    <x:col min="4" max="4" width="13" hidden="0" customWidth="1"/>
    <x:col min="5" max="5" width="31" hidden="0" customWidth="1"/>
    <x:col min="6" max="6" width="23" hidden="0" customWidth="1"/>
    <x:col min="7" max="7" width="18" hidden="0" customWidth="1"/>
    <x:col min="8" max="8" width="17" hidden="0" customWidth="1"/>
    <x:col min="9" max="9" width="18" hidden="0" customWidth="1"/>
    <x:col min="10" max="10" width="20" hidden="0" customWidth="1"/>
    <x:col min="11" max="11" width="14" hidden="0" customWidth="1"/>
  </x:cols>
  <x:sheetData>
    <x:row r="2">
      <x:c r="B2" s="44" t="str">
        <x:v>Blinded defect-presentation population</x:v>
      </x:c>
      <x:c r="C2" s="45"/>
      <x:c r="D2" s="45"/>
      <x:c r="E2" s="45"/>
      <x:c r="F2" s="45"/>
      <x:c r="G2" s="45"/>
      <x:c r="H2" s="45"/>
      <x:c r="I2" s="45"/>
      <x:c r="J2" s="45"/>
      <x:c r="K2" s="45"/>
    </x:row>
    <x:row r="3">
      <x:c r="B3" s="46" t="str">
        <x:v>Each row represents twenty-nine unique physical presentations. Repeat acquisitions are excluded from the primary bound.</x:v>
      </x:c>
      <x:c r="C3" s="45"/>
      <x:c r="D3" s="45"/>
      <x:c r="E3" s="45"/>
      <x:c r="F3" s="45"/>
      <x:c r="G3" s="45"/>
      <x:c r="H3" s="45"/>
      <x:c r="I3" s="45"/>
      <x:c r="J3" s="45"/>
      <x:c r="K3" s="45"/>
    </x:row>
    <x:row r="4">
      <x:c r="B4" s="45"/>
      <x:c r="C4" s="45"/>
      <x:c r="D4" s="45"/>
      <x:c r="E4" s="45"/>
      <x:c r="F4" s="45"/>
      <x:c r="G4" s="45"/>
      <x:c r="H4" s="45"/>
      <x:c r="I4" s="45"/>
      <x:c r="J4" s="45"/>
      <x:c r="K4" s="45"/>
    </x:row>
    <x:row r="5">
      <x:c r="B5" s="45"/>
      <x:c r="C5" s="45"/>
      <x:c r="D5" s="45"/>
      <x:c r="E5" s="45"/>
      <x:c r="F5" s="45"/>
      <x:c r="G5" s="45"/>
      <x:c r="H5" s="45"/>
      <x:c r="I5" s="45"/>
      <x:c r="J5" s="45"/>
      <x:c r="K5" s="45"/>
    </x:row>
    <x:row r="6" ht="25" customHeight="1">
      <x:c r="B6" s="6" t="str">
        <x:v>Block</x:v>
      </x:c>
      <x:c r="C6" s="6" t="str">
        <x:v>Defect</x:v>
      </x:c>
      <x:c r="D6" s="6" t="str">
        <x:v>Lineage</x:v>
      </x:c>
      <x:c r="E6" s="6" t="str">
        <x:v>Truth class</x:v>
      </x:c>
      <x:c r="F6" s="6" t="str">
        <x:v>Unique presentations</x:v>
      </x:c>
      <x:c r="G6" s="6" t="str">
        <x:v>Challenge key</x:v>
      </x:c>
      <x:c r="H6" s="6" t="str">
        <x:v>Completed</x:v>
      </x:c>
      <x:c r="I6" s="6" t="str">
        <x:v>Correct calls</x:v>
      </x:c>
      <x:c r="J6" s="6" t="str">
        <x:v>Accepted UTC</x:v>
      </x:c>
      <x:c r="K6" s="6" t="str">
        <x:v>State</x:v>
      </x:c>
    </x:row>
    <x:row r="7" ht="34" customHeight="1">
      <x:c r="B7" s="8" t="str">
        <x:v>X-D01-0001</x:v>
      </x:c>
      <x:c r="C7" s="8" t="str">
        <x:v>X-D01</x:v>
      </x:c>
      <x:c r="D7" s="8" t="str">
        <x:v>BL-X</x:v>
      </x:c>
      <x:c r="E7" s="9" t="str">
        <x:v>AT THRESHOLD POSITIVE</x:v>
      </x:c>
      <x:c r="F7" s="8" t="n">
        <x:v>29</x:v>
      </x:c>
      <x:c r="G7" s="8" t="str">
        <x:v>SEALED</x:v>
      </x:c>
      <x:c r="H7" s="8" t="str"/>
      <x:c r="I7" s="8" t="str"/>
      <x:c r="J7" s="8" t="str"/>
      <x:c r="K7" s="8" t="str">
        <x:f>IF(J7="","OPEN",IF(OR(NOT(ISNUMBER(H7)),H7&lt;&gt;F7,NOT(ISNUMBER(I7)),I7&lt;&gt;F7),"FAIL","PASS"))</x:f>
        <x:v>OPEN</x:v>
      </x:c>
    </x:row>
    <x:row r="8" ht="34" customHeight="1">
      <x:c r="B8" s="8" t="str">
        <x:v>X-D01-0002</x:v>
      </x:c>
      <x:c r="C8" s="8" t="str">
        <x:v>X-D01</x:v>
      </x:c>
      <x:c r="D8" s="8" t="str">
        <x:v>BL-X</x:v>
      </x:c>
      <x:c r="E8" s="9" t="str">
        <x:v>ABOVE THRESHOLD POSITIVE</x:v>
      </x:c>
      <x:c r="F8" s="8" t="n">
        <x:v>29</x:v>
      </x:c>
      <x:c r="G8" s="8" t="str">
        <x:v>SEALED</x:v>
      </x:c>
      <x:c r="H8" s="8" t="str"/>
      <x:c r="I8" s="8" t="str"/>
      <x:c r="J8" s="8" t="str"/>
      <x:c r="K8" s="8" t="str">
        <x:f>IF(J8="","OPEN",IF(OR(NOT(ISNUMBER(H8)),H8&lt;&gt;F8,NOT(ISNUMBER(I8)),I8&lt;&gt;F8),"FAIL","PASS"))</x:f>
        <x:v>OPEN</x:v>
      </x:c>
    </x:row>
    <x:row r="9" ht="34" customHeight="1">
      <x:c r="B9" s="8" t="str">
        <x:v>X-D01-0003</x:v>
      </x:c>
      <x:c r="C9" s="8" t="str">
        <x:v>X-D01</x:v>
      </x:c>
      <x:c r="D9" s="8" t="str">
        <x:v>BL-X</x:v>
      </x:c>
      <x:c r="E9" s="9" t="str">
        <x:v>BELOW THRESHOLD NEGATIVE</x:v>
      </x:c>
      <x:c r="F9" s="8" t="n">
        <x:v>29</x:v>
      </x:c>
      <x:c r="G9" s="8" t="str">
        <x:v>SEALED</x:v>
      </x:c>
      <x:c r="H9" s="8" t="str"/>
      <x:c r="I9" s="8" t="str"/>
      <x:c r="J9" s="8" t="str"/>
      <x:c r="K9" s="8" t="str">
        <x:f>IF(J9="","OPEN",IF(OR(NOT(ISNUMBER(H9)),H9&lt;&gt;F9,NOT(ISNUMBER(I9)),I9&lt;&gt;F9),"FAIL","PASS"))</x:f>
        <x:v>OPEN</x:v>
      </x:c>
    </x:row>
    <x:row r="10" ht="34" customHeight="1">
      <x:c r="B10" s="8" t="str">
        <x:v>X-D01-0004</x:v>
      </x:c>
      <x:c r="C10" s="8" t="str">
        <x:v>X-D01</x:v>
      </x:c>
      <x:c r="D10" s="8" t="str">
        <x:v>BL-X</x:v>
      </x:c>
      <x:c r="E10" s="9" t="str">
        <x:v>CLEAN CONTROL</x:v>
      </x:c>
      <x:c r="F10" s="8" t="n">
        <x:v>29</x:v>
      </x:c>
      <x:c r="G10" s="8" t="str">
        <x:v>SEALED</x:v>
      </x:c>
      <x:c r="H10" s="8" t="str"/>
      <x:c r="I10" s="8" t="str"/>
      <x:c r="J10" s="8" t="str"/>
      <x:c r="K10" s="8" t="str">
        <x:f>IF(J10="","OPEN",IF(OR(NOT(ISNUMBER(H10)),H10&lt;&gt;F10,NOT(ISNUMBER(I10)),I10&lt;&gt;F10),"FAIL","PASS"))</x:f>
        <x:v>OPEN</x:v>
      </x:c>
    </x:row>
    <x:row r="11" ht="34" customHeight="1">
      <x:c r="B11" s="8" t="str">
        <x:v>X-D02-0005</x:v>
      </x:c>
      <x:c r="C11" s="8" t="str">
        <x:v>X-D02</x:v>
      </x:c>
      <x:c r="D11" s="8" t="str">
        <x:v>BL-X</x:v>
      </x:c>
      <x:c r="E11" s="9" t="str">
        <x:v>AT THRESHOLD POSITIVE</x:v>
      </x:c>
      <x:c r="F11" s="8" t="n">
        <x:v>29</x:v>
      </x:c>
      <x:c r="G11" s="8" t="str">
        <x:v>SEALED</x:v>
      </x:c>
      <x:c r="H11" s="8" t="str"/>
      <x:c r="I11" s="8" t="str"/>
      <x:c r="J11" s="8" t="str"/>
      <x:c r="K11" s="8" t="str">
        <x:f>IF(J11="","OPEN",IF(OR(NOT(ISNUMBER(H11)),H11&lt;&gt;F11,NOT(ISNUMBER(I11)),I11&lt;&gt;F11),"FAIL","PASS"))</x:f>
        <x:v>OPEN</x:v>
      </x:c>
    </x:row>
    <x:row r="12" ht="34" customHeight="1">
      <x:c r="B12" s="8" t="str">
        <x:v>X-D02-0006</x:v>
      </x:c>
      <x:c r="C12" s="8" t="str">
        <x:v>X-D02</x:v>
      </x:c>
      <x:c r="D12" s="8" t="str">
        <x:v>BL-X</x:v>
      </x:c>
      <x:c r="E12" s="9" t="str">
        <x:v>ABOVE THRESHOLD POSITIVE</x:v>
      </x:c>
      <x:c r="F12" s="8" t="n">
        <x:v>29</x:v>
      </x:c>
      <x:c r="G12" s="8" t="str">
        <x:v>SEALED</x:v>
      </x:c>
      <x:c r="H12" s="8" t="str"/>
      <x:c r="I12" s="8" t="str"/>
      <x:c r="J12" s="8" t="str"/>
      <x:c r="K12" s="8" t="str">
        <x:f>IF(J12="","OPEN",IF(OR(NOT(ISNUMBER(H12)),H12&lt;&gt;F12,NOT(ISNUMBER(I12)),I12&lt;&gt;F12),"FAIL","PASS"))</x:f>
        <x:v>OPEN</x:v>
      </x:c>
    </x:row>
    <x:row r="13" ht="34" customHeight="1">
      <x:c r="B13" s="8" t="str">
        <x:v>X-D02-0007</x:v>
      </x:c>
      <x:c r="C13" s="8" t="str">
        <x:v>X-D02</x:v>
      </x:c>
      <x:c r="D13" s="8" t="str">
        <x:v>BL-X</x:v>
      </x:c>
      <x:c r="E13" s="9" t="str">
        <x:v>BELOW THRESHOLD NEGATIVE</x:v>
      </x:c>
      <x:c r="F13" s="8" t="n">
        <x:v>29</x:v>
      </x:c>
      <x:c r="G13" s="8" t="str">
        <x:v>SEALED</x:v>
      </x:c>
      <x:c r="H13" s="8" t="str"/>
      <x:c r="I13" s="8" t="str"/>
      <x:c r="J13" s="8" t="str"/>
      <x:c r="K13" s="8" t="str">
        <x:f>IF(J13="","OPEN",IF(OR(NOT(ISNUMBER(H13)),H13&lt;&gt;F13,NOT(ISNUMBER(I13)),I13&lt;&gt;F13),"FAIL","PASS"))</x:f>
        <x:v>OPEN</x:v>
      </x:c>
    </x:row>
    <x:row r="14" ht="34" customHeight="1">
      <x:c r="B14" s="8" t="str">
        <x:v>X-D02-0008</x:v>
      </x:c>
      <x:c r="C14" s="8" t="str">
        <x:v>X-D02</x:v>
      </x:c>
      <x:c r="D14" s="8" t="str">
        <x:v>BL-X</x:v>
      </x:c>
      <x:c r="E14" s="9" t="str">
        <x:v>CLEAN CONTROL</x:v>
      </x:c>
      <x:c r="F14" s="8" t="n">
        <x:v>29</x:v>
      </x:c>
      <x:c r="G14" s="8" t="str">
        <x:v>SEALED</x:v>
      </x:c>
      <x:c r="H14" s="8" t="str"/>
      <x:c r="I14" s="8" t="str"/>
      <x:c r="J14" s="8" t="str"/>
      <x:c r="K14" s="8" t="str">
        <x:f>IF(J14="","OPEN",IF(OR(NOT(ISNUMBER(H14)),H14&lt;&gt;F14,NOT(ISNUMBER(I14)),I14&lt;&gt;F14),"FAIL","PASS"))</x:f>
        <x:v>OPEN</x:v>
      </x:c>
    </x:row>
    <x:row r="15" ht="34" customHeight="1">
      <x:c r="B15" s="8" t="str">
        <x:v>X-D03-0009</x:v>
      </x:c>
      <x:c r="C15" s="8" t="str">
        <x:v>X-D03</x:v>
      </x:c>
      <x:c r="D15" s="8" t="str">
        <x:v>BL-X</x:v>
      </x:c>
      <x:c r="E15" s="9" t="str">
        <x:v>AT THRESHOLD POSITIVE</x:v>
      </x:c>
      <x:c r="F15" s="8" t="n">
        <x:v>29</x:v>
      </x:c>
      <x:c r="G15" s="8" t="str">
        <x:v>SEALED</x:v>
      </x:c>
      <x:c r="H15" s="8" t="str"/>
      <x:c r="I15" s="8" t="str"/>
      <x:c r="J15" s="8" t="str"/>
      <x:c r="K15" s="8" t="str">
        <x:f>IF(J15="","OPEN",IF(OR(NOT(ISNUMBER(H15)),H15&lt;&gt;F15,NOT(ISNUMBER(I15)),I15&lt;&gt;F15),"FAIL","PASS"))</x:f>
        <x:v>OPEN</x:v>
      </x:c>
    </x:row>
    <x:row r="16" ht="34" customHeight="1">
      <x:c r="B16" s="8" t="str">
        <x:v>X-D03-0010</x:v>
      </x:c>
      <x:c r="C16" s="8" t="str">
        <x:v>X-D03</x:v>
      </x:c>
      <x:c r="D16" s="8" t="str">
        <x:v>BL-X</x:v>
      </x:c>
      <x:c r="E16" s="9" t="str">
        <x:v>ABOVE THRESHOLD POSITIVE</x:v>
      </x:c>
      <x:c r="F16" s="8" t="n">
        <x:v>29</x:v>
      </x:c>
      <x:c r="G16" s="8" t="str">
        <x:v>SEALED</x:v>
      </x:c>
      <x:c r="H16" s="8" t="str"/>
      <x:c r="I16" s="8" t="str"/>
      <x:c r="J16" s="8" t="str"/>
      <x:c r="K16" s="8" t="str">
        <x:f>IF(J16="","OPEN",IF(OR(NOT(ISNUMBER(H16)),H16&lt;&gt;F16,NOT(ISNUMBER(I16)),I16&lt;&gt;F16),"FAIL","PASS"))</x:f>
        <x:v>OPEN</x:v>
      </x:c>
    </x:row>
    <x:row r="17" ht="34" customHeight="1">
      <x:c r="B17" s="8" t="str">
        <x:v>X-D03-0011</x:v>
      </x:c>
      <x:c r="C17" s="8" t="str">
        <x:v>X-D03</x:v>
      </x:c>
      <x:c r="D17" s="8" t="str">
        <x:v>BL-X</x:v>
      </x:c>
      <x:c r="E17" s="9" t="str">
        <x:v>BELOW THRESHOLD NEGATIVE</x:v>
      </x:c>
      <x:c r="F17" s="8" t="n">
        <x:v>29</x:v>
      </x:c>
      <x:c r="G17" s="8" t="str">
        <x:v>SEALED</x:v>
      </x:c>
      <x:c r="H17" s="8" t="str"/>
      <x:c r="I17" s="8" t="str"/>
      <x:c r="J17" s="8" t="str"/>
      <x:c r="K17" s="8" t="str">
        <x:f>IF(J17="","OPEN",IF(OR(NOT(ISNUMBER(H17)),H17&lt;&gt;F17,NOT(ISNUMBER(I17)),I17&lt;&gt;F17),"FAIL","PASS"))</x:f>
        <x:v>OPEN</x:v>
      </x:c>
    </x:row>
    <x:row r="18" ht="34" customHeight="1">
      <x:c r="B18" s="8" t="str">
        <x:v>X-D03-0012</x:v>
      </x:c>
      <x:c r="C18" s="8" t="str">
        <x:v>X-D03</x:v>
      </x:c>
      <x:c r="D18" s="8" t="str">
        <x:v>BL-X</x:v>
      </x:c>
      <x:c r="E18" s="9" t="str">
        <x:v>CLEAN CONTROL</x:v>
      </x:c>
      <x:c r="F18" s="8" t="n">
        <x:v>29</x:v>
      </x:c>
      <x:c r="G18" s="8" t="str">
        <x:v>SEALED</x:v>
      </x:c>
      <x:c r="H18" s="8" t="str"/>
      <x:c r="I18" s="8" t="str"/>
      <x:c r="J18" s="8" t="str"/>
      <x:c r="K18" s="8" t="str">
        <x:f>IF(J18="","OPEN",IF(OR(NOT(ISNUMBER(H18)),H18&lt;&gt;F18,NOT(ISNUMBER(I18)),I18&lt;&gt;F18),"FAIL","PASS"))</x:f>
        <x:v>OPEN</x:v>
      </x:c>
    </x:row>
    <x:row r="19" ht="34" customHeight="1">
      <x:c r="B19" s="8" t="str">
        <x:v>X-D04-0013</x:v>
      </x:c>
      <x:c r="C19" s="8" t="str">
        <x:v>X-D04</x:v>
      </x:c>
      <x:c r="D19" s="8" t="str">
        <x:v>BL-X</x:v>
      </x:c>
      <x:c r="E19" s="9" t="str">
        <x:v>AT THRESHOLD POSITIVE</x:v>
      </x:c>
      <x:c r="F19" s="8" t="n">
        <x:v>29</x:v>
      </x:c>
      <x:c r="G19" s="8" t="str">
        <x:v>SEALED</x:v>
      </x:c>
      <x:c r="H19" s="8" t="str"/>
      <x:c r="I19" s="8" t="str"/>
      <x:c r="J19" s="8" t="str"/>
      <x:c r="K19" s="8" t="str">
        <x:f>IF(J19="","OPEN",IF(OR(NOT(ISNUMBER(H19)),H19&lt;&gt;F19,NOT(ISNUMBER(I19)),I19&lt;&gt;F19),"FAIL","PASS"))</x:f>
        <x:v>OPEN</x:v>
      </x:c>
    </x:row>
    <x:row r="20" ht="34" customHeight="1">
      <x:c r="B20" s="8" t="str">
        <x:v>X-D04-0014</x:v>
      </x:c>
      <x:c r="C20" s="8" t="str">
        <x:v>X-D04</x:v>
      </x:c>
      <x:c r="D20" s="8" t="str">
        <x:v>BL-X</x:v>
      </x:c>
      <x:c r="E20" s="9" t="str">
        <x:v>ABOVE THRESHOLD POSITIVE</x:v>
      </x:c>
      <x:c r="F20" s="8" t="n">
        <x:v>29</x:v>
      </x:c>
      <x:c r="G20" s="8" t="str">
        <x:v>SEALED</x:v>
      </x:c>
      <x:c r="H20" s="8" t="str"/>
      <x:c r="I20" s="8" t="str"/>
      <x:c r="J20" s="8" t="str"/>
      <x:c r="K20" s="8" t="str">
        <x:f>IF(J20="","OPEN",IF(OR(NOT(ISNUMBER(H20)),H20&lt;&gt;F20,NOT(ISNUMBER(I20)),I20&lt;&gt;F20),"FAIL","PASS"))</x:f>
        <x:v>OPEN</x:v>
      </x:c>
    </x:row>
    <x:row r="21" ht="34" customHeight="1">
      <x:c r="B21" s="8" t="str">
        <x:v>X-D04-0015</x:v>
      </x:c>
      <x:c r="C21" s="8" t="str">
        <x:v>X-D04</x:v>
      </x:c>
      <x:c r="D21" s="8" t="str">
        <x:v>BL-X</x:v>
      </x:c>
      <x:c r="E21" s="9" t="str">
        <x:v>BELOW THRESHOLD NEGATIVE</x:v>
      </x:c>
      <x:c r="F21" s="8" t="n">
        <x:v>29</x:v>
      </x:c>
      <x:c r="G21" s="8" t="str">
        <x:v>SEALED</x:v>
      </x:c>
      <x:c r="H21" s="8" t="str"/>
      <x:c r="I21" s="8" t="str"/>
      <x:c r="J21" s="8" t="str"/>
      <x:c r="K21" s="8" t="str">
        <x:f>IF(J21="","OPEN",IF(OR(NOT(ISNUMBER(H21)),H21&lt;&gt;F21,NOT(ISNUMBER(I21)),I21&lt;&gt;F21),"FAIL","PASS"))</x:f>
        <x:v>OPEN</x:v>
      </x:c>
    </x:row>
    <x:row r="22" ht="34" customHeight="1">
      <x:c r="B22" s="8" t="str">
        <x:v>X-D04-0016</x:v>
      </x:c>
      <x:c r="C22" s="8" t="str">
        <x:v>X-D04</x:v>
      </x:c>
      <x:c r="D22" s="8" t="str">
        <x:v>BL-X</x:v>
      </x:c>
      <x:c r="E22" s="9" t="str">
        <x:v>CLEAN CONTROL</x:v>
      </x:c>
      <x:c r="F22" s="8" t="n">
        <x:v>29</x:v>
      </x:c>
      <x:c r="G22" s="8" t="str">
        <x:v>SEALED</x:v>
      </x:c>
      <x:c r="H22" s="8" t="str"/>
      <x:c r="I22" s="8" t="str"/>
      <x:c r="J22" s="8" t="str"/>
      <x:c r="K22" s="8" t="str">
        <x:f>IF(J22="","OPEN",IF(OR(NOT(ISNUMBER(H22)),H22&lt;&gt;F22,NOT(ISNUMBER(I22)),I22&lt;&gt;F22),"FAIL","PASS"))</x:f>
        <x:v>OPEN</x:v>
      </x:c>
    </x:row>
    <x:row r="23" ht="34" customHeight="1">
      <x:c r="B23" s="8" t="str">
        <x:v>X-D05-0017</x:v>
      </x:c>
      <x:c r="C23" s="8" t="str">
        <x:v>X-D05</x:v>
      </x:c>
      <x:c r="D23" s="8" t="str">
        <x:v>BL-X</x:v>
      </x:c>
      <x:c r="E23" s="9" t="str">
        <x:v>AT THRESHOLD POSITIVE</x:v>
      </x:c>
      <x:c r="F23" s="8" t="n">
        <x:v>29</x:v>
      </x:c>
      <x:c r="G23" s="8" t="str">
        <x:v>SEALED</x:v>
      </x:c>
      <x:c r="H23" s="8" t="str"/>
      <x:c r="I23" s="8" t="str"/>
      <x:c r="J23" s="8" t="str"/>
      <x:c r="K23" s="8" t="str">
        <x:f>IF(J23="","OPEN",IF(OR(NOT(ISNUMBER(H23)),H23&lt;&gt;F23,NOT(ISNUMBER(I23)),I23&lt;&gt;F23),"FAIL","PASS"))</x:f>
        <x:v>OPEN</x:v>
      </x:c>
    </x:row>
    <x:row r="24" ht="34" customHeight="1">
      <x:c r="B24" s="8" t="str">
        <x:v>X-D05-0018</x:v>
      </x:c>
      <x:c r="C24" s="8" t="str">
        <x:v>X-D05</x:v>
      </x:c>
      <x:c r="D24" s="8" t="str">
        <x:v>BL-X</x:v>
      </x:c>
      <x:c r="E24" s="9" t="str">
        <x:v>ABOVE THRESHOLD POSITIVE</x:v>
      </x:c>
      <x:c r="F24" s="8" t="n">
        <x:v>29</x:v>
      </x:c>
      <x:c r="G24" s="8" t="str">
        <x:v>SEALED</x:v>
      </x:c>
      <x:c r="H24" s="8" t="str"/>
      <x:c r="I24" s="8" t="str"/>
      <x:c r="J24" s="8" t="str"/>
      <x:c r="K24" s="8" t="str">
        <x:f>IF(J24="","OPEN",IF(OR(NOT(ISNUMBER(H24)),H24&lt;&gt;F24,NOT(ISNUMBER(I24)),I24&lt;&gt;F24),"FAIL","PASS"))</x:f>
        <x:v>OPEN</x:v>
      </x:c>
    </x:row>
    <x:row r="25" ht="34" customHeight="1">
      <x:c r="B25" s="8" t="str">
        <x:v>X-D05-0019</x:v>
      </x:c>
      <x:c r="C25" s="8" t="str">
        <x:v>X-D05</x:v>
      </x:c>
      <x:c r="D25" s="8" t="str">
        <x:v>BL-X</x:v>
      </x:c>
      <x:c r="E25" s="9" t="str">
        <x:v>BELOW THRESHOLD NEGATIVE</x:v>
      </x:c>
      <x:c r="F25" s="8" t="n">
        <x:v>29</x:v>
      </x:c>
      <x:c r="G25" s="8" t="str">
        <x:v>SEALED</x:v>
      </x:c>
      <x:c r="H25" s="8" t="str"/>
      <x:c r="I25" s="8" t="str"/>
      <x:c r="J25" s="8" t="str"/>
      <x:c r="K25" s="8" t="str">
        <x:f>IF(J25="","OPEN",IF(OR(NOT(ISNUMBER(H25)),H25&lt;&gt;F25,NOT(ISNUMBER(I25)),I25&lt;&gt;F25),"FAIL","PASS"))</x:f>
        <x:v>OPEN</x:v>
      </x:c>
    </x:row>
    <x:row r="26" ht="34" customHeight="1">
      <x:c r="B26" s="8" t="str">
        <x:v>X-D05-0020</x:v>
      </x:c>
      <x:c r="C26" s="8" t="str">
        <x:v>X-D05</x:v>
      </x:c>
      <x:c r="D26" s="8" t="str">
        <x:v>BL-X</x:v>
      </x:c>
      <x:c r="E26" s="9" t="str">
        <x:v>CLEAN CONTROL</x:v>
      </x:c>
      <x:c r="F26" s="8" t="n">
        <x:v>29</x:v>
      </x:c>
      <x:c r="G26" s="8" t="str">
        <x:v>SEALED</x:v>
      </x:c>
      <x:c r="H26" s="8" t="str"/>
      <x:c r="I26" s="8" t="str"/>
      <x:c r="J26" s="8" t="str"/>
      <x:c r="K26" s="8" t="str">
        <x:f>IF(J26="","OPEN",IF(OR(NOT(ISNUMBER(H26)),H26&lt;&gt;F26,NOT(ISNUMBER(I26)),I26&lt;&gt;F26),"FAIL","PASS"))</x:f>
        <x:v>OPEN</x:v>
      </x:c>
    </x:row>
    <x:row r="27" ht="34" customHeight="1">
      <x:c r="B27" s="8" t="str">
        <x:v>X-D06-0021</x:v>
      </x:c>
      <x:c r="C27" s="8" t="str">
        <x:v>X-D06</x:v>
      </x:c>
      <x:c r="D27" s="8" t="str">
        <x:v>BL-X</x:v>
      </x:c>
      <x:c r="E27" s="9" t="str">
        <x:v>AT THRESHOLD POSITIVE</x:v>
      </x:c>
      <x:c r="F27" s="8" t="n">
        <x:v>29</x:v>
      </x:c>
      <x:c r="G27" s="8" t="str">
        <x:v>SEALED</x:v>
      </x:c>
      <x:c r="H27" s="8" t="str"/>
      <x:c r="I27" s="8" t="str"/>
      <x:c r="J27" s="8" t="str"/>
      <x:c r="K27" s="8" t="str">
        <x:f>IF(J27="","OPEN",IF(OR(NOT(ISNUMBER(H27)),H27&lt;&gt;F27,NOT(ISNUMBER(I27)),I27&lt;&gt;F27),"FAIL","PASS"))</x:f>
        <x:v>OPEN</x:v>
      </x:c>
    </x:row>
    <x:row r="28" ht="34" customHeight="1">
      <x:c r="B28" s="8" t="str">
        <x:v>X-D06-0022</x:v>
      </x:c>
      <x:c r="C28" s="8" t="str">
        <x:v>X-D06</x:v>
      </x:c>
      <x:c r="D28" s="8" t="str">
        <x:v>BL-X</x:v>
      </x:c>
      <x:c r="E28" s="9" t="str">
        <x:v>ABOVE THRESHOLD POSITIVE</x:v>
      </x:c>
      <x:c r="F28" s="8" t="n">
        <x:v>29</x:v>
      </x:c>
      <x:c r="G28" s="8" t="str">
        <x:v>SEALED</x:v>
      </x:c>
      <x:c r="H28" s="8" t="str"/>
      <x:c r="I28" s="8" t="str"/>
      <x:c r="J28" s="8" t="str"/>
      <x:c r="K28" s="8" t="str">
        <x:f>IF(J28="","OPEN",IF(OR(NOT(ISNUMBER(H28)),H28&lt;&gt;F28,NOT(ISNUMBER(I28)),I28&lt;&gt;F28),"FAIL","PASS"))</x:f>
        <x:v>OPEN</x:v>
      </x:c>
    </x:row>
    <x:row r="29" ht="34" customHeight="1">
      <x:c r="B29" s="8" t="str">
        <x:v>X-D06-0023</x:v>
      </x:c>
      <x:c r="C29" s="8" t="str">
        <x:v>X-D06</x:v>
      </x:c>
      <x:c r="D29" s="8" t="str">
        <x:v>BL-X</x:v>
      </x:c>
      <x:c r="E29" s="9" t="str">
        <x:v>BELOW THRESHOLD NEGATIVE</x:v>
      </x:c>
      <x:c r="F29" s="8" t="n">
        <x:v>29</x:v>
      </x:c>
      <x:c r="G29" s="8" t="str">
        <x:v>SEALED</x:v>
      </x:c>
      <x:c r="H29" s="8" t="str"/>
      <x:c r="I29" s="8" t="str"/>
      <x:c r="J29" s="8" t="str"/>
      <x:c r="K29" s="8" t="str">
        <x:f>IF(J29="","OPEN",IF(OR(NOT(ISNUMBER(H29)),H29&lt;&gt;F29,NOT(ISNUMBER(I29)),I29&lt;&gt;F29),"FAIL","PASS"))</x:f>
        <x:v>OPEN</x:v>
      </x:c>
    </x:row>
    <x:row r="30" ht="34" customHeight="1">
      <x:c r="B30" s="8" t="str">
        <x:v>X-D06-0024</x:v>
      </x:c>
      <x:c r="C30" s="8" t="str">
        <x:v>X-D06</x:v>
      </x:c>
      <x:c r="D30" s="8" t="str">
        <x:v>BL-X</x:v>
      </x:c>
      <x:c r="E30" s="9" t="str">
        <x:v>CLEAN CONTROL</x:v>
      </x:c>
      <x:c r="F30" s="8" t="n">
        <x:v>29</x:v>
      </x:c>
      <x:c r="G30" s="8" t="str">
        <x:v>SEALED</x:v>
      </x:c>
      <x:c r="H30" s="8" t="str"/>
      <x:c r="I30" s="8" t="str"/>
      <x:c r="J30" s="8" t="str"/>
      <x:c r="K30" s="8" t="str">
        <x:f>IF(J30="","OPEN",IF(OR(NOT(ISNUMBER(H30)),H30&lt;&gt;F30,NOT(ISNUMBER(I30)),I30&lt;&gt;F30),"FAIL","PASS"))</x:f>
        <x:v>OPEN</x:v>
      </x:c>
    </x:row>
    <x:row r="31" ht="34" customHeight="1">
      <x:c r="B31" s="8" t="str">
        <x:v>Y-D01-0025</x:v>
      </x:c>
      <x:c r="C31" s="8" t="str">
        <x:v>Y-D01</x:v>
      </x:c>
      <x:c r="D31" s="8" t="str">
        <x:v>BL-Y</x:v>
      </x:c>
      <x:c r="E31" s="9" t="str">
        <x:v>AT THRESHOLD POSITIVE</x:v>
      </x:c>
      <x:c r="F31" s="8" t="n">
        <x:v>29</x:v>
      </x:c>
      <x:c r="G31" s="8" t="str">
        <x:v>SEALED</x:v>
      </x:c>
      <x:c r="H31" s="8" t="str"/>
      <x:c r="I31" s="8" t="str"/>
      <x:c r="J31" s="8" t="str"/>
      <x:c r="K31" s="8" t="str">
        <x:f>IF(J31="","OPEN",IF(OR(NOT(ISNUMBER(H31)),H31&lt;&gt;F31,NOT(ISNUMBER(I31)),I31&lt;&gt;F31),"FAIL","PASS"))</x:f>
        <x:v>OPEN</x:v>
      </x:c>
    </x:row>
    <x:row r="32" ht="34" customHeight="1">
      <x:c r="B32" s="8" t="str">
        <x:v>Y-D01-0026</x:v>
      </x:c>
      <x:c r="C32" s="8" t="str">
        <x:v>Y-D01</x:v>
      </x:c>
      <x:c r="D32" s="8" t="str">
        <x:v>BL-Y</x:v>
      </x:c>
      <x:c r="E32" s="9" t="str">
        <x:v>ABOVE THRESHOLD POSITIVE</x:v>
      </x:c>
      <x:c r="F32" s="8" t="n">
        <x:v>29</x:v>
      </x:c>
      <x:c r="G32" s="8" t="str">
        <x:v>SEALED</x:v>
      </x:c>
      <x:c r="H32" s="8" t="str"/>
      <x:c r="I32" s="8" t="str"/>
      <x:c r="J32" s="8" t="str"/>
      <x:c r="K32" s="8" t="str">
        <x:f>IF(J32="","OPEN",IF(OR(NOT(ISNUMBER(H32)),H32&lt;&gt;F32,NOT(ISNUMBER(I32)),I32&lt;&gt;F32),"FAIL","PASS"))</x:f>
        <x:v>OPEN</x:v>
      </x:c>
    </x:row>
    <x:row r="33" ht="34" customHeight="1">
      <x:c r="B33" s="8" t="str">
        <x:v>Y-D01-0027</x:v>
      </x:c>
      <x:c r="C33" s="8" t="str">
        <x:v>Y-D01</x:v>
      </x:c>
      <x:c r="D33" s="8" t="str">
        <x:v>BL-Y</x:v>
      </x:c>
      <x:c r="E33" s="9" t="str">
        <x:v>BELOW THRESHOLD NEGATIVE</x:v>
      </x:c>
      <x:c r="F33" s="8" t="n">
        <x:v>29</x:v>
      </x:c>
      <x:c r="G33" s="8" t="str">
        <x:v>SEALED</x:v>
      </x:c>
      <x:c r="H33" s="8" t="str"/>
      <x:c r="I33" s="8" t="str"/>
      <x:c r="J33" s="8" t="str"/>
      <x:c r="K33" s="8" t="str">
        <x:f>IF(J33="","OPEN",IF(OR(NOT(ISNUMBER(H33)),H33&lt;&gt;F33,NOT(ISNUMBER(I33)),I33&lt;&gt;F33),"FAIL","PASS"))</x:f>
        <x:v>OPEN</x:v>
      </x:c>
    </x:row>
    <x:row r="34" ht="34" customHeight="1">
      <x:c r="B34" s="8" t="str">
        <x:v>Y-D01-0028</x:v>
      </x:c>
      <x:c r="C34" s="8" t="str">
        <x:v>Y-D01</x:v>
      </x:c>
      <x:c r="D34" s="8" t="str">
        <x:v>BL-Y</x:v>
      </x:c>
      <x:c r="E34" s="9" t="str">
        <x:v>CLEAN CONTROL</x:v>
      </x:c>
      <x:c r="F34" s="8" t="n">
        <x:v>29</x:v>
      </x:c>
      <x:c r="G34" s="8" t="str">
        <x:v>SEALED</x:v>
      </x:c>
      <x:c r="H34" s="8" t="str"/>
      <x:c r="I34" s="8" t="str"/>
      <x:c r="J34" s="8" t="str"/>
      <x:c r="K34" s="8" t="str">
        <x:f>IF(J34="","OPEN",IF(OR(NOT(ISNUMBER(H34)),H34&lt;&gt;F34,NOT(ISNUMBER(I34)),I34&lt;&gt;F34),"FAIL","PASS"))</x:f>
        <x:v>OPEN</x:v>
      </x:c>
    </x:row>
    <x:row r="35" ht="34" customHeight="1">
      <x:c r="B35" s="8" t="str">
        <x:v>Y-D02-0029</x:v>
      </x:c>
      <x:c r="C35" s="8" t="str">
        <x:v>Y-D02</x:v>
      </x:c>
      <x:c r="D35" s="8" t="str">
        <x:v>BL-Y</x:v>
      </x:c>
      <x:c r="E35" s="9" t="str">
        <x:v>AT THRESHOLD POSITIVE</x:v>
      </x:c>
      <x:c r="F35" s="8" t="n">
        <x:v>29</x:v>
      </x:c>
      <x:c r="G35" s="8" t="str">
        <x:v>SEALED</x:v>
      </x:c>
      <x:c r="H35" s="8" t="str"/>
      <x:c r="I35" s="8" t="str"/>
      <x:c r="J35" s="8" t="str"/>
      <x:c r="K35" s="8" t="str">
        <x:f>IF(J35="","OPEN",IF(OR(NOT(ISNUMBER(H35)),H35&lt;&gt;F35,NOT(ISNUMBER(I35)),I35&lt;&gt;F35),"FAIL","PASS"))</x:f>
        <x:v>OPEN</x:v>
      </x:c>
    </x:row>
    <x:row r="36" ht="34" customHeight="1">
      <x:c r="B36" s="8" t="str">
        <x:v>Y-D02-0030</x:v>
      </x:c>
      <x:c r="C36" s="8" t="str">
        <x:v>Y-D02</x:v>
      </x:c>
      <x:c r="D36" s="8" t="str">
        <x:v>BL-Y</x:v>
      </x:c>
      <x:c r="E36" s="9" t="str">
        <x:v>ABOVE THRESHOLD POSITIVE</x:v>
      </x:c>
      <x:c r="F36" s="8" t="n">
        <x:v>29</x:v>
      </x:c>
      <x:c r="G36" s="8" t="str">
        <x:v>SEALED</x:v>
      </x:c>
      <x:c r="H36" s="8" t="str"/>
      <x:c r="I36" s="8" t="str"/>
      <x:c r="J36" s="8" t="str"/>
      <x:c r="K36" s="8" t="str">
        <x:f>IF(J36="","OPEN",IF(OR(NOT(ISNUMBER(H36)),H36&lt;&gt;F36,NOT(ISNUMBER(I36)),I36&lt;&gt;F36),"FAIL","PASS"))</x:f>
        <x:v>OPEN</x:v>
      </x:c>
    </x:row>
    <x:row r="37" ht="34" customHeight="1">
      <x:c r="B37" s="8" t="str">
        <x:v>Y-D02-0031</x:v>
      </x:c>
      <x:c r="C37" s="8" t="str">
        <x:v>Y-D02</x:v>
      </x:c>
      <x:c r="D37" s="8" t="str">
        <x:v>BL-Y</x:v>
      </x:c>
      <x:c r="E37" s="9" t="str">
        <x:v>BELOW THRESHOLD NEGATIVE</x:v>
      </x:c>
      <x:c r="F37" s="8" t="n">
        <x:v>29</x:v>
      </x:c>
      <x:c r="G37" s="8" t="str">
        <x:v>SEALED</x:v>
      </x:c>
      <x:c r="H37" s="8" t="str"/>
      <x:c r="I37" s="8" t="str"/>
      <x:c r="J37" s="8" t="str"/>
      <x:c r="K37" s="8" t="str">
        <x:f>IF(J37="","OPEN",IF(OR(NOT(ISNUMBER(H37)),H37&lt;&gt;F37,NOT(ISNUMBER(I37)),I37&lt;&gt;F37),"FAIL","PASS"))</x:f>
        <x:v>OPEN</x:v>
      </x:c>
    </x:row>
    <x:row r="38" ht="34" customHeight="1">
      <x:c r="B38" s="8" t="str">
        <x:v>Y-D02-0032</x:v>
      </x:c>
      <x:c r="C38" s="8" t="str">
        <x:v>Y-D02</x:v>
      </x:c>
      <x:c r="D38" s="8" t="str">
        <x:v>BL-Y</x:v>
      </x:c>
      <x:c r="E38" s="9" t="str">
        <x:v>CLEAN CONTROL</x:v>
      </x:c>
      <x:c r="F38" s="8" t="n">
        <x:v>29</x:v>
      </x:c>
      <x:c r="G38" s="8" t="str">
        <x:v>SEALED</x:v>
      </x:c>
      <x:c r="H38" s="8" t="str"/>
      <x:c r="I38" s="8" t="str"/>
      <x:c r="J38" s="8" t="str"/>
      <x:c r="K38" s="8" t="str">
        <x:f>IF(J38="","OPEN",IF(OR(NOT(ISNUMBER(H38)),H38&lt;&gt;F38,NOT(ISNUMBER(I38)),I38&lt;&gt;F38),"FAIL","PASS"))</x:f>
        <x:v>OPEN</x:v>
      </x:c>
    </x:row>
    <x:row r="39" ht="34" customHeight="1">
      <x:c r="B39" s="8" t="str">
        <x:v>Y-D03-0033</x:v>
      </x:c>
      <x:c r="C39" s="8" t="str">
        <x:v>Y-D03</x:v>
      </x:c>
      <x:c r="D39" s="8" t="str">
        <x:v>BL-Y</x:v>
      </x:c>
      <x:c r="E39" s="9" t="str">
        <x:v>AT THRESHOLD POSITIVE</x:v>
      </x:c>
      <x:c r="F39" s="8" t="n">
        <x:v>29</x:v>
      </x:c>
      <x:c r="G39" s="8" t="str">
        <x:v>SEALED</x:v>
      </x:c>
      <x:c r="H39" s="8" t="str"/>
      <x:c r="I39" s="8" t="str"/>
      <x:c r="J39" s="8" t="str"/>
      <x:c r="K39" s="8" t="str">
        <x:f>IF(J39="","OPEN",IF(OR(NOT(ISNUMBER(H39)),H39&lt;&gt;F39,NOT(ISNUMBER(I39)),I39&lt;&gt;F39),"FAIL","PASS"))</x:f>
        <x:v>OPEN</x:v>
      </x:c>
    </x:row>
    <x:row r="40" ht="34" customHeight="1">
      <x:c r="B40" s="8" t="str">
        <x:v>Y-D03-0034</x:v>
      </x:c>
      <x:c r="C40" s="8" t="str">
        <x:v>Y-D03</x:v>
      </x:c>
      <x:c r="D40" s="8" t="str">
        <x:v>BL-Y</x:v>
      </x:c>
      <x:c r="E40" s="9" t="str">
        <x:v>ABOVE THRESHOLD POSITIVE</x:v>
      </x:c>
      <x:c r="F40" s="8" t="n">
        <x:v>29</x:v>
      </x:c>
      <x:c r="G40" s="8" t="str">
        <x:v>SEALED</x:v>
      </x:c>
      <x:c r="H40" s="8" t="str"/>
      <x:c r="I40" s="8" t="str"/>
      <x:c r="J40" s="8" t="str"/>
      <x:c r="K40" s="8" t="str">
        <x:f>IF(J40="","OPEN",IF(OR(NOT(ISNUMBER(H40)),H40&lt;&gt;F40,NOT(ISNUMBER(I40)),I40&lt;&gt;F40),"FAIL","PASS"))</x:f>
        <x:v>OPEN</x:v>
      </x:c>
    </x:row>
    <x:row r="41" ht="34" customHeight="1">
      <x:c r="B41" s="8" t="str">
        <x:v>Y-D03-0035</x:v>
      </x:c>
      <x:c r="C41" s="8" t="str">
        <x:v>Y-D03</x:v>
      </x:c>
      <x:c r="D41" s="8" t="str">
        <x:v>BL-Y</x:v>
      </x:c>
      <x:c r="E41" s="9" t="str">
        <x:v>BELOW THRESHOLD NEGATIVE</x:v>
      </x:c>
      <x:c r="F41" s="8" t="n">
        <x:v>29</x:v>
      </x:c>
      <x:c r="G41" s="8" t="str">
        <x:v>SEALED</x:v>
      </x:c>
      <x:c r="H41" s="8" t="str"/>
      <x:c r="I41" s="8" t="str"/>
      <x:c r="J41" s="8" t="str"/>
      <x:c r="K41" s="8" t="str">
        <x:f>IF(J41="","OPEN",IF(OR(NOT(ISNUMBER(H41)),H41&lt;&gt;F41,NOT(ISNUMBER(I41)),I41&lt;&gt;F41),"FAIL","PASS"))</x:f>
        <x:v>OPEN</x:v>
      </x:c>
    </x:row>
    <x:row r="42" ht="34" customHeight="1">
      <x:c r="B42" s="8" t="str">
        <x:v>Y-D03-0036</x:v>
      </x:c>
      <x:c r="C42" s="8" t="str">
        <x:v>Y-D03</x:v>
      </x:c>
      <x:c r="D42" s="8" t="str">
        <x:v>BL-Y</x:v>
      </x:c>
      <x:c r="E42" s="9" t="str">
        <x:v>CLEAN CONTROL</x:v>
      </x:c>
      <x:c r="F42" s="8" t="n">
        <x:v>29</x:v>
      </x:c>
      <x:c r="G42" s="8" t="str">
        <x:v>SEALED</x:v>
      </x:c>
      <x:c r="H42" s="8" t="str"/>
      <x:c r="I42" s="8" t="str"/>
      <x:c r="J42" s="8" t="str"/>
      <x:c r="K42" s="8" t="str">
        <x:f>IF(J42="","OPEN",IF(OR(NOT(ISNUMBER(H42)),H42&lt;&gt;F42,NOT(ISNUMBER(I42)),I42&lt;&gt;F42),"FAIL","PASS"))</x:f>
        <x:v>OPEN</x:v>
      </x:c>
    </x:row>
    <x:row r="43" ht="34" customHeight="1">
      <x:c r="B43" s="8" t="str">
        <x:v>Y-D04-0037</x:v>
      </x:c>
      <x:c r="C43" s="8" t="str">
        <x:v>Y-D04</x:v>
      </x:c>
      <x:c r="D43" s="8" t="str">
        <x:v>BL-Y</x:v>
      </x:c>
      <x:c r="E43" s="9" t="str">
        <x:v>AT THRESHOLD POSITIVE</x:v>
      </x:c>
      <x:c r="F43" s="8" t="n">
        <x:v>29</x:v>
      </x:c>
      <x:c r="G43" s="8" t="str">
        <x:v>SEALED</x:v>
      </x:c>
      <x:c r="H43" s="8" t="str"/>
      <x:c r="I43" s="8" t="str"/>
      <x:c r="J43" s="8" t="str"/>
      <x:c r="K43" s="8" t="str">
        <x:f>IF(J43="","OPEN",IF(OR(NOT(ISNUMBER(H43)),H43&lt;&gt;F43,NOT(ISNUMBER(I43)),I43&lt;&gt;F43),"FAIL","PASS"))</x:f>
        <x:v>OPEN</x:v>
      </x:c>
    </x:row>
    <x:row r="44" ht="34" customHeight="1">
      <x:c r="B44" s="8" t="str">
        <x:v>Y-D04-0038</x:v>
      </x:c>
      <x:c r="C44" s="8" t="str">
        <x:v>Y-D04</x:v>
      </x:c>
      <x:c r="D44" s="8" t="str">
        <x:v>BL-Y</x:v>
      </x:c>
      <x:c r="E44" s="9" t="str">
        <x:v>ABOVE THRESHOLD POSITIVE</x:v>
      </x:c>
      <x:c r="F44" s="8" t="n">
        <x:v>29</x:v>
      </x:c>
      <x:c r="G44" s="8" t="str">
        <x:v>SEALED</x:v>
      </x:c>
      <x:c r="H44" s="8" t="str"/>
      <x:c r="I44" s="8" t="str"/>
      <x:c r="J44" s="8" t="str"/>
      <x:c r="K44" s="8" t="str">
        <x:f>IF(J44="","OPEN",IF(OR(NOT(ISNUMBER(H44)),H44&lt;&gt;F44,NOT(ISNUMBER(I44)),I44&lt;&gt;F44),"FAIL","PASS"))</x:f>
        <x:v>OPEN</x:v>
      </x:c>
    </x:row>
    <x:row r="45" ht="34" customHeight="1">
      <x:c r="B45" s="8" t="str">
        <x:v>Y-D04-0039</x:v>
      </x:c>
      <x:c r="C45" s="8" t="str">
        <x:v>Y-D04</x:v>
      </x:c>
      <x:c r="D45" s="8" t="str">
        <x:v>BL-Y</x:v>
      </x:c>
      <x:c r="E45" s="9" t="str">
        <x:v>BELOW THRESHOLD NEGATIVE</x:v>
      </x:c>
      <x:c r="F45" s="8" t="n">
        <x:v>29</x:v>
      </x:c>
      <x:c r="G45" s="8" t="str">
        <x:v>SEALED</x:v>
      </x:c>
      <x:c r="H45" s="8" t="str"/>
      <x:c r="I45" s="8" t="str"/>
      <x:c r="J45" s="8" t="str"/>
      <x:c r="K45" s="8" t="str">
        <x:f>IF(J45="","OPEN",IF(OR(NOT(ISNUMBER(H45)),H45&lt;&gt;F45,NOT(ISNUMBER(I45)),I45&lt;&gt;F45),"FAIL","PASS"))</x:f>
        <x:v>OPEN</x:v>
      </x:c>
    </x:row>
    <x:row r="46" ht="34" customHeight="1">
      <x:c r="B46" s="8" t="str">
        <x:v>Y-D04-0040</x:v>
      </x:c>
      <x:c r="C46" s="8" t="str">
        <x:v>Y-D04</x:v>
      </x:c>
      <x:c r="D46" s="8" t="str">
        <x:v>BL-Y</x:v>
      </x:c>
      <x:c r="E46" s="9" t="str">
        <x:v>CLEAN CONTROL</x:v>
      </x:c>
      <x:c r="F46" s="8" t="n">
        <x:v>29</x:v>
      </x:c>
      <x:c r="G46" s="8" t="str">
        <x:v>SEALED</x:v>
      </x:c>
      <x:c r="H46" s="8" t="str"/>
      <x:c r="I46" s="8" t="str"/>
      <x:c r="J46" s="8" t="str"/>
      <x:c r="K46" s="8" t="str">
        <x:f>IF(J46="","OPEN",IF(OR(NOT(ISNUMBER(H46)),H46&lt;&gt;F46,NOT(ISNUMBER(I46)),I46&lt;&gt;F46),"FAIL","PASS"))</x:f>
        <x:v>OPEN</x:v>
      </x:c>
    </x:row>
    <x:row r="47" ht="34" customHeight="1">
      <x:c r="B47" s="8" t="str">
        <x:v>Y-D05-0041</x:v>
      </x:c>
      <x:c r="C47" s="8" t="str">
        <x:v>Y-D05</x:v>
      </x:c>
      <x:c r="D47" s="8" t="str">
        <x:v>BL-Y</x:v>
      </x:c>
      <x:c r="E47" s="9" t="str">
        <x:v>AT THRESHOLD POSITIVE</x:v>
      </x:c>
      <x:c r="F47" s="8" t="n">
        <x:v>29</x:v>
      </x:c>
      <x:c r="G47" s="8" t="str">
        <x:v>SEALED</x:v>
      </x:c>
      <x:c r="H47" s="8" t="str"/>
      <x:c r="I47" s="8" t="str"/>
      <x:c r="J47" s="8" t="str"/>
      <x:c r="K47" s="8" t="str">
        <x:f>IF(J47="","OPEN",IF(OR(NOT(ISNUMBER(H47)),H47&lt;&gt;F47,NOT(ISNUMBER(I47)),I47&lt;&gt;F47),"FAIL","PASS"))</x:f>
        <x:v>OPEN</x:v>
      </x:c>
    </x:row>
    <x:row r="48" ht="34" customHeight="1">
      <x:c r="B48" s="8" t="str">
        <x:v>Y-D05-0042</x:v>
      </x:c>
      <x:c r="C48" s="8" t="str">
        <x:v>Y-D05</x:v>
      </x:c>
      <x:c r="D48" s="8" t="str">
        <x:v>BL-Y</x:v>
      </x:c>
      <x:c r="E48" s="9" t="str">
        <x:v>ABOVE THRESHOLD POSITIVE</x:v>
      </x:c>
      <x:c r="F48" s="8" t="n">
        <x:v>29</x:v>
      </x:c>
      <x:c r="G48" s="8" t="str">
        <x:v>SEALED</x:v>
      </x:c>
      <x:c r="H48" s="8" t="str"/>
      <x:c r="I48" s="8" t="str"/>
      <x:c r="J48" s="8" t="str"/>
      <x:c r="K48" s="8" t="str">
        <x:f>IF(J48="","OPEN",IF(OR(NOT(ISNUMBER(H48)),H48&lt;&gt;F48,NOT(ISNUMBER(I48)),I48&lt;&gt;F48),"FAIL","PASS"))</x:f>
        <x:v>OPEN</x:v>
      </x:c>
    </x:row>
    <x:row r="49" ht="34" customHeight="1">
      <x:c r="B49" s="8" t="str">
        <x:v>Y-D05-0043</x:v>
      </x:c>
      <x:c r="C49" s="8" t="str">
        <x:v>Y-D05</x:v>
      </x:c>
      <x:c r="D49" s="8" t="str">
        <x:v>BL-Y</x:v>
      </x:c>
      <x:c r="E49" s="9" t="str">
        <x:v>BELOW THRESHOLD NEGATIVE</x:v>
      </x:c>
      <x:c r="F49" s="8" t="n">
        <x:v>29</x:v>
      </x:c>
      <x:c r="G49" s="8" t="str">
        <x:v>SEALED</x:v>
      </x:c>
      <x:c r="H49" s="8" t="str"/>
      <x:c r="I49" s="8" t="str"/>
      <x:c r="J49" s="8" t="str"/>
      <x:c r="K49" s="8" t="str">
        <x:f>IF(J49="","OPEN",IF(OR(NOT(ISNUMBER(H49)),H49&lt;&gt;F49,NOT(ISNUMBER(I49)),I49&lt;&gt;F49),"FAIL","PASS"))</x:f>
        <x:v>OPEN</x:v>
      </x:c>
    </x:row>
    <x:row r="50" ht="34" customHeight="1">
      <x:c r="B50" s="8" t="str">
        <x:v>Y-D05-0044</x:v>
      </x:c>
      <x:c r="C50" s="8" t="str">
        <x:v>Y-D05</x:v>
      </x:c>
      <x:c r="D50" s="8" t="str">
        <x:v>BL-Y</x:v>
      </x:c>
      <x:c r="E50" s="9" t="str">
        <x:v>CLEAN CONTROL</x:v>
      </x:c>
      <x:c r="F50" s="8" t="n">
        <x:v>29</x:v>
      </x:c>
      <x:c r="G50" s="8" t="str">
        <x:v>SEALED</x:v>
      </x:c>
      <x:c r="H50" s="8" t="str"/>
      <x:c r="I50" s="8" t="str"/>
      <x:c r="J50" s="8" t="str"/>
      <x:c r="K50" s="8" t="str">
        <x:f>IF(J50="","OPEN",IF(OR(NOT(ISNUMBER(H50)),H50&lt;&gt;F50,NOT(ISNUMBER(I50)),I50&lt;&gt;F50),"FAIL","PASS"))</x:f>
        <x:v>OPEN</x:v>
      </x:c>
    </x:row>
    <x:row r="51" ht="34" customHeight="1">
      <x:c r="B51" s="8" t="str">
        <x:v>Y-D06-0045</x:v>
      </x:c>
      <x:c r="C51" s="8" t="str">
        <x:v>Y-D06</x:v>
      </x:c>
      <x:c r="D51" s="8" t="str">
        <x:v>BL-Y</x:v>
      </x:c>
      <x:c r="E51" s="9" t="str">
        <x:v>AT THRESHOLD POSITIVE</x:v>
      </x:c>
      <x:c r="F51" s="8" t="n">
        <x:v>29</x:v>
      </x:c>
      <x:c r="G51" s="8" t="str">
        <x:v>SEALED</x:v>
      </x:c>
      <x:c r="H51" s="8" t="str"/>
      <x:c r="I51" s="8" t="str"/>
      <x:c r="J51" s="8" t="str"/>
      <x:c r="K51" s="8" t="str">
        <x:f>IF(J51="","OPEN",IF(OR(NOT(ISNUMBER(H51)),H51&lt;&gt;F51,NOT(ISNUMBER(I51)),I51&lt;&gt;F51),"FAIL","PASS"))</x:f>
        <x:v>OPEN</x:v>
      </x:c>
    </x:row>
    <x:row r="52" ht="34" customHeight="1">
      <x:c r="B52" s="8" t="str">
        <x:v>Y-D06-0046</x:v>
      </x:c>
      <x:c r="C52" s="8" t="str">
        <x:v>Y-D06</x:v>
      </x:c>
      <x:c r="D52" s="8" t="str">
        <x:v>BL-Y</x:v>
      </x:c>
      <x:c r="E52" s="9" t="str">
        <x:v>ABOVE THRESHOLD POSITIVE</x:v>
      </x:c>
      <x:c r="F52" s="8" t="n">
        <x:v>29</x:v>
      </x:c>
      <x:c r="G52" s="8" t="str">
        <x:v>SEALED</x:v>
      </x:c>
      <x:c r="H52" s="8" t="str"/>
      <x:c r="I52" s="8" t="str"/>
      <x:c r="J52" s="8" t="str"/>
      <x:c r="K52" s="8" t="str">
        <x:f>IF(J52="","OPEN",IF(OR(NOT(ISNUMBER(H52)),H52&lt;&gt;F52,NOT(ISNUMBER(I52)),I52&lt;&gt;F52),"FAIL","PASS"))</x:f>
        <x:v>OPEN</x:v>
      </x:c>
    </x:row>
    <x:row r="53" ht="34" customHeight="1">
      <x:c r="B53" s="8" t="str">
        <x:v>Y-D06-0047</x:v>
      </x:c>
      <x:c r="C53" s="8" t="str">
        <x:v>Y-D06</x:v>
      </x:c>
      <x:c r="D53" s="8" t="str">
        <x:v>BL-Y</x:v>
      </x:c>
      <x:c r="E53" s="9" t="str">
        <x:v>BELOW THRESHOLD NEGATIVE</x:v>
      </x:c>
      <x:c r="F53" s="8" t="n">
        <x:v>29</x:v>
      </x:c>
      <x:c r="G53" s="8" t="str">
        <x:v>SEALED</x:v>
      </x:c>
      <x:c r="H53" s="8" t="str"/>
      <x:c r="I53" s="8" t="str"/>
      <x:c r="J53" s="8" t="str"/>
      <x:c r="K53" s="8" t="str">
        <x:f>IF(J53="","OPEN",IF(OR(NOT(ISNUMBER(H53)),H53&lt;&gt;F53,NOT(ISNUMBER(I53)),I53&lt;&gt;F53),"FAIL","PASS"))</x:f>
        <x:v>OPEN</x:v>
      </x:c>
    </x:row>
    <x:row r="54" ht="34" customHeight="1">
      <x:c r="B54" s="8" t="str">
        <x:v>Y-D06-0048</x:v>
      </x:c>
      <x:c r="C54" s="8" t="str">
        <x:v>Y-D06</x:v>
      </x:c>
      <x:c r="D54" s="8" t="str">
        <x:v>BL-Y</x:v>
      </x:c>
      <x:c r="E54" s="9" t="str">
        <x:v>CLEAN CONTROL</x:v>
      </x:c>
      <x:c r="F54" s="8" t="n">
        <x:v>29</x:v>
      </x:c>
      <x:c r="G54" s="8" t="str">
        <x:v>SEALED</x:v>
      </x:c>
      <x:c r="H54" s="8" t="str"/>
      <x:c r="I54" s="8" t="str"/>
      <x:c r="J54" s="8" t="str"/>
      <x:c r="K54" s="8" t="str">
        <x:f>IF(J54="","OPEN",IF(OR(NOT(ISNUMBER(H54)),H54&lt;&gt;F54,NOT(ISNUMBER(I54)),I54&lt;&gt;F54),"FAIL","PASS"))</x:f>
        <x:v>OPEN</x:v>
      </x:c>
    </x:row>
  </x:sheetData>
  <x:conditionalFormatting sqref="K7:K54">
    <x:cfRule type="containsText" dxfId="12" priority="1" operator="containsText" text="FAIL"/>
    <x:cfRule type="containsText" dxfId="13" priority="2" operator="containsText" text="BLOCKED"/>
    <x:cfRule type="containsText" dxfId="14" priority="3" operator="containsText" text="OPEN"/>
    <x:cfRule type="containsText" dxfId="15" priority="4" operator="containsText" text="PASS"/>
    <x:cfRule type="containsText" dxfId="16" priority="5" operator="containsText" text="PLANNED"/>
    <x:cfRule type="containsText" dxfId="17" priority="6" operator="containsText" text="ACTIVE"/>
  </x:conditionalFormatting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>
      <x:pane xSplit="2" ySplit="6" topLeftCell="C7" activePane="bottomRight" state="frozen"/>
    </x:sheetView>
  </x:sheetViews>
  <x:sheetFormatPr defaultRowHeight="15"/>
  <x:cols>
    <x:col min="2" max="2" width="14" hidden="0" customWidth="1"/>
    <x:col min="3" max="3" width="39" hidden="0" customWidth="1"/>
    <x:col min="4" max="4" width="14" hidden="0" customWidth="1"/>
    <x:col min="5" max="5" width="15" hidden="0" customWidth="1"/>
    <x:col min="6" max="6" width="49" hidden="0" customWidth="1"/>
    <x:col min="7" max="7" width="37" hidden="0" customWidth="1"/>
  </x:cols>
  <x:sheetData>
    <x:row r="2">
      <x:c r="B2" s="44" t="str">
        <x:v>Eighteen fixture families and thirty-three units</x:v>
      </x:c>
      <x:c r="C2" s="45"/>
      <x:c r="D2" s="45"/>
      <x:c r="E2" s="45"/>
      <x:c r="F2" s="45"/>
      <x:c r="G2" s="45"/>
    </x:row>
    <x:row r="3">
      <x:c r="B3" s="46" t="str">
        <x:v>Public measurement and destructive capacity are force infrastructure, not temporary vendor services.</x:v>
      </x:c>
      <x:c r="C3" s="45"/>
      <x:c r="D3" s="45"/>
      <x:c r="E3" s="45"/>
      <x:c r="F3" s="45"/>
      <x:c r="G3" s="45"/>
    </x:row>
    <x:row r="4">
      <x:c r="B4" s="45"/>
      <x:c r="C4" s="45"/>
      <x:c r="D4" s="45"/>
      <x:c r="E4" s="45"/>
      <x:c r="F4" s="45"/>
      <x:c r="G4" s="45"/>
    </x:row>
    <x:row r="5">
      <x:c r="B5" s="45"/>
      <x:c r="C5" s="45"/>
      <x:c r="D5" s="45"/>
      <x:c r="E5" s="45"/>
      <x:c r="F5" s="45"/>
      <x:c r="G5" s="45"/>
    </x:row>
    <x:row r="6" ht="25" customHeight="1">
      <x:c r="B6" s="6" t="str">
        <x:v>Family</x:v>
      </x:c>
      <x:c r="C6" s="6" t="str">
        <x:v>Fixture</x:v>
      </x:c>
      <x:c r="D6" s="6" t="str">
        <x:v>Units</x:v>
      </x:c>
      <x:c r="E6" s="6" t="str">
        <x:v>Scope</x:v>
      </x:c>
      <x:c r="F6" s="6" t="str">
        <x:v>Owns</x:v>
      </x:c>
      <x:c r="G6" s="6" t="str">
        <x:v>Reference</x:v>
      </x:c>
    </x:row>
    <x:row r="7" ht="40" customHeight="1">
      <x:c r="B7" s="8" t="str">
        <x:v>FF-01</x:v>
      </x:c>
      <x:c r="C7" s="9" t="str">
        <x:v>coordinate and optical survey</x:v>
      </x:c>
      <x:c r="D7" s="8" t="n">
        <x:v>2</x:v>
      </x:c>
      <x:c r="E7" s="8" t="str">
        <x:v>common</x:v>
      </x:c>
      <x:c r="F7" s="9" t="str">
        <x:v>datum transfer and slope</x:v>
      </x:c>
      <x:c r="G7" s="9" t="str">
        <x:v>public survey standard</x:v>
      </x:c>
    </x:row>
    <x:row r="8" ht="40" customHeight="1">
      <x:c r="B8" s="8" t="str">
        <x:v>FF-02</x:v>
      </x:c>
      <x:c r="C8" s="9" t="str">
        <x:v>robotic bore mapping</x:v>
      </x:c>
      <x:c r="D8" s="8" t="n">
        <x:v>2</x:v>
      </x:c>
      <x:c r="E8" s="8" t="str">
        <x:v>common</x:v>
      </x:c>
      <x:c r="F8" s="9" t="str">
        <x:v>diameter, ovality, step and port depth</x:v>
      </x:c>
      <x:c r="G8" s="9" t="str">
        <x:v>traceable artifact</x:v>
      </x:c>
    </x:row>
    <x:row r="9" ht="40" customHeight="1">
      <x:c r="B9" s="8" t="str">
        <x:v>FF-03</x:v>
      </x:c>
      <x:c r="C9" s="9" t="str">
        <x:v>surface-state mapping</x:v>
      </x:c>
      <x:c r="D9" s="8" t="n">
        <x:v>2</x:v>
      </x:c>
      <x:c r="E9" s="8" t="str">
        <x:v>common</x:v>
      </x:c>
      <x:c r="F9" s="9" t="str">
        <x:v>roughness, wetting and retained film</x:v>
      </x:c>
      <x:c r="G9" s="9" t="str">
        <x:v>traceable panels</x:v>
      </x:c>
    </x:row>
    <x:row r="10" ht="40" customHeight="1">
      <x:c r="B10" s="8" t="str">
        <x:v>FF-04</x:v>
      </x:c>
      <x:c r="C10" s="9" t="str">
        <x:v>orbital-weld execution</x:v>
      </x:c>
      <x:c r="D10" s="8" t="n">
        <x:v>2</x:v>
      </x:c>
      <x:c r="E10" s="8" t="str">
        <x:v>BL-X</x:v>
      </x:c>
      <x:c r="F10" s="9" t="str">
        <x:v>purge, energy, travel and root state</x:v>
      </x:c>
      <x:c r="G10" s="9" t="str">
        <x:v>recorded process</x:v>
      </x:c>
    </x:row>
    <x:row r="11" ht="40" customHeight="1">
      <x:c r="B11" s="8" t="str">
        <x:v>FF-05</x:v>
      </x:c>
      <x:c r="C11" s="9" t="str">
        <x:v>clamp and preload execution</x:v>
      </x:c>
      <x:c r="D11" s="8" t="n">
        <x:v>2</x:v>
      </x:c>
      <x:c r="E11" s="8" t="str">
        <x:v>BL-Y</x:v>
      </x:c>
      <x:c r="F11" s="9" t="str">
        <x:v>preload, squeeze and interspace state</x:v>
      </x:c>
      <x:c r="G11" s="9" t="str">
        <x:v>force and geometry standards</x:v>
      </x:c>
    </x:row>
    <x:row r="12" ht="40" customHeight="1">
      <x:c r="B12" s="8" t="str">
        <x:v>FF-06</x:v>
      </x:c>
      <x:c r="C12" s="9" t="str">
        <x:v>liquid proof</x:v>
      </x:c>
      <x:c r="D12" s="8" t="n">
        <x:v>2</x:v>
      </x:c>
      <x:c r="E12" s="8" t="str">
        <x:v>common</x:v>
      </x:c>
      <x:c r="F12" s="9" t="str">
        <x:v>3 MPa proof and deformation</x:v>
      </x:c>
      <x:c r="G12" s="9" t="str">
        <x:v>independent pressure reference</x:v>
      </x:c>
    </x:row>
    <x:row r="13" ht="40" customHeight="1">
      <x:c r="B13" s="8" t="str">
        <x:v>FF-07</x:v>
      </x:c>
      <x:c r="C13" s="9" t="str">
        <x:v>leak and mass capture</x:v>
      </x:c>
      <x:c r="D13" s="8" t="n">
        <x:v>2</x:v>
      </x:c>
      <x:c r="E13" s="8" t="str">
        <x:v>common</x:v>
      </x:c>
      <x:c r="F13" s="9" t="str">
        <x:v>proof leakage and mass balance</x:v>
      </x:c>
      <x:c r="G13" s="9" t="str">
        <x:v>gravimetric reference</x:v>
      </x:c>
    </x:row>
    <x:row r="14" ht="40" customHeight="1">
      <x:c r="B14" s="8" t="str">
        <x:v>FF-08</x:v>
      </x:c>
      <x:c r="C14" s="9" t="str">
        <x:v>full-line thermal</x:v>
      </x:c>
      <x:c r="D14" s="8" t="n">
        <x:v>1</x:v>
      </x:c>
      <x:c r="E14" s="8" t="str">
        <x:v>common</x:v>
      </x:c>
      <x:c r="F14" s="9" t="str">
        <x:v>-20 to 50 deg C free growth</x:v>
      </x:c>
      <x:c r="G14" s="9" t="str">
        <x:v>survey and temperature standards</x:v>
      </x:c>
    </x:row>
    <x:row r="15" ht="40" customHeight="1">
      <x:c r="B15" s="8" t="str">
        <x:v>FF-09</x:v>
      </x:c>
      <x:c r="C15" s="9" t="str">
        <x:v>cyclic pressure</x:v>
      </x:c>
      <x:c r="D15" s="8" t="n">
        <x:v>2</x:v>
      </x:c>
      <x:c r="E15" s="8" t="str">
        <x:v>common</x:v>
      </x:c>
      <x:c r="F15" s="9" t="str">
        <x:v>normal and surge exposure blocks</x:v>
      </x:c>
      <x:c r="G15" s="9" t="str">
        <x:v>independent waveform recorder</x:v>
      </x:c>
    </x:row>
    <x:row r="16" ht="40" customHeight="1">
      <x:c r="B16" s="8" t="str">
        <x:v>FF-10</x:v>
      </x:c>
      <x:c r="C16" s="9" t="str">
        <x:v>drain and recovery</x:v>
      </x:c>
      <x:c r="D16" s="8" t="n">
        <x:v>2</x:v>
      </x:c>
      <x:c r="E16" s="8" t="str">
        <x:v>common</x:v>
      </x:c>
      <x:c r="F16" s="9" t="str">
        <x:v>residual, slope and hold-up</x:v>
      </x:c>
      <x:c r="G16" s="9" t="str">
        <x:v>mass and volume references</x:v>
      </x:c>
    </x:row>
    <x:row r="17" ht="40" customHeight="1">
      <x:c r="B17" s="8" t="str">
        <x:v>FF-11</x:v>
      </x:c>
      <x:c r="C17" s="9" t="str">
        <x:v>safeing work</x:v>
      </x:c>
      <x:c r="D17" s="8" t="n">
        <x:v>2</x:v>
      </x:c>
      <x:c r="E17" s="8" t="str">
        <x:v>common</x:v>
      </x:c>
      <x:c r="F17" s="9" t="str">
        <x:v>torque, travel and final state</x:v>
      </x:c>
      <x:c r="G17" s="9" t="str">
        <x:v>force-angle reference</x:v>
      </x:c>
    </x:row>
    <x:row r="18" ht="40" customHeight="1">
      <x:c r="B18" s="8" t="str">
        <x:v>FF-12</x:v>
      </x:c>
      <x:c r="C18" s="9" t="str">
        <x:v>low-state energy</x:v>
      </x:c>
      <x:c r="D18" s="8" t="n">
        <x:v>2</x:v>
      </x:c>
      <x:c r="E18" s="8" t="str">
        <x:v>common</x:v>
      </x:c>
      <x:c r="F18" s="9" t="str">
        <x:v>battery, recorder and release electronics</x:v>
      </x:c>
      <x:c r="G18" s="9" t="str">
        <x:v>source and load standards</x:v>
      </x:c>
    </x:row>
    <x:row r="19" ht="40" customHeight="1">
      <x:c r="B19" s="8" t="str">
        <x:v>FF-13</x:v>
      </x:c>
      <x:c r="C19" s="9" t="str">
        <x:v>instrument, time and mount</x:v>
      </x:c>
      <x:c r="D19" s="8" t="n">
        <x:v>2</x:v>
      </x:c>
      <x:c r="E19" s="8" t="str">
        <x:v>common</x:v>
      </x:c>
      <x:c r="F19" s="9" t="str">
        <x:v>mount identity, timing and signal chain</x:v>
      </x:c>
      <x:c r="G19" s="9" t="str">
        <x:v>portable standards</x:v>
      </x:c>
    </x:row>
    <x:row r="20" ht="40" customHeight="1">
      <x:c r="B20" s="8" t="str">
        <x:v>FF-14</x:v>
      </x:c>
      <x:c r="C20" s="9" t="str">
        <x:v>blind NDE</x:v>
      </x:c>
      <x:c r="D20" s="8" t="n">
        <x:v>2</x:v>
      </x:c>
      <x:c r="E20" s="8" t="str">
        <x:v>separated</x:v>
      </x:c>
      <x:c r="F20" s="9" t="str">
        <x:v>sealed presentations and blind calls</x:v>
      </x:c>
      <x:c r="G20" s="9" t="str">
        <x:v>challenge custody</x:v>
      </x:c>
    </x:row>
    <x:row r="21" ht="40" customHeight="1">
      <x:c r="B21" s="8" t="str">
        <x:v>FF-15</x:v>
      </x:c>
      <x:c r="C21" s="9" t="str">
        <x:v>precision sectioning</x:v>
      </x:c>
      <x:c r="D21" s="8" t="n">
        <x:v>2</x:v>
      </x:c>
      <x:c r="E21" s="8" t="str">
        <x:v>separated</x:v>
      </x:c>
      <x:c r="F21" s="9" t="str">
        <x:v>committed physical cuts</x:v>
      </x:c>
      <x:c r="G21" s="9" t="str">
        <x:v>coordinate witness</x:v>
      </x:c>
    </x:row>
    <x:row r="22" ht="40" customHeight="1">
      <x:c r="B22" s="8" t="str">
        <x:v>FF-16</x:v>
      </x:c>
      <x:c r="C22" s="9" t="str">
        <x:v>microscopy and seal forensics</x:v>
      </x:c>
      <x:c r="D22" s="8" t="n">
        <x:v>1</x:v>
      </x:c>
      <x:c r="E22" s="8" t="str">
        <x:v>separated</x:v>
      </x:c>
      <x:c r="F22" s="9" t="str">
        <x:v>root, HAZ, seal and contamination state</x:v>
      </x:c>
      <x:c r="G22" s="9" t="str">
        <x:v>material standards</x:v>
      </x:c>
    </x:row>
    <x:row r="23" ht="40" customHeight="1">
      <x:c r="B23" s="8" t="str">
        <x:v>FF-17</x:v>
      </x:c>
      <x:c r="C23" s="9" t="str">
        <x:v>handling, lift and rescue</x:v>
      </x:c>
      <x:c r="D23" s="8" t="n">
        <x:v>1</x:v>
      </x:c>
      <x:c r="E23" s="8" t="str">
        <x:v>common</x:v>
      </x:c>
      <x:c r="F23" s="9" t="str">
        <x:v>stowed handling and emergency access</x:v>
      </x:c>
      <x:c r="G23" s="9" t="str">
        <x:v>load reference</x:v>
      </x:c>
    </x:row>
    <x:row r="24" ht="40" customHeight="1">
      <x:c r="B24" s="8" t="str">
        <x:v>FF-18</x:v>
      </x:c>
      <x:c r="C24" s="9" t="str">
        <x:v>evidence replay</x:v>
      </x:c>
      <x:c r="D24" s="8" t="n">
        <x:v>2</x:v>
      </x:c>
      <x:c r="E24" s="8" t="str">
        <x:v>separated</x:v>
      </x:c>
      <x:c r="F24" s="9" t="str">
        <x:v>two originals and outside reconstruction</x:v>
      </x:c>
      <x:c r="G24" s="9" t="str">
        <x:v>independent compute root</x:v>
      </x:c>
    </x:row>
    <x:row r="25">
      <x:c r="B25" s="45"/>
      <x:c r="C25" s="45"/>
      <x:c r="D25" s="45"/>
      <x:c r="E25" s="45"/>
      <x:c r="F25" s="45"/>
      <x:c r="G25" s="45"/>
    </x:row>
    <x:row r="26">
      <x:c r="B26" s="59" t="str">
        <x:v>TOTAL</x:v>
      </x:c>
      <x:c r="C26" s="60" t="str"/>
      <x:c r="D26" s="60" t="n">
        <x:f>SUM(D7:D24)</x:f>
        <x:v>33</x:v>
      </x:c>
      <x:c r="E26" s="60" t="str"/>
      <x:c r="F26" s="60" t="str">
        <x:v>commissioned fixture units</x:v>
      </x:c>
      <x:c r="G26" s="62" t="str"/>
    </x:row>
  </x:sheetData>
  <x:pageMargins left="0.7" right="0.7" top="0.75" bottom="0.75" header="0.3" footer="0.3"/>
</x:worksheet>
</file>

<file path=xl/worksheets/sheet12.xml><?xml version="1.0" encoding="utf-8"?>
<x:worksheet xmlns:x="http://schemas.openxmlformats.org/spreadsheetml/2006/main">
  <x:sheetViews>
    <x:sheetView showGridLines="0" workbookViewId="0">
      <x:pane xSplit="2" ySplit="6" topLeftCell="C7" activePane="bottomRight" state="frozen"/>
    </x:sheetView>
  </x:sheetViews>
  <x:sheetFormatPr defaultRowHeight="15"/>
  <x:cols>
    <x:col min="2" max="2" width="20" hidden="0" customWidth="1"/>
    <x:col min="3" max="3" width="14" hidden="0" customWidth="1"/>
    <x:col min="4" max="4" width="12" hidden="0" customWidth="1"/>
    <x:col min="5" max="5" width="15" hidden="0" customWidth="1"/>
    <x:col min="6" max="6" width="20" hidden="0" customWidth="1"/>
    <x:col min="7" max="7" width="24" hidden="0" customWidth="1"/>
    <x:col min="8" max="8" width="24" hidden="0" customWidth="1"/>
    <x:col min="9" max="9" width="20" hidden="0" customWidth="1"/>
    <x:col min="10" max="10" width="20" hidden="0" customWidth="1"/>
    <x:col min="11" max="11" width="20" hidden="0" customWidth="1"/>
    <x:col min="12" max="12" width="14" hidden="0" customWidth="1"/>
  </x:cols>
  <x:sheetData>
    <x:row r="2">
      <x:c r="B2" s="44" t="str">
        <x:v>Thirty-three serialized fixture commissions</x:v>
      </x:c>
      <x:c r="C2" s="45"/>
      <x:c r="D2" s="45"/>
      <x:c r="E2" s="45"/>
      <x:c r="F2" s="45"/>
      <x:c r="G2" s="45"/>
      <x:c r="H2" s="45"/>
      <x:c r="I2" s="45"/>
      <x:c r="J2" s="45"/>
      <x:c r="K2" s="45"/>
      <x:c r="L2" s="45"/>
    </x:row>
    <x:row r="3">
      <x:c r="B3" s="46" t="str">
        <x:v>A signed timestamp beside missing calibration, boundary identification, uncertainty, safety or evidence fails.</x:v>
      </x:c>
      <x:c r="C3" s="45"/>
      <x:c r="D3" s="45"/>
      <x:c r="E3" s="45"/>
      <x:c r="F3" s="45"/>
      <x:c r="G3" s="45"/>
      <x:c r="H3" s="45"/>
      <x:c r="I3" s="45"/>
      <x:c r="J3" s="45"/>
      <x:c r="K3" s="45"/>
      <x:c r="L3" s="45"/>
    </x:row>
    <x:row r="4">
      <x:c r="B4" s="45"/>
      <x:c r="C4" s="45"/>
      <x:c r="D4" s="45"/>
      <x:c r="E4" s="45"/>
      <x:c r="F4" s="45"/>
      <x:c r="G4" s="45"/>
      <x:c r="H4" s="45"/>
      <x:c r="I4" s="45"/>
      <x:c r="J4" s="45"/>
      <x:c r="K4" s="45"/>
      <x:c r="L4" s="45"/>
    </x:row>
    <x:row r="5">
      <x:c r="B5" s="45"/>
      <x:c r="C5" s="45"/>
      <x:c r="D5" s="45"/>
      <x:c r="E5" s="45"/>
      <x:c r="F5" s="45"/>
      <x:c r="G5" s="45"/>
      <x:c r="H5" s="45"/>
      <x:c r="I5" s="45"/>
      <x:c r="J5" s="45"/>
      <x:c r="K5" s="45"/>
      <x:c r="L5" s="45"/>
    </x:row>
    <x:row r="6" ht="25" customHeight="1">
      <x:c r="B6" s="6" t="str">
        <x:v>Fixture unit</x:v>
      </x:c>
      <x:c r="C6" s="6" t="str">
        <x:v>Family</x:v>
      </x:c>
      <x:c r="D6" s="6" t="str">
        <x:v>Unit</x:v>
      </x:c>
      <x:c r="E6" s="6" t="str">
        <x:v>Scope</x:v>
      </x:c>
      <x:c r="F6" s="6" t="str">
        <x:v>Calibration ID</x:v>
      </x:c>
      <x:c r="G6" s="6" t="str">
        <x:v>Boundary result</x:v>
      </x:c>
      <x:c r="H6" s="6" t="str">
        <x:v>Uncertainty result</x:v>
      </x:c>
      <x:c r="I6" s="6" t="str">
        <x:v>Safety release</x:v>
      </x:c>
      <x:c r="J6" s="6" t="str">
        <x:v>Evidence root</x:v>
      </x:c>
      <x:c r="K6" s="6" t="str">
        <x:v>Accepted UTC</x:v>
      </x:c>
      <x:c r="L6" s="6" t="str">
        <x:v>State</x:v>
      </x:c>
    </x:row>
    <x:row r="7" ht="32" customHeight="1">
      <x:c r="B7" s="8" t="str">
        <x:v>FF-01-U1</x:v>
      </x:c>
      <x:c r="C7" s="8" t="str">
        <x:v>FF-01</x:v>
      </x:c>
      <x:c r="D7" s="8" t="n">
        <x:v>1</x:v>
      </x:c>
      <x:c r="E7" s="8" t="str">
        <x:v>common</x:v>
      </x:c>
      <x:c r="F7" s="8" t="str"/>
      <x:c r="G7" s="8" t="str"/>
      <x:c r="H7" s="8" t="str"/>
      <x:c r="I7" s="8" t="str"/>
      <x:c r="J7" s="8" t="str"/>
      <x:c r="K7" s="8" t="str"/>
      <x:c r="L7" s="8" t="str">
        <x:f>IF(K7="","OPEN",IF(OR(F7="",G7="",H7="",I7="",J7=""),"FAIL","PASS"))</x:f>
        <x:v>OPEN</x:v>
      </x:c>
    </x:row>
    <x:row r="8" ht="32" customHeight="1">
      <x:c r="B8" s="8" t="str">
        <x:v>FF-01-U2</x:v>
      </x:c>
      <x:c r="C8" s="8" t="str">
        <x:v>FF-01</x:v>
      </x:c>
      <x:c r="D8" s="8" t="n">
        <x:v>2</x:v>
      </x:c>
      <x:c r="E8" s="8" t="str">
        <x:v>common</x:v>
      </x:c>
      <x:c r="F8" s="8" t="str"/>
      <x:c r="G8" s="8" t="str"/>
      <x:c r="H8" s="8" t="str"/>
      <x:c r="I8" s="8" t="str"/>
      <x:c r="J8" s="8" t="str"/>
      <x:c r="K8" s="8" t="str"/>
      <x:c r="L8" s="8" t="str">
        <x:f>IF(K8="","OPEN",IF(OR(F8="",G8="",H8="",I8="",J8=""),"FAIL","PASS"))</x:f>
        <x:v>OPEN</x:v>
      </x:c>
    </x:row>
    <x:row r="9" ht="32" customHeight="1">
      <x:c r="B9" s="8" t="str">
        <x:v>FF-02-U1</x:v>
      </x:c>
      <x:c r="C9" s="8" t="str">
        <x:v>FF-02</x:v>
      </x:c>
      <x:c r="D9" s="8" t="n">
        <x:v>1</x:v>
      </x:c>
      <x:c r="E9" s="8" t="str">
        <x:v>common</x:v>
      </x:c>
      <x:c r="F9" s="8" t="str"/>
      <x:c r="G9" s="8" t="str"/>
      <x:c r="H9" s="8" t="str"/>
      <x:c r="I9" s="8" t="str"/>
      <x:c r="J9" s="8" t="str"/>
      <x:c r="K9" s="8" t="str"/>
      <x:c r="L9" s="8" t="str">
        <x:f>IF(K9="","OPEN",IF(OR(F9="",G9="",H9="",I9="",J9=""),"FAIL","PASS"))</x:f>
        <x:v>OPEN</x:v>
      </x:c>
    </x:row>
    <x:row r="10" ht="32" customHeight="1">
      <x:c r="B10" s="8" t="str">
        <x:v>FF-02-U2</x:v>
      </x:c>
      <x:c r="C10" s="8" t="str">
        <x:v>FF-02</x:v>
      </x:c>
      <x:c r="D10" s="8" t="n">
        <x:v>2</x:v>
      </x:c>
      <x:c r="E10" s="8" t="str">
        <x:v>common</x:v>
      </x:c>
      <x:c r="F10" s="8" t="str"/>
      <x:c r="G10" s="8" t="str"/>
      <x:c r="H10" s="8" t="str"/>
      <x:c r="I10" s="8" t="str"/>
      <x:c r="J10" s="8" t="str"/>
      <x:c r="K10" s="8" t="str"/>
      <x:c r="L10" s="8" t="str">
        <x:f>IF(K10="","OPEN",IF(OR(F10="",G10="",H10="",I10="",J10=""),"FAIL","PASS"))</x:f>
        <x:v>OPEN</x:v>
      </x:c>
    </x:row>
    <x:row r="11" ht="32" customHeight="1">
      <x:c r="B11" s="8" t="str">
        <x:v>FF-03-U1</x:v>
      </x:c>
      <x:c r="C11" s="8" t="str">
        <x:v>FF-03</x:v>
      </x:c>
      <x:c r="D11" s="8" t="n">
        <x:v>1</x:v>
      </x:c>
      <x:c r="E11" s="8" t="str">
        <x:v>common</x:v>
      </x:c>
      <x:c r="F11" s="8" t="str"/>
      <x:c r="G11" s="8" t="str"/>
      <x:c r="H11" s="8" t="str"/>
      <x:c r="I11" s="8" t="str"/>
      <x:c r="J11" s="8" t="str"/>
      <x:c r="K11" s="8" t="str"/>
      <x:c r="L11" s="8" t="str">
        <x:f>IF(K11="","OPEN",IF(OR(F11="",G11="",H11="",I11="",J11=""),"FAIL","PASS"))</x:f>
        <x:v>OPEN</x:v>
      </x:c>
    </x:row>
    <x:row r="12" ht="32" customHeight="1">
      <x:c r="B12" s="8" t="str">
        <x:v>FF-03-U2</x:v>
      </x:c>
      <x:c r="C12" s="8" t="str">
        <x:v>FF-03</x:v>
      </x:c>
      <x:c r="D12" s="8" t="n">
        <x:v>2</x:v>
      </x:c>
      <x:c r="E12" s="8" t="str">
        <x:v>common</x:v>
      </x:c>
      <x:c r="F12" s="8" t="str"/>
      <x:c r="G12" s="8" t="str"/>
      <x:c r="H12" s="8" t="str"/>
      <x:c r="I12" s="8" t="str"/>
      <x:c r="J12" s="8" t="str"/>
      <x:c r="K12" s="8" t="str"/>
      <x:c r="L12" s="8" t="str">
        <x:f>IF(K12="","OPEN",IF(OR(F12="",G12="",H12="",I12="",J12=""),"FAIL","PASS"))</x:f>
        <x:v>OPEN</x:v>
      </x:c>
    </x:row>
    <x:row r="13" ht="32" customHeight="1">
      <x:c r="B13" s="8" t="str">
        <x:v>FF-04-U1</x:v>
      </x:c>
      <x:c r="C13" s="8" t="str">
        <x:v>FF-04</x:v>
      </x:c>
      <x:c r="D13" s="8" t="n">
        <x:v>1</x:v>
      </x:c>
      <x:c r="E13" s="8" t="str">
        <x:v>BL-X</x:v>
      </x:c>
      <x:c r="F13" s="8" t="str"/>
      <x:c r="G13" s="8" t="str"/>
      <x:c r="H13" s="8" t="str"/>
      <x:c r="I13" s="8" t="str"/>
      <x:c r="J13" s="8" t="str"/>
      <x:c r="K13" s="8" t="str"/>
      <x:c r="L13" s="8" t="str">
        <x:f>IF(K13="","OPEN",IF(OR(F13="",G13="",H13="",I13="",J13=""),"FAIL","PASS"))</x:f>
        <x:v>OPEN</x:v>
      </x:c>
    </x:row>
    <x:row r="14" ht="32" customHeight="1">
      <x:c r="B14" s="8" t="str">
        <x:v>FF-04-U2</x:v>
      </x:c>
      <x:c r="C14" s="8" t="str">
        <x:v>FF-04</x:v>
      </x:c>
      <x:c r="D14" s="8" t="n">
        <x:v>2</x:v>
      </x:c>
      <x:c r="E14" s="8" t="str">
        <x:v>BL-X</x:v>
      </x:c>
      <x:c r="F14" s="8" t="str"/>
      <x:c r="G14" s="8" t="str"/>
      <x:c r="H14" s="8" t="str"/>
      <x:c r="I14" s="8" t="str"/>
      <x:c r="J14" s="8" t="str"/>
      <x:c r="K14" s="8" t="str"/>
      <x:c r="L14" s="8" t="str">
        <x:f>IF(K14="","OPEN",IF(OR(F14="",G14="",H14="",I14="",J14=""),"FAIL","PASS"))</x:f>
        <x:v>OPEN</x:v>
      </x:c>
    </x:row>
    <x:row r="15" ht="32" customHeight="1">
      <x:c r="B15" s="8" t="str">
        <x:v>FF-05-U1</x:v>
      </x:c>
      <x:c r="C15" s="8" t="str">
        <x:v>FF-05</x:v>
      </x:c>
      <x:c r="D15" s="8" t="n">
        <x:v>1</x:v>
      </x:c>
      <x:c r="E15" s="8" t="str">
        <x:v>BL-Y</x:v>
      </x:c>
      <x:c r="F15" s="8" t="str"/>
      <x:c r="G15" s="8" t="str"/>
      <x:c r="H15" s="8" t="str"/>
      <x:c r="I15" s="8" t="str"/>
      <x:c r="J15" s="8" t="str"/>
      <x:c r="K15" s="8" t="str"/>
      <x:c r="L15" s="8" t="str">
        <x:f>IF(K15="","OPEN",IF(OR(F15="",G15="",H15="",I15="",J15=""),"FAIL","PASS"))</x:f>
        <x:v>OPEN</x:v>
      </x:c>
    </x:row>
    <x:row r="16" ht="32" customHeight="1">
      <x:c r="B16" s="8" t="str">
        <x:v>FF-05-U2</x:v>
      </x:c>
      <x:c r="C16" s="8" t="str">
        <x:v>FF-05</x:v>
      </x:c>
      <x:c r="D16" s="8" t="n">
        <x:v>2</x:v>
      </x:c>
      <x:c r="E16" s="8" t="str">
        <x:v>BL-Y</x:v>
      </x:c>
      <x:c r="F16" s="8" t="str"/>
      <x:c r="G16" s="8" t="str"/>
      <x:c r="H16" s="8" t="str"/>
      <x:c r="I16" s="8" t="str"/>
      <x:c r="J16" s="8" t="str"/>
      <x:c r="K16" s="8" t="str"/>
      <x:c r="L16" s="8" t="str">
        <x:f>IF(K16="","OPEN",IF(OR(F16="",G16="",H16="",I16="",J16=""),"FAIL","PASS"))</x:f>
        <x:v>OPEN</x:v>
      </x:c>
    </x:row>
    <x:row r="17" ht="32" customHeight="1">
      <x:c r="B17" s="8" t="str">
        <x:v>FF-06-U1</x:v>
      </x:c>
      <x:c r="C17" s="8" t="str">
        <x:v>FF-06</x:v>
      </x:c>
      <x:c r="D17" s="8" t="n">
        <x:v>1</x:v>
      </x:c>
      <x:c r="E17" s="8" t="str">
        <x:v>common</x:v>
      </x:c>
      <x:c r="F17" s="8" t="str"/>
      <x:c r="G17" s="8" t="str"/>
      <x:c r="H17" s="8" t="str"/>
      <x:c r="I17" s="8" t="str"/>
      <x:c r="J17" s="8" t="str"/>
      <x:c r="K17" s="8" t="str"/>
      <x:c r="L17" s="8" t="str">
        <x:f>IF(K17="","OPEN",IF(OR(F17="",G17="",H17="",I17="",J17=""),"FAIL","PASS"))</x:f>
        <x:v>OPEN</x:v>
      </x:c>
    </x:row>
    <x:row r="18" ht="32" customHeight="1">
      <x:c r="B18" s="8" t="str">
        <x:v>FF-06-U2</x:v>
      </x:c>
      <x:c r="C18" s="8" t="str">
        <x:v>FF-06</x:v>
      </x:c>
      <x:c r="D18" s="8" t="n">
        <x:v>2</x:v>
      </x:c>
      <x:c r="E18" s="8" t="str">
        <x:v>common</x:v>
      </x:c>
      <x:c r="F18" s="8" t="str"/>
      <x:c r="G18" s="8" t="str"/>
      <x:c r="H18" s="8" t="str"/>
      <x:c r="I18" s="8" t="str"/>
      <x:c r="J18" s="8" t="str"/>
      <x:c r="K18" s="8" t="str"/>
      <x:c r="L18" s="8" t="str">
        <x:f>IF(K18="","OPEN",IF(OR(F18="",G18="",H18="",I18="",J18=""),"FAIL","PASS"))</x:f>
        <x:v>OPEN</x:v>
      </x:c>
    </x:row>
    <x:row r="19" ht="32" customHeight="1">
      <x:c r="B19" s="8" t="str">
        <x:v>FF-07-U1</x:v>
      </x:c>
      <x:c r="C19" s="8" t="str">
        <x:v>FF-07</x:v>
      </x:c>
      <x:c r="D19" s="8" t="n">
        <x:v>1</x:v>
      </x:c>
      <x:c r="E19" s="8" t="str">
        <x:v>common</x:v>
      </x:c>
      <x:c r="F19" s="8" t="str"/>
      <x:c r="G19" s="8" t="str"/>
      <x:c r="H19" s="8" t="str"/>
      <x:c r="I19" s="8" t="str"/>
      <x:c r="J19" s="8" t="str"/>
      <x:c r="K19" s="8" t="str"/>
      <x:c r="L19" s="8" t="str">
        <x:f>IF(K19="","OPEN",IF(OR(F19="",G19="",H19="",I19="",J19=""),"FAIL","PASS"))</x:f>
        <x:v>OPEN</x:v>
      </x:c>
    </x:row>
    <x:row r="20" ht="32" customHeight="1">
      <x:c r="B20" s="8" t="str">
        <x:v>FF-07-U2</x:v>
      </x:c>
      <x:c r="C20" s="8" t="str">
        <x:v>FF-07</x:v>
      </x:c>
      <x:c r="D20" s="8" t="n">
        <x:v>2</x:v>
      </x:c>
      <x:c r="E20" s="8" t="str">
        <x:v>common</x:v>
      </x:c>
      <x:c r="F20" s="8" t="str"/>
      <x:c r="G20" s="8" t="str"/>
      <x:c r="H20" s="8" t="str"/>
      <x:c r="I20" s="8" t="str"/>
      <x:c r="J20" s="8" t="str"/>
      <x:c r="K20" s="8" t="str"/>
      <x:c r="L20" s="8" t="str">
        <x:f>IF(K20="","OPEN",IF(OR(F20="",G20="",H20="",I20="",J20=""),"FAIL","PASS"))</x:f>
        <x:v>OPEN</x:v>
      </x:c>
    </x:row>
    <x:row r="21" ht="32" customHeight="1">
      <x:c r="B21" s="8" t="str">
        <x:v>FF-08-U1</x:v>
      </x:c>
      <x:c r="C21" s="8" t="str">
        <x:v>FF-08</x:v>
      </x:c>
      <x:c r="D21" s="8" t="n">
        <x:v>1</x:v>
      </x:c>
      <x:c r="E21" s="8" t="str">
        <x:v>common</x:v>
      </x:c>
      <x:c r="F21" s="8" t="str"/>
      <x:c r="G21" s="8" t="str"/>
      <x:c r="H21" s="8" t="str"/>
      <x:c r="I21" s="8" t="str"/>
      <x:c r="J21" s="8" t="str"/>
      <x:c r="K21" s="8" t="str"/>
      <x:c r="L21" s="8" t="str">
        <x:f>IF(K21="","OPEN",IF(OR(F21="",G21="",H21="",I21="",J21=""),"FAIL","PASS"))</x:f>
        <x:v>OPEN</x:v>
      </x:c>
    </x:row>
    <x:row r="22" ht="32" customHeight="1">
      <x:c r="B22" s="8" t="str">
        <x:v>FF-09-U1</x:v>
      </x:c>
      <x:c r="C22" s="8" t="str">
        <x:v>FF-09</x:v>
      </x:c>
      <x:c r="D22" s="8" t="n">
        <x:v>1</x:v>
      </x:c>
      <x:c r="E22" s="8" t="str">
        <x:v>common</x:v>
      </x:c>
      <x:c r="F22" s="8" t="str"/>
      <x:c r="G22" s="8" t="str"/>
      <x:c r="H22" s="8" t="str"/>
      <x:c r="I22" s="8" t="str"/>
      <x:c r="J22" s="8" t="str"/>
      <x:c r="K22" s="8" t="str"/>
      <x:c r="L22" s="8" t="str">
        <x:f>IF(K22="","OPEN",IF(OR(F22="",G22="",H22="",I22="",J22=""),"FAIL","PASS"))</x:f>
        <x:v>OPEN</x:v>
      </x:c>
    </x:row>
    <x:row r="23" ht="32" customHeight="1">
      <x:c r="B23" s="8" t="str">
        <x:v>FF-09-U2</x:v>
      </x:c>
      <x:c r="C23" s="8" t="str">
        <x:v>FF-09</x:v>
      </x:c>
      <x:c r="D23" s="8" t="n">
        <x:v>2</x:v>
      </x:c>
      <x:c r="E23" s="8" t="str">
        <x:v>common</x:v>
      </x:c>
      <x:c r="F23" s="8" t="str"/>
      <x:c r="G23" s="8" t="str"/>
      <x:c r="H23" s="8" t="str"/>
      <x:c r="I23" s="8" t="str"/>
      <x:c r="J23" s="8" t="str"/>
      <x:c r="K23" s="8" t="str"/>
      <x:c r="L23" s="8" t="str">
        <x:f>IF(K23="","OPEN",IF(OR(F23="",G23="",H23="",I23="",J23=""),"FAIL","PASS"))</x:f>
        <x:v>OPEN</x:v>
      </x:c>
    </x:row>
    <x:row r="24" ht="32" customHeight="1">
      <x:c r="B24" s="8" t="str">
        <x:v>FF-10-U1</x:v>
      </x:c>
      <x:c r="C24" s="8" t="str">
        <x:v>FF-10</x:v>
      </x:c>
      <x:c r="D24" s="8" t="n">
        <x:v>1</x:v>
      </x:c>
      <x:c r="E24" s="8" t="str">
        <x:v>common</x:v>
      </x:c>
      <x:c r="F24" s="8" t="str"/>
      <x:c r="G24" s="8" t="str"/>
      <x:c r="H24" s="8" t="str"/>
      <x:c r="I24" s="8" t="str"/>
      <x:c r="J24" s="8" t="str"/>
      <x:c r="K24" s="8" t="str"/>
      <x:c r="L24" s="8" t="str">
        <x:f>IF(K24="","OPEN",IF(OR(F24="",G24="",H24="",I24="",J24=""),"FAIL","PASS"))</x:f>
        <x:v>OPEN</x:v>
      </x:c>
    </x:row>
    <x:row r="25" ht="32" customHeight="1">
      <x:c r="B25" s="8" t="str">
        <x:v>FF-10-U2</x:v>
      </x:c>
      <x:c r="C25" s="8" t="str">
        <x:v>FF-10</x:v>
      </x:c>
      <x:c r="D25" s="8" t="n">
        <x:v>2</x:v>
      </x:c>
      <x:c r="E25" s="8" t="str">
        <x:v>common</x:v>
      </x:c>
      <x:c r="F25" s="8" t="str"/>
      <x:c r="G25" s="8" t="str"/>
      <x:c r="H25" s="8" t="str"/>
      <x:c r="I25" s="8" t="str"/>
      <x:c r="J25" s="8" t="str"/>
      <x:c r="K25" s="8" t="str"/>
      <x:c r="L25" s="8" t="str">
        <x:f>IF(K25="","OPEN",IF(OR(F25="",G25="",H25="",I25="",J25=""),"FAIL","PASS"))</x:f>
        <x:v>OPEN</x:v>
      </x:c>
    </x:row>
    <x:row r="26" ht="32" customHeight="1">
      <x:c r="B26" s="8" t="str">
        <x:v>FF-11-U1</x:v>
      </x:c>
      <x:c r="C26" s="8" t="str">
        <x:v>FF-11</x:v>
      </x:c>
      <x:c r="D26" s="8" t="n">
        <x:v>1</x:v>
      </x:c>
      <x:c r="E26" s="8" t="str">
        <x:v>common</x:v>
      </x:c>
      <x:c r="F26" s="8" t="str"/>
      <x:c r="G26" s="8" t="str"/>
      <x:c r="H26" s="8" t="str"/>
      <x:c r="I26" s="8" t="str"/>
      <x:c r="J26" s="8" t="str"/>
      <x:c r="K26" s="8" t="str"/>
      <x:c r="L26" s="8" t="str">
        <x:f>IF(K26="","OPEN",IF(OR(F26="",G26="",H26="",I26="",J26=""),"FAIL","PASS"))</x:f>
        <x:v>OPEN</x:v>
      </x:c>
    </x:row>
    <x:row r="27" ht="32" customHeight="1">
      <x:c r="B27" s="8" t="str">
        <x:v>FF-11-U2</x:v>
      </x:c>
      <x:c r="C27" s="8" t="str">
        <x:v>FF-11</x:v>
      </x:c>
      <x:c r="D27" s="8" t="n">
        <x:v>2</x:v>
      </x:c>
      <x:c r="E27" s="8" t="str">
        <x:v>common</x:v>
      </x:c>
      <x:c r="F27" s="8" t="str"/>
      <x:c r="G27" s="8" t="str"/>
      <x:c r="H27" s="8" t="str"/>
      <x:c r="I27" s="8" t="str"/>
      <x:c r="J27" s="8" t="str"/>
      <x:c r="K27" s="8" t="str"/>
      <x:c r="L27" s="8" t="str">
        <x:f>IF(K27="","OPEN",IF(OR(F27="",G27="",H27="",I27="",J27=""),"FAIL","PASS"))</x:f>
        <x:v>OPEN</x:v>
      </x:c>
    </x:row>
    <x:row r="28" ht="32" customHeight="1">
      <x:c r="B28" s="8" t="str">
        <x:v>FF-12-U1</x:v>
      </x:c>
      <x:c r="C28" s="8" t="str">
        <x:v>FF-12</x:v>
      </x:c>
      <x:c r="D28" s="8" t="n">
        <x:v>1</x:v>
      </x:c>
      <x:c r="E28" s="8" t="str">
        <x:v>common</x:v>
      </x:c>
      <x:c r="F28" s="8" t="str"/>
      <x:c r="G28" s="8" t="str"/>
      <x:c r="H28" s="8" t="str"/>
      <x:c r="I28" s="8" t="str"/>
      <x:c r="J28" s="8" t="str"/>
      <x:c r="K28" s="8" t="str"/>
      <x:c r="L28" s="8" t="str">
        <x:f>IF(K28="","OPEN",IF(OR(F28="",G28="",H28="",I28="",J28=""),"FAIL","PASS"))</x:f>
        <x:v>OPEN</x:v>
      </x:c>
    </x:row>
    <x:row r="29" ht="32" customHeight="1">
      <x:c r="B29" s="8" t="str">
        <x:v>FF-12-U2</x:v>
      </x:c>
      <x:c r="C29" s="8" t="str">
        <x:v>FF-12</x:v>
      </x:c>
      <x:c r="D29" s="8" t="n">
        <x:v>2</x:v>
      </x:c>
      <x:c r="E29" s="8" t="str">
        <x:v>common</x:v>
      </x:c>
      <x:c r="F29" s="8" t="str"/>
      <x:c r="G29" s="8" t="str"/>
      <x:c r="H29" s="8" t="str"/>
      <x:c r="I29" s="8" t="str"/>
      <x:c r="J29" s="8" t="str"/>
      <x:c r="K29" s="8" t="str"/>
      <x:c r="L29" s="8" t="str">
        <x:f>IF(K29="","OPEN",IF(OR(F29="",G29="",H29="",I29="",J29=""),"FAIL","PASS"))</x:f>
        <x:v>OPEN</x:v>
      </x:c>
    </x:row>
    <x:row r="30" ht="32" customHeight="1">
      <x:c r="B30" s="8" t="str">
        <x:v>FF-13-U1</x:v>
      </x:c>
      <x:c r="C30" s="8" t="str">
        <x:v>FF-13</x:v>
      </x:c>
      <x:c r="D30" s="8" t="n">
        <x:v>1</x:v>
      </x:c>
      <x:c r="E30" s="8" t="str">
        <x:v>common</x:v>
      </x:c>
      <x:c r="F30" s="8" t="str"/>
      <x:c r="G30" s="8" t="str"/>
      <x:c r="H30" s="8" t="str"/>
      <x:c r="I30" s="8" t="str"/>
      <x:c r="J30" s="8" t="str"/>
      <x:c r="K30" s="8" t="str"/>
      <x:c r="L30" s="8" t="str">
        <x:f>IF(K30="","OPEN",IF(OR(F30="",G30="",H30="",I30="",J30=""),"FAIL","PASS"))</x:f>
        <x:v>OPEN</x:v>
      </x:c>
    </x:row>
    <x:row r="31" ht="32" customHeight="1">
      <x:c r="B31" s="8" t="str">
        <x:v>FF-13-U2</x:v>
      </x:c>
      <x:c r="C31" s="8" t="str">
        <x:v>FF-13</x:v>
      </x:c>
      <x:c r="D31" s="8" t="n">
        <x:v>2</x:v>
      </x:c>
      <x:c r="E31" s="8" t="str">
        <x:v>common</x:v>
      </x:c>
      <x:c r="F31" s="8" t="str"/>
      <x:c r="G31" s="8" t="str"/>
      <x:c r="H31" s="8" t="str"/>
      <x:c r="I31" s="8" t="str"/>
      <x:c r="J31" s="8" t="str"/>
      <x:c r="K31" s="8" t="str"/>
      <x:c r="L31" s="8" t="str">
        <x:f>IF(K31="","OPEN",IF(OR(F31="",G31="",H31="",I31="",J31=""),"FAIL","PASS"))</x:f>
        <x:v>OPEN</x:v>
      </x:c>
    </x:row>
    <x:row r="32" ht="32" customHeight="1">
      <x:c r="B32" s="8" t="str">
        <x:v>FF-14-U1</x:v>
      </x:c>
      <x:c r="C32" s="8" t="str">
        <x:v>FF-14</x:v>
      </x:c>
      <x:c r="D32" s="8" t="n">
        <x:v>1</x:v>
      </x:c>
      <x:c r="E32" s="8" t="str">
        <x:v>separated</x:v>
      </x:c>
      <x:c r="F32" s="8" t="str"/>
      <x:c r="G32" s="8" t="str"/>
      <x:c r="H32" s="8" t="str"/>
      <x:c r="I32" s="8" t="str"/>
      <x:c r="J32" s="8" t="str"/>
      <x:c r="K32" s="8" t="str"/>
      <x:c r="L32" s="8" t="str">
        <x:f>IF(K32="","OPEN",IF(OR(F32="",G32="",H32="",I32="",J32=""),"FAIL","PASS"))</x:f>
        <x:v>OPEN</x:v>
      </x:c>
    </x:row>
    <x:row r="33" ht="32" customHeight="1">
      <x:c r="B33" s="8" t="str">
        <x:v>FF-14-U2</x:v>
      </x:c>
      <x:c r="C33" s="8" t="str">
        <x:v>FF-14</x:v>
      </x:c>
      <x:c r="D33" s="8" t="n">
        <x:v>2</x:v>
      </x:c>
      <x:c r="E33" s="8" t="str">
        <x:v>separated</x:v>
      </x:c>
      <x:c r="F33" s="8" t="str"/>
      <x:c r="G33" s="8" t="str"/>
      <x:c r="H33" s="8" t="str"/>
      <x:c r="I33" s="8" t="str"/>
      <x:c r="J33" s="8" t="str"/>
      <x:c r="K33" s="8" t="str"/>
      <x:c r="L33" s="8" t="str">
        <x:f>IF(K33="","OPEN",IF(OR(F33="",G33="",H33="",I33="",J33=""),"FAIL","PASS"))</x:f>
        <x:v>OPEN</x:v>
      </x:c>
    </x:row>
    <x:row r="34" ht="32" customHeight="1">
      <x:c r="B34" s="8" t="str">
        <x:v>FF-15-U1</x:v>
      </x:c>
      <x:c r="C34" s="8" t="str">
        <x:v>FF-15</x:v>
      </x:c>
      <x:c r="D34" s="8" t="n">
        <x:v>1</x:v>
      </x:c>
      <x:c r="E34" s="8" t="str">
        <x:v>separated</x:v>
      </x:c>
      <x:c r="F34" s="8" t="str"/>
      <x:c r="G34" s="8" t="str"/>
      <x:c r="H34" s="8" t="str"/>
      <x:c r="I34" s="8" t="str"/>
      <x:c r="J34" s="8" t="str"/>
      <x:c r="K34" s="8" t="str"/>
      <x:c r="L34" s="8" t="str">
        <x:f>IF(K34="","OPEN",IF(OR(F34="",G34="",H34="",I34="",J34=""),"FAIL","PASS"))</x:f>
        <x:v>OPEN</x:v>
      </x:c>
    </x:row>
    <x:row r="35" ht="32" customHeight="1">
      <x:c r="B35" s="8" t="str">
        <x:v>FF-15-U2</x:v>
      </x:c>
      <x:c r="C35" s="8" t="str">
        <x:v>FF-15</x:v>
      </x:c>
      <x:c r="D35" s="8" t="n">
        <x:v>2</x:v>
      </x:c>
      <x:c r="E35" s="8" t="str">
        <x:v>separated</x:v>
      </x:c>
      <x:c r="F35" s="8" t="str"/>
      <x:c r="G35" s="8" t="str"/>
      <x:c r="H35" s="8" t="str"/>
      <x:c r="I35" s="8" t="str"/>
      <x:c r="J35" s="8" t="str"/>
      <x:c r="K35" s="8" t="str"/>
      <x:c r="L35" s="8" t="str">
        <x:f>IF(K35="","OPEN",IF(OR(F35="",G35="",H35="",I35="",J35=""),"FAIL","PASS"))</x:f>
        <x:v>OPEN</x:v>
      </x:c>
    </x:row>
    <x:row r="36" ht="32" customHeight="1">
      <x:c r="B36" s="8" t="str">
        <x:v>FF-16-U1</x:v>
      </x:c>
      <x:c r="C36" s="8" t="str">
        <x:v>FF-16</x:v>
      </x:c>
      <x:c r="D36" s="8" t="n">
        <x:v>1</x:v>
      </x:c>
      <x:c r="E36" s="8" t="str">
        <x:v>separated</x:v>
      </x:c>
      <x:c r="F36" s="8" t="str"/>
      <x:c r="G36" s="8" t="str"/>
      <x:c r="H36" s="8" t="str"/>
      <x:c r="I36" s="8" t="str"/>
      <x:c r="J36" s="8" t="str"/>
      <x:c r="K36" s="8" t="str"/>
      <x:c r="L36" s="8" t="str">
        <x:f>IF(K36="","OPEN",IF(OR(F36="",G36="",H36="",I36="",J36=""),"FAIL","PASS"))</x:f>
        <x:v>OPEN</x:v>
      </x:c>
    </x:row>
    <x:row r="37" ht="32" customHeight="1">
      <x:c r="B37" s="8" t="str">
        <x:v>FF-17-U1</x:v>
      </x:c>
      <x:c r="C37" s="8" t="str">
        <x:v>FF-17</x:v>
      </x:c>
      <x:c r="D37" s="8" t="n">
        <x:v>1</x:v>
      </x:c>
      <x:c r="E37" s="8" t="str">
        <x:v>common</x:v>
      </x:c>
      <x:c r="F37" s="8" t="str"/>
      <x:c r="G37" s="8" t="str"/>
      <x:c r="H37" s="8" t="str"/>
      <x:c r="I37" s="8" t="str"/>
      <x:c r="J37" s="8" t="str"/>
      <x:c r="K37" s="8" t="str"/>
      <x:c r="L37" s="8" t="str">
        <x:f>IF(K37="","OPEN",IF(OR(F37="",G37="",H37="",I37="",J37=""),"FAIL","PASS"))</x:f>
        <x:v>OPEN</x:v>
      </x:c>
    </x:row>
    <x:row r="38" ht="32" customHeight="1">
      <x:c r="B38" s="8" t="str">
        <x:v>FF-18-U1</x:v>
      </x:c>
      <x:c r="C38" s="8" t="str">
        <x:v>FF-18</x:v>
      </x:c>
      <x:c r="D38" s="8" t="n">
        <x:v>1</x:v>
      </x:c>
      <x:c r="E38" s="8" t="str">
        <x:v>separated</x:v>
      </x:c>
      <x:c r="F38" s="8" t="str"/>
      <x:c r="G38" s="8" t="str"/>
      <x:c r="H38" s="8" t="str"/>
      <x:c r="I38" s="8" t="str"/>
      <x:c r="J38" s="8" t="str"/>
      <x:c r="K38" s="8" t="str"/>
      <x:c r="L38" s="8" t="str">
        <x:f>IF(K38="","OPEN",IF(OR(F38="",G38="",H38="",I38="",J38=""),"FAIL","PASS"))</x:f>
        <x:v>OPEN</x:v>
      </x:c>
    </x:row>
    <x:row r="39" ht="32" customHeight="1">
      <x:c r="B39" s="8" t="str">
        <x:v>FF-18-U2</x:v>
      </x:c>
      <x:c r="C39" s="8" t="str">
        <x:v>FF-18</x:v>
      </x:c>
      <x:c r="D39" s="8" t="n">
        <x:v>2</x:v>
      </x:c>
      <x:c r="E39" s="8" t="str">
        <x:v>separated</x:v>
      </x:c>
      <x:c r="F39" s="8" t="str"/>
      <x:c r="G39" s="8" t="str"/>
      <x:c r="H39" s="8" t="str"/>
      <x:c r="I39" s="8" t="str"/>
      <x:c r="J39" s="8" t="str"/>
      <x:c r="K39" s="8" t="str"/>
      <x:c r="L39" s="8" t="str">
        <x:f>IF(K39="","OPEN",IF(OR(F39="",G39="",H39="",I39="",J39=""),"FAIL","PASS"))</x:f>
        <x:v>OPEN</x:v>
      </x:c>
    </x:row>
  </x:sheetData>
  <x:conditionalFormatting sqref="L7:L39">
    <x:cfRule type="containsText" dxfId="18" priority="1" operator="containsText" text="FAIL"/>
    <x:cfRule type="containsText" dxfId="19" priority="2" operator="containsText" text="BLOCKED"/>
    <x:cfRule type="containsText" dxfId="20" priority="3" operator="containsText" text="OPEN"/>
    <x:cfRule type="containsText" dxfId="21" priority="4" operator="containsText" text="PASS"/>
    <x:cfRule type="containsText" dxfId="22" priority="5" operator="containsText" text="PLANNED"/>
    <x:cfRule type="containsText" dxfId="23" priority="6" operator="containsText" text="ACTIVE"/>
  </x:conditionalFormatting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>
      <x:pane xSplit="2" ySplit="6" topLeftCell="C7" activePane="bottomRight" state="frozen"/>
    </x:sheetView>
  </x:sheetViews>
  <x:sheetFormatPr defaultRowHeight="15"/>
  <x:cols>
    <x:col min="2" max="2" width="14" hidden="0" customWidth="1"/>
    <x:col min="3" max="3" width="30" hidden="0" customWidth="1"/>
    <x:col min="4" max="4" width="13" hidden="0" customWidth="1"/>
    <x:col min="5" max="5" width="16" hidden="0" customWidth="1"/>
    <x:col min="6" max="6" width="16" hidden="0" customWidth="1"/>
    <x:col min="7" max="7" width="15" hidden="0" customWidth="1"/>
    <x:col min="8" max="8" width="31" hidden="0" customWidth="1"/>
    <x:col min="9" max="9" width="44" hidden="0" customWidth="1"/>
    <x:col min="10" max="10" width="18" hidden="0" customWidth="1"/>
    <x:col min="11" max="11" width="18" hidden="0" customWidth="1"/>
    <x:col min="12" max="12" width="20" hidden="0" customWidth="1"/>
    <x:col min="13" max="13" width="14" hidden="0" customWidth="1"/>
  </x:cols>
  <x:sheetData>
    <x:row r="2">
      <x:c r="B2" s="44" t="str">
        <x:v>Twelve measurement-system qualification plans</x:v>
      </x:c>
      <x:c r="C2" s="45"/>
      <x:c r="D2" s="45"/>
      <x:c r="E2" s="45"/>
      <x:c r="F2" s="45"/>
      <x:c r="G2" s="45"/>
      <x:c r="H2" s="45"/>
      <x:c r="I2" s="45"/>
      <x:c r="J2" s="45"/>
      <x:c r="K2" s="45"/>
      <x:c r="L2" s="45"/>
      <x:c r="M2" s="45"/>
    </x:row>
    <x:row r="3">
      <x:c r="B3" s="46" t="str">
        <x:v>The fixture and instrument chain must resolve the decision interval before an article can be graded.</x:v>
      </x:c>
      <x:c r="C3" s="45"/>
      <x:c r="D3" s="45"/>
      <x:c r="E3" s="45"/>
      <x:c r="F3" s="45"/>
      <x:c r="G3" s="45"/>
      <x:c r="H3" s="45"/>
      <x:c r="I3" s="45"/>
      <x:c r="J3" s="45"/>
      <x:c r="K3" s="45"/>
      <x:c r="L3" s="45"/>
      <x:c r="M3" s="45"/>
    </x:row>
    <x:row r="4">
      <x:c r="B4" s="45"/>
      <x:c r="C4" s="45"/>
      <x:c r="D4" s="45"/>
      <x:c r="E4" s="45"/>
      <x:c r="F4" s="45"/>
      <x:c r="G4" s="45"/>
      <x:c r="H4" s="45"/>
      <x:c r="I4" s="45"/>
      <x:c r="J4" s="45"/>
      <x:c r="K4" s="45"/>
      <x:c r="L4" s="45"/>
      <x:c r="M4" s="45"/>
    </x:row>
    <x:row r="5">
      <x:c r="B5" s="45"/>
      <x:c r="C5" s="45"/>
      <x:c r="D5" s="45"/>
      <x:c r="E5" s="45"/>
      <x:c r="F5" s="45"/>
      <x:c r="G5" s="45"/>
      <x:c r="H5" s="45"/>
      <x:c r="I5" s="45"/>
      <x:c r="J5" s="45"/>
      <x:c r="K5" s="45"/>
      <x:c r="L5" s="45"/>
      <x:c r="M5" s="45"/>
    </x:row>
    <x:row r="6" ht="25" customHeight="1">
      <x:c r="B6" s="6" t="str">
        <x:v>System</x:v>
      </x:c>
      <x:c r="C6" s="6" t="str">
        <x:v>Measurand</x:v>
      </x:c>
      <x:c r="D6" s="6" t="str">
        <x:v>Unit</x:v>
      </x:c>
      <x:c r="E6" s="6" t="str">
        <x:v>Range low</x:v>
      </x:c>
      <x:c r="F6" s="6" t="str">
        <x:v>Range high</x:v>
      </x:c>
      <x:c r="G6" s="6" t="str">
        <x:v>Max U95</x:v>
      </x:c>
      <x:c r="H6" s="6" t="str">
        <x:v>Method</x:v>
      </x:c>
      <x:c r="I6" s="6" t="str">
        <x:v>Gage R&amp;R design</x:v>
      </x:c>
      <x:c r="J6" s="6" t="str">
        <x:v>Observed GRR</x:v>
      </x:c>
      <x:c r="K6" s="6" t="str">
        <x:v>Analysis ID</x:v>
      </x:c>
      <x:c r="L6" s="6" t="str">
        <x:v>Accepted UTC</x:v>
      </x:c>
      <x:c r="M6" s="6" t="str">
        <x:v>State</x:v>
      </x:c>
    </x:row>
    <x:row r="7" ht="40" customHeight="1">
      <x:c r="B7" s="8" t="str">
        <x:v>MP-01</x:v>
      </x:c>
      <x:c r="C7" s="8" t="str">
        <x:v>bore diameter</x:v>
      </x:c>
      <x:c r="D7" s="8" t="str">
        <x:v>mm</x:v>
      </x:c>
      <x:c r="E7" s="8" t="n">
        <x:v>39.8</x:v>
      </x:c>
      <x:c r="F7" s="8" t="n">
        <x:v>40.2</x:v>
      </x:c>
      <x:c r="G7" s="8" t="n">
        <x:v>0.0125</x:v>
      </x:c>
      <x:c r="H7" s="9" t="str">
        <x:v>robotic bore mapper</x:v>
      </x:c>
      <x:c r="I7" s="9" t="str">
        <x:v>ten parts, three operators, two repeats</x:v>
      </x:c>
      <x:c r="J7" s="21" t="str"/>
      <x:c r="K7" s="8" t="str"/>
      <x:c r="L7" s="8" t="str"/>
      <x:c r="M7" s="8" t="str">
        <x:f>IF(L7="","OPEN",IF(OR(NOT(ISNUMBER(J7)),J7&gt;'Controls'!$D$55,K7=""),"FAIL","PASS"))</x:f>
        <x:v>OPEN</x:v>
      </x:c>
    </x:row>
    <x:row r="8" ht="40" customHeight="1">
      <x:c r="B8" s="8" t="str">
        <x:v>MP-02</x:v>
      </x:c>
      <x:c r="C8" s="8" t="str">
        <x:v>joint step</x:v>
      </x:c>
      <x:c r="D8" s="8" t="str">
        <x:v>mm</x:v>
      </x:c>
      <x:c r="E8" s="8" t="n">
        <x:v>0</x:v>
      </x:c>
      <x:c r="F8" s="8" t="n">
        <x:v>0.15</x:v>
      </x:c>
      <x:c r="G8" s="8" t="n">
        <x:v>0.025</x:v>
      </x:c>
      <x:c r="H8" s="9" t="str">
        <x:v>robotic bore mapper</x:v>
      </x:c>
      <x:c r="I8" s="9" t="str">
        <x:v>ten parts, three operators, two repeats</x:v>
      </x:c>
      <x:c r="J8" s="21" t="str"/>
      <x:c r="K8" s="8" t="str"/>
      <x:c r="L8" s="8" t="str"/>
      <x:c r="M8" s="8" t="str">
        <x:f>IF(L8="","OPEN",IF(OR(NOT(ISNUMBER(J8)),J8&gt;'Controls'!$D$55,K8=""),"FAIL","PASS"))</x:f>
        <x:v>OPEN</x:v>
      </x:c>
    </x:row>
    <x:row r="9" ht="40" customHeight="1">
      <x:c r="B9" s="8" t="str">
        <x:v>MP-03</x:v>
      </x:c>
      <x:c r="C9" s="8" t="str">
        <x:v>deployed length</x:v>
      </x:c>
      <x:c r="D9" s="8" t="str">
        <x:v>mm</x:v>
      </x:c>
      <x:c r="E9" s="8" t="n">
        <x:v>11980</x:v>
      </x:c>
      <x:c r="F9" s="8" t="n">
        <x:v>12020</x:v>
      </x:c>
      <x:c r="G9" s="8" t="n">
        <x:v>0.5</x:v>
      </x:c>
      <x:c r="H9" s="9" t="str">
        <x:v>optical survey</x:v>
      </x:c>
      <x:c r="I9" s="9" t="str">
        <x:v>ten positions, three operators, two repeats</x:v>
      </x:c>
      <x:c r="J9" s="21" t="str"/>
      <x:c r="K9" s="8" t="str"/>
      <x:c r="L9" s="8" t="str"/>
      <x:c r="M9" s="8" t="str">
        <x:f>IF(L9="","OPEN",IF(OR(NOT(ISNUMBER(J9)),J9&gt;'Controls'!$D$55,K9=""),"FAIL","PASS"))</x:f>
        <x:v>OPEN</x:v>
      </x:c>
    </x:row>
    <x:row r="10" ht="40" customHeight="1">
      <x:c r="B10" s="8" t="str">
        <x:v>MP-04</x:v>
      </x:c>
      <x:c r="C10" s="8" t="str">
        <x:v>proof pressure</x:v>
      </x:c>
      <x:c r="D10" s="8" t="str">
        <x:v>MPa</x:v>
      </x:c>
      <x:c r="E10" s="8" t="n">
        <x:v>0</x:v>
      </x:c>
      <x:c r="F10" s="8" t="n">
        <x:v>3.5</x:v>
      </x:c>
      <x:c r="G10" s="8" t="n">
        <x:v>0.025</x:v>
      </x:c>
      <x:c r="H10" s="9" t="str">
        <x:v>pressure reference</x:v>
      </x:c>
      <x:c r="I10" s="9" t="str">
        <x:v>ten states, three operators, two repeats</x:v>
      </x:c>
      <x:c r="J10" s="21" t="str"/>
      <x:c r="K10" s="8" t="str"/>
      <x:c r="L10" s="8" t="str"/>
      <x:c r="M10" s="8" t="str">
        <x:f>IF(L10="","OPEN",IF(OR(NOT(ISNUMBER(J10)),J10&gt;'Controls'!$D$55,K10=""),"FAIL","PASS"))</x:f>
        <x:v>OPEN</x:v>
      </x:c>
    </x:row>
    <x:row r="11" ht="40" customHeight="1">
      <x:c r="B11" s="8" t="str">
        <x:v>MP-05</x:v>
      </x:c>
      <x:c r="C11" s="8" t="str">
        <x:v>proof leak mass</x:v>
      </x:c>
      <x:c r="D11" s="8" t="str">
        <x:v>kg</x:v>
      </x:c>
      <x:c r="E11" s="8" t="n">
        <x:v>0</x:v>
      </x:c>
      <x:c r="F11" s="8" t="n">
        <x:v>0.02</x:v>
      </x:c>
      <x:c r="G11" s="8" t="n">
        <x:v>0.00125</x:v>
      </x:c>
      <x:c r="H11" s="9" t="str">
        <x:v>gravimetric capture</x:v>
      </x:c>
      <x:c r="I11" s="9" t="str">
        <x:v>ten masses, three operators, two repeats</x:v>
      </x:c>
      <x:c r="J11" s="21" t="str"/>
      <x:c r="K11" s="8" t="str"/>
      <x:c r="L11" s="8" t="str"/>
      <x:c r="M11" s="8" t="str">
        <x:f>IF(L11="","OPEN",IF(OR(NOT(ISNUMBER(J11)),J11&gt;'Controls'!$D$55,K11=""),"FAIL","PASS"))</x:f>
        <x:v>OPEN</x:v>
      </x:c>
    </x:row>
    <x:row r="12" ht="40" customHeight="1">
      <x:c r="B12" s="8" t="str">
        <x:v>MP-06</x:v>
      </x:c>
      <x:c r="C12" s="8" t="str">
        <x:v>drained residual</x:v>
      </x:c>
      <x:c r="D12" s="8" t="str">
        <x:v>kg</x:v>
      </x:c>
      <x:c r="E12" s="8" t="n">
        <x:v>0</x:v>
      </x:c>
      <x:c r="F12" s="8" t="n">
        <x:v>0.4</x:v>
      </x:c>
      <x:c r="G12" s="8" t="n">
        <x:v>0.05</x:v>
      </x:c>
      <x:c r="H12" s="9" t="str">
        <x:v>mass and tomography</x:v>
      </x:c>
      <x:c r="I12" s="9" t="str">
        <x:v>ten masses, three operators, two repeats</x:v>
      </x:c>
      <x:c r="J12" s="21" t="str"/>
      <x:c r="K12" s="8" t="str"/>
      <x:c r="L12" s="8" t="str"/>
      <x:c r="M12" s="8" t="str">
        <x:f>IF(L12="","OPEN",IF(OR(NOT(ISNUMBER(J12)),J12&gt;'Controls'!$D$55,K12=""),"FAIL","PASS"))</x:f>
        <x:v>OPEN</x:v>
      </x:c>
    </x:row>
    <x:row r="13" ht="40" customHeight="1">
      <x:c r="B13" s="8" t="str">
        <x:v>MP-07</x:v>
      </x:c>
      <x:c r="C13" s="8" t="str">
        <x:v>spring work</x:v>
      </x:c>
      <x:c r="D13" s="8" t="str">
        <x:v>J</x:v>
      </x:c>
      <x:c r="E13" s="8" t="n">
        <x:v>0</x:v>
      </x:c>
      <x:c r="F13" s="8" t="n">
        <x:v>150</x:v>
      </x:c>
      <x:c r="G13" s="8" t="n">
        <x:v>2</x:v>
      </x:c>
      <x:c r="H13" s="9" t="str">
        <x:v>torque-angle reference</x:v>
      </x:c>
      <x:c r="I13" s="9" t="str">
        <x:v>ten mechanisms, three operators, two repeats</x:v>
      </x:c>
      <x:c r="J13" s="21" t="str"/>
      <x:c r="K13" s="8" t="str"/>
      <x:c r="L13" s="8" t="str"/>
      <x:c r="M13" s="8" t="str">
        <x:f>IF(L13="","OPEN",IF(OR(NOT(ISNUMBER(J13)),J13&gt;'Controls'!$D$55,K13=""),"FAIL","PASS"))</x:f>
        <x:v>OPEN</x:v>
      </x:c>
    </x:row>
    <x:row r="14" ht="40" customHeight="1">
      <x:c r="B14" s="8" t="str">
        <x:v>MP-08</x:v>
      </x:c>
      <x:c r="C14" s="8" t="str">
        <x:v>stored electrical energy</x:v>
      </x:c>
      <x:c r="D14" s="8" t="str">
        <x:v>Wh</x:v>
      </x:c>
      <x:c r="E14" s="8" t="n">
        <x:v>0</x:v>
      </x:c>
      <x:c r="F14" s="8" t="n">
        <x:v>500</x:v>
      </x:c>
      <x:c r="G14" s="8" t="n">
        <x:v>2</x:v>
      </x:c>
      <x:c r="H14" s="9" t="str">
        <x:v>source-load analyzer</x:v>
      </x:c>
      <x:c r="I14" s="9" t="str">
        <x:v>ten states, three operators, two repeats</x:v>
      </x:c>
      <x:c r="J14" s="21" t="str"/>
      <x:c r="K14" s="8" t="str"/>
      <x:c r="L14" s="8" t="str"/>
      <x:c r="M14" s="8" t="str">
        <x:f>IF(L14="","OPEN",IF(OR(NOT(ISNUMBER(J14)),J14&gt;'Controls'!$D$55,K14=""),"FAIL","PASS"))</x:f>
        <x:v>OPEN</x:v>
      </x:c>
    </x:row>
    <x:row r="15" ht="40" customHeight="1">
      <x:c r="B15" s="8" t="str">
        <x:v>MP-09</x:v>
      </x:c>
      <x:c r="C15" s="8" t="str">
        <x:v>clamp preload</x:v>
      </x:c>
      <x:c r="D15" s="8" t="str">
        <x:v>kN</x:v>
      </x:c>
      <x:c r="E15" s="8" t="n">
        <x:v>0</x:v>
      </x:c>
      <x:c r="F15" s="8" t="n">
        <x:v>50</x:v>
      </x:c>
      <x:c r="G15" s="8" t="n">
        <x:v>0.2</x:v>
      </x:c>
      <x:c r="H15" s="9" t="str">
        <x:v>direct force standard</x:v>
      </x:c>
      <x:c r="I15" s="9" t="str">
        <x:v>ten joints, three operators, two repeats</x:v>
      </x:c>
      <x:c r="J15" s="21" t="str"/>
      <x:c r="K15" s="8" t="str"/>
      <x:c r="L15" s="8" t="str"/>
      <x:c r="M15" s="8" t="str">
        <x:f>IF(L15="","OPEN",IF(OR(NOT(ISNUMBER(J15)),J15&gt;'Controls'!$D$55,K15=""),"FAIL","PASS"))</x:f>
        <x:v>OPEN</x:v>
      </x:c>
    </x:row>
    <x:row r="16" ht="40" customHeight="1">
      <x:c r="B16" s="8" t="str">
        <x:v>MP-10</x:v>
      </x:c>
      <x:c r="C16" s="8" t="str">
        <x:v>surface roughness</x:v>
      </x:c>
      <x:c r="D16" s="8" t="str">
        <x:v>um</x:v>
      </x:c>
      <x:c r="E16" s="8" t="n">
        <x:v>0</x:v>
      </x:c>
      <x:c r="F16" s="8" t="n">
        <x:v>2</x:v>
      </x:c>
      <x:c r="G16" s="8" t="n">
        <x:v>0.05</x:v>
      </x:c>
      <x:c r="H16" s="9" t="str">
        <x:v>surface mapper</x:v>
      </x:c>
      <x:c r="I16" s="9" t="str">
        <x:v>ten panels, three operators, two repeats</x:v>
      </x:c>
      <x:c r="J16" s="21" t="str"/>
      <x:c r="K16" s="8" t="str"/>
      <x:c r="L16" s="8" t="str"/>
      <x:c r="M16" s="8" t="str">
        <x:f>IF(L16="","OPEN",IF(OR(NOT(ISNUMBER(J16)),J16&gt;'Controls'!$D$55,K16=""),"FAIL","PASS"))</x:f>
        <x:v>OPEN</x:v>
      </x:c>
    </x:row>
    <x:row r="17" ht="40" customHeight="1">
      <x:c r="B17" s="8" t="str">
        <x:v>MP-11</x:v>
      </x:c>
      <x:c r="C17" s="8" t="str">
        <x:v>contact angle</x:v>
      </x:c>
      <x:c r="D17" s="8" t="str">
        <x:v>deg</x:v>
      </x:c>
      <x:c r="E17" s="8" t="n">
        <x:v>20</x:v>
      </x:c>
      <x:c r="F17" s="8" t="n">
        <x:v>100</x:v>
      </x:c>
      <x:c r="G17" s="8" t="n">
        <x:v>1</x:v>
      </x:c>
      <x:c r="H17" s="9" t="str">
        <x:v>optical wetting station</x:v>
      </x:c>
      <x:c r="I17" s="9" t="str">
        <x:v>ten panels, three operators, two repeats</x:v>
      </x:c>
      <x:c r="J17" s="21" t="str"/>
      <x:c r="K17" s="8" t="str"/>
      <x:c r="L17" s="8" t="str"/>
      <x:c r="M17" s="8" t="str">
        <x:f>IF(L17="","OPEN",IF(OR(NOT(ISNUMBER(J17)),J17&gt;'Controls'!$D$55,K17=""),"FAIL","PASS"))</x:f>
        <x:v>OPEN</x:v>
      </x:c>
    </x:row>
    <x:row r="18" ht="40" customHeight="1">
      <x:c r="B18" s="8" t="str">
        <x:v>MP-12</x:v>
      </x:c>
      <x:c r="C18" s="8" t="str">
        <x:v>causal time offset</x:v>
      </x:c>
      <x:c r="D18" s="8" t="str">
        <x:v>ms</x:v>
      </x:c>
      <x:c r="E18" s="8" t="n">
        <x:v>-10</x:v>
      </x:c>
      <x:c r="F18" s="8" t="n">
        <x:v>10</x:v>
      </x:c>
      <x:c r="G18" s="8" t="n">
        <x:v>0.05</x:v>
      </x:c>
      <x:c r="H18" s="9" t="str">
        <x:v>independent clock reference</x:v>
      </x:c>
      <x:c r="I18" s="9" t="str">
        <x:v>ten offsets, three operators, two repeats</x:v>
      </x:c>
      <x:c r="J18" s="21" t="str"/>
      <x:c r="K18" s="8" t="str"/>
      <x:c r="L18" s="8" t="str"/>
      <x:c r="M18" s="8" t="str">
        <x:f>IF(L18="","OPEN",IF(OR(NOT(ISNUMBER(J18)),J18&gt;'Controls'!$D$55,K18=""),"FAIL","PASS"))</x:f>
        <x:v>OPEN</x:v>
      </x:c>
    </x:row>
  </x:sheetData>
  <x:conditionalFormatting sqref="M7:M18">
    <x:cfRule type="containsText" dxfId="24" priority="1" operator="containsText" text="FAIL"/>
    <x:cfRule type="containsText" dxfId="25" priority="2" operator="containsText" text="BLOCKED"/>
    <x:cfRule type="containsText" dxfId="26" priority="3" operator="containsText" text="OPEN"/>
    <x:cfRule type="containsText" dxfId="27" priority="4" operator="containsText" text="PASS"/>
    <x:cfRule type="containsText" dxfId="28" priority="5" operator="containsText" text="PLANNED"/>
    <x:cfRule type="containsText" dxfId="29" priority="6" operator="containsText" text="ACTIVE"/>
  </x:conditionalFormatting>
  <x:pageMargins left="0.7" right="0.7" top="0.75" bottom="0.75" header="0.3" footer="0.3"/>
</x:worksheet>
</file>

<file path=xl/worksheets/sheet14.xml><?xml version="1.0" encoding="utf-8"?>
<x:worksheet xmlns:x="http://schemas.openxmlformats.org/spreadsheetml/2006/main">
  <x:sheetViews>
    <x:sheetView showGridLines="0" workbookViewId="0">
      <x:pane xSplit="2" ySplit="6" topLeftCell="C7" activePane="bottomRight" state="frozen"/>
    </x:sheetView>
  </x:sheetViews>
  <x:sheetFormatPr defaultRowHeight="15"/>
  <x:cols>
    <x:col min="2" max="2" width="27" hidden="0" customWidth="1"/>
    <x:col min="3" max="3" width="14" hidden="0" customWidth="1"/>
    <x:col min="4" max="4" width="12" hidden="0" customWidth="1"/>
    <x:col min="5" max="5" width="14" hidden="0" customWidth="1"/>
    <x:col min="6" max="6" width="12" hidden="0" customWidth="1"/>
    <x:col min="7" max="7" width="20" hidden="0" customWidth="1"/>
    <x:col min="8" max="8" width="20" hidden="0" customWidth="1"/>
    <x:col min="9" max="9" width="14" hidden="0" customWidth="1"/>
  </x:cols>
  <x:sheetData>
    <x:row r="2">
      <x:c r="B2" s="44" t="str">
        <x:v>Seven hundred twenty gage-repeatability records</x:v>
      </x:c>
      <x:c r="C2" s="45"/>
      <x:c r="D2" s="45"/>
      <x:c r="E2" s="45"/>
      <x:c r="F2" s="45"/>
      <x:c r="G2" s="45"/>
      <x:c r="H2" s="45"/>
      <x:c r="I2" s="45"/>
    </x:row>
    <x:row r="3">
      <x:c r="B3" s="46" t="str">
        <x:v>Observations remain blank. Color does not substitute for the explicit state column.</x:v>
      </x:c>
      <x:c r="C3" s="45"/>
      <x:c r="D3" s="45"/>
      <x:c r="E3" s="45"/>
      <x:c r="F3" s="45"/>
      <x:c r="G3" s="45"/>
      <x:c r="H3" s="45"/>
      <x:c r="I3" s="45"/>
    </x:row>
    <x:row r="4">
      <x:c r="B4" s="45"/>
      <x:c r="C4" s="45"/>
      <x:c r="D4" s="45"/>
      <x:c r="E4" s="45"/>
      <x:c r="F4" s="45"/>
      <x:c r="G4" s="45"/>
      <x:c r="H4" s="45"/>
      <x:c r="I4" s="45"/>
    </x:row>
    <x:row r="5">
      <x:c r="B5" s="45"/>
      <x:c r="C5" s="45"/>
      <x:c r="D5" s="45"/>
      <x:c r="E5" s="45"/>
      <x:c r="F5" s="45"/>
      <x:c r="G5" s="45"/>
      <x:c r="H5" s="45"/>
      <x:c r="I5" s="45"/>
    </x:row>
    <x:row r="6" ht="25" customHeight="1">
      <x:c r="B6" s="6" t="str">
        <x:v>Record</x:v>
      </x:c>
      <x:c r="C6" s="6" t="str">
        <x:v>System</x:v>
      </x:c>
      <x:c r="D6" s="6" t="str">
        <x:v>Part</x:v>
      </x:c>
      <x:c r="E6" s="6" t="str">
        <x:v>Operator</x:v>
      </x:c>
      <x:c r="F6" s="6" t="str">
        <x:v>Repeat</x:v>
      </x:c>
      <x:c r="G6" s="6" t="str">
        <x:v>Observed value</x:v>
      </x:c>
      <x:c r="H6" s="6" t="str">
        <x:v>Accepted UTC</x:v>
      </x:c>
      <x:c r="I6" s="6" t="str">
        <x:v>State</x:v>
      </x:c>
    </x:row>
    <x:row r="7" ht="25" customHeight="1">
      <x:c r="B7" s="8" t="str">
        <x:v>MP-01-P01-O1-R1</x:v>
      </x:c>
      <x:c r="C7" s="8" t="str">
        <x:v>MP-01</x:v>
      </x:c>
      <x:c r="D7" s="8" t="n">
        <x:v>1</x:v>
      </x:c>
      <x:c r="E7" s="8" t="str">
        <x:v>OP-1</x:v>
      </x:c>
      <x:c r="F7" s="8" t="n">
        <x:v>1</x:v>
      </x:c>
      <x:c r="G7" s="8" t="str"/>
      <x:c r="H7" s="8" t="str"/>
      <x:c r="I7" s="8" t="str">
        <x:f>IF(H7="","OPEN",IF(NOT(ISNUMBER(G7)),"FAIL","PASS"))</x:f>
        <x:v>OPEN</x:v>
      </x:c>
    </x:row>
    <x:row r="8" ht="25" customHeight="1">
      <x:c r="B8" s="8" t="str">
        <x:v>MP-01-P01-O1-R2</x:v>
      </x:c>
      <x:c r="C8" s="8" t="str">
        <x:v>MP-01</x:v>
      </x:c>
      <x:c r="D8" s="8" t="n">
        <x:v>1</x:v>
      </x:c>
      <x:c r="E8" s="8" t="str">
        <x:v>OP-1</x:v>
      </x:c>
      <x:c r="F8" s="8" t="n">
        <x:v>2</x:v>
      </x:c>
      <x:c r="G8" s="8" t="str"/>
      <x:c r="H8" s="8" t="str"/>
      <x:c r="I8" s="8" t="str">
        <x:f>IF(H8="","OPEN",IF(NOT(ISNUMBER(G8)),"FAIL","PASS"))</x:f>
        <x:v>OPEN</x:v>
      </x:c>
    </x:row>
    <x:row r="9" ht="25" customHeight="1">
      <x:c r="B9" s="8" t="str">
        <x:v>MP-01-P01-O2-R1</x:v>
      </x:c>
      <x:c r="C9" s="8" t="str">
        <x:v>MP-01</x:v>
      </x:c>
      <x:c r="D9" s="8" t="n">
        <x:v>1</x:v>
      </x:c>
      <x:c r="E9" s="8" t="str">
        <x:v>OP-2</x:v>
      </x:c>
      <x:c r="F9" s="8" t="n">
        <x:v>1</x:v>
      </x:c>
      <x:c r="G9" s="8" t="str"/>
      <x:c r="H9" s="8" t="str"/>
      <x:c r="I9" s="8" t="str">
        <x:f>IF(H9="","OPEN",IF(NOT(ISNUMBER(G9)),"FAIL","PASS"))</x:f>
        <x:v>OPEN</x:v>
      </x:c>
    </x:row>
    <x:row r="10" ht="25" customHeight="1">
      <x:c r="B10" s="8" t="str">
        <x:v>MP-01-P01-O2-R2</x:v>
      </x:c>
      <x:c r="C10" s="8" t="str">
        <x:v>MP-01</x:v>
      </x:c>
      <x:c r="D10" s="8" t="n">
        <x:v>1</x:v>
      </x:c>
      <x:c r="E10" s="8" t="str">
        <x:v>OP-2</x:v>
      </x:c>
      <x:c r="F10" s="8" t="n">
        <x:v>2</x:v>
      </x:c>
      <x:c r="G10" s="8" t="str"/>
      <x:c r="H10" s="8" t="str"/>
      <x:c r="I10" s="8" t="str">
        <x:f>IF(H10="","OPEN",IF(NOT(ISNUMBER(G10)),"FAIL","PASS"))</x:f>
        <x:v>OPEN</x:v>
      </x:c>
    </x:row>
    <x:row r="11" ht="25" customHeight="1">
      <x:c r="B11" s="8" t="str">
        <x:v>MP-01-P01-O3-R1</x:v>
      </x:c>
      <x:c r="C11" s="8" t="str">
        <x:v>MP-01</x:v>
      </x:c>
      <x:c r="D11" s="8" t="n">
        <x:v>1</x:v>
      </x:c>
      <x:c r="E11" s="8" t="str">
        <x:v>OP-3</x:v>
      </x:c>
      <x:c r="F11" s="8" t="n">
        <x:v>1</x:v>
      </x:c>
      <x:c r="G11" s="8" t="str"/>
      <x:c r="H11" s="8" t="str"/>
      <x:c r="I11" s="8" t="str">
        <x:f>IF(H11="","OPEN",IF(NOT(ISNUMBER(G11)),"FAIL","PASS"))</x:f>
        <x:v>OPEN</x:v>
      </x:c>
    </x:row>
    <x:row r="12" ht="25" customHeight="1">
      <x:c r="B12" s="8" t="str">
        <x:v>MP-01-P01-O3-R2</x:v>
      </x:c>
      <x:c r="C12" s="8" t="str">
        <x:v>MP-01</x:v>
      </x:c>
      <x:c r="D12" s="8" t="n">
        <x:v>1</x:v>
      </x:c>
      <x:c r="E12" s="8" t="str">
        <x:v>OP-3</x:v>
      </x:c>
      <x:c r="F12" s="8" t="n">
        <x:v>2</x:v>
      </x:c>
      <x:c r="G12" s="8" t="str"/>
      <x:c r="H12" s="8" t="str"/>
      <x:c r="I12" s="8" t="str">
        <x:f>IF(H12="","OPEN",IF(NOT(ISNUMBER(G12)),"FAIL","PASS"))</x:f>
        <x:v>OPEN</x:v>
      </x:c>
    </x:row>
    <x:row r="13" ht="25" customHeight="1">
      <x:c r="B13" s="8" t="str">
        <x:v>MP-01-P02-O1-R1</x:v>
      </x:c>
      <x:c r="C13" s="8" t="str">
        <x:v>MP-01</x:v>
      </x:c>
      <x:c r="D13" s="8" t="n">
        <x:v>2</x:v>
      </x:c>
      <x:c r="E13" s="8" t="str">
        <x:v>OP-1</x:v>
      </x:c>
      <x:c r="F13" s="8" t="n">
        <x:v>1</x:v>
      </x:c>
      <x:c r="G13" s="8" t="str"/>
      <x:c r="H13" s="8" t="str"/>
      <x:c r="I13" s="8" t="str">
        <x:f>IF(H13="","OPEN",IF(NOT(ISNUMBER(G13)),"FAIL","PASS"))</x:f>
        <x:v>OPEN</x:v>
      </x:c>
    </x:row>
    <x:row r="14" ht="25" customHeight="1">
      <x:c r="B14" s="8" t="str">
        <x:v>MP-01-P02-O1-R2</x:v>
      </x:c>
      <x:c r="C14" s="8" t="str">
        <x:v>MP-01</x:v>
      </x:c>
      <x:c r="D14" s="8" t="n">
        <x:v>2</x:v>
      </x:c>
      <x:c r="E14" s="8" t="str">
        <x:v>OP-1</x:v>
      </x:c>
      <x:c r="F14" s="8" t="n">
        <x:v>2</x:v>
      </x:c>
      <x:c r="G14" s="8" t="str"/>
      <x:c r="H14" s="8" t="str"/>
      <x:c r="I14" s="8" t="str">
        <x:f>IF(H14="","OPEN",IF(NOT(ISNUMBER(G14)),"FAIL","PASS"))</x:f>
        <x:v>OPEN</x:v>
      </x:c>
    </x:row>
    <x:row r="15" ht="25" customHeight="1">
      <x:c r="B15" s="8" t="str">
        <x:v>MP-01-P02-O2-R1</x:v>
      </x:c>
      <x:c r="C15" s="8" t="str">
        <x:v>MP-01</x:v>
      </x:c>
      <x:c r="D15" s="8" t="n">
        <x:v>2</x:v>
      </x:c>
      <x:c r="E15" s="8" t="str">
        <x:v>OP-2</x:v>
      </x:c>
      <x:c r="F15" s="8" t="n">
        <x:v>1</x:v>
      </x:c>
      <x:c r="G15" s="8" t="str"/>
      <x:c r="H15" s="8" t="str"/>
      <x:c r="I15" s="8" t="str">
        <x:f>IF(H15="","OPEN",IF(NOT(ISNUMBER(G15)),"FAIL","PASS"))</x:f>
        <x:v>OPEN</x:v>
      </x:c>
    </x:row>
    <x:row r="16" ht="25" customHeight="1">
      <x:c r="B16" s="8" t="str">
        <x:v>MP-01-P02-O2-R2</x:v>
      </x:c>
      <x:c r="C16" s="8" t="str">
        <x:v>MP-01</x:v>
      </x:c>
      <x:c r="D16" s="8" t="n">
        <x:v>2</x:v>
      </x:c>
      <x:c r="E16" s="8" t="str">
        <x:v>OP-2</x:v>
      </x:c>
      <x:c r="F16" s="8" t="n">
        <x:v>2</x:v>
      </x:c>
      <x:c r="G16" s="8" t="str"/>
      <x:c r="H16" s="8" t="str"/>
      <x:c r="I16" s="8" t="str">
        <x:f>IF(H16="","OPEN",IF(NOT(ISNUMBER(G16)),"FAIL","PASS"))</x:f>
        <x:v>OPEN</x:v>
      </x:c>
    </x:row>
    <x:row r="17" ht="25" customHeight="1">
      <x:c r="B17" s="8" t="str">
        <x:v>MP-01-P02-O3-R1</x:v>
      </x:c>
      <x:c r="C17" s="8" t="str">
        <x:v>MP-01</x:v>
      </x:c>
      <x:c r="D17" s="8" t="n">
        <x:v>2</x:v>
      </x:c>
      <x:c r="E17" s="8" t="str">
        <x:v>OP-3</x:v>
      </x:c>
      <x:c r="F17" s="8" t="n">
        <x:v>1</x:v>
      </x:c>
      <x:c r="G17" s="8" t="str"/>
      <x:c r="H17" s="8" t="str"/>
      <x:c r="I17" s="8" t="str">
        <x:f>IF(H17="","OPEN",IF(NOT(ISNUMBER(G17)),"FAIL","PASS"))</x:f>
        <x:v>OPEN</x:v>
      </x:c>
    </x:row>
    <x:row r="18" ht="25" customHeight="1">
      <x:c r="B18" s="8" t="str">
        <x:v>MP-01-P02-O3-R2</x:v>
      </x:c>
      <x:c r="C18" s="8" t="str">
        <x:v>MP-01</x:v>
      </x:c>
      <x:c r="D18" s="8" t="n">
        <x:v>2</x:v>
      </x:c>
      <x:c r="E18" s="8" t="str">
        <x:v>OP-3</x:v>
      </x:c>
      <x:c r="F18" s="8" t="n">
        <x:v>2</x:v>
      </x:c>
      <x:c r="G18" s="8" t="str"/>
      <x:c r="H18" s="8" t="str"/>
      <x:c r="I18" s="8" t="str">
        <x:f>IF(H18="","OPEN",IF(NOT(ISNUMBER(G18)),"FAIL","PASS"))</x:f>
        <x:v>OPEN</x:v>
      </x:c>
    </x:row>
    <x:row r="19" ht="25" customHeight="1">
      <x:c r="B19" s="8" t="str">
        <x:v>MP-01-P03-O1-R1</x:v>
      </x:c>
      <x:c r="C19" s="8" t="str">
        <x:v>MP-01</x:v>
      </x:c>
      <x:c r="D19" s="8" t="n">
        <x:v>3</x:v>
      </x:c>
      <x:c r="E19" s="8" t="str">
        <x:v>OP-1</x:v>
      </x:c>
      <x:c r="F19" s="8" t="n">
        <x:v>1</x:v>
      </x:c>
      <x:c r="G19" s="8" t="str"/>
      <x:c r="H19" s="8" t="str"/>
      <x:c r="I19" s="8" t="str">
        <x:f>IF(H19="","OPEN",IF(NOT(ISNUMBER(G19)),"FAIL","PASS"))</x:f>
        <x:v>OPEN</x:v>
      </x:c>
    </x:row>
    <x:row r="20" ht="25" customHeight="1">
      <x:c r="B20" s="8" t="str">
        <x:v>MP-01-P03-O1-R2</x:v>
      </x:c>
      <x:c r="C20" s="8" t="str">
        <x:v>MP-01</x:v>
      </x:c>
      <x:c r="D20" s="8" t="n">
        <x:v>3</x:v>
      </x:c>
      <x:c r="E20" s="8" t="str">
        <x:v>OP-1</x:v>
      </x:c>
      <x:c r="F20" s="8" t="n">
        <x:v>2</x:v>
      </x:c>
      <x:c r="G20" s="8" t="str"/>
      <x:c r="H20" s="8" t="str"/>
      <x:c r="I20" s="8" t="str">
        <x:f>IF(H20="","OPEN",IF(NOT(ISNUMBER(G20)),"FAIL","PASS"))</x:f>
        <x:v>OPEN</x:v>
      </x:c>
    </x:row>
    <x:row r="21" ht="25" customHeight="1">
      <x:c r="B21" s="8" t="str">
        <x:v>MP-01-P03-O2-R1</x:v>
      </x:c>
      <x:c r="C21" s="8" t="str">
        <x:v>MP-01</x:v>
      </x:c>
      <x:c r="D21" s="8" t="n">
        <x:v>3</x:v>
      </x:c>
      <x:c r="E21" s="8" t="str">
        <x:v>OP-2</x:v>
      </x:c>
      <x:c r="F21" s="8" t="n">
        <x:v>1</x:v>
      </x:c>
      <x:c r="G21" s="8" t="str"/>
      <x:c r="H21" s="8" t="str"/>
      <x:c r="I21" s="8" t="str">
        <x:f>IF(H21="","OPEN",IF(NOT(ISNUMBER(G21)),"FAIL","PASS"))</x:f>
        <x:v>OPEN</x:v>
      </x:c>
    </x:row>
    <x:row r="22" ht="25" customHeight="1">
      <x:c r="B22" s="8" t="str">
        <x:v>MP-01-P03-O2-R2</x:v>
      </x:c>
      <x:c r="C22" s="8" t="str">
        <x:v>MP-01</x:v>
      </x:c>
      <x:c r="D22" s="8" t="n">
        <x:v>3</x:v>
      </x:c>
      <x:c r="E22" s="8" t="str">
        <x:v>OP-2</x:v>
      </x:c>
      <x:c r="F22" s="8" t="n">
        <x:v>2</x:v>
      </x:c>
      <x:c r="G22" s="8" t="str"/>
      <x:c r="H22" s="8" t="str"/>
      <x:c r="I22" s="8" t="str">
        <x:f>IF(H22="","OPEN",IF(NOT(ISNUMBER(G22)),"FAIL","PASS"))</x:f>
        <x:v>OPEN</x:v>
      </x:c>
    </x:row>
    <x:row r="23" ht="25" customHeight="1">
      <x:c r="B23" s="8" t="str">
        <x:v>MP-01-P03-O3-R1</x:v>
      </x:c>
      <x:c r="C23" s="8" t="str">
        <x:v>MP-01</x:v>
      </x:c>
      <x:c r="D23" s="8" t="n">
        <x:v>3</x:v>
      </x:c>
      <x:c r="E23" s="8" t="str">
        <x:v>OP-3</x:v>
      </x:c>
      <x:c r="F23" s="8" t="n">
        <x:v>1</x:v>
      </x:c>
      <x:c r="G23" s="8" t="str"/>
      <x:c r="H23" s="8" t="str"/>
      <x:c r="I23" s="8" t="str">
        <x:f>IF(H23="","OPEN",IF(NOT(ISNUMBER(G23)),"FAIL","PASS"))</x:f>
        <x:v>OPEN</x:v>
      </x:c>
    </x:row>
    <x:row r="24" ht="25" customHeight="1">
      <x:c r="B24" s="8" t="str">
        <x:v>MP-01-P03-O3-R2</x:v>
      </x:c>
      <x:c r="C24" s="8" t="str">
        <x:v>MP-01</x:v>
      </x:c>
      <x:c r="D24" s="8" t="n">
        <x:v>3</x:v>
      </x:c>
      <x:c r="E24" s="8" t="str">
        <x:v>OP-3</x:v>
      </x:c>
      <x:c r="F24" s="8" t="n">
        <x:v>2</x:v>
      </x:c>
      <x:c r="G24" s="8" t="str"/>
      <x:c r="H24" s="8" t="str"/>
      <x:c r="I24" s="8" t="str">
        <x:f>IF(H24="","OPEN",IF(NOT(ISNUMBER(G24)),"FAIL","PASS"))</x:f>
        <x:v>OPEN</x:v>
      </x:c>
    </x:row>
    <x:row r="25" ht="25" customHeight="1">
      <x:c r="B25" s="8" t="str">
        <x:v>MP-01-P04-O1-R1</x:v>
      </x:c>
      <x:c r="C25" s="8" t="str">
        <x:v>MP-01</x:v>
      </x:c>
      <x:c r="D25" s="8" t="n">
        <x:v>4</x:v>
      </x:c>
      <x:c r="E25" s="8" t="str">
        <x:v>OP-1</x:v>
      </x:c>
      <x:c r="F25" s="8" t="n">
        <x:v>1</x:v>
      </x:c>
      <x:c r="G25" s="8" t="str"/>
      <x:c r="H25" s="8" t="str"/>
      <x:c r="I25" s="8" t="str">
        <x:f>IF(H25="","OPEN",IF(NOT(ISNUMBER(G25)),"FAIL","PASS"))</x:f>
        <x:v>OPEN</x:v>
      </x:c>
    </x:row>
    <x:row r="26" ht="25" customHeight="1">
      <x:c r="B26" s="8" t="str">
        <x:v>MP-01-P04-O1-R2</x:v>
      </x:c>
      <x:c r="C26" s="8" t="str">
        <x:v>MP-01</x:v>
      </x:c>
      <x:c r="D26" s="8" t="n">
        <x:v>4</x:v>
      </x:c>
      <x:c r="E26" s="8" t="str">
        <x:v>OP-1</x:v>
      </x:c>
      <x:c r="F26" s="8" t="n">
        <x:v>2</x:v>
      </x:c>
      <x:c r="G26" s="8" t="str"/>
      <x:c r="H26" s="8" t="str"/>
      <x:c r="I26" s="8" t="str">
        <x:f>IF(H26="","OPEN",IF(NOT(ISNUMBER(G26)),"FAIL","PASS"))</x:f>
        <x:v>OPEN</x:v>
      </x:c>
    </x:row>
    <x:row r="27" ht="25" customHeight="1">
      <x:c r="B27" s="8" t="str">
        <x:v>MP-01-P04-O2-R1</x:v>
      </x:c>
      <x:c r="C27" s="8" t="str">
        <x:v>MP-01</x:v>
      </x:c>
      <x:c r="D27" s="8" t="n">
        <x:v>4</x:v>
      </x:c>
      <x:c r="E27" s="8" t="str">
        <x:v>OP-2</x:v>
      </x:c>
      <x:c r="F27" s="8" t="n">
        <x:v>1</x:v>
      </x:c>
      <x:c r="G27" s="8" t="str"/>
      <x:c r="H27" s="8" t="str"/>
      <x:c r="I27" s="8" t="str">
        <x:f>IF(H27="","OPEN",IF(NOT(ISNUMBER(G27)),"FAIL","PASS"))</x:f>
        <x:v>OPEN</x:v>
      </x:c>
    </x:row>
    <x:row r="28" ht="25" customHeight="1">
      <x:c r="B28" s="8" t="str">
        <x:v>MP-01-P04-O2-R2</x:v>
      </x:c>
      <x:c r="C28" s="8" t="str">
        <x:v>MP-01</x:v>
      </x:c>
      <x:c r="D28" s="8" t="n">
        <x:v>4</x:v>
      </x:c>
      <x:c r="E28" s="8" t="str">
        <x:v>OP-2</x:v>
      </x:c>
      <x:c r="F28" s="8" t="n">
        <x:v>2</x:v>
      </x:c>
      <x:c r="G28" s="8" t="str"/>
      <x:c r="H28" s="8" t="str"/>
      <x:c r="I28" s="8" t="str">
        <x:f>IF(H28="","OPEN",IF(NOT(ISNUMBER(G28)),"FAIL","PASS"))</x:f>
        <x:v>OPEN</x:v>
      </x:c>
    </x:row>
    <x:row r="29" ht="25" customHeight="1">
      <x:c r="B29" s="8" t="str">
        <x:v>MP-01-P04-O3-R1</x:v>
      </x:c>
      <x:c r="C29" s="8" t="str">
        <x:v>MP-01</x:v>
      </x:c>
      <x:c r="D29" s="8" t="n">
        <x:v>4</x:v>
      </x:c>
      <x:c r="E29" s="8" t="str">
        <x:v>OP-3</x:v>
      </x:c>
      <x:c r="F29" s="8" t="n">
        <x:v>1</x:v>
      </x:c>
      <x:c r="G29" s="8" t="str"/>
      <x:c r="H29" s="8" t="str"/>
      <x:c r="I29" s="8" t="str">
        <x:f>IF(H29="","OPEN",IF(NOT(ISNUMBER(G29)),"FAIL","PASS"))</x:f>
        <x:v>OPEN</x:v>
      </x:c>
    </x:row>
    <x:row r="30" ht="25" customHeight="1">
      <x:c r="B30" s="8" t="str">
        <x:v>MP-01-P04-O3-R2</x:v>
      </x:c>
      <x:c r="C30" s="8" t="str">
        <x:v>MP-01</x:v>
      </x:c>
      <x:c r="D30" s="8" t="n">
        <x:v>4</x:v>
      </x:c>
      <x:c r="E30" s="8" t="str">
        <x:v>OP-3</x:v>
      </x:c>
      <x:c r="F30" s="8" t="n">
        <x:v>2</x:v>
      </x:c>
      <x:c r="G30" s="8" t="str"/>
      <x:c r="H30" s="8" t="str"/>
      <x:c r="I30" s="8" t="str">
        <x:f>IF(H30="","OPEN",IF(NOT(ISNUMBER(G30)),"FAIL","PASS"))</x:f>
        <x:v>OPEN</x:v>
      </x:c>
    </x:row>
    <x:row r="31" ht="25" customHeight="1">
      <x:c r="B31" s="8" t="str">
        <x:v>MP-01-P05-O1-R1</x:v>
      </x:c>
      <x:c r="C31" s="8" t="str">
        <x:v>MP-01</x:v>
      </x:c>
      <x:c r="D31" s="8" t="n">
        <x:v>5</x:v>
      </x:c>
      <x:c r="E31" s="8" t="str">
        <x:v>OP-1</x:v>
      </x:c>
      <x:c r="F31" s="8" t="n">
        <x:v>1</x:v>
      </x:c>
      <x:c r="G31" s="8" t="str"/>
      <x:c r="H31" s="8" t="str"/>
      <x:c r="I31" s="8" t="str">
        <x:f>IF(H31="","OPEN",IF(NOT(ISNUMBER(G31)),"FAIL","PASS"))</x:f>
        <x:v>OPEN</x:v>
      </x:c>
    </x:row>
    <x:row r="32" ht="25" customHeight="1">
      <x:c r="B32" s="8" t="str">
        <x:v>MP-01-P05-O1-R2</x:v>
      </x:c>
      <x:c r="C32" s="8" t="str">
        <x:v>MP-01</x:v>
      </x:c>
      <x:c r="D32" s="8" t="n">
        <x:v>5</x:v>
      </x:c>
      <x:c r="E32" s="8" t="str">
        <x:v>OP-1</x:v>
      </x:c>
      <x:c r="F32" s="8" t="n">
        <x:v>2</x:v>
      </x:c>
      <x:c r="G32" s="8" t="str"/>
      <x:c r="H32" s="8" t="str"/>
      <x:c r="I32" s="8" t="str">
        <x:f>IF(H32="","OPEN",IF(NOT(ISNUMBER(G32)),"FAIL","PASS"))</x:f>
        <x:v>OPEN</x:v>
      </x:c>
    </x:row>
    <x:row r="33" ht="25" customHeight="1">
      <x:c r="B33" s="8" t="str">
        <x:v>MP-01-P05-O2-R1</x:v>
      </x:c>
      <x:c r="C33" s="8" t="str">
        <x:v>MP-01</x:v>
      </x:c>
      <x:c r="D33" s="8" t="n">
        <x:v>5</x:v>
      </x:c>
      <x:c r="E33" s="8" t="str">
        <x:v>OP-2</x:v>
      </x:c>
      <x:c r="F33" s="8" t="n">
        <x:v>1</x:v>
      </x:c>
      <x:c r="G33" s="8" t="str"/>
      <x:c r="H33" s="8" t="str"/>
      <x:c r="I33" s="8" t="str">
        <x:f>IF(H33="","OPEN",IF(NOT(ISNUMBER(G33)),"FAIL","PASS"))</x:f>
        <x:v>OPEN</x:v>
      </x:c>
    </x:row>
    <x:row r="34" ht="25" customHeight="1">
      <x:c r="B34" s="8" t="str">
        <x:v>MP-01-P05-O2-R2</x:v>
      </x:c>
      <x:c r="C34" s="8" t="str">
        <x:v>MP-01</x:v>
      </x:c>
      <x:c r="D34" s="8" t="n">
        <x:v>5</x:v>
      </x:c>
      <x:c r="E34" s="8" t="str">
        <x:v>OP-2</x:v>
      </x:c>
      <x:c r="F34" s="8" t="n">
        <x:v>2</x:v>
      </x:c>
      <x:c r="G34" s="8" t="str"/>
      <x:c r="H34" s="8" t="str"/>
      <x:c r="I34" s="8" t="str">
        <x:f>IF(H34="","OPEN",IF(NOT(ISNUMBER(G34)),"FAIL","PASS"))</x:f>
        <x:v>OPEN</x:v>
      </x:c>
    </x:row>
    <x:row r="35" ht="25" customHeight="1">
      <x:c r="B35" s="8" t="str">
        <x:v>MP-01-P05-O3-R1</x:v>
      </x:c>
      <x:c r="C35" s="8" t="str">
        <x:v>MP-01</x:v>
      </x:c>
      <x:c r="D35" s="8" t="n">
        <x:v>5</x:v>
      </x:c>
      <x:c r="E35" s="8" t="str">
        <x:v>OP-3</x:v>
      </x:c>
      <x:c r="F35" s="8" t="n">
        <x:v>1</x:v>
      </x:c>
      <x:c r="G35" s="8" t="str"/>
      <x:c r="H35" s="8" t="str"/>
      <x:c r="I35" s="8" t="str">
        <x:f>IF(H35="","OPEN",IF(NOT(ISNUMBER(G35)),"FAIL","PASS"))</x:f>
        <x:v>OPEN</x:v>
      </x:c>
    </x:row>
    <x:row r="36" ht="25" customHeight="1">
      <x:c r="B36" s="8" t="str">
        <x:v>MP-01-P05-O3-R2</x:v>
      </x:c>
      <x:c r="C36" s="8" t="str">
        <x:v>MP-01</x:v>
      </x:c>
      <x:c r="D36" s="8" t="n">
        <x:v>5</x:v>
      </x:c>
      <x:c r="E36" s="8" t="str">
        <x:v>OP-3</x:v>
      </x:c>
      <x:c r="F36" s="8" t="n">
        <x:v>2</x:v>
      </x:c>
      <x:c r="G36" s="8" t="str"/>
      <x:c r="H36" s="8" t="str"/>
      <x:c r="I36" s="8" t="str">
        <x:f>IF(H36="","OPEN",IF(NOT(ISNUMBER(G36)),"FAIL","PASS"))</x:f>
        <x:v>OPEN</x:v>
      </x:c>
    </x:row>
    <x:row r="37" ht="25" customHeight="1">
      <x:c r="B37" s="8" t="str">
        <x:v>MP-01-P06-O1-R1</x:v>
      </x:c>
      <x:c r="C37" s="8" t="str">
        <x:v>MP-01</x:v>
      </x:c>
      <x:c r="D37" s="8" t="n">
        <x:v>6</x:v>
      </x:c>
      <x:c r="E37" s="8" t="str">
        <x:v>OP-1</x:v>
      </x:c>
      <x:c r="F37" s="8" t="n">
        <x:v>1</x:v>
      </x:c>
      <x:c r="G37" s="8" t="str"/>
      <x:c r="H37" s="8" t="str"/>
      <x:c r="I37" s="8" t="str">
        <x:f>IF(H37="","OPEN",IF(NOT(ISNUMBER(G37)),"FAIL","PASS"))</x:f>
        <x:v>OPEN</x:v>
      </x:c>
    </x:row>
    <x:row r="38" ht="25" customHeight="1">
      <x:c r="B38" s="8" t="str">
        <x:v>MP-01-P06-O1-R2</x:v>
      </x:c>
      <x:c r="C38" s="8" t="str">
        <x:v>MP-01</x:v>
      </x:c>
      <x:c r="D38" s="8" t="n">
        <x:v>6</x:v>
      </x:c>
      <x:c r="E38" s="8" t="str">
        <x:v>OP-1</x:v>
      </x:c>
      <x:c r="F38" s="8" t="n">
        <x:v>2</x:v>
      </x:c>
      <x:c r="G38" s="8" t="str"/>
      <x:c r="H38" s="8" t="str"/>
      <x:c r="I38" s="8" t="str">
        <x:f>IF(H38="","OPEN",IF(NOT(ISNUMBER(G38)),"FAIL","PASS"))</x:f>
        <x:v>OPEN</x:v>
      </x:c>
    </x:row>
    <x:row r="39" ht="25" customHeight="1">
      <x:c r="B39" s="8" t="str">
        <x:v>MP-01-P06-O2-R1</x:v>
      </x:c>
      <x:c r="C39" s="8" t="str">
        <x:v>MP-01</x:v>
      </x:c>
      <x:c r="D39" s="8" t="n">
        <x:v>6</x:v>
      </x:c>
      <x:c r="E39" s="8" t="str">
        <x:v>OP-2</x:v>
      </x:c>
      <x:c r="F39" s="8" t="n">
        <x:v>1</x:v>
      </x:c>
      <x:c r="G39" s="8" t="str"/>
      <x:c r="H39" s="8" t="str"/>
      <x:c r="I39" s="8" t="str">
        <x:f>IF(H39="","OPEN",IF(NOT(ISNUMBER(G39)),"FAIL","PASS"))</x:f>
        <x:v>OPEN</x:v>
      </x:c>
    </x:row>
    <x:row r="40" ht="25" customHeight="1">
      <x:c r="B40" s="8" t="str">
        <x:v>MP-01-P06-O2-R2</x:v>
      </x:c>
      <x:c r="C40" s="8" t="str">
        <x:v>MP-01</x:v>
      </x:c>
      <x:c r="D40" s="8" t="n">
        <x:v>6</x:v>
      </x:c>
      <x:c r="E40" s="8" t="str">
        <x:v>OP-2</x:v>
      </x:c>
      <x:c r="F40" s="8" t="n">
        <x:v>2</x:v>
      </x:c>
      <x:c r="G40" s="8" t="str"/>
      <x:c r="H40" s="8" t="str"/>
      <x:c r="I40" s="8" t="str">
        <x:f>IF(H40="","OPEN",IF(NOT(ISNUMBER(G40)),"FAIL","PASS"))</x:f>
        <x:v>OPEN</x:v>
      </x:c>
    </x:row>
    <x:row r="41" ht="25" customHeight="1">
      <x:c r="B41" s="8" t="str">
        <x:v>MP-01-P06-O3-R1</x:v>
      </x:c>
      <x:c r="C41" s="8" t="str">
        <x:v>MP-01</x:v>
      </x:c>
      <x:c r="D41" s="8" t="n">
        <x:v>6</x:v>
      </x:c>
      <x:c r="E41" s="8" t="str">
        <x:v>OP-3</x:v>
      </x:c>
      <x:c r="F41" s="8" t="n">
        <x:v>1</x:v>
      </x:c>
      <x:c r="G41" s="8" t="str"/>
      <x:c r="H41" s="8" t="str"/>
      <x:c r="I41" s="8" t="str">
        <x:f>IF(H41="","OPEN",IF(NOT(ISNUMBER(G41)),"FAIL","PASS"))</x:f>
        <x:v>OPEN</x:v>
      </x:c>
    </x:row>
    <x:row r="42" ht="25" customHeight="1">
      <x:c r="B42" s="8" t="str">
        <x:v>MP-01-P06-O3-R2</x:v>
      </x:c>
      <x:c r="C42" s="8" t="str">
        <x:v>MP-01</x:v>
      </x:c>
      <x:c r="D42" s="8" t="n">
        <x:v>6</x:v>
      </x:c>
      <x:c r="E42" s="8" t="str">
        <x:v>OP-3</x:v>
      </x:c>
      <x:c r="F42" s="8" t="n">
        <x:v>2</x:v>
      </x:c>
      <x:c r="G42" s="8" t="str"/>
      <x:c r="H42" s="8" t="str"/>
      <x:c r="I42" s="8" t="str">
        <x:f>IF(H42="","OPEN",IF(NOT(ISNUMBER(G42)),"FAIL","PASS"))</x:f>
        <x:v>OPEN</x:v>
      </x:c>
    </x:row>
    <x:row r="43" ht="25" customHeight="1">
      <x:c r="B43" s="8" t="str">
        <x:v>MP-01-P07-O1-R1</x:v>
      </x:c>
      <x:c r="C43" s="8" t="str">
        <x:v>MP-01</x:v>
      </x:c>
      <x:c r="D43" s="8" t="n">
        <x:v>7</x:v>
      </x:c>
      <x:c r="E43" s="8" t="str">
        <x:v>OP-1</x:v>
      </x:c>
      <x:c r="F43" s="8" t="n">
        <x:v>1</x:v>
      </x:c>
      <x:c r="G43" s="8" t="str"/>
      <x:c r="H43" s="8" t="str"/>
      <x:c r="I43" s="8" t="str">
        <x:f>IF(H43="","OPEN",IF(NOT(ISNUMBER(G43)),"FAIL","PASS"))</x:f>
        <x:v>OPEN</x:v>
      </x:c>
    </x:row>
    <x:row r="44" ht="25" customHeight="1">
      <x:c r="B44" s="8" t="str">
        <x:v>MP-01-P07-O1-R2</x:v>
      </x:c>
      <x:c r="C44" s="8" t="str">
        <x:v>MP-01</x:v>
      </x:c>
      <x:c r="D44" s="8" t="n">
        <x:v>7</x:v>
      </x:c>
      <x:c r="E44" s="8" t="str">
        <x:v>OP-1</x:v>
      </x:c>
      <x:c r="F44" s="8" t="n">
        <x:v>2</x:v>
      </x:c>
      <x:c r="G44" s="8" t="str"/>
      <x:c r="H44" s="8" t="str"/>
      <x:c r="I44" s="8" t="str">
        <x:f>IF(H44="","OPEN",IF(NOT(ISNUMBER(G44)),"FAIL","PASS"))</x:f>
        <x:v>OPEN</x:v>
      </x:c>
    </x:row>
    <x:row r="45" ht="25" customHeight="1">
      <x:c r="B45" s="8" t="str">
        <x:v>MP-01-P07-O2-R1</x:v>
      </x:c>
      <x:c r="C45" s="8" t="str">
        <x:v>MP-01</x:v>
      </x:c>
      <x:c r="D45" s="8" t="n">
        <x:v>7</x:v>
      </x:c>
      <x:c r="E45" s="8" t="str">
        <x:v>OP-2</x:v>
      </x:c>
      <x:c r="F45" s="8" t="n">
        <x:v>1</x:v>
      </x:c>
      <x:c r="G45" s="8" t="str"/>
      <x:c r="H45" s="8" t="str"/>
      <x:c r="I45" s="8" t="str">
        <x:f>IF(H45="","OPEN",IF(NOT(ISNUMBER(G45)),"FAIL","PASS"))</x:f>
        <x:v>OPEN</x:v>
      </x:c>
    </x:row>
    <x:row r="46" ht="25" customHeight="1">
      <x:c r="B46" s="8" t="str">
        <x:v>MP-01-P07-O2-R2</x:v>
      </x:c>
      <x:c r="C46" s="8" t="str">
        <x:v>MP-01</x:v>
      </x:c>
      <x:c r="D46" s="8" t="n">
        <x:v>7</x:v>
      </x:c>
      <x:c r="E46" s="8" t="str">
        <x:v>OP-2</x:v>
      </x:c>
      <x:c r="F46" s="8" t="n">
        <x:v>2</x:v>
      </x:c>
      <x:c r="G46" s="8" t="str"/>
      <x:c r="H46" s="8" t="str"/>
      <x:c r="I46" s="8" t="str">
        <x:f>IF(H46="","OPEN",IF(NOT(ISNUMBER(G46)),"FAIL","PASS"))</x:f>
        <x:v>OPEN</x:v>
      </x:c>
    </x:row>
    <x:row r="47" ht="25" customHeight="1">
      <x:c r="B47" s="8" t="str">
        <x:v>MP-01-P07-O3-R1</x:v>
      </x:c>
      <x:c r="C47" s="8" t="str">
        <x:v>MP-01</x:v>
      </x:c>
      <x:c r="D47" s="8" t="n">
        <x:v>7</x:v>
      </x:c>
      <x:c r="E47" s="8" t="str">
        <x:v>OP-3</x:v>
      </x:c>
      <x:c r="F47" s="8" t="n">
        <x:v>1</x:v>
      </x:c>
      <x:c r="G47" s="8" t="str"/>
      <x:c r="H47" s="8" t="str"/>
      <x:c r="I47" s="8" t="str">
        <x:f>IF(H47="","OPEN",IF(NOT(ISNUMBER(G47)),"FAIL","PASS"))</x:f>
        <x:v>OPEN</x:v>
      </x:c>
    </x:row>
    <x:row r="48" ht="25" customHeight="1">
      <x:c r="B48" s="8" t="str">
        <x:v>MP-01-P07-O3-R2</x:v>
      </x:c>
      <x:c r="C48" s="8" t="str">
        <x:v>MP-01</x:v>
      </x:c>
      <x:c r="D48" s="8" t="n">
        <x:v>7</x:v>
      </x:c>
      <x:c r="E48" s="8" t="str">
        <x:v>OP-3</x:v>
      </x:c>
      <x:c r="F48" s="8" t="n">
        <x:v>2</x:v>
      </x:c>
      <x:c r="G48" s="8" t="str"/>
      <x:c r="H48" s="8" t="str"/>
      <x:c r="I48" s="8" t="str">
        <x:f>IF(H48="","OPEN",IF(NOT(ISNUMBER(G48)),"FAIL","PASS"))</x:f>
        <x:v>OPEN</x:v>
      </x:c>
    </x:row>
    <x:row r="49" ht="25" customHeight="1">
      <x:c r="B49" s="8" t="str">
        <x:v>MP-01-P08-O1-R1</x:v>
      </x:c>
      <x:c r="C49" s="8" t="str">
        <x:v>MP-01</x:v>
      </x:c>
      <x:c r="D49" s="8" t="n">
        <x:v>8</x:v>
      </x:c>
      <x:c r="E49" s="8" t="str">
        <x:v>OP-1</x:v>
      </x:c>
      <x:c r="F49" s="8" t="n">
        <x:v>1</x:v>
      </x:c>
      <x:c r="G49" s="8" t="str"/>
      <x:c r="H49" s="8" t="str"/>
      <x:c r="I49" s="8" t="str">
        <x:f>IF(H49="","OPEN",IF(NOT(ISNUMBER(G49)),"FAIL","PASS"))</x:f>
        <x:v>OPEN</x:v>
      </x:c>
    </x:row>
    <x:row r="50" ht="25" customHeight="1">
      <x:c r="B50" s="8" t="str">
        <x:v>MP-01-P08-O1-R2</x:v>
      </x:c>
      <x:c r="C50" s="8" t="str">
        <x:v>MP-01</x:v>
      </x:c>
      <x:c r="D50" s="8" t="n">
        <x:v>8</x:v>
      </x:c>
      <x:c r="E50" s="8" t="str">
        <x:v>OP-1</x:v>
      </x:c>
      <x:c r="F50" s="8" t="n">
        <x:v>2</x:v>
      </x:c>
      <x:c r="G50" s="8" t="str"/>
      <x:c r="H50" s="8" t="str"/>
      <x:c r="I50" s="8" t="str">
        <x:f>IF(H50="","OPEN",IF(NOT(ISNUMBER(G50)),"FAIL","PASS"))</x:f>
        <x:v>OPEN</x:v>
      </x:c>
    </x:row>
    <x:row r="51" ht="25" customHeight="1">
      <x:c r="B51" s="8" t="str">
        <x:v>MP-01-P08-O2-R1</x:v>
      </x:c>
      <x:c r="C51" s="8" t="str">
        <x:v>MP-01</x:v>
      </x:c>
      <x:c r="D51" s="8" t="n">
        <x:v>8</x:v>
      </x:c>
      <x:c r="E51" s="8" t="str">
        <x:v>OP-2</x:v>
      </x:c>
      <x:c r="F51" s="8" t="n">
        <x:v>1</x:v>
      </x:c>
      <x:c r="G51" s="8" t="str"/>
      <x:c r="H51" s="8" t="str"/>
      <x:c r="I51" s="8" t="str">
        <x:f>IF(H51="","OPEN",IF(NOT(ISNUMBER(G51)),"FAIL","PASS"))</x:f>
        <x:v>OPEN</x:v>
      </x:c>
    </x:row>
    <x:row r="52" ht="25" customHeight="1">
      <x:c r="B52" s="8" t="str">
        <x:v>MP-01-P08-O2-R2</x:v>
      </x:c>
      <x:c r="C52" s="8" t="str">
        <x:v>MP-01</x:v>
      </x:c>
      <x:c r="D52" s="8" t="n">
        <x:v>8</x:v>
      </x:c>
      <x:c r="E52" s="8" t="str">
        <x:v>OP-2</x:v>
      </x:c>
      <x:c r="F52" s="8" t="n">
        <x:v>2</x:v>
      </x:c>
      <x:c r="G52" s="8" t="str"/>
      <x:c r="H52" s="8" t="str"/>
      <x:c r="I52" s="8" t="str">
        <x:f>IF(H52="","OPEN",IF(NOT(ISNUMBER(G52)),"FAIL","PASS"))</x:f>
        <x:v>OPEN</x:v>
      </x:c>
    </x:row>
    <x:row r="53" ht="25" customHeight="1">
      <x:c r="B53" s="8" t="str">
        <x:v>MP-01-P08-O3-R1</x:v>
      </x:c>
      <x:c r="C53" s="8" t="str">
        <x:v>MP-01</x:v>
      </x:c>
      <x:c r="D53" s="8" t="n">
        <x:v>8</x:v>
      </x:c>
      <x:c r="E53" s="8" t="str">
        <x:v>OP-3</x:v>
      </x:c>
      <x:c r="F53" s="8" t="n">
        <x:v>1</x:v>
      </x:c>
      <x:c r="G53" s="8" t="str"/>
      <x:c r="H53" s="8" t="str"/>
      <x:c r="I53" s="8" t="str">
        <x:f>IF(H53="","OPEN",IF(NOT(ISNUMBER(G53)),"FAIL","PASS"))</x:f>
        <x:v>OPEN</x:v>
      </x:c>
    </x:row>
    <x:row r="54" ht="25" customHeight="1">
      <x:c r="B54" s="8" t="str">
        <x:v>MP-01-P08-O3-R2</x:v>
      </x:c>
      <x:c r="C54" s="8" t="str">
        <x:v>MP-01</x:v>
      </x:c>
      <x:c r="D54" s="8" t="n">
        <x:v>8</x:v>
      </x:c>
      <x:c r="E54" s="8" t="str">
        <x:v>OP-3</x:v>
      </x:c>
      <x:c r="F54" s="8" t="n">
        <x:v>2</x:v>
      </x:c>
      <x:c r="G54" s="8" t="str"/>
      <x:c r="H54" s="8" t="str"/>
      <x:c r="I54" s="8" t="str">
        <x:f>IF(H54="","OPEN",IF(NOT(ISNUMBER(G54)),"FAIL","PASS"))</x:f>
        <x:v>OPEN</x:v>
      </x:c>
    </x:row>
    <x:row r="55" ht="25" customHeight="1">
      <x:c r="B55" s="8" t="str">
        <x:v>MP-01-P09-O1-R1</x:v>
      </x:c>
      <x:c r="C55" s="8" t="str">
        <x:v>MP-01</x:v>
      </x:c>
      <x:c r="D55" s="8" t="n">
        <x:v>9</x:v>
      </x:c>
      <x:c r="E55" s="8" t="str">
        <x:v>OP-1</x:v>
      </x:c>
      <x:c r="F55" s="8" t="n">
        <x:v>1</x:v>
      </x:c>
      <x:c r="G55" s="8" t="str"/>
      <x:c r="H55" s="8" t="str"/>
      <x:c r="I55" s="8" t="str">
        <x:f>IF(H55="","OPEN",IF(NOT(ISNUMBER(G55)),"FAIL","PASS"))</x:f>
        <x:v>OPEN</x:v>
      </x:c>
    </x:row>
    <x:row r="56" ht="25" customHeight="1">
      <x:c r="B56" s="8" t="str">
        <x:v>MP-01-P09-O1-R2</x:v>
      </x:c>
      <x:c r="C56" s="8" t="str">
        <x:v>MP-01</x:v>
      </x:c>
      <x:c r="D56" s="8" t="n">
        <x:v>9</x:v>
      </x:c>
      <x:c r="E56" s="8" t="str">
        <x:v>OP-1</x:v>
      </x:c>
      <x:c r="F56" s="8" t="n">
        <x:v>2</x:v>
      </x:c>
      <x:c r="G56" s="8" t="str"/>
      <x:c r="H56" s="8" t="str"/>
      <x:c r="I56" s="8" t="str">
        <x:f>IF(H56="","OPEN",IF(NOT(ISNUMBER(G56)),"FAIL","PASS"))</x:f>
        <x:v>OPEN</x:v>
      </x:c>
    </x:row>
    <x:row r="57" ht="25" customHeight="1">
      <x:c r="B57" s="8" t="str">
        <x:v>MP-01-P09-O2-R1</x:v>
      </x:c>
      <x:c r="C57" s="8" t="str">
        <x:v>MP-01</x:v>
      </x:c>
      <x:c r="D57" s="8" t="n">
        <x:v>9</x:v>
      </x:c>
      <x:c r="E57" s="8" t="str">
        <x:v>OP-2</x:v>
      </x:c>
      <x:c r="F57" s="8" t="n">
        <x:v>1</x:v>
      </x:c>
      <x:c r="G57" s="8" t="str"/>
      <x:c r="H57" s="8" t="str"/>
      <x:c r="I57" s="8" t="str">
        <x:f>IF(H57="","OPEN",IF(NOT(ISNUMBER(G57)),"FAIL","PASS"))</x:f>
        <x:v>OPEN</x:v>
      </x:c>
    </x:row>
    <x:row r="58" ht="25" customHeight="1">
      <x:c r="B58" s="8" t="str">
        <x:v>MP-01-P09-O2-R2</x:v>
      </x:c>
      <x:c r="C58" s="8" t="str">
        <x:v>MP-01</x:v>
      </x:c>
      <x:c r="D58" s="8" t="n">
        <x:v>9</x:v>
      </x:c>
      <x:c r="E58" s="8" t="str">
        <x:v>OP-2</x:v>
      </x:c>
      <x:c r="F58" s="8" t="n">
        <x:v>2</x:v>
      </x:c>
      <x:c r="G58" s="8" t="str"/>
      <x:c r="H58" s="8" t="str"/>
      <x:c r="I58" s="8" t="str">
        <x:f>IF(H58="","OPEN",IF(NOT(ISNUMBER(G58)),"FAIL","PASS"))</x:f>
        <x:v>OPEN</x:v>
      </x:c>
    </x:row>
    <x:row r="59" ht="25" customHeight="1">
      <x:c r="B59" s="8" t="str">
        <x:v>MP-01-P09-O3-R1</x:v>
      </x:c>
      <x:c r="C59" s="8" t="str">
        <x:v>MP-01</x:v>
      </x:c>
      <x:c r="D59" s="8" t="n">
        <x:v>9</x:v>
      </x:c>
      <x:c r="E59" s="8" t="str">
        <x:v>OP-3</x:v>
      </x:c>
      <x:c r="F59" s="8" t="n">
        <x:v>1</x:v>
      </x:c>
      <x:c r="G59" s="8" t="str"/>
      <x:c r="H59" s="8" t="str"/>
      <x:c r="I59" s="8" t="str">
        <x:f>IF(H59="","OPEN",IF(NOT(ISNUMBER(G59)),"FAIL","PASS"))</x:f>
        <x:v>OPEN</x:v>
      </x:c>
    </x:row>
    <x:row r="60" ht="25" customHeight="1">
      <x:c r="B60" s="8" t="str">
        <x:v>MP-01-P09-O3-R2</x:v>
      </x:c>
      <x:c r="C60" s="8" t="str">
        <x:v>MP-01</x:v>
      </x:c>
      <x:c r="D60" s="8" t="n">
        <x:v>9</x:v>
      </x:c>
      <x:c r="E60" s="8" t="str">
        <x:v>OP-3</x:v>
      </x:c>
      <x:c r="F60" s="8" t="n">
        <x:v>2</x:v>
      </x:c>
      <x:c r="G60" s="8" t="str"/>
      <x:c r="H60" s="8" t="str"/>
      <x:c r="I60" s="8" t="str">
        <x:f>IF(H60="","OPEN",IF(NOT(ISNUMBER(G60)),"FAIL","PASS"))</x:f>
        <x:v>OPEN</x:v>
      </x:c>
    </x:row>
    <x:row r="61" ht="25" customHeight="1">
      <x:c r="B61" s="8" t="str">
        <x:v>MP-01-P10-O1-R1</x:v>
      </x:c>
      <x:c r="C61" s="8" t="str">
        <x:v>MP-01</x:v>
      </x:c>
      <x:c r="D61" s="8" t="n">
        <x:v>10</x:v>
      </x:c>
      <x:c r="E61" s="8" t="str">
        <x:v>OP-1</x:v>
      </x:c>
      <x:c r="F61" s="8" t="n">
        <x:v>1</x:v>
      </x:c>
      <x:c r="G61" s="8" t="str"/>
      <x:c r="H61" s="8" t="str"/>
      <x:c r="I61" s="8" t="str">
        <x:f>IF(H61="","OPEN",IF(NOT(ISNUMBER(G61)),"FAIL","PASS"))</x:f>
        <x:v>OPEN</x:v>
      </x:c>
    </x:row>
    <x:row r="62" ht="25" customHeight="1">
      <x:c r="B62" s="8" t="str">
        <x:v>MP-01-P10-O1-R2</x:v>
      </x:c>
      <x:c r="C62" s="8" t="str">
        <x:v>MP-01</x:v>
      </x:c>
      <x:c r="D62" s="8" t="n">
        <x:v>10</x:v>
      </x:c>
      <x:c r="E62" s="8" t="str">
        <x:v>OP-1</x:v>
      </x:c>
      <x:c r="F62" s="8" t="n">
        <x:v>2</x:v>
      </x:c>
      <x:c r="G62" s="8" t="str"/>
      <x:c r="H62" s="8" t="str"/>
      <x:c r="I62" s="8" t="str">
        <x:f>IF(H62="","OPEN",IF(NOT(ISNUMBER(G62)),"FAIL","PASS"))</x:f>
        <x:v>OPEN</x:v>
      </x:c>
    </x:row>
    <x:row r="63" ht="25" customHeight="1">
      <x:c r="B63" s="8" t="str">
        <x:v>MP-01-P10-O2-R1</x:v>
      </x:c>
      <x:c r="C63" s="8" t="str">
        <x:v>MP-01</x:v>
      </x:c>
      <x:c r="D63" s="8" t="n">
        <x:v>10</x:v>
      </x:c>
      <x:c r="E63" s="8" t="str">
        <x:v>OP-2</x:v>
      </x:c>
      <x:c r="F63" s="8" t="n">
        <x:v>1</x:v>
      </x:c>
      <x:c r="G63" s="8" t="str"/>
      <x:c r="H63" s="8" t="str"/>
      <x:c r="I63" s="8" t="str">
        <x:f>IF(H63="","OPEN",IF(NOT(ISNUMBER(G63)),"FAIL","PASS"))</x:f>
        <x:v>OPEN</x:v>
      </x:c>
    </x:row>
    <x:row r="64" ht="25" customHeight="1">
      <x:c r="B64" s="8" t="str">
        <x:v>MP-01-P10-O2-R2</x:v>
      </x:c>
      <x:c r="C64" s="8" t="str">
        <x:v>MP-01</x:v>
      </x:c>
      <x:c r="D64" s="8" t="n">
        <x:v>10</x:v>
      </x:c>
      <x:c r="E64" s="8" t="str">
        <x:v>OP-2</x:v>
      </x:c>
      <x:c r="F64" s="8" t="n">
        <x:v>2</x:v>
      </x:c>
      <x:c r="G64" s="8" t="str"/>
      <x:c r="H64" s="8" t="str"/>
      <x:c r="I64" s="8" t="str">
        <x:f>IF(H64="","OPEN",IF(NOT(ISNUMBER(G64)),"FAIL","PASS"))</x:f>
        <x:v>OPEN</x:v>
      </x:c>
    </x:row>
    <x:row r="65" ht="25" customHeight="1">
      <x:c r="B65" s="8" t="str">
        <x:v>MP-01-P10-O3-R1</x:v>
      </x:c>
      <x:c r="C65" s="8" t="str">
        <x:v>MP-01</x:v>
      </x:c>
      <x:c r="D65" s="8" t="n">
        <x:v>10</x:v>
      </x:c>
      <x:c r="E65" s="8" t="str">
        <x:v>OP-3</x:v>
      </x:c>
      <x:c r="F65" s="8" t="n">
        <x:v>1</x:v>
      </x:c>
      <x:c r="G65" s="8" t="str"/>
      <x:c r="H65" s="8" t="str"/>
      <x:c r="I65" s="8" t="str">
        <x:f>IF(H65="","OPEN",IF(NOT(ISNUMBER(G65)),"FAIL","PASS"))</x:f>
        <x:v>OPEN</x:v>
      </x:c>
    </x:row>
    <x:row r="66" ht="25" customHeight="1">
      <x:c r="B66" s="8" t="str">
        <x:v>MP-01-P10-O3-R2</x:v>
      </x:c>
      <x:c r="C66" s="8" t="str">
        <x:v>MP-01</x:v>
      </x:c>
      <x:c r="D66" s="8" t="n">
        <x:v>10</x:v>
      </x:c>
      <x:c r="E66" s="8" t="str">
        <x:v>OP-3</x:v>
      </x:c>
      <x:c r="F66" s="8" t="n">
        <x:v>2</x:v>
      </x:c>
      <x:c r="G66" s="8" t="str"/>
      <x:c r="H66" s="8" t="str"/>
      <x:c r="I66" s="8" t="str">
        <x:f>IF(H66="","OPEN",IF(NOT(ISNUMBER(G66)),"FAIL","PASS"))</x:f>
        <x:v>OPEN</x:v>
      </x:c>
    </x:row>
    <x:row r="67" ht="25" customHeight="1">
      <x:c r="B67" s="8" t="str">
        <x:v>MP-02-P01-O1-R1</x:v>
      </x:c>
      <x:c r="C67" s="8" t="str">
        <x:v>MP-02</x:v>
      </x:c>
      <x:c r="D67" s="8" t="n">
        <x:v>1</x:v>
      </x:c>
      <x:c r="E67" s="8" t="str">
        <x:v>OP-1</x:v>
      </x:c>
      <x:c r="F67" s="8" t="n">
        <x:v>1</x:v>
      </x:c>
      <x:c r="G67" s="8" t="str"/>
      <x:c r="H67" s="8" t="str"/>
      <x:c r="I67" s="8" t="str">
        <x:f>IF(H67="","OPEN",IF(NOT(ISNUMBER(G67)),"FAIL","PASS"))</x:f>
        <x:v>OPEN</x:v>
      </x:c>
    </x:row>
    <x:row r="68" ht="25" customHeight="1">
      <x:c r="B68" s="8" t="str">
        <x:v>MP-02-P01-O1-R2</x:v>
      </x:c>
      <x:c r="C68" s="8" t="str">
        <x:v>MP-02</x:v>
      </x:c>
      <x:c r="D68" s="8" t="n">
        <x:v>1</x:v>
      </x:c>
      <x:c r="E68" s="8" t="str">
        <x:v>OP-1</x:v>
      </x:c>
      <x:c r="F68" s="8" t="n">
        <x:v>2</x:v>
      </x:c>
      <x:c r="G68" s="8" t="str"/>
      <x:c r="H68" s="8" t="str"/>
      <x:c r="I68" s="8" t="str">
        <x:f>IF(H68="","OPEN",IF(NOT(ISNUMBER(G68)),"FAIL","PASS"))</x:f>
        <x:v>OPEN</x:v>
      </x:c>
    </x:row>
    <x:row r="69" ht="25" customHeight="1">
      <x:c r="B69" s="8" t="str">
        <x:v>MP-02-P01-O2-R1</x:v>
      </x:c>
      <x:c r="C69" s="8" t="str">
        <x:v>MP-02</x:v>
      </x:c>
      <x:c r="D69" s="8" t="n">
        <x:v>1</x:v>
      </x:c>
      <x:c r="E69" s="8" t="str">
        <x:v>OP-2</x:v>
      </x:c>
      <x:c r="F69" s="8" t="n">
        <x:v>1</x:v>
      </x:c>
      <x:c r="G69" s="8" t="str"/>
      <x:c r="H69" s="8" t="str"/>
      <x:c r="I69" s="8" t="str">
        <x:f>IF(H69="","OPEN",IF(NOT(ISNUMBER(G69)),"FAIL","PASS"))</x:f>
        <x:v>OPEN</x:v>
      </x:c>
    </x:row>
    <x:row r="70" ht="25" customHeight="1">
      <x:c r="B70" s="8" t="str">
        <x:v>MP-02-P01-O2-R2</x:v>
      </x:c>
      <x:c r="C70" s="8" t="str">
        <x:v>MP-02</x:v>
      </x:c>
      <x:c r="D70" s="8" t="n">
        <x:v>1</x:v>
      </x:c>
      <x:c r="E70" s="8" t="str">
        <x:v>OP-2</x:v>
      </x:c>
      <x:c r="F70" s="8" t="n">
        <x:v>2</x:v>
      </x:c>
      <x:c r="G70" s="8" t="str"/>
      <x:c r="H70" s="8" t="str"/>
      <x:c r="I70" s="8" t="str">
        <x:f>IF(H70="","OPEN",IF(NOT(ISNUMBER(G70)),"FAIL","PASS"))</x:f>
        <x:v>OPEN</x:v>
      </x:c>
    </x:row>
    <x:row r="71" ht="25" customHeight="1">
      <x:c r="B71" s="8" t="str">
        <x:v>MP-02-P01-O3-R1</x:v>
      </x:c>
      <x:c r="C71" s="8" t="str">
        <x:v>MP-02</x:v>
      </x:c>
      <x:c r="D71" s="8" t="n">
        <x:v>1</x:v>
      </x:c>
      <x:c r="E71" s="8" t="str">
        <x:v>OP-3</x:v>
      </x:c>
      <x:c r="F71" s="8" t="n">
        <x:v>1</x:v>
      </x:c>
      <x:c r="G71" s="8" t="str"/>
      <x:c r="H71" s="8" t="str"/>
      <x:c r="I71" s="8" t="str">
        <x:f>IF(H71="","OPEN",IF(NOT(ISNUMBER(G71)),"FAIL","PASS"))</x:f>
        <x:v>OPEN</x:v>
      </x:c>
    </x:row>
    <x:row r="72" ht="25" customHeight="1">
      <x:c r="B72" s="8" t="str">
        <x:v>MP-02-P01-O3-R2</x:v>
      </x:c>
      <x:c r="C72" s="8" t="str">
        <x:v>MP-02</x:v>
      </x:c>
      <x:c r="D72" s="8" t="n">
        <x:v>1</x:v>
      </x:c>
      <x:c r="E72" s="8" t="str">
        <x:v>OP-3</x:v>
      </x:c>
      <x:c r="F72" s="8" t="n">
        <x:v>2</x:v>
      </x:c>
      <x:c r="G72" s="8" t="str"/>
      <x:c r="H72" s="8" t="str"/>
      <x:c r="I72" s="8" t="str">
        <x:f>IF(H72="","OPEN",IF(NOT(ISNUMBER(G72)),"FAIL","PASS"))</x:f>
        <x:v>OPEN</x:v>
      </x:c>
    </x:row>
    <x:row r="73" ht="25" customHeight="1">
      <x:c r="B73" s="8" t="str">
        <x:v>MP-02-P02-O1-R1</x:v>
      </x:c>
      <x:c r="C73" s="8" t="str">
        <x:v>MP-02</x:v>
      </x:c>
      <x:c r="D73" s="8" t="n">
        <x:v>2</x:v>
      </x:c>
      <x:c r="E73" s="8" t="str">
        <x:v>OP-1</x:v>
      </x:c>
      <x:c r="F73" s="8" t="n">
        <x:v>1</x:v>
      </x:c>
      <x:c r="G73" s="8" t="str"/>
      <x:c r="H73" s="8" t="str"/>
      <x:c r="I73" s="8" t="str">
        <x:f>IF(H73="","OPEN",IF(NOT(ISNUMBER(G73)),"FAIL","PASS"))</x:f>
        <x:v>OPEN</x:v>
      </x:c>
    </x:row>
    <x:row r="74" ht="25" customHeight="1">
      <x:c r="B74" s="8" t="str">
        <x:v>MP-02-P02-O1-R2</x:v>
      </x:c>
      <x:c r="C74" s="8" t="str">
        <x:v>MP-02</x:v>
      </x:c>
      <x:c r="D74" s="8" t="n">
        <x:v>2</x:v>
      </x:c>
      <x:c r="E74" s="8" t="str">
        <x:v>OP-1</x:v>
      </x:c>
      <x:c r="F74" s="8" t="n">
        <x:v>2</x:v>
      </x:c>
      <x:c r="G74" s="8" t="str"/>
      <x:c r="H74" s="8" t="str"/>
      <x:c r="I74" s="8" t="str">
        <x:f>IF(H74="","OPEN",IF(NOT(ISNUMBER(G74)),"FAIL","PASS"))</x:f>
        <x:v>OPEN</x:v>
      </x:c>
    </x:row>
    <x:row r="75" ht="25" customHeight="1">
      <x:c r="B75" s="8" t="str">
        <x:v>MP-02-P02-O2-R1</x:v>
      </x:c>
      <x:c r="C75" s="8" t="str">
        <x:v>MP-02</x:v>
      </x:c>
      <x:c r="D75" s="8" t="n">
        <x:v>2</x:v>
      </x:c>
      <x:c r="E75" s="8" t="str">
        <x:v>OP-2</x:v>
      </x:c>
      <x:c r="F75" s="8" t="n">
        <x:v>1</x:v>
      </x:c>
      <x:c r="G75" s="8" t="str"/>
      <x:c r="H75" s="8" t="str"/>
      <x:c r="I75" s="8" t="str">
        <x:f>IF(H75="","OPEN",IF(NOT(ISNUMBER(G75)),"FAIL","PASS"))</x:f>
        <x:v>OPEN</x:v>
      </x:c>
    </x:row>
    <x:row r="76" ht="25" customHeight="1">
      <x:c r="B76" s="8" t="str">
        <x:v>MP-02-P02-O2-R2</x:v>
      </x:c>
      <x:c r="C76" s="8" t="str">
        <x:v>MP-02</x:v>
      </x:c>
      <x:c r="D76" s="8" t="n">
        <x:v>2</x:v>
      </x:c>
      <x:c r="E76" s="8" t="str">
        <x:v>OP-2</x:v>
      </x:c>
      <x:c r="F76" s="8" t="n">
        <x:v>2</x:v>
      </x:c>
      <x:c r="G76" s="8" t="str"/>
      <x:c r="H76" s="8" t="str"/>
      <x:c r="I76" s="8" t="str">
        <x:f>IF(H76="","OPEN",IF(NOT(ISNUMBER(G76)),"FAIL","PASS"))</x:f>
        <x:v>OPEN</x:v>
      </x:c>
    </x:row>
    <x:row r="77" ht="25" customHeight="1">
      <x:c r="B77" s="8" t="str">
        <x:v>MP-02-P02-O3-R1</x:v>
      </x:c>
      <x:c r="C77" s="8" t="str">
        <x:v>MP-02</x:v>
      </x:c>
      <x:c r="D77" s="8" t="n">
        <x:v>2</x:v>
      </x:c>
      <x:c r="E77" s="8" t="str">
        <x:v>OP-3</x:v>
      </x:c>
      <x:c r="F77" s="8" t="n">
        <x:v>1</x:v>
      </x:c>
      <x:c r="G77" s="8" t="str"/>
      <x:c r="H77" s="8" t="str"/>
      <x:c r="I77" s="8" t="str">
        <x:f>IF(H77="","OPEN",IF(NOT(ISNUMBER(G77)),"FAIL","PASS"))</x:f>
        <x:v>OPEN</x:v>
      </x:c>
    </x:row>
    <x:row r="78" ht="25" customHeight="1">
      <x:c r="B78" s="8" t="str">
        <x:v>MP-02-P02-O3-R2</x:v>
      </x:c>
      <x:c r="C78" s="8" t="str">
        <x:v>MP-02</x:v>
      </x:c>
      <x:c r="D78" s="8" t="n">
        <x:v>2</x:v>
      </x:c>
      <x:c r="E78" s="8" t="str">
        <x:v>OP-3</x:v>
      </x:c>
      <x:c r="F78" s="8" t="n">
        <x:v>2</x:v>
      </x:c>
      <x:c r="G78" s="8" t="str"/>
      <x:c r="H78" s="8" t="str"/>
      <x:c r="I78" s="8" t="str">
        <x:f>IF(H78="","OPEN",IF(NOT(ISNUMBER(G78)),"FAIL","PASS"))</x:f>
        <x:v>OPEN</x:v>
      </x:c>
    </x:row>
    <x:row r="79" ht="25" customHeight="1">
      <x:c r="B79" s="8" t="str">
        <x:v>MP-02-P03-O1-R1</x:v>
      </x:c>
      <x:c r="C79" s="8" t="str">
        <x:v>MP-02</x:v>
      </x:c>
      <x:c r="D79" s="8" t="n">
        <x:v>3</x:v>
      </x:c>
      <x:c r="E79" s="8" t="str">
        <x:v>OP-1</x:v>
      </x:c>
      <x:c r="F79" s="8" t="n">
        <x:v>1</x:v>
      </x:c>
      <x:c r="G79" s="8" t="str"/>
      <x:c r="H79" s="8" t="str"/>
      <x:c r="I79" s="8" t="str">
        <x:f>IF(H79="","OPEN",IF(NOT(ISNUMBER(G79)),"FAIL","PASS"))</x:f>
        <x:v>OPEN</x:v>
      </x:c>
    </x:row>
    <x:row r="80" ht="25" customHeight="1">
      <x:c r="B80" s="8" t="str">
        <x:v>MP-02-P03-O1-R2</x:v>
      </x:c>
      <x:c r="C80" s="8" t="str">
        <x:v>MP-02</x:v>
      </x:c>
      <x:c r="D80" s="8" t="n">
        <x:v>3</x:v>
      </x:c>
      <x:c r="E80" s="8" t="str">
        <x:v>OP-1</x:v>
      </x:c>
      <x:c r="F80" s="8" t="n">
        <x:v>2</x:v>
      </x:c>
      <x:c r="G80" s="8" t="str"/>
      <x:c r="H80" s="8" t="str"/>
      <x:c r="I80" s="8" t="str">
        <x:f>IF(H80="","OPEN",IF(NOT(ISNUMBER(G80)),"FAIL","PASS"))</x:f>
        <x:v>OPEN</x:v>
      </x:c>
    </x:row>
    <x:row r="81" ht="25" customHeight="1">
      <x:c r="B81" s="8" t="str">
        <x:v>MP-02-P03-O2-R1</x:v>
      </x:c>
      <x:c r="C81" s="8" t="str">
        <x:v>MP-02</x:v>
      </x:c>
      <x:c r="D81" s="8" t="n">
        <x:v>3</x:v>
      </x:c>
      <x:c r="E81" s="8" t="str">
        <x:v>OP-2</x:v>
      </x:c>
      <x:c r="F81" s="8" t="n">
        <x:v>1</x:v>
      </x:c>
      <x:c r="G81" s="8" t="str"/>
      <x:c r="H81" s="8" t="str"/>
      <x:c r="I81" s="8" t="str">
        <x:f>IF(H81="","OPEN",IF(NOT(ISNUMBER(G81)),"FAIL","PASS"))</x:f>
        <x:v>OPEN</x:v>
      </x:c>
    </x:row>
    <x:row r="82" ht="25" customHeight="1">
      <x:c r="B82" s="8" t="str">
        <x:v>MP-02-P03-O2-R2</x:v>
      </x:c>
      <x:c r="C82" s="8" t="str">
        <x:v>MP-02</x:v>
      </x:c>
      <x:c r="D82" s="8" t="n">
        <x:v>3</x:v>
      </x:c>
      <x:c r="E82" s="8" t="str">
        <x:v>OP-2</x:v>
      </x:c>
      <x:c r="F82" s="8" t="n">
        <x:v>2</x:v>
      </x:c>
      <x:c r="G82" s="8" t="str"/>
      <x:c r="H82" s="8" t="str"/>
      <x:c r="I82" s="8" t="str">
        <x:f>IF(H82="","OPEN",IF(NOT(ISNUMBER(G82)),"FAIL","PASS"))</x:f>
        <x:v>OPEN</x:v>
      </x:c>
    </x:row>
    <x:row r="83" ht="25" customHeight="1">
      <x:c r="B83" s="8" t="str">
        <x:v>MP-02-P03-O3-R1</x:v>
      </x:c>
      <x:c r="C83" s="8" t="str">
        <x:v>MP-02</x:v>
      </x:c>
      <x:c r="D83" s="8" t="n">
        <x:v>3</x:v>
      </x:c>
      <x:c r="E83" s="8" t="str">
        <x:v>OP-3</x:v>
      </x:c>
      <x:c r="F83" s="8" t="n">
        <x:v>1</x:v>
      </x:c>
      <x:c r="G83" s="8" t="str"/>
      <x:c r="H83" s="8" t="str"/>
      <x:c r="I83" s="8" t="str">
        <x:f>IF(H83="","OPEN",IF(NOT(ISNUMBER(G83)),"FAIL","PASS"))</x:f>
        <x:v>OPEN</x:v>
      </x:c>
    </x:row>
    <x:row r="84" ht="25" customHeight="1">
      <x:c r="B84" s="8" t="str">
        <x:v>MP-02-P03-O3-R2</x:v>
      </x:c>
      <x:c r="C84" s="8" t="str">
        <x:v>MP-02</x:v>
      </x:c>
      <x:c r="D84" s="8" t="n">
        <x:v>3</x:v>
      </x:c>
      <x:c r="E84" s="8" t="str">
        <x:v>OP-3</x:v>
      </x:c>
      <x:c r="F84" s="8" t="n">
        <x:v>2</x:v>
      </x:c>
      <x:c r="G84" s="8" t="str"/>
      <x:c r="H84" s="8" t="str"/>
      <x:c r="I84" s="8" t="str">
        <x:f>IF(H84="","OPEN",IF(NOT(ISNUMBER(G84)),"FAIL","PASS"))</x:f>
        <x:v>OPEN</x:v>
      </x:c>
    </x:row>
    <x:row r="85" ht="25" customHeight="1">
      <x:c r="B85" s="8" t="str">
        <x:v>MP-02-P04-O1-R1</x:v>
      </x:c>
      <x:c r="C85" s="8" t="str">
        <x:v>MP-02</x:v>
      </x:c>
      <x:c r="D85" s="8" t="n">
        <x:v>4</x:v>
      </x:c>
      <x:c r="E85" s="8" t="str">
        <x:v>OP-1</x:v>
      </x:c>
      <x:c r="F85" s="8" t="n">
        <x:v>1</x:v>
      </x:c>
      <x:c r="G85" s="8" t="str"/>
      <x:c r="H85" s="8" t="str"/>
      <x:c r="I85" s="8" t="str">
        <x:f>IF(H85="","OPEN",IF(NOT(ISNUMBER(G85)),"FAIL","PASS"))</x:f>
        <x:v>OPEN</x:v>
      </x:c>
    </x:row>
    <x:row r="86" ht="25" customHeight="1">
      <x:c r="B86" s="8" t="str">
        <x:v>MP-02-P04-O1-R2</x:v>
      </x:c>
      <x:c r="C86" s="8" t="str">
        <x:v>MP-02</x:v>
      </x:c>
      <x:c r="D86" s="8" t="n">
        <x:v>4</x:v>
      </x:c>
      <x:c r="E86" s="8" t="str">
        <x:v>OP-1</x:v>
      </x:c>
      <x:c r="F86" s="8" t="n">
        <x:v>2</x:v>
      </x:c>
      <x:c r="G86" s="8" t="str"/>
      <x:c r="H86" s="8" t="str"/>
      <x:c r="I86" s="8" t="str">
        <x:f>IF(H86="","OPEN",IF(NOT(ISNUMBER(G86)),"FAIL","PASS"))</x:f>
        <x:v>OPEN</x:v>
      </x:c>
    </x:row>
    <x:row r="87" ht="25" customHeight="1">
      <x:c r="B87" s="8" t="str">
        <x:v>MP-02-P04-O2-R1</x:v>
      </x:c>
      <x:c r="C87" s="8" t="str">
        <x:v>MP-02</x:v>
      </x:c>
      <x:c r="D87" s="8" t="n">
        <x:v>4</x:v>
      </x:c>
      <x:c r="E87" s="8" t="str">
        <x:v>OP-2</x:v>
      </x:c>
      <x:c r="F87" s="8" t="n">
        <x:v>1</x:v>
      </x:c>
      <x:c r="G87" s="8" t="str"/>
      <x:c r="H87" s="8" t="str"/>
      <x:c r="I87" s="8" t="str">
        <x:f>IF(H87="","OPEN",IF(NOT(ISNUMBER(G87)),"FAIL","PASS"))</x:f>
        <x:v>OPEN</x:v>
      </x:c>
    </x:row>
    <x:row r="88" ht="25" customHeight="1">
      <x:c r="B88" s="8" t="str">
        <x:v>MP-02-P04-O2-R2</x:v>
      </x:c>
      <x:c r="C88" s="8" t="str">
        <x:v>MP-02</x:v>
      </x:c>
      <x:c r="D88" s="8" t="n">
        <x:v>4</x:v>
      </x:c>
      <x:c r="E88" s="8" t="str">
        <x:v>OP-2</x:v>
      </x:c>
      <x:c r="F88" s="8" t="n">
        <x:v>2</x:v>
      </x:c>
      <x:c r="G88" s="8" t="str"/>
      <x:c r="H88" s="8" t="str"/>
      <x:c r="I88" s="8" t="str">
        <x:f>IF(H88="","OPEN",IF(NOT(ISNUMBER(G88)),"FAIL","PASS"))</x:f>
        <x:v>OPEN</x:v>
      </x:c>
    </x:row>
    <x:row r="89" ht="25" customHeight="1">
      <x:c r="B89" s="8" t="str">
        <x:v>MP-02-P04-O3-R1</x:v>
      </x:c>
      <x:c r="C89" s="8" t="str">
        <x:v>MP-02</x:v>
      </x:c>
      <x:c r="D89" s="8" t="n">
        <x:v>4</x:v>
      </x:c>
      <x:c r="E89" s="8" t="str">
        <x:v>OP-3</x:v>
      </x:c>
      <x:c r="F89" s="8" t="n">
        <x:v>1</x:v>
      </x:c>
      <x:c r="G89" s="8" t="str"/>
      <x:c r="H89" s="8" t="str"/>
      <x:c r="I89" s="8" t="str">
        <x:f>IF(H89="","OPEN",IF(NOT(ISNUMBER(G89)),"FAIL","PASS"))</x:f>
        <x:v>OPEN</x:v>
      </x:c>
    </x:row>
    <x:row r="90" ht="25" customHeight="1">
      <x:c r="B90" s="8" t="str">
        <x:v>MP-02-P04-O3-R2</x:v>
      </x:c>
      <x:c r="C90" s="8" t="str">
        <x:v>MP-02</x:v>
      </x:c>
      <x:c r="D90" s="8" t="n">
        <x:v>4</x:v>
      </x:c>
      <x:c r="E90" s="8" t="str">
        <x:v>OP-3</x:v>
      </x:c>
      <x:c r="F90" s="8" t="n">
        <x:v>2</x:v>
      </x:c>
      <x:c r="G90" s="8" t="str"/>
      <x:c r="H90" s="8" t="str"/>
      <x:c r="I90" s="8" t="str">
        <x:f>IF(H90="","OPEN",IF(NOT(ISNUMBER(G90)),"FAIL","PASS"))</x:f>
        <x:v>OPEN</x:v>
      </x:c>
    </x:row>
    <x:row r="91" ht="25" customHeight="1">
      <x:c r="B91" s="8" t="str">
        <x:v>MP-02-P05-O1-R1</x:v>
      </x:c>
      <x:c r="C91" s="8" t="str">
        <x:v>MP-02</x:v>
      </x:c>
      <x:c r="D91" s="8" t="n">
        <x:v>5</x:v>
      </x:c>
      <x:c r="E91" s="8" t="str">
        <x:v>OP-1</x:v>
      </x:c>
      <x:c r="F91" s="8" t="n">
        <x:v>1</x:v>
      </x:c>
      <x:c r="G91" s="8" t="str"/>
      <x:c r="H91" s="8" t="str"/>
      <x:c r="I91" s="8" t="str">
        <x:f>IF(H91="","OPEN",IF(NOT(ISNUMBER(G91)),"FAIL","PASS"))</x:f>
        <x:v>OPEN</x:v>
      </x:c>
    </x:row>
    <x:row r="92" ht="25" customHeight="1">
      <x:c r="B92" s="8" t="str">
        <x:v>MP-02-P05-O1-R2</x:v>
      </x:c>
      <x:c r="C92" s="8" t="str">
        <x:v>MP-02</x:v>
      </x:c>
      <x:c r="D92" s="8" t="n">
        <x:v>5</x:v>
      </x:c>
      <x:c r="E92" s="8" t="str">
        <x:v>OP-1</x:v>
      </x:c>
      <x:c r="F92" s="8" t="n">
        <x:v>2</x:v>
      </x:c>
      <x:c r="G92" s="8" t="str"/>
      <x:c r="H92" s="8" t="str"/>
      <x:c r="I92" s="8" t="str">
        <x:f>IF(H92="","OPEN",IF(NOT(ISNUMBER(G92)),"FAIL","PASS"))</x:f>
        <x:v>OPEN</x:v>
      </x:c>
    </x:row>
    <x:row r="93" ht="25" customHeight="1">
      <x:c r="B93" s="8" t="str">
        <x:v>MP-02-P05-O2-R1</x:v>
      </x:c>
      <x:c r="C93" s="8" t="str">
        <x:v>MP-02</x:v>
      </x:c>
      <x:c r="D93" s="8" t="n">
        <x:v>5</x:v>
      </x:c>
      <x:c r="E93" s="8" t="str">
        <x:v>OP-2</x:v>
      </x:c>
      <x:c r="F93" s="8" t="n">
        <x:v>1</x:v>
      </x:c>
      <x:c r="G93" s="8" t="str"/>
      <x:c r="H93" s="8" t="str"/>
      <x:c r="I93" s="8" t="str">
        <x:f>IF(H93="","OPEN",IF(NOT(ISNUMBER(G93)),"FAIL","PASS"))</x:f>
        <x:v>OPEN</x:v>
      </x:c>
    </x:row>
    <x:row r="94" ht="25" customHeight="1">
      <x:c r="B94" s="8" t="str">
        <x:v>MP-02-P05-O2-R2</x:v>
      </x:c>
      <x:c r="C94" s="8" t="str">
        <x:v>MP-02</x:v>
      </x:c>
      <x:c r="D94" s="8" t="n">
        <x:v>5</x:v>
      </x:c>
      <x:c r="E94" s="8" t="str">
        <x:v>OP-2</x:v>
      </x:c>
      <x:c r="F94" s="8" t="n">
        <x:v>2</x:v>
      </x:c>
      <x:c r="G94" s="8" t="str"/>
      <x:c r="H94" s="8" t="str"/>
      <x:c r="I94" s="8" t="str">
        <x:f>IF(H94="","OPEN",IF(NOT(ISNUMBER(G94)),"FAIL","PASS"))</x:f>
        <x:v>OPEN</x:v>
      </x:c>
    </x:row>
    <x:row r="95" ht="25" customHeight="1">
      <x:c r="B95" s="8" t="str">
        <x:v>MP-02-P05-O3-R1</x:v>
      </x:c>
      <x:c r="C95" s="8" t="str">
        <x:v>MP-02</x:v>
      </x:c>
      <x:c r="D95" s="8" t="n">
        <x:v>5</x:v>
      </x:c>
      <x:c r="E95" s="8" t="str">
        <x:v>OP-3</x:v>
      </x:c>
      <x:c r="F95" s="8" t="n">
        <x:v>1</x:v>
      </x:c>
      <x:c r="G95" s="8" t="str"/>
      <x:c r="H95" s="8" t="str"/>
      <x:c r="I95" s="8" t="str">
        <x:f>IF(H95="","OPEN",IF(NOT(ISNUMBER(G95)),"FAIL","PASS"))</x:f>
        <x:v>OPEN</x:v>
      </x:c>
    </x:row>
    <x:row r="96" ht="25" customHeight="1">
      <x:c r="B96" s="8" t="str">
        <x:v>MP-02-P05-O3-R2</x:v>
      </x:c>
      <x:c r="C96" s="8" t="str">
        <x:v>MP-02</x:v>
      </x:c>
      <x:c r="D96" s="8" t="n">
        <x:v>5</x:v>
      </x:c>
      <x:c r="E96" s="8" t="str">
        <x:v>OP-3</x:v>
      </x:c>
      <x:c r="F96" s="8" t="n">
        <x:v>2</x:v>
      </x:c>
      <x:c r="G96" s="8" t="str"/>
      <x:c r="H96" s="8" t="str"/>
      <x:c r="I96" s="8" t="str">
        <x:f>IF(H96="","OPEN",IF(NOT(ISNUMBER(G96)),"FAIL","PASS"))</x:f>
        <x:v>OPEN</x:v>
      </x:c>
    </x:row>
    <x:row r="97" ht="25" customHeight="1">
      <x:c r="B97" s="8" t="str">
        <x:v>MP-02-P06-O1-R1</x:v>
      </x:c>
      <x:c r="C97" s="8" t="str">
        <x:v>MP-02</x:v>
      </x:c>
      <x:c r="D97" s="8" t="n">
        <x:v>6</x:v>
      </x:c>
      <x:c r="E97" s="8" t="str">
        <x:v>OP-1</x:v>
      </x:c>
      <x:c r="F97" s="8" t="n">
        <x:v>1</x:v>
      </x:c>
      <x:c r="G97" s="8" t="str"/>
      <x:c r="H97" s="8" t="str"/>
      <x:c r="I97" s="8" t="str">
        <x:f>IF(H97="","OPEN",IF(NOT(ISNUMBER(G97)),"FAIL","PASS"))</x:f>
        <x:v>OPEN</x:v>
      </x:c>
    </x:row>
    <x:row r="98" ht="25" customHeight="1">
      <x:c r="B98" s="8" t="str">
        <x:v>MP-02-P06-O1-R2</x:v>
      </x:c>
      <x:c r="C98" s="8" t="str">
        <x:v>MP-02</x:v>
      </x:c>
      <x:c r="D98" s="8" t="n">
        <x:v>6</x:v>
      </x:c>
      <x:c r="E98" s="8" t="str">
        <x:v>OP-1</x:v>
      </x:c>
      <x:c r="F98" s="8" t="n">
        <x:v>2</x:v>
      </x:c>
      <x:c r="G98" s="8" t="str"/>
      <x:c r="H98" s="8" t="str"/>
      <x:c r="I98" s="8" t="str">
        <x:f>IF(H98="","OPEN",IF(NOT(ISNUMBER(G98)),"FAIL","PASS"))</x:f>
        <x:v>OPEN</x:v>
      </x:c>
    </x:row>
    <x:row r="99" ht="25" customHeight="1">
      <x:c r="B99" s="8" t="str">
        <x:v>MP-02-P06-O2-R1</x:v>
      </x:c>
      <x:c r="C99" s="8" t="str">
        <x:v>MP-02</x:v>
      </x:c>
      <x:c r="D99" s="8" t="n">
        <x:v>6</x:v>
      </x:c>
      <x:c r="E99" s="8" t="str">
        <x:v>OP-2</x:v>
      </x:c>
      <x:c r="F99" s="8" t="n">
        <x:v>1</x:v>
      </x:c>
      <x:c r="G99" s="8" t="str"/>
      <x:c r="H99" s="8" t="str"/>
      <x:c r="I99" s="8" t="str">
        <x:f>IF(H99="","OPEN",IF(NOT(ISNUMBER(G99)),"FAIL","PASS"))</x:f>
        <x:v>OPEN</x:v>
      </x:c>
    </x:row>
    <x:row r="100" ht="25" customHeight="1">
      <x:c r="B100" s="8" t="str">
        <x:v>MP-02-P06-O2-R2</x:v>
      </x:c>
      <x:c r="C100" s="8" t="str">
        <x:v>MP-02</x:v>
      </x:c>
      <x:c r="D100" s="8" t="n">
        <x:v>6</x:v>
      </x:c>
      <x:c r="E100" s="8" t="str">
        <x:v>OP-2</x:v>
      </x:c>
      <x:c r="F100" s="8" t="n">
        <x:v>2</x:v>
      </x:c>
      <x:c r="G100" s="8" t="str"/>
      <x:c r="H100" s="8" t="str"/>
      <x:c r="I100" s="8" t="str">
        <x:f>IF(H100="","OPEN",IF(NOT(ISNUMBER(G100)),"FAIL","PASS"))</x:f>
        <x:v>OPEN</x:v>
      </x:c>
    </x:row>
    <x:row r="101" ht="25" customHeight="1">
      <x:c r="B101" s="8" t="str">
        <x:v>MP-02-P06-O3-R1</x:v>
      </x:c>
      <x:c r="C101" s="8" t="str">
        <x:v>MP-02</x:v>
      </x:c>
      <x:c r="D101" s="8" t="n">
        <x:v>6</x:v>
      </x:c>
      <x:c r="E101" s="8" t="str">
        <x:v>OP-3</x:v>
      </x:c>
      <x:c r="F101" s="8" t="n">
        <x:v>1</x:v>
      </x:c>
      <x:c r="G101" s="8" t="str"/>
      <x:c r="H101" s="8" t="str"/>
      <x:c r="I101" s="8" t="str">
        <x:f>IF(H101="","OPEN",IF(NOT(ISNUMBER(G101)),"FAIL","PASS"))</x:f>
        <x:v>OPEN</x:v>
      </x:c>
    </x:row>
    <x:row r="102" ht="25" customHeight="1">
      <x:c r="B102" s="8" t="str">
        <x:v>MP-02-P06-O3-R2</x:v>
      </x:c>
      <x:c r="C102" s="8" t="str">
        <x:v>MP-02</x:v>
      </x:c>
      <x:c r="D102" s="8" t="n">
        <x:v>6</x:v>
      </x:c>
      <x:c r="E102" s="8" t="str">
        <x:v>OP-3</x:v>
      </x:c>
      <x:c r="F102" s="8" t="n">
        <x:v>2</x:v>
      </x:c>
      <x:c r="G102" s="8" t="str"/>
      <x:c r="H102" s="8" t="str"/>
      <x:c r="I102" s="8" t="str">
        <x:f>IF(H102="","OPEN",IF(NOT(ISNUMBER(G102)),"FAIL","PASS"))</x:f>
        <x:v>OPEN</x:v>
      </x:c>
    </x:row>
    <x:row r="103" ht="25" customHeight="1">
      <x:c r="B103" s="8" t="str">
        <x:v>MP-02-P07-O1-R1</x:v>
      </x:c>
      <x:c r="C103" s="8" t="str">
        <x:v>MP-02</x:v>
      </x:c>
      <x:c r="D103" s="8" t="n">
        <x:v>7</x:v>
      </x:c>
      <x:c r="E103" s="8" t="str">
        <x:v>OP-1</x:v>
      </x:c>
      <x:c r="F103" s="8" t="n">
        <x:v>1</x:v>
      </x:c>
      <x:c r="G103" s="8" t="str"/>
      <x:c r="H103" s="8" t="str"/>
      <x:c r="I103" s="8" t="str">
        <x:f>IF(H103="","OPEN",IF(NOT(ISNUMBER(G103)),"FAIL","PASS"))</x:f>
        <x:v>OPEN</x:v>
      </x:c>
    </x:row>
    <x:row r="104" ht="25" customHeight="1">
      <x:c r="B104" s="8" t="str">
        <x:v>MP-02-P07-O1-R2</x:v>
      </x:c>
      <x:c r="C104" s="8" t="str">
        <x:v>MP-02</x:v>
      </x:c>
      <x:c r="D104" s="8" t="n">
        <x:v>7</x:v>
      </x:c>
      <x:c r="E104" s="8" t="str">
        <x:v>OP-1</x:v>
      </x:c>
      <x:c r="F104" s="8" t="n">
        <x:v>2</x:v>
      </x:c>
      <x:c r="G104" s="8" t="str"/>
      <x:c r="H104" s="8" t="str"/>
      <x:c r="I104" s="8" t="str">
        <x:f>IF(H104="","OPEN",IF(NOT(ISNUMBER(G104)),"FAIL","PASS"))</x:f>
        <x:v>OPEN</x:v>
      </x:c>
    </x:row>
    <x:row r="105" ht="25" customHeight="1">
      <x:c r="B105" s="8" t="str">
        <x:v>MP-02-P07-O2-R1</x:v>
      </x:c>
      <x:c r="C105" s="8" t="str">
        <x:v>MP-02</x:v>
      </x:c>
      <x:c r="D105" s="8" t="n">
        <x:v>7</x:v>
      </x:c>
      <x:c r="E105" s="8" t="str">
        <x:v>OP-2</x:v>
      </x:c>
      <x:c r="F105" s="8" t="n">
        <x:v>1</x:v>
      </x:c>
      <x:c r="G105" s="8" t="str"/>
      <x:c r="H105" s="8" t="str"/>
      <x:c r="I105" s="8" t="str">
        <x:f>IF(H105="","OPEN",IF(NOT(ISNUMBER(G105)),"FAIL","PASS"))</x:f>
        <x:v>OPEN</x:v>
      </x:c>
    </x:row>
    <x:row r="106" ht="25" customHeight="1">
      <x:c r="B106" s="8" t="str">
        <x:v>MP-02-P07-O2-R2</x:v>
      </x:c>
      <x:c r="C106" s="8" t="str">
        <x:v>MP-02</x:v>
      </x:c>
      <x:c r="D106" s="8" t="n">
        <x:v>7</x:v>
      </x:c>
      <x:c r="E106" s="8" t="str">
        <x:v>OP-2</x:v>
      </x:c>
      <x:c r="F106" s="8" t="n">
        <x:v>2</x:v>
      </x:c>
      <x:c r="G106" s="8" t="str"/>
      <x:c r="H106" s="8" t="str"/>
      <x:c r="I106" s="8" t="str">
        <x:f>IF(H106="","OPEN",IF(NOT(ISNUMBER(G106)),"FAIL","PASS"))</x:f>
        <x:v>OPEN</x:v>
      </x:c>
    </x:row>
    <x:row r="107" ht="25" customHeight="1">
      <x:c r="B107" s="8" t="str">
        <x:v>MP-02-P07-O3-R1</x:v>
      </x:c>
      <x:c r="C107" s="8" t="str">
        <x:v>MP-02</x:v>
      </x:c>
      <x:c r="D107" s="8" t="n">
        <x:v>7</x:v>
      </x:c>
      <x:c r="E107" s="8" t="str">
        <x:v>OP-3</x:v>
      </x:c>
      <x:c r="F107" s="8" t="n">
        <x:v>1</x:v>
      </x:c>
      <x:c r="G107" s="8" t="str"/>
      <x:c r="H107" s="8" t="str"/>
      <x:c r="I107" s="8" t="str">
        <x:f>IF(H107="","OPEN",IF(NOT(ISNUMBER(G107)),"FAIL","PASS"))</x:f>
        <x:v>OPEN</x:v>
      </x:c>
    </x:row>
    <x:row r="108" ht="25" customHeight="1">
      <x:c r="B108" s="8" t="str">
        <x:v>MP-02-P07-O3-R2</x:v>
      </x:c>
      <x:c r="C108" s="8" t="str">
        <x:v>MP-02</x:v>
      </x:c>
      <x:c r="D108" s="8" t="n">
        <x:v>7</x:v>
      </x:c>
      <x:c r="E108" s="8" t="str">
        <x:v>OP-3</x:v>
      </x:c>
      <x:c r="F108" s="8" t="n">
        <x:v>2</x:v>
      </x:c>
      <x:c r="G108" s="8" t="str"/>
      <x:c r="H108" s="8" t="str"/>
      <x:c r="I108" s="8" t="str">
        <x:f>IF(H108="","OPEN",IF(NOT(ISNUMBER(G108)),"FAIL","PASS"))</x:f>
        <x:v>OPEN</x:v>
      </x:c>
    </x:row>
    <x:row r="109" ht="25" customHeight="1">
      <x:c r="B109" s="8" t="str">
        <x:v>MP-02-P08-O1-R1</x:v>
      </x:c>
      <x:c r="C109" s="8" t="str">
        <x:v>MP-02</x:v>
      </x:c>
      <x:c r="D109" s="8" t="n">
        <x:v>8</x:v>
      </x:c>
      <x:c r="E109" s="8" t="str">
        <x:v>OP-1</x:v>
      </x:c>
      <x:c r="F109" s="8" t="n">
        <x:v>1</x:v>
      </x:c>
      <x:c r="G109" s="8" t="str"/>
      <x:c r="H109" s="8" t="str"/>
      <x:c r="I109" s="8" t="str">
        <x:f>IF(H109="","OPEN",IF(NOT(ISNUMBER(G109)),"FAIL","PASS"))</x:f>
        <x:v>OPEN</x:v>
      </x:c>
    </x:row>
    <x:row r="110" ht="25" customHeight="1">
      <x:c r="B110" s="8" t="str">
        <x:v>MP-02-P08-O1-R2</x:v>
      </x:c>
      <x:c r="C110" s="8" t="str">
        <x:v>MP-02</x:v>
      </x:c>
      <x:c r="D110" s="8" t="n">
        <x:v>8</x:v>
      </x:c>
      <x:c r="E110" s="8" t="str">
        <x:v>OP-1</x:v>
      </x:c>
      <x:c r="F110" s="8" t="n">
        <x:v>2</x:v>
      </x:c>
      <x:c r="G110" s="8" t="str"/>
      <x:c r="H110" s="8" t="str"/>
      <x:c r="I110" s="8" t="str">
        <x:f>IF(H110="","OPEN",IF(NOT(ISNUMBER(G110)),"FAIL","PASS"))</x:f>
        <x:v>OPEN</x:v>
      </x:c>
    </x:row>
    <x:row r="111" ht="25" customHeight="1">
      <x:c r="B111" s="8" t="str">
        <x:v>MP-02-P08-O2-R1</x:v>
      </x:c>
      <x:c r="C111" s="8" t="str">
        <x:v>MP-02</x:v>
      </x:c>
      <x:c r="D111" s="8" t="n">
        <x:v>8</x:v>
      </x:c>
      <x:c r="E111" s="8" t="str">
        <x:v>OP-2</x:v>
      </x:c>
      <x:c r="F111" s="8" t="n">
        <x:v>1</x:v>
      </x:c>
      <x:c r="G111" s="8" t="str"/>
      <x:c r="H111" s="8" t="str"/>
      <x:c r="I111" s="8" t="str">
        <x:f>IF(H111="","OPEN",IF(NOT(ISNUMBER(G111)),"FAIL","PASS"))</x:f>
        <x:v>OPEN</x:v>
      </x:c>
    </x:row>
    <x:row r="112" ht="25" customHeight="1">
      <x:c r="B112" s="8" t="str">
        <x:v>MP-02-P08-O2-R2</x:v>
      </x:c>
      <x:c r="C112" s="8" t="str">
        <x:v>MP-02</x:v>
      </x:c>
      <x:c r="D112" s="8" t="n">
        <x:v>8</x:v>
      </x:c>
      <x:c r="E112" s="8" t="str">
        <x:v>OP-2</x:v>
      </x:c>
      <x:c r="F112" s="8" t="n">
        <x:v>2</x:v>
      </x:c>
      <x:c r="G112" s="8" t="str"/>
      <x:c r="H112" s="8" t="str"/>
      <x:c r="I112" s="8" t="str">
        <x:f>IF(H112="","OPEN",IF(NOT(ISNUMBER(G112)),"FAIL","PASS"))</x:f>
        <x:v>OPEN</x:v>
      </x:c>
    </x:row>
    <x:row r="113" ht="25" customHeight="1">
      <x:c r="B113" s="8" t="str">
        <x:v>MP-02-P08-O3-R1</x:v>
      </x:c>
      <x:c r="C113" s="8" t="str">
        <x:v>MP-02</x:v>
      </x:c>
      <x:c r="D113" s="8" t="n">
        <x:v>8</x:v>
      </x:c>
      <x:c r="E113" s="8" t="str">
        <x:v>OP-3</x:v>
      </x:c>
      <x:c r="F113" s="8" t="n">
        <x:v>1</x:v>
      </x:c>
      <x:c r="G113" s="8" t="str"/>
      <x:c r="H113" s="8" t="str"/>
      <x:c r="I113" s="8" t="str">
        <x:f>IF(H113="","OPEN",IF(NOT(ISNUMBER(G113)),"FAIL","PASS"))</x:f>
        <x:v>OPEN</x:v>
      </x:c>
    </x:row>
    <x:row r="114" ht="25" customHeight="1">
      <x:c r="B114" s="8" t="str">
        <x:v>MP-02-P08-O3-R2</x:v>
      </x:c>
      <x:c r="C114" s="8" t="str">
        <x:v>MP-02</x:v>
      </x:c>
      <x:c r="D114" s="8" t="n">
        <x:v>8</x:v>
      </x:c>
      <x:c r="E114" s="8" t="str">
        <x:v>OP-3</x:v>
      </x:c>
      <x:c r="F114" s="8" t="n">
        <x:v>2</x:v>
      </x:c>
      <x:c r="G114" s="8" t="str"/>
      <x:c r="H114" s="8" t="str"/>
      <x:c r="I114" s="8" t="str">
        <x:f>IF(H114="","OPEN",IF(NOT(ISNUMBER(G114)),"FAIL","PASS"))</x:f>
        <x:v>OPEN</x:v>
      </x:c>
    </x:row>
    <x:row r="115" ht="25" customHeight="1">
      <x:c r="B115" s="8" t="str">
        <x:v>MP-02-P09-O1-R1</x:v>
      </x:c>
      <x:c r="C115" s="8" t="str">
        <x:v>MP-02</x:v>
      </x:c>
      <x:c r="D115" s="8" t="n">
        <x:v>9</x:v>
      </x:c>
      <x:c r="E115" s="8" t="str">
        <x:v>OP-1</x:v>
      </x:c>
      <x:c r="F115" s="8" t="n">
        <x:v>1</x:v>
      </x:c>
      <x:c r="G115" s="8" t="str"/>
      <x:c r="H115" s="8" t="str"/>
      <x:c r="I115" s="8" t="str">
        <x:f>IF(H115="","OPEN",IF(NOT(ISNUMBER(G115)),"FAIL","PASS"))</x:f>
        <x:v>OPEN</x:v>
      </x:c>
    </x:row>
    <x:row r="116" ht="25" customHeight="1">
      <x:c r="B116" s="8" t="str">
        <x:v>MP-02-P09-O1-R2</x:v>
      </x:c>
      <x:c r="C116" s="8" t="str">
        <x:v>MP-02</x:v>
      </x:c>
      <x:c r="D116" s="8" t="n">
        <x:v>9</x:v>
      </x:c>
      <x:c r="E116" s="8" t="str">
        <x:v>OP-1</x:v>
      </x:c>
      <x:c r="F116" s="8" t="n">
        <x:v>2</x:v>
      </x:c>
      <x:c r="G116" s="8" t="str"/>
      <x:c r="H116" s="8" t="str"/>
      <x:c r="I116" s="8" t="str">
        <x:f>IF(H116="","OPEN",IF(NOT(ISNUMBER(G116)),"FAIL","PASS"))</x:f>
        <x:v>OPEN</x:v>
      </x:c>
    </x:row>
    <x:row r="117" ht="25" customHeight="1">
      <x:c r="B117" s="8" t="str">
        <x:v>MP-02-P09-O2-R1</x:v>
      </x:c>
      <x:c r="C117" s="8" t="str">
        <x:v>MP-02</x:v>
      </x:c>
      <x:c r="D117" s="8" t="n">
        <x:v>9</x:v>
      </x:c>
      <x:c r="E117" s="8" t="str">
        <x:v>OP-2</x:v>
      </x:c>
      <x:c r="F117" s="8" t="n">
        <x:v>1</x:v>
      </x:c>
      <x:c r="G117" s="8" t="str"/>
      <x:c r="H117" s="8" t="str"/>
      <x:c r="I117" s="8" t="str">
        <x:f>IF(H117="","OPEN",IF(NOT(ISNUMBER(G117)),"FAIL","PASS"))</x:f>
        <x:v>OPEN</x:v>
      </x:c>
    </x:row>
    <x:row r="118" ht="25" customHeight="1">
      <x:c r="B118" s="8" t="str">
        <x:v>MP-02-P09-O2-R2</x:v>
      </x:c>
      <x:c r="C118" s="8" t="str">
        <x:v>MP-02</x:v>
      </x:c>
      <x:c r="D118" s="8" t="n">
        <x:v>9</x:v>
      </x:c>
      <x:c r="E118" s="8" t="str">
        <x:v>OP-2</x:v>
      </x:c>
      <x:c r="F118" s="8" t="n">
        <x:v>2</x:v>
      </x:c>
      <x:c r="G118" s="8" t="str"/>
      <x:c r="H118" s="8" t="str"/>
      <x:c r="I118" s="8" t="str">
        <x:f>IF(H118="","OPEN",IF(NOT(ISNUMBER(G118)),"FAIL","PASS"))</x:f>
        <x:v>OPEN</x:v>
      </x:c>
    </x:row>
    <x:row r="119" ht="25" customHeight="1">
      <x:c r="B119" s="8" t="str">
        <x:v>MP-02-P09-O3-R1</x:v>
      </x:c>
      <x:c r="C119" s="8" t="str">
        <x:v>MP-02</x:v>
      </x:c>
      <x:c r="D119" s="8" t="n">
        <x:v>9</x:v>
      </x:c>
      <x:c r="E119" s="8" t="str">
        <x:v>OP-3</x:v>
      </x:c>
      <x:c r="F119" s="8" t="n">
        <x:v>1</x:v>
      </x:c>
      <x:c r="G119" s="8" t="str"/>
      <x:c r="H119" s="8" t="str"/>
      <x:c r="I119" s="8" t="str">
        <x:f>IF(H119="","OPEN",IF(NOT(ISNUMBER(G119)),"FAIL","PASS"))</x:f>
        <x:v>OPEN</x:v>
      </x:c>
    </x:row>
    <x:row r="120" ht="25" customHeight="1">
      <x:c r="B120" s="8" t="str">
        <x:v>MP-02-P09-O3-R2</x:v>
      </x:c>
      <x:c r="C120" s="8" t="str">
        <x:v>MP-02</x:v>
      </x:c>
      <x:c r="D120" s="8" t="n">
        <x:v>9</x:v>
      </x:c>
      <x:c r="E120" s="8" t="str">
        <x:v>OP-3</x:v>
      </x:c>
      <x:c r="F120" s="8" t="n">
        <x:v>2</x:v>
      </x:c>
      <x:c r="G120" s="8" t="str"/>
      <x:c r="H120" s="8" t="str"/>
      <x:c r="I120" s="8" t="str">
        <x:f>IF(H120="","OPEN",IF(NOT(ISNUMBER(G120)),"FAIL","PASS"))</x:f>
        <x:v>OPEN</x:v>
      </x:c>
    </x:row>
    <x:row r="121" ht="25" customHeight="1">
      <x:c r="B121" s="8" t="str">
        <x:v>MP-02-P10-O1-R1</x:v>
      </x:c>
      <x:c r="C121" s="8" t="str">
        <x:v>MP-02</x:v>
      </x:c>
      <x:c r="D121" s="8" t="n">
        <x:v>10</x:v>
      </x:c>
      <x:c r="E121" s="8" t="str">
        <x:v>OP-1</x:v>
      </x:c>
      <x:c r="F121" s="8" t="n">
        <x:v>1</x:v>
      </x:c>
      <x:c r="G121" s="8" t="str"/>
      <x:c r="H121" s="8" t="str"/>
      <x:c r="I121" s="8" t="str">
        <x:f>IF(H121="","OPEN",IF(NOT(ISNUMBER(G121)),"FAIL","PASS"))</x:f>
        <x:v>OPEN</x:v>
      </x:c>
    </x:row>
    <x:row r="122" ht="25" customHeight="1">
      <x:c r="B122" s="8" t="str">
        <x:v>MP-02-P10-O1-R2</x:v>
      </x:c>
      <x:c r="C122" s="8" t="str">
        <x:v>MP-02</x:v>
      </x:c>
      <x:c r="D122" s="8" t="n">
        <x:v>10</x:v>
      </x:c>
      <x:c r="E122" s="8" t="str">
        <x:v>OP-1</x:v>
      </x:c>
      <x:c r="F122" s="8" t="n">
        <x:v>2</x:v>
      </x:c>
      <x:c r="G122" s="8" t="str"/>
      <x:c r="H122" s="8" t="str"/>
      <x:c r="I122" s="8" t="str">
        <x:f>IF(H122="","OPEN",IF(NOT(ISNUMBER(G122)),"FAIL","PASS"))</x:f>
        <x:v>OPEN</x:v>
      </x:c>
    </x:row>
    <x:row r="123" ht="25" customHeight="1">
      <x:c r="B123" s="8" t="str">
        <x:v>MP-02-P10-O2-R1</x:v>
      </x:c>
      <x:c r="C123" s="8" t="str">
        <x:v>MP-02</x:v>
      </x:c>
      <x:c r="D123" s="8" t="n">
        <x:v>10</x:v>
      </x:c>
      <x:c r="E123" s="8" t="str">
        <x:v>OP-2</x:v>
      </x:c>
      <x:c r="F123" s="8" t="n">
        <x:v>1</x:v>
      </x:c>
      <x:c r="G123" s="8" t="str"/>
      <x:c r="H123" s="8" t="str"/>
      <x:c r="I123" s="8" t="str">
        <x:f>IF(H123="","OPEN",IF(NOT(ISNUMBER(G123)),"FAIL","PASS"))</x:f>
        <x:v>OPEN</x:v>
      </x:c>
    </x:row>
    <x:row r="124" ht="25" customHeight="1">
      <x:c r="B124" s="8" t="str">
        <x:v>MP-02-P10-O2-R2</x:v>
      </x:c>
      <x:c r="C124" s="8" t="str">
        <x:v>MP-02</x:v>
      </x:c>
      <x:c r="D124" s="8" t="n">
        <x:v>10</x:v>
      </x:c>
      <x:c r="E124" s="8" t="str">
        <x:v>OP-2</x:v>
      </x:c>
      <x:c r="F124" s="8" t="n">
        <x:v>2</x:v>
      </x:c>
      <x:c r="G124" s="8" t="str"/>
      <x:c r="H124" s="8" t="str"/>
      <x:c r="I124" s="8" t="str">
        <x:f>IF(H124="","OPEN",IF(NOT(ISNUMBER(G124)),"FAIL","PASS"))</x:f>
        <x:v>OPEN</x:v>
      </x:c>
    </x:row>
    <x:row r="125" ht="25" customHeight="1">
      <x:c r="B125" s="8" t="str">
        <x:v>MP-02-P10-O3-R1</x:v>
      </x:c>
      <x:c r="C125" s="8" t="str">
        <x:v>MP-02</x:v>
      </x:c>
      <x:c r="D125" s="8" t="n">
        <x:v>10</x:v>
      </x:c>
      <x:c r="E125" s="8" t="str">
        <x:v>OP-3</x:v>
      </x:c>
      <x:c r="F125" s="8" t="n">
        <x:v>1</x:v>
      </x:c>
      <x:c r="G125" s="8" t="str"/>
      <x:c r="H125" s="8" t="str"/>
      <x:c r="I125" s="8" t="str">
        <x:f>IF(H125="","OPEN",IF(NOT(ISNUMBER(G125)),"FAIL","PASS"))</x:f>
        <x:v>OPEN</x:v>
      </x:c>
    </x:row>
    <x:row r="126" ht="25" customHeight="1">
      <x:c r="B126" s="8" t="str">
        <x:v>MP-02-P10-O3-R2</x:v>
      </x:c>
      <x:c r="C126" s="8" t="str">
        <x:v>MP-02</x:v>
      </x:c>
      <x:c r="D126" s="8" t="n">
        <x:v>10</x:v>
      </x:c>
      <x:c r="E126" s="8" t="str">
        <x:v>OP-3</x:v>
      </x:c>
      <x:c r="F126" s="8" t="n">
        <x:v>2</x:v>
      </x:c>
      <x:c r="G126" s="8" t="str"/>
      <x:c r="H126" s="8" t="str"/>
      <x:c r="I126" s="8" t="str">
        <x:f>IF(H126="","OPEN",IF(NOT(ISNUMBER(G126)),"FAIL","PASS"))</x:f>
        <x:v>OPEN</x:v>
      </x:c>
    </x:row>
    <x:row r="127" ht="25" customHeight="1">
      <x:c r="B127" s="8" t="str">
        <x:v>MP-03-P01-O1-R1</x:v>
      </x:c>
      <x:c r="C127" s="8" t="str">
        <x:v>MP-03</x:v>
      </x:c>
      <x:c r="D127" s="8" t="n">
        <x:v>1</x:v>
      </x:c>
      <x:c r="E127" s="8" t="str">
        <x:v>OP-1</x:v>
      </x:c>
      <x:c r="F127" s="8" t="n">
        <x:v>1</x:v>
      </x:c>
      <x:c r="G127" s="8" t="str"/>
      <x:c r="H127" s="8" t="str"/>
      <x:c r="I127" s="8" t="str">
        <x:f>IF(H127="","OPEN",IF(NOT(ISNUMBER(G127)),"FAIL","PASS"))</x:f>
        <x:v>OPEN</x:v>
      </x:c>
    </x:row>
    <x:row r="128" ht="25" customHeight="1">
      <x:c r="B128" s="8" t="str">
        <x:v>MP-03-P01-O1-R2</x:v>
      </x:c>
      <x:c r="C128" s="8" t="str">
        <x:v>MP-03</x:v>
      </x:c>
      <x:c r="D128" s="8" t="n">
        <x:v>1</x:v>
      </x:c>
      <x:c r="E128" s="8" t="str">
        <x:v>OP-1</x:v>
      </x:c>
      <x:c r="F128" s="8" t="n">
        <x:v>2</x:v>
      </x:c>
      <x:c r="G128" s="8" t="str"/>
      <x:c r="H128" s="8" t="str"/>
      <x:c r="I128" s="8" t="str">
        <x:f>IF(H128="","OPEN",IF(NOT(ISNUMBER(G128)),"FAIL","PASS"))</x:f>
        <x:v>OPEN</x:v>
      </x:c>
    </x:row>
    <x:row r="129" ht="25" customHeight="1">
      <x:c r="B129" s="8" t="str">
        <x:v>MP-03-P01-O2-R1</x:v>
      </x:c>
      <x:c r="C129" s="8" t="str">
        <x:v>MP-03</x:v>
      </x:c>
      <x:c r="D129" s="8" t="n">
        <x:v>1</x:v>
      </x:c>
      <x:c r="E129" s="8" t="str">
        <x:v>OP-2</x:v>
      </x:c>
      <x:c r="F129" s="8" t="n">
        <x:v>1</x:v>
      </x:c>
      <x:c r="G129" s="8" t="str"/>
      <x:c r="H129" s="8" t="str"/>
      <x:c r="I129" s="8" t="str">
        <x:f>IF(H129="","OPEN",IF(NOT(ISNUMBER(G129)),"FAIL","PASS"))</x:f>
        <x:v>OPEN</x:v>
      </x:c>
    </x:row>
    <x:row r="130" ht="25" customHeight="1">
      <x:c r="B130" s="8" t="str">
        <x:v>MP-03-P01-O2-R2</x:v>
      </x:c>
      <x:c r="C130" s="8" t="str">
        <x:v>MP-03</x:v>
      </x:c>
      <x:c r="D130" s="8" t="n">
        <x:v>1</x:v>
      </x:c>
      <x:c r="E130" s="8" t="str">
        <x:v>OP-2</x:v>
      </x:c>
      <x:c r="F130" s="8" t="n">
        <x:v>2</x:v>
      </x:c>
      <x:c r="G130" s="8" t="str"/>
      <x:c r="H130" s="8" t="str"/>
      <x:c r="I130" s="8" t="str">
        <x:f>IF(H130="","OPEN",IF(NOT(ISNUMBER(G130)),"FAIL","PASS"))</x:f>
        <x:v>OPEN</x:v>
      </x:c>
    </x:row>
    <x:row r="131" ht="25" customHeight="1">
      <x:c r="B131" s="8" t="str">
        <x:v>MP-03-P01-O3-R1</x:v>
      </x:c>
      <x:c r="C131" s="8" t="str">
        <x:v>MP-03</x:v>
      </x:c>
      <x:c r="D131" s="8" t="n">
        <x:v>1</x:v>
      </x:c>
      <x:c r="E131" s="8" t="str">
        <x:v>OP-3</x:v>
      </x:c>
      <x:c r="F131" s="8" t="n">
        <x:v>1</x:v>
      </x:c>
      <x:c r="G131" s="8" t="str"/>
      <x:c r="H131" s="8" t="str"/>
      <x:c r="I131" s="8" t="str">
        <x:f>IF(H131="","OPEN",IF(NOT(ISNUMBER(G131)),"FAIL","PASS"))</x:f>
        <x:v>OPEN</x:v>
      </x:c>
    </x:row>
    <x:row r="132" ht="25" customHeight="1">
      <x:c r="B132" s="8" t="str">
        <x:v>MP-03-P01-O3-R2</x:v>
      </x:c>
      <x:c r="C132" s="8" t="str">
        <x:v>MP-03</x:v>
      </x:c>
      <x:c r="D132" s="8" t="n">
        <x:v>1</x:v>
      </x:c>
      <x:c r="E132" s="8" t="str">
        <x:v>OP-3</x:v>
      </x:c>
      <x:c r="F132" s="8" t="n">
        <x:v>2</x:v>
      </x:c>
      <x:c r="G132" s="8" t="str"/>
      <x:c r="H132" s="8" t="str"/>
      <x:c r="I132" s="8" t="str">
        <x:f>IF(H132="","OPEN",IF(NOT(ISNUMBER(G132)),"FAIL","PASS"))</x:f>
        <x:v>OPEN</x:v>
      </x:c>
    </x:row>
    <x:row r="133" ht="25" customHeight="1">
      <x:c r="B133" s="8" t="str">
        <x:v>MP-03-P02-O1-R1</x:v>
      </x:c>
      <x:c r="C133" s="8" t="str">
        <x:v>MP-03</x:v>
      </x:c>
      <x:c r="D133" s="8" t="n">
        <x:v>2</x:v>
      </x:c>
      <x:c r="E133" s="8" t="str">
        <x:v>OP-1</x:v>
      </x:c>
      <x:c r="F133" s="8" t="n">
        <x:v>1</x:v>
      </x:c>
      <x:c r="G133" s="8" t="str"/>
      <x:c r="H133" s="8" t="str"/>
      <x:c r="I133" s="8" t="str">
        <x:f>IF(H133="","OPEN",IF(NOT(ISNUMBER(G133)),"FAIL","PASS"))</x:f>
        <x:v>OPEN</x:v>
      </x:c>
    </x:row>
    <x:row r="134" ht="25" customHeight="1">
      <x:c r="B134" s="8" t="str">
        <x:v>MP-03-P02-O1-R2</x:v>
      </x:c>
      <x:c r="C134" s="8" t="str">
        <x:v>MP-03</x:v>
      </x:c>
      <x:c r="D134" s="8" t="n">
        <x:v>2</x:v>
      </x:c>
      <x:c r="E134" s="8" t="str">
        <x:v>OP-1</x:v>
      </x:c>
      <x:c r="F134" s="8" t="n">
        <x:v>2</x:v>
      </x:c>
      <x:c r="G134" s="8" t="str"/>
      <x:c r="H134" s="8" t="str"/>
      <x:c r="I134" s="8" t="str">
        <x:f>IF(H134="","OPEN",IF(NOT(ISNUMBER(G134)),"FAIL","PASS"))</x:f>
        <x:v>OPEN</x:v>
      </x:c>
    </x:row>
    <x:row r="135" ht="25" customHeight="1">
      <x:c r="B135" s="8" t="str">
        <x:v>MP-03-P02-O2-R1</x:v>
      </x:c>
      <x:c r="C135" s="8" t="str">
        <x:v>MP-03</x:v>
      </x:c>
      <x:c r="D135" s="8" t="n">
        <x:v>2</x:v>
      </x:c>
      <x:c r="E135" s="8" t="str">
        <x:v>OP-2</x:v>
      </x:c>
      <x:c r="F135" s="8" t="n">
        <x:v>1</x:v>
      </x:c>
      <x:c r="G135" s="8" t="str"/>
      <x:c r="H135" s="8" t="str"/>
      <x:c r="I135" s="8" t="str">
        <x:f>IF(H135="","OPEN",IF(NOT(ISNUMBER(G135)),"FAIL","PASS"))</x:f>
        <x:v>OPEN</x:v>
      </x:c>
    </x:row>
    <x:row r="136" ht="25" customHeight="1">
      <x:c r="B136" s="8" t="str">
        <x:v>MP-03-P02-O2-R2</x:v>
      </x:c>
      <x:c r="C136" s="8" t="str">
        <x:v>MP-03</x:v>
      </x:c>
      <x:c r="D136" s="8" t="n">
        <x:v>2</x:v>
      </x:c>
      <x:c r="E136" s="8" t="str">
        <x:v>OP-2</x:v>
      </x:c>
      <x:c r="F136" s="8" t="n">
        <x:v>2</x:v>
      </x:c>
      <x:c r="G136" s="8" t="str"/>
      <x:c r="H136" s="8" t="str"/>
      <x:c r="I136" s="8" t="str">
        <x:f>IF(H136="","OPEN",IF(NOT(ISNUMBER(G136)),"FAIL","PASS"))</x:f>
        <x:v>OPEN</x:v>
      </x:c>
    </x:row>
    <x:row r="137" ht="25" customHeight="1">
      <x:c r="B137" s="8" t="str">
        <x:v>MP-03-P02-O3-R1</x:v>
      </x:c>
      <x:c r="C137" s="8" t="str">
        <x:v>MP-03</x:v>
      </x:c>
      <x:c r="D137" s="8" t="n">
        <x:v>2</x:v>
      </x:c>
      <x:c r="E137" s="8" t="str">
        <x:v>OP-3</x:v>
      </x:c>
      <x:c r="F137" s="8" t="n">
        <x:v>1</x:v>
      </x:c>
      <x:c r="G137" s="8" t="str"/>
      <x:c r="H137" s="8" t="str"/>
      <x:c r="I137" s="8" t="str">
        <x:f>IF(H137="","OPEN",IF(NOT(ISNUMBER(G137)),"FAIL","PASS"))</x:f>
        <x:v>OPEN</x:v>
      </x:c>
    </x:row>
    <x:row r="138" ht="25" customHeight="1">
      <x:c r="B138" s="8" t="str">
        <x:v>MP-03-P02-O3-R2</x:v>
      </x:c>
      <x:c r="C138" s="8" t="str">
        <x:v>MP-03</x:v>
      </x:c>
      <x:c r="D138" s="8" t="n">
        <x:v>2</x:v>
      </x:c>
      <x:c r="E138" s="8" t="str">
        <x:v>OP-3</x:v>
      </x:c>
      <x:c r="F138" s="8" t="n">
        <x:v>2</x:v>
      </x:c>
      <x:c r="G138" s="8" t="str"/>
      <x:c r="H138" s="8" t="str"/>
      <x:c r="I138" s="8" t="str">
        <x:f>IF(H138="","OPEN",IF(NOT(ISNUMBER(G138)),"FAIL","PASS"))</x:f>
        <x:v>OPEN</x:v>
      </x:c>
    </x:row>
    <x:row r="139" ht="25" customHeight="1">
      <x:c r="B139" s="8" t="str">
        <x:v>MP-03-P03-O1-R1</x:v>
      </x:c>
      <x:c r="C139" s="8" t="str">
        <x:v>MP-03</x:v>
      </x:c>
      <x:c r="D139" s="8" t="n">
        <x:v>3</x:v>
      </x:c>
      <x:c r="E139" s="8" t="str">
        <x:v>OP-1</x:v>
      </x:c>
      <x:c r="F139" s="8" t="n">
        <x:v>1</x:v>
      </x:c>
      <x:c r="G139" s="8" t="str"/>
      <x:c r="H139" s="8" t="str"/>
      <x:c r="I139" s="8" t="str">
        <x:f>IF(H139="","OPEN",IF(NOT(ISNUMBER(G139)),"FAIL","PASS"))</x:f>
        <x:v>OPEN</x:v>
      </x:c>
    </x:row>
    <x:row r="140" ht="25" customHeight="1">
      <x:c r="B140" s="8" t="str">
        <x:v>MP-03-P03-O1-R2</x:v>
      </x:c>
      <x:c r="C140" s="8" t="str">
        <x:v>MP-03</x:v>
      </x:c>
      <x:c r="D140" s="8" t="n">
        <x:v>3</x:v>
      </x:c>
      <x:c r="E140" s="8" t="str">
        <x:v>OP-1</x:v>
      </x:c>
      <x:c r="F140" s="8" t="n">
        <x:v>2</x:v>
      </x:c>
      <x:c r="G140" s="8" t="str"/>
      <x:c r="H140" s="8" t="str"/>
      <x:c r="I140" s="8" t="str">
        <x:f>IF(H140="","OPEN",IF(NOT(ISNUMBER(G140)),"FAIL","PASS"))</x:f>
        <x:v>OPEN</x:v>
      </x:c>
    </x:row>
    <x:row r="141" ht="25" customHeight="1">
      <x:c r="B141" s="8" t="str">
        <x:v>MP-03-P03-O2-R1</x:v>
      </x:c>
      <x:c r="C141" s="8" t="str">
        <x:v>MP-03</x:v>
      </x:c>
      <x:c r="D141" s="8" t="n">
        <x:v>3</x:v>
      </x:c>
      <x:c r="E141" s="8" t="str">
        <x:v>OP-2</x:v>
      </x:c>
      <x:c r="F141" s="8" t="n">
        <x:v>1</x:v>
      </x:c>
      <x:c r="G141" s="8" t="str"/>
      <x:c r="H141" s="8" t="str"/>
      <x:c r="I141" s="8" t="str">
        <x:f>IF(H141="","OPEN",IF(NOT(ISNUMBER(G141)),"FAIL","PASS"))</x:f>
        <x:v>OPEN</x:v>
      </x:c>
    </x:row>
    <x:row r="142" ht="25" customHeight="1">
      <x:c r="B142" s="8" t="str">
        <x:v>MP-03-P03-O2-R2</x:v>
      </x:c>
      <x:c r="C142" s="8" t="str">
        <x:v>MP-03</x:v>
      </x:c>
      <x:c r="D142" s="8" t="n">
        <x:v>3</x:v>
      </x:c>
      <x:c r="E142" s="8" t="str">
        <x:v>OP-2</x:v>
      </x:c>
      <x:c r="F142" s="8" t="n">
        <x:v>2</x:v>
      </x:c>
      <x:c r="G142" s="8" t="str"/>
      <x:c r="H142" s="8" t="str"/>
      <x:c r="I142" s="8" t="str">
        <x:f>IF(H142="","OPEN",IF(NOT(ISNUMBER(G142)),"FAIL","PASS"))</x:f>
        <x:v>OPEN</x:v>
      </x:c>
    </x:row>
    <x:row r="143" ht="25" customHeight="1">
      <x:c r="B143" s="8" t="str">
        <x:v>MP-03-P03-O3-R1</x:v>
      </x:c>
      <x:c r="C143" s="8" t="str">
        <x:v>MP-03</x:v>
      </x:c>
      <x:c r="D143" s="8" t="n">
        <x:v>3</x:v>
      </x:c>
      <x:c r="E143" s="8" t="str">
        <x:v>OP-3</x:v>
      </x:c>
      <x:c r="F143" s="8" t="n">
        <x:v>1</x:v>
      </x:c>
      <x:c r="G143" s="8" t="str"/>
      <x:c r="H143" s="8" t="str"/>
      <x:c r="I143" s="8" t="str">
        <x:f>IF(H143="","OPEN",IF(NOT(ISNUMBER(G143)),"FAIL","PASS"))</x:f>
        <x:v>OPEN</x:v>
      </x:c>
    </x:row>
    <x:row r="144" ht="25" customHeight="1">
      <x:c r="B144" s="8" t="str">
        <x:v>MP-03-P03-O3-R2</x:v>
      </x:c>
      <x:c r="C144" s="8" t="str">
        <x:v>MP-03</x:v>
      </x:c>
      <x:c r="D144" s="8" t="n">
        <x:v>3</x:v>
      </x:c>
      <x:c r="E144" s="8" t="str">
        <x:v>OP-3</x:v>
      </x:c>
      <x:c r="F144" s="8" t="n">
        <x:v>2</x:v>
      </x:c>
      <x:c r="G144" s="8" t="str"/>
      <x:c r="H144" s="8" t="str"/>
      <x:c r="I144" s="8" t="str">
        <x:f>IF(H144="","OPEN",IF(NOT(ISNUMBER(G144)),"FAIL","PASS"))</x:f>
        <x:v>OPEN</x:v>
      </x:c>
    </x:row>
    <x:row r="145" ht="25" customHeight="1">
      <x:c r="B145" s="8" t="str">
        <x:v>MP-03-P04-O1-R1</x:v>
      </x:c>
      <x:c r="C145" s="8" t="str">
        <x:v>MP-03</x:v>
      </x:c>
      <x:c r="D145" s="8" t="n">
        <x:v>4</x:v>
      </x:c>
      <x:c r="E145" s="8" t="str">
        <x:v>OP-1</x:v>
      </x:c>
      <x:c r="F145" s="8" t="n">
        <x:v>1</x:v>
      </x:c>
      <x:c r="G145" s="8" t="str"/>
      <x:c r="H145" s="8" t="str"/>
      <x:c r="I145" s="8" t="str">
        <x:f>IF(H145="","OPEN",IF(NOT(ISNUMBER(G145)),"FAIL","PASS"))</x:f>
        <x:v>OPEN</x:v>
      </x:c>
    </x:row>
    <x:row r="146" ht="25" customHeight="1">
      <x:c r="B146" s="8" t="str">
        <x:v>MP-03-P04-O1-R2</x:v>
      </x:c>
      <x:c r="C146" s="8" t="str">
        <x:v>MP-03</x:v>
      </x:c>
      <x:c r="D146" s="8" t="n">
        <x:v>4</x:v>
      </x:c>
      <x:c r="E146" s="8" t="str">
        <x:v>OP-1</x:v>
      </x:c>
      <x:c r="F146" s="8" t="n">
        <x:v>2</x:v>
      </x:c>
      <x:c r="G146" s="8" t="str"/>
      <x:c r="H146" s="8" t="str"/>
      <x:c r="I146" s="8" t="str">
        <x:f>IF(H146="","OPEN",IF(NOT(ISNUMBER(G146)),"FAIL","PASS"))</x:f>
        <x:v>OPEN</x:v>
      </x:c>
    </x:row>
    <x:row r="147" ht="25" customHeight="1">
      <x:c r="B147" s="8" t="str">
        <x:v>MP-03-P04-O2-R1</x:v>
      </x:c>
      <x:c r="C147" s="8" t="str">
        <x:v>MP-03</x:v>
      </x:c>
      <x:c r="D147" s="8" t="n">
        <x:v>4</x:v>
      </x:c>
      <x:c r="E147" s="8" t="str">
        <x:v>OP-2</x:v>
      </x:c>
      <x:c r="F147" s="8" t="n">
        <x:v>1</x:v>
      </x:c>
      <x:c r="G147" s="8" t="str"/>
      <x:c r="H147" s="8" t="str"/>
      <x:c r="I147" s="8" t="str">
        <x:f>IF(H147="","OPEN",IF(NOT(ISNUMBER(G147)),"FAIL","PASS"))</x:f>
        <x:v>OPEN</x:v>
      </x:c>
    </x:row>
    <x:row r="148" ht="25" customHeight="1">
      <x:c r="B148" s="8" t="str">
        <x:v>MP-03-P04-O2-R2</x:v>
      </x:c>
      <x:c r="C148" s="8" t="str">
        <x:v>MP-03</x:v>
      </x:c>
      <x:c r="D148" s="8" t="n">
        <x:v>4</x:v>
      </x:c>
      <x:c r="E148" s="8" t="str">
        <x:v>OP-2</x:v>
      </x:c>
      <x:c r="F148" s="8" t="n">
        <x:v>2</x:v>
      </x:c>
      <x:c r="G148" s="8" t="str"/>
      <x:c r="H148" s="8" t="str"/>
      <x:c r="I148" s="8" t="str">
        <x:f>IF(H148="","OPEN",IF(NOT(ISNUMBER(G148)),"FAIL","PASS"))</x:f>
        <x:v>OPEN</x:v>
      </x:c>
    </x:row>
    <x:row r="149" ht="25" customHeight="1">
      <x:c r="B149" s="8" t="str">
        <x:v>MP-03-P04-O3-R1</x:v>
      </x:c>
      <x:c r="C149" s="8" t="str">
        <x:v>MP-03</x:v>
      </x:c>
      <x:c r="D149" s="8" t="n">
        <x:v>4</x:v>
      </x:c>
      <x:c r="E149" s="8" t="str">
        <x:v>OP-3</x:v>
      </x:c>
      <x:c r="F149" s="8" t="n">
        <x:v>1</x:v>
      </x:c>
      <x:c r="G149" s="8" t="str"/>
      <x:c r="H149" s="8" t="str"/>
      <x:c r="I149" s="8" t="str">
        <x:f>IF(H149="","OPEN",IF(NOT(ISNUMBER(G149)),"FAIL","PASS"))</x:f>
        <x:v>OPEN</x:v>
      </x:c>
    </x:row>
    <x:row r="150" ht="25" customHeight="1">
      <x:c r="B150" s="8" t="str">
        <x:v>MP-03-P04-O3-R2</x:v>
      </x:c>
      <x:c r="C150" s="8" t="str">
        <x:v>MP-03</x:v>
      </x:c>
      <x:c r="D150" s="8" t="n">
        <x:v>4</x:v>
      </x:c>
      <x:c r="E150" s="8" t="str">
        <x:v>OP-3</x:v>
      </x:c>
      <x:c r="F150" s="8" t="n">
        <x:v>2</x:v>
      </x:c>
      <x:c r="G150" s="8" t="str"/>
      <x:c r="H150" s="8" t="str"/>
      <x:c r="I150" s="8" t="str">
        <x:f>IF(H150="","OPEN",IF(NOT(ISNUMBER(G150)),"FAIL","PASS"))</x:f>
        <x:v>OPEN</x:v>
      </x:c>
    </x:row>
    <x:row r="151" ht="25" customHeight="1">
      <x:c r="B151" s="8" t="str">
        <x:v>MP-03-P05-O1-R1</x:v>
      </x:c>
      <x:c r="C151" s="8" t="str">
        <x:v>MP-03</x:v>
      </x:c>
      <x:c r="D151" s="8" t="n">
        <x:v>5</x:v>
      </x:c>
      <x:c r="E151" s="8" t="str">
        <x:v>OP-1</x:v>
      </x:c>
      <x:c r="F151" s="8" t="n">
        <x:v>1</x:v>
      </x:c>
      <x:c r="G151" s="8" t="str"/>
      <x:c r="H151" s="8" t="str"/>
      <x:c r="I151" s="8" t="str">
        <x:f>IF(H151="","OPEN",IF(NOT(ISNUMBER(G151)),"FAIL","PASS"))</x:f>
        <x:v>OPEN</x:v>
      </x:c>
    </x:row>
    <x:row r="152" ht="25" customHeight="1">
      <x:c r="B152" s="8" t="str">
        <x:v>MP-03-P05-O1-R2</x:v>
      </x:c>
      <x:c r="C152" s="8" t="str">
        <x:v>MP-03</x:v>
      </x:c>
      <x:c r="D152" s="8" t="n">
        <x:v>5</x:v>
      </x:c>
      <x:c r="E152" s="8" t="str">
        <x:v>OP-1</x:v>
      </x:c>
      <x:c r="F152" s="8" t="n">
        <x:v>2</x:v>
      </x:c>
      <x:c r="G152" s="8" t="str"/>
      <x:c r="H152" s="8" t="str"/>
      <x:c r="I152" s="8" t="str">
        <x:f>IF(H152="","OPEN",IF(NOT(ISNUMBER(G152)),"FAIL","PASS"))</x:f>
        <x:v>OPEN</x:v>
      </x:c>
    </x:row>
    <x:row r="153" ht="25" customHeight="1">
      <x:c r="B153" s="8" t="str">
        <x:v>MP-03-P05-O2-R1</x:v>
      </x:c>
      <x:c r="C153" s="8" t="str">
        <x:v>MP-03</x:v>
      </x:c>
      <x:c r="D153" s="8" t="n">
        <x:v>5</x:v>
      </x:c>
      <x:c r="E153" s="8" t="str">
        <x:v>OP-2</x:v>
      </x:c>
      <x:c r="F153" s="8" t="n">
        <x:v>1</x:v>
      </x:c>
      <x:c r="G153" s="8" t="str"/>
      <x:c r="H153" s="8" t="str"/>
      <x:c r="I153" s="8" t="str">
        <x:f>IF(H153="","OPEN",IF(NOT(ISNUMBER(G153)),"FAIL","PASS"))</x:f>
        <x:v>OPEN</x:v>
      </x:c>
    </x:row>
    <x:row r="154" ht="25" customHeight="1">
      <x:c r="B154" s="8" t="str">
        <x:v>MP-03-P05-O2-R2</x:v>
      </x:c>
      <x:c r="C154" s="8" t="str">
        <x:v>MP-03</x:v>
      </x:c>
      <x:c r="D154" s="8" t="n">
        <x:v>5</x:v>
      </x:c>
      <x:c r="E154" s="8" t="str">
        <x:v>OP-2</x:v>
      </x:c>
      <x:c r="F154" s="8" t="n">
        <x:v>2</x:v>
      </x:c>
      <x:c r="G154" s="8" t="str"/>
      <x:c r="H154" s="8" t="str"/>
      <x:c r="I154" s="8" t="str">
        <x:f>IF(H154="","OPEN",IF(NOT(ISNUMBER(G154)),"FAIL","PASS"))</x:f>
        <x:v>OPEN</x:v>
      </x:c>
    </x:row>
    <x:row r="155" ht="25" customHeight="1">
      <x:c r="B155" s="8" t="str">
        <x:v>MP-03-P05-O3-R1</x:v>
      </x:c>
      <x:c r="C155" s="8" t="str">
        <x:v>MP-03</x:v>
      </x:c>
      <x:c r="D155" s="8" t="n">
        <x:v>5</x:v>
      </x:c>
      <x:c r="E155" s="8" t="str">
        <x:v>OP-3</x:v>
      </x:c>
      <x:c r="F155" s="8" t="n">
        <x:v>1</x:v>
      </x:c>
      <x:c r="G155" s="8" t="str"/>
      <x:c r="H155" s="8" t="str"/>
      <x:c r="I155" s="8" t="str">
        <x:f>IF(H155="","OPEN",IF(NOT(ISNUMBER(G155)),"FAIL","PASS"))</x:f>
        <x:v>OPEN</x:v>
      </x:c>
    </x:row>
    <x:row r="156" ht="25" customHeight="1">
      <x:c r="B156" s="8" t="str">
        <x:v>MP-03-P05-O3-R2</x:v>
      </x:c>
      <x:c r="C156" s="8" t="str">
        <x:v>MP-03</x:v>
      </x:c>
      <x:c r="D156" s="8" t="n">
        <x:v>5</x:v>
      </x:c>
      <x:c r="E156" s="8" t="str">
        <x:v>OP-3</x:v>
      </x:c>
      <x:c r="F156" s="8" t="n">
        <x:v>2</x:v>
      </x:c>
      <x:c r="G156" s="8" t="str"/>
      <x:c r="H156" s="8" t="str"/>
      <x:c r="I156" s="8" t="str">
        <x:f>IF(H156="","OPEN",IF(NOT(ISNUMBER(G156)),"FAIL","PASS"))</x:f>
        <x:v>OPEN</x:v>
      </x:c>
    </x:row>
    <x:row r="157" ht="25" customHeight="1">
      <x:c r="B157" s="8" t="str">
        <x:v>MP-03-P06-O1-R1</x:v>
      </x:c>
      <x:c r="C157" s="8" t="str">
        <x:v>MP-03</x:v>
      </x:c>
      <x:c r="D157" s="8" t="n">
        <x:v>6</x:v>
      </x:c>
      <x:c r="E157" s="8" t="str">
        <x:v>OP-1</x:v>
      </x:c>
      <x:c r="F157" s="8" t="n">
        <x:v>1</x:v>
      </x:c>
      <x:c r="G157" s="8" t="str"/>
      <x:c r="H157" s="8" t="str"/>
      <x:c r="I157" s="8" t="str">
        <x:f>IF(H157="","OPEN",IF(NOT(ISNUMBER(G157)),"FAIL","PASS"))</x:f>
        <x:v>OPEN</x:v>
      </x:c>
    </x:row>
    <x:row r="158" ht="25" customHeight="1">
      <x:c r="B158" s="8" t="str">
        <x:v>MP-03-P06-O1-R2</x:v>
      </x:c>
      <x:c r="C158" s="8" t="str">
        <x:v>MP-03</x:v>
      </x:c>
      <x:c r="D158" s="8" t="n">
        <x:v>6</x:v>
      </x:c>
      <x:c r="E158" s="8" t="str">
        <x:v>OP-1</x:v>
      </x:c>
      <x:c r="F158" s="8" t="n">
        <x:v>2</x:v>
      </x:c>
      <x:c r="G158" s="8" t="str"/>
      <x:c r="H158" s="8" t="str"/>
      <x:c r="I158" s="8" t="str">
        <x:f>IF(H158="","OPEN",IF(NOT(ISNUMBER(G158)),"FAIL","PASS"))</x:f>
        <x:v>OPEN</x:v>
      </x:c>
    </x:row>
    <x:row r="159" ht="25" customHeight="1">
      <x:c r="B159" s="8" t="str">
        <x:v>MP-03-P06-O2-R1</x:v>
      </x:c>
      <x:c r="C159" s="8" t="str">
        <x:v>MP-03</x:v>
      </x:c>
      <x:c r="D159" s="8" t="n">
        <x:v>6</x:v>
      </x:c>
      <x:c r="E159" s="8" t="str">
        <x:v>OP-2</x:v>
      </x:c>
      <x:c r="F159" s="8" t="n">
        <x:v>1</x:v>
      </x:c>
      <x:c r="G159" s="8" t="str"/>
      <x:c r="H159" s="8" t="str"/>
      <x:c r="I159" s="8" t="str">
        <x:f>IF(H159="","OPEN",IF(NOT(ISNUMBER(G159)),"FAIL","PASS"))</x:f>
        <x:v>OPEN</x:v>
      </x:c>
    </x:row>
    <x:row r="160" ht="25" customHeight="1">
      <x:c r="B160" s="8" t="str">
        <x:v>MP-03-P06-O2-R2</x:v>
      </x:c>
      <x:c r="C160" s="8" t="str">
        <x:v>MP-03</x:v>
      </x:c>
      <x:c r="D160" s="8" t="n">
        <x:v>6</x:v>
      </x:c>
      <x:c r="E160" s="8" t="str">
        <x:v>OP-2</x:v>
      </x:c>
      <x:c r="F160" s="8" t="n">
        <x:v>2</x:v>
      </x:c>
      <x:c r="G160" s="8" t="str"/>
      <x:c r="H160" s="8" t="str"/>
      <x:c r="I160" s="8" t="str">
        <x:f>IF(H160="","OPEN",IF(NOT(ISNUMBER(G160)),"FAIL","PASS"))</x:f>
        <x:v>OPEN</x:v>
      </x:c>
    </x:row>
    <x:row r="161" ht="25" customHeight="1">
      <x:c r="B161" s="8" t="str">
        <x:v>MP-03-P06-O3-R1</x:v>
      </x:c>
      <x:c r="C161" s="8" t="str">
        <x:v>MP-03</x:v>
      </x:c>
      <x:c r="D161" s="8" t="n">
        <x:v>6</x:v>
      </x:c>
      <x:c r="E161" s="8" t="str">
        <x:v>OP-3</x:v>
      </x:c>
      <x:c r="F161" s="8" t="n">
        <x:v>1</x:v>
      </x:c>
      <x:c r="G161" s="8" t="str"/>
      <x:c r="H161" s="8" t="str"/>
      <x:c r="I161" s="8" t="str">
        <x:f>IF(H161="","OPEN",IF(NOT(ISNUMBER(G161)),"FAIL","PASS"))</x:f>
        <x:v>OPEN</x:v>
      </x:c>
    </x:row>
    <x:row r="162" ht="25" customHeight="1">
      <x:c r="B162" s="8" t="str">
        <x:v>MP-03-P06-O3-R2</x:v>
      </x:c>
      <x:c r="C162" s="8" t="str">
        <x:v>MP-03</x:v>
      </x:c>
      <x:c r="D162" s="8" t="n">
        <x:v>6</x:v>
      </x:c>
      <x:c r="E162" s="8" t="str">
        <x:v>OP-3</x:v>
      </x:c>
      <x:c r="F162" s="8" t="n">
        <x:v>2</x:v>
      </x:c>
      <x:c r="G162" s="8" t="str"/>
      <x:c r="H162" s="8" t="str"/>
      <x:c r="I162" s="8" t="str">
        <x:f>IF(H162="","OPEN",IF(NOT(ISNUMBER(G162)),"FAIL","PASS"))</x:f>
        <x:v>OPEN</x:v>
      </x:c>
    </x:row>
    <x:row r="163" ht="25" customHeight="1">
      <x:c r="B163" s="8" t="str">
        <x:v>MP-03-P07-O1-R1</x:v>
      </x:c>
      <x:c r="C163" s="8" t="str">
        <x:v>MP-03</x:v>
      </x:c>
      <x:c r="D163" s="8" t="n">
        <x:v>7</x:v>
      </x:c>
      <x:c r="E163" s="8" t="str">
        <x:v>OP-1</x:v>
      </x:c>
      <x:c r="F163" s="8" t="n">
        <x:v>1</x:v>
      </x:c>
      <x:c r="G163" s="8" t="str"/>
      <x:c r="H163" s="8" t="str"/>
      <x:c r="I163" s="8" t="str">
        <x:f>IF(H163="","OPEN",IF(NOT(ISNUMBER(G163)),"FAIL","PASS"))</x:f>
        <x:v>OPEN</x:v>
      </x:c>
    </x:row>
    <x:row r="164" ht="25" customHeight="1">
      <x:c r="B164" s="8" t="str">
        <x:v>MP-03-P07-O1-R2</x:v>
      </x:c>
      <x:c r="C164" s="8" t="str">
        <x:v>MP-03</x:v>
      </x:c>
      <x:c r="D164" s="8" t="n">
        <x:v>7</x:v>
      </x:c>
      <x:c r="E164" s="8" t="str">
        <x:v>OP-1</x:v>
      </x:c>
      <x:c r="F164" s="8" t="n">
        <x:v>2</x:v>
      </x:c>
      <x:c r="G164" s="8" t="str"/>
      <x:c r="H164" s="8" t="str"/>
      <x:c r="I164" s="8" t="str">
        <x:f>IF(H164="","OPEN",IF(NOT(ISNUMBER(G164)),"FAIL","PASS"))</x:f>
        <x:v>OPEN</x:v>
      </x:c>
    </x:row>
    <x:row r="165" ht="25" customHeight="1">
      <x:c r="B165" s="8" t="str">
        <x:v>MP-03-P07-O2-R1</x:v>
      </x:c>
      <x:c r="C165" s="8" t="str">
        <x:v>MP-03</x:v>
      </x:c>
      <x:c r="D165" s="8" t="n">
        <x:v>7</x:v>
      </x:c>
      <x:c r="E165" s="8" t="str">
        <x:v>OP-2</x:v>
      </x:c>
      <x:c r="F165" s="8" t="n">
        <x:v>1</x:v>
      </x:c>
      <x:c r="G165" s="8" t="str"/>
      <x:c r="H165" s="8" t="str"/>
      <x:c r="I165" s="8" t="str">
        <x:f>IF(H165="","OPEN",IF(NOT(ISNUMBER(G165)),"FAIL","PASS"))</x:f>
        <x:v>OPEN</x:v>
      </x:c>
    </x:row>
    <x:row r="166" ht="25" customHeight="1">
      <x:c r="B166" s="8" t="str">
        <x:v>MP-03-P07-O2-R2</x:v>
      </x:c>
      <x:c r="C166" s="8" t="str">
        <x:v>MP-03</x:v>
      </x:c>
      <x:c r="D166" s="8" t="n">
        <x:v>7</x:v>
      </x:c>
      <x:c r="E166" s="8" t="str">
        <x:v>OP-2</x:v>
      </x:c>
      <x:c r="F166" s="8" t="n">
        <x:v>2</x:v>
      </x:c>
      <x:c r="G166" s="8" t="str"/>
      <x:c r="H166" s="8" t="str"/>
      <x:c r="I166" s="8" t="str">
        <x:f>IF(H166="","OPEN",IF(NOT(ISNUMBER(G166)),"FAIL","PASS"))</x:f>
        <x:v>OPEN</x:v>
      </x:c>
    </x:row>
    <x:row r="167" ht="25" customHeight="1">
      <x:c r="B167" s="8" t="str">
        <x:v>MP-03-P07-O3-R1</x:v>
      </x:c>
      <x:c r="C167" s="8" t="str">
        <x:v>MP-03</x:v>
      </x:c>
      <x:c r="D167" s="8" t="n">
        <x:v>7</x:v>
      </x:c>
      <x:c r="E167" s="8" t="str">
        <x:v>OP-3</x:v>
      </x:c>
      <x:c r="F167" s="8" t="n">
        <x:v>1</x:v>
      </x:c>
      <x:c r="G167" s="8" t="str"/>
      <x:c r="H167" s="8" t="str"/>
      <x:c r="I167" s="8" t="str">
        <x:f>IF(H167="","OPEN",IF(NOT(ISNUMBER(G167)),"FAIL","PASS"))</x:f>
        <x:v>OPEN</x:v>
      </x:c>
    </x:row>
    <x:row r="168" ht="25" customHeight="1">
      <x:c r="B168" s="8" t="str">
        <x:v>MP-03-P07-O3-R2</x:v>
      </x:c>
      <x:c r="C168" s="8" t="str">
        <x:v>MP-03</x:v>
      </x:c>
      <x:c r="D168" s="8" t="n">
        <x:v>7</x:v>
      </x:c>
      <x:c r="E168" s="8" t="str">
        <x:v>OP-3</x:v>
      </x:c>
      <x:c r="F168" s="8" t="n">
        <x:v>2</x:v>
      </x:c>
      <x:c r="G168" s="8" t="str"/>
      <x:c r="H168" s="8" t="str"/>
      <x:c r="I168" s="8" t="str">
        <x:f>IF(H168="","OPEN",IF(NOT(ISNUMBER(G168)),"FAIL","PASS"))</x:f>
        <x:v>OPEN</x:v>
      </x:c>
    </x:row>
    <x:row r="169" ht="25" customHeight="1">
      <x:c r="B169" s="8" t="str">
        <x:v>MP-03-P08-O1-R1</x:v>
      </x:c>
      <x:c r="C169" s="8" t="str">
        <x:v>MP-03</x:v>
      </x:c>
      <x:c r="D169" s="8" t="n">
        <x:v>8</x:v>
      </x:c>
      <x:c r="E169" s="8" t="str">
        <x:v>OP-1</x:v>
      </x:c>
      <x:c r="F169" s="8" t="n">
        <x:v>1</x:v>
      </x:c>
      <x:c r="G169" s="8" t="str"/>
      <x:c r="H169" s="8" t="str"/>
      <x:c r="I169" s="8" t="str">
        <x:f>IF(H169="","OPEN",IF(NOT(ISNUMBER(G169)),"FAIL","PASS"))</x:f>
        <x:v>OPEN</x:v>
      </x:c>
    </x:row>
    <x:row r="170" ht="25" customHeight="1">
      <x:c r="B170" s="8" t="str">
        <x:v>MP-03-P08-O1-R2</x:v>
      </x:c>
      <x:c r="C170" s="8" t="str">
        <x:v>MP-03</x:v>
      </x:c>
      <x:c r="D170" s="8" t="n">
        <x:v>8</x:v>
      </x:c>
      <x:c r="E170" s="8" t="str">
        <x:v>OP-1</x:v>
      </x:c>
      <x:c r="F170" s="8" t="n">
        <x:v>2</x:v>
      </x:c>
      <x:c r="G170" s="8" t="str"/>
      <x:c r="H170" s="8" t="str"/>
      <x:c r="I170" s="8" t="str">
        <x:f>IF(H170="","OPEN",IF(NOT(ISNUMBER(G170)),"FAIL","PASS"))</x:f>
        <x:v>OPEN</x:v>
      </x:c>
    </x:row>
    <x:row r="171" ht="25" customHeight="1">
      <x:c r="B171" s="8" t="str">
        <x:v>MP-03-P08-O2-R1</x:v>
      </x:c>
      <x:c r="C171" s="8" t="str">
        <x:v>MP-03</x:v>
      </x:c>
      <x:c r="D171" s="8" t="n">
        <x:v>8</x:v>
      </x:c>
      <x:c r="E171" s="8" t="str">
        <x:v>OP-2</x:v>
      </x:c>
      <x:c r="F171" s="8" t="n">
        <x:v>1</x:v>
      </x:c>
      <x:c r="G171" s="8" t="str"/>
      <x:c r="H171" s="8" t="str"/>
      <x:c r="I171" s="8" t="str">
        <x:f>IF(H171="","OPEN",IF(NOT(ISNUMBER(G171)),"FAIL","PASS"))</x:f>
        <x:v>OPEN</x:v>
      </x:c>
    </x:row>
    <x:row r="172" ht="25" customHeight="1">
      <x:c r="B172" s="8" t="str">
        <x:v>MP-03-P08-O2-R2</x:v>
      </x:c>
      <x:c r="C172" s="8" t="str">
        <x:v>MP-03</x:v>
      </x:c>
      <x:c r="D172" s="8" t="n">
        <x:v>8</x:v>
      </x:c>
      <x:c r="E172" s="8" t="str">
        <x:v>OP-2</x:v>
      </x:c>
      <x:c r="F172" s="8" t="n">
        <x:v>2</x:v>
      </x:c>
      <x:c r="G172" s="8" t="str"/>
      <x:c r="H172" s="8" t="str"/>
      <x:c r="I172" s="8" t="str">
        <x:f>IF(H172="","OPEN",IF(NOT(ISNUMBER(G172)),"FAIL","PASS"))</x:f>
        <x:v>OPEN</x:v>
      </x:c>
    </x:row>
    <x:row r="173" ht="25" customHeight="1">
      <x:c r="B173" s="8" t="str">
        <x:v>MP-03-P08-O3-R1</x:v>
      </x:c>
      <x:c r="C173" s="8" t="str">
        <x:v>MP-03</x:v>
      </x:c>
      <x:c r="D173" s="8" t="n">
        <x:v>8</x:v>
      </x:c>
      <x:c r="E173" s="8" t="str">
        <x:v>OP-3</x:v>
      </x:c>
      <x:c r="F173" s="8" t="n">
        <x:v>1</x:v>
      </x:c>
      <x:c r="G173" s="8" t="str"/>
      <x:c r="H173" s="8" t="str"/>
      <x:c r="I173" s="8" t="str">
        <x:f>IF(H173="","OPEN",IF(NOT(ISNUMBER(G173)),"FAIL","PASS"))</x:f>
        <x:v>OPEN</x:v>
      </x:c>
    </x:row>
    <x:row r="174" ht="25" customHeight="1">
      <x:c r="B174" s="8" t="str">
        <x:v>MP-03-P08-O3-R2</x:v>
      </x:c>
      <x:c r="C174" s="8" t="str">
        <x:v>MP-03</x:v>
      </x:c>
      <x:c r="D174" s="8" t="n">
        <x:v>8</x:v>
      </x:c>
      <x:c r="E174" s="8" t="str">
        <x:v>OP-3</x:v>
      </x:c>
      <x:c r="F174" s="8" t="n">
        <x:v>2</x:v>
      </x:c>
      <x:c r="G174" s="8" t="str"/>
      <x:c r="H174" s="8" t="str"/>
      <x:c r="I174" s="8" t="str">
        <x:f>IF(H174="","OPEN",IF(NOT(ISNUMBER(G174)),"FAIL","PASS"))</x:f>
        <x:v>OPEN</x:v>
      </x:c>
    </x:row>
    <x:row r="175" ht="25" customHeight="1">
      <x:c r="B175" s="8" t="str">
        <x:v>MP-03-P09-O1-R1</x:v>
      </x:c>
      <x:c r="C175" s="8" t="str">
        <x:v>MP-03</x:v>
      </x:c>
      <x:c r="D175" s="8" t="n">
        <x:v>9</x:v>
      </x:c>
      <x:c r="E175" s="8" t="str">
        <x:v>OP-1</x:v>
      </x:c>
      <x:c r="F175" s="8" t="n">
        <x:v>1</x:v>
      </x:c>
      <x:c r="G175" s="8" t="str"/>
      <x:c r="H175" s="8" t="str"/>
      <x:c r="I175" s="8" t="str">
        <x:f>IF(H175="","OPEN",IF(NOT(ISNUMBER(G175)),"FAIL","PASS"))</x:f>
        <x:v>OPEN</x:v>
      </x:c>
    </x:row>
    <x:row r="176" ht="25" customHeight="1">
      <x:c r="B176" s="8" t="str">
        <x:v>MP-03-P09-O1-R2</x:v>
      </x:c>
      <x:c r="C176" s="8" t="str">
        <x:v>MP-03</x:v>
      </x:c>
      <x:c r="D176" s="8" t="n">
        <x:v>9</x:v>
      </x:c>
      <x:c r="E176" s="8" t="str">
        <x:v>OP-1</x:v>
      </x:c>
      <x:c r="F176" s="8" t="n">
        <x:v>2</x:v>
      </x:c>
      <x:c r="G176" s="8" t="str"/>
      <x:c r="H176" s="8" t="str"/>
      <x:c r="I176" s="8" t="str">
        <x:f>IF(H176="","OPEN",IF(NOT(ISNUMBER(G176)),"FAIL","PASS"))</x:f>
        <x:v>OPEN</x:v>
      </x:c>
    </x:row>
    <x:row r="177" ht="25" customHeight="1">
      <x:c r="B177" s="8" t="str">
        <x:v>MP-03-P09-O2-R1</x:v>
      </x:c>
      <x:c r="C177" s="8" t="str">
        <x:v>MP-03</x:v>
      </x:c>
      <x:c r="D177" s="8" t="n">
        <x:v>9</x:v>
      </x:c>
      <x:c r="E177" s="8" t="str">
        <x:v>OP-2</x:v>
      </x:c>
      <x:c r="F177" s="8" t="n">
        <x:v>1</x:v>
      </x:c>
      <x:c r="G177" s="8" t="str"/>
      <x:c r="H177" s="8" t="str"/>
      <x:c r="I177" s="8" t="str">
        <x:f>IF(H177="","OPEN",IF(NOT(ISNUMBER(G177)),"FAIL","PASS"))</x:f>
        <x:v>OPEN</x:v>
      </x:c>
    </x:row>
    <x:row r="178" ht="25" customHeight="1">
      <x:c r="B178" s="8" t="str">
        <x:v>MP-03-P09-O2-R2</x:v>
      </x:c>
      <x:c r="C178" s="8" t="str">
        <x:v>MP-03</x:v>
      </x:c>
      <x:c r="D178" s="8" t="n">
        <x:v>9</x:v>
      </x:c>
      <x:c r="E178" s="8" t="str">
        <x:v>OP-2</x:v>
      </x:c>
      <x:c r="F178" s="8" t="n">
        <x:v>2</x:v>
      </x:c>
      <x:c r="G178" s="8" t="str"/>
      <x:c r="H178" s="8" t="str"/>
      <x:c r="I178" s="8" t="str">
        <x:f>IF(H178="","OPEN",IF(NOT(ISNUMBER(G178)),"FAIL","PASS"))</x:f>
        <x:v>OPEN</x:v>
      </x:c>
    </x:row>
    <x:row r="179" ht="25" customHeight="1">
      <x:c r="B179" s="8" t="str">
        <x:v>MP-03-P09-O3-R1</x:v>
      </x:c>
      <x:c r="C179" s="8" t="str">
        <x:v>MP-03</x:v>
      </x:c>
      <x:c r="D179" s="8" t="n">
        <x:v>9</x:v>
      </x:c>
      <x:c r="E179" s="8" t="str">
        <x:v>OP-3</x:v>
      </x:c>
      <x:c r="F179" s="8" t="n">
        <x:v>1</x:v>
      </x:c>
      <x:c r="G179" s="8" t="str"/>
      <x:c r="H179" s="8" t="str"/>
      <x:c r="I179" s="8" t="str">
        <x:f>IF(H179="","OPEN",IF(NOT(ISNUMBER(G179)),"FAIL","PASS"))</x:f>
        <x:v>OPEN</x:v>
      </x:c>
    </x:row>
    <x:row r="180" ht="25" customHeight="1">
      <x:c r="B180" s="8" t="str">
        <x:v>MP-03-P09-O3-R2</x:v>
      </x:c>
      <x:c r="C180" s="8" t="str">
        <x:v>MP-03</x:v>
      </x:c>
      <x:c r="D180" s="8" t="n">
        <x:v>9</x:v>
      </x:c>
      <x:c r="E180" s="8" t="str">
        <x:v>OP-3</x:v>
      </x:c>
      <x:c r="F180" s="8" t="n">
        <x:v>2</x:v>
      </x:c>
      <x:c r="G180" s="8" t="str"/>
      <x:c r="H180" s="8" t="str"/>
      <x:c r="I180" s="8" t="str">
        <x:f>IF(H180="","OPEN",IF(NOT(ISNUMBER(G180)),"FAIL","PASS"))</x:f>
        <x:v>OPEN</x:v>
      </x:c>
    </x:row>
    <x:row r="181" ht="25" customHeight="1">
      <x:c r="B181" s="8" t="str">
        <x:v>MP-03-P10-O1-R1</x:v>
      </x:c>
      <x:c r="C181" s="8" t="str">
        <x:v>MP-03</x:v>
      </x:c>
      <x:c r="D181" s="8" t="n">
        <x:v>10</x:v>
      </x:c>
      <x:c r="E181" s="8" t="str">
        <x:v>OP-1</x:v>
      </x:c>
      <x:c r="F181" s="8" t="n">
        <x:v>1</x:v>
      </x:c>
      <x:c r="G181" s="8" t="str"/>
      <x:c r="H181" s="8" t="str"/>
      <x:c r="I181" s="8" t="str">
        <x:f>IF(H181="","OPEN",IF(NOT(ISNUMBER(G181)),"FAIL","PASS"))</x:f>
        <x:v>OPEN</x:v>
      </x:c>
    </x:row>
    <x:row r="182" ht="25" customHeight="1">
      <x:c r="B182" s="8" t="str">
        <x:v>MP-03-P10-O1-R2</x:v>
      </x:c>
      <x:c r="C182" s="8" t="str">
        <x:v>MP-03</x:v>
      </x:c>
      <x:c r="D182" s="8" t="n">
        <x:v>10</x:v>
      </x:c>
      <x:c r="E182" s="8" t="str">
        <x:v>OP-1</x:v>
      </x:c>
      <x:c r="F182" s="8" t="n">
        <x:v>2</x:v>
      </x:c>
      <x:c r="G182" s="8" t="str"/>
      <x:c r="H182" s="8" t="str"/>
      <x:c r="I182" s="8" t="str">
        <x:f>IF(H182="","OPEN",IF(NOT(ISNUMBER(G182)),"FAIL","PASS"))</x:f>
        <x:v>OPEN</x:v>
      </x:c>
    </x:row>
    <x:row r="183" ht="25" customHeight="1">
      <x:c r="B183" s="8" t="str">
        <x:v>MP-03-P10-O2-R1</x:v>
      </x:c>
      <x:c r="C183" s="8" t="str">
        <x:v>MP-03</x:v>
      </x:c>
      <x:c r="D183" s="8" t="n">
        <x:v>10</x:v>
      </x:c>
      <x:c r="E183" s="8" t="str">
        <x:v>OP-2</x:v>
      </x:c>
      <x:c r="F183" s="8" t="n">
        <x:v>1</x:v>
      </x:c>
      <x:c r="G183" s="8" t="str"/>
      <x:c r="H183" s="8" t="str"/>
      <x:c r="I183" s="8" t="str">
        <x:f>IF(H183="","OPEN",IF(NOT(ISNUMBER(G183)),"FAIL","PASS"))</x:f>
        <x:v>OPEN</x:v>
      </x:c>
    </x:row>
    <x:row r="184" ht="25" customHeight="1">
      <x:c r="B184" s="8" t="str">
        <x:v>MP-03-P10-O2-R2</x:v>
      </x:c>
      <x:c r="C184" s="8" t="str">
        <x:v>MP-03</x:v>
      </x:c>
      <x:c r="D184" s="8" t="n">
        <x:v>10</x:v>
      </x:c>
      <x:c r="E184" s="8" t="str">
        <x:v>OP-2</x:v>
      </x:c>
      <x:c r="F184" s="8" t="n">
        <x:v>2</x:v>
      </x:c>
      <x:c r="G184" s="8" t="str"/>
      <x:c r="H184" s="8" t="str"/>
      <x:c r="I184" s="8" t="str">
        <x:f>IF(H184="","OPEN",IF(NOT(ISNUMBER(G184)),"FAIL","PASS"))</x:f>
        <x:v>OPEN</x:v>
      </x:c>
    </x:row>
    <x:row r="185" ht="25" customHeight="1">
      <x:c r="B185" s="8" t="str">
        <x:v>MP-03-P10-O3-R1</x:v>
      </x:c>
      <x:c r="C185" s="8" t="str">
        <x:v>MP-03</x:v>
      </x:c>
      <x:c r="D185" s="8" t="n">
        <x:v>10</x:v>
      </x:c>
      <x:c r="E185" s="8" t="str">
        <x:v>OP-3</x:v>
      </x:c>
      <x:c r="F185" s="8" t="n">
        <x:v>1</x:v>
      </x:c>
      <x:c r="G185" s="8" t="str"/>
      <x:c r="H185" s="8" t="str"/>
      <x:c r="I185" s="8" t="str">
        <x:f>IF(H185="","OPEN",IF(NOT(ISNUMBER(G185)),"FAIL","PASS"))</x:f>
        <x:v>OPEN</x:v>
      </x:c>
    </x:row>
    <x:row r="186" ht="25" customHeight="1">
      <x:c r="B186" s="8" t="str">
        <x:v>MP-03-P10-O3-R2</x:v>
      </x:c>
      <x:c r="C186" s="8" t="str">
        <x:v>MP-03</x:v>
      </x:c>
      <x:c r="D186" s="8" t="n">
        <x:v>10</x:v>
      </x:c>
      <x:c r="E186" s="8" t="str">
        <x:v>OP-3</x:v>
      </x:c>
      <x:c r="F186" s="8" t="n">
        <x:v>2</x:v>
      </x:c>
      <x:c r="G186" s="8" t="str"/>
      <x:c r="H186" s="8" t="str"/>
      <x:c r="I186" s="8" t="str">
        <x:f>IF(H186="","OPEN",IF(NOT(ISNUMBER(G186)),"FAIL","PASS"))</x:f>
        <x:v>OPEN</x:v>
      </x:c>
    </x:row>
    <x:row r="187" ht="25" customHeight="1">
      <x:c r="B187" s="8" t="str">
        <x:v>MP-04-P01-O1-R1</x:v>
      </x:c>
      <x:c r="C187" s="8" t="str">
        <x:v>MP-04</x:v>
      </x:c>
      <x:c r="D187" s="8" t="n">
        <x:v>1</x:v>
      </x:c>
      <x:c r="E187" s="8" t="str">
        <x:v>OP-1</x:v>
      </x:c>
      <x:c r="F187" s="8" t="n">
        <x:v>1</x:v>
      </x:c>
      <x:c r="G187" s="8" t="str"/>
      <x:c r="H187" s="8" t="str"/>
      <x:c r="I187" s="8" t="str">
        <x:f>IF(H187="","OPEN",IF(NOT(ISNUMBER(G187)),"FAIL","PASS"))</x:f>
        <x:v>OPEN</x:v>
      </x:c>
    </x:row>
    <x:row r="188" ht="25" customHeight="1">
      <x:c r="B188" s="8" t="str">
        <x:v>MP-04-P01-O1-R2</x:v>
      </x:c>
      <x:c r="C188" s="8" t="str">
        <x:v>MP-04</x:v>
      </x:c>
      <x:c r="D188" s="8" t="n">
        <x:v>1</x:v>
      </x:c>
      <x:c r="E188" s="8" t="str">
        <x:v>OP-1</x:v>
      </x:c>
      <x:c r="F188" s="8" t="n">
        <x:v>2</x:v>
      </x:c>
      <x:c r="G188" s="8" t="str"/>
      <x:c r="H188" s="8" t="str"/>
      <x:c r="I188" s="8" t="str">
        <x:f>IF(H188="","OPEN",IF(NOT(ISNUMBER(G188)),"FAIL","PASS"))</x:f>
        <x:v>OPEN</x:v>
      </x:c>
    </x:row>
    <x:row r="189" ht="25" customHeight="1">
      <x:c r="B189" s="8" t="str">
        <x:v>MP-04-P01-O2-R1</x:v>
      </x:c>
      <x:c r="C189" s="8" t="str">
        <x:v>MP-04</x:v>
      </x:c>
      <x:c r="D189" s="8" t="n">
        <x:v>1</x:v>
      </x:c>
      <x:c r="E189" s="8" t="str">
        <x:v>OP-2</x:v>
      </x:c>
      <x:c r="F189" s="8" t="n">
        <x:v>1</x:v>
      </x:c>
      <x:c r="G189" s="8" t="str"/>
      <x:c r="H189" s="8" t="str"/>
      <x:c r="I189" s="8" t="str">
        <x:f>IF(H189="","OPEN",IF(NOT(ISNUMBER(G189)),"FAIL","PASS"))</x:f>
        <x:v>OPEN</x:v>
      </x:c>
    </x:row>
    <x:row r="190" ht="25" customHeight="1">
      <x:c r="B190" s="8" t="str">
        <x:v>MP-04-P01-O2-R2</x:v>
      </x:c>
      <x:c r="C190" s="8" t="str">
        <x:v>MP-04</x:v>
      </x:c>
      <x:c r="D190" s="8" t="n">
        <x:v>1</x:v>
      </x:c>
      <x:c r="E190" s="8" t="str">
        <x:v>OP-2</x:v>
      </x:c>
      <x:c r="F190" s="8" t="n">
        <x:v>2</x:v>
      </x:c>
      <x:c r="G190" s="8" t="str"/>
      <x:c r="H190" s="8" t="str"/>
      <x:c r="I190" s="8" t="str">
        <x:f>IF(H190="","OPEN",IF(NOT(ISNUMBER(G190)),"FAIL","PASS"))</x:f>
        <x:v>OPEN</x:v>
      </x:c>
    </x:row>
    <x:row r="191" ht="25" customHeight="1">
      <x:c r="B191" s="8" t="str">
        <x:v>MP-04-P01-O3-R1</x:v>
      </x:c>
      <x:c r="C191" s="8" t="str">
        <x:v>MP-04</x:v>
      </x:c>
      <x:c r="D191" s="8" t="n">
        <x:v>1</x:v>
      </x:c>
      <x:c r="E191" s="8" t="str">
        <x:v>OP-3</x:v>
      </x:c>
      <x:c r="F191" s="8" t="n">
        <x:v>1</x:v>
      </x:c>
      <x:c r="G191" s="8" t="str"/>
      <x:c r="H191" s="8" t="str"/>
      <x:c r="I191" s="8" t="str">
        <x:f>IF(H191="","OPEN",IF(NOT(ISNUMBER(G191)),"FAIL","PASS"))</x:f>
        <x:v>OPEN</x:v>
      </x:c>
    </x:row>
    <x:row r="192" ht="25" customHeight="1">
      <x:c r="B192" s="8" t="str">
        <x:v>MP-04-P01-O3-R2</x:v>
      </x:c>
      <x:c r="C192" s="8" t="str">
        <x:v>MP-04</x:v>
      </x:c>
      <x:c r="D192" s="8" t="n">
        <x:v>1</x:v>
      </x:c>
      <x:c r="E192" s="8" t="str">
        <x:v>OP-3</x:v>
      </x:c>
      <x:c r="F192" s="8" t="n">
        <x:v>2</x:v>
      </x:c>
      <x:c r="G192" s="8" t="str"/>
      <x:c r="H192" s="8" t="str"/>
      <x:c r="I192" s="8" t="str">
        <x:f>IF(H192="","OPEN",IF(NOT(ISNUMBER(G192)),"FAIL","PASS"))</x:f>
        <x:v>OPEN</x:v>
      </x:c>
    </x:row>
    <x:row r="193" ht="25" customHeight="1">
      <x:c r="B193" s="8" t="str">
        <x:v>MP-04-P02-O1-R1</x:v>
      </x:c>
      <x:c r="C193" s="8" t="str">
        <x:v>MP-04</x:v>
      </x:c>
      <x:c r="D193" s="8" t="n">
        <x:v>2</x:v>
      </x:c>
      <x:c r="E193" s="8" t="str">
        <x:v>OP-1</x:v>
      </x:c>
      <x:c r="F193" s="8" t="n">
        <x:v>1</x:v>
      </x:c>
      <x:c r="G193" s="8" t="str"/>
      <x:c r="H193" s="8" t="str"/>
      <x:c r="I193" s="8" t="str">
        <x:f>IF(H193="","OPEN",IF(NOT(ISNUMBER(G193)),"FAIL","PASS"))</x:f>
        <x:v>OPEN</x:v>
      </x:c>
    </x:row>
    <x:row r="194" ht="25" customHeight="1">
      <x:c r="B194" s="8" t="str">
        <x:v>MP-04-P02-O1-R2</x:v>
      </x:c>
      <x:c r="C194" s="8" t="str">
        <x:v>MP-04</x:v>
      </x:c>
      <x:c r="D194" s="8" t="n">
        <x:v>2</x:v>
      </x:c>
      <x:c r="E194" s="8" t="str">
        <x:v>OP-1</x:v>
      </x:c>
      <x:c r="F194" s="8" t="n">
        <x:v>2</x:v>
      </x:c>
      <x:c r="G194" s="8" t="str"/>
      <x:c r="H194" s="8" t="str"/>
      <x:c r="I194" s="8" t="str">
        <x:f>IF(H194="","OPEN",IF(NOT(ISNUMBER(G194)),"FAIL","PASS"))</x:f>
        <x:v>OPEN</x:v>
      </x:c>
    </x:row>
    <x:row r="195" ht="25" customHeight="1">
      <x:c r="B195" s="8" t="str">
        <x:v>MP-04-P02-O2-R1</x:v>
      </x:c>
      <x:c r="C195" s="8" t="str">
        <x:v>MP-04</x:v>
      </x:c>
      <x:c r="D195" s="8" t="n">
        <x:v>2</x:v>
      </x:c>
      <x:c r="E195" s="8" t="str">
        <x:v>OP-2</x:v>
      </x:c>
      <x:c r="F195" s="8" t="n">
        <x:v>1</x:v>
      </x:c>
      <x:c r="G195" s="8" t="str"/>
      <x:c r="H195" s="8" t="str"/>
      <x:c r="I195" s="8" t="str">
        <x:f>IF(H195="","OPEN",IF(NOT(ISNUMBER(G195)),"FAIL","PASS"))</x:f>
        <x:v>OPEN</x:v>
      </x:c>
    </x:row>
    <x:row r="196" ht="25" customHeight="1">
      <x:c r="B196" s="8" t="str">
        <x:v>MP-04-P02-O2-R2</x:v>
      </x:c>
      <x:c r="C196" s="8" t="str">
        <x:v>MP-04</x:v>
      </x:c>
      <x:c r="D196" s="8" t="n">
        <x:v>2</x:v>
      </x:c>
      <x:c r="E196" s="8" t="str">
        <x:v>OP-2</x:v>
      </x:c>
      <x:c r="F196" s="8" t="n">
        <x:v>2</x:v>
      </x:c>
      <x:c r="G196" s="8" t="str"/>
      <x:c r="H196" s="8" t="str"/>
      <x:c r="I196" s="8" t="str">
        <x:f>IF(H196="","OPEN",IF(NOT(ISNUMBER(G196)),"FAIL","PASS"))</x:f>
        <x:v>OPEN</x:v>
      </x:c>
    </x:row>
    <x:row r="197" ht="25" customHeight="1">
      <x:c r="B197" s="8" t="str">
        <x:v>MP-04-P02-O3-R1</x:v>
      </x:c>
      <x:c r="C197" s="8" t="str">
        <x:v>MP-04</x:v>
      </x:c>
      <x:c r="D197" s="8" t="n">
        <x:v>2</x:v>
      </x:c>
      <x:c r="E197" s="8" t="str">
        <x:v>OP-3</x:v>
      </x:c>
      <x:c r="F197" s="8" t="n">
        <x:v>1</x:v>
      </x:c>
      <x:c r="G197" s="8" t="str"/>
      <x:c r="H197" s="8" t="str"/>
      <x:c r="I197" s="8" t="str">
        <x:f>IF(H197="","OPEN",IF(NOT(ISNUMBER(G197)),"FAIL","PASS"))</x:f>
        <x:v>OPEN</x:v>
      </x:c>
    </x:row>
    <x:row r="198" ht="25" customHeight="1">
      <x:c r="B198" s="8" t="str">
        <x:v>MP-04-P02-O3-R2</x:v>
      </x:c>
      <x:c r="C198" s="8" t="str">
        <x:v>MP-04</x:v>
      </x:c>
      <x:c r="D198" s="8" t="n">
        <x:v>2</x:v>
      </x:c>
      <x:c r="E198" s="8" t="str">
        <x:v>OP-3</x:v>
      </x:c>
      <x:c r="F198" s="8" t="n">
        <x:v>2</x:v>
      </x:c>
      <x:c r="G198" s="8" t="str"/>
      <x:c r="H198" s="8" t="str"/>
      <x:c r="I198" s="8" t="str">
        <x:f>IF(H198="","OPEN",IF(NOT(ISNUMBER(G198)),"FAIL","PASS"))</x:f>
        <x:v>OPEN</x:v>
      </x:c>
    </x:row>
    <x:row r="199" ht="25" customHeight="1">
      <x:c r="B199" s="8" t="str">
        <x:v>MP-04-P03-O1-R1</x:v>
      </x:c>
      <x:c r="C199" s="8" t="str">
        <x:v>MP-04</x:v>
      </x:c>
      <x:c r="D199" s="8" t="n">
        <x:v>3</x:v>
      </x:c>
      <x:c r="E199" s="8" t="str">
        <x:v>OP-1</x:v>
      </x:c>
      <x:c r="F199" s="8" t="n">
        <x:v>1</x:v>
      </x:c>
      <x:c r="G199" s="8" t="str"/>
      <x:c r="H199" s="8" t="str"/>
      <x:c r="I199" s="8" t="str">
        <x:f>IF(H199="","OPEN",IF(NOT(ISNUMBER(G199)),"FAIL","PASS"))</x:f>
        <x:v>OPEN</x:v>
      </x:c>
    </x:row>
    <x:row r="200" ht="25" customHeight="1">
      <x:c r="B200" s="8" t="str">
        <x:v>MP-04-P03-O1-R2</x:v>
      </x:c>
      <x:c r="C200" s="8" t="str">
        <x:v>MP-04</x:v>
      </x:c>
      <x:c r="D200" s="8" t="n">
        <x:v>3</x:v>
      </x:c>
      <x:c r="E200" s="8" t="str">
        <x:v>OP-1</x:v>
      </x:c>
      <x:c r="F200" s="8" t="n">
        <x:v>2</x:v>
      </x:c>
      <x:c r="G200" s="8" t="str"/>
      <x:c r="H200" s="8" t="str"/>
      <x:c r="I200" s="8" t="str">
        <x:f>IF(H200="","OPEN",IF(NOT(ISNUMBER(G200)),"FAIL","PASS"))</x:f>
        <x:v>OPEN</x:v>
      </x:c>
    </x:row>
    <x:row r="201" ht="25" customHeight="1">
      <x:c r="B201" s="8" t="str">
        <x:v>MP-04-P03-O2-R1</x:v>
      </x:c>
      <x:c r="C201" s="8" t="str">
        <x:v>MP-04</x:v>
      </x:c>
      <x:c r="D201" s="8" t="n">
        <x:v>3</x:v>
      </x:c>
      <x:c r="E201" s="8" t="str">
        <x:v>OP-2</x:v>
      </x:c>
      <x:c r="F201" s="8" t="n">
        <x:v>1</x:v>
      </x:c>
      <x:c r="G201" s="8" t="str"/>
      <x:c r="H201" s="8" t="str"/>
      <x:c r="I201" s="8" t="str">
        <x:f>IF(H201="","OPEN",IF(NOT(ISNUMBER(G201)),"FAIL","PASS"))</x:f>
        <x:v>OPEN</x:v>
      </x:c>
    </x:row>
    <x:row r="202" ht="25" customHeight="1">
      <x:c r="B202" s="8" t="str">
        <x:v>MP-04-P03-O2-R2</x:v>
      </x:c>
      <x:c r="C202" s="8" t="str">
        <x:v>MP-04</x:v>
      </x:c>
      <x:c r="D202" s="8" t="n">
        <x:v>3</x:v>
      </x:c>
      <x:c r="E202" s="8" t="str">
        <x:v>OP-2</x:v>
      </x:c>
      <x:c r="F202" s="8" t="n">
        <x:v>2</x:v>
      </x:c>
      <x:c r="G202" s="8" t="str"/>
      <x:c r="H202" s="8" t="str"/>
      <x:c r="I202" s="8" t="str">
        <x:f>IF(H202="","OPEN",IF(NOT(ISNUMBER(G202)),"FAIL","PASS"))</x:f>
        <x:v>OPEN</x:v>
      </x:c>
    </x:row>
    <x:row r="203" ht="25" customHeight="1">
      <x:c r="B203" s="8" t="str">
        <x:v>MP-04-P03-O3-R1</x:v>
      </x:c>
      <x:c r="C203" s="8" t="str">
        <x:v>MP-04</x:v>
      </x:c>
      <x:c r="D203" s="8" t="n">
        <x:v>3</x:v>
      </x:c>
      <x:c r="E203" s="8" t="str">
        <x:v>OP-3</x:v>
      </x:c>
      <x:c r="F203" s="8" t="n">
        <x:v>1</x:v>
      </x:c>
      <x:c r="G203" s="8" t="str"/>
      <x:c r="H203" s="8" t="str"/>
      <x:c r="I203" s="8" t="str">
        <x:f>IF(H203="","OPEN",IF(NOT(ISNUMBER(G203)),"FAIL","PASS"))</x:f>
        <x:v>OPEN</x:v>
      </x:c>
    </x:row>
    <x:row r="204" ht="25" customHeight="1">
      <x:c r="B204" s="8" t="str">
        <x:v>MP-04-P03-O3-R2</x:v>
      </x:c>
      <x:c r="C204" s="8" t="str">
        <x:v>MP-04</x:v>
      </x:c>
      <x:c r="D204" s="8" t="n">
        <x:v>3</x:v>
      </x:c>
      <x:c r="E204" s="8" t="str">
        <x:v>OP-3</x:v>
      </x:c>
      <x:c r="F204" s="8" t="n">
        <x:v>2</x:v>
      </x:c>
      <x:c r="G204" s="8" t="str"/>
      <x:c r="H204" s="8" t="str"/>
      <x:c r="I204" s="8" t="str">
        <x:f>IF(H204="","OPEN",IF(NOT(ISNUMBER(G204)),"FAIL","PASS"))</x:f>
        <x:v>OPEN</x:v>
      </x:c>
    </x:row>
    <x:row r="205" ht="25" customHeight="1">
      <x:c r="B205" s="8" t="str">
        <x:v>MP-04-P04-O1-R1</x:v>
      </x:c>
      <x:c r="C205" s="8" t="str">
        <x:v>MP-04</x:v>
      </x:c>
      <x:c r="D205" s="8" t="n">
        <x:v>4</x:v>
      </x:c>
      <x:c r="E205" s="8" t="str">
        <x:v>OP-1</x:v>
      </x:c>
      <x:c r="F205" s="8" t="n">
        <x:v>1</x:v>
      </x:c>
      <x:c r="G205" s="8" t="str"/>
      <x:c r="H205" s="8" t="str"/>
      <x:c r="I205" s="8" t="str">
        <x:f>IF(H205="","OPEN",IF(NOT(ISNUMBER(G205)),"FAIL","PASS"))</x:f>
        <x:v>OPEN</x:v>
      </x:c>
    </x:row>
    <x:row r="206" ht="25" customHeight="1">
      <x:c r="B206" s="8" t="str">
        <x:v>MP-04-P04-O1-R2</x:v>
      </x:c>
      <x:c r="C206" s="8" t="str">
        <x:v>MP-04</x:v>
      </x:c>
      <x:c r="D206" s="8" t="n">
        <x:v>4</x:v>
      </x:c>
      <x:c r="E206" s="8" t="str">
        <x:v>OP-1</x:v>
      </x:c>
      <x:c r="F206" s="8" t="n">
        <x:v>2</x:v>
      </x:c>
      <x:c r="G206" s="8" t="str"/>
      <x:c r="H206" s="8" t="str"/>
      <x:c r="I206" s="8" t="str">
        <x:f>IF(H206="","OPEN",IF(NOT(ISNUMBER(G206)),"FAIL","PASS"))</x:f>
        <x:v>OPEN</x:v>
      </x:c>
    </x:row>
    <x:row r="207" ht="25" customHeight="1">
      <x:c r="B207" s="8" t="str">
        <x:v>MP-04-P04-O2-R1</x:v>
      </x:c>
      <x:c r="C207" s="8" t="str">
        <x:v>MP-04</x:v>
      </x:c>
      <x:c r="D207" s="8" t="n">
        <x:v>4</x:v>
      </x:c>
      <x:c r="E207" s="8" t="str">
        <x:v>OP-2</x:v>
      </x:c>
      <x:c r="F207" s="8" t="n">
        <x:v>1</x:v>
      </x:c>
      <x:c r="G207" s="8" t="str"/>
      <x:c r="H207" s="8" t="str"/>
      <x:c r="I207" s="8" t="str">
        <x:f>IF(H207="","OPEN",IF(NOT(ISNUMBER(G207)),"FAIL","PASS"))</x:f>
        <x:v>OPEN</x:v>
      </x:c>
    </x:row>
    <x:row r="208" ht="25" customHeight="1">
      <x:c r="B208" s="8" t="str">
        <x:v>MP-04-P04-O2-R2</x:v>
      </x:c>
      <x:c r="C208" s="8" t="str">
        <x:v>MP-04</x:v>
      </x:c>
      <x:c r="D208" s="8" t="n">
        <x:v>4</x:v>
      </x:c>
      <x:c r="E208" s="8" t="str">
        <x:v>OP-2</x:v>
      </x:c>
      <x:c r="F208" s="8" t="n">
        <x:v>2</x:v>
      </x:c>
      <x:c r="G208" s="8" t="str"/>
      <x:c r="H208" s="8" t="str"/>
      <x:c r="I208" s="8" t="str">
        <x:f>IF(H208="","OPEN",IF(NOT(ISNUMBER(G208)),"FAIL","PASS"))</x:f>
        <x:v>OPEN</x:v>
      </x:c>
    </x:row>
    <x:row r="209" ht="25" customHeight="1">
      <x:c r="B209" s="8" t="str">
        <x:v>MP-04-P04-O3-R1</x:v>
      </x:c>
      <x:c r="C209" s="8" t="str">
        <x:v>MP-04</x:v>
      </x:c>
      <x:c r="D209" s="8" t="n">
        <x:v>4</x:v>
      </x:c>
      <x:c r="E209" s="8" t="str">
        <x:v>OP-3</x:v>
      </x:c>
      <x:c r="F209" s="8" t="n">
        <x:v>1</x:v>
      </x:c>
      <x:c r="G209" s="8" t="str"/>
      <x:c r="H209" s="8" t="str"/>
      <x:c r="I209" s="8" t="str">
        <x:f>IF(H209="","OPEN",IF(NOT(ISNUMBER(G209)),"FAIL","PASS"))</x:f>
        <x:v>OPEN</x:v>
      </x:c>
    </x:row>
    <x:row r="210" ht="25" customHeight="1">
      <x:c r="B210" s="8" t="str">
        <x:v>MP-04-P04-O3-R2</x:v>
      </x:c>
      <x:c r="C210" s="8" t="str">
        <x:v>MP-04</x:v>
      </x:c>
      <x:c r="D210" s="8" t="n">
        <x:v>4</x:v>
      </x:c>
      <x:c r="E210" s="8" t="str">
        <x:v>OP-3</x:v>
      </x:c>
      <x:c r="F210" s="8" t="n">
        <x:v>2</x:v>
      </x:c>
      <x:c r="G210" s="8" t="str"/>
      <x:c r="H210" s="8" t="str"/>
      <x:c r="I210" s="8" t="str">
        <x:f>IF(H210="","OPEN",IF(NOT(ISNUMBER(G210)),"FAIL","PASS"))</x:f>
        <x:v>OPEN</x:v>
      </x:c>
    </x:row>
    <x:row r="211" ht="25" customHeight="1">
      <x:c r="B211" s="8" t="str">
        <x:v>MP-04-P05-O1-R1</x:v>
      </x:c>
      <x:c r="C211" s="8" t="str">
        <x:v>MP-04</x:v>
      </x:c>
      <x:c r="D211" s="8" t="n">
        <x:v>5</x:v>
      </x:c>
      <x:c r="E211" s="8" t="str">
        <x:v>OP-1</x:v>
      </x:c>
      <x:c r="F211" s="8" t="n">
        <x:v>1</x:v>
      </x:c>
      <x:c r="G211" s="8" t="str"/>
      <x:c r="H211" s="8" t="str"/>
      <x:c r="I211" s="8" t="str">
        <x:f>IF(H211="","OPEN",IF(NOT(ISNUMBER(G211)),"FAIL","PASS"))</x:f>
        <x:v>OPEN</x:v>
      </x:c>
    </x:row>
    <x:row r="212" ht="25" customHeight="1">
      <x:c r="B212" s="8" t="str">
        <x:v>MP-04-P05-O1-R2</x:v>
      </x:c>
      <x:c r="C212" s="8" t="str">
        <x:v>MP-04</x:v>
      </x:c>
      <x:c r="D212" s="8" t="n">
        <x:v>5</x:v>
      </x:c>
      <x:c r="E212" s="8" t="str">
        <x:v>OP-1</x:v>
      </x:c>
      <x:c r="F212" s="8" t="n">
        <x:v>2</x:v>
      </x:c>
      <x:c r="G212" s="8" t="str"/>
      <x:c r="H212" s="8" t="str"/>
      <x:c r="I212" s="8" t="str">
        <x:f>IF(H212="","OPEN",IF(NOT(ISNUMBER(G212)),"FAIL","PASS"))</x:f>
        <x:v>OPEN</x:v>
      </x:c>
    </x:row>
    <x:row r="213" ht="25" customHeight="1">
      <x:c r="B213" s="8" t="str">
        <x:v>MP-04-P05-O2-R1</x:v>
      </x:c>
      <x:c r="C213" s="8" t="str">
        <x:v>MP-04</x:v>
      </x:c>
      <x:c r="D213" s="8" t="n">
        <x:v>5</x:v>
      </x:c>
      <x:c r="E213" s="8" t="str">
        <x:v>OP-2</x:v>
      </x:c>
      <x:c r="F213" s="8" t="n">
        <x:v>1</x:v>
      </x:c>
      <x:c r="G213" s="8" t="str"/>
      <x:c r="H213" s="8" t="str"/>
      <x:c r="I213" s="8" t="str">
        <x:f>IF(H213="","OPEN",IF(NOT(ISNUMBER(G213)),"FAIL","PASS"))</x:f>
        <x:v>OPEN</x:v>
      </x:c>
    </x:row>
    <x:row r="214" ht="25" customHeight="1">
      <x:c r="B214" s="8" t="str">
        <x:v>MP-04-P05-O2-R2</x:v>
      </x:c>
      <x:c r="C214" s="8" t="str">
        <x:v>MP-04</x:v>
      </x:c>
      <x:c r="D214" s="8" t="n">
        <x:v>5</x:v>
      </x:c>
      <x:c r="E214" s="8" t="str">
        <x:v>OP-2</x:v>
      </x:c>
      <x:c r="F214" s="8" t="n">
        <x:v>2</x:v>
      </x:c>
      <x:c r="G214" s="8" t="str"/>
      <x:c r="H214" s="8" t="str"/>
      <x:c r="I214" s="8" t="str">
        <x:f>IF(H214="","OPEN",IF(NOT(ISNUMBER(G214)),"FAIL","PASS"))</x:f>
        <x:v>OPEN</x:v>
      </x:c>
    </x:row>
    <x:row r="215" ht="25" customHeight="1">
      <x:c r="B215" s="8" t="str">
        <x:v>MP-04-P05-O3-R1</x:v>
      </x:c>
      <x:c r="C215" s="8" t="str">
        <x:v>MP-04</x:v>
      </x:c>
      <x:c r="D215" s="8" t="n">
        <x:v>5</x:v>
      </x:c>
      <x:c r="E215" s="8" t="str">
        <x:v>OP-3</x:v>
      </x:c>
      <x:c r="F215" s="8" t="n">
        <x:v>1</x:v>
      </x:c>
      <x:c r="G215" s="8" t="str"/>
      <x:c r="H215" s="8" t="str"/>
      <x:c r="I215" s="8" t="str">
        <x:f>IF(H215="","OPEN",IF(NOT(ISNUMBER(G215)),"FAIL","PASS"))</x:f>
        <x:v>OPEN</x:v>
      </x:c>
    </x:row>
    <x:row r="216" ht="25" customHeight="1">
      <x:c r="B216" s="8" t="str">
        <x:v>MP-04-P05-O3-R2</x:v>
      </x:c>
      <x:c r="C216" s="8" t="str">
        <x:v>MP-04</x:v>
      </x:c>
      <x:c r="D216" s="8" t="n">
        <x:v>5</x:v>
      </x:c>
      <x:c r="E216" s="8" t="str">
        <x:v>OP-3</x:v>
      </x:c>
      <x:c r="F216" s="8" t="n">
        <x:v>2</x:v>
      </x:c>
      <x:c r="G216" s="8" t="str"/>
      <x:c r="H216" s="8" t="str"/>
      <x:c r="I216" s="8" t="str">
        <x:f>IF(H216="","OPEN",IF(NOT(ISNUMBER(G216)),"FAIL","PASS"))</x:f>
        <x:v>OPEN</x:v>
      </x:c>
    </x:row>
    <x:row r="217" ht="25" customHeight="1">
      <x:c r="B217" s="8" t="str">
        <x:v>MP-04-P06-O1-R1</x:v>
      </x:c>
      <x:c r="C217" s="8" t="str">
        <x:v>MP-04</x:v>
      </x:c>
      <x:c r="D217" s="8" t="n">
        <x:v>6</x:v>
      </x:c>
      <x:c r="E217" s="8" t="str">
        <x:v>OP-1</x:v>
      </x:c>
      <x:c r="F217" s="8" t="n">
        <x:v>1</x:v>
      </x:c>
      <x:c r="G217" s="8" t="str"/>
      <x:c r="H217" s="8" t="str"/>
      <x:c r="I217" s="8" t="str">
        <x:f>IF(H217="","OPEN",IF(NOT(ISNUMBER(G217)),"FAIL","PASS"))</x:f>
        <x:v>OPEN</x:v>
      </x:c>
    </x:row>
    <x:row r="218" ht="25" customHeight="1">
      <x:c r="B218" s="8" t="str">
        <x:v>MP-04-P06-O1-R2</x:v>
      </x:c>
      <x:c r="C218" s="8" t="str">
        <x:v>MP-04</x:v>
      </x:c>
      <x:c r="D218" s="8" t="n">
        <x:v>6</x:v>
      </x:c>
      <x:c r="E218" s="8" t="str">
        <x:v>OP-1</x:v>
      </x:c>
      <x:c r="F218" s="8" t="n">
        <x:v>2</x:v>
      </x:c>
      <x:c r="G218" s="8" t="str"/>
      <x:c r="H218" s="8" t="str"/>
      <x:c r="I218" s="8" t="str">
        <x:f>IF(H218="","OPEN",IF(NOT(ISNUMBER(G218)),"FAIL","PASS"))</x:f>
        <x:v>OPEN</x:v>
      </x:c>
    </x:row>
    <x:row r="219" ht="25" customHeight="1">
      <x:c r="B219" s="8" t="str">
        <x:v>MP-04-P06-O2-R1</x:v>
      </x:c>
      <x:c r="C219" s="8" t="str">
        <x:v>MP-04</x:v>
      </x:c>
      <x:c r="D219" s="8" t="n">
        <x:v>6</x:v>
      </x:c>
      <x:c r="E219" s="8" t="str">
        <x:v>OP-2</x:v>
      </x:c>
      <x:c r="F219" s="8" t="n">
        <x:v>1</x:v>
      </x:c>
      <x:c r="G219" s="8" t="str"/>
      <x:c r="H219" s="8" t="str"/>
      <x:c r="I219" s="8" t="str">
        <x:f>IF(H219="","OPEN",IF(NOT(ISNUMBER(G219)),"FAIL","PASS"))</x:f>
        <x:v>OPEN</x:v>
      </x:c>
    </x:row>
    <x:row r="220" ht="25" customHeight="1">
      <x:c r="B220" s="8" t="str">
        <x:v>MP-04-P06-O2-R2</x:v>
      </x:c>
      <x:c r="C220" s="8" t="str">
        <x:v>MP-04</x:v>
      </x:c>
      <x:c r="D220" s="8" t="n">
        <x:v>6</x:v>
      </x:c>
      <x:c r="E220" s="8" t="str">
        <x:v>OP-2</x:v>
      </x:c>
      <x:c r="F220" s="8" t="n">
        <x:v>2</x:v>
      </x:c>
      <x:c r="G220" s="8" t="str"/>
      <x:c r="H220" s="8" t="str"/>
      <x:c r="I220" s="8" t="str">
        <x:f>IF(H220="","OPEN",IF(NOT(ISNUMBER(G220)),"FAIL","PASS"))</x:f>
        <x:v>OPEN</x:v>
      </x:c>
    </x:row>
    <x:row r="221" ht="25" customHeight="1">
      <x:c r="B221" s="8" t="str">
        <x:v>MP-04-P06-O3-R1</x:v>
      </x:c>
      <x:c r="C221" s="8" t="str">
        <x:v>MP-04</x:v>
      </x:c>
      <x:c r="D221" s="8" t="n">
        <x:v>6</x:v>
      </x:c>
      <x:c r="E221" s="8" t="str">
        <x:v>OP-3</x:v>
      </x:c>
      <x:c r="F221" s="8" t="n">
        <x:v>1</x:v>
      </x:c>
      <x:c r="G221" s="8" t="str"/>
      <x:c r="H221" s="8" t="str"/>
      <x:c r="I221" s="8" t="str">
        <x:f>IF(H221="","OPEN",IF(NOT(ISNUMBER(G221)),"FAIL","PASS"))</x:f>
        <x:v>OPEN</x:v>
      </x:c>
    </x:row>
    <x:row r="222" ht="25" customHeight="1">
      <x:c r="B222" s="8" t="str">
        <x:v>MP-04-P06-O3-R2</x:v>
      </x:c>
      <x:c r="C222" s="8" t="str">
        <x:v>MP-04</x:v>
      </x:c>
      <x:c r="D222" s="8" t="n">
        <x:v>6</x:v>
      </x:c>
      <x:c r="E222" s="8" t="str">
        <x:v>OP-3</x:v>
      </x:c>
      <x:c r="F222" s="8" t="n">
        <x:v>2</x:v>
      </x:c>
      <x:c r="G222" s="8" t="str"/>
      <x:c r="H222" s="8" t="str"/>
      <x:c r="I222" s="8" t="str">
        <x:f>IF(H222="","OPEN",IF(NOT(ISNUMBER(G222)),"FAIL","PASS"))</x:f>
        <x:v>OPEN</x:v>
      </x:c>
    </x:row>
    <x:row r="223" ht="25" customHeight="1">
      <x:c r="B223" s="8" t="str">
        <x:v>MP-04-P07-O1-R1</x:v>
      </x:c>
      <x:c r="C223" s="8" t="str">
        <x:v>MP-04</x:v>
      </x:c>
      <x:c r="D223" s="8" t="n">
        <x:v>7</x:v>
      </x:c>
      <x:c r="E223" s="8" t="str">
        <x:v>OP-1</x:v>
      </x:c>
      <x:c r="F223" s="8" t="n">
        <x:v>1</x:v>
      </x:c>
      <x:c r="G223" s="8" t="str"/>
      <x:c r="H223" s="8" t="str"/>
      <x:c r="I223" s="8" t="str">
        <x:f>IF(H223="","OPEN",IF(NOT(ISNUMBER(G223)),"FAIL","PASS"))</x:f>
        <x:v>OPEN</x:v>
      </x:c>
    </x:row>
    <x:row r="224" ht="25" customHeight="1">
      <x:c r="B224" s="8" t="str">
        <x:v>MP-04-P07-O1-R2</x:v>
      </x:c>
      <x:c r="C224" s="8" t="str">
        <x:v>MP-04</x:v>
      </x:c>
      <x:c r="D224" s="8" t="n">
        <x:v>7</x:v>
      </x:c>
      <x:c r="E224" s="8" t="str">
        <x:v>OP-1</x:v>
      </x:c>
      <x:c r="F224" s="8" t="n">
        <x:v>2</x:v>
      </x:c>
      <x:c r="G224" s="8" t="str"/>
      <x:c r="H224" s="8" t="str"/>
      <x:c r="I224" s="8" t="str">
        <x:f>IF(H224="","OPEN",IF(NOT(ISNUMBER(G224)),"FAIL","PASS"))</x:f>
        <x:v>OPEN</x:v>
      </x:c>
    </x:row>
    <x:row r="225" ht="25" customHeight="1">
      <x:c r="B225" s="8" t="str">
        <x:v>MP-04-P07-O2-R1</x:v>
      </x:c>
      <x:c r="C225" s="8" t="str">
        <x:v>MP-04</x:v>
      </x:c>
      <x:c r="D225" s="8" t="n">
        <x:v>7</x:v>
      </x:c>
      <x:c r="E225" s="8" t="str">
        <x:v>OP-2</x:v>
      </x:c>
      <x:c r="F225" s="8" t="n">
        <x:v>1</x:v>
      </x:c>
      <x:c r="G225" s="8" t="str"/>
      <x:c r="H225" s="8" t="str"/>
      <x:c r="I225" s="8" t="str">
        <x:f>IF(H225="","OPEN",IF(NOT(ISNUMBER(G225)),"FAIL","PASS"))</x:f>
        <x:v>OPEN</x:v>
      </x:c>
    </x:row>
    <x:row r="226" ht="25" customHeight="1">
      <x:c r="B226" s="8" t="str">
        <x:v>MP-04-P07-O2-R2</x:v>
      </x:c>
      <x:c r="C226" s="8" t="str">
        <x:v>MP-04</x:v>
      </x:c>
      <x:c r="D226" s="8" t="n">
        <x:v>7</x:v>
      </x:c>
      <x:c r="E226" s="8" t="str">
        <x:v>OP-2</x:v>
      </x:c>
      <x:c r="F226" s="8" t="n">
        <x:v>2</x:v>
      </x:c>
      <x:c r="G226" s="8" t="str"/>
      <x:c r="H226" s="8" t="str"/>
      <x:c r="I226" s="8" t="str">
        <x:f>IF(H226="","OPEN",IF(NOT(ISNUMBER(G226)),"FAIL","PASS"))</x:f>
        <x:v>OPEN</x:v>
      </x:c>
    </x:row>
    <x:row r="227" ht="25" customHeight="1">
      <x:c r="B227" s="8" t="str">
        <x:v>MP-04-P07-O3-R1</x:v>
      </x:c>
      <x:c r="C227" s="8" t="str">
        <x:v>MP-04</x:v>
      </x:c>
      <x:c r="D227" s="8" t="n">
        <x:v>7</x:v>
      </x:c>
      <x:c r="E227" s="8" t="str">
        <x:v>OP-3</x:v>
      </x:c>
      <x:c r="F227" s="8" t="n">
        <x:v>1</x:v>
      </x:c>
      <x:c r="G227" s="8" t="str"/>
      <x:c r="H227" s="8" t="str"/>
      <x:c r="I227" s="8" t="str">
        <x:f>IF(H227="","OPEN",IF(NOT(ISNUMBER(G227)),"FAIL","PASS"))</x:f>
        <x:v>OPEN</x:v>
      </x:c>
    </x:row>
    <x:row r="228" ht="25" customHeight="1">
      <x:c r="B228" s="8" t="str">
        <x:v>MP-04-P07-O3-R2</x:v>
      </x:c>
      <x:c r="C228" s="8" t="str">
        <x:v>MP-04</x:v>
      </x:c>
      <x:c r="D228" s="8" t="n">
        <x:v>7</x:v>
      </x:c>
      <x:c r="E228" s="8" t="str">
        <x:v>OP-3</x:v>
      </x:c>
      <x:c r="F228" s="8" t="n">
        <x:v>2</x:v>
      </x:c>
      <x:c r="G228" s="8" t="str"/>
      <x:c r="H228" s="8" t="str"/>
      <x:c r="I228" s="8" t="str">
        <x:f>IF(H228="","OPEN",IF(NOT(ISNUMBER(G228)),"FAIL","PASS"))</x:f>
        <x:v>OPEN</x:v>
      </x:c>
    </x:row>
    <x:row r="229" ht="25" customHeight="1">
      <x:c r="B229" s="8" t="str">
        <x:v>MP-04-P08-O1-R1</x:v>
      </x:c>
      <x:c r="C229" s="8" t="str">
        <x:v>MP-04</x:v>
      </x:c>
      <x:c r="D229" s="8" t="n">
        <x:v>8</x:v>
      </x:c>
      <x:c r="E229" s="8" t="str">
        <x:v>OP-1</x:v>
      </x:c>
      <x:c r="F229" s="8" t="n">
        <x:v>1</x:v>
      </x:c>
      <x:c r="G229" s="8" t="str"/>
      <x:c r="H229" s="8" t="str"/>
      <x:c r="I229" s="8" t="str">
        <x:f>IF(H229="","OPEN",IF(NOT(ISNUMBER(G229)),"FAIL","PASS"))</x:f>
        <x:v>OPEN</x:v>
      </x:c>
    </x:row>
    <x:row r="230" ht="25" customHeight="1">
      <x:c r="B230" s="8" t="str">
        <x:v>MP-04-P08-O1-R2</x:v>
      </x:c>
      <x:c r="C230" s="8" t="str">
        <x:v>MP-04</x:v>
      </x:c>
      <x:c r="D230" s="8" t="n">
        <x:v>8</x:v>
      </x:c>
      <x:c r="E230" s="8" t="str">
        <x:v>OP-1</x:v>
      </x:c>
      <x:c r="F230" s="8" t="n">
        <x:v>2</x:v>
      </x:c>
      <x:c r="G230" s="8" t="str"/>
      <x:c r="H230" s="8" t="str"/>
      <x:c r="I230" s="8" t="str">
        <x:f>IF(H230="","OPEN",IF(NOT(ISNUMBER(G230)),"FAIL","PASS"))</x:f>
        <x:v>OPEN</x:v>
      </x:c>
    </x:row>
    <x:row r="231" ht="25" customHeight="1">
      <x:c r="B231" s="8" t="str">
        <x:v>MP-04-P08-O2-R1</x:v>
      </x:c>
      <x:c r="C231" s="8" t="str">
        <x:v>MP-04</x:v>
      </x:c>
      <x:c r="D231" s="8" t="n">
        <x:v>8</x:v>
      </x:c>
      <x:c r="E231" s="8" t="str">
        <x:v>OP-2</x:v>
      </x:c>
      <x:c r="F231" s="8" t="n">
        <x:v>1</x:v>
      </x:c>
      <x:c r="G231" s="8" t="str"/>
      <x:c r="H231" s="8" t="str"/>
      <x:c r="I231" s="8" t="str">
        <x:f>IF(H231="","OPEN",IF(NOT(ISNUMBER(G231)),"FAIL","PASS"))</x:f>
        <x:v>OPEN</x:v>
      </x:c>
    </x:row>
    <x:row r="232" ht="25" customHeight="1">
      <x:c r="B232" s="8" t="str">
        <x:v>MP-04-P08-O2-R2</x:v>
      </x:c>
      <x:c r="C232" s="8" t="str">
        <x:v>MP-04</x:v>
      </x:c>
      <x:c r="D232" s="8" t="n">
        <x:v>8</x:v>
      </x:c>
      <x:c r="E232" s="8" t="str">
        <x:v>OP-2</x:v>
      </x:c>
      <x:c r="F232" s="8" t="n">
        <x:v>2</x:v>
      </x:c>
      <x:c r="G232" s="8" t="str"/>
      <x:c r="H232" s="8" t="str"/>
      <x:c r="I232" s="8" t="str">
        <x:f>IF(H232="","OPEN",IF(NOT(ISNUMBER(G232)),"FAIL","PASS"))</x:f>
        <x:v>OPEN</x:v>
      </x:c>
    </x:row>
    <x:row r="233" ht="25" customHeight="1">
      <x:c r="B233" s="8" t="str">
        <x:v>MP-04-P08-O3-R1</x:v>
      </x:c>
      <x:c r="C233" s="8" t="str">
        <x:v>MP-04</x:v>
      </x:c>
      <x:c r="D233" s="8" t="n">
        <x:v>8</x:v>
      </x:c>
      <x:c r="E233" s="8" t="str">
        <x:v>OP-3</x:v>
      </x:c>
      <x:c r="F233" s="8" t="n">
        <x:v>1</x:v>
      </x:c>
      <x:c r="G233" s="8" t="str"/>
      <x:c r="H233" s="8" t="str"/>
      <x:c r="I233" s="8" t="str">
        <x:f>IF(H233="","OPEN",IF(NOT(ISNUMBER(G233)),"FAIL","PASS"))</x:f>
        <x:v>OPEN</x:v>
      </x:c>
    </x:row>
    <x:row r="234" ht="25" customHeight="1">
      <x:c r="B234" s="8" t="str">
        <x:v>MP-04-P08-O3-R2</x:v>
      </x:c>
      <x:c r="C234" s="8" t="str">
        <x:v>MP-04</x:v>
      </x:c>
      <x:c r="D234" s="8" t="n">
        <x:v>8</x:v>
      </x:c>
      <x:c r="E234" s="8" t="str">
        <x:v>OP-3</x:v>
      </x:c>
      <x:c r="F234" s="8" t="n">
        <x:v>2</x:v>
      </x:c>
      <x:c r="G234" s="8" t="str"/>
      <x:c r="H234" s="8" t="str"/>
      <x:c r="I234" s="8" t="str">
        <x:f>IF(H234="","OPEN",IF(NOT(ISNUMBER(G234)),"FAIL","PASS"))</x:f>
        <x:v>OPEN</x:v>
      </x:c>
    </x:row>
    <x:row r="235" ht="25" customHeight="1">
      <x:c r="B235" s="8" t="str">
        <x:v>MP-04-P09-O1-R1</x:v>
      </x:c>
      <x:c r="C235" s="8" t="str">
        <x:v>MP-04</x:v>
      </x:c>
      <x:c r="D235" s="8" t="n">
        <x:v>9</x:v>
      </x:c>
      <x:c r="E235" s="8" t="str">
        <x:v>OP-1</x:v>
      </x:c>
      <x:c r="F235" s="8" t="n">
        <x:v>1</x:v>
      </x:c>
      <x:c r="G235" s="8" t="str"/>
      <x:c r="H235" s="8" t="str"/>
      <x:c r="I235" s="8" t="str">
        <x:f>IF(H235="","OPEN",IF(NOT(ISNUMBER(G235)),"FAIL","PASS"))</x:f>
        <x:v>OPEN</x:v>
      </x:c>
    </x:row>
    <x:row r="236" ht="25" customHeight="1">
      <x:c r="B236" s="8" t="str">
        <x:v>MP-04-P09-O1-R2</x:v>
      </x:c>
      <x:c r="C236" s="8" t="str">
        <x:v>MP-04</x:v>
      </x:c>
      <x:c r="D236" s="8" t="n">
        <x:v>9</x:v>
      </x:c>
      <x:c r="E236" s="8" t="str">
        <x:v>OP-1</x:v>
      </x:c>
      <x:c r="F236" s="8" t="n">
        <x:v>2</x:v>
      </x:c>
      <x:c r="G236" s="8" t="str"/>
      <x:c r="H236" s="8" t="str"/>
      <x:c r="I236" s="8" t="str">
        <x:f>IF(H236="","OPEN",IF(NOT(ISNUMBER(G236)),"FAIL","PASS"))</x:f>
        <x:v>OPEN</x:v>
      </x:c>
    </x:row>
    <x:row r="237" ht="25" customHeight="1">
      <x:c r="B237" s="8" t="str">
        <x:v>MP-04-P09-O2-R1</x:v>
      </x:c>
      <x:c r="C237" s="8" t="str">
        <x:v>MP-04</x:v>
      </x:c>
      <x:c r="D237" s="8" t="n">
        <x:v>9</x:v>
      </x:c>
      <x:c r="E237" s="8" t="str">
        <x:v>OP-2</x:v>
      </x:c>
      <x:c r="F237" s="8" t="n">
        <x:v>1</x:v>
      </x:c>
      <x:c r="G237" s="8" t="str"/>
      <x:c r="H237" s="8" t="str"/>
      <x:c r="I237" s="8" t="str">
        <x:f>IF(H237="","OPEN",IF(NOT(ISNUMBER(G237)),"FAIL","PASS"))</x:f>
        <x:v>OPEN</x:v>
      </x:c>
    </x:row>
    <x:row r="238" ht="25" customHeight="1">
      <x:c r="B238" s="8" t="str">
        <x:v>MP-04-P09-O2-R2</x:v>
      </x:c>
      <x:c r="C238" s="8" t="str">
        <x:v>MP-04</x:v>
      </x:c>
      <x:c r="D238" s="8" t="n">
        <x:v>9</x:v>
      </x:c>
      <x:c r="E238" s="8" t="str">
        <x:v>OP-2</x:v>
      </x:c>
      <x:c r="F238" s="8" t="n">
        <x:v>2</x:v>
      </x:c>
      <x:c r="G238" s="8" t="str"/>
      <x:c r="H238" s="8" t="str"/>
      <x:c r="I238" s="8" t="str">
        <x:f>IF(H238="","OPEN",IF(NOT(ISNUMBER(G238)),"FAIL","PASS"))</x:f>
        <x:v>OPEN</x:v>
      </x:c>
    </x:row>
    <x:row r="239" ht="25" customHeight="1">
      <x:c r="B239" s="8" t="str">
        <x:v>MP-04-P09-O3-R1</x:v>
      </x:c>
      <x:c r="C239" s="8" t="str">
        <x:v>MP-04</x:v>
      </x:c>
      <x:c r="D239" s="8" t="n">
        <x:v>9</x:v>
      </x:c>
      <x:c r="E239" s="8" t="str">
        <x:v>OP-3</x:v>
      </x:c>
      <x:c r="F239" s="8" t="n">
        <x:v>1</x:v>
      </x:c>
      <x:c r="G239" s="8" t="str"/>
      <x:c r="H239" s="8" t="str"/>
      <x:c r="I239" s="8" t="str">
        <x:f>IF(H239="","OPEN",IF(NOT(ISNUMBER(G239)),"FAIL","PASS"))</x:f>
        <x:v>OPEN</x:v>
      </x:c>
    </x:row>
    <x:row r="240" ht="25" customHeight="1">
      <x:c r="B240" s="8" t="str">
        <x:v>MP-04-P09-O3-R2</x:v>
      </x:c>
      <x:c r="C240" s="8" t="str">
        <x:v>MP-04</x:v>
      </x:c>
      <x:c r="D240" s="8" t="n">
        <x:v>9</x:v>
      </x:c>
      <x:c r="E240" s="8" t="str">
        <x:v>OP-3</x:v>
      </x:c>
      <x:c r="F240" s="8" t="n">
        <x:v>2</x:v>
      </x:c>
      <x:c r="G240" s="8" t="str"/>
      <x:c r="H240" s="8" t="str"/>
      <x:c r="I240" s="8" t="str">
        <x:f>IF(H240="","OPEN",IF(NOT(ISNUMBER(G240)),"FAIL","PASS"))</x:f>
        <x:v>OPEN</x:v>
      </x:c>
    </x:row>
    <x:row r="241" ht="25" customHeight="1">
      <x:c r="B241" s="8" t="str">
        <x:v>MP-04-P10-O1-R1</x:v>
      </x:c>
      <x:c r="C241" s="8" t="str">
        <x:v>MP-04</x:v>
      </x:c>
      <x:c r="D241" s="8" t="n">
        <x:v>10</x:v>
      </x:c>
      <x:c r="E241" s="8" t="str">
        <x:v>OP-1</x:v>
      </x:c>
      <x:c r="F241" s="8" t="n">
        <x:v>1</x:v>
      </x:c>
      <x:c r="G241" s="8" t="str"/>
      <x:c r="H241" s="8" t="str"/>
      <x:c r="I241" s="8" t="str">
        <x:f>IF(H241="","OPEN",IF(NOT(ISNUMBER(G241)),"FAIL","PASS"))</x:f>
        <x:v>OPEN</x:v>
      </x:c>
    </x:row>
    <x:row r="242" ht="25" customHeight="1">
      <x:c r="B242" s="8" t="str">
        <x:v>MP-04-P10-O1-R2</x:v>
      </x:c>
      <x:c r="C242" s="8" t="str">
        <x:v>MP-04</x:v>
      </x:c>
      <x:c r="D242" s="8" t="n">
        <x:v>10</x:v>
      </x:c>
      <x:c r="E242" s="8" t="str">
        <x:v>OP-1</x:v>
      </x:c>
      <x:c r="F242" s="8" t="n">
        <x:v>2</x:v>
      </x:c>
      <x:c r="G242" s="8" t="str"/>
      <x:c r="H242" s="8" t="str"/>
      <x:c r="I242" s="8" t="str">
        <x:f>IF(H242="","OPEN",IF(NOT(ISNUMBER(G242)),"FAIL","PASS"))</x:f>
        <x:v>OPEN</x:v>
      </x:c>
    </x:row>
    <x:row r="243" ht="25" customHeight="1">
      <x:c r="B243" s="8" t="str">
        <x:v>MP-04-P10-O2-R1</x:v>
      </x:c>
      <x:c r="C243" s="8" t="str">
        <x:v>MP-04</x:v>
      </x:c>
      <x:c r="D243" s="8" t="n">
        <x:v>10</x:v>
      </x:c>
      <x:c r="E243" s="8" t="str">
        <x:v>OP-2</x:v>
      </x:c>
      <x:c r="F243" s="8" t="n">
        <x:v>1</x:v>
      </x:c>
      <x:c r="G243" s="8" t="str"/>
      <x:c r="H243" s="8" t="str"/>
      <x:c r="I243" s="8" t="str">
        <x:f>IF(H243="","OPEN",IF(NOT(ISNUMBER(G243)),"FAIL","PASS"))</x:f>
        <x:v>OPEN</x:v>
      </x:c>
    </x:row>
    <x:row r="244" ht="25" customHeight="1">
      <x:c r="B244" s="8" t="str">
        <x:v>MP-04-P10-O2-R2</x:v>
      </x:c>
      <x:c r="C244" s="8" t="str">
        <x:v>MP-04</x:v>
      </x:c>
      <x:c r="D244" s="8" t="n">
        <x:v>10</x:v>
      </x:c>
      <x:c r="E244" s="8" t="str">
        <x:v>OP-2</x:v>
      </x:c>
      <x:c r="F244" s="8" t="n">
        <x:v>2</x:v>
      </x:c>
      <x:c r="G244" s="8" t="str"/>
      <x:c r="H244" s="8" t="str"/>
      <x:c r="I244" s="8" t="str">
        <x:f>IF(H244="","OPEN",IF(NOT(ISNUMBER(G244)),"FAIL","PASS"))</x:f>
        <x:v>OPEN</x:v>
      </x:c>
    </x:row>
    <x:row r="245" ht="25" customHeight="1">
      <x:c r="B245" s="8" t="str">
        <x:v>MP-04-P10-O3-R1</x:v>
      </x:c>
      <x:c r="C245" s="8" t="str">
        <x:v>MP-04</x:v>
      </x:c>
      <x:c r="D245" s="8" t="n">
        <x:v>10</x:v>
      </x:c>
      <x:c r="E245" s="8" t="str">
        <x:v>OP-3</x:v>
      </x:c>
      <x:c r="F245" s="8" t="n">
        <x:v>1</x:v>
      </x:c>
      <x:c r="G245" s="8" t="str"/>
      <x:c r="H245" s="8" t="str"/>
      <x:c r="I245" s="8" t="str">
        <x:f>IF(H245="","OPEN",IF(NOT(ISNUMBER(G245)),"FAIL","PASS"))</x:f>
        <x:v>OPEN</x:v>
      </x:c>
    </x:row>
    <x:row r="246" ht="25" customHeight="1">
      <x:c r="B246" s="8" t="str">
        <x:v>MP-04-P10-O3-R2</x:v>
      </x:c>
      <x:c r="C246" s="8" t="str">
        <x:v>MP-04</x:v>
      </x:c>
      <x:c r="D246" s="8" t="n">
        <x:v>10</x:v>
      </x:c>
      <x:c r="E246" s="8" t="str">
        <x:v>OP-3</x:v>
      </x:c>
      <x:c r="F246" s="8" t="n">
        <x:v>2</x:v>
      </x:c>
      <x:c r="G246" s="8" t="str"/>
      <x:c r="H246" s="8" t="str"/>
      <x:c r="I246" s="8" t="str">
        <x:f>IF(H246="","OPEN",IF(NOT(ISNUMBER(G246)),"FAIL","PASS"))</x:f>
        <x:v>OPEN</x:v>
      </x:c>
    </x:row>
    <x:row r="247" ht="25" customHeight="1">
      <x:c r="B247" s="8" t="str">
        <x:v>MP-05-P01-O1-R1</x:v>
      </x:c>
      <x:c r="C247" s="8" t="str">
        <x:v>MP-05</x:v>
      </x:c>
      <x:c r="D247" s="8" t="n">
        <x:v>1</x:v>
      </x:c>
      <x:c r="E247" s="8" t="str">
        <x:v>OP-1</x:v>
      </x:c>
      <x:c r="F247" s="8" t="n">
        <x:v>1</x:v>
      </x:c>
      <x:c r="G247" s="8" t="str"/>
      <x:c r="H247" s="8" t="str"/>
      <x:c r="I247" s="8" t="str">
        <x:f>IF(H247="","OPEN",IF(NOT(ISNUMBER(G247)),"FAIL","PASS"))</x:f>
        <x:v>OPEN</x:v>
      </x:c>
    </x:row>
    <x:row r="248" ht="25" customHeight="1">
      <x:c r="B248" s="8" t="str">
        <x:v>MP-05-P01-O1-R2</x:v>
      </x:c>
      <x:c r="C248" s="8" t="str">
        <x:v>MP-05</x:v>
      </x:c>
      <x:c r="D248" s="8" t="n">
        <x:v>1</x:v>
      </x:c>
      <x:c r="E248" s="8" t="str">
        <x:v>OP-1</x:v>
      </x:c>
      <x:c r="F248" s="8" t="n">
        <x:v>2</x:v>
      </x:c>
      <x:c r="G248" s="8" t="str"/>
      <x:c r="H248" s="8" t="str"/>
      <x:c r="I248" s="8" t="str">
        <x:f>IF(H248="","OPEN",IF(NOT(ISNUMBER(G248)),"FAIL","PASS"))</x:f>
        <x:v>OPEN</x:v>
      </x:c>
    </x:row>
    <x:row r="249" ht="25" customHeight="1">
      <x:c r="B249" s="8" t="str">
        <x:v>MP-05-P01-O2-R1</x:v>
      </x:c>
      <x:c r="C249" s="8" t="str">
        <x:v>MP-05</x:v>
      </x:c>
      <x:c r="D249" s="8" t="n">
        <x:v>1</x:v>
      </x:c>
      <x:c r="E249" s="8" t="str">
        <x:v>OP-2</x:v>
      </x:c>
      <x:c r="F249" s="8" t="n">
        <x:v>1</x:v>
      </x:c>
      <x:c r="G249" s="8" t="str"/>
      <x:c r="H249" s="8" t="str"/>
      <x:c r="I249" s="8" t="str">
        <x:f>IF(H249="","OPEN",IF(NOT(ISNUMBER(G249)),"FAIL","PASS"))</x:f>
        <x:v>OPEN</x:v>
      </x:c>
    </x:row>
    <x:row r="250" ht="25" customHeight="1">
      <x:c r="B250" s="8" t="str">
        <x:v>MP-05-P01-O2-R2</x:v>
      </x:c>
      <x:c r="C250" s="8" t="str">
        <x:v>MP-05</x:v>
      </x:c>
      <x:c r="D250" s="8" t="n">
        <x:v>1</x:v>
      </x:c>
      <x:c r="E250" s="8" t="str">
        <x:v>OP-2</x:v>
      </x:c>
      <x:c r="F250" s="8" t="n">
        <x:v>2</x:v>
      </x:c>
      <x:c r="G250" s="8" t="str"/>
      <x:c r="H250" s="8" t="str"/>
      <x:c r="I250" s="8" t="str">
        <x:f>IF(H250="","OPEN",IF(NOT(ISNUMBER(G250)),"FAIL","PASS"))</x:f>
        <x:v>OPEN</x:v>
      </x:c>
    </x:row>
    <x:row r="251" ht="25" customHeight="1">
      <x:c r="B251" s="8" t="str">
        <x:v>MP-05-P01-O3-R1</x:v>
      </x:c>
      <x:c r="C251" s="8" t="str">
        <x:v>MP-05</x:v>
      </x:c>
      <x:c r="D251" s="8" t="n">
        <x:v>1</x:v>
      </x:c>
      <x:c r="E251" s="8" t="str">
        <x:v>OP-3</x:v>
      </x:c>
      <x:c r="F251" s="8" t="n">
        <x:v>1</x:v>
      </x:c>
      <x:c r="G251" s="8" t="str"/>
      <x:c r="H251" s="8" t="str"/>
      <x:c r="I251" s="8" t="str">
        <x:f>IF(H251="","OPEN",IF(NOT(ISNUMBER(G251)),"FAIL","PASS"))</x:f>
        <x:v>OPEN</x:v>
      </x:c>
    </x:row>
    <x:row r="252" ht="25" customHeight="1">
      <x:c r="B252" s="8" t="str">
        <x:v>MP-05-P01-O3-R2</x:v>
      </x:c>
      <x:c r="C252" s="8" t="str">
        <x:v>MP-05</x:v>
      </x:c>
      <x:c r="D252" s="8" t="n">
        <x:v>1</x:v>
      </x:c>
      <x:c r="E252" s="8" t="str">
        <x:v>OP-3</x:v>
      </x:c>
      <x:c r="F252" s="8" t="n">
        <x:v>2</x:v>
      </x:c>
      <x:c r="G252" s="8" t="str"/>
      <x:c r="H252" s="8" t="str"/>
      <x:c r="I252" s="8" t="str">
        <x:f>IF(H252="","OPEN",IF(NOT(ISNUMBER(G252)),"FAIL","PASS"))</x:f>
        <x:v>OPEN</x:v>
      </x:c>
    </x:row>
    <x:row r="253" ht="25" customHeight="1">
      <x:c r="B253" s="8" t="str">
        <x:v>MP-05-P02-O1-R1</x:v>
      </x:c>
      <x:c r="C253" s="8" t="str">
        <x:v>MP-05</x:v>
      </x:c>
      <x:c r="D253" s="8" t="n">
        <x:v>2</x:v>
      </x:c>
      <x:c r="E253" s="8" t="str">
        <x:v>OP-1</x:v>
      </x:c>
      <x:c r="F253" s="8" t="n">
        <x:v>1</x:v>
      </x:c>
      <x:c r="G253" s="8" t="str"/>
      <x:c r="H253" s="8" t="str"/>
      <x:c r="I253" s="8" t="str">
        <x:f>IF(H253="","OPEN",IF(NOT(ISNUMBER(G253)),"FAIL","PASS"))</x:f>
        <x:v>OPEN</x:v>
      </x:c>
    </x:row>
    <x:row r="254" ht="25" customHeight="1">
      <x:c r="B254" s="8" t="str">
        <x:v>MP-05-P02-O1-R2</x:v>
      </x:c>
      <x:c r="C254" s="8" t="str">
        <x:v>MP-05</x:v>
      </x:c>
      <x:c r="D254" s="8" t="n">
        <x:v>2</x:v>
      </x:c>
      <x:c r="E254" s="8" t="str">
        <x:v>OP-1</x:v>
      </x:c>
      <x:c r="F254" s="8" t="n">
        <x:v>2</x:v>
      </x:c>
      <x:c r="G254" s="8" t="str"/>
      <x:c r="H254" s="8" t="str"/>
      <x:c r="I254" s="8" t="str">
        <x:f>IF(H254="","OPEN",IF(NOT(ISNUMBER(G254)),"FAIL","PASS"))</x:f>
        <x:v>OPEN</x:v>
      </x:c>
    </x:row>
    <x:row r="255" ht="25" customHeight="1">
      <x:c r="B255" s="8" t="str">
        <x:v>MP-05-P02-O2-R1</x:v>
      </x:c>
      <x:c r="C255" s="8" t="str">
        <x:v>MP-05</x:v>
      </x:c>
      <x:c r="D255" s="8" t="n">
        <x:v>2</x:v>
      </x:c>
      <x:c r="E255" s="8" t="str">
        <x:v>OP-2</x:v>
      </x:c>
      <x:c r="F255" s="8" t="n">
        <x:v>1</x:v>
      </x:c>
      <x:c r="G255" s="8" t="str"/>
      <x:c r="H255" s="8" t="str"/>
      <x:c r="I255" s="8" t="str">
        <x:f>IF(H255="","OPEN",IF(NOT(ISNUMBER(G255)),"FAIL","PASS"))</x:f>
        <x:v>OPEN</x:v>
      </x:c>
    </x:row>
    <x:row r="256" ht="25" customHeight="1">
      <x:c r="B256" s="8" t="str">
        <x:v>MP-05-P02-O2-R2</x:v>
      </x:c>
      <x:c r="C256" s="8" t="str">
        <x:v>MP-05</x:v>
      </x:c>
      <x:c r="D256" s="8" t="n">
        <x:v>2</x:v>
      </x:c>
      <x:c r="E256" s="8" t="str">
        <x:v>OP-2</x:v>
      </x:c>
      <x:c r="F256" s="8" t="n">
        <x:v>2</x:v>
      </x:c>
      <x:c r="G256" s="8" t="str"/>
      <x:c r="H256" s="8" t="str"/>
      <x:c r="I256" s="8" t="str">
        <x:f>IF(H256="","OPEN",IF(NOT(ISNUMBER(G256)),"FAIL","PASS"))</x:f>
        <x:v>OPEN</x:v>
      </x:c>
    </x:row>
    <x:row r="257" ht="25" customHeight="1">
      <x:c r="B257" s="8" t="str">
        <x:v>MP-05-P02-O3-R1</x:v>
      </x:c>
      <x:c r="C257" s="8" t="str">
        <x:v>MP-05</x:v>
      </x:c>
      <x:c r="D257" s="8" t="n">
        <x:v>2</x:v>
      </x:c>
      <x:c r="E257" s="8" t="str">
        <x:v>OP-3</x:v>
      </x:c>
      <x:c r="F257" s="8" t="n">
        <x:v>1</x:v>
      </x:c>
      <x:c r="G257" s="8" t="str"/>
      <x:c r="H257" s="8" t="str"/>
      <x:c r="I257" s="8" t="str">
        <x:f>IF(H257="","OPEN",IF(NOT(ISNUMBER(G257)),"FAIL","PASS"))</x:f>
        <x:v>OPEN</x:v>
      </x:c>
    </x:row>
    <x:row r="258" ht="25" customHeight="1">
      <x:c r="B258" s="8" t="str">
        <x:v>MP-05-P02-O3-R2</x:v>
      </x:c>
      <x:c r="C258" s="8" t="str">
        <x:v>MP-05</x:v>
      </x:c>
      <x:c r="D258" s="8" t="n">
        <x:v>2</x:v>
      </x:c>
      <x:c r="E258" s="8" t="str">
        <x:v>OP-3</x:v>
      </x:c>
      <x:c r="F258" s="8" t="n">
        <x:v>2</x:v>
      </x:c>
      <x:c r="G258" s="8" t="str"/>
      <x:c r="H258" s="8" t="str"/>
      <x:c r="I258" s="8" t="str">
        <x:f>IF(H258="","OPEN",IF(NOT(ISNUMBER(G258)),"FAIL","PASS"))</x:f>
        <x:v>OPEN</x:v>
      </x:c>
    </x:row>
    <x:row r="259" ht="25" customHeight="1">
      <x:c r="B259" s="8" t="str">
        <x:v>MP-05-P03-O1-R1</x:v>
      </x:c>
      <x:c r="C259" s="8" t="str">
        <x:v>MP-05</x:v>
      </x:c>
      <x:c r="D259" s="8" t="n">
        <x:v>3</x:v>
      </x:c>
      <x:c r="E259" s="8" t="str">
        <x:v>OP-1</x:v>
      </x:c>
      <x:c r="F259" s="8" t="n">
        <x:v>1</x:v>
      </x:c>
      <x:c r="G259" s="8" t="str"/>
      <x:c r="H259" s="8" t="str"/>
      <x:c r="I259" s="8" t="str">
        <x:f>IF(H259="","OPEN",IF(NOT(ISNUMBER(G259)),"FAIL","PASS"))</x:f>
        <x:v>OPEN</x:v>
      </x:c>
    </x:row>
    <x:row r="260" ht="25" customHeight="1">
      <x:c r="B260" s="8" t="str">
        <x:v>MP-05-P03-O1-R2</x:v>
      </x:c>
      <x:c r="C260" s="8" t="str">
        <x:v>MP-05</x:v>
      </x:c>
      <x:c r="D260" s="8" t="n">
        <x:v>3</x:v>
      </x:c>
      <x:c r="E260" s="8" t="str">
        <x:v>OP-1</x:v>
      </x:c>
      <x:c r="F260" s="8" t="n">
        <x:v>2</x:v>
      </x:c>
      <x:c r="G260" s="8" t="str"/>
      <x:c r="H260" s="8" t="str"/>
      <x:c r="I260" s="8" t="str">
        <x:f>IF(H260="","OPEN",IF(NOT(ISNUMBER(G260)),"FAIL","PASS"))</x:f>
        <x:v>OPEN</x:v>
      </x:c>
    </x:row>
    <x:row r="261" ht="25" customHeight="1">
      <x:c r="B261" s="8" t="str">
        <x:v>MP-05-P03-O2-R1</x:v>
      </x:c>
      <x:c r="C261" s="8" t="str">
        <x:v>MP-05</x:v>
      </x:c>
      <x:c r="D261" s="8" t="n">
        <x:v>3</x:v>
      </x:c>
      <x:c r="E261" s="8" t="str">
        <x:v>OP-2</x:v>
      </x:c>
      <x:c r="F261" s="8" t="n">
        <x:v>1</x:v>
      </x:c>
      <x:c r="G261" s="8" t="str"/>
      <x:c r="H261" s="8" t="str"/>
      <x:c r="I261" s="8" t="str">
        <x:f>IF(H261="","OPEN",IF(NOT(ISNUMBER(G261)),"FAIL","PASS"))</x:f>
        <x:v>OPEN</x:v>
      </x:c>
    </x:row>
    <x:row r="262" ht="25" customHeight="1">
      <x:c r="B262" s="8" t="str">
        <x:v>MP-05-P03-O2-R2</x:v>
      </x:c>
      <x:c r="C262" s="8" t="str">
        <x:v>MP-05</x:v>
      </x:c>
      <x:c r="D262" s="8" t="n">
        <x:v>3</x:v>
      </x:c>
      <x:c r="E262" s="8" t="str">
        <x:v>OP-2</x:v>
      </x:c>
      <x:c r="F262" s="8" t="n">
        <x:v>2</x:v>
      </x:c>
      <x:c r="G262" s="8" t="str"/>
      <x:c r="H262" s="8" t="str"/>
      <x:c r="I262" s="8" t="str">
        <x:f>IF(H262="","OPEN",IF(NOT(ISNUMBER(G262)),"FAIL","PASS"))</x:f>
        <x:v>OPEN</x:v>
      </x:c>
    </x:row>
    <x:row r="263" ht="25" customHeight="1">
      <x:c r="B263" s="8" t="str">
        <x:v>MP-05-P03-O3-R1</x:v>
      </x:c>
      <x:c r="C263" s="8" t="str">
        <x:v>MP-05</x:v>
      </x:c>
      <x:c r="D263" s="8" t="n">
        <x:v>3</x:v>
      </x:c>
      <x:c r="E263" s="8" t="str">
        <x:v>OP-3</x:v>
      </x:c>
      <x:c r="F263" s="8" t="n">
        <x:v>1</x:v>
      </x:c>
      <x:c r="G263" s="8" t="str"/>
      <x:c r="H263" s="8" t="str"/>
      <x:c r="I263" s="8" t="str">
        <x:f>IF(H263="","OPEN",IF(NOT(ISNUMBER(G263)),"FAIL","PASS"))</x:f>
        <x:v>OPEN</x:v>
      </x:c>
    </x:row>
    <x:row r="264" ht="25" customHeight="1">
      <x:c r="B264" s="8" t="str">
        <x:v>MP-05-P03-O3-R2</x:v>
      </x:c>
      <x:c r="C264" s="8" t="str">
        <x:v>MP-05</x:v>
      </x:c>
      <x:c r="D264" s="8" t="n">
        <x:v>3</x:v>
      </x:c>
      <x:c r="E264" s="8" t="str">
        <x:v>OP-3</x:v>
      </x:c>
      <x:c r="F264" s="8" t="n">
        <x:v>2</x:v>
      </x:c>
      <x:c r="G264" s="8" t="str"/>
      <x:c r="H264" s="8" t="str"/>
      <x:c r="I264" s="8" t="str">
        <x:f>IF(H264="","OPEN",IF(NOT(ISNUMBER(G264)),"FAIL","PASS"))</x:f>
        <x:v>OPEN</x:v>
      </x:c>
    </x:row>
    <x:row r="265" ht="25" customHeight="1">
      <x:c r="B265" s="8" t="str">
        <x:v>MP-05-P04-O1-R1</x:v>
      </x:c>
      <x:c r="C265" s="8" t="str">
        <x:v>MP-05</x:v>
      </x:c>
      <x:c r="D265" s="8" t="n">
        <x:v>4</x:v>
      </x:c>
      <x:c r="E265" s="8" t="str">
        <x:v>OP-1</x:v>
      </x:c>
      <x:c r="F265" s="8" t="n">
        <x:v>1</x:v>
      </x:c>
      <x:c r="G265" s="8" t="str"/>
      <x:c r="H265" s="8" t="str"/>
      <x:c r="I265" s="8" t="str">
        <x:f>IF(H265="","OPEN",IF(NOT(ISNUMBER(G265)),"FAIL","PASS"))</x:f>
        <x:v>OPEN</x:v>
      </x:c>
    </x:row>
    <x:row r="266" ht="25" customHeight="1">
      <x:c r="B266" s="8" t="str">
        <x:v>MP-05-P04-O1-R2</x:v>
      </x:c>
      <x:c r="C266" s="8" t="str">
        <x:v>MP-05</x:v>
      </x:c>
      <x:c r="D266" s="8" t="n">
        <x:v>4</x:v>
      </x:c>
      <x:c r="E266" s="8" t="str">
        <x:v>OP-1</x:v>
      </x:c>
      <x:c r="F266" s="8" t="n">
        <x:v>2</x:v>
      </x:c>
      <x:c r="G266" s="8" t="str"/>
      <x:c r="H266" s="8" t="str"/>
      <x:c r="I266" s="8" t="str">
        <x:f>IF(H266="","OPEN",IF(NOT(ISNUMBER(G266)),"FAIL","PASS"))</x:f>
        <x:v>OPEN</x:v>
      </x:c>
    </x:row>
    <x:row r="267" ht="25" customHeight="1">
      <x:c r="B267" s="8" t="str">
        <x:v>MP-05-P04-O2-R1</x:v>
      </x:c>
      <x:c r="C267" s="8" t="str">
        <x:v>MP-05</x:v>
      </x:c>
      <x:c r="D267" s="8" t="n">
        <x:v>4</x:v>
      </x:c>
      <x:c r="E267" s="8" t="str">
        <x:v>OP-2</x:v>
      </x:c>
      <x:c r="F267" s="8" t="n">
        <x:v>1</x:v>
      </x:c>
      <x:c r="G267" s="8" t="str"/>
      <x:c r="H267" s="8" t="str"/>
      <x:c r="I267" s="8" t="str">
        <x:f>IF(H267="","OPEN",IF(NOT(ISNUMBER(G267)),"FAIL","PASS"))</x:f>
        <x:v>OPEN</x:v>
      </x:c>
    </x:row>
    <x:row r="268" ht="25" customHeight="1">
      <x:c r="B268" s="8" t="str">
        <x:v>MP-05-P04-O2-R2</x:v>
      </x:c>
      <x:c r="C268" s="8" t="str">
        <x:v>MP-05</x:v>
      </x:c>
      <x:c r="D268" s="8" t="n">
        <x:v>4</x:v>
      </x:c>
      <x:c r="E268" s="8" t="str">
        <x:v>OP-2</x:v>
      </x:c>
      <x:c r="F268" s="8" t="n">
        <x:v>2</x:v>
      </x:c>
      <x:c r="G268" s="8" t="str"/>
      <x:c r="H268" s="8" t="str"/>
      <x:c r="I268" s="8" t="str">
        <x:f>IF(H268="","OPEN",IF(NOT(ISNUMBER(G268)),"FAIL","PASS"))</x:f>
        <x:v>OPEN</x:v>
      </x:c>
    </x:row>
    <x:row r="269" ht="25" customHeight="1">
      <x:c r="B269" s="8" t="str">
        <x:v>MP-05-P04-O3-R1</x:v>
      </x:c>
      <x:c r="C269" s="8" t="str">
        <x:v>MP-05</x:v>
      </x:c>
      <x:c r="D269" s="8" t="n">
        <x:v>4</x:v>
      </x:c>
      <x:c r="E269" s="8" t="str">
        <x:v>OP-3</x:v>
      </x:c>
      <x:c r="F269" s="8" t="n">
        <x:v>1</x:v>
      </x:c>
      <x:c r="G269" s="8" t="str"/>
      <x:c r="H269" s="8" t="str"/>
      <x:c r="I269" s="8" t="str">
        <x:f>IF(H269="","OPEN",IF(NOT(ISNUMBER(G269)),"FAIL","PASS"))</x:f>
        <x:v>OPEN</x:v>
      </x:c>
    </x:row>
    <x:row r="270" ht="25" customHeight="1">
      <x:c r="B270" s="8" t="str">
        <x:v>MP-05-P04-O3-R2</x:v>
      </x:c>
      <x:c r="C270" s="8" t="str">
        <x:v>MP-05</x:v>
      </x:c>
      <x:c r="D270" s="8" t="n">
        <x:v>4</x:v>
      </x:c>
      <x:c r="E270" s="8" t="str">
        <x:v>OP-3</x:v>
      </x:c>
      <x:c r="F270" s="8" t="n">
        <x:v>2</x:v>
      </x:c>
      <x:c r="G270" s="8" t="str"/>
      <x:c r="H270" s="8" t="str"/>
      <x:c r="I270" s="8" t="str">
        <x:f>IF(H270="","OPEN",IF(NOT(ISNUMBER(G270)),"FAIL","PASS"))</x:f>
        <x:v>OPEN</x:v>
      </x:c>
    </x:row>
    <x:row r="271" ht="25" customHeight="1">
      <x:c r="B271" s="8" t="str">
        <x:v>MP-05-P05-O1-R1</x:v>
      </x:c>
      <x:c r="C271" s="8" t="str">
        <x:v>MP-05</x:v>
      </x:c>
      <x:c r="D271" s="8" t="n">
        <x:v>5</x:v>
      </x:c>
      <x:c r="E271" s="8" t="str">
        <x:v>OP-1</x:v>
      </x:c>
      <x:c r="F271" s="8" t="n">
        <x:v>1</x:v>
      </x:c>
      <x:c r="G271" s="8" t="str"/>
      <x:c r="H271" s="8" t="str"/>
      <x:c r="I271" s="8" t="str">
        <x:f>IF(H271="","OPEN",IF(NOT(ISNUMBER(G271)),"FAIL","PASS"))</x:f>
        <x:v>OPEN</x:v>
      </x:c>
    </x:row>
    <x:row r="272" ht="25" customHeight="1">
      <x:c r="B272" s="8" t="str">
        <x:v>MP-05-P05-O1-R2</x:v>
      </x:c>
      <x:c r="C272" s="8" t="str">
        <x:v>MP-05</x:v>
      </x:c>
      <x:c r="D272" s="8" t="n">
        <x:v>5</x:v>
      </x:c>
      <x:c r="E272" s="8" t="str">
        <x:v>OP-1</x:v>
      </x:c>
      <x:c r="F272" s="8" t="n">
        <x:v>2</x:v>
      </x:c>
      <x:c r="G272" s="8" t="str"/>
      <x:c r="H272" s="8" t="str"/>
      <x:c r="I272" s="8" t="str">
        <x:f>IF(H272="","OPEN",IF(NOT(ISNUMBER(G272)),"FAIL","PASS"))</x:f>
        <x:v>OPEN</x:v>
      </x:c>
    </x:row>
    <x:row r="273" ht="25" customHeight="1">
      <x:c r="B273" s="8" t="str">
        <x:v>MP-05-P05-O2-R1</x:v>
      </x:c>
      <x:c r="C273" s="8" t="str">
        <x:v>MP-05</x:v>
      </x:c>
      <x:c r="D273" s="8" t="n">
        <x:v>5</x:v>
      </x:c>
      <x:c r="E273" s="8" t="str">
        <x:v>OP-2</x:v>
      </x:c>
      <x:c r="F273" s="8" t="n">
        <x:v>1</x:v>
      </x:c>
      <x:c r="G273" s="8" t="str"/>
      <x:c r="H273" s="8" t="str"/>
      <x:c r="I273" s="8" t="str">
        <x:f>IF(H273="","OPEN",IF(NOT(ISNUMBER(G273)),"FAIL","PASS"))</x:f>
        <x:v>OPEN</x:v>
      </x:c>
    </x:row>
    <x:row r="274" ht="25" customHeight="1">
      <x:c r="B274" s="8" t="str">
        <x:v>MP-05-P05-O2-R2</x:v>
      </x:c>
      <x:c r="C274" s="8" t="str">
        <x:v>MP-05</x:v>
      </x:c>
      <x:c r="D274" s="8" t="n">
        <x:v>5</x:v>
      </x:c>
      <x:c r="E274" s="8" t="str">
        <x:v>OP-2</x:v>
      </x:c>
      <x:c r="F274" s="8" t="n">
        <x:v>2</x:v>
      </x:c>
      <x:c r="G274" s="8" t="str"/>
      <x:c r="H274" s="8" t="str"/>
      <x:c r="I274" s="8" t="str">
        <x:f>IF(H274="","OPEN",IF(NOT(ISNUMBER(G274)),"FAIL","PASS"))</x:f>
        <x:v>OPEN</x:v>
      </x:c>
    </x:row>
    <x:row r="275" ht="25" customHeight="1">
      <x:c r="B275" s="8" t="str">
        <x:v>MP-05-P05-O3-R1</x:v>
      </x:c>
      <x:c r="C275" s="8" t="str">
        <x:v>MP-05</x:v>
      </x:c>
      <x:c r="D275" s="8" t="n">
        <x:v>5</x:v>
      </x:c>
      <x:c r="E275" s="8" t="str">
        <x:v>OP-3</x:v>
      </x:c>
      <x:c r="F275" s="8" t="n">
        <x:v>1</x:v>
      </x:c>
      <x:c r="G275" s="8" t="str"/>
      <x:c r="H275" s="8" t="str"/>
      <x:c r="I275" s="8" t="str">
        <x:f>IF(H275="","OPEN",IF(NOT(ISNUMBER(G275)),"FAIL","PASS"))</x:f>
        <x:v>OPEN</x:v>
      </x:c>
    </x:row>
    <x:row r="276" ht="25" customHeight="1">
      <x:c r="B276" s="8" t="str">
        <x:v>MP-05-P05-O3-R2</x:v>
      </x:c>
      <x:c r="C276" s="8" t="str">
        <x:v>MP-05</x:v>
      </x:c>
      <x:c r="D276" s="8" t="n">
        <x:v>5</x:v>
      </x:c>
      <x:c r="E276" s="8" t="str">
        <x:v>OP-3</x:v>
      </x:c>
      <x:c r="F276" s="8" t="n">
        <x:v>2</x:v>
      </x:c>
      <x:c r="G276" s="8" t="str"/>
      <x:c r="H276" s="8" t="str"/>
      <x:c r="I276" s="8" t="str">
        <x:f>IF(H276="","OPEN",IF(NOT(ISNUMBER(G276)),"FAIL","PASS"))</x:f>
        <x:v>OPEN</x:v>
      </x:c>
    </x:row>
    <x:row r="277" ht="25" customHeight="1">
      <x:c r="B277" s="8" t="str">
        <x:v>MP-05-P06-O1-R1</x:v>
      </x:c>
      <x:c r="C277" s="8" t="str">
        <x:v>MP-05</x:v>
      </x:c>
      <x:c r="D277" s="8" t="n">
        <x:v>6</x:v>
      </x:c>
      <x:c r="E277" s="8" t="str">
        <x:v>OP-1</x:v>
      </x:c>
      <x:c r="F277" s="8" t="n">
        <x:v>1</x:v>
      </x:c>
      <x:c r="G277" s="8" t="str"/>
      <x:c r="H277" s="8" t="str"/>
      <x:c r="I277" s="8" t="str">
        <x:f>IF(H277="","OPEN",IF(NOT(ISNUMBER(G277)),"FAIL","PASS"))</x:f>
        <x:v>OPEN</x:v>
      </x:c>
    </x:row>
    <x:row r="278" ht="25" customHeight="1">
      <x:c r="B278" s="8" t="str">
        <x:v>MP-05-P06-O1-R2</x:v>
      </x:c>
      <x:c r="C278" s="8" t="str">
        <x:v>MP-05</x:v>
      </x:c>
      <x:c r="D278" s="8" t="n">
        <x:v>6</x:v>
      </x:c>
      <x:c r="E278" s="8" t="str">
        <x:v>OP-1</x:v>
      </x:c>
      <x:c r="F278" s="8" t="n">
        <x:v>2</x:v>
      </x:c>
      <x:c r="G278" s="8" t="str"/>
      <x:c r="H278" s="8" t="str"/>
      <x:c r="I278" s="8" t="str">
        <x:f>IF(H278="","OPEN",IF(NOT(ISNUMBER(G278)),"FAIL","PASS"))</x:f>
        <x:v>OPEN</x:v>
      </x:c>
    </x:row>
    <x:row r="279" ht="25" customHeight="1">
      <x:c r="B279" s="8" t="str">
        <x:v>MP-05-P06-O2-R1</x:v>
      </x:c>
      <x:c r="C279" s="8" t="str">
        <x:v>MP-05</x:v>
      </x:c>
      <x:c r="D279" s="8" t="n">
        <x:v>6</x:v>
      </x:c>
      <x:c r="E279" s="8" t="str">
        <x:v>OP-2</x:v>
      </x:c>
      <x:c r="F279" s="8" t="n">
        <x:v>1</x:v>
      </x:c>
      <x:c r="G279" s="8" t="str"/>
      <x:c r="H279" s="8" t="str"/>
      <x:c r="I279" s="8" t="str">
        <x:f>IF(H279="","OPEN",IF(NOT(ISNUMBER(G279)),"FAIL","PASS"))</x:f>
        <x:v>OPEN</x:v>
      </x:c>
    </x:row>
    <x:row r="280" ht="25" customHeight="1">
      <x:c r="B280" s="8" t="str">
        <x:v>MP-05-P06-O2-R2</x:v>
      </x:c>
      <x:c r="C280" s="8" t="str">
        <x:v>MP-05</x:v>
      </x:c>
      <x:c r="D280" s="8" t="n">
        <x:v>6</x:v>
      </x:c>
      <x:c r="E280" s="8" t="str">
        <x:v>OP-2</x:v>
      </x:c>
      <x:c r="F280" s="8" t="n">
        <x:v>2</x:v>
      </x:c>
      <x:c r="G280" s="8" t="str"/>
      <x:c r="H280" s="8" t="str"/>
      <x:c r="I280" s="8" t="str">
        <x:f>IF(H280="","OPEN",IF(NOT(ISNUMBER(G280)),"FAIL","PASS"))</x:f>
        <x:v>OPEN</x:v>
      </x:c>
    </x:row>
    <x:row r="281" ht="25" customHeight="1">
      <x:c r="B281" s="8" t="str">
        <x:v>MP-05-P06-O3-R1</x:v>
      </x:c>
      <x:c r="C281" s="8" t="str">
        <x:v>MP-05</x:v>
      </x:c>
      <x:c r="D281" s="8" t="n">
        <x:v>6</x:v>
      </x:c>
      <x:c r="E281" s="8" t="str">
        <x:v>OP-3</x:v>
      </x:c>
      <x:c r="F281" s="8" t="n">
        <x:v>1</x:v>
      </x:c>
      <x:c r="G281" s="8" t="str"/>
      <x:c r="H281" s="8" t="str"/>
      <x:c r="I281" s="8" t="str">
        <x:f>IF(H281="","OPEN",IF(NOT(ISNUMBER(G281)),"FAIL","PASS"))</x:f>
        <x:v>OPEN</x:v>
      </x:c>
    </x:row>
    <x:row r="282" ht="25" customHeight="1">
      <x:c r="B282" s="8" t="str">
        <x:v>MP-05-P06-O3-R2</x:v>
      </x:c>
      <x:c r="C282" s="8" t="str">
        <x:v>MP-05</x:v>
      </x:c>
      <x:c r="D282" s="8" t="n">
        <x:v>6</x:v>
      </x:c>
      <x:c r="E282" s="8" t="str">
        <x:v>OP-3</x:v>
      </x:c>
      <x:c r="F282" s="8" t="n">
        <x:v>2</x:v>
      </x:c>
      <x:c r="G282" s="8" t="str"/>
      <x:c r="H282" s="8" t="str"/>
      <x:c r="I282" s="8" t="str">
        <x:f>IF(H282="","OPEN",IF(NOT(ISNUMBER(G282)),"FAIL","PASS"))</x:f>
        <x:v>OPEN</x:v>
      </x:c>
    </x:row>
    <x:row r="283" ht="25" customHeight="1">
      <x:c r="B283" s="8" t="str">
        <x:v>MP-05-P07-O1-R1</x:v>
      </x:c>
      <x:c r="C283" s="8" t="str">
        <x:v>MP-05</x:v>
      </x:c>
      <x:c r="D283" s="8" t="n">
        <x:v>7</x:v>
      </x:c>
      <x:c r="E283" s="8" t="str">
        <x:v>OP-1</x:v>
      </x:c>
      <x:c r="F283" s="8" t="n">
        <x:v>1</x:v>
      </x:c>
      <x:c r="G283" s="8" t="str"/>
      <x:c r="H283" s="8" t="str"/>
      <x:c r="I283" s="8" t="str">
        <x:f>IF(H283="","OPEN",IF(NOT(ISNUMBER(G283)),"FAIL","PASS"))</x:f>
        <x:v>OPEN</x:v>
      </x:c>
    </x:row>
    <x:row r="284" ht="25" customHeight="1">
      <x:c r="B284" s="8" t="str">
        <x:v>MP-05-P07-O1-R2</x:v>
      </x:c>
      <x:c r="C284" s="8" t="str">
        <x:v>MP-05</x:v>
      </x:c>
      <x:c r="D284" s="8" t="n">
        <x:v>7</x:v>
      </x:c>
      <x:c r="E284" s="8" t="str">
        <x:v>OP-1</x:v>
      </x:c>
      <x:c r="F284" s="8" t="n">
        <x:v>2</x:v>
      </x:c>
      <x:c r="G284" s="8" t="str"/>
      <x:c r="H284" s="8" t="str"/>
      <x:c r="I284" s="8" t="str">
        <x:f>IF(H284="","OPEN",IF(NOT(ISNUMBER(G284)),"FAIL","PASS"))</x:f>
        <x:v>OPEN</x:v>
      </x:c>
    </x:row>
    <x:row r="285" ht="25" customHeight="1">
      <x:c r="B285" s="8" t="str">
        <x:v>MP-05-P07-O2-R1</x:v>
      </x:c>
      <x:c r="C285" s="8" t="str">
        <x:v>MP-05</x:v>
      </x:c>
      <x:c r="D285" s="8" t="n">
        <x:v>7</x:v>
      </x:c>
      <x:c r="E285" s="8" t="str">
        <x:v>OP-2</x:v>
      </x:c>
      <x:c r="F285" s="8" t="n">
        <x:v>1</x:v>
      </x:c>
      <x:c r="G285" s="8" t="str"/>
      <x:c r="H285" s="8" t="str"/>
      <x:c r="I285" s="8" t="str">
        <x:f>IF(H285="","OPEN",IF(NOT(ISNUMBER(G285)),"FAIL","PASS"))</x:f>
        <x:v>OPEN</x:v>
      </x:c>
    </x:row>
    <x:row r="286" ht="25" customHeight="1">
      <x:c r="B286" s="8" t="str">
        <x:v>MP-05-P07-O2-R2</x:v>
      </x:c>
      <x:c r="C286" s="8" t="str">
        <x:v>MP-05</x:v>
      </x:c>
      <x:c r="D286" s="8" t="n">
        <x:v>7</x:v>
      </x:c>
      <x:c r="E286" s="8" t="str">
        <x:v>OP-2</x:v>
      </x:c>
      <x:c r="F286" s="8" t="n">
        <x:v>2</x:v>
      </x:c>
      <x:c r="G286" s="8" t="str"/>
      <x:c r="H286" s="8" t="str"/>
      <x:c r="I286" s="8" t="str">
        <x:f>IF(H286="","OPEN",IF(NOT(ISNUMBER(G286)),"FAIL","PASS"))</x:f>
        <x:v>OPEN</x:v>
      </x:c>
    </x:row>
    <x:row r="287" ht="25" customHeight="1">
      <x:c r="B287" s="8" t="str">
        <x:v>MP-05-P07-O3-R1</x:v>
      </x:c>
      <x:c r="C287" s="8" t="str">
        <x:v>MP-05</x:v>
      </x:c>
      <x:c r="D287" s="8" t="n">
        <x:v>7</x:v>
      </x:c>
      <x:c r="E287" s="8" t="str">
        <x:v>OP-3</x:v>
      </x:c>
      <x:c r="F287" s="8" t="n">
        <x:v>1</x:v>
      </x:c>
      <x:c r="G287" s="8" t="str"/>
      <x:c r="H287" s="8" t="str"/>
      <x:c r="I287" s="8" t="str">
        <x:f>IF(H287="","OPEN",IF(NOT(ISNUMBER(G287)),"FAIL","PASS"))</x:f>
        <x:v>OPEN</x:v>
      </x:c>
    </x:row>
    <x:row r="288" ht="25" customHeight="1">
      <x:c r="B288" s="8" t="str">
        <x:v>MP-05-P07-O3-R2</x:v>
      </x:c>
      <x:c r="C288" s="8" t="str">
        <x:v>MP-05</x:v>
      </x:c>
      <x:c r="D288" s="8" t="n">
        <x:v>7</x:v>
      </x:c>
      <x:c r="E288" s="8" t="str">
        <x:v>OP-3</x:v>
      </x:c>
      <x:c r="F288" s="8" t="n">
        <x:v>2</x:v>
      </x:c>
      <x:c r="G288" s="8" t="str"/>
      <x:c r="H288" s="8" t="str"/>
      <x:c r="I288" s="8" t="str">
        <x:f>IF(H288="","OPEN",IF(NOT(ISNUMBER(G288)),"FAIL","PASS"))</x:f>
        <x:v>OPEN</x:v>
      </x:c>
    </x:row>
    <x:row r="289" ht="25" customHeight="1">
      <x:c r="B289" s="8" t="str">
        <x:v>MP-05-P08-O1-R1</x:v>
      </x:c>
      <x:c r="C289" s="8" t="str">
        <x:v>MP-05</x:v>
      </x:c>
      <x:c r="D289" s="8" t="n">
        <x:v>8</x:v>
      </x:c>
      <x:c r="E289" s="8" t="str">
        <x:v>OP-1</x:v>
      </x:c>
      <x:c r="F289" s="8" t="n">
        <x:v>1</x:v>
      </x:c>
      <x:c r="G289" s="8" t="str"/>
      <x:c r="H289" s="8" t="str"/>
      <x:c r="I289" s="8" t="str">
        <x:f>IF(H289="","OPEN",IF(NOT(ISNUMBER(G289)),"FAIL","PASS"))</x:f>
        <x:v>OPEN</x:v>
      </x:c>
    </x:row>
    <x:row r="290" ht="25" customHeight="1">
      <x:c r="B290" s="8" t="str">
        <x:v>MP-05-P08-O1-R2</x:v>
      </x:c>
      <x:c r="C290" s="8" t="str">
        <x:v>MP-05</x:v>
      </x:c>
      <x:c r="D290" s="8" t="n">
        <x:v>8</x:v>
      </x:c>
      <x:c r="E290" s="8" t="str">
        <x:v>OP-1</x:v>
      </x:c>
      <x:c r="F290" s="8" t="n">
        <x:v>2</x:v>
      </x:c>
      <x:c r="G290" s="8" t="str"/>
      <x:c r="H290" s="8" t="str"/>
      <x:c r="I290" s="8" t="str">
        <x:f>IF(H290="","OPEN",IF(NOT(ISNUMBER(G290)),"FAIL","PASS"))</x:f>
        <x:v>OPEN</x:v>
      </x:c>
    </x:row>
    <x:row r="291" ht="25" customHeight="1">
      <x:c r="B291" s="8" t="str">
        <x:v>MP-05-P08-O2-R1</x:v>
      </x:c>
      <x:c r="C291" s="8" t="str">
        <x:v>MP-05</x:v>
      </x:c>
      <x:c r="D291" s="8" t="n">
        <x:v>8</x:v>
      </x:c>
      <x:c r="E291" s="8" t="str">
        <x:v>OP-2</x:v>
      </x:c>
      <x:c r="F291" s="8" t="n">
        <x:v>1</x:v>
      </x:c>
      <x:c r="G291" s="8" t="str"/>
      <x:c r="H291" s="8" t="str"/>
      <x:c r="I291" s="8" t="str">
        <x:f>IF(H291="","OPEN",IF(NOT(ISNUMBER(G291)),"FAIL","PASS"))</x:f>
        <x:v>OPEN</x:v>
      </x:c>
    </x:row>
    <x:row r="292" ht="25" customHeight="1">
      <x:c r="B292" s="8" t="str">
        <x:v>MP-05-P08-O2-R2</x:v>
      </x:c>
      <x:c r="C292" s="8" t="str">
        <x:v>MP-05</x:v>
      </x:c>
      <x:c r="D292" s="8" t="n">
        <x:v>8</x:v>
      </x:c>
      <x:c r="E292" s="8" t="str">
        <x:v>OP-2</x:v>
      </x:c>
      <x:c r="F292" s="8" t="n">
        <x:v>2</x:v>
      </x:c>
      <x:c r="G292" s="8" t="str"/>
      <x:c r="H292" s="8" t="str"/>
      <x:c r="I292" s="8" t="str">
        <x:f>IF(H292="","OPEN",IF(NOT(ISNUMBER(G292)),"FAIL","PASS"))</x:f>
        <x:v>OPEN</x:v>
      </x:c>
    </x:row>
    <x:row r="293" ht="25" customHeight="1">
      <x:c r="B293" s="8" t="str">
        <x:v>MP-05-P08-O3-R1</x:v>
      </x:c>
      <x:c r="C293" s="8" t="str">
        <x:v>MP-05</x:v>
      </x:c>
      <x:c r="D293" s="8" t="n">
        <x:v>8</x:v>
      </x:c>
      <x:c r="E293" s="8" t="str">
        <x:v>OP-3</x:v>
      </x:c>
      <x:c r="F293" s="8" t="n">
        <x:v>1</x:v>
      </x:c>
      <x:c r="G293" s="8" t="str"/>
      <x:c r="H293" s="8" t="str"/>
      <x:c r="I293" s="8" t="str">
        <x:f>IF(H293="","OPEN",IF(NOT(ISNUMBER(G293)),"FAIL","PASS"))</x:f>
        <x:v>OPEN</x:v>
      </x:c>
    </x:row>
    <x:row r="294" ht="25" customHeight="1">
      <x:c r="B294" s="8" t="str">
        <x:v>MP-05-P08-O3-R2</x:v>
      </x:c>
      <x:c r="C294" s="8" t="str">
        <x:v>MP-05</x:v>
      </x:c>
      <x:c r="D294" s="8" t="n">
        <x:v>8</x:v>
      </x:c>
      <x:c r="E294" s="8" t="str">
        <x:v>OP-3</x:v>
      </x:c>
      <x:c r="F294" s="8" t="n">
        <x:v>2</x:v>
      </x:c>
      <x:c r="G294" s="8" t="str"/>
      <x:c r="H294" s="8" t="str"/>
      <x:c r="I294" s="8" t="str">
        <x:f>IF(H294="","OPEN",IF(NOT(ISNUMBER(G294)),"FAIL","PASS"))</x:f>
        <x:v>OPEN</x:v>
      </x:c>
    </x:row>
    <x:row r="295" ht="25" customHeight="1">
      <x:c r="B295" s="8" t="str">
        <x:v>MP-05-P09-O1-R1</x:v>
      </x:c>
      <x:c r="C295" s="8" t="str">
        <x:v>MP-05</x:v>
      </x:c>
      <x:c r="D295" s="8" t="n">
        <x:v>9</x:v>
      </x:c>
      <x:c r="E295" s="8" t="str">
        <x:v>OP-1</x:v>
      </x:c>
      <x:c r="F295" s="8" t="n">
        <x:v>1</x:v>
      </x:c>
      <x:c r="G295" s="8" t="str"/>
      <x:c r="H295" s="8" t="str"/>
      <x:c r="I295" s="8" t="str">
        <x:f>IF(H295="","OPEN",IF(NOT(ISNUMBER(G295)),"FAIL","PASS"))</x:f>
        <x:v>OPEN</x:v>
      </x:c>
    </x:row>
    <x:row r="296" ht="25" customHeight="1">
      <x:c r="B296" s="8" t="str">
        <x:v>MP-05-P09-O1-R2</x:v>
      </x:c>
      <x:c r="C296" s="8" t="str">
        <x:v>MP-05</x:v>
      </x:c>
      <x:c r="D296" s="8" t="n">
        <x:v>9</x:v>
      </x:c>
      <x:c r="E296" s="8" t="str">
        <x:v>OP-1</x:v>
      </x:c>
      <x:c r="F296" s="8" t="n">
        <x:v>2</x:v>
      </x:c>
      <x:c r="G296" s="8" t="str"/>
      <x:c r="H296" s="8" t="str"/>
      <x:c r="I296" s="8" t="str">
        <x:f>IF(H296="","OPEN",IF(NOT(ISNUMBER(G296)),"FAIL","PASS"))</x:f>
        <x:v>OPEN</x:v>
      </x:c>
    </x:row>
    <x:row r="297" ht="25" customHeight="1">
      <x:c r="B297" s="8" t="str">
        <x:v>MP-05-P09-O2-R1</x:v>
      </x:c>
      <x:c r="C297" s="8" t="str">
        <x:v>MP-05</x:v>
      </x:c>
      <x:c r="D297" s="8" t="n">
        <x:v>9</x:v>
      </x:c>
      <x:c r="E297" s="8" t="str">
        <x:v>OP-2</x:v>
      </x:c>
      <x:c r="F297" s="8" t="n">
        <x:v>1</x:v>
      </x:c>
      <x:c r="G297" s="8" t="str"/>
      <x:c r="H297" s="8" t="str"/>
      <x:c r="I297" s="8" t="str">
        <x:f>IF(H297="","OPEN",IF(NOT(ISNUMBER(G297)),"FAIL","PASS"))</x:f>
        <x:v>OPEN</x:v>
      </x:c>
    </x:row>
    <x:row r="298" ht="25" customHeight="1">
      <x:c r="B298" s="8" t="str">
        <x:v>MP-05-P09-O2-R2</x:v>
      </x:c>
      <x:c r="C298" s="8" t="str">
        <x:v>MP-05</x:v>
      </x:c>
      <x:c r="D298" s="8" t="n">
        <x:v>9</x:v>
      </x:c>
      <x:c r="E298" s="8" t="str">
        <x:v>OP-2</x:v>
      </x:c>
      <x:c r="F298" s="8" t="n">
        <x:v>2</x:v>
      </x:c>
      <x:c r="G298" s="8" t="str"/>
      <x:c r="H298" s="8" t="str"/>
      <x:c r="I298" s="8" t="str">
        <x:f>IF(H298="","OPEN",IF(NOT(ISNUMBER(G298)),"FAIL","PASS"))</x:f>
        <x:v>OPEN</x:v>
      </x:c>
    </x:row>
    <x:row r="299" ht="25" customHeight="1">
      <x:c r="B299" s="8" t="str">
        <x:v>MP-05-P09-O3-R1</x:v>
      </x:c>
      <x:c r="C299" s="8" t="str">
        <x:v>MP-05</x:v>
      </x:c>
      <x:c r="D299" s="8" t="n">
        <x:v>9</x:v>
      </x:c>
      <x:c r="E299" s="8" t="str">
        <x:v>OP-3</x:v>
      </x:c>
      <x:c r="F299" s="8" t="n">
        <x:v>1</x:v>
      </x:c>
      <x:c r="G299" s="8" t="str"/>
      <x:c r="H299" s="8" t="str"/>
      <x:c r="I299" s="8" t="str">
        <x:f>IF(H299="","OPEN",IF(NOT(ISNUMBER(G299)),"FAIL","PASS"))</x:f>
        <x:v>OPEN</x:v>
      </x:c>
    </x:row>
    <x:row r="300" ht="25" customHeight="1">
      <x:c r="B300" s="8" t="str">
        <x:v>MP-05-P09-O3-R2</x:v>
      </x:c>
      <x:c r="C300" s="8" t="str">
        <x:v>MP-05</x:v>
      </x:c>
      <x:c r="D300" s="8" t="n">
        <x:v>9</x:v>
      </x:c>
      <x:c r="E300" s="8" t="str">
        <x:v>OP-3</x:v>
      </x:c>
      <x:c r="F300" s="8" t="n">
        <x:v>2</x:v>
      </x:c>
      <x:c r="G300" s="8" t="str"/>
      <x:c r="H300" s="8" t="str"/>
      <x:c r="I300" s="8" t="str">
        <x:f>IF(H300="","OPEN",IF(NOT(ISNUMBER(G300)),"FAIL","PASS"))</x:f>
        <x:v>OPEN</x:v>
      </x:c>
    </x:row>
    <x:row r="301" ht="25" customHeight="1">
      <x:c r="B301" s="8" t="str">
        <x:v>MP-05-P10-O1-R1</x:v>
      </x:c>
      <x:c r="C301" s="8" t="str">
        <x:v>MP-05</x:v>
      </x:c>
      <x:c r="D301" s="8" t="n">
        <x:v>10</x:v>
      </x:c>
      <x:c r="E301" s="8" t="str">
        <x:v>OP-1</x:v>
      </x:c>
      <x:c r="F301" s="8" t="n">
        <x:v>1</x:v>
      </x:c>
      <x:c r="G301" s="8" t="str"/>
      <x:c r="H301" s="8" t="str"/>
      <x:c r="I301" s="8" t="str">
        <x:f>IF(H301="","OPEN",IF(NOT(ISNUMBER(G301)),"FAIL","PASS"))</x:f>
        <x:v>OPEN</x:v>
      </x:c>
    </x:row>
    <x:row r="302" ht="25" customHeight="1">
      <x:c r="B302" s="8" t="str">
        <x:v>MP-05-P10-O1-R2</x:v>
      </x:c>
      <x:c r="C302" s="8" t="str">
        <x:v>MP-05</x:v>
      </x:c>
      <x:c r="D302" s="8" t="n">
        <x:v>10</x:v>
      </x:c>
      <x:c r="E302" s="8" t="str">
        <x:v>OP-1</x:v>
      </x:c>
      <x:c r="F302" s="8" t="n">
        <x:v>2</x:v>
      </x:c>
      <x:c r="G302" s="8" t="str"/>
      <x:c r="H302" s="8" t="str"/>
      <x:c r="I302" s="8" t="str">
        <x:f>IF(H302="","OPEN",IF(NOT(ISNUMBER(G302)),"FAIL","PASS"))</x:f>
        <x:v>OPEN</x:v>
      </x:c>
    </x:row>
    <x:row r="303" ht="25" customHeight="1">
      <x:c r="B303" s="8" t="str">
        <x:v>MP-05-P10-O2-R1</x:v>
      </x:c>
      <x:c r="C303" s="8" t="str">
        <x:v>MP-05</x:v>
      </x:c>
      <x:c r="D303" s="8" t="n">
        <x:v>10</x:v>
      </x:c>
      <x:c r="E303" s="8" t="str">
        <x:v>OP-2</x:v>
      </x:c>
      <x:c r="F303" s="8" t="n">
        <x:v>1</x:v>
      </x:c>
      <x:c r="G303" s="8" t="str"/>
      <x:c r="H303" s="8" t="str"/>
      <x:c r="I303" s="8" t="str">
        <x:f>IF(H303="","OPEN",IF(NOT(ISNUMBER(G303)),"FAIL","PASS"))</x:f>
        <x:v>OPEN</x:v>
      </x:c>
    </x:row>
    <x:row r="304" ht="25" customHeight="1">
      <x:c r="B304" s="8" t="str">
        <x:v>MP-05-P10-O2-R2</x:v>
      </x:c>
      <x:c r="C304" s="8" t="str">
        <x:v>MP-05</x:v>
      </x:c>
      <x:c r="D304" s="8" t="n">
        <x:v>10</x:v>
      </x:c>
      <x:c r="E304" s="8" t="str">
        <x:v>OP-2</x:v>
      </x:c>
      <x:c r="F304" s="8" t="n">
        <x:v>2</x:v>
      </x:c>
      <x:c r="G304" s="8" t="str"/>
      <x:c r="H304" s="8" t="str"/>
      <x:c r="I304" s="8" t="str">
        <x:f>IF(H304="","OPEN",IF(NOT(ISNUMBER(G304)),"FAIL","PASS"))</x:f>
        <x:v>OPEN</x:v>
      </x:c>
    </x:row>
    <x:row r="305" ht="25" customHeight="1">
      <x:c r="B305" s="8" t="str">
        <x:v>MP-05-P10-O3-R1</x:v>
      </x:c>
      <x:c r="C305" s="8" t="str">
        <x:v>MP-05</x:v>
      </x:c>
      <x:c r="D305" s="8" t="n">
        <x:v>10</x:v>
      </x:c>
      <x:c r="E305" s="8" t="str">
        <x:v>OP-3</x:v>
      </x:c>
      <x:c r="F305" s="8" t="n">
        <x:v>1</x:v>
      </x:c>
      <x:c r="G305" s="8" t="str"/>
      <x:c r="H305" s="8" t="str"/>
      <x:c r="I305" s="8" t="str">
        <x:f>IF(H305="","OPEN",IF(NOT(ISNUMBER(G305)),"FAIL","PASS"))</x:f>
        <x:v>OPEN</x:v>
      </x:c>
    </x:row>
    <x:row r="306" ht="25" customHeight="1">
      <x:c r="B306" s="8" t="str">
        <x:v>MP-05-P10-O3-R2</x:v>
      </x:c>
      <x:c r="C306" s="8" t="str">
        <x:v>MP-05</x:v>
      </x:c>
      <x:c r="D306" s="8" t="n">
        <x:v>10</x:v>
      </x:c>
      <x:c r="E306" s="8" t="str">
        <x:v>OP-3</x:v>
      </x:c>
      <x:c r="F306" s="8" t="n">
        <x:v>2</x:v>
      </x:c>
      <x:c r="G306" s="8" t="str"/>
      <x:c r="H306" s="8" t="str"/>
      <x:c r="I306" s="8" t="str">
        <x:f>IF(H306="","OPEN",IF(NOT(ISNUMBER(G306)),"FAIL","PASS"))</x:f>
        <x:v>OPEN</x:v>
      </x:c>
    </x:row>
    <x:row r="307" ht="25" customHeight="1">
      <x:c r="B307" s="8" t="str">
        <x:v>MP-06-P01-O1-R1</x:v>
      </x:c>
      <x:c r="C307" s="8" t="str">
        <x:v>MP-06</x:v>
      </x:c>
      <x:c r="D307" s="8" t="n">
        <x:v>1</x:v>
      </x:c>
      <x:c r="E307" s="8" t="str">
        <x:v>OP-1</x:v>
      </x:c>
      <x:c r="F307" s="8" t="n">
        <x:v>1</x:v>
      </x:c>
      <x:c r="G307" s="8" t="str"/>
      <x:c r="H307" s="8" t="str"/>
      <x:c r="I307" s="8" t="str">
        <x:f>IF(H307="","OPEN",IF(NOT(ISNUMBER(G307)),"FAIL","PASS"))</x:f>
        <x:v>OPEN</x:v>
      </x:c>
    </x:row>
    <x:row r="308" ht="25" customHeight="1">
      <x:c r="B308" s="8" t="str">
        <x:v>MP-06-P01-O1-R2</x:v>
      </x:c>
      <x:c r="C308" s="8" t="str">
        <x:v>MP-06</x:v>
      </x:c>
      <x:c r="D308" s="8" t="n">
        <x:v>1</x:v>
      </x:c>
      <x:c r="E308" s="8" t="str">
        <x:v>OP-1</x:v>
      </x:c>
      <x:c r="F308" s="8" t="n">
        <x:v>2</x:v>
      </x:c>
      <x:c r="G308" s="8" t="str"/>
      <x:c r="H308" s="8" t="str"/>
      <x:c r="I308" s="8" t="str">
        <x:f>IF(H308="","OPEN",IF(NOT(ISNUMBER(G308)),"FAIL","PASS"))</x:f>
        <x:v>OPEN</x:v>
      </x:c>
    </x:row>
    <x:row r="309" ht="25" customHeight="1">
      <x:c r="B309" s="8" t="str">
        <x:v>MP-06-P01-O2-R1</x:v>
      </x:c>
      <x:c r="C309" s="8" t="str">
        <x:v>MP-06</x:v>
      </x:c>
      <x:c r="D309" s="8" t="n">
        <x:v>1</x:v>
      </x:c>
      <x:c r="E309" s="8" t="str">
        <x:v>OP-2</x:v>
      </x:c>
      <x:c r="F309" s="8" t="n">
        <x:v>1</x:v>
      </x:c>
      <x:c r="G309" s="8" t="str"/>
      <x:c r="H309" s="8" t="str"/>
      <x:c r="I309" s="8" t="str">
        <x:f>IF(H309="","OPEN",IF(NOT(ISNUMBER(G309)),"FAIL","PASS"))</x:f>
        <x:v>OPEN</x:v>
      </x:c>
    </x:row>
    <x:row r="310" ht="25" customHeight="1">
      <x:c r="B310" s="8" t="str">
        <x:v>MP-06-P01-O2-R2</x:v>
      </x:c>
      <x:c r="C310" s="8" t="str">
        <x:v>MP-06</x:v>
      </x:c>
      <x:c r="D310" s="8" t="n">
        <x:v>1</x:v>
      </x:c>
      <x:c r="E310" s="8" t="str">
        <x:v>OP-2</x:v>
      </x:c>
      <x:c r="F310" s="8" t="n">
        <x:v>2</x:v>
      </x:c>
      <x:c r="G310" s="8" t="str"/>
      <x:c r="H310" s="8" t="str"/>
      <x:c r="I310" s="8" t="str">
        <x:f>IF(H310="","OPEN",IF(NOT(ISNUMBER(G310)),"FAIL","PASS"))</x:f>
        <x:v>OPEN</x:v>
      </x:c>
    </x:row>
    <x:row r="311" ht="25" customHeight="1">
      <x:c r="B311" s="8" t="str">
        <x:v>MP-06-P01-O3-R1</x:v>
      </x:c>
      <x:c r="C311" s="8" t="str">
        <x:v>MP-06</x:v>
      </x:c>
      <x:c r="D311" s="8" t="n">
        <x:v>1</x:v>
      </x:c>
      <x:c r="E311" s="8" t="str">
        <x:v>OP-3</x:v>
      </x:c>
      <x:c r="F311" s="8" t="n">
        <x:v>1</x:v>
      </x:c>
      <x:c r="G311" s="8" t="str"/>
      <x:c r="H311" s="8" t="str"/>
      <x:c r="I311" s="8" t="str">
        <x:f>IF(H311="","OPEN",IF(NOT(ISNUMBER(G311)),"FAIL","PASS"))</x:f>
        <x:v>OPEN</x:v>
      </x:c>
    </x:row>
    <x:row r="312" ht="25" customHeight="1">
      <x:c r="B312" s="8" t="str">
        <x:v>MP-06-P01-O3-R2</x:v>
      </x:c>
      <x:c r="C312" s="8" t="str">
        <x:v>MP-06</x:v>
      </x:c>
      <x:c r="D312" s="8" t="n">
        <x:v>1</x:v>
      </x:c>
      <x:c r="E312" s="8" t="str">
        <x:v>OP-3</x:v>
      </x:c>
      <x:c r="F312" s="8" t="n">
        <x:v>2</x:v>
      </x:c>
      <x:c r="G312" s="8" t="str"/>
      <x:c r="H312" s="8" t="str"/>
      <x:c r="I312" s="8" t="str">
        <x:f>IF(H312="","OPEN",IF(NOT(ISNUMBER(G312)),"FAIL","PASS"))</x:f>
        <x:v>OPEN</x:v>
      </x:c>
    </x:row>
    <x:row r="313" ht="25" customHeight="1">
      <x:c r="B313" s="8" t="str">
        <x:v>MP-06-P02-O1-R1</x:v>
      </x:c>
      <x:c r="C313" s="8" t="str">
        <x:v>MP-06</x:v>
      </x:c>
      <x:c r="D313" s="8" t="n">
        <x:v>2</x:v>
      </x:c>
      <x:c r="E313" s="8" t="str">
        <x:v>OP-1</x:v>
      </x:c>
      <x:c r="F313" s="8" t="n">
        <x:v>1</x:v>
      </x:c>
      <x:c r="G313" s="8" t="str"/>
      <x:c r="H313" s="8" t="str"/>
      <x:c r="I313" s="8" t="str">
        <x:f>IF(H313="","OPEN",IF(NOT(ISNUMBER(G313)),"FAIL","PASS"))</x:f>
        <x:v>OPEN</x:v>
      </x:c>
    </x:row>
    <x:row r="314" ht="25" customHeight="1">
      <x:c r="B314" s="8" t="str">
        <x:v>MP-06-P02-O1-R2</x:v>
      </x:c>
      <x:c r="C314" s="8" t="str">
        <x:v>MP-06</x:v>
      </x:c>
      <x:c r="D314" s="8" t="n">
        <x:v>2</x:v>
      </x:c>
      <x:c r="E314" s="8" t="str">
        <x:v>OP-1</x:v>
      </x:c>
      <x:c r="F314" s="8" t="n">
        <x:v>2</x:v>
      </x:c>
      <x:c r="G314" s="8" t="str"/>
      <x:c r="H314" s="8" t="str"/>
      <x:c r="I314" s="8" t="str">
        <x:f>IF(H314="","OPEN",IF(NOT(ISNUMBER(G314)),"FAIL","PASS"))</x:f>
        <x:v>OPEN</x:v>
      </x:c>
    </x:row>
    <x:row r="315" ht="25" customHeight="1">
      <x:c r="B315" s="8" t="str">
        <x:v>MP-06-P02-O2-R1</x:v>
      </x:c>
      <x:c r="C315" s="8" t="str">
        <x:v>MP-06</x:v>
      </x:c>
      <x:c r="D315" s="8" t="n">
        <x:v>2</x:v>
      </x:c>
      <x:c r="E315" s="8" t="str">
        <x:v>OP-2</x:v>
      </x:c>
      <x:c r="F315" s="8" t="n">
        <x:v>1</x:v>
      </x:c>
      <x:c r="G315" s="8" t="str"/>
      <x:c r="H315" s="8" t="str"/>
      <x:c r="I315" s="8" t="str">
        <x:f>IF(H315="","OPEN",IF(NOT(ISNUMBER(G315)),"FAIL","PASS"))</x:f>
        <x:v>OPEN</x:v>
      </x:c>
    </x:row>
    <x:row r="316" ht="25" customHeight="1">
      <x:c r="B316" s="8" t="str">
        <x:v>MP-06-P02-O2-R2</x:v>
      </x:c>
      <x:c r="C316" s="8" t="str">
        <x:v>MP-06</x:v>
      </x:c>
      <x:c r="D316" s="8" t="n">
        <x:v>2</x:v>
      </x:c>
      <x:c r="E316" s="8" t="str">
        <x:v>OP-2</x:v>
      </x:c>
      <x:c r="F316" s="8" t="n">
        <x:v>2</x:v>
      </x:c>
      <x:c r="G316" s="8" t="str"/>
      <x:c r="H316" s="8" t="str"/>
      <x:c r="I316" s="8" t="str">
        <x:f>IF(H316="","OPEN",IF(NOT(ISNUMBER(G316)),"FAIL","PASS"))</x:f>
        <x:v>OPEN</x:v>
      </x:c>
    </x:row>
    <x:row r="317" ht="25" customHeight="1">
      <x:c r="B317" s="8" t="str">
        <x:v>MP-06-P02-O3-R1</x:v>
      </x:c>
      <x:c r="C317" s="8" t="str">
        <x:v>MP-06</x:v>
      </x:c>
      <x:c r="D317" s="8" t="n">
        <x:v>2</x:v>
      </x:c>
      <x:c r="E317" s="8" t="str">
        <x:v>OP-3</x:v>
      </x:c>
      <x:c r="F317" s="8" t="n">
        <x:v>1</x:v>
      </x:c>
      <x:c r="G317" s="8" t="str"/>
      <x:c r="H317" s="8" t="str"/>
      <x:c r="I317" s="8" t="str">
        <x:f>IF(H317="","OPEN",IF(NOT(ISNUMBER(G317)),"FAIL","PASS"))</x:f>
        <x:v>OPEN</x:v>
      </x:c>
    </x:row>
    <x:row r="318" ht="25" customHeight="1">
      <x:c r="B318" s="8" t="str">
        <x:v>MP-06-P02-O3-R2</x:v>
      </x:c>
      <x:c r="C318" s="8" t="str">
        <x:v>MP-06</x:v>
      </x:c>
      <x:c r="D318" s="8" t="n">
        <x:v>2</x:v>
      </x:c>
      <x:c r="E318" s="8" t="str">
        <x:v>OP-3</x:v>
      </x:c>
      <x:c r="F318" s="8" t="n">
        <x:v>2</x:v>
      </x:c>
      <x:c r="G318" s="8" t="str"/>
      <x:c r="H318" s="8" t="str"/>
      <x:c r="I318" s="8" t="str">
        <x:f>IF(H318="","OPEN",IF(NOT(ISNUMBER(G318)),"FAIL","PASS"))</x:f>
        <x:v>OPEN</x:v>
      </x:c>
    </x:row>
    <x:row r="319" ht="25" customHeight="1">
      <x:c r="B319" s="8" t="str">
        <x:v>MP-06-P03-O1-R1</x:v>
      </x:c>
      <x:c r="C319" s="8" t="str">
        <x:v>MP-06</x:v>
      </x:c>
      <x:c r="D319" s="8" t="n">
        <x:v>3</x:v>
      </x:c>
      <x:c r="E319" s="8" t="str">
        <x:v>OP-1</x:v>
      </x:c>
      <x:c r="F319" s="8" t="n">
        <x:v>1</x:v>
      </x:c>
      <x:c r="G319" s="8" t="str"/>
      <x:c r="H319" s="8" t="str"/>
      <x:c r="I319" s="8" t="str">
        <x:f>IF(H319="","OPEN",IF(NOT(ISNUMBER(G319)),"FAIL","PASS"))</x:f>
        <x:v>OPEN</x:v>
      </x:c>
    </x:row>
    <x:row r="320" ht="25" customHeight="1">
      <x:c r="B320" s="8" t="str">
        <x:v>MP-06-P03-O1-R2</x:v>
      </x:c>
      <x:c r="C320" s="8" t="str">
        <x:v>MP-06</x:v>
      </x:c>
      <x:c r="D320" s="8" t="n">
        <x:v>3</x:v>
      </x:c>
      <x:c r="E320" s="8" t="str">
        <x:v>OP-1</x:v>
      </x:c>
      <x:c r="F320" s="8" t="n">
        <x:v>2</x:v>
      </x:c>
      <x:c r="G320" s="8" t="str"/>
      <x:c r="H320" s="8" t="str"/>
      <x:c r="I320" s="8" t="str">
        <x:f>IF(H320="","OPEN",IF(NOT(ISNUMBER(G320)),"FAIL","PASS"))</x:f>
        <x:v>OPEN</x:v>
      </x:c>
    </x:row>
    <x:row r="321" ht="25" customHeight="1">
      <x:c r="B321" s="8" t="str">
        <x:v>MP-06-P03-O2-R1</x:v>
      </x:c>
      <x:c r="C321" s="8" t="str">
        <x:v>MP-06</x:v>
      </x:c>
      <x:c r="D321" s="8" t="n">
        <x:v>3</x:v>
      </x:c>
      <x:c r="E321" s="8" t="str">
        <x:v>OP-2</x:v>
      </x:c>
      <x:c r="F321" s="8" t="n">
        <x:v>1</x:v>
      </x:c>
      <x:c r="G321" s="8" t="str"/>
      <x:c r="H321" s="8" t="str"/>
      <x:c r="I321" s="8" t="str">
        <x:f>IF(H321="","OPEN",IF(NOT(ISNUMBER(G321)),"FAIL","PASS"))</x:f>
        <x:v>OPEN</x:v>
      </x:c>
    </x:row>
    <x:row r="322" ht="25" customHeight="1">
      <x:c r="B322" s="8" t="str">
        <x:v>MP-06-P03-O2-R2</x:v>
      </x:c>
      <x:c r="C322" s="8" t="str">
        <x:v>MP-06</x:v>
      </x:c>
      <x:c r="D322" s="8" t="n">
        <x:v>3</x:v>
      </x:c>
      <x:c r="E322" s="8" t="str">
        <x:v>OP-2</x:v>
      </x:c>
      <x:c r="F322" s="8" t="n">
        <x:v>2</x:v>
      </x:c>
      <x:c r="G322" s="8" t="str"/>
      <x:c r="H322" s="8" t="str"/>
      <x:c r="I322" s="8" t="str">
        <x:f>IF(H322="","OPEN",IF(NOT(ISNUMBER(G322)),"FAIL","PASS"))</x:f>
        <x:v>OPEN</x:v>
      </x:c>
    </x:row>
    <x:row r="323" ht="25" customHeight="1">
      <x:c r="B323" s="8" t="str">
        <x:v>MP-06-P03-O3-R1</x:v>
      </x:c>
      <x:c r="C323" s="8" t="str">
        <x:v>MP-06</x:v>
      </x:c>
      <x:c r="D323" s="8" t="n">
        <x:v>3</x:v>
      </x:c>
      <x:c r="E323" s="8" t="str">
        <x:v>OP-3</x:v>
      </x:c>
      <x:c r="F323" s="8" t="n">
        <x:v>1</x:v>
      </x:c>
      <x:c r="G323" s="8" t="str"/>
      <x:c r="H323" s="8" t="str"/>
      <x:c r="I323" s="8" t="str">
        <x:f>IF(H323="","OPEN",IF(NOT(ISNUMBER(G323)),"FAIL","PASS"))</x:f>
        <x:v>OPEN</x:v>
      </x:c>
    </x:row>
    <x:row r="324" ht="25" customHeight="1">
      <x:c r="B324" s="8" t="str">
        <x:v>MP-06-P03-O3-R2</x:v>
      </x:c>
      <x:c r="C324" s="8" t="str">
        <x:v>MP-06</x:v>
      </x:c>
      <x:c r="D324" s="8" t="n">
        <x:v>3</x:v>
      </x:c>
      <x:c r="E324" s="8" t="str">
        <x:v>OP-3</x:v>
      </x:c>
      <x:c r="F324" s="8" t="n">
        <x:v>2</x:v>
      </x:c>
      <x:c r="G324" s="8" t="str"/>
      <x:c r="H324" s="8" t="str"/>
      <x:c r="I324" s="8" t="str">
        <x:f>IF(H324="","OPEN",IF(NOT(ISNUMBER(G324)),"FAIL","PASS"))</x:f>
        <x:v>OPEN</x:v>
      </x:c>
    </x:row>
    <x:row r="325" ht="25" customHeight="1">
      <x:c r="B325" s="8" t="str">
        <x:v>MP-06-P04-O1-R1</x:v>
      </x:c>
      <x:c r="C325" s="8" t="str">
        <x:v>MP-06</x:v>
      </x:c>
      <x:c r="D325" s="8" t="n">
        <x:v>4</x:v>
      </x:c>
      <x:c r="E325" s="8" t="str">
        <x:v>OP-1</x:v>
      </x:c>
      <x:c r="F325" s="8" t="n">
        <x:v>1</x:v>
      </x:c>
      <x:c r="G325" s="8" t="str"/>
      <x:c r="H325" s="8" t="str"/>
      <x:c r="I325" s="8" t="str">
        <x:f>IF(H325="","OPEN",IF(NOT(ISNUMBER(G325)),"FAIL","PASS"))</x:f>
        <x:v>OPEN</x:v>
      </x:c>
    </x:row>
    <x:row r="326" ht="25" customHeight="1">
      <x:c r="B326" s="8" t="str">
        <x:v>MP-06-P04-O1-R2</x:v>
      </x:c>
      <x:c r="C326" s="8" t="str">
        <x:v>MP-06</x:v>
      </x:c>
      <x:c r="D326" s="8" t="n">
        <x:v>4</x:v>
      </x:c>
      <x:c r="E326" s="8" t="str">
        <x:v>OP-1</x:v>
      </x:c>
      <x:c r="F326" s="8" t="n">
        <x:v>2</x:v>
      </x:c>
      <x:c r="G326" s="8" t="str"/>
      <x:c r="H326" s="8" t="str"/>
      <x:c r="I326" s="8" t="str">
        <x:f>IF(H326="","OPEN",IF(NOT(ISNUMBER(G326)),"FAIL","PASS"))</x:f>
        <x:v>OPEN</x:v>
      </x:c>
    </x:row>
    <x:row r="327" ht="25" customHeight="1">
      <x:c r="B327" s="8" t="str">
        <x:v>MP-06-P04-O2-R1</x:v>
      </x:c>
      <x:c r="C327" s="8" t="str">
        <x:v>MP-06</x:v>
      </x:c>
      <x:c r="D327" s="8" t="n">
        <x:v>4</x:v>
      </x:c>
      <x:c r="E327" s="8" t="str">
        <x:v>OP-2</x:v>
      </x:c>
      <x:c r="F327" s="8" t="n">
        <x:v>1</x:v>
      </x:c>
      <x:c r="G327" s="8" t="str"/>
      <x:c r="H327" s="8" t="str"/>
      <x:c r="I327" s="8" t="str">
        <x:f>IF(H327="","OPEN",IF(NOT(ISNUMBER(G327)),"FAIL","PASS"))</x:f>
        <x:v>OPEN</x:v>
      </x:c>
    </x:row>
    <x:row r="328" ht="25" customHeight="1">
      <x:c r="B328" s="8" t="str">
        <x:v>MP-06-P04-O2-R2</x:v>
      </x:c>
      <x:c r="C328" s="8" t="str">
        <x:v>MP-06</x:v>
      </x:c>
      <x:c r="D328" s="8" t="n">
        <x:v>4</x:v>
      </x:c>
      <x:c r="E328" s="8" t="str">
        <x:v>OP-2</x:v>
      </x:c>
      <x:c r="F328" s="8" t="n">
        <x:v>2</x:v>
      </x:c>
      <x:c r="G328" s="8" t="str"/>
      <x:c r="H328" s="8" t="str"/>
      <x:c r="I328" s="8" t="str">
        <x:f>IF(H328="","OPEN",IF(NOT(ISNUMBER(G328)),"FAIL","PASS"))</x:f>
        <x:v>OPEN</x:v>
      </x:c>
    </x:row>
    <x:row r="329" ht="25" customHeight="1">
      <x:c r="B329" s="8" t="str">
        <x:v>MP-06-P04-O3-R1</x:v>
      </x:c>
      <x:c r="C329" s="8" t="str">
        <x:v>MP-06</x:v>
      </x:c>
      <x:c r="D329" s="8" t="n">
        <x:v>4</x:v>
      </x:c>
      <x:c r="E329" s="8" t="str">
        <x:v>OP-3</x:v>
      </x:c>
      <x:c r="F329" s="8" t="n">
        <x:v>1</x:v>
      </x:c>
      <x:c r="G329" s="8" t="str"/>
      <x:c r="H329" s="8" t="str"/>
      <x:c r="I329" s="8" t="str">
        <x:f>IF(H329="","OPEN",IF(NOT(ISNUMBER(G329)),"FAIL","PASS"))</x:f>
        <x:v>OPEN</x:v>
      </x:c>
    </x:row>
    <x:row r="330" ht="25" customHeight="1">
      <x:c r="B330" s="8" t="str">
        <x:v>MP-06-P04-O3-R2</x:v>
      </x:c>
      <x:c r="C330" s="8" t="str">
        <x:v>MP-06</x:v>
      </x:c>
      <x:c r="D330" s="8" t="n">
        <x:v>4</x:v>
      </x:c>
      <x:c r="E330" s="8" t="str">
        <x:v>OP-3</x:v>
      </x:c>
      <x:c r="F330" s="8" t="n">
        <x:v>2</x:v>
      </x:c>
      <x:c r="G330" s="8" t="str"/>
      <x:c r="H330" s="8" t="str"/>
      <x:c r="I330" s="8" t="str">
        <x:f>IF(H330="","OPEN",IF(NOT(ISNUMBER(G330)),"FAIL","PASS"))</x:f>
        <x:v>OPEN</x:v>
      </x:c>
    </x:row>
    <x:row r="331" ht="25" customHeight="1">
      <x:c r="B331" s="8" t="str">
        <x:v>MP-06-P05-O1-R1</x:v>
      </x:c>
      <x:c r="C331" s="8" t="str">
        <x:v>MP-06</x:v>
      </x:c>
      <x:c r="D331" s="8" t="n">
        <x:v>5</x:v>
      </x:c>
      <x:c r="E331" s="8" t="str">
        <x:v>OP-1</x:v>
      </x:c>
      <x:c r="F331" s="8" t="n">
        <x:v>1</x:v>
      </x:c>
      <x:c r="G331" s="8" t="str"/>
      <x:c r="H331" s="8" t="str"/>
      <x:c r="I331" s="8" t="str">
        <x:f>IF(H331="","OPEN",IF(NOT(ISNUMBER(G331)),"FAIL","PASS"))</x:f>
        <x:v>OPEN</x:v>
      </x:c>
    </x:row>
    <x:row r="332" ht="25" customHeight="1">
      <x:c r="B332" s="8" t="str">
        <x:v>MP-06-P05-O1-R2</x:v>
      </x:c>
      <x:c r="C332" s="8" t="str">
        <x:v>MP-06</x:v>
      </x:c>
      <x:c r="D332" s="8" t="n">
        <x:v>5</x:v>
      </x:c>
      <x:c r="E332" s="8" t="str">
        <x:v>OP-1</x:v>
      </x:c>
      <x:c r="F332" s="8" t="n">
        <x:v>2</x:v>
      </x:c>
      <x:c r="G332" s="8" t="str"/>
      <x:c r="H332" s="8" t="str"/>
      <x:c r="I332" s="8" t="str">
        <x:f>IF(H332="","OPEN",IF(NOT(ISNUMBER(G332)),"FAIL","PASS"))</x:f>
        <x:v>OPEN</x:v>
      </x:c>
    </x:row>
    <x:row r="333" ht="25" customHeight="1">
      <x:c r="B333" s="8" t="str">
        <x:v>MP-06-P05-O2-R1</x:v>
      </x:c>
      <x:c r="C333" s="8" t="str">
        <x:v>MP-06</x:v>
      </x:c>
      <x:c r="D333" s="8" t="n">
        <x:v>5</x:v>
      </x:c>
      <x:c r="E333" s="8" t="str">
        <x:v>OP-2</x:v>
      </x:c>
      <x:c r="F333" s="8" t="n">
        <x:v>1</x:v>
      </x:c>
      <x:c r="G333" s="8" t="str"/>
      <x:c r="H333" s="8" t="str"/>
      <x:c r="I333" s="8" t="str">
        <x:f>IF(H333="","OPEN",IF(NOT(ISNUMBER(G333)),"FAIL","PASS"))</x:f>
        <x:v>OPEN</x:v>
      </x:c>
    </x:row>
    <x:row r="334" ht="25" customHeight="1">
      <x:c r="B334" s="8" t="str">
        <x:v>MP-06-P05-O2-R2</x:v>
      </x:c>
      <x:c r="C334" s="8" t="str">
        <x:v>MP-06</x:v>
      </x:c>
      <x:c r="D334" s="8" t="n">
        <x:v>5</x:v>
      </x:c>
      <x:c r="E334" s="8" t="str">
        <x:v>OP-2</x:v>
      </x:c>
      <x:c r="F334" s="8" t="n">
        <x:v>2</x:v>
      </x:c>
      <x:c r="G334" s="8" t="str"/>
      <x:c r="H334" s="8" t="str"/>
      <x:c r="I334" s="8" t="str">
        <x:f>IF(H334="","OPEN",IF(NOT(ISNUMBER(G334)),"FAIL","PASS"))</x:f>
        <x:v>OPEN</x:v>
      </x:c>
    </x:row>
    <x:row r="335" ht="25" customHeight="1">
      <x:c r="B335" s="8" t="str">
        <x:v>MP-06-P05-O3-R1</x:v>
      </x:c>
      <x:c r="C335" s="8" t="str">
        <x:v>MP-06</x:v>
      </x:c>
      <x:c r="D335" s="8" t="n">
        <x:v>5</x:v>
      </x:c>
      <x:c r="E335" s="8" t="str">
        <x:v>OP-3</x:v>
      </x:c>
      <x:c r="F335" s="8" t="n">
        <x:v>1</x:v>
      </x:c>
      <x:c r="G335" s="8" t="str"/>
      <x:c r="H335" s="8" t="str"/>
      <x:c r="I335" s="8" t="str">
        <x:f>IF(H335="","OPEN",IF(NOT(ISNUMBER(G335)),"FAIL","PASS"))</x:f>
        <x:v>OPEN</x:v>
      </x:c>
    </x:row>
    <x:row r="336" ht="25" customHeight="1">
      <x:c r="B336" s="8" t="str">
        <x:v>MP-06-P05-O3-R2</x:v>
      </x:c>
      <x:c r="C336" s="8" t="str">
        <x:v>MP-06</x:v>
      </x:c>
      <x:c r="D336" s="8" t="n">
        <x:v>5</x:v>
      </x:c>
      <x:c r="E336" s="8" t="str">
        <x:v>OP-3</x:v>
      </x:c>
      <x:c r="F336" s="8" t="n">
        <x:v>2</x:v>
      </x:c>
      <x:c r="G336" s="8" t="str"/>
      <x:c r="H336" s="8" t="str"/>
      <x:c r="I336" s="8" t="str">
        <x:f>IF(H336="","OPEN",IF(NOT(ISNUMBER(G336)),"FAIL","PASS"))</x:f>
        <x:v>OPEN</x:v>
      </x:c>
    </x:row>
    <x:row r="337" ht="25" customHeight="1">
      <x:c r="B337" s="8" t="str">
        <x:v>MP-06-P06-O1-R1</x:v>
      </x:c>
      <x:c r="C337" s="8" t="str">
        <x:v>MP-06</x:v>
      </x:c>
      <x:c r="D337" s="8" t="n">
        <x:v>6</x:v>
      </x:c>
      <x:c r="E337" s="8" t="str">
        <x:v>OP-1</x:v>
      </x:c>
      <x:c r="F337" s="8" t="n">
        <x:v>1</x:v>
      </x:c>
      <x:c r="G337" s="8" t="str"/>
      <x:c r="H337" s="8" t="str"/>
      <x:c r="I337" s="8" t="str">
        <x:f>IF(H337="","OPEN",IF(NOT(ISNUMBER(G337)),"FAIL","PASS"))</x:f>
        <x:v>OPEN</x:v>
      </x:c>
    </x:row>
    <x:row r="338" ht="25" customHeight="1">
      <x:c r="B338" s="8" t="str">
        <x:v>MP-06-P06-O1-R2</x:v>
      </x:c>
      <x:c r="C338" s="8" t="str">
        <x:v>MP-06</x:v>
      </x:c>
      <x:c r="D338" s="8" t="n">
        <x:v>6</x:v>
      </x:c>
      <x:c r="E338" s="8" t="str">
        <x:v>OP-1</x:v>
      </x:c>
      <x:c r="F338" s="8" t="n">
        <x:v>2</x:v>
      </x:c>
      <x:c r="G338" s="8" t="str"/>
      <x:c r="H338" s="8" t="str"/>
      <x:c r="I338" s="8" t="str">
        <x:f>IF(H338="","OPEN",IF(NOT(ISNUMBER(G338)),"FAIL","PASS"))</x:f>
        <x:v>OPEN</x:v>
      </x:c>
    </x:row>
    <x:row r="339" ht="25" customHeight="1">
      <x:c r="B339" s="8" t="str">
        <x:v>MP-06-P06-O2-R1</x:v>
      </x:c>
      <x:c r="C339" s="8" t="str">
        <x:v>MP-06</x:v>
      </x:c>
      <x:c r="D339" s="8" t="n">
        <x:v>6</x:v>
      </x:c>
      <x:c r="E339" s="8" t="str">
        <x:v>OP-2</x:v>
      </x:c>
      <x:c r="F339" s="8" t="n">
        <x:v>1</x:v>
      </x:c>
      <x:c r="G339" s="8" t="str"/>
      <x:c r="H339" s="8" t="str"/>
      <x:c r="I339" s="8" t="str">
        <x:f>IF(H339="","OPEN",IF(NOT(ISNUMBER(G339)),"FAIL","PASS"))</x:f>
        <x:v>OPEN</x:v>
      </x:c>
    </x:row>
    <x:row r="340" ht="25" customHeight="1">
      <x:c r="B340" s="8" t="str">
        <x:v>MP-06-P06-O2-R2</x:v>
      </x:c>
      <x:c r="C340" s="8" t="str">
        <x:v>MP-06</x:v>
      </x:c>
      <x:c r="D340" s="8" t="n">
        <x:v>6</x:v>
      </x:c>
      <x:c r="E340" s="8" t="str">
        <x:v>OP-2</x:v>
      </x:c>
      <x:c r="F340" s="8" t="n">
        <x:v>2</x:v>
      </x:c>
      <x:c r="G340" s="8" t="str"/>
      <x:c r="H340" s="8" t="str"/>
      <x:c r="I340" s="8" t="str">
        <x:f>IF(H340="","OPEN",IF(NOT(ISNUMBER(G340)),"FAIL","PASS"))</x:f>
        <x:v>OPEN</x:v>
      </x:c>
    </x:row>
    <x:row r="341" ht="25" customHeight="1">
      <x:c r="B341" s="8" t="str">
        <x:v>MP-06-P06-O3-R1</x:v>
      </x:c>
      <x:c r="C341" s="8" t="str">
        <x:v>MP-06</x:v>
      </x:c>
      <x:c r="D341" s="8" t="n">
        <x:v>6</x:v>
      </x:c>
      <x:c r="E341" s="8" t="str">
        <x:v>OP-3</x:v>
      </x:c>
      <x:c r="F341" s="8" t="n">
        <x:v>1</x:v>
      </x:c>
      <x:c r="G341" s="8" t="str"/>
      <x:c r="H341" s="8" t="str"/>
      <x:c r="I341" s="8" t="str">
        <x:f>IF(H341="","OPEN",IF(NOT(ISNUMBER(G341)),"FAIL","PASS"))</x:f>
        <x:v>OPEN</x:v>
      </x:c>
    </x:row>
    <x:row r="342" ht="25" customHeight="1">
      <x:c r="B342" s="8" t="str">
        <x:v>MP-06-P06-O3-R2</x:v>
      </x:c>
      <x:c r="C342" s="8" t="str">
        <x:v>MP-06</x:v>
      </x:c>
      <x:c r="D342" s="8" t="n">
        <x:v>6</x:v>
      </x:c>
      <x:c r="E342" s="8" t="str">
        <x:v>OP-3</x:v>
      </x:c>
      <x:c r="F342" s="8" t="n">
        <x:v>2</x:v>
      </x:c>
      <x:c r="G342" s="8" t="str"/>
      <x:c r="H342" s="8" t="str"/>
      <x:c r="I342" s="8" t="str">
        <x:f>IF(H342="","OPEN",IF(NOT(ISNUMBER(G342)),"FAIL","PASS"))</x:f>
        <x:v>OPEN</x:v>
      </x:c>
    </x:row>
    <x:row r="343" ht="25" customHeight="1">
      <x:c r="B343" s="8" t="str">
        <x:v>MP-06-P07-O1-R1</x:v>
      </x:c>
      <x:c r="C343" s="8" t="str">
        <x:v>MP-06</x:v>
      </x:c>
      <x:c r="D343" s="8" t="n">
        <x:v>7</x:v>
      </x:c>
      <x:c r="E343" s="8" t="str">
        <x:v>OP-1</x:v>
      </x:c>
      <x:c r="F343" s="8" t="n">
        <x:v>1</x:v>
      </x:c>
      <x:c r="G343" s="8" t="str"/>
      <x:c r="H343" s="8" t="str"/>
      <x:c r="I343" s="8" t="str">
        <x:f>IF(H343="","OPEN",IF(NOT(ISNUMBER(G343)),"FAIL","PASS"))</x:f>
        <x:v>OPEN</x:v>
      </x:c>
    </x:row>
    <x:row r="344" ht="25" customHeight="1">
      <x:c r="B344" s="8" t="str">
        <x:v>MP-06-P07-O1-R2</x:v>
      </x:c>
      <x:c r="C344" s="8" t="str">
        <x:v>MP-06</x:v>
      </x:c>
      <x:c r="D344" s="8" t="n">
        <x:v>7</x:v>
      </x:c>
      <x:c r="E344" s="8" t="str">
        <x:v>OP-1</x:v>
      </x:c>
      <x:c r="F344" s="8" t="n">
        <x:v>2</x:v>
      </x:c>
      <x:c r="G344" s="8" t="str"/>
      <x:c r="H344" s="8" t="str"/>
      <x:c r="I344" s="8" t="str">
        <x:f>IF(H344="","OPEN",IF(NOT(ISNUMBER(G344)),"FAIL","PASS"))</x:f>
        <x:v>OPEN</x:v>
      </x:c>
    </x:row>
    <x:row r="345" ht="25" customHeight="1">
      <x:c r="B345" s="8" t="str">
        <x:v>MP-06-P07-O2-R1</x:v>
      </x:c>
      <x:c r="C345" s="8" t="str">
        <x:v>MP-06</x:v>
      </x:c>
      <x:c r="D345" s="8" t="n">
        <x:v>7</x:v>
      </x:c>
      <x:c r="E345" s="8" t="str">
        <x:v>OP-2</x:v>
      </x:c>
      <x:c r="F345" s="8" t="n">
        <x:v>1</x:v>
      </x:c>
      <x:c r="G345" s="8" t="str"/>
      <x:c r="H345" s="8" t="str"/>
      <x:c r="I345" s="8" t="str">
        <x:f>IF(H345="","OPEN",IF(NOT(ISNUMBER(G345)),"FAIL","PASS"))</x:f>
        <x:v>OPEN</x:v>
      </x:c>
    </x:row>
    <x:row r="346" ht="25" customHeight="1">
      <x:c r="B346" s="8" t="str">
        <x:v>MP-06-P07-O2-R2</x:v>
      </x:c>
      <x:c r="C346" s="8" t="str">
        <x:v>MP-06</x:v>
      </x:c>
      <x:c r="D346" s="8" t="n">
        <x:v>7</x:v>
      </x:c>
      <x:c r="E346" s="8" t="str">
        <x:v>OP-2</x:v>
      </x:c>
      <x:c r="F346" s="8" t="n">
        <x:v>2</x:v>
      </x:c>
      <x:c r="G346" s="8" t="str"/>
      <x:c r="H346" s="8" t="str"/>
      <x:c r="I346" s="8" t="str">
        <x:f>IF(H346="","OPEN",IF(NOT(ISNUMBER(G346)),"FAIL","PASS"))</x:f>
        <x:v>OPEN</x:v>
      </x:c>
    </x:row>
    <x:row r="347" ht="25" customHeight="1">
      <x:c r="B347" s="8" t="str">
        <x:v>MP-06-P07-O3-R1</x:v>
      </x:c>
      <x:c r="C347" s="8" t="str">
        <x:v>MP-06</x:v>
      </x:c>
      <x:c r="D347" s="8" t="n">
        <x:v>7</x:v>
      </x:c>
      <x:c r="E347" s="8" t="str">
        <x:v>OP-3</x:v>
      </x:c>
      <x:c r="F347" s="8" t="n">
        <x:v>1</x:v>
      </x:c>
      <x:c r="G347" s="8" t="str"/>
      <x:c r="H347" s="8" t="str"/>
      <x:c r="I347" s="8" t="str">
        <x:f>IF(H347="","OPEN",IF(NOT(ISNUMBER(G347)),"FAIL","PASS"))</x:f>
        <x:v>OPEN</x:v>
      </x:c>
    </x:row>
    <x:row r="348" ht="25" customHeight="1">
      <x:c r="B348" s="8" t="str">
        <x:v>MP-06-P07-O3-R2</x:v>
      </x:c>
      <x:c r="C348" s="8" t="str">
        <x:v>MP-06</x:v>
      </x:c>
      <x:c r="D348" s="8" t="n">
        <x:v>7</x:v>
      </x:c>
      <x:c r="E348" s="8" t="str">
        <x:v>OP-3</x:v>
      </x:c>
      <x:c r="F348" s="8" t="n">
        <x:v>2</x:v>
      </x:c>
      <x:c r="G348" s="8" t="str"/>
      <x:c r="H348" s="8" t="str"/>
      <x:c r="I348" s="8" t="str">
        <x:f>IF(H348="","OPEN",IF(NOT(ISNUMBER(G348)),"FAIL","PASS"))</x:f>
        <x:v>OPEN</x:v>
      </x:c>
    </x:row>
    <x:row r="349" ht="25" customHeight="1">
      <x:c r="B349" s="8" t="str">
        <x:v>MP-06-P08-O1-R1</x:v>
      </x:c>
      <x:c r="C349" s="8" t="str">
        <x:v>MP-06</x:v>
      </x:c>
      <x:c r="D349" s="8" t="n">
        <x:v>8</x:v>
      </x:c>
      <x:c r="E349" s="8" t="str">
        <x:v>OP-1</x:v>
      </x:c>
      <x:c r="F349" s="8" t="n">
        <x:v>1</x:v>
      </x:c>
      <x:c r="G349" s="8" t="str"/>
      <x:c r="H349" s="8" t="str"/>
      <x:c r="I349" s="8" t="str">
        <x:f>IF(H349="","OPEN",IF(NOT(ISNUMBER(G349)),"FAIL","PASS"))</x:f>
        <x:v>OPEN</x:v>
      </x:c>
    </x:row>
    <x:row r="350" ht="25" customHeight="1">
      <x:c r="B350" s="8" t="str">
        <x:v>MP-06-P08-O1-R2</x:v>
      </x:c>
      <x:c r="C350" s="8" t="str">
        <x:v>MP-06</x:v>
      </x:c>
      <x:c r="D350" s="8" t="n">
        <x:v>8</x:v>
      </x:c>
      <x:c r="E350" s="8" t="str">
        <x:v>OP-1</x:v>
      </x:c>
      <x:c r="F350" s="8" t="n">
        <x:v>2</x:v>
      </x:c>
      <x:c r="G350" s="8" t="str"/>
      <x:c r="H350" s="8" t="str"/>
      <x:c r="I350" s="8" t="str">
        <x:f>IF(H350="","OPEN",IF(NOT(ISNUMBER(G350)),"FAIL","PASS"))</x:f>
        <x:v>OPEN</x:v>
      </x:c>
    </x:row>
    <x:row r="351" ht="25" customHeight="1">
      <x:c r="B351" s="8" t="str">
        <x:v>MP-06-P08-O2-R1</x:v>
      </x:c>
      <x:c r="C351" s="8" t="str">
        <x:v>MP-06</x:v>
      </x:c>
      <x:c r="D351" s="8" t="n">
        <x:v>8</x:v>
      </x:c>
      <x:c r="E351" s="8" t="str">
        <x:v>OP-2</x:v>
      </x:c>
      <x:c r="F351" s="8" t="n">
        <x:v>1</x:v>
      </x:c>
      <x:c r="G351" s="8" t="str"/>
      <x:c r="H351" s="8" t="str"/>
      <x:c r="I351" s="8" t="str">
        <x:f>IF(H351="","OPEN",IF(NOT(ISNUMBER(G351)),"FAIL","PASS"))</x:f>
        <x:v>OPEN</x:v>
      </x:c>
    </x:row>
    <x:row r="352" ht="25" customHeight="1">
      <x:c r="B352" s="8" t="str">
        <x:v>MP-06-P08-O2-R2</x:v>
      </x:c>
      <x:c r="C352" s="8" t="str">
        <x:v>MP-06</x:v>
      </x:c>
      <x:c r="D352" s="8" t="n">
        <x:v>8</x:v>
      </x:c>
      <x:c r="E352" s="8" t="str">
        <x:v>OP-2</x:v>
      </x:c>
      <x:c r="F352" s="8" t="n">
        <x:v>2</x:v>
      </x:c>
      <x:c r="G352" s="8" t="str"/>
      <x:c r="H352" s="8" t="str"/>
      <x:c r="I352" s="8" t="str">
        <x:f>IF(H352="","OPEN",IF(NOT(ISNUMBER(G352)),"FAIL","PASS"))</x:f>
        <x:v>OPEN</x:v>
      </x:c>
    </x:row>
    <x:row r="353" ht="25" customHeight="1">
      <x:c r="B353" s="8" t="str">
        <x:v>MP-06-P08-O3-R1</x:v>
      </x:c>
      <x:c r="C353" s="8" t="str">
        <x:v>MP-06</x:v>
      </x:c>
      <x:c r="D353" s="8" t="n">
        <x:v>8</x:v>
      </x:c>
      <x:c r="E353" s="8" t="str">
        <x:v>OP-3</x:v>
      </x:c>
      <x:c r="F353" s="8" t="n">
        <x:v>1</x:v>
      </x:c>
      <x:c r="G353" s="8" t="str"/>
      <x:c r="H353" s="8" t="str"/>
      <x:c r="I353" s="8" t="str">
        <x:f>IF(H353="","OPEN",IF(NOT(ISNUMBER(G353)),"FAIL","PASS"))</x:f>
        <x:v>OPEN</x:v>
      </x:c>
    </x:row>
    <x:row r="354" ht="25" customHeight="1">
      <x:c r="B354" s="8" t="str">
        <x:v>MP-06-P08-O3-R2</x:v>
      </x:c>
      <x:c r="C354" s="8" t="str">
        <x:v>MP-06</x:v>
      </x:c>
      <x:c r="D354" s="8" t="n">
        <x:v>8</x:v>
      </x:c>
      <x:c r="E354" s="8" t="str">
        <x:v>OP-3</x:v>
      </x:c>
      <x:c r="F354" s="8" t="n">
        <x:v>2</x:v>
      </x:c>
      <x:c r="G354" s="8" t="str"/>
      <x:c r="H354" s="8" t="str"/>
      <x:c r="I354" s="8" t="str">
        <x:f>IF(H354="","OPEN",IF(NOT(ISNUMBER(G354)),"FAIL","PASS"))</x:f>
        <x:v>OPEN</x:v>
      </x:c>
    </x:row>
    <x:row r="355" ht="25" customHeight="1">
      <x:c r="B355" s="8" t="str">
        <x:v>MP-06-P09-O1-R1</x:v>
      </x:c>
      <x:c r="C355" s="8" t="str">
        <x:v>MP-06</x:v>
      </x:c>
      <x:c r="D355" s="8" t="n">
        <x:v>9</x:v>
      </x:c>
      <x:c r="E355" s="8" t="str">
        <x:v>OP-1</x:v>
      </x:c>
      <x:c r="F355" s="8" t="n">
        <x:v>1</x:v>
      </x:c>
      <x:c r="G355" s="8" t="str"/>
      <x:c r="H355" s="8" t="str"/>
      <x:c r="I355" s="8" t="str">
        <x:f>IF(H355="","OPEN",IF(NOT(ISNUMBER(G355)),"FAIL","PASS"))</x:f>
        <x:v>OPEN</x:v>
      </x:c>
    </x:row>
    <x:row r="356" ht="25" customHeight="1">
      <x:c r="B356" s="8" t="str">
        <x:v>MP-06-P09-O1-R2</x:v>
      </x:c>
      <x:c r="C356" s="8" t="str">
        <x:v>MP-06</x:v>
      </x:c>
      <x:c r="D356" s="8" t="n">
        <x:v>9</x:v>
      </x:c>
      <x:c r="E356" s="8" t="str">
        <x:v>OP-1</x:v>
      </x:c>
      <x:c r="F356" s="8" t="n">
        <x:v>2</x:v>
      </x:c>
      <x:c r="G356" s="8" t="str"/>
      <x:c r="H356" s="8" t="str"/>
      <x:c r="I356" s="8" t="str">
        <x:f>IF(H356="","OPEN",IF(NOT(ISNUMBER(G356)),"FAIL","PASS"))</x:f>
        <x:v>OPEN</x:v>
      </x:c>
    </x:row>
    <x:row r="357" ht="25" customHeight="1">
      <x:c r="B357" s="8" t="str">
        <x:v>MP-06-P09-O2-R1</x:v>
      </x:c>
      <x:c r="C357" s="8" t="str">
        <x:v>MP-06</x:v>
      </x:c>
      <x:c r="D357" s="8" t="n">
        <x:v>9</x:v>
      </x:c>
      <x:c r="E357" s="8" t="str">
        <x:v>OP-2</x:v>
      </x:c>
      <x:c r="F357" s="8" t="n">
        <x:v>1</x:v>
      </x:c>
      <x:c r="G357" s="8" t="str"/>
      <x:c r="H357" s="8" t="str"/>
      <x:c r="I357" s="8" t="str">
        <x:f>IF(H357="","OPEN",IF(NOT(ISNUMBER(G357)),"FAIL","PASS"))</x:f>
        <x:v>OPEN</x:v>
      </x:c>
    </x:row>
    <x:row r="358" ht="25" customHeight="1">
      <x:c r="B358" s="8" t="str">
        <x:v>MP-06-P09-O2-R2</x:v>
      </x:c>
      <x:c r="C358" s="8" t="str">
        <x:v>MP-06</x:v>
      </x:c>
      <x:c r="D358" s="8" t="n">
        <x:v>9</x:v>
      </x:c>
      <x:c r="E358" s="8" t="str">
        <x:v>OP-2</x:v>
      </x:c>
      <x:c r="F358" s="8" t="n">
        <x:v>2</x:v>
      </x:c>
      <x:c r="G358" s="8" t="str"/>
      <x:c r="H358" s="8" t="str"/>
      <x:c r="I358" s="8" t="str">
        <x:f>IF(H358="","OPEN",IF(NOT(ISNUMBER(G358)),"FAIL","PASS"))</x:f>
        <x:v>OPEN</x:v>
      </x:c>
    </x:row>
    <x:row r="359" ht="25" customHeight="1">
      <x:c r="B359" s="8" t="str">
        <x:v>MP-06-P09-O3-R1</x:v>
      </x:c>
      <x:c r="C359" s="8" t="str">
        <x:v>MP-06</x:v>
      </x:c>
      <x:c r="D359" s="8" t="n">
        <x:v>9</x:v>
      </x:c>
      <x:c r="E359" s="8" t="str">
        <x:v>OP-3</x:v>
      </x:c>
      <x:c r="F359" s="8" t="n">
        <x:v>1</x:v>
      </x:c>
      <x:c r="G359" s="8" t="str"/>
      <x:c r="H359" s="8" t="str"/>
      <x:c r="I359" s="8" t="str">
        <x:f>IF(H359="","OPEN",IF(NOT(ISNUMBER(G359)),"FAIL","PASS"))</x:f>
        <x:v>OPEN</x:v>
      </x:c>
    </x:row>
    <x:row r="360" ht="25" customHeight="1">
      <x:c r="B360" s="8" t="str">
        <x:v>MP-06-P09-O3-R2</x:v>
      </x:c>
      <x:c r="C360" s="8" t="str">
        <x:v>MP-06</x:v>
      </x:c>
      <x:c r="D360" s="8" t="n">
        <x:v>9</x:v>
      </x:c>
      <x:c r="E360" s="8" t="str">
        <x:v>OP-3</x:v>
      </x:c>
      <x:c r="F360" s="8" t="n">
        <x:v>2</x:v>
      </x:c>
      <x:c r="G360" s="8" t="str"/>
      <x:c r="H360" s="8" t="str"/>
      <x:c r="I360" s="8" t="str">
        <x:f>IF(H360="","OPEN",IF(NOT(ISNUMBER(G360)),"FAIL","PASS"))</x:f>
        <x:v>OPEN</x:v>
      </x:c>
    </x:row>
    <x:row r="361" ht="25" customHeight="1">
      <x:c r="B361" s="8" t="str">
        <x:v>MP-06-P10-O1-R1</x:v>
      </x:c>
      <x:c r="C361" s="8" t="str">
        <x:v>MP-06</x:v>
      </x:c>
      <x:c r="D361" s="8" t="n">
        <x:v>10</x:v>
      </x:c>
      <x:c r="E361" s="8" t="str">
        <x:v>OP-1</x:v>
      </x:c>
      <x:c r="F361" s="8" t="n">
        <x:v>1</x:v>
      </x:c>
      <x:c r="G361" s="8" t="str"/>
      <x:c r="H361" s="8" t="str"/>
      <x:c r="I361" s="8" t="str">
        <x:f>IF(H361="","OPEN",IF(NOT(ISNUMBER(G361)),"FAIL","PASS"))</x:f>
        <x:v>OPEN</x:v>
      </x:c>
    </x:row>
    <x:row r="362" ht="25" customHeight="1">
      <x:c r="B362" s="8" t="str">
        <x:v>MP-06-P10-O1-R2</x:v>
      </x:c>
      <x:c r="C362" s="8" t="str">
        <x:v>MP-06</x:v>
      </x:c>
      <x:c r="D362" s="8" t="n">
        <x:v>10</x:v>
      </x:c>
      <x:c r="E362" s="8" t="str">
        <x:v>OP-1</x:v>
      </x:c>
      <x:c r="F362" s="8" t="n">
        <x:v>2</x:v>
      </x:c>
      <x:c r="G362" s="8" t="str"/>
      <x:c r="H362" s="8" t="str"/>
      <x:c r="I362" s="8" t="str">
        <x:f>IF(H362="","OPEN",IF(NOT(ISNUMBER(G362)),"FAIL","PASS"))</x:f>
        <x:v>OPEN</x:v>
      </x:c>
    </x:row>
    <x:row r="363" ht="25" customHeight="1">
      <x:c r="B363" s="8" t="str">
        <x:v>MP-06-P10-O2-R1</x:v>
      </x:c>
      <x:c r="C363" s="8" t="str">
        <x:v>MP-06</x:v>
      </x:c>
      <x:c r="D363" s="8" t="n">
        <x:v>10</x:v>
      </x:c>
      <x:c r="E363" s="8" t="str">
        <x:v>OP-2</x:v>
      </x:c>
      <x:c r="F363" s="8" t="n">
        <x:v>1</x:v>
      </x:c>
      <x:c r="G363" s="8" t="str"/>
      <x:c r="H363" s="8" t="str"/>
      <x:c r="I363" s="8" t="str">
        <x:f>IF(H363="","OPEN",IF(NOT(ISNUMBER(G363)),"FAIL","PASS"))</x:f>
        <x:v>OPEN</x:v>
      </x:c>
    </x:row>
    <x:row r="364" ht="25" customHeight="1">
      <x:c r="B364" s="8" t="str">
        <x:v>MP-06-P10-O2-R2</x:v>
      </x:c>
      <x:c r="C364" s="8" t="str">
        <x:v>MP-06</x:v>
      </x:c>
      <x:c r="D364" s="8" t="n">
        <x:v>10</x:v>
      </x:c>
      <x:c r="E364" s="8" t="str">
        <x:v>OP-2</x:v>
      </x:c>
      <x:c r="F364" s="8" t="n">
        <x:v>2</x:v>
      </x:c>
      <x:c r="G364" s="8" t="str"/>
      <x:c r="H364" s="8" t="str"/>
      <x:c r="I364" s="8" t="str">
        <x:f>IF(H364="","OPEN",IF(NOT(ISNUMBER(G364)),"FAIL","PASS"))</x:f>
        <x:v>OPEN</x:v>
      </x:c>
    </x:row>
    <x:row r="365" ht="25" customHeight="1">
      <x:c r="B365" s="8" t="str">
        <x:v>MP-06-P10-O3-R1</x:v>
      </x:c>
      <x:c r="C365" s="8" t="str">
        <x:v>MP-06</x:v>
      </x:c>
      <x:c r="D365" s="8" t="n">
        <x:v>10</x:v>
      </x:c>
      <x:c r="E365" s="8" t="str">
        <x:v>OP-3</x:v>
      </x:c>
      <x:c r="F365" s="8" t="n">
        <x:v>1</x:v>
      </x:c>
      <x:c r="G365" s="8" t="str"/>
      <x:c r="H365" s="8" t="str"/>
      <x:c r="I365" s="8" t="str">
        <x:f>IF(H365="","OPEN",IF(NOT(ISNUMBER(G365)),"FAIL","PASS"))</x:f>
        <x:v>OPEN</x:v>
      </x:c>
    </x:row>
    <x:row r="366" ht="25" customHeight="1">
      <x:c r="B366" s="8" t="str">
        <x:v>MP-06-P10-O3-R2</x:v>
      </x:c>
      <x:c r="C366" s="8" t="str">
        <x:v>MP-06</x:v>
      </x:c>
      <x:c r="D366" s="8" t="n">
        <x:v>10</x:v>
      </x:c>
      <x:c r="E366" s="8" t="str">
        <x:v>OP-3</x:v>
      </x:c>
      <x:c r="F366" s="8" t="n">
        <x:v>2</x:v>
      </x:c>
      <x:c r="G366" s="8" t="str"/>
      <x:c r="H366" s="8" t="str"/>
      <x:c r="I366" s="8" t="str">
        <x:f>IF(H366="","OPEN",IF(NOT(ISNUMBER(G366)),"FAIL","PASS"))</x:f>
        <x:v>OPEN</x:v>
      </x:c>
    </x:row>
    <x:row r="367" ht="25" customHeight="1">
      <x:c r="B367" s="8" t="str">
        <x:v>MP-07-P01-O1-R1</x:v>
      </x:c>
      <x:c r="C367" s="8" t="str">
        <x:v>MP-07</x:v>
      </x:c>
      <x:c r="D367" s="8" t="n">
        <x:v>1</x:v>
      </x:c>
      <x:c r="E367" s="8" t="str">
        <x:v>OP-1</x:v>
      </x:c>
      <x:c r="F367" s="8" t="n">
        <x:v>1</x:v>
      </x:c>
      <x:c r="G367" s="8" t="str"/>
      <x:c r="H367" s="8" t="str"/>
      <x:c r="I367" s="8" t="str">
        <x:f>IF(H367="","OPEN",IF(NOT(ISNUMBER(G367)),"FAIL","PASS"))</x:f>
        <x:v>OPEN</x:v>
      </x:c>
    </x:row>
    <x:row r="368" ht="25" customHeight="1">
      <x:c r="B368" s="8" t="str">
        <x:v>MP-07-P01-O1-R2</x:v>
      </x:c>
      <x:c r="C368" s="8" t="str">
        <x:v>MP-07</x:v>
      </x:c>
      <x:c r="D368" s="8" t="n">
        <x:v>1</x:v>
      </x:c>
      <x:c r="E368" s="8" t="str">
        <x:v>OP-1</x:v>
      </x:c>
      <x:c r="F368" s="8" t="n">
        <x:v>2</x:v>
      </x:c>
      <x:c r="G368" s="8" t="str"/>
      <x:c r="H368" s="8" t="str"/>
      <x:c r="I368" s="8" t="str">
        <x:f>IF(H368="","OPEN",IF(NOT(ISNUMBER(G368)),"FAIL","PASS"))</x:f>
        <x:v>OPEN</x:v>
      </x:c>
    </x:row>
    <x:row r="369" ht="25" customHeight="1">
      <x:c r="B369" s="8" t="str">
        <x:v>MP-07-P01-O2-R1</x:v>
      </x:c>
      <x:c r="C369" s="8" t="str">
        <x:v>MP-07</x:v>
      </x:c>
      <x:c r="D369" s="8" t="n">
        <x:v>1</x:v>
      </x:c>
      <x:c r="E369" s="8" t="str">
        <x:v>OP-2</x:v>
      </x:c>
      <x:c r="F369" s="8" t="n">
        <x:v>1</x:v>
      </x:c>
      <x:c r="G369" s="8" t="str"/>
      <x:c r="H369" s="8" t="str"/>
      <x:c r="I369" s="8" t="str">
        <x:f>IF(H369="","OPEN",IF(NOT(ISNUMBER(G369)),"FAIL","PASS"))</x:f>
        <x:v>OPEN</x:v>
      </x:c>
    </x:row>
    <x:row r="370" ht="25" customHeight="1">
      <x:c r="B370" s="8" t="str">
        <x:v>MP-07-P01-O2-R2</x:v>
      </x:c>
      <x:c r="C370" s="8" t="str">
        <x:v>MP-07</x:v>
      </x:c>
      <x:c r="D370" s="8" t="n">
        <x:v>1</x:v>
      </x:c>
      <x:c r="E370" s="8" t="str">
        <x:v>OP-2</x:v>
      </x:c>
      <x:c r="F370" s="8" t="n">
        <x:v>2</x:v>
      </x:c>
      <x:c r="G370" s="8" t="str"/>
      <x:c r="H370" s="8" t="str"/>
      <x:c r="I370" s="8" t="str">
        <x:f>IF(H370="","OPEN",IF(NOT(ISNUMBER(G370)),"FAIL","PASS"))</x:f>
        <x:v>OPEN</x:v>
      </x:c>
    </x:row>
    <x:row r="371" ht="25" customHeight="1">
      <x:c r="B371" s="8" t="str">
        <x:v>MP-07-P01-O3-R1</x:v>
      </x:c>
      <x:c r="C371" s="8" t="str">
        <x:v>MP-07</x:v>
      </x:c>
      <x:c r="D371" s="8" t="n">
        <x:v>1</x:v>
      </x:c>
      <x:c r="E371" s="8" t="str">
        <x:v>OP-3</x:v>
      </x:c>
      <x:c r="F371" s="8" t="n">
        <x:v>1</x:v>
      </x:c>
      <x:c r="G371" s="8" t="str"/>
      <x:c r="H371" s="8" t="str"/>
      <x:c r="I371" s="8" t="str">
        <x:f>IF(H371="","OPEN",IF(NOT(ISNUMBER(G371)),"FAIL","PASS"))</x:f>
        <x:v>OPEN</x:v>
      </x:c>
    </x:row>
    <x:row r="372" ht="25" customHeight="1">
      <x:c r="B372" s="8" t="str">
        <x:v>MP-07-P01-O3-R2</x:v>
      </x:c>
      <x:c r="C372" s="8" t="str">
        <x:v>MP-07</x:v>
      </x:c>
      <x:c r="D372" s="8" t="n">
        <x:v>1</x:v>
      </x:c>
      <x:c r="E372" s="8" t="str">
        <x:v>OP-3</x:v>
      </x:c>
      <x:c r="F372" s="8" t="n">
        <x:v>2</x:v>
      </x:c>
      <x:c r="G372" s="8" t="str"/>
      <x:c r="H372" s="8" t="str"/>
      <x:c r="I372" s="8" t="str">
        <x:f>IF(H372="","OPEN",IF(NOT(ISNUMBER(G372)),"FAIL","PASS"))</x:f>
        <x:v>OPEN</x:v>
      </x:c>
    </x:row>
    <x:row r="373" ht="25" customHeight="1">
      <x:c r="B373" s="8" t="str">
        <x:v>MP-07-P02-O1-R1</x:v>
      </x:c>
      <x:c r="C373" s="8" t="str">
        <x:v>MP-07</x:v>
      </x:c>
      <x:c r="D373" s="8" t="n">
        <x:v>2</x:v>
      </x:c>
      <x:c r="E373" s="8" t="str">
        <x:v>OP-1</x:v>
      </x:c>
      <x:c r="F373" s="8" t="n">
        <x:v>1</x:v>
      </x:c>
      <x:c r="G373" s="8" t="str"/>
      <x:c r="H373" s="8" t="str"/>
      <x:c r="I373" s="8" t="str">
        <x:f>IF(H373="","OPEN",IF(NOT(ISNUMBER(G373)),"FAIL","PASS"))</x:f>
        <x:v>OPEN</x:v>
      </x:c>
    </x:row>
    <x:row r="374" ht="25" customHeight="1">
      <x:c r="B374" s="8" t="str">
        <x:v>MP-07-P02-O1-R2</x:v>
      </x:c>
      <x:c r="C374" s="8" t="str">
        <x:v>MP-07</x:v>
      </x:c>
      <x:c r="D374" s="8" t="n">
        <x:v>2</x:v>
      </x:c>
      <x:c r="E374" s="8" t="str">
        <x:v>OP-1</x:v>
      </x:c>
      <x:c r="F374" s="8" t="n">
        <x:v>2</x:v>
      </x:c>
      <x:c r="G374" s="8" t="str"/>
      <x:c r="H374" s="8" t="str"/>
      <x:c r="I374" s="8" t="str">
        <x:f>IF(H374="","OPEN",IF(NOT(ISNUMBER(G374)),"FAIL","PASS"))</x:f>
        <x:v>OPEN</x:v>
      </x:c>
    </x:row>
    <x:row r="375" ht="25" customHeight="1">
      <x:c r="B375" s="8" t="str">
        <x:v>MP-07-P02-O2-R1</x:v>
      </x:c>
      <x:c r="C375" s="8" t="str">
        <x:v>MP-07</x:v>
      </x:c>
      <x:c r="D375" s="8" t="n">
        <x:v>2</x:v>
      </x:c>
      <x:c r="E375" s="8" t="str">
        <x:v>OP-2</x:v>
      </x:c>
      <x:c r="F375" s="8" t="n">
        <x:v>1</x:v>
      </x:c>
      <x:c r="G375" s="8" t="str"/>
      <x:c r="H375" s="8" t="str"/>
      <x:c r="I375" s="8" t="str">
        <x:f>IF(H375="","OPEN",IF(NOT(ISNUMBER(G375)),"FAIL","PASS"))</x:f>
        <x:v>OPEN</x:v>
      </x:c>
    </x:row>
    <x:row r="376" ht="25" customHeight="1">
      <x:c r="B376" s="8" t="str">
        <x:v>MP-07-P02-O2-R2</x:v>
      </x:c>
      <x:c r="C376" s="8" t="str">
        <x:v>MP-07</x:v>
      </x:c>
      <x:c r="D376" s="8" t="n">
        <x:v>2</x:v>
      </x:c>
      <x:c r="E376" s="8" t="str">
        <x:v>OP-2</x:v>
      </x:c>
      <x:c r="F376" s="8" t="n">
        <x:v>2</x:v>
      </x:c>
      <x:c r="G376" s="8" t="str"/>
      <x:c r="H376" s="8" t="str"/>
      <x:c r="I376" s="8" t="str">
        <x:f>IF(H376="","OPEN",IF(NOT(ISNUMBER(G376)),"FAIL","PASS"))</x:f>
        <x:v>OPEN</x:v>
      </x:c>
    </x:row>
    <x:row r="377" ht="25" customHeight="1">
      <x:c r="B377" s="8" t="str">
        <x:v>MP-07-P02-O3-R1</x:v>
      </x:c>
      <x:c r="C377" s="8" t="str">
        <x:v>MP-07</x:v>
      </x:c>
      <x:c r="D377" s="8" t="n">
        <x:v>2</x:v>
      </x:c>
      <x:c r="E377" s="8" t="str">
        <x:v>OP-3</x:v>
      </x:c>
      <x:c r="F377" s="8" t="n">
        <x:v>1</x:v>
      </x:c>
      <x:c r="G377" s="8" t="str"/>
      <x:c r="H377" s="8" t="str"/>
      <x:c r="I377" s="8" t="str">
        <x:f>IF(H377="","OPEN",IF(NOT(ISNUMBER(G377)),"FAIL","PASS"))</x:f>
        <x:v>OPEN</x:v>
      </x:c>
    </x:row>
    <x:row r="378" ht="25" customHeight="1">
      <x:c r="B378" s="8" t="str">
        <x:v>MP-07-P02-O3-R2</x:v>
      </x:c>
      <x:c r="C378" s="8" t="str">
        <x:v>MP-07</x:v>
      </x:c>
      <x:c r="D378" s="8" t="n">
        <x:v>2</x:v>
      </x:c>
      <x:c r="E378" s="8" t="str">
        <x:v>OP-3</x:v>
      </x:c>
      <x:c r="F378" s="8" t="n">
        <x:v>2</x:v>
      </x:c>
      <x:c r="G378" s="8" t="str"/>
      <x:c r="H378" s="8" t="str"/>
      <x:c r="I378" s="8" t="str">
        <x:f>IF(H378="","OPEN",IF(NOT(ISNUMBER(G378)),"FAIL","PASS"))</x:f>
        <x:v>OPEN</x:v>
      </x:c>
    </x:row>
    <x:row r="379" ht="25" customHeight="1">
      <x:c r="B379" s="8" t="str">
        <x:v>MP-07-P03-O1-R1</x:v>
      </x:c>
      <x:c r="C379" s="8" t="str">
        <x:v>MP-07</x:v>
      </x:c>
      <x:c r="D379" s="8" t="n">
        <x:v>3</x:v>
      </x:c>
      <x:c r="E379" s="8" t="str">
        <x:v>OP-1</x:v>
      </x:c>
      <x:c r="F379" s="8" t="n">
        <x:v>1</x:v>
      </x:c>
      <x:c r="G379" s="8" t="str"/>
      <x:c r="H379" s="8" t="str"/>
      <x:c r="I379" s="8" t="str">
        <x:f>IF(H379="","OPEN",IF(NOT(ISNUMBER(G379)),"FAIL","PASS"))</x:f>
        <x:v>OPEN</x:v>
      </x:c>
    </x:row>
    <x:row r="380" ht="25" customHeight="1">
      <x:c r="B380" s="8" t="str">
        <x:v>MP-07-P03-O1-R2</x:v>
      </x:c>
      <x:c r="C380" s="8" t="str">
        <x:v>MP-07</x:v>
      </x:c>
      <x:c r="D380" s="8" t="n">
        <x:v>3</x:v>
      </x:c>
      <x:c r="E380" s="8" t="str">
        <x:v>OP-1</x:v>
      </x:c>
      <x:c r="F380" s="8" t="n">
        <x:v>2</x:v>
      </x:c>
      <x:c r="G380" s="8" t="str"/>
      <x:c r="H380" s="8" t="str"/>
      <x:c r="I380" s="8" t="str">
        <x:f>IF(H380="","OPEN",IF(NOT(ISNUMBER(G380)),"FAIL","PASS"))</x:f>
        <x:v>OPEN</x:v>
      </x:c>
    </x:row>
    <x:row r="381" ht="25" customHeight="1">
      <x:c r="B381" s="8" t="str">
        <x:v>MP-07-P03-O2-R1</x:v>
      </x:c>
      <x:c r="C381" s="8" t="str">
        <x:v>MP-07</x:v>
      </x:c>
      <x:c r="D381" s="8" t="n">
        <x:v>3</x:v>
      </x:c>
      <x:c r="E381" s="8" t="str">
        <x:v>OP-2</x:v>
      </x:c>
      <x:c r="F381" s="8" t="n">
        <x:v>1</x:v>
      </x:c>
      <x:c r="G381" s="8" t="str"/>
      <x:c r="H381" s="8" t="str"/>
      <x:c r="I381" s="8" t="str">
        <x:f>IF(H381="","OPEN",IF(NOT(ISNUMBER(G381)),"FAIL","PASS"))</x:f>
        <x:v>OPEN</x:v>
      </x:c>
    </x:row>
    <x:row r="382" ht="25" customHeight="1">
      <x:c r="B382" s="8" t="str">
        <x:v>MP-07-P03-O2-R2</x:v>
      </x:c>
      <x:c r="C382" s="8" t="str">
        <x:v>MP-07</x:v>
      </x:c>
      <x:c r="D382" s="8" t="n">
        <x:v>3</x:v>
      </x:c>
      <x:c r="E382" s="8" t="str">
        <x:v>OP-2</x:v>
      </x:c>
      <x:c r="F382" s="8" t="n">
        <x:v>2</x:v>
      </x:c>
      <x:c r="G382" s="8" t="str"/>
      <x:c r="H382" s="8" t="str"/>
      <x:c r="I382" s="8" t="str">
        <x:f>IF(H382="","OPEN",IF(NOT(ISNUMBER(G382)),"FAIL","PASS"))</x:f>
        <x:v>OPEN</x:v>
      </x:c>
    </x:row>
    <x:row r="383" ht="25" customHeight="1">
      <x:c r="B383" s="8" t="str">
        <x:v>MP-07-P03-O3-R1</x:v>
      </x:c>
      <x:c r="C383" s="8" t="str">
        <x:v>MP-07</x:v>
      </x:c>
      <x:c r="D383" s="8" t="n">
        <x:v>3</x:v>
      </x:c>
      <x:c r="E383" s="8" t="str">
        <x:v>OP-3</x:v>
      </x:c>
      <x:c r="F383" s="8" t="n">
        <x:v>1</x:v>
      </x:c>
      <x:c r="G383" s="8" t="str"/>
      <x:c r="H383" s="8" t="str"/>
      <x:c r="I383" s="8" t="str">
        <x:f>IF(H383="","OPEN",IF(NOT(ISNUMBER(G383)),"FAIL","PASS"))</x:f>
        <x:v>OPEN</x:v>
      </x:c>
    </x:row>
    <x:row r="384" ht="25" customHeight="1">
      <x:c r="B384" s="8" t="str">
        <x:v>MP-07-P03-O3-R2</x:v>
      </x:c>
      <x:c r="C384" s="8" t="str">
        <x:v>MP-07</x:v>
      </x:c>
      <x:c r="D384" s="8" t="n">
        <x:v>3</x:v>
      </x:c>
      <x:c r="E384" s="8" t="str">
        <x:v>OP-3</x:v>
      </x:c>
      <x:c r="F384" s="8" t="n">
        <x:v>2</x:v>
      </x:c>
      <x:c r="G384" s="8" t="str"/>
      <x:c r="H384" s="8" t="str"/>
      <x:c r="I384" s="8" t="str">
        <x:f>IF(H384="","OPEN",IF(NOT(ISNUMBER(G384)),"FAIL","PASS"))</x:f>
        <x:v>OPEN</x:v>
      </x:c>
    </x:row>
    <x:row r="385" ht="25" customHeight="1">
      <x:c r="B385" s="8" t="str">
        <x:v>MP-07-P04-O1-R1</x:v>
      </x:c>
      <x:c r="C385" s="8" t="str">
        <x:v>MP-07</x:v>
      </x:c>
      <x:c r="D385" s="8" t="n">
        <x:v>4</x:v>
      </x:c>
      <x:c r="E385" s="8" t="str">
        <x:v>OP-1</x:v>
      </x:c>
      <x:c r="F385" s="8" t="n">
        <x:v>1</x:v>
      </x:c>
      <x:c r="G385" s="8" t="str"/>
      <x:c r="H385" s="8" t="str"/>
      <x:c r="I385" s="8" t="str">
        <x:f>IF(H385="","OPEN",IF(NOT(ISNUMBER(G385)),"FAIL","PASS"))</x:f>
        <x:v>OPEN</x:v>
      </x:c>
    </x:row>
    <x:row r="386" ht="25" customHeight="1">
      <x:c r="B386" s="8" t="str">
        <x:v>MP-07-P04-O1-R2</x:v>
      </x:c>
      <x:c r="C386" s="8" t="str">
        <x:v>MP-07</x:v>
      </x:c>
      <x:c r="D386" s="8" t="n">
        <x:v>4</x:v>
      </x:c>
      <x:c r="E386" s="8" t="str">
        <x:v>OP-1</x:v>
      </x:c>
      <x:c r="F386" s="8" t="n">
        <x:v>2</x:v>
      </x:c>
      <x:c r="G386" s="8" t="str"/>
      <x:c r="H386" s="8" t="str"/>
      <x:c r="I386" s="8" t="str">
        <x:f>IF(H386="","OPEN",IF(NOT(ISNUMBER(G386)),"FAIL","PASS"))</x:f>
        <x:v>OPEN</x:v>
      </x:c>
    </x:row>
    <x:row r="387" ht="25" customHeight="1">
      <x:c r="B387" s="8" t="str">
        <x:v>MP-07-P04-O2-R1</x:v>
      </x:c>
      <x:c r="C387" s="8" t="str">
        <x:v>MP-07</x:v>
      </x:c>
      <x:c r="D387" s="8" t="n">
        <x:v>4</x:v>
      </x:c>
      <x:c r="E387" s="8" t="str">
        <x:v>OP-2</x:v>
      </x:c>
      <x:c r="F387" s="8" t="n">
        <x:v>1</x:v>
      </x:c>
      <x:c r="G387" s="8" t="str"/>
      <x:c r="H387" s="8" t="str"/>
      <x:c r="I387" s="8" t="str">
        <x:f>IF(H387="","OPEN",IF(NOT(ISNUMBER(G387)),"FAIL","PASS"))</x:f>
        <x:v>OPEN</x:v>
      </x:c>
    </x:row>
    <x:row r="388" ht="25" customHeight="1">
      <x:c r="B388" s="8" t="str">
        <x:v>MP-07-P04-O2-R2</x:v>
      </x:c>
      <x:c r="C388" s="8" t="str">
        <x:v>MP-07</x:v>
      </x:c>
      <x:c r="D388" s="8" t="n">
        <x:v>4</x:v>
      </x:c>
      <x:c r="E388" s="8" t="str">
        <x:v>OP-2</x:v>
      </x:c>
      <x:c r="F388" s="8" t="n">
        <x:v>2</x:v>
      </x:c>
      <x:c r="G388" s="8" t="str"/>
      <x:c r="H388" s="8" t="str"/>
      <x:c r="I388" s="8" t="str">
        <x:f>IF(H388="","OPEN",IF(NOT(ISNUMBER(G388)),"FAIL","PASS"))</x:f>
        <x:v>OPEN</x:v>
      </x:c>
    </x:row>
    <x:row r="389" ht="25" customHeight="1">
      <x:c r="B389" s="8" t="str">
        <x:v>MP-07-P04-O3-R1</x:v>
      </x:c>
      <x:c r="C389" s="8" t="str">
        <x:v>MP-07</x:v>
      </x:c>
      <x:c r="D389" s="8" t="n">
        <x:v>4</x:v>
      </x:c>
      <x:c r="E389" s="8" t="str">
        <x:v>OP-3</x:v>
      </x:c>
      <x:c r="F389" s="8" t="n">
        <x:v>1</x:v>
      </x:c>
      <x:c r="G389" s="8" t="str"/>
      <x:c r="H389" s="8" t="str"/>
      <x:c r="I389" s="8" t="str">
        <x:f>IF(H389="","OPEN",IF(NOT(ISNUMBER(G389)),"FAIL","PASS"))</x:f>
        <x:v>OPEN</x:v>
      </x:c>
    </x:row>
    <x:row r="390" ht="25" customHeight="1">
      <x:c r="B390" s="8" t="str">
        <x:v>MP-07-P04-O3-R2</x:v>
      </x:c>
      <x:c r="C390" s="8" t="str">
        <x:v>MP-07</x:v>
      </x:c>
      <x:c r="D390" s="8" t="n">
        <x:v>4</x:v>
      </x:c>
      <x:c r="E390" s="8" t="str">
        <x:v>OP-3</x:v>
      </x:c>
      <x:c r="F390" s="8" t="n">
        <x:v>2</x:v>
      </x:c>
      <x:c r="G390" s="8" t="str"/>
      <x:c r="H390" s="8" t="str"/>
      <x:c r="I390" s="8" t="str">
        <x:f>IF(H390="","OPEN",IF(NOT(ISNUMBER(G390)),"FAIL","PASS"))</x:f>
        <x:v>OPEN</x:v>
      </x:c>
    </x:row>
    <x:row r="391" ht="25" customHeight="1">
      <x:c r="B391" s="8" t="str">
        <x:v>MP-07-P05-O1-R1</x:v>
      </x:c>
      <x:c r="C391" s="8" t="str">
        <x:v>MP-07</x:v>
      </x:c>
      <x:c r="D391" s="8" t="n">
        <x:v>5</x:v>
      </x:c>
      <x:c r="E391" s="8" t="str">
        <x:v>OP-1</x:v>
      </x:c>
      <x:c r="F391" s="8" t="n">
        <x:v>1</x:v>
      </x:c>
      <x:c r="G391" s="8" t="str"/>
      <x:c r="H391" s="8" t="str"/>
      <x:c r="I391" s="8" t="str">
        <x:f>IF(H391="","OPEN",IF(NOT(ISNUMBER(G391)),"FAIL","PASS"))</x:f>
        <x:v>OPEN</x:v>
      </x:c>
    </x:row>
    <x:row r="392" ht="25" customHeight="1">
      <x:c r="B392" s="8" t="str">
        <x:v>MP-07-P05-O1-R2</x:v>
      </x:c>
      <x:c r="C392" s="8" t="str">
        <x:v>MP-07</x:v>
      </x:c>
      <x:c r="D392" s="8" t="n">
        <x:v>5</x:v>
      </x:c>
      <x:c r="E392" s="8" t="str">
        <x:v>OP-1</x:v>
      </x:c>
      <x:c r="F392" s="8" t="n">
        <x:v>2</x:v>
      </x:c>
      <x:c r="G392" s="8" t="str"/>
      <x:c r="H392" s="8" t="str"/>
      <x:c r="I392" s="8" t="str">
        <x:f>IF(H392="","OPEN",IF(NOT(ISNUMBER(G392)),"FAIL","PASS"))</x:f>
        <x:v>OPEN</x:v>
      </x:c>
    </x:row>
    <x:row r="393" ht="25" customHeight="1">
      <x:c r="B393" s="8" t="str">
        <x:v>MP-07-P05-O2-R1</x:v>
      </x:c>
      <x:c r="C393" s="8" t="str">
        <x:v>MP-07</x:v>
      </x:c>
      <x:c r="D393" s="8" t="n">
        <x:v>5</x:v>
      </x:c>
      <x:c r="E393" s="8" t="str">
        <x:v>OP-2</x:v>
      </x:c>
      <x:c r="F393" s="8" t="n">
        <x:v>1</x:v>
      </x:c>
      <x:c r="G393" s="8" t="str"/>
      <x:c r="H393" s="8" t="str"/>
      <x:c r="I393" s="8" t="str">
        <x:f>IF(H393="","OPEN",IF(NOT(ISNUMBER(G393)),"FAIL","PASS"))</x:f>
        <x:v>OPEN</x:v>
      </x:c>
    </x:row>
    <x:row r="394" ht="25" customHeight="1">
      <x:c r="B394" s="8" t="str">
        <x:v>MP-07-P05-O2-R2</x:v>
      </x:c>
      <x:c r="C394" s="8" t="str">
        <x:v>MP-07</x:v>
      </x:c>
      <x:c r="D394" s="8" t="n">
        <x:v>5</x:v>
      </x:c>
      <x:c r="E394" s="8" t="str">
        <x:v>OP-2</x:v>
      </x:c>
      <x:c r="F394" s="8" t="n">
        <x:v>2</x:v>
      </x:c>
      <x:c r="G394" s="8" t="str"/>
      <x:c r="H394" s="8" t="str"/>
      <x:c r="I394" s="8" t="str">
        <x:f>IF(H394="","OPEN",IF(NOT(ISNUMBER(G394)),"FAIL","PASS"))</x:f>
        <x:v>OPEN</x:v>
      </x:c>
    </x:row>
    <x:row r="395" ht="25" customHeight="1">
      <x:c r="B395" s="8" t="str">
        <x:v>MP-07-P05-O3-R1</x:v>
      </x:c>
      <x:c r="C395" s="8" t="str">
        <x:v>MP-07</x:v>
      </x:c>
      <x:c r="D395" s="8" t="n">
        <x:v>5</x:v>
      </x:c>
      <x:c r="E395" s="8" t="str">
        <x:v>OP-3</x:v>
      </x:c>
      <x:c r="F395" s="8" t="n">
        <x:v>1</x:v>
      </x:c>
      <x:c r="G395" s="8" t="str"/>
      <x:c r="H395" s="8" t="str"/>
      <x:c r="I395" s="8" t="str">
        <x:f>IF(H395="","OPEN",IF(NOT(ISNUMBER(G395)),"FAIL","PASS"))</x:f>
        <x:v>OPEN</x:v>
      </x:c>
    </x:row>
    <x:row r="396" ht="25" customHeight="1">
      <x:c r="B396" s="8" t="str">
        <x:v>MP-07-P05-O3-R2</x:v>
      </x:c>
      <x:c r="C396" s="8" t="str">
        <x:v>MP-07</x:v>
      </x:c>
      <x:c r="D396" s="8" t="n">
        <x:v>5</x:v>
      </x:c>
      <x:c r="E396" s="8" t="str">
        <x:v>OP-3</x:v>
      </x:c>
      <x:c r="F396" s="8" t="n">
        <x:v>2</x:v>
      </x:c>
      <x:c r="G396" s="8" t="str"/>
      <x:c r="H396" s="8" t="str"/>
      <x:c r="I396" s="8" t="str">
        <x:f>IF(H396="","OPEN",IF(NOT(ISNUMBER(G396)),"FAIL","PASS"))</x:f>
        <x:v>OPEN</x:v>
      </x:c>
    </x:row>
    <x:row r="397" ht="25" customHeight="1">
      <x:c r="B397" s="8" t="str">
        <x:v>MP-07-P06-O1-R1</x:v>
      </x:c>
      <x:c r="C397" s="8" t="str">
        <x:v>MP-07</x:v>
      </x:c>
      <x:c r="D397" s="8" t="n">
        <x:v>6</x:v>
      </x:c>
      <x:c r="E397" s="8" t="str">
        <x:v>OP-1</x:v>
      </x:c>
      <x:c r="F397" s="8" t="n">
        <x:v>1</x:v>
      </x:c>
      <x:c r="G397" s="8" t="str"/>
      <x:c r="H397" s="8" t="str"/>
      <x:c r="I397" s="8" t="str">
        <x:f>IF(H397="","OPEN",IF(NOT(ISNUMBER(G397)),"FAIL","PASS"))</x:f>
        <x:v>OPEN</x:v>
      </x:c>
    </x:row>
    <x:row r="398" ht="25" customHeight="1">
      <x:c r="B398" s="8" t="str">
        <x:v>MP-07-P06-O1-R2</x:v>
      </x:c>
      <x:c r="C398" s="8" t="str">
        <x:v>MP-07</x:v>
      </x:c>
      <x:c r="D398" s="8" t="n">
        <x:v>6</x:v>
      </x:c>
      <x:c r="E398" s="8" t="str">
        <x:v>OP-1</x:v>
      </x:c>
      <x:c r="F398" s="8" t="n">
        <x:v>2</x:v>
      </x:c>
      <x:c r="G398" s="8" t="str"/>
      <x:c r="H398" s="8" t="str"/>
      <x:c r="I398" s="8" t="str">
        <x:f>IF(H398="","OPEN",IF(NOT(ISNUMBER(G398)),"FAIL","PASS"))</x:f>
        <x:v>OPEN</x:v>
      </x:c>
    </x:row>
    <x:row r="399" ht="25" customHeight="1">
      <x:c r="B399" s="8" t="str">
        <x:v>MP-07-P06-O2-R1</x:v>
      </x:c>
      <x:c r="C399" s="8" t="str">
        <x:v>MP-07</x:v>
      </x:c>
      <x:c r="D399" s="8" t="n">
        <x:v>6</x:v>
      </x:c>
      <x:c r="E399" s="8" t="str">
        <x:v>OP-2</x:v>
      </x:c>
      <x:c r="F399" s="8" t="n">
        <x:v>1</x:v>
      </x:c>
      <x:c r="G399" s="8" t="str"/>
      <x:c r="H399" s="8" t="str"/>
      <x:c r="I399" s="8" t="str">
        <x:f>IF(H399="","OPEN",IF(NOT(ISNUMBER(G399)),"FAIL","PASS"))</x:f>
        <x:v>OPEN</x:v>
      </x:c>
    </x:row>
    <x:row r="400" ht="25" customHeight="1">
      <x:c r="B400" s="8" t="str">
        <x:v>MP-07-P06-O2-R2</x:v>
      </x:c>
      <x:c r="C400" s="8" t="str">
        <x:v>MP-07</x:v>
      </x:c>
      <x:c r="D400" s="8" t="n">
        <x:v>6</x:v>
      </x:c>
      <x:c r="E400" s="8" t="str">
        <x:v>OP-2</x:v>
      </x:c>
      <x:c r="F400" s="8" t="n">
        <x:v>2</x:v>
      </x:c>
      <x:c r="G400" s="8" t="str"/>
      <x:c r="H400" s="8" t="str"/>
      <x:c r="I400" s="8" t="str">
        <x:f>IF(H400="","OPEN",IF(NOT(ISNUMBER(G400)),"FAIL","PASS"))</x:f>
        <x:v>OPEN</x:v>
      </x:c>
    </x:row>
    <x:row r="401" ht="25" customHeight="1">
      <x:c r="B401" s="8" t="str">
        <x:v>MP-07-P06-O3-R1</x:v>
      </x:c>
      <x:c r="C401" s="8" t="str">
        <x:v>MP-07</x:v>
      </x:c>
      <x:c r="D401" s="8" t="n">
        <x:v>6</x:v>
      </x:c>
      <x:c r="E401" s="8" t="str">
        <x:v>OP-3</x:v>
      </x:c>
      <x:c r="F401" s="8" t="n">
        <x:v>1</x:v>
      </x:c>
      <x:c r="G401" s="8" t="str"/>
      <x:c r="H401" s="8" t="str"/>
      <x:c r="I401" s="8" t="str">
        <x:f>IF(H401="","OPEN",IF(NOT(ISNUMBER(G401)),"FAIL","PASS"))</x:f>
        <x:v>OPEN</x:v>
      </x:c>
    </x:row>
    <x:row r="402" ht="25" customHeight="1">
      <x:c r="B402" s="8" t="str">
        <x:v>MP-07-P06-O3-R2</x:v>
      </x:c>
      <x:c r="C402" s="8" t="str">
        <x:v>MP-07</x:v>
      </x:c>
      <x:c r="D402" s="8" t="n">
        <x:v>6</x:v>
      </x:c>
      <x:c r="E402" s="8" t="str">
        <x:v>OP-3</x:v>
      </x:c>
      <x:c r="F402" s="8" t="n">
        <x:v>2</x:v>
      </x:c>
      <x:c r="G402" s="8" t="str"/>
      <x:c r="H402" s="8" t="str"/>
      <x:c r="I402" s="8" t="str">
        <x:f>IF(H402="","OPEN",IF(NOT(ISNUMBER(G402)),"FAIL","PASS"))</x:f>
        <x:v>OPEN</x:v>
      </x:c>
    </x:row>
    <x:row r="403" ht="25" customHeight="1">
      <x:c r="B403" s="8" t="str">
        <x:v>MP-07-P07-O1-R1</x:v>
      </x:c>
      <x:c r="C403" s="8" t="str">
        <x:v>MP-07</x:v>
      </x:c>
      <x:c r="D403" s="8" t="n">
        <x:v>7</x:v>
      </x:c>
      <x:c r="E403" s="8" t="str">
        <x:v>OP-1</x:v>
      </x:c>
      <x:c r="F403" s="8" t="n">
        <x:v>1</x:v>
      </x:c>
      <x:c r="G403" s="8" t="str"/>
      <x:c r="H403" s="8" t="str"/>
      <x:c r="I403" s="8" t="str">
        <x:f>IF(H403="","OPEN",IF(NOT(ISNUMBER(G403)),"FAIL","PASS"))</x:f>
        <x:v>OPEN</x:v>
      </x:c>
    </x:row>
    <x:row r="404" ht="25" customHeight="1">
      <x:c r="B404" s="8" t="str">
        <x:v>MP-07-P07-O1-R2</x:v>
      </x:c>
      <x:c r="C404" s="8" t="str">
        <x:v>MP-07</x:v>
      </x:c>
      <x:c r="D404" s="8" t="n">
        <x:v>7</x:v>
      </x:c>
      <x:c r="E404" s="8" t="str">
        <x:v>OP-1</x:v>
      </x:c>
      <x:c r="F404" s="8" t="n">
        <x:v>2</x:v>
      </x:c>
      <x:c r="G404" s="8" t="str"/>
      <x:c r="H404" s="8" t="str"/>
      <x:c r="I404" s="8" t="str">
        <x:f>IF(H404="","OPEN",IF(NOT(ISNUMBER(G404)),"FAIL","PASS"))</x:f>
        <x:v>OPEN</x:v>
      </x:c>
    </x:row>
    <x:row r="405" ht="25" customHeight="1">
      <x:c r="B405" s="8" t="str">
        <x:v>MP-07-P07-O2-R1</x:v>
      </x:c>
      <x:c r="C405" s="8" t="str">
        <x:v>MP-07</x:v>
      </x:c>
      <x:c r="D405" s="8" t="n">
        <x:v>7</x:v>
      </x:c>
      <x:c r="E405" s="8" t="str">
        <x:v>OP-2</x:v>
      </x:c>
      <x:c r="F405" s="8" t="n">
        <x:v>1</x:v>
      </x:c>
      <x:c r="G405" s="8" t="str"/>
      <x:c r="H405" s="8" t="str"/>
      <x:c r="I405" s="8" t="str">
        <x:f>IF(H405="","OPEN",IF(NOT(ISNUMBER(G405)),"FAIL","PASS"))</x:f>
        <x:v>OPEN</x:v>
      </x:c>
    </x:row>
    <x:row r="406" ht="25" customHeight="1">
      <x:c r="B406" s="8" t="str">
        <x:v>MP-07-P07-O2-R2</x:v>
      </x:c>
      <x:c r="C406" s="8" t="str">
        <x:v>MP-07</x:v>
      </x:c>
      <x:c r="D406" s="8" t="n">
        <x:v>7</x:v>
      </x:c>
      <x:c r="E406" s="8" t="str">
        <x:v>OP-2</x:v>
      </x:c>
      <x:c r="F406" s="8" t="n">
        <x:v>2</x:v>
      </x:c>
      <x:c r="G406" s="8" t="str"/>
      <x:c r="H406" s="8" t="str"/>
      <x:c r="I406" s="8" t="str">
        <x:f>IF(H406="","OPEN",IF(NOT(ISNUMBER(G406)),"FAIL","PASS"))</x:f>
        <x:v>OPEN</x:v>
      </x:c>
    </x:row>
    <x:row r="407" ht="25" customHeight="1">
      <x:c r="B407" s="8" t="str">
        <x:v>MP-07-P07-O3-R1</x:v>
      </x:c>
      <x:c r="C407" s="8" t="str">
        <x:v>MP-07</x:v>
      </x:c>
      <x:c r="D407" s="8" t="n">
        <x:v>7</x:v>
      </x:c>
      <x:c r="E407" s="8" t="str">
        <x:v>OP-3</x:v>
      </x:c>
      <x:c r="F407" s="8" t="n">
        <x:v>1</x:v>
      </x:c>
      <x:c r="G407" s="8" t="str"/>
      <x:c r="H407" s="8" t="str"/>
      <x:c r="I407" s="8" t="str">
        <x:f>IF(H407="","OPEN",IF(NOT(ISNUMBER(G407)),"FAIL","PASS"))</x:f>
        <x:v>OPEN</x:v>
      </x:c>
    </x:row>
    <x:row r="408" ht="25" customHeight="1">
      <x:c r="B408" s="8" t="str">
        <x:v>MP-07-P07-O3-R2</x:v>
      </x:c>
      <x:c r="C408" s="8" t="str">
        <x:v>MP-07</x:v>
      </x:c>
      <x:c r="D408" s="8" t="n">
        <x:v>7</x:v>
      </x:c>
      <x:c r="E408" s="8" t="str">
        <x:v>OP-3</x:v>
      </x:c>
      <x:c r="F408" s="8" t="n">
        <x:v>2</x:v>
      </x:c>
      <x:c r="G408" s="8" t="str"/>
      <x:c r="H408" s="8" t="str"/>
      <x:c r="I408" s="8" t="str">
        <x:f>IF(H408="","OPEN",IF(NOT(ISNUMBER(G408)),"FAIL","PASS"))</x:f>
        <x:v>OPEN</x:v>
      </x:c>
    </x:row>
    <x:row r="409" ht="25" customHeight="1">
      <x:c r="B409" s="8" t="str">
        <x:v>MP-07-P08-O1-R1</x:v>
      </x:c>
      <x:c r="C409" s="8" t="str">
        <x:v>MP-07</x:v>
      </x:c>
      <x:c r="D409" s="8" t="n">
        <x:v>8</x:v>
      </x:c>
      <x:c r="E409" s="8" t="str">
        <x:v>OP-1</x:v>
      </x:c>
      <x:c r="F409" s="8" t="n">
        <x:v>1</x:v>
      </x:c>
      <x:c r="G409" s="8" t="str"/>
      <x:c r="H409" s="8" t="str"/>
      <x:c r="I409" s="8" t="str">
        <x:f>IF(H409="","OPEN",IF(NOT(ISNUMBER(G409)),"FAIL","PASS"))</x:f>
        <x:v>OPEN</x:v>
      </x:c>
    </x:row>
    <x:row r="410" ht="25" customHeight="1">
      <x:c r="B410" s="8" t="str">
        <x:v>MP-07-P08-O1-R2</x:v>
      </x:c>
      <x:c r="C410" s="8" t="str">
        <x:v>MP-07</x:v>
      </x:c>
      <x:c r="D410" s="8" t="n">
        <x:v>8</x:v>
      </x:c>
      <x:c r="E410" s="8" t="str">
        <x:v>OP-1</x:v>
      </x:c>
      <x:c r="F410" s="8" t="n">
        <x:v>2</x:v>
      </x:c>
      <x:c r="G410" s="8" t="str"/>
      <x:c r="H410" s="8" t="str"/>
      <x:c r="I410" s="8" t="str">
        <x:f>IF(H410="","OPEN",IF(NOT(ISNUMBER(G410)),"FAIL","PASS"))</x:f>
        <x:v>OPEN</x:v>
      </x:c>
    </x:row>
    <x:row r="411" ht="25" customHeight="1">
      <x:c r="B411" s="8" t="str">
        <x:v>MP-07-P08-O2-R1</x:v>
      </x:c>
      <x:c r="C411" s="8" t="str">
        <x:v>MP-07</x:v>
      </x:c>
      <x:c r="D411" s="8" t="n">
        <x:v>8</x:v>
      </x:c>
      <x:c r="E411" s="8" t="str">
        <x:v>OP-2</x:v>
      </x:c>
      <x:c r="F411" s="8" t="n">
        <x:v>1</x:v>
      </x:c>
      <x:c r="G411" s="8" t="str"/>
      <x:c r="H411" s="8" t="str"/>
      <x:c r="I411" s="8" t="str">
        <x:f>IF(H411="","OPEN",IF(NOT(ISNUMBER(G411)),"FAIL","PASS"))</x:f>
        <x:v>OPEN</x:v>
      </x:c>
    </x:row>
    <x:row r="412" ht="25" customHeight="1">
      <x:c r="B412" s="8" t="str">
        <x:v>MP-07-P08-O2-R2</x:v>
      </x:c>
      <x:c r="C412" s="8" t="str">
        <x:v>MP-07</x:v>
      </x:c>
      <x:c r="D412" s="8" t="n">
        <x:v>8</x:v>
      </x:c>
      <x:c r="E412" s="8" t="str">
        <x:v>OP-2</x:v>
      </x:c>
      <x:c r="F412" s="8" t="n">
        <x:v>2</x:v>
      </x:c>
      <x:c r="G412" s="8" t="str"/>
      <x:c r="H412" s="8" t="str"/>
      <x:c r="I412" s="8" t="str">
        <x:f>IF(H412="","OPEN",IF(NOT(ISNUMBER(G412)),"FAIL","PASS"))</x:f>
        <x:v>OPEN</x:v>
      </x:c>
    </x:row>
    <x:row r="413" ht="25" customHeight="1">
      <x:c r="B413" s="8" t="str">
        <x:v>MP-07-P08-O3-R1</x:v>
      </x:c>
      <x:c r="C413" s="8" t="str">
        <x:v>MP-07</x:v>
      </x:c>
      <x:c r="D413" s="8" t="n">
        <x:v>8</x:v>
      </x:c>
      <x:c r="E413" s="8" t="str">
        <x:v>OP-3</x:v>
      </x:c>
      <x:c r="F413" s="8" t="n">
        <x:v>1</x:v>
      </x:c>
      <x:c r="G413" s="8" t="str"/>
      <x:c r="H413" s="8" t="str"/>
      <x:c r="I413" s="8" t="str">
        <x:f>IF(H413="","OPEN",IF(NOT(ISNUMBER(G413)),"FAIL","PASS"))</x:f>
        <x:v>OPEN</x:v>
      </x:c>
    </x:row>
    <x:row r="414" ht="25" customHeight="1">
      <x:c r="B414" s="8" t="str">
        <x:v>MP-07-P08-O3-R2</x:v>
      </x:c>
      <x:c r="C414" s="8" t="str">
        <x:v>MP-07</x:v>
      </x:c>
      <x:c r="D414" s="8" t="n">
        <x:v>8</x:v>
      </x:c>
      <x:c r="E414" s="8" t="str">
        <x:v>OP-3</x:v>
      </x:c>
      <x:c r="F414" s="8" t="n">
        <x:v>2</x:v>
      </x:c>
      <x:c r="G414" s="8" t="str"/>
      <x:c r="H414" s="8" t="str"/>
      <x:c r="I414" s="8" t="str">
        <x:f>IF(H414="","OPEN",IF(NOT(ISNUMBER(G414)),"FAIL","PASS"))</x:f>
        <x:v>OPEN</x:v>
      </x:c>
    </x:row>
    <x:row r="415" ht="25" customHeight="1">
      <x:c r="B415" s="8" t="str">
        <x:v>MP-07-P09-O1-R1</x:v>
      </x:c>
      <x:c r="C415" s="8" t="str">
        <x:v>MP-07</x:v>
      </x:c>
      <x:c r="D415" s="8" t="n">
        <x:v>9</x:v>
      </x:c>
      <x:c r="E415" s="8" t="str">
        <x:v>OP-1</x:v>
      </x:c>
      <x:c r="F415" s="8" t="n">
        <x:v>1</x:v>
      </x:c>
      <x:c r="G415" s="8" t="str"/>
      <x:c r="H415" s="8" t="str"/>
      <x:c r="I415" s="8" t="str">
        <x:f>IF(H415="","OPEN",IF(NOT(ISNUMBER(G415)),"FAIL","PASS"))</x:f>
        <x:v>OPEN</x:v>
      </x:c>
    </x:row>
    <x:row r="416" ht="25" customHeight="1">
      <x:c r="B416" s="8" t="str">
        <x:v>MP-07-P09-O1-R2</x:v>
      </x:c>
      <x:c r="C416" s="8" t="str">
        <x:v>MP-07</x:v>
      </x:c>
      <x:c r="D416" s="8" t="n">
        <x:v>9</x:v>
      </x:c>
      <x:c r="E416" s="8" t="str">
        <x:v>OP-1</x:v>
      </x:c>
      <x:c r="F416" s="8" t="n">
        <x:v>2</x:v>
      </x:c>
      <x:c r="G416" s="8" t="str"/>
      <x:c r="H416" s="8" t="str"/>
      <x:c r="I416" s="8" t="str">
        <x:f>IF(H416="","OPEN",IF(NOT(ISNUMBER(G416)),"FAIL","PASS"))</x:f>
        <x:v>OPEN</x:v>
      </x:c>
    </x:row>
    <x:row r="417" ht="25" customHeight="1">
      <x:c r="B417" s="8" t="str">
        <x:v>MP-07-P09-O2-R1</x:v>
      </x:c>
      <x:c r="C417" s="8" t="str">
        <x:v>MP-07</x:v>
      </x:c>
      <x:c r="D417" s="8" t="n">
        <x:v>9</x:v>
      </x:c>
      <x:c r="E417" s="8" t="str">
        <x:v>OP-2</x:v>
      </x:c>
      <x:c r="F417" s="8" t="n">
        <x:v>1</x:v>
      </x:c>
      <x:c r="G417" s="8" t="str"/>
      <x:c r="H417" s="8" t="str"/>
      <x:c r="I417" s="8" t="str">
        <x:f>IF(H417="","OPEN",IF(NOT(ISNUMBER(G417)),"FAIL","PASS"))</x:f>
        <x:v>OPEN</x:v>
      </x:c>
    </x:row>
    <x:row r="418" ht="25" customHeight="1">
      <x:c r="B418" s="8" t="str">
        <x:v>MP-07-P09-O2-R2</x:v>
      </x:c>
      <x:c r="C418" s="8" t="str">
        <x:v>MP-07</x:v>
      </x:c>
      <x:c r="D418" s="8" t="n">
        <x:v>9</x:v>
      </x:c>
      <x:c r="E418" s="8" t="str">
        <x:v>OP-2</x:v>
      </x:c>
      <x:c r="F418" s="8" t="n">
        <x:v>2</x:v>
      </x:c>
      <x:c r="G418" s="8" t="str"/>
      <x:c r="H418" s="8" t="str"/>
      <x:c r="I418" s="8" t="str">
        <x:f>IF(H418="","OPEN",IF(NOT(ISNUMBER(G418)),"FAIL","PASS"))</x:f>
        <x:v>OPEN</x:v>
      </x:c>
    </x:row>
    <x:row r="419" ht="25" customHeight="1">
      <x:c r="B419" s="8" t="str">
        <x:v>MP-07-P09-O3-R1</x:v>
      </x:c>
      <x:c r="C419" s="8" t="str">
        <x:v>MP-07</x:v>
      </x:c>
      <x:c r="D419" s="8" t="n">
        <x:v>9</x:v>
      </x:c>
      <x:c r="E419" s="8" t="str">
        <x:v>OP-3</x:v>
      </x:c>
      <x:c r="F419" s="8" t="n">
        <x:v>1</x:v>
      </x:c>
      <x:c r="G419" s="8" t="str"/>
      <x:c r="H419" s="8" t="str"/>
      <x:c r="I419" s="8" t="str">
        <x:f>IF(H419="","OPEN",IF(NOT(ISNUMBER(G419)),"FAIL","PASS"))</x:f>
        <x:v>OPEN</x:v>
      </x:c>
    </x:row>
    <x:row r="420" ht="25" customHeight="1">
      <x:c r="B420" s="8" t="str">
        <x:v>MP-07-P09-O3-R2</x:v>
      </x:c>
      <x:c r="C420" s="8" t="str">
        <x:v>MP-07</x:v>
      </x:c>
      <x:c r="D420" s="8" t="n">
        <x:v>9</x:v>
      </x:c>
      <x:c r="E420" s="8" t="str">
        <x:v>OP-3</x:v>
      </x:c>
      <x:c r="F420" s="8" t="n">
        <x:v>2</x:v>
      </x:c>
      <x:c r="G420" s="8" t="str"/>
      <x:c r="H420" s="8" t="str"/>
      <x:c r="I420" s="8" t="str">
        <x:f>IF(H420="","OPEN",IF(NOT(ISNUMBER(G420)),"FAIL","PASS"))</x:f>
        <x:v>OPEN</x:v>
      </x:c>
    </x:row>
    <x:row r="421" ht="25" customHeight="1">
      <x:c r="B421" s="8" t="str">
        <x:v>MP-07-P10-O1-R1</x:v>
      </x:c>
      <x:c r="C421" s="8" t="str">
        <x:v>MP-07</x:v>
      </x:c>
      <x:c r="D421" s="8" t="n">
        <x:v>10</x:v>
      </x:c>
      <x:c r="E421" s="8" t="str">
        <x:v>OP-1</x:v>
      </x:c>
      <x:c r="F421" s="8" t="n">
        <x:v>1</x:v>
      </x:c>
      <x:c r="G421" s="8" t="str"/>
      <x:c r="H421" s="8" t="str"/>
      <x:c r="I421" s="8" t="str">
        <x:f>IF(H421="","OPEN",IF(NOT(ISNUMBER(G421)),"FAIL","PASS"))</x:f>
        <x:v>OPEN</x:v>
      </x:c>
    </x:row>
    <x:row r="422" ht="25" customHeight="1">
      <x:c r="B422" s="8" t="str">
        <x:v>MP-07-P10-O1-R2</x:v>
      </x:c>
      <x:c r="C422" s="8" t="str">
        <x:v>MP-07</x:v>
      </x:c>
      <x:c r="D422" s="8" t="n">
        <x:v>10</x:v>
      </x:c>
      <x:c r="E422" s="8" t="str">
        <x:v>OP-1</x:v>
      </x:c>
      <x:c r="F422" s="8" t="n">
        <x:v>2</x:v>
      </x:c>
      <x:c r="G422" s="8" t="str"/>
      <x:c r="H422" s="8" t="str"/>
      <x:c r="I422" s="8" t="str">
        <x:f>IF(H422="","OPEN",IF(NOT(ISNUMBER(G422)),"FAIL","PASS"))</x:f>
        <x:v>OPEN</x:v>
      </x:c>
    </x:row>
    <x:row r="423" ht="25" customHeight="1">
      <x:c r="B423" s="8" t="str">
        <x:v>MP-07-P10-O2-R1</x:v>
      </x:c>
      <x:c r="C423" s="8" t="str">
        <x:v>MP-07</x:v>
      </x:c>
      <x:c r="D423" s="8" t="n">
        <x:v>10</x:v>
      </x:c>
      <x:c r="E423" s="8" t="str">
        <x:v>OP-2</x:v>
      </x:c>
      <x:c r="F423" s="8" t="n">
        <x:v>1</x:v>
      </x:c>
      <x:c r="G423" s="8" t="str"/>
      <x:c r="H423" s="8" t="str"/>
      <x:c r="I423" s="8" t="str">
        <x:f>IF(H423="","OPEN",IF(NOT(ISNUMBER(G423)),"FAIL","PASS"))</x:f>
        <x:v>OPEN</x:v>
      </x:c>
    </x:row>
    <x:row r="424" ht="25" customHeight="1">
      <x:c r="B424" s="8" t="str">
        <x:v>MP-07-P10-O2-R2</x:v>
      </x:c>
      <x:c r="C424" s="8" t="str">
        <x:v>MP-07</x:v>
      </x:c>
      <x:c r="D424" s="8" t="n">
        <x:v>10</x:v>
      </x:c>
      <x:c r="E424" s="8" t="str">
        <x:v>OP-2</x:v>
      </x:c>
      <x:c r="F424" s="8" t="n">
        <x:v>2</x:v>
      </x:c>
      <x:c r="G424" s="8" t="str"/>
      <x:c r="H424" s="8" t="str"/>
      <x:c r="I424" s="8" t="str">
        <x:f>IF(H424="","OPEN",IF(NOT(ISNUMBER(G424)),"FAIL","PASS"))</x:f>
        <x:v>OPEN</x:v>
      </x:c>
    </x:row>
    <x:row r="425" ht="25" customHeight="1">
      <x:c r="B425" s="8" t="str">
        <x:v>MP-07-P10-O3-R1</x:v>
      </x:c>
      <x:c r="C425" s="8" t="str">
        <x:v>MP-07</x:v>
      </x:c>
      <x:c r="D425" s="8" t="n">
        <x:v>10</x:v>
      </x:c>
      <x:c r="E425" s="8" t="str">
        <x:v>OP-3</x:v>
      </x:c>
      <x:c r="F425" s="8" t="n">
        <x:v>1</x:v>
      </x:c>
      <x:c r="G425" s="8" t="str"/>
      <x:c r="H425" s="8" t="str"/>
      <x:c r="I425" s="8" t="str">
        <x:f>IF(H425="","OPEN",IF(NOT(ISNUMBER(G425)),"FAIL","PASS"))</x:f>
        <x:v>OPEN</x:v>
      </x:c>
    </x:row>
    <x:row r="426" ht="25" customHeight="1">
      <x:c r="B426" s="8" t="str">
        <x:v>MP-07-P10-O3-R2</x:v>
      </x:c>
      <x:c r="C426" s="8" t="str">
        <x:v>MP-07</x:v>
      </x:c>
      <x:c r="D426" s="8" t="n">
        <x:v>10</x:v>
      </x:c>
      <x:c r="E426" s="8" t="str">
        <x:v>OP-3</x:v>
      </x:c>
      <x:c r="F426" s="8" t="n">
        <x:v>2</x:v>
      </x:c>
      <x:c r="G426" s="8" t="str"/>
      <x:c r="H426" s="8" t="str"/>
      <x:c r="I426" s="8" t="str">
        <x:f>IF(H426="","OPEN",IF(NOT(ISNUMBER(G426)),"FAIL","PASS"))</x:f>
        <x:v>OPEN</x:v>
      </x:c>
    </x:row>
    <x:row r="427" ht="25" customHeight="1">
      <x:c r="B427" s="8" t="str">
        <x:v>MP-08-P01-O1-R1</x:v>
      </x:c>
      <x:c r="C427" s="8" t="str">
        <x:v>MP-08</x:v>
      </x:c>
      <x:c r="D427" s="8" t="n">
        <x:v>1</x:v>
      </x:c>
      <x:c r="E427" s="8" t="str">
        <x:v>OP-1</x:v>
      </x:c>
      <x:c r="F427" s="8" t="n">
        <x:v>1</x:v>
      </x:c>
      <x:c r="G427" s="8" t="str"/>
      <x:c r="H427" s="8" t="str"/>
      <x:c r="I427" s="8" t="str">
        <x:f>IF(H427="","OPEN",IF(NOT(ISNUMBER(G427)),"FAIL","PASS"))</x:f>
        <x:v>OPEN</x:v>
      </x:c>
    </x:row>
    <x:row r="428" ht="25" customHeight="1">
      <x:c r="B428" s="8" t="str">
        <x:v>MP-08-P01-O1-R2</x:v>
      </x:c>
      <x:c r="C428" s="8" t="str">
        <x:v>MP-08</x:v>
      </x:c>
      <x:c r="D428" s="8" t="n">
        <x:v>1</x:v>
      </x:c>
      <x:c r="E428" s="8" t="str">
        <x:v>OP-1</x:v>
      </x:c>
      <x:c r="F428" s="8" t="n">
        <x:v>2</x:v>
      </x:c>
      <x:c r="G428" s="8" t="str"/>
      <x:c r="H428" s="8" t="str"/>
      <x:c r="I428" s="8" t="str">
        <x:f>IF(H428="","OPEN",IF(NOT(ISNUMBER(G428)),"FAIL","PASS"))</x:f>
        <x:v>OPEN</x:v>
      </x:c>
    </x:row>
    <x:row r="429" ht="25" customHeight="1">
      <x:c r="B429" s="8" t="str">
        <x:v>MP-08-P01-O2-R1</x:v>
      </x:c>
      <x:c r="C429" s="8" t="str">
        <x:v>MP-08</x:v>
      </x:c>
      <x:c r="D429" s="8" t="n">
        <x:v>1</x:v>
      </x:c>
      <x:c r="E429" s="8" t="str">
        <x:v>OP-2</x:v>
      </x:c>
      <x:c r="F429" s="8" t="n">
        <x:v>1</x:v>
      </x:c>
      <x:c r="G429" s="8" t="str"/>
      <x:c r="H429" s="8" t="str"/>
      <x:c r="I429" s="8" t="str">
        <x:f>IF(H429="","OPEN",IF(NOT(ISNUMBER(G429)),"FAIL","PASS"))</x:f>
        <x:v>OPEN</x:v>
      </x:c>
    </x:row>
    <x:row r="430" ht="25" customHeight="1">
      <x:c r="B430" s="8" t="str">
        <x:v>MP-08-P01-O2-R2</x:v>
      </x:c>
      <x:c r="C430" s="8" t="str">
        <x:v>MP-08</x:v>
      </x:c>
      <x:c r="D430" s="8" t="n">
        <x:v>1</x:v>
      </x:c>
      <x:c r="E430" s="8" t="str">
        <x:v>OP-2</x:v>
      </x:c>
      <x:c r="F430" s="8" t="n">
        <x:v>2</x:v>
      </x:c>
      <x:c r="G430" s="8" t="str"/>
      <x:c r="H430" s="8" t="str"/>
      <x:c r="I430" s="8" t="str">
        <x:f>IF(H430="","OPEN",IF(NOT(ISNUMBER(G430)),"FAIL","PASS"))</x:f>
        <x:v>OPEN</x:v>
      </x:c>
    </x:row>
    <x:row r="431" ht="25" customHeight="1">
      <x:c r="B431" s="8" t="str">
        <x:v>MP-08-P01-O3-R1</x:v>
      </x:c>
      <x:c r="C431" s="8" t="str">
        <x:v>MP-08</x:v>
      </x:c>
      <x:c r="D431" s="8" t="n">
        <x:v>1</x:v>
      </x:c>
      <x:c r="E431" s="8" t="str">
        <x:v>OP-3</x:v>
      </x:c>
      <x:c r="F431" s="8" t="n">
        <x:v>1</x:v>
      </x:c>
      <x:c r="G431" s="8" t="str"/>
      <x:c r="H431" s="8" t="str"/>
      <x:c r="I431" s="8" t="str">
        <x:f>IF(H431="","OPEN",IF(NOT(ISNUMBER(G431)),"FAIL","PASS"))</x:f>
        <x:v>OPEN</x:v>
      </x:c>
    </x:row>
    <x:row r="432" ht="25" customHeight="1">
      <x:c r="B432" s="8" t="str">
        <x:v>MP-08-P01-O3-R2</x:v>
      </x:c>
      <x:c r="C432" s="8" t="str">
        <x:v>MP-08</x:v>
      </x:c>
      <x:c r="D432" s="8" t="n">
        <x:v>1</x:v>
      </x:c>
      <x:c r="E432" s="8" t="str">
        <x:v>OP-3</x:v>
      </x:c>
      <x:c r="F432" s="8" t="n">
        <x:v>2</x:v>
      </x:c>
      <x:c r="G432" s="8" t="str"/>
      <x:c r="H432" s="8" t="str"/>
      <x:c r="I432" s="8" t="str">
        <x:f>IF(H432="","OPEN",IF(NOT(ISNUMBER(G432)),"FAIL","PASS"))</x:f>
        <x:v>OPEN</x:v>
      </x:c>
    </x:row>
    <x:row r="433" ht="25" customHeight="1">
      <x:c r="B433" s="8" t="str">
        <x:v>MP-08-P02-O1-R1</x:v>
      </x:c>
      <x:c r="C433" s="8" t="str">
        <x:v>MP-08</x:v>
      </x:c>
      <x:c r="D433" s="8" t="n">
        <x:v>2</x:v>
      </x:c>
      <x:c r="E433" s="8" t="str">
        <x:v>OP-1</x:v>
      </x:c>
      <x:c r="F433" s="8" t="n">
        <x:v>1</x:v>
      </x:c>
      <x:c r="G433" s="8" t="str"/>
      <x:c r="H433" s="8" t="str"/>
      <x:c r="I433" s="8" t="str">
        <x:f>IF(H433="","OPEN",IF(NOT(ISNUMBER(G433)),"FAIL","PASS"))</x:f>
        <x:v>OPEN</x:v>
      </x:c>
    </x:row>
    <x:row r="434" ht="25" customHeight="1">
      <x:c r="B434" s="8" t="str">
        <x:v>MP-08-P02-O1-R2</x:v>
      </x:c>
      <x:c r="C434" s="8" t="str">
        <x:v>MP-08</x:v>
      </x:c>
      <x:c r="D434" s="8" t="n">
        <x:v>2</x:v>
      </x:c>
      <x:c r="E434" s="8" t="str">
        <x:v>OP-1</x:v>
      </x:c>
      <x:c r="F434" s="8" t="n">
        <x:v>2</x:v>
      </x:c>
      <x:c r="G434" s="8" t="str"/>
      <x:c r="H434" s="8" t="str"/>
      <x:c r="I434" s="8" t="str">
        <x:f>IF(H434="","OPEN",IF(NOT(ISNUMBER(G434)),"FAIL","PASS"))</x:f>
        <x:v>OPEN</x:v>
      </x:c>
    </x:row>
    <x:row r="435" ht="25" customHeight="1">
      <x:c r="B435" s="8" t="str">
        <x:v>MP-08-P02-O2-R1</x:v>
      </x:c>
      <x:c r="C435" s="8" t="str">
        <x:v>MP-08</x:v>
      </x:c>
      <x:c r="D435" s="8" t="n">
        <x:v>2</x:v>
      </x:c>
      <x:c r="E435" s="8" t="str">
        <x:v>OP-2</x:v>
      </x:c>
      <x:c r="F435" s="8" t="n">
        <x:v>1</x:v>
      </x:c>
      <x:c r="G435" s="8" t="str"/>
      <x:c r="H435" s="8" t="str"/>
      <x:c r="I435" s="8" t="str">
        <x:f>IF(H435="","OPEN",IF(NOT(ISNUMBER(G435)),"FAIL","PASS"))</x:f>
        <x:v>OPEN</x:v>
      </x:c>
    </x:row>
    <x:row r="436" ht="25" customHeight="1">
      <x:c r="B436" s="8" t="str">
        <x:v>MP-08-P02-O2-R2</x:v>
      </x:c>
      <x:c r="C436" s="8" t="str">
        <x:v>MP-08</x:v>
      </x:c>
      <x:c r="D436" s="8" t="n">
        <x:v>2</x:v>
      </x:c>
      <x:c r="E436" s="8" t="str">
        <x:v>OP-2</x:v>
      </x:c>
      <x:c r="F436" s="8" t="n">
        <x:v>2</x:v>
      </x:c>
      <x:c r="G436" s="8" t="str"/>
      <x:c r="H436" s="8" t="str"/>
      <x:c r="I436" s="8" t="str">
        <x:f>IF(H436="","OPEN",IF(NOT(ISNUMBER(G436)),"FAIL","PASS"))</x:f>
        <x:v>OPEN</x:v>
      </x:c>
    </x:row>
    <x:row r="437" ht="25" customHeight="1">
      <x:c r="B437" s="8" t="str">
        <x:v>MP-08-P02-O3-R1</x:v>
      </x:c>
      <x:c r="C437" s="8" t="str">
        <x:v>MP-08</x:v>
      </x:c>
      <x:c r="D437" s="8" t="n">
        <x:v>2</x:v>
      </x:c>
      <x:c r="E437" s="8" t="str">
        <x:v>OP-3</x:v>
      </x:c>
      <x:c r="F437" s="8" t="n">
        <x:v>1</x:v>
      </x:c>
      <x:c r="G437" s="8" t="str"/>
      <x:c r="H437" s="8" t="str"/>
      <x:c r="I437" s="8" t="str">
        <x:f>IF(H437="","OPEN",IF(NOT(ISNUMBER(G437)),"FAIL","PASS"))</x:f>
        <x:v>OPEN</x:v>
      </x:c>
    </x:row>
    <x:row r="438" ht="25" customHeight="1">
      <x:c r="B438" s="8" t="str">
        <x:v>MP-08-P02-O3-R2</x:v>
      </x:c>
      <x:c r="C438" s="8" t="str">
        <x:v>MP-08</x:v>
      </x:c>
      <x:c r="D438" s="8" t="n">
        <x:v>2</x:v>
      </x:c>
      <x:c r="E438" s="8" t="str">
        <x:v>OP-3</x:v>
      </x:c>
      <x:c r="F438" s="8" t="n">
        <x:v>2</x:v>
      </x:c>
      <x:c r="G438" s="8" t="str"/>
      <x:c r="H438" s="8" t="str"/>
      <x:c r="I438" s="8" t="str">
        <x:f>IF(H438="","OPEN",IF(NOT(ISNUMBER(G438)),"FAIL","PASS"))</x:f>
        <x:v>OPEN</x:v>
      </x:c>
    </x:row>
    <x:row r="439" ht="25" customHeight="1">
      <x:c r="B439" s="8" t="str">
        <x:v>MP-08-P03-O1-R1</x:v>
      </x:c>
      <x:c r="C439" s="8" t="str">
        <x:v>MP-08</x:v>
      </x:c>
      <x:c r="D439" s="8" t="n">
        <x:v>3</x:v>
      </x:c>
      <x:c r="E439" s="8" t="str">
        <x:v>OP-1</x:v>
      </x:c>
      <x:c r="F439" s="8" t="n">
        <x:v>1</x:v>
      </x:c>
      <x:c r="G439" s="8" t="str"/>
      <x:c r="H439" s="8" t="str"/>
      <x:c r="I439" s="8" t="str">
        <x:f>IF(H439="","OPEN",IF(NOT(ISNUMBER(G439)),"FAIL","PASS"))</x:f>
        <x:v>OPEN</x:v>
      </x:c>
    </x:row>
    <x:row r="440" ht="25" customHeight="1">
      <x:c r="B440" s="8" t="str">
        <x:v>MP-08-P03-O1-R2</x:v>
      </x:c>
      <x:c r="C440" s="8" t="str">
        <x:v>MP-08</x:v>
      </x:c>
      <x:c r="D440" s="8" t="n">
        <x:v>3</x:v>
      </x:c>
      <x:c r="E440" s="8" t="str">
        <x:v>OP-1</x:v>
      </x:c>
      <x:c r="F440" s="8" t="n">
        <x:v>2</x:v>
      </x:c>
      <x:c r="G440" s="8" t="str"/>
      <x:c r="H440" s="8" t="str"/>
      <x:c r="I440" s="8" t="str">
        <x:f>IF(H440="","OPEN",IF(NOT(ISNUMBER(G440)),"FAIL","PASS"))</x:f>
        <x:v>OPEN</x:v>
      </x:c>
    </x:row>
    <x:row r="441" ht="25" customHeight="1">
      <x:c r="B441" s="8" t="str">
        <x:v>MP-08-P03-O2-R1</x:v>
      </x:c>
      <x:c r="C441" s="8" t="str">
        <x:v>MP-08</x:v>
      </x:c>
      <x:c r="D441" s="8" t="n">
        <x:v>3</x:v>
      </x:c>
      <x:c r="E441" s="8" t="str">
        <x:v>OP-2</x:v>
      </x:c>
      <x:c r="F441" s="8" t="n">
        <x:v>1</x:v>
      </x:c>
      <x:c r="G441" s="8" t="str"/>
      <x:c r="H441" s="8" t="str"/>
      <x:c r="I441" s="8" t="str">
        <x:f>IF(H441="","OPEN",IF(NOT(ISNUMBER(G441)),"FAIL","PASS"))</x:f>
        <x:v>OPEN</x:v>
      </x:c>
    </x:row>
    <x:row r="442" ht="25" customHeight="1">
      <x:c r="B442" s="8" t="str">
        <x:v>MP-08-P03-O2-R2</x:v>
      </x:c>
      <x:c r="C442" s="8" t="str">
        <x:v>MP-08</x:v>
      </x:c>
      <x:c r="D442" s="8" t="n">
        <x:v>3</x:v>
      </x:c>
      <x:c r="E442" s="8" t="str">
        <x:v>OP-2</x:v>
      </x:c>
      <x:c r="F442" s="8" t="n">
        <x:v>2</x:v>
      </x:c>
      <x:c r="G442" s="8" t="str"/>
      <x:c r="H442" s="8" t="str"/>
      <x:c r="I442" s="8" t="str">
        <x:f>IF(H442="","OPEN",IF(NOT(ISNUMBER(G442)),"FAIL","PASS"))</x:f>
        <x:v>OPEN</x:v>
      </x:c>
    </x:row>
    <x:row r="443" ht="25" customHeight="1">
      <x:c r="B443" s="8" t="str">
        <x:v>MP-08-P03-O3-R1</x:v>
      </x:c>
      <x:c r="C443" s="8" t="str">
        <x:v>MP-08</x:v>
      </x:c>
      <x:c r="D443" s="8" t="n">
        <x:v>3</x:v>
      </x:c>
      <x:c r="E443" s="8" t="str">
        <x:v>OP-3</x:v>
      </x:c>
      <x:c r="F443" s="8" t="n">
        <x:v>1</x:v>
      </x:c>
      <x:c r="G443" s="8" t="str"/>
      <x:c r="H443" s="8" t="str"/>
      <x:c r="I443" s="8" t="str">
        <x:f>IF(H443="","OPEN",IF(NOT(ISNUMBER(G443)),"FAIL","PASS"))</x:f>
        <x:v>OPEN</x:v>
      </x:c>
    </x:row>
    <x:row r="444" ht="25" customHeight="1">
      <x:c r="B444" s="8" t="str">
        <x:v>MP-08-P03-O3-R2</x:v>
      </x:c>
      <x:c r="C444" s="8" t="str">
        <x:v>MP-08</x:v>
      </x:c>
      <x:c r="D444" s="8" t="n">
        <x:v>3</x:v>
      </x:c>
      <x:c r="E444" s="8" t="str">
        <x:v>OP-3</x:v>
      </x:c>
      <x:c r="F444" s="8" t="n">
        <x:v>2</x:v>
      </x:c>
      <x:c r="G444" s="8" t="str"/>
      <x:c r="H444" s="8" t="str"/>
      <x:c r="I444" s="8" t="str">
        <x:f>IF(H444="","OPEN",IF(NOT(ISNUMBER(G444)),"FAIL","PASS"))</x:f>
        <x:v>OPEN</x:v>
      </x:c>
    </x:row>
    <x:row r="445" ht="25" customHeight="1">
      <x:c r="B445" s="8" t="str">
        <x:v>MP-08-P04-O1-R1</x:v>
      </x:c>
      <x:c r="C445" s="8" t="str">
        <x:v>MP-08</x:v>
      </x:c>
      <x:c r="D445" s="8" t="n">
        <x:v>4</x:v>
      </x:c>
      <x:c r="E445" s="8" t="str">
        <x:v>OP-1</x:v>
      </x:c>
      <x:c r="F445" s="8" t="n">
        <x:v>1</x:v>
      </x:c>
      <x:c r="G445" s="8" t="str"/>
      <x:c r="H445" s="8" t="str"/>
      <x:c r="I445" s="8" t="str">
        <x:f>IF(H445="","OPEN",IF(NOT(ISNUMBER(G445)),"FAIL","PASS"))</x:f>
        <x:v>OPEN</x:v>
      </x:c>
    </x:row>
    <x:row r="446" ht="25" customHeight="1">
      <x:c r="B446" s="8" t="str">
        <x:v>MP-08-P04-O1-R2</x:v>
      </x:c>
      <x:c r="C446" s="8" t="str">
        <x:v>MP-08</x:v>
      </x:c>
      <x:c r="D446" s="8" t="n">
        <x:v>4</x:v>
      </x:c>
      <x:c r="E446" s="8" t="str">
        <x:v>OP-1</x:v>
      </x:c>
      <x:c r="F446" s="8" t="n">
        <x:v>2</x:v>
      </x:c>
      <x:c r="G446" s="8" t="str"/>
      <x:c r="H446" s="8" t="str"/>
      <x:c r="I446" s="8" t="str">
        <x:f>IF(H446="","OPEN",IF(NOT(ISNUMBER(G446)),"FAIL","PASS"))</x:f>
        <x:v>OPEN</x:v>
      </x:c>
    </x:row>
    <x:row r="447" ht="25" customHeight="1">
      <x:c r="B447" s="8" t="str">
        <x:v>MP-08-P04-O2-R1</x:v>
      </x:c>
      <x:c r="C447" s="8" t="str">
        <x:v>MP-08</x:v>
      </x:c>
      <x:c r="D447" s="8" t="n">
        <x:v>4</x:v>
      </x:c>
      <x:c r="E447" s="8" t="str">
        <x:v>OP-2</x:v>
      </x:c>
      <x:c r="F447" s="8" t="n">
        <x:v>1</x:v>
      </x:c>
      <x:c r="G447" s="8" t="str"/>
      <x:c r="H447" s="8" t="str"/>
      <x:c r="I447" s="8" t="str">
        <x:f>IF(H447="","OPEN",IF(NOT(ISNUMBER(G447)),"FAIL","PASS"))</x:f>
        <x:v>OPEN</x:v>
      </x:c>
    </x:row>
    <x:row r="448" ht="25" customHeight="1">
      <x:c r="B448" s="8" t="str">
        <x:v>MP-08-P04-O2-R2</x:v>
      </x:c>
      <x:c r="C448" s="8" t="str">
        <x:v>MP-08</x:v>
      </x:c>
      <x:c r="D448" s="8" t="n">
        <x:v>4</x:v>
      </x:c>
      <x:c r="E448" s="8" t="str">
        <x:v>OP-2</x:v>
      </x:c>
      <x:c r="F448" s="8" t="n">
        <x:v>2</x:v>
      </x:c>
      <x:c r="G448" s="8" t="str"/>
      <x:c r="H448" s="8" t="str"/>
      <x:c r="I448" s="8" t="str">
        <x:f>IF(H448="","OPEN",IF(NOT(ISNUMBER(G448)),"FAIL","PASS"))</x:f>
        <x:v>OPEN</x:v>
      </x:c>
    </x:row>
    <x:row r="449" ht="25" customHeight="1">
      <x:c r="B449" s="8" t="str">
        <x:v>MP-08-P04-O3-R1</x:v>
      </x:c>
      <x:c r="C449" s="8" t="str">
        <x:v>MP-08</x:v>
      </x:c>
      <x:c r="D449" s="8" t="n">
        <x:v>4</x:v>
      </x:c>
      <x:c r="E449" s="8" t="str">
        <x:v>OP-3</x:v>
      </x:c>
      <x:c r="F449" s="8" t="n">
        <x:v>1</x:v>
      </x:c>
      <x:c r="G449" s="8" t="str"/>
      <x:c r="H449" s="8" t="str"/>
      <x:c r="I449" s="8" t="str">
        <x:f>IF(H449="","OPEN",IF(NOT(ISNUMBER(G449)),"FAIL","PASS"))</x:f>
        <x:v>OPEN</x:v>
      </x:c>
    </x:row>
    <x:row r="450" ht="25" customHeight="1">
      <x:c r="B450" s="8" t="str">
        <x:v>MP-08-P04-O3-R2</x:v>
      </x:c>
      <x:c r="C450" s="8" t="str">
        <x:v>MP-08</x:v>
      </x:c>
      <x:c r="D450" s="8" t="n">
        <x:v>4</x:v>
      </x:c>
      <x:c r="E450" s="8" t="str">
        <x:v>OP-3</x:v>
      </x:c>
      <x:c r="F450" s="8" t="n">
        <x:v>2</x:v>
      </x:c>
      <x:c r="G450" s="8" t="str"/>
      <x:c r="H450" s="8" t="str"/>
      <x:c r="I450" s="8" t="str">
        <x:f>IF(H450="","OPEN",IF(NOT(ISNUMBER(G450)),"FAIL","PASS"))</x:f>
        <x:v>OPEN</x:v>
      </x:c>
    </x:row>
    <x:row r="451" ht="25" customHeight="1">
      <x:c r="B451" s="8" t="str">
        <x:v>MP-08-P05-O1-R1</x:v>
      </x:c>
      <x:c r="C451" s="8" t="str">
        <x:v>MP-08</x:v>
      </x:c>
      <x:c r="D451" s="8" t="n">
        <x:v>5</x:v>
      </x:c>
      <x:c r="E451" s="8" t="str">
        <x:v>OP-1</x:v>
      </x:c>
      <x:c r="F451" s="8" t="n">
        <x:v>1</x:v>
      </x:c>
      <x:c r="G451" s="8" t="str"/>
      <x:c r="H451" s="8" t="str"/>
      <x:c r="I451" s="8" t="str">
        <x:f>IF(H451="","OPEN",IF(NOT(ISNUMBER(G451)),"FAIL","PASS"))</x:f>
        <x:v>OPEN</x:v>
      </x:c>
    </x:row>
    <x:row r="452" ht="25" customHeight="1">
      <x:c r="B452" s="8" t="str">
        <x:v>MP-08-P05-O1-R2</x:v>
      </x:c>
      <x:c r="C452" s="8" t="str">
        <x:v>MP-08</x:v>
      </x:c>
      <x:c r="D452" s="8" t="n">
        <x:v>5</x:v>
      </x:c>
      <x:c r="E452" s="8" t="str">
        <x:v>OP-1</x:v>
      </x:c>
      <x:c r="F452" s="8" t="n">
        <x:v>2</x:v>
      </x:c>
      <x:c r="G452" s="8" t="str"/>
      <x:c r="H452" s="8" t="str"/>
      <x:c r="I452" s="8" t="str">
        <x:f>IF(H452="","OPEN",IF(NOT(ISNUMBER(G452)),"FAIL","PASS"))</x:f>
        <x:v>OPEN</x:v>
      </x:c>
    </x:row>
    <x:row r="453" ht="25" customHeight="1">
      <x:c r="B453" s="8" t="str">
        <x:v>MP-08-P05-O2-R1</x:v>
      </x:c>
      <x:c r="C453" s="8" t="str">
        <x:v>MP-08</x:v>
      </x:c>
      <x:c r="D453" s="8" t="n">
        <x:v>5</x:v>
      </x:c>
      <x:c r="E453" s="8" t="str">
        <x:v>OP-2</x:v>
      </x:c>
      <x:c r="F453" s="8" t="n">
        <x:v>1</x:v>
      </x:c>
      <x:c r="G453" s="8" t="str"/>
      <x:c r="H453" s="8" t="str"/>
      <x:c r="I453" s="8" t="str">
        <x:f>IF(H453="","OPEN",IF(NOT(ISNUMBER(G453)),"FAIL","PASS"))</x:f>
        <x:v>OPEN</x:v>
      </x:c>
    </x:row>
    <x:row r="454" ht="25" customHeight="1">
      <x:c r="B454" s="8" t="str">
        <x:v>MP-08-P05-O2-R2</x:v>
      </x:c>
      <x:c r="C454" s="8" t="str">
        <x:v>MP-08</x:v>
      </x:c>
      <x:c r="D454" s="8" t="n">
        <x:v>5</x:v>
      </x:c>
      <x:c r="E454" s="8" t="str">
        <x:v>OP-2</x:v>
      </x:c>
      <x:c r="F454" s="8" t="n">
        <x:v>2</x:v>
      </x:c>
      <x:c r="G454" s="8" t="str"/>
      <x:c r="H454" s="8" t="str"/>
      <x:c r="I454" s="8" t="str">
        <x:f>IF(H454="","OPEN",IF(NOT(ISNUMBER(G454)),"FAIL","PASS"))</x:f>
        <x:v>OPEN</x:v>
      </x:c>
    </x:row>
    <x:row r="455" ht="25" customHeight="1">
      <x:c r="B455" s="8" t="str">
        <x:v>MP-08-P05-O3-R1</x:v>
      </x:c>
      <x:c r="C455" s="8" t="str">
        <x:v>MP-08</x:v>
      </x:c>
      <x:c r="D455" s="8" t="n">
        <x:v>5</x:v>
      </x:c>
      <x:c r="E455" s="8" t="str">
        <x:v>OP-3</x:v>
      </x:c>
      <x:c r="F455" s="8" t="n">
        <x:v>1</x:v>
      </x:c>
      <x:c r="G455" s="8" t="str"/>
      <x:c r="H455" s="8" t="str"/>
      <x:c r="I455" s="8" t="str">
        <x:f>IF(H455="","OPEN",IF(NOT(ISNUMBER(G455)),"FAIL","PASS"))</x:f>
        <x:v>OPEN</x:v>
      </x:c>
    </x:row>
    <x:row r="456" ht="25" customHeight="1">
      <x:c r="B456" s="8" t="str">
        <x:v>MP-08-P05-O3-R2</x:v>
      </x:c>
      <x:c r="C456" s="8" t="str">
        <x:v>MP-08</x:v>
      </x:c>
      <x:c r="D456" s="8" t="n">
        <x:v>5</x:v>
      </x:c>
      <x:c r="E456" s="8" t="str">
        <x:v>OP-3</x:v>
      </x:c>
      <x:c r="F456" s="8" t="n">
        <x:v>2</x:v>
      </x:c>
      <x:c r="G456" s="8" t="str"/>
      <x:c r="H456" s="8" t="str"/>
      <x:c r="I456" s="8" t="str">
        <x:f>IF(H456="","OPEN",IF(NOT(ISNUMBER(G456)),"FAIL","PASS"))</x:f>
        <x:v>OPEN</x:v>
      </x:c>
    </x:row>
    <x:row r="457" ht="25" customHeight="1">
      <x:c r="B457" s="8" t="str">
        <x:v>MP-08-P06-O1-R1</x:v>
      </x:c>
      <x:c r="C457" s="8" t="str">
        <x:v>MP-08</x:v>
      </x:c>
      <x:c r="D457" s="8" t="n">
        <x:v>6</x:v>
      </x:c>
      <x:c r="E457" s="8" t="str">
        <x:v>OP-1</x:v>
      </x:c>
      <x:c r="F457" s="8" t="n">
        <x:v>1</x:v>
      </x:c>
      <x:c r="G457" s="8" t="str"/>
      <x:c r="H457" s="8" t="str"/>
      <x:c r="I457" s="8" t="str">
        <x:f>IF(H457="","OPEN",IF(NOT(ISNUMBER(G457)),"FAIL","PASS"))</x:f>
        <x:v>OPEN</x:v>
      </x:c>
    </x:row>
    <x:row r="458" ht="25" customHeight="1">
      <x:c r="B458" s="8" t="str">
        <x:v>MP-08-P06-O1-R2</x:v>
      </x:c>
      <x:c r="C458" s="8" t="str">
        <x:v>MP-08</x:v>
      </x:c>
      <x:c r="D458" s="8" t="n">
        <x:v>6</x:v>
      </x:c>
      <x:c r="E458" s="8" t="str">
        <x:v>OP-1</x:v>
      </x:c>
      <x:c r="F458" s="8" t="n">
        <x:v>2</x:v>
      </x:c>
      <x:c r="G458" s="8" t="str"/>
      <x:c r="H458" s="8" t="str"/>
      <x:c r="I458" s="8" t="str">
        <x:f>IF(H458="","OPEN",IF(NOT(ISNUMBER(G458)),"FAIL","PASS"))</x:f>
        <x:v>OPEN</x:v>
      </x:c>
    </x:row>
    <x:row r="459" ht="25" customHeight="1">
      <x:c r="B459" s="8" t="str">
        <x:v>MP-08-P06-O2-R1</x:v>
      </x:c>
      <x:c r="C459" s="8" t="str">
        <x:v>MP-08</x:v>
      </x:c>
      <x:c r="D459" s="8" t="n">
        <x:v>6</x:v>
      </x:c>
      <x:c r="E459" s="8" t="str">
        <x:v>OP-2</x:v>
      </x:c>
      <x:c r="F459" s="8" t="n">
        <x:v>1</x:v>
      </x:c>
      <x:c r="G459" s="8" t="str"/>
      <x:c r="H459" s="8" t="str"/>
      <x:c r="I459" s="8" t="str">
        <x:f>IF(H459="","OPEN",IF(NOT(ISNUMBER(G459)),"FAIL","PASS"))</x:f>
        <x:v>OPEN</x:v>
      </x:c>
    </x:row>
    <x:row r="460" ht="25" customHeight="1">
      <x:c r="B460" s="8" t="str">
        <x:v>MP-08-P06-O2-R2</x:v>
      </x:c>
      <x:c r="C460" s="8" t="str">
        <x:v>MP-08</x:v>
      </x:c>
      <x:c r="D460" s="8" t="n">
        <x:v>6</x:v>
      </x:c>
      <x:c r="E460" s="8" t="str">
        <x:v>OP-2</x:v>
      </x:c>
      <x:c r="F460" s="8" t="n">
        <x:v>2</x:v>
      </x:c>
      <x:c r="G460" s="8" t="str"/>
      <x:c r="H460" s="8" t="str"/>
      <x:c r="I460" s="8" t="str">
        <x:f>IF(H460="","OPEN",IF(NOT(ISNUMBER(G460)),"FAIL","PASS"))</x:f>
        <x:v>OPEN</x:v>
      </x:c>
    </x:row>
    <x:row r="461" ht="25" customHeight="1">
      <x:c r="B461" s="8" t="str">
        <x:v>MP-08-P06-O3-R1</x:v>
      </x:c>
      <x:c r="C461" s="8" t="str">
        <x:v>MP-08</x:v>
      </x:c>
      <x:c r="D461" s="8" t="n">
        <x:v>6</x:v>
      </x:c>
      <x:c r="E461" s="8" t="str">
        <x:v>OP-3</x:v>
      </x:c>
      <x:c r="F461" s="8" t="n">
        <x:v>1</x:v>
      </x:c>
      <x:c r="G461" s="8" t="str"/>
      <x:c r="H461" s="8" t="str"/>
      <x:c r="I461" s="8" t="str">
        <x:f>IF(H461="","OPEN",IF(NOT(ISNUMBER(G461)),"FAIL","PASS"))</x:f>
        <x:v>OPEN</x:v>
      </x:c>
    </x:row>
    <x:row r="462" ht="25" customHeight="1">
      <x:c r="B462" s="8" t="str">
        <x:v>MP-08-P06-O3-R2</x:v>
      </x:c>
      <x:c r="C462" s="8" t="str">
        <x:v>MP-08</x:v>
      </x:c>
      <x:c r="D462" s="8" t="n">
        <x:v>6</x:v>
      </x:c>
      <x:c r="E462" s="8" t="str">
        <x:v>OP-3</x:v>
      </x:c>
      <x:c r="F462" s="8" t="n">
        <x:v>2</x:v>
      </x:c>
      <x:c r="G462" s="8" t="str"/>
      <x:c r="H462" s="8" t="str"/>
      <x:c r="I462" s="8" t="str">
        <x:f>IF(H462="","OPEN",IF(NOT(ISNUMBER(G462)),"FAIL","PASS"))</x:f>
        <x:v>OPEN</x:v>
      </x:c>
    </x:row>
    <x:row r="463" ht="25" customHeight="1">
      <x:c r="B463" s="8" t="str">
        <x:v>MP-08-P07-O1-R1</x:v>
      </x:c>
      <x:c r="C463" s="8" t="str">
        <x:v>MP-08</x:v>
      </x:c>
      <x:c r="D463" s="8" t="n">
        <x:v>7</x:v>
      </x:c>
      <x:c r="E463" s="8" t="str">
        <x:v>OP-1</x:v>
      </x:c>
      <x:c r="F463" s="8" t="n">
        <x:v>1</x:v>
      </x:c>
      <x:c r="G463" s="8" t="str"/>
      <x:c r="H463" s="8" t="str"/>
      <x:c r="I463" s="8" t="str">
        <x:f>IF(H463="","OPEN",IF(NOT(ISNUMBER(G463)),"FAIL","PASS"))</x:f>
        <x:v>OPEN</x:v>
      </x:c>
    </x:row>
    <x:row r="464" ht="25" customHeight="1">
      <x:c r="B464" s="8" t="str">
        <x:v>MP-08-P07-O1-R2</x:v>
      </x:c>
      <x:c r="C464" s="8" t="str">
        <x:v>MP-08</x:v>
      </x:c>
      <x:c r="D464" s="8" t="n">
        <x:v>7</x:v>
      </x:c>
      <x:c r="E464" s="8" t="str">
        <x:v>OP-1</x:v>
      </x:c>
      <x:c r="F464" s="8" t="n">
        <x:v>2</x:v>
      </x:c>
      <x:c r="G464" s="8" t="str"/>
      <x:c r="H464" s="8" t="str"/>
      <x:c r="I464" s="8" t="str">
        <x:f>IF(H464="","OPEN",IF(NOT(ISNUMBER(G464)),"FAIL","PASS"))</x:f>
        <x:v>OPEN</x:v>
      </x:c>
    </x:row>
    <x:row r="465" ht="25" customHeight="1">
      <x:c r="B465" s="8" t="str">
        <x:v>MP-08-P07-O2-R1</x:v>
      </x:c>
      <x:c r="C465" s="8" t="str">
        <x:v>MP-08</x:v>
      </x:c>
      <x:c r="D465" s="8" t="n">
        <x:v>7</x:v>
      </x:c>
      <x:c r="E465" s="8" t="str">
        <x:v>OP-2</x:v>
      </x:c>
      <x:c r="F465" s="8" t="n">
        <x:v>1</x:v>
      </x:c>
      <x:c r="G465" s="8" t="str"/>
      <x:c r="H465" s="8" t="str"/>
      <x:c r="I465" s="8" t="str">
        <x:f>IF(H465="","OPEN",IF(NOT(ISNUMBER(G465)),"FAIL","PASS"))</x:f>
        <x:v>OPEN</x:v>
      </x:c>
    </x:row>
    <x:row r="466" ht="25" customHeight="1">
      <x:c r="B466" s="8" t="str">
        <x:v>MP-08-P07-O2-R2</x:v>
      </x:c>
      <x:c r="C466" s="8" t="str">
        <x:v>MP-08</x:v>
      </x:c>
      <x:c r="D466" s="8" t="n">
        <x:v>7</x:v>
      </x:c>
      <x:c r="E466" s="8" t="str">
        <x:v>OP-2</x:v>
      </x:c>
      <x:c r="F466" s="8" t="n">
        <x:v>2</x:v>
      </x:c>
      <x:c r="G466" s="8" t="str"/>
      <x:c r="H466" s="8" t="str"/>
      <x:c r="I466" s="8" t="str">
        <x:f>IF(H466="","OPEN",IF(NOT(ISNUMBER(G466)),"FAIL","PASS"))</x:f>
        <x:v>OPEN</x:v>
      </x:c>
    </x:row>
    <x:row r="467" ht="25" customHeight="1">
      <x:c r="B467" s="8" t="str">
        <x:v>MP-08-P07-O3-R1</x:v>
      </x:c>
      <x:c r="C467" s="8" t="str">
        <x:v>MP-08</x:v>
      </x:c>
      <x:c r="D467" s="8" t="n">
        <x:v>7</x:v>
      </x:c>
      <x:c r="E467" s="8" t="str">
        <x:v>OP-3</x:v>
      </x:c>
      <x:c r="F467" s="8" t="n">
        <x:v>1</x:v>
      </x:c>
      <x:c r="G467" s="8" t="str"/>
      <x:c r="H467" s="8" t="str"/>
      <x:c r="I467" s="8" t="str">
        <x:f>IF(H467="","OPEN",IF(NOT(ISNUMBER(G467)),"FAIL","PASS"))</x:f>
        <x:v>OPEN</x:v>
      </x:c>
    </x:row>
    <x:row r="468" ht="25" customHeight="1">
      <x:c r="B468" s="8" t="str">
        <x:v>MP-08-P07-O3-R2</x:v>
      </x:c>
      <x:c r="C468" s="8" t="str">
        <x:v>MP-08</x:v>
      </x:c>
      <x:c r="D468" s="8" t="n">
        <x:v>7</x:v>
      </x:c>
      <x:c r="E468" s="8" t="str">
        <x:v>OP-3</x:v>
      </x:c>
      <x:c r="F468" s="8" t="n">
        <x:v>2</x:v>
      </x:c>
      <x:c r="G468" s="8" t="str"/>
      <x:c r="H468" s="8" t="str"/>
      <x:c r="I468" s="8" t="str">
        <x:f>IF(H468="","OPEN",IF(NOT(ISNUMBER(G468)),"FAIL","PASS"))</x:f>
        <x:v>OPEN</x:v>
      </x:c>
    </x:row>
    <x:row r="469" ht="25" customHeight="1">
      <x:c r="B469" s="8" t="str">
        <x:v>MP-08-P08-O1-R1</x:v>
      </x:c>
      <x:c r="C469" s="8" t="str">
        <x:v>MP-08</x:v>
      </x:c>
      <x:c r="D469" s="8" t="n">
        <x:v>8</x:v>
      </x:c>
      <x:c r="E469" s="8" t="str">
        <x:v>OP-1</x:v>
      </x:c>
      <x:c r="F469" s="8" t="n">
        <x:v>1</x:v>
      </x:c>
      <x:c r="G469" s="8" t="str"/>
      <x:c r="H469" s="8" t="str"/>
      <x:c r="I469" s="8" t="str">
        <x:f>IF(H469="","OPEN",IF(NOT(ISNUMBER(G469)),"FAIL","PASS"))</x:f>
        <x:v>OPEN</x:v>
      </x:c>
    </x:row>
    <x:row r="470" ht="25" customHeight="1">
      <x:c r="B470" s="8" t="str">
        <x:v>MP-08-P08-O1-R2</x:v>
      </x:c>
      <x:c r="C470" s="8" t="str">
        <x:v>MP-08</x:v>
      </x:c>
      <x:c r="D470" s="8" t="n">
        <x:v>8</x:v>
      </x:c>
      <x:c r="E470" s="8" t="str">
        <x:v>OP-1</x:v>
      </x:c>
      <x:c r="F470" s="8" t="n">
        <x:v>2</x:v>
      </x:c>
      <x:c r="G470" s="8" t="str"/>
      <x:c r="H470" s="8" t="str"/>
      <x:c r="I470" s="8" t="str">
        <x:f>IF(H470="","OPEN",IF(NOT(ISNUMBER(G470)),"FAIL","PASS"))</x:f>
        <x:v>OPEN</x:v>
      </x:c>
    </x:row>
    <x:row r="471" ht="25" customHeight="1">
      <x:c r="B471" s="8" t="str">
        <x:v>MP-08-P08-O2-R1</x:v>
      </x:c>
      <x:c r="C471" s="8" t="str">
        <x:v>MP-08</x:v>
      </x:c>
      <x:c r="D471" s="8" t="n">
        <x:v>8</x:v>
      </x:c>
      <x:c r="E471" s="8" t="str">
        <x:v>OP-2</x:v>
      </x:c>
      <x:c r="F471" s="8" t="n">
        <x:v>1</x:v>
      </x:c>
      <x:c r="G471" s="8" t="str"/>
      <x:c r="H471" s="8" t="str"/>
      <x:c r="I471" s="8" t="str">
        <x:f>IF(H471="","OPEN",IF(NOT(ISNUMBER(G471)),"FAIL","PASS"))</x:f>
        <x:v>OPEN</x:v>
      </x:c>
    </x:row>
    <x:row r="472" ht="25" customHeight="1">
      <x:c r="B472" s="8" t="str">
        <x:v>MP-08-P08-O2-R2</x:v>
      </x:c>
      <x:c r="C472" s="8" t="str">
        <x:v>MP-08</x:v>
      </x:c>
      <x:c r="D472" s="8" t="n">
        <x:v>8</x:v>
      </x:c>
      <x:c r="E472" s="8" t="str">
        <x:v>OP-2</x:v>
      </x:c>
      <x:c r="F472" s="8" t="n">
        <x:v>2</x:v>
      </x:c>
      <x:c r="G472" s="8" t="str"/>
      <x:c r="H472" s="8" t="str"/>
      <x:c r="I472" s="8" t="str">
        <x:f>IF(H472="","OPEN",IF(NOT(ISNUMBER(G472)),"FAIL","PASS"))</x:f>
        <x:v>OPEN</x:v>
      </x:c>
    </x:row>
    <x:row r="473" ht="25" customHeight="1">
      <x:c r="B473" s="8" t="str">
        <x:v>MP-08-P08-O3-R1</x:v>
      </x:c>
      <x:c r="C473" s="8" t="str">
        <x:v>MP-08</x:v>
      </x:c>
      <x:c r="D473" s="8" t="n">
        <x:v>8</x:v>
      </x:c>
      <x:c r="E473" s="8" t="str">
        <x:v>OP-3</x:v>
      </x:c>
      <x:c r="F473" s="8" t="n">
        <x:v>1</x:v>
      </x:c>
      <x:c r="G473" s="8" t="str"/>
      <x:c r="H473" s="8" t="str"/>
      <x:c r="I473" s="8" t="str">
        <x:f>IF(H473="","OPEN",IF(NOT(ISNUMBER(G473)),"FAIL","PASS"))</x:f>
        <x:v>OPEN</x:v>
      </x:c>
    </x:row>
    <x:row r="474" ht="25" customHeight="1">
      <x:c r="B474" s="8" t="str">
        <x:v>MP-08-P08-O3-R2</x:v>
      </x:c>
      <x:c r="C474" s="8" t="str">
        <x:v>MP-08</x:v>
      </x:c>
      <x:c r="D474" s="8" t="n">
        <x:v>8</x:v>
      </x:c>
      <x:c r="E474" s="8" t="str">
        <x:v>OP-3</x:v>
      </x:c>
      <x:c r="F474" s="8" t="n">
        <x:v>2</x:v>
      </x:c>
      <x:c r="G474" s="8" t="str"/>
      <x:c r="H474" s="8" t="str"/>
      <x:c r="I474" s="8" t="str">
        <x:f>IF(H474="","OPEN",IF(NOT(ISNUMBER(G474)),"FAIL","PASS"))</x:f>
        <x:v>OPEN</x:v>
      </x:c>
    </x:row>
    <x:row r="475" ht="25" customHeight="1">
      <x:c r="B475" s="8" t="str">
        <x:v>MP-08-P09-O1-R1</x:v>
      </x:c>
      <x:c r="C475" s="8" t="str">
        <x:v>MP-08</x:v>
      </x:c>
      <x:c r="D475" s="8" t="n">
        <x:v>9</x:v>
      </x:c>
      <x:c r="E475" s="8" t="str">
        <x:v>OP-1</x:v>
      </x:c>
      <x:c r="F475" s="8" t="n">
        <x:v>1</x:v>
      </x:c>
      <x:c r="G475" s="8" t="str"/>
      <x:c r="H475" s="8" t="str"/>
      <x:c r="I475" s="8" t="str">
        <x:f>IF(H475="","OPEN",IF(NOT(ISNUMBER(G475)),"FAIL","PASS"))</x:f>
        <x:v>OPEN</x:v>
      </x:c>
    </x:row>
    <x:row r="476" ht="25" customHeight="1">
      <x:c r="B476" s="8" t="str">
        <x:v>MP-08-P09-O1-R2</x:v>
      </x:c>
      <x:c r="C476" s="8" t="str">
        <x:v>MP-08</x:v>
      </x:c>
      <x:c r="D476" s="8" t="n">
        <x:v>9</x:v>
      </x:c>
      <x:c r="E476" s="8" t="str">
        <x:v>OP-1</x:v>
      </x:c>
      <x:c r="F476" s="8" t="n">
        <x:v>2</x:v>
      </x:c>
      <x:c r="G476" s="8" t="str"/>
      <x:c r="H476" s="8" t="str"/>
      <x:c r="I476" s="8" t="str">
        <x:f>IF(H476="","OPEN",IF(NOT(ISNUMBER(G476)),"FAIL","PASS"))</x:f>
        <x:v>OPEN</x:v>
      </x:c>
    </x:row>
    <x:row r="477" ht="25" customHeight="1">
      <x:c r="B477" s="8" t="str">
        <x:v>MP-08-P09-O2-R1</x:v>
      </x:c>
      <x:c r="C477" s="8" t="str">
        <x:v>MP-08</x:v>
      </x:c>
      <x:c r="D477" s="8" t="n">
        <x:v>9</x:v>
      </x:c>
      <x:c r="E477" s="8" t="str">
        <x:v>OP-2</x:v>
      </x:c>
      <x:c r="F477" s="8" t="n">
        <x:v>1</x:v>
      </x:c>
      <x:c r="G477" s="8" t="str"/>
      <x:c r="H477" s="8" t="str"/>
      <x:c r="I477" s="8" t="str">
        <x:f>IF(H477="","OPEN",IF(NOT(ISNUMBER(G477)),"FAIL","PASS"))</x:f>
        <x:v>OPEN</x:v>
      </x:c>
    </x:row>
    <x:row r="478" ht="25" customHeight="1">
      <x:c r="B478" s="8" t="str">
        <x:v>MP-08-P09-O2-R2</x:v>
      </x:c>
      <x:c r="C478" s="8" t="str">
        <x:v>MP-08</x:v>
      </x:c>
      <x:c r="D478" s="8" t="n">
        <x:v>9</x:v>
      </x:c>
      <x:c r="E478" s="8" t="str">
        <x:v>OP-2</x:v>
      </x:c>
      <x:c r="F478" s="8" t="n">
        <x:v>2</x:v>
      </x:c>
      <x:c r="G478" s="8" t="str"/>
      <x:c r="H478" s="8" t="str"/>
      <x:c r="I478" s="8" t="str">
        <x:f>IF(H478="","OPEN",IF(NOT(ISNUMBER(G478)),"FAIL","PASS"))</x:f>
        <x:v>OPEN</x:v>
      </x:c>
    </x:row>
    <x:row r="479" ht="25" customHeight="1">
      <x:c r="B479" s="8" t="str">
        <x:v>MP-08-P09-O3-R1</x:v>
      </x:c>
      <x:c r="C479" s="8" t="str">
        <x:v>MP-08</x:v>
      </x:c>
      <x:c r="D479" s="8" t="n">
        <x:v>9</x:v>
      </x:c>
      <x:c r="E479" s="8" t="str">
        <x:v>OP-3</x:v>
      </x:c>
      <x:c r="F479" s="8" t="n">
        <x:v>1</x:v>
      </x:c>
      <x:c r="G479" s="8" t="str"/>
      <x:c r="H479" s="8" t="str"/>
      <x:c r="I479" s="8" t="str">
        <x:f>IF(H479="","OPEN",IF(NOT(ISNUMBER(G479)),"FAIL","PASS"))</x:f>
        <x:v>OPEN</x:v>
      </x:c>
    </x:row>
    <x:row r="480" ht="25" customHeight="1">
      <x:c r="B480" s="8" t="str">
        <x:v>MP-08-P09-O3-R2</x:v>
      </x:c>
      <x:c r="C480" s="8" t="str">
        <x:v>MP-08</x:v>
      </x:c>
      <x:c r="D480" s="8" t="n">
        <x:v>9</x:v>
      </x:c>
      <x:c r="E480" s="8" t="str">
        <x:v>OP-3</x:v>
      </x:c>
      <x:c r="F480" s="8" t="n">
        <x:v>2</x:v>
      </x:c>
      <x:c r="G480" s="8" t="str"/>
      <x:c r="H480" s="8" t="str"/>
      <x:c r="I480" s="8" t="str">
        <x:f>IF(H480="","OPEN",IF(NOT(ISNUMBER(G480)),"FAIL","PASS"))</x:f>
        <x:v>OPEN</x:v>
      </x:c>
    </x:row>
    <x:row r="481" ht="25" customHeight="1">
      <x:c r="B481" s="8" t="str">
        <x:v>MP-08-P10-O1-R1</x:v>
      </x:c>
      <x:c r="C481" s="8" t="str">
        <x:v>MP-08</x:v>
      </x:c>
      <x:c r="D481" s="8" t="n">
        <x:v>10</x:v>
      </x:c>
      <x:c r="E481" s="8" t="str">
        <x:v>OP-1</x:v>
      </x:c>
      <x:c r="F481" s="8" t="n">
        <x:v>1</x:v>
      </x:c>
      <x:c r="G481" s="8" t="str"/>
      <x:c r="H481" s="8" t="str"/>
      <x:c r="I481" s="8" t="str">
        <x:f>IF(H481="","OPEN",IF(NOT(ISNUMBER(G481)),"FAIL","PASS"))</x:f>
        <x:v>OPEN</x:v>
      </x:c>
    </x:row>
    <x:row r="482" ht="25" customHeight="1">
      <x:c r="B482" s="8" t="str">
        <x:v>MP-08-P10-O1-R2</x:v>
      </x:c>
      <x:c r="C482" s="8" t="str">
        <x:v>MP-08</x:v>
      </x:c>
      <x:c r="D482" s="8" t="n">
        <x:v>10</x:v>
      </x:c>
      <x:c r="E482" s="8" t="str">
        <x:v>OP-1</x:v>
      </x:c>
      <x:c r="F482" s="8" t="n">
        <x:v>2</x:v>
      </x:c>
      <x:c r="G482" s="8" t="str"/>
      <x:c r="H482" s="8" t="str"/>
      <x:c r="I482" s="8" t="str">
        <x:f>IF(H482="","OPEN",IF(NOT(ISNUMBER(G482)),"FAIL","PASS"))</x:f>
        <x:v>OPEN</x:v>
      </x:c>
    </x:row>
    <x:row r="483" ht="25" customHeight="1">
      <x:c r="B483" s="8" t="str">
        <x:v>MP-08-P10-O2-R1</x:v>
      </x:c>
      <x:c r="C483" s="8" t="str">
        <x:v>MP-08</x:v>
      </x:c>
      <x:c r="D483" s="8" t="n">
        <x:v>10</x:v>
      </x:c>
      <x:c r="E483" s="8" t="str">
        <x:v>OP-2</x:v>
      </x:c>
      <x:c r="F483" s="8" t="n">
        <x:v>1</x:v>
      </x:c>
      <x:c r="G483" s="8" t="str"/>
      <x:c r="H483" s="8" t="str"/>
      <x:c r="I483" s="8" t="str">
        <x:f>IF(H483="","OPEN",IF(NOT(ISNUMBER(G483)),"FAIL","PASS"))</x:f>
        <x:v>OPEN</x:v>
      </x:c>
    </x:row>
    <x:row r="484" ht="25" customHeight="1">
      <x:c r="B484" s="8" t="str">
        <x:v>MP-08-P10-O2-R2</x:v>
      </x:c>
      <x:c r="C484" s="8" t="str">
        <x:v>MP-08</x:v>
      </x:c>
      <x:c r="D484" s="8" t="n">
        <x:v>10</x:v>
      </x:c>
      <x:c r="E484" s="8" t="str">
        <x:v>OP-2</x:v>
      </x:c>
      <x:c r="F484" s="8" t="n">
        <x:v>2</x:v>
      </x:c>
      <x:c r="G484" s="8" t="str"/>
      <x:c r="H484" s="8" t="str"/>
      <x:c r="I484" s="8" t="str">
        <x:f>IF(H484="","OPEN",IF(NOT(ISNUMBER(G484)),"FAIL","PASS"))</x:f>
        <x:v>OPEN</x:v>
      </x:c>
    </x:row>
    <x:row r="485" ht="25" customHeight="1">
      <x:c r="B485" s="8" t="str">
        <x:v>MP-08-P10-O3-R1</x:v>
      </x:c>
      <x:c r="C485" s="8" t="str">
        <x:v>MP-08</x:v>
      </x:c>
      <x:c r="D485" s="8" t="n">
        <x:v>10</x:v>
      </x:c>
      <x:c r="E485" s="8" t="str">
        <x:v>OP-3</x:v>
      </x:c>
      <x:c r="F485" s="8" t="n">
        <x:v>1</x:v>
      </x:c>
      <x:c r="G485" s="8" t="str"/>
      <x:c r="H485" s="8" t="str"/>
      <x:c r="I485" s="8" t="str">
        <x:f>IF(H485="","OPEN",IF(NOT(ISNUMBER(G485)),"FAIL","PASS"))</x:f>
        <x:v>OPEN</x:v>
      </x:c>
    </x:row>
    <x:row r="486" ht="25" customHeight="1">
      <x:c r="B486" s="8" t="str">
        <x:v>MP-08-P10-O3-R2</x:v>
      </x:c>
      <x:c r="C486" s="8" t="str">
        <x:v>MP-08</x:v>
      </x:c>
      <x:c r="D486" s="8" t="n">
        <x:v>10</x:v>
      </x:c>
      <x:c r="E486" s="8" t="str">
        <x:v>OP-3</x:v>
      </x:c>
      <x:c r="F486" s="8" t="n">
        <x:v>2</x:v>
      </x:c>
      <x:c r="G486" s="8" t="str"/>
      <x:c r="H486" s="8" t="str"/>
      <x:c r="I486" s="8" t="str">
        <x:f>IF(H486="","OPEN",IF(NOT(ISNUMBER(G486)),"FAIL","PASS"))</x:f>
        <x:v>OPEN</x:v>
      </x:c>
    </x:row>
    <x:row r="487" ht="25" customHeight="1">
      <x:c r="B487" s="8" t="str">
        <x:v>MP-09-P01-O1-R1</x:v>
      </x:c>
      <x:c r="C487" s="8" t="str">
        <x:v>MP-09</x:v>
      </x:c>
      <x:c r="D487" s="8" t="n">
        <x:v>1</x:v>
      </x:c>
      <x:c r="E487" s="8" t="str">
        <x:v>OP-1</x:v>
      </x:c>
      <x:c r="F487" s="8" t="n">
        <x:v>1</x:v>
      </x:c>
      <x:c r="G487" s="8" t="str"/>
      <x:c r="H487" s="8" t="str"/>
      <x:c r="I487" s="8" t="str">
        <x:f>IF(H487="","OPEN",IF(NOT(ISNUMBER(G487)),"FAIL","PASS"))</x:f>
        <x:v>OPEN</x:v>
      </x:c>
    </x:row>
    <x:row r="488" ht="25" customHeight="1">
      <x:c r="B488" s="8" t="str">
        <x:v>MP-09-P01-O1-R2</x:v>
      </x:c>
      <x:c r="C488" s="8" t="str">
        <x:v>MP-09</x:v>
      </x:c>
      <x:c r="D488" s="8" t="n">
        <x:v>1</x:v>
      </x:c>
      <x:c r="E488" s="8" t="str">
        <x:v>OP-1</x:v>
      </x:c>
      <x:c r="F488" s="8" t="n">
        <x:v>2</x:v>
      </x:c>
      <x:c r="G488" s="8" t="str"/>
      <x:c r="H488" s="8" t="str"/>
      <x:c r="I488" s="8" t="str">
        <x:f>IF(H488="","OPEN",IF(NOT(ISNUMBER(G488)),"FAIL","PASS"))</x:f>
        <x:v>OPEN</x:v>
      </x:c>
    </x:row>
    <x:row r="489" ht="25" customHeight="1">
      <x:c r="B489" s="8" t="str">
        <x:v>MP-09-P01-O2-R1</x:v>
      </x:c>
      <x:c r="C489" s="8" t="str">
        <x:v>MP-09</x:v>
      </x:c>
      <x:c r="D489" s="8" t="n">
        <x:v>1</x:v>
      </x:c>
      <x:c r="E489" s="8" t="str">
        <x:v>OP-2</x:v>
      </x:c>
      <x:c r="F489" s="8" t="n">
        <x:v>1</x:v>
      </x:c>
      <x:c r="G489" s="8" t="str"/>
      <x:c r="H489" s="8" t="str"/>
      <x:c r="I489" s="8" t="str">
        <x:f>IF(H489="","OPEN",IF(NOT(ISNUMBER(G489)),"FAIL","PASS"))</x:f>
        <x:v>OPEN</x:v>
      </x:c>
    </x:row>
    <x:row r="490" ht="25" customHeight="1">
      <x:c r="B490" s="8" t="str">
        <x:v>MP-09-P01-O2-R2</x:v>
      </x:c>
      <x:c r="C490" s="8" t="str">
        <x:v>MP-09</x:v>
      </x:c>
      <x:c r="D490" s="8" t="n">
        <x:v>1</x:v>
      </x:c>
      <x:c r="E490" s="8" t="str">
        <x:v>OP-2</x:v>
      </x:c>
      <x:c r="F490" s="8" t="n">
        <x:v>2</x:v>
      </x:c>
      <x:c r="G490" s="8" t="str"/>
      <x:c r="H490" s="8" t="str"/>
      <x:c r="I490" s="8" t="str">
        <x:f>IF(H490="","OPEN",IF(NOT(ISNUMBER(G490)),"FAIL","PASS"))</x:f>
        <x:v>OPEN</x:v>
      </x:c>
    </x:row>
    <x:row r="491" ht="25" customHeight="1">
      <x:c r="B491" s="8" t="str">
        <x:v>MP-09-P01-O3-R1</x:v>
      </x:c>
      <x:c r="C491" s="8" t="str">
        <x:v>MP-09</x:v>
      </x:c>
      <x:c r="D491" s="8" t="n">
        <x:v>1</x:v>
      </x:c>
      <x:c r="E491" s="8" t="str">
        <x:v>OP-3</x:v>
      </x:c>
      <x:c r="F491" s="8" t="n">
        <x:v>1</x:v>
      </x:c>
      <x:c r="G491" s="8" t="str"/>
      <x:c r="H491" s="8" t="str"/>
      <x:c r="I491" s="8" t="str">
        <x:f>IF(H491="","OPEN",IF(NOT(ISNUMBER(G491)),"FAIL","PASS"))</x:f>
        <x:v>OPEN</x:v>
      </x:c>
    </x:row>
    <x:row r="492" ht="25" customHeight="1">
      <x:c r="B492" s="8" t="str">
        <x:v>MP-09-P01-O3-R2</x:v>
      </x:c>
      <x:c r="C492" s="8" t="str">
        <x:v>MP-09</x:v>
      </x:c>
      <x:c r="D492" s="8" t="n">
        <x:v>1</x:v>
      </x:c>
      <x:c r="E492" s="8" t="str">
        <x:v>OP-3</x:v>
      </x:c>
      <x:c r="F492" s="8" t="n">
        <x:v>2</x:v>
      </x:c>
      <x:c r="G492" s="8" t="str"/>
      <x:c r="H492" s="8" t="str"/>
      <x:c r="I492" s="8" t="str">
        <x:f>IF(H492="","OPEN",IF(NOT(ISNUMBER(G492)),"FAIL","PASS"))</x:f>
        <x:v>OPEN</x:v>
      </x:c>
    </x:row>
    <x:row r="493" ht="25" customHeight="1">
      <x:c r="B493" s="8" t="str">
        <x:v>MP-09-P02-O1-R1</x:v>
      </x:c>
      <x:c r="C493" s="8" t="str">
        <x:v>MP-09</x:v>
      </x:c>
      <x:c r="D493" s="8" t="n">
        <x:v>2</x:v>
      </x:c>
      <x:c r="E493" s="8" t="str">
        <x:v>OP-1</x:v>
      </x:c>
      <x:c r="F493" s="8" t="n">
        <x:v>1</x:v>
      </x:c>
      <x:c r="G493" s="8" t="str"/>
      <x:c r="H493" s="8" t="str"/>
      <x:c r="I493" s="8" t="str">
        <x:f>IF(H493="","OPEN",IF(NOT(ISNUMBER(G493)),"FAIL","PASS"))</x:f>
        <x:v>OPEN</x:v>
      </x:c>
    </x:row>
    <x:row r="494" ht="25" customHeight="1">
      <x:c r="B494" s="8" t="str">
        <x:v>MP-09-P02-O1-R2</x:v>
      </x:c>
      <x:c r="C494" s="8" t="str">
        <x:v>MP-09</x:v>
      </x:c>
      <x:c r="D494" s="8" t="n">
        <x:v>2</x:v>
      </x:c>
      <x:c r="E494" s="8" t="str">
        <x:v>OP-1</x:v>
      </x:c>
      <x:c r="F494" s="8" t="n">
        <x:v>2</x:v>
      </x:c>
      <x:c r="G494" s="8" t="str"/>
      <x:c r="H494" s="8" t="str"/>
      <x:c r="I494" s="8" t="str">
        <x:f>IF(H494="","OPEN",IF(NOT(ISNUMBER(G494)),"FAIL","PASS"))</x:f>
        <x:v>OPEN</x:v>
      </x:c>
    </x:row>
    <x:row r="495" ht="25" customHeight="1">
      <x:c r="B495" s="8" t="str">
        <x:v>MP-09-P02-O2-R1</x:v>
      </x:c>
      <x:c r="C495" s="8" t="str">
        <x:v>MP-09</x:v>
      </x:c>
      <x:c r="D495" s="8" t="n">
        <x:v>2</x:v>
      </x:c>
      <x:c r="E495" s="8" t="str">
        <x:v>OP-2</x:v>
      </x:c>
      <x:c r="F495" s="8" t="n">
        <x:v>1</x:v>
      </x:c>
      <x:c r="G495" s="8" t="str"/>
      <x:c r="H495" s="8" t="str"/>
      <x:c r="I495" s="8" t="str">
        <x:f>IF(H495="","OPEN",IF(NOT(ISNUMBER(G495)),"FAIL","PASS"))</x:f>
        <x:v>OPEN</x:v>
      </x:c>
    </x:row>
    <x:row r="496" ht="25" customHeight="1">
      <x:c r="B496" s="8" t="str">
        <x:v>MP-09-P02-O2-R2</x:v>
      </x:c>
      <x:c r="C496" s="8" t="str">
        <x:v>MP-09</x:v>
      </x:c>
      <x:c r="D496" s="8" t="n">
        <x:v>2</x:v>
      </x:c>
      <x:c r="E496" s="8" t="str">
        <x:v>OP-2</x:v>
      </x:c>
      <x:c r="F496" s="8" t="n">
        <x:v>2</x:v>
      </x:c>
      <x:c r="G496" s="8" t="str"/>
      <x:c r="H496" s="8" t="str"/>
      <x:c r="I496" s="8" t="str">
        <x:f>IF(H496="","OPEN",IF(NOT(ISNUMBER(G496)),"FAIL","PASS"))</x:f>
        <x:v>OPEN</x:v>
      </x:c>
    </x:row>
    <x:row r="497" ht="25" customHeight="1">
      <x:c r="B497" s="8" t="str">
        <x:v>MP-09-P02-O3-R1</x:v>
      </x:c>
      <x:c r="C497" s="8" t="str">
        <x:v>MP-09</x:v>
      </x:c>
      <x:c r="D497" s="8" t="n">
        <x:v>2</x:v>
      </x:c>
      <x:c r="E497" s="8" t="str">
        <x:v>OP-3</x:v>
      </x:c>
      <x:c r="F497" s="8" t="n">
        <x:v>1</x:v>
      </x:c>
      <x:c r="G497" s="8" t="str"/>
      <x:c r="H497" s="8" t="str"/>
      <x:c r="I497" s="8" t="str">
        <x:f>IF(H497="","OPEN",IF(NOT(ISNUMBER(G497)),"FAIL","PASS"))</x:f>
        <x:v>OPEN</x:v>
      </x:c>
    </x:row>
    <x:row r="498" ht="25" customHeight="1">
      <x:c r="B498" s="8" t="str">
        <x:v>MP-09-P02-O3-R2</x:v>
      </x:c>
      <x:c r="C498" s="8" t="str">
        <x:v>MP-09</x:v>
      </x:c>
      <x:c r="D498" s="8" t="n">
        <x:v>2</x:v>
      </x:c>
      <x:c r="E498" s="8" t="str">
        <x:v>OP-3</x:v>
      </x:c>
      <x:c r="F498" s="8" t="n">
        <x:v>2</x:v>
      </x:c>
      <x:c r="G498" s="8" t="str"/>
      <x:c r="H498" s="8" t="str"/>
      <x:c r="I498" s="8" t="str">
        <x:f>IF(H498="","OPEN",IF(NOT(ISNUMBER(G498)),"FAIL","PASS"))</x:f>
        <x:v>OPEN</x:v>
      </x:c>
    </x:row>
    <x:row r="499" ht="25" customHeight="1">
      <x:c r="B499" s="8" t="str">
        <x:v>MP-09-P03-O1-R1</x:v>
      </x:c>
      <x:c r="C499" s="8" t="str">
        <x:v>MP-09</x:v>
      </x:c>
      <x:c r="D499" s="8" t="n">
        <x:v>3</x:v>
      </x:c>
      <x:c r="E499" s="8" t="str">
        <x:v>OP-1</x:v>
      </x:c>
      <x:c r="F499" s="8" t="n">
        <x:v>1</x:v>
      </x:c>
      <x:c r="G499" s="8" t="str"/>
      <x:c r="H499" s="8" t="str"/>
      <x:c r="I499" s="8" t="str">
        <x:f>IF(H499="","OPEN",IF(NOT(ISNUMBER(G499)),"FAIL","PASS"))</x:f>
        <x:v>OPEN</x:v>
      </x:c>
    </x:row>
    <x:row r="500" ht="25" customHeight="1">
      <x:c r="B500" s="8" t="str">
        <x:v>MP-09-P03-O1-R2</x:v>
      </x:c>
      <x:c r="C500" s="8" t="str">
        <x:v>MP-09</x:v>
      </x:c>
      <x:c r="D500" s="8" t="n">
        <x:v>3</x:v>
      </x:c>
      <x:c r="E500" s="8" t="str">
        <x:v>OP-1</x:v>
      </x:c>
      <x:c r="F500" s="8" t="n">
        <x:v>2</x:v>
      </x:c>
      <x:c r="G500" s="8" t="str"/>
      <x:c r="H500" s="8" t="str"/>
      <x:c r="I500" s="8" t="str">
        <x:f>IF(H500="","OPEN",IF(NOT(ISNUMBER(G500)),"FAIL","PASS"))</x:f>
        <x:v>OPEN</x:v>
      </x:c>
    </x:row>
    <x:row r="501" ht="25" customHeight="1">
      <x:c r="B501" s="8" t="str">
        <x:v>MP-09-P03-O2-R1</x:v>
      </x:c>
      <x:c r="C501" s="8" t="str">
        <x:v>MP-09</x:v>
      </x:c>
      <x:c r="D501" s="8" t="n">
        <x:v>3</x:v>
      </x:c>
      <x:c r="E501" s="8" t="str">
        <x:v>OP-2</x:v>
      </x:c>
      <x:c r="F501" s="8" t="n">
        <x:v>1</x:v>
      </x:c>
      <x:c r="G501" s="8" t="str"/>
      <x:c r="H501" s="8" t="str"/>
      <x:c r="I501" s="8" t="str">
        <x:f>IF(H501="","OPEN",IF(NOT(ISNUMBER(G501)),"FAIL","PASS"))</x:f>
        <x:v>OPEN</x:v>
      </x:c>
    </x:row>
    <x:row r="502" ht="25" customHeight="1">
      <x:c r="B502" s="8" t="str">
        <x:v>MP-09-P03-O2-R2</x:v>
      </x:c>
      <x:c r="C502" s="8" t="str">
        <x:v>MP-09</x:v>
      </x:c>
      <x:c r="D502" s="8" t="n">
        <x:v>3</x:v>
      </x:c>
      <x:c r="E502" s="8" t="str">
        <x:v>OP-2</x:v>
      </x:c>
      <x:c r="F502" s="8" t="n">
        <x:v>2</x:v>
      </x:c>
      <x:c r="G502" s="8" t="str"/>
      <x:c r="H502" s="8" t="str"/>
      <x:c r="I502" s="8" t="str">
        <x:f>IF(H502="","OPEN",IF(NOT(ISNUMBER(G502)),"FAIL","PASS"))</x:f>
        <x:v>OPEN</x:v>
      </x:c>
    </x:row>
    <x:row r="503" ht="25" customHeight="1">
      <x:c r="B503" s="8" t="str">
        <x:v>MP-09-P03-O3-R1</x:v>
      </x:c>
      <x:c r="C503" s="8" t="str">
        <x:v>MP-09</x:v>
      </x:c>
      <x:c r="D503" s="8" t="n">
        <x:v>3</x:v>
      </x:c>
      <x:c r="E503" s="8" t="str">
        <x:v>OP-3</x:v>
      </x:c>
      <x:c r="F503" s="8" t="n">
        <x:v>1</x:v>
      </x:c>
      <x:c r="G503" s="8" t="str"/>
      <x:c r="H503" s="8" t="str"/>
      <x:c r="I503" s="8" t="str">
        <x:f>IF(H503="","OPEN",IF(NOT(ISNUMBER(G503)),"FAIL","PASS"))</x:f>
        <x:v>OPEN</x:v>
      </x:c>
    </x:row>
    <x:row r="504" ht="25" customHeight="1">
      <x:c r="B504" s="8" t="str">
        <x:v>MP-09-P03-O3-R2</x:v>
      </x:c>
      <x:c r="C504" s="8" t="str">
        <x:v>MP-09</x:v>
      </x:c>
      <x:c r="D504" s="8" t="n">
        <x:v>3</x:v>
      </x:c>
      <x:c r="E504" s="8" t="str">
        <x:v>OP-3</x:v>
      </x:c>
      <x:c r="F504" s="8" t="n">
        <x:v>2</x:v>
      </x:c>
      <x:c r="G504" s="8" t="str"/>
      <x:c r="H504" s="8" t="str"/>
      <x:c r="I504" s="8" t="str">
        <x:f>IF(H504="","OPEN",IF(NOT(ISNUMBER(G504)),"FAIL","PASS"))</x:f>
        <x:v>OPEN</x:v>
      </x:c>
    </x:row>
    <x:row r="505" ht="25" customHeight="1">
      <x:c r="B505" s="8" t="str">
        <x:v>MP-09-P04-O1-R1</x:v>
      </x:c>
      <x:c r="C505" s="8" t="str">
        <x:v>MP-09</x:v>
      </x:c>
      <x:c r="D505" s="8" t="n">
        <x:v>4</x:v>
      </x:c>
      <x:c r="E505" s="8" t="str">
        <x:v>OP-1</x:v>
      </x:c>
      <x:c r="F505" s="8" t="n">
        <x:v>1</x:v>
      </x:c>
      <x:c r="G505" s="8" t="str"/>
      <x:c r="H505" s="8" t="str"/>
      <x:c r="I505" s="8" t="str">
        <x:f>IF(H505="","OPEN",IF(NOT(ISNUMBER(G505)),"FAIL","PASS"))</x:f>
        <x:v>OPEN</x:v>
      </x:c>
    </x:row>
    <x:row r="506" ht="25" customHeight="1">
      <x:c r="B506" s="8" t="str">
        <x:v>MP-09-P04-O1-R2</x:v>
      </x:c>
      <x:c r="C506" s="8" t="str">
        <x:v>MP-09</x:v>
      </x:c>
      <x:c r="D506" s="8" t="n">
        <x:v>4</x:v>
      </x:c>
      <x:c r="E506" s="8" t="str">
        <x:v>OP-1</x:v>
      </x:c>
      <x:c r="F506" s="8" t="n">
        <x:v>2</x:v>
      </x:c>
      <x:c r="G506" s="8" t="str"/>
      <x:c r="H506" s="8" t="str"/>
      <x:c r="I506" s="8" t="str">
        <x:f>IF(H506="","OPEN",IF(NOT(ISNUMBER(G506)),"FAIL","PASS"))</x:f>
        <x:v>OPEN</x:v>
      </x:c>
    </x:row>
    <x:row r="507" ht="25" customHeight="1">
      <x:c r="B507" s="8" t="str">
        <x:v>MP-09-P04-O2-R1</x:v>
      </x:c>
      <x:c r="C507" s="8" t="str">
        <x:v>MP-09</x:v>
      </x:c>
      <x:c r="D507" s="8" t="n">
        <x:v>4</x:v>
      </x:c>
      <x:c r="E507" s="8" t="str">
        <x:v>OP-2</x:v>
      </x:c>
      <x:c r="F507" s="8" t="n">
        <x:v>1</x:v>
      </x:c>
      <x:c r="G507" s="8" t="str"/>
      <x:c r="H507" s="8" t="str"/>
      <x:c r="I507" s="8" t="str">
        <x:f>IF(H507="","OPEN",IF(NOT(ISNUMBER(G507)),"FAIL","PASS"))</x:f>
        <x:v>OPEN</x:v>
      </x:c>
    </x:row>
    <x:row r="508" ht="25" customHeight="1">
      <x:c r="B508" s="8" t="str">
        <x:v>MP-09-P04-O2-R2</x:v>
      </x:c>
      <x:c r="C508" s="8" t="str">
        <x:v>MP-09</x:v>
      </x:c>
      <x:c r="D508" s="8" t="n">
        <x:v>4</x:v>
      </x:c>
      <x:c r="E508" s="8" t="str">
        <x:v>OP-2</x:v>
      </x:c>
      <x:c r="F508" s="8" t="n">
        <x:v>2</x:v>
      </x:c>
      <x:c r="G508" s="8" t="str"/>
      <x:c r="H508" s="8" t="str"/>
      <x:c r="I508" s="8" t="str">
        <x:f>IF(H508="","OPEN",IF(NOT(ISNUMBER(G508)),"FAIL","PASS"))</x:f>
        <x:v>OPEN</x:v>
      </x:c>
    </x:row>
    <x:row r="509" ht="25" customHeight="1">
      <x:c r="B509" s="8" t="str">
        <x:v>MP-09-P04-O3-R1</x:v>
      </x:c>
      <x:c r="C509" s="8" t="str">
        <x:v>MP-09</x:v>
      </x:c>
      <x:c r="D509" s="8" t="n">
        <x:v>4</x:v>
      </x:c>
      <x:c r="E509" s="8" t="str">
        <x:v>OP-3</x:v>
      </x:c>
      <x:c r="F509" s="8" t="n">
        <x:v>1</x:v>
      </x:c>
      <x:c r="G509" s="8" t="str"/>
      <x:c r="H509" s="8" t="str"/>
      <x:c r="I509" s="8" t="str">
        <x:f>IF(H509="","OPEN",IF(NOT(ISNUMBER(G509)),"FAIL","PASS"))</x:f>
        <x:v>OPEN</x:v>
      </x:c>
    </x:row>
    <x:row r="510" ht="25" customHeight="1">
      <x:c r="B510" s="8" t="str">
        <x:v>MP-09-P04-O3-R2</x:v>
      </x:c>
      <x:c r="C510" s="8" t="str">
        <x:v>MP-09</x:v>
      </x:c>
      <x:c r="D510" s="8" t="n">
        <x:v>4</x:v>
      </x:c>
      <x:c r="E510" s="8" t="str">
        <x:v>OP-3</x:v>
      </x:c>
      <x:c r="F510" s="8" t="n">
        <x:v>2</x:v>
      </x:c>
      <x:c r="G510" s="8" t="str"/>
      <x:c r="H510" s="8" t="str"/>
      <x:c r="I510" s="8" t="str">
        <x:f>IF(H510="","OPEN",IF(NOT(ISNUMBER(G510)),"FAIL","PASS"))</x:f>
        <x:v>OPEN</x:v>
      </x:c>
    </x:row>
    <x:row r="511" ht="25" customHeight="1">
      <x:c r="B511" s="8" t="str">
        <x:v>MP-09-P05-O1-R1</x:v>
      </x:c>
      <x:c r="C511" s="8" t="str">
        <x:v>MP-09</x:v>
      </x:c>
      <x:c r="D511" s="8" t="n">
        <x:v>5</x:v>
      </x:c>
      <x:c r="E511" s="8" t="str">
        <x:v>OP-1</x:v>
      </x:c>
      <x:c r="F511" s="8" t="n">
        <x:v>1</x:v>
      </x:c>
      <x:c r="G511" s="8" t="str"/>
      <x:c r="H511" s="8" t="str"/>
      <x:c r="I511" s="8" t="str">
        <x:f>IF(H511="","OPEN",IF(NOT(ISNUMBER(G511)),"FAIL","PASS"))</x:f>
        <x:v>OPEN</x:v>
      </x:c>
    </x:row>
    <x:row r="512" ht="25" customHeight="1">
      <x:c r="B512" s="8" t="str">
        <x:v>MP-09-P05-O1-R2</x:v>
      </x:c>
      <x:c r="C512" s="8" t="str">
        <x:v>MP-09</x:v>
      </x:c>
      <x:c r="D512" s="8" t="n">
        <x:v>5</x:v>
      </x:c>
      <x:c r="E512" s="8" t="str">
        <x:v>OP-1</x:v>
      </x:c>
      <x:c r="F512" s="8" t="n">
        <x:v>2</x:v>
      </x:c>
      <x:c r="G512" s="8" t="str"/>
      <x:c r="H512" s="8" t="str"/>
      <x:c r="I512" s="8" t="str">
        <x:f>IF(H512="","OPEN",IF(NOT(ISNUMBER(G512)),"FAIL","PASS"))</x:f>
        <x:v>OPEN</x:v>
      </x:c>
    </x:row>
    <x:row r="513" ht="25" customHeight="1">
      <x:c r="B513" s="8" t="str">
        <x:v>MP-09-P05-O2-R1</x:v>
      </x:c>
      <x:c r="C513" s="8" t="str">
        <x:v>MP-09</x:v>
      </x:c>
      <x:c r="D513" s="8" t="n">
        <x:v>5</x:v>
      </x:c>
      <x:c r="E513" s="8" t="str">
        <x:v>OP-2</x:v>
      </x:c>
      <x:c r="F513" s="8" t="n">
        <x:v>1</x:v>
      </x:c>
      <x:c r="G513" s="8" t="str"/>
      <x:c r="H513" s="8" t="str"/>
      <x:c r="I513" s="8" t="str">
        <x:f>IF(H513="","OPEN",IF(NOT(ISNUMBER(G513)),"FAIL","PASS"))</x:f>
        <x:v>OPEN</x:v>
      </x:c>
    </x:row>
    <x:row r="514" ht="25" customHeight="1">
      <x:c r="B514" s="8" t="str">
        <x:v>MP-09-P05-O2-R2</x:v>
      </x:c>
      <x:c r="C514" s="8" t="str">
        <x:v>MP-09</x:v>
      </x:c>
      <x:c r="D514" s="8" t="n">
        <x:v>5</x:v>
      </x:c>
      <x:c r="E514" s="8" t="str">
        <x:v>OP-2</x:v>
      </x:c>
      <x:c r="F514" s="8" t="n">
        <x:v>2</x:v>
      </x:c>
      <x:c r="G514" s="8" t="str"/>
      <x:c r="H514" s="8" t="str"/>
      <x:c r="I514" s="8" t="str">
        <x:f>IF(H514="","OPEN",IF(NOT(ISNUMBER(G514)),"FAIL","PASS"))</x:f>
        <x:v>OPEN</x:v>
      </x:c>
    </x:row>
    <x:row r="515" ht="25" customHeight="1">
      <x:c r="B515" s="8" t="str">
        <x:v>MP-09-P05-O3-R1</x:v>
      </x:c>
      <x:c r="C515" s="8" t="str">
        <x:v>MP-09</x:v>
      </x:c>
      <x:c r="D515" s="8" t="n">
        <x:v>5</x:v>
      </x:c>
      <x:c r="E515" s="8" t="str">
        <x:v>OP-3</x:v>
      </x:c>
      <x:c r="F515" s="8" t="n">
        <x:v>1</x:v>
      </x:c>
      <x:c r="G515" s="8" t="str"/>
      <x:c r="H515" s="8" t="str"/>
      <x:c r="I515" s="8" t="str">
        <x:f>IF(H515="","OPEN",IF(NOT(ISNUMBER(G515)),"FAIL","PASS"))</x:f>
        <x:v>OPEN</x:v>
      </x:c>
    </x:row>
    <x:row r="516" ht="25" customHeight="1">
      <x:c r="B516" s="8" t="str">
        <x:v>MP-09-P05-O3-R2</x:v>
      </x:c>
      <x:c r="C516" s="8" t="str">
        <x:v>MP-09</x:v>
      </x:c>
      <x:c r="D516" s="8" t="n">
        <x:v>5</x:v>
      </x:c>
      <x:c r="E516" s="8" t="str">
        <x:v>OP-3</x:v>
      </x:c>
      <x:c r="F516" s="8" t="n">
        <x:v>2</x:v>
      </x:c>
      <x:c r="G516" s="8" t="str"/>
      <x:c r="H516" s="8" t="str"/>
      <x:c r="I516" s="8" t="str">
        <x:f>IF(H516="","OPEN",IF(NOT(ISNUMBER(G516)),"FAIL","PASS"))</x:f>
        <x:v>OPEN</x:v>
      </x:c>
    </x:row>
    <x:row r="517" ht="25" customHeight="1">
      <x:c r="B517" s="8" t="str">
        <x:v>MP-09-P06-O1-R1</x:v>
      </x:c>
      <x:c r="C517" s="8" t="str">
        <x:v>MP-09</x:v>
      </x:c>
      <x:c r="D517" s="8" t="n">
        <x:v>6</x:v>
      </x:c>
      <x:c r="E517" s="8" t="str">
        <x:v>OP-1</x:v>
      </x:c>
      <x:c r="F517" s="8" t="n">
        <x:v>1</x:v>
      </x:c>
      <x:c r="G517" s="8" t="str"/>
      <x:c r="H517" s="8" t="str"/>
      <x:c r="I517" s="8" t="str">
        <x:f>IF(H517="","OPEN",IF(NOT(ISNUMBER(G517)),"FAIL","PASS"))</x:f>
        <x:v>OPEN</x:v>
      </x:c>
    </x:row>
    <x:row r="518" ht="25" customHeight="1">
      <x:c r="B518" s="8" t="str">
        <x:v>MP-09-P06-O1-R2</x:v>
      </x:c>
      <x:c r="C518" s="8" t="str">
        <x:v>MP-09</x:v>
      </x:c>
      <x:c r="D518" s="8" t="n">
        <x:v>6</x:v>
      </x:c>
      <x:c r="E518" s="8" t="str">
        <x:v>OP-1</x:v>
      </x:c>
      <x:c r="F518" s="8" t="n">
        <x:v>2</x:v>
      </x:c>
      <x:c r="G518" s="8" t="str"/>
      <x:c r="H518" s="8" t="str"/>
      <x:c r="I518" s="8" t="str">
        <x:f>IF(H518="","OPEN",IF(NOT(ISNUMBER(G518)),"FAIL","PASS"))</x:f>
        <x:v>OPEN</x:v>
      </x:c>
    </x:row>
    <x:row r="519" ht="25" customHeight="1">
      <x:c r="B519" s="8" t="str">
        <x:v>MP-09-P06-O2-R1</x:v>
      </x:c>
      <x:c r="C519" s="8" t="str">
        <x:v>MP-09</x:v>
      </x:c>
      <x:c r="D519" s="8" t="n">
        <x:v>6</x:v>
      </x:c>
      <x:c r="E519" s="8" t="str">
        <x:v>OP-2</x:v>
      </x:c>
      <x:c r="F519" s="8" t="n">
        <x:v>1</x:v>
      </x:c>
      <x:c r="G519" s="8" t="str"/>
      <x:c r="H519" s="8" t="str"/>
      <x:c r="I519" s="8" t="str">
        <x:f>IF(H519="","OPEN",IF(NOT(ISNUMBER(G519)),"FAIL","PASS"))</x:f>
        <x:v>OPEN</x:v>
      </x:c>
    </x:row>
    <x:row r="520" ht="25" customHeight="1">
      <x:c r="B520" s="8" t="str">
        <x:v>MP-09-P06-O2-R2</x:v>
      </x:c>
      <x:c r="C520" s="8" t="str">
        <x:v>MP-09</x:v>
      </x:c>
      <x:c r="D520" s="8" t="n">
        <x:v>6</x:v>
      </x:c>
      <x:c r="E520" s="8" t="str">
        <x:v>OP-2</x:v>
      </x:c>
      <x:c r="F520" s="8" t="n">
        <x:v>2</x:v>
      </x:c>
      <x:c r="G520" s="8" t="str"/>
      <x:c r="H520" s="8" t="str"/>
      <x:c r="I520" s="8" t="str">
        <x:f>IF(H520="","OPEN",IF(NOT(ISNUMBER(G520)),"FAIL","PASS"))</x:f>
        <x:v>OPEN</x:v>
      </x:c>
    </x:row>
    <x:row r="521" ht="25" customHeight="1">
      <x:c r="B521" s="8" t="str">
        <x:v>MP-09-P06-O3-R1</x:v>
      </x:c>
      <x:c r="C521" s="8" t="str">
        <x:v>MP-09</x:v>
      </x:c>
      <x:c r="D521" s="8" t="n">
        <x:v>6</x:v>
      </x:c>
      <x:c r="E521" s="8" t="str">
        <x:v>OP-3</x:v>
      </x:c>
      <x:c r="F521" s="8" t="n">
        <x:v>1</x:v>
      </x:c>
      <x:c r="G521" s="8" t="str"/>
      <x:c r="H521" s="8" t="str"/>
      <x:c r="I521" s="8" t="str">
        <x:f>IF(H521="","OPEN",IF(NOT(ISNUMBER(G521)),"FAIL","PASS"))</x:f>
        <x:v>OPEN</x:v>
      </x:c>
    </x:row>
    <x:row r="522" ht="25" customHeight="1">
      <x:c r="B522" s="8" t="str">
        <x:v>MP-09-P06-O3-R2</x:v>
      </x:c>
      <x:c r="C522" s="8" t="str">
        <x:v>MP-09</x:v>
      </x:c>
      <x:c r="D522" s="8" t="n">
        <x:v>6</x:v>
      </x:c>
      <x:c r="E522" s="8" t="str">
        <x:v>OP-3</x:v>
      </x:c>
      <x:c r="F522" s="8" t="n">
        <x:v>2</x:v>
      </x:c>
      <x:c r="G522" s="8" t="str"/>
      <x:c r="H522" s="8" t="str"/>
      <x:c r="I522" s="8" t="str">
        <x:f>IF(H522="","OPEN",IF(NOT(ISNUMBER(G522)),"FAIL","PASS"))</x:f>
        <x:v>OPEN</x:v>
      </x:c>
    </x:row>
    <x:row r="523" ht="25" customHeight="1">
      <x:c r="B523" s="8" t="str">
        <x:v>MP-09-P07-O1-R1</x:v>
      </x:c>
      <x:c r="C523" s="8" t="str">
        <x:v>MP-09</x:v>
      </x:c>
      <x:c r="D523" s="8" t="n">
        <x:v>7</x:v>
      </x:c>
      <x:c r="E523" s="8" t="str">
        <x:v>OP-1</x:v>
      </x:c>
      <x:c r="F523" s="8" t="n">
        <x:v>1</x:v>
      </x:c>
      <x:c r="G523" s="8" t="str"/>
      <x:c r="H523" s="8" t="str"/>
      <x:c r="I523" s="8" t="str">
        <x:f>IF(H523="","OPEN",IF(NOT(ISNUMBER(G523)),"FAIL","PASS"))</x:f>
        <x:v>OPEN</x:v>
      </x:c>
    </x:row>
    <x:row r="524" ht="25" customHeight="1">
      <x:c r="B524" s="8" t="str">
        <x:v>MP-09-P07-O1-R2</x:v>
      </x:c>
      <x:c r="C524" s="8" t="str">
        <x:v>MP-09</x:v>
      </x:c>
      <x:c r="D524" s="8" t="n">
        <x:v>7</x:v>
      </x:c>
      <x:c r="E524" s="8" t="str">
        <x:v>OP-1</x:v>
      </x:c>
      <x:c r="F524" s="8" t="n">
        <x:v>2</x:v>
      </x:c>
      <x:c r="G524" s="8" t="str"/>
      <x:c r="H524" s="8" t="str"/>
      <x:c r="I524" s="8" t="str">
        <x:f>IF(H524="","OPEN",IF(NOT(ISNUMBER(G524)),"FAIL","PASS"))</x:f>
        <x:v>OPEN</x:v>
      </x:c>
    </x:row>
    <x:row r="525" ht="25" customHeight="1">
      <x:c r="B525" s="8" t="str">
        <x:v>MP-09-P07-O2-R1</x:v>
      </x:c>
      <x:c r="C525" s="8" t="str">
        <x:v>MP-09</x:v>
      </x:c>
      <x:c r="D525" s="8" t="n">
        <x:v>7</x:v>
      </x:c>
      <x:c r="E525" s="8" t="str">
        <x:v>OP-2</x:v>
      </x:c>
      <x:c r="F525" s="8" t="n">
        <x:v>1</x:v>
      </x:c>
      <x:c r="G525" s="8" t="str"/>
      <x:c r="H525" s="8" t="str"/>
      <x:c r="I525" s="8" t="str">
        <x:f>IF(H525="","OPEN",IF(NOT(ISNUMBER(G525)),"FAIL","PASS"))</x:f>
        <x:v>OPEN</x:v>
      </x:c>
    </x:row>
    <x:row r="526" ht="25" customHeight="1">
      <x:c r="B526" s="8" t="str">
        <x:v>MP-09-P07-O2-R2</x:v>
      </x:c>
      <x:c r="C526" s="8" t="str">
        <x:v>MP-09</x:v>
      </x:c>
      <x:c r="D526" s="8" t="n">
        <x:v>7</x:v>
      </x:c>
      <x:c r="E526" s="8" t="str">
        <x:v>OP-2</x:v>
      </x:c>
      <x:c r="F526" s="8" t="n">
        <x:v>2</x:v>
      </x:c>
      <x:c r="G526" s="8" t="str"/>
      <x:c r="H526" s="8" t="str"/>
      <x:c r="I526" s="8" t="str">
        <x:f>IF(H526="","OPEN",IF(NOT(ISNUMBER(G526)),"FAIL","PASS"))</x:f>
        <x:v>OPEN</x:v>
      </x:c>
    </x:row>
    <x:row r="527" ht="25" customHeight="1">
      <x:c r="B527" s="8" t="str">
        <x:v>MP-09-P07-O3-R1</x:v>
      </x:c>
      <x:c r="C527" s="8" t="str">
        <x:v>MP-09</x:v>
      </x:c>
      <x:c r="D527" s="8" t="n">
        <x:v>7</x:v>
      </x:c>
      <x:c r="E527" s="8" t="str">
        <x:v>OP-3</x:v>
      </x:c>
      <x:c r="F527" s="8" t="n">
        <x:v>1</x:v>
      </x:c>
      <x:c r="G527" s="8" t="str"/>
      <x:c r="H527" s="8" t="str"/>
      <x:c r="I527" s="8" t="str">
        <x:f>IF(H527="","OPEN",IF(NOT(ISNUMBER(G527)),"FAIL","PASS"))</x:f>
        <x:v>OPEN</x:v>
      </x:c>
    </x:row>
    <x:row r="528" ht="25" customHeight="1">
      <x:c r="B528" s="8" t="str">
        <x:v>MP-09-P07-O3-R2</x:v>
      </x:c>
      <x:c r="C528" s="8" t="str">
        <x:v>MP-09</x:v>
      </x:c>
      <x:c r="D528" s="8" t="n">
        <x:v>7</x:v>
      </x:c>
      <x:c r="E528" s="8" t="str">
        <x:v>OP-3</x:v>
      </x:c>
      <x:c r="F528" s="8" t="n">
        <x:v>2</x:v>
      </x:c>
      <x:c r="G528" s="8" t="str"/>
      <x:c r="H528" s="8" t="str"/>
      <x:c r="I528" s="8" t="str">
        <x:f>IF(H528="","OPEN",IF(NOT(ISNUMBER(G528)),"FAIL","PASS"))</x:f>
        <x:v>OPEN</x:v>
      </x:c>
    </x:row>
    <x:row r="529" ht="25" customHeight="1">
      <x:c r="B529" s="8" t="str">
        <x:v>MP-09-P08-O1-R1</x:v>
      </x:c>
      <x:c r="C529" s="8" t="str">
        <x:v>MP-09</x:v>
      </x:c>
      <x:c r="D529" s="8" t="n">
        <x:v>8</x:v>
      </x:c>
      <x:c r="E529" s="8" t="str">
        <x:v>OP-1</x:v>
      </x:c>
      <x:c r="F529" s="8" t="n">
        <x:v>1</x:v>
      </x:c>
      <x:c r="G529" s="8" t="str"/>
      <x:c r="H529" s="8" t="str"/>
      <x:c r="I529" s="8" t="str">
        <x:f>IF(H529="","OPEN",IF(NOT(ISNUMBER(G529)),"FAIL","PASS"))</x:f>
        <x:v>OPEN</x:v>
      </x:c>
    </x:row>
    <x:row r="530" ht="25" customHeight="1">
      <x:c r="B530" s="8" t="str">
        <x:v>MP-09-P08-O1-R2</x:v>
      </x:c>
      <x:c r="C530" s="8" t="str">
        <x:v>MP-09</x:v>
      </x:c>
      <x:c r="D530" s="8" t="n">
        <x:v>8</x:v>
      </x:c>
      <x:c r="E530" s="8" t="str">
        <x:v>OP-1</x:v>
      </x:c>
      <x:c r="F530" s="8" t="n">
        <x:v>2</x:v>
      </x:c>
      <x:c r="G530" s="8" t="str"/>
      <x:c r="H530" s="8" t="str"/>
      <x:c r="I530" s="8" t="str">
        <x:f>IF(H530="","OPEN",IF(NOT(ISNUMBER(G530)),"FAIL","PASS"))</x:f>
        <x:v>OPEN</x:v>
      </x:c>
    </x:row>
    <x:row r="531" ht="25" customHeight="1">
      <x:c r="B531" s="8" t="str">
        <x:v>MP-09-P08-O2-R1</x:v>
      </x:c>
      <x:c r="C531" s="8" t="str">
        <x:v>MP-09</x:v>
      </x:c>
      <x:c r="D531" s="8" t="n">
        <x:v>8</x:v>
      </x:c>
      <x:c r="E531" s="8" t="str">
        <x:v>OP-2</x:v>
      </x:c>
      <x:c r="F531" s="8" t="n">
        <x:v>1</x:v>
      </x:c>
      <x:c r="G531" s="8" t="str"/>
      <x:c r="H531" s="8" t="str"/>
      <x:c r="I531" s="8" t="str">
        <x:f>IF(H531="","OPEN",IF(NOT(ISNUMBER(G531)),"FAIL","PASS"))</x:f>
        <x:v>OPEN</x:v>
      </x:c>
    </x:row>
    <x:row r="532" ht="25" customHeight="1">
      <x:c r="B532" s="8" t="str">
        <x:v>MP-09-P08-O2-R2</x:v>
      </x:c>
      <x:c r="C532" s="8" t="str">
        <x:v>MP-09</x:v>
      </x:c>
      <x:c r="D532" s="8" t="n">
        <x:v>8</x:v>
      </x:c>
      <x:c r="E532" s="8" t="str">
        <x:v>OP-2</x:v>
      </x:c>
      <x:c r="F532" s="8" t="n">
        <x:v>2</x:v>
      </x:c>
      <x:c r="G532" s="8" t="str"/>
      <x:c r="H532" s="8" t="str"/>
      <x:c r="I532" s="8" t="str">
        <x:f>IF(H532="","OPEN",IF(NOT(ISNUMBER(G532)),"FAIL","PASS"))</x:f>
        <x:v>OPEN</x:v>
      </x:c>
    </x:row>
    <x:row r="533" ht="25" customHeight="1">
      <x:c r="B533" s="8" t="str">
        <x:v>MP-09-P08-O3-R1</x:v>
      </x:c>
      <x:c r="C533" s="8" t="str">
        <x:v>MP-09</x:v>
      </x:c>
      <x:c r="D533" s="8" t="n">
        <x:v>8</x:v>
      </x:c>
      <x:c r="E533" s="8" t="str">
        <x:v>OP-3</x:v>
      </x:c>
      <x:c r="F533" s="8" t="n">
        <x:v>1</x:v>
      </x:c>
      <x:c r="G533" s="8" t="str"/>
      <x:c r="H533" s="8" t="str"/>
      <x:c r="I533" s="8" t="str">
        <x:f>IF(H533="","OPEN",IF(NOT(ISNUMBER(G533)),"FAIL","PASS"))</x:f>
        <x:v>OPEN</x:v>
      </x:c>
    </x:row>
    <x:row r="534" ht="25" customHeight="1">
      <x:c r="B534" s="8" t="str">
        <x:v>MP-09-P08-O3-R2</x:v>
      </x:c>
      <x:c r="C534" s="8" t="str">
        <x:v>MP-09</x:v>
      </x:c>
      <x:c r="D534" s="8" t="n">
        <x:v>8</x:v>
      </x:c>
      <x:c r="E534" s="8" t="str">
        <x:v>OP-3</x:v>
      </x:c>
      <x:c r="F534" s="8" t="n">
        <x:v>2</x:v>
      </x:c>
      <x:c r="G534" s="8" t="str"/>
      <x:c r="H534" s="8" t="str"/>
      <x:c r="I534" s="8" t="str">
        <x:f>IF(H534="","OPEN",IF(NOT(ISNUMBER(G534)),"FAIL","PASS"))</x:f>
        <x:v>OPEN</x:v>
      </x:c>
    </x:row>
    <x:row r="535" ht="25" customHeight="1">
      <x:c r="B535" s="8" t="str">
        <x:v>MP-09-P09-O1-R1</x:v>
      </x:c>
      <x:c r="C535" s="8" t="str">
        <x:v>MP-09</x:v>
      </x:c>
      <x:c r="D535" s="8" t="n">
        <x:v>9</x:v>
      </x:c>
      <x:c r="E535" s="8" t="str">
        <x:v>OP-1</x:v>
      </x:c>
      <x:c r="F535" s="8" t="n">
        <x:v>1</x:v>
      </x:c>
      <x:c r="G535" s="8" t="str"/>
      <x:c r="H535" s="8" t="str"/>
      <x:c r="I535" s="8" t="str">
        <x:f>IF(H535="","OPEN",IF(NOT(ISNUMBER(G535)),"FAIL","PASS"))</x:f>
        <x:v>OPEN</x:v>
      </x:c>
    </x:row>
    <x:row r="536" ht="25" customHeight="1">
      <x:c r="B536" s="8" t="str">
        <x:v>MP-09-P09-O1-R2</x:v>
      </x:c>
      <x:c r="C536" s="8" t="str">
        <x:v>MP-09</x:v>
      </x:c>
      <x:c r="D536" s="8" t="n">
        <x:v>9</x:v>
      </x:c>
      <x:c r="E536" s="8" t="str">
        <x:v>OP-1</x:v>
      </x:c>
      <x:c r="F536" s="8" t="n">
        <x:v>2</x:v>
      </x:c>
      <x:c r="G536" s="8" t="str"/>
      <x:c r="H536" s="8" t="str"/>
      <x:c r="I536" s="8" t="str">
        <x:f>IF(H536="","OPEN",IF(NOT(ISNUMBER(G536)),"FAIL","PASS"))</x:f>
        <x:v>OPEN</x:v>
      </x:c>
    </x:row>
    <x:row r="537" ht="25" customHeight="1">
      <x:c r="B537" s="8" t="str">
        <x:v>MP-09-P09-O2-R1</x:v>
      </x:c>
      <x:c r="C537" s="8" t="str">
        <x:v>MP-09</x:v>
      </x:c>
      <x:c r="D537" s="8" t="n">
        <x:v>9</x:v>
      </x:c>
      <x:c r="E537" s="8" t="str">
        <x:v>OP-2</x:v>
      </x:c>
      <x:c r="F537" s="8" t="n">
        <x:v>1</x:v>
      </x:c>
      <x:c r="G537" s="8" t="str"/>
      <x:c r="H537" s="8" t="str"/>
      <x:c r="I537" s="8" t="str">
        <x:f>IF(H537="","OPEN",IF(NOT(ISNUMBER(G537)),"FAIL","PASS"))</x:f>
        <x:v>OPEN</x:v>
      </x:c>
    </x:row>
    <x:row r="538" ht="25" customHeight="1">
      <x:c r="B538" s="8" t="str">
        <x:v>MP-09-P09-O2-R2</x:v>
      </x:c>
      <x:c r="C538" s="8" t="str">
        <x:v>MP-09</x:v>
      </x:c>
      <x:c r="D538" s="8" t="n">
        <x:v>9</x:v>
      </x:c>
      <x:c r="E538" s="8" t="str">
        <x:v>OP-2</x:v>
      </x:c>
      <x:c r="F538" s="8" t="n">
        <x:v>2</x:v>
      </x:c>
      <x:c r="G538" s="8" t="str"/>
      <x:c r="H538" s="8" t="str"/>
      <x:c r="I538" s="8" t="str">
        <x:f>IF(H538="","OPEN",IF(NOT(ISNUMBER(G538)),"FAIL","PASS"))</x:f>
        <x:v>OPEN</x:v>
      </x:c>
    </x:row>
    <x:row r="539" ht="25" customHeight="1">
      <x:c r="B539" s="8" t="str">
        <x:v>MP-09-P09-O3-R1</x:v>
      </x:c>
      <x:c r="C539" s="8" t="str">
        <x:v>MP-09</x:v>
      </x:c>
      <x:c r="D539" s="8" t="n">
        <x:v>9</x:v>
      </x:c>
      <x:c r="E539" s="8" t="str">
        <x:v>OP-3</x:v>
      </x:c>
      <x:c r="F539" s="8" t="n">
        <x:v>1</x:v>
      </x:c>
      <x:c r="G539" s="8" t="str"/>
      <x:c r="H539" s="8" t="str"/>
      <x:c r="I539" s="8" t="str">
        <x:f>IF(H539="","OPEN",IF(NOT(ISNUMBER(G539)),"FAIL","PASS"))</x:f>
        <x:v>OPEN</x:v>
      </x:c>
    </x:row>
    <x:row r="540" ht="25" customHeight="1">
      <x:c r="B540" s="8" t="str">
        <x:v>MP-09-P09-O3-R2</x:v>
      </x:c>
      <x:c r="C540" s="8" t="str">
        <x:v>MP-09</x:v>
      </x:c>
      <x:c r="D540" s="8" t="n">
        <x:v>9</x:v>
      </x:c>
      <x:c r="E540" s="8" t="str">
        <x:v>OP-3</x:v>
      </x:c>
      <x:c r="F540" s="8" t="n">
        <x:v>2</x:v>
      </x:c>
      <x:c r="G540" s="8" t="str"/>
      <x:c r="H540" s="8" t="str"/>
      <x:c r="I540" s="8" t="str">
        <x:f>IF(H540="","OPEN",IF(NOT(ISNUMBER(G540)),"FAIL","PASS"))</x:f>
        <x:v>OPEN</x:v>
      </x:c>
    </x:row>
    <x:row r="541" ht="25" customHeight="1">
      <x:c r="B541" s="8" t="str">
        <x:v>MP-09-P10-O1-R1</x:v>
      </x:c>
      <x:c r="C541" s="8" t="str">
        <x:v>MP-09</x:v>
      </x:c>
      <x:c r="D541" s="8" t="n">
        <x:v>10</x:v>
      </x:c>
      <x:c r="E541" s="8" t="str">
        <x:v>OP-1</x:v>
      </x:c>
      <x:c r="F541" s="8" t="n">
        <x:v>1</x:v>
      </x:c>
      <x:c r="G541" s="8" t="str"/>
      <x:c r="H541" s="8" t="str"/>
      <x:c r="I541" s="8" t="str">
        <x:f>IF(H541="","OPEN",IF(NOT(ISNUMBER(G541)),"FAIL","PASS"))</x:f>
        <x:v>OPEN</x:v>
      </x:c>
    </x:row>
    <x:row r="542" ht="25" customHeight="1">
      <x:c r="B542" s="8" t="str">
        <x:v>MP-09-P10-O1-R2</x:v>
      </x:c>
      <x:c r="C542" s="8" t="str">
        <x:v>MP-09</x:v>
      </x:c>
      <x:c r="D542" s="8" t="n">
        <x:v>10</x:v>
      </x:c>
      <x:c r="E542" s="8" t="str">
        <x:v>OP-1</x:v>
      </x:c>
      <x:c r="F542" s="8" t="n">
        <x:v>2</x:v>
      </x:c>
      <x:c r="G542" s="8" t="str"/>
      <x:c r="H542" s="8" t="str"/>
      <x:c r="I542" s="8" t="str">
        <x:f>IF(H542="","OPEN",IF(NOT(ISNUMBER(G542)),"FAIL","PASS"))</x:f>
        <x:v>OPEN</x:v>
      </x:c>
    </x:row>
    <x:row r="543" ht="25" customHeight="1">
      <x:c r="B543" s="8" t="str">
        <x:v>MP-09-P10-O2-R1</x:v>
      </x:c>
      <x:c r="C543" s="8" t="str">
        <x:v>MP-09</x:v>
      </x:c>
      <x:c r="D543" s="8" t="n">
        <x:v>10</x:v>
      </x:c>
      <x:c r="E543" s="8" t="str">
        <x:v>OP-2</x:v>
      </x:c>
      <x:c r="F543" s="8" t="n">
        <x:v>1</x:v>
      </x:c>
      <x:c r="G543" s="8" t="str"/>
      <x:c r="H543" s="8" t="str"/>
      <x:c r="I543" s="8" t="str">
        <x:f>IF(H543="","OPEN",IF(NOT(ISNUMBER(G543)),"FAIL","PASS"))</x:f>
        <x:v>OPEN</x:v>
      </x:c>
    </x:row>
    <x:row r="544" ht="25" customHeight="1">
      <x:c r="B544" s="8" t="str">
        <x:v>MP-09-P10-O2-R2</x:v>
      </x:c>
      <x:c r="C544" s="8" t="str">
        <x:v>MP-09</x:v>
      </x:c>
      <x:c r="D544" s="8" t="n">
        <x:v>10</x:v>
      </x:c>
      <x:c r="E544" s="8" t="str">
        <x:v>OP-2</x:v>
      </x:c>
      <x:c r="F544" s="8" t="n">
        <x:v>2</x:v>
      </x:c>
      <x:c r="G544" s="8" t="str"/>
      <x:c r="H544" s="8" t="str"/>
      <x:c r="I544" s="8" t="str">
        <x:f>IF(H544="","OPEN",IF(NOT(ISNUMBER(G544)),"FAIL","PASS"))</x:f>
        <x:v>OPEN</x:v>
      </x:c>
    </x:row>
    <x:row r="545" ht="25" customHeight="1">
      <x:c r="B545" s="8" t="str">
        <x:v>MP-09-P10-O3-R1</x:v>
      </x:c>
      <x:c r="C545" s="8" t="str">
        <x:v>MP-09</x:v>
      </x:c>
      <x:c r="D545" s="8" t="n">
        <x:v>10</x:v>
      </x:c>
      <x:c r="E545" s="8" t="str">
        <x:v>OP-3</x:v>
      </x:c>
      <x:c r="F545" s="8" t="n">
        <x:v>1</x:v>
      </x:c>
      <x:c r="G545" s="8" t="str"/>
      <x:c r="H545" s="8" t="str"/>
      <x:c r="I545" s="8" t="str">
        <x:f>IF(H545="","OPEN",IF(NOT(ISNUMBER(G545)),"FAIL","PASS"))</x:f>
        <x:v>OPEN</x:v>
      </x:c>
    </x:row>
    <x:row r="546" ht="25" customHeight="1">
      <x:c r="B546" s="8" t="str">
        <x:v>MP-09-P10-O3-R2</x:v>
      </x:c>
      <x:c r="C546" s="8" t="str">
        <x:v>MP-09</x:v>
      </x:c>
      <x:c r="D546" s="8" t="n">
        <x:v>10</x:v>
      </x:c>
      <x:c r="E546" s="8" t="str">
        <x:v>OP-3</x:v>
      </x:c>
      <x:c r="F546" s="8" t="n">
        <x:v>2</x:v>
      </x:c>
      <x:c r="G546" s="8" t="str"/>
      <x:c r="H546" s="8" t="str"/>
      <x:c r="I546" s="8" t="str">
        <x:f>IF(H546="","OPEN",IF(NOT(ISNUMBER(G546)),"FAIL","PASS"))</x:f>
        <x:v>OPEN</x:v>
      </x:c>
    </x:row>
    <x:row r="547" ht="25" customHeight="1">
      <x:c r="B547" s="8" t="str">
        <x:v>MP-10-P01-O1-R1</x:v>
      </x:c>
      <x:c r="C547" s="8" t="str">
        <x:v>MP-10</x:v>
      </x:c>
      <x:c r="D547" s="8" t="n">
        <x:v>1</x:v>
      </x:c>
      <x:c r="E547" s="8" t="str">
        <x:v>OP-1</x:v>
      </x:c>
      <x:c r="F547" s="8" t="n">
        <x:v>1</x:v>
      </x:c>
      <x:c r="G547" s="8" t="str"/>
      <x:c r="H547" s="8" t="str"/>
      <x:c r="I547" s="8" t="str">
        <x:f>IF(H547="","OPEN",IF(NOT(ISNUMBER(G547)),"FAIL","PASS"))</x:f>
        <x:v>OPEN</x:v>
      </x:c>
    </x:row>
    <x:row r="548" ht="25" customHeight="1">
      <x:c r="B548" s="8" t="str">
        <x:v>MP-10-P01-O1-R2</x:v>
      </x:c>
      <x:c r="C548" s="8" t="str">
        <x:v>MP-10</x:v>
      </x:c>
      <x:c r="D548" s="8" t="n">
        <x:v>1</x:v>
      </x:c>
      <x:c r="E548" s="8" t="str">
        <x:v>OP-1</x:v>
      </x:c>
      <x:c r="F548" s="8" t="n">
        <x:v>2</x:v>
      </x:c>
      <x:c r="G548" s="8" t="str"/>
      <x:c r="H548" s="8" t="str"/>
      <x:c r="I548" s="8" t="str">
        <x:f>IF(H548="","OPEN",IF(NOT(ISNUMBER(G548)),"FAIL","PASS"))</x:f>
        <x:v>OPEN</x:v>
      </x:c>
    </x:row>
    <x:row r="549" ht="25" customHeight="1">
      <x:c r="B549" s="8" t="str">
        <x:v>MP-10-P01-O2-R1</x:v>
      </x:c>
      <x:c r="C549" s="8" t="str">
        <x:v>MP-10</x:v>
      </x:c>
      <x:c r="D549" s="8" t="n">
        <x:v>1</x:v>
      </x:c>
      <x:c r="E549" s="8" t="str">
        <x:v>OP-2</x:v>
      </x:c>
      <x:c r="F549" s="8" t="n">
        <x:v>1</x:v>
      </x:c>
      <x:c r="G549" s="8" t="str"/>
      <x:c r="H549" s="8" t="str"/>
      <x:c r="I549" s="8" t="str">
        <x:f>IF(H549="","OPEN",IF(NOT(ISNUMBER(G549)),"FAIL","PASS"))</x:f>
        <x:v>OPEN</x:v>
      </x:c>
    </x:row>
    <x:row r="550" ht="25" customHeight="1">
      <x:c r="B550" s="8" t="str">
        <x:v>MP-10-P01-O2-R2</x:v>
      </x:c>
      <x:c r="C550" s="8" t="str">
        <x:v>MP-10</x:v>
      </x:c>
      <x:c r="D550" s="8" t="n">
        <x:v>1</x:v>
      </x:c>
      <x:c r="E550" s="8" t="str">
        <x:v>OP-2</x:v>
      </x:c>
      <x:c r="F550" s="8" t="n">
        <x:v>2</x:v>
      </x:c>
      <x:c r="G550" s="8" t="str"/>
      <x:c r="H550" s="8" t="str"/>
      <x:c r="I550" s="8" t="str">
        <x:f>IF(H550="","OPEN",IF(NOT(ISNUMBER(G550)),"FAIL","PASS"))</x:f>
        <x:v>OPEN</x:v>
      </x:c>
    </x:row>
    <x:row r="551" ht="25" customHeight="1">
      <x:c r="B551" s="8" t="str">
        <x:v>MP-10-P01-O3-R1</x:v>
      </x:c>
      <x:c r="C551" s="8" t="str">
        <x:v>MP-10</x:v>
      </x:c>
      <x:c r="D551" s="8" t="n">
        <x:v>1</x:v>
      </x:c>
      <x:c r="E551" s="8" t="str">
        <x:v>OP-3</x:v>
      </x:c>
      <x:c r="F551" s="8" t="n">
        <x:v>1</x:v>
      </x:c>
      <x:c r="G551" s="8" t="str"/>
      <x:c r="H551" s="8" t="str"/>
      <x:c r="I551" s="8" t="str">
        <x:f>IF(H551="","OPEN",IF(NOT(ISNUMBER(G551)),"FAIL","PASS"))</x:f>
        <x:v>OPEN</x:v>
      </x:c>
    </x:row>
    <x:row r="552" ht="25" customHeight="1">
      <x:c r="B552" s="8" t="str">
        <x:v>MP-10-P01-O3-R2</x:v>
      </x:c>
      <x:c r="C552" s="8" t="str">
        <x:v>MP-10</x:v>
      </x:c>
      <x:c r="D552" s="8" t="n">
        <x:v>1</x:v>
      </x:c>
      <x:c r="E552" s="8" t="str">
        <x:v>OP-3</x:v>
      </x:c>
      <x:c r="F552" s="8" t="n">
        <x:v>2</x:v>
      </x:c>
      <x:c r="G552" s="8" t="str"/>
      <x:c r="H552" s="8" t="str"/>
      <x:c r="I552" s="8" t="str">
        <x:f>IF(H552="","OPEN",IF(NOT(ISNUMBER(G552)),"FAIL","PASS"))</x:f>
        <x:v>OPEN</x:v>
      </x:c>
    </x:row>
    <x:row r="553" ht="25" customHeight="1">
      <x:c r="B553" s="8" t="str">
        <x:v>MP-10-P02-O1-R1</x:v>
      </x:c>
      <x:c r="C553" s="8" t="str">
        <x:v>MP-10</x:v>
      </x:c>
      <x:c r="D553" s="8" t="n">
        <x:v>2</x:v>
      </x:c>
      <x:c r="E553" s="8" t="str">
        <x:v>OP-1</x:v>
      </x:c>
      <x:c r="F553" s="8" t="n">
        <x:v>1</x:v>
      </x:c>
      <x:c r="G553" s="8" t="str"/>
      <x:c r="H553" s="8" t="str"/>
      <x:c r="I553" s="8" t="str">
        <x:f>IF(H553="","OPEN",IF(NOT(ISNUMBER(G553)),"FAIL","PASS"))</x:f>
        <x:v>OPEN</x:v>
      </x:c>
    </x:row>
    <x:row r="554" ht="25" customHeight="1">
      <x:c r="B554" s="8" t="str">
        <x:v>MP-10-P02-O1-R2</x:v>
      </x:c>
      <x:c r="C554" s="8" t="str">
        <x:v>MP-10</x:v>
      </x:c>
      <x:c r="D554" s="8" t="n">
        <x:v>2</x:v>
      </x:c>
      <x:c r="E554" s="8" t="str">
        <x:v>OP-1</x:v>
      </x:c>
      <x:c r="F554" s="8" t="n">
        <x:v>2</x:v>
      </x:c>
      <x:c r="G554" s="8" t="str"/>
      <x:c r="H554" s="8" t="str"/>
      <x:c r="I554" s="8" t="str">
        <x:f>IF(H554="","OPEN",IF(NOT(ISNUMBER(G554)),"FAIL","PASS"))</x:f>
        <x:v>OPEN</x:v>
      </x:c>
    </x:row>
    <x:row r="555" ht="25" customHeight="1">
      <x:c r="B555" s="8" t="str">
        <x:v>MP-10-P02-O2-R1</x:v>
      </x:c>
      <x:c r="C555" s="8" t="str">
        <x:v>MP-10</x:v>
      </x:c>
      <x:c r="D555" s="8" t="n">
        <x:v>2</x:v>
      </x:c>
      <x:c r="E555" s="8" t="str">
        <x:v>OP-2</x:v>
      </x:c>
      <x:c r="F555" s="8" t="n">
        <x:v>1</x:v>
      </x:c>
      <x:c r="G555" s="8" t="str"/>
      <x:c r="H555" s="8" t="str"/>
      <x:c r="I555" s="8" t="str">
        <x:f>IF(H555="","OPEN",IF(NOT(ISNUMBER(G555)),"FAIL","PASS"))</x:f>
        <x:v>OPEN</x:v>
      </x:c>
    </x:row>
    <x:row r="556" ht="25" customHeight="1">
      <x:c r="B556" s="8" t="str">
        <x:v>MP-10-P02-O2-R2</x:v>
      </x:c>
      <x:c r="C556" s="8" t="str">
        <x:v>MP-10</x:v>
      </x:c>
      <x:c r="D556" s="8" t="n">
        <x:v>2</x:v>
      </x:c>
      <x:c r="E556" s="8" t="str">
        <x:v>OP-2</x:v>
      </x:c>
      <x:c r="F556" s="8" t="n">
        <x:v>2</x:v>
      </x:c>
      <x:c r="G556" s="8" t="str"/>
      <x:c r="H556" s="8" t="str"/>
      <x:c r="I556" s="8" t="str">
        <x:f>IF(H556="","OPEN",IF(NOT(ISNUMBER(G556)),"FAIL","PASS"))</x:f>
        <x:v>OPEN</x:v>
      </x:c>
    </x:row>
    <x:row r="557" ht="25" customHeight="1">
      <x:c r="B557" s="8" t="str">
        <x:v>MP-10-P02-O3-R1</x:v>
      </x:c>
      <x:c r="C557" s="8" t="str">
        <x:v>MP-10</x:v>
      </x:c>
      <x:c r="D557" s="8" t="n">
        <x:v>2</x:v>
      </x:c>
      <x:c r="E557" s="8" t="str">
        <x:v>OP-3</x:v>
      </x:c>
      <x:c r="F557" s="8" t="n">
        <x:v>1</x:v>
      </x:c>
      <x:c r="G557" s="8" t="str"/>
      <x:c r="H557" s="8" t="str"/>
      <x:c r="I557" s="8" t="str">
        <x:f>IF(H557="","OPEN",IF(NOT(ISNUMBER(G557)),"FAIL","PASS"))</x:f>
        <x:v>OPEN</x:v>
      </x:c>
    </x:row>
    <x:row r="558" ht="25" customHeight="1">
      <x:c r="B558" s="8" t="str">
        <x:v>MP-10-P02-O3-R2</x:v>
      </x:c>
      <x:c r="C558" s="8" t="str">
        <x:v>MP-10</x:v>
      </x:c>
      <x:c r="D558" s="8" t="n">
        <x:v>2</x:v>
      </x:c>
      <x:c r="E558" s="8" t="str">
        <x:v>OP-3</x:v>
      </x:c>
      <x:c r="F558" s="8" t="n">
        <x:v>2</x:v>
      </x:c>
      <x:c r="G558" s="8" t="str"/>
      <x:c r="H558" s="8" t="str"/>
      <x:c r="I558" s="8" t="str">
        <x:f>IF(H558="","OPEN",IF(NOT(ISNUMBER(G558)),"FAIL","PASS"))</x:f>
        <x:v>OPEN</x:v>
      </x:c>
    </x:row>
    <x:row r="559" ht="25" customHeight="1">
      <x:c r="B559" s="8" t="str">
        <x:v>MP-10-P03-O1-R1</x:v>
      </x:c>
      <x:c r="C559" s="8" t="str">
        <x:v>MP-10</x:v>
      </x:c>
      <x:c r="D559" s="8" t="n">
        <x:v>3</x:v>
      </x:c>
      <x:c r="E559" s="8" t="str">
        <x:v>OP-1</x:v>
      </x:c>
      <x:c r="F559" s="8" t="n">
        <x:v>1</x:v>
      </x:c>
      <x:c r="G559" s="8" t="str"/>
      <x:c r="H559" s="8" t="str"/>
      <x:c r="I559" s="8" t="str">
        <x:f>IF(H559="","OPEN",IF(NOT(ISNUMBER(G559)),"FAIL","PASS"))</x:f>
        <x:v>OPEN</x:v>
      </x:c>
    </x:row>
    <x:row r="560" ht="25" customHeight="1">
      <x:c r="B560" s="8" t="str">
        <x:v>MP-10-P03-O1-R2</x:v>
      </x:c>
      <x:c r="C560" s="8" t="str">
        <x:v>MP-10</x:v>
      </x:c>
      <x:c r="D560" s="8" t="n">
        <x:v>3</x:v>
      </x:c>
      <x:c r="E560" s="8" t="str">
        <x:v>OP-1</x:v>
      </x:c>
      <x:c r="F560" s="8" t="n">
        <x:v>2</x:v>
      </x:c>
      <x:c r="G560" s="8" t="str"/>
      <x:c r="H560" s="8" t="str"/>
      <x:c r="I560" s="8" t="str">
        <x:f>IF(H560="","OPEN",IF(NOT(ISNUMBER(G560)),"FAIL","PASS"))</x:f>
        <x:v>OPEN</x:v>
      </x:c>
    </x:row>
    <x:row r="561" ht="25" customHeight="1">
      <x:c r="B561" s="8" t="str">
        <x:v>MP-10-P03-O2-R1</x:v>
      </x:c>
      <x:c r="C561" s="8" t="str">
        <x:v>MP-10</x:v>
      </x:c>
      <x:c r="D561" s="8" t="n">
        <x:v>3</x:v>
      </x:c>
      <x:c r="E561" s="8" t="str">
        <x:v>OP-2</x:v>
      </x:c>
      <x:c r="F561" s="8" t="n">
        <x:v>1</x:v>
      </x:c>
      <x:c r="G561" s="8" t="str"/>
      <x:c r="H561" s="8" t="str"/>
      <x:c r="I561" s="8" t="str">
        <x:f>IF(H561="","OPEN",IF(NOT(ISNUMBER(G561)),"FAIL","PASS"))</x:f>
        <x:v>OPEN</x:v>
      </x:c>
    </x:row>
    <x:row r="562" ht="25" customHeight="1">
      <x:c r="B562" s="8" t="str">
        <x:v>MP-10-P03-O2-R2</x:v>
      </x:c>
      <x:c r="C562" s="8" t="str">
        <x:v>MP-10</x:v>
      </x:c>
      <x:c r="D562" s="8" t="n">
        <x:v>3</x:v>
      </x:c>
      <x:c r="E562" s="8" t="str">
        <x:v>OP-2</x:v>
      </x:c>
      <x:c r="F562" s="8" t="n">
        <x:v>2</x:v>
      </x:c>
      <x:c r="G562" s="8" t="str"/>
      <x:c r="H562" s="8" t="str"/>
      <x:c r="I562" s="8" t="str">
        <x:f>IF(H562="","OPEN",IF(NOT(ISNUMBER(G562)),"FAIL","PASS"))</x:f>
        <x:v>OPEN</x:v>
      </x:c>
    </x:row>
    <x:row r="563" ht="25" customHeight="1">
      <x:c r="B563" s="8" t="str">
        <x:v>MP-10-P03-O3-R1</x:v>
      </x:c>
      <x:c r="C563" s="8" t="str">
        <x:v>MP-10</x:v>
      </x:c>
      <x:c r="D563" s="8" t="n">
        <x:v>3</x:v>
      </x:c>
      <x:c r="E563" s="8" t="str">
        <x:v>OP-3</x:v>
      </x:c>
      <x:c r="F563" s="8" t="n">
        <x:v>1</x:v>
      </x:c>
      <x:c r="G563" s="8" t="str"/>
      <x:c r="H563" s="8" t="str"/>
      <x:c r="I563" s="8" t="str">
        <x:f>IF(H563="","OPEN",IF(NOT(ISNUMBER(G563)),"FAIL","PASS"))</x:f>
        <x:v>OPEN</x:v>
      </x:c>
    </x:row>
    <x:row r="564" ht="25" customHeight="1">
      <x:c r="B564" s="8" t="str">
        <x:v>MP-10-P03-O3-R2</x:v>
      </x:c>
      <x:c r="C564" s="8" t="str">
        <x:v>MP-10</x:v>
      </x:c>
      <x:c r="D564" s="8" t="n">
        <x:v>3</x:v>
      </x:c>
      <x:c r="E564" s="8" t="str">
        <x:v>OP-3</x:v>
      </x:c>
      <x:c r="F564" s="8" t="n">
        <x:v>2</x:v>
      </x:c>
      <x:c r="G564" s="8" t="str"/>
      <x:c r="H564" s="8" t="str"/>
      <x:c r="I564" s="8" t="str">
        <x:f>IF(H564="","OPEN",IF(NOT(ISNUMBER(G564)),"FAIL","PASS"))</x:f>
        <x:v>OPEN</x:v>
      </x:c>
    </x:row>
    <x:row r="565" ht="25" customHeight="1">
      <x:c r="B565" s="8" t="str">
        <x:v>MP-10-P04-O1-R1</x:v>
      </x:c>
      <x:c r="C565" s="8" t="str">
        <x:v>MP-10</x:v>
      </x:c>
      <x:c r="D565" s="8" t="n">
        <x:v>4</x:v>
      </x:c>
      <x:c r="E565" s="8" t="str">
        <x:v>OP-1</x:v>
      </x:c>
      <x:c r="F565" s="8" t="n">
        <x:v>1</x:v>
      </x:c>
      <x:c r="G565" s="8" t="str"/>
      <x:c r="H565" s="8" t="str"/>
      <x:c r="I565" s="8" t="str">
        <x:f>IF(H565="","OPEN",IF(NOT(ISNUMBER(G565)),"FAIL","PASS"))</x:f>
        <x:v>OPEN</x:v>
      </x:c>
    </x:row>
    <x:row r="566" ht="25" customHeight="1">
      <x:c r="B566" s="8" t="str">
        <x:v>MP-10-P04-O1-R2</x:v>
      </x:c>
      <x:c r="C566" s="8" t="str">
        <x:v>MP-10</x:v>
      </x:c>
      <x:c r="D566" s="8" t="n">
        <x:v>4</x:v>
      </x:c>
      <x:c r="E566" s="8" t="str">
        <x:v>OP-1</x:v>
      </x:c>
      <x:c r="F566" s="8" t="n">
        <x:v>2</x:v>
      </x:c>
      <x:c r="G566" s="8" t="str"/>
      <x:c r="H566" s="8" t="str"/>
      <x:c r="I566" s="8" t="str">
        <x:f>IF(H566="","OPEN",IF(NOT(ISNUMBER(G566)),"FAIL","PASS"))</x:f>
        <x:v>OPEN</x:v>
      </x:c>
    </x:row>
    <x:row r="567" ht="25" customHeight="1">
      <x:c r="B567" s="8" t="str">
        <x:v>MP-10-P04-O2-R1</x:v>
      </x:c>
      <x:c r="C567" s="8" t="str">
        <x:v>MP-10</x:v>
      </x:c>
      <x:c r="D567" s="8" t="n">
        <x:v>4</x:v>
      </x:c>
      <x:c r="E567" s="8" t="str">
        <x:v>OP-2</x:v>
      </x:c>
      <x:c r="F567" s="8" t="n">
        <x:v>1</x:v>
      </x:c>
      <x:c r="G567" s="8" t="str"/>
      <x:c r="H567" s="8" t="str"/>
      <x:c r="I567" s="8" t="str">
        <x:f>IF(H567="","OPEN",IF(NOT(ISNUMBER(G567)),"FAIL","PASS"))</x:f>
        <x:v>OPEN</x:v>
      </x:c>
    </x:row>
    <x:row r="568" ht="25" customHeight="1">
      <x:c r="B568" s="8" t="str">
        <x:v>MP-10-P04-O2-R2</x:v>
      </x:c>
      <x:c r="C568" s="8" t="str">
        <x:v>MP-10</x:v>
      </x:c>
      <x:c r="D568" s="8" t="n">
        <x:v>4</x:v>
      </x:c>
      <x:c r="E568" s="8" t="str">
        <x:v>OP-2</x:v>
      </x:c>
      <x:c r="F568" s="8" t="n">
        <x:v>2</x:v>
      </x:c>
      <x:c r="G568" s="8" t="str"/>
      <x:c r="H568" s="8" t="str"/>
      <x:c r="I568" s="8" t="str">
        <x:f>IF(H568="","OPEN",IF(NOT(ISNUMBER(G568)),"FAIL","PASS"))</x:f>
        <x:v>OPEN</x:v>
      </x:c>
    </x:row>
    <x:row r="569" ht="25" customHeight="1">
      <x:c r="B569" s="8" t="str">
        <x:v>MP-10-P04-O3-R1</x:v>
      </x:c>
      <x:c r="C569" s="8" t="str">
        <x:v>MP-10</x:v>
      </x:c>
      <x:c r="D569" s="8" t="n">
        <x:v>4</x:v>
      </x:c>
      <x:c r="E569" s="8" t="str">
        <x:v>OP-3</x:v>
      </x:c>
      <x:c r="F569" s="8" t="n">
        <x:v>1</x:v>
      </x:c>
      <x:c r="G569" s="8" t="str"/>
      <x:c r="H569" s="8" t="str"/>
      <x:c r="I569" s="8" t="str">
        <x:f>IF(H569="","OPEN",IF(NOT(ISNUMBER(G569)),"FAIL","PASS"))</x:f>
        <x:v>OPEN</x:v>
      </x:c>
    </x:row>
    <x:row r="570" ht="25" customHeight="1">
      <x:c r="B570" s="8" t="str">
        <x:v>MP-10-P04-O3-R2</x:v>
      </x:c>
      <x:c r="C570" s="8" t="str">
        <x:v>MP-10</x:v>
      </x:c>
      <x:c r="D570" s="8" t="n">
        <x:v>4</x:v>
      </x:c>
      <x:c r="E570" s="8" t="str">
        <x:v>OP-3</x:v>
      </x:c>
      <x:c r="F570" s="8" t="n">
        <x:v>2</x:v>
      </x:c>
      <x:c r="G570" s="8" t="str"/>
      <x:c r="H570" s="8" t="str"/>
      <x:c r="I570" s="8" t="str">
        <x:f>IF(H570="","OPEN",IF(NOT(ISNUMBER(G570)),"FAIL","PASS"))</x:f>
        <x:v>OPEN</x:v>
      </x:c>
    </x:row>
    <x:row r="571" ht="25" customHeight="1">
      <x:c r="B571" s="8" t="str">
        <x:v>MP-10-P05-O1-R1</x:v>
      </x:c>
      <x:c r="C571" s="8" t="str">
        <x:v>MP-10</x:v>
      </x:c>
      <x:c r="D571" s="8" t="n">
        <x:v>5</x:v>
      </x:c>
      <x:c r="E571" s="8" t="str">
        <x:v>OP-1</x:v>
      </x:c>
      <x:c r="F571" s="8" t="n">
        <x:v>1</x:v>
      </x:c>
      <x:c r="G571" s="8" t="str"/>
      <x:c r="H571" s="8" t="str"/>
      <x:c r="I571" s="8" t="str">
        <x:f>IF(H571="","OPEN",IF(NOT(ISNUMBER(G571)),"FAIL","PASS"))</x:f>
        <x:v>OPEN</x:v>
      </x:c>
    </x:row>
    <x:row r="572" ht="25" customHeight="1">
      <x:c r="B572" s="8" t="str">
        <x:v>MP-10-P05-O1-R2</x:v>
      </x:c>
      <x:c r="C572" s="8" t="str">
        <x:v>MP-10</x:v>
      </x:c>
      <x:c r="D572" s="8" t="n">
        <x:v>5</x:v>
      </x:c>
      <x:c r="E572" s="8" t="str">
        <x:v>OP-1</x:v>
      </x:c>
      <x:c r="F572" s="8" t="n">
        <x:v>2</x:v>
      </x:c>
      <x:c r="G572" s="8" t="str"/>
      <x:c r="H572" s="8" t="str"/>
      <x:c r="I572" s="8" t="str">
        <x:f>IF(H572="","OPEN",IF(NOT(ISNUMBER(G572)),"FAIL","PASS"))</x:f>
        <x:v>OPEN</x:v>
      </x:c>
    </x:row>
    <x:row r="573" ht="25" customHeight="1">
      <x:c r="B573" s="8" t="str">
        <x:v>MP-10-P05-O2-R1</x:v>
      </x:c>
      <x:c r="C573" s="8" t="str">
        <x:v>MP-10</x:v>
      </x:c>
      <x:c r="D573" s="8" t="n">
        <x:v>5</x:v>
      </x:c>
      <x:c r="E573" s="8" t="str">
        <x:v>OP-2</x:v>
      </x:c>
      <x:c r="F573" s="8" t="n">
        <x:v>1</x:v>
      </x:c>
      <x:c r="G573" s="8" t="str"/>
      <x:c r="H573" s="8" t="str"/>
      <x:c r="I573" s="8" t="str">
        <x:f>IF(H573="","OPEN",IF(NOT(ISNUMBER(G573)),"FAIL","PASS"))</x:f>
        <x:v>OPEN</x:v>
      </x:c>
    </x:row>
    <x:row r="574" ht="25" customHeight="1">
      <x:c r="B574" s="8" t="str">
        <x:v>MP-10-P05-O2-R2</x:v>
      </x:c>
      <x:c r="C574" s="8" t="str">
        <x:v>MP-10</x:v>
      </x:c>
      <x:c r="D574" s="8" t="n">
        <x:v>5</x:v>
      </x:c>
      <x:c r="E574" s="8" t="str">
        <x:v>OP-2</x:v>
      </x:c>
      <x:c r="F574" s="8" t="n">
        <x:v>2</x:v>
      </x:c>
      <x:c r="G574" s="8" t="str"/>
      <x:c r="H574" s="8" t="str"/>
      <x:c r="I574" s="8" t="str">
        <x:f>IF(H574="","OPEN",IF(NOT(ISNUMBER(G574)),"FAIL","PASS"))</x:f>
        <x:v>OPEN</x:v>
      </x:c>
    </x:row>
    <x:row r="575" ht="25" customHeight="1">
      <x:c r="B575" s="8" t="str">
        <x:v>MP-10-P05-O3-R1</x:v>
      </x:c>
      <x:c r="C575" s="8" t="str">
        <x:v>MP-10</x:v>
      </x:c>
      <x:c r="D575" s="8" t="n">
        <x:v>5</x:v>
      </x:c>
      <x:c r="E575" s="8" t="str">
        <x:v>OP-3</x:v>
      </x:c>
      <x:c r="F575" s="8" t="n">
        <x:v>1</x:v>
      </x:c>
      <x:c r="G575" s="8" t="str"/>
      <x:c r="H575" s="8" t="str"/>
      <x:c r="I575" s="8" t="str">
        <x:f>IF(H575="","OPEN",IF(NOT(ISNUMBER(G575)),"FAIL","PASS"))</x:f>
        <x:v>OPEN</x:v>
      </x:c>
    </x:row>
    <x:row r="576" ht="25" customHeight="1">
      <x:c r="B576" s="8" t="str">
        <x:v>MP-10-P05-O3-R2</x:v>
      </x:c>
      <x:c r="C576" s="8" t="str">
        <x:v>MP-10</x:v>
      </x:c>
      <x:c r="D576" s="8" t="n">
        <x:v>5</x:v>
      </x:c>
      <x:c r="E576" s="8" t="str">
        <x:v>OP-3</x:v>
      </x:c>
      <x:c r="F576" s="8" t="n">
        <x:v>2</x:v>
      </x:c>
      <x:c r="G576" s="8" t="str"/>
      <x:c r="H576" s="8" t="str"/>
      <x:c r="I576" s="8" t="str">
        <x:f>IF(H576="","OPEN",IF(NOT(ISNUMBER(G576)),"FAIL","PASS"))</x:f>
        <x:v>OPEN</x:v>
      </x:c>
    </x:row>
    <x:row r="577" ht="25" customHeight="1">
      <x:c r="B577" s="8" t="str">
        <x:v>MP-10-P06-O1-R1</x:v>
      </x:c>
      <x:c r="C577" s="8" t="str">
        <x:v>MP-10</x:v>
      </x:c>
      <x:c r="D577" s="8" t="n">
        <x:v>6</x:v>
      </x:c>
      <x:c r="E577" s="8" t="str">
        <x:v>OP-1</x:v>
      </x:c>
      <x:c r="F577" s="8" t="n">
        <x:v>1</x:v>
      </x:c>
      <x:c r="G577" s="8" t="str"/>
      <x:c r="H577" s="8" t="str"/>
      <x:c r="I577" s="8" t="str">
        <x:f>IF(H577="","OPEN",IF(NOT(ISNUMBER(G577)),"FAIL","PASS"))</x:f>
        <x:v>OPEN</x:v>
      </x:c>
    </x:row>
    <x:row r="578" ht="25" customHeight="1">
      <x:c r="B578" s="8" t="str">
        <x:v>MP-10-P06-O1-R2</x:v>
      </x:c>
      <x:c r="C578" s="8" t="str">
        <x:v>MP-10</x:v>
      </x:c>
      <x:c r="D578" s="8" t="n">
        <x:v>6</x:v>
      </x:c>
      <x:c r="E578" s="8" t="str">
        <x:v>OP-1</x:v>
      </x:c>
      <x:c r="F578" s="8" t="n">
        <x:v>2</x:v>
      </x:c>
      <x:c r="G578" s="8" t="str"/>
      <x:c r="H578" s="8" t="str"/>
      <x:c r="I578" s="8" t="str">
        <x:f>IF(H578="","OPEN",IF(NOT(ISNUMBER(G578)),"FAIL","PASS"))</x:f>
        <x:v>OPEN</x:v>
      </x:c>
    </x:row>
    <x:row r="579" ht="25" customHeight="1">
      <x:c r="B579" s="8" t="str">
        <x:v>MP-10-P06-O2-R1</x:v>
      </x:c>
      <x:c r="C579" s="8" t="str">
        <x:v>MP-10</x:v>
      </x:c>
      <x:c r="D579" s="8" t="n">
        <x:v>6</x:v>
      </x:c>
      <x:c r="E579" s="8" t="str">
        <x:v>OP-2</x:v>
      </x:c>
      <x:c r="F579" s="8" t="n">
        <x:v>1</x:v>
      </x:c>
      <x:c r="G579" s="8" t="str"/>
      <x:c r="H579" s="8" t="str"/>
      <x:c r="I579" s="8" t="str">
        <x:f>IF(H579="","OPEN",IF(NOT(ISNUMBER(G579)),"FAIL","PASS"))</x:f>
        <x:v>OPEN</x:v>
      </x:c>
    </x:row>
    <x:row r="580" ht="25" customHeight="1">
      <x:c r="B580" s="8" t="str">
        <x:v>MP-10-P06-O2-R2</x:v>
      </x:c>
      <x:c r="C580" s="8" t="str">
        <x:v>MP-10</x:v>
      </x:c>
      <x:c r="D580" s="8" t="n">
        <x:v>6</x:v>
      </x:c>
      <x:c r="E580" s="8" t="str">
        <x:v>OP-2</x:v>
      </x:c>
      <x:c r="F580" s="8" t="n">
        <x:v>2</x:v>
      </x:c>
      <x:c r="G580" s="8" t="str"/>
      <x:c r="H580" s="8" t="str"/>
      <x:c r="I580" s="8" t="str">
        <x:f>IF(H580="","OPEN",IF(NOT(ISNUMBER(G580)),"FAIL","PASS"))</x:f>
        <x:v>OPEN</x:v>
      </x:c>
    </x:row>
    <x:row r="581" ht="25" customHeight="1">
      <x:c r="B581" s="8" t="str">
        <x:v>MP-10-P06-O3-R1</x:v>
      </x:c>
      <x:c r="C581" s="8" t="str">
        <x:v>MP-10</x:v>
      </x:c>
      <x:c r="D581" s="8" t="n">
        <x:v>6</x:v>
      </x:c>
      <x:c r="E581" s="8" t="str">
        <x:v>OP-3</x:v>
      </x:c>
      <x:c r="F581" s="8" t="n">
        <x:v>1</x:v>
      </x:c>
      <x:c r="G581" s="8" t="str"/>
      <x:c r="H581" s="8" t="str"/>
      <x:c r="I581" s="8" t="str">
        <x:f>IF(H581="","OPEN",IF(NOT(ISNUMBER(G581)),"FAIL","PASS"))</x:f>
        <x:v>OPEN</x:v>
      </x:c>
    </x:row>
    <x:row r="582" ht="25" customHeight="1">
      <x:c r="B582" s="8" t="str">
        <x:v>MP-10-P06-O3-R2</x:v>
      </x:c>
      <x:c r="C582" s="8" t="str">
        <x:v>MP-10</x:v>
      </x:c>
      <x:c r="D582" s="8" t="n">
        <x:v>6</x:v>
      </x:c>
      <x:c r="E582" s="8" t="str">
        <x:v>OP-3</x:v>
      </x:c>
      <x:c r="F582" s="8" t="n">
        <x:v>2</x:v>
      </x:c>
      <x:c r="G582" s="8" t="str"/>
      <x:c r="H582" s="8" t="str"/>
      <x:c r="I582" s="8" t="str">
        <x:f>IF(H582="","OPEN",IF(NOT(ISNUMBER(G582)),"FAIL","PASS"))</x:f>
        <x:v>OPEN</x:v>
      </x:c>
    </x:row>
    <x:row r="583" ht="25" customHeight="1">
      <x:c r="B583" s="8" t="str">
        <x:v>MP-10-P07-O1-R1</x:v>
      </x:c>
      <x:c r="C583" s="8" t="str">
        <x:v>MP-10</x:v>
      </x:c>
      <x:c r="D583" s="8" t="n">
        <x:v>7</x:v>
      </x:c>
      <x:c r="E583" s="8" t="str">
        <x:v>OP-1</x:v>
      </x:c>
      <x:c r="F583" s="8" t="n">
        <x:v>1</x:v>
      </x:c>
      <x:c r="G583" s="8" t="str"/>
      <x:c r="H583" s="8" t="str"/>
      <x:c r="I583" s="8" t="str">
        <x:f>IF(H583="","OPEN",IF(NOT(ISNUMBER(G583)),"FAIL","PASS"))</x:f>
        <x:v>OPEN</x:v>
      </x:c>
    </x:row>
    <x:row r="584" ht="25" customHeight="1">
      <x:c r="B584" s="8" t="str">
        <x:v>MP-10-P07-O1-R2</x:v>
      </x:c>
      <x:c r="C584" s="8" t="str">
        <x:v>MP-10</x:v>
      </x:c>
      <x:c r="D584" s="8" t="n">
        <x:v>7</x:v>
      </x:c>
      <x:c r="E584" s="8" t="str">
        <x:v>OP-1</x:v>
      </x:c>
      <x:c r="F584" s="8" t="n">
        <x:v>2</x:v>
      </x:c>
      <x:c r="G584" s="8" t="str"/>
      <x:c r="H584" s="8" t="str"/>
      <x:c r="I584" s="8" t="str">
        <x:f>IF(H584="","OPEN",IF(NOT(ISNUMBER(G584)),"FAIL","PASS"))</x:f>
        <x:v>OPEN</x:v>
      </x:c>
    </x:row>
    <x:row r="585" ht="25" customHeight="1">
      <x:c r="B585" s="8" t="str">
        <x:v>MP-10-P07-O2-R1</x:v>
      </x:c>
      <x:c r="C585" s="8" t="str">
        <x:v>MP-10</x:v>
      </x:c>
      <x:c r="D585" s="8" t="n">
        <x:v>7</x:v>
      </x:c>
      <x:c r="E585" s="8" t="str">
        <x:v>OP-2</x:v>
      </x:c>
      <x:c r="F585" s="8" t="n">
        <x:v>1</x:v>
      </x:c>
      <x:c r="G585" s="8" t="str"/>
      <x:c r="H585" s="8" t="str"/>
      <x:c r="I585" s="8" t="str">
        <x:f>IF(H585="","OPEN",IF(NOT(ISNUMBER(G585)),"FAIL","PASS"))</x:f>
        <x:v>OPEN</x:v>
      </x:c>
    </x:row>
    <x:row r="586" ht="25" customHeight="1">
      <x:c r="B586" s="8" t="str">
        <x:v>MP-10-P07-O2-R2</x:v>
      </x:c>
      <x:c r="C586" s="8" t="str">
        <x:v>MP-10</x:v>
      </x:c>
      <x:c r="D586" s="8" t="n">
        <x:v>7</x:v>
      </x:c>
      <x:c r="E586" s="8" t="str">
        <x:v>OP-2</x:v>
      </x:c>
      <x:c r="F586" s="8" t="n">
        <x:v>2</x:v>
      </x:c>
      <x:c r="G586" s="8" t="str"/>
      <x:c r="H586" s="8" t="str"/>
      <x:c r="I586" s="8" t="str">
        <x:f>IF(H586="","OPEN",IF(NOT(ISNUMBER(G586)),"FAIL","PASS"))</x:f>
        <x:v>OPEN</x:v>
      </x:c>
    </x:row>
    <x:row r="587" ht="25" customHeight="1">
      <x:c r="B587" s="8" t="str">
        <x:v>MP-10-P07-O3-R1</x:v>
      </x:c>
      <x:c r="C587" s="8" t="str">
        <x:v>MP-10</x:v>
      </x:c>
      <x:c r="D587" s="8" t="n">
        <x:v>7</x:v>
      </x:c>
      <x:c r="E587" s="8" t="str">
        <x:v>OP-3</x:v>
      </x:c>
      <x:c r="F587" s="8" t="n">
        <x:v>1</x:v>
      </x:c>
      <x:c r="G587" s="8" t="str"/>
      <x:c r="H587" s="8" t="str"/>
      <x:c r="I587" s="8" t="str">
        <x:f>IF(H587="","OPEN",IF(NOT(ISNUMBER(G587)),"FAIL","PASS"))</x:f>
        <x:v>OPEN</x:v>
      </x:c>
    </x:row>
    <x:row r="588" ht="25" customHeight="1">
      <x:c r="B588" s="8" t="str">
        <x:v>MP-10-P07-O3-R2</x:v>
      </x:c>
      <x:c r="C588" s="8" t="str">
        <x:v>MP-10</x:v>
      </x:c>
      <x:c r="D588" s="8" t="n">
        <x:v>7</x:v>
      </x:c>
      <x:c r="E588" s="8" t="str">
        <x:v>OP-3</x:v>
      </x:c>
      <x:c r="F588" s="8" t="n">
        <x:v>2</x:v>
      </x:c>
      <x:c r="G588" s="8" t="str"/>
      <x:c r="H588" s="8" t="str"/>
      <x:c r="I588" s="8" t="str">
        <x:f>IF(H588="","OPEN",IF(NOT(ISNUMBER(G588)),"FAIL","PASS"))</x:f>
        <x:v>OPEN</x:v>
      </x:c>
    </x:row>
    <x:row r="589" ht="25" customHeight="1">
      <x:c r="B589" s="8" t="str">
        <x:v>MP-10-P08-O1-R1</x:v>
      </x:c>
      <x:c r="C589" s="8" t="str">
        <x:v>MP-10</x:v>
      </x:c>
      <x:c r="D589" s="8" t="n">
        <x:v>8</x:v>
      </x:c>
      <x:c r="E589" s="8" t="str">
        <x:v>OP-1</x:v>
      </x:c>
      <x:c r="F589" s="8" t="n">
        <x:v>1</x:v>
      </x:c>
      <x:c r="G589" s="8" t="str"/>
      <x:c r="H589" s="8" t="str"/>
      <x:c r="I589" s="8" t="str">
        <x:f>IF(H589="","OPEN",IF(NOT(ISNUMBER(G589)),"FAIL","PASS"))</x:f>
        <x:v>OPEN</x:v>
      </x:c>
    </x:row>
    <x:row r="590" ht="25" customHeight="1">
      <x:c r="B590" s="8" t="str">
        <x:v>MP-10-P08-O1-R2</x:v>
      </x:c>
      <x:c r="C590" s="8" t="str">
        <x:v>MP-10</x:v>
      </x:c>
      <x:c r="D590" s="8" t="n">
        <x:v>8</x:v>
      </x:c>
      <x:c r="E590" s="8" t="str">
        <x:v>OP-1</x:v>
      </x:c>
      <x:c r="F590" s="8" t="n">
        <x:v>2</x:v>
      </x:c>
      <x:c r="G590" s="8" t="str"/>
      <x:c r="H590" s="8" t="str"/>
      <x:c r="I590" s="8" t="str">
        <x:f>IF(H590="","OPEN",IF(NOT(ISNUMBER(G590)),"FAIL","PASS"))</x:f>
        <x:v>OPEN</x:v>
      </x:c>
    </x:row>
    <x:row r="591" ht="25" customHeight="1">
      <x:c r="B591" s="8" t="str">
        <x:v>MP-10-P08-O2-R1</x:v>
      </x:c>
      <x:c r="C591" s="8" t="str">
        <x:v>MP-10</x:v>
      </x:c>
      <x:c r="D591" s="8" t="n">
        <x:v>8</x:v>
      </x:c>
      <x:c r="E591" s="8" t="str">
        <x:v>OP-2</x:v>
      </x:c>
      <x:c r="F591" s="8" t="n">
        <x:v>1</x:v>
      </x:c>
      <x:c r="G591" s="8" t="str"/>
      <x:c r="H591" s="8" t="str"/>
      <x:c r="I591" s="8" t="str">
        <x:f>IF(H591="","OPEN",IF(NOT(ISNUMBER(G591)),"FAIL","PASS"))</x:f>
        <x:v>OPEN</x:v>
      </x:c>
    </x:row>
    <x:row r="592" ht="25" customHeight="1">
      <x:c r="B592" s="8" t="str">
        <x:v>MP-10-P08-O2-R2</x:v>
      </x:c>
      <x:c r="C592" s="8" t="str">
        <x:v>MP-10</x:v>
      </x:c>
      <x:c r="D592" s="8" t="n">
        <x:v>8</x:v>
      </x:c>
      <x:c r="E592" s="8" t="str">
        <x:v>OP-2</x:v>
      </x:c>
      <x:c r="F592" s="8" t="n">
        <x:v>2</x:v>
      </x:c>
      <x:c r="G592" s="8" t="str"/>
      <x:c r="H592" s="8" t="str"/>
      <x:c r="I592" s="8" t="str">
        <x:f>IF(H592="","OPEN",IF(NOT(ISNUMBER(G592)),"FAIL","PASS"))</x:f>
        <x:v>OPEN</x:v>
      </x:c>
    </x:row>
    <x:row r="593" ht="25" customHeight="1">
      <x:c r="B593" s="8" t="str">
        <x:v>MP-10-P08-O3-R1</x:v>
      </x:c>
      <x:c r="C593" s="8" t="str">
        <x:v>MP-10</x:v>
      </x:c>
      <x:c r="D593" s="8" t="n">
        <x:v>8</x:v>
      </x:c>
      <x:c r="E593" s="8" t="str">
        <x:v>OP-3</x:v>
      </x:c>
      <x:c r="F593" s="8" t="n">
        <x:v>1</x:v>
      </x:c>
      <x:c r="G593" s="8" t="str"/>
      <x:c r="H593" s="8" t="str"/>
      <x:c r="I593" s="8" t="str">
        <x:f>IF(H593="","OPEN",IF(NOT(ISNUMBER(G593)),"FAIL","PASS"))</x:f>
        <x:v>OPEN</x:v>
      </x:c>
    </x:row>
    <x:row r="594" ht="25" customHeight="1">
      <x:c r="B594" s="8" t="str">
        <x:v>MP-10-P08-O3-R2</x:v>
      </x:c>
      <x:c r="C594" s="8" t="str">
        <x:v>MP-10</x:v>
      </x:c>
      <x:c r="D594" s="8" t="n">
        <x:v>8</x:v>
      </x:c>
      <x:c r="E594" s="8" t="str">
        <x:v>OP-3</x:v>
      </x:c>
      <x:c r="F594" s="8" t="n">
        <x:v>2</x:v>
      </x:c>
      <x:c r="G594" s="8" t="str"/>
      <x:c r="H594" s="8" t="str"/>
      <x:c r="I594" s="8" t="str">
        <x:f>IF(H594="","OPEN",IF(NOT(ISNUMBER(G594)),"FAIL","PASS"))</x:f>
        <x:v>OPEN</x:v>
      </x:c>
    </x:row>
    <x:row r="595" ht="25" customHeight="1">
      <x:c r="B595" s="8" t="str">
        <x:v>MP-10-P09-O1-R1</x:v>
      </x:c>
      <x:c r="C595" s="8" t="str">
        <x:v>MP-10</x:v>
      </x:c>
      <x:c r="D595" s="8" t="n">
        <x:v>9</x:v>
      </x:c>
      <x:c r="E595" s="8" t="str">
        <x:v>OP-1</x:v>
      </x:c>
      <x:c r="F595" s="8" t="n">
        <x:v>1</x:v>
      </x:c>
      <x:c r="G595" s="8" t="str"/>
      <x:c r="H595" s="8" t="str"/>
      <x:c r="I595" s="8" t="str">
        <x:f>IF(H595="","OPEN",IF(NOT(ISNUMBER(G595)),"FAIL","PASS"))</x:f>
        <x:v>OPEN</x:v>
      </x:c>
    </x:row>
    <x:row r="596" ht="25" customHeight="1">
      <x:c r="B596" s="8" t="str">
        <x:v>MP-10-P09-O1-R2</x:v>
      </x:c>
      <x:c r="C596" s="8" t="str">
        <x:v>MP-10</x:v>
      </x:c>
      <x:c r="D596" s="8" t="n">
        <x:v>9</x:v>
      </x:c>
      <x:c r="E596" s="8" t="str">
        <x:v>OP-1</x:v>
      </x:c>
      <x:c r="F596" s="8" t="n">
        <x:v>2</x:v>
      </x:c>
      <x:c r="G596" s="8" t="str"/>
      <x:c r="H596" s="8" t="str"/>
      <x:c r="I596" s="8" t="str">
        <x:f>IF(H596="","OPEN",IF(NOT(ISNUMBER(G596)),"FAIL","PASS"))</x:f>
        <x:v>OPEN</x:v>
      </x:c>
    </x:row>
    <x:row r="597" ht="25" customHeight="1">
      <x:c r="B597" s="8" t="str">
        <x:v>MP-10-P09-O2-R1</x:v>
      </x:c>
      <x:c r="C597" s="8" t="str">
        <x:v>MP-10</x:v>
      </x:c>
      <x:c r="D597" s="8" t="n">
        <x:v>9</x:v>
      </x:c>
      <x:c r="E597" s="8" t="str">
        <x:v>OP-2</x:v>
      </x:c>
      <x:c r="F597" s="8" t="n">
        <x:v>1</x:v>
      </x:c>
      <x:c r="G597" s="8" t="str"/>
      <x:c r="H597" s="8" t="str"/>
      <x:c r="I597" s="8" t="str">
        <x:f>IF(H597="","OPEN",IF(NOT(ISNUMBER(G597)),"FAIL","PASS"))</x:f>
        <x:v>OPEN</x:v>
      </x:c>
    </x:row>
    <x:row r="598" ht="25" customHeight="1">
      <x:c r="B598" s="8" t="str">
        <x:v>MP-10-P09-O2-R2</x:v>
      </x:c>
      <x:c r="C598" s="8" t="str">
        <x:v>MP-10</x:v>
      </x:c>
      <x:c r="D598" s="8" t="n">
        <x:v>9</x:v>
      </x:c>
      <x:c r="E598" s="8" t="str">
        <x:v>OP-2</x:v>
      </x:c>
      <x:c r="F598" s="8" t="n">
        <x:v>2</x:v>
      </x:c>
      <x:c r="G598" s="8" t="str"/>
      <x:c r="H598" s="8" t="str"/>
      <x:c r="I598" s="8" t="str">
        <x:f>IF(H598="","OPEN",IF(NOT(ISNUMBER(G598)),"FAIL","PASS"))</x:f>
        <x:v>OPEN</x:v>
      </x:c>
    </x:row>
    <x:row r="599" ht="25" customHeight="1">
      <x:c r="B599" s="8" t="str">
        <x:v>MP-10-P09-O3-R1</x:v>
      </x:c>
      <x:c r="C599" s="8" t="str">
        <x:v>MP-10</x:v>
      </x:c>
      <x:c r="D599" s="8" t="n">
        <x:v>9</x:v>
      </x:c>
      <x:c r="E599" s="8" t="str">
        <x:v>OP-3</x:v>
      </x:c>
      <x:c r="F599" s="8" t="n">
        <x:v>1</x:v>
      </x:c>
      <x:c r="G599" s="8" t="str"/>
      <x:c r="H599" s="8" t="str"/>
      <x:c r="I599" s="8" t="str">
        <x:f>IF(H599="","OPEN",IF(NOT(ISNUMBER(G599)),"FAIL","PASS"))</x:f>
        <x:v>OPEN</x:v>
      </x:c>
    </x:row>
    <x:row r="600" ht="25" customHeight="1">
      <x:c r="B600" s="8" t="str">
        <x:v>MP-10-P09-O3-R2</x:v>
      </x:c>
      <x:c r="C600" s="8" t="str">
        <x:v>MP-10</x:v>
      </x:c>
      <x:c r="D600" s="8" t="n">
        <x:v>9</x:v>
      </x:c>
      <x:c r="E600" s="8" t="str">
        <x:v>OP-3</x:v>
      </x:c>
      <x:c r="F600" s="8" t="n">
        <x:v>2</x:v>
      </x:c>
      <x:c r="G600" s="8" t="str"/>
      <x:c r="H600" s="8" t="str"/>
      <x:c r="I600" s="8" t="str">
        <x:f>IF(H600="","OPEN",IF(NOT(ISNUMBER(G600)),"FAIL","PASS"))</x:f>
        <x:v>OPEN</x:v>
      </x:c>
    </x:row>
    <x:row r="601" ht="25" customHeight="1">
      <x:c r="B601" s="8" t="str">
        <x:v>MP-10-P10-O1-R1</x:v>
      </x:c>
      <x:c r="C601" s="8" t="str">
        <x:v>MP-10</x:v>
      </x:c>
      <x:c r="D601" s="8" t="n">
        <x:v>10</x:v>
      </x:c>
      <x:c r="E601" s="8" t="str">
        <x:v>OP-1</x:v>
      </x:c>
      <x:c r="F601" s="8" t="n">
        <x:v>1</x:v>
      </x:c>
      <x:c r="G601" s="8" t="str"/>
      <x:c r="H601" s="8" t="str"/>
      <x:c r="I601" s="8" t="str">
        <x:f>IF(H601="","OPEN",IF(NOT(ISNUMBER(G601)),"FAIL","PASS"))</x:f>
        <x:v>OPEN</x:v>
      </x:c>
    </x:row>
    <x:row r="602" ht="25" customHeight="1">
      <x:c r="B602" s="8" t="str">
        <x:v>MP-10-P10-O1-R2</x:v>
      </x:c>
      <x:c r="C602" s="8" t="str">
        <x:v>MP-10</x:v>
      </x:c>
      <x:c r="D602" s="8" t="n">
        <x:v>10</x:v>
      </x:c>
      <x:c r="E602" s="8" t="str">
        <x:v>OP-1</x:v>
      </x:c>
      <x:c r="F602" s="8" t="n">
        <x:v>2</x:v>
      </x:c>
      <x:c r="G602" s="8" t="str"/>
      <x:c r="H602" s="8" t="str"/>
      <x:c r="I602" s="8" t="str">
        <x:f>IF(H602="","OPEN",IF(NOT(ISNUMBER(G602)),"FAIL","PASS"))</x:f>
        <x:v>OPEN</x:v>
      </x:c>
    </x:row>
    <x:row r="603" ht="25" customHeight="1">
      <x:c r="B603" s="8" t="str">
        <x:v>MP-10-P10-O2-R1</x:v>
      </x:c>
      <x:c r="C603" s="8" t="str">
        <x:v>MP-10</x:v>
      </x:c>
      <x:c r="D603" s="8" t="n">
        <x:v>10</x:v>
      </x:c>
      <x:c r="E603" s="8" t="str">
        <x:v>OP-2</x:v>
      </x:c>
      <x:c r="F603" s="8" t="n">
        <x:v>1</x:v>
      </x:c>
      <x:c r="G603" s="8" t="str"/>
      <x:c r="H603" s="8" t="str"/>
      <x:c r="I603" s="8" t="str">
        <x:f>IF(H603="","OPEN",IF(NOT(ISNUMBER(G603)),"FAIL","PASS"))</x:f>
        <x:v>OPEN</x:v>
      </x:c>
    </x:row>
    <x:row r="604" ht="25" customHeight="1">
      <x:c r="B604" s="8" t="str">
        <x:v>MP-10-P10-O2-R2</x:v>
      </x:c>
      <x:c r="C604" s="8" t="str">
        <x:v>MP-10</x:v>
      </x:c>
      <x:c r="D604" s="8" t="n">
        <x:v>10</x:v>
      </x:c>
      <x:c r="E604" s="8" t="str">
        <x:v>OP-2</x:v>
      </x:c>
      <x:c r="F604" s="8" t="n">
        <x:v>2</x:v>
      </x:c>
      <x:c r="G604" s="8" t="str"/>
      <x:c r="H604" s="8" t="str"/>
      <x:c r="I604" s="8" t="str">
        <x:f>IF(H604="","OPEN",IF(NOT(ISNUMBER(G604)),"FAIL","PASS"))</x:f>
        <x:v>OPEN</x:v>
      </x:c>
    </x:row>
    <x:row r="605" ht="25" customHeight="1">
      <x:c r="B605" s="8" t="str">
        <x:v>MP-10-P10-O3-R1</x:v>
      </x:c>
      <x:c r="C605" s="8" t="str">
        <x:v>MP-10</x:v>
      </x:c>
      <x:c r="D605" s="8" t="n">
        <x:v>10</x:v>
      </x:c>
      <x:c r="E605" s="8" t="str">
        <x:v>OP-3</x:v>
      </x:c>
      <x:c r="F605" s="8" t="n">
        <x:v>1</x:v>
      </x:c>
      <x:c r="G605" s="8" t="str"/>
      <x:c r="H605" s="8" t="str"/>
      <x:c r="I605" s="8" t="str">
        <x:f>IF(H605="","OPEN",IF(NOT(ISNUMBER(G605)),"FAIL","PASS"))</x:f>
        <x:v>OPEN</x:v>
      </x:c>
    </x:row>
    <x:row r="606" ht="25" customHeight="1">
      <x:c r="B606" s="8" t="str">
        <x:v>MP-10-P10-O3-R2</x:v>
      </x:c>
      <x:c r="C606" s="8" t="str">
        <x:v>MP-10</x:v>
      </x:c>
      <x:c r="D606" s="8" t="n">
        <x:v>10</x:v>
      </x:c>
      <x:c r="E606" s="8" t="str">
        <x:v>OP-3</x:v>
      </x:c>
      <x:c r="F606" s="8" t="n">
        <x:v>2</x:v>
      </x:c>
      <x:c r="G606" s="8" t="str"/>
      <x:c r="H606" s="8" t="str"/>
      <x:c r="I606" s="8" t="str">
        <x:f>IF(H606="","OPEN",IF(NOT(ISNUMBER(G606)),"FAIL","PASS"))</x:f>
        <x:v>OPEN</x:v>
      </x:c>
    </x:row>
    <x:row r="607" ht="25" customHeight="1">
      <x:c r="B607" s="8" t="str">
        <x:v>MP-11-P01-O1-R1</x:v>
      </x:c>
      <x:c r="C607" s="8" t="str">
        <x:v>MP-11</x:v>
      </x:c>
      <x:c r="D607" s="8" t="n">
        <x:v>1</x:v>
      </x:c>
      <x:c r="E607" s="8" t="str">
        <x:v>OP-1</x:v>
      </x:c>
      <x:c r="F607" s="8" t="n">
        <x:v>1</x:v>
      </x:c>
      <x:c r="G607" s="8" t="str"/>
      <x:c r="H607" s="8" t="str"/>
      <x:c r="I607" s="8" t="str">
        <x:f>IF(H607="","OPEN",IF(NOT(ISNUMBER(G607)),"FAIL","PASS"))</x:f>
        <x:v>OPEN</x:v>
      </x:c>
    </x:row>
    <x:row r="608" ht="25" customHeight="1">
      <x:c r="B608" s="8" t="str">
        <x:v>MP-11-P01-O1-R2</x:v>
      </x:c>
      <x:c r="C608" s="8" t="str">
        <x:v>MP-11</x:v>
      </x:c>
      <x:c r="D608" s="8" t="n">
        <x:v>1</x:v>
      </x:c>
      <x:c r="E608" s="8" t="str">
        <x:v>OP-1</x:v>
      </x:c>
      <x:c r="F608" s="8" t="n">
        <x:v>2</x:v>
      </x:c>
      <x:c r="G608" s="8" t="str"/>
      <x:c r="H608" s="8" t="str"/>
      <x:c r="I608" s="8" t="str">
        <x:f>IF(H608="","OPEN",IF(NOT(ISNUMBER(G608)),"FAIL","PASS"))</x:f>
        <x:v>OPEN</x:v>
      </x:c>
    </x:row>
    <x:row r="609" ht="25" customHeight="1">
      <x:c r="B609" s="8" t="str">
        <x:v>MP-11-P01-O2-R1</x:v>
      </x:c>
      <x:c r="C609" s="8" t="str">
        <x:v>MP-11</x:v>
      </x:c>
      <x:c r="D609" s="8" t="n">
        <x:v>1</x:v>
      </x:c>
      <x:c r="E609" s="8" t="str">
        <x:v>OP-2</x:v>
      </x:c>
      <x:c r="F609" s="8" t="n">
        <x:v>1</x:v>
      </x:c>
      <x:c r="G609" s="8" t="str"/>
      <x:c r="H609" s="8" t="str"/>
      <x:c r="I609" s="8" t="str">
        <x:f>IF(H609="","OPEN",IF(NOT(ISNUMBER(G609)),"FAIL","PASS"))</x:f>
        <x:v>OPEN</x:v>
      </x:c>
    </x:row>
    <x:row r="610" ht="25" customHeight="1">
      <x:c r="B610" s="8" t="str">
        <x:v>MP-11-P01-O2-R2</x:v>
      </x:c>
      <x:c r="C610" s="8" t="str">
        <x:v>MP-11</x:v>
      </x:c>
      <x:c r="D610" s="8" t="n">
        <x:v>1</x:v>
      </x:c>
      <x:c r="E610" s="8" t="str">
        <x:v>OP-2</x:v>
      </x:c>
      <x:c r="F610" s="8" t="n">
        <x:v>2</x:v>
      </x:c>
      <x:c r="G610" s="8" t="str"/>
      <x:c r="H610" s="8" t="str"/>
      <x:c r="I610" s="8" t="str">
        <x:f>IF(H610="","OPEN",IF(NOT(ISNUMBER(G610)),"FAIL","PASS"))</x:f>
        <x:v>OPEN</x:v>
      </x:c>
    </x:row>
    <x:row r="611" ht="25" customHeight="1">
      <x:c r="B611" s="8" t="str">
        <x:v>MP-11-P01-O3-R1</x:v>
      </x:c>
      <x:c r="C611" s="8" t="str">
        <x:v>MP-11</x:v>
      </x:c>
      <x:c r="D611" s="8" t="n">
        <x:v>1</x:v>
      </x:c>
      <x:c r="E611" s="8" t="str">
        <x:v>OP-3</x:v>
      </x:c>
      <x:c r="F611" s="8" t="n">
        <x:v>1</x:v>
      </x:c>
      <x:c r="G611" s="8" t="str"/>
      <x:c r="H611" s="8" t="str"/>
      <x:c r="I611" s="8" t="str">
        <x:f>IF(H611="","OPEN",IF(NOT(ISNUMBER(G611)),"FAIL","PASS"))</x:f>
        <x:v>OPEN</x:v>
      </x:c>
    </x:row>
    <x:row r="612" ht="25" customHeight="1">
      <x:c r="B612" s="8" t="str">
        <x:v>MP-11-P01-O3-R2</x:v>
      </x:c>
      <x:c r="C612" s="8" t="str">
        <x:v>MP-11</x:v>
      </x:c>
      <x:c r="D612" s="8" t="n">
        <x:v>1</x:v>
      </x:c>
      <x:c r="E612" s="8" t="str">
        <x:v>OP-3</x:v>
      </x:c>
      <x:c r="F612" s="8" t="n">
        <x:v>2</x:v>
      </x:c>
      <x:c r="G612" s="8" t="str"/>
      <x:c r="H612" s="8" t="str"/>
      <x:c r="I612" s="8" t="str">
        <x:f>IF(H612="","OPEN",IF(NOT(ISNUMBER(G612)),"FAIL","PASS"))</x:f>
        <x:v>OPEN</x:v>
      </x:c>
    </x:row>
    <x:row r="613" ht="25" customHeight="1">
      <x:c r="B613" s="8" t="str">
        <x:v>MP-11-P02-O1-R1</x:v>
      </x:c>
      <x:c r="C613" s="8" t="str">
        <x:v>MP-11</x:v>
      </x:c>
      <x:c r="D613" s="8" t="n">
        <x:v>2</x:v>
      </x:c>
      <x:c r="E613" s="8" t="str">
        <x:v>OP-1</x:v>
      </x:c>
      <x:c r="F613" s="8" t="n">
        <x:v>1</x:v>
      </x:c>
      <x:c r="G613" s="8" t="str"/>
      <x:c r="H613" s="8" t="str"/>
      <x:c r="I613" s="8" t="str">
        <x:f>IF(H613="","OPEN",IF(NOT(ISNUMBER(G613)),"FAIL","PASS"))</x:f>
        <x:v>OPEN</x:v>
      </x:c>
    </x:row>
    <x:row r="614" ht="25" customHeight="1">
      <x:c r="B614" s="8" t="str">
        <x:v>MP-11-P02-O1-R2</x:v>
      </x:c>
      <x:c r="C614" s="8" t="str">
        <x:v>MP-11</x:v>
      </x:c>
      <x:c r="D614" s="8" t="n">
        <x:v>2</x:v>
      </x:c>
      <x:c r="E614" s="8" t="str">
        <x:v>OP-1</x:v>
      </x:c>
      <x:c r="F614" s="8" t="n">
        <x:v>2</x:v>
      </x:c>
      <x:c r="G614" s="8" t="str"/>
      <x:c r="H614" s="8" t="str"/>
      <x:c r="I614" s="8" t="str">
        <x:f>IF(H614="","OPEN",IF(NOT(ISNUMBER(G614)),"FAIL","PASS"))</x:f>
        <x:v>OPEN</x:v>
      </x:c>
    </x:row>
    <x:row r="615" ht="25" customHeight="1">
      <x:c r="B615" s="8" t="str">
        <x:v>MP-11-P02-O2-R1</x:v>
      </x:c>
      <x:c r="C615" s="8" t="str">
        <x:v>MP-11</x:v>
      </x:c>
      <x:c r="D615" s="8" t="n">
        <x:v>2</x:v>
      </x:c>
      <x:c r="E615" s="8" t="str">
        <x:v>OP-2</x:v>
      </x:c>
      <x:c r="F615" s="8" t="n">
        <x:v>1</x:v>
      </x:c>
      <x:c r="G615" s="8" t="str"/>
      <x:c r="H615" s="8" t="str"/>
      <x:c r="I615" s="8" t="str">
        <x:f>IF(H615="","OPEN",IF(NOT(ISNUMBER(G615)),"FAIL","PASS"))</x:f>
        <x:v>OPEN</x:v>
      </x:c>
    </x:row>
    <x:row r="616" ht="25" customHeight="1">
      <x:c r="B616" s="8" t="str">
        <x:v>MP-11-P02-O2-R2</x:v>
      </x:c>
      <x:c r="C616" s="8" t="str">
        <x:v>MP-11</x:v>
      </x:c>
      <x:c r="D616" s="8" t="n">
        <x:v>2</x:v>
      </x:c>
      <x:c r="E616" s="8" t="str">
        <x:v>OP-2</x:v>
      </x:c>
      <x:c r="F616" s="8" t="n">
        <x:v>2</x:v>
      </x:c>
      <x:c r="G616" s="8" t="str"/>
      <x:c r="H616" s="8" t="str"/>
      <x:c r="I616" s="8" t="str">
        <x:f>IF(H616="","OPEN",IF(NOT(ISNUMBER(G616)),"FAIL","PASS"))</x:f>
        <x:v>OPEN</x:v>
      </x:c>
    </x:row>
    <x:row r="617" ht="25" customHeight="1">
      <x:c r="B617" s="8" t="str">
        <x:v>MP-11-P02-O3-R1</x:v>
      </x:c>
      <x:c r="C617" s="8" t="str">
        <x:v>MP-11</x:v>
      </x:c>
      <x:c r="D617" s="8" t="n">
        <x:v>2</x:v>
      </x:c>
      <x:c r="E617" s="8" t="str">
        <x:v>OP-3</x:v>
      </x:c>
      <x:c r="F617" s="8" t="n">
        <x:v>1</x:v>
      </x:c>
      <x:c r="G617" s="8" t="str"/>
      <x:c r="H617" s="8" t="str"/>
      <x:c r="I617" s="8" t="str">
        <x:f>IF(H617="","OPEN",IF(NOT(ISNUMBER(G617)),"FAIL","PASS"))</x:f>
        <x:v>OPEN</x:v>
      </x:c>
    </x:row>
    <x:row r="618" ht="25" customHeight="1">
      <x:c r="B618" s="8" t="str">
        <x:v>MP-11-P02-O3-R2</x:v>
      </x:c>
      <x:c r="C618" s="8" t="str">
        <x:v>MP-11</x:v>
      </x:c>
      <x:c r="D618" s="8" t="n">
        <x:v>2</x:v>
      </x:c>
      <x:c r="E618" s="8" t="str">
        <x:v>OP-3</x:v>
      </x:c>
      <x:c r="F618" s="8" t="n">
        <x:v>2</x:v>
      </x:c>
      <x:c r="G618" s="8" t="str"/>
      <x:c r="H618" s="8" t="str"/>
      <x:c r="I618" s="8" t="str">
        <x:f>IF(H618="","OPEN",IF(NOT(ISNUMBER(G618)),"FAIL","PASS"))</x:f>
        <x:v>OPEN</x:v>
      </x:c>
    </x:row>
    <x:row r="619" ht="25" customHeight="1">
      <x:c r="B619" s="8" t="str">
        <x:v>MP-11-P03-O1-R1</x:v>
      </x:c>
      <x:c r="C619" s="8" t="str">
        <x:v>MP-11</x:v>
      </x:c>
      <x:c r="D619" s="8" t="n">
        <x:v>3</x:v>
      </x:c>
      <x:c r="E619" s="8" t="str">
        <x:v>OP-1</x:v>
      </x:c>
      <x:c r="F619" s="8" t="n">
        <x:v>1</x:v>
      </x:c>
      <x:c r="G619" s="8" t="str"/>
      <x:c r="H619" s="8" t="str"/>
      <x:c r="I619" s="8" t="str">
        <x:f>IF(H619="","OPEN",IF(NOT(ISNUMBER(G619)),"FAIL","PASS"))</x:f>
        <x:v>OPEN</x:v>
      </x:c>
    </x:row>
    <x:row r="620" ht="25" customHeight="1">
      <x:c r="B620" s="8" t="str">
        <x:v>MP-11-P03-O1-R2</x:v>
      </x:c>
      <x:c r="C620" s="8" t="str">
        <x:v>MP-11</x:v>
      </x:c>
      <x:c r="D620" s="8" t="n">
        <x:v>3</x:v>
      </x:c>
      <x:c r="E620" s="8" t="str">
        <x:v>OP-1</x:v>
      </x:c>
      <x:c r="F620" s="8" t="n">
        <x:v>2</x:v>
      </x:c>
      <x:c r="G620" s="8" t="str"/>
      <x:c r="H620" s="8" t="str"/>
      <x:c r="I620" s="8" t="str">
        <x:f>IF(H620="","OPEN",IF(NOT(ISNUMBER(G620)),"FAIL","PASS"))</x:f>
        <x:v>OPEN</x:v>
      </x:c>
    </x:row>
    <x:row r="621" ht="25" customHeight="1">
      <x:c r="B621" s="8" t="str">
        <x:v>MP-11-P03-O2-R1</x:v>
      </x:c>
      <x:c r="C621" s="8" t="str">
        <x:v>MP-11</x:v>
      </x:c>
      <x:c r="D621" s="8" t="n">
        <x:v>3</x:v>
      </x:c>
      <x:c r="E621" s="8" t="str">
        <x:v>OP-2</x:v>
      </x:c>
      <x:c r="F621" s="8" t="n">
        <x:v>1</x:v>
      </x:c>
      <x:c r="G621" s="8" t="str"/>
      <x:c r="H621" s="8" t="str"/>
      <x:c r="I621" s="8" t="str">
        <x:f>IF(H621="","OPEN",IF(NOT(ISNUMBER(G621)),"FAIL","PASS"))</x:f>
        <x:v>OPEN</x:v>
      </x:c>
    </x:row>
    <x:row r="622" ht="25" customHeight="1">
      <x:c r="B622" s="8" t="str">
        <x:v>MP-11-P03-O2-R2</x:v>
      </x:c>
      <x:c r="C622" s="8" t="str">
        <x:v>MP-11</x:v>
      </x:c>
      <x:c r="D622" s="8" t="n">
        <x:v>3</x:v>
      </x:c>
      <x:c r="E622" s="8" t="str">
        <x:v>OP-2</x:v>
      </x:c>
      <x:c r="F622" s="8" t="n">
        <x:v>2</x:v>
      </x:c>
      <x:c r="G622" s="8" t="str"/>
      <x:c r="H622" s="8" t="str"/>
      <x:c r="I622" s="8" t="str">
        <x:f>IF(H622="","OPEN",IF(NOT(ISNUMBER(G622)),"FAIL","PASS"))</x:f>
        <x:v>OPEN</x:v>
      </x:c>
    </x:row>
    <x:row r="623" ht="25" customHeight="1">
      <x:c r="B623" s="8" t="str">
        <x:v>MP-11-P03-O3-R1</x:v>
      </x:c>
      <x:c r="C623" s="8" t="str">
        <x:v>MP-11</x:v>
      </x:c>
      <x:c r="D623" s="8" t="n">
        <x:v>3</x:v>
      </x:c>
      <x:c r="E623" s="8" t="str">
        <x:v>OP-3</x:v>
      </x:c>
      <x:c r="F623" s="8" t="n">
        <x:v>1</x:v>
      </x:c>
      <x:c r="G623" s="8" t="str"/>
      <x:c r="H623" s="8" t="str"/>
      <x:c r="I623" s="8" t="str">
        <x:f>IF(H623="","OPEN",IF(NOT(ISNUMBER(G623)),"FAIL","PASS"))</x:f>
        <x:v>OPEN</x:v>
      </x:c>
    </x:row>
    <x:row r="624" ht="25" customHeight="1">
      <x:c r="B624" s="8" t="str">
        <x:v>MP-11-P03-O3-R2</x:v>
      </x:c>
      <x:c r="C624" s="8" t="str">
        <x:v>MP-11</x:v>
      </x:c>
      <x:c r="D624" s="8" t="n">
        <x:v>3</x:v>
      </x:c>
      <x:c r="E624" s="8" t="str">
        <x:v>OP-3</x:v>
      </x:c>
      <x:c r="F624" s="8" t="n">
        <x:v>2</x:v>
      </x:c>
      <x:c r="G624" s="8" t="str"/>
      <x:c r="H624" s="8" t="str"/>
      <x:c r="I624" s="8" t="str">
        <x:f>IF(H624="","OPEN",IF(NOT(ISNUMBER(G624)),"FAIL","PASS"))</x:f>
        <x:v>OPEN</x:v>
      </x:c>
    </x:row>
    <x:row r="625" ht="25" customHeight="1">
      <x:c r="B625" s="8" t="str">
        <x:v>MP-11-P04-O1-R1</x:v>
      </x:c>
      <x:c r="C625" s="8" t="str">
        <x:v>MP-11</x:v>
      </x:c>
      <x:c r="D625" s="8" t="n">
        <x:v>4</x:v>
      </x:c>
      <x:c r="E625" s="8" t="str">
        <x:v>OP-1</x:v>
      </x:c>
      <x:c r="F625" s="8" t="n">
        <x:v>1</x:v>
      </x:c>
      <x:c r="G625" s="8" t="str"/>
      <x:c r="H625" s="8" t="str"/>
      <x:c r="I625" s="8" t="str">
        <x:f>IF(H625="","OPEN",IF(NOT(ISNUMBER(G625)),"FAIL","PASS"))</x:f>
        <x:v>OPEN</x:v>
      </x:c>
    </x:row>
    <x:row r="626" ht="25" customHeight="1">
      <x:c r="B626" s="8" t="str">
        <x:v>MP-11-P04-O1-R2</x:v>
      </x:c>
      <x:c r="C626" s="8" t="str">
        <x:v>MP-11</x:v>
      </x:c>
      <x:c r="D626" s="8" t="n">
        <x:v>4</x:v>
      </x:c>
      <x:c r="E626" s="8" t="str">
        <x:v>OP-1</x:v>
      </x:c>
      <x:c r="F626" s="8" t="n">
        <x:v>2</x:v>
      </x:c>
      <x:c r="G626" s="8" t="str"/>
      <x:c r="H626" s="8" t="str"/>
      <x:c r="I626" s="8" t="str">
        <x:f>IF(H626="","OPEN",IF(NOT(ISNUMBER(G626)),"FAIL","PASS"))</x:f>
        <x:v>OPEN</x:v>
      </x:c>
    </x:row>
    <x:row r="627" ht="25" customHeight="1">
      <x:c r="B627" s="8" t="str">
        <x:v>MP-11-P04-O2-R1</x:v>
      </x:c>
      <x:c r="C627" s="8" t="str">
        <x:v>MP-11</x:v>
      </x:c>
      <x:c r="D627" s="8" t="n">
        <x:v>4</x:v>
      </x:c>
      <x:c r="E627" s="8" t="str">
        <x:v>OP-2</x:v>
      </x:c>
      <x:c r="F627" s="8" t="n">
        <x:v>1</x:v>
      </x:c>
      <x:c r="G627" s="8" t="str"/>
      <x:c r="H627" s="8" t="str"/>
      <x:c r="I627" s="8" t="str">
        <x:f>IF(H627="","OPEN",IF(NOT(ISNUMBER(G627)),"FAIL","PASS"))</x:f>
        <x:v>OPEN</x:v>
      </x:c>
    </x:row>
    <x:row r="628" ht="25" customHeight="1">
      <x:c r="B628" s="8" t="str">
        <x:v>MP-11-P04-O2-R2</x:v>
      </x:c>
      <x:c r="C628" s="8" t="str">
        <x:v>MP-11</x:v>
      </x:c>
      <x:c r="D628" s="8" t="n">
        <x:v>4</x:v>
      </x:c>
      <x:c r="E628" s="8" t="str">
        <x:v>OP-2</x:v>
      </x:c>
      <x:c r="F628" s="8" t="n">
        <x:v>2</x:v>
      </x:c>
      <x:c r="G628" s="8" t="str"/>
      <x:c r="H628" s="8" t="str"/>
      <x:c r="I628" s="8" t="str">
        <x:f>IF(H628="","OPEN",IF(NOT(ISNUMBER(G628)),"FAIL","PASS"))</x:f>
        <x:v>OPEN</x:v>
      </x:c>
    </x:row>
    <x:row r="629" ht="25" customHeight="1">
      <x:c r="B629" s="8" t="str">
        <x:v>MP-11-P04-O3-R1</x:v>
      </x:c>
      <x:c r="C629" s="8" t="str">
        <x:v>MP-11</x:v>
      </x:c>
      <x:c r="D629" s="8" t="n">
        <x:v>4</x:v>
      </x:c>
      <x:c r="E629" s="8" t="str">
        <x:v>OP-3</x:v>
      </x:c>
      <x:c r="F629" s="8" t="n">
        <x:v>1</x:v>
      </x:c>
      <x:c r="G629" s="8" t="str"/>
      <x:c r="H629" s="8" t="str"/>
      <x:c r="I629" s="8" t="str">
        <x:f>IF(H629="","OPEN",IF(NOT(ISNUMBER(G629)),"FAIL","PASS"))</x:f>
        <x:v>OPEN</x:v>
      </x:c>
    </x:row>
    <x:row r="630" ht="25" customHeight="1">
      <x:c r="B630" s="8" t="str">
        <x:v>MP-11-P04-O3-R2</x:v>
      </x:c>
      <x:c r="C630" s="8" t="str">
        <x:v>MP-11</x:v>
      </x:c>
      <x:c r="D630" s="8" t="n">
        <x:v>4</x:v>
      </x:c>
      <x:c r="E630" s="8" t="str">
        <x:v>OP-3</x:v>
      </x:c>
      <x:c r="F630" s="8" t="n">
        <x:v>2</x:v>
      </x:c>
      <x:c r="G630" s="8" t="str"/>
      <x:c r="H630" s="8" t="str"/>
      <x:c r="I630" s="8" t="str">
        <x:f>IF(H630="","OPEN",IF(NOT(ISNUMBER(G630)),"FAIL","PASS"))</x:f>
        <x:v>OPEN</x:v>
      </x:c>
    </x:row>
    <x:row r="631" ht="25" customHeight="1">
      <x:c r="B631" s="8" t="str">
        <x:v>MP-11-P05-O1-R1</x:v>
      </x:c>
      <x:c r="C631" s="8" t="str">
        <x:v>MP-11</x:v>
      </x:c>
      <x:c r="D631" s="8" t="n">
        <x:v>5</x:v>
      </x:c>
      <x:c r="E631" s="8" t="str">
        <x:v>OP-1</x:v>
      </x:c>
      <x:c r="F631" s="8" t="n">
        <x:v>1</x:v>
      </x:c>
      <x:c r="G631" s="8" t="str"/>
      <x:c r="H631" s="8" t="str"/>
      <x:c r="I631" s="8" t="str">
        <x:f>IF(H631="","OPEN",IF(NOT(ISNUMBER(G631)),"FAIL","PASS"))</x:f>
        <x:v>OPEN</x:v>
      </x:c>
    </x:row>
    <x:row r="632" ht="25" customHeight="1">
      <x:c r="B632" s="8" t="str">
        <x:v>MP-11-P05-O1-R2</x:v>
      </x:c>
      <x:c r="C632" s="8" t="str">
        <x:v>MP-11</x:v>
      </x:c>
      <x:c r="D632" s="8" t="n">
        <x:v>5</x:v>
      </x:c>
      <x:c r="E632" s="8" t="str">
        <x:v>OP-1</x:v>
      </x:c>
      <x:c r="F632" s="8" t="n">
        <x:v>2</x:v>
      </x:c>
      <x:c r="G632" s="8" t="str"/>
      <x:c r="H632" s="8" t="str"/>
      <x:c r="I632" s="8" t="str">
        <x:f>IF(H632="","OPEN",IF(NOT(ISNUMBER(G632)),"FAIL","PASS"))</x:f>
        <x:v>OPEN</x:v>
      </x:c>
    </x:row>
    <x:row r="633" ht="25" customHeight="1">
      <x:c r="B633" s="8" t="str">
        <x:v>MP-11-P05-O2-R1</x:v>
      </x:c>
      <x:c r="C633" s="8" t="str">
        <x:v>MP-11</x:v>
      </x:c>
      <x:c r="D633" s="8" t="n">
        <x:v>5</x:v>
      </x:c>
      <x:c r="E633" s="8" t="str">
        <x:v>OP-2</x:v>
      </x:c>
      <x:c r="F633" s="8" t="n">
        <x:v>1</x:v>
      </x:c>
      <x:c r="G633" s="8" t="str"/>
      <x:c r="H633" s="8" t="str"/>
      <x:c r="I633" s="8" t="str">
        <x:f>IF(H633="","OPEN",IF(NOT(ISNUMBER(G633)),"FAIL","PASS"))</x:f>
        <x:v>OPEN</x:v>
      </x:c>
    </x:row>
    <x:row r="634" ht="25" customHeight="1">
      <x:c r="B634" s="8" t="str">
        <x:v>MP-11-P05-O2-R2</x:v>
      </x:c>
      <x:c r="C634" s="8" t="str">
        <x:v>MP-11</x:v>
      </x:c>
      <x:c r="D634" s="8" t="n">
        <x:v>5</x:v>
      </x:c>
      <x:c r="E634" s="8" t="str">
        <x:v>OP-2</x:v>
      </x:c>
      <x:c r="F634" s="8" t="n">
        <x:v>2</x:v>
      </x:c>
      <x:c r="G634" s="8" t="str"/>
      <x:c r="H634" s="8" t="str"/>
      <x:c r="I634" s="8" t="str">
        <x:f>IF(H634="","OPEN",IF(NOT(ISNUMBER(G634)),"FAIL","PASS"))</x:f>
        <x:v>OPEN</x:v>
      </x:c>
    </x:row>
    <x:row r="635" ht="25" customHeight="1">
      <x:c r="B635" s="8" t="str">
        <x:v>MP-11-P05-O3-R1</x:v>
      </x:c>
      <x:c r="C635" s="8" t="str">
        <x:v>MP-11</x:v>
      </x:c>
      <x:c r="D635" s="8" t="n">
        <x:v>5</x:v>
      </x:c>
      <x:c r="E635" s="8" t="str">
        <x:v>OP-3</x:v>
      </x:c>
      <x:c r="F635" s="8" t="n">
        <x:v>1</x:v>
      </x:c>
      <x:c r="G635" s="8" t="str"/>
      <x:c r="H635" s="8" t="str"/>
      <x:c r="I635" s="8" t="str">
        <x:f>IF(H635="","OPEN",IF(NOT(ISNUMBER(G635)),"FAIL","PASS"))</x:f>
        <x:v>OPEN</x:v>
      </x:c>
    </x:row>
    <x:row r="636" ht="25" customHeight="1">
      <x:c r="B636" s="8" t="str">
        <x:v>MP-11-P05-O3-R2</x:v>
      </x:c>
      <x:c r="C636" s="8" t="str">
        <x:v>MP-11</x:v>
      </x:c>
      <x:c r="D636" s="8" t="n">
        <x:v>5</x:v>
      </x:c>
      <x:c r="E636" s="8" t="str">
        <x:v>OP-3</x:v>
      </x:c>
      <x:c r="F636" s="8" t="n">
        <x:v>2</x:v>
      </x:c>
      <x:c r="G636" s="8" t="str"/>
      <x:c r="H636" s="8" t="str"/>
      <x:c r="I636" s="8" t="str">
        <x:f>IF(H636="","OPEN",IF(NOT(ISNUMBER(G636)),"FAIL","PASS"))</x:f>
        <x:v>OPEN</x:v>
      </x:c>
    </x:row>
    <x:row r="637" ht="25" customHeight="1">
      <x:c r="B637" s="8" t="str">
        <x:v>MP-11-P06-O1-R1</x:v>
      </x:c>
      <x:c r="C637" s="8" t="str">
        <x:v>MP-11</x:v>
      </x:c>
      <x:c r="D637" s="8" t="n">
        <x:v>6</x:v>
      </x:c>
      <x:c r="E637" s="8" t="str">
        <x:v>OP-1</x:v>
      </x:c>
      <x:c r="F637" s="8" t="n">
        <x:v>1</x:v>
      </x:c>
      <x:c r="G637" s="8" t="str"/>
      <x:c r="H637" s="8" t="str"/>
      <x:c r="I637" s="8" t="str">
        <x:f>IF(H637="","OPEN",IF(NOT(ISNUMBER(G637)),"FAIL","PASS"))</x:f>
        <x:v>OPEN</x:v>
      </x:c>
    </x:row>
    <x:row r="638" ht="25" customHeight="1">
      <x:c r="B638" s="8" t="str">
        <x:v>MP-11-P06-O1-R2</x:v>
      </x:c>
      <x:c r="C638" s="8" t="str">
        <x:v>MP-11</x:v>
      </x:c>
      <x:c r="D638" s="8" t="n">
        <x:v>6</x:v>
      </x:c>
      <x:c r="E638" s="8" t="str">
        <x:v>OP-1</x:v>
      </x:c>
      <x:c r="F638" s="8" t="n">
        <x:v>2</x:v>
      </x:c>
      <x:c r="G638" s="8" t="str"/>
      <x:c r="H638" s="8" t="str"/>
      <x:c r="I638" s="8" t="str">
        <x:f>IF(H638="","OPEN",IF(NOT(ISNUMBER(G638)),"FAIL","PASS"))</x:f>
        <x:v>OPEN</x:v>
      </x:c>
    </x:row>
    <x:row r="639" ht="25" customHeight="1">
      <x:c r="B639" s="8" t="str">
        <x:v>MP-11-P06-O2-R1</x:v>
      </x:c>
      <x:c r="C639" s="8" t="str">
        <x:v>MP-11</x:v>
      </x:c>
      <x:c r="D639" s="8" t="n">
        <x:v>6</x:v>
      </x:c>
      <x:c r="E639" s="8" t="str">
        <x:v>OP-2</x:v>
      </x:c>
      <x:c r="F639" s="8" t="n">
        <x:v>1</x:v>
      </x:c>
      <x:c r="G639" s="8" t="str"/>
      <x:c r="H639" s="8" t="str"/>
      <x:c r="I639" s="8" t="str">
        <x:f>IF(H639="","OPEN",IF(NOT(ISNUMBER(G639)),"FAIL","PASS"))</x:f>
        <x:v>OPEN</x:v>
      </x:c>
    </x:row>
    <x:row r="640" ht="25" customHeight="1">
      <x:c r="B640" s="8" t="str">
        <x:v>MP-11-P06-O2-R2</x:v>
      </x:c>
      <x:c r="C640" s="8" t="str">
        <x:v>MP-11</x:v>
      </x:c>
      <x:c r="D640" s="8" t="n">
        <x:v>6</x:v>
      </x:c>
      <x:c r="E640" s="8" t="str">
        <x:v>OP-2</x:v>
      </x:c>
      <x:c r="F640" s="8" t="n">
        <x:v>2</x:v>
      </x:c>
      <x:c r="G640" s="8" t="str"/>
      <x:c r="H640" s="8" t="str"/>
      <x:c r="I640" s="8" t="str">
        <x:f>IF(H640="","OPEN",IF(NOT(ISNUMBER(G640)),"FAIL","PASS"))</x:f>
        <x:v>OPEN</x:v>
      </x:c>
    </x:row>
    <x:row r="641" ht="25" customHeight="1">
      <x:c r="B641" s="8" t="str">
        <x:v>MP-11-P06-O3-R1</x:v>
      </x:c>
      <x:c r="C641" s="8" t="str">
        <x:v>MP-11</x:v>
      </x:c>
      <x:c r="D641" s="8" t="n">
        <x:v>6</x:v>
      </x:c>
      <x:c r="E641" s="8" t="str">
        <x:v>OP-3</x:v>
      </x:c>
      <x:c r="F641" s="8" t="n">
        <x:v>1</x:v>
      </x:c>
      <x:c r="G641" s="8" t="str"/>
      <x:c r="H641" s="8" t="str"/>
      <x:c r="I641" s="8" t="str">
        <x:f>IF(H641="","OPEN",IF(NOT(ISNUMBER(G641)),"FAIL","PASS"))</x:f>
        <x:v>OPEN</x:v>
      </x:c>
    </x:row>
    <x:row r="642" ht="25" customHeight="1">
      <x:c r="B642" s="8" t="str">
        <x:v>MP-11-P06-O3-R2</x:v>
      </x:c>
      <x:c r="C642" s="8" t="str">
        <x:v>MP-11</x:v>
      </x:c>
      <x:c r="D642" s="8" t="n">
        <x:v>6</x:v>
      </x:c>
      <x:c r="E642" s="8" t="str">
        <x:v>OP-3</x:v>
      </x:c>
      <x:c r="F642" s="8" t="n">
        <x:v>2</x:v>
      </x:c>
      <x:c r="G642" s="8" t="str"/>
      <x:c r="H642" s="8" t="str"/>
      <x:c r="I642" s="8" t="str">
        <x:f>IF(H642="","OPEN",IF(NOT(ISNUMBER(G642)),"FAIL","PASS"))</x:f>
        <x:v>OPEN</x:v>
      </x:c>
    </x:row>
    <x:row r="643" ht="25" customHeight="1">
      <x:c r="B643" s="8" t="str">
        <x:v>MP-11-P07-O1-R1</x:v>
      </x:c>
      <x:c r="C643" s="8" t="str">
        <x:v>MP-11</x:v>
      </x:c>
      <x:c r="D643" s="8" t="n">
        <x:v>7</x:v>
      </x:c>
      <x:c r="E643" s="8" t="str">
        <x:v>OP-1</x:v>
      </x:c>
      <x:c r="F643" s="8" t="n">
        <x:v>1</x:v>
      </x:c>
      <x:c r="G643" s="8" t="str"/>
      <x:c r="H643" s="8" t="str"/>
      <x:c r="I643" s="8" t="str">
        <x:f>IF(H643="","OPEN",IF(NOT(ISNUMBER(G643)),"FAIL","PASS"))</x:f>
        <x:v>OPEN</x:v>
      </x:c>
    </x:row>
    <x:row r="644" ht="25" customHeight="1">
      <x:c r="B644" s="8" t="str">
        <x:v>MP-11-P07-O1-R2</x:v>
      </x:c>
      <x:c r="C644" s="8" t="str">
        <x:v>MP-11</x:v>
      </x:c>
      <x:c r="D644" s="8" t="n">
        <x:v>7</x:v>
      </x:c>
      <x:c r="E644" s="8" t="str">
        <x:v>OP-1</x:v>
      </x:c>
      <x:c r="F644" s="8" t="n">
        <x:v>2</x:v>
      </x:c>
      <x:c r="G644" s="8" t="str"/>
      <x:c r="H644" s="8" t="str"/>
      <x:c r="I644" s="8" t="str">
        <x:f>IF(H644="","OPEN",IF(NOT(ISNUMBER(G644)),"FAIL","PASS"))</x:f>
        <x:v>OPEN</x:v>
      </x:c>
    </x:row>
    <x:row r="645" ht="25" customHeight="1">
      <x:c r="B645" s="8" t="str">
        <x:v>MP-11-P07-O2-R1</x:v>
      </x:c>
      <x:c r="C645" s="8" t="str">
        <x:v>MP-11</x:v>
      </x:c>
      <x:c r="D645" s="8" t="n">
        <x:v>7</x:v>
      </x:c>
      <x:c r="E645" s="8" t="str">
        <x:v>OP-2</x:v>
      </x:c>
      <x:c r="F645" s="8" t="n">
        <x:v>1</x:v>
      </x:c>
      <x:c r="G645" s="8" t="str"/>
      <x:c r="H645" s="8" t="str"/>
      <x:c r="I645" s="8" t="str">
        <x:f>IF(H645="","OPEN",IF(NOT(ISNUMBER(G645)),"FAIL","PASS"))</x:f>
        <x:v>OPEN</x:v>
      </x:c>
    </x:row>
    <x:row r="646" ht="25" customHeight="1">
      <x:c r="B646" s="8" t="str">
        <x:v>MP-11-P07-O2-R2</x:v>
      </x:c>
      <x:c r="C646" s="8" t="str">
        <x:v>MP-11</x:v>
      </x:c>
      <x:c r="D646" s="8" t="n">
        <x:v>7</x:v>
      </x:c>
      <x:c r="E646" s="8" t="str">
        <x:v>OP-2</x:v>
      </x:c>
      <x:c r="F646" s="8" t="n">
        <x:v>2</x:v>
      </x:c>
      <x:c r="G646" s="8" t="str"/>
      <x:c r="H646" s="8" t="str"/>
      <x:c r="I646" s="8" t="str">
        <x:f>IF(H646="","OPEN",IF(NOT(ISNUMBER(G646)),"FAIL","PASS"))</x:f>
        <x:v>OPEN</x:v>
      </x:c>
    </x:row>
    <x:row r="647" ht="25" customHeight="1">
      <x:c r="B647" s="8" t="str">
        <x:v>MP-11-P07-O3-R1</x:v>
      </x:c>
      <x:c r="C647" s="8" t="str">
        <x:v>MP-11</x:v>
      </x:c>
      <x:c r="D647" s="8" t="n">
        <x:v>7</x:v>
      </x:c>
      <x:c r="E647" s="8" t="str">
        <x:v>OP-3</x:v>
      </x:c>
      <x:c r="F647" s="8" t="n">
        <x:v>1</x:v>
      </x:c>
      <x:c r="G647" s="8" t="str"/>
      <x:c r="H647" s="8" t="str"/>
      <x:c r="I647" s="8" t="str">
        <x:f>IF(H647="","OPEN",IF(NOT(ISNUMBER(G647)),"FAIL","PASS"))</x:f>
        <x:v>OPEN</x:v>
      </x:c>
    </x:row>
    <x:row r="648" ht="25" customHeight="1">
      <x:c r="B648" s="8" t="str">
        <x:v>MP-11-P07-O3-R2</x:v>
      </x:c>
      <x:c r="C648" s="8" t="str">
        <x:v>MP-11</x:v>
      </x:c>
      <x:c r="D648" s="8" t="n">
        <x:v>7</x:v>
      </x:c>
      <x:c r="E648" s="8" t="str">
        <x:v>OP-3</x:v>
      </x:c>
      <x:c r="F648" s="8" t="n">
        <x:v>2</x:v>
      </x:c>
      <x:c r="G648" s="8" t="str"/>
      <x:c r="H648" s="8" t="str"/>
      <x:c r="I648" s="8" t="str">
        <x:f>IF(H648="","OPEN",IF(NOT(ISNUMBER(G648)),"FAIL","PASS"))</x:f>
        <x:v>OPEN</x:v>
      </x:c>
    </x:row>
    <x:row r="649" ht="25" customHeight="1">
      <x:c r="B649" s="8" t="str">
        <x:v>MP-11-P08-O1-R1</x:v>
      </x:c>
      <x:c r="C649" s="8" t="str">
        <x:v>MP-11</x:v>
      </x:c>
      <x:c r="D649" s="8" t="n">
        <x:v>8</x:v>
      </x:c>
      <x:c r="E649" s="8" t="str">
        <x:v>OP-1</x:v>
      </x:c>
      <x:c r="F649" s="8" t="n">
        <x:v>1</x:v>
      </x:c>
      <x:c r="G649" s="8" t="str"/>
      <x:c r="H649" s="8" t="str"/>
      <x:c r="I649" s="8" t="str">
        <x:f>IF(H649="","OPEN",IF(NOT(ISNUMBER(G649)),"FAIL","PASS"))</x:f>
        <x:v>OPEN</x:v>
      </x:c>
    </x:row>
    <x:row r="650" ht="25" customHeight="1">
      <x:c r="B650" s="8" t="str">
        <x:v>MP-11-P08-O1-R2</x:v>
      </x:c>
      <x:c r="C650" s="8" t="str">
        <x:v>MP-11</x:v>
      </x:c>
      <x:c r="D650" s="8" t="n">
        <x:v>8</x:v>
      </x:c>
      <x:c r="E650" s="8" t="str">
        <x:v>OP-1</x:v>
      </x:c>
      <x:c r="F650" s="8" t="n">
        <x:v>2</x:v>
      </x:c>
      <x:c r="G650" s="8" t="str"/>
      <x:c r="H650" s="8" t="str"/>
      <x:c r="I650" s="8" t="str">
        <x:f>IF(H650="","OPEN",IF(NOT(ISNUMBER(G650)),"FAIL","PASS"))</x:f>
        <x:v>OPEN</x:v>
      </x:c>
    </x:row>
    <x:row r="651" ht="25" customHeight="1">
      <x:c r="B651" s="8" t="str">
        <x:v>MP-11-P08-O2-R1</x:v>
      </x:c>
      <x:c r="C651" s="8" t="str">
        <x:v>MP-11</x:v>
      </x:c>
      <x:c r="D651" s="8" t="n">
        <x:v>8</x:v>
      </x:c>
      <x:c r="E651" s="8" t="str">
        <x:v>OP-2</x:v>
      </x:c>
      <x:c r="F651" s="8" t="n">
        <x:v>1</x:v>
      </x:c>
      <x:c r="G651" s="8" t="str"/>
      <x:c r="H651" s="8" t="str"/>
      <x:c r="I651" s="8" t="str">
        <x:f>IF(H651="","OPEN",IF(NOT(ISNUMBER(G651)),"FAIL","PASS"))</x:f>
        <x:v>OPEN</x:v>
      </x:c>
    </x:row>
    <x:row r="652" ht="25" customHeight="1">
      <x:c r="B652" s="8" t="str">
        <x:v>MP-11-P08-O2-R2</x:v>
      </x:c>
      <x:c r="C652" s="8" t="str">
        <x:v>MP-11</x:v>
      </x:c>
      <x:c r="D652" s="8" t="n">
        <x:v>8</x:v>
      </x:c>
      <x:c r="E652" s="8" t="str">
        <x:v>OP-2</x:v>
      </x:c>
      <x:c r="F652" s="8" t="n">
        <x:v>2</x:v>
      </x:c>
      <x:c r="G652" s="8" t="str"/>
      <x:c r="H652" s="8" t="str"/>
      <x:c r="I652" s="8" t="str">
        <x:f>IF(H652="","OPEN",IF(NOT(ISNUMBER(G652)),"FAIL","PASS"))</x:f>
        <x:v>OPEN</x:v>
      </x:c>
    </x:row>
    <x:row r="653" ht="25" customHeight="1">
      <x:c r="B653" s="8" t="str">
        <x:v>MP-11-P08-O3-R1</x:v>
      </x:c>
      <x:c r="C653" s="8" t="str">
        <x:v>MP-11</x:v>
      </x:c>
      <x:c r="D653" s="8" t="n">
        <x:v>8</x:v>
      </x:c>
      <x:c r="E653" s="8" t="str">
        <x:v>OP-3</x:v>
      </x:c>
      <x:c r="F653" s="8" t="n">
        <x:v>1</x:v>
      </x:c>
      <x:c r="G653" s="8" t="str"/>
      <x:c r="H653" s="8" t="str"/>
      <x:c r="I653" s="8" t="str">
        <x:f>IF(H653="","OPEN",IF(NOT(ISNUMBER(G653)),"FAIL","PASS"))</x:f>
        <x:v>OPEN</x:v>
      </x:c>
    </x:row>
    <x:row r="654" ht="25" customHeight="1">
      <x:c r="B654" s="8" t="str">
        <x:v>MP-11-P08-O3-R2</x:v>
      </x:c>
      <x:c r="C654" s="8" t="str">
        <x:v>MP-11</x:v>
      </x:c>
      <x:c r="D654" s="8" t="n">
        <x:v>8</x:v>
      </x:c>
      <x:c r="E654" s="8" t="str">
        <x:v>OP-3</x:v>
      </x:c>
      <x:c r="F654" s="8" t="n">
        <x:v>2</x:v>
      </x:c>
      <x:c r="G654" s="8" t="str"/>
      <x:c r="H654" s="8" t="str"/>
      <x:c r="I654" s="8" t="str">
        <x:f>IF(H654="","OPEN",IF(NOT(ISNUMBER(G654)),"FAIL","PASS"))</x:f>
        <x:v>OPEN</x:v>
      </x:c>
    </x:row>
    <x:row r="655" ht="25" customHeight="1">
      <x:c r="B655" s="8" t="str">
        <x:v>MP-11-P09-O1-R1</x:v>
      </x:c>
      <x:c r="C655" s="8" t="str">
        <x:v>MP-11</x:v>
      </x:c>
      <x:c r="D655" s="8" t="n">
        <x:v>9</x:v>
      </x:c>
      <x:c r="E655" s="8" t="str">
        <x:v>OP-1</x:v>
      </x:c>
      <x:c r="F655" s="8" t="n">
        <x:v>1</x:v>
      </x:c>
      <x:c r="G655" s="8" t="str"/>
      <x:c r="H655" s="8" t="str"/>
      <x:c r="I655" s="8" t="str">
        <x:f>IF(H655="","OPEN",IF(NOT(ISNUMBER(G655)),"FAIL","PASS"))</x:f>
        <x:v>OPEN</x:v>
      </x:c>
    </x:row>
    <x:row r="656" ht="25" customHeight="1">
      <x:c r="B656" s="8" t="str">
        <x:v>MP-11-P09-O1-R2</x:v>
      </x:c>
      <x:c r="C656" s="8" t="str">
        <x:v>MP-11</x:v>
      </x:c>
      <x:c r="D656" s="8" t="n">
        <x:v>9</x:v>
      </x:c>
      <x:c r="E656" s="8" t="str">
        <x:v>OP-1</x:v>
      </x:c>
      <x:c r="F656" s="8" t="n">
        <x:v>2</x:v>
      </x:c>
      <x:c r="G656" s="8" t="str"/>
      <x:c r="H656" s="8" t="str"/>
      <x:c r="I656" s="8" t="str">
        <x:f>IF(H656="","OPEN",IF(NOT(ISNUMBER(G656)),"FAIL","PASS"))</x:f>
        <x:v>OPEN</x:v>
      </x:c>
    </x:row>
    <x:row r="657" ht="25" customHeight="1">
      <x:c r="B657" s="8" t="str">
        <x:v>MP-11-P09-O2-R1</x:v>
      </x:c>
      <x:c r="C657" s="8" t="str">
        <x:v>MP-11</x:v>
      </x:c>
      <x:c r="D657" s="8" t="n">
        <x:v>9</x:v>
      </x:c>
      <x:c r="E657" s="8" t="str">
        <x:v>OP-2</x:v>
      </x:c>
      <x:c r="F657" s="8" t="n">
        <x:v>1</x:v>
      </x:c>
      <x:c r="G657" s="8" t="str"/>
      <x:c r="H657" s="8" t="str"/>
      <x:c r="I657" s="8" t="str">
        <x:f>IF(H657="","OPEN",IF(NOT(ISNUMBER(G657)),"FAIL","PASS"))</x:f>
        <x:v>OPEN</x:v>
      </x:c>
    </x:row>
    <x:row r="658" ht="25" customHeight="1">
      <x:c r="B658" s="8" t="str">
        <x:v>MP-11-P09-O2-R2</x:v>
      </x:c>
      <x:c r="C658" s="8" t="str">
        <x:v>MP-11</x:v>
      </x:c>
      <x:c r="D658" s="8" t="n">
        <x:v>9</x:v>
      </x:c>
      <x:c r="E658" s="8" t="str">
        <x:v>OP-2</x:v>
      </x:c>
      <x:c r="F658" s="8" t="n">
        <x:v>2</x:v>
      </x:c>
      <x:c r="G658" s="8" t="str"/>
      <x:c r="H658" s="8" t="str"/>
      <x:c r="I658" s="8" t="str">
        <x:f>IF(H658="","OPEN",IF(NOT(ISNUMBER(G658)),"FAIL","PASS"))</x:f>
        <x:v>OPEN</x:v>
      </x:c>
    </x:row>
    <x:row r="659" ht="25" customHeight="1">
      <x:c r="B659" s="8" t="str">
        <x:v>MP-11-P09-O3-R1</x:v>
      </x:c>
      <x:c r="C659" s="8" t="str">
        <x:v>MP-11</x:v>
      </x:c>
      <x:c r="D659" s="8" t="n">
        <x:v>9</x:v>
      </x:c>
      <x:c r="E659" s="8" t="str">
        <x:v>OP-3</x:v>
      </x:c>
      <x:c r="F659" s="8" t="n">
        <x:v>1</x:v>
      </x:c>
      <x:c r="G659" s="8" t="str"/>
      <x:c r="H659" s="8" t="str"/>
      <x:c r="I659" s="8" t="str">
        <x:f>IF(H659="","OPEN",IF(NOT(ISNUMBER(G659)),"FAIL","PASS"))</x:f>
        <x:v>OPEN</x:v>
      </x:c>
    </x:row>
    <x:row r="660" ht="25" customHeight="1">
      <x:c r="B660" s="8" t="str">
        <x:v>MP-11-P09-O3-R2</x:v>
      </x:c>
      <x:c r="C660" s="8" t="str">
        <x:v>MP-11</x:v>
      </x:c>
      <x:c r="D660" s="8" t="n">
        <x:v>9</x:v>
      </x:c>
      <x:c r="E660" s="8" t="str">
        <x:v>OP-3</x:v>
      </x:c>
      <x:c r="F660" s="8" t="n">
        <x:v>2</x:v>
      </x:c>
      <x:c r="G660" s="8" t="str"/>
      <x:c r="H660" s="8" t="str"/>
      <x:c r="I660" s="8" t="str">
        <x:f>IF(H660="","OPEN",IF(NOT(ISNUMBER(G660)),"FAIL","PASS"))</x:f>
        <x:v>OPEN</x:v>
      </x:c>
    </x:row>
    <x:row r="661" ht="25" customHeight="1">
      <x:c r="B661" s="8" t="str">
        <x:v>MP-11-P10-O1-R1</x:v>
      </x:c>
      <x:c r="C661" s="8" t="str">
        <x:v>MP-11</x:v>
      </x:c>
      <x:c r="D661" s="8" t="n">
        <x:v>10</x:v>
      </x:c>
      <x:c r="E661" s="8" t="str">
        <x:v>OP-1</x:v>
      </x:c>
      <x:c r="F661" s="8" t="n">
        <x:v>1</x:v>
      </x:c>
      <x:c r="G661" s="8" t="str"/>
      <x:c r="H661" s="8" t="str"/>
      <x:c r="I661" s="8" t="str">
        <x:f>IF(H661="","OPEN",IF(NOT(ISNUMBER(G661)),"FAIL","PASS"))</x:f>
        <x:v>OPEN</x:v>
      </x:c>
    </x:row>
    <x:row r="662" ht="25" customHeight="1">
      <x:c r="B662" s="8" t="str">
        <x:v>MP-11-P10-O1-R2</x:v>
      </x:c>
      <x:c r="C662" s="8" t="str">
        <x:v>MP-11</x:v>
      </x:c>
      <x:c r="D662" s="8" t="n">
        <x:v>10</x:v>
      </x:c>
      <x:c r="E662" s="8" t="str">
        <x:v>OP-1</x:v>
      </x:c>
      <x:c r="F662" s="8" t="n">
        <x:v>2</x:v>
      </x:c>
      <x:c r="G662" s="8" t="str"/>
      <x:c r="H662" s="8" t="str"/>
      <x:c r="I662" s="8" t="str">
        <x:f>IF(H662="","OPEN",IF(NOT(ISNUMBER(G662)),"FAIL","PASS"))</x:f>
        <x:v>OPEN</x:v>
      </x:c>
    </x:row>
    <x:row r="663" ht="25" customHeight="1">
      <x:c r="B663" s="8" t="str">
        <x:v>MP-11-P10-O2-R1</x:v>
      </x:c>
      <x:c r="C663" s="8" t="str">
        <x:v>MP-11</x:v>
      </x:c>
      <x:c r="D663" s="8" t="n">
        <x:v>10</x:v>
      </x:c>
      <x:c r="E663" s="8" t="str">
        <x:v>OP-2</x:v>
      </x:c>
      <x:c r="F663" s="8" t="n">
        <x:v>1</x:v>
      </x:c>
      <x:c r="G663" s="8" t="str"/>
      <x:c r="H663" s="8" t="str"/>
      <x:c r="I663" s="8" t="str">
        <x:f>IF(H663="","OPEN",IF(NOT(ISNUMBER(G663)),"FAIL","PASS"))</x:f>
        <x:v>OPEN</x:v>
      </x:c>
    </x:row>
    <x:row r="664" ht="25" customHeight="1">
      <x:c r="B664" s="8" t="str">
        <x:v>MP-11-P10-O2-R2</x:v>
      </x:c>
      <x:c r="C664" s="8" t="str">
        <x:v>MP-11</x:v>
      </x:c>
      <x:c r="D664" s="8" t="n">
        <x:v>10</x:v>
      </x:c>
      <x:c r="E664" s="8" t="str">
        <x:v>OP-2</x:v>
      </x:c>
      <x:c r="F664" s="8" t="n">
        <x:v>2</x:v>
      </x:c>
      <x:c r="G664" s="8" t="str"/>
      <x:c r="H664" s="8" t="str"/>
      <x:c r="I664" s="8" t="str">
        <x:f>IF(H664="","OPEN",IF(NOT(ISNUMBER(G664)),"FAIL","PASS"))</x:f>
        <x:v>OPEN</x:v>
      </x:c>
    </x:row>
    <x:row r="665" ht="25" customHeight="1">
      <x:c r="B665" s="8" t="str">
        <x:v>MP-11-P10-O3-R1</x:v>
      </x:c>
      <x:c r="C665" s="8" t="str">
        <x:v>MP-11</x:v>
      </x:c>
      <x:c r="D665" s="8" t="n">
        <x:v>10</x:v>
      </x:c>
      <x:c r="E665" s="8" t="str">
        <x:v>OP-3</x:v>
      </x:c>
      <x:c r="F665" s="8" t="n">
        <x:v>1</x:v>
      </x:c>
      <x:c r="G665" s="8" t="str"/>
      <x:c r="H665" s="8" t="str"/>
      <x:c r="I665" s="8" t="str">
        <x:f>IF(H665="","OPEN",IF(NOT(ISNUMBER(G665)),"FAIL","PASS"))</x:f>
        <x:v>OPEN</x:v>
      </x:c>
    </x:row>
    <x:row r="666" ht="25" customHeight="1">
      <x:c r="B666" s="8" t="str">
        <x:v>MP-11-P10-O3-R2</x:v>
      </x:c>
      <x:c r="C666" s="8" t="str">
        <x:v>MP-11</x:v>
      </x:c>
      <x:c r="D666" s="8" t="n">
        <x:v>10</x:v>
      </x:c>
      <x:c r="E666" s="8" t="str">
        <x:v>OP-3</x:v>
      </x:c>
      <x:c r="F666" s="8" t="n">
        <x:v>2</x:v>
      </x:c>
      <x:c r="G666" s="8" t="str"/>
      <x:c r="H666" s="8" t="str"/>
      <x:c r="I666" s="8" t="str">
        <x:f>IF(H666="","OPEN",IF(NOT(ISNUMBER(G666)),"FAIL","PASS"))</x:f>
        <x:v>OPEN</x:v>
      </x:c>
    </x:row>
    <x:row r="667" ht="25" customHeight="1">
      <x:c r="B667" s="8" t="str">
        <x:v>MP-12-P01-O1-R1</x:v>
      </x:c>
      <x:c r="C667" s="8" t="str">
        <x:v>MP-12</x:v>
      </x:c>
      <x:c r="D667" s="8" t="n">
        <x:v>1</x:v>
      </x:c>
      <x:c r="E667" s="8" t="str">
        <x:v>OP-1</x:v>
      </x:c>
      <x:c r="F667" s="8" t="n">
        <x:v>1</x:v>
      </x:c>
      <x:c r="G667" s="8" t="str"/>
      <x:c r="H667" s="8" t="str"/>
      <x:c r="I667" s="8" t="str">
        <x:f>IF(H667="","OPEN",IF(NOT(ISNUMBER(G667)),"FAIL","PASS"))</x:f>
        <x:v>OPEN</x:v>
      </x:c>
    </x:row>
    <x:row r="668" ht="25" customHeight="1">
      <x:c r="B668" s="8" t="str">
        <x:v>MP-12-P01-O1-R2</x:v>
      </x:c>
      <x:c r="C668" s="8" t="str">
        <x:v>MP-12</x:v>
      </x:c>
      <x:c r="D668" s="8" t="n">
        <x:v>1</x:v>
      </x:c>
      <x:c r="E668" s="8" t="str">
        <x:v>OP-1</x:v>
      </x:c>
      <x:c r="F668" s="8" t="n">
        <x:v>2</x:v>
      </x:c>
      <x:c r="G668" s="8" t="str"/>
      <x:c r="H668" s="8" t="str"/>
      <x:c r="I668" s="8" t="str">
        <x:f>IF(H668="","OPEN",IF(NOT(ISNUMBER(G668)),"FAIL","PASS"))</x:f>
        <x:v>OPEN</x:v>
      </x:c>
    </x:row>
    <x:row r="669" ht="25" customHeight="1">
      <x:c r="B669" s="8" t="str">
        <x:v>MP-12-P01-O2-R1</x:v>
      </x:c>
      <x:c r="C669" s="8" t="str">
        <x:v>MP-12</x:v>
      </x:c>
      <x:c r="D669" s="8" t="n">
        <x:v>1</x:v>
      </x:c>
      <x:c r="E669" s="8" t="str">
        <x:v>OP-2</x:v>
      </x:c>
      <x:c r="F669" s="8" t="n">
        <x:v>1</x:v>
      </x:c>
      <x:c r="G669" s="8" t="str"/>
      <x:c r="H669" s="8" t="str"/>
      <x:c r="I669" s="8" t="str">
        <x:f>IF(H669="","OPEN",IF(NOT(ISNUMBER(G669)),"FAIL","PASS"))</x:f>
        <x:v>OPEN</x:v>
      </x:c>
    </x:row>
    <x:row r="670" ht="25" customHeight="1">
      <x:c r="B670" s="8" t="str">
        <x:v>MP-12-P01-O2-R2</x:v>
      </x:c>
      <x:c r="C670" s="8" t="str">
        <x:v>MP-12</x:v>
      </x:c>
      <x:c r="D670" s="8" t="n">
        <x:v>1</x:v>
      </x:c>
      <x:c r="E670" s="8" t="str">
        <x:v>OP-2</x:v>
      </x:c>
      <x:c r="F670" s="8" t="n">
        <x:v>2</x:v>
      </x:c>
      <x:c r="G670" s="8" t="str"/>
      <x:c r="H670" s="8" t="str"/>
      <x:c r="I670" s="8" t="str">
        <x:f>IF(H670="","OPEN",IF(NOT(ISNUMBER(G670)),"FAIL","PASS"))</x:f>
        <x:v>OPEN</x:v>
      </x:c>
    </x:row>
    <x:row r="671" ht="25" customHeight="1">
      <x:c r="B671" s="8" t="str">
        <x:v>MP-12-P01-O3-R1</x:v>
      </x:c>
      <x:c r="C671" s="8" t="str">
        <x:v>MP-12</x:v>
      </x:c>
      <x:c r="D671" s="8" t="n">
        <x:v>1</x:v>
      </x:c>
      <x:c r="E671" s="8" t="str">
        <x:v>OP-3</x:v>
      </x:c>
      <x:c r="F671" s="8" t="n">
        <x:v>1</x:v>
      </x:c>
      <x:c r="G671" s="8" t="str"/>
      <x:c r="H671" s="8" t="str"/>
      <x:c r="I671" s="8" t="str">
        <x:f>IF(H671="","OPEN",IF(NOT(ISNUMBER(G671)),"FAIL","PASS"))</x:f>
        <x:v>OPEN</x:v>
      </x:c>
    </x:row>
    <x:row r="672" ht="25" customHeight="1">
      <x:c r="B672" s="8" t="str">
        <x:v>MP-12-P01-O3-R2</x:v>
      </x:c>
      <x:c r="C672" s="8" t="str">
        <x:v>MP-12</x:v>
      </x:c>
      <x:c r="D672" s="8" t="n">
        <x:v>1</x:v>
      </x:c>
      <x:c r="E672" s="8" t="str">
        <x:v>OP-3</x:v>
      </x:c>
      <x:c r="F672" s="8" t="n">
        <x:v>2</x:v>
      </x:c>
      <x:c r="G672" s="8" t="str"/>
      <x:c r="H672" s="8" t="str"/>
      <x:c r="I672" s="8" t="str">
        <x:f>IF(H672="","OPEN",IF(NOT(ISNUMBER(G672)),"FAIL","PASS"))</x:f>
        <x:v>OPEN</x:v>
      </x:c>
    </x:row>
    <x:row r="673" ht="25" customHeight="1">
      <x:c r="B673" s="8" t="str">
        <x:v>MP-12-P02-O1-R1</x:v>
      </x:c>
      <x:c r="C673" s="8" t="str">
        <x:v>MP-12</x:v>
      </x:c>
      <x:c r="D673" s="8" t="n">
        <x:v>2</x:v>
      </x:c>
      <x:c r="E673" s="8" t="str">
        <x:v>OP-1</x:v>
      </x:c>
      <x:c r="F673" s="8" t="n">
        <x:v>1</x:v>
      </x:c>
      <x:c r="G673" s="8" t="str"/>
      <x:c r="H673" s="8" t="str"/>
      <x:c r="I673" s="8" t="str">
        <x:f>IF(H673="","OPEN",IF(NOT(ISNUMBER(G673)),"FAIL","PASS"))</x:f>
        <x:v>OPEN</x:v>
      </x:c>
    </x:row>
    <x:row r="674" ht="25" customHeight="1">
      <x:c r="B674" s="8" t="str">
        <x:v>MP-12-P02-O1-R2</x:v>
      </x:c>
      <x:c r="C674" s="8" t="str">
        <x:v>MP-12</x:v>
      </x:c>
      <x:c r="D674" s="8" t="n">
        <x:v>2</x:v>
      </x:c>
      <x:c r="E674" s="8" t="str">
        <x:v>OP-1</x:v>
      </x:c>
      <x:c r="F674" s="8" t="n">
        <x:v>2</x:v>
      </x:c>
      <x:c r="G674" s="8" t="str"/>
      <x:c r="H674" s="8" t="str"/>
      <x:c r="I674" s="8" t="str">
        <x:f>IF(H674="","OPEN",IF(NOT(ISNUMBER(G674)),"FAIL","PASS"))</x:f>
        <x:v>OPEN</x:v>
      </x:c>
    </x:row>
    <x:row r="675" ht="25" customHeight="1">
      <x:c r="B675" s="8" t="str">
        <x:v>MP-12-P02-O2-R1</x:v>
      </x:c>
      <x:c r="C675" s="8" t="str">
        <x:v>MP-12</x:v>
      </x:c>
      <x:c r="D675" s="8" t="n">
        <x:v>2</x:v>
      </x:c>
      <x:c r="E675" s="8" t="str">
        <x:v>OP-2</x:v>
      </x:c>
      <x:c r="F675" s="8" t="n">
        <x:v>1</x:v>
      </x:c>
      <x:c r="G675" s="8" t="str"/>
      <x:c r="H675" s="8" t="str"/>
      <x:c r="I675" s="8" t="str">
        <x:f>IF(H675="","OPEN",IF(NOT(ISNUMBER(G675)),"FAIL","PASS"))</x:f>
        <x:v>OPEN</x:v>
      </x:c>
    </x:row>
    <x:row r="676" ht="25" customHeight="1">
      <x:c r="B676" s="8" t="str">
        <x:v>MP-12-P02-O2-R2</x:v>
      </x:c>
      <x:c r="C676" s="8" t="str">
        <x:v>MP-12</x:v>
      </x:c>
      <x:c r="D676" s="8" t="n">
        <x:v>2</x:v>
      </x:c>
      <x:c r="E676" s="8" t="str">
        <x:v>OP-2</x:v>
      </x:c>
      <x:c r="F676" s="8" t="n">
        <x:v>2</x:v>
      </x:c>
      <x:c r="G676" s="8" t="str"/>
      <x:c r="H676" s="8" t="str"/>
      <x:c r="I676" s="8" t="str">
        <x:f>IF(H676="","OPEN",IF(NOT(ISNUMBER(G676)),"FAIL","PASS"))</x:f>
        <x:v>OPEN</x:v>
      </x:c>
    </x:row>
    <x:row r="677" ht="25" customHeight="1">
      <x:c r="B677" s="8" t="str">
        <x:v>MP-12-P02-O3-R1</x:v>
      </x:c>
      <x:c r="C677" s="8" t="str">
        <x:v>MP-12</x:v>
      </x:c>
      <x:c r="D677" s="8" t="n">
        <x:v>2</x:v>
      </x:c>
      <x:c r="E677" s="8" t="str">
        <x:v>OP-3</x:v>
      </x:c>
      <x:c r="F677" s="8" t="n">
        <x:v>1</x:v>
      </x:c>
      <x:c r="G677" s="8" t="str"/>
      <x:c r="H677" s="8" t="str"/>
      <x:c r="I677" s="8" t="str">
        <x:f>IF(H677="","OPEN",IF(NOT(ISNUMBER(G677)),"FAIL","PASS"))</x:f>
        <x:v>OPEN</x:v>
      </x:c>
    </x:row>
    <x:row r="678" ht="25" customHeight="1">
      <x:c r="B678" s="8" t="str">
        <x:v>MP-12-P02-O3-R2</x:v>
      </x:c>
      <x:c r="C678" s="8" t="str">
        <x:v>MP-12</x:v>
      </x:c>
      <x:c r="D678" s="8" t="n">
        <x:v>2</x:v>
      </x:c>
      <x:c r="E678" s="8" t="str">
        <x:v>OP-3</x:v>
      </x:c>
      <x:c r="F678" s="8" t="n">
        <x:v>2</x:v>
      </x:c>
      <x:c r="G678" s="8" t="str"/>
      <x:c r="H678" s="8" t="str"/>
      <x:c r="I678" s="8" t="str">
        <x:f>IF(H678="","OPEN",IF(NOT(ISNUMBER(G678)),"FAIL","PASS"))</x:f>
        <x:v>OPEN</x:v>
      </x:c>
    </x:row>
    <x:row r="679" ht="25" customHeight="1">
      <x:c r="B679" s="8" t="str">
        <x:v>MP-12-P03-O1-R1</x:v>
      </x:c>
      <x:c r="C679" s="8" t="str">
        <x:v>MP-12</x:v>
      </x:c>
      <x:c r="D679" s="8" t="n">
        <x:v>3</x:v>
      </x:c>
      <x:c r="E679" s="8" t="str">
        <x:v>OP-1</x:v>
      </x:c>
      <x:c r="F679" s="8" t="n">
        <x:v>1</x:v>
      </x:c>
      <x:c r="G679" s="8" t="str"/>
      <x:c r="H679" s="8" t="str"/>
      <x:c r="I679" s="8" t="str">
        <x:f>IF(H679="","OPEN",IF(NOT(ISNUMBER(G679)),"FAIL","PASS"))</x:f>
        <x:v>OPEN</x:v>
      </x:c>
    </x:row>
    <x:row r="680" ht="25" customHeight="1">
      <x:c r="B680" s="8" t="str">
        <x:v>MP-12-P03-O1-R2</x:v>
      </x:c>
      <x:c r="C680" s="8" t="str">
        <x:v>MP-12</x:v>
      </x:c>
      <x:c r="D680" s="8" t="n">
        <x:v>3</x:v>
      </x:c>
      <x:c r="E680" s="8" t="str">
        <x:v>OP-1</x:v>
      </x:c>
      <x:c r="F680" s="8" t="n">
        <x:v>2</x:v>
      </x:c>
      <x:c r="G680" s="8" t="str"/>
      <x:c r="H680" s="8" t="str"/>
      <x:c r="I680" s="8" t="str">
        <x:f>IF(H680="","OPEN",IF(NOT(ISNUMBER(G680)),"FAIL","PASS"))</x:f>
        <x:v>OPEN</x:v>
      </x:c>
    </x:row>
    <x:row r="681" ht="25" customHeight="1">
      <x:c r="B681" s="8" t="str">
        <x:v>MP-12-P03-O2-R1</x:v>
      </x:c>
      <x:c r="C681" s="8" t="str">
        <x:v>MP-12</x:v>
      </x:c>
      <x:c r="D681" s="8" t="n">
        <x:v>3</x:v>
      </x:c>
      <x:c r="E681" s="8" t="str">
        <x:v>OP-2</x:v>
      </x:c>
      <x:c r="F681" s="8" t="n">
        <x:v>1</x:v>
      </x:c>
      <x:c r="G681" s="8" t="str"/>
      <x:c r="H681" s="8" t="str"/>
      <x:c r="I681" s="8" t="str">
        <x:f>IF(H681="","OPEN",IF(NOT(ISNUMBER(G681)),"FAIL","PASS"))</x:f>
        <x:v>OPEN</x:v>
      </x:c>
    </x:row>
    <x:row r="682" ht="25" customHeight="1">
      <x:c r="B682" s="8" t="str">
        <x:v>MP-12-P03-O2-R2</x:v>
      </x:c>
      <x:c r="C682" s="8" t="str">
        <x:v>MP-12</x:v>
      </x:c>
      <x:c r="D682" s="8" t="n">
        <x:v>3</x:v>
      </x:c>
      <x:c r="E682" s="8" t="str">
        <x:v>OP-2</x:v>
      </x:c>
      <x:c r="F682" s="8" t="n">
        <x:v>2</x:v>
      </x:c>
      <x:c r="G682" s="8" t="str"/>
      <x:c r="H682" s="8" t="str"/>
      <x:c r="I682" s="8" t="str">
        <x:f>IF(H682="","OPEN",IF(NOT(ISNUMBER(G682)),"FAIL","PASS"))</x:f>
        <x:v>OPEN</x:v>
      </x:c>
    </x:row>
    <x:row r="683" ht="25" customHeight="1">
      <x:c r="B683" s="8" t="str">
        <x:v>MP-12-P03-O3-R1</x:v>
      </x:c>
      <x:c r="C683" s="8" t="str">
        <x:v>MP-12</x:v>
      </x:c>
      <x:c r="D683" s="8" t="n">
        <x:v>3</x:v>
      </x:c>
      <x:c r="E683" s="8" t="str">
        <x:v>OP-3</x:v>
      </x:c>
      <x:c r="F683" s="8" t="n">
        <x:v>1</x:v>
      </x:c>
      <x:c r="G683" s="8" t="str"/>
      <x:c r="H683" s="8" t="str"/>
      <x:c r="I683" s="8" t="str">
        <x:f>IF(H683="","OPEN",IF(NOT(ISNUMBER(G683)),"FAIL","PASS"))</x:f>
        <x:v>OPEN</x:v>
      </x:c>
    </x:row>
    <x:row r="684" ht="25" customHeight="1">
      <x:c r="B684" s="8" t="str">
        <x:v>MP-12-P03-O3-R2</x:v>
      </x:c>
      <x:c r="C684" s="8" t="str">
        <x:v>MP-12</x:v>
      </x:c>
      <x:c r="D684" s="8" t="n">
        <x:v>3</x:v>
      </x:c>
      <x:c r="E684" s="8" t="str">
        <x:v>OP-3</x:v>
      </x:c>
      <x:c r="F684" s="8" t="n">
        <x:v>2</x:v>
      </x:c>
      <x:c r="G684" s="8" t="str"/>
      <x:c r="H684" s="8" t="str"/>
      <x:c r="I684" s="8" t="str">
        <x:f>IF(H684="","OPEN",IF(NOT(ISNUMBER(G684)),"FAIL","PASS"))</x:f>
        <x:v>OPEN</x:v>
      </x:c>
    </x:row>
    <x:row r="685" ht="25" customHeight="1">
      <x:c r="B685" s="8" t="str">
        <x:v>MP-12-P04-O1-R1</x:v>
      </x:c>
      <x:c r="C685" s="8" t="str">
        <x:v>MP-12</x:v>
      </x:c>
      <x:c r="D685" s="8" t="n">
        <x:v>4</x:v>
      </x:c>
      <x:c r="E685" s="8" t="str">
        <x:v>OP-1</x:v>
      </x:c>
      <x:c r="F685" s="8" t="n">
        <x:v>1</x:v>
      </x:c>
      <x:c r="G685" s="8" t="str"/>
      <x:c r="H685" s="8" t="str"/>
      <x:c r="I685" s="8" t="str">
        <x:f>IF(H685="","OPEN",IF(NOT(ISNUMBER(G685)),"FAIL","PASS"))</x:f>
        <x:v>OPEN</x:v>
      </x:c>
    </x:row>
    <x:row r="686" ht="25" customHeight="1">
      <x:c r="B686" s="8" t="str">
        <x:v>MP-12-P04-O1-R2</x:v>
      </x:c>
      <x:c r="C686" s="8" t="str">
        <x:v>MP-12</x:v>
      </x:c>
      <x:c r="D686" s="8" t="n">
        <x:v>4</x:v>
      </x:c>
      <x:c r="E686" s="8" t="str">
        <x:v>OP-1</x:v>
      </x:c>
      <x:c r="F686" s="8" t="n">
        <x:v>2</x:v>
      </x:c>
      <x:c r="G686" s="8" t="str"/>
      <x:c r="H686" s="8" t="str"/>
      <x:c r="I686" s="8" t="str">
        <x:f>IF(H686="","OPEN",IF(NOT(ISNUMBER(G686)),"FAIL","PASS"))</x:f>
        <x:v>OPEN</x:v>
      </x:c>
    </x:row>
    <x:row r="687" ht="25" customHeight="1">
      <x:c r="B687" s="8" t="str">
        <x:v>MP-12-P04-O2-R1</x:v>
      </x:c>
      <x:c r="C687" s="8" t="str">
        <x:v>MP-12</x:v>
      </x:c>
      <x:c r="D687" s="8" t="n">
        <x:v>4</x:v>
      </x:c>
      <x:c r="E687" s="8" t="str">
        <x:v>OP-2</x:v>
      </x:c>
      <x:c r="F687" s="8" t="n">
        <x:v>1</x:v>
      </x:c>
      <x:c r="G687" s="8" t="str"/>
      <x:c r="H687" s="8" t="str"/>
      <x:c r="I687" s="8" t="str">
        <x:f>IF(H687="","OPEN",IF(NOT(ISNUMBER(G687)),"FAIL","PASS"))</x:f>
        <x:v>OPEN</x:v>
      </x:c>
    </x:row>
    <x:row r="688" ht="25" customHeight="1">
      <x:c r="B688" s="8" t="str">
        <x:v>MP-12-P04-O2-R2</x:v>
      </x:c>
      <x:c r="C688" s="8" t="str">
        <x:v>MP-12</x:v>
      </x:c>
      <x:c r="D688" s="8" t="n">
        <x:v>4</x:v>
      </x:c>
      <x:c r="E688" s="8" t="str">
        <x:v>OP-2</x:v>
      </x:c>
      <x:c r="F688" s="8" t="n">
        <x:v>2</x:v>
      </x:c>
      <x:c r="G688" s="8" t="str"/>
      <x:c r="H688" s="8" t="str"/>
      <x:c r="I688" s="8" t="str">
        <x:f>IF(H688="","OPEN",IF(NOT(ISNUMBER(G688)),"FAIL","PASS"))</x:f>
        <x:v>OPEN</x:v>
      </x:c>
    </x:row>
    <x:row r="689" ht="25" customHeight="1">
      <x:c r="B689" s="8" t="str">
        <x:v>MP-12-P04-O3-R1</x:v>
      </x:c>
      <x:c r="C689" s="8" t="str">
        <x:v>MP-12</x:v>
      </x:c>
      <x:c r="D689" s="8" t="n">
        <x:v>4</x:v>
      </x:c>
      <x:c r="E689" s="8" t="str">
        <x:v>OP-3</x:v>
      </x:c>
      <x:c r="F689" s="8" t="n">
        <x:v>1</x:v>
      </x:c>
      <x:c r="G689" s="8" t="str"/>
      <x:c r="H689" s="8" t="str"/>
      <x:c r="I689" s="8" t="str">
        <x:f>IF(H689="","OPEN",IF(NOT(ISNUMBER(G689)),"FAIL","PASS"))</x:f>
        <x:v>OPEN</x:v>
      </x:c>
    </x:row>
    <x:row r="690" ht="25" customHeight="1">
      <x:c r="B690" s="8" t="str">
        <x:v>MP-12-P04-O3-R2</x:v>
      </x:c>
      <x:c r="C690" s="8" t="str">
        <x:v>MP-12</x:v>
      </x:c>
      <x:c r="D690" s="8" t="n">
        <x:v>4</x:v>
      </x:c>
      <x:c r="E690" s="8" t="str">
        <x:v>OP-3</x:v>
      </x:c>
      <x:c r="F690" s="8" t="n">
        <x:v>2</x:v>
      </x:c>
      <x:c r="G690" s="8" t="str"/>
      <x:c r="H690" s="8" t="str"/>
      <x:c r="I690" s="8" t="str">
        <x:f>IF(H690="","OPEN",IF(NOT(ISNUMBER(G690)),"FAIL","PASS"))</x:f>
        <x:v>OPEN</x:v>
      </x:c>
    </x:row>
    <x:row r="691" ht="25" customHeight="1">
      <x:c r="B691" s="8" t="str">
        <x:v>MP-12-P05-O1-R1</x:v>
      </x:c>
      <x:c r="C691" s="8" t="str">
        <x:v>MP-12</x:v>
      </x:c>
      <x:c r="D691" s="8" t="n">
        <x:v>5</x:v>
      </x:c>
      <x:c r="E691" s="8" t="str">
        <x:v>OP-1</x:v>
      </x:c>
      <x:c r="F691" s="8" t="n">
        <x:v>1</x:v>
      </x:c>
      <x:c r="G691" s="8" t="str"/>
      <x:c r="H691" s="8" t="str"/>
      <x:c r="I691" s="8" t="str">
        <x:f>IF(H691="","OPEN",IF(NOT(ISNUMBER(G691)),"FAIL","PASS"))</x:f>
        <x:v>OPEN</x:v>
      </x:c>
    </x:row>
    <x:row r="692" ht="25" customHeight="1">
      <x:c r="B692" s="8" t="str">
        <x:v>MP-12-P05-O1-R2</x:v>
      </x:c>
      <x:c r="C692" s="8" t="str">
        <x:v>MP-12</x:v>
      </x:c>
      <x:c r="D692" s="8" t="n">
        <x:v>5</x:v>
      </x:c>
      <x:c r="E692" s="8" t="str">
        <x:v>OP-1</x:v>
      </x:c>
      <x:c r="F692" s="8" t="n">
        <x:v>2</x:v>
      </x:c>
      <x:c r="G692" s="8" t="str"/>
      <x:c r="H692" s="8" t="str"/>
      <x:c r="I692" s="8" t="str">
        <x:f>IF(H692="","OPEN",IF(NOT(ISNUMBER(G692)),"FAIL","PASS"))</x:f>
        <x:v>OPEN</x:v>
      </x:c>
    </x:row>
    <x:row r="693" ht="25" customHeight="1">
      <x:c r="B693" s="8" t="str">
        <x:v>MP-12-P05-O2-R1</x:v>
      </x:c>
      <x:c r="C693" s="8" t="str">
        <x:v>MP-12</x:v>
      </x:c>
      <x:c r="D693" s="8" t="n">
        <x:v>5</x:v>
      </x:c>
      <x:c r="E693" s="8" t="str">
        <x:v>OP-2</x:v>
      </x:c>
      <x:c r="F693" s="8" t="n">
        <x:v>1</x:v>
      </x:c>
      <x:c r="G693" s="8" t="str"/>
      <x:c r="H693" s="8" t="str"/>
      <x:c r="I693" s="8" t="str">
        <x:f>IF(H693="","OPEN",IF(NOT(ISNUMBER(G693)),"FAIL","PASS"))</x:f>
        <x:v>OPEN</x:v>
      </x:c>
    </x:row>
    <x:row r="694" ht="25" customHeight="1">
      <x:c r="B694" s="8" t="str">
        <x:v>MP-12-P05-O2-R2</x:v>
      </x:c>
      <x:c r="C694" s="8" t="str">
        <x:v>MP-12</x:v>
      </x:c>
      <x:c r="D694" s="8" t="n">
        <x:v>5</x:v>
      </x:c>
      <x:c r="E694" s="8" t="str">
        <x:v>OP-2</x:v>
      </x:c>
      <x:c r="F694" s="8" t="n">
        <x:v>2</x:v>
      </x:c>
      <x:c r="G694" s="8" t="str"/>
      <x:c r="H694" s="8" t="str"/>
      <x:c r="I694" s="8" t="str">
        <x:f>IF(H694="","OPEN",IF(NOT(ISNUMBER(G694)),"FAIL","PASS"))</x:f>
        <x:v>OPEN</x:v>
      </x:c>
    </x:row>
    <x:row r="695" ht="25" customHeight="1">
      <x:c r="B695" s="8" t="str">
        <x:v>MP-12-P05-O3-R1</x:v>
      </x:c>
      <x:c r="C695" s="8" t="str">
        <x:v>MP-12</x:v>
      </x:c>
      <x:c r="D695" s="8" t="n">
        <x:v>5</x:v>
      </x:c>
      <x:c r="E695" s="8" t="str">
        <x:v>OP-3</x:v>
      </x:c>
      <x:c r="F695" s="8" t="n">
        <x:v>1</x:v>
      </x:c>
      <x:c r="G695" s="8" t="str"/>
      <x:c r="H695" s="8" t="str"/>
      <x:c r="I695" s="8" t="str">
        <x:f>IF(H695="","OPEN",IF(NOT(ISNUMBER(G695)),"FAIL","PASS"))</x:f>
        <x:v>OPEN</x:v>
      </x:c>
    </x:row>
    <x:row r="696" ht="25" customHeight="1">
      <x:c r="B696" s="8" t="str">
        <x:v>MP-12-P05-O3-R2</x:v>
      </x:c>
      <x:c r="C696" s="8" t="str">
        <x:v>MP-12</x:v>
      </x:c>
      <x:c r="D696" s="8" t="n">
        <x:v>5</x:v>
      </x:c>
      <x:c r="E696" s="8" t="str">
        <x:v>OP-3</x:v>
      </x:c>
      <x:c r="F696" s="8" t="n">
        <x:v>2</x:v>
      </x:c>
      <x:c r="G696" s="8" t="str"/>
      <x:c r="H696" s="8" t="str"/>
      <x:c r="I696" s="8" t="str">
        <x:f>IF(H696="","OPEN",IF(NOT(ISNUMBER(G696)),"FAIL","PASS"))</x:f>
        <x:v>OPEN</x:v>
      </x:c>
    </x:row>
    <x:row r="697" ht="25" customHeight="1">
      <x:c r="B697" s="8" t="str">
        <x:v>MP-12-P06-O1-R1</x:v>
      </x:c>
      <x:c r="C697" s="8" t="str">
        <x:v>MP-12</x:v>
      </x:c>
      <x:c r="D697" s="8" t="n">
        <x:v>6</x:v>
      </x:c>
      <x:c r="E697" s="8" t="str">
        <x:v>OP-1</x:v>
      </x:c>
      <x:c r="F697" s="8" t="n">
        <x:v>1</x:v>
      </x:c>
      <x:c r="G697" s="8" t="str"/>
      <x:c r="H697" s="8" t="str"/>
      <x:c r="I697" s="8" t="str">
        <x:f>IF(H697="","OPEN",IF(NOT(ISNUMBER(G697)),"FAIL","PASS"))</x:f>
        <x:v>OPEN</x:v>
      </x:c>
    </x:row>
    <x:row r="698" ht="25" customHeight="1">
      <x:c r="B698" s="8" t="str">
        <x:v>MP-12-P06-O1-R2</x:v>
      </x:c>
      <x:c r="C698" s="8" t="str">
        <x:v>MP-12</x:v>
      </x:c>
      <x:c r="D698" s="8" t="n">
        <x:v>6</x:v>
      </x:c>
      <x:c r="E698" s="8" t="str">
        <x:v>OP-1</x:v>
      </x:c>
      <x:c r="F698" s="8" t="n">
        <x:v>2</x:v>
      </x:c>
      <x:c r="G698" s="8" t="str"/>
      <x:c r="H698" s="8" t="str"/>
      <x:c r="I698" s="8" t="str">
        <x:f>IF(H698="","OPEN",IF(NOT(ISNUMBER(G698)),"FAIL","PASS"))</x:f>
        <x:v>OPEN</x:v>
      </x:c>
    </x:row>
    <x:row r="699" ht="25" customHeight="1">
      <x:c r="B699" s="8" t="str">
        <x:v>MP-12-P06-O2-R1</x:v>
      </x:c>
      <x:c r="C699" s="8" t="str">
        <x:v>MP-12</x:v>
      </x:c>
      <x:c r="D699" s="8" t="n">
        <x:v>6</x:v>
      </x:c>
      <x:c r="E699" s="8" t="str">
        <x:v>OP-2</x:v>
      </x:c>
      <x:c r="F699" s="8" t="n">
        <x:v>1</x:v>
      </x:c>
      <x:c r="G699" s="8" t="str"/>
      <x:c r="H699" s="8" t="str"/>
      <x:c r="I699" s="8" t="str">
        <x:f>IF(H699="","OPEN",IF(NOT(ISNUMBER(G699)),"FAIL","PASS"))</x:f>
        <x:v>OPEN</x:v>
      </x:c>
    </x:row>
    <x:row r="700" ht="25" customHeight="1">
      <x:c r="B700" s="8" t="str">
        <x:v>MP-12-P06-O2-R2</x:v>
      </x:c>
      <x:c r="C700" s="8" t="str">
        <x:v>MP-12</x:v>
      </x:c>
      <x:c r="D700" s="8" t="n">
        <x:v>6</x:v>
      </x:c>
      <x:c r="E700" s="8" t="str">
        <x:v>OP-2</x:v>
      </x:c>
      <x:c r="F700" s="8" t="n">
        <x:v>2</x:v>
      </x:c>
      <x:c r="G700" s="8" t="str"/>
      <x:c r="H700" s="8" t="str"/>
      <x:c r="I700" s="8" t="str">
        <x:f>IF(H700="","OPEN",IF(NOT(ISNUMBER(G700)),"FAIL","PASS"))</x:f>
        <x:v>OPEN</x:v>
      </x:c>
    </x:row>
    <x:row r="701" ht="25" customHeight="1">
      <x:c r="B701" s="8" t="str">
        <x:v>MP-12-P06-O3-R1</x:v>
      </x:c>
      <x:c r="C701" s="8" t="str">
        <x:v>MP-12</x:v>
      </x:c>
      <x:c r="D701" s="8" t="n">
        <x:v>6</x:v>
      </x:c>
      <x:c r="E701" s="8" t="str">
        <x:v>OP-3</x:v>
      </x:c>
      <x:c r="F701" s="8" t="n">
        <x:v>1</x:v>
      </x:c>
      <x:c r="G701" s="8" t="str"/>
      <x:c r="H701" s="8" t="str"/>
      <x:c r="I701" s="8" t="str">
        <x:f>IF(H701="","OPEN",IF(NOT(ISNUMBER(G701)),"FAIL","PASS"))</x:f>
        <x:v>OPEN</x:v>
      </x:c>
    </x:row>
    <x:row r="702" ht="25" customHeight="1">
      <x:c r="B702" s="8" t="str">
        <x:v>MP-12-P06-O3-R2</x:v>
      </x:c>
      <x:c r="C702" s="8" t="str">
        <x:v>MP-12</x:v>
      </x:c>
      <x:c r="D702" s="8" t="n">
        <x:v>6</x:v>
      </x:c>
      <x:c r="E702" s="8" t="str">
        <x:v>OP-3</x:v>
      </x:c>
      <x:c r="F702" s="8" t="n">
        <x:v>2</x:v>
      </x:c>
      <x:c r="G702" s="8" t="str"/>
      <x:c r="H702" s="8" t="str"/>
      <x:c r="I702" s="8" t="str">
        <x:f>IF(H702="","OPEN",IF(NOT(ISNUMBER(G702)),"FAIL","PASS"))</x:f>
        <x:v>OPEN</x:v>
      </x:c>
    </x:row>
    <x:row r="703" ht="25" customHeight="1">
      <x:c r="B703" s="8" t="str">
        <x:v>MP-12-P07-O1-R1</x:v>
      </x:c>
      <x:c r="C703" s="8" t="str">
        <x:v>MP-12</x:v>
      </x:c>
      <x:c r="D703" s="8" t="n">
        <x:v>7</x:v>
      </x:c>
      <x:c r="E703" s="8" t="str">
        <x:v>OP-1</x:v>
      </x:c>
      <x:c r="F703" s="8" t="n">
        <x:v>1</x:v>
      </x:c>
      <x:c r="G703" s="8" t="str"/>
      <x:c r="H703" s="8" t="str"/>
      <x:c r="I703" s="8" t="str">
        <x:f>IF(H703="","OPEN",IF(NOT(ISNUMBER(G703)),"FAIL","PASS"))</x:f>
        <x:v>OPEN</x:v>
      </x:c>
    </x:row>
    <x:row r="704" ht="25" customHeight="1">
      <x:c r="B704" s="8" t="str">
        <x:v>MP-12-P07-O1-R2</x:v>
      </x:c>
      <x:c r="C704" s="8" t="str">
        <x:v>MP-12</x:v>
      </x:c>
      <x:c r="D704" s="8" t="n">
        <x:v>7</x:v>
      </x:c>
      <x:c r="E704" s="8" t="str">
        <x:v>OP-1</x:v>
      </x:c>
      <x:c r="F704" s="8" t="n">
        <x:v>2</x:v>
      </x:c>
      <x:c r="G704" s="8" t="str"/>
      <x:c r="H704" s="8" t="str"/>
      <x:c r="I704" s="8" t="str">
        <x:f>IF(H704="","OPEN",IF(NOT(ISNUMBER(G704)),"FAIL","PASS"))</x:f>
        <x:v>OPEN</x:v>
      </x:c>
    </x:row>
    <x:row r="705" ht="25" customHeight="1">
      <x:c r="B705" s="8" t="str">
        <x:v>MP-12-P07-O2-R1</x:v>
      </x:c>
      <x:c r="C705" s="8" t="str">
        <x:v>MP-12</x:v>
      </x:c>
      <x:c r="D705" s="8" t="n">
        <x:v>7</x:v>
      </x:c>
      <x:c r="E705" s="8" t="str">
        <x:v>OP-2</x:v>
      </x:c>
      <x:c r="F705" s="8" t="n">
        <x:v>1</x:v>
      </x:c>
      <x:c r="G705" s="8" t="str"/>
      <x:c r="H705" s="8" t="str"/>
      <x:c r="I705" s="8" t="str">
        <x:f>IF(H705="","OPEN",IF(NOT(ISNUMBER(G705)),"FAIL","PASS"))</x:f>
        <x:v>OPEN</x:v>
      </x:c>
    </x:row>
    <x:row r="706" ht="25" customHeight="1">
      <x:c r="B706" s="8" t="str">
        <x:v>MP-12-P07-O2-R2</x:v>
      </x:c>
      <x:c r="C706" s="8" t="str">
        <x:v>MP-12</x:v>
      </x:c>
      <x:c r="D706" s="8" t="n">
        <x:v>7</x:v>
      </x:c>
      <x:c r="E706" s="8" t="str">
        <x:v>OP-2</x:v>
      </x:c>
      <x:c r="F706" s="8" t="n">
        <x:v>2</x:v>
      </x:c>
      <x:c r="G706" s="8" t="str"/>
      <x:c r="H706" s="8" t="str"/>
      <x:c r="I706" s="8" t="str">
        <x:f>IF(H706="","OPEN",IF(NOT(ISNUMBER(G706)),"FAIL","PASS"))</x:f>
        <x:v>OPEN</x:v>
      </x:c>
    </x:row>
    <x:row r="707" ht="25" customHeight="1">
      <x:c r="B707" s="8" t="str">
        <x:v>MP-12-P07-O3-R1</x:v>
      </x:c>
      <x:c r="C707" s="8" t="str">
        <x:v>MP-12</x:v>
      </x:c>
      <x:c r="D707" s="8" t="n">
        <x:v>7</x:v>
      </x:c>
      <x:c r="E707" s="8" t="str">
        <x:v>OP-3</x:v>
      </x:c>
      <x:c r="F707" s="8" t="n">
        <x:v>1</x:v>
      </x:c>
      <x:c r="G707" s="8" t="str"/>
      <x:c r="H707" s="8" t="str"/>
      <x:c r="I707" s="8" t="str">
        <x:f>IF(H707="","OPEN",IF(NOT(ISNUMBER(G707)),"FAIL","PASS"))</x:f>
        <x:v>OPEN</x:v>
      </x:c>
    </x:row>
    <x:row r="708" ht="25" customHeight="1">
      <x:c r="B708" s="8" t="str">
        <x:v>MP-12-P07-O3-R2</x:v>
      </x:c>
      <x:c r="C708" s="8" t="str">
        <x:v>MP-12</x:v>
      </x:c>
      <x:c r="D708" s="8" t="n">
        <x:v>7</x:v>
      </x:c>
      <x:c r="E708" s="8" t="str">
        <x:v>OP-3</x:v>
      </x:c>
      <x:c r="F708" s="8" t="n">
        <x:v>2</x:v>
      </x:c>
      <x:c r="G708" s="8" t="str"/>
      <x:c r="H708" s="8" t="str"/>
      <x:c r="I708" s="8" t="str">
        <x:f>IF(H708="","OPEN",IF(NOT(ISNUMBER(G708)),"FAIL","PASS"))</x:f>
        <x:v>OPEN</x:v>
      </x:c>
    </x:row>
    <x:row r="709" ht="25" customHeight="1">
      <x:c r="B709" s="8" t="str">
        <x:v>MP-12-P08-O1-R1</x:v>
      </x:c>
      <x:c r="C709" s="8" t="str">
        <x:v>MP-12</x:v>
      </x:c>
      <x:c r="D709" s="8" t="n">
        <x:v>8</x:v>
      </x:c>
      <x:c r="E709" s="8" t="str">
        <x:v>OP-1</x:v>
      </x:c>
      <x:c r="F709" s="8" t="n">
        <x:v>1</x:v>
      </x:c>
      <x:c r="G709" s="8" t="str"/>
      <x:c r="H709" s="8" t="str"/>
      <x:c r="I709" s="8" t="str">
        <x:f>IF(H709="","OPEN",IF(NOT(ISNUMBER(G709)),"FAIL","PASS"))</x:f>
        <x:v>OPEN</x:v>
      </x:c>
    </x:row>
    <x:row r="710" ht="25" customHeight="1">
      <x:c r="B710" s="8" t="str">
        <x:v>MP-12-P08-O1-R2</x:v>
      </x:c>
      <x:c r="C710" s="8" t="str">
        <x:v>MP-12</x:v>
      </x:c>
      <x:c r="D710" s="8" t="n">
        <x:v>8</x:v>
      </x:c>
      <x:c r="E710" s="8" t="str">
        <x:v>OP-1</x:v>
      </x:c>
      <x:c r="F710" s="8" t="n">
        <x:v>2</x:v>
      </x:c>
      <x:c r="G710" s="8" t="str"/>
      <x:c r="H710" s="8" t="str"/>
      <x:c r="I710" s="8" t="str">
        <x:f>IF(H710="","OPEN",IF(NOT(ISNUMBER(G710)),"FAIL","PASS"))</x:f>
        <x:v>OPEN</x:v>
      </x:c>
    </x:row>
    <x:row r="711" ht="25" customHeight="1">
      <x:c r="B711" s="8" t="str">
        <x:v>MP-12-P08-O2-R1</x:v>
      </x:c>
      <x:c r="C711" s="8" t="str">
        <x:v>MP-12</x:v>
      </x:c>
      <x:c r="D711" s="8" t="n">
        <x:v>8</x:v>
      </x:c>
      <x:c r="E711" s="8" t="str">
        <x:v>OP-2</x:v>
      </x:c>
      <x:c r="F711" s="8" t="n">
        <x:v>1</x:v>
      </x:c>
      <x:c r="G711" s="8" t="str"/>
      <x:c r="H711" s="8" t="str"/>
      <x:c r="I711" s="8" t="str">
        <x:f>IF(H711="","OPEN",IF(NOT(ISNUMBER(G711)),"FAIL","PASS"))</x:f>
        <x:v>OPEN</x:v>
      </x:c>
    </x:row>
    <x:row r="712" ht="25" customHeight="1">
      <x:c r="B712" s="8" t="str">
        <x:v>MP-12-P08-O2-R2</x:v>
      </x:c>
      <x:c r="C712" s="8" t="str">
        <x:v>MP-12</x:v>
      </x:c>
      <x:c r="D712" s="8" t="n">
        <x:v>8</x:v>
      </x:c>
      <x:c r="E712" s="8" t="str">
        <x:v>OP-2</x:v>
      </x:c>
      <x:c r="F712" s="8" t="n">
        <x:v>2</x:v>
      </x:c>
      <x:c r="G712" s="8" t="str"/>
      <x:c r="H712" s="8" t="str"/>
      <x:c r="I712" s="8" t="str">
        <x:f>IF(H712="","OPEN",IF(NOT(ISNUMBER(G712)),"FAIL","PASS"))</x:f>
        <x:v>OPEN</x:v>
      </x:c>
    </x:row>
    <x:row r="713" ht="25" customHeight="1">
      <x:c r="B713" s="8" t="str">
        <x:v>MP-12-P08-O3-R1</x:v>
      </x:c>
      <x:c r="C713" s="8" t="str">
        <x:v>MP-12</x:v>
      </x:c>
      <x:c r="D713" s="8" t="n">
        <x:v>8</x:v>
      </x:c>
      <x:c r="E713" s="8" t="str">
        <x:v>OP-3</x:v>
      </x:c>
      <x:c r="F713" s="8" t="n">
        <x:v>1</x:v>
      </x:c>
      <x:c r="G713" s="8" t="str"/>
      <x:c r="H713" s="8" t="str"/>
      <x:c r="I713" s="8" t="str">
        <x:f>IF(H713="","OPEN",IF(NOT(ISNUMBER(G713)),"FAIL","PASS"))</x:f>
        <x:v>OPEN</x:v>
      </x:c>
    </x:row>
    <x:row r="714" ht="25" customHeight="1">
      <x:c r="B714" s="8" t="str">
        <x:v>MP-12-P08-O3-R2</x:v>
      </x:c>
      <x:c r="C714" s="8" t="str">
        <x:v>MP-12</x:v>
      </x:c>
      <x:c r="D714" s="8" t="n">
        <x:v>8</x:v>
      </x:c>
      <x:c r="E714" s="8" t="str">
        <x:v>OP-3</x:v>
      </x:c>
      <x:c r="F714" s="8" t="n">
        <x:v>2</x:v>
      </x:c>
      <x:c r="G714" s="8" t="str"/>
      <x:c r="H714" s="8" t="str"/>
      <x:c r="I714" s="8" t="str">
        <x:f>IF(H714="","OPEN",IF(NOT(ISNUMBER(G714)),"FAIL","PASS"))</x:f>
        <x:v>OPEN</x:v>
      </x:c>
    </x:row>
    <x:row r="715" ht="25" customHeight="1">
      <x:c r="B715" s="8" t="str">
        <x:v>MP-12-P09-O1-R1</x:v>
      </x:c>
      <x:c r="C715" s="8" t="str">
        <x:v>MP-12</x:v>
      </x:c>
      <x:c r="D715" s="8" t="n">
        <x:v>9</x:v>
      </x:c>
      <x:c r="E715" s="8" t="str">
        <x:v>OP-1</x:v>
      </x:c>
      <x:c r="F715" s="8" t="n">
        <x:v>1</x:v>
      </x:c>
      <x:c r="G715" s="8" t="str"/>
      <x:c r="H715" s="8" t="str"/>
      <x:c r="I715" s="8" t="str">
        <x:f>IF(H715="","OPEN",IF(NOT(ISNUMBER(G715)),"FAIL","PASS"))</x:f>
        <x:v>OPEN</x:v>
      </x:c>
    </x:row>
    <x:row r="716" ht="25" customHeight="1">
      <x:c r="B716" s="8" t="str">
        <x:v>MP-12-P09-O1-R2</x:v>
      </x:c>
      <x:c r="C716" s="8" t="str">
        <x:v>MP-12</x:v>
      </x:c>
      <x:c r="D716" s="8" t="n">
        <x:v>9</x:v>
      </x:c>
      <x:c r="E716" s="8" t="str">
        <x:v>OP-1</x:v>
      </x:c>
      <x:c r="F716" s="8" t="n">
        <x:v>2</x:v>
      </x:c>
      <x:c r="G716" s="8" t="str"/>
      <x:c r="H716" s="8" t="str"/>
      <x:c r="I716" s="8" t="str">
        <x:f>IF(H716="","OPEN",IF(NOT(ISNUMBER(G716)),"FAIL","PASS"))</x:f>
        <x:v>OPEN</x:v>
      </x:c>
    </x:row>
    <x:row r="717" ht="25" customHeight="1">
      <x:c r="B717" s="8" t="str">
        <x:v>MP-12-P09-O2-R1</x:v>
      </x:c>
      <x:c r="C717" s="8" t="str">
        <x:v>MP-12</x:v>
      </x:c>
      <x:c r="D717" s="8" t="n">
        <x:v>9</x:v>
      </x:c>
      <x:c r="E717" s="8" t="str">
        <x:v>OP-2</x:v>
      </x:c>
      <x:c r="F717" s="8" t="n">
        <x:v>1</x:v>
      </x:c>
      <x:c r="G717" s="8" t="str"/>
      <x:c r="H717" s="8" t="str"/>
      <x:c r="I717" s="8" t="str">
        <x:f>IF(H717="","OPEN",IF(NOT(ISNUMBER(G717)),"FAIL","PASS"))</x:f>
        <x:v>OPEN</x:v>
      </x:c>
    </x:row>
    <x:row r="718" ht="25" customHeight="1">
      <x:c r="B718" s="8" t="str">
        <x:v>MP-12-P09-O2-R2</x:v>
      </x:c>
      <x:c r="C718" s="8" t="str">
        <x:v>MP-12</x:v>
      </x:c>
      <x:c r="D718" s="8" t="n">
        <x:v>9</x:v>
      </x:c>
      <x:c r="E718" s="8" t="str">
        <x:v>OP-2</x:v>
      </x:c>
      <x:c r="F718" s="8" t="n">
        <x:v>2</x:v>
      </x:c>
      <x:c r="G718" s="8" t="str"/>
      <x:c r="H718" s="8" t="str"/>
      <x:c r="I718" s="8" t="str">
        <x:f>IF(H718="","OPEN",IF(NOT(ISNUMBER(G718)),"FAIL","PASS"))</x:f>
        <x:v>OPEN</x:v>
      </x:c>
    </x:row>
    <x:row r="719" ht="25" customHeight="1">
      <x:c r="B719" s="8" t="str">
        <x:v>MP-12-P09-O3-R1</x:v>
      </x:c>
      <x:c r="C719" s="8" t="str">
        <x:v>MP-12</x:v>
      </x:c>
      <x:c r="D719" s="8" t="n">
        <x:v>9</x:v>
      </x:c>
      <x:c r="E719" s="8" t="str">
        <x:v>OP-3</x:v>
      </x:c>
      <x:c r="F719" s="8" t="n">
        <x:v>1</x:v>
      </x:c>
      <x:c r="G719" s="8" t="str"/>
      <x:c r="H719" s="8" t="str"/>
      <x:c r="I719" s="8" t="str">
        <x:f>IF(H719="","OPEN",IF(NOT(ISNUMBER(G719)),"FAIL","PASS"))</x:f>
        <x:v>OPEN</x:v>
      </x:c>
    </x:row>
    <x:row r="720" ht="25" customHeight="1">
      <x:c r="B720" s="8" t="str">
        <x:v>MP-12-P09-O3-R2</x:v>
      </x:c>
      <x:c r="C720" s="8" t="str">
        <x:v>MP-12</x:v>
      </x:c>
      <x:c r="D720" s="8" t="n">
        <x:v>9</x:v>
      </x:c>
      <x:c r="E720" s="8" t="str">
        <x:v>OP-3</x:v>
      </x:c>
      <x:c r="F720" s="8" t="n">
        <x:v>2</x:v>
      </x:c>
      <x:c r="G720" s="8" t="str"/>
      <x:c r="H720" s="8" t="str"/>
      <x:c r="I720" s="8" t="str">
        <x:f>IF(H720="","OPEN",IF(NOT(ISNUMBER(G720)),"FAIL","PASS"))</x:f>
        <x:v>OPEN</x:v>
      </x:c>
    </x:row>
    <x:row r="721" ht="25" customHeight="1">
      <x:c r="B721" s="8" t="str">
        <x:v>MP-12-P10-O1-R1</x:v>
      </x:c>
      <x:c r="C721" s="8" t="str">
        <x:v>MP-12</x:v>
      </x:c>
      <x:c r="D721" s="8" t="n">
        <x:v>10</x:v>
      </x:c>
      <x:c r="E721" s="8" t="str">
        <x:v>OP-1</x:v>
      </x:c>
      <x:c r="F721" s="8" t="n">
        <x:v>1</x:v>
      </x:c>
      <x:c r="G721" s="8" t="str"/>
      <x:c r="H721" s="8" t="str"/>
      <x:c r="I721" s="8" t="str">
        <x:f>IF(H721="","OPEN",IF(NOT(ISNUMBER(G721)),"FAIL","PASS"))</x:f>
        <x:v>OPEN</x:v>
      </x:c>
    </x:row>
    <x:row r="722" ht="25" customHeight="1">
      <x:c r="B722" s="8" t="str">
        <x:v>MP-12-P10-O1-R2</x:v>
      </x:c>
      <x:c r="C722" s="8" t="str">
        <x:v>MP-12</x:v>
      </x:c>
      <x:c r="D722" s="8" t="n">
        <x:v>10</x:v>
      </x:c>
      <x:c r="E722" s="8" t="str">
        <x:v>OP-1</x:v>
      </x:c>
      <x:c r="F722" s="8" t="n">
        <x:v>2</x:v>
      </x:c>
      <x:c r="G722" s="8" t="str"/>
      <x:c r="H722" s="8" t="str"/>
      <x:c r="I722" s="8" t="str">
        <x:f>IF(H722="","OPEN",IF(NOT(ISNUMBER(G722)),"FAIL","PASS"))</x:f>
        <x:v>OPEN</x:v>
      </x:c>
    </x:row>
    <x:row r="723" ht="25" customHeight="1">
      <x:c r="B723" s="8" t="str">
        <x:v>MP-12-P10-O2-R1</x:v>
      </x:c>
      <x:c r="C723" s="8" t="str">
        <x:v>MP-12</x:v>
      </x:c>
      <x:c r="D723" s="8" t="n">
        <x:v>10</x:v>
      </x:c>
      <x:c r="E723" s="8" t="str">
        <x:v>OP-2</x:v>
      </x:c>
      <x:c r="F723" s="8" t="n">
        <x:v>1</x:v>
      </x:c>
      <x:c r="G723" s="8" t="str"/>
      <x:c r="H723" s="8" t="str"/>
      <x:c r="I723" s="8" t="str">
        <x:f>IF(H723="","OPEN",IF(NOT(ISNUMBER(G723)),"FAIL","PASS"))</x:f>
        <x:v>OPEN</x:v>
      </x:c>
    </x:row>
    <x:row r="724" ht="25" customHeight="1">
      <x:c r="B724" s="8" t="str">
        <x:v>MP-12-P10-O2-R2</x:v>
      </x:c>
      <x:c r="C724" s="8" t="str">
        <x:v>MP-12</x:v>
      </x:c>
      <x:c r="D724" s="8" t="n">
        <x:v>10</x:v>
      </x:c>
      <x:c r="E724" s="8" t="str">
        <x:v>OP-2</x:v>
      </x:c>
      <x:c r="F724" s="8" t="n">
        <x:v>2</x:v>
      </x:c>
      <x:c r="G724" s="8" t="str"/>
      <x:c r="H724" s="8" t="str"/>
      <x:c r="I724" s="8" t="str">
        <x:f>IF(H724="","OPEN",IF(NOT(ISNUMBER(G724)),"FAIL","PASS"))</x:f>
        <x:v>OPEN</x:v>
      </x:c>
    </x:row>
    <x:row r="725" ht="25" customHeight="1">
      <x:c r="B725" s="8" t="str">
        <x:v>MP-12-P10-O3-R1</x:v>
      </x:c>
      <x:c r="C725" s="8" t="str">
        <x:v>MP-12</x:v>
      </x:c>
      <x:c r="D725" s="8" t="n">
        <x:v>10</x:v>
      </x:c>
      <x:c r="E725" s="8" t="str">
        <x:v>OP-3</x:v>
      </x:c>
      <x:c r="F725" s="8" t="n">
        <x:v>1</x:v>
      </x:c>
      <x:c r="G725" s="8" t="str"/>
      <x:c r="H725" s="8" t="str"/>
      <x:c r="I725" s="8" t="str">
        <x:f>IF(H725="","OPEN",IF(NOT(ISNUMBER(G725)),"FAIL","PASS"))</x:f>
        <x:v>OPEN</x:v>
      </x:c>
    </x:row>
    <x:row r="726" ht="25" customHeight="1">
      <x:c r="B726" s="8" t="str">
        <x:v>MP-12-P10-O3-R2</x:v>
      </x:c>
      <x:c r="C726" s="8" t="str">
        <x:v>MP-12</x:v>
      </x:c>
      <x:c r="D726" s="8" t="n">
        <x:v>10</x:v>
      </x:c>
      <x:c r="E726" s="8" t="str">
        <x:v>OP-3</x:v>
      </x:c>
      <x:c r="F726" s="8" t="n">
        <x:v>2</x:v>
      </x:c>
      <x:c r="G726" s="8" t="str"/>
      <x:c r="H726" s="8" t="str"/>
      <x:c r="I726" s="8" t="str">
        <x:f>IF(H726="","OPEN",IF(NOT(ISNUMBER(G726)),"FAIL","PASS"))</x:f>
        <x:v>OPEN</x:v>
      </x:c>
    </x:row>
  </x:sheetData>
  <x:conditionalFormatting sqref="I7:I726">
    <x:cfRule type="containsText" dxfId="30" priority="1" operator="containsText" text="FAIL"/>
    <x:cfRule type="containsText" dxfId="31" priority="2" operator="containsText" text="BLOCKED"/>
    <x:cfRule type="containsText" dxfId="32" priority="3" operator="containsText" text="OPEN"/>
    <x:cfRule type="containsText" dxfId="33" priority="4" operator="containsText" text="PASS"/>
    <x:cfRule type="containsText" dxfId="34" priority="5" operator="containsText" text="PLANNED"/>
    <x:cfRule type="containsText" dxfId="35" priority="6" operator="containsText" text="ACTIVE"/>
  </x:conditionalFormatting>
  <x:pageMargins left="0.7" right="0.7" top="0.75" bottom="0.75" header="0.3" footer="0.3"/>
</x:worksheet>
</file>

<file path=xl/worksheets/sheet15.xml><?xml version="1.0" encoding="utf-8"?>
<x:worksheet xmlns:x="http://schemas.openxmlformats.org/spreadsheetml/2006/main">
  <x:sheetViews>
    <x:sheetView showGridLines="0" workbookViewId="0">
      <x:pane xSplit="2" ySplit="6" topLeftCell="C7" activePane="bottomRight" state="frozen"/>
    </x:sheetView>
  </x:sheetViews>
  <x:sheetFormatPr defaultRowHeight="15"/>
  <x:cols>
    <x:col min="2" max="2" width="14" hidden="0" customWidth="1"/>
    <x:col min="3" max="3" width="28" hidden="0" customWidth="1"/>
    <x:col min="4" max="4" width="16" hidden="0" customWidth="1"/>
    <x:col min="5" max="5" width="18" hidden="0" customWidth="1"/>
    <x:col min="6" max="6" width="17" hidden="0" customWidth="1"/>
    <x:col min="7" max="7" width="15" hidden="0" customWidth="1"/>
    <x:col min="8" max="8" width="19" hidden="0" customWidth="1"/>
    <x:col min="9" max="9" width="18" hidden="0" customWidth="1"/>
    <x:col min="10" max="10" width="15" hidden="0" customWidth="1"/>
    <x:col min="11" max="11" width="14" hidden="0" customWidth="1"/>
  </x:cols>
  <x:sheetData>
    <x:row r="2">
      <x:c r="B2" s="44" t="str">
        <x:v>Preliminary measurement uncertainty budgets</x:v>
      </x:c>
      <x:c r="C2" s="45"/>
      <x:c r="D2" s="45"/>
      <x:c r="E2" s="45"/>
      <x:c r="F2" s="45"/>
      <x:c r="G2" s="45"/>
      <x:c r="H2" s="45"/>
      <x:c r="I2" s="45"/>
      <x:c r="J2" s="45"/>
      <x:c r="K2" s="45"/>
    </x:row>
    <x:row r="3">
      <x:c r="B3" s="46" t="str">
        <x:v>Components are standard uncertainties. Expanded uncertainty uses the declared coverage factor and remains a planning result until fixtures are commissioned.</x:v>
      </x:c>
      <x:c r="C3" s="45"/>
      <x:c r="D3" s="45"/>
      <x:c r="E3" s="45"/>
      <x:c r="F3" s="45"/>
      <x:c r="G3" s="45"/>
      <x:c r="H3" s="45"/>
      <x:c r="I3" s="45"/>
      <x:c r="J3" s="45"/>
      <x:c r="K3" s="45"/>
    </x:row>
    <x:row r="4">
      <x:c r="B4" s="45"/>
      <x:c r="C4" s="45"/>
      <x:c r="D4" s="45"/>
      <x:c r="E4" s="45"/>
      <x:c r="F4" s="45"/>
      <x:c r="G4" s="45"/>
      <x:c r="H4" s="45"/>
      <x:c r="I4" s="45"/>
      <x:c r="J4" s="45"/>
      <x:c r="K4" s="45"/>
    </x:row>
    <x:row r="5">
      <x:c r="B5" s="45"/>
      <x:c r="C5" s="45"/>
      <x:c r="D5" s="45"/>
      <x:c r="E5" s="45"/>
      <x:c r="F5" s="45"/>
      <x:c r="G5" s="45"/>
      <x:c r="H5" s="45"/>
      <x:c r="I5" s="45"/>
      <x:c r="J5" s="45"/>
      <x:c r="K5" s="45"/>
    </x:row>
    <x:row r="6" ht="25" customHeight="1">
      <x:c r="B6" s="6" t="str">
        <x:v>Budget</x:v>
      </x:c>
      <x:c r="C6" s="6" t="str">
        <x:v>Measurand</x:v>
      </x:c>
      <x:c r="D6" s="6" t="str">
        <x:v>Reference</x:v>
      </x:c>
      <x:c r="E6" s="6" t="str">
        <x:v>Repeatability</x:v>
      </x:c>
      <x:c r="F6" s="6" t="str">
        <x:v>Environment</x:v>
      </x:c>
      <x:c r="G6" s="6" t="str">
        <x:v>Coverage k</x:v>
      </x:c>
      <x:c r="H6" s="6" t="str">
        <x:v>Calculated U95</x:v>
      </x:c>
      <x:c r="I6" s="6" t="str">
        <x:v>Maximum U95</x:v>
      </x:c>
      <x:c r="J6" s="6" t="str">
        <x:v>Margin</x:v>
      </x:c>
      <x:c r="K6" s="6" t="str">
        <x:v>State</x:v>
      </x:c>
    </x:row>
    <x:row r="7" ht="30" customHeight="1">
      <x:c r="B7" s="8" t="str">
        <x:v>UB-01</x:v>
      </x:c>
      <x:c r="C7" s="8" t="str">
        <x:v>bore diameter</x:v>
      </x:c>
      <x:c r="D7" s="22" t="n">
        <x:v>0.004</x:v>
      </x:c>
      <x:c r="E7" s="22" t="n">
        <x:v>0.003</x:v>
      </x:c>
      <x:c r="F7" s="22" t="n">
        <x:v>0.003</x:v>
      </x:c>
      <x:c r="G7" s="22" t="n">
        <x:v>2</x:v>
      </x:c>
      <x:c r="H7" s="22" t="n">
        <x:f>SQRT(D7^2+E7^2+F7^2)*G7</x:f>
        <x:v>0.0116619037896906</x:v>
      </x:c>
      <x:c r="I7" s="22" t="n">
        <x:v>0.0125</x:v>
      </x:c>
      <x:c r="J7" s="22" t="n">
        <x:f>I7-H7</x:f>
        <x:v>0.0008380962103094001</x:v>
      </x:c>
      <x:c r="K7" s="8" t="str">
        <x:f>IF(AND(ISNUMBER(H7),H7&lt;=I7),"PASS","FAIL")</x:f>
        <x:v>PASS</x:v>
      </x:c>
    </x:row>
    <x:row r="8" ht="30" customHeight="1">
      <x:c r="B8" s="8" t="str">
        <x:v>UB-02</x:v>
      </x:c>
      <x:c r="C8" s="8" t="str">
        <x:v>joint step</x:v>
      </x:c>
      <x:c r="D8" s="22" t="n">
        <x:v>0.01</x:v>
      </x:c>
      <x:c r="E8" s="22" t="n">
        <x:v>0.006</x:v>
      </x:c>
      <x:c r="F8" s="22" t="n">
        <x:v>0.004</x:v>
      </x:c>
      <x:c r="G8" s="22" t="n">
        <x:v>2</x:v>
      </x:c>
      <x:c r="H8" s="22" t="n">
        <x:f>SQRT(D8^2+E8^2+F8^2)*G8</x:f>
        <x:v>0.024657656011875907</x:v>
      </x:c>
      <x:c r="I8" s="22" t="n">
        <x:v>0.025</x:v>
      </x:c>
      <x:c r="J8" s="22" t="n">
        <x:f>I8-H8</x:f>
        <x:v>0.00034234398812409486</x:v>
      </x:c>
      <x:c r="K8" s="8" t="str">
        <x:f>IF(AND(ISNUMBER(H8),H8&lt;=I8),"PASS","FAIL")</x:f>
        <x:v>PASS</x:v>
      </x:c>
    </x:row>
    <x:row r="9" ht="30" customHeight="1">
      <x:c r="B9" s="8" t="str">
        <x:v>UB-03</x:v>
      </x:c>
      <x:c r="C9" s="8" t="str">
        <x:v>deployed length</x:v>
      </x:c>
      <x:c r="D9" s="22" t="n">
        <x:v>0.18</x:v>
      </x:c>
      <x:c r="E9" s="22" t="n">
        <x:v>0.1</x:v>
      </x:c>
      <x:c r="F9" s="22" t="n">
        <x:v>0.08</x:v>
      </x:c>
      <x:c r="G9" s="22" t="n">
        <x:v>2</x:v>
      </x:c>
      <x:c r="H9" s="22" t="n">
        <x:f>SQRT(D9^2+E9^2+F9^2)*G9</x:f>
        <x:v>0.44181444068749043</x:v>
      </x:c>
      <x:c r="I9" s="22" t="n">
        <x:v>0.5</x:v>
      </x:c>
      <x:c r="J9" s="22" t="n">
        <x:f>I9-H9</x:f>
        <x:v>0.05818555931250957</x:v>
      </x:c>
      <x:c r="K9" s="8" t="str">
        <x:f>IF(AND(ISNUMBER(H9),H9&lt;=I9),"PASS","FAIL")</x:f>
        <x:v>PASS</x:v>
      </x:c>
    </x:row>
    <x:row r="10" ht="30" customHeight="1">
      <x:c r="B10" s="8" t="str">
        <x:v>UB-04</x:v>
      </x:c>
      <x:c r="C10" s="8" t="str">
        <x:v>proof pressure</x:v>
      </x:c>
      <x:c r="D10" s="22" t="n">
        <x:v>0.008</x:v>
      </x:c>
      <x:c r="E10" s="22" t="n">
        <x:v>0.006</x:v>
      </x:c>
      <x:c r="F10" s="22" t="n">
        <x:v>0.005</x:v>
      </x:c>
      <x:c r="G10" s="22" t="n">
        <x:v>2</x:v>
      </x:c>
      <x:c r="H10" s="22" t="n">
        <x:f>SQRT(D10^2+E10^2+F10^2)*G10</x:f>
        <x:v>0.022360679774997897</x:v>
      </x:c>
      <x:c r="I10" s="22" t="n">
        <x:v>0.025</x:v>
      </x:c>
      <x:c r="J10" s="22" t="n">
        <x:f>I10-H10</x:f>
        <x:v>0.0026393202250021043</x:v>
      </x:c>
      <x:c r="K10" s="8" t="str">
        <x:f>IF(AND(ISNUMBER(H10),H10&lt;=I10),"PASS","FAIL")</x:f>
        <x:v>PASS</x:v>
      </x:c>
    </x:row>
    <x:row r="11" ht="30" customHeight="1">
      <x:c r="B11" s="8" t="str">
        <x:v>UB-05</x:v>
      </x:c>
      <x:c r="C11" s="8" t="str">
        <x:v>proof leak mass</x:v>
      </x:c>
      <x:c r="D11" s="22" t="n">
        <x:v>0.0004</x:v>
      </x:c>
      <x:c r="E11" s="22" t="n">
        <x:v>0.0003</x:v>
      </x:c>
      <x:c r="F11" s="22" t="n">
        <x:v>0.0002</x:v>
      </x:c>
      <x:c r="G11" s="22" t="n">
        <x:v>2</x:v>
      </x:c>
      <x:c r="H11" s="22" t="n">
        <x:f>SQRT(D11^2+E11^2+F11^2)*G11</x:f>
        <x:v>0.0010770329614269007</x:v>
      </x:c>
      <x:c r="I11" s="22" t="n">
        <x:v>0.00125</x:v>
      </x:c>
      <x:c r="J11" s="22" t="n">
        <x:f>I11-H11</x:f>
        <x:v>0.00017296703857309936</x:v>
      </x:c>
      <x:c r="K11" s="8" t="str">
        <x:f>IF(AND(ISNUMBER(H11),H11&lt;=I11),"PASS","FAIL")</x:f>
        <x:v>PASS</x:v>
      </x:c>
    </x:row>
    <x:row r="12" ht="30" customHeight="1">
      <x:c r="B12" s="8" t="str">
        <x:v>UB-06</x:v>
      </x:c>
      <x:c r="C12" s="8" t="str">
        <x:v>drained residual</x:v>
      </x:c>
      <x:c r="D12" s="22" t="n">
        <x:v>0.018</x:v>
      </x:c>
      <x:c r="E12" s="22" t="n">
        <x:v>0.012</x:v>
      </x:c>
      <x:c r="F12" s="22" t="n">
        <x:v>0.009</x:v>
      </x:c>
      <x:c r="G12" s="22" t="n">
        <x:v>2</x:v>
      </x:c>
      <x:c r="H12" s="22" t="n">
        <x:f>SQRT(D12^2+E12^2+F12^2)*G12</x:f>
        <x:v>0.046861498055439925</x:v>
      </x:c>
      <x:c r="I12" s="22" t="n">
        <x:v>0.05</x:v>
      </x:c>
      <x:c r="J12" s="22" t="n">
        <x:f>I12-H12</x:f>
        <x:v>0.003138501944560078</x:v>
      </x:c>
      <x:c r="K12" s="8" t="str">
        <x:f>IF(AND(ISNUMBER(H12),H12&lt;=I12),"PASS","FAIL")</x:f>
        <x:v>PASS</x:v>
      </x:c>
    </x:row>
    <x:row r="13" ht="30" customHeight="1">
      <x:c r="B13" s="8" t="str">
        <x:v>UB-07</x:v>
      </x:c>
      <x:c r="C13" s="8" t="str">
        <x:v>spring work</x:v>
      </x:c>
      <x:c r="D13" s="22" t="n">
        <x:v>0.6</x:v>
      </x:c>
      <x:c r="E13" s="22" t="n">
        <x:v>0.4</x:v>
      </x:c>
      <x:c r="F13" s="22" t="n">
        <x:v>0.3</x:v>
      </x:c>
      <x:c r="G13" s="22" t="n">
        <x:v>2</x:v>
      </x:c>
      <x:c r="H13" s="22" t="n">
        <x:f>SQRT(D13^2+E13^2+F13^2)*G13</x:f>
        <x:v>1.5620499351813308</x:v>
      </x:c>
      <x:c r="I13" s="22" t="n">
        <x:v>2</x:v>
      </x:c>
      <x:c r="J13" s="22" t="n">
        <x:f>I13-H13</x:f>
        <x:v>0.43795006481866916</x:v>
      </x:c>
      <x:c r="K13" s="8" t="str">
        <x:f>IF(AND(ISNUMBER(H13),H13&lt;=I13),"PASS","FAIL")</x:f>
        <x:v>PASS</x:v>
      </x:c>
    </x:row>
    <x:row r="14" ht="30" customHeight="1">
      <x:c r="B14" s="8" t="str">
        <x:v>UB-08</x:v>
      </x:c>
      <x:c r="C14" s="8" t="str">
        <x:v>stored energy</x:v>
      </x:c>
      <x:c r="D14" s="22" t="n">
        <x:v>0.7</x:v>
      </x:c>
      <x:c r="E14" s="22" t="n">
        <x:v>0.5</x:v>
      </x:c>
      <x:c r="F14" s="22" t="n">
        <x:v>0.4</x:v>
      </x:c>
      <x:c r="G14" s="22" t="n">
        <x:v>2</x:v>
      </x:c>
      <x:c r="H14" s="22" t="n">
        <x:f>SQRT(D14^2+E14^2+F14^2)*G14</x:f>
        <x:v>1.8973665961010275</x:v>
      </x:c>
      <x:c r="I14" s="22" t="n">
        <x:v>2</x:v>
      </x:c>
      <x:c r="J14" s="22" t="n">
        <x:f>I14-H14</x:f>
        <x:v>0.10263340389897246</x:v>
      </x:c>
      <x:c r="K14" s="8" t="str">
        <x:f>IF(AND(ISNUMBER(H14),H14&lt;=I14),"PASS","FAIL")</x:f>
        <x:v>PASS</x:v>
      </x:c>
    </x:row>
    <x:row r="15" ht="30" customHeight="1">
      <x:c r="B15" s="8" t="str">
        <x:v>UB-09</x:v>
      </x:c>
      <x:c r="C15" s="8" t="str">
        <x:v>clamp preload</x:v>
      </x:c>
      <x:c r="D15" s="22" t="n">
        <x:v>0.07</x:v>
      </x:c>
      <x:c r="E15" s="22" t="n">
        <x:v>0.05</x:v>
      </x:c>
      <x:c r="F15" s="22" t="n">
        <x:v>0.04</x:v>
      </x:c>
      <x:c r="G15" s="22" t="n">
        <x:v>2</x:v>
      </x:c>
      <x:c r="H15" s="22" t="n">
        <x:f>SQRT(D15^2+E15^2+F15^2)*G15</x:f>
        <x:v>0.18973665961010278</x:v>
      </x:c>
      <x:c r="I15" s="22" t="n">
        <x:v>0.2</x:v>
      </x:c>
      <x:c r="J15" s="22" t="n">
        <x:f>I15-H15</x:f>
        <x:v>0.010263340389897235</x:v>
      </x:c>
      <x:c r="K15" s="8" t="str">
        <x:f>IF(AND(ISNUMBER(H15),H15&lt;=I15),"PASS","FAIL")</x:f>
        <x:v>PASS</x:v>
      </x:c>
    </x:row>
    <x:row r="16" ht="30" customHeight="1">
      <x:c r="B16" s="8" t="str">
        <x:v>UB-10</x:v>
      </x:c>
      <x:c r="C16" s="8" t="str">
        <x:v>surface roughness</x:v>
      </x:c>
      <x:c r="D16" s="22" t="n">
        <x:v>0.018</x:v>
      </x:c>
      <x:c r="E16" s="22" t="n">
        <x:v>0.012</x:v>
      </x:c>
      <x:c r="F16" s="22" t="n">
        <x:v>0.01</x:v>
      </x:c>
      <x:c r="G16" s="22" t="n">
        <x:v>2</x:v>
      </x:c>
      <x:c r="H16" s="22" t="n">
        <x:f>SQRT(D16^2+E16^2+F16^2)*G16</x:f>
        <x:v>0.04766550115125194</x:v>
      </x:c>
      <x:c r="I16" s="22" t="n">
        <x:v>0.05</x:v>
      </x:c>
      <x:c r="J16" s="22" t="n">
        <x:f>I16-H16</x:f>
        <x:v>0.0023344988487480622</x:v>
      </x:c>
      <x:c r="K16" s="8" t="str">
        <x:f>IF(AND(ISNUMBER(H16),H16&lt;=I16),"PASS","FAIL")</x:f>
        <x:v>PASS</x:v>
      </x:c>
    </x:row>
    <x:row r="17" ht="30" customHeight="1">
      <x:c r="B17" s="8" t="str">
        <x:v>UB-11</x:v>
      </x:c>
      <x:c r="C17" s="8" t="str">
        <x:v>contact angle</x:v>
      </x:c>
      <x:c r="D17" s="22" t="n">
        <x:v>0.35</x:v>
      </x:c>
      <x:c r="E17" s="22" t="n">
        <x:v>0.25</x:v>
      </x:c>
      <x:c r="F17" s="22" t="n">
        <x:v>0.2</x:v>
      </x:c>
      <x:c r="G17" s="22" t="n">
        <x:v>2</x:v>
      </x:c>
      <x:c r="H17" s="22" t="n">
        <x:f>SQRT(D17^2+E17^2+F17^2)*G17</x:f>
        <x:v>0.9486832980505138</x:v>
      </x:c>
      <x:c r="I17" s="22" t="n">
        <x:v>1</x:v>
      </x:c>
      <x:c r="J17" s="22" t="n">
        <x:f>I17-H17</x:f>
        <x:v>0.05131670194948623</x:v>
      </x:c>
      <x:c r="K17" s="8" t="str">
        <x:f>IF(AND(ISNUMBER(H17),H17&lt;=I17),"PASS","FAIL")</x:f>
        <x:v>PASS</x:v>
      </x:c>
    </x:row>
    <x:row r="18" ht="30" customHeight="1">
      <x:c r="B18" s="8" t="str">
        <x:v>UB-12</x:v>
      </x:c>
      <x:c r="C18" s="8" t="str">
        <x:v>causal time offset</x:v>
      </x:c>
      <x:c r="D18" s="22" t="n">
        <x:v>0.018</x:v>
      </x:c>
      <x:c r="E18" s="22" t="n">
        <x:v>0.012</x:v>
      </x:c>
      <x:c r="F18" s="22" t="n">
        <x:v>0.01</x:v>
      </x:c>
      <x:c r="G18" s="22" t="n">
        <x:v>2</x:v>
      </x:c>
      <x:c r="H18" s="22" t="n">
        <x:f>SQRT(D18^2+E18^2+F18^2)*G18</x:f>
        <x:v>0.04766550115125194</x:v>
      </x:c>
      <x:c r="I18" s="22" t="n">
        <x:v>0.05</x:v>
      </x:c>
      <x:c r="J18" s="22" t="n">
        <x:f>I18-H18</x:f>
        <x:v>0.0023344988487480622</x:v>
      </x:c>
      <x:c r="K18" s="8" t="str">
        <x:f>IF(AND(ISNUMBER(H18),H18&lt;=I18),"PASS","FAIL")</x:f>
        <x:v>PASS</x:v>
      </x:c>
    </x:row>
  </x:sheetData>
  <x:conditionalFormatting sqref="K7:K18">
    <x:cfRule type="containsText" dxfId="36" priority="1" operator="containsText" text="FAIL"/>
    <x:cfRule type="containsText" dxfId="37" priority="2" operator="containsText" text="BLOCKED"/>
    <x:cfRule type="containsText" dxfId="38" priority="3" operator="containsText" text="OPEN"/>
    <x:cfRule type="containsText" dxfId="39" priority="4" operator="containsText" text="PASS"/>
    <x:cfRule type="containsText" dxfId="40" priority="5" operator="containsText" text="PLANNED"/>
    <x:cfRule type="containsText" dxfId="41" priority="6" operator="containsText" text="ACTIVE"/>
  </x:conditionalFormatting>
  <x:pageMargins left="0.7" right="0.7" top="0.75" bottom="0.75" header="0.3" footer="0.3"/>
</x:worksheet>
</file>

<file path=xl/worksheets/sheet16.xml><?xml version="1.0" encoding="utf-8"?>
<x:worksheet xmlns:x="http://schemas.openxmlformats.org/spreadsheetml/2006/main">
  <x:sheetViews>
    <x:sheetView showGridLines="0" workbookViewId="0">
      <x:pane xSplit="2" ySplit="6" topLeftCell="C7" activePane="bottomRight" state="frozen"/>
    </x:sheetView>
  </x:sheetViews>
  <x:sheetFormatPr defaultRowHeight="15"/>
  <x:cols>
    <x:col min="2" max="2" width="29" hidden="0" customWidth="1"/>
    <x:col min="3" max="3" width="13" hidden="0" customWidth="1"/>
    <x:col min="4" max="4" width="27" hidden="0" customWidth="1"/>
    <x:col min="5" max="5" width="22" hidden="0" customWidth="1"/>
    <x:col min="6" max="6" width="23" hidden="0" customWidth="1"/>
    <x:col min="7" max="7" width="16" hidden="0" customWidth="1"/>
    <x:col min="8" max="8" width="20" hidden="0" customWidth="1"/>
    <x:col min="9" max="9" width="20" hidden="0" customWidth="1"/>
    <x:col min="10" max="10" width="20" hidden="0" customWidth="1"/>
    <x:col min="11" max="11" width="14" hidden="0" customWidth="1"/>
  </x:cols>
  <x:sheetData>
    <x:row r="2">
      <x:c r="B2" s="44" t="str">
        <x:v>Forty-eight conserved material and process splits</x:v>
      </x:c>
      <x:c r="C2" s="45"/>
      <x:c r="D2" s="45"/>
      <x:c r="E2" s="45"/>
      <x:c r="F2" s="45"/>
      <x:c r="G2" s="45"/>
      <x:c r="H2" s="45"/>
      <x:c r="I2" s="45"/>
      <x:c r="J2" s="45"/>
      <x:c r="K2" s="45"/>
    </x:row>
    <x:row r="3">
      <x:c r="B3" s="46" t="str">
        <x:v>Article, process-window, defect-challenge and archive material retain one parent identity.</x:v>
      </x:c>
      <x:c r="C3" s="45"/>
      <x:c r="D3" s="45"/>
      <x:c r="E3" s="45"/>
      <x:c r="F3" s="45"/>
      <x:c r="G3" s="45"/>
      <x:c r="H3" s="45"/>
      <x:c r="I3" s="45"/>
      <x:c r="J3" s="45"/>
      <x:c r="K3" s="45"/>
    </x:row>
    <x:row r="4">
      <x:c r="B4" s="45"/>
      <x:c r="C4" s="45"/>
      <x:c r="D4" s="45"/>
      <x:c r="E4" s="45"/>
      <x:c r="F4" s="45"/>
      <x:c r="G4" s="45"/>
      <x:c r="H4" s="45"/>
      <x:c r="I4" s="45"/>
      <x:c r="J4" s="45"/>
      <x:c r="K4" s="45"/>
    </x:row>
    <x:row r="5">
      <x:c r="B5" s="45"/>
      <x:c r="C5" s="45"/>
      <x:c r="D5" s="45"/>
      <x:c r="E5" s="45"/>
      <x:c r="F5" s="45"/>
      <x:c r="G5" s="45"/>
      <x:c r="H5" s="45"/>
      <x:c r="I5" s="45"/>
      <x:c r="J5" s="45"/>
      <x:c r="K5" s="45"/>
    </x:row>
    <x:row r="6" ht="25" customHeight="1">
      <x:c r="B6" s="6" t="str">
        <x:v>Lot split</x:v>
      </x:c>
      <x:c r="C6" s="6" t="str">
        <x:v>Lineage</x:v>
      </x:c>
      <x:c r="D6" s="6" t="str">
        <x:v>Family</x:v>
      </x:c>
      <x:c r="E6" s="6" t="str">
        <x:v>Parent lot</x:v>
      </x:c>
      <x:c r="F6" s="6" t="str">
        <x:v>Allocation</x:v>
      </x:c>
      <x:c r="G6" s="6" t="str">
        <x:v>Quantity</x:v>
      </x:c>
      <x:c r="H6" s="6" t="str">
        <x:v>Certificate</x:v>
      </x:c>
      <x:c r="I6" s="6" t="str">
        <x:v>Custody root</x:v>
      </x:c>
      <x:c r="J6" s="6" t="str">
        <x:v>Accepted UTC</x:v>
      </x:c>
      <x:c r="K6" s="6" t="str">
        <x:v>State</x:v>
      </x:c>
    </x:row>
    <x:row r="7" ht="30" customHeight="1">
      <x:c r="B7" s="8" t="str">
        <x:v>BL-X-LOT-01-ARTICLE</x:v>
      </x:c>
      <x:c r="C7" s="8" t="str">
        <x:v>BL-X</x:v>
      </x:c>
      <x:c r="D7" s="8" t="str">
        <x:v>tube or cartridge</x:v>
      </x:c>
      <x:c r="E7" s="8" t="str">
        <x:v>BL-X-PARENT-01</x:v>
      </x:c>
      <x:c r="F7" s="8" t="str">
        <x:v>ARTICLE</x:v>
      </x:c>
      <x:c r="G7" s="8" t="str"/>
      <x:c r="H7" s="8" t="str"/>
      <x:c r="I7" s="8" t="str"/>
      <x:c r="J7" s="8" t="str"/>
      <x:c r="K7" s="8" t="str">
        <x:f>IF(J7="","OPEN",IF(OR(NOT(ISNUMBER(G7)),G7&lt;=0,H7="",I7=""),"FAIL","PASS"))</x:f>
        <x:v>OPEN</x:v>
      </x:c>
    </x:row>
    <x:row r="8" ht="30" customHeight="1">
      <x:c r="B8" s="8" t="str">
        <x:v>BL-X-LOT-01-PROCESS-WINDOW</x:v>
      </x:c>
      <x:c r="C8" s="8" t="str">
        <x:v>BL-X</x:v>
      </x:c>
      <x:c r="D8" s="8" t="str">
        <x:v>tube or cartridge</x:v>
      </x:c>
      <x:c r="E8" s="8" t="str">
        <x:v>BL-X-PARENT-01</x:v>
      </x:c>
      <x:c r="F8" s="8" t="str">
        <x:v>PROCESS WINDOW</x:v>
      </x:c>
      <x:c r="G8" s="8" t="str"/>
      <x:c r="H8" s="8" t="str"/>
      <x:c r="I8" s="8" t="str"/>
      <x:c r="J8" s="8" t="str"/>
      <x:c r="K8" s="8" t="str">
        <x:f>IF(J8="","OPEN",IF(OR(NOT(ISNUMBER(G8)),G8&lt;=0,H8="",I8=""),"FAIL","PASS"))</x:f>
        <x:v>OPEN</x:v>
      </x:c>
    </x:row>
    <x:row r="9" ht="30" customHeight="1">
      <x:c r="B9" s="8" t="str">
        <x:v>BL-X-LOT-01-DEFECT-CHALLENGE</x:v>
      </x:c>
      <x:c r="C9" s="8" t="str">
        <x:v>BL-X</x:v>
      </x:c>
      <x:c r="D9" s="8" t="str">
        <x:v>tube or cartridge</x:v>
      </x:c>
      <x:c r="E9" s="8" t="str">
        <x:v>BL-X-PARENT-01</x:v>
      </x:c>
      <x:c r="F9" s="8" t="str">
        <x:v>DEFECT CHALLENGE</x:v>
      </x:c>
      <x:c r="G9" s="8" t="str"/>
      <x:c r="H9" s="8" t="str"/>
      <x:c r="I9" s="8" t="str"/>
      <x:c r="J9" s="8" t="str"/>
      <x:c r="K9" s="8" t="str">
        <x:f>IF(J9="","OPEN",IF(OR(NOT(ISNUMBER(G9)),G9&lt;=0,H9="",I9=""),"FAIL","PASS"))</x:f>
        <x:v>OPEN</x:v>
      </x:c>
    </x:row>
    <x:row r="10" ht="30" customHeight="1">
      <x:c r="B10" s="8" t="str">
        <x:v>BL-X-LOT-01-ARCHIVE</x:v>
      </x:c>
      <x:c r="C10" s="8" t="str">
        <x:v>BL-X</x:v>
      </x:c>
      <x:c r="D10" s="8" t="str">
        <x:v>tube or cartridge</x:v>
      </x:c>
      <x:c r="E10" s="8" t="str">
        <x:v>BL-X-PARENT-01</x:v>
      </x:c>
      <x:c r="F10" s="8" t="str">
        <x:v>ARCHIVE</x:v>
      </x:c>
      <x:c r="G10" s="8" t="str"/>
      <x:c r="H10" s="8" t="str"/>
      <x:c r="I10" s="8" t="str"/>
      <x:c r="J10" s="8" t="str"/>
      <x:c r="K10" s="8" t="str">
        <x:f>IF(J10="","OPEN",IF(OR(NOT(ISNUMBER(G10)),G10&lt;=0,H10="",I10=""),"FAIL","PASS"))</x:f>
        <x:v>OPEN</x:v>
      </x:c>
    </x:row>
    <x:row r="11" ht="30" customHeight="1">
      <x:c r="B11" s="8" t="str">
        <x:v>BL-X-LOT-02-ARTICLE</x:v>
      </x:c>
      <x:c r="C11" s="8" t="str">
        <x:v>BL-X</x:v>
      </x:c>
      <x:c r="D11" s="8" t="str">
        <x:v>joint consumable</x:v>
      </x:c>
      <x:c r="E11" s="8" t="str">
        <x:v>BL-X-PARENT-02</x:v>
      </x:c>
      <x:c r="F11" s="8" t="str">
        <x:v>ARTICLE</x:v>
      </x:c>
      <x:c r="G11" s="8" t="str"/>
      <x:c r="H11" s="8" t="str"/>
      <x:c r="I11" s="8" t="str"/>
      <x:c r="J11" s="8" t="str"/>
      <x:c r="K11" s="8" t="str">
        <x:f>IF(J11="","OPEN",IF(OR(NOT(ISNUMBER(G11)),G11&lt;=0,H11="",I11=""),"FAIL","PASS"))</x:f>
        <x:v>OPEN</x:v>
      </x:c>
    </x:row>
    <x:row r="12" ht="30" customHeight="1">
      <x:c r="B12" s="8" t="str">
        <x:v>BL-X-LOT-02-PROCESS-WINDOW</x:v>
      </x:c>
      <x:c r="C12" s="8" t="str">
        <x:v>BL-X</x:v>
      </x:c>
      <x:c r="D12" s="8" t="str">
        <x:v>joint consumable</x:v>
      </x:c>
      <x:c r="E12" s="8" t="str">
        <x:v>BL-X-PARENT-02</x:v>
      </x:c>
      <x:c r="F12" s="8" t="str">
        <x:v>PROCESS WINDOW</x:v>
      </x:c>
      <x:c r="G12" s="8" t="str"/>
      <x:c r="H12" s="8" t="str"/>
      <x:c r="I12" s="8" t="str"/>
      <x:c r="J12" s="8" t="str"/>
      <x:c r="K12" s="8" t="str">
        <x:f>IF(J12="","OPEN",IF(OR(NOT(ISNUMBER(G12)),G12&lt;=0,H12="",I12=""),"FAIL","PASS"))</x:f>
        <x:v>OPEN</x:v>
      </x:c>
    </x:row>
    <x:row r="13" ht="30" customHeight="1">
      <x:c r="B13" s="8" t="str">
        <x:v>BL-X-LOT-02-DEFECT-CHALLENGE</x:v>
      </x:c>
      <x:c r="C13" s="8" t="str">
        <x:v>BL-X</x:v>
      </x:c>
      <x:c r="D13" s="8" t="str">
        <x:v>joint consumable</x:v>
      </x:c>
      <x:c r="E13" s="8" t="str">
        <x:v>BL-X-PARENT-02</x:v>
      </x:c>
      <x:c r="F13" s="8" t="str">
        <x:v>DEFECT CHALLENGE</x:v>
      </x:c>
      <x:c r="G13" s="8" t="str"/>
      <x:c r="H13" s="8" t="str"/>
      <x:c r="I13" s="8" t="str"/>
      <x:c r="J13" s="8" t="str"/>
      <x:c r="K13" s="8" t="str">
        <x:f>IF(J13="","OPEN",IF(OR(NOT(ISNUMBER(G13)),G13&lt;=0,H13="",I13=""),"FAIL","PASS"))</x:f>
        <x:v>OPEN</x:v>
      </x:c>
    </x:row>
    <x:row r="14" ht="30" customHeight="1">
      <x:c r="B14" s="8" t="str">
        <x:v>BL-X-LOT-02-ARCHIVE</x:v>
      </x:c>
      <x:c r="C14" s="8" t="str">
        <x:v>BL-X</x:v>
      </x:c>
      <x:c r="D14" s="8" t="str">
        <x:v>joint consumable</x:v>
      </x:c>
      <x:c r="E14" s="8" t="str">
        <x:v>BL-X-PARENT-02</x:v>
      </x:c>
      <x:c r="F14" s="8" t="str">
        <x:v>ARCHIVE</x:v>
      </x:c>
      <x:c r="G14" s="8" t="str"/>
      <x:c r="H14" s="8" t="str"/>
      <x:c r="I14" s="8" t="str"/>
      <x:c r="J14" s="8" t="str"/>
      <x:c r="K14" s="8" t="str">
        <x:f>IF(J14="","OPEN",IF(OR(NOT(ISNUMBER(G14)),G14&lt;=0,H14="",I14=""),"FAIL","PASS"))</x:f>
        <x:v>OPEN</x:v>
      </x:c>
    </x:row>
    <x:row r="15" ht="30" customHeight="1">
      <x:c r="B15" s="8" t="str">
        <x:v>BL-X-LOT-03-ARTICLE</x:v>
      </x:c>
      <x:c r="C15" s="8" t="str">
        <x:v>BL-X</x:v>
      </x:c>
      <x:c r="D15" s="8" t="str">
        <x:v>seal or purge media</x:v>
      </x:c>
      <x:c r="E15" s="8" t="str">
        <x:v>BL-X-PARENT-03</x:v>
      </x:c>
      <x:c r="F15" s="8" t="str">
        <x:v>ARTICLE</x:v>
      </x:c>
      <x:c r="G15" s="8" t="str"/>
      <x:c r="H15" s="8" t="str"/>
      <x:c r="I15" s="8" t="str"/>
      <x:c r="J15" s="8" t="str"/>
      <x:c r="K15" s="8" t="str">
        <x:f>IF(J15="","OPEN",IF(OR(NOT(ISNUMBER(G15)),G15&lt;=0,H15="",I15=""),"FAIL","PASS"))</x:f>
        <x:v>OPEN</x:v>
      </x:c>
    </x:row>
    <x:row r="16" ht="30" customHeight="1">
      <x:c r="B16" s="8" t="str">
        <x:v>BL-X-LOT-03-PROCESS-WINDOW</x:v>
      </x:c>
      <x:c r="C16" s="8" t="str">
        <x:v>BL-X</x:v>
      </x:c>
      <x:c r="D16" s="8" t="str">
        <x:v>seal or purge media</x:v>
      </x:c>
      <x:c r="E16" s="8" t="str">
        <x:v>BL-X-PARENT-03</x:v>
      </x:c>
      <x:c r="F16" s="8" t="str">
        <x:v>PROCESS WINDOW</x:v>
      </x:c>
      <x:c r="G16" s="8" t="str"/>
      <x:c r="H16" s="8" t="str"/>
      <x:c r="I16" s="8" t="str"/>
      <x:c r="J16" s="8" t="str"/>
      <x:c r="K16" s="8" t="str">
        <x:f>IF(J16="","OPEN",IF(OR(NOT(ISNUMBER(G16)),G16&lt;=0,H16="",I16=""),"FAIL","PASS"))</x:f>
        <x:v>OPEN</x:v>
      </x:c>
    </x:row>
    <x:row r="17" ht="30" customHeight="1">
      <x:c r="B17" s="8" t="str">
        <x:v>BL-X-LOT-03-DEFECT-CHALLENGE</x:v>
      </x:c>
      <x:c r="C17" s="8" t="str">
        <x:v>BL-X</x:v>
      </x:c>
      <x:c r="D17" s="8" t="str">
        <x:v>seal or purge media</x:v>
      </x:c>
      <x:c r="E17" s="8" t="str">
        <x:v>BL-X-PARENT-03</x:v>
      </x:c>
      <x:c r="F17" s="8" t="str">
        <x:v>DEFECT CHALLENGE</x:v>
      </x:c>
      <x:c r="G17" s="8" t="str"/>
      <x:c r="H17" s="8" t="str"/>
      <x:c r="I17" s="8" t="str"/>
      <x:c r="J17" s="8" t="str"/>
      <x:c r="K17" s="8" t="str">
        <x:f>IF(J17="","OPEN",IF(OR(NOT(ISNUMBER(G17)),G17&lt;=0,H17="",I17=""),"FAIL","PASS"))</x:f>
        <x:v>OPEN</x:v>
      </x:c>
    </x:row>
    <x:row r="18" ht="30" customHeight="1">
      <x:c r="B18" s="8" t="str">
        <x:v>BL-X-LOT-03-ARCHIVE</x:v>
      </x:c>
      <x:c r="C18" s="8" t="str">
        <x:v>BL-X</x:v>
      </x:c>
      <x:c r="D18" s="8" t="str">
        <x:v>seal or purge media</x:v>
      </x:c>
      <x:c r="E18" s="8" t="str">
        <x:v>BL-X-PARENT-03</x:v>
      </x:c>
      <x:c r="F18" s="8" t="str">
        <x:v>ARCHIVE</x:v>
      </x:c>
      <x:c r="G18" s="8" t="str"/>
      <x:c r="H18" s="8" t="str"/>
      <x:c r="I18" s="8" t="str"/>
      <x:c r="J18" s="8" t="str"/>
      <x:c r="K18" s="8" t="str">
        <x:f>IF(J18="","OPEN",IF(OR(NOT(ISNUMBER(G18)),G18&lt;=0,H18="",I18=""),"FAIL","PASS"))</x:f>
        <x:v>OPEN</x:v>
      </x:c>
    </x:row>
    <x:row r="19" ht="30" customHeight="1">
      <x:c r="B19" s="8" t="str">
        <x:v>BL-X-LOT-04-ARTICLE</x:v>
      </x:c>
      <x:c r="C19" s="8" t="str">
        <x:v>BL-X</x:v>
      </x:c>
      <x:c r="D19" s="8" t="str">
        <x:v>surface process</x:v>
      </x:c>
      <x:c r="E19" s="8" t="str">
        <x:v>BL-X-PARENT-04</x:v>
      </x:c>
      <x:c r="F19" s="8" t="str">
        <x:v>ARTICLE</x:v>
      </x:c>
      <x:c r="G19" s="8" t="str"/>
      <x:c r="H19" s="8" t="str"/>
      <x:c r="I19" s="8" t="str"/>
      <x:c r="J19" s="8" t="str"/>
      <x:c r="K19" s="8" t="str">
        <x:f>IF(J19="","OPEN",IF(OR(NOT(ISNUMBER(G19)),G19&lt;=0,H19="",I19=""),"FAIL","PASS"))</x:f>
        <x:v>OPEN</x:v>
      </x:c>
    </x:row>
    <x:row r="20" ht="30" customHeight="1">
      <x:c r="B20" s="8" t="str">
        <x:v>BL-X-LOT-04-PROCESS-WINDOW</x:v>
      </x:c>
      <x:c r="C20" s="8" t="str">
        <x:v>BL-X</x:v>
      </x:c>
      <x:c r="D20" s="8" t="str">
        <x:v>surface process</x:v>
      </x:c>
      <x:c r="E20" s="8" t="str">
        <x:v>BL-X-PARENT-04</x:v>
      </x:c>
      <x:c r="F20" s="8" t="str">
        <x:v>PROCESS WINDOW</x:v>
      </x:c>
      <x:c r="G20" s="8" t="str"/>
      <x:c r="H20" s="8" t="str"/>
      <x:c r="I20" s="8" t="str"/>
      <x:c r="J20" s="8" t="str"/>
      <x:c r="K20" s="8" t="str">
        <x:f>IF(J20="","OPEN",IF(OR(NOT(ISNUMBER(G20)),G20&lt;=0,H20="",I20=""),"FAIL","PASS"))</x:f>
        <x:v>OPEN</x:v>
      </x:c>
    </x:row>
    <x:row r="21" ht="30" customHeight="1">
      <x:c r="B21" s="8" t="str">
        <x:v>BL-X-LOT-04-DEFECT-CHALLENGE</x:v>
      </x:c>
      <x:c r="C21" s="8" t="str">
        <x:v>BL-X</x:v>
      </x:c>
      <x:c r="D21" s="8" t="str">
        <x:v>surface process</x:v>
      </x:c>
      <x:c r="E21" s="8" t="str">
        <x:v>BL-X-PARENT-04</x:v>
      </x:c>
      <x:c r="F21" s="8" t="str">
        <x:v>DEFECT CHALLENGE</x:v>
      </x:c>
      <x:c r="G21" s="8" t="str"/>
      <x:c r="H21" s="8" t="str"/>
      <x:c r="I21" s="8" t="str"/>
      <x:c r="J21" s="8" t="str"/>
      <x:c r="K21" s="8" t="str">
        <x:f>IF(J21="","OPEN",IF(OR(NOT(ISNUMBER(G21)),G21&lt;=0,H21="",I21=""),"FAIL","PASS"))</x:f>
        <x:v>OPEN</x:v>
      </x:c>
    </x:row>
    <x:row r="22" ht="30" customHeight="1">
      <x:c r="B22" s="8" t="str">
        <x:v>BL-X-LOT-04-ARCHIVE</x:v>
      </x:c>
      <x:c r="C22" s="8" t="str">
        <x:v>BL-X</x:v>
      </x:c>
      <x:c r="D22" s="8" t="str">
        <x:v>surface process</x:v>
      </x:c>
      <x:c r="E22" s="8" t="str">
        <x:v>BL-X-PARENT-04</x:v>
      </x:c>
      <x:c r="F22" s="8" t="str">
        <x:v>ARCHIVE</x:v>
      </x:c>
      <x:c r="G22" s="8" t="str"/>
      <x:c r="H22" s="8" t="str"/>
      <x:c r="I22" s="8" t="str"/>
      <x:c r="J22" s="8" t="str"/>
      <x:c r="K22" s="8" t="str">
        <x:f>IF(J22="","OPEN",IF(OR(NOT(ISNUMBER(G22)),G22&lt;=0,H22="",I22=""),"FAIL","PASS"))</x:f>
        <x:v>OPEN</x:v>
      </x:c>
    </x:row>
    <x:row r="23" ht="30" customHeight="1">
      <x:c r="B23" s="8" t="str">
        <x:v>BL-X-LOT-05-ARTICLE</x:v>
      </x:c>
      <x:c r="C23" s="8" t="str">
        <x:v>BL-X</x:v>
      </x:c>
      <x:c r="D23" s="8" t="str">
        <x:v>instrument boss</x:v>
      </x:c>
      <x:c r="E23" s="8" t="str">
        <x:v>BL-X-PARENT-05</x:v>
      </x:c>
      <x:c r="F23" s="8" t="str">
        <x:v>ARTICLE</x:v>
      </x:c>
      <x:c r="G23" s="8" t="str"/>
      <x:c r="H23" s="8" t="str"/>
      <x:c r="I23" s="8" t="str"/>
      <x:c r="J23" s="8" t="str"/>
      <x:c r="K23" s="8" t="str">
        <x:f>IF(J23="","OPEN",IF(OR(NOT(ISNUMBER(G23)),G23&lt;=0,H23="",I23=""),"FAIL","PASS"))</x:f>
        <x:v>OPEN</x:v>
      </x:c>
    </x:row>
    <x:row r="24" ht="30" customHeight="1">
      <x:c r="B24" s="8" t="str">
        <x:v>BL-X-LOT-05-PROCESS-WINDOW</x:v>
      </x:c>
      <x:c r="C24" s="8" t="str">
        <x:v>BL-X</x:v>
      </x:c>
      <x:c r="D24" s="8" t="str">
        <x:v>instrument boss</x:v>
      </x:c>
      <x:c r="E24" s="8" t="str">
        <x:v>BL-X-PARENT-05</x:v>
      </x:c>
      <x:c r="F24" s="8" t="str">
        <x:v>PROCESS WINDOW</x:v>
      </x:c>
      <x:c r="G24" s="8" t="str"/>
      <x:c r="H24" s="8" t="str"/>
      <x:c r="I24" s="8" t="str"/>
      <x:c r="J24" s="8" t="str"/>
      <x:c r="K24" s="8" t="str">
        <x:f>IF(J24="","OPEN",IF(OR(NOT(ISNUMBER(G24)),G24&lt;=0,H24="",I24=""),"FAIL","PASS"))</x:f>
        <x:v>OPEN</x:v>
      </x:c>
    </x:row>
    <x:row r="25" ht="30" customHeight="1">
      <x:c r="B25" s="8" t="str">
        <x:v>BL-X-LOT-05-DEFECT-CHALLENGE</x:v>
      </x:c>
      <x:c r="C25" s="8" t="str">
        <x:v>BL-X</x:v>
      </x:c>
      <x:c r="D25" s="8" t="str">
        <x:v>instrument boss</x:v>
      </x:c>
      <x:c r="E25" s="8" t="str">
        <x:v>BL-X-PARENT-05</x:v>
      </x:c>
      <x:c r="F25" s="8" t="str">
        <x:v>DEFECT CHALLENGE</x:v>
      </x:c>
      <x:c r="G25" s="8" t="str"/>
      <x:c r="H25" s="8" t="str"/>
      <x:c r="I25" s="8" t="str"/>
      <x:c r="J25" s="8" t="str"/>
      <x:c r="K25" s="8" t="str">
        <x:f>IF(J25="","OPEN",IF(OR(NOT(ISNUMBER(G25)),G25&lt;=0,H25="",I25=""),"FAIL","PASS"))</x:f>
        <x:v>OPEN</x:v>
      </x:c>
    </x:row>
    <x:row r="26" ht="30" customHeight="1">
      <x:c r="B26" s="8" t="str">
        <x:v>BL-X-LOT-05-ARCHIVE</x:v>
      </x:c>
      <x:c r="C26" s="8" t="str">
        <x:v>BL-X</x:v>
      </x:c>
      <x:c r="D26" s="8" t="str">
        <x:v>instrument boss</x:v>
      </x:c>
      <x:c r="E26" s="8" t="str">
        <x:v>BL-X-PARENT-05</x:v>
      </x:c>
      <x:c r="F26" s="8" t="str">
        <x:v>ARCHIVE</x:v>
      </x:c>
      <x:c r="G26" s="8" t="str"/>
      <x:c r="H26" s="8" t="str"/>
      <x:c r="I26" s="8" t="str"/>
      <x:c r="J26" s="8" t="str"/>
      <x:c r="K26" s="8" t="str">
        <x:f>IF(J26="","OPEN",IF(OR(NOT(ISNUMBER(G26)),G26&lt;=0,H26="",I26=""),"FAIL","PASS"))</x:f>
        <x:v>OPEN</x:v>
      </x:c>
    </x:row>
    <x:row r="27" ht="30" customHeight="1">
      <x:c r="B27" s="8" t="str">
        <x:v>BL-X-LOT-06-ARTICLE</x:v>
      </x:c>
      <x:c r="C27" s="8" t="str">
        <x:v>BL-X</x:v>
      </x:c>
      <x:c r="D27" s="8" t="str">
        <x:v>final-element hardware</x:v>
      </x:c>
      <x:c r="E27" s="8" t="str">
        <x:v>BL-X-PARENT-06</x:v>
      </x:c>
      <x:c r="F27" s="8" t="str">
        <x:v>ARTICLE</x:v>
      </x:c>
      <x:c r="G27" s="8" t="str"/>
      <x:c r="H27" s="8" t="str"/>
      <x:c r="I27" s="8" t="str"/>
      <x:c r="J27" s="8" t="str"/>
      <x:c r="K27" s="8" t="str">
        <x:f>IF(J27="","OPEN",IF(OR(NOT(ISNUMBER(G27)),G27&lt;=0,H27="",I27=""),"FAIL","PASS"))</x:f>
        <x:v>OPEN</x:v>
      </x:c>
    </x:row>
    <x:row r="28" ht="30" customHeight="1">
      <x:c r="B28" s="8" t="str">
        <x:v>BL-X-LOT-06-PROCESS-WINDOW</x:v>
      </x:c>
      <x:c r="C28" s="8" t="str">
        <x:v>BL-X</x:v>
      </x:c>
      <x:c r="D28" s="8" t="str">
        <x:v>final-element hardware</x:v>
      </x:c>
      <x:c r="E28" s="8" t="str">
        <x:v>BL-X-PARENT-06</x:v>
      </x:c>
      <x:c r="F28" s="8" t="str">
        <x:v>PROCESS WINDOW</x:v>
      </x:c>
      <x:c r="G28" s="8" t="str"/>
      <x:c r="H28" s="8" t="str"/>
      <x:c r="I28" s="8" t="str"/>
      <x:c r="J28" s="8" t="str"/>
      <x:c r="K28" s="8" t="str">
        <x:f>IF(J28="","OPEN",IF(OR(NOT(ISNUMBER(G28)),G28&lt;=0,H28="",I28=""),"FAIL","PASS"))</x:f>
        <x:v>OPEN</x:v>
      </x:c>
    </x:row>
    <x:row r="29" ht="30" customHeight="1">
      <x:c r="B29" s="8" t="str">
        <x:v>BL-X-LOT-06-DEFECT-CHALLENGE</x:v>
      </x:c>
      <x:c r="C29" s="8" t="str">
        <x:v>BL-X</x:v>
      </x:c>
      <x:c r="D29" s="8" t="str">
        <x:v>final-element hardware</x:v>
      </x:c>
      <x:c r="E29" s="8" t="str">
        <x:v>BL-X-PARENT-06</x:v>
      </x:c>
      <x:c r="F29" s="8" t="str">
        <x:v>DEFECT CHALLENGE</x:v>
      </x:c>
      <x:c r="G29" s="8" t="str"/>
      <x:c r="H29" s="8" t="str"/>
      <x:c r="I29" s="8" t="str"/>
      <x:c r="J29" s="8" t="str"/>
      <x:c r="K29" s="8" t="str">
        <x:f>IF(J29="","OPEN",IF(OR(NOT(ISNUMBER(G29)),G29&lt;=0,H29="",I29=""),"FAIL","PASS"))</x:f>
        <x:v>OPEN</x:v>
      </x:c>
    </x:row>
    <x:row r="30" ht="30" customHeight="1">
      <x:c r="B30" s="8" t="str">
        <x:v>BL-X-LOT-06-ARCHIVE</x:v>
      </x:c>
      <x:c r="C30" s="8" t="str">
        <x:v>BL-X</x:v>
      </x:c>
      <x:c r="D30" s="8" t="str">
        <x:v>final-element hardware</x:v>
      </x:c>
      <x:c r="E30" s="8" t="str">
        <x:v>BL-X-PARENT-06</x:v>
      </x:c>
      <x:c r="F30" s="8" t="str">
        <x:v>ARCHIVE</x:v>
      </x:c>
      <x:c r="G30" s="8" t="str"/>
      <x:c r="H30" s="8" t="str"/>
      <x:c r="I30" s="8" t="str"/>
      <x:c r="J30" s="8" t="str"/>
      <x:c r="K30" s="8" t="str">
        <x:f>IF(J30="","OPEN",IF(OR(NOT(ISNUMBER(G30)),G30&lt;=0,H30="",I30=""),"FAIL","PASS"))</x:f>
        <x:v>OPEN</x:v>
      </x:c>
    </x:row>
    <x:row r="31" ht="30" customHeight="1">
      <x:c r="B31" s="8" t="str">
        <x:v>BL-Y-LOT-01-ARTICLE</x:v>
      </x:c>
      <x:c r="C31" s="8" t="str">
        <x:v>BL-Y</x:v>
      </x:c>
      <x:c r="D31" s="8" t="str">
        <x:v>tube or cartridge</x:v>
      </x:c>
      <x:c r="E31" s="8" t="str">
        <x:v>BL-Y-PARENT-01</x:v>
      </x:c>
      <x:c r="F31" s="8" t="str">
        <x:v>ARTICLE</x:v>
      </x:c>
      <x:c r="G31" s="8" t="str"/>
      <x:c r="H31" s="8" t="str"/>
      <x:c r="I31" s="8" t="str"/>
      <x:c r="J31" s="8" t="str"/>
      <x:c r="K31" s="8" t="str">
        <x:f>IF(J31="","OPEN",IF(OR(NOT(ISNUMBER(G31)),G31&lt;=0,H31="",I31=""),"FAIL","PASS"))</x:f>
        <x:v>OPEN</x:v>
      </x:c>
    </x:row>
    <x:row r="32" ht="30" customHeight="1">
      <x:c r="B32" s="8" t="str">
        <x:v>BL-Y-LOT-01-PROCESS-WINDOW</x:v>
      </x:c>
      <x:c r="C32" s="8" t="str">
        <x:v>BL-Y</x:v>
      </x:c>
      <x:c r="D32" s="8" t="str">
        <x:v>tube or cartridge</x:v>
      </x:c>
      <x:c r="E32" s="8" t="str">
        <x:v>BL-Y-PARENT-01</x:v>
      </x:c>
      <x:c r="F32" s="8" t="str">
        <x:v>PROCESS WINDOW</x:v>
      </x:c>
      <x:c r="G32" s="8" t="str"/>
      <x:c r="H32" s="8" t="str"/>
      <x:c r="I32" s="8" t="str"/>
      <x:c r="J32" s="8" t="str"/>
      <x:c r="K32" s="8" t="str">
        <x:f>IF(J32="","OPEN",IF(OR(NOT(ISNUMBER(G32)),G32&lt;=0,H32="",I32=""),"FAIL","PASS"))</x:f>
        <x:v>OPEN</x:v>
      </x:c>
    </x:row>
    <x:row r="33" ht="30" customHeight="1">
      <x:c r="B33" s="8" t="str">
        <x:v>BL-Y-LOT-01-DEFECT-CHALLENGE</x:v>
      </x:c>
      <x:c r="C33" s="8" t="str">
        <x:v>BL-Y</x:v>
      </x:c>
      <x:c r="D33" s="8" t="str">
        <x:v>tube or cartridge</x:v>
      </x:c>
      <x:c r="E33" s="8" t="str">
        <x:v>BL-Y-PARENT-01</x:v>
      </x:c>
      <x:c r="F33" s="8" t="str">
        <x:v>DEFECT CHALLENGE</x:v>
      </x:c>
      <x:c r="G33" s="8" t="str"/>
      <x:c r="H33" s="8" t="str"/>
      <x:c r="I33" s="8" t="str"/>
      <x:c r="J33" s="8" t="str"/>
      <x:c r="K33" s="8" t="str">
        <x:f>IF(J33="","OPEN",IF(OR(NOT(ISNUMBER(G33)),G33&lt;=0,H33="",I33=""),"FAIL","PASS"))</x:f>
        <x:v>OPEN</x:v>
      </x:c>
    </x:row>
    <x:row r="34" ht="30" customHeight="1">
      <x:c r="B34" s="8" t="str">
        <x:v>BL-Y-LOT-01-ARCHIVE</x:v>
      </x:c>
      <x:c r="C34" s="8" t="str">
        <x:v>BL-Y</x:v>
      </x:c>
      <x:c r="D34" s="8" t="str">
        <x:v>tube or cartridge</x:v>
      </x:c>
      <x:c r="E34" s="8" t="str">
        <x:v>BL-Y-PARENT-01</x:v>
      </x:c>
      <x:c r="F34" s="8" t="str">
        <x:v>ARCHIVE</x:v>
      </x:c>
      <x:c r="G34" s="8" t="str"/>
      <x:c r="H34" s="8" t="str"/>
      <x:c r="I34" s="8" t="str"/>
      <x:c r="J34" s="8" t="str"/>
      <x:c r="K34" s="8" t="str">
        <x:f>IF(J34="","OPEN",IF(OR(NOT(ISNUMBER(G34)),G34&lt;=0,H34="",I34=""),"FAIL","PASS"))</x:f>
        <x:v>OPEN</x:v>
      </x:c>
    </x:row>
    <x:row r="35" ht="30" customHeight="1">
      <x:c r="B35" s="8" t="str">
        <x:v>BL-Y-LOT-02-ARTICLE</x:v>
      </x:c>
      <x:c r="C35" s="8" t="str">
        <x:v>BL-Y</x:v>
      </x:c>
      <x:c r="D35" s="8" t="str">
        <x:v>joint consumable</x:v>
      </x:c>
      <x:c r="E35" s="8" t="str">
        <x:v>BL-Y-PARENT-02</x:v>
      </x:c>
      <x:c r="F35" s="8" t="str">
        <x:v>ARTICLE</x:v>
      </x:c>
      <x:c r="G35" s="8" t="str"/>
      <x:c r="H35" s="8" t="str"/>
      <x:c r="I35" s="8" t="str"/>
      <x:c r="J35" s="8" t="str"/>
      <x:c r="K35" s="8" t="str">
        <x:f>IF(J35="","OPEN",IF(OR(NOT(ISNUMBER(G35)),G35&lt;=0,H35="",I35=""),"FAIL","PASS"))</x:f>
        <x:v>OPEN</x:v>
      </x:c>
    </x:row>
    <x:row r="36" ht="30" customHeight="1">
      <x:c r="B36" s="8" t="str">
        <x:v>BL-Y-LOT-02-PROCESS-WINDOW</x:v>
      </x:c>
      <x:c r="C36" s="8" t="str">
        <x:v>BL-Y</x:v>
      </x:c>
      <x:c r="D36" s="8" t="str">
        <x:v>joint consumable</x:v>
      </x:c>
      <x:c r="E36" s="8" t="str">
        <x:v>BL-Y-PARENT-02</x:v>
      </x:c>
      <x:c r="F36" s="8" t="str">
        <x:v>PROCESS WINDOW</x:v>
      </x:c>
      <x:c r="G36" s="8" t="str"/>
      <x:c r="H36" s="8" t="str"/>
      <x:c r="I36" s="8" t="str"/>
      <x:c r="J36" s="8" t="str"/>
      <x:c r="K36" s="8" t="str">
        <x:f>IF(J36="","OPEN",IF(OR(NOT(ISNUMBER(G36)),G36&lt;=0,H36="",I36=""),"FAIL","PASS"))</x:f>
        <x:v>OPEN</x:v>
      </x:c>
    </x:row>
    <x:row r="37" ht="30" customHeight="1">
      <x:c r="B37" s="8" t="str">
        <x:v>BL-Y-LOT-02-DEFECT-CHALLENGE</x:v>
      </x:c>
      <x:c r="C37" s="8" t="str">
        <x:v>BL-Y</x:v>
      </x:c>
      <x:c r="D37" s="8" t="str">
        <x:v>joint consumable</x:v>
      </x:c>
      <x:c r="E37" s="8" t="str">
        <x:v>BL-Y-PARENT-02</x:v>
      </x:c>
      <x:c r="F37" s="8" t="str">
        <x:v>DEFECT CHALLENGE</x:v>
      </x:c>
      <x:c r="G37" s="8" t="str"/>
      <x:c r="H37" s="8" t="str"/>
      <x:c r="I37" s="8" t="str"/>
      <x:c r="J37" s="8" t="str"/>
      <x:c r="K37" s="8" t="str">
        <x:f>IF(J37="","OPEN",IF(OR(NOT(ISNUMBER(G37)),G37&lt;=0,H37="",I37=""),"FAIL","PASS"))</x:f>
        <x:v>OPEN</x:v>
      </x:c>
    </x:row>
    <x:row r="38" ht="30" customHeight="1">
      <x:c r="B38" s="8" t="str">
        <x:v>BL-Y-LOT-02-ARCHIVE</x:v>
      </x:c>
      <x:c r="C38" s="8" t="str">
        <x:v>BL-Y</x:v>
      </x:c>
      <x:c r="D38" s="8" t="str">
        <x:v>joint consumable</x:v>
      </x:c>
      <x:c r="E38" s="8" t="str">
        <x:v>BL-Y-PARENT-02</x:v>
      </x:c>
      <x:c r="F38" s="8" t="str">
        <x:v>ARCHIVE</x:v>
      </x:c>
      <x:c r="G38" s="8" t="str"/>
      <x:c r="H38" s="8" t="str"/>
      <x:c r="I38" s="8" t="str"/>
      <x:c r="J38" s="8" t="str"/>
      <x:c r="K38" s="8" t="str">
        <x:f>IF(J38="","OPEN",IF(OR(NOT(ISNUMBER(G38)),G38&lt;=0,H38="",I38=""),"FAIL","PASS"))</x:f>
        <x:v>OPEN</x:v>
      </x:c>
    </x:row>
    <x:row r="39" ht="30" customHeight="1">
      <x:c r="B39" s="8" t="str">
        <x:v>BL-Y-LOT-03-ARTICLE</x:v>
      </x:c>
      <x:c r="C39" s="8" t="str">
        <x:v>BL-Y</x:v>
      </x:c>
      <x:c r="D39" s="8" t="str">
        <x:v>seal or purge media</x:v>
      </x:c>
      <x:c r="E39" s="8" t="str">
        <x:v>BL-Y-PARENT-03</x:v>
      </x:c>
      <x:c r="F39" s="8" t="str">
        <x:v>ARTICLE</x:v>
      </x:c>
      <x:c r="G39" s="8" t="str"/>
      <x:c r="H39" s="8" t="str"/>
      <x:c r="I39" s="8" t="str"/>
      <x:c r="J39" s="8" t="str"/>
      <x:c r="K39" s="8" t="str">
        <x:f>IF(J39="","OPEN",IF(OR(NOT(ISNUMBER(G39)),G39&lt;=0,H39="",I39=""),"FAIL","PASS"))</x:f>
        <x:v>OPEN</x:v>
      </x:c>
    </x:row>
    <x:row r="40" ht="30" customHeight="1">
      <x:c r="B40" s="8" t="str">
        <x:v>BL-Y-LOT-03-PROCESS-WINDOW</x:v>
      </x:c>
      <x:c r="C40" s="8" t="str">
        <x:v>BL-Y</x:v>
      </x:c>
      <x:c r="D40" s="8" t="str">
        <x:v>seal or purge media</x:v>
      </x:c>
      <x:c r="E40" s="8" t="str">
        <x:v>BL-Y-PARENT-03</x:v>
      </x:c>
      <x:c r="F40" s="8" t="str">
        <x:v>PROCESS WINDOW</x:v>
      </x:c>
      <x:c r="G40" s="8" t="str"/>
      <x:c r="H40" s="8" t="str"/>
      <x:c r="I40" s="8" t="str"/>
      <x:c r="J40" s="8" t="str"/>
      <x:c r="K40" s="8" t="str">
        <x:f>IF(J40="","OPEN",IF(OR(NOT(ISNUMBER(G40)),G40&lt;=0,H40="",I40=""),"FAIL","PASS"))</x:f>
        <x:v>OPEN</x:v>
      </x:c>
    </x:row>
    <x:row r="41" ht="30" customHeight="1">
      <x:c r="B41" s="8" t="str">
        <x:v>BL-Y-LOT-03-DEFECT-CHALLENGE</x:v>
      </x:c>
      <x:c r="C41" s="8" t="str">
        <x:v>BL-Y</x:v>
      </x:c>
      <x:c r="D41" s="8" t="str">
        <x:v>seal or purge media</x:v>
      </x:c>
      <x:c r="E41" s="8" t="str">
        <x:v>BL-Y-PARENT-03</x:v>
      </x:c>
      <x:c r="F41" s="8" t="str">
        <x:v>DEFECT CHALLENGE</x:v>
      </x:c>
      <x:c r="G41" s="8" t="str"/>
      <x:c r="H41" s="8" t="str"/>
      <x:c r="I41" s="8" t="str"/>
      <x:c r="J41" s="8" t="str"/>
      <x:c r="K41" s="8" t="str">
        <x:f>IF(J41="","OPEN",IF(OR(NOT(ISNUMBER(G41)),G41&lt;=0,H41="",I41=""),"FAIL","PASS"))</x:f>
        <x:v>OPEN</x:v>
      </x:c>
    </x:row>
    <x:row r="42" ht="30" customHeight="1">
      <x:c r="B42" s="8" t="str">
        <x:v>BL-Y-LOT-03-ARCHIVE</x:v>
      </x:c>
      <x:c r="C42" s="8" t="str">
        <x:v>BL-Y</x:v>
      </x:c>
      <x:c r="D42" s="8" t="str">
        <x:v>seal or purge media</x:v>
      </x:c>
      <x:c r="E42" s="8" t="str">
        <x:v>BL-Y-PARENT-03</x:v>
      </x:c>
      <x:c r="F42" s="8" t="str">
        <x:v>ARCHIVE</x:v>
      </x:c>
      <x:c r="G42" s="8" t="str"/>
      <x:c r="H42" s="8" t="str"/>
      <x:c r="I42" s="8" t="str"/>
      <x:c r="J42" s="8" t="str"/>
      <x:c r="K42" s="8" t="str">
        <x:f>IF(J42="","OPEN",IF(OR(NOT(ISNUMBER(G42)),G42&lt;=0,H42="",I42=""),"FAIL","PASS"))</x:f>
        <x:v>OPEN</x:v>
      </x:c>
    </x:row>
    <x:row r="43" ht="30" customHeight="1">
      <x:c r="B43" s="8" t="str">
        <x:v>BL-Y-LOT-04-ARTICLE</x:v>
      </x:c>
      <x:c r="C43" s="8" t="str">
        <x:v>BL-Y</x:v>
      </x:c>
      <x:c r="D43" s="8" t="str">
        <x:v>surface process</x:v>
      </x:c>
      <x:c r="E43" s="8" t="str">
        <x:v>BL-Y-PARENT-04</x:v>
      </x:c>
      <x:c r="F43" s="8" t="str">
        <x:v>ARTICLE</x:v>
      </x:c>
      <x:c r="G43" s="8" t="str"/>
      <x:c r="H43" s="8" t="str"/>
      <x:c r="I43" s="8" t="str"/>
      <x:c r="J43" s="8" t="str"/>
      <x:c r="K43" s="8" t="str">
        <x:f>IF(J43="","OPEN",IF(OR(NOT(ISNUMBER(G43)),G43&lt;=0,H43="",I43=""),"FAIL","PASS"))</x:f>
        <x:v>OPEN</x:v>
      </x:c>
    </x:row>
    <x:row r="44" ht="30" customHeight="1">
      <x:c r="B44" s="8" t="str">
        <x:v>BL-Y-LOT-04-PROCESS-WINDOW</x:v>
      </x:c>
      <x:c r="C44" s="8" t="str">
        <x:v>BL-Y</x:v>
      </x:c>
      <x:c r="D44" s="8" t="str">
        <x:v>surface process</x:v>
      </x:c>
      <x:c r="E44" s="8" t="str">
        <x:v>BL-Y-PARENT-04</x:v>
      </x:c>
      <x:c r="F44" s="8" t="str">
        <x:v>PROCESS WINDOW</x:v>
      </x:c>
      <x:c r="G44" s="8" t="str"/>
      <x:c r="H44" s="8" t="str"/>
      <x:c r="I44" s="8" t="str"/>
      <x:c r="J44" s="8" t="str"/>
      <x:c r="K44" s="8" t="str">
        <x:f>IF(J44="","OPEN",IF(OR(NOT(ISNUMBER(G44)),G44&lt;=0,H44="",I44=""),"FAIL","PASS"))</x:f>
        <x:v>OPEN</x:v>
      </x:c>
    </x:row>
    <x:row r="45" ht="30" customHeight="1">
      <x:c r="B45" s="8" t="str">
        <x:v>BL-Y-LOT-04-DEFECT-CHALLENGE</x:v>
      </x:c>
      <x:c r="C45" s="8" t="str">
        <x:v>BL-Y</x:v>
      </x:c>
      <x:c r="D45" s="8" t="str">
        <x:v>surface process</x:v>
      </x:c>
      <x:c r="E45" s="8" t="str">
        <x:v>BL-Y-PARENT-04</x:v>
      </x:c>
      <x:c r="F45" s="8" t="str">
        <x:v>DEFECT CHALLENGE</x:v>
      </x:c>
      <x:c r="G45" s="8" t="str"/>
      <x:c r="H45" s="8" t="str"/>
      <x:c r="I45" s="8" t="str"/>
      <x:c r="J45" s="8" t="str"/>
      <x:c r="K45" s="8" t="str">
        <x:f>IF(J45="","OPEN",IF(OR(NOT(ISNUMBER(G45)),G45&lt;=0,H45="",I45=""),"FAIL","PASS"))</x:f>
        <x:v>OPEN</x:v>
      </x:c>
    </x:row>
    <x:row r="46" ht="30" customHeight="1">
      <x:c r="B46" s="8" t="str">
        <x:v>BL-Y-LOT-04-ARCHIVE</x:v>
      </x:c>
      <x:c r="C46" s="8" t="str">
        <x:v>BL-Y</x:v>
      </x:c>
      <x:c r="D46" s="8" t="str">
        <x:v>surface process</x:v>
      </x:c>
      <x:c r="E46" s="8" t="str">
        <x:v>BL-Y-PARENT-04</x:v>
      </x:c>
      <x:c r="F46" s="8" t="str">
        <x:v>ARCHIVE</x:v>
      </x:c>
      <x:c r="G46" s="8" t="str"/>
      <x:c r="H46" s="8" t="str"/>
      <x:c r="I46" s="8" t="str"/>
      <x:c r="J46" s="8" t="str"/>
      <x:c r="K46" s="8" t="str">
        <x:f>IF(J46="","OPEN",IF(OR(NOT(ISNUMBER(G46)),G46&lt;=0,H46="",I46=""),"FAIL","PASS"))</x:f>
        <x:v>OPEN</x:v>
      </x:c>
    </x:row>
    <x:row r="47" ht="30" customHeight="1">
      <x:c r="B47" s="8" t="str">
        <x:v>BL-Y-LOT-05-ARTICLE</x:v>
      </x:c>
      <x:c r="C47" s="8" t="str">
        <x:v>BL-Y</x:v>
      </x:c>
      <x:c r="D47" s="8" t="str">
        <x:v>instrument boss</x:v>
      </x:c>
      <x:c r="E47" s="8" t="str">
        <x:v>BL-Y-PARENT-05</x:v>
      </x:c>
      <x:c r="F47" s="8" t="str">
        <x:v>ARTICLE</x:v>
      </x:c>
      <x:c r="G47" s="8" t="str"/>
      <x:c r="H47" s="8" t="str"/>
      <x:c r="I47" s="8" t="str"/>
      <x:c r="J47" s="8" t="str"/>
      <x:c r="K47" s="8" t="str">
        <x:f>IF(J47="","OPEN",IF(OR(NOT(ISNUMBER(G47)),G47&lt;=0,H47="",I47=""),"FAIL","PASS"))</x:f>
        <x:v>OPEN</x:v>
      </x:c>
    </x:row>
    <x:row r="48" ht="30" customHeight="1">
      <x:c r="B48" s="8" t="str">
        <x:v>BL-Y-LOT-05-PROCESS-WINDOW</x:v>
      </x:c>
      <x:c r="C48" s="8" t="str">
        <x:v>BL-Y</x:v>
      </x:c>
      <x:c r="D48" s="8" t="str">
        <x:v>instrument boss</x:v>
      </x:c>
      <x:c r="E48" s="8" t="str">
        <x:v>BL-Y-PARENT-05</x:v>
      </x:c>
      <x:c r="F48" s="8" t="str">
        <x:v>PROCESS WINDOW</x:v>
      </x:c>
      <x:c r="G48" s="8" t="str"/>
      <x:c r="H48" s="8" t="str"/>
      <x:c r="I48" s="8" t="str"/>
      <x:c r="J48" s="8" t="str"/>
      <x:c r="K48" s="8" t="str">
        <x:f>IF(J48="","OPEN",IF(OR(NOT(ISNUMBER(G48)),G48&lt;=0,H48="",I48=""),"FAIL","PASS"))</x:f>
        <x:v>OPEN</x:v>
      </x:c>
    </x:row>
    <x:row r="49" ht="30" customHeight="1">
      <x:c r="B49" s="8" t="str">
        <x:v>BL-Y-LOT-05-DEFECT-CHALLENGE</x:v>
      </x:c>
      <x:c r="C49" s="8" t="str">
        <x:v>BL-Y</x:v>
      </x:c>
      <x:c r="D49" s="8" t="str">
        <x:v>instrument boss</x:v>
      </x:c>
      <x:c r="E49" s="8" t="str">
        <x:v>BL-Y-PARENT-05</x:v>
      </x:c>
      <x:c r="F49" s="8" t="str">
        <x:v>DEFECT CHALLENGE</x:v>
      </x:c>
      <x:c r="G49" s="8" t="str"/>
      <x:c r="H49" s="8" t="str"/>
      <x:c r="I49" s="8" t="str"/>
      <x:c r="J49" s="8" t="str"/>
      <x:c r="K49" s="8" t="str">
        <x:f>IF(J49="","OPEN",IF(OR(NOT(ISNUMBER(G49)),G49&lt;=0,H49="",I49=""),"FAIL","PASS"))</x:f>
        <x:v>OPEN</x:v>
      </x:c>
    </x:row>
    <x:row r="50" ht="30" customHeight="1">
      <x:c r="B50" s="8" t="str">
        <x:v>BL-Y-LOT-05-ARCHIVE</x:v>
      </x:c>
      <x:c r="C50" s="8" t="str">
        <x:v>BL-Y</x:v>
      </x:c>
      <x:c r="D50" s="8" t="str">
        <x:v>instrument boss</x:v>
      </x:c>
      <x:c r="E50" s="8" t="str">
        <x:v>BL-Y-PARENT-05</x:v>
      </x:c>
      <x:c r="F50" s="8" t="str">
        <x:v>ARCHIVE</x:v>
      </x:c>
      <x:c r="G50" s="8" t="str"/>
      <x:c r="H50" s="8" t="str"/>
      <x:c r="I50" s="8" t="str"/>
      <x:c r="J50" s="8" t="str"/>
      <x:c r="K50" s="8" t="str">
        <x:f>IF(J50="","OPEN",IF(OR(NOT(ISNUMBER(G50)),G50&lt;=0,H50="",I50=""),"FAIL","PASS"))</x:f>
        <x:v>OPEN</x:v>
      </x:c>
    </x:row>
    <x:row r="51" ht="30" customHeight="1">
      <x:c r="B51" s="8" t="str">
        <x:v>BL-Y-LOT-06-ARTICLE</x:v>
      </x:c>
      <x:c r="C51" s="8" t="str">
        <x:v>BL-Y</x:v>
      </x:c>
      <x:c r="D51" s="8" t="str">
        <x:v>final-element hardware</x:v>
      </x:c>
      <x:c r="E51" s="8" t="str">
        <x:v>BL-Y-PARENT-06</x:v>
      </x:c>
      <x:c r="F51" s="8" t="str">
        <x:v>ARTICLE</x:v>
      </x:c>
      <x:c r="G51" s="8" t="str"/>
      <x:c r="H51" s="8" t="str"/>
      <x:c r="I51" s="8" t="str"/>
      <x:c r="J51" s="8" t="str"/>
      <x:c r="K51" s="8" t="str">
        <x:f>IF(J51="","OPEN",IF(OR(NOT(ISNUMBER(G51)),G51&lt;=0,H51="",I51=""),"FAIL","PASS"))</x:f>
        <x:v>OPEN</x:v>
      </x:c>
    </x:row>
    <x:row r="52" ht="30" customHeight="1">
      <x:c r="B52" s="8" t="str">
        <x:v>BL-Y-LOT-06-PROCESS-WINDOW</x:v>
      </x:c>
      <x:c r="C52" s="8" t="str">
        <x:v>BL-Y</x:v>
      </x:c>
      <x:c r="D52" s="8" t="str">
        <x:v>final-element hardware</x:v>
      </x:c>
      <x:c r="E52" s="8" t="str">
        <x:v>BL-Y-PARENT-06</x:v>
      </x:c>
      <x:c r="F52" s="8" t="str">
        <x:v>PROCESS WINDOW</x:v>
      </x:c>
      <x:c r="G52" s="8" t="str"/>
      <x:c r="H52" s="8" t="str"/>
      <x:c r="I52" s="8" t="str"/>
      <x:c r="J52" s="8" t="str"/>
      <x:c r="K52" s="8" t="str">
        <x:f>IF(J52="","OPEN",IF(OR(NOT(ISNUMBER(G52)),G52&lt;=0,H52="",I52=""),"FAIL","PASS"))</x:f>
        <x:v>OPEN</x:v>
      </x:c>
    </x:row>
    <x:row r="53" ht="30" customHeight="1">
      <x:c r="B53" s="8" t="str">
        <x:v>BL-Y-LOT-06-DEFECT-CHALLENGE</x:v>
      </x:c>
      <x:c r="C53" s="8" t="str">
        <x:v>BL-Y</x:v>
      </x:c>
      <x:c r="D53" s="8" t="str">
        <x:v>final-element hardware</x:v>
      </x:c>
      <x:c r="E53" s="8" t="str">
        <x:v>BL-Y-PARENT-06</x:v>
      </x:c>
      <x:c r="F53" s="8" t="str">
        <x:v>DEFECT CHALLENGE</x:v>
      </x:c>
      <x:c r="G53" s="8" t="str"/>
      <x:c r="H53" s="8" t="str"/>
      <x:c r="I53" s="8" t="str"/>
      <x:c r="J53" s="8" t="str"/>
      <x:c r="K53" s="8" t="str">
        <x:f>IF(J53="","OPEN",IF(OR(NOT(ISNUMBER(G53)),G53&lt;=0,H53="",I53=""),"FAIL","PASS"))</x:f>
        <x:v>OPEN</x:v>
      </x:c>
    </x:row>
    <x:row r="54" ht="30" customHeight="1">
      <x:c r="B54" s="8" t="str">
        <x:v>BL-Y-LOT-06-ARCHIVE</x:v>
      </x:c>
      <x:c r="C54" s="8" t="str">
        <x:v>BL-Y</x:v>
      </x:c>
      <x:c r="D54" s="8" t="str">
        <x:v>final-element hardware</x:v>
      </x:c>
      <x:c r="E54" s="8" t="str">
        <x:v>BL-Y-PARENT-06</x:v>
      </x:c>
      <x:c r="F54" s="8" t="str">
        <x:v>ARCHIVE</x:v>
      </x:c>
      <x:c r="G54" s="8" t="str"/>
      <x:c r="H54" s="8" t="str"/>
      <x:c r="I54" s="8" t="str"/>
      <x:c r="J54" s="8" t="str"/>
      <x:c r="K54" s="8" t="str">
        <x:f>IF(J54="","OPEN",IF(OR(NOT(ISNUMBER(G54)),G54&lt;=0,H54="",I54=""),"FAIL","PASS"))</x:f>
        <x:v>OPEN</x:v>
      </x:c>
    </x:row>
  </x:sheetData>
  <x:conditionalFormatting sqref="K7:K54">
    <x:cfRule type="containsText" dxfId="42" priority="1" operator="containsText" text="FAIL"/>
    <x:cfRule type="containsText" dxfId="43" priority="2" operator="containsText" text="BLOCKED"/>
    <x:cfRule type="containsText" dxfId="44" priority="3" operator="containsText" text="OPEN"/>
    <x:cfRule type="containsText" dxfId="45" priority="4" operator="containsText" text="PASS"/>
    <x:cfRule type="containsText" dxfId="46" priority="5" operator="containsText" text="PLANNED"/>
    <x:cfRule type="containsText" dxfId="47" priority="6" operator="containsText" text="ACTIVE"/>
  </x:conditionalFormatting>
  <x:pageMargins left="0.7" right="0.7" top="0.75" bottom="0.75" header="0.3" footer="0.3"/>
</x:worksheet>
</file>

<file path=xl/worksheets/sheet17.xml><?xml version="1.0" encoding="utf-8"?>
<x:worksheet xmlns:x="http://schemas.openxmlformats.org/spreadsheetml/2006/main">
  <x:sheetViews>
    <x:sheetView showGridLines="0" workbookViewId="0">
      <x:pane xSplit="2" ySplit="6" topLeftCell="C7" activePane="bottomRight" state="frozen"/>
    </x:sheetView>
  </x:sheetViews>
  <x:sheetFormatPr defaultRowHeight="15"/>
  <x:cols>
    <x:col min="2" max="2" width="18" hidden="0" customWidth="1"/>
    <x:col min="3" max="3" width="13" hidden="0" customWidth="1"/>
    <x:col min="4" max="4" width="13" hidden="0" customWidth="1"/>
    <x:col min="5" max="5" width="36" hidden="0" customWidth="1"/>
    <x:col min="6" max="6" width="27" hidden="0" customWidth="1"/>
    <x:col min="7" max="7" width="24" hidden="0" customWidth="1"/>
    <x:col min="8" max="8" width="20" hidden="0" customWidth="1"/>
    <x:col min="9" max="9" width="20" hidden="0" customWidth="1"/>
    <x:col min="10" max="10" width="14" hidden="0" customWidth="1"/>
  </x:cols>
  <x:sheetData>
    <x:row r="2">
      <x:c r="B2" s="44" t="str">
        <x:v>Forty-eight ordered construction and qualification states</x:v>
      </x:c>
      <x:c r="C2" s="45"/>
      <x:c r="D2" s="45"/>
      <x:c r="E2" s="45"/>
      <x:c r="F2" s="45"/>
      <x:c r="G2" s="45"/>
      <x:c r="H2" s="45"/>
      <x:c r="I2" s="45"/>
      <x:c r="J2" s="45"/>
    </x:row>
    <x:row r="3">
      <x:c r="B3" s="46" t="str">
        <x:v>Both lineages share a functional order. The evidence inside joint execution remains unlike.</x:v>
      </x:c>
      <x:c r="C3" s="45"/>
      <x:c r="D3" s="45"/>
      <x:c r="E3" s="45"/>
      <x:c r="F3" s="45"/>
      <x:c r="G3" s="45"/>
      <x:c r="H3" s="45"/>
      <x:c r="I3" s="45"/>
      <x:c r="J3" s="45"/>
    </x:row>
    <x:row r="4">
      <x:c r="B4" s="45"/>
      <x:c r="C4" s="45"/>
      <x:c r="D4" s="45"/>
      <x:c r="E4" s="45"/>
      <x:c r="F4" s="45"/>
      <x:c r="G4" s="45"/>
      <x:c r="H4" s="45"/>
      <x:c r="I4" s="45"/>
      <x:c r="J4" s="45"/>
    </x:row>
    <x:row r="5">
      <x:c r="B5" s="45"/>
      <x:c r="C5" s="45"/>
      <x:c r="D5" s="45"/>
      <x:c r="E5" s="45"/>
      <x:c r="F5" s="45"/>
      <x:c r="G5" s="45"/>
      <x:c r="H5" s="45"/>
      <x:c r="I5" s="45"/>
      <x:c r="J5" s="45"/>
    </x:row>
    <x:row r="6" ht="25" customHeight="1">
      <x:c r="B6" s="6" t="str">
        <x:v>Route</x:v>
      </x:c>
      <x:c r="C6" s="6" t="str">
        <x:v>Lineage</x:v>
      </x:c>
      <x:c r="D6" s="6" t="str">
        <x:v>Sequence</x:v>
      </x:c>
      <x:c r="E6" s="6" t="str">
        <x:v>Operation</x:v>
      </x:c>
      <x:c r="F6" s="6" t="str">
        <x:v>Mechanism class</x:v>
      </x:c>
      <x:c r="G6" s="6" t="str">
        <x:v>Observed result</x:v>
      </x:c>
      <x:c r="H6" s="6" t="str">
        <x:v>Accepted UTC</x:v>
      </x:c>
      <x:c r="I6" s="6" t="str">
        <x:v>Evidence root</x:v>
      </x:c>
      <x:c r="J6" s="6" t="str">
        <x:v>State</x:v>
      </x:c>
    </x:row>
    <x:row r="7" ht="30" customHeight="1">
      <x:c r="B7" s="8" t="str">
        <x:v>BL-X-RT-01</x:v>
      </x:c>
      <x:c r="C7" s="8" t="str">
        <x:v>BL-X</x:v>
      </x:c>
      <x:c r="D7" s="8" t="n">
        <x:v>1</x:v>
      </x:c>
      <x:c r="E7" s="8" t="str">
        <x:v>authority freeze</x:v>
      </x:c>
      <x:c r="F7" s="8" t="str">
        <x:v>common public sequence</x:v>
      </x:c>
      <x:c r="G7" s="8" t="str"/>
      <x:c r="H7" s="8" t="str"/>
      <x:c r="I7" s="8" t="str"/>
      <x:c r="J7" s="8" t="str">
        <x:f>IF(H7="","OPEN",IF(OR(F7="",G7="",I7=""),"FAIL","PASS"))</x:f>
        <x:v>OPEN</x:v>
      </x:c>
    </x:row>
    <x:row r="8" ht="30" customHeight="1">
      <x:c r="B8" s="8" t="str">
        <x:v>BL-X-RT-02</x:v>
      </x:c>
      <x:c r="C8" s="8" t="str">
        <x:v>BL-X</x:v>
      </x:c>
      <x:c r="D8" s="8" t="n">
        <x:v>2</x:v>
      </x:c>
      <x:c r="E8" s="8" t="str">
        <x:v>fixture release</x:v>
      </x:c>
      <x:c r="F8" s="8" t="str">
        <x:v>common public sequence</x:v>
      </x:c>
      <x:c r="G8" s="8" t="str"/>
      <x:c r="H8" s="8" t="str"/>
      <x:c r="I8" s="8" t="str"/>
      <x:c r="J8" s="8" t="str">
        <x:f>IF(H8="","OPEN",IF(OR(F8="",G8="",I8=""),"FAIL","PASS"))</x:f>
        <x:v>OPEN</x:v>
      </x:c>
    </x:row>
    <x:row r="9" ht="30" customHeight="1">
      <x:c r="B9" s="8" t="str">
        <x:v>BL-X-RT-03</x:v>
      </x:c>
      <x:c r="C9" s="8" t="str">
        <x:v>BL-X</x:v>
      </x:c>
      <x:c r="D9" s="8" t="n">
        <x:v>3</x:v>
      </x:c>
      <x:c r="E9" s="8" t="str">
        <x:v>lot receipt and split</x:v>
      </x:c>
      <x:c r="F9" s="8" t="str">
        <x:v>common public sequence</x:v>
      </x:c>
      <x:c r="G9" s="8" t="str"/>
      <x:c r="H9" s="8" t="str"/>
      <x:c r="I9" s="8" t="str"/>
      <x:c r="J9" s="8" t="str">
        <x:f>IF(H9="","OPEN",IF(OR(F9="",G9="",I9=""),"FAIL","PASS"))</x:f>
        <x:v>OPEN</x:v>
      </x:c>
    </x:row>
    <x:row r="10" ht="30" customHeight="1">
      <x:c r="B10" s="8" t="str">
        <x:v>BL-X-RT-04</x:v>
      </x:c>
      <x:c r="C10" s="8" t="str">
        <x:v>BL-X</x:v>
      </x:c>
      <x:c r="D10" s="8" t="n">
        <x:v>4</x:v>
      </x:c>
      <x:c r="E10" s="8" t="str">
        <x:v>datum transfer</x:v>
      </x:c>
      <x:c r="F10" s="8" t="str">
        <x:v>common public sequence</x:v>
      </x:c>
      <x:c r="G10" s="8" t="str"/>
      <x:c r="H10" s="8" t="str"/>
      <x:c r="I10" s="8" t="str"/>
      <x:c r="J10" s="8" t="str">
        <x:f>IF(H10="","OPEN",IF(OR(F10="",G10="",I10=""),"FAIL","PASS"))</x:f>
        <x:v>OPEN</x:v>
      </x:c>
    </x:row>
    <x:row r="11" ht="30" customHeight="1">
      <x:c r="B11" s="8" t="str">
        <x:v>BL-X-RT-05</x:v>
      </x:c>
      <x:c r="C11" s="8" t="str">
        <x:v>BL-X</x:v>
      </x:c>
      <x:c r="D11" s="8" t="n">
        <x:v>5</x:v>
      </x:c>
      <x:c r="E11" s="8" t="str">
        <x:v>segment bore map</x:v>
      </x:c>
      <x:c r="F11" s="8" t="str">
        <x:v>common public sequence</x:v>
      </x:c>
      <x:c r="G11" s="8" t="str"/>
      <x:c r="H11" s="8" t="str"/>
      <x:c r="I11" s="8" t="str"/>
      <x:c r="J11" s="8" t="str">
        <x:f>IF(H11="","OPEN",IF(OR(F11="",G11="",I11=""),"FAIL","PASS"))</x:f>
        <x:v>OPEN</x:v>
      </x:c>
    </x:row>
    <x:row r="12" ht="30" customHeight="1">
      <x:c r="B12" s="8" t="str">
        <x:v>BL-X-RT-06</x:v>
      </x:c>
      <x:c r="C12" s="8" t="str">
        <x:v>BL-X</x:v>
      </x:c>
      <x:c r="D12" s="8" t="n">
        <x:v>6</x:v>
      </x:c>
      <x:c r="E12" s="8" t="str">
        <x:v>surface observation</x:v>
      </x:c>
      <x:c r="F12" s="8" t="str">
        <x:v>common public sequence</x:v>
      </x:c>
      <x:c r="G12" s="8" t="str"/>
      <x:c r="H12" s="8" t="str"/>
      <x:c r="I12" s="8" t="str"/>
      <x:c r="J12" s="8" t="str">
        <x:f>IF(H12="","OPEN",IF(OR(F12="",G12="",I12=""),"FAIL","PASS"))</x:f>
        <x:v>OPEN</x:v>
      </x:c>
    </x:row>
    <x:row r="13" ht="30" customHeight="1">
      <x:c r="B13" s="8" t="str">
        <x:v>BL-X-RT-07</x:v>
      </x:c>
      <x:c r="C13" s="8" t="str">
        <x:v>BL-X</x:v>
      </x:c>
      <x:c r="D13" s="8" t="n">
        <x:v>7</x:v>
      </x:c>
      <x:c r="E13" s="8" t="str">
        <x:v>boss preparation</x:v>
      </x:c>
      <x:c r="F13" s="8" t="str">
        <x:v>common public sequence</x:v>
      </x:c>
      <x:c r="G13" s="8" t="str"/>
      <x:c r="H13" s="8" t="str"/>
      <x:c r="I13" s="8" t="str"/>
      <x:c r="J13" s="8" t="str">
        <x:f>IF(H13="","OPEN",IF(OR(F13="",G13="",I13=""),"FAIL","PASS"))</x:f>
        <x:v>OPEN</x:v>
      </x:c>
    </x:row>
    <x:row r="14" ht="30" customHeight="1">
      <x:c r="B14" s="8" t="str">
        <x:v>BL-X-RT-08</x:v>
      </x:c>
      <x:c r="C14" s="8" t="str">
        <x:v>BL-X</x:v>
      </x:c>
      <x:c r="D14" s="8" t="n">
        <x:v>8</x:v>
      </x:c>
      <x:c r="E14" s="8" t="str">
        <x:v>lineage joint preparation</x:v>
      </x:c>
      <x:c r="F14" s="8" t="str">
        <x:v>common public sequence</x:v>
      </x:c>
      <x:c r="G14" s="8" t="str"/>
      <x:c r="H14" s="8" t="str"/>
      <x:c r="I14" s="8" t="str"/>
      <x:c r="J14" s="8" t="str">
        <x:f>IF(H14="","OPEN",IF(OR(F14="",G14="",I14=""),"FAIL","PASS"))</x:f>
        <x:v>OPEN</x:v>
      </x:c>
    </x:row>
    <x:row r="15" ht="30" customHeight="1">
      <x:c r="B15" s="8" t="str">
        <x:v>BL-X-RT-09</x:v>
      </x:c>
      <x:c r="C15" s="8" t="str">
        <x:v>BL-X</x:v>
      </x:c>
      <x:c r="D15" s="8" t="n">
        <x:v>9</x:v>
      </x:c>
      <x:c r="E15" s="8" t="str">
        <x:v>joint execution</x:v>
      </x:c>
      <x:c r="F15" s="8" t="str">
        <x:v>lineage-specific</x:v>
      </x:c>
      <x:c r="G15" s="8" t="str"/>
      <x:c r="H15" s="8" t="str"/>
      <x:c r="I15" s="8" t="str"/>
      <x:c r="J15" s="8" t="str">
        <x:f>IF(H15="","OPEN",IF(OR(F15="",G15="",I15=""),"FAIL","PASS"))</x:f>
        <x:v>OPEN</x:v>
      </x:c>
    </x:row>
    <x:row r="16" ht="30" customHeight="1">
      <x:c r="B16" s="8" t="str">
        <x:v>BL-X-RT-10</x:v>
      </x:c>
      <x:c r="C16" s="8" t="str">
        <x:v>BL-X</x:v>
      </x:c>
      <x:c r="D16" s="8" t="n">
        <x:v>10</x:v>
      </x:c>
      <x:c r="E16" s="8" t="str">
        <x:v>execution-record seal</x:v>
      </x:c>
      <x:c r="F16" s="8" t="str">
        <x:v>common public sequence</x:v>
      </x:c>
      <x:c r="G16" s="8" t="str"/>
      <x:c r="H16" s="8" t="str"/>
      <x:c r="I16" s="8" t="str"/>
      <x:c r="J16" s="8" t="str">
        <x:f>IF(H16="","OPEN",IF(OR(F16="",G16="",I16=""),"FAIL","PASS"))</x:f>
        <x:v>OPEN</x:v>
      </x:c>
    </x:row>
    <x:row r="17" ht="30" customHeight="1">
      <x:c r="B17" s="8" t="str">
        <x:v>BL-X-RT-11</x:v>
      </x:c>
      <x:c r="C17" s="8" t="str">
        <x:v>BL-X</x:v>
      </x:c>
      <x:c r="D17" s="8" t="n">
        <x:v>11</x:v>
      </x:c>
      <x:c r="E17" s="8" t="str">
        <x:v>post-joint map</x:v>
      </x:c>
      <x:c r="F17" s="8" t="str">
        <x:v>common public sequence</x:v>
      </x:c>
      <x:c r="G17" s="8" t="str"/>
      <x:c r="H17" s="8" t="str"/>
      <x:c r="I17" s="8" t="str"/>
      <x:c r="J17" s="8" t="str">
        <x:f>IF(H17="","OPEN",IF(OR(F17="",G17="",I17=""),"FAIL","PASS"))</x:f>
        <x:v>OPEN</x:v>
      </x:c>
    </x:row>
    <x:row r="18" ht="30" customHeight="1">
      <x:c r="B18" s="8" t="str">
        <x:v>BL-X-RT-12</x:v>
      </x:c>
      <x:c r="C18" s="8" t="str">
        <x:v>BL-X</x:v>
      </x:c>
      <x:c r="D18" s="8" t="n">
        <x:v>12</x:v>
      </x:c>
      <x:c r="E18" s="8" t="str">
        <x:v>NDE blind call</x:v>
      </x:c>
      <x:c r="F18" s="8" t="str">
        <x:v>common public sequence</x:v>
      </x:c>
      <x:c r="G18" s="8" t="str"/>
      <x:c r="H18" s="8" t="str"/>
      <x:c r="I18" s="8" t="str"/>
      <x:c r="J18" s="8" t="str">
        <x:f>IF(H18="","OPEN",IF(OR(F18="",G18="",I18=""),"FAIL","PASS"))</x:f>
        <x:v>OPEN</x:v>
      </x:c>
    </x:row>
    <x:row r="19" ht="30" customHeight="1">
      <x:c r="B19" s="8" t="str">
        <x:v>BL-X-RT-13</x:v>
      </x:c>
      <x:c r="C19" s="8" t="str">
        <x:v>BL-X</x:v>
      </x:c>
      <x:c r="D19" s="8" t="n">
        <x:v>13</x:v>
      </x:c>
      <x:c r="E19" s="8" t="str">
        <x:v>pan and receiver assembly</x:v>
      </x:c>
      <x:c r="F19" s="8" t="str">
        <x:v>common public sequence</x:v>
      </x:c>
      <x:c r="G19" s="8" t="str"/>
      <x:c r="H19" s="8" t="str"/>
      <x:c r="I19" s="8" t="str"/>
      <x:c r="J19" s="8" t="str">
        <x:f>IF(H19="","OPEN",IF(OR(F19="",G19="",I19=""),"FAIL","PASS"))</x:f>
        <x:v>OPEN</x:v>
      </x:c>
    </x:row>
    <x:row r="20" ht="30" customHeight="1">
      <x:c r="B20" s="8" t="str">
        <x:v>BL-X-RT-14</x:v>
      </x:c>
      <x:c r="C20" s="8" t="str">
        <x:v>BL-X</x:v>
      </x:c>
      <x:c r="D20" s="8" t="n">
        <x:v>14</x:v>
      </x:c>
      <x:c r="E20" s="8" t="str">
        <x:v>final-element installation</x:v>
      </x:c>
      <x:c r="F20" s="8" t="str">
        <x:v>common public sequence</x:v>
      </x:c>
      <x:c r="G20" s="8" t="str"/>
      <x:c r="H20" s="8" t="str"/>
      <x:c r="I20" s="8" t="str"/>
      <x:c r="J20" s="8" t="str">
        <x:f>IF(H20="","OPEN",IF(OR(F20="",G20="",I20=""),"FAIL","PASS"))</x:f>
        <x:v>OPEN</x:v>
      </x:c>
    </x:row>
    <x:row r="21" ht="30" customHeight="1">
      <x:c r="B21" s="8" t="str">
        <x:v>BL-X-RT-15</x:v>
      </x:c>
      <x:c r="C21" s="8" t="str">
        <x:v>BL-X</x:v>
      </x:c>
      <x:c r="D21" s="8" t="n">
        <x:v>15</x:v>
      </x:c>
      <x:c r="E21" s="8" t="str">
        <x:v>local-energy installation</x:v>
      </x:c>
      <x:c r="F21" s="8" t="str">
        <x:v>common public sequence</x:v>
      </x:c>
      <x:c r="G21" s="8" t="str"/>
      <x:c r="H21" s="8" t="str"/>
      <x:c r="I21" s="8" t="str"/>
      <x:c r="J21" s="8" t="str">
        <x:f>IF(H21="","OPEN",IF(OR(F21="",G21="",I21=""),"FAIL","PASS"))</x:f>
        <x:v>OPEN</x:v>
      </x:c>
    </x:row>
    <x:row r="22" ht="30" customHeight="1">
      <x:c r="B22" s="8" t="str">
        <x:v>BL-X-RT-16</x:v>
      </x:c>
      <x:c r="C22" s="8" t="str">
        <x:v>BL-X</x:v>
      </x:c>
      <x:c r="D22" s="8" t="n">
        <x:v>16</x:v>
      </x:c>
      <x:c r="E22" s="8" t="str">
        <x:v>instrument installation</x:v>
      </x:c>
      <x:c r="F22" s="8" t="str">
        <x:v>common public sequence</x:v>
      </x:c>
      <x:c r="G22" s="8" t="str"/>
      <x:c r="H22" s="8" t="str"/>
      <x:c r="I22" s="8" t="str"/>
      <x:c r="J22" s="8" t="str">
        <x:f>IF(H22="","OPEN",IF(OR(F22="",G22="",I22=""),"FAIL","PASS"))</x:f>
        <x:v>OPEN</x:v>
      </x:c>
    </x:row>
    <x:row r="23" ht="30" customHeight="1">
      <x:c r="B23" s="8" t="str">
        <x:v>BL-X-RT-17</x:v>
      </x:c>
      <x:c r="C23" s="8" t="str">
        <x:v>BL-X</x:v>
      </x:c>
      <x:c r="D23" s="8" t="n">
        <x:v>17</x:v>
      </x:c>
      <x:c r="E23" s="8" t="str">
        <x:v>time and evidence integration</x:v>
      </x:c>
      <x:c r="F23" s="8" t="str">
        <x:v>common public sequence</x:v>
      </x:c>
      <x:c r="G23" s="8" t="str"/>
      <x:c r="H23" s="8" t="str"/>
      <x:c r="I23" s="8" t="str"/>
      <x:c r="J23" s="8" t="str">
        <x:f>IF(H23="","OPEN",IF(OR(F23="",G23="",I23=""),"FAIL","PASS"))</x:f>
        <x:v>OPEN</x:v>
      </x:c>
    </x:row>
    <x:row r="24" ht="30" customHeight="1">
      <x:c r="B24" s="8" t="str">
        <x:v>BL-X-RT-18</x:v>
      </x:c>
      <x:c r="C24" s="8" t="str">
        <x:v>BL-X</x:v>
      </x:c>
      <x:c r="D24" s="8" t="n">
        <x:v>18</x:v>
      </x:c>
      <x:c r="E24" s="8" t="str">
        <x:v>liquid proof</x:v>
      </x:c>
      <x:c r="F24" s="8" t="str">
        <x:v>common public sequence</x:v>
      </x:c>
      <x:c r="G24" s="8" t="str"/>
      <x:c r="H24" s="8" t="str"/>
      <x:c r="I24" s="8" t="str"/>
      <x:c r="J24" s="8" t="str">
        <x:f>IF(H24="","OPEN",IF(OR(F24="",G24="",I24=""),"FAIL","PASS"))</x:f>
        <x:v>OPEN</x:v>
      </x:c>
    </x:row>
    <x:row r="25" ht="30" customHeight="1">
      <x:c r="B25" s="8" t="str">
        <x:v>BL-X-RT-19</x:v>
      </x:c>
      <x:c r="C25" s="8" t="str">
        <x:v>BL-X</x:v>
      </x:c>
      <x:c r="D25" s="8" t="n">
        <x:v>19</x:v>
      </x:c>
      <x:c r="E25" s="8" t="str">
        <x:v>thermal exposure</x:v>
      </x:c>
      <x:c r="F25" s="8" t="str">
        <x:v>common public sequence</x:v>
      </x:c>
      <x:c r="G25" s="8" t="str"/>
      <x:c r="H25" s="8" t="str"/>
      <x:c r="I25" s="8" t="str"/>
      <x:c r="J25" s="8" t="str">
        <x:f>IF(H25="","OPEN",IF(OR(F25="",G25="",I25=""),"FAIL","PASS"))</x:f>
        <x:v>OPEN</x:v>
      </x:c>
    </x:row>
    <x:row r="26" ht="30" customHeight="1">
      <x:c r="B26" s="8" t="str">
        <x:v>BL-X-RT-20</x:v>
      </x:c>
      <x:c r="C26" s="8" t="str">
        <x:v>BL-X</x:v>
      </x:c>
      <x:c r="D26" s="8" t="n">
        <x:v>20</x:v>
      </x:c>
      <x:c r="E26" s="8" t="str">
        <x:v>pressure-cycle exposure</x:v>
      </x:c>
      <x:c r="F26" s="8" t="str">
        <x:v>common public sequence</x:v>
      </x:c>
      <x:c r="G26" s="8" t="str"/>
      <x:c r="H26" s="8" t="str"/>
      <x:c r="I26" s="8" t="str"/>
      <x:c r="J26" s="8" t="str">
        <x:f>IF(H26="","OPEN",IF(OR(F26="",G26="",I26=""),"FAIL","PASS"))</x:f>
        <x:v>OPEN</x:v>
      </x:c>
    </x:row>
    <x:row r="27" ht="30" customHeight="1">
      <x:c r="B27" s="8" t="str">
        <x:v>BL-X-RT-21</x:v>
      </x:c>
      <x:c r="C27" s="8" t="str">
        <x:v>BL-X</x:v>
      </x:c>
      <x:c r="D27" s="8" t="n">
        <x:v>21</x:v>
      </x:c>
      <x:c r="E27" s="8" t="str">
        <x:v>drain and residual map</x:v>
      </x:c>
      <x:c r="F27" s="8" t="str">
        <x:v>common public sequence</x:v>
      </x:c>
      <x:c r="G27" s="8" t="str"/>
      <x:c r="H27" s="8" t="str"/>
      <x:c r="I27" s="8" t="str"/>
      <x:c r="J27" s="8" t="str">
        <x:f>IF(H27="","OPEN",IF(OR(F27="",G27="",I27=""),"FAIL","PASS"))</x:f>
        <x:v>OPEN</x:v>
      </x:c>
    </x:row>
    <x:row r="28" ht="30" customHeight="1">
      <x:c r="B28" s="8" t="str">
        <x:v>BL-X-RT-22</x:v>
      </x:c>
      <x:c r="C28" s="8" t="str">
        <x:v>BL-X</x:v>
      </x:c>
      <x:c r="D28" s="8" t="n">
        <x:v>22</x:v>
      </x:c>
      <x:c r="E28" s="8" t="str">
        <x:v>configuration freeze</x:v>
      </x:c>
      <x:c r="F28" s="8" t="str">
        <x:v>common public sequence</x:v>
      </x:c>
      <x:c r="G28" s="8" t="str"/>
      <x:c r="H28" s="8" t="str"/>
      <x:c r="I28" s="8" t="str"/>
      <x:c r="J28" s="8" t="str">
        <x:f>IF(H28="","OPEN",IF(OR(F28="",G28="",I28=""),"FAIL","PASS"))</x:f>
        <x:v>OPEN</x:v>
      </x:c>
    </x:row>
    <x:row r="29" ht="30" customHeight="1">
      <x:c r="B29" s="8" t="str">
        <x:v>BL-X-RT-23</x:v>
      </x:c>
      <x:c r="C29" s="8" t="str">
        <x:v>BL-X</x:v>
      </x:c>
      <x:c r="D29" s="8" t="n">
        <x:v>23</x:v>
      </x:c>
      <x:c r="E29" s="8" t="str">
        <x:v>terminal destructive allocation</x:v>
      </x:c>
      <x:c r="F29" s="8" t="str">
        <x:v>common public sequence</x:v>
      </x:c>
      <x:c r="G29" s="8" t="str"/>
      <x:c r="H29" s="8" t="str"/>
      <x:c r="I29" s="8" t="str"/>
      <x:c r="J29" s="8" t="str">
        <x:f>IF(H29="","OPEN",IF(OR(F29="",G29="",I29=""),"FAIL","PASS"))</x:f>
        <x:v>OPEN</x:v>
      </x:c>
    </x:row>
    <x:row r="30" ht="30" customHeight="1">
      <x:c r="B30" s="8" t="str">
        <x:v>BL-X-RT-24</x:v>
      </x:c>
      <x:c r="C30" s="8" t="str">
        <x:v>BL-X</x:v>
      </x:c>
      <x:c r="D30" s="8" t="n">
        <x:v>24</x:v>
      </x:c>
      <x:c r="E30" s="8" t="str">
        <x:v>outside replay</x:v>
      </x:c>
      <x:c r="F30" s="8" t="str">
        <x:v>common public sequence</x:v>
      </x:c>
      <x:c r="G30" s="8" t="str"/>
      <x:c r="H30" s="8" t="str"/>
      <x:c r="I30" s="8" t="str"/>
      <x:c r="J30" s="8" t="str">
        <x:f>IF(H30="","OPEN",IF(OR(F30="",G30="",I30=""),"FAIL","PASS"))</x:f>
        <x:v>OPEN</x:v>
      </x:c>
    </x:row>
    <x:row r="31" ht="30" customHeight="1">
      <x:c r="B31" s="8" t="str">
        <x:v>BL-Y-RT-01</x:v>
      </x:c>
      <x:c r="C31" s="8" t="str">
        <x:v>BL-Y</x:v>
      </x:c>
      <x:c r="D31" s="8" t="n">
        <x:v>1</x:v>
      </x:c>
      <x:c r="E31" s="8" t="str">
        <x:v>authority freeze</x:v>
      </x:c>
      <x:c r="F31" s="8" t="str">
        <x:v>common public sequence</x:v>
      </x:c>
      <x:c r="G31" s="8" t="str"/>
      <x:c r="H31" s="8" t="str"/>
      <x:c r="I31" s="8" t="str"/>
      <x:c r="J31" s="8" t="str">
        <x:f>IF(H31="","OPEN",IF(OR(F31="",G31="",I31=""),"FAIL","PASS"))</x:f>
        <x:v>OPEN</x:v>
      </x:c>
    </x:row>
    <x:row r="32" ht="30" customHeight="1">
      <x:c r="B32" s="8" t="str">
        <x:v>BL-Y-RT-02</x:v>
      </x:c>
      <x:c r="C32" s="8" t="str">
        <x:v>BL-Y</x:v>
      </x:c>
      <x:c r="D32" s="8" t="n">
        <x:v>2</x:v>
      </x:c>
      <x:c r="E32" s="8" t="str">
        <x:v>fixture release</x:v>
      </x:c>
      <x:c r="F32" s="8" t="str">
        <x:v>common public sequence</x:v>
      </x:c>
      <x:c r="G32" s="8" t="str"/>
      <x:c r="H32" s="8" t="str"/>
      <x:c r="I32" s="8" t="str"/>
      <x:c r="J32" s="8" t="str">
        <x:f>IF(H32="","OPEN",IF(OR(F32="",G32="",I32=""),"FAIL","PASS"))</x:f>
        <x:v>OPEN</x:v>
      </x:c>
    </x:row>
    <x:row r="33" ht="30" customHeight="1">
      <x:c r="B33" s="8" t="str">
        <x:v>BL-Y-RT-03</x:v>
      </x:c>
      <x:c r="C33" s="8" t="str">
        <x:v>BL-Y</x:v>
      </x:c>
      <x:c r="D33" s="8" t="n">
        <x:v>3</x:v>
      </x:c>
      <x:c r="E33" s="8" t="str">
        <x:v>lot receipt and split</x:v>
      </x:c>
      <x:c r="F33" s="8" t="str">
        <x:v>common public sequence</x:v>
      </x:c>
      <x:c r="G33" s="8" t="str"/>
      <x:c r="H33" s="8" t="str"/>
      <x:c r="I33" s="8" t="str"/>
      <x:c r="J33" s="8" t="str">
        <x:f>IF(H33="","OPEN",IF(OR(F33="",G33="",I33=""),"FAIL","PASS"))</x:f>
        <x:v>OPEN</x:v>
      </x:c>
    </x:row>
    <x:row r="34" ht="30" customHeight="1">
      <x:c r="B34" s="8" t="str">
        <x:v>BL-Y-RT-04</x:v>
      </x:c>
      <x:c r="C34" s="8" t="str">
        <x:v>BL-Y</x:v>
      </x:c>
      <x:c r="D34" s="8" t="n">
        <x:v>4</x:v>
      </x:c>
      <x:c r="E34" s="8" t="str">
        <x:v>datum transfer</x:v>
      </x:c>
      <x:c r="F34" s="8" t="str">
        <x:v>common public sequence</x:v>
      </x:c>
      <x:c r="G34" s="8" t="str"/>
      <x:c r="H34" s="8" t="str"/>
      <x:c r="I34" s="8" t="str"/>
      <x:c r="J34" s="8" t="str">
        <x:f>IF(H34="","OPEN",IF(OR(F34="",G34="",I34=""),"FAIL","PASS"))</x:f>
        <x:v>OPEN</x:v>
      </x:c>
    </x:row>
    <x:row r="35" ht="30" customHeight="1">
      <x:c r="B35" s="8" t="str">
        <x:v>BL-Y-RT-05</x:v>
      </x:c>
      <x:c r="C35" s="8" t="str">
        <x:v>BL-Y</x:v>
      </x:c>
      <x:c r="D35" s="8" t="n">
        <x:v>5</x:v>
      </x:c>
      <x:c r="E35" s="8" t="str">
        <x:v>segment bore map</x:v>
      </x:c>
      <x:c r="F35" s="8" t="str">
        <x:v>common public sequence</x:v>
      </x:c>
      <x:c r="G35" s="8" t="str"/>
      <x:c r="H35" s="8" t="str"/>
      <x:c r="I35" s="8" t="str"/>
      <x:c r="J35" s="8" t="str">
        <x:f>IF(H35="","OPEN",IF(OR(F35="",G35="",I35=""),"FAIL","PASS"))</x:f>
        <x:v>OPEN</x:v>
      </x:c>
    </x:row>
    <x:row r="36" ht="30" customHeight="1">
      <x:c r="B36" s="8" t="str">
        <x:v>BL-Y-RT-06</x:v>
      </x:c>
      <x:c r="C36" s="8" t="str">
        <x:v>BL-Y</x:v>
      </x:c>
      <x:c r="D36" s="8" t="n">
        <x:v>6</x:v>
      </x:c>
      <x:c r="E36" s="8" t="str">
        <x:v>surface observation</x:v>
      </x:c>
      <x:c r="F36" s="8" t="str">
        <x:v>common public sequence</x:v>
      </x:c>
      <x:c r="G36" s="8" t="str"/>
      <x:c r="H36" s="8" t="str"/>
      <x:c r="I36" s="8" t="str"/>
      <x:c r="J36" s="8" t="str">
        <x:f>IF(H36="","OPEN",IF(OR(F36="",G36="",I36=""),"FAIL","PASS"))</x:f>
        <x:v>OPEN</x:v>
      </x:c>
    </x:row>
    <x:row r="37" ht="30" customHeight="1">
      <x:c r="B37" s="8" t="str">
        <x:v>BL-Y-RT-07</x:v>
      </x:c>
      <x:c r="C37" s="8" t="str">
        <x:v>BL-Y</x:v>
      </x:c>
      <x:c r="D37" s="8" t="n">
        <x:v>7</x:v>
      </x:c>
      <x:c r="E37" s="8" t="str">
        <x:v>boss preparation</x:v>
      </x:c>
      <x:c r="F37" s="8" t="str">
        <x:v>common public sequence</x:v>
      </x:c>
      <x:c r="G37" s="8" t="str"/>
      <x:c r="H37" s="8" t="str"/>
      <x:c r="I37" s="8" t="str"/>
      <x:c r="J37" s="8" t="str">
        <x:f>IF(H37="","OPEN",IF(OR(F37="",G37="",I37=""),"FAIL","PASS"))</x:f>
        <x:v>OPEN</x:v>
      </x:c>
    </x:row>
    <x:row r="38" ht="30" customHeight="1">
      <x:c r="B38" s="8" t="str">
        <x:v>BL-Y-RT-08</x:v>
      </x:c>
      <x:c r="C38" s="8" t="str">
        <x:v>BL-Y</x:v>
      </x:c>
      <x:c r="D38" s="8" t="n">
        <x:v>8</x:v>
      </x:c>
      <x:c r="E38" s="8" t="str">
        <x:v>lineage joint preparation</x:v>
      </x:c>
      <x:c r="F38" s="8" t="str">
        <x:v>common public sequence</x:v>
      </x:c>
      <x:c r="G38" s="8" t="str"/>
      <x:c r="H38" s="8" t="str"/>
      <x:c r="I38" s="8" t="str"/>
      <x:c r="J38" s="8" t="str">
        <x:f>IF(H38="","OPEN",IF(OR(F38="",G38="",I38=""),"FAIL","PASS"))</x:f>
        <x:v>OPEN</x:v>
      </x:c>
    </x:row>
    <x:row r="39" ht="30" customHeight="1">
      <x:c r="B39" s="8" t="str">
        <x:v>BL-Y-RT-09</x:v>
      </x:c>
      <x:c r="C39" s="8" t="str">
        <x:v>BL-Y</x:v>
      </x:c>
      <x:c r="D39" s="8" t="n">
        <x:v>9</x:v>
      </x:c>
      <x:c r="E39" s="8" t="str">
        <x:v>joint execution</x:v>
      </x:c>
      <x:c r="F39" s="8" t="str">
        <x:v>lineage-specific</x:v>
      </x:c>
      <x:c r="G39" s="8" t="str"/>
      <x:c r="H39" s="8" t="str"/>
      <x:c r="I39" s="8" t="str"/>
      <x:c r="J39" s="8" t="str">
        <x:f>IF(H39="","OPEN",IF(OR(F39="",G39="",I39=""),"FAIL","PASS"))</x:f>
        <x:v>OPEN</x:v>
      </x:c>
    </x:row>
    <x:row r="40" ht="30" customHeight="1">
      <x:c r="B40" s="8" t="str">
        <x:v>BL-Y-RT-10</x:v>
      </x:c>
      <x:c r="C40" s="8" t="str">
        <x:v>BL-Y</x:v>
      </x:c>
      <x:c r="D40" s="8" t="n">
        <x:v>10</x:v>
      </x:c>
      <x:c r="E40" s="8" t="str">
        <x:v>execution-record seal</x:v>
      </x:c>
      <x:c r="F40" s="8" t="str">
        <x:v>common public sequence</x:v>
      </x:c>
      <x:c r="G40" s="8" t="str"/>
      <x:c r="H40" s="8" t="str"/>
      <x:c r="I40" s="8" t="str"/>
      <x:c r="J40" s="8" t="str">
        <x:f>IF(H40="","OPEN",IF(OR(F40="",G40="",I40=""),"FAIL","PASS"))</x:f>
        <x:v>OPEN</x:v>
      </x:c>
    </x:row>
    <x:row r="41" ht="30" customHeight="1">
      <x:c r="B41" s="8" t="str">
        <x:v>BL-Y-RT-11</x:v>
      </x:c>
      <x:c r="C41" s="8" t="str">
        <x:v>BL-Y</x:v>
      </x:c>
      <x:c r="D41" s="8" t="n">
        <x:v>11</x:v>
      </x:c>
      <x:c r="E41" s="8" t="str">
        <x:v>post-joint map</x:v>
      </x:c>
      <x:c r="F41" s="8" t="str">
        <x:v>common public sequence</x:v>
      </x:c>
      <x:c r="G41" s="8" t="str"/>
      <x:c r="H41" s="8" t="str"/>
      <x:c r="I41" s="8" t="str"/>
      <x:c r="J41" s="8" t="str">
        <x:f>IF(H41="","OPEN",IF(OR(F41="",G41="",I41=""),"FAIL","PASS"))</x:f>
        <x:v>OPEN</x:v>
      </x:c>
    </x:row>
    <x:row r="42" ht="30" customHeight="1">
      <x:c r="B42" s="8" t="str">
        <x:v>BL-Y-RT-12</x:v>
      </x:c>
      <x:c r="C42" s="8" t="str">
        <x:v>BL-Y</x:v>
      </x:c>
      <x:c r="D42" s="8" t="n">
        <x:v>12</x:v>
      </x:c>
      <x:c r="E42" s="8" t="str">
        <x:v>NDE blind call</x:v>
      </x:c>
      <x:c r="F42" s="8" t="str">
        <x:v>common public sequence</x:v>
      </x:c>
      <x:c r="G42" s="8" t="str"/>
      <x:c r="H42" s="8" t="str"/>
      <x:c r="I42" s="8" t="str"/>
      <x:c r="J42" s="8" t="str">
        <x:f>IF(H42="","OPEN",IF(OR(F42="",G42="",I42=""),"FAIL","PASS"))</x:f>
        <x:v>OPEN</x:v>
      </x:c>
    </x:row>
    <x:row r="43" ht="30" customHeight="1">
      <x:c r="B43" s="8" t="str">
        <x:v>BL-Y-RT-13</x:v>
      </x:c>
      <x:c r="C43" s="8" t="str">
        <x:v>BL-Y</x:v>
      </x:c>
      <x:c r="D43" s="8" t="n">
        <x:v>13</x:v>
      </x:c>
      <x:c r="E43" s="8" t="str">
        <x:v>pan and receiver assembly</x:v>
      </x:c>
      <x:c r="F43" s="8" t="str">
        <x:v>common public sequence</x:v>
      </x:c>
      <x:c r="G43" s="8" t="str"/>
      <x:c r="H43" s="8" t="str"/>
      <x:c r="I43" s="8" t="str"/>
      <x:c r="J43" s="8" t="str">
        <x:f>IF(H43="","OPEN",IF(OR(F43="",G43="",I43=""),"FAIL","PASS"))</x:f>
        <x:v>OPEN</x:v>
      </x:c>
    </x:row>
    <x:row r="44" ht="30" customHeight="1">
      <x:c r="B44" s="8" t="str">
        <x:v>BL-Y-RT-14</x:v>
      </x:c>
      <x:c r="C44" s="8" t="str">
        <x:v>BL-Y</x:v>
      </x:c>
      <x:c r="D44" s="8" t="n">
        <x:v>14</x:v>
      </x:c>
      <x:c r="E44" s="8" t="str">
        <x:v>final-element installation</x:v>
      </x:c>
      <x:c r="F44" s="8" t="str">
        <x:v>common public sequence</x:v>
      </x:c>
      <x:c r="G44" s="8" t="str"/>
      <x:c r="H44" s="8" t="str"/>
      <x:c r="I44" s="8" t="str"/>
      <x:c r="J44" s="8" t="str">
        <x:f>IF(H44="","OPEN",IF(OR(F44="",G44="",I44=""),"FAIL","PASS"))</x:f>
        <x:v>OPEN</x:v>
      </x:c>
    </x:row>
    <x:row r="45" ht="30" customHeight="1">
      <x:c r="B45" s="8" t="str">
        <x:v>BL-Y-RT-15</x:v>
      </x:c>
      <x:c r="C45" s="8" t="str">
        <x:v>BL-Y</x:v>
      </x:c>
      <x:c r="D45" s="8" t="n">
        <x:v>15</x:v>
      </x:c>
      <x:c r="E45" s="8" t="str">
        <x:v>local-energy installation</x:v>
      </x:c>
      <x:c r="F45" s="8" t="str">
        <x:v>common public sequence</x:v>
      </x:c>
      <x:c r="G45" s="8" t="str"/>
      <x:c r="H45" s="8" t="str"/>
      <x:c r="I45" s="8" t="str"/>
      <x:c r="J45" s="8" t="str">
        <x:f>IF(H45="","OPEN",IF(OR(F45="",G45="",I45=""),"FAIL","PASS"))</x:f>
        <x:v>OPEN</x:v>
      </x:c>
    </x:row>
    <x:row r="46" ht="30" customHeight="1">
      <x:c r="B46" s="8" t="str">
        <x:v>BL-Y-RT-16</x:v>
      </x:c>
      <x:c r="C46" s="8" t="str">
        <x:v>BL-Y</x:v>
      </x:c>
      <x:c r="D46" s="8" t="n">
        <x:v>16</x:v>
      </x:c>
      <x:c r="E46" s="8" t="str">
        <x:v>instrument installation</x:v>
      </x:c>
      <x:c r="F46" s="8" t="str">
        <x:v>common public sequence</x:v>
      </x:c>
      <x:c r="G46" s="8" t="str"/>
      <x:c r="H46" s="8" t="str"/>
      <x:c r="I46" s="8" t="str"/>
      <x:c r="J46" s="8" t="str">
        <x:f>IF(H46="","OPEN",IF(OR(F46="",G46="",I46=""),"FAIL","PASS"))</x:f>
        <x:v>OPEN</x:v>
      </x:c>
    </x:row>
    <x:row r="47" ht="30" customHeight="1">
      <x:c r="B47" s="8" t="str">
        <x:v>BL-Y-RT-17</x:v>
      </x:c>
      <x:c r="C47" s="8" t="str">
        <x:v>BL-Y</x:v>
      </x:c>
      <x:c r="D47" s="8" t="n">
        <x:v>17</x:v>
      </x:c>
      <x:c r="E47" s="8" t="str">
        <x:v>time and evidence integration</x:v>
      </x:c>
      <x:c r="F47" s="8" t="str">
        <x:v>common public sequence</x:v>
      </x:c>
      <x:c r="G47" s="8" t="str"/>
      <x:c r="H47" s="8" t="str"/>
      <x:c r="I47" s="8" t="str"/>
      <x:c r="J47" s="8" t="str">
        <x:f>IF(H47="","OPEN",IF(OR(F47="",G47="",I47=""),"FAIL","PASS"))</x:f>
        <x:v>OPEN</x:v>
      </x:c>
    </x:row>
    <x:row r="48" ht="30" customHeight="1">
      <x:c r="B48" s="8" t="str">
        <x:v>BL-Y-RT-18</x:v>
      </x:c>
      <x:c r="C48" s="8" t="str">
        <x:v>BL-Y</x:v>
      </x:c>
      <x:c r="D48" s="8" t="n">
        <x:v>18</x:v>
      </x:c>
      <x:c r="E48" s="8" t="str">
        <x:v>liquid proof</x:v>
      </x:c>
      <x:c r="F48" s="8" t="str">
        <x:v>common public sequence</x:v>
      </x:c>
      <x:c r="G48" s="8" t="str"/>
      <x:c r="H48" s="8" t="str"/>
      <x:c r="I48" s="8" t="str"/>
      <x:c r="J48" s="8" t="str">
        <x:f>IF(H48="","OPEN",IF(OR(F48="",G48="",I48=""),"FAIL","PASS"))</x:f>
        <x:v>OPEN</x:v>
      </x:c>
    </x:row>
    <x:row r="49" ht="30" customHeight="1">
      <x:c r="B49" s="8" t="str">
        <x:v>BL-Y-RT-19</x:v>
      </x:c>
      <x:c r="C49" s="8" t="str">
        <x:v>BL-Y</x:v>
      </x:c>
      <x:c r="D49" s="8" t="n">
        <x:v>19</x:v>
      </x:c>
      <x:c r="E49" s="8" t="str">
        <x:v>thermal exposure</x:v>
      </x:c>
      <x:c r="F49" s="8" t="str">
        <x:v>common public sequence</x:v>
      </x:c>
      <x:c r="G49" s="8" t="str"/>
      <x:c r="H49" s="8" t="str"/>
      <x:c r="I49" s="8" t="str"/>
      <x:c r="J49" s="8" t="str">
        <x:f>IF(H49="","OPEN",IF(OR(F49="",G49="",I49=""),"FAIL","PASS"))</x:f>
        <x:v>OPEN</x:v>
      </x:c>
    </x:row>
    <x:row r="50" ht="30" customHeight="1">
      <x:c r="B50" s="8" t="str">
        <x:v>BL-Y-RT-20</x:v>
      </x:c>
      <x:c r="C50" s="8" t="str">
        <x:v>BL-Y</x:v>
      </x:c>
      <x:c r="D50" s="8" t="n">
        <x:v>20</x:v>
      </x:c>
      <x:c r="E50" s="8" t="str">
        <x:v>pressure-cycle exposure</x:v>
      </x:c>
      <x:c r="F50" s="8" t="str">
        <x:v>common public sequence</x:v>
      </x:c>
      <x:c r="G50" s="8" t="str"/>
      <x:c r="H50" s="8" t="str"/>
      <x:c r="I50" s="8" t="str"/>
      <x:c r="J50" s="8" t="str">
        <x:f>IF(H50="","OPEN",IF(OR(F50="",G50="",I50=""),"FAIL","PASS"))</x:f>
        <x:v>OPEN</x:v>
      </x:c>
    </x:row>
    <x:row r="51" ht="30" customHeight="1">
      <x:c r="B51" s="8" t="str">
        <x:v>BL-Y-RT-21</x:v>
      </x:c>
      <x:c r="C51" s="8" t="str">
        <x:v>BL-Y</x:v>
      </x:c>
      <x:c r="D51" s="8" t="n">
        <x:v>21</x:v>
      </x:c>
      <x:c r="E51" s="8" t="str">
        <x:v>drain and residual map</x:v>
      </x:c>
      <x:c r="F51" s="8" t="str">
        <x:v>common public sequence</x:v>
      </x:c>
      <x:c r="G51" s="8" t="str"/>
      <x:c r="H51" s="8" t="str"/>
      <x:c r="I51" s="8" t="str"/>
      <x:c r="J51" s="8" t="str">
        <x:f>IF(H51="","OPEN",IF(OR(F51="",G51="",I51=""),"FAIL","PASS"))</x:f>
        <x:v>OPEN</x:v>
      </x:c>
    </x:row>
    <x:row r="52" ht="30" customHeight="1">
      <x:c r="B52" s="8" t="str">
        <x:v>BL-Y-RT-22</x:v>
      </x:c>
      <x:c r="C52" s="8" t="str">
        <x:v>BL-Y</x:v>
      </x:c>
      <x:c r="D52" s="8" t="n">
        <x:v>22</x:v>
      </x:c>
      <x:c r="E52" s="8" t="str">
        <x:v>configuration freeze</x:v>
      </x:c>
      <x:c r="F52" s="8" t="str">
        <x:v>common public sequence</x:v>
      </x:c>
      <x:c r="G52" s="8" t="str"/>
      <x:c r="H52" s="8" t="str"/>
      <x:c r="I52" s="8" t="str"/>
      <x:c r="J52" s="8" t="str">
        <x:f>IF(H52="","OPEN",IF(OR(F52="",G52="",I52=""),"FAIL","PASS"))</x:f>
        <x:v>OPEN</x:v>
      </x:c>
    </x:row>
    <x:row r="53" ht="30" customHeight="1">
      <x:c r="B53" s="8" t="str">
        <x:v>BL-Y-RT-23</x:v>
      </x:c>
      <x:c r="C53" s="8" t="str">
        <x:v>BL-Y</x:v>
      </x:c>
      <x:c r="D53" s="8" t="n">
        <x:v>23</x:v>
      </x:c>
      <x:c r="E53" s="8" t="str">
        <x:v>terminal destructive allocation</x:v>
      </x:c>
      <x:c r="F53" s="8" t="str">
        <x:v>common public sequence</x:v>
      </x:c>
      <x:c r="G53" s="8" t="str"/>
      <x:c r="H53" s="8" t="str"/>
      <x:c r="I53" s="8" t="str"/>
      <x:c r="J53" s="8" t="str">
        <x:f>IF(H53="","OPEN",IF(OR(F53="",G53="",I53=""),"FAIL","PASS"))</x:f>
        <x:v>OPEN</x:v>
      </x:c>
    </x:row>
    <x:row r="54" ht="30" customHeight="1">
      <x:c r="B54" s="8" t="str">
        <x:v>BL-Y-RT-24</x:v>
      </x:c>
      <x:c r="C54" s="8" t="str">
        <x:v>BL-Y</x:v>
      </x:c>
      <x:c r="D54" s="8" t="n">
        <x:v>24</x:v>
      </x:c>
      <x:c r="E54" s="8" t="str">
        <x:v>outside replay</x:v>
      </x:c>
      <x:c r="F54" s="8" t="str">
        <x:v>common public sequence</x:v>
      </x:c>
      <x:c r="G54" s="8" t="str"/>
      <x:c r="H54" s="8" t="str"/>
      <x:c r="I54" s="8" t="str"/>
      <x:c r="J54" s="8" t="str">
        <x:f>IF(H54="","OPEN",IF(OR(F54="",G54="",I54=""),"FAIL","PASS"))</x:f>
        <x:v>OPEN</x:v>
      </x:c>
    </x:row>
  </x:sheetData>
  <x:conditionalFormatting sqref="J7:J54">
    <x:cfRule type="containsText" dxfId="48" priority="1" operator="containsText" text="FAIL"/>
    <x:cfRule type="containsText" dxfId="49" priority="2" operator="containsText" text="BLOCKED"/>
    <x:cfRule type="containsText" dxfId="50" priority="3" operator="containsText" text="OPEN"/>
    <x:cfRule type="containsText" dxfId="51" priority="4" operator="containsText" text="PASS"/>
    <x:cfRule type="containsText" dxfId="52" priority="5" operator="containsText" text="PLANNED"/>
    <x:cfRule type="containsText" dxfId="53" priority="6" operator="containsText" text="ACTIVE"/>
  </x:conditionalFormatting>
  <x:pageMargins left="0.7" right="0.7" top="0.75" bottom="0.75" header="0.3" footer="0.3"/>
</x:worksheet>
</file>

<file path=xl/worksheets/sheet18.xml><?xml version="1.0" encoding="utf-8"?>
<x:worksheet xmlns:x="http://schemas.openxmlformats.org/spreadsheetml/2006/main">
  <x:sheetViews>
    <x:sheetView showGridLines="0" workbookViewId="0">
      <x:pane xSplit="2" ySplit="6" topLeftCell="C7" activePane="bottomRight" state="frozen"/>
    </x:sheetView>
  </x:sheetViews>
  <x:sheetFormatPr defaultRowHeight="15"/>
  <x:cols>
    <x:col min="2" max="2" width="24" hidden="0" customWidth="1"/>
    <x:col min="3" max="3" width="14" hidden="0" customWidth="1"/>
    <x:col min="4" max="4" width="13" hidden="0" customWidth="1"/>
    <x:col min="5" max="5" width="27" hidden="0" customWidth="1"/>
    <x:col min="6" max="6" width="24" hidden="0" customWidth="1"/>
    <x:col min="7" max="7" width="20" hidden="0" customWidth="1"/>
    <x:col min="8" max="8" width="18" hidden="0" customWidth="1"/>
    <x:col min="9" max="9" width="20" hidden="0" customWidth="1"/>
    <x:col min="10" max="10" width="18" hidden="0" customWidth="1"/>
    <x:col min="11" max="11" width="20" hidden="0" customWidth="1"/>
    <x:col min="12" max="12" width="14" hidden="0" customWidth="1"/>
  </x:cols>
  <x:sheetData>
    <x:row r="2">
      <x:c r="B2" s="44" t="str">
        <x:v>Forty development-article section travelers</x:v>
      </x:c>
      <x:c r="C2" s="45"/>
      <x:c r="D2" s="45"/>
      <x:c r="E2" s="45"/>
      <x:c r="F2" s="45"/>
      <x:c r="G2" s="45"/>
      <x:c r="H2" s="45"/>
      <x:c r="I2" s="45"/>
      <x:c r="J2" s="45"/>
      <x:c r="K2" s="45"/>
      <x:c r="L2" s="45"/>
    </x:row>
    <x:row r="3">
      <x:c r="B3" s="46" t="str">
        <x:v>A signed traveler with missing as-built, NDE, fixture, evidence or acceptance information fails.</x:v>
      </x:c>
      <x:c r="C3" s="45"/>
      <x:c r="D3" s="45"/>
      <x:c r="E3" s="45"/>
      <x:c r="F3" s="45"/>
      <x:c r="G3" s="45"/>
      <x:c r="H3" s="45"/>
      <x:c r="I3" s="45"/>
      <x:c r="J3" s="45"/>
      <x:c r="K3" s="45"/>
      <x:c r="L3" s="45"/>
    </x:row>
    <x:row r="4">
      <x:c r="B4" s="45"/>
      <x:c r="C4" s="45"/>
      <x:c r="D4" s="45"/>
      <x:c r="E4" s="45"/>
      <x:c r="F4" s="45"/>
      <x:c r="G4" s="45"/>
      <x:c r="H4" s="45"/>
      <x:c r="I4" s="45"/>
      <x:c r="J4" s="45"/>
      <x:c r="K4" s="45"/>
      <x:c r="L4" s="45"/>
    </x:row>
    <x:row r="5">
      <x:c r="B5" s="45"/>
      <x:c r="C5" s="45"/>
      <x:c r="D5" s="45"/>
      <x:c r="E5" s="45"/>
      <x:c r="F5" s="45"/>
      <x:c r="G5" s="45"/>
      <x:c r="H5" s="45"/>
      <x:c r="I5" s="45"/>
      <x:c r="J5" s="45"/>
      <x:c r="K5" s="45"/>
      <x:c r="L5" s="45"/>
    </x:row>
    <x:row r="6" ht="25" customHeight="1">
      <x:c r="B6" s="6" t="str">
        <x:v>Traveler</x:v>
      </x:c>
      <x:c r="C6" s="6" t="str">
        <x:v>Article</x:v>
      </x:c>
      <x:c r="D6" s="6" t="str">
        <x:v>Lineage</x:v>
      </x:c>
      <x:c r="E6" s="6" t="str">
        <x:v>Section</x:v>
      </x:c>
      <x:c r="F6" s="6" t="str">
        <x:v>As-built result</x:v>
      </x:c>
      <x:c r="G6" s="6" t="str">
        <x:v>NDE result</x:v>
      </x:c>
      <x:c r="H6" s="6" t="str">
        <x:v>Fixture ID</x:v>
      </x:c>
      <x:c r="I6" s="6" t="str">
        <x:v>Evidence root</x:v>
      </x:c>
      <x:c r="J6" s="6" t="str">
        <x:v>Accepted by</x:v>
      </x:c>
      <x:c r="K6" s="6" t="str">
        <x:v>Accepted UTC</x:v>
      </x:c>
      <x:c r="L6" s="6" t="str">
        <x:v>State</x:v>
      </x:c>
    </x:row>
    <x:row r="7" ht="32" customHeight="1">
      <x:c r="B7" s="8" t="str">
        <x:v>DA-X1-TR-01</x:v>
      </x:c>
      <x:c r="C7" s="8" t="str">
        <x:v>DA-X1</x:v>
      </x:c>
      <x:c r="D7" s="8" t="str">
        <x:v>BL-X</x:v>
      </x:c>
      <x:c r="E7" s="8" t="str">
        <x:v>authority</x:v>
      </x:c>
      <x:c r="F7" s="8" t="str"/>
      <x:c r="G7" s="8" t="str"/>
      <x:c r="H7" s="8" t="str"/>
      <x:c r="I7" s="8" t="str"/>
      <x:c r="J7" s="8" t="str"/>
      <x:c r="K7" s="8" t="str"/>
      <x:c r="L7" s="8" t="str">
        <x:f>IF(K7="","OPEN",IF(OR(F7="",G7="",H7="",I7="",J7=""),"FAIL","PASS"))</x:f>
        <x:v>OPEN</x:v>
      </x:c>
    </x:row>
    <x:row r="8" ht="32" customHeight="1">
      <x:c r="B8" s="8" t="str">
        <x:v>DA-X1-TR-02</x:v>
      </x:c>
      <x:c r="C8" s="8" t="str">
        <x:v>DA-X1</x:v>
      </x:c>
      <x:c r="D8" s="8" t="str">
        <x:v>BL-X</x:v>
      </x:c>
      <x:c r="E8" s="8" t="str">
        <x:v>transport frame</x:v>
      </x:c>
      <x:c r="F8" s="8" t="str"/>
      <x:c r="G8" s="8" t="str"/>
      <x:c r="H8" s="8" t="str"/>
      <x:c r="I8" s="8" t="str"/>
      <x:c r="J8" s="8" t="str"/>
      <x:c r="K8" s="8" t="str"/>
      <x:c r="L8" s="8" t="str">
        <x:f>IF(K8="","OPEN",IF(OR(F8="",G8="",H8="",I8="",J8=""),"FAIL","PASS"))</x:f>
        <x:v>OPEN</x:v>
      </x:c>
    </x:row>
    <x:row r="9" ht="32" customHeight="1">
      <x:c r="B9" s="8" t="str">
        <x:v>DA-X1-TR-03</x:v>
      </x:c>
      <x:c r="C9" s="8" t="str">
        <x:v>DA-X1</x:v>
      </x:c>
      <x:c r="D9" s="8" t="str">
        <x:v>BL-X</x:v>
      </x:c>
      <x:c r="E9" s="8" t="str">
        <x:v>segment set</x:v>
      </x:c>
      <x:c r="F9" s="8" t="str"/>
      <x:c r="G9" s="8" t="str"/>
      <x:c r="H9" s="8" t="str"/>
      <x:c r="I9" s="8" t="str"/>
      <x:c r="J9" s="8" t="str"/>
      <x:c r="K9" s="8" t="str"/>
      <x:c r="L9" s="8" t="str">
        <x:f>IF(K9="","OPEN",IF(OR(F9="",G9="",H9="",I9="",J9=""),"FAIL","PASS"))</x:f>
        <x:v>OPEN</x:v>
      </x:c>
    </x:row>
    <x:row r="10" ht="32" customHeight="1">
      <x:c r="B10" s="8" t="str">
        <x:v>DA-X1-TR-04</x:v>
      </x:c>
      <x:c r="C10" s="8" t="str">
        <x:v>DA-X1</x:v>
      </x:c>
      <x:c r="D10" s="8" t="str">
        <x:v>BL-X</x:v>
      </x:c>
      <x:c r="E10" s="8" t="str">
        <x:v>joint set</x:v>
      </x:c>
      <x:c r="F10" s="8" t="str"/>
      <x:c r="G10" s="8" t="str"/>
      <x:c r="H10" s="8" t="str"/>
      <x:c r="I10" s="8" t="str"/>
      <x:c r="J10" s="8" t="str"/>
      <x:c r="K10" s="8" t="str"/>
      <x:c r="L10" s="8" t="str">
        <x:f>IF(K10="","OPEN",IF(OR(F10="",G10="",H10="",I10="",J10=""),"FAIL","PASS"))</x:f>
        <x:v>OPEN</x:v>
      </x:c>
    </x:row>
    <x:row r="11" ht="32" customHeight="1">
      <x:c r="B11" s="8" t="str">
        <x:v>DA-X1-TR-05</x:v>
      </x:c>
      <x:c r="C11" s="8" t="str">
        <x:v>DA-X1</x:v>
      </x:c>
      <x:c r="D11" s="8" t="str">
        <x:v>BL-X</x:v>
      </x:c>
      <x:c r="E11" s="8" t="str">
        <x:v>source interface</x:v>
      </x:c>
      <x:c r="F11" s="8" t="str"/>
      <x:c r="G11" s="8" t="str"/>
      <x:c r="H11" s="8" t="str"/>
      <x:c r="I11" s="8" t="str"/>
      <x:c r="J11" s="8" t="str"/>
      <x:c r="K11" s="8" t="str"/>
      <x:c r="L11" s="8" t="str">
        <x:f>IF(K11="","OPEN",IF(OR(F11="",G11="",H11="",I11="",J11=""),"FAIL","PASS"))</x:f>
        <x:v>OPEN</x:v>
      </x:c>
    </x:row>
    <x:row r="12" ht="32" customHeight="1">
      <x:c r="B12" s="8" t="str">
        <x:v>DA-X1-TR-06</x:v>
      </x:c>
      <x:c r="C12" s="8" t="str">
        <x:v>DA-X1</x:v>
      </x:c>
      <x:c r="D12" s="8" t="str">
        <x:v>BL-X</x:v>
      </x:c>
      <x:c r="E12" s="8" t="str">
        <x:v>receiver interface</x:v>
      </x:c>
      <x:c r="F12" s="8" t="str"/>
      <x:c r="G12" s="8" t="str"/>
      <x:c r="H12" s="8" t="str"/>
      <x:c r="I12" s="8" t="str"/>
      <x:c r="J12" s="8" t="str"/>
      <x:c r="K12" s="8" t="str"/>
      <x:c r="L12" s="8" t="str">
        <x:f>IF(K12="","OPEN",IF(OR(F12="",G12="",H12="",I12="",J12=""),"FAIL","PASS"))</x:f>
        <x:v>OPEN</x:v>
      </x:c>
    </x:row>
    <x:row r="13" ht="32" customHeight="1">
      <x:c r="B13" s="8" t="str">
        <x:v>DA-X1-TR-07</x:v>
      </x:c>
      <x:c r="C13" s="8" t="str">
        <x:v>DA-X1</x:v>
      </x:c>
      <x:c r="D13" s="8" t="str">
        <x:v>BL-X</x:v>
      </x:c>
      <x:c r="E13" s="8" t="str">
        <x:v>pan and drain</x:v>
      </x:c>
      <x:c r="F13" s="8" t="str"/>
      <x:c r="G13" s="8" t="str"/>
      <x:c r="H13" s="8" t="str"/>
      <x:c r="I13" s="8" t="str"/>
      <x:c r="J13" s="8" t="str"/>
      <x:c r="K13" s="8" t="str"/>
      <x:c r="L13" s="8" t="str">
        <x:f>IF(K13="","OPEN",IF(OR(F13="",G13="",H13="",I13="",J13=""),"FAIL","PASS"))</x:f>
        <x:v>OPEN</x:v>
      </x:c>
    </x:row>
    <x:row r="14" ht="32" customHeight="1">
      <x:c r="B14" s="8" t="str">
        <x:v>DA-X1-TR-08</x:v>
      </x:c>
      <x:c r="C14" s="8" t="str">
        <x:v>DA-X1</x:v>
      </x:c>
      <x:c r="D14" s="8" t="str">
        <x:v>BL-X</x:v>
      </x:c>
      <x:c r="E14" s="8" t="str">
        <x:v>final elements</x:v>
      </x:c>
      <x:c r="F14" s="8" t="str"/>
      <x:c r="G14" s="8" t="str"/>
      <x:c r="H14" s="8" t="str"/>
      <x:c r="I14" s="8" t="str"/>
      <x:c r="J14" s="8" t="str"/>
      <x:c r="K14" s="8" t="str"/>
      <x:c r="L14" s="8" t="str">
        <x:f>IF(K14="","OPEN",IF(OR(F14="",G14="",H14="",I14="",J14=""),"FAIL","PASS"))</x:f>
        <x:v>OPEN</x:v>
      </x:c>
    </x:row>
    <x:row r="15" ht="32" customHeight="1">
      <x:c r="B15" s="8" t="str">
        <x:v>DA-X1-TR-09</x:v>
      </x:c>
      <x:c r="C15" s="8" t="str">
        <x:v>DA-X1</x:v>
      </x:c>
      <x:c r="D15" s="8" t="str">
        <x:v>BL-X</x:v>
      </x:c>
      <x:c r="E15" s="8" t="str">
        <x:v>safeing energy</x:v>
      </x:c>
      <x:c r="F15" s="8" t="str"/>
      <x:c r="G15" s="8" t="str"/>
      <x:c r="H15" s="8" t="str"/>
      <x:c r="I15" s="8" t="str"/>
      <x:c r="J15" s="8" t="str"/>
      <x:c r="K15" s="8" t="str"/>
      <x:c r="L15" s="8" t="str">
        <x:f>IF(K15="","OPEN",IF(OR(F15="",G15="",H15="",I15="",J15=""),"FAIL","PASS"))</x:f>
        <x:v>OPEN</x:v>
      </x:c>
    </x:row>
    <x:row r="16" ht="32" customHeight="1">
      <x:c r="B16" s="8" t="str">
        <x:v>DA-X1-TR-10</x:v>
      </x:c>
      <x:c r="C16" s="8" t="str">
        <x:v>DA-X1</x:v>
      </x:c>
      <x:c r="D16" s="8" t="str">
        <x:v>BL-X</x:v>
      </x:c>
      <x:c r="E16" s="8" t="str">
        <x:v>normal power</x:v>
      </x:c>
      <x:c r="F16" s="8" t="str"/>
      <x:c r="G16" s="8" t="str"/>
      <x:c r="H16" s="8" t="str"/>
      <x:c r="I16" s="8" t="str"/>
      <x:c r="J16" s="8" t="str"/>
      <x:c r="K16" s="8" t="str"/>
      <x:c r="L16" s="8" t="str">
        <x:f>IF(K16="","OPEN",IF(OR(F16="",G16="",H16="",I16="",J16=""),"FAIL","PASS"))</x:f>
        <x:v>OPEN</x:v>
      </x:c>
    </x:row>
    <x:row r="17" ht="32" customHeight="1">
      <x:c r="B17" s="8" t="str">
        <x:v>DA-X1-TR-11</x:v>
      </x:c>
      <x:c r="C17" s="8" t="str">
        <x:v>DA-X1</x:v>
      </x:c>
      <x:c r="D17" s="8" t="str">
        <x:v>BL-X</x:v>
      </x:c>
      <x:c r="E17" s="8" t="str">
        <x:v>independent power</x:v>
      </x:c>
      <x:c r="F17" s="8" t="str"/>
      <x:c r="G17" s="8" t="str"/>
      <x:c r="H17" s="8" t="str"/>
      <x:c r="I17" s="8" t="str"/>
      <x:c r="J17" s="8" t="str"/>
      <x:c r="K17" s="8" t="str"/>
      <x:c r="L17" s="8" t="str">
        <x:f>IF(K17="","OPEN",IF(OR(F17="",G17="",H17="",I17="",J17=""),"FAIL","PASS"))</x:f>
        <x:v>OPEN</x:v>
      </x:c>
    </x:row>
    <x:row r="18" ht="32" customHeight="1">
      <x:c r="B18" s="8" t="str">
        <x:v>DA-X1-TR-12</x:v>
      </x:c>
      <x:c r="C18" s="8" t="str">
        <x:v>DA-X1</x:v>
      </x:c>
      <x:c r="D18" s="8" t="str">
        <x:v>BL-X</x:v>
      </x:c>
      <x:c r="E18" s="8" t="str">
        <x:v>instrument mounts</x:v>
      </x:c>
      <x:c r="F18" s="8" t="str"/>
      <x:c r="G18" s="8" t="str"/>
      <x:c r="H18" s="8" t="str"/>
      <x:c r="I18" s="8" t="str"/>
      <x:c r="J18" s="8" t="str"/>
      <x:c r="K18" s="8" t="str"/>
      <x:c r="L18" s="8" t="str">
        <x:f>IF(K18="","OPEN",IF(OR(F18="",G18="",H18="",I18="",J18=""),"FAIL","PASS"))</x:f>
        <x:v>OPEN</x:v>
      </x:c>
    </x:row>
    <x:row r="19" ht="32" customHeight="1">
      <x:c r="B19" s="8" t="str">
        <x:v>DA-X1-TR-13</x:v>
      </x:c>
      <x:c r="C19" s="8" t="str">
        <x:v>DA-X1</x:v>
      </x:c>
      <x:c r="D19" s="8" t="str">
        <x:v>BL-X</x:v>
      </x:c>
      <x:c r="E19" s="8" t="str">
        <x:v>channel set</x:v>
      </x:c>
      <x:c r="F19" s="8" t="str"/>
      <x:c r="G19" s="8" t="str"/>
      <x:c r="H19" s="8" t="str"/>
      <x:c r="I19" s="8" t="str"/>
      <x:c r="J19" s="8" t="str"/>
      <x:c r="K19" s="8" t="str"/>
      <x:c r="L19" s="8" t="str">
        <x:f>IF(K19="","OPEN",IF(OR(F19="",G19="",H19="",I19="",J19=""),"FAIL","PASS"))</x:f>
        <x:v>OPEN</x:v>
      </x:c>
    </x:row>
    <x:row r="20" ht="32" customHeight="1">
      <x:c r="B20" s="8" t="str">
        <x:v>DA-X1-TR-14</x:v>
      </x:c>
      <x:c r="C20" s="8" t="str">
        <x:v>DA-X1</x:v>
      </x:c>
      <x:c r="D20" s="8" t="str">
        <x:v>BL-X</x:v>
      </x:c>
      <x:c r="E20" s="8" t="str">
        <x:v>causal time</x:v>
      </x:c>
      <x:c r="F20" s="8" t="str"/>
      <x:c r="G20" s="8" t="str"/>
      <x:c r="H20" s="8" t="str"/>
      <x:c r="I20" s="8" t="str"/>
      <x:c r="J20" s="8" t="str"/>
      <x:c r="K20" s="8" t="str"/>
      <x:c r="L20" s="8" t="str">
        <x:f>IF(K20="","OPEN",IF(OR(F20="",G20="",H20="",I20="",J20=""),"FAIL","PASS"))</x:f>
        <x:v>OPEN</x:v>
      </x:c>
    </x:row>
    <x:row r="21" ht="32" customHeight="1">
      <x:c r="B21" s="8" t="str">
        <x:v>DA-X1-TR-15</x:v>
      </x:c>
      <x:c r="C21" s="8" t="str">
        <x:v>DA-X1</x:v>
      </x:c>
      <x:c r="D21" s="8" t="str">
        <x:v>BL-X</x:v>
      </x:c>
      <x:c r="E21" s="8" t="str">
        <x:v>evidence originals</x:v>
      </x:c>
      <x:c r="F21" s="8" t="str"/>
      <x:c r="G21" s="8" t="str"/>
      <x:c r="H21" s="8" t="str"/>
      <x:c r="I21" s="8" t="str"/>
      <x:c r="J21" s="8" t="str"/>
      <x:c r="K21" s="8" t="str"/>
      <x:c r="L21" s="8" t="str">
        <x:f>IF(K21="","OPEN",IF(OR(F21="",G21="",H21="",I21="",J21=""),"FAIL","PASS"))</x:f>
        <x:v>OPEN</x:v>
      </x:c>
    </x:row>
    <x:row r="22" ht="32" customHeight="1">
      <x:c r="B22" s="8" t="str">
        <x:v>DA-X1-TR-16</x:v>
      </x:c>
      <x:c r="C22" s="8" t="str">
        <x:v>DA-X1</x:v>
      </x:c>
      <x:c r="D22" s="8" t="str">
        <x:v>BL-X</x:v>
      </x:c>
      <x:c r="E22" s="8" t="str">
        <x:v>pressure boundary</x:v>
      </x:c>
      <x:c r="F22" s="8" t="str"/>
      <x:c r="G22" s="8" t="str"/>
      <x:c r="H22" s="8" t="str"/>
      <x:c r="I22" s="8" t="str"/>
      <x:c r="J22" s="8" t="str"/>
      <x:c r="K22" s="8" t="str"/>
      <x:c r="L22" s="8" t="str">
        <x:f>IF(K22="","OPEN",IF(OR(F22="",G22="",H22="",I22="",J22=""),"FAIL","PASS"))</x:f>
        <x:v>OPEN</x:v>
      </x:c>
    </x:row>
    <x:row r="23" ht="32" customHeight="1">
      <x:c r="B23" s="8" t="str">
        <x:v>DA-X1-TR-17</x:v>
      </x:c>
      <x:c r="C23" s="8" t="str">
        <x:v>DA-X1</x:v>
      </x:c>
      <x:c r="D23" s="8" t="str">
        <x:v>BL-X</x:v>
      </x:c>
      <x:c r="E23" s="8" t="str">
        <x:v>thermal supports</x:v>
      </x:c>
      <x:c r="F23" s="8" t="str"/>
      <x:c r="G23" s="8" t="str"/>
      <x:c r="H23" s="8" t="str"/>
      <x:c r="I23" s="8" t="str"/>
      <x:c r="J23" s="8" t="str"/>
      <x:c r="K23" s="8" t="str"/>
      <x:c r="L23" s="8" t="str">
        <x:f>IF(K23="","OPEN",IF(OR(F23="",G23="",H23="",I23="",J23=""),"FAIL","PASS"))</x:f>
        <x:v>OPEN</x:v>
      </x:c>
    </x:row>
    <x:row r="24" ht="32" customHeight="1">
      <x:c r="B24" s="8" t="str">
        <x:v>DA-X1-TR-18</x:v>
      </x:c>
      <x:c r="C24" s="8" t="str">
        <x:v>DA-X1</x:v>
      </x:c>
      <x:c r="D24" s="8" t="str">
        <x:v>BL-X</x:v>
      </x:c>
      <x:c r="E24" s="8" t="str">
        <x:v>lift and rescue</x:v>
      </x:c>
      <x:c r="F24" s="8" t="str"/>
      <x:c r="G24" s="8" t="str"/>
      <x:c r="H24" s="8" t="str"/>
      <x:c r="I24" s="8" t="str"/>
      <x:c r="J24" s="8" t="str"/>
      <x:c r="K24" s="8" t="str"/>
      <x:c r="L24" s="8" t="str">
        <x:f>IF(K24="","OPEN",IF(OR(F24="",G24="",H24="",I24="",J24=""),"FAIL","PASS"))</x:f>
        <x:v>OPEN</x:v>
      </x:c>
    </x:row>
    <x:row r="25" ht="32" customHeight="1">
      <x:c r="B25" s="8" t="str">
        <x:v>DA-X1-TR-19</x:v>
      </x:c>
      <x:c r="C25" s="8" t="str">
        <x:v>DA-X1</x:v>
      </x:c>
      <x:c r="D25" s="8" t="str">
        <x:v>BL-X</x:v>
      </x:c>
      <x:c r="E25" s="8" t="str">
        <x:v>nonconformance</x:v>
      </x:c>
      <x:c r="F25" s="8" t="str"/>
      <x:c r="G25" s="8" t="str"/>
      <x:c r="H25" s="8" t="str"/>
      <x:c r="I25" s="8" t="str"/>
      <x:c r="J25" s="8" t="str"/>
      <x:c r="K25" s="8" t="str"/>
      <x:c r="L25" s="8" t="str">
        <x:f>IF(K25="","OPEN",IF(OR(F25="",G25="",H25="",I25="",J25=""),"FAIL","PASS"))</x:f>
        <x:v>OPEN</x:v>
      </x:c>
    </x:row>
    <x:row r="26" ht="32" customHeight="1">
      <x:c r="B26" s="8" t="str">
        <x:v>DA-X1-TR-20</x:v>
      </x:c>
      <x:c r="C26" s="8" t="str">
        <x:v>DA-X1</x:v>
      </x:c>
      <x:c r="D26" s="8" t="str">
        <x:v>BL-X</x:v>
      </x:c>
      <x:c r="E26" s="8" t="str">
        <x:v>configuration freeze</x:v>
      </x:c>
      <x:c r="F26" s="8" t="str"/>
      <x:c r="G26" s="8" t="str"/>
      <x:c r="H26" s="8" t="str"/>
      <x:c r="I26" s="8" t="str"/>
      <x:c r="J26" s="8" t="str"/>
      <x:c r="K26" s="8" t="str"/>
      <x:c r="L26" s="8" t="str">
        <x:f>IF(K26="","OPEN",IF(OR(F26="",G26="",H26="",I26="",J26=""),"FAIL","PASS"))</x:f>
        <x:v>OPEN</x:v>
      </x:c>
    </x:row>
    <x:row r="27" ht="32" customHeight="1">
      <x:c r="B27" s="8" t="str">
        <x:v>DA-Y1-TR-01</x:v>
      </x:c>
      <x:c r="C27" s="8" t="str">
        <x:v>DA-Y1</x:v>
      </x:c>
      <x:c r="D27" s="8" t="str">
        <x:v>BL-Y</x:v>
      </x:c>
      <x:c r="E27" s="8" t="str">
        <x:v>authority</x:v>
      </x:c>
      <x:c r="F27" s="8" t="str"/>
      <x:c r="G27" s="8" t="str"/>
      <x:c r="H27" s="8" t="str"/>
      <x:c r="I27" s="8" t="str"/>
      <x:c r="J27" s="8" t="str"/>
      <x:c r="K27" s="8" t="str"/>
      <x:c r="L27" s="8" t="str">
        <x:f>IF(K27="","OPEN",IF(OR(F27="",G27="",H27="",I27="",J27=""),"FAIL","PASS"))</x:f>
        <x:v>OPEN</x:v>
      </x:c>
    </x:row>
    <x:row r="28" ht="32" customHeight="1">
      <x:c r="B28" s="8" t="str">
        <x:v>DA-Y1-TR-02</x:v>
      </x:c>
      <x:c r="C28" s="8" t="str">
        <x:v>DA-Y1</x:v>
      </x:c>
      <x:c r="D28" s="8" t="str">
        <x:v>BL-Y</x:v>
      </x:c>
      <x:c r="E28" s="8" t="str">
        <x:v>transport frame</x:v>
      </x:c>
      <x:c r="F28" s="8" t="str"/>
      <x:c r="G28" s="8" t="str"/>
      <x:c r="H28" s="8" t="str"/>
      <x:c r="I28" s="8" t="str"/>
      <x:c r="J28" s="8" t="str"/>
      <x:c r="K28" s="8" t="str"/>
      <x:c r="L28" s="8" t="str">
        <x:f>IF(K28="","OPEN",IF(OR(F28="",G28="",H28="",I28="",J28=""),"FAIL","PASS"))</x:f>
        <x:v>OPEN</x:v>
      </x:c>
    </x:row>
    <x:row r="29" ht="32" customHeight="1">
      <x:c r="B29" s="8" t="str">
        <x:v>DA-Y1-TR-03</x:v>
      </x:c>
      <x:c r="C29" s="8" t="str">
        <x:v>DA-Y1</x:v>
      </x:c>
      <x:c r="D29" s="8" t="str">
        <x:v>BL-Y</x:v>
      </x:c>
      <x:c r="E29" s="8" t="str">
        <x:v>segment set</x:v>
      </x:c>
      <x:c r="F29" s="8" t="str"/>
      <x:c r="G29" s="8" t="str"/>
      <x:c r="H29" s="8" t="str"/>
      <x:c r="I29" s="8" t="str"/>
      <x:c r="J29" s="8" t="str"/>
      <x:c r="K29" s="8" t="str"/>
      <x:c r="L29" s="8" t="str">
        <x:f>IF(K29="","OPEN",IF(OR(F29="",G29="",H29="",I29="",J29=""),"FAIL","PASS"))</x:f>
        <x:v>OPEN</x:v>
      </x:c>
    </x:row>
    <x:row r="30" ht="32" customHeight="1">
      <x:c r="B30" s="8" t="str">
        <x:v>DA-Y1-TR-04</x:v>
      </x:c>
      <x:c r="C30" s="8" t="str">
        <x:v>DA-Y1</x:v>
      </x:c>
      <x:c r="D30" s="8" t="str">
        <x:v>BL-Y</x:v>
      </x:c>
      <x:c r="E30" s="8" t="str">
        <x:v>joint set</x:v>
      </x:c>
      <x:c r="F30" s="8" t="str"/>
      <x:c r="G30" s="8" t="str"/>
      <x:c r="H30" s="8" t="str"/>
      <x:c r="I30" s="8" t="str"/>
      <x:c r="J30" s="8" t="str"/>
      <x:c r="K30" s="8" t="str"/>
      <x:c r="L30" s="8" t="str">
        <x:f>IF(K30="","OPEN",IF(OR(F30="",G30="",H30="",I30="",J30=""),"FAIL","PASS"))</x:f>
        <x:v>OPEN</x:v>
      </x:c>
    </x:row>
    <x:row r="31" ht="32" customHeight="1">
      <x:c r="B31" s="8" t="str">
        <x:v>DA-Y1-TR-05</x:v>
      </x:c>
      <x:c r="C31" s="8" t="str">
        <x:v>DA-Y1</x:v>
      </x:c>
      <x:c r="D31" s="8" t="str">
        <x:v>BL-Y</x:v>
      </x:c>
      <x:c r="E31" s="8" t="str">
        <x:v>source interface</x:v>
      </x:c>
      <x:c r="F31" s="8" t="str"/>
      <x:c r="G31" s="8" t="str"/>
      <x:c r="H31" s="8" t="str"/>
      <x:c r="I31" s="8" t="str"/>
      <x:c r="J31" s="8" t="str"/>
      <x:c r="K31" s="8" t="str"/>
      <x:c r="L31" s="8" t="str">
        <x:f>IF(K31="","OPEN",IF(OR(F31="",G31="",H31="",I31="",J31=""),"FAIL","PASS"))</x:f>
        <x:v>OPEN</x:v>
      </x:c>
    </x:row>
    <x:row r="32" ht="32" customHeight="1">
      <x:c r="B32" s="8" t="str">
        <x:v>DA-Y1-TR-06</x:v>
      </x:c>
      <x:c r="C32" s="8" t="str">
        <x:v>DA-Y1</x:v>
      </x:c>
      <x:c r="D32" s="8" t="str">
        <x:v>BL-Y</x:v>
      </x:c>
      <x:c r="E32" s="8" t="str">
        <x:v>receiver interface</x:v>
      </x:c>
      <x:c r="F32" s="8" t="str"/>
      <x:c r="G32" s="8" t="str"/>
      <x:c r="H32" s="8" t="str"/>
      <x:c r="I32" s="8" t="str"/>
      <x:c r="J32" s="8" t="str"/>
      <x:c r="K32" s="8" t="str"/>
      <x:c r="L32" s="8" t="str">
        <x:f>IF(K32="","OPEN",IF(OR(F32="",G32="",H32="",I32="",J32=""),"FAIL","PASS"))</x:f>
        <x:v>OPEN</x:v>
      </x:c>
    </x:row>
    <x:row r="33" ht="32" customHeight="1">
      <x:c r="B33" s="8" t="str">
        <x:v>DA-Y1-TR-07</x:v>
      </x:c>
      <x:c r="C33" s="8" t="str">
        <x:v>DA-Y1</x:v>
      </x:c>
      <x:c r="D33" s="8" t="str">
        <x:v>BL-Y</x:v>
      </x:c>
      <x:c r="E33" s="8" t="str">
        <x:v>pan and drain</x:v>
      </x:c>
      <x:c r="F33" s="8" t="str"/>
      <x:c r="G33" s="8" t="str"/>
      <x:c r="H33" s="8" t="str"/>
      <x:c r="I33" s="8" t="str"/>
      <x:c r="J33" s="8" t="str"/>
      <x:c r="K33" s="8" t="str"/>
      <x:c r="L33" s="8" t="str">
        <x:f>IF(K33="","OPEN",IF(OR(F33="",G33="",H33="",I33="",J33=""),"FAIL","PASS"))</x:f>
        <x:v>OPEN</x:v>
      </x:c>
    </x:row>
    <x:row r="34" ht="32" customHeight="1">
      <x:c r="B34" s="8" t="str">
        <x:v>DA-Y1-TR-08</x:v>
      </x:c>
      <x:c r="C34" s="8" t="str">
        <x:v>DA-Y1</x:v>
      </x:c>
      <x:c r="D34" s="8" t="str">
        <x:v>BL-Y</x:v>
      </x:c>
      <x:c r="E34" s="8" t="str">
        <x:v>final elements</x:v>
      </x:c>
      <x:c r="F34" s="8" t="str"/>
      <x:c r="G34" s="8" t="str"/>
      <x:c r="H34" s="8" t="str"/>
      <x:c r="I34" s="8" t="str"/>
      <x:c r="J34" s="8" t="str"/>
      <x:c r="K34" s="8" t="str"/>
      <x:c r="L34" s="8" t="str">
        <x:f>IF(K34="","OPEN",IF(OR(F34="",G34="",H34="",I34="",J34=""),"FAIL","PASS"))</x:f>
        <x:v>OPEN</x:v>
      </x:c>
    </x:row>
    <x:row r="35" ht="32" customHeight="1">
      <x:c r="B35" s="8" t="str">
        <x:v>DA-Y1-TR-09</x:v>
      </x:c>
      <x:c r="C35" s="8" t="str">
        <x:v>DA-Y1</x:v>
      </x:c>
      <x:c r="D35" s="8" t="str">
        <x:v>BL-Y</x:v>
      </x:c>
      <x:c r="E35" s="8" t="str">
        <x:v>safeing energy</x:v>
      </x:c>
      <x:c r="F35" s="8" t="str"/>
      <x:c r="G35" s="8" t="str"/>
      <x:c r="H35" s="8" t="str"/>
      <x:c r="I35" s="8" t="str"/>
      <x:c r="J35" s="8" t="str"/>
      <x:c r="K35" s="8" t="str"/>
      <x:c r="L35" s="8" t="str">
        <x:f>IF(K35="","OPEN",IF(OR(F35="",G35="",H35="",I35="",J35=""),"FAIL","PASS"))</x:f>
        <x:v>OPEN</x:v>
      </x:c>
    </x:row>
    <x:row r="36" ht="32" customHeight="1">
      <x:c r="B36" s="8" t="str">
        <x:v>DA-Y1-TR-10</x:v>
      </x:c>
      <x:c r="C36" s="8" t="str">
        <x:v>DA-Y1</x:v>
      </x:c>
      <x:c r="D36" s="8" t="str">
        <x:v>BL-Y</x:v>
      </x:c>
      <x:c r="E36" s="8" t="str">
        <x:v>normal power</x:v>
      </x:c>
      <x:c r="F36" s="8" t="str"/>
      <x:c r="G36" s="8" t="str"/>
      <x:c r="H36" s="8" t="str"/>
      <x:c r="I36" s="8" t="str"/>
      <x:c r="J36" s="8" t="str"/>
      <x:c r="K36" s="8" t="str"/>
      <x:c r="L36" s="8" t="str">
        <x:f>IF(K36="","OPEN",IF(OR(F36="",G36="",H36="",I36="",J36=""),"FAIL","PASS"))</x:f>
        <x:v>OPEN</x:v>
      </x:c>
    </x:row>
    <x:row r="37" ht="32" customHeight="1">
      <x:c r="B37" s="8" t="str">
        <x:v>DA-Y1-TR-11</x:v>
      </x:c>
      <x:c r="C37" s="8" t="str">
        <x:v>DA-Y1</x:v>
      </x:c>
      <x:c r="D37" s="8" t="str">
        <x:v>BL-Y</x:v>
      </x:c>
      <x:c r="E37" s="8" t="str">
        <x:v>independent power</x:v>
      </x:c>
      <x:c r="F37" s="8" t="str"/>
      <x:c r="G37" s="8" t="str"/>
      <x:c r="H37" s="8" t="str"/>
      <x:c r="I37" s="8" t="str"/>
      <x:c r="J37" s="8" t="str"/>
      <x:c r="K37" s="8" t="str"/>
      <x:c r="L37" s="8" t="str">
        <x:f>IF(K37="","OPEN",IF(OR(F37="",G37="",H37="",I37="",J37=""),"FAIL","PASS"))</x:f>
        <x:v>OPEN</x:v>
      </x:c>
    </x:row>
    <x:row r="38" ht="32" customHeight="1">
      <x:c r="B38" s="8" t="str">
        <x:v>DA-Y1-TR-12</x:v>
      </x:c>
      <x:c r="C38" s="8" t="str">
        <x:v>DA-Y1</x:v>
      </x:c>
      <x:c r="D38" s="8" t="str">
        <x:v>BL-Y</x:v>
      </x:c>
      <x:c r="E38" s="8" t="str">
        <x:v>instrument mounts</x:v>
      </x:c>
      <x:c r="F38" s="8" t="str"/>
      <x:c r="G38" s="8" t="str"/>
      <x:c r="H38" s="8" t="str"/>
      <x:c r="I38" s="8" t="str"/>
      <x:c r="J38" s="8" t="str"/>
      <x:c r="K38" s="8" t="str"/>
      <x:c r="L38" s="8" t="str">
        <x:f>IF(K38="","OPEN",IF(OR(F38="",G38="",H38="",I38="",J38=""),"FAIL","PASS"))</x:f>
        <x:v>OPEN</x:v>
      </x:c>
    </x:row>
    <x:row r="39" ht="32" customHeight="1">
      <x:c r="B39" s="8" t="str">
        <x:v>DA-Y1-TR-13</x:v>
      </x:c>
      <x:c r="C39" s="8" t="str">
        <x:v>DA-Y1</x:v>
      </x:c>
      <x:c r="D39" s="8" t="str">
        <x:v>BL-Y</x:v>
      </x:c>
      <x:c r="E39" s="8" t="str">
        <x:v>channel set</x:v>
      </x:c>
      <x:c r="F39" s="8" t="str"/>
      <x:c r="G39" s="8" t="str"/>
      <x:c r="H39" s="8" t="str"/>
      <x:c r="I39" s="8" t="str"/>
      <x:c r="J39" s="8" t="str"/>
      <x:c r="K39" s="8" t="str"/>
      <x:c r="L39" s="8" t="str">
        <x:f>IF(K39="","OPEN",IF(OR(F39="",G39="",H39="",I39="",J39=""),"FAIL","PASS"))</x:f>
        <x:v>OPEN</x:v>
      </x:c>
    </x:row>
    <x:row r="40" ht="32" customHeight="1">
      <x:c r="B40" s="8" t="str">
        <x:v>DA-Y1-TR-14</x:v>
      </x:c>
      <x:c r="C40" s="8" t="str">
        <x:v>DA-Y1</x:v>
      </x:c>
      <x:c r="D40" s="8" t="str">
        <x:v>BL-Y</x:v>
      </x:c>
      <x:c r="E40" s="8" t="str">
        <x:v>causal time</x:v>
      </x:c>
      <x:c r="F40" s="8" t="str"/>
      <x:c r="G40" s="8" t="str"/>
      <x:c r="H40" s="8" t="str"/>
      <x:c r="I40" s="8" t="str"/>
      <x:c r="J40" s="8" t="str"/>
      <x:c r="K40" s="8" t="str"/>
      <x:c r="L40" s="8" t="str">
        <x:f>IF(K40="","OPEN",IF(OR(F40="",G40="",H40="",I40="",J40=""),"FAIL","PASS"))</x:f>
        <x:v>OPEN</x:v>
      </x:c>
    </x:row>
    <x:row r="41" ht="32" customHeight="1">
      <x:c r="B41" s="8" t="str">
        <x:v>DA-Y1-TR-15</x:v>
      </x:c>
      <x:c r="C41" s="8" t="str">
        <x:v>DA-Y1</x:v>
      </x:c>
      <x:c r="D41" s="8" t="str">
        <x:v>BL-Y</x:v>
      </x:c>
      <x:c r="E41" s="8" t="str">
        <x:v>evidence originals</x:v>
      </x:c>
      <x:c r="F41" s="8" t="str"/>
      <x:c r="G41" s="8" t="str"/>
      <x:c r="H41" s="8" t="str"/>
      <x:c r="I41" s="8" t="str"/>
      <x:c r="J41" s="8" t="str"/>
      <x:c r="K41" s="8" t="str"/>
      <x:c r="L41" s="8" t="str">
        <x:f>IF(K41="","OPEN",IF(OR(F41="",G41="",H41="",I41="",J41=""),"FAIL","PASS"))</x:f>
        <x:v>OPEN</x:v>
      </x:c>
    </x:row>
    <x:row r="42" ht="32" customHeight="1">
      <x:c r="B42" s="8" t="str">
        <x:v>DA-Y1-TR-16</x:v>
      </x:c>
      <x:c r="C42" s="8" t="str">
        <x:v>DA-Y1</x:v>
      </x:c>
      <x:c r="D42" s="8" t="str">
        <x:v>BL-Y</x:v>
      </x:c>
      <x:c r="E42" s="8" t="str">
        <x:v>pressure boundary</x:v>
      </x:c>
      <x:c r="F42" s="8" t="str"/>
      <x:c r="G42" s="8" t="str"/>
      <x:c r="H42" s="8" t="str"/>
      <x:c r="I42" s="8" t="str"/>
      <x:c r="J42" s="8" t="str"/>
      <x:c r="K42" s="8" t="str"/>
      <x:c r="L42" s="8" t="str">
        <x:f>IF(K42="","OPEN",IF(OR(F42="",G42="",H42="",I42="",J42=""),"FAIL","PASS"))</x:f>
        <x:v>OPEN</x:v>
      </x:c>
    </x:row>
    <x:row r="43" ht="32" customHeight="1">
      <x:c r="B43" s="8" t="str">
        <x:v>DA-Y1-TR-17</x:v>
      </x:c>
      <x:c r="C43" s="8" t="str">
        <x:v>DA-Y1</x:v>
      </x:c>
      <x:c r="D43" s="8" t="str">
        <x:v>BL-Y</x:v>
      </x:c>
      <x:c r="E43" s="8" t="str">
        <x:v>thermal supports</x:v>
      </x:c>
      <x:c r="F43" s="8" t="str"/>
      <x:c r="G43" s="8" t="str"/>
      <x:c r="H43" s="8" t="str"/>
      <x:c r="I43" s="8" t="str"/>
      <x:c r="J43" s="8" t="str"/>
      <x:c r="K43" s="8" t="str"/>
      <x:c r="L43" s="8" t="str">
        <x:f>IF(K43="","OPEN",IF(OR(F43="",G43="",H43="",I43="",J43=""),"FAIL","PASS"))</x:f>
        <x:v>OPEN</x:v>
      </x:c>
    </x:row>
    <x:row r="44" ht="32" customHeight="1">
      <x:c r="B44" s="8" t="str">
        <x:v>DA-Y1-TR-18</x:v>
      </x:c>
      <x:c r="C44" s="8" t="str">
        <x:v>DA-Y1</x:v>
      </x:c>
      <x:c r="D44" s="8" t="str">
        <x:v>BL-Y</x:v>
      </x:c>
      <x:c r="E44" s="8" t="str">
        <x:v>lift and rescue</x:v>
      </x:c>
      <x:c r="F44" s="8" t="str"/>
      <x:c r="G44" s="8" t="str"/>
      <x:c r="H44" s="8" t="str"/>
      <x:c r="I44" s="8" t="str"/>
      <x:c r="J44" s="8" t="str"/>
      <x:c r="K44" s="8" t="str"/>
      <x:c r="L44" s="8" t="str">
        <x:f>IF(K44="","OPEN",IF(OR(F44="",G44="",H44="",I44="",J44=""),"FAIL","PASS"))</x:f>
        <x:v>OPEN</x:v>
      </x:c>
    </x:row>
    <x:row r="45" ht="32" customHeight="1">
      <x:c r="B45" s="8" t="str">
        <x:v>DA-Y1-TR-19</x:v>
      </x:c>
      <x:c r="C45" s="8" t="str">
        <x:v>DA-Y1</x:v>
      </x:c>
      <x:c r="D45" s="8" t="str">
        <x:v>BL-Y</x:v>
      </x:c>
      <x:c r="E45" s="8" t="str">
        <x:v>nonconformance</x:v>
      </x:c>
      <x:c r="F45" s="8" t="str"/>
      <x:c r="G45" s="8" t="str"/>
      <x:c r="H45" s="8" t="str"/>
      <x:c r="I45" s="8" t="str"/>
      <x:c r="J45" s="8" t="str"/>
      <x:c r="K45" s="8" t="str"/>
      <x:c r="L45" s="8" t="str">
        <x:f>IF(K45="","OPEN",IF(OR(F45="",G45="",H45="",I45="",J45=""),"FAIL","PASS"))</x:f>
        <x:v>OPEN</x:v>
      </x:c>
    </x:row>
    <x:row r="46" ht="32" customHeight="1">
      <x:c r="B46" s="8" t="str">
        <x:v>DA-Y1-TR-20</x:v>
      </x:c>
      <x:c r="C46" s="8" t="str">
        <x:v>DA-Y1</x:v>
      </x:c>
      <x:c r="D46" s="8" t="str">
        <x:v>BL-Y</x:v>
      </x:c>
      <x:c r="E46" s="8" t="str">
        <x:v>configuration freeze</x:v>
      </x:c>
      <x:c r="F46" s="8" t="str"/>
      <x:c r="G46" s="8" t="str"/>
      <x:c r="H46" s="8" t="str"/>
      <x:c r="I46" s="8" t="str"/>
      <x:c r="J46" s="8" t="str"/>
      <x:c r="K46" s="8" t="str"/>
      <x:c r="L46" s="8" t="str">
        <x:f>IF(K46="","OPEN",IF(OR(F46="",G46="",H46="",I46="",J46=""),"FAIL","PASS"))</x:f>
        <x:v>OPEN</x:v>
      </x:c>
    </x:row>
  </x:sheetData>
  <x:conditionalFormatting sqref="L7:L46">
    <x:cfRule type="containsText" dxfId="54" priority="1" operator="containsText" text="FAIL"/>
    <x:cfRule type="containsText" dxfId="55" priority="2" operator="containsText" text="BLOCKED"/>
    <x:cfRule type="containsText" dxfId="56" priority="3" operator="containsText" text="OPEN"/>
    <x:cfRule type="containsText" dxfId="57" priority="4" operator="containsText" text="PASS"/>
    <x:cfRule type="containsText" dxfId="58" priority="5" operator="containsText" text="PLANNED"/>
    <x:cfRule type="containsText" dxfId="59" priority="6" operator="containsText" text="ACTIVE"/>
  </x:conditionalFormatting>
  <x:pageMargins left="0.7" right="0.7" top="0.75" bottom="0.75" header="0.3" footer="0.3"/>
</x:worksheet>
</file>

<file path=xl/worksheets/sheet19.xml><?xml version="1.0" encoding="utf-8"?>
<x:worksheet xmlns:x="http://schemas.openxmlformats.org/spreadsheetml/2006/main">
  <x:sheetViews>
    <x:sheetView showGridLines="0" workbookViewId="0">
      <x:pane xSplit="2" ySplit="6" topLeftCell="C7" activePane="bottomRight" state="frozen"/>
    </x:sheetView>
  </x:sheetViews>
  <x:sheetFormatPr defaultRowHeight="15"/>
  <x:cols>
    <x:col min="2" max="2" width="16" hidden="0" customWidth="1"/>
    <x:col min="3" max="3" width="14" hidden="0" customWidth="1"/>
    <x:col min="4" max="4" width="13" hidden="0" customWidth="1"/>
    <x:col min="5" max="5" width="20" hidden="0" customWidth="1"/>
    <x:col min="6" max="6" width="20" hidden="0" customWidth="1"/>
    <x:col min="7" max="7" width="20" hidden="0" customWidth="1"/>
    <x:col min="8" max="8" width="18" hidden="0" customWidth="1"/>
    <x:col min="9" max="9" width="20" hidden="0" customWidth="1"/>
    <x:col min="10" max="10" width="18" hidden="0" customWidth="1"/>
    <x:col min="11" max="11" width="20" hidden="0" customWidth="1"/>
    <x:col min="12" max="12" width="14" hidden="0" customWidth="1"/>
  </x:cols>
  <x:sheetData>
    <x:row r="2">
      <x:c r="B2" s="44" t="str">
        <x:v>Five BL-X article-joint records</x:v>
      </x:c>
      <x:c r="C2" s="45"/>
      <x:c r="D2" s="45"/>
      <x:c r="E2" s="45"/>
      <x:c r="F2" s="45"/>
      <x:c r="G2" s="45"/>
      <x:c r="H2" s="45"/>
      <x:c r="I2" s="45"/>
      <x:c r="J2" s="45"/>
      <x:c r="K2" s="45"/>
      <x:c r="L2" s="45"/>
    </x:row>
    <x:row r="3">
      <x:c r="B3" s="46" t="str">
        <x:v>Machine commands cannot replace measured purge, energy, travel, root geometry, NDE and retained witness evidence.</x:v>
      </x:c>
      <x:c r="C3" s="45"/>
      <x:c r="D3" s="45"/>
      <x:c r="E3" s="45"/>
      <x:c r="F3" s="45"/>
      <x:c r="G3" s="45"/>
      <x:c r="H3" s="45"/>
      <x:c r="I3" s="45"/>
      <x:c r="J3" s="45"/>
      <x:c r="K3" s="45"/>
      <x:c r="L3" s="45"/>
    </x:row>
    <x:row r="4">
      <x:c r="B4" s="45"/>
      <x:c r="C4" s="45"/>
      <x:c r="D4" s="45"/>
      <x:c r="E4" s="45"/>
      <x:c r="F4" s="45"/>
      <x:c r="G4" s="45"/>
      <x:c r="H4" s="45"/>
      <x:c r="I4" s="45"/>
      <x:c r="J4" s="45"/>
      <x:c r="K4" s="45"/>
      <x:c r="L4" s="45"/>
    </x:row>
    <x:row r="5">
      <x:c r="B5" s="45"/>
      <x:c r="C5" s="45"/>
      <x:c r="D5" s="45"/>
      <x:c r="E5" s="45"/>
      <x:c r="F5" s="45"/>
      <x:c r="G5" s="45"/>
      <x:c r="H5" s="45"/>
      <x:c r="I5" s="45"/>
      <x:c r="J5" s="45"/>
      <x:c r="K5" s="45"/>
      <x:c r="L5" s="45"/>
    </x:row>
    <x:row r="6" ht="25" customHeight="1">
      <x:c r="B6" s="6" t="str">
        <x:v>Joint</x:v>
      </x:c>
      <x:c r="C6" s="6" t="str">
        <x:v>Article</x:v>
      </x:c>
      <x:c r="D6" s="6" t="str">
        <x:v>Station</x:v>
      </x:c>
      <x:c r="E6" s="6" t="str">
        <x:v>Purge result</x:v>
      </x:c>
      <x:c r="F6" s="6" t="str">
        <x:v>Energy record</x:v>
      </x:c>
      <x:c r="G6" s="6" t="str">
        <x:v>Travel record</x:v>
      </x:c>
      <x:c r="H6" s="6" t="str">
        <x:v>Root map</x:v>
      </x:c>
      <x:c r="I6" s="6" t="str">
        <x:v>NDE result</x:v>
      </x:c>
      <x:c r="J6" s="6" t="str">
        <x:v>Witness ID</x:v>
      </x:c>
      <x:c r="K6" s="6" t="str">
        <x:v>Accepted UTC</x:v>
      </x:c>
      <x:c r="L6" s="6" t="str">
        <x:v>State</x:v>
      </x:c>
    </x:row>
    <x:row r="7" ht="30" customHeight="1">
      <x:c r="B7" s="8" t="str">
        <x:v>DA-X1-W1</x:v>
      </x:c>
      <x:c r="C7" s="8" t="str">
        <x:v>DA-X1</x:v>
      </x:c>
      <x:c r="D7" s="8" t="n">
        <x:v>1</x:v>
      </x:c>
      <x:c r="E7" s="8" t="str"/>
      <x:c r="F7" s="8" t="str"/>
      <x:c r="G7" s="8" t="str"/>
      <x:c r="H7" s="8" t="str"/>
      <x:c r="I7" s="8" t="str"/>
      <x:c r="J7" s="8" t="str"/>
      <x:c r="K7" s="8" t="str"/>
      <x:c r="L7" s="8" t="str">
        <x:f>IF(K7="","OPEN",IF(OR(E7="",F7="",G7="",H7="",I7="",J7=""),"FAIL","PASS"))</x:f>
        <x:v>OPEN</x:v>
      </x:c>
    </x:row>
    <x:row r="8" ht="30" customHeight="1">
      <x:c r="B8" s="8" t="str">
        <x:v>DA-X1-W2</x:v>
      </x:c>
      <x:c r="C8" s="8" t="str">
        <x:v>DA-X1</x:v>
      </x:c>
      <x:c r="D8" s="8" t="n">
        <x:v>2</x:v>
      </x:c>
      <x:c r="E8" s="8" t="str"/>
      <x:c r="F8" s="8" t="str"/>
      <x:c r="G8" s="8" t="str"/>
      <x:c r="H8" s="8" t="str"/>
      <x:c r="I8" s="8" t="str"/>
      <x:c r="J8" s="8" t="str"/>
      <x:c r="K8" s="8" t="str"/>
      <x:c r="L8" s="8" t="str">
        <x:f>IF(K8="","OPEN",IF(OR(E8="",F8="",G8="",H8="",I8="",J8=""),"FAIL","PASS"))</x:f>
        <x:v>OPEN</x:v>
      </x:c>
    </x:row>
    <x:row r="9" ht="30" customHeight="1">
      <x:c r="B9" s="8" t="str">
        <x:v>DA-X1-W3</x:v>
      </x:c>
      <x:c r="C9" s="8" t="str">
        <x:v>DA-X1</x:v>
      </x:c>
      <x:c r="D9" s="8" t="n">
        <x:v>3</x:v>
      </x:c>
      <x:c r="E9" s="8" t="str"/>
      <x:c r="F9" s="8" t="str"/>
      <x:c r="G9" s="8" t="str"/>
      <x:c r="H9" s="8" t="str"/>
      <x:c r="I9" s="8" t="str"/>
      <x:c r="J9" s="8" t="str"/>
      <x:c r="K9" s="8" t="str"/>
      <x:c r="L9" s="8" t="str">
        <x:f>IF(K9="","OPEN",IF(OR(E9="",F9="",G9="",H9="",I9="",J9=""),"FAIL","PASS"))</x:f>
        <x:v>OPEN</x:v>
      </x:c>
    </x:row>
    <x:row r="10" ht="30" customHeight="1">
      <x:c r="B10" s="8" t="str">
        <x:v>DA-X1-W4</x:v>
      </x:c>
      <x:c r="C10" s="8" t="str">
        <x:v>DA-X1</x:v>
      </x:c>
      <x:c r="D10" s="8" t="n">
        <x:v>4</x:v>
      </x:c>
      <x:c r="E10" s="8" t="str"/>
      <x:c r="F10" s="8" t="str"/>
      <x:c r="G10" s="8" t="str"/>
      <x:c r="H10" s="8" t="str"/>
      <x:c r="I10" s="8" t="str"/>
      <x:c r="J10" s="8" t="str"/>
      <x:c r="K10" s="8" t="str"/>
      <x:c r="L10" s="8" t="str">
        <x:f>IF(K10="","OPEN",IF(OR(E10="",F10="",G10="",H10="",I10="",J10=""),"FAIL","PASS"))</x:f>
        <x:v>OPEN</x:v>
      </x:c>
    </x:row>
    <x:row r="11" ht="30" customHeight="1">
      <x:c r="B11" s="8" t="str">
        <x:v>DA-X1-W5</x:v>
      </x:c>
      <x:c r="C11" s="8" t="str">
        <x:v>DA-X1</x:v>
      </x:c>
      <x:c r="D11" s="8" t="n">
        <x:v>5</x:v>
      </x:c>
      <x:c r="E11" s="8" t="str"/>
      <x:c r="F11" s="8" t="str"/>
      <x:c r="G11" s="8" t="str"/>
      <x:c r="H11" s="8" t="str"/>
      <x:c r="I11" s="8" t="str"/>
      <x:c r="J11" s="8" t="str"/>
      <x:c r="K11" s="8" t="str"/>
      <x:c r="L11" s="8" t="str">
        <x:f>IF(K11="","OPEN",IF(OR(E11="",F11="",G11="",H11="",I11="",J11=""),"FAIL","PASS"))</x:f>
        <x:v>OPEN</x:v>
      </x:c>
    </x:row>
  </x:sheetData>
  <x:conditionalFormatting sqref="L7:L11">
    <x:cfRule type="containsText" dxfId="60" priority="1" operator="containsText" text="FAIL"/>
    <x:cfRule type="containsText" dxfId="61" priority="2" operator="containsText" text="BLOCKED"/>
    <x:cfRule type="containsText" dxfId="62" priority="3" operator="containsText" text="OPEN"/>
    <x:cfRule type="containsText" dxfId="63" priority="4" operator="containsText" text="PASS"/>
    <x:cfRule type="containsText" dxfId="64" priority="5" operator="containsText" text="PLANNED"/>
    <x:cfRule type="containsText" dxfId="65" priority="6" operator="containsText" text="ACTIVE"/>
  </x:conditionalFormatting>
  <x:pageMargins left="0.7" right="0.7" top="0.75" bottom="0.75" header="0.3" footer="0.3"/>
</x:worksheet>
</file>

<file path=xl/worksheets/sheet20.xml><?xml version="1.0" encoding="utf-8"?>
<x:worksheet xmlns:x="http://schemas.openxmlformats.org/spreadsheetml/2006/main">
  <x:sheetViews>
    <x:sheetView showGridLines="0" workbookViewId="0">
      <x:pane xSplit="2" ySplit="6" topLeftCell="C7" activePane="bottomRight" state="frozen"/>
    </x:sheetView>
  </x:sheetViews>
  <x:sheetFormatPr defaultRowHeight="15"/>
  <x:cols>
    <x:col min="2" max="2" width="16" hidden="0" customWidth="1"/>
    <x:col min="3" max="3" width="14" hidden="0" customWidth="1"/>
    <x:col min="4" max="4" width="13" hidden="0" customWidth="1"/>
    <x:col min="5" max="5" width="17" hidden="0" customWidth="1"/>
    <x:col min="6" max="6" width="17" hidden="0" customWidth="1"/>
    <x:col min="7" max="7" width="16" hidden="0" customWidth="1"/>
    <x:col min="8" max="8" width="17" hidden="0" customWidth="1"/>
    <x:col min="9" max="9" width="22" hidden="0" customWidth="1"/>
    <x:col min="10" max="10" width="16" hidden="0" customWidth="1"/>
    <x:col min="11" max="11" width="18" hidden="0" customWidth="1"/>
    <x:col min="12" max="12" width="20" hidden="0" customWidth="1"/>
    <x:col min="13" max="13" width="14" hidden="0" customWidth="1"/>
  </x:cols>
  <x:sheetData>
    <x:row r="2">
      <x:c r="B2" s="44" t="str">
        <x:v>Five BL-Y article-joint records</x:v>
      </x:c>
      <x:c r="C2" s="45"/>
      <x:c r="D2" s="45"/>
      <x:c r="E2" s="45"/>
      <x:c r="F2" s="45"/>
      <x:c r="G2" s="45"/>
      <x:c r="H2" s="45"/>
      <x:c r="I2" s="45"/>
      <x:c r="J2" s="45"/>
      <x:c r="K2" s="45"/>
      <x:c r="L2" s="45"/>
      <x:c r="M2" s="45"/>
    </x:row>
    <x:row r="3">
      <x:c r="B3" s="46" t="str">
        <x:v>Preload, seal compression, key state and monitored interspace are independent observations.</x:v>
      </x:c>
      <x:c r="C3" s="45"/>
      <x:c r="D3" s="45"/>
      <x:c r="E3" s="45"/>
      <x:c r="F3" s="45"/>
      <x:c r="G3" s="45"/>
      <x:c r="H3" s="45"/>
      <x:c r="I3" s="45"/>
      <x:c r="J3" s="45"/>
      <x:c r="K3" s="45"/>
      <x:c r="L3" s="45"/>
      <x:c r="M3" s="45"/>
    </x:row>
    <x:row r="4">
      <x:c r="B4" s="45"/>
      <x:c r="C4" s="45"/>
      <x:c r="D4" s="45"/>
      <x:c r="E4" s="45"/>
      <x:c r="F4" s="45"/>
      <x:c r="G4" s="45"/>
      <x:c r="H4" s="45"/>
      <x:c r="I4" s="45"/>
      <x:c r="J4" s="45"/>
      <x:c r="K4" s="45"/>
      <x:c r="L4" s="45"/>
      <x:c r="M4" s="45"/>
    </x:row>
    <x:row r="5">
      <x:c r="B5" s="45"/>
      <x:c r="C5" s="45"/>
      <x:c r="D5" s="45"/>
      <x:c r="E5" s="45"/>
      <x:c r="F5" s="45"/>
      <x:c r="G5" s="45"/>
      <x:c r="H5" s="45"/>
      <x:c r="I5" s="45"/>
      <x:c r="J5" s="45"/>
      <x:c r="K5" s="45"/>
      <x:c r="L5" s="45"/>
      <x:c r="M5" s="45"/>
    </x:row>
    <x:row r="6" ht="25" customHeight="1">
      <x:c r="B6" s="6" t="str">
        <x:v>Joint</x:v>
      </x:c>
      <x:c r="C6" s="6" t="str">
        <x:v>Article</x:v>
      </x:c>
      <x:c r="D6" s="6" t="str">
        <x:v>Station</x:v>
      </x:c>
      <x:c r="E6" s="6" t="str">
        <x:v>Preload kN</x:v>
      </x:c>
      <x:c r="F6" s="6" t="str">
        <x:v>Seal squeeze</x:v>
      </x:c>
      <x:c r="G6" s="6" t="str">
        <x:v>Key state</x:v>
      </x:c>
      <x:c r="H6" s="6" t="str">
        <x:v>Bore step mm</x:v>
      </x:c>
      <x:c r="I6" s="6" t="str">
        <x:v>Interspace result</x:v>
      </x:c>
      <x:c r="J6" s="6" t="str">
        <x:v>Cycle loss</x:v>
      </x:c>
      <x:c r="K6" s="6" t="str">
        <x:v>Teardown ID</x:v>
      </x:c>
      <x:c r="L6" s="6" t="str">
        <x:v>Accepted UTC</x:v>
      </x:c>
      <x:c r="M6" s="6" t="str">
        <x:v>State</x:v>
      </x:c>
    </x:row>
    <x:row r="7" ht="30" customHeight="1">
      <x:c r="B7" s="8" t="str">
        <x:v>DA-Y1-C1</x:v>
      </x:c>
      <x:c r="C7" s="8" t="str">
        <x:v>DA-Y1</x:v>
      </x:c>
      <x:c r="D7" s="8" t="n">
        <x:v>1</x:v>
      </x:c>
      <x:c r="E7" s="8" t="str"/>
      <x:c r="F7" s="8" t="str"/>
      <x:c r="G7" s="8" t="str"/>
      <x:c r="H7" s="8" t="str"/>
      <x:c r="I7" s="8" t="str"/>
      <x:c r="J7" s="8" t="str"/>
      <x:c r="K7" s="8" t="str"/>
      <x:c r="L7" s="8" t="str"/>
      <x:c r="M7" s="8" t="str">
        <x:f>IF(L7="","OPEN",IF(OR(NOT(ISNUMBER(E7)),NOT(ISNUMBER(F7)),G7="",NOT(ISNUMBER(H7)),H7&gt;'Controls'!$D$46,I7="",NOT(ISNUMBER(J7)),K7=""),"FAIL","PASS"))</x:f>
        <x:v>OPEN</x:v>
      </x:c>
    </x:row>
    <x:row r="8" ht="30" customHeight="1">
      <x:c r="B8" s="8" t="str">
        <x:v>DA-Y1-C2</x:v>
      </x:c>
      <x:c r="C8" s="8" t="str">
        <x:v>DA-Y1</x:v>
      </x:c>
      <x:c r="D8" s="8" t="n">
        <x:v>2</x:v>
      </x:c>
      <x:c r="E8" s="8" t="str"/>
      <x:c r="F8" s="8" t="str"/>
      <x:c r="G8" s="8" t="str"/>
      <x:c r="H8" s="8" t="str"/>
      <x:c r="I8" s="8" t="str"/>
      <x:c r="J8" s="8" t="str"/>
      <x:c r="K8" s="8" t="str"/>
      <x:c r="L8" s="8" t="str"/>
      <x:c r="M8" s="8" t="str">
        <x:f>IF(L8="","OPEN",IF(OR(NOT(ISNUMBER(E8)),NOT(ISNUMBER(F8)),G8="",NOT(ISNUMBER(H8)),H8&gt;'Controls'!$D$46,I8="",NOT(ISNUMBER(J8)),K8=""),"FAIL","PASS"))</x:f>
        <x:v>OPEN</x:v>
      </x:c>
    </x:row>
    <x:row r="9" ht="30" customHeight="1">
      <x:c r="B9" s="8" t="str">
        <x:v>DA-Y1-C3</x:v>
      </x:c>
      <x:c r="C9" s="8" t="str">
        <x:v>DA-Y1</x:v>
      </x:c>
      <x:c r="D9" s="8" t="n">
        <x:v>3</x:v>
      </x:c>
      <x:c r="E9" s="8" t="str"/>
      <x:c r="F9" s="8" t="str"/>
      <x:c r="G9" s="8" t="str"/>
      <x:c r="H9" s="8" t="str"/>
      <x:c r="I9" s="8" t="str"/>
      <x:c r="J9" s="8" t="str"/>
      <x:c r="K9" s="8" t="str"/>
      <x:c r="L9" s="8" t="str"/>
      <x:c r="M9" s="8" t="str">
        <x:f>IF(L9="","OPEN",IF(OR(NOT(ISNUMBER(E9)),NOT(ISNUMBER(F9)),G9="",NOT(ISNUMBER(H9)),H9&gt;'Controls'!$D$46,I9="",NOT(ISNUMBER(J9)),K9=""),"FAIL","PASS"))</x:f>
        <x:v>OPEN</x:v>
      </x:c>
    </x:row>
    <x:row r="10" ht="30" customHeight="1">
      <x:c r="B10" s="8" t="str">
        <x:v>DA-Y1-C4</x:v>
      </x:c>
      <x:c r="C10" s="8" t="str">
        <x:v>DA-Y1</x:v>
      </x:c>
      <x:c r="D10" s="8" t="n">
        <x:v>4</x:v>
      </x:c>
      <x:c r="E10" s="8" t="str"/>
      <x:c r="F10" s="8" t="str"/>
      <x:c r="G10" s="8" t="str"/>
      <x:c r="H10" s="8" t="str"/>
      <x:c r="I10" s="8" t="str"/>
      <x:c r="J10" s="8" t="str"/>
      <x:c r="K10" s="8" t="str"/>
      <x:c r="L10" s="8" t="str"/>
      <x:c r="M10" s="8" t="str">
        <x:f>IF(L10="","OPEN",IF(OR(NOT(ISNUMBER(E10)),NOT(ISNUMBER(F10)),G10="",NOT(ISNUMBER(H10)),H10&gt;'Controls'!$D$46,I10="",NOT(ISNUMBER(J10)),K10=""),"FAIL","PASS"))</x:f>
        <x:v>OPEN</x:v>
      </x:c>
    </x:row>
    <x:row r="11" ht="30" customHeight="1">
      <x:c r="B11" s="8" t="str">
        <x:v>DA-Y1-C5</x:v>
      </x:c>
      <x:c r="C11" s="8" t="str">
        <x:v>DA-Y1</x:v>
      </x:c>
      <x:c r="D11" s="8" t="n">
        <x:v>5</x:v>
      </x:c>
      <x:c r="E11" s="8" t="str"/>
      <x:c r="F11" s="8" t="str"/>
      <x:c r="G11" s="8" t="str"/>
      <x:c r="H11" s="8" t="str"/>
      <x:c r="I11" s="8" t="str"/>
      <x:c r="J11" s="8" t="str"/>
      <x:c r="K11" s="8" t="str"/>
      <x:c r="L11" s="8" t="str"/>
      <x:c r="M11" s="8" t="str">
        <x:f>IF(L11="","OPEN",IF(OR(NOT(ISNUMBER(E11)),NOT(ISNUMBER(F11)),G11="",NOT(ISNUMBER(H11)),H11&gt;'Controls'!$D$46,I11="",NOT(ISNUMBER(J11)),K11=""),"FAIL","PASS"))</x:f>
        <x:v>OPEN</x:v>
      </x:c>
    </x:row>
  </x:sheetData>
  <x:conditionalFormatting sqref="M7:M11">
    <x:cfRule type="containsText" dxfId="66" priority="1" operator="containsText" text="FAIL"/>
    <x:cfRule type="containsText" dxfId="67" priority="2" operator="containsText" text="BLOCKED"/>
    <x:cfRule type="containsText" dxfId="68" priority="3" operator="containsText" text="OPEN"/>
    <x:cfRule type="containsText" dxfId="69" priority="4" operator="containsText" text="PASS"/>
    <x:cfRule type="containsText" dxfId="70" priority="5" operator="containsText" text="PLANNED"/>
    <x:cfRule type="containsText" dxfId="71" priority="6" operator="containsText" text="ACTIVE"/>
  </x:conditionalFormatting>
  <x:pageMargins left="0.7" right="0.7" top="0.75" bottom="0.75" header="0.3" footer="0.3"/>
</x:worksheet>
</file>

<file path=xl/worksheets/sheet21.xml><?xml version="1.0" encoding="utf-8"?>
<x:worksheet xmlns:x="http://schemas.openxmlformats.org/spreadsheetml/2006/main">
  <x:sheetViews>
    <x:sheetView showGridLines="0" workbookViewId="0">
      <x:pane xSplit="2" ySplit="6" topLeftCell="C7" activePane="bottomRight" state="frozen"/>
    </x:sheetView>
  </x:sheetViews>
  <x:sheetFormatPr defaultRowHeight="15"/>
  <x:cols>
    <x:col min="2" max="2" width="20" hidden="0" customWidth="1"/>
    <x:col min="3" max="3" width="14" hidden="0" customWidth="1"/>
    <x:col min="4" max="4" width="13" hidden="0" customWidth="1"/>
    <x:col min="5" max="5" width="26" hidden="0" customWidth="1"/>
    <x:col min="6" max="6" width="18" hidden="0" customWidth="1"/>
    <x:col min="7" max="7" width="16" hidden="0" customWidth="1"/>
    <x:col min="8" max="8" width="16" hidden="0" customWidth="1"/>
    <x:col min="9" max="9" width="20" hidden="0" customWidth="1"/>
    <x:col min="10" max="10" width="14" hidden="0" customWidth="1"/>
  </x:cols>
  <x:sheetData>
    <x:row r="2">
      <x:c r="B2" s="44" t="str">
        <x:v>Twenty-four integrated geometry observations</x:v>
      </x:c>
      <x:c r="C2" s="45"/>
      <x:c r="D2" s="45"/>
      <x:c r="E2" s="45"/>
      <x:c r="F2" s="45"/>
      <x:c r="G2" s="45"/>
      <x:c r="H2" s="45"/>
      <x:c r="I2" s="45"/>
      <x:c r="J2" s="45"/>
    </x:row>
    <x:row r="3">
      <x:c r="B3" s="46" t="str">
        <x:v>Every observed value retains temperature, public datum and measurement-system identity.</x:v>
      </x:c>
      <x:c r="C3" s="45"/>
      <x:c r="D3" s="45"/>
      <x:c r="E3" s="45"/>
      <x:c r="F3" s="45"/>
      <x:c r="G3" s="45"/>
      <x:c r="H3" s="45"/>
      <x:c r="I3" s="45"/>
      <x:c r="J3" s="45"/>
    </x:row>
    <x:row r="4">
      <x:c r="B4" s="45"/>
      <x:c r="C4" s="45"/>
      <x:c r="D4" s="45"/>
      <x:c r="E4" s="45"/>
      <x:c r="F4" s="45"/>
      <x:c r="G4" s="45"/>
      <x:c r="H4" s="45"/>
      <x:c r="I4" s="45"/>
      <x:c r="J4" s="45"/>
    </x:row>
    <x:row r="5">
      <x:c r="B5" s="45"/>
      <x:c r="C5" s="45"/>
      <x:c r="D5" s="45"/>
      <x:c r="E5" s="45"/>
      <x:c r="F5" s="45"/>
      <x:c r="G5" s="45"/>
      <x:c r="H5" s="45"/>
      <x:c r="I5" s="45"/>
      <x:c r="J5" s="45"/>
    </x:row>
    <x:row r="6" ht="25" customHeight="1">
      <x:c r="B6" s="6" t="str">
        <x:v>Observation</x:v>
      </x:c>
      <x:c r="C6" s="6" t="str">
        <x:v>Article</x:v>
      </x:c>
      <x:c r="D6" s="6" t="str">
        <x:v>Lineage</x:v>
      </x:c>
      <x:c r="E6" s="6" t="str">
        <x:v>Characteristic</x:v>
      </x:c>
      <x:c r="F6" s="6" t="str">
        <x:v>Observed</x:v>
      </x:c>
      <x:c r="G6" s="6" t="str">
        <x:v>Lower</x:v>
      </x:c>
      <x:c r="H6" s="6" t="str">
        <x:v>Upper</x:v>
      </x:c>
      <x:c r="I6" s="6" t="str">
        <x:v>Accepted UTC</x:v>
      </x:c>
      <x:c r="J6" s="6" t="str">
        <x:v>State</x:v>
      </x:c>
    </x:row>
    <x:row r="7" ht="30" customHeight="1">
      <x:c r="B7" s="8" t="str">
        <x:v>DA-X1-G01</x:v>
      </x:c>
      <x:c r="C7" s="8" t="str">
        <x:v>DA-X1</x:v>
      </x:c>
      <x:c r="D7" s="8" t="str">
        <x:v>BL-X</x:v>
      </x:c>
      <x:c r="E7" s="8" t="str">
        <x:v>segment length</x:v>
      </x:c>
      <x:c r="F7" s="8" t="str"/>
      <x:c r="G7" s="8" t="str"/>
      <x:c r="H7" s="8" t="str"/>
      <x:c r="I7" s="8" t="str"/>
      <x:c r="J7" s="8" t="str">
        <x:f>IF(I7="","OPEN",IF(OR(NOT(ISNUMBER(F7)),NOT(ISNUMBER(G7)),NOT(ISNUMBER(H7)),F7&lt;G7,F7&gt;H7),"FAIL","PASS"))</x:f>
        <x:v>OPEN</x:v>
      </x:c>
    </x:row>
    <x:row r="8" ht="30" customHeight="1">
      <x:c r="B8" s="8" t="str">
        <x:v>DA-X1-G02</x:v>
      </x:c>
      <x:c r="C8" s="8" t="str">
        <x:v>DA-X1</x:v>
      </x:c>
      <x:c r="D8" s="8" t="str">
        <x:v>BL-X</x:v>
      </x:c>
      <x:c r="E8" s="8" t="str">
        <x:v>bore diameter</x:v>
      </x:c>
      <x:c r="F8" s="8" t="str"/>
      <x:c r="G8" s="8" t="str"/>
      <x:c r="H8" s="8" t="str"/>
      <x:c r="I8" s="8" t="str"/>
      <x:c r="J8" s="8" t="str">
        <x:f>IF(I8="","OPEN",IF(OR(NOT(ISNUMBER(F8)),NOT(ISNUMBER(G8)),NOT(ISNUMBER(H8)),F8&lt;G8,F8&gt;H8),"FAIL","PASS"))</x:f>
        <x:v>OPEN</x:v>
      </x:c>
    </x:row>
    <x:row r="9" ht="30" customHeight="1">
      <x:c r="B9" s="8" t="str">
        <x:v>DA-X1-G03</x:v>
      </x:c>
      <x:c r="C9" s="8" t="str">
        <x:v>DA-X1</x:v>
      </x:c>
      <x:c r="D9" s="8" t="str">
        <x:v>BL-X</x:v>
      </x:c>
      <x:c r="E9" s="8" t="str">
        <x:v>ovality</x:v>
      </x:c>
      <x:c r="F9" s="8" t="str"/>
      <x:c r="G9" s="8" t="str"/>
      <x:c r="H9" s="8" t="str"/>
      <x:c r="I9" s="8" t="str"/>
      <x:c r="J9" s="8" t="str">
        <x:f>IF(I9="","OPEN",IF(OR(NOT(ISNUMBER(F9)),NOT(ISNUMBER(G9)),NOT(ISNUMBER(H9)),F9&lt;G9,F9&gt;H9),"FAIL","PASS"))</x:f>
        <x:v>OPEN</x:v>
      </x:c>
    </x:row>
    <x:row r="10" ht="30" customHeight="1">
      <x:c r="B10" s="8" t="str">
        <x:v>DA-X1-G04</x:v>
      </x:c>
      <x:c r="C10" s="8" t="str">
        <x:v>DA-X1</x:v>
      </x:c>
      <x:c r="D10" s="8" t="str">
        <x:v>BL-X</x:v>
      </x:c>
      <x:c r="E10" s="8" t="str">
        <x:v>joint step</x:v>
      </x:c>
      <x:c r="F10" s="8" t="str"/>
      <x:c r="G10" s="8" t="str"/>
      <x:c r="H10" s="8" t="str"/>
      <x:c r="I10" s="8" t="str"/>
      <x:c r="J10" s="8" t="str">
        <x:f>IF(I10="","OPEN",IF(OR(NOT(ISNUMBER(F10)),NOT(ISNUMBER(G10)),NOT(ISNUMBER(H10)),F10&lt;G10,F10&gt;H10),"FAIL","PASS"))</x:f>
        <x:v>OPEN</x:v>
      </x:c>
    </x:row>
    <x:row r="11" ht="30" customHeight="1">
      <x:c r="B11" s="8" t="str">
        <x:v>DA-X1-G05</x:v>
      </x:c>
      <x:c r="C11" s="8" t="str">
        <x:v>DA-X1</x:v>
      </x:c>
      <x:c r="D11" s="8" t="str">
        <x:v>BL-X</x:v>
      </x:c>
      <x:c r="E11" s="8" t="str">
        <x:v>endpoint coaxiality</x:v>
      </x:c>
      <x:c r="F11" s="8" t="str"/>
      <x:c r="G11" s="8" t="str"/>
      <x:c r="H11" s="8" t="str"/>
      <x:c r="I11" s="8" t="str"/>
      <x:c r="J11" s="8" t="str">
        <x:f>IF(I11="","OPEN",IF(OR(NOT(ISNUMBER(F11)),NOT(ISNUMBER(G11)),NOT(ISNUMBER(H11)),F11&lt;G11,F11&gt;H11),"FAIL","PASS"))</x:f>
        <x:v>OPEN</x:v>
      </x:c>
    </x:row>
    <x:row r="12" ht="30" customHeight="1">
      <x:c r="B12" s="8" t="str">
        <x:v>DA-X1-G06</x:v>
      </x:c>
      <x:c r="C12" s="8" t="str">
        <x:v>DA-X1</x:v>
      </x:c>
      <x:c r="D12" s="8" t="str">
        <x:v>BL-X</x:v>
      </x:c>
      <x:c r="E12" s="8" t="str">
        <x:v>deployed length</x:v>
      </x:c>
      <x:c r="F12" s="8" t="str"/>
      <x:c r="G12" s="8" t="str"/>
      <x:c r="H12" s="8" t="str"/>
      <x:c r="I12" s="8" t="str"/>
      <x:c r="J12" s="8" t="str">
        <x:f>IF(I12="","OPEN",IF(OR(NOT(ISNUMBER(F12)),NOT(ISNUMBER(G12)),NOT(ISNUMBER(H12)),F12&lt;G12,F12&gt;H12),"FAIL","PASS"))</x:f>
        <x:v>OPEN</x:v>
      </x:c>
    </x:row>
    <x:row r="13" ht="30" customHeight="1">
      <x:c r="B13" s="8" t="str">
        <x:v>DA-X1-G07</x:v>
      </x:c>
      <x:c r="C13" s="8" t="str">
        <x:v>DA-X1</x:v>
      </x:c>
      <x:c r="D13" s="8" t="str">
        <x:v>BL-X</x:v>
      </x:c>
      <x:c r="E13" s="8" t="str">
        <x:v>slope</x:v>
      </x:c>
      <x:c r="F13" s="8" t="str"/>
      <x:c r="G13" s="8" t="str"/>
      <x:c r="H13" s="8" t="str"/>
      <x:c r="I13" s="8" t="str"/>
      <x:c r="J13" s="8" t="str">
        <x:f>IF(I13="","OPEN",IF(OR(NOT(ISNUMBER(F13)),NOT(ISNUMBER(G13)),NOT(ISNUMBER(H13)),F13&lt;G13,F13&gt;H13),"FAIL","PASS"))</x:f>
        <x:v>OPEN</x:v>
      </x:c>
    </x:row>
    <x:row r="14" ht="30" customHeight="1">
      <x:c r="B14" s="8" t="str">
        <x:v>DA-X1-G08</x:v>
      </x:c>
      <x:c r="C14" s="8" t="str">
        <x:v>DA-X1</x:v>
      </x:c>
      <x:c r="D14" s="8" t="str">
        <x:v>BL-X</x:v>
      </x:c>
      <x:c r="E14" s="8" t="str">
        <x:v>midpoint datum</x:v>
      </x:c>
      <x:c r="F14" s="8" t="str"/>
      <x:c r="G14" s="8" t="str"/>
      <x:c r="H14" s="8" t="str"/>
      <x:c r="I14" s="8" t="str"/>
      <x:c r="J14" s="8" t="str">
        <x:f>IF(I14="","OPEN",IF(OR(NOT(ISNUMBER(F14)),NOT(ISNUMBER(G14)),NOT(ISNUMBER(H14)),F14&lt;G14,F14&gt;H14),"FAIL","PASS"))</x:f>
        <x:v>OPEN</x:v>
      </x:c>
    </x:row>
    <x:row r="15" ht="30" customHeight="1">
      <x:c r="B15" s="8" t="str">
        <x:v>DA-X1-G09</x:v>
      </x:c>
      <x:c r="C15" s="8" t="str">
        <x:v>DA-X1</x:v>
      </x:c>
      <x:c r="D15" s="8" t="str">
        <x:v>BL-X</x:v>
      </x:c>
      <x:c r="E15" s="8" t="str">
        <x:v>port depth</x:v>
      </x:c>
      <x:c r="F15" s="8" t="str"/>
      <x:c r="G15" s="8" t="str"/>
      <x:c r="H15" s="8" t="str"/>
      <x:c r="I15" s="8" t="str"/>
      <x:c r="J15" s="8" t="str">
        <x:f>IF(I15="","OPEN",IF(OR(NOT(ISNUMBER(F15)),NOT(ISNUMBER(G15)),NOT(ISNUMBER(H15)),F15&lt;G15,F15&gt;H15),"FAIL","PASS"))</x:f>
        <x:v>OPEN</x:v>
      </x:c>
    </x:row>
    <x:row r="16" ht="30" customHeight="1">
      <x:c r="B16" s="8" t="str">
        <x:v>DA-X1-G10</x:v>
      </x:c>
      <x:c r="C16" s="8" t="str">
        <x:v>DA-X1</x:v>
      </x:c>
      <x:c r="D16" s="8" t="str">
        <x:v>BL-X</x:v>
      </x:c>
      <x:c r="E16" s="8" t="str">
        <x:v>support travel</x:v>
      </x:c>
      <x:c r="F16" s="8" t="str"/>
      <x:c r="G16" s="8" t="str"/>
      <x:c r="H16" s="8" t="str"/>
      <x:c r="I16" s="8" t="str"/>
      <x:c r="J16" s="8" t="str">
        <x:f>IF(I16="","OPEN",IF(OR(NOT(ISNUMBER(F16)),NOT(ISNUMBER(G16)),NOT(ISNUMBER(H16)),F16&lt;G16,F16&gt;H16),"FAIL","PASS"))</x:f>
        <x:v>OPEN</x:v>
      </x:c>
    </x:row>
    <x:row r="17" ht="30" customHeight="1">
      <x:c r="B17" s="8" t="str">
        <x:v>DA-X1-G11</x:v>
      </x:c>
      <x:c r="C17" s="8" t="str">
        <x:v>DA-X1</x:v>
      </x:c>
      <x:c r="D17" s="8" t="str">
        <x:v>BL-X</x:v>
      </x:c>
      <x:c r="E17" s="8" t="str">
        <x:v>stowed CG</x:v>
      </x:c>
      <x:c r="F17" s="8" t="str"/>
      <x:c r="G17" s="8" t="str"/>
      <x:c r="H17" s="8" t="str"/>
      <x:c r="I17" s="8" t="str"/>
      <x:c r="J17" s="8" t="str">
        <x:f>IF(I17="","OPEN",IF(OR(NOT(ISNUMBER(F17)),NOT(ISNUMBER(G17)),NOT(ISNUMBER(H17)),F17&lt;G17,F17&gt;H17),"FAIL","PASS"))</x:f>
        <x:v>OPEN</x:v>
      </x:c>
    </x:row>
    <x:row r="18" ht="30" customHeight="1">
      <x:c r="B18" s="8" t="str">
        <x:v>DA-X1-G12</x:v>
      </x:c>
      <x:c r="C18" s="8" t="str">
        <x:v>DA-X1</x:v>
      </x:c>
      <x:c r="D18" s="8" t="str">
        <x:v>BL-X</x:v>
      </x:c>
      <x:c r="E18" s="8" t="str">
        <x:v>lift interface</x:v>
      </x:c>
      <x:c r="F18" s="8" t="str"/>
      <x:c r="G18" s="8" t="str"/>
      <x:c r="H18" s="8" t="str"/>
      <x:c r="I18" s="8" t="str"/>
      <x:c r="J18" s="8" t="str">
        <x:f>IF(I18="","OPEN",IF(OR(NOT(ISNUMBER(F18)),NOT(ISNUMBER(G18)),NOT(ISNUMBER(H18)),F18&lt;G18,F18&gt;H18),"FAIL","PASS"))</x:f>
        <x:v>OPEN</x:v>
      </x:c>
    </x:row>
    <x:row r="19" ht="30" customHeight="1">
      <x:c r="B19" s="8" t="str">
        <x:v>DA-Y1-G01</x:v>
      </x:c>
      <x:c r="C19" s="8" t="str">
        <x:v>DA-Y1</x:v>
      </x:c>
      <x:c r="D19" s="8" t="str">
        <x:v>BL-Y</x:v>
      </x:c>
      <x:c r="E19" s="8" t="str">
        <x:v>segment length</x:v>
      </x:c>
      <x:c r="F19" s="8" t="str"/>
      <x:c r="G19" s="8" t="str"/>
      <x:c r="H19" s="8" t="str"/>
      <x:c r="I19" s="8" t="str"/>
      <x:c r="J19" s="8" t="str">
        <x:f>IF(I19="","OPEN",IF(OR(NOT(ISNUMBER(F19)),NOT(ISNUMBER(G19)),NOT(ISNUMBER(H19)),F19&lt;G19,F19&gt;H19),"FAIL","PASS"))</x:f>
        <x:v>OPEN</x:v>
      </x:c>
    </x:row>
    <x:row r="20" ht="30" customHeight="1">
      <x:c r="B20" s="8" t="str">
        <x:v>DA-Y1-G02</x:v>
      </x:c>
      <x:c r="C20" s="8" t="str">
        <x:v>DA-Y1</x:v>
      </x:c>
      <x:c r="D20" s="8" t="str">
        <x:v>BL-Y</x:v>
      </x:c>
      <x:c r="E20" s="8" t="str">
        <x:v>bore diameter</x:v>
      </x:c>
      <x:c r="F20" s="8" t="str"/>
      <x:c r="G20" s="8" t="str"/>
      <x:c r="H20" s="8" t="str"/>
      <x:c r="I20" s="8" t="str"/>
      <x:c r="J20" s="8" t="str">
        <x:f>IF(I20="","OPEN",IF(OR(NOT(ISNUMBER(F20)),NOT(ISNUMBER(G20)),NOT(ISNUMBER(H20)),F20&lt;G20,F20&gt;H20),"FAIL","PASS"))</x:f>
        <x:v>OPEN</x:v>
      </x:c>
    </x:row>
    <x:row r="21" ht="30" customHeight="1">
      <x:c r="B21" s="8" t="str">
        <x:v>DA-Y1-G03</x:v>
      </x:c>
      <x:c r="C21" s="8" t="str">
        <x:v>DA-Y1</x:v>
      </x:c>
      <x:c r="D21" s="8" t="str">
        <x:v>BL-Y</x:v>
      </x:c>
      <x:c r="E21" s="8" t="str">
        <x:v>ovality</x:v>
      </x:c>
      <x:c r="F21" s="8" t="str"/>
      <x:c r="G21" s="8" t="str"/>
      <x:c r="H21" s="8" t="str"/>
      <x:c r="I21" s="8" t="str"/>
      <x:c r="J21" s="8" t="str">
        <x:f>IF(I21="","OPEN",IF(OR(NOT(ISNUMBER(F21)),NOT(ISNUMBER(G21)),NOT(ISNUMBER(H21)),F21&lt;G21,F21&gt;H21),"FAIL","PASS"))</x:f>
        <x:v>OPEN</x:v>
      </x:c>
    </x:row>
    <x:row r="22" ht="30" customHeight="1">
      <x:c r="B22" s="8" t="str">
        <x:v>DA-Y1-G04</x:v>
      </x:c>
      <x:c r="C22" s="8" t="str">
        <x:v>DA-Y1</x:v>
      </x:c>
      <x:c r="D22" s="8" t="str">
        <x:v>BL-Y</x:v>
      </x:c>
      <x:c r="E22" s="8" t="str">
        <x:v>joint step</x:v>
      </x:c>
      <x:c r="F22" s="8" t="str"/>
      <x:c r="G22" s="8" t="str"/>
      <x:c r="H22" s="8" t="str"/>
      <x:c r="I22" s="8" t="str"/>
      <x:c r="J22" s="8" t="str">
        <x:f>IF(I22="","OPEN",IF(OR(NOT(ISNUMBER(F22)),NOT(ISNUMBER(G22)),NOT(ISNUMBER(H22)),F22&lt;G22,F22&gt;H22),"FAIL","PASS"))</x:f>
        <x:v>OPEN</x:v>
      </x:c>
    </x:row>
    <x:row r="23" ht="30" customHeight="1">
      <x:c r="B23" s="8" t="str">
        <x:v>DA-Y1-G05</x:v>
      </x:c>
      <x:c r="C23" s="8" t="str">
        <x:v>DA-Y1</x:v>
      </x:c>
      <x:c r="D23" s="8" t="str">
        <x:v>BL-Y</x:v>
      </x:c>
      <x:c r="E23" s="8" t="str">
        <x:v>endpoint coaxiality</x:v>
      </x:c>
      <x:c r="F23" s="8" t="str"/>
      <x:c r="G23" s="8" t="str"/>
      <x:c r="H23" s="8" t="str"/>
      <x:c r="I23" s="8" t="str"/>
      <x:c r="J23" s="8" t="str">
        <x:f>IF(I23="","OPEN",IF(OR(NOT(ISNUMBER(F23)),NOT(ISNUMBER(G23)),NOT(ISNUMBER(H23)),F23&lt;G23,F23&gt;H23),"FAIL","PASS"))</x:f>
        <x:v>OPEN</x:v>
      </x:c>
    </x:row>
    <x:row r="24" ht="30" customHeight="1">
      <x:c r="B24" s="8" t="str">
        <x:v>DA-Y1-G06</x:v>
      </x:c>
      <x:c r="C24" s="8" t="str">
        <x:v>DA-Y1</x:v>
      </x:c>
      <x:c r="D24" s="8" t="str">
        <x:v>BL-Y</x:v>
      </x:c>
      <x:c r="E24" s="8" t="str">
        <x:v>deployed length</x:v>
      </x:c>
      <x:c r="F24" s="8" t="str"/>
      <x:c r="G24" s="8" t="str"/>
      <x:c r="H24" s="8" t="str"/>
      <x:c r="I24" s="8" t="str"/>
      <x:c r="J24" s="8" t="str">
        <x:f>IF(I24="","OPEN",IF(OR(NOT(ISNUMBER(F24)),NOT(ISNUMBER(G24)),NOT(ISNUMBER(H24)),F24&lt;G24,F24&gt;H24),"FAIL","PASS"))</x:f>
        <x:v>OPEN</x:v>
      </x:c>
    </x:row>
    <x:row r="25" ht="30" customHeight="1">
      <x:c r="B25" s="8" t="str">
        <x:v>DA-Y1-G07</x:v>
      </x:c>
      <x:c r="C25" s="8" t="str">
        <x:v>DA-Y1</x:v>
      </x:c>
      <x:c r="D25" s="8" t="str">
        <x:v>BL-Y</x:v>
      </x:c>
      <x:c r="E25" s="8" t="str">
        <x:v>slope</x:v>
      </x:c>
      <x:c r="F25" s="8" t="str"/>
      <x:c r="G25" s="8" t="str"/>
      <x:c r="H25" s="8" t="str"/>
      <x:c r="I25" s="8" t="str"/>
      <x:c r="J25" s="8" t="str">
        <x:f>IF(I25="","OPEN",IF(OR(NOT(ISNUMBER(F25)),NOT(ISNUMBER(G25)),NOT(ISNUMBER(H25)),F25&lt;G25,F25&gt;H25),"FAIL","PASS"))</x:f>
        <x:v>OPEN</x:v>
      </x:c>
    </x:row>
    <x:row r="26" ht="30" customHeight="1">
      <x:c r="B26" s="8" t="str">
        <x:v>DA-Y1-G08</x:v>
      </x:c>
      <x:c r="C26" s="8" t="str">
        <x:v>DA-Y1</x:v>
      </x:c>
      <x:c r="D26" s="8" t="str">
        <x:v>BL-Y</x:v>
      </x:c>
      <x:c r="E26" s="8" t="str">
        <x:v>midpoint datum</x:v>
      </x:c>
      <x:c r="F26" s="8" t="str"/>
      <x:c r="G26" s="8" t="str"/>
      <x:c r="H26" s="8" t="str"/>
      <x:c r="I26" s="8" t="str"/>
      <x:c r="J26" s="8" t="str">
        <x:f>IF(I26="","OPEN",IF(OR(NOT(ISNUMBER(F26)),NOT(ISNUMBER(G26)),NOT(ISNUMBER(H26)),F26&lt;G26,F26&gt;H26),"FAIL","PASS"))</x:f>
        <x:v>OPEN</x:v>
      </x:c>
    </x:row>
    <x:row r="27" ht="30" customHeight="1">
      <x:c r="B27" s="8" t="str">
        <x:v>DA-Y1-G09</x:v>
      </x:c>
      <x:c r="C27" s="8" t="str">
        <x:v>DA-Y1</x:v>
      </x:c>
      <x:c r="D27" s="8" t="str">
        <x:v>BL-Y</x:v>
      </x:c>
      <x:c r="E27" s="8" t="str">
        <x:v>port depth</x:v>
      </x:c>
      <x:c r="F27" s="8" t="str"/>
      <x:c r="G27" s="8" t="str"/>
      <x:c r="H27" s="8" t="str"/>
      <x:c r="I27" s="8" t="str"/>
      <x:c r="J27" s="8" t="str">
        <x:f>IF(I27="","OPEN",IF(OR(NOT(ISNUMBER(F27)),NOT(ISNUMBER(G27)),NOT(ISNUMBER(H27)),F27&lt;G27,F27&gt;H27),"FAIL","PASS"))</x:f>
        <x:v>OPEN</x:v>
      </x:c>
    </x:row>
    <x:row r="28" ht="30" customHeight="1">
      <x:c r="B28" s="8" t="str">
        <x:v>DA-Y1-G10</x:v>
      </x:c>
      <x:c r="C28" s="8" t="str">
        <x:v>DA-Y1</x:v>
      </x:c>
      <x:c r="D28" s="8" t="str">
        <x:v>BL-Y</x:v>
      </x:c>
      <x:c r="E28" s="8" t="str">
        <x:v>support travel</x:v>
      </x:c>
      <x:c r="F28" s="8" t="str"/>
      <x:c r="G28" s="8" t="str"/>
      <x:c r="H28" s="8" t="str"/>
      <x:c r="I28" s="8" t="str"/>
      <x:c r="J28" s="8" t="str">
        <x:f>IF(I28="","OPEN",IF(OR(NOT(ISNUMBER(F28)),NOT(ISNUMBER(G28)),NOT(ISNUMBER(H28)),F28&lt;G28,F28&gt;H28),"FAIL","PASS"))</x:f>
        <x:v>OPEN</x:v>
      </x:c>
    </x:row>
    <x:row r="29" ht="30" customHeight="1">
      <x:c r="B29" s="8" t="str">
        <x:v>DA-Y1-G11</x:v>
      </x:c>
      <x:c r="C29" s="8" t="str">
        <x:v>DA-Y1</x:v>
      </x:c>
      <x:c r="D29" s="8" t="str">
        <x:v>BL-Y</x:v>
      </x:c>
      <x:c r="E29" s="8" t="str">
        <x:v>stowed CG</x:v>
      </x:c>
      <x:c r="F29" s="8" t="str"/>
      <x:c r="G29" s="8" t="str"/>
      <x:c r="H29" s="8" t="str"/>
      <x:c r="I29" s="8" t="str"/>
      <x:c r="J29" s="8" t="str">
        <x:f>IF(I29="","OPEN",IF(OR(NOT(ISNUMBER(F29)),NOT(ISNUMBER(G29)),NOT(ISNUMBER(H29)),F29&lt;G29,F29&gt;H29),"FAIL","PASS"))</x:f>
        <x:v>OPEN</x:v>
      </x:c>
    </x:row>
    <x:row r="30" ht="30" customHeight="1">
      <x:c r="B30" s="8" t="str">
        <x:v>DA-Y1-G12</x:v>
      </x:c>
      <x:c r="C30" s="8" t="str">
        <x:v>DA-Y1</x:v>
      </x:c>
      <x:c r="D30" s="8" t="str">
        <x:v>BL-Y</x:v>
      </x:c>
      <x:c r="E30" s="8" t="str">
        <x:v>lift interface</x:v>
      </x:c>
      <x:c r="F30" s="8" t="str"/>
      <x:c r="G30" s="8" t="str"/>
      <x:c r="H30" s="8" t="str"/>
      <x:c r="I30" s="8" t="str"/>
      <x:c r="J30" s="8" t="str">
        <x:f>IF(I30="","OPEN",IF(OR(NOT(ISNUMBER(F30)),NOT(ISNUMBER(G30)),NOT(ISNUMBER(H30)),F30&lt;G30,F30&gt;H30),"FAIL","PASS"))</x:f>
        <x:v>OPEN</x:v>
      </x:c>
    </x:row>
  </x:sheetData>
  <x:conditionalFormatting sqref="J7:J30">
    <x:cfRule type="containsText" dxfId="72" priority="1" operator="containsText" text="FAIL"/>
    <x:cfRule type="containsText" dxfId="73" priority="2" operator="containsText" text="BLOCKED"/>
    <x:cfRule type="containsText" dxfId="74" priority="3" operator="containsText" text="OPEN"/>
    <x:cfRule type="containsText" dxfId="75" priority="4" operator="containsText" text="PASS"/>
    <x:cfRule type="containsText" dxfId="76" priority="5" operator="containsText" text="PLANNED"/>
    <x:cfRule type="containsText" dxfId="77" priority="6" operator="containsText" text="ACTIVE"/>
  </x:conditionalFormatting>
  <x:pageMargins left="0.7" right="0.7" top="0.75" bottom="0.75" header="0.3" footer="0.3"/>
</x:worksheet>
</file>

<file path=xl/worksheets/sheet22.xml><?xml version="1.0" encoding="utf-8"?>
<x:worksheet xmlns:x="http://schemas.openxmlformats.org/spreadsheetml/2006/main">
  <x:sheetViews>
    <x:sheetView showGridLines="0" workbookViewId="0">
      <x:pane xSplit="2" ySplit="6" topLeftCell="C7" activePane="bottomRight" state="frozen"/>
    </x:sheetView>
  </x:sheetViews>
  <x:sheetFormatPr defaultRowHeight="15"/>
  <x:cols>
    <x:col min="2" max="2" width="18" hidden="0" customWidth="1"/>
    <x:col min="3" max="3" width="14" hidden="0" customWidth="1"/>
    <x:col min="4" max="4" width="23" hidden="0" customWidth="1"/>
    <x:col min="5" max="5" width="13" hidden="0" customWidth="1"/>
    <x:col min="6" max="6" width="15" hidden="0" customWidth="1"/>
    <x:col min="7" max="7" width="14" hidden="0" customWidth="1"/>
    <x:col min="8" max="8" width="16" hidden="0" customWidth="1"/>
    <x:col min="9" max="9" width="15" hidden="0" customWidth="1"/>
    <x:col min="10" max="10" width="23" hidden="0" customWidth="1"/>
    <x:col min="11" max="11" width="20" hidden="0" customWidth="1"/>
    <x:col min="12" max="12" width="14" hidden="0" customWidth="1"/>
  </x:cols>
  <x:sheetData>
    <x:row r="2">
      <x:c r="B2" s="44" t="str">
        <x:v>Forty-two proof and pressure-exposure blocks</x:v>
      </x:c>
      <x:c r="C2" s="45"/>
      <x:c r="D2" s="45"/>
      <x:c r="E2" s="45"/>
      <x:c r="F2" s="45"/>
      <x:c r="G2" s="45"/>
      <x:c r="H2" s="45"/>
      <x:c r="I2" s="45"/>
      <x:c r="J2" s="45"/>
      <x:c r="K2" s="45"/>
      <x:c r="L2" s="45"/>
    </x:row>
    <x:row r="3">
      <x:c r="B3" s="46" t="str">
        <x:v>The proof, normal and surge blocks are screening exposures. They do not establish fatigue life.</x:v>
      </x:c>
      <x:c r="C3" s="45"/>
      <x:c r="D3" s="45"/>
      <x:c r="E3" s="45"/>
      <x:c r="F3" s="45"/>
      <x:c r="G3" s="45"/>
      <x:c r="H3" s="45"/>
      <x:c r="I3" s="45"/>
      <x:c r="J3" s="45"/>
      <x:c r="K3" s="45"/>
      <x:c r="L3" s="45"/>
    </x:row>
    <x:row r="4">
      <x:c r="B4" s="45"/>
      <x:c r="C4" s="45"/>
      <x:c r="D4" s="45"/>
      <x:c r="E4" s="45"/>
      <x:c r="F4" s="45"/>
      <x:c r="G4" s="45"/>
      <x:c r="H4" s="45"/>
      <x:c r="I4" s="45"/>
      <x:c r="J4" s="45"/>
      <x:c r="K4" s="45"/>
      <x:c r="L4" s="45"/>
    </x:row>
    <x:row r="5">
      <x:c r="B5" s="45"/>
      <x:c r="C5" s="45"/>
      <x:c r="D5" s="45"/>
      <x:c r="E5" s="45"/>
      <x:c r="F5" s="45"/>
      <x:c r="G5" s="45"/>
      <x:c r="H5" s="45"/>
      <x:c r="I5" s="45"/>
      <x:c r="J5" s="45"/>
      <x:c r="K5" s="45"/>
      <x:c r="L5" s="45"/>
    </x:row>
    <x:row r="6" ht="25" customHeight="1">
      <x:c r="B6" s="6" t="str">
        <x:v>Block</x:v>
      </x:c>
      <x:c r="C6" s="6" t="str">
        <x:v>Article</x:v>
      </x:c>
      <x:c r="D6" s="6" t="str">
        <x:v>Class</x:v>
      </x:c>
      <x:c r="E6" s="6" t="str">
        <x:v>Cycles</x:v>
      </x:c>
      <x:c r="F6" s="6" t="str">
        <x:v>Peak MPa</x:v>
      </x:c>
      <x:c r="G6" s="6" t="str">
        <x:v>Hold min</x:v>
      </x:c>
      <x:c r="H6" s="6" t="str">
        <x:v>Completed</x:v>
      </x:c>
      <x:c r="I6" s="6" t="str">
        <x:v>Leak kg</x:v>
      </x:c>
      <x:c r="J6" s="6" t="str">
        <x:v>Permanent change mm</x:v>
      </x:c>
      <x:c r="K6" s="6" t="str">
        <x:v>Accepted UTC</x:v>
      </x:c>
      <x:c r="L6" s="6" t="str">
        <x:v>State</x:v>
      </x:c>
    </x:row>
    <x:row r="7" ht="30" customHeight="1">
      <x:c r="B7" s="8" t="str">
        <x:v>DA-X1-PRF</x:v>
      </x:c>
      <x:c r="C7" s="8" t="str">
        <x:v>DA-X1</x:v>
      </x:c>
      <x:c r="D7" s="8" t="str">
        <x:v>liquid proof</x:v>
      </x:c>
      <x:c r="E7" s="8" t="n">
        <x:v>1</x:v>
      </x:c>
      <x:c r="F7" s="8" t="n">
        <x:v>3</x:v>
      </x:c>
      <x:c r="G7" s="8" t="n">
        <x:v>30</x:v>
      </x:c>
      <x:c r="H7" s="8" t="str"/>
      <x:c r="I7" s="8" t="str"/>
      <x:c r="J7" s="8" t="str"/>
      <x:c r="K7" s="8" t="str"/>
      <x:c r="L7" s="8" t="str">
        <x:f>IF(K7="","OPEN",IF(OR(NOT(ISNUMBER(H7)),H7&lt;E7,NOT(ISNUMBER(I7)),I7&gt;'Controls'!$D$42,NOT(ISNUMBER(J7)),J7&gt;0.1),"FAIL","PASS"))</x:f>
        <x:v>OPEN</x:v>
      </x:c>
    </x:row>
    <x:row r="8" ht="30" customHeight="1">
      <x:c r="B8" s="8" t="str">
        <x:v>DA-X1-N01</x:v>
      </x:c>
      <x:c r="C8" s="8" t="str">
        <x:v>DA-X1</x:v>
      </x:c>
      <x:c r="D8" s="8" t="str">
        <x:v>normal cycle block</x:v>
      </x:c>
      <x:c r="E8" s="8" t="n">
        <x:v>100</x:v>
      </x:c>
      <x:c r="F8" s="8" t="n">
        <x:v>0.25</x:v>
      </x:c>
      <x:c r="G8" s="8" t="n">
        <x:v>0</x:v>
      </x:c>
      <x:c r="H8" s="8" t="str"/>
      <x:c r="I8" s="8" t="str"/>
      <x:c r="J8" s="8" t="str"/>
      <x:c r="K8" s="8" t="str"/>
      <x:c r="L8" s="8" t="str">
        <x:f>IF(K8="","OPEN",IF(OR(NOT(ISNUMBER(H8)),H8&lt;E8,NOT(ISNUMBER(I8)),I8&gt;'Controls'!$D$42,NOT(ISNUMBER(J8)),J8&gt;0.1),"FAIL","PASS"))</x:f>
        <x:v>OPEN</x:v>
      </x:c>
    </x:row>
    <x:row r="9" ht="30" customHeight="1">
      <x:c r="B9" s="8" t="str">
        <x:v>DA-X1-N02</x:v>
      </x:c>
      <x:c r="C9" s="8" t="str">
        <x:v>DA-X1</x:v>
      </x:c>
      <x:c r="D9" s="8" t="str">
        <x:v>normal cycle block</x:v>
      </x:c>
      <x:c r="E9" s="8" t="n">
        <x:v>100</x:v>
      </x:c>
      <x:c r="F9" s="8" t="n">
        <x:v>0.25</x:v>
      </x:c>
      <x:c r="G9" s="8" t="n">
        <x:v>0</x:v>
      </x:c>
      <x:c r="H9" s="8" t="str"/>
      <x:c r="I9" s="8" t="str"/>
      <x:c r="J9" s="8" t="str"/>
      <x:c r="K9" s="8" t="str"/>
      <x:c r="L9" s="8" t="str">
        <x:f>IF(K9="","OPEN",IF(OR(NOT(ISNUMBER(H9)),H9&lt;E9,NOT(ISNUMBER(I9)),I9&gt;'Controls'!$D$42,NOT(ISNUMBER(J9)),J9&gt;0.1),"FAIL","PASS"))</x:f>
        <x:v>OPEN</x:v>
      </x:c>
    </x:row>
    <x:row r="10" ht="30" customHeight="1">
      <x:c r="B10" s="8" t="str">
        <x:v>DA-X1-N03</x:v>
      </x:c>
      <x:c r="C10" s="8" t="str">
        <x:v>DA-X1</x:v>
      </x:c>
      <x:c r="D10" s="8" t="str">
        <x:v>normal cycle block</x:v>
      </x:c>
      <x:c r="E10" s="8" t="n">
        <x:v>100</x:v>
      </x:c>
      <x:c r="F10" s="8" t="n">
        <x:v>0.25</x:v>
      </x:c>
      <x:c r="G10" s="8" t="n">
        <x:v>0</x:v>
      </x:c>
      <x:c r="H10" s="8" t="str"/>
      <x:c r="I10" s="8" t="str"/>
      <x:c r="J10" s="8" t="str"/>
      <x:c r="K10" s="8" t="str"/>
      <x:c r="L10" s="8" t="str">
        <x:f>IF(K10="","OPEN",IF(OR(NOT(ISNUMBER(H10)),H10&lt;E10,NOT(ISNUMBER(I10)),I10&gt;'Controls'!$D$42,NOT(ISNUMBER(J10)),J10&gt;0.1),"FAIL","PASS"))</x:f>
        <x:v>OPEN</x:v>
      </x:c>
    </x:row>
    <x:row r="11" ht="30" customHeight="1">
      <x:c r="B11" s="8" t="str">
        <x:v>DA-X1-N04</x:v>
      </x:c>
      <x:c r="C11" s="8" t="str">
        <x:v>DA-X1</x:v>
      </x:c>
      <x:c r="D11" s="8" t="str">
        <x:v>normal cycle block</x:v>
      </x:c>
      <x:c r="E11" s="8" t="n">
        <x:v>100</x:v>
      </x:c>
      <x:c r="F11" s="8" t="n">
        <x:v>0.25</x:v>
      </x:c>
      <x:c r="G11" s="8" t="n">
        <x:v>0</x:v>
      </x:c>
      <x:c r="H11" s="8" t="str"/>
      <x:c r="I11" s="8" t="str"/>
      <x:c r="J11" s="8" t="str"/>
      <x:c r="K11" s="8" t="str"/>
      <x:c r="L11" s="8" t="str">
        <x:f>IF(K11="","OPEN",IF(OR(NOT(ISNUMBER(H11)),H11&lt;E11,NOT(ISNUMBER(I11)),I11&gt;'Controls'!$D$42,NOT(ISNUMBER(J11)),J11&gt;0.1),"FAIL","PASS"))</x:f>
        <x:v>OPEN</x:v>
      </x:c>
    </x:row>
    <x:row r="12" ht="30" customHeight="1">
      <x:c r="B12" s="8" t="str">
        <x:v>DA-X1-N05</x:v>
      </x:c>
      <x:c r="C12" s="8" t="str">
        <x:v>DA-X1</x:v>
      </x:c>
      <x:c r="D12" s="8" t="str">
        <x:v>normal cycle block</x:v>
      </x:c>
      <x:c r="E12" s="8" t="n">
        <x:v>100</x:v>
      </x:c>
      <x:c r="F12" s="8" t="n">
        <x:v>0.25</x:v>
      </x:c>
      <x:c r="G12" s="8" t="n">
        <x:v>0</x:v>
      </x:c>
      <x:c r="H12" s="8" t="str"/>
      <x:c r="I12" s="8" t="str"/>
      <x:c r="J12" s="8" t="str"/>
      <x:c r="K12" s="8" t="str"/>
      <x:c r="L12" s="8" t="str">
        <x:f>IF(K12="","OPEN",IF(OR(NOT(ISNUMBER(H12)),H12&lt;E12,NOT(ISNUMBER(I12)),I12&gt;'Controls'!$D$42,NOT(ISNUMBER(J12)),J12&gt;0.1),"FAIL","PASS"))</x:f>
        <x:v>OPEN</x:v>
      </x:c>
    </x:row>
    <x:row r="13" ht="30" customHeight="1">
      <x:c r="B13" s="8" t="str">
        <x:v>DA-X1-N06</x:v>
      </x:c>
      <x:c r="C13" s="8" t="str">
        <x:v>DA-X1</x:v>
      </x:c>
      <x:c r="D13" s="8" t="str">
        <x:v>normal cycle block</x:v>
      </x:c>
      <x:c r="E13" s="8" t="n">
        <x:v>100</x:v>
      </x:c>
      <x:c r="F13" s="8" t="n">
        <x:v>0.25</x:v>
      </x:c>
      <x:c r="G13" s="8" t="n">
        <x:v>0</x:v>
      </x:c>
      <x:c r="H13" s="8" t="str"/>
      <x:c r="I13" s="8" t="str"/>
      <x:c r="J13" s="8" t="str"/>
      <x:c r="K13" s="8" t="str"/>
      <x:c r="L13" s="8" t="str">
        <x:f>IF(K13="","OPEN",IF(OR(NOT(ISNUMBER(H13)),H13&lt;E13,NOT(ISNUMBER(I13)),I13&gt;'Controls'!$D$42,NOT(ISNUMBER(J13)),J13&gt;0.1),"FAIL","PASS"))</x:f>
        <x:v>OPEN</x:v>
      </x:c>
    </x:row>
    <x:row r="14" ht="30" customHeight="1">
      <x:c r="B14" s="8" t="str">
        <x:v>DA-X1-N07</x:v>
      </x:c>
      <x:c r="C14" s="8" t="str">
        <x:v>DA-X1</x:v>
      </x:c>
      <x:c r="D14" s="8" t="str">
        <x:v>normal cycle block</x:v>
      </x:c>
      <x:c r="E14" s="8" t="n">
        <x:v>100</x:v>
      </x:c>
      <x:c r="F14" s="8" t="n">
        <x:v>0.25</x:v>
      </x:c>
      <x:c r="G14" s="8" t="n">
        <x:v>0</x:v>
      </x:c>
      <x:c r="H14" s="8" t="str"/>
      <x:c r="I14" s="8" t="str"/>
      <x:c r="J14" s="8" t="str"/>
      <x:c r="K14" s="8" t="str"/>
      <x:c r="L14" s="8" t="str">
        <x:f>IF(K14="","OPEN",IF(OR(NOT(ISNUMBER(H14)),H14&lt;E14,NOT(ISNUMBER(I14)),I14&gt;'Controls'!$D$42,NOT(ISNUMBER(J14)),J14&gt;0.1),"FAIL","PASS"))</x:f>
        <x:v>OPEN</x:v>
      </x:c>
    </x:row>
    <x:row r="15" ht="30" customHeight="1">
      <x:c r="B15" s="8" t="str">
        <x:v>DA-X1-N08</x:v>
      </x:c>
      <x:c r="C15" s="8" t="str">
        <x:v>DA-X1</x:v>
      </x:c>
      <x:c r="D15" s="8" t="str">
        <x:v>normal cycle block</x:v>
      </x:c>
      <x:c r="E15" s="8" t="n">
        <x:v>100</x:v>
      </x:c>
      <x:c r="F15" s="8" t="n">
        <x:v>0.25</x:v>
      </x:c>
      <x:c r="G15" s="8" t="n">
        <x:v>0</x:v>
      </x:c>
      <x:c r="H15" s="8" t="str"/>
      <x:c r="I15" s="8" t="str"/>
      <x:c r="J15" s="8" t="str"/>
      <x:c r="K15" s="8" t="str"/>
      <x:c r="L15" s="8" t="str">
        <x:f>IF(K15="","OPEN",IF(OR(NOT(ISNUMBER(H15)),H15&lt;E15,NOT(ISNUMBER(I15)),I15&gt;'Controls'!$D$42,NOT(ISNUMBER(J15)),J15&gt;0.1),"FAIL","PASS"))</x:f>
        <x:v>OPEN</x:v>
      </x:c>
    </x:row>
    <x:row r="16" ht="30" customHeight="1">
      <x:c r="B16" s="8" t="str">
        <x:v>DA-X1-N09</x:v>
      </x:c>
      <x:c r="C16" s="8" t="str">
        <x:v>DA-X1</x:v>
      </x:c>
      <x:c r="D16" s="8" t="str">
        <x:v>normal cycle block</x:v>
      </x:c>
      <x:c r="E16" s="8" t="n">
        <x:v>100</x:v>
      </x:c>
      <x:c r="F16" s="8" t="n">
        <x:v>0.25</x:v>
      </x:c>
      <x:c r="G16" s="8" t="n">
        <x:v>0</x:v>
      </x:c>
      <x:c r="H16" s="8" t="str"/>
      <x:c r="I16" s="8" t="str"/>
      <x:c r="J16" s="8" t="str"/>
      <x:c r="K16" s="8" t="str"/>
      <x:c r="L16" s="8" t="str">
        <x:f>IF(K16="","OPEN",IF(OR(NOT(ISNUMBER(H16)),H16&lt;E16,NOT(ISNUMBER(I16)),I16&gt;'Controls'!$D$42,NOT(ISNUMBER(J16)),J16&gt;0.1),"FAIL","PASS"))</x:f>
        <x:v>OPEN</x:v>
      </x:c>
    </x:row>
    <x:row r="17" ht="30" customHeight="1">
      <x:c r="B17" s="8" t="str">
        <x:v>DA-X1-N10</x:v>
      </x:c>
      <x:c r="C17" s="8" t="str">
        <x:v>DA-X1</x:v>
      </x:c>
      <x:c r="D17" s="8" t="str">
        <x:v>normal cycle block</x:v>
      </x:c>
      <x:c r="E17" s="8" t="n">
        <x:v>100</x:v>
      </x:c>
      <x:c r="F17" s="8" t="n">
        <x:v>0.25</x:v>
      </x:c>
      <x:c r="G17" s="8" t="n">
        <x:v>0</x:v>
      </x:c>
      <x:c r="H17" s="8" t="str"/>
      <x:c r="I17" s="8" t="str"/>
      <x:c r="J17" s="8" t="str"/>
      <x:c r="K17" s="8" t="str"/>
      <x:c r="L17" s="8" t="str">
        <x:f>IF(K17="","OPEN",IF(OR(NOT(ISNUMBER(H17)),H17&lt;E17,NOT(ISNUMBER(I17)),I17&gt;'Controls'!$D$42,NOT(ISNUMBER(J17)),J17&gt;0.1),"FAIL","PASS"))</x:f>
        <x:v>OPEN</x:v>
      </x:c>
    </x:row>
    <x:row r="18" ht="30" customHeight="1">
      <x:c r="B18" s="8" t="str">
        <x:v>DA-X1-S01</x:v>
      </x:c>
      <x:c r="C18" s="8" t="str">
        <x:v>DA-X1</x:v>
      </x:c>
      <x:c r="D18" s="8" t="str">
        <x:v>surge cycle block</x:v>
      </x:c>
      <x:c r="E18" s="8" t="n">
        <x:v>5</x:v>
      </x:c>
      <x:c r="F18" s="8" t="n">
        <x:v>1.326</x:v>
      </x:c>
      <x:c r="G18" s="8" t="n">
        <x:v>0</x:v>
      </x:c>
      <x:c r="H18" s="8" t="str"/>
      <x:c r="I18" s="8" t="str"/>
      <x:c r="J18" s="8" t="str"/>
      <x:c r="K18" s="8" t="str"/>
      <x:c r="L18" s="8" t="str">
        <x:f>IF(K18="","OPEN",IF(OR(NOT(ISNUMBER(H18)),H18&lt;E18,NOT(ISNUMBER(I18)),I18&gt;'Controls'!$D$42,NOT(ISNUMBER(J18)),J18&gt;0.1),"FAIL","PASS"))</x:f>
        <x:v>OPEN</x:v>
      </x:c>
    </x:row>
    <x:row r="19" ht="30" customHeight="1">
      <x:c r="B19" s="8" t="str">
        <x:v>DA-X1-S02</x:v>
      </x:c>
      <x:c r="C19" s="8" t="str">
        <x:v>DA-X1</x:v>
      </x:c>
      <x:c r="D19" s="8" t="str">
        <x:v>surge cycle block</x:v>
      </x:c>
      <x:c r="E19" s="8" t="n">
        <x:v>5</x:v>
      </x:c>
      <x:c r="F19" s="8" t="n">
        <x:v>1.326</x:v>
      </x:c>
      <x:c r="G19" s="8" t="n">
        <x:v>0</x:v>
      </x:c>
      <x:c r="H19" s="8" t="str"/>
      <x:c r="I19" s="8" t="str"/>
      <x:c r="J19" s="8" t="str"/>
      <x:c r="K19" s="8" t="str"/>
      <x:c r="L19" s="8" t="str">
        <x:f>IF(K19="","OPEN",IF(OR(NOT(ISNUMBER(H19)),H19&lt;E19,NOT(ISNUMBER(I19)),I19&gt;'Controls'!$D$42,NOT(ISNUMBER(J19)),J19&gt;0.1),"FAIL","PASS"))</x:f>
        <x:v>OPEN</x:v>
      </x:c>
    </x:row>
    <x:row r="20" ht="30" customHeight="1">
      <x:c r="B20" s="8" t="str">
        <x:v>DA-X1-S03</x:v>
      </x:c>
      <x:c r="C20" s="8" t="str">
        <x:v>DA-X1</x:v>
      </x:c>
      <x:c r="D20" s="8" t="str">
        <x:v>surge cycle block</x:v>
      </x:c>
      <x:c r="E20" s="8" t="n">
        <x:v>5</x:v>
      </x:c>
      <x:c r="F20" s="8" t="n">
        <x:v>1.326</x:v>
      </x:c>
      <x:c r="G20" s="8" t="n">
        <x:v>0</x:v>
      </x:c>
      <x:c r="H20" s="8" t="str"/>
      <x:c r="I20" s="8" t="str"/>
      <x:c r="J20" s="8" t="str"/>
      <x:c r="K20" s="8" t="str"/>
      <x:c r="L20" s="8" t="str">
        <x:f>IF(K20="","OPEN",IF(OR(NOT(ISNUMBER(H20)),H20&lt;E20,NOT(ISNUMBER(I20)),I20&gt;'Controls'!$D$42,NOT(ISNUMBER(J20)),J20&gt;0.1),"FAIL","PASS"))</x:f>
        <x:v>OPEN</x:v>
      </x:c>
    </x:row>
    <x:row r="21" ht="30" customHeight="1">
      <x:c r="B21" s="8" t="str">
        <x:v>DA-X1-S04</x:v>
      </x:c>
      <x:c r="C21" s="8" t="str">
        <x:v>DA-X1</x:v>
      </x:c>
      <x:c r="D21" s="8" t="str">
        <x:v>surge cycle block</x:v>
      </x:c>
      <x:c r="E21" s="8" t="n">
        <x:v>5</x:v>
      </x:c>
      <x:c r="F21" s="8" t="n">
        <x:v>1.326</x:v>
      </x:c>
      <x:c r="G21" s="8" t="n">
        <x:v>0</x:v>
      </x:c>
      <x:c r="H21" s="8" t="str"/>
      <x:c r="I21" s="8" t="str"/>
      <x:c r="J21" s="8" t="str"/>
      <x:c r="K21" s="8" t="str"/>
      <x:c r="L21" s="8" t="str">
        <x:f>IF(K21="","OPEN",IF(OR(NOT(ISNUMBER(H21)),H21&lt;E21,NOT(ISNUMBER(I21)),I21&gt;'Controls'!$D$42,NOT(ISNUMBER(J21)),J21&gt;0.1),"FAIL","PASS"))</x:f>
        <x:v>OPEN</x:v>
      </x:c>
    </x:row>
    <x:row r="22" ht="30" customHeight="1">
      <x:c r="B22" s="8" t="str">
        <x:v>DA-X1-S05</x:v>
      </x:c>
      <x:c r="C22" s="8" t="str">
        <x:v>DA-X1</x:v>
      </x:c>
      <x:c r="D22" s="8" t="str">
        <x:v>surge cycle block</x:v>
      </x:c>
      <x:c r="E22" s="8" t="n">
        <x:v>5</x:v>
      </x:c>
      <x:c r="F22" s="8" t="n">
        <x:v>1.326</x:v>
      </x:c>
      <x:c r="G22" s="8" t="n">
        <x:v>0</x:v>
      </x:c>
      <x:c r="H22" s="8" t="str"/>
      <x:c r="I22" s="8" t="str"/>
      <x:c r="J22" s="8" t="str"/>
      <x:c r="K22" s="8" t="str"/>
      <x:c r="L22" s="8" t="str">
        <x:f>IF(K22="","OPEN",IF(OR(NOT(ISNUMBER(H22)),H22&lt;E22,NOT(ISNUMBER(I22)),I22&gt;'Controls'!$D$42,NOT(ISNUMBER(J22)),J22&gt;0.1),"FAIL","PASS"))</x:f>
        <x:v>OPEN</x:v>
      </x:c>
    </x:row>
    <x:row r="23" ht="30" customHeight="1">
      <x:c r="B23" s="8" t="str">
        <x:v>DA-X1-S06</x:v>
      </x:c>
      <x:c r="C23" s="8" t="str">
        <x:v>DA-X1</x:v>
      </x:c>
      <x:c r="D23" s="8" t="str">
        <x:v>surge cycle block</x:v>
      </x:c>
      <x:c r="E23" s="8" t="n">
        <x:v>5</x:v>
      </x:c>
      <x:c r="F23" s="8" t="n">
        <x:v>1.326</x:v>
      </x:c>
      <x:c r="G23" s="8" t="n">
        <x:v>0</x:v>
      </x:c>
      <x:c r="H23" s="8" t="str"/>
      <x:c r="I23" s="8" t="str"/>
      <x:c r="J23" s="8" t="str"/>
      <x:c r="K23" s="8" t="str"/>
      <x:c r="L23" s="8" t="str">
        <x:f>IF(K23="","OPEN",IF(OR(NOT(ISNUMBER(H23)),H23&lt;E23,NOT(ISNUMBER(I23)),I23&gt;'Controls'!$D$42,NOT(ISNUMBER(J23)),J23&gt;0.1),"FAIL","PASS"))</x:f>
        <x:v>OPEN</x:v>
      </x:c>
    </x:row>
    <x:row r="24" ht="30" customHeight="1">
      <x:c r="B24" s="8" t="str">
        <x:v>DA-X1-S07</x:v>
      </x:c>
      <x:c r="C24" s="8" t="str">
        <x:v>DA-X1</x:v>
      </x:c>
      <x:c r="D24" s="8" t="str">
        <x:v>surge cycle block</x:v>
      </x:c>
      <x:c r="E24" s="8" t="n">
        <x:v>5</x:v>
      </x:c>
      <x:c r="F24" s="8" t="n">
        <x:v>1.326</x:v>
      </x:c>
      <x:c r="G24" s="8" t="n">
        <x:v>0</x:v>
      </x:c>
      <x:c r="H24" s="8" t="str"/>
      <x:c r="I24" s="8" t="str"/>
      <x:c r="J24" s="8" t="str"/>
      <x:c r="K24" s="8" t="str"/>
      <x:c r="L24" s="8" t="str">
        <x:f>IF(K24="","OPEN",IF(OR(NOT(ISNUMBER(H24)),H24&lt;E24,NOT(ISNUMBER(I24)),I24&gt;'Controls'!$D$42,NOT(ISNUMBER(J24)),J24&gt;0.1),"FAIL","PASS"))</x:f>
        <x:v>OPEN</x:v>
      </x:c>
    </x:row>
    <x:row r="25" ht="30" customHeight="1">
      <x:c r="B25" s="8" t="str">
        <x:v>DA-X1-S08</x:v>
      </x:c>
      <x:c r="C25" s="8" t="str">
        <x:v>DA-X1</x:v>
      </x:c>
      <x:c r="D25" s="8" t="str">
        <x:v>surge cycle block</x:v>
      </x:c>
      <x:c r="E25" s="8" t="n">
        <x:v>5</x:v>
      </x:c>
      <x:c r="F25" s="8" t="n">
        <x:v>1.326</x:v>
      </x:c>
      <x:c r="G25" s="8" t="n">
        <x:v>0</x:v>
      </x:c>
      <x:c r="H25" s="8" t="str"/>
      <x:c r="I25" s="8" t="str"/>
      <x:c r="J25" s="8" t="str"/>
      <x:c r="K25" s="8" t="str"/>
      <x:c r="L25" s="8" t="str">
        <x:f>IF(K25="","OPEN",IF(OR(NOT(ISNUMBER(H25)),H25&lt;E25,NOT(ISNUMBER(I25)),I25&gt;'Controls'!$D$42,NOT(ISNUMBER(J25)),J25&gt;0.1),"FAIL","PASS"))</x:f>
        <x:v>OPEN</x:v>
      </x:c>
    </x:row>
    <x:row r="26" ht="30" customHeight="1">
      <x:c r="B26" s="8" t="str">
        <x:v>DA-X1-S09</x:v>
      </x:c>
      <x:c r="C26" s="8" t="str">
        <x:v>DA-X1</x:v>
      </x:c>
      <x:c r="D26" s="8" t="str">
        <x:v>surge cycle block</x:v>
      </x:c>
      <x:c r="E26" s="8" t="n">
        <x:v>5</x:v>
      </x:c>
      <x:c r="F26" s="8" t="n">
        <x:v>1.326</x:v>
      </x:c>
      <x:c r="G26" s="8" t="n">
        <x:v>0</x:v>
      </x:c>
      <x:c r="H26" s="8" t="str"/>
      <x:c r="I26" s="8" t="str"/>
      <x:c r="J26" s="8" t="str"/>
      <x:c r="K26" s="8" t="str"/>
      <x:c r="L26" s="8" t="str">
        <x:f>IF(K26="","OPEN",IF(OR(NOT(ISNUMBER(H26)),H26&lt;E26,NOT(ISNUMBER(I26)),I26&gt;'Controls'!$D$42,NOT(ISNUMBER(J26)),J26&gt;0.1),"FAIL","PASS"))</x:f>
        <x:v>OPEN</x:v>
      </x:c>
    </x:row>
    <x:row r="27" ht="30" customHeight="1">
      <x:c r="B27" s="8" t="str">
        <x:v>DA-X1-S10</x:v>
      </x:c>
      <x:c r="C27" s="8" t="str">
        <x:v>DA-X1</x:v>
      </x:c>
      <x:c r="D27" s="8" t="str">
        <x:v>surge cycle block</x:v>
      </x:c>
      <x:c r="E27" s="8" t="n">
        <x:v>5</x:v>
      </x:c>
      <x:c r="F27" s="8" t="n">
        <x:v>1.326</x:v>
      </x:c>
      <x:c r="G27" s="8" t="n">
        <x:v>0</x:v>
      </x:c>
      <x:c r="H27" s="8" t="str"/>
      <x:c r="I27" s="8" t="str"/>
      <x:c r="J27" s="8" t="str"/>
      <x:c r="K27" s="8" t="str"/>
      <x:c r="L27" s="8" t="str">
        <x:f>IF(K27="","OPEN",IF(OR(NOT(ISNUMBER(H27)),H27&lt;E27,NOT(ISNUMBER(I27)),I27&gt;'Controls'!$D$42,NOT(ISNUMBER(J27)),J27&gt;0.1),"FAIL","PASS"))</x:f>
        <x:v>OPEN</x:v>
      </x:c>
    </x:row>
    <x:row r="28" ht="30" customHeight="1">
      <x:c r="B28" s="8" t="str">
        <x:v>DA-Y1-PRF</x:v>
      </x:c>
      <x:c r="C28" s="8" t="str">
        <x:v>DA-Y1</x:v>
      </x:c>
      <x:c r="D28" s="8" t="str">
        <x:v>liquid proof</x:v>
      </x:c>
      <x:c r="E28" s="8" t="n">
        <x:v>1</x:v>
      </x:c>
      <x:c r="F28" s="8" t="n">
        <x:v>3</x:v>
      </x:c>
      <x:c r="G28" s="8" t="n">
        <x:v>30</x:v>
      </x:c>
      <x:c r="H28" s="8" t="str"/>
      <x:c r="I28" s="8" t="str"/>
      <x:c r="J28" s="8" t="str"/>
      <x:c r="K28" s="8" t="str"/>
      <x:c r="L28" s="8" t="str">
        <x:f>IF(K28="","OPEN",IF(OR(NOT(ISNUMBER(H28)),H28&lt;E28,NOT(ISNUMBER(I28)),I28&gt;'Controls'!$D$42,NOT(ISNUMBER(J28)),J28&gt;0.1),"FAIL","PASS"))</x:f>
        <x:v>OPEN</x:v>
      </x:c>
    </x:row>
    <x:row r="29" ht="30" customHeight="1">
      <x:c r="B29" s="8" t="str">
        <x:v>DA-Y1-N01</x:v>
      </x:c>
      <x:c r="C29" s="8" t="str">
        <x:v>DA-Y1</x:v>
      </x:c>
      <x:c r="D29" s="8" t="str">
        <x:v>normal cycle block</x:v>
      </x:c>
      <x:c r="E29" s="8" t="n">
        <x:v>100</x:v>
      </x:c>
      <x:c r="F29" s="8" t="n">
        <x:v>0.25</x:v>
      </x:c>
      <x:c r="G29" s="8" t="n">
        <x:v>0</x:v>
      </x:c>
      <x:c r="H29" s="8" t="str"/>
      <x:c r="I29" s="8" t="str"/>
      <x:c r="J29" s="8" t="str"/>
      <x:c r="K29" s="8" t="str"/>
      <x:c r="L29" s="8" t="str">
        <x:f>IF(K29="","OPEN",IF(OR(NOT(ISNUMBER(H29)),H29&lt;E29,NOT(ISNUMBER(I29)),I29&gt;'Controls'!$D$42,NOT(ISNUMBER(J29)),J29&gt;0.1),"FAIL","PASS"))</x:f>
        <x:v>OPEN</x:v>
      </x:c>
    </x:row>
    <x:row r="30" ht="30" customHeight="1">
      <x:c r="B30" s="8" t="str">
        <x:v>DA-Y1-N02</x:v>
      </x:c>
      <x:c r="C30" s="8" t="str">
        <x:v>DA-Y1</x:v>
      </x:c>
      <x:c r="D30" s="8" t="str">
        <x:v>normal cycle block</x:v>
      </x:c>
      <x:c r="E30" s="8" t="n">
        <x:v>100</x:v>
      </x:c>
      <x:c r="F30" s="8" t="n">
        <x:v>0.25</x:v>
      </x:c>
      <x:c r="G30" s="8" t="n">
        <x:v>0</x:v>
      </x:c>
      <x:c r="H30" s="8" t="str"/>
      <x:c r="I30" s="8" t="str"/>
      <x:c r="J30" s="8" t="str"/>
      <x:c r="K30" s="8" t="str"/>
      <x:c r="L30" s="8" t="str">
        <x:f>IF(K30="","OPEN",IF(OR(NOT(ISNUMBER(H30)),H30&lt;E30,NOT(ISNUMBER(I30)),I30&gt;'Controls'!$D$42,NOT(ISNUMBER(J30)),J30&gt;0.1),"FAIL","PASS"))</x:f>
        <x:v>OPEN</x:v>
      </x:c>
    </x:row>
    <x:row r="31" ht="30" customHeight="1">
      <x:c r="B31" s="8" t="str">
        <x:v>DA-Y1-N03</x:v>
      </x:c>
      <x:c r="C31" s="8" t="str">
        <x:v>DA-Y1</x:v>
      </x:c>
      <x:c r="D31" s="8" t="str">
        <x:v>normal cycle block</x:v>
      </x:c>
      <x:c r="E31" s="8" t="n">
        <x:v>100</x:v>
      </x:c>
      <x:c r="F31" s="8" t="n">
        <x:v>0.25</x:v>
      </x:c>
      <x:c r="G31" s="8" t="n">
        <x:v>0</x:v>
      </x:c>
      <x:c r="H31" s="8" t="str"/>
      <x:c r="I31" s="8" t="str"/>
      <x:c r="J31" s="8" t="str"/>
      <x:c r="K31" s="8" t="str"/>
      <x:c r="L31" s="8" t="str">
        <x:f>IF(K31="","OPEN",IF(OR(NOT(ISNUMBER(H31)),H31&lt;E31,NOT(ISNUMBER(I31)),I31&gt;'Controls'!$D$42,NOT(ISNUMBER(J31)),J31&gt;0.1),"FAIL","PASS"))</x:f>
        <x:v>OPEN</x:v>
      </x:c>
    </x:row>
    <x:row r="32" ht="30" customHeight="1">
      <x:c r="B32" s="8" t="str">
        <x:v>DA-Y1-N04</x:v>
      </x:c>
      <x:c r="C32" s="8" t="str">
        <x:v>DA-Y1</x:v>
      </x:c>
      <x:c r="D32" s="8" t="str">
        <x:v>normal cycle block</x:v>
      </x:c>
      <x:c r="E32" s="8" t="n">
        <x:v>100</x:v>
      </x:c>
      <x:c r="F32" s="8" t="n">
        <x:v>0.25</x:v>
      </x:c>
      <x:c r="G32" s="8" t="n">
        <x:v>0</x:v>
      </x:c>
      <x:c r="H32" s="8" t="str"/>
      <x:c r="I32" s="8" t="str"/>
      <x:c r="J32" s="8" t="str"/>
      <x:c r="K32" s="8" t="str"/>
      <x:c r="L32" s="8" t="str">
        <x:f>IF(K32="","OPEN",IF(OR(NOT(ISNUMBER(H32)),H32&lt;E32,NOT(ISNUMBER(I32)),I32&gt;'Controls'!$D$42,NOT(ISNUMBER(J32)),J32&gt;0.1),"FAIL","PASS"))</x:f>
        <x:v>OPEN</x:v>
      </x:c>
    </x:row>
    <x:row r="33" ht="30" customHeight="1">
      <x:c r="B33" s="8" t="str">
        <x:v>DA-Y1-N05</x:v>
      </x:c>
      <x:c r="C33" s="8" t="str">
        <x:v>DA-Y1</x:v>
      </x:c>
      <x:c r="D33" s="8" t="str">
        <x:v>normal cycle block</x:v>
      </x:c>
      <x:c r="E33" s="8" t="n">
        <x:v>100</x:v>
      </x:c>
      <x:c r="F33" s="8" t="n">
        <x:v>0.25</x:v>
      </x:c>
      <x:c r="G33" s="8" t="n">
        <x:v>0</x:v>
      </x:c>
      <x:c r="H33" s="8" t="str"/>
      <x:c r="I33" s="8" t="str"/>
      <x:c r="J33" s="8" t="str"/>
      <x:c r="K33" s="8" t="str"/>
      <x:c r="L33" s="8" t="str">
        <x:f>IF(K33="","OPEN",IF(OR(NOT(ISNUMBER(H33)),H33&lt;E33,NOT(ISNUMBER(I33)),I33&gt;'Controls'!$D$42,NOT(ISNUMBER(J33)),J33&gt;0.1),"FAIL","PASS"))</x:f>
        <x:v>OPEN</x:v>
      </x:c>
    </x:row>
    <x:row r="34" ht="30" customHeight="1">
      <x:c r="B34" s="8" t="str">
        <x:v>DA-Y1-N06</x:v>
      </x:c>
      <x:c r="C34" s="8" t="str">
        <x:v>DA-Y1</x:v>
      </x:c>
      <x:c r="D34" s="8" t="str">
        <x:v>normal cycle block</x:v>
      </x:c>
      <x:c r="E34" s="8" t="n">
        <x:v>100</x:v>
      </x:c>
      <x:c r="F34" s="8" t="n">
        <x:v>0.25</x:v>
      </x:c>
      <x:c r="G34" s="8" t="n">
        <x:v>0</x:v>
      </x:c>
      <x:c r="H34" s="8" t="str"/>
      <x:c r="I34" s="8" t="str"/>
      <x:c r="J34" s="8" t="str"/>
      <x:c r="K34" s="8" t="str"/>
      <x:c r="L34" s="8" t="str">
        <x:f>IF(K34="","OPEN",IF(OR(NOT(ISNUMBER(H34)),H34&lt;E34,NOT(ISNUMBER(I34)),I34&gt;'Controls'!$D$42,NOT(ISNUMBER(J34)),J34&gt;0.1),"FAIL","PASS"))</x:f>
        <x:v>OPEN</x:v>
      </x:c>
    </x:row>
    <x:row r="35" ht="30" customHeight="1">
      <x:c r="B35" s="8" t="str">
        <x:v>DA-Y1-N07</x:v>
      </x:c>
      <x:c r="C35" s="8" t="str">
        <x:v>DA-Y1</x:v>
      </x:c>
      <x:c r="D35" s="8" t="str">
        <x:v>normal cycle block</x:v>
      </x:c>
      <x:c r="E35" s="8" t="n">
        <x:v>100</x:v>
      </x:c>
      <x:c r="F35" s="8" t="n">
        <x:v>0.25</x:v>
      </x:c>
      <x:c r="G35" s="8" t="n">
        <x:v>0</x:v>
      </x:c>
      <x:c r="H35" s="8" t="str"/>
      <x:c r="I35" s="8" t="str"/>
      <x:c r="J35" s="8" t="str"/>
      <x:c r="K35" s="8" t="str"/>
      <x:c r="L35" s="8" t="str">
        <x:f>IF(K35="","OPEN",IF(OR(NOT(ISNUMBER(H35)),H35&lt;E35,NOT(ISNUMBER(I35)),I35&gt;'Controls'!$D$42,NOT(ISNUMBER(J35)),J35&gt;0.1),"FAIL","PASS"))</x:f>
        <x:v>OPEN</x:v>
      </x:c>
    </x:row>
    <x:row r="36" ht="30" customHeight="1">
      <x:c r="B36" s="8" t="str">
        <x:v>DA-Y1-N08</x:v>
      </x:c>
      <x:c r="C36" s="8" t="str">
        <x:v>DA-Y1</x:v>
      </x:c>
      <x:c r="D36" s="8" t="str">
        <x:v>normal cycle block</x:v>
      </x:c>
      <x:c r="E36" s="8" t="n">
        <x:v>100</x:v>
      </x:c>
      <x:c r="F36" s="8" t="n">
        <x:v>0.25</x:v>
      </x:c>
      <x:c r="G36" s="8" t="n">
        <x:v>0</x:v>
      </x:c>
      <x:c r="H36" s="8" t="str"/>
      <x:c r="I36" s="8" t="str"/>
      <x:c r="J36" s="8" t="str"/>
      <x:c r="K36" s="8" t="str"/>
      <x:c r="L36" s="8" t="str">
        <x:f>IF(K36="","OPEN",IF(OR(NOT(ISNUMBER(H36)),H36&lt;E36,NOT(ISNUMBER(I36)),I36&gt;'Controls'!$D$42,NOT(ISNUMBER(J36)),J36&gt;0.1),"FAIL","PASS"))</x:f>
        <x:v>OPEN</x:v>
      </x:c>
    </x:row>
    <x:row r="37" ht="30" customHeight="1">
      <x:c r="B37" s="8" t="str">
        <x:v>DA-Y1-N09</x:v>
      </x:c>
      <x:c r="C37" s="8" t="str">
        <x:v>DA-Y1</x:v>
      </x:c>
      <x:c r="D37" s="8" t="str">
        <x:v>normal cycle block</x:v>
      </x:c>
      <x:c r="E37" s="8" t="n">
        <x:v>100</x:v>
      </x:c>
      <x:c r="F37" s="8" t="n">
        <x:v>0.25</x:v>
      </x:c>
      <x:c r="G37" s="8" t="n">
        <x:v>0</x:v>
      </x:c>
      <x:c r="H37" s="8" t="str"/>
      <x:c r="I37" s="8" t="str"/>
      <x:c r="J37" s="8" t="str"/>
      <x:c r="K37" s="8" t="str"/>
      <x:c r="L37" s="8" t="str">
        <x:f>IF(K37="","OPEN",IF(OR(NOT(ISNUMBER(H37)),H37&lt;E37,NOT(ISNUMBER(I37)),I37&gt;'Controls'!$D$42,NOT(ISNUMBER(J37)),J37&gt;0.1),"FAIL","PASS"))</x:f>
        <x:v>OPEN</x:v>
      </x:c>
    </x:row>
    <x:row r="38" ht="30" customHeight="1">
      <x:c r="B38" s="8" t="str">
        <x:v>DA-Y1-N10</x:v>
      </x:c>
      <x:c r="C38" s="8" t="str">
        <x:v>DA-Y1</x:v>
      </x:c>
      <x:c r="D38" s="8" t="str">
        <x:v>normal cycle block</x:v>
      </x:c>
      <x:c r="E38" s="8" t="n">
        <x:v>100</x:v>
      </x:c>
      <x:c r="F38" s="8" t="n">
        <x:v>0.25</x:v>
      </x:c>
      <x:c r="G38" s="8" t="n">
        <x:v>0</x:v>
      </x:c>
      <x:c r="H38" s="8" t="str"/>
      <x:c r="I38" s="8" t="str"/>
      <x:c r="J38" s="8" t="str"/>
      <x:c r="K38" s="8" t="str"/>
      <x:c r="L38" s="8" t="str">
        <x:f>IF(K38="","OPEN",IF(OR(NOT(ISNUMBER(H38)),H38&lt;E38,NOT(ISNUMBER(I38)),I38&gt;'Controls'!$D$42,NOT(ISNUMBER(J38)),J38&gt;0.1),"FAIL","PASS"))</x:f>
        <x:v>OPEN</x:v>
      </x:c>
    </x:row>
    <x:row r="39" ht="30" customHeight="1">
      <x:c r="B39" s="8" t="str">
        <x:v>DA-Y1-S01</x:v>
      </x:c>
      <x:c r="C39" s="8" t="str">
        <x:v>DA-Y1</x:v>
      </x:c>
      <x:c r="D39" s="8" t="str">
        <x:v>surge cycle block</x:v>
      </x:c>
      <x:c r="E39" s="8" t="n">
        <x:v>5</x:v>
      </x:c>
      <x:c r="F39" s="8" t="n">
        <x:v>1.326</x:v>
      </x:c>
      <x:c r="G39" s="8" t="n">
        <x:v>0</x:v>
      </x:c>
      <x:c r="H39" s="8" t="str"/>
      <x:c r="I39" s="8" t="str"/>
      <x:c r="J39" s="8" t="str"/>
      <x:c r="K39" s="8" t="str"/>
      <x:c r="L39" s="8" t="str">
        <x:f>IF(K39="","OPEN",IF(OR(NOT(ISNUMBER(H39)),H39&lt;E39,NOT(ISNUMBER(I39)),I39&gt;'Controls'!$D$42,NOT(ISNUMBER(J39)),J39&gt;0.1),"FAIL","PASS"))</x:f>
        <x:v>OPEN</x:v>
      </x:c>
    </x:row>
    <x:row r="40" ht="30" customHeight="1">
      <x:c r="B40" s="8" t="str">
        <x:v>DA-Y1-S02</x:v>
      </x:c>
      <x:c r="C40" s="8" t="str">
        <x:v>DA-Y1</x:v>
      </x:c>
      <x:c r="D40" s="8" t="str">
        <x:v>surge cycle block</x:v>
      </x:c>
      <x:c r="E40" s="8" t="n">
        <x:v>5</x:v>
      </x:c>
      <x:c r="F40" s="8" t="n">
        <x:v>1.326</x:v>
      </x:c>
      <x:c r="G40" s="8" t="n">
        <x:v>0</x:v>
      </x:c>
      <x:c r="H40" s="8" t="str"/>
      <x:c r="I40" s="8" t="str"/>
      <x:c r="J40" s="8" t="str"/>
      <x:c r="K40" s="8" t="str"/>
      <x:c r="L40" s="8" t="str">
        <x:f>IF(K40="","OPEN",IF(OR(NOT(ISNUMBER(H40)),H40&lt;E40,NOT(ISNUMBER(I40)),I40&gt;'Controls'!$D$42,NOT(ISNUMBER(J40)),J40&gt;0.1),"FAIL","PASS"))</x:f>
        <x:v>OPEN</x:v>
      </x:c>
    </x:row>
    <x:row r="41" ht="30" customHeight="1">
      <x:c r="B41" s="8" t="str">
        <x:v>DA-Y1-S03</x:v>
      </x:c>
      <x:c r="C41" s="8" t="str">
        <x:v>DA-Y1</x:v>
      </x:c>
      <x:c r="D41" s="8" t="str">
        <x:v>surge cycle block</x:v>
      </x:c>
      <x:c r="E41" s="8" t="n">
        <x:v>5</x:v>
      </x:c>
      <x:c r="F41" s="8" t="n">
        <x:v>1.326</x:v>
      </x:c>
      <x:c r="G41" s="8" t="n">
        <x:v>0</x:v>
      </x:c>
      <x:c r="H41" s="8" t="str"/>
      <x:c r="I41" s="8" t="str"/>
      <x:c r="J41" s="8" t="str"/>
      <x:c r="K41" s="8" t="str"/>
      <x:c r="L41" s="8" t="str">
        <x:f>IF(K41="","OPEN",IF(OR(NOT(ISNUMBER(H41)),H41&lt;E41,NOT(ISNUMBER(I41)),I41&gt;'Controls'!$D$42,NOT(ISNUMBER(J41)),J41&gt;0.1),"FAIL","PASS"))</x:f>
        <x:v>OPEN</x:v>
      </x:c>
    </x:row>
    <x:row r="42" ht="30" customHeight="1">
      <x:c r="B42" s="8" t="str">
        <x:v>DA-Y1-S04</x:v>
      </x:c>
      <x:c r="C42" s="8" t="str">
        <x:v>DA-Y1</x:v>
      </x:c>
      <x:c r="D42" s="8" t="str">
        <x:v>surge cycle block</x:v>
      </x:c>
      <x:c r="E42" s="8" t="n">
        <x:v>5</x:v>
      </x:c>
      <x:c r="F42" s="8" t="n">
        <x:v>1.326</x:v>
      </x:c>
      <x:c r="G42" s="8" t="n">
        <x:v>0</x:v>
      </x:c>
      <x:c r="H42" s="8" t="str"/>
      <x:c r="I42" s="8" t="str"/>
      <x:c r="J42" s="8" t="str"/>
      <x:c r="K42" s="8" t="str"/>
      <x:c r="L42" s="8" t="str">
        <x:f>IF(K42="","OPEN",IF(OR(NOT(ISNUMBER(H42)),H42&lt;E42,NOT(ISNUMBER(I42)),I42&gt;'Controls'!$D$42,NOT(ISNUMBER(J42)),J42&gt;0.1),"FAIL","PASS"))</x:f>
        <x:v>OPEN</x:v>
      </x:c>
    </x:row>
    <x:row r="43" ht="30" customHeight="1">
      <x:c r="B43" s="8" t="str">
        <x:v>DA-Y1-S05</x:v>
      </x:c>
      <x:c r="C43" s="8" t="str">
        <x:v>DA-Y1</x:v>
      </x:c>
      <x:c r="D43" s="8" t="str">
        <x:v>surge cycle block</x:v>
      </x:c>
      <x:c r="E43" s="8" t="n">
        <x:v>5</x:v>
      </x:c>
      <x:c r="F43" s="8" t="n">
        <x:v>1.326</x:v>
      </x:c>
      <x:c r="G43" s="8" t="n">
        <x:v>0</x:v>
      </x:c>
      <x:c r="H43" s="8" t="str"/>
      <x:c r="I43" s="8" t="str"/>
      <x:c r="J43" s="8" t="str"/>
      <x:c r="K43" s="8" t="str"/>
      <x:c r="L43" s="8" t="str">
        <x:f>IF(K43="","OPEN",IF(OR(NOT(ISNUMBER(H43)),H43&lt;E43,NOT(ISNUMBER(I43)),I43&gt;'Controls'!$D$42,NOT(ISNUMBER(J43)),J43&gt;0.1),"FAIL","PASS"))</x:f>
        <x:v>OPEN</x:v>
      </x:c>
    </x:row>
    <x:row r="44" ht="30" customHeight="1">
      <x:c r="B44" s="8" t="str">
        <x:v>DA-Y1-S06</x:v>
      </x:c>
      <x:c r="C44" s="8" t="str">
        <x:v>DA-Y1</x:v>
      </x:c>
      <x:c r="D44" s="8" t="str">
        <x:v>surge cycle block</x:v>
      </x:c>
      <x:c r="E44" s="8" t="n">
        <x:v>5</x:v>
      </x:c>
      <x:c r="F44" s="8" t="n">
        <x:v>1.326</x:v>
      </x:c>
      <x:c r="G44" s="8" t="n">
        <x:v>0</x:v>
      </x:c>
      <x:c r="H44" s="8" t="str"/>
      <x:c r="I44" s="8" t="str"/>
      <x:c r="J44" s="8" t="str"/>
      <x:c r="K44" s="8" t="str"/>
      <x:c r="L44" s="8" t="str">
        <x:f>IF(K44="","OPEN",IF(OR(NOT(ISNUMBER(H44)),H44&lt;E44,NOT(ISNUMBER(I44)),I44&gt;'Controls'!$D$42,NOT(ISNUMBER(J44)),J44&gt;0.1),"FAIL","PASS"))</x:f>
        <x:v>OPEN</x:v>
      </x:c>
    </x:row>
    <x:row r="45" ht="30" customHeight="1">
      <x:c r="B45" s="8" t="str">
        <x:v>DA-Y1-S07</x:v>
      </x:c>
      <x:c r="C45" s="8" t="str">
        <x:v>DA-Y1</x:v>
      </x:c>
      <x:c r="D45" s="8" t="str">
        <x:v>surge cycle block</x:v>
      </x:c>
      <x:c r="E45" s="8" t="n">
        <x:v>5</x:v>
      </x:c>
      <x:c r="F45" s="8" t="n">
        <x:v>1.326</x:v>
      </x:c>
      <x:c r="G45" s="8" t="n">
        <x:v>0</x:v>
      </x:c>
      <x:c r="H45" s="8" t="str"/>
      <x:c r="I45" s="8" t="str"/>
      <x:c r="J45" s="8" t="str"/>
      <x:c r="K45" s="8" t="str"/>
      <x:c r="L45" s="8" t="str">
        <x:f>IF(K45="","OPEN",IF(OR(NOT(ISNUMBER(H45)),H45&lt;E45,NOT(ISNUMBER(I45)),I45&gt;'Controls'!$D$42,NOT(ISNUMBER(J45)),J45&gt;0.1),"FAIL","PASS"))</x:f>
        <x:v>OPEN</x:v>
      </x:c>
    </x:row>
    <x:row r="46" ht="30" customHeight="1">
      <x:c r="B46" s="8" t="str">
        <x:v>DA-Y1-S08</x:v>
      </x:c>
      <x:c r="C46" s="8" t="str">
        <x:v>DA-Y1</x:v>
      </x:c>
      <x:c r="D46" s="8" t="str">
        <x:v>surge cycle block</x:v>
      </x:c>
      <x:c r="E46" s="8" t="n">
        <x:v>5</x:v>
      </x:c>
      <x:c r="F46" s="8" t="n">
        <x:v>1.326</x:v>
      </x:c>
      <x:c r="G46" s="8" t="n">
        <x:v>0</x:v>
      </x:c>
      <x:c r="H46" s="8" t="str"/>
      <x:c r="I46" s="8" t="str"/>
      <x:c r="J46" s="8" t="str"/>
      <x:c r="K46" s="8" t="str"/>
      <x:c r="L46" s="8" t="str">
        <x:f>IF(K46="","OPEN",IF(OR(NOT(ISNUMBER(H46)),H46&lt;E46,NOT(ISNUMBER(I46)),I46&gt;'Controls'!$D$42,NOT(ISNUMBER(J46)),J46&gt;0.1),"FAIL","PASS"))</x:f>
        <x:v>OPEN</x:v>
      </x:c>
    </x:row>
    <x:row r="47" ht="30" customHeight="1">
      <x:c r="B47" s="8" t="str">
        <x:v>DA-Y1-S09</x:v>
      </x:c>
      <x:c r="C47" s="8" t="str">
        <x:v>DA-Y1</x:v>
      </x:c>
      <x:c r="D47" s="8" t="str">
        <x:v>surge cycle block</x:v>
      </x:c>
      <x:c r="E47" s="8" t="n">
        <x:v>5</x:v>
      </x:c>
      <x:c r="F47" s="8" t="n">
        <x:v>1.326</x:v>
      </x:c>
      <x:c r="G47" s="8" t="n">
        <x:v>0</x:v>
      </x:c>
      <x:c r="H47" s="8" t="str"/>
      <x:c r="I47" s="8" t="str"/>
      <x:c r="J47" s="8" t="str"/>
      <x:c r="K47" s="8" t="str"/>
      <x:c r="L47" s="8" t="str">
        <x:f>IF(K47="","OPEN",IF(OR(NOT(ISNUMBER(H47)),H47&lt;E47,NOT(ISNUMBER(I47)),I47&gt;'Controls'!$D$42,NOT(ISNUMBER(J47)),J47&gt;0.1),"FAIL","PASS"))</x:f>
        <x:v>OPEN</x:v>
      </x:c>
    </x:row>
    <x:row r="48" ht="30" customHeight="1">
      <x:c r="B48" s="8" t="str">
        <x:v>DA-Y1-S10</x:v>
      </x:c>
      <x:c r="C48" s="8" t="str">
        <x:v>DA-Y1</x:v>
      </x:c>
      <x:c r="D48" s="8" t="str">
        <x:v>surge cycle block</x:v>
      </x:c>
      <x:c r="E48" s="8" t="n">
        <x:v>5</x:v>
      </x:c>
      <x:c r="F48" s="8" t="n">
        <x:v>1.326</x:v>
      </x:c>
      <x:c r="G48" s="8" t="n">
        <x:v>0</x:v>
      </x:c>
      <x:c r="H48" s="8" t="str"/>
      <x:c r="I48" s="8" t="str"/>
      <x:c r="J48" s="8" t="str"/>
      <x:c r="K48" s="8" t="str"/>
      <x:c r="L48" s="8" t="str">
        <x:f>IF(K48="","OPEN",IF(OR(NOT(ISNUMBER(H48)),H48&lt;E48,NOT(ISNUMBER(I48)),I48&gt;'Controls'!$D$42,NOT(ISNUMBER(J48)),J48&gt;0.1),"FAIL","PASS"))</x:f>
        <x:v>OPEN</x:v>
      </x:c>
    </x:row>
  </x:sheetData>
  <x:conditionalFormatting sqref="L7:L48">
    <x:cfRule type="containsText" dxfId="78" priority="1" operator="containsText" text="FAIL"/>
    <x:cfRule type="containsText" dxfId="79" priority="2" operator="containsText" text="BLOCKED"/>
    <x:cfRule type="containsText" dxfId="80" priority="3" operator="containsText" text="OPEN"/>
    <x:cfRule type="containsText" dxfId="81" priority="4" operator="containsText" text="PASS"/>
    <x:cfRule type="containsText" dxfId="82" priority="5" operator="containsText" text="PLANNED"/>
    <x:cfRule type="containsText" dxfId="83" priority="6" operator="containsText" text="ACTIVE"/>
  </x:conditionalFormatting>
  <x:pageMargins left="0.7" right="0.7" top="0.75" bottom="0.75" header="0.3" footer="0.3"/>
</x:worksheet>
</file>

<file path=xl/worksheets/sheet23.xml><?xml version="1.0" encoding="utf-8"?>
<x:worksheet xmlns:x="http://schemas.openxmlformats.org/spreadsheetml/2006/main">
  <x:sheetViews>
    <x:sheetView showGridLines="0" workbookViewId="0">
      <x:pane xSplit="2" ySplit="6" topLeftCell="C7" activePane="bottomRight" state="frozen"/>
    </x:sheetView>
  </x:sheetViews>
  <x:sheetFormatPr defaultRowHeight="15"/>
  <x:cols>
    <x:col min="2" max="2" width="18" hidden="0" customWidth="1"/>
    <x:col min="3" max="3" width="14" hidden="0" customWidth="1"/>
    <x:col min="4" max="4" width="13" hidden="0" customWidth="1"/>
    <x:col min="5" max="5" width="14" hidden="0" customWidth="1"/>
    <x:col min="6" max="6" width="14" hidden="0" customWidth="1"/>
    <x:col min="7" max="7" width="19" hidden="0" customWidth="1"/>
    <x:col min="8" max="8" width="19" hidden="0" customWidth="1"/>
    <x:col min="9" max="9" width="19" hidden="0" customWidth="1"/>
    <x:col min="10" max="10" width="20" hidden="0" customWidth="1"/>
    <x:col min="11" max="11" width="14" hidden="0" customWidth="1"/>
  </x:cols>
  <x:sheetData>
    <x:row r="2">
      <x:c r="B2" s="44" t="str">
        <x:v>Forty full-line thermal cycles</x:v>
      </x:c>
      <x:c r="C2" s="45"/>
      <x:c r="D2" s="45"/>
      <x:c r="E2" s="45"/>
      <x:c r="F2" s="45"/>
      <x:c r="G2" s="45"/>
      <x:c r="H2" s="45"/>
      <x:c r="I2" s="45"/>
      <x:c r="J2" s="45"/>
      <x:c r="K2" s="45"/>
    </x:row>
    <x:row r="3">
      <x:c r="B3" s="46" t="str">
        <x:v>Midpoint fixation and end travel are observed through both extreme states before and after pressure exposure.</x:v>
      </x:c>
      <x:c r="C3" s="45"/>
      <x:c r="D3" s="45"/>
      <x:c r="E3" s="45"/>
      <x:c r="F3" s="45"/>
      <x:c r="G3" s="45"/>
      <x:c r="H3" s="45"/>
      <x:c r="I3" s="45"/>
      <x:c r="J3" s="45"/>
      <x:c r="K3" s="45"/>
    </x:row>
    <x:row r="4">
      <x:c r="B4" s="45"/>
      <x:c r="C4" s="45"/>
      <x:c r="D4" s="45"/>
      <x:c r="E4" s="45"/>
      <x:c r="F4" s="45"/>
      <x:c r="G4" s="45"/>
      <x:c r="H4" s="45"/>
      <x:c r="I4" s="45"/>
      <x:c r="J4" s="45"/>
      <x:c r="K4" s="45"/>
    </x:row>
    <x:row r="5">
      <x:c r="B5" s="45"/>
      <x:c r="C5" s="45"/>
      <x:c r="D5" s="45"/>
      <x:c r="E5" s="45"/>
      <x:c r="F5" s="45"/>
      <x:c r="G5" s="45"/>
      <x:c r="H5" s="45"/>
      <x:c r="I5" s="45"/>
      <x:c r="J5" s="45"/>
      <x:c r="K5" s="45"/>
    </x:row>
    <x:row r="6" ht="25" customHeight="1">
      <x:c r="B6" s="6" t="str">
        <x:v>Cycle</x:v>
      </x:c>
      <x:c r="C6" s="6" t="str">
        <x:v>Article</x:v>
      </x:c>
      <x:c r="D6" s="6" t="str">
        <x:v>Sequence</x:v>
      </x:c>
      <x:c r="E6" s="6" t="str">
        <x:v>Cold C</x:v>
      </x:c>
      <x:c r="F6" s="6" t="str">
        <x:v>Hot C</x:v>
      </x:c>
      <x:c r="G6" s="6" t="str">
        <x:v>Cold length mm</x:v>
      </x:c>
      <x:c r="H6" s="6" t="str">
        <x:v>Hot length mm</x:v>
      </x:c>
      <x:c r="I6" s="6" t="str">
        <x:v>Residual set mm</x:v>
      </x:c>
      <x:c r="J6" s="6" t="str">
        <x:v>Accepted UTC</x:v>
      </x:c>
      <x:c r="K6" s="6" t="str">
        <x:v>State</x:v>
      </x:c>
    </x:row>
    <x:row r="7" ht="29" customHeight="1">
      <x:c r="B7" s="8" t="str">
        <x:v>DA-X1-T01</x:v>
      </x:c>
      <x:c r="C7" s="8" t="str">
        <x:v>DA-X1</x:v>
      </x:c>
      <x:c r="D7" s="8" t="n">
        <x:v>1</x:v>
      </x:c>
      <x:c r="E7" s="8" t="n">
        <x:v>-20</x:v>
      </x:c>
      <x:c r="F7" s="8" t="n">
        <x:v>50</x:v>
      </x:c>
      <x:c r="G7" s="8" t="str"/>
      <x:c r="H7" s="8" t="str"/>
      <x:c r="I7" s="8" t="str"/>
      <x:c r="J7" s="8" t="str"/>
      <x:c r="K7" s="8" t="str">
        <x:f>IF(J7="","OPEN",IF(OR(NOT(ISNUMBER(G7)),NOT(ISNUMBER(H7)),NOT(ISNUMBER(I7)),ABS(I7)&gt;0.5),"FAIL","PASS"))</x:f>
        <x:v>OPEN</x:v>
      </x:c>
    </x:row>
    <x:row r="8" ht="29" customHeight="1">
      <x:c r="B8" s="8" t="str">
        <x:v>DA-X1-T02</x:v>
      </x:c>
      <x:c r="C8" s="8" t="str">
        <x:v>DA-X1</x:v>
      </x:c>
      <x:c r="D8" s="8" t="n">
        <x:v>2</x:v>
      </x:c>
      <x:c r="E8" s="8" t="n">
        <x:v>-20</x:v>
      </x:c>
      <x:c r="F8" s="8" t="n">
        <x:v>50</x:v>
      </x:c>
      <x:c r="G8" s="8" t="str"/>
      <x:c r="H8" s="8" t="str"/>
      <x:c r="I8" s="8" t="str"/>
      <x:c r="J8" s="8" t="str"/>
      <x:c r="K8" s="8" t="str">
        <x:f>IF(J8="","OPEN",IF(OR(NOT(ISNUMBER(G8)),NOT(ISNUMBER(H8)),NOT(ISNUMBER(I8)),ABS(I8)&gt;0.5),"FAIL","PASS"))</x:f>
        <x:v>OPEN</x:v>
      </x:c>
    </x:row>
    <x:row r="9" ht="29" customHeight="1">
      <x:c r="B9" s="8" t="str">
        <x:v>DA-X1-T03</x:v>
      </x:c>
      <x:c r="C9" s="8" t="str">
        <x:v>DA-X1</x:v>
      </x:c>
      <x:c r="D9" s="8" t="n">
        <x:v>3</x:v>
      </x:c>
      <x:c r="E9" s="8" t="n">
        <x:v>-20</x:v>
      </x:c>
      <x:c r="F9" s="8" t="n">
        <x:v>50</x:v>
      </x:c>
      <x:c r="G9" s="8" t="str"/>
      <x:c r="H9" s="8" t="str"/>
      <x:c r="I9" s="8" t="str"/>
      <x:c r="J9" s="8" t="str"/>
      <x:c r="K9" s="8" t="str">
        <x:f>IF(J9="","OPEN",IF(OR(NOT(ISNUMBER(G9)),NOT(ISNUMBER(H9)),NOT(ISNUMBER(I9)),ABS(I9)&gt;0.5),"FAIL","PASS"))</x:f>
        <x:v>OPEN</x:v>
      </x:c>
    </x:row>
    <x:row r="10" ht="29" customHeight="1">
      <x:c r="B10" s="8" t="str">
        <x:v>DA-X1-T04</x:v>
      </x:c>
      <x:c r="C10" s="8" t="str">
        <x:v>DA-X1</x:v>
      </x:c>
      <x:c r="D10" s="8" t="n">
        <x:v>4</x:v>
      </x:c>
      <x:c r="E10" s="8" t="n">
        <x:v>-20</x:v>
      </x:c>
      <x:c r="F10" s="8" t="n">
        <x:v>50</x:v>
      </x:c>
      <x:c r="G10" s="8" t="str"/>
      <x:c r="H10" s="8" t="str"/>
      <x:c r="I10" s="8" t="str"/>
      <x:c r="J10" s="8" t="str"/>
      <x:c r="K10" s="8" t="str">
        <x:f>IF(J10="","OPEN",IF(OR(NOT(ISNUMBER(G10)),NOT(ISNUMBER(H10)),NOT(ISNUMBER(I10)),ABS(I10)&gt;0.5),"FAIL","PASS"))</x:f>
        <x:v>OPEN</x:v>
      </x:c>
    </x:row>
    <x:row r="11" ht="29" customHeight="1">
      <x:c r="B11" s="8" t="str">
        <x:v>DA-X1-T05</x:v>
      </x:c>
      <x:c r="C11" s="8" t="str">
        <x:v>DA-X1</x:v>
      </x:c>
      <x:c r="D11" s="8" t="n">
        <x:v>5</x:v>
      </x:c>
      <x:c r="E11" s="8" t="n">
        <x:v>-20</x:v>
      </x:c>
      <x:c r="F11" s="8" t="n">
        <x:v>50</x:v>
      </x:c>
      <x:c r="G11" s="8" t="str"/>
      <x:c r="H11" s="8" t="str"/>
      <x:c r="I11" s="8" t="str"/>
      <x:c r="J11" s="8" t="str"/>
      <x:c r="K11" s="8" t="str">
        <x:f>IF(J11="","OPEN",IF(OR(NOT(ISNUMBER(G11)),NOT(ISNUMBER(H11)),NOT(ISNUMBER(I11)),ABS(I11)&gt;0.5),"FAIL","PASS"))</x:f>
        <x:v>OPEN</x:v>
      </x:c>
    </x:row>
    <x:row r="12" ht="29" customHeight="1">
      <x:c r="B12" s="8" t="str">
        <x:v>DA-X1-T06</x:v>
      </x:c>
      <x:c r="C12" s="8" t="str">
        <x:v>DA-X1</x:v>
      </x:c>
      <x:c r="D12" s="8" t="n">
        <x:v>6</x:v>
      </x:c>
      <x:c r="E12" s="8" t="n">
        <x:v>-20</x:v>
      </x:c>
      <x:c r="F12" s="8" t="n">
        <x:v>50</x:v>
      </x:c>
      <x:c r="G12" s="8" t="str"/>
      <x:c r="H12" s="8" t="str"/>
      <x:c r="I12" s="8" t="str"/>
      <x:c r="J12" s="8" t="str"/>
      <x:c r="K12" s="8" t="str">
        <x:f>IF(J12="","OPEN",IF(OR(NOT(ISNUMBER(G12)),NOT(ISNUMBER(H12)),NOT(ISNUMBER(I12)),ABS(I12)&gt;0.5),"FAIL","PASS"))</x:f>
        <x:v>OPEN</x:v>
      </x:c>
    </x:row>
    <x:row r="13" ht="29" customHeight="1">
      <x:c r="B13" s="8" t="str">
        <x:v>DA-X1-T07</x:v>
      </x:c>
      <x:c r="C13" s="8" t="str">
        <x:v>DA-X1</x:v>
      </x:c>
      <x:c r="D13" s="8" t="n">
        <x:v>7</x:v>
      </x:c>
      <x:c r="E13" s="8" t="n">
        <x:v>-20</x:v>
      </x:c>
      <x:c r="F13" s="8" t="n">
        <x:v>50</x:v>
      </x:c>
      <x:c r="G13" s="8" t="str"/>
      <x:c r="H13" s="8" t="str"/>
      <x:c r="I13" s="8" t="str"/>
      <x:c r="J13" s="8" t="str"/>
      <x:c r="K13" s="8" t="str">
        <x:f>IF(J13="","OPEN",IF(OR(NOT(ISNUMBER(G13)),NOT(ISNUMBER(H13)),NOT(ISNUMBER(I13)),ABS(I13)&gt;0.5),"FAIL","PASS"))</x:f>
        <x:v>OPEN</x:v>
      </x:c>
    </x:row>
    <x:row r="14" ht="29" customHeight="1">
      <x:c r="B14" s="8" t="str">
        <x:v>DA-X1-T08</x:v>
      </x:c>
      <x:c r="C14" s="8" t="str">
        <x:v>DA-X1</x:v>
      </x:c>
      <x:c r="D14" s="8" t="n">
        <x:v>8</x:v>
      </x:c>
      <x:c r="E14" s="8" t="n">
        <x:v>-20</x:v>
      </x:c>
      <x:c r="F14" s="8" t="n">
        <x:v>50</x:v>
      </x:c>
      <x:c r="G14" s="8" t="str"/>
      <x:c r="H14" s="8" t="str"/>
      <x:c r="I14" s="8" t="str"/>
      <x:c r="J14" s="8" t="str"/>
      <x:c r="K14" s="8" t="str">
        <x:f>IF(J14="","OPEN",IF(OR(NOT(ISNUMBER(G14)),NOT(ISNUMBER(H14)),NOT(ISNUMBER(I14)),ABS(I14)&gt;0.5),"FAIL","PASS"))</x:f>
        <x:v>OPEN</x:v>
      </x:c>
    </x:row>
    <x:row r="15" ht="29" customHeight="1">
      <x:c r="B15" s="8" t="str">
        <x:v>DA-X1-T09</x:v>
      </x:c>
      <x:c r="C15" s="8" t="str">
        <x:v>DA-X1</x:v>
      </x:c>
      <x:c r="D15" s="8" t="n">
        <x:v>9</x:v>
      </x:c>
      <x:c r="E15" s="8" t="n">
        <x:v>-20</x:v>
      </x:c>
      <x:c r="F15" s="8" t="n">
        <x:v>50</x:v>
      </x:c>
      <x:c r="G15" s="8" t="str"/>
      <x:c r="H15" s="8" t="str"/>
      <x:c r="I15" s="8" t="str"/>
      <x:c r="J15" s="8" t="str"/>
      <x:c r="K15" s="8" t="str">
        <x:f>IF(J15="","OPEN",IF(OR(NOT(ISNUMBER(G15)),NOT(ISNUMBER(H15)),NOT(ISNUMBER(I15)),ABS(I15)&gt;0.5),"FAIL","PASS"))</x:f>
        <x:v>OPEN</x:v>
      </x:c>
    </x:row>
    <x:row r="16" ht="29" customHeight="1">
      <x:c r="B16" s="8" t="str">
        <x:v>DA-X1-T10</x:v>
      </x:c>
      <x:c r="C16" s="8" t="str">
        <x:v>DA-X1</x:v>
      </x:c>
      <x:c r="D16" s="8" t="n">
        <x:v>10</x:v>
      </x:c>
      <x:c r="E16" s="8" t="n">
        <x:v>-20</x:v>
      </x:c>
      <x:c r="F16" s="8" t="n">
        <x:v>50</x:v>
      </x:c>
      <x:c r="G16" s="8" t="str"/>
      <x:c r="H16" s="8" t="str"/>
      <x:c r="I16" s="8" t="str"/>
      <x:c r="J16" s="8" t="str"/>
      <x:c r="K16" s="8" t="str">
        <x:f>IF(J16="","OPEN",IF(OR(NOT(ISNUMBER(G16)),NOT(ISNUMBER(H16)),NOT(ISNUMBER(I16)),ABS(I16)&gt;0.5),"FAIL","PASS"))</x:f>
        <x:v>OPEN</x:v>
      </x:c>
    </x:row>
    <x:row r="17" ht="29" customHeight="1">
      <x:c r="B17" s="8" t="str">
        <x:v>DA-X1-T11</x:v>
      </x:c>
      <x:c r="C17" s="8" t="str">
        <x:v>DA-X1</x:v>
      </x:c>
      <x:c r="D17" s="8" t="n">
        <x:v>11</x:v>
      </x:c>
      <x:c r="E17" s="8" t="n">
        <x:v>-20</x:v>
      </x:c>
      <x:c r="F17" s="8" t="n">
        <x:v>50</x:v>
      </x:c>
      <x:c r="G17" s="8" t="str"/>
      <x:c r="H17" s="8" t="str"/>
      <x:c r="I17" s="8" t="str"/>
      <x:c r="J17" s="8" t="str"/>
      <x:c r="K17" s="8" t="str">
        <x:f>IF(J17="","OPEN",IF(OR(NOT(ISNUMBER(G17)),NOT(ISNUMBER(H17)),NOT(ISNUMBER(I17)),ABS(I17)&gt;0.5),"FAIL","PASS"))</x:f>
        <x:v>OPEN</x:v>
      </x:c>
    </x:row>
    <x:row r="18" ht="29" customHeight="1">
      <x:c r="B18" s="8" t="str">
        <x:v>DA-X1-T12</x:v>
      </x:c>
      <x:c r="C18" s="8" t="str">
        <x:v>DA-X1</x:v>
      </x:c>
      <x:c r="D18" s="8" t="n">
        <x:v>12</x:v>
      </x:c>
      <x:c r="E18" s="8" t="n">
        <x:v>-20</x:v>
      </x:c>
      <x:c r="F18" s="8" t="n">
        <x:v>50</x:v>
      </x:c>
      <x:c r="G18" s="8" t="str"/>
      <x:c r="H18" s="8" t="str"/>
      <x:c r="I18" s="8" t="str"/>
      <x:c r="J18" s="8" t="str"/>
      <x:c r="K18" s="8" t="str">
        <x:f>IF(J18="","OPEN",IF(OR(NOT(ISNUMBER(G18)),NOT(ISNUMBER(H18)),NOT(ISNUMBER(I18)),ABS(I18)&gt;0.5),"FAIL","PASS"))</x:f>
        <x:v>OPEN</x:v>
      </x:c>
    </x:row>
    <x:row r="19" ht="29" customHeight="1">
      <x:c r="B19" s="8" t="str">
        <x:v>DA-X1-T13</x:v>
      </x:c>
      <x:c r="C19" s="8" t="str">
        <x:v>DA-X1</x:v>
      </x:c>
      <x:c r="D19" s="8" t="n">
        <x:v>13</x:v>
      </x:c>
      <x:c r="E19" s="8" t="n">
        <x:v>-20</x:v>
      </x:c>
      <x:c r="F19" s="8" t="n">
        <x:v>50</x:v>
      </x:c>
      <x:c r="G19" s="8" t="str"/>
      <x:c r="H19" s="8" t="str"/>
      <x:c r="I19" s="8" t="str"/>
      <x:c r="J19" s="8" t="str"/>
      <x:c r="K19" s="8" t="str">
        <x:f>IF(J19="","OPEN",IF(OR(NOT(ISNUMBER(G19)),NOT(ISNUMBER(H19)),NOT(ISNUMBER(I19)),ABS(I19)&gt;0.5),"FAIL","PASS"))</x:f>
        <x:v>OPEN</x:v>
      </x:c>
    </x:row>
    <x:row r="20" ht="29" customHeight="1">
      <x:c r="B20" s="8" t="str">
        <x:v>DA-X1-T14</x:v>
      </x:c>
      <x:c r="C20" s="8" t="str">
        <x:v>DA-X1</x:v>
      </x:c>
      <x:c r="D20" s="8" t="n">
        <x:v>14</x:v>
      </x:c>
      <x:c r="E20" s="8" t="n">
        <x:v>-20</x:v>
      </x:c>
      <x:c r="F20" s="8" t="n">
        <x:v>50</x:v>
      </x:c>
      <x:c r="G20" s="8" t="str"/>
      <x:c r="H20" s="8" t="str"/>
      <x:c r="I20" s="8" t="str"/>
      <x:c r="J20" s="8" t="str"/>
      <x:c r="K20" s="8" t="str">
        <x:f>IF(J20="","OPEN",IF(OR(NOT(ISNUMBER(G20)),NOT(ISNUMBER(H20)),NOT(ISNUMBER(I20)),ABS(I20)&gt;0.5),"FAIL","PASS"))</x:f>
        <x:v>OPEN</x:v>
      </x:c>
    </x:row>
    <x:row r="21" ht="29" customHeight="1">
      <x:c r="B21" s="8" t="str">
        <x:v>DA-X1-T15</x:v>
      </x:c>
      <x:c r="C21" s="8" t="str">
        <x:v>DA-X1</x:v>
      </x:c>
      <x:c r="D21" s="8" t="n">
        <x:v>15</x:v>
      </x:c>
      <x:c r="E21" s="8" t="n">
        <x:v>-20</x:v>
      </x:c>
      <x:c r="F21" s="8" t="n">
        <x:v>50</x:v>
      </x:c>
      <x:c r="G21" s="8" t="str"/>
      <x:c r="H21" s="8" t="str"/>
      <x:c r="I21" s="8" t="str"/>
      <x:c r="J21" s="8" t="str"/>
      <x:c r="K21" s="8" t="str">
        <x:f>IF(J21="","OPEN",IF(OR(NOT(ISNUMBER(G21)),NOT(ISNUMBER(H21)),NOT(ISNUMBER(I21)),ABS(I21)&gt;0.5),"FAIL","PASS"))</x:f>
        <x:v>OPEN</x:v>
      </x:c>
    </x:row>
    <x:row r="22" ht="29" customHeight="1">
      <x:c r="B22" s="8" t="str">
        <x:v>DA-X1-T16</x:v>
      </x:c>
      <x:c r="C22" s="8" t="str">
        <x:v>DA-X1</x:v>
      </x:c>
      <x:c r="D22" s="8" t="n">
        <x:v>16</x:v>
      </x:c>
      <x:c r="E22" s="8" t="n">
        <x:v>-20</x:v>
      </x:c>
      <x:c r="F22" s="8" t="n">
        <x:v>50</x:v>
      </x:c>
      <x:c r="G22" s="8" t="str"/>
      <x:c r="H22" s="8" t="str"/>
      <x:c r="I22" s="8" t="str"/>
      <x:c r="J22" s="8" t="str"/>
      <x:c r="K22" s="8" t="str">
        <x:f>IF(J22="","OPEN",IF(OR(NOT(ISNUMBER(G22)),NOT(ISNUMBER(H22)),NOT(ISNUMBER(I22)),ABS(I22)&gt;0.5),"FAIL","PASS"))</x:f>
        <x:v>OPEN</x:v>
      </x:c>
    </x:row>
    <x:row r="23" ht="29" customHeight="1">
      <x:c r="B23" s="8" t="str">
        <x:v>DA-X1-T17</x:v>
      </x:c>
      <x:c r="C23" s="8" t="str">
        <x:v>DA-X1</x:v>
      </x:c>
      <x:c r="D23" s="8" t="n">
        <x:v>17</x:v>
      </x:c>
      <x:c r="E23" s="8" t="n">
        <x:v>-20</x:v>
      </x:c>
      <x:c r="F23" s="8" t="n">
        <x:v>50</x:v>
      </x:c>
      <x:c r="G23" s="8" t="str"/>
      <x:c r="H23" s="8" t="str"/>
      <x:c r="I23" s="8" t="str"/>
      <x:c r="J23" s="8" t="str"/>
      <x:c r="K23" s="8" t="str">
        <x:f>IF(J23="","OPEN",IF(OR(NOT(ISNUMBER(G23)),NOT(ISNUMBER(H23)),NOT(ISNUMBER(I23)),ABS(I23)&gt;0.5),"FAIL","PASS"))</x:f>
        <x:v>OPEN</x:v>
      </x:c>
    </x:row>
    <x:row r="24" ht="29" customHeight="1">
      <x:c r="B24" s="8" t="str">
        <x:v>DA-X1-T18</x:v>
      </x:c>
      <x:c r="C24" s="8" t="str">
        <x:v>DA-X1</x:v>
      </x:c>
      <x:c r="D24" s="8" t="n">
        <x:v>18</x:v>
      </x:c>
      <x:c r="E24" s="8" t="n">
        <x:v>-20</x:v>
      </x:c>
      <x:c r="F24" s="8" t="n">
        <x:v>50</x:v>
      </x:c>
      <x:c r="G24" s="8" t="str"/>
      <x:c r="H24" s="8" t="str"/>
      <x:c r="I24" s="8" t="str"/>
      <x:c r="J24" s="8" t="str"/>
      <x:c r="K24" s="8" t="str">
        <x:f>IF(J24="","OPEN",IF(OR(NOT(ISNUMBER(G24)),NOT(ISNUMBER(H24)),NOT(ISNUMBER(I24)),ABS(I24)&gt;0.5),"FAIL","PASS"))</x:f>
        <x:v>OPEN</x:v>
      </x:c>
    </x:row>
    <x:row r="25" ht="29" customHeight="1">
      <x:c r="B25" s="8" t="str">
        <x:v>DA-X1-T19</x:v>
      </x:c>
      <x:c r="C25" s="8" t="str">
        <x:v>DA-X1</x:v>
      </x:c>
      <x:c r="D25" s="8" t="n">
        <x:v>19</x:v>
      </x:c>
      <x:c r="E25" s="8" t="n">
        <x:v>-20</x:v>
      </x:c>
      <x:c r="F25" s="8" t="n">
        <x:v>50</x:v>
      </x:c>
      <x:c r="G25" s="8" t="str"/>
      <x:c r="H25" s="8" t="str"/>
      <x:c r="I25" s="8" t="str"/>
      <x:c r="J25" s="8" t="str"/>
      <x:c r="K25" s="8" t="str">
        <x:f>IF(J25="","OPEN",IF(OR(NOT(ISNUMBER(G25)),NOT(ISNUMBER(H25)),NOT(ISNUMBER(I25)),ABS(I25)&gt;0.5),"FAIL","PASS"))</x:f>
        <x:v>OPEN</x:v>
      </x:c>
    </x:row>
    <x:row r="26" ht="29" customHeight="1">
      <x:c r="B26" s="8" t="str">
        <x:v>DA-X1-T20</x:v>
      </x:c>
      <x:c r="C26" s="8" t="str">
        <x:v>DA-X1</x:v>
      </x:c>
      <x:c r="D26" s="8" t="n">
        <x:v>20</x:v>
      </x:c>
      <x:c r="E26" s="8" t="n">
        <x:v>-20</x:v>
      </x:c>
      <x:c r="F26" s="8" t="n">
        <x:v>50</x:v>
      </x:c>
      <x:c r="G26" s="8" t="str"/>
      <x:c r="H26" s="8" t="str"/>
      <x:c r="I26" s="8" t="str"/>
      <x:c r="J26" s="8" t="str"/>
      <x:c r="K26" s="8" t="str">
        <x:f>IF(J26="","OPEN",IF(OR(NOT(ISNUMBER(G26)),NOT(ISNUMBER(H26)),NOT(ISNUMBER(I26)),ABS(I26)&gt;0.5),"FAIL","PASS"))</x:f>
        <x:v>OPEN</x:v>
      </x:c>
    </x:row>
    <x:row r="27" ht="29" customHeight="1">
      <x:c r="B27" s="8" t="str">
        <x:v>DA-Y1-T01</x:v>
      </x:c>
      <x:c r="C27" s="8" t="str">
        <x:v>DA-Y1</x:v>
      </x:c>
      <x:c r="D27" s="8" t="n">
        <x:v>1</x:v>
      </x:c>
      <x:c r="E27" s="8" t="n">
        <x:v>-20</x:v>
      </x:c>
      <x:c r="F27" s="8" t="n">
        <x:v>50</x:v>
      </x:c>
      <x:c r="G27" s="8" t="str"/>
      <x:c r="H27" s="8" t="str"/>
      <x:c r="I27" s="8" t="str"/>
      <x:c r="J27" s="8" t="str"/>
      <x:c r="K27" s="8" t="str">
        <x:f>IF(J27="","OPEN",IF(OR(NOT(ISNUMBER(G27)),NOT(ISNUMBER(H27)),NOT(ISNUMBER(I27)),ABS(I27)&gt;0.5),"FAIL","PASS"))</x:f>
        <x:v>OPEN</x:v>
      </x:c>
    </x:row>
    <x:row r="28" ht="29" customHeight="1">
      <x:c r="B28" s="8" t="str">
        <x:v>DA-Y1-T02</x:v>
      </x:c>
      <x:c r="C28" s="8" t="str">
        <x:v>DA-Y1</x:v>
      </x:c>
      <x:c r="D28" s="8" t="n">
        <x:v>2</x:v>
      </x:c>
      <x:c r="E28" s="8" t="n">
        <x:v>-20</x:v>
      </x:c>
      <x:c r="F28" s="8" t="n">
        <x:v>50</x:v>
      </x:c>
      <x:c r="G28" s="8" t="str"/>
      <x:c r="H28" s="8" t="str"/>
      <x:c r="I28" s="8" t="str"/>
      <x:c r="J28" s="8" t="str"/>
      <x:c r="K28" s="8" t="str">
        <x:f>IF(J28="","OPEN",IF(OR(NOT(ISNUMBER(G28)),NOT(ISNUMBER(H28)),NOT(ISNUMBER(I28)),ABS(I28)&gt;0.5),"FAIL","PASS"))</x:f>
        <x:v>OPEN</x:v>
      </x:c>
    </x:row>
    <x:row r="29" ht="29" customHeight="1">
      <x:c r="B29" s="8" t="str">
        <x:v>DA-Y1-T03</x:v>
      </x:c>
      <x:c r="C29" s="8" t="str">
        <x:v>DA-Y1</x:v>
      </x:c>
      <x:c r="D29" s="8" t="n">
        <x:v>3</x:v>
      </x:c>
      <x:c r="E29" s="8" t="n">
        <x:v>-20</x:v>
      </x:c>
      <x:c r="F29" s="8" t="n">
        <x:v>50</x:v>
      </x:c>
      <x:c r="G29" s="8" t="str"/>
      <x:c r="H29" s="8" t="str"/>
      <x:c r="I29" s="8" t="str"/>
      <x:c r="J29" s="8" t="str"/>
      <x:c r="K29" s="8" t="str">
        <x:f>IF(J29="","OPEN",IF(OR(NOT(ISNUMBER(G29)),NOT(ISNUMBER(H29)),NOT(ISNUMBER(I29)),ABS(I29)&gt;0.5),"FAIL","PASS"))</x:f>
        <x:v>OPEN</x:v>
      </x:c>
    </x:row>
    <x:row r="30" ht="29" customHeight="1">
      <x:c r="B30" s="8" t="str">
        <x:v>DA-Y1-T04</x:v>
      </x:c>
      <x:c r="C30" s="8" t="str">
        <x:v>DA-Y1</x:v>
      </x:c>
      <x:c r="D30" s="8" t="n">
        <x:v>4</x:v>
      </x:c>
      <x:c r="E30" s="8" t="n">
        <x:v>-20</x:v>
      </x:c>
      <x:c r="F30" s="8" t="n">
        <x:v>50</x:v>
      </x:c>
      <x:c r="G30" s="8" t="str"/>
      <x:c r="H30" s="8" t="str"/>
      <x:c r="I30" s="8" t="str"/>
      <x:c r="J30" s="8" t="str"/>
      <x:c r="K30" s="8" t="str">
        <x:f>IF(J30="","OPEN",IF(OR(NOT(ISNUMBER(G30)),NOT(ISNUMBER(H30)),NOT(ISNUMBER(I30)),ABS(I30)&gt;0.5),"FAIL","PASS"))</x:f>
        <x:v>OPEN</x:v>
      </x:c>
    </x:row>
    <x:row r="31" ht="29" customHeight="1">
      <x:c r="B31" s="8" t="str">
        <x:v>DA-Y1-T05</x:v>
      </x:c>
      <x:c r="C31" s="8" t="str">
        <x:v>DA-Y1</x:v>
      </x:c>
      <x:c r="D31" s="8" t="n">
        <x:v>5</x:v>
      </x:c>
      <x:c r="E31" s="8" t="n">
        <x:v>-20</x:v>
      </x:c>
      <x:c r="F31" s="8" t="n">
        <x:v>50</x:v>
      </x:c>
      <x:c r="G31" s="8" t="str"/>
      <x:c r="H31" s="8" t="str"/>
      <x:c r="I31" s="8" t="str"/>
      <x:c r="J31" s="8" t="str"/>
      <x:c r="K31" s="8" t="str">
        <x:f>IF(J31="","OPEN",IF(OR(NOT(ISNUMBER(G31)),NOT(ISNUMBER(H31)),NOT(ISNUMBER(I31)),ABS(I31)&gt;0.5),"FAIL","PASS"))</x:f>
        <x:v>OPEN</x:v>
      </x:c>
    </x:row>
    <x:row r="32" ht="29" customHeight="1">
      <x:c r="B32" s="8" t="str">
        <x:v>DA-Y1-T06</x:v>
      </x:c>
      <x:c r="C32" s="8" t="str">
        <x:v>DA-Y1</x:v>
      </x:c>
      <x:c r="D32" s="8" t="n">
        <x:v>6</x:v>
      </x:c>
      <x:c r="E32" s="8" t="n">
        <x:v>-20</x:v>
      </x:c>
      <x:c r="F32" s="8" t="n">
        <x:v>50</x:v>
      </x:c>
      <x:c r="G32" s="8" t="str"/>
      <x:c r="H32" s="8" t="str"/>
      <x:c r="I32" s="8" t="str"/>
      <x:c r="J32" s="8" t="str"/>
      <x:c r="K32" s="8" t="str">
        <x:f>IF(J32="","OPEN",IF(OR(NOT(ISNUMBER(G32)),NOT(ISNUMBER(H32)),NOT(ISNUMBER(I32)),ABS(I32)&gt;0.5),"FAIL","PASS"))</x:f>
        <x:v>OPEN</x:v>
      </x:c>
    </x:row>
    <x:row r="33" ht="29" customHeight="1">
      <x:c r="B33" s="8" t="str">
        <x:v>DA-Y1-T07</x:v>
      </x:c>
      <x:c r="C33" s="8" t="str">
        <x:v>DA-Y1</x:v>
      </x:c>
      <x:c r="D33" s="8" t="n">
        <x:v>7</x:v>
      </x:c>
      <x:c r="E33" s="8" t="n">
        <x:v>-20</x:v>
      </x:c>
      <x:c r="F33" s="8" t="n">
        <x:v>50</x:v>
      </x:c>
      <x:c r="G33" s="8" t="str"/>
      <x:c r="H33" s="8" t="str"/>
      <x:c r="I33" s="8" t="str"/>
      <x:c r="J33" s="8" t="str"/>
      <x:c r="K33" s="8" t="str">
        <x:f>IF(J33="","OPEN",IF(OR(NOT(ISNUMBER(G33)),NOT(ISNUMBER(H33)),NOT(ISNUMBER(I33)),ABS(I33)&gt;0.5),"FAIL","PASS"))</x:f>
        <x:v>OPEN</x:v>
      </x:c>
    </x:row>
    <x:row r="34" ht="29" customHeight="1">
      <x:c r="B34" s="8" t="str">
        <x:v>DA-Y1-T08</x:v>
      </x:c>
      <x:c r="C34" s="8" t="str">
        <x:v>DA-Y1</x:v>
      </x:c>
      <x:c r="D34" s="8" t="n">
        <x:v>8</x:v>
      </x:c>
      <x:c r="E34" s="8" t="n">
        <x:v>-20</x:v>
      </x:c>
      <x:c r="F34" s="8" t="n">
        <x:v>50</x:v>
      </x:c>
      <x:c r="G34" s="8" t="str"/>
      <x:c r="H34" s="8" t="str"/>
      <x:c r="I34" s="8" t="str"/>
      <x:c r="J34" s="8" t="str"/>
      <x:c r="K34" s="8" t="str">
        <x:f>IF(J34="","OPEN",IF(OR(NOT(ISNUMBER(G34)),NOT(ISNUMBER(H34)),NOT(ISNUMBER(I34)),ABS(I34)&gt;0.5),"FAIL","PASS"))</x:f>
        <x:v>OPEN</x:v>
      </x:c>
    </x:row>
    <x:row r="35" ht="29" customHeight="1">
      <x:c r="B35" s="8" t="str">
        <x:v>DA-Y1-T09</x:v>
      </x:c>
      <x:c r="C35" s="8" t="str">
        <x:v>DA-Y1</x:v>
      </x:c>
      <x:c r="D35" s="8" t="n">
        <x:v>9</x:v>
      </x:c>
      <x:c r="E35" s="8" t="n">
        <x:v>-20</x:v>
      </x:c>
      <x:c r="F35" s="8" t="n">
        <x:v>50</x:v>
      </x:c>
      <x:c r="G35" s="8" t="str"/>
      <x:c r="H35" s="8" t="str"/>
      <x:c r="I35" s="8" t="str"/>
      <x:c r="J35" s="8" t="str"/>
      <x:c r="K35" s="8" t="str">
        <x:f>IF(J35="","OPEN",IF(OR(NOT(ISNUMBER(G35)),NOT(ISNUMBER(H35)),NOT(ISNUMBER(I35)),ABS(I35)&gt;0.5),"FAIL","PASS"))</x:f>
        <x:v>OPEN</x:v>
      </x:c>
    </x:row>
    <x:row r="36" ht="29" customHeight="1">
      <x:c r="B36" s="8" t="str">
        <x:v>DA-Y1-T10</x:v>
      </x:c>
      <x:c r="C36" s="8" t="str">
        <x:v>DA-Y1</x:v>
      </x:c>
      <x:c r="D36" s="8" t="n">
        <x:v>10</x:v>
      </x:c>
      <x:c r="E36" s="8" t="n">
        <x:v>-20</x:v>
      </x:c>
      <x:c r="F36" s="8" t="n">
        <x:v>50</x:v>
      </x:c>
      <x:c r="G36" s="8" t="str"/>
      <x:c r="H36" s="8" t="str"/>
      <x:c r="I36" s="8" t="str"/>
      <x:c r="J36" s="8" t="str"/>
      <x:c r="K36" s="8" t="str">
        <x:f>IF(J36="","OPEN",IF(OR(NOT(ISNUMBER(G36)),NOT(ISNUMBER(H36)),NOT(ISNUMBER(I36)),ABS(I36)&gt;0.5),"FAIL","PASS"))</x:f>
        <x:v>OPEN</x:v>
      </x:c>
    </x:row>
    <x:row r="37" ht="29" customHeight="1">
      <x:c r="B37" s="8" t="str">
        <x:v>DA-Y1-T11</x:v>
      </x:c>
      <x:c r="C37" s="8" t="str">
        <x:v>DA-Y1</x:v>
      </x:c>
      <x:c r="D37" s="8" t="n">
        <x:v>11</x:v>
      </x:c>
      <x:c r="E37" s="8" t="n">
        <x:v>-20</x:v>
      </x:c>
      <x:c r="F37" s="8" t="n">
        <x:v>50</x:v>
      </x:c>
      <x:c r="G37" s="8" t="str"/>
      <x:c r="H37" s="8" t="str"/>
      <x:c r="I37" s="8" t="str"/>
      <x:c r="J37" s="8" t="str"/>
      <x:c r="K37" s="8" t="str">
        <x:f>IF(J37="","OPEN",IF(OR(NOT(ISNUMBER(G37)),NOT(ISNUMBER(H37)),NOT(ISNUMBER(I37)),ABS(I37)&gt;0.5),"FAIL","PASS"))</x:f>
        <x:v>OPEN</x:v>
      </x:c>
    </x:row>
    <x:row r="38" ht="29" customHeight="1">
      <x:c r="B38" s="8" t="str">
        <x:v>DA-Y1-T12</x:v>
      </x:c>
      <x:c r="C38" s="8" t="str">
        <x:v>DA-Y1</x:v>
      </x:c>
      <x:c r="D38" s="8" t="n">
        <x:v>12</x:v>
      </x:c>
      <x:c r="E38" s="8" t="n">
        <x:v>-20</x:v>
      </x:c>
      <x:c r="F38" s="8" t="n">
        <x:v>50</x:v>
      </x:c>
      <x:c r="G38" s="8" t="str"/>
      <x:c r="H38" s="8" t="str"/>
      <x:c r="I38" s="8" t="str"/>
      <x:c r="J38" s="8" t="str"/>
      <x:c r="K38" s="8" t="str">
        <x:f>IF(J38="","OPEN",IF(OR(NOT(ISNUMBER(G38)),NOT(ISNUMBER(H38)),NOT(ISNUMBER(I38)),ABS(I38)&gt;0.5),"FAIL","PASS"))</x:f>
        <x:v>OPEN</x:v>
      </x:c>
    </x:row>
    <x:row r="39" ht="29" customHeight="1">
      <x:c r="B39" s="8" t="str">
        <x:v>DA-Y1-T13</x:v>
      </x:c>
      <x:c r="C39" s="8" t="str">
        <x:v>DA-Y1</x:v>
      </x:c>
      <x:c r="D39" s="8" t="n">
        <x:v>13</x:v>
      </x:c>
      <x:c r="E39" s="8" t="n">
        <x:v>-20</x:v>
      </x:c>
      <x:c r="F39" s="8" t="n">
        <x:v>50</x:v>
      </x:c>
      <x:c r="G39" s="8" t="str"/>
      <x:c r="H39" s="8" t="str"/>
      <x:c r="I39" s="8" t="str"/>
      <x:c r="J39" s="8" t="str"/>
      <x:c r="K39" s="8" t="str">
        <x:f>IF(J39="","OPEN",IF(OR(NOT(ISNUMBER(G39)),NOT(ISNUMBER(H39)),NOT(ISNUMBER(I39)),ABS(I39)&gt;0.5),"FAIL","PASS"))</x:f>
        <x:v>OPEN</x:v>
      </x:c>
    </x:row>
    <x:row r="40" ht="29" customHeight="1">
      <x:c r="B40" s="8" t="str">
        <x:v>DA-Y1-T14</x:v>
      </x:c>
      <x:c r="C40" s="8" t="str">
        <x:v>DA-Y1</x:v>
      </x:c>
      <x:c r="D40" s="8" t="n">
        <x:v>14</x:v>
      </x:c>
      <x:c r="E40" s="8" t="n">
        <x:v>-20</x:v>
      </x:c>
      <x:c r="F40" s="8" t="n">
        <x:v>50</x:v>
      </x:c>
      <x:c r="G40" s="8" t="str"/>
      <x:c r="H40" s="8" t="str"/>
      <x:c r="I40" s="8" t="str"/>
      <x:c r="J40" s="8" t="str"/>
      <x:c r="K40" s="8" t="str">
        <x:f>IF(J40="","OPEN",IF(OR(NOT(ISNUMBER(G40)),NOT(ISNUMBER(H40)),NOT(ISNUMBER(I40)),ABS(I40)&gt;0.5),"FAIL","PASS"))</x:f>
        <x:v>OPEN</x:v>
      </x:c>
    </x:row>
    <x:row r="41" ht="29" customHeight="1">
      <x:c r="B41" s="8" t="str">
        <x:v>DA-Y1-T15</x:v>
      </x:c>
      <x:c r="C41" s="8" t="str">
        <x:v>DA-Y1</x:v>
      </x:c>
      <x:c r="D41" s="8" t="n">
        <x:v>15</x:v>
      </x:c>
      <x:c r="E41" s="8" t="n">
        <x:v>-20</x:v>
      </x:c>
      <x:c r="F41" s="8" t="n">
        <x:v>50</x:v>
      </x:c>
      <x:c r="G41" s="8" t="str"/>
      <x:c r="H41" s="8" t="str"/>
      <x:c r="I41" s="8" t="str"/>
      <x:c r="J41" s="8" t="str"/>
      <x:c r="K41" s="8" t="str">
        <x:f>IF(J41="","OPEN",IF(OR(NOT(ISNUMBER(G41)),NOT(ISNUMBER(H41)),NOT(ISNUMBER(I41)),ABS(I41)&gt;0.5),"FAIL","PASS"))</x:f>
        <x:v>OPEN</x:v>
      </x:c>
    </x:row>
    <x:row r="42" ht="29" customHeight="1">
      <x:c r="B42" s="8" t="str">
        <x:v>DA-Y1-T16</x:v>
      </x:c>
      <x:c r="C42" s="8" t="str">
        <x:v>DA-Y1</x:v>
      </x:c>
      <x:c r="D42" s="8" t="n">
        <x:v>16</x:v>
      </x:c>
      <x:c r="E42" s="8" t="n">
        <x:v>-20</x:v>
      </x:c>
      <x:c r="F42" s="8" t="n">
        <x:v>50</x:v>
      </x:c>
      <x:c r="G42" s="8" t="str"/>
      <x:c r="H42" s="8" t="str"/>
      <x:c r="I42" s="8" t="str"/>
      <x:c r="J42" s="8" t="str"/>
      <x:c r="K42" s="8" t="str">
        <x:f>IF(J42="","OPEN",IF(OR(NOT(ISNUMBER(G42)),NOT(ISNUMBER(H42)),NOT(ISNUMBER(I42)),ABS(I42)&gt;0.5),"FAIL","PASS"))</x:f>
        <x:v>OPEN</x:v>
      </x:c>
    </x:row>
    <x:row r="43" ht="29" customHeight="1">
      <x:c r="B43" s="8" t="str">
        <x:v>DA-Y1-T17</x:v>
      </x:c>
      <x:c r="C43" s="8" t="str">
        <x:v>DA-Y1</x:v>
      </x:c>
      <x:c r="D43" s="8" t="n">
        <x:v>17</x:v>
      </x:c>
      <x:c r="E43" s="8" t="n">
        <x:v>-20</x:v>
      </x:c>
      <x:c r="F43" s="8" t="n">
        <x:v>50</x:v>
      </x:c>
      <x:c r="G43" s="8" t="str"/>
      <x:c r="H43" s="8" t="str"/>
      <x:c r="I43" s="8" t="str"/>
      <x:c r="J43" s="8" t="str"/>
      <x:c r="K43" s="8" t="str">
        <x:f>IF(J43="","OPEN",IF(OR(NOT(ISNUMBER(G43)),NOT(ISNUMBER(H43)),NOT(ISNUMBER(I43)),ABS(I43)&gt;0.5),"FAIL","PASS"))</x:f>
        <x:v>OPEN</x:v>
      </x:c>
    </x:row>
    <x:row r="44" ht="29" customHeight="1">
      <x:c r="B44" s="8" t="str">
        <x:v>DA-Y1-T18</x:v>
      </x:c>
      <x:c r="C44" s="8" t="str">
        <x:v>DA-Y1</x:v>
      </x:c>
      <x:c r="D44" s="8" t="n">
        <x:v>18</x:v>
      </x:c>
      <x:c r="E44" s="8" t="n">
        <x:v>-20</x:v>
      </x:c>
      <x:c r="F44" s="8" t="n">
        <x:v>50</x:v>
      </x:c>
      <x:c r="G44" s="8" t="str"/>
      <x:c r="H44" s="8" t="str"/>
      <x:c r="I44" s="8" t="str"/>
      <x:c r="J44" s="8" t="str"/>
      <x:c r="K44" s="8" t="str">
        <x:f>IF(J44="","OPEN",IF(OR(NOT(ISNUMBER(G44)),NOT(ISNUMBER(H44)),NOT(ISNUMBER(I44)),ABS(I44)&gt;0.5),"FAIL","PASS"))</x:f>
        <x:v>OPEN</x:v>
      </x:c>
    </x:row>
    <x:row r="45" ht="29" customHeight="1">
      <x:c r="B45" s="8" t="str">
        <x:v>DA-Y1-T19</x:v>
      </x:c>
      <x:c r="C45" s="8" t="str">
        <x:v>DA-Y1</x:v>
      </x:c>
      <x:c r="D45" s="8" t="n">
        <x:v>19</x:v>
      </x:c>
      <x:c r="E45" s="8" t="n">
        <x:v>-20</x:v>
      </x:c>
      <x:c r="F45" s="8" t="n">
        <x:v>50</x:v>
      </x:c>
      <x:c r="G45" s="8" t="str"/>
      <x:c r="H45" s="8" t="str"/>
      <x:c r="I45" s="8" t="str"/>
      <x:c r="J45" s="8" t="str"/>
      <x:c r="K45" s="8" t="str">
        <x:f>IF(J45="","OPEN",IF(OR(NOT(ISNUMBER(G45)),NOT(ISNUMBER(H45)),NOT(ISNUMBER(I45)),ABS(I45)&gt;0.5),"FAIL","PASS"))</x:f>
        <x:v>OPEN</x:v>
      </x:c>
    </x:row>
    <x:row r="46" ht="29" customHeight="1">
      <x:c r="B46" s="8" t="str">
        <x:v>DA-Y1-T20</x:v>
      </x:c>
      <x:c r="C46" s="8" t="str">
        <x:v>DA-Y1</x:v>
      </x:c>
      <x:c r="D46" s="8" t="n">
        <x:v>20</x:v>
      </x:c>
      <x:c r="E46" s="8" t="n">
        <x:v>-20</x:v>
      </x:c>
      <x:c r="F46" s="8" t="n">
        <x:v>50</x:v>
      </x:c>
      <x:c r="G46" s="8" t="str"/>
      <x:c r="H46" s="8" t="str"/>
      <x:c r="I46" s="8" t="str"/>
      <x:c r="J46" s="8" t="str"/>
      <x:c r="K46" s="8" t="str">
        <x:f>IF(J46="","OPEN",IF(OR(NOT(ISNUMBER(G46)),NOT(ISNUMBER(H46)),NOT(ISNUMBER(I46)),ABS(I46)&gt;0.5),"FAIL","PASS"))</x:f>
        <x:v>OPEN</x:v>
      </x:c>
    </x:row>
  </x:sheetData>
  <x:conditionalFormatting sqref="K7:K46">
    <x:cfRule type="containsText" dxfId="84" priority="1" operator="containsText" text="FAIL"/>
    <x:cfRule type="containsText" dxfId="85" priority="2" operator="containsText" text="BLOCKED"/>
    <x:cfRule type="containsText" dxfId="86" priority="3" operator="containsText" text="OPEN"/>
    <x:cfRule type="containsText" dxfId="87" priority="4" operator="containsText" text="PASS"/>
    <x:cfRule type="containsText" dxfId="88" priority="5" operator="containsText" text="PLANNED"/>
    <x:cfRule type="containsText" dxfId="89" priority="6" operator="containsText" text="ACTIVE"/>
  </x:conditionalFormatting>
  <x:pageMargins left="0.7" right="0.7" top="0.75" bottom="0.75" header="0.3" footer="0.3"/>
</x:worksheet>
</file>

<file path=xl/worksheets/sheet24.xml><?xml version="1.0" encoding="utf-8"?>
<x:worksheet xmlns:x="http://schemas.openxmlformats.org/spreadsheetml/2006/main">
  <x:sheetViews>
    <x:sheetView showGridLines="0" workbookViewId="0">
      <x:pane xSplit="2" ySplit="6" topLeftCell="C7" activePane="bottomRight" state="frozen"/>
    </x:sheetView>
  </x:sheetViews>
  <x:sheetFormatPr defaultRowHeight="15"/>
  <x:cols>
    <x:col min="2" max="2" width="18" hidden="0" customWidth="1"/>
    <x:col min="3" max="3" width="14" hidden="0" customWidth="1"/>
    <x:col min="4" max="4" width="13" hidden="0" customWidth="1"/>
    <x:col min="5" max="5" width="13" hidden="0" customWidth="1"/>
    <x:col min="6" max="6" width="28" hidden="0" customWidth="1"/>
    <x:col min="7" max="7" width="16" hidden="0" customWidth="1"/>
    <x:col min="8" max="8" width="25" hidden="0" customWidth="1"/>
    <x:col min="9" max="9" width="20" hidden="0" customWidth="1"/>
    <x:col min="10" max="10" width="20" hidden="0" customWidth="1"/>
    <x:col min="11" max="11" width="14" hidden="0" customWidth="1"/>
  </x:cols>
  <x:sheetData>
    <x:row r="2">
      <x:c r="B2" s="44" t="str">
        <x:v>Twenty lineage-specific cycle blocks</x:v>
      </x:c>
      <x:c r="C2" s="45"/>
      <x:c r="D2" s="45"/>
      <x:c r="E2" s="45"/>
      <x:c r="F2" s="45"/>
      <x:c r="G2" s="45"/>
      <x:c r="H2" s="45"/>
      <x:c r="I2" s="45"/>
      <x:c r="J2" s="45"/>
      <x:c r="K2" s="45"/>
    </x:row>
    <x:row r="3">
      <x:c r="B3" s="46" t="str">
        <x:v>BL-Y receives fifty full assembly cycles. BL-X rows are inspection checkpoints within the existing thousand-cycle pressure exposure, not additional cycles.</x:v>
      </x:c>
      <x:c r="C3" s="45"/>
      <x:c r="D3" s="45"/>
      <x:c r="E3" s="45"/>
      <x:c r="F3" s="45"/>
      <x:c r="G3" s="45"/>
      <x:c r="H3" s="45"/>
      <x:c r="I3" s="45"/>
      <x:c r="J3" s="45"/>
      <x:c r="K3" s="45"/>
    </x:row>
    <x:row r="4">
      <x:c r="B4" s="45"/>
      <x:c r="C4" s="45"/>
      <x:c r="D4" s="45"/>
      <x:c r="E4" s="45"/>
      <x:c r="F4" s="45"/>
      <x:c r="G4" s="45"/>
      <x:c r="H4" s="45"/>
      <x:c r="I4" s="45"/>
      <x:c r="J4" s="45"/>
      <x:c r="K4" s="45"/>
    </x:row>
    <x:row r="5">
      <x:c r="B5" s="45"/>
      <x:c r="C5" s="45"/>
      <x:c r="D5" s="45"/>
      <x:c r="E5" s="45"/>
      <x:c r="F5" s="45"/>
      <x:c r="G5" s="45"/>
      <x:c r="H5" s="45"/>
      <x:c r="I5" s="45"/>
      <x:c r="J5" s="45"/>
      <x:c r="K5" s="45"/>
    </x:row>
    <x:row r="6" ht="25" customHeight="1">
      <x:c r="B6" s="6" t="str">
        <x:v>Block</x:v>
      </x:c>
      <x:c r="C6" s="6" t="str">
        <x:v>Article</x:v>
      </x:c>
      <x:c r="D6" s="6" t="str">
        <x:v>Lineage</x:v>
      </x:c>
      <x:c r="E6" s="6" t="str">
        <x:v>Cycles</x:v>
      </x:c>
      <x:c r="F6" s="6" t="str">
        <x:v>Exposure</x:v>
      </x:c>
      <x:c r="G6" s="6" t="str">
        <x:v>Completed</x:v>
      </x:c>
      <x:c r="H6" s="6" t="str">
        <x:v>Preload or root result</x:v>
      </x:c>
      <x:c r="I6" s="6" t="str">
        <x:v>NDE result</x:v>
      </x:c>
      <x:c r="J6" s="6" t="str">
        <x:v>Accepted UTC</x:v>
      </x:c>
      <x:c r="K6" s="6" t="str">
        <x:v>State</x:v>
      </x:c>
    </x:row>
    <x:row r="7" ht="32" customHeight="1">
      <x:c r="B7" s="8" t="str">
        <x:v>DA-X1-CY01</x:v>
      </x:c>
      <x:c r="C7" s="8" t="str">
        <x:v>DA-X1</x:v>
      </x:c>
      <x:c r="D7" s="8" t="str">
        <x:v>BL-X</x:v>
      </x:c>
      <x:c r="E7" s="8" t="n">
        <x:v>100</x:v>
      </x:c>
      <x:c r="F7" s="8" t="str">
        <x:v>welded-line pressure</x:v>
      </x:c>
      <x:c r="G7" s="8" t="str"/>
      <x:c r="H7" s="8" t="str"/>
      <x:c r="I7" s="8" t="str"/>
      <x:c r="J7" s="8" t="str"/>
      <x:c r="K7" s="8" t="str">
        <x:f>IF(J7="","OPEN",IF(OR(NOT(ISNUMBER(G7)),G7&lt;E7,H7="",I7=""),"FAIL","PASS"))</x:f>
        <x:v>OPEN</x:v>
      </x:c>
    </x:row>
    <x:row r="8" ht="32" customHeight="1">
      <x:c r="B8" s="8" t="str">
        <x:v>DA-X1-CY02</x:v>
      </x:c>
      <x:c r="C8" s="8" t="str">
        <x:v>DA-X1</x:v>
      </x:c>
      <x:c r="D8" s="8" t="str">
        <x:v>BL-X</x:v>
      </x:c>
      <x:c r="E8" s="8" t="n">
        <x:v>100</x:v>
      </x:c>
      <x:c r="F8" s="8" t="str">
        <x:v>welded-line pressure</x:v>
      </x:c>
      <x:c r="G8" s="8" t="str"/>
      <x:c r="H8" s="8" t="str"/>
      <x:c r="I8" s="8" t="str"/>
      <x:c r="J8" s="8" t="str"/>
      <x:c r="K8" s="8" t="str">
        <x:f>IF(J8="","OPEN",IF(OR(NOT(ISNUMBER(G8)),G8&lt;E8,H8="",I8=""),"FAIL","PASS"))</x:f>
        <x:v>OPEN</x:v>
      </x:c>
    </x:row>
    <x:row r="9" ht="32" customHeight="1">
      <x:c r="B9" s="8" t="str">
        <x:v>DA-X1-CY03</x:v>
      </x:c>
      <x:c r="C9" s="8" t="str">
        <x:v>DA-X1</x:v>
      </x:c>
      <x:c r="D9" s="8" t="str">
        <x:v>BL-X</x:v>
      </x:c>
      <x:c r="E9" s="8" t="n">
        <x:v>100</x:v>
      </x:c>
      <x:c r="F9" s="8" t="str">
        <x:v>welded-line pressure</x:v>
      </x:c>
      <x:c r="G9" s="8" t="str"/>
      <x:c r="H9" s="8" t="str"/>
      <x:c r="I9" s="8" t="str"/>
      <x:c r="J9" s="8" t="str"/>
      <x:c r="K9" s="8" t="str">
        <x:f>IF(J9="","OPEN",IF(OR(NOT(ISNUMBER(G9)),G9&lt;E9,H9="",I9=""),"FAIL","PASS"))</x:f>
        <x:v>OPEN</x:v>
      </x:c>
    </x:row>
    <x:row r="10" ht="32" customHeight="1">
      <x:c r="B10" s="8" t="str">
        <x:v>DA-X1-CY04</x:v>
      </x:c>
      <x:c r="C10" s="8" t="str">
        <x:v>DA-X1</x:v>
      </x:c>
      <x:c r="D10" s="8" t="str">
        <x:v>BL-X</x:v>
      </x:c>
      <x:c r="E10" s="8" t="n">
        <x:v>100</x:v>
      </x:c>
      <x:c r="F10" s="8" t="str">
        <x:v>welded-line pressure</x:v>
      </x:c>
      <x:c r="G10" s="8" t="str"/>
      <x:c r="H10" s="8" t="str"/>
      <x:c r="I10" s="8" t="str"/>
      <x:c r="J10" s="8" t="str"/>
      <x:c r="K10" s="8" t="str">
        <x:f>IF(J10="","OPEN",IF(OR(NOT(ISNUMBER(G10)),G10&lt;E10,H10="",I10=""),"FAIL","PASS"))</x:f>
        <x:v>OPEN</x:v>
      </x:c>
    </x:row>
    <x:row r="11" ht="32" customHeight="1">
      <x:c r="B11" s="8" t="str">
        <x:v>DA-X1-CY05</x:v>
      </x:c>
      <x:c r="C11" s="8" t="str">
        <x:v>DA-X1</x:v>
      </x:c>
      <x:c r="D11" s="8" t="str">
        <x:v>BL-X</x:v>
      </x:c>
      <x:c r="E11" s="8" t="n">
        <x:v>100</x:v>
      </x:c>
      <x:c r="F11" s="8" t="str">
        <x:v>welded-line pressure</x:v>
      </x:c>
      <x:c r="G11" s="8" t="str"/>
      <x:c r="H11" s="8" t="str"/>
      <x:c r="I11" s="8" t="str"/>
      <x:c r="J11" s="8" t="str"/>
      <x:c r="K11" s="8" t="str">
        <x:f>IF(J11="","OPEN",IF(OR(NOT(ISNUMBER(G11)),G11&lt;E11,H11="",I11=""),"FAIL","PASS"))</x:f>
        <x:v>OPEN</x:v>
      </x:c>
    </x:row>
    <x:row r="12" ht="32" customHeight="1">
      <x:c r="B12" s="8" t="str">
        <x:v>DA-X1-CY06</x:v>
      </x:c>
      <x:c r="C12" s="8" t="str">
        <x:v>DA-X1</x:v>
      </x:c>
      <x:c r="D12" s="8" t="str">
        <x:v>BL-X</x:v>
      </x:c>
      <x:c r="E12" s="8" t="n">
        <x:v>100</x:v>
      </x:c>
      <x:c r="F12" s="8" t="str">
        <x:v>welded-line pressure</x:v>
      </x:c>
      <x:c r="G12" s="8" t="str"/>
      <x:c r="H12" s="8" t="str"/>
      <x:c r="I12" s="8" t="str"/>
      <x:c r="J12" s="8" t="str"/>
      <x:c r="K12" s="8" t="str">
        <x:f>IF(J12="","OPEN",IF(OR(NOT(ISNUMBER(G12)),G12&lt;E12,H12="",I12=""),"FAIL","PASS"))</x:f>
        <x:v>OPEN</x:v>
      </x:c>
    </x:row>
    <x:row r="13" ht="32" customHeight="1">
      <x:c r="B13" s="8" t="str">
        <x:v>DA-X1-CY07</x:v>
      </x:c>
      <x:c r="C13" s="8" t="str">
        <x:v>DA-X1</x:v>
      </x:c>
      <x:c r="D13" s="8" t="str">
        <x:v>BL-X</x:v>
      </x:c>
      <x:c r="E13" s="8" t="n">
        <x:v>100</x:v>
      </x:c>
      <x:c r="F13" s="8" t="str">
        <x:v>welded-line pressure</x:v>
      </x:c>
      <x:c r="G13" s="8" t="str"/>
      <x:c r="H13" s="8" t="str"/>
      <x:c r="I13" s="8" t="str"/>
      <x:c r="J13" s="8" t="str"/>
      <x:c r="K13" s="8" t="str">
        <x:f>IF(J13="","OPEN",IF(OR(NOT(ISNUMBER(G13)),G13&lt;E13,H13="",I13=""),"FAIL","PASS"))</x:f>
        <x:v>OPEN</x:v>
      </x:c>
    </x:row>
    <x:row r="14" ht="32" customHeight="1">
      <x:c r="B14" s="8" t="str">
        <x:v>DA-X1-CY08</x:v>
      </x:c>
      <x:c r="C14" s="8" t="str">
        <x:v>DA-X1</x:v>
      </x:c>
      <x:c r="D14" s="8" t="str">
        <x:v>BL-X</x:v>
      </x:c>
      <x:c r="E14" s="8" t="n">
        <x:v>100</x:v>
      </x:c>
      <x:c r="F14" s="8" t="str">
        <x:v>welded-line pressure</x:v>
      </x:c>
      <x:c r="G14" s="8" t="str"/>
      <x:c r="H14" s="8" t="str"/>
      <x:c r="I14" s="8" t="str"/>
      <x:c r="J14" s="8" t="str"/>
      <x:c r="K14" s="8" t="str">
        <x:f>IF(J14="","OPEN",IF(OR(NOT(ISNUMBER(G14)),G14&lt;E14,H14="",I14=""),"FAIL","PASS"))</x:f>
        <x:v>OPEN</x:v>
      </x:c>
    </x:row>
    <x:row r="15" ht="32" customHeight="1">
      <x:c r="B15" s="8" t="str">
        <x:v>DA-X1-CY09</x:v>
      </x:c>
      <x:c r="C15" s="8" t="str">
        <x:v>DA-X1</x:v>
      </x:c>
      <x:c r="D15" s="8" t="str">
        <x:v>BL-X</x:v>
      </x:c>
      <x:c r="E15" s="8" t="n">
        <x:v>100</x:v>
      </x:c>
      <x:c r="F15" s="8" t="str">
        <x:v>welded-line pressure</x:v>
      </x:c>
      <x:c r="G15" s="8" t="str"/>
      <x:c r="H15" s="8" t="str"/>
      <x:c r="I15" s="8" t="str"/>
      <x:c r="J15" s="8" t="str"/>
      <x:c r="K15" s="8" t="str">
        <x:f>IF(J15="","OPEN",IF(OR(NOT(ISNUMBER(G15)),G15&lt;E15,H15="",I15=""),"FAIL","PASS"))</x:f>
        <x:v>OPEN</x:v>
      </x:c>
    </x:row>
    <x:row r="16" ht="32" customHeight="1">
      <x:c r="B16" s="8" t="str">
        <x:v>DA-X1-CY10</x:v>
      </x:c>
      <x:c r="C16" s="8" t="str">
        <x:v>DA-X1</x:v>
      </x:c>
      <x:c r="D16" s="8" t="str">
        <x:v>BL-X</x:v>
      </x:c>
      <x:c r="E16" s="8" t="n">
        <x:v>100</x:v>
      </x:c>
      <x:c r="F16" s="8" t="str">
        <x:v>welded-line pressure</x:v>
      </x:c>
      <x:c r="G16" s="8" t="str"/>
      <x:c r="H16" s="8" t="str"/>
      <x:c r="I16" s="8" t="str"/>
      <x:c r="J16" s="8" t="str"/>
      <x:c r="K16" s="8" t="str">
        <x:f>IF(J16="","OPEN",IF(OR(NOT(ISNUMBER(G16)),G16&lt;E16,H16="",I16=""),"FAIL","PASS"))</x:f>
        <x:v>OPEN</x:v>
      </x:c>
    </x:row>
    <x:row r="17" ht="32" customHeight="1">
      <x:c r="B17" s="8" t="str">
        <x:v>DA-Y1-CY01</x:v>
      </x:c>
      <x:c r="C17" s="8" t="str">
        <x:v>DA-Y1</x:v>
      </x:c>
      <x:c r="D17" s="8" t="str">
        <x:v>BL-Y</x:v>
      </x:c>
      <x:c r="E17" s="8" t="n">
        <x:v>5</x:v>
      </x:c>
      <x:c r="F17" s="8" t="str">
        <x:v>assembly-disassembly</x:v>
      </x:c>
      <x:c r="G17" s="8" t="str"/>
      <x:c r="H17" s="8" t="str"/>
      <x:c r="I17" s="8" t="str"/>
      <x:c r="J17" s="8" t="str"/>
      <x:c r="K17" s="8" t="str">
        <x:f>IF(J17="","OPEN",IF(OR(NOT(ISNUMBER(G17)),G17&lt;E17,H17="",I17=""),"FAIL","PASS"))</x:f>
        <x:v>OPEN</x:v>
      </x:c>
    </x:row>
    <x:row r="18" ht="32" customHeight="1">
      <x:c r="B18" s="8" t="str">
        <x:v>DA-Y1-CY02</x:v>
      </x:c>
      <x:c r="C18" s="8" t="str">
        <x:v>DA-Y1</x:v>
      </x:c>
      <x:c r="D18" s="8" t="str">
        <x:v>BL-Y</x:v>
      </x:c>
      <x:c r="E18" s="8" t="n">
        <x:v>5</x:v>
      </x:c>
      <x:c r="F18" s="8" t="str">
        <x:v>assembly-disassembly</x:v>
      </x:c>
      <x:c r="G18" s="8" t="str"/>
      <x:c r="H18" s="8" t="str"/>
      <x:c r="I18" s="8" t="str"/>
      <x:c r="J18" s="8" t="str"/>
      <x:c r="K18" s="8" t="str">
        <x:f>IF(J18="","OPEN",IF(OR(NOT(ISNUMBER(G18)),G18&lt;E18,H18="",I18=""),"FAIL","PASS"))</x:f>
        <x:v>OPEN</x:v>
      </x:c>
    </x:row>
    <x:row r="19" ht="32" customHeight="1">
      <x:c r="B19" s="8" t="str">
        <x:v>DA-Y1-CY03</x:v>
      </x:c>
      <x:c r="C19" s="8" t="str">
        <x:v>DA-Y1</x:v>
      </x:c>
      <x:c r="D19" s="8" t="str">
        <x:v>BL-Y</x:v>
      </x:c>
      <x:c r="E19" s="8" t="n">
        <x:v>5</x:v>
      </x:c>
      <x:c r="F19" s="8" t="str">
        <x:v>assembly-disassembly</x:v>
      </x:c>
      <x:c r="G19" s="8" t="str"/>
      <x:c r="H19" s="8" t="str"/>
      <x:c r="I19" s="8" t="str"/>
      <x:c r="J19" s="8" t="str"/>
      <x:c r="K19" s="8" t="str">
        <x:f>IF(J19="","OPEN",IF(OR(NOT(ISNUMBER(G19)),G19&lt;E19,H19="",I19=""),"FAIL","PASS"))</x:f>
        <x:v>OPEN</x:v>
      </x:c>
    </x:row>
    <x:row r="20" ht="32" customHeight="1">
      <x:c r="B20" s="8" t="str">
        <x:v>DA-Y1-CY04</x:v>
      </x:c>
      <x:c r="C20" s="8" t="str">
        <x:v>DA-Y1</x:v>
      </x:c>
      <x:c r="D20" s="8" t="str">
        <x:v>BL-Y</x:v>
      </x:c>
      <x:c r="E20" s="8" t="n">
        <x:v>5</x:v>
      </x:c>
      <x:c r="F20" s="8" t="str">
        <x:v>assembly-disassembly</x:v>
      </x:c>
      <x:c r="G20" s="8" t="str"/>
      <x:c r="H20" s="8" t="str"/>
      <x:c r="I20" s="8" t="str"/>
      <x:c r="J20" s="8" t="str"/>
      <x:c r="K20" s="8" t="str">
        <x:f>IF(J20="","OPEN",IF(OR(NOT(ISNUMBER(G20)),G20&lt;E20,H20="",I20=""),"FAIL","PASS"))</x:f>
        <x:v>OPEN</x:v>
      </x:c>
    </x:row>
    <x:row r="21" ht="32" customHeight="1">
      <x:c r="B21" s="8" t="str">
        <x:v>DA-Y1-CY05</x:v>
      </x:c>
      <x:c r="C21" s="8" t="str">
        <x:v>DA-Y1</x:v>
      </x:c>
      <x:c r="D21" s="8" t="str">
        <x:v>BL-Y</x:v>
      </x:c>
      <x:c r="E21" s="8" t="n">
        <x:v>5</x:v>
      </x:c>
      <x:c r="F21" s="8" t="str">
        <x:v>assembly-disassembly</x:v>
      </x:c>
      <x:c r="G21" s="8" t="str"/>
      <x:c r="H21" s="8" t="str"/>
      <x:c r="I21" s="8" t="str"/>
      <x:c r="J21" s="8" t="str"/>
      <x:c r="K21" s="8" t="str">
        <x:f>IF(J21="","OPEN",IF(OR(NOT(ISNUMBER(G21)),G21&lt;E21,H21="",I21=""),"FAIL","PASS"))</x:f>
        <x:v>OPEN</x:v>
      </x:c>
    </x:row>
    <x:row r="22" ht="32" customHeight="1">
      <x:c r="B22" s="8" t="str">
        <x:v>DA-Y1-CY06</x:v>
      </x:c>
      <x:c r="C22" s="8" t="str">
        <x:v>DA-Y1</x:v>
      </x:c>
      <x:c r="D22" s="8" t="str">
        <x:v>BL-Y</x:v>
      </x:c>
      <x:c r="E22" s="8" t="n">
        <x:v>5</x:v>
      </x:c>
      <x:c r="F22" s="8" t="str">
        <x:v>assembly-disassembly</x:v>
      </x:c>
      <x:c r="G22" s="8" t="str"/>
      <x:c r="H22" s="8" t="str"/>
      <x:c r="I22" s="8" t="str"/>
      <x:c r="J22" s="8" t="str"/>
      <x:c r="K22" s="8" t="str">
        <x:f>IF(J22="","OPEN",IF(OR(NOT(ISNUMBER(G22)),G22&lt;E22,H22="",I22=""),"FAIL","PASS"))</x:f>
        <x:v>OPEN</x:v>
      </x:c>
    </x:row>
    <x:row r="23" ht="32" customHeight="1">
      <x:c r="B23" s="8" t="str">
        <x:v>DA-Y1-CY07</x:v>
      </x:c>
      <x:c r="C23" s="8" t="str">
        <x:v>DA-Y1</x:v>
      </x:c>
      <x:c r="D23" s="8" t="str">
        <x:v>BL-Y</x:v>
      </x:c>
      <x:c r="E23" s="8" t="n">
        <x:v>5</x:v>
      </x:c>
      <x:c r="F23" s="8" t="str">
        <x:v>assembly-disassembly</x:v>
      </x:c>
      <x:c r="G23" s="8" t="str"/>
      <x:c r="H23" s="8" t="str"/>
      <x:c r="I23" s="8" t="str"/>
      <x:c r="J23" s="8" t="str"/>
      <x:c r="K23" s="8" t="str">
        <x:f>IF(J23="","OPEN",IF(OR(NOT(ISNUMBER(G23)),G23&lt;E23,H23="",I23=""),"FAIL","PASS"))</x:f>
        <x:v>OPEN</x:v>
      </x:c>
    </x:row>
    <x:row r="24" ht="32" customHeight="1">
      <x:c r="B24" s="8" t="str">
        <x:v>DA-Y1-CY08</x:v>
      </x:c>
      <x:c r="C24" s="8" t="str">
        <x:v>DA-Y1</x:v>
      </x:c>
      <x:c r="D24" s="8" t="str">
        <x:v>BL-Y</x:v>
      </x:c>
      <x:c r="E24" s="8" t="n">
        <x:v>5</x:v>
      </x:c>
      <x:c r="F24" s="8" t="str">
        <x:v>assembly-disassembly</x:v>
      </x:c>
      <x:c r="G24" s="8" t="str"/>
      <x:c r="H24" s="8" t="str"/>
      <x:c r="I24" s="8" t="str"/>
      <x:c r="J24" s="8" t="str"/>
      <x:c r="K24" s="8" t="str">
        <x:f>IF(J24="","OPEN",IF(OR(NOT(ISNUMBER(G24)),G24&lt;E24,H24="",I24=""),"FAIL","PASS"))</x:f>
        <x:v>OPEN</x:v>
      </x:c>
    </x:row>
    <x:row r="25" ht="32" customHeight="1">
      <x:c r="B25" s="8" t="str">
        <x:v>DA-Y1-CY09</x:v>
      </x:c>
      <x:c r="C25" s="8" t="str">
        <x:v>DA-Y1</x:v>
      </x:c>
      <x:c r="D25" s="8" t="str">
        <x:v>BL-Y</x:v>
      </x:c>
      <x:c r="E25" s="8" t="n">
        <x:v>5</x:v>
      </x:c>
      <x:c r="F25" s="8" t="str">
        <x:v>assembly-disassembly</x:v>
      </x:c>
      <x:c r="G25" s="8" t="str"/>
      <x:c r="H25" s="8" t="str"/>
      <x:c r="I25" s="8" t="str"/>
      <x:c r="J25" s="8" t="str"/>
      <x:c r="K25" s="8" t="str">
        <x:f>IF(J25="","OPEN",IF(OR(NOT(ISNUMBER(G25)),G25&lt;E25,H25="",I25=""),"FAIL","PASS"))</x:f>
        <x:v>OPEN</x:v>
      </x:c>
    </x:row>
    <x:row r="26" ht="32" customHeight="1">
      <x:c r="B26" s="8" t="str">
        <x:v>DA-Y1-CY10</x:v>
      </x:c>
      <x:c r="C26" s="8" t="str">
        <x:v>DA-Y1</x:v>
      </x:c>
      <x:c r="D26" s="8" t="str">
        <x:v>BL-Y</x:v>
      </x:c>
      <x:c r="E26" s="8" t="n">
        <x:v>5</x:v>
      </x:c>
      <x:c r="F26" s="8" t="str">
        <x:v>assembly-disassembly</x:v>
      </x:c>
      <x:c r="G26" s="8" t="str"/>
      <x:c r="H26" s="8" t="str"/>
      <x:c r="I26" s="8" t="str"/>
      <x:c r="J26" s="8" t="str"/>
      <x:c r="K26" s="8" t="str">
        <x:f>IF(J26="","OPEN",IF(OR(NOT(ISNUMBER(G26)),G26&lt;E26,H26="",I26=""),"FAIL","PASS"))</x:f>
        <x:v>OPEN</x:v>
      </x:c>
    </x:row>
  </x:sheetData>
  <x:conditionalFormatting sqref="K7:K26">
    <x:cfRule type="containsText" dxfId="90" priority="1" operator="containsText" text="FAIL"/>
    <x:cfRule type="containsText" dxfId="91" priority="2" operator="containsText" text="BLOCKED"/>
    <x:cfRule type="containsText" dxfId="92" priority="3" operator="containsText" text="OPEN"/>
    <x:cfRule type="containsText" dxfId="93" priority="4" operator="containsText" text="PASS"/>
    <x:cfRule type="containsText" dxfId="94" priority="5" operator="containsText" text="PLANNED"/>
    <x:cfRule type="containsText" dxfId="95" priority="6" operator="containsText" text="ACTIVE"/>
  </x:conditionalFormatting>
  <x:pageMargins left="0.7" right="0.7" top="0.75" bottom="0.75" header="0.3" footer="0.3"/>
</x:worksheet>
</file>

<file path=xl/worksheets/sheet25.xml><?xml version="1.0" encoding="utf-8"?>
<x:worksheet xmlns:x="http://schemas.openxmlformats.org/spreadsheetml/2006/main">
  <x:sheetViews>
    <x:sheetView showGridLines="0" workbookViewId="0">
      <x:pane xSplit="2" ySplit="6" topLeftCell="C7" activePane="bottomRight" state="frozen"/>
    </x:sheetView>
  </x:sheetViews>
  <x:sheetFormatPr defaultRowHeight="15"/>
  <x:cols>
    <x:col min="2" max="2" width="18" hidden="0" customWidth="1"/>
    <x:col min="3" max="3" width="14" hidden="0" customWidth="1"/>
    <x:col min="4" max="4" width="13" hidden="0" customWidth="1"/>
    <x:col min="5" max="5" width="15" hidden="0" customWidth="1"/>
    <x:col min="6" max="6" width="18" hidden="0" customWidth="1"/>
    <x:col min="7" max="7" width="17" hidden="0" customWidth="1"/>
    <x:col min="8" max="8" width="20" hidden="0" customWidth="1"/>
    <x:col min="9" max="9" width="22" hidden="0" customWidth="1"/>
    <x:col min="10" max="10" width="20" hidden="0" customWidth="1"/>
    <x:col min="11" max="11" width="14" hidden="0" customWidth="1"/>
  </x:cols>
  <x:sheetData>
    <x:row r="2">
      <x:c r="B2" s="44" t="str">
        <x:v>Sixty integrated drain and recovery trials</x:v>
      </x:c>
      <x:c r="C2" s="45"/>
      <x:c r="D2" s="45"/>
      <x:c r="E2" s="45"/>
      <x:c r="F2" s="45"/>
      <x:c r="G2" s="45"/>
      <x:c r="H2" s="45"/>
      <x:c r="I2" s="45"/>
      <x:c r="J2" s="45"/>
      <x:c r="K2" s="45"/>
    </x:row>
    <x:row r="3">
      <x:c r="B3" s="46" t="str">
        <x:v>Roughness, contact state, hold-up image and recovered mass remain separate observations.</x:v>
      </x:c>
      <x:c r="C3" s="45"/>
      <x:c r="D3" s="45"/>
      <x:c r="E3" s="45"/>
      <x:c r="F3" s="45"/>
      <x:c r="G3" s="45"/>
      <x:c r="H3" s="45"/>
      <x:c r="I3" s="45"/>
      <x:c r="J3" s="45"/>
      <x:c r="K3" s="45"/>
    </x:row>
    <x:row r="4">
      <x:c r="B4" s="45"/>
      <x:c r="C4" s="45"/>
      <x:c r="D4" s="45"/>
      <x:c r="E4" s="45"/>
      <x:c r="F4" s="45"/>
      <x:c r="G4" s="45"/>
      <x:c r="H4" s="45"/>
      <x:c r="I4" s="45"/>
      <x:c r="J4" s="45"/>
      <x:c r="K4" s="45"/>
    </x:row>
    <x:row r="5">
      <x:c r="B5" s="45"/>
      <x:c r="C5" s="45"/>
      <x:c r="D5" s="45"/>
      <x:c r="E5" s="45"/>
      <x:c r="F5" s="45"/>
      <x:c r="G5" s="45"/>
      <x:c r="H5" s="45"/>
      <x:c r="I5" s="45"/>
      <x:c r="J5" s="45"/>
      <x:c r="K5" s="45"/>
    </x:row>
    <x:row r="6" ht="25" customHeight="1">
      <x:c r="B6" s="6" t="str">
        <x:v>Trial</x:v>
      </x:c>
      <x:c r="C6" s="6" t="str">
        <x:v>Article</x:v>
      </x:c>
      <x:c r="D6" s="6" t="str">
        <x:v>Sequence</x:v>
      </x:c>
      <x:c r="E6" s="6" t="str">
        <x:v>Input kg</x:v>
      </x:c>
      <x:c r="F6" s="6" t="str">
        <x:v>Recovered kg</x:v>
      </x:c>
      <x:c r="G6" s="6" t="str">
        <x:v>Residual kg</x:v>
      </x:c>
      <x:c r="H6" s="6" t="str">
        <x:v>Tomography ID</x:v>
      </x:c>
      <x:c r="I6" s="6" t="str">
        <x:v>Water disposition</x:v>
      </x:c>
      <x:c r="J6" s="6" t="str">
        <x:v>Accepted UTC</x:v>
      </x:c>
      <x:c r="K6" s="6" t="str">
        <x:v>State</x:v>
      </x:c>
    </x:row>
    <x:row r="7" ht="30" customHeight="1">
      <x:c r="B7" s="8" t="str">
        <x:v>DA-X1-D01</x:v>
      </x:c>
      <x:c r="C7" s="8" t="str">
        <x:v>DA-X1</x:v>
      </x:c>
      <x:c r="D7" s="8" t="n">
        <x:v>1</x:v>
      </x:c>
      <x:c r="E7" s="8" t="n">
        <x:v>100</x:v>
      </x:c>
      <x:c r="F7" s="8" t="str"/>
      <x:c r="G7" s="8" t="str"/>
      <x:c r="H7" s="8" t="str"/>
      <x:c r="I7" s="8" t="str"/>
      <x:c r="J7" s="8" t="str"/>
      <x:c r="K7" s="8" t="str">
        <x:f>IF(J7="","OPEN",IF(OR(NOT(ISNUMBER(F7)),NOT(ISNUMBER(G7)),ABS(E7-F7-G7)&gt;0.05,G7&gt;'Controls'!$D$48,H7="",I7=""),"FAIL","PASS"))</x:f>
        <x:v>OPEN</x:v>
      </x:c>
    </x:row>
    <x:row r="8" ht="30" customHeight="1">
      <x:c r="B8" s="8" t="str">
        <x:v>DA-X1-D02</x:v>
      </x:c>
      <x:c r="C8" s="8" t="str">
        <x:v>DA-X1</x:v>
      </x:c>
      <x:c r="D8" s="8" t="n">
        <x:v>2</x:v>
      </x:c>
      <x:c r="E8" s="8" t="n">
        <x:v>100</x:v>
      </x:c>
      <x:c r="F8" s="8" t="str"/>
      <x:c r="G8" s="8" t="str"/>
      <x:c r="H8" s="8" t="str"/>
      <x:c r="I8" s="8" t="str"/>
      <x:c r="J8" s="8" t="str"/>
      <x:c r="K8" s="8" t="str">
        <x:f>IF(J8="","OPEN",IF(OR(NOT(ISNUMBER(F8)),NOT(ISNUMBER(G8)),ABS(E8-F8-G8)&gt;0.05,G8&gt;'Controls'!$D$48,H8="",I8=""),"FAIL","PASS"))</x:f>
        <x:v>OPEN</x:v>
      </x:c>
    </x:row>
    <x:row r="9" ht="30" customHeight="1">
      <x:c r="B9" s="8" t="str">
        <x:v>DA-X1-D03</x:v>
      </x:c>
      <x:c r="C9" s="8" t="str">
        <x:v>DA-X1</x:v>
      </x:c>
      <x:c r="D9" s="8" t="n">
        <x:v>3</x:v>
      </x:c>
      <x:c r="E9" s="8" t="n">
        <x:v>100</x:v>
      </x:c>
      <x:c r="F9" s="8" t="str"/>
      <x:c r="G9" s="8" t="str"/>
      <x:c r="H9" s="8" t="str"/>
      <x:c r="I9" s="8" t="str"/>
      <x:c r="J9" s="8" t="str"/>
      <x:c r="K9" s="8" t="str">
        <x:f>IF(J9="","OPEN",IF(OR(NOT(ISNUMBER(F9)),NOT(ISNUMBER(G9)),ABS(E9-F9-G9)&gt;0.05,G9&gt;'Controls'!$D$48,H9="",I9=""),"FAIL","PASS"))</x:f>
        <x:v>OPEN</x:v>
      </x:c>
    </x:row>
    <x:row r="10" ht="30" customHeight="1">
      <x:c r="B10" s="8" t="str">
        <x:v>DA-X1-D04</x:v>
      </x:c>
      <x:c r="C10" s="8" t="str">
        <x:v>DA-X1</x:v>
      </x:c>
      <x:c r="D10" s="8" t="n">
        <x:v>4</x:v>
      </x:c>
      <x:c r="E10" s="8" t="n">
        <x:v>100</x:v>
      </x:c>
      <x:c r="F10" s="8" t="str"/>
      <x:c r="G10" s="8" t="str"/>
      <x:c r="H10" s="8" t="str"/>
      <x:c r="I10" s="8" t="str"/>
      <x:c r="J10" s="8" t="str"/>
      <x:c r="K10" s="8" t="str">
        <x:f>IF(J10="","OPEN",IF(OR(NOT(ISNUMBER(F10)),NOT(ISNUMBER(G10)),ABS(E10-F10-G10)&gt;0.05,G10&gt;'Controls'!$D$48,H10="",I10=""),"FAIL","PASS"))</x:f>
        <x:v>OPEN</x:v>
      </x:c>
    </x:row>
    <x:row r="11" ht="30" customHeight="1">
      <x:c r="B11" s="8" t="str">
        <x:v>DA-X1-D05</x:v>
      </x:c>
      <x:c r="C11" s="8" t="str">
        <x:v>DA-X1</x:v>
      </x:c>
      <x:c r="D11" s="8" t="n">
        <x:v>5</x:v>
      </x:c>
      <x:c r="E11" s="8" t="n">
        <x:v>100</x:v>
      </x:c>
      <x:c r="F11" s="8" t="str"/>
      <x:c r="G11" s="8" t="str"/>
      <x:c r="H11" s="8" t="str"/>
      <x:c r="I11" s="8" t="str"/>
      <x:c r="J11" s="8" t="str"/>
      <x:c r="K11" s="8" t="str">
        <x:f>IF(J11="","OPEN",IF(OR(NOT(ISNUMBER(F11)),NOT(ISNUMBER(G11)),ABS(E11-F11-G11)&gt;0.05,G11&gt;'Controls'!$D$48,H11="",I11=""),"FAIL","PASS"))</x:f>
        <x:v>OPEN</x:v>
      </x:c>
    </x:row>
    <x:row r="12" ht="30" customHeight="1">
      <x:c r="B12" s="8" t="str">
        <x:v>DA-X1-D06</x:v>
      </x:c>
      <x:c r="C12" s="8" t="str">
        <x:v>DA-X1</x:v>
      </x:c>
      <x:c r="D12" s="8" t="n">
        <x:v>6</x:v>
      </x:c>
      <x:c r="E12" s="8" t="n">
        <x:v>100</x:v>
      </x:c>
      <x:c r="F12" s="8" t="str"/>
      <x:c r="G12" s="8" t="str"/>
      <x:c r="H12" s="8" t="str"/>
      <x:c r="I12" s="8" t="str"/>
      <x:c r="J12" s="8" t="str"/>
      <x:c r="K12" s="8" t="str">
        <x:f>IF(J12="","OPEN",IF(OR(NOT(ISNUMBER(F12)),NOT(ISNUMBER(G12)),ABS(E12-F12-G12)&gt;0.05,G12&gt;'Controls'!$D$48,H12="",I12=""),"FAIL","PASS"))</x:f>
        <x:v>OPEN</x:v>
      </x:c>
    </x:row>
    <x:row r="13" ht="30" customHeight="1">
      <x:c r="B13" s="8" t="str">
        <x:v>DA-X1-D07</x:v>
      </x:c>
      <x:c r="C13" s="8" t="str">
        <x:v>DA-X1</x:v>
      </x:c>
      <x:c r="D13" s="8" t="n">
        <x:v>7</x:v>
      </x:c>
      <x:c r="E13" s="8" t="n">
        <x:v>100</x:v>
      </x:c>
      <x:c r="F13" s="8" t="str"/>
      <x:c r="G13" s="8" t="str"/>
      <x:c r="H13" s="8" t="str"/>
      <x:c r="I13" s="8" t="str"/>
      <x:c r="J13" s="8" t="str"/>
      <x:c r="K13" s="8" t="str">
        <x:f>IF(J13="","OPEN",IF(OR(NOT(ISNUMBER(F13)),NOT(ISNUMBER(G13)),ABS(E13-F13-G13)&gt;0.05,G13&gt;'Controls'!$D$48,H13="",I13=""),"FAIL","PASS"))</x:f>
        <x:v>OPEN</x:v>
      </x:c>
    </x:row>
    <x:row r="14" ht="30" customHeight="1">
      <x:c r="B14" s="8" t="str">
        <x:v>DA-X1-D08</x:v>
      </x:c>
      <x:c r="C14" s="8" t="str">
        <x:v>DA-X1</x:v>
      </x:c>
      <x:c r="D14" s="8" t="n">
        <x:v>8</x:v>
      </x:c>
      <x:c r="E14" s="8" t="n">
        <x:v>100</x:v>
      </x:c>
      <x:c r="F14" s="8" t="str"/>
      <x:c r="G14" s="8" t="str"/>
      <x:c r="H14" s="8" t="str"/>
      <x:c r="I14" s="8" t="str"/>
      <x:c r="J14" s="8" t="str"/>
      <x:c r="K14" s="8" t="str">
        <x:f>IF(J14="","OPEN",IF(OR(NOT(ISNUMBER(F14)),NOT(ISNUMBER(G14)),ABS(E14-F14-G14)&gt;0.05,G14&gt;'Controls'!$D$48,H14="",I14=""),"FAIL","PASS"))</x:f>
        <x:v>OPEN</x:v>
      </x:c>
    </x:row>
    <x:row r="15" ht="30" customHeight="1">
      <x:c r="B15" s="8" t="str">
        <x:v>DA-X1-D09</x:v>
      </x:c>
      <x:c r="C15" s="8" t="str">
        <x:v>DA-X1</x:v>
      </x:c>
      <x:c r="D15" s="8" t="n">
        <x:v>9</x:v>
      </x:c>
      <x:c r="E15" s="8" t="n">
        <x:v>100</x:v>
      </x:c>
      <x:c r="F15" s="8" t="str"/>
      <x:c r="G15" s="8" t="str"/>
      <x:c r="H15" s="8" t="str"/>
      <x:c r="I15" s="8" t="str"/>
      <x:c r="J15" s="8" t="str"/>
      <x:c r="K15" s="8" t="str">
        <x:f>IF(J15="","OPEN",IF(OR(NOT(ISNUMBER(F15)),NOT(ISNUMBER(G15)),ABS(E15-F15-G15)&gt;0.05,G15&gt;'Controls'!$D$48,H15="",I15=""),"FAIL","PASS"))</x:f>
        <x:v>OPEN</x:v>
      </x:c>
    </x:row>
    <x:row r="16" ht="30" customHeight="1">
      <x:c r="B16" s="8" t="str">
        <x:v>DA-X1-D10</x:v>
      </x:c>
      <x:c r="C16" s="8" t="str">
        <x:v>DA-X1</x:v>
      </x:c>
      <x:c r="D16" s="8" t="n">
        <x:v>10</x:v>
      </x:c>
      <x:c r="E16" s="8" t="n">
        <x:v>100</x:v>
      </x:c>
      <x:c r="F16" s="8" t="str"/>
      <x:c r="G16" s="8" t="str"/>
      <x:c r="H16" s="8" t="str"/>
      <x:c r="I16" s="8" t="str"/>
      <x:c r="J16" s="8" t="str"/>
      <x:c r="K16" s="8" t="str">
        <x:f>IF(J16="","OPEN",IF(OR(NOT(ISNUMBER(F16)),NOT(ISNUMBER(G16)),ABS(E16-F16-G16)&gt;0.05,G16&gt;'Controls'!$D$48,H16="",I16=""),"FAIL","PASS"))</x:f>
        <x:v>OPEN</x:v>
      </x:c>
    </x:row>
    <x:row r="17" ht="30" customHeight="1">
      <x:c r="B17" s="8" t="str">
        <x:v>DA-X1-D11</x:v>
      </x:c>
      <x:c r="C17" s="8" t="str">
        <x:v>DA-X1</x:v>
      </x:c>
      <x:c r="D17" s="8" t="n">
        <x:v>11</x:v>
      </x:c>
      <x:c r="E17" s="8" t="n">
        <x:v>100</x:v>
      </x:c>
      <x:c r="F17" s="8" t="str"/>
      <x:c r="G17" s="8" t="str"/>
      <x:c r="H17" s="8" t="str"/>
      <x:c r="I17" s="8" t="str"/>
      <x:c r="J17" s="8" t="str"/>
      <x:c r="K17" s="8" t="str">
        <x:f>IF(J17="","OPEN",IF(OR(NOT(ISNUMBER(F17)),NOT(ISNUMBER(G17)),ABS(E17-F17-G17)&gt;0.05,G17&gt;'Controls'!$D$48,H17="",I17=""),"FAIL","PASS"))</x:f>
        <x:v>OPEN</x:v>
      </x:c>
    </x:row>
    <x:row r="18" ht="30" customHeight="1">
      <x:c r="B18" s="8" t="str">
        <x:v>DA-X1-D12</x:v>
      </x:c>
      <x:c r="C18" s="8" t="str">
        <x:v>DA-X1</x:v>
      </x:c>
      <x:c r="D18" s="8" t="n">
        <x:v>12</x:v>
      </x:c>
      <x:c r="E18" s="8" t="n">
        <x:v>100</x:v>
      </x:c>
      <x:c r="F18" s="8" t="str"/>
      <x:c r="G18" s="8" t="str"/>
      <x:c r="H18" s="8" t="str"/>
      <x:c r="I18" s="8" t="str"/>
      <x:c r="J18" s="8" t="str"/>
      <x:c r="K18" s="8" t="str">
        <x:f>IF(J18="","OPEN",IF(OR(NOT(ISNUMBER(F18)),NOT(ISNUMBER(G18)),ABS(E18-F18-G18)&gt;0.05,G18&gt;'Controls'!$D$48,H18="",I18=""),"FAIL","PASS"))</x:f>
        <x:v>OPEN</x:v>
      </x:c>
    </x:row>
    <x:row r="19" ht="30" customHeight="1">
      <x:c r="B19" s="8" t="str">
        <x:v>DA-X1-D13</x:v>
      </x:c>
      <x:c r="C19" s="8" t="str">
        <x:v>DA-X1</x:v>
      </x:c>
      <x:c r="D19" s="8" t="n">
        <x:v>13</x:v>
      </x:c>
      <x:c r="E19" s="8" t="n">
        <x:v>100</x:v>
      </x:c>
      <x:c r="F19" s="8" t="str"/>
      <x:c r="G19" s="8" t="str"/>
      <x:c r="H19" s="8" t="str"/>
      <x:c r="I19" s="8" t="str"/>
      <x:c r="J19" s="8" t="str"/>
      <x:c r="K19" s="8" t="str">
        <x:f>IF(J19="","OPEN",IF(OR(NOT(ISNUMBER(F19)),NOT(ISNUMBER(G19)),ABS(E19-F19-G19)&gt;0.05,G19&gt;'Controls'!$D$48,H19="",I19=""),"FAIL","PASS"))</x:f>
        <x:v>OPEN</x:v>
      </x:c>
    </x:row>
    <x:row r="20" ht="30" customHeight="1">
      <x:c r="B20" s="8" t="str">
        <x:v>DA-X1-D14</x:v>
      </x:c>
      <x:c r="C20" s="8" t="str">
        <x:v>DA-X1</x:v>
      </x:c>
      <x:c r="D20" s="8" t="n">
        <x:v>14</x:v>
      </x:c>
      <x:c r="E20" s="8" t="n">
        <x:v>100</x:v>
      </x:c>
      <x:c r="F20" s="8" t="str"/>
      <x:c r="G20" s="8" t="str"/>
      <x:c r="H20" s="8" t="str"/>
      <x:c r="I20" s="8" t="str"/>
      <x:c r="J20" s="8" t="str"/>
      <x:c r="K20" s="8" t="str">
        <x:f>IF(J20="","OPEN",IF(OR(NOT(ISNUMBER(F20)),NOT(ISNUMBER(G20)),ABS(E20-F20-G20)&gt;0.05,G20&gt;'Controls'!$D$48,H20="",I20=""),"FAIL","PASS"))</x:f>
        <x:v>OPEN</x:v>
      </x:c>
    </x:row>
    <x:row r="21" ht="30" customHeight="1">
      <x:c r="B21" s="8" t="str">
        <x:v>DA-X1-D15</x:v>
      </x:c>
      <x:c r="C21" s="8" t="str">
        <x:v>DA-X1</x:v>
      </x:c>
      <x:c r="D21" s="8" t="n">
        <x:v>15</x:v>
      </x:c>
      <x:c r="E21" s="8" t="n">
        <x:v>100</x:v>
      </x:c>
      <x:c r="F21" s="8" t="str"/>
      <x:c r="G21" s="8" t="str"/>
      <x:c r="H21" s="8" t="str"/>
      <x:c r="I21" s="8" t="str"/>
      <x:c r="J21" s="8" t="str"/>
      <x:c r="K21" s="8" t="str">
        <x:f>IF(J21="","OPEN",IF(OR(NOT(ISNUMBER(F21)),NOT(ISNUMBER(G21)),ABS(E21-F21-G21)&gt;0.05,G21&gt;'Controls'!$D$48,H21="",I21=""),"FAIL","PASS"))</x:f>
        <x:v>OPEN</x:v>
      </x:c>
    </x:row>
    <x:row r="22" ht="30" customHeight="1">
      <x:c r="B22" s="8" t="str">
        <x:v>DA-X1-D16</x:v>
      </x:c>
      <x:c r="C22" s="8" t="str">
        <x:v>DA-X1</x:v>
      </x:c>
      <x:c r="D22" s="8" t="n">
        <x:v>16</x:v>
      </x:c>
      <x:c r="E22" s="8" t="n">
        <x:v>100</x:v>
      </x:c>
      <x:c r="F22" s="8" t="str"/>
      <x:c r="G22" s="8" t="str"/>
      <x:c r="H22" s="8" t="str"/>
      <x:c r="I22" s="8" t="str"/>
      <x:c r="J22" s="8" t="str"/>
      <x:c r="K22" s="8" t="str">
        <x:f>IF(J22="","OPEN",IF(OR(NOT(ISNUMBER(F22)),NOT(ISNUMBER(G22)),ABS(E22-F22-G22)&gt;0.05,G22&gt;'Controls'!$D$48,H22="",I22=""),"FAIL","PASS"))</x:f>
        <x:v>OPEN</x:v>
      </x:c>
    </x:row>
    <x:row r="23" ht="30" customHeight="1">
      <x:c r="B23" s="8" t="str">
        <x:v>DA-X1-D17</x:v>
      </x:c>
      <x:c r="C23" s="8" t="str">
        <x:v>DA-X1</x:v>
      </x:c>
      <x:c r="D23" s="8" t="n">
        <x:v>17</x:v>
      </x:c>
      <x:c r="E23" s="8" t="n">
        <x:v>100</x:v>
      </x:c>
      <x:c r="F23" s="8" t="str"/>
      <x:c r="G23" s="8" t="str"/>
      <x:c r="H23" s="8" t="str"/>
      <x:c r="I23" s="8" t="str"/>
      <x:c r="J23" s="8" t="str"/>
      <x:c r="K23" s="8" t="str">
        <x:f>IF(J23="","OPEN",IF(OR(NOT(ISNUMBER(F23)),NOT(ISNUMBER(G23)),ABS(E23-F23-G23)&gt;0.05,G23&gt;'Controls'!$D$48,H23="",I23=""),"FAIL","PASS"))</x:f>
        <x:v>OPEN</x:v>
      </x:c>
    </x:row>
    <x:row r="24" ht="30" customHeight="1">
      <x:c r="B24" s="8" t="str">
        <x:v>DA-X1-D18</x:v>
      </x:c>
      <x:c r="C24" s="8" t="str">
        <x:v>DA-X1</x:v>
      </x:c>
      <x:c r="D24" s="8" t="n">
        <x:v>18</x:v>
      </x:c>
      <x:c r="E24" s="8" t="n">
        <x:v>100</x:v>
      </x:c>
      <x:c r="F24" s="8" t="str"/>
      <x:c r="G24" s="8" t="str"/>
      <x:c r="H24" s="8" t="str"/>
      <x:c r="I24" s="8" t="str"/>
      <x:c r="J24" s="8" t="str"/>
      <x:c r="K24" s="8" t="str">
        <x:f>IF(J24="","OPEN",IF(OR(NOT(ISNUMBER(F24)),NOT(ISNUMBER(G24)),ABS(E24-F24-G24)&gt;0.05,G24&gt;'Controls'!$D$48,H24="",I24=""),"FAIL","PASS"))</x:f>
        <x:v>OPEN</x:v>
      </x:c>
    </x:row>
    <x:row r="25" ht="30" customHeight="1">
      <x:c r="B25" s="8" t="str">
        <x:v>DA-X1-D19</x:v>
      </x:c>
      <x:c r="C25" s="8" t="str">
        <x:v>DA-X1</x:v>
      </x:c>
      <x:c r="D25" s="8" t="n">
        <x:v>19</x:v>
      </x:c>
      <x:c r="E25" s="8" t="n">
        <x:v>100</x:v>
      </x:c>
      <x:c r="F25" s="8" t="str"/>
      <x:c r="G25" s="8" t="str"/>
      <x:c r="H25" s="8" t="str"/>
      <x:c r="I25" s="8" t="str"/>
      <x:c r="J25" s="8" t="str"/>
      <x:c r="K25" s="8" t="str">
        <x:f>IF(J25="","OPEN",IF(OR(NOT(ISNUMBER(F25)),NOT(ISNUMBER(G25)),ABS(E25-F25-G25)&gt;0.05,G25&gt;'Controls'!$D$48,H25="",I25=""),"FAIL","PASS"))</x:f>
        <x:v>OPEN</x:v>
      </x:c>
    </x:row>
    <x:row r="26" ht="30" customHeight="1">
      <x:c r="B26" s="8" t="str">
        <x:v>DA-X1-D20</x:v>
      </x:c>
      <x:c r="C26" s="8" t="str">
        <x:v>DA-X1</x:v>
      </x:c>
      <x:c r="D26" s="8" t="n">
        <x:v>20</x:v>
      </x:c>
      <x:c r="E26" s="8" t="n">
        <x:v>100</x:v>
      </x:c>
      <x:c r="F26" s="8" t="str"/>
      <x:c r="G26" s="8" t="str"/>
      <x:c r="H26" s="8" t="str"/>
      <x:c r="I26" s="8" t="str"/>
      <x:c r="J26" s="8" t="str"/>
      <x:c r="K26" s="8" t="str">
        <x:f>IF(J26="","OPEN",IF(OR(NOT(ISNUMBER(F26)),NOT(ISNUMBER(G26)),ABS(E26-F26-G26)&gt;0.05,G26&gt;'Controls'!$D$48,H26="",I26=""),"FAIL","PASS"))</x:f>
        <x:v>OPEN</x:v>
      </x:c>
    </x:row>
    <x:row r="27" ht="30" customHeight="1">
      <x:c r="B27" s="8" t="str">
        <x:v>DA-X1-D21</x:v>
      </x:c>
      <x:c r="C27" s="8" t="str">
        <x:v>DA-X1</x:v>
      </x:c>
      <x:c r="D27" s="8" t="n">
        <x:v>21</x:v>
      </x:c>
      <x:c r="E27" s="8" t="n">
        <x:v>100</x:v>
      </x:c>
      <x:c r="F27" s="8" t="str"/>
      <x:c r="G27" s="8" t="str"/>
      <x:c r="H27" s="8" t="str"/>
      <x:c r="I27" s="8" t="str"/>
      <x:c r="J27" s="8" t="str"/>
      <x:c r="K27" s="8" t="str">
        <x:f>IF(J27="","OPEN",IF(OR(NOT(ISNUMBER(F27)),NOT(ISNUMBER(G27)),ABS(E27-F27-G27)&gt;0.05,G27&gt;'Controls'!$D$48,H27="",I27=""),"FAIL","PASS"))</x:f>
        <x:v>OPEN</x:v>
      </x:c>
    </x:row>
    <x:row r="28" ht="30" customHeight="1">
      <x:c r="B28" s="8" t="str">
        <x:v>DA-X1-D22</x:v>
      </x:c>
      <x:c r="C28" s="8" t="str">
        <x:v>DA-X1</x:v>
      </x:c>
      <x:c r="D28" s="8" t="n">
        <x:v>22</x:v>
      </x:c>
      <x:c r="E28" s="8" t="n">
        <x:v>100</x:v>
      </x:c>
      <x:c r="F28" s="8" t="str"/>
      <x:c r="G28" s="8" t="str"/>
      <x:c r="H28" s="8" t="str"/>
      <x:c r="I28" s="8" t="str"/>
      <x:c r="J28" s="8" t="str"/>
      <x:c r="K28" s="8" t="str">
        <x:f>IF(J28="","OPEN",IF(OR(NOT(ISNUMBER(F28)),NOT(ISNUMBER(G28)),ABS(E28-F28-G28)&gt;0.05,G28&gt;'Controls'!$D$48,H28="",I28=""),"FAIL","PASS"))</x:f>
        <x:v>OPEN</x:v>
      </x:c>
    </x:row>
    <x:row r="29" ht="30" customHeight="1">
      <x:c r="B29" s="8" t="str">
        <x:v>DA-X1-D23</x:v>
      </x:c>
      <x:c r="C29" s="8" t="str">
        <x:v>DA-X1</x:v>
      </x:c>
      <x:c r="D29" s="8" t="n">
        <x:v>23</x:v>
      </x:c>
      <x:c r="E29" s="8" t="n">
        <x:v>100</x:v>
      </x:c>
      <x:c r="F29" s="8" t="str"/>
      <x:c r="G29" s="8" t="str"/>
      <x:c r="H29" s="8" t="str"/>
      <x:c r="I29" s="8" t="str"/>
      <x:c r="J29" s="8" t="str"/>
      <x:c r="K29" s="8" t="str">
        <x:f>IF(J29="","OPEN",IF(OR(NOT(ISNUMBER(F29)),NOT(ISNUMBER(G29)),ABS(E29-F29-G29)&gt;0.05,G29&gt;'Controls'!$D$48,H29="",I29=""),"FAIL","PASS"))</x:f>
        <x:v>OPEN</x:v>
      </x:c>
    </x:row>
    <x:row r="30" ht="30" customHeight="1">
      <x:c r="B30" s="8" t="str">
        <x:v>DA-X1-D24</x:v>
      </x:c>
      <x:c r="C30" s="8" t="str">
        <x:v>DA-X1</x:v>
      </x:c>
      <x:c r="D30" s="8" t="n">
        <x:v>24</x:v>
      </x:c>
      <x:c r="E30" s="8" t="n">
        <x:v>100</x:v>
      </x:c>
      <x:c r="F30" s="8" t="str"/>
      <x:c r="G30" s="8" t="str"/>
      <x:c r="H30" s="8" t="str"/>
      <x:c r="I30" s="8" t="str"/>
      <x:c r="J30" s="8" t="str"/>
      <x:c r="K30" s="8" t="str">
        <x:f>IF(J30="","OPEN",IF(OR(NOT(ISNUMBER(F30)),NOT(ISNUMBER(G30)),ABS(E30-F30-G30)&gt;0.05,G30&gt;'Controls'!$D$48,H30="",I30=""),"FAIL","PASS"))</x:f>
        <x:v>OPEN</x:v>
      </x:c>
    </x:row>
    <x:row r="31" ht="30" customHeight="1">
      <x:c r="B31" s="8" t="str">
        <x:v>DA-X1-D25</x:v>
      </x:c>
      <x:c r="C31" s="8" t="str">
        <x:v>DA-X1</x:v>
      </x:c>
      <x:c r="D31" s="8" t="n">
        <x:v>25</x:v>
      </x:c>
      <x:c r="E31" s="8" t="n">
        <x:v>100</x:v>
      </x:c>
      <x:c r="F31" s="8" t="str"/>
      <x:c r="G31" s="8" t="str"/>
      <x:c r="H31" s="8" t="str"/>
      <x:c r="I31" s="8" t="str"/>
      <x:c r="J31" s="8" t="str"/>
      <x:c r="K31" s="8" t="str">
        <x:f>IF(J31="","OPEN",IF(OR(NOT(ISNUMBER(F31)),NOT(ISNUMBER(G31)),ABS(E31-F31-G31)&gt;0.05,G31&gt;'Controls'!$D$48,H31="",I31=""),"FAIL","PASS"))</x:f>
        <x:v>OPEN</x:v>
      </x:c>
    </x:row>
    <x:row r="32" ht="30" customHeight="1">
      <x:c r="B32" s="8" t="str">
        <x:v>DA-X1-D26</x:v>
      </x:c>
      <x:c r="C32" s="8" t="str">
        <x:v>DA-X1</x:v>
      </x:c>
      <x:c r="D32" s="8" t="n">
        <x:v>26</x:v>
      </x:c>
      <x:c r="E32" s="8" t="n">
        <x:v>100</x:v>
      </x:c>
      <x:c r="F32" s="8" t="str"/>
      <x:c r="G32" s="8" t="str"/>
      <x:c r="H32" s="8" t="str"/>
      <x:c r="I32" s="8" t="str"/>
      <x:c r="J32" s="8" t="str"/>
      <x:c r="K32" s="8" t="str">
        <x:f>IF(J32="","OPEN",IF(OR(NOT(ISNUMBER(F32)),NOT(ISNUMBER(G32)),ABS(E32-F32-G32)&gt;0.05,G32&gt;'Controls'!$D$48,H32="",I32=""),"FAIL","PASS"))</x:f>
        <x:v>OPEN</x:v>
      </x:c>
    </x:row>
    <x:row r="33" ht="30" customHeight="1">
      <x:c r="B33" s="8" t="str">
        <x:v>DA-X1-D27</x:v>
      </x:c>
      <x:c r="C33" s="8" t="str">
        <x:v>DA-X1</x:v>
      </x:c>
      <x:c r="D33" s="8" t="n">
        <x:v>27</x:v>
      </x:c>
      <x:c r="E33" s="8" t="n">
        <x:v>100</x:v>
      </x:c>
      <x:c r="F33" s="8" t="str"/>
      <x:c r="G33" s="8" t="str"/>
      <x:c r="H33" s="8" t="str"/>
      <x:c r="I33" s="8" t="str"/>
      <x:c r="J33" s="8" t="str"/>
      <x:c r="K33" s="8" t="str">
        <x:f>IF(J33="","OPEN",IF(OR(NOT(ISNUMBER(F33)),NOT(ISNUMBER(G33)),ABS(E33-F33-G33)&gt;0.05,G33&gt;'Controls'!$D$48,H33="",I33=""),"FAIL","PASS"))</x:f>
        <x:v>OPEN</x:v>
      </x:c>
    </x:row>
    <x:row r="34" ht="30" customHeight="1">
      <x:c r="B34" s="8" t="str">
        <x:v>DA-X1-D28</x:v>
      </x:c>
      <x:c r="C34" s="8" t="str">
        <x:v>DA-X1</x:v>
      </x:c>
      <x:c r="D34" s="8" t="n">
        <x:v>28</x:v>
      </x:c>
      <x:c r="E34" s="8" t="n">
        <x:v>100</x:v>
      </x:c>
      <x:c r="F34" s="8" t="str"/>
      <x:c r="G34" s="8" t="str"/>
      <x:c r="H34" s="8" t="str"/>
      <x:c r="I34" s="8" t="str"/>
      <x:c r="J34" s="8" t="str"/>
      <x:c r="K34" s="8" t="str">
        <x:f>IF(J34="","OPEN",IF(OR(NOT(ISNUMBER(F34)),NOT(ISNUMBER(G34)),ABS(E34-F34-G34)&gt;0.05,G34&gt;'Controls'!$D$48,H34="",I34=""),"FAIL","PASS"))</x:f>
        <x:v>OPEN</x:v>
      </x:c>
    </x:row>
    <x:row r="35" ht="30" customHeight="1">
      <x:c r="B35" s="8" t="str">
        <x:v>DA-X1-D29</x:v>
      </x:c>
      <x:c r="C35" s="8" t="str">
        <x:v>DA-X1</x:v>
      </x:c>
      <x:c r="D35" s="8" t="n">
        <x:v>29</x:v>
      </x:c>
      <x:c r="E35" s="8" t="n">
        <x:v>100</x:v>
      </x:c>
      <x:c r="F35" s="8" t="str"/>
      <x:c r="G35" s="8" t="str"/>
      <x:c r="H35" s="8" t="str"/>
      <x:c r="I35" s="8" t="str"/>
      <x:c r="J35" s="8" t="str"/>
      <x:c r="K35" s="8" t="str">
        <x:f>IF(J35="","OPEN",IF(OR(NOT(ISNUMBER(F35)),NOT(ISNUMBER(G35)),ABS(E35-F35-G35)&gt;0.05,G35&gt;'Controls'!$D$48,H35="",I35=""),"FAIL","PASS"))</x:f>
        <x:v>OPEN</x:v>
      </x:c>
    </x:row>
    <x:row r="36" ht="30" customHeight="1">
      <x:c r="B36" s="8" t="str">
        <x:v>DA-X1-D30</x:v>
      </x:c>
      <x:c r="C36" s="8" t="str">
        <x:v>DA-X1</x:v>
      </x:c>
      <x:c r="D36" s="8" t="n">
        <x:v>30</x:v>
      </x:c>
      <x:c r="E36" s="8" t="n">
        <x:v>100</x:v>
      </x:c>
      <x:c r="F36" s="8" t="str"/>
      <x:c r="G36" s="8" t="str"/>
      <x:c r="H36" s="8" t="str"/>
      <x:c r="I36" s="8" t="str"/>
      <x:c r="J36" s="8" t="str"/>
      <x:c r="K36" s="8" t="str">
        <x:f>IF(J36="","OPEN",IF(OR(NOT(ISNUMBER(F36)),NOT(ISNUMBER(G36)),ABS(E36-F36-G36)&gt;0.05,G36&gt;'Controls'!$D$48,H36="",I36=""),"FAIL","PASS"))</x:f>
        <x:v>OPEN</x:v>
      </x:c>
    </x:row>
    <x:row r="37" ht="30" customHeight="1">
      <x:c r="B37" s="8" t="str">
        <x:v>DA-Y1-D01</x:v>
      </x:c>
      <x:c r="C37" s="8" t="str">
        <x:v>DA-Y1</x:v>
      </x:c>
      <x:c r="D37" s="8" t="n">
        <x:v>1</x:v>
      </x:c>
      <x:c r="E37" s="8" t="n">
        <x:v>100</x:v>
      </x:c>
      <x:c r="F37" s="8" t="str"/>
      <x:c r="G37" s="8" t="str"/>
      <x:c r="H37" s="8" t="str"/>
      <x:c r="I37" s="8" t="str"/>
      <x:c r="J37" s="8" t="str"/>
      <x:c r="K37" s="8" t="str">
        <x:f>IF(J37="","OPEN",IF(OR(NOT(ISNUMBER(F37)),NOT(ISNUMBER(G37)),ABS(E37-F37-G37)&gt;0.05,G37&gt;'Controls'!$D$48,H37="",I37=""),"FAIL","PASS"))</x:f>
        <x:v>OPEN</x:v>
      </x:c>
    </x:row>
    <x:row r="38" ht="30" customHeight="1">
      <x:c r="B38" s="8" t="str">
        <x:v>DA-Y1-D02</x:v>
      </x:c>
      <x:c r="C38" s="8" t="str">
        <x:v>DA-Y1</x:v>
      </x:c>
      <x:c r="D38" s="8" t="n">
        <x:v>2</x:v>
      </x:c>
      <x:c r="E38" s="8" t="n">
        <x:v>100</x:v>
      </x:c>
      <x:c r="F38" s="8" t="str"/>
      <x:c r="G38" s="8" t="str"/>
      <x:c r="H38" s="8" t="str"/>
      <x:c r="I38" s="8" t="str"/>
      <x:c r="J38" s="8" t="str"/>
      <x:c r="K38" s="8" t="str">
        <x:f>IF(J38="","OPEN",IF(OR(NOT(ISNUMBER(F38)),NOT(ISNUMBER(G38)),ABS(E38-F38-G38)&gt;0.05,G38&gt;'Controls'!$D$48,H38="",I38=""),"FAIL","PASS"))</x:f>
        <x:v>OPEN</x:v>
      </x:c>
    </x:row>
    <x:row r="39" ht="30" customHeight="1">
      <x:c r="B39" s="8" t="str">
        <x:v>DA-Y1-D03</x:v>
      </x:c>
      <x:c r="C39" s="8" t="str">
        <x:v>DA-Y1</x:v>
      </x:c>
      <x:c r="D39" s="8" t="n">
        <x:v>3</x:v>
      </x:c>
      <x:c r="E39" s="8" t="n">
        <x:v>100</x:v>
      </x:c>
      <x:c r="F39" s="8" t="str"/>
      <x:c r="G39" s="8" t="str"/>
      <x:c r="H39" s="8" t="str"/>
      <x:c r="I39" s="8" t="str"/>
      <x:c r="J39" s="8" t="str"/>
      <x:c r="K39" s="8" t="str">
        <x:f>IF(J39="","OPEN",IF(OR(NOT(ISNUMBER(F39)),NOT(ISNUMBER(G39)),ABS(E39-F39-G39)&gt;0.05,G39&gt;'Controls'!$D$48,H39="",I39=""),"FAIL","PASS"))</x:f>
        <x:v>OPEN</x:v>
      </x:c>
    </x:row>
    <x:row r="40" ht="30" customHeight="1">
      <x:c r="B40" s="8" t="str">
        <x:v>DA-Y1-D04</x:v>
      </x:c>
      <x:c r="C40" s="8" t="str">
        <x:v>DA-Y1</x:v>
      </x:c>
      <x:c r="D40" s="8" t="n">
        <x:v>4</x:v>
      </x:c>
      <x:c r="E40" s="8" t="n">
        <x:v>100</x:v>
      </x:c>
      <x:c r="F40" s="8" t="str"/>
      <x:c r="G40" s="8" t="str"/>
      <x:c r="H40" s="8" t="str"/>
      <x:c r="I40" s="8" t="str"/>
      <x:c r="J40" s="8" t="str"/>
      <x:c r="K40" s="8" t="str">
        <x:f>IF(J40="","OPEN",IF(OR(NOT(ISNUMBER(F40)),NOT(ISNUMBER(G40)),ABS(E40-F40-G40)&gt;0.05,G40&gt;'Controls'!$D$48,H40="",I40=""),"FAIL","PASS"))</x:f>
        <x:v>OPEN</x:v>
      </x:c>
    </x:row>
    <x:row r="41" ht="30" customHeight="1">
      <x:c r="B41" s="8" t="str">
        <x:v>DA-Y1-D05</x:v>
      </x:c>
      <x:c r="C41" s="8" t="str">
        <x:v>DA-Y1</x:v>
      </x:c>
      <x:c r="D41" s="8" t="n">
        <x:v>5</x:v>
      </x:c>
      <x:c r="E41" s="8" t="n">
        <x:v>100</x:v>
      </x:c>
      <x:c r="F41" s="8" t="str"/>
      <x:c r="G41" s="8" t="str"/>
      <x:c r="H41" s="8" t="str"/>
      <x:c r="I41" s="8" t="str"/>
      <x:c r="J41" s="8" t="str"/>
      <x:c r="K41" s="8" t="str">
        <x:f>IF(J41="","OPEN",IF(OR(NOT(ISNUMBER(F41)),NOT(ISNUMBER(G41)),ABS(E41-F41-G41)&gt;0.05,G41&gt;'Controls'!$D$48,H41="",I41=""),"FAIL","PASS"))</x:f>
        <x:v>OPEN</x:v>
      </x:c>
    </x:row>
    <x:row r="42" ht="30" customHeight="1">
      <x:c r="B42" s="8" t="str">
        <x:v>DA-Y1-D06</x:v>
      </x:c>
      <x:c r="C42" s="8" t="str">
        <x:v>DA-Y1</x:v>
      </x:c>
      <x:c r="D42" s="8" t="n">
        <x:v>6</x:v>
      </x:c>
      <x:c r="E42" s="8" t="n">
        <x:v>100</x:v>
      </x:c>
      <x:c r="F42" s="8" t="str"/>
      <x:c r="G42" s="8" t="str"/>
      <x:c r="H42" s="8" t="str"/>
      <x:c r="I42" s="8" t="str"/>
      <x:c r="J42" s="8" t="str"/>
      <x:c r="K42" s="8" t="str">
        <x:f>IF(J42="","OPEN",IF(OR(NOT(ISNUMBER(F42)),NOT(ISNUMBER(G42)),ABS(E42-F42-G42)&gt;0.05,G42&gt;'Controls'!$D$48,H42="",I42=""),"FAIL","PASS"))</x:f>
        <x:v>OPEN</x:v>
      </x:c>
    </x:row>
    <x:row r="43" ht="30" customHeight="1">
      <x:c r="B43" s="8" t="str">
        <x:v>DA-Y1-D07</x:v>
      </x:c>
      <x:c r="C43" s="8" t="str">
        <x:v>DA-Y1</x:v>
      </x:c>
      <x:c r="D43" s="8" t="n">
        <x:v>7</x:v>
      </x:c>
      <x:c r="E43" s="8" t="n">
        <x:v>100</x:v>
      </x:c>
      <x:c r="F43" s="8" t="str"/>
      <x:c r="G43" s="8" t="str"/>
      <x:c r="H43" s="8" t="str"/>
      <x:c r="I43" s="8" t="str"/>
      <x:c r="J43" s="8" t="str"/>
      <x:c r="K43" s="8" t="str">
        <x:f>IF(J43="","OPEN",IF(OR(NOT(ISNUMBER(F43)),NOT(ISNUMBER(G43)),ABS(E43-F43-G43)&gt;0.05,G43&gt;'Controls'!$D$48,H43="",I43=""),"FAIL","PASS"))</x:f>
        <x:v>OPEN</x:v>
      </x:c>
    </x:row>
    <x:row r="44" ht="30" customHeight="1">
      <x:c r="B44" s="8" t="str">
        <x:v>DA-Y1-D08</x:v>
      </x:c>
      <x:c r="C44" s="8" t="str">
        <x:v>DA-Y1</x:v>
      </x:c>
      <x:c r="D44" s="8" t="n">
        <x:v>8</x:v>
      </x:c>
      <x:c r="E44" s="8" t="n">
        <x:v>100</x:v>
      </x:c>
      <x:c r="F44" s="8" t="str"/>
      <x:c r="G44" s="8" t="str"/>
      <x:c r="H44" s="8" t="str"/>
      <x:c r="I44" s="8" t="str"/>
      <x:c r="J44" s="8" t="str"/>
      <x:c r="K44" s="8" t="str">
        <x:f>IF(J44="","OPEN",IF(OR(NOT(ISNUMBER(F44)),NOT(ISNUMBER(G44)),ABS(E44-F44-G44)&gt;0.05,G44&gt;'Controls'!$D$48,H44="",I44=""),"FAIL","PASS"))</x:f>
        <x:v>OPEN</x:v>
      </x:c>
    </x:row>
    <x:row r="45" ht="30" customHeight="1">
      <x:c r="B45" s="8" t="str">
        <x:v>DA-Y1-D09</x:v>
      </x:c>
      <x:c r="C45" s="8" t="str">
        <x:v>DA-Y1</x:v>
      </x:c>
      <x:c r="D45" s="8" t="n">
        <x:v>9</x:v>
      </x:c>
      <x:c r="E45" s="8" t="n">
        <x:v>100</x:v>
      </x:c>
      <x:c r="F45" s="8" t="str"/>
      <x:c r="G45" s="8" t="str"/>
      <x:c r="H45" s="8" t="str"/>
      <x:c r="I45" s="8" t="str"/>
      <x:c r="J45" s="8" t="str"/>
      <x:c r="K45" s="8" t="str">
        <x:f>IF(J45="","OPEN",IF(OR(NOT(ISNUMBER(F45)),NOT(ISNUMBER(G45)),ABS(E45-F45-G45)&gt;0.05,G45&gt;'Controls'!$D$48,H45="",I45=""),"FAIL","PASS"))</x:f>
        <x:v>OPEN</x:v>
      </x:c>
    </x:row>
    <x:row r="46" ht="30" customHeight="1">
      <x:c r="B46" s="8" t="str">
        <x:v>DA-Y1-D10</x:v>
      </x:c>
      <x:c r="C46" s="8" t="str">
        <x:v>DA-Y1</x:v>
      </x:c>
      <x:c r="D46" s="8" t="n">
        <x:v>10</x:v>
      </x:c>
      <x:c r="E46" s="8" t="n">
        <x:v>100</x:v>
      </x:c>
      <x:c r="F46" s="8" t="str"/>
      <x:c r="G46" s="8" t="str"/>
      <x:c r="H46" s="8" t="str"/>
      <x:c r="I46" s="8" t="str"/>
      <x:c r="J46" s="8" t="str"/>
      <x:c r="K46" s="8" t="str">
        <x:f>IF(J46="","OPEN",IF(OR(NOT(ISNUMBER(F46)),NOT(ISNUMBER(G46)),ABS(E46-F46-G46)&gt;0.05,G46&gt;'Controls'!$D$48,H46="",I46=""),"FAIL","PASS"))</x:f>
        <x:v>OPEN</x:v>
      </x:c>
    </x:row>
    <x:row r="47" ht="30" customHeight="1">
      <x:c r="B47" s="8" t="str">
        <x:v>DA-Y1-D11</x:v>
      </x:c>
      <x:c r="C47" s="8" t="str">
        <x:v>DA-Y1</x:v>
      </x:c>
      <x:c r="D47" s="8" t="n">
        <x:v>11</x:v>
      </x:c>
      <x:c r="E47" s="8" t="n">
        <x:v>100</x:v>
      </x:c>
      <x:c r="F47" s="8" t="str"/>
      <x:c r="G47" s="8" t="str"/>
      <x:c r="H47" s="8" t="str"/>
      <x:c r="I47" s="8" t="str"/>
      <x:c r="J47" s="8" t="str"/>
      <x:c r="K47" s="8" t="str">
        <x:f>IF(J47="","OPEN",IF(OR(NOT(ISNUMBER(F47)),NOT(ISNUMBER(G47)),ABS(E47-F47-G47)&gt;0.05,G47&gt;'Controls'!$D$48,H47="",I47=""),"FAIL","PASS"))</x:f>
        <x:v>OPEN</x:v>
      </x:c>
    </x:row>
    <x:row r="48" ht="30" customHeight="1">
      <x:c r="B48" s="8" t="str">
        <x:v>DA-Y1-D12</x:v>
      </x:c>
      <x:c r="C48" s="8" t="str">
        <x:v>DA-Y1</x:v>
      </x:c>
      <x:c r="D48" s="8" t="n">
        <x:v>12</x:v>
      </x:c>
      <x:c r="E48" s="8" t="n">
        <x:v>100</x:v>
      </x:c>
      <x:c r="F48" s="8" t="str"/>
      <x:c r="G48" s="8" t="str"/>
      <x:c r="H48" s="8" t="str"/>
      <x:c r="I48" s="8" t="str"/>
      <x:c r="J48" s="8" t="str"/>
      <x:c r="K48" s="8" t="str">
        <x:f>IF(J48="","OPEN",IF(OR(NOT(ISNUMBER(F48)),NOT(ISNUMBER(G48)),ABS(E48-F48-G48)&gt;0.05,G48&gt;'Controls'!$D$48,H48="",I48=""),"FAIL","PASS"))</x:f>
        <x:v>OPEN</x:v>
      </x:c>
    </x:row>
    <x:row r="49" ht="30" customHeight="1">
      <x:c r="B49" s="8" t="str">
        <x:v>DA-Y1-D13</x:v>
      </x:c>
      <x:c r="C49" s="8" t="str">
        <x:v>DA-Y1</x:v>
      </x:c>
      <x:c r="D49" s="8" t="n">
        <x:v>13</x:v>
      </x:c>
      <x:c r="E49" s="8" t="n">
        <x:v>100</x:v>
      </x:c>
      <x:c r="F49" s="8" t="str"/>
      <x:c r="G49" s="8" t="str"/>
      <x:c r="H49" s="8" t="str"/>
      <x:c r="I49" s="8" t="str"/>
      <x:c r="J49" s="8" t="str"/>
      <x:c r="K49" s="8" t="str">
        <x:f>IF(J49="","OPEN",IF(OR(NOT(ISNUMBER(F49)),NOT(ISNUMBER(G49)),ABS(E49-F49-G49)&gt;0.05,G49&gt;'Controls'!$D$48,H49="",I49=""),"FAIL","PASS"))</x:f>
        <x:v>OPEN</x:v>
      </x:c>
    </x:row>
    <x:row r="50" ht="30" customHeight="1">
      <x:c r="B50" s="8" t="str">
        <x:v>DA-Y1-D14</x:v>
      </x:c>
      <x:c r="C50" s="8" t="str">
        <x:v>DA-Y1</x:v>
      </x:c>
      <x:c r="D50" s="8" t="n">
        <x:v>14</x:v>
      </x:c>
      <x:c r="E50" s="8" t="n">
        <x:v>100</x:v>
      </x:c>
      <x:c r="F50" s="8" t="str"/>
      <x:c r="G50" s="8" t="str"/>
      <x:c r="H50" s="8" t="str"/>
      <x:c r="I50" s="8" t="str"/>
      <x:c r="J50" s="8" t="str"/>
      <x:c r="K50" s="8" t="str">
        <x:f>IF(J50="","OPEN",IF(OR(NOT(ISNUMBER(F50)),NOT(ISNUMBER(G50)),ABS(E50-F50-G50)&gt;0.05,G50&gt;'Controls'!$D$48,H50="",I50=""),"FAIL","PASS"))</x:f>
        <x:v>OPEN</x:v>
      </x:c>
    </x:row>
    <x:row r="51" ht="30" customHeight="1">
      <x:c r="B51" s="8" t="str">
        <x:v>DA-Y1-D15</x:v>
      </x:c>
      <x:c r="C51" s="8" t="str">
        <x:v>DA-Y1</x:v>
      </x:c>
      <x:c r="D51" s="8" t="n">
        <x:v>15</x:v>
      </x:c>
      <x:c r="E51" s="8" t="n">
        <x:v>100</x:v>
      </x:c>
      <x:c r="F51" s="8" t="str"/>
      <x:c r="G51" s="8" t="str"/>
      <x:c r="H51" s="8" t="str"/>
      <x:c r="I51" s="8" t="str"/>
      <x:c r="J51" s="8" t="str"/>
      <x:c r="K51" s="8" t="str">
        <x:f>IF(J51="","OPEN",IF(OR(NOT(ISNUMBER(F51)),NOT(ISNUMBER(G51)),ABS(E51-F51-G51)&gt;0.05,G51&gt;'Controls'!$D$48,H51="",I51=""),"FAIL","PASS"))</x:f>
        <x:v>OPEN</x:v>
      </x:c>
    </x:row>
    <x:row r="52" ht="30" customHeight="1">
      <x:c r="B52" s="8" t="str">
        <x:v>DA-Y1-D16</x:v>
      </x:c>
      <x:c r="C52" s="8" t="str">
        <x:v>DA-Y1</x:v>
      </x:c>
      <x:c r="D52" s="8" t="n">
        <x:v>16</x:v>
      </x:c>
      <x:c r="E52" s="8" t="n">
        <x:v>100</x:v>
      </x:c>
      <x:c r="F52" s="8" t="str"/>
      <x:c r="G52" s="8" t="str"/>
      <x:c r="H52" s="8" t="str"/>
      <x:c r="I52" s="8" t="str"/>
      <x:c r="J52" s="8" t="str"/>
      <x:c r="K52" s="8" t="str">
        <x:f>IF(J52="","OPEN",IF(OR(NOT(ISNUMBER(F52)),NOT(ISNUMBER(G52)),ABS(E52-F52-G52)&gt;0.05,G52&gt;'Controls'!$D$48,H52="",I52=""),"FAIL","PASS"))</x:f>
        <x:v>OPEN</x:v>
      </x:c>
    </x:row>
    <x:row r="53" ht="30" customHeight="1">
      <x:c r="B53" s="8" t="str">
        <x:v>DA-Y1-D17</x:v>
      </x:c>
      <x:c r="C53" s="8" t="str">
        <x:v>DA-Y1</x:v>
      </x:c>
      <x:c r="D53" s="8" t="n">
        <x:v>17</x:v>
      </x:c>
      <x:c r="E53" s="8" t="n">
        <x:v>100</x:v>
      </x:c>
      <x:c r="F53" s="8" t="str"/>
      <x:c r="G53" s="8" t="str"/>
      <x:c r="H53" s="8" t="str"/>
      <x:c r="I53" s="8" t="str"/>
      <x:c r="J53" s="8" t="str"/>
      <x:c r="K53" s="8" t="str">
        <x:f>IF(J53="","OPEN",IF(OR(NOT(ISNUMBER(F53)),NOT(ISNUMBER(G53)),ABS(E53-F53-G53)&gt;0.05,G53&gt;'Controls'!$D$48,H53="",I53=""),"FAIL","PASS"))</x:f>
        <x:v>OPEN</x:v>
      </x:c>
    </x:row>
    <x:row r="54" ht="30" customHeight="1">
      <x:c r="B54" s="8" t="str">
        <x:v>DA-Y1-D18</x:v>
      </x:c>
      <x:c r="C54" s="8" t="str">
        <x:v>DA-Y1</x:v>
      </x:c>
      <x:c r="D54" s="8" t="n">
        <x:v>18</x:v>
      </x:c>
      <x:c r="E54" s="8" t="n">
        <x:v>100</x:v>
      </x:c>
      <x:c r="F54" s="8" t="str"/>
      <x:c r="G54" s="8" t="str"/>
      <x:c r="H54" s="8" t="str"/>
      <x:c r="I54" s="8" t="str"/>
      <x:c r="J54" s="8" t="str"/>
      <x:c r="K54" s="8" t="str">
        <x:f>IF(J54="","OPEN",IF(OR(NOT(ISNUMBER(F54)),NOT(ISNUMBER(G54)),ABS(E54-F54-G54)&gt;0.05,G54&gt;'Controls'!$D$48,H54="",I54=""),"FAIL","PASS"))</x:f>
        <x:v>OPEN</x:v>
      </x:c>
    </x:row>
    <x:row r="55" ht="30" customHeight="1">
      <x:c r="B55" s="8" t="str">
        <x:v>DA-Y1-D19</x:v>
      </x:c>
      <x:c r="C55" s="8" t="str">
        <x:v>DA-Y1</x:v>
      </x:c>
      <x:c r="D55" s="8" t="n">
        <x:v>19</x:v>
      </x:c>
      <x:c r="E55" s="8" t="n">
        <x:v>100</x:v>
      </x:c>
      <x:c r="F55" s="8" t="str"/>
      <x:c r="G55" s="8" t="str"/>
      <x:c r="H55" s="8" t="str"/>
      <x:c r="I55" s="8" t="str"/>
      <x:c r="J55" s="8" t="str"/>
      <x:c r="K55" s="8" t="str">
        <x:f>IF(J55="","OPEN",IF(OR(NOT(ISNUMBER(F55)),NOT(ISNUMBER(G55)),ABS(E55-F55-G55)&gt;0.05,G55&gt;'Controls'!$D$48,H55="",I55=""),"FAIL","PASS"))</x:f>
        <x:v>OPEN</x:v>
      </x:c>
    </x:row>
    <x:row r="56" ht="30" customHeight="1">
      <x:c r="B56" s="8" t="str">
        <x:v>DA-Y1-D20</x:v>
      </x:c>
      <x:c r="C56" s="8" t="str">
        <x:v>DA-Y1</x:v>
      </x:c>
      <x:c r="D56" s="8" t="n">
        <x:v>20</x:v>
      </x:c>
      <x:c r="E56" s="8" t="n">
        <x:v>100</x:v>
      </x:c>
      <x:c r="F56" s="8" t="str"/>
      <x:c r="G56" s="8" t="str"/>
      <x:c r="H56" s="8" t="str"/>
      <x:c r="I56" s="8" t="str"/>
      <x:c r="J56" s="8" t="str"/>
      <x:c r="K56" s="8" t="str">
        <x:f>IF(J56="","OPEN",IF(OR(NOT(ISNUMBER(F56)),NOT(ISNUMBER(G56)),ABS(E56-F56-G56)&gt;0.05,G56&gt;'Controls'!$D$48,H56="",I56=""),"FAIL","PASS"))</x:f>
        <x:v>OPEN</x:v>
      </x:c>
    </x:row>
    <x:row r="57" ht="30" customHeight="1">
      <x:c r="B57" s="8" t="str">
        <x:v>DA-Y1-D21</x:v>
      </x:c>
      <x:c r="C57" s="8" t="str">
        <x:v>DA-Y1</x:v>
      </x:c>
      <x:c r="D57" s="8" t="n">
        <x:v>21</x:v>
      </x:c>
      <x:c r="E57" s="8" t="n">
        <x:v>100</x:v>
      </x:c>
      <x:c r="F57" s="8" t="str"/>
      <x:c r="G57" s="8" t="str"/>
      <x:c r="H57" s="8" t="str"/>
      <x:c r="I57" s="8" t="str"/>
      <x:c r="J57" s="8" t="str"/>
      <x:c r="K57" s="8" t="str">
        <x:f>IF(J57="","OPEN",IF(OR(NOT(ISNUMBER(F57)),NOT(ISNUMBER(G57)),ABS(E57-F57-G57)&gt;0.05,G57&gt;'Controls'!$D$48,H57="",I57=""),"FAIL","PASS"))</x:f>
        <x:v>OPEN</x:v>
      </x:c>
    </x:row>
    <x:row r="58" ht="30" customHeight="1">
      <x:c r="B58" s="8" t="str">
        <x:v>DA-Y1-D22</x:v>
      </x:c>
      <x:c r="C58" s="8" t="str">
        <x:v>DA-Y1</x:v>
      </x:c>
      <x:c r="D58" s="8" t="n">
        <x:v>22</x:v>
      </x:c>
      <x:c r="E58" s="8" t="n">
        <x:v>100</x:v>
      </x:c>
      <x:c r="F58" s="8" t="str"/>
      <x:c r="G58" s="8" t="str"/>
      <x:c r="H58" s="8" t="str"/>
      <x:c r="I58" s="8" t="str"/>
      <x:c r="J58" s="8" t="str"/>
      <x:c r="K58" s="8" t="str">
        <x:f>IF(J58="","OPEN",IF(OR(NOT(ISNUMBER(F58)),NOT(ISNUMBER(G58)),ABS(E58-F58-G58)&gt;0.05,G58&gt;'Controls'!$D$48,H58="",I58=""),"FAIL","PASS"))</x:f>
        <x:v>OPEN</x:v>
      </x:c>
    </x:row>
    <x:row r="59" ht="30" customHeight="1">
      <x:c r="B59" s="8" t="str">
        <x:v>DA-Y1-D23</x:v>
      </x:c>
      <x:c r="C59" s="8" t="str">
        <x:v>DA-Y1</x:v>
      </x:c>
      <x:c r="D59" s="8" t="n">
        <x:v>23</x:v>
      </x:c>
      <x:c r="E59" s="8" t="n">
        <x:v>100</x:v>
      </x:c>
      <x:c r="F59" s="8" t="str"/>
      <x:c r="G59" s="8" t="str"/>
      <x:c r="H59" s="8" t="str"/>
      <x:c r="I59" s="8" t="str"/>
      <x:c r="J59" s="8" t="str"/>
      <x:c r="K59" s="8" t="str">
        <x:f>IF(J59="","OPEN",IF(OR(NOT(ISNUMBER(F59)),NOT(ISNUMBER(G59)),ABS(E59-F59-G59)&gt;0.05,G59&gt;'Controls'!$D$48,H59="",I59=""),"FAIL","PASS"))</x:f>
        <x:v>OPEN</x:v>
      </x:c>
    </x:row>
    <x:row r="60" ht="30" customHeight="1">
      <x:c r="B60" s="8" t="str">
        <x:v>DA-Y1-D24</x:v>
      </x:c>
      <x:c r="C60" s="8" t="str">
        <x:v>DA-Y1</x:v>
      </x:c>
      <x:c r="D60" s="8" t="n">
        <x:v>24</x:v>
      </x:c>
      <x:c r="E60" s="8" t="n">
        <x:v>100</x:v>
      </x:c>
      <x:c r="F60" s="8" t="str"/>
      <x:c r="G60" s="8" t="str"/>
      <x:c r="H60" s="8" t="str"/>
      <x:c r="I60" s="8" t="str"/>
      <x:c r="J60" s="8" t="str"/>
      <x:c r="K60" s="8" t="str">
        <x:f>IF(J60="","OPEN",IF(OR(NOT(ISNUMBER(F60)),NOT(ISNUMBER(G60)),ABS(E60-F60-G60)&gt;0.05,G60&gt;'Controls'!$D$48,H60="",I60=""),"FAIL","PASS"))</x:f>
        <x:v>OPEN</x:v>
      </x:c>
    </x:row>
    <x:row r="61" ht="30" customHeight="1">
      <x:c r="B61" s="8" t="str">
        <x:v>DA-Y1-D25</x:v>
      </x:c>
      <x:c r="C61" s="8" t="str">
        <x:v>DA-Y1</x:v>
      </x:c>
      <x:c r="D61" s="8" t="n">
        <x:v>25</x:v>
      </x:c>
      <x:c r="E61" s="8" t="n">
        <x:v>100</x:v>
      </x:c>
      <x:c r="F61" s="8" t="str"/>
      <x:c r="G61" s="8" t="str"/>
      <x:c r="H61" s="8" t="str"/>
      <x:c r="I61" s="8" t="str"/>
      <x:c r="J61" s="8" t="str"/>
      <x:c r="K61" s="8" t="str">
        <x:f>IF(J61="","OPEN",IF(OR(NOT(ISNUMBER(F61)),NOT(ISNUMBER(G61)),ABS(E61-F61-G61)&gt;0.05,G61&gt;'Controls'!$D$48,H61="",I61=""),"FAIL","PASS"))</x:f>
        <x:v>OPEN</x:v>
      </x:c>
    </x:row>
    <x:row r="62" ht="30" customHeight="1">
      <x:c r="B62" s="8" t="str">
        <x:v>DA-Y1-D26</x:v>
      </x:c>
      <x:c r="C62" s="8" t="str">
        <x:v>DA-Y1</x:v>
      </x:c>
      <x:c r="D62" s="8" t="n">
        <x:v>26</x:v>
      </x:c>
      <x:c r="E62" s="8" t="n">
        <x:v>100</x:v>
      </x:c>
      <x:c r="F62" s="8" t="str"/>
      <x:c r="G62" s="8" t="str"/>
      <x:c r="H62" s="8" t="str"/>
      <x:c r="I62" s="8" t="str"/>
      <x:c r="J62" s="8" t="str"/>
      <x:c r="K62" s="8" t="str">
        <x:f>IF(J62="","OPEN",IF(OR(NOT(ISNUMBER(F62)),NOT(ISNUMBER(G62)),ABS(E62-F62-G62)&gt;0.05,G62&gt;'Controls'!$D$48,H62="",I62=""),"FAIL","PASS"))</x:f>
        <x:v>OPEN</x:v>
      </x:c>
    </x:row>
    <x:row r="63" ht="30" customHeight="1">
      <x:c r="B63" s="8" t="str">
        <x:v>DA-Y1-D27</x:v>
      </x:c>
      <x:c r="C63" s="8" t="str">
        <x:v>DA-Y1</x:v>
      </x:c>
      <x:c r="D63" s="8" t="n">
        <x:v>27</x:v>
      </x:c>
      <x:c r="E63" s="8" t="n">
        <x:v>100</x:v>
      </x:c>
      <x:c r="F63" s="8" t="str"/>
      <x:c r="G63" s="8" t="str"/>
      <x:c r="H63" s="8" t="str"/>
      <x:c r="I63" s="8" t="str"/>
      <x:c r="J63" s="8" t="str"/>
      <x:c r="K63" s="8" t="str">
        <x:f>IF(J63="","OPEN",IF(OR(NOT(ISNUMBER(F63)),NOT(ISNUMBER(G63)),ABS(E63-F63-G63)&gt;0.05,G63&gt;'Controls'!$D$48,H63="",I63=""),"FAIL","PASS"))</x:f>
        <x:v>OPEN</x:v>
      </x:c>
    </x:row>
    <x:row r="64" ht="30" customHeight="1">
      <x:c r="B64" s="8" t="str">
        <x:v>DA-Y1-D28</x:v>
      </x:c>
      <x:c r="C64" s="8" t="str">
        <x:v>DA-Y1</x:v>
      </x:c>
      <x:c r="D64" s="8" t="n">
        <x:v>28</x:v>
      </x:c>
      <x:c r="E64" s="8" t="n">
        <x:v>100</x:v>
      </x:c>
      <x:c r="F64" s="8" t="str"/>
      <x:c r="G64" s="8" t="str"/>
      <x:c r="H64" s="8" t="str"/>
      <x:c r="I64" s="8" t="str"/>
      <x:c r="J64" s="8" t="str"/>
      <x:c r="K64" s="8" t="str">
        <x:f>IF(J64="","OPEN",IF(OR(NOT(ISNUMBER(F64)),NOT(ISNUMBER(G64)),ABS(E64-F64-G64)&gt;0.05,G64&gt;'Controls'!$D$48,H64="",I64=""),"FAIL","PASS"))</x:f>
        <x:v>OPEN</x:v>
      </x:c>
    </x:row>
    <x:row r="65" ht="30" customHeight="1">
      <x:c r="B65" s="8" t="str">
        <x:v>DA-Y1-D29</x:v>
      </x:c>
      <x:c r="C65" s="8" t="str">
        <x:v>DA-Y1</x:v>
      </x:c>
      <x:c r="D65" s="8" t="n">
        <x:v>29</x:v>
      </x:c>
      <x:c r="E65" s="8" t="n">
        <x:v>100</x:v>
      </x:c>
      <x:c r="F65" s="8" t="str"/>
      <x:c r="G65" s="8" t="str"/>
      <x:c r="H65" s="8" t="str"/>
      <x:c r="I65" s="8" t="str"/>
      <x:c r="J65" s="8" t="str"/>
      <x:c r="K65" s="8" t="str">
        <x:f>IF(J65="","OPEN",IF(OR(NOT(ISNUMBER(F65)),NOT(ISNUMBER(G65)),ABS(E65-F65-G65)&gt;0.05,G65&gt;'Controls'!$D$48,H65="",I65=""),"FAIL","PASS"))</x:f>
        <x:v>OPEN</x:v>
      </x:c>
    </x:row>
    <x:row r="66" ht="30" customHeight="1">
      <x:c r="B66" s="8" t="str">
        <x:v>DA-Y1-D30</x:v>
      </x:c>
      <x:c r="C66" s="8" t="str">
        <x:v>DA-Y1</x:v>
      </x:c>
      <x:c r="D66" s="8" t="n">
        <x:v>30</x:v>
      </x:c>
      <x:c r="E66" s="8" t="n">
        <x:v>100</x:v>
      </x:c>
      <x:c r="F66" s="8" t="str"/>
      <x:c r="G66" s="8" t="str"/>
      <x:c r="H66" s="8" t="str"/>
      <x:c r="I66" s="8" t="str"/>
      <x:c r="J66" s="8" t="str"/>
      <x:c r="K66" s="8" t="str">
        <x:f>IF(J66="","OPEN",IF(OR(NOT(ISNUMBER(F66)),NOT(ISNUMBER(G66)),ABS(E66-F66-G66)&gt;0.05,G66&gt;'Controls'!$D$48,H66="",I66=""),"FAIL","PASS"))</x:f>
        <x:v>OPEN</x:v>
      </x:c>
    </x:row>
  </x:sheetData>
  <x:conditionalFormatting sqref="K7:K66">
    <x:cfRule type="containsText" dxfId="96" priority="1" operator="containsText" text="FAIL"/>
    <x:cfRule type="containsText" dxfId="97" priority="2" operator="containsText" text="BLOCKED"/>
    <x:cfRule type="containsText" dxfId="98" priority="3" operator="containsText" text="OPEN"/>
    <x:cfRule type="containsText" dxfId="99" priority="4" operator="containsText" text="PASS"/>
    <x:cfRule type="containsText" dxfId="100" priority="5" operator="containsText" text="PLANNED"/>
    <x:cfRule type="containsText" dxfId="101" priority="6" operator="containsText" text="ACTIVE"/>
  </x:conditionalFormatting>
  <x:pageMargins left="0.7" right="0.7" top="0.75" bottom="0.75" header="0.3" footer="0.3"/>
</x:worksheet>
</file>

<file path=xl/worksheets/sheet26.xml><?xml version="1.0" encoding="utf-8"?>
<x:worksheet xmlns:x="http://schemas.openxmlformats.org/spreadsheetml/2006/main">
  <x:sheetViews>
    <x:sheetView showGridLines="0" workbookViewId="0">
      <x:pane xSplit="2" ySplit="6" topLeftCell="C7" activePane="bottomRight" state="frozen"/>
    </x:sheetView>
  </x:sheetViews>
  <x:sheetFormatPr defaultRowHeight="15"/>
  <x:cols>
    <x:col min="2" max="2" width="25" hidden="0" customWidth="1"/>
    <x:col min="3" max="3" width="14" hidden="0" customWidth="1"/>
    <x:col min="4" max="4" width="13" hidden="0" customWidth="1"/>
    <x:col min="5" max="5" width="28" hidden="0" customWidth="1"/>
    <x:col min="6" max="6" width="19" hidden="0" customWidth="1"/>
    <x:col min="7" max="7" width="17" hidden="0" customWidth="1"/>
    <x:col min="8" max="8" width="19" hidden="0" customWidth="1"/>
    <x:col min="9" max="9" width="20" hidden="0" customWidth="1"/>
    <x:col min="10" max="10" width="20" hidden="0" customWidth="1"/>
    <x:col min="11" max="11" width="14" hidden="0" customWidth="1"/>
  </x:cols>
  <x:sheetData>
    <x:row r="2">
      <x:c r="B2" s="44" t="str">
        <x:v>One hundred twenty final-element state trials</x:v>
      </x:c>
      <x:c r="C2" s="45"/>
      <x:c r="D2" s="45"/>
      <x:c r="E2" s="45"/>
      <x:c r="F2" s="45"/>
      <x:c r="G2" s="45"/>
      <x:c r="H2" s="45"/>
      <x:c r="I2" s="45"/>
      <x:c r="J2" s="45"/>
      <x:c r="K2" s="45"/>
    </x:row>
    <x:row r="3">
      <x:c r="B3" s="46" t="str">
        <x:v>Mechanical stored energy creates final action. Electrical energy observes, timestamps and seals it.</x:v>
      </x:c>
      <x:c r="C3" s="45"/>
      <x:c r="D3" s="45"/>
      <x:c r="E3" s="45"/>
      <x:c r="F3" s="45"/>
      <x:c r="G3" s="45"/>
      <x:c r="H3" s="45"/>
      <x:c r="I3" s="45"/>
      <x:c r="J3" s="45"/>
      <x:c r="K3" s="45"/>
    </x:row>
    <x:row r="4">
      <x:c r="B4" s="45"/>
      <x:c r="C4" s="45"/>
      <x:c r="D4" s="45"/>
      <x:c r="E4" s="45"/>
      <x:c r="F4" s="45"/>
      <x:c r="G4" s="45"/>
      <x:c r="H4" s="45"/>
      <x:c r="I4" s="45"/>
      <x:c r="J4" s="45"/>
      <x:c r="K4" s="45"/>
    </x:row>
    <x:row r="5">
      <x:c r="B5" s="45"/>
      <x:c r="C5" s="45"/>
      <x:c r="D5" s="45"/>
      <x:c r="E5" s="45"/>
      <x:c r="F5" s="45"/>
      <x:c r="G5" s="45"/>
      <x:c r="H5" s="45"/>
      <x:c r="I5" s="45"/>
      <x:c r="J5" s="45"/>
      <x:c r="K5" s="45"/>
    </x:row>
    <x:row r="6" ht="25" customHeight="1">
      <x:c r="B6" s="6" t="str">
        <x:v>Trial</x:v>
      </x:c>
      <x:c r="C6" s="6" t="str">
        <x:v>Article</x:v>
      </x:c>
      <x:c r="D6" s="6" t="str">
        <x:v>Element</x:v>
      </x:c>
      <x:c r="E6" s="6" t="str">
        <x:v>Condition</x:v>
      </x:c>
      <x:c r="F6" s="6" t="str">
        <x:v>Trigger result</x:v>
      </x:c>
      <x:c r="G6" s="6" t="str">
        <x:v>Final state</x:v>
      </x:c>
      <x:c r="H6" s="6" t="str">
        <x:v>Action time ms</x:v>
      </x:c>
      <x:c r="I6" s="6" t="str">
        <x:v>Evidence root</x:v>
      </x:c>
      <x:c r="J6" s="6" t="str">
        <x:v>Accepted UTC</x:v>
      </x:c>
      <x:c r="K6" s="6" t="str">
        <x:v>State</x:v>
      </x:c>
    </x:row>
    <x:row r="7" ht="29" customHeight="1">
      <x:c r="B7" s="8" t="str">
        <x:v>DA-X1-SE01-1</x:v>
      </x:c>
      <x:c r="C7" s="8" t="str">
        <x:v>DA-X1</x:v>
      </x:c>
      <x:c r="D7" s="8" t="n">
        <x:v>1</x:v>
      </x:c>
      <x:c r="E7" s="8" t="str">
        <x:v>normal energy</x:v>
      </x:c>
      <x:c r="F7" s="8" t="str"/>
      <x:c r="G7" s="8" t="str"/>
      <x:c r="H7" s="8" t="str"/>
      <x:c r="I7" s="8" t="str"/>
      <x:c r="J7" s="8" t="str"/>
      <x:c r="K7" s="8" t="str">
        <x:f>IF(J7="","OPEN",IF(OR(F7="",G7="",NOT(ISNUMBER(H7)),I7=""),"FAIL","PASS"))</x:f>
        <x:v>OPEN</x:v>
      </x:c>
    </x:row>
    <x:row r="8" ht="29" customHeight="1">
      <x:c r="B8" s="8" t="str">
        <x:v>DA-X1-SE01-2</x:v>
      </x:c>
      <x:c r="C8" s="8" t="str">
        <x:v>DA-X1</x:v>
      </x:c>
      <x:c r="D8" s="8" t="n">
        <x:v>1</x:v>
      </x:c>
      <x:c r="E8" s="8" t="str">
        <x:v>60 percent stored energy</x:v>
      </x:c>
      <x:c r="F8" s="8" t="str"/>
      <x:c r="G8" s="8" t="str"/>
      <x:c r="H8" s="8" t="str"/>
      <x:c r="I8" s="8" t="str"/>
      <x:c r="J8" s="8" t="str"/>
      <x:c r="K8" s="8" t="str">
        <x:f>IF(J8="","OPEN",IF(OR(F8="",G8="",NOT(ISNUMBER(H8)),I8=""),"FAIL","PASS"))</x:f>
        <x:v>OPEN</x:v>
      </x:c>
    </x:row>
    <x:row r="9" ht="29" customHeight="1">
      <x:c r="B9" s="8" t="str">
        <x:v>DA-X1-SE01-3</x:v>
      </x:c>
      <x:c r="C9" s="8" t="str">
        <x:v>DA-X1</x:v>
      </x:c>
      <x:c r="D9" s="8" t="n">
        <x:v>1</x:v>
      </x:c>
      <x:c r="E9" s="8" t="str">
        <x:v>normal power loss</x:v>
      </x:c>
      <x:c r="F9" s="8" t="str"/>
      <x:c r="G9" s="8" t="str"/>
      <x:c r="H9" s="8" t="str"/>
      <x:c r="I9" s="8" t="str"/>
      <x:c r="J9" s="8" t="str"/>
      <x:c r="K9" s="8" t="str">
        <x:f>IF(J9="","OPEN",IF(OR(F9="",G9="",NOT(ISNUMBER(H9)),I9=""),"FAIL","PASS"))</x:f>
        <x:v>OPEN</x:v>
      </x:c>
    </x:row>
    <x:row r="10" ht="29" customHeight="1">
      <x:c r="B10" s="8" t="str">
        <x:v>DA-X1-SE01-4</x:v>
      </x:c>
      <x:c r="C10" s="8" t="str">
        <x:v>DA-X1</x:v>
      </x:c>
      <x:c r="D10" s="8" t="n">
        <x:v>1</x:v>
      </x:c>
      <x:c r="E10" s="8" t="str">
        <x:v>causal-time loss</x:v>
      </x:c>
      <x:c r="F10" s="8" t="str"/>
      <x:c r="G10" s="8" t="str"/>
      <x:c r="H10" s="8" t="str"/>
      <x:c r="I10" s="8" t="str"/>
      <x:c r="J10" s="8" t="str"/>
      <x:c r="K10" s="8" t="str">
        <x:f>IF(J10="","OPEN",IF(OR(F10="",G10="",NOT(ISNUMBER(H10)),I10=""),"FAIL","PASS"))</x:f>
        <x:v>OPEN</x:v>
      </x:c>
    </x:row>
    <x:row r="11" ht="29" customHeight="1">
      <x:c r="B11" s="8" t="str">
        <x:v>DA-X1-SE01-5</x:v>
      </x:c>
      <x:c r="C11" s="8" t="str">
        <x:v>DA-X1</x:v>
      </x:c>
      <x:c r="D11" s="8" t="n">
        <x:v>1</x:v>
      </x:c>
      <x:c r="E11" s="8" t="str">
        <x:v>manual or passive route</x:v>
      </x:c>
      <x:c r="F11" s="8" t="str"/>
      <x:c r="G11" s="8" t="str"/>
      <x:c r="H11" s="8" t="str"/>
      <x:c r="I11" s="8" t="str"/>
      <x:c r="J11" s="8" t="str"/>
      <x:c r="K11" s="8" t="str">
        <x:f>IF(J11="","OPEN",IF(OR(F11="",G11="",NOT(ISNUMBER(H11)),I11=""),"FAIL","PASS"))</x:f>
        <x:v>OPEN</x:v>
      </x:c>
    </x:row>
    <x:row r="12" ht="29" customHeight="1">
      <x:c r="B12" s="8" t="str">
        <x:v>DA-X1-SE02-1</x:v>
      </x:c>
      <x:c r="C12" s="8" t="str">
        <x:v>DA-X1</x:v>
      </x:c>
      <x:c r="D12" s="8" t="n">
        <x:v>2</x:v>
      </x:c>
      <x:c r="E12" s="8" t="str">
        <x:v>normal energy</x:v>
      </x:c>
      <x:c r="F12" s="8" t="str"/>
      <x:c r="G12" s="8" t="str"/>
      <x:c r="H12" s="8" t="str"/>
      <x:c r="I12" s="8" t="str"/>
      <x:c r="J12" s="8" t="str"/>
      <x:c r="K12" s="8" t="str">
        <x:f>IF(J12="","OPEN",IF(OR(F12="",G12="",NOT(ISNUMBER(H12)),I12=""),"FAIL","PASS"))</x:f>
        <x:v>OPEN</x:v>
      </x:c>
    </x:row>
    <x:row r="13" ht="29" customHeight="1">
      <x:c r="B13" s="8" t="str">
        <x:v>DA-X1-SE02-2</x:v>
      </x:c>
      <x:c r="C13" s="8" t="str">
        <x:v>DA-X1</x:v>
      </x:c>
      <x:c r="D13" s="8" t="n">
        <x:v>2</x:v>
      </x:c>
      <x:c r="E13" s="8" t="str">
        <x:v>60 percent stored energy</x:v>
      </x:c>
      <x:c r="F13" s="8" t="str"/>
      <x:c r="G13" s="8" t="str"/>
      <x:c r="H13" s="8" t="str"/>
      <x:c r="I13" s="8" t="str"/>
      <x:c r="J13" s="8" t="str"/>
      <x:c r="K13" s="8" t="str">
        <x:f>IF(J13="","OPEN",IF(OR(F13="",G13="",NOT(ISNUMBER(H13)),I13=""),"FAIL","PASS"))</x:f>
        <x:v>OPEN</x:v>
      </x:c>
    </x:row>
    <x:row r="14" ht="29" customHeight="1">
      <x:c r="B14" s="8" t="str">
        <x:v>DA-X1-SE02-3</x:v>
      </x:c>
      <x:c r="C14" s="8" t="str">
        <x:v>DA-X1</x:v>
      </x:c>
      <x:c r="D14" s="8" t="n">
        <x:v>2</x:v>
      </x:c>
      <x:c r="E14" s="8" t="str">
        <x:v>normal power loss</x:v>
      </x:c>
      <x:c r="F14" s="8" t="str"/>
      <x:c r="G14" s="8" t="str"/>
      <x:c r="H14" s="8" t="str"/>
      <x:c r="I14" s="8" t="str"/>
      <x:c r="J14" s="8" t="str"/>
      <x:c r="K14" s="8" t="str">
        <x:f>IF(J14="","OPEN",IF(OR(F14="",G14="",NOT(ISNUMBER(H14)),I14=""),"FAIL","PASS"))</x:f>
        <x:v>OPEN</x:v>
      </x:c>
    </x:row>
    <x:row r="15" ht="29" customHeight="1">
      <x:c r="B15" s="8" t="str">
        <x:v>DA-X1-SE02-4</x:v>
      </x:c>
      <x:c r="C15" s="8" t="str">
        <x:v>DA-X1</x:v>
      </x:c>
      <x:c r="D15" s="8" t="n">
        <x:v>2</x:v>
      </x:c>
      <x:c r="E15" s="8" t="str">
        <x:v>causal-time loss</x:v>
      </x:c>
      <x:c r="F15" s="8" t="str"/>
      <x:c r="G15" s="8" t="str"/>
      <x:c r="H15" s="8" t="str"/>
      <x:c r="I15" s="8" t="str"/>
      <x:c r="J15" s="8" t="str"/>
      <x:c r="K15" s="8" t="str">
        <x:f>IF(J15="","OPEN",IF(OR(F15="",G15="",NOT(ISNUMBER(H15)),I15=""),"FAIL","PASS"))</x:f>
        <x:v>OPEN</x:v>
      </x:c>
    </x:row>
    <x:row r="16" ht="29" customHeight="1">
      <x:c r="B16" s="8" t="str">
        <x:v>DA-X1-SE02-5</x:v>
      </x:c>
      <x:c r="C16" s="8" t="str">
        <x:v>DA-X1</x:v>
      </x:c>
      <x:c r="D16" s="8" t="n">
        <x:v>2</x:v>
      </x:c>
      <x:c r="E16" s="8" t="str">
        <x:v>manual or passive route</x:v>
      </x:c>
      <x:c r="F16" s="8" t="str"/>
      <x:c r="G16" s="8" t="str"/>
      <x:c r="H16" s="8" t="str"/>
      <x:c r="I16" s="8" t="str"/>
      <x:c r="J16" s="8" t="str"/>
      <x:c r="K16" s="8" t="str">
        <x:f>IF(J16="","OPEN",IF(OR(F16="",G16="",NOT(ISNUMBER(H16)),I16=""),"FAIL","PASS"))</x:f>
        <x:v>OPEN</x:v>
      </x:c>
    </x:row>
    <x:row r="17" ht="29" customHeight="1">
      <x:c r="B17" s="8" t="str">
        <x:v>DA-X1-SE03-1</x:v>
      </x:c>
      <x:c r="C17" s="8" t="str">
        <x:v>DA-X1</x:v>
      </x:c>
      <x:c r="D17" s="8" t="n">
        <x:v>3</x:v>
      </x:c>
      <x:c r="E17" s="8" t="str">
        <x:v>normal energy</x:v>
      </x:c>
      <x:c r="F17" s="8" t="str"/>
      <x:c r="G17" s="8" t="str"/>
      <x:c r="H17" s="8" t="str"/>
      <x:c r="I17" s="8" t="str"/>
      <x:c r="J17" s="8" t="str"/>
      <x:c r="K17" s="8" t="str">
        <x:f>IF(J17="","OPEN",IF(OR(F17="",G17="",NOT(ISNUMBER(H17)),I17=""),"FAIL","PASS"))</x:f>
        <x:v>OPEN</x:v>
      </x:c>
    </x:row>
    <x:row r="18" ht="29" customHeight="1">
      <x:c r="B18" s="8" t="str">
        <x:v>DA-X1-SE03-2</x:v>
      </x:c>
      <x:c r="C18" s="8" t="str">
        <x:v>DA-X1</x:v>
      </x:c>
      <x:c r="D18" s="8" t="n">
        <x:v>3</x:v>
      </x:c>
      <x:c r="E18" s="8" t="str">
        <x:v>60 percent stored energy</x:v>
      </x:c>
      <x:c r="F18" s="8" t="str"/>
      <x:c r="G18" s="8" t="str"/>
      <x:c r="H18" s="8" t="str"/>
      <x:c r="I18" s="8" t="str"/>
      <x:c r="J18" s="8" t="str"/>
      <x:c r="K18" s="8" t="str">
        <x:f>IF(J18="","OPEN",IF(OR(F18="",G18="",NOT(ISNUMBER(H18)),I18=""),"FAIL","PASS"))</x:f>
        <x:v>OPEN</x:v>
      </x:c>
    </x:row>
    <x:row r="19" ht="29" customHeight="1">
      <x:c r="B19" s="8" t="str">
        <x:v>DA-X1-SE03-3</x:v>
      </x:c>
      <x:c r="C19" s="8" t="str">
        <x:v>DA-X1</x:v>
      </x:c>
      <x:c r="D19" s="8" t="n">
        <x:v>3</x:v>
      </x:c>
      <x:c r="E19" s="8" t="str">
        <x:v>normal power loss</x:v>
      </x:c>
      <x:c r="F19" s="8" t="str"/>
      <x:c r="G19" s="8" t="str"/>
      <x:c r="H19" s="8" t="str"/>
      <x:c r="I19" s="8" t="str"/>
      <x:c r="J19" s="8" t="str"/>
      <x:c r="K19" s="8" t="str">
        <x:f>IF(J19="","OPEN",IF(OR(F19="",G19="",NOT(ISNUMBER(H19)),I19=""),"FAIL","PASS"))</x:f>
        <x:v>OPEN</x:v>
      </x:c>
    </x:row>
    <x:row r="20" ht="29" customHeight="1">
      <x:c r="B20" s="8" t="str">
        <x:v>DA-X1-SE03-4</x:v>
      </x:c>
      <x:c r="C20" s="8" t="str">
        <x:v>DA-X1</x:v>
      </x:c>
      <x:c r="D20" s="8" t="n">
        <x:v>3</x:v>
      </x:c>
      <x:c r="E20" s="8" t="str">
        <x:v>causal-time loss</x:v>
      </x:c>
      <x:c r="F20" s="8" t="str"/>
      <x:c r="G20" s="8" t="str"/>
      <x:c r="H20" s="8" t="str"/>
      <x:c r="I20" s="8" t="str"/>
      <x:c r="J20" s="8" t="str"/>
      <x:c r="K20" s="8" t="str">
        <x:f>IF(J20="","OPEN",IF(OR(F20="",G20="",NOT(ISNUMBER(H20)),I20=""),"FAIL","PASS"))</x:f>
        <x:v>OPEN</x:v>
      </x:c>
    </x:row>
    <x:row r="21" ht="29" customHeight="1">
      <x:c r="B21" s="8" t="str">
        <x:v>DA-X1-SE03-5</x:v>
      </x:c>
      <x:c r="C21" s="8" t="str">
        <x:v>DA-X1</x:v>
      </x:c>
      <x:c r="D21" s="8" t="n">
        <x:v>3</x:v>
      </x:c>
      <x:c r="E21" s="8" t="str">
        <x:v>manual or passive route</x:v>
      </x:c>
      <x:c r="F21" s="8" t="str"/>
      <x:c r="G21" s="8" t="str"/>
      <x:c r="H21" s="8" t="str"/>
      <x:c r="I21" s="8" t="str"/>
      <x:c r="J21" s="8" t="str"/>
      <x:c r="K21" s="8" t="str">
        <x:f>IF(J21="","OPEN",IF(OR(F21="",G21="",NOT(ISNUMBER(H21)),I21=""),"FAIL","PASS"))</x:f>
        <x:v>OPEN</x:v>
      </x:c>
    </x:row>
    <x:row r="22" ht="29" customHeight="1">
      <x:c r="B22" s="8" t="str">
        <x:v>DA-X1-SE04-1</x:v>
      </x:c>
      <x:c r="C22" s="8" t="str">
        <x:v>DA-X1</x:v>
      </x:c>
      <x:c r="D22" s="8" t="n">
        <x:v>4</x:v>
      </x:c>
      <x:c r="E22" s="8" t="str">
        <x:v>normal energy</x:v>
      </x:c>
      <x:c r="F22" s="8" t="str"/>
      <x:c r="G22" s="8" t="str"/>
      <x:c r="H22" s="8" t="str"/>
      <x:c r="I22" s="8" t="str"/>
      <x:c r="J22" s="8" t="str"/>
      <x:c r="K22" s="8" t="str">
        <x:f>IF(J22="","OPEN",IF(OR(F22="",G22="",NOT(ISNUMBER(H22)),I22=""),"FAIL","PASS"))</x:f>
        <x:v>OPEN</x:v>
      </x:c>
    </x:row>
    <x:row r="23" ht="29" customHeight="1">
      <x:c r="B23" s="8" t="str">
        <x:v>DA-X1-SE04-2</x:v>
      </x:c>
      <x:c r="C23" s="8" t="str">
        <x:v>DA-X1</x:v>
      </x:c>
      <x:c r="D23" s="8" t="n">
        <x:v>4</x:v>
      </x:c>
      <x:c r="E23" s="8" t="str">
        <x:v>60 percent stored energy</x:v>
      </x:c>
      <x:c r="F23" s="8" t="str"/>
      <x:c r="G23" s="8" t="str"/>
      <x:c r="H23" s="8" t="str"/>
      <x:c r="I23" s="8" t="str"/>
      <x:c r="J23" s="8" t="str"/>
      <x:c r="K23" s="8" t="str">
        <x:f>IF(J23="","OPEN",IF(OR(F23="",G23="",NOT(ISNUMBER(H23)),I23=""),"FAIL","PASS"))</x:f>
        <x:v>OPEN</x:v>
      </x:c>
    </x:row>
    <x:row r="24" ht="29" customHeight="1">
      <x:c r="B24" s="8" t="str">
        <x:v>DA-X1-SE04-3</x:v>
      </x:c>
      <x:c r="C24" s="8" t="str">
        <x:v>DA-X1</x:v>
      </x:c>
      <x:c r="D24" s="8" t="n">
        <x:v>4</x:v>
      </x:c>
      <x:c r="E24" s="8" t="str">
        <x:v>normal power loss</x:v>
      </x:c>
      <x:c r="F24" s="8" t="str"/>
      <x:c r="G24" s="8" t="str"/>
      <x:c r="H24" s="8" t="str"/>
      <x:c r="I24" s="8" t="str"/>
      <x:c r="J24" s="8" t="str"/>
      <x:c r="K24" s="8" t="str">
        <x:f>IF(J24="","OPEN",IF(OR(F24="",G24="",NOT(ISNUMBER(H24)),I24=""),"FAIL","PASS"))</x:f>
        <x:v>OPEN</x:v>
      </x:c>
    </x:row>
    <x:row r="25" ht="29" customHeight="1">
      <x:c r="B25" s="8" t="str">
        <x:v>DA-X1-SE04-4</x:v>
      </x:c>
      <x:c r="C25" s="8" t="str">
        <x:v>DA-X1</x:v>
      </x:c>
      <x:c r="D25" s="8" t="n">
        <x:v>4</x:v>
      </x:c>
      <x:c r="E25" s="8" t="str">
        <x:v>causal-time loss</x:v>
      </x:c>
      <x:c r="F25" s="8" t="str"/>
      <x:c r="G25" s="8" t="str"/>
      <x:c r="H25" s="8" t="str"/>
      <x:c r="I25" s="8" t="str"/>
      <x:c r="J25" s="8" t="str"/>
      <x:c r="K25" s="8" t="str">
        <x:f>IF(J25="","OPEN",IF(OR(F25="",G25="",NOT(ISNUMBER(H25)),I25=""),"FAIL","PASS"))</x:f>
        <x:v>OPEN</x:v>
      </x:c>
    </x:row>
    <x:row r="26" ht="29" customHeight="1">
      <x:c r="B26" s="8" t="str">
        <x:v>DA-X1-SE04-5</x:v>
      </x:c>
      <x:c r="C26" s="8" t="str">
        <x:v>DA-X1</x:v>
      </x:c>
      <x:c r="D26" s="8" t="n">
        <x:v>4</x:v>
      </x:c>
      <x:c r="E26" s="8" t="str">
        <x:v>manual or passive route</x:v>
      </x:c>
      <x:c r="F26" s="8" t="str"/>
      <x:c r="G26" s="8" t="str"/>
      <x:c r="H26" s="8" t="str"/>
      <x:c r="I26" s="8" t="str"/>
      <x:c r="J26" s="8" t="str"/>
      <x:c r="K26" s="8" t="str">
        <x:f>IF(J26="","OPEN",IF(OR(F26="",G26="",NOT(ISNUMBER(H26)),I26=""),"FAIL","PASS"))</x:f>
        <x:v>OPEN</x:v>
      </x:c>
    </x:row>
    <x:row r="27" ht="29" customHeight="1">
      <x:c r="B27" s="8" t="str">
        <x:v>DA-X1-SE05-1</x:v>
      </x:c>
      <x:c r="C27" s="8" t="str">
        <x:v>DA-X1</x:v>
      </x:c>
      <x:c r="D27" s="8" t="n">
        <x:v>5</x:v>
      </x:c>
      <x:c r="E27" s="8" t="str">
        <x:v>normal energy</x:v>
      </x:c>
      <x:c r="F27" s="8" t="str"/>
      <x:c r="G27" s="8" t="str"/>
      <x:c r="H27" s="8" t="str"/>
      <x:c r="I27" s="8" t="str"/>
      <x:c r="J27" s="8" t="str"/>
      <x:c r="K27" s="8" t="str">
        <x:f>IF(J27="","OPEN",IF(OR(F27="",G27="",NOT(ISNUMBER(H27)),I27=""),"FAIL","PASS"))</x:f>
        <x:v>OPEN</x:v>
      </x:c>
    </x:row>
    <x:row r="28" ht="29" customHeight="1">
      <x:c r="B28" s="8" t="str">
        <x:v>DA-X1-SE05-2</x:v>
      </x:c>
      <x:c r="C28" s="8" t="str">
        <x:v>DA-X1</x:v>
      </x:c>
      <x:c r="D28" s="8" t="n">
        <x:v>5</x:v>
      </x:c>
      <x:c r="E28" s="8" t="str">
        <x:v>60 percent stored energy</x:v>
      </x:c>
      <x:c r="F28" s="8" t="str"/>
      <x:c r="G28" s="8" t="str"/>
      <x:c r="H28" s="8" t="str"/>
      <x:c r="I28" s="8" t="str"/>
      <x:c r="J28" s="8" t="str"/>
      <x:c r="K28" s="8" t="str">
        <x:f>IF(J28="","OPEN",IF(OR(F28="",G28="",NOT(ISNUMBER(H28)),I28=""),"FAIL","PASS"))</x:f>
        <x:v>OPEN</x:v>
      </x:c>
    </x:row>
    <x:row r="29" ht="29" customHeight="1">
      <x:c r="B29" s="8" t="str">
        <x:v>DA-X1-SE05-3</x:v>
      </x:c>
      <x:c r="C29" s="8" t="str">
        <x:v>DA-X1</x:v>
      </x:c>
      <x:c r="D29" s="8" t="n">
        <x:v>5</x:v>
      </x:c>
      <x:c r="E29" s="8" t="str">
        <x:v>normal power loss</x:v>
      </x:c>
      <x:c r="F29" s="8" t="str"/>
      <x:c r="G29" s="8" t="str"/>
      <x:c r="H29" s="8" t="str"/>
      <x:c r="I29" s="8" t="str"/>
      <x:c r="J29" s="8" t="str"/>
      <x:c r="K29" s="8" t="str">
        <x:f>IF(J29="","OPEN",IF(OR(F29="",G29="",NOT(ISNUMBER(H29)),I29=""),"FAIL","PASS"))</x:f>
        <x:v>OPEN</x:v>
      </x:c>
    </x:row>
    <x:row r="30" ht="29" customHeight="1">
      <x:c r="B30" s="8" t="str">
        <x:v>DA-X1-SE05-4</x:v>
      </x:c>
      <x:c r="C30" s="8" t="str">
        <x:v>DA-X1</x:v>
      </x:c>
      <x:c r="D30" s="8" t="n">
        <x:v>5</x:v>
      </x:c>
      <x:c r="E30" s="8" t="str">
        <x:v>causal-time loss</x:v>
      </x:c>
      <x:c r="F30" s="8" t="str"/>
      <x:c r="G30" s="8" t="str"/>
      <x:c r="H30" s="8" t="str"/>
      <x:c r="I30" s="8" t="str"/>
      <x:c r="J30" s="8" t="str"/>
      <x:c r="K30" s="8" t="str">
        <x:f>IF(J30="","OPEN",IF(OR(F30="",G30="",NOT(ISNUMBER(H30)),I30=""),"FAIL","PASS"))</x:f>
        <x:v>OPEN</x:v>
      </x:c>
    </x:row>
    <x:row r="31" ht="29" customHeight="1">
      <x:c r="B31" s="8" t="str">
        <x:v>DA-X1-SE05-5</x:v>
      </x:c>
      <x:c r="C31" s="8" t="str">
        <x:v>DA-X1</x:v>
      </x:c>
      <x:c r="D31" s="8" t="n">
        <x:v>5</x:v>
      </x:c>
      <x:c r="E31" s="8" t="str">
        <x:v>manual or passive route</x:v>
      </x:c>
      <x:c r="F31" s="8" t="str"/>
      <x:c r="G31" s="8" t="str"/>
      <x:c r="H31" s="8" t="str"/>
      <x:c r="I31" s="8" t="str"/>
      <x:c r="J31" s="8" t="str"/>
      <x:c r="K31" s="8" t="str">
        <x:f>IF(J31="","OPEN",IF(OR(F31="",G31="",NOT(ISNUMBER(H31)),I31=""),"FAIL","PASS"))</x:f>
        <x:v>OPEN</x:v>
      </x:c>
    </x:row>
    <x:row r="32" ht="29" customHeight="1">
      <x:c r="B32" s="8" t="str">
        <x:v>DA-X1-SE06-1</x:v>
      </x:c>
      <x:c r="C32" s="8" t="str">
        <x:v>DA-X1</x:v>
      </x:c>
      <x:c r="D32" s="8" t="n">
        <x:v>6</x:v>
      </x:c>
      <x:c r="E32" s="8" t="str">
        <x:v>normal energy</x:v>
      </x:c>
      <x:c r="F32" s="8" t="str"/>
      <x:c r="G32" s="8" t="str"/>
      <x:c r="H32" s="8" t="str"/>
      <x:c r="I32" s="8" t="str"/>
      <x:c r="J32" s="8" t="str"/>
      <x:c r="K32" s="8" t="str">
        <x:f>IF(J32="","OPEN",IF(OR(F32="",G32="",NOT(ISNUMBER(H32)),I32=""),"FAIL","PASS"))</x:f>
        <x:v>OPEN</x:v>
      </x:c>
    </x:row>
    <x:row r="33" ht="29" customHeight="1">
      <x:c r="B33" s="8" t="str">
        <x:v>DA-X1-SE06-2</x:v>
      </x:c>
      <x:c r="C33" s="8" t="str">
        <x:v>DA-X1</x:v>
      </x:c>
      <x:c r="D33" s="8" t="n">
        <x:v>6</x:v>
      </x:c>
      <x:c r="E33" s="8" t="str">
        <x:v>60 percent stored energy</x:v>
      </x:c>
      <x:c r="F33" s="8" t="str"/>
      <x:c r="G33" s="8" t="str"/>
      <x:c r="H33" s="8" t="str"/>
      <x:c r="I33" s="8" t="str"/>
      <x:c r="J33" s="8" t="str"/>
      <x:c r="K33" s="8" t="str">
        <x:f>IF(J33="","OPEN",IF(OR(F33="",G33="",NOT(ISNUMBER(H33)),I33=""),"FAIL","PASS"))</x:f>
        <x:v>OPEN</x:v>
      </x:c>
    </x:row>
    <x:row r="34" ht="29" customHeight="1">
      <x:c r="B34" s="8" t="str">
        <x:v>DA-X1-SE06-3</x:v>
      </x:c>
      <x:c r="C34" s="8" t="str">
        <x:v>DA-X1</x:v>
      </x:c>
      <x:c r="D34" s="8" t="n">
        <x:v>6</x:v>
      </x:c>
      <x:c r="E34" s="8" t="str">
        <x:v>normal power loss</x:v>
      </x:c>
      <x:c r="F34" s="8" t="str"/>
      <x:c r="G34" s="8" t="str"/>
      <x:c r="H34" s="8" t="str"/>
      <x:c r="I34" s="8" t="str"/>
      <x:c r="J34" s="8" t="str"/>
      <x:c r="K34" s="8" t="str">
        <x:f>IF(J34="","OPEN",IF(OR(F34="",G34="",NOT(ISNUMBER(H34)),I34=""),"FAIL","PASS"))</x:f>
        <x:v>OPEN</x:v>
      </x:c>
    </x:row>
    <x:row r="35" ht="29" customHeight="1">
      <x:c r="B35" s="8" t="str">
        <x:v>DA-X1-SE06-4</x:v>
      </x:c>
      <x:c r="C35" s="8" t="str">
        <x:v>DA-X1</x:v>
      </x:c>
      <x:c r="D35" s="8" t="n">
        <x:v>6</x:v>
      </x:c>
      <x:c r="E35" s="8" t="str">
        <x:v>causal-time loss</x:v>
      </x:c>
      <x:c r="F35" s="8" t="str"/>
      <x:c r="G35" s="8" t="str"/>
      <x:c r="H35" s="8" t="str"/>
      <x:c r="I35" s="8" t="str"/>
      <x:c r="J35" s="8" t="str"/>
      <x:c r="K35" s="8" t="str">
        <x:f>IF(J35="","OPEN",IF(OR(F35="",G35="",NOT(ISNUMBER(H35)),I35=""),"FAIL","PASS"))</x:f>
        <x:v>OPEN</x:v>
      </x:c>
    </x:row>
    <x:row r="36" ht="29" customHeight="1">
      <x:c r="B36" s="8" t="str">
        <x:v>DA-X1-SE06-5</x:v>
      </x:c>
      <x:c r="C36" s="8" t="str">
        <x:v>DA-X1</x:v>
      </x:c>
      <x:c r="D36" s="8" t="n">
        <x:v>6</x:v>
      </x:c>
      <x:c r="E36" s="8" t="str">
        <x:v>manual or passive route</x:v>
      </x:c>
      <x:c r="F36" s="8" t="str"/>
      <x:c r="G36" s="8" t="str"/>
      <x:c r="H36" s="8" t="str"/>
      <x:c r="I36" s="8" t="str"/>
      <x:c r="J36" s="8" t="str"/>
      <x:c r="K36" s="8" t="str">
        <x:f>IF(J36="","OPEN",IF(OR(F36="",G36="",NOT(ISNUMBER(H36)),I36=""),"FAIL","PASS"))</x:f>
        <x:v>OPEN</x:v>
      </x:c>
    </x:row>
    <x:row r="37" ht="29" customHeight="1">
      <x:c r="B37" s="8" t="str">
        <x:v>DA-X1-SE07-1</x:v>
      </x:c>
      <x:c r="C37" s="8" t="str">
        <x:v>DA-X1</x:v>
      </x:c>
      <x:c r="D37" s="8" t="n">
        <x:v>7</x:v>
      </x:c>
      <x:c r="E37" s="8" t="str">
        <x:v>normal energy</x:v>
      </x:c>
      <x:c r="F37" s="8" t="str"/>
      <x:c r="G37" s="8" t="str"/>
      <x:c r="H37" s="8" t="str"/>
      <x:c r="I37" s="8" t="str"/>
      <x:c r="J37" s="8" t="str"/>
      <x:c r="K37" s="8" t="str">
        <x:f>IF(J37="","OPEN",IF(OR(F37="",G37="",NOT(ISNUMBER(H37)),I37=""),"FAIL","PASS"))</x:f>
        <x:v>OPEN</x:v>
      </x:c>
    </x:row>
    <x:row r="38" ht="29" customHeight="1">
      <x:c r="B38" s="8" t="str">
        <x:v>DA-X1-SE07-2</x:v>
      </x:c>
      <x:c r="C38" s="8" t="str">
        <x:v>DA-X1</x:v>
      </x:c>
      <x:c r="D38" s="8" t="n">
        <x:v>7</x:v>
      </x:c>
      <x:c r="E38" s="8" t="str">
        <x:v>60 percent stored energy</x:v>
      </x:c>
      <x:c r="F38" s="8" t="str"/>
      <x:c r="G38" s="8" t="str"/>
      <x:c r="H38" s="8" t="str"/>
      <x:c r="I38" s="8" t="str"/>
      <x:c r="J38" s="8" t="str"/>
      <x:c r="K38" s="8" t="str">
        <x:f>IF(J38="","OPEN",IF(OR(F38="",G38="",NOT(ISNUMBER(H38)),I38=""),"FAIL","PASS"))</x:f>
        <x:v>OPEN</x:v>
      </x:c>
    </x:row>
    <x:row r="39" ht="29" customHeight="1">
      <x:c r="B39" s="8" t="str">
        <x:v>DA-X1-SE07-3</x:v>
      </x:c>
      <x:c r="C39" s="8" t="str">
        <x:v>DA-X1</x:v>
      </x:c>
      <x:c r="D39" s="8" t="n">
        <x:v>7</x:v>
      </x:c>
      <x:c r="E39" s="8" t="str">
        <x:v>normal power loss</x:v>
      </x:c>
      <x:c r="F39" s="8" t="str"/>
      <x:c r="G39" s="8" t="str"/>
      <x:c r="H39" s="8" t="str"/>
      <x:c r="I39" s="8" t="str"/>
      <x:c r="J39" s="8" t="str"/>
      <x:c r="K39" s="8" t="str">
        <x:f>IF(J39="","OPEN",IF(OR(F39="",G39="",NOT(ISNUMBER(H39)),I39=""),"FAIL","PASS"))</x:f>
        <x:v>OPEN</x:v>
      </x:c>
    </x:row>
    <x:row r="40" ht="29" customHeight="1">
      <x:c r="B40" s="8" t="str">
        <x:v>DA-X1-SE07-4</x:v>
      </x:c>
      <x:c r="C40" s="8" t="str">
        <x:v>DA-X1</x:v>
      </x:c>
      <x:c r="D40" s="8" t="n">
        <x:v>7</x:v>
      </x:c>
      <x:c r="E40" s="8" t="str">
        <x:v>causal-time loss</x:v>
      </x:c>
      <x:c r="F40" s="8" t="str"/>
      <x:c r="G40" s="8" t="str"/>
      <x:c r="H40" s="8" t="str"/>
      <x:c r="I40" s="8" t="str"/>
      <x:c r="J40" s="8" t="str"/>
      <x:c r="K40" s="8" t="str">
        <x:f>IF(J40="","OPEN",IF(OR(F40="",G40="",NOT(ISNUMBER(H40)),I40=""),"FAIL","PASS"))</x:f>
        <x:v>OPEN</x:v>
      </x:c>
    </x:row>
    <x:row r="41" ht="29" customHeight="1">
      <x:c r="B41" s="8" t="str">
        <x:v>DA-X1-SE07-5</x:v>
      </x:c>
      <x:c r="C41" s="8" t="str">
        <x:v>DA-X1</x:v>
      </x:c>
      <x:c r="D41" s="8" t="n">
        <x:v>7</x:v>
      </x:c>
      <x:c r="E41" s="8" t="str">
        <x:v>manual or passive route</x:v>
      </x:c>
      <x:c r="F41" s="8" t="str"/>
      <x:c r="G41" s="8" t="str"/>
      <x:c r="H41" s="8" t="str"/>
      <x:c r="I41" s="8" t="str"/>
      <x:c r="J41" s="8" t="str"/>
      <x:c r="K41" s="8" t="str">
        <x:f>IF(J41="","OPEN",IF(OR(F41="",G41="",NOT(ISNUMBER(H41)),I41=""),"FAIL","PASS"))</x:f>
        <x:v>OPEN</x:v>
      </x:c>
    </x:row>
    <x:row r="42" ht="29" customHeight="1">
      <x:c r="B42" s="8" t="str">
        <x:v>DA-X1-SE08-1</x:v>
      </x:c>
      <x:c r="C42" s="8" t="str">
        <x:v>DA-X1</x:v>
      </x:c>
      <x:c r="D42" s="8" t="n">
        <x:v>8</x:v>
      </x:c>
      <x:c r="E42" s="8" t="str">
        <x:v>normal energy</x:v>
      </x:c>
      <x:c r="F42" s="8" t="str"/>
      <x:c r="G42" s="8" t="str"/>
      <x:c r="H42" s="8" t="str"/>
      <x:c r="I42" s="8" t="str"/>
      <x:c r="J42" s="8" t="str"/>
      <x:c r="K42" s="8" t="str">
        <x:f>IF(J42="","OPEN",IF(OR(F42="",G42="",NOT(ISNUMBER(H42)),I42=""),"FAIL","PASS"))</x:f>
        <x:v>OPEN</x:v>
      </x:c>
    </x:row>
    <x:row r="43" ht="29" customHeight="1">
      <x:c r="B43" s="8" t="str">
        <x:v>DA-X1-SE08-2</x:v>
      </x:c>
      <x:c r="C43" s="8" t="str">
        <x:v>DA-X1</x:v>
      </x:c>
      <x:c r="D43" s="8" t="n">
        <x:v>8</x:v>
      </x:c>
      <x:c r="E43" s="8" t="str">
        <x:v>60 percent stored energy</x:v>
      </x:c>
      <x:c r="F43" s="8" t="str"/>
      <x:c r="G43" s="8" t="str"/>
      <x:c r="H43" s="8" t="str"/>
      <x:c r="I43" s="8" t="str"/>
      <x:c r="J43" s="8" t="str"/>
      <x:c r="K43" s="8" t="str">
        <x:f>IF(J43="","OPEN",IF(OR(F43="",G43="",NOT(ISNUMBER(H43)),I43=""),"FAIL","PASS"))</x:f>
        <x:v>OPEN</x:v>
      </x:c>
    </x:row>
    <x:row r="44" ht="29" customHeight="1">
      <x:c r="B44" s="8" t="str">
        <x:v>DA-X1-SE08-3</x:v>
      </x:c>
      <x:c r="C44" s="8" t="str">
        <x:v>DA-X1</x:v>
      </x:c>
      <x:c r="D44" s="8" t="n">
        <x:v>8</x:v>
      </x:c>
      <x:c r="E44" s="8" t="str">
        <x:v>normal power loss</x:v>
      </x:c>
      <x:c r="F44" s="8" t="str"/>
      <x:c r="G44" s="8" t="str"/>
      <x:c r="H44" s="8" t="str"/>
      <x:c r="I44" s="8" t="str"/>
      <x:c r="J44" s="8" t="str"/>
      <x:c r="K44" s="8" t="str">
        <x:f>IF(J44="","OPEN",IF(OR(F44="",G44="",NOT(ISNUMBER(H44)),I44=""),"FAIL","PASS"))</x:f>
        <x:v>OPEN</x:v>
      </x:c>
    </x:row>
    <x:row r="45" ht="29" customHeight="1">
      <x:c r="B45" s="8" t="str">
        <x:v>DA-X1-SE08-4</x:v>
      </x:c>
      <x:c r="C45" s="8" t="str">
        <x:v>DA-X1</x:v>
      </x:c>
      <x:c r="D45" s="8" t="n">
        <x:v>8</x:v>
      </x:c>
      <x:c r="E45" s="8" t="str">
        <x:v>causal-time loss</x:v>
      </x:c>
      <x:c r="F45" s="8" t="str"/>
      <x:c r="G45" s="8" t="str"/>
      <x:c r="H45" s="8" t="str"/>
      <x:c r="I45" s="8" t="str"/>
      <x:c r="J45" s="8" t="str"/>
      <x:c r="K45" s="8" t="str">
        <x:f>IF(J45="","OPEN",IF(OR(F45="",G45="",NOT(ISNUMBER(H45)),I45=""),"FAIL","PASS"))</x:f>
        <x:v>OPEN</x:v>
      </x:c>
    </x:row>
    <x:row r="46" ht="29" customHeight="1">
      <x:c r="B46" s="8" t="str">
        <x:v>DA-X1-SE08-5</x:v>
      </x:c>
      <x:c r="C46" s="8" t="str">
        <x:v>DA-X1</x:v>
      </x:c>
      <x:c r="D46" s="8" t="n">
        <x:v>8</x:v>
      </x:c>
      <x:c r="E46" s="8" t="str">
        <x:v>manual or passive route</x:v>
      </x:c>
      <x:c r="F46" s="8" t="str"/>
      <x:c r="G46" s="8" t="str"/>
      <x:c r="H46" s="8" t="str"/>
      <x:c r="I46" s="8" t="str"/>
      <x:c r="J46" s="8" t="str"/>
      <x:c r="K46" s="8" t="str">
        <x:f>IF(J46="","OPEN",IF(OR(F46="",G46="",NOT(ISNUMBER(H46)),I46=""),"FAIL","PASS"))</x:f>
        <x:v>OPEN</x:v>
      </x:c>
    </x:row>
    <x:row r="47" ht="29" customHeight="1">
      <x:c r="B47" s="8" t="str">
        <x:v>DA-X1-SE09-1</x:v>
      </x:c>
      <x:c r="C47" s="8" t="str">
        <x:v>DA-X1</x:v>
      </x:c>
      <x:c r="D47" s="8" t="n">
        <x:v>9</x:v>
      </x:c>
      <x:c r="E47" s="8" t="str">
        <x:v>normal energy</x:v>
      </x:c>
      <x:c r="F47" s="8" t="str"/>
      <x:c r="G47" s="8" t="str"/>
      <x:c r="H47" s="8" t="str"/>
      <x:c r="I47" s="8" t="str"/>
      <x:c r="J47" s="8" t="str"/>
      <x:c r="K47" s="8" t="str">
        <x:f>IF(J47="","OPEN",IF(OR(F47="",G47="",NOT(ISNUMBER(H47)),I47=""),"FAIL","PASS"))</x:f>
        <x:v>OPEN</x:v>
      </x:c>
    </x:row>
    <x:row r="48" ht="29" customHeight="1">
      <x:c r="B48" s="8" t="str">
        <x:v>DA-X1-SE09-2</x:v>
      </x:c>
      <x:c r="C48" s="8" t="str">
        <x:v>DA-X1</x:v>
      </x:c>
      <x:c r="D48" s="8" t="n">
        <x:v>9</x:v>
      </x:c>
      <x:c r="E48" s="8" t="str">
        <x:v>60 percent stored energy</x:v>
      </x:c>
      <x:c r="F48" s="8" t="str"/>
      <x:c r="G48" s="8" t="str"/>
      <x:c r="H48" s="8" t="str"/>
      <x:c r="I48" s="8" t="str"/>
      <x:c r="J48" s="8" t="str"/>
      <x:c r="K48" s="8" t="str">
        <x:f>IF(J48="","OPEN",IF(OR(F48="",G48="",NOT(ISNUMBER(H48)),I48=""),"FAIL","PASS"))</x:f>
        <x:v>OPEN</x:v>
      </x:c>
    </x:row>
    <x:row r="49" ht="29" customHeight="1">
      <x:c r="B49" s="8" t="str">
        <x:v>DA-X1-SE09-3</x:v>
      </x:c>
      <x:c r="C49" s="8" t="str">
        <x:v>DA-X1</x:v>
      </x:c>
      <x:c r="D49" s="8" t="n">
        <x:v>9</x:v>
      </x:c>
      <x:c r="E49" s="8" t="str">
        <x:v>normal power loss</x:v>
      </x:c>
      <x:c r="F49" s="8" t="str"/>
      <x:c r="G49" s="8" t="str"/>
      <x:c r="H49" s="8" t="str"/>
      <x:c r="I49" s="8" t="str"/>
      <x:c r="J49" s="8" t="str"/>
      <x:c r="K49" s="8" t="str">
        <x:f>IF(J49="","OPEN",IF(OR(F49="",G49="",NOT(ISNUMBER(H49)),I49=""),"FAIL","PASS"))</x:f>
        <x:v>OPEN</x:v>
      </x:c>
    </x:row>
    <x:row r="50" ht="29" customHeight="1">
      <x:c r="B50" s="8" t="str">
        <x:v>DA-X1-SE09-4</x:v>
      </x:c>
      <x:c r="C50" s="8" t="str">
        <x:v>DA-X1</x:v>
      </x:c>
      <x:c r="D50" s="8" t="n">
        <x:v>9</x:v>
      </x:c>
      <x:c r="E50" s="8" t="str">
        <x:v>causal-time loss</x:v>
      </x:c>
      <x:c r="F50" s="8" t="str"/>
      <x:c r="G50" s="8" t="str"/>
      <x:c r="H50" s="8" t="str"/>
      <x:c r="I50" s="8" t="str"/>
      <x:c r="J50" s="8" t="str"/>
      <x:c r="K50" s="8" t="str">
        <x:f>IF(J50="","OPEN",IF(OR(F50="",G50="",NOT(ISNUMBER(H50)),I50=""),"FAIL","PASS"))</x:f>
        <x:v>OPEN</x:v>
      </x:c>
    </x:row>
    <x:row r="51" ht="29" customHeight="1">
      <x:c r="B51" s="8" t="str">
        <x:v>DA-X1-SE09-5</x:v>
      </x:c>
      <x:c r="C51" s="8" t="str">
        <x:v>DA-X1</x:v>
      </x:c>
      <x:c r="D51" s="8" t="n">
        <x:v>9</x:v>
      </x:c>
      <x:c r="E51" s="8" t="str">
        <x:v>manual or passive route</x:v>
      </x:c>
      <x:c r="F51" s="8" t="str"/>
      <x:c r="G51" s="8" t="str"/>
      <x:c r="H51" s="8" t="str"/>
      <x:c r="I51" s="8" t="str"/>
      <x:c r="J51" s="8" t="str"/>
      <x:c r="K51" s="8" t="str">
        <x:f>IF(J51="","OPEN",IF(OR(F51="",G51="",NOT(ISNUMBER(H51)),I51=""),"FAIL","PASS"))</x:f>
        <x:v>OPEN</x:v>
      </x:c>
    </x:row>
    <x:row r="52" ht="29" customHeight="1">
      <x:c r="B52" s="8" t="str">
        <x:v>DA-X1-SE10-1</x:v>
      </x:c>
      <x:c r="C52" s="8" t="str">
        <x:v>DA-X1</x:v>
      </x:c>
      <x:c r="D52" s="8" t="n">
        <x:v>10</x:v>
      </x:c>
      <x:c r="E52" s="8" t="str">
        <x:v>normal energy</x:v>
      </x:c>
      <x:c r="F52" s="8" t="str"/>
      <x:c r="G52" s="8" t="str"/>
      <x:c r="H52" s="8" t="str"/>
      <x:c r="I52" s="8" t="str"/>
      <x:c r="J52" s="8" t="str"/>
      <x:c r="K52" s="8" t="str">
        <x:f>IF(J52="","OPEN",IF(OR(F52="",G52="",NOT(ISNUMBER(H52)),I52=""),"FAIL","PASS"))</x:f>
        <x:v>OPEN</x:v>
      </x:c>
    </x:row>
    <x:row r="53" ht="29" customHeight="1">
      <x:c r="B53" s="8" t="str">
        <x:v>DA-X1-SE10-2</x:v>
      </x:c>
      <x:c r="C53" s="8" t="str">
        <x:v>DA-X1</x:v>
      </x:c>
      <x:c r="D53" s="8" t="n">
        <x:v>10</x:v>
      </x:c>
      <x:c r="E53" s="8" t="str">
        <x:v>60 percent stored energy</x:v>
      </x:c>
      <x:c r="F53" s="8" t="str"/>
      <x:c r="G53" s="8" t="str"/>
      <x:c r="H53" s="8" t="str"/>
      <x:c r="I53" s="8" t="str"/>
      <x:c r="J53" s="8" t="str"/>
      <x:c r="K53" s="8" t="str">
        <x:f>IF(J53="","OPEN",IF(OR(F53="",G53="",NOT(ISNUMBER(H53)),I53=""),"FAIL","PASS"))</x:f>
        <x:v>OPEN</x:v>
      </x:c>
    </x:row>
    <x:row r="54" ht="29" customHeight="1">
      <x:c r="B54" s="8" t="str">
        <x:v>DA-X1-SE10-3</x:v>
      </x:c>
      <x:c r="C54" s="8" t="str">
        <x:v>DA-X1</x:v>
      </x:c>
      <x:c r="D54" s="8" t="n">
        <x:v>10</x:v>
      </x:c>
      <x:c r="E54" s="8" t="str">
        <x:v>normal power loss</x:v>
      </x:c>
      <x:c r="F54" s="8" t="str"/>
      <x:c r="G54" s="8" t="str"/>
      <x:c r="H54" s="8" t="str"/>
      <x:c r="I54" s="8" t="str"/>
      <x:c r="J54" s="8" t="str"/>
      <x:c r="K54" s="8" t="str">
        <x:f>IF(J54="","OPEN",IF(OR(F54="",G54="",NOT(ISNUMBER(H54)),I54=""),"FAIL","PASS"))</x:f>
        <x:v>OPEN</x:v>
      </x:c>
    </x:row>
    <x:row r="55" ht="29" customHeight="1">
      <x:c r="B55" s="8" t="str">
        <x:v>DA-X1-SE10-4</x:v>
      </x:c>
      <x:c r="C55" s="8" t="str">
        <x:v>DA-X1</x:v>
      </x:c>
      <x:c r="D55" s="8" t="n">
        <x:v>10</x:v>
      </x:c>
      <x:c r="E55" s="8" t="str">
        <x:v>causal-time loss</x:v>
      </x:c>
      <x:c r="F55" s="8" t="str"/>
      <x:c r="G55" s="8" t="str"/>
      <x:c r="H55" s="8" t="str"/>
      <x:c r="I55" s="8" t="str"/>
      <x:c r="J55" s="8" t="str"/>
      <x:c r="K55" s="8" t="str">
        <x:f>IF(J55="","OPEN",IF(OR(F55="",G55="",NOT(ISNUMBER(H55)),I55=""),"FAIL","PASS"))</x:f>
        <x:v>OPEN</x:v>
      </x:c>
    </x:row>
    <x:row r="56" ht="29" customHeight="1">
      <x:c r="B56" s="8" t="str">
        <x:v>DA-X1-SE10-5</x:v>
      </x:c>
      <x:c r="C56" s="8" t="str">
        <x:v>DA-X1</x:v>
      </x:c>
      <x:c r="D56" s="8" t="n">
        <x:v>10</x:v>
      </x:c>
      <x:c r="E56" s="8" t="str">
        <x:v>manual or passive route</x:v>
      </x:c>
      <x:c r="F56" s="8" t="str"/>
      <x:c r="G56" s="8" t="str"/>
      <x:c r="H56" s="8" t="str"/>
      <x:c r="I56" s="8" t="str"/>
      <x:c r="J56" s="8" t="str"/>
      <x:c r="K56" s="8" t="str">
        <x:f>IF(J56="","OPEN",IF(OR(F56="",G56="",NOT(ISNUMBER(H56)),I56=""),"FAIL","PASS"))</x:f>
        <x:v>OPEN</x:v>
      </x:c>
    </x:row>
    <x:row r="57" ht="29" customHeight="1">
      <x:c r="B57" s="8" t="str">
        <x:v>DA-X1-SE11-1</x:v>
      </x:c>
      <x:c r="C57" s="8" t="str">
        <x:v>DA-X1</x:v>
      </x:c>
      <x:c r="D57" s="8" t="n">
        <x:v>11</x:v>
      </x:c>
      <x:c r="E57" s="8" t="str">
        <x:v>normal energy</x:v>
      </x:c>
      <x:c r="F57" s="8" t="str"/>
      <x:c r="G57" s="8" t="str"/>
      <x:c r="H57" s="8" t="str"/>
      <x:c r="I57" s="8" t="str"/>
      <x:c r="J57" s="8" t="str"/>
      <x:c r="K57" s="8" t="str">
        <x:f>IF(J57="","OPEN",IF(OR(F57="",G57="",NOT(ISNUMBER(H57)),I57=""),"FAIL","PASS"))</x:f>
        <x:v>OPEN</x:v>
      </x:c>
    </x:row>
    <x:row r="58" ht="29" customHeight="1">
      <x:c r="B58" s="8" t="str">
        <x:v>DA-X1-SE11-2</x:v>
      </x:c>
      <x:c r="C58" s="8" t="str">
        <x:v>DA-X1</x:v>
      </x:c>
      <x:c r="D58" s="8" t="n">
        <x:v>11</x:v>
      </x:c>
      <x:c r="E58" s="8" t="str">
        <x:v>60 percent stored energy</x:v>
      </x:c>
      <x:c r="F58" s="8" t="str"/>
      <x:c r="G58" s="8" t="str"/>
      <x:c r="H58" s="8" t="str"/>
      <x:c r="I58" s="8" t="str"/>
      <x:c r="J58" s="8" t="str"/>
      <x:c r="K58" s="8" t="str">
        <x:f>IF(J58="","OPEN",IF(OR(F58="",G58="",NOT(ISNUMBER(H58)),I58=""),"FAIL","PASS"))</x:f>
        <x:v>OPEN</x:v>
      </x:c>
    </x:row>
    <x:row r="59" ht="29" customHeight="1">
      <x:c r="B59" s="8" t="str">
        <x:v>DA-X1-SE11-3</x:v>
      </x:c>
      <x:c r="C59" s="8" t="str">
        <x:v>DA-X1</x:v>
      </x:c>
      <x:c r="D59" s="8" t="n">
        <x:v>11</x:v>
      </x:c>
      <x:c r="E59" s="8" t="str">
        <x:v>normal power loss</x:v>
      </x:c>
      <x:c r="F59" s="8" t="str"/>
      <x:c r="G59" s="8" t="str"/>
      <x:c r="H59" s="8" t="str"/>
      <x:c r="I59" s="8" t="str"/>
      <x:c r="J59" s="8" t="str"/>
      <x:c r="K59" s="8" t="str">
        <x:f>IF(J59="","OPEN",IF(OR(F59="",G59="",NOT(ISNUMBER(H59)),I59=""),"FAIL","PASS"))</x:f>
        <x:v>OPEN</x:v>
      </x:c>
    </x:row>
    <x:row r="60" ht="29" customHeight="1">
      <x:c r="B60" s="8" t="str">
        <x:v>DA-X1-SE11-4</x:v>
      </x:c>
      <x:c r="C60" s="8" t="str">
        <x:v>DA-X1</x:v>
      </x:c>
      <x:c r="D60" s="8" t="n">
        <x:v>11</x:v>
      </x:c>
      <x:c r="E60" s="8" t="str">
        <x:v>causal-time loss</x:v>
      </x:c>
      <x:c r="F60" s="8" t="str"/>
      <x:c r="G60" s="8" t="str"/>
      <x:c r="H60" s="8" t="str"/>
      <x:c r="I60" s="8" t="str"/>
      <x:c r="J60" s="8" t="str"/>
      <x:c r="K60" s="8" t="str">
        <x:f>IF(J60="","OPEN",IF(OR(F60="",G60="",NOT(ISNUMBER(H60)),I60=""),"FAIL","PASS"))</x:f>
        <x:v>OPEN</x:v>
      </x:c>
    </x:row>
    <x:row r="61" ht="29" customHeight="1">
      <x:c r="B61" s="8" t="str">
        <x:v>DA-X1-SE11-5</x:v>
      </x:c>
      <x:c r="C61" s="8" t="str">
        <x:v>DA-X1</x:v>
      </x:c>
      <x:c r="D61" s="8" t="n">
        <x:v>11</x:v>
      </x:c>
      <x:c r="E61" s="8" t="str">
        <x:v>manual or passive route</x:v>
      </x:c>
      <x:c r="F61" s="8" t="str"/>
      <x:c r="G61" s="8" t="str"/>
      <x:c r="H61" s="8" t="str"/>
      <x:c r="I61" s="8" t="str"/>
      <x:c r="J61" s="8" t="str"/>
      <x:c r="K61" s="8" t="str">
        <x:f>IF(J61="","OPEN",IF(OR(F61="",G61="",NOT(ISNUMBER(H61)),I61=""),"FAIL","PASS"))</x:f>
        <x:v>OPEN</x:v>
      </x:c>
    </x:row>
    <x:row r="62" ht="29" customHeight="1">
      <x:c r="B62" s="8" t="str">
        <x:v>DA-X1-SE12-1</x:v>
      </x:c>
      <x:c r="C62" s="8" t="str">
        <x:v>DA-X1</x:v>
      </x:c>
      <x:c r="D62" s="8" t="n">
        <x:v>12</x:v>
      </x:c>
      <x:c r="E62" s="8" t="str">
        <x:v>normal energy</x:v>
      </x:c>
      <x:c r="F62" s="8" t="str"/>
      <x:c r="G62" s="8" t="str"/>
      <x:c r="H62" s="8" t="str"/>
      <x:c r="I62" s="8" t="str"/>
      <x:c r="J62" s="8" t="str"/>
      <x:c r="K62" s="8" t="str">
        <x:f>IF(J62="","OPEN",IF(OR(F62="",G62="",NOT(ISNUMBER(H62)),I62=""),"FAIL","PASS"))</x:f>
        <x:v>OPEN</x:v>
      </x:c>
    </x:row>
    <x:row r="63" ht="29" customHeight="1">
      <x:c r="B63" s="8" t="str">
        <x:v>DA-X1-SE12-2</x:v>
      </x:c>
      <x:c r="C63" s="8" t="str">
        <x:v>DA-X1</x:v>
      </x:c>
      <x:c r="D63" s="8" t="n">
        <x:v>12</x:v>
      </x:c>
      <x:c r="E63" s="8" t="str">
        <x:v>60 percent stored energy</x:v>
      </x:c>
      <x:c r="F63" s="8" t="str"/>
      <x:c r="G63" s="8" t="str"/>
      <x:c r="H63" s="8" t="str"/>
      <x:c r="I63" s="8" t="str"/>
      <x:c r="J63" s="8" t="str"/>
      <x:c r="K63" s="8" t="str">
        <x:f>IF(J63="","OPEN",IF(OR(F63="",G63="",NOT(ISNUMBER(H63)),I63=""),"FAIL","PASS"))</x:f>
        <x:v>OPEN</x:v>
      </x:c>
    </x:row>
    <x:row r="64" ht="29" customHeight="1">
      <x:c r="B64" s="8" t="str">
        <x:v>DA-X1-SE12-3</x:v>
      </x:c>
      <x:c r="C64" s="8" t="str">
        <x:v>DA-X1</x:v>
      </x:c>
      <x:c r="D64" s="8" t="n">
        <x:v>12</x:v>
      </x:c>
      <x:c r="E64" s="8" t="str">
        <x:v>normal power loss</x:v>
      </x:c>
      <x:c r="F64" s="8" t="str"/>
      <x:c r="G64" s="8" t="str"/>
      <x:c r="H64" s="8" t="str"/>
      <x:c r="I64" s="8" t="str"/>
      <x:c r="J64" s="8" t="str"/>
      <x:c r="K64" s="8" t="str">
        <x:f>IF(J64="","OPEN",IF(OR(F64="",G64="",NOT(ISNUMBER(H64)),I64=""),"FAIL","PASS"))</x:f>
        <x:v>OPEN</x:v>
      </x:c>
    </x:row>
    <x:row r="65" ht="29" customHeight="1">
      <x:c r="B65" s="8" t="str">
        <x:v>DA-X1-SE12-4</x:v>
      </x:c>
      <x:c r="C65" s="8" t="str">
        <x:v>DA-X1</x:v>
      </x:c>
      <x:c r="D65" s="8" t="n">
        <x:v>12</x:v>
      </x:c>
      <x:c r="E65" s="8" t="str">
        <x:v>causal-time loss</x:v>
      </x:c>
      <x:c r="F65" s="8" t="str"/>
      <x:c r="G65" s="8" t="str"/>
      <x:c r="H65" s="8" t="str"/>
      <x:c r="I65" s="8" t="str"/>
      <x:c r="J65" s="8" t="str"/>
      <x:c r="K65" s="8" t="str">
        <x:f>IF(J65="","OPEN",IF(OR(F65="",G65="",NOT(ISNUMBER(H65)),I65=""),"FAIL","PASS"))</x:f>
        <x:v>OPEN</x:v>
      </x:c>
    </x:row>
    <x:row r="66" ht="29" customHeight="1">
      <x:c r="B66" s="8" t="str">
        <x:v>DA-X1-SE12-5</x:v>
      </x:c>
      <x:c r="C66" s="8" t="str">
        <x:v>DA-X1</x:v>
      </x:c>
      <x:c r="D66" s="8" t="n">
        <x:v>12</x:v>
      </x:c>
      <x:c r="E66" s="8" t="str">
        <x:v>manual or passive route</x:v>
      </x:c>
      <x:c r="F66" s="8" t="str"/>
      <x:c r="G66" s="8" t="str"/>
      <x:c r="H66" s="8" t="str"/>
      <x:c r="I66" s="8" t="str"/>
      <x:c r="J66" s="8" t="str"/>
      <x:c r="K66" s="8" t="str">
        <x:f>IF(J66="","OPEN",IF(OR(F66="",G66="",NOT(ISNUMBER(H66)),I66=""),"FAIL","PASS"))</x:f>
        <x:v>OPEN</x:v>
      </x:c>
    </x:row>
    <x:row r="67" ht="29" customHeight="1">
      <x:c r="B67" s="8" t="str">
        <x:v>DA-Y1-SE01-1</x:v>
      </x:c>
      <x:c r="C67" s="8" t="str">
        <x:v>DA-Y1</x:v>
      </x:c>
      <x:c r="D67" s="8" t="n">
        <x:v>1</x:v>
      </x:c>
      <x:c r="E67" s="8" t="str">
        <x:v>normal energy</x:v>
      </x:c>
      <x:c r="F67" s="8" t="str"/>
      <x:c r="G67" s="8" t="str"/>
      <x:c r="H67" s="8" t="str"/>
      <x:c r="I67" s="8" t="str"/>
      <x:c r="J67" s="8" t="str"/>
      <x:c r="K67" s="8" t="str">
        <x:f>IF(J67="","OPEN",IF(OR(F67="",G67="",NOT(ISNUMBER(H67)),I67=""),"FAIL","PASS"))</x:f>
        <x:v>OPEN</x:v>
      </x:c>
    </x:row>
    <x:row r="68" ht="29" customHeight="1">
      <x:c r="B68" s="8" t="str">
        <x:v>DA-Y1-SE01-2</x:v>
      </x:c>
      <x:c r="C68" s="8" t="str">
        <x:v>DA-Y1</x:v>
      </x:c>
      <x:c r="D68" s="8" t="n">
        <x:v>1</x:v>
      </x:c>
      <x:c r="E68" s="8" t="str">
        <x:v>60 percent stored energy</x:v>
      </x:c>
      <x:c r="F68" s="8" t="str"/>
      <x:c r="G68" s="8" t="str"/>
      <x:c r="H68" s="8" t="str"/>
      <x:c r="I68" s="8" t="str"/>
      <x:c r="J68" s="8" t="str"/>
      <x:c r="K68" s="8" t="str">
        <x:f>IF(J68="","OPEN",IF(OR(F68="",G68="",NOT(ISNUMBER(H68)),I68=""),"FAIL","PASS"))</x:f>
        <x:v>OPEN</x:v>
      </x:c>
    </x:row>
    <x:row r="69" ht="29" customHeight="1">
      <x:c r="B69" s="8" t="str">
        <x:v>DA-Y1-SE01-3</x:v>
      </x:c>
      <x:c r="C69" s="8" t="str">
        <x:v>DA-Y1</x:v>
      </x:c>
      <x:c r="D69" s="8" t="n">
        <x:v>1</x:v>
      </x:c>
      <x:c r="E69" s="8" t="str">
        <x:v>normal power loss</x:v>
      </x:c>
      <x:c r="F69" s="8" t="str"/>
      <x:c r="G69" s="8" t="str"/>
      <x:c r="H69" s="8" t="str"/>
      <x:c r="I69" s="8" t="str"/>
      <x:c r="J69" s="8" t="str"/>
      <x:c r="K69" s="8" t="str">
        <x:f>IF(J69="","OPEN",IF(OR(F69="",G69="",NOT(ISNUMBER(H69)),I69=""),"FAIL","PASS"))</x:f>
        <x:v>OPEN</x:v>
      </x:c>
    </x:row>
    <x:row r="70" ht="29" customHeight="1">
      <x:c r="B70" s="8" t="str">
        <x:v>DA-Y1-SE01-4</x:v>
      </x:c>
      <x:c r="C70" s="8" t="str">
        <x:v>DA-Y1</x:v>
      </x:c>
      <x:c r="D70" s="8" t="n">
        <x:v>1</x:v>
      </x:c>
      <x:c r="E70" s="8" t="str">
        <x:v>causal-time loss</x:v>
      </x:c>
      <x:c r="F70" s="8" t="str"/>
      <x:c r="G70" s="8" t="str"/>
      <x:c r="H70" s="8" t="str"/>
      <x:c r="I70" s="8" t="str"/>
      <x:c r="J70" s="8" t="str"/>
      <x:c r="K70" s="8" t="str">
        <x:f>IF(J70="","OPEN",IF(OR(F70="",G70="",NOT(ISNUMBER(H70)),I70=""),"FAIL","PASS"))</x:f>
        <x:v>OPEN</x:v>
      </x:c>
    </x:row>
    <x:row r="71" ht="29" customHeight="1">
      <x:c r="B71" s="8" t="str">
        <x:v>DA-Y1-SE01-5</x:v>
      </x:c>
      <x:c r="C71" s="8" t="str">
        <x:v>DA-Y1</x:v>
      </x:c>
      <x:c r="D71" s="8" t="n">
        <x:v>1</x:v>
      </x:c>
      <x:c r="E71" s="8" t="str">
        <x:v>manual or passive route</x:v>
      </x:c>
      <x:c r="F71" s="8" t="str"/>
      <x:c r="G71" s="8" t="str"/>
      <x:c r="H71" s="8" t="str"/>
      <x:c r="I71" s="8" t="str"/>
      <x:c r="J71" s="8" t="str"/>
      <x:c r="K71" s="8" t="str">
        <x:f>IF(J71="","OPEN",IF(OR(F71="",G71="",NOT(ISNUMBER(H71)),I71=""),"FAIL","PASS"))</x:f>
        <x:v>OPEN</x:v>
      </x:c>
    </x:row>
    <x:row r="72" ht="29" customHeight="1">
      <x:c r="B72" s="8" t="str">
        <x:v>DA-Y1-SE02-1</x:v>
      </x:c>
      <x:c r="C72" s="8" t="str">
        <x:v>DA-Y1</x:v>
      </x:c>
      <x:c r="D72" s="8" t="n">
        <x:v>2</x:v>
      </x:c>
      <x:c r="E72" s="8" t="str">
        <x:v>normal energy</x:v>
      </x:c>
      <x:c r="F72" s="8" t="str"/>
      <x:c r="G72" s="8" t="str"/>
      <x:c r="H72" s="8" t="str"/>
      <x:c r="I72" s="8" t="str"/>
      <x:c r="J72" s="8" t="str"/>
      <x:c r="K72" s="8" t="str">
        <x:f>IF(J72="","OPEN",IF(OR(F72="",G72="",NOT(ISNUMBER(H72)),I72=""),"FAIL","PASS"))</x:f>
        <x:v>OPEN</x:v>
      </x:c>
    </x:row>
    <x:row r="73" ht="29" customHeight="1">
      <x:c r="B73" s="8" t="str">
        <x:v>DA-Y1-SE02-2</x:v>
      </x:c>
      <x:c r="C73" s="8" t="str">
        <x:v>DA-Y1</x:v>
      </x:c>
      <x:c r="D73" s="8" t="n">
        <x:v>2</x:v>
      </x:c>
      <x:c r="E73" s="8" t="str">
        <x:v>60 percent stored energy</x:v>
      </x:c>
      <x:c r="F73" s="8" t="str"/>
      <x:c r="G73" s="8" t="str"/>
      <x:c r="H73" s="8" t="str"/>
      <x:c r="I73" s="8" t="str"/>
      <x:c r="J73" s="8" t="str"/>
      <x:c r="K73" s="8" t="str">
        <x:f>IF(J73="","OPEN",IF(OR(F73="",G73="",NOT(ISNUMBER(H73)),I73=""),"FAIL","PASS"))</x:f>
        <x:v>OPEN</x:v>
      </x:c>
    </x:row>
    <x:row r="74" ht="29" customHeight="1">
      <x:c r="B74" s="8" t="str">
        <x:v>DA-Y1-SE02-3</x:v>
      </x:c>
      <x:c r="C74" s="8" t="str">
        <x:v>DA-Y1</x:v>
      </x:c>
      <x:c r="D74" s="8" t="n">
        <x:v>2</x:v>
      </x:c>
      <x:c r="E74" s="8" t="str">
        <x:v>normal power loss</x:v>
      </x:c>
      <x:c r="F74" s="8" t="str"/>
      <x:c r="G74" s="8" t="str"/>
      <x:c r="H74" s="8" t="str"/>
      <x:c r="I74" s="8" t="str"/>
      <x:c r="J74" s="8" t="str"/>
      <x:c r="K74" s="8" t="str">
        <x:f>IF(J74="","OPEN",IF(OR(F74="",G74="",NOT(ISNUMBER(H74)),I74=""),"FAIL","PASS"))</x:f>
        <x:v>OPEN</x:v>
      </x:c>
    </x:row>
    <x:row r="75" ht="29" customHeight="1">
      <x:c r="B75" s="8" t="str">
        <x:v>DA-Y1-SE02-4</x:v>
      </x:c>
      <x:c r="C75" s="8" t="str">
        <x:v>DA-Y1</x:v>
      </x:c>
      <x:c r="D75" s="8" t="n">
        <x:v>2</x:v>
      </x:c>
      <x:c r="E75" s="8" t="str">
        <x:v>causal-time loss</x:v>
      </x:c>
      <x:c r="F75" s="8" t="str"/>
      <x:c r="G75" s="8" t="str"/>
      <x:c r="H75" s="8" t="str"/>
      <x:c r="I75" s="8" t="str"/>
      <x:c r="J75" s="8" t="str"/>
      <x:c r="K75" s="8" t="str">
        <x:f>IF(J75="","OPEN",IF(OR(F75="",G75="",NOT(ISNUMBER(H75)),I75=""),"FAIL","PASS"))</x:f>
        <x:v>OPEN</x:v>
      </x:c>
    </x:row>
    <x:row r="76" ht="29" customHeight="1">
      <x:c r="B76" s="8" t="str">
        <x:v>DA-Y1-SE02-5</x:v>
      </x:c>
      <x:c r="C76" s="8" t="str">
        <x:v>DA-Y1</x:v>
      </x:c>
      <x:c r="D76" s="8" t="n">
        <x:v>2</x:v>
      </x:c>
      <x:c r="E76" s="8" t="str">
        <x:v>manual or passive route</x:v>
      </x:c>
      <x:c r="F76" s="8" t="str"/>
      <x:c r="G76" s="8" t="str"/>
      <x:c r="H76" s="8" t="str"/>
      <x:c r="I76" s="8" t="str"/>
      <x:c r="J76" s="8" t="str"/>
      <x:c r="K76" s="8" t="str">
        <x:f>IF(J76="","OPEN",IF(OR(F76="",G76="",NOT(ISNUMBER(H76)),I76=""),"FAIL","PASS"))</x:f>
        <x:v>OPEN</x:v>
      </x:c>
    </x:row>
    <x:row r="77" ht="29" customHeight="1">
      <x:c r="B77" s="8" t="str">
        <x:v>DA-Y1-SE03-1</x:v>
      </x:c>
      <x:c r="C77" s="8" t="str">
        <x:v>DA-Y1</x:v>
      </x:c>
      <x:c r="D77" s="8" t="n">
        <x:v>3</x:v>
      </x:c>
      <x:c r="E77" s="8" t="str">
        <x:v>normal energy</x:v>
      </x:c>
      <x:c r="F77" s="8" t="str"/>
      <x:c r="G77" s="8" t="str"/>
      <x:c r="H77" s="8" t="str"/>
      <x:c r="I77" s="8" t="str"/>
      <x:c r="J77" s="8" t="str"/>
      <x:c r="K77" s="8" t="str">
        <x:f>IF(J77="","OPEN",IF(OR(F77="",G77="",NOT(ISNUMBER(H77)),I77=""),"FAIL","PASS"))</x:f>
        <x:v>OPEN</x:v>
      </x:c>
    </x:row>
    <x:row r="78" ht="29" customHeight="1">
      <x:c r="B78" s="8" t="str">
        <x:v>DA-Y1-SE03-2</x:v>
      </x:c>
      <x:c r="C78" s="8" t="str">
        <x:v>DA-Y1</x:v>
      </x:c>
      <x:c r="D78" s="8" t="n">
        <x:v>3</x:v>
      </x:c>
      <x:c r="E78" s="8" t="str">
        <x:v>60 percent stored energy</x:v>
      </x:c>
      <x:c r="F78" s="8" t="str"/>
      <x:c r="G78" s="8" t="str"/>
      <x:c r="H78" s="8" t="str"/>
      <x:c r="I78" s="8" t="str"/>
      <x:c r="J78" s="8" t="str"/>
      <x:c r="K78" s="8" t="str">
        <x:f>IF(J78="","OPEN",IF(OR(F78="",G78="",NOT(ISNUMBER(H78)),I78=""),"FAIL","PASS"))</x:f>
        <x:v>OPEN</x:v>
      </x:c>
    </x:row>
    <x:row r="79" ht="29" customHeight="1">
      <x:c r="B79" s="8" t="str">
        <x:v>DA-Y1-SE03-3</x:v>
      </x:c>
      <x:c r="C79" s="8" t="str">
        <x:v>DA-Y1</x:v>
      </x:c>
      <x:c r="D79" s="8" t="n">
        <x:v>3</x:v>
      </x:c>
      <x:c r="E79" s="8" t="str">
        <x:v>normal power loss</x:v>
      </x:c>
      <x:c r="F79" s="8" t="str"/>
      <x:c r="G79" s="8" t="str"/>
      <x:c r="H79" s="8" t="str"/>
      <x:c r="I79" s="8" t="str"/>
      <x:c r="J79" s="8" t="str"/>
      <x:c r="K79" s="8" t="str">
        <x:f>IF(J79="","OPEN",IF(OR(F79="",G79="",NOT(ISNUMBER(H79)),I79=""),"FAIL","PASS"))</x:f>
        <x:v>OPEN</x:v>
      </x:c>
    </x:row>
    <x:row r="80" ht="29" customHeight="1">
      <x:c r="B80" s="8" t="str">
        <x:v>DA-Y1-SE03-4</x:v>
      </x:c>
      <x:c r="C80" s="8" t="str">
        <x:v>DA-Y1</x:v>
      </x:c>
      <x:c r="D80" s="8" t="n">
        <x:v>3</x:v>
      </x:c>
      <x:c r="E80" s="8" t="str">
        <x:v>causal-time loss</x:v>
      </x:c>
      <x:c r="F80" s="8" t="str"/>
      <x:c r="G80" s="8" t="str"/>
      <x:c r="H80" s="8" t="str"/>
      <x:c r="I80" s="8" t="str"/>
      <x:c r="J80" s="8" t="str"/>
      <x:c r="K80" s="8" t="str">
        <x:f>IF(J80="","OPEN",IF(OR(F80="",G80="",NOT(ISNUMBER(H80)),I80=""),"FAIL","PASS"))</x:f>
        <x:v>OPEN</x:v>
      </x:c>
    </x:row>
    <x:row r="81" ht="29" customHeight="1">
      <x:c r="B81" s="8" t="str">
        <x:v>DA-Y1-SE03-5</x:v>
      </x:c>
      <x:c r="C81" s="8" t="str">
        <x:v>DA-Y1</x:v>
      </x:c>
      <x:c r="D81" s="8" t="n">
        <x:v>3</x:v>
      </x:c>
      <x:c r="E81" s="8" t="str">
        <x:v>manual or passive route</x:v>
      </x:c>
      <x:c r="F81" s="8" t="str"/>
      <x:c r="G81" s="8" t="str"/>
      <x:c r="H81" s="8" t="str"/>
      <x:c r="I81" s="8" t="str"/>
      <x:c r="J81" s="8" t="str"/>
      <x:c r="K81" s="8" t="str">
        <x:f>IF(J81="","OPEN",IF(OR(F81="",G81="",NOT(ISNUMBER(H81)),I81=""),"FAIL","PASS"))</x:f>
        <x:v>OPEN</x:v>
      </x:c>
    </x:row>
    <x:row r="82" ht="29" customHeight="1">
      <x:c r="B82" s="8" t="str">
        <x:v>DA-Y1-SE04-1</x:v>
      </x:c>
      <x:c r="C82" s="8" t="str">
        <x:v>DA-Y1</x:v>
      </x:c>
      <x:c r="D82" s="8" t="n">
        <x:v>4</x:v>
      </x:c>
      <x:c r="E82" s="8" t="str">
        <x:v>normal energy</x:v>
      </x:c>
      <x:c r="F82" s="8" t="str"/>
      <x:c r="G82" s="8" t="str"/>
      <x:c r="H82" s="8" t="str"/>
      <x:c r="I82" s="8" t="str"/>
      <x:c r="J82" s="8" t="str"/>
      <x:c r="K82" s="8" t="str">
        <x:f>IF(J82="","OPEN",IF(OR(F82="",G82="",NOT(ISNUMBER(H82)),I82=""),"FAIL","PASS"))</x:f>
        <x:v>OPEN</x:v>
      </x:c>
    </x:row>
    <x:row r="83" ht="29" customHeight="1">
      <x:c r="B83" s="8" t="str">
        <x:v>DA-Y1-SE04-2</x:v>
      </x:c>
      <x:c r="C83" s="8" t="str">
        <x:v>DA-Y1</x:v>
      </x:c>
      <x:c r="D83" s="8" t="n">
        <x:v>4</x:v>
      </x:c>
      <x:c r="E83" s="8" t="str">
        <x:v>60 percent stored energy</x:v>
      </x:c>
      <x:c r="F83" s="8" t="str"/>
      <x:c r="G83" s="8" t="str"/>
      <x:c r="H83" s="8" t="str"/>
      <x:c r="I83" s="8" t="str"/>
      <x:c r="J83" s="8" t="str"/>
      <x:c r="K83" s="8" t="str">
        <x:f>IF(J83="","OPEN",IF(OR(F83="",G83="",NOT(ISNUMBER(H83)),I83=""),"FAIL","PASS"))</x:f>
        <x:v>OPEN</x:v>
      </x:c>
    </x:row>
    <x:row r="84" ht="29" customHeight="1">
      <x:c r="B84" s="8" t="str">
        <x:v>DA-Y1-SE04-3</x:v>
      </x:c>
      <x:c r="C84" s="8" t="str">
        <x:v>DA-Y1</x:v>
      </x:c>
      <x:c r="D84" s="8" t="n">
        <x:v>4</x:v>
      </x:c>
      <x:c r="E84" s="8" t="str">
        <x:v>normal power loss</x:v>
      </x:c>
      <x:c r="F84" s="8" t="str"/>
      <x:c r="G84" s="8" t="str"/>
      <x:c r="H84" s="8" t="str"/>
      <x:c r="I84" s="8" t="str"/>
      <x:c r="J84" s="8" t="str"/>
      <x:c r="K84" s="8" t="str">
        <x:f>IF(J84="","OPEN",IF(OR(F84="",G84="",NOT(ISNUMBER(H84)),I84=""),"FAIL","PASS"))</x:f>
        <x:v>OPEN</x:v>
      </x:c>
    </x:row>
    <x:row r="85" ht="29" customHeight="1">
      <x:c r="B85" s="8" t="str">
        <x:v>DA-Y1-SE04-4</x:v>
      </x:c>
      <x:c r="C85" s="8" t="str">
        <x:v>DA-Y1</x:v>
      </x:c>
      <x:c r="D85" s="8" t="n">
        <x:v>4</x:v>
      </x:c>
      <x:c r="E85" s="8" t="str">
        <x:v>causal-time loss</x:v>
      </x:c>
      <x:c r="F85" s="8" t="str"/>
      <x:c r="G85" s="8" t="str"/>
      <x:c r="H85" s="8" t="str"/>
      <x:c r="I85" s="8" t="str"/>
      <x:c r="J85" s="8" t="str"/>
      <x:c r="K85" s="8" t="str">
        <x:f>IF(J85="","OPEN",IF(OR(F85="",G85="",NOT(ISNUMBER(H85)),I85=""),"FAIL","PASS"))</x:f>
        <x:v>OPEN</x:v>
      </x:c>
    </x:row>
    <x:row r="86" ht="29" customHeight="1">
      <x:c r="B86" s="8" t="str">
        <x:v>DA-Y1-SE04-5</x:v>
      </x:c>
      <x:c r="C86" s="8" t="str">
        <x:v>DA-Y1</x:v>
      </x:c>
      <x:c r="D86" s="8" t="n">
        <x:v>4</x:v>
      </x:c>
      <x:c r="E86" s="8" t="str">
        <x:v>manual or passive route</x:v>
      </x:c>
      <x:c r="F86" s="8" t="str"/>
      <x:c r="G86" s="8" t="str"/>
      <x:c r="H86" s="8" t="str"/>
      <x:c r="I86" s="8" t="str"/>
      <x:c r="J86" s="8" t="str"/>
      <x:c r="K86" s="8" t="str">
        <x:f>IF(J86="","OPEN",IF(OR(F86="",G86="",NOT(ISNUMBER(H86)),I86=""),"FAIL","PASS"))</x:f>
        <x:v>OPEN</x:v>
      </x:c>
    </x:row>
    <x:row r="87" ht="29" customHeight="1">
      <x:c r="B87" s="8" t="str">
        <x:v>DA-Y1-SE05-1</x:v>
      </x:c>
      <x:c r="C87" s="8" t="str">
        <x:v>DA-Y1</x:v>
      </x:c>
      <x:c r="D87" s="8" t="n">
        <x:v>5</x:v>
      </x:c>
      <x:c r="E87" s="8" t="str">
        <x:v>normal energy</x:v>
      </x:c>
      <x:c r="F87" s="8" t="str"/>
      <x:c r="G87" s="8" t="str"/>
      <x:c r="H87" s="8" t="str"/>
      <x:c r="I87" s="8" t="str"/>
      <x:c r="J87" s="8" t="str"/>
      <x:c r="K87" s="8" t="str">
        <x:f>IF(J87="","OPEN",IF(OR(F87="",G87="",NOT(ISNUMBER(H87)),I87=""),"FAIL","PASS"))</x:f>
        <x:v>OPEN</x:v>
      </x:c>
    </x:row>
    <x:row r="88" ht="29" customHeight="1">
      <x:c r="B88" s="8" t="str">
        <x:v>DA-Y1-SE05-2</x:v>
      </x:c>
      <x:c r="C88" s="8" t="str">
        <x:v>DA-Y1</x:v>
      </x:c>
      <x:c r="D88" s="8" t="n">
        <x:v>5</x:v>
      </x:c>
      <x:c r="E88" s="8" t="str">
        <x:v>60 percent stored energy</x:v>
      </x:c>
      <x:c r="F88" s="8" t="str"/>
      <x:c r="G88" s="8" t="str"/>
      <x:c r="H88" s="8" t="str"/>
      <x:c r="I88" s="8" t="str"/>
      <x:c r="J88" s="8" t="str"/>
      <x:c r="K88" s="8" t="str">
        <x:f>IF(J88="","OPEN",IF(OR(F88="",G88="",NOT(ISNUMBER(H88)),I88=""),"FAIL","PASS"))</x:f>
        <x:v>OPEN</x:v>
      </x:c>
    </x:row>
    <x:row r="89" ht="29" customHeight="1">
      <x:c r="B89" s="8" t="str">
        <x:v>DA-Y1-SE05-3</x:v>
      </x:c>
      <x:c r="C89" s="8" t="str">
        <x:v>DA-Y1</x:v>
      </x:c>
      <x:c r="D89" s="8" t="n">
        <x:v>5</x:v>
      </x:c>
      <x:c r="E89" s="8" t="str">
        <x:v>normal power loss</x:v>
      </x:c>
      <x:c r="F89" s="8" t="str"/>
      <x:c r="G89" s="8" t="str"/>
      <x:c r="H89" s="8" t="str"/>
      <x:c r="I89" s="8" t="str"/>
      <x:c r="J89" s="8" t="str"/>
      <x:c r="K89" s="8" t="str">
        <x:f>IF(J89="","OPEN",IF(OR(F89="",G89="",NOT(ISNUMBER(H89)),I89=""),"FAIL","PASS"))</x:f>
        <x:v>OPEN</x:v>
      </x:c>
    </x:row>
    <x:row r="90" ht="29" customHeight="1">
      <x:c r="B90" s="8" t="str">
        <x:v>DA-Y1-SE05-4</x:v>
      </x:c>
      <x:c r="C90" s="8" t="str">
        <x:v>DA-Y1</x:v>
      </x:c>
      <x:c r="D90" s="8" t="n">
        <x:v>5</x:v>
      </x:c>
      <x:c r="E90" s="8" t="str">
        <x:v>causal-time loss</x:v>
      </x:c>
      <x:c r="F90" s="8" t="str"/>
      <x:c r="G90" s="8" t="str"/>
      <x:c r="H90" s="8" t="str"/>
      <x:c r="I90" s="8" t="str"/>
      <x:c r="J90" s="8" t="str"/>
      <x:c r="K90" s="8" t="str">
        <x:f>IF(J90="","OPEN",IF(OR(F90="",G90="",NOT(ISNUMBER(H90)),I90=""),"FAIL","PASS"))</x:f>
        <x:v>OPEN</x:v>
      </x:c>
    </x:row>
    <x:row r="91" ht="29" customHeight="1">
      <x:c r="B91" s="8" t="str">
        <x:v>DA-Y1-SE05-5</x:v>
      </x:c>
      <x:c r="C91" s="8" t="str">
        <x:v>DA-Y1</x:v>
      </x:c>
      <x:c r="D91" s="8" t="n">
        <x:v>5</x:v>
      </x:c>
      <x:c r="E91" s="8" t="str">
        <x:v>manual or passive route</x:v>
      </x:c>
      <x:c r="F91" s="8" t="str"/>
      <x:c r="G91" s="8" t="str"/>
      <x:c r="H91" s="8" t="str"/>
      <x:c r="I91" s="8" t="str"/>
      <x:c r="J91" s="8" t="str"/>
      <x:c r="K91" s="8" t="str">
        <x:f>IF(J91="","OPEN",IF(OR(F91="",G91="",NOT(ISNUMBER(H91)),I91=""),"FAIL","PASS"))</x:f>
        <x:v>OPEN</x:v>
      </x:c>
    </x:row>
    <x:row r="92" ht="29" customHeight="1">
      <x:c r="B92" s="8" t="str">
        <x:v>DA-Y1-SE06-1</x:v>
      </x:c>
      <x:c r="C92" s="8" t="str">
        <x:v>DA-Y1</x:v>
      </x:c>
      <x:c r="D92" s="8" t="n">
        <x:v>6</x:v>
      </x:c>
      <x:c r="E92" s="8" t="str">
        <x:v>normal energy</x:v>
      </x:c>
      <x:c r="F92" s="8" t="str"/>
      <x:c r="G92" s="8" t="str"/>
      <x:c r="H92" s="8" t="str"/>
      <x:c r="I92" s="8" t="str"/>
      <x:c r="J92" s="8" t="str"/>
      <x:c r="K92" s="8" t="str">
        <x:f>IF(J92="","OPEN",IF(OR(F92="",G92="",NOT(ISNUMBER(H92)),I92=""),"FAIL","PASS"))</x:f>
        <x:v>OPEN</x:v>
      </x:c>
    </x:row>
    <x:row r="93" ht="29" customHeight="1">
      <x:c r="B93" s="8" t="str">
        <x:v>DA-Y1-SE06-2</x:v>
      </x:c>
      <x:c r="C93" s="8" t="str">
        <x:v>DA-Y1</x:v>
      </x:c>
      <x:c r="D93" s="8" t="n">
        <x:v>6</x:v>
      </x:c>
      <x:c r="E93" s="8" t="str">
        <x:v>60 percent stored energy</x:v>
      </x:c>
      <x:c r="F93" s="8" t="str"/>
      <x:c r="G93" s="8" t="str"/>
      <x:c r="H93" s="8" t="str"/>
      <x:c r="I93" s="8" t="str"/>
      <x:c r="J93" s="8" t="str"/>
      <x:c r="K93" s="8" t="str">
        <x:f>IF(J93="","OPEN",IF(OR(F93="",G93="",NOT(ISNUMBER(H93)),I93=""),"FAIL","PASS"))</x:f>
        <x:v>OPEN</x:v>
      </x:c>
    </x:row>
    <x:row r="94" ht="29" customHeight="1">
      <x:c r="B94" s="8" t="str">
        <x:v>DA-Y1-SE06-3</x:v>
      </x:c>
      <x:c r="C94" s="8" t="str">
        <x:v>DA-Y1</x:v>
      </x:c>
      <x:c r="D94" s="8" t="n">
        <x:v>6</x:v>
      </x:c>
      <x:c r="E94" s="8" t="str">
        <x:v>normal power loss</x:v>
      </x:c>
      <x:c r="F94" s="8" t="str"/>
      <x:c r="G94" s="8" t="str"/>
      <x:c r="H94" s="8" t="str"/>
      <x:c r="I94" s="8" t="str"/>
      <x:c r="J94" s="8" t="str"/>
      <x:c r="K94" s="8" t="str">
        <x:f>IF(J94="","OPEN",IF(OR(F94="",G94="",NOT(ISNUMBER(H94)),I94=""),"FAIL","PASS"))</x:f>
        <x:v>OPEN</x:v>
      </x:c>
    </x:row>
    <x:row r="95" ht="29" customHeight="1">
      <x:c r="B95" s="8" t="str">
        <x:v>DA-Y1-SE06-4</x:v>
      </x:c>
      <x:c r="C95" s="8" t="str">
        <x:v>DA-Y1</x:v>
      </x:c>
      <x:c r="D95" s="8" t="n">
        <x:v>6</x:v>
      </x:c>
      <x:c r="E95" s="8" t="str">
        <x:v>causal-time loss</x:v>
      </x:c>
      <x:c r="F95" s="8" t="str"/>
      <x:c r="G95" s="8" t="str"/>
      <x:c r="H95" s="8" t="str"/>
      <x:c r="I95" s="8" t="str"/>
      <x:c r="J95" s="8" t="str"/>
      <x:c r="K95" s="8" t="str">
        <x:f>IF(J95="","OPEN",IF(OR(F95="",G95="",NOT(ISNUMBER(H95)),I95=""),"FAIL","PASS"))</x:f>
        <x:v>OPEN</x:v>
      </x:c>
    </x:row>
    <x:row r="96" ht="29" customHeight="1">
      <x:c r="B96" s="8" t="str">
        <x:v>DA-Y1-SE06-5</x:v>
      </x:c>
      <x:c r="C96" s="8" t="str">
        <x:v>DA-Y1</x:v>
      </x:c>
      <x:c r="D96" s="8" t="n">
        <x:v>6</x:v>
      </x:c>
      <x:c r="E96" s="8" t="str">
        <x:v>manual or passive route</x:v>
      </x:c>
      <x:c r="F96" s="8" t="str"/>
      <x:c r="G96" s="8" t="str"/>
      <x:c r="H96" s="8" t="str"/>
      <x:c r="I96" s="8" t="str"/>
      <x:c r="J96" s="8" t="str"/>
      <x:c r="K96" s="8" t="str">
        <x:f>IF(J96="","OPEN",IF(OR(F96="",G96="",NOT(ISNUMBER(H96)),I96=""),"FAIL","PASS"))</x:f>
        <x:v>OPEN</x:v>
      </x:c>
    </x:row>
    <x:row r="97" ht="29" customHeight="1">
      <x:c r="B97" s="8" t="str">
        <x:v>DA-Y1-SE07-1</x:v>
      </x:c>
      <x:c r="C97" s="8" t="str">
        <x:v>DA-Y1</x:v>
      </x:c>
      <x:c r="D97" s="8" t="n">
        <x:v>7</x:v>
      </x:c>
      <x:c r="E97" s="8" t="str">
        <x:v>normal energy</x:v>
      </x:c>
      <x:c r="F97" s="8" t="str"/>
      <x:c r="G97" s="8" t="str"/>
      <x:c r="H97" s="8" t="str"/>
      <x:c r="I97" s="8" t="str"/>
      <x:c r="J97" s="8" t="str"/>
      <x:c r="K97" s="8" t="str">
        <x:f>IF(J97="","OPEN",IF(OR(F97="",G97="",NOT(ISNUMBER(H97)),I97=""),"FAIL","PASS"))</x:f>
        <x:v>OPEN</x:v>
      </x:c>
    </x:row>
    <x:row r="98" ht="29" customHeight="1">
      <x:c r="B98" s="8" t="str">
        <x:v>DA-Y1-SE07-2</x:v>
      </x:c>
      <x:c r="C98" s="8" t="str">
        <x:v>DA-Y1</x:v>
      </x:c>
      <x:c r="D98" s="8" t="n">
        <x:v>7</x:v>
      </x:c>
      <x:c r="E98" s="8" t="str">
        <x:v>60 percent stored energy</x:v>
      </x:c>
      <x:c r="F98" s="8" t="str"/>
      <x:c r="G98" s="8" t="str"/>
      <x:c r="H98" s="8" t="str"/>
      <x:c r="I98" s="8" t="str"/>
      <x:c r="J98" s="8" t="str"/>
      <x:c r="K98" s="8" t="str">
        <x:f>IF(J98="","OPEN",IF(OR(F98="",G98="",NOT(ISNUMBER(H98)),I98=""),"FAIL","PASS"))</x:f>
        <x:v>OPEN</x:v>
      </x:c>
    </x:row>
    <x:row r="99" ht="29" customHeight="1">
      <x:c r="B99" s="8" t="str">
        <x:v>DA-Y1-SE07-3</x:v>
      </x:c>
      <x:c r="C99" s="8" t="str">
        <x:v>DA-Y1</x:v>
      </x:c>
      <x:c r="D99" s="8" t="n">
        <x:v>7</x:v>
      </x:c>
      <x:c r="E99" s="8" t="str">
        <x:v>normal power loss</x:v>
      </x:c>
      <x:c r="F99" s="8" t="str"/>
      <x:c r="G99" s="8" t="str"/>
      <x:c r="H99" s="8" t="str"/>
      <x:c r="I99" s="8" t="str"/>
      <x:c r="J99" s="8" t="str"/>
      <x:c r="K99" s="8" t="str">
        <x:f>IF(J99="","OPEN",IF(OR(F99="",G99="",NOT(ISNUMBER(H99)),I99=""),"FAIL","PASS"))</x:f>
        <x:v>OPEN</x:v>
      </x:c>
    </x:row>
    <x:row r="100" ht="29" customHeight="1">
      <x:c r="B100" s="8" t="str">
        <x:v>DA-Y1-SE07-4</x:v>
      </x:c>
      <x:c r="C100" s="8" t="str">
        <x:v>DA-Y1</x:v>
      </x:c>
      <x:c r="D100" s="8" t="n">
        <x:v>7</x:v>
      </x:c>
      <x:c r="E100" s="8" t="str">
        <x:v>causal-time loss</x:v>
      </x:c>
      <x:c r="F100" s="8" t="str"/>
      <x:c r="G100" s="8" t="str"/>
      <x:c r="H100" s="8" t="str"/>
      <x:c r="I100" s="8" t="str"/>
      <x:c r="J100" s="8" t="str"/>
      <x:c r="K100" s="8" t="str">
        <x:f>IF(J100="","OPEN",IF(OR(F100="",G100="",NOT(ISNUMBER(H100)),I100=""),"FAIL","PASS"))</x:f>
        <x:v>OPEN</x:v>
      </x:c>
    </x:row>
    <x:row r="101" ht="29" customHeight="1">
      <x:c r="B101" s="8" t="str">
        <x:v>DA-Y1-SE07-5</x:v>
      </x:c>
      <x:c r="C101" s="8" t="str">
        <x:v>DA-Y1</x:v>
      </x:c>
      <x:c r="D101" s="8" t="n">
        <x:v>7</x:v>
      </x:c>
      <x:c r="E101" s="8" t="str">
        <x:v>manual or passive route</x:v>
      </x:c>
      <x:c r="F101" s="8" t="str"/>
      <x:c r="G101" s="8" t="str"/>
      <x:c r="H101" s="8" t="str"/>
      <x:c r="I101" s="8" t="str"/>
      <x:c r="J101" s="8" t="str"/>
      <x:c r="K101" s="8" t="str">
        <x:f>IF(J101="","OPEN",IF(OR(F101="",G101="",NOT(ISNUMBER(H101)),I101=""),"FAIL","PASS"))</x:f>
        <x:v>OPEN</x:v>
      </x:c>
    </x:row>
    <x:row r="102" ht="29" customHeight="1">
      <x:c r="B102" s="8" t="str">
        <x:v>DA-Y1-SE08-1</x:v>
      </x:c>
      <x:c r="C102" s="8" t="str">
        <x:v>DA-Y1</x:v>
      </x:c>
      <x:c r="D102" s="8" t="n">
        <x:v>8</x:v>
      </x:c>
      <x:c r="E102" s="8" t="str">
        <x:v>normal energy</x:v>
      </x:c>
      <x:c r="F102" s="8" t="str"/>
      <x:c r="G102" s="8" t="str"/>
      <x:c r="H102" s="8" t="str"/>
      <x:c r="I102" s="8" t="str"/>
      <x:c r="J102" s="8" t="str"/>
      <x:c r="K102" s="8" t="str">
        <x:f>IF(J102="","OPEN",IF(OR(F102="",G102="",NOT(ISNUMBER(H102)),I102=""),"FAIL","PASS"))</x:f>
        <x:v>OPEN</x:v>
      </x:c>
    </x:row>
    <x:row r="103" ht="29" customHeight="1">
      <x:c r="B103" s="8" t="str">
        <x:v>DA-Y1-SE08-2</x:v>
      </x:c>
      <x:c r="C103" s="8" t="str">
        <x:v>DA-Y1</x:v>
      </x:c>
      <x:c r="D103" s="8" t="n">
        <x:v>8</x:v>
      </x:c>
      <x:c r="E103" s="8" t="str">
        <x:v>60 percent stored energy</x:v>
      </x:c>
      <x:c r="F103" s="8" t="str"/>
      <x:c r="G103" s="8" t="str"/>
      <x:c r="H103" s="8" t="str"/>
      <x:c r="I103" s="8" t="str"/>
      <x:c r="J103" s="8" t="str"/>
      <x:c r="K103" s="8" t="str">
        <x:f>IF(J103="","OPEN",IF(OR(F103="",G103="",NOT(ISNUMBER(H103)),I103=""),"FAIL","PASS"))</x:f>
        <x:v>OPEN</x:v>
      </x:c>
    </x:row>
    <x:row r="104" ht="29" customHeight="1">
      <x:c r="B104" s="8" t="str">
        <x:v>DA-Y1-SE08-3</x:v>
      </x:c>
      <x:c r="C104" s="8" t="str">
        <x:v>DA-Y1</x:v>
      </x:c>
      <x:c r="D104" s="8" t="n">
        <x:v>8</x:v>
      </x:c>
      <x:c r="E104" s="8" t="str">
        <x:v>normal power loss</x:v>
      </x:c>
      <x:c r="F104" s="8" t="str"/>
      <x:c r="G104" s="8" t="str"/>
      <x:c r="H104" s="8" t="str"/>
      <x:c r="I104" s="8" t="str"/>
      <x:c r="J104" s="8" t="str"/>
      <x:c r="K104" s="8" t="str">
        <x:f>IF(J104="","OPEN",IF(OR(F104="",G104="",NOT(ISNUMBER(H104)),I104=""),"FAIL","PASS"))</x:f>
        <x:v>OPEN</x:v>
      </x:c>
    </x:row>
    <x:row r="105" ht="29" customHeight="1">
      <x:c r="B105" s="8" t="str">
        <x:v>DA-Y1-SE08-4</x:v>
      </x:c>
      <x:c r="C105" s="8" t="str">
        <x:v>DA-Y1</x:v>
      </x:c>
      <x:c r="D105" s="8" t="n">
        <x:v>8</x:v>
      </x:c>
      <x:c r="E105" s="8" t="str">
        <x:v>causal-time loss</x:v>
      </x:c>
      <x:c r="F105" s="8" t="str"/>
      <x:c r="G105" s="8" t="str"/>
      <x:c r="H105" s="8" t="str"/>
      <x:c r="I105" s="8" t="str"/>
      <x:c r="J105" s="8" t="str"/>
      <x:c r="K105" s="8" t="str">
        <x:f>IF(J105="","OPEN",IF(OR(F105="",G105="",NOT(ISNUMBER(H105)),I105=""),"FAIL","PASS"))</x:f>
        <x:v>OPEN</x:v>
      </x:c>
    </x:row>
    <x:row r="106" ht="29" customHeight="1">
      <x:c r="B106" s="8" t="str">
        <x:v>DA-Y1-SE08-5</x:v>
      </x:c>
      <x:c r="C106" s="8" t="str">
        <x:v>DA-Y1</x:v>
      </x:c>
      <x:c r="D106" s="8" t="n">
        <x:v>8</x:v>
      </x:c>
      <x:c r="E106" s="8" t="str">
        <x:v>manual or passive route</x:v>
      </x:c>
      <x:c r="F106" s="8" t="str"/>
      <x:c r="G106" s="8" t="str"/>
      <x:c r="H106" s="8" t="str"/>
      <x:c r="I106" s="8" t="str"/>
      <x:c r="J106" s="8" t="str"/>
      <x:c r="K106" s="8" t="str">
        <x:f>IF(J106="","OPEN",IF(OR(F106="",G106="",NOT(ISNUMBER(H106)),I106=""),"FAIL","PASS"))</x:f>
        <x:v>OPEN</x:v>
      </x:c>
    </x:row>
    <x:row r="107" ht="29" customHeight="1">
      <x:c r="B107" s="8" t="str">
        <x:v>DA-Y1-SE09-1</x:v>
      </x:c>
      <x:c r="C107" s="8" t="str">
        <x:v>DA-Y1</x:v>
      </x:c>
      <x:c r="D107" s="8" t="n">
        <x:v>9</x:v>
      </x:c>
      <x:c r="E107" s="8" t="str">
        <x:v>normal energy</x:v>
      </x:c>
      <x:c r="F107" s="8" t="str"/>
      <x:c r="G107" s="8" t="str"/>
      <x:c r="H107" s="8" t="str"/>
      <x:c r="I107" s="8" t="str"/>
      <x:c r="J107" s="8" t="str"/>
      <x:c r="K107" s="8" t="str">
        <x:f>IF(J107="","OPEN",IF(OR(F107="",G107="",NOT(ISNUMBER(H107)),I107=""),"FAIL","PASS"))</x:f>
        <x:v>OPEN</x:v>
      </x:c>
    </x:row>
    <x:row r="108" ht="29" customHeight="1">
      <x:c r="B108" s="8" t="str">
        <x:v>DA-Y1-SE09-2</x:v>
      </x:c>
      <x:c r="C108" s="8" t="str">
        <x:v>DA-Y1</x:v>
      </x:c>
      <x:c r="D108" s="8" t="n">
        <x:v>9</x:v>
      </x:c>
      <x:c r="E108" s="8" t="str">
        <x:v>60 percent stored energy</x:v>
      </x:c>
      <x:c r="F108" s="8" t="str"/>
      <x:c r="G108" s="8" t="str"/>
      <x:c r="H108" s="8" t="str"/>
      <x:c r="I108" s="8" t="str"/>
      <x:c r="J108" s="8" t="str"/>
      <x:c r="K108" s="8" t="str">
        <x:f>IF(J108="","OPEN",IF(OR(F108="",G108="",NOT(ISNUMBER(H108)),I108=""),"FAIL","PASS"))</x:f>
        <x:v>OPEN</x:v>
      </x:c>
    </x:row>
    <x:row r="109" ht="29" customHeight="1">
      <x:c r="B109" s="8" t="str">
        <x:v>DA-Y1-SE09-3</x:v>
      </x:c>
      <x:c r="C109" s="8" t="str">
        <x:v>DA-Y1</x:v>
      </x:c>
      <x:c r="D109" s="8" t="n">
        <x:v>9</x:v>
      </x:c>
      <x:c r="E109" s="8" t="str">
        <x:v>normal power loss</x:v>
      </x:c>
      <x:c r="F109" s="8" t="str"/>
      <x:c r="G109" s="8" t="str"/>
      <x:c r="H109" s="8" t="str"/>
      <x:c r="I109" s="8" t="str"/>
      <x:c r="J109" s="8" t="str"/>
      <x:c r="K109" s="8" t="str">
        <x:f>IF(J109="","OPEN",IF(OR(F109="",G109="",NOT(ISNUMBER(H109)),I109=""),"FAIL","PASS"))</x:f>
        <x:v>OPEN</x:v>
      </x:c>
    </x:row>
    <x:row r="110" ht="29" customHeight="1">
      <x:c r="B110" s="8" t="str">
        <x:v>DA-Y1-SE09-4</x:v>
      </x:c>
      <x:c r="C110" s="8" t="str">
        <x:v>DA-Y1</x:v>
      </x:c>
      <x:c r="D110" s="8" t="n">
        <x:v>9</x:v>
      </x:c>
      <x:c r="E110" s="8" t="str">
        <x:v>causal-time loss</x:v>
      </x:c>
      <x:c r="F110" s="8" t="str"/>
      <x:c r="G110" s="8" t="str"/>
      <x:c r="H110" s="8" t="str"/>
      <x:c r="I110" s="8" t="str"/>
      <x:c r="J110" s="8" t="str"/>
      <x:c r="K110" s="8" t="str">
        <x:f>IF(J110="","OPEN",IF(OR(F110="",G110="",NOT(ISNUMBER(H110)),I110=""),"FAIL","PASS"))</x:f>
        <x:v>OPEN</x:v>
      </x:c>
    </x:row>
    <x:row r="111" ht="29" customHeight="1">
      <x:c r="B111" s="8" t="str">
        <x:v>DA-Y1-SE09-5</x:v>
      </x:c>
      <x:c r="C111" s="8" t="str">
        <x:v>DA-Y1</x:v>
      </x:c>
      <x:c r="D111" s="8" t="n">
        <x:v>9</x:v>
      </x:c>
      <x:c r="E111" s="8" t="str">
        <x:v>manual or passive route</x:v>
      </x:c>
      <x:c r="F111" s="8" t="str"/>
      <x:c r="G111" s="8" t="str"/>
      <x:c r="H111" s="8" t="str"/>
      <x:c r="I111" s="8" t="str"/>
      <x:c r="J111" s="8" t="str"/>
      <x:c r="K111" s="8" t="str">
        <x:f>IF(J111="","OPEN",IF(OR(F111="",G111="",NOT(ISNUMBER(H111)),I111=""),"FAIL","PASS"))</x:f>
        <x:v>OPEN</x:v>
      </x:c>
    </x:row>
    <x:row r="112" ht="29" customHeight="1">
      <x:c r="B112" s="8" t="str">
        <x:v>DA-Y1-SE10-1</x:v>
      </x:c>
      <x:c r="C112" s="8" t="str">
        <x:v>DA-Y1</x:v>
      </x:c>
      <x:c r="D112" s="8" t="n">
        <x:v>10</x:v>
      </x:c>
      <x:c r="E112" s="8" t="str">
        <x:v>normal energy</x:v>
      </x:c>
      <x:c r="F112" s="8" t="str"/>
      <x:c r="G112" s="8" t="str"/>
      <x:c r="H112" s="8" t="str"/>
      <x:c r="I112" s="8" t="str"/>
      <x:c r="J112" s="8" t="str"/>
      <x:c r="K112" s="8" t="str">
        <x:f>IF(J112="","OPEN",IF(OR(F112="",G112="",NOT(ISNUMBER(H112)),I112=""),"FAIL","PASS"))</x:f>
        <x:v>OPEN</x:v>
      </x:c>
    </x:row>
    <x:row r="113" ht="29" customHeight="1">
      <x:c r="B113" s="8" t="str">
        <x:v>DA-Y1-SE10-2</x:v>
      </x:c>
      <x:c r="C113" s="8" t="str">
        <x:v>DA-Y1</x:v>
      </x:c>
      <x:c r="D113" s="8" t="n">
        <x:v>10</x:v>
      </x:c>
      <x:c r="E113" s="8" t="str">
        <x:v>60 percent stored energy</x:v>
      </x:c>
      <x:c r="F113" s="8" t="str"/>
      <x:c r="G113" s="8" t="str"/>
      <x:c r="H113" s="8" t="str"/>
      <x:c r="I113" s="8" t="str"/>
      <x:c r="J113" s="8" t="str"/>
      <x:c r="K113" s="8" t="str">
        <x:f>IF(J113="","OPEN",IF(OR(F113="",G113="",NOT(ISNUMBER(H113)),I113=""),"FAIL","PASS"))</x:f>
        <x:v>OPEN</x:v>
      </x:c>
    </x:row>
    <x:row r="114" ht="29" customHeight="1">
      <x:c r="B114" s="8" t="str">
        <x:v>DA-Y1-SE10-3</x:v>
      </x:c>
      <x:c r="C114" s="8" t="str">
        <x:v>DA-Y1</x:v>
      </x:c>
      <x:c r="D114" s="8" t="n">
        <x:v>10</x:v>
      </x:c>
      <x:c r="E114" s="8" t="str">
        <x:v>normal power loss</x:v>
      </x:c>
      <x:c r="F114" s="8" t="str"/>
      <x:c r="G114" s="8" t="str"/>
      <x:c r="H114" s="8" t="str"/>
      <x:c r="I114" s="8" t="str"/>
      <x:c r="J114" s="8" t="str"/>
      <x:c r="K114" s="8" t="str">
        <x:f>IF(J114="","OPEN",IF(OR(F114="",G114="",NOT(ISNUMBER(H114)),I114=""),"FAIL","PASS"))</x:f>
        <x:v>OPEN</x:v>
      </x:c>
    </x:row>
    <x:row r="115" ht="29" customHeight="1">
      <x:c r="B115" s="8" t="str">
        <x:v>DA-Y1-SE10-4</x:v>
      </x:c>
      <x:c r="C115" s="8" t="str">
        <x:v>DA-Y1</x:v>
      </x:c>
      <x:c r="D115" s="8" t="n">
        <x:v>10</x:v>
      </x:c>
      <x:c r="E115" s="8" t="str">
        <x:v>causal-time loss</x:v>
      </x:c>
      <x:c r="F115" s="8" t="str"/>
      <x:c r="G115" s="8" t="str"/>
      <x:c r="H115" s="8" t="str"/>
      <x:c r="I115" s="8" t="str"/>
      <x:c r="J115" s="8" t="str"/>
      <x:c r="K115" s="8" t="str">
        <x:f>IF(J115="","OPEN",IF(OR(F115="",G115="",NOT(ISNUMBER(H115)),I115=""),"FAIL","PASS"))</x:f>
        <x:v>OPEN</x:v>
      </x:c>
    </x:row>
    <x:row r="116" ht="29" customHeight="1">
      <x:c r="B116" s="8" t="str">
        <x:v>DA-Y1-SE10-5</x:v>
      </x:c>
      <x:c r="C116" s="8" t="str">
        <x:v>DA-Y1</x:v>
      </x:c>
      <x:c r="D116" s="8" t="n">
        <x:v>10</x:v>
      </x:c>
      <x:c r="E116" s="8" t="str">
        <x:v>manual or passive route</x:v>
      </x:c>
      <x:c r="F116" s="8" t="str"/>
      <x:c r="G116" s="8" t="str"/>
      <x:c r="H116" s="8" t="str"/>
      <x:c r="I116" s="8" t="str"/>
      <x:c r="J116" s="8" t="str"/>
      <x:c r="K116" s="8" t="str">
        <x:f>IF(J116="","OPEN",IF(OR(F116="",G116="",NOT(ISNUMBER(H116)),I116=""),"FAIL","PASS"))</x:f>
        <x:v>OPEN</x:v>
      </x:c>
    </x:row>
    <x:row r="117" ht="29" customHeight="1">
      <x:c r="B117" s="8" t="str">
        <x:v>DA-Y1-SE11-1</x:v>
      </x:c>
      <x:c r="C117" s="8" t="str">
        <x:v>DA-Y1</x:v>
      </x:c>
      <x:c r="D117" s="8" t="n">
        <x:v>11</x:v>
      </x:c>
      <x:c r="E117" s="8" t="str">
        <x:v>normal energy</x:v>
      </x:c>
      <x:c r="F117" s="8" t="str"/>
      <x:c r="G117" s="8" t="str"/>
      <x:c r="H117" s="8" t="str"/>
      <x:c r="I117" s="8" t="str"/>
      <x:c r="J117" s="8" t="str"/>
      <x:c r="K117" s="8" t="str">
        <x:f>IF(J117="","OPEN",IF(OR(F117="",G117="",NOT(ISNUMBER(H117)),I117=""),"FAIL","PASS"))</x:f>
        <x:v>OPEN</x:v>
      </x:c>
    </x:row>
    <x:row r="118" ht="29" customHeight="1">
      <x:c r="B118" s="8" t="str">
        <x:v>DA-Y1-SE11-2</x:v>
      </x:c>
      <x:c r="C118" s="8" t="str">
        <x:v>DA-Y1</x:v>
      </x:c>
      <x:c r="D118" s="8" t="n">
        <x:v>11</x:v>
      </x:c>
      <x:c r="E118" s="8" t="str">
        <x:v>60 percent stored energy</x:v>
      </x:c>
      <x:c r="F118" s="8" t="str"/>
      <x:c r="G118" s="8" t="str"/>
      <x:c r="H118" s="8" t="str"/>
      <x:c r="I118" s="8" t="str"/>
      <x:c r="J118" s="8" t="str"/>
      <x:c r="K118" s="8" t="str">
        <x:f>IF(J118="","OPEN",IF(OR(F118="",G118="",NOT(ISNUMBER(H118)),I118=""),"FAIL","PASS"))</x:f>
        <x:v>OPEN</x:v>
      </x:c>
    </x:row>
    <x:row r="119" ht="29" customHeight="1">
      <x:c r="B119" s="8" t="str">
        <x:v>DA-Y1-SE11-3</x:v>
      </x:c>
      <x:c r="C119" s="8" t="str">
        <x:v>DA-Y1</x:v>
      </x:c>
      <x:c r="D119" s="8" t="n">
        <x:v>11</x:v>
      </x:c>
      <x:c r="E119" s="8" t="str">
        <x:v>normal power loss</x:v>
      </x:c>
      <x:c r="F119" s="8" t="str"/>
      <x:c r="G119" s="8" t="str"/>
      <x:c r="H119" s="8" t="str"/>
      <x:c r="I119" s="8" t="str"/>
      <x:c r="J119" s="8" t="str"/>
      <x:c r="K119" s="8" t="str">
        <x:f>IF(J119="","OPEN",IF(OR(F119="",G119="",NOT(ISNUMBER(H119)),I119=""),"FAIL","PASS"))</x:f>
        <x:v>OPEN</x:v>
      </x:c>
    </x:row>
    <x:row r="120" ht="29" customHeight="1">
      <x:c r="B120" s="8" t="str">
        <x:v>DA-Y1-SE11-4</x:v>
      </x:c>
      <x:c r="C120" s="8" t="str">
        <x:v>DA-Y1</x:v>
      </x:c>
      <x:c r="D120" s="8" t="n">
        <x:v>11</x:v>
      </x:c>
      <x:c r="E120" s="8" t="str">
        <x:v>causal-time loss</x:v>
      </x:c>
      <x:c r="F120" s="8" t="str"/>
      <x:c r="G120" s="8" t="str"/>
      <x:c r="H120" s="8" t="str"/>
      <x:c r="I120" s="8" t="str"/>
      <x:c r="J120" s="8" t="str"/>
      <x:c r="K120" s="8" t="str">
        <x:f>IF(J120="","OPEN",IF(OR(F120="",G120="",NOT(ISNUMBER(H120)),I120=""),"FAIL","PASS"))</x:f>
        <x:v>OPEN</x:v>
      </x:c>
    </x:row>
    <x:row r="121" ht="29" customHeight="1">
      <x:c r="B121" s="8" t="str">
        <x:v>DA-Y1-SE11-5</x:v>
      </x:c>
      <x:c r="C121" s="8" t="str">
        <x:v>DA-Y1</x:v>
      </x:c>
      <x:c r="D121" s="8" t="n">
        <x:v>11</x:v>
      </x:c>
      <x:c r="E121" s="8" t="str">
        <x:v>manual or passive route</x:v>
      </x:c>
      <x:c r="F121" s="8" t="str"/>
      <x:c r="G121" s="8" t="str"/>
      <x:c r="H121" s="8" t="str"/>
      <x:c r="I121" s="8" t="str"/>
      <x:c r="J121" s="8" t="str"/>
      <x:c r="K121" s="8" t="str">
        <x:f>IF(J121="","OPEN",IF(OR(F121="",G121="",NOT(ISNUMBER(H121)),I121=""),"FAIL","PASS"))</x:f>
        <x:v>OPEN</x:v>
      </x:c>
    </x:row>
    <x:row r="122" ht="29" customHeight="1">
      <x:c r="B122" s="8" t="str">
        <x:v>DA-Y1-SE12-1</x:v>
      </x:c>
      <x:c r="C122" s="8" t="str">
        <x:v>DA-Y1</x:v>
      </x:c>
      <x:c r="D122" s="8" t="n">
        <x:v>12</x:v>
      </x:c>
      <x:c r="E122" s="8" t="str">
        <x:v>normal energy</x:v>
      </x:c>
      <x:c r="F122" s="8" t="str"/>
      <x:c r="G122" s="8" t="str"/>
      <x:c r="H122" s="8" t="str"/>
      <x:c r="I122" s="8" t="str"/>
      <x:c r="J122" s="8" t="str"/>
      <x:c r="K122" s="8" t="str">
        <x:f>IF(J122="","OPEN",IF(OR(F122="",G122="",NOT(ISNUMBER(H122)),I122=""),"FAIL","PASS"))</x:f>
        <x:v>OPEN</x:v>
      </x:c>
    </x:row>
    <x:row r="123" ht="29" customHeight="1">
      <x:c r="B123" s="8" t="str">
        <x:v>DA-Y1-SE12-2</x:v>
      </x:c>
      <x:c r="C123" s="8" t="str">
        <x:v>DA-Y1</x:v>
      </x:c>
      <x:c r="D123" s="8" t="n">
        <x:v>12</x:v>
      </x:c>
      <x:c r="E123" s="8" t="str">
        <x:v>60 percent stored energy</x:v>
      </x:c>
      <x:c r="F123" s="8" t="str"/>
      <x:c r="G123" s="8" t="str"/>
      <x:c r="H123" s="8" t="str"/>
      <x:c r="I123" s="8" t="str"/>
      <x:c r="J123" s="8" t="str"/>
      <x:c r="K123" s="8" t="str">
        <x:f>IF(J123="","OPEN",IF(OR(F123="",G123="",NOT(ISNUMBER(H123)),I123=""),"FAIL","PASS"))</x:f>
        <x:v>OPEN</x:v>
      </x:c>
    </x:row>
    <x:row r="124" ht="29" customHeight="1">
      <x:c r="B124" s="8" t="str">
        <x:v>DA-Y1-SE12-3</x:v>
      </x:c>
      <x:c r="C124" s="8" t="str">
        <x:v>DA-Y1</x:v>
      </x:c>
      <x:c r="D124" s="8" t="n">
        <x:v>12</x:v>
      </x:c>
      <x:c r="E124" s="8" t="str">
        <x:v>normal power loss</x:v>
      </x:c>
      <x:c r="F124" s="8" t="str"/>
      <x:c r="G124" s="8" t="str"/>
      <x:c r="H124" s="8" t="str"/>
      <x:c r="I124" s="8" t="str"/>
      <x:c r="J124" s="8" t="str"/>
      <x:c r="K124" s="8" t="str">
        <x:f>IF(J124="","OPEN",IF(OR(F124="",G124="",NOT(ISNUMBER(H124)),I124=""),"FAIL","PASS"))</x:f>
        <x:v>OPEN</x:v>
      </x:c>
    </x:row>
    <x:row r="125" ht="29" customHeight="1">
      <x:c r="B125" s="8" t="str">
        <x:v>DA-Y1-SE12-4</x:v>
      </x:c>
      <x:c r="C125" s="8" t="str">
        <x:v>DA-Y1</x:v>
      </x:c>
      <x:c r="D125" s="8" t="n">
        <x:v>12</x:v>
      </x:c>
      <x:c r="E125" s="8" t="str">
        <x:v>causal-time loss</x:v>
      </x:c>
      <x:c r="F125" s="8" t="str"/>
      <x:c r="G125" s="8" t="str"/>
      <x:c r="H125" s="8" t="str"/>
      <x:c r="I125" s="8" t="str"/>
      <x:c r="J125" s="8" t="str"/>
      <x:c r="K125" s="8" t="str">
        <x:f>IF(J125="","OPEN",IF(OR(F125="",G125="",NOT(ISNUMBER(H125)),I125=""),"FAIL","PASS"))</x:f>
        <x:v>OPEN</x:v>
      </x:c>
    </x:row>
    <x:row r="126" ht="29" customHeight="1">
      <x:c r="B126" s="8" t="str">
        <x:v>DA-Y1-SE12-5</x:v>
      </x:c>
      <x:c r="C126" s="8" t="str">
        <x:v>DA-Y1</x:v>
      </x:c>
      <x:c r="D126" s="8" t="n">
        <x:v>12</x:v>
      </x:c>
      <x:c r="E126" s="8" t="str">
        <x:v>manual or passive route</x:v>
      </x:c>
      <x:c r="F126" s="8" t="str"/>
      <x:c r="G126" s="8" t="str"/>
      <x:c r="H126" s="8" t="str"/>
      <x:c r="I126" s="8" t="str"/>
      <x:c r="J126" s="8" t="str"/>
      <x:c r="K126" s="8" t="str">
        <x:f>IF(J126="","OPEN",IF(OR(F126="",G126="",NOT(ISNUMBER(H126)),I126=""),"FAIL","PASS"))</x:f>
        <x:v>OPEN</x:v>
      </x:c>
    </x:row>
  </x:sheetData>
  <x:conditionalFormatting sqref="K7:K126">
    <x:cfRule type="containsText" dxfId="102" priority="1" operator="containsText" text="FAIL"/>
    <x:cfRule type="containsText" dxfId="103" priority="2" operator="containsText" text="BLOCKED"/>
    <x:cfRule type="containsText" dxfId="104" priority="3" operator="containsText" text="OPEN"/>
    <x:cfRule type="containsText" dxfId="105" priority="4" operator="containsText" text="PASS"/>
    <x:cfRule type="containsText" dxfId="106" priority="5" operator="containsText" text="PLANNED"/>
    <x:cfRule type="containsText" dxfId="107" priority="6" operator="containsText" text="ACTIVE"/>
  </x:conditionalFormatting>
  <x:pageMargins left="0.7" right="0.7" top="0.75" bottom="0.75" header="0.3" footer="0.3"/>
</x:worksheet>
</file>

<file path=xl/worksheets/sheet27.xml><?xml version="1.0" encoding="utf-8"?>
<x:worksheet xmlns:x="http://schemas.openxmlformats.org/spreadsheetml/2006/main">
  <x:sheetViews>
    <x:sheetView showGridLines="0" workbookViewId="0">
      <x:pane xSplit="2" ySplit="6" topLeftCell="C7" activePane="bottomRight" state="frozen"/>
    </x:sheetView>
  </x:sheetViews>
  <x:sheetFormatPr defaultRowHeight="15"/>
  <x:cols>
    <x:col min="2" max="2" width="18" hidden="0" customWidth="1"/>
    <x:col min="3" max="3" width="14" hidden="0" customWidth="1"/>
    <x:col min="4" max="4" width="29" hidden="0" customWidth="1"/>
    <x:col min="5" max="5" width="17" hidden="0" customWidth="1"/>
    <x:col min="6" max="6" width="18" hidden="0" customWidth="1"/>
    <x:col min="7" max="7" width="16" hidden="0" customWidth="1"/>
    <x:col min="8" max="8" width="22" hidden="0" customWidth="1"/>
    <x:col min="9" max="9" width="20" hidden="0" customWidth="1"/>
    <x:col min="10" max="10" width="14" hidden="0" customWidth="1"/>
  </x:cols>
  <x:sheetData>
    <x:row r="2">
      <x:c r="B2" s="44" t="str">
        <x:v>Eight independent-energy challenge states</x:v>
      </x:c>
      <x:c r="C2" s="45"/>
      <x:c r="D2" s="45"/>
      <x:c r="E2" s="45"/>
      <x:c r="F2" s="45"/>
      <x:c r="G2" s="45"/>
      <x:c r="H2" s="45"/>
      <x:c r="I2" s="45"/>
      <x:c r="J2" s="45"/>
    </x:row>
    <x:row r="3">
      <x:c r="B3" s="46" t="str">
        <x:v>Available energy, load history, recorder survival and release-electronics survival are observed independently.</x:v>
      </x:c>
      <x:c r="C3" s="45"/>
      <x:c r="D3" s="45"/>
      <x:c r="E3" s="45"/>
      <x:c r="F3" s="45"/>
      <x:c r="G3" s="45"/>
      <x:c r="H3" s="45"/>
      <x:c r="I3" s="45"/>
      <x:c r="J3" s="45"/>
    </x:row>
    <x:row r="4">
      <x:c r="B4" s="45"/>
      <x:c r="C4" s="45"/>
      <x:c r="D4" s="45"/>
      <x:c r="E4" s="45"/>
      <x:c r="F4" s="45"/>
      <x:c r="G4" s="45"/>
      <x:c r="H4" s="45"/>
      <x:c r="I4" s="45"/>
      <x:c r="J4" s="45"/>
    </x:row>
    <x:row r="5">
      <x:c r="B5" s="45"/>
      <x:c r="C5" s="45"/>
      <x:c r="D5" s="45"/>
      <x:c r="E5" s="45"/>
      <x:c r="F5" s="45"/>
      <x:c r="G5" s="45"/>
      <x:c r="H5" s="45"/>
      <x:c r="I5" s="45"/>
      <x:c r="J5" s="45"/>
    </x:row>
    <x:row r="6" ht="25" customHeight="1">
      <x:c r="B6" s="6" t="str">
        <x:v>Trial</x:v>
      </x:c>
      <x:c r="C6" s="6" t="str">
        <x:v>Article</x:v>
      </x:c>
      <x:c r="D6" s="6" t="str">
        <x:v>Condition</x:v>
      </x:c>
      <x:c r="E6" s="6" t="str">
        <x:v>Initial Wh</x:v>
      </x:c>
      <x:c r="F6" s="6" t="str">
        <x:v>Consumed Wh</x:v>
      </x:c>
      <x:c r="G6" s="6" t="str">
        <x:v>Final Wh</x:v>
      </x:c>
      <x:c r="H6" s="6" t="str">
        <x:v>Evidence result</x:v>
      </x:c>
      <x:c r="I6" s="6" t="str">
        <x:v>Accepted UTC</x:v>
      </x:c>
      <x:c r="J6" s="6" t="str">
        <x:v>State</x:v>
      </x:c>
    </x:row>
    <x:row r="7" ht="32" customHeight="1">
      <x:c r="B7" s="8" t="str">
        <x:v>DA-X1-EN-1</x:v>
      </x:c>
      <x:c r="C7" s="8" t="str">
        <x:v>DA-X1</x:v>
      </x:c>
      <x:c r="D7" s="8" t="str">
        <x:v>full charge</x:v>
      </x:c>
      <x:c r="E7" s="8" t="str"/>
      <x:c r="F7" s="8" t="str"/>
      <x:c r="G7" s="8" t="str"/>
      <x:c r="H7" s="8" t="str"/>
      <x:c r="I7" s="8" t="str"/>
      <x:c r="J7" s="8" t="str">
        <x:f>IF(I7="","OPEN",IF(OR(NOT(ISNUMBER(E7)),NOT(ISNUMBER(F7)),NOT(ISNUMBER(G7)),ABS(E7-F7-G7)&gt;2,H7=""),"FAIL","PASS"))</x:f>
        <x:v>OPEN</x:v>
      </x:c>
    </x:row>
    <x:row r="8" ht="32" customHeight="1">
      <x:c r="B8" s="8" t="str">
        <x:v>DA-X1-EN-2</x:v>
      </x:c>
      <x:c r="C8" s="8" t="str">
        <x:v>DA-X1</x:v>
      </x:c>
      <x:c r="D8" s="8" t="str">
        <x:v>60 percent state</x:v>
      </x:c>
      <x:c r="E8" s="8" t="str"/>
      <x:c r="F8" s="8" t="str"/>
      <x:c r="G8" s="8" t="str"/>
      <x:c r="H8" s="8" t="str"/>
      <x:c r="I8" s="8" t="str"/>
      <x:c r="J8" s="8" t="str">
        <x:f>IF(I8="","OPEN",IF(OR(NOT(ISNUMBER(E8)),NOT(ISNUMBER(F8)),NOT(ISNUMBER(G8)),ABS(E8-F8-G8)&gt;2,H8=""),"FAIL","PASS"))</x:f>
        <x:v>OPEN</x:v>
      </x:c>
    </x:row>
    <x:row r="9" ht="32" customHeight="1">
      <x:c r="B9" s="8" t="str">
        <x:v>DA-X1-EN-3</x:v>
      </x:c>
      <x:c r="C9" s="8" t="str">
        <x:v>DA-X1</x:v>
      </x:c>
      <x:c r="D9" s="8" t="str">
        <x:v>normal-power loss</x:v>
      </x:c>
      <x:c r="E9" s="8" t="str"/>
      <x:c r="F9" s="8" t="str"/>
      <x:c r="G9" s="8" t="str"/>
      <x:c r="H9" s="8" t="str"/>
      <x:c r="I9" s="8" t="str"/>
      <x:c r="J9" s="8" t="str">
        <x:f>IF(I9="","OPEN",IF(OR(NOT(ISNUMBER(E9)),NOT(ISNUMBER(F9)),NOT(ISNUMBER(G9)),ABS(E9-F9-G9)&gt;2,H9=""),"FAIL","PASS"))</x:f>
        <x:v>OPEN</x:v>
      </x:c>
    </x:row>
    <x:row r="10" ht="32" customHeight="1">
      <x:c r="B10" s="8" t="str">
        <x:v>DA-X1-EN-4</x:v>
      </x:c>
      <x:c r="C10" s="8" t="str">
        <x:v>DA-X1</x:v>
      </x:c>
      <x:c r="D10" s="8" t="str">
        <x:v>recorder and release peak</x:v>
      </x:c>
      <x:c r="E10" s="8" t="str"/>
      <x:c r="F10" s="8" t="str"/>
      <x:c r="G10" s="8" t="str"/>
      <x:c r="H10" s="8" t="str"/>
      <x:c r="I10" s="8" t="str"/>
      <x:c r="J10" s="8" t="str">
        <x:f>IF(I10="","OPEN",IF(OR(NOT(ISNUMBER(E10)),NOT(ISNUMBER(F10)),NOT(ISNUMBER(G10)),ABS(E10-F10-G10)&gt;2,H10=""),"FAIL","PASS"))</x:f>
        <x:v>OPEN</x:v>
      </x:c>
    </x:row>
    <x:row r="11" ht="32" customHeight="1">
      <x:c r="B11" s="8" t="str">
        <x:v>DA-Y1-EN-1</x:v>
      </x:c>
      <x:c r="C11" s="8" t="str">
        <x:v>DA-Y1</x:v>
      </x:c>
      <x:c r="D11" s="8" t="str">
        <x:v>full charge</x:v>
      </x:c>
      <x:c r="E11" s="8" t="str"/>
      <x:c r="F11" s="8" t="str"/>
      <x:c r="G11" s="8" t="str"/>
      <x:c r="H11" s="8" t="str"/>
      <x:c r="I11" s="8" t="str"/>
      <x:c r="J11" s="8" t="str">
        <x:f>IF(I11="","OPEN",IF(OR(NOT(ISNUMBER(E11)),NOT(ISNUMBER(F11)),NOT(ISNUMBER(G11)),ABS(E11-F11-G11)&gt;2,H11=""),"FAIL","PASS"))</x:f>
        <x:v>OPEN</x:v>
      </x:c>
    </x:row>
    <x:row r="12" ht="32" customHeight="1">
      <x:c r="B12" s="8" t="str">
        <x:v>DA-Y1-EN-2</x:v>
      </x:c>
      <x:c r="C12" s="8" t="str">
        <x:v>DA-Y1</x:v>
      </x:c>
      <x:c r="D12" s="8" t="str">
        <x:v>60 percent state</x:v>
      </x:c>
      <x:c r="E12" s="8" t="str"/>
      <x:c r="F12" s="8" t="str"/>
      <x:c r="G12" s="8" t="str"/>
      <x:c r="H12" s="8" t="str"/>
      <x:c r="I12" s="8" t="str"/>
      <x:c r="J12" s="8" t="str">
        <x:f>IF(I12="","OPEN",IF(OR(NOT(ISNUMBER(E12)),NOT(ISNUMBER(F12)),NOT(ISNUMBER(G12)),ABS(E12-F12-G12)&gt;2,H12=""),"FAIL","PASS"))</x:f>
        <x:v>OPEN</x:v>
      </x:c>
    </x:row>
    <x:row r="13" ht="32" customHeight="1">
      <x:c r="B13" s="8" t="str">
        <x:v>DA-Y1-EN-3</x:v>
      </x:c>
      <x:c r="C13" s="8" t="str">
        <x:v>DA-Y1</x:v>
      </x:c>
      <x:c r="D13" s="8" t="str">
        <x:v>normal-power loss</x:v>
      </x:c>
      <x:c r="E13" s="8" t="str"/>
      <x:c r="F13" s="8" t="str"/>
      <x:c r="G13" s="8" t="str"/>
      <x:c r="H13" s="8" t="str"/>
      <x:c r="I13" s="8" t="str"/>
      <x:c r="J13" s="8" t="str">
        <x:f>IF(I13="","OPEN",IF(OR(NOT(ISNUMBER(E13)),NOT(ISNUMBER(F13)),NOT(ISNUMBER(G13)),ABS(E13-F13-G13)&gt;2,H13=""),"FAIL","PASS"))</x:f>
        <x:v>OPEN</x:v>
      </x:c>
    </x:row>
    <x:row r="14" ht="32" customHeight="1">
      <x:c r="B14" s="8" t="str">
        <x:v>DA-Y1-EN-4</x:v>
      </x:c>
      <x:c r="C14" s="8" t="str">
        <x:v>DA-Y1</x:v>
      </x:c>
      <x:c r="D14" s="8" t="str">
        <x:v>recorder and release peak</x:v>
      </x:c>
      <x:c r="E14" s="8" t="str"/>
      <x:c r="F14" s="8" t="str"/>
      <x:c r="G14" s="8" t="str"/>
      <x:c r="H14" s="8" t="str"/>
      <x:c r="I14" s="8" t="str"/>
      <x:c r="J14" s="8" t="str">
        <x:f>IF(I14="","OPEN",IF(OR(NOT(ISNUMBER(E14)),NOT(ISNUMBER(F14)),NOT(ISNUMBER(G14)),ABS(E14-F14-G14)&gt;2,H14=""),"FAIL","PASS"))</x:f>
        <x:v>OPEN</x:v>
      </x:c>
    </x:row>
  </x:sheetData>
  <x:conditionalFormatting sqref="J7:J14">
    <x:cfRule type="containsText" dxfId="108" priority="1" operator="containsText" text="FAIL"/>
    <x:cfRule type="containsText" dxfId="109" priority="2" operator="containsText" text="BLOCKED"/>
    <x:cfRule type="containsText" dxfId="110" priority="3" operator="containsText" text="OPEN"/>
    <x:cfRule type="containsText" dxfId="111" priority="4" operator="containsText" text="PASS"/>
    <x:cfRule type="containsText" dxfId="112" priority="5" operator="containsText" text="PLANNED"/>
    <x:cfRule type="containsText" dxfId="113" priority="6" operator="containsText" text="ACTIVE"/>
  </x:conditionalFormatting>
  <x:pageMargins left="0.7" right="0.7" top="0.75" bottom="0.75" header="0.3" footer="0.3"/>
</x:worksheet>
</file>

<file path=xl/worksheets/sheet28.xml><?xml version="1.0" encoding="utf-8"?>
<x:worksheet xmlns:x="http://schemas.openxmlformats.org/spreadsheetml/2006/main">
  <x:sheetViews>
    <x:sheetView showGridLines="0" workbookViewId="0">
      <x:pane xSplit="2" ySplit="6" topLeftCell="C7" activePane="bottomRight" state="frozen"/>
    </x:sheetView>
  </x:sheetViews>
  <x:sheetFormatPr defaultRowHeight="15"/>
  <x:cols>
    <x:col min="2" max="2" width="21" hidden="0" customWidth="1"/>
    <x:col min="3" max="3" width="14" hidden="0" customWidth="1"/>
    <x:col min="4" max="4" width="31" hidden="0" customWidth="1"/>
    <x:col min="5" max="5" width="24" hidden="0" customWidth="1"/>
    <x:col min="6" max="6" width="20" hidden="0" customWidth="1"/>
    <x:col min="7" max="7" width="18" hidden="0" customWidth="1"/>
    <x:col min="8" max="8" width="18" hidden="0" customWidth="1"/>
    <x:col min="9" max="9" width="20" hidden="0" customWidth="1"/>
    <x:col min="10" max="10" width="14" hidden="0" customWidth="1"/>
  </x:cols>
  <x:sheetData>
    <x:row r="2">
      <x:c r="B2" s="44" t="str">
        <x:v>Forty-eight article-level evidence-family releases</x:v>
      </x:c>
      <x:c r="C2" s="45"/>
      <x:c r="D2" s="45"/>
      <x:c r="E2" s="45"/>
      <x:c r="F2" s="45"/>
      <x:c r="G2" s="45"/>
      <x:c r="H2" s="45"/>
      <x:c r="I2" s="45"/>
      <x:c r="J2" s="45"/>
    </x:row>
    <x:row r="3">
      <x:c r="B3" s="46" t="str">
        <x:v>Each row governs six physical channel instances. Calibration, power, clock and two originals remain distinct.</x:v>
      </x:c>
      <x:c r="C3" s="45"/>
      <x:c r="D3" s="45"/>
      <x:c r="E3" s="45"/>
      <x:c r="F3" s="45"/>
      <x:c r="G3" s="45"/>
      <x:c r="H3" s="45"/>
      <x:c r="I3" s="45"/>
      <x:c r="J3" s="45"/>
    </x:row>
    <x:row r="4">
      <x:c r="B4" s="45"/>
      <x:c r="C4" s="45"/>
      <x:c r="D4" s="45"/>
      <x:c r="E4" s="45"/>
      <x:c r="F4" s="45"/>
      <x:c r="G4" s="45"/>
      <x:c r="H4" s="45"/>
      <x:c r="I4" s="45"/>
      <x:c r="J4" s="45"/>
    </x:row>
    <x:row r="5">
      <x:c r="B5" s="45"/>
      <x:c r="C5" s="45"/>
      <x:c r="D5" s="45"/>
      <x:c r="E5" s="45"/>
      <x:c r="F5" s="45"/>
      <x:c r="G5" s="45"/>
      <x:c r="H5" s="45"/>
      <x:c r="I5" s="45"/>
      <x:c r="J5" s="45"/>
    </x:row>
    <x:row r="6" ht="25" customHeight="1">
      <x:c r="B6" s="6" t="str">
        <x:v>Release</x:v>
      </x:c>
      <x:c r="C6" s="6" t="str">
        <x:v>Article</x:v>
      </x:c>
      <x:c r="D6" s="6" t="str">
        <x:v>Family</x:v>
      </x:c>
      <x:c r="E6" s="6" t="str">
        <x:v>Six channels installed</x:v>
      </x:c>
      <x:c r="F6" s="6" t="str">
        <x:v>Calibration root</x:v>
      </x:c>
      <x:c r="G6" s="6" t="str">
        <x:v>Clock root</x:v>
      </x:c>
      <x:c r="H6" s="6" t="str">
        <x:v>Two originals</x:v>
      </x:c>
      <x:c r="I6" s="6" t="str">
        <x:v>Accepted UTC</x:v>
      </x:c>
      <x:c r="J6" s="6" t="str">
        <x:v>State</x:v>
      </x:c>
    </x:row>
    <x:row r="7" ht="31" customHeight="1">
      <x:c r="B7" s="8" t="str">
        <x:v>DA-X1-EV-01</x:v>
      </x:c>
      <x:c r="C7" s="8" t="str">
        <x:v>DA-X1</x:v>
      </x:c>
      <x:c r="D7" s="8" t="str">
        <x:v>source vessel mass</x:v>
      </x:c>
      <x:c r="E7" s="8" t="str"/>
      <x:c r="F7" s="8" t="str"/>
      <x:c r="G7" s="8" t="str"/>
      <x:c r="H7" s="8" t="str"/>
      <x:c r="I7" s="8" t="str"/>
      <x:c r="J7" s="8" t="str">
        <x:f>IF(I7="","OPEN",IF(OR(E7&lt;&gt;6,F7="",G7="",H7&lt;&gt;2),"FAIL","PASS"))</x:f>
        <x:v>OPEN</x:v>
      </x:c>
    </x:row>
    <x:row r="8" ht="31" customHeight="1">
      <x:c r="B8" s="8" t="str">
        <x:v>DA-X1-EV-02</x:v>
      </x:c>
      <x:c r="C8" s="8" t="str">
        <x:v>DA-X1</x:v>
      </x:c>
      <x:c r="D8" s="8" t="str">
        <x:v>integrated transfer mass</x:v>
      </x:c>
      <x:c r="E8" s="8" t="str"/>
      <x:c r="F8" s="8" t="str"/>
      <x:c r="G8" s="8" t="str"/>
      <x:c r="H8" s="8" t="str"/>
      <x:c r="I8" s="8" t="str"/>
      <x:c r="J8" s="8" t="str">
        <x:f>IF(I8="","OPEN",IF(OR(E8&lt;&gt;6,F8="",G8="",H8&lt;&gt;2),"FAIL","PASS"))</x:f>
        <x:v>OPEN</x:v>
      </x:c>
    </x:row>
    <x:row r="9" ht="31" customHeight="1">
      <x:c r="B9" s="8" t="str">
        <x:v>DA-X1-EV-03</x:v>
      </x:c>
      <x:c r="C9" s="8" t="str">
        <x:v>DA-X1</x:v>
      </x:c>
      <x:c r="D9" s="8" t="str">
        <x:v>pressure</x:v>
      </x:c>
      <x:c r="E9" s="8" t="str"/>
      <x:c r="F9" s="8" t="str"/>
      <x:c r="G9" s="8" t="str"/>
      <x:c r="H9" s="8" t="str"/>
      <x:c r="I9" s="8" t="str"/>
      <x:c r="J9" s="8" t="str">
        <x:f>IF(I9="","OPEN",IF(OR(E9&lt;&gt;6,F9="",G9="",H9&lt;&gt;2),"FAIL","PASS"))</x:f>
        <x:v>OPEN</x:v>
      </x:c>
    </x:row>
    <x:row r="10" ht="31" customHeight="1">
      <x:c r="B10" s="8" t="str">
        <x:v>DA-X1-EV-04</x:v>
      </x:c>
      <x:c r="C10" s="8" t="str">
        <x:v>DA-X1</x:v>
      </x:c>
      <x:c r="D10" s="8" t="str">
        <x:v>temperature</x:v>
      </x:c>
      <x:c r="E10" s="8" t="str"/>
      <x:c r="F10" s="8" t="str"/>
      <x:c r="G10" s="8" t="str"/>
      <x:c r="H10" s="8" t="str"/>
      <x:c r="I10" s="8" t="str"/>
      <x:c r="J10" s="8" t="str">
        <x:f>IF(I10="","OPEN",IF(OR(E10&lt;&gt;6,F10="",G10="",H10&lt;&gt;2),"FAIL","PASS"))</x:f>
        <x:v>OPEN</x:v>
      </x:c>
    </x:row>
    <x:row r="11" ht="31" customHeight="1">
      <x:c r="B11" s="8" t="str">
        <x:v>DA-X1-EV-05</x:v>
      </x:c>
      <x:c r="C11" s="8" t="str">
        <x:v>DA-X1</x:v>
      </x:c>
      <x:c r="D11" s="8" t="str">
        <x:v>hold-up tomography</x:v>
      </x:c>
      <x:c r="E11" s="8" t="str"/>
      <x:c r="F11" s="8" t="str"/>
      <x:c r="G11" s="8" t="str"/>
      <x:c r="H11" s="8" t="str"/>
      <x:c r="I11" s="8" t="str"/>
      <x:c r="J11" s="8" t="str">
        <x:f>IF(I11="","OPEN",IF(OR(E11&lt;&gt;6,F11="",G11="",H11&lt;&gt;2),"FAIL","PASS"))</x:f>
        <x:v>OPEN</x:v>
      </x:c>
    </x:row>
    <x:row r="12" ht="31" customHeight="1">
      <x:c r="B12" s="8" t="str">
        <x:v>DA-X1-EV-06</x:v>
      </x:c>
      <x:c r="C12" s="8" t="str">
        <x:v>DA-X1</x:v>
      </x:c>
      <x:c r="D12" s="8" t="str">
        <x:v>pan level</x:v>
      </x:c>
      <x:c r="E12" s="8" t="str"/>
      <x:c r="F12" s="8" t="str"/>
      <x:c r="G12" s="8" t="str"/>
      <x:c r="H12" s="8" t="str"/>
      <x:c r="I12" s="8" t="str"/>
      <x:c r="J12" s="8" t="str">
        <x:f>IF(I12="","OPEN",IF(OR(E12&lt;&gt;6,F12="",G12="",H12&lt;&gt;2),"FAIL","PASS"))</x:f>
        <x:v>OPEN</x:v>
      </x:c>
    </x:row>
    <x:row r="13" ht="31" customHeight="1">
      <x:c r="B13" s="8" t="str">
        <x:v>DA-X1-EV-07</x:v>
      </x:c>
      <x:c r="C13" s="8" t="str">
        <x:v>DA-X1</x:v>
      </x:c>
      <x:c r="D13" s="8" t="str">
        <x:v>normal receiver mass</x:v>
      </x:c>
      <x:c r="E13" s="8" t="str"/>
      <x:c r="F13" s="8" t="str"/>
      <x:c r="G13" s="8" t="str"/>
      <x:c r="H13" s="8" t="str"/>
      <x:c r="I13" s="8" t="str"/>
      <x:c r="J13" s="8" t="str">
        <x:f>IF(I13="","OPEN",IF(OR(E13&lt;&gt;6,F13="",G13="",H13&lt;&gt;2),"FAIL","PASS"))</x:f>
        <x:v>OPEN</x:v>
      </x:c>
    </x:row>
    <x:row r="14" ht="31" customHeight="1">
      <x:c r="B14" s="8" t="str">
        <x:v>DA-X1-EV-08</x:v>
      </x:c>
      <x:c r="C14" s="8" t="str">
        <x:v>DA-X1</x:v>
      </x:c>
      <x:c r="D14" s="8" t="str">
        <x:v>casualty receiver mass</x:v>
      </x:c>
      <x:c r="E14" s="8" t="str"/>
      <x:c r="F14" s="8" t="str"/>
      <x:c r="G14" s="8" t="str"/>
      <x:c r="H14" s="8" t="str"/>
      <x:c r="I14" s="8" t="str"/>
      <x:c r="J14" s="8" t="str">
        <x:f>IF(I14="","OPEN",IF(OR(E14&lt;&gt;6,F14="",G14="",H14&lt;&gt;2),"FAIL","PASS"))</x:f>
        <x:v>OPEN</x:v>
      </x:c>
    </x:row>
    <x:row r="15" ht="31" customHeight="1">
      <x:c r="B15" s="8" t="str">
        <x:v>DA-X1-EV-09</x:v>
      </x:c>
      <x:c r="C15" s="8" t="str">
        <x:v>DA-X1</x:v>
      </x:c>
      <x:c r="D15" s="8" t="str">
        <x:v>geometry and slope</x:v>
      </x:c>
      <x:c r="E15" s="8" t="str"/>
      <x:c r="F15" s="8" t="str"/>
      <x:c r="G15" s="8" t="str"/>
      <x:c r="H15" s="8" t="str"/>
      <x:c r="I15" s="8" t="str"/>
      <x:c r="J15" s="8" t="str">
        <x:f>IF(I15="","OPEN",IF(OR(E15&lt;&gt;6,F15="",G15="",H15&lt;&gt;2),"FAIL","PASS"))</x:f>
        <x:v>OPEN</x:v>
      </x:c>
    </x:row>
    <x:row r="16" ht="31" customHeight="1">
      <x:c r="B16" s="8" t="str">
        <x:v>DA-X1-EV-10</x:v>
      </x:c>
      <x:c r="C16" s="8" t="str">
        <x:v>DA-X1</x:v>
      </x:c>
      <x:c r="D16" s="8" t="str">
        <x:v>primary path state</x:v>
      </x:c>
      <x:c r="E16" s="8" t="str"/>
      <x:c r="F16" s="8" t="str"/>
      <x:c r="G16" s="8" t="str"/>
      <x:c r="H16" s="8" t="str"/>
      <x:c r="I16" s="8" t="str"/>
      <x:c r="J16" s="8" t="str">
        <x:f>IF(I16="","OPEN",IF(OR(E16&lt;&gt;6,F16="",G16="",H16&lt;&gt;2),"FAIL","PASS"))</x:f>
        <x:v>OPEN</x:v>
      </x:c>
    </x:row>
    <x:row r="17" ht="31" customHeight="1">
      <x:c r="B17" s="8" t="str">
        <x:v>DA-X1-EV-11</x:v>
      </x:c>
      <x:c r="C17" s="8" t="str">
        <x:v>DA-X1</x:v>
      </x:c>
      <x:c r="D17" s="8" t="str">
        <x:v>diverse path state</x:v>
      </x:c>
      <x:c r="E17" s="8" t="str"/>
      <x:c r="F17" s="8" t="str"/>
      <x:c r="G17" s="8" t="str"/>
      <x:c r="H17" s="8" t="str"/>
      <x:c r="I17" s="8" t="str"/>
      <x:c r="J17" s="8" t="str">
        <x:f>IF(I17="","OPEN",IF(OR(E17&lt;&gt;6,F17="",G17="",H17&lt;&gt;2),"FAIL","PASS"))</x:f>
        <x:v>OPEN</x:v>
      </x:c>
    </x:row>
    <x:row r="18" ht="31" customHeight="1">
      <x:c r="B18" s="8" t="str">
        <x:v>DA-X1-EV-12</x:v>
      </x:c>
      <x:c r="C18" s="8" t="str">
        <x:v>DA-X1</x:v>
      </x:c>
      <x:c r="D18" s="8" t="str">
        <x:v>manual path state</x:v>
      </x:c>
      <x:c r="E18" s="8" t="str"/>
      <x:c r="F18" s="8" t="str"/>
      <x:c r="G18" s="8" t="str"/>
      <x:c r="H18" s="8" t="str"/>
      <x:c r="I18" s="8" t="str"/>
      <x:c r="J18" s="8" t="str">
        <x:f>IF(I18="","OPEN",IF(OR(E18&lt;&gt;6,F18="",G18="",H18&lt;&gt;2),"FAIL","PASS"))</x:f>
        <x:v>OPEN</x:v>
      </x:c>
    </x:row>
    <x:row r="19" ht="31" customHeight="1">
      <x:c r="B19" s="8" t="str">
        <x:v>DA-X1-EV-13</x:v>
      </x:c>
      <x:c r="C19" s="8" t="str">
        <x:v>DA-X1</x:v>
      </x:c>
      <x:c r="D19" s="8" t="str">
        <x:v>final-element reference</x:v>
      </x:c>
      <x:c r="E19" s="8" t="str"/>
      <x:c r="F19" s="8" t="str"/>
      <x:c r="G19" s="8" t="str"/>
      <x:c r="H19" s="8" t="str"/>
      <x:c r="I19" s="8" t="str"/>
      <x:c r="J19" s="8" t="str">
        <x:f>IF(I19="","OPEN",IF(OR(E19&lt;&gt;6,F19="",G19="",H19&lt;&gt;2),"FAIL","PASS"))</x:f>
        <x:v>OPEN</x:v>
      </x:c>
    </x:row>
    <x:row r="20" ht="31" customHeight="1">
      <x:c r="B20" s="8" t="str">
        <x:v>DA-X1-EV-14</x:v>
      </x:c>
      <x:c r="C20" s="8" t="str">
        <x:v>DA-X1</x:v>
      </x:c>
      <x:c r="D20" s="8" t="str">
        <x:v>causal time</x:v>
      </x:c>
      <x:c r="E20" s="8" t="str"/>
      <x:c r="F20" s="8" t="str"/>
      <x:c r="G20" s="8" t="str"/>
      <x:c r="H20" s="8" t="str"/>
      <x:c r="I20" s="8" t="str"/>
      <x:c r="J20" s="8" t="str">
        <x:f>IF(I20="","OPEN",IF(OR(E20&lt;&gt;6,F20="",G20="",H20&lt;&gt;2),"FAIL","PASS"))</x:f>
        <x:v>OPEN</x:v>
      </x:c>
    </x:row>
    <x:row r="21" ht="31" customHeight="1">
      <x:c r="B21" s="8" t="str">
        <x:v>DA-X1-EV-15</x:v>
      </x:c>
      <x:c r="C21" s="8" t="str">
        <x:v>DA-X1</x:v>
      </x:c>
      <x:c r="D21" s="8" t="str">
        <x:v>primary motive energy</x:v>
      </x:c>
      <x:c r="E21" s="8" t="str"/>
      <x:c r="F21" s="8" t="str"/>
      <x:c r="G21" s="8" t="str"/>
      <x:c r="H21" s="8" t="str"/>
      <x:c r="I21" s="8" t="str"/>
      <x:c r="J21" s="8" t="str">
        <x:f>IF(I21="","OPEN",IF(OR(E21&lt;&gt;6,F21="",G21="",H21&lt;&gt;2),"FAIL","PASS"))</x:f>
        <x:v>OPEN</x:v>
      </x:c>
    </x:row>
    <x:row r="22" ht="31" customHeight="1">
      <x:c r="B22" s="8" t="str">
        <x:v>DA-X1-EV-16</x:v>
      </x:c>
      <x:c r="C22" s="8" t="str">
        <x:v>DA-X1</x:v>
      </x:c>
      <x:c r="D22" s="8" t="str">
        <x:v>diverse motive energy</x:v>
      </x:c>
      <x:c r="E22" s="8" t="str"/>
      <x:c r="F22" s="8" t="str"/>
      <x:c r="G22" s="8" t="str"/>
      <x:c r="H22" s="8" t="str"/>
      <x:c r="I22" s="8" t="str"/>
      <x:c r="J22" s="8" t="str">
        <x:f>IF(I22="","OPEN",IF(OR(E22&lt;&gt;6,F22="",G22="",H22&lt;&gt;2),"FAIL","PASS"))</x:f>
        <x:v>OPEN</x:v>
      </x:c>
    </x:row>
    <x:row r="23" ht="31" customHeight="1">
      <x:c r="B23" s="8" t="str">
        <x:v>DA-X1-EV-17</x:v>
      </x:c>
      <x:c r="C23" s="8" t="str">
        <x:v>DA-X1</x:v>
      </x:c>
      <x:c r="D23" s="8" t="str">
        <x:v>normal power</x:v>
      </x:c>
      <x:c r="E23" s="8" t="str"/>
      <x:c r="F23" s="8" t="str"/>
      <x:c r="G23" s="8" t="str"/>
      <x:c r="H23" s="8" t="str"/>
      <x:c r="I23" s="8" t="str"/>
      <x:c r="J23" s="8" t="str">
        <x:f>IF(I23="","OPEN",IF(OR(E23&lt;&gt;6,F23="",G23="",H23&lt;&gt;2),"FAIL","PASS"))</x:f>
        <x:v>OPEN</x:v>
      </x:c>
    </x:row>
    <x:row r="24" ht="31" customHeight="1">
      <x:c r="B24" s="8" t="str">
        <x:v>DA-X1-EV-18</x:v>
      </x:c>
      <x:c r="C24" s="8" t="str">
        <x:v>DA-X1</x:v>
      </x:c>
      <x:c r="D24" s="8" t="str">
        <x:v>independent power</x:v>
      </x:c>
      <x:c r="E24" s="8" t="str"/>
      <x:c r="F24" s="8" t="str"/>
      <x:c r="G24" s="8" t="str"/>
      <x:c r="H24" s="8" t="str"/>
      <x:c r="I24" s="8" t="str"/>
      <x:c r="J24" s="8" t="str">
        <x:f>IF(I24="","OPEN",IF(OR(E24&lt;&gt;6,F24="",G24="",H24&lt;&gt;2),"FAIL","PASS"))</x:f>
        <x:v>OPEN</x:v>
      </x:c>
    </x:row>
    <x:row r="25" ht="31" customHeight="1">
      <x:c r="B25" s="8" t="str">
        <x:v>DA-X1-EV-19</x:v>
      </x:c>
      <x:c r="C25" s="8" t="str">
        <x:v>DA-X1</x:v>
      </x:c>
      <x:c r="D25" s="8" t="str">
        <x:v>leak collection</x:v>
      </x:c>
      <x:c r="E25" s="8" t="str"/>
      <x:c r="F25" s="8" t="str"/>
      <x:c r="G25" s="8" t="str"/>
      <x:c r="H25" s="8" t="str"/>
      <x:c r="I25" s="8" t="str"/>
      <x:c r="J25" s="8" t="str">
        <x:f>IF(I25="","OPEN",IF(OR(E25&lt;&gt;6,F25="",G25="",H25&lt;&gt;2),"FAIL","PASS"))</x:f>
        <x:v>OPEN</x:v>
      </x:c>
    </x:row>
    <x:row r="26" ht="31" customHeight="1">
      <x:c r="B26" s="8" t="str">
        <x:v>DA-X1-EV-20</x:v>
      </x:c>
      <x:c r="C26" s="8" t="str">
        <x:v>DA-X1</x:v>
      </x:c>
      <x:c r="D26" s="8" t="str">
        <x:v>occupied-area state</x:v>
      </x:c>
      <x:c r="E26" s="8" t="str"/>
      <x:c r="F26" s="8" t="str"/>
      <x:c r="G26" s="8" t="str"/>
      <x:c r="H26" s="8" t="str"/>
      <x:c r="I26" s="8" t="str"/>
      <x:c r="J26" s="8" t="str">
        <x:f>IF(I26="","OPEN",IF(OR(E26&lt;&gt;6,F26="",G26="",H26&lt;&gt;2),"FAIL","PASS"))</x:f>
        <x:v>OPEN</x:v>
      </x:c>
    </x:row>
    <x:row r="27" ht="31" customHeight="1">
      <x:c r="B27" s="8" t="str">
        <x:v>DA-X1-EV-21</x:v>
      </x:c>
      <x:c r="C27" s="8" t="str">
        <x:v>DA-X1</x:v>
      </x:c>
      <x:c r="D27" s="8" t="str">
        <x:v>water flow</x:v>
      </x:c>
      <x:c r="E27" s="8" t="str"/>
      <x:c r="F27" s="8" t="str"/>
      <x:c r="G27" s="8" t="str"/>
      <x:c r="H27" s="8" t="str"/>
      <x:c r="I27" s="8" t="str"/>
      <x:c r="J27" s="8" t="str">
        <x:f>IF(I27="","OPEN",IF(OR(E27&lt;&gt;6,F27="",G27="",H27&lt;&gt;2),"FAIL","PASS"))</x:f>
        <x:v>OPEN</x:v>
      </x:c>
    </x:row>
    <x:row r="28" ht="31" customHeight="1">
      <x:c r="B28" s="8" t="str">
        <x:v>DA-X1-EV-22</x:v>
      </x:c>
      <x:c r="C28" s="8" t="str">
        <x:v>DA-X1</x:v>
      </x:c>
      <x:c r="D28" s="8" t="str">
        <x:v>surrogate ancestry</x:v>
      </x:c>
      <x:c r="E28" s="8" t="str"/>
      <x:c r="F28" s="8" t="str"/>
      <x:c r="G28" s="8" t="str"/>
      <x:c r="H28" s="8" t="str"/>
      <x:c r="I28" s="8" t="str"/>
      <x:c r="J28" s="8" t="str">
        <x:f>IF(I28="","OPEN",IF(OR(E28&lt;&gt;6,F28="",G28="",H28&lt;&gt;2),"FAIL","PASS"))</x:f>
        <x:v>OPEN</x:v>
      </x:c>
    </x:row>
    <x:row r="29" ht="31" customHeight="1">
      <x:c r="B29" s="8" t="str">
        <x:v>DA-X1-EV-23</x:v>
      </x:c>
      <x:c r="C29" s="8" t="str">
        <x:v>DA-X1</x:v>
      </x:c>
      <x:c r="D29" s="8" t="str">
        <x:v>water ancestry</x:v>
      </x:c>
      <x:c r="E29" s="8" t="str"/>
      <x:c r="F29" s="8" t="str"/>
      <x:c r="G29" s="8" t="str"/>
      <x:c r="H29" s="8" t="str"/>
      <x:c r="I29" s="8" t="str"/>
      <x:c r="J29" s="8" t="str">
        <x:f>IF(I29="","OPEN",IF(OR(E29&lt;&gt;6,F29="",G29="",H29&lt;&gt;2),"FAIL","PASS"))</x:f>
        <x:v>OPEN</x:v>
      </x:c>
    </x:row>
    <x:row r="30" ht="31" customHeight="1">
      <x:c r="B30" s="8" t="str">
        <x:v>DA-X1-EV-24</x:v>
      </x:c>
      <x:c r="C30" s="8" t="str">
        <x:v>DA-X1</x:v>
      </x:c>
      <x:c r="D30" s="8" t="str">
        <x:v>evidence health</x:v>
      </x:c>
      <x:c r="E30" s="8" t="str"/>
      <x:c r="F30" s="8" t="str"/>
      <x:c r="G30" s="8" t="str"/>
      <x:c r="H30" s="8" t="str"/>
      <x:c r="I30" s="8" t="str"/>
      <x:c r="J30" s="8" t="str">
        <x:f>IF(I30="","OPEN",IF(OR(E30&lt;&gt;6,F30="",G30="",H30&lt;&gt;2),"FAIL","PASS"))</x:f>
        <x:v>OPEN</x:v>
      </x:c>
    </x:row>
    <x:row r="31" ht="31" customHeight="1">
      <x:c r="B31" s="8" t="str">
        <x:v>DA-Y1-EV-01</x:v>
      </x:c>
      <x:c r="C31" s="8" t="str">
        <x:v>DA-Y1</x:v>
      </x:c>
      <x:c r="D31" s="8" t="str">
        <x:v>source vessel mass</x:v>
      </x:c>
      <x:c r="E31" s="8" t="str"/>
      <x:c r="F31" s="8" t="str"/>
      <x:c r="G31" s="8" t="str"/>
      <x:c r="H31" s="8" t="str"/>
      <x:c r="I31" s="8" t="str"/>
      <x:c r="J31" s="8" t="str">
        <x:f>IF(I31="","OPEN",IF(OR(E31&lt;&gt;6,F31="",G31="",H31&lt;&gt;2),"FAIL","PASS"))</x:f>
        <x:v>OPEN</x:v>
      </x:c>
    </x:row>
    <x:row r="32" ht="31" customHeight="1">
      <x:c r="B32" s="8" t="str">
        <x:v>DA-Y1-EV-02</x:v>
      </x:c>
      <x:c r="C32" s="8" t="str">
        <x:v>DA-Y1</x:v>
      </x:c>
      <x:c r="D32" s="8" t="str">
        <x:v>integrated transfer mass</x:v>
      </x:c>
      <x:c r="E32" s="8" t="str"/>
      <x:c r="F32" s="8" t="str"/>
      <x:c r="G32" s="8" t="str"/>
      <x:c r="H32" s="8" t="str"/>
      <x:c r="I32" s="8" t="str"/>
      <x:c r="J32" s="8" t="str">
        <x:f>IF(I32="","OPEN",IF(OR(E32&lt;&gt;6,F32="",G32="",H32&lt;&gt;2),"FAIL","PASS"))</x:f>
        <x:v>OPEN</x:v>
      </x:c>
    </x:row>
    <x:row r="33" ht="31" customHeight="1">
      <x:c r="B33" s="8" t="str">
        <x:v>DA-Y1-EV-03</x:v>
      </x:c>
      <x:c r="C33" s="8" t="str">
        <x:v>DA-Y1</x:v>
      </x:c>
      <x:c r="D33" s="8" t="str">
        <x:v>pressure</x:v>
      </x:c>
      <x:c r="E33" s="8" t="str"/>
      <x:c r="F33" s="8" t="str"/>
      <x:c r="G33" s="8" t="str"/>
      <x:c r="H33" s="8" t="str"/>
      <x:c r="I33" s="8" t="str"/>
      <x:c r="J33" s="8" t="str">
        <x:f>IF(I33="","OPEN",IF(OR(E33&lt;&gt;6,F33="",G33="",H33&lt;&gt;2),"FAIL","PASS"))</x:f>
        <x:v>OPEN</x:v>
      </x:c>
    </x:row>
    <x:row r="34" ht="31" customHeight="1">
      <x:c r="B34" s="8" t="str">
        <x:v>DA-Y1-EV-04</x:v>
      </x:c>
      <x:c r="C34" s="8" t="str">
        <x:v>DA-Y1</x:v>
      </x:c>
      <x:c r="D34" s="8" t="str">
        <x:v>temperature</x:v>
      </x:c>
      <x:c r="E34" s="8" t="str"/>
      <x:c r="F34" s="8" t="str"/>
      <x:c r="G34" s="8" t="str"/>
      <x:c r="H34" s="8" t="str"/>
      <x:c r="I34" s="8" t="str"/>
      <x:c r="J34" s="8" t="str">
        <x:f>IF(I34="","OPEN",IF(OR(E34&lt;&gt;6,F34="",G34="",H34&lt;&gt;2),"FAIL","PASS"))</x:f>
        <x:v>OPEN</x:v>
      </x:c>
    </x:row>
    <x:row r="35" ht="31" customHeight="1">
      <x:c r="B35" s="8" t="str">
        <x:v>DA-Y1-EV-05</x:v>
      </x:c>
      <x:c r="C35" s="8" t="str">
        <x:v>DA-Y1</x:v>
      </x:c>
      <x:c r="D35" s="8" t="str">
        <x:v>hold-up tomography</x:v>
      </x:c>
      <x:c r="E35" s="8" t="str"/>
      <x:c r="F35" s="8" t="str"/>
      <x:c r="G35" s="8" t="str"/>
      <x:c r="H35" s="8" t="str"/>
      <x:c r="I35" s="8" t="str"/>
      <x:c r="J35" s="8" t="str">
        <x:f>IF(I35="","OPEN",IF(OR(E35&lt;&gt;6,F35="",G35="",H35&lt;&gt;2),"FAIL","PASS"))</x:f>
        <x:v>OPEN</x:v>
      </x:c>
    </x:row>
    <x:row r="36" ht="31" customHeight="1">
      <x:c r="B36" s="8" t="str">
        <x:v>DA-Y1-EV-06</x:v>
      </x:c>
      <x:c r="C36" s="8" t="str">
        <x:v>DA-Y1</x:v>
      </x:c>
      <x:c r="D36" s="8" t="str">
        <x:v>pan level</x:v>
      </x:c>
      <x:c r="E36" s="8" t="str"/>
      <x:c r="F36" s="8" t="str"/>
      <x:c r="G36" s="8" t="str"/>
      <x:c r="H36" s="8" t="str"/>
      <x:c r="I36" s="8" t="str"/>
      <x:c r="J36" s="8" t="str">
        <x:f>IF(I36="","OPEN",IF(OR(E36&lt;&gt;6,F36="",G36="",H36&lt;&gt;2),"FAIL","PASS"))</x:f>
        <x:v>OPEN</x:v>
      </x:c>
    </x:row>
    <x:row r="37" ht="31" customHeight="1">
      <x:c r="B37" s="8" t="str">
        <x:v>DA-Y1-EV-07</x:v>
      </x:c>
      <x:c r="C37" s="8" t="str">
        <x:v>DA-Y1</x:v>
      </x:c>
      <x:c r="D37" s="8" t="str">
        <x:v>normal receiver mass</x:v>
      </x:c>
      <x:c r="E37" s="8" t="str"/>
      <x:c r="F37" s="8" t="str"/>
      <x:c r="G37" s="8" t="str"/>
      <x:c r="H37" s="8" t="str"/>
      <x:c r="I37" s="8" t="str"/>
      <x:c r="J37" s="8" t="str">
        <x:f>IF(I37="","OPEN",IF(OR(E37&lt;&gt;6,F37="",G37="",H37&lt;&gt;2),"FAIL","PASS"))</x:f>
        <x:v>OPEN</x:v>
      </x:c>
    </x:row>
    <x:row r="38" ht="31" customHeight="1">
      <x:c r="B38" s="8" t="str">
        <x:v>DA-Y1-EV-08</x:v>
      </x:c>
      <x:c r="C38" s="8" t="str">
        <x:v>DA-Y1</x:v>
      </x:c>
      <x:c r="D38" s="8" t="str">
        <x:v>casualty receiver mass</x:v>
      </x:c>
      <x:c r="E38" s="8" t="str"/>
      <x:c r="F38" s="8" t="str"/>
      <x:c r="G38" s="8" t="str"/>
      <x:c r="H38" s="8" t="str"/>
      <x:c r="I38" s="8" t="str"/>
      <x:c r="J38" s="8" t="str">
        <x:f>IF(I38="","OPEN",IF(OR(E38&lt;&gt;6,F38="",G38="",H38&lt;&gt;2),"FAIL","PASS"))</x:f>
        <x:v>OPEN</x:v>
      </x:c>
    </x:row>
    <x:row r="39" ht="31" customHeight="1">
      <x:c r="B39" s="8" t="str">
        <x:v>DA-Y1-EV-09</x:v>
      </x:c>
      <x:c r="C39" s="8" t="str">
        <x:v>DA-Y1</x:v>
      </x:c>
      <x:c r="D39" s="8" t="str">
        <x:v>geometry and slope</x:v>
      </x:c>
      <x:c r="E39" s="8" t="str"/>
      <x:c r="F39" s="8" t="str"/>
      <x:c r="G39" s="8" t="str"/>
      <x:c r="H39" s="8" t="str"/>
      <x:c r="I39" s="8" t="str"/>
      <x:c r="J39" s="8" t="str">
        <x:f>IF(I39="","OPEN",IF(OR(E39&lt;&gt;6,F39="",G39="",H39&lt;&gt;2),"FAIL","PASS"))</x:f>
        <x:v>OPEN</x:v>
      </x:c>
    </x:row>
    <x:row r="40" ht="31" customHeight="1">
      <x:c r="B40" s="8" t="str">
        <x:v>DA-Y1-EV-10</x:v>
      </x:c>
      <x:c r="C40" s="8" t="str">
        <x:v>DA-Y1</x:v>
      </x:c>
      <x:c r="D40" s="8" t="str">
        <x:v>primary path state</x:v>
      </x:c>
      <x:c r="E40" s="8" t="str"/>
      <x:c r="F40" s="8" t="str"/>
      <x:c r="G40" s="8" t="str"/>
      <x:c r="H40" s="8" t="str"/>
      <x:c r="I40" s="8" t="str"/>
      <x:c r="J40" s="8" t="str">
        <x:f>IF(I40="","OPEN",IF(OR(E40&lt;&gt;6,F40="",G40="",H40&lt;&gt;2),"FAIL","PASS"))</x:f>
        <x:v>OPEN</x:v>
      </x:c>
    </x:row>
    <x:row r="41" ht="31" customHeight="1">
      <x:c r="B41" s="8" t="str">
        <x:v>DA-Y1-EV-11</x:v>
      </x:c>
      <x:c r="C41" s="8" t="str">
        <x:v>DA-Y1</x:v>
      </x:c>
      <x:c r="D41" s="8" t="str">
        <x:v>diverse path state</x:v>
      </x:c>
      <x:c r="E41" s="8" t="str"/>
      <x:c r="F41" s="8" t="str"/>
      <x:c r="G41" s="8" t="str"/>
      <x:c r="H41" s="8" t="str"/>
      <x:c r="I41" s="8" t="str"/>
      <x:c r="J41" s="8" t="str">
        <x:f>IF(I41="","OPEN",IF(OR(E41&lt;&gt;6,F41="",G41="",H41&lt;&gt;2),"FAIL","PASS"))</x:f>
        <x:v>OPEN</x:v>
      </x:c>
    </x:row>
    <x:row r="42" ht="31" customHeight="1">
      <x:c r="B42" s="8" t="str">
        <x:v>DA-Y1-EV-12</x:v>
      </x:c>
      <x:c r="C42" s="8" t="str">
        <x:v>DA-Y1</x:v>
      </x:c>
      <x:c r="D42" s="8" t="str">
        <x:v>manual path state</x:v>
      </x:c>
      <x:c r="E42" s="8" t="str"/>
      <x:c r="F42" s="8" t="str"/>
      <x:c r="G42" s="8" t="str"/>
      <x:c r="H42" s="8" t="str"/>
      <x:c r="I42" s="8" t="str"/>
      <x:c r="J42" s="8" t="str">
        <x:f>IF(I42="","OPEN",IF(OR(E42&lt;&gt;6,F42="",G42="",H42&lt;&gt;2),"FAIL","PASS"))</x:f>
        <x:v>OPEN</x:v>
      </x:c>
    </x:row>
    <x:row r="43" ht="31" customHeight="1">
      <x:c r="B43" s="8" t="str">
        <x:v>DA-Y1-EV-13</x:v>
      </x:c>
      <x:c r="C43" s="8" t="str">
        <x:v>DA-Y1</x:v>
      </x:c>
      <x:c r="D43" s="8" t="str">
        <x:v>final-element reference</x:v>
      </x:c>
      <x:c r="E43" s="8" t="str"/>
      <x:c r="F43" s="8" t="str"/>
      <x:c r="G43" s="8" t="str"/>
      <x:c r="H43" s="8" t="str"/>
      <x:c r="I43" s="8" t="str"/>
      <x:c r="J43" s="8" t="str">
        <x:f>IF(I43="","OPEN",IF(OR(E43&lt;&gt;6,F43="",G43="",H43&lt;&gt;2),"FAIL","PASS"))</x:f>
        <x:v>OPEN</x:v>
      </x:c>
    </x:row>
    <x:row r="44" ht="31" customHeight="1">
      <x:c r="B44" s="8" t="str">
        <x:v>DA-Y1-EV-14</x:v>
      </x:c>
      <x:c r="C44" s="8" t="str">
        <x:v>DA-Y1</x:v>
      </x:c>
      <x:c r="D44" s="8" t="str">
        <x:v>causal time</x:v>
      </x:c>
      <x:c r="E44" s="8" t="str"/>
      <x:c r="F44" s="8" t="str"/>
      <x:c r="G44" s="8" t="str"/>
      <x:c r="H44" s="8" t="str"/>
      <x:c r="I44" s="8" t="str"/>
      <x:c r="J44" s="8" t="str">
        <x:f>IF(I44="","OPEN",IF(OR(E44&lt;&gt;6,F44="",G44="",H44&lt;&gt;2),"FAIL","PASS"))</x:f>
        <x:v>OPEN</x:v>
      </x:c>
    </x:row>
    <x:row r="45" ht="31" customHeight="1">
      <x:c r="B45" s="8" t="str">
        <x:v>DA-Y1-EV-15</x:v>
      </x:c>
      <x:c r="C45" s="8" t="str">
        <x:v>DA-Y1</x:v>
      </x:c>
      <x:c r="D45" s="8" t="str">
        <x:v>primary motive energy</x:v>
      </x:c>
      <x:c r="E45" s="8" t="str"/>
      <x:c r="F45" s="8" t="str"/>
      <x:c r="G45" s="8" t="str"/>
      <x:c r="H45" s="8" t="str"/>
      <x:c r="I45" s="8" t="str"/>
      <x:c r="J45" s="8" t="str">
        <x:f>IF(I45="","OPEN",IF(OR(E45&lt;&gt;6,F45="",G45="",H45&lt;&gt;2),"FAIL","PASS"))</x:f>
        <x:v>OPEN</x:v>
      </x:c>
    </x:row>
    <x:row r="46" ht="31" customHeight="1">
      <x:c r="B46" s="8" t="str">
        <x:v>DA-Y1-EV-16</x:v>
      </x:c>
      <x:c r="C46" s="8" t="str">
        <x:v>DA-Y1</x:v>
      </x:c>
      <x:c r="D46" s="8" t="str">
        <x:v>diverse motive energy</x:v>
      </x:c>
      <x:c r="E46" s="8" t="str"/>
      <x:c r="F46" s="8" t="str"/>
      <x:c r="G46" s="8" t="str"/>
      <x:c r="H46" s="8" t="str"/>
      <x:c r="I46" s="8" t="str"/>
      <x:c r="J46" s="8" t="str">
        <x:f>IF(I46="","OPEN",IF(OR(E46&lt;&gt;6,F46="",G46="",H46&lt;&gt;2),"FAIL","PASS"))</x:f>
        <x:v>OPEN</x:v>
      </x:c>
    </x:row>
    <x:row r="47" ht="31" customHeight="1">
      <x:c r="B47" s="8" t="str">
        <x:v>DA-Y1-EV-17</x:v>
      </x:c>
      <x:c r="C47" s="8" t="str">
        <x:v>DA-Y1</x:v>
      </x:c>
      <x:c r="D47" s="8" t="str">
        <x:v>normal power</x:v>
      </x:c>
      <x:c r="E47" s="8" t="str"/>
      <x:c r="F47" s="8" t="str"/>
      <x:c r="G47" s="8" t="str"/>
      <x:c r="H47" s="8" t="str"/>
      <x:c r="I47" s="8" t="str"/>
      <x:c r="J47" s="8" t="str">
        <x:f>IF(I47="","OPEN",IF(OR(E47&lt;&gt;6,F47="",G47="",H47&lt;&gt;2),"FAIL","PASS"))</x:f>
        <x:v>OPEN</x:v>
      </x:c>
    </x:row>
    <x:row r="48" ht="31" customHeight="1">
      <x:c r="B48" s="8" t="str">
        <x:v>DA-Y1-EV-18</x:v>
      </x:c>
      <x:c r="C48" s="8" t="str">
        <x:v>DA-Y1</x:v>
      </x:c>
      <x:c r="D48" s="8" t="str">
        <x:v>independent power</x:v>
      </x:c>
      <x:c r="E48" s="8" t="str"/>
      <x:c r="F48" s="8" t="str"/>
      <x:c r="G48" s="8" t="str"/>
      <x:c r="H48" s="8" t="str"/>
      <x:c r="I48" s="8" t="str"/>
      <x:c r="J48" s="8" t="str">
        <x:f>IF(I48="","OPEN",IF(OR(E48&lt;&gt;6,F48="",G48="",H48&lt;&gt;2),"FAIL","PASS"))</x:f>
        <x:v>OPEN</x:v>
      </x:c>
    </x:row>
    <x:row r="49" ht="31" customHeight="1">
      <x:c r="B49" s="8" t="str">
        <x:v>DA-Y1-EV-19</x:v>
      </x:c>
      <x:c r="C49" s="8" t="str">
        <x:v>DA-Y1</x:v>
      </x:c>
      <x:c r="D49" s="8" t="str">
        <x:v>leak collection</x:v>
      </x:c>
      <x:c r="E49" s="8" t="str"/>
      <x:c r="F49" s="8" t="str"/>
      <x:c r="G49" s="8" t="str"/>
      <x:c r="H49" s="8" t="str"/>
      <x:c r="I49" s="8" t="str"/>
      <x:c r="J49" s="8" t="str">
        <x:f>IF(I49="","OPEN",IF(OR(E49&lt;&gt;6,F49="",G49="",H49&lt;&gt;2),"FAIL","PASS"))</x:f>
        <x:v>OPEN</x:v>
      </x:c>
    </x:row>
    <x:row r="50" ht="31" customHeight="1">
      <x:c r="B50" s="8" t="str">
        <x:v>DA-Y1-EV-20</x:v>
      </x:c>
      <x:c r="C50" s="8" t="str">
        <x:v>DA-Y1</x:v>
      </x:c>
      <x:c r="D50" s="8" t="str">
        <x:v>occupied-area state</x:v>
      </x:c>
      <x:c r="E50" s="8" t="str"/>
      <x:c r="F50" s="8" t="str"/>
      <x:c r="G50" s="8" t="str"/>
      <x:c r="H50" s="8" t="str"/>
      <x:c r="I50" s="8" t="str"/>
      <x:c r="J50" s="8" t="str">
        <x:f>IF(I50="","OPEN",IF(OR(E50&lt;&gt;6,F50="",G50="",H50&lt;&gt;2),"FAIL","PASS"))</x:f>
        <x:v>OPEN</x:v>
      </x:c>
    </x:row>
    <x:row r="51" ht="31" customHeight="1">
      <x:c r="B51" s="8" t="str">
        <x:v>DA-Y1-EV-21</x:v>
      </x:c>
      <x:c r="C51" s="8" t="str">
        <x:v>DA-Y1</x:v>
      </x:c>
      <x:c r="D51" s="8" t="str">
        <x:v>water flow</x:v>
      </x:c>
      <x:c r="E51" s="8" t="str"/>
      <x:c r="F51" s="8" t="str"/>
      <x:c r="G51" s="8" t="str"/>
      <x:c r="H51" s="8" t="str"/>
      <x:c r="I51" s="8" t="str"/>
      <x:c r="J51" s="8" t="str">
        <x:f>IF(I51="","OPEN",IF(OR(E51&lt;&gt;6,F51="",G51="",H51&lt;&gt;2),"FAIL","PASS"))</x:f>
        <x:v>OPEN</x:v>
      </x:c>
    </x:row>
    <x:row r="52" ht="31" customHeight="1">
      <x:c r="B52" s="8" t="str">
        <x:v>DA-Y1-EV-22</x:v>
      </x:c>
      <x:c r="C52" s="8" t="str">
        <x:v>DA-Y1</x:v>
      </x:c>
      <x:c r="D52" s="8" t="str">
        <x:v>surrogate ancestry</x:v>
      </x:c>
      <x:c r="E52" s="8" t="str"/>
      <x:c r="F52" s="8" t="str"/>
      <x:c r="G52" s="8" t="str"/>
      <x:c r="H52" s="8" t="str"/>
      <x:c r="I52" s="8" t="str"/>
      <x:c r="J52" s="8" t="str">
        <x:f>IF(I52="","OPEN",IF(OR(E52&lt;&gt;6,F52="",G52="",H52&lt;&gt;2),"FAIL","PASS"))</x:f>
        <x:v>OPEN</x:v>
      </x:c>
    </x:row>
    <x:row r="53" ht="31" customHeight="1">
      <x:c r="B53" s="8" t="str">
        <x:v>DA-Y1-EV-23</x:v>
      </x:c>
      <x:c r="C53" s="8" t="str">
        <x:v>DA-Y1</x:v>
      </x:c>
      <x:c r="D53" s="8" t="str">
        <x:v>water ancestry</x:v>
      </x:c>
      <x:c r="E53" s="8" t="str"/>
      <x:c r="F53" s="8" t="str"/>
      <x:c r="G53" s="8" t="str"/>
      <x:c r="H53" s="8" t="str"/>
      <x:c r="I53" s="8" t="str"/>
      <x:c r="J53" s="8" t="str">
        <x:f>IF(I53="","OPEN",IF(OR(E53&lt;&gt;6,F53="",G53="",H53&lt;&gt;2),"FAIL","PASS"))</x:f>
        <x:v>OPEN</x:v>
      </x:c>
    </x:row>
    <x:row r="54" ht="31" customHeight="1">
      <x:c r="B54" s="8" t="str">
        <x:v>DA-Y1-EV-24</x:v>
      </x:c>
      <x:c r="C54" s="8" t="str">
        <x:v>DA-Y1</x:v>
      </x:c>
      <x:c r="D54" s="8" t="str">
        <x:v>evidence health</x:v>
      </x:c>
      <x:c r="E54" s="8" t="str"/>
      <x:c r="F54" s="8" t="str"/>
      <x:c r="G54" s="8" t="str"/>
      <x:c r="H54" s="8" t="str"/>
      <x:c r="I54" s="8" t="str"/>
      <x:c r="J54" s="8" t="str">
        <x:f>IF(I54="","OPEN",IF(OR(E54&lt;&gt;6,F54="",G54="",H54&lt;&gt;2),"FAIL","PASS"))</x:f>
        <x:v>OPEN</x:v>
      </x:c>
    </x:row>
  </x:sheetData>
  <x:conditionalFormatting sqref="J7:J54">
    <x:cfRule type="containsText" dxfId="114" priority="1" operator="containsText" text="FAIL"/>
    <x:cfRule type="containsText" dxfId="115" priority="2" operator="containsText" text="BLOCKED"/>
    <x:cfRule type="containsText" dxfId="116" priority="3" operator="containsText" text="OPEN"/>
    <x:cfRule type="containsText" dxfId="117" priority="4" operator="containsText" text="PASS"/>
    <x:cfRule type="containsText" dxfId="118" priority="5" operator="containsText" text="PLANNED"/>
    <x:cfRule type="containsText" dxfId="119" priority="6" operator="containsText" text="ACTIVE"/>
  </x:conditionalFormatting>
  <x:pageMargins left="0.7" right="0.7" top="0.75" bottom="0.75" header="0.3" footer="0.3"/>
</x:worksheet>
</file>

<file path=xl/worksheets/sheet29.xml><?xml version="1.0" encoding="utf-8"?>
<x:worksheet xmlns:x="http://schemas.openxmlformats.org/spreadsheetml/2006/main">
  <x:sheetViews>
    <x:sheetView showGridLines="0" workbookViewId="0">
      <x:pane xSplit="2" ySplit="6" topLeftCell="C7" activePane="bottomRight" state="frozen"/>
    </x:sheetView>
  </x:sheetViews>
  <x:sheetFormatPr defaultRowHeight="15"/>
  <x:cols>
    <x:col min="2" max="2" width="20" hidden="0" customWidth="1"/>
    <x:col min="3" max="3" width="14" hidden="0" customWidth="1"/>
    <x:col min="4" max="4" width="30" hidden="0" customWidth="1"/>
    <x:col min="5" max="5" width="20" hidden="0" customWidth="1"/>
    <x:col min="6" max="6" width="21" hidden="0" customWidth="1"/>
    <x:col min="7" max="7" width="18" hidden="0" customWidth="1"/>
    <x:col min="8" max="8" width="20" hidden="0" customWidth="1"/>
    <x:col min="9" max="9" width="18" hidden="0" customWidth="1"/>
    <x:col min="10" max="10" width="20" hidden="0" customWidth="1"/>
    <x:col min="11" max="11" width="14" hidden="0" customWidth="1"/>
  </x:cols>
  <x:sheetData>
    <x:row r="2">
      <x:c r="B2" s="44" t="str">
        <x:v>Forty complete-article integration trials</x:v>
      </x:c>
      <x:c r="C2" s="45"/>
      <x:c r="D2" s="45"/>
      <x:c r="E2" s="45"/>
      <x:c r="F2" s="45"/>
      <x:c r="G2" s="45"/>
      <x:c r="H2" s="45"/>
      <x:c r="I2" s="45"/>
      <x:c r="J2" s="45"/>
      <x:c r="K2" s="45"/>
    </x:row>
    <x:row r="3">
      <x:c r="B3" s="46" t="str">
        <x:v>An integrated pass requires the physical effect, safe state, mass ledger and evidence originals to close together.</x:v>
      </x:c>
      <x:c r="C3" s="45"/>
      <x:c r="D3" s="45"/>
      <x:c r="E3" s="45"/>
      <x:c r="F3" s="45"/>
      <x:c r="G3" s="45"/>
      <x:c r="H3" s="45"/>
      <x:c r="I3" s="45"/>
      <x:c r="J3" s="45"/>
      <x:c r="K3" s="45"/>
    </x:row>
    <x:row r="4">
      <x:c r="B4" s="45"/>
      <x:c r="C4" s="45"/>
      <x:c r="D4" s="45"/>
      <x:c r="E4" s="45"/>
      <x:c r="F4" s="45"/>
      <x:c r="G4" s="45"/>
      <x:c r="H4" s="45"/>
      <x:c r="I4" s="45"/>
      <x:c r="J4" s="45"/>
      <x:c r="K4" s="45"/>
    </x:row>
    <x:row r="5">
      <x:c r="B5" s="45"/>
      <x:c r="C5" s="45"/>
      <x:c r="D5" s="45"/>
      <x:c r="E5" s="45"/>
      <x:c r="F5" s="45"/>
      <x:c r="G5" s="45"/>
      <x:c r="H5" s="45"/>
      <x:c r="I5" s="45"/>
      <x:c r="J5" s="45"/>
      <x:c r="K5" s="45"/>
    </x:row>
    <x:row r="6" ht="25" customHeight="1">
      <x:c r="B6" s="6" t="str">
        <x:v>Trial</x:v>
      </x:c>
      <x:c r="C6" s="6" t="str">
        <x:v>Article</x:v>
      </x:c>
      <x:c r="D6" s="6" t="str">
        <x:v>Case</x:v>
      </x:c>
      <x:c r="E6" s="6" t="str">
        <x:v>Effect result</x:v>
      </x:c>
      <x:c r="F6" s="6" t="str">
        <x:v>Safe-state result</x:v>
      </x:c>
      <x:c r="G6" s="6" t="str">
        <x:v>Mass result</x:v>
      </x:c>
      <x:c r="H6" s="6" t="str">
        <x:v>Evidence result</x:v>
      </x:c>
      <x:c r="I6" s="6" t="str">
        <x:v>Stop invoked</x:v>
      </x:c>
      <x:c r="J6" s="6" t="str">
        <x:v>Accepted UTC</x:v>
      </x:c>
      <x:c r="K6" s="6" t="str">
        <x:v>State</x:v>
      </x:c>
    </x:row>
    <x:row r="7" ht="32" customHeight="1">
      <x:c r="B7" s="8" t="str">
        <x:v>DA-X1-IT-01</x:v>
      </x:c>
      <x:c r="C7" s="8" t="str">
        <x:v>DA-X1</x:v>
      </x:c>
      <x:c r="D7" s="8" t="str">
        <x:v>stowed lift</x:v>
      </x:c>
      <x:c r="E7" s="8" t="str"/>
      <x:c r="F7" s="8" t="str"/>
      <x:c r="G7" s="8" t="str"/>
      <x:c r="H7" s="8" t="str"/>
      <x:c r="I7" s="8" t="str"/>
      <x:c r="J7" s="8" t="str"/>
      <x:c r="K7" s="8" t="str">
        <x:f>IF(J7="","OPEN",IF(OR(E7="",F7="",G7="",H7="",I7=""),"FAIL","PASS"))</x:f>
        <x:v>OPEN</x:v>
      </x:c>
    </x:row>
    <x:row r="8" ht="32" customHeight="1">
      <x:c r="B8" s="8" t="str">
        <x:v>DA-X1-IT-02</x:v>
      </x:c>
      <x:c r="C8" s="8" t="str">
        <x:v>DA-X1</x:v>
      </x:c>
      <x:c r="D8" s="8" t="str">
        <x:v>module extraction</x:v>
      </x:c>
      <x:c r="E8" s="8" t="str"/>
      <x:c r="F8" s="8" t="str"/>
      <x:c r="G8" s="8" t="str"/>
      <x:c r="H8" s="8" t="str"/>
      <x:c r="I8" s="8" t="str"/>
      <x:c r="J8" s="8" t="str"/>
      <x:c r="K8" s="8" t="str">
        <x:f>IF(J8="","OPEN",IF(OR(E8="",F8="",G8="",H8="",I8=""),"FAIL","PASS"))</x:f>
        <x:v>OPEN</x:v>
      </x:c>
    </x:row>
    <x:row r="9" ht="32" customHeight="1">
      <x:c r="B9" s="8" t="str">
        <x:v>DA-X1-IT-03</x:v>
      </x:c>
      <x:c r="C9" s="8" t="str">
        <x:v>DA-X1</x:v>
      </x:c>
      <x:c r="D9" s="8" t="str">
        <x:v>surveyed assembly</x:v>
      </x:c>
      <x:c r="E9" s="8" t="str"/>
      <x:c r="F9" s="8" t="str"/>
      <x:c r="G9" s="8" t="str"/>
      <x:c r="H9" s="8" t="str"/>
      <x:c r="I9" s="8" t="str"/>
      <x:c r="J9" s="8" t="str"/>
      <x:c r="K9" s="8" t="str">
        <x:f>IF(J9="","OPEN",IF(OR(E9="",F9="",G9="",H9="",I9=""),"FAIL","PASS"))</x:f>
        <x:v>OPEN</x:v>
      </x:c>
    </x:row>
    <x:row r="10" ht="32" customHeight="1">
      <x:c r="B10" s="8" t="str">
        <x:v>DA-X1-IT-04</x:v>
      </x:c>
      <x:c r="C10" s="8" t="str">
        <x:v>DA-X1</x:v>
      </x:c>
      <x:c r="D10" s="8" t="str">
        <x:v>static fill</x:v>
      </x:c>
      <x:c r="E10" s="8" t="str"/>
      <x:c r="F10" s="8" t="str"/>
      <x:c r="G10" s="8" t="str"/>
      <x:c r="H10" s="8" t="str"/>
      <x:c r="I10" s="8" t="str"/>
      <x:c r="J10" s="8" t="str"/>
      <x:c r="K10" s="8" t="str">
        <x:f>IF(J10="","OPEN",IF(OR(E10="",F10="",G10="",H10="",I10=""),"FAIL","PASS"))</x:f>
        <x:v>OPEN</x:v>
      </x:c>
    </x:row>
    <x:row r="11" ht="32" customHeight="1">
      <x:c r="B11" s="8" t="str">
        <x:v>DA-X1-IT-05</x:v>
      </x:c>
      <x:c r="C11" s="8" t="str">
        <x:v>DA-X1</x:v>
      </x:c>
      <x:c r="D11" s="8" t="str">
        <x:v>nominal transfer</x:v>
      </x:c>
      <x:c r="E11" s="8" t="str"/>
      <x:c r="F11" s="8" t="str"/>
      <x:c r="G11" s="8" t="str"/>
      <x:c r="H11" s="8" t="str"/>
      <x:c r="I11" s="8" t="str"/>
      <x:c r="J11" s="8" t="str"/>
      <x:c r="K11" s="8" t="str">
        <x:f>IF(J11="","OPEN",IF(OR(E11="",F11="",G11="",H11="",I11=""),"FAIL","PASS"))</x:f>
        <x:v>OPEN</x:v>
      </x:c>
    </x:row>
    <x:row r="12" ht="32" customHeight="1">
      <x:c r="B12" s="8" t="str">
        <x:v>DA-X1-IT-06</x:v>
      </x:c>
      <x:c r="C12" s="8" t="str">
        <x:v>DA-X1</x:v>
      </x:c>
      <x:c r="D12" s="8" t="str">
        <x:v>high-rate transfer</x:v>
      </x:c>
      <x:c r="E12" s="8" t="str"/>
      <x:c r="F12" s="8" t="str"/>
      <x:c r="G12" s="8" t="str"/>
      <x:c r="H12" s="8" t="str"/>
      <x:c r="I12" s="8" t="str"/>
      <x:c r="J12" s="8" t="str"/>
      <x:c r="K12" s="8" t="str">
        <x:f>IF(J12="","OPEN",IF(OR(E12="",F12="",G12="",H12="",I12=""),"FAIL","PASS"))</x:f>
        <x:v>OPEN</x:v>
      </x:c>
    </x:row>
    <x:row r="13" ht="32" customHeight="1">
      <x:c r="B13" s="8" t="str">
        <x:v>DA-X1-IT-07</x:v>
      </x:c>
      <x:c r="C13" s="8" t="str">
        <x:v>DA-X1</x:v>
      </x:c>
      <x:c r="D13" s="8" t="str">
        <x:v>uphill slope</x:v>
      </x:c>
      <x:c r="E13" s="8" t="str"/>
      <x:c r="F13" s="8" t="str"/>
      <x:c r="G13" s="8" t="str"/>
      <x:c r="H13" s="8" t="str"/>
      <x:c r="I13" s="8" t="str"/>
      <x:c r="J13" s="8" t="str"/>
      <x:c r="K13" s="8" t="str">
        <x:f>IF(J13="","OPEN",IF(OR(E13="",F13="",G13="",H13="",I13=""),"FAIL","PASS"))</x:f>
        <x:v>OPEN</x:v>
      </x:c>
    </x:row>
    <x:row r="14" ht="32" customHeight="1">
      <x:c r="B14" s="8" t="str">
        <x:v>DA-X1-IT-08</x:v>
      </x:c>
      <x:c r="C14" s="8" t="str">
        <x:v>DA-X1</x:v>
      </x:c>
      <x:c r="D14" s="8" t="str">
        <x:v>downhill slope</x:v>
      </x:c>
      <x:c r="E14" s="8" t="str"/>
      <x:c r="F14" s="8" t="str"/>
      <x:c r="G14" s="8" t="str"/>
      <x:c r="H14" s="8" t="str"/>
      <x:c r="I14" s="8" t="str"/>
      <x:c r="J14" s="8" t="str"/>
      <x:c r="K14" s="8" t="str">
        <x:f>IF(J14="","OPEN",IF(OR(E14="",F14="",G14="",H14="",I14=""),"FAIL","PASS"))</x:f>
        <x:v>OPEN</x:v>
      </x:c>
    </x:row>
    <x:row r="15" ht="32" customHeight="1">
      <x:c r="B15" s="8" t="str">
        <x:v>DA-X1-IT-09</x:v>
      </x:c>
      <x:c r="C15" s="8" t="str">
        <x:v>DA-X1</x:v>
      </x:c>
      <x:c r="D15" s="8" t="str">
        <x:v>receiver diversion</x:v>
      </x:c>
      <x:c r="E15" s="8" t="str"/>
      <x:c r="F15" s="8" t="str"/>
      <x:c r="G15" s="8" t="str"/>
      <x:c r="H15" s="8" t="str"/>
      <x:c r="I15" s="8" t="str"/>
      <x:c r="J15" s="8" t="str"/>
      <x:c r="K15" s="8" t="str">
        <x:f>IF(J15="","OPEN",IF(OR(E15="",F15="",G15="",H15="",I15=""),"FAIL","PASS"))</x:f>
        <x:v>OPEN</x:v>
      </x:c>
    </x:row>
    <x:row r="16" ht="32" customHeight="1">
      <x:c r="B16" s="8" t="str">
        <x:v>DA-X1-IT-10</x:v>
      </x:c>
      <x:c r="C16" s="8" t="str">
        <x:v>DA-X1</x:v>
      </x:c>
      <x:c r="D16" s="8" t="str">
        <x:v>normal-power loss</x:v>
      </x:c>
      <x:c r="E16" s="8" t="str"/>
      <x:c r="F16" s="8" t="str"/>
      <x:c r="G16" s="8" t="str"/>
      <x:c r="H16" s="8" t="str"/>
      <x:c r="I16" s="8" t="str"/>
      <x:c r="J16" s="8" t="str"/>
      <x:c r="K16" s="8" t="str">
        <x:f>IF(J16="","OPEN",IF(OR(E16="",F16="",G16="",H16="",I16=""),"FAIL","PASS"))</x:f>
        <x:v>OPEN</x:v>
      </x:c>
    </x:row>
    <x:row r="17" ht="32" customHeight="1">
      <x:c r="B17" s="8" t="str">
        <x:v>DA-X1-IT-11</x:v>
      </x:c>
      <x:c r="C17" s="8" t="str">
        <x:v>DA-X1</x:v>
      </x:c>
      <x:c r="D17" s="8" t="str">
        <x:v>independent-power low state</x:v>
      </x:c>
      <x:c r="E17" s="8" t="str"/>
      <x:c r="F17" s="8" t="str"/>
      <x:c r="G17" s="8" t="str"/>
      <x:c r="H17" s="8" t="str"/>
      <x:c r="I17" s="8" t="str"/>
      <x:c r="J17" s="8" t="str"/>
      <x:c r="K17" s="8" t="str">
        <x:f>IF(J17="","OPEN",IF(OR(E17="",F17="",G17="",H17="",I17=""),"FAIL","PASS"))</x:f>
        <x:v>OPEN</x:v>
      </x:c>
    </x:row>
    <x:row r="18" ht="32" customHeight="1">
      <x:c r="B18" s="8" t="str">
        <x:v>DA-X1-IT-12</x:v>
      </x:c>
      <x:c r="C18" s="8" t="str">
        <x:v>DA-X1</x:v>
      </x:c>
      <x:c r="D18" s="8" t="str">
        <x:v>clock loss</x:v>
      </x:c>
      <x:c r="E18" s="8" t="str"/>
      <x:c r="F18" s="8" t="str"/>
      <x:c r="G18" s="8" t="str"/>
      <x:c r="H18" s="8" t="str"/>
      <x:c r="I18" s="8" t="str"/>
      <x:c r="J18" s="8" t="str"/>
      <x:c r="K18" s="8" t="str">
        <x:f>IF(J18="","OPEN",IF(OR(E18="",F18="",G18="",H18="",I18=""),"FAIL","PASS"))</x:f>
        <x:v>OPEN</x:v>
      </x:c>
    </x:row>
    <x:row r="19" ht="32" customHeight="1">
      <x:c r="B19" s="8" t="str">
        <x:v>DA-X1-IT-13</x:v>
      </x:c>
      <x:c r="C19" s="8" t="str">
        <x:v>DA-X1</x:v>
      </x:c>
      <x:c r="D19" s="8" t="str">
        <x:v>one path obstruction</x:v>
      </x:c>
      <x:c r="E19" s="8" t="str"/>
      <x:c r="F19" s="8" t="str"/>
      <x:c r="G19" s="8" t="str"/>
      <x:c r="H19" s="8" t="str"/>
      <x:c r="I19" s="8" t="str"/>
      <x:c r="J19" s="8" t="str"/>
      <x:c r="K19" s="8" t="str">
        <x:f>IF(J19="","OPEN",IF(OR(E19="",F19="",G19="",H19="",I19=""),"FAIL","PASS"))</x:f>
        <x:v>OPEN</x:v>
      </x:c>
    </x:row>
    <x:row r="20" ht="32" customHeight="1">
      <x:c r="B20" s="8" t="str">
        <x:v>DA-X1-IT-14</x:v>
      </x:c>
      <x:c r="C20" s="8" t="str">
        <x:v>DA-X1</x:v>
      </x:c>
      <x:c r="D20" s="8" t="str">
        <x:v>leak capture</x:v>
      </x:c>
      <x:c r="E20" s="8" t="str"/>
      <x:c r="F20" s="8" t="str"/>
      <x:c r="G20" s="8" t="str"/>
      <x:c r="H20" s="8" t="str"/>
      <x:c r="I20" s="8" t="str"/>
      <x:c r="J20" s="8" t="str"/>
      <x:c r="K20" s="8" t="str">
        <x:f>IF(J20="","OPEN",IF(OR(E20="",F20="",G20="",H20="",I20=""),"FAIL","PASS"))</x:f>
        <x:v>OPEN</x:v>
      </x:c>
    </x:row>
    <x:row r="21" ht="32" customHeight="1">
      <x:c r="B21" s="8" t="str">
        <x:v>DA-X1-IT-15</x:v>
      </x:c>
      <x:c r="C21" s="8" t="str">
        <x:v>DA-X1</x:v>
      </x:c>
      <x:c r="D21" s="8" t="str">
        <x:v>casualty route</x:v>
      </x:c>
      <x:c r="E21" s="8" t="str"/>
      <x:c r="F21" s="8" t="str"/>
      <x:c r="G21" s="8" t="str"/>
      <x:c r="H21" s="8" t="str"/>
      <x:c r="I21" s="8" t="str"/>
      <x:c r="J21" s="8" t="str"/>
      <x:c r="K21" s="8" t="str">
        <x:f>IF(J21="","OPEN",IF(OR(E21="",F21="",G21="",H21="",I21=""),"FAIL","PASS"))</x:f>
        <x:v>OPEN</x:v>
      </x:c>
    </x:row>
    <x:row r="22" ht="32" customHeight="1">
      <x:c r="B22" s="8" t="str">
        <x:v>DA-X1-IT-16</x:v>
      </x:c>
      <x:c r="C22" s="8" t="str">
        <x:v>DA-X1</x:v>
      </x:c>
      <x:c r="D22" s="8" t="str">
        <x:v>manual safeing</x:v>
      </x:c>
      <x:c r="E22" s="8" t="str"/>
      <x:c r="F22" s="8" t="str"/>
      <x:c r="G22" s="8" t="str"/>
      <x:c r="H22" s="8" t="str"/>
      <x:c r="I22" s="8" t="str"/>
      <x:c r="J22" s="8" t="str"/>
      <x:c r="K22" s="8" t="str">
        <x:f>IF(J22="","OPEN",IF(OR(E22="",F22="",G22="",H22="",I22=""),"FAIL","PASS"))</x:f>
        <x:v>OPEN</x:v>
      </x:c>
    </x:row>
    <x:row r="23" ht="32" customHeight="1">
      <x:c r="B23" s="8" t="str">
        <x:v>DA-X1-IT-17</x:v>
      </x:c>
      <x:c r="C23" s="8" t="str">
        <x:v>DA-X1</x:v>
      </x:c>
      <x:c r="D23" s="8" t="str">
        <x:v>thermal cold</x:v>
      </x:c>
      <x:c r="E23" s="8" t="str"/>
      <x:c r="F23" s="8" t="str"/>
      <x:c r="G23" s="8" t="str"/>
      <x:c r="H23" s="8" t="str"/>
      <x:c r="I23" s="8" t="str"/>
      <x:c r="J23" s="8" t="str"/>
      <x:c r="K23" s="8" t="str">
        <x:f>IF(J23="","OPEN",IF(OR(E23="",F23="",G23="",H23="",I23=""),"FAIL","PASS"))</x:f>
        <x:v>OPEN</x:v>
      </x:c>
    </x:row>
    <x:row r="24" ht="32" customHeight="1">
      <x:c r="B24" s="8" t="str">
        <x:v>DA-X1-IT-18</x:v>
      </x:c>
      <x:c r="C24" s="8" t="str">
        <x:v>DA-X1</x:v>
      </x:c>
      <x:c r="D24" s="8" t="str">
        <x:v>thermal hot</x:v>
      </x:c>
      <x:c r="E24" s="8" t="str"/>
      <x:c r="F24" s="8" t="str"/>
      <x:c r="G24" s="8" t="str"/>
      <x:c r="H24" s="8" t="str"/>
      <x:c r="I24" s="8" t="str"/>
      <x:c r="J24" s="8" t="str"/>
      <x:c r="K24" s="8" t="str">
        <x:f>IF(J24="","OPEN",IF(OR(E24="",F24="",G24="",H24="",I24=""),"FAIL","PASS"))</x:f>
        <x:v>OPEN</x:v>
      </x:c>
    </x:row>
    <x:row r="25" ht="32" customHeight="1">
      <x:c r="B25" s="8" t="str">
        <x:v>DA-X1-IT-19</x:v>
      </x:c>
      <x:c r="C25" s="8" t="str">
        <x:v>DA-X1</x:v>
      </x:c>
      <x:c r="D25" s="8" t="str">
        <x:v>post-cycle drain</x:v>
      </x:c>
      <x:c r="E25" s="8" t="str"/>
      <x:c r="F25" s="8" t="str"/>
      <x:c r="G25" s="8" t="str"/>
      <x:c r="H25" s="8" t="str"/>
      <x:c r="I25" s="8" t="str"/>
      <x:c r="J25" s="8" t="str"/>
      <x:c r="K25" s="8" t="str">
        <x:f>IF(J25="","OPEN",IF(OR(E25="",F25="",G25="",H25="",I25=""),"FAIL","PASS"))</x:f>
        <x:v>OPEN</x:v>
      </x:c>
    </x:row>
    <x:row r="26" ht="32" customHeight="1">
      <x:c r="B26" s="8" t="str">
        <x:v>DA-X1-IT-20</x:v>
      </x:c>
      <x:c r="C26" s="8" t="str">
        <x:v>DA-X1</x:v>
      </x:c>
      <x:c r="D26" s="8" t="str">
        <x:v>outside reconstruction</x:v>
      </x:c>
      <x:c r="E26" s="8" t="str"/>
      <x:c r="F26" s="8" t="str"/>
      <x:c r="G26" s="8" t="str"/>
      <x:c r="H26" s="8" t="str"/>
      <x:c r="I26" s="8" t="str"/>
      <x:c r="J26" s="8" t="str"/>
      <x:c r="K26" s="8" t="str">
        <x:f>IF(J26="","OPEN",IF(OR(E26="",F26="",G26="",H26="",I26=""),"FAIL","PASS"))</x:f>
        <x:v>OPEN</x:v>
      </x:c>
    </x:row>
    <x:row r="27" ht="32" customHeight="1">
      <x:c r="B27" s="8" t="str">
        <x:v>DA-Y1-IT-01</x:v>
      </x:c>
      <x:c r="C27" s="8" t="str">
        <x:v>DA-Y1</x:v>
      </x:c>
      <x:c r="D27" s="8" t="str">
        <x:v>stowed lift</x:v>
      </x:c>
      <x:c r="E27" s="8" t="str"/>
      <x:c r="F27" s="8" t="str"/>
      <x:c r="G27" s="8" t="str"/>
      <x:c r="H27" s="8" t="str"/>
      <x:c r="I27" s="8" t="str"/>
      <x:c r="J27" s="8" t="str"/>
      <x:c r="K27" s="8" t="str">
        <x:f>IF(J27="","OPEN",IF(OR(E27="",F27="",G27="",H27="",I27=""),"FAIL","PASS"))</x:f>
        <x:v>OPEN</x:v>
      </x:c>
    </x:row>
    <x:row r="28" ht="32" customHeight="1">
      <x:c r="B28" s="8" t="str">
        <x:v>DA-Y1-IT-02</x:v>
      </x:c>
      <x:c r="C28" s="8" t="str">
        <x:v>DA-Y1</x:v>
      </x:c>
      <x:c r="D28" s="8" t="str">
        <x:v>module extraction</x:v>
      </x:c>
      <x:c r="E28" s="8" t="str"/>
      <x:c r="F28" s="8" t="str"/>
      <x:c r="G28" s="8" t="str"/>
      <x:c r="H28" s="8" t="str"/>
      <x:c r="I28" s="8" t="str"/>
      <x:c r="J28" s="8" t="str"/>
      <x:c r="K28" s="8" t="str">
        <x:f>IF(J28="","OPEN",IF(OR(E28="",F28="",G28="",H28="",I28=""),"FAIL","PASS"))</x:f>
        <x:v>OPEN</x:v>
      </x:c>
    </x:row>
    <x:row r="29" ht="32" customHeight="1">
      <x:c r="B29" s="8" t="str">
        <x:v>DA-Y1-IT-03</x:v>
      </x:c>
      <x:c r="C29" s="8" t="str">
        <x:v>DA-Y1</x:v>
      </x:c>
      <x:c r="D29" s="8" t="str">
        <x:v>surveyed assembly</x:v>
      </x:c>
      <x:c r="E29" s="8" t="str"/>
      <x:c r="F29" s="8" t="str"/>
      <x:c r="G29" s="8" t="str"/>
      <x:c r="H29" s="8" t="str"/>
      <x:c r="I29" s="8" t="str"/>
      <x:c r="J29" s="8" t="str"/>
      <x:c r="K29" s="8" t="str">
        <x:f>IF(J29="","OPEN",IF(OR(E29="",F29="",G29="",H29="",I29=""),"FAIL","PASS"))</x:f>
        <x:v>OPEN</x:v>
      </x:c>
    </x:row>
    <x:row r="30" ht="32" customHeight="1">
      <x:c r="B30" s="8" t="str">
        <x:v>DA-Y1-IT-04</x:v>
      </x:c>
      <x:c r="C30" s="8" t="str">
        <x:v>DA-Y1</x:v>
      </x:c>
      <x:c r="D30" s="8" t="str">
        <x:v>static fill</x:v>
      </x:c>
      <x:c r="E30" s="8" t="str"/>
      <x:c r="F30" s="8" t="str"/>
      <x:c r="G30" s="8" t="str"/>
      <x:c r="H30" s="8" t="str"/>
      <x:c r="I30" s="8" t="str"/>
      <x:c r="J30" s="8" t="str"/>
      <x:c r="K30" s="8" t="str">
        <x:f>IF(J30="","OPEN",IF(OR(E30="",F30="",G30="",H30="",I30=""),"FAIL","PASS"))</x:f>
        <x:v>OPEN</x:v>
      </x:c>
    </x:row>
    <x:row r="31" ht="32" customHeight="1">
      <x:c r="B31" s="8" t="str">
        <x:v>DA-Y1-IT-05</x:v>
      </x:c>
      <x:c r="C31" s="8" t="str">
        <x:v>DA-Y1</x:v>
      </x:c>
      <x:c r="D31" s="8" t="str">
        <x:v>nominal transfer</x:v>
      </x:c>
      <x:c r="E31" s="8" t="str"/>
      <x:c r="F31" s="8" t="str"/>
      <x:c r="G31" s="8" t="str"/>
      <x:c r="H31" s="8" t="str"/>
      <x:c r="I31" s="8" t="str"/>
      <x:c r="J31" s="8" t="str"/>
      <x:c r="K31" s="8" t="str">
        <x:f>IF(J31="","OPEN",IF(OR(E31="",F31="",G31="",H31="",I31=""),"FAIL","PASS"))</x:f>
        <x:v>OPEN</x:v>
      </x:c>
    </x:row>
    <x:row r="32" ht="32" customHeight="1">
      <x:c r="B32" s="8" t="str">
        <x:v>DA-Y1-IT-06</x:v>
      </x:c>
      <x:c r="C32" s="8" t="str">
        <x:v>DA-Y1</x:v>
      </x:c>
      <x:c r="D32" s="8" t="str">
        <x:v>high-rate transfer</x:v>
      </x:c>
      <x:c r="E32" s="8" t="str"/>
      <x:c r="F32" s="8" t="str"/>
      <x:c r="G32" s="8" t="str"/>
      <x:c r="H32" s="8" t="str"/>
      <x:c r="I32" s="8" t="str"/>
      <x:c r="J32" s="8" t="str"/>
      <x:c r="K32" s="8" t="str">
        <x:f>IF(J32="","OPEN",IF(OR(E32="",F32="",G32="",H32="",I32=""),"FAIL","PASS"))</x:f>
        <x:v>OPEN</x:v>
      </x:c>
    </x:row>
    <x:row r="33" ht="32" customHeight="1">
      <x:c r="B33" s="8" t="str">
        <x:v>DA-Y1-IT-07</x:v>
      </x:c>
      <x:c r="C33" s="8" t="str">
        <x:v>DA-Y1</x:v>
      </x:c>
      <x:c r="D33" s="8" t="str">
        <x:v>uphill slope</x:v>
      </x:c>
      <x:c r="E33" s="8" t="str"/>
      <x:c r="F33" s="8" t="str"/>
      <x:c r="G33" s="8" t="str"/>
      <x:c r="H33" s="8" t="str"/>
      <x:c r="I33" s="8" t="str"/>
      <x:c r="J33" s="8" t="str"/>
      <x:c r="K33" s="8" t="str">
        <x:f>IF(J33="","OPEN",IF(OR(E33="",F33="",G33="",H33="",I33=""),"FAIL","PASS"))</x:f>
        <x:v>OPEN</x:v>
      </x:c>
    </x:row>
    <x:row r="34" ht="32" customHeight="1">
      <x:c r="B34" s="8" t="str">
        <x:v>DA-Y1-IT-08</x:v>
      </x:c>
      <x:c r="C34" s="8" t="str">
        <x:v>DA-Y1</x:v>
      </x:c>
      <x:c r="D34" s="8" t="str">
        <x:v>downhill slope</x:v>
      </x:c>
      <x:c r="E34" s="8" t="str"/>
      <x:c r="F34" s="8" t="str"/>
      <x:c r="G34" s="8" t="str"/>
      <x:c r="H34" s="8" t="str"/>
      <x:c r="I34" s="8" t="str"/>
      <x:c r="J34" s="8" t="str"/>
      <x:c r="K34" s="8" t="str">
        <x:f>IF(J34="","OPEN",IF(OR(E34="",F34="",G34="",H34="",I34=""),"FAIL","PASS"))</x:f>
        <x:v>OPEN</x:v>
      </x:c>
    </x:row>
    <x:row r="35" ht="32" customHeight="1">
      <x:c r="B35" s="8" t="str">
        <x:v>DA-Y1-IT-09</x:v>
      </x:c>
      <x:c r="C35" s="8" t="str">
        <x:v>DA-Y1</x:v>
      </x:c>
      <x:c r="D35" s="8" t="str">
        <x:v>receiver diversion</x:v>
      </x:c>
      <x:c r="E35" s="8" t="str"/>
      <x:c r="F35" s="8" t="str"/>
      <x:c r="G35" s="8" t="str"/>
      <x:c r="H35" s="8" t="str"/>
      <x:c r="I35" s="8" t="str"/>
      <x:c r="J35" s="8" t="str"/>
      <x:c r="K35" s="8" t="str">
        <x:f>IF(J35="","OPEN",IF(OR(E35="",F35="",G35="",H35="",I35=""),"FAIL","PASS"))</x:f>
        <x:v>OPEN</x:v>
      </x:c>
    </x:row>
    <x:row r="36" ht="32" customHeight="1">
      <x:c r="B36" s="8" t="str">
        <x:v>DA-Y1-IT-10</x:v>
      </x:c>
      <x:c r="C36" s="8" t="str">
        <x:v>DA-Y1</x:v>
      </x:c>
      <x:c r="D36" s="8" t="str">
        <x:v>normal-power loss</x:v>
      </x:c>
      <x:c r="E36" s="8" t="str"/>
      <x:c r="F36" s="8" t="str"/>
      <x:c r="G36" s="8" t="str"/>
      <x:c r="H36" s="8" t="str"/>
      <x:c r="I36" s="8" t="str"/>
      <x:c r="J36" s="8" t="str"/>
      <x:c r="K36" s="8" t="str">
        <x:f>IF(J36="","OPEN",IF(OR(E36="",F36="",G36="",H36="",I36=""),"FAIL","PASS"))</x:f>
        <x:v>OPEN</x:v>
      </x:c>
    </x:row>
    <x:row r="37" ht="32" customHeight="1">
      <x:c r="B37" s="8" t="str">
        <x:v>DA-Y1-IT-11</x:v>
      </x:c>
      <x:c r="C37" s="8" t="str">
        <x:v>DA-Y1</x:v>
      </x:c>
      <x:c r="D37" s="8" t="str">
        <x:v>independent-power low state</x:v>
      </x:c>
      <x:c r="E37" s="8" t="str"/>
      <x:c r="F37" s="8" t="str"/>
      <x:c r="G37" s="8" t="str"/>
      <x:c r="H37" s="8" t="str"/>
      <x:c r="I37" s="8" t="str"/>
      <x:c r="J37" s="8" t="str"/>
      <x:c r="K37" s="8" t="str">
        <x:f>IF(J37="","OPEN",IF(OR(E37="",F37="",G37="",H37="",I37=""),"FAIL","PASS"))</x:f>
        <x:v>OPEN</x:v>
      </x:c>
    </x:row>
    <x:row r="38" ht="32" customHeight="1">
      <x:c r="B38" s="8" t="str">
        <x:v>DA-Y1-IT-12</x:v>
      </x:c>
      <x:c r="C38" s="8" t="str">
        <x:v>DA-Y1</x:v>
      </x:c>
      <x:c r="D38" s="8" t="str">
        <x:v>clock loss</x:v>
      </x:c>
      <x:c r="E38" s="8" t="str"/>
      <x:c r="F38" s="8" t="str"/>
      <x:c r="G38" s="8" t="str"/>
      <x:c r="H38" s="8" t="str"/>
      <x:c r="I38" s="8" t="str"/>
      <x:c r="J38" s="8" t="str"/>
      <x:c r="K38" s="8" t="str">
        <x:f>IF(J38="","OPEN",IF(OR(E38="",F38="",G38="",H38="",I38=""),"FAIL","PASS"))</x:f>
        <x:v>OPEN</x:v>
      </x:c>
    </x:row>
    <x:row r="39" ht="32" customHeight="1">
      <x:c r="B39" s="8" t="str">
        <x:v>DA-Y1-IT-13</x:v>
      </x:c>
      <x:c r="C39" s="8" t="str">
        <x:v>DA-Y1</x:v>
      </x:c>
      <x:c r="D39" s="8" t="str">
        <x:v>one path obstruction</x:v>
      </x:c>
      <x:c r="E39" s="8" t="str"/>
      <x:c r="F39" s="8" t="str"/>
      <x:c r="G39" s="8" t="str"/>
      <x:c r="H39" s="8" t="str"/>
      <x:c r="I39" s="8" t="str"/>
      <x:c r="J39" s="8" t="str"/>
      <x:c r="K39" s="8" t="str">
        <x:f>IF(J39="","OPEN",IF(OR(E39="",F39="",G39="",H39="",I39=""),"FAIL","PASS"))</x:f>
        <x:v>OPEN</x:v>
      </x:c>
    </x:row>
    <x:row r="40" ht="32" customHeight="1">
      <x:c r="B40" s="8" t="str">
        <x:v>DA-Y1-IT-14</x:v>
      </x:c>
      <x:c r="C40" s="8" t="str">
        <x:v>DA-Y1</x:v>
      </x:c>
      <x:c r="D40" s="8" t="str">
        <x:v>leak capture</x:v>
      </x:c>
      <x:c r="E40" s="8" t="str"/>
      <x:c r="F40" s="8" t="str"/>
      <x:c r="G40" s="8" t="str"/>
      <x:c r="H40" s="8" t="str"/>
      <x:c r="I40" s="8" t="str"/>
      <x:c r="J40" s="8" t="str"/>
      <x:c r="K40" s="8" t="str">
        <x:f>IF(J40="","OPEN",IF(OR(E40="",F40="",G40="",H40="",I40=""),"FAIL","PASS"))</x:f>
        <x:v>OPEN</x:v>
      </x:c>
    </x:row>
    <x:row r="41" ht="32" customHeight="1">
      <x:c r="B41" s="8" t="str">
        <x:v>DA-Y1-IT-15</x:v>
      </x:c>
      <x:c r="C41" s="8" t="str">
        <x:v>DA-Y1</x:v>
      </x:c>
      <x:c r="D41" s="8" t="str">
        <x:v>casualty route</x:v>
      </x:c>
      <x:c r="E41" s="8" t="str"/>
      <x:c r="F41" s="8" t="str"/>
      <x:c r="G41" s="8" t="str"/>
      <x:c r="H41" s="8" t="str"/>
      <x:c r="I41" s="8" t="str"/>
      <x:c r="J41" s="8" t="str"/>
      <x:c r="K41" s="8" t="str">
        <x:f>IF(J41="","OPEN",IF(OR(E41="",F41="",G41="",H41="",I41=""),"FAIL","PASS"))</x:f>
        <x:v>OPEN</x:v>
      </x:c>
    </x:row>
    <x:row r="42" ht="32" customHeight="1">
      <x:c r="B42" s="8" t="str">
        <x:v>DA-Y1-IT-16</x:v>
      </x:c>
      <x:c r="C42" s="8" t="str">
        <x:v>DA-Y1</x:v>
      </x:c>
      <x:c r="D42" s="8" t="str">
        <x:v>manual safeing</x:v>
      </x:c>
      <x:c r="E42" s="8" t="str"/>
      <x:c r="F42" s="8" t="str"/>
      <x:c r="G42" s="8" t="str"/>
      <x:c r="H42" s="8" t="str"/>
      <x:c r="I42" s="8" t="str"/>
      <x:c r="J42" s="8" t="str"/>
      <x:c r="K42" s="8" t="str">
        <x:f>IF(J42="","OPEN",IF(OR(E42="",F42="",G42="",H42="",I42=""),"FAIL","PASS"))</x:f>
        <x:v>OPEN</x:v>
      </x:c>
    </x:row>
    <x:row r="43" ht="32" customHeight="1">
      <x:c r="B43" s="8" t="str">
        <x:v>DA-Y1-IT-17</x:v>
      </x:c>
      <x:c r="C43" s="8" t="str">
        <x:v>DA-Y1</x:v>
      </x:c>
      <x:c r="D43" s="8" t="str">
        <x:v>thermal cold</x:v>
      </x:c>
      <x:c r="E43" s="8" t="str"/>
      <x:c r="F43" s="8" t="str"/>
      <x:c r="G43" s="8" t="str"/>
      <x:c r="H43" s="8" t="str"/>
      <x:c r="I43" s="8" t="str"/>
      <x:c r="J43" s="8" t="str"/>
      <x:c r="K43" s="8" t="str">
        <x:f>IF(J43="","OPEN",IF(OR(E43="",F43="",G43="",H43="",I43=""),"FAIL","PASS"))</x:f>
        <x:v>OPEN</x:v>
      </x:c>
    </x:row>
    <x:row r="44" ht="32" customHeight="1">
      <x:c r="B44" s="8" t="str">
        <x:v>DA-Y1-IT-18</x:v>
      </x:c>
      <x:c r="C44" s="8" t="str">
        <x:v>DA-Y1</x:v>
      </x:c>
      <x:c r="D44" s="8" t="str">
        <x:v>thermal hot</x:v>
      </x:c>
      <x:c r="E44" s="8" t="str"/>
      <x:c r="F44" s="8" t="str"/>
      <x:c r="G44" s="8" t="str"/>
      <x:c r="H44" s="8" t="str"/>
      <x:c r="I44" s="8" t="str"/>
      <x:c r="J44" s="8" t="str"/>
      <x:c r="K44" s="8" t="str">
        <x:f>IF(J44="","OPEN",IF(OR(E44="",F44="",G44="",H44="",I44=""),"FAIL","PASS"))</x:f>
        <x:v>OPEN</x:v>
      </x:c>
    </x:row>
    <x:row r="45" ht="32" customHeight="1">
      <x:c r="B45" s="8" t="str">
        <x:v>DA-Y1-IT-19</x:v>
      </x:c>
      <x:c r="C45" s="8" t="str">
        <x:v>DA-Y1</x:v>
      </x:c>
      <x:c r="D45" s="8" t="str">
        <x:v>post-cycle drain</x:v>
      </x:c>
      <x:c r="E45" s="8" t="str"/>
      <x:c r="F45" s="8" t="str"/>
      <x:c r="G45" s="8" t="str"/>
      <x:c r="H45" s="8" t="str"/>
      <x:c r="I45" s="8" t="str"/>
      <x:c r="J45" s="8" t="str"/>
      <x:c r="K45" s="8" t="str">
        <x:f>IF(J45="","OPEN",IF(OR(E45="",F45="",G45="",H45="",I45=""),"FAIL","PASS"))</x:f>
        <x:v>OPEN</x:v>
      </x:c>
    </x:row>
    <x:row r="46" ht="32" customHeight="1">
      <x:c r="B46" s="8" t="str">
        <x:v>DA-Y1-IT-20</x:v>
      </x:c>
      <x:c r="C46" s="8" t="str">
        <x:v>DA-Y1</x:v>
      </x:c>
      <x:c r="D46" s="8" t="str">
        <x:v>outside reconstruction</x:v>
      </x:c>
      <x:c r="E46" s="8" t="str"/>
      <x:c r="F46" s="8" t="str"/>
      <x:c r="G46" s="8" t="str"/>
      <x:c r="H46" s="8" t="str"/>
      <x:c r="I46" s="8" t="str"/>
      <x:c r="J46" s="8" t="str"/>
      <x:c r="K46" s="8" t="str">
        <x:f>IF(J46="","OPEN",IF(OR(E46="",F46="",G46="",H46="",I46=""),"FAIL","PASS"))</x:f>
        <x:v>OPEN</x:v>
      </x:c>
    </x:row>
  </x:sheetData>
  <x:conditionalFormatting sqref="K7:K46">
    <x:cfRule type="containsText" dxfId="120" priority="1" operator="containsText" text="FAIL"/>
    <x:cfRule type="containsText" dxfId="121" priority="2" operator="containsText" text="BLOCKED"/>
    <x:cfRule type="containsText" dxfId="122" priority="3" operator="containsText" text="OPEN"/>
    <x:cfRule type="containsText" dxfId="123" priority="4" operator="containsText" text="PASS"/>
    <x:cfRule type="containsText" dxfId="124" priority="5" operator="containsText" text="PLANNED"/>
    <x:cfRule type="containsText" dxfId="125" priority="6" operator="containsText" text="ACTIVE"/>
  </x:conditionalFormatting>
  <x:pageMargins left="0.7" right="0.7" top="0.75" bottom="0.75" header="0.3" footer="0.3"/>
</x:worksheet>
</file>

<file path=xl/worksheets/sheet30.xml><?xml version="1.0" encoding="utf-8"?>
<x:worksheet xmlns:x="http://schemas.openxmlformats.org/spreadsheetml/2006/main">
  <x:sheetViews>
    <x:sheetView showGridLines="0" workbookViewId="0">
      <x:pane xSplit="2" ySplit="6" topLeftCell="C7" activePane="bottomRight" state="frozen"/>
    </x:sheetView>
  </x:sheetViews>
  <x:sheetFormatPr defaultRowHeight="15"/>
  <x:cols>
    <x:col min="2" max="2" width="14" hidden="0" customWidth="1"/>
    <x:col min="3" max="3" width="52" hidden="0" customWidth="1"/>
    <x:col min="4" max="4" width="65" hidden="0" customWidth="1"/>
    <x:col min="5" max="5" width="14" hidden="0" customWidth="1"/>
  </x:cols>
  <x:sheetData>
    <x:row r="2">
      <x:c r="B2" s="44" t="str">
        <x:v>Sixteen automatic-stop and quarantine laws</x:v>
      </x:c>
      <x:c r="C2" s="45"/>
      <x:c r="D2" s="45"/>
      <x:c r="E2" s="45"/>
    </x:row>
    <x:row r="3">
      <x:c r="B3" s="46" t="str">
        <x:v>A stopped trial is evidence. It cannot be deleted, relabeled invalid for convenience or replaced without ancestry.</x:v>
      </x:c>
      <x:c r="C3" s="45"/>
      <x:c r="D3" s="45"/>
      <x:c r="E3" s="45"/>
    </x:row>
    <x:row r="4">
      <x:c r="B4" s="45"/>
      <x:c r="C4" s="45"/>
      <x:c r="D4" s="45"/>
      <x:c r="E4" s="45"/>
    </x:row>
    <x:row r="5">
      <x:c r="B5" s="45"/>
      <x:c r="C5" s="45"/>
      <x:c r="D5" s="45"/>
      <x:c r="E5" s="45"/>
    </x:row>
    <x:row r="6" ht="25" customHeight="1">
      <x:c r="B6" s="6" t="str">
        <x:v>Rule</x:v>
      </x:c>
      <x:c r="C6" s="6" t="str">
        <x:v>Trigger</x:v>
      </x:c>
      <x:c r="D6" s="6" t="str">
        <x:v>Immediate physical action</x:v>
      </x:c>
      <x:c r="E6" s="6" t="str">
        <x:v>State</x:v>
      </x:c>
    </x:row>
    <x:row r="7" ht="42" customHeight="1">
      <x:c r="B7" s="8" t="str">
        <x:v>SR-01</x:v>
      </x:c>
      <x:c r="C7" s="9" t="str">
        <x:v>gross or uncontained leak</x:v>
      </x:c>
      <x:c r="D7" s="9" t="str">
        <x:v>isolate both sides and capture liquid</x:v>
      </x:c>
      <x:c r="E7" s="8" t="str">
        <x:v>ACTIVE</x:v>
      </x:c>
    </x:row>
    <x:row r="8" ht="42" customHeight="1">
      <x:c r="B8" s="8" t="str">
        <x:v>SR-02</x:v>
      </x:c>
      <x:c r="C8" s="9" t="str">
        <x:v>proof pressure outside registered band</x:v>
      </x:c>
      <x:c r="D8" s="9" t="str">
        <x:v>depressurize to contained tank</x:v>
      </x:c>
      <x:c r="E8" s="8" t="str">
        <x:v>ACTIVE</x:v>
      </x:c>
    </x:row>
    <x:row r="9" ht="42" customHeight="1">
      <x:c r="B9" s="8" t="str">
        <x:v>SR-03</x:v>
      </x:c>
      <x:c r="C9" s="9" t="str">
        <x:v>permanent bore or joint change above limit</x:v>
      </x:c>
      <x:c r="D9" s="9" t="str">
        <x:v>quarantine article and fixture</x:v>
      </x:c>
      <x:c r="E9" s="8" t="str">
        <x:v>ACTIVE</x:v>
      </x:c>
    </x:row>
    <x:row r="10" ht="42" customHeight="1">
      <x:c r="B10" s="8" t="str">
        <x:v>SR-04</x:v>
      </x:c>
      <x:c r="C10" s="9" t="str">
        <x:v>joint slip or preload collapse</x:v>
      </x:c>
      <x:c r="D10" s="9" t="str">
        <x:v>remove load into mechanical catch</x:v>
      </x:c>
      <x:c r="E10" s="8" t="str">
        <x:v>ACTIVE</x:v>
      </x:c>
    </x:row>
    <x:row r="11" ht="42" customHeight="1">
      <x:c r="B11" s="8" t="str">
        <x:v>SR-05</x:v>
      </x:c>
      <x:c r="C11" s="9" t="str">
        <x:v>uncommanded final-element state</x:v>
      </x:c>
      <x:c r="D11" s="9" t="str">
        <x:v>trip normal power and enter passive state</x:v>
      </x:c>
      <x:c r="E11" s="8" t="str">
        <x:v>ACTIVE</x:v>
      </x:c>
    </x:row>
    <x:row r="12" ht="42" customHeight="1">
      <x:c r="B12" s="8" t="str">
        <x:v>SR-06</x:v>
      </x:c>
      <x:c r="C12" s="9" t="str">
        <x:v>safeing action fails or exceeds time</x:v>
      </x:c>
      <x:c r="D12" s="9" t="str">
        <x:v>retain last state and rescue under authority</x:v>
      </x:c>
      <x:c r="E12" s="8" t="str">
        <x:v>ACTIVE</x:v>
      </x:c>
    </x:row>
    <x:row r="13" ht="42" customHeight="1">
      <x:c r="B13" s="8" t="str">
        <x:v>SR-07</x:v>
      </x:c>
      <x:c r="C13" s="9" t="str">
        <x:v>loss of independent pressure or mass reference</x:v>
      </x:c>
      <x:c r="D13" s="9" t="str">
        <x:v>invalidate block and stop stimulus</x:v>
      </x:c>
      <x:c r="E13" s="8" t="str">
        <x:v>ACTIVE</x:v>
      </x:c>
    </x:row>
    <x:row r="14" ht="42" customHeight="1">
      <x:c r="B14" s="8" t="str">
        <x:v>SR-08</x:v>
      </x:c>
      <x:c r="C14" s="9" t="str">
        <x:v>loss of both evidence originals</x:v>
      </x:c>
      <x:c r="D14" s="9" t="str">
        <x:v>quarantine configuration and stop campaign</x:v>
      </x:c>
      <x:c r="E14" s="8" t="str">
        <x:v>ACTIVE</x:v>
      </x:c>
    </x:row>
    <x:row r="15" ht="42" customHeight="1">
      <x:c r="B15" s="8" t="str">
        <x:v>SR-09</x:v>
      </x:c>
      <x:c r="C15" s="9" t="str">
        <x:v>clock divergence above bound</x:v>
      </x:c>
      <x:c r="D15" s="9" t="str">
        <x:v>stop causal claims and preserve local records</x:v>
      </x:c>
      <x:c r="E15" s="8" t="str">
        <x:v>ACTIVE</x:v>
      </x:c>
    </x:row>
    <x:row r="16" ht="42" customHeight="1">
      <x:c r="B16" s="8" t="str">
        <x:v>SR-10</x:v>
      </x:c>
      <x:c r="C16" s="9" t="str">
        <x:v>fixture boundary changes outside bracket</x:v>
      </x:c>
      <x:c r="D16" s="9" t="str">
        <x:v>stop and recommission fixture</x:v>
      </x:c>
      <x:c r="E16" s="8" t="str">
        <x:v>ACTIVE</x:v>
      </x:c>
    </x:row>
    <x:row r="17" ht="42" customHeight="1">
      <x:c r="B17" s="8" t="str">
        <x:v>SR-11</x:v>
      </x:c>
      <x:c r="C17" s="9" t="str">
        <x:v>unexpected temperature excursion</x:v>
      </x:c>
      <x:c r="D17" s="9" t="str">
        <x:v>remove heat or cold stimulus</x:v>
      </x:c>
      <x:c r="E17" s="8" t="str">
        <x:v>ACTIVE</x:v>
      </x:c>
    </x:row>
    <x:row r="18" ht="42" customHeight="1">
      <x:c r="B18" s="8" t="str">
        <x:v>SR-12</x:v>
      </x:c>
      <x:c r="C18" s="9" t="str">
        <x:v>challenge key exposure before blind call</x:v>
      </x:c>
      <x:c r="D18" s="9" t="str">
        <x:v>invalidate cell and investigate custody</x:v>
      </x:c>
      <x:c r="E18" s="8" t="str">
        <x:v>ACTIVE</x:v>
      </x:c>
    </x:row>
    <x:row r="19" ht="42" customHeight="1">
      <x:c r="B19" s="8" t="str">
        <x:v>SR-13</x:v>
      </x:c>
      <x:c r="C19" s="9" t="str">
        <x:v>specimen identity mismatch</x:v>
      </x:c>
      <x:c r="D19" s="9" t="str">
        <x:v>quarantine all affected ancestry</x:v>
      </x:c>
      <x:c r="E19" s="8" t="str">
        <x:v>ACTIVE</x:v>
      </x:c>
    </x:row>
    <x:row r="20" ht="42" customHeight="1">
      <x:c r="B20" s="8" t="str">
        <x:v>SR-14</x:v>
      </x:c>
      <x:c r="C20" s="9" t="str">
        <x:v>unauthorized repair or rework</x:v>
      </x:c>
      <x:c r="D20" s="9" t="str">
        <x:v>freeze configuration and open new branch</x:v>
      </x:c>
      <x:c r="E20" s="8" t="str">
        <x:v>ACTIVE</x:v>
      </x:c>
    </x:row>
    <x:row r="21" ht="42" customHeight="1">
      <x:c r="B21" s="8" t="str">
        <x:v>SR-15</x:v>
      </x:c>
      <x:c r="C21" s="9" t="str">
        <x:v>personnel exclusion or rescue boundary lost</x:v>
      </x:c>
      <x:c r="D21" s="9" t="str">
        <x:v>safe rig and release rescue team</x:v>
      </x:c>
      <x:c r="E21" s="8" t="str">
        <x:v>ACTIVE</x:v>
      </x:c>
    </x:row>
    <x:row r="22" ht="42" customHeight="1">
      <x:c r="B22" s="8" t="str">
        <x:v>SR-16</x:v>
      </x:c>
      <x:c r="C22" s="9" t="str">
        <x:v>unknown energetic or chemical state</x:v>
      </x:c>
      <x:c r="D22" s="9" t="str">
        <x:v>deny test entry and preserve custody</x:v>
      </x:c>
      <x:c r="E22" s="8" t="str">
        <x:v>ACTIVE</x:v>
      </x:c>
    </x:row>
  </x:sheetData>
  <x:conditionalFormatting sqref="E7:E22">
    <x:cfRule type="containsText" dxfId="126" priority="1" operator="containsText" text="FAIL"/>
    <x:cfRule type="containsText" dxfId="127" priority="2" operator="containsText" text="BLOCKED"/>
    <x:cfRule type="containsText" dxfId="128" priority="3" operator="containsText" text="OPEN"/>
    <x:cfRule type="containsText" dxfId="129" priority="4" operator="containsText" text="PASS"/>
    <x:cfRule type="containsText" dxfId="130" priority="5" operator="containsText" text="PLANNED"/>
    <x:cfRule type="containsText" dxfId="131" priority="6" operator="containsText" text="ACTIVE"/>
  </x:conditionalFormatting>
  <x:pageMargins left="0.7" right="0.7" top="0.75" bottom="0.75" header="0.3" footer="0.3"/>
</x:worksheet>
</file>

<file path=xl/worksheets/sheet31.xml><?xml version="1.0" encoding="utf-8"?>
<x:worksheet xmlns:x="http://schemas.openxmlformats.org/spreadsheetml/2006/main">
  <x:sheetViews>
    <x:sheetView showGridLines="0" workbookViewId="0">
      <x:pane xSplit="2" ySplit="6" topLeftCell="C7" activePane="bottomRight" state="frozen"/>
    </x:sheetView>
  </x:sheetViews>
  <x:sheetFormatPr defaultRowHeight="15"/>
  <x:cols>
    <x:col min="2" max="2" width="14" hidden="0" customWidth="1"/>
    <x:col min="3" max="3" width="31" hidden="0" customWidth="1"/>
    <x:col min="4" max="4" width="52" hidden="0" customWidth="1"/>
    <x:col min="5" max="5" width="26" hidden="0" customWidth="1"/>
    <x:col min="6" max="6" width="32" hidden="0" customWidth="1"/>
  </x:cols>
  <x:sheetData>
    <x:row r="2">
      <x:c r="B2" s="44" t="str">
        <x:v>Twelve configuration-branch classes</x:v>
      </x:c>
      <x:c r="C2" s="45"/>
      <x:c r="D2" s="45"/>
      <x:c r="E2" s="45"/>
      <x:c r="F2" s="45"/>
    </x:row>
    <x:row r="3">
      <x:c r="B3" s="46" t="str">
        <x:v>A repair creates a new physical state. It cannot restore the statistical identity of the failed specimen.</x:v>
      </x:c>
      <x:c r="C3" s="45"/>
      <x:c r="D3" s="45"/>
      <x:c r="E3" s="45"/>
      <x:c r="F3" s="45"/>
    </x:row>
    <x:row r="4">
      <x:c r="B4" s="45"/>
      <x:c r="C4" s="45"/>
      <x:c r="D4" s="45"/>
      <x:c r="E4" s="45"/>
      <x:c r="F4" s="45"/>
    </x:row>
    <x:row r="5">
      <x:c r="B5" s="45"/>
      <x:c r="C5" s="45"/>
      <x:c r="D5" s="45"/>
      <x:c r="E5" s="45"/>
      <x:c r="F5" s="45"/>
    </x:row>
    <x:row r="6" ht="25" customHeight="1">
      <x:c r="B6" s="6" t="str">
        <x:v>Class</x:v>
      </x:c>
      <x:c r="C6" s="6" t="str">
        <x:v>Condition</x:v>
      </x:c>
      <x:c r="D6" s="6" t="str">
        <x:v>Immediate custody</x:v>
      </x:c>
      <x:c r="E6" s="6" t="str">
        <x:v>Decision owner</x:v>
      </x:c>
      <x:c r="F6" s="6" t="str">
        <x:v>Permitted next state</x:v>
      </x:c>
    </x:row>
    <x:row r="7" ht="42" customHeight="1">
      <x:c r="B7" s="8" t="str">
        <x:v>Q-01</x:v>
      </x:c>
      <x:c r="C7" s="8" t="str">
        <x:v>material identity</x:v>
      </x:c>
      <x:c r="D7" s="9" t="str">
        <x:v>freeze parent and all splits</x:v>
      </x:c>
      <x:c r="E7" s="8" t="str">
        <x:v>material review board</x:v>
      </x:c>
      <x:c r="F7" s="9" t="str">
        <x:v>new lot branch</x:v>
      </x:c>
    </x:row>
    <x:row r="8" ht="42" customHeight="1">
      <x:c r="B8" s="8" t="str">
        <x:v>Q-02</x:v>
      </x:c>
      <x:c r="C8" s="8" t="str">
        <x:v>fixture boundary</x:v>
      </x:c>
      <x:c r="D8" s="9" t="str">
        <x:v>stop affected blocks and recommission</x:v>
      </x:c>
      <x:c r="E8" s="8" t="str">
        <x:v>fixture authority</x:v>
      </x:c>
      <x:c r="F8" s="9" t="str">
        <x:v>new fixture baseline</x:v>
      </x:c>
    </x:row>
    <x:row r="9" ht="42" customHeight="1">
      <x:c r="B9" s="8" t="str">
        <x:v>Q-03</x:v>
      </x:c>
      <x:c r="C9" s="8" t="str">
        <x:v>bore or step</x:v>
      </x:c>
      <x:c r="D9" s="9" t="str">
        <x:v>protect surface and hold assembly</x:v>
      </x:c>
      <x:c r="E9" s="8" t="str">
        <x:v>design authority</x:v>
      </x:c>
      <x:c r="F9" s="9" t="str">
        <x:v>rework or reject branch</x:v>
      </x:c>
    </x:row>
    <x:row r="10" ht="42" customHeight="1">
      <x:c r="B10" s="8" t="str">
        <x:v>Q-04</x:v>
      </x:c>
      <x:c r="C10" s="8" t="str">
        <x:v>weld root</x:v>
      </x:c>
      <x:c r="D10" s="9" t="str">
        <x:v>retain execution record and adjacent witness</x:v>
      </x:c>
      <x:c r="E10" s="8" t="str">
        <x:v>BL-X review board</x:v>
      </x:c>
      <x:c r="F10" s="9" t="str">
        <x:v>repair or reject branch</x:v>
      </x:c>
    </x:row>
    <x:row r="11" ht="42" customHeight="1">
      <x:c r="B11" s="8" t="str">
        <x:v>Q-05</x:v>
      </x:c>
      <x:c r="C11" s="8" t="str">
        <x:v>clamp or seal</x:v>
      </x:c>
      <x:c r="D11" s="9" t="str">
        <x:v>retain preload, seal and interspace state</x:v>
      </x:c>
      <x:c r="E11" s="8" t="str">
        <x:v>BL-Y review board</x:v>
      </x:c>
      <x:c r="F11" s="9" t="str">
        <x:v>rebuild or reject branch</x:v>
      </x:c>
    </x:row>
    <x:row r="12" ht="42" customHeight="1">
      <x:c r="B12" s="8" t="str">
        <x:v>Q-06</x:v>
      </x:c>
      <x:c r="C12" s="8" t="str">
        <x:v>proof or leak</x:v>
      </x:c>
      <x:c r="D12" s="9" t="str">
        <x:v>contain liquid and preserve deformation state</x:v>
      </x:c>
      <x:c r="E12" s="8" t="str">
        <x:v>pressure board</x:v>
      </x:c>
      <x:c r="F12" s="9" t="str">
        <x:v>destructive branch</x:v>
      </x:c>
    </x:row>
    <x:row r="13" ht="42" customHeight="1">
      <x:c r="B13" s="8" t="str">
        <x:v>Q-07</x:v>
      </x:c>
      <x:c r="C13" s="8" t="str">
        <x:v>surface or residual</x:v>
      </x:c>
      <x:c r="D13" s="9" t="str">
        <x:v>prohibit cleaning before release</x:v>
      </x:c>
      <x:c r="E13" s="8" t="str">
        <x:v>surface board</x:v>
      </x:c>
      <x:c r="F13" s="9" t="str">
        <x:v>assay branch</x:v>
      </x:c>
    </x:row>
    <x:row r="14" ht="42" customHeight="1">
      <x:c r="B14" s="8" t="str">
        <x:v>Q-08</x:v>
      </x:c>
      <x:c r="C14" s="8" t="str">
        <x:v>safeing</x:v>
      </x:c>
      <x:c r="D14" s="9" t="str">
        <x:v>retain motive state and mechanical witness</x:v>
      </x:c>
      <x:c r="E14" s="8" t="str">
        <x:v>safeing board</x:v>
      </x:c>
      <x:c r="F14" s="9" t="str">
        <x:v>mechanism branch</x:v>
      </x:c>
    </x:row>
    <x:row r="15" ht="42" customHeight="1">
      <x:c r="B15" s="8" t="str">
        <x:v>Q-09</x:v>
      </x:c>
      <x:c r="C15" s="8" t="str">
        <x:v>energy</x:v>
      </x:c>
      <x:c r="D15" s="9" t="str">
        <x:v>isolate pack and preserve load history</x:v>
      </x:c>
      <x:c r="E15" s="8" t="str">
        <x:v>energy board</x:v>
      </x:c>
      <x:c r="F15" s="9" t="str">
        <x:v>electrical branch</x:v>
      </x:c>
    </x:row>
    <x:row r="16" ht="42" customHeight="1">
      <x:c r="B16" s="8" t="str">
        <x:v>Q-10</x:v>
      </x:c>
      <x:c r="C16" s="8" t="str">
        <x:v>evidence or time</x:v>
      </x:c>
      <x:c r="D16" s="9" t="str">
        <x:v>seal all local originals and clocks</x:v>
      </x:c>
      <x:c r="E16" s="8" t="str">
        <x:v>evidence authority</x:v>
      </x:c>
      <x:c r="F16" s="9" t="str">
        <x:v>causal branch</x:v>
      </x:c>
    </x:row>
    <x:row r="17" ht="42" customHeight="1">
      <x:c r="B17" s="8" t="str">
        <x:v>Q-11</x:v>
      </x:c>
      <x:c r="C17" s="8" t="str">
        <x:v>unauthorized change</x:v>
      </x:c>
      <x:c r="D17" s="9" t="str">
        <x:v>freeze object and drawing ancestry</x:v>
      </x:c>
      <x:c r="E17" s="8" t="str">
        <x:v>configuration board</x:v>
      </x:c>
      <x:c r="F17" s="9" t="str">
        <x:v>new baseline</x:v>
      </x:c>
    </x:row>
    <x:row r="18" ht="42" customHeight="1">
      <x:c r="B18" s="8" t="str">
        <x:v>Q-12</x:v>
      </x:c>
      <x:c r="C18" s="8" t="str">
        <x:v>personnel or environmental safety</x:v>
      </x:c>
      <x:c r="D18" s="9" t="str">
        <x:v>safe site and preserve boundary evidence</x:v>
      </x:c>
      <x:c r="E18" s="8" t="str">
        <x:v>safety authority</x:v>
      </x:c>
      <x:c r="F18" s="9" t="str">
        <x:v>hazard branch</x:v>
      </x:c>
    </x:row>
  </x:sheetData>
  <x:pageMargins left="0.7" right="0.7" top="0.75" bottom="0.75" header="0.3" footer="0.3"/>
</x:worksheet>
</file>

<file path=xl/worksheets/sheet32.xml><?xml version="1.0" encoding="utf-8"?>
<x:worksheet xmlns:x="http://schemas.openxmlformats.org/spreadsheetml/2006/main">
  <x:sheetViews>
    <x:sheetView showGridLines="0" workbookViewId="0">
      <x:pane xSplit="2" ySplit="6" topLeftCell="C7" activePane="bottomRight" state="frozen"/>
    </x:sheetView>
  </x:sheetViews>
  <x:sheetFormatPr defaultRowHeight="15"/>
  <x:cols>
    <x:col min="2" max="2" width="24" hidden="0" customWidth="1"/>
    <x:col min="3" max="3" width="14" hidden="0" customWidth="1"/>
    <x:col min="4" max="4" width="13" hidden="0" customWidth="1"/>
    <x:col min="5" max="5" width="20" hidden="0" customWidth="1"/>
    <x:col min="6" max="6" width="14" hidden="0" customWidth="1"/>
    <x:col min="7" max="7" width="42" hidden="0" customWidth="1"/>
    <x:col min="8" max="8" width="25" hidden="0" customWidth="1"/>
    <x:col min="9" max="9" width="14" hidden="0" customWidth="1"/>
  </x:cols>
  <x:sheetData>
    <x:row r="2">
      <x:c r="B2" s="44" t="str">
        <x:v>Ninety-six precommitted destructive zones</x:v>
      </x:c>
      <x:c r="C2" s="45"/>
      <x:c r="D2" s="45"/>
      <x:c r="E2" s="45"/>
      <x:c r="F2" s="45"/>
      <x:c r="G2" s="45"/>
      <x:c r="H2" s="45"/>
      <x:c r="I2" s="45"/>
    </x:row>
    <x:row r="3">
      <x:c r="B3" s="46" t="str">
        <x:v>Cut locations are frozen before integrated results. Investigators cannot select favorable regions.</x:v>
      </x:c>
      <x:c r="C3" s="45"/>
      <x:c r="D3" s="45"/>
      <x:c r="E3" s="45"/>
      <x:c r="F3" s="45"/>
      <x:c r="G3" s="45"/>
      <x:c r="H3" s="45"/>
      <x:c r="I3" s="45"/>
    </x:row>
    <x:row r="4">
      <x:c r="B4" s="45"/>
      <x:c r="C4" s="45"/>
      <x:c r="D4" s="45"/>
      <x:c r="E4" s="45"/>
      <x:c r="F4" s="45"/>
      <x:c r="G4" s="45"/>
      <x:c r="H4" s="45"/>
      <x:c r="I4" s="45"/>
    </x:row>
    <x:row r="5">
      <x:c r="B5" s="45"/>
      <x:c r="C5" s="45"/>
      <x:c r="D5" s="45"/>
      <x:c r="E5" s="45"/>
      <x:c r="F5" s="45"/>
      <x:c r="G5" s="45"/>
      <x:c r="H5" s="45"/>
      <x:c r="I5" s="45"/>
    </x:row>
    <x:row r="6" ht="25" customHeight="1">
      <x:c r="B6" s="6" t="str">
        <x:v>Zone</x:v>
      </x:c>
      <x:c r="C6" s="6" t="str">
        <x:v>Article</x:v>
      </x:c>
      <x:c r="D6" s="6" t="str">
        <x:v>Lineage</x:v>
      </x:c>
      <x:c r="E6" s="6" t="str">
        <x:v>Class</x:v>
      </x:c>
      <x:c r="F6" s="6" t="str">
        <x:v>Position</x:v>
      </x:c>
      <x:c r="G6" s="6" t="str">
        <x:v>Required examination</x:v>
      </x:c>
      <x:c r="H6" s="6" t="str">
        <x:v>Release condition</x:v>
      </x:c>
      <x:c r="I6" s="6" t="str">
        <x:v>State</x:v>
      </x:c>
    </x:row>
    <x:row r="7" ht="31" customHeight="1">
      <x:c r="B7" s="8" t="str">
        <x:v>DA-X1-DZ-J1</x:v>
      </x:c>
      <x:c r="C7" s="8" t="str">
        <x:v>DA-X1</x:v>
      </x:c>
      <x:c r="D7" s="8" t="str">
        <x:v>BL-X</x:v>
      </x:c>
      <x:c r="E7" s="8" t="str">
        <x:v>joint</x:v>
      </x:c>
      <x:c r="F7" s="8" t="n">
        <x:v>1</x:v>
      </x:c>
      <x:c r="G7" s="9" t="str">
        <x:v>radial section and adjacent surface</x:v>
      </x:c>
      <x:c r="H7" s="8" t="str">
        <x:v>after all intact trials</x:v>
      </x:c>
      <x:c r="I7" s="8" t="str">
        <x:v>OPEN</x:v>
      </x:c>
    </x:row>
    <x:row r="8" ht="31" customHeight="1">
      <x:c r="B8" s="8" t="str">
        <x:v>DA-X1-DZ-J2</x:v>
      </x:c>
      <x:c r="C8" s="8" t="str">
        <x:v>DA-X1</x:v>
      </x:c>
      <x:c r="D8" s="8" t="str">
        <x:v>BL-X</x:v>
      </x:c>
      <x:c r="E8" s="8" t="str">
        <x:v>joint</x:v>
      </x:c>
      <x:c r="F8" s="8" t="n">
        <x:v>2</x:v>
      </x:c>
      <x:c r="G8" s="9" t="str">
        <x:v>radial section and adjacent surface</x:v>
      </x:c>
      <x:c r="H8" s="8" t="str">
        <x:v>after all intact trials</x:v>
      </x:c>
      <x:c r="I8" s="8" t="str">
        <x:v>OPEN</x:v>
      </x:c>
    </x:row>
    <x:row r="9" ht="31" customHeight="1">
      <x:c r="B9" s="8" t="str">
        <x:v>DA-X1-DZ-J3</x:v>
      </x:c>
      <x:c r="C9" s="8" t="str">
        <x:v>DA-X1</x:v>
      </x:c>
      <x:c r="D9" s="8" t="str">
        <x:v>BL-X</x:v>
      </x:c>
      <x:c r="E9" s="8" t="str">
        <x:v>joint</x:v>
      </x:c>
      <x:c r="F9" s="8" t="n">
        <x:v>3</x:v>
      </x:c>
      <x:c r="G9" s="9" t="str">
        <x:v>radial section and adjacent surface</x:v>
      </x:c>
      <x:c r="H9" s="8" t="str">
        <x:v>after all intact trials</x:v>
      </x:c>
      <x:c r="I9" s="8" t="str">
        <x:v>OPEN</x:v>
      </x:c>
    </x:row>
    <x:row r="10" ht="31" customHeight="1">
      <x:c r="B10" s="8" t="str">
        <x:v>DA-X1-DZ-J4</x:v>
      </x:c>
      <x:c r="C10" s="8" t="str">
        <x:v>DA-X1</x:v>
      </x:c>
      <x:c r="D10" s="8" t="str">
        <x:v>BL-X</x:v>
      </x:c>
      <x:c r="E10" s="8" t="str">
        <x:v>joint</x:v>
      </x:c>
      <x:c r="F10" s="8" t="n">
        <x:v>4</x:v>
      </x:c>
      <x:c r="G10" s="9" t="str">
        <x:v>radial section and adjacent surface</x:v>
      </x:c>
      <x:c r="H10" s="8" t="str">
        <x:v>after all intact trials</x:v>
      </x:c>
      <x:c r="I10" s="8" t="str">
        <x:v>OPEN</x:v>
      </x:c>
    </x:row>
    <x:row r="11" ht="31" customHeight="1">
      <x:c r="B11" s="8" t="str">
        <x:v>DA-X1-DZ-J5</x:v>
      </x:c>
      <x:c r="C11" s="8" t="str">
        <x:v>DA-X1</x:v>
      </x:c>
      <x:c r="D11" s="8" t="str">
        <x:v>BL-X</x:v>
      </x:c>
      <x:c r="E11" s="8" t="str">
        <x:v>joint</x:v>
      </x:c>
      <x:c r="F11" s="8" t="n">
        <x:v>5</x:v>
      </x:c>
      <x:c r="G11" s="9" t="str">
        <x:v>radial section and adjacent surface</x:v>
      </x:c>
      <x:c r="H11" s="8" t="str">
        <x:v>after all intact trials</x:v>
      </x:c>
      <x:c r="I11" s="8" t="str">
        <x:v>OPEN</x:v>
      </x:c>
    </x:row>
    <x:row r="12" ht="31" customHeight="1">
      <x:c r="B12" s="8" t="str">
        <x:v>DA-X1-DZ-S1</x:v>
      </x:c>
      <x:c r="C12" s="8" t="str">
        <x:v>DA-X1</x:v>
      </x:c>
      <x:c r="D12" s="8" t="str">
        <x:v>BL-X</x:v>
      </x:c>
      <x:c r="E12" s="8" t="str">
        <x:v>segment bore</x:v>
      </x:c>
      <x:c r="F12" s="8" t="n">
        <x:v>1</x:v>
      </x:c>
      <x:c r="G12" s="9" t="str">
        <x:v>surface, wall and retained film</x:v>
      </x:c>
      <x:c r="H12" s="8" t="str">
        <x:v>after drain trial</x:v>
      </x:c>
      <x:c r="I12" s="8" t="str">
        <x:v>OPEN</x:v>
      </x:c>
    </x:row>
    <x:row r="13" ht="31" customHeight="1">
      <x:c r="B13" s="8" t="str">
        <x:v>DA-X1-DZ-S2</x:v>
      </x:c>
      <x:c r="C13" s="8" t="str">
        <x:v>DA-X1</x:v>
      </x:c>
      <x:c r="D13" s="8" t="str">
        <x:v>BL-X</x:v>
      </x:c>
      <x:c r="E13" s="8" t="str">
        <x:v>segment bore</x:v>
      </x:c>
      <x:c r="F13" s="8" t="n">
        <x:v>2</x:v>
      </x:c>
      <x:c r="G13" s="9" t="str">
        <x:v>surface, wall and retained film</x:v>
      </x:c>
      <x:c r="H13" s="8" t="str">
        <x:v>after drain trial</x:v>
      </x:c>
      <x:c r="I13" s="8" t="str">
        <x:v>OPEN</x:v>
      </x:c>
    </x:row>
    <x:row r="14" ht="31" customHeight="1">
      <x:c r="B14" s="8" t="str">
        <x:v>DA-X1-DZ-S3</x:v>
      </x:c>
      <x:c r="C14" s="8" t="str">
        <x:v>DA-X1</x:v>
      </x:c>
      <x:c r="D14" s="8" t="str">
        <x:v>BL-X</x:v>
      </x:c>
      <x:c r="E14" s="8" t="str">
        <x:v>segment bore</x:v>
      </x:c>
      <x:c r="F14" s="8" t="n">
        <x:v>3</x:v>
      </x:c>
      <x:c r="G14" s="9" t="str">
        <x:v>surface, wall and retained film</x:v>
      </x:c>
      <x:c r="H14" s="8" t="str">
        <x:v>after drain trial</x:v>
      </x:c>
      <x:c r="I14" s="8" t="str">
        <x:v>OPEN</x:v>
      </x:c>
    </x:row>
    <x:row r="15" ht="31" customHeight="1">
      <x:c r="B15" s="8" t="str">
        <x:v>DA-X1-DZ-S4</x:v>
      </x:c>
      <x:c r="C15" s="8" t="str">
        <x:v>DA-X1</x:v>
      </x:c>
      <x:c r="D15" s="8" t="str">
        <x:v>BL-X</x:v>
      </x:c>
      <x:c r="E15" s="8" t="str">
        <x:v>segment bore</x:v>
      </x:c>
      <x:c r="F15" s="8" t="n">
        <x:v>4</x:v>
      </x:c>
      <x:c r="G15" s="9" t="str">
        <x:v>surface, wall and retained film</x:v>
      </x:c>
      <x:c r="H15" s="8" t="str">
        <x:v>after drain trial</x:v>
      </x:c>
      <x:c r="I15" s="8" t="str">
        <x:v>OPEN</x:v>
      </x:c>
    </x:row>
    <x:row r="16" ht="31" customHeight="1">
      <x:c r="B16" s="8" t="str">
        <x:v>DA-X1-DZ-S5</x:v>
      </x:c>
      <x:c r="C16" s="8" t="str">
        <x:v>DA-X1</x:v>
      </x:c>
      <x:c r="D16" s="8" t="str">
        <x:v>BL-X</x:v>
      </x:c>
      <x:c r="E16" s="8" t="str">
        <x:v>segment bore</x:v>
      </x:c>
      <x:c r="F16" s="8" t="n">
        <x:v>5</x:v>
      </x:c>
      <x:c r="G16" s="9" t="str">
        <x:v>surface, wall and retained film</x:v>
      </x:c>
      <x:c r="H16" s="8" t="str">
        <x:v>after drain trial</x:v>
      </x:c>
      <x:c r="I16" s="8" t="str">
        <x:v>OPEN</x:v>
      </x:c>
    </x:row>
    <x:row r="17" ht="31" customHeight="1">
      <x:c r="B17" s="8" t="str">
        <x:v>DA-X1-DZ-S6</x:v>
      </x:c>
      <x:c r="C17" s="8" t="str">
        <x:v>DA-X1</x:v>
      </x:c>
      <x:c r="D17" s="8" t="str">
        <x:v>BL-X</x:v>
      </x:c>
      <x:c r="E17" s="8" t="str">
        <x:v>segment bore</x:v>
      </x:c>
      <x:c r="F17" s="8" t="n">
        <x:v>6</x:v>
      </x:c>
      <x:c r="G17" s="9" t="str">
        <x:v>surface, wall and retained film</x:v>
      </x:c>
      <x:c r="H17" s="8" t="str">
        <x:v>after drain trial</x:v>
      </x:c>
      <x:c r="I17" s="8" t="str">
        <x:v>OPEN</x:v>
      </x:c>
    </x:row>
    <x:row r="18" ht="31" customHeight="1">
      <x:c r="B18" s="8" t="str">
        <x:v>DA-X1-DZ-E1</x:v>
      </x:c>
      <x:c r="C18" s="8" t="str">
        <x:v>DA-X1</x:v>
      </x:c>
      <x:c r="D18" s="8" t="str">
        <x:v>BL-X</x:v>
      </x:c>
      <x:c r="E18" s="8" t="str">
        <x:v>final element</x:v>
      </x:c>
      <x:c r="F18" s="8" t="n">
        <x:v>1</x:v>
      </x:c>
      <x:c r="G18" s="9" t="str">
        <x:v>seat, spindle, spring and witness</x:v>
      </x:c>
      <x:c r="H18" s="8" t="str">
        <x:v>after safeing trials</x:v>
      </x:c>
      <x:c r="I18" s="8" t="str">
        <x:v>OPEN</x:v>
      </x:c>
    </x:row>
    <x:row r="19" ht="31" customHeight="1">
      <x:c r="B19" s="8" t="str">
        <x:v>DA-X1-DZ-E2</x:v>
      </x:c>
      <x:c r="C19" s="8" t="str">
        <x:v>DA-X1</x:v>
      </x:c>
      <x:c r="D19" s="8" t="str">
        <x:v>BL-X</x:v>
      </x:c>
      <x:c r="E19" s="8" t="str">
        <x:v>final element</x:v>
      </x:c>
      <x:c r="F19" s="8" t="n">
        <x:v>2</x:v>
      </x:c>
      <x:c r="G19" s="9" t="str">
        <x:v>seat, spindle, spring and witness</x:v>
      </x:c>
      <x:c r="H19" s="8" t="str">
        <x:v>after safeing trials</x:v>
      </x:c>
      <x:c r="I19" s="8" t="str">
        <x:v>OPEN</x:v>
      </x:c>
    </x:row>
    <x:row r="20" ht="31" customHeight="1">
      <x:c r="B20" s="8" t="str">
        <x:v>DA-X1-DZ-E3</x:v>
      </x:c>
      <x:c r="C20" s="8" t="str">
        <x:v>DA-X1</x:v>
      </x:c>
      <x:c r="D20" s="8" t="str">
        <x:v>BL-X</x:v>
      </x:c>
      <x:c r="E20" s="8" t="str">
        <x:v>final element</x:v>
      </x:c>
      <x:c r="F20" s="8" t="n">
        <x:v>3</x:v>
      </x:c>
      <x:c r="G20" s="9" t="str">
        <x:v>seat, spindle, spring and witness</x:v>
      </x:c>
      <x:c r="H20" s="8" t="str">
        <x:v>after safeing trials</x:v>
      </x:c>
      <x:c r="I20" s="8" t="str">
        <x:v>OPEN</x:v>
      </x:c>
    </x:row>
    <x:row r="21" ht="31" customHeight="1">
      <x:c r="B21" s="8" t="str">
        <x:v>DA-X1-DZ-E4</x:v>
      </x:c>
      <x:c r="C21" s="8" t="str">
        <x:v>DA-X1</x:v>
      </x:c>
      <x:c r="D21" s="8" t="str">
        <x:v>BL-X</x:v>
      </x:c>
      <x:c r="E21" s="8" t="str">
        <x:v>final element</x:v>
      </x:c>
      <x:c r="F21" s="8" t="n">
        <x:v>4</x:v>
      </x:c>
      <x:c r="G21" s="9" t="str">
        <x:v>seat, spindle, spring and witness</x:v>
      </x:c>
      <x:c r="H21" s="8" t="str">
        <x:v>after safeing trials</x:v>
      </x:c>
      <x:c r="I21" s="8" t="str">
        <x:v>OPEN</x:v>
      </x:c>
    </x:row>
    <x:row r="22" ht="31" customHeight="1">
      <x:c r="B22" s="8" t="str">
        <x:v>DA-X1-DZ-E5</x:v>
      </x:c>
      <x:c r="C22" s="8" t="str">
        <x:v>DA-X1</x:v>
      </x:c>
      <x:c r="D22" s="8" t="str">
        <x:v>BL-X</x:v>
      </x:c>
      <x:c r="E22" s="8" t="str">
        <x:v>final element</x:v>
      </x:c>
      <x:c r="F22" s="8" t="n">
        <x:v>5</x:v>
      </x:c>
      <x:c r="G22" s="9" t="str">
        <x:v>seat, spindle, spring and witness</x:v>
      </x:c>
      <x:c r="H22" s="8" t="str">
        <x:v>after safeing trials</x:v>
      </x:c>
      <x:c r="I22" s="8" t="str">
        <x:v>OPEN</x:v>
      </x:c>
    </x:row>
    <x:row r="23" ht="31" customHeight="1">
      <x:c r="B23" s="8" t="str">
        <x:v>DA-X1-DZ-E6</x:v>
      </x:c>
      <x:c r="C23" s="8" t="str">
        <x:v>DA-X1</x:v>
      </x:c>
      <x:c r="D23" s="8" t="str">
        <x:v>BL-X</x:v>
      </x:c>
      <x:c r="E23" s="8" t="str">
        <x:v>final element</x:v>
      </x:c>
      <x:c r="F23" s="8" t="n">
        <x:v>6</x:v>
      </x:c>
      <x:c r="G23" s="9" t="str">
        <x:v>seat, spindle, spring and witness</x:v>
      </x:c>
      <x:c r="H23" s="8" t="str">
        <x:v>after safeing trials</x:v>
      </x:c>
      <x:c r="I23" s="8" t="str">
        <x:v>OPEN</x:v>
      </x:c>
    </x:row>
    <x:row r="24" ht="31" customHeight="1">
      <x:c r="B24" s="8" t="str">
        <x:v>DA-X1-DZ-E7</x:v>
      </x:c>
      <x:c r="C24" s="8" t="str">
        <x:v>DA-X1</x:v>
      </x:c>
      <x:c r="D24" s="8" t="str">
        <x:v>BL-X</x:v>
      </x:c>
      <x:c r="E24" s="8" t="str">
        <x:v>final element</x:v>
      </x:c>
      <x:c r="F24" s="8" t="n">
        <x:v>7</x:v>
      </x:c>
      <x:c r="G24" s="9" t="str">
        <x:v>seat, spindle, spring and witness</x:v>
      </x:c>
      <x:c r="H24" s="8" t="str">
        <x:v>after safeing trials</x:v>
      </x:c>
      <x:c r="I24" s="8" t="str">
        <x:v>OPEN</x:v>
      </x:c>
    </x:row>
    <x:row r="25" ht="31" customHeight="1">
      <x:c r="B25" s="8" t="str">
        <x:v>DA-X1-DZ-E8</x:v>
      </x:c>
      <x:c r="C25" s="8" t="str">
        <x:v>DA-X1</x:v>
      </x:c>
      <x:c r="D25" s="8" t="str">
        <x:v>BL-X</x:v>
      </x:c>
      <x:c r="E25" s="8" t="str">
        <x:v>final element</x:v>
      </x:c>
      <x:c r="F25" s="8" t="n">
        <x:v>8</x:v>
      </x:c>
      <x:c r="G25" s="9" t="str">
        <x:v>seat, spindle, spring and witness</x:v>
      </x:c>
      <x:c r="H25" s="8" t="str">
        <x:v>after safeing trials</x:v>
      </x:c>
      <x:c r="I25" s="8" t="str">
        <x:v>OPEN</x:v>
      </x:c>
    </x:row>
    <x:row r="26" ht="31" customHeight="1">
      <x:c r="B26" s="8" t="str">
        <x:v>DA-X1-DZ-E9</x:v>
      </x:c>
      <x:c r="C26" s="8" t="str">
        <x:v>DA-X1</x:v>
      </x:c>
      <x:c r="D26" s="8" t="str">
        <x:v>BL-X</x:v>
      </x:c>
      <x:c r="E26" s="8" t="str">
        <x:v>final element</x:v>
      </x:c>
      <x:c r="F26" s="8" t="n">
        <x:v>9</x:v>
      </x:c>
      <x:c r="G26" s="9" t="str">
        <x:v>seat, spindle, spring and witness</x:v>
      </x:c>
      <x:c r="H26" s="8" t="str">
        <x:v>after safeing trials</x:v>
      </x:c>
      <x:c r="I26" s="8" t="str">
        <x:v>OPEN</x:v>
      </x:c>
    </x:row>
    <x:row r="27" ht="31" customHeight="1">
      <x:c r="B27" s="8" t="str">
        <x:v>DA-X1-DZ-E10</x:v>
      </x:c>
      <x:c r="C27" s="8" t="str">
        <x:v>DA-X1</x:v>
      </x:c>
      <x:c r="D27" s="8" t="str">
        <x:v>BL-X</x:v>
      </x:c>
      <x:c r="E27" s="8" t="str">
        <x:v>final element</x:v>
      </x:c>
      <x:c r="F27" s="8" t="n">
        <x:v>10</x:v>
      </x:c>
      <x:c r="G27" s="9" t="str">
        <x:v>seat, spindle, spring and witness</x:v>
      </x:c>
      <x:c r="H27" s="8" t="str">
        <x:v>after safeing trials</x:v>
      </x:c>
      <x:c r="I27" s="8" t="str">
        <x:v>OPEN</x:v>
      </x:c>
    </x:row>
    <x:row r="28" ht="31" customHeight="1">
      <x:c r="B28" s="8" t="str">
        <x:v>DA-X1-DZ-E11</x:v>
      </x:c>
      <x:c r="C28" s="8" t="str">
        <x:v>DA-X1</x:v>
      </x:c>
      <x:c r="D28" s="8" t="str">
        <x:v>BL-X</x:v>
      </x:c>
      <x:c r="E28" s="8" t="str">
        <x:v>final element</x:v>
      </x:c>
      <x:c r="F28" s="8" t="n">
        <x:v>11</x:v>
      </x:c>
      <x:c r="G28" s="9" t="str">
        <x:v>seat, spindle, spring and witness</x:v>
      </x:c>
      <x:c r="H28" s="8" t="str">
        <x:v>after safeing trials</x:v>
      </x:c>
      <x:c r="I28" s="8" t="str">
        <x:v>OPEN</x:v>
      </x:c>
    </x:row>
    <x:row r="29" ht="31" customHeight="1">
      <x:c r="B29" s="8" t="str">
        <x:v>DA-X1-DZ-E12</x:v>
      </x:c>
      <x:c r="C29" s="8" t="str">
        <x:v>DA-X1</x:v>
      </x:c>
      <x:c r="D29" s="8" t="str">
        <x:v>BL-X</x:v>
      </x:c>
      <x:c r="E29" s="8" t="str">
        <x:v>final element</x:v>
      </x:c>
      <x:c r="F29" s="8" t="n">
        <x:v>12</x:v>
      </x:c>
      <x:c r="G29" s="9" t="str">
        <x:v>seat, spindle, spring and witness</x:v>
      </x:c>
      <x:c r="H29" s="8" t="str">
        <x:v>after safeing trials</x:v>
      </x:c>
      <x:c r="I29" s="8" t="str">
        <x:v>OPEN</x:v>
      </x:c>
    </x:row>
    <x:row r="30" ht="31" customHeight="1">
      <x:c r="B30" s="8" t="str">
        <x:v>DA-X1-DZ-M1</x:v>
      </x:c>
      <x:c r="C30" s="8" t="str">
        <x:v>DA-X1</x:v>
      </x:c>
      <x:c r="D30" s="8" t="str">
        <x:v>BL-X</x:v>
      </x:c>
      <x:c r="E30" s="8" t="str">
        <x:v>instrument mount</x:v>
      </x:c>
      <x:c r="F30" s="8" t="n">
        <x:v>1</x:v>
      </x:c>
      <x:c r="G30" s="9" t="str">
        <x:v>boss, insertion and cable boundary</x:v>
      </x:c>
      <x:c r="H30" s="8" t="str">
        <x:v>after evidence release</x:v>
      </x:c>
      <x:c r="I30" s="8" t="str">
        <x:v>OPEN</x:v>
      </x:c>
    </x:row>
    <x:row r="31" ht="31" customHeight="1">
      <x:c r="B31" s="8" t="str">
        <x:v>DA-X1-DZ-M2</x:v>
      </x:c>
      <x:c r="C31" s="8" t="str">
        <x:v>DA-X1</x:v>
      </x:c>
      <x:c r="D31" s="8" t="str">
        <x:v>BL-X</x:v>
      </x:c>
      <x:c r="E31" s="8" t="str">
        <x:v>instrument mount</x:v>
      </x:c>
      <x:c r="F31" s="8" t="n">
        <x:v>2</x:v>
      </x:c>
      <x:c r="G31" s="9" t="str">
        <x:v>boss, insertion and cable boundary</x:v>
      </x:c>
      <x:c r="H31" s="8" t="str">
        <x:v>after evidence release</x:v>
      </x:c>
      <x:c r="I31" s="8" t="str">
        <x:v>OPEN</x:v>
      </x:c>
    </x:row>
    <x:row r="32" ht="31" customHeight="1">
      <x:c r="B32" s="8" t="str">
        <x:v>DA-X1-DZ-M3</x:v>
      </x:c>
      <x:c r="C32" s="8" t="str">
        <x:v>DA-X1</x:v>
      </x:c>
      <x:c r="D32" s="8" t="str">
        <x:v>BL-X</x:v>
      </x:c>
      <x:c r="E32" s="8" t="str">
        <x:v>instrument mount</x:v>
      </x:c>
      <x:c r="F32" s="8" t="n">
        <x:v>3</x:v>
      </x:c>
      <x:c r="G32" s="9" t="str">
        <x:v>boss, insertion and cable boundary</x:v>
      </x:c>
      <x:c r="H32" s="8" t="str">
        <x:v>after evidence release</x:v>
      </x:c>
      <x:c r="I32" s="8" t="str">
        <x:v>OPEN</x:v>
      </x:c>
    </x:row>
    <x:row r="33" ht="31" customHeight="1">
      <x:c r="B33" s="8" t="str">
        <x:v>DA-X1-DZ-M4</x:v>
      </x:c>
      <x:c r="C33" s="8" t="str">
        <x:v>DA-X1</x:v>
      </x:c>
      <x:c r="D33" s="8" t="str">
        <x:v>BL-X</x:v>
      </x:c>
      <x:c r="E33" s="8" t="str">
        <x:v>instrument mount</x:v>
      </x:c>
      <x:c r="F33" s="8" t="n">
        <x:v>4</x:v>
      </x:c>
      <x:c r="G33" s="9" t="str">
        <x:v>boss, insertion and cable boundary</x:v>
      </x:c>
      <x:c r="H33" s="8" t="str">
        <x:v>after evidence release</x:v>
      </x:c>
      <x:c r="I33" s="8" t="str">
        <x:v>OPEN</x:v>
      </x:c>
    </x:row>
    <x:row r="34" ht="31" customHeight="1">
      <x:c r="B34" s="8" t="str">
        <x:v>DA-X1-DZ-M5</x:v>
      </x:c>
      <x:c r="C34" s="8" t="str">
        <x:v>DA-X1</x:v>
      </x:c>
      <x:c r="D34" s="8" t="str">
        <x:v>BL-X</x:v>
      </x:c>
      <x:c r="E34" s="8" t="str">
        <x:v>instrument mount</x:v>
      </x:c>
      <x:c r="F34" s="8" t="n">
        <x:v>5</x:v>
      </x:c>
      <x:c r="G34" s="9" t="str">
        <x:v>boss, insertion and cable boundary</x:v>
      </x:c>
      <x:c r="H34" s="8" t="str">
        <x:v>after evidence release</x:v>
      </x:c>
      <x:c r="I34" s="8" t="str">
        <x:v>OPEN</x:v>
      </x:c>
    </x:row>
    <x:row r="35" ht="31" customHeight="1">
      <x:c r="B35" s="8" t="str">
        <x:v>DA-X1-DZ-M6</x:v>
      </x:c>
      <x:c r="C35" s="8" t="str">
        <x:v>DA-X1</x:v>
      </x:c>
      <x:c r="D35" s="8" t="str">
        <x:v>BL-X</x:v>
      </x:c>
      <x:c r="E35" s="8" t="str">
        <x:v>instrument mount</x:v>
      </x:c>
      <x:c r="F35" s="8" t="n">
        <x:v>6</x:v>
      </x:c>
      <x:c r="G35" s="9" t="str">
        <x:v>boss, insertion and cable boundary</x:v>
      </x:c>
      <x:c r="H35" s="8" t="str">
        <x:v>after evidence release</x:v>
      </x:c>
      <x:c r="I35" s="8" t="str">
        <x:v>OPEN</x:v>
      </x:c>
    </x:row>
    <x:row r="36" ht="31" customHeight="1">
      <x:c r="B36" s="8" t="str">
        <x:v>DA-X1-DZ-M7</x:v>
      </x:c>
      <x:c r="C36" s="8" t="str">
        <x:v>DA-X1</x:v>
      </x:c>
      <x:c r="D36" s="8" t="str">
        <x:v>BL-X</x:v>
      </x:c>
      <x:c r="E36" s="8" t="str">
        <x:v>instrument mount</x:v>
      </x:c>
      <x:c r="F36" s="8" t="n">
        <x:v>7</x:v>
      </x:c>
      <x:c r="G36" s="9" t="str">
        <x:v>boss, insertion and cable boundary</x:v>
      </x:c>
      <x:c r="H36" s="8" t="str">
        <x:v>after evidence release</x:v>
      </x:c>
      <x:c r="I36" s="8" t="str">
        <x:v>OPEN</x:v>
      </x:c>
    </x:row>
    <x:row r="37" ht="31" customHeight="1">
      <x:c r="B37" s="8" t="str">
        <x:v>DA-X1-DZ-M8</x:v>
      </x:c>
      <x:c r="C37" s="8" t="str">
        <x:v>DA-X1</x:v>
      </x:c>
      <x:c r="D37" s="8" t="str">
        <x:v>BL-X</x:v>
      </x:c>
      <x:c r="E37" s="8" t="str">
        <x:v>instrument mount</x:v>
      </x:c>
      <x:c r="F37" s="8" t="n">
        <x:v>8</x:v>
      </x:c>
      <x:c r="G37" s="9" t="str">
        <x:v>boss, insertion and cable boundary</x:v>
      </x:c>
      <x:c r="H37" s="8" t="str">
        <x:v>after evidence release</x:v>
      </x:c>
      <x:c r="I37" s="8" t="str">
        <x:v>OPEN</x:v>
      </x:c>
    </x:row>
    <x:row r="38" ht="31" customHeight="1">
      <x:c r="B38" s="8" t="str">
        <x:v>DA-X1-DZ-M9</x:v>
      </x:c>
      <x:c r="C38" s="8" t="str">
        <x:v>DA-X1</x:v>
      </x:c>
      <x:c r="D38" s="8" t="str">
        <x:v>BL-X</x:v>
      </x:c>
      <x:c r="E38" s="8" t="str">
        <x:v>instrument mount</x:v>
      </x:c>
      <x:c r="F38" s="8" t="n">
        <x:v>9</x:v>
      </x:c>
      <x:c r="G38" s="9" t="str">
        <x:v>boss, insertion and cable boundary</x:v>
      </x:c>
      <x:c r="H38" s="8" t="str">
        <x:v>after evidence release</x:v>
      </x:c>
      <x:c r="I38" s="8" t="str">
        <x:v>OPEN</x:v>
      </x:c>
    </x:row>
    <x:row r="39" ht="31" customHeight="1">
      <x:c r="B39" s="8" t="str">
        <x:v>DA-X1-DZ-M10</x:v>
      </x:c>
      <x:c r="C39" s="8" t="str">
        <x:v>DA-X1</x:v>
      </x:c>
      <x:c r="D39" s="8" t="str">
        <x:v>BL-X</x:v>
      </x:c>
      <x:c r="E39" s="8" t="str">
        <x:v>instrument mount</x:v>
      </x:c>
      <x:c r="F39" s="8" t="n">
        <x:v>10</x:v>
      </x:c>
      <x:c r="G39" s="9" t="str">
        <x:v>boss, insertion and cable boundary</x:v>
      </x:c>
      <x:c r="H39" s="8" t="str">
        <x:v>after evidence release</x:v>
      </x:c>
      <x:c r="I39" s="8" t="str">
        <x:v>OPEN</x:v>
      </x:c>
    </x:row>
    <x:row r="40" ht="31" customHeight="1">
      <x:c r="B40" s="8" t="str">
        <x:v>DA-X1-DZ-M11</x:v>
      </x:c>
      <x:c r="C40" s="8" t="str">
        <x:v>DA-X1</x:v>
      </x:c>
      <x:c r="D40" s="8" t="str">
        <x:v>BL-X</x:v>
      </x:c>
      <x:c r="E40" s="8" t="str">
        <x:v>instrument mount</x:v>
      </x:c>
      <x:c r="F40" s="8" t="n">
        <x:v>11</x:v>
      </x:c>
      <x:c r="G40" s="9" t="str">
        <x:v>boss, insertion and cable boundary</x:v>
      </x:c>
      <x:c r="H40" s="8" t="str">
        <x:v>after evidence release</x:v>
      </x:c>
      <x:c r="I40" s="8" t="str">
        <x:v>OPEN</x:v>
      </x:c>
    </x:row>
    <x:row r="41" ht="31" customHeight="1">
      <x:c r="B41" s="8" t="str">
        <x:v>DA-X1-DZ-M12</x:v>
      </x:c>
      <x:c r="C41" s="8" t="str">
        <x:v>DA-X1</x:v>
      </x:c>
      <x:c r="D41" s="8" t="str">
        <x:v>BL-X</x:v>
      </x:c>
      <x:c r="E41" s="8" t="str">
        <x:v>instrument mount</x:v>
      </x:c>
      <x:c r="F41" s="8" t="n">
        <x:v>12</x:v>
      </x:c>
      <x:c r="G41" s="9" t="str">
        <x:v>boss, insertion and cable boundary</x:v>
      </x:c>
      <x:c r="H41" s="8" t="str">
        <x:v>after evidence release</x:v>
      </x:c>
      <x:c r="I41" s="8" t="str">
        <x:v>OPEN</x:v>
      </x:c>
    </x:row>
    <x:row r="42" ht="31" customHeight="1">
      <x:c r="B42" s="8" t="str">
        <x:v>DA-X1-DZ-P1</x:v>
      </x:c>
      <x:c r="C42" s="8" t="str">
        <x:v>DA-X1</x:v>
      </x:c>
      <x:c r="D42" s="8" t="str">
        <x:v>BL-X</x:v>
      </x:c>
      <x:c r="E42" s="8" t="str">
        <x:v>support contact</x:v>
      </x:c>
      <x:c r="F42" s="8" t="n">
        <x:v>1</x:v>
      </x:c>
      <x:c r="G42" s="9" t="str">
        <x:v>saddle, slide and datum witness</x:v>
      </x:c>
      <x:c r="H42" s="8" t="str">
        <x:v>after thermal trials</x:v>
      </x:c>
      <x:c r="I42" s="8" t="str">
        <x:v>OPEN</x:v>
      </x:c>
    </x:row>
    <x:row r="43" ht="31" customHeight="1">
      <x:c r="B43" s="8" t="str">
        <x:v>DA-X1-DZ-P2</x:v>
      </x:c>
      <x:c r="C43" s="8" t="str">
        <x:v>DA-X1</x:v>
      </x:c>
      <x:c r="D43" s="8" t="str">
        <x:v>BL-X</x:v>
      </x:c>
      <x:c r="E43" s="8" t="str">
        <x:v>support contact</x:v>
      </x:c>
      <x:c r="F43" s="8" t="n">
        <x:v>2</x:v>
      </x:c>
      <x:c r="G43" s="9" t="str">
        <x:v>saddle, slide and datum witness</x:v>
      </x:c>
      <x:c r="H43" s="8" t="str">
        <x:v>after thermal trials</x:v>
      </x:c>
      <x:c r="I43" s="8" t="str">
        <x:v>OPEN</x:v>
      </x:c>
    </x:row>
    <x:row r="44" ht="31" customHeight="1">
      <x:c r="B44" s="8" t="str">
        <x:v>DA-X1-DZ-P3</x:v>
      </x:c>
      <x:c r="C44" s="8" t="str">
        <x:v>DA-X1</x:v>
      </x:c>
      <x:c r="D44" s="8" t="str">
        <x:v>BL-X</x:v>
      </x:c>
      <x:c r="E44" s="8" t="str">
        <x:v>support contact</x:v>
      </x:c>
      <x:c r="F44" s="8" t="n">
        <x:v>3</x:v>
      </x:c>
      <x:c r="G44" s="9" t="str">
        <x:v>saddle, slide and datum witness</x:v>
      </x:c>
      <x:c r="H44" s="8" t="str">
        <x:v>after thermal trials</x:v>
      </x:c>
      <x:c r="I44" s="8" t="str">
        <x:v>OPEN</x:v>
      </x:c>
    </x:row>
    <x:row r="45" ht="31" customHeight="1">
      <x:c r="B45" s="8" t="str">
        <x:v>DA-X1-DZ-P4</x:v>
      </x:c>
      <x:c r="C45" s="8" t="str">
        <x:v>DA-X1</x:v>
      </x:c>
      <x:c r="D45" s="8" t="str">
        <x:v>BL-X</x:v>
      </x:c>
      <x:c r="E45" s="8" t="str">
        <x:v>support contact</x:v>
      </x:c>
      <x:c r="F45" s="8" t="n">
        <x:v>4</x:v>
      </x:c>
      <x:c r="G45" s="9" t="str">
        <x:v>saddle, slide and datum witness</x:v>
      </x:c>
      <x:c r="H45" s="8" t="str">
        <x:v>after thermal trials</x:v>
      </x:c>
      <x:c r="I45" s="8" t="str">
        <x:v>OPEN</x:v>
      </x:c>
    </x:row>
    <x:row r="46" ht="31" customHeight="1">
      <x:c r="B46" s="8" t="str">
        <x:v>DA-X1-DZ-P5</x:v>
      </x:c>
      <x:c r="C46" s="8" t="str">
        <x:v>DA-X1</x:v>
      </x:c>
      <x:c r="D46" s="8" t="str">
        <x:v>BL-X</x:v>
      </x:c>
      <x:c r="E46" s="8" t="str">
        <x:v>support contact</x:v>
      </x:c>
      <x:c r="F46" s="8" t="n">
        <x:v>5</x:v>
      </x:c>
      <x:c r="G46" s="9" t="str">
        <x:v>saddle, slide and datum witness</x:v>
      </x:c>
      <x:c r="H46" s="8" t="str">
        <x:v>after thermal trials</x:v>
      </x:c>
      <x:c r="I46" s="8" t="str">
        <x:v>OPEN</x:v>
      </x:c>
    </x:row>
    <x:row r="47" ht="31" customHeight="1">
      <x:c r="B47" s="8" t="str">
        <x:v>DA-X1-DZ-P6</x:v>
      </x:c>
      <x:c r="C47" s="8" t="str">
        <x:v>DA-X1</x:v>
      </x:c>
      <x:c r="D47" s="8" t="str">
        <x:v>BL-X</x:v>
      </x:c>
      <x:c r="E47" s="8" t="str">
        <x:v>support contact</x:v>
      </x:c>
      <x:c r="F47" s="8" t="n">
        <x:v>6</x:v>
      </x:c>
      <x:c r="G47" s="9" t="str">
        <x:v>saddle, slide and datum witness</x:v>
      </x:c>
      <x:c r="H47" s="8" t="str">
        <x:v>after thermal trials</x:v>
      </x:c>
      <x:c r="I47" s="8" t="str">
        <x:v>OPEN</x:v>
      </x:c>
    </x:row>
    <x:row r="48" ht="31" customHeight="1">
      <x:c r="B48" s="8" t="str">
        <x:v>DA-X1-DZ-V1</x:v>
      </x:c>
      <x:c r="C48" s="8" t="str">
        <x:v>DA-X1</x:v>
      </x:c>
      <x:c r="D48" s="8" t="str">
        <x:v>BL-X</x:v>
      </x:c>
      <x:c r="E48" s="8" t="str">
        <x:v>port or drain</x:v>
      </x:c>
      <x:c r="F48" s="8" t="n">
        <x:v>1</x:v>
      </x:c>
      <x:c r="G48" s="9" t="str">
        <x:v>deadleg, slope and trapped inventory</x:v>
      </x:c>
      <x:c r="H48" s="8" t="str">
        <x:v>after recovery trials</x:v>
      </x:c>
      <x:c r="I48" s="8" t="str">
        <x:v>OPEN</x:v>
      </x:c>
    </x:row>
    <x:row r="49" ht="31" customHeight="1">
      <x:c r="B49" s="8" t="str">
        <x:v>DA-X1-DZ-V2</x:v>
      </x:c>
      <x:c r="C49" s="8" t="str">
        <x:v>DA-X1</x:v>
      </x:c>
      <x:c r="D49" s="8" t="str">
        <x:v>BL-X</x:v>
      </x:c>
      <x:c r="E49" s="8" t="str">
        <x:v>port or drain</x:v>
      </x:c>
      <x:c r="F49" s="8" t="n">
        <x:v>2</x:v>
      </x:c>
      <x:c r="G49" s="9" t="str">
        <x:v>deadleg, slope and trapped inventory</x:v>
      </x:c>
      <x:c r="H49" s="8" t="str">
        <x:v>after recovery trials</x:v>
      </x:c>
      <x:c r="I49" s="8" t="str">
        <x:v>OPEN</x:v>
      </x:c>
    </x:row>
    <x:row r="50" ht="31" customHeight="1">
      <x:c r="B50" s="8" t="str">
        <x:v>DA-X1-DZ-V3</x:v>
      </x:c>
      <x:c r="C50" s="8" t="str">
        <x:v>DA-X1</x:v>
      </x:c>
      <x:c r="D50" s="8" t="str">
        <x:v>BL-X</x:v>
      </x:c>
      <x:c r="E50" s="8" t="str">
        <x:v>port or drain</x:v>
      </x:c>
      <x:c r="F50" s="8" t="n">
        <x:v>3</x:v>
      </x:c>
      <x:c r="G50" s="9" t="str">
        <x:v>deadleg, slope and trapped inventory</x:v>
      </x:c>
      <x:c r="H50" s="8" t="str">
        <x:v>after recovery trials</x:v>
      </x:c>
      <x:c r="I50" s="8" t="str">
        <x:v>OPEN</x:v>
      </x:c>
    </x:row>
    <x:row r="51" ht="31" customHeight="1">
      <x:c r="B51" s="8" t="str">
        <x:v>DA-X1-DZ-V4</x:v>
      </x:c>
      <x:c r="C51" s="8" t="str">
        <x:v>DA-X1</x:v>
      </x:c>
      <x:c r="D51" s="8" t="str">
        <x:v>BL-X</x:v>
      </x:c>
      <x:c r="E51" s="8" t="str">
        <x:v>port or drain</x:v>
      </x:c>
      <x:c r="F51" s="8" t="n">
        <x:v>4</x:v>
      </x:c>
      <x:c r="G51" s="9" t="str">
        <x:v>deadleg, slope and trapped inventory</x:v>
      </x:c>
      <x:c r="H51" s="8" t="str">
        <x:v>after recovery trials</x:v>
      </x:c>
      <x:c r="I51" s="8" t="str">
        <x:v>OPEN</x:v>
      </x:c>
    </x:row>
    <x:row r="52" ht="31" customHeight="1">
      <x:c r="B52" s="8" t="str">
        <x:v>DA-X1-DZ-V5</x:v>
      </x:c>
      <x:c r="C52" s="8" t="str">
        <x:v>DA-X1</x:v>
      </x:c>
      <x:c r="D52" s="8" t="str">
        <x:v>BL-X</x:v>
      </x:c>
      <x:c r="E52" s="8" t="str">
        <x:v>port or drain</x:v>
      </x:c>
      <x:c r="F52" s="8" t="n">
        <x:v>5</x:v>
      </x:c>
      <x:c r="G52" s="9" t="str">
        <x:v>deadleg, slope and trapped inventory</x:v>
      </x:c>
      <x:c r="H52" s="8" t="str">
        <x:v>after recovery trials</x:v>
      </x:c>
      <x:c r="I52" s="8" t="str">
        <x:v>OPEN</x:v>
      </x:c>
    </x:row>
    <x:row r="53" ht="31" customHeight="1">
      <x:c r="B53" s="8" t="str">
        <x:v>DA-X1-DZ-V6</x:v>
      </x:c>
      <x:c r="C53" s="8" t="str">
        <x:v>DA-X1</x:v>
      </x:c>
      <x:c r="D53" s="8" t="str">
        <x:v>BL-X</x:v>
      </x:c>
      <x:c r="E53" s="8" t="str">
        <x:v>port or drain</x:v>
      </x:c>
      <x:c r="F53" s="8" t="n">
        <x:v>6</x:v>
      </x:c>
      <x:c r="G53" s="9" t="str">
        <x:v>deadleg, slope and trapped inventory</x:v>
      </x:c>
      <x:c r="H53" s="8" t="str">
        <x:v>after recovery trials</x:v>
      </x:c>
      <x:c r="I53" s="8" t="str">
        <x:v>OPEN</x:v>
      </x:c>
    </x:row>
    <x:row r="54" ht="31" customHeight="1">
      <x:c r="B54" s="8" t="str">
        <x:v>DA-X1-DZ-V7</x:v>
      </x:c>
      <x:c r="C54" s="8" t="str">
        <x:v>DA-X1</x:v>
      </x:c>
      <x:c r="D54" s="8" t="str">
        <x:v>BL-X</x:v>
      </x:c>
      <x:c r="E54" s="8" t="str">
        <x:v>port or drain</x:v>
      </x:c>
      <x:c r="F54" s="8" t="n">
        <x:v>7</x:v>
      </x:c>
      <x:c r="G54" s="9" t="str">
        <x:v>deadleg, slope and trapped inventory</x:v>
      </x:c>
      <x:c r="H54" s="8" t="str">
        <x:v>after recovery trials</x:v>
      </x:c>
      <x:c r="I54" s="8" t="str">
        <x:v>OPEN</x:v>
      </x:c>
    </x:row>
    <x:row r="55" ht="31" customHeight="1">
      <x:c r="B55" s="8" t="str">
        <x:v>DA-Y1-DZ-J1</x:v>
      </x:c>
      <x:c r="C55" s="8" t="str">
        <x:v>DA-Y1</x:v>
      </x:c>
      <x:c r="D55" s="8" t="str">
        <x:v>BL-Y</x:v>
      </x:c>
      <x:c r="E55" s="8" t="str">
        <x:v>joint</x:v>
      </x:c>
      <x:c r="F55" s="8" t="n">
        <x:v>1</x:v>
      </x:c>
      <x:c r="G55" s="9" t="str">
        <x:v>radial section and adjacent surface</x:v>
      </x:c>
      <x:c r="H55" s="8" t="str">
        <x:v>after all intact trials</x:v>
      </x:c>
      <x:c r="I55" s="8" t="str">
        <x:v>OPEN</x:v>
      </x:c>
    </x:row>
    <x:row r="56" ht="31" customHeight="1">
      <x:c r="B56" s="8" t="str">
        <x:v>DA-Y1-DZ-J2</x:v>
      </x:c>
      <x:c r="C56" s="8" t="str">
        <x:v>DA-Y1</x:v>
      </x:c>
      <x:c r="D56" s="8" t="str">
        <x:v>BL-Y</x:v>
      </x:c>
      <x:c r="E56" s="8" t="str">
        <x:v>joint</x:v>
      </x:c>
      <x:c r="F56" s="8" t="n">
        <x:v>2</x:v>
      </x:c>
      <x:c r="G56" s="9" t="str">
        <x:v>radial section and adjacent surface</x:v>
      </x:c>
      <x:c r="H56" s="8" t="str">
        <x:v>after all intact trials</x:v>
      </x:c>
      <x:c r="I56" s="8" t="str">
        <x:v>OPEN</x:v>
      </x:c>
    </x:row>
    <x:row r="57" ht="31" customHeight="1">
      <x:c r="B57" s="8" t="str">
        <x:v>DA-Y1-DZ-J3</x:v>
      </x:c>
      <x:c r="C57" s="8" t="str">
        <x:v>DA-Y1</x:v>
      </x:c>
      <x:c r="D57" s="8" t="str">
        <x:v>BL-Y</x:v>
      </x:c>
      <x:c r="E57" s="8" t="str">
        <x:v>joint</x:v>
      </x:c>
      <x:c r="F57" s="8" t="n">
        <x:v>3</x:v>
      </x:c>
      <x:c r="G57" s="9" t="str">
        <x:v>radial section and adjacent surface</x:v>
      </x:c>
      <x:c r="H57" s="8" t="str">
        <x:v>after all intact trials</x:v>
      </x:c>
      <x:c r="I57" s="8" t="str">
        <x:v>OPEN</x:v>
      </x:c>
    </x:row>
    <x:row r="58" ht="31" customHeight="1">
      <x:c r="B58" s="8" t="str">
        <x:v>DA-Y1-DZ-J4</x:v>
      </x:c>
      <x:c r="C58" s="8" t="str">
        <x:v>DA-Y1</x:v>
      </x:c>
      <x:c r="D58" s="8" t="str">
        <x:v>BL-Y</x:v>
      </x:c>
      <x:c r="E58" s="8" t="str">
        <x:v>joint</x:v>
      </x:c>
      <x:c r="F58" s="8" t="n">
        <x:v>4</x:v>
      </x:c>
      <x:c r="G58" s="9" t="str">
        <x:v>radial section and adjacent surface</x:v>
      </x:c>
      <x:c r="H58" s="8" t="str">
        <x:v>after all intact trials</x:v>
      </x:c>
      <x:c r="I58" s="8" t="str">
        <x:v>OPEN</x:v>
      </x:c>
    </x:row>
    <x:row r="59" ht="31" customHeight="1">
      <x:c r="B59" s="8" t="str">
        <x:v>DA-Y1-DZ-J5</x:v>
      </x:c>
      <x:c r="C59" s="8" t="str">
        <x:v>DA-Y1</x:v>
      </x:c>
      <x:c r="D59" s="8" t="str">
        <x:v>BL-Y</x:v>
      </x:c>
      <x:c r="E59" s="8" t="str">
        <x:v>joint</x:v>
      </x:c>
      <x:c r="F59" s="8" t="n">
        <x:v>5</x:v>
      </x:c>
      <x:c r="G59" s="9" t="str">
        <x:v>radial section and adjacent surface</x:v>
      </x:c>
      <x:c r="H59" s="8" t="str">
        <x:v>after all intact trials</x:v>
      </x:c>
      <x:c r="I59" s="8" t="str">
        <x:v>OPEN</x:v>
      </x:c>
    </x:row>
    <x:row r="60" ht="31" customHeight="1">
      <x:c r="B60" s="8" t="str">
        <x:v>DA-Y1-DZ-S1</x:v>
      </x:c>
      <x:c r="C60" s="8" t="str">
        <x:v>DA-Y1</x:v>
      </x:c>
      <x:c r="D60" s="8" t="str">
        <x:v>BL-Y</x:v>
      </x:c>
      <x:c r="E60" s="8" t="str">
        <x:v>segment bore</x:v>
      </x:c>
      <x:c r="F60" s="8" t="n">
        <x:v>1</x:v>
      </x:c>
      <x:c r="G60" s="9" t="str">
        <x:v>surface, wall and retained film</x:v>
      </x:c>
      <x:c r="H60" s="8" t="str">
        <x:v>after drain trial</x:v>
      </x:c>
      <x:c r="I60" s="8" t="str">
        <x:v>OPEN</x:v>
      </x:c>
    </x:row>
    <x:row r="61" ht="31" customHeight="1">
      <x:c r="B61" s="8" t="str">
        <x:v>DA-Y1-DZ-S2</x:v>
      </x:c>
      <x:c r="C61" s="8" t="str">
        <x:v>DA-Y1</x:v>
      </x:c>
      <x:c r="D61" s="8" t="str">
        <x:v>BL-Y</x:v>
      </x:c>
      <x:c r="E61" s="8" t="str">
        <x:v>segment bore</x:v>
      </x:c>
      <x:c r="F61" s="8" t="n">
        <x:v>2</x:v>
      </x:c>
      <x:c r="G61" s="9" t="str">
        <x:v>surface, wall and retained film</x:v>
      </x:c>
      <x:c r="H61" s="8" t="str">
        <x:v>after drain trial</x:v>
      </x:c>
      <x:c r="I61" s="8" t="str">
        <x:v>OPEN</x:v>
      </x:c>
    </x:row>
    <x:row r="62" ht="31" customHeight="1">
      <x:c r="B62" s="8" t="str">
        <x:v>DA-Y1-DZ-S3</x:v>
      </x:c>
      <x:c r="C62" s="8" t="str">
        <x:v>DA-Y1</x:v>
      </x:c>
      <x:c r="D62" s="8" t="str">
        <x:v>BL-Y</x:v>
      </x:c>
      <x:c r="E62" s="8" t="str">
        <x:v>segment bore</x:v>
      </x:c>
      <x:c r="F62" s="8" t="n">
        <x:v>3</x:v>
      </x:c>
      <x:c r="G62" s="9" t="str">
        <x:v>surface, wall and retained film</x:v>
      </x:c>
      <x:c r="H62" s="8" t="str">
        <x:v>after drain trial</x:v>
      </x:c>
      <x:c r="I62" s="8" t="str">
        <x:v>OPEN</x:v>
      </x:c>
    </x:row>
    <x:row r="63" ht="31" customHeight="1">
      <x:c r="B63" s="8" t="str">
        <x:v>DA-Y1-DZ-S4</x:v>
      </x:c>
      <x:c r="C63" s="8" t="str">
        <x:v>DA-Y1</x:v>
      </x:c>
      <x:c r="D63" s="8" t="str">
        <x:v>BL-Y</x:v>
      </x:c>
      <x:c r="E63" s="8" t="str">
        <x:v>segment bore</x:v>
      </x:c>
      <x:c r="F63" s="8" t="n">
        <x:v>4</x:v>
      </x:c>
      <x:c r="G63" s="9" t="str">
        <x:v>surface, wall and retained film</x:v>
      </x:c>
      <x:c r="H63" s="8" t="str">
        <x:v>after drain trial</x:v>
      </x:c>
      <x:c r="I63" s="8" t="str">
        <x:v>OPEN</x:v>
      </x:c>
    </x:row>
    <x:row r="64" ht="31" customHeight="1">
      <x:c r="B64" s="8" t="str">
        <x:v>DA-Y1-DZ-S5</x:v>
      </x:c>
      <x:c r="C64" s="8" t="str">
        <x:v>DA-Y1</x:v>
      </x:c>
      <x:c r="D64" s="8" t="str">
        <x:v>BL-Y</x:v>
      </x:c>
      <x:c r="E64" s="8" t="str">
        <x:v>segment bore</x:v>
      </x:c>
      <x:c r="F64" s="8" t="n">
        <x:v>5</x:v>
      </x:c>
      <x:c r="G64" s="9" t="str">
        <x:v>surface, wall and retained film</x:v>
      </x:c>
      <x:c r="H64" s="8" t="str">
        <x:v>after drain trial</x:v>
      </x:c>
      <x:c r="I64" s="8" t="str">
        <x:v>OPEN</x:v>
      </x:c>
    </x:row>
    <x:row r="65" ht="31" customHeight="1">
      <x:c r="B65" s="8" t="str">
        <x:v>DA-Y1-DZ-S6</x:v>
      </x:c>
      <x:c r="C65" s="8" t="str">
        <x:v>DA-Y1</x:v>
      </x:c>
      <x:c r="D65" s="8" t="str">
        <x:v>BL-Y</x:v>
      </x:c>
      <x:c r="E65" s="8" t="str">
        <x:v>segment bore</x:v>
      </x:c>
      <x:c r="F65" s="8" t="n">
        <x:v>6</x:v>
      </x:c>
      <x:c r="G65" s="9" t="str">
        <x:v>surface, wall and retained film</x:v>
      </x:c>
      <x:c r="H65" s="8" t="str">
        <x:v>after drain trial</x:v>
      </x:c>
      <x:c r="I65" s="8" t="str">
        <x:v>OPEN</x:v>
      </x:c>
    </x:row>
    <x:row r="66" ht="31" customHeight="1">
      <x:c r="B66" s="8" t="str">
        <x:v>DA-Y1-DZ-E1</x:v>
      </x:c>
      <x:c r="C66" s="8" t="str">
        <x:v>DA-Y1</x:v>
      </x:c>
      <x:c r="D66" s="8" t="str">
        <x:v>BL-Y</x:v>
      </x:c>
      <x:c r="E66" s="8" t="str">
        <x:v>final element</x:v>
      </x:c>
      <x:c r="F66" s="8" t="n">
        <x:v>1</x:v>
      </x:c>
      <x:c r="G66" s="9" t="str">
        <x:v>seat, spindle, spring and witness</x:v>
      </x:c>
      <x:c r="H66" s="8" t="str">
        <x:v>after safeing trials</x:v>
      </x:c>
      <x:c r="I66" s="8" t="str">
        <x:v>OPEN</x:v>
      </x:c>
    </x:row>
    <x:row r="67" ht="31" customHeight="1">
      <x:c r="B67" s="8" t="str">
        <x:v>DA-Y1-DZ-E2</x:v>
      </x:c>
      <x:c r="C67" s="8" t="str">
        <x:v>DA-Y1</x:v>
      </x:c>
      <x:c r="D67" s="8" t="str">
        <x:v>BL-Y</x:v>
      </x:c>
      <x:c r="E67" s="8" t="str">
        <x:v>final element</x:v>
      </x:c>
      <x:c r="F67" s="8" t="n">
        <x:v>2</x:v>
      </x:c>
      <x:c r="G67" s="9" t="str">
        <x:v>seat, spindle, spring and witness</x:v>
      </x:c>
      <x:c r="H67" s="8" t="str">
        <x:v>after safeing trials</x:v>
      </x:c>
      <x:c r="I67" s="8" t="str">
        <x:v>OPEN</x:v>
      </x:c>
    </x:row>
    <x:row r="68" ht="31" customHeight="1">
      <x:c r="B68" s="8" t="str">
        <x:v>DA-Y1-DZ-E3</x:v>
      </x:c>
      <x:c r="C68" s="8" t="str">
        <x:v>DA-Y1</x:v>
      </x:c>
      <x:c r="D68" s="8" t="str">
        <x:v>BL-Y</x:v>
      </x:c>
      <x:c r="E68" s="8" t="str">
        <x:v>final element</x:v>
      </x:c>
      <x:c r="F68" s="8" t="n">
        <x:v>3</x:v>
      </x:c>
      <x:c r="G68" s="9" t="str">
        <x:v>seat, spindle, spring and witness</x:v>
      </x:c>
      <x:c r="H68" s="8" t="str">
        <x:v>after safeing trials</x:v>
      </x:c>
      <x:c r="I68" s="8" t="str">
        <x:v>OPEN</x:v>
      </x:c>
    </x:row>
    <x:row r="69" ht="31" customHeight="1">
      <x:c r="B69" s="8" t="str">
        <x:v>DA-Y1-DZ-E4</x:v>
      </x:c>
      <x:c r="C69" s="8" t="str">
        <x:v>DA-Y1</x:v>
      </x:c>
      <x:c r="D69" s="8" t="str">
        <x:v>BL-Y</x:v>
      </x:c>
      <x:c r="E69" s="8" t="str">
        <x:v>final element</x:v>
      </x:c>
      <x:c r="F69" s="8" t="n">
        <x:v>4</x:v>
      </x:c>
      <x:c r="G69" s="9" t="str">
        <x:v>seat, spindle, spring and witness</x:v>
      </x:c>
      <x:c r="H69" s="8" t="str">
        <x:v>after safeing trials</x:v>
      </x:c>
      <x:c r="I69" s="8" t="str">
        <x:v>OPEN</x:v>
      </x:c>
    </x:row>
    <x:row r="70" ht="31" customHeight="1">
      <x:c r="B70" s="8" t="str">
        <x:v>DA-Y1-DZ-E5</x:v>
      </x:c>
      <x:c r="C70" s="8" t="str">
        <x:v>DA-Y1</x:v>
      </x:c>
      <x:c r="D70" s="8" t="str">
        <x:v>BL-Y</x:v>
      </x:c>
      <x:c r="E70" s="8" t="str">
        <x:v>final element</x:v>
      </x:c>
      <x:c r="F70" s="8" t="n">
        <x:v>5</x:v>
      </x:c>
      <x:c r="G70" s="9" t="str">
        <x:v>seat, spindle, spring and witness</x:v>
      </x:c>
      <x:c r="H70" s="8" t="str">
        <x:v>after safeing trials</x:v>
      </x:c>
      <x:c r="I70" s="8" t="str">
        <x:v>OPEN</x:v>
      </x:c>
    </x:row>
    <x:row r="71" ht="31" customHeight="1">
      <x:c r="B71" s="8" t="str">
        <x:v>DA-Y1-DZ-E6</x:v>
      </x:c>
      <x:c r="C71" s="8" t="str">
        <x:v>DA-Y1</x:v>
      </x:c>
      <x:c r="D71" s="8" t="str">
        <x:v>BL-Y</x:v>
      </x:c>
      <x:c r="E71" s="8" t="str">
        <x:v>final element</x:v>
      </x:c>
      <x:c r="F71" s="8" t="n">
        <x:v>6</x:v>
      </x:c>
      <x:c r="G71" s="9" t="str">
        <x:v>seat, spindle, spring and witness</x:v>
      </x:c>
      <x:c r="H71" s="8" t="str">
        <x:v>after safeing trials</x:v>
      </x:c>
      <x:c r="I71" s="8" t="str">
        <x:v>OPEN</x:v>
      </x:c>
    </x:row>
    <x:row r="72" ht="31" customHeight="1">
      <x:c r="B72" s="8" t="str">
        <x:v>DA-Y1-DZ-E7</x:v>
      </x:c>
      <x:c r="C72" s="8" t="str">
        <x:v>DA-Y1</x:v>
      </x:c>
      <x:c r="D72" s="8" t="str">
        <x:v>BL-Y</x:v>
      </x:c>
      <x:c r="E72" s="8" t="str">
        <x:v>final element</x:v>
      </x:c>
      <x:c r="F72" s="8" t="n">
        <x:v>7</x:v>
      </x:c>
      <x:c r="G72" s="9" t="str">
        <x:v>seat, spindle, spring and witness</x:v>
      </x:c>
      <x:c r="H72" s="8" t="str">
        <x:v>after safeing trials</x:v>
      </x:c>
      <x:c r="I72" s="8" t="str">
        <x:v>OPEN</x:v>
      </x:c>
    </x:row>
    <x:row r="73" ht="31" customHeight="1">
      <x:c r="B73" s="8" t="str">
        <x:v>DA-Y1-DZ-E8</x:v>
      </x:c>
      <x:c r="C73" s="8" t="str">
        <x:v>DA-Y1</x:v>
      </x:c>
      <x:c r="D73" s="8" t="str">
        <x:v>BL-Y</x:v>
      </x:c>
      <x:c r="E73" s="8" t="str">
        <x:v>final element</x:v>
      </x:c>
      <x:c r="F73" s="8" t="n">
        <x:v>8</x:v>
      </x:c>
      <x:c r="G73" s="9" t="str">
        <x:v>seat, spindle, spring and witness</x:v>
      </x:c>
      <x:c r="H73" s="8" t="str">
        <x:v>after safeing trials</x:v>
      </x:c>
      <x:c r="I73" s="8" t="str">
        <x:v>OPEN</x:v>
      </x:c>
    </x:row>
    <x:row r="74" ht="31" customHeight="1">
      <x:c r="B74" s="8" t="str">
        <x:v>DA-Y1-DZ-E9</x:v>
      </x:c>
      <x:c r="C74" s="8" t="str">
        <x:v>DA-Y1</x:v>
      </x:c>
      <x:c r="D74" s="8" t="str">
        <x:v>BL-Y</x:v>
      </x:c>
      <x:c r="E74" s="8" t="str">
        <x:v>final element</x:v>
      </x:c>
      <x:c r="F74" s="8" t="n">
        <x:v>9</x:v>
      </x:c>
      <x:c r="G74" s="9" t="str">
        <x:v>seat, spindle, spring and witness</x:v>
      </x:c>
      <x:c r="H74" s="8" t="str">
        <x:v>after safeing trials</x:v>
      </x:c>
      <x:c r="I74" s="8" t="str">
        <x:v>OPEN</x:v>
      </x:c>
    </x:row>
    <x:row r="75" ht="31" customHeight="1">
      <x:c r="B75" s="8" t="str">
        <x:v>DA-Y1-DZ-E10</x:v>
      </x:c>
      <x:c r="C75" s="8" t="str">
        <x:v>DA-Y1</x:v>
      </x:c>
      <x:c r="D75" s="8" t="str">
        <x:v>BL-Y</x:v>
      </x:c>
      <x:c r="E75" s="8" t="str">
        <x:v>final element</x:v>
      </x:c>
      <x:c r="F75" s="8" t="n">
        <x:v>10</x:v>
      </x:c>
      <x:c r="G75" s="9" t="str">
        <x:v>seat, spindle, spring and witness</x:v>
      </x:c>
      <x:c r="H75" s="8" t="str">
        <x:v>after safeing trials</x:v>
      </x:c>
      <x:c r="I75" s="8" t="str">
        <x:v>OPEN</x:v>
      </x:c>
    </x:row>
    <x:row r="76" ht="31" customHeight="1">
      <x:c r="B76" s="8" t="str">
        <x:v>DA-Y1-DZ-E11</x:v>
      </x:c>
      <x:c r="C76" s="8" t="str">
        <x:v>DA-Y1</x:v>
      </x:c>
      <x:c r="D76" s="8" t="str">
        <x:v>BL-Y</x:v>
      </x:c>
      <x:c r="E76" s="8" t="str">
        <x:v>final element</x:v>
      </x:c>
      <x:c r="F76" s="8" t="n">
        <x:v>11</x:v>
      </x:c>
      <x:c r="G76" s="9" t="str">
        <x:v>seat, spindle, spring and witness</x:v>
      </x:c>
      <x:c r="H76" s="8" t="str">
        <x:v>after safeing trials</x:v>
      </x:c>
      <x:c r="I76" s="8" t="str">
        <x:v>OPEN</x:v>
      </x:c>
    </x:row>
    <x:row r="77" ht="31" customHeight="1">
      <x:c r="B77" s="8" t="str">
        <x:v>DA-Y1-DZ-E12</x:v>
      </x:c>
      <x:c r="C77" s="8" t="str">
        <x:v>DA-Y1</x:v>
      </x:c>
      <x:c r="D77" s="8" t="str">
        <x:v>BL-Y</x:v>
      </x:c>
      <x:c r="E77" s="8" t="str">
        <x:v>final element</x:v>
      </x:c>
      <x:c r="F77" s="8" t="n">
        <x:v>12</x:v>
      </x:c>
      <x:c r="G77" s="9" t="str">
        <x:v>seat, spindle, spring and witness</x:v>
      </x:c>
      <x:c r="H77" s="8" t="str">
        <x:v>after safeing trials</x:v>
      </x:c>
      <x:c r="I77" s="8" t="str">
        <x:v>OPEN</x:v>
      </x:c>
    </x:row>
    <x:row r="78" ht="31" customHeight="1">
      <x:c r="B78" s="8" t="str">
        <x:v>DA-Y1-DZ-M1</x:v>
      </x:c>
      <x:c r="C78" s="8" t="str">
        <x:v>DA-Y1</x:v>
      </x:c>
      <x:c r="D78" s="8" t="str">
        <x:v>BL-Y</x:v>
      </x:c>
      <x:c r="E78" s="8" t="str">
        <x:v>instrument mount</x:v>
      </x:c>
      <x:c r="F78" s="8" t="n">
        <x:v>1</x:v>
      </x:c>
      <x:c r="G78" s="9" t="str">
        <x:v>boss, insertion and cable boundary</x:v>
      </x:c>
      <x:c r="H78" s="8" t="str">
        <x:v>after evidence release</x:v>
      </x:c>
      <x:c r="I78" s="8" t="str">
        <x:v>OPEN</x:v>
      </x:c>
    </x:row>
    <x:row r="79" ht="31" customHeight="1">
      <x:c r="B79" s="8" t="str">
        <x:v>DA-Y1-DZ-M2</x:v>
      </x:c>
      <x:c r="C79" s="8" t="str">
        <x:v>DA-Y1</x:v>
      </x:c>
      <x:c r="D79" s="8" t="str">
        <x:v>BL-Y</x:v>
      </x:c>
      <x:c r="E79" s="8" t="str">
        <x:v>instrument mount</x:v>
      </x:c>
      <x:c r="F79" s="8" t="n">
        <x:v>2</x:v>
      </x:c>
      <x:c r="G79" s="9" t="str">
        <x:v>boss, insertion and cable boundary</x:v>
      </x:c>
      <x:c r="H79" s="8" t="str">
        <x:v>after evidence release</x:v>
      </x:c>
      <x:c r="I79" s="8" t="str">
        <x:v>OPEN</x:v>
      </x:c>
    </x:row>
    <x:row r="80" ht="31" customHeight="1">
      <x:c r="B80" s="8" t="str">
        <x:v>DA-Y1-DZ-M3</x:v>
      </x:c>
      <x:c r="C80" s="8" t="str">
        <x:v>DA-Y1</x:v>
      </x:c>
      <x:c r="D80" s="8" t="str">
        <x:v>BL-Y</x:v>
      </x:c>
      <x:c r="E80" s="8" t="str">
        <x:v>instrument mount</x:v>
      </x:c>
      <x:c r="F80" s="8" t="n">
        <x:v>3</x:v>
      </x:c>
      <x:c r="G80" s="9" t="str">
        <x:v>boss, insertion and cable boundary</x:v>
      </x:c>
      <x:c r="H80" s="8" t="str">
        <x:v>after evidence release</x:v>
      </x:c>
      <x:c r="I80" s="8" t="str">
        <x:v>OPEN</x:v>
      </x:c>
    </x:row>
    <x:row r="81" ht="31" customHeight="1">
      <x:c r="B81" s="8" t="str">
        <x:v>DA-Y1-DZ-M4</x:v>
      </x:c>
      <x:c r="C81" s="8" t="str">
        <x:v>DA-Y1</x:v>
      </x:c>
      <x:c r="D81" s="8" t="str">
        <x:v>BL-Y</x:v>
      </x:c>
      <x:c r="E81" s="8" t="str">
        <x:v>instrument mount</x:v>
      </x:c>
      <x:c r="F81" s="8" t="n">
        <x:v>4</x:v>
      </x:c>
      <x:c r="G81" s="9" t="str">
        <x:v>boss, insertion and cable boundary</x:v>
      </x:c>
      <x:c r="H81" s="8" t="str">
        <x:v>after evidence release</x:v>
      </x:c>
      <x:c r="I81" s="8" t="str">
        <x:v>OPEN</x:v>
      </x:c>
    </x:row>
    <x:row r="82" ht="31" customHeight="1">
      <x:c r="B82" s="8" t="str">
        <x:v>DA-Y1-DZ-M5</x:v>
      </x:c>
      <x:c r="C82" s="8" t="str">
        <x:v>DA-Y1</x:v>
      </x:c>
      <x:c r="D82" s="8" t="str">
        <x:v>BL-Y</x:v>
      </x:c>
      <x:c r="E82" s="8" t="str">
        <x:v>instrument mount</x:v>
      </x:c>
      <x:c r="F82" s="8" t="n">
        <x:v>5</x:v>
      </x:c>
      <x:c r="G82" s="9" t="str">
        <x:v>boss, insertion and cable boundary</x:v>
      </x:c>
      <x:c r="H82" s="8" t="str">
        <x:v>after evidence release</x:v>
      </x:c>
      <x:c r="I82" s="8" t="str">
        <x:v>OPEN</x:v>
      </x:c>
    </x:row>
    <x:row r="83" ht="31" customHeight="1">
      <x:c r="B83" s="8" t="str">
        <x:v>DA-Y1-DZ-M6</x:v>
      </x:c>
      <x:c r="C83" s="8" t="str">
        <x:v>DA-Y1</x:v>
      </x:c>
      <x:c r="D83" s="8" t="str">
        <x:v>BL-Y</x:v>
      </x:c>
      <x:c r="E83" s="8" t="str">
        <x:v>instrument mount</x:v>
      </x:c>
      <x:c r="F83" s="8" t="n">
        <x:v>6</x:v>
      </x:c>
      <x:c r="G83" s="9" t="str">
        <x:v>boss, insertion and cable boundary</x:v>
      </x:c>
      <x:c r="H83" s="8" t="str">
        <x:v>after evidence release</x:v>
      </x:c>
      <x:c r="I83" s="8" t="str">
        <x:v>OPEN</x:v>
      </x:c>
    </x:row>
    <x:row r="84" ht="31" customHeight="1">
      <x:c r="B84" s="8" t="str">
        <x:v>DA-Y1-DZ-M7</x:v>
      </x:c>
      <x:c r="C84" s="8" t="str">
        <x:v>DA-Y1</x:v>
      </x:c>
      <x:c r="D84" s="8" t="str">
        <x:v>BL-Y</x:v>
      </x:c>
      <x:c r="E84" s="8" t="str">
        <x:v>instrument mount</x:v>
      </x:c>
      <x:c r="F84" s="8" t="n">
        <x:v>7</x:v>
      </x:c>
      <x:c r="G84" s="9" t="str">
        <x:v>boss, insertion and cable boundary</x:v>
      </x:c>
      <x:c r="H84" s="8" t="str">
        <x:v>after evidence release</x:v>
      </x:c>
      <x:c r="I84" s="8" t="str">
        <x:v>OPEN</x:v>
      </x:c>
    </x:row>
    <x:row r="85" ht="31" customHeight="1">
      <x:c r="B85" s="8" t="str">
        <x:v>DA-Y1-DZ-M8</x:v>
      </x:c>
      <x:c r="C85" s="8" t="str">
        <x:v>DA-Y1</x:v>
      </x:c>
      <x:c r="D85" s="8" t="str">
        <x:v>BL-Y</x:v>
      </x:c>
      <x:c r="E85" s="8" t="str">
        <x:v>instrument mount</x:v>
      </x:c>
      <x:c r="F85" s="8" t="n">
        <x:v>8</x:v>
      </x:c>
      <x:c r="G85" s="9" t="str">
        <x:v>boss, insertion and cable boundary</x:v>
      </x:c>
      <x:c r="H85" s="8" t="str">
        <x:v>after evidence release</x:v>
      </x:c>
      <x:c r="I85" s="8" t="str">
        <x:v>OPEN</x:v>
      </x:c>
    </x:row>
    <x:row r="86" ht="31" customHeight="1">
      <x:c r="B86" s="8" t="str">
        <x:v>DA-Y1-DZ-M9</x:v>
      </x:c>
      <x:c r="C86" s="8" t="str">
        <x:v>DA-Y1</x:v>
      </x:c>
      <x:c r="D86" s="8" t="str">
        <x:v>BL-Y</x:v>
      </x:c>
      <x:c r="E86" s="8" t="str">
        <x:v>instrument mount</x:v>
      </x:c>
      <x:c r="F86" s="8" t="n">
        <x:v>9</x:v>
      </x:c>
      <x:c r="G86" s="9" t="str">
        <x:v>boss, insertion and cable boundary</x:v>
      </x:c>
      <x:c r="H86" s="8" t="str">
        <x:v>after evidence release</x:v>
      </x:c>
      <x:c r="I86" s="8" t="str">
        <x:v>OPEN</x:v>
      </x:c>
    </x:row>
    <x:row r="87" ht="31" customHeight="1">
      <x:c r="B87" s="8" t="str">
        <x:v>DA-Y1-DZ-M10</x:v>
      </x:c>
      <x:c r="C87" s="8" t="str">
        <x:v>DA-Y1</x:v>
      </x:c>
      <x:c r="D87" s="8" t="str">
        <x:v>BL-Y</x:v>
      </x:c>
      <x:c r="E87" s="8" t="str">
        <x:v>instrument mount</x:v>
      </x:c>
      <x:c r="F87" s="8" t="n">
        <x:v>10</x:v>
      </x:c>
      <x:c r="G87" s="9" t="str">
        <x:v>boss, insertion and cable boundary</x:v>
      </x:c>
      <x:c r="H87" s="8" t="str">
        <x:v>after evidence release</x:v>
      </x:c>
      <x:c r="I87" s="8" t="str">
        <x:v>OPEN</x:v>
      </x:c>
    </x:row>
    <x:row r="88" ht="31" customHeight="1">
      <x:c r="B88" s="8" t="str">
        <x:v>DA-Y1-DZ-M11</x:v>
      </x:c>
      <x:c r="C88" s="8" t="str">
        <x:v>DA-Y1</x:v>
      </x:c>
      <x:c r="D88" s="8" t="str">
        <x:v>BL-Y</x:v>
      </x:c>
      <x:c r="E88" s="8" t="str">
        <x:v>instrument mount</x:v>
      </x:c>
      <x:c r="F88" s="8" t="n">
        <x:v>11</x:v>
      </x:c>
      <x:c r="G88" s="9" t="str">
        <x:v>boss, insertion and cable boundary</x:v>
      </x:c>
      <x:c r="H88" s="8" t="str">
        <x:v>after evidence release</x:v>
      </x:c>
      <x:c r="I88" s="8" t="str">
        <x:v>OPEN</x:v>
      </x:c>
    </x:row>
    <x:row r="89" ht="31" customHeight="1">
      <x:c r="B89" s="8" t="str">
        <x:v>DA-Y1-DZ-M12</x:v>
      </x:c>
      <x:c r="C89" s="8" t="str">
        <x:v>DA-Y1</x:v>
      </x:c>
      <x:c r="D89" s="8" t="str">
        <x:v>BL-Y</x:v>
      </x:c>
      <x:c r="E89" s="8" t="str">
        <x:v>instrument mount</x:v>
      </x:c>
      <x:c r="F89" s="8" t="n">
        <x:v>12</x:v>
      </x:c>
      <x:c r="G89" s="9" t="str">
        <x:v>boss, insertion and cable boundary</x:v>
      </x:c>
      <x:c r="H89" s="8" t="str">
        <x:v>after evidence release</x:v>
      </x:c>
      <x:c r="I89" s="8" t="str">
        <x:v>OPEN</x:v>
      </x:c>
    </x:row>
    <x:row r="90" ht="31" customHeight="1">
      <x:c r="B90" s="8" t="str">
        <x:v>DA-Y1-DZ-P1</x:v>
      </x:c>
      <x:c r="C90" s="8" t="str">
        <x:v>DA-Y1</x:v>
      </x:c>
      <x:c r="D90" s="8" t="str">
        <x:v>BL-Y</x:v>
      </x:c>
      <x:c r="E90" s="8" t="str">
        <x:v>support contact</x:v>
      </x:c>
      <x:c r="F90" s="8" t="n">
        <x:v>1</x:v>
      </x:c>
      <x:c r="G90" s="9" t="str">
        <x:v>saddle, slide and datum witness</x:v>
      </x:c>
      <x:c r="H90" s="8" t="str">
        <x:v>after thermal trials</x:v>
      </x:c>
      <x:c r="I90" s="8" t="str">
        <x:v>OPEN</x:v>
      </x:c>
    </x:row>
    <x:row r="91" ht="31" customHeight="1">
      <x:c r="B91" s="8" t="str">
        <x:v>DA-Y1-DZ-P2</x:v>
      </x:c>
      <x:c r="C91" s="8" t="str">
        <x:v>DA-Y1</x:v>
      </x:c>
      <x:c r="D91" s="8" t="str">
        <x:v>BL-Y</x:v>
      </x:c>
      <x:c r="E91" s="8" t="str">
        <x:v>support contact</x:v>
      </x:c>
      <x:c r="F91" s="8" t="n">
        <x:v>2</x:v>
      </x:c>
      <x:c r="G91" s="9" t="str">
        <x:v>saddle, slide and datum witness</x:v>
      </x:c>
      <x:c r="H91" s="8" t="str">
        <x:v>after thermal trials</x:v>
      </x:c>
      <x:c r="I91" s="8" t="str">
        <x:v>OPEN</x:v>
      </x:c>
    </x:row>
    <x:row r="92" ht="31" customHeight="1">
      <x:c r="B92" s="8" t="str">
        <x:v>DA-Y1-DZ-P3</x:v>
      </x:c>
      <x:c r="C92" s="8" t="str">
        <x:v>DA-Y1</x:v>
      </x:c>
      <x:c r="D92" s="8" t="str">
        <x:v>BL-Y</x:v>
      </x:c>
      <x:c r="E92" s="8" t="str">
        <x:v>support contact</x:v>
      </x:c>
      <x:c r="F92" s="8" t="n">
        <x:v>3</x:v>
      </x:c>
      <x:c r="G92" s="9" t="str">
        <x:v>saddle, slide and datum witness</x:v>
      </x:c>
      <x:c r="H92" s="8" t="str">
        <x:v>after thermal trials</x:v>
      </x:c>
      <x:c r="I92" s="8" t="str">
        <x:v>OPEN</x:v>
      </x:c>
    </x:row>
    <x:row r="93" ht="31" customHeight="1">
      <x:c r="B93" s="8" t="str">
        <x:v>DA-Y1-DZ-P4</x:v>
      </x:c>
      <x:c r="C93" s="8" t="str">
        <x:v>DA-Y1</x:v>
      </x:c>
      <x:c r="D93" s="8" t="str">
        <x:v>BL-Y</x:v>
      </x:c>
      <x:c r="E93" s="8" t="str">
        <x:v>support contact</x:v>
      </x:c>
      <x:c r="F93" s="8" t="n">
        <x:v>4</x:v>
      </x:c>
      <x:c r="G93" s="9" t="str">
        <x:v>saddle, slide and datum witness</x:v>
      </x:c>
      <x:c r="H93" s="8" t="str">
        <x:v>after thermal trials</x:v>
      </x:c>
      <x:c r="I93" s="8" t="str">
        <x:v>OPEN</x:v>
      </x:c>
    </x:row>
    <x:row r="94" ht="31" customHeight="1">
      <x:c r="B94" s="8" t="str">
        <x:v>DA-Y1-DZ-P5</x:v>
      </x:c>
      <x:c r="C94" s="8" t="str">
        <x:v>DA-Y1</x:v>
      </x:c>
      <x:c r="D94" s="8" t="str">
        <x:v>BL-Y</x:v>
      </x:c>
      <x:c r="E94" s="8" t="str">
        <x:v>support contact</x:v>
      </x:c>
      <x:c r="F94" s="8" t="n">
        <x:v>5</x:v>
      </x:c>
      <x:c r="G94" s="9" t="str">
        <x:v>saddle, slide and datum witness</x:v>
      </x:c>
      <x:c r="H94" s="8" t="str">
        <x:v>after thermal trials</x:v>
      </x:c>
      <x:c r="I94" s="8" t="str">
        <x:v>OPEN</x:v>
      </x:c>
    </x:row>
    <x:row r="95" ht="31" customHeight="1">
      <x:c r="B95" s="8" t="str">
        <x:v>DA-Y1-DZ-P6</x:v>
      </x:c>
      <x:c r="C95" s="8" t="str">
        <x:v>DA-Y1</x:v>
      </x:c>
      <x:c r="D95" s="8" t="str">
        <x:v>BL-Y</x:v>
      </x:c>
      <x:c r="E95" s="8" t="str">
        <x:v>support contact</x:v>
      </x:c>
      <x:c r="F95" s="8" t="n">
        <x:v>6</x:v>
      </x:c>
      <x:c r="G95" s="9" t="str">
        <x:v>saddle, slide and datum witness</x:v>
      </x:c>
      <x:c r="H95" s="8" t="str">
        <x:v>after thermal trials</x:v>
      </x:c>
      <x:c r="I95" s="8" t="str">
        <x:v>OPEN</x:v>
      </x:c>
    </x:row>
    <x:row r="96" ht="31" customHeight="1">
      <x:c r="B96" s="8" t="str">
        <x:v>DA-Y1-DZ-V1</x:v>
      </x:c>
      <x:c r="C96" s="8" t="str">
        <x:v>DA-Y1</x:v>
      </x:c>
      <x:c r="D96" s="8" t="str">
        <x:v>BL-Y</x:v>
      </x:c>
      <x:c r="E96" s="8" t="str">
        <x:v>port or drain</x:v>
      </x:c>
      <x:c r="F96" s="8" t="n">
        <x:v>1</x:v>
      </x:c>
      <x:c r="G96" s="9" t="str">
        <x:v>deadleg, slope and trapped inventory</x:v>
      </x:c>
      <x:c r="H96" s="8" t="str">
        <x:v>after recovery trials</x:v>
      </x:c>
      <x:c r="I96" s="8" t="str">
        <x:v>OPEN</x:v>
      </x:c>
    </x:row>
    <x:row r="97" ht="31" customHeight="1">
      <x:c r="B97" s="8" t="str">
        <x:v>DA-Y1-DZ-V2</x:v>
      </x:c>
      <x:c r="C97" s="8" t="str">
        <x:v>DA-Y1</x:v>
      </x:c>
      <x:c r="D97" s="8" t="str">
        <x:v>BL-Y</x:v>
      </x:c>
      <x:c r="E97" s="8" t="str">
        <x:v>port or drain</x:v>
      </x:c>
      <x:c r="F97" s="8" t="n">
        <x:v>2</x:v>
      </x:c>
      <x:c r="G97" s="9" t="str">
        <x:v>deadleg, slope and trapped inventory</x:v>
      </x:c>
      <x:c r="H97" s="8" t="str">
        <x:v>after recovery trials</x:v>
      </x:c>
      <x:c r="I97" s="8" t="str">
        <x:v>OPEN</x:v>
      </x:c>
    </x:row>
    <x:row r="98" ht="31" customHeight="1">
      <x:c r="B98" s="8" t="str">
        <x:v>DA-Y1-DZ-V3</x:v>
      </x:c>
      <x:c r="C98" s="8" t="str">
        <x:v>DA-Y1</x:v>
      </x:c>
      <x:c r="D98" s="8" t="str">
        <x:v>BL-Y</x:v>
      </x:c>
      <x:c r="E98" s="8" t="str">
        <x:v>port or drain</x:v>
      </x:c>
      <x:c r="F98" s="8" t="n">
        <x:v>3</x:v>
      </x:c>
      <x:c r="G98" s="9" t="str">
        <x:v>deadleg, slope and trapped inventory</x:v>
      </x:c>
      <x:c r="H98" s="8" t="str">
        <x:v>after recovery trials</x:v>
      </x:c>
      <x:c r="I98" s="8" t="str">
        <x:v>OPEN</x:v>
      </x:c>
    </x:row>
    <x:row r="99" ht="31" customHeight="1">
      <x:c r="B99" s="8" t="str">
        <x:v>DA-Y1-DZ-V4</x:v>
      </x:c>
      <x:c r="C99" s="8" t="str">
        <x:v>DA-Y1</x:v>
      </x:c>
      <x:c r="D99" s="8" t="str">
        <x:v>BL-Y</x:v>
      </x:c>
      <x:c r="E99" s="8" t="str">
        <x:v>port or drain</x:v>
      </x:c>
      <x:c r="F99" s="8" t="n">
        <x:v>4</x:v>
      </x:c>
      <x:c r="G99" s="9" t="str">
        <x:v>deadleg, slope and trapped inventory</x:v>
      </x:c>
      <x:c r="H99" s="8" t="str">
        <x:v>after recovery trials</x:v>
      </x:c>
      <x:c r="I99" s="8" t="str">
        <x:v>OPEN</x:v>
      </x:c>
    </x:row>
    <x:row r="100" ht="31" customHeight="1">
      <x:c r="B100" s="8" t="str">
        <x:v>DA-Y1-DZ-V5</x:v>
      </x:c>
      <x:c r="C100" s="8" t="str">
        <x:v>DA-Y1</x:v>
      </x:c>
      <x:c r="D100" s="8" t="str">
        <x:v>BL-Y</x:v>
      </x:c>
      <x:c r="E100" s="8" t="str">
        <x:v>port or drain</x:v>
      </x:c>
      <x:c r="F100" s="8" t="n">
        <x:v>5</x:v>
      </x:c>
      <x:c r="G100" s="9" t="str">
        <x:v>deadleg, slope and trapped inventory</x:v>
      </x:c>
      <x:c r="H100" s="8" t="str">
        <x:v>after recovery trials</x:v>
      </x:c>
      <x:c r="I100" s="8" t="str">
        <x:v>OPEN</x:v>
      </x:c>
    </x:row>
    <x:row r="101" ht="31" customHeight="1">
      <x:c r="B101" s="8" t="str">
        <x:v>DA-Y1-DZ-V6</x:v>
      </x:c>
      <x:c r="C101" s="8" t="str">
        <x:v>DA-Y1</x:v>
      </x:c>
      <x:c r="D101" s="8" t="str">
        <x:v>BL-Y</x:v>
      </x:c>
      <x:c r="E101" s="8" t="str">
        <x:v>port or drain</x:v>
      </x:c>
      <x:c r="F101" s="8" t="n">
        <x:v>6</x:v>
      </x:c>
      <x:c r="G101" s="9" t="str">
        <x:v>deadleg, slope and trapped inventory</x:v>
      </x:c>
      <x:c r="H101" s="8" t="str">
        <x:v>after recovery trials</x:v>
      </x:c>
      <x:c r="I101" s="8" t="str">
        <x:v>OPEN</x:v>
      </x:c>
    </x:row>
    <x:row r="102" ht="31" customHeight="1">
      <x:c r="B102" s="8" t="str">
        <x:v>DA-Y1-DZ-V7</x:v>
      </x:c>
      <x:c r="C102" s="8" t="str">
        <x:v>DA-Y1</x:v>
      </x:c>
      <x:c r="D102" s="8" t="str">
        <x:v>BL-Y</x:v>
      </x:c>
      <x:c r="E102" s="8" t="str">
        <x:v>port or drain</x:v>
      </x:c>
      <x:c r="F102" s="8" t="n">
        <x:v>7</x:v>
      </x:c>
      <x:c r="G102" s="9" t="str">
        <x:v>deadleg, slope and trapped inventory</x:v>
      </x:c>
      <x:c r="H102" s="8" t="str">
        <x:v>after recovery trials</x:v>
      </x:c>
      <x:c r="I102" s="8" t="str">
        <x:v>OPEN</x:v>
      </x:c>
    </x:row>
  </x:sheetData>
  <x:conditionalFormatting sqref="I7:I102">
    <x:cfRule type="containsText" dxfId="132" priority="1" operator="containsText" text="FAIL"/>
    <x:cfRule type="containsText" dxfId="133" priority="2" operator="containsText" text="BLOCKED"/>
    <x:cfRule type="containsText" dxfId="134" priority="3" operator="containsText" text="OPEN"/>
    <x:cfRule type="containsText" dxfId="135" priority="4" operator="containsText" text="PASS"/>
    <x:cfRule type="containsText" dxfId="136" priority="5" operator="containsText" text="PLANNED"/>
    <x:cfRule type="containsText" dxfId="137" priority="6" operator="containsText" text="ACTIVE"/>
  </x:conditionalFormatting>
  <x:pageMargins left="0.7" right="0.7" top="0.75" bottom="0.75" header="0.3" footer="0.3"/>
</x:worksheet>
</file>

<file path=xl/worksheets/sheet33.xml><?xml version="1.0" encoding="utf-8"?>
<x:worksheet xmlns:x="http://schemas.openxmlformats.org/spreadsheetml/2006/main">
  <x:sheetViews>
    <x:sheetView showGridLines="0" workbookViewId="0">
      <x:pane xSplit="2" ySplit="6" topLeftCell="C7" activePane="bottomRight" state="frozen"/>
    </x:sheetView>
  </x:sheetViews>
  <x:sheetFormatPr defaultRowHeight="15"/>
  <x:cols>
    <x:col min="2" max="2" width="29" hidden="0" customWidth="1"/>
    <x:col min="3" max="3" width="25" hidden="0" customWidth="1"/>
    <x:col min="4" max="4" width="14" hidden="0" customWidth="1"/>
    <x:col min="5" max="5" width="13" hidden="0" customWidth="1"/>
    <x:col min="6" max="6" width="20" hidden="0" customWidth="1"/>
    <x:col min="7" max="7" width="20" hidden="0" customWidth="1"/>
    <x:col min="8" max="8" width="24" hidden="0" customWidth="1"/>
    <x:col min="9" max="9" width="22" hidden="0" customWidth="1"/>
    <x:col min="10" max="10" width="18" hidden="0" customWidth="1"/>
    <x:col min="11" max="11" width="20" hidden="0" customWidth="1"/>
    <x:col min="12" max="12" width="14" hidden="0" customWidth="1"/>
  </x:cols>
  <x:sheetData>
    <x:row r="2">
      <x:c r="B2" s="44" t="str">
        <x:v>Ninety-six destructive examination records</x:v>
      </x:c>
      <x:c r="C2" s="45"/>
      <x:c r="D2" s="45"/>
      <x:c r="E2" s="45"/>
      <x:c r="F2" s="45"/>
      <x:c r="G2" s="45"/>
      <x:c r="H2" s="45"/>
      <x:c r="I2" s="45"/>
      <x:c r="J2" s="45"/>
      <x:c r="K2" s="45"/>
      <x:c r="L2" s="45"/>
    </x:row>
    <x:row r="3">
      <x:c r="B3" s="46" t="str">
        <x:v>Coordinates, images, dimensions, chemistry and custody remain tied to the destroyed parent configuration.</x:v>
      </x:c>
      <x:c r="C3" s="45"/>
      <x:c r="D3" s="45"/>
      <x:c r="E3" s="45"/>
      <x:c r="F3" s="45"/>
      <x:c r="G3" s="45"/>
      <x:c r="H3" s="45"/>
      <x:c r="I3" s="45"/>
      <x:c r="J3" s="45"/>
      <x:c r="K3" s="45"/>
      <x:c r="L3" s="45"/>
    </x:row>
    <x:row r="4">
      <x:c r="B4" s="45"/>
      <x:c r="C4" s="45"/>
      <x:c r="D4" s="45"/>
      <x:c r="E4" s="45"/>
      <x:c r="F4" s="45"/>
      <x:c r="G4" s="45"/>
      <x:c r="H4" s="45"/>
      <x:c r="I4" s="45"/>
      <x:c r="J4" s="45"/>
      <x:c r="K4" s="45"/>
      <x:c r="L4" s="45"/>
    </x:row>
    <x:row r="5">
      <x:c r="B5" s="45"/>
      <x:c r="C5" s="45"/>
      <x:c r="D5" s="45"/>
      <x:c r="E5" s="45"/>
      <x:c r="F5" s="45"/>
      <x:c r="G5" s="45"/>
      <x:c r="H5" s="45"/>
      <x:c r="I5" s="45"/>
      <x:c r="J5" s="45"/>
      <x:c r="K5" s="45"/>
      <x:c r="L5" s="45"/>
    </x:row>
    <x:row r="6" ht="25" customHeight="1">
      <x:c r="B6" s="6" t="str">
        <x:v>Section</x:v>
      </x:c>
      <x:c r="C6" s="6" t="str">
        <x:v>Zone</x:v>
      </x:c>
      <x:c r="D6" s="6" t="str">
        <x:v>Article</x:v>
      </x:c>
      <x:c r="E6" s="6" t="str">
        <x:v>Lineage</x:v>
      </x:c>
      <x:c r="F6" s="6" t="str">
        <x:v>Cut coordinate</x:v>
      </x:c>
      <x:c r="G6" s="6" t="str">
        <x:v>Image root</x:v>
      </x:c>
      <x:c r="H6" s="6" t="str">
        <x:v>Dimensional result</x:v>
      </x:c>
      <x:c r="I6" s="6" t="str">
        <x:v>Material result</x:v>
      </x:c>
      <x:c r="J6" s="6" t="str">
        <x:v>Examiner</x:v>
      </x:c>
      <x:c r="K6" s="6" t="str">
        <x:v>Accepted UTC</x:v>
      </x:c>
      <x:c r="L6" s="6" t="str">
        <x:v>State</x:v>
      </x:c>
    </x:row>
    <x:row r="7" ht="31" customHeight="1">
      <x:c r="B7" s="8" t="str">
        <x:v>DA-X1-DZ-J1-SEC</x:v>
      </x:c>
      <x:c r="C7" s="8" t="str">
        <x:v>DA-X1-DZ-J1</x:v>
      </x:c>
      <x:c r="D7" s="8" t="str">
        <x:v>DA-X1</x:v>
      </x:c>
      <x:c r="E7" s="8" t="str">
        <x:v>BL-X</x:v>
      </x:c>
      <x:c r="F7" s="8" t="str"/>
      <x:c r="G7" s="8" t="str"/>
      <x:c r="H7" s="8" t="str"/>
      <x:c r="I7" s="8" t="str"/>
      <x:c r="J7" s="8" t="str"/>
      <x:c r="K7" s="8" t="str"/>
      <x:c r="L7" s="8" t="str">
        <x:f>IF(K7="","OPEN",IF(OR(F7="",G7="",H7="",I7="",J7=""),"FAIL","PASS"))</x:f>
        <x:v>OPEN</x:v>
      </x:c>
    </x:row>
    <x:row r="8" ht="31" customHeight="1">
      <x:c r="B8" s="8" t="str">
        <x:v>DA-X1-DZ-J2-SEC</x:v>
      </x:c>
      <x:c r="C8" s="8" t="str">
        <x:v>DA-X1-DZ-J2</x:v>
      </x:c>
      <x:c r="D8" s="8" t="str">
        <x:v>DA-X1</x:v>
      </x:c>
      <x:c r="E8" s="8" t="str">
        <x:v>BL-X</x:v>
      </x:c>
      <x:c r="F8" s="8" t="str"/>
      <x:c r="G8" s="8" t="str"/>
      <x:c r="H8" s="8" t="str"/>
      <x:c r="I8" s="8" t="str"/>
      <x:c r="J8" s="8" t="str"/>
      <x:c r="K8" s="8" t="str"/>
      <x:c r="L8" s="8" t="str">
        <x:f>IF(K8="","OPEN",IF(OR(F8="",G8="",H8="",I8="",J8=""),"FAIL","PASS"))</x:f>
        <x:v>OPEN</x:v>
      </x:c>
    </x:row>
    <x:row r="9" ht="31" customHeight="1">
      <x:c r="B9" s="8" t="str">
        <x:v>DA-X1-DZ-J3-SEC</x:v>
      </x:c>
      <x:c r="C9" s="8" t="str">
        <x:v>DA-X1-DZ-J3</x:v>
      </x:c>
      <x:c r="D9" s="8" t="str">
        <x:v>DA-X1</x:v>
      </x:c>
      <x:c r="E9" s="8" t="str">
        <x:v>BL-X</x:v>
      </x:c>
      <x:c r="F9" s="8" t="str"/>
      <x:c r="G9" s="8" t="str"/>
      <x:c r="H9" s="8" t="str"/>
      <x:c r="I9" s="8" t="str"/>
      <x:c r="J9" s="8" t="str"/>
      <x:c r="K9" s="8" t="str"/>
      <x:c r="L9" s="8" t="str">
        <x:f>IF(K9="","OPEN",IF(OR(F9="",G9="",H9="",I9="",J9=""),"FAIL","PASS"))</x:f>
        <x:v>OPEN</x:v>
      </x:c>
    </x:row>
    <x:row r="10" ht="31" customHeight="1">
      <x:c r="B10" s="8" t="str">
        <x:v>DA-X1-DZ-J4-SEC</x:v>
      </x:c>
      <x:c r="C10" s="8" t="str">
        <x:v>DA-X1-DZ-J4</x:v>
      </x:c>
      <x:c r="D10" s="8" t="str">
        <x:v>DA-X1</x:v>
      </x:c>
      <x:c r="E10" s="8" t="str">
        <x:v>BL-X</x:v>
      </x:c>
      <x:c r="F10" s="8" t="str"/>
      <x:c r="G10" s="8" t="str"/>
      <x:c r="H10" s="8" t="str"/>
      <x:c r="I10" s="8" t="str"/>
      <x:c r="J10" s="8" t="str"/>
      <x:c r="K10" s="8" t="str"/>
      <x:c r="L10" s="8" t="str">
        <x:f>IF(K10="","OPEN",IF(OR(F10="",G10="",H10="",I10="",J10=""),"FAIL","PASS"))</x:f>
        <x:v>OPEN</x:v>
      </x:c>
    </x:row>
    <x:row r="11" ht="31" customHeight="1">
      <x:c r="B11" s="8" t="str">
        <x:v>DA-X1-DZ-J5-SEC</x:v>
      </x:c>
      <x:c r="C11" s="8" t="str">
        <x:v>DA-X1-DZ-J5</x:v>
      </x:c>
      <x:c r="D11" s="8" t="str">
        <x:v>DA-X1</x:v>
      </x:c>
      <x:c r="E11" s="8" t="str">
        <x:v>BL-X</x:v>
      </x:c>
      <x:c r="F11" s="8" t="str"/>
      <x:c r="G11" s="8" t="str"/>
      <x:c r="H11" s="8" t="str"/>
      <x:c r="I11" s="8" t="str"/>
      <x:c r="J11" s="8" t="str"/>
      <x:c r="K11" s="8" t="str"/>
      <x:c r="L11" s="8" t="str">
        <x:f>IF(K11="","OPEN",IF(OR(F11="",G11="",H11="",I11="",J11=""),"FAIL","PASS"))</x:f>
        <x:v>OPEN</x:v>
      </x:c>
    </x:row>
    <x:row r="12" ht="31" customHeight="1">
      <x:c r="B12" s="8" t="str">
        <x:v>DA-X1-DZ-S1-SEC</x:v>
      </x:c>
      <x:c r="C12" s="8" t="str">
        <x:v>DA-X1-DZ-S1</x:v>
      </x:c>
      <x:c r="D12" s="8" t="str">
        <x:v>DA-X1</x:v>
      </x:c>
      <x:c r="E12" s="8" t="str">
        <x:v>BL-X</x:v>
      </x:c>
      <x:c r="F12" s="8" t="str"/>
      <x:c r="G12" s="8" t="str"/>
      <x:c r="H12" s="8" t="str"/>
      <x:c r="I12" s="8" t="str"/>
      <x:c r="J12" s="8" t="str"/>
      <x:c r="K12" s="8" t="str"/>
      <x:c r="L12" s="8" t="str">
        <x:f>IF(K12="","OPEN",IF(OR(F12="",G12="",H12="",I12="",J12=""),"FAIL","PASS"))</x:f>
        <x:v>OPEN</x:v>
      </x:c>
    </x:row>
    <x:row r="13" ht="31" customHeight="1">
      <x:c r="B13" s="8" t="str">
        <x:v>DA-X1-DZ-S2-SEC</x:v>
      </x:c>
      <x:c r="C13" s="8" t="str">
        <x:v>DA-X1-DZ-S2</x:v>
      </x:c>
      <x:c r="D13" s="8" t="str">
        <x:v>DA-X1</x:v>
      </x:c>
      <x:c r="E13" s="8" t="str">
        <x:v>BL-X</x:v>
      </x:c>
      <x:c r="F13" s="8" t="str"/>
      <x:c r="G13" s="8" t="str"/>
      <x:c r="H13" s="8" t="str"/>
      <x:c r="I13" s="8" t="str"/>
      <x:c r="J13" s="8" t="str"/>
      <x:c r="K13" s="8" t="str"/>
      <x:c r="L13" s="8" t="str">
        <x:f>IF(K13="","OPEN",IF(OR(F13="",G13="",H13="",I13="",J13=""),"FAIL","PASS"))</x:f>
        <x:v>OPEN</x:v>
      </x:c>
    </x:row>
    <x:row r="14" ht="31" customHeight="1">
      <x:c r="B14" s="8" t="str">
        <x:v>DA-X1-DZ-S3-SEC</x:v>
      </x:c>
      <x:c r="C14" s="8" t="str">
        <x:v>DA-X1-DZ-S3</x:v>
      </x:c>
      <x:c r="D14" s="8" t="str">
        <x:v>DA-X1</x:v>
      </x:c>
      <x:c r="E14" s="8" t="str">
        <x:v>BL-X</x:v>
      </x:c>
      <x:c r="F14" s="8" t="str"/>
      <x:c r="G14" s="8" t="str"/>
      <x:c r="H14" s="8" t="str"/>
      <x:c r="I14" s="8" t="str"/>
      <x:c r="J14" s="8" t="str"/>
      <x:c r="K14" s="8" t="str"/>
      <x:c r="L14" s="8" t="str">
        <x:f>IF(K14="","OPEN",IF(OR(F14="",G14="",H14="",I14="",J14=""),"FAIL","PASS"))</x:f>
        <x:v>OPEN</x:v>
      </x:c>
    </x:row>
    <x:row r="15" ht="31" customHeight="1">
      <x:c r="B15" s="8" t="str">
        <x:v>DA-X1-DZ-S4-SEC</x:v>
      </x:c>
      <x:c r="C15" s="8" t="str">
        <x:v>DA-X1-DZ-S4</x:v>
      </x:c>
      <x:c r="D15" s="8" t="str">
        <x:v>DA-X1</x:v>
      </x:c>
      <x:c r="E15" s="8" t="str">
        <x:v>BL-X</x:v>
      </x:c>
      <x:c r="F15" s="8" t="str"/>
      <x:c r="G15" s="8" t="str"/>
      <x:c r="H15" s="8" t="str"/>
      <x:c r="I15" s="8" t="str"/>
      <x:c r="J15" s="8" t="str"/>
      <x:c r="K15" s="8" t="str"/>
      <x:c r="L15" s="8" t="str">
        <x:f>IF(K15="","OPEN",IF(OR(F15="",G15="",H15="",I15="",J15=""),"FAIL","PASS"))</x:f>
        <x:v>OPEN</x:v>
      </x:c>
    </x:row>
    <x:row r="16" ht="31" customHeight="1">
      <x:c r="B16" s="8" t="str">
        <x:v>DA-X1-DZ-S5-SEC</x:v>
      </x:c>
      <x:c r="C16" s="8" t="str">
        <x:v>DA-X1-DZ-S5</x:v>
      </x:c>
      <x:c r="D16" s="8" t="str">
        <x:v>DA-X1</x:v>
      </x:c>
      <x:c r="E16" s="8" t="str">
        <x:v>BL-X</x:v>
      </x:c>
      <x:c r="F16" s="8" t="str"/>
      <x:c r="G16" s="8" t="str"/>
      <x:c r="H16" s="8" t="str"/>
      <x:c r="I16" s="8" t="str"/>
      <x:c r="J16" s="8" t="str"/>
      <x:c r="K16" s="8" t="str"/>
      <x:c r="L16" s="8" t="str">
        <x:f>IF(K16="","OPEN",IF(OR(F16="",G16="",H16="",I16="",J16=""),"FAIL","PASS"))</x:f>
        <x:v>OPEN</x:v>
      </x:c>
    </x:row>
    <x:row r="17" ht="31" customHeight="1">
      <x:c r="B17" s="8" t="str">
        <x:v>DA-X1-DZ-S6-SEC</x:v>
      </x:c>
      <x:c r="C17" s="8" t="str">
        <x:v>DA-X1-DZ-S6</x:v>
      </x:c>
      <x:c r="D17" s="8" t="str">
        <x:v>DA-X1</x:v>
      </x:c>
      <x:c r="E17" s="8" t="str">
        <x:v>BL-X</x:v>
      </x:c>
      <x:c r="F17" s="8" t="str"/>
      <x:c r="G17" s="8" t="str"/>
      <x:c r="H17" s="8" t="str"/>
      <x:c r="I17" s="8" t="str"/>
      <x:c r="J17" s="8" t="str"/>
      <x:c r="K17" s="8" t="str"/>
      <x:c r="L17" s="8" t="str">
        <x:f>IF(K17="","OPEN",IF(OR(F17="",G17="",H17="",I17="",J17=""),"FAIL","PASS"))</x:f>
        <x:v>OPEN</x:v>
      </x:c>
    </x:row>
    <x:row r="18" ht="31" customHeight="1">
      <x:c r="B18" s="8" t="str">
        <x:v>DA-X1-DZ-E1-SEC</x:v>
      </x:c>
      <x:c r="C18" s="8" t="str">
        <x:v>DA-X1-DZ-E1</x:v>
      </x:c>
      <x:c r="D18" s="8" t="str">
        <x:v>DA-X1</x:v>
      </x:c>
      <x:c r="E18" s="8" t="str">
        <x:v>BL-X</x:v>
      </x:c>
      <x:c r="F18" s="8" t="str"/>
      <x:c r="G18" s="8" t="str"/>
      <x:c r="H18" s="8" t="str"/>
      <x:c r="I18" s="8" t="str"/>
      <x:c r="J18" s="8" t="str"/>
      <x:c r="K18" s="8" t="str"/>
      <x:c r="L18" s="8" t="str">
        <x:f>IF(K18="","OPEN",IF(OR(F18="",G18="",H18="",I18="",J18=""),"FAIL","PASS"))</x:f>
        <x:v>OPEN</x:v>
      </x:c>
    </x:row>
    <x:row r="19" ht="31" customHeight="1">
      <x:c r="B19" s="8" t="str">
        <x:v>DA-X1-DZ-E2-SEC</x:v>
      </x:c>
      <x:c r="C19" s="8" t="str">
        <x:v>DA-X1-DZ-E2</x:v>
      </x:c>
      <x:c r="D19" s="8" t="str">
        <x:v>DA-X1</x:v>
      </x:c>
      <x:c r="E19" s="8" t="str">
        <x:v>BL-X</x:v>
      </x:c>
      <x:c r="F19" s="8" t="str"/>
      <x:c r="G19" s="8" t="str"/>
      <x:c r="H19" s="8" t="str"/>
      <x:c r="I19" s="8" t="str"/>
      <x:c r="J19" s="8" t="str"/>
      <x:c r="K19" s="8" t="str"/>
      <x:c r="L19" s="8" t="str">
        <x:f>IF(K19="","OPEN",IF(OR(F19="",G19="",H19="",I19="",J19=""),"FAIL","PASS"))</x:f>
        <x:v>OPEN</x:v>
      </x:c>
    </x:row>
    <x:row r="20" ht="31" customHeight="1">
      <x:c r="B20" s="8" t="str">
        <x:v>DA-X1-DZ-E3-SEC</x:v>
      </x:c>
      <x:c r="C20" s="8" t="str">
        <x:v>DA-X1-DZ-E3</x:v>
      </x:c>
      <x:c r="D20" s="8" t="str">
        <x:v>DA-X1</x:v>
      </x:c>
      <x:c r="E20" s="8" t="str">
        <x:v>BL-X</x:v>
      </x:c>
      <x:c r="F20" s="8" t="str"/>
      <x:c r="G20" s="8" t="str"/>
      <x:c r="H20" s="8" t="str"/>
      <x:c r="I20" s="8" t="str"/>
      <x:c r="J20" s="8" t="str"/>
      <x:c r="K20" s="8" t="str"/>
      <x:c r="L20" s="8" t="str">
        <x:f>IF(K20="","OPEN",IF(OR(F20="",G20="",H20="",I20="",J20=""),"FAIL","PASS"))</x:f>
        <x:v>OPEN</x:v>
      </x:c>
    </x:row>
    <x:row r="21" ht="31" customHeight="1">
      <x:c r="B21" s="8" t="str">
        <x:v>DA-X1-DZ-E4-SEC</x:v>
      </x:c>
      <x:c r="C21" s="8" t="str">
        <x:v>DA-X1-DZ-E4</x:v>
      </x:c>
      <x:c r="D21" s="8" t="str">
        <x:v>DA-X1</x:v>
      </x:c>
      <x:c r="E21" s="8" t="str">
        <x:v>BL-X</x:v>
      </x:c>
      <x:c r="F21" s="8" t="str"/>
      <x:c r="G21" s="8" t="str"/>
      <x:c r="H21" s="8" t="str"/>
      <x:c r="I21" s="8" t="str"/>
      <x:c r="J21" s="8" t="str"/>
      <x:c r="K21" s="8" t="str"/>
      <x:c r="L21" s="8" t="str">
        <x:f>IF(K21="","OPEN",IF(OR(F21="",G21="",H21="",I21="",J21=""),"FAIL","PASS"))</x:f>
        <x:v>OPEN</x:v>
      </x:c>
    </x:row>
    <x:row r="22" ht="31" customHeight="1">
      <x:c r="B22" s="8" t="str">
        <x:v>DA-X1-DZ-E5-SEC</x:v>
      </x:c>
      <x:c r="C22" s="8" t="str">
        <x:v>DA-X1-DZ-E5</x:v>
      </x:c>
      <x:c r="D22" s="8" t="str">
        <x:v>DA-X1</x:v>
      </x:c>
      <x:c r="E22" s="8" t="str">
        <x:v>BL-X</x:v>
      </x:c>
      <x:c r="F22" s="8" t="str"/>
      <x:c r="G22" s="8" t="str"/>
      <x:c r="H22" s="8" t="str"/>
      <x:c r="I22" s="8" t="str"/>
      <x:c r="J22" s="8" t="str"/>
      <x:c r="K22" s="8" t="str"/>
      <x:c r="L22" s="8" t="str">
        <x:f>IF(K22="","OPEN",IF(OR(F22="",G22="",H22="",I22="",J22=""),"FAIL","PASS"))</x:f>
        <x:v>OPEN</x:v>
      </x:c>
    </x:row>
    <x:row r="23" ht="31" customHeight="1">
      <x:c r="B23" s="8" t="str">
        <x:v>DA-X1-DZ-E6-SEC</x:v>
      </x:c>
      <x:c r="C23" s="8" t="str">
        <x:v>DA-X1-DZ-E6</x:v>
      </x:c>
      <x:c r="D23" s="8" t="str">
        <x:v>DA-X1</x:v>
      </x:c>
      <x:c r="E23" s="8" t="str">
        <x:v>BL-X</x:v>
      </x:c>
      <x:c r="F23" s="8" t="str"/>
      <x:c r="G23" s="8" t="str"/>
      <x:c r="H23" s="8" t="str"/>
      <x:c r="I23" s="8" t="str"/>
      <x:c r="J23" s="8" t="str"/>
      <x:c r="K23" s="8" t="str"/>
      <x:c r="L23" s="8" t="str">
        <x:f>IF(K23="","OPEN",IF(OR(F23="",G23="",H23="",I23="",J23=""),"FAIL","PASS"))</x:f>
        <x:v>OPEN</x:v>
      </x:c>
    </x:row>
    <x:row r="24" ht="31" customHeight="1">
      <x:c r="B24" s="8" t="str">
        <x:v>DA-X1-DZ-E7-SEC</x:v>
      </x:c>
      <x:c r="C24" s="8" t="str">
        <x:v>DA-X1-DZ-E7</x:v>
      </x:c>
      <x:c r="D24" s="8" t="str">
        <x:v>DA-X1</x:v>
      </x:c>
      <x:c r="E24" s="8" t="str">
        <x:v>BL-X</x:v>
      </x:c>
      <x:c r="F24" s="8" t="str"/>
      <x:c r="G24" s="8" t="str"/>
      <x:c r="H24" s="8" t="str"/>
      <x:c r="I24" s="8" t="str"/>
      <x:c r="J24" s="8" t="str"/>
      <x:c r="K24" s="8" t="str"/>
      <x:c r="L24" s="8" t="str">
        <x:f>IF(K24="","OPEN",IF(OR(F24="",G24="",H24="",I24="",J24=""),"FAIL","PASS"))</x:f>
        <x:v>OPEN</x:v>
      </x:c>
    </x:row>
    <x:row r="25" ht="31" customHeight="1">
      <x:c r="B25" s="8" t="str">
        <x:v>DA-X1-DZ-E8-SEC</x:v>
      </x:c>
      <x:c r="C25" s="8" t="str">
        <x:v>DA-X1-DZ-E8</x:v>
      </x:c>
      <x:c r="D25" s="8" t="str">
        <x:v>DA-X1</x:v>
      </x:c>
      <x:c r="E25" s="8" t="str">
        <x:v>BL-X</x:v>
      </x:c>
      <x:c r="F25" s="8" t="str"/>
      <x:c r="G25" s="8" t="str"/>
      <x:c r="H25" s="8" t="str"/>
      <x:c r="I25" s="8" t="str"/>
      <x:c r="J25" s="8" t="str"/>
      <x:c r="K25" s="8" t="str"/>
      <x:c r="L25" s="8" t="str">
        <x:f>IF(K25="","OPEN",IF(OR(F25="",G25="",H25="",I25="",J25=""),"FAIL","PASS"))</x:f>
        <x:v>OPEN</x:v>
      </x:c>
    </x:row>
    <x:row r="26" ht="31" customHeight="1">
      <x:c r="B26" s="8" t="str">
        <x:v>DA-X1-DZ-E9-SEC</x:v>
      </x:c>
      <x:c r="C26" s="8" t="str">
        <x:v>DA-X1-DZ-E9</x:v>
      </x:c>
      <x:c r="D26" s="8" t="str">
        <x:v>DA-X1</x:v>
      </x:c>
      <x:c r="E26" s="8" t="str">
        <x:v>BL-X</x:v>
      </x:c>
      <x:c r="F26" s="8" t="str"/>
      <x:c r="G26" s="8" t="str"/>
      <x:c r="H26" s="8" t="str"/>
      <x:c r="I26" s="8" t="str"/>
      <x:c r="J26" s="8" t="str"/>
      <x:c r="K26" s="8" t="str"/>
      <x:c r="L26" s="8" t="str">
        <x:f>IF(K26="","OPEN",IF(OR(F26="",G26="",H26="",I26="",J26=""),"FAIL","PASS"))</x:f>
        <x:v>OPEN</x:v>
      </x:c>
    </x:row>
    <x:row r="27" ht="31" customHeight="1">
      <x:c r="B27" s="8" t="str">
        <x:v>DA-X1-DZ-E10-SEC</x:v>
      </x:c>
      <x:c r="C27" s="8" t="str">
        <x:v>DA-X1-DZ-E10</x:v>
      </x:c>
      <x:c r="D27" s="8" t="str">
        <x:v>DA-X1</x:v>
      </x:c>
      <x:c r="E27" s="8" t="str">
        <x:v>BL-X</x:v>
      </x:c>
      <x:c r="F27" s="8" t="str"/>
      <x:c r="G27" s="8" t="str"/>
      <x:c r="H27" s="8" t="str"/>
      <x:c r="I27" s="8" t="str"/>
      <x:c r="J27" s="8" t="str"/>
      <x:c r="K27" s="8" t="str"/>
      <x:c r="L27" s="8" t="str">
        <x:f>IF(K27="","OPEN",IF(OR(F27="",G27="",H27="",I27="",J27=""),"FAIL","PASS"))</x:f>
        <x:v>OPEN</x:v>
      </x:c>
    </x:row>
    <x:row r="28" ht="31" customHeight="1">
      <x:c r="B28" s="8" t="str">
        <x:v>DA-X1-DZ-E11-SEC</x:v>
      </x:c>
      <x:c r="C28" s="8" t="str">
        <x:v>DA-X1-DZ-E11</x:v>
      </x:c>
      <x:c r="D28" s="8" t="str">
        <x:v>DA-X1</x:v>
      </x:c>
      <x:c r="E28" s="8" t="str">
        <x:v>BL-X</x:v>
      </x:c>
      <x:c r="F28" s="8" t="str"/>
      <x:c r="G28" s="8" t="str"/>
      <x:c r="H28" s="8" t="str"/>
      <x:c r="I28" s="8" t="str"/>
      <x:c r="J28" s="8" t="str"/>
      <x:c r="K28" s="8" t="str"/>
      <x:c r="L28" s="8" t="str">
        <x:f>IF(K28="","OPEN",IF(OR(F28="",G28="",H28="",I28="",J28=""),"FAIL","PASS"))</x:f>
        <x:v>OPEN</x:v>
      </x:c>
    </x:row>
    <x:row r="29" ht="31" customHeight="1">
      <x:c r="B29" s="8" t="str">
        <x:v>DA-X1-DZ-E12-SEC</x:v>
      </x:c>
      <x:c r="C29" s="8" t="str">
        <x:v>DA-X1-DZ-E12</x:v>
      </x:c>
      <x:c r="D29" s="8" t="str">
        <x:v>DA-X1</x:v>
      </x:c>
      <x:c r="E29" s="8" t="str">
        <x:v>BL-X</x:v>
      </x:c>
      <x:c r="F29" s="8" t="str"/>
      <x:c r="G29" s="8" t="str"/>
      <x:c r="H29" s="8" t="str"/>
      <x:c r="I29" s="8" t="str"/>
      <x:c r="J29" s="8" t="str"/>
      <x:c r="K29" s="8" t="str"/>
      <x:c r="L29" s="8" t="str">
        <x:f>IF(K29="","OPEN",IF(OR(F29="",G29="",H29="",I29="",J29=""),"FAIL","PASS"))</x:f>
        <x:v>OPEN</x:v>
      </x:c>
    </x:row>
    <x:row r="30" ht="31" customHeight="1">
      <x:c r="B30" s="8" t="str">
        <x:v>DA-X1-DZ-M1-SEC</x:v>
      </x:c>
      <x:c r="C30" s="8" t="str">
        <x:v>DA-X1-DZ-M1</x:v>
      </x:c>
      <x:c r="D30" s="8" t="str">
        <x:v>DA-X1</x:v>
      </x:c>
      <x:c r="E30" s="8" t="str">
        <x:v>BL-X</x:v>
      </x:c>
      <x:c r="F30" s="8" t="str"/>
      <x:c r="G30" s="8" t="str"/>
      <x:c r="H30" s="8" t="str"/>
      <x:c r="I30" s="8" t="str"/>
      <x:c r="J30" s="8" t="str"/>
      <x:c r="K30" s="8" t="str"/>
      <x:c r="L30" s="8" t="str">
        <x:f>IF(K30="","OPEN",IF(OR(F30="",G30="",H30="",I30="",J30=""),"FAIL","PASS"))</x:f>
        <x:v>OPEN</x:v>
      </x:c>
    </x:row>
    <x:row r="31" ht="31" customHeight="1">
      <x:c r="B31" s="8" t="str">
        <x:v>DA-X1-DZ-M2-SEC</x:v>
      </x:c>
      <x:c r="C31" s="8" t="str">
        <x:v>DA-X1-DZ-M2</x:v>
      </x:c>
      <x:c r="D31" s="8" t="str">
        <x:v>DA-X1</x:v>
      </x:c>
      <x:c r="E31" s="8" t="str">
        <x:v>BL-X</x:v>
      </x:c>
      <x:c r="F31" s="8" t="str"/>
      <x:c r="G31" s="8" t="str"/>
      <x:c r="H31" s="8" t="str"/>
      <x:c r="I31" s="8" t="str"/>
      <x:c r="J31" s="8" t="str"/>
      <x:c r="K31" s="8" t="str"/>
      <x:c r="L31" s="8" t="str">
        <x:f>IF(K31="","OPEN",IF(OR(F31="",G31="",H31="",I31="",J31=""),"FAIL","PASS"))</x:f>
        <x:v>OPEN</x:v>
      </x:c>
    </x:row>
    <x:row r="32" ht="31" customHeight="1">
      <x:c r="B32" s="8" t="str">
        <x:v>DA-X1-DZ-M3-SEC</x:v>
      </x:c>
      <x:c r="C32" s="8" t="str">
        <x:v>DA-X1-DZ-M3</x:v>
      </x:c>
      <x:c r="D32" s="8" t="str">
        <x:v>DA-X1</x:v>
      </x:c>
      <x:c r="E32" s="8" t="str">
        <x:v>BL-X</x:v>
      </x:c>
      <x:c r="F32" s="8" t="str"/>
      <x:c r="G32" s="8" t="str"/>
      <x:c r="H32" s="8" t="str"/>
      <x:c r="I32" s="8" t="str"/>
      <x:c r="J32" s="8" t="str"/>
      <x:c r="K32" s="8" t="str"/>
      <x:c r="L32" s="8" t="str">
        <x:f>IF(K32="","OPEN",IF(OR(F32="",G32="",H32="",I32="",J32=""),"FAIL","PASS"))</x:f>
        <x:v>OPEN</x:v>
      </x:c>
    </x:row>
    <x:row r="33" ht="31" customHeight="1">
      <x:c r="B33" s="8" t="str">
        <x:v>DA-X1-DZ-M4-SEC</x:v>
      </x:c>
      <x:c r="C33" s="8" t="str">
        <x:v>DA-X1-DZ-M4</x:v>
      </x:c>
      <x:c r="D33" s="8" t="str">
        <x:v>DA-X1</x:v>
      </x:c>
      <x:c r="E33" s="8" t="str">
        <x:v>BL-X</x:v>
      </x:c>
      <x:c r="F33" s="8" t="str"/>
      <x:c r="G33" s="8" t="str"/>
      <x:c r="H33" s="8" t="str"/>
      <x:c r="I33" s="8" t="str"/>
      <x:c r="J33" s="8" t="str"/>
      <x:c r="K33" s="8" t="str"/>
      <x:c r="L33" s="8" t="str">
        <x:f>IF(K33="","OPEN",IF(OR(F33="",G33="",H33="",I33="",J33=""),"FAIL","PASS"))</x:f>
        <x:v>OPEN</x:v>
      </x:c>
    </x:row>
    <x:row r="34" ht="31" customHeight="1">
      <x:c r="B34" s="8" t="str">
        <x:v>DA-X1-DZ-M5-SEC</x:v>
      </x:c>
      <x:c r="C34" s="8" t="str">
        <x:v>DA-X1-DZ-M5</x:v>
      </x:c>
      <x:c r="D34" s="8" t="str">
        <x:v>DA-X1</x:v>
      </x:c>
      <x:c r="E34" s="8" t="str">
        <x:v>BL-X</x:v>
      </x:c>
      <x:c r="F34" s="8" t="str"/>
      <x:c r="G34" s="8" t="str"/>
      <x:c r="H34" s="8" t="str"/>
      <x:c r="I34" s="8" t="str"/>
      <x:c r="J34" s="8" t="str"/>
      <x:c r="K34" s="8" t="str"/>
      <x:c r="L34" s="8" t="str">
        <x:f>IF(K34="","OPEN",IF(OR(F34="",G34="",H34="",I34="",J34=""),"FAIL","PASS"))</x:f>
        <x:v>OPEN</x:v>
      </x:c>
    </x:row>
    <x:row r="35" ht="31" customHeight="1">
      <x:c r="B35" s="8" t="str">
        <x:v>DA-X1-DZ-M6-SEC</x:v>
      </x:c>
      <x:c r="C35" s="8" t="str">
        <x:v>DA-X1-DZ-M6</x:v>
      </x:c>
      <x:c r="D35" s="8" t="str">
        <x:v>DA-X1</x:v>
      </x:c>
      <x:c r="E35" s="8" t="str">
        <x:v>BL-X</x:v>
      </x:c>
      <x:c r="F35" s="8" t="str"/>
      <x:c r="G35" s="8" t="str"/>
      <x:c r="H35" s="8" t="str"/>
      <x:c r="I35" s="8" t="str"/>
      <x:c r="J35" s="8" t="str"/>
      <x:c r="K35" s="8" t="str"/>
      <x:c r="L35" s="8" t="str">
        <x:f>IF(K35="","OPEN",IF(OR(F35="",G35="",H35="",I35="",J35=""),"FAIL","PASS"))</x:f>
        <x:v>OPEN</x:v>
      </x:c>
    </x:row>
    <x:row r="36" ht="31" customHeight="1">
      <x:c r="B36" s="8" t="str">
        <x:v>DA-X1-DZ-M7-SEC</x:v>
      </x:c>
      <x:c r="C36" s="8" t="str">
        <x:v>DA-X1-DZ-M7</x:v>
      </x:c>
      <x:c r="D36" s="8" t="str">
        <x:v>DA-X1</x:v>
      </x:c>
      <x:c r="E36" s="8" t="str">
        <x:v>BL-X</x:v>
      </x:c>
      <x:c r="F36" s="8" t="str"/>
      <x:c r="G36" s="8" t="str"/>
      <x:c r="H36" s="8" t="str"/>
      <x:c r="I36" s="8" t="str"/>
      <x:c r="J36" s="8" t="str"/>
      <x:c r="K36" s="8" t="str"/>
      <x:c r="L36" s="8" t="str">
        <x:f>IF(K36="","OPEN",IF(OR(F36="",G36="",H36="",I36="",J36=""),"FAIL","PASS"))</x:f>
        <x:v>OPEN</x:v>
      </x:c>
    </x:row>
    <x:row r="37" ht="31" customHeight="1">
      <x:c r="B37" s="8" t="str">
        <x:v>DA-X1-DZ-M8-SEC</x:v>
      </x:c>
      <x:c r="C37" s="8" t="str">
        <x:v>DA-X1-DZ-M8</x:v>
      </x:c>
      <x:c r="D37" s="8" t="str">
        <x:v>DA-X1</x:v>
      </x:c>
      <x:c r="E37" s="8" t="str">
        <x:v>BL-X</x:v>
      </x:c>
      <x:c r="F37" s="8" t="str"/>
      <x:c r="G37" s="8" t="str"/>
      <x:c r="H37" s="8" t="str"/>
      <x:c r="I37" s="8" t="str"/>
      <x:c r="J37" s="8" t="str"/>
      <x:c r="K37" s="8" t="str"/>
      <x:c r="L37" s="8" t="str">
        <x:f>IF(K37="","OPEN",IF(OR(F37="",G37="",H37="",I37="",J37=""),"FAIL","PASS"))</x:f>
        <x:v>OPEN</x:v>
      </x:c>
    </x:row>
    <x:row r="38" ht="31" customHeight="1">
      <x:c r="B38" s="8" t="str">
        <x:v>DA-X1-DZ-M9-SEC</x:v>
      </x:c>
      <x:c r="C38" s="8" t="str">
        <x:v>DA-X1-DZ-M9</x:v>
      </x:c>
      <x:c r="D38" s="8" t="str">
        <x:v>DA-X1</x:v>
      </x:c>
      <x:c r="E38" s="8" t="str">
        <x:v>BL-X</x:v>
      </x:c>
      <x:c r="F38" s="8" t="str"/>
      <x:c r="G38" s="8" t="str"/>
      <x:c r="H38" s="8" t="str"/>
      <x:c r="I38" s="8" t="str"/>
      <x:c r="J38" s="8" t="str"/>
      <x:c r="K38" s="8" t="str"/>
      <x:c r="L38" s="8" t="str">
        <x:f>IF(K38="","OPEN",IF(OR(F38="",G38="",H38="",I38="",J38=""),"FAIL","PASS"))</x:f>
        <x:v>OPEN</x:v>
      </x:c>
    </x:row>
    <x:row r="39" ht="31" customHeight="1">
      <x:c r="B39" s="8" t="str">
        <x:v>DA-X1-DZ-M10-SEC</x:v>
      </x:c>
      <x:c r="C39" s="8" t="str">
        <x:v>DA-X1-DZ-M10</x:v>
      </x:c>
      <x:c r="D39" s="8" t="str">
        <x:v>DA-X1</x:v>
      </x:c>
      <x:c r="E39" s="8" t="str">
        <x:v>BL-X</x:v>
      </x:c>
      <x:c r="F39" s="8" t="str"/>
      <x:c r="G39" s="8" t="str"/>
      <x:c r="H39" s="8" t="str"/>
      <x:c r="I39" s="8" t="str"/>
      <x:c r="J39" s="8" t="str"/>
      <x:c r="K39" s="8" t="str"/>
      <x:c r="L39" s="8" t="str">
        <x:f>IF(K39="","OPEN",IF(OR(F39="",G39="",H39="",I39="",J39=""),"FAIL","PASS"))</x:f>
        <x:v>OPEN</x:v>
      </x:c>
    </x:row>
    <x:row r="40" ht="31" customHeight="1">
      <x:c r="B40" s="8" t="str">
        <x:v>DA-X1-DZ-M11-SEC</x:v>
      </x:c>
      <x:c r="C40" s="8" t="str">
        <x:v>DA-X1-DZ-M11</x:v>
      </x:c>
      <x:c r="D40" s="8" t="str">
        <x:v>DA-X1</x:v>
      </x:c>
      <x:c r="E40" s="8" t="str">
        <x:v>BL-X</x:v>
      </x:c>
      <x:c r="F40" s="8" t="str"/>
      <x:c r="G40" s="8" t="str"/>
      <x:c r="H40" s="8" t="str"/>
      <x:c r="I40" s="8" t="str"/>
      <x:c r="J40" s="8" t="str"/>
      <x:c r="K40" s="8" t="str"/>
      <x:c r="L40" s="8" t="str">
        <x:f>IF(K40="","OPEN",IF(OR(F40="",G40="",H40="",I40="",J40=""),"FAIL","PASS"))</x:f>
        <x:v>OPEN</x:v>
      </x:c>
    </x:row>
    <x:row r="41" ht="31" customHeight="1">
      <x:c r="B41" s="8" t="str">
        <x:v>DA-X1-DZ-M12-SEC</x:v>
      </x:c>
      <x:c r="C41" s="8" t="str">
        <x:v>DA-X1-DZ-M12</x:v>
      </x:c>
      <x:c r="D41" s="8" t="str">
        <x:v>DA-X1</x:v>
      </x:c>
      <x:c r="E41" s="8" t="str">
        <x:v>BL-X</x:v>
      </x:c>
      <x:c r="F41" s="8" t="str"/>
      <x:c r="G41" s="8" t="str"/>
      <x:c r="H41" s="8" t="str"/>
      <x:c r="I41" s="8" t="str"/>
      <x:c r="J41" s="8" t="str"/>
      <x:c r="K41" s="8" t="str"/>
      <x:c r="L41" s="8" t="str">
        <x:f>IF(K41="","OPEN",IF(OR(F41="",G41="",H41="",I41="",J41=""),"FAIL","PASS"))</x:f>
        <x:v>OPEN</x:v>
      </x:c>
    </x:row>
    <x:row r="42" ht="31" customHeight="1">
      <x:c r="B42" s="8" t="str">
        <x:v>DA-X1-DZ-P1-SEC</x:v>
      </x:c>
      <x:c r="C42" s="8" t="str">
        <x:v>DA-X1-DZ-P1</x:v>
      </x:c>
      <x:c r="D42" s="8" t="str">
        <x:v>DA-X1</x:v>
      </x:c>
      <x:c r="E42" s="8" t="str">
        <x:v>BL-X</x:v>
      </x:c>
      <x:c r="F42" s="8" t="str"/>
      <x:c r="G42" s="8" t="str"/>
      <x:c r="H42" s="8" t="str"/>
      <x:c r="I42" s="8" t="str"/>
      <x:c r="J42" s="8" t="str"/>
      <x:c r="K42" s="8" t="str"/>
      <x:c r="L42" s="8" t="str">
        <x:f>IF(K42="","OPEN",IF(OR(F42="",G42="",H42="",I42="",J42=""),"FAIL","PASS"))</x:f>
        <x:v>OPEN</x:v>
      </x:c>
    </x:row>
    <x:row r="43" ht="31" customHeight="1">
      <x:c r="B43" s="8" t="str">
        <x:v>DA-X1-DZ-P2-SEC</x:v>
      </x:c>
      <x:c r="C43" s="8" t="str">
        <x:v>DA-X1-DZ-P2</x:v>
      </x:c>
      <x:c r="D43" s="8" t="str">
        <x:v>DA-X1</x:v>
      </x:c>
      <x:c r="E43" s="8" t="str">
        <x:v>BL-X</x:v>
      </x:c>
      <x:c r="F43" s="8" t="str"/>
      <x:c r="G43" s="8" t="str"/>
      <x:c r="H43" s="8" t="str"/>
      <x:c r="I43" s="8" t="str"/>
      <x:c r="J43" s="8" t="str"/>
      <x:c r="K43" s="8" t="str"/>
      <x:c r="L43" s="8" t="str">
        <x:f>IF(K43="","OPEN",IF(OR(F43="",G43="",H43="",I43="",J43=""),"FAIL","PASS"))</x:f>
        <x:v>OPEN</x:v>
      </x:c>
    </x:row>
    <x:row r="44" ht="31" customHeight="1">
      <x:c r="B44" s="8" t="str">
        <x:v>DA-X1-DZ-P3-SEC</x:v>
      </x:c>
      <x:c r="C44" s="8" t="str">
        <x:v>DA-X1-DZ-P3</x:v>
      </x:c>
      <x:c r="D44" s="8" t="str">
        <x:v>DA-X1</x:v>
      </x:c>
      <x:c r="E44" s="8" t="str">
        <x:v>BL-X</x:v>
      </x:c>
      <x:c r="F44" s="8" t="str"/>
      <x:c r="G44" s="8" t="str"/>
      <x:c r="H44" s="8" t="str"/>
      <x:c r="I44" s="8" t="str"/>
      <x:c r="J44" s="8" t="str"/>
      <x:c r="K44" s="8" t="str"/>
      <x:c r="L44" s="8" t="str">
        <x:f>IF(K44="","OPEN",IF(OR(F44="",G44="",H44="",I44="",J44=""),"FAIL","PASS"))</x:f>
        <x:v>OPEN</x:v>
      </x:c>
    </x:row>
    <x:row r="45" ht="31" customHeight="1">
      <x:c r="B45" s="8" t="str">
        <x:v>DA-X1-DZ-P4-SEC</x:v>
      </x:c>
      <x:c r="C45" s="8" t="str">
        <x:v>DA-X1-DZ-P4</x:v>
      </x:c>
      <x:c r="D45" s="8" t="str">
        <x:v>DA-X1</x:v>
      </x:c>
      <x:c r="E45" s="8" t="str">
        <x:v>BL-X</x:v>
      </x:c>
      <x:c r="F45" s="8" t="str"/>
      <x:c r="G45" s="8" t="str"/>
      <x:c r="H45" s="8" t="str"/>
      <x:c r="I45" s="8" t="str"/>
      <x:c r="J45" s="8" t="str"/>
      <x:c r="K45" s="8" t="str"/>
      <x:c r="L45" s="8" t="str">
        <x:f>IF(K45="","OPEN",IF(OR(F45="",G45="",H45="",I45="",J45=""),"FAIL","PASS"))</x:f>
        <x:v>OPEN</x:v>
      </x:c>
    </x:row>
    <x:row r="46" ht="31" customHeight="1">
      <x:c r="B46" s="8" t="str">
        <x:v>DA-X1-DZ-P5-SEC</x:v>
      </x:c>
      <x:c r="C46" s="8" t="str">
        <x:v>DA-X1-DZ-P5</x:v>
      </x:c>
      <x:c r="D46" s="8" t="str">
        <x:v>DA-X1</x:v>
      </x:c>
      <x:c r="E46" s="8" t="str">
        <x:v>BL-X</x:v>
      </x:c>
      <x:c r="F46" s="8" t="str"/>
      <x:c r="G46" s="8" t="str"/>
      <x:c r="H46" s="8" t="str"/>
      <x:c r="I46" s="8" t="str"/>
      <x:c r="J46" s="8" t="str"/>
      <x:c r="K46" s="8" t="str"/>
      <x:c r="L46" s="8" t="str">
        <x:f>IF(K46="","OPEN",IF(OR(F46="",G46="",H46="",I46="",J46=""),"FAIL","PASS"))</x:f>
        <x:v>OPEN</x:v>
      </x:c>
    </x:row>
    <x:row r="47" ht="31" customHeight="1">
      <x:c r="B47" s="8" t="str">
        <x:v>DA-X1-DZ-P6-SEC</x:v>
      </x:c>
      <x:c r="C47" s="8" t="str">
        <x:v>DA-X1-DZ-P6</x:v>
      </x:c>
      <x:c r="D47" s="8" t="str">
        <x:v>DA-X1</x:v>
      </x:c>
      <x:c r="E47" s="8" t="str">
        <x:v>BL-X</x:v>
      </x:c>
      <x:c r="F47" s="8" t="str"/>
      <x:c r="G47" s="8" t="str"/>
      <x:c r="H47" s="8" t="str"/>
      <x:c r="I47" s="8" t="str"/>
      <x:c r="J47" s="8" t="str"/>
      <x:c r="K47" s="8" t="str"/>
      <x:c r="L47" s="8" t="str">
        <x:f>IF(K47="","OPEN",IF(OR(F47="",G47="",H47="",I47="",J47=""),"FAIL","PASS"))</x:f>
        <x:v>OPEN</x:v>
      </x:c>
    </x:row>
    <x:row r="48" ht="31" customHeight="1">
      <x:c r="B48" s="8" t="str">
        <x:v>DA-X1-DZ-V1-SEC</x:v>
      </x:c>
      <x:c r="C48" s="8" t="str">
        <x:v>DA-X1-DZ-V1</x:v>
      </x:c>
      <x:c r="D48" s="8" t="str">
        <x:v>DA-X1</x:v>
      </x:c>
      <x:c r="E48" s="8" t="str">
        <x:v>BL-X</x:v>
      </x:c>
      <x:c r="F48" s="8" t="str"/>
      <x:c r="G48" s="8" t="str"/>
      <x:c r="H48" s="8" t="str"/>
      <x:c r="I48" s="8" t="str"/>
      <x:c r="J48" s="8" t="str"/>
      <x:c r="K48" s="8" t="str"/>
      <x:c r="L48" s="8" t="str">
        <x:f>IF(K48="","OPEN",IF(OR(F48="",G48="",H48="",I48="",J48=""),"FAIL","PASS"))</x:f>
        <x:v>OPEN</x:v>
      </x:c>
    </x:row>
    <x:row r="49" ht="31" customHeight="1">
      <x:c r="B49" s="8" t="str">
        <x:v>DA-X1-DZ-V2-SEC</x:v>
      </x:c>
      <x:c r="C49" s="8" t="str">
        <x:v>DA-X1-DZ-V2</x:v>
      </x:c>
      <x:c r="D49" s="8" t="str">
        <x:v>DA-X1</x:v>
      </x:c>
      <x:c r="E49" s="8" t="str">
        <x:v>BL-X</x:v>
      </x:c>
      <x:c r="F49" s="8" t="str"/>
      <x:c r="G49" s="8" t="str"/>
      <x:c r="H49" s="8" t="str"/>
      <x:c r="I49" s="8" t="str"/>
      <x:c r="J49" s="8" t="str"/>
      <x:c r="K49" s="8" t="str"/>
      <x:c r="L49" s="8" t="str">
        <x:f>IF(K49="","OPEN",IF(OR(F49="",G49="",H49="",I49="",J49=""),"FAIL","PASS"))</x:f>
        <x:v>OPEN</x:v>
      </x:c>
    </x:row>
    <x:row r="50" ht="31" customHeight="1">
      <x:c r="B50" s="8" t="str">
        <x:v>DA-X1-DZ-V3-SEC</x:v>
      </x:c>
      <x:c r="C50" s="8" t="str">
        <x:v>DA-X1-DZ-V3</x:v>
      </x:c>
      <x:c r="D50" s="8" t="str">
        <x:v>DA-X1</x:v>
      </x:c>
      <x:c r="E50" s="8" t="str">
        <x:v>BL-X</x:v>
      </x:c>
      <x:c r="F50" s="8" t="str"/>
      <x:c r="G50" s="8" t="str"/>
      <x:c r="H50" s="8" t="str"/>
      <x:c r="I50" s="8" t="str"/>
      <x:c r="J50" s="8" t="str"/>
      <x:c r="K50" s="8" t="str"/>
      <x:c r="L50" s="8" t="str">
        <x:f>IF(K50="","OPEN",IF(OR(F50="",G50="",H50="",I50="",J50=""),"FAIL","PASS"))</x:f>
        <x:v>OPEN</x:v>
      </x:c>
    </x:row>
    <x:row r="51" ht="31" customHeight="1">
      <x:c r="B51" s="8" t="str">
        <x:v>DA-X1-DZ-V4-SEC</x:v>
      </x:c>
      <x:c r="C51" s="8" t="str">
        <x:v>DA-X1-DZ-V4</x:v>
      </x:c>
      <x:c r="D51" s="8" t="str">
        <x:v>DA-X1</x:v>
      </x:c>
      <x:c r="E51" s="8" t="str">
        <x:v>BL-X</x:v>
      </x:c>
      <x:c r="F51" s="8" t="str"/>
      <x:c r="G51" s="8" t="str"/>
      <x:c r="H51" s="8" t="str"/>
      <x:c r="I51" s="8" t="str"/>
      <x:c r="J51" s="8" t="str"/>
      <x:c r="K51" s="8" t="str"/>
      <x:c r="L51" s="8" t="str">
        <x:f>IF(K51="","OPEN",IF(OR(F51="",G51="",H51="",I51="",J51=""),"FAIL","PASS"))</x:f>
        <x:v>OPEN</x:v>
      </x:c>
    </x:row>
    <x:row r="52" ht="31" customHeight="1">
      <x:c r="B52" s="8" t="str">
        <x:v>DA-X1-DZ-V5-SEC</x:v>
      </x:c>
      <x:c r="C52" s="8" t="str">
        <x:v>DA-X1-DZ-V5</x:v>
      </x:c>
      <x:c r="D52" s="8" t="str">
        <x:v>DA-X1</x:v>
      </x:c>
      <x:c r="E52" s="8" t="str">
        <x:v>BL-X</x:v>
      </x:c>
      <x:c r="F52" s="8" t="str"/>
      <x:c r="G52" s="8" t="str"/>
      <x:c r="H52" s="8" t="str"/>
      <x:c r="I52" s="8" t="str"/>
      <x:c r="J52" s="8" t="str"/>
      <x:c r="K52" s="8" t="str"/>
      <x:c r="L52" s="8" t="str">
        <x:f>IF(K52="","OPEN",IF(OR(F52="",G52="",H52="",I52="",J52=""),"FAIL","PASS"))</x:f>
        <x:v>OPEN</x:v>
      </x:c>
    </x:row>
    <x:row r="53" ht="31" customHeight="1">
      <x:c r="B53" s="8" t="str">
        <x:v>DA-X1-DZ-V6-SEC</x:v>
      </x:c>
      <x:c r="C53" s="8" t="str">
        <x:v>DA-X1-DZ-V6</x:v>
      </x:c>
      <x:c r="D53" s="8" t="str">
        <x:v>DA-X1</x:v>
      </x:c>
      <x:c r="E53" s="8" t="str">
        <x:v>BL-X</x:v>
      </x:c>
      <x:c r="F53" s="8" t="str"/>
      <x:c r="G53" s="8" t="str"/>
      <x:c r="H53" s="8" t="str"/>
      <x:c r="I53" s="8" t="str"/>
      <x:c r="J53" s="8" t="str"/>
      <x:c r="K53" s="8" t="str"/>
      <x:c r="L53" s="8" t="str">
        <x:f>IF(K53="","OPEN",IF(OR(F53="",G53="",H53="",I53="",J53=""),"FAIL","PASS"))</x:f>
        <x:v>OPEN</x:v>
      </x:c>
    </x:row>
    <x:row r="54" ht="31" customHeight="1">
      <x:c r="B54" s="8" t="str">
        <x:v>DA-X1-DZ-V7-SEC</x:v>
      </x:c>
      <x:c r="C54" s="8" t="str">
        <x:v>DA-X1-DZ-V7</x:v>
      </x:c>
      <x:c r="D54" s="8" t="str">
        <x:v>DA-X1</x:v>
      </x:c>
      <x:c r="E54" s="8" t="str">
        <x:v>BL-X</x:v>
      </x:c>
      <x:c r="F54" s="8" t="str"/>
      <x:c r="G54" s="8" t="str"/>
      <x:c r="H54" s="8" t="str"/>
      <x:c r="I54" s="8" t="str"/>
      <x:c r="J54" s="8" t="str"/>
      <x:c r="K54" s="8" t="str"/>
      <x:c r="L54" s="8" t="str">
        <x:f>IF(K54="","OPEN",IF(OR(F54="",G54="",H54="",I54="",J54=""),"FAIL","PASS"))</x:f>
        <x:v>OPEN</x:v>
      </x:c>
    </x:row>
    <x:row r="55" ht="31" customHeight="1">
      <x:c r="B55" s="8" t="str">
        <x:v>DA-Y1-DZ-J1-SEC</x:v>
      </x:c>
      <x:c r="C55" s="8" t="str">
        <x:v>DA-Y1-DZ-J1</x:v>
      </x:c>
      <x:c r="D55" s="8" t="str">
        <x:v>DA-Y1</x:v>
      </x:c>
      <x:c r="E55" s="8" t="str">
        <x:v>BL-Y</x:v>
      </x:c>
      <x:c r="F55" s="8" t="str"/>
      <x:c r="G55" s="8" t="str"/>
      <x:c r="H55" s="8" t="str"/>
      <x:c r="I55" s="8" t="str"/>
      <x:c r="J55" s="8" t="str"/>
      <x:c r="K55" s="8" t="str"/>
      <x:c r="L55" s="8" t="str">
        <x:f>IF(K55="","OPEN",IF(OR(F55="",G55="",H55="",I55="",J55=""),"FAIL","PASS"))</x:f>
        <x:v>OPEN</x:v>
      </x:c>
    </x:row>
    <x:row r="56" ht="31" customHeight="1">
      <x:c r="B56" s="8" t="str">
        <x:v>DA-Y1-DZ-J2-SEC</x:v>
      </x:c>
      <x:c r="C56" s="8" t="str">
        <x:v>DA-Y1-DZ-J2</x:v>
      </x:c>
      <x:c r="D56" s="8" t="str">
        <x:v>DA-Y1</x:v>
      </x:c>
      <x:c r="E56" s="8" t="str">
        <x:v>BL-Y</x:v>
      </x:c>
      <x:c r="F56" s="8" t="str"/>
      <x:c r="G56" s="8" t="str"/>
      <x:c r="H56" s="8" t="str"/>
      <x:c r="I56" s="8" t="str"/>
      <x:c r="J56" s="8" t="str"/>
      <x:c r="K56" s="8" t="str"/>
      <x:c r="L56" s="8" t="str">
        <x:f>IF(K56="","OPEN",IF(OR(F56="",G56="",H56="",I56="",J56=""),"FAIL","PASS"))</x:f>
        <x:v>OPEN</x:v>
      </x:c>
    </x:row>
    <x:row r="57" ht="31" customHeight="1">
      <x:c r="B57" s="8" t="str">
        <x:v>DA-Y1-DZ-J3-SEC</x:v>
      </x:c>
      <x:c r="C57" s="8" t="str">
        <x:v>DA-Y1-DZ-J3</x:v>
      </x:c>
      <x:c r="D57" s="8" t="str">
        <x:v>DA-Y1</x:v>
      </x:c>
      <x:c r="E57" s="8" t="str">
        <x:v>BL-Y</x:v>
      </x:c>
      <x:c r="F57" s="8" t="str"/>
      <x:c r="G57" s="8" t="str"/>
      <x:c r="H57" s="8" t="str"/>
      <x:c r="I57" s="8" t="str"/>
      <x:c r="J57" s="8" t="str"/>
      <x:c r="K57" s="8" t="str"/>
      <x:c r="L57" s="8" t="str">
        <x:f>IF(K57="","OPEN",IF(OR(F57="",G57="",H57="",I57="",J57=""),"FAIL","PASS"))</x:f>
        <x:v>OPEN</x:v>
      </x:c>
    </x:row>
    <x:row r="58" ht="31" customHeight="1">
      <x:c r="B58" s="8" t="str">
        <x:v>DA-Y1-DZ-J4-SEC</x:v>
      </x:c>
      <x:c r="C58" s="8" t="str">
        <x:v>DA-Y1-DZ-J4</x:v>
      </x:c>
      <x:c r="D58" s="8" t="str">
        <x:v>DA-Y1</x:v>
      </x:c>
      <x:c r="E58" s="8" t="str">
        <x:v>BL-Y</x:v>
      </x:c>
      <x:c r="F58" s="8" t="str"/>
      <x:c r="G58" s="8" t="str"/>
      <x:c r="H58" s="8" t="str"/>
      <x:c r="I58" s="8" t="str"/>
      <x:c r="J58" s="8" t="str"/>
      <x:c r="K58" s="8" t="str"/>
      <x:c r="L58" s="8" t="str">
        <x:f>IF(K58="","OPEN",IF(OR(F58="",G58="",H58="",I58="",J58=""),"FAIL","PASS"))</x:f>
        <x:v>OPEN</x:v>
      </x:c>
    </x:row>
    <x:row r="59" ht="31" customHeight="1">
      <x:c r="B59" s="8" t="str">
        <x:v>DA-Y1-DZ-J5-SEC</x:v>
      </x:c>
      <x:c r="C59" s="8" t="str">
        <x:v>DA-Y1-DZ-J5</x:v>
      </x:c>
      <x:c r="D59" s="8" t="str">
        <x:v>DA-Y1</x:v>
      </x:c>
      <x:c r="E59" s="8" t="str">
        <x:v>BL-Y</x:v>
      </x:c>
      <x:c r="F59" s="8" t="str"/>
      <x:c r="G59" s="8" t="str"/>
      <x:c r="H59" s="8" t="str"/>
      <x:c r="I59" s="8" t="str"/>
      <x:c r="J59" s="8" t="str"/>
      <x:c r="K59" s="8" t="str"/>
      <x:c r="L59" s="8" t="str">
        <x:f>IF(K59="","OPEN",IF(OR(F59="",G59="",H59="",I59="",J59=""),"FAIL","PASS"))</x:f>
        <x:v>OPEN</x:v>
      </x:c>
    </x:row>
    <x:row r="60" ht="31" customHeight="1">
      <x:c r="B60" s="8" t="str">
        <x:v>DA-Y1-DZ-S1-SEC</x:v>
      </x:c>
      <x:c r="C60" s="8" t="str">
        <x:v>DA-Y1-DZ-S1</x:v>
      </x:c>
      <x:c r="D60" s="8" t="str">
        <x:v>DA-Y1</x:v>
      </x:c>
      <x:c r="E60" s="8" t="str">
        <x:v>BL-Y</x:v>
      </x:c>
      <x:c r="F60" s="8" t="str"/>
      <x:c r="G60" s="8" t="str"/>
      <x:c r="H60" s="8" t="str"/>
      <x:c r="I60" s="8" t="str"/>
      <x:c r="J60" s="8" t="str"/>
      <x:c r="K60" s="8" t="str"/>
      <x:c r="L60" s="8" t="str">
        <x:f>IF(K60="","OPEN",IF(OR(F60="",G60="",H60="",I60="",J60=""),"FAIL","PASS"))</x:f>
        <x:v>OPEN</x:v>
      </x:c>
    </x:row>
    <x:row r="61" ht="31" customHeight="1">
      <x:c r="B61" s="8" t="str">
        <x:v>DA-Y1-DZ-S2-SEC</x:v>
      </x:c>
      <x:c r="C61" s="8" t="str">
        <x:v>DA-Y1-DZ-S2</x:v>
      </x:c>
      <x:c r="D61" s="8" t="str">
        <x:v>DA-Y1</x:v>
      </x:c>
      <x:c r="E61" s="8" t="str">
        <x:v>BL-Y</x:v>
      </x:c>
      <x:c r="F61" s="8" t="str"/>
      <x:c r="G61" s="8" t="str"/>
      <x:c r="H61" s="8" t="str"/>
      <x:c r="I61" s="8" t="str"/>
      <x:c r="J61" s="8" t="str"/>
      <x:c r="K61" s="8" t="str"/>
      <x:c r="L61" s="8" t="str">
        <x:f>IF(K61="","OPEN",IF(OR(F61="",G61="",H61="",I61="",J61=""),"FAIL","PASS"))</x:f>
        <x:v>OPEN</x:v>
      </x:c>
    </x:row>
    <x:row r="62" ht="31" customHeight="1">
      <x:c r="B62" s="8" t="str">
        <x:v>DA-Y1-DZ-S3-SEC</x:v>
      </x:c>
      <x:c r="C62" s="8" t="str">
        <x:v>DA-Y1-DZ-S3</x:v>
      </x:c>
      <x:c r="D62" s="8" t="str">
        <x:v>DA-Y1</x:v>
      </x:c>
      <x:c r="E62" s="8" t="str">
        <x:v>BL-Y</x:v>
      </x:c>
      <x:c r="F62" s="8" t="str"/>
      <x:c r="G62" s="8" t="str"/>
      <x:c r="H62" s="8" t="str"/>
      <x:c r="I62" s="8" t="str"/>
      <x:c r="J62" s="8" t="str"/>
      <x:c r="K62" s="8" t="str"/>
      <x:c r="L62" s="8" t="str">
        <x:f>IF(K62="","OPEN",IF(OR(F62="",G62="",H62="",I62="",J62=""),"FAIL","PASS"))</x:f>
        <x:v>OPEN</x:v>
      </x:c>
    </x:row>
    <x:row r="63" ht="31" customHeight="1">
      <x:c r="B63" s="8" t="str">
        <x:v>DA-Y1-DZ-S4-SEC</x:v>
      </x:c>
      <x:c r="C63" s="8" t="str">
        <x:v>DA-Y1-DZ-S4</x:v>
      </x:c>
      <x:c r="D63" s="8" t="str">
        <x:v>DA-Y1</x:v>
      </x:c>
      <x:c r="E63" s="8" t="str">
        <x:v>BL-Y</x:v>
      </x:c>
      <x:c r="F63" s="8" t="str"/>
      <x:c r="G63" s="8" t="str"/>
      <x:c r="H63" s="8" t="str"/>
      <x:c r="I63" s="8" t="str"/>
      <x:c r="J63" s="8" t="str"/>
      <x:c r="K63" s="8" t="str"/>
      <x:c r="L63" s="8" t="str">
        <x:f>IF(K63="","OPEN",IF(OR(F63="",G63="",H63="",I63="",J63=""),"FAIL","PASS"))</x:f>
        <x:v>OPEN</x:v>
      </x:c>
    </x:row>
    <x:row r="64" ht="31" customHeight="1">
      <x:c r="B64" s="8" t="str">
        <x:v>DA-Y1-DZ-S5-SEC</x:v>
      </x:c>
      <x:c r="C64" s="8" t="str">
        <x:v>DA-Y1-DZ-S5</x:v>
      </x:c>
      <x:c r="D64" s="8" t="str">
        <x:v>DA-Y1</x:v>
      </x:c>
      <x:c r="E64" s="8" t="str">
        <x:v>BL-Y</x:v>
      </x:c>
      <x:c r="F64" s="8" t="str"/>
      <x:c r="G64" s="8" t="str"/>
      <x:c r="H64" s="8" t="str"/>
      <x:c r="I64" s="8" t="str"/>
      <x:c r="J64" s="8" t="str"/>
      <x:c r="K64" s="8" t="str"/>
      <x:c r="L64" s="8" t="str">
        <x:f>IF(K64="","OPEN",IF(OR(F64="",G64="",H64="",I64="",J64=""),"FAIL","PASS"))</x:f>
        <x:v>OPEN</x:v>
      </x:c>
    </x:row>
    <x:row r="65" ht="31" customHeight="1">
      <x:c r="B65" s="8" t="str">
        <x:v>DA-Y1-DZ-S6-SEC</x:v>
      </x:c>
      <x:c r="C65" s="8" t="str">
        <x:v>DA-Y1-DZ-S6</x:v>
      </x:c>
      <x:c r="D65" s="8" t="str">
        <x:v>DA-Y1</x:v>
      </x:c>
      <x:c r="E65" s="8" t="str">
        <x:v>BL-Y</x:v>
      </x:c>
      <x:c r="F65" s="8" t="str"/>
      <x:c r="G65" s="8" t="str"/>
      <x:c r="H65" s="8" t="str"/>
      <x:c r="I65" s="8" t="str"/>
      <x:c r="J65" s="8" t="str"/>
      <x:c r="K65" s="8" t="str"/>
      <x:c r="L65" s="8" t="str">
        <x:f>IF(K65="","OPEN",IF(OR(F65="",G65="",H65="",I65="",J65=""),"FAIL","PASS"))</x:f>
        <x:v>OPEN</x:v>
      </x:c>
    </x:row>
    <x:row r="66" ht="31" customHeight="1">
      <x:c r="B66" s="8" t="str">
        <x:v>DA-Y1-DZ-E1-SEC</x:v>
      </x:c>
      <x:c r="C66" s="8" t="str">
        <x:v>DA-Y1-DZ-E1</x:v>
      </x:c>
      <x:c r="D66" s="8" t="str">
        <x:v>DA-Y1</x:v>
      </x:c>
      <x:c r="E66" s="8" t="str">
        <x:v>BL-Y</x:v>
      </x:c>
      <x:c r="F66" s="8" t="str"/>
      <x:c r="G66" s="8" t="str"/>
      <x:c r="H66" s="8" t="str"/>
      <x:c r="I66" s="8" t="str"/>
      <x:c r="J66" s="8" t="str"/>
      <x:c r="K66" s="8" t="str"/>
      <x:c r="L66" s="8" t="str">
        <x:f>IF(K66="","OPEN",IF(OR(F66="",G66="",H66="",I66="",J66=""),"FAIL","PASS"))</x:f>
        <x:v>OPEN</x:v>
      </x:c>
    </x:row>
    <x:row r="67" ht="31" customHeight="1">
      <x:c r="B67" s="8" t="str">
        <x:v>DA-Y1-DZ-E2-SEC</x:v>
      </x:c>
      <x:c r="C67" s="8" t="str">
        <x:v>DA-Y1-DZ-E2</x:v>
      </x:c>
      <x:c r="D67" s="8" t="str">
        <x:v>DA-Y1</x:v>
      </x:c>
      <x:c r="E67" s="8" t="str">
        <x:v>BL-Y</x:v>
      </x:c>
      <x:c r="F67" s="8" t="str"/>
      <x:c r="G67" s="8" t="str"/>
      <x:c r="H67" s="8" t="str"/>
      <x:c r="I67" s="8" t="str"/>
      <x:c r="J67" s="8" t="str"/>
      <x:c r="K67" s="8" t="str"/>
      <x:c r="L67" s="8" t="str">
        <x:f>IF(K67="","OPEN",IF(OR(F67="",G67="",H67="",I67="",J67=""),"FAIL","PASS"))</x:f>
        <x:v>OPEN</x:v>
      </x:c>
    </x:row>
    <x:row r="68" ht="31" customHeight="1">
      <x:c r="B68" s="8" t="str">
        <x:v>DA-Y1-DZ-E3-SEC</x:v>
      </x:c>
      <x:c r="C68" s="8" t="str">
        <x:v>DA-Y1-DZ-E3</x:v>
      </x:c>
      <x:c r="D68" s="8" t="str">
        <x:v>DA-Y1</x:v>
      </x:c>
      <x:c r="E68" s="8" t="str">
        <x:v>BL-Y</x:v>
      </x:c>
      <x:c r="F68" s="8" t="str"/>
      <x:c r="G68" s="8" t="str"/>
      <x:c r="H68" s="8" t="str"/>
      <x:c r="I68" s="8" t="str"/>
      <x:c r="J68" s="8" t="str"/>
      <x:c r="K68" s="8" t="str"/>
      <x:c r="L68" s="8" t="str">
        <x:f>IF(K68="","OPEN",IF(OR(F68="",G68="",H68="",I68="",J68=""),"FAIL","PASS"))</x:f>
        <x:v>OPEN</x:v>
      </x:c>
    </x:row>
    <x:row r="69" ht="31" customHeight="1">
      <x:c r="B69" s="8" t="str">
        <x:v>DA-Y1-DZ-E4-SEC</x:v>
      </x:c>
      <x:c r="C69" s="8" t="str">
        <x:v>DA-Y1-DZ-E4</x:v>
      </x:c>
      <x:c r="D69" s="8" t="str">
        <x:v>DA-Y1</x:v>
      </x:c>
      <x:c r="E69" s="8" t="str">
        <x:v>BL-Y</x:v>
      </x:c>
      <x:c r="F69" s="8" t="str"/>
      <x:c r="G69" s="8" t="str"/>
      <x:c r="H69" s="8" t="str"/>
      <x:c r="I69" s="8" t="str"/>
      <x:c r="J69" s="8" t="str"/>
      <x:c r="K69" s="8" t="str"/>
      <x:c r="L69" s="8" t="str">
        <x:f>IF(K69="","OPEN",IF(OR(F69="",G69="",H69="",I69="",J69=""),"FAIL","PASS"))</x:f>
        <x:v>OPEN</x:v>
      </x:c>
    </x:row>
    <x:row r="70" ht="31" customHeight="1">
      <x:c r="B70" s="8" t="str">
        <x:v>DA-Y1-DZ-E5-SEC</x:v>
      </x:c>
      <x:c r="C70" s="8" t="str">
        <x:v>DA-Y1-DZ-E5</x:v>
      </x:c>
      <x:c r="D70" s="8" t="str">
        <x:v>DA-Y1</x:v>
      </x:c>
      <x:c r="E70" s="8" t="str">
        <x:v>BL-Y</x:v>
      </x:c>
      <x:c r="F70" s="8" t="str"/>
      <x:c r="G70" s="8" t="str"/>
      <x:c r="H70" s="8" t="str"/>
      <x:c r="I70" s="8" t="str"/>
      <x:c r="J70" s="8" t="str"/>
      <x:c r="K70" s="8" t="str"/>
      <x:c r="L70" s="8" t="str">
        <x:f>IF(K70="","OPEN",IF(OR(F70="",G70="",H70="",I70="",J70=""),"FAIL","PASS"))</x:f>
        <x:v>OPEN</x:v>
      </x:c>
    </x:row>
    <x:row r="71" ht="31" customHeight="1">
      <x:c r="B71" s="8" t="str">
        <x:v>DA-Y1-DZ-E6-SEC</x:v>
      </x:c>
      <x:c r="C71" s="8" t="str">
        <x:v>DA-Y1-DZ-E6</x:v>
      </x:c>
      <x:c r="D71" s="8" t="str">
        <x:v>DA-Y1</x:v>
      </x:c>
      <x:c r="E71" s="8" t="str">
        <x:v>BL-Y</x:v>
      </x:c>
      <x:c r="F71" s="8" t="str"/>
      <x:c r="G71" s="8" t="str"/>
      <x:c r="H71" s="8" t="str"/>
      <x:c r="I71" s="8" t="str"/>
      <x:c r="J71" s="8" t="str"/>
      <x:c r="K71" s="8" t="str"/>
      <x:c r="L71" s="8" t="str">
        <x:f>IF(K71="","OPEN",IF(OR(F71="",G71="",H71="",I71="",J71=""),"FAIL","PASS"))</x:f>
        <x:v>OPEN</x:v>
      </x:c>
    </x:row>
    <x:row r="72" ht="31" customHeight="1">
      <x:c r="B72" s="8" t="str">
        <x:v>DA-Y1-DZ-E7-SEC</x:v>
      </x:c>
      <x:c r="C72" s="8" t="str">
        <x:v>DA-Y1-DZ-E7</x:v>
      </x:c>
      <x:c r="D72" s="8" t="str">
        <x:v>DA-Y1</x:v>
      </x:c>
      <x:c r="E72" s="8" t="str">
        <x:v>BL-Y</x:v>
      </x:c>
      <x:c r="F72" s="8" t="str"/>
      <x:c r="G72" s="8" t="str"/>
      <x:c r="H72" s="8" t="str"/>
      <x:c r="I72" s="8" t="str"/>
      <x:c r="J72" s="8" t="str"/>
      <x:c r="K72" s="8" t="str"/>
      <x:c r="L72" s="8" t="str">
        <x:f>IF(K72="","OPEN",IF(OR(F72="",G72="",H72="",I72="",J72=""),"FAIL","PASS"))</x:f>
        <x:v>OPEN</x:v>
      </x:c>
    </x:row>
    <x:row r="73" ht="31" customHeight="1">
      <x:c r="B73" s="8" t="str">
        <x:v>DA-Y1-DZ-E8-SEC</x:v>
      </x:c>
      <x:c r="C73" s="8" t="str">
        <x:v>DA-Y1-DZ-E8</x:v>
      </x:c>
      <x:c r="D73" s="8" t="str">
        <x:v>DA-Y1</x:v>
      </x:c>
      <x:c r="E73" s="8" t="str">
        <x:v>BL-Y</x:v>
      </x:c>
      <x:c r="F73" s="8" t="str"/>
      <x:c r="G73" s="8" t="str"/>
      <x:c r="H73" s="8" t="str"/>
      <x:c r="I73" s="8" t="str"/>
      <x:c r="J73" s="8" t="str"/>
      <x:c r="K73" s="8" t="str"/>
      <x:c r="L73" s="8" t="str">
        <x:f>IF(K73="","OPEN",IF(OR(F73="",G73="",H73="",I73="",J73=""),"FAIL","PASS"))</x:f>
        <x:v>OPEN</x:v>
      </x:c>
    </x:row>
    <x:row r="74" ht="31" customHeight="1">
      <x:c r="B74" s="8" t="str">
        <x:v>DA-Y1-DZ-E9-SEC</x:v>
      </x:c>
      <x:c r="C74" s="8" t="str">
        <x:v>DA-Y1-DZ-E9</x:v>
      </x:c>
      <x:c r="D74" s="8" t="str">
        <x:v>DA-Y1</x:v>
      </x:c>
      <x:c r="E74" s="8" t="str">
        <x:v>BL-Y</x:v>
      </x:c>
      <x:c r="F74" s="8" t="str"/>
      <x:c r="G74" s="8" t="str"/>
      <x:c r="H74" s="8" t="str"/>
      <x:c r="I74" s="8" t="str"/>
      <x:c r="J74" s="8" t="str"/>
      <x:c r="K74" s="8" t="str"/>
      <x:c r="L74" s="8" t="str">
        <x:f>IF(K74="","OPEN",IF(OR(F74="",G74="",H74="",I74="",J74=""),"FAIL","PASS"))</x:f>
        <x:v>OPEN</x:v>
      </x:c>
    </x:row>
    <x:row r="75" ht="31" customHeight="1">
      <x:c r="B75" s="8" t="str">
        <x:v>DA-Y1-DZ-E10-SEC</x:v>
      </x:c>
      <x:c r="C75" s="8" t="str">
        <x:v>DA-Y1-DZ-E10</x:v>
      </x:c>
      <x:c r="D75" s="8" t="str">
        <x:v>DA-Y1</x:v>
      </x:c>
      <x:c r="E75" s="8" t="str">
        <x:v>BL-Y</x:v>
      </x:c>
      <x:c r="F75" s="8" t="str"/>
      <x:c r="G75" s="8" t="str"/>
      <x:c r="H75" s="8" t="str"/>
      <x:c r="I75" s="8" t="str"/>
      <x:c r="J75" s="8" t="str"/>
      <x:c r="K75" s="8" t="str"/>
      <x:c r="L75" s="8" t="str">
        <x:f>IF(K75="","OPEN",IF(OR(F75="",G75="",H75="",I75="",J75=""),"FAIL","PASS"))</x:f>
        <x:v>OPEN</x:v>
      </x:c>
    </x:row>
    <x:row r="76" ht="31" customHeight="1">
      <x:c r="B76" s="8" t="str">
        <x:v>DA-Y1-DZ-E11-SEC</x:v>
      </x:c>
      <x:c r="C76" s="8" t="str">
        <x:v>DA-Y1-DZ-E11</x:v>
      </x:c>
      <x:c r="D76" s="8" t="str">
        <x:v>DA-Y1</x:v>
      </x:c>
      <x:c r="E76" s="8" t="str">
        <x:v>BL-Y</x:v>
      </x:c>
      <x:c r="F76" s="8" t="str"/>
      <x:c r="G76" s="8" t="str"/>
      <x:c r="H76" s="8" t="str"/>
      <x:c r="I76" s="8" t="str"/>
      <x:c r="J76" s="8" t="str"/>
      <x:c r="K76" s="8" t="str"/>
      <x:c r="L76" s="8" t="str">
        <x:f>IF(K76="","OPEN",IF(OR(F76="",G76="",H76="",I76="",J76=""),"FAIL","PASS"))</x:f>
        <x:v>OPEN</x:v>
      </x:c>
    </x:row>
    <x:row r="77" ht="31" customHeight="1">
      <x:c r="B77" s="8" t="str">
        <x:v>DA-Y1-DZ-E12-SEC</x:v>
      </x:c>
      <x:c r="C77" s="8" t="str">
        <x:v>DA-Y1-DZ-E12</x:v>
      </x:c>
      <x:c r="D77" s="8" t="str">
        <x:v>DA-Y1</x:v>
      </x:c>
      <x:c r="E77" s="8" t="str">
        <x:v>BL-Y</x:v>
      </x:c>
      <x:c r="F77" s="8" t="str"/>
      <x:c r="G77" s="8" t="str"/>
      <x:c r="H77" s="8" t="str"/>
      <x:c r="I77" s="8" t="str"/>
      <x:c r="J77" s="8" t="str"/>
      <x:c r="K77" s="8" t="str"/>
      <x:c r="L77" s="8" t="str">
        <x:f>IF(K77="","OPEN",IF(OR(F77="",G77="",H77="",I77="",J77=""),"FAIL","PASS"))</x:f>
        <x:v>OPEN</x:v>
      </x:c>
    </x:row>
    <x:row r="78" ht="31" customHeight="1">
      <x:c r="B78" s="8" t="str">
        <x:v>DA-Y1-DZ-M1-SEC</x:v>
      </x:c>
      <x:c r="C78" s="8" t="str">
        <x:v>DA-Y1-DZ-M1</x:v>
      </x:c>
      <x:c r="D78" s="8" t="str">
        <x:v>DA-Y1</x:v>
      </x:c>
      <x:c r="E78" s="8" t="str">
        <x:v>BL-Y</x:v>
      </x:c>
      <x:c r="F78" s="8" t="str"/>
      <x:c r="G78" s="8" t="str"/>
      <x:c r="H78" s="8" t="str"/>
      <x:c r="I78" s="8" t="str"/>
      <x:c r="J78" s="8" t="str"/>
      <x:c r="K78" s="8" t="str"/>
      <x:c r="L78" s="8" t="str">
        <x:f>IF(K78="","OPEN",IF(OR(F78="",G78="",H78="",I78="",J78=""),"FAIL","PASS"))</x:f>
        <x:v>OPEN</x:v>
      </x:c>
    </x:row>
    <x:row r="79" ht="31" customHeight="1">
      <x:c r="B79" s="8" t="str">
        <x:v>DA-Y1-DZ-M2-SEC</x:v>
      </x:c>
      <x:c r="C79" s="8" t="str">
        <x:v>DA-Y1-DZ-M2</x:v>
      </x:c>
      <x:c r="D79" s="8" t="str">
        <x:v>DA-Y1</x:v>
      </x:c>
      <x:c r="E79" s="8" t="str">
        <x:v>BL-Y</x:v>
      </x:c>
      <x:c r="F79" s="8" t="str"/>
      <x:c r="G79" s="8" t="str"/>
      <x:c r="H79" s="8" t="str"/>
      <x:c r="I79" s="8" t="str"/>
      <x:c r="J79" s="8" t="str"/>
      <x:c r="K79" s="8" t="str"/>
      <x:c r="L79" s="8" t="str">
        <x:f>IF(K79="","OPEN",IF(OR(F79="",G79="",H79="",I79="",J79=""),"FAIL","PASS"))</x:f>
        <x:v>OPEN</x:v>
      </x:c>
    </x:row>
    <x:row r="80" ht="31" customHeight="1">
      <x:c r="B80" s="8" t="str">
        <x:v>DA-Y1-DZ-M3-SEC</x:v>
      </x:c>
      <x:c r="C80" s="8" t="str">
        <x:v>DA-Y1-DZ-M3</x:v>
      </x:c>
      <x:c r="D80" s="8" t="str">
        <x:v>DA-Y1</x:v>
      </x:c>
      <x:c r="E80" s="8" t="str">
        <x:v>BL-Y</x:v>
      </x:c>
      <x:c r="F80" s="8" t="str"/>
      <x:c r="G80" s="8" t="str"/>
      <x:c r="H80" s="8" t="str"/>
      <x:c r="I80" s="8" t="str"/>
      <x:c r="J80" s="8" t="str"/>
      <x:c r="K80" s="8" t="str"/>
      <x:c r="L80" s="8" t="str">
        <x:f>IF(K80="","OPEN",IF(OR(F80="",G80="",H80="",I80="",J80=""),"FAIL","PASS"))</x:f>
        <x:v>OPEN</x:v>
      </x:c>
    </x:row>
    <x:row r="81" ht="31" customHeight="1">
      <x:c r="B81" s="8" t="str">
        <x:v>DA-Y1-DZ-M4-SEC</x:v>
      </x:c>
      <x:c r="C81" s="8" t="str">
        <x:v>DA-Y1-DZ-M4</x:v>
      </x:c>
      <x:c r="D81" s="8" t="str">
        <x:v>DA-Y1</x:v>
      </x:c>
      <x:c r="E81" s="8" t="str">
        <x:v>BL-Y</x:v>
      </x:c>
      <x:c r="F81" s="8" t="str"/>
      <x:c r="G81" s="8" t="str"/>
      <x:c r="H81" s="8" t="str"/>
      <x:c r="I81" s="8" t="str"/>
      <x:c r="J81" s="8" t="str"/>
      <x:c r="K81" s="8" t="str"/>
      <x:c r="L81" s="8" t="str">
        <x:f>IF(K81="","OPEN",IF(OR(F81="",G81="",H81="",I81="",J81=""),"FAIL","PASS"))</x:f>
        <x:v>OPEN</x:v>
      </x:c>
    </x:row>
    <x:row r="82" ht="31" customHeight="1">
      <x:c r="B82" s="8" t="str">
        <x:v>DA-Y1-DZ-M5-SEC</x:v>
      </x:c>
      <x:c r="C82" s="8" t="str">
        <x:v>DA-Y1-DZ-M5</x:v>
      </x:c>
      <x:c r="D82" s="8" t="str">
        <x:v>DA-Y1</x:v>
      </x:c>
      <x:c r="E82" s="8" t="str">
        <x:v>BL-Y</x:v>
      </x:c>
      <x:c r="F82" s="8" t="str"/>
      <x:c r="G82" s="8" t="str"/>
      <x:c r="H82" s="8" t="str"/>
      <x:c r="I82" s="8" t="str"/>
      <x:c r="J82" s="8" t="str"/>
      <x:c r="K82" s="8" t="str"/>
      <x:c r="L82" s="8" t="str">
        <x:f>IF(K82="","OPEN",IF(OR(F82="",G82="",H82="",I82="",J82=""),"FAIL","PASS"))</x:f>
        <x:v>OPEN</x:v>
      </x:c>
    </x:row>
    <x:row r="83" ht="31" customHeight="1">
      <x:c r="B83" s="8" t="str">
        <x:v>DA-Y1-DZ-M6-SEC</x:v>
      </x:c>
      <x:c r="C83" s="8" t="str">
        <x:v>DA-Y1-DZ-M6</x:v>
      </x:c>
      <x:c r="D83" s="8" t="str">
        <x:v>DA-Y1</x:v>
      </x:c>
      <x:c r="E83" s="8" t="str">
        <x:v>BL-Y</x:v>
      </x:c>
      <x:c r="F83" s="8" t="str"/>
      <x:c r="G83" s="8" t="str"/>
      <x:c r="H83" s="8" t="str"/>
      <x:c r="I83" s="8" t="str"/>
      <x:c r="J83" s="8" t="str"/>
      <x:c r="K83" s="8" t="str"/>
      <x:c r="L83" s="8" t="str">
        <x:f>IF(K83="","OPEN",IF(OR(F83="",G83="",H83="",I83="",J83=""),"FAIL","PASS"))</x:f>
        <x:v>OPEN</x:v>
      </x:c>
    </x:row>
    <x:row r="84" ht="31" customHeight="1">
      <x:c r="B84" s="8" t="str">
        <x:v>DA-Y1-DZ-M7-SEC</x:v>
      </x:c>
      <x:c r="C84" s="8" t="str">
        <x:v>DA-Y1-DZ-M7</x:v>
      </x:c>
      <x:c r="D84" s="8" t="str">
        <x:v>DA-Y1</x:v>
      </x:c>
      <x:c r="E84" s="8" t="str">
        <x:v>BL-Y</x:v>
      </x:c>
      <x:c r="F84" s="8" t="str"/>
      <x:c r="G84" s="8" t="str"/>
      <x:c r="H84" s="8" t="str"/>
      <x:c r="I84" s="8" t="str"/>
      <x:c r="J84" s="8" t="str"/>
      <x:c r="K84" s="8" t="str"/>
      <x:c r="L84" s="8" t="str">
        <x:f>IF(K84="","OPEN",IF(OR(F84="",G84="",H84="",I84="",J84=""),"FAIL","PASS"))</x:f>
        <x:v>OPEN</x:v>
      </x:c>
    </x:row>
    <x:row r="85" ht="31" customHeight="1">
      <x:c r="B85" s="8" t="str">
        <x:v>DA-Y1-DZ-M8-SEC</x:v>
      </x:c>
      <x:c r="C85" s="8" t="str">
        <x:v>DA-Y1-DZ-M8</x:v>
      </x:c>
      <x:c r="D85" s="8" t="str">
        <x:v>DA-Y1</x:v>
      </x:c>
      <x:c r="E85" s="8" t="str">
        <x:v>BL-Y</x:v>
      </x:c>
      <x:c r="F85" s="8" t="str"/>
      <x:c r="G85" s="8" t="str"/>
      <x:c r="H85" s="8" t="str"/>
      <x:c r="I85" s="8" t="str"/>
      <x:c r="J85" s="8" t="str"/>
      <x:c r="K85" s="8" t="str"/>
      <x:c r="L85" s="8" t="str">
        <x:f>IF(K85="","OPEN",IF(OR(F85="",G85="",H85="",I85="",J85=""),"FAIL","PASS"))</x:f>
        <x:v>OPEN</x:v>
      </x:c>
    </x:row>
    <x:row r="86" ht="31" customHeight="1">
      <x:c r="B86" s="8" t="str">
        <x:v>DA-Y1-DZ-M9-SEC</x:v>
      </x:c>
      <x:c r="C86" s="8" t="str">
        <x:v>DA-Y1-DZ-M9</x:v>
      </x:c>
      <x:c r="D86" s="8" t="str">
        <x:v>DA-Y1</x:v>
      </x:c>
      <x:c r="E86" s="8" t="str">
        <x:v>BL-Y</x:v>
      </x:c>
      <x:c r="F86" s="8" t="str"/>
      <x:c r="G86" s="8" t="str"/>
      <x:c r="H86" s="8" t="str"/>
      <x:c r="I86" s="8" t="str"/>
      <x:c r="J86" s="8" t="str"/>
      <x:c r="K86" s="8" t="str"/>
      <x:c r="L86" s="8" t="str">
        <x:f>IF(K86="","OPEN",IF(OR(F86="",G86="",H86="",I86="",J86=""),"FAIL","PASS"))</x:f>
        <x:v>OPEN</x:v>
      </x:c>
    </x:row>
    <x:row r="87" ht="31" customHeight="1">
      <x:c r="B87" s="8" t="str">
        <x:v>DA-Y1-DZ-M10-SEC</x:v>
      </x:c>
      <x:c r="C87" s="8" t="str">
        <x:v>DA-Y1-DZ-M10</x:v>
      </x:c>
      <x:c r="D87" s="8" t="str">
        <x:v>DA-Y1</x:v>
      </x:c>
      <x:c r="E87" s="8" t="str">
        <x:v>BL-Y</x:v>
      </x:c>
      <x:c r="F87" s="8" t="str"/>
      <x:c r="G87" s="8" t="str"/>
      <x:c r="H87" s="8" t="str"/>
      <x:c r="I87" s="8" t="str"/>
      <x:c r="J87" s="8" t="str"/>
      <x:c r="K87" s="8" t="str"/>
      <x:c r="L87" s="8" t="str">
        <x:f>IF(K87="","OPEN",IF(OR(F87="",G87="",H87="",I87="",J87=""),"FAIL","PASS"))</x:f>
        <x:v>OPEN</x:v>
      </x:c>
    </x:row>
    <x:row r="88" ht="31" customHeight="1">
      <x:c r="B88" s="8" t="str">
        <x:v>DA-Y1-DZ-M11-SEC</x:v>
      </x:c>
      <x:c r="C88" s="8" t="str">
        <x:v>DA-Y1-DZ-M11</x:v>
      </x:c>
      <x:c r="D88" s="8" t="str">
        <x:v>DA-Y1</x:v>
      </x:c>
      <x:c r="E88" s="8" t="str">
        <x:v>BL-Y</x:v>
      </x:c>
      <x:c r="F88" s="8" t="str"/>
      <x:c r="G88" s="8" t="str"/>
      <x:c r="H88" s="8" t="str"/>
      <x:c r="I88" s="8" t="str"/>
      <x:c r="J88" s="8" t="str"/>
      <x:c r="K88" s="8" t="str"/>
      <x:c r="L88" s="8" t="str">
        <x:f>IF(K88="","OPEN",IF(OR(F88="",G88="",H88="",I88="",J88=""),"FAIL","PASS"))</x:f>
        <x:v>OPEN</x:v>
      </x:c>
    </x:row>
    <x:row r="89" ht="31" customHeight="1">
      <x:c r="B89" s="8" t="str">
        <x:v>DA-Y1-DZ-M12-SEC</x:v>
      </x:c>
      <x:c r="C89" s="8" t="str">
        <x:v>DA-Y1-DZ-M12</x:v>
      </x:c>
      <x:c r="D89" s="8" t="str">
        <x:v>DA-Y1</x:v>
      </x:c>
      <x:c r="E89" s="8" t="str">
        <x:v>BL-Y</x:v>
      </x:c>
      <x:c r="F89" s="8" t="str"/>
      <x:c r="G89" s="8" t="str"/>
      <x:c r="H89" s="8" t="str"/>
      <x:c r="I89" s="8" t="str"/>
      <x:c r="J89" s="8" t="str"/>
      <x:c r="K89" s="8" t="str"/>
      <x:c r="L89" s="8" t="str">
        <x:f>IF(K89="","OPEN",IF(OR(F89="",G89="",H89="",I89="",J89=""),"FAIL","PASS"))</x:f>
        <x:v>OPEN</x:v>
      </x:c>
    </x:row>
    <x:row r="90" ht="31" customHeight="1">
      <x:c r="B90" s="8" t="str">
        <x:v>DA-Y1-DZ-P1-SEC</x:v>
      </x:c>
      <x:c r="C90" s="8" t="str">
        <x:v>DA-Y1-DZ-P1</x:v>
      </x:c>
      <x:c r="D90" s="8" t="str">
        <x:v>DA-Y1</x:v>
      </x:c>
      <x:c r="E90" s="8" t="str">
        <x:v>BL-Y</x:v>
      </x:c>
      <x:c r="F90" s="8" t="str"/>
      <x:c r="G90" s="8" t="str"/>
      <x:c r="H90" s="8" t="str"/>
      <x:c r="I90" s="8" t="str"/>
      <x:c r="J90" s="8" t="str"/>
      <x:c r="K90" s="8" t="str"/>
      <x:c r="L90" s="8" t="str">
        <x:f>IF(K90="","OPEN",IF(OR(F90="",G90="",H90="",I90="",J90=""),"FAIL","PASS"))</x:f>
        <x:v>OPEN</x:v>
      </x:c>
    </x:row>
    <x:row r="91" ht="31" customHeight="1">
      <x:c r="B91" s="8" t="str">
        <x:v>DA-Y1-DZ-P2-SEC</x:v>
      </x:c>
      <x:c r="C91" s="8" t="str">
        <x:v>DA-Y1-DZ-P2</x:v>
      </x:c>
      <x:c r="D91" s="8" t="str">
        <x:v>DA-Y1</x:v>
      </x:c>
      <x:c r="E91" s="8" t="str">
        <x:v>BL-Y</x:v>
      </x:c>
      <x:c r="F91" s="8" t="str"/>
      <x:c r="G91" s="8" t="str"/>
      <x:c r="H91" s="8" t="str"/>
      <x:c r="I91" s="8" t="str"/>
      <x:c r="J91" s="8" t="str"/>
      <x:c r="K91" s="8" t="str"/>
      <x:c r="L91" s="8" t="str">
        <x:f>IF(K91="","OPEN",IF(OR(F91="",G91="",H91="",I91="",J91=""),"FAIL","PASS"))</x:f>
        <x:v>OPEN</x:v>
      </x:c>
    </x:row>
    <x:row r="92" ht="31" customHeight="1">
      <x:c r="B92" s="8" t="str">
        <x:v>DA-Y1-DZ-P3-SEC</x:v>
      </x:c>
      <x:c r="C92" s="8" t="str">
        <x:v>DA-Y1-DZ-P3</x:v>
      </x:c>
      <x:c r="D92" s="8" t="str">
        <x:v>DA-Y1</x:v>
      </x:c>
      <x:c r="E92" s="8" t="str">
        <x:v>BL-Y</x:v>
      </x:c>
      <x:c r="F92" s="8" t="str"/>
      <x:c r="G92" s="8" t="str"/>
      <x:c r="H92" s="8" t="str"/>
      <x:c r="I92" s="8" t="str"/>
      <x:c r="J92" s="8" t="str"/>
      <x:c r="K92" s="8" t="str"/>
      <x:c r="L92" s="8" t="str">
        <x:f>IF(K92="","OPEN",IF(OR(F92="",G92="",H92="",I92="",J92=""),"FAIL","PASS"))</x:f>
        <x:v>OPEN</x:v>
      </x:c>
    </x:row>
    <x:row r="93" ht="31" customHeight="1">
      <x:c r="B93" s="8" t="str">
        <x:v>DA-Y1-DZ-P4-SEC</x:v>
      </x:c>
      <x:c r="C93" s="8" t="str">
        <x:v>DA-Y1-DZ-P4</x:v>
      </x:c>
      <x:c r="D93" s="8" t="str">
        <x:v>DA-Y1</x:v>
      </x:c>
      <x:c r="E93" s="8" t="str">
        <x:v>BL-Y</x:v>
      </x:c>
      <x:c r="F93" s="8" t="str"/>
      <x:c r="G93" s="8" t="str"/>
      <x:c r="H93" s="8" t="str"/>
      <x:c r="I93" s="8" t="str"/>
      <x:c r="J93" s="8" t="str"/>
      <x:c r="K93" s="8" t="str"/>
      <x:c r="L93" s="8" t="str">
        <x:f>IF(K93="","OPEN",IF(OR(F93="",G93="",H93="",I93="",J93=""),"FAIL","PASS"))</x:f>
        <x:v>OPEN</x:v>
      </x:c>
    </x:row>
    <x:row r="94" ht="31" customHeight="1">
      <x:c r="B94" s="8" t="str">
        <x:v>DA-Y1-DZ-P5-SEC</x:v>
      </x:c>
      <x:c r="C94" s="8" t="str">
        <x:v>DA-Y1-DZ-P5</x:v>
      </x:c>
      <x:c r="D94" s="8" t="str">
        <x:v>DA-Y1</x:v>
      </x:c>
      <x:c r="E94" s="8" t="str">
        <x:v>BL-Y</x:v>
      </x:c>
      <x:c r="F94" s="8" t="str"/>
      <x:c r="G94" s="8" t="str"/>
      <x:c r="H94" s="8" t="str"/>
      <x:c r="I94" s="8" t="str"/>
      <x:c r="J94" s="8" t="str"/>
      <x:c r="K94" s="8" t="str"/>
      <x:c r="L94" s="8" t="str">
        <x:f>IF(K94="","OPEN",IF(OR(F94="",G94="",H94="",I94="",J94=""),"FAIL","PASS"))</x:f>
        <x:v>OPEN</x:v>
      </x:c>
    </x:row>
    <x:row r="95" ht="31" customHeight="1">
      <x:c r="B95" s="8" t="str">
        <x:v>DA-Y1-DZ-P6-SEC</x:v>
      </x:c>
      <x:c r="C95" s="8" t="str">
        <x:v>DA-Y1-DZ-P6</x:v>
      </x:c>
      <x:c r="D95" s="8" t="str">
        <x:v>DA-Y1</x:v>
      </x:c>
      <x:c r="E95" s="8" t="str">
        <x:v>BL-Y</x:v>
      </x:c>
      <x:c r="F95" s="8" t="str"/>
      <x:c r="G95" s="8" t="str"/>
      <x:c r="H95" s="8" t="str"/>
      <x:c r="I95" s="8" t="str"/>
      <x:c r="J95" s="8" t="str"/>
      <x:c r="K95" s="8" t="str"/>
      <x:c r="L95" s="8" t="str">
        <x:f>IF(K95="","OPEN",IF(OR(F95="",G95="",H95="",I95="",J95=""),"FAIL","PASS"))</x:f>
        <x:v>OPEN</x:v>
      </x:c>
    </x:row>
    <x:row r="96" ht="31" customHeight="1">
      <x:c r="B96" s="8" t="str">
        <x:v>DA-Y1-DZ-V1-SEC</x:v>
      </x:c>
      <x:c r="C96" s="8" t="str">
        <x:v>DA-Y1-DZ-V1</x:v>
      </x:c>
      <x:c r="D96" s="8" t="str">
        <x:v>DA-Y1</x:v>
      </x:c>
      <x:c r="E96" s="8" t="str">
        <x:v>BL-Y</x:v>
      </x:c>
      <x:c r="F96" s="8" t="str"/>
      <x:c r="G96" s="8" t="str"/>
      <x:c r="H96" s="8" t="str"/>
      <x:c r="I96" s="8" t="str"/>
      <x:c r="J96" s="8" t="str"/>
      <x:c r="K96" s="8" t="str"/>
      <x:c r="L96" s="8" t="str">
        <x:f>IF(K96="","OPEN",IF(OR(F96="",G96="",H96="",I96="",J96=""),"FAIL","PASS"))</x:f>
        <x:v>OPEN</x:v>
      </x:c>
    </x:row>
    <x:row r="97" ht="31" customHeight="1">
      <x:c r="B97" s="8" t="str">
        <x:v>DA-Y1-DZ-V2-SEC</x:v>
      </x:c>
      <x:c r="C97" s="8" t="str">
        <x:v>DA-Y1-DZ-V2</x:v>
      </x:c>
      <x:c r="D97" s="8" t="str">
        <x:v>DA-Y1</x:v>
      </x:c>
      <x:c r="E97" s="8" t="str">
        <x:v>BL-Y</x:v>
      </x:c>
      <x:c r="F97" s="8" t="str"/>
      <x:c r="G97" s="8" t="str"/>
      <x:c r="H97" s="8" t="str"/>
      <x:c r="I97" s="8" t="str"/>
      <x:c r="J97" s="8" t="str"/>
      <x:c r="K97" s="8" t="str"/>
      <x:c r="L97" s="8" t="str">
        <x:f>IF(K97="","OPEN",IF(OR(F97="",G97="",H97="",I97="",J97=""),"FAIL","PASS"))</x:f>
        <x:v>OPEN</x:v>
      </x:c>
    </x:row>
    <x:row r="98" ht="31" customHeight="1">
      <x:c r="B98" s="8" t="str">
        <x:v>DA-Y1-DZ-V3-SEC</x:v>
      </x:c>
      <x:c r="C98" s="8" t="str">
        <x:v>DA-Y1-DZ-V3</x:v>
      </x:c>
      <x:c r="D98" s="8" t="str">
        <x:v>DA-Y1</x:v>
      </x:c>
      <x:c r="E98" s="8" t="str">
        <x:v>BL-Y</x:v>
      </x:c>
      <x:c r="F98" s="8" t="str"/>
      <x:c r="G98" s="8" t="str"/>
      <x:c r="H98" s="8" t="str"/>
      <x:c r="I98" s="8" t="str"/>
      <x:c r="J98" s="8" t="str"/>
      <x:c r="K98" s="8" t="str"/>
      <x:c r="L98" s="8" t="str">
        <x:f>IF(K98="","OPEN",IF(OR(F98="",G98="",H98="",I98="",J98=""),"FAIL","PASS"))</x:f>
        <x:v>OPEN</x:v>
      </x:c>
    </x:row>
    <x:row r="99" ht="31" customHeight="1">
      <x:c r="B99" s="8" t="str">
        <x:v>DA-Y1-DZ-V4-SEC</x:v>
      </x:c>
      <x:c r="C99" s="8" t="str">
        <x:v>DA-Y1-DZ-V4</x:v>
      </x:c>
      <x:c r="D99" s="8" t="str">
        <x:v>DA-Y1</x:v>
      </x:c>
      <x:c r="E99" s="8" t="str">
        <x:v>BL-Y</x:v>
      </x:c>
      <x:c r="F99" s="8" t="str"/>
      <x:c r="G99" s="8" t="str"/>
      <x:c r="H99" s="8" t="str"/>
      <x:c r="I99" s="8" t="str"/>
      <x:c r="J99" s="8" t="str"/>
      <x:c r="K99" s="8" t="str"/>
      <x:c r="L99" s="8" t="str">
        <x:f>IF(K99="","OPEN",IF(OR(F99="",G99="",H99="",I99="",J99=""),"FAIL","PASS"))</x:f>
        <x:v>OPEN</x:v>
      </x:c>
    </x:row>
    <x:row r="100" ht="31" customHeight="1">
      <x:c r="B100" s="8" t="str">
        <x:v>DA-Y1-DZ-V5-SEC</x:v>
      </x:c>
      <x:c r="C100" s="8" t="str">
        <x:v>DA-Y1-DZ-V5</x:v>
      </x:c>
      <x:c r="D100" s="8" t="str">
        <x:v>DA-Y1</x:v>
      </x:c>
      <x:c r="E100" s="8" t="str">
        <x:v>BL-Y</x:v>
      </x:c>
      <x:c r="F100" s="8" t="str"/>
      <x:c r="G100" s="8" t="str"/>
      <x:c r="H100" s="8" t="str"/>
      <x:c r="I100" s="8" t="str"/>
      <x:c r="J100" s="8" t="str"/>
      <x:c r="K100" s="8" t="str"/>
      <x:c r="L100" s="8" t="str">
        <x:f>IF(K100="","OPEN",IF(OR(F100="",G100="",H100="",I100="",J100=""),"FAIL","PASS"))</x:f>
        <x:v>OPEN</x:v>
      </x:c>
    </x:row>
    <x:row r="101" ht="31" customHeight="1">
      <x:c r="B101" s="8" t="str">
        <x:v>DA-Y1-DZ-V6-SEC</x:v>
      </x:c>
      <x:c r="C101" s="8" t="str">
        <x:v>DA-Y1-DZ-V6</x:v>
      </x:c>
      <x:c r="D101" s="8" t="str">
        <x:v>DA-Y1</x:v>
      </x:c>
      <x:c r="E101" s="8" t="str">
        <x:v>BL-Y</x:v>
      </x:c>
      <x:c r="F101" s="8" t="str"/>
      <x:c r="G101" s="8" t="str"/>
      <x:c r="H101" s="8" t="str"/>
      <x:c r="I101" s="8" t="str"/>
      <x:c r="J101" s="8" t="str"/>
      <x:c r="K101" s="8" t="str"/>
      <x:c r="L101" s="8" t="str">
        <x:f>IF(K101="","OPEN",IF(OR(F101="",G101="",H101="",I101="",J101=""),"FAIL","PASS"))</x:f>
        <x:v>OPEN</x:v>
      </x:c>
    </x:row>
    <x:row r="102" ht="31" customHeight="1">
      <x:c r="B102" s="8" t="str">
        <x:v>DA-Y1-DZ-V7-SEC</x:v>
      </x:c>
      <x:c r="C102" s="8" t="str">
        <x:v>DA-Y1-DZ-V7</x:v>
      </x:c>
      <x:c r="D102" s="8" t="str">
        <x:v>DA-Y1</x:v>
      </x:c>
      <x:c r="E102" s="8" t="str">
        <x:v>BL-Y</x:v>
      </x:c>
      <x:c r="F102" s="8" t="str"/>
      <x:c r="G102" s="8" t="str"/>
      <x:c r="H102" s="8" t="str"/>
      <x:c r="I102" s="8" t="str"/>
      <x:c r="J102" s="8" t="str"/>
      <x:c r="K102" s="8" t="str"/>
      <x:c r="L102" s="8" t="str">
        <x:f>IF(K102="","OPEN",IF(OR(F102="",G102="",H102="",I102="",J102=""),"FAIL","PASS"))</x:f>
        <x:v>OPEN</x:v>
      </x:c>
    </x:row>
  </x:sheetData>
  <x:conditionalFormatting sqref="L7:L102">
    <x:cfRule type="containsText" dxfId="138" priority="1" operator="containsText" text="FAIL"/>
    <x:cfRule type="containsText" dxfId="139" priority="2" operator="containsText" text="BLOCKED"/>
    <x:cfRule type="containsText" dxfId="140" priority="3" operator="containsText" text="OPEN"/>
    <x:cfRule type="containsText" dxfId="141" priority="4" operator="containsText" text="PASS"/>
    <x:cfRule type="containsText" dxfId="142" priority="5" operator="containsText" text="PLANNED"/>
    <x:cfRule type="containsText" dxfId="143" priority="6" operator="containsText" text="ACTIVE"/>
  </x:conditionalFormatting>
  <x:pageMargins left="0.7" right="0.7" top="0.75" bottom="0.75" header="0.3" footer="0.3"/>
</x:worksheet>
</file>

<file path=xl/worksheets/sheet34.xml><?xml version="1.0" encoding="utf-8"?>
<x:worksheet xmlns:x="http://schemas.openxmlformats.org/spreadsheetml/2006/main">
  <x:sheetViews>
    <x:sheetView showGridLines="0" workbookViewId="0">
      <x:pane xSplit="2" ySplit="6" topLeftCell="C7" activePane="bottomRight" state="frozen"/>
    </x:sheetView>
  </x:sheetViews>
  <x:sheetFormatPr defaultRowHeight="15"/>
  <x:cols>
    <x:col min="2" max="2" width="22" hidden="0" customWidth="1"/>
    <x:col min="3" max="3" width="14" hidden="0" customWidth="1"/>
    <x:col min="4" max="4" width="13" hidden="0" customWidth="1"/>
    <x:col min="5" max="5" width="24" hidden="0" customWidth="1"/>
    <x:col min="6" max="6" width="24" hidden="0" customWidth="1"/>
    <x:col min="7" max="7" width="20" hidden="0" customWidth="1"/>
    <x:col min="8" max="8" width="18" hidden="0" customWidth="1"/>
    <x:col min="9" max="9" width="20" hidden="0" customWidth="1"/>
    <x:col min="10" max="10" width="20" hidden="0" customWidth="1"/>
    <x:col min="11" max="11" width="14" hidden="0" customWidth="1"/>
  </x:cols>
  <x:sheetData>
    <x:row r="2">
      <x:c r="B2" s="44" t="str">
        <x:v>Twenty-four NDE-to-destruction correlation decisions</x:v>
      </x:c>
      <x:c r="C2" s="45"/>
      <x:c r="D2" s="45"/>
      <x:c r="E2" s="45"/>
      <x:c r="F2" s="45"/>
      <x:c r="G2" s="45"/>
      <x:c r="H2" s="45"/>
      <x:c r="I2" s="45"/>
      <x:c r="J2" s="45"/>
      <x:c r="K2" s="45"/>
    </x:row>
    <x:row r="3">
      <x:c r="B3" s="46" t="str">
        <x:v>Prediction remains sealed until the destructive truth record is complete.</x:v>
      </x:c>
      <x:c r="C3" s="45"/>
      <x:c r="D3" s="45"/>
      <x:c r="E3" s="45"/>
      <x:c r="F3" s="45"/>
      <x:c r="G3" s="45"/>
      <x:c r="H3" s="45"/>
      <x:c r="I3" s="45"/>
      <x:c r="J3" s="45"/>
      <x:c r="K3" s="45"/>
    </x:row>
    <x:row r="4">
      <x:c r="B4" s="45"/>
      <x:c r="C4" s="45"/>
      <x:c r="D4" s="45"/>
      <x:c r="E4" s="45"/>
      <x:c r="F4" s="45"/>
      <x:c r="G4" s="45"/>
      <x:c r="H4" s="45"/>
      <x:c r="I4" s="45"/>
      <x:c r="J4" s="45"/>
      <x:c r="K4" s="45"/>
    </x:row>
    <x:row r="5">
      <x:c r="B5" s="45"/>
      <x:c r="C5" s="45"/>
      <x:c r="D5" s="45"/>
      <x:c r="E5" s="45"/>
      <x:c r="F5" s="45"/>
      <x:c r="G5" s="45"/>
      <x:c r="H5" s="45"/>
      <x:c r="I5" s="45"/>
      <x:c r="J5" s="45"/>
      <x:c r="K5" s="45"/>
    </x:row>
    <x:row r="6" ht="25" customHeight="1">
      <x:c r="B6" s="6" t="str">
        <x:v>Correlation</x:v>
      </x:c>
      <x:c r="C6" s="6" t="str">
        <x:v>Defect</x:v>
      </x:c>
      <x:c r="D6" s="6" t="str">
        <x:v>Lineage</x:v>
      </x:c>
      <x:c r="E6" s="6" t="str">
        <x:v>Population</x:v>
      </x:c>
      <x:c r="F6" s="6" t="str">
        <x:v>Blind prediction root</x:v>
      </x:c>
      <x:c r="G6" s="6" t="str">
        <x:v>Truth root</x:v>
      </x:c>
      <x:c r="H6" s="6" t="str">
        <x:v>Correct count</x:v>
      </x:c>
      <x:c r="I6" s="6" t="str">
        <x:v>Population count</x:v>
      </x:c>
      <x:c r="J6" s="6" t="str">
        <x:v>Accepted UTC</x:v>
      </x:c>
      <x:c r="K6" s="6" t="str">
        <x:v>State</x:v>
      </x:c>
    </x:row>
    <x:row r="7" ht="32" customHeight="1">
      <x:c r="B7" s="8" t="str">
        <x:v>X-D01-COR-A</x:v>
      </x:c>
      <x:c r="C7" s="8" t="str">
        <x:v>X-D01</x:v>
      </x:c>
      <x:c r="D7" s="8" t="str">
        <x:v>BL-X</x:v>
      </x:c>
      <x:c r="E7" s="8" t="str">
        <x:v>at-threshold positive</x:v>
      </x:c>
      <x:c r="F7" s="8" t="str"/>
      <x:c r="G7" s="8" t="str"/>
      <x:c r="H7" s="8" t="str"/>
      <x:c r="I7" s="8" t="str"/>
      <x:c r="J7" s="8" t="str"/>
      <x:c r="K7" s="8" t="str">
        <x:f>IF(J7="","OPEN",IF(OR(F7="",G7="",NOT(ISNUMBER(H7)),NOT(ISNUMBER(I7)),H7&lt;0,H7&gt;I7),"FAIL","PASS"))</x:f>
        <x:v>OPEN</x:v>
      </x:c>
    </x:row>
    <x:row r="8" ht="32" customHeight="1">
      <x:c r="B8" s="8" t="str">
        <x:v>X-D01-COR-N</x:v>
      </x:c>
      <x:c r="C8" s="8" t="str">
        <x:v>X-D01</x:v>
      </x:c>
      <x:c r="D8" s="8" t="str">
        <x:v>BL-X</x:v>
      </x:c>
      <x:c r="E8" s="8" t="str">
        <x:v>negative and clean</x:v>
      </x:c>
      <x:c r="F8" s="8" t="str"/>
      <x:c r="G8" s="8" t="str"/>
      <x:c r="H8" s="8" t="str"/>
      <x:c r="I8" s="8" t="str"/>
      <x:c r="J8" s="8" t="str"/>
      <x:c r="K8" s="8" t="str">
        <x:f>IF(J8="","OPEN",IF(OR(F8="",G8="",NOT(ISNUMBER(H8)),NOT(ISNUMBER(I8)),H8&lt;0,H8&gt;I8),"FAIL","PASS"))</x:f>
        <x:v>OPEN</x:v>
      </x:c>
    </x:row>
    <x:row r="9" ht="32" customHeight="1">
      <x:c r="B9" s="8" t="str">
        <x:v>X-D02-COR-A</x:v>
      </x:c>
      <x:c r="C9" s="8" t="str">
        <x:v>X-D02</x:v>
      </x:c>
      <x:c r="D9" s="8" t="str">
        <x:v>BL-X</x:v>
      </x:c>
      <x:c r="E9" s="8" t="str">
        <x:v>at-threshold positive</x:v>
      </x:c>
      <x:c r="F9" s="8" t="str"/>
      <x:c r="G9" s="8" t="str"/>
      <x:c r="H9" s="8" t="str"/>
      <x:c r="I9" s="8" t="str"/>
      <x:c r="J9" s="8" t="str"/>
      <x:c r="K9" s="8" t="str">
        <x:f>IF(J9="","OPEN",IF(OR(F9="",G9="",NOT(ISNUMBER(H9)),NOT(ISNUMBER(I9)),H9&lt;0,H9&gt;I9),"FAIL","PASS"))</x:f>
        <x:v>OPEN</x:v>
      </x:c>
    </x:row>
    <x:row r="10" ht="32" customHeight="1">
      <x:c r="B10" s="8" t="str">
        <x:v>X-D02-COR-N</x:v>
      </x:c>
      <x:c r="C10" s="8" t="str">
        <x:v>X-D02</x:v>
      </x:c>
      <x:c r="D10" s="8" t="str">
        <x:v>BL-X</x:v>
      </x:c>
      <x:c r="E10" s="8" t="str">
        <x:v>negative and clean</x:v>
      </x:c>
      <x:c r="F10" s="8" t="str"/>
      <x:c r="G10" s="8" t="str"/>
      <x:c r="H10" s="8" t="str"/>
      <x:c r="I10" s="8" t="str"/>
      <x:c r="J10" s="8" t="str"/>
      <x:c r="K10" s="8" t="str">
        <x:f>IF(J10="","OPEN",IF(OR(F10="",G10="",NOT(ISNUMBER(H10)),NOT(ISNUMBER(I10)),H10&lt;0,H10&gt;I10),"FAIL","PASS"))</x:f>
        <x:v>OPEN</x:v>
      </x:c>
    </x:row>
    <x:row r="11" ht="32" customHeight="1">
      <x:c r="B11" s="8" t="str">
        <x:v>X-D03-COR-A</x:v>
      </x:c>
      <x:c r="C11" s="8" t="str">
        <x:v>X-D03</x:v>
      </x:c>
      <x:c r="D11" s="8" t="str">
        <x:v>BL-X</x:v>
      </x:c>
      <x:c r="E11" s="8" t="str">
        <x:v>at-threshold positive</x:v>
      </x:c>
      <x:c r="F11" s="8" t="str"/>
      <x:c r="G11" s="8" t="str"/>
      <x:c r="H11" s="8" t="str"/>
      <x:c r="I11" s="8" t="str"/>
      <x:c r="J11" s="8" t="str"/>
      <x:c r="K11" s="8" t="str">
        <x:f>IF(J11="","OPEN",IF(OR(F11="",G11="",NOT(ISNUMBER(H11)),NOT(ISNUMBER(I11)),H11&lt;0,H11&gt;I11),"FAIL","PASS"))</x:f>
        <x:v>OPEN</x:v>
      </x:c>
    </x:row>
    <x:row r="12" ht="32" customHeight="1">
      <x:c r="B12" s="8" t="str">
        <x:v>X-D03-COR-N</x:v>
      </x:c>
      <x:c r="C12" s="8" t="str">
        <x:v>X-D03</x:v>
      </x:c>
      <x:c r="D12" s="8" t="str">
        <x:v>BL-X</x:v>
      </x:c>
      <x:c r="E12" s="8" t="str">
        <x:v>negative and clean</x:v>
      </x:c>
      <x:c r="F12" s="8" t="str"/>
      <x:c r="G12" s="8" t="str"/>
      <x:c r="H12" s="8" t="str"/>
      <x:c r="I12" s="8" t="str"/>
      <x:c r="J12" s="8" t="str"/>
      <x:c r="K12" s="8" t="str">
        <x:f>IF(J12="","OPEN",IF(OR(F12="",G12="",NOT(ISNUMBER(H12)),NOT(ISNUMBER(I12)),H12&lt;0,H12&gt;I12),"FAIL","PASS"))</x:f>
        <x:v>OPEN</x:v>
      </x:c>
    </x:row>
    <x:row r="13" ht="32" customHeight="1">
      <x:c r="B13" s="8" t="str">
        <x:v>X-D04-COR-A</x:v>
      </x:c>
      <x:c r="C13" s="8" t="str">
        <x:v>X-D04</x:v>
      </x:c>
      <x:c r="D13" s="8" t="str">
        <x:v>BL-X</x:v>
      </x:c>
      <x:c r="E13" s="8" t="str">
        <x:v>at-threshold positive</x:v>
      </x:c>
      <x:c r="F13" s="8" t="str"/>
      <x:c r="G13" s="8" t="str"/>
      <x:c r="H13" s="8" t="str"/>
      <x:c r="I13" s="8" t="str"/>
      <x:c r="J13" s="8" t="str"/>
      <x:c r="K13" s="8" t="str">
        <x:f>IF(J13="","OPEN",IF(OR(F13="",G13="",NOT(ISNUMBER(H13)),NOT(ISNUMBER(I13)),H13&lt;0,H13&gt;I13),"FAIL","PASS"))</x:f>
        <x:v>OPEN</x:v>
      </x:c>
    </x:row>
    <x:row r="14" ht="32" customHeight="1">
      <x:c r="B14" s="8" t="str">
        <x:v>X-D04-COR-N</x:v>
      </x:c>
      <x:c r="C14" s="8" t="str">
        <x:v>X-D04</x:v>
      </x:c>
      <x:c r="D14" s="8" t="str">
        <x:v>BL-X</x:v>
      </x:c>
      <x:c r="E14" s="8" t="str">
        <x:v>negative and clean</x:v>
      </x:c>
      <x:c r="F14" s="8" t="str"/>
      <x:c r="G14" s="8" t="str"/>
      <x:c r="H14" s="8" t="str"/>
      <x:c r="I14" s="8" t="str"/>
      <x:c r="J14" s="8" t="str"/>
      <x:c r="K14" s="8" t="str">
        <x:f>IF(J14="","OPEN",IF(OR(F14="",G14="",NOT(ISNUMBER(H14)),NOT(ISNUMBER(I14)),H14&lt;0,H14&gt;I14),"FAIL","PASS"))</x:f>
        <x:v>OPEN</x:v>
      </x:c>
    </x:row>
    <x:row r="15" ht="32" customHeight="1">
      <x:c r="B15" s="8" t="str">
        <x:v>X-D05-COR-A</x:v>
      </x:c>
      <x:c r="C15" s="8" t="str">
        <x:v>X-D05</x:v>
      </x:c>
      <x:c r="D15" s="8" t="str">
        <x:v>BL-X</x:v>
      </x:c>
      <x:c r="E15" s="8" t="str">
        <x:v>at-threshold positive</x:v>
      </x:c>
      <x:c r="F15" s="8" t="str"/>
      <x:c r="G15" s="8" t="str"/>
      <x:c r="H15" s="8" t="str"/>
      <x:c r="I15" s="8" t="str"/>
      <x:c r="J15" s="8" t="str"/>
      <x:c r="K15" s="8" t="str">
        <x:f>IF(J15="","OPEN",IF(OR(F15="",G15="",NOT(ISNUMBER(H15)),NOT(ISNUMBER(I15)),H15&lt;0,H15&gt;I15),"FAIL","PASS"))</x:f>
        <x:v>OPEN</x:v>
      </x:c>
    </x:row>
    <x:row r="16" ht="32" customHeight="1">
      <x:c r="B16" s="8" t="str">
        <x:v>X-D05-COR-N</x:v>
      </x:c>
      <x:c r="C16" s="8" t="str">
        <x:v>X-D05</x:v>
      </x:c>
      <x:c r="D16" s="8" t="str">
        <x:v>BL-X</x:v>
      </x:c>
      <x:c r="E16" s="8" t="str">
        <x:v>negative and clean</x:v>
      </x:c>
      <x:c r="F16" s="8" t="str"/>
      <x:c r="G16" s="8" t="str"/>
      <x:c r="H16" s="8" t="str"/>
      <x:c r="I16" s="8" t="str"/>
      <x:c r="J16" s="8" t="str"/>
      <x:c r="K16" s="8" t="str">
        <x:f>IF(J16="","OPEN",IF(OR(F16="",G16="",NOT(ISNUMBER(H16)),NOT(ISNUMBER(I16)),H16&lt;0,H16&gt;I16),"FAIL","PASS"))</x:f>
        <x:v>OPEN</x:v>
      </x:c>
    </x:row>
    <x:row r="17" ht="32" customHeight="1">
      <x:c r="B17" s="8" t="str">
        <x:v>X-D06-COR-A</x:v>
      </x:c>
      <x:c r="C17" s="8" t="str">
        <x:v>X-D06</x:v>
      </x:c>
      <x:c r="D17" s="8" t="str">
        <x:v>BL-X</x:v>
      </x:c>
      <x:c r="E17" s="8" t="str">
        <x:v>at-threshold positive</x:v>
      </x:c>
      <x:c r="F17" s="8" t="str"/>
      <x:c r="G17" s="8" t="str"/>
      <x:c r="H17" s="8" t="str"/>
      <x:c r="I17" s="8" t="str"/>
      <x:c r="J17" s="8" t="str"/>
      <x:c r="K17" s="8" t="str">
        <x:f>IF(J17="","OPEN",IF(OR(F17="",G17="",NOT(ISNUMBER(H17)),NOT(ISNUMBER(I17)),H17&lt;0,H17&gt;I17),"FAIL","PASS"))</x:f>
        <x:v>OPEN</x:v>
      </x:c>
    </x:row>
    <x:row r="18" ht="32" customHeight="1">
      <x:c r="B18" s="8" t="str">
        <x:v>X-D06-COR-N</x:v>
      </x:c>
      <x:c r="C18" s="8" t="str">
        <x:v>X-D06</x:v>
      </x:c>
      <x:c r="D18" s="8" t="str">
        <x:v>BL-X</x:v>
      </x:c>
      <x:c r="E18" s="8" t="str">
        <x:v>negative and clean</x:v>
      </x:c>
      <x:c r="F18" s="8" t="str"/>
      <x:c r="G18" s="8" t="str"/>
      <x:c r="H18" s="8" t="str"/>
      <x:c r="I18" s="8" t="str"/>
      <x:c r="J18" s="8" t="str"/>
      <x:c r="K18" s="8" t="str">
        <x:f>IF(J18="","OPEN",IF(OR(F18="",G18="",NOT(ISNUMBER(H18)),NOT(ISNUMBER(I18)),H18&lt;0,H18&gt;I18),"FAIL","PASS"))</x:f>
        <x:v>OPEN</x:v>
      </x:c>
    </x:row>
    <x:row r="19" ht="32" customHeight="1">
      <x:c r="B19" s="8" t="str">
        <x:v>Y-D01-COR-A</x:v>
      </x:c>
      <x:c r="C19" s="8" t="str">
        <x:v>Y-D01</x:v>
      </x:c>
      <x:c r="D19" s="8" t="str">
        <x:v>BL-Y</x:v>
      </x:c>
      <x:c r="E19" s="8" t="str">
        <x:v>at-threshold positive</x:v>
      </x:c>
      <x:c r="F19" s="8" t="str"/>
      <x:c r="G19" s="8" t="str"/>
      <x:c r="H19" s="8" t="str"/>
      <x:c r="I19" s="8" t="str"/>
      <x:c r="J19" s="8" t="str"/>
      <x:c r="K19" s="8" t="str">
        <x:f>IF(J19="","OPEN",IF(OR(F19="",G19="",NOT(ISNUMBER(H19)),NOT(ISNUMBER(I19)),H19&lt;0,H19&gt;I19),"FAIL","PASS"))</x:f>
        <x:v>OPEN</x:v>
      </x:c>
    </x:row>
    <x:row r="20" ht="32" customHeight="1">
      <x:c r="B20" s="8" t="str">
        <x:v>Y-D01-COR-N</x:v>
      </x:c>
      <x:c r="C20" s="8" t="str">
        <x:v>Y-D01</x:v>
      </x:c>
      <x:c r="D20" s="8" t="str">
        <x:v>BL-Y</x:v>
      </x:c>
      <x:c r="E20" s="8" t="str">
        <x:v>negative and clean</x:v>
      </x:c>
      <x:c r="F20" s="8" t="str"/>
      <x:c r="G20" s="8" t="str"/>
      <x:c r="H20" s="8" t="str"/>
      <x:c r="I20" s="8" t="str"/>
      <x:c r="J20" s="8" t="str"/>
      <x:c r="K20" s="8" t="str">
        <x:f>IF(J20="","OPEN",IF(OR(F20="",G20="",NOT(ISNUMBER(H20)),NOT(ISNUMBER(I20)),H20&lt;0,H20&gt;I20),"FAIL","PASS"))</x:f>
        <x:v>OPEN</x:v>
      </x:c>
    </x:row>
    <x:row r="21" ht="32" customHeight="1">
      <x:c r="B21" s="8" t="str">
        <x:v>Y-D02-COR-A</x:v>
      </x:c>
      <x:c r="C21" s="8" t="str">
        <x:v>Y-D02</x:v>
      </x:c>
      <x:c r="D21" s="8" t="str">
        <x:v>BL-Y</x:v>
      </x:c>
      <x:c r="E21" s="8" t="str">
        <x:v>at-threshold positive</x:v>
      </x:c>
      <x:c r="F21" s="8" t="str"/>
      <x:c r="G21" s="8" t="str"/>
      <x:c r="H21" s="8" t="str"/>
      <x:c r="I21" s="8" t="str"/>
      <x:c r="J21" s="8" t="str"/>
      <x:c r="K21" s="8" t="str">
        <x:f>IF(J21="","OPEN",IF(OR(F21="",G21="",NOT(ISNUMBER(H21)),NOT(ISNUMBER(I21)),H21&lt;0,H21&gt;I21),"FAIL","PASS"))</x:f>
        <x:v>OPEN</x:v>
      </x:c>
    </x:row>
    <x:row r="22" ht="32" customHeight="1">
      <x:c r="B22" s="8" t="str">
        <x:v>Y-D02-COR-N</x:v>
      </x:c>
      <x:c r="C22" s="8" t="str">
        <x:v>Y-D02</x:v>
      </x:c>
      <x:c r="D22" s="8" t="str">
        <x:v>BL-Y</x:v>
      </x:c>
      <x:c r="E22" s="8" t="str">
        <x:v>negative and clean</x:v>
      </x:c>
      <x:c r="F22" s="8" t="str"/>
      <x:c r="G22" s="8" t="str"/>
      <x:c r="H22" s="8" t="str"/>
      <x:c r="I22" s="8" t="str"/>
      <x:c r="J22" s="8" t="str"/>
      <x:c r="K22" s="8" t="str">
        <x:f>IF(J22="","OPEN",IF(OR(F22="",G22="",NOT(ISNUMBER(H22)),NOT(ISNUMBER(I22)),H22&lt;0,H22&gt;I22),"FAIL","PASS"))</x:f>
        <x:v>OPEN</x:v>
      </x:c>
    </x:row>
    <x:row r="23" ht="32" customHeight="1">
      <x:c r="B23" s="8" t="str">
        <x:v>Y-D03-COR-A</x:v>
      </x:c>
      <x:c r="C23" s="8" t="str">
        <x:v>Y-D03</x:v>
      </x:c>
      <x:c r="D23" s="8" t="str">
        <x:v>BL-Y</x:v>
      </x:c>
      <x:c r="E23" s="8" t="str">
        <x:v>at-threshold positive</x:v>
      </x:c>
      <x:c r="F23" s="8" t="str"/>
      <x:c r="G23" s="8" t="str"/>
      <x:c r="H23" s="8" t="str"/>
      <x:c r="I23" s="8" t="str"/>
      <x:c r="J23" s="8" t="str"/>
      <x:c r="K23" s="8" t="str">
        <x:f>IF(J23="","OPEN",IF(OR(F23="",G23="",NOT(ISNUMBER(H23)),NOT(ISNUMBER(I23)),H23&lt;0,H23&gt;I23),"FAIL","PASS"))</x:f>
        <x:v>OPEN</x:v>
      </x:c>
    </x:row>
    <x:row r="24" ht="32" customHeight="1">
      <x:c r="B24" s="8" t="str">
        <x:v>Y-D03-COR-N</x:v>
      </x:c>
      <x:c r="C24" s="8" t="str">
        <x:v>Y-D03</x:v>
      </x:c>
      <x:c r="D24" s="8" t="str">
        <x:v>BL-Y</x:v>
      </x:c>
      <x:c r="E24" s="8" t="str">
        <x:v>negative and clean</x:v>
      </x:c>
      <x:c r="F24" s="8" t="str"/>
      <x:c r="G24" s="8" t="str"/>
      <x:c r="H24" s="8" t="str"/>
      <x:c r="I24" s="8" t="str"/>
      <x:c r="J24" s="8" t="str"/>
      <x:c r="K24" s="8" t="str">
        <x:f>IF(J24="","OPEN",IF(OR(F24="",G24="",NOT(ISNUMBER(H24)),NOT(ISNUMBER(I24)),H24&lt;0,H24&gt;I24),"FAIL","PASS"))</x:f>
        <x:v>OPEN</x:v>
      </x:c>
    </x:row>
    <x:row r="25" ht="32" customHeight="1">
      <x:c r="B25" s="8" t="str">
        <x:v>Y-D04-COR-A</x:v>
      </x:c>
      <x:c r="C25" s="8" t="str">
        <x:v>Y-D04</x:v>
      </x:c>
      <x:c r="D25" s="8" t="str">
        <x:v>BL-Y</x:v>
      </x:c>
      <x:c r="E25" s="8" t="str">
        <x:v>at-threshold positive</x:v>
      </x:c>
      <x:c r="F25" s="8" t="str"/>
      <x:c r="G25" s="8" t="str"/>
      <x:c r="H25" s="8" t="str"/>
      <x:c r="I25" s="8" t="str"/>
      <x:c r="J25" s="8" t="str"/>
      <x:c r="K25" s="8" t="str">
        <x:f>IF(J25="","OPEN",IF(OR(F25="",G25="",NOT(ISNUMBER(H25)),NOT(ISNUMBER(I25)),H25&lt;0,H25&gt;I25),"FAIL","PASS"))</x:f>
        <x:v>OPEN</x:v>
      </x:c>
    </x:row>
    <x:row r="26" ht="32" customHeight="1">
      <x:c r="B26" s="8" t="str">
        <x:v>Y-D04-COR-N</x:v>
      </x:c>
      <x:c r="C26" s="8" t="str">
        <x:v>Y-D04</x:v>
      </x:c>
      <x:c r="D26" s="8" t="str">
        <x:v>BL-Y</x:v>
      </x:c>
      <x:c r="E26" s="8" t="str">
        <x:v>negative and clean</x:v>
      </x:c>
      <x:c r="F26" s="8" t="str"/>
      <x:c r="G26" s="8" t="str"/>
      <x:c r="H26" s="8" t="str"/>
      <x:c r="I26" s="8" t="str"/>
      <x:c r="J26" s="8" t="str"/>
      <x:c r="K26" s="8" t="str">
        <x:f>IF(J26="","OPEN",IF(OR(F26="",G26="",NOT(ISNUMBER(H26)),NOT(ISNUMBER(I26)),H26&lt;0,H26&gt;I26),"FAIL","PASS"))</x:f>
        <x:v>OPEN</x:v>
      </x:c>
    </x:row>
    <x:row r="27" ht="32" customHeight="1">
      <x:c r="B27" s="8" t="str">
        <x:v>Y-D05-COR-A</x:v>
      </x:c>
      <x:c r="C27" s="8" t="str">
        <x:v>Y-D05</x:v>
      </x:c>
      <x:c r="D27" s="8" t="str">
        <x:v>BL-Y</x:v>
      </x:c>
      <x:c r="E27" s="8" t="str">
        <x:v>at-threshold positive</x:v>
      </x:c>
      <x:c r="F27" s="8" t="str"/>
      <x:c r="G27" s="8" t="str"/>
      <x:c r="H27" s="8" t="str"/>
      <x:c r="I27" s="8" t="str"/>
      <x:c r="J27" s="8" t="str"/>
      <x:c r="K27" s="8" t="str">
        <x:f>IF(J27="","OPEN",IF(OR(F27="",G27="",NOT(ISNUMBER(H27)),NOT(ISNUMBER(I27)),H27&lt;0,H27&gt;I27),"FAIL","PASS"))</x:f>
        <x:v>OPEN</x:v>
      </x:c>
    </x:row>
    <x:row r="28" ht="32" customHeight="1">
      <x:c r="B28" s="8" t="str">
        <x:v>Y-D05-COR-N</x:v>
      </x:c>
      <x:c r="C28" s="8" t="str">
        <x:v>Y-D05</x:v>
      </x:c>
      <x:c r="D28" s="8" t="str">
        <x:v>BL-Y</x:v>
      </x:c>
      <x:c r="E28" s="8" t="str">
        <x:v>negative and clean</x:v>
      </x:c>
      <x:c r="F28" s="8" t="str"/>
      <x:c r="G28" s="8" t="str"/>
      <x:c r="H28" s="8" t="str"/>
      <x:c r="I28" s="8" t="str"/>
      <x:c r="J28" s="8" t="str"/>
      <x:c r="K28" s="8" t="str">
        <x:f>IF(J28="","OPEN",IF(OR(F28="",G28="",NOT(ISNUMBER(H28)),NOT(ISNUMBER(I28)),H28&lt;0,H28&gt;I28),"FAIL","PASS"))</x:f>
        <x:v>OPEN</x:v>
      </x:c>
    </x:row>
    <x:row r="29" ht="32" customHeight="1">
      <x:c r="B29" s="8" t="str">
        <x:v>Y-D06-COR-A</x:v>
      </x:c>
      <x:c r="C29" s="8" t="str">
        <x:v>Y-D06</x:v>
      </x:c>
      <x:c r="D29" s="8" t="str">
        <x:v>BL-Y</x:v>
      </x:c>
      <x:c r="E29" s="8" t="str">
        <x:v>at-threshold positive</x:v>
      </x:c>
      <x:c r="F29" s="8" t="str"/>
      <x:c r="G29" s="8" t="str"/>
      <x:c r="H29" s="8" t="str"/>
      <x:c r="I29" s="8" t="str"/>
      <x:c r="J29" s="8" t="str"/>
      <x:c r="K29" s="8" t="str">
        <x:f>IF(J29="","OPEN",IF(OR(F29="",G29="",NOT(ISNUMBER(H29)),NOT(ISNUMBER(I29)),H29&lt;0,H29&gt;I29),"FAIL","PASS"))</x:f>
        <x:v>OPEN</x:v>
      </x:c>
    </x:row>
    <x:row r="30" ht="32" customHeight="1">
      <x:c r="B30" s="8" t="str">
        <x:v>Y-D06-COR-N</x:v>
      </x:c>
      <x:c r="C30" s="8" t="str">
        <x:v>Y-D06</x:v>
      </x:c>
      <x:c r="D30" s="8" t="str">
        <x:v>BL-Y</x:v>
      </x:c>
      <x:c r="E30" s="8" t="str">
        <x:v>negative and clean</x:v>
      </x:c>
      <x:c r="F30" s="8" t="str"/>
      <x:c r="G30" s="8" t="str"/>
      <x:c r="H30" s="8" t="str"/>
      <x:c r="I30" s="8" t="str"/>
      <x:c r="J30" s="8" t="str"/>
      <x:c r="K30" s="8" t="str">
        <x:f>IF(J30="","OPEN",IF(OR(F30="",G30="",NOT(ISNUMBER(H30)),NOT(ISNUMBER(I30)),H30&lt;0,H30&gt;I30),"FAIL","PASS"))</x:f>
        <x:v>OPEN</x:v>
      </x:c>
    </x:row>
  </x:sheetData>
  <x:conditionalFormatting sqref="K7:K30">
    <x:cfRule type="containsText" dxfId="144" priority="1" operator="containsText" text="FAIL"/>
    <x:cfRule type="containsText" dxfId="145" priority="2" operator="containsText" text="BLOCKED"/>
    <x:cfRule type="containsText" dxfId="146" priority="3" operator="containsText" text="OPEN"/>
    <x:cfRule type="containsText" dxfId="147" priority="4" operator="containsText" text="PASS"/>
    <x:cfRule type="containsText" dxfId="148" priority="5" operator="containsText" text="PLANNED"/>
    <x:cfRule type="containsText" dxfId="149" priority="6" operator="containsText" text="ACTIVE"/>
  </x:conditionalFormatting>
  <x:pageMargins left="0.7" right="0.7" top="0.75" bottom="0.75" header="0.3" footer="0.3"/>
</x:worksheet>
</file>

<file path=xl/worksheets/sheet35.xml><?xml version="1.0" encoding="utf-8"?>
<x:worksheet xmlns:x="http://schemas.openxmlformats.org/spreadsheetml/2006/main">
  <x:sheetViews>
    <x:sheetView showGridLines="0" workbookViewId="0">
      <x:pane xSplit="2" ySplit="6" topLeftCell="C7" activePane="bottomRight" state="frozen"/>
    </x:sheetView>
  </x:sheetViews>
  <x:sheetFormatPr defaultRowHeight="15"/>
  <x:cols>
    <x:col min="2" max="2" width="14" hidden="0" customWidth="1"/>
    <x:col min="3" max="3" width="45" hidden="0" customWidth="1"/>
    <x:col min="4" max="4" width="12" hidden="0" customWidth="1"/>
    <x:col min="5" max="5" width="13" hidden="0" customWidth="1"/>
    <x:col min="6" max="6" width="24" hidden="0" customWidth="1"/>
    <x:col min="7" max="7" width="18" hidden="0" customWidth="1"/>
    <x:col min="8" max="8" width="18" hidden="0" customWidth="1"/>
    <x:col min="9" max="9" width="24" hidden="0" customWidth="1"/>
    <x:col min="10" max="10" width="14" hidden="0" customWidth="1"/>
  </x:cols>
  <x:sheetData>
    <x:row r="2">
      <x:c r="B2" s="44" t="str">
        <x:v>Declared one-sided bounds and engineering ratios</x:v>
      </x:c>
      <x:c r="C2" s="45"/>
      <x:c r="D2" s="45"/>
      <x:c r="E2" s="45"/>
      <x:c r="F2" s="45"/>
      <x:c r="G2" s="45"/>
      <x:c r="H2" s="45"/>
      <x:c r="I2" s="45"/>
      <x:c r="J2" s="45"/>
    </x:row>
    <x:row r="3">
      <x:c r="B3" s="46" t="str">
        <x:v>Exact zero-event bounds state the strongest permitted inference. They do not convert screens into fleet reliability.</x:v>
      </x:c>
      <x:c r="C3" s="45"/>
      <x:c r="D3" s="45"/>
      <x:c r="E3" s="45"/>
      <x:c r="F3" s="45"/>
      <x:c r="G3" s="45"/>
      <x:c r="H3" s="45"/>
      <x:c r="I3" s="45"/>
      <x:c r="J3" s="45"/>
    </x:row>
    <x:row r="4">
      <x:c r="B4" s="45"/>
      <x:c r="C4" s="45"/>
      <x:c r="D4" s="45"/>
      <x:c r="E4" s="45"/>
      <x:c r="F4" s="45"/>
      <x:c r="G4" s="45"/>
      <x:c r="H4" s="45"/>
      <x:c r="I4" s="45"/>
      <x:c r="J4" s="45"/>
    </x:row>
    <x:row r="5">
      <x:c r="B5" s="45"/>
      <x:c r="C5" s="45"/>
      <x:c r="D5" s="45"/>
      <x:c r="E5" s="45"/>
      <x:c r="F5" s="45"/>
      <x:c r="G5" s="45"/>
      <x:c r="H5" s="45"/>
      <x:c r="I5" s="45"/>
      <x:c r="J5" s="45"/>
    </x:row>
    <x:row r="6" ht="25" customHeight="1">
      <x:c r="B6" s="6" t="str">
        <x:v>Bound</x:v>
      </x:c>
      <x:c r="C6" s="6" t="str">
        <x:v>Metric</x:v>
      </x:c>
      <x:c r="D6" s="6" t="str">
        <x:v>n</x:v>
      </x:c>
      <x:c r="E6" s="6" t="str">
        <x:v>Events</x:v>
      </x:c>
      <x:c r="F6" s="6" t="str">
        <x:v>Case</x:v>
      </x:c>
      <x:c r="G6" s="6" t="str">
        <x:v>Calculated</x:v>
      </x:c>
      <x:c r="H6" s="6" t="str">
        <x:v>Requirement</x:v>
      </x:c>
      <x:c r="I6" s="6" t="str">
        <x:v>Rule</x:v>
      </x:c>
      <x:c r="J6" s="6" t="str">
        <x:v>State</x:v>
      </x:c>
    </x:row>
    <x:row r="7" ht="32" customHeight="1">
      <x:c r="B7" s="8" t="str">
        <x:v>SB-01</x:v>
      </x:c>
      <x:c r="C7" s="8" t="str">
        <x:v>at-threshold detection lower bound</x:v>
      </x:c>
      <x:c r="D7" s="8" t="n">
        <x:v>29</x:v>
      </x:c>
      <x:c r="E7" s="8" t="n">
        <x:v>0</x:v>
      </x:c>
      <x:c r="F7" s="8" t="str">
        <x:v>all correct</x:v>
      </x:c>
      <x:c r="G7" s="22" t="n">
        <x:f>POWER('Controls'!$D$28,1/'Controls'!$D$30)</x:f>
        <x:v>0.9018553723227043</x:v>
      </x:c>
      <x:c r="H7" s="22" t="n">
        <x:v>0.9</x:v>
      </x:c>
      <x:c r="I7" s="8" t="str">
        <x:v>greater than or equal</x:v>
      </x:c>
      <x:c r="J7" s="8" t="str">
        <x:f>IF(G7&gt;=H7,"PASS","FAIL")</x:f>
        <x:v>PASS</x:v>
      </x:c>
    </x:row>
    <x:row r="8" ht="32" customHeight="1">
      <x:c r="B8" s="8" t="str">
        <x:v>SB-02</x:v>
      </x:c>
      <x:c r="C8" s="8" t="str">
        <x:v>negative false-reject upper bound</x:v>
      </x:c>
      <x:c r="D8" s="8" t="n">
        <x:v>58</x:v>
      </x:c>
      <x:c r="E8" s="8" t="n">
        <x:v>0</x:v>
      </x:c>
      <x:c r="F8" s="8" t="str">
        <x:v>zero false rejects</x:v>
      </x:c>
      <x:c r="G8" s="22" t="n">
        <x:f>1-POWER('Controls'!$D$28,1/'Controls'!$D$31)</x:f>
        <x:v>0.05033933833042015</x:v>
      </x:c>
      <x:c r="H8" s="22" t="n">
        <x:v>0.06</x:v>
      </x:c>
      <x:c r="I8" s="8" t="str">
        <x:v>less than or equal</x:v>
      </x:c>
      <x:c r="J8" s="8" t="str">
        <x:f>IF(G8&lt;=H8,"PASS","FAIL")</x:f>
        <x:v>PASS</x:v>
      </x:c>
    </x:row>
    <x:row r="9" ht="32" customHeight="1">
      <x:c r="B9" s="8" t="str">
        <x:v>SB-03</x:v>
      </x:c>
      <x:c r="C9" s="8" t="str">
        <x:v>process failure upper bound</x:v>
      </x:c>
      <x:c r="D9" s="8" t="n">
        <x:v>60</x:v>
      </x:c>
      <x:c r="E9" s="8" t="n">
        <x:v>0</x:v>
      </x:c>
      <x:c r="F9" s="8" t="str">
        <x:v>zero failures</x:v>
      </x:c>
      <x:c r="G9" s="22" t="n">
        <x:f>1-POWER('Controls'!$D$28,1/'Controls'!$D$29)</x:f>
        <x:v>0.04870291331009746</x:v>
      </x:c>
      <x:c r="H9" s="22" t="n">
        <x:v>0.05</x:v>
      </x:c>
      <x:c r="I9" s="8" t="str">
        <x:v>less than or equal</x:v>
      </x:c>
      <x:c r="J9" s="8" t="str">
        <x:f>IF(G9&lt;=H9,"PASS","FAIL")</x:f>
        <x:v>PASS</x:v>
      </x:c>
    </x:row>
    <x:row r="10" ht="32" customHeight="1">
      <x:c r="B10" s="8" t="str">
        <x:v>SB-04</x:v>
      </x:c>
      <x:c r="C10" s="8" t="str">
        <x:v>required zero-failure n for 5 percent upper bound</x:v>
      </x:c>
      <x:c r="D10" s="8" t="n">
        <x:v>59</x:v>
      </x:c>
      <x:c r="E10" s="8" t="n">
        <x:v>0</x:v>
      </x:c>
      <x:c r="F10" s="8" t="str">
        <x:v>closed-form target</x:v>
      </x:c>
      <x:c r="G10" s="22" t="n">
        <x:f>ROUNDUP(LN('Controls'!$D$28)/LN(1-'Controls'!$D$54),0)</x:f>
        <x:v>59</x:v>
      </x:c>
      <x:c r="H10" s="22" t="n">
        <x:v>59</x:v>
      </x:c>
      <x:c r="I10" s="8" t="str">
        <x:v>equal</x:v>
      </x:c>
      <x:c r="J10" s="8" t="str">
        <x:f>IF(ABS(G10-H10)&lt;0.000001,"PASS","FAIL")</x:f>
        <x:v>PASS</x:v>
      </x:c>
    </x:row>
    <x:row r="11" ht="32" customHeight="1">
      <x:c r="B11" s="8" t="str">
        <x:v>SB-05</x:v>
      </x:c>
      <x:c r="C11" s="8" t="str">
        <x:v>proof-to-surge factor</x:v>
      </x:c>
      <x:c r="D11" s="8" t="n">
        <x:v>0</x:v>
      </x:c>
      <x:c r="E11" s="8" t="n">
        <x:v>0</x:v>
      </x:c>
      <x:c r="F11" s="8" t="str">
        <x:v>pressure ratio</x:v>
      </x:c>
      <x:c r="G11" s="22" t="n">
        <x:f>'Controls'!$D$37/'Controls'!$D$40</x:f>
        <x:v>2.262443438914027</x:v>
      </x:c>
      <x:c r="H11" s="22" t="n">
        <x:v>2</x:v>
      </x:c>
      <x:c r="I11" s="8" t="str">
        <x:v>greater than or equal</x:v>
      </x:c>
      <x:c r="J11" s="8" t="str">
        <x:f>IF(G11&gt;=H11,"PASS","FAIL")</x:f>
        <x:v>PASS</x:v>
      </x:c>
    </x:row>
    <x:row r="12" ht="32" customHeight="1">
      <x:c r="B12" s="8" t="str">
        <x:v>SB-06</x:v>
      </x:c>
      <x:c r="C12" s="8" t="str">
        <x:v>design-to-surge factor</x:v>
      </x:c>
      <x:c r="D12" s="8" t="n">
        <x:v>0</x:v>
      </x:c>
      <x:c r="E12" s="8" t="n">
        <x:v>0</x:v>
      </x:c>
      <x:c r="F12" s="8" t="str">
        <x:v>pressure ratio</x:v>
      </x:c>
      <x:c r="G12" s="22" t="n">
        <x:f>'Controls'!$D$38/'Controls'!$D$40</x:f>
        <x:v>1.5082956259426847</x:v>
      </x:c>
      <x:c r="H12" s="22" t="n">
        <x:v>1.5</x:v>
      </x:c>
      <x:c r="I12" s="8" t="str">
        <x:v>greater than or equal</x:v>
      </x:c>
      <x:c r="J12" s="8" t="str">
        <x:f>IF(G12&gt;=H12,"PASS","FAIL")</x:f>
        <x:v>PASS</x:v>
      </x:c>
    </x:row>
    <x:row r="13" ht="32" customHeight="1">
      <x:c r="B13" s="8" t="str">
        <x:v>SB-07</x:v>
      </x:c>
      <x:c r="C13" s="8" t="str">
        <x:v>leak test uncertainty ratio</x:v>
      </x:c>
      <x:c r="D13" s="8" t="n">
        <x:v>0</x:v>
      </x:c>
      <x:c r="E13" s="8" t="n">
        <x:v>0</x:v>
      </x:c>
      <x:c r="F13" s="8" t="str">
        <x:v>limit divided by U95</x:v>
      </x:c>
      <x:c r="G13" s="22" t="n">
        <x:f>'Controls'!$D$42/'Controls'!$D$43</x:f>
        <x:v>4</x:v>
      </x:c>
      <x:c r="H13" s="22" t="n">
        <x:v>4</x:v>
      </x:c>
      <x:c r="I13" s="8" t="str">
        <x:v>greater than or equal</x:v>
      </x:c>
      <x:c r="J13" s="8" t="str">
        <x:f>IF(G13&gt;=H13,"PASS","FAIL")</x:f>
        <x:v>PASS</x:v>
      </x:c>
    </x:row>
    <x:row r="14" ht="32" customHeight="1">
      <x:c r="B14" s="8" t="str">
        <x:v>SB-08</x:v>
      </x:c>
      <x:c r="C14" s="8" t="str">
        <x:v>bore half-band uncertainty ratio</x:v>
      </x:c>
      <x:c r="D14" s="8" t="n">
        <x:v>0</x:v>
      </x:c>
      <x:c r="E14" s="8" t="n">
        <x:v>0</x:v>
      </x:c>
      <x:c r="F14" s="8" t="str">
        <x:v>half tolerance divided by U95</x:v>
      </x:c>
      <x:c r="G14" s="22" t="n">
        <x:f>('Controls'!$D$44/2)/'Controls'!$D$45</x:f>
        <x:v>4</x:v>
      </x:c>
      <x:c r="H14" s="22" t="n">
        <x:v>4</x:v>
      </x:c>
      <x:c r="I14" s="8" t="str">
        <x:v>greater than or equal</x:v>
      </x:c>
      <x:c r="J14" s="8" t="str">
        <x:f>IF(G14&gt;=H14,"PASS","FAIL")</x:f>
        <x:v>PASS</x:v>
      </x:c>
    </x:row>
    <x:row r="15" ht="32" customHeight="1">
      <x:c r="B15" s="8" t="str">
        <x:v>SB-09</x:v>
      </x:c>
      <x:c r="C15" s="8" t="str">
        <x:v>residual uncertainty ratio</x:v>
      </x:c>
      <x:c r="D15" s="8" t="n">
        <x:v>0</x:v>
      </x:c>
      <x:c r="E15" s="8" t="n">
        <x:v>0</x:v>
      </x:c>
      <x:c r="F15" s="8" t="str">
        <x:v>ceiling divided by U95</x:v>
      </x:c>
      <x:c r="G15" s="22" t="n">
        <x:f>'Controls'!$D$48/'Controls'!$D$49</x:f>
        <x:v>4</x:v>
      </x:c>
      <x:c r="H15" s="22" t="n">
        <x:v>4</x:v>
      </x:c>
      <x:c r="I15" s="8" t="str">
        <x:v>greater than or equal</x:v>
      </x:c>
      <x:c r="J15" s="8" t="str">
        <x:f>IF(G15&gt;=H15,"PASS","FAIL")</x:f>
        <x:v>PASS</x:v>
      </x:c>
    </x:row>
  </x:sheetData>
  <x:conditionalFormatting sqref="J7:J15">
    <x:cfRule type="containsText" dxfId="150" priority="1" operator="containsText" text="FAIL"/>
    <x:cfRule type="containsText" dxfId="151" priority="2" operator="containsText" text="BLOCKED"/>
    <x:cfRule type="containsText" dxfId="152" priority="3" operator="containsText" text="OPEN"/>
    <x:cfRule type="containsText" dxfId="153" priority="4" operator="containsText" text="PASS"/>
    <x:cfRule type="containsText" dxfId="154" priority="5" operator="containsText" text="PLANNED"/>
    <x:cfRule type="containsText" dxfId="155" priority="6" operator="containsText" text="ACTIVE"/>
  </x:conditionalFormatting>
  <x:pageMargins left="0.7" right="0.7" top="0.75" bottom="0.75" header="0.3" footer="0.3"/>
</x:worksheet>
</file>

<file path=xl/worksheets/sheet36.xml><?xml version="1.0" encoding="utf-8"?>
<x:worksheet xmlns:x="http://schemas.openxmlformats.org/spreadsheetml/2006/main">
  <x:sheetViews>
    <x:sheetView showGridLines="0" workbookViewId="0">
      <x:pane xSplit="2" ySplit="6" topLeftCell="C7" activePane="bottomRight" state="frozen"/>
    </x:sheetView>
  </x:sheetViews>
  <x:sheetFormatPr defaultRowHeight="15"/>
  <x:cols>
    <x:col min="2" max="2" width="14" hidden="0" customWidth="1"/>
    <x:col min="3" max="3" width="35" hidden="0" customWidth="1"/>
    <x:col min="4" max="4" width="76" hidden="0" customWidth="1"/>
    <x:col min="5" max="5" width="25" hidden="0" customWidth="1"/>
    <x:col min="6" max="6" width="14" hidden="0" customWidth="1"/>
  </x:cols>
  <x:sheetData>
    <x:row r="2">
      <x:c r="B2" s="44" t="str">
        <x:v>Fourteen campaign decisions</x:v>
      </x:c>
      <x:c r="C2" s="45"/>
      <x:c r="D2" s="45"/>
      <x:c r="E2" s="45"/>
      <x:c r="F2" s="45"/>
    </x:row>
    <x:row r="3">
      <x:c r="B3" s="46" t="str">
        <x:v>Planning calculations may pass while physical construction, destructive evidence and downstream authority remain open or blocked.</x:v>
      </x:c>
      <x:c r="C3" s="45"/>
      <x:c r="D3" s="45"/>
      <x:c r="E3" s="45"/>
      <x:c r="F3" s="45"/>
    </x:row>
    <x:row r="4">
      <x:c r="B4" s="45"/>
      <x:c r="C4" s="45"/>
      <x:c r="D4" s="45"/>
      <x:c r="E4" s="45"/>
      <x:c r="F4" s="45"/>
    </x:row>
    <x:row r="5">
      <x:c r="B5" s="45"/>
      <x:c r="C5" s="45"/>
      <x:c r="D5" s="45"/>
      <x:c r="E5" s="45"/>
      <x:c r="F5" s="45"/>
    </x:row>
    <x:row r="6" ht="25" customHeight="1">
      <x:c r="B6" s="6" t="str">
        <x:v>Decision</x:v>
      </x:c>
      <x:c r="C6" s="6" t="str">
        <x:v>Question</x:v>
      </x:c>
      <x:c r="D6" s="6" t="str">
        <x:v>Required evidence</x:v>
      </x:c>
      <x:c r="E6" s="6" t="str">
        <x:v>Actual</x:v>
      </x:c>
      <x:c r="F6" s="6" t="str">
        <x:v>State</x:v>
      </x:c>
    </x:row>
    <x:row r="7" ht="40" customHeight="1">
      <x:c r="B7" s="8" t="str">
        <x:v>DR-01</x:v>
      </x:c>
      <x:c r="C7" s="8" t="str">
        <x:v>fixture commission</x:v>
      </x:c>
      <x:c r="D7" s="9" t="str">
        <x:v>33 commissioned fixture units</x:v>
      </x:c>
      <x:c r="E7" s="8" t="str">
        <x:f>IF(COUNTIFS('Fixture Commission'!L7:L39,"PASS")=33,"PASS","OPEN")</x:f>
        <x:v>OPEN</x:v>
      </x:c>
      <x:c r="F7" s="8" t="str">
        <x:f>E7</x:f>
        <x:v>OPEN</x:v>
      </x:c>
    </x:row>
    <x:row r="8" ht="40" customHeight="1">
      <x:c r="B8" s="8" t="str">
        <x:v>DR-02</x:v>
      </x:c>
      <x:c r="C8" s="8" t="str">
        <x:v>gage-repeatability records</x:v>
      </x:c>
      <x:c r="D8" s="9" t="str">
        <x:v>720 accepted observations and twelve system-level analyses</x:v>
      </x:c>
      <x:c r="E8" s="8" t="str">
        <x:f>IF(AND(COUNTIFS('GRR Records'!I7:I726,"PASS")=720,COUNTIFS('Metrology Plan'!M7:M18,"PASS")=12),"PASS","OPEN")</x:f>
        <x:v>OPEN</x:v>
      </x:c>
      <x:c r="F8" s="8" t="str">
        <x:f>E8</x:f>
        <x:v>OPEN</x:v>
      </x:c>
    </x:row>
    <x:row r="9" ht="40" customHeight="1">
      <x:c r="B9" s="8" t="str">
        <x:v>DR-03</x:v>
      </x:c>
      <x:c r="C9" s="8" t="str">
        <x:v>uncertainty-plan closure</x:v>
      </x:c>
      <x:c r="D9" s="9" t="str">
        <x:v>12 preliminary budgets inside maximum U95</x:v>
      </x:c>
      <x:c r="E9" s="8" t="str">
        <x:f>IF(COUNTIFS('Uncertainty Budgets'!K7:K18,"PASS")=12,"PASS","FAIL")</x:f>
        <x:v>PASS</x:v>
      </x:c>
      <x:c r="F9" s="8" t="str">
        <x:f>E9</x:f>
        <x:v>PASS</x:v>
      </x:c>
    </x:row>
    <x:row r="10" ht="40" customHeight="1">
      <x:c r="B10" s="8" t="str">
        <x:v>DR-04</x:v>
      </x:c>
      <x:c r="C10" s="8" t="str">
        <x:v>material-lot release</x:v>
      </x:c>
      <x:c r="D10" s="9" t="str">
        <x:v>48 accepted conserved splits</x:v>
      </x:c>
      <x:c r="E10" s="8" t="str">
        <x:f>IF(COUNTIFS('Material Lots'!K7:K54,"PASS")=48,"PASS","OPEN")</x:f>
        <x:v>OPEN</x:v>
      </x:c>
      <x:c r="F10" s="8" t="str">
        <x:f>E10</x:f>
        <x:v>OPEN</x:v>
      </x:c>
    </x:row>
    <x:row r="11" ht="40" customHeight="1">
      <x:c r="B11" s="8" t="str">
        <x:v>DR-05</x:v>
      </x:c>
      <x:c r="C11" s="8" t="str">
        <x:v>process-window completion</x:v>
      </x:c>
      <x:c r="D11" s="9" t="str">
        <x:v>34 accepted cells and 120 specimens</x:v>
      </x:c>
      <x:c r="E11" s="8" t="str">
        <x:f>IF(COUNTIFS('Process Windows'!L7:L40,"PASS")=34,"PASS","OPEN")</x:f>
        <x:v>OPEN</x:v>
      </x:c>
      <x:c r="F11" s="8" t="str">
        <x:f>E11</x:f>
        <x:v>OPEN</x:v>
      </x:c>
    </x:row>
    <x:row r="12" ht="40" customHeight="1">
      <x:c r="B12" s="8" t="str">
        <x:v>DR-06</x:v>
      </x:c>
      <x:c r="C12" s="8" t="str">
        <x:v>defect discrimination</x:v>
      </x:c>
      <x:c r="D12" s="9" t="str">
        <x:v>48 accepted blocks and 1,392 unique presentations</x:v>
      </x:c>
      <x:c r="E12" s="8" t="str">
        <x:f>IF(COUNTIFS('Defect Presentations'!K7:K54,"PASS")=48,"PASS","OPEN")</x:f>
        <x:v>OPEN</x:v>
      </x:c>
      <x:c r="F12" s="8" t="str">
        <x:f>E12</x:f>
        <x:v>OPEN</x:v>
      </x:c>
    </x:row>
    <x:row r="13" ht="40" customHeight="1">
      <x:c r="B13" s="8" t="str">
        <x:v>DR-07</x:v>
      </x:c>
      <x:c r="C13" s="8" t="str">
        <x:v>BL-X integrated build</x:v>
      </x:c>
      <x:c r="D13" s="9" t="str">
        <x:v>travelers, welds, geometry and trials accepted</x:v>
      </x:c>
      <x:c r="E13" s="8" t="str">
        <x:f>IF(AND(COUNTIFS('Article Travelers'!L7:L26,"PASS")=20,COUNTIFS('Weld Records'!L7:L11,"PASS")=5),"PASS","OPEN")</x:f>
        <x:v>OPEN</x:v>
      </x:c>
      <x:c r="F13" s="8" t="str">
        <x:f>E13</x:f>
        <x:v>OPEN</x:v>
      </x:c>
    </x:row>
    <x:row r="14" ht="40" customHeight="1">
      <x:c r="B14" s="8" t="str">
        <x:v>DR-08</x:v>
      </x:c>
      <x:c r="C14" s="8" t="str">
        <x:v>BL-Y integrated build</x:v>
      </x:c>
      <x:c r="D14" s="9" t="str">
        <x:v>travelers, clamps, geometry and trials accepted</x:v>
      </x:c>
      <x:c r="E14" s="8" t="str">
        <x:f>IF(AND(COUNTIFS('Article Travelers'!L27:L46,"PASS")=20,COUNTIFS('Clamp Records'!M7:M11,"PASS")=5),"PASS","OPEN")</x:f>
        <x:v>OPEN</x:v>
      </x:c>
      <x:c r="F14" s="8" t="str">
        <x:f>E14</x:f>
        <x:v>OPEN</x:v>
      </x:c>
    </x:row>
    <x:row r="15" ht="40" customHeight="1">
      <x:c r="B15" s="8" t="str">
        <x:v>DR-09</x:v>
      </x:c>
      <x:c r="C15" s="8" t="str">
        <x:v>complete integrated exposure</x:v>
      </x:c>
      <x:c r="D15" s="9" t="str">
        <x:v>pressure, thermal, cycle, drain, safeing and energy accepted</x:v>
      </x:c>
      <x:c r="E15" s="8" t="str">
        <x:f>IF(AND(COUNTIFS('Pressure Program'!L7:L48,"PASS")=42,COUNTIFS('Thermal Program'!K7:K46,"PASS")=40,COUNTIFS('Cycle Program'!K7:K26,"PASS")=20,COUNTIFS('Drain Program'!K7:K66,"PASS")=60,COUNTIFS('Safeing Program'!K7:K126,"PASS")=120,COUNTIFS('Energy Program'!J7:J14,"PASS")=8),"PASS","OPEN")</x:f>
        <x:v>OPEN</x:v>
      </x:c>
      <x:c r="F15" s="8" t="str">
        <x:f>E15</x:f>
        <x:v>OPEN</x:v>
      </x:c>
    </x:row>
    <x:row r="16" ht="40" customHeight="1">
      <x:c r="B16" s="8" t="str">
        <x:v>DR-10</x:v>
      </x:c>
      <x:c r="C16" s="8" t="str">
        <x:v>destructive correlation</x:v>
      </x:c>
      <x:c r="D16" s="9" t="str">
        <x:v>96 sections and 24 correlations accepted</x:v>
      </x:c>
      <x:c r="E16" s="8" t="str">
        <x:f>IF(AND(COUNTIFS('Section Register'!L7:L102,"PASS")=96,COUNTIFS('Correlation'!K7:K30,"PASS")=24),"PASS","OPEN")</x:f>
        <x:v>OPEN</x:v>
      </x:c>
      <x:c r="F16" s="8" t="str">
        <x:f>E16</x:f>
        <x:v>OPEN</x:v>
      </x:c>
    </x:row>
    <x:row r="17" ht="40" customHeight="1">
      <x:c r="B17" s="8" t="str">
        <x:v>DR-11</x:v>
      </x:c>
      <x:c r="C17" s="8" t="str">
        <x:v>outside reproduction</x:v>
      </x:c>
      <x:c r="D17" s="9" t="str">
        <x:v>two build teams and two replay teams close the released package</x:v>
      </x:c>
      <x:c r="E17" s="8" t="str">
        <x:f>IF('Controls'!$D$77=2,IF('Controls'!$D$78=2,"OPEN","FAIL"),"FAIL")</x:f>
        <x:v>OPEN</x:v>
      </x:c>
      <x:c r="F17" s="8" t="str">
        <x:f>E17</x:f>
        <x:v>OPEN</x:v>
      </x:c>
    </x:row>
    <x:row r="18" ht="40" customHeight="1">
      <x:c r="B18" s="8" t="str">
        <x:v>DR-12</x:v>
      </x:c>
      <x:c r="C18" s="8" t="str">
        <x:v>development-article release</x:v>
      </x:c>
      <x:c r="D18" s="9" t="str">
        <x:v>18 accepted gates per article and named board action</x:v>
      </x:c>
      <x:c r="E18" s="8" t="str">
        <x:f>IF(AND(COUNTIFS('Article Release'!I7:I8,"PASS")=2,'Controls'!$D$71=1),"PASS","OPEN")</x:f>
        <x:v>OPEN</x:v>
      </x:c>
      <x:c r="F18" s="8" t="str">
        <x:f>E18</x:f>
        <x:v>OPEN</x:v>
      </x:c>
    </x:row>
    <x:row r="19" ht="40" customHeight="1">
      <x:c r="B19" s="8" t="str">
        <x:v>DR-13</x:v>
      </x:c>
      <x:c r="C19" s="8" t="str">
        <x:v>production-equivalent lot</x:v>
      </x:c>
      <x:c r="D19" s="9" t="str">
        <x:v>new RAQ-1 construction and qualification authority</x:v>
      </x:c>
      <x:c r="E19" s="8" t="str">
        <x:f>IF('Controls'!$D$72=1,"OPEN","BLOCKED")</x:f>
        <x:v>BLOCKED</x:v>
      </x:c>
      <x:c r="F19" s="8" t="str">
        <x:f>E19</x:f>
        <x:v>BLOCKED</x:v>
      </x:c>
    </x:row>
    <x:row r="20" ht="40" customHeight="1">
      <x:c r="B20" s="8" t="str">
        <x:v>DR-14</x:v>
      </x:c>
      <x:c r="C20" s="8" t="str">
        <x:v>exterior rendering</x:v>
      </x:c>
      <x:c r="D20" s="9" t="str">
        <x:v>candidate mobility, crew, enclosure and field configuration</x:v>
      </x:c>
      <x:c r="E20" s="8" t="str">
        <x:f>IF('Controls'!$D$75=1,"OPEN","BLOCKED")</x:f>
        <x:v>BLOCKED</x:v>
      </x:c>
      <x:c r="F20" s="8" t="str">
        <x:f>E20</x:f>
        <x:v>BLOCKED</x:v>
      </x:c>
    </x:row>
  </x:sheetData>
  <x:conditionalFormatting sqref="F7:F20">
    <x:cfRule type="containsText" dxfId="156" priority="1" operator="containsText" text="FAIL"/>
    <x:cfRule type="containsText" dxfId="157" priority="2" operator="containsText" text="BLOCKED"/>
    <x:cfRule type="containsText" dxfId="158" priority="3" operator="containsText" text="OPEN"/>
    <x:cfRule type="containsText" dxfId="159" priority="4" operator="containsText" text="PASS"/>
    <x:cfRule type="containsText" dxfId="160" priority="5" operator="containsText" text="PLANNED"/>
    <x:cfRule type="containsText" dxfId="161" priority="6" operator="containsText" text="ACTIVE"/>
  </x:conditionalFormatting>
  <x:pageMargins left="0.7" right="0.7" top="0.75" bottom="0.75" header="0.3" footer="0.3"/>
</x:worksheet>
</file>

<file path=xl/worksheets/sheet37.xml><?xml version="1.0" encoding="utf-8"?>
<x:worksheet xmlns:x="http://schemas.openxmlformats.org/spreadsheetml/2006/main">
  <x:sheetViews>
    <x:sheetView showGridLines="0" workbookViewId="0">
      <x:pane xSplit="2" ySplit="6" topLeftCell="C7" activePane="bottomRight" state="frozen"/>
    </x:sheetView>
  </x:sheetViews>
  <x:sheetFormatPr defaultRowHeight="15"/>
  <x:cols>
    <x:col min="2" max="2" width="20" hidden="0" customWidth="1"/>
    <x:col min="3" max="3" width="14" hidden="0" customWidth="1"/>
    <x:col min="4" max="4" width="13" hidden="0" customWidth="1"/>
    <x:col min="5" max="5" width="13" hidden="0" customWidth="1"/>
    <x:col min="6" max="6" width="30" hidden="0" customWidth="1"/>
    <x:col min="7" max="7" width="24" hidden="0" customWidth="1"/>
    <x:col min="8" max="8" width="14" hidden="0" customWidth="1"/>
    <x:col min="9" max="9" width="18" hidden="0" customWidth="1"/>
    <x:col min="10" max="10" width="20" hidden="0" customWidth="1"/>
    <x:col min="11" max="11" width="14" hidden="0" customWidth="1"/>
  </x:cols>
  <x:sheetData>
    <x:row r="2">
      <x:c r="B2" s="44" t="str">
        <x:v>Thirty-six development-article acceptance gates</x:v>
      </x:c>
      <x:c r="C2" s="45"/>
      <x:c r="D2" s="45"/>
      <x:c r="E2" s="45"/>
      <x:c r="F2" s="45"/>
      <x:c r="G2" s="45"/>
      <x:c r="H2" s="45"/>
      <x:c r="I2" s="45"/>
      <x:c r="J2" s="45"/>
      <x:c r="K2" s="45"/>
    </x:row>
    <x:row r="3">
      <x:c r="B3" s="46" t="str">
        <x:v>A signature cannot change missing prerequisites into physical evidence.</x:v>
      </x:c>
      <x:c r="C3" s="45"/>
      <x:c r="D3" s="45"/>
      <x:c r="E3" s="45"/>
      <x:c r="F3" s="45"/>
      <x:c r="G3" s="45"/>
      <x:c r="H3" s="45"/>
      <x:c r="I3" s="45"/>
      <x:c r="J3" s="45"/>
      <x:c r="K3" s="45"/>
    </x:row>
    <x:row r="4">
      <x:c r="B4" s="45"/>
      <x:c r="C4" s="45"/>
      <x:c r="D4" s="45"/>
      <x:c r="E4" s="45"/>
      <x:c r="F4" s="45"/>
      <x:c r="G4" s="45"/>
      <x:c r="H4" s="45"/>
      <x:c r="I4" s="45"/>
      <x:c r="J4" s="45"/>
      <x:c r="K4" s="45"/>
    </x:row>
    <x:row r="5">
      <x:c r="B5" s="45"/>
      <x:c r="C5" s="45"/>
      <x:c r="D5" s="45"/>
      <x:c r="E5" s="45"/>
      <x:c r="F5" s="45"/>
      <x:c r="G5" s="45"/>
      <x:c r="H5" s="45"/>
      <x:c r="I5" s="45"/>
      <x:c r="J5" s="45"/>
      <x:c r="K5" s="45"/>
    </x:row>
    <x:row r="6" ht="25" customHeight="1">
      <x:c r="B6" s="6" t="str">
        <x:v>Gate</x:v>
      </x:c>
      <x:c r="C6" s="6" t="str">
        <x:v>Article</x:v>
      </x:c>
      <x:c r="D6" s="6" t="str">
        <x:v>Lineage</x:v>
      </x:c>
      <x:c r="E6" s="6" t="str">
        <x:v>Sequence</x:v>
      </x:c>
      <x:c r="F6" s="6" t="str">
        <x:v>Requirement</x:v>
      </x:c>
      <x:c r="G6" s="6" t="str">
        <x:v>Prerequisites passed</x:v>
      </x:c>
      <x:c r="H6" s="6" t="str">
        <x:v>Required</x:v>
      </x:c>
      <x:c r="I6" s="6" t="str">
        <x:v>Accepted by</x:v>
      </x:c>
      <x:c r="J6" s="6" t="str">
        <x:v>Accepted UTC</x:v>
      </x:c>
      <x:c r="K6" s="6" t="str">
        <x:v>State</x:v>
      </x:c>
    </x:row>
    <x:row r="7" ht="30" customHeight="1">
      <x:c r="B7" s="8" t="str">
        <x:v>DA-X1-G01</x:v>
      </x:c>
      <x:c r="C7" s="8" t="str">
        <x:v>DA-X1</x:v>
      </x:c>
      <x:c r="D7" s="8" t="str">
        <x:v>BL-X</x:v>
      </x:c>
      <x:c r="E7" s="8" t="n">
        <x:v>1</x:v>
      </x:c>
      <x:c r="F7" s="8" t="str">
        <x:v>authority baseline</x:v>
      </x:c>
      <x:c r="G7" s="8" t="n">
        <x:v>0</x:v>
      </x:c>
      <x:c r="H7" s="8" t="n">
        <x:v>1</x:v>
      </x:c>
      <x:c r="I7" s="8" t="str"/>
      <x:c r="J7" s="8" t="str"/>
      <x:c r="K7" s="8" t="str">
        <x:f>IF(J7="","OPEN",IF(OR(NOT(ISNUMBER(G7)),G7&lt;H7,I7=""),"FAIL","PASS"))</x:f>
        <x:v>OPEN</x:v>
      </x:c>
    </x:row>
    <x:row r="8" ht="30" customHeight="1">
      <x:c r="B8" s="8" t="str">
        <x:v>DA-X1-G02</x:v>
      </x:c>
      <x:c r="C8" s="8" t="str">
        <x:v>DA-X1</x:v>
      </x:c>
      <x:c r="D8" s="8" t="str">
        <x:v>BL-X</x:v>
      </x:c>
      <x:c r="E8" s="8" t="n">
        <x:v>2</x:v>
      </x:c>
      <x:c r="F8" s="8" t="str">
        <x:v>released drawings</x:v>
      </x:c>
      <x:c r="G8" s="8" t="n">
        <x:v>0</x:v>
      </x:c>
      <x:c r="H8" s="8" t="n">
        <x:v>1</x:v>
      </x:c>
      <x:c r="I8" s="8" t="str"/>
      <x:c r="J8" s="8" t="str"/>
      <x:c r="K8" s="8" t="str">
        <x:f>IF(J8="","OPEN",IF(OR(NOT(ISNUMBER(G8)),G8&lt;H8,I8=""),"FAIL","PASS"))</x:f>
        <x:v>OPEN</x:v>
      </x:c>
    </x:row>
    <x:row r="9" ht="30" customHeight="1">
      <x:c r="B9" s="8" t="str">
        <x:v>DA-X1-G03</x:v>
      </x:c>
      <x:c r="C9" s="8" t="str">
        <x:v>DA-X1</x:v>
      </x:c>
      <x:c r="D9" s="8" t="str">
        <x:v>BL-X</x:v>
      </x:c>
      <x:c r="E9" s="8" t="n">
        <x:v>3</x:v>
      </x:c>
      <x:c r="F9" s="8" t="str">
        <x:v>fixture commission</x:v>
      </x:c>
      <x:c r="G9" s="8" t="n">
        <x:v>0</x:v>
      </x:c>
      <x:c r="H9" s="8" t="n">
        <x:v>1</x:v>
      </x:c>
      <x:c r="I9" s="8" t="str"/>
      <x:c r="J9" s="8" t="str"/>
      <x:c r="K9" s="8" t="str">
        <x:f>IF(J9="","OPEN",IF(OR(NOT(ISNUMBER(G9)),G9&lt;H9,I9=""),"FAIL","PASS"))</x:f>
        <x:v>OPEN</x:v>
      </x:c>
    </x:row>
    <x:row r="10" ht="30" customHeight="1">
      <x:c r="B10" s="8" t="str">
        <x:v>DA-X1-G04</x:v>
      </x:c>
      <x:c r="C10" s="8" t="str">
        <x:v>DA-X1</x:v>
      </x:c>
      <x:c r="D10" s="8" t="str">
        <x:v>BL-X</x:v>
      </x:c>
      <x:c r="E10" s="8" t="n">
        <x:v>4</x:v>
      </x:c>
      <x:c r="F10" s="8" t="str">
        <x:v>material ancestry</x:v>
      </x:c>
      <x:c r="G10" s="8" t="n">
        <x:v>0</x:v>
      </x:c>
      <x:c r="H10" s="8" t="n">
        <x:v>1</x:v>
      </x:c>
      <x:c r="I10" s="8" t="str"/>
      <x:c r="J10" s="8" t="str"/>
      <x:c r="K10" s="8" t="str">
        <x:f>IF(J10="","OPEN",IF(OR(NOT(ISNUMBER(G10)),G10&lt;H10,I10=""),"FAIL","PASS"))</x:f>
        <x:v>OPEN</x:v>
      </x:c>
    </x:row>
    <x:row r="11" ht="30" customHeight="1">
      <x:c r="B11" s="8" t="str">
        <x:v>DA-X1-G05</x:v>
      </x:c>
      <x:c r="C11" s="8" t="str">
        <x:v>DA-X1</x:v>
      </x:c>
      <x:c r="D11" s="8" t="str">
        <x:v>BL-X</x:v>
      </x:c>
      <x:c r="E11" s="8" t="n">
        <x:v>5</x:v>
      </x:c>
      <x:c r="F11" s="8" t="str">
        <x:v>process-window screen</x:v>
      </x:c>
      <x:c r="G11" s="8" t="n">
        <x:v>0</x:v>
      </x:c>
      <x:c r="H11" s="8" t="n">
        <x:v>1</x:v>
      </x:c>
      <x:c r="I11" s="8" t="str"/>
      <x:c r="J11" s="8" t="str"/>
      <x:c r="K11" s="8" t="str">
        <x:f>IF(J11="","OPEN",IF(OR(NOT(ISNUMBER(G11)),G11&lt;H11,I11=""),"FAIL","PASS"))</x:f>
        <x:v>OPEN</x:v>
      </x:c>
    </x:row>
    <x:row r="12" ht="30" customHeight="1">
      <x:c r="B12" s="8" t="str">
        <x:v>DA-X1-G06</x:v>
      </x:c>
      <x:c r="C12" s="8" t="str">
        <x:v>DA-X1</x:v>
      </x:c>
      <x:c r="D12" s="8" t="str">
        <x:v>BL-X</x:v>
      </x:c>
      <x:c r="E12" s="8" t="n">
        <x:v>6</x:v>
      </x:c>
      <x:c r="F12" s="8" t="str">
        <x:v>defect discrimination</x:v>
      </x:c>
      <x:c r="G12" s="8" t="n">
        <x:v>0</x:v>
      </x:c>
      <x:c r="H12" s="8" t="n">
        <x:v>1</x:v>
      </x:c>
      <x:c r="I12" s="8" t="str"/>
      <x:c r="J12" s="8" t="str"/>
      <x:c r="K12" s="8" t="str">
        <x:f>IF(J12="","OPEN",IF(OR(NOT(ISNUMBER(G12)),G12&lt;H12,I12=""),"FAIL","PASS"))</x:f>
        <x:v>OPEN</x:v>
      </x:c>
    </x:row>
    <x:row r="13" ht="30" customHeight="1">
      <x:c r="B13" s="8" t="str">
        <x:v>DA-X1-G07</x:v>
      </x:c>
      <x:c r="C13" s="8" t="str">
        <x:v>DA-X1</x:v>
      </x:c>
      <x:c r="D13" s="8" t="str">
        <x:v>BL-X</x:v>
      </x:c>
      <x:c r="E13" s="8" t="n">
        <x:v>7</x:v>
      </x:c>
      <x:c r="F13" s="8" t="str">
        <x:v>crew qualification</x:v>
      </x:c>
      <x:c r="G13" s="8" t="n">
        <x:v>0</x:v>
      </x:c>
      <x:c r="H13" s="8" t="n">
        <x:v>1</x:v>
      </x:c>
      <x:c r="I13" s="8" t="str"/>
      <x:c r="J13" s="8" t="str"/>
      <x:c r="K13" s="8" t="str">
        <x:f>IF(J13="","OPEN",IF(OR(NOT(ISNUMBER(G13)),G13&lt;H13,I13=""),"FAIL","PASS"))</x:f>
        <x:v>OPEN</x:v>
      </x:c>
    </x:row>
    <x:row r="14" ht="30" customHeight="1">
      <x:c r="B14" s="8" t="str">
        <x:v>DA-X1-G08</x:v>
      </x:c>
      <x:c r="C14" s="8" t="str">
        <x:v>DA-X1</x:v>
      </x:c>
      <x:c r="D14" s="8" t="str">
        <x:v>BL-X</x:v>
      </x:c>
      <x:c r="E14" s="8" t="n">
        <x:v>8</x:v>
      </x:c>
      <x:c r="F14" s="8" t="str">
        <x:v>section travelers</x:v>
      </x:c>
      <x:c r="G14" s="8" t="n">
        <x:v>0</x:v>
      </x:c>
      <x:c r="H14" s="8" t="n">
        <x:v>1</x:v>
      </x:c>
      <x:c r="I14" s="8" t="str"/>
      <x:c r="J14" s="8" t="str"/>
      <x:c r="K14" s="8" t="str">
        <x:f>IF(J14="","OPEN",IF(OR(NOT(ISNUMBER(G14)),G14&lt;H14,I14=""),"FAIL","PASS"))</x:f>
        <x:v>OPEN</x:v>
      </x:c>
    </x:row>
    <x:row r="15" ht="30" customHeight="1">
      <x:c r="B15" s="8" t="str">
        <x:v>DA-X1-G09</x:v>
      </x:c>
      <x:c r="C15" s="8" t="str">
        <x:v>DA-X1</x:v>
      </x:c>
      <x:c r="D15" s="8" t="str">
        <x:v>BL-X</x:v>
      </x:c>
      <x:c r="E15" s="8" t="n">
        <x:v>9</x:v>
      </x:c>
      <x:c r="F15" s="8" t="str">
        <x:v>joint records</x:v>
      </x:c>
      <x:c r="G15" s="8" t="n">
        <x:v>0</x:v>
      </x:c>
      <x:c r="H15" s="8" t="n">
        <x:v>1</x:v>
      </x:c>
      <x:c r="I15" s="8" t="str"/>
      <x:c r="J15" s="8" t="str"/>
      <x:c r="K15" s="8" t="str">
        <x:f>IF(J15="","OPEN",IF(OR(NOT(ISNUMBER(G15)),G15&lt;H15,I15=""),"FAIL","PASS"))</x:f>
        <x:v>OPEN</x:v>
      </x:c>
    </x:row>
    <x:row r="16" ht="30" customHeight="1">
      <x:c r="B16" s="8" t="str">
        <x:v>DA-X1-G10</x:v>
      </x:c>
      <x:c r="C16" s="8" t="str">
        <x:v>DA-X1</x:v>
      </x:c>
      <x:c r="D16" s="8" t="str">
        <x:v>BL-X</x:v>
      </x:c>
      <x:c r="E16" s="8" t="n">
        <x:v>10</x:v>
      </x:c>
      <x:c r="F16" s="8" t="str">
        <x:v>integrated geometry</x:v>
      </x:c>
      <x:c r="G16" s="8" t="n">
        <x:v>0</x:v>
      </x:c>
      <x:c r="H16" s="8" t="n">
        <x:v>1</x:v>
      </x:c>
      <x:c r="I16" s="8" t="str"/>
      <x:c r="J16" s="8" t="str"/>
      <x:c r="K16" s="8" t="str">
        <x:f>IF(J16="","OPEN",IF(OR(NOT(ISNUMBER(G16)),G16&lt;H16,I16=""),"FAIL","PASS"))</x:f>
        <x:v>OPEN</x:v>
      </x:c>
    </x:row>
    <x:row r="17" ht="30" customHeight="1">
      <x:c r="B17" s="8" t="str">
        <x:v>DA-X1-G11</x:v>
      </x:c>
      <x:c r="C17" s="8" t="str">
        <x:v>DA-X1</x:v>
      </x:c>
      <x:c r="D17" s="8" t="str">
        <x:v>BL-X</x:v>
      </x:c>
      <x:c r="E17" s="8" t="n">
        <x:v>11</x:v>
      </x:c>
      <x:c r="F17" s="8" t="str">
        <x:v>pressure and cycle</x:v>
      </x:c>
      <x:c r="G17" s="8" t="n">
        <x:v>0</x:v>
      </x:c>
      <x:c r="H17" s="8" t="n">
        <x:v>1</x:v>
      </x:c>
      <x:c r="I17" s="8" t="str"/>
      <x:c r="J17" s="8" t="str"/>
      <x:c r="K17" s="8" t="str">
        <x:f>IF(J17="","OPEN",IF(OR(NOT(ISNUMBER(G17)),G17&lt;H17,I17=""),"FAIL","PASS"))</x:f>
        <x:v>OPEN</x:v>
      </x:c>
    </x:row>
    <x:row r="18" ht="30" customHeight="1">
      <x:c r="B18" s="8" t="str">
        <x:v>DA-X1-G12</x:v>
      </x:c>
      <x:c r="C18" s="8" t="str">
        <x:v>DA-X1</x:v>
      </x:c>
      <x:c r="D18" s="8" t="str">
        <x:v>BL-X</x:v>
      </x:c>
      <x:c r="E18" s="8" t="n">
        <x:v>12</x:v>
      </x:c>
      <x:c r="F18" s="8" t="str">
        <x:v>thermal behavior</x:v>
      </x:c>
      <x:c r="G18" s="8" t="n">
        <x:v>0</x:v>
      </x:c>
      <x:c r="H18" s="8" t="n">
        <x:v>1</x:v>
      </x:c>
      <x:c r="I18" s="8" t="str"/>
      <x:c r="J18" s="8" t="str"/>
      <x:c r="K18" s="8" t="str">
        <x:f>IF(J18="","OPEN",IF(OR(NOT(ISNUMBER(G18)),G18&lt;H18,I18=""),"FAIL","PASS"))</x:f>
        <x:v>OPEN</x:v>
      </x:c>
    </x:row>
    <x:row r="19" ht="30" customHeight="1">
      <x:c r="B19" s="8" t="str">
        <x:v>DA-X1-G13</x:v>
      </x:c>
      <x:c r="C19" s="8" t="str">
        <x:v>DA-X1</x:v>
      </x:c>
      <x:c r="D19" s="8" t="str">
        <x:v>BL-X</x:v>
      </x:c>
      <x:c r="E19" s="8" t="n">
        <x:v>13</x:v>
      </x:c>
      <x:c r="F19" s="8" t="str">
        <x:v>drain and recovery</x:v>
      </x:c>
      <x:c r="G19" s="8" t="n">
        <x:v>0</x:v>
      </x:c>
      <x:c r="H19" s="8" t="n">
        <x:v>1</x:v>
      </x:c>
      <x:c r="I19" s="8" t="str"/>
      <x:c r="J19" s="8" t="str"/>
      <x:c r="K19" s="8" t="str">
        <x:f>IF(J19="","OPEN",IF(OR(NOT(ISNUMBER(G19)),G19&lt;H19,I19=""),"FAIL","PASS"))</x:f>
        <x:v>OPEN</x:v>
      </x:c>
    </x:row>
    <x:row r="20" ht="30" customHeight="1">
      <x:c r="B20" s="8" t="str">
        <x:v>DA-X1-G14</x:v>
      </x:c>
      <x:c r="C20" s="8" t="str">
        <x:v>DA-X1</x:v>
      </x:c>
      <x:c r="D20" s="8" t="str">
        <x:v>BL-X</x:v>
      </x:c>
      <x:c r="E20" s="8" t="n">
        <x:v>14</x:v>
      </x:c>
      <x:c r="F20" s="8" t="str">
        <x:v>safeing work</x:v>
      </x:c>
      <x:c r="G20" s="8" t="n">
        <x:v>0</x:v>
      </x:c>
      <x:c r="H20" s="8" t="n">
        <x:v>1</x:v>
      </x:c>
      <x:c r="I20" s="8" t="str"/>
      <x:c r="J20" s="8" t="str"/>
      <x:c r="K20" s="8" t="str">
        <x:f>IF(J20="","OPEN",IF(OR(NOT(ISNUMBER(G20)),G20&lt;H20,I20=""),"FAIL","PASS"))</x:f>
        <x:v>OPEN</x:v>
      </x:c>
    </x:row>
    <x:row r="21" ht="30" customHeight="1">
      <x:c r="B21" s="8" t="str">
        <x:v>DA-X1-G15</x:v>
      </x:c>
      <x:c r="C21" s="8" t="str">
        <x:v>DA-X1</x:v>
      </x:c>
      <x:c r="D21" s="8" t="str">
        <x:v>BL-X</x:v>
      </x:c>
      <x:c r="E21" s="8" t="n">
        <x:v>15</x:v>
      </x:c>
      <x:c r="F21" s="8" t="str">
        <x:v>independent energy</x:v>
      </x:c>
      <x:c r="G21" s="8" t="n">
        <x:v>0</x:v>
      </x:c>
      <x:c r="H21" s="8" t="n">
        <x:v>1</x:v>
      </x:c>
      <x:c r="I21" s="8" t="str"/>
      <x:c r="J21" s="8" t="str"/>
      <x:c r="K21" s="8" t="str">
        <x:f>IF(J21="","OPEN",IF(OR(NOT(ISNUMBER(G21)),G21&lt;H21,I21=""),"FAIL","PASS"))</x:f>
        <x:v>OPEN</x:v>
      </x:c>
    </x:row>
    <x:row r="22" ht="30" customHeight="1">
      <x:c r="B22" s="8" t="str">
        <x:v>DA-X1-G16</x:v>
      </x:c>
      <x:c r="C22" s="8" t="str">
        <x:v>DA-X1</x:v>
      </x:c>
      <x:c r="D22" s="8" t="str">
        <x:v>BL-X</x:v>
      </x:c>
      <x:c r="E22" s="8" t="n">
        <x:v>16</x:v>
      </x:c>
      <x:c r="F22" s="8" t="str">
        <x:v>instrument and evidence</x:v>
      </x:c>
      <x:c r="G22" s="8" t="n">
        <x:v>0</x:v>
      </x:c>
      <x:c r="H22" s="8" t="n">
        <x:v>1</x:v>
      </x:c>
      <x:c r="I22" s="8" t="str"/>
      <x:c r="J22" s="8" t="str"/>
      <x:c r="K22" s="8" t="str">
        <x:f>IF(J22="","OPEN",IF(OR(NOT(ISNUMBER(G22)),G22&lt;H22,I22=""),"FAIL","PASS"))</x:f>
        <x:v>OPEN</x:v>
      </x:c>
    </x:row>
    <x:row r="23" ht="30" customHeight="1">
      <x:c r="B23" s="8" t="str">
        <x:v>DA-X1-G17</x:v>
      </x:c>
      <x:c r="C23" s="8" t="str">
        <x:v>DA-X1</x:v>
      </x:c>
      <x:c r="D23" s="8" t="str">
        <x:v>BL-X</x:v>
      </x:c>
      <x:c r="E23" s="8" t="n">
        <x:v>17</x:v>
      </x:c>
      <x:c r="F23" s="8" t="str">
        <x:v>destructive correlation</x:v>
      </x:c>
      <x:c r="G23" s="8" t="n">
        <x:v>0</x:v>
      </x:c>
      <x:c r="H23" s="8" t="n">
        <x:v>1</x:v>
      </x:c>
      <x:c r="I23" s="8" t="str"/>
      <x:c r="J23" s="8" t="str"/>
      <x:c r="K23" s="8" t="str">
        <x:f>IF(J23="","OPEN",IF(OR(NOT(ISNUMBER(G23)),G23&lt;H23,I23=""),"FAIL","PASS"))</x:f>
        <x:v>OPEN</x:v>
      </x:c>
    </x:row>
    <x:row r="24" ht="30" customHeight="1">
      <x:c r="B24" s="8" t="str">
        <x:v>DA-X1-G18</x:v>
      </x:c>
      <x:c r="C24" s="8" t="str">
        <x:v>DA-X1</x:v>
      </x:c>
      <x:c r="D24" s="8" t="str">
        <x:v>BL-X</x:v>
      </x:c>
      <x:c r="E24" s="8" t="n">
        <x:v>18</x:v>
      </x:c>
      <x:c r="F24" s="8" t="str">
        <x:v>outside replay</x:v>
      </x:c>
      <x:c r="G24" s="8" t="n">
        <x:v>0</x:v>
      </x:c>
      <x:c r="H24" s="8" t="n">
        <x:v>1</x:v>
      </x:c>
      <x:c r="I24" s="8" t="str"/>
      <x:c r="J24" s="8" t="str"/>
      <x:c r="K24" s="8" t="str">
        <x:f>IF(J24="","OPEN",IF(OR(NOT(ISNUMBER(G24)),G24&lt;H24,I24=""),"FAIL","PASS"))</x:f>
        <x:v>OPEN</x:v>
      </x:c>
    </x:row>
    <x:row r="25" ht="30" customHeight="1">
      <x:c r="B25" s="8" t="str">
        <x:v>DA-Y1-G01</x:v>
      </x:c>
      <x:c r="C25" s="8" t="str">
        <x:v>DA-Y1</x:v>
      </x:c>
      <x:c r="D25" s="8" t="str">
        <x:v>BL-Y</x:v>
      </x:c>
      <x:c r="E25" s="8" t="n">
        <x:v>1</x:v>
      </x:c>
      <x:c r="F25" s="8" t="str">
        <x:v>authority baseline</x:v>
      </x:c>
      <x:c r="G25" s="8" t="n">
        <x:v>0</x:v>
      </x:c>
      <x:c r="H25" s="8" t="n">
        <x:v>1</x:v>
      </x:c>
      <x:c r="I25" s="8" t="str"/>
      <x:c r="J25" s="8" t="str"/>
      <x:c r="K25" s="8" t="str">
        <x:f>IF(J25="","OPEN",IF(OR(NOT(ISNUMBER(G25)),G25&lt;H25,I25=""),"FAIL","PASS"))</x:f>
        <x:v>OPEN</x:v>
      </x:c>
    </x:row>
    <x:row r="26" ht="30" customHeight="1">
      <x:c r="B26" s="8" t="str">
        <x:v>DA-Y1-G02</x:v>
      </x:c>
      <x:c r="C26" s="8" t="str">
        <x:v>DA-Y1</x:v>
      </x:c>
      <x:c r="D26" s="8" t="str">
        <x:v>BL-Y</x:v>
      </x:c>
      <x:c r="E26" s="8" t="n">
        <x:v>2</x:v>
      </x:c>
      <x:c r="F26" s="8" t="str">
        <x:v>released drawings</x:v>
      </x:c>
      <x:c r="G26" s="8" t="n">
        <x:v>0</x:v>
      </x:c>
      <x:c r="H26" s="8" t="n">
        <x:v>1</x:v>
      </x:c>
      <x:c r="I26" s="8" t="str"/>
      <x:c r="J26" s="8" t="str"/>
      <x:c r="K26" s="8" t="str">
        <x:f>IF(J26="","OPEN",IF(OR(NOT(ISNUMBER(G26)),G26&lt;H26,I26=""),"FAIL","PASS"))</x:f>
        <x:v>OPEN</x:v>
      </x:c>
    </x:row>
    <x:row r="27" ht="30" customHeight="1">
      <x:c r="B27" s="8" t="str">
        <x:v>DA-Y1-G03</x:v>
      </x:c>
      <x:c r="C27" s="8" t="str">
        <x:v>DA-Y1</x:v>
      </x:c>
      <x:c r="D27" s="8" t="str">
        <x:v>BL-Y</x:v>
      </x:c>
      <x:c r="E27" s="8" t="n">
        <x:v>3</x:v>
      </x:c>
      <x:c r="F27" s="8" t="str">
        <x:v>fixture commission</x:v>
      </x:c>
      <x:c r="G27" s="8" t="n">
        <x:v>0</x:v>
      </x:c>
      <x:c r="H27" s="8" t="n">
        <x:v>1</x:v>
      </x:c>
      <x:c r="I27" s="8" t="str"/>
      <x:c r="J27" s="8" t="str"/>
      <x:c r="K27" s="8" t="str">
        <x:f>IF(J27="","OPEN",IF(OR(NOT(ISNUMBER(G27)),G27&lt;H27,I27=""),"FAIL","PASS"))</x:f>
        <x:v>OPEN</x:v>
      </x:c>
    </x:row>
    <x:row r="28" ht="30" customHeight="1">
      <x:c r="B28" s="8" t="str">
        <x:v>DA-Y1-G04</x:v>
      </x:c>
      <x:c r="C28" s="8" t="str">
        <x:v>DA-Y1</x:v>
      </x:c>
      <x:c r="D28" s="8" t="str">
        <x:v>BL-Y</x:v>
      </x:c>
      <x:c r="E28" s="8" t="n">
        <x:v>4</x:v>
      </x:c>
      <x:c r="F28" s="8" t="str">
        <x:v>material ancestry</x:v>
      </x:c>
      <x:c r="G28" s="8" t="n">
        <x:v>0</x:v>
      </x:c>
      <x:c r="H28" s="8" t="n">
        <x:v>1</x:v>
      </x:c>
      <x:c r="I28" s="8" t="str"/>
      <x:c r="J28" s="8" t="str"/>
      <x:c r="K28" s="8" t="str">
        <x:f>IF(J28="","OPEN",IF(OR(NOT(ISNUMBER(G28)),G28&lt;H28,I28=""),"FAIL","PASS"))</x:f>
        <x:v>OPEN</x:v>
      </x:c>
    </x:row>
    <x:row r="29" ht="30" customHeight="1">
      <x:c r="B29" s="8" t="str">
        <x:v>DA-Y1-G05</x:v>
      </x:c>
      <x:c r="C29" s="8" t="str">
        <x:v>DA-Y1</x:v>
      </x:c>
      <x:c r="D29" s="8" t="str">
        <x:v>BL-Y</x:v>
      </x:c>
      <x:c r="E29" s="8" t="n">
        <x:v>5</x:v>
      </x:c>
      <x:c r="F29" s="8" t="str">
        <x:v>process-window screen</x:v>
      </x:c>
      <x:c r="G29" s="8" t="n">
        <x:v>0</x:v>
      </x:c>
      <x:c r="H29" s="8" t="n">
        <x:v>1</x:v>
      </x:c>
      <x:c r="I29" s="8" t="str"/>
      <x:c r="J29" s="8" t="str"/>
      <x:c r="K29" s="8" t="str">
        <x:f>IF(J29="","OPEN",IF(OR(NOT(ISNUMBER(G29)),G29&lt;H29,I29=""),"FAIL","PASS"))</x:f>
        <x:v>OPEN</x:v>
      </x:c>
    </x:row>
    <x:row r="30" ht="30" customHeight="1">
      <x:c r="B30" s="8" t="str">
        <x:v>DA-Y1-G06</x:v>
      </x:c>
      <x:c r="C30" s="8" t="str">
        <x:v>DA-Y1</x:v>
      </x:c>
      <x:c r="D30" s="8" t="str">
        <x:v>BL-Y</x:v>
      </x:c>
      <x:c r="E30" s="8" t="n">
        <x:v>6</x:v>
      </x:c>
      <x:c r="F30" s="8" t="str">
        <x:v>defect discrimination</x:v>
      </x:c>
      <x:c r="G30" s="8" t="n">
        <x:v>0</x:v>
      </x:c>
      <x:c r="H30" s="8" t="n">
        <x:v>1</x:v>
      </x:c>
      <x:c r="I30" s="8" t="str"/>
      <x:c r="J30" s="8" t="str"/>
      <x:c r="K30" s="8" t="str">
        <x:f>IF(J30="","OPEN",IF(OR(NOT(ISNUMBER(G30)),G30&lt;H30,I30=""),"FAIL","PASS"))</x:f>
        <x:v>OPEN</x:v>
      </x:c>
    </x:row>
    <x:row r="31" ht="30" customHeight="1">
      <x:c r="B31" s="8" t="str">
        <x:v>DA-Y1-G07</x:v>
      </x:c>
      <x:c r="C31" s="8" t="str">
        <x:v>DA-Y1</x:v>
      </x:c>
      <x:c r="D31" s="8" t="str">
        <x:v>BL-Y</x:v>
      </x:c>
      <x:c r="E31" s="8" t="n">
        <x:v>7</x:v>
      </x:c>
      <x:c r="F31" s="8" t="str">
        <x:v>crew qualification</x:v>
      </x:c>
      <x:c r="G31" s="8" t="n">
        <x:v>0</x:v>
      </x:c>
      <x:c r="H31" s="8" t="n">
        <x:v>1</x:v>
      </x:c>
      <x:c r="I31" s="8" t="str"/>
      <x:c r="J31" s="8" t="str"/>
      <x:c r="K31" s="8" t="str">
        <x:f>IF(J31="","OPEN",IF(OR(NOT(ISNUMBER(G31)),G31&lt;H31,I31=""),"FAIL","PASS"))</x:f>
        <x:v>OPEN</x:v>
      </x:c>
    </x:row>
    <x:row r="32" ht="30" customHeight="1">
      <x:c r="B32" s="8" t="str">
        <x:v>DA-Y1-G08</x:v>
      </x:c>
      <x:c r="C32" s="8" t="str">
        <x:v>DA-Y1</x:v>
      </x:c>
      <x:c r="D32" s="8" t="str">
        <x:v>BL-Y</x:v>
      </x:c>
      <x:c r="E32" s="8" t="n">
        <x:v>8</x:v>
      </x:c>
      <x:c r="F32" s="8" t="str">
        <x:v>section travelers</x:v>
      </x:c>
      <x:c r="G32" s="8" t="n">
        <x:v>0</x:v>
      </x:c>
      <x:c r="H32" s="8" t="n">
        <x:v>1</x:v>
      </x:c>
      <x:c r="I32" s="8" t="str"/>
      <x:c r="J32" s="8" t="str"/>
      <x:c r="K32" s="8" t="str">
        <x:f>IF(J32="","OPEN",IF(OR(NOT(ISNUMBER(G32)),G32&lt;H32,I32=""),"FAIL","PASS"))</x:f>
        <x:v>OPEN</x:v>
      </x:c>
    </x:row>
    <x:row r="33" ht="30" customHeight="1">
      <x:c r="B33" s="8" t="str">
        <x:v>DA-Y1-G09</x:v>
      </x:c>
      <x:c r="C33" s="8" t="str">
        <x:v>DA-Y1</x:v>
      </x:c>
      <x:c r="D33" s="8" t="str">
        <x:v>BL-Y</x:v>
      </x:c>
      <x:c r="E33" s="8" t="n">
        <x:v>9</x:v>
      </x:c>
      <x:c r="F33" s="8" t="str">
        <x:v>joint records</x:v>
      </x:c>
      <x:c r="G33" s="8" t="n">
        <x:v>0</x:v>
      </x:c>
      <x:c r="H33" s="8" t="n">
        <x:v>1</x:v>
      </x:c>
      <x:c r="I33" s="8" t="str"/>
      <x:c r="J33" s="8" t="str"/>
      <x:c r="K33" s="8" t="str">
        <x:f>IF(J33="","OPEN",IF(OR(NOT(ISNUMBER(G33)),G33&lt;H33,I33=""),"FAIL","PASS"))</x:f>
        <x:v>OPEN</x:v>
      </x:c>
    </x:row>
    <x:row r="34" ht="30" customHeight="1">
      <x:c r="B34" s="8" t="str">
        <x:v>DA-Y1-G10</x:v>
      </x:c>
      <x:c r="C34" s="8" t="str">
        <x:v>DA-Y1</x:v>
      </x:c>
      <x:c r="D34" s="8" t="str">
        <x:v>BL-Y</x:v>
      </x:c>
      <x:c r="E34" s="8" t="n">
        <x:v>10</x:v>
      </x:c>
      <x:c r="F34" s="8" t="str">
        <x:v>integrated geometry</x:v>
      </x:c>
      <x:c r="G34" s="8" t="n">
        <x:v>0</x:v>
      </x:c>
      <x:c r="H34" s="8" t="n">
        <x:v>1</x:v>
      </x:c>
      <x:c r="I34" s="8" t="str"/>
      <x:c r="J34" s="8" t="str"/>
      <x:c r="K34" s="8" t="str">
        <x:f>IF(J34="","OPEN",IF(OR(NOT(ISNUMBER(G34)),G34&lt;H34,I34=""),"FAIL","PASS"))</x:f>
        <x:v>OPEN</x:v>
      </x:c>
    </x:row>
    <x:row r="35" ht="30" customHeight="1">
      <x:c r="B35" s="8" t="str">
        <x:v>DA-Y1-G11</x:v>
      </x:c>
      <x:c r="C35" s="8" t="str">
        <x:v>DA-Y1</x:v>
      </x:c>
      <x:c r="D35" s="8" t="str">
        <x:v>BL-Y</x:v>
      </x:c>
      <x:c r="E35" s="8" t="n">
        <x:v>11</x:v>
      </x:c>
      <x:c r="F35" s="8" t="str">
        <x:v>pressure and cycle</x:v>
      </x:c>
      <x:c r="G35" s="8" t="n">
        <x:v>0</x:v>
      </x:c>
      <x:c r="H35" s="8" t="n">
        <x:v>1</x:v>
      </x:c>
      <x:c r="I35" s="8" t="str"/>
      <x:c r="J35" s="8" t="str"/>
      <x:c r="K35" s="8" t="str">
        <x:f>IF(J35="","OPEN",IF(OR(NOT(ISNUMBER(G35)),G35&lt;H35,I35=""),"FAIL","PASS"))</x:f>
        <x:v>OPEN</x:v>
      </x:c>
    </x:row>
    <x:row r="36" ht="30" customHeight="1">
      <x:c r="B36" s="8" t="str">
        <x:v>DA-Y1-G12</x:v>
      </x:c>
      <x:c r="C36" s="8" t="str">
        <x:v>DA-Y1</x:v>
      </x:c>
      <x:c r="D36" s="8" t="str">
        <x:v>BL-Y</x:v>
      </x:c>
      <x:c r="E36" s="8" t="n">
        <x:v>12</x:v>
      </x:c>
      <x:c r="F36" s="8" t="str">
        <x:v>thermal behavior</x:v>
      </x:c>
      <x:c r="G36" s="8" t="n">
        <x:v>0</x:v>
      </x:c>
      <x:c r="H36" s="8" t="n">
        <x:v>1</x:v>
      </x:c>
      <x:c r="I36" s="8" t="str"/>
      <x:c r="J36" s="8" t="str"/>
      <x:c r="K36" s="8" t="str">
        <x:f>IF(J36="","OPEN",IF(OR(NOT(ISNUMBER(G36)),G36&lt;H36,I36=""),"FAIL","PASS"))</x:f>
        <x:v>OPEN</x:v>
      </x:c>
    </x:row>
    <x:row r="37" ht="30" customHeight="1">
      <x:c r="B37" s="8" t="str">
        <x:v>DA-Y1-G13</x:v>
      </x:c>
      <x:c r="C37" s="8" t="str">
        <x:v>DA-Y1</x:v>
      </x:c>
      <x:c r="D37" s="8" t="str">
        <x:v>BL-Y</x:v>
      </x:c>
      <x:c r="E37" s="8" t="n">
        <x:v>13</x:v>
      </x:c>
      <x:c r="F37" s="8" t="str">
        <x:v>drain and recovery</x:v>
      </x:c>
      <x:c r="G37" s="8" t="n">
        <x:v>0</x:v>
      </x:c>
      <x:c r="H37" s="8" t="n">
        <x:v>1</x:v>
      </x:c>
      <x:c r="I37" s="8" t="str"/>
      <x:c r="J37" s="8" t="str"/>
      <x:c r="K37" s="8" t="str">
        <x:f>IF(J37="","OPEN",IF(OR(NOT(ISNUMBER(G37)),G37&lt;H37,I37=""),"FAIL","PASS"))</x:f>
        <x:v>OPEN</x:v>
      </x:c>
    </x:row>
    <x:row r="38" ht="30" customHeight="1">
      <x:c r="B38" s="8" t="str">
        <x:v>DA-Y1-G14</x:v>
      </x:c>
      <x:c r="C38" s="8" t="str">
        <x:v>DA-Y1</x:v>
      </x:c>
      <x:c r="D38" s="8" t="str">
        <x:v>BL-Y</x:v>
      </x:c>
      <x:c r="E38" s="8" t="n">
        <x:v>14</x:v>
      </x:c>
      <x:c r="F38" s="8" t="str">
        <x:v>safeing work</x:v>
      </x:c>
      <x:c r="G38" s="8" t="n">
        <x:v>0</x:v>
      </x:c>
      <x:c r="H38" s="8" t="n">
        <x:v>1</x:v>
      </x:c>
      <x:c r="I38" s="8" t="str"/>
      <x:c r="J38" s="8" t="str"/>
      <x:c r="K38" s="8" t="str">
        <x:f>IF(J38="","OPEN",IF(OR(NOT(ISNUMBER(G38)),G38&lt;H38,I38=""),"FAIL","PASS"))</x:f>
        <x:v>OPEN</x:v>
      </x:c>
    </x:row>
    <x:row r="39" ht="30" customHeight="1">
      <x:c r="B39" s="8" t="str">
        <x:v>DA-Y1-G15</x:v>
      </x:c>
      <x:c r="C39" s="8" t="str">
        <x:v>DA-Y1</x:v>
      </x:c>
      <x:c r="D39" s="8" t="str">
        <x:v>BL-Y</x:v>
      </x:c>
      <x:c r="E39" s="8" t="n">
        <x:v>15</x:v>
      </x:c>
      <x:c r="F39" s="8" t="str">
        <x:v>independent energy</x:v>
      </x:c>
      <x:c r="G39" s="8" t="n">
        <x:v>0</x:v>
      </x:c>
      <x:c r="H39" s="8" t="n">
        <x:v>1</x:v>
      </x:c>
      <x:c r="I39" s="8" t="str"/>
      <x:c r="J39" s="8" t="str"/>
      <x:c r="K39" s="8" t="str">
        <x:f>IF(J39="","OPEN",IF(OR(NOT(ISNUMBER(G39)),G39&lt;H39,I39=""),"FAIL","PASS"))</x:f>
        <x:v>OPEN</x:v>
      </x:c>
    </x:row>
    <x:row r="40" ht="30" customHeight="1">
      <x:c r="B40" s="8" t="str">
        <x:v>DA-Y1-G16</x:v>
      </x:c>
      <x:c r="C40" s="8" t="str">
        <x:v>DA-Y1</x:v>
      </x:c>
      <x:c r="D40" s="8" t="str">
        <x:v>BL-Y</x:v>
      </x:c>
      <x:c r="E40" s="8" t="n">
        <x:v>16</x:v>
      </x:c>
      <x:c r="F40" s="8" t="str">
        <x:v>instrument and evidence</x:v>
      </x:c>
      <x:c r="G40" s="8" t="n">
        <x:v>0</x:v>
      </x:c>
      <x:c r="H40" s="8" t="n">
        <x:v>1</x:v>
      </x:c>
      <x:c r="I40" s="8" t="str"/>
      <x:c r="J40" s="8" t="str"/>
      <x:c r="K40" s="8" t="str">
        <x:f>IF(J40="","OPEN",IF(OR(NOT(ISNUMBER(G40)),G40&lt;H40,I40=""),"FAIL","PASS"))</x:f>
        <x:v>OPEN</x:v>
      </x:c>
    </x:row>
    <x:row r="41" ht="30" customHeight="1">
      <x:c r="B41" s="8" t="str">
        <x:v>DA-Y1-G17</x:v>
      </x:c>
      <x:c r="C41" s="8" t="str">
        <x:v>DA-Y1</x:v>
      </x:c>
      <x:c r="D41" s="8" t="str">
        <x:v>BL-Y</x:v>
      </x:c>
      <x:c r="E41" s="8" t="n">
        <x:v>17</x:v>
      </x:c>
      <x:c r="F41" s="8" t="str">
        <x:v>destructive correlation</x:v>
      </x:c>
      <x:c r="G41" s="8" t="n">
        <x:v>0</x:v>
      </x:c>
      <x:c r="H41" s="8" t="n">
        <x:v>1</x:v>
      </x:c>
      <x:c r="I41" s="8" t="str"/>
      <x:c r="J41" s="8" t="str"/>
      <x:c r="K41" s="8" t="str">
        <x:f>IF(J41="","OPEN",IF(OR(NOT(ISNUMBER(G41)),G41&lt;H41,I41=""),"FAIL","PASS"))</x:f>
        <x:v>OPEN</x:v>
      </x:c>
    </x:row>
    <x:row r="42" ht="30" customHeight="1">
      <x:c r="B42" s="8" t="str">
        <x:v>DA-Y1-G18</x:v>
      </x:c>
      <x:c r="C42" s="8" t="str">
        <x:v>DA-Y1</x:v>
      </x:c>
      <x:c r="D42" s="8" t="str">
        <x:v>BL-Y</x:v>
      </x:c>
      <x:c r="E42" s="8" t="n">
        <x:v>18</x:v>
      </x:c>
      <x:c r="F42" s="8" t="str">
        <x:v>outside replay</x:v>
      </x:c>
      <x:c r="G42" s="8" t="n">
        <x:v>0</x:v>
      </x:c>
      <x:c r="H42" s="8" t="n">
        <x:v>1</x:v>
      </x:c>
      <x:c r="I42" s="8" t="str"/>
      <x:c r="J42" s="8" t="str"/>
      <x:c r="K42" s="8" t="str">
        <x:f>IF(J42="","OPEN",IF(OR(NOT(ISNUMBER(G42)),G42&lt;H42,I42=""),"FAIL","PASS"))</x:f>
        <x:v>OPEN</x:v>
      </x:c>
    </x:row>
  </x:sheetData>
  <x:conditionalFormatting sqref="K7:K42">
    <x:cfRule type="containsText" dxfId="162" priority="1" operator="containsText" text="FAIL"/>
    <x:cfRule type="containsText" dxfId="163" priority="2" operator="containsText" text="BLOCKED"/>
    <x:cfRule type="containsText" dxfId="164" priority="3" operator="containsText" text="OPEN"/>
    <x:cfRule type="containsText" dxfId="165" priority="4" operator="containsText" text="PASS"/>
    <x:cfRule type="containsText" dxfId="166" priority="5" operator="containsText" text="PLANNED"/>
    <x:cfRule type="containsText" dxfId="167" priority="6" operator="containsText" text="ACTIVE"/>
  </x:conditionalFormatting>
  <x:pageMargins left="0.7" right="0.7" top="0.75" bottom="0.75" header="0.3" footer="0.3"/>
</x:worksheet>
</file>

<file path=xl/worksheets/sheet38.xml><?xml version="1.0" encoding="utf-8"?>
<x:worksheet xmlns:x="http://schemas.openxmlformats.org/spreadsheetml/2006/main">
  <x:sheetViews>
    <x:sheetView showGridLines="0" workbookViewId="0">
      <x:pane xSplit="2" ySplit="6" topLeftCell="C7" activePane="bottomRight" state="frozen"/>
    </x:sheetView>
  </x:sheetViews>
  <x:sheetFormatPr defaultRowHeight="15"/>
  <x:cols>
    <x:col min="2" max="2" width="18" hidden="0" customWidth="1"/>
    <x:col min="3" max="3" width="14" hidden="0" customWidth="1"/>
    <x:col min="4" max="4" width="13" hidden="0" customWidth="1"/>
    <x:col min="5" max="5" width="18" hidden="0" customWidth="1"/>
    <x:col min="6" max="6" width="17" hidden="0" customWidth="1"/>
    <x:col min="7" max="7" width="18" hidden="0" customWidth="1"/>
    <x:col min="8" max="8" width="18" hidden="0" customWidth="1"/>
    <x:col min="9" max="9" width="20" hidden="0" customWidth="1"/>
    <x:col min="10" max="10" width="14" hidden="0" customWidth="1"/>
  </x:cols>
  <x:sheetData>
    <x:row r="2">
      <x:c r="B2" s="44" t="str">
        <x:v>Two unavailable development-article decisions</x:v>
      </x:c>
      <x:c r="C2" s="45"/>
      <x:c r="D2" s="45"/>
      <x:c r="E2" s="45"/>
      <x:c r="F2" s="45"/>
      <x:c r="G2" s="45"/>
      <x:c r="H2" s="45"/>
      <x:c r="I2" s="45"/>
      <x:c r="J2" s="45"/>
    </x:row>
    <x:row r="3">
      <x:c r="B3" s="46" t="str">
        <x:v>The articles are terminally destructive. A passing release would accept only the bounded qualification record.</x:v>
      </x:c>
      <x:c r="C3" s="45"/>
      <x:c r="D3" s="45"/>
      <x:c r="E3" s="45"/>
      <x:c r="F3" s="45"/>
      <x:c r="G3" s="45"/>
      <x:c r="H3" s="45"/>
      <x:c r="I3" s="45"/>
      <x:c r="J3" s="45"/>
    </x:row>
    <x:row r="4">
      <x:c r="B4" s="45"/>
      <x:c r="C4" s="45"/>
      <x:c r="D4" s="45"/>
      <x:c r="E4" s="45"/>
      <x:c r="F4" s="45"/>
      <x:c r="G4" s="45"/>
      <x:c r="H4" s="45"/>
      <x:c r="I4" s="45"/>
      <x:c r="J4" s="45"/>
    </x:row>
    <x:row r="5">
      <x:c r="B5" s="45"/>
      <x:c r="C5" s="45"/>
      <x:c r="D5" s="45"/>
      <x:c r="E5" s="45"/>
      <x:c r="F5" s="45"/>
      <x:c r="G5" s="45"/>
      <x:c r="H5" s="45"/>
      <x:c r="I5" s="45"/>
      <x:c r="J5" s="45"/>
    </x:row>
    <x:row r="6" ht="25" customHeight="1">
      <x:c r="B6" s="6" t="str">
        <x:v>Release</x:v>
      </x:c>
      <x:c r="C6" s="6" t="str">
        <x:v>Article</x:v>
      </x:c>
      <x:c r="D6" s="6" t="str">
        <x:v>Lineage</x:v>
      </x:c>
      <x:c r="E6" s="6" t="str">
        <x:v>Required gates</x:v>
      </x:c>
      <x:c r="F6" s="6" t="str">
        <x:v>Passing gates</x:v>
      </x:c>
      <x:c r="G6" s="6" t="str">
        <x:v>Decision</x:v>
      </x:c>
      <x:c r="H6" s="6" t="str">
        <x:v>Authority</x:v>
      </x:c>
      <x:c r="I6" s="6" t="str">
        <x:v>Accepted UTC</x:v>
      </x:c>
      <x:c r="J6" s="6" t="str">
        <x:v>State</x:v>
      </x:c>
    </x:row>
    <x:row r="7" ht="34" customHeight="1">
      <x:c r="B7" s="8" t="str">
        <x:v>DA-X1-REL</x:v>
      </x:c>
      <x:c r="C7" s="8" t="str">
        <x:v>DA-X1</x:v>
      </x:c>
      <x:c r="D7" s="8" t="str">
        <x:v>BL-X</x:v>
      </x:c>
      <x:c r="E7" s="8" t="n">
        <x:v>18</x:v>
      </x:c>
      <x:c r="F7" s="8" t="n">
        <x:f>COUNTIFS('Article Gates'!C7:C42,C7,'Article Gates'!K7:K42,"PASS")</x:f>
        <x:v>0</x:v>
      </x:c>
      <x:c r="G7" s="8" t="str"/>
      <x:c r="H7" s="8" t="str"/>
      <x:c r="I7" s="8" t="str"/>
      <x:c r="J7" s="8" t="str">
        <x:f>IF(I7="","OPEN",IF(OR(F7&lt;E7,G7="",H7=""),"FAIL","PASS"))</x:f>
        <x:v>OPEN</x:v>
      </x:c>
    </x:row>
    <x:row r="8" ht="34" customHeight="1">
      <x:c r="B8" s="8" t="str">
        <x:v>DA-Y1-REL</x:v>
      </x:c>
      <x:c r="C8" s="8" t="str">
        <x:v>DA-Y1</x:v>
      </x:c>
      <x:c r="D8" s="8" t="str">
        <x:v>BL-Y</x:v>
      </x:c>
      <x:c r="E8" s="8" t="n">
        <x:v>18</x:v>
      </x:c>
      <x:c r="F8" s="8" t="n">
        <x:f>COUNTIFS('Article Gates'!C7:C42,C8,'Article Gates'!K7:K42,"PASS")</x:f>
        <x:v>0</x:v>
      </x:c>
      <x:c r="G8" s="8" t="str"/>
      <x:c r="H8" s="8" t="str"/>
      <x:c r="I8" s="8" t="str"/>
      <x:c r="J8" s="8" t="str">
        <x:f>IF(I8="","OPEN",IF(OR(F8&lt;E8,G8="",H8=""),"FAIL","PASS"))</x:f>
        <x:v>OPEN</x:v>
      </x:c>
    </x:row>
  </x:sheetData>
  <x:conditionalFormatting sqref="J7:J8">
    <x:cfRule type="containsText" dxfId="168" priority="1" operator="containsText" text="FAIL"/>
    <x:cfRule type="containsText" dxfId="169" priority="2" operator="containsText" text="BLOCKED"/>
    <x:cfRule type="containsText" dxfId="170" priority="3" operator="containsText" text="OPEN"/>
    <x:cfRule type="containsText" dxfId="171" priority="4" operator="containsText" text="PASS"/>
    <x:cfRule type="containsText" dxfId="172" priority="5" operator="containsText" text="PLANNED"/>
    <x:cfRule type="containsText" dxfId="173" priority="6" operator="containsText" text="ACTIVE"/>
  </x:conditionalFormatting>
  <x:pageMargins left="0.7" right="0.7" top="0.75" bottom="0.75" header="0.3" footer="0.3"/>
</x:worksheet>
</file>

<file path=xl/worksheets/sheet39.xml><?xml version="1.0" encoding="utf-8"?>
<x:worksheet xmlns:x="http://schemas.openxmlformats.org/spreadsheetml/2006/main">
  <x:sheetViews>
    <x:sheetView showGridLines="0" workbookViewId="0">
      <x:pane xSplit="2" ySplit="6" topLeftCell="C7" activePane="bottomRight" state="frozen"/>
    </x:sheetView>
  </x:sheetViews>
  <x:sheetFormatPr defaultRowHeight="15"/>
  <x:cols>
    <x:col min="2" max="2" width="14" hidden="0" customWidth="1"/>
    <x:col min="3" max="3" width="33" hidden="0" customWidth="1"/>
    <x:col min="4" max="4" width="16" hidden="0" customWidth="1"/>
    <x:col min="5" max="5" width="72" hidden="0" customWidth="1"/>
    <x:col min="6" max="6" width="14" hidden="0" customWidth="1"/>
  </x:cols>
  <x:sheetData>
    <x:row r="2">
      <x:c r="B2" s="44" t="str">
        <x:v>Eight downstream authorities remain unavailable</x:v>
      </x:c>
      <x:c r="C2" s="45"/>
      <x:c r="D2" s="45"/>
      <x:c r="E2" s="45"/>
      <x:c r="F2" s="45"/>
    </x:row>
    <x:row r="3">
      <x:c r="B3" s="46" t="str">
        <x:v>RAB-1 designs a physical qualification campaign. It does not assert that the campaign has occurred.</x:v>
      </x:c>
      <x:c r="C3" s="45"/>
      <x:c r="D3" s="45"/>
      <x:c r="E3" s="45"/>
      <x:c r="F3" s="45"/>
    </x:row>
    <x:row r="4">
      <x:c r="B4" s="45"/>
      <x:c r="C4" s="45"/>
      <x:c r="D4" s="45"/>
      <x:c r="E4" s="45"/>
      <x:c r="F4" s="45"/>
    </x:row>
    <x:row r="5">
      <x:c r="B5" s="45"/>
      <x:c r="C5" s="45"/>
      <x:c r="D5" s="45"/>
      <x:c r="E5" s="45"/>
      <x:c r="F5" s="45"/>
    </x:row>
    <x:row r="6" ht="25" customHeight="1">
      <x:c r="B6" s="6" t="str">
        <x:v>Gate</x:v>
      </x:c>
      <x:c r="C6" s="6" t="str">
        <x:v>Decision</x:v>
      </x:c>
      <x:c r="D6" s="6" t="str">
        <x:v>Authority</x:v>
      </x:c>
      <x:c r="E6" s="6" t="str">
        <x:v>Required evidence</x:v>
      </x:c>
      <x:c r="F6" s="6" t="str">
        <x:v>State</x:v>
      </x:c>
    </x:row>
    <x:row r="7" ht="42" customHeight="1">
      <x:c r="B7" s="8" t="str">
        <x:v>CR-01</x:v>
      </x:c>
      <x:c r="C7" s="8" t="str">
        <x:v>fixture use</x:v>
      </x:c>
      <x:c r="D7" s="8" t="n">
        <x:f>'Controls'!$D$71</x:f>
        <x:v>0</x:v>
      </x:c>
      <x:c r="E7" s="9" t="str">
        <x:v>commissioned serialized fixture and safety release</x:v>
      </x:c>
      <x:c r="F7" s="8" t="str">
        <x:f>IF(D7=1,"OPEN","BLOCKED")</x:f>
        <x:v>BLOCKED</x:v>
      </x:c>
    </x:row>
    <x:row r="8" ht="42" customHeight="1">
      <x:c r="B8" s="8" t="str">
        <x:v>CR-02</x:v>
      </x:c>
      <x:c r="C8" s="8" t="str">
        <x:v>development article build</x:v>
      </x:c>
      <x:c r="D8" s="8" t="n">
        <x:f>'Controls'!$D$71</x:f>
        <x:v>0</x:v>
      </x:c>
      <x:c r="E8" s="9" t="str">
        <x:v>released drawings, lots, routes and fixtures</x:v>
      </x:c>
      <x:c r="F8" s="8" t="str">
        <x:f>IF(D8=1,"OPEN","BLOCKED")</x:f>
        <x:v>BLOCKED</x:v>
      </x:c>
    </x:row>
    <x:row r="9" ht="42" customHeight="1">
      <x:c r="B9" s="8" t="str">
        <x:v>CR-03</x:v>
      </x:c>
      <x:c r="C9" s="8" t="str">
        <x:v>development qualification</x:v>
      </x:c>
      <x:c r="D9" s="8" t="n">
        <x:f>'Controls'!$D$71</x:f>
        <x:v>0</x:v>
      </x:c>
      <x:c r="E9" s="9" t="str">
        <x:v>two article releases and statistical decision</x:v>
      </x:c>
      <x:c r="F9" s="8" t="str">
        <x:f>IF(D9=1,"OPEN","BLOCKED")</x:f>
        <x:v>BLOCKED</x:v>
      </x:c>
    </x:row>
    <x:row r="10" ht="42" customHeight="1">
      <x:c r="B10" s="8" t="str">
        <x:v>CR-04</x:v>
      </x:c>
      <x:c r="C10" s="8" t="str">
        <x:v>production-equivalent lot</x:v>
      </x:c>
      <x:c r="D10" s="8" t="n">
        <x:f>'Controls'!$D$72</x:f>
        <x:v>0</x:v>
      </x:c>
      <x:c r="E10" s="9" t="str">
        <x:v>RAQ-1 authority and new physical articles</x:v>
      </x:c>
      <x:c r="F10" s="8" t="str">
        <x:f>IF(D10=1,"OPEN","BLOCKED")</x:f>
        <x:v>BLOCKED</x:v>
      </x:c>
    </x:row>
    <x:row r="11" ht="42" customHeight="1">
      <x:c r="B11" s="8" t="str">
        <x:v>CR-05</x:v>
      </x:c>
      <x:c r="C11" s="8" t="str">
        <x:v>RAP-1 article bank</x:v>
      </x:c>
      <x:c r="D11" s="8" t="n">
        <x:f>'Controls'!$D$72</x:f>
        <x:v>0</x:v>
      </x:c>
      <x:c r="E11" s="9" t="str">
        <x:v>eighteen accepted production-equivalent articles</x:v>
      </x:c>
      <x:c r="F11" s="8" t="str">
        <x:f>IF(D11=1,"OPEN","BLOCKED")</x:f>
        <x:v>BLOCKED</x:v>
      </x:c>
    </x:row>
    <x:row r="12" ht="42" customHeight="1">
      <x:c r="B12" s="8" t="str">
        <x:v>CR-06</x:v>
      </x:c>
      <x:c r="C12" s="8" t="str">
        <x:v>RAP-1 physical campaign</x:v>
      </x:c>
      <x:c r="D12" s="8" t="n">
        <x:f>'Controls'!$D$73</x:f>
        <x:v>0</x:v>
      </x:c>
      <x:c r="E12" s="9" t="str">
        <x:v>accepted bank, rigs and campaign issue</x:v>
      </x:c>
      <x:c r="F12" s="8" t="str">
        <x:f>IF(D12=1,"OPEN","BLOCKED")</x:f>
        <x:v>BLOCKED</x:v>
      </x:c>
    </x:row>
    <x:row r="13" ht="42" customHeight="1">
      <x:c r="B13" s="8" t="str">
        <x:v>CR-07</x:v>
      </x:c>
      <x:c r="C13" s="8" t="str">
        <x:v>source entry</x:v>
      </x:c>
      <x:c r="D13" s="8" t="n">
        <x:f>'Controls'!$D$74</x:f>
        <x:v>0</x:v>
      </x:c>
      <x:c r="E13" s="9" t="str">
        <x:v>named event dossier, source package and issuer</x:v>
      </x:c>
      <x:c r="F13" s="8" t="str">
        <x:f>IF(D13=1,"OPEN","BLOCKED")</x:f>
        <x:v>BLOCKED</x:v>
      </x:c>
    </x:row>
    <x:row r="14" ht="42" customHeight="1">
      <x:c r="B14" s="8" t="str">
        <x:v>CR-08</x:v>
      </x:c>
      <x:c r="C14" s="8" t="str">
        <x:v>exterior rendering</x:v>
      </x:c>
      <x:c r="D14" s="8" t="n">
        <x:f>'Controls'!$D$75</x:f>
        <x:v>0</x:v>
      </x:c>
      <x:c r="E14" s="9" t="str">
        <x:v>field candidate geometry, crew, access and service research</x:v>
      </x:c>
      <x:c r="F14" s="8" t="str">
        <x:f>IF(D14=1,"OPEN","BLOCKED")</x:f>
        <x:v>BLOCKED</x:v>
      </x:c>
    </x:row>
  </x:sheetData>
  <x:conditionalFormatting sqref="F7:F14">
    <x:cfRule type="containsText" dxfId="174" priority="1" operator="containsText" text="FAIL"/>
    <x:cfRule type="containsText" dxfId="175" priority="2" operator="containsText" text="BLOCKED"/>
    <x:cfRule type="containsText" dxfId="176" priority="3" operator="containsText" text="OPEN"/>
    <x:cfRule type="containsText" dxfId="177" priority="4" operator="containsText" text="PASS"/>
    <x:cfRule type="containsText" dxfId="178" priority="5" operator="containsText" text="PLANNED"/>
    <x:cfRule type="containsText" dxfId="179" priority="6" operator="containsText" text="ACTIVE"/>
  </x:conditionalFormatting>
  <x:pageMargins left="0.7" right="0.7" top="0.75" bottom="0.75" header="0.3" footer="0.3"/>
</x:worksheet>
</file>

<file path=xl/worksheets/sheet40.xml><?xml version="1.0" encoding="utf-8"?>
<x:worksheet xmlns:x="http://schemas.openxmlformats.org/spreadsheetml/2006/main">
  <x:sheetViews>
    <x:sheetView showGridLines="0" workbookViewId="0">
      <x:pane xSplit="2" ySplit="6" topLeftCell="C7" activePane="bottomRight" state="frozen"/>
    </x:sheetView>
  </x:sheetViews>
  <x:sheetFormatPr defaultRowHeight="15"/>
  <x:cols>
    <x:col min="2" max="2" width="12" hidden="0" customWidth="1"/>
    <x:col min="3" max="3" width="42" hidden="0" customWidth="1"/>
    <x:col min="4" max="4" width="14" hidden="0" customWidth="1"/>
    <x:col min="5" max="5" width="38" hidden="0" customWidth="1"/>
    <x:col min="6" max="6" width="42" hidden="0" customWidth="1"/>
    <x:col min="7" max="7" width="14" hidden="0" customWidth="1"/>
  </x:cols>
  <x:sheetData>
    <x:row r="2">
      <x:c r="B2" s="44" t="str">
        <x:v>Eighteen-month physical qualification sequence</x:v>
      </x:c>
      <x:c r="C2" s="45"/>
      <x:c r="D2" s="45"/>
      <x:c r="E2" s="45"/>
      <x:c r="F2" s="45"/>
      <x:c r="G2" s="45"/>
    </x:row>
    <x:row r="3">
      <x:c r="B3" s="46" t="str">
        <x:v>The schedule preserves order dependencies. Parallel work cannot move blind-key opening ahead of committed calls or destruction ahead of intact trials.</x:v>
      </x:c>
      <x:c r="C3" s="45"/>
      <x:c r="D3" s="45"/>
      <x:c r="E3" s="45"/>
      <x:c r="F3" s="45"/>
      <x:c r="G3" s="45"/>
    </x:row>
    <x:row r="4">
      <x:c r="B4" s="45"/>
      <x:c r="C4" s="45"/>
      <x:c r="D4" s="45"/>
      <x:c r="E4" s="45"/>
      <x:c r="F4" s="45"/>
      <x:c r="G4" s="45"/>
    </x:row>
    <x:row r="5">
      <x:c r="B5" s="45"/>
      <x:c r="C5" s="45"/>
      <x:c r="D5" s="45"/>
      <x:c r="E5" s="45"/>
      <x:c r="F5" s="45"/>
      <x:c r="G5" s="45"/>
    </x:row>
    <x:row r="6" ht="25" customHeight="1">
      <x:c r="B6" s="6" t="str">
        <x:v>Month</x:v>
      </x:c>
      <x:c r="C6" s="6" t="str">
        <x:v>Work</x:v>
      </x:c>
      <x:c r="D6" s="6" t="str">
        <x:v>End month</x:v>
      </x:c>
      <x:c r="E6" s="6" t="str">
        <x:v>Authority</x:v>
      </x:c>
      <x:c r="F6" s="6" t="str">
        <x:v>Exit object</x:v>
      </x:c>
      <x:c r="G6" s="6" t="str">
        <x:v>State</x:v>
      </x:c>
    </x:row>
    <x:row r="7" ht="39" customHeight="1">
      <x:c r="B7" s="8" t="str">
        <x:v>M01</x:v>
      </x:c>
      <x:c r="C7" s="9" t="str">
        <x:v>authority and protocol freeze</x:v>
      </x:c>
      <x:c r="D7" s="8" t="n">
        <x:v>1</x:v>
      </x:c>
      <x:c r="E7" s="9" t="str">
        <x:v>program, design, safety, evidence</x:v>
      </x:c>
      <x:c r="F7" s="9" t="str">
        <x:v>registered protocol</x:v>
      </x:c>
      <x:c r="G7" s="8" t="str">
        <x:v>OPEN</x:v>
      </x:c>
    </x:row>
    <x:row r="8" ht="39" customHeight="1">
      <x:c r="B8" s="8" t="str">
        <x:v>M02</x:v>
      </x:c>
      <x:c r="C8" s="9" t="str">
        <x:v>fixture final design</x:v>
      </x:c>
      <x:c r="D8" s="8" t="n">
        <x:v>2</x:v>
      </x:c>
      <x:c r="E8" s="9" t="str">
        <x:v>fixture and metrology</x:v>
      </x:c>
      <x:c r="F8" s="9" t="str">
        <x:v>released fixture packages</x:v>
      </x:c>
      <x:c r="G8" s="8" t="str">
        <x:v>OPEN</x:v>
      </x:c>
    </x:row>
    <x:row r="9" ht="39" customHeight="1">
      <x:c r="B9" s="8" t="str">
        <x:v>M03</x:v>
      </x:c>
      <x:c r="C9" s="9" t="str">
        <x:v>facility safety commissioning</x:v>
      </x:c>
      <x:c r="D9" s="8" t="n">
        <x:v>3</x:v>
      </x:c>
      <x:c r="E9" s="9" t="str">
        <x:v>safety and fixture</x:v>
      </x:c>
      <x:c r="F9" s="9" t="str">
        <x:v>contained range boundaries</x:v>
      </x:c>
      <x:c r="G9" s="8" t="str">
        <x:v>OPEN</x:v>
      </x:c>
    </x:row>
    <x:row r="10" ht="39" customHeight="1">
      <x:c r="B10" s="8" t="str">
        <x:v>M04</x:v>
      </x:c>
      <x:c r="C10" s="9" t="str">
        <x:v>reference standards and gage study start</x:v>
      </x:c>
      <x:c r="D10" s="8" t="n">
        <x:v>4</x:v>
      </x:c>
      <x:c r="E10" s="9" t="str">
        <x:v>metrology</x:v>
      </x:c>
      <x:c r="F10" s="9" t="str">
        <x:v>traceable standards</x:v>
      </x:c>
      <x:c r="G10" s="8" t="str">
        <x:v>OPEN</x:v>
      </x:c>
    </x:row>
    <x:row r="11" ht="39" customHeight="1">
      <x:c r="B11" s="8" t="str">
        <x:v>M05</x:v>
      </x:c>
      <x:c r="C11" s="9" t="str">
        <x:v>material receipt and split</x:v>
      </x:c>
      <x:c r="D11" s="8" t="n">
        <x:v>5</x:v>
      </x:c>
      <x:c r="E11" s="9" t="str">
        <x:v>build and custody</x:v>
      </x:c>
      <x:c r="F11" s="9" t="str">
        <x:v>conserved lots</x:v>
      </x:c>
      <x:c r="G11" s="8" t="str">
        <x:v>OPEN</x:v>
      </x:c>
    </x:row>
    <x:row r="12" ht="39" customHeight="1">
      <x:c r="B12" s="8" t="str">
        <x:v>M06</x:v>
      </x:c>
      <x:c r="C12" s="9" t="str">
        <x:v>process-window wave one</x:v>
      </x:c>
      <x:c r="D12" s="8" t="n">
        <x:v>6</x:v>
      </x:c>
      <x:c r="E12" s="9" t="str">
        <x:v>BL-X and BL-Y cells</x:v>
      </x:c>
      <x:c r="F12" s="9" t="str">
        <x:v>corner specimens</x:v>
      </x:c>
      <x:c r="G12" s="8" t="str">
        <x:v>OPEN</x:v>
      </x:c>
    </x:row>
    <x:row r="13" ht="39" customHeight="1">
      <x:c r="B13" s="8" t="str">
        <x:v>M07</x:v>
      </x:c>
      <x:c r="C13" s="9" t="str">
        <x:v>process-window wave two</x:v>
      </x:c>
      <x:c r="D13" s="8" t="n">
        <x:v>7</x:v>
      </x:c>
      <x:c r="E13" s="9" t="str">
        <x:v>BL-X and BL-Y cells</x:v>
      </x:c>
      <x:c r="F13" s="9" t="str">
        <x:v>center specimens</x:v>
      </x:c>
      <x:c r="G13" s="8" t="str">
        <x:v>OPEN</x:v>
      </x:c>
    </x:row>
    <x:row r="14" ht="39" customHeight="1">
      <x:c r="B14" s="8" t="str">
        <x:v>M08</x:v>
      </x:c>
      <x:c r="C14" s="9" t="str">
        <x:v>blind defect population build</x:v>
      </x:c>
      <x:c r="D14" s="8" t="n">
        <x:v>8</x:v>
      </x:c>
      <x:c r="E14" s="9" t="str">
        <x:v>challenge root</x:v>
      </x:c>
      <x:c r="F14" s="9" t="str">
        <x:v>sealed presentation bank</x:v>
      </x:c>
      <x:c r="G14" s="8" t="str">
        <x:v>OPEN</x:v>
      </x:c>
    </x:row>
    <x:row r="15" ht="39" customHeight="1">
      <x:c r="B15" s="8" t="str">
        <x:v>M09</x:v>
      </x:c>
      <x:c r="C15" s="9" t="str">
        <x:v>blind inspection campaign</x:v>
      </x:c>
      <x:c r="D15" s="8" t="n">
        <x:v>9</x:v>
      </x:c>
      <x:c r="E15" s="9" t="str">
        <x:v>inspection authority</x:v>
      </x:c>
      <x:c r="F15" s="9" t="str">
        <x:v>committed calls</x:v>
      </x:c>
      <x:c r="G15" s="8" t="str">
        <x:v>OPEN</x:v>
      </x:c>
    </x:row>
    <x:row r="16" ht="39" customHeight="1">
      <x:c r="B16" s="8" t="str">
        <x:v>M10</x:v>
      </x:c>
      <x:c r="C16" s="9" t="str">
        <x:v>DA-X1 construction</x:v>
      </x:c>
      <x:c r="D16" s="8" t="n">
        <x:v>10</x:v>
      </x:c>
      <x:c r="E16" s="9" t="str">
        <x:v>BL-X build cell</x:v>
      </x:c>
      <x:c r="F16" s="9" t="str">
        <x:v>integrated fused article</x:v>
      </x:c>
      <x:c r="G16" s="8" t="str">
        <x:v>OPEN</x:v>
      </x:c>
    </x:row>
    <x:row r="17" ht="39" customHeight="1">
      <x:c r="B17" s="8" t="str">
        <x:v>M11</x:v>
      </x:c>
      <x:c r="C17" s="9" t="str">
        <x:v>DA-Y1 construction</x:v>
      </x:c>
      <x:c r="D17" s="8" t="n">
        <x:v>11</x:v>
      </x:c>
      <x:c r="E17" s="9" t="str">
        <x:v>BL-Y build cell</x:v>
      </x:c>
      <x:c r="F17" s="9" t="str">
        <x:v>integrated cartridge article</x:v>
      </x:c>
      <x:c r="G17" s="8" t="str">
        <x:v>OPEN</x:v>
      </x:c>
    </x:row>
    <x:row r="18" ht="39" customHeight="1">
      <x:c r="B18" s="8" t="str">
        <x:v>M12</x:v>
      </x:c>
      <x:c r="C18" s="9" t="str">
        <x:v>proof, geometry and safeing screens</x:v>
      </x:c>
      <x:c r="D18" s="8" t="n">
        <x:v>12</x:v>
      </x:c>
      <x:c r="E18" s="9" t="str">
        <x:v>range authorities</x:v>
      </x:c>
      <x:c r="F18" s="9" t="str">
        <x:v>initial integrated state</x:v>
      </x:c>
      <x:c r="G18" s="8" t="str">
        <x:v>OPEN</x:v>
      </x:c>
    </x:row>
    <x:row r="19" ht="39" customHeight="1">
      <x:c r="B19" s="8" t="str">
        <x:v>M13</x:v>
      </x:c>
      <x:c r="C19" s="9" t="str">
        <x:v>thermal and pressure exposure</x:v>
      </x:c>
      <x:c r="D19" s="8" t="n">
        <x:v>13</x:v>
      </x:c>
      <x:c r="E19" s="9" t="str">
        <x:v>range authorities</x:v>
      </x:c>
      <x:c r="F19" s="9" t="str">
        <x:v>environmental screen</x:v>
      </x:c>
      <x:c r="G19" s="8" t="str">
        <x:v>OPEN</x:v>
      </x:c>
    </x:row>
    <x:row r="20" ht="39" customHeight="1">
      <x:c r="B20" s="8" t="str">
        <x:v>M14</x:v>
      </x:c>
      <x:c r="C20" s="9" t="str">
        <x:v>drain, energy and evidence trials</x:v>
      </x:c>
      <x:c r="D20" s="8" t="n">
        <x:v>14</x:v>
      </x:c>
      <x:c r="E20" s="9" t="str">
        <x:v>range authorities</x:v>
      </x:c>
      <x:c r="F20" s="9" t="str">
        <x:v>recovery and autonomy state</x:v>
      </x:c>
      <x:c r="G20" s="8" t="str">
        <x:v>OPEN</x:v>
      </x:c>
    </x:row>
    <x:row r="21" ht="39" customHeight="1">
      <x:c r="B21" s="8" t="str">
        <x:v>M15</x:v>
      </x:c>
      <x:c r="C21" s="9" t="str">
        <x:v>outside build and replay</x:v>
      </x:c>
      <x:c r="D21" s="8" t="n">
        <x:v>15</x:v>
      </x:c>
      <x:c r="E21" s="9" t="str">
        <x:v>independent teams</x:v>
      </x:c>
      <x:c r="F21" s="9" t="str">
        <x:v>reproduction record</x:v>
      </x:c>
      <x:c r="G21" s="8" t="str">
        <x:v>OPEN</x:v>
      </x:c>
    </x:row>
    <x:row r="22" ht="39" customHeight="1">
      <x:c r="B22" s="8" t="str">
        <x:v>M16</x:v>
      </x:c>
      <x:c r="C22" s="9" t="str">
        <x:v>terminal sectioning</x:v>
      </x:c>
      <x:c r="D22" s="8" t="n">
        <x:v>16</x:v>
      </x:c>
      <x:c r="E22" s="9" t="str">
        <x:v>destructive authority</x:v>
      </x:c>
      <x:c r="F22" s="9" t="str">
        <x:v>ninety-six section records</x:v>
      </x:c>
      <x:c r="G22" s="8" t="str">
        <x:v>OPEN</x:v>
      </x:c>
    </x:row>
    <x:row r="23" ht="39" customHeight="1">
      <x:c r="B23" s="8" t="str">
        <x:v>M17</x:v>
      </x:c>
      <x:c r="C23" s="9" t="str">
        <x:v>blind-key opening and correlation</x:v>
      </x:c>
      <x:c r="D23" s="8" t="n">
        <x:v>17</x:v>
      </x:c>
      <x:c r="E23" s="9" t="str">
        <x:v>challenge and forensic authorities</x:v>
      </x:c>
      <x:c r="F23" s="9" t="str">
        <x:v>cell decisions</x:v>
      </x:c>
      <x:c r="G23" s="8" t="str">
        <x:v>OPEN</x:v>
      </x:c>
    </x:row>
    <x:row r="24" ht="39" customHeight="1">
      <x:c r="B24" s="8" t="str">
        <x:v>M18</x:v>
      </x:c>
      <x:c r="C24" s="9" t="str">
        <x:v>article board and RAQ-1 decision</x:v>
      </x:c>
      <x:c r="D24" s="8" t="n">
        <x:v>18</x:v>
      </x:c>
      <x:c r="E24" s="9" t="str">
        <x:v>independent board</x:v>
      </x:c>
      <x:c r="F24" s="9" t="str">
        <x:v>bounded release or redesign</x:v>
      </x:c>
      <x:c r="G24" s="8" t="str">
        <x:v>OPEN</x:v>
      </x:c>
    </x:row>
  </x:sheetData>
  <x:conditionalFormatting sqref="G7:G24">
    <x:cfRule type="containsText" dxfId="180" priority="1" operator="containsText" text="FAIL"/>
    <x:cfRule type="containsText" dxfId="181" priority="2" operator="containsText" text="BLOCKED"/>
    <x:cfRule type="containsText" dxfId="182" priority="3" operator="containsText" text="OPEN"/>
    <x:cfRule type="containsText" dxfId="183" priority="4" operator="containsText" text="PASS"/>
    <x:cfRule type="containsText" dxfId="184" priority="5" operator="containsText" text="PLANNED"/>
    <x:cfRule type="containsText" dxfId="185" priority="6" operator="containsText" text="ACTIVE"/>
  </x:conditionalFormatting>
  <x:pageMargins left="0.7" right="0.7" top="0.75" bottom="0.75" header="0.3" footer="0.3"/>
</x:worksheet>
</file>

<file path=xl/worksheets/sheet41.xml><?xml version="1.0" encoding="utf-8"?>
<x:worksheet xmlns:x="http://schemas.openxmlformats.org/spreadsheetml/2006/main">
  <x:sheetViews>
    <x:sheetView showGridLines="0" workbookViewId="0">
      <x:pane xSplit="2" ySplit="6" topLeftCell="C7" activePane="bottomRight" state="frozen"/>
    </x:sheetView>
  </x:sheetViews>
  <x:sheetFormatPr defaultRowHeight="15"/>
  <x:cols>
    <x:col min="2" max="2" width="14" hidden="0" customWidth="1"/>
    <x:col min="3" max="3" width="35" hidden="0" customWidth="1"/>
    <x:col min="4" max="4" width="17" hidden="0" customWidth="1"/>
    <x:col min="5" max="5" width="13" hidden="0" customWidth="1"/>
    <x:col min="6" max="6" width="14" hidden="0" customWidth="1"/>
    <x:col min="7" max="7" width="38" hidden="0" customWidth="1"/>
    <x:col min="8" max="8" width="19" hidden="0" customWidth="1"/>
    <x:col min="9" max="9" width="16" hidden="0" customWidth="1"/>
    <x:col min="10" max="10" width="14" hidden="0" customWidth="1"/>
  </x:cols>
  <x:sheetData>
    <x:row r="2">
      <x:c r="B2" s="44" t="str">
        <x:v>Sixteen work-centre capacity screens</x:v>
      </x:c>
      <x:c r="C2" s="45"/>
      <x:c r="D2" s="45"/>
      <x:c r="E2" s="45"/>
      <x:c r="F2" s="45"/>
      <x:c r="G2" s="45"/>
      <x:c r="H2" s="45"/>
      <x:c r="I2" s="45"/>
      <x:c r="J2" s="45"/>
    </x:row>
    <x:row r="3">
      <x:c r="B3" s="46" t="str">
        <x:v>Demand days are planning loads. Available days apply unit count, campaign months, work days and ready fraction.</x:v>
      </x:c>
      <x:c r="C3" s="45"/>
      <x:c r="D3" s="45"/>
      <x:c r="E3" s="45"/>
      <x:c r="F3" s="45"/>
      <x:c r="G3" s="45"/>
      <x:c r="H3" s="45"/>
      <x:c r="I3" s="45"/>
      <x:c r="J3" s="45"/>
    </x:row>
    <x:row r="4">
      <x:c r="B4" s="45"/>
      <x:c r="C4" s="45"/>
      <x:c r="D4" s="45"/>
      <x:c r="E4" s="45"/>
      <x:c r="F4" s="45"/>
      <x:c r="G4" s="45"/>
      <x:c r="H4" s="45"/>
      <x:c r="I4" s="45"/>
      <x:c r="J4" s="45"/>
    </x:row>
    <x:row r="5">
      <x:c r="B5" s="45"/>
      <x:c r="C5" s="45"/>
      <x:c r="D5" s="45"/>
      <x:c r="E5" s="45"/>
      <x:c r="F5" s="45"/>
      <x:c r="G5" s="45"/>
      <x:c r="H5" s="45"/>
      <x:c r="I5" s="45"/>
      <x:c r="J5" s="45"/>
    </x:row>
    <x:row r="6" ht="25" customHeight="1">
      <x:c r="B6" s="6" t="str">
        <x:v>Centre</x:v>
      </x:c>
      <x:c r="C6" s="6" t="str">
        <x:v>Work centre</x:v>
      </x:c>
      <x:c r="D6" s="6" t="str">
        <x:v>Demand days</x:v>
      </x:c>
      <x:c r="E6" s="6" t="str">
        <x:v>Units</x:v>
      </x:c>
      <x:c r="F6" s="6" t="str">
        <x:v>Months</x:v>
      </x:c>
      <x:c r="G6" s="6" t="str">
        <x:v>Purpose</x:v>
      </x:c>
      <x:c r="H6" s="6" t="str">
        <x:v>Available days</x:v>
      </x:c>
      <x:c r="I6" s="6" t="str">
        <x:v>Utilization</x:v>
      </x:c>
      <x:c r="J6" s="6" t="str">
        <x:v>State</x:v>
      </x:c>
    </x:row>
    <x:row r="7" ht="32" customHeight="1">
      <x:c r="B7" s="8" t="str">
        <x:v>WC-01</x:v>
      </x:c>
      <x:c r="C7" s="8" t="str">
        <x:v>fixture engineering</x:v>
      </x:c>
      <x:c r="D7" s="8" t="n">
        <x:v>620</x:v>
      </x:c>
      <x:c r="E7" s="8" t="n">
        <x:v>6</x:v>
      </x:c>
      <x:c r="F7" s="8" t="n">
        <x:v>18</x:v>
      </x:c>
      <x:c r="G7" s="9" t="str">
        <x:v>design and recommissioning</x:v>
      </x:c>
      <x:c r="H7" s="8" t="n">
        <x:f>E7*F7/12*'Controls'!$D$58*'Controls'!$D$57</x:f>
        <x:v>1287</x:v>
      </x:c>
      <x:c r="I7" s="21" t="n">
        <x:f>D7/H7</x:f>
        <x:v>0.48174048174048173</x:v>
      </x:c>
      <x:c r="J7" s="8" t="str">
        <x:f>IF(I7&lt;=1,"PASS","FAIL")</x:f>
        <x:v>PASS</x:v>
      </x:c>
    </x:row>
    <x:row r="8" ht="32" customHeight="1">
      <x:c r="B8" s="8" t="str">
        <x:v>WC-02</x:v>
      </x:c>
      <x:c r="C8" s="8" t="str">
        <x:v>public build cell X</x:v>
      </x:c>
      <x:c r="D8" s="8" t="n">
        <x:v>520</x:v>
      </x:c>
      <x:c r="E8" s="8" t="n">
        <x:v>4</x:v>
      </x:c>
      <x:c r="F8" s="8" t="n">
        <x:v>18</x:v>
      </x:c>
      <x:c r="G8" s="9" t="str">
        <x:v>specimens and DA-X1</x:v>
      </x:c>
      <x:c r="H8" s="8" t="n">
        <x:f>E8*F8/12*'Controls'!$D$58*'Controls'!$D$57</x:f>
        <x:v>858</x:v>
      </x:c>
      <x:c r="I8" s="21" t="n">
        <x:f>D8/H8</x:f>
        <x:v>0.6060606060606061</x:v>
      </x:c>
      <x:c r="J8" s="8" t="str">
        <x:f>IF(I8&lt;=1,"PASS","FAIL")</x:f>
        <x:v>PASS</x:v>
      </x:c>
    </x:row>
    <x:row r="9" ht="32" customHeight="1">
      <x:c r="B9" s="8" t="str">
        <x:v>WC-03</x:v>
      </x:c>
      <x:c r="C9" s="8" t="str">
        <x:v>public build cell Y</x:v>
      </x:c>
      <x:c r="D9" s="8" t="n">
        <x:v>560</x:v>
      </x:c>
      <x:c r="E9" s="8" t="n">
        <x:v>4</x:v>
      </x:c>
      <x:c r="F9" s="8" t="n">
        <x:v>18</x:v>
      </x:c>
      <x:c r="G9" s="9" t="str">
        <x:v>specimens and DA-Y1</x:v>
      </x:c>
      <x:c r="H9" s="8" t="n">
        <x:f>E9*F9/12*'Controls'!$D$58*'Controls'!$D$57</x:f>
        <x:v>858</x:v>
      </x:c>
      <x:c r="I9" s="21" t="n">
        <x:f>D9/H9</x:f>
        <x:v>0.6526806526806527</x:v>
      </x:c>
      <x:c r="J9" s="8" t="str">
        <x:f>IF(I9&lt;=1,"PASS","FAIL")</x:f>
        <x:v>PASS</x:v>
      </x:c>
    </x:row>
    <x:row r="10" ht="32" customHeight="1">
      <x:c r="B10" s="8" t="str">
        <x:v>WC-04</x:v>
      </x:c>
      <x:c r="C10" s="8" t="str">
        <x:v>bore metrology</x:v>
      </x:c>
      <x:c r="D10" s="8" t="n">
        <x:v>480</x:v>
      </x:c>
      <x:c r="E10" s="8" t="n">
        <x:v>4</x:v>
      </x:c>
      <x:c r="F10" s="8" t="n">
        <x:v>18</x:v>
      </x:c>
      <x:c r="G10" s="9" t="str">
        <x:v>pre- and post-build maps</x:v>
      </x:c>
      <x:c r="H10" s="8" t="n">
        <x:f>E10*F10/12*'Controls'!$D$58*'Controls'!$D$57</x:f>
        <x:v>858</x:v>
      </x:c>
      <x:c r="I10" s="21" t="n">
        <x:f>D10/H10</x:f>
        <x:v>0.5594405594405595</x:v>
      </x:c>
      <x:c r="J10" s="8" t="str">
        <x:f>IF(I10&lt;=1,"PASS","FAIL")</x:f>
        <x:v>PASS</x:v>
      </x:c>
    </x:row>
    <x:row r="11" ht="32" customHeight="1">
      <x:c r="B11" s="8" t="str">
        <x:v>WC-05</x:v>
      </x:c>
      <x:c r="C11" s="8" t="str">
        <x:v>surface laboratory</x:v>
      </x:c>
      <x:c r="D11" s="8" t="n">
        <x:v>360</x:v>
      </x:c>
      <x:c r="E11" s="8" t="n">
        <x:v>3</x:v>
      </x:c>
      <x:c r="F11" s="8" t="n">
        <x:v>18</x:v>
      </x:c>
      <x:c r="G11" s="9" t="str">
        <x:v>wetting, roughness and assay</x:v>
      </x:c>
      <x:c r="H11" s="8" t="n">
        <x:f>E11*F11/12*'Controls'!$D$58*'Controls'!$D$57</x:f>
        <x:v>643.5</x:v>
      </x:c>
      <x:c r="I11" s="21" t="n">
        <x:f>D11/H11</x:f>
        <x:v>0.5594405594405595</x:v>
      </x:c>
      <x:c r="J11" s="8" t="str">
        <x:f>IF(I11&lt;=1,"PASS","FAIL")</x:f>
        <x:v>PASS</x:v>
      </x:c>
    </x:row>
    <x:row r="12" ht="32" customHeight="1">
      <x:c r="B12" s="8" t="str">
        <x:v>WC-06</x:v>
      </x:c>
      <x:c r="C12" s="8" t="str">
        <x:v>blind inspection</x:v>
      </x:c>
      <x:c r="D12" s="8" t="n">
        <x:v>420</x:v>
      </x:c>
      <x:c r="E12" s="8" t="n">
        <x:v>4</x:v>
      </x:c>
      <x:c r="F12" s="8" t="n">
        <x:v>18</x:v>
      </x:c>
      <x:c r="G12" s="9" t="str">
        <x:v>1,392 primary presentations</x:v>
      </x:c>
      <x:c r="H12" s="8" t="n">
        <x:f>E12*F12/12*'Controls'!$D$58*'Controls'!$D$57</x:f>
        <x:v>858</x:v>
      </x:c>
      <x:c r="I12" s="21" t="n">
        <x:f>D12/H12</x:f>
        <x:v>0.48951048951048953</x:v>
      </x:c>
      <x:c r="J12" s="8" t="str">
        <x:f>IF(I12&lt;=1,"PASS","FAIL")</x:f>
        <x:v>PASS</x:v>
      </x:c>
    </x:row>
    <x:row r="13" ht="32" customHeight="1">
      <x:c r="B13" s="8" t="str">
        <x:v>WC-07</x:v>
      </x:c>
      <x:c r="C13" s="8" t="str">
        <x:v>liquid pressure range</x:v>
      </x:c>
      <x:c r="D13" s="8" t="n">
        <x:v>300</x:v>
      </x:c>
      <x:c r="E13" s="8" t="n">
        <x:v>3</x:v>
      </x:c>
      <x:c r="F13" s="8" t="n">
        <x:v>18</x:v>
      </x:c>
      <x:c r="G13" s="9" t="str">
        <x:v>proof and cycle blocks</x:v>
      </x:c>
      <x:c r="H13" s="8" t="n">
        <x:f>E13*F13/12*'Controls'!$D$58*'Controls'!$D$57</x:f>
        <x:v>643.5</x:v>
      </x:c>
      <x:c r="I13" s="21" t="n">
        <x:f>D13/H13</x:f>
        <x:v>0.4662004662004662</x:v>
      </x:c>
      <x:c r="J13" s="8" t="str">
        <x:f>IF(I13&lt;=1,"PASS","FAIL")</x:f>
        <x:v>PASS</x:v>
      </x:c>
    </x:row>
    <x:row r="14" ht="32" customHeight="1">
      <x:c r="B14" s="8" t="str">
        <x:v>WC-08</x:v>
      </x:c>
      <x:c r="C14" s="8" t="str">
        <x:v>thermal range</x:v>
      </x:c>
      <x:c r="D14" s="8" t="n">
        <x:v>180</x:v>
      </x:c>
      <x:c r="E14" s="8" t="n">
        <x:v>2</x:v>
      </x:c>
      <x:c r="F14" s="8" t="n">
        <x:v>18</x:v>
      </x:c>
      <x:c r="G14" s="9" t="str">
        <x:v>full-line extremes</x:v>
      </x:c>
      <x:c r="H14" s="8" t="n">
        <x:f>E14*F14/12*'Controls'!$D$58*'Controls'!$D$57</x:f>
        <x:v>429</x:v>
      </x:c>
      <x:c r="I14" s="21" t="n">
        <x:f>D14/H14</x:f>
        <x:v>0.4195804195804196</x:v>
      </x:c>
      <x:c r="J14" s="8" t="str">
        <x:f>IF(I14&lt;=1,"PASS","FAIL")</x:f>
        <x:v>PASS</x:v>
      </x:c>
    </x:row>
    <x:row r="15" ht="32" customHeight="1">
      <x:c r="B15" s="8" t="str">
        <x:v>WC-09</x:v>
      </x:c>
      <x:c r="C15" s="8" t="str">
        <x:v>drain and recovery range</x:v>
      </x:c>
      <x:c r="D15" s="8" t="n">
        <x:v>220</x:v>
      </x:c>
      <x:c r="E15" s="8" t="n">
        <x:v>2</x:v>
      </x:c>
      <x:c r="F15" s="8" t="n">
        <x:v>18</x:v>
      </x:c>
      <x:c r="G15" s="9" t="str">
        <x:v>residual trials</x:v>
      </x:c>
      <x:c r="H15" s="8" t="n">
        <x:f>E15*F15/12*'Controls'!$D$58*'Controls'!$D$57</x:f>
        <x:v>429</x:v>
      </x:c>
      <x:c r="I15" s="21" t="n">
        <x:f>D15/H15</x:f>
        <x:v>0.5128205128205128</x:v>
      </x:c>
      <x:c r="J15" s="8" t="str">
        <x:f>IF(I15&lt;=1,"PASS","FAIL")</x:f>
        <x:v>PASS</x:v>
      </x:c>
    </x:row>
    <x:row r="16" ht="32" customHeight="1">
      <x:c r="B16" s="8" t="str">
        <x:v>WC-10</x:v>
      </x:c>
      <x:c r="C16" s="8" t="str">
        <x:v>safeing laboratory</x:v>
      </x:c>
      <x:c r="D16" s="8" t="n">
        <x:v>360</x:v>
      </x:c>
      <x:c r="E16" s="8" t="n">
        <x:v>3</x:v>
      </x:c>
      <x:c r="F16" s="8" t="n">
        <x:v>18</x:v>
      </x:c>
      <x:c r="G16" s="9" t="str">
        <x:v>mechanisms and article trials</x:v>
      </x:c>
      <x:c r="H16" s="8" t="n">
        <x:f>E16*F16/12*'Controls'!$D$58*'Controls'!$D$57</x:f>
        <x:v>643.5</x:v>
      </x:c>
      <x:c r="I16" s="21" t="n">
        <x:f>D16/H16</x:f>
        <x:v>0.5594405594405595</x:v>
      </x:c>
      <x:c r="J16" s="8" t="str">
        <x:f>IF(I16&lt;=1,"PASS","FAIL")</x:f>
        <x:v>PASS</x:v>
      </x:c>
    </x:row>
    <x:row r="17" ht="32" customHeight="1">
      <x:c r="B17" s="8" t="str">
        <x:v>WC-11</x:v>
      </x:c>
      <x:c r="C17" s="8" t="str">
        <x:v>energy and evidence laboratory</x:v>
      </x:c>
      <x:c r="D17" s="8" t="n">
        <x:v>320</x:v>
      </x:c>
      <x:c r="E17" s="8" t="n">
        <x:v>3</x:v>
      </x:c>
      <x:c r="F17" s="8" t="n">
        <x:v>18</x:v>
      </x:c>
      <x:c r="G17" s="9" t="str">
        <x:v>autonomy and two originals</x:v>
      </x:c>
      <x:c r="H17" s="8" t="n">
        <x:f>E17*F17/12*'Controls'!$D$58*'Controls'!$D$57</x:f>
        <x:v>643.5</x:v>
      </x:c>
      <x:c r="I17" s="21" t="n">
        <x:f>D17/H17</x:f>
        <x:v>0.4972804972804973</x:v>
      </x:c>
      <x:c r="J17" s="8" t="str">
        <x:f>IF(I17&lt;=1,"PASS","FAIL")</x:f>
        <x:v>PASS</x:v>
      </x:c>
    </x:row>
    <x:row r="18" ht="32" customHeight="1">
      <x:c r="B18" s="8" t="str">
        <x:v>WC-12</x:v>
      </x:c>
      <x:c r="C18" s="8" t="str">
        <x:v>precision sectioning</x:v>
      </x:c>
      <x:c r="D18" s="8" t="n">
        <x:v>260</x:v>
      </x:c>
      <x:c r="E18" s="8" t="n">
        <x:v>3</x:v>
      </x:c>
      <x:c r="F18" s="8" t="n">
        <x:v>18</x:v>
      </x:c>
      <x:c r="G18" s="9" t="str">
        <x:v>committed cuts</x:v>
      </x:c>
      <x:c r="H18" s="8" t="n">
        <x:f>E18*F18/12*'Controls'!$D$58*'Controls'!$D$57</x:f>
        <x:v>643.5</x:v>
      </x:c>
      <x:c r="I18" s="21" t="n">
        <x:f>D18/H18</x:f>
        <x:v>0.40404040404040403</x:v>
      </x:c>
      <x:c r="J18" s="8" t="str">
        <x:f>IF(I18&lt;=1,"PASS","FAIL")</x:f>
        <x:v>PASS</x:v>
      </x:c>
    </x:row>
    <x:row r="19" ht="32" customHeight="1">
      <x:c r="B19" s="8" t="str">
        <x:v>WC-13</x:v>
      </x:c>
      <x:c r="C19" s="8" t="str">
        <x:v>forensic microscopy</x:v>
      </x:c>
      <x:c r="D19" s="8" t="n">
        <x:v>420</x:v>
      </x:c>
      <x:c r="E19" s="8" t="n">
        <x:v>4</x:v>
      </x:c>
      <x:c r="F19" s="8" t="n">
        <x:v>18</x:v>
      </x:c>
      <x:c r="G19" s="9" t="str">
        <x:v>root, seal and surface truth</x:v>
      </x:c>
      <x:c r="H19" s="8" t="n">
        <x:f>E19*F19/12*'Controls'!$D$58*'Controls'!$D$57</x:f>
        <x:v>858</x:v>
      </x:c>
      <x:c r="I19" s="21" t="n">
        <x:f>D19/H19</x:f>
        <x:v>0.48951048951048953</x:v>
      </x:c>
      <x:c r="J19" s="8" t="str">
        <x:f>IF(I19&lt;=1,"PASS","FAIL")</x:f>
        <x:v>PASS</x:v>
      </x:c>
    </x:row>
    <x:row r="20" ht="32" customHeight="1">
      <x:c r="B20" s="8" t="str">
        <x:v>WC-14</x:v>
      </x:c>
      <x:c r="C20" s="8" t="str">
        <x:v>material archive</x:v>
      </x:c>
      <x:c r="D20" s="8" t="n">
        <x:v>140</x:v>
      </x:c>
      <x:c r="E20" s="8" t="n">
        <x:v>2</x:v>
      </x:c>
      <x:c r="F20" s="8" t="n">
        <x:v>18</x:v>
      </x:c>
      <x:c r="G20" s="9" t="str">
        <x:v>custody and retained samples</x:v>
      </x:c>
      <x:c r="H20" s="8" t="n">
        <x:f>E20*F20/12*'Controls'!$D$58*'Controls'!$D$57</x:f>
        <x:v>429</x:v>
      </x:c>
      <x:c r="I20" s="21" t="n">
        <x:f>D20/H20</x:f>
        <x:v>0.32634032634032634</x:v>
      </x:c>
      <x:c r="J20" s="8" t="str">
        <x:f>IF(I20&lt;=1,"PASS","FAIL")</x:f>
        <x:v>PASS</x:v>
      </x:c>
    </x:row>
    <x:row r="21" ht="32" customHeight="1">
      <x:c r="B21" s="8" t="str">
        <x:v>WC-15</x:v>
      </x:c>
      <x:c r="C21" s="8" t="str">
        <x:v>safety and rescue</x:v>
      </x:c>
      <x:c r="D21" s="8" t="n">
        <x:v>260</x:v>
      </x:c>
      <x:c r="E21" s="8" t="n">
        <x:v>3</x:v>
      </x:c>
      <x:c r="F21" s="8" t="n">
        <x:v>18</x:v>
      </x:c>
      <x:c r="G21" s="9" t="str">
        <x:v>range coverage</x:v>
      </x:c>
      <x:c r="H21" s="8" t="n">
        <x:f>E21*F21/12*'Controls'!$D$58*'Controls'!$D$57</x:f>
        <x:v>643.5</x:v>
      </x:c>
      <x:c r="I21" s="21" t="n">
        <x:f>D21/H21</x:f>
        <x:v>0.40404040404040403</x:v>
      </x:c>
      <x:c r="J21" s="8" t="str">
        <x:f>IF(I21&lt;=1,"PASS","FAIL")</x:f>
        <x:v>PASS</x:v>
      </x:c>
    </x:row>
    <x:row r="22" ht="32" customHeight="1">
      <x:c r="B22" s="8" t="str">
        <x:v>WC-16</x:v>
      </x:c>
      <x:c r="C22" s="8" t="str">
        <x:v>outside replay</x:v>
      </x:c>
      <x:c r="D22" s="8" t="n">
        <x:v>180</x:v>
      </x:c>
      <x:c r="E22" s="8" t="n">
        <x:v>2</x:v>
      </x:c>
      <x:c r="F22" s="8" t="n">
        <x:v>18</x:v>
      </x:c>
      <x:c r="G22" s="9" t="str">
        <x:v>independent reconstruction</x:v>
      </x:c>
      <x:c r="H22" s="8" t="n">
        <x:f>E22*F22/12*'Controls'!$D$58*'Controls'!$D$57</x:f>
        <x:v>429</x:v>
      </x:c>
      <x:c r="I22" s="21" t="n">
        <x:f>D22/H22</x:f>
        <x:v>0.4195804195804196</x:v>
      </x:c>
      <x:c r="J22" s="8" t="str">
        <x:f>IF(I22&lt;=1,"PASS","FAIL")</x:f>
        <x:v>PASS</x:v>
      </x:c>
    </x:row>
  </x:sheetData>
  <x:conditionalFormatting sqref="J7:J22">
    <x:cfRule type="containsText" dxfId="186" priority="1" operator="containsText" text="FAIL"/>
    <x:cfRule type="containsText" dxfId="187" priority="2" operator="containsText" text="BLOCKED"/>
    <x:cfRule type="containsText" dxfId="188" priority="3" operator="containsText" text="OPEN"/>
    <x:cfRule type="containsText" dxfId="189" priority="4" operator="containsText" text="PASS"/>
    <x:cfRule type="containsText" dxfId="190" priority="5" operator="containsText" text="PLANNED"/>
    <x:cfRule type="containsText" dxfId="191" priority="6" operator="containsText" text="ACTIVE"/>
  </x:conditionalFormatting>
  <x:pageMargins left="0.7" right="0.7" top="0.75" bottom="0.75" header="0.3" footer="0.3"/>
</x:worksheet>
</file>

<file path=xl/worksheets/sheet42.xml><?xml version="1.0" encoding="utf-8"?>
<x:worksheet xmlns:x="http://schemas.openxmlformats.org/spreadsheetml/2006/main">
  <x:sheetViews>
    <x:sheetView showGridLines="0" workbookViewId="0">
      <x:pane xSplit="2" ySplit="6" topLeftCell="C7" activePane="bottomRight" state="frozen"/>
    </x:sheetView>
  </x:sheetViews>
  <x:sheetFormatPr defaultRowHeight="15"/>
  <x:cols>
    <x:col min="2" max="2" width="14" hidden="0" customWidth="1"/>
    <x:col min="3" max="3" width="39" hidden="0" customWidth="1"/>
    <x:col min="4" max="4" width="17" hidden="0" customWidth="1"/>
    <x:col min="5" max="5" width="67" hidden="0" customWidth="1"/>
  </x:cols>
  <x:sheetData>
    <x:row r="2">
      <x:c r="B2" s="44" t="str">
        <x:v>Two hundred eighteen assigned public positions</x:v>
      </x:c>
      <x:c r="C2" s="45"/>
      <x:c r="D2" s="45"/>
      <x:c r="E2" s="45"/>
    </x:row>
    <x:row r="3">
      <x:c r="B3" s="46" t="str">
        <x:v>The complement is drawn from the 240-position RAP-1 establishment. It is not added to that parent total.</x:v>
      </x:c>
      <x:c r="C3" s="45"/>
      <x:c r="D3" s="45"/>
      <x:c r="E3" s="45"/>
    </x:row>
    <x:row r="4">
      <x:c r="B4" s="45"/>
      <x:c r="C4" s="45"/>
      <x:c r="D4" s="45"/>
      <x:c r="E4" s="45"/>
    </x:row>
    <x:row r="5">
      <x:c r="B5" s="45"/>
      <x:c r="C5" s="45"/>
      <x:c r="D5" s="45"/>
      <x:c r="E5" s="45"/>
    </x:row>
    <x:row r="6" ht="25" customHeight="1">
      <x:c r="B6" s="6" t="str">
        <x:v>Workforce</x:v>
      </x:c>
      <x:c r="C6" s="6" t="str">
        <x:v>Profession</x:v>
      </x:c>
      <x:c r="D6" s="6" t="str">
        <x:v>Positions</x:v>
      </x:c>
      <x:c r="E6" s="6" t="str">
        <x:v>Function</x:v>
      </x:c>
    </x:row>
    <x:row r="7" ht="38" customHeight="1">
      <x:c r="B7" s="8" t="str">
        <x:v>WF-01</x:v>
      </x:c>
      <x:c r="C7" s="8" t="str">
        <x:v>campaign integration</x:v>
      </x:c>
      <x:c r="D7" s="8" t="n">
        <x:v>14</x:v>
      </x:c>
      <x:c r="E7" s="9" t="str">
        <x:v>protocol, schedule and cross-authority control</x:v>
      </x:c>
    </x:row>
    <x:row r="8" ht="38" customHeight="1">
      <x:c r="B8" s="8" t="str">
        <x:v>WF-02</x:v>
      </x:c>
      <x:c r="C8" s="8" t="str">
        <x:v>public design engineering</x:v>
      </x:c>
      <x:c r="D8" s="8" t="n">
        <x:v>24</x:v>
      </x:c>
      <x:c r="E8" s="9" t="str">
        <x:v>interfaces, drawings and process hypotheses</x:v>
      </x:c>
    </x:row>
    <x:row r="9" ht="38" customHeight="1">
      <x:c r="B9" s="8" t="str">
        <x:v>WF-03</x:v>
      </x:c>
      <x:c r="C9" s="8" t="str">
        <x:v>BL-X build profession</x:v>
      </x:c>
      <x:c r="D9" s="8" t="n">
        <x:v>26</x:v>
      </x:c>
      <x:c r="E9" s="9" t="str">
        <x:v>fused specimens and DA-X1</x:v>
      </x:c>
    </x:row>
    <x:row r="10" ht="38" customHeight="1">
      <x:c r="B10" s="8" t="str">
        <x:v>WF-04</x:v>
      </x:c>
      <x:c r="C10" s="8" t="str">
        <x:v>BL-Y build profession</x:v>
      </x:c>
      <x:c r="D10" s="8" t="n">
        <x:v>26</x:v>
      </x:c>
      <x:c r="E10" s="9" t="str">
        <x:v>cartridge specimens and DA-Y1</x:v>
      </x:c>
    </x:row>
    <x:row r="11" ht="38" customHeight="1">
      <x:c r="B11" s="8" t="str">
        <x:v>WF-05</x:v>
      </x:c>
      <x:c r="C11" s="8" t="str">
        <x:v>fixture engineering and operation</x:v>
      </x:c>
      <x:c r="D11" s="8" t="n">
        <x:v>24</x:v>
      </x:c>
      <x:c r="E11" s="9" t="str">
        <x:v>range boundaries and recommissioning</x:v>
      </x:c>
    </x:row>
    <x:row r="12" ht="38" customHeight="1">
      <x:c r="B12" s="8" t="str">
        <x:v>WF-06</x:v>
      </x:c>
      <x:c r="C12" s="8" t="str">
        <x:v>metrology and uncertainty</x:v>
      </x:c>
      <x:c r="D12" s="8" t="n">
        <x:v>24</x:v>
      </x:c>
      <x:c r="E12" s="9" t="str">
        <x:v>standards, gage R&amp;R and budgets</x:v>
      </x:c>
    </x:row>
    <x:row r="13" ht="38" customHeight="1">
      <x:c r="B13" s="8" t="str">
        <x:v>WF-07</x:v>
      </x:c>
      <x:c r="C13" s="8" t="str">
        <x:v>blind challenge and NDE</x:v>
      </x:c>
      <x:c r="D13" s="8" t="n">
        <x:v>20</x:v>
      </x:c>
      <x:c r="E13" s="9" t="str">
        <x:v>defect creation, custody and inspection</x:v>
      </x:c>
    </x:row>
    <x:row r="14" ht="38" customHeight="1">
      <x:c r="B14" s="8" t="str">
        <x:v>WF-08</x:v>
      </x:c>
      <x:c r="C14" s="8" t="str">
        <x:v>destructive forensics</x:v>
      </x:c>
      <x:c r="D14" s="8" t="n">
        <x:v>18</x:v>
      </x:c>
      <x:c r="E14" s="9" t="str">
        <x:v>sectioning, microscopy and truth records</x:v>
      </x:c>
    </x:row>
    <x:row r="15" ht="38" customHeight="1">
      <x:c r="B15" s="8" t="str">
        <x:v>WF-09</x:v>
      </x:c>
      <x:c r="C15" s="8" t="str">
        <x:v>controls, safeing and energy</x:v>
      </x:c>
      <x:c r="D15" s="8" t="n">
        <x:v>16</x:v>
      </x:c>
      <x:c r="E15" s="9" t="str">
        <x:v>final state and autonomy</x:v>
      </x:c>
    </x:row>
    <x:row r="16" ht="38" customHeight="1">
      <x:c r="B16" s="8" t="str">
        <x:v>WF-10</x:v>
      </x:c>
      <x:c r="C16" s="8" t="str">
        <x:v>evidence and causal time</x:v>
      </x:c>
      <x:c r="D16" s="8" t="n">
        <x:v>10</x:v>
      </x:c>
      <x:c r="E16" s="9" t="str">
        <x:v>two originals and replay</x:v>
      </x:c>
    </x:row>
    <x:row r="17" ht="38" customHeight="1">
      <x:c r="B17" s="8" t="str">
        <x:v>WF-11</x:v>
      </x:c>
      <x:c r="C17" s="8" t="str">
        <x:v>safety, containment and rescue</x:v>
      </x:c>
      <x:c r="D17" s="8" t="n">
        <x:v>8</x:v>
      </x:c>
      <x:c r="E17" s="9" t="str">
        <x:v>hazard boundary</x:v>
      </x:c>
    </x:row>
    <x:row r="18" ht="38" customHeight="1">
      <x:c r="B18" s="8" t="str">
        <x:v>WF-12</x:v>
      </x:c>
      <x:c r="C18" s="8" t="str">
        <x:v>independent acceptance</x:v>
      </x:c>
      <x:c r="D18" s="8" t="n">
        <x:v>8</x:v>
      </x:c>
      <x:c r="E18" s="9" t="str">
        <x:v>article and campaign decisions</x:v>
      </x:c>
    </x:row>
    <x:row r="19">
      <x:c r="B19" s="45"/>
      <x:c r="C19" s="45"/>
      <x:c r="D19" s="45"/>
      <x:c r="E19" s="45"/>
    </x:row>
    <x:row r="20">
      <x:c r="B20" s="59" t="str">
        <x:v>TOTAL</x:v>
      </x:c>
      <x:c r="C20" s="60" t="str"/>
      <x:c r="D20" s="60" t="n">
        <x:f>SUM(D7:D18)</x:f>
        <x:v>218</x:v>
      </x:c>
      <x:c r="E20" s="62" t="str">
        <x:v>peak assigned positions inside RAP-1</x:v>
      </x:c>
    </x:row>
  </x:sheetData>
  <x:pageMargins left="0.7" right="0.7" top="0.75" bottom="0.75" header="0.3" footer="0.3"/>
</x:worksheet>
</file>

<file path=xl/worksheets/sheet43.xml><?xml version="1.0" encoding="utf-8"?>
<x:worksheet xmlns:x="http://schemas.openxmlformats.org/spreadsheetml/2006/main">
  <x:sheetViews>
    <x:sheetView showGridLines="0" workbookViewId="0">
      <x:pane xSplit="2" ySplit="6" topLeftCell="C7" activePane="bottomRight" state="frozen"/>
    </x:sheetView>
  </x:sheetViews>
  <x:sheetFormatPr defaultRowHeight="15"/>
  <x:cols>
    <x:col min="2" max="2" width="14" hidden="0" customWidth="1"/>
    <x:col min="3" max="3" width="48" hidden="0" customWidth="1"/>
    <x:col min="4" max="4" width="18" hidden="0" customWidth="1"/>
    <x:col min="5" max="5" width="52" hidden="0" customWidth="1"/>
  </x:cols>
  <x:sheetData>
    <x:row r="2">
      <x:c r="B2" s="44" t="str">
        <x:v>RAB-1 capital allocation (USD M)</x:v>
      </x:c>
      <x:c r="C2" s="45"/>
      <x:c r="D2" s="45"/>
      <x:c r="E2" s="45"/>
    </x:row>
    <x:row r="3">
      <x:c r="B3" s="46" t="str">
        <x:v>Capital is a planning allocation inside RAP-1, not a vendor quote or additional Department claim.</x:v>
      </x:c>
      <x:c r="C3" s="45"/>
      <x:c r="D3" s="45"/>
      <x:c r="E3" s="45"/>
    </x:row>
    <x:row r="4">
      <x:c r="B4" s="45"/>
      <x:c r="C4" s="45"/>
      <x:c r="D4" s="45"/>
      <x:c r="E4" s="45"/>
    </x:row>
    <x:row r="5">
      <x:c r="B5" s="45"/>
      <x:c r="C5" s="45"/>
      <x:c r="D5" s="45"/>
      <x:c r="E5" s="45"/>
    </x:row>
    <x:row r="6" ht="25" customHeight="1">
      <x:c r="B6" s="6" t="str">
        <x:v>Line</x:v>
      </x:c>
      <x:c r="C6" s="6" t="str">
        <x:v>Capital use</x:v>
      </x:c>
      <x:c r="D6" s="6" t="str">
        <x:v>USD M</x:v>
      </x:c>
      <x:c r="E6" s="6" t="str">
        <x:v>Basis</x:v>
      </x:c>
    </x:row>
    <x:row r="7" ht="35" customHeight="1">
      <x:c r="B7" s="8" t="str">
        <x:v>CAP-01</x:v>
      </x:c>
      <x:c r="C7" s="8" t="str">
        <x:v>two integrated development articles</x:v>
      </x:c>
      <x:c r="D7" s="25" t="n">
        <x:v>12</x:v>
      </x:c>
      <x:c r="E7" s="9" t="str">
        <x:v>serialized sacrificial articles</x:v>
      </x:c>
    </x:row>
    <x:row r="8" ht="35" customHeight="1">
      <x:c r="B8" s="8" t="str">
        <x:v>CAP-02</x:v>
      </x:c>
      <x:c r="C8" s="8" t="str">
        <x:v>process-window and defect specimens</x:v>
      </x:c>
      <x:c r="D8" s="25" t="n">
        <x:v>17</x:v>
      </x:c>
      <x:c r="E8" s="9" t="str">
        <x:v>1,512 joint and challenge specimens</x:v>
      </x:c>
    </x:row>
    <x:row r="9" ht="35" customHeight="1">
      <x:c r="B9" s="8" t="str">
        <x:v>CAP-03</x:v>
      </x:c>
      <x:c r="C9" s="8" t="str">
        <x:v>bore, surface and coordinate metrology</x:v>
      </x:c>
      <x:c r="D9" s="25" t="n">
        <x:v>13</x:v>
      </x:c>
      <x:c r="E9" s="9" t="str">
        <x:v>traceable standards and mapping</x:v>
      </x:c>
    </x:row>
    <x:row r="10" ht="35" customHeight="1">
      <x:c r="B10" s="8" t="str">
        <x:v>CAP-04</x:v>
      </x:c>
      <x:c r="C10" s="8" t="str">
        <x:v>weld and clamp execution cells</x:v>
      </x:c>
      <x:c r="D10" s="25" t="n">
        <x:v>14</x:v>
      </x:c>
      <x:c r="E10" s="9" t="str">
        <x:v>unlike construction lanes</x:v>
      </x:c>
    </x:row>
    <x:row r="11" ht="35" customHeight="1">
      <x:c r="B11" s="8" t="str">
        <x:v>CAP-05</x:v>
      </x:c>
      <x:c r="C11" s="8" t="str">
        <x:v>liquid proof and cyclic-pressure systems</x:v>
      </x:c>
      <x:c r="D11" s="25" t="n">
        <x:v>12</x:v>
      </x:c>
      <x:c r="E11" s="9" t="str">
        <x:v>contained full-line stimulus</x:v>
      </x:c>
    </x:row>
    <x:row r="12" ht="35" customHeight="1">
      <x:c r="B12" s="8" t="str">
        <x:v>CAP-06</x:v>
      </x:c>
      <x:c r="C12" s="8" t="str">
        <x:v>thermal and drain-recovery systems</x:v>
      </x:c>
      <x:c r="D12" s="25" t="n">
        <x:v>9</x:v>
      </x:c>
      <x:c r="E12" s="9" t="str">
        <x:v>full-line extreme and residual work</x:v>
      </x:c>
    </x:row>
    <x:row r="13" ht="35" customHeight="1">
      <x:c r="B13" s="8" t="str">
        <x:v>CAP-07</x:v>
      </x:c>
      <x:c r="C13" s="8" t="str">
        <x:v>safeing and energy laboratories</x:v>
      </x:c>
      <x:c r="D13" s="25" t="n">
        <x:v>9</x:v>
      </x:c>
      <x:c r="E13" s="9" t="str">
        <x:v>mechanical work and low-state autonomy</x:v>
      </x:c>
    </x:row>
    <x:row r="14" ht="35" customHeight="1">
      <x:c r="B14" s="8" t="str">
        <x:v>CAP-08</x:v>
      </x:c>
      <x:c r="C14" s="8" t="str">
        <x:v>blind NDE and challenge custody</x:v>
      </x:c>
      <x:c r="D14" s="25" t="n">
        <x:v>8</x:v>
      </x:c>
      <x:c r="E14" s="9" t="str">
        <x:v>sealed presentation system</x:v>
      </x:c>
    </x:row>
    <x:row r="15" ht="35" customHeight="1">
      <x:c r="B15" s="8" t="str">
        <x:v>CAP-09</x:v>
      </x:c>
      <x:c r="C15" s="8" t="str">
        <x:v>sectioning and forensic laboratories</x:v>
      </x:c>
      <x:c r="D15" s="25" t="n">
        <x:v>10</x:v>
      </x:c>
      <x:c r="E15" s="9" t="str">
        <x:v>committed cuts and truth records</x:v>
      </x:c>
    </x:row>
    <x:row r="16" ht="35" customHeight="1">
      <x:c r="B16" s="8" t="str">
        <x:v>CAP-10</x:v>
      </x:c>
      <x:c r="C16" s="8" t="str">
        <x:v>instrument, time and evidence systems</x:v>
      </x:c>
      <x:c r="D16" s="25" t="n">
        <x:v>6</x:v>
      </x:c>
      <x:c r="E16" s="9" t="str">
        <x:v>mounts, clocks and two originals</x:v>
      </x:c>
    </x:row>
    <x:row r="17" ht="35" customHeight="1">
      <x:c r="B17" s="8" t="str">
        <x:v>CAP-11</x:v>
      </x:c>
      <x:c r="C17" s="8" t="str">
        <x:v>materials archive and quarantine</x:v>
      </x:c>
      <x:c r="D17" s="25" t="n">
        <x:v>3</x:v>
      </x:c>
      <x:c r="E17" s="9" t="str">
        <x:v>conserved ancestry</x:v>
      </x:c>
    </x:row>
    <x:row r="18" ht="35" customHeight="1">
      <x:c r="B18" s="8" t="str">
        <x:v>CAP-12</x:v>
      </x:c>
      <x:c r="C18" s="8" t="str">
        <x:v>safety, containment, lift and rescue</x:v>
      </x:c>
      <x:c r="D18" s="25" t="n">
        <x:v>3</x:v>
      </x:c>
      <x:c r="E18" s="9" t="str">
        <x:v>physical protection</x:v>
      </x:c>
    </x:row>
    <x:row r="19" ht="35" customHeight="1">
      <x:c r="B19" s="8" t="str">
        <x:v>CAP-13</x:v>
      </x:c>
      <x:c r="C19" s="8" t="str">
        <x:v>contingency</x:v>
      </x:c>
      <x:c r="D19" s="25" t="n">
        <x:v>2</x:v>
      </x:c>
      <x:c r="E19" s="9" t="str">
        <x:v>unallocated campaign reserve</x:v>
      </x:c>
    </x:row>
    <x:row r="20">
      <x:c r="B20" s="45"/>
      <x:c r="C20" s="45"/>
      <x:c r="D20" s="63"/>
      <x:c r="E20" s="45"/>
    </x:row>
    <x:row r="21">
      <x:c r="B21" s="59" t="str">
        <x:v>TOTAL</x:v>
      </x:c>
      <x:c r="C21" s="60" t="str"/>
      <x:c r="D21" s="64" t="n">
        <x:f>SUM(D7:D19)</x:f>
        <x:v>118</x:v>
      </x:c>
      <x:c r="E21" s="62" t="str">
        <x:v>gross capital inside RAP-1</x:v>
      </x:c>
    </x:row>
  </x:sheetData>
  <x:pageMargins left="0.7" right="0.7" top="0.75" bottom="0.75" header="0.3" footer="0.3"/>
</x:worksheet>
</file>

<file path=xl/worksheets/sheet44.xml><?xml version="1.0" encoding="utf-8"?>
<x:worksheet xmlns:x="http://schemas.openxmlformats.org/spreadsheetml/2006/main">
  <x:sheetViews>
    <x:sheetView showGridLines="0" workbookViewId="0">
      <x:pane xSplit="2" ySplit="6" topLeftCell="C7" activePane="bottomRight" state="frozen"/>
    </x:sheetView>
  </x:sheetViews>
  <x:sheetFormatPr defaultRowHeight="15"/>
  <x:cols>
    <x:col min="2" max="2" width="14" hidden="0" customWidth="1"/>
    <x:col min="3" max="3" width="48" hidden="0" customWidth="1"/>
    <x:col min="4" max="4" width="20" hidden="0" customWidth="1"/>
    <x:col min="5" max="5" width="56" hidden="0" customWidth="1"/>
  </x:cols>
  <x:sheetData>
    <x:row r="2">
      <x:c r="B2" s="44" t="str">
        <x:v>RAB-1 annual support allocation (USD M)</x:v>
      </x:c>
      <x:c r="C2" s="45"/>
      <x:c r="D2" s="45"/>
      <x:c r="E2" s="45"/>
    </x:row>
    <x:row r="3">
      <x:c r="B3" s="46" t="str">
        <x:v>The annual boundary coexists with the RAC-1 definition work and remains below the RAP-1 ceiling.</x:v>
      </x:c>
      <x:c r="C3" s="45"/>
      <x:c r="D3" s="45"/>
      <x:c r="E3" s="45"/>
    </x:row>
    <x:row r="4">
      <x:c r="B4" s="45"/>
      <x:c r="C4" s="45"/>
      <x:c r="D4" s="45"/>
      <x:c r="E4" s="45"/>
    </x:row>
    <x:row r="5">
      <x:c r="B5" s="45"/>
      <x:c r="C5" s="45"/>
      <x:c r="D5" s="45"/>
      <x:c r="E5" s="45"/>
    </x:row>
    <x:row r="6" ht="25" customHeight="1">
      <x:c r="B6" s="6" t="str">
        <x:v>Line</x:v>
      </x:c>
      <x:c r="C6" s="6" t="str">
        <x:v>Annual use</x:v>
      </x:c>
      <x:c r="D6" s="6" t="str">
        <x:v>USD M/year</x:v>
      </x:c>
      <x:c r="E6" s="6" t="str">
        <x:v>Basis</x:v>
      </x:c>
    </x:row>
    <x:row r="7" ht="35" customHeight="1">
      <x:c r="B7" s="8" t="str">
        <x:v>ANN-01</x:v>
      </x:c>
      <x:c r="C7" s="8" t="str">
        <x:v>workforce</x:v>
      </x:c>
      <x:c r="D7" s="25" t="n">
        <x:v>34</x:v>
      </x:c>
      <x:c r="E7" s="9" t="str">
        <x:v>assigned complement and public professions</x:v>
      </x:c>
    </x:row>
    <x:row r="8" ht="35" customHeight="1">
      <x:c r="B8" s="8" t="str">
        <x:v>ANN-02</x:v>
      </x:c>
      <x:c r="C8" s="8" t="str">
        <x:v>fixture and range operation</x:v>
      </x:c>
      <x:c r="D8" s="25" t="n">
        <x:v>7</x:v>
      </x:c>
      <x:c r="E8" s="9" t="str">
        <x:v>utilities, maintenance and calibration brackets</x:v>
      </x:c>
    </x:row>
    <x:row r="9" ht="35" customHeight="1">
      <x:c r="B9" s="8" t="str">
        <x:v>ANN-03</x:v>
      </x:c>
      <x:c r="C9" s="8" t="str">
        <x:v>specimen material and consumables</x:v>
      </x:c>
      <x:c r="D9" s="25" t="n">
        <x:v>4</x:v>
      </x:c>
      <x:c r="E9" s="9" t="str">
        <x:v>qualified lots and controlled challenges</x:v>
      </x:c>
    </x:row>
    <x:row r="10" ht="35" customHeight="1">
      <x:c r="B10" s="8" t="str">
        <x:v>ANN-04</x:v>
      </x:c>
      <x:c r="C10" s="8" t="str">
        <x:v>metrology and calibration</x:v>
      </x:c>
      <x:c r="D10" s="25" t="n">
        <x:v>3</x:v>
      </x:c>
      <x:c r="E10" s="9" t="str">
        <x:v>standards and gage studies</x:v>
      </x:c>
    </x:row>
    <x:row r="11" ht="35" customHeight="1">
      <x:c r="B11" s="8" t="str">
        <x:v>ANN-05</x:v>
      </x:c>
      <x:c r="C11" s="8" t="str">
        <x:v>destructive forensics</x:v>
      </x:c>
      <x:c r="D11" s="25" t="n">
        <x:v>3</x:v>
      </x:c>
      <x:c r="E11" s="9" t="str">
        <x:v>sectioning, microscopy and archive</x:v>
      </x:c>
    </x:row>
    <x:row r="12" ht="35" customHeight="1">
      <x:c r="B12" s="8" t="str">
        <x:v>ANN-06</x:v>
      </x:c>
      <x:c r="C12" s="8" t="str">
        <x:v>safety, containment and rescue</x:v>
      </x:c>
      <x:c r="D12" s="25" t="n">
        <x:v>2</x:v>
      </x:c>
      <x:c r="E12" s="9" t="str">
        <x:v>range protection</x:v>
      </x:c>
    </x:row>
    <x:row r="13" ht="35" customHeight="1">
      <x:c r="B13" s="8" t="str">
        <x:v>ANN-07</x:v>
      </x:c>
      <x:c r="C13" s="8" t="str">
        <x:v>evidence and data custody</x:v>
      </x:c>
      <x:c r="D13" s="25" t="n">
        <x:v>2</x:v>
      </x:c>
      <x:c r="E13" s="9" t="str">
        <x:v>two originals and replay</x:v>
      </x:c>
    </x:row>
    <x:row r="14" ht="35" customHeight="1">
      <x:c r="B14" s="8" t="str">
        <x:v>ANN-08</x:v>
      </x:c>
      <x:c r="C14" s="8" t="str">
        <x:v>independent boards and outside teams</x:v>
      </x:c>
      <x:c r="D14" s="25" t="n">
        <x:v>1.5</x:v>
      </x:c>
      <x:c r="E14" s="9" t="str">
        <x:v>separated review and reproduction</x:v>
      </x:c>
    </x:row>
    <x:row r="15" ht="35" customHeight="1">
      <x:c r="B15" s="8" t="str">
        <x:v>ANN-09</x:v>
      </x:c>
      <x:c r="C15" s="8" t="str">
        <x:v>facility support</x:v>
      </x:c>
      <x:c r="D15" s="25" t="n">
        <x:v>0.5</x:v>
      </x:c>
      <x:c r="E15" s="9" t="str">
        <x:v>site services</x:v>
      </x:c>
    </x:row>
    <x:row r="16" ht="35" customHeight="1">
      <x:c r="B16" s="8" t="str">
        <x:v>ANN-10</x:v>
      </x:c>
      <x:c r="C16" s="8" t="str">
        <x:v>contingency</x:v>
      </x:c>
      <x:c r="D16" s="25" t="n">
        <x:v>1</x:v>
      </x:c>
      <x:c r="E16" s="9" t="str">
        <x:v>unallocated annual reserve</x:v>
      </x:c>
    </x:row>
    <x:row r="17">
      <x:c r="B17" s="45"/>
      <x:c r="C17" s="45"/>
      <x:c r="D17" s="63"/>
      <x:c r="E17" s="45"/>
    </x:row>
    <x:row r="18">
      <x:c r="B18" s="47" t="str">
        <x:v>TOTAL</x:v>
      </x:c>
      <x:c r="C18" s="48" t="str"/>
      <x:c r="D18" s="65" t="n">
        <x:f>SUM(D7:D16)</x:f>
        <x:v>58</x:v>
      </x:c>
      <x:c r="E18" s="49" t="str">
        <x:v>annual support inside RAP-1</x:v>
      </x:c>
    </x:row>
    <x:row r="19">
      <x:c r="B19" s="55" t="str">
        <x:v>18-MONTH EXPOSURE</x:v>
      </x:c>
      <x:c r="C19" s="56" t="str"/>
      <x:c r="D19" s="66" t="n">
        <x:f>'Capital'!D21+1.5*D18</x:f>
        <x:v>205</x:v>
      </x:c>
      <x:c r="E19" s="57" t="str">
        <x:v>capital plus one and one-half years of annual support</x:v>
      </x:c>
    </x:row>
  </x:sheetData>
  <x:pageMargins left="0.7" right="0.7" top="0.75" bottom="0.75" header="0.3" footer="0.3"/>
</x:worksheet>
</file>

<file path=xl/worksheets/sheet45.xml><?xml version="1.0" encoding="utf-8"?>
<x:worksheet xmlns:x="http://schemas.openxmlformats.org/spreadsheetml/2006/main">
  <x:sheetViews>
    <x:sheetView showGridLines="0" workbookViewId="0">
      <x:pane xSplit="2" ySplit="6" topLeftCell="C7" activePane="bottomRight" state="frozen"/>
    </x:sheetView>
  </x:sheetViews>
  <x:sheetFormatPr defaultRowHeight="15"/>
  <x:cols>
    <x:col min="2" max="2" width="14" hidden="0" customWidth="1"/>
    <x:col min="3" max="3" width="43" hidden="0" customWidth="1"/>
    <x:col min="4" max="4" width="18" hidden="0" customWidth="1"/>
    <x:col min="5" max="5" width="25" hidden="0" customWidth="1"/>
    <x:col min="6" max="6" width="39" hidden="0" customWidth="1"/>
  </x:cols>
  <x:sheetData>
    <x:row r="2">
      <x:c r="B2" s="44" t="str">
        <x:v>RAB-1 portfolio reconciliation (USD M)</x:v>
      </x:c>
      <x:c r="C2" s="45"/>
      <x:c r="D2" s="45"/>
      <x:c r="E2" s="45"/>
      <x:c r="F2" s="45"/>
    </x:row>
    <x:row r="3">
      <x:c r="B3" s="46" t="str">
        <x:v>Stage allocations are additive inside RAP-1. Technology mapping is cross-classified and is not added to capital.</x:v>
      </x:c>
      <x:c r="C3" s="45"/>
      <x:c r="D3" s="45"/>
      <x:c r="E3" s="45"/>
      <x:c r="F3" s="45"/>
    </x:row>
    <x:row r="4">
      <x:c r="B4" s="45"/>
      <x:c r="C4" s="45"/>
      <x:c r="D4" s="45"/>
      <x:c r="E4" s="45"/>
      <x:c r="F4" s="45"/>
    </x:row>
    <x:row r="5">
      <x:c r="B5" s="45"/>
      <x:c r="C5" s="45"/>
      <x:c r="D5" s="45"/>
      <x:c r="E5" s="45"/>
      <x:c r="F5" s="45"/>
    </x:row>
    <x:row r="6" ht="25" customHeight="1">
      <x:c r="B6" s="6" t="str">
        <x:v>Line</x:v>
      </x:c>
      <x:c r="C6" s="6" t="str">
        <x:v>Boundary</x:v>
      </x:c>
      <x:c r="D6" s="6" t="str">
        <x:v>USD M</x:v>
      </x:c>
      <x:c r="E6" s="6" t="str">
        <x:v>Class</x:v>
      </x:c>
      <x:c r="F6" s="6" t="str">
        <x:v>Source</x:v>
      </x:c>
    </x:row>
    <x:row r="7" ht="34" customHeight="1">
      <x:c r="B7" s="8" t="str">
        <x:v>PB-01</x:v>
      </x:c>
      <x:c r="C7" s="9" t="str">
        <x:v>RAP-1 capital boundary</x:v>
      </x:c>
      <x:c r="D7" s="39" t="n">
        <x:v>248</x:v>
      </x:c>
      <x:c r="E7" s="8" t="str">
        <x:v>parent</x:v>
      </x:c>
      <x:c r="F7" s="9" t="str">
        <x:v>RAP-1</x:v>
      </x:c>
    </x:row>
    <x:row r="8" ht="34" customHeight="1">
      <x:c r="B8" s="8" t="str">
        <x:v>PB-02</x:v>
      </x:c>
      <x:c r="C8" s="9" t="str">
        <x:v>RAC-1 capital allocation</x:v>
      </x:c>
      <x:c r="D8" s="39" t="n">
        <x:v>64</x:v>
      </x:c>
      <x:c r="E8" s="8" t="str">
        <x:v>stage allocation</x:v>
      </x:c>
      <x:c r="F8" s="9" t="str">
        <x:v>RAC-1</x:v>
      </x:c>
    </x:row>
    <x:row r="9" ht="34" customHeight="1">
      <x:c r="B9" s="8" t="str">
        <x:v>PB-03</x:v>
      </x:c>
      <x:c r="C9" s="9" t="str">
        <x:v>RAB-1 capital allocation</x:v>
      </x:c>
      <x:c r="D9" s="39" t="n">
        <x:f>'Capital'!D21</x:f>
        <x:v>118</x:v>
      </x:c>
      <x:c r="E9" s="8" t="str">
        <x:v>stage allocation</x:v>
      </x:c>
      <x:c r="F9" s="9" t="str">
        <x:v>Capital</x:v>
      </x:c>
    </x:row>
    <x:row r="10" ht="34" customHeight="1">
      <x:c r="B10" s="8" t="str">
        <x:v>PB-04</x:v>
      </x:c>
      <x:c r="C10" s="9" t="str">
        <x:v>remaining parent capital</x:v>
      </x:c>
      <x:c r="D10" s="39" t="n">
        <x:f>D7-D8-D9</x:f>
        <x:v>66</x:v>
      </x:c>
      <x:c r="E10" s="8" t="str">
        <x:v>calculated</x:v>
      </x:c>
      <x:c r="F10" s="9" t="str">
        <x:v>RAP-1 less RAC-1 and RAB-1</x:v>
      </x:c>
    </x:row>
    <x:row r="11" ht="34" customHeight="1">
      <x:c r="B11" s="8" t="str">
        <x:v>PB-05</x:v>
      </x:c>
      <x:c r="C11" s="9" t="str">
        <x:v>RAP-1 annual boundary</x:v>
      </x:c>
      <x:c r="D11" s="39" t="n">
        <x:v>112</x:v>
      </x:c>
      <x:c r="E11" s="8" t="str">
        <x:v>parent</x:v>
      </x:c>
      <x:c r="F11" s="9" t="str">
        <x:v>RAP-1</x:v>
      </x:c>
    </x:row>
    <x:row r="12" ht="34" customHeight="1">
      <x:c r="B12" s="8" t="str">
        <x:v>PB-06</x:v>
      </x:c>
      <x:c r="C12" s="9" t="str">
        <x:v>RAC-1 annual allocation</x:v>
      </x:c>
      <x:c r="D12" s="39" t="n">
        <x:v>38</x:v>
      </x:c>
      <x:c r="E12" s="8" t="str">
        <x:v>concurrent stage allocation</x:v>
      </x:c>
      <x:c r="F12" s="9" t="str">
        <x:v>RAC-1</x:v>
      </x:c>
    </x:row>
    <x:row r="13" ht="34" customHeight="1">
      <x:c r="B13" s="8" t="str">
        <x:v>PB-07</x:v>
      </x:c>
      <x:c r="C13" s="9" t="str">
        <x:v>RAB-1 annual allocation</x:v>
      </x:c>
      <x:c r="D13" s="39" t="n">
        <x:f>'Annual Support'!D18</x:f>
        <x:v>58</x:v>
      </x:c>
      <x:c r="E13" s="8" t="str">
        <x:v>concurrent stage allocation</x:v>
      </x:c>
      <x:c r="F13" s="9" t="str">
        <x:v>Annual Support</x:v>
      </x:c>
    </x:row>
    <x:row r="14" ht="34" customHeight="1">
      <x:c r="B14" s="8" t="str">
        <x:v>PB-08</x:v>
      </x:c>
      <x:c r="C14" s="9" t="str">
        <x:v>remaining parent annual support</x:v>
      </x:c>
      <x:c r="D14" s="39" t="n">
        <x:f>D11-D12-D13</x:f>
        <x:v>16</x:v>
      </x:c>
      <x:c r="E14" s="8" t="str">
        <x:v>calculated</x:v>
      </x:c>
      <x:c r="F14" s="9" t="str">
        <x:v>RAP-1 less RAC-1 and RAB-1</x:v>
      </x:c>
    </x:row>
    <x:row r="15" ht="34" customHeight="1">
      <x:c r="B15" s="8" t="str">
        <x:v>PB-09</x:v>
      </x:c>
      <x:c r="C15" s="9" t="str">
        <x:v>RAB-1 18-month exposure</x:v>
      </x:c>
      <x:c r="D15" s="39" t="n">
        <x:f>'Annual Support'!D19</x:f>
        <x:v>205</x:v>
      </x:c>
      <x:c r="E15" s="8" t="str">
        <x:v>calculated</x:v>
      </x:c>
      <x:c r="F15" s="9" t="str">
        <x:v>capital plus support</x:v>
      </x:c>
    </x:row>
    <x:row r="16" ht="34" customHeight="1">
      <x:c r="B16" s="8" t="str">
        <x:v>PB-10</x:v>
      </x:c>
      <x:c r="C16" s="9" t="str">
        <x:v>RAP-1 technology boundary</x:v>
      </x:c>
      <x:c r="D16" s="39" t="n">
        <x:v>310</x:v>
      </x:c>
      <x:c r="E16" s="8" t="str">
        <x:v>cross-classification</x:v>
      </x:c>
      <x:c r="F16" s="9" t="str">
        <x:v>RAP-1</x:v>
      </x:c>
    </x:row>
    <x:row r="17" ht="34" customHeight="1">
      <x:c r="B17" s="8" t="str">
        <x:v>PB-11</x:v>
      </x:c>
      <x:c r="C17" s="9" t="str">
        <x:v>RAB-1 technology mapping</x:v>
      </x:c>
      <x:c r="D17" s="39" t="n">
        <x:f>'Technology Programs'!D17</x:f>
        <x:v>180</x:v>
      </x:c>
      <x:c r="E17" s="8" t="str">
        <x:v>cross-classification</x:v>
      </x:c>
      <x:c r="F17" s="9" t="str">
        <x:v>Technology Programs</x:v>
      </x:c>
    </x:row>
    <x:row r="18" ht="34" customHeight="1">
      <x:c r="B18" s="8" t="str">
        <x:v>PB-12</x:v>
      </x:c>
      <x:c r="C18" s="9" t="str">
        <x:v>increment above RAC-1 mapping</x:v>
      </x:c>
      <x:c r="D18" s="39" t="n">
        <x:f>D17-'Controls'!$D$69</x:f>
        <x:v>55</x:v>
      </x:c>
      <x:c r="E18" s="8" t="str">
        <x:v>calculated</x:v>
      </x:c>
      <x:c r="F18" s="9" t="str">
        <x:v>RAB-1 less inherited mapping</x:v>
      </x:c>
    </x:row>
    <x:row r="19" ht="34" customHeight="1">
      <x:c r="B19" s="8" t="str">
        <x:v>PB-13</x:v>
      </x:c>
      <x:c r="C19" s="9" t="str">
        <x:v>net portfolio extension</x:v>
      </x:c>
      <x:c r="D19" s="39" t="n">
        <x:f>'Controls'!$D$70</x:f>
        <x:v>0</x:v>
      </x:c>
      <x:c r="E19" s="8" t="str">
        <x:v>control</x:v>
      </x:c>
      <x:c r="F19" s="9" t="str">
        <x:v>RAB-1</x:v>
      </x:c>
    </x:row>
  </x:sheetData>
  <x:pageMargins left="0.7" right="0.7" top="0.75" bottom="0.75" header="0.3" footer="0.3"/>
</x:worksheet>
</file>

<file path=xl/worksheets/sheet46.xml><?xml version="1.0" encoding="utf-8"?>
<x:worksheet xmlns:x="http://schemas.openxmlformats.org/spreadsheetml/2006/main">
  <x:sheetViews>
    <x:sheetView showGridLines="0" workbookViewId="0">
      <x:pane xSplit="2" ySplit="6" topLeftCell="C7" activePane="bottomRight" state="frozen"/>
    </x:sheetView>
  </x:sheetViews>
  <x:sheetFormatPr defaultRowHeight="15"/>
  <x:cols>
    <x:col min="2" max="2" width="14" hidden="0" customWidth="1"/>
    <x:col min="3" max="3" width="38" hidden="0" customWidth="1"/>
    <x:col min="4" max="4" width="17" hidden="0" customWidth="1"/>
    <x:col min="5" max="5" width="21" hidden="0" customWidth="1"/>
    <x:col min="6" max="6" width="22" hidden="0" customWidth="1"/>
    <x:col min="7" max="7" width="60" hidden="0" customWidth="1"/>
  </x:cols>
  <x:sheetData>
    <x:row r="2">
      <x:c r="B2" s="44" t="str">
        <x:v>RAB-1 technology mapping (USD M)</x:v>
      </x:c>
      <x:c r="C2" s="45"/>
      <x:c r="D2" s="45"/>
      <x:c r="E2" s="45"/>
      <x:c r="F2" s="45"/>
      <x:c r="G2" s="45"/>
    </x:row>
    <x:row r="3">
      <x:c r="B3" s="46" t="str">
        <x:v>The USD 180M map supersedes the USD 125M RAC-1 subset. Only USD 55M extends the covered technology scope.</x:v>
      </x:c>
      <x:c r="C3" s="45"/>
      <x:c r="D3" s="45"/>
      <x:c r="E3" s="45"/>
      <x:c r="F3" s="45"/>
      <x:c r="G3" s="45"/>
    </x:row>
    <x:row r="4">
      <x:c r="B4" s="45"/>
      <x:c r="C4" s="45"/>
      <x:c r="D4" s="45"/>
      <x:c r="E4" s="45"/>
      <x:c r="F4" s="45"/>
      <x:c r="G4" s="45"/>
    </x:row>
    <x:row r="5">
      <x:c r="B5" s="45"/>
      <x:c r="C5" s="45"/>
      <x:c r="D5" s="45"/>
      <x:c r="E5" s="45"/>
      <x:c r="F5" s="45"/>
      <x:c r="G5" s="45"/>
    </x:row>
    <x:row r="6" ht="25" customHeight="1">
      <x:c r="B6" s="6" t="str">
        <x:v>Program</x:v>
      </x:c>
      <x:c r="C6" s="6" t="str">
        <x:v>Technology</x:v>
      </x:c>
      <x:c r="D6" s="6" t="str">
        <x:v>RAB-1 map</x:v>
      </x:c>
      <x:c r="E6" s="6" t="str">
        <x:v>Inside RAC-1 map</x:v>
      </x:c>
      <x:c r="F6" s="6" t="str">
        <x:v>Incremental coverage</x:v>
      </x:c>
      <x:c r="G6" s="6" t="str">
        <x:v>Research value</x:v>
      </x:c>
    </x:row>
    <x:row r="7" ht="38" customHeight="1">
      <x:c r="B7" s="8" t="str">
        <x:v>TP-01</x:v>
      </x:c>
      <x:c r="C7" s="8" t="str">
        <x:v>autonomous internal metrology</x:v>
      </x:c>
      <x:c r="D7" s="23" t="n">
        <x:v>20</x:v>
      </x:c>
      <x:c r="E7" s="23" t="n">
        <x:v>16</x:v>
      </x:c>
      <x:c r="F7" s="23" t="n">
        <x:v>4</x:v>
      </x:c>
      <x:c r="G7" s="9" t="str">
        <x:v>continuous bore, step, port and surface maps</x:v>
      </x:c>
    </x:row>
    <x:row r="8" ht="38" customHeight="1">
      <x:c r="B8" s="8" t="str">
        <x:v>TP-02</x:v>
      </x:c>
      <x:c r="C8" s="8" t="str">
        <x:v>monitored cartridge joints</x:v>
      </x:c>
      <x:c r="D8" s="23" t="n">
        <x:v>24</x:v>
      </x:c>
      <x:c r="E8" s="23" t="n">
        <x:v>20</x:v>
      </x:c>
      <x:c r="F8" s="23" t="n">
        <x:v>4</x:v>
      </x:c>
      <x:c r="G8" s="9" t="str">
        <x:v>seal state, interspace and preload observation</x:v>
      </x:c>
    </x:row>
    <x:row r="9" ht="38" customHeight="1">
      <x:c r="B9" s="8" t="str">
        <x:v>TP-03</x:v>
      </x:c>
      <x:c r="C9" s="8" t="str">
        <x:v>weld execution twins</x:v>
      </x:c>
      <x:c r="D9" s="23" t="n">
        <x:v>22</x:v>
      </x:c>
      <x:c r="E9" s="23" t="n">
        <x:v>18</x:v>
      </x:c>
      <x:c r="F9" s="23" t="n">
        <x:v>4</x:v>
      </x:c>
      <x:c r="G9" s="9" t="str">
        <x:v>measured energy, purge, travel and root geometry</x:v>
      </x:c>
    </x:row>
    <x:row r="10" ht="38" customHeight="1">
      <x:c r="B10" s="8" t="str">
        <x:v>TP-04</x:v>
      </x:c>
      <x:c r="C10" s="8" t="str">
        <x:v>passive-safe actuation</x:v>
      </x:c>
      <x:c r="D10" s="23" t="n">
        <x:v>18</x:v>
      </x:c>
      <x:c r="E10" s="23" t="n">
        <x:v>14</x:v>
      </x:c>
      <x:c r="F10" s="23" t="n">
        <x:v>4</x:v>
      </x:c>
      <x:c r="G10" s="9" t="str">
        <x:v>final action without normal power</x:v>
      </x:c>
    </x:row>
    <x:row r="11" ht="38" customHeight="1">
      <x:c r="B11" s="8" t="str">
        <x:v>TP-05</x:v>
      </x:c>
      <x:c r="C11" s="8" t="str">
        <x:v>mechanical state memory</x:v>
      </x:c>
      <x:c r="D11" s="23" t="n">
        <x:v>12</x:v>
      </x:c>
      <x:c r="E11" s="23" t="n">
        <x:v>9</x:v>
      </x:c>
      <x:c r="F11" s="23" t="n">
        <x:v>3</x:v>
      </x:c>
      <x:c r="G11" s="9" t="str">
        <x:v>direct final-state witness</x:v>
      </x:c>
    </x:row>
    <x:row r="12" ht="38" customHeight="1">
      <x:c r="B12" s="8" t="str">
        <x:v>TP-06</x:v>
      </x:c>
      <x:c r="C12" s="8" t="str">
        <x:v>low-state energy evidence</x:v>
      </x:c>
      <x:c r="D12" s="23" t="n">
        <x:v>14</x:v>
      </x:c>
      <x:c r="E12" s="23" t="n">
        <x:v>10</x:v>
      </x:c>
      <x:c r="F12" s="23" t="n">
        <x:v>4</x:v>
      </x:c>
      <x:c r="G12" s="9" t="str">
        <x:v>sensing, time and two originals at partial charge</x:v>
      </x:c>
    </x:row>
    <x:row r="13" ht="38" customHeight="1">
      <x:c r="B13" s="8" t="str">
        <x:v>TP-07</x:v>
      </x:c>
      <x:c r="C13" s="8" t="str">
        <x:v>blind defect synthesis</x:v>
      </x:c>
      <x:c r="D13" s="23" t="n">
        <x:v>20</x:v>
      </x:c>
      <x:c r="E13" s="23" t="n">
        <x:v>12</x:v>
      </x:c>
      <x:c r="F13" s="23" t="n">
        <x:v>8</x:v>
      </x:c>
      <x:c r="G13" s="9" t="str">
        <x:v>repeatable physical challenge standards</x:v>
      </x:c>
    </x:row>
    <x:row r="14" ht="38" customHeight="1">
      <x:c r="B14" s="8" t="str">
        <x:v>TP-08</x:v>
      </x:c>
      <x:c r="C14" s="8" t="str">
        <x:v>robotic destructive mapping</x:v>
      </x:c>
      <x:c r="D14" s="23" t="n">
        <x:v>16</x:v>
      </x:c>
      <x:c r="E14" s="23" t="n">
        <x:v>8</x:v>
      </x:c>
      <x:c r="F14" s="23" t="n">
        <x:v>8</x:v>
      </x:c>
      <x:c r="G14" s="9" t="str">
        <x:v>coordinate-linked cut and truth records</x:v>
      </x:c>
    </x:row>
    <x:row r="15" ht="38" customHeight="1">
      <x:c r="B15" s="8" t="str">
        <x:v>TP-09</x:v>
      </x:c>
      <x:c r="C15" s="8" t="str">
        <x:v>self-identifying fixtures</x:v>
      </x:c>
      <x:c r="D15" s="23" t="n">
        <x:v>18</x:v>
      </x:c>
      <x:c r="E15" s="23" t="n">
        <x:v>10</x:v>
      </x:c>
      <x:c r="F15" s="23" t="n">
        <x:v>8</x:v>
      </x:c>
      <x:c r="G15" s="9" t="str">
        <x:v>automatic boundary and calibration identity</x:v>
      </x:c>
    </x:row>
    <x:row r="16" ht="38" customHeight="1">
      <x:c r="B16" s="8" t="str">
        <x:v>TP-10</x:v>
      </x:c>
      <x:c r="C16" s="8" t="str">
        <x:v>reproducible build compiler</x:v>
      </x:c>
      <x:c r="D16" s="23" t="n">
        <x:v>16</x:v>
      </x:c>
      <x:c r="E16" s="23" t="n">
        <x:v>8</x:v>
      </x:c>
      <x:c r="F16" s="23" t="n">
        <x:v>8</x:v>
      </x:c>
      <x:c r="G16" s="9" t="str">
        <x:v>drawing-to-lot-to-operation-to-release graph</x:v>
      </x:c>
    </x:row>
    <x:row r="17">
      <x:c r="B17" s="59" t="str">
        <x:v>TOTAL</x:v>
      </x:c>
      <x:c r="C17" s="60" t="str"/>
      <x:c r="D17" s="67" t="n">
        <x:f>SUM(D7:D16)</x:f>
        <x:v>180</x:v>
      </x:c>
      <x:c r="E17" s="67" t="n">
        <x:f>SUM(E7:E16)</x:f>
        <x:v>125</x:v>
      </x:c>
      <x:c r="F17" s="67" t="n">
        <x:f>SUM(F7:F16)</x:f>
        <x:v>55</x:v>
      </x:c>
      <x:c r="G17" s="62" t="str">
        <x:v>cross-classified inside RAP-1</x:v>
      </x:c>
    </x:row>
  </x:sheetData>
  <x:pageMargins left="0.7" right="0.7" top="0.75" bottom="0.75" header="0.3" footer="0.3"/>
</x:worksheet>
</file>

<file path=xl/worksheets/sheet47.xml><?xml version="1.0" encoding="utf-8"?>
<x:worksheet xmlns:x="http://schemas.openxmlformats.org/spreadsheetml/2006/main">
  <x:sheetViews>
    <x:sheetView showGridLines="0" workbookViewId="0">
      <x:pane xSplit="4" ySplit="6" topLeftCell="E7" activePane="bottomRight" state="frozen"/>
    </x:sheetView>
  </x:sheetViews>
  <x:sheetFormatPr defaultRowHeight="15"/>
  <x:cols>
    <x:col min="2" max="2" width="14" hidden="0" customWidth="1"/>
    <x:col min="3" max="3" width="18" hidden="0" customWidth="1"/>
    <x:col min="4" max="4" width="47" hidden="0" customWidth="1"/>
    <x:col min="5" max="5" width="22" hidden="0" customWidth="1"/>
    <x:col min="6" max="6" width="22" hidden="0" customWidth="1"/>
    <x:col min="7" max="7" width="14" hidden="0" customWidth="1"/>
  </x:cols>
  <x:sheetData>
    <x:row r="2">
      <x:c r="B2" s="44" t="str">
        <x:v>One hundred twenty campaign assertions</x:v>
      </x:c>
      <x:c r="C2" s="45"/>
      <x:c r="D2" s="45"/>
      <x:c r="E2" s="45"/>
      <x:c r="F2" s="45"/>
      <x:c r="G2" s="45"/>
    </x:row>
    <x:row r="3">
      <x:c r="B3" s="46" t="str">
        <x:v>PASS establishes workbook coherence only. It cannot commission a fixture, accept an article or authorize downstream work.</x:v>
      </x:c>
      <x:c r="C3" s="45"/>
      <x:c r="D3" s="45"/>
      <x:c r="E3" s="45"/>
      <x:c r="F3" s="45"/>
      <x:c r="G3" s="45"/>
    </x:row>
    <x:row r="4">
      <x:c r="B4" s="45"/>
      <x:c r="C4" s="45"/>
      <x:c r="D4" s="45"/>
      <x:c r="E4" s="45"/>
      <x:c r="F4" s="45"/>
      <x:c r="G4" s="45"/>
    </x:row>
    <x:row r="5">
      <x:c r="B5" s="45"/>
      <x:c r="C5" s="45"/>
      <x:c r="D5" s="45"/>
      <x:c r="E5" s="45"/>
      <x:c r="F5" s="45"/>
      <x:c r="G5" s="45"/>
    </x:row>
    <x:row r="6" ht="25" customHeight="1">
      <x:c r="B6" s="6" t="str">
        <x:v>Assertion</x:v>
      </x:c>
      <x:c r="C6" s="6" t="str">
        <x:v>Class</x:v>
      </x:c>
      <x:c r="D6" s="6" t="str">
        <x:v>Subject</x:v>
      </x:c>
      <x:c r="E6" s="6" t="str">
        <x:v>Actual</x:v>
      </x:c>
      <x:c r="F6" s="6" t="str">
        <x:v>Expected</x:v>
      </x:c>
      <x:c r="G6" s="6" t="str">
        <x:v>State</x:v>
      </x:c>
    </x:row>
    <x:row r="7" ht="27" customHeight="1">
      <x:c r="B7" s="8" t="str">
        <x:v>H01</x:v>
      </x:c>
      <x:c r="C7" s="8" t="str">
        <x:v>headline</x:v>
      </x:c>
      <x:c r="D7" s="8" t="str">
        <x:v>sheet count</x:v>
      </x:c>
      <x:c r="E7" s="8" t="n">
        <x:f>49</x:f>
        <x:v>49</x:v>
      </x:c>
      <x:c r="F7" s="8" t="n">
        <x:v>49</x:v>
      </x:c>
      <x:c r="G7" s="8" t="str">
        <x:f>IF(AND(ISNUMBER(E7),ISNUMBER(F7)),IF(ABS(E7-F7)&lt;0.000001,"PASS","FAIL"),IF(E7=F7,"PASS","FAIL"))</x:f>
        <x:v>PASS</x:v>
      </x:c>
    </x:row>
    <x:row r="8" ht="27" customHeight="1">
      <x:c r="B8" s="8" t="str">
        <x:v>H02</x:v>
      </x:c>
      <x:c r="C8" s="8" t="str">
        <x:v>headline</x:v>
      </x:c>
      <x:c r="D8" s="8" t="str">
        <x:v>controls</x:v>
      </x:c>
      <x:c r="E8" s="8" t="n">
        <x:f>COUNTA('Controls'!B7:B80)</x:f>
        <x:v>74</x:v>
      </x:c>
      <x:c r="F8" s="8" t="n">
        <x:v>74</x:v>
      </x:c>
      <x:c r="G8" s="8" t="str">
        <x:f>IF(AND(ISNUMBER(E8),ISNUMBER(F8)),IF(ABS(E8-F8)&lt;0.000001,"PASS","FAIL"),IF(E8=F8,"PASS","FAIL"))</x:f>
        <x:v>PASS</x:v>
      </x:c>
    </x:row>
    <x:row r="9" ht="27" customHeight="1">
      <x:c r="B9" s="8" t="str">
        <x:v>H03</x:v>
      </x:c>
      <x:c r="C9" s="8" t="str">
        <x:v>headline</x:v>
      </x:c>
      <x:c r="D9" s="8" t="str">
        <x:v>research questions</x:v>
      </x:c>
      <x:c r="E9" s="8" t="n">
        <x:f>COUNTA('Research Questions'!B7:B18)</x:f>
        <x:v>12</x:v>
      </x:c>
      <x:c r="F9" s="8" t="n">
        <x:v>12</x:v>
      </x:c>
      <x:c r="G9" s="8" t="str">
        <x:f>IF(AND(ISNUMBER(E9),ISNUMBER(F9)),IF(ABS(E9-F9)&lt;0.000001,"PASS","FAIL"),IF(E9=F9,"PASS","FAIL"))</x:f>
        <x:v>PASS</x:v>
      </x:c>
    </x:row>
    <x:row r="10" ht="27" customHeight="1">
      <x:c r="B10" s="8" t="str">
        <x:v>H04</x:v>
      </x:c>
      <x:c r="C10" s="8" t="str">
        <x:v>headline</x:v>
      </x:c>
      <x:c r="D10" s="8" t="str">
        <x:v>claim boundaries</x:v>
      </x:c>
      <x:c r="E10" s="8" t="n">
        <x:f>COUNTA('Claim Boundary'!B7:B18)</x:f>
        <x:v>12</x:v>
      </x:c>
      <x:c r="F10" s="8" t="n">
        <x:v>12</x:v>
      </x:c>
      <x:c r="G10" s="8" t="str">
        <x:f>IF(AND(ISNUMBER(E10),ISNUMBER(F10)),IF(ABS(E10-F10)&lt;0.000001,"PASS","FAIL"),IF(E10=F10,"PASS","FAIL"))</x:f>
        <x:v>PASS</x:v>
      </x:c>
    </x:row>
    <x:row r="11" ht="27" customHeight="1">
      <x:c r="B11" s="8" t="str">
        <x:v>H05</x:v>
      </x:c>
      <x:c r="C11" s="8" t="str">
        <x:v>headline</x:v>
      </x:c>
      <x:c r="D11" s="8" t="str">
        <x:v>governance authorities</x:v>
      </x:c>
      <x:c r="E11" s="8" t="n">
        <x:f>COUNTA('Governance'!B7:B18)</x:f>
        <x:v>12</x:v>
      </x:c>
      <x:c r="F11" s="8" t="n">
        <x:v>12</x:v>
      </x:c>
      <x:c r="G11" s="8" t="str">
        <x:f>IF(AND(ISNUMBER(E11),ISNUMBER(F11)),IF(ABS(E11-F11)&lt;0.000001,"PASS","FAIL"),IF(E11=F11,"PASS","FAIL"))</x:f>
        <x:v>PASS</x:v>
      </x:c>
    </x:row>
    <x:row r="12" ht="27" customHeight="1">
      <x:c r="B12" s="8" t="str">
        <x:v>H06</x:v>
      </x:c>
      <x:c r="C12" s="8" t="str">
        <x:v>headline</x:v>
      </x:c>
      <x:c r="D12" s="8" t="str">
        <x:v>development articles</x:v>
      </x:c>
      <x:c r="E12" s="8" t="n">
        <x:f>COUNTA('Articles'!B7:B8)</x:f>
        <x:v>2</x:v>
      </x:c>
      <x:c r="F12" s="8" t="n">
        <x:v>2</x:v>
      </x:c>
      <x:c r="G12" s="8" t="str">
        <x:f>IF(AND(ISNUMBER(E12),ISNUMBER(F12)),IF(ABS(E12-F12)&lt;0.000001,"PASS","FAIL"),IF(E12=F12,"PASS","FAIL"))</x:f>
        <x:v>PASS</x:v>
      </x:c>
    </x:row>
    <x:row r="13" ht="27" customHeight="1">
      <x:c r="B13" s="8" t="str">
        <x:v>H07</x:v>
      </x:c>
      <x:c r="C13" s="8" t="str">
        <x:v>headline</x:v>
      </x:c>
      <x:c r="D13" s="8" t="str">
        <x:v>object populations</x:v>
      </x:c>
      <x:c r="E13" s="8" t="n">
        <x:f>COUNTA('Object Population'!B7:B12)</x:f>
        <x:v>6</x:v>
      </x:c>
      <x:c r="F13" s="8" t="n">
        <x:v>6</x:v>
      </x:c>
      <x:c r="G13" s="8" t="str">
        <x:f>IF(AND(ISNUMBER(E13),ISNUMBER(F13)),IF(ABS(E13-F13)&lt;0.000001,"PASS","FAIL"),IF(E13=F13,"PASS","FAIL"))</x:f>
        <x:v>PASS</x:v>
      </x:c>
    </x:row>
    <x:row r="14" ht="27" customHeight="1">
      <x:c r="B14" s="8" t="str">
        <x:v>H08</x:v>
      </x:c>
      <x:c r="C14" s="8" t="str">
        <x:v>headline</x:v>
      </x:c>
      <x:c r="D14" s="8" t="str">
        <x:v>process-window cells</x:v>
      </x:c>
      <x:c r="E14" s="8" t="n">
        <x:f>COUNTA('Process Windows'!B7:B40)</x:f>
        <x:v>34</x:v>
      </x:c>
      <x:c r="F14" s="8" t="n">
        <x:v>34</x:v>
      </x:c>
      <x:c r="G14" s="8" t="str">
        <x:f>IF(AND(ISNUMBER(E14),ISNUMBER(F14)),IF(ABS(E14-F14)&lt;0.000001,"PASS","FAIL"),IF(E14=F14,"PASS","FAIL"))</x:f>
        <x:v>PASS</x:v>
      </x:c>
    </x:row>
    <x:row r="15" ht="27" customHeight="1">
      <x:c r="B15" s="8" t="str">
        <x:v>H09</x:v>
      </x:c>
      <x:c r="C15" s="8" t="str">
        <x:v>headline</x:v>
      </x:c>
      <x:c r="D15" s="8" t="str">
        <x:v>defect families</x:v>
      </x:c>
      <x:c r="E15" s="8" t="n">
        <x:f>COUNTA('Defect Families'!B7:B18)</x:f>
        <x:v>12</x:v>
      </x:c>
      <x:c r="F15" s="8" t="n">
        <x:v>12</x:v>
      </x:c>
      <x:c r="G15" s="8" t="str">
        <x:f>IF(AND(ISNUMBER(E15),ISNUMBER(F15)),IF(ABS(E15-F15)&lt;0.000001,"PASS","FAIL"),IF(E15=F15,"PASS","FAIL"))</x:f>
        <x:v>PASS</x:v>
      </x:c>
    </x:row>
    <x:row r="16" ht="27" customHeight="1">
      <x:c r="B16" s="8" t="str">
        <x:v>H10</x:v>
      </x:c>
      <x:c r="C16" s="8" t="str">
        <x:v>headline</x:v>
      </x:c>
      <x:c r="D16" s="8" t="str">
        <x:v>defect blocks</x:v>
      </x:c>
      <x:c r="E16" s="8" t="n">
        <x:f>COUNTA('Defect Presentations'!B7:B54)</x:f>
        <x:v>48</x:v>
      </x:c>
      <x:c r="F16" s="8" t="n">
        <x:v>48</x:v>
      </x:c>
      <x:c r="G16" s="8" t="str">
        <x:f>IF(AND(ISNUMBER(E16),ISNUMBER(F16)),IF(ABS(E16-F16)&lt;0.000001,"PASS","FAIL"),IF(E16=F16,"PASS","FAIL"))</x:f>
        <x:v>PASS</x:v>
      </x:c>
    </x:row>
    <x:row r="17" ht="27" customHeight="1">
      <x:c r="B17" s="8" t="str">
        <x:v>H11</x:v>
      </x:c>
      <x:c r="C17" s="8" t="str">
        <x:v>headline</x:v>
      </x:c>
      <x:c r="D17" s="8" t="str">
        <x:v>defect presentations</x:v>
      </x:c>
      <x:c r="E17" s="8" t="n">
        <x:f>SUM('Defect Presentations'!F7:F54)</x:f>
        <x:v>1392</x:v>
      </x:c>
      <x:c r="F17" s="8" t="n">
        <x:v>1392</x:v>
      </x:c>
      <x:c r="G17" s="8" t="str">
        <x:f>IF(AND(ISNUMBER(E17),ISNUMBER(F17)),IF(ABS(E17-F17)&lt;0.000001,"PASS","FAIL"),IF(E17=F17,"PASS","FAIL"))</x:f>
        <x:v>PASS</x:v>
      </x:c>
    </x:row>
    <x:row r="18" ht="27" customHeight="1">
      <x:c r="B18" s="8" t="str">
        <x:v>H12</x:v>
      </x:c>
      <x:c r="C18" s="8" t="str">
        <x:v>headline</x:v>
      </x:c>
      <x:c r="D18" s="8" t="str">
        <x:v>fixture families</x:v>
      </x:c>
      <x:c r="E18" s="8" t="n">
        <x:f>COUNTA('Fixture Families'!B7:B24)</x:f>
        <x:v>18</x:v>
      </x:c>
      <x:c r="F18" s="8" t="n">
        <x:v>18</x:v>
      </x:c>
      <x:c r="G18" s="8" t="str">
        <x:f>IF(AND(ISNUMBER(E18),ISNUMBER(F18)),IF(ABS(E18-F18)&lt;0.000001,"PASS","FAIL"),IF(E18=F18,"PASS","FAIL"))</x:f>
        <x:v>PASS</x:v>
      </x:c>
    </x:row>
    <x:row r="19" ht="27" customHeight="1">
      <x:c r="B19" s="8" t="str">
        <x:v>H13</x:v>
      </x:c>
      <x:c r="C19" s="8" t="str">
        <x:v>headline</x:v>
      </x:c>
      <x:c r="D19" s="8" t="str">
        <x:v>fixture units</x:v>
      </x:c>
      <x:c r="E19" s="8" t="n">
        <x:f>'Fixture Families'!D26</x:f>
        <x:v>33</x:v>
      </x:c>
      <x:c r="F19" s="8" t="n">
        <x:v>33</x:v>
      </x:c>
      <x:c r="G19" s="8" t="str">
        <x:f>IF(AND(ISNUMBER(E19),ISNUMBER(F19)),IF(ABS(E19-F19)&lt;0.000001,"PASS","FAIL"),IF(E19=F19,"PASS","FAIL"))</x:f>
        <x:v>PASS</x:v>
      </x:c>
    </x:row>
    <x:row r="20" ht="27" customHeight="1">
      <x:c r="B20" s="8" t="str">
        <x:v>H14</x:v>
      </x:c>
      <x:c r="C20" s="8" t="str">
        <x:v>headline</x:v>
      </x:c>
      <x:c r="D20" s="8" t="str">
        <x:v>fixture commissions</x:v>
      </x:c>
      <x:c r="E20" s="8" t="n">
        <x:f>COUNTA('Fixture Commission'!B7:B39)</x:f>
        <x:v>33</x:v>
      </x:c>
      <x:c r="F20" s="8" t="n">
        <x:v>33</x:v>
      </x:c>
      <x:c r="G20" s="8" t="str">
        <x:f>IF(AND(ISNUMBER(E20),ISNUMBER(F20)),IF(ABS(E20-F20)&lt;0.000001,"PASS","FAIL"),IF(E20=F20,"PASS","FAIL"))</x:f>
        <x:v>PASS</x:v>
      </x:c>
    </x:row>
    <x:row r="21" ht="27" customHeight="1">
      <x:c r="B21" s="8" t="str">
        <x:v>H15</x:v>
      </x:c>
      <x:c r="C21" s="8" t="str">
        <x:v>headline</x:v>
      </x:c>
      <x:c r="D21" s="8" t="str">
        <x:v>metrology plans</x:v>
      </x:c>
      <x:c r="E21" s="8" t="n">
        <x:f>COUNTA('Metrology Plan'!B7:B18)</x:f>
        <x:v>12</x:v>
      </x:c>
      <x:c r="F21" s="8" t="n">
        <x:v>12</x:v>
      </x:c>
      <x:c r="G21" s="8" t="str">
        <x:f>IF(AND(ISNUMBER(E21),ISNUMBER(F21)),IF(ABS(E21-F21)&lt;0.000001,"PASS","FAIL"),IF(E21=F21,"PASS","FAIL"))</x:f>
        <x:v>PASS</x:v>
      </x:c>
    </x:row>
    <x:row r="22" ht="27" customHeight="1">
      <x:c r="B22" s="8" t="str">
        <x:v>H16</x:v>
      </x:c>
      <x:c r="C22" s="8" t="str">
        <x:v>headline</x:v>
      </x:c>
      <x:c r="D22" s="8" t="str">
        <x:v>gage R&amp;R records</x:v>
      </x:c>
      <x:c r="E22" s="8" t="n">
        <x:f>COUNTA('GRR Records'!B7:B726)</x:f>
        <x:v>720</x:v>
      </x:c>
      <x:c r="F22" s="8" t="n">
        <x:v>720</x:v>
      </x:c>
      <x:c r="G22" s="8" t="str">
        <x:f>IF(AND(ISNUMBER(E22),ISNUMBER(F22)),IF(ABS(E22-F22)&lt;0.000001,"PASS","FAIL"),IF(E22=F22,"PASS","FAIL"))</x:f>
        <x:v>PASS</x:v>
      </x:c>
    </x:row>
    <x:row r="23" ht="27" customHeight="1">
      <x:c r="B23" s="8" t="str">
        <x:v>H17</x:v>
      </x:c>
      <x:c r="C23" s="8" t="str">
        <x:v>headline</x:v>
      </x:c>
      <x:c r="D23" s="8" t="str">
        <x:v>uncertainty budgets</x:v>
      </x:c>
      <x:c r="E23" s="8" t="n">
        <x:f>COUNTA('Uncertainty Budgets'!B7:B18)</x:f>
        <x:v>12</x:v>
      </x:c>
      <x:c r="F23" s="8" t="n">
        <x:v>12</x:v>
      </x:c>
      <x:c r="G23" s="8" t="str">
        <x:f>IF(AND(ISNUMBER(E23),ISNUMBER(F23)),IF(ABS(E23-F23)&lt;0.000001,"PASS","FAIL"),IF(E23=F23,"PASS","FAIL"))</x:f>
        <x:v>PASS</x:v>
      </x:c>
    </x:row>
    <x:row r="24" ht="27" customHeight="1">
      <x:c r="B24" s="8" t="str">
        <x:v>H18</x:v>
      </x:c>
      <x:c r="C24" s="8" t="str">
        <x:v>headline</x:v>
      </x:c>
      <x:c r="D24" s="8" t="str">
        <x:v>material lot splits</x:v>
      </x:c>
      <x:c r="E24" s="8" t="n">
        <x:f>COUNTA('Material Lots'!B7:B54)</x:f>
        <x:v>48</x:v>
      </x:c>
      <x:c r="F24" s="8" t="n">
        <x:v>48</x:v>
      </x:c>
      <x:c r="G24" s="8" t="str">
        <x:f>IF(AND(ISNUMBER(E24),ISNUMBER(F24)),IF(ABS(E24-F24)&lt;0.000001,"PASS","FAIL"),IF(E24=F24,"PASS","FAIL"))</x:f>
        <x:v>PASS</x:v>
      </x:c>
    </x:row>
    <x:row r="25" ht="27" customHeight="1">
      <x:c r="B25" s="8" t="str">
        <x:v>H19</x:v>
      </x:c>
      <x:c r="C25" s="8" t="str">
        <x:v>headline</x:v>
      </x:c>
      <x:c r="D25" s="8" t="str">
        <x:v>build-route states</x:v>
      </x:c>
      <x:c r="E25" s="8" t="n">
        <x:f>COUNTA('Build Route'!B7:B54)</x:f>
        <x:v>48</x:v>
      </x:c>
      <x:c r="F25" s="8" t="n">
        <x:v>48</x:v>
      </x:c>
      <x:c r="G25" s="8" t="str">
        <x:f>IF(AND(ISNUMBER(E25),ISNUMBER(F25)),IF(ABS(E25-F25)&lt;0.000001,"PASS","FAIL"),IF(E25=F25,"PASS","FAIL"))</x:f>
        <x:v>PASS</x:v>
      </x:c>
    </x:row>
    <x:row r="26" ht="27" customHeight="1">
      <x:c r="B26" s="8" t="str">
        <x:v>H20</x:v>
      </x:c>
      <x:c r="C26" s="8" t="str">
        <x:v>headline</x:v>
      </x:c>
      <x:c r="D26" s="8" t="str">
        <x:v>article travelers</x:v>
      </x:c>
      <x:c r="E26" s="8" t="n">
        <x:f>COUNTA('Article Travelers'!B7:B46)</x:f>
        <x:v>40</x:v>
      </x:c>
      <x:c r="F26" s="8" t="n">
        <x:v>40</x:v>
      </x:c>
      <x:c r="G26" s="8" t="str">
        <x:f>IF(AND(ISNUMBER(E26),ISNUMBER(F26)),IF(ABS(E26-F26)&lt;0.000001,"PASS","FAIL"),IF(E26=F26,"PASS","FAIL"))</x:f>
        <x:v>PASS</x:v>
      </x:c>
    </x:row>
    <x:row r="27" ht="27" customHeight="1">
      <x:c r="B27" s="8" t="str">
        <x:v>H21</x:v>
      </x:c>
      <x:c r="C27" s="8" t="str">
        <x:v>headline</x:v>
      </x:c>
      <x:c r="D27" s="8" t="str">
        <x:v>weld records</x:v>
      </x:c>
      <x:c r="E27" s="8" t="n">
        <x:f>COUNTA('Weld Records'!B7:B11)</x:f>
        <x:v>5</x:v>
      </x:c>
      <x:c r="F27" s="8" t="n">
        <x:v>5</x:v>
      </x:c>
      <x:c r="G27" s="8" t="str">
        <x:f>IF(AND(ISNUMBER(E27),ISNUMBER(F27)),IF(ABS(E27-F27)&lt;0.000001,"PASS","FAIL"),IF(E27=F27,"PASS","FAIL"))</x:f>
        <x:v>PASS</x:v>
      </x:c>
    </x:row>
    <x:row r="28" ht="27" customHeight="1">
      <x:c r="B28" s="8" t="str">
        <x:v>H22</x:v>
      </x:c>
      <x:c r="C28" s="8" t="str">
        <x:v>headline</x:v>
      </x:c>
      <x:c r="D28" s="8" t="str">
        <x:v>clamp records</x:v>
      </x:c>
      <x:c r="E28" s="8" t="n">
        <x:f>COUNTA('Clamp Records'!B7:B11)</x:f>
        <x:v>5</x:v>
      </x:c>
      <x:c r="F28" s="8" t="n">
        <x:v>5</x:v>
      </x:c>
      <x:c r="G28" s="8" t="str">
        <x:f>IF(AND(ISNUMBER(E28),ISNUMBER(F28)),IF(ABS(E28-F28)&lt;0.000001,"PASS","FAIL"),IF(E28=F28,"PASS","FAIL"))</x:f>
        <x:v>PASS</x:v>
      </x:c>
    </x:row>
    <x:row r="29" ht="27" customHeight="1">
      <x:c r="B29" s="8" t="str">
        <x:v>H23</x:v>
      </x:c>
      <x:c r="C29" s="8" t="str">
        <x:v>headline</x:v>
      </x:c>
      <x:c r="D29" s="8" t="str">
        <x:v>geometry records</x:v>
      </x:c>
      <x:c r="E29" s="8" t="n">
        <x:f>COUNTA('Article Geometry'!B7:B30)</x:f>
        <x:v>24</x:v>
      </x:c>
      <x:c r="F29" s="8" t="n">
        <x:v>24</x:v>
      </x:c>
      <x:c r="G29" s="8" t="str">
        <x:f>IF(AND(ISNUMBER(E29),ISNUMBER(F29)),IF(ABS(E29-F29)&lt;0.000001,"PASS","FAIL"),IF(E29=F29,"PASS","FAIL"))</x:f>
        <x:v>PASS</x:v>
      </x:c>
    </x:row>
    <x:row r="30" ht="27" customHeight="1">
      <x:c r="B30" s="8" t="str">
        <x:v>H24</x:v>
      </x:c>
      <x:c r="C30" s="8" t="str">
        <x:v>headline</x:v>
      </x:c>
      <x:c r="D30" s="8" t="str">
        <x:v>pressure blocks</x:v>
      </x:c>
      <x:c r="E30" s="8" t="n">
        <x:f>COUNTA('Pressure Program'!B7:B48)</x:f>
        <x:v>42</x:v>
      </x:c>
      <x:c r="F30" s="8" t="n">
        <x:v>42</x:v>
      </x:c>
      <x:c r="G30" s="8" t="str">
        <x:f>IF(AND(ISNUMBER(E30),ISNUMBER(F30)),IF(ABS(E30-F30)&lt;0.000001,"PASS","FAIL"),IF(E30=F30,"PASS","FAIL"))</x:f>
        <x:v>PASS</x:v>
      </x:c>
    </x:row>
    <x:row r="31" ht="27" customHeight="1">
      <x:c r="B31" s="8" t="str">
        <x:v>H25</x:v>
      </x:c>
      <x:c r="C31" s="8" t="str">
        <x:v>headline</x:v>
      </x:c>
      <x:c r="D31" s="8" t="str">
        <x:v>thermal cycles</x:v>
      </x:c>
      <x:c r="E31" s="8" t="n">
        <x:f>COUNTA('Thermal Program'!B7:B46)</x:f>
        <x:v>40</x:v>
      </x:c>
      <x:c r="F31" s="8" t="n">
        <x:v>40</x:v>
      </x:c>
      <x:c r="G31" s="8" t="str">
        <x:f>IF(AND(ISNUMBER(E31),ISNUMBER(F31)),IF(ABS(E31-F31)&lt;0.000001,"PASS","FAIL"),IF(E31=F31,"PASS","FAIL"))</x:f>
        <x:v>PASS</x:v>
      </x:c>
    </x:row>
    <x:row r="32" ht="27" customHeight="1">
      <x:c r="B32" s="8" t="str">
        <x:v>H26</x:v>
      </x:c>
      <x:c r="C32" s="8" t="str">
        <x:v>headline</x:v>
      </x:c>
      <x:c r="D32" s="8" t="str">
        <x:v>cycle blocks</x:v>
      </x:c>
      <x:c r="E32" s="8" t="n">
        <x:f>COUNTA('Cycle Program'!B7:B26)</x:f>
        <x:v>20</x:v>
      </x:c>
      <x:c r="F32" s="8" t="n">
        <x:v>20</x:v>
      </x:c>
      <x:c r="G32" s="8" t="str">
        <x:f>IF(AND(ISNUMBER(E32),ISNUMBER(F32)),IF(ABS(E32-F32)&lt;0.000001,"PASS","FAIL"),IF(E32=F32,"PASS","FAIL"))</x:f>
        <x:v>PASS</x:v>
      </x:c>
    </x:row>
    <x:row r="33" ht="27" customHeight="1">
      <x:c r="B33" s="8" t="str">
        <x:v>H27</x:v>
      </x:c>
      <x:c r="C33" s="8" t="str">
        <x:v>headline</x:v>
      </x:c>
      <x:c r="D33" s="8" t="str">
        <x:v>drain trials</x:v>
      </x:c>
      <x:c r="E33" s="8" t="n">
        <x:f>COUNTA('Drain Program'!B7:B66)</x:f>
        <x:v>60</x:v>
      </x:c>
      <x:c r="F33" s="8" t="n">
        <x:v>60</x:v>
      </x:c>
      <x:c r="G33" s="8" t="str">
        <x:f>IF(AND(ISNUMBER(E33),ISNUMBER(F33)),IF(ABS(E33-F33)&lt;0.000001,"PASS","FAIL"),IF(E33=F33,"PASS","FAIL"))</x:f>
        <x:v>PASS</x:v>
      </x:c>
    </x:row>
    <x:row r="34" ht="27" customHeight="1">
      <x:c r="B34" s="8" t="str">
        <x:v>H28</x:v>
      </x:c>
      <x:c r="C34" s="8" t="str">
        <x:v>headline</x:v>
      </x:c>
      <x:c r="D34" s="8" t="str">
        <x:v>safeing trials</x:v>
      </x:c>
      <x:c r="E34" s="8" t="n">
        <x:f>COUNTA('Safeing Program'!B7:B126)</x:f>
        <x:v>120</x:v>
      </x:c>
      <x:c r="F34" s="8" t="n">
        <x:v>120</x:v>
      </x:c>
      <x:c r="G34" s="8" t="str">
        <x:f>IF(AND(ISNUMBER(E34),ISNUMBER(F34)),IF(ABS(E34-F34)&lt;0.000001,"PASS","FAIL"),IF(E34=F34,"PASS","FAIL"))</x:f>
        <x:v>PASS</x:v>
      </x:c>
    </x:row>
    <x:row r="35" ht="27" customHeight="1">
      <x:c r="B35" s="8" t="str">
        <x:v>H29</x:v>
      </x:c>
      <x:c r="C35" s="8" t="str">
        <x:v>headline</x:v>
      </x:c>
      <x:c r="D35" s="8" t="str">
        <x:v>energy trials</x:v>
      </x:c>
      <x:c r="E35" s="8" t="n">
        <x:f>COUNTA('Energy Program'!B7:B14)</x:f>
        <x:v>8</x:v>
      </x:c>
      <x:c r="F35" s="8" t="n">
        <x:v>8</x:v>
      </x:c>
      <x:c r="G35" s="8" t="str">
        <x:f>IF(AND(ISNUMBER(E35),ISNUMBER(F35)),IF(ABS(E35-F35)&lt;0.000001,"PASS","FAIL"),IF(E35=F35,"PASS","FAIL"))</x:f>
        <x:v>PASS</x:v>
      </x:c>
    </x:row>
    <x:row r="36" ht="27" customHeight="1">
      <x:c r="B36" s="8" t="str">
        <x:v>H30</x:v>
      </x:c>
      <x:c r="C36" s="8" t="str">
        <x:v>headline</x:v>
      </x:c>
      <x:c r="D36" s="8" t="str">
        <x:v>evidence releases</x:v>
      </x:c>
      <x:c r="E36" s="8" t="n">
        <x:f>COUNTA('Evidence Program'!B7:B54)</x:f>
        <x:v>48</x:v>
      </x:c>
      <x:c r="F36" s="8" t="n">
        <x:v>48</x:v>
      </x:c>
      <x:c r="G36" s="8" t="str">
        <x:f>IF(AND(ISNUMBER(E36),ISNUMBER(F36)),IF(ABS(E36-F36)&lt;0.000001,"PASS","FAIL"),IF(E36=F36,"PASS","FAIL"))</x:f>
        <x:v>PASS</x:v>
      </x:c>
    </x:row>
    <x:row r="37" ht="27" customHeight="1">
      <x:c r="B37" s="8" t="str">
        <x:v>H31</x:v>
      </x:c>
      <x:c r="C37" s="8" t="str">
        <x:v>headline</x:v>
      </x:c>
      <x:c r="D37" s="8" t="str">
        <x:v>integrated trials</x:v>
      </x:c>
      <x:c r="E37" s="8" t="n">
        <x:f>COUNTA('Integrated Trials'!B7:B46)</x:f>
        <x:v>40</x:v>
      </x:c>
      <x:c r="F37" s="8" t="n">
        <x:v>40</x:v>
      </x:c>
      <x:c r="G37" s="8" t="str">
        <x:f>IF(AND(ISNUMBER(E37),ISNUMBER(F37)),IF(ABS(E37-F37)&lt;0.000001,"PASS","FAIL"),IF(E37=F37,"PASS","FAIL"))</x:f>
        <x:v>PASS</x:v>
      </x:c>
    </x:row>
    <x:row r="38" ht="27" customHeight="1">
      <x:c r="B38" s="8" t="str">
        <x:v>H32</x:v>
      </x:c>
      <x:c r="C38" s="8" t="str">
        <x:v>headline</x:v>
      </x:c>
      <x:c r="D38" s="8" t="str">
        <x:v>stop rules</x:v>
      </x:c>
      <x:c r="E38" s="8" t="n">
        <x:f>COUNTA('Stop Rules'!B7:B22)</x:f>
        <x:v>16</x:v>
      </x:c>
      <x:c r="F38" s="8" t="n">
        <x:v>16</x:v>
      </x:c>
      <x:c r="G38" s="8" t="str">
        <x:f>IF(AND(ISNUMBER(E38),ISNUMBER(F38)),IF(ABS(E38-F38)&lt;0.000001,"PASS","FAIL"),IF(E38=F38,"PASS","FAIL"))</x:f>
        <x:v>PASS</x:v>
      </x:c>
    </x:row>
    <x:row r="39" ht="27" customHeight="1">
      <x:c r="B39" s="8" t="str">
        <x:v>H33</x:v>
      </x:c>
      <x:c r="C39" s="8" t="str">
        <x:v>headline</x:v>
      </x:c>
      <x:c r="D39" s="8" t="str">
        <x:v>quarantine classes</x:v>
      </x:c>
      <x:c r="E39" s="8" t="n">
        <x:f>COUNTA('Quarantine'!B7:B18)</x:f>
        <x:v>12</x:v>
      </x:c>
      <x:c r="F39" s="8" t="n">
        <x:v>12</x:v>
      </x:c>
      <x:c r="G39" s="8" t="str">
        <x:f>IF(AND(ISNUMBER(E39),ISNUMBER(F39)),IF(ABS(E39-F39)&lt;0.000001,"PASS","FAIL"),IF(E39=F39,"PASS","FAIL"))</x:f>
        <x:v>PASS</x:v>
      </x:c>
    </x:row>
    <x:row r="40" ht="27" customHeight="1">
      <x:c r="B40" s="8" t="str">
        <x:v>H34</x:v>
      </x:c>
      <x:c r="C40" s="8" t="str">
        <x:v>headline</x:v>
      </x:c>
      <x:c r="D40" s="8" t="str">
        <x:v>destructive zones</x:v>
      </x:c>
      <x:c r="E40" s="8" t="n">
        <x:f>COUNTA('Destructive Plan'!B7:B102)</x:f>
        <x:v>96</x:v>
      </x:c>
      <x:c r="F40" s="8" t="n">
        <x:v>96</x:v>
      </x:c>
      <x:c r="G40" s="8" t="str">
        <x:f>IF(AND(ISNUMBER(E40),ISNUMBER(F40)),IF(ABS(E40-F40)&lt;0.000001,"PASS","FAIL"),IF(E40=F40,"PASS","FAIL"))</x:f>
        <x:v>PASS</x:v>
      </x:c>
    </x:row>
    <x:row r="41" ht="27" customHeight="1">
      <x:c r="B41" s="8" t="str">
        <x:v>H35</x:v>
      </x:c>
      <x:c r="C41" s="8" t="str">
        <x:v>headline</x:v>
      </x:c>
      <x:c r="D41" s="8" t="str">
        <x:v>section records</x:v>
      </x:c>
      <x:c r="E41" s="8" t="n">
        <x:f>COUNTA('Section Register'!B7:B102)</x:f>
        <x:v>96</x:v>
      </x:c>
      <x:c r="F41" s="8" t="n">
        <x:v>96</x:v>
      </x:c>
      <x:c r="G41" s="8" t="str">
        <x:f>IF(AND(ISNUMBER(E41),ISNUMBER(F41)),IF(ABS(E41-F41)&lt;0.000001,"PASS","FAIL"),IF(E41=F41,"PASS","FAIL"))</x:f>
        <x:v>PASS</x:v>
      </x:c>
    </x:row>
    <x:row r="42" ht="27" customHeight="1">
      <x:c r="B42" s="8" t="str">
        <x:v>H36</x:v>
      </x:c>
      <x:c r="C42" s="8" t="str">
        <x:v>headline</x:v>
      </x:c>
      <x:c r="D42" s="8" t="str">
        <x:v>correlation decisions</x:v>
      </x:c>
      <x:c r="E42" s="8" t="n">
        <x:f>COUNTA('Correlation'!B7:B30)</x:f>
        <x:v>24</x:v>
      </x:c>
      <x:c r="F42" s="8" t="n">
        <x:v>24</x:v>
      </x:c>
      <x:c r="G42" s="8" t="str">
        <x:f>IF(AND(ISNUMBER(E42),ISNUMBER(F42)),IF(ABS(E42-F42)&lt;0.000001,"PASS","FAIL"),IF(E42=F42,"PASS","FAIL"))</x:f>
        <x:v>PASS</x:v>
      </x:c>
    </x:row>
    <x:row r="43" ht="27" customHeight="1">
      <x:c r="B43" s="8" t="str">
        <x:v>H37</x:v>
      </x:c>
      <x:c r="C43" s="8" t="str">
        <x:v>headline</x:v>
      </x:c>
      <x:c r="D43" s="8" t="str">
        <x:v>statistical bounds</x:v>
      </x:c>
      <x:c r="E43" s="8" t="n">
        <x:f>COUNTA('Statistical Bounds'!B7:B15)</x:f>
        <x:v>9</x:v>
      </x:c>
      <x:c r="F43" s="8" t="n">
        <x:v>9</x:v>
      </x:c>
      <x:c r="G43" s="8" t="str">
        <x:f>IF(AND(ISNUMBER(E43),ISNUMBER(F43)),IF(ABS(E43-F43)&lt;0.000001,"PASS","FAIL"),IF(E43=F43,"PASS","FAIL"))</x:f>
        <x:v>PASS</x:v>
      </x:c>
    </x:row>
    <x:row r="44" ht="27" customHeight="1">
      <x:c r="B44" s="8" t="str">
        <x:v>H38</x:v>
      </x:c>
      <x:c r="C44" s="8" t="str">
        <x:v>headline</x:v>
      </x:c>
      <x:c r="D44" s="8" t="str">
        <x:v>decision rules</x:v>
      </x:c>
      <x:c r="E44" s="8" t="n">
        <x:f>COUNTA('Decision Rules'!B7:B20)</x:f>
        <x:v>14</x:v>
      </x:c>
      <x:c r="F44" s="8" t="n">
        <x:v>14</x:v>
      </x:c>
      <x:c r="G44" s="8" t="str">
        <x:f>IF(AND(ISNUMBER(E44),ISNUMBER(F44)),IF(ABS(E44-F44)&lt;0.000001,"PASS","FAIL"),IF(E44=F44,"PASS","FAIL"))</x:f>
        <x:v>PASS</x:v>
      </x:c>
    </x:row>
    <x:row r="45" ht="27" customHeight="1">
      <x:c r="B45" s="8" t="str">
        <x:v>H39</x:v>
      </x:c>
      <x:c r="C45" s="8" t="str">
        <x:v>headline</x:v>
      </x:c>
      <x:c r="D45" s="8" t="str">
        <x:v>article gates</x:v>
      </x:c>
      <x:c r="E45" s="8" t="n">
        <x:f>COUNTA('Article Gates'!B7:B42)</x:f>
        <x:v>36</x:v>
      </x:c>
      <x:c r="F45" s="8" t="n">
        <x:v>36</x:v>
      </x:c>
      <x:c r="G45" s="8" t="str">
        <x:f>IF(AND(ISNUMBER(E45),ISNUMBER(F45)),IF(ABS(E45-F45)&lt;0.000001,"PASS","FAIL"),IF(E45=F45,"PASS","FAIL"))</x:f>
        <x:v>PASS</x:v>
      </x:c>
    </x:row>
    <x:row r="46" ht="27" customHeight="1">
      <x:c r="B46" s="8" t="str">
        <x:v>H40</x:v>
      </x:c>
      <x:c r="C46" s="8" t="str">
        <x:v>headline</x:v>
      </x:c>
      <x:c r="D46" s="8" t="str">
        <x:v>schedule stages</x:v>
      </x:c>
      <x:c r="E46" s="8" t="n">
        <x:f>COUNTA('Schedule'!B7:B24)</x:f>
        <x:v>18</x:v>
      </x:c>
      <x:c r="F46" s="8" t="n">
        <x:v>18</x:v>
      </x:c>
      <x:c r="G46" s="8" t="str">
        <x:f>IF(AND(ISNUMBER(E46),ISNUMBER(F46)),IF(ABS(E46-F46)&lt;0.000001,"PASS","FAIL"),IF(E46=F46,"PASS","FAIL"))</x:f>
        <x:v>PASS</x:v>
      </x:c>
    </x:row>
    <x:row r="47" ht="27" customHeight="1">
      <x:c r="B47" s="8" t="str">
        <x:v>E01</x:v>
      </x:c>
      <x:c r="C47" s="8" t="str">
        <x:v>engineering</x:v>
      </x:c>
      <x:c r="D47" s="8" t="str">
        <x:v>process specimens</x:v>
      </x:c>
      <x:c r="E47" s="8" t="n">
        <x:f>SUM('Process Windows'!I7:I40)</x:f>
        <x:v>120</x:v>
      </x:c>
      <x:c r="F47" s="8" t="n">
        <x:v>120</x:v>
      </x:c>
      <x:c r="G47" s="8" t="str">
        <x:f>IF(AND(ISNUMBER(E47),ISNUMBER(F47)),IF(ABS(E47-F47)&lt;0.000001,"PASS","FAIL"),IF(E47=F47,"PASS","FAIL"))</x:f>
        <x:v>PASS</x:v>
      </x:c>
    </x:row>
    <x:row r="48" ht="27" customHeight="1">
      <x:c r="B48" s="8" t="str">
        <x:v>E02</x:v>
      </x:c>
      <x:c r="C48" s="8" t="str">
        <x:v>engineering</x:v>
      </x:c>
      <x:c r="D48" s="8" t="str">
        <x:v>qualification objects</x:v>
      </x:c>
      <x:c r="E48" s="8" t="n">
        <x:f>'Object Population'!D14</x:f>
        <x:v>1766</x:v>
      </x:c>
      <x:c r="F48" s="8" t="n">
        <x:v>1766</x:v>
      </x:c>
      <x:c r="G48" s="8" t="str">
        <x:f>IF(AND(ISNUMBER(E48),ISNUMBER(F48)),IF(ABS(E48-F48)&lt;0.000001,"PASS","FAIL"),IF(E48=F48,"PASS","FAIL"))</x:f>
        <x:v>PASS</x:v>
      </x:c>
    </x:row>
    <x:row r="49" ht="27" customHeight="1">
      <x:c r="B49" s="8" t="str">
        <x:v>E03</x:v>
      </x:c>
      <x:c r="C49" s="8" t="str">
        <x:v>engineering</x:v>
      </x:c>
      <x:c r="D49" s="8" t="str">
        <x:v>detection lower bound</x:v>
      </x:c>
      <x:c r="E49" s="8" t="n">
        <x:f>'Statistical Bounds'!G7</x:f>
        <x:v>0.9018553723227043</x:v>
      </x:c>
      <x:c r="F49" s="8" t="n">
        <x:v>0.9018553723227043</x:v>
      </x:c>
      <x:c r="G49" s="8" t="str">
        <x:f>IF(AND(ISNUMBER(E49),ISNUMBER(F49)),IF(ABS(E49-F49)&lt;0.000001,"PASS","FAIL"),IF(E49=F49,"PASS","FAIL"))</x:f>
        <x:v>PASS</x:v>
      </x:c>
    </x:row>
    <x:row r="50" ht="27" customHeight="1">
      <x:c r="B50" s="8" t="str">
        <x:v>E04</x:v>
      </x:c>
      <x:c r="C50" s="8" t="str">
        <x:v>engineering</x:v>
      </x:c>
      <x:c r="D50" s="8" t="str">
        <x:v>false-reject upper bound</x:v>
      </x:c>
      <x:c r="E50" s="8" t="n">
        <x:f>'Statistical Bounds'!G8</x:f>
        <x:v>0.05033933833042015</x:v>
      </x:c>
      <x:c r="F50" s="8" t="n">
        <x:v>0.05033933833042015</x:v>
      </x:c>
      <x:c r="G50" s="8" t="str">
        <x:f>IF(AND(ISNUMBER(E50),ISNUMBER(F50)),IF(ABS(E50-F50)&lt;0.000001,"PASS","FAIL"),IF(E50=F50,"PASS","FAIL"))</x:f>
        <x:v>PASS</x:v>
      </x:c>
    </x:row>
    <x:row r="51" ht="27" customHeight="1">
      <x:c r="B51" s="8" t="str">
        <x:v>E05</x:v>
      </x:c>
      <x:c r="C51" s="8" t="str">
        <x:v>engineering</x:v>
      </x:c>
      <x:c r="D51" s="8" t="str">
        <x:v>process-failure upper bound</x:v>
      </x:c>
      <x:c r="E51" s="8" t="n">
        <x:f>'Statistical Bounds'!G9</x:f>
        <x:v>0.04870291331009746</x:v>
      </x:c>
      <x:c r="F51" s="8" t="n">
        <x:v>0.04870291331009746</x:v>
      </x:c>
      <x:c r="G51" s="8" t="str">
        <x:f>IF(AND(ISNUMBER(E51),ISNUMBER(F51)),IF(ABS(E51-F51)&lt;0.000001,"PASS","FAIL"),IF(E51=F51,"PASS","FAIL"))</x:f>
        <x:v>PASS</x:v>
      </x:c>
    </x:row>
    <x:row r="52" ht="27" customHeight="1">
      <x:c r="B52" s="8" t="str">
        <x:v>E06</x:v>
      </x:c>
      <x:c r="C52" s="8" t="str">
        <x:v>engineering</x:v>
      </x:c>
      <x:c r="D52" s="8" t="str">
        <x:v>zero-failure n for five percent</x:v>
      </x:c>
      <x:c r="E52" s="8" t="n">
        <x:f>'Statistical Bounds'!G10</x:f>
        <x:v>59</x:v>
      </x:c>
      <x:c r="F52" s="8" t="n">
        <x:v>59</x:v>
      </x:c>
      <x:c r="G52" s="8" t="str">
        <x:f>IF(AND(ISNUMBER(E52),ISNUMBER(F52)),IF(ABS(E52-F52)&lt;0.000001,"PASS","FAIL"),IF(E52=F52,"PASS","FAIL"))</x:f>
        <x:v>PASS</x:v>
      </x:c>
    </x:row>
    <x:row r="53" ht="27" customHeight="1">
      <x:c r="B53" s="8" t="str">
        <x:v>E07</x:v>
      </x:c>
      <x:c r="C53" s="8" t="str">
        <x:v>engineering</x:v>
      </x:c>
      <x:c r="D53" s="8" t="str">
        <x:v>proof-to-surge factor</x:v>
      </x:c>
      <x:c r="E53" s="8" t="n">
        <x:f>'Statistical Bounds'!G11</x:f>
        <x:v>2.262443438914027</x:v>
      </x:c>
      <x:c r="F53" s="8" t="n">
        <x:v>2.262443438914027</x:v>
      </x:c>
      <x:c r="G53" s="8" t="str">
        <x:f>IF(AND(ISNUMBER(E53),ISNUMBER(F53)),IF(ABS(E53-F53)&lt;0.000001,"PASS","FAIL"),IF(E53=F53,"PASS","FAIL"))</x:f>
        <x:v>PASS</x:v>
      </x:c>
    </x:row>
    <x:row r="54" ht="27" customHeight="1">
      <x:c r="B54" s="8" t="str">
        <x:v>E08</x:v>
      </x:c>
      <x:c r="C54" s="8" t="str">
        <x:v>engineering</x:v>
      </x:c>
      <x:c r="D54" s="8" t="str">
        <x:v>technology mapping USD M</x:v>
      </x:c>
      <x:c r="E54" s="8" t="n">
        <x:f>'Portfolio Boundary'!D17</x:f>
        <x:v>180</x:v>
      </x:c>
      <x:c r="F54" s="8" t="n">
        <x:v>180</x:v>
      </x:c>
      <x:c r="G54" s="8" t="str">
        <x:f>IF(AND(ISNUMBER(E54),ISNUMBER(F54)),IF(ABS(E54-F54)&lt;0.000001,"PASS","FAIL"),IF(E54=F54,"PASS","FAIL"))</x:f>
        <x:v>PASS</x:v>
      </x:c>
    </x:row>
    <x:row r="55" ht="27" customHeight="1">
      <x:c r="B55" s="8" t="str">
        <x:v>E09</x:v>
      </x:c>
      <x:c r="C55" s="8" t="str">
        <x:v>engineering</x:v>
      </x:c>
      <x:c r="D55" s="8" t="str">
        <x:v>leak uncertainty ratio</x:v>
      </x:c>
      <x:c r="E55" s="8" t="n">
        <x:f>'Statistical Bounds'!G13</x:f>
        <x:v>4</x:v>
      </x:c>
      <x:c r="F55" s="8" t="n">
        <x:v>4</x:v>
      </x:c>
      <x:c r="G55" s="8" t="str">
        <x:f>IF(AND(ISNUMBER(E55),ISNUMBER(F55)),IF(ABS(E55-F55)&lt;0.000001,"PASS","FAIL"),IF(E55=F55,"PASS","FAIL"))</x:f>
        <x:v>PASS</x:v>
      </x:c>
    </x:row>
    <x:row r="56" ht="27" customHeight="1">
      <x:c r="B56" s="8" t="str">
        <x:v>E10</x:v>
      </x:c>
      <x:c r="C56" s="8" t="str">
        <x:v>engineering</x:v>
      </x:c>
      <x:c r="D56" s="8" t="str">
        <x:v>bore uncertainty ratio</x:v>
      </x:c>
      <x:c r="E56" s="8" t="n">
        <x:f>'Statistical Bounds'!G14</x:f>
        <x:v>4</x:v>
      </x:c>
      <x:c r="F56" s="8" t="n">
        <x:v>4</x:v>
      </x:c>
      <x:c r="G56" s="8" t="str">
        <x:f>IF(AND(ISNUMBER(E56),ISNUMBER(F56)),IF(ABS(E56-F56)&lt;0.000001,"PASS","FAIL"),IF(E56=F56,"PASS","FAIL"))</x:f>
        <x:v>PASS</x:v>
      </x:c>
    </x:row>
    <x:row r="57" ht="27" customHeight="1">
      <x:c r="B57" s="8" t="str">
        <x:v>E11</x:v>
      </x:c>
      <x:c r="C57" s="8" t="str">
        <x:v>engineering</x:v>
      </x:c>
      <x:c r="D57" s="8" t="str">
        <x:v>residual uncertainty ratio</x:v>
      </x:c>
      <x:c r="E57" s="8" t="n">
        <x:f>'Statistical Bounds'!G15</x:f>
        <x:v>4</x:v>
      </x:c>
      <x:c r="F57" s="8" t="n">
        <x:v>4</x:v>
      </x:c>
      <x:c r="G57" s="8" t="str">
        <x:f>IF(AND(ISNUMBER(E57),ISNUMBER(F57)),IF(ABS(E57-F57)&lt;0.000001,"PASS","FAIL"),IF(E57=F57,"PASS","FAIL"))</x:f>
        <x:v>PASS</x:v>
      </x:c>
    </x:row>
    <x:row r="58" ht="27" customHeight="1">
      <x:c r="B58" s="8" t="str">
        <x:v>E12</x:v>
      </x:c>
      <x:c r="C58" s="8" t="str">
        <x:v>engineering</x:v>
      </x:c>
      <x:c r="D58" s="8" t="str">
        <x:v>uncertainty budgets passing</x:v>
      </x:c>
      <x:c r="E58" s="8" t="n">
        <x:f>COUNTIFS('Uncertainty Budgets'!K7:K18,"PASS")</x:f>
        <x:v>12</x:v>
      </x:c>
      <x:c r="F58" s="8" t="n">
        <x:v>12</x:v>
      </x:c>
      <x:c r="G58" s="8" t="str">
        <x:f>IF(AND(ISNUMBER(E58),ISNUMBER(F58)),IF(ABS(E58-F58)&lt;0.000001,"PASS","FAIL"),IF(E58=F58,"PASS","FAIL"))</x:f>
        <x:v>PASS</x:v>
      </x:c>
    </x:row>
    <x:row r="59" ht="27" customHeight="1">
      <x:c r="B59" s="8" t="str">
        <x:v>E13</x:v>
      </x:c>
      <x:c r="C59" s="8" t="str">
        <x:v>engineering</x:v>
      </x:c>
      <x:c r="D59" s="8" t="str">
        <x:v>technology mapping above RAC-1 USD M</x:v>
      </x:c>
      <x:c r="E59" s="8" t="n">
        <x:f>'Portfolio Boundary'!D18</x:f>
        <x:v>55</x:v>
      </x:c>
      <x:c r="F59" s="8" t="n">
        <x:v>55</x:v>
      </x:c>
      <x:c r="G59" s="8" t="str">
        <x:f>IF(AND(ISNUMBER(E59),ISNUMBER(F59)),IF(ABS(E59-F59)&lt;0.000001,"PASS","FAIL"),IF(E59=F59,"PASS","FAIL"))</x:f>
        <x:v>PASS</x:v>
      </x:c>
    </x:row>
    <x:row r="60" ht="27" customHeight="1">
      <x:c r="B60" s="8" t="str">
        <x:v>E14</x:v>
      </x:c>
      <x:c r="C60" s="8" t="str">
        <x:v>engineering</x:v>
      </x:c>
      <x:c r="D60" s="8" t="str">
        <x:v>fixture commissions open</x:v>
      </x:c>
      <x:c r="E60" s="8" t="n">
        <x:f>COUNTIFS('Fixture Commission'!L7:L39,"OPEN")</x:f>
        <x:v>33</x:v>
      </x:c>
      <x:c r="F60" s="8" t="n">
        <x:v>33</x:v>
      </x:c>
      <x:c r="G60" s="8" t="str">
        <x:f>IF(AND(ISNUMBER(E60),ISNUMBER(F60)),IF(ABS(E60-F60)&lt;0.000001,"PASS","FAIL"),IF(E60=F60,"PASS","FAIL"))</x:f>
        <x:v>PASS</x:v>
      </x:c>
    </x:row>
    <x:row r="61" ht="27" customHeight="1">
      <x:c r="B61" s="8" t="str">
        <x:v>E15</x:v>
      </x:c>
      <x:c r="C61" s="8" t="str">
        <x:v>engineering</x:v>
      </x:c>
      <x:c r="D61" s="8" t="str">
        <x:v>gage records open</x:v>
      </x:c>
      <x:c r="E61" s="8" t="n">
        <x:f>COUNTIFS('GRR Records'!I7:I726,"OPEN")</x:f>
        <x:v>720</x:v>
      </x:c>
      <x:c r="F61" s="8" t="n">
        <x:v>720</x:v>
      </x:c>
      <x:c r="G61" s="8" t="str">
        <x:f>IF(AND(ISNUMBER(E61),ISNUMBER(F61)),IF(ABS(E61-F61)&lt;0.000001,"PASS","FAIL"),IF(E61=F61,"PASS","FAIL"))</x:f>
        <x:v>PASS</x:v>
      </x:c>
    </x:row>
    <x:row r="62" ht="27" customHeight="1">
      <x:c r="B62" s="8" t="str">
        <x:v>E16</x:v>
      </x:c>
      <x:c r="C62" s="8" t="str">
        <x:v>engineering</x:v>
      </x:c>
      <x:c r="D62" s="8" t="str">
        <x:v>material lots open</x:v>
      </x:c>
      <x:c r="E62" s="8" t="n">
        <x:f>COUNTIFS('Material Lots'!K7:K54,"OPEN")</x:f>
        <x:v>48</x:v>
      </x:c>
      <x:c r="F62" s="8" t="n">
        <x:v>48</x:v>
      </x:c>
      <x:c r="G62" s="8" t="str">
        <x:f>IF(AND(ISNUMBER(E62),ISNUMBER(F62)),IF(ABS(E62-F62)&lt;0.000001,"PASS","FAIL"),IF(E62=F62,"PASS","FAIL"))</x:f>
        <x:v>PASS</x:v>
      </x:c>
    </x:row>
    <x:row r="63" ht="27" customHeight="1">
      <x:c r="B63" s="8" t="str">
        <x:v>E17</x:v>
      </x:c>
      <x:c r="C63" s="8" t="str">
        <x:v>engineering</x:v>
      </x:c>
      <x:c r="D63" s="8" t="str">
        <x:v>process cells open</x:v>
      </x:c>
      <x:c r="E63" s="8" t="n">
        <x:f>COUNTIFS('Process Windows'!L7:L40,"OPEN")</x:f>
        <x:v>34</x:v>
      </x:c>
      <x:c r="F63" s="8" t="n">
        <x:v>34</x:v>
      </x:c>
      <x:c r="G63" s="8" t="str">
        <x:f>IF(AND(ISNUMBER(E63),ISNUMBER(F63)),IF(ABS(E63-F63)&lt;0.000001,"PASS","FAIL"),IF(E63=F63,"PASS","FAIL"))</x:f>
        <x:v>PASS</x:v>
      </x:c>
    </x:row>
    <x:row r="64" ht="27" customHeight="1">
      <x:c r="B64" s="8" t="str">
        <x:v>E18</x:v>
      </x:c>
      <x:c r="C64" s="8" t="str">
        <x:v>engineering</x:v>
      </x:c>
      <x:c r="D64" s="8" t="str">
        <x:v>defect blocks open</x:v>
      </x:c>
      <x:c r="E64" s="8" t="n">
        <x:f>COUNTIFS('Defect Presentations'!K7:K54,"OPEN")</x:f>
        <x:v>48</x:v>
      </x:c>
      <x:c r="F64" s="8" t="n">
        <x:v>48</x:v>
      </x:c>
      <x:c r="G64" s="8" t="str">
        <x:f>IF(AND(ISNUMBER(E64),ISNUMBER(F64)),IF(ABS(E64-F64)&lt;0.000001,"PASS","FAIL"),IF(E64=F64,"PASS","FAIL"))</x:f>
        <x:v>PASS</x:v>
      </x:c>
    </x:row>
    <x:row r="65" ht="27" customHeight="1">
      <x:c r="B65" s="8" t="str">
        <x:v>E19</x:v>
      </x:c>
      <x:c r="C65" s="8" t="str">
        <x:v>engineering</x:v>
      </x:c>
      <x:c r="D65" s="8" t="str">
        <x:v>article travelers open</x:v>
      </x:c>
      <x:c r="E65" s="8" t="n">
        <x:f>COUNTIFS('Article Travelers'!L7:L46,"OPEN")</x:f>
        <x:v>40</x:v>
      </x:c>
      <x:c r="F65" s="8" t="n">
        <x:v>40</x:v>
      </x:c>
      <x:c r="G65" s="8" t="str">
        <x:f>IF(AND(ISNUMBER(E65),ISNUMBER(F65)),IF(ABS(E65-F65)&lt;0.000001,"PASS","FAIL"),IF(E65=F65,"PASS","FAIL"))</x:f>
        <x:v>PASS</x:v>
      </x:c>
    </x:row>
    <x:row r="66" ht="27" customHeight="1">
      <x:c r="B66" s="8" t="str">
        <x:v>E20</x:v>
      </x:c>
      <x:c r="C66" s="8" t="str">
        <x:v>engineering</x:v>
      </x:c>
      <x:c r="D66" s="8" t="str">
        <x:v>joint records open</x:v>
      </x:c>
      <x:c r="E66" s="8" t="n">
        <x:f>COUNTIFS('Weld Records'!L7:L11,"OPEN")+COUNTIFS('Clamp Records'!M7:M11,"OPEN")</x:f>
        <x:v>10</x:v>
      </x:c>
      <x:c r="F66" s="8" t="n">
        <x:v>10</x:v>
      </x:c>
      <x:c r="G66" s="8" t="str">
        <x:f>IF(AND(ISNUMBER(E66),ISNUMBER(F66)),IF(ABS(E66-F66)&lt;0.000001,"PASS","FAIL"),IF(E66=F66,"PASS","FAIL"))</x:f>
        <x:v>PASS</x:v>
      </x:c>
    </x:row>
    <x:row r="67" ht="27" customHeight="1">
      <x:c r="B67" s="8" t="str">
        <x:v>E21</x:v>
      </x:c>
      <x:c r="C67" s="8" t="str">
        <x:v>engineering</x:v>
      </x:c>
      <x:c r="D67" s="8" t="str">
        <x:v>geometry records open</x:v>
      </x:c>
      <x:c r="E67" s="8" t="n">
        <x:f>COUNTIFS('Article Geometry'!J7:J30,"OPEN")</x:f>
        <x:v>24</x:v>
      </x:c>
      <x:c r="F67" s="8" t="n">
        <x:v>24</x:v>
      </x:c>
      <x:c r="G67" s="8" t="str">
        <x:f>IF(AND(ISNUMBER(E67),ISNUMBER(F67)),IF(ABS(E67-F67)&lt;0.000001,"PASS","FAIL"),IF(E67=F67,"PASS","FAIL"))</x:f>
        <x:v>PASS</x:v>
      </x:c>
    </x:row>
    <x:row r="68" ht="27" customHeight="1">
      <x:c r="B68" s="8" t="str">
        <x:v>E22</x:v>
      </x:c>
      <x:c r="C68" s="8" t="str">
        <x:v>engineering</x:v>
      </x:c>
      <x:c r="D68" s="8" t="str">
        <x:v>pressure blocks open</x:v>
      </x:c>
      <x:c r="E68" s="8" t="n">
        <x:f>COUNTIFS('Pressure Program'!L7:L48,"OPEN")</x:f>
        <x:v>42</x:v>
      </x:c>
      <x:c r="F68" s="8" t="n">
        <x:v>42</x:v>
      </x:c>
      <x:c r="G68" s="8" t="str">
        <x:f>IF(AND(ISNUMBER(E68),ISNUMBER(F68)),IF(ABS(E68-F68)&lt;0.000001,"PASS","FAIL"),IF(E68=F68,"PASS","FAIL"))</x:f>
        <x:v>PASS</x:v>
      </x:c>
    </x:row>
    <x:row r="69" ht="27" customHeight="1">
      <x:c r="B69" s="8" t="str">
        <x:v>E23</x:v>
      </x:c>
      <x:c r="C69" s="8" t="str">
        <x:v>engineering</x:v>
      </x:c>
      <x:c r="D69" s="8" t="str">
        <x:v>thermal cycles open</x:v>
      </x:c>
      <x:c r="E69" s="8" t="n">
        <x:f>COUNTIFS('Thermal Program'!K7:K46,"OPEN")</x:f>
        <x:v>40</x:v>
      </x:c>
      <x:c r="F69" s="8" t="n">
        <x:v>40</x:v>
      </x:c>
      <x:c r="G69" s="8" t="str">
        <x:f>IF(AND(ISNUMBER(E69),ISNUMBER(F69)),IF(ABS(E69-F69)&lt;0.000001,"PASS","FAIL"),IF(E69=F69,"PASS","FAIL"))</x:f>
        <x:v>PASS</x:v>
      </x:c>
    </x:row>
    <x:row r="70" ht="27" customHeight="1">
      <x:c r="B70" s="8" t="str">
        <x:v>E24</x:v>
      </x:c>
      <x:c r="C70" s="8" t="str">
        <x:v>engineering</x:v>
      </x:c>
      <x:c r="D70" s="8" t="str">
        <x:v>cycle blocks open</x:v>
      </x:c>
      <x:c r="E70" s="8" t="n">
        <x:f>COUNTIFS('Cycle Program'!K7:K26,"OPEN")</x:f>
        <x:v>20</x:v>
      </x:c>
      <x:c r="F70" s="8" t="n">
        <x:v>20</x:v>
      </x:c>
      <x:c r="G70" s="8" t="str">
        <x:f>IF(AND(ISNUMBER(E70),ISNUMBER(F70)),IF(ABS(E70-F70)&lt;0.000001,"PASS","FAIL"),IF(E70=F70,"PASS","FAIL"))</x:f>
        <x:v>PASS</x:v>
      </x:c>
    </x:row>
    <x:row r="71" ht="27" customHeight="1">
      <x:c r="B71" s="8" t="str">
        <x:v>E25</x:v>
      </x:c>
      <x:c r="C71" s="8" t="str">
        <x:v>engineering</x:v>
      </x:c>
      <x:c r="D71" s="8" t="str">
        <x:v>drain trials open</x:v>
      </x:c>
      <x:c r="E71" s="8" t="n">
        <x:f>COUNTIFS('Drain Program'!K7:K66,"OPEN")</x:f>
        <x:v>60</x:v>
      </x:c>
      <x:c r="F71" s="8" t="n">
        <x:v>60</x:v>
      </x:c>
      <x:c r="G71" s="8" t="str">
        <x:f>IF(AND(ISNUMBER(E71),ISNUMBER(F71)),IF(ABS(E71-F71)&lt;0.000001,"PASS","FAIL"),IF(E71=F71,"PASS","FAIL"))</x:f>
        <x:v>PASS</x:v>
      </x:c>
    </x:row>
    <x:row r="72" ht="27" customHeight="1">
      <x:c r="B72" s="8" t="str">
        <x:v>E26</x:v>
      </x:c>
      <x:c r="C72" s="8" t="str">
        <x:v>engineering</x:v>
      </x:c>
      <x:c r="D72" s="8" t="str">
        <x:v>safeing trials open</x:v>
      </x:c>
      <x:c r="E72" s="8" t="n">
        <x:f>COUNTIFS('Safeing Program'!K7:K126,"OPEN")</x:f>
        <x:v>120</x:v>
      </x:c>
      <x:c r="F72" s="8" t="n">
        <x:v>120</x:v>
      </x:c>
      <x:c r="G72" s="8" t="str">
        <x:f>IF(AND(ISNUMBER(E72),ISNUMBER(F72)),IF(ABS(E72-F72)&lt;0.000001,"PASS","FAIL"),IF(E72=F72,"PASS","FAIL"))</x:f>
        <x:v>PASS</x:v>
      </x:c>
    </x:row>
    <x:row r="73" ht="27" customHeight="1">
      <x:c r="B73" s="8" t="str">
        <x:v>E27</x:v>
      </x:c>
      <x:c r="C73" s="8" t="str">
        <x:v>engineering</x:v>
      </x:c>
      <x:c r="D73" s="8" t="str">
        <x:v>energy trials open</x:v>
      </x:c>
      <x:c r="E73" s="8" t="n">
        <x:f>COUNTIFS('Energy Program'!J7:J14,"OPEN")</x:f>
        <x:v>8</x:v>
      </x:c>
      <x:c r="F73" s="8" t="n">
        <x:v>8</x:v>
      </x:c>
      <x:c r="G73" s="8" t="str">
        <x:f>IF(AND(ISNUMBER(E73),ISNUMBER(F73)),IF(ABS(E73-F73)&lt;0.000001,"PASS","FAIL"),IF(E73=F73,"PASS","FAIL"))</x:f>
        <x:v>PASS</x:v>
      </x:c>
    </x:row>
    <x:row r="74" ht="27" customHeight="1">
      <x:c r="B74" s="8" t="str">
        <x:v>E28</x:v>
      </x:c>
      <x:c r="C74" s="8" t="str">
        <x:v>engineering</x:v>
      </x:c>
      <x:c r="D74" s="8" t="str">
        <x:v>evidence releases open</x:v>
      </x:c>
      <x:c r="E74" s="8" t="n">
        <x:f>COUNTIFS('Evidence Program'!J7:J54,"OPEN")</x:f>
        <x:v>48</x:v>
      </x:c>
      <x:c r="F74" s="8" t="n">
        <x:v>48</x:v>
      </x:c>
      <x:c r="G74" s="8" t="str">
        <x:f>IF(AND(ISNUMBER(E74),ISNUMBER(F74)),IF(ABS(E74-F74)&lt;0.000001,"PASS","FAIL"),IF(E74=F74,"PASS","FAIL"))</x:f>
        <x:v>PASS</x:v>
      </x:c>
    </x:row>
    <x:row r="75" ht="27" customHeight="1">
      <x:c r="B75" s="8" t="str">
        <x:v>E29</x:v>
      </x:c>
      <x:c r="C75" s="8" t="str">
        <x:v>engineering</x:v>
      </x:c>
      <x:c r="D75" s="8" t="str">
        <x:v>integrated trials open</x:v>
      </x:c>
      <x:c r="E75" s="8" t="n">
        <x:f>COUNTIFS('Integrated Trials'!K7:K46,"OPEN")</x:f>
        <x:v>40</x:v>
      </x:c>
      <x:c r="F75" s="8" t="n">
        <x:v>40</x:v>
      </x:c>
      <x:c r="G75" s="8" t="str">
        <x:f>IF(AND(ISNUMBER(E75),ISNUMBER(F75)),IF(ABS(E75-F75)&lt;0.000001,"PASS","FAIL"),IF(E75=F75,"PASS","FAIL"))</x:f>
        <x:v>PASS</x:v>
      </x:c>
    </x:row>
    <x:row r="76" ht="27" customHeight="1">
      <x:c r="B76" s="8" t="str">
        <x:v>E30</x:v>
      </x:c>
      <x:c r="C76" s="8" t="str">
        <x:v>engineering</x:v>
      </x:c>
      <x:c r="D76" s="8" t="str">
        <x:v>section records open</x:v>
      </x:c>
      <x:c r="E76" s="8" t="n">
        <x:f>COUNTIFS('Section Register'!L7:L102,"OPEN")</x:f>
        <x:v>96</x:v>
      </x:c>
      <x:c r="F76" s="8" t="n">
        <x:v>96</x:v>
      </x:c>
      <x:c r="G76" s="8" t="str">
        <x:f>IF(AND(ISNUMBER(E76),ISNUMBER(F76)),IF(ABS(E76-F76)&lt;0.000001,"PASS","FAIL"),IF(E76=F76,"PASS","FAIL"))</x:f>
        <x:v>PASS</x:v>
      </x:c>
    </x:row>
    <x:row r="77" ht="27" customHeight="1">
      <x:c r="B77" s="8" t="str">
        <x:v>E31</x:v>
      </x:c>
      <x:c r="C77" s="8" t="str">
        <x:v>engineering</x:v>
      </x:c>
      <x:c r="D77" s="8" t="str">
        <x:v>correlations open</x:v>
      </x:c>
      <x:c r="E77" s="8" t="n">
        <x:f>COUNTIFS('Correlation'!K7:K30,"OPEN")</x:f>
        <x:v>24</x:v>
      </x:c>
      <x:c r="F77" s="8" t="n">
        <x:v>24</x:v>
      </x:c>
      <x:c r="G77" s="8" t="str">
        <x:f>IF(AND(ISNUMBER(E77),ISNUMBER(F77)),IF(ABS(E77-F77)&lt;0.000001,"PASS","FAIL"),IF(E77=F77,"PASS","FAIL"))</x:f>
        <x:v>PASS</x:v>
      </x:c>
    </x:row>
    <x:row r="78" ht="27" customHeight="1">
      <x:c r="B78" s="8" t="str">
        <x:v>E32</x:v>
      </x:c>
      <x:c r="C78" s="8" t="str">
        <x:v>engineering</x:v>
      </x:c>
      <x:c r="D78" s="8" t="str">
        <x:v>article gates open</x:v>
      </x:c>
      <x:c r="E78" s="8" t="n">
        <x:f>COUNTIFS('Article Gates'!K7:K42,"OPEN")</x:f>
        <x:v>36</x:v>
      </x:c>
      <x:c r="F78" s="8" t="n">
        <x:v>36</x:v>
      </x:c>
      <x:c r="G78" s="8" t="str">
        <x:f>IF(AND(ISNUMBER(E78),ISNUMBER(F78)),IF(ABS(E78-F78)&lt;0.000001,"PASS","FAIL"),IF(E78=F78,"PASS","FAIL"))</x:f>
        <x:v>PASS</x:v>
      </x:c>
    </x:row>
    <x:row r="79" ht="27" customHeight="1">
      <x:c r="B79" s="8" t="str">
        <x:v>E33</x:v>
      </x:c>
      <x:c r="C79" s="8" t="str">
        <x:v>engineering</x:v>
      </x:c>
      <x:c r="D79" s="8" t="str">
        <x:v>article releases open</x:v>
      </x:c>
      <x:c r="E79" s="8" t="n">
        <x:f>COUNTIFS('Article Release'!J7:J8,"OPEN")</x:f>
        <x:v>2</x:v>
      </x:c>
      <x:c r="F79" s="8" t="n">
        <x:v>2</x:v>
      </x:c>
      <x:c r="G79" s="8" t="str">
        <x:f>IF(AND(ISNUMBER(E79),ISNUMBER(F79)),IF(ABS(E79-F79)&lt;0.000001,"PASS","FAIL"),IF(E79=F79,"PASS","FAIL"))</x:f>
        <x:v>PASS</x:v>
      </x:c>
    </x:row>
    <x:row r="80" ht="27" customHeight="1">
      <x:c r="B80" s="8" t="str">
        <x:v>E34</x:v>
      </x:c>
      <x:c r="C80" s="8" t="str">
        <x:v>engineering</x:v>
      </x:c>
      <x:c r="D80" s="8" t="str">
        <x:v>campaign releases blocked</x:v>
      </x:c>
      <x:c r="E80" s="8" t="n">
        <x:f>COUNTIFS('Campaign Release'!F7:F14,"BLOCKED")</x:f>
        <x:v>8</x:v>
      </x:c>
      <x:c r="F80" s="8" t="n">
        <x:v>8</x:v>
      </x:c>
      <x:c r="G80" s="8" t="str">
        <x:f>IF(AND(ISNUMBER(E80),ISNUMBER(F80)),IF(ABS(E80-F80)&lt;0.000001,"PASS","FAIL"),IF(E80=F80,"PASS","FAIL"))</x:f>
        <x:v>PASS</x:v>
      </x:c>
    </x:row>
    <x:row r="81" ht="27" customHeight="1">
      <x:c r="B81" s="8" t="str">
        <x:v>E35</x:v>
      </x:c>
      <x:c r="C81" s="8" t="str">
        <x:v>engineering</x:v>
      </x:c>
      <x:c r="D81" s="8" t="str">
        <x:v>assigned positions</x:v>
      </x:c>
      <x:c r="E81" s="8" t="n">
        <x:f>'Workforce'!D20</x:f>
        <x:v>218</x:v>
      </x:c>
      <x:c r="F81" s="8" t="n">
        <x:v>218</x:v>
      </x:c>
      <x:c r="G81" s="8" t="str">
        <x:f>IF(AND(ISNUMBER(E81),ISNUMBER(F81)),IF(ABS(E81-F81)&lt;0.000001,"PASS","FAIL"),IF(E81=F81,"PASS","FAIL"))</x:f>
        <x:v>PASS</x:v>
      </x:c>
    </x:row>
    <x:row r="82" ht="27" customHeight="1">
      <x:c r="B82" s="8" t="str">
        <x:v>E36</x:v>
      </x:c>
      <x:c r="C82" s="8" t="str">
        <x:v>engineering</x:v>
      </x:c>
      <x:c r="D82" s="8" t="str">
        <x:v>capital USD M</x:v>
      </x:c>
      <x:c r="E82" s="8" t="n">
        <x:f>'Capital'!D21</x:f>
        <x:v>118</x:v>
      </x:c>
      <x:c r="F82" s="8" t="n">
        <x:v>118</x:v>
      </x:c>
      <x:c r="G82" s="8" t="str">
        <x:f>IF(AND(ISNUMBER(E82),ISNUMBER(F82)),IF(ABS(E82-F82)&lt;0.000001,"PASS","FAIL"),IF(E82=F82,"PASS","FAIL"))</x:f>
        <x:v>PASS</x:v>
      </x:c>
    </x:row>
    <x:row r="83" ht="27" customHeight="1">
      <x:c r="B83" s="8" t="str">
        <x:v>E37</x:v>
      </x:c>
      <x:c r="C83" s="8" t="str">
        <x:v>engineering</x:v>
      </x:c>
      <x:c r="D83" s="8" t="str">
        <x:v>annual support USD M</x:v>
      </x:c>
      <x:c r="E83" s="8" t="n">
        <x:f>'Annual Support'!D18</x:f>
        <x:v>58</x:v>
      </x:c>
      <x:c r="F83" s="8" t="n">
        <x:v>58</x:v>
      </x:c>
      <x:c r="G83" s="8" t="str">
        <x:f>IF(AND(ISNUMBER(E83),ISNUMBER(F83)),IF(ABS(E83-F83)&lt;0.000001,"PASS","FAIL"),IF(E83=F83,"PASS","FAIL"))</x:f>
        <x:v>PASS</x:v>
      </x:c>
    </x:row>
    <x:row r="84" ht="27" customHeight="1">
      <x:c r="B84" s="8" t="str">
        <x:v>E38</x:v>
      </x:c>
      <x:c r="C84" s="8" t="str">
        <x:v>engineering</x:v>
      </x:c>
      <x:c r="D84" s="8" t="str">
        <x:v>18-month exposure USD M</x:v>
      </x:c>
      <x:c r="E84" s="8" t="n">
        <x:f>'Annual Support'!D19</x:f>
        <x:v>205</x:v>
      </x:c>
      <x:c r="F84" s="8" t="n">
        <x:v>205</x:v>
      </x:c>
      <x:c r="G84" s="8" t="str">
        <x:f>IF(AND(ISNUMBER(E84),ISNUMBER(F84)),IF(ABS(E84-F84)&lt;0.000001,"PASS","FAIL"),IF(E84=F84,"PASS","FAIL"))</x:f>
        <x:v>PASS</x:v>
      </x:c>
    </x:row>
    <x:row r="85" ht="27" customHeight="1">
      <x:c r="B85" s="8" t="str">
        <x:v>E39</x:v>
      </x:c>
      <x:c r="C85" s="8" t="str">
        <x:v>engineering</x:v>
      </x:c>
      <x:c r="D85" s="8" t="str">
        <x:v>remaining capital USD M</x:v>
      </x:c>
      <x:c r="E85" s="8" t="n">
        <x:f>'Portfolio Boundary'!D10</x:f>
        <x:v>66</x:v>
      </x:c>
      <x:c r="F85" s="8" t="n">
        <x:v>66</x:v>
      </x:c>
      <x:c r="G85" s="8" t="str">
        <x:f>IF(AND(ISNUMBER(E85),ISNUMBER(F85)),IF(ABS(E85-F85)&lt;0.000001,"PASS","FAIL"),IF(E85=F85,"PASS","FAIL"))</x:f>
        <x:v>PASS</x:v>
      </x:c>
    </x:row>
    <x:row r="86" ht="27" customHeight="1">
      <x:c r="B86" s="8" t="str">
        <x:v>E40</x:v>
      </x:c>
      <x:c r="C86" s="8" t="str">
        <x:v>engineering</x:v>
      </x:c>
      <x:c r="D86" s="8" t="str">
        <x:v>remaining annual USD M</x:v>
      </x:c>
      <x:c r="E86" s="8" t="n">
        <x:f>'Portfolio Boundary'!D14</x:f>
        <x:v>16</x:v>
      </x:c>
      <x:c r="F86" s="8" t="n">
        <x:v>16</x:v>
      </x:c>
      <x:c r="G86" s="8" t="str">
        <x:f>IF(AND(ISNUMBER(E86),ISNUMBER(F86)),IF(ABS(E86-F86)&lt;0.000001,"PASS","FAIL"),IF(E86=F86,"PASS","FAIL"))</x:f>
        <x:v>PASS</x:v>
      </x:c>
    </x:row>
    <x:row r="87" ht="27" customHeight="1">
      <x:c r="B87" s="8" t="str">
        <x:v>D01</x:v>
      </x:c>
      <x:c r="C87" s="8" t="str">
        <x:v>decision</x:v>
      </x:c>
      <x:c r="D87" s="8" t="str">
        <x:v>fixture commission</x:v>
      </x:c>
      <x:c r="E87" s="8" t="str">
        <x:f>'Decision Rules'!F7</x:f>
        <x:v>OPEN</x:v>
      </x:c>
      <x:c r="F87" s="8" t="str">
        <x:v>OPEN</x:v>
      </x:c>
      <x:c r="G87" s="8" t="str">
        <x:f>IF(AND(ISNUMBER(E87),ISNUMBER(F87)),IF(ABS(E87-F87)&lt;0.000001,"PASS","FAIL"),IF(E87=F87,"PASS","FAIL"))</x:f>
        <x:v>PASS</x:v>
      </x:c>
    </x:row>
    <x:row r="88" ht="27" customHeight="1">
      <x:c r="B88" s="8" t="str">
        <x:v>D02</x:v>
      </x:c>
      <x:c r="C88" s="8" t="str">
        <x:v>decision</x:v>
      </x:c>
      <x:c r="D88" s="8" t="str">
        <x:v>gage-repeatability records</x:v>
      </x:c>
      <x:c r="E88" s="8" t="str">
        <x:f>'Decision Rules'!F8</x:f>
        <x:v>OPEN</x:v>
      </x:c>
      <x:c r="F88" s="8" t="str">
        <x:v>OPEN</x:v>
      </x:c>
      <x:c r="G88" s="8" t="str">
        <x:f>IF(AND(ISNUMBER(E88),ISNUMBER(F88)),IF(ABS(E88-F88)&lt;0.000001,"PASS","FAIL"),IF(E88=F88,"PASS","FAIL"))</x:f>
        <x:v>PASS</x:v>
      </x:c>
    </x:row>
    <x:row r="89" ht="27" customHeight="1">
      <x:c r="B89" s="8" t="str">
        <x:v>D03</x:v>
      </x:c>
      <x:c r="C89" s="8" t="str">
        <x:v>decision</x:v>
      </x:c>
      <x:c r="D89" s="8" t="str">
        <x:v>uncertainty-plan closure</x:v>
      </x:c>
      <x:c r="E89" s="8" t="str">
        <x:f>'Decision Rules'!F9</x:f>
        <x:v>PASS</x:v>
      </x:c>
      <x:c r="F89" s="8" t="str">
        <x:v>PASS</x:v>
      </x:c>
      <x:c r="G89" s="8" t="str">
        <x:f>IF(AND(ISNUMBER(E89),ISNUMBER(F89)),IF(ABS(E89-F89)&lt;0.000001,"PASS","FAIL"),IF(E89=F89,"PASS","FAIL"))</x:f>
        <x:v>PASS</x:v>
      </x:c>
    </x:row>
    <x:row r="90" ht="27" customHeight="1">
      <x:c r="B90" s="8" t="str">
        <x:v>D04</x:v>
      </x:c>
      <x:c r="C90" s="8" t="str">
        <x:v>decision</x:v>
      </x:c>
      <x:c r="D90" s="8" t="str">
        <x:v>material-lot release</x:v>
      </x:c>
      <x:c r="E90" s="8" t="str">
        <x:f>'Decision Rules'!F10</x:f>
        <x:v>OPEN</x:v>
      </x:c>
      <x:c r="F90" s="8" t="str">
        <x:v>OPEN</x:v>
      </x:c>
      <x:c r="G90" s="8" t="str">
        <x:f>IF(AND(ISNUMBER(E90),ISNUMBER(F90)),IF(ABS(E90-F90)&lt;0.000001,"PASS","FAIL"),IF(E90=F90,"PASS","FAIL"))</x:f>
        <x:v>PASS</x:v>
      </x:c>
    </x:row>
    <x:row r="91" ht="27" customHeight="1">
      <x:c r="B91" s="8" t="str">
        <x:v>D05</x:v>
      </x:c>
      <x:c r="C91" s="8" t="str">
        <x:v>decision</x:v>
      </x:c>
      <x:c r="D91" s="8" t="str">
        <x:v>process-window completion</x:v>
      </x:c>
      <x:c r="E91" s="8" t="str">
        <x:f>'Decision Rules'!F11</x:f>
        <x:v>OPEN</x:v>
      </x:c>
      <x:c r="F91" s="8" t="str">
        <x:v>OPEN</x:v>
      </x:c>
      <x:c r="G91" s="8" t="str">
        <x:f>IF(AND(ISNUMBER(E91),ISNUMBER(F91)),IF(ABS(E91-F91)&lt;0.000001,"PASS","FAIL"),IF(E91=F91,"PASS","FAIL"))</x:f>
        <x:v>PASS</x:v>
      </x:c>
    </x:row>
    <x:row r="92" ht="27" customHeight="1">
      <x:c r="B92" s="8" t="str">
        <x:v>D06</x:v>
      </x:c>
      <x:c r="C92" s="8" t="str">
        <x:v>decision</x:v>
      </x:c>
      <x:c r="D92" s="8" t="str">
        <x:v>defect discrimination</x:v>
      </x:c>
      <x:c r="E92" s="8" t="str">
        <x:f>'Decision Rules'!F12</x:f>
        <x:v>OPEN</x:v>
      </x:c>
      <x:c r="F92" s="8" t="str">
        <x:v>OPEN</x:v>
      </x:c>
      <x:c r="G92" s="8" t="str">
        <x:f>IF(AND(ISNUMBER(E92),ISNUMBER(F92)),IF(ABS(E92-F92)&lt;0.000001,"PASS","FAIL"),IF(E92=F92,"PASS","FAIL"))</x:f>
        <x:v>PASS</x:v>
      </x:c>
    </x:row>
    <x:row r="93" ht="27" customHeight="1">
      <x:c r="B93" s="8" t="str">
        <x:v>D07</x:v>
      </x:c>
      <x:c r="C93" s="8" t="str">
        <x:v>decision</x:v>
      </x:c>
      <x:c r="D93" s="8" t="str">
        <x:v>BL-X integrated build</x:v>
      </x:c>
      <x:c r="E93" s="8" t="str">
        <x:f>'Decision Rules'!F13</x:f>
        <x:v>OPEN</x:v>
      </x:c>
      <x:c r="F93" s="8" t="str">
        <x:v>OPEN</x:v>
      </x:c>
      <x:c r="G93" s="8" t="str">
        <x:f>IF(AND(ISNUMBER(E93),ISNUMBER(F93)),IF(ABS(E93-F93)&lt;0.000001,"PASS","FAIL"),IF(E93=F93,"PASS","FAIL"))</x:f>
        <x:v>PASS</x:v>
      </x:c>
    </x:row>
    <x:row r="94" ht="27" customHeight="1">
      <x:c r="B94" s="8" t="str">
        <x:v>D08</x:v>
      </x:c>
      <x:c r="C94" s="8" t="str">
        <x:v>decision</x:v>
      </x:c>
      <x:c r="D94" s="8" t="str">
        <x:v>BL-Y integrated build</x:v>
      </x:c>
      <x:c r="E94" s="8" t="str">
        <x:f>'Decision Rules'!F14</x:f>
        <x:v>OPEN</x:v>
      </x:c>
      <x:c r="F94" s="8" t="str">
        <x:v>OPEN</x:v>
      </x:c>
      <x:c r="G94" s="8" t="str">
        <x:f>IF(AND(ISNUMBER(E94),ISNUMBER(F94)),IF(ABS(E94-F94)&lt;0.000001,"PASS","FAIL"),IF(E94=F94,"PASS","FAIL"))</x:f>
        <x:v>PASS</x:v>
      </x:c>
    </x:row>
    <x:row r="95" ht="27" customHeight="1">
      <x:c r="B95" s="8" t="str">
        <x:v>D09</x:v>
      </x:c>
      <x:c r="C95" s="8" t="str">
        <x:v>decision</x:v>
      </x:c>
      <x:c r="D95" s="8" t="str">
        <x:v>complete integrated exposure</x:v>
      </x:c>
      <x:c r="E95" s="8" t="str">
        <x:f>'Decision Rules'!F15</x:f>
        <x:v>OPEN</x:v>
      </x:c>
      <x:c r="F95" s="8" t="str">
        <x:v>OPEN</x:v>
      </x:c>
      <x:c r="G95" s="8" t="str">
        <x:f>IF(AND(ISNUMBER(E95),ISNUMBER(F95)),IF(ABS(E95-F95)&lt;0.000001,"PASS","FAIL"),IF(E95=F95,"PASS","FAIL"))</x:f>
        <x:v>PASS</x:v>
      </x:c>
    </x:row>
    <x:row r="96" ht="27" customHeight="1">
      <x:c r="B96" s="8" t="str">
        <x:v>D10</x:v>
      </x:c>
      <x:c r="C96" s="8" t="str">
        <x:v>decision</x:v>
      </x:c>
      <x:c r="D96" s="8" t="str">
        <x:v>destructive correlation</x:v>
      </x:c>
      <x:c r="E96" s="8" t="str">
        <x:f>'Decision Rules'!F16</x:f>
        <x:v>OPEN</x:v>
      </x:c>
      <x:c r="F96" s="8" t="str">
        <x:v>OPEN</x:v>
      </x:c>
      <x:c r="G96" s="8" t="str">
        <x:f>IF(AND(ISNUMBER(E96),ISNUMBER(F96)),IF(ABS(E96-F96)&lt;0.000001,"PASS","FAIL"),IF(E96=F96,"PASS","FAIL"))</x:f>
        <x:v>PASS</x:v>
      </x:c>
    </x:row>
    <x:row r="97" ht="27" customHeight="1">
      <x:c r="B97" s="8" t="str">
        <x:v>D11</x:v>
      </x:c>
      <x:c r="C97" s="8" t="str">
        <x:v>decision</x:v>
      </x:c>
      <x:c r="D97" s="8" t="str">
        <x:v>outside reproduction</x:v>
      </x:c>
      <x:c r="E97" s="8" t="str">
        <x:f>'Decision Rules'!F17</x:f>
        <x:v>OPEN</x:v>
      </x:c>
      <x:c r="F97" s="8" t="str">
        <x:v>OPEN</x:v>
      </x:c>
      <x:c r="G97" s="8" t="str">
        <x:f>IF(AND(ISNUMBER(E97),ISNUMBER(F97)),IF(ABS(E97-F97)&lt;0.000001,"PASS","FAIL"),IF(E97=F97,"PASS","FAIL"))</x:f>
        <x:v>PASS</x:v>
      </x:c>
    </x:row>
    <x:row r="98" ht="27" customHeight="1">
      <x:c r="B98" s="8" t="str">
        <x:v>D12</x:v>
      </x:c>
      <x:c r="C98" s="8" t="str">
        <x:v>decision</x:v>
      </x:c>
      <x:c r="D98" s="8" t="str">
        <x:v>development-article release</x:v>
      </x:c>
      <x:c r="E98" s="8" t="str">
        <x:f>'Decision Rules'!F18</x:f>
        <x:v>OPEN</x:v>
      </x:c>
      <x:c r="F98" s="8" t="str">
        <x:v>OPEN</x:v>
      </x:c>
      <x:c r="G98" s="8" t="str">
        <x:f>IF(AND(ISNUMBER(E98),ISNUMBER(F98)),IF(ABS(E98-F98)&lt;0.000001,"PASS","FAIL"),IF(E98=F98,"PASS","FAIL"))</x:f>
        <x:v>PASS</x:v>
      </x:c>
    </x:row>
    <x:row r="99" ht="27" customHeight="1">
      <x:c r="B99" s="8" t="str">
        <x:v>D13</x:v>
      </x:c>
      <x:c r="C99" s="8" t="str">
        <x:v>decision</x:v>
      </x:c>
      <x:c r="D99" s="8" t="str">
        <x:v>production-equivalent lot</x:v>
      </x:c>
      <x:c r="E99" s="8" t="str">
        <x:f>'Decision Rules'!F19</x:f>
        <x:v>BLOCKED</x:v>
      </x:c>
      <x:c r="F99" s="8" t="str">
        <x:v>BLOCKED</x:v>
      </x:c>
      <x:c r="G99" s="8" t="str">
        <x:f>IF(AND(ISNUMBER(E99),ISNUMBER(F99)),IF(ABS(E99-F99)&lt;0.000001,"PASS","FAIL"),IF(E99=F99,"PASS","FAIL"))</x:f>
        <x:v>PASS</x:v>
      </x:c>
    </x:row>
    <x:row r="100" ht="27" customHeight="1">
      <x:c r="B100" s="8" t="str">
        <x:v>D14</x:v>
      </x:c>
      <x:c r="C100" s="8" t="str">
        <x:v>decision</x:v>
      </x:c>
      <x:c r="D100" s="8" t="str">
        <x:v>exterior rendering</x:v>
      </x:c>
      <x:c r="E100" s="8" t="str">
        <x:f>'Decision Rules'!F20</x:f>
        <x:v>BLOCKED</x:v>
      </x:c>
      <x:c r="F100" s="8" t="str">
        <x:v>BLOCKED</x:v>
      </x:c>
      <x:c r="G100" s="8" t="str">
        <x:f>IF(AND(ISNUMBER(E100),ISNUMBER(F100)),IF(ABS(E100-F100)&lt;0.000001,"PASS","FAIL"),IF(E100=F100,"PASS","FAIL"))</x:f>
        <x:v>PASS</x:v>
      </x:c>
    </x:row>
    <x:row r="101" ht="27" customHeight="1">
      <x:c r="B101" s="8" t="str">
        <x:v>A01</x:v>
      </x:c>
      <x:c r="C101" s="8" t="str">
        <x:v>article release</x:v>
      </x:c>
      <x:c r="D101" s="8" t="str">
        <x:v>DA-X1</x:v>
      </x:c>
      <x:c r="E101" s="8" t="str">
        <x:f>'Article Release'!J7</x:f>
        <x:v>OPEN</x:v>
      </x:c>
      <x:c r="F101" s="8" t="str">
        <x:v>OPEN</x:v>
      </x:c>
      <x:c r="G101" s="8" t="str">
        <x:f>IF(AND(ISNUMBER(E101),ISNUMBER(F101)),IF(ABS(E101-F101)&lt;0.000001,"PASS","FAIL"),IF(E101=F101,"PASS","FAIL"))</x:f>
        <x:v>PASS</x:v>
      </x:c>
    </x:row>
    <x:row r="102" ht="27" customHeight="1">
      <x:c r="B102" s="8" t="str">
        <x:v>A02</x:v>
      </x:c>
      <x:c r="C102" s="8" t="str">
        <x:v>article release</x:v>
      </x:c>
      <x:c r="D102" s="8" t="str">
        <x:v>DA-Y1</x:v>
      </x:c>
      <x:c r="E102" s="8" t="str">
        <x:f>'Article Release'!J8</x:f>
        <x:v>OPEN</x:v>
      </x:c>
      <x:c r="F102" s="8" t="str">
        <x:v>OPEN</x:v>
      </x:c>
      <x:c r="G102" s="8" t="str">
        <x:f>IF(AND(ISNUMBER(E102),ISNUMBER(F102)),IF(ABS(E102-F102)&lt;0.000001,"PASS","FAIL"),IF(E102=F102,"PASS","FAIL"))</x:f>
        <x:v>PASS</x:v>
      </x:c>
    </x:row>
    <x:row r="103" ht="27" customHeight="1">
      <x:c r="B103" s="8" t="str">
        <x:v>C01</x:v>
      </x:c>
      <x:c r="C103" s="8" t="str">
        <x:v>campaign release</x:v>
      </x:c>
      <x:c r="D103" s="8" t="str">
        <x:v>fixture use</x:v>
      </x:c>
      <x:c r="E103" s="8" t="str">
        <x:f>'Campaign Release'!F7</x:f>
        <x:v>BLOCKED</x:v>
      </x:c>
      <x:c r="F103" s="8" t="str">
        <x:v>BLOCKED</x:v>
      </x:c>
      <x:c r="G103" s="8" t="str">
        <x:f>IF(AND(ISNUMBER(E103),ISNUMBER(F103)),IF(ABS(E103-F103)&lt;0.000001,"PASS","FAIL"),IF(E103=F103,"PASS","FAIL"))</x:f>
        <x:v>PASS</x:v>
      </x:c>
    </x:row>
    <x:row r="104" ht="27" customHeight="1">
      <x:c r="B104" s="8" t="str">
        <x:v>C02</x:v>
      </x:c>
      <x:c r="C104" s="8" t="str">
        <x:v>campaign release</x:v>
      </x:c>
      <x:c r="D104" s="8" t="str">
        <x:v>development article build</x:v>
      </x:c>
      <x:c r="E104" s="8" t="str">
        <x:f>'Campaign Release'!F8</x:f>
        <x:v>BLOCKED</x:v>
      </x:c>
      <x:c r="F104" s="8" t="str">
        <x:v>BLOCKED</x:v>
      </x:c>
      <x:c r="G104" s="8" t="str">
        <x:f>IF(AND(ISNUMBER(E104),ISNUMBER(F104)),IF(ABS(E104-F104)&lt;0.000001,"PASS","FAIL"),IF(E104=F104,"PASS","FAIL"))</x:f>
        <x:v>PASS</x:v>
      </x:c>
    </x:row>
    <x:row r="105" ht="27" customHeight="1">
      <x:c r="B105" s="8" t="str">
        <x:v>C03</x:v>
      </x:c>
      <x:c r="C105" s="8" t="str">
        <x:v>campaign release</x:v>
      </x:c>
      <x:c r="D105" s="8" t="str">
        <x:v>development qualification</x:v>
      </x:c>
      <x:c r="E105" s="8" t="str">
        <x:f>'Campaign Release'!F9</x:f>
        <x:v>BLOCKED</x:v>
      </x:c>
      <x:c r="F105" s="8" t="str">
        <x:v>BLOCKED</x:v>
      </x:c>
      <x:c r="G105" s="8" t="str">
        <x:f>IF(AND(ISNUMBER(E105),ISNUMBER(F105)),IF(ABS(E105-F105)&lt;0.000001,"PASS","FAIL"),IF(E105=F105,"PASS","FAIL"))</x:f>
        <x:v>PASS</x:v>
      </x:c>
    </x:row>
    <x:row r="106" ht="27" customHeight="1">
      <x:c r="B106" s="8" t="str">
        <x:v>C04</x:v>
      </x:c>
      <x:c r="C106" s="8" t="str">
        <x:v>campaign release</x:v>
      </x:c>
      <x:c r="D106" s="8" t="str">
        <x:v>production-equivalent lot</x:v>
      </x:c>
      <x:c r="E106" s="8" t="str">
        <x:f>'Campaign Release'!F10</x:f>
        <x:v>BLOCKED</x:v>
      </x:c>
      <x:c r="F106" s="8" t="str">
        <x:v>BLOCKED</x:v>
      </x:c>
      <x:c r="G106" s="8" t="str">
        <x:f>IF(AND(ISNUMBER(E106),ISNUMBER(F106)),IF(ABS(E106-F106)&lt;0.000001,"PASS","FAIL"),IF(E106=F106,"PASS","FAIL"))</x:f>
        <x:v>PASS</x:v>
      </x:c>
    </x:row>
    <x:row r="107" ht="27" customHeight="1">
      <x:c r="B107" s="8" t="str">
        <x:v>C05</x:v>
      </x:c>
      <x:c r="C107" s="8" t="str">
        <x:v>campaign release</x:v>
      </x:c>
      <x:c r="D107" s="8" t="str">
        <x:v>RAP-1 article bank</x:v>
      </x:c>
      <x:c r="E107" s="8" t="str">
        <x:f>'Campaign Release'!F11</x:f>
        <x:v>BLOCKED</x:v>
      </x:c>
      <x:c r="F107" s="8" t="str">
        <x:v>BLOCKED</x:v>
      </x:c>
      <x:c r="G107" s="8" t="str">
        <x:f>IF(AND(ISNUMBER(E107),ISNUMBER(F107)),IF(ABS(E107-F107)&lt;0.000001,"PASS","FAIL"),IF(E107=F107,"PASS","FAIL"))</x:f>
        <x:v>PASS</x:v>
      </x:c>
    </x:row>
    <x:row r="108" ht="27" customHeight="1">
      <x:c r="B108" s="8" t="str">
        <x:v>C06</x:v>
      </x:c>
      <x:c r="C108" s="8" t="str">
        <x:v>campaign release</x:v>
      </x:c>
      <x:c r="D108" s="8" t="str">
        <x:v>RAP-1 physical campaign</x:v>
      </x:c>
      <x:c r="E108" s="8" t="str">
        <x:f>'Campaign Release'!F12</x:f>
        <x:v>BLOCKED</x:v>
      </x:c>
      <x:c r="F108" s="8" t="str">
        <x:v>BLOCKED</x:v>
      </x:c>
      <x:c r="G108" s="8" t="str">
        <x:f>IF(AND(ISNUMBER(E108),ISNUMBER(F108)),IF(ABS(E108-F108)&lt;0.000001,"PASS","FAIL"),IF(E108=F108,"PASS","FAIL"))</x:f>
        <x:v>PASS</x:v>
      </x:c>
    </x:row>
    <x:row r="109" ht="27" customHeight="1">
      <x:c r="B109" s="8" t="str">
        <x:v>C07</x:v>
      </x:c>
      <x:c r="C109" s="8" t="str">
        <x:v>campaign release</x:v>
      </x:c>
      <x:c r="D109" s="8" t="str">
        <x:v>source entry</x:v>
      </x:c>
      <x:c r="E109" s="8" t="str">
        <x:f>'Campaign Release'!F13</x:f>
        <x:v>BLOCKED</x:v>
      </x:c>
      <x:c r="F109" s="8" t="str">
        <x:v>BLOCKED</x:v>
      </x:c>
      <x:c r="G109" s="8" t="str">
        <x:f>IF(AND(ISNUMBER(E109),ISNUMBER(F109)),IF(ABS(E109-F109)&lt;0.000001,"PASS","FAIL"),IF(E109=F109,"PASS","FAIL"))</x:f>
        <x:v>PASS</x:v>
      </x:c>
    </x:row>
    <x:row r="110" ht="27" customHeight="1">
      <x:c r="B110" s="8" t="str">
        <x:v>C08</x:v>
      </x:c>
      <x:c r="C110" s="8" t="str">
        <x:v>campaign release</x:v>
      </x:c>
      <x:c r="D110" s="8" t="str">
        <x:v>exterior rendering</x:v>
      </x:c>
      <x:c r="E110" s="8" t="str">
        <x:f>'Campaign Release'!F14</x:f>
        <x:v>BLOCKED</x:v>
      </x:c>
      <x:c r="F110" s="8" t="str">
        <x:v>BLOCKED</x:v>
      </x:c>
      <x:c r="G110" s="8" t="str">
        <x:f>IF(AND(ISNUMBER(E110),ISNUMBER(F110)),IF(ABS(E110-F110)&lt;0.000001,"PASS","FAIL"),IF(E110=F110,"PASS","FAIL"))</x:f>
        <x:v>PASS</x:v>
      </x:c>
    </x:row>
    <x:row r="111" ht="27" customHeight="1">
      <x:c r="B111" s="8" t="str">
        <x:v>S01</x:v>
      </x:c>
      <x:c r="C111" s="8" t="str">
        <x:v>stop law</x:v>
      </x:c>
      <x:c r="D111" s="8" t="str">
        <x:v>gross or uncontained leak</x:v>
      </x:c>
      <x:c r="E111" s="8" t="str">
        <x:f>'Stop Rules'!E7</x:f>
        <x:v>ACTIVE</x:v>
      </x:c>
      <x:c r="F111" s="8" t="str">
        <x:v>ACTIVE</x:v>
      </x:c>
      <x:c r="G111" s="8" t="str">
        <x:f>IF(AND(ISNUMBER(E111),ISNUMBER(F111)),IF(ABS(E111-F111)&lt;0.000001,"PASS","FAIL"),IF(E111=F111,"PASS","FAIL"))</x:f>
        <x:v>PASS</x:v>
      </x:c>
    </x:row>
    <x:row r="112" ht="27" customHeight="1">
      <x:c r="B112" s="8" t="str">
        <x:v>S02</x:v>
      </x:c>
      <x:c r="C112" s="8" t="str">
        <x:v>stop law</x:v>
      </x:c>
      <x:c r="D112" s="8" t="str">
        <x:v>proof pressure outside registered band</x:v>
      </x:c>
      <x:c r="E112" s="8" t="str">
        <x:f>'Stop Rules'!E8</x:f>
        <x:v>ACTIVE</x:v>
      </x:c>
      <x:c r="F112" s="8" t="str">
        <x:v>ACTIVE</x:v>
      </x:c>
      <x:c r="G112" s="8" t="str">
        <x:f>IF(AND(ISNUMBER(E112),ISNUMBER(F112)),IF(ABS(E112-F112)&lt;0.000001,"PASS","FAIL"),IF(E112=F112,"PASS","FAIL"))</x:f>
        <x:v>PASS</x:v>
      </x:c>
    </x:row>
    <x:row r="113" ht="27" customHeight="1">
      <x:c r="B113" s="8" t="str">
        <x:v>S03</x:v>
      </x:c>
      <x:c r="C113" s="8" t="str">
        <x:v>stop law</x:v>
      </x:c>
      <x:c r="D113" s="8" t="str">
        <x:v>permanent bore or joint change above limit</x:v>
      </x:c>
      <x:c r="E113" s="8" t="str">
        <x:f>'Stop Rules'!E9</x:f>
        <x:v>ACTIVE</x:v>
      </x:c>
      <x:c r="F113" s="8" t="str">
        <x:v>ACTIVE</x:v>
      </x:c>
      <x:c r="G113" s="8" t="str">
        <x:f>IF(AND(ISNUMBER(E113),ISNUMBER(F113)),IF(ABS(E113-F113)&lt;0.000001,"PASS","FAIL"),IF(E113=F113,"PASS","FAIL"))</x:f>
        <x:v>PASS</x:v>
      </x:c>
    </x:row>
    <x:row r="114" ht="27" customHeight="1">
      <x:c r="B114" s="8" t="str">
        <x:v>S04</x:v>
      </x:c>
      <x:c r="C114" s="8" t="str">
        <x:v>stop law</x:v>
      </x:c>
      <x:c r="D114" s="8" t="str">
        <x:v>joint slip or preload collapse</x:v>
      </x:c>
      <x:c r="E114" s="8" t="str">
        <x:f>'Stop Rules'!E10</x:f>
        <x:v>ACTIVE</x:v>
      </x:c>
      <x:c r="F114" s="8" t="str">
        <x:v>ACTIVE</x:v>
      </x:c>
      <x:c r="G114" s="8" t="str">
        <x:f>IF(AND(ISNUMBER(E114),ISNUMBER(F114)),IF(ABS(E114-F114)&lt;0.000001,"PASS","FAIL"),IF(E114=F114,"PASS","FAIL"))</x:f>
        <x:v>PASS</x:v>
      </x:c>
    </x:row>
    <x:row r="115" ht="27" customHeight="1">
      <x:c r="B115" s="8" t="str">
        <x:v>S05</x:v>
      </x:c>
      <x:c r="C115" s="8" t="str">
        <x:v>stop law</x:v>
      </x:c>
      <x:c r="D115" s="8" t="str">
        <x:v>uncommanded final-element state</x:v>
      </x:c>
      <x:c r="E115" s="8" t="str">
        <x:f>'Stop Rules'!E11</x:f>
        <x:v>ACTIVE</x:v>
      </x:c>
      <x:c r="F115" s="8" t="str">
        <x:v>ACTIVE</x:v>
      </x:c>
      <x:c r="G115" s="8" t="str">
        <x:f>IF(AND(ISNUMBER(E115),ISNUMBER(F115)),IF(ABS(E115-F115)&lt;0.000001,"PASS","FAIL"),IF(E115=F115,"PASS","FAIL"))</x:f>
        <x:v>PASS</x:v>
      </x:c>
    </x:row>
    <x:row r="116" ht="27" customHeight="1">
      <x:c r="B116" s="8" t="str">
        <x:v>S06</x:v>
      </x:c>
      <x:c r="C116" s="8" t="str">
        <x:v>stop law</x:v>
      </x:c>
      <x:c r="D116" s="8" t="str">
        <x:v>safeing action fails or exceeds time</x:v>
      </x:c>
      <x:c r="E116" s="8" t="str">
        <x:f>'Stop Rules'!E12</x:f>
        <x:v>ACTIVE</x:v>
      </x:c>
      <x:c r="F116" s="8" t="str">
        <x:v>ACTIVE</x:v>
      </x:c>
      <x:c r="G116" s="8" t="str">
        <x:f>IF(AND(ISNUMBER(E116),ISNUMBER(F116)),IF(ABS(E116-F116)&lt;0.000001,"PASS","FAIL"),IF(E116=F116,"PASS","FAIL"))</x:f>
        <x:v>PASS</x:v>
      </x:c>
    </x:row>
    <x:row r="117" ht="27" customHeight="1">
      <x:c r="B117" s="8" t="str">
        <x:v>S07</x:v>
      </x:c>
      <x:c r="C117" s="8" t="str">
        <x:v>stop law</x:v>
      </x:c>
      <x:c r="D117" s="8" t="str">
        <x:v>loss of independent pressure or mass reference</x:v>
      </x:c>
      <x:c r="E117" s="8" t="str">
        <x:f>'Stop Rules'!E13</x:f>
        <x:v>ACTIVE</x:v>
      </x:c>
      <x:c r="F117" s="8" t="str">
        <x:v>ACTIVE</x:v>
      </x:c>
      <x:c r="G117" s="8" t="str">
        <x:f>IF(AND(ISNUMBER(E117),ISNUMBER(F117)),IF(ABS(E117-F117)&lt;0.000001,"PASS","FAIL"),IF(E117=F117,"PASS","FAIL"))</x:f>
        <x:v>PASS</x:v>
      </x:c>
    </x:row>
    <x:row r="118" ht="27" customHeight="1">
      <x:c r="B118" s="8" t="str">
        <x:v>S08</x:v>
      </x:c>
      <x:c r="C118" s="8" t="str">
        <x:v>stop law</x:v>
      </x:c>
      <x:c r="D118" s="8" t="str">
        <x:v>loss of both evidence originals</x:v>
      </x:c>
      <x:c r="E118" s="8" t="str">
        <x:f>'Stop Rules'!E14</x:f>
        <x:v>ACTIVE</x:v>
      </x:c>
      <x:c r="F118" s="8" t="str">
        <x:v>ACTIVE</x:v>
      </x:c>
      <x:c r="G118" s="8" t="str">
        <x:f>IF(AND(ISNUMBER(E118),ISNUMBER(F118)),IF(ABS(E118-F118)&lt;0.000001,"PASS","FAIL"),IF(E118=F118,"PASS","FAIL"))</x:f>
        <x:v>PASS</x:v>
      </x:c>
    </x:row>
    <x:row r="119" ht="27" customHeight="1">
      <x:c r="B119" s="8" t="str">
        <x:v>S09</x:v>
      </x:c>
      <x:c r="C119" s="8" t="str">
        <x:v>stop law</x:v>
      </x:c>
      <x:c r="D119" s="8" t="str">
        <x:v>clock divergence above bound</x:v>
      </x:c>
      <x:c r="E119" s="8" t="str">
        <x:f>'Stop Rules'!E15</x:f>
        <x:v>ACTIVE</x:v>
      </x:c>
      <x:c r="F119" s="8" t="str">
        <x:v>ACTIVE</x:v>
      </x:c>
      <x:c r="G119" s="8" t="str">
        <x:f>IF(AND(ISNUMBER(E119),ISNUMBER(F119)),IF(ABS(E119-F119)&lt;0.000001,"PASS","FAIL"),IF(E119=F119,"PASS","FAIL"))</x:f>
        <x:v>PASS</x:v>
      </x:c>
    </x:row>
    <x:row r="120" ht="27" customHeight="1">
      <x:c r="B120" s="8" t="str">
        <x:v>S10</x:v>
      </x:c>
      <x:c r="C120" s="8" t="str">
        <x:v>stop law</x:v>
      </x:c>
      <x:c r="D120" s="8" t="str">
        <x:v>fixture boundary changes outside bracket</x:v>
      </x:c>
      <x:c r="E120" s="8" t="str">
        <x:f>'Stop Rules'!E16</x:f>
        <x:v>ACTIVE</x:v>
      </x:c>
      <x:c r="F120" s="8" t="str">
        <x:v>ACTIVE</x:v>
      </x:c>
      <x:c r="G120" s="8" t="str">
        <x:f>IF(AND(ISNUMBER(E120),ISNUMBER(F120)),IF(ABS(E120-F120)&lt;0.000001,"PASS","FAIL"),IF(E120=F120,"PASS","FAIL"))</x:f>
        <x:v>PASS</x:v>
      </x:c>
    </x:row>
    <x:row r="121" ht="27" customHeight="1">
      <x:c r="B121" s="8" t="str">
        <x:v>S11</x:v>
      </x:c>
      <x:c r="C121" s="8" t="str">
        <x:v>stop law</x:v>
      </x:c>
      <x:c r="D121" s="8" t="str">
        <x:v>unexpected temperature excursion</x:v>
      </x:c>
      <x:c r="E121" s="8" t="str">
        <x:f>'Stop Rules'!E17</x:f>
        <x:v>ACTIVE</x:v>
      </x:c>
      <x:c r="F121" s="8" t="str">
        <x:v>ACTIVE</x:v>
      </x:c>
      <x:c r="G121" s="8" t="str">
        <x:f>IF(AND(ISNUMBER(E121),ISNUMBER(F121)),IF(ABS(E121-F121)&lt;0.000001,"PASS","FAIL"),IF(E121=F121,"PASS","FAIL"))</x:f>
        <x:v>PASS</x:v>
      </x:c>
    </x:row>
    <x:row r="122" ht="27" customHeight="1">
      <x:c r="B122" s="8" t="str">
        <x:v>S12</x:v>
      </x:c>
      <x:c r="C122" s="8" t="str">
        <x:v>stop law</x:v>
      </x:c>
      <x:c r="D122" s="8" t="str">
        <x:v>challenge key exposure before blind call</x:v>
      </x:c>
      <x:c r="E122" s="8" t="str">
        <x:f>'Stop Rules'!E18</x:f>
        <x:v>ACTIVE</x:v>
      </x:c>
      <x:c r="F122" s="8" t="str">
        <x:v>ACTIVE</x:v>
      </x:c>
      <x:c r="G122" s="8" t="str">
        <x:f>IF(AND(ISNUMBER(E122),ISNUMBER(F122)),IF(ABS(E122-F122)&lt;0.000001,"PASS","FAIL"),IF(E122=F122,"PASS","FAIL"))</x:f>
        <x:v>PASS</x:v>
      </x:c>
    </x:row>
    <x:row r="123" ht="27" customHeight="1">
      <x:c r="B123" s="8" t="str">
        <x:v>S13</x:v>
      </x:c>
      <x:c r="C123" s="8" t="str">
        <x:v>stop law</x:v>
      </x:c>
      <x:c r="D123" s="8" t="str">
        <x:v>specimen identity mismatch</x:v>
      </x:c>
      <x:c r="E123" s="8" t="str">
        <x:f>'Stop Rules'!E19</x:f>
        <x:v>ACTIVE</x:v>
      </x:c>
      <x:c r="F123" s="8" t="str">
        <x:v>ACTIVE</x:v>
      </x:c>
      <x:c r="G123" s="8" t="str">
        <x:f>IF(AND(ISNUMBER(E123),ISNUMBER(F123)),IF(ABS(E123-F123)&lt;0.000001,"PASS","FAIL"),IF(E123=F123,"PASS","FAIL"))</x:f>
        <x:v>PASS</x:v>
      </x:c>
    </x:row>
    <x:row r="124" ht="27" customHeight="1">
      <x:c r="B124" s="8" t="str">
        <x:v>S14</x:v>
      </x:c>
      <x:c r="C124" s="8" t="str">
        <x:v>stop law</x:v>
      </x:c>
      <x:c r="D124" s="8" t="str">
        <x:v>unauthorized repair or rework</x:v>
      </x:c>
      <x:c r="E124" s="8" t="str">
        <x:f>'Stop Rules'!E20</x:f>
        <x:v>ACTIVE</x:v>
      </x:c>
      <x:c r="F124" s="8" t="str">
        <x:v>ACTIVE</x:v>
      </x:c>
      <x:c r="G124" s="8" t="str">
        <x:f>IF(AND(ISNUMBER(E124),ISNUMBER(F124)),IF(ABS(E124-F124)&lt;0.000001,"PASS","FAIL"),IF(E124=F124,"PASS","FAIL"))</x:f>
        <x:v>PASS</x:v>
      </x:c>
    </x:row>
    <x:row r="125" ht="27" customHeight="1">
      <x:c r="B125" s="8" t="str">
        <x:v>S15</x:v>
      </x:c>
      <x:c r="C125" s="8" t="str">
        <x:v>stop law</x:v>
      </x:c>
      <x:c r="D125" s="8" t="str">
        <x:v>personnel exclusion or rescue boundary lost</x:v>
      </x:c>
      <x:c r="E125" s="8" t="str">
        <x:f>'Stop Rules'!E21</x:f>
        <x:v>ACTIVE</x:v>
      </x:c>
      <x:c r="F125" s="8" t="str">
        <x:v>ACTIVE</x:v>
      </x:c>
      <x:c r="G125" s="8" t="str">
        <x:f>IF(AND(ISNUMBER(E125),ISNUMBER(F125)),IF(ABS(E125-F125)&lt;0.000001,"PASS","FAIL"),IF(E125=F125,"PASS","FAIL"))</x:f>
        <x:v>PASS</x:v>
      </x:c>
    </x:row>
    <x:row r="126" ht="27" customHeight="1">
      <x:c r="B126" s="8" t="str">
        <x:v>S16</x:v>
      </x:c>
      <x:c r="C126" s="8" t="str">
        <x:v>stop law</x:v>
      </x:c>
      <x:c r="D126" s="8" t="str">
        <x:v>unknown energetic or chemical state</x:v>
      </x:c>
      <x:c r="E126" s="8" t="str">
        <x:f>'Stop Rules'!E22</x:f>
        <x:v>ACTIVE</x:v>
      </x:c>
      <x:c r="F126" s="8" t="str">
        <x:v>ACTIVE</x:v>
      </x:c>
      <x:c r="G126" s="8" t="str">
        <x:f>IF(AND(ISNUMBER(E126),ISNUMBER(F126)),IF(ABS(E126-F126)&lt;0.000001,"PASS","FAIL"),IF(E126=F126,"PASS","FAIL"))</x:f>
        <x:v>PASS</x:v>
      </x:c>
    </x:row>
  </x:sheetData>
  <x:conditionalFormatting sqref="G7:G126">
    <x:cfRule type="containsText" dxfId="192" priority="1" operator="containsText" text="FAIL"/>
    <x:cfRule type="containsText" dxfId="193" priority="2" operator="containsText" text="BLOCKED"/>
    <x:cfRule type="containsText" dxfId="194" priority="3" operator="containsText" text="OPEN"/>
    <x:cfRule type="containsText" dxfId="195" priority="4" operator="containsText" text="PASS"/>
    <x:cfRule type="containsText" dxfId="196" priority="5" operator="containsText" text="PLANNED"/>
    <x:cfRule type="containsText" dxfId="197" priority="6" operator="containsText" text="ACTIVE"/>
  </x:conditionalFormatting>
  <x:pageMargins left="0.7" right="0.7" top="0.75" bottom="0.75" header="0.3" footer="0.3"/>
</x:worksheet>
</file>

<file path=xl/worksheets/sheet48.xml><?xml version="1.0" encoding="utf-8"?>
<x:worksheet xmlns:x="http://schemas.openxmlformats.org/spreadsheetml/2006/main">
  <x:sheetViews>
    <x:sheetView showGridLines="0" workbookViewId="0">
      <x:pane xSplit="2" ySplit="6" topLeftCell="C7" activePane="bottomRight" state="frozen"/>
    </x:sheetView>
  </x:sheetViews>
  <x:sheetFormatPr defaultRowHeight="15"/>
  <x:cols>
    <x:col min="2" max="2" width="14" hidden="0" customWidth="1"/>
    <x:col min="3" max="3" width="18" hidden="0" customWidth="1"/>
    <x:col min="4" max="4" width="97" hidden="0" customWidth="1"/>
    <x:col min="5" max="5" width="24" hidden="0" customWidth="1"/>
  </x:cols>
  <x:sheetData>
    <x:row r="2">
      <x:c r="B2" s="44" t="str">
        <x:v>Internal authorities and derivations</x:v>
      </x:c>
      <x:c r="C2" s="45"/>
      <x:c r="D2" s="45"/>
      <x:c r="E2" s="45"/>
    </x:row>
    <x:row r="3">
      <x:c r="B3" s="46" t="str">
        <x:v>No external site is used. Values are inherited from repository authorities or declared as RAB-1 planning hypotheses.</x:v>
      </x:c>
      <x:c r="C3" s="45"/>
      <x:c r="D3" s="45"/>
      <x:c r="E3" s="45"/>
    </x:row>
    <x:row r="4">
      <x:c r="B4" s="45"/>
      <x:c r="C4" s="45"/>
      <x:c r="D4" s="45"/>
      <x:c r="E4" s="45"/>
    </x:row>
    <x:row r="5">
      <x:c r="B5" s="45"/>
      <x:c r="C5" s="45"/>
      <x:c r="D5" s="45"/>
      <x:c r="E5" s="45"/>
    </x:row>
    <x:row r="6" ht="25" customHeight="1">
      <x:c r="B6" s="6" t="str">
        <x:v>Source</x:v>
      </x:c>
      <x:c r="C6" s="6" t="str">
        <x:v>Authority</x:v>
      </x:c>
      <x:c r="D6" s="6" t="str">
        <x:v>Use</x:v>
      </x:c>
      <x:c r="E6" s="6" t="str">
        <x:v>Class</x:v>
      </x:c>
    </x:row>
    <x:row r="7" ht="40" customHeight="1">
      <x:c r="B7" s="8" t="str">
        <x:v>SRC-01</x:v>
      </x:c>
      <x:c r="C7" s="8" t="str">
        <x:v>RAC-1</x:v>
      </x:c>
      <x:c r="D7" s="9" t="str">
        <x:v>construction topology, two lineages, drawings, tolerances, pressure, thermal, safeing and release law</x:v>
      </x:c>
      <x:c r="E7" s="8" t="str">
        <x:v>internal predecessor</x:v>
      </x:c>
    </x:row>
    <x:row r="8" ht="40" customHeight="1">
      <x:c r="B8" s="8" t="str">
        <x:v>SRC-02</x:v>
      </x:c>
      <x:c r="C8" s="8" t="str">
        <x:v>RAP-1</x:v>
      </x:c>
      <x:c r="D8" s="9" t="str">
        <x:v>eighteen-article bank, channels, campaign authority, capital and annual boundaries</x:v>
      </x:c>
      <x:c r="E8" s="8" t="str">
        <x:v>internal predecessor</x:v>
      </x:c>
    </x:row>
    <x:row r="9" ht="40" customHeight="1">
      <x:c r="B9" s="8" t="str">
        <x:v>SRC-03</x:v>
      </x:c>
      <x:c r="C9" s="8" t="str">
        <x:v>RAE-1</x:v>
      </x:c>
      <x:c r="D9" s="9" t="str">
        <x:v>40 mm low-source route and event-dossier authority</x:v>
      </x:c>
      <x:c r="E9" s="8" t="str">
        <x:v>internal predecessor</x:v>
      </x:c>
    </x:row>
    <x:row r="10" ht="40" customHeight="1">
      <x:c r="B10" s="8" t="str">
        <x:v>SRC-04</x:v>
      </x:c>
      <x:c r="C10" s="8" t="str">
        <x:v>SDEC-1</x:v>
      </x:c>
      <x:c r="D10" s="9" t="str">
        <x:v>population independence, full-scale screening, blinded defect-cell design and one-sided bounds</x:v>
      </x:c>
      <x:c r="E10" s="8" t="str">
        <x:v>internal method</x:v>
      </x:c>
    </x:row>
    <x:row r="11" ht="40" customHeight="1">
      <x:c r="B11" s="8" t="str">
        <x:v>SRC-05</x:v>
      </x:c>
      <x:c r="C11" s="8" t="str">
        <x:v>MESA-1D</x:v>
      </x:c>
      <x:c r="D11" s="9" t="str">
        <x:v>prototype build release, protected roots and destructive acceptance law</x:v>
      </x:c>
      <x:c r="E11" s="8" t="str">
        <x:v>internal method</x:v>
      </x:c>
    </x:row>
    <x:row r="12" ht="40" customHeight="1">
      <x:c r="B12" s="8" t="str">
        <x:v>SRC-06</x:v>
      </x:c>
      <x:c r="C12" s="8" t="str">
        <x:v>CRET-1</x:v>
      </x:c>
      <x:c r="D12" s="9" t="str">
        <x:v>lot conservation, traveler and nonconformance ancestry</x:v>
      </x:c>
      <x:c r="E12" s="8" t="str">
        <x:v>internal authority</x:v>
      </x:c>
    </x:row>
    <x:row r="13" ht="40" customHeight="1">
      <x:c r="B13" s="8" t="str">
        <x:v>SRC-07</x:v>
      </x:c>
      <x:c r="C13" s="8" t="str">
        <x:v>BRD-1</x:v>
      </x:c>
      <x:c r="D13" s="9" t="str">
        <x:v>public coordinate, drawing and measurement constitution</x:v>
      </x:c>
      <x:c r="E13" s="8" t="str">
        <x:v>internal authority</x:v>
      </x:c>
    </x:row>
    <x:row r="14" ht="40" customHeight="1">
      <x:c r="B14" s="8" t="str">
        <x:v>SRC-08</x:v>
      </x:c>
      <x:c r="C14" s="8" t="str">
        <x:v>RAB-1 derivation</x:v>
      </x:c>
      <x:c r="D14" s="9" t="str">
        <x:v>two integrated articles plus separate process, defect, mechanism, mount and surface populations</x:v>
      </x:c>
      <x:c r="E14" s="8" t="str">
        <x:v>current derivation</x:v>
      </x:c>
    </x:row>
    <x:row r="15" ht="40" customHeight="1">
      <x:c r="B15" s="8" t="str">
        <x:v>SRC-09</x:v>
      </x:c>
      <x:c r="C15" s="8" t="str">
        <x:v>RAB-1 statistics</x:v>
      </x:c>
      <x:c r="D15" s="9" t="str">
        <x:v>zero-event one-sided exact bounds and explicit no-pooling law</x:v>
      </x:c>
      <x:c r="E15" s="8" t="str">
        <x:v>current derivation</x:v>
      </x:c>
    </x:row>
    <x:row r="16" ht="40" customHeight="1">
      <x:c r="B16" s="8" t="str">
        <x:v>SRC-10</x:v>
      </x:c>
      <x:c r="C16" s="8" t="str">
        <x:v>RAB-1 uncertainty</x:v>
      </x:c>
      <x:c r="D16" s="9" t="str">
        <x:v>root-sum-square budgets and four-to-one decision ratios</x:v>
      </x:c>
      <x:c r="E16" s="8" t="str">
        <x:v>current derivation</x:v>
      </x:c>
    </x:row>
    <x:row r="17" ht="40" customHeight="1">
      <x:c r="B17" s="8" t="str">
        <x:v>SRC-11</x:v>
      </x:c>
      <x:c r="C17" s="8" t="str">
        <x:v>RAB-1 finance</x:v>
      </x:c>
      <x:c r="D17" s="9" t="str">
        <x:v>capital, annual support, exposure and parent balance</x:v>
      </x:c>
      <x:c r="E17" s="8" t="str">
        <x:v>current derivation</x:v>
      </x:c>
    </x:row>
    <x:row r="18" ht="40" customHeight="1">
      <x:c r="B18" s="8" t="str">
        <x:v>SRC-12</x:v>
      </x:c>
      <x:c r="C18" s="8" t="str">
        <x:v>rendering hold</x:v>
      </x:c>
      <x:c r="D18" s="9" t="str">
        <x:v>exterior form requires later field-candidate geometry and operations research</x:v>
      </x:c>
      <x:c r="E18" s="8" t="str">
        <x:v>governing direction</x:v>
      </x:c>
    </x:row>
  </x:sheetData>
  <x:pageMargins left="0.7" right="0.7" top="0.75" bottom="0.75" header="0.3" footer="0.3"/>
</x:worksheet>
</file>

<file path=xl/worksheets/sheet49.xml><?xml version="1.0" encoding="utf-8"?>
<x:worksheet xmlns:x="http://schemas.openxmlformats.org/spreadsheetml/2006/main">
  <x:sheetPr>
    <x:tabColor rgb="FFA6A6A6"/>
  </x:sheetPr>
  <x:sheetViews>
    <x:sheetView showGridLines="0" workbookViewId="0">
      <x:pane xSplit="2" ySplit="6" topLeftCell="C7" activePane="bottomRight" state="frozen"/>
    </x:sheetView>
  </x:sheetViews>
  <x:sheetFormatPr defaultRowHeight="15"/>
  <x:cols>
    <x:col min="2" max="2" width="31" hidden="0" customWidth="1"/>
    <x:col min="3" max="3" width="118" hidden="0" customWidth="1"/>
  </x:cols>
  <x:sheetData>
    <x:row r="2">
      <x:c r="B2" s="44" t="str">
        <x:v>How to use RAB-1</x:v>
      </x:c>
      <x:c r="C2" s="45"/>
    </x:row>
    <x:row r="3">
      <x:c r="B3" s="46" t="str">
        <x:v>This workbook designs a physical qualification institution. It contains no invented observations.</x:v>
      </x:c>
      <x:c r="C3" s="45"/>
    </x:row>
    <x:row r="4">
      <x:c r="B4" s="45"/>
      <x:c r="C4" s="45"/>
    </x:row>
    <x:row r="5">
      <x:c r="B5" s="45"/>
      <x:c r="C5" s="45"/>
    </x:row>
    <x:row r="6" ht="25" customHeight="1">
      <x:c r="B6" s="6" t="str">
        <x:v>Topic</x:v>
      </x:c>
      <x:c r="C6" s="6" t="str">
        <x:v>Guidance</x:v>
      </x:c>
    </x:row>
    <x:row r="7" ht="43" customHeight="1">
      <x:c r="B7" s="8" t="str">
        <x:v>Purpose</x:v>
      </x:c>
      <x:c r="C7" s="9" t="str">
        <x:v>Define the physical development-article and destructive build-qualification campaign for both REA-100 construction lineages.</x:v>
      </x:c>
    </x:row>
    <x:row r="8" ht="43" customHeight="1">
      <x:c r="B8" s="8" t="str">
        <x:v>Primary decision</x:v>
      </x:c>
      <x:c r="C8" s="9" t="str">
        <x:v>Whether the two construction roots and public measurement systems are ready for a production-equivalent article lot.</x:v>
      </x:c>
    </x:row>
    <x:row r="9" ht="43" customHeight="1">
      <x:c r="B9" s="8" t="str">
        <x:v>Integrated articles</x:v>
      </x:c>
      <x:c r="C9" s="9" t="str">
        <x:v>DA-X1 and DA-Y1 are sacrificial system witnesses outside the eighteen-unit RAP-1 article bank.</x:v>
      </x:c>
    </x:row>
    <x:row r="10" ht="43" customHeight="1">
      <x:c r="B10" s="8" t="str">
        <x:v>Population</x:v>
      </x:c>
      <x:c r="C10" s="9" t="str">
        <x:v>Two articles are supplemented by 120 process specimens, 1,392 blind defect presentations, 72 safeing assemblies, 144 mounts and 36 surface specimens.</x:v>
      </x:c>
    </x:row>
    <x:row r="11" ht="43" customHeight="1">
      <x:c r="B11" s="8" t="str">
        <x:v>Statistics</x:v>
      </x:c>
      <x:c r="C11" s="9" t="str">
        <x:v>Zero-event one-sided bounds limit the claim. Results cannot be pooled across unlike lineages or defect mechanisms.</x:v>
      </x:c>
    </x:row>
    <x:row r="12" ht="43" customHeight="1">
      <x:c r="B12" s="8" t="str">
        <x:v>Fixtures</x:v>
      </x:c>
      <x:c r="C12" s="9" t="str">
        <x:v>Eighteen families and thirty-three units create public bore, surface, joint, proof, thermal, safeing, evidence and destructive capacity.</x:v>
      </x:c>
    </x:row>
    <x:row r="13" ht="43" customHeight="1">
      <x:c r="B13" s="8" t="str">
        <x:v>OPEN</x:v>
      </x:c>
      <x:c r="C13" s="9" t="str">
        <x:v>Required physical observation or acceptance does not exist.</x:v>
      </x:c>
    </x:row>
    <x:row r="14" ht="43" customHeight="1">
      <x:c r="B14" s="8" t="str">
        <x:v>PASS</x:v>
      </x:c>
      <x:c r="C14" s="9" t="str">
        <x:v>A planning calculation closes or an accepted physical record satisfies every declared prerequisite.</x:v>
      </x:c>
    </x:row>
    <x:row r="15" ht="43" customHeight="1">
      <x:c r="B15" s="8" t="str">
        <x:v>FAIL</x:v>
      </x:c>
      <x:c r="C15" s="9" t="str">
        <x:v>An acceptance was attempted with missing evidence or an observed result exceeded its boundary.</x:v>
      </x:c>
    </x:row>
    <x:row r="16" ht="43" customHeight="1">
      <x:c r="B16" s="8" t="str">
        <x:v>BLOCKED</x:v>
      </x:c>
      <x:c r="C16" s="9" t="str">
        <x:v>A downstream authority remains unavailable.</x:v>
      </x:c>
    </x:row>
    <x:row r="17" ht="43" customHeight="1">
      <x:c r="B17" s="8" t="str">
        <x:v>Inputs</x:v>
      </x:c>
      <x:c r="C17" s="9" t="str">
        <x:v>Amber cells and blue numbers are editable planning controls. Formula outputs remain calculated.</x:v>
      </x:c>
    </x:row>
    <x:row r="18" ht="43" customHeight="1">
      <x:c r="B18" s="8" t="str">
        <x:v>Finance</x:v>
      </x:c>
      <x:c r="C18" s="9" t="str">
        <x:v>USD 118M capital and USD 58M/year remain inside RAP-1. The 18-month exposure is USD 205M.</x:v>
      </x:c>
    </x:row>
    <x:row r="19" ht="43" customHeight="1">
      <x:c r="B19" s="8" t="str">
        <x:v>Technology</x:v>
      </x:c>
      <x:c r="C19" s="9" t="str">
        <x:v>USD 180M is cross-classified inside RAP-1. It supersedes the prior USD 125M construction subset.</x:v>
      </x:c>
    </x:row>
    <x:row r="20" ht="43" customHeight="1">
      <x:c r="B20" s="8" t="str">
        <x:v>Authority</x:v>
      </x:c>
      <x:c r="C20" s="9" t="str">
        <x:v>No fixture, specimen, article, production lot, source event or exterior form is accepted at baseline.</x:v>
      </x:c>
    </x:row>
    <x:row r="21" ht="43" customHeight="1">
      <x:c r="B21" s="8" t="str">
        <x:v>Next object</x:v>
      </x:c>
      <x:c r="C21" s="9" t="str">
        <x:v>RAQ-1: production-equivalent article-lot construction, second-team reproduction and article-bank entry.</x:v>
      </x:c>
    </x:row>
  </x:sheetData>
  <x:pageMargins left="0.7" right="0.7" top="0.75" bottom="0.75" header="0.3" footer="0.3"/>
</x:worksheet>
</file>