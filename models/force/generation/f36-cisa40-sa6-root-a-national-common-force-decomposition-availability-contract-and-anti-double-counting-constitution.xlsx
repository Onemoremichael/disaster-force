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Control" sheetId="2" state="visible" r:id="rId4"/>
    <sheet name="Family_Ledger" sheetId="3" state="visible" r:id="rId5"/>
    <sheet name="Reserve_Ledger" sheetId="4" state="visible" r:id="rId6"/>
    <sheet name="Capital_Attrib" sheetId="5" state="visible" r:id="rId7"/>
    <sheet name="Quantity_Registry" sheetId="6" state="visible" r:id="rId8"/>
    <sheet name="Warrant_Schema" sheetId="7" state="visible" r:id="rId9"/>
    <sheet name="Warrant_States" sheetId="8" state="visible" r:id="rId10"/>
    <sheet name="Demand_Worlds" sheetId="9" state="visible" r:id="rId11"/>
    <sheet name="Capacity_Compiler" sheetId="10" state="visible" r:id="rId12"/>
    <sheet name="Collision_Rules" sheetId="11" state="visible" r:id="rId13"/>
    <sheet name="Workforce" sheetId="12" state="visible" r:id="rId14"/>
    <sheet name="Annual_Support" sheetId="13" state="visible" r:id="rId15"/>
    <sheet name="Lifecycle" sheetId="14" state="visible" r:id="rId16"/>
    <sheet name="Technology" sheetId="15" state="visible" r:id="rId17"/>
    <sheet name="Architecture_Cases" sheetId="16" state="visible" r:id="rId18"/>
    <sheet name="Schedule" sheetId="17" state="visible" r:id="rId19"/>
    <sheet name="Gate_Register" sheetId="18" state="visible" r:id="rId20"/>
    <sheet name="Audit" sheetId="19" state="visible" r:id="rId21"/>
    <sheet name="Executive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<sst xmlns="http://schemas.openxmlformats.org/spreadsheetml/2006/main" count="1227" uniqueCount="802">
  <si>
    <t xml:space="preserve">RBW-1 model guide</t>
  </si>
  <si>
    <t xml:space="preserve">Model</t>
  </si>
  <si>
    <t xml:space="preserve">NCFC-1 National Common Force Constitution</t>
  </si>
  <si>
    <t xml:space="preserve">Purpose</t>
  </si>
  <si>
    <t xml:space="preserve">Decompose the conserved C24 fire-control force into five jurisdictions; define warrants and prevent one article from satisfying two obligations.</t>
  </si>
  <si>
    <t xml:space="preserve">Decision</t>
  </si>
  <si>
    <t xml:space="preserve">Select the assured common-force architecture while admitting no cross-portfolio capital reduction.</t>
  </si>
  <si>
    <t xml:space="preserve">Boundary</t>
  </si>
  <si>
    <t xml:space="preserve">24 groups, 192 operational sets, 256 system bodies, USD 3.6412016T initial capital.</t>
  </si>
  <si>
    <t xml:space="preserve">Currency</t>
  </si>
  <si>
    <t xml:space="preserve">Constant 2026 USD billions unless a sheet states another unit.</t>
  </si>
  <si>
    <t xml:space="preserve">Evidence</t>
  </si>
  <si>
    <t xml:space="preserve">Internal research lineage only; no external sources or observed physical results.</t>
  </si>
  <si>
    <t xml:space="preserve">Editable cells</t>
  </si>
  <si>
    <t xml:space="preserve">Amber fill and blue type.</t>
  </si>
  <si>
    <t xml:space="preserve">Formula cells</t>
  </si>
  <si>
    <t xml:space="preserve">Black for same-sheet formulas; green for cross-sheet links in working sheets.</t>
  </si>
  <si>
    <t xml:space="preserve">Interpretation</t>
  </si>
  <si>
    <t xml:space="preserve">Capital jurisdiction is not an expenditure saving. Capacity is conserved until compound demand is proved.</t>
  </si>
  <si>
    <t xml:space="preserve">Rendering</t>
  </si>
  <si>
    <t xml:space="preserve">Blocked until common-family quantity, geometry and receiver topology are admitted.</t>
  </si>
  <si>
    <t xml:space="preserve">Navigation</t>
  </si>
  <si>
    <t xml:space="preserve">Sheet</t>
  </si>
  <si>
    <t xml:space="preserve">Role</t>
  </si>
  <si>
    <t xml:space="preserve">Primary use</t>
  </si>
  <si>
    <t xml:space="preserve">Executive</t>
  </si>
  <si>
    <t xml:space="preserve">output</t>
  </si>
  <si>
    <t xml:space="preserve">selected architecture and top result</t>
  </si>
  <si>
    <t xml:space="preserve">Control</t>
  </si>
  <si>
    <t xml:space="preserve">input</t>
  </si>
  <si>
    <t xml:space="preserve">parent boundary and sensitivity</t>
  </si>
  <si>
    <t xml:space="preserve">Family_Ledger</t>
  </si>
  <si>
    <t xml:space="preserve">build</t>
  </si>
  <si>
    <t xml:space="preserve">family class, quantity and body capital</t>
  </si>
  <si>
    <t xml:space="preserve">Reserve_Ledger</t>
  </si>
  <si>
    <t xml:space="preserve">exact group reserve cost</t>
  </si>
  <si>
    <t xml:space="preserve">Capital_Attrib</t>
  </si>
  <si>
    <t xml:space="preserve">output/build</t>
  </si>
  <si>
    <t xml:space="preserve">five-ledger initial capital</t>
  </si>
  <si>
    <t xml:space="preserve">Quantity_Registry</t>
  </si>
  <si>
    <t xml:space="preserve">national holdings by family</t>
  </si>
  <si>
    <t xml:space="preserve">Warrant_Schema</t>
  </si>
  <si>
    <t xml:space="preserve">constitution</t>
  </si>
  <si>
    <t xml:space="preserve">required availability fields</t>
  </si>
  <si>
    <t xml:space="preserve">Warrant_States</t>
  </si>
  <si>
    <t xml:space="preserve">state and readiness eligibility</t>
  </si>
  <si>
    <t xml:space="preserve">Demand_Worlds</t>
  </si>
  <si>
    <t xml:space="preserve">research</t>
  </si>
  <si>
    <t xml:space="preserve">compound worlds for next pass</t>
  </si>
  <si>
    <t xml:space="preserve">Capacity_Compiler</t>
  </si>
  <si>
    <t xml:space="preserve">coincidence sensitivity and conservation</t>
  </si>
  <si>
    <t xml:space="preserve">Collision_Rules</t>
  </si>
  <si>
    <t xml:space="preserve">priority and recall law</t>
  </si>
  <si>
    <t xml:space="preserve">Workforce</t>
  </si>
  <si>
    <t xml:space="preserve">conserved parent workforce</t>
  </si>
  <si>
    <t xml:space="preserve">Annual_Support</t>
  </si>
  <si>
    <t xml:space="preserve">annual cost reconciliation</t>
  </si>
  <si>
    <t xml:space="preserve">Lifecycle</t>
  </si>
  <si>
    <t xml:space="preserve">25-year cost reconciliation</t>
  </si>
  <si>
    <t xml:space="preserve">Technology</t>
  </si>
  <si>
    <t xml:space="preserve">technology jurisdiction</t>
  </si>
  <si>
    <t xml:space="preserve">Architecture_Cases</t>
  </si>
  <si>
    <t xml:space="preserve">decision</t>
  </si>
  <si>
    <t xml:space="preserve">rival architecture screen</t>
  </si>
  <si>
    <t xml:space="preserve">Schedule</t>
  </si>
  <si>
    <t xml:space="preserve">12-year transition</t>
  </si>
  <si>
    <t xml:space="preserve">Gate_Register</t>
  </si>
  <si>
    <t xml:space="preserve">control</t>
  </si>
  <si>
    <t xml:space="preserve">planning, physical and release gates</t>
  </si>
  <si>
    <t xml:space="preserve">Audit</t>
  </si>
  <si>
    <t xml:space="preserve">audit</t>
  </si>
  <si>
    <t xml:space="preserve">formula and denial checks</t>
  </si>
  <si>
    <t xml:space="preserve">Control panel</t>
  </si>
  <si>
    <t xml:space="preserve">Input</t>
  </si>
  <si>
    <t xml:space="preserve">Value</t>
  </si>
  <si>
    <t xml:space="preserve">Unit / rule</t>
  </si>
  <si>
    <t xml:space="preserve">Case</t>
  </si>
  <si>
    <t xml:space="preserve">Admissible</t>
  </si>
  <si>
    <t xml:space="preserve">Reason</t>
  </si>
  <si>
    <t xml:space="preserve">Selected architecture</t>
  </si>
  <si>
    <t xml:space="preserve">D</t>
  </si>
  <si>
    <t xml:space="preserve">A-D; D selected</t>
  </si>
  <si>
    <t xml:space="preserve">A</t>
  </si>
  <si>
    <t xml:space="preserve">NO</t>
  </si>
  <si>
    <t xml:space="preserve">separate service fleets duplicate common functions</t>
  </si>
  <si>
    <t xml:space="preserve">Groups</t>
  </si>
  <si>
    <t xml:space="preserve">one-line groups</t>
  </si>
  <si>
    <t xml:space="preserve">B</t>
  </si>
  <si>
    <t xml:space="preserve">central pool has no unique reservations</t>
  </si>
  <si>
    <t xml:space="preserve">Operational sets</t>
  </si>
  <si>
    <t xml:space="preserve">8 per group</t>
  </si>
  <si>
    <t xml:space="preserve">C</t>
  </si>
  <si>
    <t xml:space="preserve">market capacity has no protected baseline</t>
  </si>
  <si>
    <t xml:space="preserve">System bodies</t>
  </si>
  <si>
    <t xml:space="preserve">all fleet accounts</t>
  </si>
  <si>
    <t xml:space="preserve">YES</t>
  </si>
  <si>
    <t xml:space="preserve">warrants preserve complete service and conservation</t>
  </si>
  <si>
    <t xml:space="preserve">Prime movers</t>
  </si>
  <si>
    <t xml:space="preserve">national holdings</t>
  </si>
  <si>
    <t xml:space="preserve">Load frames</t>
  </si>
  <si>
    <t xml:space="preserve">Launch stations</t>
  </si>
  <si>
    <t xml:space="preserve">2 per group</t>
  </si>
  <si>
    <t xml:space="preserve">Arsenals</t>
  </si>
  <si>
    <t xml:space="preserve">national sites</t>
  </si>
  <si>
    <t xml:space="preserve">Arsenal bays</t>
  </si>
  <si>
    <t xml:space="preserve">10 per arsenal</t>
  </si>
  <si>
    <t xml:space="preserve">Public personnel</t>
  </si>
  <si>
    <t xml:space="preserve">all public positions</t>
  </si>
  <si>
    <t xml:space="preserve">Coincident share</t>
  </si>
  <si>
    <t xml:space="preserve">illustrative second portfolio</t>
  </si>
  <si>
    <t xml:space="preserve">Years</t>
  </si>
  <si>
    <t xml:space="preserve">lifecycle horizon</t>
  </si>
  <si>
    <t xml:space="preserve">Technology authority</t>
  </si>
  <si>
    <t xml:space="preserve">USD B</t>
  </si>
  <si>
    <t xml:space="preserve">Parent force capital</t>
  </si>
  <si>
    <t xml:space="preserve">USD B; research boundary</t>
  </si>
  <si>
    <t xml:space="preserve">Family jurisdiction and national quantity ledger</t>
  </si>
  <si>
    <t xml:space="preserve">ID</t>
  </si>
  <si>
    <t xml:space="preserve">Function</t>
  </si>
  <si>
    <t xml:space="preserve">Class</t>
  </si>
  <si>
    <t xml:space="preserve">Set qty</t>
  </si>
  <si>
    <t xml:space="preserve">Unit cost USD M</t>
  </si>
  <si>
    <t xml:space="preserve">Set cost USD M</t>
  </si>
  <si>
    <t xml:space="preserve">Reserve/group</t>
  </si>
  <si>
    <t xml:space="preserve">Reserve cost/group USD B</t>
  </si>
  <si>
    <t xml:space="preserve">Installed in bodies</t>
  </si>
  <si>
    <t xml:space="preserve">National reserve</t>
  </si>
  <si>
    <t xml:space="preserve">National holdings</t>
  </si>
  <si>
    <t xml:space="preserve">Body capital USD B</t>
  </si>
  <si>
    <t xml:space="preserve">Reserve capital USD B</t>
  </si>
  <si>
    <t xml:space="preserve">Total traced capital USD B</t>
  </si>
  <si>
    <t xml:space="preserve">EFF-16</t>
  </si>
  <si>
    <t xml:space="preserve">intervention cells</t>
  </si>
  <si>
    <t xml:space="preserve">distinctive hazard intervention</t>
  </si>
  <si>
    <t xml:space="preserve">WPT-500</t>
  </si>
  <si>
    <t xml:space="preserve">treatment trains</t>
  </si>
  <si>
    <t xml:space="preserve">P</t>
  </si>
  <si>
    <t xml:space="preserve">hazard-water chemistry</t>
  </si>
  <si>
    <t xml:space="preserve">RAW-1000</t>
  </si>
  <si>
    <t xml:space="preserve">raw-water intake paths</t>
  </si>
  <si>
    <t xml:space="preserve">source acquisition</t>
  </si>
  <si>
    <t xml:space="preserve">RTL-100</t>
  </si>
  <si>
    <t xml:space="preserve">trunkline sections</t>
  </si>
  <si>
    <t xml:space="preserve">sanitary high-flow conveyance</t>
  </si>
  <si>
    <t xml:space="preserve">RTR-12</t>
  </si>
  <si>
    <t xml:space="preserve">route and repair robots</t>
  </si>
  <si>
    <t xml:space="preserve">route and pipe restoration</t>
  </si>
  <si>
    <t xml:space="preserve">BUF-100</t>
  </si>
  <si>
    <t xml:space="preserve">ready-storage cells</t>
  </si>
  <si>
    <t xml:space="preserve">ready-water custody</t>
  </si>
  <si>
    <t xml:space="preserve">REC-185</t>
  </si>
  <si>
    <t xml:space="preserve">recovery trains</t>
  </si>
  <si>
    <t xml:space="preserve">source-bearing liquid recovery</t>
  </si>
  <si>
    <t xml:space="preserve">SUR-100</t>
  </si>
  <si>
    <t xml:space="preserve">surge-custody cells</t>
  </si>
  <si>
    <t xml:space="preserve">isolated liquid custody</t>
  </si>
  <si>
    <t xml:space="preserve">ENG-5/7</t>
  </si>
  <si>
    <t xml:space="preserve">energy islands</t>
  </si>
  <si>
    <t xml:space="preserve">N</t>
  </si>
  <si>
    <t xml:space="preserve">deployable energy service</t>
  </si>
  <si>
    <t xml:space="preserve">PWR-20</t>
  </si>
  <si>
    <t xml:space="preserve">field distribution units</t>
  </si>
  <si>
    <t xml:space="preserve">protected field distribution</t>
  </si>
  <si>
    <t xml:space="preserve">LCN-12</t>
  </si>
  <si>
    <t xml:space="preserve">local command nodes</t>
  </si>
  <si>
    <t xml:space="preserve">disconnected local control</t>
  </si>
  <si>
    <t xml:space="preserve">SCN-2</t>
  </si>
  <si>
    <t xml:space="preserve">set coordination nodes</t>
  </si>
  <si>
    <t xml:space="preserve">unlike coordination</t>
  </si>
  <si>
    <t xml:space="preserve">RES-6</t>
  </si>
  <si>
    <t xml:space="preserve">rescue and medical cells</t>
  </si>
  <si>
    <t xml:space="preserve">public rescue and stabilization</t>
  </si>
  <si>
    <t xml:space="preserve">REP-6</t>
  </si>
  <si>
    <t xml:space="preserve">field repair shops</t>
  </si>
  <si>
    <t xml:space="preserve">cross-family field repair</t>
  </si>
  <si>
    <t xml:space="preserve">SPR-24</t>
  </si>
  <si>
    <t xml:space="preserve">serialized repair packs</t>
  </si>
  <si>
    <t xml:space="preserve">governed replacement stock</t>
  </si>
  <si>
    <t xml:space="preserve">HAB-24</t>
  </si>
  <si>
    <t xml:space="preserve">crew and sustainment units</t>
  </si>
  <si>
    <t xml:space="preserve">crew continuity</t>
  </si>
  <si>
    <t xml:space="preserve">TIA-30</t>
  </si>
  <si>
    <t xml:space="preserve">transport-interface adapters</t>
  </si>
  <si>
    <t xml:space="preserve">common carrier interface</t>
  </si>
  <si>
    <t xml:space="preserve">MES-400</t>
  </si>
  <si>
    <t xml:space="preserve">mission-energy stock</t>
  </si>
  <si>
    <t xml:space="preserve">Stock</t>
  </si>
  <si>
    <t xml:space="preserve">carried consumable screen</t>
  </si>
  <si>
    <t xml:space="preserve">DRY-576</t>
  </si>
  <si>
    <t xml:space="preserve">dry-entry water</t>
  </si>
  <si>
    <t xml:space="preserve">entry water reserve</t>
  </si>
  <si>
    <t xml:space="preserve">TES-300</t>
  </si>
  <si>
    <t xml:space="preserve">transit-energy stock</t>
  </si>
  <si>
    <t xml:space="preserve">transit consumable screen</t>
  </si>
  <si>
    <t xml:space="preserve">TOTAL</t>
  </si>
  <si>
    <t xml:space="preserve">Exact group reserve bill</t>
  </si>
  <si>
    <t xml:space="preserve">Units/group</t>
  </si>
  <si>
    <t xml:space="preserve">Cost/group USD B</t>
  </si>
  <si>
    <t xml:space="preserve">National units</t>
  </si>
  <si>
    <t xml:space="preserve">National cost USD B</t>
  </si>
  <si>
    <t xml:space="preserve">Initial capital attribution — jurisdiction is not a saving</t>
  </si>
  <si>
    <t xml:space="preserve">S</t>
  </si>
  <si>
    <t xml:space="preserve">Parent capital element</t>
  </si>
  <si>
    <t xml:space="preserve">D mission</t>
  </si>
  <si>
    <t xml:space="preserve">P portfolio</t>
  </si>
  <si>
    <t xml:space="preserve">N national</t>
  </si>
  <si>
    <t xml:space="preserve">Stocks</t>
  </si>
  <si>
    <t xml:space="preserve">S sovereign</t>
  </si>
  <si>
    <t xml:space="preserve">Total USD B</t>
  </si>
  <si>
    <t xml:space="preserve">256 system bodies</t>
  </si>
  <si>
    <t xml:space="preserve">service movers and frames</t>
  </si>
  <si>
    <t xml:space="preserve">destructive transport</t>
  </si>
  <si>
    <t xml:space="preserve">group module reserves</t>
  </si>
  <si>
    <t xml:space="preserve">arsenal bays</t>
  </si>
  <si>
    <t xml:space="preserve">launch and receiver stations</t>
  </si>
  <si>
    <t xml:space="preserve">production enlargement</t>
  </si>
  <si>
    <t xml:space="preserve">strategic interfaces</t>
  </si>
  <si>
    <t xml:space="preserve">training, evaluation and reference</t>
  </si>
  <si>
    <t xml:space="preserve">command, evidence and configuration</t>
  </si>
  <si>
    <t xml:space="preserve">JURISDICTION TOTAL</t>
  </si>
  <si>
    <t xml:space="preserve">Share of C24</t>
  </si>
  <si>
    <t xml:space="preserve">Value USD B</t>
  </si>
  <si>
    <t xml:space="preserve">Fire Service titled capital plus stocks</t>
  </si>
  <si>
    <t xml:space="preserve">Capital reserved to C24</t>
  </si>
  <si>
    <t xml:space="preserve">Admitted national saving</t>
  </si>
  <si>
    <t xml:space="preserve">National common-force quantity registry</t>
  </si>
  <si>
    <t xml:space="preserve">Group reserve</t>
  </si>
  <si>
    <t xml:space="preserve">Separate national pool</t>
  </si>
  <si>
    <t xml:space="preserve">Readiness rule</t>
  </si>
  <si>
    <t xml:space="preserve">Unique warrant; no second readiness claim</t>
  </si>
  <si>
    <t xml:space="preserve">PM-30</t>
  </si>
  <si>
    <t xml:space="preserve">Unique warrant; packet and crew required</t>
  </si>
  <si>
    <t xml:space="preserve">LF-30</t>
  </si>
  <si>
    <t xml:space="preserve">Unique warrant; accepted restraint state</t>
  </si>
  <si>
    <t xml:space="preserve">Service Availability Warrant schema</t>
  </si>
  <si>
    <t xml:space="preserve">Field</t>
  </si>
  <si>
    <t xml:space="preserve">Required content</t>
  </si>
  <si>
    <t xml:space="preserve">Omission effect</t>
  </si>
  <si>
    <t xml:space="preserve">Authority</t>
  </si>
  <si>
    <t xml:space="preserve">Machine required</t>
  </si>
  <si>
    <t xml:space="preserve">warrant identity</t>
  </si>
  <si>
    <t xml:space="preserve">immutable public identifier</t>
  </si>
  <si>
    <t xml:space="preserve">no valid obligation record</t>
  </si>
  <si>
    <t xml:space="preserve">Configuration</t>
  </si>
  <si>
    <t xml:space="preserve">service obligation</t>
  </si>
  <si>
    <t xml:space="preserve">population, service, time, duration, damage</t>
  </si>
  <si>
    <t xml:space="preserve">no measurable claim</t>
  </si>
  <si>
    <t xml:space="preserve">Civil authority</t>
  </si>
  <si>
    <t xml:space="preserve">claimant</t>
  </si>
  <si>
    <t xml:space="preserve">readiness-bearing formation</t>
  </si>
  <si>
    <t xml:space="preserve">no accountable holder</t>
  </si>
  <si>
    <t xml:space="preserve">Mission service</t>
  </si>
  <si>
    <t xml:space="preserve">article serials</t>
  </si>
  <si>
    <t xml:space="preserve">exact serials or accepted substitution set</t>
  </si>
  <si>
    <t xml:space="preserve">double counting possible</t>
  </si>
  <si>
    <t xml:space="preserve">Common Force</t>
  </si>
  <si>
    <t xml:space="preserve">family/configuration</t>
  </si>
  <si>
    <t xml:space="preserve">family, root and baseline</t>
  </si>
  <si>
    <t xml:space="preserve">unsafe substitution</t>
  </si>
  <si>
    <t xml:space="preserve">Technical authority</t>
  </si>
  <si>
    <t xml:space="preserve">quantity/capacity</t>
  </si>
  <si>
    <t xml:space="preserve">units and service rate</t>
  </si>
  <si>
    <t xml:space="preserve">inventory cannot reconcile</t>
  </si>
  <si>
    <t xml:space="preserve">reservation interval</t>
  </si>
  <si>
    <t xml:space="preserve">start, irrevocability and release</t>
  </si>
  <si>
    <t xml:space="preserve">overlap cannot be tested</t>
  </si>
  <si>
    <t xml:space="preserve">Allocation Center</t>
  </si>
  <si>
    <t xml:space="preserve">assignment location</t>
  </si>
  <si>
    <t xml:space="preserve">launch, arsenal or receiver</t>
  </si>
  <si>
    <t xml:space="preserve">launch clock unproved</t>
  </si>
  <si>
    <t xml:space="preserve">launch ceiling</t>
  </si>
  <si>
    <t xml:space="preserve">tested packet assembly maximum</t>
  </si>
  <si>
    <t xml:space="preserve">service time unproved</t>
  </si>
  <si>
    <t xml:space="preserve">crew warrant</t>
  </si>
  <si>
    <t xml:space="preserve">qualified watches and relief</t>
  </si>
  <si>
    <t xml:space="preserve">article not operable</t>
  </si>
  <si>
    <t xml:space="preserve">Generating command</t>
  </si>
  <si>
    <t xml:space="preserve">transport warrant</t>
  </si>
  <si>
    <t xml:space="preserve">movers, frames, route and custody</t>
  </si>
  <si>
    <t xml:space="preserve">packet incomplete</t>
  </si>
  <si>
    <t xml:space="preserve">Mobility Command</t>
  </si>
  <si>
    <t xml:space="preserve">spare/repair warrant</t>
  </si>
  <si>
    <t xml:space="preserve">stock, bay and replacement priority</t>
  </si>
  <si>
    <t xml:space="preserve">return chain incomplete</t>
  </si>
  <si>
    <t xml:space="preserve">Repair Command</t>
  </si>
  <si>
    <t xml:space="preserve">regeneration warrant</t>
  </si>
  <si>
    <t xml:space="preserve">site, slot and return ceiling</t>
  </si>
  <si>
    <t xml:space="preserve">future service overcounted</t>
  </si>
  <si>
    <t xml:space="preserve">Regeneration Command</t>
  </si>
  <si>
    <t xml:space="preserve">substitution law</t>
  </si>
  <si>
    <t xml:space="preserve">accepted set and prohibitions</t>
  </si>
  <si>
    <t xml:space="preserve">generic capacity substituted</t>
  </si>
  <si>
    <t xml:space="preserve">priority class</t>
  </si>
  <si>
    <t xml:space="preserve">conflict rule</t>
  </si>
  <si>
    <t xml:space="preserve">arbitrary displacement</t>
  </si>
  <si>
    <t xml:space="preserve">root requirement</t>
  </si>
  <si>
    <t xml:space="preserve">unlike ancestry and survival rule</t>
  </si>
  <si>
    <t xml:space="preserve">common cause hidden</t>
  </si>
  <si>
    <t xml:space="preserve">offline authority</t>
  </si>
  <si>
    <t xml:space="preserve">local authentication and safe release</t>
  </si>
  <si>
    <t xml:space="preserve">network loss disables action</t>
  </si>
  <si>
    <t xml:space="preserve">evidence state</t>
  </si>
  <si>
    <t xml:space="preserve">trial, maintenance and discrepancy state</t>
  </si>
  <si>
    <t xml:space="preserve">claim not current</t>
  </si>
  <si>
    <t xml:space="preserve">Evidence authority</t>
  </si>
  <si>
    <t xml:space="preserve">financial charge</t>
  </si>
  <si>
    <t xml:space="preserve">capital and readiness attribution</t>
  </si>
  <si>
    <t xml:space="preserve">cost counted twice</t>
  </si>
  <si>
    <t xml:space="preserve">Cost authority</t>
  </si>
  <si>
    <t xml:space="preserve">release signatures</t>
  </si>
  <si>
    <t xml:space="preserve">service, common, configuration, evidence</t>
  </si>
  <si>
    <t xml:space="preserve">no lawful issue</t>
  </si>
  <si>
    <t xml:space="preserve">Four authorities</t>
  </si>
  <si>
    <t xml:space="preserve">Warrant state machine</t>
  </si>
  <si>
    <t xml:space="preserve">State</t>
  </si>
  <si>
    <t xml:space="preserve">Meaning</t>
  </si>
  <si>
    <t xml:space="preserve">Prospective readiness</t>
  </si>
  <si>
    <t xml:space="preserve">Active obligation</t>
  </si>
  <si>
    <t xml:space="preserve">Recall</t>
  </si>
  <si>
    <t xml:space="preserve">Allowed next</t>
  </si>
  <si>
    <t xml:space="preserve">Denial rule</t>
  </si>
  <si>
    <t xml:space="preserve">W0</t>
  </si>
  <si>
    <t xml:space="preserve">candidate</t>
  </si>
  <si>
    <t xml:space="preserve">n.a.</t>
  </si>
  <si>
    <t xml:space="preserve">W1</t>
  </si>
  <si>
    <t xml:space="preserve">no serial commitment</t>
  </si>
  <si>
    <t xml:space="preserve">reserved</t>
  </si>
  <si>
    <t xml:space="preserve">before seal</t>
  </si>
  <si>
    <t xml:space="preserve">W2,W7</t>
  </si>
  <si>
    <t xml:space="preserve">conditional only; packet incomplete</t>
  </si>
  <si>
    <t xml:space="preserve">W2</t>
  </si>
  <si>
    <t xml:space="preserve">packet assigned</t>
  </si>
  <si>
    <t xml:space="preserve">before seal under rule</t>
  </si>
  <si>
    <t xml:space="preserve">W3,W7</t>
  </si>
  <si>
    <t xml:space="preserve">complete packet required</t>
  </si>
  <si>
    <t xml:space="preserve">W3</t>
  </si>
  <si>
    <t xml:space="preserve">alert sealed</t>
  </si>
  <si>
    <t xml:space="preserve">W4,W7</t>
  </si>
  <si>
    <t xml:space="preserve">substitutions closed</t>
  </si>
  <si>
    <t xml:space="preserve">W4</t>
  </si>
  <si>
    <t xml:space="preserve">committed transit</t>
  </si>
  <si>
    <t xml:space="preserve">W5,W6,W7</t>
  </si>
  <si>
    <t xml:space="preserve">cannot support second future claim</t>
  </si>
  <si>
    <t xml:space="preserve">W5</t>
  </si>
  <si>
    <t xml:space="preserve">operating</t>
  </si>
  <si>
    <t xml:space="preserve">W6,W7</t>
  </si>
  <si>
    <t xml:space="preserve">active service only</t>
  </si>
  <si>
    <t xml:space="preserve">W6</t>
  </si>
  <si>
    <t xml:space="preserve">regenerating</t>
  </si>
  <si>
    <t xml:space="preserve">no credit before accepted return</t>
  </si>
  <si>
    <t xml:space="preserve">W7</t>
  </si>
  <si>
    <t xml:space="preserve">quarantine/casualty</t>
  </si>
  <si>
    <t xml:space="preserve">W6,W8</t>
  </si>
  <si>
    <t xml:space="preserve">discrepancy open</t>
  </si>
  <si>
    <t xml:space="preserve">W8</t>
  </si>
  <si>
    <t xml:space="preserve">reference/destructive</t>
  </si>
  <si>
    <t xml:space="preserve">NEVER</t>
  </si>
  <si>
    <t xml:space="preserve">outside operational credit</t>
  </si>
  <si>
    <t xml:space="preserve">Compound demand worlds required for RBX-1</t>
  </si>
  <si>
    <t xml:space="preserve">World</t>
  </si>
  <si>
    <t xml:space="preserve">Fire</t>
  </si>
  <si>
    <t xml:space="preserve">Flood/water</t>
  </si>
  <si>
    <t xml:space="preserve">Medical</t>
  </si>
  <si>
    <t xml:space="preserve">Power/thermal</t>
  </si>
  <si>
    <t xml:space="preserve">Access/logistics</t>
  </si>
  <si>
    <t xml:space="preserve">Required test</t>
  </si>
  <si>
    <t xml:space="preserve">CW0</t>
  </si>
  <si>
    <t xml:space="preserve">readiness</t>
  </si>
  <si>
    <t xml:space="preserve">unique warrants; training excluded</t>
  </si>
  <si>
    <t xml:space="preserve">CW1</t>
  </si>
  <si>
    <t xml:space="preserve">national campaign</t>
  </si>
  <si>
    <t xml:space="preserve">regional</t>
  </si>
  <si>
    <t xml:space="preserve">support</t>
  </si>
  <si>
    <t xml:space="preserve">heat failure</t>
  </si>
  <si>
    <t xml:space="preserve">high</t>
  </si>
  <si>
    <t xml:space="preserve">energy reservations coexist</t>
  </si>
  <si>
    <t xml:space="preserve">CW2</t>
  </si>
  <si>
    <t xml:space="preserve">two-coast storm</t>
  </si>
  <si>
    <t xml:space="preserve">evacuation</t>
  </si>
  <si>
    <t xml:space="preserve">regional loss</t>
  </si>
  <si>
    <t xml:space="preserve">mobility, treatment and rescue compete</t>
  </si>
  <si>
    <t xml:space="preserve">CW3</t>
  </si>
  <si>
    <t xml:space="preserve">urban fire</t>
  </si>
  <si>
    <t xml:space="preserve">water loss</t>
  </si>
  <si>
    <t xml:space="preserve">hospital loss</t>
  </si>
  <si>
    <t xml:space="preserve">grid loss</t>
  </si>
  <si>
    <t xml:space="preserve">earthquake denial</t>
  </si>
  <si>
    <t xml:space="preserve">all common families concurrent</t>
  </si>
  <si>
    <t xml:space="preserve">CW4</t>
  </si>
  <si>
    <t xml:space="preserve">domestic compound</t>
  </si>
  <si>
    <t xml:space="preserve">invited mission committed</t>
  </si>
  <si>
    <t xml:space="preserve">international capacity nonrecallable</t>
  </si>
  <si>
    <t xml:space="preserve">CW5</t>
  </si>
  <si>
    <t xml:space="preserve">CW3 + root loss</t>
  </si>
  <si>
    <t xml:space="preserve">surviving root closes retained claims</t>
  </si>
  <si>
    <t xml:space="preserve">CW6</t>
  </si>
  <si>
    <t xml:space="preserve">regeneration peak</t>
  </si>
  <si>
    <t xml:space="preserve">arsenal cell denied</t>
  </si>
  <si>
    <t xml:space="preserve">queue and reserve remain within capacity</t>
  </si>
  <si>
    <t xml:space="preserve">CW7</t>
  </si>
  <si>
    <t xml:space="preserve">offline</t>
  </si>
  <si>
    <t xml:space="preserve">local warrant and serial authority</t>
  </si>
  <si>
    <t xml:space="preserve">Common-capacity compiler — illustrative coincidence only</t>
  </si>
  <si>
    <t xml:space="preserve">Class N coincidence sensitivity for one hypothetical identical second portfolio</t>
  </si>
  <si>
    <t xml:space="preserve">Second portfolio standalone USD B</t>
  </si>
  <si>
    <t xml:space="preserve">Incremental common capacity USD B</t>
  </si>
  <si>
    <t xml:space="preserve">Conditional duplicate capital avoided USD B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</si>
  <si>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</si>
  <si>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</si>
  <si>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</si>
  <si>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</si>
  <si>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</si>
  <si>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Selected live sensitivity</t>
  </si>
  <si>
    <t xml:space="preserve">Unit</t>
  </si>
  <si>
    <t xml:space="preserve">Status</t>
  </si>
  <si>
    <t xml:space="preserve">percent</t>
  </si>
  <si>
    <t xml:space="preserve">INPUT</t>
  </si>
  <si>
    <t xml:space="preserve">diagnostic only</t>
  </si>
  <si>
    <t xml:space="preserve">Incremental common capacity</t>
  </si>
  <si>
    <t xml:space="preserve">CALC</t>
  </si>
  <si>
    <t xml:space="preserve">not an estimate</t>
  </si>
  <si>
    <t xml:space="preserve">Conditional avoided duplicate</t>
  </si>
  <si>
    <t xml:space="preserve">UNPROVED</t>
  </si>
  <si>
    <t xml:space="preserve">not admitted</t>
  </si>
  <si>
    <t xml:space="preserve">Conservation equation</t>
  </si>
  <si>
    <t xml:space="preserve">Installed accepted capacity</t>
  </si>
  <si>
    <t xml:space="preserve">I_f</t>
  </si>
  <si>
    <t xml:space="preserve">Unique reserved demand</t>
  </si>
  <si>
    <t xml:space="preserve">max_w sum_p R_pfw</t>
  </si>
  <si>
    <t xml:space="preserve">Overhaul occupancy</t>
  </si>
  <si>
    <t xml:space="preserve">O_fw</t>
  </si>
  <si>
    <t xml:space="preserve">Quarantine/casualty exclusion</t>
  </si>
  <si>
    <t xml:space="preserve">Q_fw</t>
  </si>
  <si>
    <t xml:space="preserve">Regeneration/uncertainty margin</t>
  </si>
  <si>
    <t xml:space="preserve">G_fw</t>
  </si>
  <si>
    <t xml:space="preserve">I_f &gt;= R + O + Q + G</t>
  </si>
  <si>
    <t xml:space="preserve">Admitted cross-portfolio saving</t>
  </si>
  <si>
    <t xml:space="preserve">0</t>
  </si>
  <si>
    <t xml:space="preserve">Allocation conflict and recall constitution</t>
  </si>
  <si>
    <t xml:space="preserve">Tier</t>
  </si>
  <si>
    <t xml:space="preserve">Condition</t>
  </si>
  <si>
    <t xml:space="preserve">Allocator</t>
  </si>
  <si>
    <t xml:space="preserve">Required public record</t>
  </si>
  <si>
    <t xml:space="preserve">Can displace</t>
  </si>
  <si>
    <t xml:space="preserve">Hard prohibition</t>
  </si>
  <si>
    <t xml:space="preserve">T0</t>
  </si>
  <si>
    <t xml:space="preserve">active public service</t>
  </si>
  <si>
    <t xml:space="preserve">none</t>
  </si>
  <si>
    <t xml:space="preserve">active population and service</t>
  </si>
  <si>
    <t xml:space="preserve">no recall</t>
  </si>
  <si>
    <t xml:space="preserve">T1</t>
  </si>
  <si>
    <t xml:space="preserve">committed transit / sealed onset</t>
  </si>
  <si>
    <t xml:space="preserve">committed obligation</t>
  </si>
  <si>
    <t xml:space="preserve">T2</t>
  </si>
  <si>
    <t xml:space="preserve">domestic protected onset reserve</t>
  </si>
  <si>
    <t xml:space="preserve">exception only</t>
  </si>
  <si>
    <t xml:space="preserve">new uncovered obligation</t>
  </si>
  <si>
    <t xml:space="preserve">T3-T5</t>
  </si>
  <si>
    <t xml:space="preserve">cannot hide uncovered interval</t>
  </si>
  <si>
    <t xml:space="preserve">T3</t>
  </si>
  <si>
    <t xml:space="preserve">compound domestic reserve</t>
  </si>
  <si>
    <t xml:space="preserve">YES before seal</t>
  </si>
  <si>
    <t xml:space="preserve">Allocation board</t>
  </si>
  <si>
    <t xml:space="preserve">denial consequence</t>
  </si>
  <si>
    <t xml:space="preserve">T4-T5</t>
  </si>
  <si>
    <t xml:space="preserve">root and launch floors remain</t>
  </si>
  <si>
    <t xml:space="preserve">T4</t>
  </si>
  <si>
    <t xml:space="preserve">invited international, uncommitted</t>
  </si>
  <si>
    <t xml:space="preserve">treaty-dependent</t>
  </si>
  <si>
    <t xml:space="preserve">host and cancellation terms</t>
  </si>
  <si>
    <t xml:space="preserve">T5</t>
  </si>
  <si>
    <t xml:space="preserve">committed mission becomes T1</t>
  </si>
  <si>
    <t xml:space="preserve">training / exercise / trial</t>
  </si>
  <si>
    <t xml:space="preserve">schedule consequence</t>
  </si>
  <si>
    <t xml:space="preserve">evidence already created is retained</t>
  </si>
  <si>
    <t xml:space="preserve">Allocation record minimum</t>
  </si>
  <si>
    <t xml:space="preserve">1</t>
  </si>
  <si>
    <t xml:space="preserve">obligations in conflict</t>
  </si>
  <si>
    <t xml:space="preserve">2</t>
  </si>
  <si>
    <t xml:space="preserve">populations and service bundles</t>
  </si>
  <si>
    <t xml:space="preserve">3</t>
  </si>
  <si>
    <t xml:space="preserve">time to irreversible harm</t>
  </si>
  <si>
    <t xml:space="preserve">4</t>
  </si>
  <si>
    <t xml:space="preserve">accepted substitutions and local capacity</t>
  </si>
  <si>
    <t xml:space="preserve">5</t>
  </si>
  <si>
    <t xml:space="preserve">transport and regeneration consequences</t>
  </si>
  <si>
    <t xml:space="preserve">6</t>
  </si>
  <si>
    <t xml:space="preserve">uncertainty and dissent</t>
  </si>
  <si>
    <t xml:space="preserve">7</t>
  </si>
  <si>
    <t xml:space="preserve">selected allocation</t>
  </si>
  <si>
    <t xml:space="preserve">8</t>
  </si>
  <si>
    <t xml:space="preserve">obligation left uncovered</t>
  </si>
  <si>
    <t xml:space="preserve">9</t>
  </si>
  <si>
    <t xml:space="preserve">capacity restoration action</t>
  </si>
  <si>
    <t xml:space="preserve">Conserved public workforce by assignment</t>
  </si>
  <si>
    <t xml:space="preserve">Assignment</t>
  </si>
  <si>
    <t xml:space="preserve">Base positions</t>
  </si>
  <si>
    <t xml:space="preserve">Reserve rate</t>
  </si>
  <si>
    <t xml:space="preserve">Reserve positions</t>
  </si>
  <si>
    <t xml:space="preserve">Industrial positions</t>
  </si>
  <si>
    <t xml:space="preserve">Total positions</t>
  </si>
  <si>
    <t xml:space="preserve">fire formations</t>
  </si>
  <si>
    <t xml:space="preserve">portfolio arsenals</t>
  </si>
  <si>
    <t xml:space="preserve">national common nodes</t>
  </si>
  <si>
    <t xml:space="preserve">sovereign technical estate</t>
  </si>
  <si>
    <t xml:space="preserve">public industry not yet occupation-split</t>
  </si>
  <si>
    <t xml:space="preserve">Calculated</t>
  </si>
  <si>
    <t xml:space="preserve">Parent</t>
  </si>
  <si>
    <t xml:space="preserve">Difference</t>
  </si>
  <si>
    <t xml:space="preserve">operating establishment</t>
  </si>
  <si>
    <t xml:space="preserve">before reserve and industry</t>
  </si>
  <si>
    <t xml:space="preserve">qualified reserve</t>
  </si>
  <si>
    <t xml:space="preserve">15% of operating establishment</t>
  </si>
  <si>
    <t xml:space="preserve">all public personnel</t>
  </si>
  <si>
    <t xml:space="preserve">capital reclassification does not remove labor</t>
  </si>
  <si>
    <t xml:space="preserve">Mature annual support — conserved parent account</t>
  </si>
  <si>
    <t xml:space="preserve">Element</t>
  </si>
  <si>
    <t xml:space="preserve">Basis</t>
  </si>
  <si>
    <t xml:space="preserve">USD B/year</t>
  </si>
  <si>
    <t xml:space="preserve">Attribution status</t>
  </si>
  <si>
    <t xml:space="preserve">public personnel</t>
  </si>
  <si>
    <t xml:space="preserve">429,440 × USD 250,000</t>
  </si>
  <si>
    <t xml:space="preserve">not occupation-split</t>
  </si>
  <si>
    <t xml:space="preserve">system-body readiness</t>
  </si>
  <si>
    <t xml:space="preserve">3% of body capital</t>
  </si>
  <si>
    <t xml:space="preserve">formula</t>
  </si>
  <si>
    <t xml:space="preserve">transport readiness</t>
  </si>
  <si>
    <t xml:space="preserve">4% of mover/frame capital</t>
  </si>
  <si>
    <t xml:space="preserve">fixed-estate operations</t>
  </si>
  <si>
    <t xml:space="preserve">3% of USD 1.089T</t>
  </si>
  <si>
    <t xml:space="preserve">mixed</t>
  </si>
  <si>
    <t xml:space="preserve">exercises and mission consumables</t>
  </si>
  <si>
    <t xml:space="preserve">24 groups × USD 1.5B</t>
  </si>
  <si>
    <t xml:space="preserve">mission/portfolio</t>
  </si>
  <si>
    <t xml:space="preserve">two-root industrial retainers</t>
  </si>
  <si>
    <t xml:space="preserve">parent allowance</t>
  </si>
  <si>
    <t xml:space="preserve">standards, evidence and research</t>
  </si>
  <si>
    <t xml:space="preserve">international interfaces</t>
  </si>
  <si>
    <t xml:space="preserve">Parent total</t>
  </si>
  <si>
    <t xml:space="preserve">Twenty-five-year public cost — conserved parent account</t>
  </si>
  <si>
    <t xml:space="preserve">Jurisdiction note</t>
  </si>
  <si>
    <t xml:space="preserve">initial capital</t>
  </si>
  <si>
    <t xml:space="preserve">Capital_Attrib total</t>
  </si>
  <si>
    <t xml:space="preserve">five ledgers</t>
  </si>
  <si>
    <t xml:space="preserve">technology authority</t>
  </si>
  <si>
    <t xml:space="preserve">Control input</t>
  </si>
  <si>
    <t xml:space="preserve">P/N/S allocation</t>
  </si>
  <si>
    <t xml:space="preserve">25 years mature support</t>
  </si>
  <si>
    <t xml:space="preserve">Annual_Support × years</t>
  </si>
  <si>
    <t xml:space="preserve">two mover replacement cycles</t>
  </si>
  <si>
    <t xml:space="preserve">parent</t>
  </si>
  <si>
    <t xml:space="preserve">one frame replacement cycle</t>
  </si>
  <si>
    <t xml:space="preserve">system midlife modernization</t>
  </si>
  <si>
    <t xml:space="preserve">20% body capital</t>
  </si>
  <si>
    <t xml:space="preserve">D/P/N/stocks</t>
  </si>
  <si>
    <t xml:space="preserve">facility recapitalization</t>
  </si>
  <si>
    <t xml:space="preserve">15% fixed estate</t>
  </si>
  <si>
    <t xml:space="preserve">D/P/N/S</t>
  </si>
  <si>
    <t xml:space="preserve">Inherited technology authority by common-force jurisdiction</t>
  </si>
  <si>
    <t xml:space="preserve">Campaign</t>
  </si>
  <si>
    <t xml:space="preserve">Required change</t>
  </si>
  <si>
    <t xml:space="preserve">autonomous logistics and load exchange</t>
  </si>
  <si>
    <t xml:space="preserve">fewer exposed driving hours; verified custody</t>
  </si>
  <si>
    <t xml:space="preserve">arsenal process intensification</t>
  </si>
  <si>
    <t xml:space="preserve">faster accepted regeneration</t>
  </si>
  <si>
    <t xml:space="preserve">public configuration and attestation</t>
  </si>
  <si>
    <t xml:space="preserve">machine-verifiable identity</t>
  </si>
  <si>
    <t xml:space="preserve">independent water, energy and thermal systems</t>
  </si>
  <si>
    <t xml:space="preserve">reduced damaged-utility dependence</t>
  </si>
  <si>
    <t xml:space="preserve">advanced materials, joining and field repair</t>
  </si>
  <si>
    <t xml:space="preserve">certified local restoration</t>
  </si>
  <si>
    <t xml:space="preserve">receiver-interface systems</t>
  </si>
  <si>
    <t xml:space="preserve">prepared civilian service nodes</t>
  </si>
  <si>
    <t xml:space="preserve">synthetic training and simulation</t>
  </si>
  <si>
    <t xml:space="preserve">rare-task qualification</t>
  </si>
  <si>
    <t xml:space="preserve">metrology, safety and forensic automation</t>
  </si>
  <si>
    <t xml:space="preserve">independent observation</t>
  </si>
  <si>
    <t xml:space="preserve">Rival common-force architectures</t>
  </si>
  <si>
    <t xml:space="preserve">Architecture</t>
  </si>
  <si>
    <t xml:space="preserve">Exclusive warrant</t>
  </si>
  <si>
    <t xml:space="preserve">Co-present packet</t>
  </si>
  <si>
    <t xml:space="preserve">Root law</t>
  </si>
  <si>
    <t xml:space="preserve">Public technical estate</t>
  </si>
  <si>
    <t xml:space="preserve">Capital conservation</t>
  </si>
  <si>
    <t xml:space="preserve">Disposition</t>
  </si>
  <si>
    <t xml:space="preserve">vertically integrated services</t>
  </si>
  <si>
    <t xml:space="preserve">REJECT</t>
  </si>
  <si>
    <t xml:space="preserve">administrative central pool</t>
  </si>
  <si>
    <t xml:space="preserve">market mobilization</t>
  </si>
  <si>
    <t xml:space="preserve">assured common force</t>
  </si>
  <si>
    <t xml:space="preserve">SELECT</t>
  </si>
  <si>
    <t xml:space="preserve">Decision rule</t>
  </si>
  <si>
    <t xml:space="preserve">All five conjuncts must equal 1</t>
  </si>
  <si>
    <t xml:space="preserve">Selected case</t>
  </si>
  <si>
    <t xml:space="preserve">Eligible score</t>
  </si>
  <si>
    <t xml:space="preserve">Required score</t>
  </si>
  <si>
    <t xml:space="preserve">Twelve-year common-force transition</t>
  </si>
  <si>
    <t xml:space="preserve">Phase</t>
  </si>
  <si>
    <t xml:space="preserve">Start year</t>
  </si>
  <si>
    <t xml:space="preserve">End year</t>
  </si>
  <si>
    <t xml:space="preserve">Duration</t>
  </si>
  <si>
    <t xml:space="preserve">Required output</t>
  </si>
  <si>
    <t xml:space="preserve">Readiness credit</t>
  </si>
  <si>
    <t xml:space="preserve">Gate</t>
  </si>
  <si>
    <t xml:space="preserve">constitutional design</t>
  </si>
  <si>
    <t xml:space="preserve">warrant law and obligation ledger</t>
  </si>
  <si>
    <t xml:space="preserve">planning</t>
  </si>
  <si>
    <t xml:space="preserve">common interface competition</t>
  </si>
  <si>
    <t xml:space="preserve">rival transport, energy, command and repair roots</t>
  </si>
  <si>
    <t xml:space="preserve">physical</t>
  </si>
  <si>
    <t xml:space="preserve">cross-portfolio article trials</t>
  </si>
  <si>
    <t xml:space="preserve">equivalence and non-equivalence evidence</t>
  </si>
  <si>
    <t xml:space="preserve">multi-portfolio compiler trials</t>
  </si>
  <si>
    <t xml:space="preserve">article-level compilation</t>
  </si>
  <si>
    <t xml:space="preserve">first warranted formations</t>
  </si>
  <si>
    <t xml:space="preserve">complete groups using common-titled packets</t>
  </si>
  <si>
    <t xml:space="preserve">release</t>
  </si>
  <si>
    <t xml:space="preserve">root/network loss exercises</t>
  </si>
  <si>
    <t xml:space="preserve">continuing service under denial</t>
  </si>
  <si>
    <t xml:space="preserve">national warrant conversion</t>
  </si>
  <si>
    <t xml:space="preserve">all claims tied to unique serials and slots</t>
  </si>
  <si>
    <t xml:space="preserve">Gate register</t>
  </si>
  <si>
    <t xml:space="preserve">Gate ID</t>
  </si>
  <si>
    <t xml:space="preserve">Type</t>
  </si>
  <si>
    <t xml:space="preserve">Proposition</t>
  </si>
  <si>
    <t xml:space="preserve">Evidence basis</t>
  </si>
  <si>
    <t xml:space="preserve">Exterior implication</t>
  </si>
  <si>
    <t xml:space="preserve">P01</t>
  </si>
  <si>
    <t xml:space="preserve">common title requires exclusive reservation</t>
  </si>
  <si>
    <t xml:space="preserve">CLOSED</t>
  </si>
  <si>
    <t xml:space="preserve">RBW-1 model and constitution</t>
  </si>
  <si>
    <t xml:space="preserve">P02</t>
  </si>
  <si>
    <t xml:space="preserve">nineteen families classified</t>
  </si>
  <si>
    <t xml:space="preserve">P03</t>
  </si>
  <si>
    <t xml:space="preserve">body and reserve costs reconcile</t>
  </si>
  <si>
    <t xml:space="preserve">P04</t>
  </si>
  <si>
    <t xml:space="preserve">attribution separated from savings</t>
  </si>
  <si>
    <t xml:space="preserve">P05</t>
  </si>
  <si>
    <t xml:space="preserve">one article-one obligation law</t>
  </si>
  <si>
    <t xml:space="preserve">P06</t>
  </si>
  <si>
    <t xml:space="preserve">complete warrant is conjunctive</t>
  </si>
  <si>
    <t xml:space="preserve">P07</t>
  </si>
  <si>
    <t xml:space="preserve">priority uses service consequence</t>
  </si>
  <si>
    <t xml:space="preserve">P08</t>
  </si>
  <si>
    <t xml:space="preserve">committed articles nonrecallable</t>
  </si>
  <si>
    <t xml:space="preserve">P09</t>
  </si>
  <si>
    <t xml:space="preserve">sovereign estate excluded</t>
  </si>
  <si>
    <t xml:space="preserve">P10</t>
  </si>
  <si>
    <t xml:space="preserve">joint worlds required for savings</t>
  </si>
  <si>
    <t xml:space="preserve">X01</t>
  </si>
  <si>
    <t xml:space="preserve">mission-variant equivalence</t>
  </si>
  <si>
    <t xml:space="preserve">OPEN</t>
  </si>
  <si>
    <t xml:space="preserve">physical campaign absent</t>
  </si>
  <si>
    <t xml:space="preserve">rendering blocked</t>
  </si>
  <si>
    <t xml:space="preserve">X02</t>
  </si>
  <si>
    <t xml:space="preserve">cross-portfolio crew qualification</t>
  </si>
  <si>
    <t xml:space="preserve">X03</t>
  </si>
  <si>
    <t xml:space="preserve">self-handling load exchange</t>
  </si>
  <si>
    <t xml:space="preserve">X04</t>
  </si>
  <si>
    <t xml:space="preserve">common power interfaces</t>
  </si>
  <si>
    <t xml:space="preserve">X05</t>
  </si>
  <si>
    <t xml:space="preserve">offline warrant authentication</t>
  </si>
  <si>
    <t xml:space="preserve">X06</t>
  </si>
  <si>
    <t xml:space="preserve">cross-family regeneration</t>
  </si>
  <si>
    <t xml:space="preserve">X07</t>
  </si>
  <si>
    <t xml:space="preserve">root independence</t>
  </si>
  <si>
    <t xml:space="preserve">X08</t>
  </si>
  <si>
    <t xml:space="preserve">compound launch clocks</t>
  </si>
  <si>
    <t xml:space="preserve">X09</t>
  </si>
  <si>
    <t xml:space="preserve">receiver interoperability</t>
  </si>
  <si>
    <t xml:space="preserve">X10</t>
  </si>
  <si>
    <t xml:space="preserve">simultaneous public service</t>
  </si>
  <si>
    <t xml:space="preserve">R01</t>
  </si>
  <si>
    <t xml:space="preserve">asset reclassification</t>
  </si>
  <si>
    <t xml:space="preserve">BLOCKED</t>
  </si>
  <si>
    <t xml:space="preserve">parent authority withheld</t>
  </si>
  <si>
    <t xml:space="preserve">R02</t>
  </si>
  <si>
    <t xml:space="preserve">C24 quantity reduction</t>
  </si>
  <si>
    <t xml:space="preserve">R03</t>
  </si>
  <si>
    <t xml:space="preserve">national saving booking</t>
  </si>
  <si>
    <t xml:space="preserve">R04</t>
  </si>
  <si>
    <t xml:space="preserve">site selection</t>
  </si>
  <si>
    <t xml:space="preserve">R05</t>
  </si>
  <si>
    <t xml:space="preserve">supplier solicitation</t>
  </si>
  <si>
    <t xml:space="preserve">R06</t>
  </si>
  <si>
    <t xml:space="preserve">production release</t>
  </si>
  <si>
    <t xml:space="preserve">R07</t>
  </si>
  <si>
    <t xml:space="preserve">operational fielding</t>
  </si>
  <si>
    <t xml:space="preserve">R08</t>
  </si>
  <si>
    <t xml:space="preserve">export release</t>
  </si>
  <si>
    <t xml:space="preserve">R09</t>
  </si>
  <si>
    <t xml:space="preserve">exterior rendering</t>
  </si>
  <si>
    <t xml:space="preserve">Terminal audit and denial checks</t>
  </si>
  <si>
    <t xml:space="preserve">Check ID</t>
  </si>
  <si>
    <t xml:space="preserve">Category</t>
  </si>
  <si>
    <t xml:space="preserve">Expected</t>
  </si>
  <si>
    <t xml:space="preserve">Actual</t>
  </si>
  <si>
    <t xml:space="preserve">Difference / rule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</si>
  <si>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</si>
  <si>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</si>
  <si>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</si>
  <si>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</si>
  <si>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</si>
  <si>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</si>
  <si>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</si>
  <si>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</si>
  <si>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</si>
  <si>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</si>
  <si>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family</t>
  </si>
  <si>
    <t xml:space="preserve">A11</t>
  </si>
  <si>
    <t xml:space="preserve">reserve</t>
  </si>
  <si>
    <t xml:space="preserve">A12</t>
  </si>
  <si>
    <t xml:space="preserve">A13</t>
  </si>
  <si>
    <t xml:space="preserve">capital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</si>
  <si>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</si>
  <si>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</si>
  <si>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</si>
  <si>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</si>
  <si>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</si>
  <si>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</si>
  <si>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</si>
  <si>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</si>
  <si>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</si>
  <si>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</si>
  <si>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</si>
  <si>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</si>
  <si>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</si>
  <si>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</si>
  <si>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</si>
  <si>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</si>
  <si>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shares</t>
  </si>
  <si>
    <t xml:space="preserve">A30</t>
  </si>
  <si>
    <t xml:space="preserve">technology</t>
  </si>
  <si>
    <t xml:space="preserve">A31</t>
  </si>
  <si>
    <t xml:space="preserve">annual</t>
  </si>
  <si>
    <t xml:space="preserve">A32</t>
  </si>
  <si>
    <t xml:space="preserve">lifecycle</t>
  </si>
  <si>
    <t xml:space="preserve">A33</t>
  </si>
  <si>
    <t xml:space="preserve">workforce</t>
  </si>
  <si>
    <t xml:space="preserve">A34</t>
  </si>
  <si>
    <t xml:space="preserve">A35</t>
  </si>
  <si>
    <t xml:space="preserve">A36</t>
  </si>
  <si>
    <t xml:space="preserve">architecture</t>
  </si>
  <si>
    <t xml:space="preserve">A37</t>
  </si>
  <si>
    <t xml:space="preserve">admission</t>
  </si>
  <si>
    <t xml:space="preserve">A38</t>
  </si>
  <si>
    <t xml:space="preserve">sensitivity</t>
  </si>
  <si>
    <t xml:space="preserve">A39</t>
  </si>
  <si>
    <t xml:space="preserve">A40</t>
  </si>
  <si>
    <t xml:space="preserve">A41</t>
  </si>
  <si>
    <t xml:space="preserve">A42</t>
  </si>
  <si>
    <t xml:space="preserve">A43</t>
  </si>
  <si>
    <t xml:space="preserve">quantity</t>
  </si>
  <si>
    <t xml:space="preserve">A44</t>
  </si>
  <si>
    <t xml:space="preserve">A45</t>
  </si>
  <si>
    <t xml:space="preserve">A46</t>
  </si>
  <si>
    <t xml:space="preserve">A47</t>
  </si>
  <si>
    <t xml:space="preserve">A48</t>
  </si>
  <si>
    <t xml:space="preserve">A49</t>
  </si>
  <si>
    <t xml:space="preserve">A50</t>
  </si>
  <si>
    <t xml:space="preserve">A51</t>
  </si>
  <si>
    <t xml:space="preserve">A52</t>
  </si>
  <si>
    <t xml:space="preserve">A53</t>
  </si>
  <si>
    <t xml:space="preserve">A54</t>
  </si>
  <si>
    <t xml:space="preserve">A55</t>
  </si>
  <si>
    <t xml:space="preserve">A56</t>
  </si>
  <si>
    <t xml:space="preserve">A57</t>
  </si>
  <si>
    <t xml:space="preserve">A58</t>
  </si>
  <si>
    <t xml:space="preserve">A59</t>
  </si>
  <si>
    <t xml:space="preserve">A60</t>
  </si>
  <si>
    <t xml:space="preserve">A61</t>
  </si>
  <si>
    <t xml:space="preserve">A62</t>
  </si>
  <si>
    <t xml:space="preserve">gate</t>
  </si>
  <si>
    <t xml:space="preserve">A63</t>
  </si>
  <si>
    <t xml:space="preserve">A64</t>
  </si>
  <si>
    <t xml:space="preserve">TOTAL PASS</t>
  </si>
  <si>
    <t xml:space="preserve">NCFC-1 — assured common force without false capacity</t>
  </si>
  <si>
    <t xml:space="preserve">Case selected</t>
  </si>
  <si>
    <t xml:space="preserve">Fire-control groups</t>
  </si>
  <si>
    <t xml:space="preserve">National initial capital USD B</t>
  </si>
  <si>
    <t xml:space="preserve">Admitted saving USD B</t>
  </si>
  <si>
    <t xml:space="preserve">Exterior rendering</t>
  </si>
  <si>
    <t xml:space="preserve">C24 initial capital by jurisdiction</t>
  </si>
  <si>
    <t xml:space="preserve">Jurisdiction</t>
  </si>
  <si>
    <t xml:space="preserve">Share</t>
  </si>
  <si>
    <t xml:space="preserve">Select Architecture D. Common ownership is compatible with self-contained operations only when every readiness claim holds a unique Service Availability Warrant covering exact articles, configuration, crew, transport, spares, command, receiver and regeneration. The current fire-control force remains USD 3.6412016T. USD 0 of cross-portfolio saving is admitted until RBX-1 compiles joint demand worlds.</t>
  </si>
  <si>
    <t xml:space="preserve">Fire-mission dedicated</t>
  </si>
  <si>
    <t xml:space="preserve">Hazard-control portfolio common</t>
  </si>
  <si>
    <t xml:space="preserve">National Common Force</t>
  </si>
  <si>
    <t xml:space="preserve">Mission-loaded stocks</t>
  </si>
  <si>
    <t xml:space="preserve">Sovereign technical estate</t>
  </si>
  <si>
    <t xml:space="preserve">Capital interpretation</t>
  </si>
  <si>
    <t xml:space="preserve">Method correction</t>
  </si>
  <si>
    <t xml:space="preserve">Quantity</t>
  </si>
  <si>
    <t xml:space="preserve">Title, technical family, reservation and physical assignment are recorded separately. One serialized article may support at most one prospective or active obligation in the same interval. A central pool, commercial catalog or aggregate megawatt count does not create a ready formation.</t>
  </si>
  <si>
    <t xml:space="preserve">Fire Service title + stocks</t>
  </si>
  <si>
    <t xml:space="preserve">jurisdiction</t>
  </si>
  <si>
    <t xml:space="preserve">physical boundary</t>
  </si>
  <si>
    <t xml:space="preserve">National saving admitted</t>
  </si>
  <si>
    <t xml:space="preserve">unproved</t>
  </si>
  <si>
    <t xml:space="preserve">Next research object</t>
  </si>
  <si>
    <t xml:space="preserve">RBX-1: build a National Multi-Portfolio Concurrent-Service Compiler across fire, flood-water, medical, power/thermal and access-logistics. Installed common capacity must equal the maximum complete demand across compound worlds plus overhaul, quarantine and regeneration margins. Rendering remains blocked.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</si>
</sst>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%"/>
    <numFmt numFmtId="167" formatCode="#,##0.0"/>
    <numFmt numFmtId="168" formatCode="#,##0.000"/>
    <numFmt numFmtId="169" formatCode="#,##0.000000"/>
    <numFmt numFmtId="170" formatCode="\$#,##0.000000;&quot;($&quot;#,##0.000000\);\-"/>
    <numFmt numFmtId="171" formatCode="0.00%"/>
    <numFmt numFmtId="172" formatCode="0"/>
    <numFmt numFmtId="173" formatCode="0%"/>
    <numFmt numFmtId="174" formatCode="\$#,##0.000000"/>
    <numFmt numFmtId="175" formatCode="\$#,##0.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42B4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42B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70C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1F293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34E70"/>
        <bgColor rgb="FF142B4A"/>
      </patternFill>
    </fill>
    <fill>
      <patternFill patternType="solid">
        <fgColor rgb="FF142B4A"/>
        <bgColor rgb="FF1F2933"/>
      </patternFill>
    </fill>
    <fill>
      <patternFill patternType="solid">
        <fgColor rgb="FFFFF2CC"/>
        <bgColor rgb="FFFCE8E6"/>
      </patternFill>
    </fill>
    <fill>
      <patternFill patternType="solid">
        <fgColor rgb="FFE2F0D9"/>
        <bgColor rgb="FFD9E7F2"/>
      </patternFill>
    </fill>
    <fill>
      <patternFill patternType="solid">
        <fgColor rgb="FFD9E7F2"/>
        <bgColor rgb="FFE2F0D9"/>
      </patternFill>
    </fill>
    <fill>
      <patternFill patternType="solid">
        <fgColor rgb="FFFCE8E6"/>
        <bgColor rgb="FFFFF2CC"/>
      </patternFill>
    </fill>
    <fill>
      <patternFill patternType="solid">
        <fgColor rgb="FFEEF4F8"/>
        <bgColor rgb="FFF7F7F7"/>
      </patternFill>
    </fill>
    <fill>
      <patternFill patternType="solid">
        <fgColor rgb="FFF7F7F7"/>
        <bgColor rgb="FFEEF4F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34E70"/>
      </bottom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/>
      <top style="thin">
        <color rgb="FF234E7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6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6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6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7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7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b val="1"/>
        <color rgb="FF9C0006"/>
      </font>
      <fill>
        <patternFill>
          <bgColor rgb="FFFC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C4D6"/>
      <rgbColor rgb="FF7F8C8D"/>
      <rgbColor rgb="FF9999FF"/>
      <rgbColor rgb="FF993366"/>
      <rgbColor rgb="FFFFF2CC"/>
      <rgbColor rgb="FFD9E7F2"/>
      <rgbColor rgb="FF660066"/>
      <rgbColor rgb="FFFF8080"/>
      <rgbColor rgb="FF0070C0"/>
      <rgbColor rgb="FFF7F7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8"/>
      <rgbColor rgb="FFE2F0D9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42B4A"/>
      <rgbColor rgb="FF339966"/>
      <rgbColor rgb="FF003300"/>
      <rgbColor rgb="FF333300"/>
      <rgbColor rgb="FF993300"/>
      <rgbColor rgb="FF993366"/>
      <rgbColor rgb="FF234E70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J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3"/>
    <col collapsed="false" customWidth="true" hidden="false" outlineLevel="0" max="10" min="5" style="0" width="12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8" hidden="false" customHeight="true" outlineLevel="0" collapsed="false"/>
    <row r="5" customFormat="false" ht="18" hidden="false" customHeight="true" outlineLevel="0" collapsed="false">
      <c r="A5" s="3" t="s">
        <v>1</v>
      </c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18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8" hidden="false" customHeight="true" outlineLevel="0" collapsed="false">
      <c r="A7" s="4" t="s">
        <v>3</v>
      </c>
      <c r="B7" s="5" t="s">
        <v>4</v>
      </c>
      <c r="C7" s="3"/>
      <c r="D7" s="3"/>
      <c r="E7" s="3"/>
      <c r="F7" s="3"/>
      <c r="G7" s="3"/>
      <c r="H7" s="3"/>
      <c r="I7" s="3"/>
      <c r="J7" s="3"/>
    </row>
    <row r="8" customFormat="false" ht="18" hidden="false" customHeight="true" outlineLevel="0" collapsed="false">
      <c r="A8" s="4" t="s">
        <v>5</v>
      </c>
      <c r="B8" s="5" t="s">
        <v>6</v>
      </c>
      <c r="C8" s="3"/>
      <c r="D8" s="3"/>
      <c r="E8" s="3"/>
      <c r="F8" s="3"/>
      <c r="G8" s="3"/>
      <c r="H8" s="3"/>
      <c r="I8" s="3"/>
      <c r="J8" s="3"/>
    </row>
    <row r="9" customFormat="false" ht="18" hidden="false" customHeight="true" outlineLevel="0" collapsed="false">
      <c r="A9" s="4" t="s">
        <v>7</v>
      </c>
      <c r="B9" s="5" t="s">
        <v>8</v>
      </c>
      <c r="C9" s="3"/>
      <c r="D9" s="3"/>
      <c r="E9" s="3"/>
      <c r="F9" s="3"/>
      <c r="G9" s="3"/>
      <c r="H9" s="3"/>
      <c r="I9" s="3"/>
      <c r="J9" s="3"/>
    </row>
    <row r="10" customFormat="false" ht="18" hidden="false" customHeight="true" outlineLevel="0" collapsed="false">
      <c r="A10" s="4" t="s">
        <v>9</v>
      </c>
      <c r="B10" s="5" t="s">
        <v>10</v>
      </c>
      <c r="C10" s="3"/>
      <c r="D10" s="3"/>
      <c r="E10" s="3"/>
      <c r="F10" s="3"/>
      <c r="G10" s="3"/>
      <c r="H10" s="3"/>
      <c r="I10" s="3"/>
      <c r="J10" s="3"/>
    </row>
    <row r="11" customFormat="false" ht="18" hidden="false" customHeight="true" outlineLevel="0" collapsed="false">
      <c r="A11" s="4" t="s">
        <v>11</v>
      </c>
      <c r="B11" s="5" t="s">
        <v>12</v>
      </c>
      <c r="C11" s="3"/>
      <c r="D11" s="3"/>
      <c r="E11" s="3"/>
      <c r="F11" s="3"/>
      <c r="G11" s="3"/>
      <c r="H11" s="3"/>
      <c r="I11" s="3"/>
      <c r="J11" s="3"/>
    </row>
    <row r="12" customFormat="false" ht="18" hidden="false" customHeight="true" outlineLevel="0" collapsed="false">
      <c r="A12" s="4" t="s">
        <v>13</v>
      </c>
      <c r="B12" s="5" t="s">
        <v>14</v>
      </c>
      <c r="C12" s="3"/>
      <c r="D12" s="3"/>
      <c r="E12" s="3"/>
      <c r="F12" s="3"/>
      <c r="G12" s="3"/>
      <c r="H12" s="3"/>
      <c r="I12" s="3"/>
      <c r="J12" s="3"/>
    </row>
    <row r="13" customFormat="false" ht="18" hidden="false" customHeight="true" outlineLevel="0" collapsed="false">
      <c r="A13" s="4" t="s">
        <v>15</v>
      </c>
      <c r="B13" s="5" t="s">
        <v>16</v>
      </c>
      <c r="C13" s="3"/>
      <c r="D13" s="3"/>
      <c r="E13" s="3"/>
      <c r="F13" s="3"/>
      <c r="G13" s="3"/>
      <c r="H13" s="3"/>
      <c r="I13" s="3"/>
      <c r="J13" s="3"/>
    </row>
    <row r="14" customFormat="false" ht="18" hidden="false" customHeight="true" outlineLevel="0" collapsed="false">
      <c r="A14" s="4" t="s">
        <v>17</v>
      </c>
      <c r="B14" s="5" t="s">
        <v>18</v>
      </c>
      <c r="C14" s="3"/>
      <c r="D14" s="3"/>
      <c r="E14" s="3"/>
      <c r="F14" s="3"/>
      <c r="G14" s="3"/>
      <c r="H14" s="3"/>
      <c r="I14" s="3"/>
      <c r="J14" s="3"/>
    </row>
    <row r="15" customFormat="false" ht="18" hidden="false" customHeight="true" outlineLevel="0" collapsed="false">
      <c r="A15" s="4" t="s">
        <v>19</v>
      </c>
      <c r="B15" s="5" t="s">
        <v>20</v>
      </c>
      <c r="C15" s="3"/>
      <c r="D15" s="3"/>
      <c r="E15" s="3"/>
      <c r="F15" s="3"/>
      <c r="G15" s="3"/>
      <c r="H15" s="3"/>
      <c r="I15" s="3"/>
      <c r="J15" s="3"/>
    </row>
    <row r="16" customFormat="false" ht="18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8" hidden="false" customHeight="true" outlineLevel="0" collapsed="false">
      <c r="A17" s="6" t="s">
        <v>21</v>
      </c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8" hidden="false" customHeight="true" outlineLevel="0" collapsed="false">
      <c r="A18" s="7" t="s">
        <v>22</v>
      </c>
      <c r="B18" s="7" t="s">
        <v>23</v>
      </c>
      <c r="C18" s="7" t="s">
        <v>24</v>
      </c>
      <c r="D18" s="3"/>
      <c r="E18" s="3"/>
      <c r="F18" s="3"/>
      <c r="G18" s="3"/>
      <c r="H18" s="3"/>
      <c r="I18" s="3"/>
      <c r="J18" s="3"/>
    </row>
    <row r="19" customFormat="false" ht="18" hidden="false" customHeight="true" outlineLevel="0" collapsed="false">
      <c r="A19" s="3" t="s">
        <v>25</v>
      </c>
      <c r="B19" s="3" t="s">
        <v>26</v>
      </c>
      <c r="C19" s="3" t="s">
        <v>27</v>
      </c>
      <c r="D19" s="3"/>
      <c r="E19" s="3"/>
      <c r="F19" s="3"/>
      <c r="G19" s="3"/>
      <c r="H19" s="3"/>
      <c r="I19" s="3"/>
      <c r="J19" s="3"/>
    </row>
    <row r="20" customFormat="false" ht="18" hidden="false" customHeight="true" outlineLevel="0" collapsed="false">
      <c r="A20" s="3" t="s">
        <v>28</v>
      </c>
      <c r="B20" s="3" t="s">
        <v>29</v>
      </c>
      <c r="C20" s="3" t="s">
        <v>30</v>
      </c>
      <c r="D20" s="3"/>
      <c r="E20" s="3"/>
      <c r="F20" s="3"/>
      <c r="G20" s="3"/>
      <c r="H20" s="3"/>
      <c r="I20" s="3"/>
      <c r="J20" s="3"/>
    </row>
    <row r="21" customFormat="false" ht="18" hidden="false" customHeight="true" outlineLevel="0" collapsed="false">
      <c r="A21" s="3" t="s">
        <v>31</v>
      </c>
      <c r="B21" s="3" t="s">
        <v>32</v>
      </c>
      <c r="C21" s="3" t="s">
        <v>33</v>
      </c>
      <c r="D21" s="3"/>
      <c r="E21" s="3"/>
      <c r="F21" s="3"/>
      <c r="G21" s="3"/>
      <c r="H21" s="3"/>
      <c r="I21" s="3"/>
      <c r="J21" s="3"/>
    </row>
    <row r="22" customFormat="false" ht="18" hidden="false" customHeight="true" outlineLevel="0" collapsed="false">
      <c r="A22" s="3" t="s">
        <v>34</v>
      </c>
      <c r="B22" s="3" t="s">
        <v>32</v>
      </c>
      <c r="C22" s="3" t="s">
        <v>35</v>
      </c>
      <c r="D22" s="3"/>
      <c r="E22" s="3"/>
      <c r="F22" s="3"/>
      <c r="G22" s="3"/>
      <c r="H22" s="3"/>
      <c r="I22" s="3"/>
      <c r="J22" s="3"/>
    </row>
    <row r="23" customFormat="false" ht="18" hidden="false" customHeight="true" outlineLevel="0" collapsed="false">
      <c r="A23" s="3" t="s">
        <v>36</v>
      </c>
      <c r="B23" s="3" t="s">
        <v>37</v>
      </c>
      <c r="C23" s="3" t="s">
        <v>38</v>
      </c>
      <c r="D23" s="3"/>
      <c r="E23" s="3"/>
      <c r="F23" s="3"/>
      <c r="G23" s="3"/>
      <c r="H23" s="3"/>
      <c r="I23" s="3"/>
      <c r="J23" s="3"/>
    </row>
    <row r="24" customFormat="false" ht="18" hidden="false" customHeight="true" outlineLevel="0" collapsed="false">
      <c r="A24" s="3" t="s">
        <v>39</v>
      </c>
      <c r="B24" s="3" t="s">
        <v>26</v>
      </c>
      <c r="C24" s="3" t="s">
        <v>40</v>
      </c>
      <c r="D24" s="3"/>
      <c r="E24" s="3"/>
      <c r="F24" s="3"/>
      <c r="G24" s="3"/>
      <c r="H24" s="3"/>
      <c r="I24" s="3"/>
      <c r="J24" s="3"/>
    </row>
    <row r="25" customFormat="false" ht="18" hidden="false" customHeight="true" outlineLevel="0" collapsed="false">
      <c r="A25" s="3" t="s">
        <v>41</v>
      </c>
      <c r="B25" s="3" t="s">
        <v>42</v>
      </c>
      <c r="C25" s="3" t="s">
        <v>43</v>
      </c>
      <c r="D25" s="3"/>
      <c r="E25" s="3"/>
      <c r="F25" s="3"/>
      <c r="G25" s="3"/>
      <c r="H25" s="3"/>
      <c r="I25" s="3"/>
      <c r="J25" s="3"/>
    </row>
    <row r="26" customFormat="false" ht="18" hidden="false" customHeight="true" outlineLevel="0" collapsed="false">
      <c r="A26" s="3" t="s">
        <v>44</v>
      </c>
      <c r="B26" s="3" t="s">
        <v>42</v>
      </c>
      <c r="C26" s="3" t="s">
        <v>45</v>
      </c>
      <c r="D26" s="3"/>
      <c r="E26" s="3"/>
      <c r="F26" s="3"/>
      <c r="G26" s="3"/>
      <c r="H26" s="3"/>
      <c r="I26" s="3"/>
      <c r="J26" s="3"/>
    </row>
    <row r="27" customFormat="false" ht="18" hidden="false" customHeight="true" outlineLevel="0" collapsed="false">
      <c r="A27" s="3" t="s">
        <v>46</v>
      </c>
      <c r="B27" s="3" t="s">
        <v>47</v>
      </c>
      <c r="C27" s="3" t="s">
        <v>48</v>
      </c>
      <c r="D27" s="3"/>
      <c r="E27" s="3"/>
      <c r="F27" s="3"/>
      <c r="G27" s="3"/>
      <c r="H27" s="3"/>
      <c r="I27" s="3"/>
      <c r="J27" s="3"/>
    </row>
    <row r="28" customFormat="false" ht="18" hidden="false" customHeight="true" outlineLevel="0" collapsed="false">
      <c r="A28" s="3" t="s">
        <v>49</v>
      </c>
      <c r="B28" s="3" t="s">
        <v>32</v>
      </c>
      <c r="C28" s="3" t="s">
        <v>50</v>
      </c>
      <c r="D28" s="3"/>
      <c r="E28" s="3"/>
      <c r="F28" s="3"/>
      <c r="G28" s="3"/>
      <c r="H28" s="3"/>
      <c r="I28" s="3"/>
      <c r="J28" s="3"/>
    </row>
    <row r="29" customFormat="false" ht="18" hidden="false" customHeight="true" outlineLevel="0" collapsed="false">
      <c r="A29" s="3" t="s">
        <v>51</v>
      </c>
      <c r="B29" s="3" t="s">
        <v>42</v>
      </c>
      <c r="C29" s="3" t="s">
        <v>52</v>
      </c>
      <c r="D29" s="3"/>
      <c r="E29" s="3"/>
      <c r="F29" s="3"/>
      <c r="G29" s="3"/>
      <c r="H29" s="3"/>
      <c r="I29" s="3"/>
      <c r="J29" s="3"/>
    </row>
    <row r="30" customFormat="false" ht="18" hidden="false" customHeight="true" outlineLevel="0" collapsed="false">
      <c r="A30" s="3" t="s">
        <v>53</v>
      </c>
      <c r="B30" s="3" t="s">
        <v>32</v>
      </c>
      <c r="C30" s="3" t="s">
        <v>54</v>
      </c>
      <c r="D30" s="3"/>
      <c r="E30" s="3"/>
      <c r="F30" s="3"/>
      <c r="G30" s="3"/>
      <c r="H30" s="3"/>
      <c r="I30" s="3"/>
      <c r="J30" s="3"/>
    </row>
    <row r="31" customFormat="false" ht="18" hidden="false" customHeight="true" outlineLevel="0" collapsed="false">
      <c r="A31" s="3" t="s">
        <v>55</v>
      </c>
      <c r="B31" s="3" t="s">
        <v>32</v>
      </c>
      <c r="C31" s="3" t="s">
        <v>56</v>
      </c>
      <c r="D31" s="3"/>
      <c r="E31" s="3"/>
      <c r="F31" s="3"/>
      <c r="G31" s="3"/>
      <c r="H31" s="3"/>
      <c r="I31" s="3"/>
      <c r="J31" s="3"/>
    </row>
    <row r="32" customFormat="false" ht="18" hidden="false" customHeight="true" outlineLevel="0" collapsed="false">
      <c r="A32" s="3" t="s">
        <v>57</v>
      </c>
      <c r="B32" s="3" t="s">
        <v>32</v>
      </c>
      <c r="C32" s="3" t="s">
        <v>58</v>
      </c>
      <c r="D32" s="3"/>
      <c r="E32" s="3"/>
      <c r="F32" s="3"/>
      <c r="G32" s="3"/>
      <c r="H32" s="3"/>
      <c r="I32" s="3"/>
      <c r="J32" s="3"/>
    </row>
    <row r="33" customFormat="false" ht="18" hidden="false" customHeight="true" outlineLevel="0" collapsed="false">
      <c r="A33" s="3" t="s">
        <v>59</v>
      </c>
      <c r="B33" s="3" t="s">
        <v>32</v>
      </c>
      <c r="C33" s="3" t="s">
        <v>60</v>
      </c>
      <c r="D33" s="3"/>
      <c r="E33" s="3"/>
      <c r="F33" s="3"/>
      <c r="G33" s="3"/>
      <c r="H33" s="3"/>
      <c r="I33" s="3"/>
      <c r="J33" s="3"/>
    </row>
    <row r="34" customFormat="false" ht="18" hidden="false" customHeight="true" outlineLevel="0" collapsed="false">
      <c r="A34" s="3" t="s">
        <v>61</v>
      </c>
      <c r="B34" s="3" t="s">
        <v>62</v>
      </c>
      <c r="C34" s="3" t="s">
        <v>63</v>
      </c>
      <c r="D34" s="3"/>
      <c r="E34" s="3"/>
      <c r="F34" s="3"/>
      <c r="G34" s="3"/>
      <c r="H34" s="3"/>
      <c r="I34" s="3"/>
      <c r="J34" s="3"/>
    </row>
    <row r="35" customFormat="false" ht="18" hidden="false" customHeight="true" outlineLevel="0" collapsed="false">
      <c r="A35" s="3" t="s">
        <v>64</v>
      </c>
      <c r="B35" s="3" t="s">
        <v>47</v>
      </c>
      <c r="C35" s="3" t="s">
        <v>65</v>
      </c>
      <c r="D35" s="3"/>
      <c r="E35" s="3"/>
      <c r="F35" s="3"/>
      <c r="G35" s="3"/>
      <c r="H35" s="3"/>
      <c r="I35" s="3"/>
      <c r="J35" s="3"/>
    </row>
    <row r="36" customFormat="false" ht="18" hidden="false" customHeight="true" outlineLevel="0" collapsed="false">
      <c r="A36" s="3" t="s">
        <v>66</v>
      </c>
      <c r="B36" s="3" t="s">
        <v>67</v>
      </c>
      <c r="C36" s="3" t="s">
        <v>68</v>
      </c>
      <c r="D36" s="3"/>
      <c r="E36" s="3"/>
      <c r="F36" s="3"/>
      <c r="G36" s="3"/>
      <c r="H36" s="3"/>
      <c r="I36" s="3"/>
      <c r="J36" s="3"/>
    </row>
    <row r="37" customFormat="false" ht="18" hidden="false" customHeight="true" outlineLevel="0" collapsed="false">
      <c r="A37" s="3" t="s">
        <v>69</v>
      </c>
      <c r="B37" s="3" t="s">
        <v>70</v>
      </c>
      <c r="C37" s="3" t="s">
        <v>71</v>
      </c>
      <c r="D37" s="3"/>
      <c r="E37" s="3"/>
      <c r="F37" s="3"/>
      <c r="G37" s="3"/>
      <c r="H37" s="3"/>
      <c r="I37" s="3"/>
      <c r="J37" s="3"/>
    </row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2">
    <mergeCell ref="A2:J2"/>
    <mergeCell ref="A17:J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C4D6"/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3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72</v>
      </c>
      <c r="B2" s="1"/>
      <c r="C2" s="1"/>
      <c r="D2" s="1"/>
      <c r="E2" s="1"/>
      <c r="F2" s="1"/>
      <c r="G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73</v>
      </c>
      <c r="B5" s="7" t="s">
        <v>74</v>
      </c>
      <c r="C5" s="7" t="s">
        <v>75</v>
      </c>
      <c r="D5" s="3"/>
      <c r="E5" s="7" t="s">
        <v>76</v>
      </c>
      <c r="F5" s="7" t="s">
        <v>77</v>
      </c>
      <c r="G5" s="7" t="s">
        <v>78</v>
      </c>
    </row>
    <row r="6" customFormat="false" ht="18" hidden="false" customHeight="true" outlineLevel="0" collapsed="false">
      <c r="A6" s="3" t="s">
        <v>79</v>
      </c>
      <c r="B6" s="8" t="s">
        <v>80</v>
      </c>
      <c r="C6" s="3" t="s">
        <v>81</v>
      </c>
      <c r="D6" s="3"/>
      <c r="E6" s="3" t="s">
        <v>82</v>
      </c>
      <c r="F6" s="3" t="s">
        <v>83</v>
      </c>
      <c r="G6" s="3" t="s">
        <v>84</v>
      </c>
    </row>
    <row r="7" customFormat="false" ht="18" hidden="false" customHeight="true" outlineLevel="0" collapsed="false">
      <c r="A7" s="3" t="s">
        <v>85</v>
      </c>
      <c r="B7" s="9" t="n">
        <v>24</v>
      </c>
      <c r="C7" s="3" t="s">
        <v>86</v>
      </c>
      <c r="D7" s="3"/>
      <c r="E7" s="3" t="s">
        <v>87</v>
      </c>
      <c r="F7" s="3" t="s">
        <v>83</v>
      </c>
      <c r="G7" s="3" t="s">
        <v>88</v>
      </c>
    </row>
    <row r="8" customFormat="false" ht="18" hidden="false" customHeight="true" outlineLevel="0" collapsed="false">
      <c r="A8" s="3" t="s">
        <v>89</v>
      </c>
      <c r="B8" s="9" t="n">
        <v>192</v>
      </c>
      <c r="C8" s="3" t="s">
        <v>90</v>
      </c>
      <c r="D8" s="3"/>
      <c r="E8" s="3" t="s">
        <v>91</v>
      </c>
      <c r="F8" s="3" t="s">
        <v>83</v>
      </c>
      <c r="G8" s="3" t="s">
        <v>92</v>
      </c>
    </row>
    <row r="9" customFormat="false" ht="18" hidden="false" customHeight="true" outlineLevel="0" collapsed="false">
      <c r="A9" s="3" t="s">
        <v>93</v>
      </c>
      <c r="B9" s="9" t="n">
        <v>256</v>
      </c>
      <c r="C9" s="3" t="s">
        <v>94</v>
      </c>
      <c r="D9" s="3"/>
      <c r="E9" s="3" t="s">
        <v>80</v>
      </c>
      <c r="F9" s="10" t="s">
        <v>95</v>
      </c>
      <c r="G9" s="3" t="s">
        <v>96</v>
      </c>
    </row>
    <row r="10" customFormat="false" ht="18" hidden="false" customHeight="true" outlineLevel="0" collapsed="false">
      <c r="A10" s="3" t="s">
        <v>97</v>
      </c>
      <c r="B10" s="9" t="n">
        <v>84480</v>
      </c>
      <c r="C10" s="3" t="s">
        <v>98</v>
      </c>
      <c r="D10" s="3"/>
      <c r="E10" s="3"/>
      <c r="F10" s="3"/>
      <c r="G10" s="3"/>
    </row>
    <row r="11" customFormat="false" ht="18" hidden="false" customHeight="true" outlineLevel="0" collapsed="false">
      <c r="A11" s="3" t="s">
        <v>99</v>
      </c>
      <c r="B11" s="9" t="n">
        <v>79200</v>
      </c>
      <c r="C11" s="3" t="s">
        <v>98</v>
      </c>
      <c r="D11" s="3"/>
      <c r="E11" s="3"/>
      <c r="F11" s="3"/>
      <c r="G11" s="3"/>
    </row>
    <row r="12" customFormat="false" ht="18" hidden="false" customHeight="true" outlineLevel="0" collapsed="false">
      <c r="A12" s="3" t="s">
        <v>100</v>
      </c>
      <c r="B12" s="9" t="n">
        <v>48</v>
      </c>
      <c r="C12" s="3" t="s">
        <v>101</v>
      </c>
      <c r="D12" s="3"/>
      <c r="E12" s="3"/>
      <c r="F12" s="3"/>
      <c r="G12" s="3"/>
    </row>
    <row r="13" customFormat="false" ht="18" hidden="false" customHeight="true" outlineLevel="0" collapsed="false">
      <c r="A13" s="3" t="s">
        <v>102</v>
      </c>
      <c r="B13" s="9" t="n">
        <v>18</v>
      </c>
      <c r="C13" s="3" t="s">
        <v>103</v>
      </c>
      <c r="D13" s="3"/>
      <c r="E13" s="3"/>
      <c r="F13" s="3"/>
      <c r="G13" s="3"/>
    </row>
    <row r="14" customFormat="false" ht="18" hidden="false" customHeight="true" outlineLevel="0" collapsed="false">
      <c r="A14" s="3" t="s">
        <v>104</v>
      </c>
      <c r="B14" s="9" t="n">
        <v>180</v>
      </c>
      <c r="C14" s="3" t="s">
        <v>105</v>
      </c>
      <c r="D14" s="3"/>
      <c r="E14" s="3"/>
      <c r="F14" s="3"/>
      <c r="G14" s="3"/>
    </row>
    <row r="15" customFormat="false" ht="18" hidden="false" customHeight="true" outlineLevel="0" collapsed="false">
      <c r="A15" s="3" t="s">
        <v>106</v>
      </c>
      <c r="B15" s="9" t="n">
        <v>429440</v>
      </c>
      <c r="C15" s="3" t="s">
        <v>107</v>
      </c>
      <c r="D15" s="3"/>
      <c r="E15" s="3"/>
      <c r="F15" s="3"/>
      <c r="G15" s="3"/>
    </row>
    <row r="16" customFormat="false" ht="18" hidden="false" customHeight="true" outlineLevel="0" collapsed="false">
      <c r="A16" s="3" t="s">
        <v>108</v>
      </c>
      <c r="B16" s="11" t="n">
        <v>1</v>
      </c>
      <c r="C16" s="3" t="s">
        <v>109</v>
      </c>
      <c r="D16" s="3"/>
      <c r="E16" s="3"/>
      <c r="F16" s="3"/>
      <c r="G16" s="3"/>
    </row>
    <row r="17" customFormat="false" ht="18" hidden="false" customHeight="true" outlineLevel="0" collapsed="false">
      <c r="A17" s="3" t="s">
        <v>110</v>
      </c>
      <c r="B17" s="12" t="n">
        <v>25</v>
      </c>
      <c r="C17" s="3" t="s">
        <v>111</v>
      </c>
      <c r="D17" s="3"/>
      <c r="E17" s="3"/>
      <c r="F17" s="3"/>
      <c r="G17" s="3"/>
    </row>
    <row r="18" customFormat="false" ht="18" hidden="false" customHeight="true" outlineLevel="0" collapsed="false">
      <c r="A18" s="3" t="s">
        <v>112</v>
      </c>
      <c r="B18" s="12" t="n">
        <v>250</v>
      </c>
      <c r="C18" s="3" t="s">
        <v>113</v>
      </c>
      <c r="D18" s="3"/>
      <c r="E18" s="3"/>
      <c r="F18" s="3"/>
      <c r="G18" s="3"/>
    </row>
    <row r="19" customFormat="false" ht="18" hidden="false" customHeight="true" outlineLevel="0" collapsed="false">
      <c r="A19" s="3" t="s">
        <v>114</v>
      </c>
      <c r="B19" s="12" t="n">
        <v>15179</v>
      </c>
      <c r="C19" s="3" t="s">
        <v>115</v>
      </c>
      <c r="D19" s="3"/>
      <c r="E19" s="3"/>
      <c r="F19" s="3"/>
      <c r="G19" s="3"/>
    </row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7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1" min="10" style="0" width="17"/>
    <col collapsed="false" customWidth="true" hidden="false" outlineLevel="0" max="12" min="12" style="0" width="19"/>
    <col collapsed="false" customWidth="true" hidden="false" outlineLevel="0" max="13" min="13" style="0" width="20"/>
    <col collapsed="false" customWidth="true" hidden="false" outlineLevel="0" max="14" min="14" style="0" width="21"/>
    <col collapsed="false" customWidth="true" hidden="false" outlineLevel="0" max="15" min="15" style="0" width="36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116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117</v>
      </c>
      <c r="B5" s="7" t="s">
        <v>118</v>
      </c>
      <c r="C5" s="7" t="s">
        <v>119</v>
      </c>
      <c r="D5" s="7" t="s">
        <v>120</v>
      </c>
      <c r="E5" s="7" t="s">
        <v>121</v>
      </c>
      <c r="F5" s="7" t="s">
        <v>122</v>
      </c>
      <c r="G5" s="7" t="s">
        <v>123</v>
      </c>
      <c r="H5" s="7" t="s">
        <v>124</v>
      </c>
      <c r="I5" s="7" t="s">
        <v>125</v>
      </c>
      <c r="J5" s="7" t="s">
        <v>126</v>
      </c>
      <c r="K5" s="7" t="s">
        <v>127</v>
      </c>
      <c r="L5" s="7" t="s">
        <v>128</v>
      </c>
      <c r="M5" s="7" t="s">
        <v>129</v>
      </c>
      <c r="N5" s="7" t="s">
        <v>130</v>
      </c>
      <c r="O5" s="7" t="s">
        <v>78</v>
      </c>
    </row>
    <row r="6" customFormat="false" ht="18" hidden="false" customHeight="true" outlineLevel="0" collapsed="false">
      <c r="A6" s="3" t="s">
        <v>131</v>
      </c>
      <c r="B6" s="3" t="s">
        <v>132</v>
      </c>
      <c r="C6" s="3" t="s">
        <v>80</v>
      </c>
      <c r="D6" s="3" t="n">
        <v>16</v>
      </c>
      <c r="E6" s="13" t="n">
        <v>120</v>
      </c>
      <c r="F6" s="13" t="n">
        <f aca="false">D6*E6</f>
        <v>1920</v>
      </c>
      <c r="G6" s="13" t="n">
        <v>32</v>
      </c>
      <c r="H6" s="13" t="n">
        <f aca="false">G6*E6/1000</f>
        <v>3.84</v>
      </c>
      <c r="I6" s="14" t="n">
        <f aca="false">Control!$B$9*D6</f>
        <v>4096</v>
      </c>
      <c r="J6" s="14" t="n">
        <f aca="false">Control!$B$7*G6</f>
        <v>768</v>
      </c>
      <c r="K6" s="14" t="n">
        <f aca="false">I6+J6</f>
        <v>4864</v>
      </c>
      <c r="L6" s="15" t="n">
        <f aca="false">Control!$B$9*F6/1000</f>
        <v>491.52</v>
      </c>
      <c r="M6" s="15" t="n">
        <f aca="false">Control!$B$7*H6</f>
        <v>92.16</v>
      </c>
      <c r="N6" s="15" t="n">
        <f aca="false">L6+M6</f>
        <v>583.68</v>
      </c>
      <c r="O6" s="3" t="s">
        <v>133</v>
      </c>
    </row>
    <row r="7" customFormat="false" ht="18" hidden="false" customHeight="true" outlineLevel="0" collapsed="false">
      <c r="A7" s="3" t="s">
        <v>134</v>
      </c>
      <c r="B7" s="3" t="s">
        <v>135</v>
      </c>
      <c r="C7" s="3" t="s">
        <v>136</v>
      </c>
      <c r="D7" s="3" t="n">
        <v>6</v>
      </c>
      <c r="E7" s="13" t="n">
        <v>180</v>
      </c>
      <c r="F7" s="13" t="n">
        <f aca="false">D7*E7</f>
        <v>1080</v>
      </c>
      <c r="G7" s="13" t="n">
        <v>12</v>
      </c>
      <c r="H7" s="13" t="n">
        <f aca="false">G7*E7/1000</f>
        <v>2.16</v>
      </c>
      <c r="I7" s="14" t="n">
        <f aca="false">Control!$B$9*D7</f>
        <v>1536</v>
      </c>
      <c r="J7" s="14" t="n">
        <f aca="false">Control!$B$7*G7</f>
        <v>288</v>
      </c>
      <c r="K7" s="14" t="n">
        <f aca="false">I7+J7</f>
        <v>1824</v>
      </c>
      <c r="L7" s="15" t="n">
        <f aca="false">Control!$B$9*F7/1000</f>
        <v>276.48</v>
      </c>
      <c r="M7" s="15" t="n">
        <f aca="false">Control!$B$7*H7</f>
        <v>51.84</v>
      </c>
      <c r="N7" s="15" t="n">
        <f aca="false">L7+M7</f>
        <v>328.32</v>
      </c>
      <c r="O7" s="3" t="s">
        <v>137</v>
      </c>
    </row>
    <row r="8" customFormat="false" ht="18" hidden="false" customHeight="true" outlineLevel="0" collapsed="false">
      <c r="A8" s="3" t="s">
        <v>138</v>
      </c>
      <c r="B8" s="3" t="s">
        <v>139</v>
      </c>
      <c r="C8" s="3" t="s">
        <v>136</v>
      </c>
      <c r="D8" s="3" t="n">
        <v>3</v>
      </c>
      <c r="E8" s="13" t="n">
        <v>60</v>
      </c>
      <c r="F8" s="13" t="n">
        <f aca="false">D8*E8</f>
        <v>180</v>
      </c>
      <c r="G8" s="13" t="n">
        <v>6</v>
      </c>
      <c r="H8" s="13" t="n">
        <f aca="false">G8*E8/1000</f>
        <v>0.36</v>
      </c>
      <c r="I8" s="14" t="n">
        <f aca="false">Control!$B$9*D8</f>
        <v>768</v>
      </c>
      <c r="J8" s="14" t="n">
        <f aca="false">Control!$B$7*G8</f>
        <v>144</v>
      </c>
      <c r="K8" s="14" t="n">
        <f aca="false">I8+J8</f>
        <v>912</v>
      </c>
      <c r="L8" s="15" t="n">
        <f aca="false">Control!$B$9*F8/1000</f>
        <v>46.08</v>
      </c>
      <c r="M8" s="15" t="n">
        <f aca="false">Control!$B$7*H8</f>
        <v>8.64</v>
      </c>
      <c r="N8" s="15" t="n">
        <f aca="false">L8+M8</f>
        <v>54.72</v>
      </c>
      <c r="O8" s="3" t="s">
        <v>140</v>
      </c>
    </row>
    <row r="9" customFormat="false" ht="18" hidden="false" customHeight="true" outlineLevel="0" collapsed="false">
      <c r="A9" s="3" t="s">
        <v>141</v>
      </c>
      <c r="B9" s="3" t="s">
        <v>142</v>
      </c>
      <c r="C9" s="3" t="s">
        <v>136</v>
      </c>
      <c r="D9" s="3" t="n">
        <v>120</v>
      </c>
      <c r="E9" s="13" t="n">
        <v>1.5</v>
      </c>
      <c r="F9" s="13" t="n">
        <f aca="false">D9*E9</f>
        <v>180</v>
      </c>
      <c r="G9" s="13" t="n">
        <v>240</v>
      </c>
      <c r="H9" s="13" t="n">
        <f aca="false">G9*E9/1000</f>
        <v>0.36</v>
      </c>
      <c r="I9" s="14" t="n">
        <f aca="false">Control!$B$9*D9</f>
        <v>30720</v>
      </c>
      <c r="J9" s="14" t="n">
        <f aca="false">Control!$B$7*G9</f>
        <v>5760</v>
      </c>
      <c r="K9" s="14" t="n">
        <f aca="false">I9+J9</f>
        <v>36480</v>
      </c>
      <c r="L9" s="15" t="n">
        <f aca="false">Control!$B$9*F9/1000</f>
        <v>46.08</v>
      </c>
      <c r="M9" s="15" t="n">
        <f aca="false">Control!$B$7*H9</f>
        <v>8.64</v>
      </c>
      <c r="N9" s="15" t="n">
        <f aca="false">L9+M9</f>
        <v>54.72</v>
      </c>
      <c r="O9" s="3" t="s">
        <v>143</v>
      </c>
    </row>
    <row r="10" customFormat="false" ht="18" hidden="false" customHeight="true" outlineLevel="0" collapsed="false">
      <c r="A10" s="3" t="s">
        <v>144</v>
      </c>
      <c r="B10" s="3" t="s">
        <v>145</v>
      </c>
      <c r="C10" s="3" t="s">
        <v>136</v>
      </c>
      <c r="D10" s="3" t="n">
        <v>24</v>
      </c>
      <c r="E10" s="13" t="n">
        <v>12</v>
      </c>
      <c r="F10" s="13" t="n">
        <f aca="false">D10*E10</f>
        <v>288</v>
      </c>
      <c r="G10" s="13" t="n">
        <v>48</v>
      </c>
      <c r="H10" s="13" t="n">
        <f aca="false">G10*E10/1000</f>
        <v>0.576</v>
      </c>
      <c r="I10" s="14" t="n">
        <f aca="false">Control!$B$9*D10</f>
        <v>6144</v>
      </c>
      <c r="J10" s="14" t="n">
        <f aca="false">Control!$B$7*G10</f>
        <v>1152</v>
      </c>
      <c r="K10" s="14" t="n">
        <f aca="false">I10+J10</f>
        <v>7296</v>
      </c>
      <c r="L10" s="15" t="n">
        <f aca="false">Control!$B$9*F10/1000</f>
        <v>73.728</v>
      </c>
      <c r="M10" s="15" t="n">
        <f aca="false">Control!$B$7*H10</f>
        <v>13.824</v>
      </c>
      <c r="N10" s="15" t="n">
        <f aca="false">L10+M10</f>
        <v>87.552</v>
      </c>
      <c r="O10" s="3" t="s">
        <v>146</v>
      </c>
    </row>
    <row r="11" customFormat="false" ht="18" hidden="false" customHeight="true" outlineLevel="0" collapsed="false">
      <c r="A11" s="3" t="s">
        <v>147</v>
      </c>
      <c r="B11" s="3" t="s">
        <v>148</v>
      </c>
      <c r="C11" s="3" t="s">
        <v>136</v>
      </c>
      <c r="D11" s="3" t="n">
        <v>15</v>
      </c>
      <c r="E11" s="13" t="n">
        <v>5</v>
      </c>
      <c r="F11" s="13" t="n">
        <f aca="false">D11*E11</f>
        <v>75</v>
      </c>
      <c r="G11" s="13" t="n">
        <v>30</v>
      </c>
      <c r="H11" s="13" t="n">
        <f aca="false">G11*E11/1000</f>
        <v>0.15</v>
      </c>
      <c r="I11" s="14" t="n">
        <f aca="false">Control!$B$9*D11</f>
        <v>3840</v>
      </c>
      <c r="J11" s="14" t="n">
        <f aca="false">Control!$B$7*G11</f>
        <v>720</v>
      </c>
      <c r="K11" s="14" t="n">
        <f aca="false">I11+J11</f>
        <v>4560</v>
      </c>
      <c r="L11" s="15" t="n">
        <f aca="false">Control!$B$9*F11/1000</f>
        <v>19.2</v>
      </c>
      <c r="M11" s="15" t="n">
        <f aca="false">Control!$B$7*H11</f>
        <v>3.6</v>
      </c>
      <c r="N11" s="15" t="n">
        <f aca="false">L11+M11</f>
        <v>22.8</v>
      </c>
      <c r="O11" s="3" t="s">
        <v>149</v>
      </c>
    </row>
    <row r="12" customFormat="false" ht="18" hidden="false" customHeight="true" outlineLevel="0" collapsed="false">
      <c r="A12" s="3" t="s">
        <v>150</v>
      </c>
      <c r="B12" s="3" t="s">
        <v>151</v>
      </c>
      <c r="C12" s="3" t="s">
        <v>136</v>
      </c>
      <c r="D12" s="3" t="n">
        <v>4</v>
      </c>
      <c r="E12" s="13" t="n">
        <v>120</v>
      </c>
      <c r="F12" s="13" t="n">
        <f aca="false">D12*E12</f>
        <v>480</v>
      </c>
      <c r="G12" s="13" t="n">
        <v>12</v>
      </c>
      <c r="H12" s="13" t="n">
        <f aca="false">G12*E12/1000</f>
        <v>1.44</v>
      </c>
      <c r="I12" s="14" t="n">
        <f aca="false">Control!$B$9*D12</f>
        <v>1024</v>
      </c>
      <c r="J12" s="14" t="n">
        <f aca="false">Control!$B$7*G12</f>
        <v>288</v>
      </c>
      <c r="K12" s="14" t="n">
        <f aca="false">I12+J12</f>
        <v>1312</v>
      </c>
      <c r="L12" s="15" t="n">
        <f aca="false">Control!$B$9*F12/1000</f>
        <v>122.88</v>
      </c>
      <c r="M12" s="15" t="n">
        <f aca="false">Control!$B$7*H12</f>
        <v>34.56</v>
      </c>
      <c r="N12" s="15" t="n">
        <f aca="false">L12+M12</f>
        <v>157.44</v>
      </c>
      <c r="O12" s="3" t="s">
        <v>152</v>
      </c>
    </row>
    <row r="13" customFormat="false" ht="18" hidden="false" customHeight="true" outlineLevel="0" collapsed="false">
      <c r="A13" s="3" t="s">
        <v>153</v>
      </c>
      <c r="B13" s="3" t="s">
        <v>154</v>
      </c>
      <c r="C13" s="3" t="s">
        <v>136</v>
      </c>
      <c r="D13" s="3" t="n">
        <v>36</v>
      </c>
      <c r="E13" s="13" t="n">
        <v>4</v>
      </c>
      <c r="F13" s="13" t="n">
        <f aca="false">D13*E13</f>
        <v>144</v>
      </c>
      <c r="G13" s="13" t="n">
        <v>72</v>
      </c>
      <c r="H13" s="13" t="n">
        <f aca="false">G13*E13/1000</f>
        <v>0.288</v>
      </c>
      <c r="I13" s="14" t="n">
        <f aca="false">Control!$B$9*D13</f>
        <v>9216</v>
      </c>
      <c r="J13" s="14" t="n">
        <f aca="false">Control!$B$7*G13</f>
        <v>1728</v>
      </c>
      <c r="K13" s="14" t="n">
        <f aca="false">I13+J13</f>
        <v>10944</v>
      </c>
      <c r="L13" s="15" t="n">
        <f aca="false">Control!$B$9*F13/1000</f>
        <v>36.864</v>
      </c>
      <c r="M13" s="15" t="n">
        <f aca="false">Control!$B$7*H13</f>
        <v>6.912</v>
      </c>
      <c r="N13" s="15" t="n">
        <f aca="false">L13+M13</f>
        <v>43.776</v>
      </c>
      <c r="O13" s="3" t="s">
        <v>155</v>
      </c>
    </row>
    <row r="14" customFormat="false" ht="18" hidden="false" customHeight="true" outlineLevel="0" collapsed="false">
      <c r="A14" s="3" t="s">
        <v>156</v>
      </c>
      <c r="B14" s="3" t="s">
        <v>157</v>
      </c>
      <c r="C14" s="3" t="s">
        <v>158</v>
      </c>
      <c r="D14" s="3" t="n">
        <v>6</v>
      </c>
      <c r="E14" s="13" t="n">
        <v>180</v>
      </c>
      <c r="F14" s="13" t="n">
        <f aca="false">D14*E14</f>
        <v>1080</v>
      </c>
      <c r="G14" s="13" t="n">
        <v>12</v>
      </c>
      <c r="H14" s="13" t="n">
        <f aca="false">G14*E14/1000</f>
        <v>2.16</v>
      </c>
      <c r="I14" s="14" t="n">
        <f aca="false">Control!$B$9*D14</f>
        <v>1536</v>
      </c>
      <c r="J14" s="14" t="n">
        <f aca="false">Control!$B$7*G14</f>
        <v>288</v>
      </c>
      <c r="K14" s="14" t="n">
        <f aca="false">I14+J14</f>
        <v>1824</v>
      </c>
      <c r="L14" s="15" t="n">
        <f aca="false">Control!$B$9*F14/1000</f>
        <v>276.48</v>
      </c>
      <c r="M14" s="15" t="n">
        <f aca="false">Control!$B$7*H14</f>
        <v>51.84</v>
      </c>
      <c r="N14" s="15" t="n">
        <f aca="false">L14+M14</f>
        <v>328.32</v>
      </c>
      <c r="O14" s="3" t="s">
        <v>159</v>
      </c>
    </row>
    <row r="15" customFormat="false" ht="18" hidden="false" customHeight="true" outlineLevel="0" collapsed="false">
      <c r="A15" s="3" t="s">
        <v>160</v>
      </c>
      <c r="B15" s="3" t="s">
        <v>161</v>
      </c>
      <c r="C15" s="3" t="s">
        <v>158</v>
      </c>
      <c r="D15" s="3" t="n">
        <v>20</v>
      </c>
      <c r="E15" s="13" t="n">
        <v>20</v>
      </c>
      <c r="F15" s="13" t="n">
        <f aca="false">D15*E15</f>
        <v>400</v>
      </c>
      <c r="G15" s="13" t="n">
        <v>40</v>
      </c>
      <c r="H15" s="13" t="n">
        <f aca="false">G15*E15/1000</f>
        <v>0.8</v>
      </c>
      <c r="I15" s="14" t="n">
        <f aca="false">Control!$B$9*D15</f>
        <v>5120</v>
      </c>
      <c r="J15" s="14" t="n">
        <f aca="false">Control!$B$7*G15</f>
        <v>960</v>
      </c>
      <c r="K15" s="14" t="n">
        <f aca="false">I15+J15</f>
        <v>6080</v>
      </c>
      <c r="L15" s="15" t="n">
        <f aca="false">Control!$B$9*F15/1000</f>
        <v>102.4</v>
      </c>
      <c r="M15" s="15" t="n">
        <f aca="false">Control!$B$7*H15</f>
        <v>19.2</v>
      </c>
      <c r="N15" s="15" t="n">
        <f aca="false">L15+M15</f>
        <v>121.6</v>
      </c>
      <c r="O15" s="3" t="s">
        <v>162</v>
      </c>
    </row>
    <row r="16" customFormat="false" ht="18" hidden="false" customHeight="true" outlineLevel="0" collapsed="false">
      <c r="A16" s="3" t="s">
        <v>163</v>
      </c>
      <c r="B16" s="3" t="s">
        <v>164</v>
      </c>
      <c r="C16" s="3" t="s">
        <v>158</v>
      </c>
      <c r="D16" s="3" t="n">
        <v>12</v>
      </c>
      <c r="E16" s="13" t="n">
        <v>8</v>
      </c>
      <c r="F16" s="13" t="n">
        <f aca="false">D16*E16</f>
        <v>96</v>
      </c>
      <c r="G16" s="13" t="n">
        <v>24</v>
      </c>
      <c r="H16" s="13" t="n">
        <f aca="false">G16*E16/1000</f>
        <v>0.192</v>
      </c>
      <c r="I16" s="14" t="n">
        <f aca="false">Control!$B$9*D16</f>
        <v>3072</v>
      </c>
      <c r="J16" s="14" t="n">
        <f aca="false">Control!$B$7*G16</f>
        <v>576</v>
      </c>
      <c r="K16" s="14" t="n">
        <f aca="false">I16+J16</f>
        <v>3648</v>
      </c>
      <c r="L16" s="15" t="n">
        <f aca="false">Control!$B$9*F16/1000</f>
        <v>24.576</v>
      </c>
      <c r="M16" s="15" t="n">
        <f aca="false">Control!$B$7*H16</f>
        <v>4.608</v>
      </c>
      <c r="N16" s="15" t="n">
        <f aca="false">L16+M16</f>
        <v>29.184</v>
      </c>
      <c r="O16" s="3" t="s">
        <v>165</v>
      </c>
    </row>
    <row r="17" customFormat="false" ht="18" hidden="false" customHeight="true" outlineLevel="0" collapsed="false">
      <c r="A17" s="3" t="s">
        <v>166</v>
      </c>
      <c r="B17" s="3" t="s">
        <v>167</v>
      </c>
      <c r="C17" s="3" t="s">
        <v>158</v>
      </c>
      <c r="D17" s="3" t="n">
        <v>2</v>
      </c>
      <c r="E17" s="13" t="n">
        <v>60</v>
      </c>
      <c r="F17" s="13" t="n">
        <f aca="false">D17*E17</f>
        <v>120</v>
      </c>
      <c r="G17" s="13" t="n">
        <v>4</v>
      </c>
      <c r="H17" s="13" t="n">
        <f aca="false">G17*E17/1000</f>
        <v>0.24</v>
      </c>
      <c r="I17" s="14" t="n">
        <f aca="false">Control!$B$9*D17</f>
        <v>512</v>
      </c>
      <c r="J17" s="14" t="n">
        <f aca="false">Control!$B$7*G17</f>
        <v>96</v>
      </c>
      <c r="K17" s="14" t="n">
        <f aca="false">I17+J17</f>
        <v>608</v>
      </c>
      <c r="L17" s="15" t="n">
        <f aca="false">Control!$B$9*F17/1000</f>
        <v>30.72</v>
      </c>
      <c r="M17" s="15" t="n">
        <f aca="false">Control!$B$7*H17</f>
        <v>5.76</v>
      </c>
      <c r="N17" s="15" t="n">
        <f aca="false">L17+M17</f>
        <v>36.48</v>
      </c>
      <c r="O17" s="3" t="s">
        <v>168</v>
      </c>
    </row>
    <row r="18" customFormat="false" ht="18" hidden="false" customHeight="true" outlineLevel="0" collapsed="false">
      <c r="A18" s="3" t="s">
        <v>169</v>
      </c>
      <c r="B18" s="3" t="s">
        <v>170</v>
      </c>
      <c r="C18" s="3" t="s">
        <v>158</v>
      </c>
      <c r="D18" s="3" t="n">
        <v>6</v>
      </c>
      <c r="E18" s="13" t="n">
        <v>40</v>
      </c>
      <c r="F18" s="13" t="n">
        <f aca="false">D18*E18</f>
        <v>240</v>
      </c>
      <c r="G18" s="13" t="n">
        <v>12</v>
      </c>
      <c r="H18" s="13" t="n">
        <f aca="false">G18*E18/1000</f>
        <v>0.48</v>
      </c>
      <c r="I18" s="14" t="n">
        <f aca="false">Control!$B$9*D18</f>
        <v>1536</v>
      </c>
      <c r="J18" s="14" t="n">
        <f aca="false">Control!$B$7*G18</f>
        <v>288</v>
      </c>
      <c r="K18" s="14" t="n">
        <f aca="false">I18+J18</f>
        <v>1824</v>
      </c>
      <c r="L18" s="15" t="n">
        <f aca="false">Control!$B$9*F18/1000</f>
        <v>61.44</v>
      </c>
      <c r="M18" s="15" t="n">
        <f aca="false">Control!$B$7*H18</f>
        <v>11.52</v>
      </c>
      <c r="N18" s="15" t="n">
        <f aca="false">L18+M18</f>
        <v>72.96</v>
      </c>
      <c r="O18" s="3" t="s">
        <v>171</v>
      </c>
    </row>
    <row r="19" customFormat="false" ht="18" hidden="false" customHeight="true" outlineLevel="0" collapsed="false">
      <c r="A19" s="3" t="s">
        <v>172</v>
      </c>
      <c r="B19" s="3" t="s">
        <v>173</v>
      </c>
      <c r="C19" s="3" t="s">
        <v>158</v>
      </c>
      <c r="D19" s="3" t="n">
        <v>6</v>
      </c>
      <c r="E19" s="13" t="n">
        <v>50</v>
      </c>
      <c r="F19" s="13" t="n">
        <f aca="false">D19*E19</f>
        <v>300</v>
      </c>
      <c r="G19" s="13" t="n">
        <v>6</v>
      </c>
      <c r="H19" s="13" t="n">
        <f aca="false">G19*E19/1000</f>
        <v>0.3</v>
      </c>
      <c r="I19" s="14" t="n">
        <f aca="false">Control!$B$9*D19</f>
        <v>1536</v>
      </c>
      <c r="J19" s="14" t="n">
        <f aca="false">Control!$B$7*G19</f>
        <v>144</v>
      </c>
      <c r="K19" s="14" t="n">
        <f aca="false">I19+J19</f>
        <v>1680</v>
      </c>
      <c r="L19" s="15" t="n">
        <f aca="false">Control!$B$9*F19/1000</f>
        <v>76.8</v>
      </c>
      <c r="M19" s="15" t="n">
        <f aca="false">Control!$B$7*H19</f>
        <v>7.2</v>
      </c>
      <c r="N19" s="15" t="n">
        <f aca="false">L19+M19</f>
        <v>84</v>
      </c>
      <c r="O19" s="3" t="s">
        <v>174</v>
      </c>
    </row>
    <row r="20" customFormat="false" ht="18" hidden="false" customHeight="true" outlineLevel="0" collapsed="false">
      <c r="A20" s="3" t="s">
        <v>175</v>
      </c>
      <c r="B20" s="3" t="s">
        <v>176</v>
      </c>
      <c r="C20" s="3" t="s">
        <v>158</v>
      </c>
      <c r="D20" s="3" t="n">
        <v>24</v>
      </c>
      <c r="E20" s="13" t="n">
        <v>20</v>
      </c>
      <c r="F20" s="13" t="n">
        <f aca="false">D20*E20</f>
        <v>480</v>
      </c>
      <c r="G20" s="13" t="n">
        <v>0</v>
      </c>
      <c r="H20" s="13" t="n">
        <f aca="false">G20*E20/1000</f>
        <v>0</v>
      </c>
      <c r="I20" s="14" t="n">
        <f aca="false">Control!$B$9*D20</f>
        <v>6144</v>
      </c>
      <c r="J20" s="14" t="n">
        <f aca="false">Control!$B$7*G20</f>
        <v>0</v>
      </c>
      <c r="K20" s="14" t="n">
        <f aca="false">I20+J20</f>
        <v>6144</v>
      </c>
      <c r="L20" s="15" t="n">
        <f aca="false">Control!$B$9*F20/1000</f>
        <v>122.88</v>
      </c>
      <c r="M20" s="15" t="n">
        <f aca="false">Control!$B$7*H20</f>
        <v>0</v>
      </c>
      <c r="N20" s="15" t="n">
        <f aca="false">L20+M20</f>
        <v>122.88</v>
      </c>
      <c r="O20" s="3" t="s">
        <v>177</v>
      </c>
    </row>
    <row r="21" customFormat="false" ht="18" hidden="false" customHeight="true" outlineLevel="0" collapsed="false">
      <c r="A21" s="3" t="s">
        <v>178</v>
      </c>
      <c r="B21" s="3" t="s">
        <v>179</v>
      </c>
      <c r="C21" s="3" t="s">
        <v>158</v>
      </c>
      <c r="D21" s="3" t="n">
        <v>24</v>
      </c>
      <c r="E21" s="13" t="n">
        <v>12</v>
      </c>
      <c r="F21" s="13" t="n">
        <f aca="false">D21*E21</f>
        <v>288</v>
      </c>
      <c r="G21" s="13" t="n">
        <v>0</v>
      </c>
      <c r="H21" s="13" t="n">
        <f aca="false">G21*E21/1000</f>
        <v>0</v>
      </c>
      <c r="I21" s="14" t="n">
        <f aca="false">Control!$B$9*D21</f>
        <v>6144</v>
      </c>
      <c r="J21" s="14" t="n">
        <f aca="false">Control!$B$7*G21</f>
        <v>0</v>
      </c>
      <c r="K21" s="14" t="n">
        <f aca="false">I21+J21</f>
        <v>6144</v>
      </c>
      <c r="L21" s="15" t="n">
        <f aca="false">Control!$B$9*F21/1000</f>
        <v>73.728</v>
      </c>
      <c r="M21" s="15" t="n">
        <f aca="false">Control!$B$7*H21</f>
        <v>0</v>
      </c>
      <c r="N21" s="15" t="n">
        <f aca="false">L21+M21</f>
        <v>73.728</v>
      </c>
      <c r="O21" s="3" t="s">
        <v>180</v>
      </c>
    </row>
    <row r="22" customFormat="false" ht="18" hidden="false" customHeight="true" outlineLevel="0" collapsed="false">
      <c r="A22" s="3" t="s">
        <v>181</v>
      </c>
      <c r="B22" s="3" t="s">
        <v>182</v>
      </c>
      <c r="C22" s="3" t="s">
        <v>158</v>
      </c>
      <c r="D22" s="3" t="n">
        <v>30</v>
      </c>
      <c r="E22" s="13" t="n">
        <v>6</v>
      </c>
      <c r="F22" s="13" t="n">
        <f aca="false">D22*E22</f>
        <v>180</v>
      </c>
      <c r="G22" s="13" t="n">
        <v>60</v>
      </c>
      <c r="H22" s="13" t="n">
        <f aca="false">G22*E22/1000</f>
        <v>0.36</v>
      </c>
      <c r="I22" s="14" t="n">
        <f aca="false">Control!$B$9*D22</f>
        <v>7680</v>
      </c>
      <c r="J22" s="14" t="n">
        <f aca="false">Control!$B$7*G22</f>
        <v>1440</v>
      </c>
      <c r="K22" s="14" t="n">
        <f aca="false">I22+J22</f>
        <v>9120</v>
      </c>
      <c r="L22" s="15" t="n">
        <f aca="false">Control!$B$9*F22/1000</f>
        <v>46.08</v>
      </c>
      <c r="M22" s="15" t="n">
        <f aca="false">Control!$B$7*H22</f>
        <v>8.64</v>
      </c>
      <c r="N22" s="15" t="n">
        <f aca="false">L22+M22</f>
        <v>54.72</v>
      </c>
      <c r="O22" s="3" t="s">
        <v>183</v>
      </c>
    </row>
    <row r="23" customFormat="false" ht="18" hidden="false" customHeight="true" outlineLevel="0" collapsed="false">
      <c r="A23" s="3" t="s">
        <v>184</v>
      </c>
      <c r="B23" s="3" t="s">
        <v>185</v>
      </c>
      <c r="C23" s="3" t="s">
        <v>186</v>
      </c>
      <c r="D23" s="3" t="n">
        <v>1</v>
      </c>
      <c r="E23" s="13" t="n">
        <v>50</v>
      </c>
      <c r="F23" s="13" t="n">
        <f aca="false">D23*E23</f>
        <v>50</v>
      </c>
      <c r="G23" s="13" t="n">
        <v>0</v>
      </c>
      <c r="H23" s="13" t="n">
        <f aca="false">G23*E23/1000</f>
        <v>0</v>
      </c>
      <c r="I23" s="14" t="n">
        <f aca="false">Control!$B$9*D23</f>
        <v>256</v>
      </c>
      <c r="J23" s="14" t="n">
        <f aca="false">Control!$B$7*G23</f>
        <v>0</v>
      </c>
      <c r="K23" s="14" t="n">
        <f aca="false">I23+J23</f>
        <v>256</v>
      </c>
      <c r="L23" s="15" t="n">
        <f aca="false">Control!$B$9*F23/1000</f>
        <v>12.8</v>
      </c>
      <c r="M23" s="15" t="n">
        <f aca="false">Control!$B$7*H23</f>
        <v>0</v>
      </c>
      <c r="N23" s="15" t="n">
        <f aca="false">L23+M23</f>
        <v>12.8</v>
      </c>
      <c r="O23" s="3" t="s">
        <v>187</v>
      </c>
    </row>
    <row r="24" customFormat="false" ht="18" hidden="false" customHeight="true" outlineLevel="0" collapsed="false">
      <c r="A24" s="3" t="s">
        <v>188</v>
      </c>
      <c r="B24" s="3" t="s">
        <v>189</v>
      </c>
      <c r="C24" s="3" t="s">
        <v>186</v>
      </c>
      <c r="D24" s="3" t="n">
        <v>1</v>
      </c>
      <c r="E24" s="13" t="n">
        <v>0.1</v>
      </c>
      <c r="F24" s="13" t="n">
        <f aca="false">D24*E24</f>
        <v>0.1</v>
      </c>
      <c r="G24" s="13" t="n">
        <v>0</v>
      </c>
      <c r="H24" s="13" t="n">
        <f aca="false">G24*E24/1000</f>
        <v>0</v>
      </c>
      <c r="I24" s="14" t="n">
        <f aca="false">Control!$B$9*D24</f>
        <v>256</v>
      </c>
      <c r="J24" s="14" t="n">
        <f aca="false">Control!$B$7*G24</f>
        <v>0</v>
      </c>
      <c r="K24" s="14" t="n">
        <f aca="false">I24+J24</f>
        <v>256</v>
      </c>
      <c r="L24" s="15" t="n">
        <f aca="false">Control!$B$9*F24/1000</f>
        <v>0.0256</v>
      </c>
      <c r="M24" s="15" t="n">
        <f aca="false">Control!$B$7*H24</f>
        <v>0</v>
      </c>
      <c r="N24" s="15" t="n">
        <f aca="false">L24+M24</f>
        <v>0.0256</v>
      </c>
      <c r="O24" s="3" t="s">
        <v>190</v>
      </c>
    </row>
    <row r="25" customFormat="false" ht="18" hidden="false" customHeight="true" outlineLevel="0" collapsed="false">
      <c r="A25" s="3" t="s">
        <v>191</v>
      </c>
      <c r="B25" s="3" t="s">
        <v>192</v>
      </c>
      <c r="C25" s="3" t="s">
        <v>186</v>
      </c>
      <c r="D25" s="3" t="n">
        <v>1</v>
      </c>
      <c r="E25" s="13" t="n">
        <v>30</v>
      </c>
      <c r="F25" s="13" t="n">
        <f aca="false">D25*E25</f>
        <v>30</v>
      </c>
      <c r="G25" s="13" t="n">
        <v>0</v>
      </c>
      <c r="H25" s="13" t="n">
        <f aca="false">G25*E25/1000</f>
        <v>0</v>
      </c>
      <c r="I25" s="14" t="n">
        <f aca="false">Control!$B$9*D25</f>
        <v>256</v>
      </c>
      <c r="J25" s="14" t="n">
        <f aca="false">Control!$B$7*G25</f>
        <v>0</v>
      </c>
      <c r="K25" s="14" t="n">
        <f aca="false">I25+J25</f>
        <v>256</v>
      </c>
      <c r="L25" s="15" t="n">
        <f aca="false">Control!$B$9*F25/1000</f>
        <v>7.68</v>
      </c>
      <c r="M25" s="15" t="n">
        <f aca="false">Control!$B$7*H25</f>
        <v>0</v>
      </c>
      <c r="N25" s="15" t="n">
        <f aca="false">L25+M25</f>
        <v>7.68</v>
      </c>
      <c r="O25" s="3" t="s">
        <v>193</v>
      </c>
    </row>
    <row r="26" customFormat="false" ht="18" hidden="false" customHeight="true" outlineLevel="0" collapsed="false">
      <c r="A26" s="16" t="s">
        <v>194</v>
      </c>
      <c r="B26" s="16"/>
      <c r="C26" s="16"/>
      <c r="D26" s="16"/>
      <c r="E26" s="17"/>
      <c r="F26" s="17" t="n">
        <f aca="false">SUM(F6:F25)</f>
        <v>7611.1</v>
      </c>
      <c r="G26" s="17"/>
      <c r="H26" s="17" t="n">
        <f aca="false">SUM(H6:H25)</f>
        <v>13.706</v>
      </c>
      <c r="I26" s="18" t="n">
        <f aca="false">SUM(I6:I25)</f>
        <v>91392</v>
      </c>
      <c r="J26" s="18" t="n">
        <f aca="false">SUM(J6:J25)</f>
        <v>14640</v>
      </c>
      <c r="K26" s="18" t="n">
        <f aca="false">SUM(K6:K25)</f>
        <v>106032</v>
      </c>
      <c r="L26" s="19" t="n">
        <f aca="false">SUM(L6:L25)</f>
        <v>1948.4416</v>
      </c>
      <c r="M26" s="19" t="n">
        <f aca="false">SUM(M6:M25)</f>
        <v>328.944</v>
      </c>
      <c r="N26" s="19" t="n">
        <f aca="false">SUM(N6:N25)</f>
        <v>2277.3856</v>
      </c>
      <c r="O26" s="16"/>
    </row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195</v>
      </c>
      <c r="B2" s="1"/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117</v>
      </c>
      <c r="B5" s="7" t="s">
        <v>119</v>
      </c>
      <c r="C5" s="7" t="s">
        <v>196</v>
      </c>
      <c r="D5" s="7" t="s">
        <v>121</v>
      </c>
      <c r="E5" s="7" t="s">
        <v>197</v>
      </c>
      <c r="F5" s="7" t="s">
        <v>85</v>
      </c>
      <c r="G5" s="7" t="s">
        <v>198</v>
      </c>
      <c r="H5" s="7" t="s">
        <v>199</v>
      </c>
    </row>
    <row r="6" customFormat="false" ht="18" hidden="false" customHeight="true" outlineLevel="0" collapsed="false">
      <c r="A6" s="3" t="s">
        <v>131</v>
      </c>
      <c r="B6" s="3" t="s">
        <v>80</v>
      </c>
      <c r="C6" s="3" t="n">
        <v>32</v>
      </c>
      <c r="D6" s="3" t="n">
        <v>120</v>
      </c>
      <c r="E6" s="20" t="n">
        <f aca="false">C6*D6/1000</f>
        <v>3.84</v>
      </c>
      <c r="F6" s="20" t="n">
        <f aca="false">Control!$B$7</f>
        <v>24</v>
      </c>
      <c r="G6" s="20" t="n">
        <f aca="false">C6*F6</f>
        <v>768</v>
      </c>
      <c r="H6" s="20" t="n">
        <f aca="false">E6*F6</f>
        <v>92.16</v>
      </c>
    </row>
    <row r="7" customFormat="false" ht="18" hidden="false" customHeight="true" outlineLevel="0" collapsed="false">
      <c r="A7" s="3" t="s">
        <v>134</v>
      </c>
      <c r="B7" s="3" t="s">
        <v>136</v>
      </c>
      <c r="C7" s="3" t="n">
        <v>12</v>
      </c>
      <c r="D7" s="3" t="n">
        <v>180</v>
      </c>
      <c r="E7" s="20" t="n">
        <f aca="false">C7*D7/1000</f>
        <v>2.16</v>
      </c>
      <c r="F7" s="20" t="n">
        <f aca="false">Control!$B$7</f>
        <v>24</v>
      </c>
      <c r="G7" s="20" t="n">
        <f aca="false">C7*F7</f>
        <v>288</v>
      </c>
      <c r="H7" s="20" t="n">
        <f aca="false">E7*F7</f>
        <v>51.84</v>
      </c>
    </row>
    <row r="8" customFormat="false" ht="18" hidden="false" customHeight="true" outlineLevel="0" collapsed="false">
      <c r="A8" s="3" t="s">
        <v>138</v>
      </c>
      <c r="B8" s="3" t="s">
        <v>136</v>
      </c>
      <c r="C8" s="3" t="n">
        <v>6</v>
      </c>
      <c r="D8" s="3" t="n">
        <v>60</v>
      </c>
      <c r="E8" s="20" t="n">
        <f aca="false">C8*D8/1000</f>
        <v>0.36</v>
      </c>
      <c r="F8" s="20" t="n">
        <f aca="false">Control!$B$7</f>
        <v>24</v>
      </c>
      <c r="G8" s="20" t="n">
        <f aca="false">C8*F8</f>
        <v>144</v>
      </c>
      <c r="H8" s="20" t="n">
        <f aca="false">E8*F8</f>
        <v>8.64</v>
      </c>
    </row>
    <row r="9" customFormat="false" ht="18" hidden="false" customHeight="true" outlineLevel="0" collapsed="false">
      <c r="A9" s="3" t="s">
        <v>141</v>
      </c>
      <c r="B9" s="3" t="s">
        <v>136</v>
      </c>
      <c r="C9" s="3" t="n">
        <v>240</v>
      </c>
      <c r="D9" s="3" t="n">
        <v>1.5</v>
      </c>
      <c r="E9" s="20" t="n">
        <f aca="false">C9*D9/1000</f>
        <v>0.36</v>
      </c>
      <c r="F9" s="20" t="n">
        <f aca="false">Control!$B$7</f>
        <v>24</v>
      </c>
      <c r="G9" s="20" t="n">
        <f aca="false">C9*F9</f>
        <v>5760</v>
      </c>
      <c r="H9" s="20" t="n">
        <f aca="false">E9*F9</f>
        <v>8.64</v>
      </c>
    </row>
    <row r="10" customFormat="false" ht="18" hidden="false" customHeight="true" outlineLevel="0" collapsed="false">
      <c r="A10" s="3" t="s">
        <v>144</v>
      </c>
      <c r="B10" s="3" t="s">
        <v>136</v>
      </c>
      <c r="C10" s="3" t="n">
        <v>48</v>
      </c>
      <c r="D10" s="3" t="n">
        <v>12</v>
      </c>
      <c r="E10" s="20" t="n">
        <f aca="false">C10*D10/1000</f>
        <v>0.576</v>
      </c>
      <c r="F10" s="20" t="n">
        <f aca="false">Control!$B$7</f>
        <v>24</v>
      </c>
      <c r="G10" s="20" t="n">
        <f aca="false">C10*F10</f>
        <v>1152</v>
      </c>
      <c r="H10" s="20" t="n">
        <f aca="false">E10*F10</f>
        <v>13.824</v>
      </c>
    </row>
    <row r="11" customFormat="false" ht="18" hidden="false" customHeight="true" outlineLevel="0" collapsed="false">
      <c r="A11" s="3" t="s">
        <v>147</v>
      </c>
      <c r="B11" s="3" t="s">
        <v>136</v>
      </c>
      <c r="C11" s="3" t="n">
        <v>30</v>
      </c>
      <c r="D11" s="3" t="n">
        <v>5</v>
      </c>
      <c r="E11" s="20" t="n">
        <f aca="false">C11*D11/1000</f>
        <v>0.15</v>
      </c>
      <c r="F11" s="20" t="n">
        <f aca="false">Control!$B$7</f>
        <v>24</v>
      </c>
      <c r="G11" s="20" t="n">
        <f aca="false">C11*F11</f>
        <v>720</v>
      </c>
      <c r="H11" s="20" t="n">
        <f aca="false">E11*F11</f>
        <v>3.6</v>
      </c>
    </row>
    <row r="12" customFormat="false" ht="18" hidden="false" customHeight="true" outlineLevel="0" collapsed="false">
      <c r="A12" s="3" t="s">
        <v>150</v>
      </c>
      <c r="B12" s="3" t="s">
        <v>136</v>
      </c>
      <c r="C12" s="3" t="n">
        <v>12</v>
      </c>
      <c r="D12" s="3" t="n">
        <v>120</v>
      </c>
      <c r="E12" s="20" t="n">
        <f aca="false">C12*D12/1000</f>
        <v>1.44</v>
      </c>
      <c r="F12" s="20" t="n">
        <f aca="false">Control!$B$7</f>
        <v>24</v>
      </c>
      <c r="G12" s="20" t="n">
        <f aca="false">C12*F12</f>
        <v>288</v>
      </c>
      <c r="H12" s="20" t="n">
        <f aca="false">E12*F12</f>
        <v>34.56</v>
      </c>
    </row>
    <row r="13" customFormat="false" ht="18" hidden="false" customHeight="true" outlineLevel="0" collapsed="false">
      <c r="A13" s="3" t="s">
        <v>153</v>
      </c>
      <c r="B13" s="3" t="s">
        <v>136</v>
      </c>
      <c r="C13" s="3" t="n">
        <v>72</v>
      </c>
      <c r="D13" s="3" t="n">
        <v>4</v>
      </c>
      <c r="E13" s="20" t="n">
        <f aca="false">C13*D13/1000</f>
        <v>0.288</v>
      </c>
      <c r="F13" s="20" t="n">
        <f aca="false">Control!$B$7</f>
        <v>24</v>
      </c>
      <c r="G13" s="20" t="n">
        <f aca="false">C13*F13</f>
        <v>1728</v>
      </c>
      <c r="H13" s="20" t="n">
        <f aca="false">E13*F13</f>
        <v>6.912</v>
      </c>
    </row>
    <row r="14" customFormat="false" ht="18" hidden="false" customHeight="true" outlineLevel="0" collapsed="false">
      <c r="A14" s="3" t="s">
        <v>156</v>
      </c>
      <c r="B14" s="3" t="s">
        <v>158</v>
      </c>
      <c r="C14" s="3" t="n">
        <v>12</v>
      </c>
      <c r="D14" s="3" t="n">
        <v>180</v>
      </c>
      <c r="E14" s="20" t="n">
        <f aca="false">C14*D14/1000</f>
        <v>2.16</v>
      </c>
      <c r="F14" s="20" t="n">
        <f aca="false">Control!$B$7</f>
        <v>24</v>
      </c>
      <c r="G14" s="20" t="n">
        <f aca="false">C14*F14</f>
        <v>288</v>
      </c>
      <c r="H14" s="20" t="n">
        <f aca="false">E14*F14</f>
        <v>51.84</v>
      </c>
    </row>
    <row r="15" customFormat="false" ht="18" hidden="false" customHeight="true" outlineLevel="0" collapsed="false">
      <c r="A15" s="3" t="s">
        <v>160</v>
      </c>
      <c r="B15" s="3" t="s">
        <v>158</v>
      </c>
      <c r="C15" s="3" t="n">
        <v>40</v>
      </c>
      <c r="D15" s="3" t="n">
        <v>20</v>
      </c>
      <c r="E15" s="20" t="n">
        <f aca="false">C15*D15/1000</f>
        <v>0.8</v>
      </c>
      <c r="F15" s="20" t="n">
        <f aca="false">Control!$B$7</f>
        <v>24</v>
      </c>
      <c r="G15" s="20" t="n">
        <f aca="false">C15*F15</f>
        <v>960</v>
      </c>
      <c r="H15" s="20" t="n">
        <f aca="false">E15*F15</f>
        <v>19.2</v>
      </c>
    </row>
    <row r="16" customFormat="false" ht="18" hidden="false" customHeight="true" outlineLevel="0" collapsed="false">
      <c r="A16" s="3" t="s">
        <v>163</v>
      </c>
      <c r="B16" s="3" t="s">
        <v>158</v>
      </c>
      <c r="C16" s="3" t="n">
        <v>24</v>
      </c>
      <c r="D16" s="3" t="n">
        <v>8</v>
      </c>
      <c r="E16" s="20" t="n">
        <f aca="false">C16*D16/1000</f>
        <v>0.192</v>
      </c>
      <c r="F16" s="20" t="n">
        <f aca="false">Control!$B$7</f>
        <v>24</v>
      </c>
      <c r="G16" s="20" t="n">
        <f aca="false">C16*F16</f>
        <v>576</v>
      </c>
      <c r="H16" s="20" t="n">
        <f aca="false">E16*F16</f>
        <v>4.608</v>
      </c>
    </row>
    <row r="17" customFormat="false" ht="18" hidden="false" customHeight="true" outlineLevel="0" collapsed="false">
      <c r="A17" s="3" t="s">
        <v>166</v>
      </c>
      <c r="B17" s="3" t="s">
        <v>158</v>
      </c>
      <c r="C17" s="3" t="n">
        <v>4</v>
      </c>
      <c r="D17" s="3" t="n">
        <v>60</v>
      </c>
      <c r="E17" s="20" t="n">
        <f aca="false">C17*D17/1000</f>
        <v>0.24</v>
      </c>
      <c r="F17" s="20" t="n">
        <f aca="false">Control!$B$7</f>
        <v>24</v>
      </c>
      <c r="G17" s="20" t="n">
        <f aca="false">C17*F17</f>
        <v>96</v>
      </c>
      <c r="H17" s="20" t="n">
        <f aca="false">E17*F17</f>
        <v>5.76</v>
      </c>
    </row>
    <row r="18" customFormat="false" ht="18" hidden="false" customHeight="true" outlineLevel="0" collapsed="false">
      <c r="A18" s="3" t="s">
        <v>169</v>
      </c>
      <c r="B18" s="3" t="s">
        <v>158</v>
      </c>
      <c r="C18" s="3" t="n">
        <v>12</v>
      </c>
      <c r="D18" s="3" t="n">
        <v>40</v>
      </c>
      <c r="E18" s="20" t="n">
        <f aca="false">C18*D18/1000</f>
        <v>0.48</v>
      </c>
      <c r="F18" s="20" t="n">
        <f aca="false">Control!$B$7</f>
        <v>24</v>
      </c>
      <c r="G18" s="20" t="n">
        <f aca="false">C18*F18</f>
        <v>288</v>
      </c>
      <c r="H18" s="20" t="n">
        <f aca="false">E18*F18</f>
        <v>11.52</v>
      </c>
    </row>
    <row r="19" customFormat="false" ht="18" hidden="false" customHeight="true" outlineLevel="0" collapsed="false">
      <c r="A19" s="3" t="s">
        <v>172</v>
      </c>
      <c r="B19" s="3" t="s">
        <v>158</v>
      </c>
      <c r="C19" s="3" t="n">
        <v>6</v>
      </c>
      <c r="D19" s="3" t="n">
        <v>50</v>
      </c>
      <c r="E19" s="20" t="n">
        <f aca="false">C19*D19/1000</f>
        <v>0.3</v>
      </c>
      <c r="F19" s="20" t="n">
        <f aca="false">Control!$B$7</f>
        <v>24</v>
      </c>
      <c r="G19" s="20" t="n">
        <f aca="false">C19*F19</f>
        <v>144</v>
      </c>
      <c r="H19" s="20" t="n">
        <f aca="false">E19*F19</f>
        <v>7.2</v>
      </c>
    </row>
    <row r="20" customFormat="false" ht="18" hidden="false" customHeight="true" outlineLevel="0" collapsed="false">
      <c r="A20" s="3" t="s">
        <v>181</v>
      </c>
      <c r="B20" s="3" t="s">
        <v>158</v>
      </c>
      <c r="C20" s="3" t="n">
        <v>60</v>
      </c>
      <c r="D20" s="3" t="n">
        <v>6</v>
      </c>
      <c r="E20" s="20" t="n">
        <f aca="false">C20*D20/1000</f>
        <v>0.36</v>
      </c>
      <c r="F20" s="20" t="n">
        <f aca="false">Control!$B$7</f>
        <v>24</v>
      </c>
      <c r="G20" s="20" t="n">
        <f aca="false">C20*F20</f>
        <v>1440</v>
      </c>
      <c r="H20" s="20" t="n">
        <f aca="false">E20*F20</f>
        <v>8.64</v>
      </c>
    </row>
    <row r="21" customFormat="false" ht="18" hidden="false" customHeight="true" outlineLevel="0" collapsed="false">
      <c r="A21" s="21" t="s">
        <v>194</v>
      </c>
      <c r="B21" s="21"/>
      <c r="C21" s="21"/>
      <c r="D21" s="21"/>
      <c r="E21" s="22" t="n">
        <f aca="false">SUM(E6:E20)</f>
        <v>13.706</v>
      </c>
      <c r="F21" s="22"/>
      <c r="G21" s="22" t="n">
        <f aca="false">SUM(G6:G20)</f>
        <v>14640</v>
      </c>
      <c r="H21" s="22" t="n">
        <f aca="false">SUM(H6:H20)</f>
        <v>328.944</v>
      </c>
    </row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B4A"/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200</v>
      </c>
      <c r="B2" s="1"/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/>
      <c r="B4" s="23" t="s">
        <v>80</v>
      </c>
      <c r="C4" s="23" t="s">
        <v>136</v>
      </c>
      <c r="D4" s="23" t="s">
        <v>158</v>
      </c>
      <c r="E4" s="23" t="s">
        <v>186</v>
      </c>
      <c r="F4" s="23" t="s">
        <v>201</v>
      </c>
      <c r="G4" s="3"/>
    </row>
    <row r="5" customFormat="false" ht="18" hidden="false" customHeight="true" outlineLevel="0" collapsed="false">
      <c r="A5" s="7" t="s">
        <v>202</v>
      </c>
      <c r="B5" s="7" t="s">
        <v>203</v>
      </c>
      <c r="C5" s="7" t="s">
        <v>204</v>
      </c>
      <c r="D5" s="7" t="s">
        <v>205</v>
      </c>
      <c r="E5" s="7" t="s">
        <v>206</v>
      </c>
      <c r="F5" s="7" t="s">
        <v>207</v>
      </c>
      <c r="G5" s="7" t="s">
        <v>208</v>
      </c>
    </row>
    <row r="6" customFormat="false" ht="18" hidden="false" customHeight="true" outlineLevel="0" collapsed="false">
      <c r="A6" s="3" t="s">
        <v>209</v>
      </c>
      <c r="B6" s="24" t="n">
        <f aca="false">SUMIF(Family_Ledger!$C$6:$C$25,B$4,Family_Ledger!$L$6:$L$25)</f>
        <v>491.52</v>
      </c>
      <c r="C6" s="24" t="n">
        <f aca="false">SUMIF(Family_Ledger!$C$6:$C$25,C$4,Family_Ledger!$L$6:$L$25)</f>
        <v>621.312</v>
      </c>
      <c r="D6" s="24" t="n">
        <f aca="false">SUMIF(Family_Ledger!$C$6:$C$25,D$4,Family_Ledger!$L$6:$L$25)</f>
        <v>815.104</v>
      </c>
      <c r="E6" s="24" t="n">
        <f aca="false">SUMIF(Family_Ledger!$C$6:$C$25,"Stock",Family_Ledger!$L$6:$L$25)</f>
        <v>20.5056</v>
      </c>
      <c r="F6" s="24" t="n">
        <v>0</v>
      </c>
      <c r="G6" s="24" t="n">
        <f aca="false">SUM(B6:F6)</f>
        <v>1948.4416</v>
      </c>
    </row>
    <row r="7" customFormat="false" ht="18" hidden="false" customHeight="true" outlineLevel="0" collapsed="false">
      <c r="A7" s="3" t="s">
        <v>210</v>
      </c>
      <c r="B7" s="24" t="n">
        <v>0</v>
      </c>
      <c r="C7" s="24" t="n">
        <v>0</v>
      </c>
      <c r="D7" s="24" t="n">
        <v>274.56</v>
      </c>
      <c r="E7" s="24" t="n">
        <v>0</v>
      </c>
      <c r="F7" s="24" t="n">
        <v>0</v>
      </c>
      <c r="G7" s="24" t="n">
        <f aca="false">SUM(B7:F7)</f>
        <v>274.56</v>
      </c>
    </row>
    <row r="8" customFormat="false" ht="18" hidden="false" customHeight="true" outlineLevel="0" collapsed="false">
      <c r="A8" s="3" t="s">
        <v>211</v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0.256</v>
      </c>
      <c r="G8" s="24" t="n">
        <f aca="false">SUM(B8:F8)</f>
        <v>0.256</v>
      </c>
    </row>
    <row r="9" customFormat="false" ht="18" hidden="false" customHeight="true" outlineLevel="0" collapsed="false">
      <c r="A9" s="3" t="s">
        <v>212</v>
      </c>
      <c r="B9" s="24" t="n">
        <v>92.16</v>
      </c>
      <c r="C9" s="24" t="n">
        <v>128.016</v>
      </c>
      <c r="D9" s="24" t="n">
        <v>108.768</v>
      </c>
      <c r="E9" s="24" t="n">
        <v>0</v>
      </c>
      <c r="F9" s="24" t="n">
        <v>0</v>
      </c>
      <c r="G9" s="24" t="n">
        <f aca="false">SUM(B9:F9)</f>
        <v>328.944</v>
      </c>
    </row>
    <row r="10" customFormat="false" ht="18" hidden="false" customHeight="true" outlineLevel="0" collapsed="false">
      <c r="A10" s="3" t="s">
        <v>213</v>
      </c>
      <c r="B10" s="24" t="n">
        <v>0</v>
      </c>
      <c r="C10" s="24" t="n">
        <v>300</v>
      </c>
      <c r="D10" s="24" t="n">
        <v>0</v>
      </c>
      <c r="E10" s="24" t="n">
        <v>0</v>
      </c>
      <c r="F10" s="24" t="n">
        <v>0</v>
      </c>
      <c r="G10" s="24" t="n">
        <f aca="false">SUM(B10:F10)</f>
        <v>300</v>
      </c>
    </row>
    <row r="11" customFormat="false" ht="18" hidden="false" customHeight="true" outlineLevel="0" collapsed="false">
      <c r="A11" s="3" t="s">
        <v>214</v>
      </c>
      <c r="B11" s="24" t="n">
        <v>0</v>
      </c>
      <c r="C11" s="24" t="n">
        <v>0</v>
      </c>
      <c r="D11" s="24" t="n">
        <v>144</v>
      </c>
      <c r="E11" s="24" t="n">
        <v>0</v>
      </c>
      <c r="F11" s="24" t="n">
        <v>0</v>
      </c>
      <c r="G11" s="24" t="n">
        <f aca="false">SUM(B11:F11)</f>
        <v>144</v>
      </c>
    </row>
    <row r="12" customFormat="false" ht="18" hidden="false" customHeight="true" outlineLevel="0" collapsed="false">
      <c r="A12" s="3" t="s">
        <v>215</v>
      </c>
      <c r="B12" s="24" t="n">
        <f aca="false">300*1.92/7.531</f>
        <v>76.4838666843713</v>
      </c>
      <c r="C12" s="24" t="n">
        <f aca="false">300*2.427/7.531</f>
        <v>96.6803877307131</v>
      </c>
      <c r="D12" s="24" t="n">
        <f aca="false">300*3.184/7.531</f>
        <v>126.835745584916</v>
      </c>
      <c r="E12" s="24" t="n">
        <v>0</v>
      </c>
      <c r="F12" s="24" t="n">
        <v>0</v>
      </c>
      <c r="G12" s="24" t="n">
        <f aca="false">SUM(B12:F12)</f>
        <v>300</v>
      </c>
    </row>
    <row r="13" customFormat="false" ht="18" hidden="false" customHeight="true" outlineLevel="0" collapsed="false">
      <c r="A13" s="3" t="s">
        <v>216</v>
      </c>
      <c r="B13" s="24" t="n">
        <v>0</v>
      </c>
      <c r="C13" s="24" t="n">
        <v>0</v>
      </c>
      <c r="D13" s="24" t="n">
        <v>180</v>
      </c>
      <c r="E13" s="24" t="n">
        <v>0</v>
      </c>
      <c r="F13" s="24" t="n">
        <v>0</v>
      </c>
      <c r="G13" s="24" t="n">
        <f aca="false">SUM(B13:F13)</f>
        <v>180</v>
      </c>
    </row>
    <row r="14" customFormat="false" ht="18" hidden="false" customHeight="true" outlineLevel="0" collapsed="false">
      <c r="A14" s="3" t="s">
        <v>217</v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90</v>
      </c>
      <c r="G14" s="24" t="n">
        <f aca="false">SUM(B14:F14)</f>
        <v>90</v>
      </c>
    </row>
    <row r="15" customFormat="false" ht="18" hidden="false" customHeight="true" outlineLevel="0" collapsed="false">
      <c r="A15" s="3" t="s">
        <v>218</v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75</v>
      </c>
      <c r="G15" s="24" t="n">
        <f aca="false">SUM(B15:F15)</f>
        <v>75</v>
      </c>
    </row>
    <row r="16" customFormat="false" ht="18" hidden="false" customHeight="true" outlineLevel="0" collapsed="false">
      <c r="A16" s="21" t="s">
        <v>219</v>
      </c>
      <c r="B16" s="25" t="n">
        <f aca="false">SUM(B6:B15)</f>
        <v>660.163866684371</v>
      </c>
      <c r="C16" s="25" t="n">
        <f aca="false">SUM(C6:C15)</f>
        <v>1146.00838773071</v>
      </c>
      <c r="D16" s="25" t="n">
        <f aca="false">SUM(D6:D15)</f>
        <v>1649.26774558492</v>
      </c>
      <c r="E16" s="25" t="n">
        <f aca="false">SUM(E6:E15)</f>
        <v>20.5056</v>
      </c>
      <c r="F16" s="25" t="n">
        <f aca="false">SUM(F6:F15)</f>
        <v>165.256</v>
      </c>
      <c r="G16" s="25" t="n">
        <f aca="false">SUM(G6:G15)</f>
        <v>3641.2016</v>
      </c>
    </row>
    <row r="17" customFormat="false" ht="18" hidden="false" customHeight="true" outlineLevel="0" collapsed="false">
      <c r="A17" s="3"/>
      <c r="B17" s="24"/>
      <c r="C17" s="24"/>
      <c r="D17" s="24"/>
      <c r="E17" s="24"/>
      <c r="F17" s="24"/>
      <c r="G17" s="24"/>
    </row>
    <row r="18" customFormat="false" ht="18" hidden="false" customHeight="true" outlineLevel="0" collapsed="false">
      <c r="A18" s="3" t="s">
        <v>220</v>
      </c>
      <c r="B18" s="26" t="n">
        <f aca="false">B16/$G$16</f>
        <v>0.181303849444747</v>
      </c>
      <c r="C18" s="26" t="n">
        <f aca="false">C16/$G$16</f>
        <v>0.31473357249176</v>
      </c>
      <c r="D18" s="26" t="n">
        <f aca="false">D16/$G$16</f>
        <v>0.452946012542924</v>
      </c>
      <c r="E18" s="26" t="n">
        <f aca="false">E16/$G$16</f>
        <v>0.00563154756385914</v>
      </c>
      <c r="F18" s="26" t="n">
        <f aca="false">F16/$G$16</f>
        <v>0.0453850179567097</v>
      </c>
      <c r="G18" s="26" t="n">
        <f aca="false">SUM(B18:F18)</f>
        <v>1</v>
      </c>
    </row>
    <row r="19" customFormat="false" ht="18" hidden="false" customHeight="true" outlineLevel="0" collapsed="false">
      <c r="A19" s="3"/>
      <c r="B19" s="24"/>
      <c r="C19" s="24"/>
      <c r="D19" s="24"/>
      <c r="E19" s="24"/>
      <c r="F19" s="24"/>
      <c r="G19" s="24"/>
    </row>
    <row r="20" customFormat="false" ht="18" hidden="false" customHeight="true" outlineLevel="0" collapsed="false">
      <c r="A20" s="7" t="s">
        <v>17</v>
      </c>
      <c r="B20" s="27" t="s">
        <v>221</v>
      </c>
      <c r="C20" s="27"/>
      <c r="D20" s="27"/>
      <c r="E20" s="27"/>
      <c r="F20" s="27"/>
      <c r="G20" s="27"/>
    </row>
    <row r="21" customFormat="false" ht="18" hidden="false" customHeight="true" outlineLevel="0" collapsed="false">
      <c r="A21" s="3" t="s">
        <v>222</v>
      </c>
      <c r="B21" s="24" t="n">
        <f aca="false">B16+E16</f>
        <v>680.669466684371</v>
      </c>
      <c r="C21" s="24"/>
      <c r="D21" s="24"/>
      <c r="E21" s="24"/>
      <c r="F21" s="24"/>
      <c r="G21" s="24"/>
    </row>
    <row r="22" customFormat="false" ht="18" hidden="false" customHeight="true" outlineLevel="0" collapsed="false">
      <c r="A22" s="3" t="s">
        <v>223</v>
      </c>
      <c r="B22" s="24" t="n">
        <f aca="false">G16</f>
        <v>3641.2016</v>
      </c>
      <c r="C22" s="24"/>
      <c r="D22" s="24"/>
      <c r="E22" s="24"/>
      <c r="F22" s="24"/>
      <c r="G22" s="24"/>
    </row>
    <row r="23" customFormat="false" ht="18" hidden="false" customHeight="true" outlineLevel="0" collapsed="false">
      <c r="A23" s="10" t="s">
        <v>224</v>
      </c>
      <c r="B23" s="28" t="n">
        <v>0</v>
      </c>
      <c r="C23" s="24"/>
      <c r="D23" s="24"/>
      <c r="E23" s="24"/>
      <c r="F23" s="24"/>
      <c r="G23" s="24"/>
    </row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B4A"/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44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225</v>
      </c>
      <c r="B2" s="1"/>
      <c r="C2" s="1"/>
      <c r="D2" s="1"/>
      <c r="E2" s="1"/>
      <c r="F2" s="1"/>
      <c r="G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117</v>
      </c>
      <c r="B5" s="7" t="s">
        <v>119</v>
      </c>
      <c r="C5" s="7" t="s">
        <v>125</v>
      </c>
      <c r="D5" s="7" t="s">
        <v>226</v>
      </c>
      <c r="E5" s="7" t="s">
        <v>227</v>
      </c>
      <c r="F5" s="7" t="s">
        <v>127</v>
      </c>
      <c r="G5" s="7" t="s">
        <v>228</v>
      </c>
    </row>
    <row r="6" customFormat="false" ht="18" hidden="false" customHeight="true" outlineLevel="0" collapsed="false">
      <c r="A6" s="3" t="s">
        <v>131</v>
      </c>
      <c r="B6" s="3" t="s">
        <v>80</v>
      </c>
      <c r="C6" s="29" t="n">
        <f aca="false">Family_Ledger!I6</f>
        <v>4096</v>
      </c>
      <c r="D6" s="29" t="n">
        <f aca="false">Family_Ledger!J6</f>
        <v>768</v>
      </c>
      <c r="E6" s="29" t="n">
        <v>0</v>
      </c>
      <c r="F6" s="29" t="n">
        <f aca="false">SUM(C6:E6)</f>
        <v>4864</v>
      </c>
      <c r="G6" s="3" t="s">
        <v>229</v>
      </c>
    </row>
    <row r="7" customFormat="false" ht="18" hidden="false" customHeight="true" outlineLevel="0" collapsed="false">
      <c r="A7" s="3" t="s">
        <v>134</v>
      </c>
      <c r="B7" s="3" t="s">
        <v>136</v>
      </c>
      <c r="C7" s="29" t="n">
        <f aca="false">Family_Ledger!I7</f>
        <v>1536</v>
      </c>
      <c r="D7" s="29" t="n">
        <f aca="false">Family_Ledger!J7</f>
        <v>288</v>
      </c>
      <c r="E7" s="29" t="n">
        <v>0</v>
      </c>
      <c r="F7" s="29" t="n">
        <f aca="false">SUM(C7:E7)</f>
        <v>1824</v>
      </c>
      <c r="G7" s="3" t="s">
        <v>229</v>
      </c>
    </row>
    <row r="8" customFormat="false" ht="18" hidden="false" customHeight="true" outlineLevel="0" collapsed="false">
      <c r="A8" s="3" t="s">
        <v>138</v>
      </c>
      <c r="B8" s="3" t="s">
        <v>136</v>
      </c>
      <c r="C8" s="29" t="n">
        <f aca="false">Family_Ledger!I8</f>
        <v>768</v>
      </c>
      <c r="D8" s="29" t="n">
        <f aca="false">Family_Ledger!J8</f>
        <v>144</v>
      </c>
      <c r="E8" s="29" t="n">
        <v>0</v>
      </c>
      <c r="F8" s="29" t="n">
        <f aca="false">SUM(C8:E8)</f>
        <v>912</v>
      </c>
      <c r="G8" s="3" t="s">
        <v>229</v>
      </c>
    </row>
    <row r="9" customFormat="false" ht="18" hidden="false" customHeight="true" outlineLevel="0" collapsed="false">
      <c r="A9" s="3" t="s">
        <v>141</v>
      </c>
      <c r="B9" s="3" t="s">
        <v>136</v>
      </c>
      <c r="C9" s="29" t="n">
        <f aca="false">Family_Ledger!I9</f>
        <v>30720</v>
      </c>
      <c r="D9" s="29" t="n">
        <f aca="false">Family_Ledger!J9</f>
        <v>5760</v>
      </c>
      <c r="E9" s="29" t="n">
        <v>0</v>
      </c>
      <c r="F9" s="29" t="n">
        <f aca="false">SUM(C9:E9)</f>
        <v>36480</v>
      </c>
      <c r="G9" s="3" t="s">
        <v>229</v>
      </c>
    </row>
    <row r="10" customFormat="false" ht="18" hidden="false" customHeight="true" outlineLevel="0" collapsed="false">
      <c r="A10" s="3" t="s">
        <v>144</v>
      </c>
      <c r="B10" s="3" t="s">
        <v>136</v>
      </c>
      <c r="C10" s="29" t="n">
        <f aca="false">Family_Ledger!I10</f>
        <v>6144</v>
      </c>
      <c r="D10" s="29" t="n">
        <f aca="false">Family_Ledger!J10</f>
        <v>1152</v>
      </c>
      <c r="E10" s="29" t="n">
        <v>0</v>
      </c>
      <c r="F10" s="29" t="n">
        <f aca="false">SUM(C10:E10)</f>
        <v>7296</v>
      </c>
      <c r="G10" s="3" t="s">
        <v>229</v>
      </c>
    </row>
    <row r="11" customFormat="false" ht="18" hidden="false" customHeight="true" outlineLevel="0" collapsed="false">
      <c r="A11" s="3" t="s">
        <v>147</v>
      </c>
      <c r="B11" s="3" t="s">
        <v>136</v>
      </c>
      <c r="C11" s="29" t="n">
        <f aca="false">Family_Ledger!I11</f>
        <v>3840</v>
      </c>
      <c r="D11" s="29" t="n">
        <f aca="false">Family_Ledger!J11</f>
        <v>720</v>
      </c>
      <c r="E11" s="29" t="n">
        <v>0</v>
      </c>
      <c r="F11" s="29" t="n">
        <f aca="false">SUM(C11:E11)</f>
        <v>4560</v>
      </c>
      <c r="G11" s="3" t="s">
        <v>229</v>
      </c>
    </row>
    <row r="12" customFormat="false" ht="18" hidden="false" customHeight="true" outlineLevel="0" collapsed="false">
      <c r="A12" s="3" t="s">
        <v>150</v>
      </c>
      <c r="B12" s="3" t="s">
        <v>136</v>
      </c>
      <c r="C12" s="29" t="n">
        <f aca="false">Family_Ledger!I12</f>
        <v>1024</v>
      </c>
      <c r="D12" s="29" t="n">
        <f aca="false">Family_Ledger!J12</f>
        <v>288</v>
      </c>
      <c r="E12" s="29" t="n">
        <v>0</v>
      </c>
      <c r="F12" s="29" t="n">
        <f aca="false">SUM(C12:E12)</f>
        <v>1312</v>
      </c>
      <c r="G12" s="3" t="s">
        <v>229</v>
      </c>
    </row>
    <row r="13" customFormat="false" ht="18" hidden="false" customHeight="true" outlineLevel="0" collapsed="false">
      <c r="A13" s="3" t="s">
        <v>153</v>
      </c>
      <c r="B13" s="3" t="s">
        <v>136</v>
      </c>
      <c r="C13" s="29" t="n">
        <f aca="false">Family_Ledger!I13</f>
        <v>9216</v>
      </c>
      <c r="D13" s="29" t="n">
        <f aca="false">Family_Ledger!J13</f>
        <v>1728</v>
      </c>
      <c r="E13" s="29" t="n">
        <v>0</v>
      </c>
      <c r="F13" s="29" t="n">
        <f aca="false">SUM(C13:E13)</f>
        <v>10944</v>
      </c>
      <c r="G13" s="3" t="s">
        <v>229</v>
      </c>
    </row>
    <row r="14" customFormat="false" ht="18" hidden="false" customHeight="true" outlineLevel="0" collapsed="false">
      <c r="A14" s="3" t="s">
        <v>156</v>
      </c>
      <c r="B14" s="3" t="s">
        <v>158</v>
      </c>
      <c r="C14" s="29" t="n">
        <f aca="false">Family_Ledger!I14</f>
        <v>1536</v>
      </c>
      <c r="D14" s="29" t="n">
        <f aca="false">Family_Ledger!J14</f>
        <v>288</v>
      </c>
      <c r="E14" s="29" t="n">
        <v>0</v>
      </c>
      <c r="F14" s="29" t="n">
        <f aca="false">SUM(C14:E14)</f>
        <v>1824</v>
      </c>
      <c r="G14" s="3" t="s">
        <v>229</v>
      </c>
    </row>
    <row r="15" customFormat="false" ht="18" hidden="false" customHeight="true" outlineLevel="0" collapsed="false">
      <c r="A15" s="3" t="s">
        <v>160</v>
      </c>
      <c r="B15" s="3" t="s">
        <v>158</v>
      </c>
      <c r="C15" s="29" t="n">
        <f aca="false">Family_Ledger!I15</f>
        <v>5120</v>
      </c>
      <c r="D15" s="29" t="n">
        <f aca="false">Family_Ledger!J15</f>
        <v>960</v>
      </c>
      <c r="E15" s="29" t="n">
        <v>0</v>
      </c>
      <c r="F15" s="29" t="n">
        <f aca="false">SUM(C15:E15)</f>
        <v>6080</v>
      </c>
      <c r="G15" s="3" t="s">
        <v>229</v>
      </c>
    </row>
    <row r="16" customFormat="false" ht="18" hidden="false" customHeight="true" outlineLevel="0" collapsed="false">
      <c r="A16" s="3" t="s">
        <v>163</v>
      </c>
      <c r="B16" s="3" t="s">
        <v>158</v>
      </c>
      <c r="C16" s="29" t="n">
        <f aca="false">Family_Ledger!I16</f>
        <v>3072</v>
      </c>
      <c r="D16" s="29" t="n">
        <f aca="false">Family_Ledger!J16</f>
        <v>576</v>
      </c>
      <c r="E16" s="29" t="n">
        <v>0</v>
      </c>
      <c r="F16" s="29" t="n">
        <f aca="false">SUM(C16:E16)</f>
        <v>3648</v>
      </c>
      <c r="G16" s="3" t="s">
        <v>229</v>
      </c>
    </row>
    <row r="17" customFormat="false" ht="18" hidden="false" customHeight="true" outlineLevel="0" collapsed="false">
      <c r="A17" s="3" t="s">
        <v>166</v>
      </c>
      <c r="B17" s="3" t="s">
        <v>158</v>
      </c>
      <c r="C17" s="29" t="n">
        <f aca="false">Family_Ledger!I17</f>
        <v>512</v>
      </c>
      <c r="D17" s="29" t="n">
        <f aca="false">Family_Ledger!J17</f>
        <v>96</v>
      </c>
      <c r="E17" s="29" t="n">
        <v>0</v>
      </c>
      <c r="F17" s="29" t="n">
        <f aca="false">SUM(C17:E17)</f>
        <v>608</v>
      </c>
      <c r="G17" s="3" t="s">
        <v>229</v>
      </c>
    </row>
    <row r="18" customFormat="false" ht="18" hidden="false" customHeight="true" outlineLevel="0" collapsed="false">
      <c r="A18" s="3" t="s">
        <v>169</v>
      </c>
      <c r="B18" s="3" t="s">
        <v>158</v>
      </c>
      <c r="C18" s="29" t="n">
        <f aca="false">Family_Ledger!I18</f>
        <v>1536</v>
      </c>
      <c r="D18" s="29" t="n">
        <f aca="false">Family_Ledger!J18</f>
        <v>288</v>
      </c>
      <c r="E18" s="29" t="n">
        <v>0</v>
      </c>
      <c r="F18" s="29" t="n">
        <f aca="false">SUM(C18:E18)</f>
        <v>1824</v>
      </c>
      <c r="G18" s="3" t="s">
        <v>229</v>
      </c>
    </row>
    <row r="19" customFormat="false" ht="18" hidden="false" customHeight="true" outlineLevel="0" collapsed="false">
      <c r="A19" s="3" t="s">
        <v>172</v>
      </c>
      <c r="B19" s="3" t="s">
        <v>158</v>
      </c>
      <c r="C19" s="29" t="n">
        <f aca="false">Family_Ledger!I19</f>
        <v>1536</v>
      </c>
      <c r="D19" s="29" t="n">
        <f aca="false">Family_Ledger!J19</f>
        <v>144</v>
      </c>
      <c r="E19" s="29" t="n">
        <v>0</v>
      </c>
      <c r="F19" s="29" t="n">
        <f aca="false">SUM(C19:E19)</f>
        <v>1680</v>
      </c>
      <c r="G19" s="3" t="s">
        <v>229</v>
      </c>
    </row>
    <row r="20" customFormat="false" ht="18" hidden="false" customHeight="true" outlineLevel="0" collapsed="false">
      <c r="A20" s="3" t="s">
        <v>175</v>
      </c>
      <c r="B20" s="3" t="s">
        <v>158</v>
      </c>
      <c r="C20" s="29" t="n">
        <f aca="false">Family_Ledger!I20</f>
        <v>6144</v>
      </c>
      <c r="D20" s="29" t="n">
        <f aca="false">Family_Ledger!J20</f>
        <v>0</v>
      </c>
      <c r="E20" s="29" t="n">
        <v>0</v>
      </c>
      <c r="F20" s="29" t="n">
        <f aca="false">SUM(C20:E20)</f>
        <v>6144</v>
      </c>
      <c r="G20" s="3" t="s">
        <v>229</v>
      </c>
    </row>
    <row r="21" customFormat="false" ht="18" hidden="false" customHeight="true" outlineLevel="0" collapsed="false">
      <c r="A21" s="3" t="s">
        <v>178</v>
      </c>
      <c r="B21" s="3" t="s">
        <v>158</v>
      </c>
      <c r="C21" s="29" t="n">
        <f aca="false">Family_Ledger!I21</f>
        <v>6144</v>
      </c>
      <c r="D21" s="29" t="n">
        <f aca="false">Family_Ledger!J21</f>
        <v>0</v>
      </c>
      <c r="E21" s="29" t="n">
        <v>0</v>
      </c>
      <c r="F21" s="29" t="n">
        <f aca="false">SUM(C21:E21)</f>
        <v>6144</v>
      </c>
      <c r="G21" s="3" t="s">
        <v>229</v>
      </c>
    </row>
    <row r="22" customFormat="false" ht="18" hidden="false" customHeight="true" outlineLevel="0" collapsed="false">
      <c r="A22" s="3" t="s">
        <v>181</v>
      </c>
      <c r="B22" s="3" t="s">
        <v>158</v>
      </c>
      <c r="C22" s="29" t="n">
        <f aca="false">Family_Ledger!I22</f>
        <v>7680</v>
      </c>
      <c r="D22" s="29" t="n">
        <f aca="false">Family_Ledger!J22</f>
        <v>1440</v>
      </c>
      <c r="E22" s="29" t="n">
        <v>0</v>
      </c>
      <c r="F22" s="29" t="n">
        <f aca="false">SUM(C22:E22)</f>
        <v>9120</v>
      </c>
      <c r="G22" s="3" t="s">
        <v>229</v>
      </c>
    </row>
    <row r="23" customFormat="false" ht="18" hidden="false" customHeight="true" outlineLevel="0" collapsed="false">
      <c r="A23" s="3" t="s">
        <v>230</v>
      </c>
      <c r="B23" s="3" t="s">
        <v>158</v>
      </c>
      <c r="C23" s="29" t="n">
        <v>0</v>
      </c>
      <c r="D23" s="29" t="n">
        <v>0</v>
      </c>
      <c r="E23" s="29" t="n">
        <v>84480</v>
      </c>
      <c r="F23" s="29" t="n">
        <f aca="false">SUM(C23:E23)</f>
        <v>84480</v>
      </c>
      <c r="G23" s="3" t="s">
        <v>231</v>
      </c>
    </row>
    <row r="24" customFormat="false" ht="18" hidden="false" customHeight="true" outlineLevel="0" collapsed="false">
      <c r="A24" s="3" t="s">
        <v>232</v>
      </c>
      <c r="B24" s="3" t="s">
        <v>158</v>
      </c>
      <c r="C24" s="29" t="n">
        <v>0</v>
      </c>
      <c r="D24" s="29" t="n">
        <v>0</v>
      </c>
      <c r="E24" s="29" t="n">
        <v>79200</v>
      </c>
      <c r="F24" s="29" t="n">
        <f aca="false">SUM(C24:E24)</f>
        <v>79200</v>
      </c>
      <c r="G24" s="3" t="s">
        <v>233</v>
      </c>
    </row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7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234</v>
      </c>
      <c r="B2" s="1"/>
      <c r="C2" s="1"/>
      <c r="D2" s="1"/>
      <c r="E2" s="1"/>
    </row>
    <row r="3" customFormat="false" ht="18" hidden="false" customHeight="true" outlineLevel="0" collapsed="false">
      <c r="A3" s="2"/>
      <c r="B3" s="2"/>
      <c r="C3" s="2"/>
      <c r="D3" s="2"/>
      <c r="E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235</v>
      </c>
      <c r="B5" s="7" t="s">
        <v>236</v>
      </c>
      <c r="C5" s="7" t="s">
        <v>237</v>
      </c>
      <c r="D5" s="7" t="s">
        <v>238</v>
      </c>
      <c r="E5" s="7" t="s">
        <v>239</v>
      </c>
    </row>
    <row r="6" customFormat="false" ht="18" hidden="false" customHeight="true" outlineLevel="0" collapsed="false">
      <c r="A6" s="3" t="s">
        <v>240</v>
      </c>
      <c r="B6" s="5" t="s">
        <v>241</v>
      </c>
      <c r="C6" s="5" t="s">
        <v>242</v>
      </c>
      <c r="D6" s="3" t="s">
        <v>243</v>
      </c>
      <c r="E6" s="3" t="s">
        <v>95</v>
      </c>
    </row>
    <row r="7" customFormat="false" ht="18" hidden="false" customHeight="true" outlineLevel="0" collapsed="false">
      <c r="A7" s="3" t="s">
        <v>244</v>
      </c>
      <c r="B7" s="5" t="s">
        <v>245</v>
      </c>
      <c r="C7" s="5" t="s">
        <v>246</v>
      </c>
      <c r="D7" s="3" t="s">
        <v>247</v>
      </c>
      <c r="E7" s="3" t="s">
        <v>95</v>
      </c>
    </row>
    <row r="8" customFormat="false" ht="18" hidden="false" customHeight="true" outlineLevel="0" collapsed="false">
      <c r="A8" s="3" t="s">
        <v>248</v>
      </c>
      <c r="B8" s="5" t="s">
        <v>249</v>
      </c>
      <c r="C8" s="5" t="s">
        <v>250</v>
      </c>
      <c r="D8" s="3" t="s">
        <v>251</v>
      </c>
      <c r="E8" s="3" t="s">
        <v>95</v>
      </c>
    </row>
    <row r="9" customFormat="false" ht="18" hidden="false" customHeight="true" outlineLevel="0" collapsed="false">
      <c r="A9" s="3" t="s">
        <v>252</v>
      </c>
      <c r="B9" s="5" t="s">
        <v>253</v>
      </c>
      <c r="C9" s="5" t="s">
        <v>254</v>
      </c>
      <c r="D9" s="3" t="s">
        <v>255</v>
      </c>
      <c r="E9" s="3" t="s">
        <v>95</v>
      </c>
    </row>
    <row r="10" customFormat="false" ht="18" hidden="false" customHeight="true" outlineLevel="0" collapsed="false">
      <c r="A10" s="3" t="s">
        <v>256</v>
      </c>
      <c r="B10" s="5" t="s">
        <v>257</v>
      </c>
      <c r="C10" s="5" t="s">
        <v>258</v>
      </c>
      <c r="D10" s="3" t="s">
        <v>259</v>
      </c>
      <c r="E10" s="3" t="s">
        <v>95</v>
      </c>
    </row>
    <row r="11" customFormat="false" ht="18" hidden="false" customHeight="true" outlineLevel="0" collapsed="false">
      <c r="A11" s="3" t="s">
        <v>260</v>
      </c>
      <c r="B11" s="5" t="s">
        <v>261</v>
      </c>
      <c r="C11" s="5" t="s">
        <v>262</v>
      </c>
      <c r="D11" s="3" t="s">
        <v>255</v>
      </c>
      <c r="E11" s="3" t="s">
        <v>95</v>
      </c>
    </row>
    <row r="12" customFormat="false" ht="18" hidden="false" customHeight="true" outlineLevel="0" collapsed="false">
      <c r="A12" s="3" t="s">
        <v>263</v>
      </c>
      <c r="B12" s="5" t="s">
        <v>264</v>
      </c>
      <c r="C12" s="5" t="s">
        <v>265</v>
      </c>
      <c r="D12" s="3" t="s">
        <v>266</v>
      </c>
      <c r="E12" s="3" t="s">
        <v>95</v>
      </c>
    </row>
    <row r="13" customFormat="false" ht="18" hidden="false" customHeight="true" outlineLevel="0" collapsed="false">
      <c r="A13" s="3" t="s">
        <v>267</v>
      </c>
      <c r="B13" s="5" t="s">
        <v>268</v>
      </c>
      <c r="C13" s="5" t="s">
        <v>269</v>
      </c>
      <c r="D13" s="3" t="s">
        <v>255</v>
      </c>
      <c r="E13" s="3" t="s">
        <v>95</v>
      </c>
    </row>
    <row r="14" customFormat="false" ht="18" hidden="false" customHeight="true" outlineLevel="0" collapsed="false">
      <c r="A14" s="3" t="s">
        <v>270</v>
      </c>
      <c r="B14" s="5" t="s">
        <v>271</v>
      </c>
      <c r="C14" s="5" t="s">
        <v>272</v>
      </c>
      <c r="D14" s="3" t="s">
        <v>251</v>
      </c>
      <c r="E14" s="3" t="s">
        <v>95</v>
      </c>
    </row>
    <row r="15" customFormat="false" ht="18" hidden="false" customHeight="true" outlineLevel="0" collapsed="false">
      <c r="A15" s="3" t="s">
        <v>273</v>
      </c>
      <c r="B15" s="5" t="s">
        <v>274</v>
      </c>
      <c r="C15" s="5" t="s">
        <v>275</v>
      </c>
      <c r="D15" s="3" t="s">
        <v>276</v>
      </c>
      <c r="E15" s="3" t="s">
        <v>95</v>
      </c>
    </row>
    <row r="16" customFormat="false" ht="18" hidden="false" customHeight="true" outlineLevel="0" collapsed="false">
      <c r="A16" s="3" t="s">
        <v>277</v>
      </c>
      <c r="B16" s="5" t="s">
        <v>278</v>
      </c>
      <c r="C16" s="5" t="s">
        <v>279</v>
      </c>
      <c r="D16" s="3" t="s">
        <v>280</v>
      </c>
      <c r="E16" s="3" t="s">
        <v>95</v>
      </c>
    </row>
    <row r="17" customFormat="false" ht="18" hidden="false" customHeight="true" outlineLevel="0" collapsed="false">
      <c r="A17" s="3" t="s">
        <v>281</v>
      </c>
      <c r="B17" s="5" t="s">
        <v>282</v>
      </c>
      <c r="C17" s="5" t="s">
        <v>283</v>
      </c>
      <c r="D17" s="3" t="s">
        <v>284</v>
      </c>
      <c r="E17" s="3" t="s">
        <v>95</v>
      </c>
    </row>
    <row r="18" customFormat="false" ht="18" hidden="false" customHeight="true" outlineLevel="0" collapsed="false">
      <c r="A18" s="3" t="s">
        <v>285</v>
      </c>
      <c r="B18" s="5" t="s">
        <v>286</v>
      </c>
      <c r="C18" s="5" t="s">
        <v>287</v>
      </c>
      <c r="D18" s="3" t="s">
        <v>288</v>
      </c>
      <c r="E18" s="3" t="s">
        <v>95</v>
      </c>
    </row>
    <row r="19" customFormat="false" ht="18" hidden="false" customHeight="true" outlineLevel="0" collapsed="false">
      <c r="A19" s="3" t="s">
        <v>289</v>
      </c>
      <c r="B19" s="5" t="s">
        <v>290</v>
      </c>
      <c r="C19" s="5" t="s">
        <v>291</v>
      </c>
      <c r="D19" s="3" t="s">
        <v>259</v>
      </c>
      <c r="E19" s="3" t="s">
        <v>95</v>
      </c>
    </row>
    <row r="20" customFormat="false" ht="18" hidden="false" customHeight="true" outlineLevel="0" collapsed="false">
      <c r="A20" s="3" t="s">
        <v>292</v>
      </c>
      <c r="B20" s="5" t="s">
        <v>293</v>
      </c>
      <c r="C20" s="5" t="s">
        <v>294</v>
      </c>
      <c r="D20" s="3" t="s">
        <v>247</v>
      </c>
      <c r="E20" s="3" t="s">
        <v>95</v>
      </c>
    </row>
    <row r="21" customFormat="false" ht="18" hidden="false" customHeight="true" outlineLevel="0" collapsed="false">
      <c r="A21" s="3" t="s">
        <v>295</v>
      </c>
      <c r="B21" s="5" t="s">
        <v>296</v>
      </c>
      <c r="C21" s="5" t="s">
        <v>297</v>
      </c>
      <c r="D21" s="3" t="s">
        <v>259</v>
      </c>
      <c r="E21" s="3" t="s">
        <v>95</v>
      </c>
    </row>
    <row r="22" customFormat="false" ht="18" hidden="false" customHeight="true" outlineLevel="0" collapsed="false">
      <c r="A22" s="3" t="s">
        <v>298</v>
      </c>
      <c r="B22" s="5" t="s">
        <v>299</v>
      </c>
      <c r="C22" s="5" t="s">
        <v>300</v>
      </c>
      <c r="D22" s="3" t="s">
        <v>243</v>
      </c>
      <c r="E22" s="3" t="s">
        <v>95</v>
      </c>
    </row>
    <row r="23" customFormat="false" ht="18" hidden="false" customHeight="true" outlineLevel="0" collapsed="false">
      <c r="A23" s="3" t="s">
        <v>301</v>
      </c>
      <c r="B23" s="5" t="s">
        <v>302</v>
      </c>
      <c r="C23" s="5" t="s">
        <v>303</v>
      </c>
      <c r="D23" s="3" t="s">
        <v>304</v>
      </c>
      <c r="E23" s="3" t="s">
        <v>95</v>
      </c>
    </row>
    <row r="24" customFormat="false" ht="18" hidden="false" customHeight="true" outlineLevel="0" collapsed="false">
      <c r="A24" s="3" t="s">
        <v>305</v>
      </c>
      <c r="B24" s="5" t="s">
        <v>306</v>
      </c>
      <c r="C24" s="5" t="s">
        <v>307</v>
      </c>
      <c r="D24" s="3" t="s">
        <v>308</v>
      </c>
      <c r="E24" s="3" t="s">
        <v>95</v>
      </c>
    </row>
    <row r="25" customFormat="false" ht="18" hidden="false" customHeight="true" outlineLevel="0" collapsed="false">
      <c r="A25" s="3" t="s">
        <v>309</v>
      </c>
      <c r="B25" s="5" t="s">
        <v>310</v>
      </c>
      <c r="C25" s="5" t="s">
        <v>311</v>
      </c>
      <c r="D25" s="3" t="s">
        <v>312</v>
      </c>
      <c r="E25" s="3" t="s">
        <v>95</v>
      </c>
    </row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20"/>
    <col collapsed="false" customWidth="true" hidden="false" outlineLevel="0" max="7" min="7" style="0" width="44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313</v>
      </c>
      <c r="B2" s="1"/>
      <c r="C2" s="1"/>
      <c r="D2" s="1"/>
      <c r="E2" s="1"/>
      <c r="F2" s="1"/>
      <c r="G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314</v>
      </c>
      <c r="B5" s="7" t="s">
        <v>315</v>
      </c>
      <c r="C5" s="7" t="s">
        <v>316</v>
      </c>
      <c r="D5" s="7" t="s">
        <v>317</v>
      </c>
      <c r="E5" s="7" t="s">
        <v>318</v>
      </c>
      <c r="F5" s="7" t="s">
        <v>319</v>
      </c>
      <c r="G5" s="7" t="s">
        <v>320</v>
      </c>
    </row>
    <row r="6" customFormat="false" ht="18" hidden="false" customHeight="true" outlineLevel="0" collapsed="false">
      <c r="A6" s="3" t="s">
        <v>321</v>
      </c>
      <c r="B6" s="3" t="s">
        <v>322</v>
      </c>
      <c r="C6" s="30" t="n">
        <v>0</v>
      </c>
      <c r="D6" s="30" t="n">
        <v>0</v>
      </c>
      <c r="E6" s="3" t="s">
        <v>323</v>
      </c>
      <c r="F6" s="3" t="s">
        <v>324</v>
      </c>
      <c r="G6" s="3" t="s">
        <v>325</v>
      </c>
    </row>
    <row r="7" customFormat="false" ht="18" hidden="false" customHeight="true" outlineLevel="0" collapsed="false">
      <c r="A7" s="3" t="s">
        <v>324</v>
      </c>
      <c r="B7" s="3" t="s">
        <v>326</v>
      </c>
      <c r="C7" s="30" t="n">
        <v>0</v>
      </c>
      <c r="D7" s="30" t="n">
        <v>0</v>
      </c>
      <c r="E7" s="3" t="s">
        <v>327</v>
      </c>
      <c r="F7" s="3" t="s">
        <v>328</v>
      </c>
      <c r="G7" s="3" t="s">
        <v>329</v>
      </c>
    </row>
    <row r="8" customFormat="false" ht="18" hidden="false" customHeight="true" outlineLevel="0" collapsed="false">
      <c r="A8" s="3" t="s">
        <v>330</v>
      </c>
      <c r="B8" s="3" t="s">
        <v>331</v>
      </c>
      <c r="C8" s="31" t="n">
        <v>1</v>
      </c>
      <c r="D8" s="30" t="n">
        <v>0</v>
      </c>
      <c r="E8" s="3" t="s">
        <v>332</v>
      </c>
      <c r="F8" s="3" t="s">
        <v>333</v>
      </c>
      <c r="G8" s="3" t="s">
        <v>334</v>
      </c>
    </row>
    <row r="9" customFormat="false" ht="18" hidden="false" customHeight="true" outlineLevel="0" collapsed="false">
      <c r="A9" s="3" t="s">
        <v>335</v>
      </c>
      <c r="B9" s="3" t="s">
        <v>336</v>
      </c>
      <c r="C9" s="31" t="n">
        <v>1</v>
      </c>
      <c r="D9" s="30" t="n">
        <v>0</v>
      </c>
      <c r="E9" s="32" t="s">
        <v>83</v>
      </c>
      <c r="F9" s="3" t="s">
        <v>337</v>
      </c>
      <c r="G9" s="3" t="s">
        <v>338</v>
      </c>
    </row>
    <row r="10" customFormat="false" ht="18" hidden="false" customHeight="true" outlineLevel="0" collapsed="false">
      <c r="A10" s="3" t="s">
        <v>339</v>
      </c>
      <c r="B10" s="3" t="s">
        <v>340</v>
      </c>
      <c r="C10" s="30" t="n">
        <v>0</v>
      </c>
      <c r="D10" s="33" t="n">
        <v>1</v>
      </c>
      <c r="E10" s="32" t="s">
        <v>83</v>
      </c>
      <c r="F10" s="3" t="s">
        <v>341</v>
      </c>
      <c r="G10" s="3" t="s">
        <v>342</v>
      </c>
    </row>
    <row r="11" customFormat="false" ht="18" hidden="false" customHeight="true" outlineLevel="0" collapsed="false">
      <c r="A11" s="3" t="s">
        <v>343</v>
      </c>
      <c r="B11" s="3" t="s">
        <v>344</v>
      </c>
      <c r="C11" s="30" t="n">
        <v>0</v>
      </c>
      <c r="D11" s="33" t="n">
        <v>1</v>
      </c>
      <c r="E11" s="32" t="s">
        <v>83</v>
      </c>
      <c r="F11" s="3" t="s">
        <v>345</v>
      </c>
      <c r="G11" s="3" t="s">
        <v>346</v>
      </c>
    </row>
    <row r="12" customFormat="false" ht="18" hidden="false" customHeight="true" outlineLevel="0" collapsed="false">
      <c r="A12" s="3" t="s">
        <v>347</v>
      </c>
      <c r="B12" s="3" t="s">
        <v>348</v>
      </c>
      <c r="C12" s="30" t="n">
        <v>0</v>
      </c>
      <c r="D12" s="30" t="n">
        <v>0</v>
      </c>
      <c r="E12" s="3" t="s">
        <v>323</v>
      </c>
      <c r="F12" s="3" t="s">
        <v>328</v>
      </c>
      <c r="G12" s="3" t="s">
        <v>349</v>
      </c>
    </row>
    <row r="13" customFormat="false" ht="18" hidden="false" customHeight="true" outlineLevel="0" collapsed="false">
      <c r="A13" s="3" t="s">
        <v>350</v>
      </c>
      <c r="B13" s="3" t="s">
        <v>351</v>
      </c>
      <c r="C13" s="30" t="n">
        <v>0</v>
      </c>
      <c r="D13" s="30" t="n">
        <v>0</v>
      </c>
      <c r="E13" s="3" t="s">
        <v>323</v>
      </c>
      <c r="F13" s="3" t="s">
        <v>352</v>
      </c>
      <c r="G13" s="3" t="s">
        <v>353</v>
      </c>
    </row>
    <row r="14" customFormat="false" ht="18" hidden="false" customHeight="true" outlineLevel="0" collapsed="false">
      <c r="A14" s="3" t="s">
        <v>354</v>
      </c>
      <c r="B14" s="3" t="s">
        <v>355</v>
      </c>
      <c r="C14" s="30" t="n">
        <v>0</v>
      </c>
      <c r="D14" s="30" t="n">
        <v>0</v>
      </c>
      <c r="E14" s="3" t="s">
        <v>356</v>
      </c>
      <c r="F14" s="3" t="s">
        <v>354</v>
      </c>
      <c r="G14" s="3" t="s">
        <v>357</v>
      </c>
    </row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52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358</v>
      </c>
      <c r="B2" s="1"/>
      <c r="C2" s="1"/>
      <c r="D2" s="1"/>
      <c r="E2" s="1"/>
      <c r="F2" s="1"/>
      <c r="G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359</v>
      </c>
      <c r="B5" s="7" t="s">
        <v>360</v>
      </c>
      <c r="C5" s="7" t="s">
        <v>361</v>
      </c>
      <c r="D5" s="7" t="s">
        <v>362</v>
      </c>
      <c r="E5" s="7" t="s">
        <v>363</v>
      </c>
      <c r="F5" s="7" t="s">
        <v>364</v>
      </c>
      <c r="G5" s="7" t="s">
        <v>365</v>
      </c>
    </row>
    <row r="6" customFormat="false" ht="18" hidden="false" customHeight="true" outlineLevel="0" collapsed="false">
      <c r="A6" s="3" t="s">
        <v>366</v>
      </c>
      <c r="B6" s="5" t="s">
        <v>367</v>
      </c>
      <c r="C6" s="5" t="s">
        <v>367</v>
      </c>
      <c r="D6" s="5" t="s">
        <v>367</v>
      </c>
      <c r="E6" s="5" t="s">
        <v>367</v>
      </c>
      <c r="F6" s="5" t="s">
        <v>367</v>
      </c>
      <c r="G6" s="5" t="s">
        <v>368</v>
      </c>
    </row>
    <row r="7" customFormat="false" ht="18" hidden="false" customHeight="true" outlineLevel="0" collapsed="false">
      <c r="A7" s="3" t="s">
        <v>369</v>
      </c>
      <c r="B7" s="5" t="s">
        <v>370</v>
      </c>
      <c r="C7" s="5" t="s">
        <v>371</v>
      </c>
      <c r="D7" s="5" t="s">
        <v>372</v>
      </c>
      <c r="E7" s="5" t="s">
        <v>373</v>
      </c>
      <c r="F7" s="5" t="s">
        <v>374</v>
      </c>
      <c r="G7" s="5" t="s">
        <v>375</v>
      </c>
    </row>
    <row r="8" customFormat="false" ht="18" hidden="false" customHeight="true" outlineLevel="0" collapsed="false">
      <c r="A8" s="3" t="s">
        <v>376</v>
      </c>
      <c r="B8" s="5" t="s">
        <v>371</v>
      </c>
      <c r="C8" s="5" t="s">
        <v>377</v>
      </c>
      <c r="D8" s="5" t="s">
        <v>378</v>
      </c>
      <c r="E8" s="5" t="s">
        <v>379</v>
      </c>
      <c r="F8" s="5" t="s">
        <v>374</v>
      </c>
      <c r="G8" s="5" t="s">
        <v>380</v>
      </c>
    </row>
    <row r="9" customFormat="false" ht="18" hidden="false" customHeight="true" outlineLevel="0" collapsed="false">
      <c r="A9" s="3" t="s">
        <v>381</v>
      </c>
      <c r="B9" s="5" t="s">
        <v>382</v>
      </c>
      <c r="C9" s="5" t="s">
        <v>383</v>
      </c>
      <c r="D9" s="5" t="s">
        <v>384</v>
      </c>
      <c r="E9" s="5" t="s">
        <v>385</v>
      </c>
      <c r="F9" s="5" t="s">
        <v>386</v>
      </c>
      <c r="G9" s="5" t="s">
        <v>387</v>
      </c>
    </row>
    <row r="10" customFormat="false" ht="18" hidden="false" customHeight="true" outlineLevel="0" collapsed="false">
      <c r="A10" s="3" t="s">
        <v>388</v>
      </c>
      <c r="B10" s="5" t="s">
        <v>389</v>
      </c>
      <c r="C10" s="5" t="s">
        <v>371</v>
      </c>
      <c r="D10" s="5" t="s">
        <v>371</v>
      </c>
      <c r="E10" s="5" t="s">
        <v>371</v>
      </c>
      <c r="F10" s="5" t="s">
        <v>390</v>
      </c>
      <c r="G10" s="5" t="s">
        <v>391</v>
      </c>
    </row>
    <row r="11" customFormat="false" ht="18" hidden="false" customHeight="true" outlineLevel="0" collapsed="false">
      <c r="A11" s="3" t="s">
        <v>392</v>
      </c>
      <c r="B11" s="5" t="s">
        <v>393</v>
      </c>
      <c r="C11" s="5" t="s">
        <v>393</v>
      </c>
      <c r="D11" s="5" t="s">
        <v>393</v>
      </c>
      <c r="E11" s="5" t="s">
        <v>393</v>
      </c>
      <c r="F11" s="5" t="s">
        <v>393</v>
      </c>
      <c r="G11" s="5" t="s">
        <v>394</v>
      </c>
    </row>
    <row r="12" customFormat="false" ht="18" hidden="false" customHeight="true" outlineLevel="0" collapsed="false">
      <c r="A12" s="3" t="s">
        <v>395</v>
      </c>
      <c r="B12" s="5" t="s">
        <v>396</v>
      </c>
      <c r="C12" s="5" t="s">
        <v>371</v>
      </c>
      <c r="D12" s="5" t="s">
        <v>371</v>
      </c>
      <c r="E12" s="5" t="s">
        <v>371</v>
      </c>
      <c r="F12" s="5" t="s">
        <v>397</v>
      </c>
      <c r="G12" s="5" t="s">
        <v>398</v>
      </c>
    </row>
    <row r="13" customFormat="false" ht="18" hidden="false" customHeight="true" outlineLevel="0" collapsed="false">
      <c r="A13" s="3" t="s">
        <v>399</v>
      </c>
      <c r="B13" s="5" t="s">
        <v>400</v>
      </c>
      <c r="C13" s="5" t="s">
        <v>400</v>
      </c>
      <c r="D13" s="5" t="s">
        <v>400</v>
      </c>
      <c r="E13" s="5" t="s">
        <v>400</v>
      </c>
      <c r="F13" s="5" t="s">
        <v>400</v>
      </c>
      <c r="G13" s="5" t="s">
        <v>401</v>
      </c>
    </row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B4A"/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4"/>
    <col collapsed="false" customWidth="true" hidden="false" outlineLevel="0" max="8" min="7" style="0" width="12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402</v>
      </c>
      <c r="B2" s="1"/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/>
    <row r="5" customFormat="false" ht="18" hidden="false" customHeight="true" outlineLevel="0" collapsed="false">
      <c r="A5" s="6" t="s">
        <v>403</v>
      </c>
      <c r="B5" s="6"/>
      <c r="C5" s="6"/>
      <c r="D5" s="6"/>
      <c r="E5" s="6"/>
      <c r="F5" s="6"/>
      <c r="G5" s="6"/>
      <c r="H5" s="6"/>
    </row>
    <row r="6" customFormat="false" ht="18" hidden="false" customHeight="true" outlineLevel="0" collapsed="false">
      <c r="A6" s="7" t="s">
        <v>76</v>
      </c>
      <c r="B6" s="7" t="s">
        <v>108</v>
      </c>
      <c r="C6" s="7" t="s">
        <v>404</v>
      </c>
      <c r="D6" s="7" t="s">
        <v>405</v>
      </c>
      <c r="E6" s="7" t="s">
        <v>406</v>
      </c>
      <c r="F6" s="3"/>
      <c r="G6" s="3"/>
      <c r="H6" s="3"/>
    </row>
    <row r="7" customFormat="false" ht="18" hidden="false" customHeight="true" outlineLevel="0" collapsed="false">
      <c r="A7" s="3" t="s">
        <v>407</v>
      </c>
      <c r="B7" s="34" t="n">
        <v>1</v>
      </c>
      <c r="C7" s="35" t="n">
        <f aca="false">Capital_Attrib!$D$16</f>
        <v>1649.26774558492</v>
      </c>
      <c r="D7" s="35" t="n">
        <f aca="false">B7*C7</f>
        <v>1649.26774558492</v>
      </c>
      <c r="E7" s="35" t="n">
        <f aca="false">C7-D7</f>
        <v>0</v>
      </c>
      <c r="F7" s="3"/>
      <c r="G7" s="3"/>
      <c r="H7" s="3"/>
    </row>
    <row r="8" customFormat="false" ht="18" hidden="false" customHeight="true" outlineLevel="0" collapsed="false">
      <c r="A8" s="3" t="s">
        <v>408</v>
      </c>
      <c r="B8" s="34" t="n">
        <v>0.75</v>
      </c>
      <c r="C8" s="35" t="n">
        <f aca="false">Capital_Attrib!$D$16</f>
        <v>1649.26774558492</v>
      </c>
      <c r="D8" s="35" t="n">
        <f aca="false">B8*C8</f>
        <v>1236.95080918869</v>
      </c>
      <c r="E8" s="35" t="n">
        <f aca="false">C8-D8</f>
        <v>412.316936396229</v>
      </c>
      <c r="F8" s="3"/>
      <c r="G8" s="3"/>
      <c r="H8" s="3"/>
    </row>
    <row r="9" customFormat="false" ht="18" hidden="false" customHeight="true" outlineLevel="0" collapsed="false">
      <c r="A9" s="3" t="s">
        <v>409</v>
      </c>
      <c r="B9" s="34" t="n">
        <v>0.5</v>
      </c>
      <c r="C9" s="35" t="n">
        <f aca="false">Capital_Attrib!$D$16</f>
        <v>1649.26774558492</v>
      </c>
      <c r="D9" s="35" t="n">
        <f aca="false">B9*C9</f>
        <v>824.633872792458</v>
      </c>
      <c r="E9" s="35" t="n">
        <f aca="false">C9-D9</f>
        <v>824.633872792458</v>
      </c>
      <c r="F9" s="3"/>
      <c r="G9" s="3"/>
      <c r="H9" s="3"/>
    </row>
    <row r="10" customFormat="false" ht="18" hidden="false" customHeight="true" outlineLevel="0" collapsed="false">
      <c r="A10" s="3" t="s">
        <v>410</v>
      </c>
      <c r="B10" s="34" t="n">
        <v>0.25</v>
      </c>
      <c r="C10" s="35" t="n">
        <f aca="false">Capital_Attrib!$D$16</f>
        <v>1649.26774558492</v>
      </c>
      <c r="D10" s="35" t="n">
        <f aca="false">B10*C10</f>
        <v>412.316936396229</v>
      </c>
      <c r="E10" s="35" t="n">
        <f aca="false">C10-D10</f>
        <v>1236.95080918869</v>
      </c>
      <c r="F10" s="3"/>
      <c r="G10" s="3"/>
      <c r="H10" s="3"/>
    </row>
    <row r="11" customFormat="false" ht="18" hidden="false" customHeight="true" outlineLevel="0" collapsed="false">
      <c r="A11" s="3" t="s">
        <v>411</v>
      </c>
      <c r="B11" s="34" t="n">
        <v>0</v>
      </c>
      <c r="C11" s="35" t="n">
        <f aca="false">Capital_Attrib!$D$16</f>
        <v>1649.26774558492</v>
      </c>
      <c r="D11" s="35" t="n">
        <f aca="false">B11*C11</f>
        <v>0</v>
      </c>
      <c r="E11" s="35" t="n">
        <f aca="false">C11-D11</f>
        <v>1649.26774558492</v>
      </c>
      <c r="F11" s="3"/>
      <c r="G11" s="3"/>
      <c r="H11" s="3"/>
    </row>
    <row r="12" customFormat="false" ht="18" hidden="false" customHeight="tru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8" hidden="false" customHeight="true" outlineLevel="0" collapsed="false">
      <c r="A13" s="7" t="s">
        <v>412</v>
      </c>
      <c r="B13" s="7" t="s">
        <v>74</v>
      </c>
      <c r="C13" s="7" t="s">
        <v>413</v>
      </c>
      <c r="D13" s="7" t="s">
        <v>414</v>
      </c>
      <c r="E13" s="7" t="s">
        <v>17</v>
      </c>
      <c r="F13" s="3"/>
      <c r="G13" s="3"/>
      <c r="H13" s="3"/>
    </row>
    <row r="14" customFormat="false" ht="18" hidden="false" customHeight="true" outlineLevel="0" collapsed="false">
      <c r="A14" s="3" t="s">
        <v>108</v>
      </c>
      <c r="B14" s="36" t="n">
        <f aca="false">Control!B16</f>
        <v>1</v>
      </c>
      <c r="C14" s="3" t="s">
        <v>415</v>
      </c>
      <c r="D14" s="3" t="s">
        <v>416</v>
      </c>
      <c r="E14" s="3" t="s">
        <v>417</v>
      </c>
      <c r="F14" s="3"/>
      <c r="G14" s="3"/>
      <c r="H14" s="3"/>
    </row>
    <row r="15" customFormat="false" ht="18" hidden="false" customHeight="true" outlineLevel="0" collapsed="false">
      <c r="A15" s="3" t="s">
        <v>418</v>
      </c>
      <c r="B15" s="35" t="n">
        <f aca="false">B14*Capital_Attrib!D16</f>
        <v>1649.26774558492</v>
      </c>
      <c r="C15" s="3" t="s">
        <v>113</v>
      </c>
      <c r="D15" s="3" t="s">
        <v>419</v>
      </c>
      <c r="E15" s="3" t="s">
        <v>420</v>
      </c>
      <c r="F15" s="3"/>
      <c r="G15" s="3"/>
      <c r="H15" s="3"/>
    </row>
    <row r="16" customFormat="false" ht="18" hidden="false" customHeight="true" outlineLevel="0" collapsed="false">
      <c r="A16" s="3" t="s">
        <v>421</v>
      </c>
      <c r="B16" s="35" t="n">
        <f aca="false">Capital_Attrib!D16-B15</f>
        <v>0</v>
      </c>
      <c r="C16" s="3" t="s">
        <v>113</v>
      </c>
      <c r="D16" s="37" t="s">
        <v>422</v>
      </c>
      <c r="E16" s="3" t="s">
        <v>423</v>
      </c>
      <c r="F16" s="3"/>
      <c r="G16" s="3"/>
      <c r="H16" s="3"/>
    </row>
    <row r="17" customFormat="false" ht="18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8" hidden="false" customHeight="true" outlineLevel="0" collapsed="false">
      <c r="A18" s="6" t="s">
        <v>424</v>
      </c>
      <c r="B18" s="6"/>
      <c r="C18" s="6"/>
      <c r="D18" s="6"/>
      <c r="E18" s="6"/>
      <c r="F18" s="6"/>
      <c r="G18" s="6"/>
      <c r="H18" s="6"/>
    </row>
    <row r="19" customFormat="false" ht="18" hidden="false" customHeight="true" outlineLevel="0" collapsed="false">
      <c r="A19" s="3" t="s">
        <v>425</v>
      </c>
      <c r="B19" s="3" t="s">
        <v>426</v>
      </c>
      <c r="C19" s="3"/>
      <c r="D19" s="3"/>
      <c r="E19" s="3"/>
      <c r="F19" s="3"/>
      <c r="G19" s="3"/>
      <c r="H19" s="3"/>
    </row>
    <row r="20" customFormat="false" ht="18" hidden="false" customHeight="true" outlineLevel="0" collapsed="false">
      <c r="A20" s="3" t="s">
        <v>427</v>
      </c>
      <c r="B20" s="3" t="s">
        <v>428</v>
      </c>
      <c r="C20" s="3"/>
      <c r="D20" s="3"/>
      <c r="E20" s="3"/>
      <c r="F20" s="3"/>
      <c r="G20" s="3"/>
      <c r="H20" s="3"/>
    </row>
    <row r="21" customFormat="false" ht="18" hidden="false" customHeight="true" outlineLevel="0" collapsed="false">
      <c r="A21" s="3" t="s">
        <v>429</v>
      </c>
      <c r="B21" s="3" t="s">
        <v>430</v>
      </c>
      <c r="C21" s="3"/>
      <c r="D21" s="3"/>
      <c r="E21" s="3"/>
      <c r="F21" s="3"/>
      <c r="G21" s="3"/>
      <c r="H21" s="3"/>
    </row>
    <row r="22" customFormat="false" ht="18" hidden="false" customHeight="true" outlineLevel="0" collapsed="false">
      <c r="A22" s="3" t="s">
        <v>431</v>
      </c>
      <c r="B22" s="3" t="s">
        <v>432</v>
      </c>
      <c r="C22" s="3"/>
      <c r="D22" s="3"/>
      <c r="E22" s="3"/>
      <c r="F22" s="3"/>
      <c r="G22" s="3"/>
      <c r="H22" s="3"/>
    </row>
    <row r="23" customFormat="false" ht="18" hidden="false" customHeight="true" outlineLevel="0" collapsed="false">
      <c r="A23" s="3" t="s">
        <v>433</v>
      </c>
      <c r="B23" s="3" t="s">
        <v>434</v>
      </c>
      <c r="C23" s="3"/>
      <c r="D23" s="3"/>
      <c r="E23" s="3"/>
      <c r="F23" s="3"/>
      <c r="G23" s="3"/>
      <c r="H23" s="3"/>
    </row>
    <row r="24" customFormat="false" ht="18" hidden="false" customHeight="true" outlineLevel="0" collapsed="false">
      <c r="A24" s="3" t="s">
        <v>365</v>
      </c>
      <c r="B24" s="3" t="s">
        <v>435</v>
      </c>
      <c r="C24" s="3"/>
      <c r="D24" s="3"/>
      <c r="E24" s="3"/>
      <c r="F24" s="3"/>
      <c r="G24" s="3"/>
      <c r="H24" s="3"/>
    </row>
    <row r="25" customFormat="false" ht="18" hidden="false" customHeight="true" outlineLevel="0" collapsed="false">
      <c r="A25" s="3" t="s">
        <v>436</v>
      </c>
      <c r="B25" s="3" t="s">
        <v>437</v>
      </c>
      <c r="C25" s="3"/>
      <c r="D25" s="3"/>
      <c r="E25" s="3"/>
      <c r="F25" s="3"/>
      <c r="G25" s="3"/>
      <c r="H25" s="3"/>
    </row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3">
    <mergeCell ref="A2:H2"/>
    <mergeCell ref="A5:H5"/>
    <mergeCell ref="A18:H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42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438</v>
      </c>
      <c r="B2" s="1"/>
      <c r="C2" s="1"/>
      <c r="D2" s="1"/>
      <c r="E2" s="1"/>
      <c r="F2" s="1"/>
      <c r="G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439</v>
      </c>
      <c r="B5" s="7" t="s">
        <v>440</v>
      </c>
      <c r="C5" s="7" t="s">
        <v>318</v>
      </c>
      <c r="D5" s="7" t="s">
        <v>441</v>
      </c>
      <c r="E5" s="7" t="s">
        <v>442</v>
      </c>
      <c r="F5" s="7" t="s">
        <v>443</v>
      </c>
      <c r="G5" s="7" t="s">
        <v>444</v>
      </c>
    </row>
    <row r="6" customFormat="false" ht="18" hidden="false" customHeight="true" outlineLevel="0" collapsed="false">
      <c r="A6" s="3" t="s">
        <v>445</v>
      </c>
      <c r="B6" s="5" t="s">
        <v>446</v>
      </c>
      <c r="C6" s="38" t="s">
        <v>83</v>
      </c>
      <c r="D6" s="5" t="s">
        <v>447</v>
      </c>
      <c r="E6" s="5" t="s">
        <v>448</v>
      </c>
      <c r="F6" s="5" t="s">
        <v>447</v>
      </c>
      <c r="G6" s="5" t="s">
        <v>449</v>
      </c>
    </row>
    <row r="7" customFormat="false" ht="18" hidden="false" customHeight="true" outlineLevel="0" collapsed="false">
      <c r="A7" s="3" t="s">
        <v>450</v>
      </c>
      <c r="B7" s="5" t="s">
        <v>451</v>
      </c>
      <c r="C7" s="38" t="s">
        <v>83</v>
      </c>
      <c r="D7" s="5" t="s">
        <v>447</v>
      </c>
      <c r="E7" s="5" t="s">
        <v>452</v>
      </c>
      <c r="F7" s="5" t="s">
        <v>447</v>
      </c>
      <c r="G7" s="5" t="s">
        <v>449</v>
      </c>
    </row>
    <row r="8" customFormat="false" ht="18" hidden="false" customHeight="true" outlineLevel="0" collapsed="false">
      <c r="A8" s="3" t="s">
        <v>453</v>
      </c>
      <c r="B8" s="5" t="s">
        <v>454</v>
      </c>
      <c r="C8" s="5" t="s">
        <v>455</v>
      </c>
      <c r="D8" s="5" t="s">
        <v>247</v>
      </c>
      <c r="E8" s="5" t="s">
        <v>456</v>
      </c>
      <c r="F8" s="5" t="s">
        <v>457</v>
      </c>
      <c r="G8" s="5" t="s">
        <v>458</v>
      </c>
    </row>
    <row r="9" customFormat="false" ht="18" hidden="false" customHeight="true" outlineLevel="0" collapsed="false">
      <c r="A9" s="3" t="s">
        <v>459</v>
      </c>
      <c r="B9" s="5" t="s">
        <v>460</v>
      </c>
      <c r="C9" s="5" t="s">
        <v>461</v>
      </c>
      <c r="D9" s="5" t="s">
        <v>462</v>
      </c>
      <c r="E9" s="5" t="s">
        <v>463</v>
      </c>
      <c r="F9" s="5" t="s">
        <v>464</v>
      </c>
      <c r="G9" s="5" t="s">
        <v>465</v>
      </c>
    </row>
    <row r="10" customFormat="false" ht="18" hidden="false" customHeight="true" outlineLevel="0" collapsed="false">
      <c r="A10" s="3" t="s">
        <v>466</v>
      </c>
      <c r="B10" s="5" t="s">
        <v>467</v>
      </c>
      <c r="C10" s="5" t="s">
        <v>468</v>
      </c>
      <c r="D10" s="5" t="s">
        <v>247</v>
      </c>
      <c r="E10" s="5" t="s">
        <v>469</v>
      </c>
      <c r="F10" s="5" t="s">
        <v>470</v>
      </c>
      <c r="G10" s="5" t="s">
        <v>471</v>
      </c>
    </row>
    <row r="11" customFormat="false" ht="18" hidden="false" customHeight="true" outlineLevel="0" collapsed="false">
      <c r="A11" s="3" t="s">
        <v>470</v>
      </c>
      <c r="B11" s="5" t="s">
        <v>472</v>
      </c>
      <c r="C11" s="5" t="s">
        <v>95</v>
      </c>
      <c r="D11" s="5" t="s">
        <v>276</v>
      </c>
      <c r="E11" s="5" t="s">
        <v>473</v>
      </c>
      <c r="F11" s="5" t="s">
        <v>447</v>
      </c>
      <c r="G11" s="5" t="s">
        <v>474</v>
      </c>
    </row>
    <row r="12" customFormat="false" ht="18" hidden="false" customHeight="true" outlineLevel="0" collapsed="false"/>
    <row r="13" customFormat="false" ht="18" hidden="false" customHeight="true" outlineLevel="0" collapsed="false">
      <c r="A13" s="6" t="s">
        <v>475</v>
      </c>
      <c r="B13" s="6"/>
      <c r="C13" s="6"/>
      <c r="D13" s="6"/>
      <c r="E13" s="6"/>
      <c r="F13" s="6"/>
      <c r="G13" s="6"/>
    </row>
    <row r="14" customFormat="false" ht="18" hidden="false" customHeight="true" outlineLevel="0" collapsed="false">
      <c r="A14" s="0" t="s">
        <v>476</v>
      </c>
      <c r="B14" s="0" t="s">
        <v>477</v>
      </c>
    </row>
    <row r="15" customFormat="false" ht="18" hidden="false" customHeight="true" outlineLevel="0" collapsed="false">
      <c r="A15" s="0" t="s">
        <v>478</v>
      </c>
      <c r="B15" s="0" t="s">
        <v>479</v>
      </c>
    </row>
    <row r="16" customFormat="false" ht="18" hidden="false" customHeight="true" outlineLevel="0" collapsed="false">
      <c r="A16" s="0" t="s">
        <v>480</v>
      </c>
      <c r="B16" s="0" t="s">
        <v>481</v>
      </c>
    </row>
    <row r="17" customFormat="false" ht="18" hidden="false" customHeight="true" outlineLevel="0" collapsed="false">
      <c r="A17" s="0" t="s">
        <v>482</v>
      </c>
      <c r="B17" s="0" t="s">
        <v>483</v>
      </c>
    </row>
    <row r="18" customFormat="false" ht="18" hidden="false" customHeight="true" outlineLevel="0" collapsed="false">
      <c r="A18" s="0" t="s">
        <v>484</v>
      </c>
      <c r="B18" s="0" t="s">
        <v>485</v>
      </c>
    </row>
    <row r="19" customFormat="false" ht="18" hidden="false" customHeight="true" outlineLevel="0" collapsed="false">
      <c r="A19" s="0" t="s">
        <v>486</v>
      </c>
      <c r="B19" s="0" t="s">
        <v>487</v>
      </c>
    </row>
    <row r="20" customFormat="false" ht="18" hidden="false" customHeight="true" outlineLevel="0" collapsed="false">
      <c r="A20" s="0" t="s">
        <v>488</v>
      </c>
      <c r="B20" s="0" t="s">
        <v>489</v>
      </c>
    </row>
    <row r="21" customFormat="false" ht="18" hidden="false" customHeight="true" outlineLevel="0" collapsed="false">
      <c r="A21" s="0" t="s">
        <v>490</v>
      </c>
      <c r="B21" s="0" t="s">
        <v>491</v>
      </c>
    </row>
    <row r="22" customFormat="false" ht="18" hidden="false" customHeight="true" outlineLevel="0" collapsed="false">
      <c r="A22" s="0" t="s">
        <v>492</v>
      </c>
      <c r="B22" s="0" t="s">
        <v>493</v>
      </c>
    </row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2">
    <mergeCell ref="A2:G2"/>
    <mergeCell ref="A13:G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6" min="4" style="0" width="20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494</v>
      </c>
      <c r="B2" s="1"/>
      <c r="C2" s="1"/>
      <c r="D2" s="1"/>
      <c r="E2" s="1"/>
      <c r="F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495</v>
      </c>
      <c r="B5" s="7" t="s">
        <v>496</v>
      </c>
      <c r="C5" s="7" t="s">
        <v>497</v>
      </c>
      <c r="D5" s="7" t="s">
        <v>498</v>
      </c>
      <c r="E5" s="7" t="s">
        <v>499</v>
      </c>
      <c r="F5" s="7" t="s">
        <v>500</v>
      </c>
    </row>
    <row r="6" customFormat="false" ht="18" hidden="false" customHeight="true" outlineLevel="0" collapsed="false">
      <c r="A6" s="3" t="s">
        <v>501</v>
      </c>
      <c r="B6" s="14" t="n">
        <v>283200</v>
      </c>
      <c r="C6" s="14" t="n">
        <v>0.15</v>
      </c>
      <c r="D6" s="14" t="n">
        <f aca="false">B6*C6</f>
        <v>42480</v>
      </c>
      <c r="E6" s="14" t="n">
        <v>0</v>
      </c>
      <c r="F6" s="14" t="n">
        <f aca="false">B6+D6+E6</f>
        <v>325680</v>
      </c>
    </row>
    <row r="7" customFormat="false" ht="18" hidden="false" customHeight="true" outlineLevel="0" collapsed="false">
      <c r="A7" s="3" t="s">
        <v>502</v>
      </c>
      <c r="B7" s="14" t="n">
        <v>25200</v>
      </c>
      <c r="C7" s="14" t="n">
        <v>0.15</v>
      </c>
      <c r="D7" s="14" t="n">
        <f aca="false">B7*C7</f>
        <v>3780</v>
      </c>
      <c r="E7" s="14" t="n">
        <v>0</v>
      </c>
      <c r="F7" s="14" t="n">
        <f aca="false">B7+D7+E7</f>
        <v>28980</v>
      </c>
    </row>
    <row r="8" customFormat="false" ht="18" hidden="false" customHeight="true" outlineLevel="0" collapsed="false">
      <c r="A8" s="3" t="s">
        <v>503</v>
      </c>
      <c r="B8" s="14" t="n">
        <v>16800</v>
      </c>
      <c r="C8" s="14" t="n">
        <v>0.15</v>
      </c>
      <c r="D8" s="14" t="n">
        <f aca="false">B8*C8</f>
        <v>2520</v>
      </c>
      <c r="E8" s="14" t="n">
        <v>0</v>
      </c>
      <c r="F8" s="14" t="n">
        <f aca="false">B8+D8+E8</f>
        <v>19320</v>
      </c>
    </row>
    <row r="9" customFormat="false" ht="18" hidden="false" customHeight="true" outlineLevel="0" collapsed="false">
      <c r="A9" s="3" t="s">
        <v>504</v>
      </c>
      <c r="B9" s="14" t="n">
        <v>20400</v>
      </c>
      <c r="C9" s="14" t="n">
        <v>0.15</v>
      </c>
      <c r="D9" s="14" t="n">
        <f aca="false">B9*C9</f>
        <v>3060</v>
      </c>
      <c r="E9" s="14" t="n">
        <v>4000</v>
      </c>
      <c r="F9" s="14" t="n">
        <f aca="false">B9+D9+E9</f>
        <v>27460</v>
      </c>
    </row>
    <row r="10" customFormat="false" ht="18" hidden="false" customHeight="true" outlineLevel="0" collapsed="false">
      <c r="A10" s="3" t="s">
        <v>505</v>
      </c>
      <c r="B10" s="14" t="n">
        <v>0</v>
      </c>
      <c r="C10" s="14" t="n">
        <v>0</v>
      </c>
      <c r="D10" s="14" t="n">
        <v>0</v>
      </c>
      <c r="E10" s="14" t="n">
        <v>28000</v>
      </c>
      <c r="F10" s="14" t="n">
        <f aca="false">B10+D10+E10</f>
        <v>28000</v>
      </c>
    </row>
    <row r="11" customFormat="false" ht="18" hidden="false" customHeight="true" outlineLevel="0" collapsed="false">
      <c r="A11" s="21" t="s">
        <v>194</v>
      </c>
      <c r="B11" s="39" t="n">
        <f aca="false">SUM(B6:B10)</f>
        <v>345600</v>
      </c>
      <c r="C11" s="39"/>
      <c r="D11" s="39" t="n">
        <f aca="false">SUM(D6:D10)</f>
        <v>51840</v>
      </c>
      <c r="E11" s="39" t="n">
        <f aca="false">SUM(E6:E10)</f>
        <v>32000</v>
      </c>
      <c r="F11" s="39" t="n">
        <f aca="false">SUM(F6:F10)</f>
        <v>429440</v>
      </c>
    </row>
    <row r="12" customFormat="false" ht="18" hidden="false" customHeight="true" outlineLevel="0" collapsed="false">
      <c r="A12" s="3"/>
      <c r="B12" s="14"/>
      <c r="C12" s="14"/>
      <c r="D12" s="14"/>
      <c r="E12" s="14"/>
      <c r="F12" s="14"/>
    </row>
    <row r="13" customFormat="false" ht="18" hidden="false" customHeight="true" outlineLevel="0" collapsed="false">
      <c r="A13" s="7" t="s">
        <v>28</v>
      </c>
      <c r="B13" s="40" t="s">
        <v>506</v>
      </c>
      <c r="C13" s="40" t="s">
        <v>507</v>
      </c>
      <c r="D13" s="40" t="s">
        <v>508</v>
      </c>
      <c r="E13" s="40" t="s">
        <v>414</v>
      </c>
      <c r="F13" s="40" t="s">
        <v>315</v>
      </c>
    </row>
    <row r="14" customFormat="false" ht="18" hidden="false" customHeight="true" outlineLevel="0" collapsed="false">
      <c r="A14" s="3" t="s">
        <v>509</v>
      </c>
      <c r="B14" s="14" t="n">
        <f aca="false">SUM(B6:B10)</f>
        <v>345600</v>
      </c>
      <c r="C14" s="14" t="n">
        <v>345600</v>
      </c>
      <c r="D14" s="14" t="n">
        <f aca="false">B14-C14</f>
        <v>0</v>
      </c>
      <c r="E14" s="14" t="str">
        <f aca="false">IF(ABS(D14)&lt;0.01,"PASS","FAIL")</f>
        <v>PASS</v>
      </c>
      <c r="F14" s="14" t="s">
        <v>510</v>
      </c>
    </row>
    <row r="15" customFormat="false" ht="18" hidden="false" customHeight="true" outlineLevel="0" collapsed="false">
      <c r="A15" s="3" t="s">
        <v>511</v>
      </c>
      <c r="B15" s="14" t="n">
        <f aca="false">SUM(D6:D10)</f>
        <v>51840</v>
      </c>
      <c r="C15" s="14" t="n">
        <v>51840</v>
      </c>
      <c r="D15" s="14" t="n">
        <f aca="false">B15-C15</f>
        <v>0</v>
      </c>
      <c r="E15" s="14" t="str">
        <f aca="false">IF(ABS(D15)&lt;0.01,"PASS","FAIL")</f>
        <v>PASS</v>
      </c>
      <c r="F15" s="14" t="s">
        <v>512</v>
      </c>
    </row>
    <row r="16" customFormat="false" ht="18" hidden="false" customHeight="true" outlineLevel="0" collapsed="false">
      <c r="A16" s="3" t="s">
        <v>513</v>
      </c>
      <c r="B16" s="14" t="n">
        <f aca="false">F11</f>
        <v>429440</v>
      </c>
      <c r="C16" s="14" t="n">
        <f aca="false">Control!B15</f>
        <v>429440</v>
      </c>
      <c r="D16" s="14" t="n">
        <f aca="false">B16-C16</f>
        <v>0</v>
      </c>
      <c r="E16" s="14" t="str">
        <f aca="false">IF(ABS(D16)&lt;0.01,"PASS","FAIL")</f>
        <v>PASS</v>
      </c>
      <c r="F16" s="14" t="s">
        <v>514</v>
      </c>
    </row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515</v>
      </c>
      <c r="B2" s="1"/>
      <c r="C2" s="1"/>
      <c r="D2" s="1"/>
    </row>
    <row r="3" customFormat="false" ht="18" hidden="false" customHeight="true" outlineLevel="0" collapsed="false">
      <c r="A3" s="2"/>
      <c r="B3" s="2"/>
      <c r="C3" s="2"/>
      <c r="D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516</v>
      </c>
      <c r="B5" s="7" t="s">
        <v>517</v>
      </c>
      <c r="C5" s="7" t="s">
        <v>518</v>
      </c>
      <c r="D5" s="7" t="s">
        <v>519</v>
      </c>
    </row>
    <row r="6" customFormat="false" ht="18" hidden="false" customHeight="true" outlineLevel="0" collapsed="false">
      <c r="A6" s="3" t="s">
        <v>520</v>
      </c>
      <c r="B6" s="3" t="s">
        <v>521</v>
      </c>
      <c r="C6" s="35" t="n">
        <v>107.36</v>
      </c>
      <c r="D6" s="3" t="s">
        <v>522</v>
      </c>
    </row>
    <row r="7" customFormat="false" ht="18" hidden="false" customHeight="true" outlineLevel="0" collapsed="false">
      <c r="A7" s="3" t="s">
        <v>523</v>
      </c>
      <c r="B7" s="3" t="s">
        <v>524</v>
      </c>
      <c r="C7" s="35" t="n">
        <f aca="false">Capital_Attrib!G6*3%</f>
        <v>58.453248</v>
      </c>
      <c r="D7" s="3" t="s">
        <v>525</v>
      </c>
    </row>
    <row r="8" customFormat="false" ht="18" hidden="false" customHeight="true" outlineLevel="0" collapsed="false">
      <c r="A8" s="3" t="s">
        <v>526</v>
      </c>
      <c r="B8" s="3" t="s">
        <v>527</v>
      </c>
      <c r="C8" s="35" t="n">
        <f aca="false">Capital_Attrib!G7*4%</f>
        <v>10.9824</v>
      </c>
      <c r="D8" s="3" t="s">
        <v>158</v>
      </c>
    </row>
    <row r="9" customFormat="false" ht="18" hidden="false" customHeight="true" outlineLevel="0" collapsed="false">
      <c r="A9" s="3" t="s">
        <v>528</v>
      </c>
      <c r="B9" s="3" t="s">
        <v>529</v>
      </c>
      <c r="C9" s="35" t="n">
        <f aca="false">1089*3%</f>
        <v>32.67</v>
      </c>
      <c r="D9" s="3" t="s">
        <v>530</v>
      </c>
    </row>
    <row r="10" customFormat="false" ht="18" hidden="false" customHeight="true" outlineLevel="0" collapsed="false">
      <c r="A10" s="3" t="s">
        <v>531</v>
      </c>
      <c r="B10" s="3" t="s">
        <v>532</v>
      </c>
      <c r="C10" s="35" t="n">
        <v>36</v>
      </c>
      <c r="D10" s="3" t="s">
        <v>533</v>
      </c>
    </row>
    <row r="11" customFormat="false" ht="18" hidden="false" customHeight="true" outlineLevel="0" collapsed="false">
      <c r="A11" s="3" t="s">
        <v>534</v>
      </c>
      <c r="B11" s="3" t="s">
        <v>535</v>
      </c>
      <c r="C11" s="35" t="n">
        <v>25</v>
      </c>
      <c r="D11" s="3" t="s">
        <v>530</v>
      </c>
    </row>
    <row r="12" customFormat="false" ht="18" hidden="false" customHeight="true" outlineLevel="0" collapsed="false">
      <c r="A12" s="3" t="s">
        <v>536</v>
      </c>
      <c r="B12" s="3" t="s">
        <v>535</v>
      </c>
      <c r="C12" s="35" t="n">
        <v>12</v>
      </c>
      <c r="D12" s="3" t="s">
        <v>201</v>
      </c>
    </row>
    <row r="13" customFormat="false" ht="18" hidden="false" customHeight="true" outlineLevel="0" collapsed="false">
      <c r="A13" s="3" t="s">
        <v>537</v>
      </c>
      <c r="B13" s="3" t="s">
        <v>535</v>
      </c>
      <c r="C13" s="35" t="n">
        <v>8</v>
      </c>
      <c r="D13" s="3" t="s">
        <v>158</v>
      </c>
    </row>
    <row r="14" customFormat="false" ht="18" hidden="false" customHeight="true" outlineLevel="0" collapsed="false">
      <c r="A14" s="21" t="s">
        <v>194</v>
      </c>
      <c r="B14" s="21"/>
      <c r="C14" s="41" t="n">
        <f aca="false">SUM(C6:C13)</f>
        <v>290.465648</v>
      </c>
      <c r="D14" s="21"/>
    </row>
    <row r="15" customFormat="false" ht="18" hidden="false" customHeight="true" outlineLevel="0" collapsed="false">
      <c r="A15" s="3"/>
      <c r="B15" s="3"/>
      <c r="C15" s="3"/>
      <c r="D15" s="3"/>
    </row>
    <row r="16" customFormat="false" ht="18" hidden="false" customHeight="true" outlineLevel="0" collapsed="false">
      <c r="A16" s="3" t="s">
        <v>538</v>
      </c>
      <c r="B16" s="3" t="n">
        <v>290.465648</v>
      </c>
      <c r="C16" s="3" t="s">
        <v>508</v>
      </c>
      <c r="D16" s="3" t="n">
        <f aca="false">C14-B16</f>
        <v>0</v>
      </c>
    </row>
    <row r="17" customFormat="false" ht="18" hidden="false" customHeight="true" outlineLevel="0" collapsed="false">
      <c r="A17" s="3" t="s">
        <v>414</v>
      </c>
      <c r="B17" s="3" t="str">
        <f aca="false">IF(ABS(D16)&lt;0.000001,"PASS","FAIL")</f>
        <v>PASS</v>
      </c>
      <c r="C17" s="3"/>
      <c r="D17" s="3"/>
    </row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26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539</v>
      </c>
      <c r="B2" s="1"/>
      <c r="C2" s="1"/>
      <c r="D2" s="1"/>
    </row>
    <row r="3" customFormat="false" ht="18" hidden="false" customHeight="true" outlineLevel="0" collapsed="false">
      <c r="A3" s="2"/>
      <c r="B3" s="2"/>
      <c r="C3" s="2"/>
      <c r="D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516</v>
      </c>
      <c r="B5" s="7" t="s">
        <v>517</v>
      </c>
      <c r="C5" s="7" t="s">
        <v>113</v>
      </c>
      <c r="D5" s="7" t="s">
        <v>540</v>
      </c>
    </row>
    <row r="6" customFormat="false" ht="18" hidden="false" customHeight="true" outlineLevel="0" collapsed="false">
      <c r="A6" s="3" t="s">
        <v>541</v>
      </c>
      <c r="B6" s="3" t="s">
        <v>542</v>
      </c>
      <c r="C6" s="35" t="n">
        <f aca="false">Capital_Attrib!G16</f>
        <v>3641.2016</v>
      </c>
      <c r="D6" s="3" t="s">
        <v>543</v>
      </c>
    </row>
    <row r="7" customFormat="false" ht="18" hidden="false" customHeight="true" outlineLevel="0" collapsed="false">
      <c r="A7" s="3" t="s">
        <v>544</v>
      </c>
      <c r="B7" s="3" t="s">
        <v>545</v>
      </c>
      <c r="C7" s="35" t="n">
        <f aca="false">Control!B18</f>
        <v>250</v>
      </c>
      <c r="D7" s="3" t="s">
        <v>546</v>
      </c>
    </row>
    <row r="8" customFormat="false" ht="18" hidden="false" customHeight="true" outlineLevel="0" collapsed="false">
      <c r="A8" s="3" t="s">
        <v>547</v>
      </c>
      <c r="B8" s="3" t="s">
        <v>548</v>
      </c>
      <c r="C8" s="35" t="n">
        <f aca="false">Annual_Support!C14*Control!B17</f>
        <v>7261.6412</v>
      </c>
      <c r="D8" s="3" t="s">
        <v>530</v>
      </c>
    </row>
    <row r="9" customFormat="false" ht="18" hidden="false" customHeight="true" outlineLevel="0" collapsed="false">
      <c r="A9" s="3" t="s">
        <v>549</v>
      </c>
      <c r="B9" s="3" t="s">
        <v>550</v>
      </c>
      <c r="C9" s="35" t="n">
        <v>422.4</v>
      </c>
      <c r="D9" s="3" t="s">
        <v>158</v>
      </c>
    </row>
    <row r="10" customFormat="false" ht="18" hidden="false" customHeight="true" outlineLevel="0" collapsed="false">
      <c r="A10" s="3" t="s">
        <v>551</v>
      </c>
      <c r="B10" s="3" t="s">
        <v>550</v>
      </c>
      <c r="C10" s="35" t="n">
        <v>63.36</v>
      </c>
      <c r="D10" s="3" t="s">
        <v>158</v>
      </c>
    </row>
    <row r="11" customFormat="false" ht="18" hidden="false" customHeight="true" outlineLevel="0" collapsed="false">
      <c r="A11" s="3" t="s">
        <v>552</v>
      </c>
      <c r="B11" s="3" t="s">
        <v>553</v>
      </c>
      <c r="C11" s="35" t="n">
        <f aca="false">Capital_Attrib!G6*20%</f>
        <v>389.68832</v>
      </c>
      <c r="D11" s="3" t="s">
        <v>554</v>
      </c>
    </row>
    <row r="12" customFormat="false" ht="18" hidden="false" customHeight="true" outlineLevel="0" collapsed="false">
      <c r="A12" s="3" t="s">
        <v>555</v>
      </c>
      <c r="B12" s="3" t="s">
        <v>556</v>
      </c>
      <c r="C12" s="35" t="n">
        <f aca="false">1089*15%</f>
        <v>163.35</v>
      </c>
      <c r="D12" s="3" t="s">
        <v>557</v>
      </c>
    </row>
    <row r="13" customFormat="false" ht="18" hidden="false" customHeight="true" outlineLevel="0" collapsed="false">
      <c r="A13" s="21" t="s">
        <v>194</v>
      </c>
      <c r="B13" s="21"/>
      <c r="C13" s="41" t="n">
        <f aca="false">SUM(C6:C12)</f>
        <v>12191.64112</v>
      </c>
      <c r="D13" s="21"/>
    </row>
    <row r="14" customFormat="false" ht="18" hidden="false" customHeight="true" outlineLevel="0" collapsed="false">
      <c r="A14" s="3"/>
      <c r="B14" s="3"/>
      <c r="C14" s="3"/>
      <c r="D14" s="3"/>
    </row>
    <row r="15" customFormat="false" ht="18" hidden="false" customHeight="true" outlineLevel="0" collapsed="false">
      <c r="A15" s="3" t="s">
        <v>538</v>
      </c>
      <c r="B15" s="3" t="n">
        <v>12191.64112</v>
      </c>
      <c r="C15" s="3" t="s">
        <v>508</v>
      </c>
      <c r="D15" s="3" t="n">
        <f aca="false">C13-B15</f>
        <v>0</v>
      </c>
    </row>
    <row r="16" customFormat="false" ht="18" hidden="false" customHeight="true" outlineLevel="0" collapsed="false">
      <c r="A16" s="3" t="s">
        <v>414</v>
      </c>
      <c r="B16" s="3" t="str">
        <f aca="false">IF(ABS(D15)&lt;0.000001,"PASS","FAIL")</f>
        <v>PASS</v>
      </c>
      <c r="C16" s="3"/>
      <c r="D16" s="3"/>
    </row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54"/>
    <col collapsed="false" customWidth="true" hidden="false" outlineLevel="0" max="5" min="5" style="0" width="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558</v>
      </c>
      <c r="B2" s="1"/>
      <c r="C2" s="1"/>
      <c r="D2" s="1"/>
    </row>
    <row r="3" customFormat="false" ht="18" hidden="false" customHeight="true" outlineLevel="0" collapsed="false">
      <c r="A3" s="2"/>
      <c r="B3" s="2"/>
      <c r="C3" s="2"/>
      <c r="D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559</v>
      </c>
      <c r="B5" s="7" t="s">
        <v>119</v>
      </c>
      <c r="C5" s="7" t="s">
        <v>113</v>
      </c>
      <c r="D5" s="7" t="s">
        <v>560</v>
      </c>
      <c r="E5" s="3"/>
      <c r="F5" s="7" t="s">
        <v>119</v>
      </c>
      <c r="G5" s="7" t="s">
        <v>113</v>
      </c>
    </row>
    <row r="6" customFormat="false" ht="18" hidden="false" customHeight="true" outlineLevel="0" collapsed="false">
      <c r="A6" s="3" t="s">
        <v>561</v>
      </c>
      <c r="B6" s="3" t="s">
        <v>158</v>
      </c>
      <c r="C6" s="42" t="n">
        <v>55</v>
      </c>
      <c r="D6" s="3" t="s">
        <v>562</v>
      </c>
      <c r="E6" s="3"/>
      <c r="F6" s="3" t="s">
        <v>80</v>
      </c>
      <c r="G6" s="3" t="n">
        <f aca="false">SUMIF($B$6:$B$13,F6,$C$6:$C$13)</f>
        <v>0</v>
      </c>
    </row>
    <row r="7" customFormat="false" ht="18" hidden="false" customHeight="true" outlineLevel="0" collapsed="false">
      <c r="A7" s="3" t="s">
        <v>563</v>
      </c>
      <c r="B7" s="3" t="s">
        <v>136</v>
      </c>
      <c r="C7" s="42" t="n">
        <v>45</v>
      </c>
      <c r="D7" s="3" t="s">
        <v>564</v>
      </c>
      <c r="E7" s="3"/>
      <c r="F7" s="3" t="s">
        <v>136</v>
      </c>
      <c r="G7" s="3" t="n">
        <f aca="false">SUMIF($B$6:$B$13,F7,$C$6:$C$13)</f>
        <v>110</v>
      </c>
    </row>
    <row r="8" customFormat="false" ht="18" hidden="false" customHeight="true" outlineLevel="0" collapsed="false">
      <c r="A8" s="3" t="s">
        <v>565</v>
      </c>
      <c r="B8" s="3" t="s">
        <v>201</v>
      </c>
      <c r="C8" s="42" t="n">
        <v>40</v>
      </c>
      <c r="D8" s="3" t="s">
        <v>566</v>
      </c>
      <c r="E8" s="3"/>
      <c r="F8" s="3" t="s">
        <v>158</v>
      </c>
      <c r="G8" s="3" t="n">
        <f aca="false">SUMIF($B$6:$B$13,F8,$C$6:$C$13)</f>
        <v>75</v>
      </c>
    </row>
    <row r="9" customFormat="false" ht="18" hidden="false" customHeight="true" outlineLevel="0" collapsed="false">
      <c r="A9" s="3" t="s">
        <v>567</v>
      </c>
      <c r="B9" s="3" t="s">
        <v>136</v>
      </c>
      <c r="C9" s="42" t="n">
        <v>35</v>
      </c>
      <c r="D9" s="3" t="s">
        <v>568</v>
      </c>
      <c r="E9" s="3"/>
      <c r="F9" s="3" t="s">
        <v>201</v>
      </c>
      <c r="G9" s="3" t="n">
        <f aca="false">SUMIF($B$6:$B$13,F9,$C$6:$C$13)</f>
        <v>65</v>
      </c>
    </row>
    <row r="10" customFormat="false" ht="18" hidden="false" customHeight="true" outlineLevel="0" collapsed="false">
      <c r="A10" s="3" t="s">
        <v>569</v>
      </c>
      <c r="B10" s="3" t="s">
        <v>136</v>
      </c>
      <c r="C10" s="42" t="n">
        <v>30</v>
      </c>
      <c r="D10" s="3" t="s">
        <v>570</v>
      </c>
      <c r="E10" s="3"/>
      <c r="F10" s="3"/>
      <c r="G10" s="3"/>
    </row>
    <row r="11" customFormat="false" ht="18" hidden="false" customHeight="true" outlineLevel="0" collapsed="false">
      <c r="A11" s="3" t="s">
        <v>571</v>
      </c>
      <c r="B11" s="3" t="s">
        <v>158</v>
      </c>
      <c r="C11" s="42" t="n">
        <v>20</v>
      </c>
      <c r="D11" s="3" t="s">
        <v>572</v>
      </c>
      <c r="E11" s="3"/>
      <c r="F11" s="3"/>
      <c r="G11" s="3"/>
    </row>
    <row r="12" customFormat="false" ht="18" hidden="false" customHeight="true" outlineLevel="0" collapsed="false">
      <c r="A12" s="3" t="s">
        <v>573</v>
      </c>
      <c r="B12" s="3" t="s">
        <v>201</v>
      </c>
      <c r="C12" s="42" t="n">
        <v>15</v>
      </c>
      <c r="D12" s="3" t="s">
        <v>574</v>
      </c>
      <c r="E12" s="3"/>
      <c r="F12" s="3"/>
      <c r="G12" s="3"/>
    </row>
    <row r="13" customFormat="false" ht="18" hidden="false" customHeight="true" outlineLevel="0" collapsed="false">
      <c r="A13" s="3" t="s">
        <v>575</v>
      </c>
      <c r="B13" s="3" t="s">
        <v>201</v>
      </c>
      <c r="C13" s="42" t="n">
        <v>10</v>
      </c>
      <c r="D13" s="3" t="s">
        <v>576</v>
      </c>
      <c r="E13" s="3"/>
      <c r="F13" s="3"/>
      <c r="G13" s="3"/>
    </row>
    <row r="14" customFormat="false" ht="18" hidden="false" customHeight="true" outlineLevel="0" collapsed="false">
      <c r="A14" s="21" t="s">
        <v>194</v>
      </c>
      <c r="B14" s="21"/>
      <c r="C14" s="43" t="n">
        <f aca="false">SUM(C6:C13)</f>
        <v>250</v>
      </c>
      <c r="D14" s="21"/>
      <c r="E14" s="3"/>
      <c r="F14" s="3"/>
      <c r="G14" s="3"/>
    </row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B4A"/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577</v>
      </c>
      <c r="B2" s="1"/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76</v>
      </c>
      <c r="B5" s="7" t="s">
        <v>578</v>
      </c>
      <c r="C5" s="7" t="s">
        <v>579</v>
      </c>
      <c r="D5" s="7" t="s">
        <v>580</v>
      </c>
      <c r="E5" s="7" t="s">
        <v>581</v>
      </c>
      <c r="F5" s="7" t="s">
        <v>582</v>
      </c>
      <c r="G5" s="7" t="s">
        <v>583</v>
      </c>
      <c r="H5" s="7" t="s">
        <v>584</v>
      </c>
    </row>
    <row r="6" customFormat="false" ht="18" hidden="false" customHeight="true" outlineLevel="0" collapsed="false">
      <c r="A6" s="3" t="s">
        <v>82</v>
      </c>
      <c r="B6" s="3" t="s">
        <v>585</v>
      </c>
      <c r="C6" s="30" t="n">
        <v>1</v>
      </c>
      <c r="D6" s="30" t="n">
        <v>1</v>
      </c>
      <c r="E6" s="30" t="n">
        <v>1</v>
      </c>
      <c r="F6" s="30" t="n">
        <v>1</v>
      </c>
      <c r="G6" s="30" t="n">
        <v>0</v>
      </c>
      <c r="H6" s="32" t="s">
        <v>586</v>
      </c>
    </row>
    <row r="7" customFormat="false" ht="18" hidden="false" customHeight="true" outlineLevel="0" collapsed="false">
      <c r="A7" s="3" t="s">
        <v>87</v>
      </c>
      <c r="B7" s="3" t="s">
        <v>587</v>
      </c>
      <c r="C7" s="30" t="n">
        <v>0</v>
      </c>
      <c r="D7" s="30" t="n">
        <v>0</v>
      </c>
      <c r="E7" s="30" t="n">
        <v>0</v>
      </c>
      <c r="F7" s="30" t="n">
        <v>0</v>
      </c>
      <c r="G7" s="30" t="n">
        <v>0</v>
      </c>
      <c r="H7" s="32" t="s">
        <v>586</v>
      </c>
    </row>
    <row r="8" customFormat="false" ht="18" hidden="false" customHeight="true" outlineLevel="0" collapsed="false">
      <c r="A8" s="3" t="s">
        <v>91</v>
      </c>
      <c r="B8" s="3" t="s">
        <v>588</v>
      </c>
      <c r="C8" s="30" t="n">
        <v>0</v>
      </c>
      <c r="D8" s="30" t="n">
        <v>0</v>
      </c>
      <c r="E8" s="30" t="n">
        <v>0</v>
      </c>
      <c r="F8" s="30" t="n">
        <v>0</v>
      </c>
      <c r="G8" s="30" t="n">
        <v>0</v>
      </c>
      <c r="H8" s="32" t="s">
        <v>586</v>
      </c>
    </row>
    <row r="9" customFormat="false" ht="18" hidden="false" customHeight="true" outlineLevel="0" collapsed="false">
      <c r="A9" s="10" t="s">
        <v>80</v>
      </c>
      <c r="B9" s="10" t="s">
        <v>589</v>
      </c>
      <c r="C9" s="31" t="n">
        <v>1</v>
      </c>
      <c r="D9" s="31" t="n">
        <v>1</v>
      </c>
      <c r="E9" s="31" t="n">
        <v>1</v>
      </c>
      <c r="F9" s="31" t="n">
        <v>1</v>
      </c>
      <c r="G9" s="31" t="n">
        <v>1</v>
      </c>
      <c r="H9" s="10" t="s">
        <v>590</v>
      </c>
    </row>
    <row r="10" customFormat="false" ht="18" hidden="false" customHeight="true" outlineLevel="0" collapsed="false"/>
    <row r="11" customFormat="false" ht="18" hidden="false" customHeight="true" outlineLevel="0" collapsed="false">
      <c r="A11" s="0" t="s">
        <v>591</v>
      </c>
      <c r="B11" s="0" t="s">
        <v>592</v>
      </c>
    </row>
    <row r="12" customFormat="false" ht="18" hidden="false" customHeight="true" outlineLevel="0" collapsed="false">
      <c r="A12" s="0" t="s">
        <v>593</v>
      </c>
      <c r="B12" s="0" t="str">
        <f aca="false">Control!B6</f>
        <v>D</v>
      </c>
    </row>
    <row r="13" customFormat="false" ht="18" hidden="false" customHeight="true" outlineLevel="0" collapsed="false">
      <c r="A13" s="0" t="s">
        <v>594</v>
      </c>
      <c r="B13" s="0" t="n">
        <f aca="false">SUM(C9:G9)</f>
        <v>5</v>
      </c>
    </row>
    <row r="14" customFormat="false" ht="18" hidden="false" customHeight="true" outlineLevel="0" collapsed="false">
      <c r="A14" s="0" t="s">
        <v>595</v>
      </c>
      <c r="B14" s="0" t="n">
        <v>5</v>
      </c>
    </row>
    <row r="15" customFormat="false" ht="18" hidden="false" customHeight="true" outlineLevel="0" collapsed="false">
      <c r="A15" s="0" t="s">
        <v>414</v>
      </c>
      <c r="B15" s="0" t="str">
        <f aca="false">IF(AND(B12="D",B13=B14),"PASS","FAIL")</f>
        <v>PASS</v>
      </c>
    </row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58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596</v>
      </c>
      <c r="B2" s="1"/>
      <c r="C2" s="1"/>
      <c r="D2" s="1"/>
      <c r="E2" s="1"/>
      <c r="F2" s="1"/>
      <c r="G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597</v>
      </c>
      <c r="B5" s="7" t="s">
        <v>598</v>
      </c>
      <c r="C5" s="7" t="s">
        <v>599</v>
      </c>
      <c r="D5" s="7" t="s">
        <v>600</v>
      </c>
      <c r="E5" s="7" t="s">
        <v>601</v>
      </c>
      <c r="F5" s="7" t="s">
        <v>602</v>
      </c>
      <c r="G5" s="7" t="s">
        <v>603</v>
      </c>
    </row>
    <row r="6" customFormat="false" ht="18" hidden="false" customHeight="true" outlineLevel="0" collapsed="false">
      <c r="A6" s="3" t="s">
        <v>604</v>
      </c>
      <c r="B6" s="30" t="n">
        <v>0</v>
      </c>
      <c r="C6" s="30" t="n">
        <v>2</v>
      </c>
      <c r="D6" s="30" t="n">
        <f aca="false">C6-B6</f>
        <v>2</v>
      </c>
      <c r="E6" s="3" t="s">
        <v>605</v>
      </c>
      <c r="F6" s="3" t="n">
        <v>0</v>
      </c>
      <c r="G6" s="3" t="s">
        <v>606</v>
      </c>
    </row>
    <row r="7" customFormat="false" ht="18" hidden="false" customHeight="true" outlineLevel="0" collapsed="false">
      <c r="A7" s="3" t="s">
        <v>607</v>
      </c>
      <c r="B7" s="30" t="n">
        <v>1</v>
      </c>
      <c r="C7" s="30" t="n">
        <v>4</v>
      </c>
      <c r="D7" s="30" t="n">
        <f aca="false">C7-B7</f>
        <v>3</v>
      </c>
      <c r="E7" s="3" t="s">
        <v>608</v>
      </c>
      <c r="F7" s="3" t="n">
        <v>0</v>
      </c>
      <c r="G7" s="3" t="s">
        <v>609</v>
      </c>
    </row>
    <row r="8" customFormat="false" ht="18" hidden="false" customHeight="true" outlineLevel="0" collapsed="false">
      <c r="A8" s="3" t="s">
        <v>610</v>
      </c>
      <c r="B8" s="30" t="n">
        <v>3</v>
      </c>
      <c r="C8" s="30" t="n">
        <v>6</v>
      </c>
      <c r="D8" s="30" t="n">
        <f aca="false">C8-B8</f>
        <v>3</v>
      </c>
      <c r="E8" s="3" t="s">
        <v>611</v>
      </c>
      <c r="F8" s="3" t="n">
        <v>0</v>
      </c>
      <c r="G8" s="3" t="s">
        <v>609</v>
      </c>
    </row>
    <row r="9" customFormat="false" ht="18" hidden="false" customHeight="true" outlineLevel="0" collapsed="false">
      <c r="A9" s="3" t="s">
        <v>612</v>
      </c>
      <c r="B9" s="30" t="n">
        <v>4</v>
      </c>
      <c r="C9" s="30" t="n">
        <v>7</v>
      </c>
      <c r="D9" s="30" t="n">
        <f aca="false">C9-B9</f>
        <v>3</v>
      </c>
      <c r="E9" s="3" t="s">
        <v>613</v>
      </c>
      <c r="F9" s="3" t="n">
        <v>0</v>
      </c>
      <c r="G9" s="3" t="s">
        <v>609</v>
      </c>
    </row>
    <row r="10" customFormat="false" ht="18" hidden="false" customHeight="true" outlineLevel="0" collapsed="false">
      <c r="A10" s="3" t="s">
        <v>614</v>
      </c>
      <c r="B10" s="30" t="n">
        <v>5</v>
      </c>
      <c r="C10" s="30" t="n">
        <v>8</v>
      </c>
      <c r="D10" s="30" t="n">
        <f aca="false">C10-B10</f>
        <v>3</v>
      </c>
      <c r="E10" s="3" t="s">
        <v>615</v>
      </c>
      <c r="F10" s="3" t="n">
        <v>0</v>
      </c>
      <c r="G10" s="3" t="s">
        <v>616</v>
      </c>
    </row>
    <row r="11" customFormat="false" ht="18" hidden="false" customHeight="true" outlineLevel="0" collapsed="false">
      <c r="A11" s="3" t="s">
        <v>617</v>
      </c>
      <c r="B11" s="30" t="n">
        <v>6</v>
      </c>
      <c r="C11" s="30" t="n">
        <v>10</v>
      </c>
      <c r="D11" s="30" t="n">
        <f aca="false">C11-B11</f>
        <v>4</v>
      </c>
      <c r="E11" s="3" t="s">
        <v>618</v>
      </c>
      <c r="F11" s="3" t="n">
        <v>0</v>
      </c>
      <c r="G11" s="3" t="s">
        <v>609</v>
      </c>
    </row>
    <row r="12" customFormat="false" ht="18" hidden="false" customHeight="true" outlineLevel="0" collapsed="false">
      <c r="A12" s="3" t="s">
        <v>619</v>
      </c>
      <c r="B12" s="30" t="n">
        <v>8</v>
      </c>
      <c r="C12" s="30" t="n">
        <v>12</v>
      </c>
      <c r="D12" s="30" t="n">
        <f aca="false">C12-B12</f>
        <v>4</v>
      </c>
      <c r="E12" s="3" t="s">
        <v>620</v>
      </c>
      <c r="F12" s="3" t="n">
        <v>0</v>
      </c>
      <c r="G12" s="3" t="s">
        <v>616</v>
      </c>
    </row>
    <row r="13" customFormat="false" ht="18" hidden="false" customHeight="true" outlineLevel="0" collapsed="false"/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24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621</v>
      </c>
      <c r="B2" s="1"/>
      <c r="C2" s="1"/>
      <c r="D2" s="1"/>
      <c r="E2" s="1"/>
      <c r="F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622</v>
      </c>
      <c r="B5" s="7" t="s">
        <v>623</v>
      </c>
      <c r="C5" s="7" t="s">
        <v>624</v>
      </c>
      <c r="D5" s="7" t="s">
        <v>414</v>
      </c>
      <c r="E5" s="7" t="s">
        <v>625</v>
      </c>
      <c r="F5" s="7" t="s">
        <v>626</v>
      </c>
    </row>
    <row r="6" customFormat="false" ht="18" hidden="false" customHeight="true" outlineLevel="0" collapsed="false">
      <c r="A6" s="3" t="s">
        <v>627</v>
      </c>
      <c r="B6" s="3" t="s">
        <v>606</v>
      </c>
      <c r="C6" s="3" t="s">
        <v>628</v>
      </c>
      <c r="D6" s="10" t="s">
        <v>629</v>
      </c>
      <c r="E6" s="3" t="s">
        <v>630</v>
      </c>
      <c r="F6" s="3" t="s">
        <v>447</v>
      </c>
    </row>
    <row r="7" customFormat="false" ht="18" hidden="false" customHeight="true" outlineLevel="0" collapsed="false">
      <c r="A7" s="3" t="s">
        <v>631</v>
      </c>
      <c r="B7" s="3" t="s">
        <v>606</v>
      </c>
      <c r="C7" s="3" t="s">
        <v>632</v>
      </c>
      <c r="D7" s="10" t="s">
        <v>629</v>
      </c>
      <c r="E7" s="3" t="s">
        <v>630</v>
      </c>
      <c r="F7" s="3" t="s">
        <v>447</v>
      </c>
    </row>
    <row r="8" customFormat="false" ht="18" hidden="false" customHeight="true" outlineLevel="0" collapsed="false">
      <c r="A8" s="3" t="s">
        <v>633</v>
      </c>
      <c r="B8" s="3" t="s">
        <v>606</v>
      </c>
      <c r="C8" s="3" t="s">
        <v>634</v>
      </c>
      <c r="D8" s="10" t="s">
        <v>629</v>
      </c>
      <c r="E8" s="3" t="s">
        <v>630</v>
      </c>
      <c r="F8" s="3" t="s">
        <v>447</v>
      </c>
    </row>
    <row r="9" customFormat="false" ht="18" hidden="false" customHeight="true" outlineLevel="0" collapsed="false">
      <c r="A9" s="3" t="s">
        <v>635</v>
      </c>
      <c r="B9" s="3" t="s">
        <v>606</v>
      </c>
      <c r="C9" s="3" t="s">
        <v>636</v>
      </c>
      <c r="D9" s="10" t="s">
        <v>629</v>
      </c>
      <c r="E9" s="3" t="s">
        <v>630</v>
      </c>
      <c r="F9" s="3" t="s">
        <v>447</v>
      </c>
    </row>
    <row r="10" customFormat="false" ht="18" hidden="false" customHeight="true" outlineLevel="0" collapsed="false">
      <c r="A10" s="3" t="s">
        <v>637</v>
      </c>
      <c r="B10" s="3" t="s">
        <v>606</v>
      </c>
      <c r="C10" s="3" t="s">
        <v>638</v>
      </c>
      <c r="D10" s="10" t="s">
        <v>629</v>
      </c>
      <c r="E10" s="3" t="s">
        <v>630</v>
      </c>
      <c r="F10" s="3" t="s">
        <v>447</v>
      </c>
    </row>
    <row r="11" customFormat="false" ht="18" hidden="false" customHeight="true" outlineLevel="0" collapsed="false">
      <c r="A11" s="3" t="s">
        <v>639</v>
      </c>
      <c r="B11" s="3" t="s">
        <v>606</v>
      </c>
      <c r="C11" s="3" t="s">
        <v>640</v>
      </c>
      <c r="D11" s="10" t="s">
        <v>629</v>
      </c>
      <c r="E11" s="3" t="s">
        <v>630</v>
      </c>
      <c r="F11" s="3" t="s">
        <v>447</v>
      </c>
    </row>
    <row r="12" customFormat="false" ht="18" hidden="false" customHeight="true" outlineLevel="0" collapsed="false">
      <c r="A12" s="3" t="s">
        <v>641</v>
      </c>
      <c r="B12" s="3" t="s">
        <v>606</v>
      </c>
      <c r="C12" s="3" t="s">
        <v>642</v>
      </c>
      <c r="D12" s="10" t="s">
        <v>629</v>
      </c>
      <c r="E12" s="3" t="s">
        <v>630</v>
      </c>
      <c r="F12" s="3" t="s">
        <v>447</v>
      </c>
    </row>
    <row r="13" customFormat="false" ht="18" hidden="false" customHeight="true" outlineLevel="0" collapsed="false">
      <c r="A13" s="3" t="s">
        <v>643</v>
      </c>
      <c r="B13" s="3" t="s">
        <v>606</v>
      </c>
      <c r="C13" s="3" t="s">
        <v>644</v>
      </c>
      <c r="D13" s="10" t="s">
        <v>629</v>
      </c>
      <c r="E13" s="3" t="s">
        <v>630</v>
      </c>
      <c r="F13" s="3" t="s">
        <v>447</v>
      </c>
    </row>
    <row r="14" customFormat="false" ht="18" hidden="false" customHeight="true" outlineLevel="0" collapsed="false">
      <c r="A14" s="3" t="s">
        <v>645</v>
      </c>
      <c r="B14" s="3" t="s">
        <v>606</v>
      </c>
      <c r="C14" s="3" t="s">
        <v>646</v>
      </c>
      <c r="D14" s="10" t="s">
        <v>629</v>
      </c>
      <c r="E14" s="3" t="s">
        <v>630</v>
      </c>
      <c r="F14" s="3" t="s">
        <v>447</v>
      </c>
    </row>
    <row r="15" customFormat="false" ht="18" hidden="false" customHeight="true" outlineLevel="0" collapsed="false">
      <c r="A15" s="3" t="s">
        <v>647</v>
      </c>
      <c r="B15" s="3" t="s">
        <v>606</v>
      </c>
      <c r="C15" s="3" t="s">
        <v>648</v>
      </c>
      <c r="D15" s="10" t="s">
        <v>629</v>
      </c>
      <c r="E15" s="3" t="s">
        <v>630</v>
      </c>
      <c r="F15" s="3" t="s">
        <v>447</v>
      </c>
    </row>
    <row r="16" customFormat="false" ht="18" hidden="false" customHeight="true" outlineLevel="0" collapsed="false">
      <c r="A16" s="3" t="s">
        <v>649</v>
      </c>
      <c r="B16" s="3" t="s">
        <v>609</v>
      </c>
      <c r="C16" s="3" t="s">
        <v>650</v>
      </c>
      <c r="D16" s="37" t="s">
        <v>651</v>
      </c>
      <c r="E16" s="3" t="s">
        <v>652</v>
      </c>
      <c r="F16" s="3" t="s">
        <v>653</v>
      </c>
    </row>
    <row r="17" customFormat="false" ht="18" hidden="false" customHeight="true" outlineLevel="0" collapsed="false">
      <c r="A17" s="3" t="s">
        <v>654</v>
      </c>
      <c r="B17" s="3" t="s">
        <v>609</v>
      </c>
      <c r="C17" s="3" t="s">
        <v>655</v>
      </c>
      <c r="D17" s="37" t="s">
        <v>651</v>
      </c>
      <c r="E17" s="3" t="s">
        <v>652</v>
      </c>
      <c r="F17" s="3" t="s">
        <v>653</v>
      </c>
    </row>
    <row r="18" customFormat="false" ht="18" hidden="false" customHeight="true" outlineLevel="0" collapsed="false">
      <c r="A18" s="3" t="s">
        <v>656</v>
      </c>
      <c r="B18" s="3" t="s">
        <v>609</v>
      </c>
      <c r="C18" s="3" t="s">
        <v>657</v>
      </c>
      <c r="D18" s="37" t="s">
        <v>651</v>
      </c>
      <c r="E18" s="3" t="s">
        <v>652</v>
      </c>
      <c r="F18" s="3" t="s">
        <v>653</v>
      </c>
    </row>
    <row r="19" customFormat="false" ht="18" hidden="false" customHeight="true" outlineLevel="0" collapsed="false">
      <c r="A19" s="3" t="s">
        <v>658</v>
      </c>
      <c r="B19" s="3" t="s">
        <v>609</v>
      </c>
      <c r="C19" s="3" t="s">
        <v>659</v>
      </c>
      <c r="D19" s="37" t="s">
        <v>651</v>
      </c>
      <c r="E19" s="3" t="s">
        <v>652</v>
      </c>
      <c r="F19" s="3" t="s">
        <v>653</v>
      </c>
    </row>
    <row r="20" customFormat="false" ht="18" hidden="false" customHeight="true" outlineLevel="0" collapsed="false">
      <c r="A20" s="3" t="s">
        <v>660</v>
      </c>
      <c r="B20" s="3" t="s">
        <v>609</v>
      </c>
      <c r="C20" s="3" t="s">
        <v>661</v>
      </c>
      <c r="D20" s="37" t="s">
        <v>651</v>
      </c>
      <c r="E20" s="3" t="s">
        <v>652</v>
      </c>
      <c r="F20" s="3" t="s">
        <v>653</v>
      </c>
    </row>
    <row r="21" customFormat="false" ht="18" hidden="false" customHeight="true" outlineLevel="0" collapsed="false">
      <c r="A21" s="3" t="s">
        <v>662</v>
      </c>
      <c r="B21" s="3" t="s">
        <v>609</v>
      </c>
      <c r="C21" s="3" t="s">
        <v>663</v>
      </c>
      <c r="D21" s="37" t="s">
        <v>651</v>
      </c>
      <c r="E21" s="3" t="s">
        <v>652</v>
      </c>
      <c r="F21" s="3" t="s">
        <v>653</v>
      </c>
    </row>
    <row r="22" customFormat="false" ht="18" hidden="false" customHeight="true" outlineLevel="0" collapsed="false">
      <c r="A22" s="3" t="s">
        <v>664</v>
      </c>
      <c r="B22" s="3" t="s">
        <v>609</v>
      </c>
      <c r="C22" s="3" t="s">
        <v>665</v>
      </c>
      <c r="D22" s="37" t="s">
        <v>651</v>
      </c>
      <c r="E22" s="3" t="s">
        <v>652</v>
      </c>
      <c r="F22" s="3" t="s">
        <v>653</v>
      </c>
    </row>
    <row r="23" customFormat="false" ht="18" hidden="false" customHeight="true" outlineLevel="0" collapsed="false">
      <c r="A23" s="3" t="s">
        <v>666</v>
      </c>
      <c r="B23" s="3" t="s">
        <v>609</v>
      </c>
      <c r="C23" s="3" t="s">
        <v>667</v>
      </c>
      <c r="D23" s="37" t="s">
        <v>651</v>
      </c>
      <c r="E23" s="3" t="s">
        <v>652</v>
      </c>
      <c r="F23" s="3" t="s">
        <v>653</v>
      </c>
    </row>
    <row r="24" customFormat="false" ht="18" hidden="false" customHeight="true" outlineLevel="0" collapsed="false">
      <c r="A24" s="3" t="s">
        <v>668</v>
      </c>
      <c r="B24" s="3" t="s">
        <v>609</v>
      </c>
      <c r="C24" s="3" t="s">
        <v>669</v>
      </c>
      <c r="D24" s="37" t="s">
        <v>651</v>
      </c>
      <c r="E24" s="3" t="s">
        <v>652</v>
      </c>
      <c r="F24" s="3" t="s">
        <v>653</v>
      </c>
    </row>
    <row r="25" customFormat="false" ht="18" hidden="false" customHeight="true" outlineLevel="0" collapsed="false">
      <c r="A25" s="3" t="s">
        <v>670</v>
      </c>
      <c r="B25" s="3" t="s">
        <v>609</v>
      </c>
      <c r="C25" s="3" t="s">
        <v>671</v>
      </c>
      <c r="D25" s="37" t="s">
        <v>651</v>
      </c>
      <c r="E25" s="3" t="s">
        <v>652</v>
      </c>
      <c r="F25" s="3" t="s">
        <v>653</v>
      </c>
    </row>
    <row r="26" customFormat="false" ht="18" hidden="false" customHeight="true" outlineLevel="0" collapsed="false">
      <c r="A26" s="3" t="s">
        <v>672</v>
      </c>
      <c r="B26" s="3" t="s">
        <v>616</v>
      </c>
      <c r="C26" s="3" t="s">
        <v>673</v>
      </c>
      <c r="D26" s="32" t="s">
        <v>674</v>
      </c>
      <c r="E26" s="3" t="s">
        <v>675</v>
      </c>
      <c r="F26" s="3" t="s">
        <v>653</v>
      </c>
    </row>
    <row r="27" customFormat="false" ht="18" hidden="false" customHeight="true" outlineLevel="0" collapsed="false">
      <c r="A27" s="3" t="s">
        <v>676</v>
      </c>
      <c r="B27" s="3" t="s">
        <v>616</v>
      </c>
      <c r="C27" s="3" t="s">
        <v>677</v>
      </c>
      <c r="D27" s="32" t="s">
        <v>674</v>
      </c>
      <c r="E27" s="3" t="s">
        <v>675</v>
      </c>
      <c r="F27" s="3" t="s">
        <v>653</v>
      </c>
    </row>
    <row r="28" customFormat="false" ht="18" hidden="false" customHeight="true" outlineLevel="0" collapsed="false">
      <c r="A28" s="3" t="s">
        <v>678</v>
      </c>
      <c r="B28" s="3" t="s">
        <v>616</v>
      </c>
      <c r="C28" s="3" t="s">
        <v>679</v>
      </c>
      <c r="D28" s="32" t="s">
        <v>674</v>
      </c>
      <c r="E28" s="3" t="s">
        <v>675</v>
      </c>
      <c r="F28" s="3" t="s">
        <v>653</v>
      </c>
    </row>
    <row r="29" customFormat="false" ht="18" hidden="false" customHeight="true" outlineLevel="0" collapsed="false">
      <c r="A29" s="3" t="s">
        <v>680</v>
      </c>
      <c r="B29" s="3" t="s">
        <v>616</v>
      </c>
      <c r="C29" s="3" t="s">
        <v>681</v>
      </c>
      <c r="D29" s="32" t="s">
        <v>674</v>
      </c>
      <c r="E29" s="3" t="s">
        <v>675</v>
      </c>
      <c r="F29" s="3" t="s">
        <v>653</v>
      </c>
    </row>
    <row r="30" customFormat="false" ht="18" hidden="false" customHeight="true" outlineLevel="0" collapsed="false">
      <c r="A30" s="3" t="s">
        <v>682</v>
      </c>
      <c r="B30" s="3" t="s">
        <v>616</v>
      </c>
      <c r="C30" s="3" t="s">
        <v>683</v>
      </c>
      <c r="D30" s="32" t="s">
        <v>674</v>
      </c>
      <c r="E30" s="3" t="s">
        <v>675</v>
      </c>
      <c r="F30" s="3" t="s">
        <v>653</v>
      </c>
    </row>
    <row r="31" customFormat="false" ht="18" hidden="false" customHeight="true" outlineLevel="0" collapsed="false">
      <c r="A31" s="3" t="s">
        <v>684</v>
      </c>
      <c r="B31" s="3" t="s">
        <v>616</v>
      </c>
      <c r="C31" s="3" t="s">
        <v>685</v>
      </c>
      <c r="D31" s="32" t="s">
        <v>674</v>
      </c>
      <c r="E31" s="3" t="s">
        <v>675</v>
      </c>
      <c r="F31" s="3" t="s">
        <v>653</v>
      </c>
    </row>
    <row r="32" customFormat="false" ht="18" hidden="false" customHeight="true" outlineLevel="0" collapsed="false">
      <c r="A32" s="3" t="s">
        <v>686</v>
      </c>
      <c r="B32" s="3" t="s">
        <v>616</v>
      </c>
      <c r="C32" s="3" t="s">
        <v>687</v>
      </c>
      <c r="D32" s="32" t="s">
        <v>674</v>
      </c>
      <c r="E32" s="3" t="s">
        <v>675</v>
      </c>
      <c r="F32" s="3" t="s">
        <v>653</v>
      </c>
    </row>
    <row r="33" customFormat="false" ht="18" hidden="false" customHeight="true" outlineLevel="0" collapsed="false">
      <c r="A33" s="3" t="s">
        <v>688</v>
      </c>
      <c r="B33" s="3" t="s">
        <v>616</v>
      </c>
      <c r="C33" s="3" t="s">
        <v>689</v>
      </c>
      <c r="D33" s="32" t="s">
        <v>674</v>
      </c>
      <c r="E33" s="3" t="s">
        <v>675</v>
      </c>
      <c r="F33" s="3" t="s">
        <v>653</v>
      </c>
    </row>
    <row r="34" customFormat="false" ht="18" hidden="false" customHeight="true" outlineLevel="0" collapsed="false">
      <c r="A34" s="3" t="s">
        <v>690</v>
      </c>
      <c r="B34" s="3" t="s">
        <v>616</v>
      </c>
      <c r="C34" s="3" t="s">
        <v>691</v>
      </c>
      <c r="D34" s="32" t="s">
        <v>674</v>
      </c>
      <c r="E34" s="3" t="s">
        <v>675</v>
      </c>
      <c r="F34" s="3" t="s">
        <v>653</v>
      </c>
    </row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B4A"/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5" min="3" style="0" width="22"/>
    <col collapsed="false" customWidth="true" hidden="false" outlineLevel="0" max="6" min="6" style="0" width="14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692</v>
      </c>
      <c r="B2" s="1"/>
      <c r="C2" s="1"/>
      <c r="D2" s="1"/>
      <c r="E2" s="1"/>
      <c r="F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</row>
    <row r="4" customFormat="false" ht="18" hidden="false" customHeight="true" outlineLevel="0" collapsed="false"/>
    <row r="5" customFormat="false" ht="18" hidden="false" customHeight="true" outlineLevel="0" collapsed="false">
      <c r="A5" s="7" t="s">
        <v>693</v>
      </c>
      <c r="B5" s="7" t="s">
        <v>694</v>
      </c>
      <c r="C5" s="7" t="s">
        <v>695</v>
      </c>
      <c r="D5" s="7" t="s">
        <v>696</v>
      </c>
      <c r="E5" s="7" t="s">
        <v>697</v>
      </c>
      <c r="F5" s="7" t="s">
        <v>414</v>
      </c>
    </row>
    <row r="6" customFormat="false" ht="18" hidden="false" customHeight="true" outlineLevel="0" collapsed="false">
      <c r="A6" s="3" t="s">
        <v>698</v>
      </c>
      <c r="B6" s="3" t="s">
        <v>550</v>
      </c>
      <c r="C6" s="20" t="n">
        <v>24</v>
      </c>
      <c r="D6" s="20" t="n">
        <f aca="false">Control!B7</f>
        <v>24</v>
      </c>
      <c r="E6" s="20" t="n">
        <f aca="false">D6-C6</f>
        <v>0</v>
      </c>
      <c r="F6" s="3" t="str">
        <f aca="false">IF(ABS(E6)&lt;0.01,"PASS","FAIL")</f>
        <v>PASS</v>
      </c>
    </row>
    <row r="7" customFormat="false" ht="18" hidden="false" customHeight="true" outlineLevel="0" collapsed="false">
      <c r="A7" s="3" t="s">
        <v>699</v>
      </c>
      <c r="B7" s="3" t="s">
        <v>550</v>
      </c>
      <c r="C7" s="20" t="n">
        <v>192</v>
      </c>
      <c r="D7" s="20" t="n">
        <f aca="false">Control!B8</f>
        <v>192</v>
      </c>
      <c r="E7" s="20" t="n">
        <f aca="false">D7-C7</f>
        <v>0</v>
      </c>
      <c r="F7" s="3" t="str">
        <f aca="false">IF(ABS(E7)&lt;0.01,"PASS","FAIL")</f>
        <v>PASS</v>
      </c>
    </row>
    <row r="8" customFormat="false" ht="18" hidden="false" customHeight="true" outlineLevel="0" collapsed="false">
      <c r="A8" s="3" t="s">
        <v>700</v>
      </c>
      <c r="B8" s="3" t="s">
        <v>550</v>
      </c>
      <c r="C8" s="20" t="n">
        <v>256</v>
      </c>
      <c r="D8" s="20" t="n">
        <f aca="false">Control!B9</f>
        <v>256</v>
      </c>
      <c r="E8" s="20" t="n">
        <f aca="false">D8-C8</f>
        <v>0</v>
      </c>
      <c r="F8" s="3" t="str">
        <f aca="false">IF(ABS(E8)&lt;0.01,"PASS","FAIL")</f>
        <v>PASS</v>
      </c>
    </row>
    <row r="9" customFormat="false" ht="18" hidden="false" customHeight="true" outlineLevel="0" collapsed="false">
      <c r="A9" s="3" t="s">
        <v>701</v>
      </c>
      <c r="B9" s="3" t="s">
        <v>550</v>
      </c>
      <c r="C9" s="20" t="n">
        <v>84480</v>
      </c>
      <c r="D9" s="20" t="n">
        <f aca="false">Control!B10</f>
        <v>84480</v>
      </c>
      <c r="E9" s="20" t="n">
        <f aca="false">D9-C9</f>
        <v>0</v>
      </c>
      <c r="F9" s="3" t="str">
        <f aca="false">IF(ABS(E9)&lt;0.01,"PASS","FAIL")</f>
        <v>PASS</v>
      </c>
    </row>
    <row r="10" customFormat="false" ht="18" hidden="false" customHeight="true" outlineLevel="0" collapsed="false">
      <c r="A10" s="3" t="s">
        <v>702</v>
      </c>
      <c r="B10" s="3" t="s">
        <v>550</v>
      </c>
      <c r="C10" s="20" t="n">
        <v>79200</v>
      </c>
      <c r="D10" s="20" t="n">
        <f aca="false">Control!B11</f>
        <v>79200</v>
      </c>
      <c r="E10" s="20" t="n">
        <f aca="false">D10-C10</f>
        <v>0</v>
      </c>
      <c r="F10" s="3" t="str">
        <f aca="false">IF(ABS(E10)&lt;0.01,"PASS","FAIL")</f>
        <v>PASS</v>
      </c>
    </row>
    <row r="11" customFormat="false" ht="18" hidden="false" customHeight="true" outlineLevel="0" collapsed="false">
      <c r="A11" s="3" t="s">
        <v>703</v>
      </c>
      <c r="B11" s="3" t="s">
        <v>550</v>
      </c>
      <c r="C11" s="20" t="n">
        <v>48</v>
      </c>
      <c r="D11" s="20" t="n">
        <f aca="false">Control!B12</f>
        <v>48</v>
      </c>
      <c r="E11" s="20" t="n">
        <f aca="false">D11-C11</f>
        <v>0</v>
      </c>
      <c r="F11" s="3" t="str">
        <f aca="false">IF(ABS(E11)&lt;0.01,"PASS","FAIL")</f>
        <v>PASS</v>
      </c>
    </row>
    <row r="12" customFormat="false" ht="18" hidden="false" customHeight="true" outlineLevel="0" collapsed="false">
      <c r="A12" s="3" t="s">
        <v>704</v>
      </c>
      <c r="B12" s="3" t="s">
        <v>550</v>
      </c>
      <c r="C12" s="20" t="n">
        <v>18</v>
      </c>
      <c r="D12" s="20" t="n">
        <f aca="false">Control!B13</f>
        <v>18</v>
      </c>
      <c r="E12" s="20" t="n">
        <f aca="false">D12-C12</f>
        <v>0</v>
      </c>
      <c r="F12" s="3" t="str">
        <f aca="false">IF(ABS(E12)&lt;0.01,"PASS","FAIL")</f>
        <v>PASS</v>
      </c>
    </row>
    <row r="13" customFormat="false" ht="18" hidden="false" customHeight="true" outlineLevel="0" collapsed="false">
      <c r="A13" s="3" t="s">
        <v>705</v>
      </c>
      <c r="B13" s="3" t="s">
        <v>550</v>
      </c>
      <c r="C13" s="20" t="n">
        <v>180</v>
      </c>
      <c r="D13" s="20" t="n">
        <f aca="false">Control!B14</f>
        <v>180</v>
      </c>
      <c r="E13" s="20" t="n">
        <f aca="false">D13-C13</f>
        <v>0</v>
      </c>
      <c r="F13" s="3" t="str">
        <f aca="false">IF(ABS(E13)&lt;0.01,"PASS","FAIL")</f>
        <v>PASS</v>
      </c>
    </row>
    <row r="14" customFormat="false" ht="18" hidden="false" customHeight="true" outlineLevel="0" collapsed="false">
      <c r="A14" s="3" t="s">
        <v>706</v>
      </c>
      <c r="B14" s="3" t="s">
        <v>550</v>
      </c>
      <c r="C14" s="20" t="n">
        <v>429440</v>
      </c>
      <c r="D14" s="20" t="n">
        <f aca="false">Control!B15</f>
        <v>429440</v>
      </c>
      <c r="E14" s="20" t="n">
        <f aca="false">D14-C14</f>
        <v>0</v>
      </c>
      <c r="F14" s="3" t="str">
        <f aca="false">IF(ABS(E14)&lt;0.01,"PASS","FAIL")</f>
        <v>PASS</v>
      </c>
    </row>
    <row r="15" customFormat="false" ht="18" hidden="false" customHeight="true" outlineLevel="0" collapsed="false">
      <c r="A15" s="3" t="s">
        <v>707</v>
      </c>
      <c r="B15" s="3" t="s">
        <v>708</v>
      </c>
      <c r="C15" s="20" t="n">
        <v>7611.1</v>
      </c>
      <c r="D15" s="20" t="n">
        <f aca="false">Family_Ledger!F26</f>
        <v>7611.1</v>
      </c>
      <c r="E15" s="20" t="n">
        <f aca="false">D15-C15</f>
        <v>0</v>
      </c>
      <c r="F15" s="3" t="str">
        <f aca="false">IF(ABS(E15)&lt;0.0001,"PASS","FAIL")</f>
        <v>PASS</v>
      </c>
    </row>
    <row r="16" customFormat="false" ht="18" hidden="false" customHeight="true" outlineLevel="0" collapsed="false">
      <c r="A16" s="3" t="s">
        <v>709</v>
      </c>
      <c r="B16" s="3" t="s">
        <v>710</v>
      </c>
      <c r="C16" s="20" t="n">
        <v>13.706</v>
      </c>
      <c r="D16" s="20" t="n">
        <f aca="false">Reserve_Ledger!E21</f>
        <v>13.706</v>
      </c>
      <c r="E16" s="20" t="n">
        <f aca="false">D16-C16</f>
        <v>3.5527136788005E-015</v>
      </c>
      <c r="F16" s="3" t="str">
        <f aca="false">IF(ABS(E16)&lt;0.0001,"PASS","FAIL")</f>
        <v>PASS</v>
      </c>
    </row>
    <row r="17" customFormat="false" ht="18" hidden="false" customHeight="true" outlineLevel="0" collapsed="false">
      <c r="A17" s="3" t="s">
        <v>711</v>
      </c>
      <c r="B17" s="3" t="s">
        <v>710</v>
      </c>
      <c r="C17" s="20" t="n">
        <v>328.944</v>
      </c>
      <c r="D17" s="20" t="n">
        <f aca="false">Reserve_Ledger!H21</f>
        <v>328.944</v>
      </c>
      <c r="E17" s="20" t="n">
        <f aca="false">D17-C17</f>
        <v>-1.13686837721616E-013</v>
      </c>
      <c r="F17" s="3" t="str">
        <f aca="false">IF(ABS(E17)&lt;0.0001,"PASS","FAIL")</f>
        <v>PASS</v>
      </c>
    </row>
    <row r="18" customFormat="false" ht="18" hidden="false" customHeight="true" outlineLevel="0" collapsed="false">
      <c r="A18" s="3" t="s">
        <v>712</v>
      </c>
      <c r="B18" s="3" t="s">
        <v>713</v>
      </c>
      <c r="C18" s="20" t="n">
        <v>1948.4416</v>
      </c>
      <c r="D18" s="20" t="n">
        <f aca="false">Capital_Attrib!G6</f>
        <v>1948.4416</v>
      </c>
      <c r="E18" s="20" t="n">
        <f aca="false">D18-C18</f>
        <v>-2.27373675443232E-013</v>
      </c>
      <c r="F18" s="3" t="str">
        <f aca="false">IF(ABS(E18)&lt;0.0001,"PASS","FAIL")</f>
        <v>PASS</v>
      </c>
    </row>
    <row r="19" customFormat="false" ht="18" hidden="false" customHeight="true" outlineLevel="0" collapsed="false">
      <c r="A19" s="3" t="s">
        <v>714</v>
      </c>
      <c r="B19" s="3" t="s">
        <v>713</v>
      </c>
      <c r="C19" s="20" t="n">
        <v>274.56</v>
      </c>
      <c r="D19" s="20" t="n">
        <f aca="false">Capital_Attrib!G7</f>
        <v>274.56</v>
      </c>
      <c r="E19" s="20" t="n">
        <f aca="false">D19-C19</f>
        <v>0</v>
      </c>
      <c r="F19" s="3" t="str">
        <f aca="false">IF(ABS(E19)&lt;0.0001,"PASS","FAIL")</f>
        <v>PASS</v>
      </c>
    </row>
    <row r="20" customFormat="false" ht="18" hidden="false" customHeight="true" outlineLevel="0" collapsed="false">
      <c r="A20" s="3" t="s">
        <v>715</v>
      </c>
      <c r="B20" s="3" t="s">
        <v>713</v>
      </c>
      <c r="C20" s="20" t="n">
        <v>0.256</v>
      </c>
      <c r="D20" s="20" t="n">
        <f aca="false">Capital_Attrib!G8</f>
        <v>0.256</v>
      </c>
      <c r="E20" s="20" t="n">
        <f aca="false">D20-C20</f>
        <v>0</v>
      </c>
      <c r="F20" s="3" t="str">
        <f aca="false">IF(ABS(E20)&lt;0.0001,"PASS","FAIL")</f>
        <v>PASS</v>
      </c>
    </row>
    <row r="21" customFormat="false" ht="18" hidden="false" customHeight="true" outlineLevel="0" collapsed="false">
      <c r="A21" s="3" t="s">
        <v>716</v>
      </c>
      <c r="B21" s="3" t="s">
        <v>713</v>
      </c>
      <c r="C21" s="20" t="n">
        <v>328.944</v>
      </c>
      <c r="D21" s="20" t="n">
        <f aca="false">Capital_Attrib!G9</f>
        <v>328.944</v>
      </c>
      <c r="E21" s="20" t="n">
        <f aca="false">D21-C21</f>
        <v>-5.6843418860808E-014</v>
      </c>
      <c r="F21" s="3" t="str">
        <f aca="false">IF(ABS(E21)&lt;0.0001,"PASS","FAIL")</f>
        <v>PASS</v>
      </c>
    </row>
    <row r="22" customFormat="false" ht="18" hidden="false" customHeight="true" outlineLevel="0" collapsed="false">
      <c r="A22" s="3" t="s">
        <v>717</v>
      </c>
      <c r="B22" s="3" t="s">
        <v>713</v>
      </c>
      <c r="C22" s="20" t="n">
        <v>300</v>
      </c>
      <c r="D22" s="20" t="n">
        <f aca="false">Capital_Attrib!G10</f>
        <v>300</v>
      </c>
      <c r="E22" s="20" t="n">
        <f aca="false">D22-C22</f>
        <v>0</v>
      </c>
      <c r="F22" s="3" t="str">
        <f aca="false">IF(ABS(E22)&lt;0.0001,"PASS","FAIL")</f>
        <v>PASS</v>
      </c>
    </row>
    <row r="23" customFormat="false" ht="18" hidden="false" customHeight="true" outlineLevel="0" collapsed="false">
      <c r="A23" s="3" t="s">
        <v>718</v>
      </c>
      <c r="B23" s="3" t="s">
        <v>713</v>
      </c>
      <c r="C23" s="20" t="n">
        <v>144</v>
      </c>
      <c r="D23" s="20" t="n">
        <f aca="false">Capital_Attrib!G11</f>
        <v>144</v>
      </c>
      <c r="E23" s="20" t="n">
        <f aca="false">D23-C23</f>
        <v>0</v>
      </c>
      <c r="F23" s="3" t="str">
        <f aca="false">IF(ABS(E23)&lt;0.0001,"PASS","FAIL")</f>
        <v>PASS</v>
      </c>
    </row>
    <row r="24" customFormat="false" ht="18" hidden="false" customHeight="true" outlineLevel="0" collapsed="false">
      <c r="A24" s="3" t="s">
        <v>719</v>
      </c>
      <c r="B24" s="3" t="s">
        <v>713</v>
      </c>
      <c r="C24" s="20" t="n">
        <v>300</v>
      </c>
      <c r="D24" s="20" t="n">
        <f aca="false">Capital_Attrib!G12</f>
        <v>300</v>
      </c>
      <c r="E24" s="20" t="n">
        <f aca="false">D24-C24</f>
        <v>0</v>
      </c>
      <c r="F24" s="3" t="str">
        <f aca="false">IF(ABS(E24)&lt;0.0001,"PASS","FAIL")</f>
        <v>PASS</v>
      </c>
    </row>
    <row r="25" customFormat="false" ht="18" hidden="false" customHeight="true" outlineLevel="0" collapsed="false">
      <c r="A25" s="3" t="s">
        <v>720</v>
      </c>
      <c r="B25" s="3" t="s">
        <v>713</v>
      </c>
      <c r="C25" s="20" t="n">
        <v>180</v>
      </c>
      <c r="D25" s="20" t="n">
        <f aca="false">Capital_Attrib!G13</f>
        <v>180</v>
      </c>
      <c r="E25" s="20" t="n">
        <f aca="false">D25-C25</f>
        <v>0</v>
      </c>
      <c r="F25" s="3" t="str">
        <f aca="false">IF(ABS(E25)&lt;0.0001,"PASS","FAIL")</f>
        <v>PASS</v>
      </c>
    </row>
    <row r="26" customFormat="false" ht="18" hidden="false" customHeight="true" outlineLevel="0" collapsed="false">
      <c r="A26" s="3" t="s">
        <v>721</v>
      </c>
      <c r="B26" s="3" t="s">
        <v>713</v>
      </c>
      <c r="C26" s="20" t="n">
        <v>90</v>
      </c>
      <c r="D26" s="20" t="n">
        <f aca="false">Capital_Attrib!G14</f>
        <v>90</v>
      </c>
      <c r="E26" s="20" t="n">
        <f aca="false">D26-C26</f>
        <v>0</v>
      </c>
      <c r="F26" s="3" t="str">
        <f aca="false">IF(ABS(E26)&lt;0.0001,"PASS","FAIL")</f>
        <v>PASS</v>
      </c>
    </row>
    <row r="27" customFormat="false" ht="18" hidden="false" customHeight="true" outlineLevel="0" collapsed="false">
      <c r="A27" s="3" t="s">
        <v>722</v>
      </c>
      <c r="B27" s="3" t="s">
        <v>713</v>
      </c>
      <c r="C27" s="20" t="n">
        <v>75</v>
      </c>
      <c r="D27" s="20" t="n">
        <f aca="false">Capital_Attrib!G15</f>
        <v>75</v>
      </c>
      <c r="E27" s="20" t="n">
        <f aca="false">D27-C27</f>
        <v>0</v>
      </c>
      <c r="F27" s="3" t="str">
        <f aca="false">IF(ABS(E27)&lt;0.0001,"PASS","FAIL")</f>
        <v>PASS</v>
      </c>
    </row>
    <row r="28" customFormat="false" ht="18" hidden="false" customHeight="true" outlineLevel="0" collapsed="false">
      <c r="A28" s="3" t="s">
        <v>723</v>
      </c>
      <c r="B28" s="3" t="s">
        <v>713</v>
      </c>
      <c r="C28" s="20" t="n">
        <v>3641.2016</v>
      </c>
      <c r="D28" s="20" t="n">
        <f aca="false">Capital_Attrib!G16</f>
        <v>3641.2016</v>
      </c>
      <c r="E28" s="20" t="n">
        <f aca="false">D28-C28</f>
        <v>0</v>
      </c>
      <c r="F28" s="3" t="str">
        <f aca="false">IF(ABS(E28)&lt;0.0001,"PASS","FAIL")</f>
        <v>PASS</v>
      </c>
    </row>
    <row r="29" customFormat="false" ht="18" hidden="false" customHeight="true" outlineLevel="0" collapsed="false">
      <c r="A29" s="3" t="s">
        <v>724</v>
      </c>
      <c r="B29" s="3" t="s">
        <v>713</v>
      </c>
      <c r="C29" s="20" t="n">
        <v>660.163866684371</v>
      </c>
      <c r="D29" s="20" t="n">
        <f aca="false">Capital_Attrib!B16</f>
        <v>660.163866684371</v>
      </c>
      <c r="E29" s="20" t="n">
        <f aca="false">D29-C29</f>
        <v>0</v>
      </c>
      <c r="F29" s="3" t="str">
        <f aca="false">IF(ABS(E29)&lt;0.0001,"PASS","FAIL")</f>
        <v>PASS</v>
      </c>
    </row>
    <row r="30" customFormat="false" ht="18" hidden="false" customHeight="true" outlineLevel="0" collapsed="false">
      <c r="A30" s="3" t="s">
        <v>725</v>
      </c>
      <c r="B30" s="3" t="s">
        <v>713</v>
      </c>
      <c r="C30" s="20" t="n">
        <v>1146.00838773071</v>
      </c>
      <c r="D30" s="20" t="n">
        <f aca="false">Capital_Attrib!C16</f>
        <v>1146.00838773071</v>
      </c>
      <c r="E30" s="20" t="n">
        <f aca="false">D30-C30</f>
        <v>2.27373675443232E-013</v>
      </c>
      <c r="F30" s="3" t="str">
        <f aca="false">IF(ABS(E30)&lt;0.0001,"PASS","FAIL")</f>
        <v>PASS</v>
      </c>
    </row>
    <row r="31" customFormat="false" ht="18" hidden="false" customHeight="true" outlineLevel="0" collapsed="false">
      <c r="A31" s="3" t="s">
        <v>726</v>
      </c>
      <c r="B31" s="3" t="s">
        <v>713</v>
      </c>
      <c r="C31" s="20" t="n">
        <v>1649.26774558492</v>
      </c>
      <c r="D31" s="20" t="n">
        <f aca="false">Capital_Attrib!D16</f>
        <v>1649.26774558492</v>
      </c>
      <c r="E31" s="20" t="n">
        <f aca="false">D31-C31</f>
        <v>0</v>
      </c>
      <c r="F31" s="3" t="str">
        <f aca="false">IF(ABS(E31)&lt;0.0001,"PASS","FAIL")</f>
        <v>PASS</v>
      </c>
    </row>
    <row r="32" customFormat="false" ht="18" hidden="false" customHeight="true" outlineLevel="0" collapsed="false">
      <c r="A32" s="3" t="s">
        <v>727</v>
      </c>
      <c r="B32" s="3" t="s">
        <v>713</v>
      </c>
      <c r="C32" s="20" t="n">
        <v>20.5056</v>
      </c>
      <c r="D32" s="20" t="n">
        <f aca="false">Capital_Attrib!E16</f>
        <v>20.5056</v>
      </c>
      <c r="E32" s="20" t="n">
        <f aca="false">D32-C32</f>
        <v>0</v>
      </c>
      <c r="F32" s="3" t="str">
        <f aca="false">IF(ABS(E32)&lt;0.0001,"PASS","FAIL")</f>
        <v>PASS</v>
      </c>
    </row>
    <row r="33" customFormat="false" ht="18" hidden="false" customHeight="true" outlineLevel="0" collapsed="false">
      <c r="A33" s="3" t="s">
        <v>728</v>
      </c>
      <c r="B33" s="3" t="s">
        <v>713</v>
      </c>
      <c r="C33" s="20" t="n">
        <v>165.256</v>
      </c>
      <c r="D33" s="20" t="n">
        <f aca="false">Capital_Attrib!F16</f>
        <v>165.256</v>
      </c>
      <c r="E33" s="20" t="n">
        <f aca="false">D33-C33</f>
        <v>0</v>
      </c>
      <c r="F33" s="3" t="str">
        <f aca="false">IF(ABS(E33)&lt;0.0001,"PASS","FAIL")</f>
        <v>PASS</v>
      </c>
    </row>
    <row r="34" customFormat="false" ht="18" hidden="false" customHeight="true" outlineLevel="0" collapsed="false">
      <c r="A34" s="3" t="s">
        <v>729</v>
      </c>
      <c r="B34" s="3" t="s">
        <v>730</v>
      </c>
      <c r="C34" s="20" t="n">
        <v>1</v>
      </c>
      <c r="D34" s="20" t="n">
        <f aca="false">Capital_Attrib!G18</f>
        <v>1</v>
      </c>
      <c r="E34" s="20" t="n">
        <f aca="false">D34-C34</f>
        <v>0</v>
      </c>
      <c r="F34" s="3" t="str">
        <f aca="false">IF(ABS(E34)&lt;0.000001,"PASS","FAIL")</f>
        <v>PASS</v>
      </c>
    </row>
    <row r="35" customFormat="false" ht="18" hidden="false" customHeight="true" outlineLevel="0" collapsed="false">
      <c r="A35" s="3" t="s">
        <v>731</v>
      </c>
      <c r="B35" s="3" t="s">
        <v>732</v>
      </c>
      <c r="C35" s="20" t="n">
        <v>250</v>
      </c>
      <c r="D35" s="20" t="n">
        <f aca="false">Technology!C14</f>
        <v>250</v>
      </c>
      <c r="E35" s="20" t="n">
        <f aca="false">D35-C35</f>
        <v>0</v>
      </c>
      <c r="F35" s="3" t="str">
        <f aca="false">IF(ABS(E35)&lt;0.0001,"PASS","FAIL")</f>
        <v>PASS</v>
      </c>
    </row>
    <row r="36" customFormat="false" ht="18" hidden="false" customHeight="true" outlineLevel="0" collapsed="false">
      <c r="A36" s="3" t="s">
        <v>733</v>
      </c>
      <c r="B36" s="3" t="s">
        <v>734</v>
      </c>
      <c r="C36" s="20" t="n">
        <v>290.465648</v>
      </c>
      <c r="D36" s="20" t="n">
        <f aca="false">Annual_Support!C14</f>
        <v>290.465648</v>
      </c>
      <c r="E36" s="20" t="n">
        <f aca="false">D36-C36</f>
        <v>0</v>
      </c>
      <c r="F36" s="3" t="str">
        <f aca="false">IF(ABS(E36)&lt;0.0001,"PASS","FAIL")</f>
        <v>PASS</v>
      </c>
    </row>
    <row r="37" customFormat="false" ht="18" hidden="false" customHeight="true" outlineLevel="0" collapsed="false">
      <c r="A37" s="3" t="s">
        <v>735</v>
      </c>
      <c r="B37" s="3" t="s">
        <v>736</v>
      </c>
      <c r="C37" s="20" t="n">
        <v>12191.64112</v>
      </c>
      <c r="D37" s="20" t="n">
        <f aca="false">Lifecycle!C13</f>
        <v>12191.64112</v>
      </c>
      <c r="E37" s="20" t="n">
        <f aca="false">D37-C37</f>
        <v>0</v>
      </c>
      <c r="F37" s="3" t="str">
        <f aca="false">IF(ABS(E37)&lt;0.0001,"PASS","FAIL")</f>
        <v>PASS</v>
      </c>
    </row>
    <row r="38" customFormat="false" ht="18" hidden="false" customHeight="true" outlineLevel="0" collapsed="false">
      <c r="A38" s="3" t="s">
        <v>737</v>
      </c>
      <c r="B38" s="3" t="s">
        <v>738</v>
      </c>
      <c r="C38" s="20" t="n">
        <v>345600</v>
      </c>
      <c r="D38" s="20" t="n">
        <f aca="false">Workforce!B14</f>
        <v>345600</v>
      </c>
      <c r="E38" s="20" t="n">
        <f aca="false">D38-C38</f>
        <v>0</v>
      </c>
      <c r="F38" s="3" t="str">
        <f aca="false">IF(ABS(E38)&lt;0.01,"PASS","FAIL")</f>
        <v>PASS</v>
      </c>
    </row>
    <row r="39" customFormat="false" ht="18" hidden="false" customHeight="true" outlineLevel="0" collapsed="false">
      <c r="A39" s="3" t="s">
        <v>739</v>
      </c>
      <c r="B39" s="3" t="s">
        <v>738</v>
      </c>
      <c r="C39" s="20" t="n">
        <v>51840</v>
      </c>
      <c r="D39" s="20" t="n">
        <f aca="false">Workforce!B15</f>
        <v>51840</v>
      </c>
      <c r="E39" s="20" t="n">
        <f aca="false">D39-C39</f>
        <v>0</v>
      </c>
      <c r="F39" s="3" t="str">
        <f aca="false">IF(ABS(E39)&lt;0.01,"PASS","FAIL")</f>
        <v>PASS</v>
      </c>
    </row>
    <row r="40" customFormat="false" ht="18" hidden="false" customHeight="true" outlineLevel="0" collapsed="false">
      <c r="A40" s="3" t="s">
        <v>740</v>
      </c>
      <c r="B40" s="3" t="s">
        <v>738</v>
      </c>
      <c r="C40" s="20" t="n">
        <v>429440</v>
      </c>
      <c r="D40" s="20" t="n">
        <f aca="false">Workforce!B16</f>
        <v>429440</v>
      </c>
      <c r="E40" s="20" t="n">
        <f aca="false">D40-C40</f>
        <v>0</v>
      </c>
      <c r="F40" s="3" t="str">
        <f aca="false">IF(ABS(E40)&lt;0.01,"PASS","FAIL")</f>
        <v>PASS</v>
      </c>
    </row>
    <row r="41" customFormat="false" ht="18" hidden="false" customHeight="true" outlineLevel="0" collapsed="false">
      <c r="A41" s="3" t="s">
        <v>741</v>
      </c>
      <c r="B41" s="3" t="s">
        <v>742</v>
      </c>
      <c r="C41" s="20" t="n">
        <v>5</v>
      </c>
      <c r="D41" s="20" t="n">
        <f aca="false">Architecture_Cases!B13</f>
        <v>5</v>
      </c>
      <c r="E41" s="20" t="n">
        <f aca="false">D41-C41</f>
        <v>0</v>
      </c>
      <c r="F41" s="3" t="str">
        <f aca="false">IF(ABS(E41)&lt;0.01,"PASS","FAIL")</f>
        <v>PASS</v>
      </c>
    </row>
    <row r="42" customFormat="false" ht="18" hidden="false" customHeight="true" outlineLevel="0" collapsed="false">
      <c r="A42" s="3" t="s">
        <v>743</v>
      </c>
      <c r="B42" s="3" t="s">
        <v>744</v>
      </c>
      <c r="C42" s="20" t="n">
        <v>0</v>
      </c>
      <c r="D42" s="20" t="n">
        <f aca="false">Capital_Attrib!B23</f>
        <v>0</v>
      </c>
      <c r="E42" s="20" t="n">
        <f aca="false">D42-C42</f>
        <v>0</v>
      </c>
      <c r="F42" s="3" t="str">
        <f aca="false">IF(ABS(E42)&lt;0.000001,"PASS","FAIL")</f>
        <v>PASS</v>
      </c>
    </row>
    <row r="43" customFormat="false" ht="18" hidden="false" customHeight="true" outlineLevel="0" collapsed="false">
      <c r="A43" s="3" t="s">
        <v>745</v>
      </c>
      <c r="B43" s="3" t="s">
        <v>746</v>
      </c>
      <c r="C43" s="20" t="n">
        <v>0</v>
      </c>
      <c r="D43" s="20" t="n">
        <f aca="false">Capacity_Compiler!E7</f>
        <v>0</v>
      </c>
      <c r="E43" s="20" t="n">
        <f aca="false">D43-C43</f>
        <v>0</v>
      </c>
      <c r="F43" s="3" t="str">
        <f aca="false">IF(ABS(E43)&lt;0.0001,"PASS","FAIL")</f>
        <v>PASS</v>
      </c>
    </row>
    <row r="44" customFormat="false" ht="18" hidden="false" customHeight="true" outlineLevel="0" collapsed="false">
      <c r="A44" s="3" t="s">
        <v>747</v>
      </c>
      <c r="B44" s="3" t="s">
        <v>746</v>
      </c>
      <c r="C44" s="20" t="n">
        <v>412.316936396229</v>
      </c>
      <c r="D44" s="20" t="n">
        <f aca="false">Capacity_Compiler!E8</f>
        <v>412.316936396229</v>
      </c>
      <c r="E44" s="20" t="n">
        <f aca="false">D44-C44</f>
        <v>-1.13686837721616E-013</v>
      </c>
      <c r="F44" s="3" t="str">
        <f aca="false">IF(ABS(E44)&lt;0.0001,"PASS","FAIL")</f>
        <v>PASS</v>
      </c>
    </row>
    <row r="45" customFormat="false" ht="18" hidden="false" customHeight="true" outlineLevel="0" collapsed="false">
      <c r="A45" s="3" t="s">
        <v>748</v>
      </c>
      <c r="B45" s="3" t="s">
        <v>746</v>
      </c>
      <c r="C45" s="20" t="n">
        <v>824.633872792458</v>
      </c>
      <c r="D45" s="20" t="n">
        <f aca="false">Capacity_Compiler!E9</f>
        <v>824.633872792458</v>
      </c>
      <c r="E45" s="20" t="n">
        <f aca="false">D45-C45</f>
        <v>0</v>
      </c>
      <c r="F45" s="3" t="str">
        <f aca="false">IF(ABS(E45)&lt;0.0001,"PASS","FAIL")</f>
        <v>PASS</v>
      </c>
    </row>
    <row r="46" customFormat="false" ht="18" hidden="false" customHeight="true" outlineLevel="0" collapsed="false">
      <c r="A46" s="3" t="s">
        <v>749</v>
      </c>
      <c r="B46" s="3" t="s">
        <v>746</v>
      </c>
      <c r="C46" s="20" t="n">
        <v>1236.95080918869</v>
      </c>
      <c r="D46" s="20" t="n">
        <f aca="false">Capacity_Compiler!E10</f>
        <v>1236.95080918869</v>
      </c>
      <c r="E46" s="20" t="n">
        <f aca="false">D46-C46</f>
        <v>0</v>
      </c>
      <c r="F46" s="3" t="str">
        <f aca="false">IF(ABS(E46)&lt;0.0001,"PASS","FAIL")</f>
        <v>PASS</v>
      </c>
    </row>
    <row r="47" customFormat="false" ht="18" hidden="false" customHeight="true" outlineLevel="0" collapsed="false">
      <c r="A47" s="3" t="s">
        <v>750</v>
      </c>
      <c r="B47" s="3" t="s">
        <v>746</v>
      </c>
      <c r="C47" s="20" t="n">
        <v>1649.26774558492</v>
      </c>
      <c r="D47" s="20" t="n">
        <f aca="false">Capacity_Compiler!E11</f>
        <v>1649.26774558492</v>
      </c>
      <c r="E47" s="20" t="n">
        <f aca="false">D47-C47</f>
        <v>0</v>
      </c>
      <c r="F47" s="3" t="str">
        <f aca="false">IF(ABS(E47)&lt;0.0001,"PASS","FAIL")</f>
        <v>PASS</v>
      </c>
    </row>
    <row r="48" customFormat="false" ht="18" hidden="false" customHeight="true" outlineLevel="0" collapsed="false">
      <c r="A48" s="3" t="s">
        <v>751</v>
      </c>
      <c r="B48" s="3" t="s">
        <v>752</v>
      </c>
      <c r="C48" s="20" t="n">
        <v>4864</v>
      </c>
      <c r="D48" s="20" t="n">
        <f aca="false">Quantity_Registry!F6</f>
        <v>4864</v>
      </c>
      <c r="E48" s="20" t="n">
        <f aca="false">D48-C48</f>
        <v>0</v>
      </c>
      <c r="F48" s="3" t="str">
        <f aca="false">IF(ABS(E48)&lt;0.01,"PASS","FAIL")</f>
        <v>PASS</v>
      </c>
    </row>
    <row r="49" customFormat="false" ht="18" hidden="false" customHeight="true" outlineLevel="0" collapsed="false">
      <c r="A49" s="3" t="s">
        <v>753</v>
      </c>
      <c r="B49" s="3" t="s">
        <v>752</v>
      </c>
      <c r="C49" s="20" t="n">
        <v>1824</v>
      </c>
      <c r="D49" s="20" t="n">
        <f aca="false">Quantity_Registry!F7</f>
        <v>1824</v>
      </c>
      <c r="E49" s="20" t="n">
        <f aca="false">D49-C49</f>
        <v>0</v>
      </c>
      <c r="F49" s="3" t="str">
        <f aca="false">IF(ABS(E49)&lt;0.01,"PASS","FAIL")</f>
        <v>PASS</v>
      </c>
    </row>
    <row r="50" customFormat="false" ht="18" hidden="false" customHeight="true" outlineLevel="0" collapsed="false">
      <c r="A50" s="3" t="s">
        <v>754</v>
      </c>
      <c r="B50" s="3" t="s">
        <v>752</v>
      </c>
      <c r="C50" s="20" t="n">
        <v>912</v>
      </c>
      <c r="D50" s="20" t="n">
        <f aca="false">Quantity_Registry!F8</f>
        <v>912</v>
      </c>
      <c r="E50" s="20" t="n">
        <f aca="false">D50-C50</f>
        <v>0</v>
      </c>
      <c r="F50" s="3" t="str">
        <f aca="false">IF(ABS(E50)&lt;0.01,"PASS","FAIL")</f>
        <v>PASS</v>
      </c>
    </row>
    <row r="51" customFormat="false" ht="18" hidden="false" customHeight="true" outlineLevel="0" collapsed="false">
      <c r="A51" s="3" t="s">
        <v>755</v>
      </c>
      <c r="B51" s="3" t="s">
        <v>752</v>
      </c>
      <c r="C51" s="20" t="n">
        <v>36480</v>
      </c>
      <c r="D51" s="20" t="n">
        <f aca="false">Quantity_Registry!F9</f>
        <v>36480</v>
      </c>
      <c r="E51" s="20" t="n">
        <f aca="false">D51-C51</f>
        <v>0</v>
      </c>
      <c r="F51" s="3" t="str">
        <f aca="false">IF(ABS(E51)&lt;0.01,"PASS","FAIL")</f>
        <v>PASS</v>
      </c>
    </row>
    <row r="52" customFormat="false" ht="18" hidden="false" customHeight="true" outlineLevel="0" collapsed="false">
      <c r="A52" s="3" t="s">
        <v>756</v>
      </c>
      <c r="B52" s="3" t="s">
        <v>752</v>
      </c>
      <c r="C52" s="20" t="n">
        <v>7296</v>
      </c>
      <c r="D52" s="20" t="n">
        <f aca="false">Quantity_Registry!F10</f>
        <v>7296</v>
      </c>
      <c r="E52" s="20" t="n">
        <f aca="false">D52-C52</f>
        <v>0</v>
      </c>
      <c r="F52" s="3" t="str">
        <f aca="false">IF(ABS(E52)&lt;0.01,"PASS","FAIL")</f>
        <v>PASS</v>
      </c>
    </row>
    <row r="53" customFormat="false" ht="18" hidden="false" customHeight="true" outlineLevel="0" collapsed="false">
      <c r="A53" s="3" t="s">
        <v>757</v>
      </c>
      <c r="B53" s="3" t="s">
        <v>752</v>
      </c>
      <c r="C53" s="20" t="n">
        <v>4560</v>
      </c>
      <c r="D53" s="20" t="n">
        <f aca="false">Quantity_Registry!F11</f>
        <v>4560</v>
      </c>
      <c r="E53" s="20" t="n">
        <f aca="false">D53-C53</f>
        <v>0</v>
      </c>
      <c r="F53" s="3" t="str">
        <f aca="false">IF(ABS(E53)&lt;0.01,"PASS","FAIL")</f>
        <v>PASS</v>
      </c>
    </row>
    <row r="54" customFormat="false" ht="18" hidden="false" customHeight="true" outlineLevel="0" collapsed="false">
      <c r="A54" s="3" t="s">
        <v>758</v>
      </c>
      <c r="B54" s="3" t="s">
        <v>752</v>
      </c>
      <c r="C54" s="20" t="n">
        <v>1312</v>
      </c>
      <c r="D54" s="20" t="n">
        <f aca="false">Quantity_Registry!F12</f>
        <v>1312</v>
      </c>
      <c r="E54" s="20" t="n">
        <f aca="false">D54-C54</f>
        <v>0</v>
      </c>
      <c r="F54" s="3" t="str">
        <f aca="false">IF(ABS(E54)&lt;0.01,"PASS","FAIL")</f>
        <v>PASS</v>
      </c>
    </row>
    <row r="55" customFormat="false" ht="18" hidden="false" customHeight="true" outlineLevel="0" collapsed="false">
      <c r="A55" s="3" t="s">
        <v>759</v>
      </c>
      <c r="B55" s="3" t="s">
        <v>752</v>
      </c>
      <c r="C55" s="20" t="n">
        <v>10944</v>
      </c>
      <c r="D55" s="20" t="n">
        <f aca="false">Quantity_Registry!F13</f>
        <v>10944</v>
      </c>
      <c r="E55" s="20" t="n">
        <f aca="false">D55-C55</f>
        <v>0</v>
      </c>
      <c r="F55" s="3" t="str">
        <f aca="false">IF(ABS(E55)&lt;0.01,"PASS","FAIL")</f>
        <v>PASS</v>
      </c>
    </row>
    <row r="56" customFormat="false" ht="18" hidden="false" customHeight="true" outlineLevel="0" collapsed="false">
      <c r="A56" s="3" t="s">
        <v>760</v>
      </c>
      <c r="B56" s="3" t="s">
        <v>752</v>
      </c>
      <c r="C56" s="20" t="n">
        <v>1824</v>
      </c>
      <c r="D56" s="20" t="n">
        <f aca="false">Quantity_Registry!F14</f>
        <v>1824</v>
      </c>
      <c r="E56" s="20" t="n">
        <f aca="false">D56-C56</f>
        <v>0</v>
      </c>
      <c r="F56" s="3" t="str">
        <f aca="false">IF(ABS(E56)&lt;0.01,"PASS","FAIL")</f>
        <v>PASS</v>
      </c>
    </row>
    <row r="57" customFormat="false" ht="18" hidden="false" customHeight="true" outlineLevel="0" collapsed="false">
      <c r="A57" s="3" t="s">
        <v>761</v>
      </c>
      <c r="B57" s="3" t="s">
        <v>752</v>
      </c>
      <c r="C57" s="20" t="n">
        <v>6080</v>
      </c>
      <c r="D57" s="20" t="n">
        <f aca="false">Quantity_Registry!F15</f>
        <v>6080</v>
      </c>
      <c r="E57" s="20" t="n">
        <f aca="false">D57-C57</f>
        <v>0</v>
      </c>
      <c r="F57" s="3" t="str">
        <f aca="false">IF(ABS(E57)&lt;0.01,"PASS","FAIL")</f>
        <v>PASS</v>
      </c>
    </row>
    <row r="58" customFormat="false" ht="18" hidden="false" customHeight="true" outlineLevel="0" collapsed="false">
      <c r="A58" s="3" t="s">
        <v>762</v>
      </c>
      <c r="B58" s="3" t="s">
        <v>752</v>
      </c>
      <c r="C58" s="20" t="n">
        <v>3648</v>
      </c>
      <c r="D58" s="20" t="n">
        <f aca="false">Quantity_Registry!F16</f>
        <v>3648</v>
      </c>
      <c r="E58" s="20" t="n">
        <f aca="false">D58-C58</f>
        <v>0</v>
      </c>
      <c r="F58" s="3" t="str">
        <f aca="false">IF(ABS(E58)&lt;0.01,"PASS","FAIL")</f>
        <v>PASS</v>
      </c>
    </row>
    <row r="59" customFormat="false" ht="18" hidden="false" customHeight="true" outlineLevel="0" collapsed="false">
      <c r="A59" s="3" t="s">
        <v>763</v>
      </c>
      <c r="B59" s="3" t="s">
        <v>752</v>
      </c>
      <c r="C59" s="20" t="n">
        <v>608</v>
      </c>
      <c r="D59" s="20" t="n">
        <f aca="false">Quantity_Registry!F17</f>
        <v>608</v>
      </c>
      <c r="E59" s="20" t="n">
        <f aca="false">D59-C59</f>
        <v>0</v>
      </c>
      <c r="F59" s="3" t="str">
        <f aca="false">IF(ABS(E59)&lt;0.01,"PASS","FAIL")</f>
        <v>PASS</v>
      </c>
    </row>
    <row r="60" customFormat="false" ht="18" hidden="false" customHeight="true" outlineLevel="0" collapsed="false">
      <c r="A60" s="3" t="s">
        <v>764</v>
      </c>
      <c r="B60" s="3" t="s">
        <v>752</v>
      </c>
      <c r="C60" s="20" t="n">
        <v>1824</v>
      </c>
      <c r="D60" s="20" t="n">
        <f aca="false">Quantity_Registry!F18</f>
        <v>1824</v>
      </c>
      <c r="E60" s="20" t="n">
        <f aca="false">D60-C60</f>
        <v>0</v>
      </c>
      <c r="F60" s="3" t="str">
        <f aca="false">IF(ABS(E60)&lt;0.01,"PASS","FAIL")</f>
        <v>PASS</v>
      </c>
    </row>
    <row r="61" customFormat="false" ht="18" hidden="false" customHeight="true" outlineLevel="0" collapsed="false">
      <c r="A61" s="3" t="s">
        <v>765</v>
      </c>
      <c r="B61" s="3" t="s">
        <v>752</v>
      </c>
      <c r="C61" s="20" t="n">
        <v>1680</v>
      </c>
      <c r="D61" s="20" t="n">
        <f aca="false">Quantity_Registry!F19</f>
        <v>1680</v>
      </c>
      <c r="E61" s="20" t="n">
        <f aca="false">D61-C61</f>
        <v>0</v>
      </c>
      <c r="F61" s="3" t="str">
        <f aca="false">IF(ABS(E61)&lt;0.01,"PASS","FAIL")</f>
        <v>PASS</v>
      </c>
    </row>
    <row r="62" customFormat="false" ht="18" hidden="false" customHeight="true" outlineLevel="0" collapsed="false">
      <c r="A62" s="3" t="s">
        <v>766</v>
      </c>
      <c r="B62" s="3" t="s">
        <v>752</v>
      </c>
      <c r="C62" s="20" t="n">
        <v>6144</v>
      </c>
      <c r="D62" s="20" t="n">
        <f aca="false">Quantity_Registry!F20</f>
        <v>6144</v>
      </c>
      <c r="E62" s="20" t="n">
        <f aca="false">D62-C62</f>
        <v>0</v>
      </c>
      <c r="F62" s="3" t="str">
        <f aca="false">IF(ABS(E62)&lt;0.01,"PASS","FAIL")</f>
        <v>PASS</v>
      </c>
    </row>
    <row r="63" customFormat="false" ht="18" hidden="false" customHeight="true" outlineLevel="0" collapsed="false">
      <c r="A63" s="3" t="s">
        <v>767</v>
      </c>
      <c r="B63" s="3" t="s">
        <v>752</v>
      </c>
      <c r="C63" s="20" t="n">
        <v>6144</v>
      </c>
      <c r="D63" s="20" t="n">
        <f aca="false">Quantity_Registry!F21</f>
        <v>6144</v>
      </c>
      <c r="E63" s="20" t="n">
        <f aca="false">D63-C63</f>
        <v>0</v>
      </c>
      <c r="F63" s="3" t="str">
        <f aca="false">IF(ABS(E63)&lt;0.01,"PASS","FAIL")</f>
        <v>PASS</v>
      </c>
    </row>
    <row r="64" customFormat="false" ht="18" hidden="false" customHeight="true" outlineLevel="0" collapsed="false">
      <c r="A64" s="3" t="s">
        <v>768</v>
      </c>
      <c r="B64" s="3" t="s">
        <v>752</v>
      </c>
      <c r="C64" s="20" t="n">
        <v>9120</v>
      </c>
      <c r="D64" s="20" t="n">
        <f aca="false">Quantity_Registry!F22</f>
        <v>9120</v>
      </c>
      <c r="E64" s="20" t="n">
        <f aca="false">D64-C64</f>
        <v>0</v>
      </c>
      <c r="F64" s="3" t="str">
        <f aca="false">IF(ABS(E64)&lt;0.01,"PASS","FAIL")</f>
        <v>PASS</v>
      </c>
    </row>
    <row r="65" customFormat="false" ht="18" hidden="false" customHeight="true" outlineLevel="0" collapsed="false">
      <c r="A65" s="3" t="s">
        <v>769</v>
      </c>
      <c r="B65" s="3" t="s">
        <v>752</v>
      </c>
      <c r="C65" s="20" t="n">
        <v>84480</v>
      </c>
      <c r="D65" s="20" t="n">
        <f aca="false">Quantity_Registry!F23</f>
        <v>84480</v>
      </c>
      <c r="E65" s="20" t="n">
        <f aca="false">D65-C65</f>
        <v>0</v>
      </c>
      <c r="F65" s="3" t="str">
        <f aca="false">IF(ABS(E65)&lt;0.01,"PASS","FAIL")</f>
        <v>PASS</v>
      </c>
    </row>
    <row r="66" customFormat="false" ht="18" hidden="false" customHeight="true" outlineLevel="0" collapsed="false">
      <c r="A66" s="3" t="s">
        <v>770</v>
      </c>
      <c r="B66" s="3" t="s">
        <v>752</v>
      </c>
      <c r="C66" s="20" t="n">
        <v>79200</v>
      </c>
      <c r="D66" s="20" t="n">
        <f aca="false">Quantity_Registry!F24</f>
        <v>79200</v>
      </c>
      <c r="E66" s="20" t="n">
        <f aca="false">D66-C66</f>
        <v>0</v>
      </c>
      <c r="F66" s="3" t="str">
        <f aca="false">IF(ABS(E66)&lt;0.01,"PASS","FAIL")</f>
        <v>PASS</v>
      </c>
    </row>
    <row r="67" customFormat="false" ht="18" hidden="false" customHeight="true" outlineLevel="0" collapsed="false">
      <c r="A67" s="3" t="s">
        <v>771</v>
      </c>
      <c r="B67" s="3" t="s">
        <v>772</v>
      </c>
      <c r="C67" s="20" t="n">
        <v>10</v>
      </c>
      <c r="D67" s="20" t="n">
        <f aca="false">COUNTIF(Gate_Register!D6:D34,"CLOSED")</f>
        <v>10</v>
      </c>
      <c r="E67" s="20" t="n">
        <f aca="false">D67-C67</f>
        <v>0</v>
      </c>
      <c r="F67" s="3" t="str">
        <f aca="false">IF(ABS(E67)&lt;0.01,"PASS","FAIL")</f>
        <v>PASS</v>
      </c>
    </row>
    <row r="68" customFormat="false" ht="18" hidden="false" customHeight="true" outlineLevel="0" collapsed="false">
      <c r="A68" s="3" t="s">
        <v>773</v>
      </c>
      <c r="B68" s="3" t="s">
        <v>772</v>
      </c>
      <c r="C68" s="20" t="n">
        <v>10</v>
      </c>
      <c r="D68" s="20" t="n">
        <f aca="false">COUNTIF(Gate_Register!D6:D34,"OPEN")</f>
        <v>10</v>
      </c>
      <c r="E68" s="20" t="n">
        <f aca="false">D68-C68</f>
        <v>0</v>
      </c>
      <c r="F68" s="3" t="str">
        <f aca="false">IF(ABS(E68)&lt;0.01,"PASS","FAIL")</f>
        <v>PASS</v>
      </c>
    </row>
    <row r="69" customFormat="false" ht="18" hidden="false" customHeight="true" outlineLevel="0" collapsed="false">
      <c r="A69" s="3" t="s">
        <v>774</v>
      </c>
      <c r="B69" s="3" t="s">
        <v>772</v>
      </c>
      <c r="C69" s="20" t="n">
        <v>9</v>
      </c>
      <c r="D69" s="20" t="n">
        <f aca="false">COUNTIF(Gate_Register!D6:D34,"BLOCKED")</f>
        <v>9</v>
      </c>
      <c r="E69" s="20" t="n">
        <f aca="false">D69-C69</f>
        <v>0</v>
      </c>
      <c r="F69" s="3" t="str">
        <f aca="false">IF(ABS(E69)&lt;0.01,"PASS","FAIL")</f>
        <v>PASS</v>
      </c>
    </row>
    <row r="70" customFormat="false" ht="18" hidden="false" customHeight="true" outlineLevel="0" collapsed="false">
      <c r="A70" s="21" t="s">
        <v>775</v>
      </c>
      <c r="B70" s="21"/>
      <c r="C70" s="22"/>
      <c r="D70" s="22" t="n">
        <f aca="false">COUNTIF(F6:F69,"PASS")</f>
        <v>64</v>
      </c>
      <c r="E70" s="22"/>
      <c r="F70" s="21" t="str">
        <f aca="false">IF(D70=64,"PASS","FAIL")</f>
        <v>PASS</v>
      </c>
    </row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1">
    <mergeCell ref="A2:F2"/>
  </mergeCells>
  <conditionalFormatting sqref="F6:F70">
    <cfRule type="containsText" priority="2" operator="containsText" aboveAverage="0" equalAverage="0" bottom="0" percent="0" rank="0" text="FAIL" dxfId="0">
      <formula>NOT(ISERROR(SEARCH("FAIL",F6)))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B4A"/>
    <pageSetUpPr fitToPage="false"/>
  </sheetPr>
  <dimension ref="A1:L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1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12" min="5" style="0" width="18"/>
  </cols>
  <sheetData>
    <row r="1" customFormat="false" ht="18" hidden="false" customHeight="true" outlineLevel="0" collapsed="false"/>
    <row r="2" customFormat="false" ht="24" hidden="false" customHeight="true" outlineLevel="0" collapsed="false">
      <c r="A2" s="1" t="s">
        <v>776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8" hidden="false" customHeight="true" outlineLevel="0" collapsed="false"/>
    <row r="5" customFormat="false" ht="18" hidden="false" customHeight="true" outlineLevel="0" collapsed="false">
      <c r="A5" s="44" t="s">
        <v>777</v>
      </c>
      <c r="B5" s="45" t="str">
        <f aca="false">Control!B6</f>
        <v>D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4" t="s">
        <v>778</v>
      </c>
      <c r="B6" s="46" t="n">
        <f aca="false">Control!B7</f>
        <v>24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8" hidden="false" customHeight="true" outlineLevel="0" collapsed="false">
      <c r="A7" s="44" t="s">
        <v>779</v>
      </c>
      <c r="B7" s="47" t="n">
        <f aca="false">Capital_Attrib!G16</f>
        <v>3641.2016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8" hidden="false" customHeight="true" outlineLevel="0" collapsed="false">
      <c r="A8" s="44" t="s">
        <v>780</v>
      </c>
      <c r="B8" s="48" t="n">
        <f aca="false">Capital_Attrib!B23</f>
        <v>0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8" hidden="false" customHeight="true" outlineLevel="0" collapsed="false">
      <c r="A9" s="44" t="s">
        <v>781</v>
      </c>
      <c r="B9" s="49" t="s">
        <v>674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8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8" hidden="false" customHeight="true" outlineLevel="0" collapsed="false">
      <c r="A11" s="6" t="s">
        <v>782</v>
      </c>
      <c r="B11" s="6"/>
      <c r="C11" s="6"/>
      <c r="D11" s="6"/>
      <c r="E11" s="6" t="s">
        <v>5</v>
      </c>
      <c r="F11" s="6"/>
      <c r="G11" s="6"/>
      <c r="H11" s="6"/>
      <c r="I11" s="6"/>
      <c r="J11" s="6"/>
      <c r="K11" s="6"/>
      <c r="L11" s="6"/>
    </row>
    <row r="12" customFormat="false" ht="18" hidden="false" customHeight="true" outlineLevel="0" collapsed="false">
      <c r="A12" s="7" t="s">
        <v>783</v>
      </c>
      <c r="B12" s="7" t="s">
        <v>113</v>
      </c>
      <c r="C12" s="7" t="s">
        <v>784</v>
      </c>
      <c r="D12" s="3"/>
      <c r="E12" s="50" t="s">
        <v>785</v>
      </c>
      <c r="F12" s="50"/>
      <c r="G12" s="50"/>
      <c r="H12" s="50"/>
      <c r="I12" s="50"/>
      <c r="J12" s="50"/>
      <c r="K12" s="50"/>
      <c r="L12" s="50"/>
    </row>
    <row r="13" customFormat="false" ht="18" hidden="false" customHeight="true" outlineLevel="0" collapsed="false">
      <c r="A13" s="3" t="s">
        <v>786</v>
      </c>
      <c r="B13" s="35" t="n">
        <f aca="false">Capital_Attrib!B16</f>
        <v>660.163866684371</v>
      </c>
      <c r="C13" s="26" t="n">
        <f aca="false">B13/Capital_Attrib!$G$16</f>
        <v>0.181303849444747</v>
      </c>
      <c r="D13" s="3"/>
      <c r="E13" s="50"/>
      <c r="F13" s="50"/>
      <c r="G13" s="50"/>
      <c r="H13" s="50"/>
      <c r="I13" s="50"/>
      <c r="J13" s="50"/>
      <c r="K13" s="50"/>
      <c r="L13" s="50"/>
    </row>
    <row r="14" customFormat="false" ht="18" hidden="false" customHeight="true" outlineLevel="0" collapsed="false">
      <c r="A14" s="3" t="s">
        <v>787</v>
      </c>
      <c r="B14" s="35" t="n">
        <f aca="false">Capital_Attrib!C16</f>
        <v>1146.00838773071</v>
      </c>
      <c r="C14" s="26" t="n">
        <f aca="false">B14/Capital_Attrib!$G$16</f>
        <v>0.31473357249176</v>
      </c>
      <c r="D14" s="3"/>
      <c r="E14" s="50"/>
      <c r="F14" s="50"/>
      <c r="G14" s="50"/>
      <c r="H14" s="50"/>
      <c r="I14" s="50"/>
      <c r="J14" s="50"/>
      <c r="K14" s="50"/>
      <c r="L14" s="50"/>
    </row>
    <row r="15" customFormat="false" ht="18" hidden="false" customHeight="true" outlineLevel="0" collapsed="false">
      <c r="A15" s="3" t="s">
        <v>788</v>
      </c>
      <c r="B15" s="35" t="n">
        <f aca="false">Capital_Attrib!D16</f>
        <v>1649.26774558492</v>
      </c>
      <c r="C15" s="26" t="n">
        <f aca="false">B15/Capital_Attrib!$G$16</f>
        <v>0.452946012542924</v>
      </c>
      <c r="D15" s="3"/>
      <c r="E15" s="50"/>
      <c r="F15" s="50"/>
      <c r="G15" s="50"/>
      <c r="H15" s="50"/>
      <c r="I15" s="50"/>
      <c r="J15" s="50"/>
      <c r="K15" s="50"/>
      <c r="L15" s="50"/>
    </row>
    <row r="16" customFormat="false" ht="18" hidden="false" customHeight="true" outlineLevel="0" collapsed="false">
      <c r="A16" s="3" t="s">
        <v>789</v>
      </c>
      <c r="B16" s="35" t="n">
        <f aca="false">Capital_Attrib!E16</f>
        <v>20.5056</v>
      </c>
      <c r="C16" s="26" t="n">
        <f aca="false">B16/Capital_Attrib!$G$16</f>
        <v>0.00563154756385914</v>
      </c>
      <c r="D16" s="3"/>
      <c r="E16" s="50"/>
      <c r="F16" s="50"/>
      <c r="G16" s="50"/>
      <c r="H16" s="50"/>
      <c r="I16" s="50"/>
      <c r="J16" s="50"/>
      <c r="K16" s="50"/>
      <c r="L16" s="50"/>
    </row>
    <row r="17" customFormat="false" ht="18" hidden="false" customHeight="true" outlineLevel="0" collapsed="false">
      <c r="A17" s="3" t="s">
        <v>790</v>
      </c>
      <c r="B17" s="35" t="n">
        <f aca="false">Capital_Attrib!F16</f>
        <v>165.256</v>
      </c>
      <c r="C17" s="26" t="n">
        <f aca="false">B17/Capital_Attrib!$G$16</f>
        <v>0.0453850179567097</v>
      </c>
      <c r="D17" s="3"/>
      <c r="E17" s="50"/>
      <c r="F17" s="50"/>
      <c r="G17" s="50"/>
      <c r="H17" s="50"/>
      <c r="I17" s="50"/>
      <c r="J17" s="50"/>
      <c r="K17" s="50"/>
      <c r="L17" s="50"/>
    </row>
    <row r="18" customFormat="false" ht="18" hidden="false" customHeight="true" outlineLevel="0" collapsed="false">
      <c r="A18" s="3"/>
      <c r="B18" s="3"/>
      <c r="C18" s="3"/>
      <c r="D18" s="3"/>
      <c r="E18" s="50"/>
      <c r="F18" s="50"/>
      <c r="G18" s="50"/>
      <c r="H18" s="50"/>
      <c r="I18" s="50"/>
      <c r="J18" s="50"/>
      <c r="K18" s="50"/>
      <c r="L18" s="50"/>
    </row>
    <row r="19" customFormat="false" ht="18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8" hidden="false" customHeight="true" outlineLevel="0" collapsed="false">
      <c r="A20" s="6" t="s">
        <v>791</v>
      </c>
      <c r="B20" s="6"/>
      <c r="C20" s="6"/>
      <c r="D20" s="6"/>
      <c r="E20" s="6" t="s">
        <v>792</v>
      </c>
      <c r="F20" s="6"/>
      <c r="G20" s="6"/>
      <c r="H20" s="6"/>
      <c r="I20" s="6"/>
      <c r="J20" s="6"/>
      <c r="K20" s="6"/>
      <c r="L20" s="6"/>
    </row>
    <row r="21" customFormat="false" ht="18" hidden="false" customHeight="true" outlineLevel="0" collapsed="false">
      <c r="A21" s="7" t="s">
        <v>793</v>
      </c>
      <c r="B21" s="7" t="s">
        <v>113</v>
      </c>
      <c r="C21" s="7" t="s">
        <v>414</v>
      </c>
      <c r="D21" s="3"/>
      <c r="E21" s="51" t="s">
        <v>794</v>
      </c>
      <c r="F21" s="51"/>
      <c r="G21" s="51"/>
      <c r="H21" s="51"/>
      <c r="I21" s="51"/>
      <c r="J21" s="51"/>
      <c r="K21" s="51"/>
      <c r="L21" s="51"/>
    </row>
    <row r="22" customFormat="false" ht="18" hidden="false" customHeight="true" outlineLevel="0" collapsed="false">
      <c r="A22" s="3" t="s">
        <v>795</v>
      </c>
      <c r="B22" s="35" t="n">
        <f aca="false">Capital_Attrib!B21</f>
        <v>680.669466684371</v>
      </c>
      <c r="C22" s="3" t="s">
        <v>796</v>
      </c>
      <c r="D22" s="3"/>
      <c r="E22" s="51"/>
      <c r="F22" s="51"/>
      <c r="G22" s="51"/>
      <c r="H22" s="51"/>
      <c r="I22" s="51"/>
      <c r="J22" s="51"/>
      <c r="K22" s="51"/>
      <c r="L22" s="51"/>
    </row>
    <row r="23" customFormat="false" ht="18" hidden="false" customHeight="true" outlineLevel="0" collapsed="false">
      <c r="A23" s="3" t="s">
        <v>223</v>
      </c>
      <c r="B23" s="35" t="n">
        <f aca="false">Capital_Attrib!B22</f>
        <v>3641.2016</v>
      </c>
      <c r="C23" s="3" t="s">
        <v>797</v>
      </c>
      <c r="D23" s="3"/>
      <c r="E23" s="51"/>
      <c r="F23" s="51"/>
      <c r="G23" s="51"/>
      <c r="H23" s="51"/>
      <c r="I23" s="51"/>
      <c r="J23" s="51"/>
      <c r="K23" s="51"/>
      <c r="L23" s="51"/>
    </row>
    <row r="24" customFormat="false" ht="18" hidden="false" customHeight="true" outlineLevel="0" collapsed="false">
      <c r="A24" s="3" t="s">
        <v>798</v>
      </c>
      <c r="B24" s="35" t="n">
        <f aca="false">Capital_Attrib!B23</f>
        <v>0</v>
      </c>
      <c r="C24" s="3" t="s">
        <v>799</v>
      </c>
      <c r="D24" s="3"/>
      <c r="E24" s="51"/>
      <c r="F24" s="51"/>
      <c r="G24" s="51"/>
      <c r="H24" s="51"/>
      <c r="I24" s="51"/>
      <c r="J24" s="51"/>
      <c r="K24" s="51"/>
      <c r="L24" s="51"/>
    </row>
    <row r="25" customFormat="false" ht="18" hidden="false" customHeight="true" outlineLevel="0" collapsed="false">
      <c r="A25" s="3"/>
      <c r="B25" s="3"/>
      <c r="C25" s="3"/>
      <c r="D25" s="3"/>
      <c r="E25" s="51"/>
      <c r="F25" s="51"/>
      <c r="G25" s="51"/>
      <c r="H25" s="51"/>
      <c r="I25" s="51"/>
      <c r="J25" s="51"/>
      <c r="K25" s="51"/>
      <c r="L25" s="51"/>
    </row>
    <row r="26" customFormat="false" ht="18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8" hidden="false" customHeight="true" outlineLevel="0" collapsed="false">
      <c r="A27" s="6" t="s">
        <v>800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8" hidden="false" customHeight="true" outlineLevel="0" collapsed="false">
      <c r="A28" s="52" t="s">
        <v>801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</row>
    <row r="29" customFormat="false" ht="18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</row>
    <row r="30" customFormat="false" ht="18" hidden="false" customHeight="true" outlineLevel="0" collapsed="false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</row>
    <row r="31" customFormat="false" ht="18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</row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</sheetData>
  <mergeCells count="9">
    <mergeCell ref="A2:L2"/>
    <mergeCell ref="A11:F11"/>
    <mergeCell ref="E11:L11"/>
    <mergeCell ref="E12:L18"/>
    <mergeCell ref="A20:F20"/>
    <mergeCell ref="E20:L20"/>
    <mergeCell ref="E21:L25"/>
    <mergeCell ref="A27:L27"/>
    <mergeCell ref="A28:L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