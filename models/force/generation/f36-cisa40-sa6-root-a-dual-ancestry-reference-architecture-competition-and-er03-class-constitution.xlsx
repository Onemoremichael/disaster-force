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tables/table27.xml" ContentType="application/vnd.openxmlformats-officedocument.spreadsheetml.table+xml"/>
  <Override PartName="/xl/worksheets/sheet27.xml" ContentType="application/vnd.openxmlformats-officedocument.spreadsheetml.worksheet+xml"/>
  <Override PartName="/xl/tables/table28.xml" ContentType="application/vnd.openxmlformats-officedocument.spreadsheetml.table+xml"/>
  <Override PartName="/xl/worksheets/sheet28.xml" ContentType="application/vnd.openxmlformats-officedocument.spreadsheetml.worksheet+xml"/>
  <Override PartName="/xl/tables/table29.xml" ContentType="application/vnd.openxmlformats-officedocument.spreadsheetml.table+xml"/>
  <Override PartName="/xl/worksheets/sheet29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30.xml" ContentType="application/vnd.openxmlformats-officedocument.spreadsheetml.worksheet+xml"/>
  <Override PartName="/xl/tables/table32.xml" ContentType="application/vnd.openxmlformats-officedocument.spreadsheetml.table+xml"/>
  <Override PartName="/xl/worksheets/sheet31.xml" ContentType="application/vnd.openxmlformats-officedocument.spreadsheetml.worksheet+xml"/>
  <Override PartName="/xl/tables/table33.xml" ContentType="application/vnd.openxmlformats-officedocument.spreadsheetml.table+xml"/>
  <Override PartName="/xl/worksheets/sheet32.xml" ContentType="application/vnd.openxmlformats-officedocument.spreadsheetml.worksheet+xml"/>
  <Override PartName="/xl/tables/table34.xml" ContentType="application/vnd.openxmlformats-officedocument.spreadsheetml.table+xml"/>
  <Override PartName="/xl/worksheets/sheet33.xml" ContentType="application/vnd.openxmlformats-officedocument.spreadsheetml.worksheet+xml"/>
  <Override PartName="/xl/tables/table35.xml" ContentType="application/vnd.openxmlformats-officedocument.spreadsheetml.table+xml"/>
  <Override PartName="/xl/worksheets/sheet34.xml" ContentType="application/vnd.openxmlformats-officedocument.spreadsheetml.worksheet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35.xml" ContentType="application/vnd.openxmlformats-officedocument.spreadsheetml.worksheet+xml"/>
  <Override PartName="/xl/tables/table39.xml" ContentType="application/vnd.openxmlformats-officedocument.spreadsheetml.table+xml"/>
  <Override PartName="/xl/worksheets/sheet36.xml" ContentType="application/vnd.openxmlformats-officedocument.spreadsheetml.worksheet+xml"/>
  <Override PartName="/xl/tables/table40.xml" ContentType="application/vnd.openxmlformats-officedocument.spreadsheetml.table+xml"/>
  <Override PartName="/xl/worksheets/sheet37.xml" ContentType="application/vnd.openxmlformats-officedocument.spreadsheetml.worksheet+xml"/>
  <Override PartName="/xl/tables/table4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995e2828f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7c6c82885dbc4f70"/>
    <x:sheet xmlns:r="http://schemas.openxmlformats.org/officeDocument/2006/relationships" name="Assumptions" sheetId="2" r:id="Reff7e93315d346f5"/>
    <x:sheet xmlns:r="http://schemas.openxmlformats.org/officeDocument/2006/relationships" name="Candidates" sheetId="3" r:id="Rb1e841e0d3cd4674"/>
    <x:sheet xmlns:r="http://schemas.openxmlformats.org/officeDocument/2006/relationships" name="Candidate Articles" sheetId="4" r:id="R380ff1fc74b44194"/>
    <x:sheet xmlns:r="http://schemas.openxmlformats.org/officeDocument/2006/relationships" name="Candidate Trials" sheetId="5" r:id="Rc23a935284204ff4"/>
    <x:sheet xmlns:r="http://schemas.openxmlformats.org/officeDocument/2006/relationships" name="Pair Matrix" sheetId="6" r:id="R2bbd3705a27f4a3d"/>
    <x:sheet xmlns:r="http://schemas.openxmlformats.org/officeDocument/2006/relationships" name="Pair Trials" sheetId="7" r:id="Ra12e92c6637f4bba"/>
    <x:sheet xmlns:r="http://schemas.openxmlformats.org/officeDocument/2006/relationships" name="Pair Decision" sheetId="8" r:id="R912244d3fb6e4e2b"/>
    <x:sheet xmlns:r="http://schemas.openxmlformats.org/officeDocument/2006/relationships" name="Code Schedule" sheetId="9" r:id="R415e33adb557420f"/>
    <x:sheet xmlns:r="http://schemas.openxmlformats.org/officeDocument/2006/relationships" name="Module Bank" sheetId="10" r:id="Re65359557eb7470b"/>
    <x:sheet xmlns:r="http://schemas.openxmlformats.org/officeDocument/2006/relationships" name="Qualification Cycles" sheetId="11" r:id="Rb9630361716e4c1a"/>
    <x:sheet xmlns:r="http://schemas.openxmlformats.org/officeDocument/2006/relationships" name="Water Lots" sheetId="12" r:id="R30d355269cde4c77"/>
    <x:sheet xmlns:r="http://schemas.openxmlformats.org/officeDocument/2006/relationships" name="Simulant Lots" sheetId="13" r:id="R7a0e56e21b474b8d"/>
    <x:sheet xmlns:r="http://schemas.openxmlformats.org/officeDocument/2006/relationships" name="Cell Map" sheetId="14" r:id="Rf89fb3969614442a"/>
    <x:sheet xmlns:r="http://schemas.openxmlformats.org/officeDocument/2006/relationships" name="Event Register" sheetId="15" r:id="Rde1c6b82cb1d4c02"/>
    <x:sheet xmlns:r="http://schemas.openxmlformats.org/officeDocument/2006/relationships" name="Water Ledger" sheetId="16" r:id="Rd39d50e0a1fd4e70"/>
    <x:sheet xmlns:r="http://schemas.openxmlformats.org/officeDocument/2006/relationships" name="Simulant Ledger" sheetId="17" r:id="R914a488295764332"/>
    <x:sheet xmlns:r="http://schemas.openxmlformats.org/officeDocument/2006/relationships" name="Code Ledger" sheetId="18" r:id="R31f967ba331446c9"/>
    <x:sheet xmlns:r="http://schemas.openxmlformats.org/officeDocument/2006/relationships" name="Ancestry Results" sheetId="19" r:id="R82805f930a064c80"/>
    <x:sheet xmlns:r="http://schemas.openxmlformats.org/officeDocument/2006/relationships" name="Separation" sheetId="20" r:id="Re9950ffa37a84b46"/>
    <x:sheet xmlns:r="http://schemas.openxmlformats.org/officeDocument/2006/relationships" name="Event Gates" sheetId="21" r:id="R5b202ceef9944526"/>
    <x:sheet xmlns:r="http://schemas.openxmlformats.org/officeDocument/2006/relationships" name="Safeing" sheetId="22" r:id="R43e7f1f55ee44ae6"/>
    <x:sheet xmlns:r="http://schemas.openxmlformats.org/officeDocument/2006/relationships" name="Measurements" sheetId="23" r:id="R2e7e8bc02d7a4af8"/>
    <x:sheet xmlns:r="http://schemas.openxmlformats.org/officeDocument/2006/relationships" name="Evidence Objects" sheetId="24" r:id="Raf1e2c964db84536"/>
    <x:sheet xmlns:r="http://schemas.openxmlformats.org/officeDocument/2006/relationships" name="Return" sheetId="25" r:id="R8e6a7b002f764d3a"/>
    <x:sheet xmlns:r="http://schemas.openxmlformats.org/officeDocument/2006/relationships" name="Replay" sheetId="26" r:id="R42c2816933c6449b"/>
    <x:sheet xmlns:r="http://schemas.openxmlformats.org/officeDocument/2006/relationships" name="Class Decision" sheetId="27" r:id="R22d9778daf4d46df"/>
    <x:sheet xmlns:r="http://schemas.openxmlformats.org/officeDocument/2006/relationships" name="Schedule" sheetId="28" r:id="R246d6a1bfd834a43"/>
    <x:sheet xmlns:r="http://schemas.openxmlformats.org/officeDocument/2006/relationships" name="Parent Rebase" sheetId="29" r:id="R5fbe81e22c054c4e"/>
    <x:sheet xmlns:r="http://schemas.openxmlformats.org/officeDocument/2006/relationships" name="Capacity" sheetId="30" r:id="R1d226973fbfd442d"/>
    <x:sheet xmlns:r="http://schemas.openxmlformats.org/officeDocument/2006/relationships" name="Evidence" sheetId="31" r:id="R2253ff1d28394168"/>
    <x:sheet xmlns:r="http://schemas.openxmlformats.org/officeDocument/2006/relationships" name="Workforce" sheetId="32" r:id="R8db332e495374927"/>
    <x:sheet xmlns:r="http://schemas.openxmlformats.org/officeDocument/2006/relationships" name="Technology" sheetId="33" r:id="Rc57325d22a8b4d03"/>
    <x:sheet xmlns:r="http://schemas.openxmlformats.org/officeDocument/2006/relationships" name="Finance" sheetId="34" r:id="Rb48f705e63f743fd"/>
    <x:sheet xmlns:r="http://schemas.openxmlformats.org/officeDocument/2006/relationships" name="Cases" sheetId="35" r:id="Rfa13410794564d49"/>
    <x:sheet xmlns:r="http://schemas.openxmlformats.org/officeDocument/2006/relationships" name="Audit" sheetId="36" r:id="R0de629fcf90c41ba"/>
    <x:sheet xmlns:r="http://schemas.openxmlformats.org/officeDocument/2006/relationships" name="Sources" sheetId="37" r:id="R02b1ee2f9078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"/>
    <x:numFmt numFmtId="201" formatCode="0.000000"/>
    <x:numFmt numFmtId="202" formatCode="# ,##0.000"/>
    <x:numFmt numFmtId="203" formatCode="0.0%"/>
  </x:numFmts>
  <x:fonts count="6">
    <x:font>
      <x:sz val="11"/>
      <x:name val="Carlito"/>
    </x:font>
    <x:font>
      <x:b/>
      <x:sz val="15"/>
      <x:color rgb="FF19354F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  <x:font>
      <x:sz val="10"/>
      <x:color rgb="FF344054"/>
      <x:name val="Arial"/>
    </x:font>
    <x:font>
      <x:sz val="10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54F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BDD7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201" fontId="5" fillId="3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86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color rgb="FF667085"/>
      </x:font>
      <x:fill>
        <x:patternFill patternType="solid">
          <x:bgColor rgb="FFE7EBEF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9afce47664ffb" /><Relationship Type="http://schemas.openxmlformats.org/officeDocument/2006/relationships/theme" Target="/xl/theme/theme1.xml" Id="R9ada2410a8694aa4" /><Relationship Type="http://schemas.openxmlformats.org/officeDocument/2006/relationships/sharedStrings" Target="/xl/sharedStrings.xml" Id="R3a2696d542824f2a" /><Relationship Type="http://schemas.openxmlformats.org/officeDocument/2006/relationships/worksheet" Target="/xl/worksheets/sheet1.xml" Id="R7c6c82885dbc4f70" /><Relationship Type="http://schemas.openxmlformats.org/officeDocument/2006/relationships/worksheet" Target="/xl/worksheets/sheet2.xml" Id="Reff7e93315d346f5" /><Relationship Type="http://schemas.openxmlformats.org/officeDocument/2006/relationships/worksheet" Target="/xl/worksheets/sheet3.xml" Id="Rb1e841e0d3cd4674" /><Relationship Type="http://schemas.openxmlformats.org/officeDocument/2006/relationships/worksheet" Target="/xl/worksheets/sheet4.xml" Id="R380ff1fc74b44194" /><Relationship Type="http://schemas.openxmlformats.org/officeDocument/2006/relationships/worksheet" Target="/xl/worksheets/sheet5.xml" Id="Rc23a935284204ff4" /><Relationship Type="http://schemas.openxmlformats.org/officeDocument/2006/relationships/worksheet" Target="/xl/worksheets/sheet6.xml" Id="R2bbd3705a27f4a3d" /><Relationship Type="http://schemas.openxmlformats.org/officeDocument/2006/relationships/worksheet" Target="/xl/worksheets/sheet7.xml" Id="Ra12e92c6637f4bba" /><Relationship Type="http://schemas.openxmlformats.org/officeDocument/2006/relationships/worksheet" Target="/xl/worksheets/sheet8.xml" Id="R912244d3fb6e4e2b" /><Relationship Type="http://schemas.openxmlformats.org/officeDocument/2006/relationships/worksheet" Target="/xl/worksheets/sheet9.xml" Id="R415e33adb557420f" /><Relationship Type="http://schemas.openxmlformats.org/officeDocument/2006/relationships/worksheet" Target="/xl/worksheets/sheet10.xml" Id="Re65359557eb7470b" /><Relationship Type="http://schemas.openxmlformats.org/officeDocument/2006/relationships/worksheet" Target="/xl/worksheets/sheet11.xml" Id="Rb9630361716e4c1a" /><Relationship Type="http://schemas.openxmlformats.org/officeDocument/2006/relationships/worksheet" Target="/xl/worksheets/sheet12.xml" Id="R30d355269cde4c77" /><Relationship Type="http://schemas.openxmlformats.org/officeDocument/2006/relationships/worksheet" Target="/xl/worksheets/sheet13.xml" Id="R7a0e56e21b474b8d" /><Relationship Type="http://schemas.openxmlformats.org/officeDocument/2006/relationships/worksheet" Target="/xl/worksheets/sheet14.xml" Id="Rf89fb3969614442a" /><Relationship Type="http://schemas.openxmlformats.org/officeDocument/2006/relationships/worksheet" Target="/xl/worksheets/sheet15.xml" Id="Rde1c6b82cb1d4c02" /><Relationship Type="http://schemas.openxmlformats.org/officeDocument/2006/relationships/worksheet" Target="/xl/worksheets/sheet16.xml" Id="Rd39d50e0a1fd4e70" /><Relationship Type="http://schemas.openxmlformats.org/officeDocument/2006/relationships/worksheet" Target="/xl/worksheets/sheet17.xml" Id="R914a488295764332" /><Relationship Type="http://schemas.openxmlformats.org/officeDocument/2006/relationships/worksheet" Target="/xl/worksheets/sheet18.xml" Id="R31f967ba331446c9" /><Relationship Type="http://schemas.openxmlformats.org/officeDocument/2006/relationships/worksheet" Target="/xl/worksheets/sheet19.xml" Id="R82805f930a064c80" /><Relationship Type="http://schemas.openxmlformats.org/officeDocument/2006/relationships/worksheet" Target="/xl/worksheets/sheet20.xml" Id="Re9950ffa37a84b46" /><Relationship Type="http://schemas.openxmlformats.org/officeDocument/2006/relationships/worksheet" Target="/xl/worksheets/sheet21.xml" Id="R5b202ceef9944526" /><Relationship Type="http://schemas.openxmlformats.org/officeDocument/2006/relationships/worksheet" Target="/xl/worksheets/sheet22.xml" Id="R43e7f1f55ee44ae6" /><Relationship Type="http://schemas.openxmlformats.org/officeDocument/2006/relationships/worksheet" Target="/xl/worksheets/sheet23.xml" Id="R2e7e8bc02d7a4af8" /><Relationship Type="http://schemas.openxmlformats.org/officeDocument/2006/relationships/worksheet" Target="/xl/worksheets/sheet24.xml" Id="Raf1e2c964db84536" /><Relationship Type="http://schemas.openxmlformats.org/officeDocument/2006/relationships/worksheet" Target="/xl/worksheets/sheet25.xml" Id="R8e6a7b002f764d3a" /><Relationship Type="http://schemas.openxmlformats.org/officeDocument/2006/relationships/worksheet" Target="/xl/worksheets/sheet26.xml" Id="R42c2816933c6449b" /><Relationship Type="http://schemas.openxmlformats.org/officeDocument/2006/relationships/worksheet" Target="/xl/worksheets/sheet27.xml" Id="R22d9778daf4d46df" /><Relationship Type="http://schemas.openxmlformats.org/officeDocument/2006/relationships/worksheet" Target="/xl/worksheets/sheet28.xml" Id="R246d6a1bfd834a43" /><Relationship Type="http://schemas.openxmlformats.org/officeDocument/2006/relationships/worksheet" Target="/xl/worksheets/sheet29.xml" Id="R5fbe81e22c054c4e" /><Relationship Type="http://schemas.openxmlformats.org/officeDocument/2006/relationships/worksheet" Target="/xl/worksheets/sheet30.xml" Id="R1d226973fbfd442d" /><Relationship Type="http://schemas.openxmlformats.org/officeDocument/2006/relationships/worksheet" Target="/xl/worksheets/sheet31.xml" Id="R2253ff1d28394168" /><Relationship Type="http://schemas.openxmlformats.org/officeDocument/2006/relationships/worksheet" Target="/xl/worksheets/sheet32.xml" Id="R8db332e495374927" /><Relationship Type="http://schemas.openxmlformats.org/officeDocument/2006/relationships/worksheet" Target="/xl/worksheets/sheet33.xml" Id="Rc57325d22a8b4d03" /><Relationship Type="http://schemas.openxmlformats.org/officeDocument/2006/relationships/worksheet" Target="/xl/worksheets/sheet34.xml" Id="Rb48f705e63f743fd" /><Relationship Type="http://schemas.openxmlformats.org/officeDocument/2006/relationships/worksheet" Target="/xl/worksheets/sheet35.xml" Id="Rfa13410794564d49" /><Relationship Type="http://schemas.openxmlformats.org/officeDocument/2006/relationships/worksheet" Target="/xl/worksheets/sheet36.xml" Id="R0de629fcf90c41ba" /><Relationship Type="http://schemas.openxmlformats.org/officeDocument/2006/relationships/worksheet" Target="/xl/worksheets/sheet37.xml" Id="R02b1ee2f90784ed7" /></Relationships>
</file>

<file path=xl/tables/table1.xml><?xml version="1.0" encoding="utf-8"?>
<x:table xmlns:x="http://schemas.openxmlformats.org/spreadsheetml/2006/main" id="39" name="ExecutiveTable" displayName="ExecutiveTable" ref="A6:C38" headerRowCount="1" totalsRowCount="0" totalsRowShown="0">
  <x:tableColumns count="3">
    <x:tableColumn id="1" name="Decision object"/>
    <x:tableColumn id="2" name="Value"/>
    <x:tableColumn id="3" name="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bjAssumptions" displayName="RbjAssumptions" ref="A7:E103" headerRowCount="1" totalsRowCount="0" totalsRowShown="0">
  <x:tableColumns count="5">
    <x:tableColumn id="1" name="Parameter"/>
    <x:tableColumn id="2" name="Value"/>
    <x:tableColumn id="3" name="Unit"/>
    <x:tableColumn id="4" name="Role"/>
    <x:tableColumn id="5" name="Internal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andidateTable" displayName="CandidateTable" ref="A5:J9" headerRowCount="1" totalsRowCount="0" totalsRowShown="0">
  <x:tableColumns count="10">
    <x:tableColumn id="1" name="Candidate"/>
    <x:tableColumn id="2" name="Principle family"/>
    <x:tableColumn id="3" name="Decisive reader"/>
    <x:tableColumn id="4" name="Primary susceptibility"/>
    <x:tableColumn id="5" name="Articles"/>
    <x:tableColumn id="6" name="Trial passes"/>
    <x:tableColumn id="7" name="Material acceptance"/>
    <x:tableColumn id="8" name="Reader independence"/>
    <x:tableColumn id="9" name="Outside replay"/>
    <x:tableColumn id="10" name="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andidateArticleTable" displayName="CandidateArticleTable" ref="A5:H29" headerRowCount="1" totalsRowCount="0" totalsRowShown="0">
  <x:tableColumns count="8">
    <x:tableColumn id="1" name="Article"/>
    <x:tableColumn id="2" name="Candidate"/>
    <x:tableColumn id="3" name="Lineage"/>
    <x:tableColumn id="4" name="Campus"/>
    <x:tableColumn id="5" name="Code production"/>
    <x:tableColumn id="6" name="Calibration"/>
    <x:tableColumn id="7" name="Contamination baseline"/>
    <x:tableColumn id="8" name="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andidateTrialTable" displayName="CandidateTrialTable" ref="A7:R199" headerRowCount="1" totalsRowCount="0" totalsRowShown="0">
  <x:tableColumns count="18">
    <x:tableColumn id="1" name="Trial"/>
    <x:tableColumn id="2" name="Candidate"/>
    <x:tableColumn id="3" name="Article"/>
    <x:tableColumn id="4" name="Lineage"/>
    <x:tableColumn id="5" name="Campus"/>
    <x:tableColumn id="6" name="Challenge"/>
    <x:tableColumn id="7" name="Water m³"/>
    <x:tableColumn id="8" name="Simulant kg"/>
    <x:tableColumn id="9" name="Water recovery"/>
    <x:tableColumn id="10" name="Simulant recovery"/>
    <x:tableColumn id="11" name="Wrong phase"/>
    <x:tableColumn id="12" name="Wrong code"/>
    <x:tableColumn id="13" name="Carryover"/>
    <x:tableColumn id="14" name="Water accounted"/>
    <x:tableColumn id="15" name="Simulant accounted"/>
    <x:tableColumn id="16" name="Blank false positive"/>
    <x:tableColumn id="17" name="Originals and replay"/>
    <x:tableColumn id="18" name="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PairMatrixTable" displayName="PairMatrixTable" ref="A5:L11" headerRowCount="1" totalsRowCount="0" totalsRowShown="0">
  <x:tableColumns count="12">
    <x:tableColumn id="1" name="Pair"/>
    <x:tableColumn id="2" name="Root A"/>
    <x:tableColumn id="3" name="Root B"/>
    <x:tableColumn id="4" name="Family A"/>
    <x:tableColumn id="5" name="Family B"/>
    <x:tableColumn id="6" name="Candidate A state"/>
    <x:tableColumn id="7" name="Candidate B state"/>
    <x:tableColumn id="8" name="Shared decisive dependency"/>
    <x:tableColumn id="9" name="Worst wrong code"/>
    <x:tableColumn id="10" name="Worst carryover"/>
    <x:tableColumn id="11" name="Minimum recovery"/>
    <x:tableColumn id="12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PairTrialTable" displayName="PairTrialTable" ref="A7:M151" headerRowCount="1" totalsRowCount="0" totalsRowShown="0">
  <x:tableColumns count="13">
    <x:tableColumn id="1" name="Trial"/>
    <x:tableColumn id="2" name="Pair"/>
    <x:tableColumn id="3" name="Root A"/>
    <x:tableColumn id="4" name="Root B"/>
    <x:tableColumn id="5" name="Lineage"/>
    <x:tableColumn id="6" name="Campus"/>
    <x:tableColumn id="7" name="Challenge"/>
    <x:tableColumn id="8" name="Root A result"/>
    <x:tableColumn id="9" name="Root B result"/>
    <x:tableColumn id="10" name="Mutual interference"/>
    <x:tableColumn id="11" name="Sampler independence"/>
    <x:tableColumn id="12" name="Outside replay"/>
    <x:tableColumn id="13" name="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PairDecisionTable" displayName="PairDecisionTable" ref="A5:L11" headerRowCount="1" totalsRowCount="0" totalsRowShown="0">
  <x:tableColumns count="12">
    <x:tableColumn id="1" name="Pair"/>
    <x:tableColumn id="2" name="Root A"/>
    <x:tableColumn id="3" name="Root B"/>
    <x:tableColumn id="4" name="Matrix state"/>
    <x:tableColumn id="5" name="Trial passes"/>
    <x:tableColumn id="6" name="Required passes"/>
    <x:tableColumn id="7" name="Worst wrong code"/>
    <x:tableColumn id="8" name="Worst carryover"/>
    <x:tableColumn id="9" name="Minimum recovery"/>
    <x:tableColumn id="10" name="Replay hours"/>
    <x:tableColumn id="11" name="Authority decision"/>
    <x:tableColumn id="12" name="St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41" name="PairRankingTable" displayName="PairRankingTable" ref="M5:O11" headerRowCount="1" totalsRowCount="0" totalsRowShown="0">
  <x:tableColumns count="3">
    <x:tableColumn id="1" name="Lifecycle resource USD M"/>
    <x:tableColumn id="2" name="Eligibility"/>
    <x:tableColumn id="3" name="Lexicographic rank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CodeScheduleTable" displayName="CodeScheduleTable" ref="A5:J21" headerRowCount="1" totalsRowCount="0" totalsRowShown="0">
  <x:tableColumns count="10">
    <x:tableColumn id="1" name="Event"/>
    <x:tableColumn id="2" name="Role"/>
    <x:tableColumn id="3" name="Water identity"/>
    <x:tableColumn id="4" name="Simulant identity"/>
    <x:tableColumn id="5" name="Pair"/>
    <x:tableColumn id="6" name="Water frequency"/>
    <x:tableColumn id="7" name="Simulant frequency"/>
    <x:tableColumn id="8" name="Trustee commitment"/>
    <x:tableColumn id="9" name="Threshold reveal"/>
    <x:tableColumn id="10" name="St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ModuleBankTable" displayName="ModuleBankTable" ref="A5:L23" headerRowCount="1" totalsRowCount="0" totalsRowShown="0">
  <x:tableColumns count="12">
    <x:tableColumn id="1" name="Module"/>
    <x:tableColumn id="2" name="Role"/>
    <x:tableColumn id="3" name="Primary root"/>
    <x:tableColumn id="4" name="Lineage"/>
    <x:tableColumn id="5" name="Campus"/>
    <x:tableColumn id="6" name="Exact cell"/>
    <x:tableColumn id="7" name="Root-native sampler"/>
    <x:tableColumn id="8" name="Reader isolation"/>
    <x:tableColumn id="9" name="Code baseline"/>
    <x:tableColumn id="10" name="Safeing"/>
    <x:tableColumn id="11" name="Qualification passes"/>
    <x:tableColumn id="12" name="St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QualificationCycleTable" displayName="QualificationCycleTable" ref="A7:W103" headerRowCount="1" totalsRowCount="0" totalsRowShown="0">
  <x:tableColumns count="23">
    <x:tableColumn id="1" name="Cycle"/>
    <x:tableColumn id="2" name="Module"/>
    <x:tableColumn id="3" name="Primary root"/>
    <x:tableColumn id="4" name="Lineage"/>
    <x:tableColumn id="5" name="Campus"/>
    <x:tableColumn id="6" name="Challenge"/>
    <x:tableColumn id="7" name="Water m³"/>
    <x:tableColumn id="8" name="Simulant kg"/>
    <x:tableColumn id="9" name="Root A water recovery"/>
    <x:tableColumn id="10" name="Root A simulant recovery"/>
    <x:tableColumn id="11" name="Root B water recovery"/>
    <x:tableColumn id="12" name="Root B simulant recovery"/>
    <x:tableColumn id="13" name="Wrong phase"/>
    <x:tableColumn id="14" name="Wrong code"/>
    <x:tableColumn id="15" name="Carryover"/>
    <x:tableColumn id="16" name="Water accounted"/>
    <x:tableColumn id="17" name="Simulant accounted"/>
    <x:tableColumn id="18" name="Simulant in water mg/L"/>
    <x:tableColumn id="19" name="Water in simulant"/>
    <x:tableColumn id="20" name="Gates"/>
    <x:tableColumn id="21" name="Originals"/>
    <x:tableColumn id="22" name="Outside replay"/>
    <x:tableColumn id="23" name="St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WaterLotTable" displayName="WaterLotTable" ref="A5:N23" headerRowCount="1" totalsRowCount="0" totalsRowShown="0">
  <x:tableColumns count="14">
    <x:tableColumn id="1" name="Water lot"/>
    <x:tableColumn id="2" name="Role"/>
    <x:tableColumn id="3" name="Event"/>
    <x:tableColumn id="4" name="Abstract identity"/>
    <x:tableColumn id="5" name="Gross m³"/>
    <x:tableColumn id="6" name="Issue m³"/>
    <x:tableColumn id="7" name="Assay m³"/>
    <x:tableColumn id="8" name="Conditioning m³"/>
    <x:tableColumn id="9" name="Quarantine m³"/>
    <x:tableColumn id="10" name="Root A encoding"/>
    <x:tableColumn id="11" name="Root B encoding"/>
    <x:tableColumn id="12" name="Seal"/>
    <x:tableColumn id="13" name="Laboratory decision"/>
    <x:tableColumn id="14" name="St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SimulantLotTable" displayName="SimulantLotTable" ref="A5:N23" headerRowCount="1" totalsRowCount="0" totalsRowShown="0">
  <x:tableColumns count="14">
    <x:tableColumn id="1" name="Simulant lot"/>
    <x:tableColumn id="2" name="Role"/>
    <x:tableColumn id="3" name="Event"/>
    <x:tableColumn id="4" name="Abstract identity"/>
    <x:tableColumn id="5" name="Gross kg"/>
    <x:tableColumn id="6" name="Issue kg"/>
    <x:tableColumn id="7" name="Assay kg"/>
    <x:tableColumn id="8" name="Conditioning kg"/>
    <x:tableColumn id="9" name="Quarantine kg"/>
    <x:tableColumn id="10" name="Root A encoding"/>
    <x:tableColumn id="11" name="Root B encoding"/>
    <x:tableColumn id="12" name="Seal"/>
    <x:tableColumn id="13" name="Laboratory decision"/>
    <x:tableColumn id="14" name="St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CellMapTable" displayName="CellMapTable" ref="A5:J17" headerRowCount="1" totalsRowCount="0" totalsRowShown="0">
  <x:tableColumns count="10">
    <x:tableColumn id="1" name="Cell"/>
    <x:tableColumn id="2" name="Rig"/>
    <x:tableColumn id="3" name="Campus"/>
    <x:tableColumn id="4" name="Primary root"/>
    <x:tableColumn id="5" name="Lineage"/>
    <x:tableColumn id="6" name="Module"/>
    <x:tableColumn id="7" name="Primary event"/>
    <x:tableColumn id="8" name="Code pair"/>
    <x:tableColumn id="9" name="Credit count"/>
    <x:tableColumn id="10" name="Sta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24" name="EventRegisterTable" displayName="EventRegisterTable" ref="A7:AF23" headerRowCount="1" totalsRowCount="0" totalsRowShown="0">
  <x:tableColumns count="32">
    <x:tableColumn id="1" name="Event"/>
    <x:tableColumn id="2" name="Role"/>
    <x:tableColumn id="3" name="Primary root"/>
    <x:tableColumn id="4" name="Exact cell"/>
    <x:tableColumn id="5" name="Module"/>
    <x:tableColumn id="6" name="Water lot"/>
    <x:tableColumn id="7" name="Simulant lot"/>
    <x:tableColumn id="8" name="Code pair"/>
    <x:tableColumn id="9" name="Energetic source kg"/>
    <x:tableColumn id="10" name="Ignition state"/>
    <x:tableColumn id="11" name="Casualty water m³"/>
    <x:tableColumn id="12" name="Environment water m³"/>
    <x:tableColumn id="13" name="Environment simulant kg"/>
    <x:tableColumn id="14" name="Water issued m³"/>
    <x:tableColumn id="15" name="Simulant issued kg"/>
    <x:tableColumn id="16" name="Zone coefficient"/>
    <x:tableColumn id="17" name="Water accounted"/>
    <x:tableColumn id="18" name="Simulant accounted"/>
    <x:tableColumn id="19" name="Water unexplained m³"/>
    <x:tableColumn id="20" name="Simulant unexplained kg"/>
    <x:tableColumn id="21" name="Ancestry"/>
    <x:tableColumn id="22" name="Separation"/>
    <x:tableColumn id="23" name="Gates"/>
    <x:tableColumn id="24" name="Evidence"/>
    <x:tableColumn id="25" name="Return"/>
    <x:tableColumn id="26" name="Replay"/>
    <x:tableColumn id="27" name="Water lot state"/>
    <x:tableColumn id="28" name="Simulant lot state"/>
    <x:tableColumn id="29" name="Module state"/>
    <x:tableColumn id="30" name="Code state"/>
    <x:tableColumn id="31" name="Intervention"/>
    <x:tableColumn id="32" name="Disposi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4" name="WaterLedgerTable" displayName="WaterLedgerTable" ref="A5:N21" headerRowCount="1" totalsRowCount="0" totalsRowShown="0">
  <x:tableColumns count="14">
    <x:tableColumn id="1" name="Event"/>
    <x:tableColumn id="2" name="Issued m³"/>
    <x:tableColumn id="3" name="Recovered water m³"/>
    <x:tableColumn id="4" name="Recovered-simulant water m³"/>
    <x:tableColumn id="5" name="Retained system m³"/>
    <x:tableColumn id="6" name="Analytical samples m³"/>
    <x:tableColumn id="7" name="Quarantine m³"/>
    <x:tableColumn id="8" name="Vapor and humidity m³"/>
    <x:tableColumn id="9" name="Casualty m³"/>
    <x:tableColumn id="10" name="Environment m³"/>
    <x:tableColumn id="11" name="Accounted m³"/>
    <x:tableColumn id="12" name="Unexplained m³"/>
    <x:tableColumn id="13" name="Accounted fraction"/>
    <x:tableColumn id="14" name="Sta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5" name="SimulantLedgerTable" displayName="SimulantLedgerTable" ref="A5:N21" headerRowCount="1" totalsRowCount="0" totalsRowShown="0">
  <x:tableColumns count="14">
    <x:tableColumn id="1" name="Event"/>
    <x:tableColumn id="2" name="Issued kg"/>
    <x:tableColumn id="3" name="Recovered simulant kg"/>
    <x:tableColumn id="4" name="Water-stream simulant kg"/>
    <x:tableColumn id="5" name="Route and film kg"/>
    <x:tableColumn id="6" name="Retained system kg"/>
    <x:tableColumn id="7" name="Analytical samples kg"/>
    <x:tableColumn id="8" name="Quarantine kg"/>
    <x:tableColumn id="9" name="Casualty kg"/>
    <x:tableColumn id="10" name="Environment kg"/>
    <x:tableColumn id="11" name="Accounted kg"/>
    <x:tableColumn id="12" name="Unexplained kg"/>
    <x:tableColumn id="13" name="Accounted fraction"/>
    <x:tableColumn id="14" name="Sta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40" name="CodeLedgerTable" displayName="CodeLedgerTable" ref="A5:P37" headerRowCount="1" totalsRowCount="0" totalsRowShown="0">
  <x:tableColumns count="16">
    <x:tableColumn id="1" name="Event"/>
    <x:tableColumn id="2" name="Root seat"/>
    <x:tableColumn id="3" name="Selected architecture"/>
    <x:tableColumn id="4" name="Issued normalized"/>
    <x:tableColumn id="5" name="Recovered in water"/>
    <x:tableColumn id="6" name="Recovered in simulant"/>
    <x:tableColumn id="7" name="Retained film"/>
    <x:tableColumn id="8" name="Destroyed analytical"/>
    <x:tableColumn id="9" name="Archived reference"/>
    <x:tableColumn id="10" name="Retired stock"/>
    <x:tableColumn id="11" name="Quarantine"/>
    <x:tableColumn id="12" name="Casualty or environment"/>
    <x:tableColumn id="13" name="Accounted"/>
    <x:tableColumn id="14" name="Unexplained"/>
    <x:tableColumn id="15" name="Accounted fraction"/>
    <x:tableColumn id="16" name="Sta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6" name="AncestryResultTable" displayName="AncestryResultTable" ref="A5:N21" headerRowCount="1" totalsRowCount="0" totalsRowShown="0">
  <x:tableColumns count="14">
    <x:tableColumn id="1" name="Event"/>
    <x:tableColumn id="2" name="Root A water recovery"/>
    <x:tableColumn id="3" name="Root A simulant recovery"/>
    <x:tableColumn id="4" name="Root A wrong phase"/>
    <x:tableColumn id="5" name="Root A wrong code"/>
    <x:tableColumn id="6" name="Root A carryover"/>
    <x:tableColumn id="7" name="Root B water recovery"/>
    <x:tableColumn id="8" name="Root B simulant recovery"/>
    <x:tableColumn id="9" name="Root B wrong phase"/>
    <x:tableColumn id="10" name="Root B wrong code"/>
    <x:tableColumn id="11" name="Root B carryover"/>
    <x:tableColumn id="12" name="Water-vector difference m³"/>
    <x:tableColumn id="13" name="Simulant-vector difference kg"/>
    <x:tableColumn id="14" name="Stat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7" name="SeparationTable" displayName="SeparationTable" ref="A5:D21" headerRowCount="1" totalsRowCount="0" totalsRowShown="0">
  <x:tableColumns count="4">
    <x:tableColumn id="1" name="Event"/>
    <x:tableColumn id="2" name="Simulant in recovered water mg/L"/>
    <x:tableColumn id="3" name="Water in recovered simulant"/>
    <x:tableColumn id="4" name="Stat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18" name="EventGateTable" displayName="EventGateTable" ref="A5:D21" headerRowCount="1" totalsRowCount="0" totalsRowShown="0">
  <x:tableColumns count="4">
    <x:tableColumn id="1" name="Event"/>
    <x:tableColumn id="2" name="Required gates"/>
    <x:tableColumn id="3" name="Closed gates"/>
    <x:tableColumn id="4" name="Stat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19" name="SafeingTable" displayName="SafeingTable" ref="A5:F21" headerRowCount="1" totalsRowCount="0" totalsRowShown="0">
  <x:tableColumns count="6">
    <x:tableColumn id="1" name="Safeing path"/>
    <x:tableColumn id="2" name="Domain"/>
    <x:tableColumn id="3" name="Physical isolation"/>
    <x:tableColumn id="4" name="Terminal custody"/>
    <x:tableColumn id="5" name="Outside witness"/>
    <x:tableColumn id="6" name="Stat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0" name="MeasurementTable" displayName="MeasurementTable" ref="A5:F245" headerRowCount="1" totalsRowCount="0" totalsRowShown="0">
  <x:tableColumns count="6">
    <x:tableColumn id="1" name="Channel"/>
    <x:tableColumn id="2" name="Domain"/>
    <x:tableColumn id="3" name="Root authority"/>
    <x:tableColumn id="4" name="Witness path"/>
    <x:tableColumn id="5" name="Current disposition"/>
    <x:tableColumn id="6" name="Stat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1" name="EvidenceObjectTable" displayName="EvidenceObjectTable" ref="A5:L21" headerRowCount="1" totalsRowCount="0" totalsRowShown="0">
  <x:tableColumns count="12">
    <x:tableColumn id="1" name="Event"/>
    <x:tableColumn id="2" name="Required records"/>
    <x:tableColumn id="3" name="Records bound"/>
    <x:tableColumn id="4" name="Required channels"/>
    <x:tableColumn id="5" name="Channels current"/>
    <x:tableColumn id="6" name="Required originals"/>
    <x:tableColumn id="7" name="Originals bound"/>
    <x:tableColumn id="8" name="Packet review"/>
    <x:tableColumn id="9" name="Root A packet seal"/>
    <x:tableColumn id="10" name="Root B packet seal"/>
    <x:tableColumn id="11" name="Safeing state"/>
    <x:tableColumn id="12" name="Stat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2" name="ReturnTable" displayName="ReturnTable" ref="A5:N21" headerRowCount="1" totalsRowCount="0" totalsRowShown="0">
  <x:tableColumns count="14">
    <x:tableColumn id="1" name="Event"/>
    <x:tableColumn id="2" name="Required h"/>
    <x:tableColumn id="3" name="Elapsed h"/>
    <x:tableColumn id="4" name="Required decisions"/>
    <x:tableColumn id="5" name="Closed decisions"/>
    <x:tableColumn id="6" name="Root A prior-code carryover"/>
    <x:tableColumn id="7" name="Root B prior-code carryover"/>
    <x:tableColumn id="8" name="Sampler baseline"/>
    <x:tableColumn id="9" name="Reader baseline"/>
    <x:tableColumn id="10" name="Code-stock custody"/>
    <x:tableColumn id="11" name="Analytical residuals"/>
    <x:tableColumn id="12" name="Waste and quarantine"/>
    <x:tableColumn id="13" name="Authority disposition"/>
    <x:tableColumn id="14" name="State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3" name="ReplayTable" displayName="ReplayTable" ref="A5:G21" headerRowCount="1" totalsRowCount="0" totalsRowShown="0">
  <x:tableColumns count="7">
    <x:tableColumn id="1" name="Event"/>
    <x:tableColumn id="2" name="Required decisions"/>
    <x:tableColumn id="3" name="Closed decisions"/>
    <x:tableColumn id="4" name="Root A native packet"/>
    <x:tableColumn id="5" name="Root B native packet"/>
    <x:tableColumn id="6" name="Outside authority"/>
    <x:tableColumn id="7" name="State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5" name="ClassDecisionTable" displayName="ClassDecisionTable" ref="A5:D28" headerRowCount="1" totalsRowCount="0" totalsRowShown="0">
  <x:tableColumns count="4">
    <x:tableColumn id="1" name="Condition"/>
    <x:tableColumn id="2" name="Required"/>
    <x:tableColumn id="3" name="Observed"/>
    <x:tableColumn id="4" name="Stat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6" name="ScheduleTable" displayName="ScheduleTable" ref="A5:C16" headerRowCount="1" totalsRowCount="0" totalsRowShown="0">
  <x:tableColumns count="3">
    <x:tableColumn id="1" name="Schedule object"/>
    <x:tableColumn id="2" name="Primary weeks"/>
    <x:tableColumn id="3" name="Maximum week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7" name="ParentCalendarTable" displayName="ParentCalendarTable" ref="A5:D12" headerRowCount="1" totalsRowCount="0" totalsRowShown="0">
  <x:tableColumns count="4">
    <x:tableColumn id="1" name="Parent segment"/>
    <x:tableColumn id="2" name="Primary weeks"/>
    <x:tableColumn id="3" name="Maximum weeks"/>
    <x:tableColumn id="4" name="Statu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8" name="ParentResourceTable" displayName="ParentResourceTable" ref="A16:D21" headerRowCount="1" totalsRowCount="0" totalsRowShown="0">
  <x:tableColumns count="4">
    <x:tableColumn id="1" name="Resource"/>
    <x:tableColumn id="2" name="Original RAS-3R"/>
    <x:tableColumn id="3" name="Amendment"/>
    <x:tableColumn id="4" name="Revised envelop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29" name="CapacityTable" displayName="CapacityTable" ref="A5:D13" headerRowCount="1" totalsRowCount="0" totalsRowShown="0">
  <x:tableColumns count="4">
    <x:tableColumn id="1" name="Program object"/>
    <x:tableColumn id="2" name="Simulant kg"/>
    <x:tableColumn id="3" name="Water m³"/>
    <x:tableColumn id="4" name="Derivation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0" name="EvidenceTable" displayName="EvidenceTable" ref="A5:E12" headerRowCount="1" totalsRowCount="0" totalsRowShown="0">
  <x:tableColumns count="5">
    <x:tableColumn id="1" name="Evidence class"/>
    <x:tableColumn id="2" name="Positions"/>
    <x:tableColumn id="3" name="GB each"/>
    <x:tableColumn id="4" name="Allocated GB"/>
    <x:tableColumn id="5" name="Share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1" name="WorkforceTable" displayName="WorkforceTable" ref="A5:C19" headerRowCount="1" totalsRowCount="0" totalsRowShown="0">
  <x:tableColumns count="3">
    <x:tableColumn id="1" name="Function"/>
    <x:tableColumn id="2" name="Positions"/>
    <x:tableColumn id="3" name="Rol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2" name="TechnologyTable" displayName="TechnologyTable" ref="A5:C16" headerRowCount="1" totalsRowCount="0" totalsRowShown="0">
  <x:tableColumns count="3">
    <x:tableColumn id="1" name="Technology program"/>
    <x:tableColumn id="2" name="USD M"/>
    <x:tableColumn id="3" name="Required advance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3" name="CapitalTable" displayName="CapitalTable" ref="A5:D15" headerRowCount="1" totalsRowCount="0" totalsRowShown="0">
  <x:tableColumns count="4">
    <x:tableColumn id="1" name="RBJ-1 capital object"/>
    <x:tableColumn id="2" name="USD M"/>
    <x:tableColumn id="3" name="Share"/>
    <x:tableColumn id="4" name="Cost basis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4" name="SupportTable" displayName="SupportTable" ref="A18:B24" headerRowCount="1" totalsRowCount="0" totalsRowShown="0">
  <x:tableColumns count="2">
    <x:tableColumn id="1" name="Support and exposure"/>
    <x:tableColumn id="2" name="USD M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5" name="ParentFinanceTable" displayName="ParentFinanceTable" ref="A27:D32" headerRowCount="1" totalsRowCount="0" totalsRowShown="0">
  <x:tableColumns count="4">
    <x:tableColumn id="1" name="Parent resource"/>
    <x:tableColumn id="2" name="Revised envelope"/>
    <x:tableColumn id="3" name="Allocated or concurrent"/>
    <x:tableColumn id="4" name="Remaining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6" name="CaseTable" displayName="CaseTable" ref="A5:H185" headerRowCount="1" totalsRowCount="0" totalsRowShown="0">
  <x:tableColumns count="8">
    <x:tableColumn id="1" name="Case"/>
    <x:tableColumn id="2" name="Family"/>
    <x:tableColumn id="3" name="Variant"/>
    <x:tableColumn id="4" name="Challenge"/>
    <x:tableColumn id="5" name="Expected"/>
    <x:tableColumn id="6" name="Observed"/>
    <x:tableColumn id="7" name="State"/>
    <x:tableColumn id="8" name="Owner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7" name="AuditTable" displayName="AuditTable" ref="A5:H365" headerRowCount="1" totalsRowCount="0" totalsRowShown="0">
  <x:tableColumns count="8">
    <x:tableColumn id="1" name="Audit"/>
    <x:tableColumn id="2" name="Family"/>
    <x:tableColumn id="3" name="Object"/>
    <x:tableColumn id="4" name="Assertion"/>
    <x:tableColumn id="5" name="Expected"/>
    <x:tableColumn id="6" name="Observed"/>
    <x:tableColumn id="7" name="State"/>
    <x:tableColumn id="8" name="Owner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38" name="SourceTable" displayName="SourceTable" ref="A5:E15" headerRowCount="1" totalsRowCount="0" totalsRowShown="0">
  <x:tableColumns count="5">
    <x:tableColumn id="1" name="ID"/>
    <x:tableColumn id="2" name="Research object"/>
    <x:tableColumn id="3" name="Repository path"/>
    <x:tableColumn id="4" name="Use in RBJ-1"/>
    <x:tableColumn id="5" name="External 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00d142878547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e7449d95d143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d8ce8d6a6cf47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08ca1ff234542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732c68600ea47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60ec758fa224b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2773a82c40f47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c0e5cac946a4878" /><Relationship Type="http://schemas.openxmlformats.org/officeDocument/2006/relationships/table" Target="/xl/tables/table9.xml" Id="R68173dceacfc40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19e65e9251974c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d3a0e03a813943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42de7c2bbfed439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5888123142cd4e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540228e1481f4d0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cd0c82a2006f41f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5b6087550ce7420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05e2218aa5614d9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783fce210b4142a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33faed0470394ef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0be5c5deebdd436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1.xml" Id="Rf6b7d0abf4d443f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2.xml" Id="Ra65531cc32d448d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3.xml" Id="Rc6364904ada6422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4.xml" Id="R38b01f5bcc2947b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5.xml" Id="Rc4c3454fa37b4b4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6.xml" Id="Rd9b264b74ef644a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7.xml" Id="R0b61239f6ec54aa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8.xml" Id="R88e8daa25f4b4368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9.xml" Id="R9068e5952a174e1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30.xml" Id="R3338c5f302574825" /><Relationship Type="http://schemas.openxmlformats.org/officeDocument/2006/relationships/table" Target="/xl/tables/table31.xml" Id="R286861fe50034e6b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2.xml" Id="R23bd4991ce6f421f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3.xml" Id="Rb08b423869b54c3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4.xml" Id="Rf1c6afa2c3b940a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5.xml" Id="R505b5c03be1a49d3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6.xml" Id="R7b508a01c369485e" /><Relationship Type="http://schemas.openxmlformats.org/officeDocument/2006/relationships/table" Target="/xl/tables/table37.xml" Id="R70cd7ba7efd849cd" /><Relationship Type="http://schemas.openxmlformats.org/officeDocument/2006/relationships/table" Target="/xl/tables/table38.xml" Id="Rb08fef7fbee8479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9.xml" Id="R1eb0e5f135c74e01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40.xml" Id="Rfb9bfeef8e124238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41.xml" Id="R03f54a960231410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26" hidden="0" customWidth="1"/>
    <x:col min="3" max="3" width="67" hidden="0" customWidth="1"/>
  </x:cols>
  <x:sheetData>
    <x:row r="2" ht="24" customHeight="1">
      <x:c r="A2" s="1" t="str">
        <x:v>RBJ-1 | Dual-ancestry competition and ER-03 class constitution</x:v>
      </x:c>
    </x:row>
    <x:row r="4" ht="34" customHeight="1">
      <x:c r="A4" s="15" t="str">
        <x:v>Planning workbook, not achieved evidence. Yellow cells are observations or authority decisions; blank evidence keeps ER-03 blocked.</x:v>
      </x:c>
      <x:c r="B4" s="24"/>
      <x:c r="C4" s="24"/>
    </x:row>
    <x:row r="6">
      <x:c r="A6" s="8" t="str">
        <x:v>Decision object</x:v>
      </x:c>
      <x:c r="B6" s="8" t="str">
        <x:v>Value</x:v>
      </x:c>
      <x:c r="C6" s="8" t="str">
        <x:v>Meaning</x:v>
      </x:c>
    </x:row>
    <x:row r="7" ht="28" customHeight="1">
      <x:c r="A7" s="23" t="str">
        <x:v>Class</x:v>
      </x:c>
      <x:c r="B7" s="23" t="str">
        <x:v>ER-03-QUALIFIED</x:v>
      </x:c>
      <x:c r="C7" s="23" t="str">
        <x:v>blinded full-scale nonenergetic water and simulant ancestry only</x:v>
      </x:c>
    </x:row>
    <x:row r="8" ht="28" customHeight="1">
      <x:c r="A8" s="23" t="str">
        <x:v>Candidate roots</x:v>
      </x:c>
      <x:c r="B8" s="23" t="n">
        <x:v>4</x:v>
      </x:c>
      <x:c r="C8" s="23" t="str">
        <x:v>four unlike end-to-end physics families</x:v>
      </x:c>
    </x:row>
    <x:row r="9" ht="28" customHeight="1">
      <x:c r="A9" s="23" t="str">
        <x:v>Candidate articles</x:v>
      </x:c>
      <x:c r="B9" s="23" t="n">
        <x:v>24</x:v>
      </x:c>
      <x:c r="C9" s="23" t="str">
        <x:v>two lineages across three campuses</x:v>
      </x:c>
    </x:row>
    <x:row r="10" ht="28" customHeight="1">
      <x:c r="A10" s="23" t="str">
        <x:v>Candidate trials</x:v>
      </x:c>
      <x:c r="B10" s="23" t="n">
        <x:v>192</x:v>
      </x:c>
      <x:c r="C10" s="23" t="str">
        <x:v>eight challenges per article</x:v>
      </x:c>
    </x:row>
    <x:row r="11" ht="28" customHeight="1">
      <x:c r="A11" s="23" t="str">
        <x:v>Possible pairs</x:v>
      </x:c>
      <x:c r="B11" s="23" t="n">
        <x:v>6</x:v>
      </x:c>
      <x:c r="C11" s="23" t="str">
        <x:v>all unordered unlike-root pairs</x:v>
      </x:c>
    </x:row>
    <x:row r="12" ht="28" customHeight="1">
      <x:c r="A12" s="23" t="str">
        <x:v>Pair-cohabitation trials</x:v>
      </x:c>
      <x:c r="B12" s="23" t="n">
        <x:v>144</x:v>
      </x:c>
      <x:c r="C12" s="23" t="str">
        <x:v>twenty-four per pair</x:v>
      </x:c>
    </x:row>
    <x:row r="13" ht="28" customHeight="1">
      <x:c r="A13" s="23" t="str">
        <x:v>Selected pair</x:v>
      </x:c>
      <x:c r="B13" s="23" t="str">
        <x:f>'Pair Decision'!B15</x:f>
        <x:v>OPEN</x:v>
      </x:c>
      <x:c r="C13" s="23" t="str">
        <x:v>one pair only after hard screen</x:v>
      </x:c>
    </x:row>
    <x:row r="14" ht="28" customHeight="1">
      <x:c r="A14" s="23" t="str">
        <x:v>Ancestry modules</x:v>
      </x:c>
      <x:c r="B14" s="23" t="n">
        <x:v>18</x:v>
      </x:c>
      <x:c r="C14" s="23" t="str">
        <x:v>twelve active, four operational spares, two forensic</x:v>
      </x:c>
    </x:row>
    <x:row r="15" ht="28" customHeight="1">
      <x:c r="A15" s="23" t="str">
        <x:v>Full-scale qualification cycles</x:v>
      </x:c>
      <x:c r="B15" s="23" t="n">
        <x:v>96</x:v>
      </x:c>
      <x:c r="C15" s="23" t="str">
        <x:v>six challenges on each wettable module</x:v>
      </x:c>
    </x:row>
    <x:row r="16" ht="28" customHeight="1">
      <x:c r="A16" s="23" t="str">
        <x:v>Required / maximum events</x:v>
      </x:c>
      <x:c r="B16" s="23" t="str">
        <x:f>'Assumptions'!B27&amp;" / "&amp;'Assumptions'!B29</x:f>
        <x:v>12 / 16</x:v>
      </x:c>
      <x:c r="C16" s="23" t="str">
        <x:v>twelve exact cells; four invalidity reserves</x:v>
      </x:c>
    </x:row>
    <x:row r="17" ht="28" customHeight="1">
      <x:c r="A17" s="23" t="str">
        <x:v>Governed maximum simulant kg</x:v>
      </x:c>
      <x:c r="B17" s="23" t="n">
        <x:f>Capacity!B12</x:f>
        <x:v>57680</x:v>
      </x:c>
      <x:c r="C17" s="23" t="str">
        <x:v>bench, qualification and sixteen class events</x:v>
      </x:c>
    </x:row>
    <x:row r="18" ht="28" customHeight="1">
      <x:c r="A18" s="23" t="str">
        <x:v>Governed maximum water m³</x:v>
      </x:c>
      <x:c r="B18" s="23" t="n">
        <x:f>Capacity!C12</x:f>
        <x:v>2768.64</x:v>
      </x:c>
      <x:c r="C18" s="23" t="str">
        <x:v>bench, qualification and sixteen class events</x:v>
      </x:c>
    </x:row>
    <x:row r="19" ht="28" customHeight="1">
      <x:c r="A19" s="23" t="str">
        <x:v>Evidence allocation GB</x:v>
      </x:c>
      <x:c r="B19" s="23" t="n">
        <x:f>Evidence!D10</x:f>
        <x:v>162240</x:v>
      </x:c>
      <x:c r="C19" s="23" t="str">
        <x:v>before provision</x:v>
      </x:c>
    </x:row>
    <x:row r="20" ht="28" customHeight="1">
      <x:c r="A20" s="23" t="str">
        <x:v>Evidence headroom GB</x:v>
      </x:c>
      <x:c r="B20" s="23" t="n">
        <x:f>Evidence!D12</x:f>
        <x:v>37760</x:v>
      </x:c>
      <x:c r="C20" s="23" t="str">
        <x:v>indexes, manifests, repair copies and investigations</x:v>
      </x:c>
    </x:row>
    <x:row r="21" ht="28" customHeight="1">
      <x:c r="A21" s="23" t="str">
        <x:v>RBJ schedule weeks</x:v>
      </x:c>
      <x:c r="B21" s="23" t="str">
        <x:f>Schedule!B16&amp;" / "&amp;Schedule!C16</x:f>
        <x:v>72 / 74</x:v>
      </x:c>
      <x:c r="C21" s="23" t="str">
        <x:v>primary / maximum</x:v>
      </x:c>
    </x:row>
    <x:row r="22" ht="28" customHeight="1">
      <x:c r="A22" s="23" t="str">
        <x:v>Parent floor weeks</x:v>
      </x:c>
      <x:c r="B22" s="23" t="str">
        <x:f>'Parent Rebase'!B10&amp;" / "&amp;'Parent Rebase'!C10</x:f>
        <x:v>262 / 296</x:v>
      </x:c>
      <x:c r="C22" s="23" t="str">
        <x:v>primary / maximum</x:v>
      </x:c>
    </x:row>
    <x:row r="23" ht="28" customHeight="1">
      <x:c r="A23" s="23" t="str">
        <x:v>Parent correction capacity</x:v>
      </x:c>
      <x:c r="B23" s="23" t="str">
        <x:f>'Parent Rebase'!B12&amp;" / "&amp;'Parent Rebase'!C12</x:f>
        <x:v>102 / 68</x:v>
      </x:c>
      <x:c r="C23" s="23" t="str">
        <x:v>primary / maximum weeks</x:v>
      </x:c>
    </x:row>
    <x:row r="24" ht="28" customHeight="1">
      <x:c r="A24" s="23" t="str">
        <x:v>Concurrent positions</x:v>
      </x:c>
      <x:c r="B24" s="23" t="n">
        <x:f>Workforce!B17</x:f>
        <x:v>560</x:v>
      </x:c>
      <x:c r="C24" s="23" t="str">
        <x:v>execution plus two prior-bank sustainment formations</x:v>
      </x:c>
    </x:row>
    <x:row r="25" ht="28" customHeight="1">
      <x:c r="A25" s="23" t="str">
        <x:v>Positions remaining</x:v>
      </x:c>
      <x:c r="B25" s="23" t="n">
        <x:f>Workforce!B19</x:f>
        <x:v>640</x:v>
      </x:c>
      <x:c r="C25" s="23" t="str">
        <x:v>later-rung and common-cause work</x:v>
      </x:c>
    </x:row>
    <x:row r="26" ht="28" customHeight="1">
      <x:c r="A26" s="23" t="str">
        <x:v>Capital allocation USD M</x:v>
      </x:c>
      <x:c r="B26" s="23" t="n">
        <x:f>Finance!B15</x:f>
        <x:v>420</x:v>
      </x:c>
      <x:c r="C26" s="23" t="str">
        <x:v>RBJ-1</x:v>
      </x:c>
    </x:row>
    <x:row r="27" ht="28" customHeight="1">
      <x:c r="A27" s="23" t="str">
        <x:v>Concurrent annual USD M</x:v>
      </x:c>
      <x:c r="B27" s="23" t="n">
        <x:f>Finance!B22</x:f>
        <x:v>92</x:v>
      </x:c>
      <x:c r="C27" s="23" t="str">
        <x:v>RBJ plus RBH and RBI sustainment</x:v>
      </x:c>
    </x:row>
    <x:row r="28" ht="28" customHeight="1">
      <x:c r="A28" s="23" t="str">
        <x:v>Direct stage exposure USD M</x:v>
      </x:c>
      <x:c r="B28" s="23" t="n">
        <x:f>Finance!B24</x:f>
        <x:v>564</x:v>
      </x:c>
      <x:c r="C28" s="23" t="str">
        <x:v>capital plus two years of RBJ execution support</x:v>
      </x:c>
    </x:row>
    <x:row r="29" ht="28" customHeight="1">
      <x:c r="A29" s="23" t="str">
        <x:v>Technology allocation USD M</x:v>
      </x:c>
      <x:c r="B29" s="23" t="n">
        <x:f>Technology!B16</x:f>
        <x:v>210</x:v>
      </x:c>
      <x:c r="C29" s="23" t="str">
        <x:v>cross-classified; not added again</x:v>
      </x:c>
    </x:row>
    <x:row r="30" ht="28" customHeight="1">
      <x:c r="A30" s="23" t="str">
        <x:v>Parent capital remaining USD M</x:v>
      </x:c>
      <x:c r="B30" s="23" t="n">
        <x:f>Finance!D28</x:f>
        <x:v>2840</x:v>
      </x:c>
      <x:c r="C30" s="23" t="str">
        <x:v>after RBH, RBI and RBJ</x:v>
      </x:c>
    </x:row>
    <x:row r="31" ht="28" customHeight="1">
      <x:c r="A31" s="23" t="str">
        <x:v>Parent technology remaining USD M</x:v>
      </x:c>
      <x:c r="B31" s="23" t="n">
        <x:f>Finance!D29</x:f>
        <x:v>460</x:v>
      </x:c>
      <x:c r="C31" s="23" t="str">
        <x:v>after RBH, RBI and RBJ</x:v>
      </x:c>
    </x:row>
    <x:row r="32" ht="28" customHeight="1">
      <x:c r="A32" s="23" t="str">
        <x:v>Seven-year capacity USD M</x:v>
      </x:c>
      <x:c r="B32" s="23" t="n">
        <x:f>Finance!B32</x:f>
        <x:v>5205</x:v>
      </x:c>
      <x:c r="C32" s="23" t="str">
        <x:v>revised capital plus seven annual-support years</x:v>
      </x:c>
    </x:row>
    <x:row r="33" ht="28" customHeight="1">
      <x:c r="A33" s="23" t="str">
        <x:v>Primary event credits</x:v>
      </x:c>
      <x:c r="B33" s="23" t="n">
        <x:f>COUNTIFS('Event Register'!B8:B23,"PRIMARY",'Event Register'!AF8:AF23,"CREDIT")</x:f>
        <x:v>0</x:v>
      </x:c>
      <x:c r="C33" s="23" t="str">
        <x:v>must equal twelve</x:v>
      </x:c>
    </x:row>
    <x:row r="34" ht="28" customHeight="1">
      <x:c r="A34" s="23" t="str">
        <x:v>Class state</x:v>
      </x:c>
      <x:c r="B34" s="23" t="str">
        <x:f>'Class Decision'!C30</x:f>
        <x:v>BLOCKED</x:v>
      </x:c>
      <x:c r="C34" s="23" t="str">
        <x:v>blocked until every hard condition passes</x:v>
      </x:c>
    </x:row>
    <x:row r="35" ht="28" customHeight="1">
      <x:c r="A35" s="23" t="str">
        <x:v>Next admissible object</x:v>
      </x:c>
      <x:c r="B35" s="23" t="str">
        <x:v>RBK-1</x:v>
      </x:c>
      <x:c r="C35" s="23" t="str">
        <x:v>ER-04 dry-source and flame-state architecture repair</x:v>
      </x:c>
    </x:row>
    <x:row r="36" ht="28" customHeight="1">
      <x:c r="A36" s="23" t="str">
        <x:v>Energetic source</x:v>
      </x:c>
      <x:c r="B36" s="23" t="str">
        <x:v>NUMERIC ZERO REQUIRED</x:v>
      </x:c>
      <x:c r="C36" s="23" t="str">
        <x:v>ER-03 admits no energetic material</x:v>
      </x:c>
    </x:row>
    <x:row r="37" ht="28" customHeight="1">
      <x:c r="A37" s="23" t="str">
        <x:v>Ignition</x:v>
      </x:c>
      <x:c r="B37" s="23" t="str">
        <x:v>PROHIBITED</x:v>
      </x:c>
      <x:c r="C37" s="23" t="str">
        <x:v>no igniter or flame authority</x:v>
      </x:c>
    </x:row>
    <x:row r="38" ht="28" customHeight="1">
      <x:c r="A38" s="23" t="str">
        <x:v>Rendering state</x:v>
      </x:c>
      <x:c r="B38" s="23" t="str">
        <x:v>DEFERRED</x:v>
      </x:c>
      <x:c r="C38" s="23" t="str">
        <x:v>renderings wait for first-principles constitution</x:v>
      </x:c>
    </x:row>
  </x:sheetData>
  <x:mergeCells>
    <x:mergeCell ref="A2:C2"/>
    <x:mergeCell ref="A4:C4"/>
  </x:mergeCells>
  <x:conditionalFormatting sqref="B7:B38">
    <x:cfRule type="containsText" dxfId="168" priority="1" operator="containsText" text="DENY"/>
    <x:cfRule type="containsText" dxfId="169" priority="2" operator="containsText" text="ADVERSE"/>
    <x:cfRule type="containsText" dxfId="170" priority="3" operator="containsText" text="FAIL"/>
    <x:cfRule type="containsText" dxfId="171" priority="4" operator="containsText" text="OPEN"/>
    <x:cfRule type="containsText" dxfId="172" priority="5" operator="containsText" text="BLOCKED"/>
    <x:cfRule type="containsText" dxfId="173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a300d142878547f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27" hidden="0" customWidth="1"/>
    <x:col min="5" max="5" width="16" hidden="0" customWidth="1"/>
  </x:cols>
  <x:sheetData>
    <x:row r="2" ht="24" customHeight="1">
      <x:c r="A2" s="1" t="str">
        <x:v>RBJ-1 registered planning assumptions</x:v>
      </x:c>
    </x:row>
    <x:row r="4" ht="22" customHeight="1">
      <x:c r="A4" s="2"/>
      <x:c r="B4" s="2"/>
      <x:c r="C4" s="2"/>
      <x:c r="D4" s="2"/>
      <x:c r="E4" s="2"/>
    </x:row>
    <x:row r="5" ht="30" customHeight="1">
      <x:c r="A5" s="4" t="str">
        <x:v>Blue values are declared research inputs. Physical observations, candidate decisions and code reveals remain blank in their owning registers.</x:v>
      </x:c>
      <x:c r="B5" s="25"/>
      <x:c r="C5" s="25"/>
      <x:c r="D5" s="25"/>
      <x:c r="E5" s="25"/>
    </x:row>
    <x:row r="7">
      <x:c r="A7" s="8" t="str">
        <x:v>Parameter</x:v>
      </x:c>
      <x:c r="B7" s="8" t="str">
        <x:v>Value</x:v>
      </x:c>
      <x:c r="C7" s="8" t="str">
        <x:v>Unit</x:v>
      </x:c>
      <x:c r="D7" s="8" t="str">
        <x:v>Role</x:v>
      </x:c>
      <x:c r="E7" s="8" t="str">
        <x:v>Internal source</x:v>
      </x:c>
    </x:row>
    <x:row r="8">
      <x:c r="A8" s="10" t="str">
        <x:v>Full-scale simulant issue</x:v>
      </x:c>
      <x:c r="B8" s="13" t="n">
        <x:v>500</x:v>
      </x:c>
      <x:c r="C8" s="10" t="str">
        <x:v>kg</x:v>
      </x:c>
      <x:c r="D8" s="10" t="str">
        <x:v>ER-03 proposition</x:v>
      </x:c>
      <x:c r="E8" s="10" t="str">
        <x:v>RBJ-1</x:v>
      </x:c>
    </x:row>
    <x:row r="9">
      <x:c r="A9" s="10" t="str">
        <x:v>Full-scale water issue</x:v>
      </x:c>
      <x:c r="B9" s="13" t="n">
        <x:v>24</x:v>
      </x:c>
      <x:c r="C9" s="10" t="str">
        <x:v>m³</x:v>
      </x:c>
      <x:c r="D9" s="10" t="str">
        <x:v>ER-03 proposition</x:v>
      </x:c>
      <x:c r="E9" s="10" t="str">
        <x:v>RBG-1</x:v>
      </x:c>
    </x:row>
    <x:row r="10">
      <x:c r="A10" s="10" t="str">
        <x:v>Bench scale fraction</x:v>
      </x:c>
      <x:c r="B10" s="13" t="n">
        <x:v>0.01</x:v>
      </x:c>
      <x:c r="C10" s="10" t="str">
        <x:v>ratio</x:v>
      </x:c>
      <x:c r="D10" s="10" t="str">
        <x:v>candidate and pair trials</x:v>
      </x:c>
      <x:c r="E10" s="10" t="str">
        <x:v>RBJ-1</x:v>
      </x:c>
    </x:row>
    <x:row r="11">
      <x:c r="A11" s="10" t="str">
        <x:v>Candidate architectures</x:v>
      </x:c>
      <x:c r="B11" s="13" t="n">
        <x:v>4</x:v>
      </x:c>
      <x:c r="C11" s="10" t="str">
        <x:v>count</x:v>
      </x:c>
      <x:c r="D11" s="10" t="str">
        <x:v>competition</x:v>
      </x:c>
      <x:c r="E11" s="10" t="str">
        <x:v>RBJ-1</x:v>
      </x:c>
    </x:row>
    <x:row r="12">
      <x:c r="A12" s="10" t="str">
        <x:v>Builder lineages</x:v>
      </x:c>
      <x:c r="B12" s="13" t="n">
        <x:v>2</x:v>
      </x:c>
      <x:c r="C12" s="10" t="str">
        <x:v>count</x:v>
      </x:c>
      <x:c r="D12" s="10" t="str">
        <x:v>independence</x:v>
      </x:c>
      <x:c r="E12" s="10" t="str">
        <x:v>RBJ-1</x:v>
      </x:c>
    </x:row>
    <x:row r="13">
      <x:c r="A13" s="10" t="str">
        <x:v>Campuses</x:v>
      </x:c>
      <x:c r="B13" s="13" t="n">
        <x:v>3</x:v>
      </x:c>
      <x:c r="C13" s="10" t="str">
        <x:v>count</x:v>
      </x:c>
      <x:c r="D13" s="10" t="str">
        <x:v>independence</x:v>
      </x:c>
      <x:c r="E13" s="10" t="str">
        <x:v>RBG-1</x:v>
      </x:c>
    </x:row>
    <x:row r="14">
      <x:c r="A14" s="10" t="str">
        <x:v>Candidate challenges</x:v>
      </x:c>
      <x:c r="B14" s="13" t="n">
        <x:v>8</x:v>
      </x:c>
      <x:c r="C14" s="10" t="str">
        <x:v>count/article</x:v>
      </x:c>
      <x:c r="D14" s="10" t="str">
        <x:v>competition</x:v>
      </x:c>
      <x:c r="E14" s="10" t="str">
        <x:v>RBJ-1</x:v>
      </x:c>
    </x:row>
    <x:row r="15">
      <x:c r="A15" s="10" t="str">
        <x:v>Candidate articles</x:v>
      </x:c>
      <x:c r="B15" s="13" t="n">
        <x:v>24</x:v>
      </x:c>
      <x:c r="C15" s="10" t="str">
        <x:v>count</x:v>
      </x:c>
      <x:c r="D15" s="10" t="str">
        <x:v>4 × 2 × 3</x:v>
      </x:c>
      <x:c r="E15" s="10" t="str">
        <x:v>RBJ-1</x:v>
      </x:c>
    </x:row>
    <x:row r="16">
      <x:c r="A16" s="10" t="str">
        <x:v>Candidate trials</x:v>
      </x:c>
      <x:c r="B16" s="13" t="n">
        <x:v>192</x:v>
      </x:c>
      <x:c r="C16" s="10" t="str">
        <x:v>count</x:v>
      </x:c>
      <x:c r="D16" s="10" t="str">
        <x:v>24 × 8</x:v>
      </x:c>
      <x:c r="E16" s="10" t="str">
        <x:v>RBJ-1</x:v>
      </x:c>
    </x:row>
    <x:row r="17">
      <x:c r="A17" s="10" t="str">
        <x:v>Candidate pairs</x:v>
      </x:c>
      <x:c r="B17" s="13" t="n">
        <x:v>6</x:v>
      </x:c>
      <x:c r="C17" s="10" t="str">
        <x:v>count</x:v>
      </x:c>
      <x:c r="D17" s="10" t="str">
        <x:v>unordered pairs</x:v>
      </x:c>
      <x:c r="E17" s="10" t="str">
        <x:v>RBJ-1</x:v>
      </x:c>
    </x:row>
    <x:row r="18">
      <x:c r="A18" s="10" t="str">
        <x:v>Pair challenges</x:v>
      </x:c>
      <x:c r="B18" s="13" t="n">
        <x:v>4</x:v>
      </x:c>
      <x:c r="C18" s="10" t="str">
        <x:v>count/cell</x:v>
      </x:c>
      <x:c r="D18" s="10" t="str">
        <x:v>cohabitation</x:v>
      </x:c>
      <x:c r="E18" s="10" t="str">
        <x:v>RBJ-1</x:v>
      </x:c>
    </x:row>
    <x:row r="19">
      <x:c r="A19" s="10" t="str">
        <x:v>Pair trials</x:v>
      </x:c>
      <x:c r="B19" s="13" t="n">
        <x:v>144</x:v>
      </x:c>
      <x:c r="C19" s="10" t="str">
        <x:v>count</x:v>
      </x:c>
      <x:c r="D19" s="10" t="str">
        <x:v>6 × 2 × 3 × 4</x:v>
      </x:c>
      <x:c r="E19" s="10" t="str">
        <x:v>RBJ-1</x:v>
      </x:c>
    </x:row>
    <x:row r="20">
      <x:c r="A20" s="10" t="str">
        <x:v>Ancestry modules</x:v>
      </x:c>
      <x:c r="B20" s="13" t="n">
        <x:v>18</x:v>
      </x:c>
      <x:c r="C20" s="10" t="str">
        <x:v>count</x:v>
      </x:c>
      <x:c r="D20" s="10" t="str">
        <x:v>selected pair bank</x:v>
      </x:c>
      <x:c r="E20" s="10" t="str">
        <x:v>RBJ-1</x:v>
      </x:c>
    </x:row>
    <x:row r="21">
      <x:c r="A21" s="10" t="str">
        <x:v>Active modules</x:v>
      </x:c>
      <x:c r="B21" s="13" t="n">
        <x:v>12</x:v>
      </x:c>
      <x:c r="C21" s="10" t="str">
        <x:v>count</x:v>
      </x:c>
      <x:c r="D21" s="10" t="str">
        <x:v>exact cells</x:v>
      </x:c>
      <x:c r="E21" s="10" t="str">
        <x:v>RBJ-1</x:v>
      </x:c>
    </x:row>
    <x:row r="22">
      <x:c r="A22" s="10" t="str">
        <x:v>Operational spares</x:v>
      </x:c>
      <x:c r="B22" s="13" t="n">
        <x:v>4</x:v>
      </x:c>
      <x:c r="C22" s="10" t="str">
        <x:v>count</x:v>
      </x:c>
      <x:c r="D22" s="10" t="str">
        <x:v>same root and lineage</x:v>
      </x:c>
      <x:c r="E22" s="10" t="str">
        <x:v>RBJ-1</x:v>
      </x:c>
    </x:row>
    <x:row r="23">
      <x:c r="A23" s="10" t="str">
        <x:v>Forensic references</x:v>
      </x:c>
      <x:c r="B23" s="13" t="n">
        <x:v>2</x:v>
      </x:c>
      <x:c r="C23" s="10" t="str">
        <x:v>count</x:v>
      </x:c>
      <x:c r="D23" s="10" t="str">
        <x:v>dry sealed</x:v>
      </x:c>
      <x:c r="E23" s="10" t="str">
        <x:v>RBJ-1</x:v>
      </x:c>
    </x:row>
    <x:row r="24">
      <x:c r="A24" s="10" t="str">
        <x:v>Wettable modules</x:v>
      </x:c>
      <x:c r="B24" s="13" t="n">
        <x:v>16</x:v>
      </x:c>
      <x:c r="C24" s="10" t="str">
        <x:v>count</x:v>
      </x:c>
      <x:c r="D24" s="10" t="str">
        <x:v>active plus spares</x:v>
      </x:c>
      <x:c r="E24" s="10" t="str">
        <x:v>RBJ-1</x:v>
      </x:c>
    </x:row>
    <x:row r="25">
      <x:c r="A25" s="10" t="str">
        <x:v>Qualification challenges</x:v>
      </x:c>
      <x:c r="B25" s="13" t="n">
        <x:v>6</x:v>
      </x:c>
      <x:c r="C25" s="10" t="str">
        <x:v>count/module</x:v>
      </x:c>
      <x:c r="D25" s="10" t="str">
        <x:v>full scale</x:v>
      </x:c>
      <x:c r="E25" s="10" t="str">
        <x:v>RBJ-1</x:v>
      </x:c>
    </x:row>
    <x:row r="26">
      <x:c r="A26" s="10" t="str">
        <x:v>Qualification cycles</x:v>
      </x:c>
      <x:c r="B26" s="13" t="n">
        <x:v>96</x:v>
      </x:c>
      <x:c r="C26" s="10" t="str">
        <x:v>count</x:v>
      </x:c>
      <x:c r="D26" s="10" t="str">
        <x:v>16 × 6</x:v>
      </x:c>
      <x:c r="E26" s="10" t="str">
        <x:v>RBJ-1</x:v>
      </x:c>
    </x:row>
    <x:row r="27">
      <x:c r="A27" s="10" t="str">
        <x:v>Required class events</x:v>
      </x:c>
      <x:c r="B27" s="13" t="n">
        <x:v>12</x:v>
      </x:c>
      <x:c r="C27" s="10" t="str">
        <x:v>count</x:v>
      </x:c>
      <x:c r="D27" s="10" t="str">
        <x:v>exact cells</x:v>
      </x:c>
      <x:c r="E27" s="10" t="str">
        <x:v>RBG-1</x:v>
      </x:c>
    </x:row>
    <x:row r="28">
      <x:c r="A28" s="10" t="str">
        <x:v>Reserve events</x:v>
      </x:c>
      <x:c r="B28" s="13" t="n">
        <x:v>4</x:v>
      </x:c>
      <x:c r="C28" s="10" t="str">
        <x:v>count</x:v>
      </x:c>
      <x:c r="D28" s="10" t="str">
        <x:v>invalidity only</x:v>
      </x:c>
      <x:c r="E28" s="10" t="str">
        <x:v>RBG-1</x:v>
      </x:c>
    </x:row>
    <x:row r="29">
      <x:c r="A29" s="10" t="str">
        <x:v>Maximum class events</x:v>
      </x:c>
      <x:c r="B29" s="13" t="n">
        <x:v>16</x:v>
      </x:c>
      <x:c r="C29" s="10" t="str">
        <x:v>count</x:v>
      </x:c>
      <x:c r="D29" s="10" t="str">
        <x:v>class capacity</x:v>
      </x:c>
      <x:c r="E29" s="10" t="str">
        <x:v>RBG-1</x:v>
      </x:c>
    </x:row>
    <x:row r="30">
      <x:c r="A30" s="10" t="str">
        <x:v>Water lots</x:v>
      </x:c>
      <x:c r="B30" s="13" t="n">
        <x:v>18</x:v>
      </x:c>
      <x:c r="C30" s="10" t="str">
        <x:v>count</x:v>
      </x:c>
      <x:c r="D30" s="10" t="str">
        <x:v>primary, reserve, reference</x:v>
      </x:c>
      <x:c r="E30" s="10" t="str">
        <x:v>RBI-1</x:v>
      </x:c>
    </x:row>
    <x:row r="31">
      <x:c r="A31" s="10" t="str">
        <x:v>Water-lot gross volume</x:v>
      </x:c>
      <x:c r="B31" s="13" t="n">
        <x:v>25</x:v>
      </x:c>
      <x:c r="C31" s="10" t="str">
        <x:v>m³</x:v>
      </x:c>
      <x:c r="D31" s="10" t="str">
        <x:v>custody</x:v>
      </x:c>
      <x:c r="E31" s="10" t="str">
        <x:v>RBI-1</x:v>
      </x:c>
    </x:row>
    <x:row r="32">
      <x:c r="A32" s="10" t="str">
        <x:v>Simulant lots</x:v>
      </x:c>
      <x:c r="B32" s="13" t="n">
        <x:v>18</x:v>
      </x:c>
      <x:c r="C32" s="10" t="str">
        <x:v>count</x:v>
      </x:c>
      <x:c r="D32" s="10" t="str">
        <x:v>primary, reserve, reference</x:v>
      </x:c>
      <x:c r="E32" s="10" t="str">
        <x:v>RBJ-1</x:v>
      </x:c>
    </x:row>
    <x:row r="33">
      <x:c r="A33" s="10" t="str">
        <x:v>Simulant-lot gross mass</x:v>
      </x:c>
      <x:c r="B33" s="13" t="n">
        <x:v>550</x:v>
      </x:c>
      <x:c r="C33" s="10" t="str">
        <x:v>kg</x:v>
      </x:c>
      <x:c r="D33" s="10" t="str">
        <x:v>custody</x:v>
      </x:c>
      <x:c r="E33" s="10" t="str">
        <x:v>RBJ-1</x:v>
      </x:c>
    </x:row>
    <x:row r="34">
      <x:c r="A34" s="10" t="str">
        <x:v>Water lower bound</x:v>
      </x:c>
      <x:c r="B34" s="13" t="n">
        <x:v>23.976</x:v>
      </x:c>
      <x:c r="C34" s="10" t="str">
        <x:v>m³</x:v>
      </x:c>
      <x:c r="D34" s="10" t="str">
        <x:v>acceptance</x:v>
      </x:c>
      <x:c r="E34" s="10" t="str">
        <x:v>RBI-1</x:v>
      </x:c>
    </x:row>
    <x:row r="35">
      <x:c r="A35" s="10" t="str">
        <x:v>Water upper bound</x:v>
      </x:c>
      <x:c r="B35" s="13" t="n">
        <x:v>24.024</x:v>
      </x:c>
      <x:c r="C35" s="10" t="str">
        <x:v>m³</x:v>
      </x:c>
      <x:c r="D35" s="10" t="str">
        <x:v>acceptance</x:v>
      </x:c>
      <x:c r="E35" s="10" t="str">
        <x:v>RBI-1</x:v>
      </x:c>
    </x:row>
    <x:row r="36">
      <x:c r="A36" s="10" t="str">
        <x:v>Simulant lower bound</x:v>
      </x:c>
      <x:c r="B36" s="13" t="n">
        <x:v>499.5</x:v>
      </x:c>
      <x:c r="C36" s="10" t="str">
        <x:v>kg</x:v>
      </x:c>
      <x:c r="D36" s="10" t="str">
        <x:v>acceptance</x:v>
      </x:c>
      <x:c r="E36" s="10" t="str">
        <x:v>RBJ-1</x:v>
      </x:c>
    </x:row>
    <x:row r="37">
      <x:c r="A37" s="10" t="str">
        <x:v>Simulant upper bound</x:v>
      </x:c>
      <x:c r="B37" s="13" t="n">
        <x:v>500.5</x:v>
      </x:c>
      <x:c r="C37" s="10" t="str">
        <x:v>kg</x:v>
      </x:c>
      <x:c r="D37" s="10" t="str">
        <x:v>acceptance</x:v>
      </x:c>
      <x:c r="E37" s="10" t="str">
        <x:v>RBJ-1</x:v>
      </x:c>
    </x:row>
    <x:row r="38">
      <x:c r="A38" s="10" t="str">
        <x:v>Accounted fraction minimum</x:v>
      </x:c>
      <x:c r="B38" s="13" t="n">
        <x:v>0.999</x:v>
      </x:c>
      <x:c r="C38" s="10" t="str">
        <x:v>ratio</x:v>
      </x:c>
      <x:c r="D38" s="10" t="str">
        <x:v>both physical ledgers</x:v>
      </x:c>
      <x:c r="E38" s="10" t="str">
        <x:v>RBJ-1</x:v>
      </x:c>
    </x:row>
    <x:row r="39">
      <x:c r="A39" s="10" t="str">
        <x:v>Root recovery minimum</x:v>
      </x:c>
      <x:c r="B39" s="13" t="n">
        <x:v>0.995</x:v>
      </x:c>
      <x:c r="C39" s="10" t="str">
        <x:v>ratio</x:v>
      </x:c>
      <x:c r="D39" s="10" t="str">
        <x:v>each root and phase</x:v>
      </x:c>
      <x:c r="E39" s="10" t="str">
        <x:v>RBG-1</x:v>
      </x:c>
    </x:row>
    <x:row r="40">
      <x:c r="A40" s="10" t="str">
        <x:v>Wrong-phase maximum</x:v>
      </x:c>
      <x:c r="B40" s="13" t="n">
        <x:v>0.005</x:v>
      </x:c>
      <x:c r="C40" s="10" t="str">
        <x:v>ratio</x:v>
      </x:c>
      <x:c r="D40" s="10" t="str">
        <x:v>each root</x:v>
      </x:c>
      <x:c r="E40" s="10" t="str">
        <x:v>RBG-1</x:v>
      </x:c>
    </x:row>
    <x:row r="41">
      <x:c r="A41" s="10" t="str">
        <x:v>Wrong-code maximum</x:v>
      </x:c>
      <x:c r="B41" s="13" t="n">
        <x:v>0.001</x:v>
      </x:c>
      <x:c r="C41" s="10" t="str">
        <x:v>ratio</x:v>
      </x:c>
      <x:c r="D41" s="10" t="str">
        <x:v>each root</x:v>
      </x:c>
      <x:c r="E41" s="10" t="str">
        <x:v>RBJ-1</x:v>
      </x:c>
    </x:row>
    <x:row r="42">
      <x:c r="A42" s="10" t="str">
        <x:v>Prior-event carryover maximum</x:v>
      </x:c>
      <x:c r="B42" s="13" t="n">
        <x:v>0.001</x:v>
      </x:c>
      <x:c r="C42" s="10" t="str">
        <x:v>ratio</x:v>
      </x:c>
      <x:c r="D42" s="10" t="str">
        <x:v>each root</x:v>
      </x:c>
      <x:c r="E42" s="10" t="str">
        <x:v>RBJ-1</x:v>
      </x:c>
    </x:row>
    <x:row r="43">
      <x:c r="A43" s="10" t="str">
        <x:v>Unexplained water maximum</x:v>
      </x:c>
      <x:c r="B43" s="13" t="n">
        <x:v>0.024</x:v>
      </x:c>
      <x:c r="C43" s="10" t="str">
        <x:v>m³</x:v>
      </x:c>
      <x:c r="D43" s="10" t="str">
        <x:v>event</x:v>
      </x:c>
      <x:c r="E43" s="10" t="str">
        <x:v>RBI-1</x:v>
      </x:c>
    </x:row>
    <x:row r="44">
      <x:c r="A44" s="10" t="str">
        <x:v>Unexplained simulant maximum</x:v>
      </x:c>
      <x:c r="B44" s="13" t="n">
        <x:v>0.5</x:v>
      </x:c>
      <x:c r="C44" s="10" t="str">
        <x:v>kg</x:v>
      </x:c>
      <x:c r="D44" s="10" t="str">
        <x:v>event</x:v>
      </x:c>
      <x:c r="E44" s="10" t="str">
        <x:v>RBJ-1</x:v>
      </x:c>
    </x:row>
    <x:row r="45">
      <x:c r="A45" s="10" t="str">
        <x:v>Between-root water difference</x:v>
      </x:c>
      <x:c r="B45" s="13" t="n">
        <x:v>0.024</x:v>
      </x:c>
      <x:c r="C45" s="10" t="str">
        <x:v>m³</x:v>
      </x:c>
      <x:c r="D45" s="10" t="str">
        <x:v>terminal vector</x:v>
      </x:c>
      <x:c r="E45" s="10" t="str">
        <x:v>RBJ-1</x:v>
      </x:c>
    </x:row>
    <x:row r="46">
      <x:c r="A46" s="10" t="str">
        <x:v>Between-root simulant difference</x:v>
      </x:c>
      <x:c r="B46" s="13" t="n">
        <x:v>0.5</x:v>
      </x:c>
      <x:c r="C46" s="10" t="str">
        <x:v>kg</x:v>
      </x:c>
      <x:c r="D46" s="10" t="str">
        <x:v>terminal vector</x:v>
      </x:c>
      <x:c r="E46" s="10" t="str">
        <x:v>RBJ-1</x:v>
      </x:c>
    </x:row>
    <x:row r="47">
      <x:c r="A47" s="10" t="str">
        <x:v>Zone coefficient maximum</x:v>
      </x:c>
      <x:c r="B47" s="13" t="n">
        <x:v>0.05</x:v>
      </x:c>
      <x:c r="C47" s="10" t="str">
        <x:v>ratio</x:v>
      </x:c>
      <x:c r="D47" s="10" t="str">
        <x:v>distribution</x:v>
      </x:c>
      <x:c r="E47" s="10" t="str">
        <x:v>RBI-1</x:v>
      </x:c>
    </x:row>
    <x:row r="48">
      <x:c r="A48" s="10" t="str">
        <x:v>Simulant in recovered water</x:v>
      </x:c>
      <x:c r="B48" s="13" t="n">
        <x:v>25</x:v>
      </x:c>
      <x:c r="C48" s="10" t="str">
        <x:v>mg/L</x:v>
      </x:c>
      <x:c r="D48" s="10" t="str">
        <x:v>separation</x:v>
      </x:c>
      <x:c r="E48" s="10" t="str">
        <x:v>RBJ-1</x:v>
      </x:c>
    </x:row>
    <x:row r="49">
      <x:c r="A49" s="10" t="str">
        <x:v>Water in recovered simulant</x:v>
      </x:c>
      <x:c r="B49" s="13" t="n">
        <x:v>0.005</x:v>
      </x:c>
      <x:c r="C49" s="10" t="str">
        <x:v>mass ratio</x:v>
      </x:c>
      <x:c r="D49" s="10" t="str">
        <x:v>separation</x:v>
      </x:c>
      <x:c r="E49" s="10" t="str">
        <x:v>RBJ-1</x:v>
      </x:c>
    </x:row>
    <x:row r="50">
      <x:c r="A50" s="10" t="str">
        <x:v>Module return</x:v>
      </x:c>
      <x:c r="B50" s="13" t="n">
        <x:v>672</x:v>
      </x:c>
      <x:c r="C50" s="10" t="str">
        <x:v>h</x:v>
      </x:c>
      <x:c r="D50" s="10" t="str">
        <x:v>wet and coded return</x:v>
      </x:c>
      <x:c r="E50" s="10" t="str">
        <x:v>RBJ-1</x:v>
      </x:c>
    </x:row>
    <x:row r="51">
      <x:c r="A51" s="10" t="str">
        <x:v>Event gates</x:v>
      </x:c>
      <x:c r="B51" s="13" t="n">
        <x:v>64</x:v>
      </x:c>
      <x:c r="C51" s="10" t="str">
        <x:v>count/event</x:v>
      </x:c>
      <x:c r="D51" s="10" t="str">
        <x:v>closure</x:v>
      </x:c>
      <x:c r="E51" s="10" t="str">
        <x:v>RBJ-1</x:v>
      </x:c>
    </x:row>
    <x:row r="52">
      <x:c r="A52" s="10" t="str">
        <x:v>Evidence records</x:v>
      </x:c>
      <x:c r="B52" s="13" t="n">
        <x:v>256</x:v>
      </x:c>
      <x:c r="C52" s="10" t="str">
        <x:v>count/event</x:v>
      </x:c>
      <x:c r="D52" s="10" t="str">
        <x:v>closure</x:v>
      </x:c>
      <x:c r="E52" s="10" t="str">
        <x:v>RBJ-1</x:v>
      </x:c>
    </x:row>
    <x:row r="53">
      <x:c r="A53" s="10" t="str">
        <x:v>Active channels</x:v>
      </x:c>
      <x:c r="B53" s="13" t="n">
        <x:v>240</x:v>
      </x:c>
      <x:c r="C53" s="10" t="str">
        <x:v>count</x:v>
      </x:c>
      <x:c r="D53" s="10" t="str">
        <x:v>reusable registry</x:v>
      </x:c>
      <x:c r="E53" s="10" t="str">
        <x:v>RBJ-1</x:v>
      </x:c>
    </x:row>
    <x:row r="54">
      <x:c r="A54" s="10" t="str">
        <x:v>Physical safeing paths</x:v>
      </x:c>
      <x:c r="B54" s="13" t="n">
        <x:v>16</x:v>
      </x:c>
      <x:c r="C54" s="10" t="str">
        <x:v>count</x:v>
      </x:c>
      <x:c r="D54" s="10" t="str">
        <x:v>closure</x:v>
      </x:c>
      <x:c r="E54" s="10" t="str">
        <x:v>RBJ-1</x:v>
      </x:c>
    </x:row>
    <x:row r="55">
      <x:c r="A55" s="10" t="str">
        <x:v>Replay decisions</x:v>
      </x:c>
      <x:c r="B55" s="13" t="n">
        <x:v>16</x:v>
      </x:c>
      <x:c r="C55" s="10" t="str">
        <x:v>count/event</x:v>
      </x:c>
      <x:c r="D55" s="10" t="str">
        <x:v>closure</x:v>
      </x:c>
      <x:c r="E55" s="10" t="str">
        <x:v>RBJ-1</x:v>
      </x:c>
    </x:row>
    <x:row r="56">
      <x:c r="A56" s="10" t="str">
        <x:v>Return decisions</x:v>
      </x:c>
      <x:c r="B56" s="13" t="n">
        <x:v>24</x:v>
      </x:c>
      <x:c r="C56" s="10" t="str">
        <x:v>count/event</x:v>
      </x:c>
      <x:c r="D56" s="10" t="str">
        <x:v>closure</x:v>
      </x:c>
      <x:c r="E56" s="10" t="str">
        <x:v>RBJ-1</x:v>
      </x:c>
    </x:row>
    <x:row r="57">
      <x:c r="A57" s="10" t="str">
        <x:v>Native originals</x:v>
      </x:c>
      <x:c r="B57" s="13" t="n">
        <x:v>4</x:v>
      </x:c>
      <x:c r="C57" s="10" t="str">
        <x:v>count/event</x:v>
      </x:c>
      <x:c r="D57" s="10" t="str">
        <x:v>two per root</x:v>
      </x:c>
      <x:c r="E57" s="10" t="str">
        <x:v>RBJ-1</x:v>
      </x:c>
    </x:row>
    <x:row r="58">
      <x:c r="A58" s="10" t="str">
        <x:v>Candidate evidence</x:v>
      </x:c>
      <x:c r="B58" s="13" t="n">
        <x:v>180</x:v>
      </x:c>
      <x:c r="C58" s="10" t="str">
        <x:v>GB/trial</x:v>
      </x:c>
      <x:c r="D58" s="10" t="str">
        <x:v>allocation</x:v>
      </x:c>
      <x:c r="E58" s="10" t="str">
        <x:v>RBJ-1</x:v>
      </x:c>
    </x:row>
    <x:row r="59">
      <x:c r="A59" s="10" t="str">
        <x:v>Pair evidence</x:v>
      </x:c>
      <x:c r="B59" s="13" t="n">
        <x:v>240</x:v>
      </x:c>
      <x:c r="C59" s="10" t="str">
        <x:v>GB/trial</x:v>
      </x:c>
      <x:c r="D59" s="10" t="str">
        <x:v>allocation</x:v>
      </x:c>
      <x:c r="E59" s="10" t="str">
        <x:v>RBJ-1</x:v>
      </x:c>
    </x:row>
    <x:row r="60">
      <x:c r="A60" s="10" t="str">
        <x:v>Qualification evidence</x:v>
      </x:c>
      <x:c r="B60" s="13" t="n">
        <x:v>720</x:v>
      </x:c>
      <x:c r="C60" s="10" t="str">
        <x:v>GB/cycle</x:v>
      </x:c>
      <x:c r="D60" s="10" t="str">
        <x:v>allocation</x:v>
      </x:c>
      <x:c r="E60" s="10" t="str">
        <x:v>RBJ-1</x:v>
      </x:c>
    </x:row>
    <x:row r="61">
      <x:c r="A61" s="10" t="str">
        <x:v>Class evidence</x:v>
      </x:c>
      <x:c r="B61" s="13" t="n">
        <x:v>1500</x:v>
      </x:c>
      <x:c r="C61" s="10" t="str">
        <x:v>GB/event</x:v>
      </x:c>
      <x:c r="D61" s="10" t="str">
        <x:v>allocation</x:v>
      </x:c>
      <x:c r="E61" s="10" t="str">
        <x:v>RBJ-1</x:v>
      </x:c>
    </x:row>
    <x:row r="62">
      <x:c r="A62" s="10" t="str">
        <x:v>Evidence provision</x:v>
      </x:c>
      <x:c r="B62" s="13" t="n">
        <x:v>200000</x:v>
      </x:c>
      <x:c r="C62" s="10" t="str">
        <x:v>GB</x:v>
      </x:c>
      <x:c r="D62" s="10" t="str">
        <x:v>program capacity</x:v>
      </x:c>
      <x:c r="E62" s="10" t="str">
        <x:v>RBJ-1</x:v>
      </x:c>
    </x:row>
    <x:row r="63">
      <x:c r="A63" s="10" t="str">
        <x:v>Candidate construction</x:v>
      </x:c>
      <x:c r="B63" s="13" t="n">
        <x:v>12</x:v>
      </x:c>
      <x:c r="C63" s="10" t="str">
        <x:v>weeks</x:v>
      </x:c>
      <x:c r="D63" s="10" t="str">
        <x:v>schedule</x:v>
      </x:c>
      <x:c r="E63" s="10" t="str">
        <x:v>RBJ-1</x:v>
      </x:c>
    </x:row>
    <x:row r="64">
      <x:c r="A64" s="10" t="str">
        <x:v>Candidate trials schedule</x:v>
      </x:c>
      <x:c r="B64" s="13" t="n">
        <x:v>8</x:v>
      </x:c>
      <x:c r="C64" s="10" t="str">
        <x:v>weeks</x:v>
      </x:c>
      <x:c r="D64" s="10" t="str">
        <x:v>schedule</x:v>
      </x:c>
      <x:c r="E64" s="10" t="str">
        <x:v>RBJ-1</x:v>
      </x:c>
    </x:row>
    <x:row r="65">
      <x:c r="A65" s="10" t="str">
        <x:v>Pair trials schedule</x:v>
      </x:c>
      <x:c r="B65" s="13" t="n">
        <x:v>6</x:v>
      </x:c>
      <x:c r="C65" s="10" t="str">
        <x:v>weeks</x:v>
      </x:c>
      <x:c r="D65" s="10" t="str">
        <x:v>schedule</x:v>
      </x:c>
      <x:c r="E65" s="10" t="str">
        <x:v>RBJ-1</x:v>
      </x:c>
    </x:row>
    <x:row r="66">
      <x:c r="A66" s="10" t="str">
        <x:v>Architecture review</x:v>
      </x:c>
      <x:c r="B66" s="13" t="n">
        <x:v>4</x:v>
      </x:c>
      <x:c r="C66" s="10" t="str">
        <x:v>weeks</x:v>
      </x:c>
      <x:c r="D66" s="10" t="str">
        <x:v>schedule</x:v>
      </x:c>
      <x:c r="E66" s="10" t="str">
        <x:v>RBJ-1</x:v>
      </x:c>
    </x:row>
    <x:row r="67">
      <x:c r="A67" s="10" t="str">
        <x:v>Selected bank construction</x:v>
      </x:c>
      <x:c r="B67" s="13" t="n">
        <x:v>14</x:v>
      </x:c>
      <x:c r="C67" s="10" t="str">
        <x:v>weeks</x:v>
      </x:c>
      <x:c r="D67" s="10" t="str">
        <x:v>schedule</x:v>
      </x:c>
      <x:c r="E67" s="10" t="str">
        <x:v>RBJ-1</x:v>
      </x:c>
    </x:row>
    <x:row r="68">
      <x:c r="A68" s="10" t="str">
        <x:v>Full-scale qualification</x:v>
      </x:c>
      <x:c r="B68" s="13" t="n">
        <x:v>12</x:v>
      </x:c>
      <x:c r="C68" s="10" t="str">
        <x:v>weeks</x:v>
      </x:c>
      <x:c r="D68" s="10" t="str">
        <x:v>schedule</x:v>
      </x:c>
      <x:c r="E68" s="10" t="str">
        <x:v>RBJ-1</x:v>
      </x:c>
    </x:row>
    <x:row r="69">
      <x:c r="A69" s="10" t="str">
        <x:v>Qualification review</x:v>
      </x:c>
      <x:c r="B69" s="13" t="n">
        <x:v>4</x:v>
      </x:c>
      <x:c r="C69" s="10" t="str">
        <x:v>weeks</x:v>
      </x:c>
      <x:c r="D69" s="10" t="str">
        <x:v>schedule</x:v>
      </x:c>
      <x:c r="E69" s="10" t="str">
        <x:v>RBJ-1</x:v>
      </x:c>
    </x:row>
    <x:row r="70">
      <x:c r="A70" s="10" t="str">
        <x:v>Primary class issue</x:v>
      </x:c>
      <x:c r="B70" s="13" t="n">
        <x:v>6</x:v>
      </x:c>
      <x:c r="C70" s="10" t="str">
        <x:v>weeks</x:v>
      </x:c>
      <x:c r="D70" s="10" t="str">
        <x:v>schedule</x:v>
      </x:c>
      <x:c r="E70" s="10" t="str">
        <x:v>RBJ-1</x:v>
      </x:c>
    </x:row>
    <x:row r="71">
      <x:c r="A71" s="10" t="str">
        <x:v>Reserve issue extension</x:v>
      </x:c>
      <x:c r="B71" s="13" t="n">
        <x:v>2</x:v>
      </x:c>
      <x:c r="C71" s="10" t="str">
        <x:v>weeks</x:v>
      </x:c>
      <x:c r="D71" s="10" t="str">
        <x:v>schedule</x:v>
      </x:c>
      <x:c r="E71" s="10" t="str">
        <x:v>RBJ-1</x:v>
      </x:c>
    </x:row>
    <x:row r="72">
      <x:c r="A72" s="10" t="str">
        <x:v>Last return</x:v>
      </x:c>
      <x:c r="B72" s="13" t="n">
        <x:v>4</x:v>
      </x:c>
      <x:c r="C72" s="10" t="str">
        <x:v>weeks</x:v>
      </x:c>
      <x:c r="D72" s="10" t="str">
        <x:v>schedule</x:v>
      </x:c>
      <x:c r="E72" s="10" t="str">
        <x:v>RBJ-1</x:v>
      </x:c>
    </x:row>
    <x:row r="73">
      <x:c r="A73" s="10" t="str">
        <x:v>Class review</x:v>
      </x:c>
      <x:c r="B73" s="13" t="n">
        <x:v>2</x:v>
      </x:c>
      <x:c r="C73" s="10" t="str">
        <x:v>weeks</x:v>
      </x:c>
      <x:c r="D73" s="10" t="str">
        <x:v>schedule</x:v>
      </x:c>
      <x:c r="E73" s="10" t="str">
        <x:v>RBJ-1</x:v>
      </x:c>
    </x:row>
    <x:row r="74">
      <x:c r="A74" s="10" t="str">
        <x:v>RBJ stage duration</x:v>
      </x:c>
      <x:c r="B74" s="13" t="n">
        <x:v>24</x:v>
      </x:c>
      <x:c r="C74" s="10" t="str">
        <x:v>months</x:v>
      </x:c>
      <x:c r="D74" s="10" t="str">
        <x:v>allocation</x:v>
      </x:c>
      <x:c r="E74" s="10" t="str">
        <x:v>RBJ-1</x:v>
      </x:c>
    </x:row>
    <x:row r="75">
      <x:c r="A75" s="10" t="str">
        <x:v>RBJ execution positions</x:v>
      </x:c>
      <x:c r="B75" s="13" t="n">
        <x:v>420</x:v>
      </x:c>
      <x:c r="C75" s="10" t="str">
        <x:v>positions</x:v>
      </x:c>
      <x:c r="D75" s="10" t="str">
        <x:v>formation</x:v>
      </x:c>
      <x:c r="E75" s="10" t="str">
        <x:v>RBJ-1</x:v>
      </x:c>
    </x:row>
    <x:row r="76">
      <x:c r="A76" s="10" t="str">
        <x:v>RBH sustainment positions</x:v>
      </x:c>
      <x:c r="B76" s="13" t="n">
        <x:v>60</x:v>
      </x:c>
      <x:c r="C76" s="10" t="str">
        <x:v>positions</x:v>
      </x:c>
      <x:c r="D76" s="10" t="str">
        <x:v>concurrent</x:v>
      </x:c>
      <x:c r="E76" s="10" t="str">
        <x:v>RBJ-1</x:v>
      </x:c>
    </x:row>
    <x:row r="77">
      <x:c r="A77" s="10" t="str">
        <x:v>RBI sustainment positions</x:v>
      </x:c>
      <x:c r="B77" s="13" t="n">
        <x:v>80</x:v>
      </x:c>
      <x:c r="C77" s="10" t="str">
        <x:v>positions</x:v>
      </x:c>
      <x:c r="D77" s="10" t="str">
        <x:v>concurrent</x:v>
      </x:c>
      <x:c r="E77" s="10" t="str">
        <x:v>RBJ-1</x:v>
      </x:c>
    </x:row>
    <x:row r="78">
      <x:c r="A78" s="10" t="str">
        <x:v>RBJ capital allocation</x:v>
      </x:c>
      <x:c r="B78" s="13" t="n">
        <x:v>420</x:v>
      </x:c>
      <x:c r="C78" s="10" t="str">
        <x:v>USD M</x:v>
      </x:c>
      <x:c r="D78" s="10" t="str">
        <x:v>child allocation</x:v>
      </x:c>
      <x:c r="E78" s="10" t="str">
        <x:v>RBJ-1</x:v>
      </x:c>
    </x:row>
    <x:row r="79">
      <x:c r="A79" s="10" t="str">
        <x:v>RBJ annual support</x:v>
      </x:c>
      <x:c r="B79" s="13" t="n">
        <x:v>72</x:v>
      </x:c>
      <x:c r="C79" s="10" t="str">
        <x:v>USD M/year</x:v>
      </x:c>
      <x:c r="D79" s="10" t="str">
        <x:v>execution</x:v>
      </x:c>
      <x:c r="E79" s="10" t="str">
        <x:v>RBJ-1</x:v>
      </x:c>
    </x:row>
    <x:row r="80">
      <x:c r="A80" s="10" t="str">
        <x:v>RBH sustainment support</x:v>
      </x:c>
      <x:c r="B80" s="13" t="n">
        <x:v>8</x:v>
      </x:c>
      <x:c r="C80" s="10" t="str">
        <x:v>USD M/year</x:v>
      </x:c>
      <x:c r="D80" s="10" t="str">
        <x:v>concurrent</x:v>
      </x:c>
      <x:c r="E80" s="10" t="str">
        <x:v>RBI-1</x:v>
      </x:c>
    </x:row>
    <x:row r="81">
      <x:c r="A81" s="10" t="str">
        <x:v>RBI sustainment support</x:v>
      </x:c>
      <x:c r="B81" s="13" t="n">
        <x:v>12</x:v>
      </x:c>
      <x:c r="C81" s="10" t="str">
        <x:v>USD M/year</x:v>
      </x:c>
      <x:c r="D81" s="10" t="str">
        <x:v>concurrent</x:v>
      </x:c>
      <x:c r="E81" s="10" t="str">
        <x:v>RBJ-1</x:v>
      </x:c>
    </x:row>
    <x:row r="82">
      <x:c r="A82" s="10" t="str">
        <x:v>RBJ technology allocation</x:v>
      </x:c>
      <x:c r="B82" s="13" t="n">
        <x:v>210</x:v>
      </x:c>
      <x:c r="C82" s="10" t="str">
        <x:v>USD M</x:v>
      </x:c>
      <x:c r="D82" s="10" t="str">
        <x:v>child allocation</x:v>
      </x:c>
      <x:c r="E82" s="10" t="str">
        <x:v>RBJ-1</x:v>
      </x:c>
    </x:row>
    <x:row r="83">
      <x:c r="A83" s="10" t="str">
        <x:v>Original parent capital</x:v>
      </x:c>
      <x:c r="B83" s="13" t="n">
        <x:v>1100</x:v>
      </x:c>
      <x:c r="C83" s="10" t="str">
        <x:v>USD M</x:v>
      </x:c>
      <x:c r="D83" s="10" t="str">
        <x:v>RAS-3R</x:v>
      </x:c>
      <x:c r="E83" s="10" t="str">
        <x:v>RBG-1</x:v>
      </x:c>
    </x:row>
    <x:row r="84">
      <x:c r="A84" s="10" t="str">
        <x:v>Capital amendment</x:v>
      </x:c>
      <x:c r="B84" s="13" t="n">
        <x:v>2600</x:v>
      </x:c>
      <x:c r="C84" s="10" t="str">
        <x:v>USD M</x:v>
      </x:c>
      <x:c r="D84" s="10" t="str">
        <x:v>RAS-3R2</x:v>
      </x:c>
      <x:c r="E84" s="10" t="str">
        <x:v>RBJ-1</x:v>
      </x:c>
    </x:row>
    <x:row r="85">
      <x:c r="A85" s="10" t="str">
        <x:v>Original parent annual support</x:v>
      </x:c>
      <x:c r="B85" s="13" t="n">
        <x:v>67</x:v>
      </x:c>
      <x:c r="C85" s="10" t="str">
        <x:v>USD M/year</x:v>
      </x:c>
      <x:c r="D85" s="10" t="str">
        <x:v>RAS-3R</x:v>
      </x:c>
      <x:c r="E85" s="10" t="str">
        <x:v>RBG-1</x:v>
      </x:c>
    </x:row>
    <x:row r="86">
      <x:c r="A86" s="10" t="str">
        <x:v>Annual-support amendment</x:v>
      </x:c>
      <x:c r="B86" s="13" t="n">
        <x:v>148</x:v>
      </x:c>
      <x:c r="C86" s="10" t="str">
        <x:v>USD M/year</x:v>
      </x:c>
      <x:c r="D86" s="10" t="str">
        <x:v>RAS-3R2</x:v>
      </x:c>
      <x:c r="E86" s="10" t="str">
        <x:v>RBJ-1</x:v>
      </x:c>
    </x:row>
    <x:row r="87">
      <x:c r="A87" s="10" t="str">
        <x:v>Original parent technology</x:v>
      </x:c>
      <x:c r="B87" s="13" t="n">
        <x:v>235</x:v>
      </x:c>
      <x:c r="C87" s="10" t="str">
        <x:v>USD M</x:v>
      </x:c>
      <x:c r="D87" s="10" t="str">
        <x:v>RAS-3R</x:v>
      </x:c>
      <x:c r="E87" s="10" t="str">
        <x:v>RBG-1</x:v>
      </x:c>
    </x:row>
    <x:row r="88">
      <x:c r="A88" s="10" t="str">
        <x:v>Technology amendment</x:v>
      </x:c>
      <x:c r="B88" s="13" t="n">
        <x:v>620</x:v>
      </x:c>
      <x:c r="C88" s="10" t="str">
        <x:v>USD M</x:v>
      </x:c>
      <x:c r="D88" s="10" t="str">
        <x:v>RAS-3R2</x:v>
      </x:c>
      <x:c r="E88" s="10" t="str">
        <x:v>RBJ-1</x:v>
      </x:c>
    </x:row>
    <x:row r="89">
      <x:c r="A89" s="10" t="str">
        <x:v>Original parent positions</x:v>
      </x:c>
      <x:c r="B89" s="13" t="n">
        <x:v>720</x:v>
      </x:c>
      <x:c r="C89" s="10" t="str">
        <x:v>positions</x:v>
      </x:c>
      <x:c r="D89" s="10" t="str">
        <x:v>RAS-3R</x:v>
      </x:c>
      <x:c r="E89" s="10" t="str">
        <x:v>RBG-1</x:v>
      </x:c>
    </x:row>
    <x:row r="90">
      <x:c r="A90" s="10" t="str">
        <x:v>Position amendment</x:v>
      </x:c>
      <x:c r="B90" s="13" t="n">
        <x:v>480</x:v>
      </x:c>
      <x:c r="C90" s="10" t="str">
        <x:v>positions</x:v>
      </x:c>
      <x:c r="D90" s="10" t="str">
        <x:v>RAS-3R2</x:v>
      </x:c>
      <x:c r="E90" s="10" t="str">
        <x:v>RBJ-1</x:v>
      </x:c>
    </x:row>
    <x:row r="91">
      <x:c r="A91" s="10" t="str">
        <x:v>Original parent calendar</x:v>
      </x:c>
      <x:c r="B91" s="13" t="n">
        <x:v>156</x:v>
      </x:c>
      <x:c r="C91" s="10" t="str">
        <x:v>weeks</x:v>
      </x:c>
      <x:c r="D91" s="10" t="str">
        <x:v>RAS-3R</x:v>
      </x:c>
      <x:c r="E91" s="10" t="str">
        <x:v>RBG-1</x:v>
      </x:c>
    </x:row>
    <x:row r="92">
      <x:c r="A92" s="10" t="str">
        <x:v>Calendar amendment</x:v>
      </x:c>
      <x:c r="B92" s="13" t="n">
        <x:v>208</x:v>
      </x:c>
      <x:c r="C92" s="10" t="str">
        <x:v>weeks</x:v>
      </x:c>
      <x:c r="D92" s="10" t="str">
        <x:v>RAS-3R2</x:v>
      </x:c>
      <x:c r="E92" s="10" t="str">
        <x:v>RBJ-1</x:v>
      </x:c>
    </x:row>
    <x:row r="93">
      <x:c r="A93" s="10" t="str">
        <x:v>RBH capital allocation</x:v>
      </x:c>
      <x:c r="B93" s="13" t="n">
        <x:v>180</x:v>
      </x:c>
      <x:c r="C93" s="10" t="str">
        <x:v>USD M</x:v>
      </x:c>
      <x:c r="D93" s="10" t="str">
        <x:v>prior child</x:v>
      </x:c>
      <x:c r="E93" s="10" t="str">
        <x:v>RBH-1</x:v>
      </x:c>
    </x:row>
    <x:row r="94">
      <x:c r="A94" s="10" t="str">
        <x:v>RBI capital allocation</x:v>
      </x:c>
      <x:c r="B94" s="13" t="n">
        <x:v>260</x:v>
      </x:c>
      <x:c r="C94" s="10" t="str">
        <x:v>USD M</x:v>
      </x:c>
      <x:c r="D94" s="10" t="str">
        <x:v>prior child</x:v>
      </x:c>
      <x:c r="E94" s="10" t="str">
        <x:v>RBI-1</x:v>
      </x:c>
    </x:row>
    <x:row r="95">
      <x:c r="A95" s="10" t="str">
        <x:v>RBH technology allocation</x:v>
      </x:c>
      <x:c r="B95" s="13" t="n">
        <x:v>95</x:v>
      </x:c>
      <x:c r="C95" s="10" t="str">
        <x:v>USD M</x:v>
      </x:c>
      <x:c r="D95" s="10" t="str">
        <x:v>prior child</x:v>
      </x:c>
      <x:c r="E95" s="10" t="str">
        <x:v>RBH-1</x:v>
      </x:c>
    </x:row>
    <x:row r="96">
      <x:c r="A96" s="10" t="str">
        <x:v>RBI technology allocation</x:v>
      </x:c>
      <x:c r="B96" s="13" t="n">
        <x:v>90</x:v>
      </x:c>
      <x:c r="C96" s="10" t="str">
        <x:v>USD M</x:v>
      </x:c>
      <x:c r="D96" s="10" t="str">
        <x:v>prior child</x:v>
      </x:c>
      <x:c r="E96" s="10" t="str">
        <x:v>RBI-1</x:v>
      </x:c>
    </x:row>
    <x:row r="97">
      <x:c r="A97" s="10" t="str">
        <x:v>RBH primary weeks</x:v>
      </x:c>
      <x:c r="B97" s="13" t="n">
        <x:v>37</x:v>
      </x:c>
      <x:c r="C97" s="10" t="str">
        <x:v>weeks</x:v>
      </x:c>
      <x:c r="D97" s="10" t="str">
        <x:v>prior child</x:v>
      </x:c>
      <x:c r="E97" s="10" t="str">
        <x:v>RBH-1</x:v>
      </x:c>
    </x:row>
    <x:row r="98">
      <x:c r="A98" s="10" t="str">
        <x:v>RBH maximum weeks</x:v>
      </x:c>
      <x:c r="B98" s="13" t="n">
        <x:v>39</x:v>
      </x:c>
      <x:c r="C98" s="10" t="str">
        <x:v>weeks</x:v>
      </x:c>
      <x:c r="D98" s="10" t="str">
        <x:v>prior child</x:v>
      </x:c>
      <x:c r="E98" s="10" t="str">
        <x:v>RBH-1</x:v>
      </x:c>
    </x:row>
    <x:row r="99">
      <x:c r="A99" s="10" t="str">
        <x:v>RBI primary weeks</x:v>
      </x:c>
      <x:c r="B99" s="13" t="n">
        <x:v>34</x:v>
      </x:c>
      <x:c r="C99" s="10" t="str">
        <x:v>weeks</x:v>
      </x:c>
      <x:c r="D99" s="10" t="str">
        <x:v>prior child</x:v>
      </x:c>
      <x:c r="E99" s="10" t="str">
        <x:v>RBI-1</x:v>
      </x:c>
    </x:row>
    <x:row r="100">
      <x:c r="A100" s="10" t="str">
        <x:v>RBI maximum weeks</x:v>
      </x:c>
      <x:c r="B100" s="13" t="n">
        <x:v>36</x:v>
      </x:c>
      <x:c r="C100" s="10" t="str">
        <x:v>weeks</x:v>
      </x:c>
      <x:c r="D100" s="10" t="str">
        <x:v>prior child</x:v>
      </x:c>
      <x:c r="E100" s="10" t="str">
        <x:v>RBI-1</x:v>
      </x:c>
    </x:row>
    <x:row r="101">
      <x:c r="A101" s="10" t="str">
        <x:v>Later-rung primary allowance</x:v>
      </x:c>
      <x:c r="B101" s="13" t="n">
        <x:v>17</x:v>
      </x:c>
      <x:c r="C101" s="10" t="str">
        <x:v>weeks/rung</x:v>
      </x:c>
      <x:c r="D101" s="10" t="str">
        <x:v>revised estimate</x:v>
      </x:c>
      <x:c r="E101" s="10" t="str">
        <x:v>RBJ-1</x:v>
      </x:c>
    </x:row>
    <x:row r="102">
      <x:c r="A102" s="10" t="str">
        <x:v>Later-rung maximum allowance</x:v>
      </x:c>
      <x:c r="B102" s="13" t="n">
        <x:v>21</x:v>
      </x:c>
      <x:c r="C102" s="10" t="str">
        <x:v>weeks/rung</x:v>
      </x:c>
      <x:c r="D102" s="10" t="str">
        <x:v>revised estimate</x:v>
      </x:c>
      <x:c r="E102" s="10" t="str">
        <x:v>RBJ-1</x:v>
      </x:c>
    </x:row>
    <x:row r="103">
      <x:c r="A103" s="10" t="str">
        <x:v>Remaining fire rungs</x:v>
      </x:c>
      <x:c r="B103" s="13" t="n">
        <x:v>7</x:v>
      </x:c>
      <x:c r="C103" s="10" t="str">
        <x:v>count</x:v>
      </x:c>
      <x:c r="D103" s="10" t="str">
        <x:v>ER-04 through ER-10</x:v>
      </x:c>
      <x:c r="E103" s="10" t="str">
        <x:v>RBG-1</x:v>
      </x:c>
    </x:row>
  </x:sheetData>
  <x:mergeCells>
    <x:mergeCell ref="A2:E2"/>
    <x:mergeCell ref="A5:E5"/>
  </x:mergeCells>
  <x:pageMargins left="0.7" right="0.7" top="0.75" bottom="0.75" header="0.3" footer="0.3"/>
  <x:tableParts count="1">
    <x:tablePart xmlns:r="http://schemas.openxmlformats.org/officeDocument/2006/relationships" r:id="Rcfe7449d95d143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36" hidden="0" customWidth="1"/>
    <x:col min="5" max="5" width="12" hidden="0" customWidth="1"/>
    <x:col min="6" max="6" width="15" hidden="0" customWidth="1"/>
    <x:col min="7" max="7" width="20" hidden="0" customWidth="1"/>
    <x:col min="8" max="8" width="20" hidden="0" customWidth="1"/>
    <x:col min="9" max="9" width="17" hidden="0" customWidth="1"/>
    <x:col min="10" max="10" width="15" hidden="0" customWidth="1"/>
  </x:cols>
  <x:sheetData>
    <x:row r="2" ht="24" customHeight="1">
      <x:c r="A2" s="1" t="str">
        <x:v>Four end-to-end ancestry candidates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8" t="str">
        <x:v>Candidate</x:v>
      </x:c>
      <x:c r="B5" s="8" t="str">
        <x:v>Principle family</x:v>
      </x:c>
      <x:c r="C5" s="8" t="str">
        <x:v>Decisive reader</x:v>
      </x:c>
      <x:c r="D5" s="8" t="str">
        <x:v>Primary susceptibility</x:v>
      </x:c>
      <x:c r="E5" s="8" t="str">
        <x:v>Articles</x:v>
      </x:c>
      <x:c r="F5" s="8" t="str">
        <x:v>Trial passes</x:v>
      </x:c>
      <x:c r="G5" s="8" t="str">
        <x:v>Material acceptance</x:v>
      </x:c>
      <x:c r="H5" s="8" t="str">
        <x:v>Reader independence</x:v>
      </x:c>
      <x:c r="I5" s="8" t="str">
        <x:v>Outside replay</x:v>
      </x:c>
      <x:c r="J5" s="8" t="str">
        <x:v>State</x:v>
      </x:c>
    </x:row>
    <x:row r="6">
      <x:c r="A6" s="10" t="str">
        <x:v>AR-I</x:v>
      </x:c>
      <x:c r="B6" s="10" t="str">
        <x:v>compositional ratio</x:v>
      </x:c>
      <x:c r="C6" s="10" t="str">
        <x:v>isotope-ratio instruments</x:v>
      </x:c>
      <x:c r="D6" s="10" t="str">
        <x:v>fractionation, exchange, background</x:v>
      </x:c>
      <x:c r="E6" s="10" t="n">
        <x:f>COUNTIF('Candidate Articles'!$B$6:$B$29,A6)</x:f>
        <x:v>6</x:v>
      </x:c>
      <x:c r="F6" s="10" t="n">
        <x:f>COUNTIFS('Candidate Trials'!$B$8:$B$199,A6,'Candidate Trials'!$R$8:$R$199,"PASS")</x:f>
        <x:v>0</x:v>
      </x:c>
      <x:c r="G6" s="12"/>
      <x:c r="H6" s="12"/>
      <x:c r="I6" s="12"/>
      <x:c r="J6" s="10" t="str">
        <x:f>IF(COUNTA(G6:I6)&lt;3,"OPEN",IF(AND(E6=6,F6=48,G6="ACCEPTED",H6="ACCEPTED",I6="ACCEPTED"),"QUALIFIED","DENY"))</x:f>
        <x:v>OPEN</x:v>
      </x:c>
    </x:row>
    <x:row r="7">
      <x:c r="A7" s="10" t="str">
        <x:v>AR-P</x:v>
      </x:c>
      <x:c r="B7" s="10" t="str">
        <x:v>physical-object census</x:v>
      </x:c>
      <x:c r="C7" s="10" t="str">
        <x:v>imaging and object census</x:v>
      </x:c>
      <x:c r="D7" s="10" t="str">
        <x:v>partition bias, settling, sampling</x:v>
      </x:c>
      <x:c r="E7" s="10" t="n">
        <x:f>COUNTIF('Candidate Articles'!$B$6:$B$29,A7)</x:f>
        <x:v>6</x:v>
      </x:c>
      <x:c r="F7" s="10" t="n">
        <x:f>COUNTIFS('Candidate Trials'!$B$8:$B$199,A7,'Candidate Trials'!$R$8:$R$199,"PASS")</x:f>
        <x:v>0</x:v>
      </x:c>
      <x:c r="G7" s="12"/>
      <x:c r="H7" s="12"/>
      <x:c r="I7" s="12"/>
      <x:c r="J7" s="10" t="str">
        <x:f>IF(COUNTA(G7:I7)&lt;3,"OPEN",IF(AND(E7=6,F7=48,G7="ACCEPTED",H7="ACCEPTED",I7="ACCEPTED"),"QUALIFIED","DENY"))</x:f>
        <x:v>OPEN</x:v>
      </x:c>
    </x:row>
    <x:row r="8">
      <x:c r="A8" s="10" t="str">
        <x:v>AR-R</x:v>
      </x:c>
      <x:c r="B8" s="10" t="str">
        <x:v>electromagnetic spectrum</x:v>
      </x:c>
      <x:c r="C8" s="10" t="str">
        <x:v>magnetic resonance reader</x:v>
      </x:c>
      <x:c r="D8" s="10" t="str">
        <x:v>capsule rupture, background, retention</x:v>
      </x:c>
      <x:c r="E8" s="10" t="n">
        <x:f>COUNTIF('Candidate Articles'!$B$6:$B$29,A8)</x:f>
        <x:v>6</x:v>
      </x:c>
      <x:c r="F8" s="10" t="n">
        <x:f>COUNTIFS('Candidate Trials'!$B$8:$B$199,A8,'Candidate Trials'!$R$8:$R$199,"PASS")</x:f>
        <x:v>0</x:v>
      </x:c>
      <x:c r="G8" s="12"/>
      <x:c r="H8" s="12"/>
      <x:c r="I8" s="12"/>
      <x:c r="J8" s="10" t="str">
        <x:f>IF(COUNTA(G8:I8)&lt;3,"OPEN",IF(AND(E8=6,F8=48,G8="ACCEPTED",H8="ACCEPTED",I8="ACCEPTED"),"QUALIFIED","DENY"))</x:f>
        <x:v>OPEN</x:v>
      </x:c>
    </x:row>
    <x:row r="9">
      <x:c r="A9" s="10" t="str">
        <x:v>AR-O</x:v>
      </x:c>
      <x:c r="B9" s="10" t="str">
        <x:v>sequence identity</x:v>
      </x:c>
      <x:c r="C9" s="10" t="str">
        <x:v>amplification and sequence reader</x:v>
      </x:c>
      <x:c r="D9" s="10" t="str">
        <x:v>contamination, amplification, decay</x:v>
      </x:c>
      <x:c r="E9" s="10" t="n">
        <x:f>COUNTIF('Candidate Articles'!$B$6:$B$29,A9)</x:f>
        <x:v>6</x:v>
      </x:c>
      <x:c r="F9" s="10" t="n">
        <x:f>COUNTIFS('Candidate Trials'!$B$8:$B$199,A9,'Candidate Trials'!$R$8:$R$199,"PASS")</x:f>
        <x:v>0</x:v>
      </x:c>
      <x:c r="G9" s="12"/>
      <x:c r="H9" s="12"/>
      <x:c r="I9" s="12"/>
      <x:c r="J9" s="10" t="str">
        <x:f>IF(COUNTA(G9:I9)&lt;3,"OPEN",IF(AND(E9=6,F9=48,G9="ACCEPTED",H9="ACCEPTED",I9="ACCEPTED"),"QUALIFIED","DENY"))</x:f>
        <x:v>OPEN</x:v>
      </x:c>
    </x:row>
  </x:sheetData>
  <x:mergeCells>
    <x:mergeCell ref="A2:J2"/>
  </x:mergeCells>
  <x:conditionalFormatting sqref="J6:J9">
    <x:cfRule type="containsText" dxfId="0" priority="1" operator="containsText" text="DENY"/>
    <x:cfRule type="containsText" dxfId="1" priority="2" operator="containsText" text="ADVERSE"/>
    <x:cfRule type="containsText" dxfId="2" priority="3" operator="containsText" text="FAIL"/>
    <x:cfRule type="containsText" dxfId="3" priority="4" operator="containsText" text="OPEN"/>
    <x:cfRule type="containsText" dxfId="4" priority="5" operator="containsText" text="BLOCKED"/>
    <x:cfRule type="containsText" dxfId="5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ed8ce8d6a6cf47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12" hidden="0" customWidth="1"/>
    <x:col min="5" max="5" width="20" hidden="0" customWidth="1"/>
    <x:col min="6" max="6" width="16" hidden="0" customWidth="1"/>
    <x:col min="7" max="7" width="23" hidden="0" customWidth="1"/>
    <x:col min="8" max="8" width="15" hidden="0" customWidth="1"/>
  </x:cols>
  <x:sheetData>
    <x:row r="2" ht="24" customHeight="1">
      <x:c r="A2" s="1" t="str">
        <x:v>Twenty-four serialized candidate articles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>
      <x:c r="A5" s="8" t="str">
        <x:v>Article</x:v>
      </x:c>
      <x:c r="B5" s="8" t="str">
        <x:v>Candidate</x:v>
      </x:c>
      <x:c r="C5" s="8" t="str">
        <x:v>Lineage</x:v>
      </x:c>
      <x:c r="D5" s="8" t="str">
        <x:v>Campus</x:v>
      </x:c>
      <x:c r="E5" s="8" t="str">
        <x:v>Code production</x:v>
      </x:c>
      <x:c r="F5" s="8" t="str">
        <x:v>Calibration</x:v>
      </x:c>
      <x:c r="G5" s="8" t="str">
        <x:v>Contamination baseline</x:v>
      </x:c>
      <x:c r="H5" s="8" t="str">
        <x:v>State</x:v>
      </x:c>
    </x:row>
    <x:row r="6">
      <x:c r="A6" s="10" t="str">
        <x:v>AR-I-A01</x:v>
      </x:c>
      <x:c r="B6" s="10" t="str">
        <x:v>AR-I</x:v>
      </x:c>
      <x:c r="C6" s="10" t="str">
        <x:v>BL-A</x:v>
      </x:c>
      <x:c r="D6" s="10" t="str">
        <x:v>C-1</x:v>
      </x:c>
      <x:c r="E6" s="12"/>
      <x:c r="F6" s="12"/>
      <x:c r="G6" s="12"/>
      <x:c r="H6" s="10" t="str">
        <x:f>IF(COUNTA(E6:G6)&lt;3,"OPEN",IF(AND(E6="ACCEPTED",F6="ACCEPTED",G6="ACCEPTED"),"ACCEPTED","DENY"))</x:f>
        <x:v>OPEN</x:v>
      </x:c>
    </x:row>
    <x:row r="7">
      <x:c r="A7" s="10" t="str">
        <x:v>AR-I-A02</x:v>
      </x:c>
      <x:c r="B7" s="10" t="str">
        <x:v>AR-I</x:v>
      </x:c>
      <x:c r="C7" s="10" t="str">
        <x:v>BL-B</x:v>
      </x:c>
      <x:c r="D7" s="10" t="str">
        <x:v>C-1</x:v>
      </x:c>
      <x:c r="E7" s="12"/>
      <x:c r="F7" s="12"/>
      <x:c r="G7" s="12"/>
      <x:c r="H7" s="10" t="str">
        <x:f>IF(COUNTA(E7:G7)&lt;3,"OPEN",IF(AND(E7="ACCEPTED",F7="ACCEPTED",G7="ACCEPTED"),"ACCEPTED","DENY"))</x:f>
        <x:v>OPEN</x:v>
      </x:c>
    </x:row>
    <x:row r="8">
      <x:c r="A8" s="10" t="str">
        <x:v>AR-I-A03</x:v>
      </x:c>
      <x:c r="B8" s="10" t="str">
        <x:v>AR-I</x:v>
      </x:c>
      <x:c r="C8" s="10" t="str">
        <x:v>BL-A</x:v>
      </x:c>
      <x:c r="D8" s="10" t="str">
        <x:v>C-2</x:v>
      </x:c>
      <x:c r="E8" s="12"/>
      <x:c r="F8" s="12"/>
      <x:c r="G8" s="12"/>
      <x:c r="H8" s="10" t="str">
        <x:f>IF(COUNTA(E8:G8)&lt;3,"OPEN",IF(AND(E8="ACCEPTED",F8="ACCEPTED",G8="ACCEPTED"),"ACCEPTED","DENY"))</x:f>
        <x:v>OPEN</x:v>
      </x:c>
    </x:row>
    <x:row r="9">
      <x:c r="A9" s="10" t="str">
        <x:v>AR-I-A04</x:v>
      </x:c>
      <x:c r="B9" s="10" t="str">
        <x:v>AR-I</x:v>
      </x:c>
      <x:c r="C9" s="10" t="str">
        <x:v>BL-B</x:v>
      </x:c>
      <x:c r="D9" s="10" t="str">
        <x:v>C-2</x:v>
      </x:c>
      <x:c r="E9" s="12"/>
      <x:c r="F9" s="12"/>
      <x:c r="G9" s="12"/>
      <x:c r="H9" s="10" t="str">
        <x:f>IF(COUNTA(E9:G9)&lt;3,"OPEN",IF(AND(E9="ACCEPTED",F9="ACCEPTED",G9="ACCEPTED"),"ACCEPTED","DENY"))</x:f>
        <x:v>OPEN</x:v>
      </x:c>
    </x:row>
    <x:row r="10">
      <x:c r="A10" s="10" t="str">
        <x:v>AR-I-A05</x:v>
      </x:c>
      <x:c r="B10" s="10" t="str">
        <x:v>AR-I</x:v>
      </x:c>
      <x:c r="C10" s="10" t="str">
        <x:v>BL-A</x:v>
      </x:c>
      <x:c r="D10" s="10" t="str">
        <x:v>C-3</x:v>
      </x:c>
      <x:c r="E10" s="12"/>
      <x:c r="F10" s="12"/>
      <x:c r="G10" s="12"/>
      <x:c r="H10" s="10" t="str">
        <x:f>IF(COUNTA(E10:G10)&lt;3,"OPEN",IF(AND(E10="ACCEPTED",F10="ACCEPTED",G10="ACCEPTED"),"ACCEPTED","DENY"))</x:f>
        <x:v>OPEN</x:v>
      </x:c>
    </x:row>
    <x:row r="11">
      <x:c r="A11" s="10" t="str">
        <x:v>AR-I-A06</x:v>
      </x:c>
      <x:c r="B11" s="10" t="str">
        <x:v>AR-I</x:v>
      </x:c>
      <x:c r="C11" s="10" t="str">
        <x:v>BL-B</x:v>
      </x:c>
      <x:c r="D11" s="10" t="str">
        <x:v>C-3</x:v>
      </x:c>
      <x:c r="E11" s="12"/>
      <x:c r="F11" s="12"/>
      <x:c r="G11" s="12"/>
      <x:c r="H11" s="10" t="str">
        <x:f>IF(COUNTA(E11:G11)&lt;3,"OPEN",IF(AND(E11="ACCEPTED",F11="ACCEPTED",G11="ACCEPTED"),"ACCEPTED","DENY"))</x:f>
        <x:v>OPEN</x:v>
      </x:c>
    </x:row>
    <x:row r="12">
      <x:c r="A12" s="10" t="str">
        <x:v>AR-P-A07</x:v>
      </x:c>
      <x:c r="B12" s="10" t="str">
        <x:v>AR-P</x:v>
      </x:c>
      <x:c r="C12" s="10" t="str">
        <x:v>BL-A</x:v>
      </x:c>
      <x:c r="D12" s="10" t="str">
        <x:v>C-1</x:v>
      </x:c>
      <x:c r="E12" s="12"/>
      <x:c r="F12" s="12"/>
      <x:c r="G12" s="12"/>
      <x:c r="H12" s="10" t="str">
        <x:f>IF(COUNTA(E12:G12)&lt;3,"OPEN",IF(AND(E12="ACCEPTED",F12="ACCEPTED",G12="ACCEPTED"),"ACCEPTED","DENY"))</x:f>
        <x:v>OPEN</x:v>
      </x:c>
    </x:row>
    <x:row r="13">
      <x:c r="A13" s="10" t="str">
        <x:v>AR-P-A08</x:v>
      </x:c>
      <x:c r="B13" s="10" t="str">
        <x:v>AR-P</x:v>
      </x:c>
      <x:c r="C13" s="10" t="str">
        <x:v>BL-B</x:v>
      </x:c>
      <x:c r="D13" s="10" t="str">
        <x:v>C-1</x:v>
      </x:c>
      <x:c r="E13" s="12"/>
      <x:c r="F13" s="12"/>
      <x:c r="G13" s="12"/>
      <x:c r="H13" s="10" t="str">
        <x:f>IF(COUNTA(E13:G13)&lt;3,"OPEN",IF(AND(E13="ACCEPTED",F13="ACCEPTED",G13="ACCEPTED"),"ACCEPTED","DENY"))</x:f>
        <x:v>OPEN</x:v>
      </x:c>
    </x:row>
    <x:row r="14">
      <x:c r="A14" s="10" t="str">
        <x:v>AR-P-A09</x:v>
      </x:c>
      <x:c r="B14" s="10" t="str">
        <x:v>AR-P</x:v>
      </x:c>
      <x:c r="C14" s="10" t="str">
        <x:v>BL-A</x:v>
      </x:c>
      <x:c r="D14" s="10" t="str">
        <x:v>C-2</x:v>
      </x:c>
      <x:c r="E14" s="12"/>
      <x:c r="F14" s="12"/>
      <x:c r="G14" s="12"/>
      <x:c r="H14" s="10" t="str">
        <x:f>IF(COUNTA(E14:G14)&lt;3,"OPEN",IF(AND(E14="ACCEPTED",F14="ACCEPTED",G14="ACCEPTED"),"ACCEPTED","DENY"))</x:f>
        <x:v>OPEN</x:v>
      </x:c>
    </x:row>
    <x:row r="15">
      <x:c r="A15" s="10" t="str">
        <x:v>AR-P-A10</x:v>
      </x:c>
      <x:c r="B15" s="10" t="str">
        <x:v>AR-P</x:v>
      </x:c>
      <x:c r="C15" s="10" t="str">
        <x:v>BL-B</x:v>
      </x:c>
      <x:c r="D15" s="10" t="str">
        <x:v>C-2</x:v>
      </x:c>
      <x:c r="E15" s="12"/>
      <x:c r="F15" s="12"/>
      <x:c r="G15" s="12"/>
      <x:c r="H15" s="10" t="str">
        <x:f>IF(COUNTA(E15:G15)&lt;3,"OPEN",IF(AND(E15="ACCEPTED",F15="ACCEPTED",G15="ACCEPTED"),"ACCEPTED","DENY"))</x:f>
        <x:v>OPEN</x:v>
      </x:c>
    </x:row>
    <x:row r="16">
      <x:c r="A16" s="10" t="str">
        <x:v>AR-P-A11</x:v>
      </x:c>
      <x:c r="B16" s="10" t="str">
        <x:v>AR-P</x:v>
      </x:c>
      <x:c r="C16" s="10" t="str">
        <x:v>BL-A</x:v>
      </x:c>
      <x:c r="D16" s="10" t="str">
        <x:v>C-3</x:v>
      </x:c>
      <x:c r="E16" s="12"/>
      <x:c r="F16" s="12"/>
      <x:c r="G16" s="12"/>
      <x:c r="H16" s="10" t="str">
        <x:f>IF(COUNTA(E16:G16)&lt;3,"OPEN",IF(AND(E16="ACCEPTED",F16="ACCEPTED",G16="ACCEPTED"),"ACCEPTED","DENY"))</x:f>
        <x:v>OPEN</x:v>
      </x:c>
    </x:row>
    <x:row r="17">
      <x:c r="A17" s="10" t="str">
        <x:v>AR-P-A12</x:v>
      </x:c>
      <x:c r="B17" s="10" t="str">
        <x:v>AR-P</x:v>
      </x:c>
      <x:c r="C17" s="10" t="str">
        <x:v>BL-B</x:v>
      </x:c>
      <x:c r="D17" s="10" t="str">
        <x:v>C-3</x:v>
      </x:c>
      <x:c r="E17" s="12"/>
      <x:c r="F17" s="12"/>
      <x:c r="G17" s="12"/>
      <x:c r="H17" s="10" t="str">
        <x:f>IF(COUNTA(E17:G17)&lt;3,"OPEN",IF(AND(E17="ACCEPTED",F17="ACCEPTED",G17="ACCEPTED"),"ACCEPTED","DENY"))</x:f>
        <x:v>OPEN</x:v>
      </x:c>
    </x:row>
    <x:row r="18">
      <x:c r="A18" s="10" t="str">
        <x:v>AR-R-A13</x:v>
      </x:c>
      <x:c r="B18" s="10" t="str">
        <x:v>AR-R</x:v>
      </x:c>
      <x:c r="C18" s="10" t="str">
        <x:v>BL-A</x:v>
      </x:c>
      <x:c r="D18" s="10" t="str">
        <x:v>C-1</x:v>
      </x:c>
      <x:c r="E18" s="12"/>
      <x:c r="F18" s="12"/>
      <x:c r="G18" s="12"/>
      <x:c r="H18" s="10" t="str">
        <x:f>IF(COUNTA(E18:G18)&lt;3,"OPEN",IF(AND(E18="ACCEPTED",F18="ACCEPTED",G18="ACCEPTED"),"ACCEPTED","DENY"))</x:f>
        <x:v>OPEN</x:v>
      </x:c>
    </x:row>
    <x:row r="19">
      <x:c r="A19" s="10" t="str">
        <x:v>AR-R-A14</x:v>
      </x:c>
      <x:c r="B19" s="10" t="str">
        <x:v>AR-R</x:v>
      </x:c>
      <x:c r="C19" s="10" t="str">
        <x:v>BL-B</x:v>
      </x:c>
      <x:c r="D19" s="10" t="str">
        <x:v>C-1</x:v>
      </x:c>
      <x:c r="E19" s="12"/>
      <x:c r="F19" s="12"/>
      <x:c r="G19" s="12"/>
      <x:c r="H19" s="10" t="str">
        <x:f>IF(COUNTA(E19:G19)&lt;3,"OPEN",IF(AND(E19="ACCEPTED",F19="ACCEPTED",G19="ACCEPTED"),"ACCEPTED","DENY"))</x:f>
        <x:v>OPEN</x:v>
      </x:c>
    </x:row>
    <x:row r="20">
      <x:c r="A20" s="10" t="str">
        <x:v>AR-R-A15</x:v>
      </x:c>
      <x:c r="B20" s="10" t="str">
        <x:v>AR-R</x:v>
      </x:c>
      <x:c r="C20" s="10" t="str">
        <x:v>BL-A</x:v>
      </x:c>
      <x:c r="D20" s="10" t="str">
        <x:v>C-2</x:v>
      </x:c>
      <x:c r="E20" s="12"/>
      <x:c r="F20" s="12"/>
      <x:c r="G20" s="12"/>
      <x:c r="H20" s="10" t="str">
        <x:f>IF(COUNTA(E20:G20)&lt;3,"OPEN",IF(AND(E20="ACCEPTED",F20="ACCEPTED",G20="ACCEPTED"),"ACCEPTED","DENY"))</x:f>
        <x:v>OPEN</x:v>
      </x:c>
    </x:row>
    <x:row r="21">
      <x:c r="A21" s="10" t="str">
        <x:v>AR-R-A16</x:v>
      </x:c>
      <x:c r="B21" s="10" t="str">
        <x:v>AR-R</x:v>
      </x:c>
      <x:c r="C21" s="10" t="str">
        <x:v>BL-B</x:v>
      </x:c>
      <x:c r="D21" s="10" t="str">
        <x:v>C-2</x:v>
      </x:c>
      <x:c r="E21" s="12"/>
      <x:c r="F21" s="12"/>
      <x:c r="G21" s="12"/>
      <x:c r="H21" s="10" t="str">
        <x:f>IF(COUNTA(E21:G21)&lt;3,"OPEN",IF(AND(E21="ACCEPTED",F21="ACCEPTED",G21="ACCEPTED"),"ACCEPTED","DENY"))</x:f>
        <x:v>OPEN</x:v>
      </x:c>
    </x:row>
    <x:row r="22">
      <x:c r="A22" s="10" t="str">
        <x:v>AR-R-A17</x:v>
      </x:c>
      <x:c r="B22" s="10" t="str">
        <x:v>AR-R</x:v>
      </x:c>
      <x:c r="C22" s="10" t="str">
        <x:v>BL-A</x:v>
      </x:c>
      <x:c r="D22" s="10" t="str">
        <x:v>C-3</x:v>
      </x:c>
      <x:c r="E22" s="12"/>
      <x:c r="F22" s="12"/>
      <x:c r="G22" s="12"/>
      <x:c r="H22" s="10" t="str">
        <x:f>IF(COUNTA(E22:G22)&lt;3,"OPEN",IF(AND(E22="ACCEPTED",F22="ACCEPTED",G22="ACCEPTED"),"ACCEPTED","DENY"))</x:f>
        <x:v>OPEN</x:v>
      </x:c>
    </x:row>
    <x:row r="23">
      <x:c r="A23" s="10" t="str">
        <x:v>AR-R-A18</x:v>
      </x:c>
      <x:c r="B23" s="10" t="str">
        <x:v>AR-R</x:v>
      </x:c>
      <x:c r="C23" s="10" t="str">
        <x:v>BL-B</x:v>
      </x:c>
      <x:c r="D23" s="10" t="str">
        <x:v>C-3</x:v>
      </x:c>
      <x:c r="E23" s="12"/>
      <x:c r="F23" s="12"/>
      <x:c r="G23" s="12"/>
      <x:c r="H23" s="10" t="str">
        <x:f>IF(COUNTA(E23:G23)&lt;3,"OPEN",IF(AND(E23="ACCEPTED",F23="ACCEPTED",G23="ACCEPTED"),"ACCEPTED","DENY"))</x:f>
        <x:v>OPEN</x:v>
      </x:c>
    </x:row>
    <x:row r="24">
      <x:c r="A24" s="10" t="str">
        <x:v>AR-O-A19</x:v>
      </x:c>
      <x:c r="B24" s="10" t="str">
        <x:v>AR-O</x:v>
      </x:c>
      <x:c r="C24" s="10" t="str">
        <x:v>BL-A</x:v>
      </x:c>
      <x:c r="D24" s="10" t="str">
        <x:v>C-1</x:v>
      </x:c>
      <x:c r="E24" s="12"/>
      <x:c r="F24" s="12"/>
      <x:c r="G24" s="12"/>
      <x:c r="H24" s="10" t="str">
        <x:f>IF(COUNTA(E24:G24)&lt;3,"OPEN",IF(AND(E24="ACCEPTED",F24="ACCEPTED",G24="ACCEPTED"),"ACCEPTED","DENY"))</x:f>
        <x:v>OPEN</x:v>
      </x:c>
    </x:row>
    <x:row r="25">
      <x:c r="A25" s="10" t="str">
        <x:v>AR-O-A20</x:v>
      </x:c>
      <x:c r="B25" s="10" t="str">
        <x:v>AR-O</x:v>
      </x:c>
      <x:c r="C25" s="10" t="str">
        <x:v>BL-B</x:v>
      </x:c>
      <x:c r="D25" s="10" t="str">
        <x:v>C-1</x:v>
      </x:c>
      <x:c r="E25" s="12"/>
      <x:c r="F25" s="12"/>
      <x:c r="G25" s="12"/>
      <x:c r="H25" s="10" t="str">
        <x:f>IF(COUNTA(E25:G25)&lt;3,"OPEN",IF(AND(E25="ACCEPTED",F25="ACCEPTED",G25="ACCEPTED"),"ACCEPTED","DENY"))</x:f>
        <x:v>OPEN</x:v>
      </x:c>
    </x:row>
    <x:row r="26">
      <x:c r="A26" s="10" t="str">
        <x:v>AR-O-A21</x:v>
      </x:c>
      <x:c r="B26" s="10" t="str">
        <x:v>AR-O</x:v>
      </x:c>
      <x:c r="C26" s="10" t="str">
        <x:v>BL-A</x:v>
      </x:c>
      <x:c r="D26" s="10" t="str">
        <x:v>C-2</x:v>
      </x:c>
      <x:c r="E26" s="12"/>
      <x:c r="F26" s="12"/>
      <x:c r="G26" s="12"/>
      <x:c r="H26" s="10" t="str">
        <x:f>IF(COUNTA(E26:G26)&lt;3,"OPEN",IF(AND(E26="ACCEPTED",F26="ACCEPTED",G26="ACCEPTED"),"ACCEPTED","DENY"))</x:f>
        <x:v>OPEN</x:v>
      </x:c>
    </x:row>
    <x:row r="27">
      <x:c r="A27" s="10" t="str">
        <x:v>AR-O-A22</x:v>
      </x:c>
      <x:c r="B27" s="10" t="str">
        <x:v>AR-O</x:v>
      </x:c>
      <x:c r="C27" s="10" t="str">
        <x:v>BL-B</x:v>
      </x:c>
      <x:c r="D27" s="10" t="str">
        <x:v>C-2</x:v>
      </x:c>
      <x:c r="E27" s="12"/>
      <x:c r="F27" s="12"/>
      <x:c r="G27" s="12"/>
      <x:c r="H27" s="10" t="str">
        <x:f>IF(COUNTA(E27:G27)&lt;3,"OPEN",IF(AND(E27="ACCEPTED",F27="ACCEPTED",G27="ACCEPTED"),"ACCEPTED","DENY"))</x:f>
        <x:v>OPEN</x:v>
      </x:c>
    </x:row>
    <x:row r="28">
      <x:c r="A28" s="10" t="str">
        <x:v>AR-O-A23</x:v>
      </x:c>
      <x:c r="B28" s="10" t="str">
        <x:v>AR-O</x:v>
      </x:c>
      <x:c r="C28" s="10" t="str">
        <x:v>BL-A</x:v>
      </x:c>
      <x:c r="D28" s="10" t="str">
        <x:v>C-3</x:v>
      </x:c>
      <x:c r="E28" s="12"/>
      <x:c r="F28" s="12"/>
      <x:c r="G28" s="12"/>
      <x:c r="H28" s="10" t="str">
        <x:f>IF(COUNTA(E28:G28)&lt;3,"OPEN",IF(AND(E28="ACCEPTED",F28="ACCEPTED",G28="ACCEPTED"),"ACCEPTED","DENY"))</x:f>
        <x:v>OPEN</x:v>
      </x:c>
    </x:row>
    <x:row r="29">
      <x:c r="A29" s="10" t="str">
        <x:v>AR-O-A24</x:v>
      </x:c>
      <x:c r="B29" s="10" t="str">
        <x:v>AR-O</x:v>
      </x:c>
      <x:c r="C29" s="10" t="str">
        <x:v>BL-B</x:v>
      </x:c>
      <x:c r="D29" s="10" t="str">
        <x:v>C-3</x:v>
      </x:c>
      <x:c r="E29" s="12"/>
      <x:c r="F29" s="12"/>
      <x:c r="G29" s="12"/>
      <x:c r="H29" s="10" t="str">
        <x:f>IF(COUNTA(E29:G29)&lt;3,"OPEN",IF(AND(E29="ACCEPTED",F29="ACCEPTED",G29="ACCEPTED"),"ACCEPTED","DENY"))</x:f>
        <x:v>OPEN</x:v>
      </x:c>
    </x:row>
  </x:sheetData>
  <x:mergeCells>
    <x:mergeCell ref="A2:H2"/>
  </x:mergeCells>
  <x:conditionalFormatting sqref="H6:H29">
    <x:cfRule type="containsText" dxfId="6" priority="1" operator="containsText" text="DENY"/>
    <x:cfRule type="containsText" dxfId="7" priority="2" operator="containsText" text="ADVERSE"/>
    <x:cfRule type="containsText" dxfId="8" priority="3" operator="containsText" text="FAIL"/>
    <x:cfRule type="containsText" dxfId="9" priority="4" operator="containsText" text="OPEN"/>
    <x:cfRule type="containsText" dxfId="10" priority="5" operator="containsText" text="BLOCKED"/>
    <x:cfRule type="containsText" dxfId="11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408ca1ff234542f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2" hidden="0" customWidth="1"/>
    <x:col min="5" max="5" width="11" hidden="0" customWidth="1"/>
    <x:col min="6" max="6" width="25" hidden="0" customWidth="1"/>
    <x:col min="7" max="7" width="13" hidden="0" customWidth="1"/>
    <x:col min="8" max="8" width="14" hidden="0" customWidth="1"/>
    <x:col min="9" max="9" width="17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8" hidden="0" customWidth="1"/>
    <x:col min="15" max="15" width="19" hidden="0" customWidth="1"/>
    <x:col min="16" max="16" width="20" hidden="0" customWidth="1"/>
    <x:col min="17" max="17" width="22" hidden="0" customWidth="1"/>
    <x:col min="18" max="18" width="19" hidden="0" customWidth="1"/>
  </x:cols>
  <x:sheetData>
    <x:row r="2" ht="24" customHeight="1">
      <x:c r="A2" s="1" t="str">
        <x:v>One hundred ninety-two candidate-architecture trials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4" t="str">
        <x:v>Every trial uses a one-percent 5 kg simulant and 0.24 m³ water inventory. Valid adverse results remain in the denominator.</x:v>
      </x:c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</x:row>
    <x:row r="7">
      <x:c r="A7" s="8" t="str">
        <x:v>Trial</x:v>
      </x:c>
      <x:c r="B7" s="8" t="str">
        <x:v>Candidate</x:v>
      </x:c>
      <x:c r="C7" s="8" t="str">
        <x:v>Article</x:v>
      </x:c>
      <x:c r="D7" s="8" t="str">
        <x:v>Lineage</x:v>
      </x:c>
      <x:c r="E7" s="8" t="str">
        <x:v>Campus</x:v>
      </x:c>
      <x:c r="F7" s="8" t="str">
        <x:v>Challenge</x:v>
      </x:c>
      <x:c r="G7" s="8" t="str">
        <x:v>Water m³</x:v>
      </x:c>
      <x:c r="H7" s="8" t="str">
        <x:v>Simulant kg</x:v>
      </x:c>
      <x:c r="I7" s="8" t="str">
        <x:v>Water recovery</x:v>
      </x:c>
      <x:c r="J7" s="8" t="str">
        <x:v>Simulant recovery</x:v>
      </x:c>
      <x:c r="K7" s="8" t="str">
        <x:v>Wrong phase</x:v>
      </x:c>
      <x:c r="L7" s="8" t="str">
        <x:v>Wrong code</x:v>
      </x:c>
      <x:c r="M7" s="8" t="str">
        <x:v>Carryover</x:v>
      </x:c>
      <x:c r="N7" s="8" t="str">
        <x:v>Water accounted</x:v>
      </x:c>
      <x:c r="O7" s="8" t="str">
        <x:v>Simulant accounted</x:v>
      </x:c>
      <x:c r="P7" s="8" t="str">
        <x:v>Blank false positive</x:v>
      </x:c>
      <x:c r="Q7" s="8" t="str">
        <x:v>Originals and replay</x:v>
      </x:c>
      <x:c r="R7" s="8" t="str">
        <x:v>State</x:v>
      </x:c>
    </x:row>
    <x:row r="8">
      <x:c r="A8" s="10" t="str">
        <x:v>CT-001</x:v>
      </x:c>
      <x:c r="B8" s="10" t="str">
        <x:v>AR-I</x:v>
      </x:c>
      <x:c r="C8" s="10" t="str">
        <x:v>AR-I-A01</x:v>
      </x:c>
      <x:c r="D8" s="10" t="str">
        <x:v>BL-A</x:v>
      </x:c>
      <x:c r="E8" s="10" t="str">
        <x:v>C-1</x:v>
      </x:c>
      <x:c r="F8" s="10" t="str">
        <x:v>AT-1 blank/history</x:v>
      </x:c>
      <x:c r="G8" s="10" t="n">
        <x:v>0.24</x:v>
      </x:c>
      <x:c r="H8" s="10" t="n">
        <x:v>5</x:v>
      </x:c>
      <x:c r="I8" s="12"/>
      <x:c r="J8" s="12"/>
      <x:c r="K8" s="12"/>
      <x:c r="L8" s="12"/>
      <x:c r="M8" s="12"/>
      <x:c r="N8" s="12"/>
      <x:c r="O8" s="12"/>
      <x:c r="P8" s="12"/>
      <x:c r="Q8" s="12"/>
      <x:c r="R8" s="10" t="str">
        <x:f>IF(OR(COUNT(I8:P8)&lt;8,Q8=""),"OPEN",IF(AND(INDEX('Candidate Articles'!$H$6:$H$29,MATCH(C8,'Candidate Articles'!$A$6:$A$29,0))="ACCEPTED",I8&gt;='Assumptions'!$B$39,J8&gt;='Assumptions'!$B$39,K8&lt;='Assumptions'!$B$40,L8&lt;='Assumptions'!$B$41,M8&lt;='Assumptions'!$B$42,N8&gt;='Assumptions'!$B$38,O8&gt;='Assumptions'!$B$38,P8&lt;=0.0001,Q8="ACCEPTED"),"PASS","VALID-ADVERSE"))</x:f>
        <x:v>OPEN</x:v>
      </x:c>
    </x:row>
    <x:row r="9">
      <x:c r="A9" s="10" t="str">
        <x:v>CT-002</x:v>
      </x:c>
      <x:c r="B9" s="10" t="str">
        <x:v>AR-I</x:v>
      </x:c>
      <x:c r="C9" s="10" t="str">
        <x:v>AR-I-A01</x:v>
      </x:c>
      <x:c r="D9" s="10" t="str">
        <x:v>BL-A</x:v>
      </x:c>
      <x:c r="E9" s="10" t="str">
        <x:v>C-1</x:v>
      </x:c>
      <x:c r="F9" s="10" t="str">
        <x:v>AT-2 simulant only</x:v>
      </x:c>
      <x:c r="G9" s="10" t="n">
        <x:v>0.24</x:v>
      </x:c>
      <x:c r="H9" s="10" t="n">
        <x:v>5</x:v>
      </x:c>
      <x:c r="I9" s="12"/>
      <x:c r="J9" s="12"/>
      <x:c r="K9" s="12"/>
      <x:c r="L9" s="12"/>
      <x:c r="M9" s="12"/>
      <x:c r="N9" s="12"/>
      <x:c r="O9" s="12"/>
      <x:c r="P9" s="12"/>
      <x:c r="Q9" s="12"/>
      <x:c r="R9" s="10" t="str">
        <x:f>IF(OR(COUNT(I9:P9)&lt;8,Q9=""),"OPEN",IF(AND(INDEX('Candidate Articles'!$H$6:$H$29,MATCH(C9,'Candidate Articles'!$A$6:$A$29,0))="ACCEPTED",I9&gt;='Assumptions'!$B$39,J9&gt;='Assumptions'!$B$39,K9&lt;='Assumptions'!$B$40,L9&lt;='Assumptions'!$B$41,M9&lt;='Assumptions'!$B$42,N9&gt;='Assumptions'!$B$38,O9&gt;='Assumptions'!$B$38,P9&lt;=0.0001,Q9="ACCEPTED"),"PASS","VALID-ADVERSE"))</x:f>
        <x:v>OPEN</x:v>
      </x:c>
    </x:row>
    <x:row r="10">
      <x:c r="A10" s="10" t="str">
        <x:v>CT-003</x:v>
      </x:c>
      <x:c r="B10" s="10" t="str">
        <x:v>AR-I</x:v>
      </x:c>
      <x:c r="C10" s="10" t="str">
        <x:v>AR-I-A01</x:v>
      </x:c>
      <x:c r="D10" s="10" t="str">
        <x:v>BL-A</x:v>
      </x:c>
      <x:c r="E10" s="10" t="str">
        <x:v>C-1</x:v>
      </x:c>
      <x:c r="F10" s="10" t="str">
        <x:v>AT-3 water only</x:v>
      </x:c>
      <x:c r="G10" s="10" t="n">
        <x:v>0.24</x:v>
      </x:c>
      <x:c r="H10" s="10" t="n">
        <x:v>5</x:v>
      </x:c>
      <x:c r="I10" s="12"/>
      <x:c r="J10" s="12"/>
      <x:c r="K10" s="12"/>
      <x:c r="L10" s="12"/>
      <x:c r="M10" s="12"/>
      <x:c r="N10" s="12"/>
      <x:c r="O10" s="12"/>
      <x:c r="P10" s="12"/>
      <x:c r="Q10" s="12"/>
      <x:c r="R10" s="10" t="str">
        <x:f>IF(OR(COUNT(I10:P10)&lt;8,Q10=""),"OPEN",IF(AND(INDEX('Candidate Articles'!$H$6:$H$29,MATCH(C10,'Candidate Articles'!$A$6:$A$29,0))="ACCEPTED",I10&gt;='Assumptions'!$B$39,J10&gt;='Assumptions'!$B$39,K10&lt;='Assumptions'!$B$40,L10&lt;='Assumptions'!$B$41,M10&lt;='Assumptions'!$B$42,N10&gt;='Assumptions'!$B$38,O10&gt;='Assumptions'!$B$38,P10&lt;=0.0001,Q10="ACCEPTED"),"PASS","VALID-ADVERSE"))</x:f>
        <x:v>OPEN</x:v>
      </x:c>
    </x:row>
    <x:row r="11">
      <x:c r="A11" s="10" t="str">
        <x:v>CT-004</x:v>
      </x:c>
      <x:c r="B11" s="10" t="str">
        <x:v>AR-I</x:v>
      </x:c>
      <x:c r="C11" s="10" t="str">
        <x:v>AR-I-A01</x:v>
      </x:c>
      <x:c r="D11" s="10" t="str">
        <x:v>BL-A</x:v>
      </x:c>
      <x:c r="E11" s="10" t="str">
        <x:v>C-1</x:v>
      </x:c>
      <x:c r="F11" s="10" t="str">
        <x:v>AT-4 nominal crossover</x:v>
      </x:c>
      <x:c r="G11" s="10" t="n">
        <x:v>0.24</x:v>
      </x:c>
      <x:c r="H11" s="10" t="n">
        <x:v>5</x:v>
      </x:c>
      <x:c r="I11" s="12"/>
      <x:c r="J11" s="12"/>
      <x:c r="K11" s="12"/>
      <x:c r="L11" s="12"/>
      <x:c r="M11" s="12"/>
      <x:c r="N11" s="12"/>
      <x:c r="O11" s="12"/>
      <x:c r="P11" s="12"/>
      <x:c r="Q11" s="12"/>
      <x:c r="R11" s="10" t="str">
        <x:f>IF(OR(COUNT(I11:P11)&lt;8,Q11=""),"OPEN",IF(AND(INDEX('Candidate Articles'!$H$6:$H$29,MATCH(C11,'Candidate Articles'!$A$6:$A$29,0))="ACCEPTED",I11&gt;='Assumptions'!$B$39,J11&gt;='Assumptions'!$B$39,K11&lt;='Assumptions'!$B$40,L11&lt;='Assumptions'!$B$41,M11&lt;='Assumptions'!$B$42,N11&gt;='Assumptions'!$B$38,O11&gt;='Assumptions'!$B$38,P11&lt;=0.0001,Q11="ACCEPTED"),"PASS","VALID-ADVERSE"))</x:f>
        <x:v>OPEN</x:v>
      </x:c>
    </x:row>
    <x:row r="12">
      <x:c r="A12" s="10" t="str">
        <x:v>CT-005</x:v>
      </x:c>
      <x:c r="B12" s="10" t="str">
        <x:v>AR-I</x:v>
      </x:c>
      <x:c r="C12" s="10" t="str">
        <x:v>AR-I-A01</x:v>
      </x:c>
      <x:c r="D12" s="10" t="str">
        <x:v>BL-A</x:v>
      </x:c>
      <x:c r="E12" s="10" t="str">
        <x:v>C-1</x:v>
      </x:c>
      <x:c r="F12" s="10" t="str">
        <x:v>AT-5 emulsion/shear</x:v>
      </x:c>
      <x:c r="G12" s="10" t="n">
        <x:v>0.24</x:v>
      </x:c>
      <x:c r="H12" s="10" t="n">
        <x:v>5</x:v>
      </x:c>
      <x:c r="I12" s="12"/>
      <x:c r="J12" s="12"/>
      <x:c r="K12" s="12"/>
      <x:c r="L12" s="12"/>
      <x:c r="M12" s="12"/>
      <x:c r="N12" s="12"/>
      <x:c r="O12" s="12"/>
      <x:c r="P12" s="12"/>
      <x:c r="Q12" s="12"/>
      <x:c r="R12" s="10" t="str">
        <x:f>IF(OR(COUNT(I12:P12)&lt;8,Q12=""),"OPEN",IF(AND(INDEX('Candidate Articles'!$H$6:$H$29,MATCH(C12,'Candidate Articles'!$A$6:$A$29,0))="ACCEPTED",I12&gt;='Assumptions'!$B$39,J12&gt;='Assumptions'!$B$39,K12&lt;='Assumptions'!$B$40,L12&lt;='Assumptions'!$B$41,M12&lt;='Assumptions'!$B$42,N12&gt;='Assumptions'!$B$38,O12&gt;='Assumptions'!$B$38,P12&lt;=0.0001,Q12="ACCEPTED"),"PASS","VALID-ADVERSE"))</x:f>
        <x:v>OPEN</x:v>
      </x:c>
    </x:row>
    <x:row r="13">
      <x:c r="A13" s="10" t="str">
        <x:v>CT-006</x:v>
      </x:c>
      <x:c r="B13" s="10" t="str">
        <x:v>AR-I</x:v>
      </x:c>
      <x:c r="C13" s="10" t="str">
        <x:v>AR-I-A01</x:v>
      </x:c>
      <x:c r="D13" s="10" t="str">
        <x:v>BL-A</x:v>
      </x:c>
      <x:c r="E13" s="10" t="str">
        <x:v>C-1</x:v>
      </x:c>
      <x:c r="F13" s="10" t="str">
        <x:v>AT-6 film/delayed release</x:v>
      </x:c>
      <x:c r="G13" s="10" t="n">
        <x:v>0.24</x:v>
      </x:c>
      <x:c r="H13" s="10" t="n">
        <x:v>5</x:v>
      </x:c>
      <x:c r="I13" s="12"/>
      <x:c r="J13" s="12"/>
      <x:c r="K13" s="12"/>
      <x:c r="L13" s="12"/>
      <x:c r="M13" s="12"/>
      <x:c r="N13" s="12"/>
      <x:c r="O13" s="12"/>
      <x:c r="P13" s="12"/>
      <x:c r="Q13" s="12"/>
      <x:c r="R13" s="10" t="str">
        <x:f>IF(OR(COUNT(I13:P13)&lt;8,Q13=""),"OPEN",IF(AND(INDEX('Candidate Articles'!$H$6:$H$29,MATCH(C13,'Candidate Articles'!$A$6:$A$29,0))="ACCEPTED",I13&gt;='Assumptions'!$B$39,J13&gt;='Assumptions'!$B$39,K13&lt;='Assumptions'!$B$40,L13&lt;='Assumptions'!$B$41,M13&lt;='Assumptions'!$B$42,N13&gt;='Assumptions'!$B$38,O13&gt;='Assumptions'!$B$38,P13&lt;=0.0001,Q13="ACCEPTED"),"PASS","VALID-ADVERSE"))</x:f>
        <x:v>OPEN</x:v>
      </x:c>
    </x:row>
    <x:row r="14">
      <x:c r="A14" s="10" t="str">
        <x:v>CT-007</x:v>
      </x:c>
      <x:c r="B14" s="10" t="str">
        <x:v>AR-I</x:v>
      </x:c>
      <x:c r="C14" s="10" t="str">
        <x:v>AR-I-A01</x:v>
      </x:c>
      <x:c r="D14" s="10" t="str">
        <x:v>BL-A</x:v>
      </x:c>
      <x:c r="E14" s="10" t="str">
        <x:v>C-1</x:v>
      </x:c>
      <x:c r="F14" s="10" t="str">
        <x:v>AT-7 decoy/carryover</x:v>
      </x:c>
      <x:c r="G14" s="10" t="n">
        <x:v>0.24</x:v>
      </x:c>
      <x:c r="H14" s="10" t="n">
        <x:v>5</x:v>
      </x:c>
      <x:c r="I14" s="12"/>
      <x:c r="J14" s="12"/>
      <x:c r="K14" s="12"/>
      <x:c r="L14" s="12"/>
      <x:c r="M14" s="12"/>
      <x:c r="N14" s="12"/>
      <x:c r="O14" s="12"/>
      <x:c r="P14" s="12"/>
      <x:c r="Q14" s="12"/>
      <x:c r="R14" s="10" t="str">
        <x:f>IF(OR(COUNT(I14:P14)&lt;8,Q14=""),"OPEN",IF(AND(INDEX('Candidate Articles'!$H$6:$H$29,MATCH(C14,'Candidate Articles'!$A$6:$A$29,0))="ACCEPTED",I14&gt;='Assumptions'!$B$39,J14&gt;='Assumptions'!$B$39,K14&lt;='Assumptions'!$B$40,L14&lt;='Assumptions'!$B$41,M14&lt;='Assumptions'!$B$42,N14&gt;='Assumptions'!$B$38,O14&gt;='Assumptions'!$B$38,P14&lt;=0.0001,Q14="ACCEPTED"),"PASS","VALID-ADVERSE"))</x:f>
        <x:v>OPEN</x:v>
      </x:c>
    </x:row>
    <x:row r="15">
      <x:c r="A15" s="10" t="str">
        <x:v>CT-008</x:v>
      </x:c>
      <x:c r="B15" s="10" t="str">
        <x:v>AR-I</x:v>
      </x:c>
      <x:c r="C15" s="10" t="str">
        <x:v>AR-I-A01</x:v>
      </x:c>
      <x:c r="D15" s="10" t="str">
        <x:v>BL-A</x:v>
      </x:c>
      <x:c r="E15" s="10" t="str">
        <x:v>C-1</x:v>
      </x:c>
      <x:c r="F15" s="10" t="str">
        <x:v>AT-8 reader/time denied</x:v>
      </x:c>
      <x:c r="G15" s="10" t="n">
        <x:v>0.24</x:v>
      </x:c>
      <x:c r="H15" s="10" t="n">
        <x:v>5</x:v>
      </x:c>
      <x:c r="I15" s="12"/>
      <x:c r="J15" s="12"/>
      <x:c r="K15" s="12"/>
      <x:c r="L15" s="12"/>
      <x:c r="M15" s="12"/>
      <x:c r="N15" s="12"/>
      <x:c r="O15" s="12"/>
      <x:c r="P15" s="12"/>
      <x:c r="Q15" s="12"/>
      <x:c r="R15" s="10" t="str">
        <x:f>IF(OR(COUNT(I15:P15)&lt;8,Q15=""),"OPEN",IF(AND(INDEX('Candidate Articles'!$H$6:$H$29,MATCH(C15,'Candidate Articles'!$A$6:$A$29,0))="ACCEPTED",I15&gt;='Assumptions'!$B$39,J15&gt;='Assumptions'!$B$39,K15&lt;='Assumptions'!$B$40,L15&lt;='Assumptions'!$B$41,M15&lt;='Assumptions'!$B$42,N15&gt;='Assumptions'!$B$38,O15&gt;='Assumptions'!$B$38,P15&lt;=0.0001,Q15="ACCEPTED"),"PASS","VALID-ADVERSE"))</x:f>
        <x:v>OPEN</x:v>
      </x:c>
    </x:row>
    <x:row r="16">
      <x:c r="A16" s="10" t="str">
        <x:v>CT-009</x:v>
      </x:c>
      <x:c r="B16" s="10" t="str">
        <x:v>AR-I</x:v>
      </x:c>
      <x:c r="C16" s="10" t="str">
        <x:v>AR-I-A02</x:v>
      </x:c>
      <x:c r="D16" s="10" t="str">
        <x:v>BL-B</x:v>
      </x:c>
      <x:c r="E16" s="10" t="str">
        <x:v>C-1</x:v>
      </x:c>
      <x:c r="F16" s="10" t="str">
        <x:v>AT-1 blank/history</x:v>
      </x:c>
      <x:c r="G16" s="10" t="n">
        <x:v>0.24</x:v>
      </x:c>
      <x:c r="H16" s="10" t="n">
        <x:v>5</x:v>
      </x:c>
      <x:c r="I16" s="12"/>
      <x:c r="J16" s="12"/>
      <x:c r="K16" s="12"/>
      <x:c r="L16" s="12"/>
      <x:c r="M16" s="12"/>
      <x:c r="N16" s="12"/>
      <x:c r="O16" s="12"/>
      <x:c r="P16" s="12"/>
      <x:c r="Q16" s="12"/>
      <x:c r="R16" s="10" t="str">
        <x:f>IF(OR(COUNT(I16:P16)&lt;8,Q16=""),"OPEN",IF(AND(INDEX('Candidate Articles'!$H$6:$H$29,MATCH(C16,'Candidate Articles'!$A$6:$A$29,0))="ACCEPTED",I16&gt;='Assumptions'!$B$39,J16&gt;='Assumptions'!$B$39,K16&lt;='Assumptions'!$B$40,L16&lt;='Assumptions'!$B$41,M16&lt;='Assumptions'!$B$42,N16&gt;='Assumptions'!$B$38,O16&gt;='Assumptions'!$B$38,P16&lt;=0.0001,Q16="ACCEPTED"),"PASS","VALID-ADVERSE"))</x:f>
        <x:v>OPEN</x:v>
      </x:c>
    </x:row>
    <x:row r="17">
      <x:c r="A17" s="10" t="str">
        <x:v>CT-010</x:v>
      </x:c>
      <x:c r="B17" s="10" t="str">
        <x:v>AR-I</x:v>
      </x:c>
      <x:c r="C17" s="10" t="str">
        <x:v>AR-I-A02</x:v>
      </x:c>
      <x:c r="D17" s="10" t="str">
        <x:v>BL-B</x:v>
      </x:c>
      <x:c r="E17" s="10" t="str">
        <x:v>C-1</x:v>
      </x:c>
      <x:c r="F17" s="10" t="str">
        <x:v>AT-2 simulant only</x:v>
      </x:c>
      <x:c r="G17" s="10" t="n">
        <x:v>0.24</x:v>
      </x:c>
      <x:c r="H17" s="10" t="n">
        <x:v>5</x:v>
      </x:c>
      <x:c r="I17" s="12"/>
      <x:c r="J17" s="12"/>
      <x:c r="K17" s="12"/>
      <x:c r="L17" s="12"/>
      <x:c r="M17" s="12"/>
      <x:c r="N17" s="12"/>
      <x:c r="O17" s="12"/>
      <x:c r="P17" s="12"/>
      <x:c r="Q17" s="12"/>
      <x:c r="R17" s="10" t="str">
        <x:f>IF(OR(COUNT(I17:P17)&lt;8,Q17=""),"OPEN",IF(AND(INDEX('Candidate Articles'!$H$6:$H$29,MATCH(C17,'Candidate Articles'!$A$6:$A$29,0))="ACCEPTED",I17&gt;='Assumptions'!$B$39,J17&gt;='Assumptions'!$B$39,K17&lt;='Assumptions'!$B$40,L17&lt;='Assumptions'!$B$41,M17&lt;='Assumptions'!$B$42,N17&gt;='Assumptions'!$B$38,O17&gt;='Assumptions'!$B$38,P17&lt;=0.0001,Q17="ACCEPTED"),"PASS","VALID-ADVERSE"))</x:f>
        <x:v>OPEN</x:v>
      </x:c>
    </x:row>
    <x:row r="18">
      <x:c r="A18" s="10" t="str">
        <x:v>CT-011</x:v>
      </x:c>
      <x:c r="B18" s="10" t="str">
        <x:v>AR-I</x:v>
      </x:c>
      <x:c r="C18" s="10" t="str">
        <x:v>AR-I-A02</x:v>
      </x:c>
      <x:c r="D18" s="10" t="str">
        <x:v>BL-B</x:v>
      </x:c>
      <x:c r="E18" s="10" t="str">
        <x:v>C-1</x:v>
      </x:c>
      <x:c r="F18" s="10" t="str">
        <x:v>AT-3 water only</x:v>
      </x:c>
      <x:c r="G18" s="10" t="n">
        <x:v>0.24</x:v>
      </x:c>
      <x:c r="H18" s="10" t="n">
        <x:v>5</x:v>
      </x:c>
      <x:c r="I18" s="12"/>
      <x:c r="J18" s="12"/>
      <x:c r="K18" s="12"/>
      <x:c r="L18" s="12"/>
      <x:c r="M18" s="12"/>
      <x:c r="N18" s="12"/>
      <x:c r="O18" s="12"/>
      <x:c r="P18" s="12"/>
      <x:c r="Q18" s="12"/>
      <x:c r="R18" s="10" t="str">
        <x:f>IF(OR(COUNT(I18:P18)&lt;8,Q18=""),"OPEN",IF(AND(INDEX('Candidate Articles'!$H$6:$H$29,MATCH(C18,'Candidate Articles'!$A$6:$A$29,0))="ACCEPTED",I18&gt;='Assumptions'!$B$39,J18&gt;='Assumptions'!$B$39,K18&lt;='Assumptions'!$B$40,L18&lt;='Assumptions'!$B$41,M18&lt;='Assumptions'!$B$42,N18&gt;='Assumptions'!$B$38,O18&gt;='Assumptions'!$B$38,P18&lt;=0.0001,Q18="ACCEPTED"),"PASS","VALID-ADVERSE"))</x:f>
        <x:v>OPEN</x:v>
      </x:c>
    </x:row>
    <x:row r="19">
      <x:c r="A19" s="10" t="str">
        <x:v>CT-012</x:v>
      </x:c>
      <x:c r="B19" s="10" t="str">
        <x:v>AR-I</x:v>
      </x:c>
      <x:c r="C19" s="10" t="str">
        <x:v>AR-I-A02</x:v>
      </x:c>
      <x:c r="D19" s="10" t="str">
        <x:v>BL-B</x:v>
      </x:c>
      <x:c r="E19" s="10" t="str">
        <x:v>C-1</x:v>
      </x:c>
      <x:c r="F19" s="10" t="str">
        <x:v>AT-4 nominal crossover</x:v>
      </x:c>
      <x:c r="G19" s="10" t="n">
        <x:v>0.24</x:v>
      </x:c>
      <x:c r="H19" s="10" t="n">
        <x:v>5</x:v>
      </x:c>
      <x:c r="I19" s="12"/>
      <x:c r="J19" s="12"/>
      <x:c r="K19" s="12"/>
      <x:c r="L19" s="12"/>
      <x:c r="M19" s="12"/>
      <x:c r="N19" s="12"/>
      <x:c r="O19" s="12"/>
      <x:c r="P19" s="12"/>
      <x:c r="Q19" s="12"/>
      <x:c r="R19" s="10" t="str">
        <x:f>IF(OR(COUNT(I19:P19)&lt;8,Q19=""),"OPEN",IF(AND(INDEX('Candidate Articles'!$H$6:$H$29,MATCH(C19,'Candidate Articles'!$A$6:$A$29,0))="ACCEPTED",I19&gt;='Assumptions'!$B$39,J19&gt;='Assumptions'!$B$39,K19&lt;='Assumptions'!$B$40,L19&lt;='Assumptions'!$B$41,M19&lt;='Assumptions'!$B$42,N19&gt;='Assumptions'!$B$38,O19&gt;='Assumptions'!$B$38,P19&lt;=0.0001,Q19="ACCEPTED"),"PASS","VALID-ADVERSE"))</x:f>
        <x:v>OPEN</x:v>
      </x:c>
    </x:row>
    <x:row r="20">
      <x:c r="A20" s="10" t="str">
        <x:v>CT-013</x:v>
      </x:c>
      <x:c r="B20" s="10" t="str">
        <x:v>AR-I</x:v>
      </x:c>
      <x:c r="C20" s="10" t="str">
        <x:v>AR-I-A02</x:v>
      </x:c>
      <x:c r="D20" s="10" t="str">
        <x:v>BL-B</x:v>
      </x:c>
      <x:c r="E20" s="10" t="str">
        <x:v>C-1</x:v>
      </x:c>
      <x:c r="F20" s="10" t="str">
        <x:v>AT-5 emulsion/shear</x:v>
      </x:c>
      <x:c r="G20" s="10" t="n">
        <x:v>0.24</x:v>
      </x:c>
      <x:c r="H20" s="10" t="n">
        <x:v>5</x:v>
      </x:c>
      <x:c r="I20" s="12"/>
      <x:c r="J20" s="12"/>
      <x:c r="K20" s="12"/>
      <x:c r="L20" s="12"/>
      <x:c r="M20" s="12"/>
      <x:c r="N20" s="12"/>
      <x:c r="O20" s="12"/>
      <x:c r="P20" s="12"/>
      <x:c r="Q20" s="12"/>
      <x:c r="R20" s="10" t="str">
        <x:f>IF(OR(COUNT(I20:P20)&lt;8,Q20=""),"OPEN",IF(AND(INDEX('Candidate Articles'!$H$6:$H$29,MATCH(C20,'Candidate Articles'!$A$6:$A$29,0))="ACCEPTED",I20&gt;='Assumptions'!$B$39,J20&gt;='Assumptions'!$B$39,K20&lt;='Assumptions'!$B$40,L20&lt;='Assumptions'!$B$41,M20&lt;='Assumptions'!$B$42,N20&gt;='Assumptions'!$B$38,O20&gt;='Assumptions'!$B$38,P20&lt;=0.0001,Q20="ACCEPTED"),"PASS","VALID-ADVERSE"))</x:f>
        <x:v>OPEN</x:v>
      </x:c>
    </x:row>
    <x:row r="21">
      <x:c r="A21" s="10" t="str">
        <x:v>CT-014</x:v>
      </x:c>
      <x:c r="B21" s="10" t="str">
        <x:v>AR-I</x:v>
      </x:c>
      <x:c r="C21" s="10" t="str">
        <x:v>AR-I-A02</x:v>
      </x:c>
      <x:c r="D21" s="10" t="str">
        <x:v>BL-B</x:v>
      </x:c>
      <x:c r="E21" s="10" t="str">
        <x:v>C-1</x:v>
      </x:c>
      <x:c r="F21" s="10" t="str">
        <x:v>AT-6 film/delayed release</x:v>
      </x:c>
      <x:c r="G21" s="10" t="n">
        <x:v>0.24</x:v>
      </x:c>
      <x:c r="H21" s="10" t="n">
        <x:v>5</x:v>
      </x:c>
      <x:c r="I21" s="12"/>
      <x:c r="J21" s="12"/>
      <x:c r="K21" s="12"/>
      <x:c r="L21" s="12"/>
      <x:c r="M21" s="12"/>
      <x:c r="N21" s="12"/>
      <x:c r="O21" s="12"/>
      <x:c r="P21" s="12"/>
      <x:c r="Q21" s="12"/>
      <x:c r="R21" s="10" t="str">
        <x:f>IF(OR(COUNT(I21:P21)&lt;8,Q21=""),"OPEN",IF(AND(INDEX('Candidate Articles'!$H$6:$H$29,MATCH(C21,'Candidate Articles'!$A$6:$A$29,0))="ACCEPTED",I21&gt;='Assumptions'!$B$39,J21&gt;='Assumptions'!$B$39,K21&lt;='Assumptions'!$B$40,L21&lt;='Assumptions'!$B$41,M21&lt;='Assumptions'!$B$42,N21&gt;='Assumptions'!$B$38,O21&gt;='Assumptions'!$B$38,P21&lt;=0.0001,Q21="ACCEPTED"),"PASS","VALID-ADVERSE"))</x:f>
        <x:v>OPEN</x:v>
      </x:c>
    </x:row>
    <x:row r="22">
      <x:c r="A22" s="10" t="str">
        <x:v>CT-015</x:v>
      </x:c>
      <x:c r="B22" s="10" t="str">
        <x:v>AR-I</x:v>
      </x:c>
      <x:c r="C22" s="10" t="str">
        <x:v>AR-I-A02</x:v>
      </x:c>
      <x:c r="D22" s="10" t="str">
        <x:v>BL-B</x:v>
      </x:c>
      <x:c r="E22" s="10" t="str">
        <x:v>C-1</x:v>
      </x:c>
      <x:c r="F22" s="10" t="str">
        <x:v>AT-7 decoy/carryover</x:v>
      </x:c>
      <x:c r="G22" s="10" t="n">
        <x:v>0.24</x:v>
      </x:c>
      <x:c r="H22" s="10" t="n">
        <x:v>5</x:v>
      </x:c>
      <x:c r="I22" s="12"/>
      <x:c r="J22" s="12"/>
      <x:c r="K22" s="12"/>
      <x:c r="L22" s="12"/>
      <x:c r="M22" s="12"/>
      <x:c r="N22" s="12"/>
      <x:c r="O22" s="12"/>
      <x:c r="P22" s="12"/>
      <x:c r="Q22" s="12"/>
      <x:c r="R22" s="10" t="str">
        <x:f>IF(OR(COUNT(I22:P22)&lt;8,Q22=""),"OPEN",IF(AND(INDEX('Candidate Articles'!$H$6:$H$29,MATCH(C22,'Candidate Articles'!$A$6:$A$29,0))="ACCEPTED",I22&gt;='Assumptions'!$B$39,J22&gt;='Assumptions'!$B$39,K22&lt;='Assumptions'!$B$40,L22&lt;='Assumptions'!$B$41,M22&lt;='Assumptions'!$B$42,N22&gt;='Assumptions'!$B$38,O22&gt;='Assumptions'!$B$38,P22&lt;=0.0001,Q22="ACCEPTED"),"PASS","VALID-ADVERSE"))</x:f>
        <x:v>OPEN</x:v>
      </x:c>
    </x:row>
    <x:row r="23">
      <x:c r="A23" s="10" t="str">
        <x:v>CT-016</x:v>
      </x:c>
      <x:c r="B23" s="10" t="str">
        <x:v>AR-I</x:v>
      </x:c>
      <x:c r="C23" s="10" t="str">
        <x:v>AR-I-A02</x:v>
      </x:c>
      <x:c r="D23" s="10" t="str">
        <x:v>BL-B</x:v>
      </x:c>
      <x:c r="E23" s="10" t="str">
        <x:v>C-1</x:v>
      </x:c>
      <x:c r="F23" s="10" t="str">
        <x:v>AT-8 reader/time denied</x:v>
      </x:c>
      <x:c r="G23" s="10" t="n">
        <x:v>0.24</x:v>
      </x:c>
      <x:c r="H23" s="10" t="n">
        <x:v>5</x:v>
      </x:c>
      <x:c r="I23" s="12"/>
      <x:c r="J23" s="12"/>
      <x:c r="K23" s="12"/>
      <x:c r="L23" s="12"/>
      <x:c r="M23" s="12"/>
      <x:c r="N23" s="12"/>
      <x:c r="O23" s="12"/>
      <x:c r="P23" s="12"/>
      <x:c r="Q23" s="12"/>
      <x:c r="R23" s="10" t="str">
        <x:f>IF(OR(COUNT(I23:P23)&lt;8,Q23=""),"OPEN",IF(AND(INDEX('Candidate Articles'!$H$6:$H$29,MATCH(C23,'Candidate Articles'!$A$6:$A$29,0))="ACCEPTED",I23&gt;='Assumptions'!$B$39,J23&gt;='Assumptions'!$B$39,K23&lt;='Assumptions'!$B$40,L23&lt;='Assumptions'!$B$41,M23&lt;='Assumptions'!$B$42,N23&gt;='Assumptions'!$B$38,O23&gt;='Assumptions'!$B$38,P23&lt;=0.0001,Q23="ACCEPTED"),"PASS","VALID-ADVERSE"))</x:f>
        <x:v>OPEN</x:v>
      </x:c>
    </x:row>
    <x:row r="24">
      <x:c r="A24" s="10" t="str">
        <x:v>CT-017</x:v>
      </x:c>
      <x:c r="B24" s="10" t="str">
        <x:v>AR-I</x:v>
      </x:c>
      <x:c r="C24" s="10" t="str">
        <x:v>AR-I-A03</x:v>
      </x:c>
      <x:c r="D24" s="10" t="str">
        <x:v>BL-A</x:v>
      </x:c>
      <x:c r="E24" s="10" t="str">
        <x:v>C-2</x:v>
      </x:c>
      <x:c r="F24" s="10" t="str">
        <x:v>AT-1 blank/history</x:v>
      </x:c>
      <x:c r="G24" s="10" t="n">
        <x:v>0.24</x:v>
      </x:c>
      <x:c r="H24" s="10" t="n">
        <x:v>5</x:v>
      </x:c>
      <x:c r="I24" s="12"/>
      <x:c r="J24" s="12"/>
      <x:c r="K24" s="12"/>
      <x:c r="L24" s="12"/>
      <x:c r="M24" s="12"/>
      <x:c r="N24" s="12"/>
      <x:c r="O24" s="12"/>
      <x:c r="P24" s="12"/>
      <x:c r="Q24" s="12"/>
      <x:c r="R24" s="10" t="str">
        <x:f>IF(OR(COUNT(I24:P24)&lt;8,Q24=""),"OPEN",IF(AND(INDEX('Candidate Articles'!$H$6:$H$29,MATCH(C24,'Candidate Articles'!$A$6:$A$29,0))="ACCEPTED",I24&gt;='Assumptions'!$B$39,J24&gt;='Assumptions'!$B$39,K24&lt;='Assumptions'!$B$40,L24&lt;='Assumptions'!$B$41,M24&lt;='Assumptions'!$B$42,N24&gt;='Assumptions'!$B$38,O24&gt;='Assumptions'!$B$38,P24&lt;=0.0001,Q24="ACCEPTED"),"PASS","VALID-ADVERSE"))</x:f>
        <x:v>OPEN</x:v>
      </x:c>
    </x:row>
    <x:row r="25">
      <x:c r="A25" s="10" t="str">
        <x:v>CT-018</x:v>
      </x:c>
      <x:c r="B25" s="10" t="str">
        <x:v>AR-I</x:v>
      </x:c>
      <x:c r="C25" s="10" t="str">
        <x:v>AR-I-A03</x:v>
      </x:c>
      <x:c r="D25" s="10" t="str">
        <x:v>BL-A</x:v>
      </x:c>
      <x:c r="E25" s="10" t="str">
        <x:v>C-2</x:v>
      </x:c>
      <x:c r="F25" s="10" t="str">
        <x:v>AT-2 simulant only</x:v>
      </x:c>
      <x:c r="G25" s="10" t="n">
        <x:v>0.24</x:v>
      </x:c>
      <x:c r="H25" s="10" t="n">
        <x:v>5</x:v>
      </x:c>
      <x:c r="I25" s="12"/>
      <x:c r="J25" s="12"/>
      <x:c r="K25" s="12"/>
      <x:c r="L25" s="12"/>
      <x:c r="M25" s="12"/>
      <x:c r="N25" s="12"/>
      <x:c r="O25" s="12"/>
      <x:c r="P25" s="12"/>
      <x:c r="Q25" s="12"/>
      <x:c r="R25" s="10" t="str">
        <x:f>IF(OR(COUNT(I25:P25)&lt;8,Q25=""),"OPEN",IF(AND(INDEX('Candidate Articles'!$H$6:$H$29,MATCH(C25,'Candidate Articles'!$A$6:$A$29,0))="ACCEPTED",I25&gt;='Assumptions'!$B$39,J25&gt;='Assumptions'!$B$39,K25&lt;='Assumptions'!$B$40,L25&lt;='Assumptions'!$B$41,M25&lt;='Assumptions'!$B$42,N25&gt;='Assumptions'!$B$38,O25&gt;='Assumptions'!$B$38,P25&lt;=0.0001,Q25="ACCEPTED"),"PASS","VALID-ADVERSE"))</x:f>
        <x:v>OPEN</x:v>
      </x:c>
    </x:row>
    <x:row r="26">
      <x:c r="A26" s="10" t="str">
        <x:v>CT-019</x:v>
      </x:c>
      <x:c r="B26" s="10" t="str">
        <x:v>AR-I</x:v>
      </x:c>
      <x:c r="C26" s="10" t="str">
        <x:v>AR-I-A03</x:v>
      </x:c>
      <x:c r="D26" s="10" t="str">
        <x:v>BL-A</x:v>
      </x:c>
      <x:c r="E26" s="10" t="str">
        <x:v>C-2</x:v>
      </x:c>
      <x:c r="F26" s="10" t="str">
        <x:v>AT-3 water only</x:v>
      </x:c>
      <x:c r="G26" s="10" t="n">
        <x:v>0.24</x:v>
      </x:c>
      <x:c r="H26" s="10" t="n">
        <x:v>5</x:v>
      </x:c>
      <x:c r="I26" s="12"/>
      <x:c r="J26" s="12"/>
      <x:c r="K26" s="12"/>
      <x:c r="L26" s="12"/>
      <x:c r="M26" s="12"/>
      <x:c r="N26" s="12"/>
      <x:c r="O26" s="12"/>
      <x:c r="P26" s="12"/>
      <x:c r="Q26" s="12"/>
      <x:c r="R26" s="10" t="str">
        <x:f>IF(OR(COUNT(I26:P26)&lt;8,Q26=""),"OPEN",IF(AND(INDEX('Candidate Articles'!$H$6:$H$29,MATCH(C26,'Candidate Articles'!$A$6:$A$29,0))="ACCEPTED",I26&gt;='Assumptions'!$B$39,J26&gt;='Assumptions'!$B$39,K26&lt;='Assumptions'!$B$40,L26&lt;='Assumptions'!$B$41,M26&lt;='Assumptions'!$B$42,N26&gt;='Assumptions'!$B$38,O26&gt;='Assumptions'!$B$38,P26&lt;=0.0001,Q26="ACCEPTED"),"PASS","VALID-ADVERSE"))</x:f>
        <x:v>OPEN</x:v>
      </x:c>
    </x:row>
    <x:row r="27">
      <x:c r="A27" s="10" t="str">
        <x:v>CT-020</x:v>
      </x:c>
      <x:c r="B27" s="10" t="str">
        <x:v>AR-I</x:v>
      </x:c>
      <x:c r="C27" s="10" t="str">
        <x:v>AR-I-A03</x:v>
      </x:c>
      <x:c r="D27" s="10" t="str">
        <x:v>BL-A</x:v>
      </x:c>
      <x:c r="E27" s="10" t="str">
        <x:v>C-2</x:v>
      </x:c>
      <x:c r="F27" s="10" t="str">
        <x:v>AT-4 nominal crossover</x:v>
      </x:c>
      <x:c r="G27" s="10" t="n">
        <x:v>0.24</x:v>
      </x:c>
      <x:c r="H27" s="10" t="n">
        <x:v>5</x:v>
      </x:c>
      <x:c r="I27" s="12"/>
      <x:c r="J27" s="12"/>
      <x:c r="K27" s="12"/>
      <x:c r="L27" s="12"/>
      <x:c r="M27" s="12"/>
      <x:c r="N27" s="12"/>
      <x:c r="O27" s="12"/>
      <x:c r="P27" s="12"/>
      <x:c r="Q27" s="12"/>
      <x:c r="R27" s="10" t="str">
        <x:f>IF(OR(COUNT(I27:P27)&lt;8,Q27=""),"OPEN",IF(AND(INDEX('Candidate Articles'!$H$6:$H$29,MATCH(C27,'Candidate Articles'!$A$6:$A$29,0))="ACCEPTED",I27&gt;='Assumptions'!$B$39,J27&gt;='Assumptions'!$B$39,K27&lt;='Assumptions'!$B$40,L27&lt;='Assumptions'!$B$41,M27&lt;='Assumptions'!$B$42,N27&gt;='Assumptions'!$B$38,O27&gt;='Assumptions'!$B$38,P27&lt;=0.0001,Q27="ACCEPTED"),"PASS","VALID-ADVERSE"))</x:f>
        <x:v>OPEN</x:v>
      </x:c>
    </x:row>
    <x:row r="28">
      <x:c r="A28" s="10" t="str">
        <x:v>CT-021</x:v>
      </x:c>
      <x:c r="B28" s="10" t="str">
        <x:v>AR-I</x:v>
      </x:c>
      <x:c r="C28" s="10" t="str">
        <x:v>AR-I-A03</x:v>
      </x:c>
      <x:c r="D28" s="10" t="str">
        <x:v>BL-A</x:v>
      </x:c>
      <x:c r="E28" s="10" t="str">
        <x:v>C-2</x:v>
      </x:c>
      <x:c r="F28" s="10" t="str">
        <x:v>AT-5 emulsion/shear</x:v>
      </x:c>
      <x:c r="G28" s="10" t="n">
        <x:v>0.24</x:v>
      </x:c>
      <x:c r="H28" s="10" t="n">
        <x:v>5</x:v>
      </x:c>
      <x:c r="I28" s="12"/>
      <x:c r="J28" s="12"/>
      <x:c r="K28" s="12"/>
      <x:c r="L28" s="12"/>
      <x:c r="M28" s="12"/>
      <x:c r="N28" s="12"/>
      <x:c r="O28" s="12"/>
      <x:c r="P28" s="12"/>
      <x:c r="Q28" s="12"/>
      <x:c r="R28" s="10" t="str">
        <x:f>IF(OR(COUNT(I28:P28)&lt;8,Q28=""),"OPEN",IF(AND(INDEX('Candidate Articles'!$H$6:$H$29,MATCH(C28,'Candidate Articles'!$A$6:$A$29,0))="ACCEPTED",I28&gt;='Assumptions'!$B$39,J28&gt;='Assumptions'!$B$39,K28&lt;='Assumptions'!$B$40,L28&lt;='Assumptions'!$B$41,M28&lt;='Assumptions'!$B$42,N28&gt;='Assumptions'!$B$38,O28&gt;='Assumptions'!$B$38,P28&lt;=0.0001,Q28="ACCEPTED"),"PASS","VALID-ADVERSE"))</x:f>
        <x:v>OPEN</x:v>
      </x:c>
    </x:row>
    <x:row r="29">
      <x:c r="A29" s="10" t="str">
        <x:v>CT-022</x:v>
      </x:c>
      <x:c r="B29" s="10" t="str">
        <x:v>AR-I</x:v>
      </x:c>
      <x:c r="C29" s="10" t="str">
        <x:v>AR-I-A03</x:v>
      </x:c>
      <x:c r="D29" s="10" t="str">
        <x:v>BL-A</x:v>
      </x:c>
      <x:c r="E29" s="10" t="str">
        <x:v>C-2</x:v>
      </x:c>
      <x:c r="F29" s="10" t="str">
        <x:v>AT-6 film/delayed release</x:v>
      </x:c>
      <x:c r="G29" s="10" t="n">
        <x:v>0.24</x:v>
      </x:c>
      <x:c r="H29" s="10" t="n">
        <x:v>5</x:v>
      </x:c>
      <x:c r="I29" s="12"/>
      <x:c r="J29" s="12"/>
      <x:c r="K29" s="12"/>
      <x:c r="L29" s="12"/>
      <x:c r="M29" s="12"/>
      <x:c r="N29" s="12"/>
      <x:c r="O29" s="12"/>
      <x:c r="P29" s="12"/>
      <x:c r="Q29" s="12"/>
      <x:c r="R29" s="10" t="str">
        <x:f>IF(OR(COUNT(I29:P29)&lt;8,Q29=""),"OPEN",IF(AND(INDEX('Candidate Articles'!$H$6:$H$29,MATCH(C29,'Candidate Articles'!$A$6:$A$29,0))="ACCEPTED",I29&gt;='Assumptions'!$B$39,J29&gt;='Assumptions'!$B$39,K29&lt;='Assumptions'!$B$40,L29&lt;='Assumptions'!$B$41,M29&lt;='Assumptions'!$B$42,N29&gt;='Assumptions'!$B$38,O29&gt;='Assumptions'!$B$38,P29&lt;=0.0001,Q29="ACCEPTED"),"PASS","VALID-ADVERSE"))</x:f>
        <x:v>OPEN</x:v>
      </x:c>
    </x:row>
    <x:row r="30">
      <x:c r="A30" s="10" t="str">
        <x:v>CT-023</x:v>
      </x:c>
      <x:c r="B30" s="10" t="str">
        <x:v>AR-I</x:v>
      </x:c>
      <x:c r="C30" s="10" t="str">
        <x:v>AR-I-A03</x:v>
      </x:c>
      <x:c r="D30" s="10" t="str">
        <x:v>BL-A</x:v>
      </x:c>
      <x:c r="E30" s="10" t="str">
        <x:v>C-2</x:v>
      </x:c>
      <x:c r="F30" s="10" t="str">
        <x:v>AT-7 decoy/carryover</x:v>
      </x:c>
      <x:c r="G30" s="10" t="n">
        <x:v>0.24</x:v>
      </x:c>
      <x:c r="H30" s="10" t="n">
        <x:v>5</x:v>
      </x:c>
      <x:c r="I30" s="12"/>
      <x:c r="J30" s="12"/>
      <x:c r="K30" s="12"/>
      <x:c r="L30" s="12"/>
      <x:c r="M30" s="12"/>
      <x:c r="N30" s="12"/>
      <x:c r="O30" s="12"/>
      <x:c r="P30" s="12"/>
      <x:c r="Q30" s="12"/>
      <x:c r="R30" s="10" t="str">
        <x:f>IF(OR(COUNT(I30:P30)&lt;8,Q30=""),"OPEN",IF(AND(INDEX('Candidate Articles'!$H$6:$H$29,MATCH(C30,'Candidate Articles'!$A$6:$A$29,0))="ACCEPTED",I30&gt;='Assumptions'!$B$39,J30&gt;='Assumptions'!$B$39,K30&lt;='Assumptions'!$B$40,L30&lt;='Assumptions'!$B$41,M30&lt;='Assumptions'!$B$42,N30&gt;='Assumptions'!$B$38,O30&gt;='Assumptions'!$B$38,P30&lt;=0.0001,Q30="ACCEPTED"),"PASS","VALID-ADVERSE"))</x:f>
        <x:v>OPEN</x:v>
      </x:c>
    </x:row>
    <x:row r="31">
      <x:c r="A31" s="10" t="str">
        <x:v>CT-024</x:v>
      </x:c>
      <x:c r="B31" s="10" t="str">
        <x:v>AR-I</x:v>
      </x:c>
      <x:c r="C31" s="10" t="str">
        <x:v>AR-I-A03</x:v>
      </x:c>
      <x:c r="D31" s="10" t="str">
        <x:v>BL-A</x:v>
      </x:c>
      <x:c r="E31" s="10" t="str">
        <x:v>C-2</x:v>
      </x:c>
      <x:c r="F31" s="10" t="str">
        <x:v>AT-8 reader/time denied</x:v>
      </x:c>
      <x:c r="G31" s="10" t="n">
        <x:v>0.24</x:v>
      </x:c>
      <x:c r="H31" s="10" t="n">
        <x:v>5</x:v>
      </x:c>
      <x:c r="I31" s="12"/>
      <x:c r="J31" s="12"/>
      <x:c r="K31" s="12"/>
      <x:c r="L31" s="12"/>
      <x:c r="M31" s="12"/>
      <x:c r="N31" s="12"/>
      <x:c r="O31" s="12"/>
      <x:c r="P31" s="12"/>
      <x:c r="Q31" s="12"/>
      <x:c r="R31" s="10" t="str">
        <x:f>IF(OR(COUNT(I31:P31)&lt;8,Q31=""),"OPEN",IF(AND(INDEX('Candidate Articles'!$H$6:$H$29,MATCH(C31,'Candidate Articles'!$A$6:$A$29,0))="ACCEPTED",I31&gt;='Assumptions'!$B$39,J31&gt;='Assumptions'!$B$39,K31&lt;='Assumptions'!$B$40,L31&lt;='Assumptions'!$B$41,M31&lt;='Assumptions'!$B$42,N31&gt;='Assumptions'!$B$38,O31&gt;='Assumptions'!$B$38,P31&lt;=0.0001,Q31="ACCEPTED"),"PASS","VALID-ADVERSE"))</x:f>
        <x:v>OPEN</x:v>
      </x:c>
    </x:row>
    <x:row r="32">
      <x:c r="A32" s="10" t="str">
        <x:v>CT-025</x:v>
      </x:c>
      <x:c r="B32" s="10" t="str">
        <x:v>AR-I</x:v>
      </x:c>
      <x:c r="C32" s="10" t="str">
        <x:v>AR-I-A04</x:v>
      </x:c>
      <x:c r="D32" s="10" t="str">
        <x:v>BL-B</x:v>
      </x:c>
      <x:c r="E32" s="10" t="str">
        <x:v>C-2</x:v>
      </x:c>
      <x:c r="F32" s="10" t="str">
        <x:v>AT-1 blank/history</x:v>
      </x:c>
      <x:c r="G32" s="10" t="n">
        <x:v>0.24</x:v>
      </x:c>
      <x:c r="H32" s="10" t="n">
        <x:v>5</x:v>
      </x:c>
      <x:c r="I32" s="12"/>
      <x:c r="J32" s="12"/>
      <x:c r="K32" s="12"/>
      <x:c r="L32" s="12"/>
      <x:c r="M32" s="12"/>
      <x:c r="N32" s="12"/>
      <x:c r="O32" s="12"/>
      <x:c r="P32" s="12"/>
      <x:c r="Q32" s="12"/>
      <x:c r="R32" s="10" t="str">
        <x:f>IF(OR(COUNT(I32:P32)&lt;8,Q32=""),"OPEN",IF(AND(INDEX('Candidate Articles'!$H$6:$H$29,MATCH(C32,'Candidate Articles'!$A$6:$A$29,0))="ACCEPTED",I32&gt;='Assumptions'!$B$39,J32&gt;='Assumptions'!$B$39,K32&lt;='Assumptions'!$B$40,L32&lt;='Assumptions'!$B$41,M32&lt;='Assumptions'!$B$42,N32&gt;='Assumptions'!$B$38,O32&gt;='Assumptions'!$B$38,P32&lt;=0.0001,Q32="ACCEPTED"),"PASS","VALID-ADVERSE"))</x:f>
        <x:v>OPEN</x:v>
      </x:c>
    </x:row>
    <x:row r="33">
      <x:c r="A33" s="10" t="str">
        <x:v>CT-026</x:v>
      </x:c>
      <x:c r="B33" s="10" t="str">
        <x:v>AR-I</x:v>
      </x:c>
      <x:c r="C33" s="10" t="str">
        <x:v>AR-I-A04</x:v>
      </x:c>
      <x:c r="D33" s="10" t="str">
        <x:v>BL-B</x:v>
      </x:c>
      <x:c r="E33" s="10" t="str">
        <x:v>C-2</x:v>
      </x:c>
      <x:c r="F33" s="10" t="str">
        <x:v>AT-2 simulant only</x:v>
      </x:c>
      <x:c r="G33" s="10" t="n">
        <x:v>0.24</x:v>
      </x:c>
      <x:c r="H33" s="10" t="n">
        <x:v>5</x:v>
      </x:c>
      <x:c r="I33" s="12"/>
      <x:c r="J33" s="12"/>
      <x:c r="K33" s="12"/>
      <x:c r="L33" s="12"/>
      <x:c r="M33" s="12"/>
      <x:c r="N33" s="12"/>
      <x:c r="O33" s="12"/>
      <x:c r="P33" s="12"/>
      <x:c r="Q33" s="12"/>
      <x:c r="R33" s="10" t="str">
        <x:f>IF(OR(COUNT(I33:P33)&lt;8,Q33=""),"OPEN",IF(AND(INDEX('Candidate Articles'!$H$6:$H$29,MATCH(C33,'Candidate Articles'!$A$6:$A$29,0))="ACCEPTED",I33&gt;='Assumptions'!$B$39,J33&gt;='Assumptions'!$B$39,K33&lt;='Assumptions'!$B$40,L33&lt;='Assumptions'!$B$41,M33&lt;='Assumptions'!$B$42,N33&gt;='Assumptions'!$B$38,O33&gt;='Assumptions'!$B$38,P33&lt;=0.0001,Q33="ACCEPTED"),"PASS","VALID-ADVERSE"))</x:f>
        <x:v>OPEN</x:v>
      </x:c>
    </x:row>
    <x:row r="34">
      <x:c r="A34" s="10" t="str">
        <x:v>CT-027</x:v>
      </x:c>
      <x:c r="B34" s="10" t="str">
        <x:v>AR-I</x:v>
      </x:c>
      <x:c r="C34" s="10" t="str">
        <x:v>AR-I-A04</x:v>
      </x:c>
      <x:c r="D34" s="10" t="str">
        <x:v>BL-B</x:v>
      </x:c>
      <x:c r="E34" s="10" t="str">
        <x:v>C-2</x:v>
      </x:c>
      <x:c r="F34" s="10" t="str">
        <x:v>AT-3 water only</x:v>
      </x:c>
      <x:c r="G34" s="10" t="n">
        <x:v>0.24</x:v>
      </x:c>
      <x:c r="H34" s="10" t="n">
        <x:v>5</x:v>
      </x:c>
      <x:c r="I34" s="12"/>
      <x:c r="J34" s="12"/>
      <x:c r="K34" s="12"/>
      <x:c r="L34" s="12"/>
      <x:c r="M34" s="12"/>
      <x:c r="N34" s="12"/>
      <x:c r="O34" s="12"/>
      <x:c r="P34" s="12"/>
      <x:c r="Q34" s="12"/>
      <x:c r="R34" s="10" t="str">
        <x:f>IF(OR(COUNT(I34:P34)&lt;8,Q34=""),"OPEN",IF(AND(INDEX('Candidate Articles'!$H$6:$H$29,MATCH(C34,'Candidate Articles'!$A$6:$A$29,0))="ACCEPTED",I34&gt;='Assumptions'!$B$39,J34&gt;='Assumptions'!$B$39,K34&lt;='Assumptions'!$B$40,L34&lt;='Assumptions'!$B$41,M34&lt;='Assumptions'!$B$42,N34&gt;='Assumptions'!$B$38,O34&gt;='Assumptions'!$B$38,P34&lt;=0.0001,Q34="ACCEPTED"),"PASS","VALID-ADVERSE"))</x:f>
        <x:v>OPEN</x:v>
      </x:c>
    </x:row>
    <x:row r="35">
      <x:c r="A35" s="10" t="str">
        <x:v>CT-028</x:v>
      </x:c>
      <x:c r="B35" s="10" t="str">
        <x:v>AR-I</x:v>
      </x:c>
      <x:c r="C35" s="10" t="str">
        <x:v>AR-I-A04</x:v>
      </x:c>
      <x:c r="D35" s="10" t="str">
        <x:v>BL-B</x:v>
      </x:c>
      <x:c r="E35" s="10" t="str">
        <x:v>C-2</x:v>
      </x:c>
      <x:c r="F35" s="10" t="str">
        <x:v>AT-4 nominal crossover</x:v>
      </x:c>
      <x:c r="G35" s="10" t="n">
        <x:v>0.24</x:v>
      </x:c>
      <x:c r="H35" s="10" t="n">
        <x:v>5</x:v>
      </x:c>
      <x:c r="I35" s="12"/>
      <x:c r="J35" s="12"/>
      <x:c r="K35" s="12"/>
      <x:c r="L35" s="12"/>
      <x:c r="M35" s="12"/>
      <x:c r="N35" s="12"/>
      <x:c r="O35" s="12"/>
      <x:c r="P35" s="12"/>
      <x:c r="Q35" s="12"/>
      <x:c r="R35" s="10" t="str">
        <x:f>IF(OR(COUNT(I35:P35)&lt;8,Q35=""),"OPEN",IF(AND(INDEX('Candidate Articles'!$H$6:$H$29,MATCH(C35,'Candidate Articles'!$A$6:$A$29,0))="ACCEPTED",I35&gt;='Assumptions'!$B$39,J35&gt;='Assumptions'!$B$39,K35&lt;='Assumptions'!$B$40,L35&lt;='Assumptions'!$B$41,M35&lt;='Assumptions'!$B$42,N35&gt;='Assumptions'!$B$38,O35&gt;='Assumptions'!$B$38,P35&lt;=0.0001,Q35="ACCEPTED"),"PASS","VALID-ADVERSE"))</x:f>
        <x:v>OPEN</x:v>
      </x:c>
    </x:row>
    <x:row r="36">
      <x:c r="A36" s="10" t="str">
        <x:v>CT-029</x:v>
      </x:c>
      <x:c r="B36" s="10" t="str">
        <x:v>AR-I</x:v>
      </x:c>
      <x:c r="C36" s="10" t="str">
        <x:v>AR-I-A04</x:v>
      </x:c>
      <x:c r="D36" s="10" t="str">
        <x:v>BL-B</x:v>
      </x:c>
      <x:c r="E36" s="10" t="str">
        <x:v>C-2</x:v>
      </x:c>
      <x:c r="F36" s="10" t="str">
        <x:v>AT-5 emulsion/shear</x:v>
      </x:c>
      <x:c r="G36" s="10" t="n">
        <x:v>0.24</x:v>
      </x:c>
      <x:c r="H36" s="10" t="n">
        <x:v>5</x:v>
      </x:c>
      <x:c r="I36" s="12"/>
      <x:c r="J36" s="12"/>
      <x:c r="K36" s="12"/>
      <x:c r="L36" s="12"/>
      <x:c r="M36" s="12"/>
      <x:c r="N36" s="12"/>
      <x:c r="O36" s="12"/>
      <x:c r="P36" s="12"/>
      <x:c r="Q36" s="12"/>
      <x:c r="R36" s="10" t="str">
        <x:f>IF(OR(COUNT(I36:P36)&lt;8,Q36=""),"OPEN",IF(AND(INDEX('Candidate Articles'!$H$6:$H$29,MATCH(C36,'Candidate Articles'!$A$6:$A$29,0))="ACCEPTED",I36&gt;='Assumptions'!$B$39,J36&gt;='Assumptions'!$B$39,K36&lt;='Assumptions'!$B$40,L36&lt;='Assumptions'!$B$41,M36&lt;='Assumptions'!$B$42,N36&gt;='Assumptions'!$B$38,O36&gt;='Assumptions'!$B$38,P36&lt;=0.0001,Q36="ACCEPTED"),"PASS","VALID-ADVERSE"))</x:f>
        <x:v>OPEN</x:v>
      </x:c>
    </x:row>
    <x:row r="37">
      <x:c r="A37" s="10" t="str">
        <x:v>CT-030</x:v>
      </x:c>
      <x:c r="B37" s="10" t="str">
        <x:v>AR-I</x:v>
      </x:c>
      <x:c r="C37" s="10" t="str">
        <x:v>AR-I-A04</x:v>
      </x:c>
      <x:c r="D37" s="10" t="str">
        <x:v>BL-B</x:v>
      </x:c>
      <x:c r="E37" s="10" t="str">
        <x:v>C-2</x:v>
      </x:c>
      <x:c r="F37" s="10" t="str">
        <x:v>AT-6 film/delayed release</x:v>
      </x:c>
      <x:c r="G37" s="10" t="n">
        <x:v>0.24</x:v>
      </x:c>
      <x:c r="H37" s="10" t="n">
        <x:v>5</x:v>
      </x:c>
      <x:c r="I37" s="12"/>
      <x:c r="J37" s="12"/>
      <x:c r="K37" s="12"/>
      <x:c r="L37" s="12"/>
      <x:c r="M37" s="12"/>
      <x:c r="N37" s="12"/>
      <x:c r="O37" s="12"/>
      <x:c r="P37" s="12"/>
      <x:c r="Q37" s="12"/>
      <x:c r="R37" s="10" t="str">
        <x:f>IF(OR(COUNT(I37:P37)&lt;8,Q37=""),"OPEN",IF(AND(INDEX('Candidate Articles'!$H$6:$H$29,MATCH(C37,'Candidate Articles'!$A$6:$A$29,0))="ACCEPTED",I37&gt;='Assumptions'!$B$39,J37&gt;='Assumptions'!$B$39,K37&lt;='Assumptions'!$B$40,L37&lt;='Assumptions'!$B$41,M37&lt;='Assumptions'!$B$42,N37&gt;='Assumptions'!$B$38,O37&gt;='Assumptions'!$B$38,P37&lt;=0.0001,Q37="ACCEPTED"),"PASS","VALID-ADVERSE"))</x:f>
        <x:v>OPEN</x:v>
      </x:c>
    </x:row>
    <x:row r="38">
      <x:c r="A38" s="10" t="str">
        <x:v>CT-031</x:v>
      </x:c>
      <x:c r="B38" s="10" t="str">
        <x:v>AR-I</x:v>
      </x:c>
      <x:c r="C38" s="10" t="str">
        <x:v>AR-I-A04</x:v>
      </x:c>
      <x:c r="D38" s="10" t="str">
        <x:v>BL-B</x:v>
      </x:c>
      <x:c r="E38" s="10" t="str">
        <x:v>C-2</x:v>
      </x:c>
      <x:c r="F38" s="10" t="str">
        <x:v>AT-7 decoy/carryover</x:v>
      </x:c>
      <x:c r="G38" s="10" t="n">
        <x:v>0.24</x:v>
      </x:c>
      <x:c r="H38" s="10" t="n">
        <x:v>5</x:v>
      </x:c>
      <x:c r="I38" s="12"/>
      <x:c r="J38" s="12"/>
      <x:c r="K38" s="12"/>
      <x:c r="L38" s="12"/>
      <x:c r="M38" s="12"/>
      <x:c r="N38" s="12"/>
      <x:c r="O38" s="12"/>
      <x:c r="P38" s="12"/>
      <x:c r="Q38" s="12"/>
      <x:c r="R38" s="10" t="str">
        <x:f>IF(OR(COUNT(I38:P38)&lt;8,Q38=""),"OPEN",IF(AND(INDEX('Candidate Articles'!$H$6:$H$29,MATCH(C38,'Candidate Articles'!$A$6:$A$29,0))="ACCEPTED",I38&gt;='Assumptions'!$B$39,J38&gt;='Assumptions'!$B$39,K38&lt;='Assumptions'!$B$40,L38&lt;='Assumptions'!$B$41,M38&lt;='Assumptions'!$B$42,N38&gt;='Assumptions'!$B$38,O38&gt;='Assumptions'!$B$38,P38&lt;=0.0001,Q38="ACCEPTED"),"PASS","VALID-ADVERSE"))</x:f>
        <x:v>OPEN</x:v>
      </x:c>
    </x:row>
    <x:row r="39">
      <x:c r="A39" s="10" t="str">
        <x:v>CT-032</x:v>
      </x:c>
      <x:c r="B39" s="10" t="str">
        <x:v>AR-I</x:v>
      </x:c>
      <x:c r="C39" s="10" t="str">
        <x:v>AR-I-A04</x:v>
      </x:c>
      <x:c r="D39" s="10" t="str">
        <x:v>BL-B</x:v>
      </x:c>
      <x:c r="E39" s="10" t="str">
        <x:v>C-2</x:v>
      </x:c>
      <x:c r="F39" s="10" t="str">
        <x:v>AT-8 reader/time denied</x:v>
      </x:c>
      <x:c r="G39" s="10" t="n">
        <x:v>0.24</x:v>
      </x:c>
      <x:c r="H39" s="10" t="n">
        <x:v>5</x:v>
      </x:c>
      <x:c r="I39" s="12"/>
      <x:c r="J39" s="12"/>
      <x:c r="K39" s="12"/>
      <x:c r="L39" s="12"/>
      <x:c r="M39" s="12"/>
      <x:c r="N39" s="12"/>
      <x:c r="O39" s="12"/>
      <x:c r="P39" s="12"/>
      <x:c r="Q39" s="12"/>
      <x:c r="R39" s="10" t="str">
        <x:f>IF(OR(COUNT(I39:P39)&lt;8,Q39=""),"OPEN",IF(AND(INDEX('Candidate Articles'!$H$6:$H$29,MATCH(C39,'Candidate Articles'!$A$6:$A$29,0))="ACCEPTED",I39&gt;='Assumptions'!$B$39,J39&gt;='Assumptions'!$B$39,K39&lt;='Assumptions'!$B$40,L39&lt;='Assumptions'!$B$41,M39&lt;='Assumptions'!$B$42,N39&gt;='Assumptions'!$B$38,O39&gt;='Assumptions'!$B$38,P39&lt;=0.0001,Q39="ACCEPTED"),"PASS","VALID-ADVERSE"))</x:f>
        <x:v>OPEN</x:v>
      </x:c>
    </x:row>
    <x:row r="40">
      <x:c r="A40" s="10" t="str">
        <x:v>CT-033</x:v>
      </x:c>
      <x:c r="B40" s="10" t="str">
        <x:v>AR-I</x:v>
      </x:c>
      <x:c r="C40" s="10" t="str">
        <x:v>AR-I-A05</x:v>
      </x:c>
      <x:c r="D40" s="10" t="str">
        <x:v>BL-A</x:v>
      </x:c>
      <x:c r="E40" s="10" t="str">
        <x:v>C-3</x:v>
      </x:c>
      <x:c r="F40" s="10" t="str">
        <x:v>AT-1 blank/history</x:v>
      </x:c>
      <x:c r="G40" s="10" t="n">
        <x:v>0.24</x:v>
      </x:c>
      <x:c r="H40" s="10" t="n">
        <x:v>5</x:v>
      </x:c>
      <x:c r="I40" s="12"/>
      <x:c r="J40" s="12"/>
      <x:c r="K40" s="12"/>
      <x:c r="L40" s="12"/>
      <x:c r="M40" s="12"/>
      <x:c r="N40" s="12"/>
      <x:c r="O40" s="12"/>
      <x:c r="P40" s="12"/>
      <x:c r="Q40" s="12"/>
      <x:c r="R40" s="10" t="str">
        <x:f>IF(OR(COUNT(I40:P40)&lt;8,Q40=""),"OPEN",IF(AND(INDEX('Candidate Articles'!$H$6:$H$29,MATCH(C40,'Candidate Articles'!$A$6:$A$29,0))="ACCEPTED",I40&gt;='Assumptions'!$B$39,J40&gt;='Assumptions'!$B$39,K40&lt;='Assumptions'!$B$40,L40&lt;='Assumptions'!$B$41,M40&lt;='Assumptions'!$B$42,N40&gt;='Assumptions'!$B$38,O40&gt;='Assumptions'!$B$38,P40&lt;=0.0001,Q40="ACCEPTED"),"PASS","VALID-ADVERSE"))</x:f>
        <x:v>OPEN</x:v>
      </x:c>
    </x:row>
    <x:row r="41">
      <x:c r="A41" s="10" t="str">
        <x:v>CT-034</x:v>
      </x:c>
      <x:c r="B41" s="10" t="str">
        <x:v>AR-I</x:v>
      </x:c>
      <x:c r="C41" s="10" t="str">
        <x:v>AR-I-A05</x:v>
      </x:c>
      <x:c r="D41" s="10" t="str">
        <x:v>BL-A</x:v>
      </x:c>
      <x:c r="E41" s="10" t="str">
        <x:v>C-3</x:v>
      </x:c>
      <x:c r="F41" s="10" t="str">
        <x:v>AT-2 simulant only</x:v>
      </x:c>
      <x:c r="G41" s="10" t="n">
        <x:v>0.24</x:v>
      </x:c>
      <x:c r="H41" s="10" t="n">
        <x:v>5</x:v>
      </x:c>
      <x:c r="I41" s="12"/>
      <x:c r="J41" s="12"/>
      <x:c r="K41" s="12"/>
      <x:c r="L41" s="12"/>
      <x:c r="M41" s="12"/>
      <x:c r="N41" s="12"/>
      <x:c r="O41" s="12"/>
      <x:c r="P41" s="12"/>
      <x:c r="Q41" s="12"/>
      <x:c r="R41" s="10" t="str">
        <x:f>IF(OR(COUNT(I41:P41)&lt;8,Q41=""),"OPEN",IF(AND(INDEX('Candidate Articles'!$H$6:$H$29,MATCH(C41,'Candidate Articles'!$A$6:$A$29,0))="ACCEPTED",I41&gt;='Assumptions'!$B$39,J41&gt;='Assumptions'!$B$39,K41&lt;='Assumptions'!$B$40,L41&lt;='Assumptions'!$B$41,M41&lt;='Assumptions'!$B$42,N41&gt;='Assumptions'!$B$38,O41&gt;='Assumptions'!$B$38,P41&lt;=0.0001,Q41="ACCEPTED"),"PASS","VALID-ADVERSE"))</x:f>
        <x:v>OPEN</x:v>
      </x:c>
    </x:row>
    <x:row r="42">
      <x:c r="A42" s="10" t="str">
        <x:v>CT-035</x:v>
      </x:c>
      <x:c r="B42" s="10" t="str">
        <x:v>AR-I</x:v>
      </x:c>
      <x:c r="C42" s="10" t="str">
        <x:v>AR-I-A05</x:v>
      </x:c>
      <x:c r="D42" s="10" t="str">
        <x:v>BL-A</x:v>
      </x:c>
      <x:c r="E42" s="10" t="str">
        <x:v>C-3</x:v>
      </x:c>
      <x:c r="F42" s="10" t="str">
        <x:v>AT-3 water only</x:v>
      </x:c>
      <x:c r="G42" s="10" t="n">
        <x:v>0.24</x:v>
      </x:c>
      <x:c r="H42" s="10" t="n">
        <x:v>5</x:v>
      </x:c>
      <x:c r="I42" s="12"/>
      <x:c r="J42" s="12"/>
      <x:c r="K42" s="12"/>
      <x:c r="L42" s="12"/>
      <x:c r="M42" s="12"/>
      <x:c r="N42" s="12"/>
      <x:c r="O42" s="12"/>
      <x:c r="P42" s="12"/>
      <x:c r="Q42" s="12"/>
      <x:c r="R42" s="10" t="str">
        <x:f>IF(OR(COUNT(I42:P42)&lt;8,Q42=""),"OPEN",IF(AND(INDEX('Candidate Articles'!$H$6:$H$29,MATCH(C42,'Candidate Articles'!$A$6:$A$29,0))="ACCEPTED",I42&gt;='Assumptions'!$B$39,J42&gt;='Assumptions'!$B$39,K42&lt;='Assumptions'!$B$40,L42&lt;='Assumptions'!$B$41,M42&lt;='Assumptions'!$B$42,N42&gt;='Assumptions'!$B$38,O42&gt;='Assumptions'!$B$38,P42&lt;=0.0001,Q42="ACCEPTED"),"PASS","VALID-ADVERSE"))</x:f>
        <x:v>OPEN</x:v>
      </x:c>
    </x:row>
    <x:row r="43">
      <x:c r="A43" s="10" t="str">
        <x:v>CT-036</x:v>
      </x:c>
      <x:c r="B43" s="10" t="str">
        <x:v>AR-I</x:v>
      </x:c>
      <x:c r="C43" s="10" t="str">
        <x:v>AR-I-A05</x:v>
      </x:c>
      <x:c r="D43" s="10" t="str">
        <x:v>BL-A</x:v>
      </x:c>
      <x:c r="E43" s="10" t="str">
        <x:v>C-3</x:v>
      </x:c>
      <x:c r="F43" s="10" t="str">
        <x:v>AT-4 nominal crossover</x:v>
      </x:c>
      <x:c r="G43" s="10" t="n">
        <x:v>0.24</x:v>
      </x:c>
      <x:c r="H43" s="10" t="n">
        <x:v>5</x:v>
      </x:c>
      <x:c r="I43" s="12"/>
      <x:c r="J43" s="12"/>
      <x:c r="K43" s="12"/>
      <x:c r="L43" s="12"/>
      <x:c r="M43" s="12"/>
      <x:c r="N43" s="12"/>
      <x:c r="O43" s="12"/>
      <x:c r="P43" s="12"/>
      <x:c r="Q43" s="12"/>
      <x:c r="R43" s="10" t="str">
        <x:f>IF(OR(COUNT(I43:P43)&lt;8,Q43=""),"OPEN",IF(AND(INDEX('Candidate Articles'!$H$6:$H$29,MATCH(C43,'Candidate Articles'!$A$6:$A$29,0))="ACCEPTED",I43&gt;='Assumptions'!$B$39,J43&gt;='Assumptions'!$B$39,K43&lt;='Assumptions'!$B$40,L43&lt;='Assumptions'!$B$41,M43&lt;='Assumptions'!$B$42,N43&gt;='Assumptions'!$B$38,O43&gt;='Assumptions'!$B$38,P43&lt;=0.0001,Q43="ACCEPTED"),"PASS","VALID-ADVERSE"))</x:f>
        <x:v>OPEN</x:v>
      </x:c>
    </x:row>
    <x:row r="44">
      <x:c r="A44" s="10" t="str">
        <x:v>CT-037</x:v>
      </x:c>
      <x:c r="B44" s="10" t="str">
        <x:v>AR-I</x:v>
      </x:c>
      <x:c r="C44" s="10" t="str">
        <x:v>AR-I-A05</x:v>
      </x:c>
      <x:c r="D44" s="10" t="str">
        <x:v>BL-A</x:v>
      </x:c>
      <x:c r="E44" s="10" t="str">
        <x:v>C-3</x:v>
      </x:c>
      <x:c r="F44" s="10" t="str">
        <x:v>AT-5 emulsion/shear</x:v>
      </x:c>
      <x:c r="G44" s="10" t="n">
        <x:v>0.24</x:v>
      </x:c>
      <x:c r="H44" s="10" t="n">
        <x:v>5</x:v>
      </x:c>
      <x:c r="I44" s="12"/>
      <x:c r="J44" s="12"/>
      <x:c r="K44" s="12"/>
      <x:c r="L44" s="12"/>
      <x:c r="M44" s="12"/>
      <x:c r="N44" s="12"/>
      <x:c r="O44" s="12"/>
      <x:c r="P44" s="12"/>
      <x:c r="Q44" s="12"/>
      <x:c r="R44" s="10" t="str">
        <x:f>IF(OR(COUNT(I44:P44)&lt;8,Q44=""),"OPEN",IF(AND(INDEX('Candidate Articles'!$H$6:$H$29,MATCH(C44,'Candidate Articles'!$A$6:$A$29,0))="ACCEPTED",I44&gt;='Assumptions'!$B$39,J44&gt;='Assumptions'!$B$39,K44&lt;='Assumptions'!$B$40,L44&lt;='Assumptions'!$B$41,M44&lt;='Assumptions'!$B$42,N44&gt;='Assumptions'!$B$38,O44&gt;='Assumptions'!$B$38,P44&lt;=0.0001,Q44="ACCEPTED"),"PASS","VALID-ADVERSE"))</x:f>
        <x:v>OPEN</x:v>
      </x:c>
    </x:row>
    <x:row r="45">
      <x:c r="A45" s="10" t="str">
        <x:v>CT-038</x:v>
      </x:c>
      <x:c r="B45" s="10" t="str">
        <x:v>AR-I</x:v>
      </x:c>
      <x:c r="C45" s="10" t="str">
        <x:v>AR-I-A05</x:v>
      </x:c>
      <x:c r="D45" s="10" t="str">
        <x:v>BL-A</x:v>
      </x:c>
      <x:c r="E45" s="10" t="str">
        <x:v>C-3</x:v>
      </x:c>
      <x:c r="F45" s="10" t="str">
        <x:v>AT-6 film/delayed release</x:v>
      </x:c>
      <x:c r="G45" s="10" t="n">
        <x:v>0.24</x:v>
      </x:c>
      <x:c r="H45" s="10" t="n">
        <x:v>5</x:v>
      </x:c>
      <x:c r="I45" s="12"/>
      <x:c r="J45" s="12"/>
      <x:c r="K45" s="12"/>
      <x:c r="L45" s="12"/>
      <x:c r="M45" s="12"/>
      <x:c r="N45" s="12"/>
      <x:c r="O45" s="12"/>
      <x:c r="P45" s="12"/>
      <x:c r="Q45" s="12"/>
      <x:c r="R45" s="10" t="str">
        <x:f>IF(OR(COUNT(I45:P45)&lt;8,Q45=""),"OPEN",IF(AND(INDEX('Candidate Articles'!$H$6:$H$29,MATCH(C45,'Candidate Articles'!$A$6:$A$29,0))="ACCEPTED",I45&gt;='Assumptions'!$B$39,J45&gt;='Assumptions'!$B$39,K45&lt;='Assumptions'!$B$40,L45&lt;='Assumptions'!$B$41,M45&lt;='Assumptions'!$B$42,N45&gt;='Assumptions'!$B$38,O45&gt;='Assumptions'!$B$38,P45&lt;=0.0001,Q45="ACCEPTED"),"PASS","VALID-ADVERSE"))</x:f>
        <x:v>OPEN</x:v>
      </x:c>
    </x:row>
    <x:row r="46">
      <x:c r="A46" s="10" t="str">
        <x:v>CT-039</x:v>
      </x:c>
      <x:c r="B46" s="10" t="str">
        <x:v>AR-I</x:v>
      </x:c>
      <x:c r="C46" s="10" t="str">
        <x:v>AR-I-A05</x:v>
      </x:c>
      <x:c r="D46" s="10" t="str">
        <x:v>BL-A</x:v>
      </x:c>
      <x:c r="E46" s="10" t="str">
        <x:v>C-3</x:v>
      </x:c>
      <x:c r="F46" s="10" t="str">
        <x:v>AT-7 decoy/carryover</x:v>
      </x:c>
      <x:c r="G46" s="10" t="n">
        <x:v>0.24</x:v>
      </x:c>
      <x:c r="H46" s="10" t="n">
        <x:v>5</x:v>
      </x:c>
      <x:c r="I46" s="12"/>
      <x:c r="J46" s="12"/>
      <x:c r="K46" s="12"/>
      <x:c r="L46" s="12"/>
      <x:c r="M46" s="12"/>
      <x:c r="N46" s="12"/>
      <x:c r="O46" s="12"/>
      <x:c r="P46" s="12"/>
      <x:c r="Q46" s="12"/>
      <x:c r="R46" s="10" t="str">
        <x:f>IF(OR(COUNT(I46:P46)&lt;8,Q46=""),"OPEN",IF(AND(INDEX('Candidate Articles'!$H$6:$H$29,MATCH(C46,'Candidate Articles'!$A$6:$A$29,0))="ACCEPTED",I46&gt;='Assumptions'!$B$39,J46&gt;='Assumptions'!$B$39,K46&lt;='Assumptions'!$B$40,L46&lt;='Assumptions'!$B$41,M46&lt;='Assumptions'!$B$42,N46&gt;='Assumptions'!$B$38,O46&gt;='Assumptions'!$B$38,P46&lt;=0.0001,Q46="ACCEPTED"),"PASS","VALID-ADVERSE"))</x:f>
        <x:v>OPEN</x:v>
      </x:c>
    </x:row>
    <x:row r="47">
      <x:c r="A47" s="10" t="str">
        <x:v>CT-040</x:v>
      </x:c>
      <x:c r="B47" s="10" t="str">
        <x:v>AR-I</x:v>
      </x:c>
      <x:c r="C47" s="10" t="str">
        <x:v>AR-I-A05</x:v>
      </x:c>
      <x:c r="D47" s="10" t="str">
        <x:v>BL-A</x:v>
      </x:c>
      <x:c r="E47" s="10" t="str">
        <x:v>C-3</x:v>
      </x:c>
      <x:c r="F47" s="10" t="str">
        <x:v>AT-8 reader/time denied</x:v>
      </x:c>
      <x:c r="G47" s="10" t="n">
        <x:v>0.24</x:v>
      </x:c>
      <x:c r="H47" s="10" t="n">
        <x:v>5</x:v>
      </x:c>
      <x:c r="I47" s="12"/>
      <x:c r="J47" s="12"/>
      <x:c r="K47" s="12"/>
      <x:c r="L47" s="12"/>
      <x:c r="M47" s="12"/>
      <x:c r="N47" s="12"/>
      <x:c r="O47" s="12"/>
      <x:c r="P47" s="12"/>
      <x:c r="Q47" s="12"/>
      <x:c r="R47" s="10" t="str">
        <x:f>IF(OR(COUNT(I47:P47)&lt;8,Q47=""),"OPEN",IF(AND(INDEX('Candidate Articles'!$H$6:$H$29,MATCH(C47,'Candidate Articles'!$A$6:$A$29,0))="ACCEPTED",I47&gt;='Assumptions'!$B$39,J47&gt;='Assumptions'!$B$39,K47&lt;='Assumptions'!$B$40,L47&lt;='Assumptions'!$B$41,M47&lt;='Assumptions'!$B$42,N47&gt;='Assumptions'!$B$38,O47&gt;='Assumptions'!$B$38,P47&lt;=0.0001,Q47="ACCEPTED"),"PASS","VALID-ADVERSE"))</x:f>
        <x:v>OPEN</x:v>
      </x:c>
    </x:row>
    <x:row r="48">
      <x:c r="A48" s="10" t="str">
        <x:v>CT-041</x:v>
      </x:c>
      <x:c r="B48" s="10" t="str">
        <x:v>AR-I</x:v>
      </x:c>
      <x:c r="C48" s="10" t="str">
        <x:v>AR-I-A06</x:v>
      </x:c>
      <x:c r="D48" s="10" t="str">
        <x:v>BL-B</x:v>
      </x:c>
      <x:c r="E48" s="10" t="str">
        <x:v>C-3</x:v>
      </x:c>
      <x:c r="F48" s="10" t="str">
        <x:v>AT-1 blank/history</x:v>
      </x:c>
      <x:c r="G48" s="10" t="n">
        <x:v>0.24</x:v>
      </x:c>
      <x:c r="H48" s="10" t="n">
        <x:v>5</x:v>
      </x:c>
      <x:c r="I48" s="12"/>
      <x:c r="J48" s="12"/>
      <x:c r="K48" s="12"/>
      <x:c r="L48" s="12"/>
      <x:c r="M48" s="12"/>
      <x:c r="N48" s="12"/>
      <x:c r="O48" s="12"/>
      <x:c r="P48" s="12"/>
      <x:c r="Q48" s="12"/>
      <x:c r="R48" s="10" t="str">
        <x:f>IF(OR(COUNT(I48:P48)&lt;8,Q48=""),"OPEN",IF(AND(INDEX('Candidate Articles'!$H$6:$H$29,MATCH(C48,'Candidate Articles'!$A$6:$A$29,0))="ACCEPTED",I48&gt;='Assumptions'!$B$39,J48&gt;='Assumptions'!$B$39,K48&lt;='Assumptions'!$B$40,L48&lt;='Assumptions'!$B$41,M48&lt;='Assumptions'!$B$42,N48&gt;='Assumptions'!$B$38,O48&gt;='Assumptions'!$B$38,P48&lt;=0.0001,Q48="ACCEPTED"),"PASS","VALID-ADVERSE"))</x:f>
        <x:v>OPEN</x:v>
      </x:c>
    </x:row>
    <x:row r="49">
      <x:c r="A49" s="10" t="str">
        <x:v>CT-042</x:v>
      </x:c>
      <x:c r="B49" s="10" t="str">
        <x:v>AR-I</x:v>
      </x:c>
      <x:c r="C49" s="10" t="str">
        <x:v>AR-I-A06</x:v>
      </x:c>
      <x:c r="D49" s="10" t="str">
        <x:v>BL-B</x:v>
      </x:c>
      <x:c r="E49" s="10" t="str">
        <x:v>C-3</x:v>
      </x:c>
      <x:c r="F49" s="10" t="str">
        <x:v>AT-2 simulant only</x:v>
      </x:c>
      <x:c r="G49" s="10" t="n">
        <x:v>0.24</x:v>
      </x:c>
      <x:c r="H49" s="10" t="n">
        <x:v>5</x:v>
      </x:c>
      <x:c r="I49" s="12"/>
      <x:c r="J49" s="12"/>
      <x:c r="K49" s="12"/>
      <x:c r="L49" s="12"/>
      <x:c r="M49" s="12"/>
      <x:c r="N49" s="12"/>
      <x:c r="O49" s="12"/>
      <x:c r="P49" s="12"/>
      <x:c r="Q49" s="12"/>
      <x:c r="R49" s="10" t="str">
        <x:f>IF(OR(COUNT(I49:P49)&lt;8,Q49=""),"OPEN",IF(AND(INDEX('Candidate Articles'!$H$6:$H$29,MATCH(C49,'Candidate Articles'!$A$6:$A$29,0))="ACCEPTED",I49&gt;='Assumptions'!$B$39,J49&gt;='Assumptions'!$B$39,K49&lt;='Assumptions'!$B$40,L49&lt;='Assumptions'!$B$41,M49&lt;='Assumptions'!$B$42,N49&gt;='Assumptions'!$B$38,O49&gt;='Assumptions'!$B$38,P49&lt;=0.0001,Q49="ACCEPTED"),"PASS","VALID-ADVERSE"))</x:f>
        <x:v>OPEN</x:v>
      </x:c>
    </x:row>
    <x:row r="50">
      <x:c r="A50" s="10" t="str">
        <x:v>CT-043</x:v>
      </x:c>
      <x:c r="B50" s="10" t="str">
        <x:v>AR-I</x:v>
      </x:c>
      <x:c r="C50" s="10" t="str">
        <x:v>AR-I-A06</x:v>
      </x:c>
      <x:c r="D50" s="10" t="str">
        <x:v>BL-B</x:v>
      </x:c>
      <x:c r="E50" s="10" t="str">
        <x:v>C-3</x:v>
      </x:c>
      <x:c r="F50" s="10" t="str">
        <x:v>AT-3 water only</x:v>
      </x:c>
      <x:c r="G50" s="10" t="n">
        <x:v>0.24</x:v>
      </x:c>
      <x:c r="H50" s="10" t="n">
        <x:v>5</x:v>
      </x:c>
      <x:c r="I50" s="12"/>
      <x:c r="J50" s="12"/>
      <x:c r="K50" s="12"/>
      <x:c r="L50" s="12"/>
      <x:c r="M50" s="12"/>
      <x:c r="N50" s="12"/>
      <x:c r="O50" s="12"/>
      <x:c r="P50" s="12"/>
      <x:c r="Q50" s="12"/>
      <x:c r="R50" s="10" t="str">
        <x:f>IF(OR(COUNT(I50:P50)&lt;8,Q50=""),"OPEN",IF(AND(INDEX('Candidate Articles'!$H$6:$H$29,MATCH(C50,'Candidate Articles'!$A$6:$A$29,0))="ACCEPTED",I50&gt;='Assumptions'!$B$39,J50&gt;='Assumptions'!$B$39,K50&lt;='Assumptions'!$B$40,L50&lt;='Assumptions'!$B$41,M50&lt;='Assumptions'!$B$42,N50&gt;='Assumptions'!$B$38,O50&gt;='Assumptions'!$B$38,P50&lt;=0.0001,Q50="ACCEPTED"),"PASS","VALID-ADVERSE"))</x:f>
        <x:v>OPEN</x:v>
      </x:c>
    </x:row>
    <x:row r="51">
      <x:c r="A51" s="10" t="str">
        <x:v>CT-044</x:v>
      </x:c>
      <x:c r="B51" s="10" t="str">
        <x:v>AR-I</x:v>
      </x:c>
      <x:c r="C51" s="10" t="str">
        <x:v>AR-I-A06</x:v>
      </x:c>
      <x:c r="D51" s="10" t="str">
        <x:v>BL-B</x:v>
      </x:c>
      <x:c r="E51" s="10" t="str">
        <x:v>C-3</x:v>
      </x:c>
      <x:c r="F51" s="10" t="str">
        <x:v>AT-4 nominal crossover</x:v>
      </x:c>
      <x:c r="G51" s="10" t="n">
        <x:v>0.24</x:v>
      </x:c>
      <x:c r="H51" s="10" t="n">
        <x:v>5</x:v>
      </x:c>
      <x:c r="I51" s="12"/>
      <x:c r="J51" s="12"/>
      <x:c r="K51" s="12"/>
      <x:c r="L51" s="12"/>
      <x:c r="M51" s="12"/>
      <x:c r="N51" s="12"/>
      <x:c r="O51" s="12"/>
      <x:c r="P51" s="12"/>
      <x:c r="Q51" s="12"/>
      <x:c r="R51" s="10" t="str">
        <x:f>IF(OR(COUNT(I51:P51)&lt;8,Q51=""),"OPEN",IF(AND(INDEX('Candidate Articles'!$H$6:$H$29,MATCH(C51,'Candidate Articles'!$A$6:$A$29,0))="ACCEPTED",I51&gt;='Assumptions'!$B$39,J51&gt;='Assumptions'!$B$39,K51&lt;='Assumptions'!$B$40,L51&lt;='Assumptions'!$B$41,M51&lt;='Assumptions'!$B$42,N51&gt;='Assumptions'!$B$38,O51&gt;='Assumptions'!$B$38,P51&lt;=0.0001,Q51="ACCEPTED"),"PASS","VALID-ADVERSE"))</x:f>
        <x:v>OPEN</x:v>
      </x:c>
    </x:row>
    <x:row r="52">
      <x:c r="A52" s="10" t="str">
        <x:v>CT-045</x:v>
      </x:c>
      <x:c r="B52" s="10" t="str">
        <x:v>AR-I</x:v>
      </x:c>
      <x:c r="C52" s="10" t="str">
        <x:v>AR-I-A06</x:v>
      </x:c>
      <x:c r="D52" s="10" t="str">
        <x:v>BL-B</x:v>
      </x:c>
      <x:c r="E52" s="10" t="str">
        <x:v>C-3</x:v>
      </x:c>
      <x:c r="F52" s="10" t="str">
        <x:v>AT-5 emulsion/shear</x:v>
      </x:c>
      <x:c r="G52" s="10" t="n">
        <x:v>0.24</x:v>
      </x:c>
      <x:c r="H52" s="10" t="n">
        <x:v>5</x:v>
      </x:c>
      <x:c r="I52" s="12"/>
      <x:c r="J52" s="12"/>
      <x:c r="K52" s="12"/>
      <x:c r="L52" s="12"/>
      <x:c r="M52" s="12"/>
      <x:c r="N52" s="12"/>
      <x:c r="O52" s="12"/>
      <x:c r="P52" s="12"/>
      <x:c r="Q52" s="12"/>
      <x:c r="R52" s="10" t="str">
        <x:f>IF(OR(COUNT(I52:P52)&lt;8,Q52=""),"OPEN",IF(AND(INDEX('Candidate Articles'!$H$6:$H$29,MATCH(C52,'Candidate Articles'!$A$6:$A$29,0))="ACCEPTED",I52&gt;='Assumptions'!$B$39,J52&gt;='Assumptions'!$B$39,K52&lt;='Assumptions'!$B$40,L52&lt;='Assumptions'!$B$41,M52&lt;='Assumptions'!$B$42,N52&gt;='Assumptions'!$B$38,O52&gt;='Assumptions'!$B$38,P52&lt;=0.0001,Q52="ACCEPTED"),"PASS","VALID-ADVERSE"))</x:f>
        <x:v>OPEN</x:v>
      </x:c>
    </x:row>
    <x:row r="53">
      <x:c r="A53" s="10" t="str">
        <x:v>CT-046</x:v>
      </x:c>
      <x:c r="B53" s="10" t="str">
        <x:v>AR-I</x:v>
      </x:c>
      <x:c r="C53" s="10" t="str">
        <x:v>AR-I-A06</x:v>
      </x:c>
      <x:c r="D53" s="10" t="str">
        <x:v>BL-B</x:v>
      </x:c>
      <x:c r="E53" s="10" t="str">
        <x:v>C-3</x:v>
      </x:c>
      <x:c r="F53" s="10" t="str">
        <x:v>AT-6 film/delayed release</x:v>
      </x:c>
      <x:c r="G53" s="10" t="n">
        <x:v>0.24</x:v>
      </x:c>
      <x:c r="H53" s="10" t="n">
        <x:v>5</x:v>
      </x:c>
      <x:c r="I53" s="12"/>
      <x:c r="J53" s="12"/>
      <x:c r="K53" s="12"/>
      <x:c r="L53" s="12"/>
      <x:c r="M53" s="12"/>
      <x:c r="N53" s="12"/>
      <x:c r="O53" s="12"/>
      <x:c r="P53" s="12"/>
      <x:c r="Q53" s="12"/>
      <x:c r="R53" s="10" t="str">
        <x:f>IF(OR(COUNT(I53:P53)&lt;8,Q53=""),"OPEN",IF(AND(INDEX('Candidate Articles'!$H$6:$H$29,MATCH(C53,'Candidate Articles'!$A$6:$A$29,0))="ACCEPTED",I53&gt;='Assumptions'!$B$39,J53&gt;='Assumptions'!$B$39,K53&lt;='Assumptions'!$B$40,L53&lt;='Assumptions'!$B$41,M53&lt;='Assumptions'!$B$42,N53&gt;='Assumptions'!$B$38,O53&gt;='Assumptions'!$B$38,P53&lt;=0.0001,Q53="ACCEPTED"),"PASS","VALID-ADVERSE"))</x:f>
        <x:v>OPEN</x:v>
      </x:c>
    </x:row>
    <x:row r="54">
      <x:c r="A54" s="10" t="str">
        <x:v>CT-047</x:v>
      </x:c>
      <x:c r="B54" s="10" t="str">
        <x:v>AR-I</x:v>
      </x:c>
      <x:c r="C54" s="10" t="str">
        <x:v>AR-I-A06</x:v>
      </x:c>
      <x:c r="D54" s="10" t="str">
        <x:v>BL-B</x:v>
      </x:c>
      <x:c r="E54" s="10" t="str">
        <x:v>C-3</x:v>
      </x:c>
      <x:c r="F54" s="10" t="str">
        <x:v>AT-7 decoy/carryover</x:v>
      </x:c>
      <x:c r="G54" s="10" t="n">
        <x:v>0.24</x:v>
      </x:c>
      <x:c r="H54" s="10" t="n">
        <x:v>5</x:v>
      </x:c>
      <x:c r="I54" s="12"/>
      <x:c r="J54" s="12"/>
      <x:c r="K54" s="12"/>
      <x:c r="L54" s="12"/>
      <x:c r="M54" s="12"/>
      <x:c r="N54" s="12"/>
      <x:c r="O54" s="12"/>
      <x:c r="P54" s="12"/>
      <x:c r="Q54" s="12"/>
      <x:c r="R54" s="10" t="str">
        <x:f>IF(OR(COUNT(I54:P54)&lt;8,Q54=""),"OPEN",IF(AND(INDEX('Candidate Articles'!$H$6:$H$29,MATCH(C54,'Candidate Articles'!$A$6:$A$29,0))="ACCEPTED",I54&gt;='Assumptions'!$B$39,J54&gt;='Assumptions'!$B$39,K54&lt;='Assumptions'!$B$40,L54&lt;='Assumptions'!$B$41,M54&lt;='Assumptions'!$B$42,N54&gt;='Assumptions'!$B$38,O54&gt;='Assumptions'!$B$38,P54&lt;=0.0001,Q54="ACCEPTED"),"PASS","VALID-ADVERSE"))</x:f>
        <x:v>OPEN</x:v>
      </x:c>
    </x:row>
    <x:row r="55">
      <x:c r="A55" s="10" t="str">
        <x:v>CT-048</x:v>
      </x:c>
      <x:c r="B55" s="10" t="str">
        <x:v>AR-I</x:v>
      </x:c>
      <x:c r="C55" s="10" t="str">
        <x:v>AR-I-A06</x:v>
      </x:c>
      <x:c r="D55" s="10" t="str">
        <x:v>BL-B</x:v>
      </x:c>
      <x:c r="E55" s="10" t="str">
        <x:v>C-3</x:v>
      </x:c>
      <x:c r="F55" s="10" t="str">
        <x:v>AT-8 reader/time denied</x:v>
      </x:c>
      <x:c r="G55" s="10" t="n">
        <x:v>0.24</x:v>
      </x:c>
      <x:c r="H55" s="10" t="n">
        <x:v>5</x:v>
      </x:c>
      <x:c r="I55" s="12"/>
      <x:c r="J55" s="12"/>
      <x:c r="K55" s="12"/>
      <x:c r="L55" s="12"/>
      <x:c r="M55" s="12"/>
      <x:c r="N55" s="12"/>
      <x:c r="O55" s="12"/>
      <x:c r="P55" s="12"/>
      <x:c r="Q55" s="12"/>
      <x:c r="R55" s="10" t="str">
        <x:f>IF(OR(COUNT(I55:P55)&lt;8,Q55=""),"OPEN",IF(AND(INDEX('Candidate Articles'!$H$6:$H$29,MATCH(C55,'Candidate Articles'!$A$6:$A$29,0))="ACCEPTED",I55&gt;='Assumptions'!$B$39,J55&gt;='Assumptions'!$B$39,K55&lt;='Assumptions'!$B$40,L55&lt;='Assumptions'!$B$41,M55&lt;='Assumptions'!$B$42,N55&gt;='Assumptions'!$B$38,O55&gt;='Assumptions'!$B$38,P55&lt;=0.0001,Q55="ACCEPTED"),"PASS","VALID-ADVERSE"))</x:f>
        <x:v>OPEN</x:v>
      </x:c>
    </x:row>
    <x:row r="56">
      <x:c r="A56" s="10" t="str">
        <x:v>CT-049</x:v>
      </x:c>
      <x:c r="B56" s="10" t="str">
        <x:v>AR-P</x:v>
      </x:c>
      <x:c r="C56" s="10" t="str">
        <x:v>AR-P-A07</x:v>
      </x:c>
      <x:c r="D56" s="10" t="str">
        <x:v>BL-A</x:v>
      </x:c>
      <x:c r="E56" s="10" t="str">
        <x:v>C-1</x:v>
      </x:c>
      <x:c r="F56" s="10" t="str">
        <x:v>AT-1 blank/history</x:v>
      </x:c>
      <x:c r="G56" s="10" t="n">
        <x:v>0.24</x:v>
      </x:c>
      <x:c r="H56" s="10" t="n">
        <x:v>5</x:v>
      </x:c>
      <x:c r="I56" s="12"/>
      <x:c r="J56" s="12"/>
      <x:c r="K56" s="12"/>
      <x:c r="L56" s="12"/>
      <x:c r="M56" s="12"/>
      <x:c r="N56" s="12"/>
      <x:c r="O56" s="12"/>
      <x:c r="P56" s="12"/>
      <x:c r="Q56" s="12"/>
      <x:c r="R56" s="10" t="str">
        <x:f>IF(OR(COUNT(I56:P56)&lt;8,Q56=""),"OPEN",IF(AND(INDEX('Candidate Articles'!$H$6:$H$29,MATCH(C56,'Candidate Articles'!$A$6:$A$29,0))="ACCEPTED",I56&gt;='Assumptions'!$B$39,J56&gt;='Assumptions'!$B$39,K56&lt;='Assumptions'!$B$40,L56&lt;='Assumptions'!$B$41,M56&lt;='Assumptions'!$B$42,N56&gt;='Assumptions'!$B$38,O56&gt;='Assumptions'!$B$38,P56&lt;=0.0001,Q56="ACCEPTED"),"PASS","VALID-ADVERSE"))</x:f>
        <x:v>OPEN</x:v>
      </x:c>
    </x:row>
    <x:row r="57">
      <x:c r="A57" s="10" t="str">
        <x:v>CT-050</x:v>
      </x:c>
      <x:c r="B57" s="10" t="str">
        <x:v>AR-P</x:v>
      </x:c>
      <x:c r="C57" s="10" t="str">
        <x:v>AR-P-A07</x:v>
      </x:c>
      <x:c r="D57" s="10" t="str">
        <x:v>BL-A</x:v>
      </x:c>
      <x:c r="E57" s="10" t="str">
        <x:v>C-1</x:v>
      </x:c>
      <x:c r="F57" s="10" t="str">
        <x:v>AT-2 simulant only</x:v>
      </x:c>
      <x:c r="G57" s="10" t="n">
        <x:v>0.24</x:v>
      </x:c>
      <x:c r="H57" s="10" t="n">
        <x:v>5</x:v>
      </x:c>
      <x:c r="I57" s="12"/>
      <x:c r="J57" s="12"/>
      <x:c r="K57" s="12"/>
      <x:c r="L57" s="12"/>
      <x:c r="M57" s="12"/>
      <x:c r="N57" s="12"/>
      <x:c r="O57" s="12"/>
      <x:c r="P57" s="12"/>
      <x:c r="Q57" s="12"/>
      <x:c r="R57" s="10" t="str">
        <x:f>IF(OR(COUNT(I57:P57)&lt;8,Q57=""),"OPEN",IF(AND(INDEX('Candidate Articles'!$H$6:$H$29,MATCH(C57,'Candidate Articles'!$A$6:$A$29,0))="ACCEPTED",I57&gt;='Assumptions'!$B$39,J57&gt;='Assumptions'!$B$39,K57&lt;='Assumptions'!$B$40,L57&lt;='Assumptions'!$B$41,M57&lt;='Assumptions'!$B$42,N57&gt;='Assumptions'!$B$38,O57&gt;='Assumptions'!$B$38,P57&lt;=0.0001,Q57="ACCEPTED"),"PASS","VALID-ADVERSE"))</x:f>
        <x:v>OPEN</x:v>
      </x:c>
    </x:row>
    <x:row r="58">
      <x:c r="A58" s="10" t="str">
        <x:v>CT-051</x:v>
      </x:c>
      <x:c r="B58" s="10" t="str">
        <x:v>AR-P</x:v>
      </x:c>
      <x:c r="C58" s="10" t="str">
        <x:v>AR-P-A07</x:v>
      </x:c>
      <x:c r="D58" s="10" t="str">
        <x:v>BL-A</x:v>
      </x:c>
      <x:c r="E58" s="10" t="str">
        <x:v>C-1</x:v>
      </x:c>
      <x:c r="F58" s="10" t="str">
        <x:v>AT-3 water only</x:v>
      </x:c>
      <x:c r="G58" s="10" t="n">
        <x:v>0.24</x:v>
      </x:c>
      <x:c r="H58" s="10" t="n">
        <x:v>5</x:v>
      </x:c>
      <x:c r="I58" s="12"/>
      <x:c r="J58" s="12"/>
      <x:c r="K58" s="12"/>
      <x:c r="L58" s="12"/>
      <x:c r="M58" s="12"/>
      <x:c r="N58" s="12"/>
      <x:c r="O58" s="12"/>
      <x:c r="P58" s="12"/>
      <x:c r="Q58" s="12"/>
      <x:c r="R58" s="10" t="str">
        <x:f>IF(OR(COUNT(I58:P58)&lt;8,Q58=""),"OPEN",IF(AND(INDEX('Candidate Articles'!$H$6:$H$29,MATCH(C58,'Candidate Articles'!$A$6:$A$29,0))="ACCEPTED",I58&gt;='Assumptions'!$B$39,J58&gt;='Assumptions'!$B$39,K58&lt;='Assumptions'!$B$40,L58&lt;='Assumptions'!$B$41,M58&lt;='Assumptions'!$B$42,N58&gt;='Assumptions'!$B$38,O58&gt;='Assumptions'!$B$38,P58&lt;=0.0001,Q58="ACCEPTED"),"PASS","VALID-ADVERSE"))</x:f>
        <x:v>OPEN</x:v>
      </x:c>
    </x:row>
    <x:row r="59">
      <x:c r="A59" s="10" t="str">
        <x:v>CT-052</x:v>
      </x:c>
      <x:c r="B59" s="10" t="str">
        <x:v>AR-P</x:v>
      </x:c>
      <x:c r="C59" s="10" t="str">
        <x:v>AR-P-A07</x:v>
      </x:c>
      <x:c r="D59" s="10" t="str">
        <x:v>BL-A</x:v>
      </x:c>
      <x:c r="E59" s="10" t="str">
        <x:v>C-1</x:v>
      </x:c>
      <x:c r="F59" s="10" t="str">
        <x:v>AT-4 nominal crossover</x:v>
      </x:c>
      <x:c r="G59" s="10" t="n">
        <x:v>0.24</x:v>
      </x:c>
      <x:c r="H59" s="10" t="n">
        <x:v>5</x:v>
      </x:c>
      <x:c r="I59" s="12"/>
      <x:c r="J59" s="12"/>
      <x:c r="K59" s="12"/>
      <x:c r="L59" s="12"/>
      <x:c r="M59" s="12"/>
      <x:c r="N59" s="12"/>
      <x:c r="O59" s="12"/>
      <x:c r="P59" s="12"/>
      <x:c r="Q59" s="12"/>
      <x:c r="R59" s="10" t="str">
        <x:f>IF(OR(COUNT(I59:P59)&lt;8,Q59=""),"OPEN",IF(AND(INDEX('Candidate Articles'!$H$6:$H$29,MATCH(C59,'Candidate Articles'!$A$6:$A$29,0))="ACCEPTED",I59&gt;='Assumptions'!$B$39,J59&gt;='Assumptions'!$B$39,K59&lt;='Assumptions'!$B$40,L59&lt;='Assumptions'!$B$41,M59&lt;='Assumptions'!$B$42,N59&gt;='Assumptions'!$B$38,O59&gt;='Assumptions'!$B$38,P59&lt;=0.0001,Q59="ACCEPTED"),"PASS","VALID-ADVERSE"))</x:f>
        <x:v>OPEN</x:v>
      </x:c>
    </x:row>
    <x:row r="60">
      <x:c r="A60" s="10" t="str">
        <x:v>CT-053</x:v>
      </x:c>
      <x:c r="B60" s="10" t="str">
        <x:v>AR-P</x:v>
      </x:c>
      <x:c r="C60" s="10" t="str">
        <x:v>AR-P-A07</x:v>
      </x:c>
      <x:c r="D60" s="10" t="str">
        <x:v>BL-A</x:v>
      </x:c>
      <x:c r="E60" s="10" t="str">
        <x:v>C-1</x:v>
      </x:c>
      <x:c r="F60" s="10" t="str">
        <x:v>AT-5 emulsion/shear</x:v>
      </x:c>
      <x:c r="G60" s="10" t="n">
        <x:v>0.24</x:v>
      </x:c>
      <x:c r="H60" s="10" t="n">
        <x:v>5</x:v>
      </x:c>
      <x:c r="I60" s="12"/>
      <x:c r="J60" s="12"/>
      <x:c r="K60" s="12"/>
      <x:c r="L60" s="12"/>
      <x:c r="M60" s="12"/>
      <x:c r="N60" s="12"/>
      <x:c r="O60" s="12"/>
      <x:c r="P60" s="12"/>
      <x:c r="Q60" s="12"/>
      <x:c r="R60" s="10" t="str">
        <x:f>IF(OR(COUNT(I60:P60)&lt;8,Q60=""),"OPEN",IF(AND(INDEX('Candidate Articles'!$H$6:$H$29,MATCH(C60,'Candidate Articles'!$A$6:$A$29,0))="ACCEPTED",I60&gt;='Assumptions'!$B$39,J60&gt;='Assumptions'!$B$39,K60&lt;='Assumptions'!$B$40,L60&lt;='Assumptions'!$B$41,M60&lt;='Assumptions'!$B$42,N60&gt;='Assumptions'!$B$38,O60&gt;='Assumptions'!$B$38,P60&lt;=0.0001,Q60="ACCEPTED"),"PASS","VALID-ADVERSE"))</x:f>
        <x:v>OPEN</x:v>
      </x:c>
    </x:row>
    <x:row r="61">
      <x:c r="A61" s="10" t="str">
        <x:v>CT-054</x:v>
      </x:c>
      <x:c r="B61" s="10" t="str">
        <x:v>AR-P</x:v>
      </x:c>
      <x:c r="C61" s="10" t="str">
        <x:v>AR-P-A07</x:v>
      </x:c>
      <x:c r="D61" s="10" t="str">
        <x:v>BL-A</x:v>
      </x:c>
      <x:c r="E61" s="10" t="str">
        <x:v>C-1</x:v>
      </x:c>
      <x:c r="F61" s="10" t="str">
        <x:v>AT-6 film/delayed release</x:v>
      </x:c>
      <x:c r="G61" s="10" t="n">
        <x:v>0.24</x:v>
      </x:c>
      <x:c r="H61" s="10" t="n">
        <x:v>5</x:v>
      </x:c>
      <x:c r="I61" s="12"/>
      <x:c r="J61" s="12"/>
      <x:c r="K61" s="12"/>
      <x:c r="L61" s="12"/>
      <x:c r="M61" s="12"/>
      <x:c r="N61" s="12"/>
      <x:c r="O61" s="12"/>
      <x:c r="P61" s="12"/>
      <x:c r="Q61" s="12"/>
      <x:c r="R61" s="10" t="str">
        <x:f>IF(OR(COUNT(I61:P61)&lt;8,Q61=""),"OPEN",IF(AND(INDEX('Candidate Articles'!$H$6:$H$29,MATCH(C61,'Candidate Articles'!$A$6:$A$29,0))="ACCEPTED",I61&gt;='Assumptions'!$B$39,J61&gt;='Assumptions'!$B$39,K61&lt;='Assumptions'!$B$40,L61&lt;='Assumptions'!$B$41,M61&lt;='Assumptions'!$B$42,N61&gt;='Assumptions'!$B$38,O61&gt;='Assumptions'!$B$38,P61&lt;=0.0001,Q61="ACCEPTED"),"PASS","VALID-ADVERSE"))</x:f>
        <x:v>OPEN</x:v>
      </x:c>
    </x:row>
    <x:row r="62">
      <x:c r="A62" s="10" t="str">
        <x:v>CT-055</x:v>
      </x:c>
      <x:c r="B62" s="10" t="str">
        <x:v>AR-P</x:v>
      </x:c>
      <x:c r="C62" s="10" t="str">
        <x:v>AR-P-A07</x:v>
      </x:c>
      <x:c r="D62" s="10" t="str">
        <x:v>BL-A</x:v>
      </x:c>
      <x:c r="E62" s="10" t="str">
        <x:v>C-1</x:v>
      </x:c>
      <x:c r="F62" s="10" t="str">
        <x:v>AT-7 decoy/carryover</x:v>
      </x:c>
      <x:c r="G62" s="10" t="n">
        <x:v>0.24</x:v>
      </x:c>
      <x:c r="H62" s="10" t="n">
        <x:v>5</x:v>
      </x:c>
      <x:c r="I62" s="12"/>
      <x:c r="J62" s="12"/>
      <x:c r="K62" s="12"/>
      <x:c r="L62" s="12"/>
      <x:c r="M62" s="12"/>
      <x:c r="N62" s="12"/>
      <x:c r="O62" s="12"/>
      <x:c r="P62" s="12"/>
      <x:c r="Q62" s="12"/>
      <x:c r="R62" s="10" t="str">
        <x:f>IF(OR(COUNT(I62:P62)&lt;8,Q62=""),"OPEN",IF(AND(INDEX('Candidate Articles'!$H$6:$H$29,MATCH(C62,'Candidate Articles'!$A$6:$A$29,0))="ACCEPTED",I62&gt;='Assumptions'!$B$39,J62&gt;='Assumptions'!$B$39,K62&lt;='Assumptions'!$B$40,L62&lt;='Assumptions'!$B$41,M62&lt;='Assumptions'!$B$42,N62&gt;='Assumptions'!$B$38,O62&gt;='Assumptions'!$B$38,P62&lt;=0.0001,Q62="ACCEPTED"),"PASS","VALID-ADVERSE"))</x:f>
        <x:v>OPEN</x:v>
      </x:c>
    </x:row>
    <x:row r="63">
      <x:c r="A63" s="10" t="str">
        <x:v>CT-056</x:v>
      </x:c>
      <x:c r="B63" s="10" t="str">
        <x:v>AR-P</x:v>
      </x:c>
      <x:c r="C63" s="10" t="str">
        <x:v>AR-P-A07</x:v>
      </x:c>
      <x:c r="D63" s="10" t="str">
        <x:v>BL-A</x:v>
      </x:c>
      <x:c r="E63" s="10" t="str">
        <x:v>C-1</x:v>
      </x:c>
      <x:c r="F63" s="10" t="str">
        <x:v>AT-8 reader/time denied</x:v>
      </x:c>
      <x:c r="G63" s="10" t="n">
        <x:v>0.24</x:v>
      </x:c>
      <x:c r="H63" s="10" t="n">
        <x:v>5</x:v>
      </x:c>
      <x:c r="I63" s="12"/>
      <x:c r="J63" s="12"/>
      <x:c r="K63" s="12"/>
      <x:c r="L63" s="12"/>
      <x:c r="M63" s="12"/>
      <x:c r="N63" s="12"/>
      <x:c r="O63" s="12"/>
      <x:c r="P63" s="12"/>
      <x:c r="Q63" s="12"/>
      <x:c r="R63" s="10" t="str">
        <x:f>IF(OR(COUNT(I63:P63)&lt;8,Q63=""),"OPEN",IF(AND(INDEX('Candidate Articles'!$H$6:$H$29,MATCH(C63,'Candidate Articles'!$A$6:$A$29,0))="ACCEPTED",I63&gt;='Assumptions'!$B$39,J63&gt;='Assumptions'!$B$39,K63&lt;='Assumptions'!$B$40,L63&lt;='Assumptions'!$B$41,M63&lt;='Assumptions'!$B$42,N63&gt;='Assumptions'!$B$38,O63&gt;='Assumptions'!$B$38,P63&lt;=0.0001,Q63="ACCEPTED"),"PASS","VALID-ADVERSE"))</x:f>
        <x:v>OPEN</x:v>
      </x:c>
    </x:row>
    <x:row r="64">
      <x:c r="A64" s="10" t="str">
        <x:v>CT-057</x:v>
      </x:c>
      <x:c r="B64" s="10" t="str">
        <x:v>AR-P</x:v>
      </x:c>
      <x:c r="C64" s="10" t="str">
        <x:v>AR-P-A08</x:v>
      </x:c>
      <x:c r="D64" s="10" t="str">
        <x:v>BL-B</x:v>
      </x:c>
      <x:c r="E64" s="10" t="str">
        <x:v>C-1</x:v>
      </x:c>
      <x:c r="F64" s="10" t="str">
        <x:v>AT-1 blank/history</x:v>
      </x:c>
      <x:c r="G64" s="10" t="n">
        <x:v>0.24</x:v>
      </x:c>
      <x:c r="H64" s="10" t="n">
        <x:v>5</x:v>
      </x:c>
      <x:c r="I64" s="12"/>
      <x:c r="J64" s="12"/>
      <x:c r="K64" s="12"/>
      <x:c r="L64" s="12"/>
      <x:c r="M64" s="12"/>
      <x:c r="N64" s="12"/>
      <x:c r="O64" s="12"/>
      <x:c r="P64" s="12"/>
      <x:c r="Q64" s="12"/>
      <x:c r="R64" s="10" t="str">
        <x:f>IF(OR(COUNT(I64:P64)&lt;8,Q64=""),"OPEN",IF(AND(INDEX('Candidate Articles'!$H$6:$H$29,MATCH(C64,'Candidate Articles'!$A$6:$A$29,0))="ACCEPTED",I64&gt;='Assumptions'!$B$39,J64&gt;='Assumptions'!$B$39,K64&lt;='Assumptions'!$B$40,L64&lt;='Assumptions'!$B$41,M64&lt;='Assumptions'!$B$42,N64&gt;='Assumptions'!$B$38,O64&gt;='Assumptions'!$B$38,P64&lt;=0.0001,Q64="ACCEPTED"),"PASS","VALID-ADVERSE"))</x:f>
        <x:v>OPEN</x:v>
      </x:c>
    </x:row>
    <x:row r="65">
      <x:c r="A65" s="10" t="str">
        <x:v>CT-058</x:v>
      </x:c>
      <x:c r="B65" s="10" t="str">
        <x:v>AR-P</x:v>
      </x:c>
      <x:c r="C65" s="10" t="str">
        <x:v>AR-P-A08</x:v>
      </x:c>
      <x:c r="D65" s="10" t="str">
        <x:v>BL-B</x:v>
      </x:c>
      <x:c r="E65" s="10" t="str">
        <x:v>C-1</x:v>
      </x:c>
      <x:c r="F65" s="10" t="str">
        <x:v>AT-2 simulant only</x:v>
      </x:c>
      <x:c r="G65" s="10" t="n">
        <x:v>0.24</x:v>
      </x:c>
      <x:c r="H65" s="10" t="n">
        <x:v>5</x:v>
      </x:c>
      <x:c r="I65" s="12"/>
      <x:c r="J65" s="12"/>
      <x:c r="K65" s="12"/>
      <x:c r="L65" s="12"/>
      <x:c r="M65" s="12"/>
      <x:c r="N65" s="12"/>
      <x:c r="O65" s="12"/>
      <x:c r="P65" s="12"/>
      <x:c r="Q65" s="12"/>
      <x:c r="R65" s="10" t="str">
        <x:f>IF(OR(COUNT(I65:P65)&lt;8,Q65=""),"OPEN",IF(AND(INDEX('Candidate Articles'!$H$6:$H$29,MATCH(C65,'Candidate Articles'!$A$6:$A$29,0))="ACCEPTED",I65&gt;='Assumptions'!$B$39,J65&gt;='Assumptions'!$B$39,K65&lt;='Assumptions'!$B$40,L65&lt;='Assumptions'!$B$41,M65&lt;='Assumptions'!$B$42,N65&gt;='Assumptions'!$B$38,O65&gt;='Assumptions'!$B$38,P65&lt;=0.0001,Q65="ACCEPTED"),"PASS","VALID-ADVERSE"))</x:f>
        <x:v>OPEN</x:v>
      </x:c>
    </x:row>
    <x:row r="66">
      <x:c r="A66" s="10" t="str">
        <x:v>CT-059</x:v>
      </x:c>
      <x:c r="B66" s="10" t="str">
        <x:v>AR-P</x:v>
      </x:c>
      <x:c r="C66" s="10" t="str">
        <x:v>AR-P-A08</x:v>
      </x:c>
      <x:c r="D66" s="10" t="str">
        <x:v>BL-B</x:v>
      </x:c>
      <x:c r="E66" s="10" t="str">
        <x:v>C-1</x:v>
      </x:c>
      <x:c r="F66" s="10" t="str">
        <x:v>AT-3 water only</x:v>
      </x:c>
      <x:c r="G66" s="10" t="n">
        <x:v>0.24</x:v>
      </x:c>
      <x:c r="H66" s="10" t="n">
        <x:v>5</x:v>
      </x:c>
      <x:c r="I66" s="12"/>
      <x:c r="J66" s="12"/>
      <x:c r="K66" s="12"/>
      <x:c r="L66" s="12"/>
      <x:c r="M66" s="12"/>
      <x:c r="N66" s="12"/>
      <x:c r="O66" s="12"/>
      <x:c r="P66" s="12"/>
      <x:c r="Q66" s="12"/>
      <x:c r="R66" s="10" t="str">
        <x:f>IF(OR(COUNT(I66:P66)&lt;8,Q66=""),"OPEN",IF(AND(INDEX('Candidate Articles'!$H$6:$H$29,MATCH(C66,'Candidate Articles'!$A$6:$A$29,0))="ACCEPTED",I66&gt;='Assumptions'!$B$39,J66&gt;='Assumptions'!$B$39,K66&lt;='Assumptions'!$B$40,L66&lt;='Assumptions'!$B$41,M66&lt;='Assumptions'!$B$42,N66&gt;='Assumptions'!$B$38,O66&gt;='Assumptions'!$B$38,P66&lt;=0.0001,Q66="ACCEPTED"),"PASS","VALID-ADVERSE"))</x:f>
        <x:v>OPEN</x:v>
      </x:c>
    </x:row>
    <x:row r="67">
      <x:c r="A67" s="10" t="str">
        <x:v>CT-060</x:v>
      </x:c>
      <x:c r="B67" s="10" t="str">
        <x:v>AR-P</x:v>
      </x:c>
      <x:c r="C67" s="10" t="str">
        <x:v>AR-P-A08</x:v>
      </x:c>
      <x:c r="D67" s="10" t="str">
        <x:v>BL-B</x:v>
      </x:c>
      <x:c r="E67" s="10" t="str">
        <x:v>C-1</x:v>
      </x:c>
      <x:c r="F67" s="10" t="str">
        <x:v>AT-4 nominal crossover</x:v>
      </x:c>
      <x:c r="G67" s="10" t="n">
        <x:v>0.24</x:v>
      </x:c>
      <x:c r="H67" s="10" t="n">
        <x:v>5</x:v>
      </x:c>
      <x:c r="I67" s="12"/>
      <x:c r="J67" s="12"/>
      <x:c r="K67" s="12"/>
      <x:c r="L67" s="12"/>
      <x:c r="M67" s="12"/>
      <x:c r="N67" s="12"/>
      <x:c r="O67" s="12"/>
      <x:c r="P67" s="12"/>
      <x:c r="Q67" s="12"/>
      <x:c r="R67" s="10" t="str">
        <x:f>IF(OR(COUNT(I67:P67)&lt;8,Q67=""),"OPEN",IF(AND(INDEX('Candidate Articles'!$H$6:$H$29,MATCH(C67,'Candidate Articles'!$A$6:$A$29,0))="ACCEPTED",I67&gt;='Assumptions'!$B$39,J67&gt;='Assumptions'!$B$39,K67&lt;='Assumptions'!$B$40,L67&lt;='Assumptions'!$B$41,M67&lt;='Assumptions'!$B$42,N67&gt;='Assumptions'!$B$38,O67&gt;='Assumptions'!$B$38,P67&lt;=0.0001,Q67="ACCEPTED"),"PASS","VALID-ADVERSE"))</x:f>
        <x:v>OPEN</x:v>
      </x:c>
    </x:row>
    <x:row r="68">
      <x:c r="A68" s="10" t="str">
        <x:v>CT-061</x:v>
      </x:c>
      <x:c r="B68" s="10" t="str">
        <x:v>AR-P</x:v>
      </x:c>
      <x:c r="C68" s="10" t="str">
        <x:v>AR-P-A08</x:v>
      </x:c>
      <x:c r="D68" s="10" t="str">
        <x:v>BL-B</x:v>
      </x:c>
      <x:c r="E68" s="10" t="str">
        <x:v>C-1</x:v>
      </x:c>
      <x:c r="F68" s="10" t="str">
        <x:v>AT-5 emulsion/shear</x:v>
      </x:c>
      <x:c r="G68" s="10" t="n">
        <x:v>0.24</x:v>
      </x:c>
      <x:c r="H68" s="10" t="n">
        <x:v>5</x:v>
      </x:c>
      <x:c r="I68" s="12"/>
      <x:c r="J68" s="12"/>
      <x:c r="K68" s="12"/>
      <x:c r="L68" s="12"/>
      <x:c r="M68" s="12"/>
      <x:c r="N68" s="12"/>
      <x:c r="O68" s="12"/>
      <x:c r="P68" s="12"/>
      <x:c r="Q68" s="12"/>
      <x:c r="R68" s="10" t="str">
        <x:f>IF(OR(COUNT(I68:P68)&lt;8,Q68=""),"OPEN",IF(AND(INDEX('Candidate Articles'!$H$6:$H$29,MATCH(C68,'Candidate Articles'!$A$6:$A$29,0))="ACCEPTED",I68&gt;='Assumptions'!$B$39,J68&gt;='Assumptions'!$B$39,K68&lt;='Assumptions'!$B$40,L68&lt;='Assumptions'!$B$41,M68&lt;='Assumptions'!$B$42,N68&gt;='Assumptions'!$B$38,O68&gt;='Assumptions'!$B$38,P68&lt;=0.0001,Q68="ACCEPTED"),"PASS","VALID-ADVERSE"))</x:f>
        <x:v>OPEN</x:v>
      </x:c>
    </x:row>
    <x:row r="69">
      <x:c r="A69" s="10" t="str">
        <x:v>CT-062</x:v>
      </x:c>
      <x:c r="B69" s="10" t="str">
        <x:v>AR-P</x:v>
      </x:c>
      <x:c r="C69" s="10" t="str">
        <x:v>AR-P-A08</x:v>
      </x:c>
      <x:c r="D69" s="10" t="str">
        <x:v>BL-B</x:v>
      </x:c>
      <x:c r="E69" s="10" t="str">
        <x:v>C-1</x:v>
      </x:c>
      <x:c r="F69" s="10" t="str">
        <x:v>AT-6 film/delayed release</x:v>
      </x:c>
      <x:c r="G69" s="10" t="n">
        <x:v>0.24</x:v>
      </x:c>
      <x:c r="H69" s="10" t="n">
        <x:v>5</x:v>
      </x:c>
      <x:c r="I69" s="12"/>
      <x:c r="J69" s="12"/>
      <x:c r="K69" s="12"/>
      <x:c r="L69" s="12"/>
      <x:c r="M69" s="12"/>
      <x:c r="N69" s="12"/>
      <x:c r="O69" s="12"/>
      <x:c r="P69" s="12"/>
      <x:c r="Q69" s="12"/>
      <x:c r="R69" s="10" t="str">
        <x:f>IF(OR(COUNT(I69:P69)&lt;8,Q69=""),"OPEN",IF(AND(INDEX('Candidate Articles'!$H$6:$H$29,MATCH(C69,'Candidate Articles'!$A$6:$A$29,0))="ACCEPTED",I69&gt;='Assumptions'!$B$39,J69&gt;='Assumptions'!$B$39,K69&lt;='Assumptions'!$B$40,L69&lt;='Assumptions'!$B$41,M69&lt;='Assumptions'!$B$42,N69&gt;='Assumptions'!$B$38,O69&gt;='Assumptions'!$B$38,P69&lt;=0.0001,Q69="ACCEPTED"),"PASS","VALID-ADVERSE"))</x:f>
        <x:v>OPEN</x:v>
      </x:c>
    </x:row>
    <x:row r="70">
      <x:c r="A70" s="10" t="str">
        <x:v>CT-063</x:v>
      </x:c>
      <x:c r="B70" s="10" t="str">
        <x:v>AR-P</x:v>
      </x:c>
      <x:c r="C70" s="10" t="str">
        <x:v>AR-P-A08</x:v>
      </x:c>
      <x:c r="D70" s="10" t="str">
        <x:v>BL-B</x:v>
      </x:c>
      <x:c r="E70" s="10" t="str">
        <x:v>C-1</x:v>
      </x:c>
      <x:c r="F70" s="10" t="str">
        <x:v>AT-7 decoy/carryover</x:v>
      </x:c>
      <x:c r="G70" s="10" t="n">
        <x:v>0.24</x:v>
      </x:c>
      <x:c r="H70" s="10" t="n">
        <x:v>5</x:v>
      </x:c>
      <x:c r="I70" s="12"/>
      <x:c r="J70" s="12"/>
      <x:c r="K70" s="12"/>
      <x:c r="L70" s="12"/>
      <x:c r="M70" s="12"/>
      <x:c r="N70" s="12"/>
      <x:c r="O70" s="12"/>
      <x:c r="P70" s="12"/>
      <x:c r="Q70" s="12"/>
      <x:c r="R70" s="10" t="str">
        <x:f>IF(OR(COUNT(I70:P70)&lt;8,Q70=""),"OPEN",IF(AND(INDEX('Candidate Articles'!$H$6:$H$29,MATCH(C70,'Candidate Articles'!$A$6:$A$29,0))="ACCEPTED",I70&gt;='Assumptions'!$B$39,J70&gt;='Assumptions'!$B$39,K70&lt;='Assumptions'!$B$40,L70&lt;='Assumptions'!$B$41,M70&lt;='Assumptions'!$B$42,N70&gt;='Assumptions'!$B$38,O70&gt;='Assumptions'!$B$38,P70&lt;=0.0001,Q70="ACCEPTED"),"PASS","VALID-ADVERSE"))</x:f>
        <x:v>OPEN</x:v>
      </x:c>
    </x:row>
    <x:row r="71">
      <x:c r="A71" s="10" t="str">
        <x:v>CT-064</x:v>
      </x:c>
      <x:c r="B71" s="10" t="str">
        <x:v>AR-P</x:v>
      </x:c>
      <x:c r="C71" s="10" t="str">
        <x:v>AR-P-A08</x:v>
      </x:c>
      <x:c r="D71" s="10" t="str">
        <x:v>BL-B</x:v>
      </x:c>
      <x:c r="E71" s="10" t="str">
        <x:v>C-1</x:v>
      </x:c>
      <x:c r="F71" s="10" t="str">
        <x:v>AT-8 reader/time denied</x:v>
      </x:c>
      <x:c r="G71" s="10" t="n">
        <x:v>0.24</x:v>
      </x:c>
      <x:c r="H71" s="10" t="n">
        <x:v>5</x:v>
      </x:c>
      <x:c r="I71" s="12"/>
      <x:c r="J71" s="12"/>
      <x:c r="K71" s="12"/>
      <x:c r="L71" s="12"/>
      <x:c r="M71" s="12"/>
      <x:c r="N71" s="12"/>
      <x:c r="O71" s="12"/>
      <x:c r="P71" s="12"/>
      <x:c r="Q71" s="12"/>
      <x:c r="R71" s="10" t="str">
        <x:f>IF(OR(COUNT(I71:P71)&lt;8,Q71=""),"OPEN",IF(AND(INDEX('Candidate Articles'!$H$6:$H$29,MATCH(C71,'Candidate Articles'!$A$6:$A$29,0))="ACCEPTED",I71&gt;='Assumptions'!$B$39,J71&gt;='Assumptions'!$B$39,K71&lt;='Assumptions'!$B$40,L71&lt;='Assumptions'!$B$41,M71&lt;='Assumptions'!$B$42,N71&gt;='Assumptions'!$B$38,O71&gt;='Assumptions'!$B$38,P71&lt;=0.0001,Q71="ACCEPTED"),"PASS","VALID-ADVERSE"))</x:f>
        <x:v>OPEN</x:v>
      </x:c>
    </x:row>
    <x:row r="72">
      <x:c r="A72" s="10" t="str">
        <x:v>CT-065</x:v>
      </x:c>
      <x:c r="B72" s="10" t="str">
        <x:v>AR-P</x:v>
      </x:c>
      <x:c r="C72" s="10" t="str">
        <x:v>AR-P-A09</x:v>
      </x:c>
      <x:c r="D72" s="10" t="str">
        <x:v>BL-A</x:v>
      </x:c>
      <x:c r="E72" s="10" t="str">
        <x:v>C-2</x:v>
      </x:c>
      <x:c r="F72" s="10" t="str">
        <x:v>AT-1 blank/history</x:v>
      </x:c>
      <x:c r="G72" s="10" t="n">
        <x:v>0.24</x:v>
      </x:c>
      <x:c r="H72" s="10" t="n">
        <x:v>5</x:v>
      </x:c>
      <x:c r="I72" s="12"/>
      <x:c r="J72" s="12"/>
      <x:c r="K72" s="12"/>
      <x:c r="L72" s="12"/>
      <x:c r="M72" s="12"/>
      <x:c r="N72" s="12"/>
      <x:c r="O72" s="12"/>
      <x:c r="P72" s="12"/>
      <x:c r="Q72" s="12"/>
      <x:c r="R72" s="10" t="str">
        <x:f>IF(OR(COUNT(I72:P72)&lt;8,Q72=""),"OPEN",IF(AND(INDEX('Candidate Articles'!$H$6:$H$29,MATCH(C72,'Candidate Articles'!$A$6:$A$29,0))="ACCEPTED",I72&gt;='Assumptions'!$B$39,J72&gt;='Assumptions'!$B$39,K72&lt;='Assumptions'!$B$40,L72&lt;='Assumptions'!$B$41,M72&lt;='Assumptions'!$B$42,N72&gt;='Assumptions'!$B$38,O72&gt;='Assumptions'!$B$38,P72&lt;=0.0001,Q72="ACCEPTED"),"PASS","VALID-ADVERSE"))</x:f>
        <x:v>OPEN</x:v>
      </x:c>
    </x:row>
    <x:row r="73">
      <x:c r="A73" s="10" t="str">
        <x:v>CT-066</x:v>
      </x:c>
      <x:c r="B73" s="10" t="str">
        <x:v>AR-P</x:v>
      </x:c>
      <x:c r="C73" s="10" t="str">
        <x:v>AR-P-A09</x:v>
      </x:c>
      <x:c r="D73" s="10" t="str">
        <x:v>BL-A</x:v>
      </x:c>
      <x:c r="E73" s="10" t="str">
        <x:v>C-2</x:v>
      </x:c>
      <x:c r="F73" s="10" t="str">
        <x:v>AT-2 simulant only</x:v>
      </x:c>
      <x:c r="G73" s="10" t="n">
        <x:v>0.24</x:v>
      </x:c>
      <x:c r="H73" s="10" t="n">
        <x:v>5</x:v>
      </x:c>
      <x:c r="I73" s="12"/>
      <x:c r="J73" s="12"/>
      <x:c r="K73" s="12"/>
      <x:c r="L73" s="12"/>
      <x:c r="M73" s="12"/>
      <x:c r="N73" s="12"/>
      <x:c r="O73" s="12"/>
      <x:c r="P73" s="12"/>
      <x:c r="Q73" s="12"/>
      <x:c r="R73" s="10" t="str">
        <x:f>IF(OR(COUNT(I73:P73)&lt;8,Q73=""),"OPEN",IF(AND(INDEX('Candidate Articles'!$H$6:$H$29,MATCH(C73,'Candidate Articles'!$A$6:$A$29,0))="ACCEPTED",I73&gt;='Assumptions'!$B$39,J73&gt;='Assumptions'!$B$39,K73&lt;='Assumptions'!$B$40,L73&lt;='Assumptions'!$B$41,M73&lt;='Assumptions'!$B$42,N73&gt;='Assumptions'!$B$38,O73&gt;='Assumptions'!$B$38,P73&lt;=0.0001,Q73="ACCEPTED"),"PASS","VALID-ADVERSE"))</x:f>
        <x:v>OPEN</x:v>
      </x:c>
    </x:row>
    <x:row r="74">
      <x:c r="A74" s="10" t="str">
        <x:v>CT-067</x:v>
      </x:c>
      <x:c r="B74" s="10" t="str">
        <x:v>AR-P</x:v>
      </x:c>
      <x:c r="C74" s="10" t="str">
        <x:v>AR-P-A09</x:v>
      </x:c>
      <x:c r="D74" s="10" t="str">
        <x:v>BL-A</x:v>
      </x:c>
      <x:c r="E74" s="10" t="str">
        <x:v>C-2</x:v>
      </x:c>
      <x:c r="F74" s="10" t="str">
        <x:v>AT-3 water only</x:v>
      </x:c>
      <x:c r="G74" s="10" t="n">
        <x:v>0.24</x:v>
      </x:c>
      <x:c r="H74" s="10" t="n">
        <x:v>5</x:v>
      </x:c>
      <x:c r="I74" s="12"/>
      <x:c r="J74" s="12"/>
      <x:c r="K74" s="12"/>
      <x:c r="L74" s="12"/>
      <x:c r="M74" s="12"/>
      <x:c r="N74" s="12"/>
      <x:c r="O74" s="12"/>
      <x:c r="P74" s="12"/>
      <x:c r="Q74" s="12"/>
      <x:c r="R74" s="10" t="str">
        <x:f>IF(OR(COUNT(I74:P74)&lt;8,Q74=""),"OPEN",IF(AND(INDEX('Candidate Articles'!$H$6:$H$29,MATCH(C74,'Candidate Articles'!$A$6:$A$29,0))="ACCEPTED",I74&gt;='Assumptions'!$B$39,J74&gt;='Assumptions'!$B$39,K74&lt;='Assumptions'!$B$40,L74&lt;='Assumptions'!$B$41,M74&lt;='Assumptions'!$B$42,N74&gt;='Assumptions'!$B$38,O74&gt;='Assumptions'!$B$38,P74&lt;=0.0001,Q74="ACCEPTED"),"PASS","VALID-ADVERSE"))</x:f>
        <x:v>OPEN</x:v>
      </x:c>
    </x:row>
    <x:row r="75">
      <x:c r="A75" s="10" t="str">
        <x:v>CT-068</x:v>
      </x:c>
      <x:c r="B75" s="10" t="str">
        <x:v>AR-P</x:v>
      </x:c>
      <x:c r="C75" s="10" t="str">
        <x:v>AR-P-A09</x:v>
      </x:c>
      <x:c r="D75" s="10" t="str">
        <x:v>BL-A</x:v>
      </x:c>
      <x:c r="E75" s="10" t="str">
        <x:v>C-2</x:v>
      </x:c>
      <x:c r="F75" s="10" t="str">
        <x:v>AT-4 nominal crossover</x:v>
      </x:c>
      <x:c r="G75" s="10" t="n">
        <x:v>0.24</x:v>
      </x:c>
      <x:c r="H75" s="10" t="n">
        <x:v>5</x:v>
      </x:c>
      <x:c r="I75" s="12"/>
      <x:c r="J75" s="12"/>
      <x:c r="K75" s="12"/>
      <x:c r="L75" s="12"/>
      <x:c r="M75" s="12"/>
      <x:c r="N75" s="12"/>
      <x:c r="O75" s="12"/>
      <x:c r="P75" s="12"/>
      <x:c r="Q75" s="12"/>
      <x:c r="R75" s="10" t="str">
        <x:f>IF(OR(COUNT(I75:P75)&lt;8,Q75=""),"OPEN",IF(AND(INDEX('Candidate Articles'!$H$6:$H$29,MATCH(C75,'Candidate Articles'!$A$6:$A$29,0))="ACCEPTED",I75&gt;='Assumptions'!$B$39,J75&gt;='Assumptions'!$B$39,K75&lt;='Assumptions'!$B$40,L75&lt;='Assumptions'!$B$41,M75&lt;='Assumptions'!$B$42,N75&gt;='Assumptions'!$B$38,O75&gt;='Assumptions'!$B$38,P75&lt;=0.0001,Q75="ACCEPTED"),"PASS","VALID-ADVERSE"))</x:f>
        <x:v>OPEN</x:v>
      </x:c>
    </x:row>
    <x:row r="76">
      <x:c r="A76" s="10" t="str">
        <x:v>CT-069</x:v>
      </x:c>
      <x:c r="B76" s="10" t="str">
        <x:v>AR-P</x:v>
      </x:c>
      <x:c r="C76" s="10" t="str">
        <x:v>AR-P-A09</x:v>
      </x:c>
      <x:c r="D76" s="10" t="str">
        <x:v>BL-A</x:v>
      </x:c>
      <x:c r="E76" s="10" t="str">
        <x:v>C-2</x:v>
      </x:c>
      <x:c r="F76" s="10" t="str">
        <x:v>AT-5 emulsion/shear</x:v>
      </x:c>
      <x:c r="G76" s="10" t="n">
        <x:v>0.24</x:v>
      </x:c>
      <x:c r="H76" s="10" t="n">
        <x:v>5</x:v>
      </x:c>
      <x:c r="I76" s="12"/>
      <x:c r="J76" s="12"/>
      <x:c r="K76" s="12"/>
      <x:c r="L76" s="12"/>
      <x:c r="M76" s="12"/>
      <x:c r="N76" s="12"/>
      <x:c r="O76" s="12"/>
      <x:c r="P76" s="12"/>
      <x:c r="Q76" s="12"/>
      <x:c r="R76" s="10" t="str">
        <x:f>IF(OR(COUNT(I76:P76)&lt;8,Q76=""),"OPEN",IF(AND(INDEX('Candidate Articles'!$H$6:$H$29,MATCH(C76,'Candidate Articles'!$A$6:$A$29,0))="ACCEPTED",I76&gt;='Assumptions'!$B$39,J76&gt;='Assumptions'!$B$39,K76&lt;='Assumptions'!$B$40,L76&lt;='Assumptions'!$B$41,M76&lt;='Assumptions'!$B$42,N76&gt;='Assumptions'!$B$38,O76&gt;='Assumptions'!$B$38,P76&lt;=0.0001,Q76="ACCEPTED"),"PASS","VALID-ADVERSE"))</x:f>
        <x:v>OPEN</x:v>
      </x:c>
    </x:row>
    <x:row r="77">
      <x:c r="A77" s="10" t="str">
        <x:v>CT-070</x:v>
      </x:c>
      <x:c r="B77" s="10" t="str">
        <x:v>AR-P</x:v>
      </x:c>
      <x:c r="C77" s="10" t="str">
        <x:v>AR-P-A09</x:v>
      </x:c>
      <x:c r="D77" s="10" t="str">
        <x:v>BL-A</x:v>
      </x:c>
      <x:c r="E77" s="10" t="str">
        <x:v>C-2</x:v>
      </x:c>
      <x:c r="F77" s="10" t="str">
        <x:v>AT-6 film/delayed release</x:v>
      </x:c>
      <x:c r="G77" s="10" t="n">
        <x:v>0.24</x:v>
      </x:c>
      <x:c r="H77" s="10" t="n">
        <x:v>5</x:v>
      </x:c>
      <x:c r="I77" s="12"/>
      <x:c r="J77" s="12"/>
      <x:c r="K77" s="12"/>
      <x:c r="L77" s="12"/>
      <x:c r="M77" s="12"/>
      <x:c r="N77" s="12"/>
      <x:c r="O77" s="12"/>
      <x:c r="P77" s="12"/>
      <x:c r="Q77" s="12"/>
      <x:c r="R77" s="10" t="str">
        <x:f>IF(OR(COUNT(I77:P77)&lt;8,Q77=""),"OPEN",IF(AND(INDEX('Candidate Articles'!$H$6:$H$29,MATCH(C77,'Candidate Articles'!$A$6:$A$29,0))="ACCEPTED",I77&gt;='Assumptions'!$B$39,J77&gt;='Assumptions'!$B$39,K77&lt;='Assumptions'!$B$40,L77&lt;='Assumptions'!$B$41,M77&lt;='Assumptions'!$B$42,N77&gt;='Assumptions'!$B$38,O77&gt;='Assumptions'!$B$38,P77&lt;=0.0001,Q77="ACCEPTED"),"PASS","VALID-ADVERSE"))</x:f>
        <x:v>OPEN</x:v>
      </x:c>
    </x:row>
    <x:row r="78">
      <x:c r="A78" s="10" t="str">
        <x:v>CT-071</x:v>
      </x:c>
      <x:c r="B78" s="10" t="str">
        <x:v>AR-P</x:v>
      </x:c>
      <x:c r="C78" s="10" t="str">
        <x:v>AR-P-A09</x:v>
      </x:c>
      <x:c r="D78" s="10" t="str">
        <x:v>BL-A</x:v>
      </x:c>
      <x:c r="E78" s="10" t="str">
        <x:v>C-2</x:v>
      </x:c>
      <x:c r="F78" s="10" t="str">
        <x:v>AT-7 decoy/carryover</x:v>
      </x:c>
      <x:c r="G78" s="10" t="n">
        <x:v>0.24</x:v>
      </x:c>
      <x:c r="H78" s="10" t="n">
        <x:v>5</x:v>
      </x:c>
      <x:c r="I78" s="12"/>
      <x:c r="J78" s="12"/>
      <x:c r="K78" s="12"/>
      <x:c r="L78" s="12"/>
      <x:c r="M78" s="12"/>
      <x:c r="N78" s="12"/>
      <x:c r="O78" s="12"/>
      <x:c r="P78" s="12"/>
      <x:c r="Q78" s="12"/>
      <x:c r="R78" s="10" t="str">
        <x:f>IF(OR(COUNT(I78:P78)&lt;8,Q78=""),"OPEN",IF(AND(INDEX('Candidate Articles'!$H$6:$H$29,MATCH(C78,'Candidate Articles'!$A$6:$A$29,0))="ACCEPTED",I78&gt;='Assumptions'!$B$39,J78&gt;='Assumptions'!$B$39,K78&lt;='Assumptions'!$B$40,L78&lt;='Assumptions'!$B$41,M78&lt;='Assumptions'!$B$42,N78&gt;='Assumptions'!$B$38,O78&gt;='Assumptions'!$B$38,P78&lt;=0.0001,Q78="ACCEPTED"),"PASS","VALID-ADVERSE"))</x:f>
        <x:v>OPEN</x:v>
      </x:c>
    </x:row>
    <x:row r="79">
      <x:c r="A79" s="10" t="str">
        <x:v>CT-072</x:v>
      </x:c>
      <x:c r="B79" s="10" t="str">
        <x:v>AR-P</x:v>
      </x:c>
      <x:c r="C79" s="10" t="str">
        <x:v>AR-P-A09</x:v>
      </x:c>
      <x:c r="D79" s="10" t="str">
        <x:v>BL-A</x:v>
      </x:c>
      <x:c r="E79" s="10" t="str">
        <x:v>C-2</x:v>
      </x:c>
      <x:c r="F79" s="10" t="str">
        <x:v>AT-8 reader/time denied</x:v>
      </x:c>
      <x:c r="G79" s="10" t="n">
        <x:v>0.24</x:v>
      </x:c>
      <x:c r="H79" s="10" t="n">
        <x:v>5</x:v>
      </x:c>
      <x:c r="I79" s="12"/>
      <x:c r="J79" s="12"/>
      <x:c r="K79" s="12"/>
      <x:c r="L79" s="12"/>
      <x:c r="M79" s="12"/>
      <x:c r="N79" s="12"/>
      <x:c r="O79" s="12"/>
      <x:c r="P79" s="12"/>
      <x:c r="Q79" s="12"/>
      <x:c r="R79" s="10" t="str">
        <x:f>IF(OR(COUNT(I79:P79)&lt;8,Q79=""),"OPEN",IF(AND(INDEX('Candidate Articles'!$H$6:$H$29,MATCH(C79,'Candidate Articles'!$A$6:$A$29,0))="ACCEPTED",I79&gt;='Assumptions'!$B$39,J79&gt;='Assumptions'!$B$39,K79&lt;='Assumptions'!$B$40,L79&lt;='Assumptions'!$B$41,M79&lt;='Assumptions'!$B$42,N79&gt;='Assumptions'!$B$38,O79&gt;='Assumptions'!$B$38,P79&lt;=0.0001,Q79="ACCEPTED"),"PASS","VALID-ADVERSE"))</x:f>
        <x:v>OPEN</x:v>
      </x:c>
    </x:row>
    <x:row r="80">
      <x:c r="A80" s="10" t="str">
        <x:v>CT-073</x:v>
      </x:c>
      <x:c r="B80" s="10" t="str">
        <x:v>AR-P</x:v>
      </x:c>
      <x:c r="C80" s="10" t="str">
        <x:v>AR-P-A10</x:v>
      </x:c>
      <x:c r="D80" s="10" t="str">
        <x:v>BL-B</x:v>
      </x:c>
      <x:c r="E80" s="10" t="str">
        <x:v>C-2</x:v>
      </x:c>
      <x:c r="F80" s="10" t="str">
        <x:v>AT-1 blank/history</x:v>
      </x:c>
      <x:c r="G80" s="10" t="n">
        <x:v>0.24</x:v>
      </x:c>
      <x:c r="H80" s="10" t="n">
        <x:v>5</x:v>
      </x:c>
      <x:c r="I80" s="12"/>
      <x:c r="J80" s="12"/>
      <x:c r="K80" s="12"/>
      <x:c r="L80" s="12"/>
      <x:c r="M80" s="12"/>
      <x:c r="N80" s="12"/>
      <x:c r="O80" s="12"/>
      <x:c r="P80" s="12"/>
      <x:c r="Q80" s="12"/>
      <x:c r="R80" s="10" t="str">
        <x:f>IF(OR(COUNT(I80:P80)&lt;8,Q80=""),"OPEN",IF(AND(INDEX('Candidate Articles'!$H$6:$H$29,MATCH(C80,'Candidate Articles'!$A$6:$A$29,0))="ACCEPTED",I80&gt;='Assumptions'!$B$39,J80&gt;='Assumptions'!$B$39,K80&lt;='Assumptions'!$B$40,L80&lt;='Assumptions'!$B$41,M80&lt;='Assumptions'!$B$42,N80&gt;='Assumptions'!$B$38,O80&gt;='Assumptions'!$B$38,P80&lt;=0.0001,Q80="ACCEPTED"),"PASS","VALID-ADVERSE"))</x:f>
        <x:v>OPEN</x:v>
      </x:c>
    </x:row>
    <x:row r="81">
      <x:c r="A81" s="10" t="str">
        <x:v>CT-074</x:v>
      </x:c>
      <x:c r="B81" s="10" t="str">
        <x:v>AR-P</x:v>
      </x:c>
      <x:c r="C81" s="10" t="str">
        <x:v>AR-P-A10</x:v>
      </x:c>
      <x:c r="D81" s="10" t="str">
        <x:v>BL-B</x:v>
      </x:c>
      <x:c r="E81" s="10" t="str">
        <x:v>C-2</x:v>
      </x:c>
      <x:c r="F81" s="10" t="str">
        <x:v>AT-2 simulant only</x:v>
      </x:c>
      <x:c r="G81" s="10" t="n">
        <x:v>0.24</x:v>
      </x:c>
      <x:c r="H81" s="10" t="n">
        <x:v>5</x:v>
      </x:c>
      <x:c r="I81" s="12"/>
      <x:c r="J81" s="12"/>
      <x:c r="K81" s="12"/>
      <x:c r="L81" s="12"/>
      <x:c r="M81" s="12"/>
      <x:c r="N81" s="12"/>
      <x:c r="O81" s="12"/>
      <x:c r="P81" s="12"/>
      <x:c r="Q81" s="12"/>
      <x:c r="R81" s="10" t="str">
        <x:f>IF(OR(COUNT(I81:P81)&lt;8,Q81=""),"OPEN",IF(AND(INDEX('Candidate Articles'!$H$6:$H$29,MATCH(C81,'Candidate Articles'!$A$6:$A$29,0))="ACCEPTED",I81&gt;='Assumptions'!$B$39,J81&gt;='Assumptions'!$B$39,K81&lt;='Assumptions'!$B$40,L81&lt;='Assumptions'!$B$41,M81&lt;='Assumptions'!$B$42,N81&gt;='Assumptions'!$B$38,O81&gt;='Assumptions'!$B$38,P81&lt;=0.0001,Q81="ACCEPTED"),"PASS","VALID-ADVERSE"))</x:f>
        <x:v>OPEN</x:v>
      </x:c>
    </x:row>
    <x:row r="82">
      <x:c r="A82" s="10" t="str">
        <x:v>CT-075</x:v>
      </x:c>
      <x:c r="B82" s="10" t="str">
        <x:v>AR-P</x:v>
      </x:c>
      <x:c r="C82" s="10" t="str">
        <x:v>AR-P-A10</x:v>
      </x:c>
      <x:c r="D82" s="10" t="str">
        <x:v>BL-B</x:v>
      </x:c>
      <x:c r="E82" s="10" t="str">
        <x:v>C-2</x:v>
      </x:c>
      <x:c r="F82" s="10" t="str">
        <x:v>AT-3 water only</x:v>
      </x:c>
      <x:c r="G82" s="10" t="n">
        <x:v>0.24</x:v>
      </x:c>
      <x:c r="H82" s="10" t="n">
        <x:v>5</x:v>
      </x:c>
      <x:c r="I82" s="12"/>
      <x:c r="J82" s="12"/>
      <x:c r="K82" s="12"/>
      <x:c r="L82" s="12"/>
      <x:c r="M82" s="12"/>
      <x:c r="N82" s="12"/>
      <x:c r="O82" s="12"/>
      <x:c r="P82" s="12"/>
      <x:c r="Q82" s="12"/>
      <x:c r="R82" s="10" t="str">
        <x:f>IF(OR(COUNT(I82:P82)&lt;8,Q82=""),"OPEN",IF(AND(INDEX('Candidate Articles'!$H$6:$H$29,MATCH(C82,'Candidate Articles'!$A$6:$A$29,0))="ACCEPTED",I82&gt;='Assumptions'!$B$39,J82&gt;='Assumptions'!$B$39,K82&lt;='Assumptions'!$B$40,L82&lt;='Assumptions'!$B$41,M82&lt;='Assumptions'!$B$42,N82&gt;='Assumptions'!$B$38,O82&gt;='Assumptions'!$B$38,P82&lt;=0.0001,Q82="ACCEPTED"),"PASS","VALID-ADVERSE"))</x:f>
        <x:v>OPEN</x:v>
      </x:c>
    </x:row>
    <x:row r="83">
      <x:c r="A83" s="10" t="str">
        <x:v>CT-076</x:v>
      </x:c>
      <x:c r="B83" s="10" t="str">
        <x:v>AR-P</x:v>
      </x:c>
      <x:c r="C83" s="10" t="str">
        <x:v>AR-P-A10</x:v>
      </x:c>
      <x:c r="D83" s="10" t="str">
        <x:v>BL-B</x:v>
      </x:c>
      <x:c r="E83" s="10" t="str">
        <x:v>C-2</x:v>
      </x:c>
      <x:c r="F83" s="10" t="str">
        <x:v>AT-4 nominal crossover</x:v>
      </x:c>
      <x:c r="G83" s="10" t="n">
        <x:v>0.24</x:v>
      </x:c>
      <x:c r="H83" s="10" t="n">
        <x:v>5</x:v>
      </x:c>
      <x:c r="I83" s="12"/>
      <x:c r="J83" s="12"/>
      <x:c r="K83" s="12"/>
      <x:c r="L83" s="12"/>
      <x:c r="M83" s="12"/>
      <x:c r="N83" s="12"/>
      <x:c r="O83" s="12"/>
      <x:c r="P83" s="12"/>
      <x:c r="Q83" s="12"/>
      <x:c r="R83" s="10" t="str">
        <x:f>IF(OR(COUNT(I83:P83)&lt;8,Q83=""),"OPEN",IF(AND(INDEX('Candidate Articles'!$H$6:$H$29,MATCH(C83,'Candidate Articles'!$A$6:$A$29,0))="ACCEPTED",I83&gt;='Assumptions'!$B$39,J83&gt;='Assumptions'!$B$39,K83&lt;='Assumptions'!$B$40,L83&lt;='Assumptions'!$B$41,M83&lt;='Assumptions'!$B$42,N83&gt;='Assumptions'!$B$38,O83&gt;='Assumptions'!$B$38,P83&lt;=0.0001,Q83="ACCEPTED"),"PASS","VALID-ADVERSE"))</x:f>
        <x:v>OPEN</x:v>
      </x:c>
    </x:row>
    <x:row r="84">
      <x:c r="A84" s="10" t="str">
        <x:v>CT-077</x:v>
      </x:c>
      <x:c r="B84" s="10" t="str">
        <x:v>AR-P</x:v>
      </x:c>
      <x:c r="C84" s="10" t="str">
        <x:v>AR-P-A10</x:v>
      </x:c>
      <x:c r="D84" s="10" t="str">
        <x:v>BL-B</x:v>
      </x:c>
      <x:c r="E84" s="10" t="str">
        <x:v>C-2</x:v>
      </x:c>
      <x:c r="F84" s="10" t="str">
        <x:v>AT-5 emulsion/shear</x:v>
      </x:c>
      <x:c r="G84" s="10" t="n">
        <x:v>0.24</x:v>
      </x:c>
      <x:c r="H84" s="10" t="n">
        <x:v>5</x:v>
      </x:c>
      <x:c r="I84" s="12"/>
      <x:c r="J84" s="12"/>
      <x:c r="K84" s="12"/>
      <x:c r="L84" s="12"/>
      <x:c r="M84" s="12"/>
      <x:c r="N84" s="12"/>
      <x:c r="O84" s="12"/>
      <x:c r="P84" s="12"/>
      <x:c r="Q84" s="12"/>
      <x:c r="R84" s="10" t="str">
        <x:f>IF(OR(COUNT(I84:P84)&lt;8,Q84=""),"OPEN",IF(AND(INDEX('Candidate Articles'!$H$6:$H$29,MATCH(C84,'Candidate Articles'!$A$6:$A$29,0))="ACCEPTED",I84&gt;='Assumptions'!$B$39,J84&gt;='Assumptions'!$B$39,K84&lt;='Assumptions'!$B$40,L84&lt;='Assumptions'!$B$41,M84&lt;='Assumptions'!$B$42,N84&gt;='Assumptions'!$B$38,O84&gt;='Assumptions'!$B$38,P84&lt;=0.0001,Q84="ACCEPTED"),"PASS","VALID-ADVERSE"))</x:f>
        <x:v>OPEN</x:v>
      </x:c>
    </x:row>
    <x:row r="85">
      <x:c r="A85" s="10" t="str">
        <x:v>CT-078</x:v>
      </x:c>
      <x:c r="B85" s="10" t="str">
        <x:v>AR-P</x:v>
      </x:c>
      <x:c r="C85" s="10" t="str">
        <x:v>AR-P-A10</x:v>
      </x:c>
      <x:c r="D85" s="10" t="str">
        <x:v>BL-B</x:v>
      </x:c>
      <x:c r="E85" s="10" t="str">
        <x:v>C-2</x:v>
      </x:c>
      <x:c r="F85" s="10" t="str">
        <x:v>AT-6 film/delayed release</x:v>
      </x:c>
      <x:c r="G85" s="10" t="n">
        <x:v>0.24</x:v>
      </x:c>
      <x:c r="H85" s="10" t="n">
        <x:v>5</x:v>
      </x:c>
      <x:c r="I85" s="12"/>
      <x:c r="J85" s="12"/>
      <x:c r="K85" s="12"/>
      <x:c r="L85" s="12"/>
      <x:c r="M85" s="12"/>
      <x:c r="N85" s="12"/>
      <x:c r="O85" s="12"/>
      <x:c r="P85" s="12"/>
      <x:c r="Q85" s="12"/>
      <x:c r="R85" s="10" t="str">
        <x:f>IF(OR(COUNT(I85:P85)&lt;8,Q85=""),"OPEN",IF(AND(INDEX('Candidate Articles'!$H$6:$H$29,MATCH(C85,'Candidate Articles'!$A$6:$A$29,0))="ACCEPTED",I85&gt;='Assumptions'!$B$39,J85&gt;='Assumptions'!$B$39,K85&lt;='Assumptions'!$B$40,L85&lt;='Assumptions'!$B$41,M85&lt;='Assumptions'!$B$42,N85&gt;='Assumptions'!$B$38,O85&gt;='Assumptions'!$B$38,P85&lt;=0.0001,Q85="ACCEPTED"),"PASS","VALID-ADVERSE"))</x:f>
        <x:v>OPEN</x:v>
      </x:c>
    </x:row>
    <x:row r="86">
      <x:c r="A86" s="10" t="str">
        <x:v>CT-079</x:v>
      </x:c>
      <x:c r="B86" s="10" t="str">
        <x:v>AR-P</x:v>
      </x:c>
      <x:c r="C86" s="10" t="str">
        <x:v>AR-P-A10</x:v>
      </x:c>
      <x:c r="D86" s="10" t="str">
        <x:v>BL-B</x:v>
      </x:c>
      <x:c r="E86" s="10" t="str">
        <x:v>C-2</x:v>
      </x:c>
      <x:c r="F86" s="10" t="str">
        <x:v>AT-7 decoy/carryover</x:v>
      </x:c>
      <x:c r="G86" s="10" t="n">
        <x:v>0.24</x:v>
      </x:c>
      <x:c r="H86" s="10" t="n">
        <x:v>5</x:v>
      </x:c>
      <x:c r="I86" s="12"/>
      <x:c r="J86" s="12"/>
      <x:c r="K86" s="12"/>
      <x:c r="L86" s="12"/>
      <x:c r="M86" s="12"/>
      <x:c r="N86" s="12"/>
      <x:c r="O86" s="12"/>
      <x:c r="P86" s="12"/>
      <x:c r="Q86" s="12"/>
      <x:c r="R86" s="10" t="str">
        <x:f>IF(OR(COUNT(I86:P86)&lt;8,Q86=""),"OPEN",IF(AND(INDEX('Candidate Articles'!$H$6:$H$29,MATCH(C86,'Candidate Articles'!$A$6:$A$29,0))="ACCEPTED",I86&gt;='Assumptions'!$B$39,J86&gt;='Assumptions'!$B$39,K86&lt;='Assumptions'!$B$40,L86&lt;='Assumptions'!$B$41,M86&lt;='Assumptions'!$B$42,N86&gt;='Assumptions'!$B$38,O86&gt;='Assumptions'!$B$38,P86&lt;=0.0001,Q86="ACCEPTED"),"PASS","VALID-ADVERSE"))</x:f>
        <x:v>OPEN</x:v>
      </x:c>
    </x:row>
    <x:row r="87">
      <x:c r="A87" s="10" t="str">
        <x:v>CT-080</x:v>
      </x:c>
      <x:c r="B87" s="10" t="str">
        <x:v>AR-P</x:v>
      </x:c>
      <x:c r="C87" s="10" t="str">
        <x:v>AR-P-A10</x:v>
      </x:c>
      <x:c r="D87" s="10" t="str">
        <x:v>BL-B</x:v>
      </x:c>
      <x:c r="E87" s="10" t="str">
        <x:v>C-2</x:v>
      </x:c>
      <x:c r="F87" s="10" t="str">
        <x:v>AT-8 reader/time denied</x:v>
      </x:c>
      <x:c r="G87" s="10" t="n">
        <x:v>0.24</x:v>
      </x:c>
      <x:c r="H87" s="10" t="n">
        <x:v>5</x:v>
      </x:c>
      <x:c r="I87" s="12"/>
      <x:c r="J87" s="12"/>
      <x:c r="K87" s="12"/>
      <x:c r="L87" s="12"/>
      <x:c r="M87" s="12"/>
      <x:c r="N87" s="12"/>
      <x:c r="O87" s="12"/>
      <x:c r="P87" s="12"/>
      <x:c r="Q87" s="12"/>
      <x:c r="R87" s="10" t="str">
        <x:f>IF(OR(COUNT(I87:P87)&lt;8,Q87=""),"OPEN",IF(AND(INDEX('Candidate Articles'!$H$6:$H$29,MATCH(C87,'Candidate Articles'!$A$6:$A$29,0))="ACCEPTED",I87&gt;='Assumptions'!$B$39,J87&gt;='Assumptions'!$B$39,K87&lt;='Assumptions'!$B$40,L87&lt;='Assumptions'!$B$41,M87&lt;='Assumptions'!$B$42,N87&gt;='Assumptions'!$B$38,O87&gt;='Assumptions'!$B$38,P87&lt;=0.0001,Q87="ACCEPTED"),"PASS","VALID-ADVERSE"))</x:f>
        <x:v>OPEN</x:v>
      </x:c>
    </x:row>
    <x:row r="88">
      <x:c r="A88" s="10" t="str">
        <x:v>CT-081</x:v>
      </x:c>
      <x:c r="B88" s="10" t="str">
        <x:v>AR-P</x:v>
      </x:c>
      <x:c r="C88" s="10" t="str">
        <x:v>AR-P-A11</x:v>
      </x:c>
      <x:c r="D88" s="10" t="str">
        <x:v>BL-A</x:v>
      </x:c>
      <x:c r="E88" s="10" t="str">
        <x:v>C-3</x:v>
      </x:c>
      <x:c r="F88" s="10" t="str">
        <x:v>AT-1 blank/history</x:v>
      </x:c>
      <x:c r="G88" s="10" t="n">
        <x:v>0.24</x:v>
      </x:c>
      <x:c r="H88" s="10" t="n">
        <x:v>5</x:v>
      </x:c>
      <x:c r="I88" s="12"/>
      <x:c r="J88" s="12"/>
      <x:c r="K88" s="12"/>
      <x:c r="L88" s="12"/>
      <x:c r="M88" s="12"/>
      <x:c r="N88" s="12"/>
      <x:c r="O88" s="12"/>
      <x:c r="P88" s="12"/>
      <x:c r="Q88" s="12"/>
      <x:c r="R88" s="10" t="str">
        <x:f>IF(OR(COUNT(I88:P88)&lt;8,Q88=""),"OPEN",IF(AND(INDEX('Candidate Articles'!$H$6:$H$29,MATCH(C88,'Candidate Articles'!$A$6:$A$29,0))="ACCEPTED",I88&gt;='Assumptions'!$B$39,J88&gt;='Assumptions'!$B$39,K88&lt;='Assumptions'!$B$40,L88&lt;='Assumptions'!$B$41,M88&lt;='Assumptions'!$B$42,N88&gt;='Assumptions'!$B$38,O88&gt;='Assumptions'!$B$38,P88&lt;=0.0001,Q88="ACCEPTED"),"PASS","VALID-ADVERSE"))</x:f>
        <x:v>OPEN</x:v>
      </x:c>
    </x:row>
    <x:row r="89">
      <x:c r="A89" s="10" t="str">
        <x:v>CT-082</x:v>
      </x:c>
      <x:c r="B89" s="10" t="str">
        <x:v>AR-P</x:v>
      </x:c>
      <x:c r="C89" s="10" t="str">
        <x:v>AR-P-A11</x:v>
      </x:c>
      <x:c r="D89" s="10" t="str">
        <x:v>BL-A</x:v>
      </x:c>
      <x:c r="E89" s="10" t="str">
        <x:v>C-3</x:v>
      </x:c>
      <x:c r="F89" s="10" t="str">
        <x:v>AT-2 simulant only</x:v>
      </x:c>
      <x:c r="G89" s="10" t="n">
        <x:v>0.24</x:v>
      </x:c>
      <x:c r="H89" s="10" t="n">
        <x:v>5</x:v>
      </x:c>
      <x:c r="I89" s="12"/>
      <x:c r="J89" s="12"/>
      <x:c r="K89" s="12"/>
      <x:c r="L89" s="12"/>
      <x:c r="M89" s="12"/>
      <x:c r="N89" s="12"/>
      <x:c r="O89" s="12"/>
      <x:c r="P89" s="12"/>
      <x:c r="Q89" s="12"/>
      <x:c r="R89" s="10" t="str">
        <x:f>IF(OR(COUNT(I89:P89)&lt;8,Q89=""),"OPEN",IF(AND(INDEX('Candidate Articles'!$H$6:$H$29,MATCH(C89,'Candidate Articles'!$A$6:$A$29,0))="ACCEPTED",I89&gt;='Assumptions'!$B$39,J89&gt;='Assumptions'!$B$39,K89&lt;='Assumptions'!$B$40,L89&lt;='Assumptions'!$B$41,M89&lt;='Assumptions'!$B$42,N89&gt;='Assumptions'!$B$38,O89&gt;='Assumptions'!$B$38,P89&lt;=0.0001,Q89="ACCEPTED"),"PASS","VALID-ADVERSE"))</x:f>
        <x:v>OPEN</x:v>
      </x:c>
    </x:row>
    <x:row r="90">
      <x:c r="A90" s="10" t="str">
        <x:v>CT-083</x:v>
      </x:c>
      <x:c r="B90" s="10" t="str">
        <x:v>AR-P</x:v>
      </x:c>
      <x:c r="C90" s="10" t="str">
        <x:v>AR-P-A11</x:v>
      </x:c>
      <x:c r="D90" s="10" t="str">
        <x:v>BL-A</x:v>
      </x:c>
      <x:c r="E90" s="10" t="str">
        <x:v>C-3</x:v>
      </x:c>
      <x:c r="F90" s="10" t="str">
        <x:v>AT-3 water only</x:v>
      </x:c>
      <x:c r="G90" s="10" t="n">
        <x:v>0.24</x:v>
      </x:c>
      <x:c r="H90" s="10" t="n">
        <x:v>5</x:v>
      </x:c>
      <x:c r="I90" s="12"/>
      <x:c r="J90" s="12"/>
      <x:c r="K90" s="12"/>
      <x:c r="L90" s="12"/>
      <x:c r="M90" s="12"/>
      <x:c r="N90" s="12"/>
      <x:c r="O90" s="12"/>
      <x:c r="P90" s="12"/>
      <x:c r="Q90" s="12"/>
      <x:c r="R90" s="10" t="str">
        <x:f>IF(OR(COUNT(I90:P90)&lt;8,Q90=""),"OPEN",IF(AND(INDEX('Candidate Articles'!$H$6:$H$29,MATCH(C90,'Candidate Articles'!$A$6:$A$29,0))="ACCEPTED",I90&gt;='Assumptions'!$B$39,J90&gt;='Assumptions'!$B$39,K90&lt;='Assumptions'!$B$40,L90&lt;='Assumptions'!$B$41,M90&lt;='Assumptions'!$B$42,N90&gt;='Assumptions'!$B$38,O90&gt;='Assumptions'!$B$38,P90&lt;=0.0001,Q90="ACCEPTED"),"PASS","VALID-ADVERSE"))</x:f>
        <x:v>OPEN</x:v>
      </x:c>
    </x:row>
    <x:row r="91">
      <x:c r="A91" s="10" t="str">
        <x:v>CT-084</x:v>
      </x:c>
      <x:c r="B91" s="10" t="str">
        <x:v>AR-P</x:v>
      </x:c>
      <x:c r="C91" s="10" t="str">
        <x:v>AR-P-A11</x:v>
      </x:c>
      <x:c r="D91" s="10" t="str">
        <x:v>BL-A</x:v>
      </x:c>
      <x:c r="E91" s="10" t="str">
        <x:v>C-3</x:v>
      </x:c>
      <x:c r="F91" s="10" t="str">
        <x:v>AT-4 nominal crossover</x:v>
      </x:c>
      <x:c r="G91" s="10" t="n">
        <x:v>0.24</x:v>
      </x:c>
      <x:c r="H91" s="10" t="n">
        <x:v>5</x:v>
      </x:c>
      <x:c r="I91" s="12"/>
      <x:c r="J91" s="12"/>
      <x:c r="K91" s="12"/>
      <x:c r="L91" s="12"/>
      <x:c r="M91" s="12"/>
      <x:c r="N91" s="12"/>
      <x:c r="O91" s="12"/>
      <x:c r="P91" s="12"/>
      <x:c r="Q91" s="12"/>
      <x:c r="R91" s="10" t="str">
        <x:f>IF(OR(COUNT(I91:P91)&lt;8,Q91=""),"OPEN",IF(AND(INDEX('Candidate Articles'!$H$6:$H$29,MATCH(C91,'Candidate Articles'!$A$6:$A$29,0))="ACCEPTED",I91&gt;='Assumptions'!$B$39,J91&gt;='Assumptions'!$B$39,K91&lt;='Assumptions'!$B$40,L91&lt;='Assumptions'!$B$41,M91&lt;='Assumptions'!$B$42,N91&gt;='Assumptions'!$B$38,O91&gt;='Assumptions'!$B$38,P91&lt;=0.0001,Q91="ACCEPTED"),"PASS","VALID-ADVERSE"))</x:f>
        <x:v>OPEN</x:v>
      </x:c>
    </x:row>
    <x:row r="92">
      <x:c r="A92" s="10" t="str">
        <x:v>CT-085</x:v>
      </x:c>
      <x:c r="B92" s="10" t="str">
        <x:v>AR-P</x:v>
      </x:c>
      <x:c r="C92" s="10" t="str">
        <x:v>AR-P-A11</x:v>
      </x:c>
      <x:c r="D92" s="10" t="str">
        <x:v>BL-A</x:v>
      </x:c>
      <x:c r="E92" s="10" t="str">
        <x:v>C-3</x:v>
      </x:c>
      <x:c r="F92" s="10" t="str">
        <x:v>AT-5 emulsion/shear</x:v>
      </x:c>
      <x:c r="G92" s="10" t="n">
        <x:v>0.24</x:v>
      </x:c>
      <x:c r="H92" s="10" t="n">
        <x:v>5</x:v>
      </x:c>
      <x:c r="I92" s="12"/>
      <x:c r="J92" s="12"/>
      <x:c r="K92" s="12"/>
      <x:c r="L92" s="12"/>
      <x:c r="M92" s="12"/>
      <x:c r="N92" s="12"/>
      <x:c r="O92" s="12"/>
      <x:c r="P92" s="12"/>
      <x:c r="Q92" s="12"/>
      <x:c r="R92" s="10" t="str">
        <x:f>IF(OR(COUNT(I92:P92)&lt;8,Q92=""),"OPEN",IF(AND(INDEX('Candidate Articles'!$H$6:$H$29,MATCH(C92,'Candidate Articles'!$A$6:$A$29,0))="ACCEPTED",I92&gt;='Assumptions'!$B$39,J92&gt;='Assumptions'!$B$39,K92&lt;='Assumptions'!$B$40,L92&lt;='Assumptions'!$B$41,M92&lt;='Assumptions'!$B$42,N92&gt;='Assumptions'!$B$38,O92&gt;='Assumptions'!$B$38,P92&lt;=0.0001,Q92="ACCEPTED"),"PASS","VALID-ADVERSE"))</x:f>
        <x:v>OPEN</x:v>
      </x:c>
    </x:row>
    <x:row r="93">
      <x:c r="A93" s="10" t="str">
        <x:v>CT-086</x:v>
      </x:c>
      <x:c r="B93" s="10" t="str">
        <x:v>AR-P</x:v>
      </x:c>
      <x:c r="C93" s="10" t="str">
        <x:v>AR-P-A11</x:v>
      </x:c>
      <x:c r="D93" s="10" t="str">
        <x:v>BL-A</x:v>
      </x:c>
      <x:c r="E93" s="10" t="str">
        <x:v>C-3</x:v>
      </x:c>
      <x:c r="F93" s="10" t="str">
        <x:v>AT-6 film/delayed release</x:v>
      </x:c>
      <x:c r="G93" s="10" t="n">
        <x:v>0.24</x:v>
      </x:c>
      <x:c r="H93" s="10" t="n">
        <x:v>5</x:v>
      </x:c>
      <x:c r="I93" s="12"/>
      <x:c r="J93" s="12"/>
      <x:c r="K93" s="12"/>
      <x:c r="L93" s="12"/>
      <x:c r="M93" s="12"/>
      <x:c r="N93" s="12"/>
      <x:c r="O93" s="12"/>
      <x:c r="P93" s="12"/>
      <x:c r="Q93" s="12"/>
      <x:c r="R93" s="10" t="str">
        <x:f>IF(OR(COUNT(I93:P93)&lt;8,Q93=""),"OPEN",IF(AND(INDEX('Candidate Articles'!$H$6:$H$29,MATCH(C93,'Candidate Articles'!$A$6:$A$29,0))="ACCEPTED",I93&gt;='Assumptions'!$B$39,J93&gt;='Assumptions'!$B$39,K93&lt;='Assumptions'!$B$40,L93&lt;='Assumptions'!$B$41,M93&lt;='Assumptions'!$B$42,N93&gt;='Assumptions'!$B$38,O93&gt;='Assumptions'!$B$38,P93&lt;=0.0001,Q93="ACCEPTED"),"PASS","VALID-ADVERSE"))</x:f>
        <x:v>OPEN</x:v>
      </x:c>
    </x:row>
    <x:row r="94">
      <x:c r="A94" s="10" t="str">
        <x:v>CT-087</x:v>
      </x:c>
      <x:c r="B94" s="10" t="str">
        <x:v>AR-P</x:v>
      </x:c>
      <x:c r="C94" s="10" t="str">
        <x:v>AR-P-A11</x:v>
      </x:c>
      <x:c r="D94" s="10" t="str">
        <x:v>BL-A</x:v>
      </x:c>
      <x:c r="E94" s="10" t="str">
        <x:v>C-3</x:v>
      </x:c>
      <x:c r="F94" s="10" t="str">
        <x:v>AT-7 decoy/carryover</x:v>
      </x:c>
      <x:c r="G94" s="10" t="n">
        <x:v>0.24</x:v>
      </x:c>
      <x:c r="H94" s="10" t="n">
        <x:v>5</x:v>
      </x:c>
      <x:c r="I94" s="12"/>
      <x:c r="J94" s="12"/>
      <x:c r="K94" s="12"/>
      <x:c r="L94" s="12"/>
      <x:c r="M94" s="12"/>
      <x:c r="N94" s="12"/>
      <x:c r="O94" s="12"/>
      <x:c r="P94" s="12"/>
      <x:c r="Q94" s="12"/>
      <x:c r="R94" s="10" t="str">
        <x:f>IF(OR(COUNT(I94:P94)&lt;8,Q94=""),"OPEN",IF(AND(INDEX('Candidate Articles'!$H$6:$H$29,MATCH(C94,'Candidate Articles'!$A$6:$A$29,0))="ACCEPTED",I94&gt;='Assumptions'!$B$39,J94&gt;='Assumptions'!$B$39,K94&lt;='Assumptions'!$B$40,L94&lt;='Assumptions'!$B$41,M94&lt;='Assumptions'!$B$42,N94&gt;='Assumptions'!$B$38,O94&gt;='Assumptions'!$B$38,P94&lt;=0.0001,Q94="ACCEPTED"),"PASS","VALID-ADVERSE"))</x:f>
        <x:v>OPEN</x:v>
      </x:c>
    </x:row>
    <x:row r="95">
      <x:c r="A95" s="10" t="str">
        <x:v>CT-088</x:v>
      </x:c>
      <x:c r="B95" s="10" t="str">
        <x:v>AR-P</x:v>
      </x:c>
      <x:c r="C95" s="10" t="str">
        <x:v>AR-P-A11</x:v>
      </x:c>
      <x:c r="D95" s="10" t="str">
        <x:v>BL-A</x:v>
      </x:c>
      <x:c r="E95" s="10" t="str">
        <x:v>C-3</x:v>
      </x:c>
      <x:c r="F95" s="10" t="str">
        <x:v>AT-8 reader/time denied</x:v>
      </x:c>
      <x:c r="G95" s="10" t="n">
        <x:v>0.24</x:v>
      </x:c>
      <x:c r="H95" s="10" t="n">
        <x:v>5</x:v>
      </x:c>
      <x:c r="I95" s="12"/>
      <x:c r="J95" s="12"/>
      <x:c r="K95" s="12"/>
      <x:c r="L95" s="12"/>
      <x:c r="M95" s="12"/>
      <x:c r="N95" s="12"/>
      <x:c r="O95" s="12"/>
      <x:c r="P95" s="12"/>
      <x:c r="Q95" s="12"/>
      <x:c r="R95" s="10" t="str">
        <x:f>IF(OR(COUNT(I95:P95)&lt;8,Q95=""),"OPEN",IF(AND(INDEX('Candidate Articles'!$H$6:$H$29,MATCH(C95,'Candidate Articles'!$A$6:$A$29,0))="ACCEPTED",I95&gt;='Assumptions'!$B$39,J95&gt;='Assumptions'!$B$39,K95&lt;='Assumptions'!$B$40,L95&lt;='Assumptions'!$B$41,M95&lt;='Assumptions'!$B$42,N95&gt;='Assumptions'!$B$38,O95&gt;='Assumptions'!$B$38,P95&lt;=0.0001,Q95="ACCEPTED"),"PASS","VALID-ADVERSE"))</x:f>
        <x:v>OPEN</x:v>
      </x:c>
    </x:row>
    <x:row r="96">
      <x:c r="A96" s="10" t="str">
        <x:v>CT-089</x:v>
      </x:c>
      <x:c r="B96" s="10" t="str">
        <x:v>AR-P</x:v>
      </x:c>
      <x:c r="C96" s="10" t="str">
        <x:v>AR-P-A12</x:v>
      </x:c>
      <x:c r="D96" s="10" t="str">
        <x:v>BL-B</x:v>
      </x:c>
      <x:c r="E96" s="10" t="str">
        <x:v>C-3</x:v>
      </x:c>
      <x:c r="F96" s="10" t="str">
        <x:v>AT-1 blank/history</x:v>
      </x:c>
      <x:c r="G96" s="10" t="n">
        <x:v>0.24</x:v>
      </x:c>
      <x:c r="H96" s="10" t="n">
        <x:v>5</x:v>
      </x:c>
      <x:c r="I96" s="12"/>
      <x:c r="J96" s="12"/>
      <x:c r="K96" s="12"/>
      <x:c r="L96" s="12"/>
      <x:c r="M96" s="12"/>
      <x:c r="N96" s="12"/>
      <x:c r="O96" s="12"/>
      <x:c r="P96" s="12"/>
      <x:c r="Q96" s="12"/>
      <x:c r="R96" s="10" t="str">
        <x:f>IF(OR(COUNT(I96:P96)&lt;8,Q96=""),"OPEN",IF(AND(INDEX('Candidate Articles'!$H$6:$H$29,MATCH(C96,'Candidate Articles'!$A$6:$A$29,0))="ACCEPTED",I96&gt;='Assumptions'!$B$39,J96&gt;='Assumptions'!$B$39,K96&lt;='Assumptions'!$B$40,L96&lt;='Assumptions'!$B$41,M96&lt;='Assumptions'!$B$42,N96&gt;='Assumptions'!$B$38,O96&gt;='Assumptions'!$B$38,P96&lt;=0.0001,Q96="ACCEPTED"),"PASS","VALID-ADVERSE"))</x:f>
        <x:v>OPEN</x:v>
      </x:c>
    </x:row>
    <x:row r="97">
      <x:c r="A97" s="10" t="str">
        <x:v>CT-090</x:v>
      </x:c>
      <x:c r="B97" s="10" t="str">
        <x:v>AR-P</x:v>
      </x:c>
      <x:c r="C97" s="10" t="str">
        <x:v>AR-P-A12</x:v>
      </x:c>
      <x:c r="D97" s="10" t="str">
        <x:v>BL-B</x:v>
      </x:c>
      <x:c r="E97" s="10" t="str">
        <x:v>C-3</x:v>
      </x:c>
      <x:c r="F97" s="10" t="str">
        <x:v>AT-2 simulant only</x:v>
      </x:c>
      <x:c r="G97" s="10" t="n">
        <x:v>0.24</x:v>
      </x:c>
      <x:c r="H97" s="10" t="n">
        <x:v>5</x:v>
      </x:c>
      <x:c r="I97" s="12"/>
      <x:c r="J97" s="12"/>
      <x:c r="K97" s="12"/>
      <x:c r="L97" s="12"/>
      <x:c r="M97" s="12"/>
      <x:c r="N97" s="12"/>
      <x:c r="O97" s="12"/>
      <x:c r="P97" s="12"/>
      <x:c r="Q97" s="12"/>
      <x:c r="R97" s="10" t="str">
        <x:f>IF(OR(COUNT(I97:P97)&lt;8,Q97=""),"OPEN",IF(AND(INDEX('Candidate Articles'!$H$6:$H$29,MATCH(C97,'Candidate Articles'!$A$6:$A$29,0))="ACCEPTED",I97&gt;='Assumptions'!$B$39,J97&gt;='Assumptions'!$B$39,K97&lt;='Assumptions'!$B$40,L97&lt;='Assumptions'!$B$41,M97&lt;='Assumptions'!$B$42,N97&gt;='Assumptions'!$B$38,O97&gt;='Assumptions'!$B$38,P97&lt;=0.0001,Q97="ACCEPTED"),"PASS","VALID-ADVERSE"))</x:f>
        <x:v>OPEN</x:v>
      </x:c>
    </x:row>
    <x:row r="98">
      <x:c r="A98" s="10" t="str">
        <x:v>CT-091</x:v>
      </x:c>
      <x:c r="B98" s="10" t="str">
        <x:v>AR-P</x:v>
      </x:c>
      <x:c r="C98" s="10" t="str">
        <x:v>AR-P-A12</x:v>
      </x:c>
      <x:c r="D98" s="10" t="str">
        <x:v>BL-B</x:v>
      </x:c>
      <x:c r="E98" s="10" t="str">
        <x:v>C-3</x:v>
      </x:c>
      <x:c r="F98" s="10" t="str">
        <x:v>AT-3 water only</x:v>
      </x:c>
      <x:c r="G98" s="10" t="n">
        <x:v>0.24</x:v>
      </x:c>
      <x:c r="H98" s="10" t="n">
        <x:v>5</x:v>
      </x:c>
      <x:c r="I98" s="12"/>
      <x:c r="J98" s="12"/>
      <x:c r="K98" s="12"/>
      <x:c r="L98" s="12"/>
      <x:c r="M98" s="12"/>
      <x:c r="N98" s="12"/>
      <x:c r="O98" s="12"/>
      <x:c r="P98" s="12"/>
      <x:c r="Q98" s="12"/>
      <x:c r="R98" s="10" t="str">
        <x:f>IF(OR(COUNT(I98:P98)&lt;8,Q98=""),"OPEN",IF(AND(INDEX('Candidate Articles'!$H$6:$H$29,MATCH(C98,'Candidate Articles'!$A$6:$A$29,0))="ACCEPTED",I98&gt;='Assumptions'!$B$39,J98&gt;='Assumptions'!$B$39,K98&lt;='Assumptions'!$B$40,L98&lt;='Assumptions'!$B$41,M98&lt;='Assumptions'!$B$42,N98&gt;='Assumptions'!$B$38,O98&gt;='Assumptions'!$B$38,P98&lt;=0.0001,Q98="ACCEPTED"),"PASS","VALID-ADVERSE"))</x:f>
        <x:v>OPEN</x:v>
      </x:c>
    </x:row>
    <x:row r="99">
      <x:c r="A99" s="10" t="str">
        <x:v>CT-092</x:v>
      </x:c>
      <x:c r="B99" s="10" t="str">
        <x:v>AR-P</x:v>
      </x:c>
      <x:c r="C99" s="10" t="str">
        <x:v>AR-P-A12</x:v>
      </x:c>
      <x:c r="D99" s="10" t="str">
        <x:v>BL-B</x:v>
      </x:c>
      <x:c r="E99" s="10" t="str">
        <x:v>C-3</x:v>
      </x:c>
      <x:c r="F99" s="10" t="str">
        <x:v>AT-4 nominal crossover</x:v>
      </x:c>
      <x:c r="G99" s="10" t="n">
        <x:v>0.24</x:v>
      </x:c>
      <x:c r="H99" s="10" t="n">
        <x:v>5</x:v>
      </x:c>
      <x:c r="I99" s="12"/>
      <x:c r="J99" s="12"/>
      <x:c r="K99" s="12"/>
      <x:c r="L99" s="12"/>
      <x:c r="M99" s="12"/>
      <x:c r="N99" s="12"/>
      <x:c r="O99" s="12"/>
      <x:c r="P99" s="12"/>
      <x:c r="Q99" s="12"/>
      <x:c r="R99" s="10" t="str">
        <x:f>IF(OR(COUNT(I99:P99)&lt;8,Q99=""),"OPEN",IF(AND(INDEX('Candidate Articles'!$H$6:$H$29,MATCH(C99,'Candidate Articles'!$A$6:$A$29,0))="ACCEPTED",I99&gt;='Assumptions'!$B$39,J99&gt;='Assumptions'!$B$39,K99&lt;='Assumptions'!$B$40,L99&lt;='Assumptions'!$B$41,M99&lt;='Assumptions'!$B$42,N99&gt;='Assumptions'!$B$38,O99&gt;='Assumptions'!$B$38,P99&lt;=0.0001,Q99="ACCEPTED"),"PASS","VALID-ADVERSE"))</x:f>
        <x:v>OPEN</x:v>
      </x:c>
    </x:row>
    <x:row r="100">
      <x:c r="A100" s="10" t="str">
        <x:v>CT-093</x:v>
      </x:c>
      <x:c r="B100" s="10" t="str">
        <x:v>AR-P</x:v>
      </x:c>
      <x:c r="C100" s="10" t="str">
        <x:v>AR-P-A12</x:v>
      </x:c>
      <x:c r="D100" s="10" t="str">
        <x:v>BL-B</x:v>
      </x:c>
      <x:c r="E100" s="10" t="str">
        <x:v>C-3</x:v>
      </x:c>
      <x:c r="F100" s="10" t="str">
        <x:v>AT-5 emulsion/shear</x:v>
      </x:c>
      <x:c r="G100" s="10" t="n">
        <x:v>0.24</x:v>
      </x:c>
      <x:c r="H100" s="10" t="n">
        <x:v>5</x:v>
      </x:c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0" t="str">
        <x:f>IF(OR(COUNT(I100:P100)&lt;8,Q100=""),"OPEN",IF(AND(INDEX('Candidate Articles'!$H$6:$H$29,MATCH(C100,'Candidate Articles'!$A$6:$A$29,0))="ACCEPTED",I100&gt;='Assumptions'!$B$39,J100&gt;='Assumptions'!$B$39,K100&lt;='Assumptions'!$B$40,L100&lt;='Assumptions'!$B$41,M100&lt;='Assumptions'!$B$42,N100&gt;='Assumptions'!$B$38,O100&gt;='Assumptions'!$B$38,P100&lt;=0.0001,Q100="ACCEPTED"),"PASS","VALID-ADVERSE"))</x:f>
        <x:v>OPEN</x:v>
      </x:c>
    </x:row>
    <x:row r="101">
      <x:c r="A101" s="10" t="str">
        <x:v>CT-094</x:v>
      </x:c>
      <x:c r="B101" s="10" t="str">
        <x:v>AR-P</x:v>
      </x:c>
      <x:c r="C101" s="10" t="str">
        <x:v>AR-P-A12</x:v>
      </x:c>
      <x:c r="D101" s="10" t="str">
        <x:v>BL-B</x:v>
      </x:c>
      <x:c r="E101" s="10" t="str">
        <x:v>C-3</x:v>
      </x:c>
      <x:c r="F101" s="10" t="str">
        <x:v>AT-6 film/delayed release</x:v>
      </x:c>
      <x:c r="G101" s="10" t="n">
        <x:v>0.24</x:v>
      </x:c>
      <x:c r="H101" s="10" t="n">
        <x:v>5</x:v>
      </x:c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0" t="str">
        <x:f>IF(OR(COUNT(I101:P101)&lt;8,Q101=""),"OPEN",IF(AND(INDEX('Candidate Articles'!$H$6:$H$29,MATCH(C101,'Candidate Articles'!$A$6:$A$29,0))="ACCEPTED",I101&gt;='Assumptions'!$B$39,J101&gt;='Assumptions'!$B$39,K101&lt;='Assumptions'!$B$40,L101&lt;='Assumptions'!$B$41,M101&lt;='Assumptions'!$B$42,N101&gt;='Assumptions'!$B$38,O101&gt;='Assumptions'!$B$38,P101&lt;=0.0001,Q101="ACCEPTED"),"PASS","VALID-ADVERSE"))</x:f>
        <x:v>OPEN</x:v>
      </x:c>
    </x:row>
    <x:row r="102">
      <x:c r="A102" s="10" t="str">
        <x:v>CT-095</x:v>
      </x:c>
      <x:c r="B102" s="10" t="str">
        <x:v>AR-P</x:v>
      </x:c>
      <x:c r="C102" s="10" t="str">
        <x:v>AR-P-A12</x:v>
      </x:c>
      <x:c r="D102" s="10" t="str">
        <x:v>BL-B</x:v>
      </x:c>
      <x:c r="E102" s="10" t="str">
        <x:v>C-3</x:v>
      </x:c>
      <x:c r="F102" s="10" t="str">
        <x:v>AT-7 decoy/carryover</x:v>
      </x:c>
      <x:c r="G102" s="10" t="n">
        <x:v>0.24</x:v>
      </x:c>
      <x:c r="H102" s="10" t="n">
        <x:v>5</x:v>
      </x:c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0" t="str">
        <x:f>IF(OR(COUNT(I102:P102)&lt;8,Q102=""),"OPEN",IF(AND(INDEX('Candidate Articles'!$H$6:$H$29,MATCH(C102,'Candidate Articles'!$A$6:$A$29,0))="ACCEPTED",I102&gt;='Assumptions'!$B$39,J102&gt;='Assumptions'!$B$39,K102&lt;='Assumptions'!$B$40,L102&lt;='Assumptions'!$B$41,M102&lt;='Assumptions'!$B$42,N102&gt;='Assumptions'!$B$38,O102&gt;='Assumptions'!$B$38,P102&lt;=0.0001,Q102="ACCEPTED"),"PASS","VALID-ADVERSE"))</x:f>
        <x:v>OPEN</x:v>
      </x:c>
    </x:row>
    <x:row r="103">
      <x:c r="A103" s="10" t="str">
        <x:v>CT-096</x:v>
      </x:c>
      <x:c r="B103" s="10" t="str">
        <x:v>AR-P</x:v>
      </x:c>
      <x:c r="C103" s="10" t="str">
        <x:v>AR-P-A12</x:v>
      </x:c>
      <x:c r="D103" s="10" t="str">
        <x:v>BL-B</x:v>
      </x:c>
      <x:c r="E103" s="10" t="str">
        <x:v>C-3</x:v>
      </x:c>
      <x:c r="F103" s="10" t="str">
        <x:v>AT-8 reader/time denied</x:v>
      </x:c>
      <x:c r="G103" s="10" t="n">
        <x:v>0.24</x:v>
      </x:c>
      <x:c r="H103" s="10" t="n">
        <x:v>5</x:v>
      </x:c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0" t="str">
        <x:f>IF(OR(COUNT(I103:P103)&lt;8,Q103=""),"OPEN",IF(AND(INDEX('Candidate Articles'!$H$6:$H$29,MATCH(C103,'Candidate Articles'!$A$6:$A$29,0))="ACCEPTED",I103&gt;='Assumptions'!$B$39,J103&gt;='Assumptions'!$B$39,K103&lt;='Assumptions'!$B$40,L103&lt;='Assumptions'!$B$41,M103&lt;='Assumptions'!$B$42,N103&gt;='Assumptions'!$B$38,O103&gt;='Assumptions'!$B$38,P103&lt;=0.0001,Q103="ACCEPTED"),"PASS","VALID-ADVERSE"))</x:f>
        <x:v>OPEN</x:v>
      </x:c>
    </x:row>
    <x:row r="104">
      <x:c r="A104" s="10" t="str">
        <x:v>CT-097</x:v>
      </x:c>
      <x:c r="B104" s="10" t="str">
        <x:v>AR-R</x:v>
      </x:c>
      <x:c r="C104" s="10" t="str">
        <x:v>AR-R-A13</x:v>
      </x:c>
      <x:c r="D104" s="10" t="str">
        <x:v>BL-A</x:v>
      </x:c>
      <x:c r="E104" s="10" t="str">
        <x:v>C-1</x:v>
      </x:c>
      <x:c r="F104" s="10" t="str">
        <x:v>AT-1 blank/history</x:v>
      </x:c>
      <x:c r="G104" s="10" t="n">
        <x:v>0.24</x:v>
      </x:c>
      <x:c r="H104" s="10" t="n">
        <x:v>5</x:v>
      </x:c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0" t="str">
        <x:f>IF(OR(COUNT(I104:P104)&lt;8,Q104=""),"OPEN",IF(AND(INDEX('Candidate Articles'!$H$6:$H$29,MATCH(C104,'Candidate Articles'!$A$6:$A$29,0))="ACCEPTED",I104&gt;='Assumptions'!$B$39,J104&gt;='Assumptions'!$B$39,K104&lt;='Assumptions'!$B$40,L104&lt;='Assumptions'!$B$41,M104&lt;='Assumptions'!$B$42,N104&gt;='Assumptions'!$B$38,O104&gt;='Assumptions'!$B$38,P104&lt;=0.0001,Q104="ACCEPTED"),"PASS","VALID-ADVERSE"))</x:f>
        <x:v>OPEN</x:v>
      </x:c>
    </x:row>
    <x:row r="105">
      <x:c r="A105" s="10" t="str">
        <x:v>CT-098</x:v>
      </x:c>
      <x:c r="B105" s="10" t="str">
        <x:v>AR-R</x:v>
      </x:c>
      <x:c r="C105" s="10" t="str">
        <x:v>AR-R-A13</x:v>
      </x:c>
      <x:c r="D105" s="10" t="str">
        <x:v>BL-A</x:v>
      </x:c>
      <x:c r="E105" s="10" t="str">
        <x:v>C-1</x:v>
      </x:c>
      <x:c r="F105" s="10" t="str">
        <x:v>AT-2 simulant only</x:v>
      </x:c>
      <x:c r="G105" s="10" t="n">
        <x:v>0.24</x:v>
      </x:c>
      <x:c r="H105" s="10" t="n">
        <x:v>5</x:v>
      </x:c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0" t="str">
        <x:f>IF(OR(COUNT(I105:P105)&lt;8,Q105=""),"OPEN",IF(AND(INDEX('Candidate Articles'!$H$6:$H$29,MATCH(C105,'Candidate Articles'!$A$6:$A$29,0))="ACCEPTED",I105&gt;='Assumptions'!$B$39,J105&gt;='Assumptions'!$B$39,K105&lt;='Assumptions'!$B$40,L105&lt;='Assumptions'!$B$41,M105&lt;='Assumptions'!$B$42,N105&gt;='Assumptions'!$B$38,O105&gt;='Assumptions'!$B$38,P105&lt;=0.0001,Q105="ACCEPTED"),"PASS","VALID-ADVERSE"))</x:f>
        <x:v>OPEN</x:v>
      </x:c>
    </x:row>
    <x:row r="106">
      <x:c r="A106" s="10" t="str">
        <x:v>CT-099</x:v>
      </x:c>
      <x:c r="B106" s="10" t="str">
        <x:v>AR-R</x:v>
      </x:c>
      <x:c r="C106" s="10" t="str">
        <x:v>AR-R-A13</x:v>
      </x:c>
      <x:c r="D106" s="10" t="str">
        <x:v>BL-A</x:v>
      </x:c>
      <x:c r="E106" s="10" t="str">
        <x:v>C-1</x:v>
      </x:c>
      <x:c r="F106" s="10" t="str">
        <x:v>AT-3 water only</x:v>
      </x:c>
      <x:c r="G106" s="10" t="n">
        <x:v>0.24</x:v>
      </x:c>
      <x:c r="H106" s="10" t="n">
        <x:v>5</x:v>
      </x:c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0" t="str">
        <x:f>IF(OR(COUNT(I106:P106)&lt;8,Q106=""),"OPEN",IF(AND(INDEX('Candidate Articles'!$H$6:$H$29,MATCH(C106,'Candidate Articles'!$A$6:$A$29,0))="ACCEPTED",I106&gt;='Assumptions'!$B$39,J106&gt;='Assumptions'!$B$39,K106&lt;='Assumptions'!$B$40,L106&lt;='Assumptions'!$B$41,M106&lt;='Assumptions'!$B$42,N106&gt;='Assumptions'!$B$38,O106&gt;='Assumptions'!$B$38,P106&lt;=0.0001,Q106="ACCEPTED"),"PASS","VALID-ADVERSE"))</x:f>
        <x:v>OPEN</x:v>
      </x:c>
    </x:row>
    <x:row r="107">
      <x:c r="A107" s="10" t="str">
        <x:v>CT-100</x:v>
      </x:c>
      <x:c r="B107" s="10" t="str">
        <x:v>AR-R</x:v>
      </x:c>
      <x:c r="C107" s="10" t="str">
        <x:v>AR-R-A13</x:v>
      </x:c>
      <x:c r="D107" s="10" t="str">
        <x:v>BL-A</x:v>
      </x:c>
      <x:c r="E107" s="10" t="str">
        <x:v>C-1</x:v>
      </x:c>
      <x:c r="F107" s="10" t="str">
        <x:v>AT-4 nominal crossover</x:v>
      </x:c>
      <x:c r="G107" s="10" t="n">
        <x:v>0.24</x:v>
      </x:c>
      <x:c r="H107" s="10" t="n">
        <x:v>5</x:v>
      </x:c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0" t="str">
        <x:f>IF(OR(COUNT(I107:P107)&lt;8,Q107=""),"OPEN",IF(AND(INDEX('Candidate Articles'!$H$6:$H$29,MATCH(C107,'Candidate Articles'!$A$6:$A$29,0))="ACCEPTED",I107&gt;='Assumptions'!$B$39,J107&gt;='Assumptions'!$B$39,K107&lt;='Assumptions'!$B$40,L107&lt;='Assumptions'!$B$41,M107&lt;='Assumptions'!$B$42,N107&gt;='Assumptions'!$B$38,O107&gt;='Assumptions'!$B$38,P107&lt;=0.0001,Q107="ACCEPTED"),"PASS","VALID-ADVERSE"))</x:f>
        <x:v>OPEN</x:v>
      </x:c>
    </x:row>
    <x:row r="108">
      <x:c r="A108" s="10" t="str">
        <x:v>CT-101</x:v>
      </x:c>
      <x:c r="B108" s="10" t="str">
        <x:v>AR-R</x:v>
      </x:c>
      <x:c r="C108" s="10" t="str">
        <x:v>AR-R-A13</x:v>
      </x:c>
      <x:c r="D108" s="10" t="str">
        <x:v>BL-A</x:v>
      </x:c>
      <x:c r="E108" s="10" t="str">
        <x:v>C-1</x:v>
      </x:c>
      <x:c r="F108" s="10" t="str">
        <x:v>AT-5 emulsion/shear</x:v>
      </x:c>
      <x:c r="G108" s="10" t="n">
        <x:v>0.24</x:v>
      </x:c>
      <x:c r="H108" s="10" t="n">
        <x:v>5</x:v>
      </x:c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0" t="str">
        <x:f>IF(OR(COUNT(I108:P108)&lt;8,Q108=""),"OPEN",IF(AND(INDEX('Candidate Articles'!$H$6:$H$29,MATCH(C108,'Candidate Articles'!$A$6:$A$29,0))="ACCEPTED",I108&gt;='Assumptions'!$B$39,J108&gt;='Assumptions'!$B$39,K108&lt;='Assumptions'!$B$40,L108&lt;='Assumptions'!$B$41,M108&lt;='Assumptions'!$B$42,N108&gt;='Assumptions'!$B$38,O108&gt;='Assumptions'!$B$38,P108&lt;=0.0001,Q108="ACCEPTED"),"PASS","VALID-ADVERSE"))</x:f>
        <x:v>OPEN</x:v>
      </x:c>
    </x:row>
    <x:row r="109">
      <x:c r="A109" s="10" t="str">
        <x:v>CT-102</x:v>
      </x:c>
      <x:c r="B109" s="10" t="str">
        <x:v>AR-R</x:v>
      </x:c>
      <x:c r="C109" s="10" t="str">
        <x:v>AR-R-A13</x:v>
      </x:c>
      <x:c r="D109" s="10" t="str">
        <x:v>BL-A</x:v>
      </x:c>
      <x:c r="E109" s="10" t="str">
        <x:v>C-1</x:v>
      </x:c>
      <x:c r="F109" s="10" t="str">
        <x:v>AT-6 film/delayed release</x:v>
      </x:c>
      <x:c r="G109" s="10" t="n">
        <x:v>0.24</x:v>
      </x:c>
      <x:c r="H109" s="10" t="n">
        <x:v>5</x:v>
      </x:c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0" t="str">
        <x:f>IF(OR(COUNT(I109:P109)&lt;8,Q109=""),"OPEN",IF(AND(INDEX('Candidate Articles'!$H$6:$H$29,MATCH(C109,'Candidate Articles'!$A$6:$A$29,0))="ACCEPTED",I109&gt;='Assumptions'!$B$39,J109&gt;='Assumptions'!$B$39,K109&lt;='Assumptions'!$B$40,L109&lt;='Assumptions'!$B$41,M109&lt;='Assumptions'!$B$42,N109&gt;='Assumptions'!$B$38,O109&gt;='Assumptions'!$B$38,P109&lt;=0.0001,Q109="ACCEPTED"),"PASS","VALID-ADVERSE"))</x:f>
        <x:v>OPEN</x:v>
      </x:c>
    </x:row>
    <x:row r="110">
      <x:c r="A110" s="10" t="str">
        <x:v>CT-103</x:v>
      </x:c>
      <x:c r="B110" s="10" t="str">
        <x:v>AR-R</x:v>
      </x:c>
      <x:c r="C110" s="10" t="str">
        <x:v>AR-R-A13</x:v>
      </x:c>
      <x:c r="D110" s="10" t="str">
        <x:v>BL-A</x:v>
      </x:c>
      <x:c r="E110" s="10" t="str">
        <x:v>C-1</x:v>
      </x:c>
      <x:c r="F110" s="10" t="str">
        <x:v>AT-7 decoy/carryover</x:v>
      </x:c>
      <x:c r="G110" s="10" t="n">
        <x:v>0.24</x:v>
      </x:c>
      <x:c r="H110" s="10" t="n">
        <x:v>5</x:v>
      </x:c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0" t="str">
        <x:f>IF(OR(COUNT(I110:P110)&lt;8,Q110=""),"OPEN",IF(AND(INDEX('Candidate Articles'!$H$6:$H$29,MATCH(C110,'Candidate Articles'!$A$6:$A$29,0))="ACCEPTED",I110&gt;='Assumptions'!$B$39,J110&gt;='Assumptions'!$B$39,K110&lt;='Assumptions'!$B$40,L110&lt;='Assumptions'!$B$41,M110&lt;='Assumptions'!$B$42,N110&gt;='Assumptions'!$B$38,O110&gt;='Assumptions'!$B$38,P110&lt;=0.0001,Q110="ACCEPTED"),"PASS","VALID-ADVERSE"))</x:f>
        <x:v>OPEN</x:v>
      </x:c>
    </x:row>
    <x:row r="111">
      <x:c r="A111" s="10" t="str">
        <x:v>CT-104</x:v>
      </x:c>
      <x:c r="B111" s="10" t="str">
        <x:v>AR-R</x:v>
      </x:c>
      <x:c r="C111" s="10" t="str">
        <x:v>AR-R-A13</x:v>
      </x:c>
      <x:c r="D111" s="10" t="str">
        <x:v>BL-A</x:v>
      </x:c>
      <x:c r="E111" s="10" t="str">
        <x:v>C-1</x:v>
      </x:c>
      <x:c r="F111" s="10" t="str">
        <x:v>AT-8 reader/time denied</x:v>
      </x:c>
      <x:c r="G111" s="10" t="n">
        <x:v>0.24</x:v>
      </x:c>
      <x:c r="H111" s="10" t="n">
        <x:v>5</x:v>
      </x:c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0" t="str">
        <x:f>IF(OR(COUNT(I111:P111)&lt;8,Q111=""),"OPEN",IF(AND(INDEX('Candidate Articles'!$H$6:$H$29,MATCH(C111,'Candidate Articles'!$A$6:$A$29,0))="ACCEPTED",I111&gt;='Assumptions'!$B$39,J111&gt;='Assumptions'!$B$39,K111&lt;='Assumptions'!$B$40,L111&lt;='Assumptions'!$B$41,M111&lt;='Assumptions'!$B$42,N111&gt;='Assumptions'!$B$38,O111&gt;='Assumptions'!$B$38,P111&lt;=0.0001,Q111="ACCEPTED"),"PASS","VALID-ADVERSE"))</x:f>
        <x:v>OPEN</x:v>
      </x:c>
    </x:row>
    <x:row r="112">
      <x:c r="A112" s="10" t="str">
        <x:v>CT-105</x:v>
      </x:c>
      <x:c r="B112" s="10" t="str">
        <x:v>AR-R</x:v>
      </x:c>
      <x:c r="C112" s="10" t="str">
        <x:v>AR-R-A14</x:v>
      </x:c>
      <x:c r="D112" s="10" t="str">
        <x:v>BL-B</x:v>
      </x:c>
      <x:c r="E112" s="10" t="str">
        <x:v>C-1</x:v>
      </x:c>
      <x:c r="F112" s="10" t="str">
        <x:v>AT-1 blank/history</x:v>
      </x:c>
      <x:c r="G112" s="10" t="n">
        <x:v>0.24</x:v>
      </x:c>
      <x:c r="H112" s="10" t="n">
        <x:v>5</x:v>
      </x:c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0" t="str">
        <x:f>IF(OR(COUNT(I112:P112)&lt;8,Q112=""),"OPEN",IF(AND(INDEX('Candidate Articles'!$H$6:$H$29,MATCH(C112,'Candidate Articles'!$A$6:$A$29,0))="ACCEPTED",I112&gt;='Assumptions'!$B$39,J112&gt;='Assumptions'!$B$39,K112&lt;='Assumptions'!$B$40,L112&lt;='Assumptions'!$B$41,M112&lt;='Assumptions'!$B$42,N112&gt;='Assumptions'!$B$38,O112&gt;='Assumptions'!$B$38,P112&lt;=0.0001,Q112="ACCEPTED"),"PASS","VALID-ADVERSE"))</x:f>
        <x:v>OPEN</x:v>
      </x:c>
    </x:row>
    <x:row r="113">
      <x:c r="A113" s="10" t="str">
        <x:v>CT-106</x:v>
      </x:c>
      <x:c r="B113" s="10" t="str">
        <x:v>AR-R</x:v>
      </x:c>
      <x:c r="C113" s="10" t="str">
        <x:v>AR-R-A14</x:v>
      </x:c>
      <x:c r="D113" s="10" t="str">
        <x:v>BL-B</x:v>
      </x:c>
      <x:c r="E113" s="10" t="str">
        <x:v>C-1</x:v>
      </x:c>
      <x:c r="F113" s="10" t="str">
        <x:v>AT-2 simulant only</x:v>
      </x:c>
      <x:c r="G113" s="10" t="n">
        <x:v>0.24</x:v>
      </x:c>
      <x:c r="H113" s="10" t="n">
        <x:v>5</x:v>
      </x:c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0" t="str">
        <x:f>IF(OR(COUNT(I113:P113)&lt;8,Q113=""),"OPEN",IF(AND(INDEX('Candidate Articles'!$H$6:$H$29,MATCH(C113,'Candidate Articles'!$A$6:$A$29,0))="ACCEPTED",I113&gt;='Assumptions'!$B$39,J113&gt;='Assumptions'!$B$39,K113&lt;='Assumptions'!$B$40,L113&lt;='Assumptions'!$B$41,M113&lt;='Assumptions'!$B$42,N113&gt;='Assumptions'!$B$38,O113&gt;='Assumptions'!$B$38,P113&lt;=0.0001,Q113="ACCEPTED"),"PASS","VALID-ADVERSE"))</x:f>
        <x:v>OPEN</x:v>
      </x:c>
    </x:row>
    <x:row r="114">
      <x:c r="A114" s="10" t="str">
        <x:v>CT-107</x:v>
      </x:c>
      <x:c r="B114" s="10" t="str">
        <x:v>AR-R</x:v>
      </x:c>
      <x:c r="C114" s="10" t="str">
        <x:v>AR-R-A14</x:v>
      </x:c>
      <x:c r="D114" s="10" t="str">
        <x:v>BL-B</x:v>
      </x:c>
      <x:c r="E114" s="10" t="str">
        <x:v>C-1</x:v>
      </x:c>
      <x:c r="F114" s="10" t="str">
        <x:v>AT-3 water only</x:v>
      </x:c>
      <x:c r="G114" s="10" t="n">
        <x:v>0.24</x:v>
      </x:c>
      <x:c r="H114" s="10" t="n">
        <x:v>5</x:v>
      </x:c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0" t="str">
        <x:f>IF(OR(COUNT(I114:P114)&lt;8,Q114=""),"OPEN",IF(AND(INDEX('Candidate Articles'!$H$6:$H$29,MATCH(C114,'Candidate Articles'!$A$6:$A$29,0))="ACCEPTED",I114&gt;='Assumptions'!$B$39,J114&gt;='Assumptions'!$B$39,K114&lt;='Assumptions'!$B$40,L114&lt;='Assumptions'!$B$41,M114&lt;='Assumptions'!$B$42,N114&gt;='Assumptions'!$B$38,O114&gt;='Assumptions'!$B$38,P114&lt;=0.0001,Q114="ACCEPTED"),"PASS","VALID-ADVERSE"))</x:f>
        <x:v>OPEN</x:v>
      </x:c>
    </x:row>
    <x:row r="115">
      <x:c r="A115" s="10" t="str">
        <x:v>CT-108</x:v>
      </x:c>
      <x:c r="B115" s="10" t="str">
        <x:v>AR-R</x:v>
      </x:c>
      <x:c r="C115" s="10" t="str">
        <x:v>AR-R-A14</x:v>
      </x:c>
      <x:c r="D115" s="10" t="str">
        <x:v>BL-B</x:v>
      </x:c>
      <x:c r="E115" s="10" t="str">
        <x:v>C-1</x:v>
      </x:c>
      <x:c r="F115" s="10" t="str">
        <x:v>AT-4 nominal crossover</x:v>
      </x:c>
      <x:c r="G115" s="10" t="n">
        <x:v>0.24</x:v>
      </x:c>
      <x:c r="H115" s="10" t="n">
        <x:v>5</x:v>
      </x:c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0" t="str">
        <x:f>IF(OR(COUNT(I115:P115)&lt;8,Q115=""),"OPEN",IF(AND(INDEX('Candidate Articles'!$H$6:$H$29,MATCH(C115,'Candidate Articles'!$A$6:$A$29,0))="ACCEPTED",I115&gt;='Assumptions'!$B$39,J115&gt;='Assumptions'!$B$39,K115&lt;='Assumptions'!$B$40,L115&lt;='Assumptions'!$B$41,M115&lt;='Assumptions'!$B$42,N115&gt;='Assumptions'!$B$38,O115&gt;='Assumptions'!$B$38,P115&lt;=0.0001,Q115="ACCEPTED"),"PASS","VALID-ADVERSE"))</x:f>
        <x:v>OPEN</x:v>
      </x:c>
    </x:row>
    <x:row r="116">
      <x:c r="A116" s="10" t="str">
        <x:v>CT-109</x:v>
      </x:c>
      <x:c r="B116" s="10" t="str">
        <x:v>AR-R</x:v>
      </x:c>
      <x:c r="C116" s="10" t="str">
        <x:v>AR-R-A14</x:v>
      </x:c>
      <x:c r="D116" s="10" t="str">
        <x:v>BL-B</x:v>
      </x:c>
      <x:c r="E116" s="10" t="str">
        <x:v>C-1</x:v>
      </x:c>
      <x:c r="F116" s="10" t="str">
        <x:v>AT-5 emulsion/shear</x:v>
      </x:c>
      <x:c r="G116" s="10" t="n">
        <x:v>0.24</x:v>
      </x:c>
      <x:c r="H116" s="10" t="n">
        <x:v>5</x:v>
      </x:c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0" t="str">
        <x:f>IF(OR(COUNT(I116:P116)&lt;8,Q116=""),"OPEN",IF(AND(INDEX('Candidate Articles'!$H$6:$H$29,MATCH(C116,'Candidate Articles'!$A$6:$A$29,0))="ACCEPTED",I116&gt;='Assumptions'!$B$39,J116&gt;='Assumptions'!$B$39,K116&lt;='Assumptions'!$B$40,L116&lt;='Assumptions'!$B$41,M116&lt;='Assumptions'!$B$42,N116&gt;='Assumptions'!$B$38,O116&gt;='Assumptions'!$B$38,P116&lt;=0.0001,Q116="ACCEPTED"),"PASS","VALID-ADVERSE"))</x:f>
        <x:v>OPEN</x:v>
      </x:c>
    </x:row>
    <x:row r="117">
      <x:c r="A117" s="10" t="str">
        <x:v>CT-110</x:v>
      </x:c>
      <x:c r="B117" s="10" t="str">
        <x:v>AR-R</x:v>
      </x:c>
      <x:c r="C117" s="10" t="str">
        <x:v>AR-R-A14</x:v>
      </x:c>
      <x:c r="D117" s="10" t="str">
        <x:v>BL-B</x:v>
      </x:c>
      <x:c r="E117" s="10" t="str">
        <x:v>C-1</x:v>
      </x:c>
      <x:c r="F117" s="10" t="str">
        <x:v>AT-6 film/delayed release</x:v>
      </x:c>
      <x:c r="G117" s="10" t="n">
        <x:v>0.24</x:v>
      </x:c>
      <x:c r="H117" s="10" t="n">
        <x:v>5</x:v>
      </x:c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0" t="str">
        <x:f>IF(OR(COUNT(I117:P117)&lt;8,Q117=""),"OPEN",IF(AND(INDEX('Candidate Articles'!$H$6:$H$29,MATCH(C117,'Candidate Articles'!$A$6:$A$29,0))="ACCEPTED",I117&gt;='Assumptions'!$B$39,J117&gt;='Assumptions'!$B$39,K117&lt;='Assumptions'!$B$40,L117&lt;='Assumptions'!$B$41,M117&lt;='Assumptions'!$B$42,N117&gt;='Assumptions'!$B$38,O117&gt;='Assumptions'!$B$38,P117&lt;=0.0001,Q117="ACCEPTED"),"PASS","VALID-ADVERSE"))</x:f>
        <x:v>OPEN</x:v>
      </x:c>
    </x:row>
    <x:row r="118">
      <x:c r="A118" s="10" t="str">
        <x:v>CT-111</x:v>
      </x:c>
      <x:c r="B118" s="10" t="str">
        <x:v>AR-R</x:v>
      </x:c>
      <x:c r="C118" s="10" t="str">
        <x:v>AR-R-A14</x:v>
      </x:c>
      <x:c r="D118" s="10" t="str">
        <x:v>BL-B</x:v>
      </x:c>
      <x:c r="E118" s="10" t="str">
        <x:v>C-1</x:v>
      </x:c>
      <x:c r="F118" s="10" t="str">
        <x:v>AT-7 decoy/carryover</x:v>
      </x:c>
      <x:c r="G118" s="10" t="n">
        <x:v>0.24</x:v>
      </x:c>
      <x:c r="H118" s="10" t="n">
        <x:v>5</x:v>
      </x:c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0" t="str">
        <x:f>IF(OR(COUNT(I118:P118)&lt;8,Q118=""),"OPEN",IF(AND(INDEX('Candidate Articles'!$H$6:$H$29,MATCH(C118,'Candidate Articles'!$A$6:$A$29,0))="ACCEPTED",I118&gt;='Assumptions'!$B$39,J118&gt;='Assumptions'!$B$39,K118&lt;='Assumptions'!$B$40,L118&lt;='Assumptions'!$B$41,M118&lt;='Assumptions'!$B$42,N118&gt;='Assumptions'!$B$38,O118&gt;='Assumptions'!$B$38,P118&lt;=0.0001,Q118="ACCEPTED"),"PASS","VALID-ADVERSE"))</x:f>
        <x:v>OPEN</x:v>
      </x:c>
    </x:row>
    <x:row r="119">
      <x:c r="A119" s="10" t="str">
        <x:v>CT-112</x:v>
      </x:c>
      <x:c r="B119" s="10" t="str">
        <x:v>AR-R</x:v>
      </x:c>
      <x:c r="C119" s="10" t="str">
        <x:v>AR-R-A14</x:v>
      </x:c>
      <x:c r="D119" s="10" t="str">
        <x:v>BL-B</x:v>
      </x:c>
      <x:c r="E119" s="10" t="str">
        <x:v>C-1</x:v>
      </x:c>
      <x:c r="F119" s="10" t="str">
        <x:v>AT-8 reader/time denied</x:v>
      </x:c>
      <x:c r="G119" s="10" t="n">
        <x:v>0.24</x:v>
      </x:c>
      <x:c r="H119" s="10" t="n">
        <x:v>5</x:v>
      </x:c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0" t="str">
        <x:f>IF(OR(COUNT(I119:P119)&lt;8,Q119=""),"OPEN",IF(AND(INDEX('Candidate Articles'!$H$6:$H$29,MATCH(C119,'Candidate Articles'!$A$6:$A$29,0))="ACCEPTED",I119&gt;='Assumptions'!$B$39,J119&gt;='Assumptions'!$B$39,K119&lt;='Assumptions'!$B$40,L119&lt;='Assumptions'!$B$41,M119&lt;='Assumptions'!$B$42,N119&gt;='Assumptions'!$B$38,O119&gt;='Assumptions'!$B$38,P119&lt;=0.0001,Q119="ACCEPTED"),"PASS","VALID-ADVERSE"))</x:f>
        <x:v>OPEN</x:v>
      </x:c>
    </x:row>
    <x:row r="120">
      <x:c r="A120" s="10" t="str">
        <x:v>CT-113</x:v>
      </x:c>
      <x:c r="B120" s="10" t="str">
        <x:v>AR-R</x:v>
      </x:c>
      <x:c r="C120" s="10" t="str">
        <x:v>AR-R-A15</x:v>
      </x:c>
      <x:c r="D120" s="10" t="str">
        <x:v>BL-A</x:v>
      </x:c>
      <x:c r="E120" s="10" t="str">
        <x:v>C-2</x:v>
      </x:c>
      <x:c r="F120" s="10" t="str">
        <x:v>AT-1 blank/history</x:v>
      </x:c>
      <x:c r="G120" s="10" t="n">
        <x:v>0.24</x:v>
      </x:c>
      <x:c r="H120" s="10" t="n">
        <x:v>5</x:v>
      </x:c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0" t="str">
        <x:f>IF(OR(COUNT(I120:P120)&lt;8,Q120=""),"OPEN",IF(AND(INDEX('Candidate Articles'!$H$6:$H$29,MATCH(C120,'Candidate Articles'!$A$6:$A$29,0))="ACCEPTED",I120&gt;='Assumptions'!$B$39,J120&gt;='Assumptions'!$B$39,K120&lt;='Assumptions'!$B$40,L120&lt;='Assumptions'!$B$41,M120&lt;='Assumptions'!$B$42,N120&gt;='Assumptions'!$B$38,O120&gt;='Assumptions'!$B$38,P120&lt;=0.0001,Q120="ACCEPTED"),"PASS","VALID-ADVERSE"))</x:f>
        <x:v>OPEN</x:v>
      </x:c>
    </x:row>
    <x:row r="121">
      <x:c r="A121" s="10" t="str">
        <x:v>CT-114</x:v>
      </x:c>
      <x:c r="B121" s="10" t="str">
        <x:v>AR-R</x:v>
      </x:c>
      <x:c r="C121" s="10" t="str">
        <x:v>AR-R-A15</x:v>
      </x:c>
      <x:c r="D121" s="10" t="str">
        <x:v>BL-A</x:v>
      </x:c>
      <x:c r="E121" s="10" t="str">
        <x:v>C-2</x:v>
      </x:c>
      <x:c r="F121" s="10" t="str">
        <x:v>AT-2 simulant only</x:v>
      </x:c>
      <x:c r="G121" s="10" t="n">
        <x:v>0.24</x:v>
      </x:c>
      <x:c r="H121" s="10" t="n">
        <x:v>5</x:v>
      </x:c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0" t="str">
        <x:f>IF(OR(COUNT(I121:P121)&lt;8,Q121=""),"OPEN",IF(AND(INDEX('Candidate Articles'!$H$6:$H$29,MATCH(C121,'Candidate Articles'!$A$6:$A$29,0))="ACCEPTED",I121&gt;='Assumptions'!$B$39,J121&gt;='Assumptions'!$B$39,K121&lt;='Assumptions'!$B$40,L121&lt;='Assumptions'!$B$41,M121&lt;='Assumptions'!$B$42,N121&gt;='Assumptions'!$B$38,O121&gt;='Assumptions'!$B$38,P121&lt;=0.0001,Q121="ACCEPTED"),"PASS","VALID-ADVERSE"))</x:f>
        <x:v>OPEN</x:v>
      </x:c>
    </x:row>
    <x:row r="122">
      <x:c r="A122" s="10" t="str">
        <x:v>CT-115</x:v>
      </x:c>
      <x:c r="B122" s="10" t="str">
        <x:v>AR-R</x:v>
      </x:c>
      <x:c r="C122" s="10" t="str">
        <x:v>AR-R-A15</x:v>
      </x:c>
      <x:c r="D122" s="10" t="str">
        <x:v>BL-A</x:v>
      </x:c>
      <x:c r="E122" s="10" t="str">
        <x:v>C-2</x:v>
      </x:c>
      <x:c r="F122" s="10" t="str">
        <x:v>AT-3 water only</x:v>
      </x:c>
      <x:c r="G122" s="10" t="n">
        <x:v>0.24</x:v>
      </x:c>
      <x:c r="H122" s="10" t="n">
        <x:v>5</x:v>
      </x:c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0" t="str">
        <x:f>IF(OR(COUNT(I122:P122)&lt;8,Q122=""),"OPEN",IF(AND(INDEX('Candidate Articles'!$H$6:$H$29,MATCH(C122,'Candidate Articles'!$A$6:$A$29,0))="ACCEPTED",I122&gt;='Assumptions'!$B$39,J122&gt;='Assumptions'!$B$39,K122&lt;='Assumptions'!$B$40,L122&lt;='Assumptions'!$B$41,M122&lt;='Assumptions'!$B$42,N122&gt;='Assumptions'!$B$38,O122&gt;='Assumptions'!$B$38,P122&lt;=0.0001,Q122="ACCEPTED"),"PASS","VALID-ADVERSE"))</x:f>
        <x:v>OPEN</x:v>
      </x:c>
    </x:row>
    <x:row r="123">
      <x:c r="A123" s="10" t="str">
        <x:v>CT-116</x:v>
      </x:c>
      <x:c r="B123" s="10" t="str">
        <x:v>AR-R</x:v>
      </x:c>
      <x:c r="C123" s="10" t="str">
        <x:v>AR-R-A15</x:v>
      </x:c>
      <x:c r="D123" s="10" t="str">
        <x:v>BL-A</x:v>
      </x:c>
      <x:c r="E123" s="10" t="str">
        <x:v>C-2</x:v>
      </x:c>
      <x:c r="F123" s="10" t="str">
        <x:v>AT-4 nominal crossover</x:v>
      </x:c>
      <x:c r="G123" s="10" t="n">
        <x:v>0.24</x:v>
      </x:c>
      <x:c r="H123" s="10" t="n">
        <x:v>5</x:v>
      </x:c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0" t="str">
        <x:f>IF(OR(COUNT(I123:P123)&lt;8,Q123=""),"OPEN",IF(AND(INDEX('Candidate Articles'!$H$6:$H$29,MATCH(C123,'Candidate Articles'!$A$6:$A$29,0))="ACCEPTED",I123&gt;='Assumptions'!$B$39,J123&gt;='Assumptions'!$B$39,K123&lt;='Assumptions'!$B$40,L123&lt;='Assumptions'!$B$41,M123&lt;='Assumptions'!$B$42,N123&gt;='Assumptions'!$B$38,O123&gt;='Assumptions'!$B$38,P123&lt;=0.0001,Q123="ACCEPTED"),"PASS","VALID-ADVERSE"))</x:f>
        <x:v>OPEN</x:v>
      </x:c>
    </x:row>
    <x:row r="124">
      <x:c r="A124" s="10" t="str">
        <x:v>CT-117</x:v>
      </x:c>
      <x:c r="B124" s="10" t="str">
        <x:v>AR-R</x:v>
      </x:c>
      <x:c r="C124" s="10" t="str">
        <x:v>AR-R-A15</x:v>
      </x:c>
      <x:c r="D124" s="10" t="str">
        <x:v>BL-A</x:v>
      </x:c>
      <x:c r="E124" s="10" t="str">
        <x:v>C-2</x:v>
      </x:c>
      <x:c r="F124" s="10" t="str">
        <x:v>AT-5 emulsion/shear</x:v>
      </x:c>
      <x:c r="G124" s="10" t="n">
        <x:v>0.24</x:v>
      </x:c>
      <x:c r="H124" s="10" t="n">
        <x:v>5</x:v>
      </x:c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0" t="str">
        <x:f>IF(OR(COUNT(I124:P124)&lt;8,Q124=""),"OPEN",IF(AND(INDEX('Candidate Articles'!$H$6:$H$29,MATCH(C124,'Candidate Articles'!$A$6:$A$29,0))="ACCEPTED",I124&gt;='Assumptions'!$B$39,J124&gt;='Assumptions'!$B$39,K124&lt;='Assumptions'!$B$40,L124&lt;='Assumptions'!$B$41,M124&lt;='Assumptions'!$B$42,N124&gt;='Assumptions'!$B$38,O124&gt;='Assumptions'!$B$38,P124&lt;=0.0001,Q124="ACCEPTED"),"PASS","VALID-ADVERSE"))</x:f>
        <x:v>OPEN</x:v>
      </x:c>
    </x:row>
    <x:row r="125">
      <x:c r="A125" s="10" t="str">
        <x:v>CT-118</x:v>
      </x:c>
      <x:c r="B125" s="10" t="str">
        <x:v>AR-R</x:v>
      </x:c>
      <x:c r="C125" s="10" t="str">
        <x:v>AR-R-A15</x:v>
      </x:c>
      <x:c r="D125" s="10" t="str">
        <x:v>BL-A</x:v>
      </x:c>
      <x:c r="E125" s="10" t="str">
        <x:v>C-2</x:v>
      </x:c>
      <x:c r="F125" s="10" t="str">
        <x:v>AT-6 film/delayed release</x:v>
      </x:c>
      <x:c r="G125" s="10" t="n">
        <x:v>0.24</x:v>
      </x:c>
      <x:c r="H125" s="10" t="n">
        <x:v>5</x:v>
      </x:c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0" t="str">
        <x:f>IF(OR(COUNT(I125:P125)&lt;8,Q125=""),"OPEN",IF(AND(INDEX('Candidate Articles'!$H$6:$H$29,MATCH(C125,'Candidate Articles'!$A$6:$A$29,0))="ACCEPTED",I125&gt;='Assumptions'!$B$39,J125&gt;='Assumptions'!$B$39,K125&lt;='Assumptions'!$B$40,L125&lt;='Assumptions'!$B$41,M125&lt;='Assumptions'!$B$42,N125&gt;='Assumptions'!$B$38,O125&gt;='Assumptions'!$B$38,P125&lt;=0.0001,Q125="ACCEPTED"),"PASS","VALID-ADVERSE"))</x:f>
        <x:v>OPEN</x:v>
      </x:c>
    </x:row>
    <x:row r="126">
      <x:c r="A126" s="10" t="str">
        <x:v>CT-119</x:v>
      </x:c>
      <x:c r="B126" s="10" t="str">
        <x:v>AR-R</x:v>
      </x:c>
      <x:c r="C126" s="10" t="str">
        <x:v>AR-R-A15</x:v>
      </x:c>
      <x:c r="D126" s="10" t="str">
        <x:v>BL-A</x:v>
      </x:c>
      <x:c r="E126" s="10" t="str">
        <x:v>C-2</x:v>
      </x:c>
      <x:c r="F126" s="10" t="str">
        <x:v>AT-7 decoy/carryover</x:v>
      </x:c>
      <x:c r="G126" s="10" t="n">
        <x:v>0.24</x:v>
      </x:c>
      <x:c r="H126" s="10" t="n">
        <x:v>5</x:v>
      </x:c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0" t="str">
        <x:f>IF(OR(COUNT(I126:P126)&lt;8,Q126=""),"OPEN",IF(AND(INDEX('Candidate Articles'!$H$6:$H$29,MATCH(C126,'Candidate Articles'!$A$6:$A$29,0))="ACCEPTED",I126&gt;='Assumptions'!$B$39,J126&gt;='Assumptions'!$B$39,K126&lt;='Assumptions'!$B$40,L126&lt;='Assumptions'!$B$41,M126&lt;='Assumptions'!$B$42,N126&gt;='Assumptions'!$B$38,O126&gt;='Assumptions'!$B$38,P126&lt;=0.0001,Q126="ACCEPTED"),"PASS","VALID-ADVERSE"))</x:f>
        <x:v>OPEN</x:v>
      </x:c>
    </x:row>
    <x:row r="127">
      <x:c r="A127" s="10" t="str">
        <x:v>CT-120</x:v>
      </x:c>
      <x:c r="B127" s="10" t="str">
        <x:v>AR-R</x:v>
      </x:c>
      <x:c r="C127" s="10" t="str">
        <x:v>AR-R-A15</x:v>
      </x:c>
      <x:c r="D127" s="10" t="str">
        <x:v>BL-A</x:v>
      </x:c>
      <x:c r="E127" s="10" t="str">
        <x:v>C-2</x:v>
      </x:c>
      <x:c r="F127" s="10" t="str">
        <x:v>AT-8 reader/time denied</x:v>
      </x:c>
      <x:c r="G127" s="10" t="n">
        <x:v>0.24</x:v>
      </x:c>
      <x:c r="H127" s="10" t="n">
        <x:v>5</x:v>
      </x:c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0" t="str">
        <x:f>IF(OR(COUNT(I127:P127)&lt;8,Q127=""),"OPEN",IF(AND(INDEX('Candidate Articles'!$H$6:$H$29,MATCH(C127,'Candidate Articles'!$A$6:$A$29,0))="ACCEPTED",I127&gt;='Assumptions'!$B$39,J127&gt;='Assumptions'!$B$39,K127&lt;='Assumptions'!$B$40,L127&lt;='Assumptions'!$B$41,M127&lt;='Assumptions'!$B$42,N127&gt;='Assumptions'!$B$38,O127&gt;='Assumptions'!$B$38,P127&lt;=0.0001,Q127="ACCEPTED"),"PASS","VALID-ADVERSE"))</x:f>
        <x:v>OPEN</x:v>
      </x:c>
    </x:row>
    <x:row r="128">
      <x:c r="A128" s="10" t="str">
        <x:v>CT-121</x:v>
      </x:c>
      <x:c r="B128" s="10" t="str">
        <x:v>AR-R</x:v>
      </x:c>
      <x:c r="C128" s="10" t="str">
        <x:v>AR-R-A16</x:v>
      </x:c>
      <x:c r="D128" s="10" t="str">
        <x:v>BL-B</x:v>
      </x:c>
      <x:c r="E128" s="10" t="str">
        <x:v>C-2</x:v>
      </x:c>
      <x:c r="F128" s="10" t="str">
        <x:v>AT-1 blank/history</x:v>
      </x:c>
      <x:c r="G128" s="10" t="n">
        <x:v>0.24</x:v>
      </x:c>
      <x:c r="H128" s="10" t="n">
        <x:v>5</x:v>
      </x:c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0" t="str">
        <x:f>IF(OR(COUNT(I128:P128)&lt;8,Q128=""),"OPEN",IF(AND(INDEX('Candidate Articles'!$H$6:$H$29,MATCH(C128,'Candidate Articles'!$A$6:$A$29,0))="ACCEPTED",I128&gt;='Assumptions'!$B$39,J128&gt;='Assumptions'!$B$39,K128&lt;='Assumptions'!$B$40,L128&lt;='Assumptions'!$B$41,M128&lt;='Assumptions'!$B$42,N128&gt;='Assumptions'!$B$38,O128&gt;='Assumptions'!$B$38,P128&lt;=0.0001,Q128="ACCEPTED"),"PASS","VALID-ADVERSE"))</x:f>
        <x:v>OPEN</x:v>
      </x:c>
    </x:row>
    <x:row r="129">
      <x:c r="A129" s="10" t="str">
        <x:v>CT-122</x:v>
      </x:c>
      <x:c r="B129" s="10" t="str">
        <x:v>AR-R</x:v>
      </x:c>
      <x:c r="C129" s="10" t="str">
        <x:v>AR-R-A16</x:v>
      </x:c>
      <x:c r="D129" s="10" t="str">
        <x:v>BL-B</x:v>
      </x:c>
      <x:c r="E129" s="10" t="str">
        <x:v>C-2</x:v>
      </x:c>
      <x:c r="F129" s="10" t="str">
        <x:v>AT-2 simulant only</x:v>
      </x:c>
      <x:c r="G129" s="10" t="n">
        <x:v>0.24</x:v>
      </x:c>
      <x:c r="H129" s="10" t="n">
        <x:v>5</x:v>
      </x:c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0" t="str">
        <x:f>IF(OR(COUNT(I129:P129)&lt;8,Q129=""),"OPEN",IF(AND(INDEX('Candidate Articles'!$H$6:$H$29,MATCH(C129,'Candidate Articles'!$A$6:$A$29,0))="ACCEPTED",I129&gt;='Assumptions'!$B$39,J129&gt;='Assumptions'!$B$39,K129&lt;='Assumptions'!$B$40,L129&lt;='Assumptions'!$B$41,M129&lt;='Assumptions'!$B$42,N129&gt;='Assumptions'!$B$38,O129&gt;='Assumptions'!$B$38,P129&lt;=0.0001,Q129="ACCEPTED"),"PASS","VALID-ADVERSE"))</x:f>
        <x:v>OPEN</x:v>
      </x:c>
    </x:row>
    <x:row r="130">
      <x:c r="A130" s="10" t="str">
        <x:v>CT-123</x:v>
      </x:c>
      <x:c r="B130" s="10" t="str">
        <x:v>AR-R</x:v>
      </x:c>
      <x:c r="C130" s="10" t="str">
        <x:v>AR-R-A16</x:v>
      </x:c>
      <x:c r="D130" s="10" t="str">
        <x:v>BL-B</x:v>
      </x:c>
      <x:c r="E130" s="10" t="str">
        <x:v>C-2</x:v>
      </x:c>
      <x:c r="F130" s="10" t="str">
        <x:v>AT-3 water only</x:v>
      </x:c>
      <x:c r="G130" s="10" t="n">
        <x:v>0.24</x:v>
      </x:c>
      <x:c r="H130" s="10" t="n">
        <x:v>5</x:v>
      </x:c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0" t="str">
        <x:f>IF(OR(COUNT(I130:P130)&lt;8,Q130=""),"OPEN",IF(AND(INDEX('Candidate Articles'!$H$6:$H$29,MATCH(C130,'Candidate Articles'!$A$6:$A$29,0))="ACCEPTED",I130&gt;='Assumptions'!$B$39,J130&gt;='Assumptions'!$B$39,K130&lt;='Assumptions'!$B$40,L130&lt;='Assumptions'!$B$41,M130&lt;='Assumptions'!$B$42,N130&gt;='Assumptions'!$B$38,O130&gt;='Assumptions'!$B$38,P130&lt;=0.0001,Q130="ACCEPTED"),"PASS","VALID-ADVERSE"))</x:f>
        <x:v>OPEN</x:v>
      </x:c>
    </x:row>
    <x:row r="131">
      <x:c r="A131" s="10" t="str">
        <x:v>CT-124</x:v>
      </x:c>
      <x:c r="B131" s="10" t="str">
        <x:v>AR-R</x:v>
      </x:c>
      <x:c r="C131" s="10" t="str">
        <x:v>AR-R-A16</x:v>
      </x:c>
      <x:c r="D131" s="10" t="str">
        <x:v>BL-B</x:v>
      </x:c>
      <x:c r="E131" s="10" t="str">
        <x:v>C-2</x:v>
      </x:c>
      <x:c r="F131" s="10" t="str">
        <x:v>AT-4 nominal crossover</x:v>
      </x:c>
      <x:c r="G131" s="10" t="n">
        <x:v>0.24</x:v>
      </x:c>
      <x:c r="H131" s="10" t="n">
        <x:v>5</x:v>
      </x:c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0" t="str">
        <x:f>IF(OR(COUNT(I131:P131)&lt;8,Q131=""),"OPEN",IF(AND(INDEX('Candidate Articles'!$H$6:$H$29,MATCH(C131,'Candidate Articles'!$A$6:$A$29,0))="ACCEPTED",I131&gt;='Assumptions'!$B$39,J131&gt;='Assumptions'!$B$39,K131&lt;='Assumptions'!$B$40,L131&lt;='Assumptions'!$B$41,M131&lt;='Assumptions'!$B$42,N131&gt;='Assumptions'!$B$38,O131&gt;='Assumptions'!$B$38,P131&lt;=0.0001,Q131="ACCEPTED"),"PASS","VALID-ADVERSE"))</x:f>
        <x:v>OPEN</x:v>
      </x:c>
    </x:row>
    <x:row r="132">
      <x:c r="A132" s="10" t="str">
        <x:v>CT-125</x:v>
      </x:c>
      <x:c r="B132" s="10" t="str">
        <x:v>AR-R</x:v>
      </x:c>
      <x:c r="C132" s="10" t="str">
        <x:v>AR-R-A16</x:v>
      </x:c>
      <x:c r="D132" s="10" t="str">
        <x:v>BL-B</x:v>
      </x:c>
      <x:c r="E132" s="10" t="str">
        <x:v>C-2</x:v>
      </x:c>
      <x:c r="F132" s="10" t="str">
        <x:v>AT-5 emulsion/shear</x:v>
      </x:c>
      <x:c r="G132" s="10" t="n">
        <x:v>0.24</x:v>
      </x:c>
      <x:c r="H132" s="10" t="n">
        <x:v>5</x:v>
      </x:c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0" t="str">
        <x:f>IF(OR(COUNT(I132:P132)&lt;8,Q132=""),"OPEN",IF(AND(INDEX('Candidate Articles'!$H$6:$H$29,MATCH(C132,'Candidate Articles'!$A$6:$A$29,0))="ACCEPTED",I132&gt;='Assumptions'!$B$39,J132&gt;='Assumptions'!$B$39,K132&lt;='Assumptions'!$B$40,L132&lt;='Assumptions'!$B$41,M132&lt;='Assumptions'!$B$42,N132&gt;='Assumptions'!$B$38,O132&gt;='Assumptions'!$B$38,P132&lt;=0.0001,Q132="ACCEPTED"),"PASS","VALID-ADVERSE"))</x:f>
        <x:v>OPEN</x:v>
      </x:c>
    </x:row>
    <x:row r="133">
      <x:c r="A133" s="10" t="str">
        <x:v>CT-126</x:v>
      </x:c>
      <x:c r="B133" s="10" t="str">
        <x:v>AR-R</x:v>
      </x:c>
      <x:c r="C133" s="10" t="str">
        <x:v>AR-R-A16</x:v>
      </x:c>
      <x:c r="D133" s="10" t="str">
        <x:v>BL-B</x:v>
      </x:c>
      <x:c r="E133" s="10" t="str">
        <x:v>C-2</x:v>
      </x:c>
      <x:c r="F133" s="10" t="str">
        <x:v>AT-6 film/delayed release</x:v>
      </x:c>
      <x:c r="G133" s="10" t="n">
        <x:v>0.24</x:v>
      </x:c>
      <x:c r="H133" s="10" t="n">
        <x:v>5</x:v>
      </x:c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0" t="str">
        <x:f>IF(OR(COUNT(I133:P133)&lt;8,Q133=""),"OPEN",IF(AND(INDEX('Candidate Articles'!$H$6:$H$29,MATCH(C133,'Candidate Articles'!$A$6:$A$29,0))="ACCEPTED",I133&gt;='Assumptions'!$B$39,J133&gt;='Assumptions'!$B$39,K133&lt;='Assumptions'!$B$40,L133&lt;='Assumptions'!$B$41,M133&lt;='Assumptions'!$B$42,N133&gt;='Assumptions'!$B$38,O133&gt;='Assumptions'!$B$38,P133&lt;=0.0001,Q133="ACCEPTED"),"PASS","VALID-ADVERSE"))</x:f>
        <x:v>OPEN</x:v>
      </x:c>
    </x:row>
    <x:row r="134">
      <x:c r="A134" s="10" t="str">
        <x:v>CT-127</x:v>
      </x:c>
      <x:c r="B134" s="10" t="str">
        <x:v>AR-R</x:v>
      </x:c>
      <x:c r="C134" s="10" t="str">
        <x:v>AR-R-A16</x:v>
      </x:c>
      <x:c r="D134" s="10" t="str">
        <x:v>BL-B</x:v>
      </x:c>
      <x:c r="E134" s="10" t="str">
        <x:v>C-2</x:v>
      </x:c>
      <x:c r="F134" s="10" t="str">
        <x:v>AT-7 decoy/carryover</x:v>
      </x:c>
      <x:c r="G134" s="10" t="n">
        <x:v>0.24</x:v>
      </x:c>
      <x:c r="H134" s="10" t="n">
        <x:v>5</x:v>
      </x:c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0" t="str">
        <x:f>IF(OR(COUNT(I134:P134)&lt;8,Q134=""),"OPEN",IF(AND(INDEX('Candidate Articles'!$H$6:$H$29,MATCH(C134,'Candidate Articles'!$A$6:$A$29,0))="ACCEPTED",I134&gt;='Assumptions'!$B$39,J134&gt;='Assumptions'!$B$39,K134&lt;='Assumptions'!$B$40,L134&lt;='Assumptions'!$B$41,M134&lt;='Assumptions'!$B$42,N134&gt;='Assumptions'!$B$38,O134&gt;='Assumptions'!$B$38,P134&lt;=0.0001,Q134="ACCEPTED"),"PASS","VALID-ADVERSE"))</x:f>
        <x:v>OPEN</x:v>
      </x:c>
    </x:row>
    <x:row r="135">
      <x:c r="A135" s="10" t="str">
        <x:v>CT-128</x:v>
      </x:c>
      <x:c r="B135" s="10" t="str">
        <x:v>AR-R</x:v>
      </x:c>
      <x:c r="C135" s="10" t="str">
        <x:v>AR-R-A16</x:v>
      </x:c>
      <x:c r="D135" s="10" t="str">
        <x:v>BL-B</x:v>
      </x:c>
      <x:c r="E135" s="10" t="str">
        <x:v>C-2</x:v>
      </x:c>
      <x:c r="F135" s="10" t="str">
        <x:v>AT-8 reader/time denied</x:v>
      </x:c>
      <x:c r="G135" s="10" t="n">
        <x:v>0.24</x:v>
      </x:c>
      <x:c r="H135" s="10" t="n">
        <x:v>5</x:v>
      </x:c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0" t="str">
        <x:f>IF(OR(COUNT(I135:P135)&lt;8,Q135=""),"OPEN",IF(AND(INDEX('Candidate Articles'!$H$6:$H$29,MATCH(C135,'Candidate Articles'!$A$6:$A$29,0))="ACCEPTED",I135&gt;='Assumptions'!$B$39,J135&gt;='Assumptions'!$B$39,K135&lt;='Assumptions'!$B$40,L135&lt;='Assumptions'!$B$41,M135&lt;='Assumptions'!$B$42,N135&gt;='Assumptions'!$B$38,O135&gt;='Assumptions'!$B$38,P135&lt;=0.0001,Q135="ACCEPTED"),"PASS","VALID-ADVERSE"))</x:f>
        <x:v>OPEN</x:v>
      </x:c>
    </x:row>
    <x:row r="136">
      <x:c r="A136" s="10" t="str">
        <x:v>CT-129</x:v>
      </x:c>
      <x:c r="B136" s="10" t="str">
        <x:v>AR-R</x:v>
      </x:c>
      <x:c r="C136" s="10" t="str">
        <x:v>AR-R-A17</x:v>
      </x:c>
      <x:c r="D136" s="10" t="str">
        <x:v>BL-A</x:v>
      </x:c>
      <x:c r="E136" s="10" t="str">
        <x:v>C-3</x:v>
      </x:c>
      <x:c r="F136" s="10" t="str">
        <x:v>AT-1 blank/history</x:v>
      </x:c>
      <x:c r="G136" s="10" t="n">
        <x:v>0.24</x:v>
      </x:c>
      <x:c r="H136" s="10" t="n">
        <x:v>5</x:v>
      </x:c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0" t="str">
        <x:f>IF(OR(COUNT(I136:P136)&lt;8,Q136=""),"OPEN",IF(AND(INDEX('Candidate Articles'!$H$6:$H$29,MATCH(C136,'Candidate Articles'!$A$6:$A$29,0))="ACCEPTED",I136&gt;='Assumptions'!$B$39,J136&gt;='Assumptions'!$B$39,K136&lt;='Assumptions'!$B$40,L136&lt;='Assumptions'!$B$41,M136&lt;='Assumptions'!$B$42,N136&gt;='Assumptions'!$B$38,O136&gt;='Assumptions'!$B$38,P136&lt;=0.0001,Q136="ACCEPTED"),"PASS","VALID-ADVERSE"))</x:f>
        <x:v>OPEN</x:v>
      </x:c>
    </x:row>
    <x:row r="137">
      <x:c r="A137" s="10" t="str">
        <x:v>CT-130</x:v>
      </x:c>
      <x:c r="B137" s="10" t="str">
        <x:v>AR-R</x:v>
      </x:c>
      <x:c r="C137" s="10" t="str">
        <x:v>AR-R-A17</x:v>
      </x:c>
      <x:c r="D137" s="10" t="str">
        <x:v>BL-A</x:v>
      </x:c>
      <x:c r="E137" s="10" t="str">
        <x:v>C-3</x:v>
      </x:c>
      <x:c r="F137" s="10" t="str">
        <x:v>AT-2 simulant only</x:v>
      </x:c>
      <x:c r="G137" s="10" t="n">
        <x:v>0.24</x:v>
      </x:c>
      <x:c r="H137" s="10" t="n">
        <x:v>5</x:v>
      </x:c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0" t="str">
        <x:f>IF(OR(COUNT(I137:P137)&lt;8,Q137=""),"OPEN",IF(AND(INDEX('Candidate Articles'!$H$6:$H$29,MATCH(C137,'Candidate Articles'!$A$6:$A$29,0))="ACCEPTED",I137&gt;='Assumptions'!$B$39,J137&gt;='Assumptions'!$B$39,K137&lt;='Assumptions'!$B$40,L137&lt;='Assumptions'!$B$41,M137&lt;='Assumptions'!$B$42,N137&gt;='Assumptions'!$B$38,O137&gt;='Assumptions'!$B$38,P137&lt;=0.0001,Q137="ACCEPTED"),"PASS","VALID-ADVERSE"))</x:f>
        <x:v>OPEN</x:v>
      </x:c>
    </x:row>
    <x:row r="138">
      <x:c r="A138" s="10" t="str">
        <x:v>CT-131</x:v>
      </x:c>
      <x:c r="B138" s="10" t="str">
        <x:v>AR-R</x:v>
      </x:c>
      <x:c r="C138" s="10" t="str">
        <x:v>AR-R-A17</x:v>
      </x:c>
      <x:c r="D138" s="10" t="str">
        <x:v>BL-A</x:v>
      </x:c>
      <x:c r="E138" s="10" t="str">
        <x:v>C-3</x:v>
      </x:c>
      <x:c r="F138" s="10" t="str">
        <x:v>AT-3 water only</x:v>
      </x:c>
      <x:c r="G138" s="10" t="n">
        <x:v>0.24</x:v>
      </x:c>
      <x:c r="H138" s="10" t="n">
        <x:v>5</x:v>
      </x:c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0" t="str">
        <x:f>IF(OR(COUNT(I138:P138)&lt;8,Q138=""),"OPEN",IF(AND(INDEX('Candidate Articles'!$H$6:$H$29,MATCH(C138,'Candidate Articles'!$A$6:$A$29,0))="ACCEPTED",I138&gt;='Assumptions'!$B$39,J138&gt;='Assumptions'!$B$39,K138&lt;='Assumptions'!$B$40,L138&lt;='Assumptions'!$B$41,M138&lt;='Assumptions'!$B$42,N138&gt;='Assumptions'!$B$38,O138&gt;='Assumptions'!$B$38,P138&lt;=0.0001,Q138="ACCEPTED"),"PASS","VALID-ADVERSE"))</x:f>
        <x:v>OPEN</x:v>
      </x:c>
    </x:row>
    <x:row r="139">
      <x:c r="A139" s="10" t="str">
        <x:v>CT-132</x:v>
      </x:c>
      <x:c r="B139" s="10" t="str">
        <x:v>AR-R</x:v>
      </x:c>
      <x:c r="C139" s="10" t="str">
        <x:v>AR-R-A17</x:v>
      </x:c>
      <x:c r="D139" s="10" t="str">
        <x:v>BL-A</x:v>
      </x:c>
      <x:c r="E139" s="10" t="str">
        <x:v>C-3</x:v>
      </x:c>
      <x:c r="F139" s="10" t="str">
        <x:v>AT-4 nominal crossover</x:v>
      </x:c>
      <x:c r="G139" s="10" t="n">
        <x:v>0.24</x:v>
      </x:c>
      <x:c r="H139" s="10" t="n">
        <x:v>5</x:v>
      </x:c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0" t="str">
        <x:f>IF(OR(COUNT(I139:P139)&lt;8,Q139=""),"OPEN",IF(AND(INDEX('Candidate Articles'!$H$6:$H$29,MATCH(C139,'Candidate Articles'!$A$6:$A$29,0))="ACCEPTED",I139&gt;='Assumptions'!$B$39,J139&gt;='Assumptions'!$B$39,K139&lt;='Assumptions'!$B$40,L139&lt;='Assumptions'!$B$41,M139&lt;='Assumptions'!$B$42,N139&gt;='Assumptions'!$B$38,O139&gt;='Assumptions'!$B$38,P139&lt;=0.0001,Q139="ACCEPTED"),"PASS","VALID-ADVERSE"))</x:f>
        <x:v>OPEN</x:v>
      </x:c>
    </x:row>
    <x:row r="140">
      <x:c r="A140" s="10" t="str">
        <x:v>CT-133</x:v>
      </x:c>
      <x:c r="B140" s="10" t="str">
        <x:v>AR-R</x:v>
      </x:c>
      <x:c r="C140" s="10" t="str">
        <x:v>AR-R-A17</x:v>
      </x:c>
      <x:c r="D140" s="10" t="str">
        <x:v>BL-A</x:v>
      </x:c>
      <x:c r="E140" s="10" t="str">
        <x:v>C-3</x:v>
      </x:c>
      <x:c r="F140" s="10" t="str">
        <x:v>AT-5 emulsion/shear</x:v>
      </x:c>
      <x:c r="G140" s="10" t="n">
        <x:v>0.24</x:v>
      </x:c>
      <x:c r="H140" s="10" t="n">
        <x:v>5</x:v>
      </x:c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0" t="str">
        <x:f>IF(OR(COUNT(I140:P140)&lt;8,Q140=""),"OPEN",IF(AND(INDEX('Candidate Articles'!$H$6:$H$29,MATCH(C140,'Candidate Articles'!$A$6:$A$29,0))="ACCEPTED",I140&gt;='Assumptions'!$B$39,J140&gt;='Assumptions'!$B$39,K140&lt;='Assumptions'!$B$40,L140&lt;='Assumptions'!$B$41,M140&lt;='Assumptions'!$B$42,N140&gt;='Assumptions'!$B$38,O140&gt;='Assumptions'!$B$38,P140&lt;=0.0001,Q140="ACCEPTED"),"PASS","VALID-ADVERSE"))</x:f>
        <x:v>OPEN</x:v>
      </x:c>
    </x:row>
    <x:row r="141">
      <x:c r="A141" s="10" t="str">
        <x:v>CT-134</x:v>
      </x:c>
      <x:c r="B141" s="10" t="str">
        <x:v>AR-R</x:v>
      </x:c>
      <x:c r="C141" s="10" t="str">
        <x:v>AR-R-A17</x:v>
      </x:c>
      <x:c r="D141" s="10" t="str">
        <x:v>BL-A</x:v>
      </x:c>
      <x:c r="E141" s="10" t="str">
        <x:v>C-3</x:v>
      </x:c>
      <x:c r="F141" s="10" t="str">
        <x:v>AT-6 film/delayed release</x:v>
      </x:c>
      <x:c r="G141" s="10" t="n">
        <x:v>0.24</x:v>
      </x:c>
      <x:c r="H141" s="10" t="n">
        <x:v>5</x:v>
      </x:c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0" t="str">
        <x:f>IF(OR(COUNT(I141:P141)&lt;8,Q141=""),"OPEN",IF(AND(INDEX('Candidate Articles'!$H$6:$H$29,MATCH(C141,'Candidate Articles'!$A$6:$A$29,0))="ACCEPTED",I141&gt;='Assumptions'!$B$39,J141&gt;='Assumptions'!$B$39,K141&lt;='Assumptions'!$B$40,L141&lt;='Assumptions'!$B$41,M141&lt;='Assumptions'!$B$42,N141&gt;='Assumptions'!$B$38,O141&gt;='Assumptions'!$B$38,P141&lt;=0.0001,Q141="ACCEPTED"),"PASS","VALID-ADVERSE"))</x:f>
        <x:v>OPEN</x:v>
      </x:c>
    </x:row>
    <x:row r="142">
      <x:c r="A142" s="10" t="str">
        <x:v>CT-135</x:v>
      </x:c>
      <x:c r="B142" s="10" t="str">
        <x:v>AR-R</x:v>
      </x:c>
      <x:c r="C142" s="10" t="str">
        <x:v>AR-R-A17</x:v>
      </x:c>
      <x:c r="D142" s="10" t="str">
        <x:v>BL-A</x:v>
      </x:c>
      <x:c r="E142" s="10" t="str">
        <x:v>C-3</x:v>
      </x:c>
      <x:c r="F142" s="10" t="str">
        <x:v>AT-7 decoy/carryover</x:v>
      </x:c>
      <x:c r="G142" s="10" t="n">
        <x:v>0.24</x:v>
      </x:c>
      <x:c r="H142" s="10" t="n">
        <x:v>5</x:v>
      </x:c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0" t="str">
        <x:f>IF(OR(COUNT(I142:P142)&lt;8,Q142=""),"OPEN",IF(AND(INDEX('Candidate Articles'!$H$6:$H$29,MATCH(C142,'Candidate Articles'!$A$6:$A$29,0))="ACCEPTED",I142&gt;='Assumptions'!$B$39,J142&gt;='Assumptions'!$B$39,K142&lt;='Assumptions'!$B$40,L142&lt;='Assumptions'!$B$41,M142&lt;='Assumptions'!$B$42,N142&gt;='Assumptions'!$B$38,O142&gt;='Assumptions'!$B$38,P142&lt;=0.0001,Q142="ACCEPTED"),"PASS","VALID-ADVERSE"))</x:f>
        <x:v>OPEN</x:v>
      </x:c>
    </x:row>
    <x:row r="143">
      <x:c r="A143" s="10" t="str">
        <x:v>CT-136</x:v>
      </x:c>
      <x:c r="B143" s="10" t="str">
        <x:v>AR-R</x:v>
      </x:c>
      <x:c r="C143" s="10" t="str">
        <x:v>AR-R-A17</x:v>
      </x:c>
      <x:c r="D143" s="10" t="str">
        <x:v>BL-A</x:v>
      </x:c>
      <x:c r="E143" s="10" t="str">
        <x:v>C-3</x:v>
      </x:c>
      <x:c r="F143" s="10" t="str">
        <x:v>AT-8 reader/time denied</x:v>
      </x:c>
      <x:c r="G143" s="10" t="n">
        <x:v>0.24</x:v>
      </x:c>
      <x:c r="H143" s="10" t="n">
        <x:v>5</x:v>
      </x:c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0" t="str">
        <x:f>IF(OR(COUNT(I143:P143)&lt;8,Q143=""),"OPEN",IF(AND(INDEX('Candidate Articles'!$H$6:$H$29,MATCH(C143,'Candidate Articles'!$A$6:$A$29,0))="ACCEPTED",I143&gt;='Assumptions'!$B$39,J143&gt;='Assumptions'!$B$39,K143&lt;='Assumptions'!$B$40,L143&lt;='Assumptions'!$B$41,M143&lt;='Assumptions'!$B$42,N143&gt;='Assumptions'!$B$38,O143&gt;='Assumptions'!$B$38,P143&lt;=0.0001,Q143="ACCEPTED"),"PASS","VALID-ADVERSE"))</x:f>
        <x:v>OPEN</x:v>
      </x:c>
    </x:row>
    <x:row r="144">
      <x:c r="A144" s="10" t="str">
        <x:v>CT-137</x:v>
      </x:c>
      <x:c r="B144" s="10" t="str">
        <x:v>AR-R</x:v>
      </x:c>
      <x:c r="C144" s="10" t="str">
        <x:v>AR-R-A18</x:v>
      </x:c>
      <x:c r="D144" s="10" t="str">
        <x:v>BL-B</x:v>
      </x:c>
      <x:c r="E144" s="10" t="str">
        <x:v>C-3</x:v>
      </x:c>
      <x:c r="F144" s="10" t="str">
        <x:v>AT-1 blank/history</x:v>
      </x:c>
      <x:c r="G144" s="10" t="n">
        <x:v>0.24</x:v>
      </x:c>
      <x:c r="H144" s="10" t="n">
        <x:v>5</x:v>
      </x:c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0" t="str">
        <x:f>IF(OR(COUNT(I144:P144)&lt;8,Q144=""),"OPEN",IF(AND(INDEX('Candidate Articles'!$H$6:$H$29,MATCH(C144,'Candidate Articles'!$A$6:$A$29,0))="ACCEPTED",I144&gt;='Assumptions'!$B$39,J144&gt;='Assumptions'!$B$39,K144&lt;='Assumptions'!$B$40,L144&lt;='Assumptions'!$B$41,M144&lt;='Assumptions'!$B$42,N144&gt;='Assumptions'!$B$38,O144&gt;='Assumptions'!$B$38,P144&lt;=0.0001,Q144="ACCEPTED"),"PASS","VALID-ADVERSE"))</x:f>
        <x:v>OPEN</x:v>
      </x:c>
    </x:row>
    <x:row r="145">
      <x:c r="A145" s="10" t="str">
        <x:v>CT-138</x:v>
      </x:c>
      <x:c r="B145" s="10" t="str">
        <x:v>AR-R</x:v>
      </x:c>
      <x:c r="C145" s="10" t="str">
        <x:v>AR-R-A18</x:v>
      </x:c>
      <x:c r="D145" s="10" t="str">
        <x:v>BL-B</x:v>
      </x:c>
      <x:c r="E145" s="10" t="str">
        <x:v>C-3</x:v>
      </x:c>
      <x:c r="F145" s="10" t="str">
        <x:v>AT-2 simulant only</x:v>
      </x:c>
      <x:c r="G145" s="10" t="n">
        <x:v>0.24</x:v>
      </x:c>
      <x:c r="H145" s="10" t="n">
        <x:v>5</x:v>
      </x:c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0" t="str">
        <x:f>IF(OR(COUNT(I145:P145)&lt;8,Q145=""),"OPEN",IF(AND(INDEX('Candidate Articles'!$H$6:$H$29,MATCH(C145,'Candidate Articles'!$A$6:$A$29,0))="ACCEPTED",I145&gt;='Assumptions'!$B$39,J145&gt;='Assumptions'!$B$39,K145&lt;='Assumptions'!$B$40,L145&lt;='Assumptions'!$B$41,M145&lt;='Assumptions'!$B$42,N145&gt;='Assumptions'!$B$38,O145&gt;='Assumptions'!$B$38,P145&lt;=0.0001,Q145="ACCEPTED"),"PASS","VALID-ADVERSE"))</x:f>
        <x:v>OPEN</x:v>
      </x:c>
    </x:row>
    <x:row r="146">
      <x:c r="A146" s="10" t="str">
        <x:v>CT-139</x:v>
      </x:c>
      <x:c r="B146" s="10" t="str">
        <x:v>AR-R</x:v>
      </x:c>
      <x:c r="C146" s="10" t="str">
        <x:v>AR-R-A18</x:v>
      </x:c>
      <x:c r="D146" s="10" t="str">
        <x:v>BL-B</x:v>
      </x:c>
      <x:c r="E146" s="10" t="str">
        <x:v>C-3</x:v>
      </x:c>
      <x:c r="F146" s="10" t="str">
        <x:v>AT-3 water only</x:v>
      </x:c>
      <x:c r="G146" s="10" t="n">
        <x:v>0.24</x:v>
      </x:c>
      <x:c r="H146" s="10" t="n">
        <x:v>5</x:v>
      </x:c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0" t="str">
        <x:f>IF(OR(COUNT(I146:P146)&lt;8,Q146=""),"OPEN",IF(AND(INDEX('Candidate Articles'!$H$6:$H$29,MATCH(C146,'Candidate Articles'!$A$6:$A$29,0))="ACCEPTED",I146&gt;='Assumptions'!$B$39,J146&gt;='Assumptions'!$B$39,K146&lt;='Assumptions'!$B$40,L146&lt;='Assumptions'!$B$41,M146&lt;='Assumptions'!$B$42,N146&gt;='Assumptions'!$B$38,O146&gt;='Assumptions'!$B$38,P146&lt;=0.0001,Q146="ACCEPTED"),"PASS","VALID-ADVERSE"))</x:f>
        <x:v>OPEN</x:v>
      </x:c>
    </x:row>
    <x:row r="147">
      <x:c r="A147" s="10" t="str">
        <x:v>CT-140</x:v>
      </x:c>
      <x:c r="B147" s="10" t="str">
        <x:v>AR-R</x:v>
      </x:c>
      <x:c r="C147" s="10" t="str">
        <x:v>AR-R-A18</x:v>
      </x:c>
      <x:c r="D147" s="10" t="str">
        <x:v>BL-B</x:v>
      </x:c>
      <x:c r="E147" s="10" t="str">
        <x:v>C-3</x:v>
      </x:c>
      <x:c r="F147" s="10" t="str">
        <x:v>AT-4 nominal crossover</x:v>
      </x:c>
      <x:c r="G147" s="10" t="n">
        <x:v>0.24</x:v>
      </x:c>
      <x:c r="H147" s="10" t="n">
        <x:v>5</x:v>
      </x:c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0" t="str">
        <x:f>IF(OR(COUNT(I147:P147)&lt;8,Q147=""),"OPEN",IF(AND(INDEX('Candidate Articles'!$H$6:$H$29,MATCH(C147,'Candidate Articles'!$A$6:$A$29,0))="ACCEPTED",I147&gt;='Assumptions'!$B$39,J147&gt;='Assumptions'!$B$39,K147&lt;='Assumptions'!$B$40,L147&lt;='Assumptions'!$B$41,M147&lt;='Assumptions'!$B$42,N147&gt;='Assumptions'!$B$38,O147&gt;='Assumptions'!$B$38,P147&lt;=0.0001,Q147="ACCEPTED"),"PASS","VALID-ADVERSE"))</x:f>
        <x:v>OPEN</x:v>
      </x:c>
    </x:row>
    <x:row r="148">
      <x:c r="A148" s="10" t="str">
        <x:v>CT-141</x:v>
      </x:c>
      <x:c r="B148" s="10" t="str">
        <x:v>AR-R</x:v>
      </x:c>
      <x:c r="C148" s="10" t="str">
        <x:v>AR-R-A18</x:v>
      </x:c>
      <x:c r="D148" s="10" t="str">
        <x:v>BL-B</x:v>
      </x:c>
      <x:c r="E148" s="10" t="str">
        <x:v>C-3</x:v>
      </x:c>
      <x:c r="F148" s="10" t="str">
        <x:v>AT-5 emulsion/shear</x:v>
      </x:c>
      <x:c r="G148" s="10" t="n">
        <x:v>0.24</x:v>
      </x:c>
      <x:c r="H148" s="10" t="n">
        <x:v>5</x:v>
      </x:c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0" t="str">
        <x:f>IF(OR(COUNT(I148:P148)&lt;8,Q148=""),"OPEN",IF(AND(INDEX('Candidate Articles'!$H$6:$H$29,MATCH(C148,'Candidate Articles'!$A$6:$A$29,0))="ACCEPTED",I148&gt;='Assumptions'!$B$39,J148&gt;='Assumptions'!$B$39,K148&lt;='Assumptions'!$B$40,L148&lt;='Assumptions'!$B$41,M148&lt;='Assumptions'!$B$42,N148&gt;='Assumptions'!$B$38,O148&gt;='Assumptions'!$B$38,P148&lt;=0.0001,Q148="ACCEPTED"),"PASS","VALID-ADVERSE"))</x:f>
        <x:v>OPEN</x:v>
      </x:c>
    </x:row>
    <x:row r="149">
      <x:c r="A149" s="10" t="str">
        <x:v>CT-142</x:v>
      </x:c>
      <x:c r="B149" s="10" t="str">
        <x:v>AR-R</x:v>
      </x:c>
      <x:c r="C149" s="10" t="str">
        <x:v>AR-R-A18</x:v>
      </x:c>
      <x:c r="D149" s="10" t="str">
        <x:v>BL-B</x:v>
      </x:c>
      <x:c r="E149" s="10" t="str">
        <x:v>C-3</x:v>
      </x:c>
      <x:c r="F149" s="10" t="str">
        <x:v>AT-6 film/delayed release</x:v>
      </x:c>
      <x:c r="G149" s="10" t="n">
        <x:v>0.24</x:v>
      </x:c>
      <x:c r="H149" s="10" t="n">
        <x:v>5</x:v>
      </x:c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0" t="str">
        <x:f>IF(OR(COUNT(I149:P149)&lt;8,Q149=""),"OPEN",IF(AND(INDEX('Candidate Articles'!$H$6:$H$29,MATCH(C149,'Candidate Articles'!$A$6:$A$29,0))="ACCEPTED",I149&gt;='Assumptions'!$B$39,J149&gt;='Assumptions'!$B$39,K149&lt;='Assumptions'!$B$40,L149&lt;='Assumptions'!$B$41,M149&lt;='Assumptions'!$B$42,N149&gt;='Assumptions'!$B$38,O149&gt;='Assumptions'!$B$38,P149&lt;=0.0001,Q149="ACCEPTED"),"PASS","VALID-ADVERSE"))</x:f>
        <x:v>OPEN</x:v>
      </x:c>
    </x:row>
    <x:row r="150">
      <x:c r="A150" s="10" t="str">
        <x:v>CT-143</x:v>
      </x:c>
      <x:c r="B150" s="10" t="str">
        <x:v>AR-R</x:v>
      </x:c>
      <x:c r="C150" s="10" t="str">
        <x:v>AR-R-A18</x:v>
      </x:c>
      <x:c r="D150" s="10" t="str">
        <x:v>BL-B</x:v>
      </x:c>
      <x:c r="E150" s="10" t="str">
        <x:v>C-3</x:v>
      </x:c>
      <x:c r="F150" s="10" t="str">
        <x:v>AT-7 decoy/carryover</x:v>
      </x:c>
      <x:c r="G150" s="10" t="n">
        <x:v>0.24</x:v>
      </x:c>
      <x:c r="H150" s="10" t="n">
        <x:v>5</x:v>
      </x:c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0" t="str">
        <x:f>IF(OR(COUNT(I150:P150)&lt;8,Q150=""),"OPEN",IF(AND(INDEX('Candidate Articles'!$H$6:$H$29,MATCH(C150,'Candidate Articles'!$A$6:$A$29,0))="ACCEPTED",I150&gt;='Assumptions'!$B$39,J150&gt;='Assumptions'!$B$39,K150&lt;='Assumptions'!$B$40,L150&lt;='Assumptions'!$B$41,M150&lt;='Assumptions'!$B$42,N150&gt;='Assumptions'!$B$38,O150&gt;='Assumptions'!$B$38,P150&lt;=0.0001,Q150="ACCEPTED"),"PASS","VALID-ADVERSE"))</x:f>
        <x:v>OPEN</x:v>
      </x:c>
    </x:row>
    <x:row r="151">
      <x:c r="A151" s="10" t="str">
        <x:v>CT-144</x:v>
      </x:c>
      <x:c r="B151" s="10" t="str">
        <x:v>AR-R</x:v>
      </x:c>
      <x:c r="C151" s="10" t="str">
        <x:v>AR-R-A18</x:v>
      </x:c>
      <x:c r="D151" s="10" t="str">
        <x:v>BL-B</x:v>
      </x:c>
      <x:c r="E151" s="10" t="str">
        <x:v>C-3</x:v>
      </x:c>
      <x:c r="F151" s="10" t="str">
        <x:v>AT-8 reader/time denied</x:v>
      </x:c>
      <x:c r="G151" s="10" t="n">
        <x:v>0.24</x:v>
      </x:c>
      <x:c r="H151" s="10" t="n">
        <x:v>5</x:v>
      </x:c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0" t="str">
        <x:f>IF(OR(COUNT(I151:P151)&lt;8,Q151=""),"OPEN",IF(AND(INDEX('Candidate Articles'!$H$6:$H$29,MATCH(C151,'Candidate Articles'!$A$6:$A$29,0))="ACCEPTED",I151&gt;='Assumptions'!$B$39,J151&gt;='Assumptions'!$B$39,K151&lt;='Assumptions'!$B$40,L151&lt;='Assumptions'!$B$41,M151&lt;='Assumptions'!$B$42,N151&gt;='Assumptions'!$B$38,O151&gt;='Assumptions'!$B$38,P151&lt;=0.0001,Q151="ACCEPTED"),"PASS","VALID-ADVERSE"))</x:f>
        <x:v>OPEN</x:v>
      </x:c>
    </x:row>
    <x:row r="152">
      <x:c r="A152" s="10" t="str">
        <x:v>CT-145</x:v>
      </x:c>
      <x:c r="B152" s="10" t="str">
        <x:v>AR-O</x:v>
      </x:c>
      <x:c r="C152" s="10" t="str">
        <x:v>AR-O-A19</x:v>
      </x:c>
      <x:c r="D152" s="10" t="str">
        <x:v>BL-A</x:v>
      </x:c>
      <x:c r="E152" s="10" t="str">
        <x:v>C-1</x:v>
      </x:c>
      <x:c r="F152" s="10" t="str">
        <x:v>AT-1 blank/history</x:v>
      </x:c>
      <x:c r="G152" s="10" t="n">
        <x:v>0.24</x:v>
      </x:c>
      <x:c r="H152" s="10" t="n">
        <x:v>5</x:v>
      </x:c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0" t="str">
        <x:f>IF(OR(COUNT(I152:P152)&lt;8,Q152=""),"OPEN",IF(AND(INDEX('Candidate Articles'!$H$6:$H$29,MATCH(C152,'Candidate Articles'!$A$6:$A$29,0))="ACCEPTED",I152&gt;='Assumptions'!$B$39,J152&gt;='Assumptions'!$B$39,K152&lt;='Assumptions'!$B$40,L152&lt;='Assumptions'!$B$41,M152&lt;='Assumptions'!$B$42,N152&gt;='Assumptions'!$B$38,O152&gt;='Assumptions'!$B$38,P152&lt;=0.0001,Q152="ACCEPTED"),"PASS","VALID-ADVERSE"))</x:f>
        <x:v>OPEN</x:v>
      </x:c>
    </x:row>
    <x:row r="153">
      <x:c r="A153" s="10" t="str">
        <x:v>CT-146</x:v>
      </x:c>
      <x:c r="B153" s="10" t="str">
        <x:v>AR-O</x:v>
      </x:c>
      <x:c r="C153" s="10" t="str">
        <x:v>AR-O-A19</x:v>
      </x:c>
      <x:c r="D153" s="10" t="str">
        <x:v>BL-A</x:v>
      </x:c>
      <x:c r="E153" s="10" t="str">
        <x:v>C-1</x:v>
      </x:c>
      <x:c r="F153" s="10" t="str">
        <x:v>AT-2 simulant only</x:v>
      </x:c>
      <x:c r="G153" s="10" t="n">
        <x:v>0.24</x:v>
      </x:c>
      <x:c r="H153" s="10" t="n">
        <x:v>5</x:v>
      </x:c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0" t="str">
        <x:f>IF(OR(COUNT(I153:P153)&lt;8,Q153=""),"OPEN",IF(AND(INDEX('Candidate Articles'!$H$6:$H$29,MATCH(C153,'Candidate Articles'!$A$6:$A$29,0))="ACCEPTED",I153&gt;='Assumptions'!$B$39,J153&gt;='Assumptions'!$B$39,K153&lt;='Assumptions'!$B$40,L153&lt;='Assumptions'!$B$41,M153&lt;='Assumptions'!$B$42,N153&gt;='Assumptions'!$B$38,O153&gt;='Assumptions'!$B$38,P153&lt;=0.0001,Q153="ACCEPTED"),"PASS","VALID-ADVERSE"))</x:f>
        <x:v>OPEN</x:v>
      </x:c>
    </x:row>
    <x:row r="154">
      <x:c r="A154" s="10" t="str">
        <x:v>CT-147</x:v>
      </x:c>
      <x:c r="B154" s="10" t="str">
        <x:v>AR-O</x:v>
      </x:c>
      <x:c r="C154" s="10" t="str">
        <x:v>AR-O-A19</x:v>
      </x:c>
      <x:c r="D154" s="10" t="str">
        <x:v>BL-A</x:v>
      </x:c>
      <x:c r="E154" s="10" t="str">
        <x:v>C-1</x:v>
      </x:c>
      <x:c r="F154" s="10" t="str">
        <x:v>AT-3 water only</x:v>
      </x:c>
      <x:c r="G154" s="10" t="n">
        <x:v>0.24</x:v>
      </x:c>
      <x:c r="H154" s="10" t="n">
        <x:v>5</x:v>
      </x:c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0" t="str">
        <x:f>IF(OR(COUNT(I154:P154)&lt;8,Q154=""),"OPEN",IF(AND(INDEX('Candidate Articles'!$H$6:$H$29,MATCH(C154,'Candidate Articles'!$A$6:$A$29,0))="ACCEPTED",I154&gt;='Assumptions'!$B$39,J154&gt;='Assumptions'!$B$39,K154&lt;='Assumptions'!$B$40,L154&lt;='Assumptions'!$B$41,M154&lt;='Assumptions'!$B$42,N154&gt;='Assumptions'!$B$38,O154&gt;='Assumptions'!$B$38,P154&lt;=0.0001,Q154="ACCEPTED"),"PASS","VALID-ADVERSE"))</x:f>
        <x:v>OPEN</x:v>
      </x:c>
    </x:row>
    <x:row r="155">
      <x:c r="A155" s="10" t="str">
        <x:v>CT-148</x:v>
      </x:c>
      <x:c r="B155" s="10" t="str">
        <x:v>AR-O</x:v>
      </x:c>
      <x:c r="C155" s="10" t="str">
        <x:v>AR-O-A19</x:v>
      </x:c>
      <x:c r="D155" s="10" t="str">
        <x:v>BL-A</x:v>
      </x:c>
      <x:c r="E155" s="10" t="str">
        <x:v>C-1</x:v>
      </x:c>
      <x:c r="F155" s="10" t="str">
        <x:v>AT-4 nominal crossover</x:v>
      </x:c>
      <x:c r="G155" s="10" t="n">
        <x:v>0.24</x:v>
      </x:c>
      <x:c r="H155" s="10" t="n">
        <x:v>5</x:v>
      </x:c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0" t="str">
        <x:f>IF(OR(COUNT(I155:P155)&lt;8,Q155=""),"OPEN",IF(AND(INDEX('Candidate Articles'!$H$6:$H$29,MATCH(C155,'Candidate Articles'!$A$6:$A$29,0))="ACCEPTED",I155&gt;='Assumptions'!$B$39,J155&gt;='Assumptions'!$B$39,K155&lt;='Assumptions'!$B$40,L155&lt;='Assumptions'!$B$41,M155&lt;='Assumptions'!$B$42,N155&gt;='Assumptions'!$B$38,O155&gt;='Assumptions'!$B$38,P155&lt;=0.0001,Q155="ACCEPTED"),"PASS","VALID-ADVERSE"))</x:f>
        <x:v>OPEN</x:v>
      </x:c>
    </x:row>
    <x:row r="156">
      <x:c r="A156" s="10" t="str">
        <x:v>CT-149</x:v>
      </x:c>
      <x:c r="B156" s="10" t="str">
        <x:v>AR-O</x:v>
      </x:c>
      <x:c r="C156" s="10" t="str">
        <x:v>AR-O-A19</x:v>
      </x:c>
      <x:c r="D156" s="10" t="str">
        <x:v>BL-A</x:v>
      </x:c>
      <x:c r="E156" s="10" t="str">
        <x:v>C-1</x:v>
      </x:c>
      <x:c r="F156" s="10" t="str">
        <x:v>AT-5 emulsion/shear</x:v>
      </x:c>
      <x:c r="G156" s="10" t="n">
        <x:v>0.24</x:v>
      </x:c>
      <x:c r="H156" s="10" t="n">
        <x:v>5</x:v>
      </x:c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0" t="str">
        <x:f>IF(OR(COUNT(I156:P156)&lt;8,Q156=""),"OPEN",IF(AND(INDEX('Candidate Articles'!$H$6:$H$29,MATCH(C156,'Candidate Articles'!$A$6:$A$29,0))="ACCEPTED",I156&gt;='Assumptions'!$B$39,J156&gt;='Assumptions'!$B$39,K156&lt;='Assumptions'!$B$40,L156&lt;='Assumptions'!$B$41,M156&lt;='Assumptions'!$B$42,N156&gt;='Assumptions'!$B$38,O156&gt;='Assumptions'!$B$38,P156&lt;=0.0001,Q156="ACCEPTED"),"PASS","VALID-ADVERSE"))</x:f>
        <x:v>OPEN</x:v>
      </x:c>
    </x:row>
    <x:row r="157">
      <x:c r="A157" s="10" t="str">
        <x:v>CT-150</x:v>
      </x:c>
      <x:c r="B157" s="10" t="str">
        <x:v>AR-O</x:v>
      </x:c>
      <x:c r="C157" s="10" t="str">
        <x:v>AR-O-A19</x:v>
      </x:c>
      <x:c r="D157" s="10" t="str">
        <x:v>BL-A</x:v>
      </x:c>
      <x:c r="E157" s="10" t="str">
        <x:v>C-1</x:v>
      </x:c>
      <x:c r="F157" s="10" t="str">
        <x:v>AT-6 film/delayed release</x:v>
      </x:c>
      <x:c r="G157" s="10" t="n">
        <x:v>0.24</x:v>
      </x:c>
      <x:c r="H157" s="10" t="n">
        <x:v>5</x:v>
      </x:c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0" t="str">
        <x:f>IF(OR(COUNT(I157:P157)&lt;8,Q157=""),"OPEN",IF(AND(INDEX('Candidate Articles'!$H$6:$H$29,MATCH(C157,'Candidate Articles'!$A$6:$A$29,0))="ACCEPTED",I157&gt;='Assumptions'!$B$39,J157&gt;='Assumptions'!$B$39,K157&lt;='Assumptions'!$B$40,L157&lt;='Assumptions'!$B$41,M157&lt;='Assumptions'!$B$42,N157&gt;='Assumptions'!$B$38,O157&gt;='Assumptions'!$B$38,P157&lt;=0.0001,Q157="ACCEPTED"),"PASS","VALID-ADVERSE"))</x:f>
        <x:v>OPEN</x:v>
      </x:c>
    </x:row>
    <x:row r="158">
      <x:c r="A158" s="10" t="str">
        <x:v>CT-151</x:v>
      </x:c>
      <x:c r="B158" s="10" t="str">
        <x:v>AR-O</x:v>
      </x:c>
      <x:c r="C158" s="10" t="str">
        <x:v>AR-O-A19</x:v>
      </x:c>
      <x:c r="D158" s="10" t="str">
        <x:v>BL-A</x:v>
      </x:c>
      <x:c r="E158" s="10" t="str">
        <x:v>C-1</x:v>
      </x:c>
      <x:c r="F158" s="10" t="str">
        <x:v>AT-7 decoy/carryover</x:v>
      </x:c>
      <x:c r="G158" s="10" t="n">
        <x:v>0.24</x:v>
      </x:c>
      <x:c r="H158" s="10" t="n">
        <x:v>5</x:v>
      </x:c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0" t="str">
        <x:f>IF(OR(COUNT(I158:P158)&lt;8,Q158=""),"OPEN",IF(AND(INDEX('Candidate Articles'!$H$6:$H$29,MATCH(C158,'Candidate Articles'!$A$6:$A$29,0))="ACCEPTED",I158&gt;='Assumptions'!$B$39,J158&gt;='Assumptions'!$B$39,K158&lt;='Assumptions'!$B$40,L158&lt;='Assumptions'!$B$41,M158&lt;='Assumptions'!$B$42,N158&gt;='Assumptions'!$B$38,O158&gt;='Assumptions'!$B$38,P158&lt;=0.0001,Q158="ACCEPTED"),"PASS","VALID-ADVERSE"))</x:f>
        <x:v>OPEN</x:v>
      </x:c>
    </x:row>
    <x:row r="159">
      <x:c r="A159" s="10" t="str">
        <x:v>CT-152</x:v>
      </x:c>
      <x:c r="B159" s="10" t="str">
        <x:v>AR-O</x:v>
      </x:c>
      <x:c r="C159" s="10" t="str">
        <x:v>AR-O-A19</x:v>
      </x:c>
      <x:c r="D159" s="10" t="str">
        <x:v>BL-A</x:v>
      </x:c>
      <x:c r="E159" s="10" t="str">
        <x:v>C-1</x:v>
      </x:c>
      <x:c r="F159" s="10" t="str">
        <x:v>AT-8 reader/time denied</x:v>
      </x:c>
      <x:c r="G159" s="10" t="n">
        <x:v>0.24</x:v>
      </x:c>
      <x:c r="H159" s="10" t="n">
        <x:v>5</x:v>
      </x:c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0" t="str">
        <x:f>IF(OR(COUNT(I159:P159)&lt;8,Q159=""),"OPEN",IF(AND(INDEX('Candidate Articles'!$H$6:$H$29,MATCH(C159,'Candidate Articles'!$A$6:$A$29,0))="ACCEPTED",I159&gt;='Assumptions'!$B$39,J159&gt;='Assumptions'!$B$39,K159&lt;='Assumptions'!$B$40,L159&lt;='Assumptions'!$B$41,M159&lt;='Assumptions'!$B$42,N159&gt;='Assumptions'!$B$38,O159&gt;='Assumptions'!$B$38,P159&lt;=0.0001,Q159="ACCEPTED"),"PASS","VALID-ADVERSE"))</x:f>
        <x:v>OPEN</x:v>
      </x:c>
    </x:row>
    <x:row r="160">
      <x:c r="A160" s="10" t="str">
        <x:v>CT-153</x:v>
      </x:c>
      <x:c r="B160" s="10" t="str">
        <x:v>AR-O</x:v>
      </x:c>
      <x:c r="C160" s="10" t="str">
        <x:v>AR-O-A20</x:v>
      </x:c>
      <x:c r="D160" s="10" t="str">
        <x:v>BL-B</x:v>
      </x:c>
      <x:c r="E160" s="10" t="str">
        <x:v>C-1</x:v>
      </x:c>
      <x:c r="F160" s="10" t="str">
        <x:v>AT-1 blank/history</x:v>
      </x:c>
      <x:c r="G160" s="10" t="n">
        <x:v>0.24</x:v>
      </x:c>
      <x:c r="H160" s="10" t="n">
        <x:v>5</x:v>
      </x:c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0" t="str">
        <x:f>IF(OR(COUNT(I160:P160)&lt;8,Q160=""),"OPEN",IF(AND(INDEX('Candidate Articles'!$H$6:$H$29,MATCH(C160,'Candidate Articles'!$A$6:$A$29,0))="ACCEPTED",I160&gt;='Assumptions'!$B$39,J160&gt;='Assumptions'!$B$39,K160&lt;='Assumptions'!$B$40,L160&lt;='Assumptions'!$B$41,M160&lt;='Assumptions'!$B$42,N160&gt;='Assumptions'!$B$38,O160&gt;='Assumptions'!$B$38,P160&lt;=0.0001,Q160="ACCEPTED"),"PASS","VALID-ADVERSE"))</x:f>
        <x:v>OPEN</x:v>
      </x:c>
    </x:row>
    <x:row r="161">
      <x:c r="A161" s="10" t="str">
        <x:v>CT-154</x:v>
      </x:c>
      <x:c r="B161" s="10" t="str">
        <x:v>AR-O</x:v>
      </x:c>
      <x:c r="C161" s="10" t="str">
        <x:v>AR-O-A20</x:v>
      </x:c>
      <x:c r="D161" s="10" t="str">
        <x:v>BL-B</x:v>
      </x:c>
      <x:c r="E161" s="10" t="str">
        <x:v>C-1</x:v>
      </x:c>
      <x:c r="F161" s="10" t="str">
        <x:v>AT-2 simulant only</x:v>
      </x:c>
      <x:c r="G161" s="10" t="n">
        <x:v>0.24</x:v>
      </x:c>
      <x:c r="H161" s="10" t="n">
        <x:v>5</x:v>
      </x:c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0" t="str">
        <x:f>IF(OR(COUNT(I161:P161)&lt;8,Q161=""),"OPEN",IF(AND(INDEX('Candidate Articles'!$H$6:$H$29,MATCH(C161,'Candidate Articles'!$A$6:$A$29,0))="ACCEPTED",I161&gt;='Assumptions'!$B$39,J161&gt;='Assumptions'!$B$39,K161&lt;='Assumptions'!$B$40,L161&lt;='Assumptions'!$B$41,M161&lt;='Assumptions'!$B$42,N161&gt;='Assumptions'!$B$38,O161&gt;='Assumptions'!$B$38,P161&lt;=0.0001,Q161="ACCEPTED"),"PASS","VALID-ADVERSE"))</x:f>
        <x:v>OPEN</x:v>
      </x:c>
    </x:row>
    <x:row r="162">
      <x:c r="A162" s="10" t="str">
        <x:v>CT-155</x:v>
      </x:c>
      <x:c r="B162" s="10" t="str">
        <x:v>AR-O</x:v>
      </x:c>
      <x:c r="C162" s="10" t="str">
        <x:v>AR-O-A20</x:v>
      </x:c>
      <x:c r="D162" s="10" t="str">
        <x:v>BL-B</x:v>
      </x:c>
      <x:c r="E162" s="10" t="str">
        <x:v>C-1</x:v>
      </x:c>
      <x:c r="F162" s="10" t="str">
        <x:v>AT-3 water only</x:v>
      </x:c>
      <x:c r="G162" s="10" t="n">
        <x:v>0.24</x:v>
      </x:c>
      <x:c r="H162" s="10" t="n">
        <x:v>5</x:v>
      </x:c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0" t="str">
        <x:f>IF(OR(COUNT(I162:P162)&lt;8,Q162=""),"OPEN",IF(AND(INDEX('Candidate Articles'!$H$6:$H$29,MATCH(C162,'Candidate Articles'!$A$6:$A$29,0))="ACCEPTED",I162&gt;='Assumptions'!$B$39,J162&gt;='Assumptions'!$B$39,K162&lt;='Assumptions'!$B$40,L162&lt;='Assumptions'!$B$41,M162&lt;='Assumptions'!$B$42,N162&gt;='Assumptions'!$B$38,O162&gt;='Assumptions'!$B$38,P162&lt;=0.0001,Q162="ACCEPTED"),"PASS","VALID-ADVERSE"))</x:f>
        <x:v>OPEN</x:v>
      </x:c>
    </x:row>
    <x:row r="163">
      <x:c r="A163" s="10" t="str">
        <x:v>CT-156</x:v>
      </x:c>
      <x:c r="B163" s="10" t="str">
        <x:v>AR-O</x:v>
      </x:c>
      <x:c r="C163" s="10" t="str">
        <x:v>AR-O-A20</x:v>
      </x:c>
      <x:c r="D163" s="10" t="str">
        <x:v>BL-B</x:v>
      </x:c>
      <x:c r="E163" s="10" t="str">
        <x:v>C-1</x:v>
      </x:c>
      <x:c r="F163" s="10" t="str">
        <x:v>AT-4 nominal crossover</x:v>
      </x:c>
      <x:c r="G163" s="10" t="n">
        <x:v>0.24</x:v>
      </x:c>
      <x:c r="H163" s="10" t="n">
        <x:v>5</x:v>
      </x:c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0" t="str">
        <x:f>IF(OR(COUNT(I163:P163)&lt;8,Q163=""),"OPEN",IF(AND(INDEX('Candidate Articles'!$H$6:$H$29,MATCH(C163,'Candidate Articles'!$A$6:$A$29,0))="ACCEPTED",I163&gt;='Assumptions'!$B$39,J163&gt;='Assumptions'!$B$39,K163&lt;='Assumptions'!$B$40,L163&lt;='Assumptions'!$B$41,M163&lt;='Assumptions'!$B$42,N163&gt;='Assumptions'!$B$38,O163&gt;='Assumptions'!$B$38,P163&lt;=0.0001,Q163="ACCEPTED"),"PASS","VALID-ADVERSE"))</x:f>
        <x:v>OPEN</x:v>
      </x:c>
    </x:row>
    <x:row r="164">
      <x:c r="A164" s="10" t="str">
        <x:v>CT-157</x:v>
      </x:c>
      <x:c r="B164" s="10" t="str">
        <x:v>AR-O</x:v>
      </x:c>
      <x:c r="C164" s="10" t="str">
        <x:v>AR-O-A20</x:v>
      </x:c>
      <x:c r="D164" s="10" t="str">
        <x:v>BL-B</x:v>
      </x:c>
      <x:c r="E164" s="10" t="str">
        <x:v>C-1</x:v>
      </x:c>
      <x:c r="F164" s="10" t="str">
        <x:v>AT-5 emulsion/shear</x:v>
      </x:c>
      <x:c r="G164" s="10" t="n">
        <x:v>0.24</x:v>
      </x:c>
      <x:c r="H164" s="10" t="n">
        <x:v>5</x:v>
      </x:c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0" t="str">
        <x:f>IF(OR(COUNT(I164:P164)&lt;8,Q164=""),"OPEN",IF(AND(INDEX('Candidate Articles'!$H$6:$H$29,MATCH(C164,'Candidate Articles'!$A$6:$A$29,0))="ACCEPTED",I164&gt;='Assumptions'!$B$39,J164&gt;='Assumptions'!$B$39,K164&lt;='Assumptions'!$B$40,L164&lt;='Assumptions'!$B$41,M164&lt;='Assumptions'!$B$42,N164&gt;='Assumptions'!$B$38,O164&gt;='Assumptions'!$B$38,P164&lt;=0.0001,Q164="ACCEPTED"),"PASS","VALID-ADVERSE"))</x:f>
        <x:v>OPEN</x:v>
      </x:c>
    </x:row>
    <x:row r="165">
      <x:c r="A165" s="10" t="str">
        <x:v>CT-158</x:v>
      </x:c>
      <x:c r="B165" s="10" t="str">
        <x:v>AR-O</x:v>
      </x:c>
      <x:c r="C165" s="10" t="str">
        <x:v>AR-O-A20</x:v>
      </x:c>
      <x:c r="D165" s="10" t="str">
        <x:v>BL-B</x:v>
      </x:c>
      <x:c r="E165" s="10" t="str">
        <x:v>C-1</x:v>
      </x:c>
      <x:c r="F165" s="10" t="str">
        <x:v>AT-6 film/delayed release</x:v>
      </x:c>
      <x:c r="G165" s="10" t="n">
        <x:v>0.24</x:v>
      </x:c>
      <x:c r="H165" s="10" t="n">
        <x:v>5</x:v>
      </x:c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0" t="str">
        <x:f>IF(OR(COUNT(I165:P165)&lt;8,Q165=""),"OPEN",IF(AND(INDEX('Candidate Articles'!$H$6:$H$29,MATCH(C165,'Candidate Articles'!$A$6:$A$29,0))="ACCEPTED",I165&gt;='Assumptions'!$B$39,J165&gt;='Assumptions'!$B$39,K165&lt;='Assumptions'!$B$40,L165&lt;='Assumptions'!$B$41,M165&lt;='Assumptions'!$B$42,N165&gt;='Assumptions'!$B$38,O165&gt;='Assumptions'!$B$38,P165&lt;=0.0001,Q165="ACCEPTED"),"PASS","VALID-ADVERSE"))</x:f>
        <x:v>OPEN</x:v>
      </x:c>
    </x:row>
    <x:row r="166">
      <x:c r="A166" s="10" t="str">
        <x:v>CT-159</x:v>
      </x:c>
      <x:c r="B166" s="10" t="str">
        <x:v>AR-O</x:v>
      </x:c>
      <x:c r="C166" s="10" t="str">
        <x:v>AR-O-A20</x:v>
      </x:c>
      <x:c r="D166" s="10" t="str">
        <x:v>BL-B</x:v>
      </x:c>
      <x:c r="E166" s="10" t="str">
        <x:v>C-1</x:v>
      </x:c>
      <x:c r="F166" s="10" t="str">
        <x:v>AT-7 decoy/carryover</x:v>
      </x:c>
      <x:c r="G166" s="10" t="n">
        <x:v>0.24</x:v>
      </x:c>
      <x:c r="H166" s="10" t="n">
        <x:v>5</x:v>
      </x:c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0" t="str">
        <x:f>IF(OR(COUNT(I166:P166)&lt;8,Q166=""),"OPEN",IF(AND(INDEX('Candidate Articles'!$H$6:$H$29,MATCH(C166,'Candidate Articles'!$A$6:$A$29,0))="ACCEPTED",I166&gt;='Assumptions'!$B$39,J166&gt;='Assumptions'!$B$39,K166&lt;='Assumptions'!$B$40,L166&lt;='Assumptions'!$B$41,M166&lt;='Assumptions'!$B$42,N166&gt;='Assumptions'!$B$38,O166&gt;='Assumptions'!$B$38,P166&lt;=0.0001,Q166="ACCEPTED"),"PASS","VALID-ADVERSE"))</x:f>
        <x:v>OPEN</x:v>
      </x:c>
    </x:row>
    <x:row r="167">
      <x:c r="A167" s="10" t="str">
        <x:v>CT-160</x:v>
      </x:c>
      <x:c r="B167" s="10" t="str">
        <x:v>AR-O</x:v>
      </x:c>
      <x:c r="C167" s="10" t="str">
        <x:v>AR-O-A20</x:v>
      </x:c>
      <x:c r="D167" s="10" t="str">
        <x:v>BL-B</x:v>
      </x:c>
      <x:c r="E167" s="10" t="str">
        <x:v>C-1</x:v>
      </x:c>
      <x:c r="F167" s="10" t="str">
        <x:v>AT-8 reader/time denied</x:v>
      </x:c>
      <x:c r="G167" s="10" t="n">
        <x:v>0.24</x:v>
      </x:c>
      <x:c r="H167" s="10" t="n">
        <x:v>5</x:v>
      </x:c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0" t="str">
        <x:f>IF(OR(COUNT(I167:P167)&lt;8,Q167=""),"OPEN",IF(AND(INDEX('Candidate Articles'!$H$6:$H$29,MATCH(C167,'Candidate Articles'!$A$6:$A$29,0))="ACCEPTED",I167&gt;='Assumptions'!$B$39,J167&gt;='Assumptions'!$B$39,K167&lt;='Assumptions'!$B$40,L167&lt;='Assumptions'!$B$41,M167&lt;='Assumptions'!$B$42,N167&gt;='Assumptions'!$B$38,O167&gt;='Assumptions'!$B$38,P167&lt;=0.0001,Q167="ACCEPTED"),"PASS","VALID-ADVERSE"))</x:f>
        <x:v>OPEN</x:v>
      </x:c>
    </x:row>
    <x:row r="168">
      <x:c r="A168" s="10" t="str">
        <x:v>CT-161</x:v>
      </x:c>
      <x:c r="B168" s="10" t="str">
        <x:v>AR-O</x:v>
      </x:c>
      <x:c r="C168" s="10" t="str">
        <x:v>AR-O-A21</x:v>
      </x:c>
      <x:c r="D168" s="10" t="str">
        <x:v>BL-A</x:v>
      </x:c>
      <x:c r="E168" s="10" t="str">
        <x:v>C-2</x:v>
      </x:c>
      <x:c r="F168" s="10" t="str">
        <x:v>AT-1 blank/history</x:v>
      </x:c>
      <x:c r="G168" s="10" t="n">
        <x:v>0.24</x:v>
      </x:c>
      <x:c r="H168" s="10" t="n">
        <x:v>5</x:v>
      </x:c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0" t="str">
        <x:f>IF(OR(COUNT(I168:P168)&lt;8,Q168=""),"OPEN",IF(AND(INDEX('Candidate Articles'!$H$6:$H$29,MATCH(C168,'Candidate Articles'!$A$6:$A$29,0))="ACCEPTED",I168&gt;='Assumptions'!$B$39,J168&gt;='Assumptions'!$B$39,K168&lt;='Assumptions'!$B$40,L168&lt;='Assumptions'!$B$41,M168&lt;='Assumptions'!$B$42,N168&gt;='Assumptions'!$B$38,O168&gt;='Assumptions'!$B$38,P168&lt;=0.0001,Q168="ACCEPTED"),"PASS","VALID-ADVERSE"))</x:f>
        <x:v>OPEN</x:v>
      </x:c>
    </x:row>
    <x:row r="169">
      <x:c r="A169" s="10" t="str">
        <x:v>CT-162</x:v>
      </x:c>
      <x:c r="B169" s="10" t="str">
        <x:v>AR-O</x:v>
      </x:c>
      <x:c r="C169" s="10" t="str">
        <x:v>AR-O-A21</x:v>
      </x:c>
      <x:c r="D169" s="10" t="str">
        <x:v>BL-A</x:v>
      </x:c>
      <x:c r="E169" s="10" t="str">
        <x:v>C-2</x:v>
      </x:c>
      <x:c r="F169" s="10" t="str">
        <x:v>AT-2 simulant only</x:v>
      </x:c>
      <x:c r="G169" s="10" t="n">
        <x:v>0.24</x:v>
      </x:c>
      <x:c r="H169" s="10" t="n">
        <x:v>5</x:v>
      </x:c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0" t="str">
        <x:f>IF(OR(COUNT(I169:P169)&lt;8,Q169=""),"OPEN",IF(AND(INDEX('Candidate Articles'!$H$6:$H$29,MATCH(C169,'Candidate Articles'!$A$6:$A$29,0))="ACCEPTED",I169&gt;='Assumptions'!$B$39,J169&gt;='Assumptions'!$B$39,K169&lt;='Assumptions'!$B$40,L169&lt;='Assumptions'!$B$41,M169&lt;='Assumptions'!$B$42,N169&gt;='Assumptions'!$B$38,O169&gt;='Assumptions'!$B$38,P169&lt;=0.0001,Q169="ACCEPTED"),"PASS","VALID-ADVERSE"))</x:f>
        <x:v>OPEN</x:v>
      </x:c>
    </x:row>
    <x:row r="170">
      <x:c r="A170" s="10" t="str">
        <x:v>CT-163</x:v>
      </x:c>
      <x:c r="B170" s="10" t="str">
        <x:v>AR-O</x:v>
      </x:c>
      <x:c r="C170" s="10" t="str">
        <x:v>AR-O-A21</x:v>
      </x:c>
      <x:c r="D170" s="10" t="str">
        <x:v>BL-A</x:v>
      </x:c>
      <x:c r="E170" s="10" t="str">
        <x:v>C-2</x:v>
      </x:c>
      <x:c r="F170" s="10" t="str">
        <x:v>AT-3 water only</x:v>
      </x:c>
      <x:c r="G170" s="10" t="n">
        <x:v>0.24</x:v>
      </x:c>
      <x:c r="H170" s="10" t="n">
        <x:v>5</x:v>
      </x:c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0" t="str">
        <x:f>IF(OR(COUNT(I170:P170)&lt;8,Q170=""),"OPEN",IF(AND(INDEX('Candidate Articles'!$H$6:$H$29,MATCH(C170,'Candidate Articles'!$A$6:$A$29,0))="ACCEPTED",I170&gt;='Assumptions'!$B$39,J170&gt;='Assumptions'!$B$39,K170&lt;='Assumptions'!$B$40,L170&lt;='Assumptions'!$B$41,M170&lt;='Assumptions'!$B$42,N170&gt;='Assumptions'!$B$38,O170&gt;='Assumptions'!$B$38,P170&lt;=0.0001,Q170="ACCEPTED"),"PASS","VALID-ADVERSE"))</x:f>
        <x:v>OPEN</x:v>
      </x:c>
    </x:row>
    <x:row r="171">
      <x:c r="A171" s="10" t="str">
        <x:v>CT-164</x:v>
      </x:c>
      <x:c r="B171" s="10" t="str">
        <x:v>AR-O</x:v>
      </x:c>
      <x:c r="C171" s="10" t="str">
        <x:v>AR-O-A21</x:v>
      </x:c>
      <x:c r="D171" s="10" t="str">
        <x:v>BL-A</x:v>
      </x:c>
      <x:c r="E171" s="10" t="str">
        <x:v>C-2</x:v>
      </x:c>
      <x:c r="F171" s="10" t="str">
        <x:v>AT-4 nominal crossover</x:v>
      </x:c>
      <x:c r="G171" s="10" t="n">
        <x:v>0.24</x:v>
      </x:c>
      <x:c r="H171" s="10" t="n">
        <x:v>5</x:v>
      </x:c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0" t="str">
        <x:f>IF(OR(COUNT(I171:P171)&lt;8,Q171=""),"OPEN",IF(AND(INDEX('Candidate Articles'!$H$6:$H$29,MATCH(C171,'Candidate Articles'!$A$6:$A$29,0))="ACCEPTED",I171&gt;='Assumptions'!$B$39,J171&gt;='Assumptions'!$B$39,K171&lt;='Assumptions'!$B$40,L171&lt;='Assumptions'!$B$41,M171&lt;='Assumptions'!$B$42,N171&gt;='Assumptions'!$B$38,O171&gt;='Assumptions'!$B$38,P171&lt;=0.0001,Q171="ACCEPTED"),"PASS","VALID-ADVERSE"))</x:f>
        <x:v>OPEN</x:v>
      </x:c>
    </x:row>
    <x:row r="172">
      <x:c r="A172" s="10" t="str">
        <x:v>CT-165</x:v>
      </x:c>
      <x:c r="B172" s="10" t="str">
        <x:v>AR-O</x:v>
      </x:c>
      <x:c r="C172" s="10" t="str">
        <x:v>AR-O-A21</x:v>
      </x:c>
      <x:c r="D172" s="10" t="str">
        <x:v>BL-A</x:v>
      </x:c>
      <x:c r="E172" s="10" t="str">
        <x:v>C-2</x:v>
      </x:c>
      <x:c r="F172" s="10" t="str">
        <x:v>AT-5 emulsion/shear</x:v>
      </x:c>
      <x:c r="G172" s="10" t="n">
        <x:v>0.24</x:v>
      </x:c>
      <x:c r="H172" s="10" t="n">
        <x:v>5</x:v>
      </x:c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0" t="str">
        <x:f>IF(OR(COUNT(I172:P172)&lt;8,Q172=""),"OPEN",IF(AND(INDEX('Candidate Articles'!$H$6:$H$29,MATCH(C172,'Candidate Articles'!$A$6:$A$29,0))="ACCEPTED",I172&gt;='Assumptions'!$B$39,J172&gt;='Assumptions'!$B$39,K172&lt;='Assumptions'!$B$40,L172&lt;='Assumptions'!$B$41,M172&lt;='Assumptions'!$B$42,N172&gt;='Assumptions'!$B$38,O172&gt;='Assumptions'!$B$38,P172&lt;=0.0001,Q172="ACCEPTED"),"PASS","VALID-ADVERSE"))</x:f>
        <x:v>OPEN</x:v>
      </x:c>
    </x:row>
    <x:row r="173">
      <x:c r="A173" s="10" t="str">
        <x:v>CT-166</x:v>
      </x:c>
      <x:c r="B173" s="10" t="str">
        <x:v>AR-O</x:v>
      </x:c>
      <x:c r="C173" s="10" t="str">
        <x:v>AR-O-A21</x:v>
      </x:c>
      <x:c r="D173" s="10" t="str">
        <x:v>BL-A</x:v>
      </x:c>
      <x:c r="E173" s="10" t="str">
        <x:v>C-2</x:v>
      </x:c>
      <x:c r="F173" s="10" t="str">
        <x:v>AT-6 film/delayed release</x:v>
      </x:c>
      <x:c r="G173" s="10" t="n">
        <x:v>0.24</x:v>
      </x:c>
      <x:c r="H173" s="10" t="n">
        <x:v>5</x:v>
      </x:c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0" t="str">
        <x:f>IF(OR(COUNT(I173:P173)&lt;8,Q173=""),"OPEN",IF(AND(INDEX('Candidate Articles'!$H$6:$H$29,MATCH(C173,'Candidate Articles'!$A$6:$A$29,0))="ACCEPTED",I173&gt;='Assumptions'!$B$39,J173&gt;='Assumptions'!$B$39,K173&lt;='Assumptions'!$B$40,L173&lt;='Assumptions'!$B$41,M173&lt;='Assumptions'!$B$42,N173&gt;='Assumptions'!$B$38,O173&gt;='Assumptions'!$B$38,P173&lt;=0.0001,Q173="ACCEPTED"),"PASS","VALID-ADVERSE"))</x:f>
        <x:v>OPEN</x:v>
      </x:c>
    </x:row>
    <x:row r="174">
      <x:c r="A174" s="10" t="str">
        <x:v>CT-167</x:v>
      </x:c>
      <x:c r="B174" s="10" t="str">
        <x:v>AR-O</x:v>
      </x:c>
      <x:c r="C174" s="10" t="str">
        <x:v>AR-O-A21</x:v>
      </x:c>
      <x:c r="D174" s="10" t="str">
        <x:v>BL-A</x:v>
      </x:c>
      <x:c r="E174" s="10" t="str">
        <x:v>C-2</x:v>
      </x:c>
      <x:c r="F174" s="10" t="str">
        <x:v>AT-7 decoy/carryover</x:v>
      </x:c>
      <x:c r="G174" s="10" t="n">
        <x:v>0.24</x:v>
      </x:c>
      <x:c r="H174" s="10" t="n">
        <x:v>5</x:v>
      </x:c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0" t="str">
        <x:f>IF(OR(COUNT(I174:P174)&lt;8,Q174=""),"OPEN",IF(AND(INDEX('Candidate Articles'!$H$6:$H$29,MATCH(C174,'Candidate Articles'!$A$6:$A$29,0))="ACCEPTED",I174&gt;='Assumptions'!$B$39,J174&gt;='Assumptions'!$B$39,K174&lt;='Assumptions'!$B$40,L174&lt;='Assumptions'!$B$41,M174&lt;='Assumptions'!$B$42,N174&gt;='Assumptions'!$B$38,O174&gt;='Assumptions'!$B$38,P174&lt;=0.0001,Q174="ACCEPTED"),"PASS","VALID-ADVERSE"))</x:f>
        <x:v>OPEN</x:v>
      </x:c>
    </x:row>
    <x:row r="175">
      <x:c r="A175" s="10" t="str">
        <x:v>CT-168</x:v>
      </x:c>
      <x:c r="B175" s="10" t="str">
        <x:v>AR-O</x:v>
      </x:c>
      <x:c r="C175" s="10" t="str">
        <x:v>AR-O-A21</x:v>
      </x:c>
      <x:c r="D175" s="10" t="str">
        <x:v>BL-A</x:v>
      </x:c>
      <x:c r="E175" s="10" t="str">
        <x:v>C-2</x:v>
      </x:c>
      <x:c r="F175" s="10" t="str">
        <x:v>AT-8 reader/time denied</x:v>
      </x:c>
      <x:c r="G175" s="10" t="n">
        <x:v>0.24</x:v>
      </x:c>
      <x:c r="H175" s="10" t="n">
        <x:v>5</x:v>
      </x:c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0" t="str">
        <x:f>IF(OR(COUNT(I175:P175)&lt;8,Q175=""),"OPEN",IF(AND(INDEX('Candidate Articles'!$H$6:$H$29,MATCH(C175,'Candidate Articles'!$A$6:$A$29,0))="ACCEPTED",I175&gt;='Assumptions'!$B$39,J175&gt;='Assumptions'!$B$39,K175&lt;='Assumptions'!$B$40,L175&lt;='Assumptions'!$B$41,M175&lt;='Assumptions'!$B$42,N175&gt;='Assumptions'!$B$38,O175&gt;='Assumptions'!$B$38,P175&lt;=0.0001,Q175="ACCEPTED"),"PASS","VALID-ADVERSE"))</x:f>
        <x:v>OPEN</x:v>
      </x:c>
    </x:row>
    <x:row r="176">
      <x:c r="A176" s="10" t="str">
        <x:v>CT-169</x:v>
      </x:c>
      <x:c r="B176" s="10" t="str">
        <x:v>AR-O</x:v>
      </x:c>
      <x:c r="C176" s="10" t="str">
        <x:v>AR-O-A22</x:v>
      </x:c>
      <x:c r="D176" s="10" t="str">
        <x:v>BL-B</x:v>
      </x:c>
      <x:c r="E176" s="10" t="str">
        <x:v>C-2</x:v>
      </x:c>
      <x:c r="F176" s="10" t="str">
        <x:v>AT-1 blank/history</x:v>
      </x:c>
      <x:c r="G176" s="10" t="n">
        <x:v>0.24</x:v>
      </x:c>
      <x:c r="H176" s="10" t="n">
        <x:v>5</x:v>
      </x:c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0" t="str">
        <x:f>IF(OR(COUNT(I176:P176)&lt;8,Q176=""),"OPEN",IF(AND(INDEX('Candidate Articles'!$H$6:$H$29,MATCH(C176,'Candidate Articles'!$A$6:$A$29,0))="ACCEPTED",I176&gt;='Assumptions'!$B$39,J176&gt;='Assumptions'!$B$39,K176&lt;='Assumptions'!$B$40,L176&lt;='Assumptions'!$B$41,M176&lt;='Assumptions'!$B$42,N176&gt;='Assumptions'!$B$38,O176&gt;='Assumptions'!$B$38,P176&lt;=0.0001,Q176="ACCEPTED"),"PASS","VALID-ADVERSE"))</x:f>
        <x:v>OPEN</x:v>
      </x:c>
    </x:row>
    <x:row r="177">
      <x:c r="A177" s="10" t="str">
        <x:v>CT-170</x:v>
      </x:c>
      <x:c r="B177" s="10" t="str">
        <x:v>AR-O</x:v>
      </x:c>
      <x:c r="C177" s="10" t="str">
        <x:v>AR-O-A22</x:v>
      </x:c>
      <x:c r="D177" s="10" t="str">
        <x:v>BL-B</x:v>
      </x:c>
      <x:c r="E177" s="10" t="str">
        <x:v>C-2</x:v>
      </x:c>
      <x:c r="F177" s="10" t="str">
        <x:v>AT-2 simulant only</x:v>
      </x:c>
      <x:c r="G177" s="10" t="n">
        <x:v>0.24</x:v>
      </x:c>
      <x:c r="H177" s="10" t="n">
        <x:v>5</x:v>
      </x:c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0" t="str">
        <x:f>IF(OR(COUNT(I177:P177)&lt;8,Q177=""),"OPEN",IF(AND(INDEX('Candidate Articles'!$H$6:$H$29,MATCH(C177,'Candidate Articles'!$A$6:$A$29,0))="ACCEPTED",I177&gt;='Assumptions'!$B$39,J177&gt;='Assumptions'!$B$39,K177&lt;='Assumptions'!$B$40,L177&lt;='Assumptions'!$B$41,M177&lt;='Assumptions'!$B$42,N177&gt;='Assumptions'!$B$38,O177&gt;='Assumptions'!$B$38,P177&lt;=0.0001,Q177="ACCEPTED"),"PASS","VALID-ADVERSE"))</x:f>
        <x:v>OPEN</x:v>
      </x:c>
    </x:row>
    <x:row r="178">
      <x:c r="A178" s="10" t="str">
        <x:v>CT-171</x:v>
      </x:c>
      <x:c r="B178" s="10" t="str">
        <x:v>AR-O</x:v>
      </x:c>
      <x:c r="C178" s="10" t="str">
        <x:v>AR-O-A22</x:v>
      </x:c>
      <x:c r="D178" s="10" t="str">
        <x:v>BL-B</x:v>
      </x:c>
      <x:c r="E178" s="10" t="str">
        <x:v>C-2</x:v>
      </x:c>
      <x:c r="F178" s="10" t="str">
        <x:v>AT-3 water only</x:v>
      </x:c>
      <x:c r="G178" s="10" t="n">
        <x:v>0.24</x:v>
      </x:c>
      <x:c r="H178" s="10" t="n">
        <x:v>5</x:v>
      </x:c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0" t="str">
        <x:f>IF(OR(COUNT(I178:P178)&lt;8,Q178=""),"OPEN",IF(AND(INDEX('Candidate Articles'!$H$6:$H$29,MATCH(C178,'Candidate Articles'!$A$6:$A$29,0))="ACCEPTED",I178&gt;='Assumptions'!$B$39,J178&gt;='Assumptions'!$B$39,K178&lt;='Assumptions'!$B$40,L178&lt;='Assumptions'!$B$41,M178&lt;='Assumptions'!$B$42,N178&gt;='Assumptions'!$B$38,O178&gt;='Assumptions'!$B$38,P178&lt;=0.0001,Q178="ACCEPTED"),"PASS","VALID-ADVERSE"))</x:f>
        <x:v>OPEN</x:v>
      </x:c>
    </x:row>
    <x:row r="179">
      <x:c r="A179" s="10" t="str">
        <x:v>CT-172</x:v>
      </x:c>
      <x:c r="B179" s="10" t="str">
        <x:v>AR-O</x:v>
      </x:c>
      <x:c r="C179" s="10" t="str">
        <x:v>AR-O-A22</x:v>
      </x:c>
      <x:c r="D179" s="10" t="str">
        <x:v>BL-B</x:v>
      </x:c>
      <x:c r="E179" s="10" t="str">
        <x:v>C-2</x:v>
      </x:c>
      <x:c r="F179" s="10" t="str">
        <x:v>AT-4 nominal crossover</x:v>
      </x:c>
      <x:c r="G179" s="10" t="n">
        <x:v>0.24</x:v>
      </x:c>
      <x:c r="H179" s="10" t="n">
        <x:v>5</x:v>
      </x:c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0" t="str">
        <x:f>IF(OR(COUNT(I179:P179)&lt;8,Q179=""),"OPEN",IF(AND(INDEX('Candidate Articles'!$H$6:$H$29,MATCH(C179,'Candidate Articles'!$A$6:$A$29,0))="ACCEPTED",I179&gt;='Assumptions'!$B$39,J179&gt;='Assumptions'!$B$39,K179&lt;='Assumptions'!$B$40,L179&lt;='Assumptions'!$B$41,M179&lt;='Assumptions'!$B$42,N179&gt;='Assumptions'!$B$38,O179&gt;='Assumptions'!$B$38,P179&lt;=0.0001,Q179="ACCEPTED"),"PASS","VALID-ADVERSE"))</x:f>
        <x:v>OPEN</x:v>
      </x:c>
    </x:row>
    <x:row r="180">
      <x:c r="A180" s="10" t="str">
        <x:v>CT-173</x:v>
      </x:c>
      <x:c r="B180" s="10" t="str">
        <x:v>AR-O</x:v>
      </x:c>
      <x:c r="C180" s="10" t="str">
        <x:v>AR-O-A22</x:v>
      </x:c>
      <x:c r="D180" s="10" t="str">
        <x:v>BL-B</x:v>
      </x:c>
      <x:c r="E180" s="10" t="str">
        <x:v>C-2</x:v>
      </x:c>
      <x:c r="F180" s="10" t="str">
        <x:v>AT-5 emulsion/shear</x:v>
      </x:c>
      <x:c r="G180" s="10" t="n">
        <x:v>0.24</x:v>
      </x:c>
      <x:c r="H180" s="10" t="n">
        <x:v>5</x:v>
      </x:c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0" t="str">
        <x:f>IF(OR(COUNT(I180:P180)&lt;8,Q180=""),"OPEN",IF(AND(INDEX('Candidate Articles'!$H$6:$H$29,MATCH(C180,'Candidate Articles'!$A$6:$A$29,0))="ACCEPTED",I180&gt;='Assumptions'!$B$39,J180&gt;='Assumptions'!$B$39,K180&lt;='Assumptions'!$B$40,L180&lt;='Assumptions'!$B$41,M180&lt;='Assumptions'!$B$42,N180&gt;='Assumptions'!$B$38,O180&gt;='Assumptions'!$B$38,P180&lt;=0.0001,Q180="ACCEPTED"),"PASS","VALID-ADVERSE"))</x:f>
        <x:v>OPEN</x:v>
      </x:c>
    </x:row>
    <x:row r="181">
      <x:c r="A181" s="10" t="str">
        <x:v>CT-174</x:v>
      </x:c>
      <x:c r="B181" s="10" t="str">
        <x:v>AR-O</x:v>
      </x:c>
      <x:c r="C181" s="10" t="str">
        <x:v>AR-O-A22</x:v>
      </x:c>
      <x:c r="D181" s="10" t="str">
        <x:v>BL-B</x:v>
      </x:c>
      <x:c r="E181" s="10" t="str">
        <x:v>C-2</x:v>
      </x:c>
      <x:c r="F181" s="10" t="str">
        <x:v>AT-6 film/delayed release</x:v>
      </x:c>
      <x:c r="G181" s="10" t="n">
        <x:v>0.24</x:v>
      </x:c>
      <x:c r="H181" s="10" t="n">
        <x:v>5</x:v>
      </x:c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0" t="str">
        <x:f>IF(OR(COUNT(I181:P181)&lt;8,Q181=""),"OPEN",IF(AND(INDEX('Candidate Articles'!$H$6:$H$29,MATCH(C181,'Candidate Articles'!$A$6:$A$29,0))="ACCEPTED",I181&gt;='Assumptions'!$B$39,J181&gt;='Assumptions'!$B$39,K181&lt;='Assumptions'!$B$40,L181&lt;='Assumptions'!$B$41,M181&lt;='Assumptions'!$B$42,N181&gt;='Assumptions'!$B$38,O181&gt;='Assumptions'!$B$38,P181&lt;=0.0001,Q181="ACCEPTED"),"PASS","VALID-ADVERSE"))</x:f>
        <x:v>OPEN</x:v>
      </x:c>
    </x:row>
    <x:row r="182">
      <x:c r="A182" s="10" t="str">
        <x:v>CT-175</x:v>
      </x:c>
      <x:c r="B182" s="10" t="str">
        <x:v>AR-O</x:v>
      </x:c>
      <x:c r="C182" s="10" t="str">
        <x:v>AR-O-A22</x:v>
      </x:c>
      <x:c r="D182" s="10" t="str">
        <x:v>BL-B</x:v>
      </x:c>
      <x:c r="E182" s="10" t="str">
        <x:v>C-2</x:v>
      </x:c>
      <x:c r="F182" s="10" t="str">
        <x:v>AT-7 decoy/carryover</x:v>
      </x:c>
      <x:c r="G182" s="10" t="n">
        <x:v>0.24</x:v>
      </x:c>
      <x:c r="H182" s="10" t="n">
        <x:v>5</x:v>
      </x:c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0" t="str">
        <x:f>IF(OR(COUNT(I182:P182)&lt;8,Q182=""),"OPEN",IF(AND(INDEX('Candidate Articles'!$H$6:$H$29,MATCH(C182,'Candidate Articles'!$A$6:$A$29,0))="ACCEPTED",I182&gt;='Assumptions'!$B$39,J182&gt;='Assumptions'!$B$39,K182&lt;='Assumptions'!$B$40,L182&lt;='Assumptions'!$B$41,M182&lt;='Assumptions'!$B$42,N182&gt;='Assumptions'!$B$38,O182&gt;='Assumptions'!$B$38,P182&lt;=0.0001,Q182="ACCEPTED"),"PASS","VALID-ADVERSE"))</x:f>
        <x:v>OPEN</x:v>
      </x:c>
    </x:row>
    <x:row r="183">
      <x:c r="A183" s="10" t="str">
        <x:v>CT-176</x:v>
      </x:c>
      <x:c r="B183" s="10" t="str">
        <x:v>AR-O</x:v>
      </x:c>
      <x:c r="C183" s="10" t="str">
        <x:v>AR-O-A22</x:v>
      </x:c>
      <x:c r="D183" s="10" t="str">
        <x:v>BL-B</x:v>
      </x:c>
      <x:c r="E183" s="10" t="str">
        <x:v>C-2</x:v>
      </x:c>
      <x:c r="F183" s="10" t="str">
        <x:v>AT-8 reader/time denied</x:v>
      </x:c>
      <x:c r="G183" s="10" t="n">
        <x:v>0.24</x:v>
      </x:c>
      <x:c r="H183" s="10" t="n">
        <x:v>5</x:v>
      </x:c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0" t="str">
        <x:f>IF(OR(COUNT(I183:P183)&lt;8,Q183=""),"OPEN",IF(AND(INDEX('Candidate Articles'!$H$6:$H$29,MATCH(C183,'Candidate Articles'!$A$6:$A$29,0))="ACCEPTED",I183&gt;='Assumptions'!$B$39,J183&gt;='Assumptions'!$B$39,K183&lt;='Assumptions'!$B$40,L183&lt;='Assumptions'!$B$41,M183&lt;='Assumptions'!$B$42,N183&gt;='Assumptions'!$B$38,O183&gt;='Assumptions'!$B$38,P183&lt;=0.0001,Q183="ACCEPTED"),"PASS","VALID-ADVERSE"))</x:f>
        <x:v>OPEN</x:v>
      </x:c>
    </x:row>
    <x:row r="184">
      <x:c r="A184" s="10" t="str">
        <x:v>CT-177</x:v>
      </x:c>
      <x:c r="B184" s="10" t="str">
        <x:v>AR-O</x:v>
      </x:c>
      <x:c r="C184" s="10" t="str">
        <x:v>AR-O-A23</x:v>
      </x:c>
      <x:c r="D184" s="10" t="str">
        <x:v>BL-A</x:v>
      </x:c>
      <x:c r="E184" s="10" t="str">
        <x:v>C-3</x:v>
      </x:c>
      <x:c r="F184" s="10" t="str">
        <x:v>AT-1 blank/history</x:v>
      </x:c>
      <x:c r="G184" s="10" t="n">
        <x:v>0.24</x:v>
      </x:c>
      <x:c r="H184" s="10" t="n">
        <x:v>5</x:v>
      </x:c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0" t="str">
        <x:f>IF(OR(COUNT(I184:P184)&lt;8,Q184=""),"OPEN",IF(AND(INDEX('Candidate Articles'!$H$6:$H$29,MATCH(C184,'Candidate Articles'!$A$6:$A$29,0))="ACCEPTED",I184&gt;='Assumptions'!$B$39,J184&gt;='Assumptions'!$B$39,K184&lt;='Assumptions'!$B$40,L184&lt;='Assumptions'!$B$41,M184&lt;='Assumptions'!$B$42,N184&gt;='Assumptions'!$B$38,O184&gt;='Assumptions'!$B$38,P184&lt;=0.0001,Q184="ACCEPTED"),"PASS","VALID-ADVERSE"))</x:f>
        <x:v>OPEN</x:v>
      </x:c>
    </x:row>
    <x:row r="185">
      <x:c r="A185" s="10" t="str">
        <x:v>CT-178</x:v>
      </x:c>
      <x:c r="B185" s="10" t="str">
        <x:v>AR-O</x:v>
      </x:c>
      <x:c r="C185" s="10" t="str">
        <x:v>AR-O-A23</x:v>
      </x:c>
      <x:c r="D185" s="10" t="str">
        <x:v>BL-A</x:v>
      </x:c>
      <x:c r="E185" s="10" t="str">
        <x:v>C-3</x:v>
      </x:c>
      <x:c r="F185" s="10" t="str">
        <x:v>AT-2 simulant only</x:v>
      </x:c>
      <x:c r="G185" s="10" t="n">
        <x:v>0.24</x:v>
      </x:c>
      <x:c r="H185" s="10" t="n">
        <x:v>5</x:v>
      </x:c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0" t="str">
        <x:f>IF(OR(COUNT(I185:P185)&lt;8,Q185=""),"OPEN",IF(AND(INDEX('Candidate Articles'!$H$6:$H$29,MATCH(C185,'Candidate Articles'!$A$6:$A$29,0))="ACCEPTED",I185&gt;='Assumptions'!$B$39,J185&gt;='Assumptions'!$B$39,K185&lt;='Assumptions'!$B$40,L185&lt;='Assumptions'!$B$41,M185&lt;='Assumptions'!$B$42,N185&gt;='Assumptions'!$B$38,O185&gt;='Assumptions'!$B$38,P185&lt;=0.0001,Q185="ACCEPTED"),"PASS","VALID-ADVERSE"))</x:f>
        <x:v>OPEN</x:v>
      </x:c>
    </x:row>
    <x:row r="186">
      <x:c r="A186" s="10" t="str">
        <x:v>CT-179</x:v>
      </x:c>
      <x:c r="B186" s="10" t="str">
        <x:v>AR-O</x:v>
      </x:c>
      <x:c r="C186" s="10" t="str">
        <x:v>AR-O-A23</x:v>
      </x:c>
      <x:c r="D186" s="10" t="str">
        <x:v>BL-A</x:v>
      </x:c>
      <x:c r="E186" s="10" t="str">
        <x:v>C-3</x:v>
      </x:c>
      <x:c r="F186" s="10" t="str">
        <x:v>AT-3 water only</x:v>
      </x:c>
      <x:c r="G186" s="10" t="n">
        <x:v>0.24</x:v>
      </x:c>
      <x:c r="H186" s="10" t="n">
        <x:v>5</x:v>
      </x:c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0" t="str">
        <x:f>IF(OR(COUNT(I186:P186)&lt;8,Q186=""),"OPEN",IF(AND(INDEX('Candidate Articles'!$H$6:$H$29,MATCH(C186,'Candidate Articles'!$A$6:$A$29,0))="ACCEPTED",I186&gt;='Assumptions'!$B$39,J186&gt;='Assumptions'!$B$39,K186&lt;='Assumptions'!$B$40,L186&lt;='Assumptions'!$B$41,M186&lt;='Assumptions'!$B$42,N186&gt;='Assumptions'!$B$38,O186&gt;='Assumptions'!$B$38,P186&lt;=0.0001,Q186="ACCEPTED"),"PASS","VALID-ADVERSE"))</x:f>
        <x:v>OPEN</x:v>
      </x:c>
    </x:row>
    <x:row r="187">
      <x:c r="A187" s="10" t="str">
        <x:v>CT-180</x:v>
      </x:c>
      <x:c r="B187" s="10" t="str">
        <x:v>AR-O</x:v>
      </x:c>
      <x:c r="C187" s="10" t="str">
        <x:v>AR-O-A23</x:v>
      </x:c>
      <x:c r="D187" s="10" t="str">
        <x:v>BL-A</x:v>
      </x:c>
      <x:c r="E187" s="10" t="str">
        <x:v>C-3</x:v>
      </x:c>
      <x:c r="F187" s="10" t="str">
        <x:v>AT-4 nominal crossover</x:v>
      </x:c>
      <x:c r="G187" s="10" t="n">
        <x:v>0.24</x:v>
      </x:c>
      <x:c r="H187" s="10" t="n">
        <x:v>5</x:v>
      </x:c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0" t="str">
        <x:f>IF(OR(COUNT(I187:P187)&lt;8,Q187=""),"OPEN",IF(AND(INDEX('Candidate Articles'!$H$6:$H$29,MATCH(C187,'Candidate Articles'!$A$6:$A$29,0))="ACCEPTED",I187&gt;='Assumptions'!$B$39,J187&gt;='Assumptions'!$B$39,K187&lt;='Assumptions'!$B$40,L187&lt;='Assumptions'!$B$41,M187&lt;='Assumptions'!$B$42,N187&gt;='Assumptions'!$B$38,O187&gt;='Assumptions'!$B$38,P187&lt;=0.0001,Q187="ACCEPTED"),"PASS","VALID-ADVERSE"))</x:f>
        <x:v>OPEN</x:v>
      </x:c>
    </x:row>
    <x:row r="188">
      <x:c r="A188" s="10" t="str">
        <x:v>CT-181</x:v>
      </x:c>
      <x:c r="B188" s="10" t="str">
        <x:v>AR-O</x:v>
      </x:c>
      <x:c r="C188" s="10" t="str">
        <x:v>AR-O-A23</x:v>
      </x:c>
      <x:c r="D188" s="10" t="str">
        <x:v>BL-A</x:v>
      </x:c>
      <x:c r="E188" s="10" t="str">
        <x:v>C-3</x:v>
      </x:c>
      <x:c r="F188" s="10" t="str">
        <x:v>AT-5 emulsion/shear</x:v>
      </x:c>
      <x:c r="G188" s="10" t="n">
        <x:v>0.24</x:v>
      </x:c>
      <x:c r="H188" s="10" t="n">
        <x:v>5</x:v>
      </x:c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0" t="str">
        <x:f>IF(OR(COUNT(I188:P188)&lt;8,Q188=""),"OPEN",IF(AND(INDEX('Candidate Articles'!$H$6:$H$29,MATCH(C188,'Candidate Articles'!$A$6:$A$29,0))="ACCEPTED",I188&gt;='Assumptions'!$B$39,J188&gt;='Assumptions'!$B$39,K188&lt;='Assumptions'!$B$40,L188&lt;='Assumptions'!$B$41,M188&lt;='Assumptions'!$B$42,N188&gt;='Assumptions'!$B$38,O188&gt;='Assumptions'!$B$38,P188&lt;=0.0001,Q188="ACCEPTED"),"PASS","VALID-ADVERSE"))</x:f>
        <x:v>OPEN</x:v>
      </x:c>
    </x:row>
    <x:row r="189">
      <x:c r="A189" s="10" t="str">
        <x:v>CT-182</x:v>
      </x:c>
      <x:c r="B189" s="10" t="str">
        <x:v>AR-O</x:v>
      </x:c>
      <x:c r="C189" s="10" t="str">
        <x:v>AR-O-A23</x:v>
      </x:c>
      <x:c r="D189" s="10" t="str">
        <x:v>BL-A</x:v>
      </x:c>
      <x:c r="E189" s="10" t="str">
        <x:v>C-3</x:v>
      </x:c>
      <x:c r="F189" s="10" t="str">
        <x:v>AT-6 film/delayed release</x:v>
      </x:c>
      <x:c r="G189" s="10" t="n">
        <x:v>0.24</x:v>
      </x:c>
      <x:c r="H189" s="10" t="n">
        <x:v>5</x:v>
      </x:c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0" t="str">
        <x:f>IF(OR(COUNT(I189:P189)&lt;8,Q189=""),"OPEN",IF(AND(INDEX('Candidate Articles'!$H$6:$H$29,MATCH(C189,'Candidate Articles'!$A$6:$A$29,0))="ACCEPTED",I189&gt;='Assumptions'!$B$39,J189&gt;='Assumptions'!$B$39,K189&lt;='Assumptions'!$B$40,L189&lt;='Assumptions'!$B$41,M189&lt;='Assumptions'!$B$42,N189&gt;='Assumptions'!$B$38,O189&gt;='Assumptions'!$B$38,P189&lt;=0.0001,Q189="ACCEPTED"),"PASS","VALID-ADVERSE"))</x:f>
        <x:v>OPEN</x:v>
      </x:c>
    </x:row>
    <x:row r="190">
      <x:c r="A190" s="10" t="str">
        <x:v>CT-183</x:v>
      </x:c>
      <x:c r="B190" s="10" t="str">
        <x:v>AR-O</x:v>
      </x:c>
      <x:c r="C190" s="10" t="str">
        <x:v>AR-O-A23</x:v>
      </x:c>
      <x:c r="D190" s="10" t="str">
        <x:v>BL-A</x:v>
      </x:c>
      <x:c r="E190" s="10" t="str">
        <x:v>C-3</x:v>
      </x:c>
      <x:c r="F190" s="10" t="str">
        <x:v>AT-7 decoy/carryover</x:v>
      </x:c>
      <x:c r="G190" s="10" t="n">
        <x:v>0.24</x:v>
      </x:c>
      <x:c r="H190" s="10" t="n">
        <x:v>5</x:v>
      </x:c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0" t="str">
        <x:f>IF(OR(COUNT(I190:P190)&lt;8,Q190=""),"OPEN",IF(AND(INDEX('Candidate Articles'!$H$6:$H$29,MATCH(C190,'Candidate Articles'!$A$6:$A$29,0))="ACCEPTED",I190&gt;='Assumptions'!$B$39,J190&gt;='Assumptions'!$B$39,K190&lt;='Assumptions'!$B$40,L190&lt;='Assumptions'!$B$41,M190&lt;='Assumptions'!$B$42,N190&gt;='Assumptions'!$B$38,O190&gt;='Assumptions'!$B$38,P190&lt;=0.0001,Q190="ACCEPTED"),"PASS","VALID-ADVERSE"))</x:f>
        <x:v>OPEN</x:v>
      </x:c>
    </x:row>
    <x:row r="191">
      <x:c r="A191" s="10" t="str">
        <x:v>CT-184</x:v>
      </x:c>
      <x:c r="B191" s="10" t="str">
        <x:v>AR-O</x:v>
      </x:c>
      <x:c r="C191" s="10" t="str">
        <x:v>AR-O-A23</x:v>
      </x:c>
      <x:c r="D191" s="10" t="str">
        <x:v>BL-A</x:v>
      </x:c>
      <x:c r="E191" s="10" t="str">
        <x:v>C-3</x:v>
      </x:c>
      <x:c r="F191" s="10" t="str">
        <x:v>AT-8 reader/time denied</x:v>
      </x:c>
      <x:c r="G191" s="10" t="n">
        <x:v>0.24</x:v>
      </x:c>
      <x:c r="H191" s="10" t="n">
        <x:v>5</x:v>
      </x:c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0" t="str">
        <x:f>IF(OR(COUNT(I191:P191)&lt;8,Q191=""),"OPEN",IF(AND(INDEX('Candidate Articles'!$H$6:$H$29,MATCH(C191,'Candidate Articles'!$A$6:$A$29,0))="ACCEPTED",I191&gt;='Assumptions'!$B$39,J191&gt;='Assumptions'!$B$39,K191&lt;='Assumptions'!$B$40,L191&lt;='Assumptions'!$B$41,M191&lt;='Assumptions'!$B$42,N191&gt;='Assumptions'!$B$38,O191&gt;='Assumptions'!$B$38,P191&lt;=0.0001,Q191="ACCEPTED"),"PASS","VALID-ADVERSE"))</x:f>
        <x:v>OPEN</x:v>
      </x:c>
    </x:row>
    <x:row r="192">
      <x:c r="A192" s="10" t="str">
        <x:v>CT-185</x:v>
      </x:c>
      <x:c r="B192" s="10" t="str">
        <x:v>AR-O</x:v>
      </x:c>
      <x:c r="C192" s="10" t="str">
        <x:v>AR-O-A24</x:v>
      </x:c>
      <x:c r="D192" s="10" t="str">
        <x:v>BL-B</x:v>
      </x:c>
      <x:c r="E192" s="10" t="str">
        <x:v>C-3</x:v>
      </x:c>
      <x:c r="F192" s="10" t="str">
        <x:v>AT-1 blank/history</x:v>
      </x:c>
      <x:c r="G192" s="10" t="n">
        <x:v>0.24</x:v>
      </x:c>
      <x:c r="H192" s="10" t="n">
        <x:v>5</x:v>
      </x:c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0" t="str">
        <x:f>IF(OR(COUNT(I192:P192)&lt;8,Q192=""),"OPEN",IF(AND(INDEX('Candidate Articles'!$H$6:$H$29,MATCH(C192,'Candidate Articles'!$A$6:$A$29,0))="ACCEPTED",I192&gt;='Assumptions'!$B$39,J192&gt;='Assumptions'!$B$39,K192&lt;='Assumptions'!$B$40,L192&lt;='Assumptions'!$B$41,M192&lt;='Assumptions'!$B$42,N192&gt;='Assumptions'!$B$38,O192&gt;='Assumptions'!$B$38,P192&lt;=0.0001,Q192="ACCEPTED"),"PASS","VALID-ADVERSE"))</x:f>
        <x:v>OPEN</x:v>
      </x:c>
    </x:row>
    <x:row r="193">
      <x:c r="A193" s="10" t="str">
        <x:v>CT-186</x:v>
      </x:c>
      <x:c r="B193" s="10" t="str">
        <x:v>AR-O</x:v>
      </x:c>
      <x:c r="C193" s="10" t="str">
        <x:v>AR-O-A24</x:v>
      </x:c>
      <x:c r="D193" s="10" t="str">
        <x:v>BL-B</x:v>
      </x:c>
      <x:c r="E193" s="10" t="str">
        <x:v>C-3</x:v>
      </x:c>
      <x:c r="F193" s="10" t="str">
        <x:v>AT-2 simulant only</x:v>
      </x:c>
      <x:c r="G193" s="10" t="n">
        <x:v>0.24</x:v>
      </x:c>
      <x:c r="H193" s="10" t="n">
        <x:v>5</x:v>
      </x:c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0" t="str">
        <x:f>IF(OR(COUNT(I193:P193)&lt;8,Q193=""),"OPEN",IF(AND(INDEX('Candidate Articles'!$H$6:$H$29,MATCH(C193,'Candidate Articles'!$A$6:$A$29,0))="ACCEPTED",I193&gt;='Assumptions'!$B$39,J193&gt;='Assumptions'!$B$39,K193&lt;='Assumptions'!$B$40,L193&lt;='Assumptions'!$B$41,M193&lt;='Assumptions'!$B$42,N193&gt;='Assumptions'!$B$38,O193&gt;='Assumptions'!$B$38,P193&lt;=0.0001,Q193="ACCEPTED"),"PASS","VALID-ADVERSE"))</x:f>
        <x:v>OPEN</x:v>
      </x:c>
    </x:row>
    <x:row r="194">
      <x:c r="A194" s="10" t="str">
        <x:v>CT-187</x:v>
      </x:c>
      <x:c r="B194" s="10" t="str">
        <x:v>AR-O</x:v>
      </x:c>
      <x:c r="C194" s="10" t="str">
        <x:v>AR-O-A24</x:v>
      </x:c>
      <x:c r="D194" s="10" t="str">
        <x:v>BL-B</x:v>
      </x:c>
      <x:c r="E194" s="10" t="str">
        <x:v>C-3</x:v>
      </x:c>
      <x:c r="F194" s="10" t="str">
        <x:v>AT-3 water only</x:v>
      </x:c>
      <x:c r="G194" s="10" t="n">
        <x:v>0.24</x:v>
      </x:c>
      <x:c r="H194" s="10" t="n">
        <x:v>5</x:v>
      </x:c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0" t="str">
        <x:f>IF(OR(COUNT(I194:P194)&lt;8,Q194=""),"OPEN",IF(AND(INDEX('Candidate Articles'!$H$6:$H$29,MATCH(C194,'Candidate Articles'!$A$6:$A$29,0))="ACCEPTED",I194&gt;='Assumptions'!$B$39,J194&gt;='Assumptions'!$B$39,K194&lt;='Assumptions'!$B$40,L194&lt;='Assumptions'!$B$41,M194&lt;='Assumptions'!$B$42,N194&gt;='Assumptions'!$B$38,O194&gt;='Assumptions'!$B$38,P194&lt;=0.0001,Q194="ACCEPTED"),"PASS","VALID-ADVERSE"))</x:f>
        <x:v>OPEN</x:v>
      </x:c>
    </x:row>
    <x:row r="195">
      <x:c r="A195" s="10" t="str">
        <x:v>CT-188</x:v>
      </x:c>
      <x:c r="B195" s="10" t="str">
        <x:v>AR-O</x:v>
      </x:c>
      <x:c r="C195" s="10" t="str">
        <x:v>AR-O-A24</x:v>
      </x:c>
      <x:c r="D195" s="10" t="str">
        <x:v>BL-B</x:v>
      </x:c>
      <x:c r="E195" s="10" t="str">
        <x:v>C-3</x:v>
      </x:c>
      <x:c r="F195" s="10" t="str">
        <x:v>AT-4 nominal crossover</x:v>
      </x:c>
      <x:c r="G195" s="10" t="n">
        <x:v>0.24</x:v>
      </x:c>
      <x:c r="H195" s="10" t="n">
        <x:v>5</x:v>
      </x:c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0" t="str">
        <x:f>IF(OR(COUNT(I195:P195)&lt;8,Q195=""),"OPEN",IF(AND(INDEX('Candidate Articles'!$H$6:$H$29,MATCH(C195,'Candidate Articles'!$A$6:$A$29,0))="ACCEPTED",I195&gt;='Assumptions'!$B$39,J195&gt;='Assumptions'!$B$39,K195&lt;='Assumptions'!$B$40,L195&lt;='Assumptions'!$B$41,M195&lt;='Assumptions'!$B$42,N195&gt;='Assumptions'!$B$38,O195&gt;='Assumptions'!$B$38,P195&lt;=0.0001,Q195="ACCEPTED"),"PASS","VALID-ADVERSE"))</x:f>
        <x:v>OPEN</x:v>
      </x:c>
    </x:row>
    <x:row r="196">
      <x:c r="A196" s="10" t="str">
        <x:v>CT-189</x:v>
      </x:c>
      <x:c r="B196" s="10" t="str">
        <x:v>AR-O</x:v>
      </x:c>
      <x:c r="C196" s="10" t="str">
        <x:v>AR-O-A24</x:v>
      </x:c>
      <x:c r="D196" s="10" t="str">
        <x:v>BL-B</x:v>
      </x:c>
      <x:c r="E196" s="10" t="str">
        <x:v>C-3</x:v>
      </x:c>
      <x:c r="F196" s="10" t="str">
        <x:v>AT-5 emulsion/shear</x:v>
      </x:c>
      <x:c r="G196" s="10" t="n">
        <x:v>0.24</x:v>
      </x:c>
      <x:c r="H196" s="10" t="n">
        <x:v>5</x:v>
      </x:c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0" t="str">
        <x:f>IF(OR(COUNT(I196:P196)&lt;8,Q196=""),"OPEN",IF(AND(INDEX('Candidate Articles'!$H$6:$H$29,MATCH(C196,'Candidate Articles'!$A$6:$A$29,0))="ACCEPTED",I196&gt;='Assumptions'!$B$39,J196&gt;='Assumptions'!$B$39,K196&lt;='Assumptions'!$B$40,L196&lt;='Assumptions'!$B$41,M196&lt;='Assumptions'!$B$42,N196&gt;='Assumptions'!$B$38,O196&gt;='Assumptions'!$B$38,P196&lt;=0.0001,Q196="ACCEPTED"),"PASS","VALID-ADVERSE"))</x:f>
        <x:v>OPEN</x:v>
      </x:c>
    </x:row>
    <x:row r="197">
      <x:c r="A197" s="10" t="str">
        <x:v>CT-190</x:v>
      </x:c>
      <x:c r="B197" s="10" t="str">
        <x:v>AR-O</x:v>
      </x:c>
      <x:c r="C197" s="10" t="str">
        <x:v>AR-O-A24</x:v>
      </x:c>
      <x:c r="D197" s="10" t="str">
        <x:v>BL-B</x:v>
      </x:c>
      <x:c r="E197" s="10" t="str">
        <x:v>C-3</x:v>
      </x:c>
      <x:c r="F197" s="10" t="str">
        <x:v>AT-6 film/delayed release</x:v>
      </x:c>
      <x:c r="G197" s="10" t="n">
        <x:v>0.24</x:v>
      </x:c>
      <x:c r="H197" s="10" t="n">
        <x:v>5</x:v>
      </x:c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0" t="str">
        <x:f>IF(OR(COUNT(I197:P197)&lt;8,Q197=""),"OPEN",IF(AND(INDEX('Candidate Articles'!$H$6:$H$29,MATCH(C197,'Candidate Articles'!$A$6:$A$29,0))="ACCEPTED",I197&gt;='Assumptions'!$B$39,J197&gt;='Assumptions'!$B$39,K197&lt;='Assumptions'!$B$40,L197&lt;='Assumptions'!$B$41,M197&lt;='Assumptions'!$B$42,N197&gt;='Assumptions'!$B$38,O197&gt;='Assumptions'!$B$38,P197&lt;=0.0001,Q197="ACCEPTED"),"PASS","VALID-ADVERSE"))</x:f>
        <x:v>OPEN</x:v>
      </x:c>
    </x:row>
    <x:row r="198">
      <x:c r="A198" s="10" t="str">
        <x:v>CT-191</x:v>
      </x:c>
      <x:c r="B198" s="10" t="str">
        <x:v>AR-O</x:v>
      </x:c>
      <x:c r="C198" s="10" t="str">
        <x:v>AR-O-A24</x:v>
      </x:c>
      <x:c r="D198" s="10" t="str">
        <x:v>BL-B</x:v>
      </x:c>
      <x:c r="E198" s="10" t="str">
        <x:v>C-3</x:v>
      </x:c>
      <x:c r="F198" s="10" t="str">
        <x:v>AT-7 decoy/carryover</x:v>
      </x:c>
      <x:c r="G198" s="10" t="n">
        <x:v>0.24</x:v>
      </x:c>
      <x:c r="H198" s="10" t="n">
        <x:v>5</x:v>
      </x:c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0" t="str">
        <x:f>IF(OR(COUNT(I198:P198)&lt;8,Q198=""),"OPEN",IF(AND(INDEX('Candidate Articles'!$H$6:$H$29,MATCH(C198,'Candidate Articles'!$A$6:$A$29,0))="ACCEPTED",I198&gt;='Assumptions'!$B$39,J198&gt;='Assumptions'!$B$39,K198&lt;='Assumptions'!$B$40,L198&lt;='Assumptions'!$B$41,M198&lt;='Assumptions'!$B$42,N198&gt;='Assumptions'!$B$38,O198&gt;='Assumptions'!$B$38,P198&lt;=0.0001,Q198="ACCEPTED"),"PASS","VALID-ADVERSE"))</x:f>
        <x:v>OPEN</x:v>
      </x:c>
    </x:row>
    <x:row r="199">
      <x:c r="A199" s="10" t="str">
        <x:v>CT-192</x:v>
      </x:c>
      <x:c r="B199" s="10" t="str">
        <x:v>AR-O</x:v>
      </x:c>
      <x:c r="C199" s="10" t="str">
        <x:v>AR-O-A24</x:v>
      </x:c>
      <x:c r="D199" s="10" t="str">
        <x:v>BL-B</x:v>
      </x:c>
      <x:c r="E199" s="10" t="str">
        <x:v>C-3</x:v>
      </x:c>
      <x:c r="F199" s="10" t="str">
        <x:v>AT-8 reader/time denied</x:v>
      </x:c>
      <x:c r="G199" s="10" t="n">
        <x:v>0.24</x:v>
      </x:c>
      <x:c r="H199" s="10" t="n">
        <x:v>5</x:v>
      </x:c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0" t="str">
        <x:f>IF(OR(COUNT(I199:P199)&lt;8,Q199=""),"OPEN",IF(AND(INDEX('Candidate Articles'!$H$6:$H$29,MATCH(C199,'Candidate Articles'!$A$6:$A$29,0))="ACCEPTED",I199&gt;='Assumptions'!$B$39,J199&gt;='Assumptions'!$B$39,K199&lt;='Assumptions'!$B$40,L199&lt;='Assumptions'!$B$41,M199&lt;='Assumptions'!$B$42,N199&gt;='Assumptions'!$B$38,O199&gt;='Assumptions'!$B$38,P199&lt;=0.0001,Q199="ACCEPTED"),"PASS","VALID-ADVERSE"))</x:f>
        <x:v>OPEN</x:v>
      </x:c>
    </x:row>
  </x:sheetData>
  <x:mergeCells>
    <x:mergeCell ref="A2:R2"/>
    <x:mergeCell ref="A5:R5"/>
  </x:mergeCells>
  <x:conditionalFormatting sqref="R8:R199">
    <x:cfRule type="containsText" dxfId="12" priority="1" operator="containsText" text="DENY"/>
    <x:cfRule type="containsText" dxfId="13" priority="2" operator="containsText" text="ADVERSE"/>
    <x:cfRule type="containsText" dxfId="14" priority="3" operator="containsText" text="FAIL"/>
    <x:cfRule type="containsText" dxfId="15" priority="4" operator="containsText" text="OPEN"/>
    <x:cfRule type="containsText" dxfId="16" priority="5" operator="containsText" text="BLOCKED"/>
    <x:cfRule type="containsText" dxfId="17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d732c68600ea47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23" hidden="0" customWidth="1"/>
    <x:col min="5" max="5" width="23" hidden="0" customWidth="1"/>
    <x:col min="6" max="6" width="19" hidden="0" customWidth="1"/>
    <x:col min="7" max="7" width="19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</x:cols>
  <x:sheetData>
    <x:row r="2" ht="24" customHeight="1">
      <x:c r="A2" s="1" t="str">
        <x:v>Six possible unlike-root pairs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8" t="str">
        <x:v>Pair</x:v>
      </x:c>
      <x:c r="B5" s="8" t="str">
        <x:v>Root A</x:v>
      </x:c>
      <x:c r="C5" s="8" t="str">
        <x:v>Root B</x:v>
      </x:c>
      <x:c r="D5" s="8" t="str">
        <x:v>Family A</x:v>
      </x:c>
      <x:c r="E5" s="8" t="str">
        <x:v>Family B</x:v>
      </x:c>
      <x:c r="F5" s="8" t="str">
        <x:v>Candidate A state</x:v>
      </x:c>
      <x:c r="G5" s="8" t="str">
        <x:v>Candidate B state</x:v>
      </x:c>
      <x:c r="H5" s="8" t="str">
        <x:v>Shared decisive dependency</x:v>
      </x:c>
      <x:c r="I5" s="8" t="str">
        <x:v>Worst wrong code</x:v>
      </x:c>
      <x:c r="J5" s="8" t="str">
        <x:v>Worst carryover</x:v>
      </x:c>
      <x:c r="K5" s="8" t="str">
        <x:v>Minimum recovery</x:v>
      </x:c>
      <x:c r="L5" s="8" t="str">
        <x:v>State</x:v>
      </x:c>
    </x:row>
    <x:row r="6">
      <x:c r="A6" s="10" t="str">
        <x:v>PAIR-01</x:v>
      </x:c>
      <x:c r="B6" s="10" t="str">
        <x:v>AR-I</x:v>
      </x:c>
      <x:c r="C6" s="10" t="str">
        <x:v>AR-P</x:v>
      </x:c>
      <x:c r="D6" s="10" t="str">
        <x:f>INDEX(Candidates!$B$6:$B$9,MATCH(B6,Candidates!$A$6:$A$9,0))</x:f>
        <x:v>compositional ratio</x:v>
      </x:c>
      <x:c r="E6" s="10" t="str">
        <x:f>INDEX(Candidates!$B$6:$B$9,MATCH(C6,Candidates!$A$6:$A$9,0))</x:f>
        <x:v>physical-object census</x:v>
      </x:c>
      <x:c r="F6" s="10" t="str">
        <x:f>INDEX(Candidates!$J$6:$J$9,MATCH(B6,Candidates!$A$6:$A$9,0))</x:f>
        <x:v>OPEN</x:v>
      </x:c>
      <x:c r="G6" s="10" t="str">
        <x:f>INDEX(Candidates!$J$6:$J$9,MATCH(C6,Candidates!$A$6:$A$9,0))</x:f>
        <x:v>OPEN</x:v>
      </x:c>
      <x:c r="H6" s="12"/>
      <x:c r="I6" s="12"/>
      <x:c r="J6" s="12"/>
      <x:c r="K6" s="12"/>
      <x:c r="L6" s="10" t="str">
        <x:f>IF(OR(H6="",COUNT(I6:K6)&lt;3),"OPEN",IF(AND(F6="QUALIFIED",G6="QUALIFIED",D6&lt;&gt;E6,H6="NONE",I6&lt;='Assumptions'!$B$41,J6&lt;='Assumptions'!$B$42,K6&gt;='Assumptions'!$B$39),"PAIR-READY","DENY"))</x:f>
        <x:v>OPEN</x:v>
      </x:c>
    </x:row>
    <x:row r="7">
      <x:c r="A7" s="10" t="str">
        <x:v>PAIR-02</x:v>
      </x:c>
      <x:c r="B7" s="10" t="str">
        <x:v>AR-I</x:v>
      </x:c>
      <x:c r="C7" s="10" t="str">
        <x:v>AR-R</x:v>
      </x:c>
      <x:c r="D7" s="10" t="str">
        <x:f>INDEX(Candidates!$B$6:$B$9,MATCH(B7,Candidates!$A$6:$A$9,0))</x:f>
        <x:v>compositional ratio</x:v>
      </x:c>
      <x:c r="E7" s="10" t="str">
        <x:f>INDEX(Candidates!$B$6:$B$9,MATCH(C7,Candidates!$A$6:$A$9,0))</x:f>
        <x:v>electromagnetic spectrum</x:v>
      </x:c>
      <x:c r="F7" s="10" t="str">
        <x:f>INDEX(Candidates!$J$6:$J$9,MATCH(B7,Candidates!$A$6:$A$9,0))</x:f>
        <x:v>OPEN</x:v>
      </x:c>
      <x:c r="G7" s="10" t="str">
        <x:f>INDEX(Candidates!$J$6:$J$9,MATCH(C7,Candidates!$A$6:$A$9,0))</x:f>
        <x:v>OPEN</x:v>
      </x:c>
      <x:c r="H7" s="12"/>
      <x:c r="I7" s="12"/>
      <x:c r="J7" s="12"/>
      <x:c r="K7" s="12"/>
      <x:c r="L7" s="10" t="str">
        <x:f>IF(OR(H7="",COUNT(I7:K7)&lt;3),"OPEN",IF(AND(F7="QUALIFIED",G7="QUALIFIED",D7&lt;&gt;E7,H7="NONE",I7&lt;='Assumptions'!$B$41,J7&lt;='Assumptions'!$B$42,K7&gt;='Assumptions'!$B$39),"PAIR-READY","DENY"))</x:f>
        <x:v>OPEN</x:v>
      </x:c>
    </x:row>
    <x:row r="8">
      <x:c r="A8" s="10" t="str">
        <x:v>PAIR-03</x:v>
      </x:c>
      <x:c r="B8" s="10" t="str">
        <x:v>AR-I</x:v>
      </x:c>
      <x:c r="C8" s="10" t="str">
        <x:v>AR-O</x:v>
      </x:c>
      <x:c r="D8" s="10" t="str">
        <x:f>INDEX(Candidates!$B$6:$B$9,MATCH(B8,Candidates!$A$6:$A$9,0))</x:f>
        <x:v>compositional ratio</x:v>
      </x:c>
      <x:c r="E8" s="10" t="str">
        <x:f>INDEX(Candidates!$B$6:$B$9,MATCH(C8,Candidates!$A$6:$A$9,0))</x:f>
        <x:v>sequence identity</x:v>
      </x:c>
      <x:c r="F8" s="10" t="str">
        <x:f>INDEX(Candidates!$J$6:$J$9,MATCH(B8,Candidates!$A$6:$A$9,0))</x:f>
        <x:v>OPEN</x:v>
      </x:c>
      <x:c r="G8" s="10" t="str">
        <x:f>INDEX(Candidates!$J$6:$J$9,MATCH(C8,Candidates!$A$6:$A$9,0))</x:f>
        <x:v>OPEN</x:v>
      </x:c>
      <x:c r="H8" s="12"/>
      <x:c r="I8" s="12"/>
      <x:c r="J8" s="12"/>
      <x:c r="K8" s="12"/>
      <x:c r="L8" s="10" t="str">
        <x:f>IF(OR(H8="",COUNT(I8:K8)&lt;3),"OPEN",IF(AND(F8="QUALIFIED",G8="QUALIFIED",D8&lt;&gt;E8,H8="NONE",I8&lt;='Assumptions'!$B$41,J8&lt;='Assumptions'!$B$42,K8&gt;='Assumptions'!$B$39),"PAIR-READY","DENY"))</x:f>
        <x:v>OPEN</x:v>
      </x:c>
    </x:row>
    <x:row r="9">
      <x:c r="A9" s="10" t="str">
        <x:v>PAIR-04</x:v>
      </x:c>
      <x:c r="B9" s="10" t="str">
        <x:v>AR-P</x:v>
      </x:c>
      <x:c r="C9" s="10" t="str">
        <x:v>AR-R</x:v>
      </x:c>
      <x:c r="D9" s="10" t="str">
        <x:f>INDEX(Candidates!$B$6:$B$9,MATCH(B9,Candidates!$A$6:$A$9,0))</x:f>
        <x:v>physical-object census</x:v>
      </x:c>
      <x:c r="E9" s="10" t="str">
        <x:f>INDEX(Candidates!$B$6:$B$9,MATCH(C9,Candidates!$A$6:$A$9,0))</x:f>
        <x:v>electromagnetic spectrum</x:v>
      </x:c>
      <x:c r="F9" s="10" t="str">
        <x:f>INDEX(Candidates!$J$6:$J$9,MATCH(B9,Candidates!$A$6:$A$9,0))</x:f>
        <x:v>OPEN</x:v>
      </x:c>
      <x:c r="G9" s="10" t="str">
        <x:f>INDEX(Candidates!$J$6:$J$9,MATCH(C9,Candidates!$A$6:$A$9,0))</x:f>
        <x:v>OPEN</x:v>
      </x:c>
      <x:c r="H9" s="12"/>
      <x:c r="I9" s="12"/>
      <x:c r="J9" s="12"/>
      <x:c r="K9" s="12"/>
      <x:c r="L9" s="10" t="str">
        <x:f>IF(OR(H9="",COUNT(I9:K9)&lt;3),"OPEN",IF(AND(F9="QUALIFIED",G9="QUALIFIED",D9&lt;&gt;E9,H9="NONE",I9&lt;='Assumptions'!$B$41,J9&lt;='Assumptions'!$B$42,K9&gt;='Assumptions'!$B$39),"PAIR-READY","DENY"))</x:f>
        <x:v>OPEN</x:v>
      </x:c>
    </x:row>
    <x:row r="10">
      <x:c r="A10" s="10" t="str">
        <x:v>PAIR-05</x:v>
      </x:c>
      <x:c r="B10" s="10" t="str">
        <x:v>AR-P</x:v>
      </x:c>
      <x:c r="C10" s="10" t="str">
        <x:v>AR-O</x:v>
      </x:c>
      <x:c r="D10" s="10" t="str">
        <x:f>INDEX(Candidates!$B$6:$B$9,MATCH(B10,Candidates!$A$6:$A$9,0))</x:f>
        <x:v>physical-object census</x:v>
      </x:c>
      <x:c r="E10" s="10" t="str">
        <x:f>INDEX(Candidates!$B$6:$B$9,MATCH(C10,Candidates!$A$6:$A$9,0))</x:f>
        <x:v>sequence identity</x:v>
      </x:c>
      <x:c r="F10" s="10" t="str">
        <x:f>INDEX(Candidates!$J$6:$J$9,MATCH(B10,Candidates!$A$6:$A$9,0))</x:f>
        <x:v>OPEN</x:v>
      </x:c>
      <x:c r="G10" s="10" t="str">
        <x:f>INDEX(Candidates!$J$6:$J$9,MATCH(C10,Candidates!$A$6:$A$9,0))</x:f>
        <x:v>OPEN</x:v>
      </x:c>
      <x:c r="H10" s="12"/>
      <x:c r="I10" s="12"/>
      <x:c r="J10" s="12"/>
      <x:c r="K10" s="12"/>
      <x:c r="L10" s="10" t="str">
        <x:f>IF(OR(H10="",COUNT(I10:K10)&lt;3),"OPEN",IF(AND(F10="QUALIFIED",G10="QUALIFIED",D10&lt;&gt;E10,H10="NONE",I10&lt;='Assumptions'!$B$41,J10&lt;='Assumptions'!$B$42,K10&gt;='Assumptions'!$B$39),"PAIR-READY","DENY"))</x:f>
        <x:v>OPEN</x:v>
      </x:c>
    </x:row>
    <x:row r="11">
      <x:c r="A11" s="10" t="str">
        <x:v>PAIR-06</x:v>
      </x:c>
      <x:c r="B11" s="10" t="str">
        <x:v>AR-R</x:v>
      </x:c>
      <x:c r="C11" s="10" t="str">
        <x:v>AR-O</x:v>
      </x:c>
      <x:c r="D11" s="10" t="str">
        <x:f>INDEX(Candidates!$B$6:$B$9,MATCH(B11,Candidates!$A$6:$A$9,0))</x:f>
        <x:v>electromagnetic spectrum</x:v>
      </x:c>
      <x:c r="E11" s="10" t="str">
        <x:f>INDEX(Candidates!$B$6:$B$9,MATCH(C11,Candidates!$A$6:$A$9,0))</x:f>
        <x:v>sequence identity</x:v>
      </x:c>
      <x:c r="F11" s="10" t="str">
        <x:f>INDEX(Candidates!$J$6:$J$9,MATCH(B11,Candidates!$A$6:$A$9,0))</x:f>
        <x:v>OPEN</x:v>
      </x:c>
      <x:c r="G11" s="10" t="str">
        <x:f>INDEX(Candidates!$J$6:$J$9,MATCH(C11,Candidates!$A$6:$A$9,0))</x:f>
        <x:v>OPEN</x:v>
      </x:c>
      <x:c r="H11" s="12"/>
      <x:c r="I11" s="12"/>
      <x:c r="J11" s="12"/>
      <x:c r="K11" s="12"/>
      <x:c r="L11" s="10" t="str">
        <x:f>IF(OR(H11="",COUNT(I11:K11)&lt;3),"OPEN",IF(AND(F11="QUALIFIED",G11="QUALIFIED",D11&lt;&gt;E11,H11="NONE",I11&lt;='Assumptions'!$B$41,J11&lt;='Assumptions'!$B$42,K11&gt;='Assumptions'!$B$39),"PAIR-READY","DENY"))</x:f>
        <x:v>OPEN</x:v>
      </x:c>
    </x:row>
  </x:sheetData>
  <x:mergeCells>
    <x:mergeCell ref="A2:L2"/>
  </x:mergeCells>
  <x:conditionalFormatting sqref="L6:L11">
    <x:cfRule type="containsText" dxfId="18" priority="1" operator="containsText" text="DENY"/>
    <x:cfRule type="containsText" dxfId="19" priority="2" operator="containsText" text="ADVERSE"/>
    <x:cfRule type="containsText" dxfId="20" priority="3" operator="containsText" text="FAIL"/>
    <x:cfRule type="containsText" dxfId="21" priority="4" operator="containsText" text="OPEN"/>
    <x:cfRule type="containsText" dxfId="22" priority="5" operator="containsText" text="BLOCKED"/>
    <x:cfRule type="containsText" dxfId="23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d60ec758fa224b9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2" hidden="0" customWidth="1"/>
    <x:col min="6" max="6" width="11" hidden="0" customWidth="1"/>
    <x:col min="7" max="7" width="26" hidden="0" customWidth="1"/>
    <x:col min="8" max="8" width="16" hidden="0" customWidth="1"/>
    <x:col min="9" max="9" width="16" hidden="0" customWidth="1"/>
    <x:col min="10" max="10" width="20" hidden="0" customWidth="1"/>
    <x:col min="11" max="11" width="21" hidden="0" customWidth="1"/>
    <x:col min="12" max="12" width="17" hidden="0" customWidth="1"/>
    <x:col min="13" max="13" width="19" hidden="0" customWidth="1"/>
  </x:cols>
  <x:sheetData>
    <x:row r="2" ht="24" customHeight="1">
      <x:c r="A2" s="1" t="str">
        <x:v>One hundred forty-four pair-cohabitation trials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0" customHeight="1">
      <x:c r="A5" s="4" t="str">
        <x:v>A pair trial tests shared physical operation while retaining separate samplers, readers, clocks, code production and root dispositions.</x:v>
      </x:c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</x:row>
    <x:row r="7">
      <x:c r="A7" s="8" t="str">
        <x:v>Trial</x:v>
      </x:c>
      <x:c r="B7" s="8" t="str">
        <x:v>Pair</x:v>
      </x:c>
      <x:c r="C7" s="8" t="str">
        <x:v>Root A</x:v>
      </x:c>
      <x:c r="D7" s="8" t="str">
        <x:v>Root B</x:v>
      </x:c>
      <x:c r="E7" s="8" t="str">
        <x:v>Lineage</x:v>
      </x:c>
      <x:c r="F7" s="8" t="str">
        <x:v>Campus</x:v>
      </x:c>
      <x:c r="G7" s="8" t="str">
        <x:v>Challenge</x:v>
      </x:c>
      <x:c r="H7" s="8" t="str">
        <x:v>Root A result</x:v>
      </x:c>
      <x:c r="I7" s="8" t="str">
        <x:v>Root B result</x:v>
      </x:c>
      <x:c r="J7" s="8" t="str">
        <x:v>Mutual interference</x:v>
      </x:c>
      <x:c r="K7" s="8" t="str">
        <x:v>Sampler independence</x:v>
      </x:c>
      <x:c r="L7" s="8" t="str">
        <x:v>Outside replay</x:v>
      </x:c>
      <x:c r="M7" s="8" t="str">
        <x:v>State</x:v>
      </x:c>
    </x:row>
    <x:row r="8">
      <x:c r="A8" s="10" t="str">
        <x:v>PT-001</x:v>
      </x:c>
      <x:c r="B8" s="10" t="str">
        <x:v>PAIR-01</x:v>
      </x:c>
      <x:c r="C8" s="10" t="str">
        <x:v>AR-I</x:v>
      </x:c>
      <x:c r="D8" s="10" t="str">
        <x:v>AR-P</x:v>
      </x:c>
      <x:c r="E8" s="10" t="str">
        <x:v>BL-A</x:v>
      </x:c>
      <x:c r="F8" s="10" t="str">
        <x:v>C-1</x:v>
      </x:c>
      <x:c r="G8" s="10" t="str">
        <x:v>PT-1 nominal cohabitation</x:v>
      </x:c>
      <x:c r="H8" s="12"/>
      <x:c r="I8" s="12"/>
      <x:c r="J8" s="12"/>
      <x:c r="K8" s="12"/>
      <x:c r="L8" s="12"/>
      <x:c r="M8" s="10" t="str">
        <x:f>IF(OR(H8="",I8="",J8="",K8="",L8=""),"OPEN",IF(AND(INDEX('Pair Matrix'!$L$6:$L$11,MATCH(B8,'Pair Matrix'!$A$6:$A$11,0))="PAIR-READY",H8="PASS",I8="PASS",J8&lt;='Assumptions'!$B$40,K8="ACCEPTED",L8="ACCEPTED"),"PASS","VALID-ADVERSE"))</x:f>
        <x:v>OPEN</x:v>
      </x:c>
    </x:row>
    <x:row r="9">
      <x:c r="A9" s="10" t="str">
        <x:v>PT-002</x:v>
      </x:c>
      <x:c r="B9" s="10" t="str">
        <x:v>PAIR-01</x:v>
      </x:c>
      <x:c r="C9" s="10" t="str">
        <x:v>AR-I</x:v>
      </x:c>
      <x:c r="D9" s="10" t="str">
        <x:v>AR-P</x:v>
      </x:c>
      <x:c r="E9" s="10" t="str">
        <x:v>BL-A</x:v>
      </x:c>
      <x:c r="F9" s="10" t="str">
        <x:v>C-1</x:v>
      </x:c>
      <x:c r="G9" s="10" t="str">
        <x:v>PT-2 mutual decoy</x:v>
      </x:c>
      <x:c r="H9" s="12"/>
      <x:c r="I9" s="12"/>
      <x:c r="J9" s="12"/>
      <x:c r="K9" s="12"/>
      <x:c r="L9" s="12"/>
      <x:c r="M9" s="10" t="str">
        <x:f>IF(OR(H9="",I9="",J9="",K9="",L9=""),"OPEN",IF(AND(INDEX('Pair Matrix'!$L$6:$L$11,MATCH(B9,'Pair Matrix'!$A$6:$A$11,0))="PAIR-READY",H9="PASS",I9="PASS",J9&lt;='Assumptions'!$B$40,K9="ACCEPTED",L9="ACCEPTED"),"PASS","VALID-ADVERSE"))</x:f>
        <x:v>OPEN</x:v>
      </x:c>
    </x:row>
    <x:row r="10">
      <x:c r="A10" s="10" t="str">
        <x:v>PT-003</x:v>
      </x:c>
      <x:c r="B10" s="10" t="str">
        <x:v>PAIR-01</x:v>
      </x:c>
      <x:c r="C10" s="10" t="str">
        <x:v>AR-I</x:v>
      </x:c>
      <x:c r="D10" s="10" t="str">
        <x:v>AR-P</x:v>
      </x:c>
      <x:c r="E10" s="10" t="str">
        <x:v>BL-A</x:v>
      </x:c>
      <x:c r="F10" s="10" t="str">
        <x:v>C-1</x:v>
      </x:c>
      <x:c r="G10" s="10" t="str">
        <x:v>PT-3 denied path split</x:v>
      </x:c>
      <x:c r="H10" s="12"/>
      <x:c r="I10" s="12"/>
      <x:c r="J10" s="12"/>
      <x:c r="K10" s="12"/>
      <x:c r="L10" s="12"/>
      <x:c r="M10" s="10" t="str">
        <x:f>IF(OR(H10="",I10="",J10="",K10="",L10=""),"OPEN",IF(AND(INDEX('Pair Matrix'!$L$6:$L$11,MATCH(B10,'Pair Matrix'!$A$6:$A$11,0))="PAIR-READY",H10="PASS",I10="PASS",J10&lt;='Assumptions'!$B$40,K10="ACCEPTED",L10="ACCEPTED"),"PASS","VALID-ADVERSE"))</x:f>
        <x:v>OPEN</x:v>
      </x:c>
    </x:row>
    <x:row r="11">
      <x:c r="A11" s="10" t="str">
        <x:v>PT-004</x:v>
      </x:c>
      <x:c r="B11" s="10" t="str">
        <x:v>PAIR-01</x:v>
      </x:c>
      <x:c r="C11" s="10" t="str">
        <x:v>AR-I</x:v>
      </x:c>
      <x:c r="D11" s="10" t="str">
        <x:v>AR-P</x:v>
      </x:c>
      <x:c r="E11" s="10" t="str">
        <x:v>BL-A</x:v>
      </x:c>
      <x:c r="F11" s="10" t="str">
        <x:v>C-1</x:v>
      </x:c>
      <x:c r="G11" s="10" t="str">
        <x:v>PT-4 carryover and replay</x:v>
      </x:c>
      <x:c r="H11" s="12"/>
      <x:c r="I11" s="12"/>
      <x:c r="J11" s="12"/>
      <x:c r="K11" s="12"/>
      <x:c r="L11" s="12"/>
      <x:c r="M11" s="10" t="str">
        <x:f>IF(OR(H11="",I11="",J11="",K11="",L11=""),"OPEN",IF(AND(INDEX('Pair Matrix'!$L$6:$L$11,MATCH(B11,'Pair Matrix'!$A$6:$A$11,0))="PAIR-READY",H11="PASS",I11="PASS",J11&lt;='Assumptions'!$B$40,K11="ACCEPTED",L11="ACCEPTED"),"PASS","VALID-ADVERSE"))</x:f>
        <x:v>OPEN</x:v>
      </x:c>
    </x:row>
    <x:row r="12">
      <x:c r="A12" s="10" t="str">
        <x:v>PT-005</x:v>
      </x:c>
      <x:c r="B12" s="10" t="str">
        <x:v>PAIR-01</x:v>
      </x:c>
      <x:c r="C12" s="10" t="str">
        <x:v>AR-I</x:v>
      </x:c>
      <x:c r="D12" s="10" t="str">
        <x:v>AR-P</x:v>
      </x:c>
      <x:c r="E12" s="10" t="str">
        <x:v>BL-A</x:v>
      </x:c>
      <x:c r="F12" s="10" t="str">
        <x:v>C-2</x:v>
      </x:c>
      <x:c r="G12" s="10" t="str">
        <x:v>PT-1 nominal cohabitation</x:v>
      </x:c>
      <x:c r="H12" s="12"/>
      <x:c r="I12" s="12"/>
      <x:c r="J12" s="12"/>
      <x:c r="K12" s="12"/>
      <x:c r="L12" s="12"/>
      <x:c r="M12" s="10" t="str">
        <x:f>IF(OR(H12="",I12="",J12="",K12="",L12=""),"OPEN",IF(AND(INDEX('Pair Matrix'!$L$6:$L$11,MATCH(B12,'Pair Matrix'!$A$6:$A$11,0))="PAIR-READY",H12="PASS",I12="PASS",J12&lt;='Assumptions'!$B$40,K12="ACCEPTED",L12="ACCEPTED"),"PASS","VALID-ADVERSE"))</x:f>
        <x:v>OPEN</x:v>
      </x:c>
    </x:row>
    <x:row r="13">
      <x:c r="A13" s="10" t="str">
        <x:v>PT-006</x:v>
      </x:c>
      <x:c r="B13" s="10" t="str">
        <x:v>PAIR-01</x:v>
      </x:c>
      <x:c r="C13" s="10" t="str">
        <x:v>AR-I</x:v>
      </x:c>
      <x:c r="D13" s="10" t="str">
        <x:v>AR-P</x:v>
      </x:c>
      <x:c r="E13" s="10" t="str">
        <x:v>BL-A</x:v>
      </x:c>
      <x:c r="F13" s="10" t="str">
        <x:v>C-2</x:v>
      </x:c>
      <x:c r="G13" s="10" t="str">
        <x:v>PT-2 mutual decoy</x:v>
      </x:c>
      <x:c r="H13" s="12"/>
      <x:c r="I13" s="12"/>
      <x:c r="J13" s="12"/>
      <x:c r="K13" s="12"/>
      <x:c r="L13" s="12"/>
      <x:c r="M13" s="10" t="str">
        <x:f>IF(OR(H13="",I13="",J13="",K13="",L13=""),"OPEN",IF(AND(INDEX('Pair Matrix'!$L$6:$L$11,MATCH(B13,'Pair Matrix'!$A$6:$A$11,0))="PAIR-READY",H13="PASS",I13="PASS",J13&lt;='Assumptions'!$B$40,K13="ACCEPTED",L13="ACCEPTED"),"PASS","VALID-ADVERSE"))</x:f>
        <x:v>OPEN</x:v>
      </x:c>
    </x:row>
    <x:row r="14">
      <x:c r="A14" s="10" t="str">
        <x:v>PT-007</x:v>
      </x:c>
      <x:c r="B14" s="10" t="str">
        <x:v>PAIR-01</x:v>
      </x:c>
      <x:c r="C14" s="10" t="str">
        <x:v>AR-I</x:v>
      </x:c>
      <x:c r="D14" s="10" t="str">
        <x:v>AR-P</x:v>
      </x:c>
      <x:c r="E14" s="10" t="str">
        <x:v>BL-A</x:v>
      </x:c>
      <x:c r="F14" s="10" t="str">
        <x:v>C-2</x:v>
      </x:c>
      <x:c r="G14" s="10" t="str">
        <x:v>PT-3 denied path split</x:v>
      </x:c>
      <x:c r="H14" s="12"/>
      <x:c r="I14" s="12"/>
      <x:c r="J14" s="12"/>
      <x:c r="K14" s="12"/>
      <x:c r="L14" s="12"/>
      <x:c r="M14" s="10" t="str">
        <x:f>IF(OR(H14="",I14="",J14="",K14="",L14=""),"OPEN",IF(AND(INDEX('Pair Matrix'!$L$6:$L$11,MATCH(B14,'Pair Matrix'!$A$6:$A$11,0))="PAIR-READY",H14="PASS",I14="PASS",J14&lt;='Assumptions'!$B$40,K14="ACCEPTED",L14="ACCEPTED"),"PASS","VALID-ADVERSE"))</x:f>
        <x:v>OPEN</x:v>
      </x:c>
    </x:row>
    <x:row r="15">
      <x:c r="A15" s="10" t="str">
        <x:v>PT-008</x:v>
      </x:c>
      <x:c r="B15" s="10" t="str">
        <x:v>PAIR-01</x:v>
      </x:c>
      <x:c r="C15" s="10" t="str">
        <x:v>AR-I</x:v>
      </x:c>
      <x:c r="D15" s="10" t="str">
        <x:v>AR-P</x:v>
      </x:c>
      <x:c r="E15" s="10" t="str">
        <x:v>BL-A</x:v>
      </x:c>
      <x:c r="F15" s="10" t="str">
        <x:v>C-2</x:v>
      </x:c>
      <x:c r="G15" s="10" t="str">
        <x:v>PT-4 carryover and replay</x:v>
      </x:c>
      <x:c r="H15" s="12"/>
      <x:c r="I15" s="12"/>
      <x:c r="J15" s="12"/>
      <x:c r="K15" s="12"/>
      <x:c r="L15" s="12"/>
      <x:c r="M15" s="10" t="str">
        <x:f>IF(OR(H15="",I15="",J15="",K15="",L15=""),"OPEN",IF(AND(INDEX('Pair Matrix'!$L$6:$L$11,MATCH(B15,'Pair Matrix'!$A$6:$A$11,0))="PAIR-READY",H15="PASS",I15="PASS",J15&lt;='Assumptions'!$B$40,K15="ACCEPTED",L15="ACCEPTED"),"PASS","VALID-ADVERSE"))</x:f>
        <x:v>OPEN</x:v>
      </x:c>
    </x:row>
    <x:row r="16">
      <x:c r="A16" s="10" t="str">
        <x:v>PT-009</x:v>
      </x:c>
      <x:c r="B16" s="10" t="str">
        <x:v>PAIR-01</x:v>
      </x:c>
      <x:c r="C16" s="10" t="str">
        <x:v>AR-I</x:v>
      </x:c>
      <x:c r="D16" s="10" t="str">
        <x:v>AR-P</x:v>
      </x:c>
      <x:c r="E16" s="10" t="str">
        <x:v>BL-A</x:v>
      </x:c>
      <x:c r="F16" s="10" t="str">
        <x:v>C-3</x:v>
      </x:c>
      <x:c r="G16" s="10" t="str">
        <x:v>PT-1 nominal cohabitation</x:v>
      </x:c>
      <x:c r="H16" s="12"/>
      <x:c r="I16" s="12"/>
      <x:c r="J16" s="12"/>
      <x:c r="K16" s="12"/>
      <x:c r="L16" s="12"/>
      <x:c r="M16" s="10" t="str">
        <x:f>IF(OR(H16="",I16="",J16="",K16="",L16=""),"OPEN",IF(AND(INDEX('Pair Matrix'!$L$6:$L$11,MATCH(B16,'Pair Matrix'!$A$6:$A$11,0))="PAIR-READY",H16="PASS",I16="PASS",J16&lt;='Assumptions'!$B$40,K16="ACCEPTED",L16="ACCEPTED"),"PASS","VALID-ADVERSE"))</x:f>
        <x:v>OPEN</x:v>
      </x:c>
    </x:row>
    <x:row r="17">
      <x:c r="A17" s="10" t="str">
        <x:v>PT-010</x:v>
      </x:c>
      <x:c r="B17" s="10" t="str">
        <x:v>PAIR-01</x:v>
      </x:c>
      <x:c r="C17" s="10" t="str">
        <x:v>AR-I</x:v>
      </x:c>
      <x:c r="D17" s="10" t="str">
        <x:v>AR-P</x:v>
      </x:c>
      <x:c r="E17" s="10" t="str">
        <x:v>BL-A</x:v>
      </x:c>
      <x:c r="F17" s="10" t="str">
        <x:v>C-3</x:v>
      </x:c>
      <x:c r="G17" s="10" t="str">
        <x:v>PT-2 mutual decoy</x:v>
      </x:c>
      <x:c r="H17" s="12"/>
      <x:c r="I17" s="12"/>
      <x:c r="J17" s="12"/>
      <x:c r="K17" s="12"/>
      <x:c r="L17" s="12"/>
      <x:c r="M17" s="10" t="str">
        <x:f>IF(OR(H17="",I17="",J17="",K17="",L17=""),"OPEN",IF(AND(INDEX('Pair Matrix'!$L$6:$L$11,MATCH(B17,'Pair Matrix'!$A$6:$A$11,0))="PAIR-READY",H17="PASS",I17="PASS",J17&lt;='Assumptions'!$B$40,K17="ACCEPTED",L17="ACCEPTED"),"PASS","VALID-ADVERSE"))</x:f>
        <x:v>OPEN</x:v>
      </x:c>
    </x:row>
    <x:row r="18">
      <x:c r="A18" s="10" t="str">
        <x:v>PT-011</x:v>
      </x:c>
      <x:c r="B18" s="10" t="str">
        <x:v>PAIR-01</x:v>
      </x:c>
      <x:c r="C18" s="10" t="str">
        <x:v>AR-I</x:v>
      </x:c>
      <x:c r="D18" s="10" t="str">
        <x:v>AR-P</x:v>
      </x:c>
      <x:c r="E18" s="10" t="str">
        <x:v>BL-A</x:v>
      </x:c>
      <x:c r="F18" s="10" t="str">
        <x:v>C-3</x:v>
      </x:c>
      <x:c r="G18" s="10" t="str">
        <x:v>PT-3 denied path split</x:v>
      </x:c>
      <x:c r="H18" s="12"/>
      <x:c r="I18" s="12"/>
      <x:c r="J18" s="12"/>
      <x:c r="K18" s="12"/>
      <x:c r="L18" s="12"/>
      <x:c r="M18" s="10" t="str">
        <x:f>IF(OR(H18="",I18="",J18="",K18="",L18=""),"OPEN",IF(AND(INDEX('Pair Matrix'!$L$6:$L$11,MATCH(B18,'Pair Matrix'!$A$6:$A$11,0))="PAIR-READY",H18="PASS",I18="PASS",J18&lt;='Assumptions'!$B$40,K18="ACCEPTED",L18="ACCEPTED"),"PASS","VALID-ADVERSE"))</x:f>
        <x:v>OPEN</x:v>
      </x:c>
    </x:row>
    <x:row r="19">
      <x:c r="A19" s="10" t="str">
        <x:v>PT-012</x:v>
      </x:c>
      <x:c r="B19" s="10" t="str">
        <x:v>PAIR-01</x:v>
      </x:c>
      <x:c r="C19" s="10" t="str">
        <x:v>AR-I</x:v>
      </x:c>
      <x:c r="D19" s="10" t="str">
        <x:v>AR-P</x:v>
      </x:c>
      <x:c r="E19" s="10" t="str">
        <x:v>BL-A</x:v>
      </x:c>
      <x:c r="F19" s="10" t="str">
        <x:v>C-3</x:v>
      </x:c>
      <x:c r="G19" s="10" t="str">
        <x:v>PT-4 carryover and replay</x:v>
      </x:c>
      <x:c r="H19" s="12"/>
      <x:c r="I19" s="12"/>
      <x:c r="J19" s="12"/>
      <x:c r="K19" s="12"/>
      <x:c r="L19" s="12"/>
      <x:c r="M19" s="10" t="str">
        <x:f>IF(OR(H19="",I19="",J19="",K19="",L19=""),"OPEN",IF(AND(INDEX('Pair Matrix'!$L$6:$L$11,MATCH(B19,'Pair Matrix'!$A$6:$A$11,0))="PAIR-READY",H19="PASS",I19="PASS",J19&lt;='Assumptions'!$B$40,K19="ACCEPTED",L19="ACCEPTED"),"PASS","VALID-ADVERSE"))</x:f>
        <x:v>OPEN</x:v>
      </x:c>
    </x:row>
    <x:row r="20">
      <x:c r="A20" s="10" t="str">
        <x:v>PT-013</x:v>
      </x:c>
      <x:c r="B20" s="10" t="str">
        <x:v>PAIR-01</x:v>
      </x:c>
      <x:c r="C20" s="10" t="str">
        <x:v>AR-I</x:v>
      </x:c>
      <x:c r="D20" s="10" t="str">
        <x:v>AR-P</x:v>
      </x:c>
      <x:c r="E20" s="10" t="str">
        <x:v>BL-B</x:v>
      </x:c>
      <x:c r="F20" s="10" t="str">
        <x:v>C-1</x:v>
      </x:c>
      <x:c r="G20" s="10" t="str">
        <x:v>PT-1 nominal cohabitation</x:v>
      </x:c>
      <x:c r="H20" s="12"/>
      <x:c r="I20" s="12"/>
      <x:c r="J20" s="12"/>
      <x:c r="K20" s="12"/>
      <x:c r="L20" s="12"/>
      <x:c r="M20" s="10" t="str">
        <x:f>IF(OR(H20="",I20="",J20="",K20="",L20=""),"OPEN",IF(AND(INDEX('Pair Matrix'!$L$6:$L$11,MATCH(B20,'Pair Matrix'!$A$6:$A$11,0))="PAIR-READY",H20="PASS",I20="PASS",J20&lt;='Assumptions'!$B$40,K20="ACCEPTED",L20="ACCEPTED"),"PASS","VALID-ADVERSE"))</x:f>
        <x:v>OPEN</x:v>
      </x:c>
    </x:row>
    <x:row r="21">
      <x:c r="A21" s="10" t="str">
        <x:v>PT-014</x:v>
      </x:c>
      <x:c r="B21" s="10" t="str">
        <x:v>PAIR-01</x:v>
      </x:c>
      <x:c r="C21" s="10" t="str">
        <x:v>AR-I</x:v>
      </x:c>
      <x:c r="D21" s="10" t="str">
        <x:v>AR-P</x:v>
      </x:c>
      <x:c r="E21" s="10" t="str">
        <x:v>BL-B</x:v>
      </x:c>
      <x:c r="F21" s="10" t="str">
        <x:v>C-1</x:v>
      </x:c>
      <x:c r="G21" s="10" t="str">
        <x:v>PT-2 mutual decoy</x:v>
      </x:c>
      <x:c r="H21" s="12"/>
      <x:c r="I21" s="12"/>
      <x:c r="J21" s="12"/>
      <x:c r="K21" s="12"/>
      <x:c r="L21" s="12"/>
      <x:c r="M21" s="10" t="str">
        <x:f>IF(OR(H21="",I21="",J21="",K21="",L21=""),"OPEN",IF(AND(INDEX('Pair Matrix'!$L$6:$L$11,MATCH(B21,'Pair Matrix'!$A$6:$A$11,0))="PAIR-READY",H21="PASS",I21="PASS",J21&lt;='Assumptions'!$B$40,K21="ACCEPTED",L21="ACCEPTED"),"PASS","VALID-ADVERSE"))</x:f>
        <x:v>OPEN</x:v>
      </x:c>
    </x:row>
    <x:row r="22">
      <x:c r="A22" s="10" t="str">
        <x:v>PT-015</x:v>
      </x:c>
      <x:c r="B22" s="10" t="str">
        <x:v>PAIR-01</x:v>
      </x:c>
      <x:c r="C22" s="10" t="str">
        <x:v>AR-I</x:v>
      </x:c>
      <x:c r="D22" s="10" t="str">
        <x:v>AR-P</x:v>
      </x:c>
      <x:c r="E22" s="10" t="str">
        <x:v>BL-B</x:v>
      </x:c>
      <x:c r="F22" s="10" t="str">
        <x:v>C-1</x:v>
      </x:c>
      <x:c r="G22" s="10" t="str">
        <x:v>PT-3 denied path split</x:v>
      </x:c>
      <x:c r="H22" s="12"/>
      <x:c r="I22" s="12"/>
      <x:c r="J22" s="12"/>
      <x:c r="K22" s="12"/>
      <x:c r="L22" s="12"/>
      <x:c r="M22" s="10" t="str">
        <x:f>IF(OR(H22="",I22="",J22="",K22="",L22=""),"OPEN",IF(AND(INDEX('Pair Matrix'!$L$6:$L$11,MATCH(B22,'Pair Matrix'!$A$6:$A$11,0))="PAIR-READY",H22="PASS",I22="PASS",J22&lt;='Assumptions'!$B$40,K22="ACCEPTED",L22="ACCEPTED"),"PASS","VALID-ADVERSE"))</x:f>
        <x:v>OPEN</x:v>
      </x:c>
    </x:row>
    <x:row r="23">
      <x:c r="A23" s="10" t="str">
        <x:v>PT-016</x:v>
      </x:c>
      <x:c r="B23" s="10" t="str">
        <x:v>PAIR-01</x:v>
      </x:c>
      <x:c r="C23" s="10" t="str">
        <x:v>AR-I</x:v>
      </x:c>
      <x:c r="D23" s="10" t="str">
        <x:v>AR-P</x:v>
      </x:c>
      <x:c r="E23" s="10" t="str">
        <x:v>BL-B</x:v>
      </x:c>
      <x:c r="F23" s="10" t="str">
        <x:v>C-1</x:v>
      </x:c>
      <x:c r="G23" s="10" t="str">
        <x:v>PT-4 carryover and replay</x:v>
      </x:c>
      <x:c r="H23" s="12"/>
      <x:c r="I23" s="12"/>
      <x:c r="J23" s="12"/>
      <x:c r="K23" s="12"/>
      <x:c r="L23" s="12"/>
      <x:c r="M23" s="10" t="str">
        <x:f>IF(OR(H23="",I23="",J23="",K23="",L23=""),"OPEN",IF(AND(INDEX('Pair Matrix'!$L$6:$L$11,MATCH(B23,'Pair Matrix'!$A$6:$A$11,0))="PAIR-READY",H23="PASS",I23="PASS",J23&lt;='Assumptions'!$B$40,K23="ACCEPTED",L23="ACCEPTED"),"PASS","VALID-ADVERSE"))</x:f>
        <x:v>OPEN</x:v>
      </x:c>
    </x:row>
    <x:row r="24">
      <x:c r="A24" s="10" t="str">
        <x:v>PT-017</x:v>
      </x:c>
      <x:c r="B24" s="10" t="str">
        <x:v>PAIR-01</x:v>
      </x:c>
      <x:c r="C24" s="10" t="str">
        <x:v>AR-I</x:v>
      </x:c>
      <x:c r="D24" s="10" t="str">
        <x:v>AR-P</x:v>
      </x:c>
      <x:c r="E24" s="10" t="str">
        <x:v>BL-B</x:v>
      </x:c>
      <x:c r="F24" s="10" t="str">
        <x:v>C-2</x:v>
      </x:c>
      <x:c r="G24" s="10" t="str">
        <x:v>PT-1 nominal cohabitation</x:v>
      </x:c>
      <x:c r="H24" s="12"/>
      <x:c r="I24" s="12"/>
      <x:c r="J24" s="12"/>
      <x:c r="K24" s="12"/>
      <x:c r="L24" s="12"/>
      <x:c r="M24" s="10" t="str">
        <x:f>IF(OR(H24="",I24="",J24="",K24="",L24=""),"OPEN",IF(AND(INDEX('Pair Matrix'!$L$6:$L$11,MATCH(B24,'Pair Matrix'!$A$6:$A$11,0))="PAIR-READY",H24="PASS",I24="PASS",J24&lt;='Assumptions'!$B$40,K24="ACCEPTED",L24="ACCEPTED"),"PASS","VALID-ADVERSE"))</x:f>
        <x:v>OPEN</x:v>
      </x:c>
    </x:row>
    <x:row r="25">
      <x:c r="A25" s="10" t="str">
        <x:v>PT-018</x:v>
      </x:c>
      <x:c r="B25" s="10" t="str">
        <x:v>PAIR-01</x:v>
      </x:c>
      <x:c r="C25" s="10" t="str">
        <x:v>AR-I</x:v>
      </x:c>
      <x:c r="D25" s="10" t="str">
        <x:v>AR-P</x:v>
      </x:c>
      <x:c r="E25" s="10" t="str">
        <x:v>BL-B</x:v>
      </x:c>
      <x:c r="F25" s="10" t="str">
        <x:v>C-2</x:v>
      </x:c>
      <x:c r="G25" s="10" t="str">
        <x:v>PT-2 mutual decoy</x:v>
      </x:c>
      <x:c r="H25" s="12"/>
      <x:c r="I25" s="12"/>
      <x:c r="J25" s="12"/>
      <x:c r="K25" s="12"/>
      <x:c r="L25" s="12"/>
      <x:c r="M25" s="10" t="str">
        <x:f>IF(OR(H25="",I25="",J25="",K25="",L25=""),"OPEN",IF(AND(INDEX('Pair Matrix'!$L$6:$L$11,MATCH(B25,'Pair Matrix'!$A$6:$A$11,0))="PAIR-READY",H25="PASS",I25="PASS",J25&lt;='Assumptions'!$B$40,K25="ACCEPTED",L25="ACCEPTED"),"PASS","VALID-ADVERSE"))</x:f>
        <x:v>OPEN</x:v>
      </x:c>
    </x:row>
    <x:row r="26">
      <x:c r="A26" s="10" t="str">
        <x:v>PT-019</x:v>
      </x:c>
      <x:c r="B26" s="10" t="str">
        <x:v>PAIR-01</x:v>
      </x:c>
      <x:c r="C26" s="10" t="str">
        <x:v>AR-I</x:v>
      </x:c>
      <x:c r="D26" s="10" t="str">
        <x:v>AR-P</x:v>
      </x:c>
      <x:c r="E26" s="10" t="str">
        <x:v>BL-B</x:v>
      </x:c>
      <x:c r="F26" s="10" t="str">
        <x:v>C-2</x:v>
      </x:c>
      <x:c r="G26" s="10" t="str">
        <x:v>PT-3 denied path split</x:v>
      </x:c>
      <x:c r="H26" s="12"/>
      <x:c r="I26" s="12"/>
      <x:c r="J26" s="12"/>
      <x:c r="K26" s="12"/>
      <x:c r="L26" s="12"/>
      <x:c r="M26" s="10" t="str">
        <x:f>IF(OR(H26="",I26="",J26="",K26="",L26=""),"OPEN",IF(AND(INDEX('Pair Matrix'!$L$6:$L$11,MATCH(B26,'Pair Matrix'!$A$6:$A$11,0))="PAIR-READY",H26="PASS",I26="PASS",J26&lt;='Assumptions'!$B$40,K26="ACCEPTED",L26="ACCEPTED"),"PASS","VALID-ADVERSE"))</x:f>
        <x:v>OPEN</x:v>
      </x:c>
    </x:row>
    <x:row r="27">
      <x:c r="A27" s="10" t="str">
        <x:v>PT-020</x:v>
      </x:c>
      <x:c r="B27" s="10" t="str">
        <x:v>PAIR-01</x:v>
      </x:c>
      <x:c r="C27" s="10" t="str">
        <x:v>AR-I</x:v>
      </x:c>
      <x:c r="D27" s="10" t="str">
        <x:v>AR-P</x:v>
      </x:c>
      <x:c r="E27" s="10" t="str">
        <x:v>BL-B</x:v>
      </x:c>
      <x:c r="F27" s="10" t="str">
        <x:v>C-2</x:v>
      </x:c>
      <x:c r="G27" s="10" t="str">
        <x:v>PT-4 carryover and replay</x:v>
      </x:c>
      <x:c r="H27" s="12"/>
      <x:c r="I27" s="12"/>
      <x:c r="J27" s="12"/>
      <x:c r="K27" s="12"/>
      <x:c r="L27" s="12"/>
      <x:c r="M27" s="10" t="str">
        <x:f>IF(OR(H27="",I27="",J27="",K27="",L27=""),"OPEN",IF(AND(INDEX('Pair Matrix'!$L$6:$L$11,MATCH(B27,'Pair Matrix'!$A$6:$A$11,0))="PAIR-READY",H27="PASS",I27="PASS",J27&lt;='Assumptions'!$B$40,K27="ACCEPTED",L27="ACCEPTED"),"PASS","VALID-ADVERSE"))</x:f>
        <x:v>OPEN</x:v>
      </x:c>
    </x:row>
    <x:row r="28">
      <x:c r="A28" s="10" t="str">
        <x:v>PT-021</x:v>
      </x:c>
      <x:c r="B28" s="10" t="str">
        <x:v>PAIR-01</x:v>
      </x:c>
      <x:c r="C28" s="10" t="str">
        <x:v>AR-I</x:v>
      </x:c>
      <x:c r="D28" s="10" t="str">
        <x:v>AR-P</x:v>
      </x:c>
      <x:c r="E28" s="10" t="str">
        <x:v>BL-B</x:v>
      </x:c>
      <x:c r="F28" s="10" t="str">
        <x:v>C-3</x:v>
      </x:c>
      <x:c r="G28" s="10" t="str">
        <x:v>PT-1 nominal cohabitation</x:v>
      </x:c>
      <x:c r="H28" s="12"/>
      <x:c r="I28" s="12"/>
      <x:c r="J28" s="12"/>
      <x:c r="K28" s="12"/>
      <x:c r="L28" s="12"/>
      <x:c r="M28" s="10" t="str">
        <x:f>IF(OR(H28="",I28="",J28="",K28="",L28=""),"OPEN",IF(AND(INDEX('Pair Matrix'!$L$6:$L$11,MATCH(B28,'Pair Matrix'!$A$6:$A$11,0))="PAIR-READY",H28="PASS",I28="PASS",J28&lt;='Assumptions'!$B$40,K28="ACCEPTED",L28="ACCEPTED"),"PASS","VALID-ADVERSE"))</x:f>
        <x:v>OPEN</x:v>
      </x:c>
    </x:row>
    <x:row r="29">
      <x:c r="A29" s="10" t="str">
        <x:v>PT-022</x:v>
      </x:c>
      <x:c r="B29" s="10" t="str">
        <x:v>PAIR-01</x:v>
      </x:c>
      <x:c r="C29" s="10" t="str">
        <x:v>AR-I</x:v>
      </x:c>
      <x:c r="D29" s="10" t="str">
        <x:v>AR-P</x:v>
      </x:c>
      <x:c r="E29" s="10" t="str">
        <x:v>BL-B</x:v>
      </x:c>
      <x:c r="F29" s="10" t="str">
        <x:v>C-3</x:v>
      </x:c>
      <x:c r="G29" s="10" t="str">
        <x:v>PT-2 mutual decoy</x:v>
      </x:c>
      <x:c r="H29" s="12"/>
      <x:c r="I29" s="12"/>
      <x:c r="J29" s="12"/>
      <x:c r="K29" s="12"/>
      <x:c r="L29" s="12"/>
      <x:c r="M29" s="10" t="str">
        <x:f>IF(OR(H29="",I29="",J29="",K29="",L29=""),"OPEN",IF(AND(INDEX('Pair Matrix'!$L$6:$L$11,MATCH(B29,'Pair Matrix'!$A$6:$A$11,0))="PAIR-READY",H29="PASS",I29="PASS",J29&lt;='Assumptions'!$B$40,K29="ACCEPTED",L29="ACCEPTED"),"PASS","VALID-ADVERSE"))</x:f>
        <x:v>OPEN</x:v>
      </x:c>
    </x:row>
    <x:row r="30">
      <x:c r="A30" s="10" t="str">
        <x:v>PT-023</x:v>
      </x:c>
      <x:c r="B30" s="10" t="str">
        <x:v>PAIR-01</x:v>
      </x:c>
      <x:c r="C30" s="10" t="str">
        <x:v>AR-I</x:v>
      </x:c>
      <x:c r="D30" s="10" t="str">
        <x:v>AR-P</x:v>
      </x:c>
      <x:c r="E30" s="10" t="str">
        <x:v>BL-B</x:v>
      </x:c>
      <x:c r="F30" s="10" t="str">
        <x:v>C-3</x:v>
      </x:c>
      <x:c r="G30" s="10" t="str">
        <x:v>PT-3 denied path split</x:v>
      </x:c>
      <x:c r="H30" s="12"/>
      <x:c r="I30" s="12"/>
      <x:c r="J30" s="12"/>
      <x:c r="K30" s="12"/>
      <x:c r="L30" s="12"/>
      <x:c r="M30" s="10" t="str">
        <x:f>IF(OR(H30="",I30="",J30="",K30="",L30=""),"OPEN",IF(AND(INDEX('Pair Matrix'!$L$6:$L$11,MATCH(B30,'Pair Matrix'!$A$6:$A$11,0))="PAIR-READY",H30="PASS",I30="PASS",J30&lt;='Assumptions'!$B$40,K30="ACCEPTED",L30="ACCEPTED"),"PASS","VALID-ADVERSE"))</x:f>
        <x:v>OPEN</x:v>
      </x:c>
    </x:row>
    <x:row r="31">
      <x:c r="A31" s="10" t="str">
        <x:v>PT-024</x:v>
      </x:c>
      <x:c r="B31" s="10" t="str">
        <x:v>PAIR-01</x:v>
      </x:c>
      <x:c r="C31" s="10" t="str">
        <x:v>AR-I</x:v>
      </x:c>
      <x:c r="D31" s="10" t="str">
        <x:v>AR-P</x:v>
      </x:c>
      <x:c r="E31" s="10" t="str">
        <x:v>BL-B</x:v>
      </x:c>
      <x:c r="F31" s="10" t="str">
        <x:v>C-3</x:v>
      </x:c>
      <x:c r="G31" s="10" t="str">
        <x:v>PT-4 carryover and replay</x:v>
      </x:c>
      <x:c r="H31" s="12"/>
      <x:c r="I31" s="12"/>
      <x:c r="J31" s="12"/>
      <x:c r="K31" s="12"/>
      <x:c r="L31" s="12"/>
      <x:c r="M31" s="10" t="str">
        <x:f>IF(OR(H31="",I31="",J31="",K31="",L31=""),"OPEN",IF(AND(INDEX('Pair Matrix'!$L$6:$L$11,MATCH(B31,'Pair Matrix'!$A$6:$A$11,0))="PAIR-READY",H31="PASS",I31="PASS",J31&lt;='Assumptions'!$B$40,K31="ACCEPTED",L31="ACCEPTED"),"PASS","VALID-ADVERSE"))</x:f>
        <x:v>OPEN</x:v>
      </x:c>
    </x:row>
    <x:row r="32">
      <x:c r="A32" s="10" t="str">
        <x:v>PT-025</x:v>
      </x:c>
      <x:c r="B32" s="10" t="str">
        <x:v>PAIR-02</x:v>
      </x:c>
      <x:c r="C32" s="10" t="str">
        <x:v>AR-I</x:v>
      </x:c>
      <x:c r="D32" s="10" t="str">
        <x:v>AR-R</x:v>
      </x:c>
      <x:c r="E32" s="10" t="str">
        <x:v>BL-A</x:v>
      </x:c>
      <x:c r="F32" s="10" t="str">
        <x:v>C-1</x:v>
      </x:c>
      <x:c r="G32" s="10" t="str">
        <x:v>PT-1 nominal cohabitation</x:v>
      </x:c>
      <x:c r="H32" s="12"/>
      <x:c r="I32" s="12"/>
      <x:c r="J32" s="12"/>
      <x:c r="K32" s="12"/>
      <x:c r="L32" s="12"/>
      <x:c r="M32" s="10" t="str">
        <x:f>IF(OR(H32="",I32="",J32="",K32="",L32=""),"OPEN",IF(AND(INDEX('Pair Matrix'!$L$6:$L$11,MATCH(B32,'Pair Matrix'!$A$6:$A$11,0))="PAIR-READY",H32="PASS",I32="PASS",J32&lt;='Assumptions'!$B$40,K32="ACCEPTED",L32="ACCEPTED"),"PASS","VALID-ADVERSE"))</x:f>
        <x:v>OPEN</x:v>
      </x:c>
    </x:row>
    <x:row r="33">
      <x:c r="A33" s="10" t="str">
        <x:v>PT-026</x:v>
      </x:c>
      <x:c r="B33" s="10" t="str">
        <x:v>PAIR-02</x:v>
      </x:c>
      <x:c r="C33" s="10" t="str">
        <x:v>AR-I</x:v>
      </x:c>
      <x:c r="D33" s="10" t="str">
        <x:v>AR-R</x:v>
      </x:c>
      <x:c r="E33" s="10" t="str">
        <x:v>BL-A</x:v>
      </x:c>
      <x:c r="F33" s="10" t="str">
        <x:v>C-1</x:v>
      </x:c>
      <x:c r="G33" s="10" t="str">
        <x:v>PT-2 mutual decoy</x:v>
      </x:c>
      <x:c r="H33" s="12"/>
      <x:c r="I33" s="12"/>
      <x:c r="J33" s="12"/>
      <x:c r="K33" s="12"/>
      <x:c r="L33" s="12"/>
      <x:c r="M33" s="10" t="str">
        <x:f>IF(OR(H33="",I33="",J33="",K33="",L33=""),"OPEN",IF(AND(INDEX('Pair Matrix'!$L$6:$L$11,MATCH(B33,'Pair Matrix'!$A$6:$A$11,0))="PAIR-READY",H33="PASS",I33="PASS",J33&lt;='Assumptions'!$B$40,K33="ACCEPTED",L33="ACCEPTED"),"PASS","VALID-ADVERSE"))</x:f>
        <x:v>OPEN</x:v>
      </x:c>
    </x:row>
    <x:row r="34">
      <x:c r="A34" s="10" t="str">
        <x:v>PT-027</x:v>
      </x:c>
      <x:c r="B34" s="10" t="str">
        <x:v>PAIR-02</x:v>
      </x:c>
      <x:c r="C34" s="10" t="str">
        <x:v>AR-I</x:v>
      </x:c>
      <x:c r="D34" s="10" t="str">
        <x:v>AR-R</x:v>
      </x:c>
      <x:c r="E34" s="10" t="str">
        <x:v>BL-A</x:v>
      </x:c>
      <x:c r="F34" s="10" t="str">
        <x:v>C-1</x:v>
      </x:c>
      <x:c r="G34" s="10" t="str">
        <x:v>PT-3 denied path split</x:v>
      </x:c>
      <x:c r="H34" s="12"/>
      <x:c r="I34" s="12"/>
      <x:c r="J34" s="12"/>
      <x:c r="K34" s="12"/>
      <x:c r="L34" s="12"/>
      <x:c r="M34" s="10" t="str">
        <x:f>IF(OR(H34="",I34="",J34="",K34="",L34=""),"OPEN",IF(AND(INDEX('Pair Matrix'!$L$6:$L$11,MATCH(B34,'Pair Matrix'!$A$6:$A$11,0))="PAIR-READY",H34="PASS",I34="PASS",J34&lt;='Assumptions'!$B$40,K34="ACCEPTED",L34="ACCEPTED"),"PASS","VALID-ADVERSE"))</x:f>
        <x:v>OPEN</x:v>
      </x:c>
    </x:row>
    <x:row r="35">
      <x:c r="A35" s="10" t="str">
        <x:v>PT-028</x:v>
      </x:c>
      <x:c r="B35" s="10" t="str">
        <x:v>PAIR-02</x:v>
      </x:c>
      <x:c r="C35" s="10" t="str">
        <x:v>AR-I</x:v>
      </x:c>
      <x:c r="D35" s="10" t="str">
        <x:v>AR-R</x:v>
      </x:c>
      <x:c r="E35" s="10" t="str">
        <x:v>BL-A</x:v>
      </x:c>
      <x:c r="F35" s="10" t="str">
        <x:v>C-1</x:v>
      </x:c>
      <x:c r="G35" s="10" t="str">
        <x:v>PT-4 carryover and replay</x:v>
      </x:c>
      <x:c r="H35" s="12"/>
      <x:c r="I35" s="12"/>
      <x:c r="J35" s="12"/>
      <x:c r="K35" s="12"/>
      <x:c r="L35" s="12"/>
      <x:c r="M35" s="10" t="str">
        <x:f>IF(OR(H35="",I35="",J35="",K35="",L35=""),"OPEN",IF(AND(INDEX('Pair Matrix'!$L$6:$L$11,MATCH(B35,'Pair Matrix'!$A$6:$A$11,0))="PAIR-READY",H35="PASS",I35="PASS",J35&lt;='Assumptions'!$B$40,K35="ACCEPTED",L35="ACCEPTED"),"PASS","VALID-ADVERSE"))</x:f>
        <x:v>OPEN</x:v>
      </x:c>
    </x:row>
    <x:row r="36">
      <x:c r="A36" s="10" t="str">
        <x:v>PT-029</x:v>
      </x:c>
      <x:c r="B36" s="10" t="str">
        <x:v>PAIR-02</x:v>
      </x:c>
      <x:c r="C36" s="10" t="str">
        <x:v>AR-I</x:v>
      </x:c>
      <x:c r="D36" s="10" t="str">
        <x:v>AR-R</x:v>
      </x:c>
      <x:c r="E36" s="10" t="str">
        <x:v>BL-A</x:v>
      </x:c>
      <x:c r="F36" s="10" t="str">
        <x:v>C-2</x:v>
      </x:c>
      <x:c r="G36" s="10" t="str">
        <x:v>PT-1 nominal cohabitation</x:v>
      </x:c>
      <x:c r="H36" s="12"/>
      <x:c r="I36" s="12"/>
      <x:c r="J36" s="12"/>
      <x:c r="K36" s="12"/>
      <x:c r="L36" s="12"/>
      <x:c r="M36" s="10" t="str">
        <x:f>IF(OR(H36="",I36="",J36="",K36="",L36=""),"OPEN",IF(AND(INDEX('Pair Matrix'!$L$6:$L$11,MATCH(B36,'Pair Matrix'!$A$6:$A$11,0))="PAIR-READY",H36="PASS",I36="PASS",J36&lt;='Assumptions'!$B$40,K36="ACCEPTED",L36="ACCEPTED"),"PASS","VALID-ADVERSE"))</x:f>
        <x:v>OPEN</x:v>
      </x:c>
    </x:row>
    <x:row r="37">
      <x:c r="A37" s="10" t="str">
        <x:v>PT-030</x:v>
      </x:c>
      <x:c r="B37" s="10" t="str">
        <x:v>PAIR-02</x:v>
      </x:c>
      <x:c r="C37" s="10" t="str">
        <x:v>AR-I</x:v>
      </x:c>
      <x:c r="D37" s="10" t="str">
        <x:v>AR-R</x:v>
      </x:c>
      <x:c r="E37" s="10" t="str">
        <x:v>BL-A</x:v>
      </x:c>
      <x:c r="F37" s="10" t="str">
        <x:v>C-2</x:v>
      </x:c>
      <x:c r="G37" s="10" t="str">
        <x:v>PT-2 mutual decoy</x:v>
      </x:c>
      <x:c r="H37" s="12"/>
      <x:c r="I37" s="12"/>
      <x:c r="J37" s="12"/>
      <x:c r="K37" s="12"/>
      <x:c r="L37" s="12"/>
      <x:c r="M37" s="10" t="str">
        <x:f>IF(OR(H37="",I37="",J37="",K37="",L37=""),"OPEN",IF(AND(INDEX('Pair Matrix'!$L$6:$L$11,MATCH(B37,'Pair Matrix'!$A$6:$A$11,0))="PAIR-READY",H37="PASS",I37="PASS",J37&lt;='Assumptions'!$B$40,K37="ACCEPTED",L37="ACCEPTED"),"PASS","VALID-ADVERSE"))</x:f>
        <x:v>OPEN</x:v>
      </x:c>
    </x:row>
    <x:row r="38">
      <x:c r="A38" s="10" t="str">
        <x:v>PT-031</x:v>
      </x:c>
      <x:c r="B38" s="10" t="str">
        <x:v>PAIR-02</x:v>
      </x:c>
      <x:c r="C38" s="10" t="str">
        <x:v>AR-I</x:v>
      </x:c>
      <x:c r="D38" s="10" t="str">
        <x:v>AR-R</x:v>
      </x:c>
      <x:c r="E38" s="10" t="str">
        <x:v>BL-A</x:v>
      </x:c>
      <x:c r="F38" s="10" t="str">
        <x:v>C-2</x:v>
      </x:c>
      <x:c r="G38" s="10" t="str">
        <x:v>PT-3 denied path split</x:v>
      </x:c>
      <x:c r="H38" s="12"/>
      <x:c r="I38" s="12"/>
      <x:c r="J38" s="12"/>
      <x:c r="K38" s="12"/>
      <x:c r="L38" s="12"/>
      <x:c r="M38" s="10" t="str">
        <x:f>IF(OR(H38="",I38="",J38="",K38="",L38=""),"OPEN",IF(AND(INDEX('Pair Matrix'!$L$6:$L$11,MATCH(B38,'Pair Matrix'!$A$6:$A$11,0))="PAIR-READY",H38="PASS",I38="PASS",J38&lt;='Assumptions'!$B$40,K38="ACCEPTED",L38="ACCEPTED"),"PASS","VALID-ADVERSE"))</x:f>
        <x:v>OPEN</x:v>
      </x:c>
    </x:row>
    <x:row r="39">
      <x:c r="A39" s="10" t="str">
        <x:v>PT-032</x:v>
      </x:c>
      <x:c r="B39" s="10" t="str">
        <x:v>PAIR-02</x:v>
      </x:c>
      <x:c r="C39" s="10" t="str">
        <x:v>AR-I</x:v>
      </x:c>
      <x:c r="D39" s="10" t="str">
        <x:v>AR-R</x:v>
      </x:c>
      <x:c r="E39" s="10" t="str">
        <x:v>BL-A</x:v>
      </x:c>
      <x:c r="F39" s="10" t="str">
        <x:v>C-2</x:v>
      </x:c>
      <x:c r="G39" s="10" t="str">
        <x:v>PT-4 carryover and replay</x:v>
      </x:c>
      <x:c r="H39" s="12"/>
      <x:c r="I39" s="12"/>
      <x:c r="J39" s="12"/>
      <x:c r="K39" s="12"/>
      <x:c r="L39" s="12"/>
      <x:c r="M39" s="10" t="str">
        <x:f>IF(OR(H39="",I39="",J39="",K39="",L39=""),"OPEN",IF(AND(INDEX('Pair Matrix'!$L$6:$L$11,MATCH(B39,'Pair Matrix'!$A$6:$A$11,0))="PAIR-READY",H39="PASS",I39="PASS",J39&lt;='Assumptions'!$B$40,K39="ACCEPTED",L39="ACCEPTED"),"PASS","VALID-ADVERSE"))</x:f>
        <x:v>OPEN</x:v>
      </x:c>
    </x:row>
    <x:row r="40">
      <x:c r="A40" s="10" t="str">
        <x:v>PT-033</x:v>
      </x:c>
      <x:c r="B40" s="10" t="str">
        <x:v>PAIR-02</x:v>
      </x:c>
      <x:c r="C40" s="10" t="str">
        <x:v>AR-I</x:v>
      </x:c>
      <x:c r="D40" s="10" t="str">
        <x:v>AR-R</x:v>
      </x:c>
      <x:c r="E40" s="10" t="str">
        <x:v>BL-A</x:v>
      </x:c>
      <x:c r="F40" s="10" t="str">
        <x:v>C-3</x:v>
      </x:c>
      <x:c r="G40" s="10" t="str">
        <x:v>PT-1 nominal cohabitation</x:v>
      </x:c>
      <x:c r="H40" s="12"/>
      <x:c r="I40" s="12"/>
      <x:c r="J40" s="12"/>
      <x:c r="K40" s="12"/>
      <x:c r="L40" s="12"/>
      <x:c r="M40" s="10" t="str">
        <x:f>IF(OR(H40="",I40="",J40="",K40="",L40=""),"OPEN",IF(AND(INDEX('Pair Matrix'!$L$6:$L$11,MATCH(B40,'Pair Matrix'!$A$6:$A$11,0))="PAIR-READY",H40="PASS",I40="PASS",J40&lt;='Assumptions'!$B$40,K40="ACCEPTED",L40="ACCEPTED"),"PASS","VALID-ADVERSE"))</x:f>
        <x:v>OPEN</x:v>
      </x:c>
    </x:row>
    <x:row r="41">
      <x:c r="A41" s="10" t="str">
        <x:v>PT-034</x:v>
      </x:c>
      <x:c r="B41" s="10" t="str">
        <x:v>PAIR-02</x:v>
      </x:c>
      <x:c r="C41" s="10" t="str">
        <x:v>AR-I</x:v>
      </x:c>
      <x:c r="D41" s="10" t="str">
        <x:v>AR-R</x:v>
      </x:c>
      <x:c r="E41" s="10" t="str">
        <x:v>BL-A</x:v>
      </x:c>
      <x:c r="F41" s="10" t="str">
        <x:v>C-3</x:v>
      </x:c>
      <x:c r="G41" s="10" t="str">
        <x:v>PT-2 mutual decoy</x:v>
      </x:c>
      <x:c r="H41" s="12"/>
      <x:c r="I41" s="12"/>
      <x:c r="J41" s="12"/>
      <x:c r="K41" s="12"/>
      <x:c r="L41" s="12"/>
      <x:c r="M41" s="10" t="str">
        <x:f>IF(OR(H41="",I41="",J41="",K41="",L41=""),"OPEN",IF(AND(INDEX('Pair Matrix'!$L$6:$L$11,MATCH(B41,'Pair Matrix'!$A$6:$A$11,0))="PAIR-READY",H41="PASS",I41="PASS",J41&lt;='Assumptions'!$B$40,K41="ACCEPTED",L41="ACCEPTED"),"PASS","VALID-ADVERSE"))</x:f>
        <x:v>OPEN</x:v>
      </x:c>
    </x:row>
    <x:row r="42">
      <x:c r="A42" s="10" t="str">
        <x:v>PT-035</x:v>
      </x:c>
      <x:c r="B42" s="10" t="str">
        <x:v>PAIR-02</x:v>
      </x:c>
      <x:c r="C42" s="10" t="str">
        <x:v>AR-I</x:v>
      </x:c>
      <x:c r="D42" s="10" t="str">
        <x:v>AR-R</x:v>
      </x:c>
      <x:c r="E42" s="10" t="str">
        <x:v>BL-A</x:v>
      </x:c>
      <x:c r="F42" s="10" t="str">
        <x:v>C-3</x:v>
      </x:c>
      <x:c r="G42" s="10" t="str">
        <x:v>PT-3 denied path split</x:v>
      </x:c>
      <x:c r="H42" s="12"/>
      <x:c r="I42" s="12"/>
      <x:c r="J42" s="12"/>
      <x:c r="K42" s="12"/>
      <x:c r="L42" s="12"/>
      <x:c r="M42" s="10" t="str">
        <x:f>IF(OR(H42="",I42="",J42="",K42="",L42=""),"OPEN",IF(AND(INDEX('Pair Matrix'!$L$6:$L$11,MATCH(B42,'Pair Matrix'!$A$6:$A$11,0))="PAIR-READY",H42="PASS",I42="PASS",J42&lt;='Assumptions'!$B$40,K42="ACCEPTED",L42="ACCEPTED"),"PASS","VALID-ADVERSE"))</x:f>
        <x:v>OPEN</x:v>
      </x:c>
    </x:row>
    <x:row r="43">
      <x:c r="A43" s="10" t="str">
        <x:v>PT-036</x:v>
      </x:c>
      <x:c r="B43" s="10" t="str">
        <x:v>PAIR-02</x:v>
      </x:c>
      <x:c r="C43" s="10" t="str">
        <x:v>AR-I</x:v>
      </x:c>
      <x:c r="D43" s="10" t="str">
        <x:v>AR-R</x:v>
      </x:c>
      <x:c r="E43" s="10" t="str">
        <x:v>BL-A</x:v>
      </x:c>
      <x:c r="F43" s="10" t="str">
        <x:v>C-3</x:v>
      </x:c>
      <x:c r="G43" s="10" t="str">
        <x:v>PT-4 carryover and replay</x:v>
      </x:c>
      <x:c r="H43" s="12"/>
      <x:c r="I43" s="12"/>
      <x:c r="J43" s="12"/>
      <x:c r="K43" s="12"/>
      <x:c r="L43" s="12"/>
      <x:c r="M43" s="10" t="str">
        <x:f>IF(OR(H43="",I43="",J43="",K43="",L43=""),"OPEN",IF(AND(INDEX('Pair Matrix'!$L$6:$L$11,MATCH(B43,'Pair Matrix'!$A$6:$A$11,0))="PAIR-READY",H43="PASS",I43="PASS",J43&lt;='Assumptions'!$B$40,K43="ACCEPTED",L43="ACCEPTED"),"PASS","VALID-ADVERSE"))</x:f>
        <x:v>OPEN</x:v>
      </x:c>
    </x:row>
    <x:row r="44">
      <x:c r="A44" s="10" t="str">
        <x:v>PT-037</x:v>
      </x:c>
      <x:c r="B44" s="10" t="str">
        <x:v>PAIR-02</x:v>
      </x:c>
      <x:c r="C44" s="10" t="str">
        <x:v>AR-I</x:v>
      </x:c>
      <x:c r="D44" s="10" t="str">
        <x:v>AR-R</x:v>
      </x:c>
      <x:c r="E44" s="10" t="str">
        <x:v>BL-B</x:v>
      </x:c>
      <x:c r="F44" s="10" t="str">
        <x:v>C-1</x:v>
      </x:c>
      <x:c r="G44" s="10" t="str">
        <x:v>PT-1 nominal cohabitation</x:v>
      </x:c>
      <x:c r="H44" s="12"/>
      <x:c r="I44" s="12"/>
      <x:c r="J44" s="12"/>
      <x:c r="K44" s="12"/>
      <x:c r="L44" s="12"/>
      <x:c r="M44" s="10" t="str">
        <x:f>IF(OR(H44="",I44="",J44="",K44="",L44=""),"OPEN",IF(AND(INDEX('Pair Matrix'!$L$6:$L$11,MATCH(B44,'Pair Matrix'!$A$6:$A$11,0))="PAIR-READY",H44="PASS",I44="PASS",J44&lt;='Assumptions'!$B$40,K44="ACCEPTED",L44="ACCEPTED"),"PASS","VALID-ADVERSE"))</x:f>
        <x:v>OPEN</x:v>
      </x:c>
    </x:row>
    <x:row r="45">
      <x:c r="A45" s="10" t="str">
        <x:v>PT-038</x:v>
      </x:c>
      <x:c r="B45" s="10" t="str">
        <x:v>PAIR-02</x:v>
      </x:c>
      <x:c r="C45" s="10" t="str">
        <x:v>AR-I</x:v>
      </x:c>
      <x:c r="D45" s="10" t="str">
        <x:v>AR-R</x:v>
      </x:c>
      <x:c r="E45" s="10" t="str">
        <x:v>BL-B</x:v>
      </x:c>
      <x:c r="F45" s="10" t="str">
        <x:v>C-1</x:v>
      </x:c>
      <x:c r="G45" s="10" t="str">
        <x:v>PT-2 mutual decoy</x:v>
      </x:c>
      <x:c r="H45" s="12"/>
      <x:c r="I45" s="12"/>
      <x:c r="J45" s="12"/>
      <x:c r="K45" s="12"/>
      <x:c r="L45" s="12"/>
      <x:c r="M45" s="10" t="str">
        <x:f>IF(OR(H45="",I45="",J45="",K45="",L45=""),"OPEN",IF(AND(INDEX('Pair Matrix'!$L$6:$L$11,MATCH(B45,'Pair Matrix'!$A$6:$A$11,0))="PAIR-READY",H45="PASS",I45="PASS",J45&lt;='Assumptions'!$B$40,K45="ACCEPTED",L45="ACCEPTED"),"PASS","VALID-ADVERSE"))</x:f>
        <x:v>OPEN</x:v>
      </x:c>
    </x:row>
    <x:row r="46">
      <x:c r="A46" s="10" t="str">
        <x:v>PT-039</x:v>
      </x:c>
      <x:c r="B46" s="10" t="str">
        <x:v>PAIR-02</x:v>
      </x:c>
      <x:c r="C46" s="10" t="str">
        <x:v>AR-I</x:v>
      </x:c>
      <x:c r="D46" s="10" t="str">
        <x:v>AR-R</x:v>
      </x:c>
      <x:c r="E46" s="10" t="str">
        <x:v>BL-B</x:v>
      </x:c>
      <x:c r="F46" s="10" t="str">
        <x:v>C-1</x:v>
      </x:c>
      <x:c r="G46" s="10" t="str">
        <x:v>PT-3 denied path split</x:v>
      </x:c>
      <x:c r="H46" s="12"/>
      <x:c r="I46" s="12"/>
      <x:c r="J46" s="12"/>
      <x:c r="K46" s="12"/>
      <x:c r="L46" s="12"/>
      <x:c r="M46" s="10" t="str">
        <x:f>IF(OR(H46="",I46="",J46="",K46="",L46=""),"OPEN",IF(AND(INDEX('Pair Matrix'!$L$6:$L$11,MATCH(B46,'Pair Matrix'!$A$6:$A$11,0))="PAIR-READY",H46="PASS",I46="PASS",J46&lt;='Assumptions'!$B$40,K46="ACCEPTED",L46="ACCEPTED"),"PASS","VALID-ADVERSE"))</x:f>
        <x:v>OPEN</x:v>
      </x:c>
    </x:row>
    <x:row r="47">
      <x:c r="A47" s="10" t="str">
        <x:v>PT-040</x:v>
      </x:c>
      <x:c r="B47" s="10" t="str">
        <x:v>PAIR-02</x:v>
      </x:c>
      <x:c r="C47" s="10" t="str">
        <x:v>AR-I</x:v>
      </x:c>
      <x:c r="D47" s="10" t="str">
        <x:v>AR-R</x:v>
      </x:c>
      <x:c r="E47" s="10" t="str">
        <x:v>BL-B</x:v>
      </x:c>
      <x:c r="F47" s="10" t="str">
        <x:v>C-1</x:v>
      </x:c>
      <x:c r="G47" s="10" t="str">
        <x:v>PT-4 carryover and replay</x:v>
      </x:c>
      <x:c r="H47" s="12"/>
      <x:c r="I47" s="12"/>
      <x:c r="J47" s="12"/>
      <x:c r="K47" s="12"/>
      <x:c r="L47" s="12"/>
      <x:c r="M47" s="10" t="str">
        <x:f>IF(OR(H47="",I47="",J47="",K47="",L47=""),"OPEN",IF(AND(INDEX('Pair Matrix'!$L$6:$L$11,MATCH(B47,'Pair Matrix'!$A$6:$A$11,0))="PAIR-READY",H47="PASS",I47="PASS",J47&lt;='Assumptions'!$B$40,K47="ACCEPTED",L47="ACCEPTED"),"PASS","VALID-ADVERSE"))</x:f>
        <x:v>OPEN</x:v>
      </x:c>
    </x:row>
    <x:row r="48">
      <x:c r="A48" s="10" t="str">
        <x:v>PT-041</x:v>
      </x:c>
      <x:c r="B48" s="10" t="str">
        <x:v>PAIR-02</x:v>
      </x:c>
      <x:c r="C48" s="10" t="str">
        <x:v>AR-I</x:v>
      </x:c>
      <x:c r="D48" s="10" t="str">
        <x:v>AR-R</x:v>
      </x:c>
      <x:c r="E48" s="10" t="str">
        <x:v>BL-B</x:v>
      </x:c>
      <x:c r="F48" s="10" t="str">
        <x:v>C-2</x:v>
      </x:c>
      <x:c r="G48" s="10" t="str">
        <x:v>PT-1 nominal cohabitation</x:v>
      </x:c>
      <x:c r="H48" s="12"/>
      <x:c r="I48" s="12"/>
      <x:c r="J48" s="12"/>
      <x:c r="K48" s="12"/>
      <x:c r="L48" s="12"/>
      <x:c r="M48" s="10" t="str">
        <x:f>IF(OR(H48="",I48="",J48="",K48="",L48=""),"OPEN",IF(AND(INDEX('Pair Matrix'!$L$6:$L$11,MATCH(B48,'Pair Matrix'!$A$6:$A$11,0))="PAIR-READY",H48="PASS",I48="PASS",J48&lt;='Assumptions'!$B$40,K48="ACCEPTED",L48="ACCEPTED"),"PASS","VALID-ADVERSE"))</x:f>
        <x:v>OPEN</x:v>
      </x:c>
    </x:row>
    <x:row r="49">
      <x:c r="A49" s="10" t="str">
        <x:v>PT-042</x:v>
      </x:c>
      <x:c r="B49" s="10" t="str">
        <x:v>PAIR-02</x:v>
      </x:c>
      <x:c r="C49" s="10" t="str">
        <x:v>AR-I</x:v>
      </x:c>
      <x:c r="D49" s="10" t="str">
        <x:v>AR-R</x:v>
      </x:c>
      <x:c r="E49" s="10" t="str">
        <x:v>BL-B</x:v>
      </x:c>
      <x:c r="F49" s="10" t="str">
        <x:v>C-2</x:v>
      </x:c>
      <x:c r="G49" s="10" t="str">
        <x:v>PT-2 mutual decoy</x:v>
      </x:c>
      <x:c r="H49" s="12"/>
      <x:c r="I49" s="12"/>
      <x:c r="J49" s="12"/>
      <x:c r="K49" s="12"/>
      <x:c r="L49" s="12"/>
      <x:c r="M49" s="10" t="str">
        <x:f>IF(OR(H49="",I49="",J49="",K49="",L49=""),"OPEN",IF(AND(INDEX('Pair Matrix'!$L$6:$L$11,MATCH(B49,'Pair Matrix'!$A$6:$A$11,0))="PAIR-READY",H49="PASS",I49="PASS",J49&lt;='Assumptions'!$B$40,K49="ACCEPTED",L49="ACCEPTED"),"PASS","VALID-ADVERSE"))</x:f>
        <x:v>OPEN</x:v>
      </x:c>
    </x:row>
    <x:row r="50">
      <x:c r="A50" s="10" t="str">
        <x:v>PT-043</x:v>
      </x:c>
      <x:c r="B50" s="10" t="str">
        <x:v>PAIR-02</x:v>
      </x:c>
      <x:c r="C50" s="10" t="str">
        <x:v>AR-I</x:v>
      </x:c>
      <x:c r="D50" s="10" t="str">
        <x:v>AR-R</x:v>
      </x:c>
      <x:c r="E50" s="10" t="str">
        <x:v>BL-B</x:v>
      </x:c>
      <x:c r="F50" s="10" t="str">
        <x:v>C-2</x:v>
      </x:c>
      <x:c r="G50" s="10" t="str">
        <x:v>PT-3 denied path split</x:v>
      </x:c>
      <x:c r="H50" s="12"/>
      <x:c r="I50" s="12"/>
      <x:c r="J50" s="12"/>
      <x:c r="K50" s="12"/>
      <x:c r="L50" s="12"/>
      <x:c r="M50" s="10" t="str">
        <x:f>IF(OR(H50="",I50="",J50="",K50="",L50=""),"OPEN",IF(AND(INDEX('Pair Matrix'!$L$6:$L$11,MATCH(B50,'Pair Matrix'!$A$6:$A$11,0))="PAIR-READY",H50="PASS",I50="PASS",J50&lt;='Assumptions'!$B$40,K50="ACCEPTED",L50="ACCEPTED"),"PASS","VALID-ADVERSE"))</x:f>
        <x:v>OPEN</x:v>
      </x:c>
    </x:row>
    <x:row r="51">
      <x:c r="A51" s="10" t="str">
        <x:v>PT-044</x:v>
      </x:c>
      <x:c r="B51" s="10" t="str">
        <x:v>PAIR-02</x:v>
      </x:c>
      <x:c r="C51" s="10" t="str">
        <x:v>AR-I</x:v>
      </x:c>
      <x:c r="D51" s="10" t="str">
        <x:v>AR-R</x:v>
      </x:c>
      <x:c r="E51" s="10" t="str">
        <x:v>BL-B</x:v>
      </x:c>
      <x:c r="F51" s="10" t="str">
        <x:v>C-2</x:v>
      </x:c>
      <x:c r="G51" s="10" t="str">
        <x:v>PT-4 carryover and replay</x:v>
      </x:c>
      <x:c r="H51" s="12"/>
      <x:c r="I51" s="12"/>
      <x:c r="J51" s="12"/>
      <x:c r="K51" s="12"/>
      <x:c r="L51" s="12"/>
      <x:c r="M51" s="10" t="str">
        <x:f>IF(OR(H51="",I51="",J51="",K51="",L51=""),"OPEN",IF(AND(INDEX('Pair Matrix'!$L$6:$L$11,MATCH(B51,'Pair Matrix'!$A$6:$A$11,0))="PAIR-READY",H51="PASS",I51="PASS",J51&lt;='Assumptions'!$B$40,K51="ACCEPTED",L51="ACCEPTED"),"PASS","VALID-ADVERSE"))</x:f>
        <x:v>OPEN</x:v>
      </x:c>
    </x:row>
    <x:row r="52">
      <x:c r="A52" s="10" t="str">
        <x:v>PT-045</x:v>
      </x:c>
      <x:c r="B52" s="10" t="str">
        <x:v>PAIR-02</x:v>
      </x:c>
      <x:c r="C52" s="10" t="str">
        <x:v>AR-I</x:v>
      </x:c>
      <x:c r="D52" s="10" t="str">
        <x:v>AR-R</x:v>
      </x:c>
      <x:c r="E52" s="10" t="str">
        <x:v>BL-B</x:v>
      </x:c>
      <x:c r="F52" s="10" t="str">
        <x:v>C-3</x:v>
      </x:c>
      <x:c r="G52" s="10" t="str">
        <x:v>PT-1 nominal cohabitation</x:v>
      </x:c>
      <x:c r="H52" s="12"/>
      <x:c r="I52" s="12"/>
      <x:c r="J52" s="12"/>
      <x:c r="K52" s="12"/>
      <x:c r="L52" s="12"/>
      <x:c r="M52" s="10" t="str">
        <x:f>IF(OR(H52="",I52="",J52="",K52="",L52=""),"OPEN",IF(AND(INDEX('Pair Matrix'!$L$6:$L$11,MATCH(B52,'Pair Matrix'!$A$6:$A$11,0))="PAIR-READY",H52="PASS",I52="PASS",J52&lt;='Assumptions'!$B$40,K52="ACCEPTED",L52="ACCEPTED"),"PASS","VALID-ADVERSE"))</x:f>
        <x:v>OPEN</x:v>
      </x:c>
    </x:row>
    <x:row r="53">
      <x:c r="A53" s="10" t="str">
        <x:v>PT-046</x:v>
      </x:c>
      <x:c r="B53" s="10" t="str">
        <x:v>PAIR-02</x:v>
      </x:c>
      <x:c r="C53" s="10" t="str">
        <x:v>AR-I</x:v>
      </x:c>
      <x:c r="D53" s="10" t="str">
        <x:v>AR-R</x:v>
      </x:c>
      <x:c r="E53" s="10" t="str">
        <x:v>BL-B</x:v>
      </x:c>
      <x:c r="F53" s="10" t="str">
        <x:v>C-3</x:v>
      </x:c>
      <x:c r="G53" s="10" t="str">
        <x:v>PT-2 mutual decoy</x:v>
      </x:c>
      <x:c r="H53" s="12"/>
      <x:c r="I53" s="12"/>
      <x:c r="J53" s="12"/>
      <x:c r="K53" s="12"/>
      <x:c r="L53" s="12"/>
      <x:c r="M53" s="10" t="str">
        <x:f>IF(OR(H53="",I53="",J53="",K53="",L53=""),"OPEN",IF(AND(INDEX('Pair Matrix'!$L$6:$L$11,MATCH(B53,'Pair Matrix'!$A$6:$A$11,0))="PAIR-READY",H53="PASS",I53="PASS",J53&lt;='Assumptions'!$B$40,K53="ACCEPTED",L53="ACCEPTED"),"PASS","VALID-ADVERSE"))</x:f>
        <x:v>OPEN</x:v>
      </x:c>
    </x:row>
    <x:row r="54">
      <x:c r="A54" s="10" t="str">
        <x:v>PT-047</x:v>
      </x:c>
      <x:c r="B54" s="10" t="str">
        <x:v>PAIR-02</x:v>
      </x:c>
      <x:c r="C54" s="10" t="str">
        <x:v>AR-I</x:v>
      </x:c>
      <x:c r="D54" s="10" t="str">
        <x:v>AR-R</x:v>
      </x:c>
      <x:c r="E54" s="10" t="str">
        <x:v>BL-B</x:v>
      </x:c>
      <x:c r="F54" s="10" t="str">
        <x:v>C-3</x:v>
      </x:c>
      <x:c r="G54" s="10" t="str">
        <x:v>PT-3 denied path split</x:v>
      </x:c>
      <x:c r="H54" s="12"/>
      <x:c r="I54" s="12"/>
      <x:c r="J54" s="12"/>
      <x:c r="K54" s="12"/>
      <x:c r="L54" s="12"/>
      <x:c r="M54" s="10" t="str">
        <x:f>IF(OR(H54="",I54="",J54="",K54="",L54=""),"OPEN",IF(AND(INDEX('Pair Matrix'!$L$6:$L$11,MATCH(B54,'Pair Matrix'!$A$6:$A$11,0))="PAIR-READY",H54="PASS",I54="PASS",J54&lt;='Assumptions'!$B$40,K54="ACCEPTED",L54="ACCEPTED"),"PASS","VALID-ADVERSE"))</x:f>
        <x:v>OPEN</x:v>
      </x:c>
    </x:row>
    <x:row r="55">
      <x:c r="A55" s="10" t="str">
        <x:v>PT-048</x:v>
      </x:c>
      <x:c r="B55" s="10" t="str">
        <x:v>PAIR-02</x:v>
      </x:c>
      <x:c r="C55" s="10" t="str">
        <x:v>AR-I</x:v>
      </x:c>
      <x:c r="D55" s="10" t="str">
        <x:v>AR-R</x:v>
      </x:c>
      <x:c r="E55" s="10" t="str">
        <x:v>BL-B</x:v>
      </x:c>
      <x:c r="F55" s="10" t="str">
        <x:v>C-3</x:v>
      </x:c>
      <x:c r="G55" s="10" t="str">
        <x:v>PT-4 carryover and replay</x:v>
      </x:c>
      <x:c r="H55" s="12"/>
      <x:c r="I55" s="12"/>
      <x:c r="J55" s="12"/>
      <x:c r="K55" s="12"/>
      <x:c r="L55" s="12"/>
      <x:c r="M55" s="10" t="str">
        <x:f>IF(OR(H55="",I55="",J55="",K55="",L55=""),"OPEN",IF(AND(INDEX('Pair Matrix'!$L$6:$L$11,MATCH(B55,'Pair Matrix'!$A$6:$A$11,0))="PAIR-READY",H55="PASS",I55="PASS",J55&lt;='Assumptions'!$B$40,K55="ACCEPTED",L55="ACCEPTED"),"PASS","VALID-ADVERSE"))</x:f>
        <x:v>OPEN</x:v>
      </x:c>
    </x:row>
    <x:row r="56">
      <x:c r="A56" s="10" t="str">
        <x:v>PT-049</x:v>
      </x:c>
      <x:c r="B56" s="10" t="str">
        <x:v>PAIR-03</x:v>
      </x:c>
      <x:c r="C56" s="10" t="str">
        <x:v>AR-I</x:v>
      </x:c>
      <x:c r="D56" s="10" t="str">
        <x:v>AR-O</x:v>
      </x:c>
      <x:c r="E56" s="10" t="str">
        <x:v>BL-A</x:v>
      </x:c>
      <x:c r="F56" s="10" t="str">
        <x:v>C-1</x:v>
      </x:c>
      <x:c r="G56" s="10" t="str">
        <x:v>PT-1 nominal cohabitation</x:v>
      </x:c>
      <x:c r="H56" s="12"/>
      <x:c r="I56" s="12"/>
      <x:c r="J56" s="12"/>
      <x:c r="K56" s="12"/>
      <x:c r="L56" s="12"/>
      <x:c r="M56" s="10" t="str">
        <x:f>IF(OR(H56="",I56="",J56="",K56="",L56=""),"OPEN",IF(AND(INDEX('Pair Matrix'!$L$6:$L$11,MATCH(B56,'Pair Matrix'!$A$6:$A$11,0))="PAIR-READY",H56="PASS",I56="PASS",J56&lt;='Assumptions'!$B$40,K56="ACCEPTED",L56="ACCEPTED"),"PASS","VALID-ADVERSE"))</x:f>
        <x:v>OPEN</x:v>
      </x:c>
    </x:row>
    <x:row r="57">
      <x:c r="A57" s="10" t="str">
        <x:v>PT-050</x:v>
      </x:c>
      <x:c r="B57" s="10" t="str">
        <x:v>PAIR-03</x:v>
      </x:c>
      <x:c r="C57" s="10" t="str">
        <x:v>AR-I</x:v>
      </x:c>
      <x:c r="D57" s="10" t="str">
        <x:v>AR-O</x:v>
      </x:c>
      <x:c r="E57" s="10" t="str">
        <x:v>BL-A</x:v>
      </x:c>
      <x:c r="F57" s="10" t="str">
        <x:v>C-1</x:v>
      </x:c>
      <x:c r="G57" s="10" t="str">
        <x:v>PT-2 mutual decoy</x:v>
      </x:c>
      <x:c r="H57" s="12"/>
      <x:c r="I57" s="12"/>
      <x:c r="J57" s="12"/>
      <x:c r="K57" s="12"/>
      <x:c r="L57" s="12"/>
      <x:c r="M57" s="10" t="str">
        <x:f>IF(OR(H57="",I57="",J57="",K57="",L57=""),"OPEN",IF(AND(INDEX('Pair Matrix'!$L$6:$L$11,MATCH(B57,'Pair Matrix'!$A$6:$A$11,0))="PAIR-READY",H57="PASS",I57="PASS",J57&lt;='Assumptions'!$B$40,K57="ACCEPTED",L57="ACCEPTED"),"PASS","VALID-ADVERSE"))</x:f>
        <x:v>OPEN</x:v>
      </x:c>
    </x:row>
    <x:row r="58">
      <x:c r="A58" s="10" t="str">
        <x:v>PT-051</x:v>
      </x:c>
      <x:c r="B58" s="10" t="str">
        <x:v>PAIR-03</x:v>
      </x:c>
      <x:c r="C58" s="10" t="str">
        <x:v>AR-I</x:v>
      </x:c>
      <x:c r="D58" s="10" t="str">
        <x:v>AR-O</x:v>
      </x:c>
      <x:c r="E58" s="10" t="str">
        <x:v>BL-A</x:v>
      </x:c>
      <x:c r="F58" s="10" t="str">
        <x:v>C-1</x:v>
      </x:c>
      <x:c r="G58" s="10" t="str">
        <x:v>PT-3 denied path split</x:v>
      </x:c>
      <x:c r="H58" s="12"/>
      <x:c r="I58" s="12"/>
      <x:c r="J58" s="12"/>
      <x:c r="K58" s="12"/>
      <x:c r="L58" s="12"/>
      <x:c r="M58" s="10" t="str">
        <x:f>IF(OR(H58="",I58="",J58="",K58="",L58=""),"OPEN",IF(AND(INDEX('Pair Matrix'!$L$6:$L$11,MATCH(B58,'Pair Matrix'!$A$6:$A$11,0))="PAIR-READY",H58="PASS",I58="PASS",J58&lt;='Assumptions'!$B$40,K58="ACCEPTED",L58="ACCEPTED"),"PASS","VALID-ADVERSE"))</x:f>
        <x:v>OPEN</x:v>
      </x:c>
    </x:row>
    <x:row r="59">
      <x:c r="A59" s="10" t="str">
        <x:v>PT-052</x:v>
      </x:c>
      <x:c r="B59" s="10" t="str">
        <x:v>PAIR-03</x:v>
      </x:c>
      <x:c r="C59" s="10" t="str">
        <x:v>AR-I</x:v>
      </x:c>
      <x:c r="D59" s="10" t="str">
        <x:v>AR-O</x:v>
      </x:c>
      <x:c r="E59" s="10" t="str">
        <x:v>BL-A</x:v>
      </x:c>
      <x:c r="F59" s="10" t="str">
        <x:v>C-1</x:v>
      </x:c>
      <x:c r="G59" s="10" t="str">
        <x:v>PT-4 carryover and replay</x:v>
      </x:c>
      <x:c r="H59" s="12"/>
      <x:c r="I59" s="12"/>
      <x:c r="J59" s="12"/>
      <x:c r="K59" s="12"/>
      <x:c r="L59" s="12"/>
      <x:c r="M59" s="10" t="str">
        <x:f>IF(OR(H59="",I59="",J59="",K59="",L59=""),"OPEN",IF(AND(INDEX('Pair Matrix'!$L$6:$L$11,MATCH(B59,'Pair Matrix'!$A$6:$A$11,0))="PAIR-READY",H59="PASS",I59="PASS",J59&lt;='Assumptions'!$B$40,K59="ACCEPTED",L59="ACCEPTED"),"PASS","VALID-ADVERSE"))</x:f>
        <x:v>OPEN</x:v>
      </x:c>
    </x:row>
    <x:row r="60">
      <x:c r="A60" s="10" t="str">
        <x:v>PT-053</x:v>
      </x:c>
      <x:c r="B60" s="10" t="str">
        <x:v>PAIR-03</x:v>
      </x:c>
      <x:c r="C60" s="10" t="str">
        <x:v>AR-I</x:v>
      </x:c>
      <x:c r="D60" s="10" t="str">
        <x:v>AR-O</x:v>
      </x:c>
      <x:c r="E60" s="10" t="str">
        <x:v>BL-A</x:v>
      </x:c>
      <x:c r="F60" s="10" t="str">
        <x:v>C-2</x:v>
      </x:c>
      <x:c r="G60" s="10" t="str">
        <x:v>PT-1 nominal cohabitation</x:v>
      </x:c>
      <x:c r="H60" s="12"/>
      <x:c r="I60" s="12"/>
      <x:c r="J60" s="12"/>
      <x:c r="K60" s="12"/>
      <x:c r="L60" s="12"/>
      <x:c r="M60" s="10" t="str">
        <x:f>IF(OR(H60="",I60="",J60="",K60="",L60=""),"OPEN",IF(AND(INDEX('Pair Matrix'!$L$6:$L$11,MATCH(B60,'Pair Matrix'!$A$6:$A$11,0))="PAIR-READY",H60="PASS",I60="PASS",J60&lt;='Assumptions'!$B$40,K60="ACCEPTED",L60="ACCEPTED"),"PASS","VALID-ADVERSE"))</x:f>
        <x:v>OPEN</x:v>
      </x:c>
    </x:row>
    <x:row r="61">
      <x:c r="A61" s="10" t="str">
        <x:v>PT-054</x:v>
      </x:c>
      <x:c r="B61" s="10" t="str">
        <x:v>PAIR-03</x:v>
      </x:c>
      <x:c r="C61" s="10" t="str">
        <x:v>AR-I</x:v>
      </x:c>
      <x:c r="D61" s="10" t="str">
        <x:v>AR-O</x:v>
      </x:c>
      <x:c r="E61" s="10" t="str">
        <x:v>BL-A</x:v>
      </x:c>
      <x:c r="F61" s="10" t="str">
        <x:v>C-2</x:v>
      </x:c>
      <x:c r="G61" s="10" t="str">
        <x:v>PT-2 mutual decoy</x:v>
      </x:c>
      <x:c r="H61" s="12"/>
      <x:c r="I61" s="12"/>
      <x:c r="J61" s="12"/>
      <x:c r="K61" s="12"/>
      <x:c r="L61" s="12"/>
      <x:c r="M61" s="10" t="str">
        <x:f>IF(OR(H61="",I61="",J61="",K61="",L61=""),"OPEN",IF(AND(INDEX('Pair Matrix'!$L$6:$L$11,MATCH(B61,'Pair Matrix'!$A$6:$A$11,0))="PAIR-READY",H61="PASS",I61="PASS",J61&lt;='Assumptions'!$B$40,K61="ACCEPTED",L61="ACCEPTED"),"PASS","VALID-ADVERSE"))</x:f>
        <x:v>OPEN</x:v>
      </x:c>
    </x:row>
    <x:row r="62">
      <x:c r="A62" s="10" t="str">
        <x:v>PT-055</x:v>
      </x:c>
      <x:c r="B62" s="10" t="str">
        <x:v>PAIR-03</x:v>
      </x:c>
      <x:c r="C62" s="10" t="str">
        <x:v>AR-I</x:v>
      </x:c>
      <x:c r="D62" s="10" t="str">
        <x:v>AR-O</x:v>
      </x:c>
      <x:c r="E62" s="10" t="str">
        <x:v>BL-A</x:v>
      </x:c>
      <x:c r="F62" s="10" t="str">
        <x:v>C-2</x:v>
      </x:c>
      <x:c r="G62" s="10" t="str">
        <x:v>PT-3 denied path split</x:v>
      </x:c>
      <x:c r="H62" s="12"/>
      <x:c r="I62" s="12"/>
      <x:c r="J62" s="12"/>
      <x:c r="K62" s="12"/>
      <x:c r="L62" s="12"/>
      <x:c r="M62" s="10" t="str">
        <x:f>IF(OR(H62="",I62="",J62="",K62="",L62=""),"OPEN",IF(AND(INDEX('Pair Matrix'!$L$6:$L$11,MATCH(B62,'Pair Matrix'!$A$6:$A$11,0))="PAIR-READY",H62="PASS",I62="PASS",J62&lt;='Assumptions'!$B$40,K62="ACCEPTED",L62="ACCEPTED"),"PASS","VALID-ADVERSE"))</x:f>
        <x:v>OPEN</x:v>
      </x:c>
    </x:row>
    <x:row r="63">
      <x:c r="A63" s="10" t="str">
        <x:v>PT-056</x:v>
      </x:c>
      <x:c r="B63" s="10" t="str">
        <x:v>PAIR-03</x:v>
      </x:c>
      <x:c r="C63" s="10" t="str">
        <x:v>AR-I</x:v>
      </x:c>
      <x:c r="D63" s="10" t="str">
        <x:v>AR-O</x:v>
      </x:c>
      <x:c r="E63" s="10" t="str">
        <x:v>BL-A</x:v>
      </x:c>
      <x:c r="F63" s="10" t="str">
        <x:v>C-2</x:v>
      </x:c>
      <x:c r="G63" s="10" t="str">
        <x:v>PT-4 carryover and replay</x:v>
      </x:c>
      <x:c r="H63" s="12"/>
      <x:c r="I63" s="12"/>
      <x:c r="J63" s="12"/>
      <x:c r="K63" s="12"/>
      <x:c r="L63" s="12"/>
      <x:c r="M63" s="10" t="str">
        <x:f>IF(OR(H63="",I63="",J63="",K63="",L63=""),"OPEN",IF(AND(INDEX('Pair Matrix'!$L$6:$L$11,MATCH(B63,'Pair Matrix'!$A$6:$A$11,0))="PAIR-READY",H63="PASS",I63="PASS",J63&lt;='Assumptions'!$B$40,K63="ACCEPTED",L63="ACCEPTED"),"PASS","VALID-ADVERSE"))</x:f>
        <x:v>OPEN</x:v>
      </x:c>
    </x:row>
    <x:row r="64">
      <x:c r="A64" s="10" t="str">
        <x:v>PT-057</x:v>
      </x:c>
      <x:c r="B64" s="10" t="str">
        <x:v>PAIR-03</x:v>
      </x:c>
      <x:c r="C64" s="10" t="str">
        <x:v>AR-I</x:v>
      </x:c>
      <x:c r="D64" s="10" t="str">
        <x:v>AR-O</x:v>
      </x:c>
      <x:c r="E64" s="10" t="str">
        <x:v>BL-A</x:v>
      </x:c>
      <x:c r="F64" s="10" t="str">
        <x:v>C-3</x:v>
      </x:c>
      <x:c r="G64" s="10" t="str">
        <x:v>PT-1 nominal cohabitation</x:v>
      </x:c>
      <x:c r="H64" s="12"/>
      <x:c r="I64" s="12"/>
      <x:c r="J64" s="12"/>
      <x:c r="K64" s="12"/>
      <x:c r="L64" s="12"/>
      <x:c r="M64" s="10" t="str">
        <x:f>IF(OR(H64="",I64="",J64="",K64="",L64=""),"OPEN",IF(AND(INDEX('Pair Matrix'!$L$6:$L$11,MATCH(B64,'Pair Matrix'!$A$6:$A$11,0))="PAIR-READY",H64="PASS",I64="PASS",J64&lt;='Assumptions'!$B$40,K64="ACCEPTED",L64="ACCEPTED"),"PASS","VALID-ADVERSE"))</x:f>
        <x:v>OPEN</x:v>
      </x:c>
    </x:row>
    <x:row r="65">
      <x:c r="A65" s="10" t="str">
        <x:v>PT-058</x:v>
      </x:c>
      <x:c r="B65" s="10" t="str">
        <x:v>PAIR-03</x:v>
      </x:c>
      <x:c r="C65" s="10" t="str">
        <x:v>AR-I</x:v>
      </x:c>
      <x:c r="D65" s="10" t="str">
        <x:v>AR-O</x:v>
      </x:c>
      <x:c r="E65" s="10" t="str">
        <x:v>BL-A</x:v>
      </x:c>
      <x:c r="F65" s="10" t="str">
        <x:v>C-3</x:v>
      </x:c>
      <x:c r="G65" s="10" t="str">
        <x:v>PT-2 mutual decoy</x:v>
      </x:c>
      <x:c r="H65" s="12"/>
      <x:c r="I65" s="12"/>
      <x:c r="J65" s="12"/>
      <x:c r="K65" s="12"/>
      <x:c r="L65" s="12"/>
      <x:c r="M65" s="10" t="str">
        <x:f>IF(OR(H65="",I65="",J65="",K65="",L65=""),"OPEN",IF(AND(INDEX('Pair Matrix'!$L$6:$L$11,MATCH(B65,'Pair Matrix'!$A$6:$A$11,0))="PAIR-READY",H65="PASS",I65="PASS",J65&lt;='Assumptions'!$B$40,K65="ACCEPTED",L65="ACCEPTED"),"PASS","VALID-ADVERSE"))</x:f>
        <x:v>OPEN</x:v>
      </x:c>
    </x:row>
    <x:row r="66">
      <x:c r="A66" s="10" t="str">
        <x:v>PT-059</x:v>
      </x:c>
      <x:c r="B66" s="10" t="str">
        <x:v>PAIR-03</x:v>
      </x:c>
      <x:c r="C66" s="10" t="str">
        <x:v>AR-I</x:v>
      </x:c>
      <x:c r="D66" s="10" t="str">
        <x:v>AR-O</x:v>
      </x:c>
      <x:c r="E66" s="10" t="str">
        <x:v>BL-A</x:v>
      </x:c>
      <x:c r="F66" s="10" t="str">
        <x:v>C-3</x:v>
      </x:c>
      <x:c r="G66" s="10" t="str">
        <x:v>PT-3 denied path split</x:v>
      </x:c>
      <x:c r="H66" s="12"/>
      <x:c r="I66" s="12"/>
      <x:c r="J66" s="12"/>
      <x:c r="K66" s="12"/>
      <x:c r="L66" s="12"/>
      <x:c r="M66" s="10" t="str">
        <x:f>IF(OR(H66="",I66="",J66="",K66="",L66=""),"OPEN",IF(AND(INDEX('Pair Matrix'!$L$6:$L$11,MATCH(B66,'Pair Matrix'!$A$6:$A$11,0))="PAIR-READY",H66="PASS",I66="PASS",J66&lt;='Assumptions'!$B$40,K66="ACCEPTED",L66="ACCEPTED"),"PASS","VALID-ADVERSE"))</x:f>
        <x:v>OPEN</x:v>
      </x:c>
    </x:row>
    <x:row r="67">
      <x:c r="A67" s="10" t="str">
        <x:v>PT-060</x:v>
      </x:c>
      <x:c r="B67" s="10" t="str">
        <x:v>PAIR-03</x:v>
      </x:c>
      <x:c r="C67" s="10" t="str">
        <x:v>AR-I</x:v>
      </x:c>
      <x:c r="D67" s="10" t="str">
        <x:v>AR-O</x:v>
      </x:c>
      <x:c r="E67" s="10" t="str">
        <x:v>BL-A</x:v>
      </x:c>
      <x:c r="F67" s="10" t="str">
        <x:v>C-3</x:v>
      </x:c>
      <x:c r="G67" s="10" t="str">
        <x:v>PT-4 carryover and replay</x:v>
      </x:c>
      <x:c r="H67" s="12"/>
      <x:c r="I67" s="12"/>
      <x:c r="J67" s="12"/>
      <x:c r="K67" s="12"/>
      <x:c r="L67" s="12"/>
      <x:c r="M67" s="10" t="str">
        <x:f>IF(OR(H67="",I67="",J67="",K67="",L67=""),"OPEN",IF(AND(INDEX('Pair Matrix'!$L$6:$L$11,MATCH(B67,'Pair Matrix'!$A$6:$A$11,0))="PAIR-READY",H67="PASS",I67="PASS",J67&lt;='Assumptions'!$B$40,K67="ACCEPTED",L67="ACCEPTED"),"PASS","VALID-ADVERSE"))</x:f>
        <x:v>OPEN</x:v>
      </x:c>
    </x:row>
    <x:row r="68">
      <x:c r="A68" s="10" t="str">
        <x:v>PT-061</x:v>
      </x:c>
      <x:c r="B68" s="10" t="str">
        <x:v>PAIR-03</x:v>
      </x:c>
      <x:c r="C68" s="10" t="str">
        <x:v>AR-I</x:v>
      </x:c>
      <x:c r="D68" s="10" t="str">
        <x:v>AR-O</x:v>
      </x:c>
      <x:c r="E68" s="10" t="str">
        <x:v>BL-B</x:v>
      </x:c>
      <x:c r="F68" s="10" t="str">
        <x:v>C-1</x:v>
      </x:c>
      <x:c r="G68" s="10" t="str">
        <x:v>PT-1 nominal cohabitation</x:v>
      </x:c>
      <x:c r="H68" s="12"/>
      <x:c r="I68" s="12"/>
      <x:c r="J68" s="12"/>
      <x:c r="K68" s="12"/>
      <x:c r="L68" s="12"/>
      <x:c r="M68" s="10" t="str">
        <x:f>IF(OR(H68="",I68="",J68="",K68="",L68=""),"OPEN",IF(AND(INDEX('Pair Matrix'!$L$6:$L$11,MATCH(B68,'Pair Matrix'!$A$6:$A$11,0))="PAIR-READY",H68="PASS",I68="PASS",J68&lt;='Assumptions'!$B$40,K68="ACCEPTED",L68="ACCEPTED"),"PASS","VALID-ADVERSE"))</x:f>
        <x:v>OPEN</x:v>
      </x:c>
    </x:row>
    <x:row r="69">
      <x:c r="A69" s="10" t="str">
        <x:v>PT-062</x:v>
      </x:c>
      <x:c r="B69" s="10" t="str">
        <x:v>PAIR-03</x:v>
      </x:c>
      <x:c r="C69" s="10" t="str">
        <x:v>AR-I</x:v>
      </x:c>
      <x:c r="D69" s="10" t="str">
        <x:v>AR-O</x:v>
      </x:c>
      <x:c r="E69" s="10" t="str">
        <x:v>BL-B</x:v>
      </x:c>
      <x:c r="F69" s="10" t="str">
        <x:v>C-1</x:v>
      </x:c>
      <x:c r="G69" s="10" t="str">
        <x:v>PT-2 mutual decoy</x:v>
      </x:c>
      <x:c r="H69" s="12"/>
      <x:c r="I69" s="12"/>
      <x:c r="J69" s="12"/>
      <x:c r="K69" s="12"/>
      <x:c r="L69" s="12"/>
      <x:c r="M69" s="10" t="str">
        <x:f>IF(OR(H69="",I69="",J69="",K69="",L69=""),"OPEN",IF(AND(INDEX('Pair Matrix'!$L$6:$L$11,MATCH(B69,'Pair Matrix'!$A$6:$A$11,0))="PAIR-READY",H69="PASS",I69="PASS",J69&lt;='Assumptions'!$B$40,K69="ACCEPTED",L69="ACCEPTED"),"PASS","VALID-ADVERSE"))</x:f>
        <x:v>OPEN</x:v>
      </x:c>
    </x:row>
    <x:row r="70">
      <x:c r="A70" s="10" t="str">
        <x:v>PT-063</x:v>
      </x:c>
      <x:c r="B70" s="10" t="str">
        <x:v>PAIR-03</x:v>
      </x:c>
      <x:c r="C70" s="10" t="str">
        <x:v>AR-I</x:v>
      </x:c>
      <x:c r="D70" s="10" t="str">
        <x:v>AR-O</x:v>
      </x:c>
      <x:c r="E70" s="10" t="str">
        <x:v>BL-B</x:v>
      </x:c>
      <x:c r="F70" s="10" t="str">
        <x:v>C-1</x:v>
      </x:c>
      <x:c r="G70" s="10" t="str">
        <x:v>PT-3 denied path split</x:v>
      </x:c>
      <x:c r="H70" s="12"/>
      <x:c r="I70" s="12"/>
      <x:c r="J70" s="12"/>
      <x:c r="K70" s="12"/>
      <x:c r="L70" s="12"/>
      <x:c r="M70" s="10" t="str">
        <x:f>IF(OR(H70="",I70="",J70="",K70="",L70=""),"OPEN",IF(AND(INDEX('Pair Matrix'!$L$6:$L$11,MATCH(B70,'Pair Matrix'!$A$6:$A$11,0))="PAIR-READY",H70="PASS",I70="PASS",J70&lt;='Assumptions'!$B$40,K70="ACCEPTED",L70="ACCEPTED"),"PASS","VALID-ADVERSE"))</x:f>
        <x:v>OPEN</x:v>
      </x:c>
    </x:row>
    <x:row r="71">
      <x:c r="A71" s="10" t="str">
        <x:v>PT-064</x:v>
      </x:c>
      <x:c r="B71" s="10" t="str">
        <x:v>PAIR-03</x:v>
      </x:c>
      <x:c r="C71" s="10" t="str">
        <x:v>AR-I</x:v>
      </x:c>
      <x:c r="D71" s="10" t="str">
        <x:v>AR-O</x:v>
      </x:c>
      <x:c r="E71" s="10" t="str">
        <x:v>BL-B</x:v>
      </x:c>
      <x:c r="F71" s="10" t="str">
        <x:v>C-1</x:v>
      </x:c>
      <x:c r="G71" s="10" t="str">
        <x:v>PT-4 carryover and replay</x:v>
      </x:c>
      <x:c r="H71" s="12"/>
      <x:c r="I71" s="12"/>
      <x:c r="J71" s="12"/>
      <x:c r="K71" s="12"/>
      <x:c r="L71" s="12"/>
      <x:c r="M71" s="10" t="str">
        <x:f>IF(OR(H71="",I71="",J71="",K71="",L71=""),"OPEN",IF(AND(INDEX('Pair Matrix'!$L$6:$L$11,MATCH(B71,'Pair Matrix'!$A$6:$A$11,0))="PAIR-READY",H71="PASS",I71="PASS",J71&lt;='Assumptions'!$B$40,K71="ACCEPTED",L71="ACCEPTED"),"PASS","VALID-ADVERSE"))</x:f>
        <x:v>OPEN</x:v>
      </x:c>
    </x:row>
    <x:row r="72">
      <x:c r="A72" s="10" t="str">
        <x:v>PT-065</x:v>
      </x:c>
      <x:c r="B72" s="10" t="str">
        <x:v>PAIR-03</x:v>
      </x:c>
      <x:c r="C72" s="10" t="str">
        <x:v>AR-I</x:v>
      </x:c>
      <x:c r="D72" s="10" t="str">
        <x:v>AR-O</x:v>
      </x:c>
      <x:c r="E72" s="10" t="str">
        <x:v>BL-B</x:v>
      </x:c>
      <x:c r="F72" s="10" t="str">
        <x:v>C-2</x:v>
      </x:c>
      <x:c r="G72" s="10" t="str">
        <x:v>PT-1 nominal cohabitation</x:v>
      </x:c>
      <x:c r="H72" s="12"/>
      <x:c r="I72" s="12"/>
      <x:c r="J72" s="12"/>
      <x:c r="K72" s="12"/>
      <x:c r="L72" s="12"/>
      <x:c r="M72" s="10" t="str">
        <x:f>IF(OR(H72="",I72="",J72="",K72="",L72=""),"OPEN",IF(AND(INDEX('Pair Matrix'!$L$6:$L$11,MATCH(B72,'Pair Matrix'!$A$6:$A$11,0))="PAIR-READY",H72="PASS",I72="PASS",J72&lt;='Assumptions'!$B$40,K72="ACCEPTED",L72="ACCEPTED"),"PASS","VALID-ADVERSE"))</x:f>
        <x:v>OPEN</x:v>
      </x:c>
    </x:row>
    <x:row r="73">
      <x:c r="A73" s="10" t="str">
        <x:v>PT-066</x:v>
      </x:c>
      <x:c r="B73" s="10" t="str">
        <x:v>PAIR-03</x:v>
      </x:c>
      <x:c r="C73" s="10" t="str">
        <x:v>AR-I</x:v>
      </x:c>
      <x:c r="D73" s="10" t="str">
        <x:v>AR-O</x:v>
      </x:c>
      <x:c r="E73" s="10" t="str">
        <x:v>BL-B</x:v>
      </x:c>
      <x:c r="F73" s="10" t="str">
        <x:v>C-2</x:v>
      </x:c>
      <x:c r="G73" s="10" t="str">
        <x:v>PT-2 mutual decoy</x:v>
      </x:c>
      <x:c r="H73" s="12"/>
      <x:c r="I73" s="12"/>
      <x:c r="J73" s="12"/>
      <x:c r="K73" s="12"/>
      <x:c r="L73" s="12"/>
      <x:c r="M73" s="10" t="str">
        <x:f>IF(OR(H73="",I73="",J73="",K73="",L73=""),"OPEN",IF(AND(INDEX('Pair Matrix'!$L$6:$L$11,MATCH(B73,'Pair Matrix'!$A$6:$A$11,0))="PAIR-READY",H73="PASS",I73="PASS",J73&lt;='Assumptions'!$B$40,K73="ACCEPTED",L73="ACCEPTED"),"PASS","VALID-ADVERSE"))</x:f>
        <x:v>OPEN</x:v>
      </x:c>
    </x:row>
    <x:row r="74">
      <x:c r="A74" s="10" t="str">
        <x:v>PT-067</x:v>
      </x:c>
      <x:c r="B74" s="10" t="str">
        <x:v>PAIR-03</x:v>
      </x:c>
      <x:c r="C74" s="10" t="str">
        <x:v>AR-I</x:v>
      </x:c>
      <x:c r="D74" s="10" t="str">
        <x:v>AR-O</x:v>
      </x:c>
      <x:c r="E74" s="10" t="str">
        <x:v>BL-B</x:v>
      </x:c>
      <x:c r="F74" s="10" t="str">
        <x:v>C-2</x:v>
      </x:c>
      <x:c r="G74" s="10" t="str">
        <x:v>PT-3 denied path split</x:v>
      </x:c>
      <x:c r="H74" s="12"/>
      <x:c r="I74" s="12"/>
      <x:c r="J74" s="12"/>
      <x:c r="K74" s="12"/>
      <x:c r="L74" s="12"/>
      <x:c r="M74" s="10" t="str">
        <x:f>IF(OR(H74="",I74="",J74="",K74="",L74=""),"OPEN",IF(AND(INDEX('Pair Matrix'!$L$6:$L$11,MATCH(B74,'Pair Matrix'!$A$6:$A$11,0))="PAIR-READY",H74="PASS",I74="PASS",J74&lt;='Assumptions'!$B$40,K74="ACCEPTED",L74="ACCEPTED"),"PASS","VALID-ADVERSE"))</x:f>
        <x:v>OPEN</x:v>
      </x:c>
    </x:row>
    <x:row r="75">
      <x:c r="A75" s="10" t="str">
        <x:v>PT-068</x:v>
      </x:c>
      <x:c r="B75" s="10" t="str">
        <x:v>PAIR-03</x:v>
      </x:c>
      <x:c r="C75" s="10" t="str">
        <x:v>AR-I</x:v>
      </x:c>
      <x:c r="D75" s="10" t="str">
        <x:v>AR-O</x:v>
      </x:c>
      <x:c r="E75" s="10" t="str">
        <x:v>BL-B</x:v>
      </x:c>
      <x:c r="F75" s="10" t="str">
        <x:v>C-2</x:v>
      </x:c>
      <x:c r="G75" s="10" t="str">
        <x:v>PT-4 carryover and replay</x:v>
      </x:c>
      <x:c r="H75" s="12"/>
      <x:c r="I75" s="12"/>
      <x:c r="J75" s="12"/>
      <x:c r="K75" s="12"/>
      <x:c r="L75" s="12"/>
      <x:c r="M75" s="10" t="str">
        <x:f>IF(OR(H75="",I75="",J75="",K75="",L75=""),"OPEN",IF(AND(INDEX('Pair Matrix'!$L$6:$L$11,MATCH(B75,'Pair Matrix'!$A$6:$A$11,0))="PAIR-READY",H75="PASS",I75="PASS",J75&lt;='Assumptions'!$B$40,K75="ACCEPTED",L75="ACCEPTED"),"PASS","VALID-ADVERSE"))</x:f>
        <x:v>OPEN</x:v>
      </x:c>
    </x:row>
    <x:row r="76">
      <x:c r="A76" s="10" t="str">
        <x:v>PT-069</x:v>
      </x:c>
      <x:c r="B76" s="10" t="str">
        <x:v>PAIR-03</x:v>
      </x:c>
      <x:c r="C76" s="10" t="str">
        <x:v>AR-I</x:v>
      </x:c>
      <x:c r="D76" s="10" t="str">
        <x:v>AR-O</x:v>
      </x:c>
      <x:c r="E76" s="10" t="str">
        <x:v>BL-B</x:v>
      </x:c>
      <x:c r="F76" s="10" t="str">
        <x:v>C-3</x:v>
      </x:c>
      <x:c r="G76" s="10" t="str">
        <x:v>PT-1 nominal cohabitation</x:v>
      </x:c>
      <x:c r="H76" s="12"/>
      <x:c r="I76" s="12"/>
      <x:c r="J76" s="12"/>
      <x:c r="K76" s="12"/>
      <x:c r="L76" s="12"/>
      <x:c r="M76" s="10" t="str">
        <x:f>IF(OR(H76="",I76="",J76="",K76="",L76=""),"OPEN",IF(AND(INDEX('Pair Matrix'!$L$6:$L$11,MATCH(B76,'Pair Matrix'!$A$6:$A$11,0))="PAIR-READY",H76="PASS",I76="PASS",J76&lt;='Assumptions'!$B$40,K76="ACCEPTED",L76="ACCEPTED"),"PASS","VALID-ADVERSE"))</x:f>
        <x:v>OPEN</x:v>
      </x:c>
    </x:row>
    <x:row r="77">
      <x:c r="A77" s="10" t="str">
        <x:v>PT-070</x:v>
      </x:c>
      <x:c r="B77" s="10" t="str">
        <x:v>PAIR-03</x:v>
      </x:c>
      <x:c r="C77" s="10" t="str">
        <x:v>AR-I</x:v>
      </x:c>
      <x:c r="D77" s="10" t="str">
        <x:v>AR-O</x:v>
      </x:c>
      <x:c r="E77" s="10" t="str">
        <x:v>BL-B</x:v>
      </x:c>
      <x:c r="F77" s="10" t="str">
        <x:v>C-3</x:v>
      </x:c>
      <x:c r="G77" s="10" t="str">
        <x:v>PT-2 mutual decoy</x:v>
      </x:c>
      <x:c r="H77" s="12"/>
      <x:c r="I77" s="12"/>
      <x:c r="J77" s="12"/>
      <x:c r="K77" s="12"/>
      <x:c r="L77" s="12"/>
      <x:c r="M77" s="10" t="str">
        <x:f>IF(OR(H77="",I77="",J77="",K77="",L77=""),"OPEN",IF(AND(INDEX('Pair Matrix'!$L$6:$L$11,MATCH(B77,'Pair Matrix'!$A$6:$A$11,0))="PAIR-READY",H77="PASS",I77="PASS",J77&lt;='Assumptions'!$B$40,K77="ACCEPTED",L77="ACCEPTED"),"PASS","VALID-ADVERSE"))</x:f>
        <x:v>OPEN</x:v>
      </x:c>
    </x:row>
    <x:row r="78">
      <x:c r="A78" s="10" t="str">
        <x:v>PT-071</x:v>
      </x:c>
      <x:c r="B78" s="10" t="str">
        <x:v>PAIR-03</x:v>
      </x:c>
      <x:c r="C78" s="10" t="str">
        <x:v>AR-I</x:v>
      </x:c>
      <x:c r="D78" s="10" t="str">
        <x:v>AR-O</x:v>
      </x:c>
      <x:c r="E78" s="10" t="str">
        <x:v>BL-B</x:v>
      </x:c>
      <x:c r="F78" s="10" t="str">
        <x:v>C-3</x:v>
      </x:c>
      <x:c r="G78" s="10" t="str">
        <x:v>PT-3 denied path split</x:v>
      </x:c>
      <x:c r="H78" s="12"/>
      <x:c r="I78" s="12"/>
      <x:c r="J78" s="12"/>
      <x:c r="K78" s="12"/>
      <x:c r="L78" s="12"/>
      <x:c r="M78" s="10" t="str">
        <x:f>IF(OR(H78="",I78="",J78="",K78="",L78=""),"OPEN",IF(AND(INDEX('Pair Matrix'!$L$6:$L$11,MATCH(B78,'Pair Matrix'!$A$6:$A$11,0))="PAIR-READY",H78="PASS",I78="PASS",J78&lt;='Assumptions'!$B$40,K78="ACCEPTED",L78="ACCEPTED"),"PASS","VALID-ADVERSE"))</x:f>
        <x:v>OPEN</x:v>
      </x:c>
    </x:row>
    <x:row r="79">
      <x:c r="A79" s="10" t="str">
        <x:v>PT-072</x:v>
      </x:c>
      <x:c r="B79" s="10" t="str">
        <x:v>PAIR-03</x:v>
      </x:c>
      <x:c r="C79" s="10" t="str">
        <x:v>AR-I</x:v>
      </x:c>
      <x:c r="D79" s="10" t="str">
        <x:v>AR-O</x:v>
      </x:c>
      <x:c r="E79" s="10" t="str">
        <x:v>BL-B</x:v>
      </x:c>
      <x:c r="F79" s="10" t="str">
        <x:v>C-3</x:v>
      </x:c>
      <x:c r="G79" s="10" t="str">
        <x:v>PT-4 carryover and replay</x:v>
      </x:c>
      <x:c r="H79" s="12"/>
      <x:c r="I79" s="12"/>
      <x:c r="J79" s="12"/>
      <x:c r="K79" s="12"/>
      <x:c r="L79" s="12"/>
      <x:c r="M79" s="10" t="str">
        <x:f>IF(OR(H79="",I79="",J79="",K79="",L79=""),"OPEN",IF(AND(INDEX('Pair Matrix'!$L$6:$L$11,MATCH(B79,'Pair Matrix'!$A$6:$A$11,0))="PAIR-READY",H79="PASS",I79="PASS",J79&lt;='Assumptions'!$B$40,K79="ACCEPTED",L79="ACCEPTED"),"PASS","VALID-ADVERSE"))</x:f>
        <x:v>OPEN</x:v>
      </x:c>
    </x:row>
    <x:row r="80">
      <x:c r="A80" s="10" t="str">
        <x:v>PT-073</x:v>
      </x:c>
      <x:c r="B80" s="10" t="str">
        <x:v>PAIR-04</x:v>
      </x:c>
      <x:c r="C80" s="10" t="str">
        <x:v>AR-P</x:v>
      </x:c>
      <x:c r="D80" s="10" t="str">
        <x:v>AR-R</x:v>
      </x:c>
      <x:c r="E80" s="10" t="str">
        <x:v>BL-A</x:v>
      </x:c>
      <x:c r="F80" s="10" t="str">
        <x:v>C-1</x:v>
      </x:c>
      <x:c r="G80" s="10" t="str">
        <x:v>PT-1 nominal cohabitation</x:v>
      </x:c>
      <x:c r="H80" s="12"/>
      <x:c r="I80" s="12"/>
      <x:c r="J80" s="12"/>
      <x:c r="K80" s="12"/>
      <x:c r="L80" s="12"/>
      <x:c r="M80" s="10" t="str">
        <x:f>IF(OR(H80="",I80="",J80="",K80="",L80=""),"OPEN",IF(AND(INDEX('Pair Matrix'!$L$6:$L$11,MATCH(B80,'Pair Matrix'!$A$6:$A$11,0))="PAIR-READY",H80="PASS",I80="PASS",J80&lt;='Assumptions'!$B$40,K80="ACCEPTED",L80="ACCEPTED"),"PASS","VALID-ADVERSE"))</x:f>
        <x:v>OPEN</x:v>
      </x:c>
    </x:row>
    <x:row r="81">
      <x:c r="A81" s="10" t="str">
        <x:v>PT-074</x:v>
      </x:c>
      <x:c r="B81" s="10" t="str">
        <x:v>PAIR-04</x:v>
      </x:c>
      <x:c r="C81" s="10" t="str">
        <x:v>AR-P</x:v>
      </x:c>
      <x:c r="D81" s="10" t="str">
        <x:v>AR-R</x:v>
      </x:c>
      <x:c r="E81" s="10" t="str">
        <x:v>BL-A</x:v>
      </x:c>
      <x:c r="F81" s="10" t="str">
        <x:v>C-1</x:v>
      </x:c>
      <x:c r="G81" s="10" t="str">
        <x:v>PT-2 mutual decoy</x:v>
      </x:c>
      <x:c r="H81" s="12"/>
      <x:c r="I81" s="12"/>
      <x:c r="J81" s="12"/>
      <x:c r="K81" s="12"/>
      <x:c r="L81" s="12"/>
      <x:c r="M81" s="10" t="str">
        <x:f>IF(OR(H81="",I81="",J81="",K81="",L81=""),"OPEN",IF(AND(INDEX('Pair Matrix'!$L$6:$L$11,MATCH(B81,'Pair Matrix'!$A$6:$A$11,0))="PAIR-READY",H81="PASS",I81="PASS",J81&lt;='Assumptions'!$B$40,K81="ACCEPTED",L81="ACCEPTED"),"PASS","VALID-ADVERSE"))</x:f>
        <x:v>OPEN</x:v>
      </x:c>
    </x:row>
    <x:row r="82">
      <x:c r="A82" s="10" t="str">
        <x:v>PT-075</x:v>
      </x:c>
      <x:c r="B82" s="10" t="str">
        <x:v>PAIR-04</x:v>
      </x:c>
      <x:c r="C82" s="10" t="str">
        <x:v>AR-P</x:v>
      </x:c>
      <x:c r="D82" s="10" t="str">
        <x:v>AR-R</x:v>
      </x:c>
      <x:c r="E82" s="10" t="str">
        <x:v>BL-A</x:v>
      </x:c>
      <x:c r="F82" s="10" t="str">
        <x:v>C-1</x:v>
      </x:c>
      <x:c r="G82" s="10" t="str">
        <x:v>PT-3 denied path split</x:v>
      </x:c>
      <x:c r="H82" s="12"/>
      <x:c r="I82" s="12"/>
      <x:c r="J82" s="12"/>
      <x:c r="K82" s="12"/>
      <x:c r="L82" s="12"/>
      <x:c r="M82" s="10" t="str">
        <x:f>IF(OR(H82="",I82="",J82="",K82="",L82=""),"OPEN",IF(AND(INDEX('Pair Matrix'!$L$6:$L$11,MATCH(B82,'Pair Matrix'!$A$6:$A$11,0))="PAIR-READY",H82="PASS",I82="PASS",J82&lt;='Assumptions'!$B$40,K82="ACCEPTED",L82="ACCEPTED"),"PASS","VALID-ADVERSE"))</x:f>
        <x:v>OPEN</x:v>
      </x:c>
    </x:row>
    <x:row r="83">
      <x:c r="A83" s="10" t="str">
        <x:v>PT-076</x:v>
      </x:c>
      <x:c r="B83" s="10" t="str">
        <x:v>PAIR-04</x:v>
      </x:c>
      <x:c r="C83" s="10" t="str">
        <x:v>AR-P</x:v>
      </x:c>
      <x:c r="D83" s="10" t="str">
        <x:v>AR-R</x:v>
      </x:c>
      <x:c r="E83" s="10" t="str">
        <x:v>BL-A</x:v>
      </x:c>
      <x:c r="F83" s="10" t="str">
        <x:v>C-1</x:v>
      </x:c>
      <x:c r="G83" s="10" t="str">
        <x:v>PT-4 carryover and replay</x:v>
      </x:c>
      <x:c r="H83" s="12"/>
      <x:c r="I83" s="12"/>
      <x:c r="J83" s="12"/>
      <x:c r="K83" s="12"/>
      <x:c r="L83" s="12"/>
      <x:c r="M83" s="10" t="str">
        <x:f>IF(OR(H83="",I83="",J83="",K83="",L83=""),"OPEN",IF(AND(INDEX('Pair Matrix'!$L$6:$L$11,MATCH(B83,'Pair Matrix'!$A$6:$A$11,0))="PAIR-READY",H83="PASS",I83="PASS",J83&lt;='Assumptions'!$B$40,K83="ACCEPTED",L83="ACCEPTED"),"PASS","VALID-ADVERSE"))</x:f>
        <x:v>OPEN</x:v>
      </x:c>
    </x:row>
    <x:row r="84">
      <x:c r="A84" s="10" t="str">
        <x:v>PT-077</x:v>
      </x:c>
      <x:c r="B84" s="10" t="str">
        <x:v>PAIR-04</x:v>
      </x:c>
      <x:c r="C84" s="10" t="str">
        <x:v>AR-P</x:v>
      </x:c>
      <x:c r="D84" s="10" t="str">
        <x:v>AR-R</x:v>
      </x:c>
      <x:c r="E84" s="10" t="str">
        <x:v>BL-A</x:v>
      </x:c>
      <x:c r="F84" s="10" t="str">
        <x:v>C-2</x:v>
      </x:c>
      <x:c r="G84" s="10" t="str">
        <x:v>PT-1 nominal cohabitation</x:v>
      </x:c>
      <x:c r="H84" s="12"/>
      <x:c r="I84" s="12"/>
      <x:c r="J84" s="12"/>
      <x:c r="K84" s="12"/>
      <x:c r="L84" s="12"/>
      <x:c r="M84" s="10" t="str">
        <x:f>IF(OR(H84="",I84="",J84="",K84="",L84=""),"OPEN",IF(AND(INDEX('Pair Matrix'!$L$6:$L$11,MATCH(B84,'Pair Matrix'!$A$6:$A$11,0))="PAIR-READY",H84="PASS",I84="PASS",J84&lt;='Assumptions'!$B$40,K84="ACCEPTED",L84="ACCEPTED"),"PASS","VALID-ADVERSE"))</x:f>
        <x:v>OPEN</x:v>
      </x:c>
    </x:row>
    <x:row r="85">
      <x:c r="A85" s="10" t="str">
        <x:v>PT-078</x:v>
      </x:c>
      <x:c r="B85" s="10" t="str">
        <x:v>PAIR-04</x:v>
      </x:c>
      <x:c r="C85" s="10" t="str">
        <x:v>AR-P</x:v>
      </x:c>
      <x:c r="D85" s="10" t="str">
        <x:v>AR-R</x:v>
      </x:c>
      <x:c r="E85" s="10" t="str">
        <x:v>BL-A</x:v>
      </x:c>
      <x:c r="F85" s="10" t="str">
        <x:v>C-2</x:v>
      </x:c>
      <x:c r="G85" s="10" t="str">
        <x:v>PT-2 mutual decoy</x:v>
      </x:c>
      <x:c r="H85" s="12"/>
      <x:c r="I85" s="12"/>
      <x:c r="J85" s="12"/>
      <x:c r="K85" s="12"/>
      <x:c r="L85" s="12"/>
      <x:c r="M85" s="10" t="str">
        <x:f>IF(OR(H85="",I85="",J85="",K85="",L85=""),"OPEN",IF(AND(INDEX('Pair Matrix'!$L$6:$L$11,MATCH(B85,'Pair Matrix'!$A$6:$A$11,0))="PAIR-READY",H85="PASS",I85="PASS",J85&lt;='Assumptions'!$B$40,K85="ACCEPTED",L85="ACCEPTED"),"PASS","VALID-ADVERSE"))</x:f>
        <x:v>OPEN</x:v>
      </x:c>
    </x:row>
    <x:row r="86">
      <x:c r="A86" s="10" t="str">
        <x:v>PT-079</x:v>
      </x:c>
      <x:c r="B86" s="10" t="str">
        <x:v>PAIR-04</x:v>
      </x:c>
      <x:c r="C86" s="10" t="str">
        <x:v>AR-P</x:v>
      </x:c>
      <x:c r="D86" s="10" t="str">
        <x:v>AR-R</x:v>
      </x:c>
      <x:c r="E86" s="10" t="str">
        <x:v>BL-A</x:v>
      </x:c>
      <x:c r="F86" s="10" t="str">
        <x:v>C-2</x:v>
      </x:c>
      <x:c r="G86" s="10" t="str">
        <x:v>PT-3 denied path split</x:v>
      </x:c>
      <x:c r="H86" s="12"/>
      <x:c r="I86" s="12"/>
      <x:c r="J86" s="12"/>
      <x:c r="K86" s="12"/>
      <x:c r="L86" s="12"/>
      <x:c r="M86" s="10" t="str">
        <x:f>IF(OR(H86="",I86="",J86="",K86="",L86=""),"OPEN",IF(AND(INDEX('Pair Matrix'!$L$6:$L$11,MATCH(B86,'Pair Matrix'!$A$6:$A$11,0))="PAIR-READY",H86="PASS",I86="PASS",J86&lt;='Assumptions'!$B$40,K86="ACCEPTED",L86="ACCEPTED"),"PASS","VALID-ADVERSE"))</x:f>
        <x:v>OPEN</x:v>
      </x:c>
    </x:row>
    <x:row r="87">
      <x:c r="A87" s="10" t="str">
        <x:v>PT-080</x:v>
      </x:c>
      <x:c r="B87" s="10" t="str">
        <x:v>PAIR-04</x:v>
      </x:c>
      <x:c r="C87" s="10" t="str">
        <x:v>AR-P</x:v>
      </x:c>
      <x:c r="D87" s="10" t="str">
        <x:v>AR-R</x:v>
      </x:c>
      <x:c r="E87" s="10" t="str">
        <x:v>BL-A</x:v>
      </x:c>
      <x:c r="F87" s="10" t="str">
        <x:v>C-2</x:v>
      </x:c>
      <x:c r="G87" s="10" t="str">
        <x:v>PT-4 carryover and replay</x:v>
      </x:c>
      <x:c r="H87" s="12"/>
      <x:c r="I87" s="12"/>
      <x:c r="J87" s="12"/>
      <x:c r="K87" s="12"/>
      <x:c r="L87" s="12"/>
      <x:c r="M87" s="10" t="str">
        <x:f>IF(OR(H87="",I87="",J87="",K87="",L87=""),"OPEN",IF(AND(INDEX('Pair Matrix'!$L$6:$L$11,MATCH(B87,'Pair Matrix'!$A$6:$A$11,0))="PAIR-READY",H87="PASS",I87="PASS",J87&lt;='Assumptions'!$B$40,K87="ACCEPTED",L87="ACCEPTED"),"PASS","VALID-ADVERSE"))</x:f>
        <x:v>OPEN</x:v>
      </x:c>
    </x:row>
    <x:row r="88">
      <x:c r="A88" s="10" t="str">
        <x:v>PT-081</x:v>
      </x:c>
      <x:c r="B88" s="10" t="str">
        <x:v>PAIR-04</x:v>
      </x:c>
      <x:c r="C88" s="10" t="str">
        <x:v>AR-P</x:v>
      </x:c>
      <x:c r="D88" s="10" t="str">
        <x:v>AR-R</x:v>
      </x:c>
      <x:c r="E88" s="10" t="str">
        <x:v>BL-A</x:v>
      </x:c>
      <x:c r="F88" s="10" t="str">
        <x:v>C-3</x:v>
      </x:c>
      <x:c r="G88" s="10" t="str">
        <x:v>PT-1 nominal cohabitation</x:v>
      </x:c>
      <x:c r="H88" s="12"/>
      <x:c r="I88" s="12"/>
      <x:c r="J88" s="12"/>
      <x:c r="K88" s="12"/>
      <x:c r="L88" s="12"/>
      <x:c r="M88" s="10" t="str">
        <x:f>IF(OR(H88="",I88="",J88="",K88="",L88=""),"OPEN",IF(AND(INDEX('Pair Matrix'!$L$6:$L$11,MATCH(B88,'Pair Matrix'!$A$6:$A$11,0))="PAIR-READY",H88="PASS",I88="PASS",J88&lt;='Assumptions'!$B$40,K88="ACCEPTED",L88="ACCEPTED"),"PASS","VALID-ADVERSE"))</x:f>
        <x:v>OPEN</x:v>
      </x:c>
    </x:row>
    <x:row r="89">
      <x:c r="A89" s="10" t="str">
        <x:v>PT-082</x:v>
      </x:c>
      <x:c r="B89" s="10" t="str">
        <x:v>PAIR-04</x:v>
      </x:c>
      <x:c r="C89" s="10" t="str">
        <x:v>AR-P</x:v>
      </x:c>
      <x:c r="D89" s="10" t="str">
        <x:v>AR-R</x:v>
      </x:c>
      <x:c r="E89" s="10" t="str">
        <x:v>BL-A</x:v>
      </x:c>
      <x:c r="F89" s="10" t="str">
        <x:v>C-3</x:v>
      </x:c>
      <x:c r="G89" s="10" t="str">
        <x:v>PT-2 mutual decoy</x:v>
      </x:c>
      <x:c r="H89" s="12"/>
      <x:c r="I89" s="12"/>
      <x:c r="J89" s="12"/>
      <x:c r="K89" s="12"/>
      <x:c r="L89" s="12"/>
      <x:c r="M89" s="10" t="str">
        <x:f>IF(OR(H89="",I89="",J89="",K89="",L89=""),"OPEN",IF(AND(INDEX('Pair Matrix'!$L$6:$L$11,MATCH(B89,'Pair Matrix'!$A$6:$A$11,0))="PAIR-READY",H89="PASS",I89="PASS",J89&lt;='Assumptions'!$B$40,K89="ACCEPTED",L89="ACCEPTED"),"PASS","VALID-ADVERSE"))</x:f>
        <x:v>OPEN</x:v>
      </x:c>
    </x:row>
    <x:row r="90">
      <x:c r="A90" s="10" t="str">
        <x:v>PT-083</x:v>
      </x:c>
      <x:c r="B90" s="10" t="str">
        <x:v>PAIR-04</x:v>
      </x:c>
      <x:c r="C90" s="10" t="str">
        <x:v>AR-P</x:v>
      </x:c>
      <x:c r="D90" s="10" t="str">
        <x:v>AR-R</x:v>
      </x:c>
      <x:c r="E90" s="10" t="str">
        <x:v>BL-A</x:v>
      </x:c>
      <x:c r="F90" s="10" t="str">
        <x:v>C-3</x:v>
      </x:c>
      <x:c r="G90" s="10" t="str">
        <x:v>PT-3 denied path split</x:v>
      </x:c>
      <x:c r="H90" s="12"/>
      <x:c r="I90" s="12"/>
      <x:c r="J90" s="12"/>
      <x:c r="K90" s="12"/>
      <x:c r="L90" s="12"/>
      <x:c r="M90" s="10" t="str">
        <x:f>IF(OR(H90="",I90="",J90="",K90="",L90=""),"OPEN",IF(AND(INDEX('Pair Matrix'!$L$6:$L$11,MATCH(B90,'Pair Matrix'!$A$6:$A$11,0))="PAIR-READY",H90="PASS",I90="PASS",J90&lt;='Assumptions'!$B$40,K90="ACCEPTED",L90="ACCEPTED"),"PASS","VALID-ADVERSE"))</x:f>
        <x:v>OPEN</x:v>
      </x:c>
    </x:row>
    <x:row r="91">
      <x:c r="A91" s="10" t="str">
        <x:v>PT-084</x:v>
      </x:c>
      <x:c r="B91" s="10" t="str">
        <x:v>PAIR-04</x:v>
      </x:c>
      <x:c r="C91" s="10" t="str">
        <x:v>AR-P</x:v>
      </x:c>
      <x:c r="D91" s="10" t="str">
        <x:v>AR-R</x:v>
      </x:c>
      <x:c r="E91" s="10" t="str">
        <x:v>BL-A</x:v>
      </x:c>
      <x:c r="F91" s="10" t="str">
        <x:v>C-3</x:v>
      </x:c>
      <x:c r="G91" s="10" t="str">
        <x:v>PT-4 carryover and replay</x:v>
      </x:c>
      <x:c r="H91" s="12"/>
      <x:c r="I91" s="12"/>
      <x:c r="J91" s="12"/>
      <x:c r="K91" s="12"/>
      <x:c r="L91" s="12"/>
      <x:c r="M91" s="10" t="str">
        <x:f>IF(OR(H91="",I91="",J91="",K91="",L91=""),"OPEN",IF(AND(INDEX('Pair Matrix'!$L$6:$L$11,MATCH(B91,'Pair Matrix'!$A$6:$A$11,0))="PAIR-READY",H91="PASS",I91="PASS",J91&lt;='Assumptions'!$B$40,K91="ACCEPTED",L91="ACCEPTED"),"PASS","VALID-ADVERSE"))</x:f>
        <x:v>OPEN</x:v>
      </x:c>
    </x:row>
    <x:row r="92">
      <x:c r="A92" s="10" t="str">
        <x:v>PT-085</x:v>
      </x:c>
      <x:c r="B92" s="10" t="str">
        <x:v>PAIR-04</x:v>
      </x:c>
      <x:c r="C92" s="10" t="str">
        <x:v>AR-P</x:v>
      </x:c>
      <x:c r="D92" s="10" t="str">
        <x:v>AR-R</x:v>
      </x:c>
      <x:c r="E92" s="10" t="str">
        <x:v>BL-B</x:v>
      </x:c>
      <x:c r="F92" s="10" t="str">
        <x:v>C-1</x:v>
      </x:c>
      <x:c r="G92" s="10" t="str">
        <x:v>PT-1 nominal cohabitation</x:v>
      </x:c>
      <x:c r="H92" s="12"/>
      <x:c r="I92" s="12"/>
      <x:c r="J92" s="12"/>
      <x:c r="K92" s="12"/>
      <x:c r="L92" s="12"/>
      <x:c r="M92" s="10" t="str">
        <x:f>IF(OR(H92="",I92="",J92="",K92="",L92=""),"OPEN",IF(AND(INDEX('Pair Matrix'!$L$6:$L$11,MATCH(B92,'Pair Matrix'!$A$6:$A$11,0))="PAIR-READY",H92="PASS",I92="PASS",J92&lt;='Assumptions'!$B$40,K92="ACCEPTED",L92="ACCEPTED"),"PASS","VALID-ADVERSE"))</x:f>
        <x:v>OPEN</x:v>
      </x:c>
    </x:row>
    <x:row r="93">
      <x:c r="A93" s="10" t="str">
        <x:v>PT-086</x:v>
      </x:c>
      <x:c r="B93" s="10" t="str">
        <x:v>PAIR-04</x:v>
      </x:c>
      <x:c r="C93" s="10" t="str">
        <x:v>AR-P</x:v>
      </x:c>
      <x:c r="D93" s="10" t="str">
        <x:v>AR-R</x:v>
      </x:c>
      <x:c r="E93" s="10" t="str">
        <x:v>BL-B</x:v>
      </x:c>
      <x:c r="F93" s="10" t="str">
        <x:v>C-1</x:v>
      </x:c>
      <x:c r="G93" s="10" t="str">
        <x:v>PT-2 mutual decoy</x:v>
      </x:c>
      <x:c r="H93" s="12"/>
      <x:c r="I93" s="12"/>
      <x:c r="J93" s="12"/>
      <x:c r="K93" s="12"/>
      <x:c r="L93" s="12"/>
      <x:c r="M93" s="10" t="str">
        <x:f>IF(OR(H93="",I93="",J93="",K93="",L93=""),"OPEN",IF(AND(INDEX('Pair Matrix'!$L$6:$L$11,MATCH(B93,'Pair Matrix'!$A$6:$A$11,0))="PAIR-READY",H93="PASS",I93="PASS",J93&lt;='Assumptions'!$B$40,K93="ACCEPTED",L93="ACCEPTED"),"PASS","VALID-ADVERSE"))</x:f>
        <x:v>OPEN</x:v>
      </x:c>
    </x:row>
    <x:row r="94">
      <x:c r="A94" s="10" t="str">
        <x:v>PT-087</x:v>
      </x:c>
      <x:c r="B94" s="10" t="str">
        <x:v>PAIR-04</x:v>
      </x:c>
      <x:c r="C94" s="10" t="str">
        <x:v>AR-P</x:v>
      </x:c>
      <x:c r="D94" s="10" t="str">
        <x:v>AR-R</x:v>
      </x:c>
      <x:c r="E94" s="10" t="str">
        <x:v>BL-B</x:v>
      </x:c>
      <x:c r="F94" s="10" t="str">
        <x:v>C-1</x:v>
      </x:c>
      <x:c r="G94" s="10" t="str">
        <x:v>PT-3 denied path split</x:v>
      </x:c>
      <x:c r="H94" s="12"/>
      <x:c r="I94" s="12"/>
      <x:c r="J94" s="12"/>
      <x:c r="K94" s="12"/>
      <x:c r="L94" s="12"/>
      <x:c r="M94" s="10" t="str">
        <x:f>IF(OR(H94="",I94="",J94="",K94="",L94=""),"OPEN",IF(AND(INDEX('Pair Matrix'!$L$6:$L$11,MATCH(B94,'Pair Matrix'!$A$6:$A$11,0))="PAIR-READY",H94="PASS",I94="PASS",J94&lt;='Assumptions'!$B$40,K94="ACCEPTED",L94="ACCEPTED"),"PASS","VALID-ADVERSE"))</x:f>
        <x:v>OPEN</x:v>
      </x:c>
    </x:row>
    <x:row r="95">
      <x:c r="A95" s="10" t="str">
        <x:v>PT-088</x:v>
      </x:c>
      <x:c r="B95" s="10" t="str">
        <x:v>PAIR-04</x:v>
      </x:c>
      <x:c r="C95" s="10" t="str">
        <x:v>AR-P</x:v>
      </x:c>
      <x:c r="D95" s="10" t="str">
        <x:v>AR-R</x:v>
      </x:c>
      <x:c r="E95" s="10" t="str">
        <x:v>BL-B</x:v>
      </x:c>
      <x:c r="F95" s="10" t="str">
        <x:v>C-1</x:v>
      </x:c>
      <x:c r="G95" s="10" t="str">
        <x:v>PT-4 carryover and replay</x:v>
      </x:c>
      <x:c r="H95" s="12"/>
      <x:c r="I95" s="12"/>
      <x:c r="J95" s="12"/>
      <x:c r="K95" s="12"/>
      <x:c r="L95" s="12"/>
      <x:c r="M95" s="10" t="str">
        <x:f>IF(OR(H95="",I95="",J95="",K95="",L95=""),"OPEN",IF(AND(INDEX('Pair Matrix'!$L$6:$L$11,MATCH(B95,'Pair Matrix'!$A$6:$A$11,0))="PAIR-READY",H95="PASS",I95="PASS",J95&lt;='Assumptions'!$B$40,K95="ACCEPTED",L95="ACCEPTED"),"PASS","VALID-ADVERSE"))</x:f>
        <x:v>OPEN</x:v>
      </x:c>
    </x:row>
    <x:row r="96">
      <x:c r="A96" s="10" t="str">
        <x:v>PT-089</x:v>
      </x:c>
      <x:c r="B96" s="10" t="str">
        <x:v>PAIR-04</x:v>
      </x:c>
      <x:c r="C96" s="10" t="str">
        <x:v>AR-P</x:v>
      </x:c>
      <x:c r="D96" s="10" t="str">
        <x:v>AR-R</x:v>
      </x:c>
      <x:c r="E96" s="10" t="str">
        <x:v>BL-B</x:v>
      </x:c>
      <x:c r="F96" s="10" t="str">
        <x:v>C-2</x:v>
      </x:c>
      <x:c r="G96" s="10" t="str">
        <x:v>PT-1 nominal cohabitation</x:v>
      </x:c>
      <x:c r="H96" s="12"/>
      <x:c r="I96" s="12"/>
      <x:c r="J96" s="12"/>
      <x:c r="K96" s="12"/>
      <x:c r="L96" s="12"/>
      <x:c r="M96" s="10" t="str">
        <x:f>IF(OR(H96="",I96="",J96="",K96="",L96=""),"OPEN",IF(AND(INDEX('Pair Matrix'!$L$6:$L$11,MATCH(B96,'Pair Matrix'!$A$6:$A$11,0))="PAIR-READY",H96="PASS",I96="PASS",J96&lt;='Assumptions'!$B$40,K96="ACCEPTED",L96="ACCEPTED"),"PASS","VALID-ADVERSE"))</x:f>
        <x:v>OPEN</x:v>
      </x:c>
    </x:row>
    <x:row r="97">
      <x:c r="A97" s="10" t="str">
        <x:v>PT-090</x:v>
      </x:c>
      <x:c r="B97" s="10" t="str">
        <x:v>PAIR-04</x:v>
      </x:c>
      <x:c r="C97" s="10" t="str">
        <x:v>AR-P</x:v>
      </x:c>
      <x:c r="D97" s="10" t="str">
        <x:v>AR-R</x:v>
      </x:c>
      <x:c r="E97" s="10" t="str">
        <x:v>BL-B</x:v>
      </x:c>
      <x:c r="F97" s="10" t="str">
        <x:v>C-2</x:v>
      </x:c>
      <x:c r="G97" s="10" t="str">
        <x:v>PT-2 mutual decoy</x:v>
      </x:c>
      <x:c r="H97" s="12"/>
      <x:c r="I97" s="12"/>
      <x:c r="J97" s="12"/>
      <x:c r="K97" s="12"/>
      <x:c r="L97" s="12"/>
      <x:c r="M97" s="10" t="str">
        <x:f>IF(OR(H97="",I97="",J97="",K97="",L97=""),"OPEN",IF(AND(INDEX('Pair Matrix'!$L$6:$L$11,MATCH(B97,'Pair Matrix'!$A$6:$A$11,0))="PAIR-READY",H97="PASS",I97="PASS",J97&lt;='Assumptions'!$B$40,K97="ACCEPTED",L97="ACCEPTED"),"PASS","VALID-ADVERSE"))</x:f>
        <x:v>OPEN</x:v>
      </x:c>
    </x:row>
    <x:row r="98">
      <x:c r="A98" s="10" t="str">
        <x:v>PT-091</x:v>
      </x:c>
      <x:c r="B98" s="10" t="str">
        <x:v>PAIR-04</x:v>
      </x:c>
      <x:c r="C98" s="10" t="str">
        <x:v>AR-P</x:v>
      </x:c>
      <x:c r="D98" s="10" t="str">
        <x:v>AR-R</x:v>
      </x:c>
      <x:c r="E98" s="10" t="str">
        <x:v>BL-B</x:v>
      </x:c>
      <x:c r="F98" s="10" t="str">
        <x:v>C-2</x:v>
      </x:c>
      <x:c r="G98" s="10" t="str">
        <x:v>PT-3 denied path split</x:v>
      </x:c>
      <x:c r="H98" s="12"/>
      <x:c r="I98" s="12"/>
      <x:c r="J98" s="12"/>
      <x:c r="K98" s="12"/>
      <x:c r="L98" s="12"/>
      <x:c r="M98" s="10" t="str">
        <x:f>IF(OR(H98="",I98="",J98="",K98="",L98=""),"OPEN",IF(AND(INDEX('Pair Matrix'!$L$6:$L$11,MATCH(B98,'Pair Matrix'!$A$6:$A$11,0))="PAIR-READY",H98="PASS",I98="PASS",J98&lt;='Assumptions'!$B$40,K98="ACCEPTED",L98="ACCEPTED"),"PASS","VALID-ADVERSE"))</x:f>
        <x:v>OPEN</x:v>
      </x:c>
    </x:row>
    <x:row r="99">
      <x:c r="A99" s="10" t="str">
        <x:v>PT-092</x:v>
      </x:c>
      <x:c r="B99" s="10" t="str">
        <x:v>PAIR-04</x:v>
      </x:c>
      <x:c r="C99" s="10" t="str">
        <x:v>AR-P</x:v>
      </x:c>
      <x:c r="D99" s="10" t="str">
        <x:v>AR-R</x:v>
      </x:c>
      <x:c r="E99" s="10" t="str">
        <x:v>BL-B</x:v>
      </x:c>
      <x:c r="F99" s="10" t="str">
        <x:v>C-2</x:v>
      </x:c>
      <x:c r="G99" s="10" t="str">
        <x:v>PT-4 carryover and replay</x:v>
      </x:c>
      <x:c r="H99" s="12"/>
      <x:c r="I99" s="12"/>
      <x:c r="J99" s="12"/>
      <x:c r="K99" s="12"/>
      <x:c r="L99" s="12"/>
      <x:c r="M99" s="10" t="str">
        <x:f>IF(OR(H99="",I99="",J99="",K99="",L99=""),"OPEN",IF(AND(INDEX('Pair Matrix'!$L$6:$L$11,MATCH(B99,'Pair Matrix'!$A$6:$A$11,0))="PAIR-READY",H99="PASS",I99="PASS",J99&lt;='Assumptions'!$B$40,K99="ACCEPTED",L99="ACCEPTED"),"PASS","VALID-ADVERSE"))</x:f>
        <x:v>OPEN</x:v>
      </x:c>
    </x:row>
    <x:row r="100">
      <x:c r="A100" s="10" t="str">
        <x:v>PT-093</x:v>
      </x:c>
      <x:c r="B100" s="10" t="str">
        <x:v>PAIR-04</x:v>
      </x:c>
      <x:c r="C100" s="10" t="str">
        <x:v>AR-P</x:v>
      </x:c>
      <x:c r="D100" s="10" t="str">
        <x:v>AR-R</x:v>
      </x:c>
      <x:c r="E100" s="10" t="str">
        <x:v>BL-B</x:v>
      </x:c>
      <x:c r="F100" s="10" t="str">
        <x:v>C-3</x:v>
      </x:c>
      <x:c r="G100" s="10" t="str">
        <x:v>PT-1 nominal cohabitation</x:v>
      </x:c>
      <x:c r="H100" s="12"/>
      <x:c r="I100" s="12"/>
      <x:c r="J100" s="12"/>
      <x:c r="K100" s="12"/>
      <x:c r="L100" s="12"/>
      <x:c r="M100" s="10" t="str">
        <x:f>IF(OR(H100="",I100="",J100="",K100="",L100=""),"OPEN",IF(AND(INDEX('Pair Matrix'!$L$6:$L$11,MATCH(B100,'Pair Matrix'!$A$6:$A$11,0))="PAIR-READY",H100="PASS",I100="PASS",J100&lt;='Assumptions'!$B$40,K100="ACCEPTED",L100="ACCEPTED"),"PASS","VALID-ADVERSE"))</x:f>
        <x:v>OPEN</x:v>
      </x:c>
    </x:row>
    <x:row r="101">
      <x:c r="A101" s="10" t="str">
        <x:v>PT-094</x:v>
      </x:c>
      <x:c r="B101" s="10" t="str">
        <x:v>PAIR-04</x:v>
      </x:c>
      <x:c r="C101" s="10" t="str">
        <x:v>AR-P</x:v>
      </x:c>
      <x:c r="D101" s="10" t="str">
        <x:v>AR-R</x:v>
      </x:c>
      <x:c r="E101" s="10" t="str">
        <x:v>BL-B</x:v>
      </x:c>
      <x:c r="F101" s="10" t="str">
        <x:v>C-3</x:v>
      </x:c>
      <x:c r="G101" s="10" t="str">
        <x:v>PT-2 mutual decoy</x:v>
      </x:c>
      <x:c r="H101" s="12"/>
      <x:c r="I101" s="12"/>
      <x:c r="J101" s="12"/>
      <x:c r="K101" s="12"/>
      <x:c r="L101" s="12"/>
      <x:c r="M101" s="10" t="str">
        <x:f>IF(OR(H101="",I101="",J101="",K101="",L101=""),"OPEN",IF(AND(INDEX('Pair Matrix'!$L$6:$L$11,MATCH(B101,'Pair Matrix'!$A$6:$A$11,0))="PAIR-READY",H101="PASS",I101="PASS",J101&lt;='Assumptions'!$B$40,K101="ACCEPTED",L101="ACCEPTED"),"PASS","VALID-ADVERSE"))</x:f>
        <x:v>OPEN</x:v>
      </x:c>
    </x:row>
    <x:row r="102">
      <x:c r="A102" s="10" t="str">
        <x:v>PT-095</x:v>
      </x:c>
      <x:c r="B102" s="10" t="str">
        <x:v>PAIR-04</x:v>
      </x:c>
      <x:c r="C102" s="10" t="str">
        <x:v>AR-P</x:v>
      </x:c>
      <x:c r="D102" s="10" t="str">
        <x:v>AR-R</x:v>
      </x:c>
      <x:c r="E102" s="10" t="str">
        <x:v>BL-B</x:v>
      </x:c>
      <x:c r="F102" s="10" t="str">
        <x:v>C-3</x:v>
      </x:c>
      <x:c r="G102" s="10" t="str">
        <x:v>PT-3 denied path split</x:v>
      </x:c>
      <x:c r="H102" s="12"/>
      <x:c r="I102" s="12"/>
      <x:c r="J102" s="12"/>
      <x:c r="K102" s="12"/>
      <x:c r="L102" s="12"/>
      <x:c r="M102" s="10" t="str">
        <x:f>IF(OR(H102="",I102="",J102="",K102="",L102=""),"OPEN",IF(AND(INDEX('Pair Matrix'!$L$6:$L$11,MATCH(B102,'Pair Matrix'!$A$6:$A$11,0))="PAIR-READY",H102="PASS",I102="PASS",J102&lt;='Assumptions'!$B$40,K102="ACCEPTED",L102="ACCEPTED"),"PASS","VALID-ADVERSE"))</x:f>
        <x:v>OPEN</x:v>
      </x:c>
    </x:row>
    <x:row r="103">
      <x:c r="A103" s="10" t="str">
        <x:v>PT-096</x:v>
      </x:c>
      <x:c r="B103" s="10" t="str">
        <x:v>PAIR-04</x:v>
      </x:c>
      <x:c r="C103" s="10" t="str">
        <x:v>AR-P</x:v>
      </x:c>
      <x:c r="D103" s="10" t="str">
        <x:v>AR-R</x:v>
      </x:c>
      <x:c r="E103" s="10" t="str">
        <x:v>BL-B</x:v>
      </x:c>
      <x:c r="F103" s="10" t="str">
        <x:v>C-3</x:v>
      </x:c>
      <x:c r="G103" s="10" t="str">
        <x:v>PT-4 carryover and replay</x:v>
      </x:c>
      <x:c r="H103" s="12"/>
      <x:c r="I103" s="12"/>
      <x:c r="J103" s="12"/>
      <x:c r="K103" s="12"/>
      <x:c r="L103" s="12"/>
      <x:c r="M103" s="10" t="str">
        <x:f>IF(OR(H103="",I103="",J103="",K103="",L103=""),"OPEN",IF(AND(INDEX('Pair Matrix'!$L$6:$L$11,MATCH(B103,'Pair Matrix'!$A$6:$A$11,0))="PAIR-READY",H103="PASS",I103="PASS",J103&lt;='Assumptions'!$B$40,K103="ACCEPTED",L103="ACCEPTED"),"PASS","VALID-ADVERSE"))</x:f>
        <x:v>OPEN</x:v>
      </x:c>
    </x:row>
    <x:row r="104">
      <x:c r="A104" s="10" t="str">
        <x:v>PT-097</x:v>
      </x:c>
      <x:c r="B104" s="10" t="str">
        <x:v>PAIR-05</x:v>
      </x:c>
      <x:c r="C104" s="10" t="str">
        <x:v>AR-P</x:v>
      </x:c>
      <x:c r="D104" s="10" t="str">
        <x:v>AR-O</x:v>
      </x:c>
      <x:c r="E104" s="10" t="str">
        <x:v>BL-A</x:v>
      </x:c>
      <x:c r="F104" s="10" t="str">
        <x:v>C-1</x:v>
      </x:c>
      <x:c r="G104" s="10" t="str">
        <x:v>PT-1 nominal cohabitation</x:v>
      </x:c>
      <x:c r="H104" s="12"/>
      <x:c r="I104" s="12"/>
      <x:c r="J104" s="12"/>
      <x:c r="K104" s="12"/>
      <x:c r="L104" s="12"/>
      <x:c r="M104" s="10" t="str">
        <x:f>IF(OR(H104="",I104="",J104="",K104="",L104=""),"OPEN",IF(AND(INDEX('Pair Matrix'!$L$6:$L$11,MATCH(B104,'Pair Matrix'!$A$6:$A$11,0))="PAIR-READY",H104="PASS",I104="PASS",J104&lt;='Assumptions'!$B$40,K104="ACCEPTED",L104="ACCEPTED"),"PASS","VALID-ADVERSE"))</x:f>
        <x:v>OPEN</x:v>
      </x:c>
    </x:row>
    <x:row r="105">
      <x:c r="A105" s="10" t="str">
        <x:v>PT-098</x:v>
      </x:c>
      <x:c r="B105" s="10" t="str">
        <x:v>PAIR-05</x:v>
      </x:c>
      <x:c r="C105" s="10" t="str">
        <x:v>AR-P</x:v>
      </x:c>
      <x:c r="D105" s="10" t="str">
        <x:v>AR-O</x:v>
      </x:c>
      <x:c r="E105" s="10" t="str">
        <x:v>BL-A</x:v>
      </x:c>
      <x:c r="F105" s="10" t="str">
        <x:v>C-1</x:v>
      </x:c>
      <x:c r="G105" s="10" t="str">
        <x:v>PT-2 mutual decoy</x:v>
      </x:c>
      <x:c r="H105" s="12"/>
      <x:c r="I105" s="12"/>
      <x:c r="J105" s="12"/>
      <x:c r="K105" s="12"/>
      <x:c r="L105" s="12"/>
      <x:c r="M105" s="10" t="str">
        <x:f>IF(OR(H105="",I105="",J105="",K105="",L105=""),"OPEN",IF(AND(INDEX('Pair Matrix'!$L$6:$L$11,MATCH(B105,'Pair Matrix'!$A$6:$A$11,0))="PAIR-READY",H105="PASS",I105="PASS",J105&lt;='Assumptions'!$B$40,K105="ACCEPTED",L105="ACCEPTED"),"PASS","VALID-ADVERSE"))</x:f>
        <x:v>OPEN</x:v>
      </x:c>
    </x:row>
    <x:row r="106">
      <x:c r="A106" s="10" t="str">
        <x:v>PT-099</x:v>
      </x:c>
      <x:c r="B106" s="10" t="str">
        <x:v>PAIR-05</x:v>
      </x:c>
      <x:c r="C106" s="10" t="str">
        <x:v>AR-P</x:v>
      </x:c>
      <x:c r="D106" s="10" t="str">
        <x:v>AR-O</x:v>
      </x:c>
      <x:c r="E106" s="10" t="str">
        <x:v>BL-A</x:v>
      </x:c>
      <x:c r="F106" s="10" t="str">
        <x:v>C-1</x:v>
      </x:c>
      <x:c r="G106" s="10" t="str">
        <x:v>PT-3 denied path split</x:v>
      </x:c>
      <x:c r="H106" s="12"/>
      <x:c r="I106" s="12"/>
      <x:c r="J106" s="12"/>
      <x:c r="K106" s="12"/>
      <x:c r="L106" s="12"/>
      <x:c r="M106" s="10" t="str">
        <x:f>IF(OR(H106="",I106="",J106="",K106="",L106=""),"OPEN",IF(AND(INDEX('Pair Matrix'!$L$6:$L$11,MATCH(B106,'Pair Matrix'!$A$6:$A$11,0))="PAIR-READY",H106="PASS",I106="PASS",J106&lt;='Assumptions'!$B$40,K106="ACCEPTED",L106="ACCEPTED"),"PASS","VALID-ADVERSE"))</x:f>
        <x:v>OPEN</x:v>
      </x:c>
    </x:row>
    <x:row r="107">
      <x:c r="A107" s="10" t="str">
        <x:v>PT-100</x:v>
      </x:c>
      <x:c r="B107" s="10" t="str">
        <x:v>PAIR-05</x:v>
      </x:c>
      <x:c r="C107" s="10" t="str">
        <x:v>AR-P</x:v>
      </x:c>
      <x:c r="D107" s="10" t="str">
        <x:v>AR-O</x:v>
      </x:c>
      <x:c r="E107" s="10" t="str">
        <x:v>BL-A</x:v>
      </x:c>
      <x:c r="F107" s="10" t="str">
        <x:v>C-1</x:v>
      </x:c>
      <x:c r="G107" s="10" t="str">
        <x:v>PT-4 carryover and replay</x:v>
      </x:c>
      <x:c r="H107" s="12"/>
      <x:c r="I107" s="12"/>
      <x:c r="J107" s="12"/>
      <x:c r="K107" s="12"/>
      <x:c r="L107" s="12"/>
      <x:c r="M107" s="10" t="str">
        <x:f>IF(OR(H107="",I107="",J107="",K107="",L107=""),"OPEN",IF(AND(INDEX('Pair Matrix'!$L$6:$L$11,MATCH(B107,'Pair Matrix'!$A$6:$A$11,0))="PAIR-READY",H107="PASS",I107="PASS",J107&lt;='Assumptions'!$B$40,K107="ACCEPTED",L107="ACCEPTED"),"PASS","VALID-ADVERSE"))</x:f>
        <x:v>OPEN</x:v>
      </x:c>
    </x:row>
    <x:row r="108">
      <x:c r="A108" s="10" t="str">
        <x:v>PT-101</x:v>
      </x:c>
      <x:c r="B108" s="10" t="str">
        <x:v>PAIR-05</x:v>
      </x:c>
      <x:c r="C108" s="10" t="str">
        <x:v>AR-P</x:v>
      </x:c>
      <x:c r="D108" s="10" t="str">
        <x:v>AR-O</x:v>
      </x:c>
      <x:c r="E108" s="10" t="str">
        <x:v>BL-A</x:v>
      </x:c>
      <x:c r="F108" s="10" t="str">
        <x:v>C-2</x:v>
      </x:c>
      <x:c r="G108" s="10" t="str">
        <x:v>PT-1 nominal cohabitation</x:v>
      </x:c>
      <x:c r="H108" s="12"/>
      <x:c r="I108" s="12"/>
      <x:c r="J108" s="12"/>
      <x:c r="K108" s="12"/>
      <x:c r="L108" s="12"/>
      <x:c r="M108" s="10" t="str">
        <x:f>IF(OR(H108="",I108="",J108="",K108="",L108=""),"OPEN",IF(AND(INDEX('Pair Matrix'!$L$6:$L$11,MATCH(B108,'Pair Matrix'!$A$6:$A$11,0))="PAIR-READY",H108="PASS",I108="PASS",J108&lt;='Assumptions'!$B$40,K108="ACCEPTED",L108="ACCEPTED"),"PASS","VALID-ADVERSE"))</x:f>
        <x:v>OPEN</x:v>
      </x:c>
    </x:row>
    <x:row r="109">
      <x:c r="A109" s="10" t="str">
        <x:v>PT-102</x:v>
      </x:c>
      <x:c r="B109" s="10" t="str">
        <x:v>PAIR-05</x:v>
      </x:c>
      <x:c r="C109" s="10" t="str">
        <x:v>AR-P</x:v>
      </x:c>
      <x:c r="D109" s="10" t="str">
        <x:v>AR-O</x:v>
      </x:c>
      <x:c r="E109" s="10" t="str">
        <x:v>BL-A</x:v>
      </x:c>
      <x:c r="F109" s="10" t="str">
        <x:v>C-2</x:v>
      </x:c>
      <x:c r="G109" s="10" t="str">
        <x:v>PT-2 mutual decoy</x:v>
      </x:c>
      <x:c r="H109" s="12"/>
      <x:c r="I109" s="12"/>
      <x:c r="J109" s="12"/>
      <x:c r="K109" s="12"/>
      <x:c r="L109" s="12"/>
      <x:c r="M109" s="10" t="str">
        <x:f>IF(OR(H109="",I109="",J109="",K109="",L109=""),"OPEN",IF(AND(INDEX('Pair Matrix'!$L$6:$L$11,MATCH(B109,'Pair Matrix'!$A$6:$A$11,0))="PAIR-READY",H109="PASS",I109="PASS",J109&lt;='Assumptions'!$B$40,K109="ACCEPTED",L109="ACCEPTED"),"PASS","VALID-ADVERSE"))</x:f>
        <x:v>OPEN</x:v>
      </x:c>
    </x:row>
    <x:row r="110">
      <x:c r="A110" s="10" t="str">
        <x:v>PT-103</x:v>
      </x:c>
      <x:c r="B110" s="10" t="str">
        <x:v>PAIR-05</x:v>
      </x:c>
      <x:c r="C110" s="10" t="str">
        <x:v>AR-P</x:v>
      </x:c>
      <x:c r="D110" s="10" t="str">
        <x:v>AR-O</x:v>
      </x:c>
      <x:c r="E110" s="10" t="str">
        <x:v>BL-A</x:v>
      </x:c>
      <x:c r="F110" s="10" t="str">
        <x:v>C-2</x:v>
      </x:c>
      <x:c r="G110" s="10" t="str">
        <x:v>PT-3 denied path split</x:v>
      </x:c>
      <x:c r="H110" s="12"/>
      <x:c r="I110" s="12"/>
      <x:c r="J110" s="12"/>
      <x:c r="K110" s="12"/>
      <x:c r="L110" s="12"/>
      <x:c r="M110" s="10" t="str">
        <x:f>IF(OR(H110="",I110="",J110="",K110="",L110=""),"OPEN",IF(AND(INDEX('Pair Matrix'!$L$6:$L$11,MATCH(B110,'Pair Matrix'!$A$6:$A$11,0))="PAIR-READY",H110="PASS",I110="PASS",J110&lt;='Assumptions'!$B$40,K110="ACCEPTED",L110="ACCEPTED"),"PASS","VALID-ADVERSE"))</x:f>
        <x:v>OPEN</x:v>
      </x:c>
    </x:row>
    <x:row r="111">
      <x:c r="A111" s="10" t="str">
        <x:v>PT-104</x:v>
      </x:c>
      <x:c r="B111" s="10" t="str">
        <x:v>PAIR-05</x:v>
      </x:c>
      <x:c r="C111" s="10" t="str">
        <x:v>AR-P</x:v>
      </x:c>
      <x:c r="D111" s="10" t="str">
        <x:v>AR-O</x:v>
      </x:c>
      <x:c r="E111" s="10" t="str">
        <x:v>BL-A</x:v>
      </x:c>
      <x:c r="F111" s="10" t="str">
        <x:v>C-2</x:v>
      </x:c>
      <x:c r="G111" s="10" t="str">
        <x:v>PT-4 carryover and replay</x:v>
      </x:c>
      <x:c r="H111" s="12"/>
      <x:c r="I111" s="12"/>
      <x:c r="J111" s="12"/>
      <x:c r="K111" s="12"/>
      <x:c r="L111" s="12"/>
      <x:c r="M111" s="10" t="str">
        <x:f>IF(OR(H111="",I111="",J111="",K111="",L111=""),"OPEN",IF(AND(INDEX('Pair Matrix'!$L$6:$L$11,MATCH(B111,'Pair Matrix'!$A$6:$A$11,0))="PAIR-READY",H111="PASS",I111="PASS",J111&lt;='Assumptions'!$B$40,K111="ACCEPTED",L111="ACCEPTED"),"PASS","VALID-ADVERSE"))</x:f>
        <x:v>OPEN</x:v>
      </x:c>
    </x:row>
    <x:row r="112">
      <x:c r="A112" s="10" t="str">
        <x:v>PT-105</x:v>
      </x:c>
      <x:c r="B112" s="10" t="str">
        <x:v>PAIR-05</x:v>
      </x:c>
      <x:c r="C112" s="10" t="str">
        <x:v>AR-P</x:v>
      </x:c>
      <x:c r="D112" s="10" t="str">
        <x:v>AR-O</x:v>
      </x:c>
      <x:c r="E112" s="10" t="str">
        <x:v>BL-A</x:v>
      </x:c>
      <x:c r="F112" s="10" t="str">
        <x:v>C-3</x:v>
      </x:c>
      <x:c r="G112" s="10" t="str">
        <x:v>PT-1 nominal cohabitation</x:v>
      </x:c>
      <x:c r="H112" s="12"/>
      <x:c r="I112" s="12"/>
      <x:c r="J112" s="12"/>
      <x:c r="K112" s="12"/>
      <x:c r="L112" s="12"/>
      <x:c r="M112" s="10" t="str">
        <x:f>IF(OR(H112="",I112="",J112="",K112="",L112=""),"OPEN",IF(AND(INDEX('Pair Matrix'!$L$6:$L$11,MATCH(B112,'Pair Matrix'!$A$6:$A$11,0))="PAIR-READY",H112="PASS",I112="PASS",J112&lt;='Assumptions'!$B$40,K112="ACCEPTED",L112="ACCEPTED"),"PASS","VALID-ADVERSE"))</x:f>
        <x:v>OPEN</x:v>
      </x:c>
    </x:row>
    <x:row r="113">
      <x:c r="A113" s="10" t="str">
        <x:v>PT-106</x:v>
      </x:c>
      <x:c r="B113" s="10" t="str">
        <x:v>PAIR-05</x:v>
      </x:c>
      <x:c r="C113" s="10" t="str">
        <x:v>AR-P</x:v>
      </x:c>
      <x:c r="D113" s="10" t="str">
        <x:v>AR-O</x:v>
      </x:c>
      <x:c r="E113" s="10" t="str">
        <x:v>BL-A</x:v>
      </x:c>
      <x:c r="F113" s="10" t="str">
        <x:v>C-3</x:v>
      </x:c>
      <x:c r="G113" s="10" t="str">
        <x:v>PT-2 mutual decoy</x:v>
      </x:c>
      <x:c r="H113" s="12"/>
      <x:c r="I113" s="12"/>
      <x:c r="J113" s="12"/>
      <x:c r="K113" s="12"/>
      <x:c r="L113" s="12"/>
      <x:c r="M113" s="10" t="str">
        <x:f>IF(OR(H113="",I113="",J113="",K113="",L113=""),"OPEN",IF(AND(INDEX('Pair Matrix'!$L$6:$L$11,MATCH(B113,'Pair Matrix'!$A$6:$A$11,0))="PAIR-READY",H113="PASS",I113="PASS",J113&lt;='Assumptions'!$B$40,K113="ACCEPTED",L113="ACCEPTED"),"PASS","VALID-ADVERSE"))</x:f>
        <x:v>OPEN</x:v>
      </x:c>
    </x:row>
    <x:row r="114">
      <x:c r="A114" s="10" t="str">
        <x:v>PT-107</x:v>
      </x:c>
      <x:c r="B114" s="10" t="str">
        <x:v>PAIR-05</x:v>
      </x:c>
      <x:c r="C114" s="10" t="str">
        <x:v>AR-P</x:v>
      </x:c>
      <x:c r="D114" s="10" t="str">
        <x:v>AR-O</x:v>
      </x:c>
      <x:c r="E114" s="10" t="str">
        <x:v>BL-A</x:v>
      </x:c>
      <x:c r="F114" s="10" t="str">
        <x:v>C-3</x:v>
      </x:c>
      <x:c r="G114" s="10" t="str">
        <x:v>PT-3 denied path split</x:v>
      </x:c>
      <x:c r="H114" s="12"/>
      <x:c r="I114" s="12"/>
      <x:c r="J114" s="12"/>
      <x:c r="K114" s="12"/>
      <x:c r="L114" s="12"/>
      <x:c r="M114" s="10" t="str">
        <x:f>IF(OR(H114="",I114="",J114="",K114="",L114=""),"OPEN",IF(AND(INDEX('Pair Matrix'!$L$6:$L$11,MATCH(B114,'Pair Matrix'!$A$6:$A$11,0))="PAIR-READY",H114="PASS",I114="PASS",J114&lt;='Assumptions'!$B$40,K114="ACCEPTED",L114="ACCEPTED"),"PASS","VALID-ADVERSE"))</x:f>
        <x:v>OPEN</x:v>
      </x:c>
    </x:row>
    <x:row r="115">
      <x:c r="A115" s="10" t="str">
        <x:v>PT-108</x:v>
      </x:c>
      <x:c r="B115" s="10" t="str">
        <x:v>PAIR-05</x:v>
      </x:c>
      <x:c r="C115" s="10" t="str">
        <x:v>AR-P</x:v>
      </x:c>
      <x:c r="D115" s="10" t="str">
        <x:v>AR-O</x:v>
      </x:c>
      <x:c r="E115" s="10" t="str">
        <x:v>BL-A</x:v>
      </x:c>
      <x:c r="F115" s="10" t="str">
        <x:v>C-3</x:v>
      </x:c>
      <x:c r="G115" s="10" t="str">
        <x:v>PT-4 carryover and replay</x:v>
      </x:c>
      <x:c r="H115" s="12"/>
      <x:c r="I115" s="12"/>
      <x:c r="J115" s="12"/>
      <x:c r="K115" s="12"/>
      <x:c r="L115" s="12"/>
      <x:c r="M115" s="10" t="str">
        <x:f>IF(OR(H115="",I115="",J115="",K115="",L115=""),"OPEN",IF(AND(INDEX('Pair Matrix'!$L$6:$L$11,MATCH(B115,'Pair Matrix'!$A$6:$A$11,0))="PAIR-READY",H115="PASS",I115="PASS",J115&lt;='Assumptions'!$B$40,K115="ACCEPTED",L115="ACCEPTED"),"PASS","VALID-ADVERSE"))</x:f>
        <x:v>OPEN</x:v>
      </x:c>
    </x:row>
    <x:row r="116">
      <x:c r="A116" s="10" t="str">
        <x:v>PT-109</x:v>
      </x:c>
      <x:c r="B116" s="10" t="str">
        <x:v>PAIR-05</x:v>
      </x:c>
      <x:c r="C116" s="10" t="str">
        <x:v>AR-P</x:v>
      </x:c>
      <x:c r="D116" s="10" t="str">
        <x:v>AR-O</x:v>
      </x:c>
      <x:c r="E116" s="10" t="str">
        <x:v>BL-B</x:v>
      </x:c>
      <x:c r="F116" s="10" t="str">
        <x:v>C-1</x:v>
      </x:c>
      <x:c r="G116" s="10" t="str">
        <x:v>PT-1 nominal cohabitation</x:v>
      </x:c>
      <x:c r="H116" s="12"/>
      <x:c r="I116" s="12"/>
      <x:c r="J116" s="12"/>
      <x:c r="K116" s="12"/>
      <x:c r="L116" s="12"/>
      <x:c r="M116" s="10" t="str">
        <x:f>IF(OR(H116="",I116="",J116="",K116="",L116=""),"OPEN",IF(AND(INDEX('Pair Matrix'!$L$6:$L$11,MATCH(B116,'Pair Matrix'!$A$6:$A$11,0))="PAIR-READY",H116="PASS",I116="PASS",J116&lt;='Assumptions'!$B$40,K116="ACCEPTED",L116="ACCEPTED"),"PASS","VALID-ADVERSE"))</x:f>
        <x:v>OPEN</x:v>
      </x:c>
    </x:row>
    <x:row r="117">
      <x:c r="A117" s="10" t="str">
        <x:v>PT-110</x:v>
      </x:c>
      <x:c r="B117" s="10" t="str">
        <x:v>PAIR-05</x:v>
      </x:c>
      <x:c r="C117" s="10" t="str">
        <x:v>AR-P</x:v>
      </x:c>
      <x:c r="D117" s="10" t="str">
        <x:v>AR-O</x:v>
      </x:c>
      <x:c r="E117" s="10" t="str">
        <x:v>BL-B</x:v>
      </x:c>
      <x:c r="F117" s="10" t="str">
        <x:v>C-1</x:v>
      </x:c>
      <x:c r="G117" s="10" t="str">
        <x:v>PT-2 mutual decoy</x:v>
      </x:c>
      <x:c r="H117" s="12"/>
      <x:c r="I117" s="12"/>
      <x:c r="J117" s="12"/>
      <x:c r="K117" s="12"/>
      <x:c r="L117" s="12"/>
      <x:c r="M117" s="10" t="str">
        <x:f>IF(OR(H117="",I117="",J117="",K117="",L117=""),"OPEN",IF(AND(INDEX('Pair Matrix'!$L$6:$L$11,MATCH(B117,'Pair Matrix'!$A$6:$A$11,0))="PAIR-READY",H117="PASS",I117="PASS",J117&lt;='Assumptions'!$B$40,K117="ACCEPTED",L117="ACCEPTED"),"PASS","VALID-ADVERSE"))</x:f>
        <x:v>OPEN</x:v>
      </x:c>
    </x:row>
    <x:row r="118">
      <x:c r="A118" s="10" t="str">
        <x:v>PT-111</x:v>
      </x:c>
      <x:c r="B118" s="10" t="str">
        <x:v>PAIR-05</x:v>
      </x:c>
      <x:c r="C118" s="10" t="str">
        <x:v>AR-P</x:v>
      </x:c>
      <x:c r="D118" s="10" t="str">
        <x:v>AR-O</x:v>
      </x:c>
      <x:c r="E118" s="10" t="str">
        <x:v>BL-B</x:v>
      </x:c>
      <x:c r="F118" s="10" t="str">
        <x:v>C-1</x:v>
      </x:c>
      <x:c r="G118" s="10" t="str">
        <x:v>PT-3 denied path split</x:v>
      </x:c>
      <x:c r="H118" s="12"/>
      <x:c r="I118" s="12"/>
      <x:c r="J118" s="12"/>
      <x:c r="K118" s="12"/>
      <x:c r="L118" s="12"/>
      <x:c r="M118" s="10" t="str">
        <x:f>IF(OR(H118="",I118="",J118="",K118="",L118=""),"OPEN",IF(AND(INDEX('Pair Matrix'!$L$6:$L$11,MATCH(B118,'Pair Matrix'!$A$6:$A$11,0))="PAIR-READY",H118="PASS",I118="PASS",J118&lt;='Assumptions'!$B$40,K118="ACCEPTED",L118="ACCEPTED"),"PASS","VALID-ADVERSE"))</x:f>
        <x:v>OPEN</x:v>
      </x:c>
    </x:row>
    <x:row r="119">
      <x:c r="A119" s="10" t="str">
        <x:v>PT-112</x:v>
      </x:c>
      <x:c r="B119" s="10" t="str">
        <x:v>PAIR-05</x:v>
      </x:c>
      <x:c r="C119" s="10" t="str">
        <x:v>AR-P</x:v>
      </x:c>
      <x:c r="D119" s="10" t="str">
        <x:v>AR-O</x:v>
      </x:c>
      <x:c r="E119" s="10" t="str">
        <x:v>BL-B</x:v>
      </x:c>
      <x:c r="F119" s="10" t="str">
        <x:v>C-1</x:v>
      </x:c>
      <x:c r="G119" s="10" t="str">
        <x:v>PT-4 carryover and replay</x:v>
      </x:c>
      <x:c r="H119" s="12"/>
      <x:c r="I119" s="12"/>
      <x:c r="J119" s="12"/>
      <x:c r="K119" s="12"/>
      <x:c r="L119" s="12"/>
      <x:c r="M119" s="10" t="str">
        <x:f>IF(OR(H119="",I119="",J119="",K119="",L119=""),"OPEN",IF(AND(INDEX('Pair Matrix'!$L$6:$L$11,MATCH(B119,'Pair Matrix'!$A$6:$A$11,0))="PAIR-READY",H119="PASS",I119="PASS",J119&lt;='Assumptions'!$B$40,K119="ACCEPTED",L119="ACCEPTED"),"PASS","VALID-ADVERSE"))</x:f>
        <x:v>OPEN</x:v>
      </x:c>
    </x:row>
    <x:row r="120">
      <x:c r="A120" s="10" t="str">
        <x:v>PT-113</x:v>
      </x:c>
      <x:c r="B120" s="10" t="str">
        <x:v>PAIR-05</x:v>
      </x:c>
      <x:c r="C120" s="10" t="str">
        <x:v>AR-P</x:v>
      </x:c>
      <x:c r="D120" s="10" t="str">
        <x:v>AR-O</x:v>
      </x:c>
      <x:c r="E120" s="10" t="str">
        <x:v>BL-B</x:v>
      </x:c>
      <x:c r="F120" s="10" t="str">
        <x:v>C-2</x:v>
      </x:c>
      <x:c r="G120" s="10" t="str">
        <x:v>PT-1 nominal cohabitation</x:v>
      </x:c>
      <x:c r="H120" s="12"/>
      <x:c r="I120" s="12"/>
      <x:c r="J120" s="12"/>
      <x:c r="K120" s="12"/>
      <x:c r="L120" s="12"/>
      <x:c r="M120" s="10" t="str">
        <x:f>IF(OR(H120="",I120="",J120="",K120="",L120=""),"OPEN",IF(AND(INDEX('Pair Matrix'!$L$6:$L$11,MATCH(B120,'Pair Matrix'!$A$6:$A$11,0))="PAIR-READY",H120="PASS",I120="PASS",J120&lt;='Assumptions'!$B$40,K120="ACCEPTED",L120="ACCEPTED"),"PASS","VALID-ADVERSE"))</x:f>
        <x:v>OPEN</x:v>
      </x:c>
    </x:row>
    <x:row r="121">
      <x:c r="A121" s="10" t="str">
        <x:v>PT-114</x:v>
      </x:c>
      <x:c r="B121" s="10" t="str">
        <x:v>PAIR-05</x:v>
      </x:c>
      <x:c r="C121" s="10" t="str">
        <x:v>AR-P</x:v>
      </x:c>
      <x:c r="D121" s="10" t="str">
        <x:v>AR-O</x:v>
      </x:c>
      <x:c r="E121" s="10" t="str">
        <x:v>BL-B</x:v>
      </x:c>
      <x:c r="F121" s="10" t="str">
        <x:v>C-2</x:v>
      </x:c>
      <x:c r="G121" s="10" t="str">
        <x:v>PT-2 mutual decoy</x:v>
      </x:c>
      <x:c r="H121" s="12"/>
      <x:c r="I121" s="12"/>
      <x:c r="J121" s="12"/>
      <x:c r="K121" s="12"/>
      <x:c r="L121" s="12"/>
      <x:c r="M121" s="10" t="str">
        <x:f>IF(OR(H121="",I121="",J121="",K121="",L121=""),"OPEN",IF(AND(INDEX('Pair Matrix'!$L$6:$L$11,MATCH(B121,'Pair Matrix'!$A$6:$A$11,0))="PAIR-READY",H121="PASS",I121="PASS",J121&lt;='Assumptions'!$B$40,K121="ACCEPTED",L121="ACCEPTED"),"PASS","VALID-ADVERSE"))</x:f>
        <x:v>OPEN</x:v>
      </x:c>
    </x:row>
    <x:row r="122">
      <x:c r="A122" s="10" t="str">
        <x:v>PT-115</x:v>
      </x:c>
      <x:c r="B122" s="10" t="str">
        <x:v>PAIR-05</x:v>
      </x:c>
      <x:c r="C122" s="10" t="str">
        <x:v>AR-P</x:v>
      </x:c>
      <x:c r="D122" s="10" t="str">
        <x:v>AR-O</x:v>
      </x:c>
      <x:c r="E122" s="10" t="str">
        <x:v>BL-B</x:v>
      </x:c>
      <x:c r="F122" s="10" t="str">
        <x:v>C-2</x:v>
      </x:c>
      <x:c r="G122" s="10" t="str">
        <x:v>PT-3 denied path split</x:v>
      </x:c>
      <x:c r="H122" s="12"/>
      <x:c r="I122" s="12"/>
      <x:c r="J122" s="12"/>
      <x:c r="K122" s="12"/>
      <x:c r="L122" s="12"/>
      <x:c r="M122" s="10" t="str">
        <x:f>IF(OR(H122="",I122="",J122="",K122="",L122=""),"OPEN",IF(AND(INDEX('Pair Matrix'!$L$6:$L$11,MATCH(B122,'Pair Matrix'!$A$6:$A$11,0))="PAIR-READY",H122="PASS",I122="PASS",J122&lt;='Assumptions'!$B$40,K122="ACCEPTED",L122="ACCEPTED"),"PASS","VALID-ADVERSE"))</x:f>
        <x:v>OPEN</x:v>
      </x:c>
    </x:row>
    <x:row r="123">
      <x:c r="A123" s="10" t="str">
        <x:v>PT-116</x:v>
      </x:c>
      <x:c r="B123" s="10" t="str">
        <x:v>PAIR-05</x:v>
      </x:c>
      <x:c r="C123" s="10" t="str">
        <x:v>AR-P</x:v>
      </x:c>
      <x:c r="D123" s="10" t="str">
        <x:v>AR-O</x:v>
      </x:c>
      <x:c r="E123" s="10" t="str">
        <x:v>BL-B</x:v>
      </x:c>
      <x:c r="F123" s="10" t="str">
        <x:v>C-2</x:v>
      </x:c>
      <x:c r="G123" s="10" t="str">
        <x:v>PT-4 carryover and replay</x:v>
      </x:c>
      <x:c r="H123" s="12"/>
      <x:c r="I123" s="12"/>
      <x:c r="J123" s="12"/>
      <x:c r="K123" s="12"/>
      <x:c r="L123" s="12"/>
      <x:c r="M123" s="10" t="str">
        <x:f>IF(OR(H123="",I123="",J123="",K123="",L123=""),"OPEN",IF(AND(INDEX('Pair Matrix'!$L$6:$L$11,MATCH(B123,'Pair Matrix'!$A$6:$A$11,0))="PAIR-READY",H123="PASS",I123="PASS",J123&lt;='Assumptions'!$B$40,K123="ACCEPTED",L123="ACCEPTED"),"PASS","VALID-ADVERSE"))</x:f>
        <x:v>OPEN</x:v>
      </x:c>
    </x:row>
    <x:row r="124">
      <x:c r="A124" s="10" t="str">
        <x:v>PT-117</x:v>
      </x:c>
      <x:c r="B124" s="10" t="str">
        <x:v>PAIR-05</x:v>
      </x:c>
      <x:c r="C124" s="10" t="str">
        <x:v>AR-P</x:v>
      </x:c>
      <x:c r="D124" s="10" t="str">
        <x:v>AR-O</x:v>
      </x:c>
      <x:c r="E124" s="10" t="str">
        <x:v>BL-B</x:v>
      </x:c>
      <x:c r="F124" s="10" t="str">
        <x:v>C-3</x:v>
      </x:c>
      <x:c r="G124" s="10" t="str">
        <x:v>PT-1 nominal cohabitation</x:v>
      </x:c>
      <x:c r="H124" s="12"/>
      <x:c r="I124" s="12"/>
      <x:c r="J124" s="12"/>
      <x:c r="K124" s="12"/>
      <x:c r="L124" s="12"/>
      <x:c r="M124" s="10" t="str">
        <x:f>IF(OR(H124="",I124="",J124="",K124="",L124=""),"OPEN",IF(AND(INDEX('Pair Matrix'!$L$6:$L$11,MATCH(B124,'Pair Matrix'!$A$6:$A$11,0))="PAIR-READY",H124="PASS",I124="PASS",J124&lt;='Assumptions'!$B$40,K124="ACCEPTED",L124="ACCEPTED"),"PASS","VALID-ADVERSE"))</x:f>
        <x:v>OPEN</x:v>
      </x:c>
    </x:row>
    <x:row r="125">
      <x:c r="A125" s="10" t="str">
        <x:v>PT-118</x:v>
      </x:c>
      <x:c r="B125" s="10" t="str">
        <x:v>PAIR-05</x:v>
      </x:c>
      <x:c r="C125" s="10" t="str">
        <x:v>AR-P</x:v>
      </x:c>
      <x:c r="D125" s="10" t="str">
        <x:v>AR-O</x:v>
      </x:c>
      <x:c r="E125" s="10" t="str">
        <x:v>BL-B</x:v>
      </x:c>
      <x:c r="F125" s="10" t="str">
        <x:v>C-3</x:v>
      </x:c>
      <x:c r="G125" s="10" t="str">
        <x:v>PT-2 mutual decoy</x:v>
      </x:c>
      <x:c r="H125" s="12"/>
      <x:c r="I125" s="12"/>
      <x:c r="J125" s="12"/>
      <x:c r="K125" s="12"/>
      <x:c r="L125" s="12"/>
      <x:c r="M125" s="10" t="str">
        <x:f>IF(OR(H125="",I125="",J125="",K125="",L125=""),"OPEN",IF(AND(INDEX('Pair Matrix'!$L$6:$L$11,MATCH(B125,'Pair Matrix'!$A$6:$A$11,0))="PAIR-READY",H125="PASS",I125="PASS",J125&lt;='Assumptions'!$B$40,K125="ACCEPTED",L125="ACCEPTED"),"PASS","VALID-ADVERSE"))</x:f>
        <x:v>OPEN</x:v>
      </x:c>
    </x:row>
    <x:row r="126">
      <x:c r="A126" s="10" t="str">
        <x:v>PT-119</x:v>
      </x:c>
      <x:c r="B126" s="10" t="str">
        <x:v>PAIR-05</x:v>
      </x:c>
      <x:c r="C126" s="10" t="str">
        <x:v>AR-P</x:v>
      </x:c>
      <x:c r="D126" s="10" t="str">
        <x:v>AR-O</x:v>
      </x:c>
      <x:c r="E126" s="10" t="str">
        <x:v>BL-B</x:v>
      </x:c>
      <x:c r="F126" s="10" t="str">
        <x:v>C-3</x:v>
      </x:c>
      <x:c r="G126" s="10" t="str">
        <x:v>PT-3 denied path split</x:v>
      </x:c>
      <x:c r="H126" s="12"/>
      <x:c r="I126" s="12"/>
      <x:c r="J126" s="12"/>
      <x:c r="K126" s="12"/>
      <x:c r="L126" s="12"/>
      <x:c r="M126" s="10" t="str">
        <x:f>IF(OR(H126="",I126="",J126="",K126="",L126=""),"OPEN",IF(AND(INDEX('Pair Matrix'!$L$6:$L$11,MATCH(B126,'Pair Matrix'!$A$6:$A$11,0))="PAIR-READY",H126="PASS",I126="PASS",J126&lt;='Assumptions'!$B$40,K126="ACCEPTED",L126="ACCEPTED"),"PASS","VALID-ADVERSE"))</x:f>
        <x:v>OPEN</x:v>
      </x:c>
    </x:row>
    <x:row r="127">
      <x:c r="A127" s="10" t="str">
        <x:v>PT-120</x:v>
      </x:c>
      <x:c r="B127" s="10" t="str">
        <x:v>PAIR-05</x:v>
      </x:c>
      <x:c r="C127" s="10" t="str">
        <x:v>AR-P</x:v>
      </x:c>
      <x:c r="D127" s="10" t="str">
        <x:v>AR-O</x:v>
      </x:c>
      <x:c r="E127" s="10" t="str">
        <x:v>BL-B</x:v>
      </x:c>
      <x:c r="F127" s="10" t="str">
        <x:v>C-3</x:v>
      </x:c>
      <x:c r="G127" s="10" t="str">
        <x:v>PT-4 carryover and replay</x:v>
      </x:c>
      <x:c r="H127" s="12"/>
      <x:c r="I127" s="12"/>
      <x:c r="J127" s="12"/>
      <x:c r="K127" s="12"/>
      <x:c r="L127" s="12"/>
      <x:c r="M127" s="10" t="str">
        <x:f>IF(OR(H127="",I127="",J127="",K127="",L127=""),"OPEN",IF(AND(INDEX('Pair Matrix'!$L$6:$L$11,MATCH(B127,'Pair Matrix'!$A$6:$A$11,0))="PAIR-READY",H127="PASS",I127="PASS",J127&lt;='Assumptions'!$B$40,K127="ACCEPTED",L127="ACCEPTED"),"PASS","VALID-ADVERSE"))</x:f>
        <x:v>OPEN</x:v>
      </x:c>
    </x:row>
    <x:row r="128">
      <x:c r="A128" s="10" t="str">
        <x:v>PT-121</x:v>
      </x:c>
      <x:c r="B128" s="10" t="str">
        <x:v>PAIR-06</x:v>
      </x:c>
      <x:c r="C128" s="10" t="str">
        <x:v>AR-R</x:v>
      </x:c>
      <x:c r="D128" s="10" t="str">
        <x:v>AR-O</x:v>
      </x:c>
      <x:c r="E128" s="10" t="str">
        <x:v>BL-A</x:v>
      </x:c>
      <x:c r="F128" s="10" t="str">
        <x:v>C-1</x:v>
      </x:c>
      <x:c r="G128" s="10" t="str">
        <x:v>PT-1 nominal cohabitation</x:v>
      </x:c>
      <x:c r="H128" s="12"/>
      <x:c r="I128" s="12"/>
      <x:c r="J128" s="12"/>
      <x:c r="K128" s="12"/>
      <x:c r="L128" s="12"/>
      <x:c r="M128" s="10" t="str">
        <x:f>IF(OR(H128="",I128="",J128="",K128="",L128=""),"OPEN",IF(AND(INDEX('Pair Matrix'!$L$6:$L$11,MATCH(B128,'Pair Matrix'!$A$6:$A$11,0))="PAIR-READY",H128="PASS",I128="PASS",J128&lt;='Assumptions'!$B$40,K128="ACCEPTED",L128="ACCEPTED"),"PASS","VALID-ADVERSE"))</x:f>
        <x:v>OPEN</x:v>
      </x:c>
    </x:row>
    <x:row r="129">
      <x:c r="A129" s="10" t="str">
        <x:v>PT-122</x:v>
      </x:c>
      <x:c r="B129" s="10" t="str">
        <x:v>PAIR-06</x:v>
      </x:c>
      <x:c r="C129" s="10" t="str">
        <x:v>AR-R</x:v>
      </x:c>
      <x:c r="D129" s="10" t="str">
        <x:v>AR-O</x:v>
      </x:c>
      <x:c r="E129" s="10" t="str">
        <x:v>BL-A</x:v>
      </x:c>
      <x:c r="F129" s="10" t="str">
        <x:v>C-1</x:v>
      </x:c>
      <x:c r="G129" s="10" t="str">
        <x:v>PT-2 mutual decoy</x:v>
      </x:c>
      <x:c r="H129" s="12"/>
      <x:c r="I129" s="12"/>
      <x:c r="J129" s="12"/>
      <x:c r="K129" s="12"/>
      <x:c r="L129" s="12"/>
      <x:c r="M129" s="10" t="str">
        <x:f>IF(OR(H129="",I129="",J129="",K129="",L129=""),"OPEN",IF(AND(INDEX('Pair Matrix'!$L$6:$L$11,MATCH(B129,'Pair Matrix'!$A$6:$A$11,0))="PAIR-READY",H129="PASS",I129="PASS",J129&lt;='Assumptions'!$B$40,K129="ACCEPTED",L129="ACCEPTED"),"PASS","VALID-ADVERSE"))</x:f>
        <x:v>OPEN</x:v>
      </x:c>
    </x:row>
    <x:row r="130">
      <x:c r="A130" s="10" t="str">
        <x:v>PT-123</x:v>
      </x:c>
      <x:c r="B130" s="10" t="str">
        <x:v>PAIR-06</x:v>
      </x:c>
      <x:c r="C130" s="10" t="str">
        <x:v>AR-R</x:v>
      </x:c>
      <x:c r="D130" s="10" t="str">
        <x:v>AR-O</x:v>
      </x:c>
      <x:c r="E130" s="10" t="str">
        <x:v>BL-A</x:v>
      </x:c>
      <x:c r="F130" s="10" t="str">
        <x:v>C-1</x:v>
      </x:c>
      <x:c r="G130" s="10" t="str">
        <x:v>PT-3 denied path split</x:v>
      </x:c>
      <x:c r="H130" s="12"/>
      <x:c r="I130" s="12"/>
      <x:c r="J130" s="12"/>
      <x:c r="K130" s="12"/>
      <x:c r="L130" s="12"/>
      <x:c r="M130" s="10" t="str">
        <x:f>IF(OR(H130="",I130="",J130="",K130="",L130=""),"OPEN",IF(AND(INDEX('Pair Matrix'!$L$6:$L$11,MATCH(B130,'Pair Matrix'!$A$6:$A$11,0))="PAIR-READY",H130="PASS",I130="PASS",J130&lt;='Assumptions'!$B$40,K130="ACCEPTED",L130="ACCEPTED"),"PASS","VALID-ADVERSE"))</x:f>
        <x:v>OPEN</x:v>
      </x:c>
    </x:row>
    <x:row r="131">
      <x:c r="A131" s="10" t="str">
        <x:v>PT-124</x:v>
      </x:c>
      <x:c r="B131" s="10" t="str">
        <x:v>PAIR-06</x:v>
      </x:c>
      <x:c r="C131" s="10" t="str">
        <x:v>AR-R</x:v>
      </x:c>
      <x:c r="D131" s="10" t="str">
        <x:v>AR-O</x:v>
      </x:c>
      <x:c r="E131" s="10" t="str">
        <x:v>BL-A</x:v>
      </x:c>
      <x:c r="F131" s="10" t="str">
        <x:v>C-1</x:v>
      </x:c>
      <x:c r="G131" s="10" t="str">
        <x:v>PT-4 carryover and replay</x:v>
      </x:c>
      <x:c r="H131" s="12"/>
      <x:c r="I131" s="12"/>
      <x:c r="J131" s="12"/>
      <x:c r="K131" s="12"/>
      <x:c r="L131" s="12"/>
      <x:c r="M131" s="10" t="str">
        <x:f>IF(OR(H131="",I131="",J131="",K131="",L131=""),"OPEN",IF(AND(INDEX('Pair Matrix'!$L$6:$L$11,MATCH(B131,'Pair Matrix'!$A$6:$A$11,0))="PAIR-READY",H131="PASS",I131="PASS",J131&lt;='Assumptions'!$B$40,K131="ACCEPTED",L131="ACCEPTED"),"PASS","VALID-ADVERSE"))</x:f>
        <x:v>OPEN</x:v>
      </x:c>
    </x:row>
    <x:row r="132">
      <x:c r="A132" s="10" t="str">
        <x:v>PT-125</x:v>
      </x:c>
      <x:c r="B132" s="10" t="str">
        <x:v>PAIR-06</x:v>
      </x:c>
      <x:c r="C132" s="10" t="str">
        <x:v>AR-R</x:v>
      </x:c>
      <x:c r="D132" s="10" t="str">
        <x:v>AR-O</x:v>
      </x:c>
      <x:c r="E132" s="10" t="str">
        <x:v>BL-A</x:v>
      </x:c>
      <x:c r="F132" s="10" t="str">
        <x:v>C-2</x:v>
      </x:c>
      <x:c r="G132" s="10" t="str">
        <x:v>PT-1 nominal cohabitation</x:v>
      </x:c>
      <x:c r="H132" s="12"/>
      <x:c r="I132" s="12"/>
      <x:c r="J132" s="12"/>
      <x:c r="K132" s="12"/>
      <x:c r="L132" s="12"/>
      <x:c r="M132" s="10" t="str">
        <x:f>IF(OR(H132="",I132="",J132="",K132="",L132=""),"OPEN",IF(AND(INDEX('Pair Matrix'!$L$6:$L$11,MATCH(B132,'Pair Matrix'!$A$6:$A$11,0))="PAIR-READY",H132="PASS",I132="PASS",J132&lt;='Assumptions'!$B$40,K132="ACCEPTED",L132="ACCEPTED"),"PASS","VALID-ADVERSE"))</x:f>
        <x:v>OPEN</x:v>
      </x:c>
    </x:row>
    <x:row r="133">
      <x:c r="A133" s="10" t="str">
        <x:v>PT-126</x:v>
      </x:c>
      <x:c r="B133" s="10" t="str">
        <x:v>PAIR-06</x:v>
      </x:c>
      <x:c r="C133" s="10" t="str">
        <x:v>AR-R</x:v>
      </x:c>
      <x:c r="D133" s="10" t="str">
        <x:v>AR-O</x:v>
      </x:c>
      <x:c r="E133" s="10" t="str">
        <x:v>BL-A</x:v>
      </x:c>
      <x:c r="F133" s="10" t="str">
        <x:v>C-2</x:v>
      </x:c>
      <x:c r="G133" s="10" t="str">
        <x:v>PT-2 mutual decoy</x:v>
      </x:c>
      <x:c r="H133" s="12"/>
      <x:c r="I133" s="12"/>
      <x:c r="J133" s="12"/>
      <x:c r="K133" s="12"/>
      <x:c r="L133" s="12"/>
      <x:c r="M133" s="10" t="str">
        <x:f>IF(OR(H133="",I133="",J133="",K133="",L133=""),"OPEN",IF(AND(INDEX('Pair Matrix'!$L$6:$L$11,MATCH(B133,'Pair Matrix'!$A$6:$A$11,0))="PAIR-READY",H133="PASS",I133="PASS",J133&lt;='Assumptions'!$B$40,K133="ACCEPTED",L133="ACCEPTED"),"PASS","VALID-ADVERSE"))</x:f>
        <x:v>OPEN</x:v>
      </x:c>
    </x:row>
    <x:row r="134">
      <x:c r="A134" s="10" t="str">
        <x:v>PT-127</x:v>
      </x:c>
      <x:c r="B134" s="10" t="str">
        <x:v>PAIR-06</x:v>
      </x:c>
      <x:c r="C134" s="10" t="str">
        <x:v>AR-R</x:v>
      </x:c>
      <x:c r="D134" s="10" t="str">
        <x:v>AR-O</x:v>
      </x:c>
      <x:c r="E134" s="10" t="str">
        <x:v>BL-A</x:v>
      </x:c>
      <x:c r="F134" s="10" t="str">
        <x:v>C-2</x:v>
      </x:c>
      <x:c r="G134" s="10" t="str">
        <x:v>PT-3 denied path split</x:v>
      </x:c>
      <x:c r="H134" s="12"/>
      <x:c r="I134" s="12"/>
      <x:c r="J134" s="12"/>
      <x:c r="K134" s="12"/>
      <x:c r="L134" s="12"/>
      <x:c r="M134" s="10" t="str">
        <x:f>IF(OR(H134="",I134="",J134="",K134="",L134=""),"OPEN",IF(AND(INDEX('Pair Matrix'!$L$6:$L$11,MATCH(B134,'Pair Matrix'!$A$6:$A$11,0))="PAIR-READY",H134="PASS",I134="PASS",J134&lt;='Assumptions'!$B$40,K134="ACCEPTED",L134="ACCEPTED"),"PASS","VALID-ADVERSE"))</x:f>
        <x:v>OPEN</x:v>
      </x:c>
    </x:row>
    <x:row r="135">
      <x:c r="A135" s="10" t="str">
        <x:v>PT-128</x:v>
      </x:c>
      <x:c r="B135" s="10" t="str">
        <x:v>PAIR-06</x:v>
      </x:c>
      <x:c r="C135" s="10" t="str">
        <x:v>AR-R</x:v>
      </x:c>
      <x:c r="D135" s="10" t="str">
        <x:v>AR-O</x:v>
      </x:c>
      <x:c r="E135" s="10" t="str">
        <x:v>BL-A</x:v>
      </x:c>
      <x:c r="F135" s="10" t="str">
        <x:v>C-2</x:v>
      </x:c>
      <x:c r="G135" s="10" t="str">
        <x:v>PT-4 carryover and replay</x:v>
      </x:c>
      <x:c r="H135" s="12"/>
      <x:c r="I135" s="12"/>
      <x:c r="J135" s="12"/>
      <x:c r="K135" s="12"/>
      <x:c r="L135" s="12"/>
      <x:c r="M135" s="10" t="str">
        <x:f>IF(OR(H135="",I135="",J135="",K135="",L135=""),"OPEN",IF(AND(INDEX('Pair Matrix'!$L$6:$L$11,MATCH(B135,'Pair Matrix'!$A$6:$A$11,0))="PAIR-READY",H135="PASS",I135="PASS",J135&lt;='Assumptions'!$B$40,K135="ACCEPTED",L135="ACCEPTED"),"PASS","VALID-ADVERSE"))</x:f>
        <x:v>OPEN</x:v>
      </x:c>
    </x:row>
    <x:row r="136">
      <x:c r="A136" s="10" t="str">
        <x:v>PT-129</x:v>
      </x:c>
      <x:c r="B136" s="10" t="str">
        <x:v>PAIR-06</x:v>
      </x:c>
      <x:c r="C136" s="10" t="str">
        <x:v>AR-R</x:v>
      </x:c>
      <x:c r="D136" s="10" t="str">
        <x:v>AR-O</x:v>
      </x:c>
      <x:c r="E136" s="10" t="str">
        <x:v>BL-A</x:v>
      </x:c>
      <x:c r="F136" s="10" t="str">
        <x:v>C-3</x:v>
      </x:c>
      <x:c r="G136" s="10" t="str">
        <x:v>PT-1 nominal cohabitation</x:v>
      </x:c>
      <x:c r="H136" s="12"/>
      <x:c r="I136" s="12"/>
      <x:c r="J136" s="12"/>
      <x:c r="K136" s="12"/>
      <x:c r="L136" s="12"/>
      <x:c r="M136" s="10" t="str">
        <x:f>IF(OR(H136="",I136="",J136="",K136="",L136=""),"OPEN",IF(AND(INDEX('Pair Matrix'!$L$6:$L$11,MATCH(B136,'Pair Matrix'!$A$6:$A$11,0))="PAIR-READY",H136="PASS",I136="PASS",J136&lt;='Assumptions'!$B$40,K136="ACCEPTED",L136="ACCEPTED"),"PASS","VALID-ADVERSE"))</x:f>
        <x:v>OPEN</x:v>
      </x:c>
    </x:row>
    <x:row r="137">
      <x:c r="A137" s="10" t="str">
        <x:v>PT-130</x:v>
      </x:c>
      <x:c r="B137" s="10" t="str">
        <x:v>PAIR-06</x:v>
      </x:c>
      <x:c r="C137" s="10" t="str">
        <x:v>AR-R</x:v>
      </x:c>
      <x:c r="D137" s="10" t="str">
        <x:v>AR-O</x:v>
      </x:c>
      <x:c r="E137" s="10" t="str">
        <x:v>BL-A</x:v>
      </x:c>
      <x:c r="F137" s="10" t="str">
        <x:v>C-3</x:v>
      </x:c>
      <x:c r="G137" s="10" t="str">
        <x:v>PT-2 mutual decoy</x:v>
      </x:c>
      <x:c r="H137" s="12"/>
      <x:c r="I137" s="12"/>
      <x:c r="J137" s="12"/>
      <x:c r="K137" s="12"/>
      <x:c r="L137" s="12"/>
      <x:c r="M137" s="10" t="str">
        <x:f>IF(OR(H137="",I137="",J137="",K137="",L137=""),"OPEN",IF(AND(INDEX('Pair Matrix'!$L$6:$L$11,MATCH(B137,'Pair Matrix'!$A$6:$A$11,0))="PAIR-READY",H137="PASS",I137="PASS",J137&lt;='Assumptions'!$B$40,K137="ACCEPTED",L137="ACCEPTED"),"PASS","VALID-ADVERSE"))</x:f>
        <x:v>OPEN</x:v>
      </x:c>
    </x:row>
    <x:row r="138">
      <x:c r="A138" s="10" t="str">
        <x:v>PT-131</x:v>
      </x:c>
      <x:c r="B138" s="10" t="str">
        <x:v>PAIR-06</x:v>
      </x:c>
      <x:c r="C138" s="10" t="str">
        <x:v>AR-R</x:v>
      </x:c>
      <x:c r="D138" s="10" t="str">
        <x:v>AR-O</x:v>
      </x:c>
      <x:c r="E138" s="10" t="str">
        <x:v>BL-A</x:v>
      </x:c>
      <x:c r="F138" s="10" t="str">
        <x:v>C-3</x:v>
      </x:c>
      <x:c r="G138" s="10" t="str">
        <x:v>PT-3 denied path split</x:v>
      </x:c>
      <x:c r="H138" s="12"/>
      <x:c r="I138" s="12"/>
      <x:c r="J138" s="12"/>
      <x:c r="K138" s="12"/>
      <x:c r="L138" s="12"/>
      <x:c r="M138" s="10" t="str">
        <x:f>IF(OR(H138="",I138="",J138="",K138="",L138=""),"OPEN",IF(AND(INDEX('Pair Matrix'!$L$6:$L$11,MATCH(B138,'Pair Matrix'!$A$6:$A$11,0))="PAIR-READY",H138="PASS",I138="PASS",J138&lt;='Assumptions'!$B$40,K138="ACCEPTED",L138="ACCEPTED"),"PASS","VALID-ADVERSE"))</x:f>
        <x:v>OPEN</x:v>
      </x:c>
    </x:row>
    <x:row r="139">
      <x:c r="A139" s="10" t="str">
        <x:v>PT-132</x:v>
      </x:c>
      <x:c r="B139" s="10" t="str">
        <x:v>PAIR-06</x:v>
      </x:c>
      <x:c r="C139" s="10" t="str">
        <x:v>AR-R</x:v>
      </x:c>
      <x:c r="D139" s="10" t="str">
        <x:v>AR-O</x:v>
      </x:c>
      <x:c r="E139" s="10" t="str">
        <x:v>BL-A</x:v>
      </x:c>
      <x:c r="F139" s="10" t="str">
        <x:v>C-3</x:v>
      </x:c>
      <x:c r="G139" s="10" t="str">
        <x:v>PT-4 carryover and replay</x:v>
      </x:c>
      <x:c r="H139" s="12"/>
      <x:c r="I139" s="12"/>
      <x:c r="J139" s="12"/>
      <x:c r="K139" s="12"/>
      <x:c r="L139" s="12"/>
      <x:c r="M139" s="10" t="str">
        <x:f>IF(OR(H139="",I139="",J139="",K139="",L139=""),"OPEN",IF(AND(INDEX('Pair Matrix'!$L$6:$L$11,MATCH(B139,'Pair Matrix'!$A$6:$A$11,0))="PAIR-READY",H139="PASS",I139="PASS",J139&lt;='Assumptions'!$B$40,K139="ACCEPTED",L139="ACCEPTED"),"PASS","VALID-ADVERSE"))</x:f>
        <x:v>OPEN</x:v>
      </x:c>
    </x:row>
    <x:row r="140">
      <x:c r="A140" s="10" t="str">
        <x:v>PT-133</x:v>
      </x:c>
      <x:c r="B140" s="10" t="str">
        <x:v>PAIR-06</x:v>
      </x:c>
      <x:c r="C140" s="10" t="str">
        <x:v>AR-R</x:v>
      </x:c>
      <x:c r="D140" s="10" t="str">
        <x:v>AR-O</x:v>
      </x:c>
      <x:c r="E140" s="10" t="str">
        <x:v>BL-B</x:v>
      </x:c>
      <x:c r="F140" s="10" t="str">
        <x:v>C-1</x:v>
      </x:c>
      <x:c r="G140" s="10" t="str">
        <x:v>PT-1 nominal cohabitation</x:v>
      </x:c>
      <x:c r="H140" s="12"/>
      <x:c r="I140" s="12"/>
      <x:c r="J140" s="12"/>
      <x:c r="K140" s="12"/>
      <x:c r="L140" s="12"/>
      <x:c r="M140" s="10" t="str">
        <x:f>IF(OR(H140="",I140="",J140="",K140="",L140=""),"OPEN",IF(AND(INDEX('Pair Matrix'!$L$6:$L$11,MATCH(B140,'Pair Matrix'!$A$6:$A$11,0))="PAIR-READY",H140="PASS",I140="PASS",J140&lt;='Assumptions'!$B$40,K140="ACCEPTED",L140="ACCEPTED"),"PASS","VALID-ADVERSE"))</x:f>
        <x:v>OPEN</x:v>
      </x:c>
    </x:row>
    <x:row r="141">
      <x:c r="A141" s="10" t="str">
        <x:v>PT-134</x:v>
      </x:c>
      <x:c r="B141" s="10" t="str">
        <x:v>PAIR-06</x:v>
      </x:c>
      <x:c r="C141" s="10" t="str">
        <x:v>AR-R</x:v>
      </x:c>
      <x:c r="D141" s="10" t="str">
        <x:v>AR-O</x:v>
      </x:c>
      <x:c r="E141" s="10" t="str">
        <x:v>BL-B</x:v>
      </x:c>
      <x:c r="F141" s="10" t="str">
        <x:v>C-1</x:v>
      </x:c>
      <x:c r="G141" s="10" t="str">
        <x:v>PT-2 mutual decoy</x:v>
      </x:c>
      <x:c r="H141" s="12"/>
      <x:c r="I141" s="12"/>
      <x:c r="J141" s="12"/>
      <x:c r="K141" s="12"/>
      <x:c r="L141" s="12"/>
      <x:c r="M141" s="10" t="str">
        <x:f>IF(OR(H141="",I141="",J141="",K141="",L141=""),"OPEN",IF(AND(INDEX('Pair Matrix'!$L$6:$L$11,MATCH(B141,'Pair Matrix'!$A$6:$A$11,0))="PAIR-READY",H141="PASS",I141="PASS",J141&lt;='Assumptions'!$B$40,K141="ACCEPTED",L141="ACCEPTED"),"PASS","VALID-ADVERSE"))</x:f>
        <x:v>OPEN</x:v>
      </x:c>
    </x:row>
    <x:row r="142">
      <x:c r="A142" s="10" t="str">
        <x:v>PT-135</x:v>
      </x:c>
      <x:c r="B142" s="10" t="str">
        <x:v>PAIR-06</x:v>
      </x:c>
      <x:c r="C142" s="10" t="str">
        <x:v>AR-R</x:v>
      </x:c>
      <x:c r="D142" s="10" t="str">
        <x:v>AR-O</x:v>
      </x:c>
      <x:c r="E142" s="10" t="str">
        <x:v>BL-B</x:v>
      </x:c>
      <x:c r="F142" s="10" t="str">
        <x:v>C-1</x:v>
      </x:c>
      <x:c r="G142" s="10" t="str">
        <x:v>PT-3 denied path split</x:v>
      </x:c>
      <x:c r="H142" s="12"/>
      <x:c r="I142" s="12"/>
      <x:c r="J142" s="12"/>
      <x:c r="K142" s="12"/>
      <x:c r="L142" s="12"/>
      <x:c r="M142" s="10" t="str">
        <x:f>IF(OR(H142="",I142="",J142="",K142="",L142=""),"OPEN",IF(AND(INDEX('Pair Matrix'!$L$6:$L$11,MATCH(B142,'Pair Matrix'!$A$6:$A$11,0))="PAIR-READY",H142="PASS",I142="PASS",J142&lt;='Assumptions'!$B$40,K142="ACCEPTED",L142="ACCEPTED"),"PASS","VALID-ADVERSE"))</x:f>
        <x:v>OPEN</x:v>
      </x:c>
    </x:row>
    <x:row r="143">
      <x:c r="A143" s="10" t="str">
        <x:v>PT-136</x:v>
      </x:c>
      <x:c r="B143" s="10" t="str">
        <x:v>PAIR-06</x:v>
      </x:c>
      <x:c r="C143" s="10" t="str">
        <x:v>AR-R</x:v>
      </x:c>
      <x:c r="D143" s="10" t="str">
        <x:v>AR-O</x:v>
      </x:c>
      <x:c r="E143" s="10" t="str">
        <x:v>BL-B</x:v>
      </x:c>
      <x:c r="F143" s="10" t="str">
        <x:v>C-1</x:v>
      </x:c>
      <x:c r="G143" s="10" t="str">
        <x:v>PT-4 carryover and replay</x:v>
      </x:c>
      <x:c r="H143" s="12"/>
      <x:c r="I143" s="12"/>
      <x:c r="J143" s="12"/>
      <x:c r="K143" s="12"/>
      <x:c r="L143" s="12"/>
      <x:c r="M143" s="10" t="str">
        <x:f>IF(OR(H143="",I143="",J143="",K143="",L143=""),"OPEN",IF(AND(INDEX('Pair Matrix'!$L$6:$L$11,MATCH(B143,'Pair Matrix'!$A$6:$A$11,0))="PAIR-READY",H143="PASS",I143="PASS",J143&lt;='Assumptions'!$B$40,K143="ACCEPTED",L143="ACCEPTED"),"PASS","VALID-ADVERSE"))</x:f>
        <x:v>OPEN</x:v>
      </x:c>
    </x:row>
    <x:row r="144">
      <x:c r="A144" s="10" t="str">
        <x:v>PT-137</x:v>
      </x:c>
      <x:c r="B144" s="10" t="str">
        <x:v>PAIR-06</x:v>
      </x:c>
      <x:c r="C144" s="10" t="str">
        <x:v>AR-R</x:v>
      </x:c>
      <x:c r="D144" s="10" t="str">
        <x:v>AR-O</x:v>
      </x:c>
      <x:c r="E144" s="10" t="str">
        <x:v>BL-B</x:v>
      </x:c>
      <x:c r="F144" s="10" t="str">
        <x:v>C-2</x:v>
      </x:c>
      <x:c r="G144" s="10" t="str">
        <x:v>PT-1 nominal cohabitation</x:v>
      </x:c>
      <x:c r="H144" s="12"/>
      <x:c r="I144" s="12"/>
      <x:c r="J144" s="12"/>
      <x:c r="K144" s="12"/>
      <x:c r="L144" s="12"/>
      <x:c r="M144" s="10" t="str">
        <x:f>IF(OR(H144="",I144="",J144="",K144="",L144=""),"OPEN",IF(AND(INDEX('Pair Matrix'!$L$6:$L$11,MATCH(B144,'Pair Matrix'!$A$6:$A$11,0))="PAIR-READY",H144="PASS",I144="PASS",J144&lt;='Assumptions'!$B$40,K144="ACCEPTED",L144="ACCEPTED"),"PASS","VALID-ADVERSE"))</x:f>
        <x:v>OPEN</x:v>
      </x:c>
    </x:row>
    <x:row r="145">
      <x:c r="A145" s="10" t="str">
        <x:v>PT-138</x:v>
      </x:c>
      <x:c r="B145" s="10" t="str">
        <x:v>PAIR-06</x:v>
      </x:c>
      <x:c r="C145" s="10" t="str">
        <x:v>AR-R</x:v>
      </x:c>
      <x:c r="D145" s="10" t="str">
        <x:v>AR-O</x:v>
      </x:c>
      <x:c r="E145" s="10" t="str">
        <x:v>BL-B</x:v>
      </x:c>
      <x:c r="F145" s="10" t="str">
        <x:v>C-2</x:v>
      </x:c>
      <x:c r="G145" s="10" t="str">
        <x:v>PT-2 mutual decoy</x:v>
      </x:c>
      <x:c r="H145" s="12"/>
      <x:c r="I145" s="12"/>
      <x:c r="J145" s="12"/>
      <x:c r="K145" s="12"/>
      <x:c r="L145" s="12"/>
      <x:c r="M145" s="10" t="str">
        <x:f>IF(OR(H145="",I145="",J145="",K145="",L145=""),"OPEN",IF(AND(INDEX('Pair Matrix'!$L$6:$L$11,MATCH(B145,'Pair Matrix'!$A$6:$A$11,0))="PAIR-READY",H145="PASS",I145="PASS",J145&lt;='Assumptions'!$B$40,K145="ACCEPTED",L145="ACCEPTED"),"PASS","VALID-ADVERSE"))</x:f>
        <x:v>OPEN</x:v>
      </x:c>
    </x:row>
    <x:row r="146">
      <x:c r="A146" s="10" t="str">
        <x:v>PT-139</x:v>
      </x:c>
      <x:c r="B146" s="10" t="str">
        <x:v>PAIR-06</x:v>
      </x:c>
      <x:c r="C146" s="10" t="str">
        <x:v>AR-R</x:v>
      </x:c>
      <x:c r="D146" s="10" t="str">
        <x:v>AR-O</x:v>
      </x:c>
      <x:c r="E146" s="10" t="str">
        <x:v>BL-B</x:v>
      </x:c>
      <x:c r="F146" s="10" t="str">
        <x:v>C-2</x:v>
      </x:c>
      <x:c r="G146" s="10" t="str">
        <x:v>PT-3 denied path split</x:v>
      </x:c>
      <x:c r="H146" s="12"/>
      <x:c r="I146" s="12"/>
      <x:c r="J146" s="12"/>
      <x:c r="K146" s="12"/>
      <x:c r="L146" s="12"/>
      <x:c r="M146" s="10" t="str">
        <x:f>IF(OR(H146="",I146="",J146="",K146="",L146=""),"OPEN",IF(AND(INDEX('Pair Matrix'!$L$6:$L$11,MATCH(B146,'Pair Matrix'!$A$6:$A$11,0))="PAIR-READY",H146="PASS",I146="PASS",J146&lt;='Assumptions'!$B$40,K146="ACCEPTED",L146="ACCEPTED"),"PASS","VALID-ADVERSE"))</x:f>
        <x:v>OPEN</x:v>
      </x:c>
    </x:row>
    <x:row r="147">
      <x:c r="A147" s="10" t="str">
        <x:v>PT-140</x:v>
      </x:c>
      <x:c r="B147" s="10" t="str">
        <x:v>PAIR-06</x:v>
      </x:c>
      <x:c r="C147" s="10" t="str">
        <x:v>AR-R</x:v>
      </x:c>
      <x:c r="D147" s="10" t="str">
        <x:v>AR-O</x:v>
      </x:c>
      <x:c r="E147" s="10" t="str">
        <x:v>BL-B</x:v>
      </x:c>
      <x:c r="F147" s="10" t="str">
        <x:v>C-2</x:v>
      </x:c>
      <x:c r="G147" s="10" t="str">
        <x:v>PT-4 carryover and replay</x:v>
      </x:c>
      <x:c r="H147" s="12"/>
      <x:c r="I147" s="12"/>
      <x:c r="J147" s="12"/>
      <x:c r="K147" s="12"/>
      <x:c r="L147" s="12"/>
      <x:c r="M147" s="10" t="str">
        <x:f>IF(OR(H147="",I147="",J147="",K147="",L147=""),"OPEN",IF(AND(INDEX('Pair Matrix'!$L$6:$L$11,MATCH(B147,'Pair Matrix'!$A$6:$A$11,0))="PAIR-READY",H147="PASS",I147="PASS",J147&lt;='Assumptions'!$B$40,K147="ACCEPTED",L147="ACCEPTED"),"PASS","VALID-ADVERSE"))</x:f>
        <x:v>OPEN</x:v>
      </x:c>
    </x:row>
    <x:row r="148">
      <x:c r="A148" s="10" t="str">
        <x:v>PT-141</x:v>
      </x:c>
      <x:c r="B148" s="10" t="str">
        <x:v>PAIR-06</x:v>
      </x:c>
      <x:c r="C148" s="10" t="str">
        <x:v>AR-R</x:v>
      </x:c>
      <x:c r="D148" s="10" t="str">
        <x:v>AR-O</x:v>
      </x:c>
      <x:c r="E148" s="10" t="str">
        <x:v>BL-B</x:v>
      </x:c>
      <x:c r="F148" s="10" t="str">
        <x:v>C-3</x:v>
      </x:c>
      <x:c r="G148" s="10" t="str">
        <x:v>PT-1 nominal cohabitation</x:v>
      </x:c>
      <x:c r="H148" s="12"/>
      <x:c r="I148" s="12"/>
      <x:c r="J148" s="12"/>
      <x:c r="K148" s="12"/>
      <x:c r="L148" s="12"/>
      <x:c r="M148" s="10" t="str">
        <x:f>IF(OR(H148="",I148="",J148="",K148="",L148=""),"OPEN",IF(AND(INDEX('Pair Matrix'!$L$6:$L$11,MATCH(B148,'Pair Matrix'!$A$6:$A$11,0))="PAIR-READY",H148="PASS",I148="PASS",J148&lt;='Assumptions'!$B$40,K148="ACCEPTED",L148="ACCEPTED"),"PASS","VALID-ADVERSE"))</x:f>
        <x:v>OPEN</x:v>
      </x:c>
    </x:row>
    <x:row r="149">
      <x:c r="A149" s="10" t="str">
        <x:v>PT-142</x:v>
      </x:c>
      <x:c r="B149" s="10" t="str">
        <x:v>PAIR-06</x:v>
      </x:c>
      <x:c r="C149" s="10" t="str">
        <x:v>AR-R</x:v>
      </x:c>
      <x:c r="D149" s="10" t="str">
        <x:v>AR-O</x:v>
      </x:c>
      <x:c r="E149" s="10" t="str">
        <x:v>BL-B</x:v>
      </x:c>
      <x:c r="F149" s="10" t="str">
        <x:v>C-3</x:v>
      </x:c>
      <x:c r="G149" s="10" t="str">
        <x:v>PT-2 mutual decoy</x:v>
      </x:c>
      <x:c r="H149" s="12"/>
      <x:c r="I149" s="12"/>
      <x:c r="J149" s="12"/>
      <x:c r="K149" s="12"/>
      <x:c r="L149" s="12"/>
      <x:c r="M149" s="10" t="str">
        <x:f>IF(OR(H149="",I149="",J149="",K149="",L149=""),"OPEN",IF(AND(INDEX('Pair Matrix'!$L$6:$L$11,MATCH(B149,'Pair Matrix'!$A$6:$A$11,0))="PAIR-READY",H149="PASS",I149="PASS",J149&lt;='Assumptions'!$B$40,K149="ACCEPTED",L149="ACCEPTED"),"PASS","VALID-ADVERSE"))</x:f>
        <x:v>OPEN</x:v>
      </x:c>
    </x:row>
    <x:row r="150">
      <x:c r="A150" s="10" t="str">
        <x:v>PT-143</x:v>
      </x:c>
      <x:c r="B150" s="10" t="str">
        <x:v>PAIR-06</x:v>
      </x:c>
      <x:c r="C150" s="10" t="str">
        <x:v>AR-R</x:v>
      </x:c>
      <x:c r="D150" s="10" t="str">
        <x:v>AR-O</x:v>
      </x:c>
      <x:c r="E150" s="10" t="str">
        <x:v>BL-B</x:v>
      </x:c>
      <x:c r="F150" s="10" t="str">
        <x:v>C-3</x:v>
      </x:c>
      <x:c r="G150" s="10" t="str">
        <x:v>PT-3 denied path split</x:v>
      </x:c>
      <x:c r="H150" s="12"/>
      <x:c r="I150" s="12"/>
      <x:c r="J150" s="12"/>
      <x:c r="K150" s="12"/>
      <x:c r="L150" s="12"/>
      <x:c r="M150" s="10" t="str">
        <x:f>IF(OR(H150="",I150="",J150="",K150="",L150=""),"OPEN",IF(AND(INDEX('Pair Matrix'!$L$6:$L$11,MATCH(B150,'Pair Matrix'!$A$6:$A$11,0))="PAIR-READY",H150="PASS",I150="PASS",J150&lt;='Assumptions'!$B$40,K150="ACCEPTED",L150="ACCEPTED"),"PASS","VALID-ADVERSE"))</x:f>
        <x:v>OPEN</x:v>
      </x:c>
    </x:row>
    <x:row r="151">
      <x:c r="A151" s="10" t="str">
        <x:v>PT-144</x:v>
      </x:c>
      <x:c r="B151" s="10" t="str">
        <x:v>PAIR-06</x:v>
      </x:c>
      <x:c r="C151" s="10" t="str">
        <x:v>AR-R</x:v>
      </x:c>
      <x:c r="D151" s="10" t="str">
        <x:v>AR-O</x:v>
      </x:c>
      <x:c r="E151" s="10" t="str">
        <x:v>BL-B</x:v>
      </x:c>
      <x:c r="F151" s="10" t="str">
        <x:v>C-3</x:v>
      </x:c>
      <x:c r="G151" s="10" t="str">
        <x:v>PT-4 carryover and replay</x:v>
      </x:c>
      <x:c r="H151" s="12"/>
      <x:c r="I151" s="12"/>
      <x:c r="J151" s="12"/>
      <x:c r="K151" s="12"/>
      <x:c r="L151" s="12"/>
      <x:c r="M151" s="10" t="str">
        <x:f>IF(OR(H151="",I151="",J151="",K151="",L151=""),"OPEN",IF(AND(INDEX('Pair Matrix'!$L$6:$L$11,MATCH(B151,'Pair Matrix'!$A$6:$A$11,0))="PAIR-READY",H151="PASS",I151="PASS",J151&lt;='Assumptions'!$B$40,K151="ACCEPTED",L151="ACCEPTED"),"PASS","VALID-ADVERSE"))</x:f>
        <x:v>OPEN</x:v>
      </x:c>
    </x:row>
  </x:sheetData>
  <x:mergeCells>
    <x:mergeCell ref="A2:M2"/>
    <x:mergeCell ref="A5:M5"/>
  </x:mergeCells>
  <x:conditionalFormatting sqref="M8:M151">
    <x:cfRule type="containsText" dxfId="24" priority="1" operator="containsText" text="DENY"/>
    <x:cfRule type="containsText" dxfId="25" priority="2" operator="containsText" text="ADVERSE"/>
    <x:cfRule type="containsText" dxfId="26" priority="3" operator="containsText" text="FAIL"/>
    <x:cfRule type="containsText" dxfId="27" priority="4" operator="containsText" text="OPEN"/>
    <x:cfRule type="containsText" dxfId="28" priority="5" operator="containsText" text="BLOCKED"/>
    <x:cfRule type="containsText" dxfId="29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32773a82c40f47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5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20" hidden="0" customWidth="1"/>
    <x:col min="12" max="12" width="24" hidden="0" customWidth="1"/>
    <x:col min="13" max="13" width="24" hidden="0" customWidth="1"/>
    <x:col min="14" max="14" width="15" hidden="0" customWidth="1"/>
    <x:col min="15" max="15" width="19" hidden="0" customWidth="1"/>
  </x:cols>
  <x:sheetData>
    <x:row r="2" ht="24" customHeight="1">
      <x:c r="A2" s="1" t="str">
        <x:v>Root-pair qualification and selection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8" t="str">
        <x:v>Pair</x:v>
      </x:c>
      <x:c r="B5" s="8" t="str">
        <x:v>Root A</x:v>
      </x:c>
      <x:c r="C5" s="8" t="str">
        <x:v>Root B</x:v>
      </x:c>
      <x:c r="D5" s="8" t="str">
        <x:v>Matrix state</x:v>
      </x:c>
      <x:c r="E5" s="8" t="str">
        <x:v>Trial passes</x:v>
      </x:c>
      <x:c r="F5" s="8" t="str">
        <x:v>Required passes</x:v>
      </x:c>
      <x:c r="G5" s="8" t="str">
        <x:v>Worst wrong code</x:v>
      </x:c>
      <x:c r="H5" s="8" t="str">
        <x:v>Worst carryover</x:v>
      </x:c>
      <x:c r="I5" s="8" t="str">
        <x:v>Minimum recovery</x:v>
      </x:c>
      <x:c r="J5" s="8" t="str">
        <x:v>Replay hours</x:v>
      </x:c>
      <x:c r="K5" s="8" t="str">
        <x:v>Authority decision</x:v>
      </x:c>
      <x:c r="L5" s="8" t="str">
        <x:v>State</x:v>
      </x:c>
      <x:c r="M5" s="8" t="str">
        <x:v>Lifecycle resource USD M</x:v>
      </x:c>
      <x:c r="N5" s="8" t="str">
        <x:v>Eligibility</x:v>
      </x:c>
      <x:c r="O5" s="8" t="str">
        <x:v>Lexicographic rank</x:v>
      </x:c>
    </x:row>
    <x:row r="6">
      <x:c r="A6" s="10" t="str">
        <x:f>'Pair Matrix'!A6</x:f>
        <x:v>PAIR-01</x:v>
      </x:c>
      <x:c r="B6" s="10" t="str">
        <x:f>'Pair Matrix'!B6</x:f>
        <x:v>AR-I</x:v>
      </x:c>
      <x:c r="C6" s="10" t="str">
        <x:f>'Pair Matrix'!C6</x:f>
        <x:v>AR-P</x:v>
      </x:c>
      <x:c r="D6" s="10" t="str">
        <x:f>'Pair Matrix'!L6</x:f>
        <x:v>OPEN</x:v>
      </x:c>
      <x:c r="E6" s="10" t="n">
        <x:f>COUNTIFS('Pair Trials'!$B$8:$B$151,A6,'Pair Trials'!$M$8:$M$151,"PASS")</x:f>
        <x:v>0</x:v>
      </x:c>
      <x:c r="F6" s="10" t="n">
        <x:v>24</x:v>
      </x:c>
      <x:c r="G6" s="10" t="str">
        <x:f>IF('Pair Matrix'!I6="","",'Pair Matrix'!I6)</x:f>
      </x:c>
      <x:c r="H6" s="10" t="str">
        <x:f>IF('Pair Matrix'!J6="","",'Pair Matrix'!J6)</x:f>
      </x:c>
      <x:c r="I6" s="10" t="str">
        <x:f>IF('Pair Matrix'!K6="","",'Pair Matrix'!K6)</x:f>
      </x:c>
      <x:c r="J6" s="10" t="str">
        <x:f>IF(E6=F6,COUNTIFS('Pair Trials'!$B$8:$B$151,A6,'Pair Trials'!$L$8:$L$151,"ACCEPTED")*2,"")</x:f>
      </x:c>
      <x:c r="K6" s="12"/>
      <x:c r="L6" s="10" t="str">
        <x:f>IF(OR(N6="OPEN",K6=""),"OPEN",IF(N6="DENY","DENY",IF(K6="SELECTED",IF(AND(COUNTIF($K$6:$K$11,"SELECTED")=1,O6=1),"SELECTED","DENY"),IF(K6="REJECTED","ELIGIBLE-NOT-SELECTED","OPEN"))))</x:f>
        <x:v>OPEN</x:v>
      </x:c>
      <x:c r="M6" s="12"/>
      <x:c r="N6" s="10" t="str">
        <x:f>IF(OR(D6="OPEN",M6=""),"OPEN",IF(AND(D6="PAIR-READY",E6=F6),"ELIGIBLE","DENY"))</x:f>
        <x:v>OPEN</x:v>
      </x:c>
      <x:c r="O6" s="10" t="str">
        <x:f>IF(N6&lt;&gt;"ELIGIBLE","",1+SUMPRODUCT(($N$6:$N$11="ELIGIBLE")*((($G$6:$G$11&lt;G6)+(($G$6:$G$11=G6)*($H$6:$H$11&lt;H6))+(($G$6:$G$11=G6)*($H$6:$H$11=H6)*($I$6:$I$11&gt;I6))+(($G$6:$G$11=G6)*($H$6:$H$11=H6)*($I$6:$I$11=I6)*($J$6:$J$11&lt;J6))+(($G$6:$G$11=G6)*($H$6:$H$11=H6)*($I$6:$I$11=I6)*($J$6:$J$11=J6)*($M$6:$M$11&lt;M6))+(($G$6:$G$11=G6)*($H$6:$H$11=H6)*($I$6:$I$11=I6)*($J$6:$J$11=J6)*($M$6:$M$11=M6)*(ROW($A$6:$A$11)&lt;ROW(A6))))&gt;0)))</x:f>
      </x:c>
    </x:row>
    <x:row r="7">
      <x:c r="A7" s="10" t="str">
        <x:f>'Pair Matrix'!A7</x:f>
        <x:v>PAIR-02</x:v>
      </x:c>
      <x:c r="B7" s="10" t="str">
        <x:f>'Pair Matrix'!B7</x:f>
        <x:v>AR-I</x:v>
      </x:c>
      <x:c r="C7" s="10" t="str">
        <x:f>'Pair Matrix'!C7</x:f>
        <x:v>AR-R</x:v>
      </x:c>
      <x:c r="D7" s="10" t="str">
        <x:f>'Pair Matrix'!L7</x:f>
        <x:v>OPEN</x:v>
      </x:c>
      <x:c r="E7" s="10" t="n">
        <x:f>COUNTIFS('Pair Trials'!$B$8:$B$151,A7,'Pair Trials'!$M$8:$M$151,"PASS")</x:f>
        <x:v>0</x:v>
      </x:c>
      <x:c r="F7" s="10" t="n">
        <x:v>24</x:v>
      </x:c>
      <x:c r="G7" s="10" t="str">
        <x:f>IF('Pair Matrix'!I7="","",'Pair Matrix'!I7)</x:f>
      </x:c>
      <x:c r="H7" s="10" t="str">
        <x:f>IF('Pair Matrix'!J7="","",'Pair Matrix'!J7)</x:f>
      </x:c>
      <x:c r="I7" s="10" t="str">
        <x:f>IF('Pair Matrix'!K7="","",'Pair Matrix'!K7)</x:f>
      </x:c>
      <x:c r="J7" s="10" t="str">
        <x:f>IF(E7=F7,COUNTIFS('Pair Trials'!$B$8:$B$151,A7,'Pair Trials'!$L$8:$L$151,"ACCEPTED")*2,"")</x:f>
      </x:c>
      <x:c r="K7" s="12"/>
      <x:c r="L7" s="10" t="str">
        <x:f>IF(OR(N7="OPEN",K7=""),"OPEN",IF(N7="DENY","DENY",IF(K7="SELECTED",IF(AND(COUNTIF($K$6:$K$11,"SELECTED")=1,O7=1),"SELECTED","DENY"),IF(K7="REJECTED","ELIGIBLE-NOT-SELECTED","OPEN"))))</x:f>
        <x:v>OPEN</x:v>
      </x:c>
      <x:c r="M7" s="12"/>
      <x:c r="N7" s="10" t="str">
        <x:f>IF(OR(D7="OPEN",M7=""),"OPEN",IF(AND(D7="PAIR-READY",E7=F7),"ELIGIBLE","DENY"))</x:f>
        <x:v>OPEN</x:v>
      </x:c>
      <x:c r="O7" s="10" t="str">
        <x:f>IF(N7&lt;&gt;"ELIGIBLE","",1+SUMPRODUCT(($N$6:$N$11="ELIGIBLE")*((($G$6:$G$11&lt;G7)+(($G$6:$G$11=G7)*($H$6:$H$11&lt;H7))+(($G$6:$G$11=G7)*($H$6:$H$11=H7)*($I$6:$I$11&gt;I7))+(($G$6:$G$11=G7)*($H$6:$H$11=H7)*($I$6:$I$11=I7)*($J$6:$J$11&lt;J7))+(($G$6:$G$11=G7)*($H$6:$H$11=H7)*($I$6:$I$11=I7)*($J$6:$J$11=J7)*($M$6:$M$11&lt;M7))+(($G$6:$G$11=G7)*($H$6:$H$11=H7)*($I$6:$I$11=I7)*($J$6:$J$11=J7)*($M$6:$M$11=M7)*(ROW($A$6:$A$11)&lt;ROW(A7))))&gt;0)))</x:f>
      </x:c>
    </x:row>
    <x:row r="8">
      <x:c r="A8" s="10" t="str">
        <x:f>'Pair Matrix'!A8</x:f>
        <x:v>PAIR-03</x:v>
      </x:c>
      <x:c r="B8" s="10" t="str">
        <x:f>'Pair Matrix'!B8</x:f>
        <x:v>AR-I</x:v>
      </x:c>
      <x:c r="C8" s="10" t="str">
        <x:f>'Pair Matrix'!C8</x:f>
        <x:v>AR-O</x:v>
      </x:c>
      <x:c r="D8" s="10" t="str">
        <x:f>'Pair Matrix'!L8</x:f>
        <x:v>OPEN</x:v>
      </x:c>
      <x:c r="E8" s="10" t="n">
        <x:f>COUNTIFS('Pair Trials'!$B$8:$B$151,A8,'Pair Trials'!$M$8:$M$151,"PASS")</x:f>
        <x:v>0</x:v>
      </x:c>
      <x:c r="F8" s="10" t="n">
        <x:v>24</x:v>
      </x:c>
      <x:c r="G8" s="10" t="str">
        <x:f>IF('Pair Matrix'!I8="","",'Pair Matrix'!I8)</x:f>
      </x:c>
      <x:c r="H8" s="10" t="str">
        <x:f>IF('Pair Matrix'!J8="","",'Pair Matrix'!J8)</x:f>
      </x:c>
      <x:c r="I8" s="10" t="str">
        <x:f>IF('Pair Matrix'!K8="","",'Pair Matrix'!K8)</x:f>
      </x:c>
      <x:c r="J8" s="10" t="str">
        <x:f>IF(E8=F8,COUNTIFS('Pair Trials'!$B$8:$B$151,A8,'Pair Trials'!$L$8:$L$151,"ACCEPTED")*2,"")</x:f>
      </x:c>
      <x:c r="K8" s="12"/>
      <x:c r="L8" s="10" t="str">
        <x:f>IF(OR(N8="OPEN",K8=""),"OPEN",IF(N8="DENY","DENY",IF(K8="SELECTED",IF(AND(COUNTIF($K$6:$K$11,"SELECTED")=1,O8=1),"SELECTED","DENY"),IF(K8="REJECTED","ELIGIBLE-NOT-SELECTED","OPEN"))))</x:f>
        <x:v>OPEN</x:v>
      </x:c>
      <x:c r="M8" s="12"/>
      <x:c r="N8" s="10" t="str">
        <x:f>IF(OR(D8="OPEN",M8=""),"OPEN",IF(AND(D8="PAIR-READY",E8=F8),"ELIGIBLE","DENY"))</x:f>
        <x:v>OPEN</x:v>
      </x:c>
      <x:c r="O8" s="10" t="str">
        <x:f>IF(N8&lt;&gt;"ELIGIBLE","",1+SUMPRODUCT(($N$6:$N$11="ELIGIBLE")*((($G$6:$G$11&lt;G8)+(($G$6:$G$11=G8)*($H$6:$H$11&lt;H8))+(($G$6:$G$11=G8)*($H$6:$H$11=H8)*($I$6:$I$11&gt;I8))+(($G$6:$G$11=G8)*($H$6:$H$11=H8)*($I$6:$I$11=I8)*($J$6:$J$11&lt;J8))+(($G$6:$G$11=G8)*($H$6:$H$11=H8)*($I$6:$I$11=I8)*($J$6:$J$11=J8)*($M$6:$M$11&lt;M8))+(($G$6:$G$11=G8)*($H$6:$H$11=H8)*($I$6:$I$11=I8)*($J$6:$J$11=J8)*($M$6:$M$11=M8)*(ROW($A$6:$A$11)&lt;ROW(A8))))&gt;0)))</x:f>
      </x:c>
    </x:row>
    <x:row r="9">
      <x:c r="A9" s="10" t="str">
        <x:f>'Pair Matrix'!A9</x:f>
        <x:v>PAIR-04</x:v>
      </x:c>
      <x:c r="B9" s="10" t="str">
        <x:f>'Pair Matrix'!B9</x:f>
        <x:v>AR-P</x:v>
      </x:c>
      <x:c r="C9" s="10" t="str">
        <x:f>'Pair Matrix'!C9</x:f>
        <x:v>AR-R</x:v>
      </x:c>
      <x:c r="D9" s="10" t="str">
        <x:f>'Pair Matrix'!L9</x:f>
        <x:v>OPEN</x:v>
      </x:c>
      <x:c r="E9" s="10" t="n">
        <x:f>COUNTIFS('Pair Trials'!$B$8:$B$151,A9,'Pair Trials'!$M$8:$M$151,"PASS")</x:f>
        <x:v>0</x:v>
      </x:c>
      <x:c r="F9" s="10" t="n">
        <x:v>24</x:v>
      </x:c>
      <x:c r="G9" s="10" t="str">
        <x:f>IF('Pair Matrix'!I9="","",'Pair Matrix'!I9)</x:f>
      </x:c>
      <x:c r="H9" s="10" t="str">
        <x:f>IF('Pair Matrix'!J9="","",'Pair Matrix'!J9)</x:f>
      </x:c>
      <x:c r="I9" s="10" t="str">
        <x:f>IF('Pair Matrix'!K9="","",'Pair Matrix'!K9)</x:f>
      </x:c>
      <x:c r="J9" s="10" t="str">
        <x:f>IF(E9=F9,COUNTIFS('Pair Trials'!$B$8:$B$151,A9,'Pair Trials'!$L$8:$L$151,"ACCEPTED")*2,"")</x:f>
      </x:c>
      <x:c r="K9" s="12"/>
      <x:c r="L9" s="10" t="str">
        <x:f>IF(OR(N9="OPEN",K9=""),"OPEN",IF(N9="DENY","DENY",IF(K9="SELECTED",IF(AND(COUNTIF($K$6:$K$11,"SELECTED")=1,O9=1),"SELECTED","DENY"),IF(K9="REJECTED","ELIGIBLE-NOT-SELECTED","OPEN"))))</x:f>
        <x:v>OPEN</x:v>
      </x:c>
      <x:c r="M9" s="12"/>
      <x:c r="N9" s="10" t="str">
        <x:f>IF(OR(D9="OPEN",M9=""),"OPEN",IF(AND(D9="PAIR-READY",E9=F9),"ELIGIBLE","DENY"))</x:f>
        <x:v>OPEN</x:v>
      </x:c>
      <x:c r="O9" s="10" t="str">
        <x:f>IF(N9&lt;&gt;"ELIGIBLE","",1+SUMPRODUCT(($N$6:$N$11="ELIGIBLE")*((($G$6:$G$11&lt;G9)+(($G$6:$G$11=G9)*($H$6:$H$11&lt;H9))+(($G$6:$G$11=G9)*($H$6:$H$11=H9)*($I$6:$I$11&gt;I9))+(($G$6:$G$11=G9)*($H$6:$H$11=H9)*($I$6:$I$11=I9)*($J$6:$J$11&lt;J9))+(($G$6:$G$11=G9)*($H$6:$H$11=H9)*($I$6:$I$11=I9)*($J$6:$J$11=J9)*($M$6:$M$11&lt;M9))+(($G$6:$G$11=G9)*($H$6:$H$11=H9)*($I$6:$I$11=I9)*($J$6:$J$11=J9)*($M$6:$M$11=M9)*(ROW($A$6:$A$11)&lt;ROW(A9))))&gt;0)))</x:f>
      </x:c>
    </x:row>
    <x:row r="10">
      <x:c r="A10" s="10" t="str">
        <x:f>'Pair Matrix'!A10</x:f>
        <x:v>PAIR-05</x:v>
      </x:c>
      <x:c r="B10" s="10" t="str">
        <x:f>'Pair Matrix'!B10</x:f>
        <x:v>AR-P</x:v>
      </x:c>
      <x:c r="C10" s="10" t="str">
        <x:f>'Pair Matrix'!C10</x:f>
        <x:v>AR-O</x:v>
      </x:c>
      <x:c r="D10" s="10" t="str">
        <x:f>'Pair Matrix'!L10</x:f>
        <x:v>OPEN</x:v>
      </x:c>
      <x:c r="E10" s="10" t="n">
        <x:f>COUNTIFS('Pair Trials'!$B$8:$B$151,A10,'Pair Trials'!$M$8:$M$151,"PASS")</x:f>
        <x:v>0</x:v>
      </x:c>
      <x:c r="F10" s="10" t="n">
        <x:v>24</x:v>
      </x:c>
      <x:c r="G10" s="10" t="str">
        <x:f>IF('Pair Matrix'!I10="","",'Pair Matrix'!I10)</x:f>
      </x:c>
      <x:c r="H10" s="10" t="str">
        <x:f>IF('Pair Matrix'!J10="","",'Pair Matrix'!J10)</x:f>
      </x:c>
      <x:c r="I10" s="10" t="str">
        <x:f>IF('Pair Matrix'!K10="","",'Pair Matrix'!K10)</x:f>
      </x:c>
      <x:c r="J10" s="10" t="str">
        <x:f>IF(E10=F10,COUNTIFS('Pair Trials'!$B$8:$B$151,A10,'Pair Trials'!$L$8:$L$151,"ACCEPTED")*2,"")</x:f>
      </x:c>
      <x:c r="K10" s="12"/>
      <x:c r="L10" s="10" t="str">
        <x:f>IF(OR(N10="OPEN",K10=""),"OPEN",IF(N10="DENY","DENY",IF(K10="SELECTED",IF(AND(COUNTIF($K$6:$K$11,"SELECTED")=1,O10=1),"SELECTED","DENY"),IF(K10="REJECTED","ELIGIBLE-NOT-SELECTED","OPEN"))))</x:f>
        <x:v>OPEN</x:v>
      </x:c>
      <x:c r="M10" s="12"/>
      <x:c r="N10" s="10" t="str">
        <x:f>IF(OR(D10="OPEN",M10=""),"OPEN",IF(AND(D10="PAIR-READY",E10=F10),"ELIGIBLE","DENY"))</x:f>
        <x:v>OPEN</x:v>
      </x:c>
      <x:c r="O10" s="10" t="str">
        <x:f>IF(N10&lt;&gt;"ELIGIBLE","",1+SUMPRODUCT(($N$6:$N$11="ELIGIBLE")*((($G$6:$G$11&lt;G10)+(($G$6:$G$11=G10)*($H$6:$H$11&lt;H10))+(($G$6:$G$11=G10)*($H$6:$H$11=H10)*($I$6:$I$11&gt;I10))+(($G$6:$G$11=G10)*($H$6:$H$11=H10)*($I$6:$I$11=I10)*($J$6:$J$11&lt;J10))+(($G$6:$G$11=G10)*($H$6:$H$11=H10)*($I$6:$I$11=I10)*($J$6:$J$11=J10)*($M$6:$M$11&lt;M10))+(($G$6:$G$11=G10)*($H$6:$H$11=H10)*($I$6:$I$11=I10)*($J$6:$J$11=J10)*($M$6:$M$11=M10)*(ROW($A$6:$A$11)&lt;ROW(A10))))&gt;0)))</x:f>
      </x:c>
    </x:row>
    <x:row r="11">
      <x:c r="A11" s="10" t="str">
        <x:f>'Pair Matrix'!A11</x:f>
        <x:v>PAIR-06</x:v>
      </x:c>
      <x:c r="B11" s="10" t="str">
        <x:f>'Pair Matrix'!B11</x:f>
        <x:v>AR-R</x:v>
      </x:c>
      <x:c r="C11" s="10" t="str">
        <x:f>'Pair Matrix'!C11</x:f>
        <x:v>AR-O</x:v>
      </x:c>
      <x:c r="D11" s="10" t="str">
        <x:f>'Pair Matrix'!L11</x:f>
        <x:v>OPEN</x:v>
      </x:c>
      <x:c r="E11" s="10" t="n">
        <x:f>COUNTIFS('Pair Trials'!$B$8:$B$151,A11,'Pair Trials'!$M$8:$M$151,"PASS")</x:f>
        <x:v>0</x:v>
      </x:c>
      <x:c r="F11" s="10" t="n">
        <x:v>24</x:v>
      </x:c>
      <x:c r="G11" s="10" t="str">
        <x:f>IF('Pair Matrix'!I11="","",'Pair Matrix'!I11)</x:f>
      </x:c>
      <x:c r="H11" s="10" t="str">
        <x:f>IF('Pair Matrix'!J11="","",'Pair Matrix'!J11)</x:f>
      </x:c>
      <x:c r="I11" s="10" t="str">
        <x:f>IF('Pair Matrix'!K11="","",'Pair Matrix'!K11)</x:f>
      </x:c>
      <x:c r="J11" s="10" t="str">
        <x:f>IF(E11=F11,COUNTIFS('Pair Trials'!$B$8:$B$151,A11,'Pair Trials'!$L$8:$L$151,"ACCEPTED")*2,"")</x:f>
      </x:c>
      <x:c r="K11" s="12"/>
      <x:c r="L11" s="10" t="str">
        <x:f>IF(OR(N11="OPEN",K11=""),"OPEN",IF(N11="DENY","DENY",IF(K11="SELECTED",IF(AND(COUNTIF($K$6:$K$11,"SELECTED")=1,O11=1),"SELECTED","DENY"),IF(K11="REJECTED","ELIGIBLE-NOT-SELECTED","OPEN"))))</x:f>
        <x:v>OPEN</x:v>
      </x:c>
      <x:c r="M11" s="12"/>
      <x:c r="N11" s="10" t="str">
        <x:f>IF(OR(D11="OPEN",M11=""),"OPEN",IF(AND(D11="PAIR-READY",E11=F11),"ELIGIBLE","DENY"))</x:f>
        <x:v>OPEN</x:v>
      </x:c>
      <x:c r="O11" s="10" t="str">
        <x:f>IF(N11&lt;&gt;"ELIGIBLE","",1+SUMPRODUCT(($N$6:$N$11="ELIGIBLE")*((($G$6:$G$11&lt;G11)+(($G$6:$G$11=G11)*($H$6:$H$11&lt;H11))+(($G$6:$G$11=G11)*($H$6:$H$11=H11)*($I$6:$I$11&gt;I11))+(($G$6:$G$11=G11)*($H$6:$H$11=H11)*($I$6:$I$11=I11)*($J$6:$J$11&lt;J11))+(($G$6:$G$11=G11)*($H$6:$H$11=H11)*($I$6:$I$11=I11)*($J$6:$J$11=J11)*($M$6:$M$11&lt;M11))+(($G$6:$G$11=G11)*($H$6:$H$11=H11)*($I$6:$I$11=I11)*($J$6:$J$11=J11)*($M$6:$M$11=M11)*(ROW($A$6:$A$11)&lt;ROW(A11))))&gt;0)))</x:f>
      </x:c>
    </x:row>
    <x:row r="14">
      <x:c r="A14" s="8" t="str">
        <x:v>Selection identity</x:v>
      </x:c>
      <x:c r="B14" s="8" t="str">
        <x:v>Value</x:v>
      </x:c>
    </x:row>
    <x:row r="15">
      <x:c r="A15" s="10" t="str">
        <x:v>Selected pair</x:v>
      </x:c>
      <x:c r="B15" s="10" t="str">
        <x:f>IF(COUNTIF(L6:L11,"SELECTED")=1,INDEX(A6:A11,MATCH("SELECTED",L6:L11,0)),"OPEN")</x:f>
        <x:v>OPEN</x:v>
      </x:c>
    </x:row>
    <x:row r="16">
      <x:c r="A16" s="10" t="str">
        <x:v>Selected Root A</x:v>
      </x:c>
      <x:c r="B16" s="10" t="str">
        <x:f>IF(B15="OPEN","",INDEX(B6:B11,MATCH(B15,A6:A11,0)))</x:f>
      </x:c>
    </x:row>
    <x:row r="17">
      <x:c r="A17" s="10" t="str">
        <x:v>Selected Root B</x:v>
      </x:c>
      <x:c r="B17" s="10" t="str">
        <x:f>IF(B15="OPEN","",INDEX(C6:C11,MATCH(B15,A6:A11,0)))</x:f>
      </x:c>
    </x:row>
  </x:sheetData>
  <x:mergeCells>
    <x:mergeCell ref="A2:L2"/>
  </x:mergeCells>
  <x:conditionalFormatting sqref="L6:L11">
    <x:cfRule type="containsText" dxfId="30" priority="1" operator="containsText" text="DENY"/>
    <x:cfRule type="containsText" dxfId="31" priority="2" operator="containsText" text="ADVERSE"/>
    <x:cfRule type="containsText" dxfId="32" priority="3" operator="containsText" text="FAIL"/>
    <x:cfRule type="containsText" dxfId="33" priority="4" operator="containsText" text="OPEN"/>
    <x:cfRule type="containsText" dxfId="34" priority="5" operator="containsText" text="BLOCKED"/>
    <x:cfRule type="containsText" dxfId="35" priority="6" operator="containsText" text="REBASE"/>
  </x:conditionalFormatting>
  <x:conditionalFormatting sqref="B15:B17">
    <x:cfRule type="containsText" dxfId="36" priority="7" operator="containsText" text="DENY"/>
    <x:cfRule type="containsText" dxfId="37" priority="8" operator="containsText" text="ADVERSE"/>
    <x:cfRule type="containsText" dxfId="38" priority="9" operator="containsText" text="FAIL"/>
    <x:cfRule type="containsText" dxfId="39" priority="10" operator="containsText" text="OPEN"/>
    <x:cfRule type="containsText" dxfId="40" priority="11" operator="containsText" text="BLOCKED"/>
    <x:cfRule type="containsText" dxfId="41" priority="12" operator="containsText" text="REBASE"/>
  </x:conditionalFormatting>
  <x:conditionalFormatting sqref="N6:N11">
    <x:cfRule type="containsText" dxfId="180" priority="13" operator="containsText" text="DENY"/>
    <x:cfRule type="containsText" dxfId="181" priority="14" operator="containsText" text="ADVERSE"/>
    <x:cfRule type="containsText" dxfId="182" priority="15" operator="containsText" text="FAIL"/>
    <x:cfRule type="containsText" dxfId="183" priority="16" operator="containsText" text="OPEN"/>
    <x:cfRule type="containsText" dxfId="184" priority="17" operator="containsText" text="BLOCKED"/>
    <x:cfRule type="containsText" dxfId="185" priority="18" operator="containsText" text="REBASE"/>
  </x:conditionalFormatting>
  <x:pageMargins left="0.7" right="0.7" top="0.75" bottom="0.75" header="0.3" footer="0.3"/>
  <x:tableParts count="2">
    <x:tablePart xmlns:r="http://schemas.openxmlformats.org/officeDocument/2006/relationships" r:id="Rdc0e5cac946a4878"/>
    <x:tablePart xmlns:r="http://schemas.openxmlformats.org/officeDocument/2006/relationships" r:id="R68173dceacfc40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8" hidden="0" customWidth="1"/>
    <x:col min="5" max="5" width="18" hidden="0" customWidth="1"/>
    <x:col min="6" max="6" width="17" hidden="0" customWidth="1"/>
    <x:col min="7" max="7" width="19" hidden="0" customWidth="1"/>
    <x:col min="8" max="8" width="21" hidden="0" customWidth="1"/>
    <x:col min="9" max="9" width="18" hidden="0" customWidth="1"/>
    <x:col min="10" max="10" width="15" hidden="0" customWidth="1"/>
  </x:cols>
  <x:sheetData>
    <x:row r="2" ht="24" customHeight="1">
      <x:c r="A2" s="1" t="str">
        <x:v>Blind three-by-four class crossover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8" t="str">
        <x:v>Event</x:v>
      </x:c>
      <x:c r="B5" s="8" t="str">
        <x:v>Role</x:v>
      </x:c>
      <x:c r="C5" s="8" t="str">
        <x:v>Water identity</x:v>
      </x:c>
      <x:c r="D5" s="8" t="str">
        <x:v>Simulant identity</x:v>
      </x:c>
      <x:c r="E5" s="8" t="str">
        <x:v>Pair</x:v>
      </x:c>
      <x:c r="F5" s="8" t="str">
        <x:v>Water frequency</x:v>
      </x:c>
      <x:c r="G5" s="8" t="str">
        <x:v>Simulant frequency</x:v>
      </x:c>
      <x:c r="H5" s="8" t="str">
        <x:v>Trustee commitment</x:v>
      </x:c>
      <x:c r="I5" s="8" t="str">
        <x:v>Threshold reveal</x:v>
      </x:c>
      <x:c r="J5" s="8" t="str">
        <x:v>State</x:v>
      </x:c>
    </x:row>
    <x:row r="6">
      <x:c r="A6" s="10" t="str">
        <x:v>EV-01</x:v>
      </x:c>
      <x:c r="B6" s="10" t="str">
        <x:v>PRIMARY</x:v>
      </x:c>
      <x:c r="C6" s="10" t="str">
        <x:v>W-A</x:v>
      </x:c>
      <x:c r="D6" s="10" t="str">
        <x:v>S-1</x:v>
      </x:c>
      <x:c r="E6" s="10" t="str">
        <x:v>W-A / S-1</x:v>
      </x:c>
      <x:c r="F6" s="10" t="n">
        <x:f>IF(C6="","",COUNTIF($C$6:$C$17,C6))</x:f>
        <x:v>4</x:v>
      </x:c>
      <x:c r="G6" s="10" t="n">
        <x:f>IF(D6="","",COUNTIF($D$6:$D$17,D6))</x:f>
        <x:v>3</x:v>
      </x:c>
      <x:c r="H6" s="12"/>
      <x:c r="I6" s="12"/>
      <x:c r="J6" s="10" t="str">
        <x:f>IF(B6="RESERVE",IF(COUNTA(C6:I6)=0,"DORMANT","OPEN"),IF(OR(H6="",I6=""),"OPEN",IF(AND(F6=4,G6=3,H6="ACCEPTED",I6="ACCEPTED"),"ACCEPTED","DENY")))</x:f>
        <x:v>OPEN</x:v>
      </x:c>
    </x:row>
    <x:row r="7">
      <x:c r="A7" s="10" t="str">
        <x:v>EV-02</x:v>
      </x:c>
      <x:c r="B7" s="10" t="str">
        <x:v>PRIMARY</x:v>
      </x:c>
      <x:c r="C7" s="10" t="str">
        <x:v>W-B</x:v>
      </x:c>
      <x:c r="D7" s="10" t="str">
        <x:v>S-2</x:v>
      </x:c>
      <x:c r="E7" s="10" t="str">
        <x:v>W-B / S-2</x:v>
      </x:c>
      <x:c r="F7" s="10" t="n">
        <x:f>IF(C7="","",COUNTIF($C$6:$C$17,C7))</x:f>
        <x:v>4</x:v>
      </x:c>
      <x:c r="G7" s="10" t="n">
        <x:f>IF(D7="","",COUNTIF($D$6:$D$17,D7))</x:f>
        <x:v>3</x:v>
      </x:c>
      <x:c r="H7" s="12"/>
      <x:c r="I7" s="12"/>
      <x:c r="J7" s="10" t="str">
        <x:f>IF(B7="RESERVE",IF(COUNTA(C7:I7)=0,"DORMANT","OPEN"),IF(OR(H7="",I7=""),"OPEN",IF(AND(F7=4,G7=3,H7="ACCEPTED",I7="ACCEPTED"),"ACCEPTED","DENY")))</x:f>
        <x:v>OPEN</x:v>
      </x:c>
    </x:row>
    <x:row r="8">
      <x:c r="A8" s="10" t="str">
        <x:v>EV-03</x:v>
      </x:c>
      <x:c r="B8" s="10" t="str">
        <x:v>PRIMARY</x:v>
      </x:c>
      <x:c r="C8" s="10" t="str">
        <x:v>W-C</x:v>
      </x:c>
      <x:c r="D8" s="10" t="str">
        <x:v>S-3</x:v>
      </x:c>
      <x:c r="E8" s="10" t="str">
        <x:v>W-C / S-3</x:v>
      </x:c>
      <x:c r="F8" s="10" t="n">
        <x:f>IF(C8="","",COUNTIF($C$6:$C$17,C8))</x:f>
        <x:v>4</x:v>
      </x:c>
      <x:c r="G8" s="10" t="n">
        <x:f>IF(D8="","",COUNTIF($D$6:$D$17,D8))</x:f>
        <x:v>3</x:v>
      </x:c>
      <x:c r="H8" s="12"/>
      <x:c r="I8" s="12"/>
      <x:c r="J8" s="10" t="str">
        <x:f>IF(B8="RESERVE",IF(COUNTA(C8:I8)=0,"DORMANT","OPEN"),IF(OR(H8="",I8=""),"OPEN",IF(AND(F8=4,G8=3,H8="ACCEPTED",I8="ACCEPTED"),"ACCEPTED","DENY")))</x:f>
        <x:v>OPEN</x:v>
      </x:c>
    </x:row>
    <x:row r="9">
      <x:c r="A9" s="10" t="str">
        <x:v>EV-04</x:v>
      </x:c>
      <x:c r="B9" s="10" t="str">
        <x:v>PRIMARY</x:v>
      </x:c>
      <x:c r="C9" s="10" t="str">
        <x:v>W-A</x:v>
      </x:c>
      <x:c r="D9" s="10" t="str">
        <x:v>S-4</x:v>
      </x:c>
      <x:c r="E9" s="10" t="str">
        <x:v>W-A / S-4</x:v>
      </x:c>
      <x:c r="F9" s="10" t="n">
        <x:f>IF(C9="","",COUNTIF($C$6:$C$17,C9))</x:f>
        <x:v>4</x:v>
      </x:c>
      <x:c r="G9" s="10" t="n">
        <x:f>IF(D9="","",COUNTIF($D$6:$D$17,D9))</x:f>
        <x:v>3</x:v>
      </x:c>
      <x:c r="H9" s="12"/>
      <x:c r="I9" s="12"/>
      <x:c r="J9" s="10" t="str">
        <x:f>IF(B9="RESERVE",IF(COUNTA(C9:I9)=0,"DORMANT","OPEN"),IF(OR(H9="",I9=""),"OPEN",IF(AND(F9=4,G9=3,H9="ACCEPTED",I9="ACCEPTED"),"ACCEPTED","DENY")))</x:f>
        <x:v>OPEN</x:v>
      </x:c>
    </x:row>
    <x:row r="10">
      <x:c r="A10" s="10" t="str">
        <x:v>EV-05</x:v>
      </x:c>
      <x:c r="B10" s="10" t="str">
        <x:v>PRIMARY</x:v>
      </x:c>
      <x:c r="C10" s="10" t="str">
        <x:v>W-B</x:v>
      </x:c>
      <x:c r="D10" s="10" t="str">
        <x:v>S-1</x:v>
      </x:c>
      <x:c r="E10" s="10" t="str">
        <x:v>W-B / S-1</x:v>
      </x:c>
      <x:c r="F10" s="10" t="n">
        <x:f>IF(C10="","",COUNTIF($C$6:$C$17,C10))</x:f>
        <x:v>4</x:v>
      </x:c>
      <x:c r="G10" s="10" t="n">
        <x:f>IF(D10="","",COUNTIF($D$6:$D$17,D10))</x:f>
        <x:v>3</x:v>
      </x:c>
      <x:c r="H10" s="12"/>
      <x:c r="I10" s="12"/>
      <x:c r="J10" s="10" t="str">
        <x:f>IF(B10="RESERVE",IF(COUNTA(C10:I10)=0,"DORMANT","OPEN"),IF(OR(H10="",I10=""),"OPEN",IF(AND(F10=4,G10=3,H10="ACCEPTED",I10="ACCEPTED"),"ACCEPTED","DENY")))</x:f>
        <x:v>OPEN</x:v>
      </x:c>
    </x:row>
    <x:row r="11">
      <x:c r="A11" s="10" t="str">
        <x:v>EV-06</x:v>
      </x:c>
      <x:c r="B11" s="10" t="str">
        <x:v>PRIMARY</x:v>
      </x:c>
      <x:c r="C11" s="10" t="str">
        <x:v>W-C</x:v>
      </x:c>
      <x:c r="D11" s="10" t="str">
        <x:v>S-2</x:v>
      </x:c>
      <x:c r="E11" s="10" t="str">
        <x:v>W-C / S-2</x:v>
      </x:c>
      <x:c r="F11" s="10" t="n">
        <x:f>IF(C11="","",COUNTIF($C$6:$C$17,C11))</x:f>
        <x:v>4</x:v>
      </x:c>
      <x:c r="G11" s="10" t="n">
        <x:f>IF(D11="","",COUNTIF($D$6:$D$17,D11))</x:f>
        <x:v>3</x:v>
      </x:c>
      <x:c r="H11" s="12"/>
      <x:c r="I11" s="12"/>
      <x:c r="J11" s="10" t="str">
        <x:f>IF(B11="RESERVE",IF(COUNTA(C11:I11)=0,"DORMANT","OPEN"),IF(OR(H11="",I11=""),"OPEN",IF(AND(F11=4,G11=3,H11="ACCEPTED",I11="ACCEPTED"),"ACCEPTED","DENY")))</x:f>
        <x:v>OPEN</x:v>
      </x:c>
    </x:row>
    <x:row r="12">
      <x:c r="A12" s="10" t="str">
        <x:v>EV-07</x:v>
      </x:c>
      <x:c r="B12" s="10" t="str">
        <x:v>PRIMARY</x:v>
      </x:c>
      <x:c r="C12" s="10" t="str">
        <x:v>W-A</x:v>
      </x:c>
      <x:c r="D12" s="10" t="str">
        <x:v>S-3</x:v>
      </x:c>
      <x:c r="E12" s="10" t="str">
        <x:v>W-A / S-3</x:v>
      </x:c>
      <x:c r="F12" s="10" t="n">
        <x:f>IF(C12="","",COUNTIF($C$6:$C$17,C12))</x:f>
        <x:v>4</x:v>
      </x:c>
      <x:c r="G12" s="10" t="n">
        <x:f>IF(D12="","",COUNTIF($D$6:$D$17,D12))</x:f>
        <x:v>3</x:v>
      </x:c>
      <x:c r="H12" s="12"/>
      <x:c r="I12" s="12"/>
      <x:c r="J12" s="10" t="str">
        <x:f>IF(B12="RESERVE",IF(COUNTA(C12:I12)=0,"DORMANT","OPEN"),IF(OR(H12="",I12=""),"OPEN",IF(AND(F12=4,G12=3,H12="ACCEPTED",I12="ACCEPTED"),"ACCEPTED","DENY")))</x:f>
        <x:v>OPEN</x:v>
      </x:c>
    </x:row>
    <x:row r="13">
      <x:c r="A13" s="10" t="str">
        <x:v>EV-08</x:v>
      </x:c>
      <x:c r="B13" s="10" t="str">
        <x:v>PRIMARY</x:v>
      </x:c>
      <x:c r="C13" s="10" t="str">
        <x:v>W-B</x:v>
      </x:c>
      <x:c r="D13" s="10" t="str">
        <x:v>S-4</x:v>
      </x:c>
      <x:c r="E13" s="10" t="str">
        <x:v>W-B / S-4</x:v>
      </x:c>
      <x:c r="F13" s="10" t="n">
        <x:f>IF(C13="","",COUNTIF($C$6:$C$17,C13))</x:f>
        <x:v>4</x:v>
      </x:c>
      <x:c r="G13" s="10" t="n">
        <x:f>IF(D13="","",COUNTIF($D$6:$D$17,D13))</x:f>
        <x:v>3</x:v>
      </x:c>
      <x:c r="H13" s="12"/>
      <x:c r="I13" s="12"/>
      <x:c r="J13" s="10" t="str">
        <x:f>IF(B13="RESERVE",IF(COUNTA(C13:I13)=0,"DORMANT","OPEN"),IF(OR(H13="",I13=""),"OPEN",IF(AND(F13=4,G13=3,H13="ACCEPTED",I13="ACCEPTED"),"ACCEPTED","DENY")))</x:f>
        <x:v>OPEN</x:v>
      </x:c>
    </x:row>
    <x:row r="14">
      <x:c r="A14" s="10" t="str">
        <x:v>EV-09</x:v>
      </x:c>
      <x:c r="B14" s="10" t="str">
        <x:v>PRIMARY</x:v>
      </x:c>
      <x:c r="C14" s="10" t="str">
        <x:v>W-C</x:v>
      </x:c>
      <x:c r="D14" s="10" t="str">
        <x:v>S-1</x:v>
      </x:c>
      <x:c r="E14" s="10" t="str">
        <x:v>W-C / S-1</x:v>
      </x:c>
      <x:c r="F14" s="10" t="n">
        <x:f>IF(C14="","",COUNTIF($C$6:$C$17,C14))</x:f>
        <x:v>4</x:v>
      </x:c>
      <x:c r="G14" s="10" t="n">
        <x:f>IF(D14="","",COUNTIF($D$6:$D$17,D14))</x:f>
        <x:v>3</x:v>
      </x:c>
      <x:c r="H14" s="12"/>
      <x:c r="I14" s="12"/>
      <x:c r="J14" s="10" t="str">
        <x:f>IF(B14="RESERVE",IF(COUNTA(C14:I14)=0,"DORMANT","OPEN"),IF(OR(H14="",I14=""),"OPEN",IF(AND(F14=4,G14=3,H14="ACCEPTED",I14="ACCEPTED"),"ACCEPTED","DENY")))</x:f>
        <x:v>OPEN</x:v>
      </x:c>
    </x:row>
    <x:row r="15">
      <x:c r="A15" s="10" t="str">
        <x:v>EV-10</x:v>
      </x:c>
      <x:c r="B15" s="10" t="str">
        <x:v>PRIMARY</x:v>
      </x:c>
      <x:c r="C15" s="10" t="str">
        <x:v>W-A</x:v>
      </x:c>
      <x:c r="D15" s="10" t="str">
        <x:v>S-2</x:v>
      </x:c>
      <x:c r="E15" s="10" t="str">
        <x:v>W-A / S-2</x:v>
      </x:c>
      <x:c r="F15" s="10" t="n">
        <x:f>IF(C15="","",COUNTIF($C$6:$C$17,C15))</x:f>
        <x:v>4</x:v>
      </x:c>
      <x:c r="G15" s="10" t="n">
        <x:f>IF(D15="","",COUNTIF($D$6:$D$17,D15))</x:f>
        <x:v>3</x:v>
      </x:c>
      <x:c r="H15" s="12"/>
      <x:c r="I15" s="12"/>
      <x:c r="J15" s="10" t="str">
        <x:f>IF(B15="RESERVE",IF(COUNTA(C15:I15)=0,"DORMANT","OPEN"),IF(OR(H15="",I15=""),"OPEN",IF(AND(F15=4,G15=3,H15="ACCEPTED",I15="ACCEPTED"),"ACCEPTED","DENY")))</x:f>
        <x:v>OPEN</x:v>
      </x:c>
    </x:row>
    <x:row r="16">
      <x:c r="A16" s="10" t="str">
        <x:v>EV-11</x:v>
      </x:c>
      <x:c r="B16" s="10" t="str">
        <x:v>PRIMARY</x:v>
      </x:c>
      <x:c r="C16" s="10" t="str">
        <x:v>W-B</x:v>
      </x:c>
      <x:c r="D16" s="10" t="str">
        <x:v>S-3</x:v>
      </x:c>
      <x:c r="E16" s="10" t="str">
        <x:v>W-B / S-3</x:v>
      </x:c>
      <x:c r="F16" s="10" t="n">
        <x:f>IF(C16="","",COUNTIF($C$6:$C$17,C16))</x:f>
        <x:v>4</x:v>
      </x:c>
      <x:c r="G16" s="10" t="n">
        <x:f>IF(D16="","",COUNTIF($D$6:$D$17,D16))</x:f>
        <x:v>3</x:v>
      </x:c>
      <x:c r="H16" s="12"/>
      <x:c r="I16" s="12"/>
      <x:c r="J16" s="10" t="str">
        <x:f>IF(B16="RESERVE",IF(COUNTA(C16:I16)=0,"DORMANT","OPEN"),IF(OR(H16="",I16=""),"OPEN",IF(AND(F16=4,G16=3,H16="ACCEPTED",I16="ACCEPTED"),"ACCEPTED","DENY")))</x:f>
        <x:v>OPEN</x:v>
      </x:c>
    </x:row>
    <x:row r="17">
      <x:c r="A17" s="10" t="str">
        <x:v>EV-12</x:v>
      </x:c>
      <x:c r="B17" s="10" t="str">
        <x:v>PRIMARY</x:v>
      </x:c>
      <x:c r="C17" s="10" t="str">
        <x:v>W-C</x:v>
      </x:c>
      <x:c r="D17" s="10" t="str">
        <x:v>S-4</x:v>
      </x:c>
      <x:c r="E17" s="10" t="str">
        <x:v>W-C / S-4</x:v>
      </x:c>
      <x:c r="F17" s="10" t="n">
        <x:f>IF(C17="","",COUNTIF($C$6:$C$17,C17))</x:f>
        <x:v>4</x:v>
      </x:c>
      <x:c r="G17" s="10" t="n">
        <x:f>IF(D17="","",COUNTIF($D$6:$D$17,D17))</x:f>
        <x:v>3</x:v>
      </x:c>
      <x:c r="H17" s="12"/>
      <x:c r="I17" s="12"/>
      <x:c r="J17" s="10" t="str">
        <x:f>IF(B17="RESERVE",IF(COUNTA(C17:I17)=0,"DORMANT","OPEN"),IF(OR(H17="",I17=""),"OPEN",IF(AND(F17=4,G17=3,H17="ACCEPTED",I17="ACCEPTED"),"ACCEPTED","DENY")))</x:f>
        <x:v>OPEN</x:v>
      </x:c>
    </x:row>
    <x:row r="18">
      <x:c r="A18" s="10" t="str">
        <x:v>EV-13</x:v>
      </x:c>
      <x:c r="B18" s="10" t="str">
        <x:v>RESERVE</x:v>
      </x:c>
      <x:c r="C18" s="12"/>
      <x:c r="D18" s="12"/>
      <x:c r="E18" s="12"/>
      <x:c r="F18" s="12" t="str">
        <x:f>IF(C18="","",COUNTIF($C$6:$C$17,C18))</x:f>
      </x:c>
      <x:c r="G18" s="12" t="str">
        <x:f>IF(D18="","",COUNTIF($D$6:$D$17,D18))</x:f>
      </x:c>
      <x:c r="H18" s="12"/>
      <x:c r="I18" s="12"/>
      <x:c r="J18" s="10" t="str">
        <x:f>IF(B18="RESERVE",IF(COUNTA(C18:I18)=0,"DORMANT","OPEN"),IF(OR(H18="",I18=""),"OPEN",IF(AND(F18=4,G18=3,H18="ACCEPTED",I18="ACCEPTED"),"ACCEPTED","DENY")))</x:f>
        <x:v>OPEN</x:v>
      </x:c>
    </x:row>
    <x:row r="19">
      <x:c r="A19" s="10" t="str">
        <x:v>EV-14</x:v>
      </x:c>
      <x:c r="B19" s="10" t="str">
        <x:v>RESERVE</x:v>
      </x:c>
      <x:c r="C19" s="12"/>
      <x:c r="D19" s="12"/>
      <x:c r="E19" s="12"/>
      <x:c r="F19" s="12" t="str">
        <x:f>IF(C19="","",COUNTIF($C$6:$C$17,C19))</x:f>
      </x:c>
      <x:c r="G19" s="12" t="str">
        <x:f>IF(D19="","",COUNTIF($D$6:$D$17,D19))</x:f>
      </x:c>
      <x:c r="H19" s="12"/>
      <x:c r="I19" s="12"/>
      <x:c r="J19" s="10" t="str">
        <x:f>IF(B19="RESERVE",IF(COUNTA(C19:I19)=0,"DORMANT","OPEN"),IF(OR(H19="",I19=""),"OPEN",IF(AND(F19=4,G19=3,H19="ACCEPTED",I19="ACCEPTED"),"ACCEPTED","DENY")))</x:f>
        <x:v>OPEN</x:v>
      </x:c>
    </x:row>
    <x:row r="20">
      <x:c r="A20" s="10" t="str">
        <x:v>EV-15</x:v>
      </x:c>
      <x:c r="B20" s="10" t="str">
        <x:v>RESERVE</x:v>
      </x:c>
      <x:c r="C20" s="12"/>
      <x:c r="D20" s="12"/>
      <x:c r="E20" s="12"/>
      <x:c r="F20" s="12" t="str">
        <x:f>IF(C20="","",COUNTIF($C$6:$C$17,C20))</x:f>
      </x:c>
      <x:c r="G20" s="12" t="str">
        <x:f>IF(D20="","",COUNTIF($D$6:$D$17,D20))</x:f>
      </x:c>
      <x:c r="H20" s="12"/>
      <x:c r="I20" s="12"/>
      <x:c r="J20" s="10" t="str">
        <x:f>IF(B20="RESERVE",IF(COUNTA(C20:I20)=0,"DORMANT","OPEN"),IF(OR(H20="",I20=""),"OPEN",IF(AND(F20=4,G20=3,H20="ACCEPTED",I20="ACCEPTED"),"ACCEPTED","DENY")))</x:f>
        <x:v>OPEN</x:v>
      </x:c>
    </x:row>
    <x:row r="21">
      <x:c r="A21" s="10" t="str">
        <x:v>EV-16</x:v>
      </x:c>
      <x:c r="B21" s="10" t="str">
        <x:v>RESERVE</x:v>
      </x:c>
      <x:c r="C21" s="12"/>
      <x:c r="D21" s="12"/>
      <x:c r="E21" s="12"/>
      <x:c r="F21" s="12" t="str">
        <x:f>IF(C21="","",COUNTIF($C$6:$C$17,C21))</x:f>
      </x:c>
      <x:c r="G21" s="12" t="str">
        <x:f>IF(D21="","",COUNTIF($D$6:$D$17,D21))</x:f>
      </x:c>
      <x:c r="H21" s="12"/>
      <x:c r="I21" s="12"/>
      <x:c r="J21" s="10" t="str">
        <x:f>IF(B21="RESERVE",IF(COUNTA(C21:I21)=0,"DORMANT","OPEN"),IF(OR(H21="",I21=""),"OPEN",IF(AND(F21=4,G21=3,H21="ACCEPTED",I21="ACCEPTED"),"ACCEPTED","DENY")))</x:f>
        <x:v>OPEN</x:v>
      </x:c>
    </x:row>
  </x:sheetData>
  <x:mergeCells>
    <x:mergeCell ref="A2:J2"/>
  </x:mergeCells>
  <x:conditionalFormatting sqref="J6:J21">
    <x:cfRule type="containsText" dxfId="42" priority="1" operator="containsText" text="DENY"/>
    <x:cfRule type="containsText" dxfId="43" priority="2" operator="containsText" text="ADVERSE"/>
    <x:cfRule type="containsText" dxfId="44" priority="3" operator="containsText" text="FAIL"/>
    <x:cfRule type="containsText" dxfId="45" priority="4" operator="containsText" text="OPEN"/>
    <x:cfRule type="containsText" dxfId="46" priority="5" operator="containsText" text="BLOCKED"/>
    <x:cfRule type="containsText" dxfId="47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19e65e9251974c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3" hidden="0" customWidth="1"/>
    <x:col min="5" max="5" width="12" hidden="0" customWidth="1"/>
    <x:col min="6" max="6" width="15" hidden="0" customWidth="1"/>
    <x:col min="7" max="7" width="21" hidden="0" customWidth="1"/>
    <x:col min="8" max="8" width="18" hidden="0" customWidth="1"/>
    <x:col min="9" max="9" width="17" hidden="0" customWidth="1"/>
    <x:col min="10" max="10" width="15" hidden="0" customWidth="1"/>
    <x:col min="11" max="11" width="20" hidden="0" customWidth="1"/>
    <x:col min="12" max="12" width="15" hidden="0" customWidth="1"/>
  </x:cols>
  <x:sheetData>
    <x:row r="2" ht="24" customHeight="1">
      <x:c r="A2" s="1" t="str">
        <x:v>Eighteen selected-pair ancestry modules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8" t="str">
        <x:v>Module</x:v>
      </x:c>
      <x:c r="B5" s="8" t="str">
        <x:v>Role</x:v>
      </x:c>
      <x:c r="C5" s="8" t="str">
        <x:v>Primary root</x:v>
      </x:c>
      <x:c r="D5" s="8" t="str">
        <x:v>Lineage</x:v>
      </x:c>
      <x:c r="E5" s="8" t="str">
        <x:v>Campus</x:v>
      </x:c>
      <x:c r="F5" s="8" t="str">
        <x:v>Exact cell</x:v>
      </x:c>
      <x:c r="G5" s="8" t="str">
        <x:v>Root-native sampler</x:v>
      </x:c>
      <x:c r="H5" s="8" t="str">
        <x:v>Reader isolation</x:v>
      </x:c>
      <x:c r="I5" s="8" t="str">
        <x:v>Code baseline</x:v>
      </x:c>
      <x:c r="J5" s="8" t="str">
        <x:v>Safeing</x:v>
      </x:c>
      <x:c r="K5" s="8" t="str">
        <x:v>Qualification passes</x:v>
      </x:c>
      <x:c r="L5" s="8" t="str">
        <x:v>State</x:v>
      </x:c>
    </x:row>
    <x:row r="6">
      <x:c r="A6" s="10" t="str">
        <x:v>ADM-01</x:v>
      </x:c>
      <x:c r="B6" s="10" t="str">
        <x:v>ACTIVE</x:v>
      </x:c>
      <x:c r="C6" s="10" t="str">
        <x:f>IF('Pair Decision'!B16="","",'Pair Decision'!B16)</x:f>
      </x:c>
      <x:c r="D6" s="10" t="str">
        <x:v>BL-A</x:v>
      </x:c>
      <x:c r="E6" s="10" t="str">
        <x:v>C-1</x:v>
      </x:c>
      <x:c r="F6" s="10" t="str">
        <x:v>CELL-01</x:v>
      </x:c>
      <x:c r="G6" s="12"/>
      <x:c r="H6" s="12"/>
      <x:c r="I6" s="12"/>
      <x:c r="J6" s="12"/>
      <x:c r="K6" s="10" t="n">
        <x:f>COUNTIFS('Qualification Cycles'!$B$8:$B$103,A6,'Qualification Cycles'!$W$8:$W$103,"PASS")</x:f>
        <x:v>0</x:v>
      </x:c>
      <x:c r="L6" s="10" t="str">
        <x:f>IF(C6="","OPEN",IF(COUNTA(G6:J6)&lt;4,"OPEN",IF(B6="FORENSIC",IF(AND(G6="ACCEPTED",H6="ACCEPTED",I6="ACCEPTED",J6="ACCEPTED"),"PROTECTED","DENY"),IF(AND(G6="ACCEPTED",H6="ACCEPTED",I6="ACCEPTED",J6="ACCEPTED",K6=6),"ACCEPTED","DENY"))))</x:f>
        <x:v>OPEN</x:v>
      </x:c>
    </x:row>
    <x:row r="7">
      <x:c r="A7" s="10" t="str">
        <x:v>ADM-02</x:v>
      </x:c>
      <x:c r="B7" s="10" t="str">
        <x:v>ACTIVE</x:v>
      </x:c>
      <x:c r="C7" s="10" t="str">
        <x:f>IF('Pair Decision'!B17="","",'Pair Decision'!B17)</x:f>
      </x:c>
      <x:c r="D7" s="10" t="str">
        <x:v>BL-B</x:v>
      </x:c>
      <x:c r="E7" s="10" t="str">
        <x:v>C-1</x:v>
      </x:c>
      <x:c r="F7" s="10" t="str">
        <x:v>CELL-02</x:v>
      </x:c>
      <x:c r="G7" s="12"/>
      <x:c r="H7" s="12"/>
      <x:c r="I7" s="12"/>
      <x:c r="J7" s="12"/>
      <x:c r="K7" s="10" t="n">
        <x:f>COUNTIFS('Qualification Cycles'!$B$8:$B$103,A7,'Qualification Cycles'!$W$8:$W$103,"PASS")</x:f>
        <x:v>0</x:v>
      </x:c>
      <x:c r="L7" s="10" t="str">
        <x:f>IF(C7="","OPEN",IF(COUNTA(G7:J7)&lt;4,"OPEN",IF(B7="FORENSIC",IF(AND(G7="ACCEPTED",H7="ACCEPTED",I7="ACCEPTED",J7="ACCEPTED"),"PROTECTED","DENY"),IF(AND(G7="ACCEPTED",H7="ACCEPTED",I7="ACCEPTED",J7="ACCEPTED",K7=6),"ACCEPTED","DENY"))))</x:f>
        <x:v>OPEN</x:v>
      </x:c>
    </x:row>
    <x:row r="8">
      <x:c r="A8" s="10" t="str">
        <x:v>ADM-03</x:v>
      </x:c>
      <x:c r="B8" s="10" t="str">
        <x:v>ACTIVE</x:v>
      </x:c>
      <x:c r="C8" s="10" t="str">
        <x:f>IF('Pair Decision'!B16="","",'Pair Decision'!B16)</x:f>
      </x:c>
      <x:c r="D8" s="10" t="str">
        <x:v>BL-B</x:v>
      </x:c>
      <x:c r="E8" s="10" t="str">
        <x:v>C-1</x:v>
      </x:c>
      <x:c r="F8" s="10" t="str">
        <x:v>CELL-03</x:v>
      </x:c>
      <x:c r="G8" s="12"/>
      <x:c r="H8" s="12"/>
      <x:c r="I8" s="12"/>
      <x:c r="J8" s="12"/>
      <x:c r="K8" s="10" t="n">
        <x:f>COUNTIFS('Qualification Cycles'!$B$8:$B$103,A8,'Qualification Cycles'!$W$8:$W$103,"PASS")</x:f>
        <x:v>0</x:v>
      </x:c>
      <x:c r="L8" s="10" t="str">
        <x:f>IF(C8="","OPEN",IF(COUNTA(G8:J8)&lt;4,"OPEN",IF(B8="FORENSIC",IF(AND(G8="ACCEPTED",H8="ACCEPTED",I8="ACCEPTED",J8="ACCEPTED"),"PROTECTED","DENY"),IF(AND(G8="ACCEPTED",H8="ACCEPTED",I8="ACCEPTED",J8="ACCEPTED",K8=6),"ACCEPTED","DENY"))))</x:f>
        <x:v>OPEN</x:v>
      </x:c>
    </x:row>
    <x:row r="9">
      <x:c r="A9" s="10" t="str">
        <x:v>ADM-04</x:v>
      </x:c>
      <x:c r="B9" s="10" t="str">
        <x:v>ACTIVE</x:v>
      </x:c>
      <x:c r="C9" s="10" t="str">
        <x:f>IF('Pair Decision'!B17="","",'Pair Decision'!B17)</x:f>
      </x:c>
      <x:c r="D9" s="10" t="str">
        <x:v>BL-A</x:v>
      </x:c>
      <x:c r="E9" s="10" t="str">
        <x:v>C-1</x:v>
      </x:c>
      <x:c r="F9" s="10" t="str">
        <x:v>CELL-04</x:v>
      </x:c>
      <x:c r="G9" s="12"/>
      <x:c r="H9" s="12"/>
      <x:c r="I9" s="12"/>
      <x:c r="J9" s="12"/>
      <x:c r="K9" s="10" t="n">
        <x:f>COUNTIFS('Qualification Cycles'!$B$8:$B$103,A9,'Qualification Cycles'!$W$8:$W$103,"PASS")</x:f>
        <x:v>0</x:v>
      </x:c>
      <x:c r="L9" s="10" t="str">
        <x:f>IF(C9="","OPEN",IF(COUNTA(G9:J9)&lt;4,"OPEN",IF(B9="FORENSIC",IF(AND(G9="ACCEPTED",H9="ACCEPTED",I9="ACCEPTED",J9="ACCEPTED"),"PROTECTED","DENY"),IF(AND(G9="ACCEPTED",H9="ACCEPTED",I9="ACCEPTED",J9="ACCEPTED",K9=6),"ACCEPTED","DENY"))))</x:f>
        <x:v>OPEN</x:v>
      </x:c>
    </x:row>
    <x:row r="10">
      <x:c r="A10" s="10" t="str">
        <x:v>ADM-05</x:v>
      </x:c>
      <x:c r="B10" s="10" t="str">
        <x:v>ACTIVE</x:v>
      </x:c>
      <x:c r="C10" s="10" t="str">
        <x:f>IF('Pair Decision'!B16="","",'Pair Decision'!B16)</x:f>
      </x:c>
      <x:c r="D10" s="10" t="str">
        <x:v>BL-A</x:v>
      </x:c>
      <x:c r="E10" s="10" t="str">
        <x:v>C-2</x:v>
      </x:c>
      <x:c r="F10" s="10" t="str">
        <x:v>CELL-05</x:v>
      </x:c>
      <x:c r="G10" s="12"/>
      <x:c r="H10" s="12"/>
      <x:c r="I10" s="12"/>
      <x:c r="J10" s="12"/>
      <x:c r="K10" s="10" t="n">
        <x:f>COUNTIFS('Qualification Cycles'!$B$8:$B$103,A10,'Qualification Cycles'!$W$8:$W$103,"PASS")</x:f>
        <x:v>0</x:v>
      </x:c>
      <x:c r="L10" s="10" t="str">
        <x:f>IF(C10="","OPEN",IF(COUNTA(G10:J10)&lt;4,"OPEN",IF(B10="FORENSIC",IF(AND(G10="ACCEPTED",H10="ACCEPTED",I10="ACCEPTED",J10="ACCEPTED"),"PROTECTED","DENY"),IF(AND(G10="ACCEPTED",H10="ACCEPTED",I10="ACCEPTED",J10="ACCEPTED",K10=6),"ACCEPTED","DENY"))))</x:f>
        <x:v>OPEN</x:v>
      </x:c>
    </x:row>
    <x:row r="11">
      <x:c r="A11" s="10" t="str">
        <x:v>ADM-06</x:v>
      </x:c>
      <x:c r="B11" s="10" t="str">
        <x:v>ACTIVE</x:v>
      </x:c>
      <x:c r="C11" s="10" t="str">
        <x:f>IF('Pair Decision'!B17="","",'Pair Decision'!B17)</x:f>
      </x:c>
      <x:c r="D11" s="10" t="str">
        <x:v>BL-B</x:v>
      </x:c>
      <x:c r="E11" s="10" t="str">
        <x:v>C-2</x:v>
      </x:c>
      <x:c r="F11" s="10" t="str">
        <x:v>CELL-06</x:v>
      </x:c>
      <x:c r="G11" s="12"/>
      <x:c r="H11" s="12"/>
      <x:c r="I11" s="12"/>
      <x:c r="J11" s="12"/>
      <x:c r="K11" s="10" t="n">
        <x:f>COUNTIFS('Qualification Cycles'!$B$8:$B$103,A11,'Qualification Cycles'!$W$8:$W$103,"PASS")</x:f>
        <x:v>0</x:v>
      </x:c>
      <x:c r="L11" s="10" t="str">
        <x:f>IF(C11="","OPEN",IF(COUNTA(G11:J11)&lt;4,"OPEN",IF(B11="FORENSIC",IF(AND(G11="ACCEPTED",H11="ACCEPTED",I11="ACCEPTED",J11="ACCEPTED"),"PROTECTED","DENY"),IF(AND(G11="ACCEPTED",H11="ACCEPTED",I11="ACCEPTED",J11="ACCEPTED",K11=6),"ACCEPTED","DENY"))))</x:f>
        <x:v>OPEN</x:v>
      </x:c>
    </x:row>
    <x:row r="12">
      <x:c r="A12" s="10" t="str">
        <x:v>ADM-07</x:v>
      </x:c>
      <x:c r="B12" s="10" t="str">
        <x:v>ACTIVE</x:v>
      </x:c>
      <x:c r="C12" s="10" t="str">
        <x:f>IF('Pair Decision'!B16="","",'Pair Decision'!B16)</x:f>
      </x:c>
      <x:c r="D12" s="10" t="str">
        <x:v>BL-B</x:v>
      </x:c>
      <x:c r="E12" s="10" t="str">
        <x:v>C-2</x:v>
      </x:c>
      <x:c r="F12" s="10" t="str">
        <x:v>CELL-07</x:v>
      </x:c>
      <x:c r="G12" s="12"/>
      <x:c r="H12" s="12"/>
      <x:c r="I12" s="12"/>
      <x:c r="J12" s="12"/>
      <x:c r="K12" s="10" t="n">
        <x:f>COUNTIFS('Qualification Cycles'!$B$8:$B$103,A12,'Qualification Cycles'!$W$8:$W$103,"PASS")</x:f>
        <x:v>0</x:v>
      </x:c>
      <x:c r="L12" s="10" t="str">
        <x:f>IF(C12="","OPEN",IF(COUNTA(G12:J12)&lt;4,"OPEN",IF(B12="FORENSIC",IF(AND(G12="ACCEPTED",H12="ACCEPTED",I12="ACCEPTED",J12="ACCEPTED"),"PROTECTED","DENY"),IF(AND(G12="ACCEPTED",H12="ACCEPTED",I12="ACCEPTED",J12="ACCEPTED",K12=6),"ACCEPTED","DENY"))))</x:f>
        <x:v>OPEN</x:v>
      </x:c>
    </x:row>
    <x:row r="13">
      <x:c r="A13" s="10" t="str">
        <x:v>ADM-08</x:v>
      </x:c>
      <x:c r="B13" s="10" t="str">
        <x:v>ACTIVE</x:v>
      </x:c>
      <x:c r="C13" s="10" t="str">
        <x:f>IF('Pair Decision'!B17="","",'Pair Decision'!B17)</x:f>
      </x:c>
      <x:c r="D13" s="10" t="str">
        <x:v>BL-A</x:v>
      </x:c>
      <x:c r="E13" s="10" t="str">
        <x:v>C-2</x:v>
      </x:c>
      <x:c r="F13" s="10" t="str">
        <x:v>CELL-08</x:v>
      </x:c>
      <x:c r="G13" s="12"/>
      <x:c r="H13" s="12"/>
      <x:c r="I13" s="12"/>
      <x:c r="J13" s="12"/>
      <x:c r="K13" s="10" t="n">
        <x:f>COUNTIFS('Qualification Cycles'!$B$8:$B$103,A13,'Qualification Cycles'!$W$8:$W$103,"PASS")</x:f>
        <x:v>0</x:v>
      </x:c>
      <x:c r="L13" s="10" t="str">
        <x:f>IF(C13="","OPEN",IF(COUNTA(G13:J13)&lt;4,"OPEN",IF(B13="FORENSIC",IF(AND(G13="ACCEPTED",H13="ACCEPTED",I13="ACCEPTED",J13="ACCEPTED"),"PROTECTED","DENY"),IF(AND(G13="ACCEPTED",H13="ACCEPTED",I13="ACCEPTED",J13="ACCEPTED",K13=6),"ACCEPTED","DENY"))))</x:f>
        <x:v>OPEN</x:v>
      </x:c>
    </x:row>
    <x:row r="14">
      <x:c r="A14" s="10" t="str">
        <x:v>ADM-09</x:v>
      </x:c>
      <x:c r="B14" s="10" t="str">
        <x:v>ACTIVE</x:v>
      </x:c>
      <x:c r="C14" s="10" t="str">
        <x:f>IF('Pair Decision'!B16="","",'Pair Decision'!B16)</x:f>
      </x:c>
      <x:c r="D14" s="10" t="str">
        <x:v>BL-A</x:v>
      </x:c>
      <x:c r="E14" s="10" t="str">
        <x:v>C-3</x:v>
      </x:c>
      <x:c r="F14" s="10" t="str">
        <x:v>CELL-09</x:v>
      </x:c>
      <x:c r="G14" s="12"/>
      <x:c r="H14" s="12"/>
      <x:c r="I14" s="12"/>
      <x:c r="J14" s="12"/>
      <x:c r="K14" s="10" t="n">
        <x:f>COUNTIFS('Qualification Cycles'!$B$8:$B$103,A14,'Qualification Cycles'!$W$8:$W$103,"PASS")</x:f>
        <x:v>0</x:v>
      </x:c>
      <x:c r="L14" s="10" t="str">
        <x:f>IF(C14="","OPEN",IF(COUNTA(G14:J14)&lt;4,"OPEN",IF(B14="FORENSIC",IF(AND(G14="ACCEPTED",H14="ACCEPTED",I14="ACCEPTED",J14="ACCEPTED"),"PROTECTED","DENY"),IF(AND(G14="ACCEPTED",H14="ACCEPTED",I14="ACCEPTED",J14="ACCEPTED",K14=6),"ACCEPTED","DENY"))))</x:f>
        <x:v>OPEN</x:v>
      </x:c>
    </x:row>
    <x:row r="15">
      <x:c r="A15" s="10" t="str">
        <x:v>ADM-10</x:v>
      </x:c>
      <x:c r="B15" s="10" t="str">
        <x:v>ACTIVE</x:v>
      </x:c>
      <x:c r="C15" s="10" t="str">
        <x:f>IF('Pair Decision'!B17="","",'Pair Decision'!B17)</x:f>
      </x:c>
      <x:c r="D15" s="10" t="str">
        <x:v>BL-B</x:v>
      </x:c>
      <x:c r="E15" s="10" t="str">
        <x:v>C-3</x:v>
      </x:c>
      <x:c r="F15" s="10" t="str">
        <x:v>CELL-10</x:v>
      </x:c>
      <x:c r="G15" s="12"/>
      <x:c r="H15" s="12"/>
      <x:c r="I15" s="12"/>
      <x:c r="J15" s="12"/>
      <x:c r="K15" s="10" t="n">
        <x:f>COUNTIFS('Qualification Cycles'!$B$8:$B$103,A15,'Qualification Cycles'!$W$8:$W$103,"PASS")</x:f>
        <x:v>0</x:v>
      </x:c>
      <x:c r="L15" s="10" t="str">
        <x:f>IF(C15="","OPEN",IF(COUNTA(G15:J15)&lt;4,"OPEN",IF(B15="FORENSIC",IF(AND(G15="ACCEPTED",H15="ACCEPTED",I15="ACCEPTED",J15="ACCEPTED"),"PROTECTED","DENY"),IF(AND(G15="ACCEPTED",H15="ACCEPTED",I15="ACCEPTED",J15="ACCEPTED",K15=6),"ACCEPTED","DENY"))))</x:f>
        <x:v>OPEN</x:v>
      </x:c>
    </x:row>
    <x:row r="16">
      <x:c r="A16" s="10" t="str">
        <x:v>ADM-11</x:v>
      </x:c>
      <x:c r="B16" s="10" t="str">
        <x:v>ACTIVE</x:v>
      </x:c>
      <x:c r="C16" s="10" t="str">
        <x:f>IF('Pair Decision'!B16="","",'Pair Decision'!B16)</x:f>
      </x:c>
      <x:c r="D16" s="10" t="str">
        <x:v>BL-B</x:v>
      </x:c>
      <x:c r="E16" s="10" t="str">
        <x:v>C-3</x:v>
      </x:c>
      <x:c r="F16" s="10" t="str">
        <x:v>CELL-11</x:v>
      </x:c>
      <x:c r="G16" s="12"/>
      <x:c r="H16" s="12"/>
      <x:c r="I16" s="12"/>
      <x:c r="J16" s="12"/>
      <x:c r="K16" s="10" t="n">
        <x:f>COUNTIFS('Qualification Cycles'!$B$8:$B$103,A16,'Qualification Cycles'!$W$8:$W$103,"PASS")</x:f>
        <x:v>0</x:v>
      </x:c>
      <x:c r="L16" s="10" t="str">
        <x:f>IF(C16="","OPEN",IF(COUNTA(G16:J16)&lt;4,"OPEN",IF(B16="FORENSIC",IF(AND(G16="ACCEPTED",H16="ACCEPTED",I16="ACCEPTED",J16="ACCEPTED"),"PROTECTED","DENY"),IF(AND(G16="ACCEPTED",H16="ACCEPTED",I16="ACCEPTED",J16="ACCEPTED",K16=6),"ACCEPTED","DENY"))))</x:f>
        <x:v>OPEN</x:v>
      </x:c>
    </x:row>
    <x:row r="17">
      <x:c r="A17" s="10" t="str">
        <x:v>ADM-12</x:v>
      </x:c>
      <x:c r="B17" s="10" t="str">
        <x:v>ACTIVE</x:v>
      </x:c>
      <x:c r="C17" s="10" t="str">
        <x:f>IF('Pair Decision'!B17="","",'Pair Decision'!B17)</x:f>
      </x:c>
      <x:c r="D17" s="10" t="str">
        <x:v>BL-A</x:v>
      </x:c>
      <x:c r="E17" s="10" t="str">
        <x:v>C-3</x:v>
      </x:c>
      <x:c r="F17" s="10" t="str">
        <x:v>CELL-12</x:v>
      </x:c>
      <x:c r="G17" s="12"/>
      <x:c r="H17" s="12"/>
      <x:c r="I17" s="12"/>
      <x:c r="J17" s="12"/>
      <x:c r="K17" s="10" t="n">
        <x:f>COUNTIFS('Qualification Cycles'!$B$8:$B$103,A17,'Qualification Cycles'!$W$8:$W$103,"PASS")</x:f>
        <x:v>0</x:v>
      </x:c>
      <x:c r="L17" s="10" t="str">
        <x:f>IF(C17="","OPEN",IF(COUNTA(G17:J17)&lt;4,"OPEN",IF(B17="FORENSIC",IF(AND(G17="ACCEPTED",H17="ACCEPTED",I17="ACCEPTED",J17="ACCEPTED"),"PROTECTED","DENY"),IF(AND(G17="ACCEPTED",H17="ACCEPTED",I17="ACCEPTED",J17="ACCEPTED",K17=6),"ACCEPTED","DENY"))))</x:f>
        <x:v>OPEN</x:v>
      </x:c>
    </x:row>
    <x:row r="18">
      <x:c r="A18" s="10" t="str">
        <x:v>ADM-13</x:v>
      </x:c>
      <x:c r="B18" s="10" t="str">
        <x:v>OPERATIONAL SPARE</x:v>
      </x:c>
      <x:c r="C18" s="10" t="str">
        <x:f>IF('Pair Decision'!B16="","",'Pair Decision'!B16)</x:f>
      </x:c>
      <x:c r="D18" s="10" t="str">
        <x:v>BL-A</x:v>
      </x:c>
      <x:c r="E18" s="10" t="str">
        <x:v>C-1</x:v>
      </x:c>
      <x:c r="F18" s="10"/>
      <x:c r="G18" s="12"/>
      <x:c r="H18" s="12"/>
      <x:c r="I18" s="12"/>
      <x:c r="J18" s="12"/>
      <x:c r="K18" s="10" t="n">
        <x:f>COUNTIFS('Qualification Cycles'!$B$8:$B$103,A18,'Qualification Cycles'!$W$8:$W$103,"PASS")</x:f>
        <x:v>0</x:v>
      </x:c>
      <x:c r="L18" s="10" t="str">
        <x:f>IF(C18="","OPEN",IF(COUNTA(G18:J18)&lt;4,"OPEN",IF(B18="FORENSIC",IF(AND(G18="ACCEPTED",H18="ACCEPTED",I18="ACCEPTED",J18="ACCEPTED"),"PROTECTED","DENY"),IF(AND(G18="ACCEPTED",H18="ACCEPTED",I18="ACCEPTED",J18="ACCEPTED",K18=6),"ACCEPTED","DENY"))))</x:f>
        <x:v>OPEN</x:v>
      </x:c>
    </x:row>
    <x:row r="19">
      <x:c r="A19" s="10" t="str">
        <x:v>ADM-14</x:v>
      </x:c>
      <x:c r="B19" s="10" t="str">
        <x:v>OPERATIONAL SPARE</x:v>
      </x:c>
      <x:c r="C19" s="10" t="str">
        <x:f>IF('Pair Decision'!B16="","",'Pair Decision'!B16)</x:f>
      </x:c>
      <x:c r="D19" s="10" t="str">
        <x:v>BL-B</x:v>
      </x:c>
      <x:c r="E19" s="10" t="str">
        <x:v>C-2</x:v>
      </x:c>
      <x:c r="F19" s="10"/>
      <x:c r="G19" s="12"/>
      <x:c r="H19" s="12"/>
      <x:c r="I19" s="12"/>
      <x:c r="J19" s="12"/>
      <x:c r="K19" s="10" t="n">
        <x:f>COUNTIFS('Qualification Cycles'!$B$8:$B$103,A19,'Qualification Cycles'!$W$8:$W$103,"PASS")</x:f>
        <x:v>0</x:v>
      </x:c>
      <x:c r="L19" s="10" t="str">
        <x:f>IF(C19="","OPEN",IF(COUNTA(G19:J19)&lt;4,"OPEN",IF(B19="FORENSIC",IF(AND(G19="ACCEPTED",H19="ACCEPTED",I19="ACCEPTED",J19="ACCEPTED"),"PROTECTED","DENY"),IF(AND(G19="ACCEPTED",H19="ACCEPTED",I19="ACCEPTED",J19="ACCEPTED",K19=6),"ACCEPTED","DENY"))))</x:f>
        <x:v>OPEN</x:v>
      </x:c>
    </x:row>
    <x:row r="20">
      <x:c r="A20" s="10" t="str">
        <x:v>ADM-15</x:v>
      </x:c>
      <x:c r="B20" s="10" t="str">
        <x:v>OPERATIONAL SPARE</x:v>
      </x:c>
      <x:c r="C20" s="10" t="str">
        <x:f>IF('Pair Decision'!B17="","",'Pair Decision'!B17)</x:f>
      </x:c>
      <x:c r="D20" s="10" t="str">
        <x:v>BL-A</x:v>
      </x:c>
      <x:c r="E20" s="10" t="str">
        <x:v>C-3</x:v>
      </x:c>
      <x:c r="F20" s="10"/>
      <x:c r="G20" s="12"/>
      <x:c r="H20" s="12"/>
      <x:c r="I20" s="12"/>
      <x:c r="J20" s="12"/>
      <x:c r="K20" s="10" t="n">
        <x:f>COUNTIFS('Qualification Cycles'!$B$8:$B$103,A20,'Qualification Cycles'!$W$8:$W$103,"PASS")</x:f>
        <x:v>0</x:v>
      </x:c>
      <x:c r="L20" s="10" t="str">
        <x:f>IF(C20="","OPEN",IF(COUNTA(G20:J20)&lt;4,"OPEN",IF(B20="FORENSIC",IF(AND(G20="ACCEPTED",H20="ACCEPTED",I20="ACCEPTED",J20="ACCEPTED"),"PROTECTED","DENY"),IF(AND(G20="ACCEPTED",H20="ACCEPTED",I20="ACCEPTED",J20="ACCEPTED",K20=6),"ACCEPTED","DENY"))))</x:f>
        <x:v>OPEN</x:v>
      </x:c>
    </x:row>
    <x:row r="21">
      <x:c r="A21" s="10" t="str">
        <x:v>ADM-16</x:v>
      </x:c>
      <x:c r="B21" s="10" t="str">
        <x:v>OPERATIONAL SPARE</x:v>
      </x:c>
      <x:c r="C21" s="10" t="str">
        <x:f>IF('Pair Decision'!B17="","",'Pair Decision'!B17)</x:f>
      </x:c>
      <x:c r="D21" s="10" t="str">
        <x:v>BL-B</x:v>
      </x:c>
      <x:c r="E21" s="10" t="str">
        <x:v>C-1</x:v>
      </x:c>
      <x:c r="F21" s="10"/>
      <x:c r="G21" s="12"/>
      <x:c r="H21" s="12"/>
      <x:c r="I21" s="12"/>
      <x:c r="J21" s="12"/>
      <x:c r="K21" s="10" t="n">
        <x:f>COUNTIFS('Qualification Cycles'!$B$8:$B$103,A21,'Qualification Cycles'!$W$8:$W$103,"PASS")</x:f>
        <x:v>0</x:v>
      </x:c>
      <x:c r="L21" s="10" t="str">
        <x:f>IF(C21="","OPEN",IF(COUNTA(G21:J21)&lt;4,"OPEN",IF(B21="FORENSIC",IF(AND(G21="ACCEPTED",H21="ACCEPTED",I21="ACCEPTED",J21="ACCEPTED"),"PROTECTED","DENY"),IF(AND(G21="ACCEPTED",H21="ACCEPTED",I21="ACCEPTED",J21="ACCEPTED",K21=6),"ACCEPTED","DENY"))))</x:f>
        <x:v>OPEN</x:v>
      </x:c>
    </x:row>
    <x:row r="22">
      <x:c r="A22" s="10" t="str">
        <x:v>ADM-17</x:v>
      </x:c>
      <x:c r="B22" s="10" t="str">
        <x:v>FORENSIC</x:v>
      </x:c>
      <x:c r="C22" s="10" t="str">
        <x:f>IF('Pair Decision'!B16="","",'Pair Decision'!B16)</x:f>
      </x:c>
      <x:c r="D22" s="10" t="str">
        <x:v>BL-A</x:v>
      </x:c>
      <x:c r="E22" s="10" t="str">
        <x:v>BANK</x:v>
      </x:c>
      <x:c r="F22" s="10"/>
      <x:c r="G22" s="12"/>
      <x:c r="H22" s="12"/>
      <x:c r="I22" s="12"/>
      <x:c r="J22" s="12"/>
      <x:c r="K22" s="10" t="n">
        <x:f>COUNTIFS('Qualification Cycles'!$B$8:$B$103,A22,'Qualification Cycles'!$W$8:$W$103,"PASS")</x:f>
        <x:v>0</x:v>
      </x:c>
      <x:c r="L22" s="10" t="str">
        <x:f>IF(C22="","OPEN",IF(COUNTA(G22:J22)&lt;4,"OPEN",IF(B22="FORENSIC",IF(AND(G22="ACCEPTED",H22="ACCEPTED",I22="ACCEPTED",J22="ACCEPTED"),"PROTECTED","DENY"),IF(AND(G22="ACCEPTED",H22="ACCEPTED",I22="ACCEPTED",J22="ACCEPTED",K22=6),"ACCEPTED","DENY"))))</x:f>
        <x:v>OPEN</x:v>
      </x:c>
    </x:row>
    <x:row r="23">
      <x:c r="A23" s="10" t="str">
        <x:v>ADM-18</x:v>
      </x:c>
      <x:c r="B23" s="10" t="str">
        <x:v>FORENSIC</x:v>
      </x:c>
      <x:c r="C23" s="10" t="str">
        <x:f>IF('Pair Decision'!B17="","",'Pair Decision'!B17)</x:f>
      </x:c>
      <x:c r="D23" s="10" t="str">
        <x:v>BL-B</x:v>
      </x:c>
      <x:c r="E23" s="10" t="str">
        <x:v>BANK</x:v>
      </x:c>
      <x:c r="F23" s="10"/>
      <x:c r="G23" s="12"/>
      <x:c r="H23" s="12"/>
      <x:c r="I23" s="12"/>
      <x:c r="J23" s="12"/>
      <x:c r="K23" s="10" t="n">
        <x:f>COUNTIFS('Qualification Cycles'!$B$8:$B$103,A23,'Qualification Cycles'!$W$8:$W$103,"PASS")</x:f>
        <x:v>0</x:v>
      </x:c>
      <x:c r="L23" s="10" t="str">
        <x:f>IF(C23="","OPEN",IF(COUNTA(G23:J23)&lt;4,"OPEN",IF(B23="FORENSIC",IF(AND(G23="ACCEPTED",H23="ACCEPTED",I23="ACCEPTED",J23="ACCEPTED"),"PROTECTED","DENY"),IF(AND(G23="ACCEPTED",H23="ACCEPTED",I23="ACCEPTED",J23="ACCEPTED",K23=6),"ACCEPTED","DENY"))))</x:f>
        <x:v>OPEN</x:v>
      </x:c>
    </x:row>
  </x:sheetData>
  <x:mergeCells>
    <x:mergeCell ref="A2:L2"/>
  </x:mergeCells>
  <x:conditionalFormatting sqref="L6:L23">
    <x:cfRule type="containsText" dxfId="48" priority="1" operator="containsText" text="DENY"/>
    <x:cfRule type="containsText" dxfId="49" priority="2" operator="containsText" text="ADVERSE"/>
    <x:cfRule type="containsText" dxfId="50" priority="3" operator="containsText" text="FAIL"/>
    <x:cfRule type="containsText" dxfId="51" priority="4" operator="containsText" text="OPEN"/>
    <x:cfRule type="containsText" dxfId="52" priority="5" operator="containsText" text="BLOCKED"/>
    <x:cfRule type="containsText" dxfId="53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d3a0e03a813943f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2" hidden="0" customWidth="1"/>
    <x:col min="5" max="5" width="11" hidden="0" customWidth="1"/>
    <x:col min="6" max="6" width="27" hidden="0" customWidth="1"/>
    <x:col min="7" max="7" width="13" hidden="0" customWidth="1"/>
    <x:col min="8" max="8" width="14" hidden="0" customWidth="1"/>
    <x:col min="9" max="9" width="21" hidden="0" customWidth="1"/>
    <x:col min="10" max="10" width="23" hidden="0" customWidth="1"/>
    <x:col min="11" max="11" width="21" hidden="0" customWidth="1"/>
    <x:col min="12" max="12" width="23" hidden="0" customWidth="1"/>
    <x:col min="13" max="13" width="15" hidden="0" customWidth="1"/>
    <x:col min="14" max="14" width="15" hidden="0" customWidth="1"/>
    <x:col min="15" max="15" width="15" hidden="0" customWidth="1"/>
    <x:col min="16" max="16" width="18" hidden="0" customWidth="1"/>
    <x:col min="17" max="17" width="19" hidden="0" customWidth="1"/>
    <x:col min="18" max="18" width="23" hidden="0" customWidth="1"/>
    <x:col min="19" max="19" width="20" hidden="0" customWidth="1"/>
    <x:col min="20" max="20" width="12" hidden="0" customWidth="1"/>
    <x:col min="21" max="21" width="13" hidden="0" customWidth="1"/>
    <x:col min="22" max="22" width="17" hidden="0" customWidth="1"/>
    <x:col min="23" max="23" width="19" hidden="0" customWidth="1"/>
  </x:cols>
  <x:sheetData>
    <x:row r="2" ht="24" customHeight="1">
      <x:c r="A2" s="1" t="str">
        <x:v>Ninety-six full-scale selected-root qualification cycles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30" customHeight="1">
      <x:c r="A5" s="4" t="str">
        <x:v>Each wettable module executes all six 500 kg simulant and 24 m³ water challenges. Missing observations remain blank.</x:v>
      </x:c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</x:row>
    <x:row r="7">
      <x:c r="A7" s="8" t="str">
        <x:v>Cycle</x:v>
      </x:c>
      <x:c r="B7" s="8" t="str">
        <x:v>Module</x:v>
      </x:c>
      <x:c r="C7" s="8" t="str">
        <x:v>Primary root</x:v>
      </x:c>
      <x:c r="D7" s="8" t="str">
        <x:v>Lineage</x:v>
      </x:c>
      <x:c r="E7" s="8" t="str">
        <x:v>Campus</x:v>
      </x:c>
      <x:c r="F7" s="8" t="str">
        <x:v>Challenge</x:v>
      </x:c>
      <x:c r="G7" s="8" t="str">
        <x:v>Water m³</x:v>
      </x:c>
      <x:c r="H7" s="8" t="str">
        <x:v>Simulant kg</x:v>
      </x:c>
      <x:c r="I7" s="8" t="str">
        <x:v>Root A water recovery</x:v>
      </x:c>
      <x:c r="J7" s="8" t="str">
        <x:v>Root A simulant recovery</x:v>
      </x:c>
      <x:c r="K7" s="8" t="str">
        <x:v>Root B water recovery</x:v>
      </x:c>
      <x:c r="L7" s="8" t="str">
        <x:v>Root B simulant recovery</x:v>
      </x:c>
      <x:c r="M7" s="8" t="str">
        <x:v>Wrong phase</x:v>
      </x:c>
      <x:c r="N7" s="8" t="str">
        <x:v>Wrong code</x:v>
      </x:c>
      <x:c r="O7" s="8" t="str">
        <x:v>Carryover</x:v>
      </x:c>
      <x:c r="P7" s="8" t="str">
        <x:v>Water accounted</x:v>
      </x:c>
      <x:c r="Q7" s="8" t="str">
        <x:v>Simulant accounted</x:v>
      </x:c>
      <x:c r="R7" s="8" t="str">
        <x:v>Simulant in water mg/L</x:v>
      </x:c>
      <x:c r="S7" s="8" t="str">
        <x:v>Water in simulant</x:v>
      </x:c>
      <x:c r="T7" s="8" t="str">
        <x:v>Gates</x:v>
      </x:c>
      <x:c r="U7" s="8" t="str">
        <x:v>Originals</x:v>
      </x:c>
      <x:c r="V7" s="8" t="str">
        <x:v>Outside replay</x:v>
      </x:c>
      <x:c r="W7" s="8" t="str">
        <x:v>State</x:v>
      </x:c>
    </x:row>
    <x:row r="8">
      <x:c r="A8" s="10" t="str">
        <x:v>AQC-001</x:v>
      </x:c>
      <x:c r="B8" s="10" t="str">
        <x:v>ADM-01</x:v>
      </x:c>
      <x:c r="C8" s="10" t="str">
        <x:f>IF('Module Bank'!C6="","",'Module Bank'!C6)</x:f>
      </x:c>
      <x:c r="D8" s="10" t="str">
        <x:f>IF('Module Bank'!D6="","",'Module Bank'!D6)</x:f>
        <x:v>BL-A</x:v>
      </x:c>
      <x:c r="E8" s="10" t="str">
        <x:f>IF('Module Bank'!E6="","",'Module Bank'!E6)</x:f>
        <x:v>C-1</x:v>
      </x:c>
      <x:c r="F8" s="10" t="str">
        <x:v>AQ-1 nominal crossover</x:v>
      </x:c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0" t="str">
        <x:f>IF(C8="","OPEN",IF(OR(COUNT(G8:U8)&lt;15,V8=""),"OPEN",IF(AND(G8&gt;='Assumptions'!$B$34,G8&lt;='Assumptions'!$B$35,H8&gt;='Assumptions'!$B$36,H8&lt;='Assumptions'!$B$37,MIN(I8:L8)&gt;='Assumptions'!$B$39,M8&lt;='Assumptions'!$B$40,N8&lt;='Assumptions'!$B$41,O8&lt;='Assumptions'!$B$42,P8&gt;='Assumptions'!$B$38,Q8&gt;='Assumptions'!$B$38,R8&lt;='Assumptions'!$B$48,S8&lt;='Assumptions'!$B$49,T8=48,U8='Assumptions'!$B$57,V8="ACCEPTED"),"PASS","VALID-ADVERSE")))</x:f>
        <x:v>OPEN</x:v>
      </x:c>
    </x:row>
    <x:row r="9">
      <x:c r="A9" s="10" t="str">
        <x:v>AQC-002</x:v>
      </x:c>
      <x:c r="B9" s="10" t="str">
        <x:v>ADM-01</x:v>
      </x:c>
      <x:c r="C9" s="10" t="str">
        <x:f>IF('Module Bank'!C6="","",'Module Bank'!C6)</x:f>
      </x:c>
      <x:c r="D9" s="10" t="str">
        <x:f>IF('Module Bank'!D6="","",'Module Bank'!D6)</x:f>
        <x:v>BL-A</x:v>
      </x:c>
      <x:c r="E9" s="10" t="str">
        <x:f>IF('Module Bank'!E6="","",'Module Bank'!E6)</x:f>
        <x:v>C-1</x:v>
      </x:c>
      <x:c r="F9" s="10" t="str">
        <x:v>AQ-2 emulsion/restricted</x:v>
      </x:c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0" t="str">
        <x:f>IF(C9="","OPEN",IF(OR(COUNT(G9:U9)&lt;15,V9=""),"OPEN",IF(AND(G9&gt;='Assumptions'!$B$34,G9&lt;='Assumptions'!$B$35,H9&gt;='Assumptions'!$B$36,H9&lt;='Assumptions'!$B$37,MIN(I9:L9)&gt;='Assumptions'!$B$39,M9&lt;='Assumptions'!$B$40,N9&lt;='Assumptions'!$B$41,O9&lt;='Assumptions'!$B$42,P9&gt;='Assumptions'!$B$38,Q9&gt;='Assumptions'!$B$38,R9&lt;='Assumptions'!$B$48,S9&lt;='Assumptions'!$B$49,T9=48,U9='Assumptions'!$B$57,V9="ACCEPTED"),"PASS","VALID-ADVERSE")))</x:f>
        <x:v>OPEN</x:v>
      </x:c>
    </x:row>
    <x:row r="10">
      <x:c r="A10" s="10" t="str">
        <x:v>AQC-003</x:v>
      </x:c>
      <x:c r="B10" s="10" t="str">
        <x:v>ADM-01</x:v>
      </x:c>
      <x:c r="C10" s="10" t="str">
        <x:f>IF('Module Bank'!C6="","",'Module Bank'!C6)</x:f>
      </x:c>
      <x:c r="D10" s="10" t="str">
        <x:f>IF('Module Bank'!D6="","",'Module Bank'!D6)</x:f>
        <x:v>BL-A</x:v>
      </x:c>
      <x:c r="E10" s="10" t="str">
        <x:f>IF('Module Bank'!E6="","",'Module Bank'!E6)</x:f>
        <x:v>C-1</x:v>
      </x:c>
      <x:c r="F10" s="10" t="str">
        <x:v>AQ-3 dilution/retention</x:v>
      </x:c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0" t="str">
        <x:f>IF(C10="","OPEN",IF(OR(COUNT(G10:U10)&lt;15,V10=""),"OPEN",IF(AND(G10&gt;='Assumptions'!$B$34,G10&lt;='Assumptions'!$B$35,H10&gt;='Assumptions'!$B$36,H10&lt;='Assumptions'!$B$37,MIN(I10:L10)&gt;='Assumptions'!$B$39,M10&lt;='Assumptions'!$B$40,N10&lt;='Assumptions'!$B$41,O10&lt;='Assumptions'!$B$42,P10&gt;='Assumptions'!$B$38,Q10&gt;='Assumptions'!$B$38,R10&lt;='Assumptions'!$B$48,S10&lt;='Assumptions'!$B$49,T10=48,U10='Assumptions'!$B$57,V10="ACCEPTED"),"PASS","VALID-ADVERSE")))</x:f>
        <x:v>OPEN</x:v>
      </x:c>
    </x:row>
    <x:row r="11">
      <x:c r="A11" s="10" t="str">
        <x:v>AQC-004</x:v>
      </x:c>
      <x:c r="B11" s="10" t="str">
        <x:v>ADM-01</x:v>
      </x:c>
      <x:c r="C11" s="10" t="str">
        <x:f>IF('Module Bank'!C6="","",'Module Bank'!C6)</x:f>
      </x:c>
      <x:c r="D11" s="10" t="str">
        <x:f>IF('Module Bank'!D6="","",'Module Bank'!D6)</x:f>
        <x:v>BL-A</x:v>
      </x:c>
      <x:c r="E11" s="10" t="str">
        <x:f>IF('Module Bank'!E6="","",'Module Bank'!E6)</x:f>
        <x:v>C-1</x:v>
      </x:c>
      <x:c r="F11" s="10" t="str">
        <x:v>AQ-4 decoy/wrong phase</x:v>
      </x:c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0" t="str">
        <x:f>IF(C11="","OPEN",IF(OR(COUNT(G11:U11)&lt;15,V11=""),"OPEN",IF(AND(G11&gt;='Assumptions'!$B$34,G11&lt;='Assumptions'!$B$35,H11&gt;='Assumptions'!$B$36,H11&lt;='Assumptions'!$B$37,MIN(I11:L11)&gt;='Assumptions'!$B$39,M11&lt;='Assumptions'!$B$40,N11&lt;='Assumptions'!$B$41,O11&lt;='Assumptions'!$B$42,P11&gt;='Assumptions'!$B$38,Q11&gt;='Assumptions'!$B$38,R11&lt;='Assumptions'!$B$48,S11&lt;='Assumptions'!$B$49,T11=48,U11='Assumptions'!$B$57,V11="ACCEPTED"),"PASS","VALID-ADVERSE")))</x:f>
        <x:v>OPEN</x:v>
      </x:c>
    </x:row>
    <x:row r="12">
      <x:c r="A12" s="10" t="str">
        <x:v>AQC-005</x:v>
      </x:c>
      <x:c r="B12" s="10" t="str">
        <x:v>ADM-01</x:v>
      </x:c>
      <x:c r="C12" s="10" t="str">
        <x:f>IF('Module Bank'!C6="","",'Module Bank'!C6)</x:f>
      </x:c>
      <x:c r="D12" s="10" t="str">
        <x:f>IF('Module Bank'!D6="","",'Module Bank'!D6)</x:f>
        <x:v>BL-A</x:v>
      </x:c>
      <x:c r="E12" s="10" t="str">
        <x:f>IF('Module Bank'!E6="","",'Module Bank'!E6)</x:f>
        <x:v>C-1</x:v>
      </x:c>
      <x:c r="F12" s="10" t="str">
        <x:v>AQ-5 carryover/decon</x:v>
      </x:c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0" t="str">
        <x:f>IF(C12="","OPEN",IF(OR(COUNT(G12:U12)&lt;15,V12=""),"OPEN",IF(AND(G12&gt;='Assumptions'!$B$34,G12&lt;='Assumptions'!$B$35,H12&gt;='Assumptions'!$B$36,H12&lt;='Assumptions'!$B$37,MIN(I12:L12)&gt;='Assumptions'!$B$39,M12&lt;='Assumptions'!$B$40,N12&lt;='Assumptions'!$B$41,O12&lt;='Assumptions'!$B$42,P12&gt;='Assumptions'!$B$38,Q12&gt;='Assumptions'!$B$38,R12&lt;='Assumptions'!$B$48,S12&lt;='Assumptions'!$B$49,T12=48,U12='Assumptions'!$B$57,V12="ACCEPTED"),"PASS","VALID-ADVERSE")))</x:f>
        <x:v>OPEN</x:v>
      </x:c>
    </x:row>
    <x:row r="13">
      <x:c r="A13" s="10" t="str">
        <x:v>AQC-006</x:v>
      </x:c>
      <x:c r="B13" s="10" t="str">
        <x:v>ADM-01</x:v>
      </x:c>
      <x:c r="C13" s="10" t="str">
        <x:f>IF('Module Bank'!C6="","",'Module Bank'!C6)</x:f>
      </x:c>
      <x:c r="D13" s="10" t="str">
        <x:f>IF('Module Bank'!D6="","",'Module Bank'!D6)</x:f>
        <x:v>BL-A</x:v>
      </x:c>
      <x:c r="E13" s="10" t="str">
        <x:f>IF('Module Bank'!E6="","",'Module Bank'!E6)</x:f>
        <x:v>C-1</x:v>
      </x:c>
      <x:c r="F13" s="10" t="str">
        <x:v>AQ-6 reader/time denied</x:v>
      </x:c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0" t="str">
        <x:f>IF(C13="","OPEN",IF(OR(COUNT(G13:U13)&lt;15,V13=""),"OPEN",IF(AND(G13&gt;='Assumptions'!$B$34,G13&lt;='Assumptions'!$B$35,H13&gt;='Assumptions'!$B$36,H13&lt;='Assumptions'!$B$37,MIN(I13:L13)&gt;='Assumptions'!$B$39,M13&lt;='Assumptions'!$B$40,N13&lt;='Assumptions'!$B$41,O13&lt;='Assumptions'!$B$42,P13&gt;='Assumptions'!$B$38,Q13&gt;='Assumptions'!$B$38,R13&lt;='Assumptions'!$B$48,S13&lt;='Assumptions'!$B$49,T13=48,U13='Assumptions'!$B$57,V13="ACCEPTED"),"PASS","VALID-ADVERSE")))</x:f>
        <x:v>OPEN</x:v>
      </x:c>
    </x:row>
    <x:row r="14">
      <x:c r="A14" s="10" t="str">
        <x:v>AQC-007</x:v>
      </x:c>
      <x:c r="B14" s="10" t="str">
        <x:v>ADM-02</x:v>
      </x:c>
      <x:c r="C14" s="10" t="str">
        <x:f>IF('Module Bank'!C7="","",'Module Bank'!C7)</x:f>
      </x:c>
      <x:c r="D14" s="10" t="str">
        <x:f>IF('Module Bank'!D7="","",'Module Bank'!D7)</x:f>
        <x:v>BL-B</x:v>
      </x:c>
      <x:c r="E14" s="10" t="str">
        <x:f>IF('Module Bank'!E7="","",'Module Bank'!E7)</x:f>
        <x:v>C-1</x:v>
      </x:c>
      <x:c r="F14" s="10" t="str">
        <x:v>AQ-1 nominal crossover</x:v>
      </x:c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0" t="str">
        <x:f>IF(C14="","OPEN",IF(OR(COUNT(G14:U14)&lt;15,V14=""),"OPEN",IF(AND(G14&gt;='Assumptions'!$B$34,G14&lt;='Assumptions'!$B$35,H14&gt;='Assumptions'!$B$36,H14&lt;='Assumptions'!$B$37,MIN(I14:L14)&gt;='Assumptions'!$B$39,M14&lt;='Assumptions'!$B$40,N14&lt;='Assumptions'!$B$41,O14&lt;='Assumptions'!$B$42,P14&gt;='Assumptions'!$B$38,Q14&gt;='Assumptions'!$B$38,R14&lt;='Assumptions'!$B$48,S14&lt;='Assumptions'!$B$49,T14=48,U14='Assumptions'!$B$57,V14="ACCEPTED"),"PASS","VALID-ADVERSE")))</x:f>
        <x:v>OPEN</x:v>
      </x:c>
    </x:row>
    <x:row r="15">
      <x:c r="A15" s="10" t="str">
        <x:v>AQC-008</x:v>
      </x:c>
      <x:c r="B15" s="10" t="str">
        <x:v>ADM-02</x:v>
      </x:c>
      <x:c r="C15" s="10" t="str">
        <x:f>IF('Module Bank'!C7="","",'Module Bank'!C7)</x:f>
      </x:c>
      <x:c r="D15" s="10" t="str">
        <x:f>IF('Module Bank'!D7="","",'Module Bank'!D7)</x:f>
        <x:v>BL-B</x:v>
      </x:c>
      <x:c r="E15" s="10" t="str">
        <x:f>IF('Module Bank'!E7="","",'Module Bank'!E7)</x:f>
        <x:v>C-1</x:v>
      </x:c>
      <x:c r="F15" s="10" t="str">
        <x:v>AQ-2 emulsion/restricted</x:v>
      </x:c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0" t="str">
        <x:f>IF(C15="","OPEN",IF(OR(COUNT(G15:U15)&lt;15,V15=""),"OPEN",IF(AND(G15&gt;='Assumptions'!$B$34,G15&lt;='Assumptions'!$B$35,H15&gt;='Assumptions'!$B$36,H15&lt;='Assumptions'!$B$37,MIN(I15:L15)&gt;='Assumptions'!$B$39,M15&lt;='Assumptions'!$B$40,N15&lt;='Assumptions'!$B$41,O15&lt;='Assumptions'!$B$42,P15&gt;='Assumptions'!$B$38,Q15&gt;='Assumptions'!$B$38,R15&lt;='Assumptions'!$B$48,S15&lt;='Assumptions'!$B$49,T15=48,U15='Assumptions'!$B$57,V15="ACCEPTED"),"PASS","VALID-ADVERSE")))</x:f>
        <x:v>OPEN</x:v>
      </x:c>
    </x:row>
    <x:row r="16">
      <x:c r="A16" s="10" t="str">
        <x:v>AQC-009</x:v>
      </x:c>
      <x:c r="B16" s="10" t="str">
        <x:v>ADM-02</x:v>
      </x:c>
      <x:c r="C16" s="10" t="str">
        <x:f>IF('Module Bank'!C7="","",'Module Bank'!C7)</x:f>
      </x:c>
      <x:c r="D16" s="10" t="str">
        <x:f>IF('Module Bank'!D7="","",'Module Bank'!D7)</x:f>
        <x:v>BL-B</x:v>
      </x:c>
      <x:c r="E16" s="10" t="str">
        <x:f>IF('Module Bank'!E7="","",'Module Bank'!E7)</x:f>
        <x:v>C-1</x:v>
      </x:c>
      <x:c r="F16" s="10" t="str">
        <x:v>AQ-3 dilution/retention</x:v>
      </x:c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0" t="str">
        <x:f>IF(C16="","OPEN",IF(OR(COUNT(G16:U16)&lt;15,V16=""),"OPEN",IF(AND(G16&gt;='Assumptions'!$B$34,G16&lt;='Assumptions'!$B$35,H16&gt;='Assumptions'!$B$36,H16&lt;='Assumptions'!$B$37,MIN(I16:L16)&gt;='Assumptions'!$B$39,M16&lt;='Assumptions'!$B$40,N16&lt;='Assumptions'!$B$41,O16&lt;='Assumptions'!$B$42,P16&gt;='Assumptions'!$B$38,Q16&gt;='Assumptions'!$B$38,R16&lt;='Assumptions'!$B$48,S16&lt;='Assumptions'!$B$49,T16=48,U16='Assumptions'!$B$57,V16="ACCEPTED"),"PASS","VALID-ADVERSE")))</x:f>
        <x:v>OPEN</x:v>
      </x:c>
    </x:row>
    <x:row r="17">
      <x:c r="A17" s="10" t="str">
        <x:v>AQC-010</x:v>
      </x:c>
      <x:c r="B17" s="10" t="str">
        <x:v>ADM-02</x:v>
      </x:c>
      <x:c r="C17" s="10" t="str">
        <x:f>IF('Module Bank'!C7="","",'Module Bank'!C7)</x:f>
      </x:c>
      <x:c r="D17" s="10" t="str">
        <x:f>IF('Module Bank'!D7="","",'Module Bank'!D7)</x:f>
        <x:v>BL-B</x:v>
      </x:c>
      <x:c r="E17" s="10" t="str">
        <x:f>IF('Module Bank'!E7="","",'Module Bank'!E7)</x:f>
        <x:v>C-1</x:v>
      </x:c>
      <x:c r="F17" s="10" t="str">
        <x:v>AQ-4 decoy/wrong phase</x:v>
      </x:c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0" t="str">
        <x:f>IF(C17="","OPEN",IF(OR(COUNT(G17:U17)&lt;15,V17=""),"OPEN",IF(AND(G17&gt;='Assumptions'!$B$34,G17&lt;='Assumptions'!$B$35,H17&gt;='Assumptions'!$B$36,H17&lt;='Assumptions'!$B$37,MIN(I17:L17)&gt;='Assumptions'!$B$39,M17&lt;='Assumptions'!$B$40,N17&lt;='Assumptions'!$B$41,O17&lt;='Assumptions'!$B$42,P17&gt;='Assumptions'!$B$38,Q17&gt;='Assumptions'!$B$38,R17&lt;='Assumptions'!$B$48,S17&lt;='Assumptions'!$B$49,T17=48,U17='Assumptions'!$B$57,V17="ACCEPTED"),"PASS","VALID-ADVERSE")))</x:f>
        <x:v>OPEN</x:v>
      </x:c>
    </x:row>
    <x:row r="18">
      <x:c r="A18" s="10" t="str">
        <x:v>AQC-011</x:v>
      </x:c>
      <x:c r="B18" s="10" t="str">
        <x:v>ADM-02</x:v>
      </x:c>
      <x:c r="C18" s="10" t="str">
        <x:f>IF('Module Bank'!C7="","",'Module Bank'!C7)</x:f>
      </x:c>
      <x:c r="D18" s="10" t="str">
        <x:f>IF('Module Bank'!D7="","",'Module Bank'!D7)</x:f>
        <x:v>BL-B</x:v>
      </x:c>
      <x:c r="E18" s="10" t="str">
        <x:f>IF('Module Bank'!E7="","",'Module Bank'!E7)</x:f>
        <x:v>C-1</x:v>
      </x:c>
      <x:c r="F18" s="10" t="str">
        <x:v>AQ-5 carryover/decon</x:v>
      </x:c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0" t="str">
        <x:f>IF(C18="","OPEN",IF(OR(COUNT(G18:U18)&lt;15,V18=""),"OPEN",IF(AND(G18&gt;='Assumptions'!$B$34,G18&lt;='Assumptions'!$B$35,H18&gt;='Assumptions'!$B$36,H18&lt;='Assumptions'!$B$37,MIN(I18:L18)&gt;='Assumptions'!$B$39,M18&lt;='Assumptions'!$B$40,N18&lt;='Assumptions'!$B$41,O18&lt;='Assumptions'!$B$42,P18&gt;='Assumptions'!$B$38,Q18&gt;='Assumptions'!$B$38,R18&lt;='Assumptions'!$B$48,S18&lt;='Assumptions'!$B$49,T18=48,U18='Assumptions'!$B$57,V18="ACCEPTED"),"PASS","VALID-ADVERSE")))</x:f>
        <x:v>OPEN</x:v>
      </x:c>
    </x:row>
    <x:row r="19">
      <x:c r="A19" s="10" t="str">
        <x:v>AQC-012</x:v>
      </x:c>
      <x:c r="B19" s="10" t="str">
        <x:v>ADM-02</x:v>
      </x:c>
      <x:c r="C19" s="10" t="str">
        <x:f>IF('Module Bank'!C7="","",'Module Bank'!C7)</x:f>
      </x:c>
      <x:c r="D19" s="10" t="str">
        <x:f>IF('Module Bank'!D7="","",'Module Bank'!D7)</x:f>
        <x:v>BL-B</x:v>
      </x:c>
      <x:c r="E19" s="10" t="str">
        <x:f>IF('Module Bank'!E7="","",'Module Bank'!E7)</x:f>
        <x:v>C-1</x:v>
      </x:c>
      <x:c r="F19" s="10" t="str">
        <x:v>AQ-6 reader/time denied</x:v>
      </x:c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0" t="str">
        <x:f>IF(C19="","OPEN",IF(OR(COUNT(G19:U19)&lt;15,V19=""),"OPEN",IF(AND(G19&gt;='Assumptions'!$B$34,G19&lt;='Assumptions'!$B$35,H19&gt;='Assumptions'!$B$36,H19&lt;='Assumptions'!$B$37,MIN(I19:L19)&gt;='Assumptions'!$B$39,M19&lt;='Assumptions'!$B$40,N19&lt;='Assumptions'!$B$41,O19&lt;='Assumptions'!$B$42,P19&gt;='Assumptions'!$B$38,Q19&gt;='Assumptions'!$B$38,R19&lt;='Assumptions'!$B$48,S19&lt;='Assumptions'!$B$49,T19=48,U19='Assumptions'!$B$57,V19="ACCEPTED"),"PASS","VALID-ADVERSE")))</x:f>
        <x:v>OPEN</x:v>
      </x:c>
    </x:row>
    <x:row r="20">
      <x:c r="A20" s="10" t="str">
        <x:v>AQC-013</x:v>
      </x:c>
      <x:c r="B20" s="10" t="str">
        <x:v>ADM-03</x:v>
      </x:c>
      <x:c r="C20" s="10" t="str">
        <x:f>IF('Module Bank'!C8="","",'Module Bank'!C8)</x:f>
      </x:c>
      <x:c r="D20" s="10" t="str">
        <x:f>IF('Module Bank'!D8="","",'Module Bank'!D8)</x:f>
        <x:v>BL-B</x:v>
      </x:c>
      <x:c r="E20" s="10" t="str">
        <x:f>IF('Module Bank'!E8="","",'Module Bank'!E8)</x:f>
        <x:v>C-1</x:v>
      </x:c>
      <x:c r="F20" s="10" t="str">
        <x:v>AQ-1 nominal crossover</x:v>
      </x:c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0" t="str">
        <x:f>IF(C20="","OPEN",IF(OR(COUNT(G20:U20)&lt;15,V20=""),"OPEN",IF(AND(G20&gt;='Assumptions'!$B$34,G20&lt;='Assumptions'!$B$35,H20&gt;='Assumptions'!$B$36,H20&lt;='Assumptions'!$B$37,MIN(I20:L20)&gt;='Assumptions'!$B$39,M20&lt;='Assumptions'!$B$40,N20&lt;='Assumptions'!$B$41,O20&lt;='Assumptions'!$B$42,P20&gt;='Assumptions'!$B$38,Q20&gt;='Assumptions'!$B$38,R20&lt;='Assumptions'!$B$48,S20&lt;='Assumptions'!$B$49,T20=48,U20='Assumptions'!$B$57,V20="ACCEPTED"),"PASS","VALID-ADVERSE")))</x:f>
        <x:v>OPEN</x:v>
      </x:c>
    </x:row>
    <x:row r="21">
      <x:c r="A21" s="10" t="str">
        <x:v>AQC-014</x:v>
      </x:c>
      <x:c r="B21" s="10" t="str">
        <x:v>ADM-03</x:v>
      </x:c>
      <x:c r="C21" s="10" t="str">
        <x:f>IF('Module Bank'!C8="","",'Module Bank'!C8)</x:f>
      </x:c>
      <x:c r="D21" s="10" t="str">
        <x:f>IF('Module Bank'!D8="","",'Module Bank'!D8)</x:f>
        <x:v>BL-B</x:v>
      </x:c>
      <x:c r="E21" s="10" t="str">
        <x:f>IF('Module Bank'!E8="","",'Module Bank'!E8)</x:f>
        <x:v>C-1</x:v>
      </x:c>
      <x:c r="F21" s="10" t="str">
        <x:v>AQ-2 emulsion/restricted</x:v>
      </x:c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0" t="str">
        <x:f>IF(C21="","OPEN",IF(OR(COUNT(G21:U21)&lt;15,V21=""),"OPEN",IF(AND(G21&gt;='Assumptions'!$B$34,G21&lt;='Assumptions'!$B$35,H21&gt;='Assumptions'!$B$36,H21&lt;='Assumptions'!$B$37,MIN(I21:L21)&gt;='Assumptions'!$B$39,M21&lt;='Assumptions'!$B$40,N21&lt;='Assumptions'!$B$41,O21&lt;='Assumptions'!$B$42,P21&gt;='Assumptions'!$B$38,Q21&gt;='Assumptions'!$B$38,R21&lt;='Assumptions'!$B$48,S21&lt;='Assumptions'!$B$49,T21=48,U21='Assumptions'!$B$57,V21="ACCEPTED"),"PASS","VALID-ADVERSE")))</x:f>
        <x:v>OPEN</x:v>
      </x:c>
    </x:row>
    <x:row r="22">
      <x:c r="A22" s="10" t="str">
        <x:v>AQC-015</x:v>
      </x:c>
      <x:c r="B22" s="10" t="str">
        <x:v>ADM-03</x:v>
      </x:c>
      <x:c r="C22" s="10" t="str">
        <x:f>IF('Module Bank'!C8="","",'Module Bank'!C8)</x:f>
      </x:c>
      <x:c r="D22" s="10" t="str">
        <x:f>IF('Module Bank'!D8="","",'Module Bank'!D8)</x:f>
        <x:v>BL-B</x:v>
      </x:c>
      <x:c r="E22" s="10" t="str">
        <x:f>IF('Module Bank'!E8="","",'Module Bank'!E8)</x:f>
        <x:v>C-1</x:v>
      </x:c>
      <x:c r="F22" s="10" t="str">
        <x:v>AQ-3 dilution/retention</x:v>
      </x:c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0" t="str">
        <x:f>IF(C22="","OPEN",IF(OR(COUNT(G22:U22)&lt;15,V22=""),"OPEN",IF(AND(G22&gt;='Assumptions'!$B$34,G22&lt;='Assumptions'!$B$35,H22&gt;='Assumptions'!$B$36,H22&lt;='Assumptions'!$B$37,MIN(I22:L22)&gt;='Assumptions'!$B$39,M22&lt;='Assumptions'!$B$40,N22&lt;='Assumptions'!$B$41,O22&lt;='Assumptions'!$B$42,P22&gt;='Assumptions'!$B$38,Q22&gt;='Assumptions'!$B$38,R22&lt;='Assumptions'!$B$48,S22&lt;='Assumptions'!$B$49,T22=48,U22='Assumptions'!$B$57,V22="ACCEPTED"),"PASS","VALID-ADVERSE")))</x:f>
        <x:v>OPEN</x:v>
      </x:c>
    </x:row>
    <x:row r="23">
      <x:c r="A23" s="10" t="str">
        <x:v>AQC-016</x:v>
      </x:c>
      <x:c r="B23" s="10" t="str">
        <x:v>ADM-03</x:v>
      </x:c>
      <x:c r="C23" s="10" t="str">
        <x:f>IF('Module Bank'!C8="","",'Module Bank'!C8)</x:f>
      </x:c>
      <x:c r="D23" s="10" t="str">
        <x:f>IF('Module Bank'!D8="","",'Module Bank'!D8)</x:f>
        <x:v>BL-B</x:v>
      </x:c>
      <x:c r="E23" s="10" t="str">
        <x:f>IF('Module Bank'!E8="","",'Module Bank'!E8)</x:f>
        <x:v>C-1</x:v>
      </x:c>
      <x:c r="F23" s="10" t="str">
        <x:v>AQ-4 decoy/wrong phase</x:v>
      </x:c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0" t="str">
        <x:f>IF(C23="","OPEN",IF(OR(COUNT(G23:U23)&lt;15,V23=""),"OPEN",IF(AND(G23&gt;='Assumptions'!$B$34,G23&lt;='Assumptions'!$B$35,H23&gt;='Assumptions'!$B$36,H23&lt;='Assumptions'!$B$37,MIN(I23:L23)&gt;='Assumptions'!$B$39,M23&lt;='Assumptions'!$B$40,N23&lt;='Assumptions'!$B$41,O23&lt;='Assumptions'!$B$42,P23&gt;='Assumptions'!$B$38,Q23&gt;='Assumptions'!$B$38,R23&lt;='Assumptions'!$B$48,S23&lt;='Assumptions'!$B$49,T23=48,U23='Assumptions'!$B$57,V23="ACCEPTED"),"PASS","VALID-ADVERSE")))</x:f>
        <x:v>OPEN</x:v>
      </x:c>
    </x:row>
    <x:row r="24">
      <x:c r="A24" s="10" t="str">
        <x:v>AQC-017</x:v>
      </x:c>
      <x:c r="B24" s="10" t="str">
        <x:v>ADM-03</x:v>
      </x:c>
      <x:c r="C24" s="10" t="str">
        <x:f>IF('Module Bank'!C8="","",'Module Bank'!C8)</x:f>
      </x:c>
      <x:c r="D24" s="10" t="str">
        <x:f>IF('Module Bank'!D8="","",'Module Bank'!D8)</x:f>
        <x:v>BL-B</x:v>
      </x:c>
      <x:c r="E24" s="10" t="str">
        <x:f>IF('Module Bank'!E8="","",'Module Bank'!E8)</x:f>
        <x:v>C-1</x:v>
      </x:c>
      <x:c r="F24" s="10" t="str">
        <x:v>AQ-5 carryover/decon</x:v>
      </x:c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0" t="str">
        <x:f>IF(C24="","OPEN",IF(OR(COUNT(G24:U24)&lt;15,V24=""),"OPEN",IF(AND(G24&gt;='Assumptions'!$B$34,G24&lt;='Assumptions'!$B$35,H24&gt;='Assumptions'!$B$36,H24&lt;='Assumptions'!$B$37,MIN(I24:L24)&gt;='Assumptions'!$B$39,M24&lt;='Assumptions'!$B$40,N24&lt;='Assumptions'!$B$41,O24&lt;='Assumptions'!$B$42,P24&gt;='Assumptions'!$B$38,Q24&gt;='Assumptions'!$B$38,R24&lt;='Assumptions'!$B$48,S24&lt;='Assumptions'!$B$49,T24=48,U24='Assumptions'!$B$57,V24="ACCEPTED"),"PASS","VALID-ADVERSE")))</x:f>
        <x:v>OPEN</x:v>
      </x:c>
    </x:row>
    <x:row r="25">
      <x:c r="A25" s="10" t="str">
        <x:v>AQC-018</x:v>
      </x:c>
      <x:c r="B25" s="10" t="str">
        <x:v>ADM-03</x:v>
      </x:c>
      <x:c r="C25" s="10" t="str">
        <x:f>IF('Module Bank'!C8="","",'Module Bank'!C8)</x:f>
      </x:c>
      <x:c r="D25" s="10" t="str">
        <x:f>IF('Module Bank'!D8="","",'Module Bank'!D8)</x:f>
        <x:v>BL-B</x:v>
      </x:c>
      <x:c r="E25" s="10" t="str">
        <x:f>IF('Module Bank'!E8="","",'Module Bank'!E8)</x:f>
        <x:v>C-1</x:v>
      </x:c>
      <x:c r="F25" s="10" t="str">
        <x:v>AQ-6 reader/time denied</x:v>
      </x:c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0" t="str">
        <x:f>IF(C25="","OPEN",IF(OR(COUNT(G25:U25)&lt;15,V25=""),"OPEN",IF(AND(G25&gt;='Assumptions'!$B$34,G25&lt;='Assumptions'!$B$35,H25&gt;='Assumptions'!$B$36,H25&lt;='Assumptions'!$B$37,MIN(I25:L25)&gt;='Assumptions'!$B$39,M25&lt;='Assumptions'!$B$40,N25&lt;='Assumptions'!$B$41,O25&lt;='Assumptions'!$B$42,P25&gt;='Assumptions'!$B$38,Q25&gt;='Assumptions'!$B$38,R25&lt;='Assumptions'!$B$48,S25&lt;='Assumptions'!$B$49,T25=48,U25='Assumptions'!$B$57,V25="ACCEPTED"),"PASS","VALID-ADVERSE")))</x:f>
        <x:v>OPEN</x:v>
      </x:c>
    </x:row>
    <x:row r="26">
      <x:c r="A26" s="10" t="str">
        <x:v>AQC-019</x:v>
      </x:c>
      <x:c r="B26" s="10" t="str">
        <x:v>ADM-04</x:v>
      </x:c>
      <x:c r="C26" s="10" t="str">
        <x:f>IF('Module Bank'!C9="","",'Module Bank'!C9)</x:f>
      </x:c>
      <x:c r="D26" s="10" t="str">
        <x:f>IF('Module Bank'!D9="","",'Module Bank'!D9)</x:f>
        <x:v>BL-A</x:v>
      </x:c>
      <x:c r="E26" s="10" t="str">
        <x:f>IF('Module Bank'!E9="","",'Module Bank'!E9)</x:f>
        <x:v>C-1</x:v>
      </x:c>
      <x:c r="F26" s="10" t="str">
        <x:v>AQ-1 nominal crossover</x:v>
      </x:c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0" t="str">
        <x:f>IF(C26="","OPEN",IF(OR(COUNT(G26:U26)&lt;15,V26=""),"OPEN",IF(AND(G26&gt;='Assumptions'!$B$34,G26&lt;='Assumptions'!$B$35,H26&gt;='Assumptions'!$B$36,H26&lt;='Assumptions'!$B$37,MIN(I26:L26)&gt;='Assumptions'!$B$39,M26&lt;='Assumptions'!$B$40,N26&lt;='Assumptions'!$B$41,O26&lt;='Assumptions'!$B$42,P26&gt;='Assumptions'!$B$38,Q26&gt;='Assumptions'!$B$38,R26&lt;='Assumptions'!$B$48,S26&lt;='Assumptions'!$B$49,T26=48,U26='Assumptions'!$B$57,V26="ACCEPTED"),"PASS","VALID-ADVERSE")))</x:f>
        <x:v>OPEN</x:v>
      </x:c>
    </x:row>
    <x:row r="27">
      <x:c r="A27" s="10" t="str">
        <x:v>AQC-020</x:v>
      </x:c>
      <x:c r="B27" s="10" t="str">
        <x:v>ADM-04</x:v>
      </x:c>
      <x:c r="C27" s="10" t="str">
        <x:f>IF('Module Bank'!C9="","",'Module Bank'!C9)</x:f>
      </x:c>
      <x:c r="D27" s="10" t="str">
        <x:f>IF('Module Bank'!D9="","",'Module Bank'!D9)</x:f>
        <x:v>BL-A</x:v>
      </x:c>
      <x:c r="E27" s="10" t="str">
        <x:f>IF('Module Bank'!E9="","",'Module Bank'!E9)</x:f>
        <x:v>C-1</x:v>
      </x:c>
      <x:c r="F27" s="10" t="str">
        <x:v>AQ-2 emulsion/restricted</x:v>
      </x:c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0" t="str">
        <x:f>IF(C27="","OPEN",IF(OR(COUNT(G27:U27)&lt;15,V27=""),"OPEN",IF(AND(G27&gt;='Assumptions'!$B$34,G27&lt;='Assumptions'!$B$35,H27&gt;='Assumptions'!$B$36,H27&lt;='Assumptions'!$B$37,MIN(I27:L27)&gt;='Assumptions'!$B$39,M27&lt;='Assumptions'!$B$40,N27&lt;='Assumptions'!$B$41,O27&lt;='Assumptions'!$B$42,P27&gt;='Assumptions'!$B$38,Q27&gt;='Assumptions'!$B$38,R27&lt;='Assumptions'!$B$48,S27&lt;='Assumptions'!$B$49,T27=48,U27='Assumptions'!$B$57,V27="ACCEPTED"),"PASS","VALID-ADVERSE")))</x:f>
        <x:v>OPEN</x:v>
      </x:c>
    </x:row>
    <x:row r="28">
      <x:c r="A28" s="10" t="str">
        <x:v>AQC-021</x:v>
      </x:c>
      <x:c r="B28" s="10" t="str">
        <x:v>ADM-04</x:v>
      </x:c>
      <x:c r="C28" s="10" t="str">
        <x:f>IF('Module Bank'!C9="","",'Module Bank'!C9)</x:f>
      </x:c>
      <x:c r="D28" s="10" t="str">
        <x:f>IF('Module Bank'!D9="","",'Module Bank'!D9)</x:f>
        <x:v>BL-A</x:v>
      </x:c>
      <x:c r="E28" s="10" t="str">
        <x:f>IF('Module Bank'!E9="","",'Module Bank'!E9)</x:f>
        <x:v>C-1</x:v>
      </x:c>
      <x:c r="F28" s="10" t="str">
        <x:v>AQ-3 dilution/retention</x:v>
      </x:c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0" t="str">
        <x:f>IF(C28="","OPEN",IF(OR(COUNT(G28:U28)&lt;15,V28=""),"OPEN",IF(AND(G28&gt;='Assumptions'!$B$34,G28&lt;='Assumptions'!$B$35,H28&gt;='Assumptions'!$B$36,H28&lt;='Assumptions'!$B$37,MIN(I28:L28)&gt;='Assumptions'!$B$39,M28&lt;='Assumptions'!$B$40,N28&lt;='Assumptions'!$B$41,O28&lt;='Assumptions'!$B$42,P28&gt;='Assumptions'!$B$38,Q28&gt;='Assumptions'!$B$38,R28&lt;='Assumptions'!$B$48,S28&lt;='Assumptions'!$B$49,T28=48,U28='Assumptions'!$B$57,V28="ACCEPTED"),"PASS","VALID-ADVERSE")))</x:f>
        <x:v>OPEN</x:v>
      </x:c>
    </x:row>
    <x:row r="29">
      <x:c r="A29" s="10" t="str">
        <x:v>AQC-022</x:v>
      </x:c>
      <x:c r="B29" s="10" t="str">
        <x:v>ADM-04</x:v>
      </x:c>
      <x:c r="C29" s="10" t="str">
        <x:f>IF('Module Bank'!C9="","",'Module Bank'!C9)</x:f>
      </x:c>
      <x:c r="D29" s="10" t="str">
        <x:f>IF('Module Bank'!D9="","",'Module Bank'!D9)</x:f>
        <x:v>BL-A</x:v>
      </x:c>
      <x:c r="E29" s="10" t="str">
        <x:f>IF('Module Bank'!E9="","",'Module Bank'!E9)</x:f>
        <x:v>C-1</x:v>
      </x:c>
      <x:c r="F29" s="10" t="str">
        <x:v>AQ-4 decoy/wrong phase</x:v>
      </x:c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0" t="str">
        <x:f>IF(C29="","OPEN",IF(OR(COUNT(G29:U29)&lt;15,V29=""),"OPEN",IF(AND(G29&gt;='Assumptions'!$B$34,G29&lt;='Assumptions'!$B$35,H29&gt;='Assumptions'!$B$36,H29&lt;='Assumptions'!$B$37,MIN(I29:L29)&gt;='Assumptions'!$B$39,M29&lt;='Assumptions'!$B$40,N29&lt;='Assumptions'!$B$41,O29&lt;='Assumptions'!$B$42,P29&gt;='Assumptions'!$B$38,Q29&gt;='Assumptions'!$B$38,R29&lt;='Assumptions'!$B$48,S29&lt;='Assumptions'!$B$49,T29=48,U29='Assumptions'!$B$57,V29="ACCEPTED"),"PASS","VALID-ADVERSE")))</x:f>
        <x:v>OPEN</x:v>
      </x:c>
    </x:row>
    <x:row r="30">
      <x:c r="A30" s="10" t="str">
        <x:v>AQC-023</x:v>
      </x:c>
      <x:c r="B30" s="10" t="str">
        <x:v>ADM-04</x:v>
      </x:c>
      <x:c r="C30" s="10" t="str">
        <x:f>IF('Module Bank'!C9="","",'Module Bank'!C9)</x:f>
      </x:c>
      <x:c r="D30" s="10" t="str">
        <x:f>IF('Module Bank'!D9="","",'Module Bank'!D9)</x:f>
        <x:v>BL-A</x:v>
      </x:c>
      <x:c r="E30" s="10" t="str">
        <x:f>IF('Module Bank'!E9="","",'Module Bank'!E9)</x:f>
        <x:v>C-1</x:v>
      </x:c>
      <x:c r="F30" s="10" t="str">
        <x:v>AQ-5 carryover/decon</x:v>
      </x:c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0" t="str">
        <x:f>IF(C30="","OPEN",IF(OR(COUNT(G30:U30)&lt;15,V30=""),"OPEN",IF(AND(G30&gt;='Assumptions'!$B$34,G30&lt;='Assumptions'!$B$35,H30&gt;='Assumptions'!$B$36,H30&lt;='Assumptions'!$B$37,MIN(I30:L30)&gt;='Assumptions'!$B$39,M30&lt;='Assumptions'!$B$40,N30&lt;='Assumptions'!$B$41,O30&lt;='Assumptions'!$B$42,P30&gt;='Assumptions'!$B$38,Q30&gt;='Assumptions'!$B$38,R30&lt;='Assumptions'!$B$48,S30&lt;='Assumptions'!$B$49,T30=48,U30='Assumptions'!$B$57,V30="ACCEPTED"),"PASS","VALID-ADVERSE")))</x:f>
        <x:v>OPEN</x:v>
      </x:c>
    </x:row>
    <x:row r="31">
      <x:c r="A31" s="10" t="str">
        <x:v>AQC-024</x:v>
      </x:c>
      <x:c r="B31" s="10" t="str">
        <x:v>ADM-04</x:v>
      </x:c>
      <x:c r="C31" s="10" t="str">
        <x:f>IF('Module Bank'!C9="","",'Module Bank'!C9)</x:f>
      </x:c>
      <x:c r="D31" s="10" t="str">
        <x:f>IF('Module Bank'!D9="","",'Module Bank'!D9)</x:f>
        <x:v>BL-A</x:v>
      </x:c>
      <x:c r="E31" s="10" t="str">
        <x:f>IF('Module Bank'!E9="","",'Module Bank'!E9)</x:f>
        <x:v>C-1</x:v>
      </x:c>
      <x:c r="F31" s="10" t="str">
        <x:v>AQ-6 reader/time denied</x:v>
      </x:c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0" t="str">
        <x:f>IF(C31="","OPEN",IF(OR(COUNT(G31:U31)&lt;15,V31=""),"OPEN",IF(AND(G31&gt;='Assumptions'!$B$34,G31&lt;='Assumptions'!$B$35,H31&gt;='Assumptions'!$B$36,H31&lt;='Assumptions'!$B$37,MIN(I31:L31)&gt;='Assumptions'!$B$39,M31&lt;='Assumptions'!$B$40,N31&lt;='Assumptions'!$B$41,O31&lt;='Assumptions'!$B$42,P31&gt;='Assumptions'!$B$38,Q31&gt;='Assumptions'!$B$38,R31&lt;='Assumptions'!$B$48,S31&lt;='Assumptions'!$B$49,T31=48,U31='Assumptions'!$B$57,V31="ACCEPTED"),"PASS","VALID-ADVERSE")))</x:f>
        <x:v>OPEN</x:v>
      </x:c>
    </x:row>
    <x:row r="32">
      <x:c r="A32" s="10" t="str">
        <x:v>AQC-025</x:v>
      </x:c>
      <x:c r="B32" s="10" t="str">
        <x:v>ADM-05</x:v>
      </x:c>
      <x:c r="C32" s="10" t="str">
        <x:f>IF('Module Bank'!C10="","",'Module Bank'!C10)</x:f>
      </x:c>
      <x:c r="D32" s="10" t="str">
        <x:f>IF('Module Bank'!D10="","",'Module Bank'!D10)</x:f>
        <x:v>BL-A</x:v>
      </x:c>
      <x:c r="E32" s="10" t="str">
        <x:f>IF('Module Bank'!E10="","",'Module Bank'!E10)</x:f>
        <x:v>C-2</x:v>
      </x:c>
      <x:c r="F32" s="10" t="str">
        <x:v>AQ-1 nominal crossover</x:v>
      </x:c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0" t="str">
        <x:f>IF(C32="","OPEN",IF(OR(COUNT(G32:U32)&lt;15,V32=""),"OPEN",IF(AND(G32&gt;='Assumptions'!$B$34,G32&lt;='Assumptions'!$B$35,H32&gt;='Assumptions'!$B$36,H32&lt;='Assumptions'!$B$37,MIN(I32:L32)&gt;='Assumptions'!$B$39,M32&lt;='Assumptions'!$B$40,N32&lt;='Assumptions'!$B$41,O32&lt;='Assumptions'!$B$42,P32&gt;='Assumptions'!$B$38,Q32&gt;='Assumptions'!$B$38,R32&lt;='Assumptions'!$B$48,S32&lt;='Assumptions'!$B$49,T32=48,U32='Assumptions'!$B$57,V32="ACCEPTED"),"PASS","VALID-ADVERSE")))</x:f>
        <x:v>OPEN</x:v>
      </x:c>
    </x:row>
    <x:row r="33">
      <x:c r="A33" s="10" t="str">
        <x:v>AQC-026</x:v>
      </x:c>
      <x:c r="B33" s="10" t="str">
        <x:v>ADM-05</x:v>
      </x:c>
      <x:c r="C33" s="10" t="str">
        <x:f>IF('Module Bank'!C10="","",'Module Bank'!C10)</x:f>
      </x:c>
      <x:c r="D33" s="10" t="str">
        <x:f>IF('Module Bank'!D10="","",'Module Bank'!D10)</x:f>
        <x:v>BL-A</x:v>
      </x:c>
      <x:c r="E33" s="10" t="str">
        <x:f>IF('Module Bank'!E10="","",'Module Bank'!E10)</x:f>
        <x:v>C-2</x:v>
      </x:c>
      <x:c r="F33" s="10" t="str">
        <x:v>AQ-2 emulsion/restricted</x:v>
      </x:c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0" t="str">
        <x:f>IF(C33="","OPEN",IF(OR(COUNT(G33:U33)&lt;15,V33=""),"OPEN",IF(AND(G33&gt;='Assumptions'!$B$34,G33&lt;='Assumptions'!$B$35,H33&gt;='Assumptions'!$B$36,H33&lt;='Assumptions'!$B$37,MIN(I33:L33)&gt;='Assumptions'!$B$39,M33&lt;='Assumptions'!$B$40,N33&lt;='Assumptions'!$B$41,O33&lt;='Assumptions'!$B$42,P33&gt;='Assumptions'!$B$38,Q33&gt;='Assumptions'!$B$38,R33&lt;='Assumptions'!$B$48,S33&lt;='Assumptions'!$B$49,T33=48,U33='Assumptions'!$B$57,V33="ACCEPTED"),"PASS","VALID-ADVERSE")))</x:f>
        <x:v>OPEN</x:v>
      </x:c>
    </x:row>
    <x:row r="34">
      <x:c r="A34" s="10" t="str">
        <x:v>AQC-027</x:v>
      </x:c>
      <x:c r="B34" s="10" t="str">
        <x:v>ADM-05</x:v>
      </x:c>
      <x:c r="C34" s="10" t="str">
        <x:f>IF('Module Bank'!C10="","",'Module Bank'!C10)</x:f>
      </x:c>
      <x:c r="D34" s="10" t="str">
        <x:f>IF('Module Bank'!D10="","",'Module Bank'!D10)</x:f>
        <x:v>BL-A</x:v>
      </x:c>
      <x:c r="E34" s="10" t="str">
        <x:f>IF('Module Bank'!E10="","",'Module Bank'!E10)</x:f>
        <x:v>C-2</x:v>
      </x:c>
      <x:c r="F34" s="10" t="str">
        <x:v>AQ-3 dilution/retention</x:v>
      </x:c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0" t="str">
        <x:f>IF(C34="","OPEN",IF(OR(COUNT(G34:U34)&lt;15,V34=""),"OPEN",IF(AND(G34&gt;='Assumptions'!$B$34,G34&lt;='Assumptions'!$B$35,H34&gt;='Assumptions'!$B$36,H34&lt;='Assumptions'!$B$37,MIN(I34:L34)&gt;='Assumptions'!$B$39,M34&lt;='Assumptions'!$B$40,N34&lt;='Assumptions'!$B$41,O34&lt;='Assumptions'!$B$42,P34&gt;='Assumptions'!$B$38,Q34&gt;='Assumptions'!$B$38,R34&lt;='Assumptions'!$B$48,S34&lt;='Assumptions'!$B$49,T34=48,U34='Assumptions'!$B$57,V34="ACCEPTED"),"PASS","VALID-ADVERSE")))</x:f>
        <x:v>OPEN</x:v>
      </x:c>
    </x:row>
    <x:row r="35">
      <x:c r="A35" s="10" t="str">
        <x:v>AQC-028</x:v>
      </x:c>
      <x:c r="B35" s="10" t="str">
        <x:v>ADM-05</x:v>
      </x:c>
      <x:c r="C35" s="10" t="str">
        <x:f>IF('Module Bank'!C10="","",'Module Bank'!C10)</x:f>
      </x:c>
      <x:c r="D35" s="10" t="str">
        <x:f>IF('Module Bank'!D10="","",'Module Bank'!D10)</x:f>
        <x:v>BL-A</x:v>
      </x:c>
      <x:c r="E35" s="10" t="str">
        <x:f>IF('Module Bank'!E10="","",'Module Bank'!E10)</x:f>
        <x:v>C-2</x:v>
      </x:c>
      <x:c r="F35" s="10" t="str">
        <x:v>AQ-4 decoy/wrong phase</x:v>
      </x:c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0" t="str">
        <x:f>IF(C35="","OPEN",IF(OR(COUNT(G35:U35)&lt;15,V35=""),"OPEN",IF(AND(G35&gt;='Assumptions'!$B$34,G35&lt;='Assumptions'!$B$35,H35&gt;='Assumptions'!$B$36,H35&lt;='Assumptions'!$B$37,MIN(I35:L35)&gt;='Assumptions'!$B$39,M35&lt;='Assumptions'!$B$40,N35&lt;='Assumptions'!$B$41,O35&lt;='Assumptions'!$B$42,P35&gt;='Assumptions'!$B$38,Q35&gt;='Assumptions'!$B$38,R35&lt;='Assumptions'!$B$48,S35&lt;='Assumptions'!$B$49,T35=48,U35='Assumptions'!$B$57,V35="ACCEPTED"),"PASS","VALID-ADVERSE")))</x:f>
        <x:v>OPEN</x:v>
      </x:c>
    </x:row>
    <x:row r="36">
      <x:c r="A36" s="10" t="str">
        <x:v>AQC-029</x:v>
      </x:c>
      <x:c r="B36" s="10" t="str">
        <x:v>ADM-05</x:v>
      </x:c>
      <x:c r="C36" s="10" t="str">
        <x:f>IF('Module Bank'!C10="","",'Module Bank'!C10)</x:f>
      </x:c>
      <x:c r="D36" s="10" t="str">
        <x:f>IF('Module Bank'!D10="","",'Module Bank'!D10)</x:f>
        <x:v>BL-A</x:v>
      </x:c>
      <x:c r="E36" s="10" t="str">
        <x:f>IF('Module Bank'!E10="","",'Module Bank'!E10)</x:f>
        <x:v>C-2</x:v>
      </x:c>
      <x:c r="F36" s="10" t="str">
        <x:v>AQ-5 carryover/decon</x:v>
      </x:c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0" t="str">
        <x:f>IF(C36="","OPEN",IF(OR(COUNT(G36:U36)&lt;15,V36=""),"OPEN",IF(AND(G36&gt;='Assumptions'!$B$34,G36&lt;='Assumptions'!$B$35,H36&gt;='Assumptions'!$B$36,H36&lt;='Assumptions'!$B$37,MIN(I36:L36)&gt;='Assumptions'!$B$39,M36&lt;='Assumptions'!$B$40,N36&lt;='Assumptions'!$B$41,O36&lt;='Assumptions'!$B$42,P36&gt;='Assumptions'!$B$38,Q36&gt;='Assumptions'!$B$38,R36&lt;='Assumptions'!$B$48,S36&lt;='Assumptions'!$B$49,T36=48,U36='Assumptions'!$B$57,V36="ACCEPTED"),"PASS","VALID-ADVERSE")))</x:f>
        <x:v>OPEN</x:v>
      </x:c>
    </x:row>
    <x:row r="37">
      <x:c r="A37" s="10" t="str">
        <x:v>AQC-030</x:v>
      </x:c>
      <x:c r="B37" s="10" t="str">
        <x:v>ADM-05</x:v>
      </x:c>
      <x:c r="C37" s="10" t="str">
        <x:f>IF('Module Bank'!C10="","",'Module Bank'!C10)</x:f>
      </x:c>
      <x:c r="D37" s="10" t="str">
        <x:f>IF('Module Bank'!D10="","",'Module Bank'!D10)</x:f>
        <x:v>BL-A</x:v>
      </x:c>
      <x:c r="E37" s="10" t="str">
        <x:f>IF('Module Bank'!E10="","",'Module Bank'!E10)</x:f>
        <x:v>C-2</x:v>
      </x:c>
      <x:c r="F37" s="10" t="str">
        <x:v>AQ-6 reader/time denied</x:v>
      </x:c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0" t="str">
        <x:f>IF(C37="","OPEN",IF(OR(COUNT(G37:U37)&lt;15,V37=""),"OPEN",IF(AND(G37&gt;='Assumptions'!$B$34,G37&lt;='Assumptions'!$B$35,H37&gt;='Assumptions'!$B$36,H37&lt;='Assumptions'!$B$37,MIN(I37:L37)&gt;='Assumptions'!$B$39,M37&lt;='Assumptions'!$B$40,N37&lt;='Assumptions'!$B$41,O37&lt;='Assumptions'!$B$42,P37&gt;='Assumptions'!$B$38,Q37&gt;='Assumptions'!$B$38,R37&lt;='Assumptions'!$B$48,S37&lt;='Assumptions'!$B$49,T37=48,U37='Assumptions'!$B$57,V37="ACCEPTED"),"PASS","VALID-ADVERSE")))</x:f>
        <x:v>OPEN</x:v>
      </x:c>
    </x:row>
    <x:row r="38">
      <x:c r="A38" s="10" t="str">
        <x:v>AQC-031</x:v>
      </x:c>
      <x:c r="B38" s="10" t="str">
        <x:v>ADM-06</x:v>
      </x:c>
      <x:c r="C38" s="10" t="str">
        <x:f>IF('Module Bank'!C11="","",'Module Bank'!C11)</x:f>
      </x:c>
      <x:c r="D38" s="10" t="str">
        <x:f>IF('Module Bank'!D11="","",'Module Bank'!D11)</x:f>
        <x:v>BL-B</x:v>
      </x:c>
      <x:c r="E38" s="10" t="str">
        <x:f>IF('Module Bank'!E11="","",'Module Bank'!E11)</x:f>
        <x:v>C-2</x:v>
      </x:c>
      <x:c r="F38" s="10" t="str">
        <x:v>AQ-1 nominal crossover</x:v>
      </x:c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0" t="str">
        <x:f>IF(C38="","OPEN",IF(OR(COUNT(G38:U38)&lt;15,V38=""),"OPEN",IF(AND(G38&gt;='Assumptions'!$B$34,G38&lt;='Assumptions'!$B$35,H38&gt;='Assumptions'!$B$36,H38&lt;='Assumptions'!$B$37,MIN(I38:L38)&gt;='Assumptions'!$B$39,M38&lt;='Assumptions'!$B$40,N38&lt;='Assumptions'!$B$41,O38&lt;='Assumptions'!$B$42,P38&gt;='Assumptions'!$B$38,Q38&gt;='Assumptions'!$B$38,R38&lt;='Assumptions'!$B$48,S38&lt;='Assumptions'!$B$49,T38=48,U38='Assumptions'!$B$57,V38="ACCEPTED"),"PASS","VALID-ADVERSE")))</x:f>
        <x:v>OPEN</x:v>
      </x:c>
    </x:row>
    <x:row r="39">
      <x:c r="A39" s="10" t="str">
        <x:v>AQC-032</x:v>
      </x:c>
      <x:c r="B39" s="10" t="str">
        <x:v>ADM-06</x:v>
      </x:c>
      <x:c r="C39" s="10" t="str">
        <x:f>IF('Module Bank'!C11="","",'Module Bank'!C11)</x:f>
      </x:c>
      <x:c r="D39" s="10" t="str">
        <x:f>IF('Module Bank'!D11="","",'Module Bank'!D11)</x:f>
        <x:v>BL-B</x:v>
      </x:c>
      <x:c r="E39" s="10" t="str">
        <x:f>IF('Module Bank'!E11="","",'Module Bank'!E11)</x:f>
        <x:v>C-2</x:v>
      </x:c>
      <x:c r="F39" s="10" t="str">
        <x:v>AQ-2 emulsion/restricted</x:v>
      </x:c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0" t="str">
        <x:f>IF(C39="","OPEN",IF(OR(COUNT(G39:U39)&lt;15,V39=""),"OPEN",IF(AND(G39&gt;='Assumptions'!$B$34,G39&lt;='Assumptions'!$B$35,H39&gt;='Assumptions'!$B$36,H39&lt;='Assumptions'!$B$37,MIN(I39:L39)&gt;='Assumptions'!$B$39,M39&lt;='Assumptions'!$B$40,N39&lt;='Assumptions'!$B$41,O39&lt;='Assumptions'!$B$42,P39&gt;='Assumptions'!$B$38,Q39&gt;='Assumptions'!$B$38,R39&lt;='Assumptions'!$B$48,S39&lt;='Assumptions'!$B$49,T39=48,U39='Assumptions'!$B$57,V39="ACCEPTED"),"PASS","VALID-ADVERSE")))</x:f>
        <x:v>OPEN</x:v>
      </x:c>
    </x:row>
    <x:row r="40">
      <x:c r="A40" s="10" t="str">
        <x:v>AQC-033</x:v>
      </x:c>
      <x:c r="B40" s="10" t="str">
        <x:v>ADM-06</x:v>
      </x:c>
      <x:c r="C40" s="10" t="str">
        <x:f>IF('Module Bank'!C11="","",'Module Bank'!C11)</x:f>
      </x:c>
      <x:c r="D40" s="10" t="str">
        <x:f>IF('Module Bank'!D11="","",'Module Bank'!D11)</x:f>
        <x:v>BL-B</x:v>
      </x:c>
      <x:c r="E40" s="10" t="str">
        <x:f>IF('Module Bank'!E11="","",'Module Bank'!E11)</x:f>
        <x:v>C-2</x:v>
      </x:c>
      <x:c r="F40" s="10" t="str">
        <x:v>AQ-3 dilution/retention</x:v>
      </x:c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0" t="str">
        <x:f>IF(C40="","OPEN",IF(OR(COUNT(G40:U40)&lt;15,V40=""),"OPEN",IF(AND(G40&gt;='Assumptions'!$B$34,G40&lt;='Assumptions'!$B$35,H40&gt;='Assumptions'!$B$36,H40&lt;='Assumptions'!$B$37,MIN(I40:L40)&gt;='Assumptions'!$B$39,M40&lt;='Assumptions'!$B$40,N40&lt;='Assumptions'!$B$41,O40&lt;='Assumptions'!$B$42,P40&gt;='Assumptions'!$B$38,Q40&gt;='Assumptions'!$B$38,R40&lt;='Assumptions'!$B$48,S40&lt;='Assumptions'!$B$49,T40=48,U40='Assumptions'!$B$57,V40="ACCEPTED"),"PASS","VALID-ADVERSE")))</x:f>
        <x:v>OPEN</x:v>
      </x:c>
    </x:row>
    <x:row r="41">
      <x:c r="A41" s="10" t="str">
        <x:v>AQC-034</x:v>
      </x:c>
      <x:c r="B41" s="10" t="str">
        <x:v>ADM-06</x:v>
      </x:c>
      <x:c r="C41" s="10" t="str">
        <x:f>IF('Module Bank'!C11="","",'Module Bank'!C11)</x:f>
      </x:c>
      <x:c r="D41" s="10" t="str">
        <x:f>IF('Module Bank'!D11="","",'Module Bank'!D11)</x:f>
        <x:v>BL-B</x:v>
      </x:c>
      <x:c r="E41" s="10" t="str">
        <x:f>IF('Module Bank'!E11="","",'Module Bank'!E11)</x:f>
        <x:v>C-2</x:v>
      </x:c>
      <x:c r="F41" s="10" t="str">
        <x:v>AQ-4 decoy/wrong phase</x:v>
      </x:c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0" t="str">
        <x:f>IF(C41="","OPEN",IF(OR(COUNT(G41:U41)&lt;15,V41=""),"OPEN",IF(AND(G41&gt;='Assumptions'!$B$34,G41&lt;='Assumptions'!$B$35,H41&gt;='Assumptions'!$B$36,H41&lt;='Assumptions'!$B$37,MIN(I41:L41)&gt;='Assumptions'!$B$39,M41&lt;='Assumptions'!$B$40,N41&lt;='Assumptions'!$B$41,O41&lt;='Assumptions'!$B$42,P41&gt;='Assumptions'!$B$38,Q41&gt;='Assumptions'!$B$38,R41&lt;='Assumptions'!$B$48,S41&lt;='Assumptions'!$B$49,T41=48,U41='Assumptions'!$B$57,V41="ACCEPTED"),"PASS","VALID-ADVERSE")))</x:f>
        <x:v>OPEN</x:v>
      </x:c>
    </x:row>
    <x:row r="42">
      <x:c r="A42" s="10" t="str">
        <x:v>AQC-035</x:v>
      </x:c>
      <x:c r="B42" s="10" t="str">
        <x:v>ADM-06</x:v>
      </x:c>
      <x:c r="C42" s="10" t="str">
        <x:f>IF('Module Bank'!C11="","",'Module Bank'!C11)</x:f>
      </x:c>
      <x:c r="D42" s="10" t="str">
        <x:f>IF('Module Bank'!D11="","",'Module Bank'!D11)</x:f>
        <x:v>BL-B</x:v>
      </x:c>
      <x:c r="E42" s="10" t="str">
        <x:f>IF('Module Bank'!E11="","",'Module Bank'!E11)</x:f>
        <x:v>C-2</x:v>
      </x:c>
      <x:c r="F42" s="10" t="str">
        <x:v>AQ-5 carryover/decon</x:v>
      </x:c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0" t="str">
        <x:f>IF(C42="","OPEN",IF(OR(COUNT(G42:U42)&lt;15,V42=""),"OPEN",IF(AND(G42&gt;='Assumptions'!$B$34,G42&lt;='Assumptions'!$B$35,H42&gt;='Assumptions'!$B$36,H42&lt;='Assumptions'!$B$37,MIN(I42:L42)&gt;='Assumptions'!$B$39,M42&lt;='Assumptions'!$B$40,N42&lt;='Assumptions'!$B$41,O42&lt;='Assumptions'!$B$42,P42&gt;='Assumptions'!$B$38,Q42&gt;='Assumptions'!$B$38,R42&lt;='Assumptions'!$B$48,S42&lt;='Assumptions'!$B$49,T42=48,U42='Assumptions'!$B$57,V42="ACCEPTED"),"PASS","VALID-ADVERSE")))</x:f>
        <x:v>OPEN</x:v>
      </x:c>
    </x:row>
    <x:row r="43">
      <x:c r="A43" s="10" t="str">
        <x:v>AQC-036</x:v>
      </x:c>
      <x:c r="B43" s="10" t="str">
        <x:v>ADM-06</x:v>
      </x:c>
      <x:c r="C43" s="10" t="str">
        <x:f>IF('Module Bank'!C11="","",'Module Bank'!C11)</x:f>
      </x:c>
      <x:c r="D43" s="10" t="str">
        <x:f>IF('Module Bank'!D11="","",'Module Bank'!D11)</x:f>
        <x:v>BL-B</x:v>
      </x:c>
      <x:c r="E43" s="10" t="str">
        <x:f>IF('Module Bank'!E11="","",'Module Bank'!E11)</x:f>
        <x:v>C-2</x:v>
      </x:c>
      <x:c r="F43" s="10" t="str">
        <x:v>AQ-6 reader/time denied</x:v>
      </x:c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0" t="str">
        <x:f>IF(C43="","OPEN",IF(OR(COUNT(G43:U43)&lt;15,V43=""),"OPEN",IF(AND(G43&gt;='Assumptions'!$B$34,G43&lt;='Assumptions'!$B$35,H43&gt;='Assumptions'!$B$36,H43&lt;='Assumptions'!$B$37,MIN(I43:L43)&gt;='Assumptions'!$B$39,M43&lt;='Assumptions'!$B$40,N43&lt;='Assumptions'!$B$41,O43&lt;='Assumptions'!$B$42,P43&gt;='Assumptions'!$B$38,Q43&gt;='Assumptions'!$B$38,R43&lt;='Assumptions'!$B$48,S43&lt;='Assumptions'!$B$49,T43=48,U43='Assumptions'!$B$57,V43="ACCEPTED"),"PASS","VALID-ADVERSE")))</x:f>
        <x:v>OPEN</x:v>
      </x:c>
    </x:row>
    <x:row r="44">
      <x:c r="A44" s="10" t="str">
        <x:v>AQC-037</x:v>
      </x:c>
      <x:c r="B44" s="10" t="str">
        <x:v>ADM-07</x:v>
      </x:c>
      <x:c r="C44" s="10" t="str">
        <x:f>IF('Module Bank'!C12="","",'Module Bank'!C12)</x:f>
      </x:c>
      <x:c r="D44" s="10" t="str">
        <x:f>IF('Module Bank'!D12="","",'Module Bank'!D12)</x:f>
        <x:v>BL-B</x:v>
      </x:c>
      <x:c r="E44" s="10" t="str">
        <x:f>IF('Module Bank'!E12="","",'Module Bank'!E12)</x:f>
        <x:v>C-2</x:v>
      </x:c>
      <x:c r="F44" s="10" t="str">
        <x:v>AQ-1 nominal crossover</x:v>
      </x:c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0" t="str">
        <x:f>IF(C44="","OPEN",IF(OR(COUNT(G44:U44)&lt;15,V44=""),"OPEN",IF(AND(G44&gt;='Assumptions'!$B$34,G44&lt;='Assumptions'!$B$35,H44&gt;='Assumptions'!$B$36,H44&lt;='Assumptions'!$B$37,MIN(I44:L44)&gt;='Assumptions'!$B$39,M44&lt;='Assumptions'!$B$40,N44&lt;='Assumptions'!$B$41,O44&lt;='Assumptions'!$B$42,P44&gt;='Assumptions'!$B$38,Q44&gt;='Assumptions'!$B$38,R44&lt;='Assumptions'!$B$48,S44&lt;='Assumptions'!$B$49,T44=48,U44='Assumptions'!$B$57,V44="ACCEPTED"),"PASS","VALID-ADVERSE")))</x:f>
        <x:v>OPEN</x:v>
      </x:c>
    </x:row>
    <x:row r="45">
      <x:c r="A45" s="10" t="str">
        <x:v>AQC-038</x:v>
      </x:c>
      <x:c r="B45" s="10" t="str">
        <x:v>ADM-07</x:v>
      </x:c>
      <x:c r="C45" s="10" t="str">
        <x:f>IF('Module Bank'!C12="","",'Module Bank'!C12)</x:f>
      </x:c>
      <x:c r="D45" s="10" t="str">
        <x:f>IF('Module Bank'!D12="","",'Module Bank'!D12)</x:f>
        <x:v>BL-B</x:v>
      </x:c>
      <x:c r="E45" s="10" t="str">
        <x:f>IF('Module Bank'!E12="","",'Module Bank'!E12)</x:f>
        <x:v>C-2</x:v>
      </x:c>
      <x:c r="F45" s="10" t="str">
        <x:v>AQ-2 emulsion/restricted</x:v>
      </x:c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0" t="str">
        <x:f>IF(C45="","OPEN",IF(OR(COUNT(G45:U45)&lt;15,V45=""),"OPEN",IF(AND(G45&gt;='Assumptions'!$B$34,G45&lt;='Assumptions'!$B$35,H45&gt;='Assumptions'!$B$36,H45&lt;='Assumptions'!$B$37,MIN(I45:L45)&gt;='Assumptions'!$B$39,M45&lt;='Assumptions'!$B$40,N45&lt;='Assumptions'!$B$41,O45&lt;='Assumptions'!$B$42,P45&gt;='Assumptions'!$B$38,Q45&gt;='Assumptions'!$B$38,R45&lt;='Assumptions'!$B$48,S45&lt;='Assumptions'!$B$49,T45=48,U45='Assumptions'!$B$57,V45="ACCEPTED"),"PASS","VALID-ADVERSE")))</x:f>
        <x:v>OPEN</x:v>
      </x:c>
    </x:row>
    <x:row r="46">
      <x:c r="A46" s="10" t="str">
        <x:v>AQC-039</x:v>
      </x:c>
      <x:c r="B46" s="10" t="str">
        <x:v>ADM-07</x:v>
      </x:c>
      <x:c r="C46" s="10" t="str">
        <x:f>IF('Module Bank'!C12="","",'Module Bank'!C12)</x:f>
      </x:c>
      <x:c r="D46" s="10" t="str">
        <x:f>IF('Module Bank'!D12="","",'Module Bank'!D12)</x:f>
        <x:v>BL-B</x:v>
      </x:c>
      <x:c r="E46" s="10" t="str">
        <x:f>IF('Module Bank'!E12="","",'Module Bank'!E12)</x:f>
        <x:v>C-2</x:v>
      </x:c>
      <x:c r="F46" s="10" t="str">
        <x:v>AQ-3 dilution/retention</x:v>
      </x:c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0" t="str">
        <x:f>IF(C46="","OPEN",IF(OR(COUNT(G46:U46)&lt;15,V46=""),"OPEN",IF(AND(G46&gt;='Assumptions'!$B$34,G46&lt;='Assumptions'!$B$35,H46&gt;='Assumptions'!$B$36,H46&lt;='Assumptions'!$B$37,MIN(I46:L46)&gt;='Assumptions'!$B$39,M46&lt;='Assumptions'!$B$40,N46&lt;='Assumptions'!$B$41,O46&lt;='Assumptions'!$B$42,P46&gt;='Assumptions'!$B$38,Q46&gt;='Assumptions'!$B$38,R46&lt;='Assumptions'!$B$48,S46&lt;='Assumptions'!$B$49,T46=48,U46='Assumptions'!$B$57,V46="ACCEPTED"),"PASS","VALID-ADVERSE")))</x:f>
        <x:v>OPEN</x:v>
      </x:c>
    </x:row>
    <x:row r="47">
      <x:c r="A47" s="10" t="str">
        <x:v>AQC-040</x:v>
      </x:c>
      <x:c r="B47" s="10" t="str">
        <x:v>ADM-07</x:v>
      </x:c>
      <x:c r="C47" s="10" t="str">
        <x:f>IF('Module Bank'!C12="","",'Module Bank'!C12)</x:f>
      </x:c>
      <x:c r="D47" s="10" t="str">
        <x:f>IF('Module Bank'!D12="","",'Module Bank'!D12)</x:f>
        <x:v>BL-B</x:v>
      </x:c>
      <x:c r="E47" s="10" t="str">
        <x:f>IF('Module Bank'!E12="","",'Module Bank'!E12)</x:f>
        <x:v>C-2</x:v>
      </x:c>
      <x:c r="F47" s="10" t="str">
        <x:v>AQ-4 decoy/wrong phase</x:v>
      </x:c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0" t="str">
        <x:f>IF(C47="","OPEN",IF(OR(COUNT(G47:U47)&lt;15,V47=""),"OPEN",IF(AND(G47&gt;='Assumptions'!$B$34,G47&lt;='Assumptions'!$B$35,H47&gt;='Assumptions'!$B$36,H47&lt;='Assumptions'!$B$37,MIN(I47:L47)&gt;='Assumptions'!$B$39,M47&lt;='Assumptions'!$B$40,N47&lt;='Assumptions'!$B$41,O47&lt;='Assumptions'!$B$42,P47&gt;='Assumptions'!$B$38,Q47&gt;='Assumptions'!$B$38,R47&lt;='Assumptions'!$B$48,S47&lt;='Assumptions'!$B$49,T47=48,U47='Assumptions'!$B$57,V47="ACCEPTED"),"PASS","VALID-ADVERSE")))</x:f>
        <x:v>OPEN</x:v>
      </x:c>
    </x:row>
    <x:row r="48">
      <x:c r="A48" s="10" t="str">
        <x:v>AQC-041</x:v>
      </x:c>
      <x:c r="B48" s="10" t="str">
        <x:v>ADM-07</x:v>
      </x:c>
      <x:c r="C48" s="10" t="str">
        <x:f>IF('Module Bank'!C12="","",'Module Bank'!C12)</x:f>
      </x:c>
      <x:c r="D48" s="10" t="str">
        <x:f>IF('Module Bank'!D12="","",'Module Bank'!D12)</x:f>
        <x:v>BL-B</x:v>
      </x:c>
      <x:c r="E48" s="10" t="str">
        <x:f>IF('Module Bank'!E12="","",'Module Bank'!E12)</x:f>
        <x:v>C-2</x:v>
      </x:c>
      <x:c r="F48" s="10" t="str">
        <x:v>AQ-5 carryover/decon</x:v>
      </x:c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0" t="str">
        <x:f>IF(C48="","OPEN",IF(OR(COUNT(G48:U48)&lt;15,V48=""),"OPEN",IF(AND(G48&gt;='Assumptions'!$B$34,G48&lt;='Assumptions'!$B$35,H48&gt;='Assumptions'!$B$36,H48&lt;='Assumptions'!$B$37,MIN(I48:L48)&gt;='Assumptions'!$B$39,M48&lt;='Assumptions'!$B$40,N48&lt;='Assumptions'!$B$41,O48&lt;='Assumptions'!$B$42,P48&gt;='Assumptions'!$B$38,Q48&gt;='Assumptions'!$B$38,R48&lt;='Assumptions'!$B$48,S48&lt;='Assumptions'!$B$49,T48=48,U48='Assumptions'!$B$57,V48="ACCEPTED"),"PASS","VALID-ADVERSE")))</x:f>
        <x:v>OPEN</x:v>
      </x:c>
    </x:row>
    <x:row r="49">
      <x:c r="A49" s="10" t="str">
        <x:v>AQC-042</x:v>
      </x:c>
      <x:c r="B49" s="10" t="str">
        <x:v>ADM-07</x:v>
      </x:c>
      <x:c r="C49" s="10" t="str">
        <x:f>IF('Module Bank'!C12="","",'Module Bank'!C12)</x:f>
      </x:c>
      <x:c r="D49" s="10" t="str">
        <x:f>IF('Module Bank'!D12="","",'Module Bank'!D12)</x:f>
        <x:v>BL-B</x:v>
      </x:c>
      <x:c r="E49" s="10" t="str">
        <x:f>IF('Module Bank'!E12="","",'Module Bank'!E12)</x:f>
        <x:v>C-2</x:v>
      </x:c>
      <x:c r="F49" s="10" t="str">
        <x:v>AQ-6 reader/time denied</x:v>
      </x:c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0" t="str">
        <x:f>IF(C49="","OPEN",IF(OR(COUNT(G49:U49)&lt;15,V49=""),"OPEN",IF(AND(G49&gt;='Assumptions'!$B$34,G49&lt;='Assumptions'!$B$35,H49&gt;='Assumptions'!$B$36,H49&lt;='Assumptions'!$B$37,MIN(I49:L49)&gt;='Assumptions'!$B$39,M49&lt;='Assumptions'!$B$40,N49&lt;='Assumptions'!$B$41,O49&lt;='Assumptions'!$B$42,P49&gt;='Assumptions'!$B$38,Q49&gt;='Assumptions'!$B$38,R49&lt;='Assumptions'!$B$48,S49&lt;='Assumptions'!$B$49,T49=48,U49='Assumptions'!$B$57,V49="ACCEPTED"),"PASS","VALID-ADVERSE")))</x:f>
        <x:v>OPEN</x:v>
      </x:c>
    </x:row>
    <x:row r="50">
      <x:c r="A50" s="10" t="str">
        <x:v>AQC-043</x:v>
      </x:c>
      <x:c r="B50" s="10" t="str">
        <x:v>ADM-08</x:v>
      </x:c>
      <x:c r="C50" s="10" t="str">
        <x:f>IF('Module Bank'!C13="","",'Module Bank'!C13)</x:f>
      </x:c>
      <x:c r="D50" s="10" t="str">
        <x:f>IF('Module Bank'!D13="","",'Module Bank'!D13)</x:f>
        <x:v>BL-A</x:v>
      </x:c>
      <x:c r="E50" s="10" t="str">
        <x:f>IF('Module Bank'!E13="","",'Module Bank'!E13)</x:f>
        <x:v>C-2</x:v>
      </x:c>
      <x:c r="F50" s="10" t="str">
        <x:v>AQ-1 nominal crossover</x:v>
      </x:c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0" t="str">
        <x:f>IF(C50="","OPEN",IF(OR(COUNT(G50:U50)&lt;15,V50=""),"OPEN",IF(AND(G50&gt;='Assumptions'!$B$34,G50&lt;='Assumptions'!$B$35,H50&gt;='Assumptions'!$B$36,H50&lt;='Assumptions'!$B$37,MIN(I50:L50)&gt;='Assumptions'!$B$39,M50&lt;='Assumptions'!$B$40,N50&lt;='Assumptions'!$B$41,O50&lt;='Assumptions'!$B$42,P50&gt;='Assumptions'!$B$38,Q50&gt;='Assumptions'!$B$38,R50&lt;='Assumptions'!$B$48,S50&lt;='Assumptions'!$B$49,T50=48,U50='Assumptions'!$B$57,V50="ACCEPTED"),"PASS","VALID-ADVERSE")))</x:f>
        <x:v>OPEN</x:v>
      </x:c>
    </x:row>
    <x:row r="51">
      <x:c r="A51" s="10" t="str">
        <x:v>AQC-044</x:v>
      </x:c>
      <x:c r="B51" s="10" t="str">
        <x:v>ADM-08</x:v>
      </x:c>
      <x:c r="C51" s="10" t="str">
        <x:f>IF('Module Bank'!C13="","",'Module Bank'!C13)</x:f>
      </x:c>
      <x:c r="D51" s="10" t="str">
        <x:f>IF('Module Bank'!D13="","",'Module Bank'!D13)</x:f>
        <x:v>BL-A</x:v>
      </x:c>
      <x:c r="E51" s="10" t="str">
        <x:f>IF('Module Bank'!E13="","",'Module Bank'!E13)</x:f>
        <x:v>C-2</x:v>
      </x:c>
      <x:c r="F51" s="10" t="str">
        <x:v>AQ-2 emulsion/restricted</x:v>
      </x:c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0" t="str">
        <x:f>IF(C51="","OPEN",IF(OR(COUNT(G51:U51)&lt;15,V51=""),"OPEN",IF(AND(G51&gt;='Assumptions'!$B$34,G51&lt;='Assumptions'!$B$35,H51&gt;='Assumptions'!$B$36,H51&lt;='Assumptions'!$B$37,MIN(I51:L51)&gt;='Assumptions'!$B$39,M51&lt;='Assumptions'!$B$40,N51&lt;='Assumptions'!$B$41,O51&lt;='Assumptions'!$B$42,P51&gt;='Assumptions'!$B$38,Q51&gt;='Assumptions'!$B$38,R51&lt;='Assumptions'!$B$48,S51&lt;='Assumptions'!$B$49,T51=48,U51='Assumptions'!$B$57,V51="ACCEPTED"),"PASS","VALID-ADVERSE")))</x:f>
        <x:v>OPEN</x:v>
      </x:c>
    </x:row>
    <x:row r="52">
      <x:c r="A52" s="10" t="str">
        <x:v>AQC-045</x:v>
      </x:c>
      <x:c r="B52" s="10" t="str">
        <x:v>ADM-08</x:v>
      </x:c>
      <x:c r="C52" s="10" t="str">
        <x:f>IF('Module Bank'!C13="","",'Module Bank'!C13)</x:f>
      </x:c>
      <x:c r="D52" s="10" t="str">
        <x:f>IF('Module Bank'!D13="","",'Module Bank'!D13)</x:f>
        <x:v>BL-A</x:v>
      </x:c>
      <x:c r="E52" s="10" t="str">
        <x:f>IF('Module Bank'!E13="","",'Module Bank'!E13)</x:f>
        <x:v>C-2</x:v>
      </x:c>
      <x:c r="F52" s="10" t="str">
        <x:v>AQ-3 dilution/retention</x:v>
      </x:c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0" t="str">
        <x:f>IF(C52="","OPEN",IF(OR(COUNT(G52:U52)&lt;15,V52=""),"OPEN",IF(AND(G52&gt;='Assumptions'!$B$34,G52&lt;='Assumptions'!$B$35,H52&gt;='Assumptions'!$B$36,H52&lt;='Assumptions'!$B$37,MIN(I52:L52)&gt;='Assumptions'!$B$39,M52&lt;='Assumptions'!$B$40,N52&lt;='Assumptions'!$B$41,O52&lt;='Assumptions'!$B$42,P52&gt;='Assumptions'!$B$38,Q52&gt;='Assumptions'!$B$38,R52&lt;='Assumptions'!$B$48,S52&lt;='Assumptions'!$B$49,T52=48,U52='Assumptions'!$B$57,V52="ACCEPTED"),"PASS","VALID-ADVERSE")))</x:f>
        <x:v>OPEN</x:v>
      </x:c>
    </x:row>
    <x:row r="53">
      <x:c r="A53" s="10" t="str">
        <x:v>AQC-046</x:v>
      </x:c>
      <x:c r="B53" s="10" t="str">
        <x:v>ADM-08</x:v>
      </x:c>
      <x:c r="C53" s="10" t="str">
        <x:f>IF('Module Bank'!C13="","",'Module Bank'!C13)</x:f>
      </x:c>
      <x:c r="D53" s="10" t="str">
        <x:f>IF('Module Bank'!D13="","",'Module Bank'!D13)</x:f>
        <x:v>BL-A</x:v>
      </x:c>
      <x:c r="E53" s="10" t="str">
        <x:f>IF('Module Bank'!E13="","",'Module Bank'!E13)</x:f>
        <x:v>C-2</x:v>
      </x:c>
      <x:c r="F53" s="10" t="str">
        <x:v>AQ-4 decoy/wrong phase</x:v>
      </x:c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0" t="str">
        <x:f>IF(C53="","OPEN",IF(OR(COUNT(G53:U53)&lt;15,V53=""),"OPEN",IF(AND(G53&gt;='Assumptions'!$B$34,G53&lt;='Assumptions'!$B$35,H53&gt;='Assumptions'!$B$36,H53&lt;='Assumptions'!$B$37,MIN(I53:L53)&gt;='Assumptions'!$B$39,M53&lt;='Assumptions'!$B$40,N53&lt;='Assumptions'!$B$41,O53&lt;='Assumptions'!$B$42,P53&gt;='Assumptions'!$B$38,Q53&gt;='Assumptions'!$B$38,R53&lt;='Assumptions'!$B$48,S53&lt;='Assumptions'!$B$49,T53=48,U53='Assumptions'!$B$57,V53="ACCEPTED"),"PASS","VALID-ADVERSE")))</x:f>
        <x:v>OPEN</x:v>
      </x:c>
    </x:row>
    <x:row r="54">
      <x:c r="A54" s="10" t="str">
        <x:v>AQC-047</x:v>
      </x:c>
      <x:c r="B54" s="10" t="str">
        <x:v>ADM-08</x:v>
      </x:c>
      <x:c r="C54" s="10" t="str">
        <x:f>IF('Module Bank'!C13="","",'Module Bank'!C13)</x:f>
      </x:c>
      <x:c r="D54" s="10" t="str">
        <x:f>IF('Module Bank'!D13="","",'Module Bank'!D13)</x:f>
        <x:v>BL-A</x:v>
      </x:c>
      <x:c r="E54" s="10" t="str">
        <x:f>IF('Module Bank'!E13="","",'Module Bank'!E13)</x:f>
        <x:v>C-2</x:v>
      </x:c>
      <x:c r="F54" s="10" t="str">
        <x:v>AQ-5 carryover/decon</x:v>
      </x:c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0" t="str">
        <x:f>IF(C54="","OPEN",IF(OR(COUNT(G54:U54)&lt;15,V54=""),"OPEN",IF(AND(G54&gt;='Assumptions'!$B$34,G54&lt;='Assumptions'!$B$35,H54&gt;='Assumptions'!$B$36,H54&lt;='Assumptions'!$B$37,MIN(I54:L54)&gt;='Assumptions'!$B$39,M54&lt;='Assumptions'!$B$40,N54&lt;='Assumptions'!$B$41,O54&lt;='Assumptions'!$B$42,P54&gt;='Assumptions'!$B$38,Q54&gt;='Assumptions'!$B$38,R54&lt;='Assumptions'!$B$48,S54&lt;='Assumptions'!$B$49,T54=48,U54='Assumptions'!$B$57,V54="ACCEPTED"),"PASS","VALID-ADVERSE")))</x:f>
        <x:v>OPEN</x:v>
      </x:c>
    </x:row>
    <x:row r="55">
      <x:c r="A55" s="10" t="str">
        <x:v>AQC-048</x:v>
      </x:c>
      <x:c r="B55" s="10" t="str">
        <x:v>ADM-08</x:v>
      </x:c>
      <x:c r="C55" s="10" t="str">
        <x:f>IF('Module Bank'!C13="","",'Module Bank'!C13)</x:f>
      </x:c>
      <x:c r="D55" s="10" t="str">
        <x:f>IF('Module Bank'!D13="","",'Module Bank'!D13)</x:f>
        <x:v>BL-A</x:v>
      </x:c>
      <x:c r="E55" s="10" t="str">
        <x:f>IF('Module Bank'!E13="","",'Module Bank'!E13)</x:f>
        <x:v>C-2</x:v>
      </x:c>
      <x:c r="F55" s="10" t="str">
        <x:v>AQ-6 reader/time denied</x:v>
      </x:c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0" t="str">
        <x:f>IF(C55="","OPEN",IF(OR(COUNT(G55:U55)&lt;15,V55=""),"OPEN",IF(AND(G55&gt;='Assumptions'!$B$34,G55&lt;='Assumptions'!$B$35,H55&gt;='Assumptions'!$B$36,H55&lt;='Assumptions'!$B$37,MIN(I55:L55)&gt;='Assumptions'!$B$39,M55&lt;='Assumptions'!$B$40,N55&lt;='Assumptions'!$B$41,O55&lt;='Assumptions'!$B$42,P55&gt;='Assumptions'!$B$38,Q55&gt;='Assumptions'!$B$38,R55&lt;='Assumptions'!$B$48,S55&lt;='Assumptions'!$B$49,T55=48,U55='Assumptions'!$B$57,V55="ACCEPTED"),"PASS","VALID-ADVERSE")))</x:f>
        <x:v>OPEN</x:v>
      </x:c>
    </x:row>
    <x:row r="56">
      <x:c r="A56" s="10" t="str">
        <x:v>AQC-049</x:v>
      </x:c>
      <x:c r="B56" s="10" t="str">
        <x:v>ADM-09</x:v>
      </x:c>
      <x:c r="C56" s="10" t="str">
        <x:f>IF('Module Bank'!C14="","",'Module Bank'!C14)</x:f>
      </x:c>
      <x:c r="D56" s="10" t="str">
        <x:f>IF('Module Bank'!D14="","",'Module Bank'!D14)</x:f>
        <x:v>BL-A</x:v>
      </x:c>
      <x:c r="E56" s="10" t="str">
        <x:f>IF('Module Bank'!E14="","",'Module Bank'!E14)</x:f>
        <x:v>C-3</x:v>
      </x:c>
      <x:c r="F56" s="10" t="str">
        <x:v>AQ-1 nominal crossover</x:v>
      </x:c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0" t="str">
        <x:f>IF(C56="","OPEN",IF(OR(COUNT(G56:U56)&lt;15,V56=""),"OPEN",IF(AND(G56&gt;='Assumptions'!$B$34,G56&lt;='Assumptions'!$B$35,H56&gt;='Assumptions'!$B$36,H56&lt;='Assumptions'!$B$37,MIN(I56:L56)&gt;='Assumptions'!$B$39,M56&lt;='Assumptions'!$B$40,N56&lt;='Assumptions'!$B$41,O56&lt;='Assumptions'!$B$42,P56&gt;='Assumptions'!$B$38,Q56&gt;='Assumptions'!$B$38,R56&lt;='Assumptions'!$B$48,S56&lt;='Assumptions'!$B$49,T56=48,U56='Assumptions'!$B$57,V56="ACCEPTED"),"PASS","VALID-ADVERSE")))</x:f>
        <x:v>OPEN</x:v>
      </x:c>
    </x:row>
    <x:row r="57">
      <x:c r="A57" s="10" t="str">
        <x:v>AQC-050</x:v>
      </x:c>
      <x:c r="B57" s="10" t="str">
        <x:v>ADM-09</x:v>
      </x:c>
      <x:c r="C57" s="10" t="str">
        <x:f>IF('Module Bank'!C14="","",'Module Bank'!C14)</x:f>
      </x:c>
      <x:c r="D57" s="10" t="str">
        <x:f>IF('Module Bank'!D14="","",'Module Bank'!D14)</x:f>
        <x:v>BL-A</x:v>
      </x:c>
      <x:c r="E57" s="10" t="str">
        <x:f>IF('Module Bank'!E14="","",'Module Bank'!E14)</x:f>
        <x:v>C-3</x:v>
      </x:c>
      <x:c r="F57" s="10" t="str">
        <x:v>AQ-2 emulsion/restricted</x:v>
      </x:c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0" t="str">
        <x:f>IF(C57="","OPEN",IF(OR(COUNT(G57:U57)&lt;15,V57=""),"OPEN",IF(AND(G57&gt;='Assumptions'!$B$34,G57&lt;='Assumptions'!$B$35,H57&gt;='Assumptions'!$B$36,H57&lt;='Assumptions'!$B$37,MIN(I57:L57)&gt;='Assumptions'!$B$39,M57&lt;='Assumptions'!$B$40,N57&lt;='Assumptions'!$B$41,O57&lt;='Assumptions'!$B$42,P57&gt;='Assumptions'!$B$38,Q57&gt;='Assumptions'!$B$38,R57&lt;='Assumptions'!$B$48,S57&lt;='Assumptions'!$B$49,T57=48,U57='Assumptions'!$B$57,V57="ACCEPTED"),"PASS","VALID-ADVERSE")))</x:f>
        <x:v>OPEN</x:v>
      </x:c>
    </x:row>
    <x:row r="58">
      <x:c r="A58" s="10" t="str">
        <x:v>AQC-051</x:v>
      </x:c>
      <x:c r="B58" s="10" t="str">
        <x:v>ADM-09</x:v>
      </x:c>
      <x:c r="C58" s="10" t="str">
        <x:f>IF('Module Bank'!C14="","",'Module Bank'!C14)</x:f>
      </x:c>
      <x:c r="D58" s="10" t="str">
        <x:f>IF('Module Bank'!D14="","",'Module Bank'!D14)</x:f>
        <x:v>BL-A</x:v>
      </x:c>
      <x:c r="E58" s="10" t="str">
        <x:f>IF('Module Bank'!E14="","",'Module Bank'!E14)</x:f>
        <x:v>C-3</x:v>
      </x:c>
      <x:c r="F58" s="10" t="str">
        <x:v>AQ-3 dilution/retention</x:v>
      </x:c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0" t="str">
        <x:f>IF(C58="","OPEN",IF(OR(COUNT(G58:U58)&lt;15,V58=""),"OPEN",IF(AND(G58&gt;='Assumptions'!$B$34,G58&lt;='Assumptions'!$B$35,H58&gt;='Assumptions'!$B$36,H58&lt;='Assumptions'!$B$37,MIN(I58:L58)&gt;='Assumptions'!$B$39,M58&lt;='Assumptions'!$B$40,N58&lt;='Assumptions'!$B$41,O58&lt;='Assumptions'!$B$42,P58&gt;='Assumptions'!$B$38,Q58&gt;='Assumptions'!$B$38,R58&lt;='Assumptions'!$B$48,S58&lt;='Assumptions'!$B$49,T58=48,U58='Assumptions'!$B$57,V58="ACCEPTED"),"PASS","VALID-ADVERSE")))</x:f>
        <x:v>OPEN</x:v>
      </x:c>
    </x:row>
    <x:row r="59">
      <x:c r="A59" s="10" t="str">
        <x:v>AQC-052</x:v>
      </x:c>
      <x:c r="B59" s="10" t="str">
        <x:v>ADM-09</x:v>
      </x:c>
      <x:c r="C59" s="10" t="str">
        <x:f>IF('Module Bank'!C14="","",'Module Bank'!C14)</x:f>
      </x:c>
      <x:c r="D59" s="10" t="str">
        <x:f>IF('Module Bank'!D14="","",'Module Bank'!D14)</x:f>
        <x:v>BL-A</x:v>
      </x:c>
      <x:c r="E59" s="10" t="str">
        <x:f>IF('Module Bank'!E14="","",'Module Bank'!E14)</x:f>
        <x:v>C-3</x:v>
      </x:c>
      <x:c r="F59" s="10" t="str">
        <x:v>AQ-4 decoy/wrong phase</x:v>
      </x:c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0" t="str">
        <x:f>IF(C59="","OPEN",IF(OR(COUNT(G59:U59)&lt;15,V59=""),"OPEN",IF(AND(G59&gt;='Assumptions'!$B$34,G59&lt;='Assumptions'!$B$35,H59&gt;='Assumptions'!$B$36,H59&lt;='Assumptions'!$B$37,MIN(I59:L59)&gt;='Assumptions'!$B$39,M59&lt;='Assumptions'!$B$40,N59&lt;='Assumptions'!$B$41,O59&lt;='Assumptions'!$B$42,P59&gt;='Assumptions'!$B$38,Q59&gt;='Assumptions'!$B$38,R59&lt;='Assumptions'!$B$48,S59&lt;='Assumptions'!$B$49,T59=48,U59='Assumptions'!$B$57,V59="ACCEPTED"),"PASS","VALID-ADVERSE")))</x:f>
        <x:v>OPEN</x:v>
      </x:c>
    </x:row>
    <x:row r="60">
      <x:c r="A60" s="10" t="str">
        <x:v>AQC-053</x:v>
      </x:c>
      <x:c r="B60" s="10" t="str">
        <x:v>ADM-09</x:v>
      </x:c>
      <x:c r="C60" s="10" t="str">
        <x:f>IF('Module Bank'!C14="","",'Module Bank'!C14)</x:f>
      </x:c>
      <x:c r="D60" s="10" t="str">
        <x:f>IF('Module Bank'!D14="","",'Module Bank'!D14)</x:f>
        <x:v>BL-A</x:v>
      </x:c>
      <x:c r="E60" s="10" t="str">
        <x:f>IF('Module Bank'!E14="","",'Module Bank'!E14)</x:f>
        <x:v>C-3</x:v>
      </x:c>
      <x:c r="F60" s="10" t="str">
        <x:v>AQ-5 carryover/decon</x:v>
      </x:c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0" t="str">
        <x:f>IF(C60="","OPEN",IF(OR(COUNT(G60:U60)&lt;15,V60=""),"OPEN",IF(AND(G60&gt;='Assumptions'!$B$34,G60&lt;='Assumptions'!$B$35,H60&gt;='Assumptions'!$B$36,H60&lt;='Assumptions'!$B$37,MIN(I60:L60)&gt;='Assumptions'!$B$39,M60&lt;='Assumptions'!$B$40,N60&lt;='Assumptions'!$B$41,O60&lt;='Assumptions'!$B$42,P60&gt;='Assumptions'!$B$38,Q60&gt;='Assumptions'!$B$38,R60&lt;='Assumptions'!$B$48,S60&lt;='Assumptions'!$B$49,T60=48,U60='Assumptions'!$B$57,V60="ACCEPTED"),"PASS","VALID-ADVERSE")))</x:f>
        <x:v>OPEN</x:v>
      </x:c>
    </x:row>
    <x:row r="61">
      <x:c r="A61" s="10" t="str">
        <x:v>AQC-054</x:v>
      </x:c>
      <x:c r="B61" s="10" t="str">
        <x:v>ADM-09</x:v>
      </x:c>
      <x:c r="C61" s="10" t="str">
        <x:f>IF('Module Bank'!C14="","",'Module Bank'!C14)</x:f>
      </x:c>
      <x:c r="D61" s="10" t="str">
        <x:f>IF('Module Bank'!D14="","",'Module Bank'!D14)</x:f>
        <x:v>BL-A</x:v>
      </x:c>
      <x:c r="E61" s="10" t="str">
        <x:f>IF('Module Bank'!E14="","",'Module Bank'!E14)</x:f>
        <x:v>C-3</x:v>
      </x:c>
      <x:c r="F61" s="10" t="str">
        <x:v>AQ-6 reader/time denied</x:v>
      </x:c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0" t="str">
        <x:f>IF(C61="","OPEN",IF(OR(COUNT(G61:U61)&lt;15,V61=""),"OPEN",IF(AND(G61&gt;='Assumptions'!$B$34,G61&lt;='Assumptions'!$B$35,H61&gt;='Assumptions'!$B$36,H61&lt;='Assumptions'!$B$37,MIN(I61:L61)&gt;='Assumptions'!$B$39,M61&lt;='Assumptions'!$B$40,N61&lt;='Assumptions'!$B$41,O61&lt;='Assumptions'!$B$42,P61&gt;='Assumptions'!$B$38,Q61&gt;='Assumptions'!$B$38,R61&lt;='Assumptions'!$B$48,S61&lt;='Assumptions'!$B$49,T61=48,U61='Assumptions'!$B$57,V61="ACCEPTED"),"PASS","VALID-ADVERSE")))</x:f>
        <x:v>OPEN</x:v>
      </x:c>
    </x:row>
    <x:row r="62">
      <x:c r="A62" s="10" t="str">
        <x:v>AQC-055</x:v>
      </x:c>
      <x:c r="B62" s="10" t="str">
        <x:v>ADM-10</x:v>
      </x:c>
      <x:c r="C62" s="10" t="str">
        <x:f>IF('Module Bank'!C15="","",'Module Bank'!C15)</x:f>
      </x:c>
      <x:c r="D62" s="10" t="str">
        <x:f>IF('Module Bank'!D15="","",'Module Bank'!D15)</x:f>
        <x:v>BL-B</x:v>
      </x:c>
      <x:c r="E62" s="10" t="str">
        <x:f>IF('Module Bank'!E15="","",'Module Bank'!E15)</x:f>
        <x:v>C-3</x:v>
      </x:c>
      <x:c r="F62" s="10" t="str">
        <x:v>AQ-1 nominal crossover</x:v>
      </x:c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0" t="str">
        <x:f>IF(C62="","OPEN",IF(OR(COUNT(G62:U62)&lt;15,V62=""),"OPEN",IF(AND(G62&gt;='Assumptions'!$B$34,G62&lt;='Assumptions'!$B$35,H62&gt;='Assumptions'!$B$36,H62&lt;='Assumptions'!$B$37,MIN(I62:L62)&gt;='Assumptions'!$B$39,M62&lt;='Assumptions'!$B$40,N62&lt;='Assumptions'!$B$41,O62&lt;='Assumptions'!$B$42,P62&gt;='Assumptions'!$B$38,Q62&gt;='Assumptions'!$B$38,R62&lt;='Assumptions'!$B$48,S62&lt;='Assumptions'!$B$49,T62=48,U62='Assumptions'!$B$57,V62="ACCEPTED"),"PASS","VALID-ADVERSE")))</x:f>
        <x:v>OPEN</x:v>
      </x:c>
    </x:row>
    <x:row r="63">
      <x:c r="A63" s="10" t="str">
        <x:v>AQC-056</x:v>
      </x:c>
      <x:c r="B63" s="10" t="str">
        <x:v>ADM-10</x:v>
      </x:c>
      <x:c r="C63" s="10" t="str">
        <x:f>IF('Module Bank'!C15="","",'Module Bank'!C15)</x:f>
      </x:c>
      <x:c r="D63" s="10" t="str">
        <x:f>IF('Module Bank'!D15="","",'Module Bank'!D15)</x:f>
        <x:v>BL-B</x:v>
      </x:c>
      <x:c r="E63" s="10" t="str">
        <x:f>IF('Module Bank'!E15="","",'Module Bank'!E15)</x:f>
        <x:v>C-3</x:v>
      </x:c>
      <x:c r="F63" s="10" t="str">
        <x:v>AQ-2 emulsion/restricted</x:v>
      </x:c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0" t="str">
        <x:f>IF(C63="","OPEN",IF(OR(COUNT(G63:U63)&lt;15,V63=""),"OPEN",IF(AND(G63&gt;='Assumptions'!$B$34,G63&lt;='Assumptions'!$B$35,H63&gt;='Assumptions'!$B$36,H63&lt;='Assumptions'!$B$37,MIN(I63:L63)&gt;='Assumptions'!$B$39,M63&lt;='Assumptions'!$B$40,N63&lt;='Assumptions'!$B$41,O63&lt;='Assumptions'!$B$42,P63&gt;='Assumptions'!$B$38,Q63&gt;='Assumptions'!$B$38,R63&lt;='Assumptions'!$B$48,S63&lt;='Assumptions'!$B$49,T63=48,U63='Assumptions'!$B$57,V63="ACCEPTED"),"PASS","VALID-ADVERSE")))</x:f>
        <x:v>OPEN</x:v>
      </x:c>
    </x:row>
    <x:row r="64">
      <x:c r="A64" s="10" t="str">
        <x:v>AQC-057</x:v>
      </x:c>
      <x:c r="B64" s="10" t="str">
        <x:v>ADM-10</x:v>
      </x:c>
      <x:c r="C64" s="10" t="str">
        <x:f>IF('Module Bank'!C15="","",'Module Bank'!C15)</x:f>
      </x:c>
      <x:c r="D64" s="10" t="str">
        <x:f>IF('Module Bank'!D15="","",'Module Bank'!D15)</x:f>
        <x:v>BL-B</x:v>
      </x:c>
      <x:c r="E64" s="10" t="str">
        <x:f>IF('Module Bank'!E15="","",'Module Bank'!E15)</x:f>
        <x:v>C-3</x:v>
      </x:c>
      <x:c r="F64" s="10" t="str">
        <x:v>AQ-3 dilution/retention</x:v>
      </x:c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0" t="str">
        <x:f>IF(C64="","OPEN",IF(OR(COUNT(G64:U64)&lt;15,V64=""),"OPEN",IF(AND(G64&gt;='Assumptions'!$B$34,G64&lt;='Assumptions'!$B$35,H64&gt;='Assumptions'!$B$36,H64&lt;='Assumptions'!$B$37,MIN(I64:L64)&gt;='Assumptions'!$B$39,M64&lt;='Assumptions'!$B$40,N64&lt;='Assumptions'!$B$41,O64&lt;='Assumptions'!$B$42,P64&gt;='Assumptions'!$B$38,Q64&gt;='Assumptions'!$B$38,R64&lt;='Assumptions'!$B$48,S64&lt;='Assumptions'!$B$49,T64=48,U64='Assumptions'!$B$57,V64="ACCEPTED"),"PASS","VALID-ADVERSE")))</x:f>
        <x:v>OPEN</x:v>
      </x:c>
    </x:row>
    <x:row r="65">
      <x:c r="A65" s="10" t="str">
        <x:v>AQC-058</x:v>
      </x:c>
      <x:c r="B65" s="10" t="str">
        <x:v>ADM-10</x:v>
      </x:c>
      <x:c r="C65" s="10" t="str">
        <x:f>IF('Module Bank'!C15="","",'Module Bank'!C15)</x:f>
      </x:c>
      <x:c r="D65" s="10" t="str">
        <x:f>IF('Module Bank'!D15="","",'Module Bank'!D15)</x:f>
        <x:v>BL-B</x:v>
      </x:c>
      <x:c r="E65" s="10" t="str">
        <x:f>IF('Module Bank'!E15="","",'Module Bank'!E15)</x:f>
        <x:v>C-3</x:v>
      </x:c>
      <x:c r="F65" s="10" t="str">
        <x:v>AQ-4 decoy/wrong phase</x:v>
      </x:c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0" t="str">
        <x:f>IF(C65="","OPEN",IF(OR(COUNT(G65:U65)&lt;15,V65=""),"OPEN",IF(AND(G65&gt;='Assumptions'!$B$34,G65&lt;='Assumptions'!$B$35,H65&gt;='Assumptions'!$B$36,H65&lt;='Assumptions'!$B$37,MIN(I65:L65)&gt;='Assumptions'!$B$39,M65&lt;='Assumptions'!$B$40,N65&lt;='Assumptions'!$B$41,O65&lt;='Assumptions'!$B$42,P65&gt;='Assumptions'!$B$38,Q65&gt;='Assumptions'!$B$38,R65&lt;='Assumptions'!$B$48,S65&lt;='Assumptions'!$B$49,T65=48,U65='Assumptions'!$B$57,V65="ACCEPTED"),"PASS","VALID-ADVERSE")))</x:f>
        <x:v>OPEN</x:v>
      </x:c>
    </x:row>
    <x:row r="66">
      <x:c r="A66" s="10" t="str">
        <x:v>AQC-059</x:v>
      </x:c>
      <x:c r="B66" s="10" t="str">
        <x:v>ADM-10</x:v>
      </x:c>
      <x:c r="C66" s="10" t="str">
        <x:f>IF('Module Bank'!C15="","",'Module Bank'!C15)</x:f>
      </x:c>
      <x:c r="D66" s="10" t="str">
        <x:f>IF('Module Bank'!D15="","",'Module Bank'!D15)</x:f>
        <x:v>BL-B</x:v>
      </x:c>
      <x:c r="E66" s="10" t="str">
        <x:f>IF('Module Bank'!E15="","",'Module Bank'!E15)</x:f>
        <x:v>C-3</x:v>
      </x:c>
      <x:c r="F66" s="10" t="str">
        <x:v>AQ-5 carryover/decon</x:v>
      </x:c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0" t="str">
        <x:f>IF(C66="","OPEN",IF(OR(COUNT(G66:U66)&lt;15,V66=""),"OPEN",IF(AND(G66&gt;='Assumptions'!$B$34,G66&lt;='Assumptions'!$B$35,H66&gt;='Assumptions'!$B$36,H66&lt;='Assumptions'!$B$37,MIN(I66:L66)&gt;='Assumptions'!$B$39,M66&lt;='Assumptions'!$B$40,N66&lt;='Assumptions'!$B$41,O66&lt;='Assumptions'!$B$42,P66&gt;='Assumptions'!$B$38,Q66&gt;='Assumptions'!$B$38,R66&lt;='Assumptions'!$B$48,S66&lt;='Assumptions'!$B$49,T66=48,U66='Assumptions'!$B$57,V66="ACCEPTED"),"PASS","VALID-ADVERSE")))</x:f>
        <x:v>OPEN</x:v>
      </x:c>
    </x:row>
    <x:row r="67">
      <x:c r="A67" s="10" t="str">
        <x:v>AQC-060</x:v>
      </x:c>
      <x:c r="B67" s="10" t="str">
        <x:v>ADM-10</x:v>
      </x:c>
      <x:c r="C67" s="10" t="str">
        <x:f>IF('Module Bank'!C15="","",'Module Bank'!C15)</x:f>
      </x:c>
      <x:c r="D67" s="10" t="str">
        <x:f>IF('Module Bank'!D15="","",'Module Bank'!D15)</x:f>
        <x:v>BL-B</x:v>
      </x:c>
      <x:c r="E67" s="10" t="str">
        <x:f>IF('Module Bank'!E15="","",'Module Bank'!E15)</x:f>
        <x:v>C-3</x:v>
      </x:c>
      <x:c r="F67" s="10" t="str">
        <x:v>AQ-6 reader/time denied</x:v>
      </x:c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0" t="str">
        <x:f>IF(C67="","OPEN",IF(OR(COUNT(G67:U67)&lt;15,V67=""),"OPEN",IF(AND(G67&gt;='Assumptions'!$B$34,G67&lt;='Assumptions'!$B$35,H67&gt;='Assumptions'!$B$36,H67&lt;='Assumptions'!$B$37,MIN(I67:L67)&gt;='Assumptions'!$B$39,M67&lt;='Assumptions'!$B$40,N67&lt;='Assumptions'!$B$41,O67&lt;='Assumptions'!$B$42,P67&gt;='Assumptions'!$B$38,Q67&gt;='Assumptions'!$B$38,R67&lt;='Assumptions'!$B$48,S67&lt;='Assumptions'!$B$49,T67=48,U67='Assumptions'!$B$57,V67="ACCEPTED"),"PASS","VALID-ADVERSE")))</x:f>
        <x:v>OPEN</x:v>
      </x:c>
    </x:row>
    <x:row r="68">
      <x:c r="A68" s="10" t="str">
        <x:v>AQC-061</x:v>
      </x:c>
      <x:c r="B68" s="10" t="str">
        <x:v>ADM-11</x:v>
      </x:c>
      <x:c r="C68" s="10" t="str">
        <x:f>IF('Module Bank'!C16="","",'Module Bank'!C16)</x:f>
      </x:c>
      <x:c r="D68" s="10" t="str">
        <x:f>IF('Module Bank'!D16="","",'Module Bank'!D16)</x:f>
        <x:v>BL-B</x:v>
      </x:c>
      <x:c r="E68" s="10" t="str">
        <x:f>IF('Module Bank'!E16="","",'Module Bank'!E16)</x:f>
        <x:v>C-3</x:v>
      </x:c>
      <x:c r="F68" s="10" t="str">
        <x:v>AQ-1 nominal crossover</x:v>
      </x:c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0" t="str">
        <x:f>IF(C68="","OPEN",IF(OR(COUNT(G68:U68)&lt;15,V68=""),"OPEN",IF(AND(G68&gt;='Assumptions'!$B$34,G68&lt;='Assumptions'!$B$35,H68&gt;='Assumptions'!$B$36,H68&lt;='Assumptions'!$B$37,MIN(I68:L68)&gt;='Assumptions'!$B$39,M68&lt;='Assumptions'!$B$40,N68&lt;='Assumptions'!$B$41,O68&lt;='Assumptions'!$B$42,P68&gt;='Assumptions'!$B$38,Q68&gt;='Assumptions'!$B$38,R68&lt;='Assumptions'!$B$48,S68&lt;='Assumptions'!$B$49,T68=48,U68='Assumptions'!$B$57,V68="ACCEPTED"),"PASS","VALID-ADVERSE")))</x:f>
        <x:v>OPEN</x:v>
      </x:c>
    </x:row>
    <x:row r="69">
      <x:c r="A69" s="10" t="str">
        <x:v>AQC-062</x:v>
      </x:c>
      <x:c r="B69" s="10" t="str">
        <x:v>ADM-11</x:v>
      </x:c>
      <x:c r="C69" s="10" t="str">
        <x:f>IF('Module Bank'!C16="","",'Module Bank'!C16)</x:f>
      </x:c>
      <x:c r="D69" s="10" t="str">
        <x:f>IF('Module Bank'!D16="","",'Module Bank'!D16)</x:f>
        <x:v>BL-B</x:v>
      </x:c>
      <x:c r="E69" s="10" t="str">
        <x:f>IF('Module Bank'!E16="","",'Module Bank'!E16)</x:f>
        <x:v>C-3</x:v>
      </x:c>
      <x:c r="F69" s="10" t="str">
        <x:v>AQ-2 emulsion/restricted</x:v>
      </x:c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0" t="str">
        <x:f>IF(C69="","OPEN",IF(OR(COUNT(G69:U69)&lt;15,V69=""),"OPEN",IF(AND(G69&gt;='Assumptions'!$B$34,G69&lt;='Assumptions'!$B$35,H69&gt;='Assumptions'!$B$36,H69&lt;='Assumptions'!$B$37,MIN(I69:L69)&gt;='Assumptions'!$B$39,M69&lt;='Assumptions'!$B$40,N69&lt;='Assumptions'!$B$41,O69&lt;='Assumptions'!$B$42,P69&gt;='Assumptions'!$B$38,Q69&gt;='Assumptions'!$B$38,R69&lt;='Assumptions'!$B$48,S69&lt;='Assumptions'!$B$49,T69=48,U69='Assumptions'!$B$57,V69="ACCEPTED"),"PASS","VALID-ADVERSE")))</x:f>
        <x:v>OPEN</x:v>
      </x:c>
    </x:row>
    <x:row r="70">
      <x:c r="A70" s="10" t="str">
        <x:v>AQC-063</x:v>
      </x:c>
      <x:c r="B70" s="10" t="str">
        <x:v>ADM-11</x:v>
      </x:c>
      <x:c r="C70" s="10" t="str">
        <x:f>IF('Module Bank'!C16="","",'Module Bank'!C16)</x:f>
      </x:c>
      <x:c r="D70" s="10" t="str">
        <x:f>IF('Module Bank'!D16="","",'Module Bank'!D16)</x:f>
        <x:v>BL-B</x:v>
      </x:c>
      <x:c r="E70" s="10" t="str">
        <x:f>IF('Module Bank'!E16="","",'Module Bank'!E16)</x:f>
        <x:v>C-3</x:v>
      </x:c>
      <x:c r="F70" s="10" t="str">
        <x:v>AQ-3 dilution/retention</x:v>
      </x:c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0" t="str">
        <x:f>IF(C70="","OPEN",IF(OR(COUNT(G70:U70)&lt;15,V70=""),"OPEN",IF(AND(G70&gt;='Assumptions'!$B$34,G70&lt;='Assumptions'!$B$35,H70&gt;='Assumptions'!$B$36,H70&lt;='Assumptions'!$B$37,MIN(I70:L70)&gt;='Assumptions'!$B$39,M70&lt;='Assumptions'!$B$40,N70&lt;='Assumptions'!$B$41,O70&lt;='Assumptions'!$B$42,P70&gt;='Assumptions'!$B$38,Q70&gt;='Assumptions'!$B$38,R70&lt;='Assumptions'!$B$48,S70&lt;='Assumptions'!$B$49,T70=48,U70='Assumptions'!$B$57,V70="ACCEPTED"),"PASS","VALID-ADVERSE")))</x:f>
        <x:v>OPEN</x:v>
      </x:c>
    </x:row>
    <x:row r="71">
      <x:c r="A71" s="10" t="str">
        <x:v>AQC-064</x:v>
      </x:c>
      <x:c r="B71" s="10" t="str">
        <x:v>ADM-11</x:v>
      </x:c>
      <x:c r="C71" s="10" t="str">
        <x:f>IF('Module Bank'!C16="","",'Module Bank'!C16)</x:f>
      </x:c>
      <x:c r="D71" s="10" t="str">
        <x:f>IF('Module Bank'!D16="","",'Module Bank'!D16)</x:f>
        <x:v>BL-B</x:v>
      </x:c>
      <x:c r="E71" s="10" t="str">
        <x:f>IF('Module Bank'!E16="","",'Module Bank'!E16)</x:f>
        <x:v>C-3</x:v>
      </x:c>
      <x:c r="F71" s="10" t="str">
        <x:v>AQ-4 decoy/wrong phase</x:v>
      </x:c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0" t="str">
        <x:f>IF(C71="","OPEN",IF(OR(COUNT(G71:U71)&lt;15,V71=""),"OPEN",IF(AND(G71&gt;='Assumptions'!$B$34,G71&lt;='Assumptions'!$B$35,H71&gt;='Assumptions'!$B$36,H71&lt;='Assumptions'!$B$37,MIN(I71:L71)&gt;='Assumptions'!$B$39,M71&lt;='Assumptions'!$B$40,N71&lt;='Assumptions'!$B$41,O71&lt;='Assumptions'!$B$42,P71&gt;='Assumptions'!$B$38,Q71&gt;='Assumptions'!$B$38,R71&lt;='Assumptions'!$B$48,S71&lt;='Assumptions'!$B$49,T71=48,U71='Assumptions'!$B$57,V71="ACCEPTED"),"PASS","VALID-ADVERSE")))</x:f>
        <x:v>OPEN</x:v>
      </x:c>
    </x:row>
    <x:row r="72">
      <x:c r="A72" s="10" t="str">
        <x:v>AQC-065</x:v>
      </x:c>
      <x:c r="B72" s="10" t="str">
        <x:v>ADM-11</x:v>
      </x:c>
      <x:c r="C72" s="10" t="str">
        <x:f>IF('Module Bank'!C16="","",'Module Bank'!C16)</x:f>
      </x:c>
      <x:c r="D72" s="10" t="str">
        <x:f>IF('Module Bank'!D16="","",'Module Bank'!D16)</x:f>
        <x:v>BL-B</x:v>
      </x:c>
      <x:c r="E72" s="10" t="str">
        <x:f>IF('Module Bank'!E16="","",'Module Bank'!E16)</x:f>
        <x:v>C-3</x:v>
      </x:c>
      <x:c r="F72" s="10" t="str">
        <x:v>AQ-5 carryover/decon</x:v>
      </x:c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0" t="str">
        <x:f>IF(C72="","OPEN",IF(OR(COUNT(G72:U72)&lt;15,V72=""),"OPEN",IF(AND(G72&gt;='Assumptions'!$B$34,G72&lt;='Assumptions'!$B$35,H72&gt;='Assumptions'!$B$36,H72&lt;='Assumptions'!$B$37,MIN(I72:L72)&gt;='Assumptions'!$B$39,M72&lt;='Assumptions'!$B$40,N72&lt;='Assumptions'!$B$41,O72&lt;='Assumptions'!$B$42,P72&gt;='Assumptions'!$B$38,Q72&gt;='Assumptions'!$B$38,R72&lt;='Assumptions'!$B$48,S72&lt;='Assumptions'!$B$49,T72=48,U72='Assumptions'!$B$57,V72="ACCEPTED"),"PASS","VALID-ADVERSE")))</x:f>
        <x:v>OPEN</x:v>
      </x:c>
    </x:row>
    <x:row r="73">
      <x:c r="A73" s="10" t="str">
        <x:v>AQC-066</x:v>
      </x:c>
      <x:c r="B73" s="10" t="str">
        <x:v>ADM-11</x:v>
      </x:c>
      <x:c r="C73" s="10" t="str">
        <x:f>IF('Module Bank'!C16="","",'Module Bank'!C16)</x:f>
      </x:c>
      <x:c r="D73" s="10" t="str">
        <x:f>IF('Module Bank'!D16="","",'Module Bank'!D16)</x:f>
        <x:v>BL-B</x:v>
      </x:c>
      <x:c r="E73" s="10" t="str">
        <x:f>IF('Module Bank'!E16="","",'Module Bank'!E16)</x:f>
        <x:v>C-3</x:v>
      </x:c>
      <x:c r="F73" s="10" t="str">
        <x:v>AQ-6 reader/time denied</x:v>
      </x:c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0" t="str">
        <x:f>IF(C73="","OPEN",IF(OR(COUNT(G73:U73)&lt;15,V73=""),"OPEN",IF(AND(G73&gt;='Assumptions'!$B$34,G73&lt;='Assumptions'!$B$35,H73&gt;='Assumptions'!$B$36,H73&lt;='Assumptions'!$B$37,MIN(I73:L73)&gt;='Assumptions'!$B$39,M73&lt;='Assumptions'!$B$40,N73&lt;='Assumptions'!$B$41,O73&lt;='Assumptions'!$B$42,P73&gt;='Assumptions'!$B$38,Q73&gt;='Assumptions'!$B$38,R73&lt;='Assumptions'!$B$48,S73&lt;='Assumptions'!$B$49,T73=48,U73='Assumptions'!$B$57,V73="ACCEPTED"),"PASS","VALID-ADVERSE")))</x:f>
        <x:v>OPEN</x:v>
      </x:c>
    </x:row>
    <x:row r="74">
      <x:c r="A74" s="10" t="str">
        <x:v>AQC-067</x:v>
      </x:c>
      <x:c r="B74" s="10" t="str">
        <x:v>ADM-12</x:v>
      </x:c>
      <x:c r="C74" s="10" t="str">
        <x:f>IF('Module Bank'!C17="","",'Module Bank'!C17)</x:f>
      </x:c>
      <x:c r="D74" s="10" t="str">
        <x:f>IF('Module Bank'!D17="","",'Module Bank'!D17)</x:f>
        <x:v>BL-A</x:v>
      </x:c>
      <x:c r="E74" s="10" t="str">
        <x:f>IF('Module Bank'!E17="","",'Module Bank'!E17)</x:f>
        <x:v>C-3</x:v>
      </x:c>
      <x:c r="F74" s="10" t="str">
        <x:v>AQ-1 nominal crossover</x:v>
      </x:c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0" t="str">
        <x:f>IF(C74="","OPEN",IF(OR(COUNT(G74:U74)&lt;15,V74=""),"OPEN",IF(AND(G74&gt;='Assumptions'!$B$34,G74&lt;='Assumptions'!$B$35,H74&gt;='Assumptions'!$B$36,H74&lt;='Assumptions'!$B$37,MIN(I74:L74)&gt;='Assumptions'!$B$39,M74&lt;='Assumptions'!$B$40,N74&lt;='Assumptions'!$B$41,O74&lt;='Assumptions'!$B$42,P74&gt;='Assumptions'!$B$38,Q74&gt;='Assumptions'!$B$38,R74&lt;='Assumptions'!$B$48,S74&lt;='Assumptions'!$B$49,T74=48,U74='Assumptions'!$B$57,V74="ACCEPTED"),"PASS","VALID-ADVERSE")))</x:f>
        <x:v>OPEN</x:v>
      </x:c>
    </x:row>
    <x:row r="75">
      <x:c r="A75" s="10" t="str">
        <x:v>AQC-068</x:v>
      </x:c>
      <x:c r="B75" s="10" t="str">
        <x:v>ADM-12</x:v>
      </x:c>
      <x:c r="C75" s="10" t="str">
        <x:f>IF('Module Bank'!C17="","",'Module Bank'!C17)</x:f>
      </x:c>
      <x:c r="D75" s="10" t="str">
        <x:f>IF('Module Bank'!D17="","",'Module Bank'!D17)</x:f>
        <x:v>BL-A</x:v>
      </x:c>
      <x:c r="E75" s="10" t="str">
        <x:f>IF('Module Bank'!E17="","",'Module Bank'!E17)</x:f>
        <x:v>C-3</x:v>
      </x:c>
      <x:c r="F75" s="10" t="str">
        <x:v>AQ-2 emulsion/restricted</x:v>
      </x:c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0" t="str">
        <x:f>IF(C75="","OPEN",IF(OR(COUNT(G75:U75)&lt;15,V75=""),"OPEN",IF(AND(G75&gt;='Assumptions'!$B$34,G75&lt;='Assumptions'!$B$35,H75&gt;='Assumptions'!$B$36,H75&lt;='Assumptions'!$B$37,MIN(I75:L75)&gt;='Assumptions'!$B$39,M75&lt;='Assumptions'!$B$40,N75&lt;='Assumptions'!$B$41,O75&lt;='Assumptions'!$B$42,P75&gt;='Assumptions'!$B$38,Q75&gt;='Assumptions'!$B$38,R75&lt;='Assumptions'!$B$48,S75&lt;='Assumptions'!$B$49,T75=48,U75='Assumptions'!$B$57,V75="ACCEPTED"),"PASS","VALID-ADVERSE")))</x:f>
        <x:v>OPEN</x:v>
      </x:c>
    </x:row>
    <x:row r="76">
      <x:c r="A76" s="10" t="str">
        <x:v>AQC-069</x:v>
      </x:c>
      <x:c r="B76" s="10" t="str">
        <x:v>ADM-12</x:v>
      </x:c>
      <x:c r="C76" s="10" t="str">
        <x:f>IF('Module Bank'!C17="","",'Module Bank'!C17)</x:f>
      </x:c>
      <x:c r="D76" s="10" t="str">
        <x:f>IF('Module Bank'!D17="","",'Module Bank'!D17)</x:f>
        <x:v>BL-A</x:v>
      </x:c>
      <x:c r="E76" s="10" t="str">
        <x:f>IF('Module Bank'!E17="","",'Module Bank'!E17)</x:f>
        <x:v>C-3</x:v>
      </x:c>
      <x:c r="F76" s="10" t="str">
        <x:v>AQ-3 dilution/retention</x:v>
      </x:c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0" t="str">
        <x:f>IF(C76="","OPEN",IF(OR(COUNT(G76:U76)&lt;15,V76=""),"OPEN",IF(AND(G76&gt;='Assumptions'!$B$34,G76&lt;='Assumptions'!$B$35,H76&gt;='Assumptions'!$B$36,H76&lt;='Assumptions'!$B$37,MIN(I76:L76)&gt;='Assumptions'!$B$39,M76&lt;='Assumptions'!$B$40,N76&lt;='Assumptions'!$B$41,O76&lt;='Assumptions'!$B$42,P76&gt;='Assumptions'!$B$38,Q76&gt;='Assumptions'!$B$38,R76&lt;='Assumptions'!$B$48,S76&lt;='Assumptions'!$B$49,T76=48,U76='Assumptions'!$B$57,V76="ACCEPTED"),"PASS","VALID-ADVERSE")))</x:f>
        <x:v>OPEN</x:v>
      </x:c>
    </x:row>
    <x:row r="77">
      <x:c r="A77" s="10" t="str">
        <x:v>AQC-070</x:v>
      </x:c>
      <x:c r="B77" s="10" t="str">
        <x:v>ADM-12</x:v>
      </x:c>
      <x:c r="C77" s="10" t="str">
        <x:f>IF('Module Bank'!C17="","",'Module Bank'!C17)</x:f>
      </x:c>
      <x:c r="D77" s="10" t="str">
        <x:f>IF('Module Bank'!D17="","",'Module Bank'!D17)</x:f>
        <x:v>BL-A</x:v>
      </x:c>
      <x:c r="E77" s="10" t="str">
        <x:f>IF('Module Bank'!E17="","",'Module Bank'!E17)</x:f>
        <x:v>C-3</x:v>
      </x:c>
      <x:c r="F77" s="10" t="str">
        <x:v>AQ-4 decoy/wrong phase</x:v>
      </x:c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0" t="str">
        <x:f>IF(C77="","OPEN",IF(OR(COUNT(G77:U77)&lt;15,V77=""),"OPEN",IF(AND(G77&gt;='Assumptions'!$B$34,G77&lt;='Assumptions'!$B$35,H77&gt;='Assumptions'!$B$36,H77&lt;='Assumptions'!$B$37,MIN(I77:L77)&gt;='Assumptions'!$B$39,M77&lt;='Assumptions'!$B$40,N77&lt;='Assumptions'!$B$41,O77&lt;='Assumptions'!$B$42,P77&gt;='Assumptions'!$B$38,Q77&gt;='Assumptions'!$B$38,R77&lt;='Assumptions'!$B$48,S77&lt;='Assumptions'!$B$49,T77=48,U77='Assumptions'!$B$57,V77="ACCEPTED"),"PASS","VALID-ADVERSE")))</x:f>
        <x:v>OPEN</x:v>
      </x:c>
    </x:row>
    <x:row r="78">
      <x:c r="A78" s="10" t="str">
        <x:v>AQC-071</x:v>
      </x:c>
      <x:c r="B78" s="10" t="str">
        <x:v>ADM-12</x:v>
      </x:c>
      <x:c r="C78" s="10" t="str">
        <x:f>IF('Module Bank'!C17="","",'Module Bank'!C17)</x:f>
      </x:c>
      <x:c r="D78" s="10" t="str">
        <x:f>IF('Module Bank'!D17="","",'Module Bank'!D17)</x:f>
        <x:v>BL-A</x:v>
      </x:c>
      <x:c r="E78" s="10" t="str">
        <x:f>IF('Module Bank'!E17="","",'Module Bank'!E17)</x:f>
        <x:v>C-3</x:v>
      </x:c>
      <x:c r="F78" s="10" t="str">
        <x:v>AQ-5 carryover/decon</x:v>
      </x:c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0" t="str">
        <x:f>IF(C78="","OPEN",IF(OR(COUNT(G78:U78)&lt;15,V78=""),"OPEN",IF(AND(G78&gt;='Assumptions'!$B$34,G78&lt;='Assumptions'!$B$35,H78&gt;='Assumptions'!$B$36,H78&lt;='Assumptions'!$B$37,MIN(I78:L78)&gt;='Assumptions'!$B$39,M78&lt;='Assumptions'!$B$40,N78&lt;='Assumptions'!$B$41,O78&lt;='Assumptions'!$B$42,P78&gt;='Assumptions'!$B$38,Q78&gt;='Assumptions'!$B$38,R78&lt;='Assumptions'!$B$48,S78&lt;='Assumptions'!$B$49,T78=48,U78='Assumptions'!$B$57,V78="ACCEPTED"),"PASS","VALID-ADVERSE")))</x:f>
        <x:v>OPEN</x:v>
      </x:c>
    </x:row>
    <x:row r="79">
      <x:c r="A79" s="10" t="str">
        <x:v>AQC-072</x:v>
      </x:c>
      <x:c r="B79" s="10" t="str">
        <x:v>ADM-12</x:v>
      </x:c>
      <x:c r="C79" s="10" t="str">
        <x:f>IF('Module Bank'!C17="","",'Module Bank'!C17)</x:f>
      </x:c>
      <x:c r="D79" s="10" t="str">
        <x:f>IF('Module Bank'!D17="","",'Module Bank'!D17)</x:f>
        <x:v>BL-A</x:v>
      </x:c>
      <x:c r="E79" s="10" t="str">
        <x:f>IF('Module Bank'!E17="","",'Module Bank'!E17)</x:f>
        <x:v>C-3</x:v>
      </x:c>
      <x:c r="F79" s="10" t="str">
        <x:v>AQ-6 reader/time denied</x:v>
      </x:c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0" t="str">
        <x:f>IF(C79="","OPEN",IF(OR(COUNT(G79:U79)&lt;15,V79=""),"OPEN",IF(AND(G79&gt;='Assumptions'!$B$34,G79&lt;='Assumptions'!$B$35,H79&gt;='Assumptions'!$B$36,H79&lt;='Assumptions'!$B$37,MIN(I79:L79)&gt;='Assumptions'!$B$39,M79&lt;='Assumptions'!$B$40,N79&lt;='Assumptions'!$B$41,O79&lt;='Assumptions'!$B$42,P79&gt;='Assumptions'!$B$38,Q79&gt;='Assumptions'!$B$38,R79&lt;='Assumptions'!$B$48,S79&lt;='Assumptions'!$B$49,T79=48,U79='Assumptions'!$B$57,V79="ACCEPTED"),"PASS","VALID-ADVERSE")))</x:f>
        <x:v>OPEN</x:v>
      </x:c>
    </x:row>
    <x:row r="80">
      <x:c r="A80" s="10" t="str">
        <x:v>AQC-073</x:v>
      </x:c>
      <x:c r="B80" s="10" t="str">
        <x:v>ADM-13</x:v>
      </x:c>
      <x:c r="C80" s="10" t="str">
        <x:f>IF('Module Bank'!C18="","",'Module Bank'!C18)</x:f>
      </x:c>
      <x:c r="D80" s="10" t="str">
        <x:f>IF('Module Bank'!D18="","",'Module Bank'!D18)</x:f>
        <x:v>BL-A</x:v>
      </x:c>
      <x:c r="E80" s="10" t="str">
        <x:f>IF('Module Bank'!E18="","",'Module Bank'!E18)</x:f>
        <x:v>C-1</x:v>
      </x:c>
      <x:c r="F80" s="10" t="str">
        <x:v>AQ-1 nominal crossover</x:v>
      </x:c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0" t="str">
        <x:f>IF(C80="","OPEN",IF(OR(COUNT(G80:U80)&lt;15,V80=""),"OPEN",IF(AND(G80&gt;='Assumptions'!$B$34,G80&lt;='Assumptions'!$B$35,H80&gt;='Assumptions'!$B$36,H80&lt;='Assumptions'!$B$37,MIN(I80:L80)&gt;='Assumptions'!$B$39,M80&lt;='Assumptions'!$B$40,N80&lt;='Assumptions'!$B$41,O80&lt;='Assumptions'!$B$42,P80&gt;='Assumptions'!$B$38,Q80&gt;='Assumptions'!$B$38,R80&lt;='Assumptions'!$B$48,S80&lt;='Assumptions'!$B$49,T80=48,U80='Assumptions'!$B$57,V80="ACCEPTED"),"PASS","VALID-ADVERSE")))</x:f>
        <x:v>OPEN</x:v>
      </x:c>
    </x:row>
    <x:row r="81">
      <x:c r="A81" s="10" t="str">
        <x:v>AQC-074</x:v>
      </x:c>
      <x:c r="B81" s="10" t="str">
        <x:v>ADM-13</x:v>
      </x:c>
      <x:c r="C81" s="10" t="str">
        <x:f>IF('Module Bank'!C18="","",'Module Bank'!C18)</x:f>
      </x:c>
      <x:c r="D81" s="10" t="str">
        <x:f>IF('Module Bank'!D18="","",'Module Bank'!D18)</x:f>
        <x:v>BL-A</x:v>
      </x:c>
      <x:c r="E81" s="10" t="str">
        <x:f>IF('Module Bank'!E18="","",'Module Bank'!E18)</x:f>
        <x:v>C-1</x:v>
      </x:c>
      <x:c r="F81" s="10" t="str">
        <x:v>AQ-2 emulsion/restricted</x:v>
      </x:c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0" t="str">
        <x:f>IF(C81="","OPEN",IF(OR(COUNT(G81:U81)&lt;15,V81=""),"OPEN",IF(AND(G81&gt;='Assumptions'!$B$34,G81&lt;='Assumptions'!$B$35,H81&gt;='Assumptions'!$B$36,H81&lt;='Assumptions'!$B$37,MIN(I81:L81)&gt;='Assumptions'!$B$39,M81&lt;='Assumptions'!$B$40,N81&lt;='Assumptions'!$B$41,O81&lt;='Assumptions'!$B$42,P81&gt;='Assumptions'!$B$38,Q81&gt;='Assumptions'!$B$38,R81&lt;='Assumptions'!$B$48,S81&lt;='Assumptions'!$B$49,T81=48,U81='Assumptions'!$B$57,V81="ACCEPTED"),"PASS","VALID-ADVERSE")))</x:f>
        <x:v>OPEN</x:v>
      </x:c>
    </x:row>
    <x:row r="82">
      <x:c r="A82" s="10" t="str">
        <x:v>AQC-075</x:v>
      </x:c>
      <x:c r="B82" s="10" t="str">
        <x:v>ADM-13</x:v>
      </x:c>
      <x:c r="C82" s="10" t="str">
        <x:f>IF('Module Bank'!C18="","",'Module Bank'!C18)</x:f>
      </x:c>
      <x:c r="D82" s="10" t="str">
        <x:f>IF('Module Bank'!D18="","",'Module Bank'!D18)</x:f>
        <x:v>BL-A</x:v>
      </x:c>
      <x:c r="E82" s="10" t="str">
        <x:f>IF('Module Bank'!E18="","",'Module Bank'!E18)</x:f>
        <x:v>C-1</x:v>
      </x:c>
      <x:c r="F82" s="10" t="str">
        <x:v>AQ-3 dilution/retention</x:v>
      </x:c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0" t="str">
        <x:f>IF(C82="","OPEN",IF(OR(COUNT(G82:U82)&lt;15,V82=""),"OPEN",IF(AND(G82&gt;='Assumptions'!$B$34,G82&lt;='Assumptions'!$B$35,H82&gt;='Assumptions'!$B$36,H82&lt;='Assumptions'!$B$37,MIN(I82:L82)&gt;='Assumptions'!$B$39,M82&lt;='Assumptions'!$B$40,N82&lt;='Assumptions'!$B$41,O82&lt;='Assumptions'!$B$42,P82&gt;='Assumptions'!$B$38,Q82&gt;='Assumptions'!$B$38,R82&lt;='Assumptions'!$B$48,S82&lt;='Assumptions'!$B$49,T82=48,U82='Assumptions'!$B$57,V82="ACCEPTED"),"PASS","VALID-ADVERSE")))</x:f>
        <x:v>OPEN</x:v>
      </x:c>
    </x:row>
    <x:row r="83">
      <x:c r="A83" s="10" t="str">
        <x:v>AQC-076</x:v>
      </x:c>
      <x:c r="B83" s="10" t="str">
        <x:v>ADM-13</x:v>
      </x:c>
      <x:c r="C83" s="10" t="str">
        <x:f>IF('Module Bank'!C18="","",'Module Bank'!C18)</x:f>
      </x:c>
      <x:c r="D83" s="10" t="str">
        <x:f>IF('Module Bank'!D18="","",'Module Bank'!D18)</x:f>
        <x:v>BL-A</x:v>
      </x:c>
      <x:c r="E83" s="10" t="str">
        <x:f>IF('Module Bank'!E18="","",'Module Bank'!E18)</x:f>
        <x:v>C-1</x:v>
      </x:c>
      <x:c r="F83" s="10" t="str">
        <x:v>AQ-4 decoy/wrong phase</x:v>
      </x:c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0" t="str">
        <x:f>IF(C83="","OPEN",IF(OR(COUNT(G83:U83)&lt;15,V83=""),"OPEN",IF(AND(G83&gt;='Assumptions'!$B$34,G83&lt;='Assumptions'!$B$35,H83&gt;='Assumptions'!$B$36,H83&lt;='Assumptions'!$B$37,MIN(I83:L83)&gt;='Assumptions'!$B$39,M83&lt;='Assumptions'!$B$40,N83&lt;='Assumptions'!$B$41,O83&lt;='Assumptions'!$B$42,P83&gt;='Assumptions'!$B$38,Q83&gt;='Assumptions'!$B$38,R83&lt;='Assumptions'!$B$48,S83&lt;='Assumptions'!$B$49,T83=48,U83='Assumptions'!$B$57,V83="ACCEPTED"),"PASS","VALID-ADVERSE")))</x:f>
        <x:v>OPEN</x:v>
      </x:c>
    </x:row>
    <x:row r="84">
      <x:c r="A84" s="10" t="str">
        <x:v>AQC-077</x:v>
      </x:c>
      <x:c r="B84" s="10" t="str">
        <x:v>ADM-13</x:v>
      </x:c>
      <x:c r="C84" s="10" t="str">
        <x:f>IF('Module Bank'!C18="","",'Module Bank'!C18)</x:f>
      </x:c>
      <x:c r="D84" s="10" t="str">
        <x:f>IF('Module Bank'!D18="","",'Module Bank'!D18)</x:f>
        <x:v>BL-A</x:v>
      </x:c>
      <x:c r="E84" s="10" t="str">
        <x:f>IF('Module Bank'!E18="","",'Module Bank'!E18)</x:f>
        <x:v>C-1</x:v>
      </x:c>
      <x:c r="F84" s="10" t="str">
        <x:v>AQ-5 carryover/decon</x:v>
      </x:c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0" t="str">
        <x:f>IF(C84="","OPEN",IF(OR(COUNT(G84:U84)&lt;15,V84=""),"OPEN",IF(AND(G84&gt;='Assumptions'!$B$34,G84&lt;='Assumptions'!$B$35,H84&gt;='Assumptions'!$B$36,H84&lt;='Assumptions'!$B$37,MIN(I84:L84)&gt;='Assumptions'!$B$39,M84&lt;='Assumptions'!$B$40,N84&lt;='Assumptions'!$B$41,O84&lt;='Assumptions'!$B$42,P84&gt;='Assumptions'!$B$38,Q84&gt;='Assumptions'!$B$38,R84&lt;='Assumptions'!$B$48,S84&lt;='Assumptions'!$B$49,T84=48,U84='Assumptions'!$B$57,V84="ACCEPTED"),"PASS","VALID-ADVERSE")))</x:f>
        <x:v>OPEN</x:v>
      </x:c>
    </x:row>
    <x:row r="85">
      <x:c r="A85" s="10" t="str">
        <x:v>AQC-078</x:v>
      </x:c>
      <x:c r="B85" s="10" t="str">
        <x:v>ADM-13</x:v>
      </x:c>
      <x:c r="C85" s="10" t="str">
        <x:f>IF('Module Bank'!C18="","",'Module Bank'!C18)</x:f>
      </x:c>
      <x:c r="D85" s="10" t="str">
        <x:f>IF('Module Bank'!D18="","",'Module Bank'!D18)</x:f>
        <x:v>BL-A</x:v>
      </x:c>
      <x:c r="E85" s="10" t="str">
        <x:f>IF('Module Bank'!E18="","",'Module Bank'!E18)</x:f>
        <x:v>C-1</x:v>
      </x:c>
      <x:c r="F85" s="10" t="str">
        <x:v>AQ-6 reader/time denied</x:v>
      </x:c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0" t="str">
        <x:f>IF(C85="","OPEN",IF(OR(COUNT(G85:U85)&lt;15,V85=""),"OPEN",IF(AND(G85&gt;='Assumptions'!$B$34,G85&lt;='Assumptions'!$B$35,H85&gt;='Assumptions'!$B$36,H85&lt;='Assumptions'!$B$37,MIN(I85:L85)&gt;='Assumptions'!$B$39,M85&lt;='Assumptions'!$B$40,N85&lt;='Assumptions'!$B$41,O85&lt;='Assumptions'!$B$42,P85&gt;='Assumptions'!$B$38,Q85&gt;='Assumptions'!$B$38,R85&lt;='Assumptions'!$B$48,S85&lt;='Assumptions'!$B$49,T85=48,U85='Assumptions'!$B$57,V85="ACCEPTED"),"PASS","VALID-ADVERSE")))</x:f>
        <x:v>OPEN</x:v>
      </x:c>
    </x:row>
    <x:row r="86">
      <x:c r="A86" s="10" t="str">
        <x:v>AQC-079</x:v>
      </x:c>
      <x:c r="B86" s="10" t="str">
        <x:v>ADM-14</x:v>
      </x:c>
      <x:c r="C86" s="10" t="str">
        <x:f>IF('Module Bank'!C19="","",'Module Bank'!C19)</x:f>
      </x:c>
      <x:c r="D86" s="10" t="str">
        <x:f>IF('Module Bank'!D19="","",'Module Bank'!D19)</x:f>
        <x:v>BL-B</x:v>
      </x:c>
      <x:c r="E86" s="10" t="str">
        <x:f>IF('Module Bank'!E19="","",'Module Bank'!E19)</x:f>
        <x:v>C-2</x:v>
      </x:c>
      <x:c r="F86" s="10" t="str">
        <x:v>AQ-1 nominal crossover</x:v>
      </x:c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0" t="str">
        <x:f>IF(C86="","OPEN",IF(OR(COUNT(G86:U86)&lt;15,V86=""),"OPEN",IF(AND(G86&gt;='Assumptions'!$B$34,G86&lt;='Assumptions'!$B$35,H86&gt;='Assumptions'!$B$36,H86&lt;='Assumptions'!$B$37,MIN(I86:L86)&gt;='Assumptions'!$B$39,M86&lt;='Assumptions'!$B$40,N86&lt;='Assumptions'!$B$41,O86&lt;='Assumptions'!$B$42,P86&gt;='Assumptions'!$B$38,Q86&gt;='Assumptions'!$B$38,R86&lt;='Assumptions'!$B$48,S86&lt;='Assumptions'!$B$49,T86=48,U86='Assumptions'!$B$57,V86="ACCEPTED"),"PASS","VALID-ADVERSE")))</x:f>
        <x:v>OPEN</x:v>
      </x:c>
    </x:row>
    <x:row r="87">
      <x:c r="A87" s="10" t="str">
        <x:v>AQC-080</x:v>
      </x:c>
      <x:c r="B87" s="10" t="str">
        <x:v>ADM-14</x:v>
      </x:c>
      <x:c r="C87" s="10" t="str">
        <x:f>IF('Module Bank'!C19="","",'Module Bank'!C19)</x:f>
      </x:c>
      <x:c r="D87" s="10" t="str">
        <x:f>IF('Module Bank'!D19="","",'Module Bank'!D19)</x:f>
        <x:v>BL-B</x:v>
      </x:c>
      <x:c r="E87" s="10" t="str">
        <x:f>IF('Module Bank'!E19="","",'Module Bank'!E19)</x:f>
        <x:v>C-2</x:v>
      </x:c>
      <x:c r="F87" s="10" t="str">
        <x:v>AQ-2 emulsion/restricted</x:v>
      </x:c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0" t="str">
        <x:f>IF(C87="","OPEN",IF(OR(COUNT(G87:U87)&lt;15,V87=""),"OPEN",IF(AND(G87&gt;='Assumptions'!$B$34,G87&lt;='Assumptions'!$B$35,H87&gt;='Assumptions'!$B$36,H87&lt;='Assumptions'!$B$37,MIN(I87:L87)&gt;='Assumptions'!$B$39,M87&lt;='Assumptions'!$B$40,N87&lt;='Assumptions'!$B$41,O87&lt;='Assumptions'!$B$42,P87&gt;='Assumptions'!$B$38,Q87&gt;='Assumptions'!$B$38,R87&lt;='Assumptions'!$B$48,S87&lt;='Assumptions'!$B$49,T87=48,U87='Assumptions'!$B$57,V87="ACCEPTED"),"PASS","VALID-ADVERSE")))</x:f>
        <x:v>OPEN</x:v>
      </x:c>
    </x:row>
    <x:row r="88">
      <x:c r="A88" s="10" t="str">
        <x:v>AQC-081</x:v>
      </x:c>
      <x:c r="B88" s="10" t="str">
        <x:v>ADM-14</x:v>
      </x:c>
      <x:c r="C88" s="10" t="str">
        <x:f>IF('Module Bank'!C19="","",'Module Bank'!C19)</x:f>
      </x:c>
      <x:c r="D88" s="10" t="str">
        <x:f>IF('Module Bank'!D19="","",'Module Bank'!D19)</x:f>
        <x:v>BL-B</x:v>
      </x:c>
      <x:c r="E88" s="10" t="str">
        <x:f>IF('Module Bank'!E19="","",'Module Bank'!E19)</x:f>
        <x:v>C-2</x:v>
      </x:c>
      <x:c r="F88" s="10" t="str">
        <x:v>AQ-3 dilution/retention</x:v>
      </x:c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0" t="str">
        <x:f>IF(C88="","OPEN",IF(OR(COUNT(G88:U88)&lt;15,V88=""),"OPEN",IF(AND(G88&gt;='Assumptions'!$B$34,G88&lt;='Assumptions'!$B$35,H88&gt;='Assumptions'!$B$36,H88&lt;='Assumptions'!$B$37,MIN(I88:L88)&gt;='Assumptions'!$B$39,M88&lt;='Assumptions'!$B$40,N88&lt;='Assumptions'!$B$41,O88&lt;='Assumptions'!$B$42,P88&gt;='Assumptions'!$B$38,Q88&gt;='Assumptions'!$B$38,R88&lt;='Assumptions'!$B$48,S88&lt;='Assumptions'!$B$49,T88=48,U88='Assumptions'!$B$57,V88="ACCEPTED"),"PASS","VALID-ADVERSE")))</x:f>
        <x:v>OPEN</x:v>
      </x:c>
    </x:row>
    <x:row r="89">
      <x:c r="A89" s="10" t="str">
        <x:v>AQC-082</x:v>
      </x:c>
      <x:c r="B89" s="10" t="str">
        <x:v>ADM-14</x:v>
      </x:c>
      <x:c r="C89" s="10" t="str">
        <x:f>IF('Module Bank'!C19="","",'Module Bank'!C19)</x:f>
      </x:c>
      <x:c r="D89" s="10" t="str">
        <x:f>IF('Module Bank'!D19="","",'Module Bank'!D19)</x:f>
        <x:v>BL-B</x:v>
      </x:c>
      <x:c r="E89" s="10" t="str">
        <x:f>IF('Module Bank'!E19="","",'Module Bank'!E19)</x:f>
        <x:v>C-2</x:v>
      </x:c>
      <x:c r="F89" s="10" t="str">
        <x:v>AQ-4 decoy/wrong phase</x:v>
      </x:c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0" t="str">
        <x:f>IF(C89="","OPEN",IF(OR(COUNT(G89:U89)&lt;15,V89=""),"OPEN",IF(AND(G89&gt;='Assumptions'!$B$34,G89&lt;='Assumptions'!$B$35,H89&gt;='Assumptions'!$B$36,H89&lt;='Assumptions'!$B$37,MIN(I89:L89)&gt;='Assumptions'!$B$39,M89&lt;='Assumptions'!$B$40,N89&lt;='Assumptions'!$B$41,O89&lt;='Assumptions'!$B$42,P89&gt;='Assumptions'!$B$38,Q89&gt;='Assumptions'!$B$38,R89&lt;='Assumptions'!$B$48,S89&lt;='Assumptions'!$B$49,T89=48,U89='Assumptions'!$B$57,V89="ACCEPTED"),"PASS","VALID-ADVERSE")))</x:f>
        <x:v>OPEN</x:v>
      </x:c>
    </x:row>
    <x:row r="90">
      <x:c r="A90" s="10" t="str">
        <x:v>AQC-083</x:v>
      </x:c>
      <x:c r="B90" s="10" t="str">
        <x:v>ADM-14</x:v>
      </x:c>
      <x:c r="C90" s="10" t="str">
        <x:f>IF('Module Bank'!C19="","",'Module Bank'!C19)</x:f>
      </x:c>
      <x:c r="D90" s="10" t="str">
        <x:f>IF('Module Bank'!D19="","",'Module Bank'!D19)</x:f>
        <x:v>BL-B</x:v>
      </x:c>
      <x:c r="E90" s="10" t="str">
        <x:f>IF('Module Bank'!E19="","",'Module Bank'!E19)</x:f>
        <x:v>C-2</x:v>
      </x:c>
      <x:c r="F90" s="10" t="str">
        <x:v>AQ-5 carryover/decon</x:v>
      </x:c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0" t="str">
        <x:f>IF(C90="","OPEN",IF(OR(COUNT(G90:U90)&lt;15,V90=""),"OPEN",IF(AND(G90&gt;='Assumptions'!$B$34,G90&lt;='Assumptions'!$B$35,H90&gt;='Assumptions'!$B$36,H90&lt;='Assumptions'!$B$37,MIN(I90:L90)&gt;='Assumptions'!$B$39,M90&lt;='Assumptions'!$B$40,N90&lt;='Assumptions'!$B$41,O90&lt;='Assumptions'!$B$42,P90&gt;='Assumptions'!$B$38,Q90&gt;='Assumptions'!$B$38,R90&lt;='Assumptions'!$B$48,S90&lt;='Assumptions'!$B$49,T90=48,U90='Assumptions'!$B$57,V90="ACCEPTED"),"PASS","VALID-ADVERSE")))</x:f>
        <x:v>OPEN</x:v>
      </x:c>
    </x:row>
    <x:row r="91">
      <x:c r="A91" s="10" t="str">
        <x:v>AQC-084</x:v>
      </x:c>
      <x:c r="B91" s="10" t="str">
        <x:v>ADM-14</x:v>
      </x:c>
      <x:c r="C91" s="10" t="str">
        <x:f>IF('Module Bank'!C19="","",'Module Bank'!C19)</x:f>
      </x:c>
      <x:c r="D91" s="10" t="str">
        <x:f>IF('Module Bank'!D19="","",'Module Bank'!D19)</x:f>
        <x:v>BL-B</x:v>
      </x:c>
      <x:c r="E91" s="10" t="str">
        <x:f>IF('Module Bank'!E19="","",'Module Bank'!E19)</x:f>
        <x:v>C-2</x:v>
      </x:c>
      <x:c r="F91" s="10" t="str">
        <x:v>AQ-6 reader/time denied</x:v>
      </x:c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0" t="str">
        <x:f>IF(C91="","OPEN",IF(OR(COUNT(G91:U91)&lt;15,V91=""),"OPEN",IF(AND(G91&gt;='Assumptions'!$B$34,G91&lt;='Assumptions'!$B$35,H91&gt;='Assumptions'!$B$36,H91&lt;='Assumptions'!$B$37,MIN(I91:L91)&gt;='Assumptions'!$B$39,M91&lt;='Assumptions'!$B$40,N91&lt;='Assumptions'!$B$41,O91&lt;='Assumptions'!$B$42,P91&gt;='Assumptions'!$B$38,Q91&gt;='Assumptions'!$B$38,R91&lt;='Assumptions'!$B$48,S91&lt;='Assumptions'!$B$49,T91=48,U91='Assumptions'!$B$57,V91="ACCEPTED"),"PASS","VALID-ADVERSE")))</x:f>
        <x:v>OPEN</x:v>
      </x:c>
    </x:row>
    <x:row r="92">
      <x:c r="A92" s="10" t="str">
        <x:v>AQC-085</x:v>
      </x:c>
      <x:c r="B92" s="10" t="str">
        <x:v>ADM-15</x:v>
      </x:c>
      <x:c r="C92" s="10" t="str">
        <x:f>IF('Module Bank'!C20="","",'Module Bank'!C20)</x:f>
      </x:c>
      <x:c r="D92" s="10" t="str">
        <x:f>IF('Module Bank'!D20="","",'Module Bank'!D20)</x:f>
        <x:v>BL-A</x:v>
      </x:c>
      <x:c r="E92" s="10" t="str">
        <x:f>IF('Module Bank'!E20="","",'Module Bank'!E20)</x:f>
        <x:v>C-3</x:v>
      </x:c>
      <x:c r="F92" s="10" t="str">
        <x:v>AQ-1 nominal crossover</x:v>
      </x:c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0" t="str">
        <x:f>IF(C92="","OPEN",IF(OR(COUNT(G92:U92)&lt;15,V92=""),"OPEN",IF(AND(G92&gt;='Assumptions'!$B$34,G92&lt;='Assumptions'!$B$35,H92&gt;='Assumptions'!$B$36,H92&lt;='Assumptions'!$B$37,MIN(I92:L92)&gt;='Assumptions'!$B$39,M92&lt;='Assumptions'!$B$40,N92&lt;='Assumptions'!$B$41,O92&lt;='Assumptions'!$B$42,P92&gt;='Assumptions'!$B$38,Q92&gt;='Assumptions'!$B$38,R92&lt;='Assumptions'!$B$48,S92&lt;='Assumptions'!$B$49,T92=48,U92='Assumptions'!$B$57,V92="ACCEPTED"),"PASS","VALID-ADVERSE")))</x:f>
        <x:v>OPEN</x:v>
      </x:c>
    </x:row>
    <x:row r="93">
      <x:c r="A93" s="10" t="str">
        <x:v>AQC-086</x:v>
      </x:c>
      <x:c r="B93" s="10" t="str">
        <x:v>ADM-15</x:v>
      </x:c>
      <x:c r="C93" s="10" t="str">
        <x:f>IF('Module Bank'!C20="","",'Module Bank'!C20)</x:f>
      </x:c>
      <x:c r="D93" s="10" t="str">
        <x:f>IF('Module Bank'!D20="","",'Module Bank'!D20)</x:f>
        <x:v>BL-A</x:v>
      </x:c>
      <x:c r="E93" s="10" t="str">
        <x:f>IF('Module Bank'!E20="","",'Module Bank'!E20)</x:f>
        <x:v>C-3</x:v>
      </x:c>
      <x:c r="F93" s="10" t="str">
        <x:v>AQ-2 emulsion/restricted</x:v>
      </x:c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0" t="str">
        <x:f>IF(C93="","OPEN",IF(OR(COUNT(G93:U93)&lt;15,V93=""),"OPEN",IF(AND(G93&gt;='Assumptions'!$B$34,G93&lt;='Assumptions'!$B$35,H93&gt;='Assumptions'!$B$36,H93&lt;='Assumptions'!$B$37,MIN(I93:L93)&gt;='Assumptions'!$B$39,M93&lt;='Assumptions'!$B$40,N93&lt;='Assumptions'!$B$41,O93&lt;='Assumptions'!$B$42,P93&gt;='Assumptions'!$B$38,Q93&gt;='Assumptions'!$B$38,R93&lt;='Assumptions'!$B$48,S93&lt;='Assumptions'!$B$49,T93=48,U93='Assumptions'!$B$57,V93="ACCEPTED"),"PASS","VALID-ADVERSE")))</x:f>
        <x:v>OPEN</x:v>
      </x:c>
    </x:row>
    <x:row r="94">
      <x:c r="A94" s="10" t="str">
        <x:v>AQC-087</x:v>
      </x:c>
      <x:c r="B94" s="10" t="str">
        <x:v>ADM-15</x:v>
      </x:c>
      <x:c r="C94" s="10" t="str">
        <x:f>IF('Module Bank'!C20="","",'Module Bank'!C20)</x:f>
      </x:c>
      <x:c r="D94" s="10" t="str">
        <x:f>IF('Module Bank'!D20="","",'Module Bank'!D20)</x:f>
        <x:v>BL-A</x:v>
      </x:c>
      <x:c r="E94" s="10" t="str">
        <x:f>IF('Module Bank'!E20="","",'Module Bank'!E20)</x:f>
        <x:v>C-3</x:v>
      </x:c>
      <x:c r="F94" s="10" t="str">
        <x:v>AQ-3 dilution/retention</x:v>
      </x:c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0" t="str">
        <x:f>IF(C94="","OPEN",IF(OR(COUNT(G94:U94)&lt;15,V94=""),"OPEN",IF(AND(G94&gt;='Assumptions'!$B$34,G94&lt;='Assumptions'!$B$35,H94&gt;='Assumptions'!$B$36,H94&lt;='Assumptions'!$B$37,MIN(I94:L94)&gt;='Assumptions'!$B$39,M94&lt;='Assumptions'!$B$40,N94&lt;='Assumptions'!$B$41,O94&lt;='Assumptions'!$B$42,P94&gt;='Assumptions'!$B$38,Q94&gt;='Assumptions'!$B$38,R94&lt;='Assumptions'!$B$48,S94&lt;='Assumptions'!$B$49,T94=48,U94='Assumptions'!$B$57,V94="ACCEPTED"),"PASS","VALID-ADVERSE")))</x:f>
        <x:v>OPEN</x:v>
      </x:c>
    </x:row>
    <x:row r="95">
      <x:c r="A95" s="10" t="str">
        <x:v>AQC-088</x:v>
      </x:c>
      <x:c r="B95" s="10" t="str">
        <x:v>ADM-15</x:v>
      </x:c>
      <x:c r="C95" s="10" t="str">
        <x:f>IF('Module Bank'!C20="","",'Module Bank'!C20)</x:f>
      </x:c>
      <x:c r="D95" s="10" t="str">
        <x:f>IF('Module Bank'!D20="","",'Module Bank'!D20)</x:f>
        <x:v>BL-A</x:v>
      </x:c>
      <x:c r="E95" s="10" t="str">
        <x:f>IF('Module Bank'!E20="","",'Module Bank'!E20)</x:f>
        <x:v>C-3</x:v>
      </x:c>
      <x:c r="F95" s="10" t="str">
        <x:v>AQ-4 decoy/wrong phase</x:v>
      </x:c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0" t="str">
        <x:f>IF(C95="","OPEN",IF(OR(COUNT(G95:U95)&lt;15,V95=""),"OPEN",IF(AND(G95&gt;='Assumptions'!$B$34,G95&lt;='Assumptions'!$B$35,H95&gt;='Assumptions'!$B$36,H95&lt;='Assumptions'!$B$37,MIN(I95:L95)&gt;='Assumptions'!$B$39,M95&lt;='Assumptions'!$B$40,N95&lt;='Assumptions'!$B$41,O95&lt;='Assumptions'!$B$42,P95&gt;='Assumptions'!$B$38,Q95&gt;='Assumptions'!$B$38,R95&lt;='Assumptions'!$B$48,S95&lt;='Assumptions'!$B$49,T95=48,U95='Assumptions'!$B$57,V95="ACCEPTED"),"PASS","VALID-ADVERSE")))</x:f>
        <x:v>OPEN</x:v>
      </x:c>
    </x:row>
    <x:row r="96">
      <x:c r="A96" s="10" t="str">
        <x:v>AQC-089</x:v>
      </x:c>
      <x:c r="B96" s="10" t="str">
        <x:v>ADM-15</x:v>
      </x:c>
      <x:c r="C96" s="10" t="str">
        <x:f>IF('Module Bank'!C20="","",'Module Bank'!C20)</x:f>
      </x:c>
      <x:c r="D96" s="10" t="str">
        <x:f>IF('Module Bank'!D20="","",'Module Bank'!D20)</x:f>
        <x:v>BL-A</x:v>
      </x:c>
      <x:c r="E96" s="10" t="str">
        <x:f>IF('Module Bank'!E20="","",'Module Bank'!E20)</x:f>
        <x:v>C-3</x:v>
      </x:c>
      <x:c r="F96" s="10" t="str">
        <x:v>AQ-5 carryover/decon</x:v>
      </x:c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0" t="str">
        <x:f>IF(C96="","OPEN",IF(OR(COUNT(G96:U96)&lt;15,V96=""),"OPEN",IF(AND(G96&gt;='Assumptions'!$B$34,G96&lt;='Assumptions'!$B$35,H96&gt;='Assumptions'!$B$36,H96&lt;='Assumptions'!$B$37,MIN(I96:L96)&gt;='Assumptions'!$B$39,M96&lt;='Assumptions'!$B$40,N96&lt;='Assumptions'!$B$41,O96&lt;='Assumptions'!$B$42,P96&gt;='Assumptions'!$B$38,Q96&gt;='Assumptions'!$B$38,R96&lt;='Assumptions'!$B$48,S96&lt;='Assumptions'!$B$49,T96=48,U96='Assumptions'!$B$57,V96="ACCEPTED"),"PASS","VALID-ADVERSE")))</x:f>
        <x:v>OPEN</x:v>
      </x:c>
    </x:row>
    <x:row r="97">
      <x:c r="A97" s="10" t="str">
        <x:v>AQC-090</x:v>
      </x:c>
      <x:c r="B97" s="10" t="str">
        <x:v>ADM-15</x:v>
      </x:c>
      <x:c r="C97" s="10" t="str">
        <x:f>IF('Module Bank'!C20="","",'Module Bank'!C20)</x:f>
      </x:c>
      <x:c r="D97" s="10" t="str">
        <x:f>IF('Module Bank'!D20="","",'Module Bank'!D20)</x:f>
        <x:v>BL-A</x:v>
      </x:c>
      <x:c r="E97" s="10" t="str">
        <x:f>IF('Module Bank'!E20="","",'Module Bank'!E20)</x:f>
        <x:v>C-3</x:v>
      </x:c>
      <x:c r="F97" s="10" t="str">
        <x:v>AQ-6 reader/time denied</x:v>
      </x:c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0" t="str">
        <x:f>IF(C97="","OPEN",IF(OR(COUNT(G97:U97)&lt;15,V97=""),"OPEN",IF(AND(G97&gt;='Assumptions'!$B$34,G97&lt;='Assumptions'!$B$35,H97&gt;='Assumptions'!$B$36,H97&lt;='Assumptions'!$B$37,MIN(I97:L97)&gt;='Assumptions'!$B$39,M97&lt;='Assumptions'!$B$40,N97&lt;='Assumptions'!$B$41,O97&lt;='Assumptions'!$B$42,P97&gt;='Assumptions'!$B$38,Q97&gt;='Assumptions'!$B$38,R97&lt;='Assumptions'!$B$48,S97&lt;='Assumptions'!$B$49,T97=48,U97='Assumptions'!$B$57,V97="ACCEPTED"),"PASS","VALID-ADVERSE")))</x:f>
        <x:v>OPEN</x:v>
      </x:c>
    </x:row>
    <x:row r="98">
      <x:c r="A98" s="10" t="str">
        <x:v>AQC-091</x:v>
      </x:c>
      <x:c r="B98" s="10" t="str">
        <x:v>ADM-16</x:v>
      </x:c>
      <x:c r="C98" s="10" t="str">
        <x:f>IF('Module Bank'!C21="","",'Module Bank'!C21)</x:f>
      </x:c>
      <x:c r="D98" s="10" t="str">
        <x:f>IF('Module Bank'!D21="","",'Module Bank'!D21)</x:f>
        <x:v>BL-B</x:v>
      </x:c>
      <x:c r="E98" s="10" t="str">
        <x:f>IF('Module Bank'!E21="","",'Module Bank'!E21)</x:f>
        <x:v>C-1</x:v>
      </x:c>
      <x:c r="F98" s="10" t="str">
        <x:v>AQ-1 nominal crossover</x:v>
      </x:c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0" t="str">
        <x:f>IF(C98="","OPEN",IF(OR(COUNT(G98:U98)&lt;15,V98=""),"OPEN",IF(AND(G98&gt;='Assumptions'!$B$34,G98&lt;='Assumptions'!$B$35,H98&gt;='Assumptions'!$B$36,H98&lt;='Assumptions'!$B$37,MIN(I98:L98)&gt;='Assumptions'!$B$39,M98&lt;='Assumptions'!$B$40,N98&lt;='Assumptions'!$B$41,O98&lt;='Assumptions'!$B$42,P98&gt;='Assumptions'!$B$38,Q98&gt;='Assumptions'!$B$38,R98&lt;='Assumptions'!$B$48,S98&lt;='Assumptions'!$B$49,T98=48,U98='Assumptions'!$B$57,V98="ACCEPTED"),"PASS","VALID-ADVERSE")))</x:f>
        <x:v>OPEN</x:v>
      </x:c>
    </x:row>
    <x:row r="99">
      <x:c r="A99" s="10" t="str">
        <x:v>AQC-092</x:v>
      </x:c>
      <x:c r="B99" s="10" t="str">
        <x:v>ADM-16</x:v>
      </x:c>
      <x:c r="C99" s="10" t="str">
        <x:f>IF('Module Bank'!C21="","",'Module Bank'!C21)</x:f>
      </x:c>
      <x:c r="D99" s="10" t="str">
        <x:f>IF('Module Bank'!D21="","",'Module Bank'!D21)</x:f>
        <x:v>BL-B</x:v>
      </x:c>
      <x:c r="E99" s="10" t="str">
        <x:f>IF('Module Bank'!E21="","",'Module Bank'!E21)</x:f>
        <x:v>C-1</x:v>
      </x:c>
      <x:c r="F99" s="10" t="str">
        <x:v>AQ-2 emulsion/restricted</x:v>
      </x:c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0" t="str">
        <x:f>IF(C99="","OPEN",IF(OR(COUNT(G99:U99)&lt;15,V99=""),"OPEN",IF(AND(G99&gt;='Assumptions'!$B$34,G99&lt;='Assumptions'!$B$35,H99&gt;='Assumptions'!$B$36,H99&lt;='Assumptions'!$B$37,MIN(I99:L99)&gt;='Assumptions'!$B$39,M99&lt;='Assumptions'!$B$40,N99&lt;='Assumptions'!$B$41,O99&lt;='Assumptions'!$B$42,P99&gt;='Assumptions'!$B$38,Q99&gt;='Assumptions'!$B$38,R99&lt;='Assumptions'!$B$48,S99&lt;='Assumptions'!$B$49,T99=48,U99='Assumptions'!$B$57,V99="ACCEPTED"),"PASS","VALID-ADVERSE")))</x:f>
        <x:v>OPEN</x:v>
      </x:c>
    </x:row>
    <x:row r="100">
      <x:c r="A100" s="10" t="str">
        <x:v>AQC-093</x:v>
      </x:c>
      <x:c r="B100" s="10" t="str">
        <x:v>ADM-16</x:v>
      </x:c>
      <x:c r="C100" s="10" t="str">
        <x:f>IF('Module Bank'!C21="","",'Module Bank'!C21)</x:f>
      </x:c>
      <x:c r="D100" s="10" t="str">
        <x:f>IF('Module Bank'!D21="","",'Module Bank'!D21)</x:f>
        <x:v>BL-B</x:v>
      </x:c>
      <x:c r="E100" s="10" t="str">
        <x:f>IF('Module Bank'!E21="","",'Module Bank'!E21)</x:f>
        <x:v>C-1</x:v>
      </x:c>
      <x:c r="F100" s="10" t="str">
        <x:v>AQ-3 dilution/retention</x:v>
      </x:c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0" t="str">
        <x:f>IF(C100="","OPEN",IF(OR(COUNT(G100:U100)&lt;15,V100=""),"OPEN",IF(AND(G100&gt;='Assumptions'!$B$34,G100&lt;='Assumptions'!$B$35,H100&gt;='Assumptions'!$B$36,H100&lt;='Assumptions'!$B$37,MIN(I100:L100)&gt;='Assumptions'!$B$39,M100&lt;='Assumptions'!$B$40,N100&lt;='Assumptions'!$B$41,O100&lt;='Assumptions'!$B$42,P100&gt;='Assumptions'!$B$38,Q100&gt;='Assumptions'!$B$38,R100&lt;='Assumptions'!$B$48,S100&lt;='Assumptions'!$B$49,T100=48,U100='Assumptions'!$B$57,V100="ACCEPTED"),"PASS","VALID-ADVERSE")))</x:f>
        <x:v>OPEN</x:v>
      </x:c>
    </x:row>
    <x:row r="101">
      <x:c r="A101" s="10" t="str">
        <x:v>AQC-094</x:v>
      </x:c>
      <x:c r="B101" s="10" t="str">
        <x:v>ADM-16</x:v>
      </x:c>
      <x:c r="C101" s="10" t="str">
        <x:f>IF('Module Bank'!C21="","",'Module Bank'!C21)</x:f>
      </x:c>
      <x:c r="D101" s="10" t="str">
        <x:f>IF('Module Bank'!D21="","",'Module Bank'!D21)</x:f>
        <x:v>BL-B</x:v>
      </x:c>
      <x:c r="E101" s="10" t="str">
        <x:f>IF('Module Bank'!E21="","",'Module Bank'!E21)</x:f>
        <x:v>C-1</x:v>
      </x:c>
      <x:c r="F101" s="10" t="str">
        <x:v>AQ-4 decoy/wrong phase</x:v>
      </x:c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0" t="str">
        <x:f>IF(C101="","OPEN",IF(OR(COUNT(G101:U101)&lt;15,V101=""),"OPEN",IF(AND(G101&gt;='Assumptions'!$B$34,G101&lt;='Assumptions'!$B$35,H101&gt;='Assumptions'!$B$36,H101&lt;='Assumptions'!$B$37,MIN(I101:L101)&gt;='Assumptions'!$B$39,M101&lt;='Assumptions'!$B$40,N101&lt;='Assumptions'!$B$41,O101&lt;='Assumptions'!$B$42,P101&gt;='Assumptions'!$B$38,Q101&gt;='Assumptions'!$B$38,R101&lt;='Assumptions'!$B$48,S101&lt;='Assumptions'!$B$49,T101=48,U101='Assumptions'!$B$57,V101="ACCEPTED"),"PASS","VALID-ADVERSE")))</x:f>
        <x:v>OPEN</x:v>
      </x:c>
    </x:row>
    <x:row r="102">
      <x:c r="A102" s="10" t="str">
        <x:v>AQC-095</x:v>
      </x:c>
      <x:c r="B102" s="10" t="str">
        <x:v>ADM-16</x:v>
      </x:c>
      <x:c r="C102" s="10" t="str">
        <x:f>IF('Module Bank'!C21="","",'Module Bank'!C21)</x:f>
      </x:c>
      <x:c r="D102" s="10" t="str">
        <x:f>IF('Module Bank'!D21="","",'Module Bank'!D21)</x:f>
        <x:v>BL-B</x:v>
      </x:c>
      <x:c r="E102" s="10" t="str">
        <x:f>IF('Module Bank'!E21="","",'Module Bank'!E21)</x:f>
        <x:v>C-1</x:v>
      </x:c>
      <x:c r="F102" s="10" t="str">
        <x:v>AQ-5 carryover/decon</x:v>
      </x:c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0" t="str">
        <x:f>IF(C102="","OPEN",IF(OR(COUNT(G102:U102)&lt;15,V102=""),"OPEN",IF(AND(G102&gt;='Assumptions'!$B$34,G102&lt;='Assumptions'!$B$35,H102&gt;='Assumptions'!$B$36,H102&lt;='Assumptions'!$B$37,MIN(I102:L102)&gt;='Assumptions'!$B$39,M102&lt;='Assumptions'!$B$40,N102&lt;='Assumptions'!$B$41,O102&lt;='Assumptions'!$B$42,P102&gt;='Assumptions'!$B$38,Q102&gt;='Assumptions'!$B$38,R102&lt;='Assumptions'!$B$48,S102&lt;='Assumptions'!$B$49,T102=48,U102='Assumptions'!$B$57,V102="ACCEPTED"),"PASS","VALID-ADVERSE")))</x:f>
        <x:v>OPEN</x:v>
      </x:c>
    </x:row>
    <x:row r="103">
      <x:c r="A103" s="10" t="str">
        <x:v>AQC-096</x:v>
      </x:c>
      <x:c r="B103" s="10" t="str">
        <x:v>ADM-16</x:v>
      </x:c>
      <x:c r="C103" s="10" t="str">
        <x:f>IF('Module Bank'!C21="","",'Module Bank'!C21)</x:f>
      </x:c>
      <x:c r="D103" s="10" t="str">
        <x:f>IF('Module Bank'!D21="","",'Module Bank'!D21)</x:f>
        <x:v>BL-B</x:v>
      </x:c>
      <x:c r="E103" s="10" t="str">
        <x:f>IF('Module Bank'!E21="","",'Module Bank'!E21)</x:f>
        <x:v>C-1</x:v>
      </x:c>
      <x:c r="F103" s="10" t="str">
        <x:v>AQ-6 reader/time denied</x:v>
      </x:c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0" t="str">
        <x:f>IF(C103="","OPEN",IF(OR(COUNT(G103:U103)&lt;15,V103=""),"OPEN",IF(AND(G103&gt;='Assumptions'!$B$34,G103&lt;='Assumptions'!$B$35,H103&gt;='Assumptions'!$B$36,H103&lt;='Assumptions'!$B$37,MIN(I103:L103)&gt;='Assumptions'!$B$39,M103&lt;='Assumptions'!$B$40,N103&lt;='Assumptions'!$B$41,O103&lt;='Assumptions'!$B$42,P103&gt;='Assumptions'!$B$38,Q103&gt;='Assumptions'!$B$38,R103&lt;='Assumptions'!$B$48,S103&lt;='Assumptions'!$B$49,T103=48,U103='Assumptions'!$B$57,V103="ACCEPTED"),"PASS","VALID-ADVERSE")))</x:f>
        <x:v>OPEN</x:v>
      </x:c>
    </x:row>
  </x:sheetData>
  <x:mergeCells>
    <x:mergeCell ref="A2:W2"/>
    <x:mergeCell ref="A5:W5"/>
  </x:mergeCells>
  <x:conditionalFormatting sqref="W8:W103">
    <x:cfRule type="containsText" dxfId="54" priority="1" operator="containsText" text="DENY"/>
    <x:cfRule type="containsText" dxfId="55" priority="2" operator="containsText" text="ADVERSE"/>
    <x:cfRule type="containsText" dxfId="56" priority="3" operator="containsText" text="FAIL"/>
    <x:cfRule type="containsText" dxfId="57" priority="4" operator="containsText" text="OPEN"/>
    <x:cfRule type="containsText" dxfId="58" priority="5" operator="containsText" text="BLOCKED"/>
    <x:cfRule type="containsText" dxfId="59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42de7c2bbfed43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20" hidden="0" customWidth="1"/>
    <x:col min="14" max="14" width="15" hidden="0" customWidth="1"/>
  </x:cols>
  <x:sheetData>
    <x:row r="2" ht="24" customHeight="1">
      <x:c r="A2" s="1" t="str">
        <x:v>Eighteen blinded 25-cubic-metre water lots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8" t="str">
        <x:v>Water lot</x:v>
      </x:c>
      <x:c r="B5" s="8" t="str">
        <x:v>Role</x:v>
      </x:c>
      <x:c r="C5" s="8" t="str">
        <x:v>Event</x:v>
      </x:c>
      <x:c r="D5" s="8" t="str">
        <x:v>Abstract identity</x:v>
      </x:c>
      <x:c r="E5" s="8" t="str">
        <x:v>Gross m³</x:v>
      </x:c>
      <x:c r="F5" s="8" t="str">
        <x:v>Issue m³</x:v>
      </x:c>
      <x:c r="G5" s="8" t="str">
        <x:v>Assay m³</x:v>
      </x:c>
      <x:c r="H5" s="8" t="str">
        <x:v>Conditioning m³</x:v>
      </x:c>
      <x:c r="I5" s="8" t="str">
        <x:v>Quarantine m³</x:v>
      </x:c>
      <x:c r="J5" s="8" t="str">
        <x:v>Root A encoding</x:v>
      </x:c>
      <x:c r="K5" s="8" t="str">
        <x:v>Root B encoding</x:v>
      </x:c>
      <x:c r="L5" s="8" t="str">
        <x:v>Seal</x:v>
      </x:c>
      <x:c r="M5" s="8" t="str">
        <x:v>Laboratory decision</x:v>
      </x:c>
      <x:c r="N5" s="8" t="str">
        <x:v>State</x:v>
      </x:c>
    </x:row>
    <x:row r="6">
      <x:c r="A6" s="10" t="str">
        <x:v>WLOT-01</x:v>
      </x:c>
      <x:c r="B6" s="10" t="str">
        <x:v>PRIMARY</x:v>
      </x:c>
      <x:c r="C6" s="10" t="str">
        <x:v>EV-01</x:v>
      </x:c>
      <x:c r="D6" s="10" t="str">
        <x:f>IF('Code Schedule'!C6="","",'Code Schedule'!C6)</x:f>
        <x:v>W-A</x:v>
      </x:c>
      <x:c r="E6" s="10" t="n">
        <x:v>25</x:v>
      </x:c>
      <x:c r="F6" s="10" t="n">
        <x:v>24</x:v>
      </x:c>
      <x:c r="G6" s="10" t="n">
        <x:v>0.25</x:v>
      </x:c>
      <x:c r="H6" s="10" t="n">
        <x:v>0.25</x:v>
      </x:c>
      <x:c r="I6" s="10" t="n">
        <x:v>0.5</x:v>
      </x:c>
      <x:c r="J6" s="12"/>
      <x:c r="K6" s="12"/>
      <x:c r="L6" s="12"/>
      <x:c r="M6" s="12"/>
      <x:c r="N6" s="10" t="str">
        <x:f>IF(COUNTA(J6:M6)&lt;4,"OPEN",IF(ABS(E6-SUM(F6:I6))&gt;0.000001,"DENY",IF(AND(J6="ACCEPTED",K6="ACCEPTED",L6="ACCEPTED",M6="ACCEPTED"),IF(B6="REFERENCE","PROTECTED","RELEASED"),"DENY")))</x:f>
        <x:v>OPEN</x:v>
      </x:c>
    </x:row>
    <x:row r="7">
      <x:c r="A7" s="10" t="str">
        <x:v>WLOT-02</x:v>
      </x:c>
      <x:c r="B7" s="10" t="str">
        <x:v>PRIMARY</x:v>
      </x:c>
      <x:c r="C7" s="10" t="str">
        <x:v>EV-02</x:v>
      </x:c>
      <x:c r="D7" s="10" t="str">
        <x:f>IF('Code Schedule'!C7="","",'Code Schedule'!C7)</x:f>
        <x:v>W-B</x:v>
      </x:c>
      <x:c r="E7" s="10" t="n">
        <x:v>25</x:v>
      </x:c>
      <x:c r="F7" s="10" t="n">
        <x:v>24</x:v>
      </x:c>
      <x:c r="G7" s="10" t="n">
        <x:v>0.25</x:v>
      </x:c>
      <x:c r="H7" s="10" t="n">
        <x:v>0.25</x:v>
      </x:c>
      <x:c r="I7" s="10" t="n">
        <x:v>0.5</x:v>
      </x:c>
      <x:c r="J7" s="12"/>
      <x:c r="K7" s="12"/>
      <x:c r="L7" s="12"/>
      <x:c r="M7" s="12"/>
      <x:c r="N7" s="10" t="str">
        <x:f>IF(COUNTA(J7:M7)&lt;4,"OPEN",IF(ABS(E7-SUM(F7:I7))&gt;0.000001,"DENY",IF(AND(J7="ACCEPTED",K7="ACCEPTED",L7="ACCEPTED",M7="ACCEPTED"),IF(B7="REFERENCE","PROTECTED","RELEASED"),"DENY")))</x:f>
        <x:v>OPEN</x:v>
      </x:c>
    </x:row>
    <x:row r="8">
      <x:c r="A8" s="10" t="str">
        <x:v>WLOT-03</x:v>
      </x:c>
      <x:c r="B8" s="10" t="str">
        <x:v>PRIMARY</x:v>
      </x:c>
      <x:c r="C8" s="10" t="str">
        <x:v>EV-03</x:v>
      </x:c>
      <x:c r="D8" s="10" t="str">
        <x:f>IF('Code Schedule'!C8="","",'Code Schedule'!C8)</x:f>
        <x:v>W-C</x:v>
      </x:c>
      <x:c r="E8" s="10" t="n">
        <x:v>25</x:v>
      </x:c>
      <x:c r="F8" s="10" t="n">
        <x:v>24</x:v>
      </x:c>
      <x:c r="G8" s="10" t="n">
        <x:v>0.25</x:v>
      </x:c>
      <x:c r="H8" s="10" t="n">
        <x:v>0.25</x:v>
      </x:c>
      <x:c r="I8" s="10" t="n">
        <x:v>0.5</x:v>
      </x:c>
      <x:c r="J8" s="12"/>
      <x:c r="K8" s="12"/>
      <x:c r="L8" s="12"/>
      <x:c r="M8" s="12"/>
      <x:c r="N8" s="10" t="str">
        <x:f>IF(COUNTA(J8:M8)&lt;4,"OPEN",IF(ABS(E8-SUM(F8:I8))&gt;0.000001,"DENY",IF(AND(J8="ACCEPTED",K8="ACCEPTED",L8="ACCEPTED",M8="ACCEPTED"),IF(B8="REFERENCE","PROTECTED","RELEASED"),"DENY")))</x:f>
        <x:v>OPEN</x:v>
      </x:c>
    </x:row>
    <x:row r="9">
      <x:c r="A9" s="10" t="str">
        <x:v>WLOT-04</x:v>
      </x:c>
      <x:c r="B9" s="10" t="str">
        <x:v>PRIMARY</x:v>
      </x:c>
      <x:c r="C9" s="10" t="str">
        <x:v>EV-04</x:v>
      </x:c>
      <x:c r="D9" s="10" t="str">
        <x:f>IF('Code Schedule'!C9="","",'Code Schedule'!C9)</x:f>
        <x:v>W-A</x:v>
      </x:c>
      <x:c r="E9" s="10" t="n">
        <x:v>25</x:v>
      </x:c>
      <x:c r="F9" s="10" t="n">
        <x:v>24</x:v>
      </x:c>
      <x:c r="G9" s="10" t="n">
        <x:v>0.25</x:v>
      </x:c>
      <x:c r="H9" s="10" t="n">
        <x:v>0.25</x:v>
      </x:c>
      <x:c r="I9" s="10" t="n">
        <x:v>0.5</x:v>
      </x:c>
      <x:c r="J9" s="12"/>
      <x:c r="K9" s="12"/>
      <x:c r="L9" s="12"/>
      <x:c r="M9" s="12"/>
      <x:c r="N9" s="10" t="str">
        <x:f>IF(COUNTA(J9:M9)&lt;4,"OPEN",IF(ABS(E9-SUM(F9:I9))&gt;0.000001,"DENY",IF(AND(J9="ACCEPTED",K9="ACCEPTED",L9="ACCEPTED",M9="ACCEPTED"),IF(B9="REFERENCE","PROTECTED","RELEASED"),"DENY")))</x:f>
        <x:v>OPEN</x:v>
      </x:c>
    </x:row>
    <x:row r="10">
      <x:c r="A10" s="10" t="str">
        <x:v>WLOT-05</x:v>
      </x:c>
      <x:c r="B10" s="10" t="str">
        <x:v>PRIMARY</x:v>
      </x:c>
      <x:c r="C10" s="10" t="str">
        <x:v>EV-05</x:v>
      </x:c>
      <x:c r="D10" s="10" t="str">
        <x:f>IF('Code Schedule'!C10="","",'Code Schedule'!C10)</x:f>
        <x:v>W-B</x:v>
      </x:c>
      <x:c r="E10" s="10" t="n">
        <x:v>25</x:v>
      </x:c>
      <x:c r="F10" s="10" t="n">
        <x:v>24</x:v>
      </x:c>
      <x:c r="G10" s="10" t="n">
        <x:v>0.25</x:v>
      </x:c>
      <x:c r="H10" s="10" t="n">
        <x:v>0.25</x:v>
      </x:c>
      <x:c r="I10" s="10" t="n">
        <x:v>0.5</x:v>
      </x:c>
      <x:c r="J10" s="12"/>
      <x:c r="K10" s="12"/>
      <x:c r="L10" s="12"/>
      <x:c r="M10" s="12"/>
      <x:c r="N10" s="10" t="str">
        <x:f>IF(COUNTA(J10:M10)&lt;4,"OPEN",IF(ABS(E10-SUM(F10:I10))&gt;0.000001,"DENY",IF(AND(J10="ACCEPTED",K10="ACCEPTED",L10="ACCEPTED",M10="ACCEPTED"),IF(B10="REFERENCE","PROTECTED","RELEASED"),"DENY")))</x:f>
        <x:v>OPEN</x:v>
      </x:c>
    </x:row>
    <x:row r="11">
      <x:c r="A11" s="10" t="str">
        <x:v>WLOT-06</x:v>
      </x:c>
      <x:c r="B11" s="10" t="str">
        <x:v>PRIMARY</x:v>
      </x:c>
      <x:c r="C11" s="10" t="str">
        <x:v>EV-06</x:v>
      </x:c>
      <x:c r="D11" s="10" t="str">
        <x:f>IF('Code Schedule'!C11="","",'Code Schedule'!C11)</x:f>
        <x:v>W-C</x:v>
      </x:c>
      <x:c r="E11" s="10" t="n">
        <x:v>25</x:v>
      </x:c>
      <x:c r="F11" s="10" t="n">
        <x:v>24</x:v>
      </x:c>
      <x:c r="G11" s="10" t="n">
        <x:v>0.25</x:v>
      </x:c>
      <x:c r="H11" s="10" t="n">
        <x:v>0.25</x:v>
      </x:c>
      <x:c r="I11" s="10" t="n">
        <x:v>0.5</x:v>
      </x:c>
      <x:c r="J11" s="12"/>
      <x:c r="K11" s="12"/>
      <x:c r="L11" s="12"/>
      <x:c r="M11" s="12"/>
      <x:c r="N11" s="10" t="str">
        <x:f>IF(COUNTA(J11:M11)&lt;4,"OPEN",IF(ABS(E11-SUM(F11:I11))&gt;0.000001,"DENY",IF(AND(J11="ACCEPTED",K11="ACCEPTED",L11="ACCEPTED",M11="ACCEPTED"),IF(B11="REFERENCE","PROTECTED","RELEASED"),"DENY")))</x:f>
        <x:v>OPEN</x:v>
      </x:c>
    </x:row>
    <x:row r="12">
      <x:c r="A12" s="10" t="str">
        <x:v>WLOT-07</x:v>
      </x:c>
      <x:c r="B12" s="10" t="str">
        <x:v>PRIMARY</x:v>
      </x:c>
      <x:c r="C12" s="10" t="str">
        <x:v>EV-07</x:v>
      </x:c>
      <x:c r="D12" s="10" t="str">
        <x:f>IF('Code Schedule'!C12="","",'Code Schedule'!C12)</x:f>
        <x:v>W-A</x:v>
      </x:c>
      <x:c r="E12" s="10" t="n">
        <x:v>25</x:v>
      </x:c>
      <x:c r="F12" s="10" t="n">
        <x:v>24</x:v>
      </x:c>
      <x:c r="G12" s="10" t="n">
        <x:v>0.25</x:v>
      </x:c>
      <x:c r="H12" s="10" t="n">
        <x:v>0.25</x:v>
      </x:c>
      <x:c r="I12" s="10" t="n">
        <x:v>0.5</x:v>
      </x:c>
      <x:c r="J12" s="12"/>
      <x:c r="K12" s="12"/>
      <x:c r="L12" s="12"/>
      <x:c r="M12" s="12"/>
      <x:c r="N12" s="10" t="str">
        <x:f>IF(COUNTA(J12:M12)&lt;4,"OPEN",IF(ABS(E12-SUM(F12:I12))&gt;0.000001,"DENY",IF(AND(J12="ACCEPTED",K12="ACCEPTED",L12="ACCEPTED",M12="ACCEPTED"),IF(B12="REFERENCE","PROTECTED","RELEASED"),"DENY")))</x:f>
        <x:v>OPEN</x:v>
      </x:c>
    </x:row>
    <x:row r="13">
      <x:c r="A13" s="10" t="str">
        <x:v>WLOT-08</x:v>
      </x:c>
      <x:c r="B13" s="10" t="str">
        <x:v>PRIMARY</x:v>
      </x:c>
      <x:c r="C13" s="10" t="str">
        <x:v>EV-08</x:v>
      </x:c>
      <x:c r="D13" s="10" t="str">
        <x:f>IF('Code Schedule'!C13="","",'Code Schedule'!C13)</x:f>
        <x:v>W-B</x:v>
      </x:c>
      <x:c r="E13" s="10" t="n">
        <x:v>25</x:v>
      </x:c>
      <x:c r="F13" s="10" t="n">
        <x:v>24</x:v>
      </x:c>
      <x:c r="G13" s="10" t="n">
        <x:v>0.25</x:v>
      </x:c>
      <x:c r="H13" s="10" t="n">
        <x:v>0.25</x:v>
      </x:c>
      <x:c r="I13" s="10" t="n">
        <x:v>0.5</x:v>
      </x:c>
      <x:c r="J13" s="12"/>
      <x:c r="K13" s="12"/>
      <x:c r="L13" s="12"/>
      <x:c r="M13" s="12"/>
      <x:c r="N13" s="10" t="str">
        <x:f>IF(COUNTA(J13:M13)&lt;4,"OPEN",IF(ABS(E13-SUM(F13:I13))&gt;0.000001,"DENY",IF(AND(J13="ACCEPTED",K13="ACCEPTED",L13="ACCEPTED",M13="ACCEPTED"),IF(B13="REFERENCE","PROTECTED","RELEASED"),"DENY")))</x:f>
        <x:v>OPEN</x:v>
      </x:c>
    </x:row>
    <x:row r="14">
      <x:c r="A14" s="10" t="str">
        <x:v>WLOT-09</x:v>
      </x:c>
      <x:c r="B14" s="10" t="str">
        <x:v>PRIMARY</x:v>
      </x:c>
      <x:c r="C14" s="10" t="str">
        <x:v>EV-09</x:v>
      </x:c>
      <x:c r="D14" s="10" t="str">
        <x:f>IF('Code Schedule'!C14="","",'Code Schedule'!C14)</x:f>
        <x:v>W-C</x:v>
      </x:c>
      <x:c r="E14" s="10" t="n">
        <x:v>25</x:v>
      </x:c>
      <x:c r="F14" s="10" t="n">
        <x:v>24</x:v>
      </x:c>
      <x:c r="G14" s="10" t="n">
        <x:v>0.25</x:v>
      </x:c>
      <x:c r="H14" s="10" t="n">
        <x:v>0.25</x:v>
      </x:c>
      <x:c r="I14" s="10" t="n">
        <x:v>0.5</x:v>
      </x:c>
      <x:c r="J14" s="12"/>
      <x:c r="K14" s="12"/>
      <x:c r="L14" s="12"/>
      <x:c r="M14" s="12"/>
      <x:c r="N14" s="10" t="str">
        <x:f>IF(COUNTA(J14:M14)&lt;4,"OPEN",IF(ABS(E14-SUM(F14:I14))&gt;0.000001,"DENY",IF(AND(J14="ACCEPTED",K14="ACCEPTED",L14="ACCEPTED",M14="ACCEPTED"),IF(B14="REFERENCE","PROTECTED","RELEASED"),"DENY")))</x:f>
        <x:v>OPEN</x:v>
      </x:c>
    </x:row>
    <x:row r="15">
      <x:c r="A15" s="10" t="str">
        <x:v>WLOT-10</x:v>
      </x:c>
      <x:c r="B15" s="10" t="str">
        <x:v>PRIMARY</x:v>
      </x:c>
      <x:c r="C15" s="10" t="str">
        <x:v>EV-10</x:v>
      </x:c>
      <x:c r="D15" s="10" t="str">
        <x:f>IF('Code Schedule'!C15="","",'Code Schedule'!C15)</x:f>
        <x:v>W-A</x:v>
      </x:c>
      <x:c r="E15" s="10" t="n">
        <x:v>25</x:v>
      </x:c>
      <x:c r="F15" s="10" t="n">
        <x:v>24</x:v>
      </x:c>
      <x:c r="G15" s="10" t="n">
        <x:v>0.25</x:v>
      </x:c>
      <x:c r="H15" s="10" t="n">
        <x:v>0.25</x:v>
      </x:c>
      <x:c r="I15" s="10" t="n">
        <x:v>0.5</x:v>
      </x:c>
      <x:c r="J15" s="12"/>
      <x:c r="K15" s="12"/>
      <x:c r="L15" s="12"/>
      <x:c r="M15" s="12"/>
      <x:c r="N15" s="10" t="str">
        <x:f>IF(COUNTA(J15:M15)&lt;4,"OPEN",IF(ABS(E15-SUM(F15:I15))&gt;0.000001,"DENY",IF(AND(J15="ACCEPTED",K15="ACCEPTED",L15="ACCEPTED",M15="ACCEPTED"),IF(B15="REFERENCE","PROTECTED","RELEASED"),"DENY")))</x:f>
        <x:v>OPEN</x:v>
      </x:c>
    </x:row>
    <x:row r="16">
      <x:c r="A16" s="10" t="str">
        <x:v>WLOT-11</x:v>
      </x:c>
      <x:c r="B16" s="10" t="str">
        <x:v>PRIMARY</x:v>
      </x:c>
      <x:c r="C16" s="10" t="str">
        <x:v>EV-11</x:v>
      </x:c>
      <x:c r="D16" s="10" t="str">
        <x:f>IF('Code Schedule'!C16="","",'Code Schedule'!C16)</x:f>
        <x:v>W-B</x:v>
      </x:c>
      <x:c r="E16" s="10" t="n">
        <x:v>25</x:v>
      </x:c>
      <x:c r="F16" s="10" t="n">
        <x:v>24</x:v>
      </x:c>
      <x:c r="G16" s="10" t="n">
        <x:v>0.25</x:v>
      </x:c>
      <x:c r="H16" s="10" t="n">
        <x:v>0.25</x:v>
      </x:c>
      <x:c r="I16" s="10" t="n">
        <x:v>0.5</x:v>
      </x:c>
      <x:c r="J16" s="12"/>
      <x:c r="K16" s="12"/>
      <x:c r="L16" s="12"/>
      <x:c r="M16" s="12"/>
      <x:c r="N16" s="10" t="str">
        <x:f>IF(COUNTA(J16:M16)&lt;4,"OPEN",IF(ABS(E16-SUM(F16:I16))&gt;0.000001,"DENY",IF(AND(J16="ACCEPTED",K16="ACCEPTED",L16="ACCEPTED",M16="ACCEPTED"),IF(B16="REFERENCE","PROTECTED","RELEASED"),"DENY")))</x:f>
        <x:v>OPEN</x:v>
      </x:c>
    </x:row>
    <x:row r="17">
      <x:c r="A17" s="10" t="str">
        <x:v>WLOT-12</x:v>
      </x:c>
      <x:c r="B17" s="10" t="str">
        <x:v>PRIMARY</x:v>
      </x:c>
      <x:c r="C17" s="10" t="str">
        <x:v>EV-12</x:v>
      </x:c>
      <x:c r="D17" s="10" t="str">
        <x:f>IF('Code Schedule'!C17="","",'Code Schedule'!C17)</x:f>
        <x:v>W-C</x:v>
      </x:c>
      <x:c r="E17" s="10" t="n">
        <x:v>25</x:v>
      </x:c>
      <x:c r="F17" s="10" t="n">
        <x:v>24</x:v>
      </x:c>
      <x:c r="G17" s="10" t="n">
        <x:v>0.25</x:v>
      </x:c>
      <x:c r="H17" s="10" t="n">
        <x:v>0.25</x:v>
      </x:c>
      <x:c r="I17" s="10" t="n">
        <x:v>0.5</x:v>
      </x:c>
      <x:c r="J17" s="12"/>
      <x:c r="K17" s="12"/>
      <x:c r="L17" s="12"/>
      <x:c r="M17" s="12"/>
      <x:c r="N17" s="10" t="str">
        <x:f>IF(COUNTA(J17:M17)&lt;4,"OPEN",IF(ABS(E17-SUM(F17:I17))&gt;0.000001,"DENY",IF(AND(J17="ACCEPTED",K17="ACCEPTED",L17="ACCEPTED",M17="ACCEPTED"),IF(B17="REFERENCE","PROTECTED","RELEASED"),"DENY")))</x:f>
        <x:v>OPEN</x:v>
      </x:c>
    </x:row>
    <x:row r="18">
      <x:c r="A18" s="10" t="str">
        <x:v>WLOT-13</x:v>
      </x:c>
      <x:c r="B18" s="10" t="str">
        <x:v>RESERVE</x:v>
      </x:c>
      <x:c r="C18" s="10" t="str">
        <x:v>EV-13</x:v>
      </x:c>
      <x:c r="D18" s="10" t="str">
        <x:f>IF('Code Schedule'!C18="","",'Code Schedule'!C18)</x:f>
      </x:c>
      <x:c r="E18" s="10" t="n">
        <x:v>25</x:v>
      </x:c>
      <x:c r="F18" s="10" t="n">
        <x:v>24</x:v>
      </x:c>
      <x:c r="G18" s="10" t="n">
        <x:v>0.25</x:v>
      </x:c>
      <x:c r="H18" s="10" t="n">
        <x:v>0.25</x:v>
      </x:c>
      <x:c r="I18" s="10" t="n">
        <x:v>0.5</x:v>
      </x:c>
      <x:c r="J18" s="12"/>
      <x:c r="K18" s="12"/>
      <x:c r="L18" s="12"/>
      <x:c r="M18" s="12"/>
      <x:c r="N18" s="10" t="str">
        <x:f>IF(COUNTA(J18:M18)&lt;4,"OPEN",IF(ABS(E18-SUM(F18:I18))&gt;0.000001,"DENY",IF(AND(J18="ACCEPTED",K18="ACCEPTED",L18="ACCEPTED",M18="ACCEPTED"),IF(B18="REFERENCE","PROTECTED","RELEASED"),"DENY")))</x:f>
        <x:v>OPEN</x:v>
      </x:c>
    </x:row>
    <x:row r="19">
      <x:c r="A19" s="10" t="str">
        <x:v>WLOT-14</x:v>
      </x:c>
      <x:c r="B19" s="10" t="str">
        <x:v>RESERVE</x:v>
      </x:c>
      <x:c r="C19" s="10" t="str">
        <x:v>EV-14</x:v>
      </x:c>
      <x:c r="D19" s="10" t="str">
        <x:f>IF('Code Schedule'!C19="","",'Code Schedule'!C19)</x:f>
      </x:c>
      <x:c r="E19" s="10" t="n">
        <x:v>25</x:v>
      </x:c>
      <x:c r="F19" s="10" t="n">
        <x:v>24</x:v>
      </x:c>
      <x:c r="G19" s="10" t="n">
        <x:v>0.25</x:v>
      </x:c>
      <x:c r="H19" s="10" t="n">
        <x:v>0.25</x:v>
      </x:c>
      <x:c r="I19" s="10" t="n">
        <x:v>0.5</x:v>
      </x:c>
      <x:c r="J19" s="12"/>
      <x:c r="K19" s="12"/>
      <x:c r="L19" s="12"/>
      <x:c r="M19" s="12"/>
      <x:c r="N19" s="10" t="str">
        <x:f>IF(COUNTA(J19:M19)&lt;4,"OPEN",IF(ABS(E19-SUM(F19:I19))&gt;0.000001,"DENY",IF(AND(J19="ACCEPTED",K19="ACCEPTED",L19="ACCEPTED",M19="ACCEPTED"),IF(B19="REFERENCE","PROTECTED","RELEASED"),"DENY")))</x:f>
        <x:v>OPEN</x:v>
      </x:c>
    </x:row>
    <x:row r="20">
      <x:c r="A20" s="10" t="str">
        <x:v>WLOT-15</x:v>
      </x:c>
      <x:c r="B20" s="10" t="str">
        <x:v>RESERVE</x:v>
      </x:c>
      <x:c r="C20" s="10" t="str">
        <x:v>EV-15</x:v>
      </x:c>
      <x:c r="D20" s="10" t="str">
        <x:f>IF('Code Schedule'!C20="","",'Code Schedule'!C20)</x:f>
      </x:c>
      <x:c r="E20" s="10" t="n">
        <x:v>25</x:v>
      </x:c>
      <x:c r="F20" s="10" t="n">
        <x:v>24</x:v>
      </x:c>
      <x:c r="G20" s="10" t="n">
        <x:v>0.25</x:v>
      </x:c>
      <x:c r="H20" s="10" t="n">
        <x:v>0.25</x:v>
      </x:c>
      <x:c r="I20" s="10" t="n">
        <x:v>0.5</x:v>
      </x:c>
      <x:c r="J20" s="12"/>
      <x:c r="K20" s="12"/>
      <x:c r="L20" s="12"/>
      <x:c r="M20" s="12"/>
      <x:c r="N20" s="10" t="str">
        <x:f>IF(COUNTA(J20:M20)&lt;4,"OPEN",IF(ABS(E20-SUM(F20:I20))&gt;0.000001,"DENY",IF(AND(J20="ACCEPTED",K20="ACCEPTED",L20="ACCEPTED",M20="ACCEPTED"),IF(B20="REFERENCE","PROTECTED","RELEASED"),"DENY")))</x:f>
        <x:v>OPEN</x:v>
      </x:c>
    </x:row>
    <x:row r="21">
      <x:c r="A21" s="10" t="str">
        <x:v>WLOT-16</x:v>
      </x:c>
      <x:c r="B21" s="10" t="str">
        <x:v>RESERVE</x:v>
      </x:c>
      <x:c r="C21" s="10" t="str">
        <x:v>EV-16</x:v>
      </x:c>
      <x:c r="D21" s="10" t="str">
        <x:f>IF('Code Schedule'!C21="","",'Code Schedule'!C21)</x:f>
      </x:c>
      <x:c r="E21" s="10" t="n">
        <x:v>25</x:v>
      </x:c>
      <x:c r="F21" s="10" t="n">
        <x:v>24</x:v>
      </x:c>
      <x:c r="G21" s="10" t="n">
        <x:v>0.25</x:v>
      </x:c>
      <x:c r="H21" s="10" t="n">
        <x:v>0.25</x:v>
      </x:c>
      <x:c r="I21" s="10" t="n">
        <x:v>0.5</x:v>
      </x:c>
      <x:c r="J21" s="12"/>
      <x:c r="K21" s="12"/>
      <x:c r="L21" s="12"/>
      <x:c r="M21" s="12"/>
      <x:c r="N21" s="10" t="str">
        <x:f>IF(COUNTA(J21:M21)&lt;4,"OPEN",IF(ABS(E21-SUM(F21:I21))&gt;0.000001,"DENY",IF(AND(J21="ACCEPTED",K21="ACCEPTED",L21="ACCEPTED",M21="ACCEPTED"),IF(B21="REFERENCE","PROTECTED","RELEASED"),"DENY")))</x:f>
        <x:v>OPEN</x:v>
      </x:c>
    </x:row>
    <x:row r="22">
      <x:c r="A22" s="10" t="str">
        <x:v>WLOT-17</x:v>
      </x:c>
      <x:c r="B22" s="10" t="str">
        <x:v>REFERENCE</x:v>
      </x:c>
      <x:c r="C22" s="10"/>
      <x:c r="D22" s="10" t="str">
        <x:v>REFERENCE</x:v>
      </x:c>
      <x:c r="E22" s="10" t="n">
        <x:v>25</x:v>
      </x:c>
      <x:c r="F22" s="10" t="n">
        <x:v>24</x:v>
      </x:c>
      <x:c r="G22" s="10" t="n">
        <x:v>0.25</x:v>
      </x:c>
      <x:c r="H22" s="10" t="n">
        <x:v>0.25</x:v>
      </x:c>
      <x:c r="I22" s="10" t="n">
        <x:v>0.5</x:v>
      </x:c>
      <x:c r="J22" s="12"/>
      <x:c r="K22" s="12"/>
      <x:c r="L22" s="12"/>
      <x:c r="M22" s="12"/>
      <x:c r="N22" s="10" t="str">
        <x:f>IF(COUNTA(J22:M22)&lt;4,"OPEN",IF(ABS(E22-SUM(F22:I22))&gt;0.000001,"DENY",IF(AND(J22="ACCEPTED",K22="ACCEPTED",L22="ACCEPTED",M22="ACCEPTED"),IF(B22="REFERENCE","PROTECTED","RELEASED"),"DENY")))</x:f>
        <x:v>OPEN</x:v>
      </x:c>
    </x:row>
    <x:row r="23">
      <x:c r="A23" s="10" t="str">
        <x:v>WLOT-18</x:v>
      </x:c>
      <x:c r="B23" s="10" t="str">
        <x:v>REFERENCE</x:v>
      </x:c>
      <x:c r="C23" s="10"/>
      <x:c r="D23" s="10" t="str">
        <x:v>REFERENCE</x:v>
      </x:c>
      <x:c r="E23" s="10" t="n">
        <x:v>25</x:v>
      </x:c>
      <x:c r="F23" s="10" t="n">
        <x:v>24</x:v>
      </x:c>
      <x:c r="G23" s="10" t="n">
        <x:v>0.25</x:v>
      </x:c>
      <x:c r="H23" s="10" t="n">
        <x:v>0.25</x:v>
      </x:c>
      <x:c r="I23" s="10" t="n">
        <x:v>0.5</x:v>
      </x:c>
      <x:c r="J23" s="12"/>
      <x:c r="K23" s="12"/>
      <x:c r="L23" s="12"/>
      <x:c r="M23" s="12"/>
      <x:c r="N23" s="10" t="str">
        <x:f>IF(COUNTA(J23:M23)&lt;4,"OPEN",IF(ABS(E23-SUM(F23:I23))&gt;0.000001,"DENY",IF(AND(J23="ACCEPTED",K23="ACCEPTED",L23="ACCEPTED",M23="ACCEPTED"),IF(B23="REFERENCE","PROTECTED","RELEASED"),"DENY")))</x:f>
        <x:v>OPEN</x:v>
      </x:c>
    </x:row>
  </x:sheetData>
  <x:mergeCells>
    <x:mergeCell ref="A2:N2"/>
  </x:mergeCells>
  <x:conditionalFormatting sqref="N6:N23">
    <x:cfRule type="containsText" dxfId="60" priority="1" operator="containsText" text="DENY"/>
    <x:cfRule type="containsText" dxfId="61" priority="2" operator="containsText" text="ADVERSE"/>
    <x:cfRule type="containsText" dxfId="62" priority="3" operator="containsText" text="FAIL"/>
    <x:cfRule type="containsText" dxfId="63" priority="4" operator="containsText" text="OPEN"/>
    <x:cfRule type="containsText" dxfId="64" priority="5" operator="containsText" text="BLOCKED"/>
    <x:cfRule type="containsText" dxfId="65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5888123142cd4e5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20" hidden="0" customWidth="1"/>
    <x:col min="14" max="14" width="15" hidden="0" customWidth="1"/>
  </x:cols>
  <x:sheetData>
    <x:row r="2" ht="24" customHeight="1">
      <x:c r="A2" s="1" t="str">
        <x:v>Eighteen blinded 550-kilogram simulant lots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8" t="str">
        <x:v>Simulant lot</x:v>
      </x:c>
      <x:c r="B5" s="8" t="str">
        <x:v>Role</x:v>
      </x:c>
      <x:c r="C5" s="8" t="str">
        <x:v>Event</x:v>
      </x:c>
      <x:c r="D5" s="8" t="str">
        <x:v>Abstract identity</x:v>
      </x:c>
      <x:c r="E5" s="8" t="str">
        <x:v>Gross kg</x:v>
      </x:c>
      <x:c r="F5" s="8" t="str">
        <x:v>Issue kg</x:v>
      </x:c>
      <x:c r="G5" s="8" t="str">
        <x:v>Assay kg</x:v>
      </x:c>
      <x:c r="H5" s="8" t="str">
        <x:v>Conditioning kg</x:v>
      </x:c>
      <x:c r="I5" s="8" t="str">
        <x:v>Quarantine kg</x:v>
      </x:c>
      <x:c r="J5" s="8" t="str">
        <x:v>Root A encoding</x:v>
      </x:c>
      <x:c r="K5" s="8" t="str">
        <x:v>Root B encoding</x:v>
      </x:c>
      <x:c r="L5" s="8" t="str">
        <x:v>Seal</x:v>
      </x:c>
      <x:c r="M5" s="8" t="str">
        <x:v>Laboratory decision</x:v>
      </x:c>
      <x:c r="N5" s="8" t="str">
        <x:v>State</x:v>
      </x:c>
    </x:row>
    <x:row r="6">
      <x:c r="A6" s="10" t="str">
        <x:v>SLOT-01</x:v>
      </x:c>
      <x:c r="B6" s="10" t="str">
        <x:v>PRIMARY</x:v>
      </x:c>
      <x:c r="C6" s="10" t="str">
        <x:v>EV-01</x:v>
      </x:c>
      <x:c r="D6" s="10" t="str">
        <x:f>IF('Code Schedule'!D6="","",'Code Schedule'!D6)</x:f>
        <x:v>S-1</x:v>
      </x:c>
      <x:c r="E6" s="10" t="n">
        <x:v>550</x:v>
      </x:c>
      <x:c r="F6" s="10" t="n">
        <x:v>500</x:v>
      </x:c>
      <x:c r="G6" s="10" t="n">
        <x:v>10</x:v>
      </x:c>
      <x:c r="H6" s="10" t="n">
        <x:v>20</x:v>
      </x:c>
      <x:c r="I6" s="10" t="n">
        <x:v>20</x:v>
      </x:c>
      <x:c r="J6" s="12"/>
      <x:c r="K6" s="12"/>
      <x:c r="L6" s="12"/>
      <x:c r="M6" s="12"/>
      <x:c r="N6" s="10" t="str">
        <x:f>IF(COUNTA(J6:M6)&lt;4,"OPEN",IF(ABS(E6-SUM(F6:I6))&gt;0.000001,"DENY",IF(AND(J6="ACCEPTED",K6="ACCEPTED",L6="ACCEPTED",M6="ACCEPTED"),IF(B6="REFERENCE","PROTECTED","RELEASED"),"DENY")))</x:f>
        <x:v>OPEN</x:v>
      </x:c>
    </x:row>
    <x:row r="7">
      <x:c r="A7" s="10" t="str">
        <x:v>SLOT-02</x:v>
      </x:c>
      <x:c r="B7" s="10" t="str">
        <x:v>PRIMARY</x:v>
      </x:c>
      <x:c r="C7" s="10" t="str">
        <x:v>EV-02</x:v>
      </x:c>
      <x:c r="D7" s="10" t="str">
        <x:f>IF('Code Schedule'!D7="","",'Code Schedule'!D7)</x:f>
        <x:v>S-2</x:v>
      </x:c>
      <x:c r="E7" s="10" t="n">
        <x:v>550</x:v>
      </x:c>
      <x:c r="F7" s="10" t="n">
        <x:v>500</x:v>
      </x:c>
      <x:c r="G7" s="10" t="n">
        <x:v>10</x:v>
      </x:c>
      <x:c r="H7" s="10" t="n">
        <x:v>20</x:v>
      </x:c>
      <x:c r="I7" s="10" t="n">
        <x:v>20</x:v>
      </x:c>
      <x:c r="J7" s="12"/>
      <x:c r="K7" s="12"/>
      <x:c r="L7" s="12"/>
      <x:c r="M7" s="12"/>
      <x:c r="N7" s="10" t="str">
        <x:f>IF(COUNTA(J7:M7)&lt;4,"OPEN",IF(ABS(E7-SUM(F7:I7))&gt;0.000001,"DENY",IF(AND(J7="ACCEPTED",K7="ACCEPTED",L7="ACCEPTED",M7="ACCEPTED"),IF(B7="REFERENCE","PROTECTED","RELEASED"),"DENY")))</x:f>
        <x:v>OPEN</x:v>
      </x:c>
    </x:row>
    <x:row r="8">
      <x:c r="A8" s="10" t="str">
        <x:v>SLOT-03</x:v>
      </x:c>
      <x:c r="B8" s="10" t="str">
        <x:v>PRIMARY</x:v>
      </x:c>
      <x:c r="C8" s="10" t="str">
        <x:v>EV-03</x:v>
      </x:c>
      <x:c r="D8" s="10" t="str">
        <x:f>IF('Code Schedule'!D8="","",'Code Schedule'!D8)</x:f>
        <x:v>S-3</x:v>
      </x:c>
      <x:c r="E8" s="10" t="n">
        <x:v>550</x:v>
      </x:c>
      <x:c r="F8" s="10" t="n">
        <x:v>500</x:v>
      </x:c>
      <x:c r="G8" s="10" t="n">
        <x:v>10</x:v>
      </x:c>
      <x:c r="H8" s="10" t="n">
        <x:v>20</x:v>
      </x:c>
      <x:c r="I8" s="10" t="n">
        <x:v>20</x:v>
      </x:c>
      <x:c r="J8" s="12"/>
      <x:c r="K8" s="12"/>
      <x:c r="L8" s="12"/>
      <x:c r="M8" s="12"/>
      <x:c r="N8" s="10" t="str">
        <x:f>IF(COUNTA(J8:M8)&lt;4,"OPEN",IF(ABS(E8-SUM(F8:I8))&gt;0.000001,"DENY",IF(AND(J8="ACCEPTED",K8="ACCEPTED",L8="ACCEPTED",M8="ACCEPTED"),IF(B8="REFERENCE","PROTECTED","RELEASED"),"DENY")))</x:f>
        <x:v>OPEN</x:v>
      </x:c>
    </x:row>
    <x:row r="9">
      <x:c r="A9" s="10" t="str">
        <x:v>SLOT-04</x:v>
      </x:c>
      <x:c r="B9" s="10" t="str">
        <x:v>PRIMARY</x:v>
      </x:c>
      <x:c r="C9" s="10" t="str">
        <x:v>EV-04</x:v>
      </x:c>
      <x:c r="D9" s="10" t="str">
        <x:f>IF('Code Schedule'!D9="","",'Code Schedule'!D9)</x:f>
        <x:v>S-4</x:v>
      </x:c>
      <x:c r="E9" s="10" t="n">
        <x:v>550</x:v>
      </x:c>
      <x:c r="F9" s="10" t="n">
        <x:v>500</x:v>
      </x:c>
      <x:c r="G9" s="10" t="n">
        <x:v>10</x:v>
      </x:c>
      <x:c r="H9" s="10" t="n">
        <x:v>20</x:v>
      </x:c>
      <x:c r="I9" s="10" t="n">
        <x:v>20</x:v>
      </x:c>
      <x:c r="J9" s="12"/>
      <x:c r="K9" s="12"/>
      <x:c r="L9" s="12"/>
      <x:c r="M9" s="12"/>
      <x:c r="N9" s="10" t="str">
        <x:f>IF(COUNTA(J9:M9)&lt;4,"OPEN",IF(ABS(E9-SUM(F9:I9))&gt;0.000001,"DENY",IF(AND(J9="ACCEPTED",K9="ACCEPTED",L9="ACCEPTED",M9="ACCEPTED"),IF(B9="REFERENCE","PROTECTED","RELEASED"),"DENY")))</x:f>
        <x:v>OPEN</x:v>
      </x:c>
    </x:row>
    <x:row r="10">
      <x:c r="A10" s="10" t="str">
        <x:v>SLOT-05</x:v>
      </x:c>
      <x:c r="B10" s="10" t="str">
        <x:v>PRIMARY</x:v>
      </x:c>
      <x:c r="C10" s="10" t="str">
        <x:v>EV-05</x:v>
      </x:c>
      <x:c r="D10" s="10" t="str">
        <x:f>IF('Code Schedule'!D10="","",'Code Schedule'!D10)</x:f>
        <x:v>S-1</x:v>
      </x:c>
      <x:c r="E10" s="10" t="n">
        <x:v>550</x:v>
      </x:c>
      <x:c r="F10" s="10" t="n">
        <x:v>500</x:v>
      </x:c>
      <x:c r="G10" s="10" t="n">
        <x:v>10</x:v>
      </x:c>
      <x:c r="H10" s="10" t="n">
        <x:v>20</x:v>
      </x:c>
      <x:c r="I10" s="10" t="n">
        <x:v>20</x:v>
      </x:c>
      <x:c r="J10" s="12"/>
      <x:c r="K10" s="12"/>
      <x:c r="L10" s="12"/>
      <x:c r="M10" s="12"/>
      <x:c r="N10" s="10" t="str">
        <x:f>IF(COUNTA(J10:M10)&lt;4,"OPEN",IF(ABS(E10-SUM(F10:I10))&gt;0.000001,"DENY",IF(AND(J10="ACCEPTED",K10="ACCEPTED",L10="ACCEPTED",M10="ACCEPTED"),IF(B10="REFERENCE","PROTECTED","RELEASED"),"DENY")))</x:f>
        <x:v>OPEN</x:v>
      </x:c>
    </x:row>
    <x:row r="11">
      <x:c r="A11" s="10" t="str">
        <x:v>SLOT-06</x:v>
      </x:c>
      <x:c r="B11" s="10" t="str">
        <x:v>PRIMARY</x:v>
      </x:c>
      <x:c r="C11" s="10" t="str">
        <x:v>EV-06</x:v>
      </x:c>
      <x:c r="D11" s="10" t="str">
        <x:f>IF('Code Schedule'!D11="","",'Code Schedule'!D11)</x:f>
        <x:v>S-2</x:v>
      </x:c>
      <x:c r="E11" s="10" t="n">
        <x:v>550</x:v>
      </x:c>
      <x:c r="F11" s="10" t="n">
        <x:v>500</x:v>
      </x:c>
      <x:c r="G11" s="10" t="n">
        <x:v>10</x:v>
      </x:c>
      <x:c r="H11" s="10" t="n">
        <x:v>20</x:v>
      </x:c>
      <x:c r="I11" s="10" t="n">
        <x:v>20</x:v>
      </x:c>
      <x:c r="J11" s="12"/>
      <x:c r="K11" s="12"/>
      <x:c r="L11" s="12"/>
      <x:c r="M11" s="12"/>
      <x:c r="N11" s="10" t="str">
        <x:f>IF(COUNTA(J11:M11)&lt;4,"OPEN",IF(ABS(E11-SUM(F11:I11))&gt;0.000001,"DENY",IF(AND(J11="ACCEPTED",K11="ACCEPTED",L11="ACCEPTED",M11="ACCEPTED"),IF(B11="REFERENCE","PROTECTED","RELEASED"),"DENY")))</x:f>
        <x:v>OPEN</x:v>
      </x:c>
    </x:row>
    <x:row r="12">
      <x:c r="A12" s="10" t="str">
        <x:v>SLOT-07</x:v>
      </x:c>
      <x:c r="B12" s="10" t="str">
        <x:v>PRIMARY</x:v>
      </x:c>
      <x:c r="C12" s="10" t="str">
        <x:v>EV-07</x:v>
      </x:c>
      <x:c r="D12" s="10" t="str">
        <x:f>IF('Code Schedule'!D12="","",'Code Schedule'!D12)</x:f>
        <x:v>S-3</x:v>
      </x:c>
      <x:c r="E12" s="10" t="n">
        <x:v>550</x:v>
      </x:c>
      <x:c r="F12" s="10" t="n">
        <x:v>500</x:v>
      </x:c>
      <x:c r="G12" s="10" t="n">
        <x:v>10</x:v>
      </x:c>
      <x:c r="H12" s="10" t="n">
        <x:v>20</x:v>
      </x:c>
      <x:c r="I12" s="10" t="n">
        <x:v>20</x:v>
      </x:c>
      <x:c r="J12" s="12"/>
      <x:c r="K12" s="12"/>
      <x:c r="L12" s="12"/>
      <x:c r="M12" s="12"/>
      <x:c r="N12" s="10" t="str">
        <x:f>IF(COUNTA(J12:M12)&lt;4,"OPEN",IF(ABS(E12-SUM(F12:I12))&gt;0.000001,"DENY",IF(AND(J12="ACCEPTED",K12="ACCEPTED",L12="ACCEPTED",M12="ACCEPTED"),IF(B12="REFERENCE","PROTECTED","RELEASED"),"DENY")))</x:f>
        <x:v>OPEN</x:v>
      </x:c>
    </x:row>
    <x:row r="13">
      <x:c r="A13" s="10" t="str">
        <x:v>SLOT-08</x:v>
      </x:c>
      <x:c r="B13" s="10" t="str">
        <x:v>PRIMARY</x:v>
      </x:c>
      <x:c r="C13" s="10" t="str">
        <x:v>EV-08</x:v>
      </x:c>
      <x:c r="D13" s="10" t="str">
        <x:f>IF('Code Schedule'!D13="","",'Code Schedule'!D13)</x:f>
        <x:v>S-4</x:v>
      </x:c>
      <x:c r="E13" s="10" t="n">
        <x:v>550</x:v>
      </x:c>
      <x:c r="F13" s="10" t="n">
        <x:v>500</x:v>
      </x:c>
      <x:c r="G13" s="10" t="n">
        <x:v>10</x:v>
      </x:c>
      <x:c r="H13" s="10" t="n">
        <x:v>20</x:v>
      </x:c>
      <x:c r="I13" s="10" t="n">
        <x:v>20</x:v>
      </x:c>
      <x:c r="J13" s="12"/>
      <x:c r="K13" s="12"/>
      <x:c r="L13" s="12"/>
      <x:c r="M13" s="12"/>
      <x:c r="N13" s="10" t="str">
        <x:f>IF(COUNTA(J13:M13)&lt;4,"OPEN",IF(ABS(E13-SUM(F13:I13))&gt;0.000001,"DENY",IF(AND(J13="ACCEPTED",K13="ACCEPTED",L13="ACCEPTED",M13="ACCEPTED"),IF(B13="REFERENCE","PROTECTED","RELEASED"),"DENY")))</x:f>
        <x:v>OPEN</x:v>
      </x:c>
    </x:row>
    <x:row r="14">
      <x:c r="A14" s="10" t="str">
        <x:v>SLOT-09</x:v>
      </x:c>
      <x:c r="B14" s="10" t="str">
        <x:v>PRIMARY</x:v>
      </x:c>
      <x:c r="C14" s="10" t="str">
        <x:v>EV-09</x:v>
      </x:c>
      <x:c r="D14" s="10" t="str">
        <x:f>IF('Code Schedule'!D14="","",'Code Schedule'!D14)</x:f>
        <x:v>S-1</x:v>
      </x:c>
      <x:c r="E14" s="10" t="n">
        <x:v>550</x:v>
      </x:c>
      <x:c r="F14" s="10" t="n">
        <x:v>500</x:v>
      </x:c>
      <x:c r="G14" s="10" t="n">
        <x:v>10</x:v>
      </x:c>
      <x:c r="H14" s="10" t="n">
        <x:v>20</x:v>
      </x:c>
      <x:c r="I14" s="10" t="n">
        <x:v>20</x:v>
      </x:c>
      <x:c r="J14" s="12"/>
      <x:c r="K14" s="12"/>
      <x:c r="L14" s="12"/>
      <x:c r="M14" s="12"/>
      <x:c r="N14" s="10" t="str">
        <x:f>IF(COUNTA(J14:M14)&lt;4,"OPEN",IF(ABS(E14-SUM(F14:I14))&gt;0.000001,"DENY",IF(AND(J14="ACCEPTED",K14="ACCEPTED",L14="ACCEPTED",M14="ACCEPTED"),IF(B14="REFERENCE","PROTECTED","RELEASED"),"DENY")))</x:f>
        <x:v>OPEN</x:v>
      </x:c>
    </x:row>
    <x:row r="15">
      <x:c r="A15" s="10" t="str">
        <x:v>SLOT-10</x:v>
      </x:c>
      <x:c r="B15" s="10" t="str">
        <x:v>PRIMARY</x:v>
      </x:c>
      <x:c r="C15" s="10" t="str">
        <x:v>EV-10</x:v>
      </x:c>
      <x:c r="D15" s="10" t="str">
        <x:f>IF('Code Schedule'!D15="","",'Code Schedule'!D15)</x:f>
        <x:v>S-2</x:v>
      </x:c>
      <x:c r="E15" s="10" t="n">
        <x:v>550</x:v>
      </x:c>
      <x:c r="F15" s="10" t="n">
        <x:v>500</x:v>
      </x:c>
      <x:c r="G15" s="10" t="n">
        <x:v>10</x:v>
      </x:c>
      <x:c r="H15" s="10" t="n">
        <x:v>20</x:v>
      </x:c>
      <x:c r="I15" s="10" t="n">
        <x:v>20</x:v>
      </x:c>
      <x:c r="J15" s="12"/>
      <x:c r="K15" s="12"/>
      <x:c r="L15" s="12"/>
      <x:c r="M15" s="12"/>
      <x:c r="N15" s="10" t="str">
        <x:f>IF(COUNTA(J15:M15)&lt;4,"OPEN",IF(ABS(E15-SUM(F15:I15))&gt;0.000001,"DENY",IF(AND(J15="ACCEPTED",K15="ACCEPTED",L15="ACCEPTED",M15="ACCEPTED"),IF(B15="REFERENCE","PROTECTED","RELEASED"),"DENY")))</x:f>
        <x:v>OPEN</x:v>
      </x:c>
    </x:row>
    <x:row r="16">
      <x:c r="A16" s="10" t="str">
        <x:v>SLOT-11</x:v>
      </x:c>
      <x:c r="B16" s="10" t="str">
        <x:v>PRIMARY</x:v>
      </x:c>
      <x:c r="C16" s="10" t="str">
        <x:v>EV-11</x:v>
      </x:c>
      <x:c r="D16" s="10" t="str">
        <x:f>IF('Code Schedule'!D16="","",'Code Schedule'!D16)</x:f>
        <x:v>S-3</x:v>
      </x:c>
      <x:c r="E16" s="10" t="n">
        <x:v>550</x:v>
      </x:c>
      <x:c r="F16" s="10" t="n">
        <x:v>500</x:v>
      </x:c>
      <x:c r="G16" s="10" t="n">
        <x:v>10</x:v>
      </x:c>
      <x:c r="H16" s="10" t="n">
        <x:v>20</x:v>
      </x:c>
      <x:c r="I16" s="10" t="n">
        <x:v>20</x:v>
      </x:c>
      <x:c r="J16" s="12"/>
      <x:c r="K16" s="12"/>
      <x:c r="L16" s="12"/>
      <x:c r="M16" s="12"/>
      <x:c r="N16" s="10" t="str">
        <x:f>IF(COUNTA(J16:M16)&lt;4,"OPEN",IF(ABS(E16-SUM(F16:I16))&gt;0.000001,"DENY",IF(AND(J16="ACCEPTED",K16="ACCEPTED",L16="ACCEPTED",M16="ACCEPTED"),IF(B16="REFERENCE","PROTECTED","RELEASED"),"DENY")))</x:f>
        <x:v>OPEN</x:v>
      </x:c>
    </x:row>
    <x:row r="17">
      <x:c r="A17" s="10" t="str">
        <x:v>SLOT-12</x:v>
      </x:c>
      <x:c r="B17" s="10" t="str">
        <x:v>PRIMARY</x:v>
      </x:c>
      <x:c r="C17" s="10" t="str">
        <x:v>EV-12</x:v>
      </x:c>
      <x:c r="D17" s="10" t="str">
        <x:f>IF('Code Schedule'!D17="","",'Code Schedule'!D17)</x:f>
        <x:v>S-4</x:v>
      </x:c>
      <x:c r="E17" s="10" t="n">
        <x:v>550</x:v>
      </x:c>
      <x:c r="F17" s="10" t="n">
        <x:v>500</x:v>
      </x:c>
      <x:c r="G17" s="10" t="n">
        <x:v>10</x:v>
      </x:c>
      <x:c r="H17" s="10" t="n">
        <x:v>20</x:v>
      </x:c>
      <x:c r="I17" s="10" t="n">
        <x:v>20</x:v>
      </x:c>
      <x:c r="J17" s="12"/>
      <x:c r="K17" s="12"/>
      <x:c r="L17" s="12"/>
      <x:c r="M17" s="12"/>
      <x:c r="N17" s="10" t="str">
        <x:f>IF(COUNTA(J17:M17)&lt;4,"OPEN",IF(ABS(E17-SUM(F17:I17))&gt;0.000001,"DENY",IF(AND(J17="ACCEPTED",K17="ACCEPTED",L17="ACCEPTED",M17="ACCEPTED"),IF(B17="REFERENCE","PROTECTED","RELEASED"),"DENY")))</x:f>
        <x:v>OPEN</x:v>
      </x:c>
    </x:row>
    <x:row r="18">
      <x:c r="A18" s="10" t="str">
        <x:v>SLOT-13</x:v>
      </x:c>
      <x:c r="B18" s="10" t="str">
        <x:v>RESERVE</x:v>
      </x:c>
      <x:c r="C18" s="10" t="str">
        <x:v>EV-13</x:v>
      </x:c>
      <x:c r="D18" s="10" t="str">
        <x:f>IF('Code Schedule'!D18="","",'Code Schedule'!D18)</x:f>
      </x:c>
      <x:c r="E18" s="10" t="n">
        <x:v>550</x:v>
      </x:c>
      <x:c r="F18" s="10" t="n">
        <x:v>500</x:v>
      </x:c>
      <x:c r="G18" s="10" t="n">
        <x:v>10</x:v>
      </x:c>
      <x:c r="H18" s="10" t="n">
        <x:v>20</x:v>
      </x:c>
      <x:c r="I18" s="10" t="n">
        <x:v>20</x:v>
      </x:c>
      <x:c r="J18" s="12"/>
      <x:c r="K18" s="12"/>
      <x:c r="L18" s="12"/>
      <x:c r="M18" s="12"/>
      <x:c r="N18" s="10" t="str">
        <x:f>IF(COUNTA(J18:M18)&lt;4,"OPEN",IF(ABS(E18-SUM(F18:I18))&gt;0.000001,"DENY",IF(AND(J18="ACCEPTED",K18="ACCEPTED",L18="ACCEPTED",M18="ACCEPTED"),IF(B18="REFERENCE","PROTECTED","RELEASED"),"DENY")))</x:f>
        <x:v>OPEN</x:v>
      </x:c>
    </x:row>
    <x:row r="19">
      <x:c r="A19" s="10" t="str">
        <x:v>SLOT-14</x:v>
      </x:c>
      <x:c r="B19" s="10" t="str">
        <x:v>RESERVE</x:v>
      </x:c>
      <x:c r="C19" s="10" t="str">
        <x:v>EV-14</x:v>
      </x:c>
      <x:c r="D19" s="10" t="str">
        <x:f>IF('Code Schedule'!D19="","",'Code Schedule'!D19)</x:f>
      </x:c>
      <x:c r="E19" s="10" t="n">
        <x:v>550</x:v>
      </x:c>
      <x:c r="F19" s="10" t="n">
        <x:v>500</x:v>
      </x:c>
      <x:c r="G19" s="10" t="n">
        <x:v>10</x:v>
      </x:c>
      <x:c r="H19" s="10" t="n">
        <x:v>20</x:v>
      </x:c>
      <x:c r="I19" s="10" t="n">
        <x:v>20</x:v>
      </x:c>
      <x:c r="J19" s="12"/>
      <x:c r="K19" s="12"/>
      <x:c r="L19" s="12"/>
      <x:c r="M19" s="12"/>
      <x:c r="N19" s="10" t="str">
        <x:f>IF(COUNTA(J19:M19)&lt;4,"OPEN",IF(ABS(E19-SUM(F19:I19))&gt;0.000001,"DENY",IF(AND(J19="ACCEPTED",K19="ACCEPTED",L19="ACCEPTED",M19="ACCEPTED"),IF(B19="REFERENCE","PROTECTED","RELEASED"),"DENY")))</x:f>
        <x:v>OPEN</x:v>
      </x:c>
    </x:row>
    <x:row r="20">
      <x:c r="A20" s="10" t="str">
        <x:v>SLOT-15</x:v>
      </x:c>
      <x:c r="B20" s="10" t="str">
        <x:v>RESERVE</x:v>
      </x:c>
      <x:c r="C20" s="10" t="str">
        <x:v>EV-15</x:v>
      </x:c>
      <x:c r="D20" s="10" t="str">
        <x:f>IF('Code Schedule'!D20="","",'Code Schedule'!D20)</x:f>
      </x:c>
      <x:c r="E20" s="10" t="n">
        <x:v>550</x:v>
      </x:c>
      <x:c r="F20" s="10" t="n">
        <x:v>500</x:v>
      </x:c>
      <x:c r="G20" s="10" t="n">
        <x:v>10</x:v>
      </x:c>
      <x:c r="H20" s="10" t="n">
        <x:v>20</x:v>
      </x:c>
      <x:c r="I20" s="10" t="n">
        <x:v>20</x:v>
      </x:c>
      <x:c r="J20" s="12"/>
      <x:c r="K20" s="12"/>
      <x:c r="L20" s="12"/>
      <x:c r="M20" s="12"/>
      <x:c r="N20" s="10" t="str">
        <x:f>IF(COUNTA(J20:M20)&lt;4,"OPEN",IF(ABS(E20-SUM(F20:I20))&gt;0.000001,"DENY",IF(AND(J20="ACCEPTED",K20="ACCEPTED",L20="ACCEPTED",M20="ACCEPTED"),IF(B20="REFERENCE","PROTECTED","RELEASED"),"DENY")))</x:f>
        <x:v>OPEN</x:v>
      </x:c>
    </x:row>
    <x:row r="21">
      <x:c r="A21" s="10" t="str">
        <x:v>SLOT-16</x:v>
      </x:c>
      <x:c r="B21" s="10" t="str">
        <x:v>RESERVE</x:v>
      </x:c>
      <x:c r="C21" s="10" t="str">
        <x:v>EV-16</x:v>
      </x:c>
      <x:c r="D21" s="10" t="str">
        <x:f>IF('Code Schedule'!D21="","",'Code Schedule'!D21)</x:f>
      </x:c>
      <x:c r="E21" s="10" t="n">
        <x:v>550</x:v>
      </x:c>
      <x:c r="F21" s="10" t="n">
        <x:v>500</x:v>
      </x:c>
      <x:c r="G21" s="10" t="n">
        <x:v>10</x:v>
      </x:c>
      <x:c r="H21" s="10" t="n">
        <x:v>20</x:v>
      </x:c>
      <x:c r="I21" s="10" t="n">
        <x:v>20</x:v>
      </x:c>
      <x:c r="J21" s="12"/>
      <x:c r="K21" s="12"/>
      <x:c r="L21" s="12"/>
      <x:c r="M21" s="12"/>
      <x:c r="N21" s="10" t="str">
        <x:f>IF(COUNTA(J21:M21)&lt;4,"OPEN",IF(ABS(E21-SUM(F21:I21))&gt;0.000001,"DENY",IF(AND(J21="ACCEPTED",K21="ACCEPTED",L21="ACCEPTED",M21="ACCEPTED"),IF(B21="REFERENCE","PROTECTED","RELEASED"),"DENY")))</x:f>
        <x:v>OPEN</x:v>
      </x:c>
    </x:row>
    <x:row r="22">
      <x:c r="A22" s="10" t="str">
        <x:v>SLOT-17</x:v>
      </x:c>
      <x:c r="B22" s="10" t="str">
        <x:v>REFERENCE</x:v>
      </x:c>
      <x:c r="C22" s="10"/>
      <x:c r="D22" s="10" t="str">
        <x:v>REFERENCE</x:v>
      </x:c>
      <x:c r="E22" s="10" t="n">
        <x:v>550</x:v>
      </x:c>
      <x:c r="F22" s="10" t="n">
        <x:v>500</x:v>
      </x:c>
      <x:c r="G22" s="10" t="n">
        <x:v>10</x:v>
      </x:c>
      <x:c r="H22" s="10" t="n">
        <x:v>20</x:v>
      </x:c>
      <x:c r="I22" s="10" t="n">
        <x:v>20</x:v>
      </x:c>
      <x:c r="J22" s="12"/>
      <x:c r="K22" s="12"/>
      <x:c r="L22" s="12"/>
      <x:c r="M22" s="12"/>
      <x:c r="N22" s="10" t="str">
        <x:f>IF(COUNTA(J22:M22)&lt;4,"OPEN",IF(ABS(E22-SUM(F22:I22))&gt;0.000001,"DENY",IF(AND(J22="ACCEPTED",K22="ACCEPTED",L22="ACCEPTED",M22="ACCEPTED"),IF(B22="REFERENCE","PROTECTED","RELEASED"),"DENY")))</x:f>
        <x:v>OPEN</x:v>
      </x:c>
    </x:row>
    <x:row r="23">
      <x:c r="A23" s="10" t="str">
        <x:v>SLOT-18</x:v>
      </x:c>
      <x:c r="B23" s="10" t="str">
        <x:v>REFERENCE</x:v>
      </x:c>
      <x:c r="C23" s="10"/>
      <x:c r="D23" s="10" t="str">
        <x:v>REFERENCE</x:v>
      </x:c>
      <x:c r="E23" s="10" t="n">
        <x:v>550</x:v>
      </x:c>
      <x:c r="F23" s="10" t="n">
        <x:v>500</x:v>
      </x:c>
      <x:c r="G23" s="10" t="n">
        <x:v>10</x:v>
      </x:c>
      <x:c r="H23" s="10" t="n">
        <x:v>20</x:v>
      </x:c>
      <x:c r="I23" s="10" t="n">
        <x:v>20</x:v>
      </x:c>
      <x:c r="J23" s="12"/>
      <x:c r="K23" s="12"/>
      <x:c r="L23" s="12"/>
      <x:c r="M23" s="12"/>
      <x:c r="N23" s="10" t="str">
        <x:f>IF(COUNTA(J23:M23)&lt;4,"OPEN",IF(ABS(E23-SUM(F23:I23))&gt;0.000001,"DENY",IF(AND(J23="ACCEPTED",K23="ACCEPTED",L23="ACCEPTED",M23="ACCEPTED"),IF(B23="REFERENCE","PROTECTED","RELEASED"),"DENY")))</x:f>
        <x:v>OPEN</x:v>
      </x:c>
    </x:row>
  </x:sheetData>
  <x:mergeCells>
    <x:mergeCell ref="A2:N2"/>
  </x:mergeCells>
  <x:conditionalFormatting sqref="N6:N23">
    <x:cfRule type="containsText" dxfId="66" priority="1" operator="containsText" text="DENY"/>
    <x:cfRule type="containsText" dxfId="67" priority="2" operator="containsText" text="ADVERSE"/>
    <x:cfRule type="containsText" dxfId="68" priority="3" operator="containsText" text="FAIL"/>
    <x:cfRule type="containsText" dxfId="69" priority="4" operator="containsText" text="OPEN"/>
    <x:cfRule type="containsText" dxfId="70" priority="5" operator="containsText" text="BLOCKED"/>
    <x:cfRule type="containsText" dxfId="71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540228e1481f4d0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6" hidden="0" customWidth="1"/>
    <x:col min="5" max="5" width="13" hidden="0" customWidth="1"/>
    <x:col min="6" max="6" width="14" hidden="0" customWidth="1"/>
    <x:col min="7" max="7" width="15" hidden="0" customWidth="1"/>
    <x:col min="8" max="8" width="18" hidden="0" customWidth="1"/>
    <x:col min="9" max="9" width="15" hidden="0" customWidth="1"/>
    <x:col min="10" max="10" width="14" hidden="0" customWidth="1"/>
  </x:cols>
  <x:sheetData>
    <x:row r="2" ht="24" customHeight="1">
      <x:c r="A2" s="1" t="str">
        <x:v>Twelve exact ER-03 cells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8" t="str">
        <x:v>Cell</x:v>
      </x:c>
      <x:c r="B5" s="8" t="str">
        <x:v>Rig</x:v>
      </x:c>
      <x:c r="C5" s="8" t="str">
        <x:v>Campus</x:v>
      </x:c>
      <x:c r="D5" s="8" t="str">
        <x:v>Primary root</x:v>
      </x:c>
      <x:c r="E5" s="8" t="str">
        <x:v>Lineage</x:v>
      </x:c>
      <x:c r="F5" s="8" t="str">
        <x:v>Module</x:v>
      </x:c>
      <x:c r="G5" s="8" t="str">
        <x:v>Primary event</x:v>
      </x:c>
      <x:c r="H5" s="8" t="str">
        <x:v>Code pair</x:v>
      </x:c>
      <x:c r="I5" s="8" t="str">
        <x:v>Credit count</x:v>
      </x:c>
      <x:c r="J5" s="8" t="str">
        <x:v>State</x:v>
      </x:c>
    </x:row>
    <x:row r="6">
      <x:c r="A6" s="10" t="str">
        <x:v>CELL-01</x:v>
      </x:c>
      <x:c r="B6" s="10" t="str">
        <x:v>S0</x:v>
      </x:c>
      <x:c r="C6" s="10" t="str">
        <x:v>C-1</x:v>
      </x:c>
      <x:c r="D6" s="10" t="str">
        <x:f>IF('Pair Decision'!B16="","",'Pair Decision'!B16)</x:f>
      </x:c>
      <x:c r="E6" s="10" t="str">
        <x:v>BL-A</x:v>
      </x:c>
      <x:c r="F6" s="10" t="str">
        <x:v>ADM-01</x:v>
      </x:c>
      <x:c r="G6" s="10" t="str">
        <x:v>EV-01</x:v>
      </x:c>
      <x:c r="H6" s="10" t="str">
        <x:f>'Code Schedule'!E6</x:f>
        <x:v>W-A / S-1</x:v>
      </x:c>
      <x:c r="I6" s="10" t="n">
        <x:f>COUNTIFS('Event Register'!$D$8:$D$23,A6,'Event Register'!$AF$8:$AF$23,"CREDIT")</x:f>
        <x:v>0</x:v>
      </x:c>
      <x:c r="J6" s="10" t="str">
        <x:f>IF(D6="","OPEN",IF(I6=0,"OPEN",IF(I6=1,"CREDIT","DENY")))</x:f>
        <x:v>OPEN</x:v>
      </x:c>
    </x:row>
    <x:row r="7">
      <x:c r="A7" s="10" t="str">
        <x:v>CELL-02</x:v>
      </x:c>
      <x:c r="B7" s="10" t="str">
        <x:v>S0</x:v>
      </x:c>
      <x:c r="C7" s="10" t="str">
        <x:v>C-1</x:v>
      </x:c>
      <x:c r="D7" s="10" t="str">
        <x:f>IF('Pair Decision'!B17="","",'Pair Decision'!B17)</x:f>
      </x:c>
      <x:c r="E7" s="10" t="str">
        <x:v>BL-B</x:v>
      </x:c>
      <x:c r="F7" s="10" t="str">
        <x:v>ADM-02</x:v>
      </x:c>
      <x:c r="G7" s="10" t="str">
        <x:v>EV-02</x:v>
      </x:c>
      <x:c r="H7" s="10" t="str">
        <x:f>'Code Schedule'!E7</x:f>
        <x:v>W-B / S-2</x:v>
      </x:c>
      <x:c r="I7" s="10" t="n">
        <x:f>COUNTIFS('Event Register'!$D$8:$D$23,A7,'Event Register'!$AF$8:$AF$23,"CREDIT")</x:f>
        <x:v>0</x:v>
      </x:c>
      <x:c r="J7" s="10" t="str">
        <x:f>IF(D7="","OPEN",IF(I7=0,"OPEN",IF(I7=1,"CREDIT","DENY")))</x:f>
        <x:v>OPEN</x:v>
      </x:c>
    </x:row>
    <x:row r="8">
      <x:c r="A8" s="10" t="str">
        <x:v>CELL-03</x:v>
      </x:c>
      <x:c r="B8" s="10" t="str">
        <x:v>S1</x:v>
      </x:c>
      <x:c r="C8" s="10" t="str">
        <x:v>C-1</x:v>
      </x:c>
      <x:c r="D8" s="10" t="str">
        <x:f>IF('Pair Decision'!B16="","",'Pair Decision'!B16)</x:f>
      </x:c>
      <x:c r="E8" s="10" t="str">
        <x:v>BL-B</x:v>
      </x:c>
      <x:c r="F8" s="10" t="str">
        <x:v>ADM-03</x:v>
      </x:c>
      <x:c r="G8" s="10" t="str">
        <x:v>EV-03</x:v>
      </x:c>
      <x:c r="H8" s="10" t="str">
        <x:f>'Code Schedule'!E8</x:f>
        <x:v>W-C / S-3</x:v>
      </x:c>
      <x:c r="I8" s="10" t="n">
        <x:f>COUNTIFS('Event Register'!$D$8:$D$23,A8,'Event Register'!$AF$8:$AF$23,"CREDIT")</x:f>
        <x:v>0</x:v>
      </x:c>
      <x:c r="J8" s="10" t="str">
        <x:f>IF(D8="","OPEN",IF(I8=0,"OPEN",IF(I8=1,"CREDIT","DENY")))</x:f>
        <x:v>OPEN</x:v>
      </x:c>
    </x:row>
    <x:row r="9">
      <x:c r="A9" s="10" t="str">
        <x:v>CELL-04</x:v>
      </x:c>
      <x:c r="B9" s="10" t="str">
        <x:v>S1</x:v>
      </x:c>
      <x:c r="C9" s="10" t="str">
        <x:v>C-1</x:v>
      </x:c>
      <x:c r="D9" s="10" t="str">
        <x:f>IF('Pair Decision'!B17="","",'Pair Decision'!B17)</x:f>
      </x:c>
      <x:c r="E9" s="10" t="str">
        <x:v>BL-A</x:v>
      </x:c>
      <x:c r="F9" s="10" t="str">
        <x:v>ADM-04</x:v>
      </x:c>
      <x:c r="G9" s="10" t="str">
        <x:v>EV-04</x:v>
      </x:c>
      <x:c r="H9" s="10" t="str">
        <x:f>'Code Schedule'!E9</x:f>
        <x:v>W-A / S-4</x:v>
      </x:c>
      <x:c r="I9" s="10" t="n">
        <x:f>COUNTIFS('Event Register'!$D$8:$D$23,A9,'Event Register'!$AF$8:$AF$23,"CREDIT")</x:f>
        <x:v>0</x:v>
      </x:c>
      <x:c r="J9" s="10" t="str">
        <x:f>IF(D9="","OPEN",IF(I9=0,"OPEN",IF(I9=1,"CREDIT","DENY")))</x:f>
        <x:v>OPEN</x:v>
      </x:c>
    </x:row>
    <x:row r="10">
      <x:c r="A10" s="10" t="str">
        <x:v>CELL-05</x:v>
      </x:c>
      <x:c r="B10" s="10" t="str">
        <x:v>S2</x:v>
      </x:c>
      <x:c r="C10" s="10" t="str">
        <x:v>C-2</x:v>
      </x:c>
      <x:c r="D10" s="10" t="str">
        <x:f>IF('Pair Decision'!B16="","",'Pair Decision'!B16)</x:f>
      </x:c>
      <x:c r="E10" s="10" t="str">
        <x:v>BL-A</x:v>
      </x:c>
      <x:c r="F10" s="10" t="str">
        <x:v>ADM-05</x:v>
      </x:c>
      <x:c r="G10" s="10" t="str">
        <x:v>EV-05</x:v>
      </x:c>
      <x:c r="H10" s="10" t="str">
        <x:f>'Code Schedule'!E10</x:f>
        <x:v>W-B / S-1</x:v>
      </x:c>
      <x:c r="I10" s="10" t="n">
        <x:f>COUNTIFS('Event Register'!$D$8:$D$23,A10,'Event Register'!$AF$8:$AF$23,"CREDIT")</x:f>
        <x:v>0</x:v>
      </x:c>
      <x:c r="J10" s="10" t="str">
        <x:f>IF(D10="","OPEN",IF(I10=0,"OPEN",IF(I10=1,"CREDIT","DENY")))</x:f>
        <x:v>OPEN</x:v>
      </x:c>
    </x:row>
    <x:row r="11">
      <x:c r="A11" s="10" t="str">
        <x:v>CELL-06</x:v>
      </x:c>
      <x:c r="B11" s="10" t="str">
        <x:v>S2</x:v>
      </x:c>
      <x:c r="C11" s="10" t="str">
        <x:v>C-2</x:v>
      </x:c>
      <x:c r="D11" s="10" t="str">
        <x:f>IF('Pair Decision'!B17="","",'Pair Decision'!B17)</x:f>
      </x:c>
      <x:c r="E11" s="10" t="str">
        <x:v>BL-B</x:v>
      </x:c>
      <x:c r="F11" s="10" t="str">
        <x:v>ADM-06</x:v>
      </x:c>
      <x:c r="G11" s="10" t="str">
        <x:v>EV-06</x:v>
      </x:c>
      <x:c r="H11" s="10" t="str">
        <x:f>'Code Schedule'!E11</x:f>
        <x:v>W-C / S-2</x:v>
      </x:c>
      <x:c r="I11" s="10" t="n">
        <x:f>COUNTIFS('Event Register'!$D$8:$D$23,A11,'Event Register'!$AF$8:$AF$23,"CREDIT")</x:f>
        <x:v>0</x:v>
      </x:c>
      <x:c r="J11" s="10" t="str">
        <x:f>IF(D11="","OPEN",IF(I11=0,"OPEN",IF(I11=1,"CREDIT","DENY")))</x:f>
        <x:v>OPEN</x:v>
      </x:c>
    </x:row>
    <x:row r="12">
      <x:c r="A12" s="10" t="str">
        <x:v>CELL-07</x:v>
      </x:c>
      <x:c r="B12" s="10" t="str">
        <x:v>S3</x:v>
      </x:c>
      <x:c r="C12" s="10" t="str">
        <x:v>C-2</x:v>
      </x:c>
      <x:c r="D12" s="10" t="str">
        <x:f>IF('Pair Decision'!B16="","",'Pair Decision'!B16)</x:f>
      </x:c>
      <x:c r="E12" s="10" t="str">
        <x:v>BL-B</x:v>
      </x:c>
      <x:c r="F12" s="10" t="str">
        <x:v>ADM-07</x:v>
      </x:c>
      <x:c r="G12" s="10" t="str">
        <x:v>EV-07</x:v>
      </x:c>
      <x:c r="H12" s="10" t="str">
        <x:f>'Code Schedule'!E12</x:f>
        <x:v>W-A / S-3</x:v>
      </x:c>
      <x:c r="I12" s="10" t="n">
        <x:f>COUNTIFS('Event Register'!$D$8:$D$23,A12,'Event Register'!$AF$8:$AF$23,"CREDIT")</x:f>
        <x:v>0</x:v>
      </x:c>
      <x:c r="J12" s="10" t="str">
        <x:f>IF(D12="","OPEN",IF(I12=0,"OPEN",IF(I12=1,"CREDIT","DENY")))</x:f>
        <x:v>OPEN</x:v>
      </x:c>
    </x:row>
    <x:row r="13">
      <x:c r="A13" s="10" t="str">
        <x:v>CELL-08</x:v>
      </x:c>
      <x:c r="B13" s="10" t="str">
        <x:v>S3</x:v>
      </x:c>
      <x:c r="C13" s="10" t="str">
        <x:v>C-2</x:v>
      </x:c>
      <x:c r="D13" s="10" t="str">
        <x:f>IF('Pair Decision'!B17="","",'Pair Decision'!B17)</x:f>
      </x:c>
      <x:c r="E13" s="10" t="str">
        <x:v>BL-A</x:v>
      </x:c>
      <x:c r="F13" s="10" t="str">
        <x:v>ADM-08</x:v>
      </x:c>
      <x:c r="G13" s="10" t="str">
        <x:v>EV-08</x:v>
      </x:c>
      <x:c r="H13" s="10" t="str">
        <x:f>'Code Schedule'!E13</x:f>
        <x:v>W-B / S-4</x:v>
      </x:c>
      <x:c r="I13" s="10" t="n">
        <x:f>COUNTIFS('Event Register'!$D$8:$D$23,A13,'Event Register'!$AF$8:$AF$23,"CREDIT")</x:f>
        <x:v>0</x:v>
      </x:c>
      <x:c r="J13" s="10" t="str">
        <x:f>IF(D13="","OPEN",IF(I13=0,"OPEN",IF(I13=1,"CREDIT","DENY")))</x:f>
        <x:v>OPEN</x:v>
      </x:c>
    </x:row>
    <x:row r="14">
      <x:c r="A14" s="10" t="str">
        <x:v>CELL-09</x:v>
      </x:c>
      <x:c r="B14" s="10" t="str">
        <x:v>S4</x:v>
      </x:c>
      <x:c r="C14" s="10" t="str">
        <x:v>C-3</x:v>
      </x:c>
      <x:c r="D14" s="10" t="str">
        <x:f>IF('Pair Decision'!B16="","",'Pair Decision'!B16)</x:f>
      </x:c>
      <x:c r="E14" s="10" t="str">
        <x:v>BL-A</x:v>
      </x:c>
      <x:c r="F14" s="10" t="str">
        <x:v>ADM-09</x:v>
      </x:c>
      <x:c r="G14" s="10" t="str">
        <x:v>EV-09</x:v>
      </x:c>
      <x:c r="H14" s="10" t="str">
        <x:f>'Code Schedule'!E14</x:f>
        <x:v>W-C / S-1</x:v>
      </x:c>
      <x:c r="I14" s="10" t="n">
        <x:f>COUNTIFS('Event Register'!$D$8:$D$23,A14,'Event Register'!$AF$8:$AF$23,"CREDIT")</x:f>
        <x:v>0</x:v>
      </x:c>
      <x:c r="J14" s="10" t="str">
        <x:f>IF(D14="","OPEN",IF(I14=0,"OPEN",IF(I14=1,"CREDIT","DENY")))</x:f>
        <x:v>OPEN</x:v>
      </x:c>
    </x:row>
    <x:row r="15">
      <x:c r="A15" s="10" t="str">
        <x:v>CELL-10</x:v>
      </x:c>
      <x:c r="B15" s="10" t="str">
        <x:v>S4</x:v>
      </x:c>
      <x:c r="C15" s="10" t="str">
        <x:v>C-3</x:v>
      </x:c>
      <x:c r="D15" s="10" t="str">
        <x:f>IF('Pair Decision'!B17="","",'Pair Decision'!B17)</x:f>
      </x:c>
      <x:c r="E15" s="10" t="str">
        <x:v>BL-B</x:v>
      </x:c>
      <x:c r="F15" s="10" t="str">
        <x:v>ADM-10</x:v>
      </x:c>
      <x:c r="G15" s="10" t="str">
        <x:v>EV-10</x:v>
      </x:c>
      <x:c r="H15" s="10" t="str">
        <x:f>'Code Schedule'!E15</x:f>
        <x:v>W-A / S-2</x:v>
      </x:c>
      <x:c r="I15" s="10" t="n">
        <x:f>COUNTIFS('Event Register'!$D$8:$D$23,A15,'Event Register'!$AF$8:$AF$23,"CREDIT")</x:f>
        <x:v>0</x:v>
      </x:c>
      <x:c r="J15" s="10" t="str">
        <x:f>IF(D15="","OPEN",IF(I15=0,"OPEN",IF(I15=1,"CREDIT","DENY")))</x:f>
        <x:v>OPEN</x:v>
      </x:c>
    </x:row>
    <x:row r="16">
      <x:c r="A16" s="10" t="str">
        <x:v>CELL-11</x:v>
      </x:c>
      <x:c r="B16" s="10" t="str">
        <x:v>S5</x:v>
      </x:c>
      <x:c r="C16" s="10" t="str">
        <x:v>C-3</x:v>
      </x:c>
      <x:c r="D16" s="10" t="str">
        <x:f>IF('Pair Decision'!B16="","",'Pair Decision'!B16)</x:f>
      </x:c>
      <x:c r="E16" s="10" t="str">
        <x:v>BL-B</x:v>
      </x:c>
      <x:c r="F16" s="10" t="str">
        <x:v>ADM-11</x:v>
      </x:c>
      <x:c r="G16" s="10" t="str">
        <x:v>EV-11</x:v>
      </x:c>
      <x:c r="H16" s="10" t="str">
        <x:f>'Code Schedule'!E16</x:f>
        <x:v>W-B / S-3</x:v>
      </x:c>
      <x:c r="I16" s="10" t="n">
        <x:f>COUNTIFS('Event Register'!$D$8:$D$23,A16,'Event Register'!$AF$8:$AF$23,"CREDIT")</x:f>
        <x:v>0</x:v>
      </x:c>
      <x:c r="J16" s="10" t="str">
        <x:f>IF(D16="","OPEN",IF(I16=0,"OPEN",IF(I16=1,"CREDIT","DENY")))</x:f>
        <x:v>OPEN</x:v>
      </x:c>
    </x:row>
    <x:row r="17">
      <x:c r="A17" s="10" t="str">
        <x:v>CELL-12</x:v>
      </x:c>
      <x:c r="B17" s="10" t="str">
        <x:v>S5</x:v>
      </x:c>
      <x:c r="C17" s="10" t="str">
        <x:v>C-3</x:v>
      </x:c>
      <x:c r="D17" s="10" t="str">
        <x:f>IF('Pair Decision'!B17="","",'Pair Decision'!B17)</x:f>
      </x:c>
      <x:c r="E17" s="10" t="str">
        <x:v>BL-A</x:v>
      </x:c>
      <x:c r="F17" s="10" t="str">
        <x:v>ADM-12</x:v>
      </x:c>
      <x:c r="G17" s="10" t="str">
        <x:v>EV-12</x:v>
      </x:c>
      <x:c r="H17" s="10" t="str">
        <x:f>'Code Schedule'!E17</x:f>
        <x:v>W-C / S-4</x:v>
      </x:c>
      <x:c r="I17" s="10" t="n">
        <x:f>COUNTIFS('Event Register'!$D$8:$D$23,A17,'Event Register'!$AF$8:$AF$23,"CREDIT")</x:f>
        <x:v>0</x:v>
      </x:c>
      <x:c r="J17" s="10" t="str">
        <x:f>IF(D17="","OPEN",IF(I17=0,"OPEN",IF(I17=1,"CREDIT","DENY")))</x:f>
        <x:v>OPEN</x:v>
      </x:c>
    </x:row>
  </x:sheetData>
  <x:mergeCells>
    <x:mergeCell ref="A2:J2"/>
  </x:mergeCells>
  <x:conditionalFormatting sqref="J6:J17">
    <x:cfRule type="containsText" dxfId="72" priority="1" operator="containsText" text="DENY"/>
    <x:cfRule type="containsText" dxfId="73" priority="2" operator="containsText" text="ADVERSE"/>
    <x:cfRule type="containsText" dxfId="74" priority="3" operator="containsText" text="FAIL"/>
    <x:cfRule type="containsText" dxfId="75" priority="4" operator="containsText" text="OPEN"/>
    <x:cfRule type="containsText" dxfId="76" priority="5" operator="containsText" text="BLOCKED"/>
    <x:cfRule type="containsText" dxfId="77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cd0c82a2006f41f6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9" hidden="0" customWidth="1"/>
    <x:col min="5" max="5" width="14" hidden="0" customWidth="1"/>
    <x:col min="6" max="6" width="14" hidden="0" customWidth="1"/>
    <x:col min="7" max="7" width="15" hidden="0" customWidth="1"/>
    <x:col min="8" max="8" width="18" hidden="0" customWidth="1"/>
    <x:col min="9" max="9" width="20" hidden="0" customWidth="1"/>
    <x:col min="10" max="10" width="17" hidden="0" customWidth="1"/>
    <x:col min="11" max="11" width="20" hidden="0" customWidth="1"/>
    <x:col min="12" max="12" width="23" hidden="0" customWidth="1"/>
    <x:col min="13" max="13" width="25" hidden="0" customWidth="1"/>
    <x:col min="14" max="14" width="18" hidden="0" customWidth="1"/>
    <x:col min="15" max="15" width="19" hidden="0" customWidth="1"/>
    <x:col min="16" max="16" width="18" hidden="0" customWidth="1"/>
    <x:col min="17" max="17" width="18" hidden="0" customWidth="1"/>
    <x:col min="18" max="18" width="19" hidden="0" customWidth="1"/>
    <x:col min="19" max="19" width="21" hidden="0" customWidth="1"/>
    <x:col min="20" max="20" width="23" hidden="0" customWidth="1"/>
    <x:col min="21" max="21" width="17" hidden="0" customWidth="1"/>
    <x:col min="22" max="22" width="17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8" hidden="0" customWidth="1"/>
    <x:col min="28" max="28" width="19" hidden="0" customWidth="1"/>
    <x:col min="29" max="29" width="17" hidden="0" customWidth="1"/>
    <x:col min="30" max="30" width="15" hidden="0" customWidth="1"/>
    <x:col min="31" max="31" width="16" hidden="0" customWidth="1"/>
    <x:col min="32" max="32" width="20" hidden="0" customWidth="1"/>
  </x:cols>
  <x:sheetData>
    <x:row r="2" ht="24" customHeight="1">
      <x:c r="A2" s="1" t="str">
        <x:v>ER-03 class issue and credit register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 ht="38" customHeight="1">
      <x:c r="A5" s="4" t="str">
        <x:v>A credit requires physical zero source, prohibited ignition, zero casualty and environment transfer, two passing ancestry roots, clean separation, packet seals, threshold reveal, 672-hour return and outside replay. Blank evidence remains open.</x:v>
      </x:c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  <x:c r="AA5" s="25"/>
      <x:c r="AB5" s="25"/>
      <x:c r="AC5" s="25"/>
      <x:c r="AD5" s="25"/>
      <x:c r="AE5" s="25"/>
      <x:c r="AF5" s="25"/>
    </x:row>
    <x:row r="7">
      <x:c r="A7" s="8" t="str">
        <x:v>Event</x:v>
      </x:c>
      <x:c r="B7" s="8" t="str">
        <x:v>Role</x:v>
      </x:c>
      <x:c r="C7" s="8" t="str">
        <x:v>Primary root</x:v>
      </x:c>
      <x:c r="D7" s="8" t="str">
        <x:v>Exact cell</x:v>
      </x:c>
      <x:c r="E7" s="8" t="str">
        <x:v>Module</x:v>
      </x:c>
      <x:c r="F7" s="8" t="str">
        <x:v>Water lot</x:v>
      </x:c>
      <x:c r="G7" s="8" t="str">
        <x:v>Simulant lot</x:v>
      </x:c>
      <x:c r="H7" s="8" t="str">
        <x:v>Code pair</x:v>
      </x:c>
      <x:c r="I7" s="8" t="str">
        <x:v>Energetic source kg</x:v>
      </x:c>
      <x:c r="J7" s="8" t="str">
        <x:v>Ignition state</x:v>
      </x:c>
      <x:c r="K7" s="8" t="str">
        <x:v>Casualty water m³</x:v>
      </x:c>
      <x:c r="L7" s="8" t="str">
        <x:v>Environment water m³</x:v>
      </x:c>
      <x:c r="M7" s="8" t="str">
        <x:v>Environment simulant kg</x:v>
      </x:c>
      <x:c r="N7" s="8" t="str">
        <x:v>Water issued m³</x:v>
      </x:c>
      <x:c r="O7" s="8" t="str">
        <x:v>Simulant issued kg</x:v>
      </x:c>
      <x:c r="P7" s="8" t="str">
        <x:v>Zone coefficient</x:v>
      </x:c>
      <x:c r="Q7" s="8" t="str">
        <x:v>Water accounted</x:v>
      </x:c>
      <x:c r="R7" s="8" t="str">
        <x:v>Simulant accounted</x:v>
      </x:c>
      <x:c r="S7" s="8" t="str">
        <x:v>Water unexplained m³</x:v>
      </x:c>
      <x:c r="T7" s="8" t="str">
        <x:v>Simulant unexplained kg</x:v>
      </x:c>
      <x:c r="U7" s="8" t="str">
        <x:v>Ancestry</x:v>
      </x:c>
      <x:c r="V7" s="8" t="str">
        <x:v>Separation</x:v>
      </x:c>
      <x:c r="W7" s="8" t="str">
        <x:v>Gates</x:v>
      </x:c>
      <x:c r="X7" s="8" t="str">
        <x:v>Evidence</x:v>
      </x:c>
      <x:c r="Y7" s="8" t="str">
        <x:v>Return</x:v>
      </x:c>
      <x:c r="Z7" s="8" t="str">
        <x:v>Replay</x:v>
      </x:c>
      <x:c r="AA7" s="8" t="str">
        <x:v>Water lot state</x:v>
      </x:c>
      <x:c r="AB7" s="8" t="str">
        <x:v>Simulant lot state</x:v>
      </x:c>
      <x:c r="AC7" s="8" t="str">
        <x:v>Module state</x:v>
      </x:c>
      <x:c r="AD7" s="8" t="str">
        <x:v>Code state</x:v>
      </x:c>
      <x:c r="AE7" s="8" t="str">
        <x:v>Intervention</x:v>
      </x:c>
      <x:c r="AF7" s="8" t="str">
        <x:v>Disposition</x:v>
      </x:c>
    </x:row>
    <x:row r="8">
      <x:c r="A8" s="10" t="str">
        <x:v>EV-01</x:v>
      </x:c>
      <x:c r="B8" s="10" t="str">
        <x:v>PRIMARY</x:v>
      </x:c>
      <x:c r="C8" s="10" t="str">
        <x:f>IF('Pair Decision'!B16="","",'Pair Decision'!B16)</x:f>
      </x:c>
      <x:c r="D8" s="10" t="str">
        <x:v>CELL-01</x:v>
      </x:c>
      <x:c r="E8" s="10" t="str">
        <x:v>ADM-01</x:v>
      </x:c>
      <x:c r="F8" s="10" t="str">
        <x:v>WLOT-01</x:v>
      </x:c>
      <x:c r="G8" s="10" t="str">
        <x:v>SLOT-01</x:v>
      </x:c>
      <x:c r="H8" s="10" t="str">
        <x:f>IF('Code Schedule'!E6="","",'Code Schedule'!E6)</x:f>
        <x:v>W-A / S-1</x:v>
      </x:c>
      <x:c r="I8" s="12"/>
      <x:c r="J8" s="12"/>
      <x:c r="K8" s="12"/>
      <x:c r="L8" s="12"/>
      <x:c r="M8" s="12"/>
      <x:c r="N8" s="10" t="str">
        <x:f>IF('Water Ledger'!B6="","",'Water Ledger'!B6)</x:f>
      </x:c>
      <x:c r="O8" s="10" t="str">
        <x:f>IF('Simulant Ledger'!B6="","",'Simulant Ledger'!B6)</x:f>
      </x:c>
      <x:c r="P8" s="12"/>
      <x:c r="Q8" s="10" t="str">
        <x:f>IF('Water Ledger'!N6="OPEN","",'Water Ledger'!M6)</x:f>
      </x:c>
      <x:c r="R8" s="10" t="str">
        <x:f>IF('Simulant Ledger'!N6="OPEN","",'Simulant Ledger'!M6)</x:f>
      </x:c>
      <x:c r="S8" s="10" t="str">
        <x:f>IF('Water Ledger'!N6="OPEN","",'Water Ledger'!L6)</x:f>
      </x:c>
      <x:c r="T8" s="10" t="str">
        <x:f>IF('Simulant Ledger'!N6="OPEN","",'Simulant Ledger'!L6)</x:f>
      </x:c>
      <x:c r="U8" s="10" t="str">
        <x:f>'Ancestry Results'!N6</x:f>
        <x:v>OPEN</x:v>
      </x:c>
      <x:c r="V8" s="10" t="str">
        <x:f>Separation!D6</x:f>
        <x:v>OPEN</x:v>
      </x:c>
      <x:c r="W8" s="10" t="str">
        <x:f>'Event Gates'!D6</x:f>
        <x:v>OPEN</x:v>
      </x:c>
      <x:c r="X8" s="10" t="str">
        <x:f>'Evidence Objects'!L6</x:f>
        <x:v>OPEN</x:v>
      </x:c>
      <x:c r="Y8" s="10" t="str">
        <x:f>Return!N6</x:f>
        <x:v>OPEN</x:v>
      </x:c>
      <x:c r="Z8" s="10" t="str">
        <x:f>Replay!G6</x:f>
        <x:v>OPEN</x:v>
      </x:c>
      <x:c r="AA8" s="10" t="str">
        <x:f>INDEX('Water Lots'!$N$6:$N$23,MATCH(F8,'Water Lots'!$A$6:$A$23,0))</x:f>
        <x:v>OPEN</x:v>
      </x:c>
      <x:c r="AB8" s="10" t="str">
        <x:f>INDEX('Simulant Lots'!$N$6:$N$23,MATCH(G8,'Simulant Lots'!$A$6:$A$23,0))</x:f>
        <x:v>OPEN</x:v>
      </x:c>
      <x:c r="AC8" s="10" t="str">
        <x:f>INDEX('Module Bank'!$L$6:$L$23,MATCH(E8,'Module Bank'!$A$6:$A$23,0))</x:f>
        <x:v>OPEN</x:v>
      </x:c>
      <x:c r="AD8" s="10" t="str">
        <x:f>IF('Code Schedule'!J6="DORMANT","DORMANT",IF(OR('Code Schedule'!J6="OPEN",COUNTIF('Code Ledger'!P6:P7,"OPEN")&gt;0),"OPEN",IF(AND('Code Schedule'!J6="ACCEPTED",COUNTIF('Code Ledger'!P6:P7,"PASS")=2),"ACCEPTED","DENY")))</x:f>
        <x:v>OPEN</x:v>
      </x:c>
      <x:c r="AE8" s="12"/>
      <x:c r="AF8" s="10" t="str">
        <x:f>IF(OR(C8="",H8="",COUNT(I8:M8)&lt;4,J8="",N8="",O8="",P8="",AE8="",U8="OPEN",V8="OPEN",W8="OPEN",X8="OPEN",Y8="OPEN",Z8="OPEN",AA8="OPEN",AB8="OPEN",AC8="OPEN",AD8="OPEN",AD8="DORMANT"),"OPEN",IF(AND(I8=0,J8="PROHIBITED",K8=0,L8=0,M8=0,N8&gt;='Assumptions'!$B$34,N8&lt;='Assumptions'!$B$35,O8&gt;='Assumptions'!$B$36,O8&lt;='Assumptions'!$B$37,P8&lt;='Assumptions'!$B$47,Q8&gt;='Assumptions'!$B$38,R8&gt;='Assumptions'!$B$38,ABS(S8)&lt;='Assumptions'!$B$43,ABS(T8)&lt;='Assumptions'!$B$44,U8="PASS",V8="PASS",W8="COMPLETE",X8="COMPLETE",Y8="ACCEPTED",Z8="ACCEPTED",AA8="RELEASED",AB8="RELEASED",AC8="ACCEPTED",AD8="ACCEPTED",AE8="NONE"),"CREDIT","VALID-ADVERSE"))</x:f>
        <x:v>OPEN</x:v>
      </x:c>
    </x:row>
    <x:row r="9">
      <x:c r="A9" s="10" t="str">
        <x:v>EV-02</x:v>
      </x:c>
      <x:c r="B9" s="10" t="str">
        <x:v>PRIMARY</x:v>
      </x:c>
      <x:c r="C9" s="10" t="str">
        <x:f>IF('Pair Decision'!B17="","",'Pair Decision'!B17)</x:f>
      </x:c>
      <x:c r="D9" s="10" t="str">
        <x:v>CELL-02</x:v>
      </x:c>
      <x:c r="E9" s="10" t="str">
        <x:v>ADM-02</x:v>
      </x:c>
      <x:c r="F9" s="10" t="str">
        <x:v>WLOT-02</x:v>
      </x:c>
      <x:c r="G9" s="10" t="str">
        <x:v>SLOT-02</x:v>
      </x:c>
      <x:c r="H9" s="10" t="str">
        <x:f>IF('Code Schedule'!E7="","",'Code Schedule'!E7)</x:f>
        <x:v>W-B / S-2</x:v>
      </x:c>
      <x:c r="I9" s="12"/>
      <x:c r="J9" s="12"/>
      <x:c r="K9" s="12"/>
      <x:c r="L9" s="12"/>
      <x:c r="M9" s="12"/>
      <x:c r="N9" s="10" t="str">
        <x:f>IF('Water Ledger'!B7="","",'Water Ledger'!B7)</x:f>
      </x:c>
      <x:c r="O9" s="10" t="str">
        <x:f>IF('Simulant Ledger'!B7="","",'Simulant Ledger'!B7)</x:f>
      </x:c>
      <x:c r="P9" s="12"/>
      <x:c r="Q9" s="10" t="str">
        <x:f>IF('Water Ledger'!N7="OPEN","",'Water Ledger'!M7)</x:f>
      </x:c>
      <x:c r="R9" s="10" t="str">
        <x:f>IF('Simulant Ledger'!N7="OPEN","",'Simulant Ledger'!M7)</x:f>
      </x:c>
      <x:c r="S9" s="10" t="str">
        <x:f>IF('Water Ledger'!N7="OPEN","",'Water Ledger'!L7)</x:f>
      </x:c>
      <x:c r="T9" s="10" t="str">
        <x:f>IF('Simulant Ledger'!N7="OPEN","",'Simulant Ledger'!L7)</x:f>
      </x:c>
      <x:c r="U9" s="10" t="str">
        <x:f>'Ancestry Results'!N7</x:f>
        <x:v>OPEN</x:v>
      </x:c>
      <x:c r="V9" s="10" t="str">
        <x:f>Separation!D7</x:f>
        <x:v>OPEN</x:v>
      </x:c>
      <x:c r="W9" s="10" t="str">
        <x:f>'Event Gates'!D7</x:f>
        <x:v>OPEN</x:v>
      </x:c>
      <x:c r="X9" s="10" t="str">
        <x:f>'Evidence Objects'!L7</x:f>
        <x:v>OPEN</x:v>
      </x:c>
      <x:c r="Y9" s="10" t="str">
        <x:f>Return!N7</x:f>
        <x:v>OPEN</x:v>
      </x:c>
      <x:c r="Z9" s="10" t="str">
        <x:f>Replay!G7</x:f>
        <x:v>OPEN</x:v>
      </x:c>
      <x:c r="AA9" s="10" t="str">
        <x:f>INDEX('Water Lots'!$N$6:$N$23,MATCH(F9,'Water Lots'!$A$6:$A$23,0))</x:f>
        <x:v>OPEN</x:v>
      </x:c>
      <x:c r="AB9" s="10" t="str">
        <x:f>INDEX('Simulant Lots'!$N$6:$N$23,MATCH(G9,'Simulant Lots'!$A$6:$A$23,0))</x:f>
        <x:v>OPEN</x:v>
      </x:c>
      <x:c r="AC9" s="10" t="str">
        <x:f>INDEX('Module Bank'!$L$6:$L$23,MATCH(E9,'Module Bank'!$A$6:$A$23,0))</x:f>
        <x:v>OPEN</x:v>
      </x:c>
      <x:c r="AD9" s="10" t="str">
        <x:f>IF('Code Schedule'!J7="DORMANT","DORMANT",IF(OR('Code Schedule'!J7="OPEN",COUNTIF('Code Ledger'!P8:P9,"OPEN")&gt;0),"OPEN",IF(AND('Code Schedule'!J7="ACCEPTED",COUNTIF('Code Ledger'!P8:P9,"PASS")=2),"ACCEPTED","DENY")))</x:f>
        <x:v>OPEN</x:v>
      </x:c>
      <x:c r="AE9" s="12"/>
      <x:c r="AF9" s="10" t="str">
        <x:f>IF(OR(C9="",H9="",COUNT(I9:M9)&lt;4,J9="",N9="",O9="",P9="",AE9="",U9="OPEN",V9="OPEN",W9="OPEN",X9="OPEN",Y9="OPEN",Z9="OPEN",AA9="OPEN",AB9="OPEN",AC9="OPEN",AD9="OPEN",AD9="DORMANT"),"OPEN",IF(AND(I9=0,J9="PROHIBITED",K9=0,L9=0,M9=0,N9&gt;='Assumptions'!$B$34,N9&lt;='Assumptions'!$B$35,O9&gt;='Assumptions'!$B$36,O9&lt;='Assumptions'!$B$37,P9&lt;='Assumptions'!$B$47,Q9&gt;='Assumptions'!$B$38,R9&gt;='Assumptions'!$B$38,ABS(S9)&lt;='Assumptions'!$B$43,ABS(T9)&lt;='Assumptions'!$B$44,U9="PASS",V9="PASS",W9="COMPLETE",X9="COMPLETE",Y9="ACCEPTED",Z9="ACCEPTED",AA9="RELEASED",AB9="RELEASED",AC9="ACCEPTED",AD9="ACCEPTED",AE9="NONE"),"CREDIT","VALID-ADVERSE"))</x:f>
        <x:v>OPEN</x:v>
      </x:c>
    </x:row>
    <x:row r="10">
      <x:c r="A10" s="10" t="str">
        <x:v>EV-03</x:v>
      </x:c>
      <x:c r="B10" s="10" t="str">
        <x:v>PRIMARY</x:v>
      </x:c>
      <x:c r="C10" s="10" t="str">
        <x:f>IF('Pair Decision'!B16="","",'Pair Decision'!B16)</x:f>
      </x:c>
      <x:c r="D10" s="10" t="str">
        <x:v>CELL-03</x:v>
      </x:c>
      <x:c r="E10" s="10" t="str">
        <x:v>ADM-03</x:v>
      </x:c>
      <x:c r="F10" s="10" t="str">
        <x:v>WLOT-03</x:v>
      </x:c>
      <x:c r="G10" s="10" t="str">
        <x:v>SLOT-03</x:v>
      </x:c>
      <x:c r="H10" s="10" t="str">
        <x:f>IF('Code Schedule'!E8="","",'Code Schedule'!E8)</x:f>
        <x:v>W-C / S-3</x:v>
      </x:c>
      <x:c r="I10" s="12"/>
      <x:c r="J10" s="12"/>
      <x:c r="K10" s="12"/>
      <x:c r="L10" s="12"/>
      <x:c r="M10" s="12"/>
      <x:c r="N10" s="10" t="str">
        <x:f>IF('Water Ledger'!B8="","",'Water Ledger'!B8)</x:f>
      </x:c>
      <x:c r="O10" s="10" t="str">
        <x:f>IF('Simulant Ledger'!B8="","",'Simulant Ledger'!B8)</x:f>
      </x:c>
      <x:c r="P10" s="12"/>
      <x:c r="Q10" s="10" t="str">
        <x:f>IF('Water Ledger'!N8="OPEN","",'Water Ledger'!M8)</x:f>
      </x:c>
      <x:c r="R10" s="10" t="str">
        <x:f>IF('Simulant Ledger'!N8="OPEN","",'Simulant Ledger'!M8)</x:f>
      </x:c>
      <x:c r="S10" s="10" t="str">
        <x:f>IF('Water Ledger'!N8="OPEN","",'Water Ledger'!L8)</x:f>
      </x:c>
      <x:c r="T10" s="10" t="str">
        <x:f>IF('Simulant Ledger'!N8="OPEN","",'Simulant Ledger'!L8)</x:f>
      </x:c>
      <x:c r="U10" s="10" t="str">
        <x:f>'Ancestry Results'!N8</x:f>
        <x:v>OPEN</x:v>
      </x:c>
      <x:c r="V10" s="10" t="str">
        <x:f>Separation!D8</x:f>
        <x:v>OPEN</x:v>
      </x:c>
      <x:c r="W10" s="10" t="str">
        <x:f>'Event Gates'!D8</x:f>
        <x:v>OPEN</x:v>
      </x:c>
      <x:c r="X10" s="10" t="str">
        <x:f>'Evidence Objects'!L8</x:f>
        <x:v>OPEN</x:v>
      </x:c>
      <x:c r="Y10" s="10" t="str">
        <x:f>Return!N8</x:f>
        <x:v>OPEN</x:v>
      </x:c>
      <x:c r="Z10" s="10" t="str">
        <x:f>Replay!G8</x:f>
        <x:v>OPEN</x:v>
      </x:c>
      <x:c r="AA10" s="10" t="str">
        <x:f>INDEX('Water Lots'!$N$6:$N$23,MATCH(F10,'Water Lots'!$A$6:$A$23,0))</x:f>
        <x:v>OPEN</x:v>
      </x:c>
      <x:c r="AB10" s="10" t="str">
        <x:f>INDEX('Simulant Lots'!$N$6:$N$23,MATCH(G10,'Simulant Lots'!$A$6:$A$23,0))</x:f>
        <x:v>OPEN</x:v>
      </x:c>
      <x:c r="AC10" s="10" t="str">
        <x:f>INDEX('Module Bank'!$L$6:$L$23,MATCH(E10,'Module Bank'!$A$6:$A$23,0))</x:f>
        <x:v>OPEN</x:v>
      </x:c>
      <x:c r="AD10" s="10" t="str">
        <x:f>IF('Code Schedule'!J8="DORMANT","DORMANT",IF(OR('Code Schedule'!J8="OPEN",COUNTIF('Code Ledger'!P10:P11,"OPEN")&gt;0),"OPEN",IF(AND('Code Schedule'!J8="ACCEPTED",COUNTIF('Code Ledger'!P10:P11,"PASS")=2),"ACCEPTED","DENY")))</x:f>
        <x:v>OPEN</x:v>
      </x:c>
      <x:c r="AE10" s="12"/>
      <x:c r="AF10" s="10" t="str">
        <x:f>IF(OR(C10="",H10="",COUNT(I10:M10)&lt;4,J10="",N10="",O10="",P10="",AE10="",U10="OPEN",V10="OPEN",W10="OPEN",X10="OPEN",Y10="OPEN",Z10="OPEN",AA10="OPEN",AB10="OPEN",AC10="OPEN",AD10="OPEN",AD10="DORMANT"),"OPEN",IF(AND(I10=0,J10="PROHIBITED",K10=0,L10=0,M10=0,N10&gt;='Assumptions'!$B$34,N10&lt;='Assumptions'!$B$35,O10&gt;='Assumptions'!$B$36,O10&lt;='Assumptions'!$B$37,P10&lt;='Assumptions'!$B$47,Q10&gt;='Assumptions'!$B$38,R10&gt;='Assumptions'!$B$38,ABS(S10)&lt;='Assumptions'!$B$43,ABS(T10)&lt;='Assumptions'!$B$44,U10="PASS",V10="PASS",W10="COMPLETE",X10="COMPLETE",Y10="ACCEPTED",Z10="ACCEPTED",AA10="RELEASED",AB10="RELEASED",AC10="ACCEPTED",AD10="ACCEPTED",AE10="NONE"),"CREDIT","VALID-ADVERSE"))</x:f>
        <x:v>OPEN</x:v>
      </x:c>
    </x:row>
    <x:row r="11">
      <x:c r="A11" s="10" t="str">
        <x:v>EV-04</x:v>
      </x:c>
      <x:c r="B11" s="10" t="str">
        <x:v>PRIMARY</x:v>
      </x:c>
      <x:c r="C11" s="10" t="str">
        <x:f>IF('Pair Decision'!B17="","",'Pair Decision'!B17)</x:f>
      </x:c>
      <x:c r="D11" s="10" t="str">
        <x:v>CELL-04</x:v>
      </x:c>
      <x:c r="E11" s="10" t="str">
        <x:v>ADM-04</x:v>
      </x:c>
      <x:c r="F11" s="10" t="str">
        <x:v>WLOT-04</x:v>
      </x:c>
      <x:c r="G11" s="10" t="str">
        <x:v>SLOT-04</x:v>
      </x:c>
      <x:c r="H11" s="10" t="str">
        <x:f>IF('Code Schedule'!E9="","",'Code Schedule'!E9)</x:f>
        <x:v>W-A / S-4</x:v>
      </x:c>
      <x:c r="I11" s="12"/>
      <x:c r="J11" s="12"/>
      <x:c r="K11" s="12"/>
      <x:c r="L11" s="12"/>
      <x:c r="M11" s="12"/>
      <x:c r="N11" s="10" t="str">
        <x:f>IF('Water Ledger'!B9="","",'Water Ledger'!B9)</x:f>
      </x:c>
      <x:c r="O11" s="10" t="str">
        <x:f>IF('Simulant Ledger'!B9="","",'Simulant Ledger'!B9)</x:f>
      </x:c>
      <x:c r="P11" s="12"/>
      <x:c r="Q11" s="10" t="str">
        <x:f>IF('Water Ledger'!N9="OPEN","",'Water Ledger'!M9)</x:f>
      </x:c>
      <x:c r="R11" s="10" t="str">
        <x:f>IF('Simulant Ledger'!N9="OPEN","",'Simulant Ledger'!M9)</x:f>
      </x:c>
      <x:c r="S11" s="10" t="str">
        <x:f>IF('Water Ledger'!N9="OPEN","",'Water Ledger'!L9)</x:f>
      </x:c>
      <x:c r="T11" s="10" t="str">
        <x:f>IF('Simulant Ledger'!N9="OPEN","",'Simulant Ledger'!L9)</x:f>
      </x:c>
      <x:c r="U11" s="10" t="str">
        <x:f>'Ancestry Results'!N9</x:f>
        <x:v>OPEN</x:v>
      </x:c>
      <x:c r="V11" s="10" t="str">
        <x:f>Separation!D9</x:f>
        <x:v>OPEN</x:v>
      </x:c>
      <x:c r="W11" s="10" t="str">
        <x:f>'Event Gates'!D9</x:f>
        <x:v>OPEN</x:v>
      </x:c>
      <x:c r="X11" s="10" t="str">
        <x:f>'Evidence Objects'!L9</x:f>
        <x:v>OPEN</x:v>
      </x:c>
      <x:c r="Y11" s="10" t="str">
        <x:f>Return!N9</x:f>
        <x:v>OPEN</x:v>
      </x:c>
      <x:c r="Z11" s="10" t="str">
        <x:f>Replay!G9</x:f>
        <x:v>OPEN</x:v>
      </x:c>
      <x:c r="AA11" s="10" t="str">
        <x:f>INDEX('Water Lots'!$N$6:$N$23,MATCH(F11,'Water Lots'!$A$6:$A$23,0))</x:f>
        <x:v>OPEN</x:v>
      </x:c>
      <x:c r="AB11" s="10" t="str">
        <x:f>INDEX('Simulant Lots'!$N$6:$N$23,MATCH(G11,'Simulant Lots'!$A$6:$A$23,0))</x:f>
        <x:v>OPEN</x:v>
      </x:c>
      <x:c r="AC11" s="10" t="str">
        <x:f>INDEX('Module Bank'!$L$6:$L$23,MATCH(E11,'Module Bank'!$A$6:$A$23,0))</x:f>
        <x:v>OPEN</x:v>
      </x:c>
      <x:c r="AD11" s="10" t="str">
        <x:f>IF('Code Schedule'!J9="DORMANT","DORMANT",IF(OR('Code Schedule'!J9="OPEN",COUNTIF('Code Ledger'!P12:P13,"OPEN")&gt;0),"OPEN",IF(AND('Code Schedule'!J9="ACCEPTED",COUNTIF('Code Ledger'!P12:P13,"PASS")=2),"ACCEPTED","DENY")))</x:f>
        <x:v>OPEN</x:v>
      </x:c>
      <x:c r="AE11" s="12"/>
      <x:c r="AF11" s="10" t="str">
        <x:f>IF(OR(C11="",H11="",COUNT(I11:M11)&lt;4,J11="",N11="",O11="",P11="",AE11="",U11="OPEN",V11="OPEN",W11="OPEN",X11="OPEN",Y11="OPEN",Z11="OPEN",AA11="OPEN",AB11="OPEN",AC11="OPEN",AD11="OPEN",AD11="DORMANT"),"OPEN",IF(AND(I11=0,J11="PROHIBITED",K11=0,L11=0,M11=0,N11&gt;='Assumptions'!$B$34,N11&lt;='Assumptions'!$B$35,O11&gt;='Assumptions'!$B$36,O11&lt;='Assumptions'!$B$37,P11&lt;='Assumptions'!$B$47,Q11&gt;='Assumptions'!$B$38,R11&gt;='Assumptions'!$B$38,ABS(S11)&lt;='Assumptions'!$B$43,ABS(T11)&lt;='Assumptions'!$B$44,U11="PASS",V11="PASS",W11="COMPLETE",X11="COMPLETE",Y11="ACCEPTED",Z11="ACCEPTED",AA11="RELEASED",AB11="RELEASED",AC11="ACCEPTED",AD11="ACCEPTED",AE11="NONE"),"CREDIT","VALID-ADVERSE"))</x:f>
        <x:v>OPEN</x:v>
      </x:c>
    </x:row>
    <x:row r="12">
      <x:c r="A12" s="10" t="str">
        <x:v>EV-05</x:v>
      </x:c>
      <x:c r="B12" s="10" t="str">
        <x:v>PRIMARY</x:v>
      </x:c>
      <x:c r="C12" s="10" t="str">
        <x:f>IF('Pair Decision'!B16="","",'Pair Decision'!B16)</x:f>
      </x:c>
      <x:c r="D12" s="10" t="str">
        <x:v>CELL-05</x:v>
      </x:c>
      <x:c r="E12" s="10" t="str">
        <x:v>ADM-05</x:v>
      </x:c>
      <x:c r="F12" s="10" t="str">
        <x:v>WLOT-05</x:v>
      </x:c>
      <x:c r="G12" s="10" t="str">
        <x:v>SLOT-05</x:v>
      </x:c>
      <x:c r="H12" s="10" t="str">
        <x:f>IF('Code Schedule'!E10="","",'Code Schedule'!E10)</x:f>
        <x:v>W-B / S-1</x:v>
      </x:c>
      <x:c r="I12" s="12"/>
      <x:c r="J12" s="12"/>
      <x:c r="K12" s="12"/>
      <x:c r="L12" s="12"/>
      <x:c r="M12" s="12"/>
      <x:c r="N12" s="10" t="str">
        <x:f>IF('Water Ledger'!B10="","",'Water Ledger'!B10)</x:f>
      </x:c>
      <x:c r="O12" s="10" t="str">
        <x:f>IF('Simulant Ledger'!B10="","",'Simulant Ledger'!B10)</x:f>
      </x:c>
      <x:c r="P12" s="12"/>
      <x:c r="Q12" s="10" t="str">
        <x:f>IF('Water Ledger'!N10="OPEN","",'Water Ledger'!M10)</x:f>
      </x:c>
      <x:c r="R12" s="10" t="str">
        <x:f>IF('Simulant Ledger'!N10="OPEN","",'Simulant Ledger'!M10)</x:f>
      </x:c>
      <x:c r="S12" s="10" t="str">
        <x:f>IF('Water Ledger'!N10="OPEN","",'Water Ledger'!L10)</x:f>
      </x:c>
      <x:c r="T12" s="10" t="str">
        <x:f>IF('Simulant Ledger'!N10="OPEN","",'Simulant Ledger'!L10)</x:f>
      </x:c>
      <x:c r="U12" s="10" t="str">
        <x:f>'Ancestry Results'!N10</x:f>
        <x:v>OPEN</x:v>
      </x:c>
      <x:c r="V12" s="10" t="str">
        <x:f>Separation!D10</x:f>
        <x:v>OPEN</x:v>
      </x:c>
      <x:c r="W12" s="10" t="str">
        <x:f>'Event Gates'!D10</x:f>
        <x:v>OPEN</x:v>
      </x:c>
      <x:c r="X12" s="10" t="str">
        <x:f>'Evidence Objects'!L10</x:f>
        <x:v>OPEN</x:v>
      </x:c>
      <x:c r="Y12" s="10" t="str">
        <x:f>Return!N10</x:f>
        <x:v>OPEN</x:v>
      </x:c>
      <x:c r="Z12" s="10" t="str">
        <x:f>Replay!G10</x:f>
        <x:v>OPEN</x:v>
      </x:c>
      <x:c r="AA12" s="10" t="str">
        <x:f>INDEX('Water Lots'!$N$6:$N$23,MATCH(F12,'Water Lots'!$A$6:$A$23,0))</x:f>
        <x:v>OPEN</x:v>
      </x:c>
      <x:c r="AB12" s="10" t="str">
        <x:f>INDEX('Simulant Lots'!$N$6:$N$23,MATCH(G12,'Simulant Lots'!$A$6:$A$23,0))</x:f>
        <x:v>OPEN</x:v>
      </x:c>
      <x:c r="AC12" s="10" t="str">
        <x:f>INDEX('Module Bank'!$L$6:$L$23,MATCH(E12,'Module Bank'!$A$6:$A$23,0))</x:f>
        <x:v>OPEN</x:v>
      </x:c>
      <x:c r="AD12" s="10" t="str">
        <x:f>IF('Code Schedule'!J10="DORMANT","DORMANT",IF(OR('Code Schedule'!J10="OPEN",COUNTIF('Code Ledger'!P14:P15,"OPEN")&gt;0),"OPEN",IF(AND('Code Schedule'!J10="ACCEPTED",COUNTIF('Code Ledger'!P14:P15,"PASS")=2),"ACCEPTED","DENY")))</x:f>
        <x:v>OPEN</x:v>
      </x:c>
      <x:c r="AE12" s="12"/>
      <x:c r="AF12" s="10" t="str">
        <x:f>IF(OR(C12="",H12="",COUNT(I12:M12)&lt;4,J12="",N12="",O12="",P12="",AE12="",U12="OPEN",V12="OPEN",W12="OPEN",X12="OPEN",Y12="OPEN",Z12="OPEN",AA12="OPEN",AB12="OPEN",AC12="OPEN",AD12="OPEN",AD12="DORMANT"),"OPEN",IF(AND(I12=0,J12="PROHIBITED",K12=0,L12=0,M12=0,N12&gt;='Assumptions'!$B$34,N12&lt;='Assumptions'!$B$35,O12&gt;='Assumptions'!$B$36,O12&lt;='Assumptions'!$B$37,P12&lt;='Assumptions'!$B$47,Q12&gt;='Assumptions'!$B$38,R12&gt;='Assumptions'!$B$38,ABS(S12)&lt;='Assumptions'!$B$43,ABS(T12)&lt;='Assumptions'!$B$44,U12="PASS",V12="PASS",W12="COMPLETE",X12="COMPLETE",Y12="ACCEPTED",Z12="ACCEPTED",AA12="RELEASED",AB12="RELEASED",AC12="ACCEPTED",AD12="ACCEPTED",AE12="NONE"),"CREDIT","VALID-ADVERSE"))</x:f>
        <x:v>OPEN</x:v>
      </x:c>
    </x:row>
    <x:row r="13">
      <x:c r="A13" s="10" t="str">
        <x:v>EV-06</x:v>
      </x:c>
      <x:c r="B13" s="10" t="str">
        <x:v>PRIMARY</x:v>
      </x:c>
      <x:c r="C13" s="10" t="str">
        <x:f>IF('Pair Decision'!B17="","",'Pair Decision'!B17)</x:f>
      </x:c>
      <x:c r="D13" s="10" t="str">
        <x:v>CELL-06</x:v>
      </x:c>
      <x:c r="E13" s="10" t="str">
        <x:v>ADM-06</x:v>
      </x:c>
      <x:c r="F13" s="10" t="str">
        <x:v>WLOT-06</x:v>
      </x:c>
      <x:c r="G13" s="10" t="str">
        <x:v>SLOT-06</x:v>
      </x:c>
      <x:c r="H13" s="10" t="str">
        <x:f>IF('Code Schedule'!E11="","",'Code Schedule'!E11)</x:f>
        <x:v>W-C / S-2</x:v>
      </x:c>
      <x:c r="I13" s="12"/>
      <x:c r="J13" s="12"/>
      <x:c r="K13" s="12"/>
      <x:c r="L13" s="12"/>
      <x:c r="M13" s="12"/>
      <x:c r="N13" s="10" t="str">
        <x:f>IF('Water Ledger'!B11="","",'Water Ledger'!B11)</x:f>
      </x:c>
      <x:c r="O13" s="10" t="str">
        <x:f>IF('Simulant Ledger'!B11="","",'Simulant Ledger'!B11)</x:f>
      </x:c>
      <x:c r="P13" s="12"/>
      <x:c r="Q13" s="10" t="str">
        <x:f>IF('Water Ledger'!N11="OPEN","",'Water Ledger'!M11)</x:f>
      </x:c>
      <x:c r="R13" s="10" t="str">
        <x:f>IF('Simulant Ledger'!N11="OPEN","",'Simulant Ledger'!M11)</x:f>
      </x:c>
      <x:c r="S13" s="10" t="str">
        <x:f>IF('Water Ledger'!N11="OPEN","",'Water Ledger'!L11)</x:f>
      </x:c>
      <x:c r="T13" s="10" t="str">
        <x:f>IF('Simulant Ledger'!N11="OPEN","",'Simulant Ledger'!L11)</x:f>
      </x:c>
      <x:c r="U13" s="10" t="str">
        <x:f>'Ancestry Results'!N11</x:f>
        <x:v>OPEN</x:v>
      </x:c>
      <x:c r="V13" s="10" t="str">
        <x:f>Separation!D11</x:f>
        <x:v>OPEN</x:v>
      </x:c>
      <x:c r="W13" s="10" t="str">
        <x:f>'Event Gates'!D11</x:f>
        <x:v>OPEN</x:v>
      </x:c>
      <x:c r="X13" s="10" t="str">
        <x:f>'Evidence Objects'!L11</x:f>
        <x:v>OPEN</x:v>
      </x:c>
      <x:c r="Y13" s="10" t="str">
        <x:f>Return!N11</x:f>
        <x:v>OPEN</x:v>
      </x:c>
      <x:c r="Z13" s="10" t="str">
        <x:f>Replay!G11</x:f>
        <x:v>OPEN</x:v>
      </x:c>
      <x:c r="AA13" s="10" t="str">
        <x:f>INDEX('Water Lots'!$N$6:$N$23,MATCH(F13,'Water Lots'!$A$6:$A$23,0))</x:f>
        <x:v>OPEN</x:v>
      </x:c>
      <x:c r="AB13" s="10" t="str">
        <x:f>INDEX('Simulant Lots'!$N$6:$N$23,MATCH(G13,'Simulant Lots'!$A$6:$A$23,0))</x:f>
        <x:v>OPEN</x:v>
      </x:c>
      <x:c r="AC13" s="10" t="str">
        <x:f>INDEX('Module Bank'!$L$6:$L$23,MATCH(E13,'Module Bank'!$A$6:$A$23,0))</x:f>
        <x:v>OPEN</x:v>
      </x:c>
      <x:c r="AD13" s="10" t="str">
        <x:f>IF('Code Schedule'!J11="DORMANT","DORMANT",IF(OR('Code Schedule'!J11="OPEN",COUNTIF('Code Ledger'!P16:P17,"OPEN")&gt;0),"OPEN",IF(AND('Code Schedule'!J11="ACCEPTED",COUNTIF('Code Ledger'!P16:P17,"PASS")=2),"ACCEPTED","DENY")))</x:f>
        <x:v>OPEN</x:v>
      </x:c>
      <x:c r="AE13" s="12"/>
      <x:c r="AF13" s="10" t="str">
        <x:f>IF(OR(C13="",H13="",COUNT(I13:M13)&lt;4,J13="",N13="",O13="",P13="",AE13="",U13="OPEN",V13="OPEN",W13="OPEN",X13="OPEN",Y13="OPEN",Z13="OPEN",AA13="OPEN",AB13="OPEN",AC13="OPEN",AD13="OPEN",AD13="DORMANT"),"OPEN",IF(AND(I13=0,J13="PROHIBITED",K13=0,L13=0,M13=0,N13&gt;='Assumptions'!$B$34,N13&lt;='Assumptions'!$B$35,O13&gt;='Assumptions'!$B$36,O13&lt;='Assumptions'!$B$37,P13&lt;='Assumptions'!$B$47,Q13&gt;='Assumptions'!$B$38,R13&gt;='Assumptions'!$B$38,ABS(S13)&lt;='Assumptions'!$B$43,ABS(T13)&lt;='Assumptions'!$B$44,U13="PASS",V13="PASS",W13="COMPLETE",X13="COMPLETE",Y13="ACCEPTED",Z13="ACCEPTED",AA13="RELEASED",AB13="RELEASED",AC13="ACCEPTED",AD13="ACCEPTED",AE13="NONE"),"CREDIT","VALID-ADVERSE"))</x:f>
        <x:v>OPEN</x:v>
      </x:c>
    </x:row>
    <x:row r="14">
      <x:c r="A14" s="10" t="str">
        <x:v>EV-07</x:v>
      </x:c>
      <x:c r="B14" s="10" t="str">
        <x:v>PRIMARY</x:v>
      </x:c>
      <x:c r="C14" s="10" t="str">
        <x:f>IF('Pair Decision'!B16="","",'Pair Decision'!B16)</x:f>
      </x:c>
      <x:c r="D14" s="10" t="str">
        <x:v>CELL-07</x:v>
      </x:c>
      <x:c r="E14" s="10" t="str">
        <x:v>ADM-07</x:v>
      </x:c>
      <x:c r="F14" s="10" t="str">
        <x:v>WLOT-07</x:v>
      </x:c>
      <x:c r="G14" s="10" t="str">
        <x:v>SLOT-07</x:v>
      </x:c>
      <x:c r="H14" s="10" t="str">
        <x:f>IF('Code Schedule'!E12="","",'Code Schedule'!E12)</x:f>
        <x:v>W-A / S-3</x:v>
      </x:c>
      <x:c r="I14" s="12"/>
      <x:c r="J14" s="12"/>
      <x:c r="K14" s="12"/>
      <x:c r="L14" s="12"/>
      <x:c r="M14" s="12"/>
      <x:c r="N14" s="10" t="str">
        <x:f>IF('Water Ledger'!B12="","",'Water Ledger'!B12)</x:f>
      </x:c>
      <x:c r="O14" s="10" t="str">
        <x:f>IF('Simulant Ledger'!B12="","",'Simulant Ledger'!B12)</x:f>
      </x:c>
      <x:c r="P14" s="12"/>
      <x:c r="Q14" s="10" t="str">
        <x:f>IF('Water Ledger'!N12="OPEN","",'Water Ledger'!M12)</x:f>
      </x:c>
      <x:c r="R14" s="10" t="str">
        <x:f>IF('Simulant Ledger'!N12="OPEN","",'Simulant Ledger'!M12)</x:f>
      </x:c>
      <x:c r="S14" s="10" t="str">
        <x:f>IF('Water Ledger'!N12="OPEN","",'Water Ledger'!L12)</x:f>
      </x:c>
      <x:c r="T14" s="10" t="str">
        <x:f>IF('Simulant Ledger'!N12="OPEN","",'Simulant Ledger'!L12)</x:f>
      </x:c>
      <x:c r="U14" s="10" t="str">
        <x:f>'Ancestry Results'!N12</x:f>
        <x:v>OPEN</x:v>
      </x:c>
      <x:c r="V14" s="10" t="str">
        <x:f>Separation!D12</x:f>
        <x:v>OPEN</x:v>
      </x:c>
      <x:c r="W14" s="10" t="str">
        <x:f>'Event Gates'!D12</x:f>
        <x:v>OPEN</x:v>
      </x:c>
      <x:c r="X14" s="10" t="str">
        <x:f>'Evidence Objects'!L12</x:f>
        <x:v>OPEN</x:v>
      </x:c>
      <x:c r="Y14" s="10" t="str">
        <x:f>Return!N12</x:f>
        <x:v>OPEN</x:v>
      </x:c>
      <x:c r="Z14" s="10" t="str">
        <x:f>Replay!G12</x:f>
        <x:v>OPEN</x:v>
      </x:c>
      <x:c r="AA14" s="10" t="str">
        <x:f>INDEX('Water Lots'!$N$6:$N$23,MATCH(F14,'Water Lots'!$A$6:$A$23,0))</x:f>
        <x:v>OPEN</x:v>
      </x:c>
      <x:c r="AB14" s="10" t="str">
        <x:f>INDEX('Simulant Lots'!$N$6:$N$23,MATCH(G14,'Simulant Lots'!$A$6:$A$23,0))</x:f>
        <x:v>OPEN</x:v>
      </x:c>
      <x:c r="AC14" s="10" t="str">
        <x:f>INDEX('Module Bank'!$L$6:$L$23,MATCH(E14,'Module Bank'!$A$6:$A$23,0))</x:f>
        <x:v>OPEN</x:v>
      </x:c>
      <x:c r="AD14" s="10" t="str">
        <x:f>IF('Code Schedule'!J12="DORMANT","DORMANT",IF(OR('Code Schedule'!J12="OPEN",COUNTIF('Code Ledger'!P18:P19,"OPEN")&gt;0),"OPEN",IF(AND('Code Schedule'!J12="ACCEPTED",COUNTIF('Code Ledger'!P18:P19,"PASS")=2),"ACCEPTED","DENY")))</x:f>
        <x:v>OPEN</x:v>
      </x:c>
      <x:c r="AE14" s="12"/>
      <x:c r="AF14" s="10" t="str">
        <x:f>IF(OR(C14="",H14="",COUNT(I14:M14)&lt;4,J14="",N14="",O14="",P14="",AE14="",U14="OPEN",V14="OPEN",W14="OPEN",X14="OPEN",Y14="OPEN",Z14="OPEN",AA14="OPEN",AB14="OPEN",AC14="OPEN",AD14="OPEN",AD14="DORMANT"),"OPEN",IF(AND(I14=0,J14="PROHIBITED",K14=0,L14=0,M14=0,N14&gt;='Assumptions'!$B$34,N14&lt;='Assumptions'!$B$35,O14&gt;='Assumptions'!$B$36,O14&lt;='Assumptions'!$B$37,P14&lt;='Assumptions'!$B$47,Q14&gt;='Assumptions'!$B$38,R14&gt;='Assumptions'!$B$38,ABS(S14)&lt;='Assumptions'!$B$43,ABS(T14)&lt;='Assumptions'!$B$44,U14="PASS",V14="PASS",W14="COMPLETE",X14="COMPLETE",Y14="ACCEPTED",Z14="ACCEPTED",AA14="RELEASED",AB14="RELEASED",AC14="ACCEPTED",AD14="ACCEPTED",AE14="NONE"),"CREDIT","VALID-ADVERSE"))</x:f>
        <x:v>OPEN</x:v>
      </x:c>
    </x:row>
    <x:row r="15">
      <x:c r="A15" s="10" t="str">
        <x:v>EV-08</x:v>
      </x:c>
      <x:c r="B15" s="10" t="str">
        <x:v>PRIMARY</x:v>
      </x:c>
      <x:c r="C15" s="10" t="str">
        <x:f>IF('Pair Decision'!B17="","",'Pair Decision'!B17)</x:f>
      </x:c>
      <x:c r="D15" s="10" t="str">
        <x:v>CELL-08</x:v>
      </x:c>
      <x:c r="E15" s="10" t="str">
        <x:v>ADM-08</x:v>
      </x:c>
      <x:c r="F15" s="10" t="str">
        <x:v>WLOT-08</x:v>
      </x:c>
      <x:c r="G15" s="10" t="str">
        <x:v>SLOT-08</x:v>
      </x:c>
      <x:c r="H15" s="10" t="str">
        <x:f>IF('Code Schedule'!E13="","",'Code Schedule'!E13)</x:f>
        <x:v>W-B / S-4</x:v>
      </x:c>
      <x:c r="I15" s="12"/>
      <x:c r="J15" s="12"/>
      <x:c r="K15" s="12"/>
      <x:c r="L15" s="12"/>
      <x:c r="M15" s="12"/>
      <x:c r="N15" s="10" t="str">
        <x:f>IF('Water Ledger'!B13="","",'Water Ledger'!B13)</x:f>
      </x:c>
      <x:c r="O15" s="10" t="str">
        <x:f>IF('Simulant Ledger'!B13="","",'Simulant Ledger'!B13)</x:f>
      </x:c>
      <x:c r="P15" s="12"/>
      <x:c r="Q15" s="10" t="str">
        <x:f>IF('Water Ledger'!N13="OPEN","",'Water Ledger'!M13)</x:f>
      </x:c>
      <x:c r="R15" s="10" t="str">
        <x:f>IF('Simulant Ledger'!N13="OPEN","",'Simulant Ledger'!M13)</x:f>
      </x:c>
      <x:c r="S15" s="10" t="str">
        <x:f>IF('Water Ledger'!N13="OPEN","",'Water Ledger'!L13)</x:f>
      </x:c>
      <x:c r="T15" s="10" t="str">
        <x:f>IF('Simulant Ledger'!N13="OPEN","",'Simulant Ledger'!L13)</x:f>
      </x:c>
      <x:c r="U15" s="10" t="str">
        <x:f>'Ancestry Results'!N13</x:f>
        <x:v>OPEN</x:v>
      </x:c>
      <x:c r="V15" s="10" t="str">
        <x:f>Separation!D13</x:f>
        <x:v>OPEN</x:v>
      </x:c>
      <x:c r="W15" s="10" t="str">
        <x:f>'Event Gates'!D13</x:f>
        <x:v>OPEN</x:v>
      </x:c>
      <x:c r="X15" s="10" t="str">
        <x:f>'Evidence Objects'!L13</x:f>
        <x:v>OPEN</x:v>
      </x:c>
      <x:c r="Y15" s="10" t="str">
        <x:f>Return!N13</x:f>
        <x:v>OPEN</x:v>
      </x:c>
      <x:c r="Z15" s="10" t="str">
        <x:f>Replay!G13</x:f>
        <x:v>OPEN</x:v>
      </x:c>
      <x:c r="AA15" s="10" t="str">
        <x:f>INDEX('Water Lots'!$N$6:$N$23,MATCH(F15,'Water Lots'!$A$6:$A$23,0))</x:f>
        <x:v>OPEN</x:v>
      </x:c>
      <x:c r="AB15" s="10" t="str">
        <x:f>INDEX('Simulant Lots'!$N$6:$N$23,MATCH(G15,'Simulant Lots'!$A$6:$A$23,0))</x:f>
        <x:v>OPEN</x:v>
      </x:c>
      <x:c r="AC15" s="10" t="str">
        <x:f>INDEX('Module Bank'!$L$6:$L$23,MATCH(E15,'Module Bank'!$A$6:$A$23,0))</x:f>
        <x:v>OPEN</x:v>
      </x:c>
      <x:c r="AD15" s="10" t="str">
        <x:f>IF('Code Schedule'!J13="DORMANT","DORMANT",IF(OR('Code Schedule'!J13="OPEN",COUNTIF('Code Ledger'!P20:P21,"OPEN")&gt;0),"OPEN",IF(AND('Code Schedule'!J13="ACCEPTED",COUNTIF('Code Ledger'!P20:P21,"PASS")=2),"ACCEPTED","DENY")))</x:f>
        <x:v>OPEN</x:v>
      </x:c>
      <x:c r="AE15" s="12"/>
      <x:c r="AF15" s="10" t="str">
        <x:f>IF(OR(C15="",H15="",COUNT(I15:M15)&lt;4,J15="",N15="",O15="",P15="",AE15="",U15="OPEN",V15="OPEN",W15="OPEN",X15="OPEN",Y15="OPEN",Z15="OPEN",AA15="OPEN",AB15="OPEN",AC15="OPEN",AD15="OPEN",AD15="DORMANT"),"OPEN",IF(AND(I15=0,J15="PROHIBITED",K15=0,L15=0,M15=0,N15&gt;='Assumptions'!$B$34,N15&lt;='Assumptions'!$B$35,O15&gt;='Assumptions'!$B$36,O15&lt;='Assumptions'!$B$37,P15&lt;='Assumptions'!$B$47,Q15&gt;='Assumptions'!$B$38,R15&gt;='Assumptions'!$B$38,ABS(S15)&lt;='Assumptions'!$B$43,ABS(T15)&lt;='Assumptions'!$B$44,U15="PASS",V15="PASS",W15="COMPLETE",X15="COMPLETE",Y15="ACCEPTED",Z15="ACCEPTED",AA15="RELEASED",AB15="RELEASED",AC15="ACCEPTED",AD15="ACCEPTED",AE15="NONE"),"CREDIT","VALID-ADVERSE"))</x:f>
        <x:v>OPEN</x:v>
      </x:c>
    </x:row>
    <x:row r="16">
      <x:c r="A16" s="10" t="str">
        <x:v>EV-09</x:v>
      </x:c>
      <x:c r="B16" s="10" t="str">
        <x:v>PRIMARY</x:v>
      </x:c>
      <x:c r="C16" s="10" t="str">
        <x:f>IF('Pair Decision'!B16="","",'Pair Decision'!B16)</x:f>
      </x:c>
      <x:c r="D16" s="10" t="str">
        <x:v>CELL-09</x:v>
      </x:c>
      <x:c r="E16" s="10" t="str">
        <x:v>ADM-09</x:v>
      </x:c>
      <x:c r="F16" s="10" t="str">
        <x:v>WLOT-09</x:v>
      </x:c>
      <x:c r="G16" s="10" t="str">
        <x:v>SLOT-09</x:v>
      </x:c>
      <x:c r="H16" s="10" t="str">
        <x:f>IF('Code Schedule'!E14="","",'Code Schedule'!E14)</x:f>
        <x:v>W-C / S-1</x:v>
      </x:c>
      <x:c r="I16" s="12"/>
      <x:c r="J16" s="12"/>
      <x:c r="K16" s="12"/>
      <x:c r="L16" s="12"/>
      <x:c r="M16" s="12"/>
      <x:c r="N16" s="10" t="str">
        <x:f>IF('Water Ledger'!B14="","",'Water Ledger'!B14)</x:f>
      </x:c>
      <x:c r="O16" s="10" t="str">
        <x:f>IF('Simulant Ledger'!B14="","",'Simulant Ledger'!B14)</x:f>
      </x:c>
      <x:c r="P16" s="12"/>
      <x:c r="Q16" s="10" t="str">
        <x:f>IF('Water Ledger'!N14="OPEN","",'Water Ledger'!M14)</x:f>
      </x:c>
      <x:c r="R16" s="10" t="str">
        <x:f>IF('Simulant Ledger'!N14="OPEN","",'Simulant Ledger'!M14)</x:f>
      </x:c>
      <x:c r="S16" s="10" t="str">
        <x:f>IF('Water Ledger'!N14="OPEN","",'Water Ledger'!L14)</x:f>
      </x:c>
      <x:c r="T16" s="10" t="str">
        <x:f>IF('Simulant Ledger'!N14="OPEN","",'Simulant Ledger'!L14)</x:f>
      </x:c>
      <x:c r="U16" s="10" t="str">
        <x:f>'Ancestry Results'!N14</x:f>
        <x:v>OPEN</x:v>
      </x:c>
      <x:c r="V16" s="10" t="str">
        <x:f>Separation!D14</x:f>
        <x:v>OPEN</x:v>
      </x:c>
      <x:c r="W16" s="10" t="str">
        <x:f>'Event Gates'!D14</x:f>
        <x:v>OPEN</x:v>
      </x:c>
      <x:c r="X16" s="10" t="str">
        <x:f>'Evidence Objects'!L14</x:f>
        <x:v>OPEN</x:v>
      </x:c>
      <x:c r="Y16" s="10" t="str">
        <x:f>Return!N14</x:f>
        <x:v>OPEN</x:v>
      </x:c>
      <x:c r="Z16" s="10" t="str">
        <x:f>Replay!G14</x:f>
        <x:v>OPEN</x:v>
      </x:c>
      <x:c r="AA16" s="10" t="str">
        <x:f>INDEX('Water Lots'!$N$6:$N$23,MATCH(F16,'Water Lots'!$A$6:$A$23,0))</x:f>
        <x:v>OPEN</x:v>
      </x:c>
      <x:c r="AB16" s="10" t="str">
        <x:f>INDEX('Simulant Lots'!$N$6:$N$23,MATCH(G16,'Simulant Lots'!$A$6:$A$23,0))</x:f>
        <x:v>OPEN</x:v>
      </x:c>
      <x:c r="AC16" s="10" t="str">
        <x:f>INDEX('Module Bank'!$L$6:$L$23,MATCH(E16,'Module Bank'!$A$6:$A$23,0))</x:f>
        <x:v>OPEN</x:v>
      </x:c>
      <x:c r="AD16" s="10" t="str">
        <x:f>IF('Code Schedule'!J14="DORMANT","DORMANT",IF(OR('Code Schedule'!J14="OPEN",COUNTIF('Code Ledger'!P22:P23,"OPEN")&gt;0),"OPEN",IF(AND('Code Schedule'!J14="ACCEPTED",COUNTIF('Code Ledger'!P22:P23,"PASS")=2),"ACCEPTED","DENY")))</x:f>
        <x:v>OPEN</x:v>
      </x:c>
      <x:c r="AE16" s="12"/>
      <x:c r="AF16" s="10" t="str">
        <x:f>IF(OR(C16="",H16="",COUNT(I16:M16)&lt;4,J16="",N16="",O16="",P16="",AE16="",U16="OPEN",V16="OPEN",W16="OPEN",X16="OPEN",Y16="OPEN",Z16="OPEN",AA16="OPEN",AB16="OPEN",AC16="OPEN",AD16="OPEN",AD16="DORMANT"),"OPEN",IF(AND(I16=0,J16="PROHIBITED",K16=0,L16=0,M16=0,N16&gt;='Assumptions'!$B$34,N16&lt;='Assumptions'!$B$35,O16&gt;='Assumptions'!$B$36,O16&lt;='Assumptions'!$B$37,P16&lt;='Assumptions'!$B$47,Q16&gt;='Assumptions'!$B$38,R16&gt;='Assumptions'!$B$38,ABS(S16)&lt;='Assumptions'!$B$43,ABS(T16)&lt;='Assumptions'!$B$44,U16="PASS",V16="PASS",W16="COMPLETE",X16="COMPLETE",Y16="ACCEPTED",Z16="ACCEPTED",AA16="RELEASED",AB16="RELEASED",AC16="ACCEPTED",AD16="ACCEPTED",AE16="NONE"),"CREDIT","VALID-ADVERSE"))</x:f>
        <x:v>OPEN</x:v>
      </x:c>
    </x:row>
    <x:row r="17">
      <x:c r="A17" s="10" t="str">
        <x:v>EV-10</x:v>
      </x:c>
      <x:c r="B17" s="10" t="str">
        <x:v>PRIMARY</x:v>
      </x:c>
      <x:c r="C17" s="10" t="str">
        <x:f>IF('Pair Decision'!B17="","",'Pair Decision'!B17)</x:f>
      </x:c>
      <x:c r="D17" s="10" t="str">
        <x:v>CELL-10</x:v>
      </x:c>
      <x:c r="E17" s="10" t="str">
        <x:v>ADM-10</x:v>
      </x:c>
      <x:c r="F17" s="10" t="str">
        <x:v>WLOT-10</x:v>
      </x:c>
      <x:c r="G17" s="10" t="str">
        <x:v>SLOT-10</x:v>
      </x:c>
      <x:c r="H17" s="10" t="str">
        <x:f>IF('Code Schedule'!E15="","",'Code Schedule'!E15)</x:f>
        <x:v>W-A / S-2</x:v>
      </x:c>
      <x:c r="I17" s="12"/>
      <x:c r="J17" s="12"/>
      <x:c r="K17" s="12"/>
      <x:c r="L17" s="12"/>
      <x:c r="M17" s="12"/>
      <x:c r="N17" s="10" t="str">
        <x:f>IF('Water Ledger'!B15="","",'Water Ledger'!B15)</x:f>
      </x:c>
      <x:c r="O17" s="10" t="str">
        <x:f>IF('Simulant Ledger'!B15="","",'Simulant Ledger'!B15)</x:f>
      </x:c>
      <x:c r="P17" s="12"/>
      <x:c r="Q17" s="10" t="str">
        <x:f>IF('Water Ledger'!N15="OPEN","",'Water Ledger'!M15)</x:f>
      </x:c>
      <x:c r="R17" s="10" t="str">
        <x:f>IF('Simulant Ledger'!N15="OPEN","",'Simulant Ledger'!M15)</x:f>
      </x:c>
      <x:c r="S17" s="10" t="str">
        <x:f>IF('Water Ledger'!N15="OPEN","",'Water Ledger'!L15)</x:f>
      </x:c>
      <x:c r="T17" s="10" t="str">
        <x:f>IF('Simulant Ledger'!N15="OPEN","",'Simulant Ledger'!L15)</x:f>
      </x:c>
      <x:c r="U17" s="10" t="str">
        <x:f>'Ancestry Results'!N15</x:f>
        <x:v>OPEN</x:v>
      </x:c>
      <x:c r="V17" s="10" t="str">
        <x:f>Separation!D15</x:f>
        <x:v>OPEN</x:v>
      </x:c>
      <x:c r="W17" s="10" t="str">
        <x:f>'Event Gates'!D15</x:f>
        <x:v>OPEN</x:v>
      </x:c>
      <x:c r="X17" s="10" t="str">
        <x:f>'Evidence Objects'!L15</x:f>
        <x:v>OPEN</x:v>
      </x:c>
      <x:c r="Y17" s="10" t="str">
        <x:f>Return!N15</x:f>
        <x:v>OPEN</x:v>
      </x:c>
      <x:c r="Z17" s="10" t="str">
        <x:f>Replay!G15</x:f>
        <x:v>OPEN</x:v>
      </x:c>
      <x:c r="AA17" s="10" t="str">
        <x:f>INDEX('Water Lots'!$N$6:$N$23,MATCH(F17,'Water Lots'!$A$6:$A$23,0))</x:f>
        <x:v>OPEN</x:v>
      </x:c>
      <x:c r="AB17" s="10" t="str">
        <x:f>INDEX('Simulant Lots'!$N$6:$N$23,MATCH(G17,'Simulant Lots'!$A$6:$A$23,0))</x:f>
        <x:v>OPEN</x:v>
      </x:c>
      <x:c r="AC17" s="10" t="str">
        <x:f>INDEX('Module Bank'!$L$6:$L$23,MATCH(E17,'Module Bank'!$A$6:$A$23,0))</x:f>
        <x:v>OPEN</x:v>
      </x:c>
      <x:c r="AD17" s="10" t="str">
        <x:f>IF('Code Schedule'!J15="DORMANT","DORMANT",IF(OR('Code Schedule'!J15="OPEN",COUNTIF('Code Ledger'!P24:P25,"OPEN")&gt;0),"OPEN",IF(AND('Code Schedule'!J15="ACCEPTED",COUNTIF('Code Ledger'!P24:P25,"PASS")=2),"ACCEPTED","DENY")))</x:f>
        <x:v>OPEN</x:v>
      </x:c>
      <x:c r="AE17" s="12"/>
      <x:c r="AF17" s="10" t="str">
        <x:f>IF(OR(C17="",H17="",COUNT(I17:M17)&lt;4,J17="",N17="",O17="",P17="",AE17="",U17="OPEN",V17="OPEN",W17="OPEN",X17="OPEN",Y17="OPEN",Z17="OPEN",AA17="OPEN",AB17="OPEN",AC17="OPEN",AD17="OPEN",AD17="DORMANT"),"OPEN",IF(AND(I17=0,J17="PROHIBITED",K17=0,L17=0,M17=0,N17&gt;='Assumptions'!$B$34,N17&lt;='Assumptions'!$B$35,O17&gt;='Assumptions'!$B$36,O17&lt;='Assumptions'!$B$37,P17&lt;='Assumptions'!$B$47,Q17&gt;='Assumptions'!$B$38,R17&gt;='Assumptions'!$B$38,ABS(S17)&lt;='Assumptions'!$B$43,ABS(T17)&lt;='Assumptions'!$B$44,U17="PASS",V17="PASS",W17="COMPLETE",X17="COMPLETE",Y17="ACCEPTED",Z17="ACCEPTED",AA17="RELEASED",AB17="RELEASED",AC17="ACCEPTED",AD17="ACCEPTED",AE17="NONE"),"CREDIT","VALID-ADVERSE"))</x:f>
        <x:v>OPEN</x:v>
      </x:c>
    </x:row>
    <x:row r="18">
      <x:c r="A18" s="10" t="str">
        <x:v>EV-11</x:v>
      </x:c>
      <x:c r="B18" s="10" t="str">
        <x:v>PRIMARY</x:v>
      </x:c>
      <x:c r="C18" s="10" t="str">
        <x:f>IF('Pair Decision'!B16="","",'Pair Decision'!B16)</x:f>
      </x:c>
      <x:c r="D18" s="10" t="str">
        <x:v>CELL-11</x:v>
      </x:c>
      <x:c r="E18" s="10" t="str">
        <x:v>ADM-11</x:v>
      </x:c>
      <x:c r="F18" s="10" t="str">
        <x:v>WLOT-11</x:v>
      </x:c>
      <x:c r="G18" s="10" t="str">
        <x:v>SLOT-11</x:v>
      </x:c>
      <x:c r="H18" s="10" t="str">
        <x:f>IF('Code Schedule'!E16="","",'Code Schedule'!E16)</x:f>
        <x:v>W-B / S-3</x:v>
      </x:c>
      <x:c r="I18" s="12"/>
      <x:c r="J18" s="12"/>
      <x:c r="K18" s="12"/>
      <x:c r="L18" s="12"/>
      <x:c r="M18" s="12"/>
      <x:c r="N18" s="10" t="str">
        <x:f>IF('Water Ledger'!B16="","",'Water Ledger'!B16)</x:f>
      </x:c>
      <x:c r="O18" s="10" t="str">
        <x:f>IF('Simulant Ledger'!B16="","",'Simulant Ledger'!B16)</x:f>
      </x:c>
      <x:c r="P18" s="12"/>
      <x:c r="Q18" s="10" t="str">
        <x:f>IF('Water Ledger'!N16="OPEN","",'Water Ledger'!M16)</x:f>
      </x:c>
      <x:c r="R18" s="10" t="str">
        <x:f>IF('Simulant Ledger'!N16="OPEN","",'Simulant Ledger'!M16)</x:f>
      </x:c>
      <x:c r="S18" s="10" t="str">
        <x:f>IF('Water Ledger'!N16="OPEN","",'Water Ledger'!L16)</x:f>
      </x:c>
      <x:c r="T18" s="10" t="str">
        <x:f>IF('Simulant Ledger'!N16="OPEN","",'Simulant Ledger'!L16)</x:f>
      </x:c>
      <x:c r="U18" s="10" t="str">
        <x:f>'Ancestry Results'!N16</x:f>
        <x:v>OPEN</x:v>
      </x:c>
      <x:c r="V18" s="10" t="str">
        <x:f>Separation!D16</x:f>
        <x:v>OPEN</x:v>
      </x:c>
      <x:c r="W18" s="10" t="str">
        <x:f>'Event Gates'!D16</x:f>
        <x:v>OPEN</x:v>
      </x:c>
      <x:c r="X18" s="10" t="str">
        <x:f>'Evidence Objects'!L16</x:f>
        <x:v>OPEN</x:v>
      </x:c>
      <x:c r="Y18" s="10" t="str">
        <x:f>Return!N16</x:f>
        <x:v>OPEN</x:v>
      </x:c>
      <x:c r="Z18" s="10" t="str">
        <x:f>Replay!G16</x:f>
        <x:v>OPEN</x:v>
      </x:c>
      <x:c r="AA18" s="10" t="str">
        <x:f>INDEX('Water Lots'!$N$6:$N$23,MATCH(F18,'Water Lots'!$A$6:$A$23,0))</x:f>
        <x:v>OPEN</x:v>
      </x:c>
      <x:c r="AB18" s="10" t="str">
        <x:f>INDEX('Simulant Lots'!$N$6:$N$23,MATCH(G18,'Simulant Lots'!$A$6:$A$23,0))</x:f>
        <x:v>OPEN</x:v>
      </x:c>
      <x:c r="AC18" s="10" t="str">
        <x:f>INDEX('Module Bank'!$L$6:$L$23,MATCH(E18,'Module Bank'!$A$6:$A$23,0))</x:f>
        <x:v>OPEN</x:v>
      </x:c>
      <x:c r="AD18" s="10" t="str">
        <x:f>IF('Code Schedule'!J16="DORMANT","DORMANT",IF(OR('Code Schedule'!J16="OPEN",COUNTIF('Code Ledger'!P26:P27,"OPEN")&gt;0),"OPEN",IF(AND('Code Schedule'!J16="ACCEPTED",COUNTIF('Code Ledger'!P26:P27,"PASS")=2),"ACCEPTED","DENY")))</x:f>
        <x:v>OPEN</x:v>
      </x:c>
      <x:c r="AE18" s="12"/>
      <x:c r="AF18" s="10" t="str">
        <x:f>IF(OR(C18="",H18="",COUNT(I18:M18)&lt;4,J18="",N18="",O18="",P18="",AE18="",U18="OPEN",V18="OPEN",W18="OPEN",X18="OPEN",Y18="OPEN",Z18="OPEN",AA18="OPEN",AB18="OPEN",AC18="OPEN",AD18="OPEN",AD18="DORMANT"),"OPEN",IF(AND(I18=0,J18="PROHIBITED",K18=0,L18=0,M18=0,N18&gt;='Assumptions'!$B$34,N18&lt;='Assumptions'!$B$35,O18&gt;='Assumptions'!$B$36,O18&lt;='Assumptions'!$B$37,P18&lt;='Assumptions'!$B$47,Q18&gt;='Assumptions'!$B$38,R18&gt;='Assumptions'!$B$38,ABS(S18)&lt;='Assumptions'!$B$43,ABS(T18)&lt;='Assumptions'!$B$44,U18="PASS",V18="PASS",W18="COMPLETE",X18="COMPLETE",Y18="ACCEPTED",Z18="ACCEPTED",AA18="RELEASED",AB18="RELEASED",AC18="ACCEPTED",AD18="ACCEPTED",AE18="NONE"),"CREDIT","VALID-ADVERSE"))</x:f>
        <x:v>OPEN</x:v>
      </x:c>
    </x:row>
    <x:row r="19">
      <x:c r="A19" s="10" t="str">
        <x:v>EV-12</x:v>
      </x:c>
      <x:c r="B19" s="10" t="str">
        <x:v>PRIMARY</x:v>
      </x:c>
      <x:c r="C19" s="10" t="str">
        <x:f>IF('Pair Decision'!B17="","",'Pair Decision'!B17)</x:f>
      </x:c>
      <x:c r="D19" s="10" t="str">
        <x:v>CELL-12</x:v>
      </x:c>
      <x:c r="E19" s="10" t="str">
        <x:v>ADM-12</x:v>
      </x:c>
      <x:c r="F19" s="10" t="str">
        <x:v>WLOT-12</x:v>
      </x:c>
      <x:c r="G19" s="10" t="str">
        <x:v>SLOT-12</x:v>
      </x:c>
      <x:c r="H19" s="10" t="str">
        <x:f>IF('Code Schedule'!E17="","",'Code Schedule'!E17)</x:f>
        <x:v>W-C / S-4</x:v>
      </x:c>
      <x:c r="I19" s="12"/>
      <x:c r="J19" s="12"/>
      <x:c r="K19" s="12"/>
      <x:c r="L19" s="12"/>
      <x:c r="M19" s="12"/>
      <x:c r="N19" s="10" t="str">
        <x:f>IF('Water Ledger'!B17="","",'Water Ledger'!B17)</x:f>
      </x:c>
      <x:c r="O19" s="10" t="str">
        <x:f>IF('Simulant Ledger'!B17="","",'Simulant Ledger'!B17)</x:f>
      </x:c>
      <x:c r="P19" s="12"/>
      <x:c r="Q19" s="10" t="str">
        <x:f>IF('Water Ledger'!N17="OPEN","",'Water Ledger'!M17)</x:f>
      </x:c>
      <x:c r="R19" s="10" t="str">
        <x:f>IF('Simulant Ledger'!N17="OPEN","",'Simulant Ledger'!M17)</x:f>
      </x:c>
      <x:c r="S19" s="10" t="str">
        <x:f>IF('Water Ledger'!N17="OPEN","",'Water Ledger'!L17)</x:f>
      </x:c>
      <x:c r="T19" s="10" t="str">
        <x:f>IF('Simulant Ledger'!N17="OPEN","",'Simulant Ledger'!L17)</x:f>
      </x:c>
      <x:c r="U19" s="10" t="str">
        <x:f>'Ancestry Results'!N17</x:f>
        <x:v>OPEN</x:v>
      </x:c>
      <x:c r="V19" s="10" t="str">
        <x:f>Separation!D17</x:f>
        <x:v>OPEN</x:v>
      </x:c>
      <x:c r="W19" s="10" t="str">
        <x:f>'Event Gates'!D17</x:f>
        <x:v>OPEN</x:v>
      </x:c>
      <x:c r="X19" s="10" t="str">
        <x:f>'Evidence Objects'!L17</x:f>
        <x:v>OPEN</x:v>
      </x:c>
      <x:c r="Y19" s="10" t="str">
        <x:f>Return!N17</x:f>
        <x:v>OPEN</x:v>
      </x:c>
      <x:c r="Z19" s="10" t="str">
        <x:f>Replay!G17</x:f>
        <x:v>OPEN</x:v>
      </x:c>
      <x:c r="AA19" s="10" t="str">
        <x:f>INDEX('Water Lots'!$N$6:$N$23,MATCH(F19,'Water Lots'!$A$6:$A$23,0))</x:f>
        <x:v>OPEN</x:v>
      </x:c>
      <x:c r="AB19" s="10" t="str">
        <x:f>INDEX('Simulant Lots'!$N$6:$N$23,MATCH(G19,'Simulant Lots'!$A$6:$A$23,0))</x:f>
        <x:v>OPEN</x:v>
      </x:c>
      <x:c r="AC19" s="10" t="str">
        <x:f>INDEX('Module Bank'!$L$6:$L$23,MATCH(E19,'Module Bank'!$A$6:$A$23,0))</x:f>
        <x:v>OPEN</x:v>
      </x:c>
      <x:c r="AD19" s="10" t="str">
        <x:f>IF('Code Schedule'!J17="DORMANT","DORMANT",IF(OR('Code Schedule'!J17="OPEN",COUNTIF('Code Ledger'!P28:P29,"OPEN")&gt;0),"OPEN",IF(AND('Code Schedule'!J17="ACCEPTED",COUNTIF('Code Ledger'!P28:P29,"PASS")=2),"ACCEPTED","DENY")))</x:f>
        <x:v>OPEN</x:v>
      </x:c>
      <x:c r="AE19" s="12"/>
      <x:c r="AF19" s="10" t="str">
        <x:f>IF(OR(C19="",H19="",COUNT(I19:M19)&lt;4,J19="",N19="",O19="",P19="",AE19="",U19="OPEN",V19="OPEN",W19="OPEN",X19="OPEN",Y19="OPEN",Z19="OPEN",AA19="OPEN",AB19="OPEN",AC19="OPEN",AD19="OPEN",AD19="DORMANT"),"OPEN",IF(AND(I19=0,J19="PROHIBITED",K19=0,L19=0,M19=0,N19&gt;='Assumptions'!$B$34,N19&lt;='Assumptions'!$B$35,O19&gt;='Assumptions'!$B$36,O19&lt;='Assumptions'!$B$37,P19&lt;='Assumptions'!$B$47,Q19&gt;='Assumptions'!$B$38,R19&gt;='Assumptions'!$B$38,ABS(S19)&lt;='Assumptions'!$B$43,ABS(T19)&lt;='Assumptions'!$B$44,U19="PASS",V19="PASS",W19="COMPLETE",X19="COMPLETE",Y19="ACCEPTED",Z19="ACCEPTED",AA19="RELEASED",AB19="RELEASED",AC19="ACCEPTED",AD19="ACCEPTED",AE19="NONE"),"CREDIT","VALID-ADVERSE"))</x:f>
        <x:v>OPEN</x:v>
      </x:c>
    </x:row>
    <x:row r="20">
      <x:c r="A20" s="10" t="str">
        <x:v>EV-13</x:v>
      </x:c>
      <x:c r="B20" s="10" t="str">
        <x:v>RESERVE</x:v>
      </x:c>
      <x:c r="C20" s="10" t="str">
        <x:f>IF('Pair Decision'!B16="","",'Pair Decision'!B16)</x:f>
      </x:c>
      <x:c r="D20" s="10" t="str">
        <x:v>RESERVE-CELL-13</x:v>
      </x:c>
      <x:c r="E20" s="10" t="str">
        <x:v>ADM-13</x:v>
      </x:c>
      <x:c r="F20" s="10" t="str">
        <x:v>WLOT-13</x:v>
      </x:c>
      <x:c r="G20" s="10" t="str">
        <x:v>SLOT-13</x:v>
      </x:c>
      <x:c r="H20" s="10" t="str">
        <x:f>IF('Code Schedule'!E18="","",'Code Schedule'!E18)</x:f>
      </x:c>
      <x:c r="I20" s="12"/>
      <x:c r="J20" s="12"/>
      <x:c r="K20" s="12"/>
      <x:c r="L20" s="12"/>
      <x:c r="M20" s="12"/>
      <x:c r="N20" s="10" t="str">
        <x:f>IF('Water Ledger'!B18="","",'Water Ledger'!B18)</x:f>
      </x:c>
      <x:c r="O20" s="10" t="str">
        <x:f>IF('Simulant Ledger'!B18="","",'Simulant Ledger'!B18)</x:f>
      </x:c>
      <x:c r="P20" s="12"/>
      <x:c r="Q20" s="10" t="str">
        <x:f>IF('Water Ledger'!N18="OPEN","",'Water Ledger'!M18)</x:f>
      </x:c>
      <x:c r="R20" s="10" t="str">
        <x:f>IF('Simulant Ledger'!N18="OPEN","",'Simulant Ledger'!M18)</x:f>
      </x:c>
      <x:c r="S20" s="10" t="str">
        <x:f>IF('Water Ledger'!N18="OPEN","",'Water Ledger'!L18)</x:f>
      </x:c>
      <x:c r="T20" s="10" t="str">
        <x:f>IF('Simulant Ledger'!N18="OPEN","",'Simulant Ledger'!L18)</x:f>
      </x:c>
      <x:c r="U20" s="10" t="str">
        <x:f>'Ancestry Results'!N18</x:f>
        <x:v>OPEN</x:v>
      </x:c>
      <x:c r="V20" s="10" t="str">
        <x:f>Separation!D18</x:f>
        <x:v>OPEN</x:v>
      </x:c>
      <x:c r="W20" s="10" t="str">
        <x:f>'Event Gates'!D18</x:f>
        <x:v>OPEN</x:v>
      </x:c>
      <x:c r="X20" s="10" t="str">
        <x:f>'Evidence Objects'!L18</x:f>
        <x:v>OPEN</x:v>
      </x:c>
      <x:c r="Y20" s="10" t="str">
        <x:f>Return!N18</x:f>
        <x:v>OPEN</x:v>
      </x:c>
      <x:c r="Z20" s="10" t="str">
        <x:f>Replay!G18</x:f>
        <x:v>OPEN</x:v>
      </x:c>
      <x:c r="AA20" s="10" t="str">
        <x:f>INDEX('Water Lots'!$N$6:$N$23,MATCH(F20,'Water Lots'!$A$6:$A$23,0))</x:f>
        <x:v>OPEN</x:v>
      </x:c>
      <x:c r="AB20" s="10" t="str">
        <x:f>INDEX('Simulant Lots'!$N$6:$N$23,MATCH(G20,'Simulant Lots'!$A$6:$A$23,0))</x:f>
        <x:v>OPEN</x:v>
      </x:c>
      <x:c r="AC20" s="10" t="str">
        <x:f>INDEX('Module Bank'!$L$6:$L$23,MATCH(E20,'Module Bank'!$A$6:$A$23,0))</x:f>
        <x:v>OPEN</x:v>
      </x:c>
      <x:c r="AD20" s="10" t="str">
        <x:f>IF('Code Schedule'!J18="DORMANT","DORMANT",IF(OR('Code Schedule'!J18="OPEN",COUNTIF('Code Ledger'!P30:P31,"OPEN")&gt;0),"OPEN",IF(AND('Code Schedule'!J18="ACCEPTED",COUNTIF('Code Ledger'!P30:P31,"PASS")=2),"ACCEPTED","DENY")))</x:f>
        <x:v>OPEN</x:v>
      </x:c>
      <x:c r="AE20" s="12"/>
      <x:c r="AF20" s="10" t="str">
        <x:f>IF(OR(C20="",H20="",COUNT(I20:M20)&lt;4,J20="",N20="",O20="",P20="",AE20="",U20="OPEN",V20="OPEN",W20="OPEN",X20="OPEN",Y20="OPEN",Z20="OPEN",AA20="OPEN",AB20="OPEN",AC20="OPEN",AD20="OPEN",AD20="DORMANT"),"OPEN",IF(AND(I20=0,J20="PROHIBITED",K20=0,L20=0,M20=0,N20&gt;='Assumptions'!$B$34,N20&lt;='Assumptions'!$B$35,O20&gt;='Assumptions'!$B$36,O20&lt;='Assumptions'!$B$37,P20&lt;='Assumptions'!$B$47,Q20&gt;='Assumptions'!$B$38,R20&gt;='Assumptions'!$B$38,ABS(S20)&lt;='Assumptions'!$B$43,ABS(T20)&lt;='Assumptions'!$B$44,U20="PASS",V20="PASS",W20="COMPLETE",X20="COMPLETE",Y20="ACCEPTED",Z20="ACCEPTED",AA20="RELEASED",AB20="RELEASED",AC20="ACCEPTED",AD20="ACCEPTED",AE20="NONE"),"CREDIT","VALID-ADVERSE"))</x:f>
        <x:v>OPEN</x:v>
      </x:c>
    </x:row>
    <x:row r="21">
      <x:c r="A21" s="10" t="str">
        <x:v>EV-14</x:v>
      </x:c>
      <x:c r="B21" s="10" t="str">
        <x:v>RESERVE</x:v>
      </x:c>
      <x:c r="C21" s="10" t="str">
        <x:f>IF('Pair Decision'!B17="","",'Pair Decision'!B17)</x:f>
      </x:c>
      <x:c r="D21" s="10" t="str">
        <x:v>RESERVE-CELL-14</x:v>
      </x:c>
      <x:c r="E21" s="10" t="str">
        <x:v>ADM-14</x:v>
      </x:c>
      <x:c r="F21" s="10" t="str">
        <x:v>WLOT-14</x:v>
      </x:c>
      <x:c r="G21" s="10" t="str">
        <x:v>SLOT-14</x:v>
      </x:c>
      <x:c r="H21" s="10" t="str">
        <x:f>IF('Code Schedule'!E19="","",'Code Schedule'!E19)</x:f>
      </x:c>
      <x:c r="I21" s="12"/>
      <x:c r="J21" s="12"/>
      <x:c r="K21" s="12"/>
      <x:c r="L21" s="12"/>
      <x:c r="M21" s="12"/>
      <x:c r="N21" s="10" t="str">
        <x:f>IF('Water Ledger'!B19="","",'Water Ledger'!B19)</x:f>
      </x:c>
      <x:c r="O21" s="10" t="str">
        <x:f>IF('Simulant Ledger'!B19="","",'Simulant Ledger'!B19)</x:f>
      </x:c>
      <x:c r="P21" s="12"/>
      <x:c r="Q21" s="10" t="str">
        <x:f>IF('Water Ledger'!N19="OPEN","",'Water Ledger'!M19)</x:f>
      </x:c>
      <x:c r="R21" s="10" t="str">
        <x:f>IF('Simulant Ledger'!N19="OPEN","",'Simulant Ledger'!M19)</x:f>
      </x:c>
      <x:c r="S21" s="10" t="str">
        <x:f>IF('Water Ledger'!N19="OPEN","",'Water Ledger'!L19)</x:f>
      </x:c>
      <x:c r="T21" s="10" t="str">
        <x:f>IF('Simulant Ledger'!N19="OPEN","",'Simulant Ledger'!L19)</x:f>
      </x:c>
      <x:c r="U21" s="10" t="str">
        <x:f>'Ancestry Results'!N19</x:f>
        <x:v>OPEN</x:v>
      </x:c>
      <x:c r="V21" s="10" t="str">
        <x:f>Separation!D19</x:f>
        <x:v>OPEN</x:v>
      </x:c>
      <x:c r="W21" s="10" t="str">
        <x:f>'Event Gates'!D19</x:f>
        <x:v>OPEN</x:v>
      </x:c>
      <x:c r="X21" s="10" t="str">
        <x:f>'Evidence Objects'!L19</x:f>
        <x:v>OPEN</x:v>
      </x:c>
      <x:c r="Y21" s="10" t="str">
        <x:f>Return!N19</x:f>
        <x:v>OPEN</x:v>
      </x:c>
      <x:c r="Z21" s="10" t="str">
        <x:f>Replay!G19</x:f>
        <x:v>OPEN</x:v>
      </x:c>
      <x:c r="AA21" s="10" t="str">
        <x:f>INDEX('Water Lots'!$N$6:$N$23,MATCH(F21,'Water Lots'!$A$6:$A$23,0))</x:f>
        <x:v>OPEN</x:v>
      </x:c>
      <x:c r="AB21" s="10" t="str">
        <x:f>INDEX('Simulant Lots'!$N$6:$N$23,MATCH(G21,'Simulant Lots'!$A$6:$A$23,0))</x:f>
        <x:v>OPEN</x:v>
      </x:c>
      <x:c r="AC21" s="10" t="str">
        <x:f>INDEX('Module Bank'!$L$6:$L$23,MATCH(E21,'Module Bank'!$A$6:$A$23,0))</x:f>
        <x:v>OPEN</x:v>
      </x:c>
      <x:c r="AD21" s="10" t="str">
        <x:f>IF('Code Schedule'!J19="DORMANT","DORMANT",IF(OR('Code Schedule'!J19="OPEN",COUNTIF('Code Ledger'!P32:P33,"OPEN")&gt;0),"OPEN",IF(AND('Code Schedule'!J19="ACCEPTED",COUNTIF('Code Ledger'!P32:P33,"PASS")=2),"ACCEPTED","DENY")))</x:f>
        <x:v>OPEN</x:v>
      </x:c>
      <x:c r="AE21" s="12"/>
      <x:c r="AF21" s="10" t="str">
        <x:f>IF(OR(C21="",H21="",COUNT(I21:M21)&lt;4,J21="",N21="",O21="",P21="",AE21="",U21="OPEN",V21="OPEN",W21="OPEN",X21="OPEN",Y21="OPEN",Z21="OPEN",AA21="OPEN",AB21="OPEN",AC21="OPEN",AD21="OPEN",AD21="DORMANT"),"OPEN",IF(AND(I21=0,J21="PROHIBITED",K21=0,L21=0,M21=0,N21&gt;='Assumptions'!$B$34,N21&lt;='Assumptions'!$B$35,O21&gt;='Assumptions'!$B$36,O21&lt;='Assumptions'!$B$37,P21&lt;='Assumptions'!$B$47,Q21&gt;='Assumptions'!$B$38,R21&gt;='Assumptions'!$B$38,ABS(S21)&lt;='Assumptions'!$B$43,ABS(T21)&lt;='Assumptions'!$B$44,U21="PASS",V21="PASS",W21="COMPLETE",X21="COMPLETE",Y21="ACCEPTED",Z21="ACCEPTED",AA21="RELEASED",AB21="RELEASED",AC21="ACCEPTED",AD21="ACCEPTED",AE21="NONE"),"CREDIT","VALID-ADVERSE"))</x:f>
        <x:v>OPEN</x:v>
      </x:c>
    </x:row>
    <x:row r="22">
      <x:c r="A22" s="10" t="str">
        <x:v>EV-15</x:v>
      </x:c>
      <x:c r="B22" s="10" t="str">
        <x:v>RESERVE</x:v>
      </x:c>
      <x:c r="C22" s="10" t="str">
        <x:f>IF('Pair Decision'!B16="","",'Pair Decision'!B16)</x:f>
      </x:c>
      <x:c r="D22" s="10" t="str">
        <x:v>RESERVE-CELL-15</x:v>
      </x:c>
      <x:c r="E22" s="10" t="str">
        <x:v>ADM-15</x:v>
      </x:c>
      <x:c r="F22" s="10" t="str">
        <x:v>WLOT-15</x:v>
      </x:c>
      <x:c r="G22" s="10" t="str">
        <x:v>SLOT-15</x:v>
      </x:c>
      <x:c r="H22" s="10" t="str">
        <x:f>IF('Code Schedule'!E20="","",'Code Schedule'!E20)</x:f>
      </x:c>
      <x:c r="I22" s="12"/>
      <x:c r="J22" s="12"/>
      <x:c r="K22" s="12"/>
      <x:c r="L22" s="12"/>
      <x:c r="M22" s="12"/>
      <x:c r="N22" s="10" t="str">
        <x:f>IF('Water Ledger'!B20="","",'Water Ledger'!B20)</x:f>
      </x:c>
      <x:c r="O22" s="10" t="str">
        <x:f>IF('Simulant Ledger'!B20="","",'Simulant Ledger'!B20)</x:f>
      </x:c>
      <x:c r="P22" s="12"/>
      <x:c r="Q22" s="10" t="str">
        <x:f>IF('Water Ledger'!N20="OPEN","",'Water Ledger'!M20)</x:f>
      </x:c>
      <x:c r="R22" s="10" t="str">
        <x:f>IF('Simulant Ledger'!N20="OPEN","",'Simulant Ledger'!M20)</x:f>
      </x:c>
      <x:c r="S22" s="10" t="str">
        <x:f>IF('Water Ledger'!N20="OPEN","",'Water Ledger'!L20)</x:f>
      </x:c>
      <x:c r="T22" s="10" t="str">
        <x:f>IF('Simulant Ledger'!N20="OPEN","",'Simulant Ledger'!L20)</x:f>
      </x:c>
      <x:c r="U22" s="10" t="str">
        <x:f>'Ancestry Results'!N20</x:f>
        <x:v>OPEN</x:v>
      </x:c>
      <x:c r="V22" s="10" t="str">
        <x:f>Separation!D20</x:f>
        <x:v>OPEN</x:v>
      </x:c>
      <x:c r="W22" s="10" t="str">
        <x:f>'Event Gates'!D20</x:f>
        <x:v>OPEN</x:v>
      </x:c>
      <x:c r="X22" s="10" t="str">
        <x:f>'Evidence Objects'!L20</x:f>
        <x:v>OPEN</x:v>
      </x:c>
      <x:c r="Y22" s="10" t="str">
        <x:f>Return!N20</x:f>
        <x:v>OPEN</x:v>
      </x:c>
      <x:c r="Z22" s="10" t="str">
        <x:f>Replay!G20</x:f>
        <x:v>OPEN</x:v>
      </x:c>
      <x:c r="AA22" s="10" t="str">
        <x:f>INDEX('Water Lots'!$N$6:$N$23,MATCH(F22,'Water Lots'!$A$6:$A$23,0))</x:f>
        <x:v>OPEN</x:v>
      </x:c>
      <x:c r="AB22" s="10" t="str">
        <x:f>INDEX('Simulant Lots'!$N$6:$N$23,MATCH(G22,'Simulant Lots'!$A$6:$A$23,0))</x:f>
        <x:v>OPEN</x:v>
      </x:c>
      <x:c r="AC22" s="10" t="str">
        <x:f>INDEX('Module Bank'!$L$6:$L$23,MATCH(E22,'Module Bank'!$A$6:$A$23,0))</x:f>
        <x:v>OPEN</x:v>
      </x:c>
      <x:c r="AD22" s="10" t="str">
        <x:f>IF('Code Schedule'!J20="DORMANT","DORMANT",IF(OR('Code Schedule'!J20="OPEN",COUNTIF('Code Ledger'!P34:P35,"OPEN")&gt;0),"OPEN",IF(AND('Code Schedule'!J20="ACCEPTED",COUNTIF('Code Ledger'!P34:P35,"PASS")=2),"ACCEPTED","DENY")))</x:f>
        <x:v>OPEN</x:v>
      </x:c>
      <x:c r="AE22" s="12"/>
      <x:c r="AF22" s="10" t="str">
        <x:f>IF(OR(C22="",H22="",COUNT(I22:M22)&lt;4,J22="",N22="",O22="",P22="",AE22="",U22="OPEN",V22="OPEN",W22="OPEN",X22="OPEN",Y22="OPEN",Z22="OPEN",AA22="OPEN",AB22="OPEN",AC22="OPEN",AD22="OPEN",AD22="DORMANT"),"OPEN",IF(AND(I22=0,J22="PROHIBITED",K22=0,L22=0,M22=0,N22&gt;='Assumptions'!$B$34,N22&lt;='Assumptions'!$B$35,O22&gt;='Assumptions'!$B$36,O22&lt;='Assumptions'!$B$37,P22&lt;='Assumptions'!$B$47,Q22&gt;='Assumptions'!$B$38,R22&gt;='Assumptions'!$B$38,ABS(S22)&lt;='Assumptions'!$B$43,ABS(T22)&lt;='Assumptions'!$B$44,U22="PASS",V22="PASS",W22="COMPLETE",X22="COMPLETE",Y22="ACCEPTED",Z22="ACCEPTED",AA22="RELEASED",AB22="RELEASED",AC22="ACCEPTED",AD22="ACCEPTED",AE22="NONE"),"CREDIT","VALID-ADVERSE"))</x:f>
        <x:v>OPEN</x:v>
      </x:c>
    </x:row>
    <x:row r="23">
      <x:c r="A23" s="10" t="str">
        <x:v>EV-16</x:v>
      </x:c>
      <x:c r="B23" s="10" t="str">
        <x:v>RESERVE</x:v>
      </x:c>
      <x:c r="C23" s="10" t="str">
        <x:f>IF('Pair Decision'!B17="","",'Pair Decision'!B17)</x:f>
      </x:c>
      <x:c r="D23" s="10" t="str">
        <x:v>RESERVE-CELL-16</x:v>
      </x:c>
      <x:c r="E23" s="10" t="str">
        <x:v>ADM-16</x:v>
      </x:c>
      <x:c r="F23" s="10" t="str">
        <x:v>WLOT-16</x:v>
      </x:c>
      <x:c r="G23" s="10" t="str">
        <x:v>SLOT-16</x:v>
      </x:c>
      <x:c r="H23" s="10" t="str">
        <x:f>IF('Code Schedule'!E21="","",'Code Schedule'!E21)</x:f>
      </x:c>
      <x:c r="I23" s="12"/>
      <x:c r="J23" s="12"/>
      <x:c r="K23" s="12"/>
      <x:c r="L23" s="12"/>
      <x:c r="M23" s="12"/>
      <x:c r="N23" s="10" t="str">
        <x:f>IF('Water Ledger'!B21="","",'Water Ledger'!B21)</x:f>
      </x:c>
      <x:c r="O23" s="10" t="str">
        <x:f>IF('Simulant Ledger'!B21="","",'Simulant Ledger'!B21)</x:f>
      </x:c>
      <x:c r="P23" s="12"/>
      <x:c r="Q23" s="10" t="str">
        <x:f>IF('Water Ledger'!N21="OPEN","",'Water Ledger'!M21)</x:f>
      </x:c>
      <x:c r="R23" s="10" t="str">
        <x:f>IF('Simulant Ledger'!N21="OPEN","",'Simulant Ledger'!M21)</x:f>
      </x:c>
      <x:c r="S23" s="10" t="str">
        <x:f>IF('Water Ledger'!N21="OPEN","",'Water Ledger'!L21)</x:f>
      </x:c>
      <x:c r="T23" s="10" t="str">
        <x:f>IF('Simulant Ledger'!N21="OPEN","",'Simulant Ledger'!L21)</x:f>
      </x:c>
      <x:c r="U23" s="10" t="str">
        <x:f>'Ancestry Results'!N21</x:f>
        <x:v>OPEN</x:v>
      </x:c>
      <x:c r="V23" s="10" t="str">
        <x:f>Separation!D21</x:f>
        <x:v>OPEN</x:v>
      </x:c>
      <x:c r="W23" s="10" t="str">
        <x:f>'Event Gates'!D21</x:f>
        <x:v>OPEN</x:v>
      </x:c>
      <x:c r="X23" s="10" t="str">
        <x:f>'Evidence Objects'!L21</x:f>
        <x:v>OPEN</x:v>
      </x:c>
      <x:c r="Y23" s="10" t="str">
        <x:f>Return!N21</x:f>
        <x:v>OPEN</x:v>
      </x:c>
      <x:c r="Z23" s="10" t="str">
        <x:f>Replay!G21</x:f>
        <x:v>OPEN</x:v>
      </x:c>
      <x:c r="AA23" s="10" t="str">
        <x:f>INDEX('Water Lots'!$N$6:$N$23,MATCH(F23,'Water Lots'!$A$6:$A$23,0))</x:f>
        <x:v>OPEN</x:v>
      </x:c>
      <x:c r="AB23" s="10" t="str">
        <x:f>INDEX('Simulant Lots'!$N$6:$N$23,MATCH(G23,'Simulant Lots'!$A$6:$A$23,0))</x:f>
        <x:v>OPEN</x:v>
      </x:c>
      <x:c r="AC23" s="10" t="str">
        <x:f>INDEX('Module Bank'!$L$6:$L$23,MATCH(E23,'Module Bank'!$A$6:$A$23,0))</x:f>
        <x:v>OPEN</x:v>
      </x:c>
      <x:c r="AD23" s="10" t="str">
        <x:f>IF('Code Schedule'!J21="DORMANT","DORMANT",IF(OR('Code Schedule'!J21="OPEN",COUNTIF('Code Ledger'!P36:P37,"OPEN")&gt;0),"OPEN",IF(AND('Code Schedule'!J21="ACCEPTED",COUNTIF('Code Ledger'!P36:P37,"PASS")=2),"ACCEPTED","DENY")))</x:f>
        <x:v>OPEN</x:v>
      </x:c>
      <x:c r="AE23" s="12"/>
      <x:c r="AF23" s="10" t="str">
        <x:f>IF(OR(C23="",H23="",COUNT(I23:M23)&lt;4,J23="",N23="",O23="",P23="",AE23="",U23="OPEN",V23="OPEN",W23="OPEN",X23="OPEN",Y23="OPEN",Z23="OPEN",AA23="OPEN",AB23="OPEN",AC23="OPEN",AD23="OPEN",AD23="DORMANT"),"OPEN",IF(AND(I23=0,J23="PROHIBITED",K23=0,L23=0,M23=0,N23&gt;='Assumptions'!$B$34,N23&lt;='Assumptions'!$B$35,O23&gt;='Assumptions'!$B$36,O23&lt;='Assumptions'!$B$37,P23&lt;='Assumptions'!$B$47,Q23&gt;='Assumptions'!$B$38,R23&gt;='Assumptions'!$B$38,ABS(S23)&lt;='Assumptions'!$B$43,ABS(T23)&lt;='Assumptions'!$B$44,U23="PASS",V23="PASS",W23="COMPLETE",X23="COMPLETE",Y23="ACCEPTED",Z23="ACCEPTED",AA23="RELEASED",AB23="RELEASED",AC23="ACCEPTED",AD23="ACCEPTED",AE23="NONE"),"CREDIT","VALID-ADVERSE"))</x:f>
        <x:v>OPEN</x:v>
      </x:c>
    </x:row>
  </x:sheetData>
  <x:mergeCells>
    <x:mergeCell ref="A2:AF2"/>
    <x:mergeCell ref="A5:AF5"/>
  </x:mergeCells>
  <x:conditionalFormatting sqref="AF8:AF23">
    <x:cfRule type="containsText" dxfId="138" priority="1" operator="containsText" text="DENY"/>
    <x:cfRule type="containsText" dxfId="139" priority="2" operator="containsText" text="ADVERSE"/>
    <x:cfRule type="containsText" dxfId="140" priority="3" operator="containsText" text="FAIL"/>
    <x:cfRule type="containsText" dxfId="141" priority="4" operator="containsText" text="OPEN"/>
    <x:cfRule type="containsText" dxfId="142" priority="5" operator="containsText" text="BLOCKED"/>
    <x:cfRule type="containsText" dxfId="143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5b6087550ce7420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1" hidden="0" customWidth="1"/>
    <x:col min="4" max="4" width="28" hidden="0" customWidth="1"/>
    <x:col min="5" max="5" width="20" hidden="0" customWidth="1"/>
    <x:col min="6" max="6" width="22" hidden="0" customWidth="1"/>
    <x:col min="7" max="7" width="16" hidden="0" customWidth="1"/>
    <x:col min="8" max="8" width="22" hidden="0" customWidth="1"/>
    <x:col min="9" max="9" width="15" hidden="0" customWidth="1"/>
    <x:col min="10" max="10" width="18" hidden="0" customWidth="1"/>
    <x:col min="11" max="11" width="16" hidden="0" customWidth="1"/>
    <x:col min="12" max="12" width="17" hidden="0" customWidth="1"/>
    <x:col min="13" max="13" width="19" hidden="0" customWidth="1"/>
    <x:col min="14" max="14" width="19" hidden="0" customWidth="1"/>
  </x:cols>
  <x:sheetData>
    <x:row r="2" ht="24" customHeight="1">
      <x:c r="A2" s="1" t="str">
        <x:v>Event water mass-balance ledger</x:v>
      </x:c>
    </x:row>
    <x:row r="4" ht="22" customHeight="1">
      <x:c r="A4" s="15" t="str">
        <x:v>Every issued litre terminates in one mutually exclusive disposition. Casualty and environment quantities are numeric, not narrative attestations.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</x:row>
    <x:row r="5">
      <x:c r="A5" s="8" t="str">
        <x:v>Event</x:v>
      </x:c>
      <x:c r="B5" s="8" t="str">
        <x:v>Issued m³</x:v>
      </x:c>
      <x:c r="C5" s="8" t="str">
        <x:v>Recovered water m³</x:v>
      </x:c>
      <x:c r="D5" s="8" t="str">
        <x:v>Recovered-simulant water m³</x:v>
      </x:c>
      <x:c r="E5" s="8" t="str">
        <x:v>Retained system m³</x:v>
      </x:c>
      <x:c r="F5" s="8" t="str">
        <x:v>Analytical samples m³</x:v>
      </x:c>
      <x:c r="G5" s="8" t="str">
        <x:v>Quarantine m³</x:v>
      </x:c>
      <x:c r="H5" s="8" t="str">
        <x:v>Vapor and humidity m³</x:v>
      </x:c>
      <x:c r="I5" s="8" t="str">
        <x:v>Casualty m³</x:v>
      </x:c>
      <x:c r="J5" s="8" t="str">
        <x:v>Environment m³</x:v>
      </x:c>
      <x:c r="K5" s="8" t="str">
        <x:v>Accounted m³</x:v>
      </x:c>
      <x:c r="L5" s="8" t="str">
        <x:v>Unexplained m³</x:v>
      </x:c>
      <x:c r="M5" s="8" t="str">
        <x:v>Accounted fraction</x:v>
      </x:c>
      <x:c r="N5" s="8" t="str">
        <x:v>State</x:v>
      </x:c>
    </x:row>
    <x:row r="6">
      <x:c r="A6" s="10" t="str">
        <x:v>EV-01</x:v>
      </x:c>
      <x:c r="B6" s="16"/>
      <x:c r="C6" s="16"/>
      <x:c r="D6" s="16"/>
      <x:c r="E6" s="16"/>
      <x:c r="F6" s="16"/>
      <x:c r="G6" s="16"/>
      <x:c r="H6" s="16"/>
      <x:c r="I6" s="16"/>
      <x:c r="J6" s="16"/>
      <x:c r="K6" s="17" t="str">
        <x:f>IF(COUNT(C6:J6)&lt;8,"",SUM(C6:J6))</x:f>
      </x:c>
      <x:c r="L6" s="17" t="str">
        <x:f>IF(OR(B6="",K6=""),"",B6-K6)</x:f>
      </x:c>
      <x:c r="M6" s="17" t="str">
        <x:f>IF(OR(B6="",B6=0,K6=""),"",K6/B6)</x:f>
      </x:c>
      <x:c r="N6" s="10" t="str">
        <x:f>IF(OR(B6="",COUNT(C6:J6)&lt;8),"OPEN",IF(AND(B6&gt;='Assumptions'!$B$34,B6&lt;='Assumptions'!$B$35,MIN(C6:J6)&gt;=0,ABS(L6)&lt;='Assumptions'!$B$43,M6&gt;='Assumptions'!$B$38,I6=0,J6=0),"PASS","VALID-ADVERSE"))</x:f>
        <x:v>OPEN</x:v>
      </x:c>
    </x:row>
    <x:row r="7">
      <x:c r="A7" s="10" t="str">
        <x:v>EV-02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7" t="str">
        <x:f>IF(COUNT(C7:J7)&lt;8,"",SUM(C7:J7))</x:f>
      </x:c>
      <x:c r="L7" s="17" t="str">
        <x:f>IF(OR(B7="",K7=""),"",B7-K7)</x:f>
      </x:c>
      <x:c r="M7" s="17" t="str">
        <x:f>IF(OR(B7="",B7=0,K7=""),"",K7/B7)</x:f>
      </x:c>
      <x:c r="N7" s="10" t="str">
        <x:f>IF(OR(B7="",COUNT(C7:J7)&lt;8),"OPEN",IF(AND(B7&gt;='Assumptions'!$B$34,B7&lt;='Assumptions'!$B$35,MIN(C7:J7)&gt;=0,ABS(L7)&lt;='Assumptions'!$B$43,M7&gt;='Assumptions'!$B$38,I7=0,J7=0),"PASS","VALID-ADVERSE"))</x:f>
        <x:v>OPEN</x:v>
      </x:c>
    </x:row>
    <x:row r="8">
      <x:c r="A8" s="10" t="str">
        <x:v>EV-03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7" t="str">
        <x:f>IF(COUNT(C8:J8)&lt;8,"",SUM(C8:J8))</x:f>
      </x:c>
      <x:c r="L8" s="17" t="str">
        <x:f>IF(OR(B8="",K8=""),"",B8-K8)</x:f>
      </x:c>
      <x:c r="M8" s="17" t="str">
        <x:f>IF(OR(B8="",B8=0,K8=""),"",K8/B8)</x:f>
      </x:c>
      <x:c r="N8" s="10" t="str">
        <x:f>IF(OR(B8="",COUNT(C8:J8)&lt;8),"OPEN",IF(AND(B8&gt;='Assumptions'!$B$34,B8&lt;='Assumptions'!$B$35,MIN(C8:J8)&gt;=0,ABS(L8)&lt;='Assumptions'!$B$43,M8&gt;='Assumptions'!$B$38,I8=0,J8=0),"PASS","VALID-ADVERSE"))</x:f>
        <x:v>OPEN</x:v>
      </x:c>
    </x:row>
    <x:row r="9">
      <x:c r="A9" s="10" t="str">
        <x:v>EV-04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7" t="str">
        <x:f>IF(COUNT(C9:J9)&lt;8,"",SUM(C9:J9))</x:f>
      </x:c>
      <x:c r="L9" s="17" t="str">
        <x:f>IF(OR(B9="",K9=""),"",B9-K9)</x:f>
      </x:c>
      <x:c r="M9" s="17" t="str">
        <x:f>IF(OR(B9="",B9=0,K9=""),"",K9/B9)</x:f>
      </x:c>
      <x:c r="N9" s="10" t="str">
        <x:f>IF(OR(B9="",COUNT(C9:J9)&lt;8),"OPEN",IF(AND(B9&gt;='Assumptions'!$B$34,B9&lt;='Assumptions'!$B$35,MIN(C9:J9)&gt;=0,ABS(L9)&lt;='Assumptions'!$B$43,M9&gt;='Assumptions'!$B$38,I9=0,J9=0),"PASS","VALID-ADVERSE"))</x:f>
        <x:v>OPEN</x:v>
      </x:c>
    </x:row>
    <x:row r="10">
      <x:c r="A10" s="10" t="str">
        <x:v>EV-05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7" t="str">
        <x:f>IF(COUNT(C10:J10)&lt;8,"",SUM(C10:J10))</x:f>
      </x:c>
      <x:c r="L10" s="17" t="str">
        <x:f>IF(OR(B10="",K10=""),"",B10-K10)</x:f>
      </x:c>
      <x:c r="M10" s="17" t="str">
        <x:f>IF(OR(B10="",B10=0,K10=""),"",K10/B10)</x:f>
      </x:c>
      <x:c r="N10" s="10" t="str">
        <x:f>IF(OR(B10="",COUNT(C10:J10)&lt;8),"OPEN",IF(AND(B10&gt;='Assumptions'!$B$34,B10&lt;='Assumptions'!$B$35,MIN(C10:J10)&gt;=0,ABS(L10)&lt;='Assumptions'!$B$43,M10&gt;='Assumptions'!$B$38,I10=0,J10=0),"PASS","VALID-ADVERSE"))</x:f>
        <x:v>OPEN</x:v>
      </x:c>
    </x:row>
    <x:row r="11">
      <x:c r="A11" s="10" t="str">
        <x:v>EV-06</x:v>
      </x:c>
      <x:c r="B11" s="16"/>
      <x:c r="C11" s="16"/>
      <x:c r="D11" s="16"/>
      <x:c r="E11" s="16"/>
      <x:c r="F11" s="16"/>
      <x:c r="G11" s="16"/>
      <x:c r="H11" s="16"/>
      <x:c r="I11" s="16"/>
      <x:c r="J11" s="16"/>
      <x:c r="K11" s="17" t="str">
        <x:f>IF(COUNT(C11:J11)&lt;8,"",SUM(C11:J11))</x:f>
      </x:c>
      <x:c r="L11" s="17" t="str">
        <x:f>IF(OR(B11="",K11=""),"",B11-K11)</x:f>
      </x:c>
      <x:c r="M11" s="17" t="str">
        <x:f>IF(OR(B11="",B11=0,K11=""),"",K11/B11)</x:f>
      </x:c>
      <x:c r="N11" s="10" t="str">
        <x:f>IF(OR(B11="",COUNT(C11:J11)&lt;8),"OPEN",IF(AND(B11&gt;='Assumptions'!$B$34,B11&lt;='Assumptions'!$B$35,MIN(C11:J11)&gt;=0,ABS(L11)&lt;='Assumptions'!$B$43,M11&gt;='Assumptions'!$B$38,I11=0,J11=0),"PASS","VALID-ADVERSE"))</x:f>
        <x:v>OPEN</x:v>
      </x:c>
    </x:row>
    <x:row r="12">
      <x:c r="A12" s="10" t="str">
        <x:v>EV-07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7" t="str">
        <x:f>IF(COUNT(C12:J12)&lt;8,"",SUM(C12:J12))</x:f>
      </x:c>
      <x:c r="L12" s="17" t="str">
        <x:f>IF(OR(B12="",K12=""),"",B12-K12)</x:f>
      </x:c>
      <x:c r="M12" s="17" t="str">
        <x:f>IF(OR(B12="",B12=0,K12=""),"",K12/B12)</x:f>
      </x:c>
      <x:c r="N12" s="10" t="str">
        <x:f>IF(OR(B12="",COUNT(C12:J12)&lt;8),"OPEN",IF(AND(B12&gt;='Assumptions'!$B$34,B12&lt;='Assumptions'!$B$35,MIN(C12:J12)&gt;=0,ABS(L12)&lt;='Assumptions'!$B$43,M12&gt;='Assumptions'!$B$38,I12=0,J12=0),"PASS","VALID-ADVERSE"))</x:f>
        <x:v>OPEN</x:v>
      </x:c>
    </x:row>
    <x:row r="13">
      <x:c r="A13" s="10" t="str">
        <x:v>EV-08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7" t="str">
        <x:f>IF(COUNT(C13:J13)&lt;8,"",SUM(C13:J13))</x:f>
      </x:c>
      <x:c r="L13" s="17" t="str">
        <x:f>IF(OR(B13="",K13=""),"",B13-K13)</x:f>
      </x:c>
      <x:c r="M13" s="17" t="str">
        <x:f>IF(OR(B13="",B13=0,K13=""),"",K13/B13)</x:f>
      </x:c>
      <x:c r="N13" s="10" t="str">
        <x:f>IF(OR(B13="",COUNT(C13:J13)&lt;8),"OPEN",IF(AND(B13&gt;='Assumptions'!$B$34,B13&lt;='Assumptions'!$B$35,MIN(C13:J13)&gt;=0,ABS(L13)&lt;='Assumptions'!$B$43,M13&gt;='Assumptions'!$B$38,I13=0,J13=0),"PASS","VALID-ADVERSE"))</x:f>
        <x:v>OPEN</x:v>
      </x:c>
    </x:row>
    <x:row r="14">
      <x:c r="A14" s="10" t="str">
        <x:v>EV-09</x:v>
      </x:c>
      <x:c r="B14" s="16"/>
      <x:c r="C14" s="16"/>
      <x:c r="D14" s="16"/>
      <x:c r="E14" s="16"/>
      <x:c r="F14" s="16"/>
      <x:c r="G14" s="16"/>
      <x:c r="H14" s="16"/>
      <x:c r="I14" s="16"/>
      <x:c r="J14" s="16"/>
      <x:c r="K14" s="17" t="str">
        <x:f>IF(COUNT(C14:J14)&lt;8,"",SUM(C14:J14))</x:f>
      </x:c>
      <x:c r="L14" s="17" t="str">
        <x:f>IF(OR(B14="",K14=""),"",B14-K14)</x:f>
      </x:c>
      <x:c r="M14" s="17" t="str">
        <x:f>IF(OR(B14="",B14=0,K14=""),"",K14/B14)</x:f>
      </x:c>
      <x:c r="N14" s="10" t="str">
        <x:f>IF(OR(B14="",COUNT(C14:J14)&lt;8),"OPEN",IF(AND(B14&gt;='Assumptions'!$B$34,B14&lt;='Assumptions'!$B$35,MIN(C14:J14)&gt;=0,ABS(L14)&lt;='Assumptions'!$B$43,M14&gt;='Assumptions'!$B$38,I14=0,J14=0),"PASS","VALID-ADVERSE"))</x:f>
        <x:v>OPEN</x:v>
      </x:c>
    </x:row>
    <x:row r="15">
      <x:c r="A15" s="10" t="str">
        <x:v>EV-10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7" t="str">
        <x:f>IF(COUNT(C15:J15)&lt;8,"",SUM(C15:J15))</x:f>
      </x:c>
      <x:c r="L15" s="17" t="str">
        <x:f>IF(OR(B15="",K15=""),"",B15-K15)</x:f>
      </x:c>
      <x:c r="M15" s="17" t="str">
        <x:f>IF(OR(B15="",B15=0,K15=""),"",K15/B15)</x:f>
      </x:c>
      <x:c r="N15" s="10" t="str">
        <x:f>IF(OR(B15="",COUNT(C15:J15)&lt;8),"OPEN",IF(AND(B15&gt;='Assumptions'!$B$34,B15&lt;='Assumptions'!$B$35,MIN(C15:J15)&gt;=0,ABS(L15)&lt;='Assumptions'!$B$43,M15&gt;='Assumptions'!$B$38,I15=0,J15=0),"PASS","VALID-ADVERSE"))</x:f>
        <x:v>OPEN</x:v>
      </x:c>
    </x:row>
    <x:row r="16">
      <x:c r="A16" s="10" t="str">
        <x:v>EV-11</x:v>
      </x:c>
      <x:c r="B16" s="16"/>
      <x:c r="C16" s="16"/>
      <x:c r="D16" s="16"/>
      <x:c r="E16" s="16"/>
      <x:c r="F16" s="16"/>
      <x:c r="G16" s="16"/>
      <x:c r="H16" s="16"/>
      <x:c r="I16" s="16"/>
      <x:c r="J16" s="16"/>
      <x:c r="K16" s="17" t="str">
        <x:f>IF(COUNT(C16:J16)&lt;8,"",SUM(C16:J16))</x:f>
      </x:c>
      <x:c r="L16" s="17" t="str">
        <x:f>IF(OR(B16="",K16=""),"",B16-K16)</x:f>
      </x:c>
      <x:c r="M16" s="17" t="str">
        <x:f>IF(OR(B16="",B16=0,K16=""),"",K16/B16)</x:f>
      </x:c>
      <x:c r="N16" s="10" t="str">
        <x:f>IF(OR(B16="",COUNT(C16:J16)&lt;8),"OPEN",IF(AND(B16&gt;='Assumptions'!$B$34,B16&lt;='Assumptions'!$B$35,MIN(C16:J16)&gt;=0,ABS(L16)&lt;='Assumptions'!$B$43,M16&gt;='Assumptions'!$B$38,I16=0,J16=0),"PASS","VALID-ADVERSE"))</x:f>
        <x:v>OPEN</x:v>
      </x:c>
    </x:row>
    <x:row r="17">
      <x:c r="A17" s="10" t="str">
        <x:v>EV-12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7" t="str">
        <x:f>IF(COUNT(C17:J17)&lt;8,"",SUM(C17:J17))</x:f>
      </x:c>
      <x:c r="L17" s="17" t="str">
        <x:f>IF(OR(B17="",K17=""),"",B17-K17)</x:f>
      </x:c>
      <x:c r="M17" s="17" t="str">
        <x:f>IF(OR(B17="",B17=0,K17=""),"",K17/B17)</x:f>
      </x:c>
      <x:c r="N17" s="10" t="str">
        <x:f>IF(OR(B17="",COUNT(C17:J17)&lt;8),"OPEN",IF(AND(B17&gt;='Assumptions'!$B$34,B17&lt;='Assumptions'!$B$35,MIN(C17:J17)&gt;=0,ABS(L17)&lt;='Assumptions'!$B$43,M17&gt;='Assumptions'!$B$38,I17=0,J17=0),"PASS","VALID-ADVERSE"))</x:f>
        <x:v>OPEN</x:v>
      </x:c>
    </x:row>
    <x:row r="18">
      <x:c r="A18" s="10" t="str">
        <x:v>EV-13</x:v>
      </x:c>
      <x:c r="B18" s="16"/>
      <x:c r="C18" s="16"/>
      <x:c r="D18" s="16"/>
      <x:c r="E18" s="16"/>
      <x:c r="F18" s="16"/>
      <x:c r="G18" s="16"/>
      <x:c r="H18" s="16"/>
      <x:c r="I18" s="16"/>
      <x:c r="J18" s="16"/>
      <x:c r="K18" s="17" t="str">
        <x:f>IF(COUNT(C18:J18)&lt;8,"",SUM(C18:J18))</x:f>
      </x:c>
      <x:c r="L18" s="17" t="str">
        <x:f>IF(OR(B18="",K18=""),"",B18-K18)</x:f>
      </x:c>
      <x:c r="M18" s="17" t="str">
        <x:f>IF(OR(B18="",B18=0,K18=""),"",K18/B18)</x:f>
      </x:c>
      <x:c r="N18" s="10" t="str">
        <x:f>IF(OR(B18="",COUNT(C18:J18)&lt;8),"OPEN",IF(AND(B18&gt;='Assumptions'!$B$34,B18&lt;='Assumptions'!$B$35,MIN(C18:J18)&gt;=0,ABS(L18)&lt;='Assumptions'!$B$43,M18&gt;='Assumptions'!$B$38,I18=0,J18=0),"PASS","VALID-ADVERSE"))</x:f>
        <x:v>OPEN</x:v>
      </x:c>
    </x:row>
    <x:row r="19">
      <x:c r="A19" s="10" t="str">
        <x:v>EV-14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7" t="str">
        <x:f>IF(COUNT(C19:J19)&lt;8,"",SUM(C19:J19))</x:f>
      </x:c>
      <x:c r="L19" s="17" t="str">
        <x:f>IF(OR(B19="",K19=""),"",B19-K19)</x:f>
      </x:c>
      <x:c r="M19" s="17" t="str">
        <x:f>IF(OR(B19="",B19=0,K19=""),"",K19/B19)</x:f>
      </x:c>
      <x:c r="N19" s="10" t="str">
        <x:f>IF(OR(B19="",COUNT(C19:J19)&lt;8),"OPEN",IF(AND(B19&gt;='Assumptions'!$B$34,B19&lt;='Assumptions'!$B$35,MIN(C19:J19)&gt;=0,ABS(L19)&lt;='Assumptions'!$B$43,M19&gt;='Assumptions'!$B$38,I19=0,J19=0),"PASS","VALID-ADVERSE"))</x:f>
        <x:v>OPEN</x:v>
      </x:c>
    </x:row>
    <x:row r="20">
      <x:c r="A20" s="10" t="str">
        <x:v>EV-15</x:v>
      </x:c>
      <x:c r="B20" s="16"/>
      <x:c r="C20" s="16"/>
      <x:c r="D20" s="16"/>
      <x:c r="E20" s="16"/>
      <x:c r="F20" s="16"/>
      <x:c r="G20" s="16"/>
      <x:c r="H20" s="16"/>
      <x:c r="I20" s="16"/>
      <x:c r="J20" s="16"/>
      <x:c r="K20" s="17" t="str">
        <x:f>IF(COUNT(C20:J20)&lt;8,"",SUM(C20:J20))</x:f>
      </x:c>
      <x:c r="L20" s="17" t="str">
        <x:f>IF(OR(B20="",K20=""),"",B20-K20)</x:f>
      </x:c>
      <x:c r="M20" s="17" t="str">
        <x:f>IF(OR(B20="",B20=0,K20=""),"",K20/B20)</x:f>
      </x:c>
      <x:c r="N20" s="10" t="str">
        <x:f>IF(OR(B20="",COUNT(C20:J20)&lt;8),"OPEN",IF(AND(B20&gt;='Assumptions'!$B$34,B20&lt;='Assumptions'!$B$35,MIN(C20:J20)&gt;=0,ABS(L20)&lt;='Assumptions'!$B$43,M20&gt;='Assumptions'!$B$38,I20=0,J20=0),"PASS","VALID-ADVERSE"))</x:f>
        <x:v>OPEN</x:v>
      </x:c>
    </x:row>
    <x:row r="21">
      <x:c r="A21" s="10" t="str">
        <x:v>EV-16</x:v>
      </x:c>
      <x:c r="B21" s="16"/>
      <x:c r="C21" s="16"/>
      <x:c r="D21" s="16"/>
      <x:c r="E21" s="16"/>
      <x:c r="F21" s="16"/>
      <x:c r="G21" s="16"/>
      <x:c r="H21" s="16"/>
      <x:c r="I21" s="16"/>
      <x:c r="J21" s="16"/>
      <x:c r="K21" s="17" t="str">
        <x:f>IF(COUNT(C21:J21)&lt;8,"",SUM(C21:J21))</x:f>
      </x:c>
      <x:c r="L21" s="17" t="str">
        <x:f>IF(OR(B21="",K21=""),"",B21-K21)</x:f>
      </x:c>
      <x:c r="M21" s="17" t="str">
        <x:f>IF(OR(B21="",B21=0,K21=""),"",K21/B21)</x:f>
      </x:c>
      <x:c r="N21" s="10" t="str">
        <x:f>IF(OR(B21="",COUNT(C21:J21)&lt;8),"OPEN",IF(AND(B21&gt;='Assumptions'!$B$34,B21&lt;='Assumptions'!$B$35,MIN(C21:J21)&gt;=0,ABS(L21)&lt;='Assumptions'!$B$43,M21&gt;='Assumptions'!$B$38,I21=0,J21=0),"PASS","VALID-ADVERSE"))</x:f>
        <x:v>OPEN</x:v>
      </x:c>
    </x:row>
  </x:sheetData>
  <x:mergeCells>
    <x:mergeCell ref="A2:N2"/>
    <x:mergeCell ref="A4:N4"/>
  </x:mergeCells>
  <x:conditionalFormatting sqref="N6:N21">
    <x:cfRule type="containsText" dxfId="78" priority="1" operator="containsText" text="DENY"/>
    <x:cfRule type="containsText" dxfId="79" priority="2" operator="containsText" text="ADVERSE"/>
    <x:cfRule type="containsText" dxfId="80" priority="3" operator="containsText" text="FAIL"/>
    <x:cfRule type="containsText" dxfId="81" priority="4" operator="containsText" text="OPEN"/>
    <x:cfRule type="containsText" dxfId="82" priority="5" operator="containsText" text="BLOCKED"/>
    <x:cfRule type="containsText" dxfId="83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05e2218aa5614d9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3" hidden="0" customWidth="1"/>
    <x:col min="4" max="4" width="25" hidden="0" customWidth="1"/>
    <x:col min="5" max="5" width="19" hidden="0" customWidth="1"/>
    <x:col min="6" max="6" width="20" hidden="0" customWidth="1"/>
    <x:col min="7" max="7" width="22" hidden="0" customWidth="1"/>
    <x:col min="8" max="8" width="16" hidden="0" customWidth="1"/>
    <x:col min="9" max="9" width="15" hidden="0" customWidth="1"/>
    <x:col min="10" max="10" width="18" hidden="0" customWidth="1"/>
    <x:col min="11" max="11" width="16" hidden="0" customWidth="1"/>
    <x:col min="12" max="12" width="17" hidden="0" customWidth="1"/>
    <x:col min="13" max="13" width="19" hidden="0" customWidth="1"/>
    <x:col min="14" max="14" width="19" hidden="0" customWidth="1"/>
  </x:cols>
  <x:sheetData>
    <x:row r="2" ht="24" customHeight="1">
      <x:c r="A2" s="1" t="str">
        <x:v>Event simulant mass-balance ledger</x:v>
      </x:c>
    </x:row>
    <x:row r="4" ht="22" customHeight="1">
      <x:c r="A4" s="15" t="str">
        <x:v>Recovered-simulant water is a water-ledger disposition; water-stream simulant is the corresponding simulant-ledger disposition. Neither may be double-counted.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</x:row>
    <x:row r="5">
      <x:c r="A5" s="8" t="str">
        <x:v>Event</x:v>
      </x:c>
      <x:c r="B5" s="8" t="str">
        <x:v>Issued kg</x:v>
      </x:c>
      <x:c r="C5" s="8" t="str">
        <x:v>Recovered simulant kg</x:v>
      </x:c>
      <x:c r="D5" s="8" t="str">
        <x:v>Water-stream simulant kg</x:v>
      </x:c>
      <x:c r="E5" s="8" t="str">
        <x:v>Route and film kg</x:v>
      </x:c>
      <x:c r="F5" s="8" t="str">
        <x:v>Retained system kg</x:v>
      </x:c>
      <x:c r="G5" s="8" t="str">
        <x:v>Analytical samples kg</x:v>
      </x:c>
      <x:c r="H5" s="8" t="str">
        <x:v>Quarantine kg</x:v>
      </x:c>
      <x:c r="I5" s="8" t="str">
        <x:v>Casualty kg</x:v>
      </x:c>
      <x:c r="J5" s="8" t="str">
        <x:v>Environment kg</x:v>
      </x:c>
      <x:c r="K5" s="8" t="str">
        <x:v>Accounted kg</x:v>
      </x:c>
      <x:c r="L5" s="8" t="str">
        <x:v>Unexplained kg</x:v>
      </x:c>
      <x:c r="M5" s="8" t="str">
        <x:v>Accounted fraction</x:v>
      </x:c>
      <x:c r="N5" s="8" t="str">
        <x:v>State</x:v>
      </x:c>
    </x:row>
    <x:row r="6">
      <x:c r="A6" s="10" t="str">
        <x:v>EV-01</x:v>
      </x:c>
      <x:c r="B6" s="16"/>
      <x:c r="C6" s="16"/>
      <x:c r="D6" s="16"/>
      <x:c r="E6" s="16"/>
      <x:c r="F6" s="16"/>
      <x:c r="G6" s="16"/>
      <x:c r="H6" s="16"/>
      <x:c r="I6" s="16"/>
      <x:c r="J6" s="16"/>
      <x:c r="K6" s="17" t="str">
        <x:f>IF(COUNT(C6:J6)&lt;8,"",SUM(C6:J6))</x:f>
      </x:c>
      <x:c r="L6" s="17" t="str">
        <x:f>IF(OR(B6="",K6=""),"",B6-K6)</x:f>
      </x:c>
      <x:c r="M6" s="17" t="str">
        <x:f>IF(OR(B6="",B6=0,K6=""),"",K6/B6)</x:f>
      </x:c>
      <x:c r="N6" s="10" t="str">
        <x:f>IF(OR(B6="",COUNT(C6:J6)&lt;8),"OPEN",IF(AND(B6&gt;='Assumptions'!$B$36,B6&lt;='Assumptions'!$B$37,MIN(C6:J6)&gt;=0,ABS(L6)&lt;='Assumptions'!$B$44,M6&gt;='Assumptions'!$B$38,I6=0,J6=0),"PASS","VALID-ADVERSE"))</x:f>
        <x:v>OPEN</x:v>
      </x:c>
    </x:row>
    <x:row r="7">
      <x:c r="A7" s="10" t="str">
        <x:v>EV-02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7" t="str">
        <x:f>IF(COUNT(C7:J7)&lt;8,"",SUM(C7:J7))</x:f>
      </x:c>
      <x:c r="L7" s="17" t="str">
        <x:f>IF(OR(B7="",K7=""),"",B7-K7)</x:f>
      </x:c>
      <x:c r="M7" s="17" t="str">
        <x:f>IF(OR(B7="",B7=0,K7=""),"",K7/B7)</x:f>
      </x:c>
      <x:c r="N7" s="10" t="str">
        <x:f>IF(OR(B7="",COUNT(C7:J7)&lt;8),"OPEN",IF(AND(B7&gt;='Assumptions'!$B$36,B7&lt;='Assumptions'!$B$37,MIN(C7:J7)&gt;=0,ABS(L7)&lt;='Assumptions'!$B$44,M7&gt;='Assumptions'!$B$38,I7=0,J7=0),"PASS","VALID-ADVERSE"))</x:f>
        <x:v>OPEN</x:v>
      </x:c>
    </x:row>
    <x:row r="8">
      <x:c r="A8" s="10" t="str">
        <x:v>EV-03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7" t="str">
        <x:f>IF(COUNT(C8:J8)&lt;8,"",SUM(C8:J8))</x:f>
      </x:c>
      <x:c r="L8" s="17" t="str">
        <x:f>IF(OR(B8="",K8=""),"",B8-K8)</x:f>
      </x:c>
      <x:c r="M8" s="17" t="str">
        <x:f>IF(OR(B8="",B8=0,K8=""),"",K8/B8)</x:f>
      </x:c>
      <x:c r="N8" s="10" t="str">
        <x:f>IF(OR(B8="",COUNT(C8:J8)&lt;8),"OPEN",IF(AND(B8&gt;='Assumptions'!$B$36,B8&lt;='Assumptions'!$B$37,MIN(C8:J8)&gt;=0,ABS(L8)&lt;='Assumptions'!$B$44,M8&gt;='Assumptions'!$B$38,I8=0,J8=0),"PASS","VALID-ADVERSE"))</x:f>
        <x:v>OPEN</x:v>
      </x:c>
    </x:row>
    <x:row r="9">
      <x:c r="A9" s="10" t="str">
        <x:v>EV-04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7" t="str">
        <x:f>IF(COUNT(C9:J9)&lt;8,"",SUM(C9:J9))</x:f>
      </x:c>
      <x:c r="L9" s="17" t="str">
        <x:f>IF(OR(B9="",K9=""),"",B9-K9)</x:f>
      </x:c>
      <x:c r="M9" s="17" t="str">
        <x:f>IF(OR(B9="",B9=0,K9=""),"",K9/B9)</x:f>
      </x:c>
      <x:c r="N9" s="10" t="str">
        <x:f>IF(OR(B9="",COUNT(C9:J9)&lt;8),"OPEN",IF(AND(B9&gt;='Assumptions'!$B$36,B9&lt;='Assumptions'!$B$37,MIN(C9:J9)&gt;=0,ABS(L9)&lt;='Assumptions'!$B$44,M9&gt;='Assumptions'!$B$38,I9=0,J9=0),"PASS","VALID-ADVERSE"))</x:f>
        <x:v>OPEN</x:v>
      </x:c>
    </x:row>
    <x:row r="10">
      <x:c r="A10" s="10" t="str">
        <x:v>EV-05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7" t="str">
        <x:f>IF(COUNT(C10:J10)&lt;8,"",SUM(C10:J10))</x:f>
      </x:c>
      <x:c r="L10" s="17" t="str">
        <x:f>IF(OR(B10="",K10=""),"",B10-K10)</x:f>
      </x:c>
      <x:c r="M10" s="17" t="str">
        <x:f>IF(OR(B10="",B10=0,K10=""),"",K10/B10)</x:f>
      </x:c>
      <x:c r="N10" s="10" t="str">
        <x:f>IF(OR(B10="",COUNT(C10:J10)&lt;8),"OPEN",IF(AND(B10&gt;='Assumptions'!$B$36,B10&lt;='Assumptions'!$B$37,MIN(C10:J10)&gt;=0,ABS(L10)&lt;='Assumptions'!$B$44,M10&gt;='Assumptions'!$B$38,I10=0,J10=0),"PASS","VALID-ADVERSE"))</x:f>
        <x:v>OPEN</x:v>
      </x:c>
    </x:row>
    <x:row r="11">
      <x:c r="A11" s="10" t="str">
        <x:v>EV-06</x:v>
      </x:c>
      <x:c r="B11" s="16"/>
      <x:c r="C11" s="16"/>
      <x:c r="D11" s="16"/>
      <x:c r="E11" s="16"/>
      <x:c r="F11" s="16"/>
      <x:c r="G11" s="16"/>
      <x:c r="H11" s="16"/>
      <x:c r="I11" s="16"/>
      <x:c r="J11" s="16"/>
      <x:c r="K11" s="17" t="str">
        <x:f>IF(COUNT(C11:J11)&lt;8,"",SUM(C11:J11))</x:f>
      </x:c>
      <x:c r="L11" s="17" t="str">
        <x:f>IF(OR(B11="",K11=""),"",B11-K11)</x:f>
      </x:c>
      <x:c r="M11" s="17" t="str">
        <x:f>IF(OR(B11="",B11=0,K11=""),"",K11/B11)</x:f>
      </x:c>
      <x:c r="N11" s="10" t="str">
        <x:f>IF(OR(B11="",COUNT(C11:J11)&lt;8),"OPEN",IF(AND(B11&gt;='Assumptions'!$B$36,B11&lt;='Assumptions'!$B$37,MIN(C11:J11)&gt;=0,ABS(L11)&lt;='Assumptions'!$B$44,M11&gt;='Assumptions'!$B$38,I11=0,J11=0),"PASS","VALID-ADVERSE"))</x:f>
        <x:v>OPEN</x:v>
      </x:c>
    </x:row>
    <x:row r="12">
      <x:c r="A12" s="10" t="str">
        <x:v>EV-07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7" t="str">
        <x:f>IF(COUNT(C12:J12)&lt;8,"",SUM(C12:J12))</x:f>
      </x:c>
      <x:c r="L12" s="17" t="str">
        <x:f>IF(OR(B12="",K12=""),"",B12-K12)</x:f>
      </x:c>
      <x:c r="M12" s="17" t="str">
        <x:f>IF(OR(B12="",B12=0,K12=""),"",K12/B12)</x:f>
      </x:c>
      <x:c r="N12" s="10" t="str">
        <x:f>IF(OR(B12="",COUNT(C12:J12)&lt;8),"OPEN",IF(AND(B12&gt;='Assumptions'!$B$36,B12&lt;='Assumptions'!$B$37,MIN(C12:J12)&gt;=0,ABS(L12)&lt;='Assumptions'!$B$44,M12&gt;='Assumptions'!$B$38,I12=0,J12=0),"PASS","VALID-ADVERSE"))</x:f>
        <x:v>OPEN</x:v>
      </x:c>
    </x:row>
    <x:row r="13">
      <x:c r="A13" s="10" t="str">
        <x:v>EV-08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7" t="str">
        <x:f>IF(COUNT(C13:J13)&lt;8,"",SUM(C13:J13))</x:f>
      </x:c>
      <x:c r="L13" s="17" t="str">
        <x:f>IF(OR(B13="",K13=""),"",B13-K13)</x:f>
      </x:c>
      <x:c r="M13" s="17" t="str">
        <x:f>IF(OR(B13="",B13=0,K13=""),"",K13/B13)</x:f>
      </x:c>
      <x:c r="N13" s="10" t="str">
        <x:f>IF(OR(B13="",COUNT(C13:J13)&lt;8),"OPEN",IF(AND(B13&gt;='Assumptions'!$B$36,B13&lt;='Assumptions'!$B$37,MIN(C13:J13)&gt;=0,ABS(L13)&lt;='Assumptions'!$B$44,M13&gt;='Assumptions'!$B$38,I13=0,J13=0),"PASS","VALID-ADVERSE"))</x:f>
        <x:v>OPEN</x:v>
      </x:c>
    </x:row>
    <x:row r="14">
      <x:c r="A14" s="10" t="str">
        <x:v>EV-09</x:v>
      </x:c>
      <x:c r="B14" s="16"/>
      <x:c r="C14" s="16"/>
      <x:c r="D14" s="16"/>
      <x:c r="E14" s="16"/>
      <x:c r="F14" s="16"/>
      <x:c r="G14" s="16"/>
      <x:c r="H14" s="16"/>
      <x:c r="I14" s="16"/>
      <x:c r="J14" s="16"/>
      <x:c r="K14" s="17" t="str">
        <x:f>IF(COUNT(C14:J14)&lt;8,"",SUM(C14:J14))</x:f>
      </x:c>
      <x:c r="L14" s="17" t="str">
        <x:f>IF(OR(B14="",K14=""),"",B14-K14)</x:f>
      </x:c>
      <x:c r="M14" s="17" t="str">
        <x:f>IF(OR(B14="",B14=0,K14=""),"",K14/B14)</x:f>
      </x:c>
      <x:c r="N14" s="10" t="str">
        <x:f>IF(OR(B14="",COUNT(C14:J14)&lt;8),"OPEN",IF(AND(B14&gt;='Assumptions'!$B$36,B14&lt;='Assumptions'!$B$37,MIN(C14:J14)&gt;=0,ABS(L14)&lt;='Assumptions'!$B$44,M14&gt;='Assumptions'!$B$38,I14=0,J14=0),"PASS","VALID-ADVERSE"))</x:f>
        <x:v>OPEN</x:v>
      </x:c>
    </x:row>
    <x:row r="15">
      <x:c r="A15" s="10" t="str">
        <x:v>EV-10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7" t="str">
        <x:f>IF(COUNT(C15:J15)&lt;8,"",SUM(C15:J15))</x:f>
      </x:c>
      <x:c r="L15" s="17" t="str">
        <x:f>IF(OR(B15="",K15=""),"",B15-K15)</x:f>
      </x:c>
      <x:c r="M15" s="17" t="str">
        <x:f>IF(OR(B15="",B15=0,K15=""),"",K15/B15)</x:f>
      </x:c>
      <x:c r="N15" s="10" t="str">
        <x:f>IF(OR(B15="",COUNT(C15:J15)&lt;8),"OPEN",IF(AND(B15&gt;='Assumptions'!$B$36,B15&lt;='Assumptions'!$B$37,MIN(C15:J15)&gt;=0,ABS(L15)&lt;='Assumptions'!$B$44,M15&gt;='Assumptions'!$B$38,I15=0,J15=0),"PASS","VALID-ADVERSE"))</x:f>
        <x:v>OPEN</x:v>
      </x:c>
    </x:row>
    <x:row r="16">
      <x:c r="A16" s="10" t="str">
        <x:v>EV-11</x:v>
      </x:c>
      <x:c r="B16" s="16"/>
      <x:c r="C16" s="16"/>
      <x:c r="D16" s="16"/>
      <x:c r="E16" s="16"/>
      <x:c r="F16" s="16"/>
      <x:c r="G16" s="16"/>
      <x:c r="H16" s="16"/>
      <x:c r="I16" s="16"/>
      <x:c r="J16" s="16"/>
      <x:c r="K16" s="17" t="str">
        <x:f>IF(COUNT(C16:J16)&lt;8,"",SUM(C16:J16))</x:f>
      </x:c>
      <x:c r="L16" s="17" t="str">
        <x:f>IF(OR(B16="",K16=""),"",B16-K16)</x:f>
      </x:c>
      <x:c r="M16" s="17" t="str">
        <x:f>IF(OR(B16="",B16=0,K16=""),"",K16/B16)</x:f>
      </x:c>
      <x:c r="N16" s="10" t="str">
        <x:f>IF(OR(B16="",COUNT(C16:J16)&lt;8),"OPEN",IF(AND(B16&gt;='Assumptions'!$B$36,B16&lt;='Assumptions'!$B$37,MIN(C16:J16)&gt;=0,ABS(L16)&lt;='Assumptions'!$B$44,M16&gt;='Assumptions'!$B$38,I16=0,J16=0),"PASS","VALID-ADVERSE"))</x:f>
        <x:v>OPEN</x:v>
      </x:c>
    </x:row>
    <x:row r="17">
      <x:c r="A17" s="10" t="str">
        <x:v>EV-12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7" t="str">
        <x:f>IF(COUNT(C17:J17)&lt;8,"",SUM(C17:J17))</x:f>
      </x:c>
      <x:c r="L17" s="17" t="str">
        <x:f>IF(OR(B17="",K17=""),"",B17-K17)</x:f>
      </x:c>
      <x:c r="M17" s="17" t="str">
        <x:f>IF(OR(B17="",B17=0,K17=""),"",K17/B17)</x:f>
      </x:c>
      <x:c r="N17" s="10" t="str">
        <x:f>IF(OR(B17="",COUNT(C17:J17)&lt;8),"OPEN",IF(AND(B17&gt;='Assumptions'!$B$36,B17&lt;='Assumptions'!$B$37,MIN(C17:J17)&gt;=0,ABS(L17)&lt;='Assumptions'!$B$44,M17&gt;='Assumptions'!$B$38,I17=0,J17=0),"PASS","VALID-ADVERSE"))</x:f>
        <x:v>OPEN</x:v>
      </x:c>
    </x:row>
    <x:row r="18">
      <x:c r="A18" s="10" t="str">
        <x:v>EV-13</x:v>
      </x:c>
      <x:c r="B18" s="16"/>
      <x:c r="C18" s="16"/>
      <x:c r="D18" s="16"/>
      <x:c r="E18" s="16"/>
      <x:c r="F18" s="16"/>
      <x:c r="G18" s="16"/>
      <x:c r="H18" s="16"/>
      <x:c r="I18" s="16"/>
      <x:c r="J18" s="16"/>
      <x:c r="K18" s="17" t="str">
        <x:f>IF(COUNT(C18:J18)&lt;8,"",SUM(C18:J18))</x:f>
      </x:c>
      <x:c r="L18" s="17" t="str">
        <x:f>IF(OR(B18="",K18=""),"",B18-K18)</x:f>
      </x:c>
      <x:c r="M18" s="17" t="str">
        <x:f>IF(OR(B18="",B18=0,K18=""),"",K18/B18)</x:f>
      </x:c>
      <x:c r="N18" s="10" t="str">
        <x:f>IF(OR(B18="",COUNT(C18:J18)&lt;8),"OPEN",IF(AND(B18&gt;='Assumptions'!$B$36,B18&lt;='Assumptions'!$B$37,MIN(C18:J18)&gt;=0,ABS(L18)&lt;='Assumptions'!$B$44,M18&gt;='Assumptions'!$B$38,I18=0,J18=0),"PASS","VALID-ADVERSE"))</x:f>
        <x:v>OPEN</x:v>
      </x:c>
    </x:row>
    <x:row r="19">
      <x:c r="A19" s="10" t="str">
        <x:v>EV-14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7" t="str">
        <x:f>IF(COUNT(C19:J19)&lt;8,"",SUM(C19:J19))</x:f>
      </x:c>
      <x:c r="L19" s="17" t="str">
        <x:f>IF(OR(B19="",K19=""),"",B19-K19)</x:f>
      </x:c>
      <x:c r="M19" s="17" t="str">
        <x:f>IF(OR(B19="",B19=0,K19=""),"",K19/B19)</x:f>
      </x:c>
      <x:c r="N19" s="10" t="str">
        <x:f>IF(OR(B19="",COUNT(C19:J19)&lt;8),"OPEN",IF(AND(B19&gt;='Assumptions'!$B$36,B19&lt;='Assumptions'!$B$37,MIN(C19:J19)&gt;=0,ABS(L19)&lt;='Assumptions'!$B$44,M19&gt;='Assumptions'!$B$38,I19=0,J19=0),"PASS","VALID-ADVERSE"))</x:f>
        <x:v>OPEN</x:v>
      </x:c>
    </x:row>
    <x:row r="20">
      <x:c r="A20" s="10" t="str">
        <x:v>EV-15</x:v>
      </x:c>
      <x:c r="B20" s="16"/>
      <x:c r="C20" s="16"/>
      <x:c r="D20" s="16"/>
      <x:c r="E20" s="16"/>
      <x:c r="F20" s="16"/>
      <x:c r="G20" s="16"/>
      <x:c r="H20" s="16"/>
      <x:c r="I20" s="16"/>
      <x:c r="J20" s="16"/>
      <x:c r="K20" s="17" t="str">
        <x:f>IF(COUNT(C20:J20)&lt;8,"",SUM(C20:J20))</x:f>
      </x:c>
      <x:c r="L20" s="17" t="str">
        <x:f>IF(OR(B20="",K20=""),"",B20-K20)</x:f>
      </x:c>
      <x:c r="M20" s="17" t="str">
        <x:f>IF(OR(B20="",B20=0,K20=""),"",K20/B20)</x:f>
      </x:c>
      <x:c r="N20" s="10" t="str">
        <x:f>IF(OR(B20="",COUNT(C20:J20)&lt;8),"OPEN",IF(AND(B20&gt;='Assumptions'!$B$36,B20&lt;='Assumptions'!$B$37,MIN(C20:J20)&gt;=0,ABS(L20)&lt;='Assumptions'!$B$44,M20&gt;='Assumptions'!$B$38,I20=0,J20=0),"PASS","VALID-ADVERSE"))</x:f>
        <x:v>OPEN</x:v>
      </x:c>
    </x:row>
    <x:row r="21">
      <x:c r="A21" s="10" t="str">
        <x:v>EV-16</x:v>
      </x:c>
      <x:c r="B21" s="16"/>
      <x:c r="C21" s="16"/>
      <x:c r="D21" s="16"/>
      <x:c r="E21" s="16"/>
      <x:c r="F21" s="16"/>
      <x:c r="G21" s="16"/>
      <x:c r="H21" s="16"/>
      <x:c r="I21" s="16"/>
      <x:c r="J21" s="16"/>
      <x:c r="K21" s="17" t="str">
        <x:f>IF(COUNT(C21:J21)&lt;8,"",SUM(C21:J21))</x:f>
      </x:c>
      <x:c r="L21" s="17" t="str">
        <x:f>IF(OR(B21="",K21=""),"",B21-K21)</x:f>
      </x:c>
      <x:c r="M21" s="17" t="str">
        <x:f>IF(OR(B21="",B21=0,K21=""),"",K21/B21)</x:f>
      </x:c>
      <x:c r="N21" s="10" t="str">
        <x:f>IF(OR(B21="",COUNT(C21:J21)&lt;8),"OPEN",IF(AND(B21&gt;='Assumptions'!$B$36,B21&lt;='Assumptions'!$B$37,MIN(C21:J21)&gt;=0,ABS(L21)&lt;='Assumptions'!$B$44,M21&gt;='Assumptions'!$B$38,I21=0,J21=0),"PASS","VALID-ADVERSE"))</x:f>
        <x:v>OPEN</x:v>
      </x:c>
    </x:row>
  </x:sheetData>
  <x:mergeCells>
    <x:mergeCell ref="A2:N2"/>
    <x:mergeCell ref="A4:N4"/>
  </x:mergeCells>
  <x:conditionalFormatting sqref="N6:N21">
    <x:cfRule type="containsText" dxfId="84" priority="1" operator="containsText" text="DENY"/>
    <x:cfRule type="containsText" dxfId="85" priority="2" operator="containsText" text="ADVERSE"/>
    <x:cfRule type="containsText" dxfId="86" priority="3" operator="containsText" text="FAIL"/>
    <x:cfRule type="containsText" dxfId="87" priority="4" operator="containsText" text="OPEN"/>
    <x:cfRule type="containsText" dxfId="88" priority="5" operator="containsText" text="BLOCKED"/>
    <x:cfRule type="containsText" dxfId="89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783fce210b4142a6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1" hidden="0" customWidth="1"/>
    <x:col min="4" max="4" width="19" hidden="0" customWidth="1"/>
    <x:col min="5" max="5" width="20" hidden="0" customWidth="1"/>
    <x:col min="6" max="6" width="22" hidden="0" customWidth="1"/>
    <x:col min="7" max="7" width="17" hidden="0" customWidth="1"/>
    <x:col min="8" max="8" width="21" hidden="0" customWidth="1"/>
    <x:col min="9" max="9" width="19" hidden="0" customWidth="1"/>
    <x:col min="10" max="10" width="16" hidden="0" customWidth="1"/>
    <x:col min="11" max="11" width="15" hidden="0" customWidth="1"/>
    <x:col min="12" max="12" width="24" hidden="0" customWidth="1"/>
    <x:col min="13" max="13" width="16" hidden="0" customWidth="1"/>
    <x:col min="14" max="14" width="16" hidden="0" customWidth="1"/>
    <x:col min="15" max="15" width="19" hidden="0" customWidth="1"/>
    <x:col min="16" max="16" width="19" hidden="0" customWidth="1"/>
  </x:cols>
  <x:sheetData>
    <x:row r="2" ht="24" customHeight="1">
      <x:c r="A2" s="1" t="str">
        <x:v>Root-specific normalized code-inventory ledgers</x:v>
      </x:c>
    </x:row>
    <x:row r="4" ht="34" customHeight="1">
      <x:c r="A4" s="15" t="str">
        <x:v>Each event closes two physical code accounts. A reader response is not an account; code stock must terminate in a registered phase, retained surface, destroyed sample, archive, retirement, quarantine, casualty or environment bin.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</x:row>
    <x:row r="5">
      <x:c r="A5" s="8" t="str">
        <x:v>Event</x:v>
      </x:c>
      <x:c r="B5" s="8" t="str">
        <x:v>Root seat</x:v>
      </x:c>
      <x:c r="C5" s="8" t="str">
        <x:v>Selected architecture</x:v>
      </x:c>
      <x:c r="D5" s="8" t="str">
        <x:v>Issued normalized</x:v>
      </x:c>
      <x:c r="E5" s="8" t="str">
        <x:v>Recovered in water</x:v>
      </x:c>
      <x:c r="F5" s="8" t="str">
        <x:v>Recovered in simulant</x:v>
      </x:c>
      <x:c r="G5" s="8" t="str">
        <x:v>Retained film</x:v>
      </x:c>
      <x:c r="H5" s="8" t="str">
        <x:v>Destroyed analytical</x:v>
      </x:c>
      <x:c r="I5" s="8" t="str">
        <x:v>Archived reference</x:v>
      </x:c>
      <x:c r="J5" s="8" t="str">
        <x:v>Retired stock</x:v>
      </x:c>
      <x:c r="K5" s="8" t="str">
        <x:v>Quarantine</x:v>
      </x:c>
      <x:c r="L5" s="8" t="str">
        <x:v>Casualty or environment</x:v>
      </x:c>
      <x:c r="M5" s="8" t="str">
        <x:v>Accounted</x:v>
      </x:c>
      <x:c r="N5" s="8" t="str">
        <x:v>Unexplained</x:v>
      </x:c>
      <x:c r="O5" s="8" t="str">
        <x:v>Accounted fraction</x:v>
      </x:c>
      <x:c r="P5" s="8" t="str">
        <x:v>State</x:v>
      </x:c>
    </x:row>
    <x:row r="6">
      <x:c r="A6" s="10" t="str">
        <x:v>EV-01</x:v>
      </x:c>
      <x:c r="B6" s="10" t="str">
        <x:v>ROOT-A</x:v>
      </x:c>
      <x:c r="C6" s="10" t="str">
        <x:f>IF('Pair Decision'!B16="","",'Pair Decision'!B16)</x:f>
      </x:c>
      <x:c r="D6" s="17" t="n">
        <x:v>1</x:v>
      </x:c>
      <x:c r="E6" s="16"/>
      <x:c r="F6" s="16"/>
      <x:c r="G6" s="16"/>
      <x:c r="H6" s="16"/>
      <x:c r="I6" s="16"/>
      <x:c r="J6" s="16"/>
      <x:c r="K6" s="16"/>
      <x:c r="L6" s="16"/>
      <x:c r="M6" s="17" t="str">
        <x:f>IF(COUNT(E6:L6)&lt;8,"",SUM(E6:L6))</x:f>
      </x:c>
      <x:c r="N6" s="17" t="str">
        <x:f>IF(M6="","",D6-M6)</x:f>
      </x:c>
      <x:c r="O6" s="17" t="str">
        <x:f>IF(M6="","",M6/D6)</x:f>
      </x:c>
      <x:c r="P6" s="10" t="str">
        <x:f>IF(OR(C6="",COUNT(E6:L6)&lt;8),"OPEN",IF(AND(MIN(E6:L6)&gt;=0,ABS(N6)&lt;='Assumptions'!$B$41,O6&gt;='Assumptions'!$B$38,L6=0),"PASS","VALID-ADVERSE"))</x:f>
        <x:v>OPEN</x:v>
      </x:c>
    </x:row>
    <x:row r="7">
      <x:c r="A7" s="10" t="str">
        <x:v>EV-01</x:v>
      </x:c>
      <x:c r="B7" s="10" t="str">
        <x:v>ROOT-B</x:v>
      </x:c>
      <x:c r="C7" s="10" t="str">
        <x:f>IF('Pair Decision'!B17="","",'Pair Decision'!B17)</x:f>
      </x:c>
      <x:c r="D7" s="17" t="n">
        <x:v>1</x:v>
      </x:c>
      <x:c r="E7" s="16"/>
      <x:c r="F7" s="16"/>
      <x:c r="G7" s="16"/>
      <x:c r="H7" s="16"/>
      <x:c r="I7" s="16"/>
      <x:c r="J7" s="16"/>
      <x:c r="K7" s="16"/>
      <x:c r="L7" s="16"/>
      <x:c r="M7" s="17" t="str">
        <x:f>IF(COUNT(E7:L7)&lt;8,"",SUM(E7:L7))</x:f>
      </x:c>
      <x:c r="N7" s="17" t="str">
        <x:f>IF(M7="","",D7-M7)</x:f>
      </x:c>
      <x:c r="O7" s="17" t="str">
        <x:f>IF(M7="","",M7/D7)</x:f>
      </x:c>
      <x:c r="P7" s="10" t="str">
        <x:f>IF(OR(C7="",COUNT(E7:L7)&lt;8),"OPEN",IF(AND(MIN(E7:L7)&gt;=0,ABS(N7)&lt;='Assumptions'!$B$41,O7&gt;='Assumptions'!$B$38,L7=0),"PASS","VALID-ADVERSE"))</x:f>
        <x:v>OPEN</x:v>
      </x:c>
    </x:row>
    <x:row r="8">
      <x:c r="A8" s="10" t="str">
        <x:v>EV-02</x:v>
      </x:c>
      <x:c r="B8" s="10" t="str">
        <x:v>ROOT-A</x:v>
      </x:c>
      <x:c r="C8" s="10" t="str">
        <x:f>IF('Pair Decision'!B16="","",'Pair Decision'!B16)</x:f>
      </x:c>
      <x:c r="D8" s="17" t="n">
        <x:v>1</x:v>
      </x:c>
      <x:c r="E8" s="16"/>
      <x:c r="F8" s="16"/>
      <x:c r="G8" s="16"/>
      <x:c r="H8" s="16"/>
      <x:c r="I8" s="16"/>
      <x:c r="J8" s="16"/>
      <x:c r="K8" s="16"/>
      <x:c r="L8" s="16"/>
      <x:c r="M8" s="17" t="str">
        <x:f>IF(COUNT(E8:L8)&lt;8,"",SUM(E8:L8))</x:f>
      </x:c>
      <x:c r="N8" s="17" t="str">
        <x:f>IF(M8="","",D8-M8)</x:f>
      </x:c>
      <x:c r="O8" s="17" t="str">
        <x:f>IF(M8="","",M8/D8)</x:f>
      </x:c>
      <x:c r="P8" s="10" t="str">
        <x:f>IF(OR(C8="",COUNT(E8:L8)&lt;8),"OPEN",IF(AND(MIN(E8:L8)&gt;=0,ABS(N8)&lt;='Assumptions'!$B$41,O8&gt;='Assumptions'!$B$38,L8=0),"PASS","VALID-ADVERSE"))</x:f>
        <x:v>OPEN</x:v>
      </x:c>
    </x:row>
    <x:row r="9">
      <x:c r="A9" s="10" t="str">
        <x:v>EV-02</x:v>
      </x:c>
      <x:c r="B9" s="10" t="str">
        <x:v>ROOT-B</x:v>
      </x:c>
      <x:c r="C9" s="10" t="str">
        <x:f>IF('Pair Decision'!B17="","",'Pair Decision'!B17)</x:f>
      </x:c>
      <x:c r="D9" s="17" t="n">
        <x:v>1</x:v>
      </x:c>
      <x:c r="E9" s="16"/>
      <x:c r="F9" s="16"/>
      <x:c r="G9" s="16"/>
      <x:c r="H9" s="16"/>
      <x:c r="I9" s="16"/>
      <x:c r="J9" s="16"/>
      <x:c r="K9" s="16"/>
      <x:c r="L9" s="16"/>
      <x:c r="M9" s="17" t="str">
        <x:f>IF(COUNT(E9:L9)&lt;8,"",SUM(E9:L9))</x:f>
      </x:c>
      <x:c r="N9" s="17" t="str">
        <x:f>IF(M9="","",D9-M9)</x:f>
      </x:c>
      <x:c r="O9" s="17" t="str">
        <x:f>IF(M9="","",M9/D9)</x:f>
      </x:c>
      <x:c r="P9" s="10" t="str">
        <x:f>IF(OR(C9="",COUNT(E9:L9)&lt;8),"OPEN",IF(AND(MIN(E9:L9)&gt;=0,ABS(N9)&lt;='Assumptions'!$B$41,O9&gt;='Assumptions'!$B$38,L9=0),"PASS","VALID-ADVERSE"))</x:f>
        <x:v>OPEN</x:v>
      </x:c>
    </x:row>
    <x:row r="10">
      <x:c r="A10" s="10" t="str">
        <x:v>EV-03</x:v>
      </x:c>
      <x:c r="B10" s="10" t="str">
        <x:v>ROOT-A</x:v>
      </x:c>
      <x:c r="C10" s="10" t="str">
        <x:f>IF('Pair Decision'!B16="","",'Pair Decision'!B16)</x:f>
      </x:c>
      <x:c r="D10" s="17" t="n">
        <x:v>1</x:v>
      </x:c>
      <x:c r="E10" s="16"/>
      <x:c r="F10" s="16"/>
      <x:c r="G10" s="16"/>
      <x:c r="H10" s="16"/>
      <x:c r="I10" s="16"/>
      <x:c r="J10" s="16"/>
      <x:c r="K10" s="16"/>
      <x:c r="L10" s="16"/>
      <x:c r="M10" s="17" t="str">
        <x:f>IF(COUNT(E10:L10)&lt;8,"",SUM(E10:L10))</x:f>
      </x:c>
      <x:c r="N10" s="17" t="str">
        <x:f>IF(M10="","",D10-M10)</x:f>
      </x:c>
      <x:c r="O10" s="17" t="str">
        <x:f>IF(M10="","",M10/D10)</x:f>
      </x:c>
      <x:c r="P10" s="10" t="str">
        <x:f>IF(OR(C10="",COUNT(E10:L10)&lt;8),"OPEN",IF(AND(MIN(E10:L10)&gt;=0,ABS(N10)&lt;='Assumptions'!$B$41,O10&gt;='Assumptions'!$B$38,L10=0),"PASS","VALID-ADVERSE"))</x:f>
        <x:v>OPEN</x:v>
      </x:c>
    </x:row>
    <x:row r="11">
      <x:c r="A11" s="10" t="str">
        <x:v>EV-03</x:v>
      </x:c>
      <x:c r="B11" s="10" t="str">
        <x:v>ROOT-B</x:v>
      </x:c>
      <x:c r="C11" s="10" t="str">
        <x:f>IF('Pair Decision'!B17="","",'Pair Decision'!B17)</x:f>
      </x:c>
      <x:c r="D11" s="17" t="n">
        <x:v>1</x:v>
      </x:c>
      <x:c r="E11" s="16"/>
      <x:c r="F11" s="16"/>
      <x:c r="G11" s="16"/>
      <x:c r="H11" s="16"/>
      <x:c r="I11" s="16"/>
      <x:c r="J11" s="16"/>
      <x:c r="K11" s="16"/>
      <x:c r="L11" s="16"/>
      <x:c r="M11" s="17" t="str">
        <x:f>IF(COUNT(E11:L11)&lt;8,"",SUM(E11:L11))</x:f>
      </x:c>
      <x:c r="N11" s="17" t="str">
        <x:f>IF(M11="","",D11-M11)</x:f>
      </x:c>
      <x:c r="O11" s="17" t="str">
        <x:f>IF(M11="","",M11/D11)</x:f>
      </x:c>
      <x:c r="P11" s="10" t="str">
        <x:f>IF(OR(C11="",COUNT(E11:L11)&lt;8),"OPEN",IF(AND(MIN(E11:L11)&gt;=0,ABS(N11)&lt;='Assumptions'!$B$41,O11&gt;='Assumptions'!$B$38,L11=0),"PASS","VALID-ADVERSE"))</x:f>
        <x:v>OPEN</x:v>
      </x:c>
    </x:row>
    <x:row r="12">
      <x:c r="A12" s="10" t="str">
        <x:v>EV-04</x:v>
      </x:c>
      <x:c r="B12" s="10" t="str">
        <x:v>ROOT-A</x:v>
      </x:c>
      <x:c r="C12" s="10" t="str">
        <x:f>IF('Pair Decision'!B16="","",'Pair Decision'!B16)</x:f>
      </x:c>
      <x:c r="D12" s="17" t="n">
        <x:v>1</x:v>
      </x:c>
      <x:c r="E12" s="16"/>
      <x:c r="F12" s="16"/>
      <x:c r="G12" s="16"/>
      <x:c r="H12" s="16"/>
      <x:c r="I12" s="16"/>
      <x:c r="J12" s="16"/>
      <x:c r="K12" s="16"/>
      <x:c r="L12" s="16"/>
      <x:c r="M12" s="17" t="str">
        <x:f>IF(COUNT(E12:L12)&lt;8,"",SUM(E12:L12))</x:f>
      </x:c>
      <x:c r="N12" s="17" t="str">
        <x:f>IF(M12="","",D12-M12)</x:f>
      </x:c>
      <x:c r="O12" s="17" t="str">
        <x:f>IF(M12="","",M12/D12)</x:f>
      </x:c>
      <x:c r="P12" s="10" t="str">
        <x:f>IF(OR(C12="",COUNT(E12:L12)&lt;8),"OPEN",IF(AND(MIN(E12:L12)&gt;=0,ABS(N12)&lt;='Assumptions'!$B$41,O12&gt;='Assumptions'!$B$38,L12=0),"PASS","VALID-ADVERSE"))</x:f>
        <x:v>OPEN</x:v>
      </x:c>
    </x:row>
    <x:row r="13">
      <x:c r="A13" s="10" t="str">
        <x:v>EV-04</x:v>
      </x:c>
      <x:c r="B13" s="10" t="str">
        <x:v>ROOT-B</x:v>
      </x:c>
      <x:c r="C13" s="10" t="str">
        <x:f>IF('Pair Decision'!B17="","",'Pair Decision'!B17)</x:f>
      </x:c>
      <x:c r="D13" s="17" t="n">
        <x:v>1</x:v>
      </x:c>
      <x:c r="E13" s="16"/>
      <x:c r="F13" s="16"/>
      <x:c r="G13" s="16"/>
      <x:c r="H13" s="16"/>
      <x:c r="I13" s="16"/>
      <x:c r="J13" s="16"/>
      <x:c r="K13" s="16"/>
      <x:c r="L13" s="16"/>
      <x:c r="M13" s="17" t="str">
        <x:f>IF(COUNT(E13:L13)&lt;8,"",SUM(E13:L13))</x:f>
      </x:c>
      <x:c r="N13" s="17" t="str">
        <x:f>IF(M13="","",D13-M13)</x:f>
      </x:c>
      <x:c r="O13" s="17" t="str">
        <x:f>IF(M13="","",M13/D13)</x:f>
      </x:c>
      <x:c r="P13" s="10" t="str">
        <x:f>IF(OR(C13="",COUNT(E13:L13)&lt;8),"OPEN",IF(AND(MIN(E13:L13)&gt;=0,ABS(N13)&lt;='Assumptions'!$B$41,O13&gt;='Assumptions'!$B$38,L13=0),"PASS","VALID-ADVERSE"))</x:f>
        <x:v>OPEN</x:v>
      </x:c>
    </x:row>
    <x:row r="14">
      <x:c r="A14" s="10" t="str">
        <x:v>EV-05</x:v>
      </x:c>
      <x:c r="B14" s="10" t="str">
        <x:v>ROOT-A</x:v>
      </x:c>
      <x:c r="C14" s="10" t="str">
        <x:f>IF('Pair Decision'!B16="","",'Pair Decision'!B16)</x:f>
      </x:c>
      <x:c r="D14" s="17" t="n">
        <x:v>1</x:v>
      </x:c>
      <x:c r="E14" s="16"/>
      <x:c r="F14" s="16"/>
      <x:c r="G14" s="16"/>
      <x:c r="H14" s="16"/>
      <x:c r="I14" s="16"/>
      <x:c r="J14" s="16"/>
      <x:c r="K14" s="16"/>
      <x:c r="L14" s="16"/>
      <x:c r="M14" s="17" t="str">
        <x:f>IF(COUNT(E14:L14)&lt;8,"",SUM(E14:L14))</x:f>
      </x:c>
      <x:c r="N14" s="17" t="str">
        <x:f>IF(M14="","",D14-M14)</x:f>
      </x:c>
      <x:c r="O14" s="17" t="str">
        <x:f>IF(M14="","",M14/D14)</x:f>
      </x:c>
      <x:c r="P14" s="10" t="str">
        <x:f>IF(OR(C14="",COUNT(E14:L14)&lt;8),"OPEN",IF(AND(MIN(E14:L14)&gt;=0,ABS(N14)&lt;='Assumptions'!$B$41,O14&gt;='Assumptions'!$B$38,L14=0),"PASS","VALID-ADVERSE"))</x:f>
        <x:v>OPEN</x:v>
      </x:c>
    </x:row>
    <x:row r="15">
      <x:c r="A15" s="10" t="str">
        <x:v>EV-05</x:v>
      </x:c>
      <x:c r="B15" s="10" t="str">
        <x:v>ROOT-B</x:v>
      </x:c>
      <x:c r="C15" s="10" t="str">
        <x:f>IF('Pair Decision'!B17="","",'Pair Decision'!B17)</x:f>
      </x:c>
      <x:c r="D15" s="17" t="n">
        <x:v>1</x:v>
      </x:c>
      <x:c r="E15" s="16"/>
      <x:c r="F15" s="16"/>
      <x:c r="G15" s="16"/>
      <x:c r="H15" s="16"/>
      <x:c r="I15" s="16"/>
      <x:c r="J15" s="16"/>
      <x:c r="K15" s="16"/>
      <x:c r="L15" s="16"/>
      <x:c r="M15" s="17" t="str">
        <x:f>IF(COUNT(E15:L15)&lt;8,"",SUM(E15:L15))</x:f>
      </x:c>
      <x:c r="N15" s="17" t="str">
        <x:f>IF(M15="","",D15-M15)</x:f>
      </x:c>
      <x:c r="O15" s="17" t="str">
        <x:f>IF(M15="","",M15/D15)</x:f>
      </x:c>
      <x:c r="P15" s="10" t="str">
        <x:f>IF(OR(C15="",COUNT(E15:L15)&lt;8),"OPEN",IF(AND(MIN(E15:L15)&gt;=0,ABS(N15)&lt;='Assumptions'!$B$41,O15&gt;='Assumptions'!$B$38,L15=0),"PASS","VALID-ADVERSE"))</x:f>
        <x:v>OPEN</x:v>
      </x:c>
    </x:row>
    <x:row r="16">
      <x:c r="A16" s="10" t="str">
        <x:v>EV-06</x:v>
      </x:c>
      <x:c r="B16" s="10" t="str">
        <x:v>ROOT-A</x:v>
      </x:c>
      <x:c r="C16" s="10" t="str">
        <x:f>IF('Pair Decision'!B16="","",'Pair Decision'!B16)</x:f>
      </x:c>
      <x:c r="D16" s="17" t="n">
        <x:v>1</x:v>
      </x:c>
      <x:c r="E16" s="16"/>
      <x:c r="F16" s="16"/>
      <x:c r="G16" s="16"/>
      <x:c r="H16" s="16"/>
      <x:c r="I16" s="16"/>
      <x:c r="J16" s="16"/>
      <x:c r="K16" s="16"/>
      <x:c r="L16" s="16"/>
      <x:c r="M16" s="17" t="str">
        <x:f>IF(COUNT(E16:L16)&lt;8,"",SUM(E16:L16))</x:f>
      </x:c>
      <x:c r="N16" s="17" t="str">
        <x:f>IF(M16="","",D16-M16)</x:f>
      </x:c>
      <x:c r="O16" s="17" t="str">
        <x:f>IF(M16="","",M16/D16)</x:f>
      </x:c>
      <x:c r="P16" s="10" t="str">
        <x:f>IF(OR(C16="",COUNT(E16:L16)&lt;8),"OPEN",IF(AND(MIN(E16:L16)&gt;=0,ABS(N16)&lt;='Assumptions'!$B$41,O16&gt;='Assumptions'!$B$38,L16=0),"PASS","VALID-ADVERSE"))</x:f>
        <x:v>OPEN</x:v>
      </x:c>
    </x:row>
    <x:row r="17">
      <x:c r="A17" s="10" t="str">
        <x:v>EV-06</x:v>
      </x:c>
      <x:c r="B17" s="10" t="str">
        <x:v>ROOT-B</x:v>
      </x:c>
      <x:c r="C17" s="10" t="str">
        <x:f>IF('Pair Decision'!B17="","",'Pair Decision'!B17)</x:f>
      </x:c>
      <x:c r="D17" s="17" t="n">
        <x:v>1</x:v>
      </x:c>
      <x:c r="E17" s="16"/>
      <x:c r="F17" s="16"/>
      <x:c r="G17" s="16"/>
      <x:c r="H17" s="16"/>
      <x:c r="I17" s="16"/>
      <x:c r="J17" s="16"/>
      <x:c r="K17" s="16"/>
      <x:c r="L17" s="16"/>
      <x:c r="M17" s="17" t="str">
        <x:f>IF(COUNT(E17:L17)&lt;8,"",SUM(E17:L17))</x:f>
      </x:c>
      <x:c r="N17" s="17" t="str">
        <x:f>IF(M17="","",D17-M17)</x:f>
      </x:c>
      <x:c r="O17" s="17" t="str">
        <x:f>IF(M17="","",M17/D17)</x:f>
      </x:c>
      <x:c r="P17" s="10" t="str">
        <x:f>IF(OR(C17="",COUNT(E17:L17)&lt;8),"OPEN",IF(AND(MIN(E17:L17)&gt;=0,ABS(N17)&lt;='Assumptions'!$B$41,O17&gt;='Assumptions'!$B$38,L17=0),"PASS","VALID-ADVERSE"))</x:f>
        <x:v>OPEN</x:v>
      </x:c>
    </x:row>
    <x:row r="18">
      <x:c r="A18" s="10" t="str">
        <x:v>EV-07</x:v>
      </x:c>
      <x:c r="B18" s="10" t="str">
        <x:v>ROOT-A</x:v>
      </x:c>
      <x:c r="C18" s="10" t="str">
        <x:f>IF('Pair Decision'!B16="","",'Pair Decision'!B16)</x:f>
      </x:c>
      <x:c r="D18" s="17" t="n">
        <x:v>1</x:v>
      </x:c>
      <x:c r="E18" s="16"/>
      <x:c r="F18" s="16"/>
      <x:c r="G18" s="16"/>
      <x:c r="H18" s="16"/>
      <x:c r="I18" s="16"/>
      <x:c r="J18" s="16"/>
      <x:c r="K18" s="16"/>
      <x:c r="L18" s="16"/>
      <x:c r="M18" s="17" t="str">
        <x:f>IF(COUNT(E18:L18)&lt;8,"",SUM(E18:L18))</x:f>
      </x:c>
      <x:c r="N18" s="17" t="str">
        <x:f>IF(M18="","",D18-M18)</x:f>
      </x:c>
      <x:c r="O18" s="17" t="str">
        <x:f>IF(M18="","",M18/D18)</x:f>
      </x:c>
      <x:c r="P18" s="10" t="str">
        <x:f>IF(OR(C18="",COUNT(E18:L18)&lt;8),"OPEN",IF(AND(MIN(E18:L18)&gt;=0,ABS(N18)&lt;='Assumptions'!$B$41,O18&gt;='Assumptions'!$B$38,L18=0),"PASS","VALID-ADVERSE"))</x:f>
        <x:v>OPEN</x:v>
      </x:c>
    </x:row>
    <x:row r="19">
      <x:c r="A19" s="10" t="str">
        <x:v>EV-07</x:v>
      </x:c>
      <x:c r="B19" s="10" t="str">
        <x:v>ROOT-B</x:v>
      </x:c>
      <x:c r="C19" s="10" t="str">
        <x:f>IF('Pair Decision'!B17="","",'Pair Decision'!B17)</x:f>
      </x:c>
      <x:c r="D19" s="17" t="n">
        <x:v>1</x:v>
      </x:c>
      <x:c r="E19" s="16"/>
      <x:c r="F19" s="16"/>
      <x:c r="G19" s="16"/>
      <x:c r="H19" s="16"/>
      <x:c r="I19" s="16"/>
      <x:c r="J19" s="16"/>
      <x:c r="K19" s="16"/>
      <x:c r="L19" s="16"/>
      <x:c r="M19" s="17" t="str">
        <x:f>IF(COUNT(E19:L19)&lt;8,"",SUM(E19:L19))</x:f>
      </x:c>
      <x:c r="N19" s="17" t="str">
        <x:f>IF(M19="","",D19-M19)</x:f>
      </x:c>
      <x:c r="O19" s="17" t="str">
        <x:f>IF(M19="","",M19/D19)</x:f>
      </x:c>
      <x:c r="P19" s="10" t="str">
        <x:f>IF(OR(C19="",COUNT(E19:L19)&lt;8),"OPEN",IF(AND(MIN(E19:L19)&gt;=0,ABS(N19)&lt;='Assumptions'!$B$41,O19&gt;='Assumptions'!$B$38,L19=0),"PASS","VALID-ADVERSE"))</x:f>
        <x:v>OPEN</x:v>
      </x:c>
    </x:row>
    <x:row r="20">
      <x:c r="A20" s="10" t="str">
        <x:v>EV-08</x:v>
      </x:c>
      <x:c r="B20" s="10" t="str">
        <x:v>ROOT-A</x:v>
      </x:c>
      <x:c r="C20" s="10" t="str">
        <x:f>IF('Pair Decision'!B16="","",'Pair Decision'!B16)</x:f>
      </x:c>
      <x:c r="D20" s="17" t="n">
        <x:v>1</x:v>
      </x:c>
      <x:c r="E20" s="16"/>
      <x:c r="F20" s="16"/>
      <x:c r="G20" s="16"/>
      <x:c r="H20" s="16"/>
      <x:c r="I20" s="16"/>
      <x:c r="J20" s="16"/>
      <x:c r="K20" s="16"/>
      <x:c r="L20" s="16"/>
      <x:c r="M20" s="17" t="str">
        <x:f>IF(COUNT(E20:L20)&lt;8,"",SUM(E20:L20))</x:f>
      </x:c>
      <x:c r="N20" s="17" t="str">
        <x:f>IF(M20="","",D20-M20)</x:f>
      </x:c>
      <x:c r="O20" s="17" t="str">
        <x:f>IF(M20="","",M20/D20)</x:f>
      </x:c>
      <x:c r="P20" s="10" t="str">
        <x:f>IF(OR(C20="",COUNT(E20:L20)&lt;8),"OPEN",IF(AND(MIN(E20:L20)&gt;=0,ABS(N20)&lt;='Assumptions'!$B$41,O20&gt;='Assumptions'!$B$38,L20=0),"PASS","VALID-ADVERSE"))</x:f>
        <x:v>OPEN</x:v>
      </x:c>
    </x:row>
    <x:row r="21">
      <x:c r="A21" s="10" t="str">
        <x:v>EV-08</x:v>
      </x:c>
      <x:c r="B21" s="10" t="str">
        <x:v>ROOT-B</x:v>
      </x:c>
      <x:c r="C21" s="10" t="str">
        <x:f>IF('Pair Decision'!B17="","",'Pair Decision'!B17)</x:f>
      </x:c>
      <x:c r="D21" s="17" t="n">
        <x:v>1</x:v>
      </x:c>
      <x:c r="E21" s="16"/>
      <x:c r="F21" s="16"/>
      <x:c r="G21" s="16"/>
      <x:c r="H21" s="16"/>
      <x:c r="I21" s="16"/>
      <x:c r="J21" s="16"/>
      <x:c r="K21" s="16"/>
      <x:c r="L21" s="16"/>
      <x:c r="M21" s="17" t="str">
        <x:f>IF(COUNT(E21:L21)&lt;8,"",SUM(E21:L21))</x:f>
      </x:c>
      <x:c r="N21" s="17" t="str">
        <x:f>IF(M21="","",D21-M21)</x:f>
      </x:c>
      <x:c r="O21" s="17" t="str">
        <x:f>IF(M21="","",M21/D21)</x:f>
      </x:c>
      <x:c r="P21" s="10" t="str">
        <x:f>IF(OR(C21="",COUNT(E21:L21)&lt;8),"OPEN",IF(AND(MIN(E21:L21)&gt;=0,ABS(N21)&lt;='Assumptions'!$B$41,O21&gt;='Assumptions'!$B$38,L21=0),"PASS","VALID-ADVERSE"))</x:f>
        <x:v>OPEN</x:v>
      </x:c>
    </x:row>
    <x:row r="22">
      <x:c r="A22" s="10" t="str">
        <x:v>EV-09</x:v>
      </x:c>
      <x:c r="B22" s="10" t="str">
        <x:v>ROOT-A</x:v>
      </x:c>
      <x:c r="C22" s="10" t="str">
        <x:f>IF('Pair Decision'!B16="","",'Pair Decision'!B16)</x:f>
      </x:c>
      <x:c r="D22" s="17" t="n">
        <x:v>1</x:v>
      </x:c>
      <x:c r="E22" s="16"/>
      <x:c r="F22" s="16"/>
      <x:c r="G22" s="16"/>
      <x:c r="H22" s="16"/>
      <x:c r="I22" s="16"/>
      <x:c r="J22" s="16"/>
      <x:c r="K22" s="16"/>
      <x:c r="L22" s="16"/>
      <x:c r="M22" s="17" t="str">
        <x:f>IF(COUNT(E22:L22)&lt;8,"",SUM(E22:L22))</x:f>
      </x:c>
      <x:c r="N22" s="17" t="str">
        <x:f>IF(M22="","",D22-M22)</x:f>
      </x:c>
      <x:c r="O22" s="17" t="str">
        <x:f>IF(M22="","",M22/D22)</x:f>
      </x:c>
      <x:c r="P22" s="10" t="str">
        <x:f>IF(OR(C22="",COUNT(E22:L22)&lt;8),"OPEN",IF(AND(MIN(E22:L22)&gt;=0,ABS(N22)&lt;='Assumptions'!$B$41,O22&gt;='Assumptions'!$B$38,L22=0),"PASS","VALID-ADVERSE"))</x:f>
        <x:v>OPEN</x:v>
      </x:c>
    </x:row>
    <x:row r="23">
      <x:c r="A23" s="10" t="str">
        <x:v>EV-09</x:v>
      </x:c>
      <x:c r="B23" s="10" t="str">
        <x:v>ROOT-B</x:v>
      </x:c>
      <x:c r="C23" s="10" t="str">
        <x:f>IF('Pair Decision'!B17="","",'Pair Decision'!B17)</x:f>
      </x:c>
      <x:c r="D23" s="17" t="n">
        <x:v>1</x:v>
      </x:c>
      <x:c r="E23" s="16"/>
      <x:c r="F23" s="16"/>
      <x:c r="G23" s="16"/>
      <x:c r="H23" s="16"/>
      <x:c r="I23" s="16"/>
      <x:c r="J23" s="16"/>
      <x:c r="K23" s="16"/>
      <x:c r="L23" s="16"/>
      <x:c r="M23" s="17" t="str">
        <x:f>IF(COUNT(E23:L23)&lt;8,"",SUM(E23:L23))</x:f>
      </x:c>
      <x:c r="N23" s="17" t="str">
        <x:f>IF(M23="","",D23-M23)</x:f>
      </x:c>
      <x:c r="O23" s="17" t="str">
        <x:f>IF(M23="","",M23/D23)</x:f>
      </x:c>
      <x:c r="P23" s="10" t="str">
        <x:f>IF(OR(C23="",COUNT(E23:L23)&lt;8),"OPEN",IF(AND(MIN(E23:L23)&gt;=0,ABS(N23)&lt;='Assumptions'!$B$41,O23&gt;='Assumptions'!$B$38,L23=0),"PASS","VALID-ADVERSE"))</x:f>
        <x:v>OPEN</x:v>
      </x:c>
    </x:row>
    <x:row r="24">
      <x:c r="A24" s="10" t="str">
        <x:v>EV-10</x:v>
      </x:c>
      <x:c r="B24" s="10" t="str">
        <x:v>ROOT-A</x:v>
      </x:c>
      <x:c r="C24" s="10" t="str">
        <x:f>IF('Pair Decision'!B16="","",'Pair Decision'!B16)</x:f>
      </x:c>
      <x:c r="D24" s="17" t="n">
        <x:v>1</x:v>
      </x:c>
      <x:c r="E24" s="16"/>
      <x:c r="F24" s="16"/>
      <x:c r="G24" s="16"/>
      <x:c r="H24" s="16"/>
      <x:c r="I24" s="16"/>
      <x:c r="J24" s="16"/>
      <x:c r="K24" s="16"/>
      <x:c r="L24" s="16"/>
      <x:c r="M24" s="17" t="str">
        <x:f>IF(COUNT(E24:L24)&lt;8,"",SUM(E24:L24))</x:f>
      </x:c>
      <x:c r="N24" s="17" t="str">
        <x:f>IF(M24="","",D24-M24)</x:f>
      </x:c>
      <x:c r="O24" s="17" t="str">
        <x:f>IF(M24="","",M24/D24)</x:f>
      </x:c>
      <x:c r="P24" s="10" t="str">
        <x:f>IF(OR(C24="",COUNT(E24:L24)&lt;8),"OPEN",IF(AND(MIN(E24:L24)&gt;=0,ABS(N24)&lt;='Assumptions'!$B$41,O24&gt;='Assumptions'!$B$38,L24=0),"PASS","VALID-ADVERSE"))</x:f>
        <x:v>OPEN</x:v>
      </x:c>
    </x:row>
    <x:row r="25">
      <x:c r="A25" s="10" t="str">
        <x:v>EV-10</x:v>
      </x:c>
      <x:c r="B25" s="10" t="str">
        <x:v>ROOT-B</x:v>
      </x:c>
      <x:c r="C25" s="10" t="str">
        <x:f>IF('Pair Decision'!B17="","",'Pair Decision'!B17)</x:f>
      </x:c>
      <x:c r="D25" s="17" t="n">
        <x:v>1</x:v>
      </x:c>
      <x:c r="E25" s="16"/>
      <x:c r="F25" s="16"/>
      <x:c r="G25" s="16"/>
      <x:c r="H25" s="16"/>
      <x:c r="I25" s="16"/>
      <x:c r="J25" s="16"/>
      <x:c r="K25" s="16"/>
      <x:c r="L25" s="16"/>
      <x:c r="M25" s="17" t="str">
        <x:f>IF(COUNT(E25:L25)&lt;8,"",SUM(E25:L25))</x:f>
      </x:c>
      <x:c r="N25" s="17" t="str">
        <x:f>IF(M25="","",D25-M25)</x:f>
      </x:c>
      <x:c r="O25" s="17" t="str">
        <x:f>IF(M25="","",M25/D25)</x:f>
      </x:c>
      <x:c r="P25" s="10" t="str">
        <x:f>IF(OR(C25="",COUNT(E25:L25)&lt;8),"OPEN",IF(AND(MIN(E25:L25)&gt;=0,ABS(N25)&lt;='Assumptions'!$B$41,O25&gt;='Assumptions'!$B$38,L25=0),"PASS","VALID-ADVERSE"))</x:f>
        <x:v>OPEN</x:v>
      </x:c>
    </x:row>
    <x:row r="26">
      <x:c r="A26" s="10" t="str">
        <x:v>EV-11</x:v>
      </x:c>
      <x:c r="B26" s="10" t="str">
        <x:v>ROOT-A</x:v>
      </x:c>
      <x:c r="C26" s="10" t="str">
        <x:f>IF('Pair Decision'!B16="","",'Pair Decision'!B16)</x:f>
      </x:c>
      <x:c r="D26" s="17" t="n">
        <x:v>1</x:v>
      </x:c>
      <x:c r="E26" s="16"/>
      <x:c r="F26" s="16"/>
      <x:c r="G26" s="16"/>
      <x:c r="H26" s="16"/>
      <x:c r="I26" s="16"/>
      <x:c r="J26" s="16"/>
      <x:c r="K26" s="16"/>
      <x:c r="L26" s="16"/>
      <x:c r="M26" s="17" t="str">
        <x:f>IF(COUNT(E26:L26)&lt;8,"",SUM(E26:L26))</x:f>
      </x:c>
      <x:c r="N26" s="17" t="str">
        <x:f>IF(M26="","",D26-M26)</x:f>
      </x:c>
      <x:c r="O26" s="17" t="str">
        <x:f>IF(M26="","",M26/D26)</x:f>
      </x:c>
      <x:c r="P26" s="10" t="str">
        <x:f>IF(OR(C26="",COUNT(E26:L26)&lt;8),"OPEN",IF(AND(MIN(E26:L26)&gt;=0,ABS(N26)&lt;='Assumptions'!$B$41,O26&gt;='Assumptions'!$B$38,L26=0),"PASS","VALID-ADVERSE"))</x:f>
        <x:v>OPEN</x:v>
      </x:c>
    </x:row>
    <x:row r="27">
      <x:c r="A27" s="10" t="str">
        <x:v>EV-11</x:v>
      </x:c>
      <x:c r="B27" s="10" t="str">
        <x:v>ROOT-B</x:v>
      </x:c>
      <x:c r="C27" s="10" t="str">
        <x:f>IF('Pair Decision'!B17="","",'Pair Decision'!B17)</x:f>
      </x:c>
      <x:c r="D27" s="17" t="n">
        <x:v>1</x:v>
      </x:c>
      <x:c r="E27" s="16"/>
      <x:c r="F27" s="16"/>
      <x:c r="G27" s="16"/>
      <x:c r="H27" s="16"/>
      <x:c r="I27" s="16"/>
      <x:c r="J27" s="16"/>
      <x:c r="K27" s="16"/>
      <x:c r="L27" s="16"/>
      <x:c r="M27" s="17" t="str">
        <x:f>IF(COUNT(E27:L27)&lt;8,"",SUM(E27:L27))</x:f>
      </x:c>
      <x:c r="N27" s="17" t="str">
        <x:f>IF(M27="","",D27-M27)</x:f>
      </x:c>
      <x:c r="O27" s="17" t="str">
        <x:f>IF(M27="","",M27/D27)</x:f>
      </x:c>
      <x:c r="P27" s="10" t="str">
        <x:f>IF(OR(C27="",COUNT(E27:L27)&lt;8),"OPEN",IF(AND(MIN(E27:L27)&gt;=0,ABS(N27)&lt;='Assumptions'!$B$41,O27&gt;='Assumptions'!$B$38,L27=0),"PASS","VALID-ADVERSE"))</x:f>
        <x:v>OPEN</x:v>
      </x:c>
    </x:row>
    <x:row r="28">
      <x:c r="A28" s="10" t="str">
        <x:v>EV-12</x:v>
      </x:c>
      <x:c r="B28" s="10" t="str">
        <x:v>ROOT-A</x:v>
      </x:c>
      <x:c r="C28" s="10" t="str">
        <x:f>IF('Pair Decision'!B16="","",'Pair Decision'!B16)</x:f>
      </x:c>
      <x:c r="D28" s="17" t="n">
        <x:v>1</x:v>
      </x:c>
      <x:c r="E28" s="16"/>
      <x:c r="F28" s="16"/>
      <x:c r="G28" s="16"/>
      <x:c r="H28" s="16"/>
      <x:c r="I28" s="16"/>
      <x:c r="J28" s="16"/>
      <x:c r="K28" s="16"/>
      <x:c r="L28" s="16"/>
      <x:c r="M28" s="17" t="str">
        <x:f>IF(COUNT(E28:L28)&lt;8,"",SUM(E28:L28))</x:f>
      </x:c>
      <x:c r="N28" s="17" t="str">
        <x:f>IF(M28="","",D28-M28)</x:f>
      </x:c>
      <x:c r="O28" s="17" t="str">
        <x:f>IF(M28="","",M28/D28)</x:f>
      </x:c>
      <x:c r="P28" s="10" t="str">
        <x:f>IF(OR(C28="",COUNT(E28:L28)&lt;8),"OPEN",IF(AND(MIN(E28:L28)&gt;=0,ABS(N28)&lt;='Assumptions'!$B$41,O28&gt;='Assumptions'!$B$38,L28=0),"PASS","VALID-ADVERSE"))</x:f>
        <x:v>OPEN</x:v>
      </x:c>
    </x:row>
    <x:row r="29">
      <x:c r="A29" s="10" t="str">
        <x:v>EV-12</x:v>
      </x:c>
      <x:c r="B29" s="10" t="str">
        <x:v>ROOT-B</x:v>
      </x:c>
      <x:c r="C29" s="10" t="str">
        <x:f>IF('Pair Decision'!B17="","",'Pair Decision'!B17)</x:f>
      </x:c>
      <x:c r="D29" s="17" t="n">
        <x:v>1</x:v>
      </x:c>
      <x:c r="E29" s="16"/>
      <x:c r="F29" s="16"/>
      <x:c r="G29" s="16"/>
      <x:c r="H29" s="16"/>
      <x:c r="I29" s="16"/>
      <x:c r="J29" s="16"/>
      <x:c r="K29" s="16"/>
      <x:c r="L29" s="16"/>
      <x:c r="M29" s="17" t="str">
        <x:f>IF(COUNT(E29:L29)&lt;8,"",SUM(E29:L29))</x:f>
      </x:c>
      <x:c r="N29" s="17" t="str">
        <x:f>IF(M29="","",D29-M29)</x:f>
      </x:c>
      <x:c r="O29" s="17" t="str">
        <x:f>IF(M29="","",M29/D29)</x:f>
      </x:c>
      <x:c r="P29" s="10" t="str">
        <x:f>IF(OR(C29="",COUNT(E29:L29)&lt;8),"OPEN",IF(AND(MIN(E29:L29)&gt;=0,ABS(N29)&lt;='Assumptions'!$B$41,O29&gt;='Assumptions'!$B$38,L29=0),"PASS","VALID-ADVERSE"))</x:f>
        <x:v>OPEN</x:v>
      </x:c>
    </x:row>
    <x:row r="30">
      <x:c r="A30" s="10" t="str">
        <x:v>EV-13</x:v>
      </x:c>
      <x:c r="B30" s="10" t="str">
        <x:v>ROOT-A</x:v>
      </x:c>
      <x:c r="C30" s="10" t="str">
        <x:f>IF('Pair Decision'!B16="","",'Pair Decision'!B16)</x:f>
      </x:c>
      <x:c r="D30" s="17" t="n">
        <x:v>1</x:v>
      </x:c>
      <x:c r="E30" s="16"/>
      <x:c r="F30" s="16"/>
      <x:c r="G30" s="16"/>
      <x:c r="H30" s="16"/>
      <x:c r="I30" s="16"/>
      <x:c r="J30" s="16"/>
      <x:c r="K30" s="16"/>
      <x:c r="L30" s="16"/>
      <x:c r="M30" s="17" t="str">
        <x:f>IF(COUNT(E30:L30)&lt;8,"",SUM(E30:L30))</x:f>
      </x:c>
      <x:c r="N30" s="17" t="str">
        <x:f>IF(M30="","",D30-M30)</x:f>
      </x:c>
      <x:c r="O30" s="17" t="str">
        <x:f>IF(M30="","",M30/D30)</x:f>
      </x:c>
      <x:c r="P30" s="10" t="str">
        <x:f>IF(OR(C30="",COUNT(E30:L30)&lt;8),"OPEN",IF(AND(MIN(E30:L30)&gt;=0,ABS(N30)&lt;='Assumptions'!$B$41,O30&gt;='Assumptions'!$B$38,L30=0),"PASS","VALID-ADVERSE"))</x:f>
        <x:v>OPEN</x:v>
      </x:c>
    </x:row>
    <x:row r="31">
      <x:c r="A31" s="10" t="str">
        <x:v>EV-13</x:v>
      </x:c>
      <x:c r="B31" s="10" t="str">
        <x:v>ROOT-B</x:v>
      </x:c>
      <x:c r="C31" s="10" t="str">
        <x:f>IF('Pair Decision'!B17="","",'Pair Decision'!B17)</x:f>
      </x:c>
      <x:c r="D31" s="17" t="n">
        <x:v>1</x:v>
      </x:c>
      <x:c r="E31" s="16"/>
      <x:c r="F31" s="16"/>
      <x:c r="G31" s="16"/>
      <x:c r="H31" s="16"/>
      <x:c r="I31" s="16"/>
      <x:c r="J31" s="16"/>
      <x:c r="K31" s="16"/>
      <x:c r="L31" s="16"/>
      <x:c r="M31" s="17" t="str">
        <x:f>IF(COUNT(E31:L31)&lt;8,"",SUM(E31:L31))</x:f>
      </x:c>
      <x:c r="N31" s="17" t="str">
        <x:f>IF(M31="","",D31-M31)</x:f>
      </x:c>
      <x:c r="O31" s="17" t="str">
        <x:f>IF(M31="","",M31/D31)</x:f>
      </x:c>
      <x:c r="P31" s="10" t="str">
        <x:f>IF(OR(C31="",COUNT(E31:L31)&lt;8),"OPEN",IF(AND(MIN(E31:L31)&gt;=0,ABS(N31)&lt;='Assumptions'!$B$41,O31&gt;='Assumptions'!$B$38,L31=0),"PASS","VALID-ADVERSE"))</x:f>
        <x:v>OPEN</x:v>
      </x:c>
    </x:row>
    <x:row r="32">
      <x:c r="A32" s="10" t="str">
        <x:v>EV-14</x:v>
      </x:c>
      <x:c r="B32" s="10" t="str">
        <x:v>ROOT-A</x:v>
      </x:c>
      <x:c r="C32" s="10" t="str">
        <x:f>IF('Pair Decision'!B16="","",'Pair Decision'!B16)</x:f>
      </x:c>
      <x:c r="D32" s="17" t="n">
        <x:v>1</x:v>
      </x:c>
      <x:c r="E32" s="16"/>
      <x:c r="F32" s="16"/>
      <x:c r="G32" s="16"/>
      <x:c r="H32" s="16"/>
      <x:c r="I32" s="16"/>
      <x:c r="J32" s="16"/>
      <x:c r="K32" s="16"/>
      <x:c r="L32" s="16"/>
      <x:c r="M32" s="17" t="str">
        <x:f>IF(COUNT(E32:L32)&lt;8,"",SUM(E32:L32))</x:f>
      </x:c>
      <x:c r="N32" s="17" t="str">
        <x:f>IF(M32="","",D32-M32)</x:f>
      </x:c>
      <x:c r="O32" s="17" t="str">
        <x:f>IF(M32="","",M32/D32)</x:f>
      </x:c>
      <x:c r="P32" s="10" t="str">
        <x:f>IF(OR(C32="",COUNT(E32:L32)&lt;8),"OPEN",IF(AND(MIN(E32:L32)&gt;=0,ABS(N32)&lt;='Assumptions'!$B$41,O32&gt;='Assumptions'!$B$38,L32=0),"PASS","VALID-ADVERSE"))</x:f>
        <x:v>OPEN</x:v>
      </x:c>
    </x:row>
    <x:row r="33">
      <x:c r="A33" s="10" t="str">
        <x:v>EV-14</x:v>
      </x:c>
      <x:c r="B33" s="10" t="str">
        <x:v>ROOT-B</x:v>
      </x:c>
      <x:c r="C33" s="10" t="str">
        <x:f>IF('Pair Decision'!B17="","",'Pair Decision'!B17)</x:f>
      </x:c>
      <x:c r="D33" s="17" t="n">
        <x:v>1</x:v>
      </x:c>
      <x:c r="E33" s="16"/>
      <x:c r="F33" s="16"/>
      <x:c r="G33" s="16"/>
      <x:c r="H33" s="16"/>
      <x:c r="I33" s="16"/>
      <x:c r="J33" s="16"/>
      <x:c r="K33" s="16"/>
      <x:c r="L33" s="16"/>
      <x:c r="M33" s="17" t="str">
        <x:f>IF(COUNT(E33:L33)&lt;8,"",SUM(E33:L33))</x:f>
      </x:c>
      <x:c r="N33" s="17" t="str">
        <x:f>IF(M33="","",D33-M33)</x:f>
      </x:c>
      <x:c r="O33" s="17" t="str">
        <x:f>IF(M33="","",M33/D33)</x:f>
      </x:c>
      <x:c r="P33" s="10" t="str">
        <x:f>IF(OR(C33="",COUNT(E33:L33)&lt;8),"OPEN",IF(AND(MIN(E33:L33)&gt;=0,ABS(N33)&lt;='Assumptions'!$B$41,O33&gt;='Assumptions'!$B$38,L33=0),"PASS","VALID-ADVERSE"))</x:f>
        <x:v>OPEN</x:v>
      </x:c>
    </x:row>
    <x:row r="34">
      <x:c r="A34" s="10" t="str">
        <x:v>EV-15</x:v>
      </x:c>
      <x:c r="B34" s="10" t="str">
        <x:v>ROOT-A</x:v>
      </x:c>
      <x:c r="C34" s="10" t="str">
        <x:f>IF('Pair Decision'!B16="","",'Pair Decision'!B16)</x:f>
      </x:c>
      <x:c r="D34" s="17" t="n">
        <x:v>1</x:v>
      </x:c>
      <x:c r="E34" s="16"/>
      <x:c r="F34" s="16"/>
      <x:c r="G34" s="16"/>
      <x:c r="H34" s="16"/>
      <x:c r="I34" s="16"/>
      <x:c r="J34" s="16"/>
      <x:c r="K34" s="16"/>
      <x:c r="L34" s="16"/>
      <x:c r="M34" s="17" t="str">
        <x:f>IF(COUNT(E34:L34)&lt;8,"",SUM(E34:L34))</x:f>
      </x:c>
      <x:c r="N34" s="17" t="str">
        <x:f>IF(M34="","",D34-M34)</x:f>
      </x:c>
      <x:c r="O34" s="17" t="str">
        <x:f>IF(M34="","",M34/D34)</x:f>
      </x:c>
      <x:c r="P34" s="10" t="str">
        <x:f>IF(OR(C34="",COUNT(E34:L34)&lt;8),"OPEN",IF(AND(MIN(E34:L34)&gt;=0,ABS(N34)&lt;='Assumptions'!$B$41,O34&gt;='Assumptions'!$B$38,L34=0),"PASS","VALID-ADVERSE"))</x:f>
        <x:v>OPEN</x:v>
      </x:c>
    </x:row>
    <x:row r="35">
      <x:c r="A35" s="10" t="str">
        <x:v>EV-15</x:v>
      </x:c>
      <x:c r="B35" s="10" t="str">
        <x:v>ROOT-B</x:v>
      </x:c>
      <x:c r="C35" s="10" t="str">
        <x:f>IF('Pair Decision'!B17="","",'Pair Decision'!B17)</x:f>
      </x:c>
      <x:c r="D35" s="17" t="n">
        <x:v>1</x:v>
      </x:c>
      <x:c r="E35" s="16"/>
      <x:c r="F35" s="16"/>
      <x:c r="G35" s="16"/>
      <x:c r="H35" s="16"/>
      <x:c r="I35" s="16"/>
      <x:c r="J35" s="16"/>
      <x:c r="K35" s="16"/>
      <x:c r="L35" s="16"/>
      <x:c r="M35" s="17" t="str">
        <x:f>IF(COUNT(E35:L35)&lt;8,"",SUM(E35:L35))</x:f>
      </x:c>
      <x:c r="N35" s="17" t="str">
        <x:f>IF(M35="","",D35-M35)</x:f>
      </x:c>
      <x:c r="O35" s="17" t="str">
        <x:f>IF(M35="","",M35/D35)</x:f>
      </x:c>
      <x:c r="P35" s="10" t="str">
        <x:f>IF(OR(C35="",COUNT(E35:L35)&lt;8),"OPEN",IF(AND(MIN(E35:L35)&gt;=0,ABS(N35)&lt;='Assumptions'!$B$41,O35&gt;='Assumptions'!$B$38,L35=0),"PASS","VALID-ADVERSE"))</x:f>
        <x:v>OPEN</x:v>
      </x:c>
    </x:row>
    <x:row r="36">
      <x:c r="A36" s="10" t="str">
        <x:v>EV-16</x:v>
      </x:c>
      <x:c r="B36" s="10" t="str">
        <x:v>ROOT-A</x:v>
      </x:c>
      <x:c r="C36" s="10" t="str">
        <x:f>IF('Pair Decision'!B16="","",'Pair Decision'!B16)</x:f>
      </x:c>
      <x:c r="D36" s="17" t="n">
        <x:v>1</x:v>
      </x:c>
      <x:c r="E36" s="16"/>
      <x:c r="F36" s="16"/>
      <x:c r="G36" s="16"/>
      <x:c r="H36" s="16"/>
      <x:c r="I36" s="16"/>
      <x:c r="J36" s="16"/>
      <x:c r="K36" s="16"/>
      <x:c r="L36" s="16"/>
      <x:c r="M36" s="17" t="str">
        <x:f>IF(COUNT(E36:L36)&lt;8,"",SUM(E36:L36))</x:f>
      </x:c>
      <x:c r="N36" s="17" t="str">
        <x:f>IF(M36="","",D36-M36)</x:f>
      </x:c>
      <x:c r="O36" s="17" t="str">
        <x:f>IF(M36="","",M36/D36)</x:f>
      </x:c>
      <x:c r="P36" s="10" t="str">
        <x:f>IF(OR(C36="",COUNT(E36:L36)&lt;8),"OPEN",IF(AND(MIN(E36:L36)&gt;=0,ABS(N36)&lt;='Assumptions'!$B$41,O36&gt;='Assumptions'!$B$38,L36=0),"PASS","VALID-ADVERSE"))</x:f>
        <x:v>OPEN</x:v>
      </x:c>
    </x:row>
    <x:row r="37">
      <x:c r="A37" s="10" t="str">
        <x:v>EV-16</x:v>
      </x:c>
      <x:c r="B37" s="10" t="str">
        <x:v>ROOT-B</x:v>
      </x:c>
      <x:c r="C37" s="10" t="str">
        <x:f>IF('Pair Decision'!B17="","",'Pair Decision'!B17)</x:f>
      </x:c>
      <x:c r="D37" s="17" t="n">
        <x:v>1</x:v>
      </x:c>
      <x:c r="E37" s="16"/>
      <x:c r="F37" s="16"/>
      <x:c r="G37" s="16"/>
      <x:c r="H37" s="16"/>
      <x:c r="I37" s="16"/>
      <x:c r="J37" s="16"/>
      <x:c r="K37" s="16"/>
      <x:c r="L37" s="16"/>
      <x:c r="M37" s="17" t="str">
        <x:f>IF(COUNT(E37:L37)&lt;8,"",SUM(E37:L37))</x:f>
      </x:c>
      <x:c r="N37" s="17" t="str">
        <x:f>IF(M37="","",D37-M37)</x:f>
      </x:c>
      <x:c r="O37" s="17" t="str">
        <x:f>IF(M37="","",M37/D37)</x:f>
      </x:c>
      <x:c r="P37" s="10" t="str">
        <x:f>IF(OR(C37="",COUNT(E37:L37)&lt;8),"OPEN",IF(AND(MIN(E37:L37)&gt;=0,ABS(N37)&lt;='Assumptions'!$B$41,O37&gt;='Assumptions'!$B$38,L37=0),"PASS","VALID-ADVERSE"))</x:f>
        <x:v>OPEN</x:v>
      </x:c>
    </x:row>
  </x:sheetData>
  <x:mergeCells>
    <x:mergeCell ref="A2:P2"/>
    <x:mergeCell ref="A4:P4"/>
  </x:mergeCells>
  <x:conditionalFormatting sqref="P6:P37">
    <x:cfRule type="containsText" dxfId="174" priority="1" operator="containsText" text="DENY"/>
    <x:cfRule type="containsText" dxfId="175" priority="2" operator="containsText" text="ADVERSE"/>
    <x:cfRule type="containsText" dxfId="176" priority="3" operator="containsText" text="FAIL"/>
    <x:cfRule type="containsText" dxfId="177" priority="4" operator="containsText" text="OPEN"/>
    <x:cfRule type="containsText" dxfId="178" priority="5" operator="containsText" text="BLOCKED"/>
    <x:cfRule type="containsText" dxfId="179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33faed0470394ef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19" hidden="0" customWidth="1"/>
    <x:col min="5" max="5" width="18" hidden="0" customWidth="1"/>
    <x:col min="6" max="6" width="17" hidden="0" customWidth="1"/>
    <x:col min="7" max="7" width="22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25" hidden="0" customWidth="1"/>
    <x:col min="13" max="13" width="27" hidden="0" customWidth="1"/>
    <x:col min="14" max="14" width="19" hidden="0" customWidth="1"/>
  </x:cols>
  <x:sheetData>
    <x:row r="2" ht="24" customHeight="1">
      <x:c r="A2" s="1" t="str">
        <x:v>Independent dual-root event results</x:v>
      </x:c>
    </x:row>
    <x:row r="4" ht="22" customHeight="1">
      <x:c r="A4" s="15" t="str">
        <x:v>Each root produces its own phase recoveries, error rates and terminal mass vector before packets may be compared.</x:v>
      </x:c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</x:row>
    <x:row r="5">
      <x:c r="A5" s="8" t="str">
        <x:v>Event</x:v>
      </x:c>
      <x:c r="B5" s="8" t="str">
        <x:v>Root A water recovery</x:v>
      </x:c>
      <x:c r="C5" s="8" t="str">
        <x:v>Root A simulant recovery</x:v>
      </x:c>
      <x:c r="D5" s="8" t="str">
        <x:v>Root A wrong phase</x:v>
      </x:c>
      <x:c r="E5" s="8" t="str">
        <x:v>Root A wrong code</x:v>
      </x:c>
      <x:c r="F5" s="8" t="str">
        <x:v>Root A carryover</x:v>
      </x:c>
      <x:c r="G5" s="8" t="str">
        <x:v>Root B water recovery</x:v>
      </x:c>
      <x:c r="H5" s="8" t="str">
        <x:v>Root B simulant recovery</x:v>
      </x:c>
      <x:c r="I5" s="8" t="str">
        <x:v>Root B wrong phase</x:v>
      </x:c>
      <x:c r="J5" s="8" t="str">
        <x:v>Root B wrong code</x:v>
      </x:c>
      <x:c r="K5" s="8" t="str">
        <x:v>Root B carryover</x:v>
      </x:c>
      <x:c r="L5" s="8" t="str">
        <x:v>Water-vector difference m³</x:v>
      </x:c>
      <x:c r="M5" s="8" t="str">
        <x:v>Simulant-vector difference kg</x:v>
      </x:c>
      <x:c r="N5" s="8" t="str">
        <x:v>State</x:v>
      </x:c>
    </x:row>
    <x:row r="6">
      <x:c r="A6" s="10" t="str">
        <x:v>EV-01</x:v>
      </x:c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0" t="str">
        <x:f>IF(COUNT(B6:M6)&lt;12,"OPEN",IF(AND(MIN(B6:C6)&gt;='Assumptions'!$B$39,MIN(G6:H6)&gt;='Assumptions'!$B$39,D6&lt;='Assumptions'!$B$40,I6&lt;='Assumptions'!$B$40,E6&lt;='Assumptions'!$B$41,J6&lt;='Assumptions'!$B$41,F6&lt;='Assumptions'!$B$42,K6&lt;='Assumptions'!$B$42,L6&lt;='Assumptions'!$B$45,M6&lt;='Assumptions'!$B$46),"PASS","VALID-ADVERSE"))</x:f>
        <x:v>OPEN</x:v>
      </x:c>
    </x:row>
    <x:row r="7">
      <x:c r="A7" s="10" t="str">
        <x:v>EV-02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0" t="str">
        <x:f>IF(COUNT(B7:M7)&lt;12,"OPEN",IF(AND(MIN(B7:C7)&gt;='Assumptions'!$B$39,MIN(G7:H7)&gt;='Assumptions'!$B$39,D7&lt;='Assumptions'!$B$40,I7&lt;='Assumptions'!$B$40,E7&lt;='Assumptions'!$B$41,J7&lt;='Assumptions'!$B$41,F7&lt;='Assumptions'!$B$42,K7&lt;='Assumptions'!$B$42,L7&lt;='Assumptions'!$B$45,M7&lt;='Assumptions'!$B$46),"PASS","VALID-ADVERSE"))</x:f>
        <x:v>OPEN</x:v>
      </x:c>
    </x:row>
    <x:row r="8">
      <x:c r="A8" s="10" t="str">
        <x:v>EV-03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0" t="str">
        <x:f>IF(COUNT(B8:M8)&lt;12,"OPEN",IF(AND(MIN(B8:C8)&gt;='Assumptions'!$B$39,MIN(G8:H8)&gt;='Assumptions'!$B$39,D8&lt;='Assumptions'!$B$40,I8&lt;='Assumptions'!$B$40,E8&lt;='Assumptions'!$B$41,J8&lt;='Assumptions'!$B$41,F8&lt;='Assumptions'!$B$42,K8&lt;='Assumptions'!$B$42,L8&lt;='Assumptions'!$B$45,M8&lt;='Assumptions'!$B$46),"PASS","VALID-ADVERSE"))</x:f>
        <x:v>OPEN</x:v>
      </x:c>
    </x:row>
    <x:row r="9">
      <x:c r="A9" s="10" t="str">
        <x:v>EV-04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0" t="str">
        <x:f>IF(COUNT(B9:M9)&lt;12,"OPEN",IF(AND(MIN(B9:C9)&gt;='Assumptions'!$B$39,MIN(G9:H9)&gt;='Assumptions'!$B$39,D9&lt;='Assumptions'!$B$40,I9&lt;='Assumptions'!$B$40,E9&lt;='Assumptions'!$B$41,J9&lt;='Assumptions'!$B$41,F9&lt;='Assumptions'!$B$42,K9&lt;='Assumptions'!$B$42,L9&lt;='Assumptions'!$B$45,M9&lt;='Assumptions'!$B$46),"PASS","VALID-ADVERSE"))</x:f>
        <x:v>OPEN</x:v>
      </x:c>
    </x:row>
    <x:row r="10">
      <x:c r="A10" s="10" t="str">
        <x:v>EV-05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0" t="str">
        <x:f>IF(COUNT(B10:M10)&lt;12,"OPEN",IF(AND(MIN(B10:C10)&gt;='Assumptions'!$B$39,MIN(G10:H10)&gt;='Assumptions'!$B$39,D10&lt;='Assumptions'!$B$40,I10&lt;='Assumptions'!$B$40,E10&lt;='Assumptions'!$B$41,J10&lt;='Assumptions'!$B$41,F10&lt;='Assumptions'!$B$42,K10&lt;='Assumptions'!$B$42,L10&lt;='Assumptions'!$B$45,M10&lt;='Assumptions'!$B$46),"PASS","VALID-ADVERSE"))</x:f>
        <x:v>OPEN</x:v>
      </x:c>
    </x:row>
    <x:row r="11">
      <x:c r="A11" s="10" t="str">
        <x:v>EV-06</x:v>
      </x:c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0" t="str">
        <x:f>IF(COUNT(B11:M11)&lt;12,"OPEN",IF(AND(MIN(B11:C11)&gt;='Assumptions'!$B$39,MIN(G11:H11)&gt;='Assumptions'!$B$39,D11&lt;='Assumptions'!$B$40,I11&lt;='Assumptions'!$B$40,E11&lt;='Assumptions'!$B$41,J11&lt;='Assumptions'!$B$41,F11&lt;='Assumptions'!$B$42,K11&lt;='Assumptions'!$B$42,L11&lt;='Assumptions'!$B$45,M11&lt;='Assumptions'!$B$46),"PASS","VALID-ADVERSE"))</x:f>
        <x:v>OPEN</x:v>
      </x:c>
    </x:row>
    <x:row r="12">
      <x:c r="A12" s="10" t="str">
        <x:v>EV-07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0" t="str">
        <x:f>IF(COUNT(B12:M12)&lt;12,"OPEN",IF(AND(MIN(B12:C12)&gt;='Assumptions'!$B$39,MIN(G12:H12)&gt;='Assumptions'!$B$39,D12&lt;='Assumptions'!$B$40,I12&lt;='Assumptions'!$B$40,E12&lt;='Assumptions'!$B$41,J12&lt;='Assumptions'!$B$41,F12&lt;='Assumptions'!$B$42,K12&lt;='Assumptions'!$B$42,L12&lt;='Assumptions'!$B$45,M12&lt;='Assumptions'!$B$46),"PASS","VALID-ADVERSE"))</x:f>
        <x:v>OPEN</x:v>
      </x:c>
    </x:row>
    <x:row r="13">
      <x:c r="A13" s="10" t="str">
        <x:v>EV-08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0" t="str">
        <x:f>IF(COUNT(B13:M13)&lt;12,"OPEN",IF(AND(MIN(B13:C13)&gt;='Assumptions'!$B$39,MIN(G13:H13)&gt;='Assumptions'!$B$39,D13&lt;='Assumptions'!$B$40,I13&lt;='Assumptions'!$B$40,E13&lt;='Assumptions'!$B$41,J13&lt;='Assumptions'!$B$41,F13&lt;='Assumptions'!$B$42,K13&lt;='Assumptions'!$B$42,L13&lt;='Assumptions'!$B$45,M13&lt;='Assumptions'!$B$46),"PASS","VALID-ADVERSE"))</x:f>
        <x:v>OPEN</x:v>
      </x:c>
    </x:row>
    <x:row r="14">
      <x:c r="A14" s="10" t="str">
        <x:v>EV-09</x:v>
      </x:c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0" t="str">
        <x:f>IF(COUNT(B14:M14)&lt;12,"OPEN",IF(AND(MIN(B14:C14)&gt;='Assumptions'!$B$39,MIN(G14:H14)&gt;='Assumptions'!$B$39,D14&lt;='Assumptions'!$B$40,I14&lt;='Assumptions'!$B$40,E14&lt;='Assumptions'!$B$41,J14&lt;='Assumptions'!$B$41,F14&lt;='Assumptions'!$B$42,K14&lt;='Assumptions'!$B$42,L14&lt;='Assumptions'!$B$45,M14&lt;='Assumptions'!$B$46),"PASS","VALID-ADVERSE"))</x:f>
        <x:v>OPEN</x:v>
      </x:c>
    </x:row>
    <x:row r="15">
      <x:c r="A15" s="10" t="str">
        <x:v>EV-10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0" t="str">
        <x:f>IF(COUNT(B15:M15)&lt;12,"OPEN",IF(AND(MIN(B15:C15)&gt;='Assumptions'!$B$39,MIN(G15:H15)&gt;='Assumptions'!$B$39,D15&lt;='Assumptions'!$B$40,I15&lt;='Assumptions'!$B$40,E15&lt;='Assumptions'!$B$41,J15&lt;='Assumptions'!$B$41,F15&lt;='Assumptions'!$B$42,K15&lt;='Assumptions'!$B$42,L15&lt;='Assumptions'!$B$45,M15&lt;='Assumptions'!$B$46),"PASS","VALID-ADVERSE"))</x:f>
        <x:v>OPEN</x:v>
      </x:c>
    </x:row>
    <x:row r="16">
      <x:c r="A16" s="10" t="str">
        <x:v>EV-11</x:v>
      </x:c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0" t="str">
        <x:f>IF(COUNT(B16:M16)&lt;12,"OPEN",IF(AND(MIN(B16:C16)&gt;='Assumptions'!$B$39,MIN(G16:H16)&gt;='Assumptions'!$B$39,D16&lt;='Assumptions'!$B$40,I16&lt;='Assumptions'!$B$40,E16&lt;='Assumptions'!$B$41,J16&lt;='Assumptions'!$B$41,F16&lt;='Assumptions'!$B$42,K16&lt;='Assumptions'!$B$42,L16&lt;='Assumptions'!$B$45,M16&lt;='Assumptions'!$B$46),"PASS","VALID-ADVERSE"))</x:f>
        <x:v>OPEN</x:v>
      </x:c>
    </x:row>
    <x:row r="17">
      <x:c r="A17" s="10" t="str">
        <x:v>EV-12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0" t="str">
        <x:f>IF(COUNT(B17:M17)&lt;12,"OPEN",IF(AND(MIN(B17:C17)&gt;='Assumptions'!$B$39,MIN(G17:H17)&gt;='Assumptions'!$B$39,D17&lt;='Assumptions'!$B$40,I17&lt;='Assumptions'!$B$40,E17&lt;='Assumptions'!$B$41,J17&lt;='Assumptions'!$B$41,F17&lt;='Assumptions'!$B$42,K17&lt;='Assumptions'!$B$42,L17&lt;='Assumptions'!$B$45,M17&lt;='Assumptions'!$B$46),"PASS","VALID-ADVERSE"))</x:f>
        <x:v>OPEN</x:v>
      </x:c>
    </x:row>
    <x:row r="18">
      <x:c r="A18" s="10" t="str">
        <x:v>EV-13</x:v>
      </x:c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0" t="str">
        <x:f>IF(COUNT(B18:M18)&lt;12,"OPEN",IF(AND(MIN(B18:C18)&gt;='Assumptions'!$B$39,MIN(G18:H18)&gt;='Assumptions'!$B$39,D18&lt;='Assumptions'!$B$40,I18&lt;='Assumptions'!$B$40,E18&lt;='Assumptions'!$B$41,J18&lt;='Assumptions'!$B$41,F18&lt;='Assumptions'!$B$42,K18&lt;='Assumptions'!$B$42,L18&lt;='Assumptions'!$B$45,M18&lt;='Assumptions'!$B$46),"PASS","VALID-ADVERSE"))</x:f>
        <x:v>OPEN</x:v>
      </x:c>
    </x:row>
    <x:row r="19">
      <x:c r="A19" s="10" t="str">
        <x:v>EV-14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0" t="str">
        <x:f>IF(COUNT(B19:M19)&lt;12,"OPEN",IF(AND(MIN(B19:C19)&gt;='Assumptions'!$B$39,MIN(G19:H19)&gt;='Assumptions'!$B$39,D19&lt;='Assumptions'!$B$40,I19&lt;='Assumptions'!$B$40,E19&lt;='Assumptions'!$B$41,J19&lt;='Assumptions'!$B$41,F19&lt;='Assumptions'!$B$42,K19&lt;='Assumptions'!$B$42,L19&lt;='Assumptions'!$B$45,M19&lt;='Assumptions'!$B$46),"PASS","VALID-ADVERSE"))</x:f>
        <x:v>OPEN</x:v>
      </x:c>
    </x:row>
    <x:row r="20">
      <x:c r="A20" s="10" t="str">
        <x:v>EV-15</x:v>
      </x:c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0" t="str">
        <x:f>IF(COUNT(B20:M20)&lt;12,"OPEN",IF(AND(MIN(B20:C20)&gt;='Assumptions'!$B$39,MIN(G20:H20)&gt;='Assumptions'!$B$39,D20&lt;='Assumptions'!$B$40,I20&lt;='Assumptions'!$B$40,E20&lt;='Assumptions'!$B$41,J20&lt;='Assumptions'!$B$41,F20&lt;='Assumptions'!$B$42,K20&lt;='Assumptions'!$B$42,L20&lt;='Assumptions'!$B$45,M20&lt;='Assumptions'!$B$46),"PASS","VALID-ADVERSE"))</x:f>
        <x:v>OPEN</x:v>
      </x:c>
    </x:row>
    <x:row r="21">
      <x:c r="A21" s="10" t="str">
        <x:v>EV-16</x:v>
      </x:c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0" t="str">
        <x:f>IF(COUNT(B21:M21)&lt;12,"OPEN",IF(AND(MIN(B21:C21)&gt;='Assumptions'!$B$39,MIN(G21:H21)&gt;='Assumptions'!$B$39,D21&lt;='Assumptions'!$B$40,I21&lt;='Assumptions'!$B$40,E21&lt;='Assumptions'!$B$41,J21&lt;='Assumptions'!$B$41,F21&lt;='Assumptions'!$B$42,K21&lt;='Assumptions'!$B$42,L21&lt;='Assumptions'!$B$45,M21&lt;='Assumptions'!$B$46),"PASS","VALID-ADVERSE"))</x:f>
        <x:v>OPEN</x:v>
      </x:c>
    </x:row>
  </x:sheetData>
  <x:mergeCells>
    <x:mergeCell ref="A2:N2"/>
    <x:mergeCell ref="A4:N4"/>
  </x:mergeCells>
  <x:conditionalFormatting sqref="N6:N21">
    <x:cfRule type="containsText" dxfId="90" priority="1" operator="containsText" text="DENY"/>
    <x:cfRule type="containsText" dxfId="91" priority="2" operator="containsText" text="ADVERSE"/>
    <x:cfRule type="containsText" dxfId="92" priority="3" operator="containsText" text="FAIL"/>
    <x:cfRule type="containsText" dxfId="93" priority="4" operator="containsText" text="OPEN"/>
    <x:cfRule type="containsText" dxfId="94" priority="5" operator="containsText" text="BLOCKED"/>
    <x:cfRule type="containsText" dxfId="95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0be5c5deebdd436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3" hidden="0" customWidth="1"/>
    <x:col min="3" max="3" width="28" hidden="0" customWidth="1"/>
    <x:col min="4" max="4" width="19" hidden="0" customWidth="1"/>
  </x:cols>
  <x:sheetData>
    <x:row r="2" ht="24" customHeight="1">
      <x:c r="A2" s="1" t="str">
        <x:v>Recovered-phase separation results</x:v>
      </x:c>
    </x:row>
    <x:row r="4" ht="22" customHeight="1">
      <x:c r="A4" s="2"/>
      <x:c r="B4" s="2"/>
      <x:c r="C4" s="2"/>
      <x:c r="D4" s="2"/>
    </x:row>
    <x:row r="5">
      <x:c r="A5" s="8" t="str">
        <x:v>Event</x:v>
      </x:c>
      <x:c r="B5" s="8" t="str">
        <x:v>Simulant in recovered water mg/L</x:v>
      </x:c>
      <x:c r="C5" s="8" t="str">
        <x:v>Water in recovered simulant</x:v>
      </x:c>
      <x:c r="D5" s="8" t="str">
        <x:v>State</x:v>
      </x:c>
    </x:row>
    <x:row r="6">
      <x:c r="A6" s="10" t="str">
        <x:v>EV-01</x:v>
      </x:c>
      <x:c r="B6" s="12"/>
      <x:c r="C6" s="12"/>
      <x:c r="D6" s="10" t="str">
        <x:f>IF(COUNT(B6:C6)&lt;2,"OPEN",IF(AND(B6&lt;='Assumptions'!$B$48,C6&lt;='Assumptions'!$B$49),"PASS","VALID-ADVERSE"))</x:f>
        <x:v>OPEN</x:v>
      </x:c>
    </x:row>
    <x:row r="7">
      <x:c r="A7" s="10" t="str">
        <x:v>EV-02</x:v>
      </x:c>
      <x:c r="B7" s="12"/>
      <x:c r="C7" s="12"/>
      <x:c r="D7" s="10" t="str">
        <x:f>IF(COUNT(B7:C7)&lt;2,"OPEN",IF(AND(B7&lt;='Assumptions'!$B$48,C7&lt;='Assumptions'!$B$49),"PASS","VALID-ADVERSE"))</x:f>
        <x:v>OPEN</x:v>
      </x:c>
    </x:row>
    <x:row r="8">
      <x:c r="A8" s="10" t="str">
        <x:v>EV-03</x:v>
      </x:c>
      <x:c r="B8" s="12"/>
      <x:c r="C8" s="12"/>
      <x:c r="D8" s="10" t="str">
        <x:f>IF(COUNT(B8:C8)&lt;2,"OPEN",IF(AND(B8&lt;='Assumptions'!$B$48,C8&lt;='Assumptions'!$B$49),"PASS","VALID-ADVERSE"))</x:f>
        <x:v>OPEN</x:v>
      </x:c>
    </x:row>
    <x:row r="9">
      <x:c r="A9" s="10" t="str">
        <x:v>EV-04</x:v>
      </x:c>
      <x:c r="B9" s="12"/>
      <x:c r="C9" s="12"/>
      <x:c r="D9" s="10" t="str">
        <x:f>IF(COUNT(B9:C9)&lt;2,"OPEN",IF(AND(B9&lt;='Assumptions'!$B$48,C9&lt;='Assumptions'!$B$49),"PASS","VALID-ADVERSE"))</x:f>
        <x:v>OPEN</x:v>
      </x:c>
    </x:row>
    <x:row r="10">
      <x:c r="A10" s="10" t="str">
        <x:v>EV-05</x:v>
      </x:c>
      <x:c r="B10" s="12"/>
      <x:c r="C10" s="12"/>
      <x:c r="D10" s="10" t="str">
        <x:f>IF(COUNT(B10:C10)&lt;2,"OPEN",IF(AND(B10&lt;='Assumptions'!$B$48,C10&lt;='Assumptions'!$B$49),"PASS","VALID-ADVERSE"))</x:f>
        <x:v>OPEN</x:v>
      </x:c>
    </x:row>
    <x:row r="11">
      <x:c r="A11" s="10" t="str">
        <x:v>EV-06</x:v>
      </x:c>
      <x:c r="B11" s="12"/>
      <x:c r="C11" s="12"/>
      <x:c r="D11" s="10" t="str">
        <x:f>IF(COUNT(B11:C11)&lt;2,"OPEN",IF(AND(B11&lt;='Assumptions'!$B$48,C11&lt;='Assumptions'!$B$49),"PASS","VALID-ADVERSE"))</x:f>
        <x:v>OPEN</x:v>
      </x:c>
    </x:row>
    <x:row r="12">
      <x:c r="A12" s="10" t="str">
        <x:v>EV-07</x:v>
      </x:c>
      <x:c r="B12" s="12"/>
      <x:c r="C12" s="12"/>
      <x:c r="D12" s="10" t="str">
        <x:f>IF(COUNT(B12:C12)&lt;2,"OPEN",IF(AND(B12&lt;='Assumptions'!$B$48,C12&lt;='Assumptions'!$B$49),"PASS","VALID-ADVERSE"))</x:f>
        <x:v>OPEN</x:v>
      </x:c>
    </x:row>
    <x:row r="13">
      <x:c r="A13" s="10" t="str">
        <x:v>EV-08</x:v>
      </x:c>
      <x:c r="B13" s="12"/>
      <x:c r="C13" s="12"/>
      <x:c r="D13" s="10" t="str">
        <x:f>IF(COUNT(B13:C13)&lt;2,"OPEN",IF(AND(B13&lt;='Assumptions'!$B$48,C13&lt;='Assumptions'!$B$49),"PASS","VALID-ADVERSE"))</x:f>
        <x:v>OPEN</x:v>
      </x:c>
    </x:row>
    <x:row r="14">
      <x:c r="A14" s="10" t="str">
        <x:v>EV-09</x:v>
      </x:c>
      <x:c r="B14" s="12"/>
      <x:c r="C14" s="12"/>
      <x:c r="D14" s="10" t="str">
        <x:f>IF(COUNT(B14:C14)&lt;2,"OPEN",IF(AND(B14&lt;='Assumptions'!$B$48,C14&lt;='Assumptions'!$B$49),"PASS","VALID-ADVERSE"))</x:f>
        <x:v>OPEN</x:v>
      </x:c>
    </x:row>
    <x:row r="15">
      <x:c r="A15" s="10" t="str">
        <x:v>EV-10</x:v>
      </x:c>
      <x:c r="B15" s="12"/>
      <x:c r="C15" s="12"/>
      <x:c r="D15" s="10" t="str">
        <x:f>IF(COUNT(B15:C15)&lt;2,"OPEN",IF(AND(B15&lt;='Assumptions'!$B$48,C15&lt;='Assumptions'!$B$49),"PASS","VALID-ADVERSE"))</x:f>
        <x:v>OPEN</x:v>
      </x:c>
    </x:row>
    <x:row r="16">
      <x:c r="A16" s="10" t="str">
        <x:v>EV-11</x:v>
      </x:c>
      <x:c r="B16" s="12"/>
      <x:c r="C16" s="12"/>
      <x:c r="D16" s="10" t="str">
        <x:f>IF(COUNT(B16:C16)&lt;2,"OPEN",IF(AND(B16&lt;='Assumptions'!$B$48,C16&lt;='Assumptions'!$B$49),"PASS","VALID-ADVERSE"))</x:f>
        <x:v>OPEN</x:v>
      </x:c>
    </x:row>
    <x:row r="17">
      <x:c r="A17" s="10" t="str">
        <x:v>EV-12</x:v>
      </x:c>
      <x:c r="B17" s="12"/>
      <x:c r="C17" s="12"/>
      <x:c r="D17" s="10" t="str">
        <x:f>IF(COUNT(B17:C17)&lt;2,"OPEN",IF(AND(B17&lt;='Assumptions'!$B$48,C17&lt;='Assumptions'!$B$49),"PASS","VALID-ADVERSE"))</x:f>
        <x:v>OPEN</x:v>
      </x:c>
    </x:row>
    <x:row r="18">
      <x:c r="A18" s="10" t="str">
        <x:v>EV-13</x:v>
      </x:c>
      <x:c r="B18" s="12"/>
      <x:c r="C18" s="12"/>
      <x:c r="D18" s="10" t="str">
        <x:f>IF(COUNT(B18:C18)&lt;2,"OPEN",IF(AND(B18&lt;='Assumptions'!$B$48,C18&lt;='Assumptions'!$B$49),"PASS","VALID-ADVERSE"))</x:f>
        <x:v>OPEN</x:v>
      </x:c>
    </x:row>
    <x:row r="19">
      <x:c r="A19" s="10" t="str">
        <x:v>EV-14</x:v>
      </x:c>
      <x:c r="B19" s="12"/>
      <x:c r="C19" s="12"/>
      <x:c r="D19" s="10" t="str">
        <x:f>IF(COUNT(B19:C19)&lt;2,"OPEN",IF(AND(B19&lt;='Assumptions'!$B$48,C19&lt;='Assumptions'!$B$49),"PASS","VALID-ADVERSE"))</x:f>
        <x:v>OPEN</x:v>
      </x:c>
    </x:row>
    <x:row r="20">
      <x:c r="A20" s="10" t="str">
        <x:v>EV-15</x:v>
      </x:c>
      <x:c r="B20" s="12"/>
      <x:c r="C20" s="12"/>
      <x:c r="D20" s="10" t="str">
        <x:f>IF(COUNT(B20:C20)&lt;2,"OPEN",IF(AND(B20&lt;='Assumptions'!$B$48,C20&lt;='Assumptions'!$B$49),"PASS","VALID-ADVERSE"))</x:f>
        <x:v>OPEN</x:v>
      </x:c>
    </x:row>
    <x:row r="21">
      <x:c r="A21" s="10" t="str">
        <x:v>EV-16</x:v>
      </x:c>
      <x:c r="B21" s="12"/>
      <x:c r="C21" s="12"/>
      <x:c r="D21" s="10" t="str">
        <x:f>IF(COUNT(B21:C21)&lt;2,"OPEN",IF(AND(B21&lt;='Assumptions'!$B$48,C21&lt;='Assumptions'!$B$49),"PASS","VALID-ADVERSE"))</x:f>
        <x:v>OPEN</x:v>
      </x:c>
    </x:row>
  </x:sheetData>
  <x:mergeCells>
    <x:mergeCell ref="A2:D2"/>
  </x:mergeCells>
  <x:conditionalFormatting sqref="D6:D21">
    <x:cfRule type="containsText" dxfId="96" priority="1" operator="containsText" text="DENY"/>
    <x:cfRule type="containsText" dxfId="97" priority="2" operator="containsText" text="ADVERSE"/>
    <x:cfRule type="containsText" dxfId="98" priority="3" operator="containsText" text="FAIL"/>
    <x:cfRule type="containsText" dxfId="99" priority="4" operator="containsText" text="OPEN"/>
    <x:cfRule type="containsText" dxfId="100" priority="5" operator="containsText" text="BLOCKED"/>
    <x:cfRule type="containsText" dxfId="101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f6b7d0abf4d443f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6" hidden="0" customWidth="1"/>
    <x:col min="4" max="4" width="15" hidden="0" customWidth="1"/>
  </x:cols>
  <x:sheetData>
    <x:row r="2" ht="24" customHeight="1">
      <x:c r="A2" s="1" t="str">
        <x:v>Sixty-four physical closure gates per event</x:v>
      </x:c>
    </x:row>
    <x:row r="4" ht="22" customHeight="1">
      <x:c r="A4" s="2"/>
      <x:c r="B4" s="2"/>
      <x:c r="C4" s="2"/>
      <x:c r="D4" s="2"/>
    </x:row>
    <x:row r="5">
      <x:c r="A5" s="8" t="str">
        <x:v>Event</x:v>
      </x:c>
      <x:c r="B5" s="8" t="str">
        <x:v>Required gates</x:v>
      </x:c>
      <x:c r="C5" s="8" t="str">
        <x:v>Closed gates</x:v>
      </x:c>
      <x:c r="D5" s="8" t="str">
        <x:v>State</x:v>
      </x:c>
    </x:row>
    <x:row r="6">
      <x:c r="A6" s="10" t="str">
        <x:v>EV-01</x:v>
      </x:c>
      <x:c r="B6" s="10" t="n">
        <x:v>64</x:v>
      </x:c>
      <x:c r="C6" s="12"/>
      <x:c r="D6" s="10" t="str">
        <x:f>IF(C6="","OPEN",IF(C6=B6,"COMPLETE","DENY"))</x:f>
        <x:v>OPEN</x:v>
      </x:c>
    </x:row>
    <x:row r="7">
      <x:c r="A7" s="10" t="str">
        <x:v>EV-02</x:v>
      </x:c>
      <x:c r="B7" s="10" t="n">
        <x:v>64</x:v>
      </x:c>
      <x:c r="C7" s="12"/>
      <x:c r="D7" s="10" t="str">
        <x:f>IF(C7="","OPEN",IF(C7=B7,"COMPLETE","DENY"))</x:f>
        <x:v>OPEN</x:v>
      </x:c>
    </x:row>
    <x:row r="8">
      <x:c r="A8" s="10" t="str">
        <x:v>EV-03</x:v>
      </x:c>
      <x:c r="B8" s="10" t="n">
        <x:v>64</x:v>
      </x:c>
      <x:c r="C8" s="12"/>
      <x:c r="D8" s="10" t="str">
        <x:f>IF(C8="","OPEN",IF(C8=B8,"COMPLETE","DENY"))</x:f>
        <x:v>OPEN</x:v>
      </x:c>
    </x:row>
    <x:row r="9">
      <x:c r="A9" s="10" t="str">
        <x:v>EV-04</x:v>
      </x:c>
      <x:c r="B9" s="10" t="n">
        <x:v>64</x:v>
      </x:c>
      <x:c r="C9" s="12"/>
      <x:c r="D9" s="10" t="str">
        <x:f>IF(C9="","OPEN",IF(C9=B9,"COMPLETE","DENY"))</x:f>
        <x:v>OPEN</x:v>
      </x:c>
    </x:row>
    <x:row r="10">
      <x:c r="A10" s="10" t="str">
        <x:v>EV-05</x:v>
      </x:c>
      <x:c r="B10" s="10" t="n">
        <x:v>64</x:v>
      </x:c>
      <x:c r="C10" s="12"/>
      <x:c r="D10" s="10" t="str">
        <x:f>IF(C10="","OPEN",IF(C10=B10,"COMPLETE","DENY"))</x:f>
        <x:v>OPEN</x:v>
      </x:c>
    </x:row>
    <x:row r="11">
      <x:c r="A11" s="10" t="str">
        <x:v>EV-06</x:v>
      </x:c>
      <x:c r="B11" s="10" t="n">
        <x:v>64</x:v>
      </x:c>
      <x:c r="C11" s="12"/>
      <x:c r="D11" s="10" t="str">
        <x:f>IF(C11="","OPEN",IF(C11=B11,"COMPLETE","DENY"))</x:f>
        <x:v>OPEN</x:v>
      </x:c>
    </x:row>
    <x:row r="12">
      <x:c r="A12" s="10" t="str">
        <x:v>EV-07</x:v>
      </x:c>
      <x:c r="B12" s="10" t="n">
        <x:v>64</x:v>
      </x:c>
      <x:c r="C12" s="12"/>
      <x:c r="D12" s="10" t="str">
        <x:f>IF(C12="","OPEN",IF(C12=B12,"COMPLETE","DENY"))</x:f>
        <x:v>OPEN</x:v>
      </x:c>
    </x:row>
    <x:row r="13">
      <x:c r="A13" s="10" t="str">
        <x:v>EV-08</x:v>
      </x:c>
      <x:c r="B13" s="10" t="n">
        <x:v>64</x:v>
      </x:c>
      <x:c r="C13" s="12"/>
      <x:c r="D13" s="10" t="str">
        <x:f>IF(C13="","OPEN",IF(C13=B13,"COMPLETE","DENY"))</x:f>
        <x:v>OPEN</x:v>
      </x:c>
    </x:row>
    <x:row r="14">
      <x:c r="A14" s="10" t="str">
        <x:v>EV-09</x:v>
      </x:c>
      <x:c r="B14" s="10" t="n">
        <x:v>64</x:v>
      </x:c>
      <x:c r="C14" s="12"/>
      <x:c r="D14" s="10" t="str">
        <x:f>IF(C14="","OPEN",IF(C14=B14,"COMPLETE","DENY"))</x:f>
        <x:v>OPEN</x:v>
      </x:c>
    </x:row>
    <x:row r="15">
      <x:c r="A15" s="10" t="str">
        <x:v>EV-10</x:v>
      </x:c>
      <x:c r="B15" s="10" t="n">
        <x:v>64</x:v>
      </x:c>
      <x:c r="C15" s="12"/>
      <x:c r="D15" s="10" t="str">
        <x:f>IF(C15="","OPEN",IF(C15=B15,"COMPLETE","DENY"))</x:f>
        <x:v>OPEN</x:v>
      </x:c>
    </x:row>
    <x:row r="16">
      <x:c r="A16" s="10" t="str">
        <x:v>EV-11</x:v>
      </x:c>
      <x:c r="B16" s="10" t="n">
        <x:v>64</x:v>
      </x:c>
      <x:c r="C16" s="12"/>
      <x:c r="D16" s="10" t="str">
        <x:f>IF(C16="","OPEN",IF(C16=B16,"COMPLETE","DENY"))</x:f>
        <x:v>OPEN</x:v>
      </x:c>
    </x:row>
    <x:row r="17">
      <x:c r="A17" s="10" t="str">
        <x:v>EV-12</x:v>
      </x:c>
      <x:c r="B17" s="10" t="n">
        <x:v>64</x:v>
      </x:c>
      <x:c r="C17" s="12"/>
      <x:c r="D17" s="10" t="str">
        <x:f>IF(C17="","OPEN",IF(C17=B17,"COMPLETE","DENY"))</x:f>
        <x:v>OPEN</x:v>
      </x:c>
    </x:row>
    <x:row r="18">
      <x:c r="A18" s="10" t="str">
        <x:v>EV-13</x:v>
      </x:c>
      <x:c r="B18" s="10" t="n">
        <x:v>64</x:v>
      </x:c>
      <x:c r="C18" s="12"/>
      <x:c r="D18" s="10" t="str">
        <x:f>IF(C18="","OPEN",IF(C18=B18,"COMPLETE","DENY"))</x:f>
        <x:v>OPEN</x:v>
      </x:c>
    </x:row>
    <x:row r="19">
      <x:c r="A19" s="10" t="str">
        <x:v>EV-14</x:v>
      </x:c>
      <x:c r="B19" s="10" t="n">
        <x:v>64</x:v>
      </x:c>
      <x:c r="C19" s="12"/>
      <x:c r="D19" s="10" t="str">
        <x:f>IF(C19="","OPEN",IF(C19=B19,"COMPLETE","DENY"))</x:f>
        <x:v>OPEN</x:v>
      </x:c>
    </x:row>
    <x:row r="20">
      <x:c r="A20" s="10" t="str">
        <x:v>EV-15</x:v>
      </x:c>
      <x:c r="B20" s="10" t="n">
        <x:v>64</x:v>
      </x:c>
      <x:c r="C20" s="12"/>
      <x:c r="D20" s="10" t="str">
        <x:f>IF(C20="","OPEN",IF(C20=B20,"COMPLETE","DENY"))</x:f>
        <x:v>OPEN</x:v>
      </x:c>
    </x:row>
    <x:row r="21">
      <x:c r="A21" s="10" t="str">
        <x:v>EV-16</x:v>
      </x:c>
      <x:c r="B21" s="10" t="n">
        <x:v>64</x:v>
      </x:c>
      <x:c r="C21" s="12"/>
      <x:c r="D21" s="10" t="str">
        <x:f>IF(C21="","OPEN",IF(C21=B21,"COMPLETE","DENY"))</x:f>
        <x:v>OPEN</x:v>
      </x:c>
    </x:row>
  </x:sheetData>
  <x:mergeCells>
    <x:mergeCell ref="A2:D2"/>
  </x:mergeCells>
  <x:conditionalFormatting sqref="D6:D21">
    <x:cfRule type="containsText" dxfId="102" priority="1" operator="containsText" text="DENY"/>
    <x:cfRule type="containsText" dxfId="103" priority="2" operator="containsText" text="ADVERSE"/>
    <x:cfRule type="containsText" dxfId="104" priority="3" operator="containsText" text="FAIL"/>
    <x:cfRule type="containsText" dxfId="105" priority="4" operator="containsText" text="OPEN"/>
    <x:cfRule type="containsText" dxfId="106" priority="5" operator="containsText" text="BLOCKED"/>
    <x:cfRule type="containsText" dxfId="107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a65531cc32d448d5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18" hidden="0" customWidth="1"/>
    <x:col min="5" max="5" width="18" hidden="0" customWidth="1"/>
    <x:col min="6" max="6" width="15" hidden="0" customWidth="1"/>
  </x:cols>
  <x:sheetData>
    <x:row r="2" ht="24" customHeight="1">
      <x:c r="A2" s="1" t="str">
        <x:v>Sixteen independent physical safeing paths</x:v>
      </x:c>
    </x:row>
    <x:row r="4" ht="22" customHeight="1">
      <x:c r="A4" s="2"/>
      <x:c r="B4" s="2"/>
      <x:c r="C4" s="2"/>
      <x:c r="D4" s="2"/>
      <x:c r="E4" s="2"/>
      <x:c r="F4" s="2"/>
    </x:row>
    <x:row r="5">
      <x:c r="A5" s="8" t="str">
        <x:v>Safeing path</x:v>
      </x:c>
      <x:c r="B5" s="8" t="str">
        <x:v>Domain</x:v>
      </x:c>
      <x:c r="C5" s="8" t="str">
        <x:v>Physical isolation</x:v>
      </x:c>
      <x:c r="D5" s="8" t="str">
        <x:v>Terminal custody</x:v>
      </x:c>
      <x:c r="E5" s="8" t="str">
        <x:v>Outside witness</x:v>
      </x:c>
      <x:c r="F5" s="8" t="str">
        <x:v>State</x:v>
      </x:c>
    </x:row>
    <x:row r="6">
      <x:c r="A6" s="10" t="str">
        <x:v>SAFE-01</x:v>
      </x:c>
      <x:c r="B6" s="10" t="str">
        <x:v>water issue</x:v>
      </x:c>
      <x:c r="C6" s="12"/>
      <x:c r="D6" s="12"/>
      <x:c r="E6" s="12"/>
      <x:c r="F6" s="10" t="str">
        <x:f>IF(COUNTA(C6:E6)&lt;3,"OPEN",IF(AND(C6="YES",D6="YES",E6="ACCEPTED"),"COMPLETE","DENY"))</x:f>
        <x:v>OPEN</x:v>
      </x:c>
    </x:row>
    <x:row r="7">
      <x:c r="A7" s="10" t="str">
        <x:v>SAFE-02</x:v>
      </x:c>
      <x:c r="B7" s="10" t="str">
        <x:v>simulant issue</x:v>
      </x:c>
      <x:c r="C7" s="12"/>
      <x:c r="D7" s="12"/>
      <x:c r="E7" s="12"/>
      <x:c r="F7" s="10" t="str">
        <x:f>IF(COUNTA(C7:E7)&lt;3,"OPEN",IF(AND(C7="YES",D7="YES",E7="ACCEPTED"),"COMPLETE","DENY"))</x:f>
        <x:v>OPEN</x:v>
      </x:c>
    </x:row>
    <x:row r="8">
      <x:c r="A8" s="10" t="str">
        <x:v>SAFE-03</x:v>
      </x:c>
      <x:c r="B8" s="10" t="str">
        <x:v>water recovery</x:v>
      </x:c>
      <x:c r="C8" s="12"/>
      <x:c r="D8" s="12"/>
      <x:c r="E8" s="12"/>
      <x:c r="F8" s="10" t="str">
        <x:f>IF(COUNTA(C8:E8)&lt;3,"OPEN",IF(AND(C8="YES",D8="YES",E8="ACCEPTED"),"COMPLETE","DENY"))</x:f>
        <x:v>OPEN</x:v>
      </x:c>
    </x:row>
    <x:row r="9">
      <x:c r="A9" s="10" t="str">
        <x:v>SAFE-04</x:v>
      </x:c>
      <x:c r="B9" s="10" t="str">
        <x:v>simulant recovery</x:v>
      </x:c>
      <x:c r="C9" s="12"/>
      <x:c r="D9" s="12"/>
      <x:c r="E9" s="12"/>
      <x:c r="F9" s="10" t="str">
        <x:f>IF(COUNTA(C9:E9)&lt;3,"OPEN",IF(AND(C9="YES",D9="YES",E9="ACCEPTED"),"COMPLETE","DENY"))</x:f>
        <x:v>OPEN</x:v>
      </x:c>
    </x:row>
    <x:row r="10">
      <x:c r="A10" s="10" t="str">
        <x:v>SAFE-05</x:v>
      </x:c>
      <x:c r="B10" s="10" t="str">
        <x:v>root A sampler</x:v>
      </x:c>
      <x:c r="C10" s="12"/>
      <x:c r="D10" s="12"/>
      <x:c r="E10" s="12"/>
      <x:c r="F10" s="10" t="str">
        <x:f>IF(COUNTA(C10:E10)&lt;3,"OPEN",IF(AND(C10="YES",D10="YES",E10="ACCEPTED"),"COMPLETE","DENY"))</x:f>
        <x:v>OPEN</x:v>
      </x:c>
    </x:row>
    <x:row r="11">
      <x:c r="A11" s="10" t="str">
        <x:v>SAFE-06</x:v>
      </x:c>
      <x:c r="B11" s="10" t="str">
        <x:v>root B sampler</x:v>
      </x:c>
      <x:c r="C11" s="12"/>
      <x:c r="D11" s="12"/>
      <x:c r="E11" s="12"/>
      <x:c r="F11" s="10" t="str">
        <x:f>IF(COUNTA(C11:E11)&lt;3,"OPEN",IF(AND(C11="YES",D11="YES",E11="ACCEPTED"),"COMPLETE","DENY"))</x:f>
        <x:v>OPEN</x:v>
      </x:c>
    </x:row>
    <x:row r="12">
      <x:c r="A12" s="10" t="str">
        <x:v>SAFE-07</x:v>
      </x:c>
      <x:c r="B12" s="10" t="str">
        <x:v>root A reader</x:v>
      </x:c>
      <x:c r="C12" s="12"/>
      <x:c r="D12" s="12"/>
      <x:c r="E12" s="12"/>
      <x:c r="F12" s="10" t="str">
        <x:f>IF(COUNTA(C12:E12)&lt;3,"OPEN",IF(AND(C12="YES",D12="YES",E12="ACCEPTED"),"COMPLETE","DENY"))</x:f>
        <x:v>OPEN</x:v>
      </x:c>
    </x:row>
    <x:row r="13">
      <x:c r="A13" s="10" t="str">
        <x:v>SAFE-08</x:v>
      </x:c>
      <x:c r="B13" s="10" t="str">
        <x:v>root B reader</x:v>
      </x:c>
      <x:c r="C13" s="12"/>
      <x:c r="D13" s="12"/>
      <x:c r="E13" s="12"/>
      <x:c r="F13" s="10" t="str">
        <x:f>IF(COUNTA(C13:E13)&lt;3,"OPEN",IF(AND(C13="YES",D13="YES",E13="ACCEPTED"),"COMPLETE","DENY"))</x:f>
        <x:v>OPEN</x:v>
      </x:c>
    </x:row>
    <x:row r="14">
      <x:c r="A14" s="10" t="str">
        <x:v>SAFE-09</x:v>
      </x:c>
      <x:c r="B14" s="10" t="str">
        <x:v>code stock</x:v>
      </x:c>
      <x:c r="C14" s="12"/>
      <x:c r="D14" s="12"/>
      <x:c r="E14" s="12"/>
      <x:c r="F14" s="10" t="str">
        <x:f>IF(COUNTA(C14:E14)&lt;3,"OPEN",IF(AND(C14="YES",D14="YES",E14="ACCEPTED"),"COMPLETE","DENY"))</x:f>
        <x:v>OPEN</x:v>
      </x:c>
    </x:row>
    <x:row r="15">
      <x:c r="A15" s="10" t="str">
        <x:v>SAFE-10</x:v>
      </x:c>
      <x:c r="B15" s="10" t="str">
        <x:v>analytical samples</x:v>
      </x:c>
      <x:c r="C15" s="12"/>
      <x:c r="D15" s="12"/>
      <x:c r="E15" s="12"/>
      <x:c r="F15" s="10" t="str">
        <x:f>IF(COUNTA(C15:E15)&lt;3,"OPEN",IF(AND(C15="YES",D15="YES",E15="ACCEPTED"),"COMPLETE","DENY"))</x:f>
        <x:v>OPEN</x:v>
      </x:c>
    </x:row>
    <x:row r="16">
      <x:c r="A16" s="10" t="str">
        <x:v>SAFE-11</x:v>
      </x:c>
      <x:c r="B16" s="10" t="str">
        <x:v>route film</x:v>
      </x:c>
      <x:c r="C16" s="12"/>
      <x:c r="D16" s="12"/>
      <x:c r="E16" s="12"/>
      <x:c r="F16" s="10" t="str">
        <x:f>IF(COUNTA(C16:E16)&lt;3,"OPEN",IF(AND(C16="YES",D16="YES",E16="ACCEPTED"),"COMPLETE","DENY"))</x:f>
        <x:v>OPEN</x:v>
      </x:c>
    </x:row>
    <x:row r="17">
      <x:c r="A17" s="10" t="str">
        <x:v>SAFE-12</x:v>
      </x:c>
      <x:c r="B17" s="10" t="str">
        <x:v>quarantine</x:v>
      </x:c>
      <x:c r="C17" s="12"/>
      <x:c r="D17" s="12"/>
      <x:c r="E17" s="12"/>
      <x:c r="F17" s="10" t="str">
        <x:f>IF(COUNTA(C17:E17)&lt;3,"OPEN",IF(AND(C17="YES",D17="YES",E17="ACCEPTED"),"COMPLETE","DENY"))</x:f>
        <x:v>OPEN</x:v>
      </x:c>
    </x:row>
    <x:row r="18">
      <x:c r="A18" s="10" t="str">
        <x:v>SAFE-13</x:v>
      </x:c>
      <x:c r="B18" s="10" t="str">
        <x:v>separation plant</x:v>
      </x:c>
      <x:c r="C18" s="12"/>
      <x:c r="D18" s="12"/>
      <x:c r="E18" s="12"/>
      <x:c r="F18" s="10" t="str">
        <x:f>IF(COUNTA(C18:E18)&lt;3,"OPEN",IF(AND(C18="YES",D18="YES",E18="ACCEPTED"),"COMPLETE","DENY"))</x:f>
        <x:v>OPEN</x:v>
      </x:c>
    </x:row>
    <x:row r="19">
      <x:c r="A19" s="10" t="str">
        <x:v>SAFE-14</x:v>
      </x:c>
      <x:c r="B19" s="10" t="str">
        <x:v>event cell</x:v>
      </x:c>
      <x:c r="C19" s="12"/>
      <x:c r="D19" s="12"/>
      <x:c r="E19" s="12"/>
      <x:c r="F19" s="10" t="str">
        <x:f>IF(COUNTA(C19:E19)&lt;3,"OPEN",IF(AND(C19="YES",D19="YES",E19="ACCEPTED"),"COMPLETE","DENY"))</x:f>
        <x:v>OPEN</x:v>
      </x:c>
    </x:row>
    <x:row r="20">
      <x:c r="A20" s="10" t="str">
        <x:v>SAFE-15</x:v>
      </x:c>
      <x:c r="B20" s="10" t="str">
        <x:v>return transport</x:v>
      </x:c>
      <x:c r="C20" s="12"/>
      <x:c r="D20" s="12"/>
      <x:c r="E20" s="12"/>
      <x:c r="F20" s="10" t="str">
        <x:f>IF(COUNTA(C20:E20)&lt;3,"OPEN",IF(AND(C20="YES",D20="YES",E20="ACCEPTED"),"COMPLETE","DENY"))</x:f>
        <x:v>OPEN</x:v>
      </x:c>
    </x:row>
    <x:row r="21">
      <x:c r="A21" s="10" t="str">
        <x:v>SAFE-16</x:v>
      </x:c>
      <x:c r="B21" s="10" t="str">
        <x:v>evidence originals</x:v>
      </x:c>
      <x:c r="C21" s="12"/>
      <x:c r="D21" s="12"/>
      <x:c r="E21" s="12"/>
      <x:c r="F21" s="10" t="str">
        <x:f>IF(COUNTA(C21:E21)&lt;3,"OPEN",IF(AND(C21="YES",D21="YES",E21="ACCEPTED"),"COMPLETE","DENY"))</x:f>
        <x:v>OPEN</x:v>
      </x:c>
    </x:row>
  </x:sheetData>
  <x:mergeCells>
    <x:mergeCell ref="A2:F2"/>
  </x:mergeCells>
  <x:conditionalFormatting sqref="F6:F21">
    <x:cfRule type="containsText" dxfId="108" priority="1" operator="containsText" text="DENY"/>
    <x:cfRule type="containsText" dxfId="109" priority="2" operator="containsText" text="ADVERSE"/>
    <x:cfRule type="containsText" dxfId="110" priority="3" operator="containsText" text="FAIL"/>
    <x:cfRule type="containsText" dxfId="111" priority="4" operator="containsText" text="OPEN"/>
    <x:cfRule type="containsText" dxfId="112" priority="5" operator="containsText" text="BLOCKED"/>
    <x:cfRule type="containsText" dxfId="113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c6364904ada64229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6" hidden="0" customWidth="1"/>
    <x:col min="4" max="4" width="16" hidden="0" customWidth="1"/>
    <x:col min="5" max="5" width="22" hidden="0" customWidth="1"/>
    <x:col min="6" max="6" width="14" hidden="0" customWidth="1"/>
  </x:cols>
  <x:sheetData>
    <x:row r="2" ht="24" customHeight="1">
      <x:c r="A2" s="1" t="str">
        <x:v>Two hundred forty reusable measurement channels</x:v>
      </x:c>
    </x:row>
    <x:row r="4" ht="22" customHeight="1">
      <x:c r="A4" s="2"/>
      <x:c r="B4" s="2"/>
      <x:c r="C4" s="2"/>
      <x:c r="D4" s="2"/>
      <x:c r="E4" s="2"/>
      <x:c r="F4" s="2"/>
    </x:row>
    <x:row r="5">
      <x:c r="A5" s="8" t="str">
        <x:v>Channel</x:v>
      </x:c>
      <x:c r="B5" s="8" t="str">
        <x:v>Domain</x:v>
      </x:c>
      <x:c r="C5" s="8" t="str">
        <x:v>Root authority</x:v>
      </x:c>
      <x:c r="D5" s="8" t="str">
        <x:v>Witness path</x:v>
      </x:c>
      <x:c r="E5" s="8" t="str">
        <x:v>Current disposition</x:v>
      </x:c>
      <x:c r="F5" s="8" t="str">
        <x:v>State</x:v>
      </x:c>
    </x:row>
    <x:row r="6">
      <x:c r="A6" s="10" t="str">
        <x:v>CH-001</x:v>
      </x:c>
      <x:c r="B6" s="10" t="str">
        <x:v>water inventory</x:v>
      </x:c>
      <x:c r="C6" s="10" t="str">
        <x:v>ROOT-A</x:v>
      </x:c>
      <x:c r="D6" s="10" t="str">
        <x:v>WIT-01</x:v>
      </x:c>
      <x:c r="E6" s="12"/>
      <x:c r="F6" s="10" t="str">
        <x:f>IF(E6="","OPEN",IF(E6="CURRENT","ACTIVE","DENY"))</x:f>
        <x:v>OPEN</x:v>
      </x:c>
    </x:row>
    <x:row r="7">
      <x:c r="A7" s="10" t="str">
        <x:v>CH-002</x:v>
      </x:c>
      <x:c r="B7" s="10" t="str">
        <x:v>simulant inventory</x:v>
      </x:c>
      <x:c r="C7" s="10" t="str">
        <x:v>ROOT-B</x:v>
      </x:c>
      <x:c r="D7" s="10" t="str">
        <x:v>WIT-02</x:v>
      </x:c>
      <x:c r="E7" s="12"/>
      <x:c r="F7" s="10" t="str">
        <x:f>IF(E7="","OPEN",IF(E7="CURRENT","ACTIVE","DENY"))</x:f>
        <x:v>OPEN</x:v>
      </x:c>
    </x:row>
    <x:row r="8">
      <x:c r="A8" s="10" t="str">
        <x:v>CH-003</x:v>
      </x:c>
      <x:c r="B8" s="10" t="str">
        <x:v>phase boundary</x:v>
      </x:c>
      <x:c r="C8" s="10" t="str">
        <x:v>ROOT-A</x:v>
      </x:c>
      <x:c r="D8" s="10" t="str">
        <x:v>WIT-03</x:v>
      </x:c>
      <x:c r="E8" s="12"/>
      <x:c r="F8" s="10" t="str">
        <x:f>IF(E8="","OPEN",IF(E8="CURRENT","ACTIVE","DENY"))</x:f>
        <x:v>OPEN</x:v>
      </x:c>
    </x:row>
    <x:row r="9">
      <x:c r="A9" s="10" t="str">
        <x:v>CH-004</x:v>
      </x:c>
      <x:c r="B9" s="10" t="str">
        <x:v>ancestry code</x:v>
      </x:c>
      <x:c r="C9" s="10" t="str">
        <x:v>ROOT-B</x:v>
      </x:c>
      <x:c r="D9" s="10" t="str">
        <x:v>WIT-04</x:v>
      </x:c>
      <x:c r="E9" s="12"/>
      <x:c r="F9" s="10" t="str">
        <x:f>IF(E9="","OPEN",IF(E9="CURRENT","ACTIVE","DENY"))</x:f>
        <x:v>OPEN</x:v>
      </x:c>
    </x:row>
    <x:row r="10">
      <x:c r="A10" s="10" t="str">
        <x:v>CH-005</x:v>
      </x:c>
      <x:c r="B10" s="10" t="str">
        <x:v>carryover</x:v>
      </x:c>
      <x:c r="C10" s="10" t="str">
        <x:v>ROOT-A</x:v>
      </x:c>
      <x:c r="D10" s="10" t="str">
        <x:v>WIT-05</x:v>
      </x:c>
      <x:c r="E10" s="12"/>
      <x:c r="F10" s="10" t="str">
        <x:f>IF(E10="","OPEN",IF(E10="CURRENT","ACTIVE","DENY"))</x:f>
        <x:v>OPEN</x:v>
      </x:c>
    </x:row>
    <x:row r="11">
      <x:c r="A11" s="10" t="str">
        <x:v>CH-006</x:v>
      </x:c>
      <x:c r="B11" s="10" t="str">
        <x:v>environment</x:v>
      </x:c>
      <x:c r="C11" s="10" t="str">
        <x:v>ROOT-B</x:v>
      </x:c>
      <x:c r="D11" s="10" t="str">
        <x:v>WIT-06</x:v>
      </x:c>
      <x:c r="E11" s="12"/>
      <x:c r="F11" s="10" t="str">
        <x:f>IF(E11="","OPEN",IF(E11="CURRENT","ACTIVE","DENY"))</x:f>
        <x:v>OPEN</x:v>
      </x:c>
    </x:row>
    <x:row r="12">
      <x:c r="A12" s="10" t="str">
        <x:v>CH-007</x:v>
      </x:c>
      <x:c r="B12" s="10" t="str">
        <x:v>casualty</x:v>
      </x:c>
      <x:c r="C12" s="10" t="str">
        <x:v>ROOT-A</x:v>
      </x:c>
      <x:c r="D12" s="10" t="str">
        <x:v>WIT-07</x:v>
      </x:c>
      <x:c r="E12" s="12"/>
      <x:c r="F12" s="10" t="str">
        <x:f>IF(E12="","OPEN",IF(E12="CURRENT","ACTIVE","DENY"))</x:f>
        <x:v>OPEN</x:v>
      </x:c>
    </x:row>
    <x:row r="13">
      <x:c r="A13" s="10" t="str">
        <x:v>CH-008</x:v>
      </x:c>
      <x:c r="B13" s="10" t="str">
        <x:v>cell state</x:v>
      </x:c>
      <x:c r="C13" s="10" t="str">
        <x:v>ROOT-B</x:v>
      </x:c>
      <x:c r="D13" s="10" t="str">
        <x:v>WIT-08</x:v>
      </x:c>
      <x:c r="E13" s="12"/>
      <x:c r="F13" s="10" t="str">
        <x:f>IF(E13="","OPEN",IF(E13="CURRENT","ACTIVE","DENY"))</x:f>
        <x:v>OPEN</x:v>
      </x:c>
    </x:row>
    <x:row r="14">
      <x:c r="A14" s="10" t="str">
        <x:v>CH-009</x:v>
      </x:c>
      <x:c r="B14" s="10" t="str">
        <x:v>separation</x:v>
      </x:c>
      <x:c r="C14" s="10" t="str">
        <x:v>ROOT-A</x:v>
      </x:c>
      <x:c r="D14" s="10" t="str">
        <x:v>WIT-09</x:v>
      </x:c>
      <x:c r="E14" s="12"/>
      <x:c r="F14" s="10" t="str">
        <x:f>IF(E14="","OPEN",IF(E14="CURRENT","ACTIVE","DENY"))</x:f>
        <x:v>OPEN</x:v>
      </x:c>
    </x:row>
    <x:row r="15">
      <x:c r="A15" s="10" t="str">
        <x:v>CH-010</x:v>
      </x:c>
      <x:c r="B15" s="10" t="str">
        <x:v>return</x:v>
      </x:c>
      <x:c r="C15" s="10" t="str">
        <x:v>ROOT-B</x:v>
      </x:c>
      <x:c r="D15" s="10" t="str">
        <x:v>WIT-10</x:v>
      </x:c>
      <x:c r="E15" s="12"/>
      <x:c r="F15" s="10" t="str">
        <x:f>IF(E15="","OPEN",IF(E15="CURRENT","ACTIVE","DENY"))</x:f>
        <x:v>OPEN</x:v>
      </x:c>
    </x:row>
    <x:row r="16">
      <x:c r="A16" s="10" t="str">
        <x:v>CH-011</x:v>
      </x:c>
      <x:c r="B16" s="10" t="str">
        <x:v>reader health</x:v>
      </x:c>
      <x:c r="C16" s="10" t="str">
        <x:v>ROOT-A</x:v>
      </x:c>
      <x:c r="D16" s="10" t="str">
        <x:v>WIT-11</x:v>
      </x:c>
      <x:c r="E16" s="12"/>
      <x:c r="F16" s="10" t="str">
        <x:f>IF(E16="","OPEN",IF(E16="CURRENT","ACTIVE","DENY"))</x:f>
        <x:v>OPEN</x:v>
      </x:c>
    </x:row>
    <x:row r="17">
      <x:c r="A17" s="10" t="str">
        <x:v>CH-012</x:v>
      </x:c>
      <x:c r="B17" s="10" t="str">
        <x:v>clock integrity</x:v>
      </x:c>
      <x:c r="C17" s="10" t="str">
        <x:v>ROOT-B</x:v>
      </x:c>
      <x:c r="D17" s="10" t="str">
        <x:v>WIT-12</x:v>
      </x:c>
      <x:c r="E17" s="12"/>
      <x:c r="F17" s="10" t="str">
        <x:f>IF(E17="","OPEN",IF(E17="CURRENT","ACTIVE","DENY"))</x:f>
        <x:v>OPEN</x:v>
      </x:c>
    </x:row>
    <x:row r="18">
      <x:c r="A18" s="10" t="str">
        <x:v>CH-013</x:v>
      </x:c>
      <x:c r="B18" s="10" t="str">
        <x:v>water inventory</x:v>
      </x:c>
      <x:c r="C18" s="10" t="str">
        <x:v>ROOT-A</x:v>
      </x:c>
      <x:c r="D18" s="10" t="str">
        <x:v>WIT-13</x:v>
      </x:c>
      <x:c r="E18" s="12"/>
      <x:c r="F18" s="10" t="str">
        <x:f>IF(E18="","OPEN",IF(E18="CURRENT","ACTIVE","DENY"))</x:f>
        <x:v>OPEN</x:v>
      </x:c>
    </x:row>
    <x:row r="19">
      <x:c r="A19" s="10" t="str">
        <x:v>CH-014</x:v>
      </x:c>
      <x:c r="B19" s="10" t="str">
        <x:v>simulant inventory</x:v>
      </x:c>
      <x:c r="C19" s="10" t="str">
        <x:v>ROOT-B</x:v>
      </x:c>
      <x:c r="D19" s="10" t="str">
        <x:v>WIT-14</x:v>
      </x:c>
      <x:c r="E19" s="12"/>
      <x:c r="F19" s="10" t="str">
        <x:f>IF(E19="","OPEN",IF(E19="CURRENT","ACTIVE","DENY"))</x:f>
        <x:v>OPEN</x:v>
      </x:c>
    </x:row>
    <x:row r="20">
      <x:c r="A20" s="10" t="str">
        <x:v>CH-015</x:v>
      </x:c>
      <x:c r="B20" s="10" t="str">
        <x:v>phase boundary</x:v>
      </x:c>
      <x:c r="C20" s="10" t="str">
        <x:v>ROOT-A</x:v>
      </x:c>
      <x:c r="D20" s="10" t="str">
        <x:v>WIT-15</x:v>
      </x:c>
      <x:c r="E20" s="12"/>
      <x:c r="F20" s="10" t="str">
        <x:f>IF(E20="","OPEN",IF(E20="CURRENT","ACTIVE","DENY"))</x:f>
        <x:v>OPEN</x:v>
      </x:c>
    </x:row>
    <x:row r="21">
      <x:c r="A21" s="10" t="str">
        <x:v>CH-016</x:v>
      </x:c>
      <x:c r="B21" s="10" t="str">
        <x:v>ancestry code</x:v>
      </x:c>
      <x:c r="C21" s="10" t="str">
        <x:v>ROOT-B</x:v>
      </x:c>
      <x:c r="D21" s="10" t="str">
        <x:v>WIT-16</x:v>
      </x:c>
      <x:c r="E21" s="12"/>
      <x:c r="F21" s="10" t="str">
        <x:f>IF(E21="","OPEN",IF(E21="CURRENT","ACTIVE","DENY"))</x:f>
        <x:v>OPEN</x:v>
      </x:c>
    </x:row>
    <x:row r="22">
      <x:c r="A22" s="10" t="str">
        <x:v>CH-017</x:v>
      </x:c>
      <x:c r="B22" s="10" t="str">
        <x:v>carryover</x:v>
      </x:c>
      <x:c r="C22" s="10" t="str">
        <x:v>ROOT-A</x:v>
      </x:c>
      <x:c r="D22" s="10" t="str">
        <x:v>WIT-17</x:v>
      </x:c>
      <x:c r="E22" s="12"/>
      <x:c r="F22" s="10" t="str">
        <x:f>IF(E22="","OPEN",IF(E22="CURRENT","ACTIVE","DENY"))</x:f>
        <x:v>OPEN</x:v>
      </x:c>
    </x:row>
    <x:row r="23">
      <x:c r="A23" s="10" t="str">
        <x:v>CH-018</x:v>
      </x:c>
      <x:c r="B23" s="10" t="str">
        <x:v>environment</x:v>
      </x:c>
      <x:c r="C23" s="10" t="str">
        <x:v>ROOT-B</x:v>
      </x:c>
      <x:c r="D23" s="10" t="str">
        <x:v>WIT-18</x:v>
      </x:c>
      <x:c r="E23" s="12"/>
      <x:c r="F23" s="10" t="str">
        <x:f>IF(E23="","OPEN",IF(E23="CURRENT","ACTIVE","DENY"))</x:f>
        <x:v>OPEN</x:v>
      </x:c>
    </x:row>
    <x:row r="24">
      <x:c r="A24" s="10" t="str">
        <x:v>CH-019</x:v>
      </x:c>
      <x:c r="B24" s="10" t="str">
        <x:v>casualty</x:v>
      </x:c>
      <x:c r="C24" s="10" t="str">
        <x:v>ROOT-A</x:v>
      </x:c>
      <x:c r="D24" s="10" t="str">
        <x:v>WIT-19</x:v>
      </x:c>
      <x:c r="E24" s="12"/>
      <x:c r="F24" s="10" t="str">
        <x:f>IF(E24="","OPEN",IF(E24="CURRENT","ACTIVE","DENY"))</x:f>
        <x:v>OPEN</x:v>
      </x:c>
    </x:row>
    <x:row r="25">
      <x:c r="A25" s="10" t="str">
        <x:v>CH-020</x:v>
      </x:c>
      <x:c r="B25" s="10" t="str">
        <x:v>cell state</x:v>
      </x:c>
      <x:c r="C25" s="10" t="str">
        <x:v>ROOT-B</x:v>
      </x:c>
      <x:c r="D25" s="10" t="str">
        <x:v>WIT-20</x:v>
      </x:c>
      <x:c r="E25" s="12"/>
      <x:c r="F25" s="10" t="str">
        <x:f>IF(E25="","OPEN",IF(E25="CURRENT","ACTIVE","DENY"))</x:f>
        <x:v>OPEN</x:v>
      </x:c>
    </x:row>
    <x:row r="26">
      <x:c r="A26" s="10" t="str">
        <x:v>CH-021</x:v>
      </x:c>
      <x:c r="B26" s="10" t="str">
        <x:v>separation</x:v>
      </x:c>
      <x:c r="C26" s="10" t="str">
        <x:v>ROOT-A</x:v>
      </x:c>
      <x:c r="D26" s="10" t="str">
        <x:v>WIT-21</x:v>
      </x:c>
      <x:c r="E26" s="12"/>
      <x:c r="F26" s="10" t="str">
        <x:f>IF(E26="","OPEN",IF(E26="CURRENT","ACTIVE","DENY"))</x:f>
        <x:v>OPEN</x:v>
      </x:c>
    </x:row>
    <x:row r="27">
      <x:c r="A27" s="10" t="str">
        <x:v>CH-022</x:v>
      </x:c>
      <x:c r="B27" s="10" t="str">
        <x:v>return</x:v>
      </x:c>
      <x:c r="C27" s="10" t="str">
        <x:v>ROOT-B</x:v>
      </x:c>
      <x:c r="D27" s="10" t="str">
        <x:v>WIT-22</x:v>
      </x:c>
      <x:c r="E27" s="12"/>
      <x:c r="F27" s="10" t="str">
        <x:f>IF(E27="","OPEN",IF(E27="CURRENT","ACTIVE","DENY"))</x:f>
        <x:v>OPEN</x:v>
      </x:c>
    </x:row>
    <x:row r="28">
      <x:c r="A28" s="10" t="str">
        <x:v>CH-023</x:v>
      </x:c>
      <x:c r="B28" s="10" t="str">
        <x:v>reader health</x:v>
      </x:c>
      <x:c r="C28" s="10" t="str">
        <x:v>ROOT-A</x:v>
      </x:c>
      <x:c r="D28" s="10" t="str">
        <x:v>WIT-23</x:v>
      </x:c>
      <x:c r="E28" s="12"/>
      <x:c r="F28" s="10" t="str">
        <x:f>IF(E28="","OPEN",IF(E28="CURRENT","ACTIVE","DENY"))</x:f>
        <x:v>OPEN</x:v>
      </x:c>
    </x:row>
    <x:row r="29">
      <x:c r="A29" s="10" t="str">
        <x:v>CH-024</x:v>
      </x:c>
      <x:c r="B29" s="10" t="str">
        <x:v>clock integrity</x:v>
      </x:c>
      <x:c r="C29" s="10" t="str">
        <x:v>ROOT-B</x:v>
      </x:c>
      <x:c r="D29" s="10" t="str">
        <x:v>WIT-24</x:v>
      </x:c>
      <x:c r="E29" s="12"/>
      <x:c r="F29" s="10" t="str">
        <x:f>IF(E29="","OPEN",IF(E29="CURRENT","ACTIVE","DENY"))</x:f>
        <x:v>OPEN</x:v>
      </x:c>
    </x:row>
    <x:row r="30">
      <x:c r="A30" s="10" t="str">
        <x:v>CH-025</x:v>
      </x:c>
      <x:c r="B30" s="10" t="str">
        <x:v>water inventory</x:v>
      </x:c>
      <x:c r="C30" s="10" t="str">
        <x:v>ROOT-A</x:v>
      </x:c>
      <x:c r="D30" s="10" t="str">
        <x:v>WIT-01</x:v>
      </x:c>
      <x:c r="E30" s="12"/>
      <x:c r="F30" s="10" t="str">
        <x:f>IF(E30="","OPEN",IF(E30="CURRENT","ACTIVE","DENY"))</x:f>
        <x:v>OPEN</x:v>
      </x:c>
    </x:row>
    <x:row r="31">
      <x:c r="A31" s="10" t="str">
        <x:v>CH-026</x:v>
      </x:c>
      <x:c r="B31" s="10" t="str">
        <x:v>simulant inventory</x:v>
      </x:c>
      <x:c r="C31" s="10" t="str">
        <x:v>ROOT-B</x:v>
      </x:c>
      <x:c r="D31" s="10" t="str">
        <x:v>WIT-02</x:v>
      </x:c>
      <x:c r="E31" s="12"/>
      <x:c r="F31" s="10" t="str">
        <x:f>IF(E31="","OPEN",IF(E31="CURRENT","ACTIVE","DENY"))</x:f>
        <x:v>OPEN</x:v>
      </x:c>
    </x:row>
    <x:row r="32">
      <x:c r="A32" s="10" t="str">
        <x:v>CH-027</x:v>
      </x:c>
      <x:c r="B32" s="10" t="str">
        <x:v>phase boundary</x:v>
      </x:c>
      <x:c r="C32" s="10" t="str">
        <x:v>ROOT-A</x:v>
      </x:c>
      <x:c r="D32" s="10" t="str">
        <x:v>WIT-03</x:v>
      </x:c>
      <x:c r="E32" s="12"/>
      <x:c r="F32" s="10" t="str">
        <x:f>IF(E32="","OPEN",IF(E32="CURRENT","ACTIVE","DENY"))</x:f>
        <x:v>OPEN</x:v>
      </x:c>
    </x:row>
    <x:row r="33">
      <x:c r="A33" s="10" t="str">
        <x:v>CH-028</x:v>
      </x:c>
      <x:c r="B33" s="10" t="str">
        <x:v>ancestry code</x:v>
      </x:c>
      <x:c r="C33" s="10" t="str">
        <x:v>ROOT-B</x:v>
      </x:c>
      <x:c r="D33" s="10" t="str">
        <x:v>WIT-04</x:v>
      </x:c>
      <x:c r="E33" s="12"/>
      <x:c r="F33" s="10" t="str">
        <x:f>IF(E33="","OPEN",IF(E33="CURRENT","ACTIVE","DENY"))</x:f>
        <x:v>OPEN</x:v>
      </x:c>
    </x:row>
    <x:row r="34">
      <x:c r="A34" s="10" t="str">
        <x:v>CH-029</x:v>
      </x:c>
      <x:c r="B34" s="10" t="str">
        <x:v>carryover</x:v>
      </x:c>
      <x:c r="C34" s="10" t="str">
        <x:v>ROOT-A</x:v>
      </x:c>
      <x:c r="D34" s="10" t="str">
        <x:v>WIT-05</x:v>
      </x:c>
      <x:c r="E34" s="12"/>
      <x:c r="F34" s="10" t="str">
        <x:f>IF(E34="","OPEN",IF(E34="CURRENT","ACTIVE","DENY"))</x:f>
        <x:v>OPEN</x:v>
      </x:c>
    </x:row>
    <x:row r="35">
      <x:c r="A35" s="10" t="str">
        <x:v>CH-030</x:v>
      </x:c>
      <x:c r="B35" s="10" t="str">
        <x:v>environment</x:v>
      </x:c>
      <x:c r="C35" s="10" t="str">
        <x:v>ROOT-B</x:v>
      </x:c>
      <x:c r="D35" s="10" t="str">
        <x:v>WIT-06</x:v>
      </x:c>
      <x:c r="E35" s="12"/>
      <x:c r="F35" s="10" t="str">
        <x:f>IF(E35="","OPEN",IF(E35="CURRENT","ACTIVE","DENY"))</x:f>
        <x:v>OPEN</x:v>
      </x:c>
    </x:row>
    <x:row r="36">
      <x:c r="A36" s="10" t="str">
        <x:v>CH-031</x:v>
      </x:c>
      <x:c r="B36" s="10" t="str">
        <x:v>casualty</x:v>
      </x:c>
      <x:c r="C36" s="10" t="str">
        <x:v>ROOT-A</x:v>
      </x:c>
      <x:c r="D36" s="10" t="str">
        <x:v>WIT-07</x:v>
      </x:c>
      <x:c r="E36" s="12"/>
      <x:c r="F36" s="10" t="str">
        <x:f>IF(E36="","OPEN",IF(E36="CURRENT","ACTIVE","DENY"))</x:f>
        <x:v>OPEN</x:v>
      </x:c>
    </x:row>
    <x:row r="37">
      <x:c r="A37" s="10" t="str">
        <x:v>CH-032</x:v>
      </x:c>
      <x:c r="B37" s="10" t="str">
        <x:v>cell state</x:v>
      </x:c>
      <x:c r="C37" s="10" t="str">
        <x:v>ROOT-B</x:v>
      </x:c>
      <x:c r="D37" s="10" t="str">
        <x:v>WIT-08</x:v>
      </x:c>
      <x:c r="E37" s="12"/>
      <x:c r="F37" s="10" t="str">
        <x:f>IF(E37="","OPEN",IF(E37="CURRENT","ACTIVE","DENY"))</x:f>
        <x:v>OPEN</x:v>
      </x:c>
    </x:row>
    <x:row r="38">
      <x:c r="A38" s="10" t="str">
        <x:v>CH-033</x:v>
      </x:c>
      <x:c r="B38" s="10" t="str">
        <x:v>separation</x:v>
      </x:c>
      <x:c r="C38" s="10" t="str">
        <x:v>ROOT-A</x:v>
      </x:c>
      <x:c r="D38" s="10" t="str">
        <x:v>WIT-09</x:v>
      </x:c>
      <x:c r="E38" s="12"/>
      <x:c r="F38" s="10" t="str">
        <x:f>IF(E38="","OPEN",IF(E38="CURRENT","ACTIVE","DENY"))</x:f>
        <x:v>OPEN</x:v>
      </x:c>
    </x:row>
    <x:row r="39">
      <x:c r="A39" s="10" t="str">
        <x:v>CH-034</x:v>
      </x:c>
      <x:c r="B39" s="10" t="str">
        <x:v>return</x:v>
      </x:c>
      <x:c r="C39" s="10" t="str">
        <x:v>ROOT-B</x:v>
      </x:c>
      <x:c r="D39" s="10" t="str">
        <x:v>WIT-10</x:v>
      </x:c>
      <x:c r="E39" s="12"/>
      <x:c r="F39" s="10" t="str">
        <x:f>IF(E39="","OPEN",IF(E39="CURRENT","ACTIVE","DENY"))</x:f>
        <x:v>OPEN</x:v>
      </x:c>
    </x:row>
    <x:row r="40">
      <x:c r="A40" s="10" t="str">
        <x:v>CH-035</x:v>
      </x:c>
      <x:c r="B40" s="10" t="str">
        <x:v>reader health</x:v>
      </x:c>
      <x:c r="C40" s="10" t="str">
        <x:v>ROOT-A</x:v>
      </x:c>
      <x:c r="D40" s="10" t="str">
        <x:v>WIT-11</x:v>
      </x:c>
      <x:c r="E40" s="12"/>
      <x:c r="F40" s="10" t="str">
        <x:f>IF(E40="","OPEN",IF(E40="CURRENT","ACTIVE","DENY"))</x:f>
        <x:v>OPEN</x:v>
      </x:c>
    </x:row>
    <x:row r="41">
      <x:c r="A41" s="10" t="str">
        <x:v>CH-036</x:v>
      </x:c>
      <x:c r="B41" s="10" t="str">
        <x:v>clock integrity</x:v>
      </x:c>
      <x:c r="C41" s="10" t="str">
        <x:v>ROOT-B</x:v>
      </x:c>
      <x:c r="D41" s="10" t="str">
        <x:v>WIT-12</x:v>
      </x:c>
      <x:c r="E41" s="12"/>
      <x:c r="F41" s="10" t="str">
        <x:f>IF(E41="","OPEN",IF(E41="CURRENT","ACTIVE","DENY"))</x:f>
        <x:v>OPEN</x:v>
      </x:c>
    </x:row>
    <x:row r="42">
      <x:c r="A42" s="10" t="str">
        <x:v>CH-037</x:v>
      </x:c>
      <x:c r="B42" s="10" t="str">
        <x:v>water inventory</x:v>
      </x:c>
      <x:c r="C42" s="10" t="str">
        <x:v>ROOT-A</x:v>
      </x:c>
      <x:c r="D42" s="10" t="str">
        <x:v>WIT-13</x:v>
      </x:c>
      <x:c r="E42" s="12"/>
      <x:c r="F42" s="10" t="str">
        <x:f>IF(E42="","OPEN",IF(E42="CURRENT","ACTIVE","DENY"))</x:f>
        <x:v>OPEN</x:v>
      </x:c>
    </x:row>
    <x:row r="43">
      <x:c r="A43" s="10" t="str">
        <x:v>CH-038</x:v>
      </x:c>
      <x:c r="B43" s="10" t="str">
        <x:v>simulant inventory</x:v>
      </x:c>
      <x:c r="C43" s="10" t="str">
        <x:v>ROOT-B</x:v>
      </x:c>
      <x:c r="D43" s="10" t="str">
        <x:v>WIT-14</x:v>
      </x:c>
      <x:c r="E43" s="12"/>
      <x:c r="F43" s="10" t="str">
        <x:f>IF(E43="","OPEN",IF(E43="CURRENT","ACTIVE","DENY"))</x:f>
        <x:v>OPEN</x:v>
      </x:c>
    </x:row>
    <x:row r="44">
      <x:c r="A44" s="10" t="str">
        <x:v>CH-039</x:v>
      </x:c>
      <x:c r="B44" s="10" t="str">
        <x:v>phase boundary</x:v>
      </x:c>
      <x:c r="C44" s="10" t="str">
        <x:v>ROOT-A</x:v>
      </x:c>
      <x:c r="D44" s="10" t="str">
        <x:v>WIT-15</x:v>
      </x:c>
      <x:c r="E44" s="12"/>
      <x:c r="F44" s="10" t="str">
        <x:f>IF(E44="","OPEN",IF(E44="CURRENT","ACTIVE","DENY"))</x:f>
        <x:v>OPEN</x:v>
      </x:c>
    </x:row>
    <x:row r="45">
      <x:c r="A45" s="10" t="str">
        <x:v>CH-040</x:v>
      </x:c>
      <x:c r="B45" s="10" t="str">
        <x:v>ancestry code</x:v>
      </x:c>
      <x:c r="C45" s="10" t="str">
        <x:v>ROOT-B</x:v>
      </x:c>
      <x:c r="D45" s="10" t="str">
        <x:v>WIT-16</x:v>
      </x:c>
      <x:c r="E45" s="12"/>
      <x:c r="F45" s="10" t="str">
        <x:f>IF(E45="","OPEN",IF(E45="CURRENT","ACTIVE","DENY"))</x:f>
        <x:v>OPEN</x:v>
      </x:c>
    </x:row>
    <x:row r="46">
      <x:c r="A46" s="10" t="str">
        <x:v>CH-041</x:v>
      </x:c>
      <x:c r="B46" s="10" t="str">
        <x:v>carryover</x:v>
      </x:c>
      <x:c r="C46" s="10" t="str">
        <x:v>ROOT-A</x:v>
      </x:c>
      <x:c r="D46" s="10" t="str">
        <x:v>WIT-17</x:v>
      </x:c>
      <x:c r="E46" s="12"/>
      <x:c r="F46" s="10" t="str">
        <x:f>IF(E46="","OPEN",IF(E46="CURRENT","ACTIVE","DENY"))</x:f>
        <x:v>OPEN</x:v>
      </x:c>
    </x:row>
    <x:row r="47">
      <x:c r="A47" s="10" t="str">
        <x:v>CH-042</x:v>
      </x:c>
      <x:c r="B47" s="10" t="str">
        <x:v>environment</x:v>
      </x:c>
      <x:c r="C47" s="10" t="str">
        <x:v>ROOT-B</x:v>
      </x:c>
      <x:c r="D47" s="10" t="str">
        <x:v>WIT-18</x:v>
      </x:c>
      <x:c r="E47" s="12"/>
      <x:c r="F47" s="10" t="str">
        <x:f>IF(E47="","OPEN",IF(E47="CURRENT","ACTIVE","DENY"))</x:f>
        <x:v>OPEN</x:v>
      </x:c>
    </x:row>
    <x:row r="48">
      <x:c r="A48" s="10" t="str">
        <x:v>CH-043</x:v>
      </x:c>
      <x:c r="B48" s="10" t="str">
        <x:v>casualty</x:v>
      </x:c>
      <x:c r="C48" s="10" t="str">
        <x:v>ROOT-A</x:v>
      </x:c>
      <x:c r="D48" s="10" t="str">
        <x:v>WIT-19</x:v>
      </x:c>
      <x:c r="E48" s="12"/>
      <x:c r="F48" s="10" t="str">
        <x:f>IF(E48="","OPEN",IF(E48="CURRENT","ACTIVE","DENY"))</x:f>
        <x:v>OPEN</x:v>
      </x:c>
    </x:row>
    <x:row r="49">
      <x:c r="A49" s="10" t="str">
        <x:v>CH-044</x:v>
      </x:c>
      <x:c r="B49" s="10" t="str">
        <x:v>cell state</x:v>
      </x:c>
      <x:c r="C49" s="10" t="str">
        <x:v>ROOT-B</x:v>
      </x:c>
      <x:c r="D49" s="10" t="str">
        <x:v>WIT-20</x:v>
      </x:c>
      <x:c r="E49" s="12"/>
      <x:c r="F49" s="10" t="str">
        <x:f>IF(E49="","OPEN",IF(E49="CURRENT","ACTIVE","DENY"))</x:f>
        <x:v>OPEN</x:v>
      </x:c>
    </x:row>
    <x:row r="50">
      <x:c r="A50" s="10" t="str">
        <x:v>CH-045</x:v>
      </x:c>
      <x:c r="B50" s="10" t="str">
        <x:v>separation</x:v>
      </x:c>
      <x:c r="C50" s="10" t="str">
        <x:v>ROOT-A</x:v>
      </x:c>
      <x:c r="D50" s="10" t="str">
        <x:v>WIT-21</x:v>
      </x:c>
      <x:c r="E50" s="12"/>
      <x:c r="F50" s="10" t="str">
        <x:f>IF(E50="","OPEN",IF(E50="CURRENT","ACTIVE","DENY"))</x:f>
        <x:v>OPEN</x:v>
      </x:c>
    </x:row>
    <x:row r="51">
      <x:c r="A51" s="10" t="str">
        <x:v>CH-046</x:v>
      </x:c>
      <x:c r="B51" s="10" t="str">
        <x:v>return</x:v>
      </x:c>
      <x:c r="C51" s="10" t="str">
        <x:v>ROOT-B</x:v>
      </x:c>
      <x:c r="D51" s="10" t="str">
        <x:v>WIT-22</x:v>
      </x:c>
      <x:c r="E51" s="12"/>
      <x:c r="F51" s="10" t="str">
        <x:f>IF(E51="","OPEN",IF(E51="CURRENT","ACTIVE","DENY"))</x:f>
        <x:v>OPEN</x:v>
      </x:c>
    </x:row>
    <x:row r="52">
      <x:c r="A52" s="10" t="str">
        <x:v>CH-047</x:v>
      </x:c>
      <x:c r="B52" s="10" t="str">
        <x:v>reader health</x:v>
      </x:c>
      <x:c r="C52" s="10" t="str">
        <x:v>ROOT-A</x:v>
      </x:c>
      <x:c r="D52" s="10" t="str">
        <x:v>WIT-23</x:v>
      </x:c>
      <x:c r="E52" s="12"/>
      <x:c r="F52" s="10" t="str">
        <x:f>IF(E52="","OPEN",IF(E52="CURRENT","ACTIVE","DENY"))</x:f>
        <x:v>OPEN</x:v>
      </x:c>
    </x:row>
    <x:row r="53">
      <x:c r="A53" s="10" t="str">
        <x:v>CH-048</x:v>
      </x:c>
      <x:c r="B53" s="10" t="str">
        <x:v>clock integrity</x:v>
      </x:c>
      <x:c r="C53" s="10" t="str">
        <x:v>ROOT-B</x:v>
      </x:c>
      <x:c r="D53" s="10" t="str">
        <x:v>WIT-24</x:v>
      </x:c>
      <x:c r="E53" s="12"/>
      <x:c r="F53" s="10" t="str">
        <x:f>IF(E53="","OPEN",IF(E53="CURRENT","ACTIVE","DENY"))</x:f>
        <x:v>OPEN</x:v>
      </x:c>
    </x:row>
    <x:row r="54">
      <x:c r="A54" s="10" t="str">
        <x:v>CH-049</x:v>
      </x:c>
      <x:c r="B54" s="10" t="str">
        <x:v>water inventory</x:v>
      </x:c>
      <x:c r="C54" s="10" t="str">
        <x:v>ROOT-A</x:v>
      </x:c>
      <x:c r="D54" s="10" t="str">
        <x:v>WIT-01</x:v>
      </x:c>
      <x:c r="E54" s="12"/>
      <x:c r="F54" s="10" t="str">
        <x:f>IF(E54="","OPEN",IF(E54="CURRENT","ACTIVE","DENY"))</x:f>
        <x:v>OPEN</x:v>
      </x:c>
    </x:row>
    <x:row r="55">
      <x:c r="A55" s="10" t="str">
        <x:v>CH-050</x:v>
      </x:c>
      <x:c r="B55" s="10" t="str">
        <x:v>simulant inventory</x:v>
      </x:c>
      <x:c r="C55" s="10" t="str">
        <x:v>ROOT-B</x:v>
      </x:c>
      <x:c r="D55" s="10" t="str">
        <x:v>WIT-02</x:v>
      </x:c>
      <x:c r="E55" s="12"/>
      <x:c r="F55" s="10" t="str">
        <x:f>IF(E55="","OPEN",IF(E55="CURRENT","ACTIVE","DENY"))</x:f>
        <x:v>OPEN</x:v>
      </x:c>
    </x:row>
    <x:row r="56">
      <x:c r="A56" s="10" t="str">
        <x:v>CH-051</x:v>
      </x:c>
      <x:c r="B56" s="10" t="str">
        <x:v>phase boundary</x:v>
      </x:c>
      <x:c r="C56" s="10" t="str">
        <x:v>ROOT-A</x:v>
      </x:c>
      <x:c r="D56" s="10" t="str">
        <x:v>WIT-03</x:v>
      </x:c>
      <x:c r="E56" s="12"/>
      <x:c r="F56" s="10" t="str">
        <x:f>IF(E56="","OPEN",IF(E56="CURRENT","ACTIVE","DENY"))</x:f>
        <x:v>OPEN</x:v>
      </x:c>
    </x:row>
    <x:row r="57">
      <x:c r="A57" s="10" t="str">
        <x:v>CH-052</x:v>
      </x:c>
      <x:c r="B57" s="10" t="str">
        <x:v>ancestry code</x:v>
      </x:c>
      <x:c r="C57" s="10" t="str">
        <x:v>ROOT-B</x:v>
      </x:c>
      <x:c r="D57" s="10" t="str">
        <x:v>WIT-04</x:v>
      </x:c>
      <x:c r="E57" s="12"/>
      <x:c r="F57" s="10" t="str">
        <x:f>IF(E57="","OPEN",IF(E57="CURRENT","ACTIVE","DENY"))</x:f>
        <x:v>OPEN</x:v>
      </x:c>
    </x:row>
    <x:row r="58">
      <x:c r="A58" s="10" t="str">
        <x:v>CH-053</x:v>
      </x:c>
      <x:c r="B58" s="10" t="str">
        <x:v>carryover</x:v>
      </x:c>
      <x:c r="C58" s="10" t="str">
        <x:v>ROOT-A</x:v>
      </x:c>
      <x:c r="D58" s="10" t="str">
        <x:v>WIT-05</x:v>
      </x:c>
      <x:c r="E58" s="12"/>
      <x:c r="F58" s="10" t="str">
        <x:f>IF(E58="","OPEN",IF(E58="CURRENT","ACTIVE","DENY"))</x:f>
        <x:v>OPEN</x:v>
      </x:c>
    </x:row>
    <x:row r="59">
      <x:c r="A59" s="10" t="str">
        <x:v>CH-054</x:v>
      </x:c>
      <x:c r="B59" s="10" t="str">
        <x:v>environment</x:v>
      </x:c>
      <x:c r="C59" s="10" t="str">
        <x:v>ROOT-B</x:v>
      </x:c>
      <x:c r="D59" s="10" t="str">
        <x:v>WIT-06</x:v>
      </x:c>
      <x:c r="E59" s="12"/>
      <x:c r="F59" s="10" t="str">
        <x:f>IF(E59="","OPEN",IF(E59="CURRENT","ACTIVE","DENY"))</x:f>
        <x:v>OPEN</x:v>
      </x:c>
    </x:row>
    <x:row r="60">
      <x:c r="A60" s="10" t="str">
        <x:v>CH-055</x:v>
      </x:c>
      <x:c r="B60" s="10" t="str">
        <x:v>casualty</x:v>
      </x:c>
      <x:c r="C60" s="10" t="str">
        <x:v>ROOT-A</x:v>
      </x:c>
      <x:c r="D60" s="10" t="str">
        <x:v>WIT-07</x:v>
      </x:c>
      <x:c r="E60" s="12"/>
      <x:c r="F60" s="10" t="str">
        <x:f>IF(E60="","OPEN",IF(E60="CURRENT","ACTIVE","DENY"))</x:f>
        <x:v>OPEN</x:v>
      </x:c>
    </x:row>
    <x:row r="61">
      <x:c r="A61" s="10" t="str">
        <x:v>CH-056</x:v>
      </x:c>
      <x:c r="B61" s="10" t="str">
        <x:v>cell state</x:v>
      </x:c>
      <x:c r="C61" s="10" t="str">
        <x:v>ROOT-B</x:v>
      </x:c>
      <x:c r="D61" s="10" t="str">
        <x:v>WIT-08</x:v>
      </x:c>
      <x:c r="E61" s="12"/>
      <x:c r="F61" s="10" t="str">
        <x:f>IF(E61="","OPEN",IF(E61="CURRENT","ACTIVE","DENY"))</x:f>
        <x:v>OPEN</x:v>
      </x:c>
    </x:row>
    <x:row r="62">
      <x:c r="A62" s="10" t="str">
        <x:v>CH-057</x:v>
      </x:c>
      <x:c r="B62" s="10" t="str">
        <x:v>separation</x:v>
      </x:c>
      <x:c r="C62" s="10" t="str">
        <x:v>ROOT-A</x:v>
      </x:c>
      <x:c r="D62" s="10" t="str">
        <x:v>WIT-09</x:v>
      </x:c>
      <x:c r="E62" s="12"/>
      <x:c r="F62" s="10" t="str">
        <x:f>IF(E62="","OPEN",IF(E62="CURRENT","ACTIVE","DENY"))</x:f>
        <x:v>OPEN</x:v>
      </x:c>
    </x:row>
    <x:row r="63">
      <x:c r="A63" s="10" t="str">
        <x:v>CH-058</x:v>
      </x:c>
      <x:c r="B63" s="10" t="str">
        <x:v>return</x:v>
      </x:c>
      <x:c r="C63" s="10" t="str">
        <x:v>ROOT-B</x:v>
      </x:c>
      <x:c r="D63" s="10" t="str">
        <x:v>WIT-10</x:v>
      </x:c>
      <x:c r="E63" s="12"/>
      <x:c r="F63" s="10" t="str">
        <x:f>IF(E63="","OPEN",IF(E63="CURRENT","ACTIVE","DENY"))</x:f>
        <x:v>OPEN</x:v>
      </x:c>
    </x:row>
    <x:row r="64">
      <x:c r="A64" s="10" t="str">
        <x:v>CH-059</x:v>
      </x:c>
      <x:c r="B64" s="10" t="str">
        <x:v>reader health</x:v>
      </x:c>
      <x:c r="C64" s="10" t="str">
        <x:v>ROOT-A</x:v>
      </x:c>
      <x:c r="D64" s="10" t="str">
        <x:v>WIT-11</x:v>
      </x:c>
      <x:c r="E64" s="12"/>
      <x:c r="F64" s="10" t="str">
        <x:f>IF(E64="","OPEN",IF(E64="CURRENT","ACTIVE","DENY"))</x:f>
        <x:v>OPEN</x:v>
      </x:c>
    </x:row>
    <x:row r="65">
      <x:c r="A65" s="10" t="str">
        <x:v>CH-060</x:v>
      </x:c>
      <x:c r="B65" s="10" t="str">
        <x:v>clock integrity</x:v>
      </x:c>
      <x:c r="C65" s="10" t="str">
        <x:v>ROOT-B</x:v>
      </x:c>
      <x:c r="D65" s="10" t="str">
        <x:v>WIT-12</x:v>
      </x:c>
      <x:c r="E65" s="12"/>
      <x:c r="F65" s="10" t="str">
        <x:f>IF(E65="","OPEN",IF(E65="CURRENT","ACTIVE","DENY"))</x:f>
        <x:v>OPEN</x:v>
      </x:c>
    </x:row>
    <x:row r="66">
      <x:c r="A66" s="10" t="str">
        <x:v>CH-061</x:v>
      </x:c>
      <x:c r="B66" s="10" t="str">
        <x:v>water inventory</x:v>
      </x:c>
      <x:c r="C66" s="10" t="str">
        <x:v>ROOT-A</x:v>
      </x:c>
      <x:c r="D66" s="10" t="str">
        <x:v>WIT-13</x:v>
      </x:c>
      <x:c r="E66" s="12"/>
      <x:c r="F66" s="10" t="str">
        <x:f>IF(E66="","OPEN",IF(E66="CURRENT","ACTIVE","DENY"))</x:f>
        <x:v>OPEN</x:v>
      </x:c>
    </x:row>
    <x:row r="67">
      <x:c r="A67" s="10" t="str">
        <x:v>CH-062</x:v>
      </x:c>
      <x:c r="B67" s="10" t="str">
        <x:v>simulant inventory</x:v>
      </x:c>
      <x:c r="C67" s="10" t="str">
        <x:v>ROOT-B</x:v>
      </x:c>
      <x:c r="D67" s="10" t="str">
        <x:v>WIT-14</x:v>
      </x:c>
      <x:c r="E67" s="12"/>
      <x:c r="F67" s="10" t="str">
        <x:f>IF(E67="","OPEN",IF(E67="CURRENT","ACTIVE","DENY"))</x:f>
        <x:v>OPEN</x:v>
      </x:c>
    </x:row>
    <x:row r="68">
      <x:c r="A68" s="10" t="str">
        <x:v>CH-063</x:v>
      </x:c>
      <x:c r="B68" s="10" t="str">
        <x:v>phase boundary</x:v>
      </x:c>
      <x:c r="C68" s="10" t="str">
        <x:v>ROOT-A</x:v>
      </x:c>
      <x:c r="D68" s="10" t="str">
        <x:v>WIT-15</x:v>
      </x:c>
      <x:c r="E68" s="12"/>
      <x:c r="F68" s="10" t="str">
        <x:f>IF(E68="","OPEN",IF(E68="CURRENT","ACTIVE","DENY"))</x:f>
        <x:v>OPEN</x:v>
      </x:c>
    </x:row>
    <x:row r="69">
      <x:c r="A69" s="10" t="str">
        <x:v>CH-064</x:v>
      </x:c>
      <x:c r="B69" s="10" t="str">
        <x:v>ancestry code</x:v>
      </x:c>
      <x:c r="C69" s="10" t="str">
        <x:v>ROOT-B</x:v>
      </x:c>
      <x:c r="D69" s="10" t="str">
        <x:v>WIT-16</x:v>
      </x:c>
      <x:c r="E69" s="12"/>
      <x:c r="F69" s="10" t="str">
        <x:f>IF(E69="","OPEN",IF(E69="CURRENT","ACTIVE","DENY"))</x:f>
        <x:v>OPEN</x:v>
      </x:c>
    </x:row>
    <x:row r="70">
      <x:c r="A70" s="10" t="str">
        <x:v>CH-065</x:v>
      </x:c>
      <x:c r="B70" s="10" t="str">
        <x:v>carryover</x:v>
      </x:c>
      <x:c r="C70" s="10" t="str">
        <x:v>ROOT-A</x:v>
      </x:c>
      <x:c r="D70" s="10" t="str">
        <x:v>WIT-17</x:v>
      </x:c>
      <x:c r="E70" s="12"/>
      <x:c r="F70" s="10" t="str">
        <x:f>IF(E70="","OPEN",IF(E70="CURRENT","ACTIVE","DENY"))</x:f>
        <x:v>OPEN</x:v>
      </x:c>
    </x:row>
    <x:row r="71">
      <x:c r="A71" s="10" t="str">
        <x:v>CH-066</x:v>
      </x:c>
      <x:c r="B71" s="10" t="str">
        <x:v>environment</x:v>
      </x:c>
      <x:c r="C71" s="10" t="str">
        <x:v>ROOT-B</x:v>
      </x:c>
      <x:c r="D71" s="10" t="str">
        <x:v>WIT-18</x:v>
      </x:c>
      <x:c r="E71" s="12"/>
      <x:c r="F71" s="10" t="str">
        <x:f>IF(E71="","OPEN",IF(E71="CURRENT","ACTIVE","DENY"))</x:f>
        <x:v>OPEN</x:v>
      </x:c>
    </x:row>
    <x:row r="72">
      <x:c r="A72" s="10" t="str">
        <x:v>CH-067</x:v>
      </x:c>
      <x:c r="B72" s="10" t="str">
        <x:v>casualty</x:v>
      </x:c>
      <x:c r="C72" s="10" t="str">
        <x:v>ROOT-A</x:v>
      </x:c>
      <x:c r="D72" s="10" t="str">
        <x:v>WIT-19</x:v>
      </x:c>
      <x:c r="E72" s="12"/>
      <x:c r="F72" s="10" t="str">
        <x:f>IF(E72="","OPEN",IF(E72="CURRENT","ACTIVE","DENY"))</x:f>
        <x:v>OPEN</x:v>
      </x:c>
    </x:row>
    <x:row r="73">
      <x:c r="A73" s="10" t="str">
        <x:v>CH-068</x:v>
      </x:c>
      <x:c r="B73" s="10" t="str">
        <x:v>cell state</x:v>
      </x:c>
      <x:c r="C73" s="10" t="str">
        <x:v>ROOT-B</x:v>
      </x:c>
      <x:c r="D73" s="10" t="str">
        <x:v>WIT-20</x:v>
      </x:c>
      <x:c r="E73" s="12"/>
      <x:c r="F73" s="10" t="str">
        <x:f>IF(E73="","OPEN",IF(E73="CURRENT","ACTIVE","DENY"))</x:f>
        <x:v>OPEN</x:v>
      </x:c>
    </x:row>
    <x:row r="74">
      <x:c r="A74" s="10" t="str">
        <x:v>CH-069</x:v>
      </x:c>
      <x:c r="B74" s="10" t="str">
        <x:v>separation</x:v>
      </x:c>
      <x:c r="C74" s="10" t="str">
        <x:v>ROOT-A</x:v>
      </x:c>
      <x:c r="D74" s="10" t="str">
        <x:v>WIT-21</x:v>
      </x:c>
      <x:c r="E74" s="12"/>
      <x:c r="F74" s="10" t="str">
        <x:f>IF(E74="","OPEN",IF(E74="CURRENT","ACTIVE","DENY"))</x:f>
        <x:v>OPEN</x:v>
      </x:c>
    </x:row>
    <x:row r="75">
      <x:c r="A75" s="10" t="str">
        <x:v>CH-070</x:v>
      </x:c>
      <x:c r="B75" s="10" t="str">
        <x:v>return</x:v>
      </x:c>
      <x:c r="C75" s="10" t="str">
        <x:v>ROOT-B</x:v>
      </x:c>
      <x:c r="D75" s="10" t="str">
        <x:v>WIT-22</x:v>
      </x:c>
      <x:c r="E75" s="12"/>
      <x:c r="F75" s="10" t="str">
        <x:f>IF(E75="","OPEN",IF(E75="CURRENT","ACTIVE","DENY"))</x:f>
        <x:v>OPEN</x:v>
      </x:c>
    </x:row>
    <x:row r="76">
      <x:c r="A76" s="10" t="str">
        <x:v>CH-071</x:v>
      </x:c>
      <x:c r="B76" s="10" t="str">
        <x:v>reader health</x:v>
      </x:c>
      <x:c r="C76" s="10" t="str">
        <x:v>ROOT-A</x:v>
      </x:c>
      <x:c r="D76" s="10" t="str">
        <x:v>WIT-23</x:v>
      </x:c>
      <x:c r="E76" s="12"/>
      <x:c r="F76" s="10" t="str">
        <x:f>IF(E76="","OPEN",IF(E76="CURRENT","ACTIVE","DENY"))</x:f>
        <x:v>OPEN</x:v>
      </x:c>
    </x:row>
    <x:row r="77">
      <x:c r="A77" s="10" t="str">
        <x:v>CH-072</x:v>
      </x:c>
      <x:c r="B77" s="10" t="str">
        <x:v>clock integrity</x:v>
      </x:c>
      <x:c r="C77" s="10" t="str">
        <x:v>ROOT-B</x:v>
      </x:c>
      <x:c r="D77" s="10" t="str">
        <x:v>WIT-24</x:v>
      </x:c>
      <x:c r="E77" s="12"/>
      <x:c r="F77" s="10" t="str">
        <x:f>IF(E77="","OPEN",IF(E77="CURRENT","ACTIVE","DENY"))</x:f>
        <x:v>OPEN</x:v>
      </x:c>
    </x:row>
    <x:row r="78">
      <x:c r="A78" s="10" t="str">
        <x:v>CH-073</x:v>
      </x:c>
      <x:c r="B78" s="10" t="str">
        <x:v>water inventory</x:v>
      </x:c>
      <x:c r="C78" s="10" t="str">
        <x:v>ROOT-A</x:v>
      </x:c>
      <x:c r="D78" s="10" t="str">
        <x:v>WIT-01</x:v>
      </x:c>
      <x:c r="E78" s="12"/>
      <x:c r="F78" s="10" t="str">
        <x:f>IF(E78="","OPEN",IF(E78="CURRENT","ACTIVE","DENY"))</x:f>
        <x:v>OPEN</x:v>
      </x:c>
    </x:row>
    <x:row r="79">
      <x:c r="A79" s="10" t="str">
        <x:v>CH-074</x:v>
      </x:c>
      <x:c r="B79" s="10" t="str">
        <x:v>simulant inventory</x:v>
      </x:c>
      <x:c r="C79" s="10" t="str">
        <x:v>ROOT-B</x:v>
      </x:c>
      <x:c r="D79" s="10" t="str">
        <x:v>WIT-02</x:v>
      </x:c>
      <x:c r="E79" s="12"/>
      <x:c r="F79" s="10" t="str">
        <x:f>IF(E79="","OPEN",IF(E79="CURRENT","ACTIVE","DENY"))</x:f>
        <x:v>OPEN</x:v>
      </x:c>
    </x:row>
    <x:row r="80">
      <x:c r="A80" s="10" t="str">
        <x:v>CH-075</x:v>
      </x:c>
      <x:c r="B80" s="10" t="str">
        <x:v>phase boundary</x:v>
      </x:c>
      <x:c r="C80" s="10" t="str">
        <x:v>ROOT-A</x:v>
      </x:c>
      <x:c r="D80" s="10" t="str">
        <x:v>WIT-03</x:v>
      </x:c>
      <x:c r="E80" s="12"/>
      <x:c r="F80" s="10" t="str">
        <x:f>IF(E80="","OPEN",IF(E80="CURRENT","ACTIVE","DENY"))</x:f>
        <x:v>OPEN</x:v>
      </x:c>
    </x:row>
    <x:row r="81">
      <x:c r="A81" s="10" t="str">
        <x:v>CH-076</x:v>
      </x:c>
      <x:c r="B81" s="10" t="str">
        <x:v>ancestry code</x:v>
      </x:c>
      <x:c r="C81" s="10" t="str">
        <x:v>ROOT-B</x:v>
      </x:c>
      <x:c r="D81" s="10" t="str">
        <x:v>WIT-04</x:v>
      </x:c>
      <x:c r="E81" s="12"/>
      <x:c r="F81" s="10" t="str">
        <x:f>IF(E81="","OPEN",IF(E81="CURRENT","ACTIVE","DENY"))</x:f>
        <x:v>OPEN</x:v>
      </x:c>
    </x:row>
    <x:row r="82">
      <x:c r="A82" s="10" t="str">
        <x:v>CH-077</x:v>
      </x:c>
      <x:c r="B82" s="10" t="str">
        <x:v>carryover</x:v>
      </x:c>
      <x:c r="C82" s="10" t="str">
        <x:v>ROOT-A</x:v>
      </x:c>
      <x:c r="D82" s="10" t="str">
        <x:v>WIT-05</x:v>
      </x:c>
      <x:c r="E82" s="12"/>
      <x:c r="F82" s="10" t="str">
        <x:f>IF(E82="","OPEN",IF(E82="CURRENT","ACTIVE","DENY"))</x:f>
        <x:v>OPEN</x:v>
      </x:c>
    </x:row>
    <x:row r="83">
      <x:c r="A83" s="10" t="str">
        <x:v>CH-078</x:v>
      </x:c>
      <x:c r="B83" s="10" t="str">
        <x:v>environment</x:v>
      </x:c>
      <x:c r="C83" s="10" t="str">
        <x:v>ROOT-B</x:v>
      </x:c>
      <x:c r="D83" s="10" t="str">
        <x:v>WIT-06</x:v>
      </x:c>
      <x:c r="E83" s="12"/>
      <x:c r="F83" s="10" t="str">
        <x:f>IF(E83="","OPEN",IF(E83="CURRENT","ACTIVE","DENY"))</x:f>
        <x:v>OPEN</x:v>
      </x:c>
    </x:row>
    <x:row r="84">
      <x:c r="A84" s="10" t="str">
        <x:v>CH-079</x:v>
      </x:c>
      <x:c r="B84" s="10" t="str">
        <x:v>casualty</x:v>
      </x:c>
      <x:c r="C84" s="10" t="str">
        <x:v>ROOT-A</x:v>
      </x:c>
      <x:c r="D84" s="10" t="str">
        <x:v>WIT-07</x:v>
      </x:c>
      <x:c r="E84" s="12"/>
      <x:c r="F84" s="10" t="str">
        <x:f>IF(E84="","OPEN",IF(E84="CURRENT","ACTIVE","DENY"))</x:f>
        <x:v>OPEN</x:v>
      </x:c>
    </x:row>
    <x:row r="85">
      <x:c r="A85" s="10" t="str">
        <x:v>CH-080</x:v>
      </x:c>
      <x:c r="B85" s="10" t="str">
        <x:v>cell state</x:v>
      </x:c>
      <x:c r="C85" s="10" t="str">
        <x:v>ROOT-B</x:v>
      </x:c>
      <x:c r="D85" s="10" t="str">
        <x:v>WIT-08</x:v>
      </x:c>
      <x:c r="E85" s="12"/>
      <x:c r="F85" s="10" t="str">
        <x:f>IF(E85="","OPEN",IF(E85="CURRENT","ACTIVE","DENY"))</x:f>
        <x:v>OPEN</x:v>
      </x:c>
    </x:row>
    <x:row r="86">
      <x:c r="A86" s="10" t="str">
        <x:v>CH-081</x:v>
      </x:c>
      <x:c r="B86" s="10" t="str">
        <x:v>separation</x:v>
      </x:c>
      <x:c r="C86" s="10" t="str">
        <x:v>ROOT-A</x:v>
      </x:c>
      <x:c r="D86" s="10" t="str">
        <x:v>WIT-09</x:v>
      </x:c>
      <x:c r="E86" s="12"/>
      <x:c r="F86" s="10" t="str">
        <x:f>IF(E86="","OPEN",IF(E86="CURRENT","ACTIVE","DENY"))</x:f>
        <x:v>OPEN</x:v>
      </x:c>
    </x:row>
    <x:row r="87">
      <x:c r="A87" s="10" t="str">
        <x:v>CH-082</x:v>
      </x:c>
      <x:c r="B87" s="10" t="str">
        <x:v>return</x:v>
      </x:c>
      <x:c r="C87" s="10" t="str">
        <x:v>ROOT-B</x:v>
      </x:c>
      <x:c r="D87" s="10" t="str">
        <x:v>WIT-10</x:v>
      </x:c>
      <x:c r="E87" s="12"/>
      <x:c r="F87" s="10" t="str">
        <x:f>IF(E87="","OPEN",IF(E87="CURRENT","ACTIVE","DENY"))</x:f>
        <x:v>OPEN</x:v>
      </x:c>
    </x:row>
    <x:row r="88">
      <x:c r="A88" s="10" t="str">
        <x:v>CH-083</x:v>
      </x:c>
      <x:c r="B88" s="10" t="str">
        <x:v>reader health</x:v>
      </x:c>
      <x:c r="C88" s="10" t="str">
        <x:v>ROOT-A</x:v>
      </x:c>
      <x:c r="D88" s="10" t="str">
        <x:v>WIT-11</x:v>
      </x:c>
      <x:c r="E88" s="12"/>
      <x:c r="F88" s="10" t="str">
        <x:f>IF(E88="","OPEN",IF(E88="CURRENT","ACTIVE","DENY"))</x:f>
        <x:v>OPEN</x:v>
      </x:c>
    </x:row>
    <x:row r="89">
      <x:c r="A89" s="10" t="str">
        <x:v>CH-084</x:v>
      </x:c>
      <x:c r="B89" s="10" t="str">
        <x:v>clock integrity</x:v>
      </x:c>
      <x:c r="C89" s="10" t="str">
        <x:v>ROOT-B</x:v>
      </x:c>
      <x:c r="D89" s="10" t="str">
        <x:v>WIT-12</x:v>
      </x:c>
      <x:c r="E89" s="12"/>
      <x:c r="F89" s="10" t="str">
        <x:f>IF(E89="","OPEN",IF(E89="CURRENT","ACTIVE","DENY"))</x:f>
        <x:v>OPEN</x:v>
      </x:c>
    </x:row>
    <x:row r="90">
      <x:c r="A90" s="10" t="str">
        <x:v>CH-085</x:v>
      </x:c>
      <x:c r="B90" s="10" t="str">
        <x:v>water inventory</x:v>
      </x:c>
      <x:c r="C90" s="10" t="str">
        <x:v>ROOT-A</x:v>
      </x:c>
      <x:c r="D90" s="10" t="str">
        <x:v>WIT-13</x:v>
      </x:c>
      <x:c r="E90" s="12"/>
      <x:c r="F90" s="10" t="str">
        <x:f>IF(E90="","OPEN",IF(E90="CURRENT","ACTIVE","DENY"))</x:f>
        <x:v>OPEN</x:v>
      </x:c>
    </x:row>
    <x:row r="91">
      <x:c r="A91" s="10" t="str">
        <x:v>CH-086</x:v>
      </x:c>
      <x:c r="B91" s="10" t="str">
        <x:v>simulant inventory</x:v>
      </x:c>
      <x:c r="C91" s="10" t="str">
        <x:v>ROOT-B</x:v>
      </x:c>
      <x:c r="D91" s="10" t="str">
        <x:v>WIT-14</x:v>
      </x:c>
      <x:c r="E91" s="12"/>
      <x:c r="F91" s="10" t="str">
        <x:f>IF(E91="","OPEN",IF(E91="CURRENT","ACTIVE","DENY"))</x:f>
        <x:v>OPEN</x:v>
      </x:c>
    </x:row>
    <x:row r="92">
      <x:c r="A92" s="10" t="str">
        <x:v>CH-087</x:v>
      </x:c>
      <x:c r="B92" s="10" t="str">
        <x:v>phase boundary</x:v>
      </x:c>
      <x:c r="C92" s="10" t="str">
        <x:v>ROOT-A</x:v>
      </x:c>
      <x:c r="D92" s="10" t="str">
        <x:v>WIT-15</x:v>
      </x:c>
      <x:c r="E92" s="12"/>
      <x:c r="F92" s="10" t="str">
        <x:f>IF(E92="","OPEN",IF(E92="CURRENT","ACTIVE","DENY"))</x:f>
        <x:v>OPEN</x:v>
      </x:c>
    </x:row>
    <x:row r="93">
      <x:c r="A93" s="10" t="str">
        <x:v>CH-088</x:v>
      </x:c>
      <x:c r="B93" s="10" t="str">
        <x:v>ancestry code</x:v>
      </x:c>
      <x:c r="C93" s="10" t="str">
        <x:v>ROOT-B</x:v>
      </x:c>
      <x:c r="D93" s="10" t="str">
        <x:v>WIT-16</x:v>
      </x:c>
      <x:c r="E93" s="12"/>
      <x:c r="F93" s="10" t="str">
        <x:f>IF(E93="","OPEN",IF(E93="CURRENT","ACTIVE","DENY"))</x:f>
        <x:v>OPEN</x:v>
      </x:c>
    </x:row>
    <x:row r="94">
      <x:c r="A94" s="10" t="str">
        <x:v>CH-089</x:v>
      </x:c>
      <x:c r="B94" s="10" t="str">
        <x:v>carryover</x:v>
      </x:c>
      <x:c r="C94" s="10" t="str">
        <x:v>ROOT-A</x:v>
      </x:c>
      <x:c r="D94" s="10" t="str">
        <x:v>WIT-17</x:v>
      </x:c>
      <x:c r="E94" s="12"/>
      <x:c r="F94" s="10" t="str">
        <x:f>IF(E94="","OPEN",IF(E94="CURRENT","ACTIVE","DENY"))</x:f>
        <x:v>OPEN</x:v>
      </x:c>
    </x:row>
    <x:row r="95">
      <x:c r="A95" s="10" t="str">
        <x:v>CH-090</x:v>
      </x:c>
      <x:c r="B95" s="10" t="str">
        <x:v>environment</x:v>
      </x:c>
      <x:c r="C95" s="10" t="str">
        <x:v>ROOT-B</x:v>
      </x:c>
      <x:c r="D95" s="10" t="str">
        <x:v>WIT-18</x:v>
      </x:c>
      <x:c r="E95" s="12"/>
      <x:c r="F95" s="10" t="str">
        <x:f>IF(E95="","OPEN",IF(E95="CURRENT","ACTIVE","DENY"))</x:f>
        <x:v>OPEN</x:v>
      </x:c>
    </x:row>
    <x:row r="96">
      <x:c r="A96" s="10" t="str">
        <x:v>CH-091</x:v>
      </x:c>
      <x:c r="B96" s="10" t="str">
        <x:v>casualty</x:v>
      </x:c>
      <x:c r="C96" s="10" t="str">
        <x:v>ROOT-A</x:v>
      </x:c>
      <x:c r="D96" s="10" t="str">
        <x:v>WIT-19</x:v>
      </x:c>
      <x:c r="E96" s="12"/>
      <x:c r="F96" s="10" t="str">
        <x:f>IF(E96="","OPEN",IF(E96="CURRENT","ACTIVE","DENY"))</x:f>
        <x:v>OPEN</x:v>
      </x:c>
    </x:row>
    <x:row r="97">
      <x:c r="A97" s="10" t="str">
        <x:v>CH-092</x:v>
      </x:c>
      <x:c r="B97" s="10" t="str">
        <x:v>cell state</x:v>
      </x:c>
      <x:c r="C97" s="10" t="str">
        <x:v>ROOT-B</x:v>
      </x:c>
      <x:c r="D97" s="10" t="str">
        <x:v>WIT-20</x:v>
      </x:c>
      <x:c r="E97" s="12"/>
      <x:c r="F97" s="10" t="str">
        <x:f>IF(E97="","OPEN",IF(E97="CURRENT","ACTIVE","DENY"))</x:f>
        <x:v>OPEN</x:v>
      </x:c>
    </x:row>
    <x:row r="98">
      <x:c r="A98" s="10" t="str">
        <x:v>CH-093</x:v>
      </x:c>
      <x:c r="B98" s="10" t="str">
        <x:v>separation</x:v>
      </x:c>
      <x:c r="C98" s="10" t="str">
        <x:v>ROOT-A</x:v>
      </x:c>
      <x:c r="D98" s="10" t="str">
        <x:v>WIT-21</x:v>
      </x:c>
      <x:c r="E98" s="12"/>
      <x:c r="F98" s="10" t="str">
        <x:f>IF(E98="","OPEN",IF(E98="CURRENT","ACTIVE","DENY"))</x:f>
        <x:v>OPEN</x:v>
      </x:c>
    </x:row>
    <x:row r="99">
      <x:c r="A99" s="10" t="str">
        <x:v>CH-094</x:v>
      </x:c>
      <x:c r="B99" s="10" t="str">
        <x:v>return</x:v>
      </x:c>
      <x:c r="C99" s="10" t="str">
        <x:v>ROOT-B</x:v>
      </x:c>
      <x:c r="D99" s="10" t="str">
        <x:v>WIT-22</x:v>
      </x:c>
      <x:c r="E99" s="12"/>
      <x:c r="F99" s="10" t="str">
        <x:f>IF(E99="","OPEN",IF(E99="CURRENT","ACTIVE","DENY"))</x:f>
        <x:v>OPEN</x:v>
      </x:c>
    </x:row>
    <x:row r="100">
      <x:c r="A100" s="10" t="str">
        <x:v>CH-095</x:v>
      </x:c>
      <x:c r="B100" s="10" t="str">
        <x:v>reader health</x:v>
      </x:c>
      <x:c r="C100" s="10" t="str">
        <x:v>ROOT-A</x:v>
      </x:c>
      <x:c r="D100" s="10" t="str">
        <x:v>WIT-23</x:v>
      </x:c>
      <x:c r="E100" s="12"/>
      <x:c r="F100" s="10" t="str">
        <x:f>IF(E100="","OPEN",IF(E100="CURRENT","ACTIVE","DENY"))</x:f>
        <x:v>OPEN</x:v>
      </x:c>
    </x:row>
    <x:row r="101">
      <x:c r="A101" s="10" t="str">
        <x:v>CH-096</x:v>
      </x:c>
      <x:c r="B101" s="10" t="str">
        <x:v>clock integrity</x:v>
      </x:c>
      <x:c r="C101" s="10" t="str">
        <x:v>ROOT-B</x:v>
      </x:c>
      <x:c r="D101" s="10" t="str">
        <x:v>WIT-24</x:v>
      </x:c>
      <x:c r="E101" s="12"/>
      <x:c r="F101" s="10" t="str">
        <x:f>IF(E101="","OPEN",IF(E101="CURRENT","ACTIVE","DENY"))</x:f>
        <x:v>OPEN</x:v>
      </x:c>
    </x:row>
    <x:row r="102">
      <x:c r="A102" s="10" t="str">
        <x:v>CH-097</x:v>
      </x:c>
      <x:c r="B102" s="10" t="str">
        <x:v>water inventory</x:v>
      </x:c>
      <x:c r="C102" s="10" t="str">
        <x:v>ROOT-A</x:v>
      </x:c>
      <x:c r="D102" s="10" t="str">
        <x:v>WIT-01</x:v>
      </x:c>
      <x:c r="E102" s="12"/>
      <x:c r="F102" s="10" t="str">
        <x:f>IF(E102="","OPEN",IF(E102="CURRENT","ACTIVE","DENY"))</x:f>
        <x:v>OPEN</x:v>
      </x:c>
    </x:row>
    <x:row r="103">
      <x:c r="A103" s="10" t="str">
        <x:v>CH-098</x:v>
      </x:c>
      <x:c r="B103" s="10" t="str">
        <x:v>simulant inventory</x:v>
      </x:c>
      <x:c r="C103" s="10" t="str">
        <x:v>ROOT-B</x:v>
      </x:c>
      <x:c r="D103" s="10" t="str">
        <x:v>WIT-02</x:v>
      </x:c>
      <x:c r="E103" s="12"/>
      <x:c r="F103" s="10" t="str">
        <x:f>IF(E103="","OPEN",IF(E103="CURRENT","ACTIVE","DENY"))</x:f>
        <x:v>OPEN</x:v>
      </x:c>
    </x:row>
    <x:row r="104">
      <x:c r="A104" s="10" t="str">
        <x:v>CH-099</x:v>
      </x:c>
      <x:c r="B104" s="10" t="str">
        <x:v>phase boundary</x:v>
      </x:c>
      <x:c r="C104" s="10" t="str">
        <x:v>ROOT-A</x:v>
      </x:c>
      <x:c r="D104" s="10" t="str">
        <x:v>WIT-03</x:v>
      </x:c>
      <x:c r="E104" s="12"/>
      <x:c r="F104" s="10" t="str">
        <x:f>IF(E104="","OPEN",IF(E104="CURRENT","ACTIVE","DENY"))</x:f>
        <x:v>OPEN</x:v>
      </x:c>
    </x:row>
    <x:row r="105">
      <x:c r="A105" s="10" t="str">
        <x:v>CH-100</x:v>
      </x:c>
      <x:c r="B105" s="10" t="str">
        <x:v>ancestry code</x:v>
      </x:c>
      <x:c r="C105" s="10" t="str">
        <x:v>ROOT-B</x:v>
      </x:c>
      <x:c r="D105" s="10" t="str">
        <x:v>WIT-04</x:v>
      </x:c>
      <x:c r="E105" s="12"/>
      <x:c r="F105" s="10" t="str">
        <x:f>IF(E105="","OPEN",IF(E105="CURRENT","ACTIVE","DENY"))</x:f>
        <x:v>OPEN</x:v>
      </x:c>
    </x:row>
    <x:row r="106">
      <x:c r="A106" s="10" t="str">
        <x:v>CH-101</x:v>
      </x:c>
      <x:c r="B106" s="10" t="str">
        <x:v>carryover</x:v>
      </x:c>
      <x:c r="C106" s="10" t="str">
        <x:v>ROOT-A</x:v>
      </x:c>
      <x:c r="D106" s="10" t="str">
        <x:v>WIT-05</x:v>
      </x:c>
      <x:c r="E106" s="12"/>
      <x:c r="F106" s="10" t="str">
        <x:f>IF(E106="","OPEN",IF(E106="CURRENT","ACTIVE","DENY"))</x:f>
        <x:v>OPEN</x:v>
      </x:c>
    </x:row>
    <x:row r="107">
      <x:c r="A107" s="10" t="str">
        <x:v>CH-102</x:v>
      </x:c>
      <x:c r="B107" s="10" t="str">
        <x:v>environment</x:v>
      </x:c>
      <x:c r="C107" s="10" t="str">
        <x:v>ROOT-B</x:v>
      </x:c>
      <x:c r="D107" s="10" t="str">
        <x:v>WIT-06</x:v>
      </x:c>
      <x:c r="E107" s="12"/>
      <x:c r="F107" s="10" t="str">
        <x:f>IF(E107="","OPEN",IF(E107="CURRENT","ACTIVE","DENY"))</x:f>
        <x:v>OPEN</x:v>
      </x:c>
    </x:row>
    <x:row r="108">
      <x:c r="A108" s="10" t="str">
        <x:v>CH-103</x:v>
      </x:c>
      <x:c r="B108" s="10" t="str">
        <x:v>casualty</x:v>
      </x:c>
      <x:c r="C108" s="10" t="str">
        <x:v>ROOT-A</x:v>
      </x:c>
      <x:c r="D108" s="10" t="str">
        <x:v>WIT-07</x:v>
      </x:c>
      <x:c r="E108" s="12"/>
      <x:c r="F108" s="10" t="str">
        <x:f>IF(E108="","OPEN",IF(E108="CURRENT","ACTIVE","DENY"))</x:f>
        <x:v>OPEN</x:v>
      </x:c>
    </x:row>
    <x:row r="109">
      <x:c r="A109" s="10" t="str">
        <x:v>CH-104</x:v>
      </x:c>
      <x:c r="B109" s="10" t="str">
        <x:v>cell state</x:v>
      </x:c>
      <x:c r="C109" s="10" t="str">
        <x:v>ROOT-B</x:v>
      </x:c>
      <x:c r="D109" s="10" t="str">
        <x:v>WIT-08</x:v>
      </x:c>
      <x:c r="E109" s="12"/>
      <x:c r="F109" s="10" t="str">
        <x:f>IF(E109="","OPEN",IF(E109="CURRENT","ACTIVE","DENY"))</x:f>
        <x:v>OPEN</x:v>
      </x:c>
    </x:row>
    <x:row r="110">
      <x:c r="A110" s="10" t="str">
        <x:v>CH-105</x:v>
      </x:c>
      <x:c r="B110" s="10" t="str">
        <x:v>separation</x:v>
      </x:c>
      <x:c r="C110" s="10" t="str">
        <x:v>ROOT-A</x:v>
      </x:c>
      <x:c r="D110" s="10" t="str">
        <x:v>WIT-09</x:v>
      </x:c>
      <x:c r="E110" s="12"/>
      <x:c r="F110" s="10" t="str">
        <x:f>IF(E110="","OPEN",IF(E110="CURRENT","ACTIVE","DENY"))</x:f>
        <x:v>OPEN</x:v>
      </x:c>
    </x:row>
    <x:row r="111">
      <x:c r="A111" s="10" t="str">
        <x:v>CH-106</x:v>
      </x:c>
      <x:c r="B111" s="10" t="str">
        <x:v>return</x:v>
      </x:c>
      <x:c r="C111" s="10" t="str">
        <x:v>ROOT-B</x:v>
      </x:c>
      <x:c r="D111" s="10" t="str">
        <x:v>WIT-10</x:v>
      </x:c>
      <x:c r="E111" s="12"/>
      <x:c r="F111" s="10" t="str">
        <x:f>IF(E111="","OPEN",IF(E111="CURRENT","ACTIVE","DENY"))</x:f>
        <x:v>OPEN</x:v>
      </x:c>
    </x:row>
    <x:row r="112">
      <x:c r="A112" s="10" t="str">
        <x:v>CH-107</x:v>
      </x:c>
      <x:c r="B112" s="10" t="str">
        <x:v>reader health</x:v>
      </x:c>
      <x:c r="C112" s="10" t="str">
        <x:v>ROOT-A</x:v>
      </x:c>
      <x:c r="D112" s="10" t="str">
        <x:v>WIT-11</x:v>
      </x:c>
      <x:c r="E112" s="12"/>
      <x:c r="F112" s="10" t="str">
        <x:f>IF(E112="","OPEN",IF(E112="CURRENT","ACTIVE","DENY"))</x:f>
        <x:v>OPEN</x:v>
      </x:c>
    </x:row>
    <x:row r="113">
      <x:c r="A113" s="10" t="str">
        <x:v>CH-108</x:v>
      </x:c>
      <x:c r="B113" s="10" t="str">
        <x:v>clock integrity</x:v>
      </x:c>
      <x:c r="C113" s="10" t="str">
        <x:v>ROOT-B</x:v>
      </x:c>
      <x:c r="D113" s="10" t="str">
        <x:v>WIT-12</x:v>
      </x:c>
      <x:c r="E113" s="12"/>
      <x:c r="F113" s="10" t="str">
        <x:f>IF(E113="","OPEN",IF(E113="CURRENT","ACTIVE","DENY"))</x:f>
        <x:v>OPEN</x:v>
      </x:c>
    </x:row>
    <x:row r="114">
      <x:c r="A114" s="10" t="str">
        <x:v>CH-109</x:v>
      </x:c>
      <x:c r="B114" s="10" t="str">
        <x:v>water inventory</x:v>
      </x:c>
      <x:c r="C114" s="10" t="str">
        <x:v>ROOT-A</x:v>
      </x:c>
      <x:c r="D114" s="10" t="str">
        <x:v>WIT-13</x:v>
      </x:c>
      <x:c r="E114" s="12"/>
      <x:c r="F114" s="10" t="str">
        <x:f>IF(E114="","OPEN",IF(E114="CURRENT","ACTIVE","DENY"))</x:f>
        <x:v>OPEN</x:v>
      </x:c>
    </x:row>
    <x:row r="115">
      <x:c r="A115" s="10" t="str">
        <x:v>CH-110</x:v>
      </x:c>
      <x:c r="B115" s="10" t="str">
        <x:v>simulant inventory</x:v>
      </x:c>
      <x:c r="C115" s="10" t="str">
        <x:v>ROOT-B</x:v>
      </x:c>
      <x:c r="D115" s="10" t="str">
        <x:v>WIT-14</x:v>
      </x:c>
      <x:c r="E115" s="12"/>
      <x:c r="F115" s="10" t="str">
        <x:f>IF(E115="","OPEN",IF(E115="CURRENT","ACTIVE","DENY"))</x:f>
        <x:v>OPEN</x:v>
      </x:c>
    </x:row>
    <x:row r="116">
      <x:c r="A116" s="10" t="str">
        <x:v>CH-111</x:v>
      </x:c>
      <x:c r="B116" s="10" t="str">
        <x:v>phase boundary</x:v>
      </x:c>
      <x:c r="C116" s="10" t="str">
        <x:v>ROOT-A</x:v>
      </x:c>
      <x:c r="D116" s="10" t="str">
        <x:v>WIT-15</x:v>
      </x:c>
      <x:c r="E116" s="12"/>
      <x:c r="F116" s="10" t="str">
        <x:f>IF(E116="","OPEN",IF(E116="CURRENT","ACTIVE","DENY"))</x:f>
        <x:v>OPEN</x:v>
      </x:c>
    </x:row>
    <x:row r="117">
      <x:c r="A117" s="10" t="str">
        <x:v>CH-112</x:v>
      </x:c>
      <x:c r="B117" s="10" t="str">
        <x:v>ancestry code</x:v>
      </x:c>
      <x:c r="C117" s="10" t="str">
        <x:v>ROOT-B</x:v>
      </x:c>
      <x:c r="D117" s="10" t="str">
        <x:v>WIT-16</x:v>
      </x:c>
      <x:c r="E117" s="12"/>
      <x:c r="F117" s="10" t="str">
        <x:f>IF(E117="","OPEN",IF(E117="CURRENT","ACTIVE","DENY"))</x:f>
        <x:v>OPEN</x:v>
      </x:c>
    </x:row>
    <x:row r="118">
      <x:c r="A118" s="10" t="str">
        <x:v>CH-113</x:v>
      </x:c>
      <x:c r="B118" s="10" t="str">
        <x:v>carryover</x:v>
      </x:c>
      <x:c r="C118" s="10" t="str">
        <x:v>ROOT-A</x:v>
      </x:c>
      <x:c r="D118" s="10" t="str">
        <x:v>WIT-17</x:v>
      </x:c>
      <x:c r="E118" s="12"/>
      <x:c r="F118" s="10" t="str">
        <x:f>IF(E118="","OPEN",IF(E118="CURRENT","ACTIVE","DENY"))</x:f>
        <x:v>OPEN</x:v>
      </x:c>
    </x:row>
    <x:row r="119">
      <x:c r="A119" s="10" t="str">
        <x:v>CH-114</x:v>
      </x:c>
      <x:c r="B119" s="10" t="str">
        <x:v>environment</x:v>
      </x:c>
      <x:c r="C119" s="10" t="str">
        <x:v>ROOT-B</x:v>
      </x:c>
      <x:c r="D119" s="10" t="str">
        <x:v>WIT-18</x:v>
      </x:c>
      <x:c r="E119" s="12"/>
      <x:c r="F119" s="10" t="str">
        <x:f>IF(E119="","OPEN",IF(E119="CURRENT","ACTIVE","DENY"))</x:f>
        <x:v>OPEN</x:v>
      </x:c>
    </x:row>
    <x:row r="120">
      <x:c r="A120" s="10" t="str">
        <x:v>CH-115</x:v>
      </x:c>
      <x:c r="B120" s="10" t="str">
        <x:v>casualty</x:v>
      </x:c>
      <x:c r="C120" s="10" t="str">
        <x:v>ROOT-A</x:v>
      </x:c>
      <x:c r="D120" s="10" t="str">
        <x:v>WIT-19</x:v>
      </x:c>
      <x:c r="E120" s="12"/>
      <x:c r="F120" s="10" t="str">
        <x:f>IF(E120="","OPEN",IF(E120="CURRENT","ACTIVE","DENY"))</x:f>
        <x:v>OPEN</x:v>
      </x:c>
    </x:row>
    <x:row r="121">
      <x:c r="A121" s="10" t="str">
        <x:v>CH-116</x:v>
      </x:c>
      <x:c r="B121" s="10" t="str">
        <x:v>cell state</x:v>
      </x:c>
      <x:c r="C121" s="10" t="str">
        <x:v>ROOT-B</x:v>
      </x:c>
      <x:c r="D121" s="10" t="str">
        <x:v>WIT-20</x:v>
      </x:c>
      <x:c r="E121" s="12"/>
      <x:c r="F121" s="10" t="str">
        <x:f>IF(E121="","OPEN",IF(E121="CURRENT","ACTIVE","DENY"))</x:f>
        <x:v>OPEN</x:v>
      </x:c>
    </x:row>
    <x:row r="122">
      <x:c r="A122" s="10" t="str">
        <x:v>CH-117</x:v>
      </x:c>
      <x:c r="B122" s="10" t="str">
        <x:v>separation</x:v>
      </x:c>
      <x:c r="C122" s="10" t="str">
        <x:v>ROOT-A</x:v>
      </x:c>
      <x:c r="D122" s="10" t="str">
        <x:v>WIT-21</x:v>
      </x:c>
      <x:c r="E122" s="12"/>
      <x:c r="F122" s="10" t="str">
        <x:f>IF(E122="","OPEN",IF(E122="CURRENT","ACTIVE","DENY"))</x:f>
        <x:v>OPEN</x:v>
      </x:c>
    </x:row>
    <x:row r="123">
      <x:c r="A123" s="10" t="str">
        <x:v>CH-118</x:v>
      </x:c>
      <x:c r="B123" s="10" t="str">
        <x:v>return</x:v>
      </x:c>
      <x:c r="C123" s="10" t="str">
        <x:v>ROOT-B</x:v>
      </x:c>
      <x:c r="D123" s="10" t="str">
        <x:v>WIT-22</x:v>
      </x:c>
      <x:c r="E123" s="12"/>
      <x:c r="F123" s="10" t="str">
        <x:f>IF(E123="","OPEN",IF(E123="CURRENT","ACTIVE","DENY"))</x:f>
        <x:v>OPEN</x:v>
      </x:c>
    </x:row>
    <x:row r="124">
      <x:c r="A124" s="10" t="str">
        <x:v>CH-119</x:v>
      </x:c>
      <x:c r="B124" s="10" t="str">
        <x:v>reader health</x:v>
      </x:c>
      <x:c r="C124" s="10" t="str">
        <x:v>ROOT-A</x:v>
      </x:c>
      <x:c r="D124" s="10" t="str">
        <x:v>WIT-23</x:v>
      </x:c>
      <x:c r="E124" s="12"/>
      <x:c r="F124" s="10" t="str">
        <x:f>IF(E124="","OPEN",IF(E124="CURRENT","ACTIVE","DENY"))</x:f>
        <x:v>OPEN</x:v>
      </x:c>
    </x:row>
    <x:row r="125">
      <x:c r="A125" s="10" t="str">
        <x:v>CH-120</x:v>
      </x:c>
      <x:c r="B125" s="10" t="str">
        <x:v>clock integrity</x:v>
      </x:c>
      <x:c r="C125" s="10" t="str">
        <x:v>ROOT-B</x:v>
      </x:c>
      <x:c r="D125" s="10" t="str">
        <x:v>WIT-24</x:v>
      </x:c>
      <x:c r="E125" s="12"/>
      <x:c r="F125" s="10" t="str">
        <x:f>IF(E125="","OPEN",IF(E125="CURRENT","ACTIVE","DENY"))</x:f>
        <x:v>OPEN</x:v>
      </x:c>
    </x:row>
    <x:row r="126">
      <x:c r="A126" s="10" t="str">
        <x:v>CH-121</x:v>
      </x:c>
      <x:c r="B126" s="10" t="str">
        <x:v>water inventory</x:v>
      </x:c>
      <x:c r="C126" s="10" t="str">
        <x:v>ROOT-A</x:v>
      </x:c>
      <x:c r="D126" s="10" t="str">
        <x:v>WIT-01</x:v>
      </x:c>
      <x:c r="E126" s="12"/>
      <x:c r="F126" s="10" t="str">
        <x:f>IF(E126="","OPEN",IF(E126="CURRENT","ACTIVE","DENY"))</x:f>
        <x:v>OPEN</x:v>
      </x:c>
    </x:row>
    <x:row r="127">
      <x:c r="A127" s="10" t="str">
        <x:v>CH-122</x:v>
      </x:c>
      <x:c r="B127" s="10" t="str">
        <x:v>simulant inventory</x:v>
      </x:c>
      <x:c r="C127" s="10" t="str">
        <x:v>ROOT-B</x:v>
      </x:c>
      <x:c r="D127" s="10" t="str">
        <x:v>WIT-02</x:v>
      </x:c>
      <x:c r="E127" s="12"/>
      <x:c r="F127" s="10" t="str">
        <x:f>IF(E127="","OPEN",IF(E127="CURRENT","ACTIVE","DENY"))</x:f>
        <x:v>OPEN</x:v>
      </x:c>
    </x:row>
    <x:row r="128">
      <x:c r="A128" s="10" t="str">
        <x:v>CH-123</x:v>
      </x:c>
      <x:c r="B128" s="10" t="str">
        <x:v>phase boundary</x:v>
      </x:c>
      <x:c r="C128" s="10" t="str">
        <x:v>ROOT-A</x:v>
      </x:c>
      <x:c r="D128" s="10" t="str">
        <x:v>WIT-03</x:v>
      </x:c>
      <x:c r="E128" s="12"/>
      <x:c r="F128" s="10" t="str">
        <x:f>IF(E128="","OPEN",IF(E128="CURRENT","ACTIVE","DENY"))</x:f>
        <x:v>OPEN</x:v>
      </x:c>
    </x:row>
    <x:row r="129">
      <x:c r="A129" s="10" t="str">
        <x:v>CH-124</x:v>
      </x:c>
      <x:c r="B129" s="10" t="str">
        <x:v>ancestry code</x:v>
      </x:c>
      <x:c r="C129" s="10" t="str">
        <x:v>ROOT-B</x:v>
      </x:c>
      <x:c r="D129" s="10" t="str">
        <x:v>WIT-04</x:v>
      </x:c>
      <x:c r="E129" s="12"/>
      <x:c r="F129" s="10" t="str">
        <x:f>IF(E129="","OPEN",IF(E129="CURRENT","ACTIVE","DENY"))</x:f>
        <x:v>OPEN</x:v>
      </x:c>
    </x:row>
    <x:row r="130">
      <x:c r="A130" s="10" t="str">
        <x:v>CH-125</x:v>
      </x:c>
      <x:c r="B130" s="10" t="str">
        <x:v>carryover</x:v>
      </x:c>
      <x:c r="C130" s="10" t="str">
        <x:v>ROOT-A</x:v>
      </x:c>
      <x:c r="D130" s="10" t="str">
        <x:v>WIT-05</x:v>
      </x:c>
      <x:c r="E130" s="12"/>
      <x:c r="F130" s="10" t="str">
        <x:f>IF(E130="","OPEN",IF(E130="CURRENT","ACTIVE","DENY"))</x:f>
        <x:v>OPEN</x:v>
      </x:c>
    </x:row>
    <x:row r="131">
      <x:c r="A131" s="10" t="str">
        <x:v>CH-126</x:v>
      </x:c>
      <x:c r="B131" s="10" t="str">
        <x:v>environment</x:v>
      </x:c>
      <x:c r="C131" s="10" t="str">
        <x:v>ROOT-B</x:v>
      </x:c>
      <x:c r="D131" s="10" t="str">
        <x:v>WIT-06</x:v>
      </x:c>
      <x:c r="E131" s="12"/>
      <x:c r="F131" s="10" t="str">
        <x:f>IF(E131="","OPEN",IF(E131="CURRENT","ACTIVE","DENY"))</x:f>
        <x:v>OPEN</x:v>
      </x:c>
    </x:row>
    <x:row r="132">
      <x:c r="A132" s="10" t="str">
        <x:v>CH-127</x:v>
      </x:c>
      <x:c r="B132" s="10" t="str">
        <x:v>casualty</x:v>
      </x:c>
      <x:c r="C132" s="10" t="str">
        <x:v>ROOT-A</x:v>
      </x:c>
      <x:c r="D132" s="10" t="str">
        <x:v>WIT-07</x:v>
      </x:c>
      <x:c r="E132" s="12"/>
      <x:c r="F132" s="10" t="str">
        <x:f>IF(E132="","OPEN",IF(E132="CURRENT","ACTIVE","DENY"))</x:f>
        <x:v>OPEN</x:v>
      </x:c>
    </x:row>
    <x:row r="133">
      <x:c r="A133" s="10" t="str">
        <x:v>CH-128</x:v>
      </x:c>
      <x:c r="B133" s="10" t="str">
        <x:v>cell state</x:v>
      </x:c>
      <x:c r="C133" s="10" t="str">
        <x:v>ROOT-B</x:v>
      </x:c>
      <x:c r="D133" s="10" t="str">
        <x:v>WIT-08</x:v>
      </x:c>
      <x:c r="E133" s="12"/>
      <x:c r="F133" s="10" t="str">
        <x:f>IF(E133="","OPEN",IF(E133="CURRENT","ACTIVE","DENY"))</x:f>
        <x:v>OPEN</x:v>
      </x:c>
    </x:row>
    <x:row r="134">
      <x:c r="A134" s="10" t="str">
        <x:v>CH-129</x:v>
      </x:c>
      <x:c r="B134" s="10" t="str">
        <x:v>separation</x:v>
      </x:c>
      <x:c r="C134" s="10" t="str">
        <x:v>ROOT-A</x:v>
      </x:c>
      <x:c r="D134" s="10" t="str">
        <x:v>WIT-09</x:v>
      </x:c>
      <x:c r="E134" s="12"/>
      <x:c r="F134" s="10" t="str">
        <x:f>IF(E134="","OPEN",IF(E134="CURRENT","ACTIVE","DENY"))</x:f>
        <x:v>OPEN</x:v>
      </x:c>
    </x:row>
    <x:row r="135">
      <x:c r="A135" s="10" t="str">
        <x:v>CH-130</x:v>
      </x:c>
      <x:c r="B135" s="10" t="str">
        <x:v>return</x:v>
      </x:c>
      <x:c r="C135" s="10" t="str">
        <x:v>ROOT-B</x:v>
      </x:c>
      <x:c r="D135" s="10" t="str">
        <x:v>WIT-10</x:v>
      </x:c>
      <x:c r="E135" s="12"/>
      <x:c r="F135" s="10" t="str">
        <x:f>IF(E135="","OPEN",IF(E135="CURRENT","ACTIVE","DENY"))</x:f>
        <x:v>OPEN</x:v>
      </x:c>
    </x:row>
    <x:row r="136">
      <x:c r="A136" s="10" t="str">
        <x:v>CH-131</x:v>
      </x:c>
      <x:c r="B136" s="10" t="str">
        <x:v>reader health</x:v>
      </x:c>
      <x:c r="C136" s="10" t="str">
        <x:v>ROOT-A</x:v>
      </x:c>
      <x:c r="D136" s="10" t="str">
        <x:v>WIT-11</x:v>
      </x:c>
      <x:c r="E136" s="12"/>
      <x:c r="F136" s="10" t="str">
        <x:f>IF(E136="","OPEN",IF(E136="CURRENT","ACTIVE","DENY"))</x:f>
        <x:v>OPEN</x:v>
      </x:c>
    </x:row>
    <x:row r="137">
      <x:c r="A137" s="10" t="str">
        <x:v>CH-132</x:v>
      </x:c>
      <x:c r="B137" s="10" t="str">
        <x:v>clock integrity</x:v>
      </x:c>
      <x:c r="C137" s="10" t="str">
        <x:v>ROOT-B</x:v>
      </x:c>
      <x:c r="D137" s="10" t="str">
        <x:v>WIT-12</x:v>
      </x:c>
      <x:c r="E137" s="12"/>
      <x:c r="F137" s="10" t="str">
        <x:f>IF(E137="","OPEN",IF(E137="CURRENT","ACTIVE","DENY"))</x:f>
        <x:v>OPEN</x:v>
      </x:c>
    </x:row>
    <x:row r="138">
      <x:c r="A138" s="10" t="str">
        <x:v>CH-133</x:v>
      </x:c>
      <x:c r="B138" s="10" t="str">
        <x:v>water inventory</x:v>
      </x:c>
      <x:c r="C138" s="10" t="str">
        <x:v>ROOT-A</x:v>
      </x:c>
      <x:c r="D138" s="10" t="str">
        <x:v>WIT-13</x:v>
      </x:c>
      <x:c r="E138" s="12"/>
      <x:c r="F138" s="10" t="str">
        <x:f>IF(E138="","OPEN",IF(E138="CURRENT","ACTIVE","DENY"))</x:f>
        <x:v>OPEN</x:v>
      </x:c>
    </x:row>
    <x:row r="139">
      <x:c r="A139" s="10" t="str">
        <x:v>CH-134</x:v>
      </x:c>
      <x:c r="B139" s="10" t="str">
        <x:v>simulant inventory</x:v>
      </x:c>
      <x:c r="C139" s="10" t="str">
        <x:v>ROOT-B</x:v>
      </x:c>
      <x:c r="D139" s="10" t="str">
        <x:v>WIT-14</x:v>
      </x:c>
      <x:c r="E139" s="12"/>
      <x:c r="F139" s="10" t="str">
        <x:f>IF(E139="","OPEN",IF(E139="CURRENT","ACTIVE","DENY"))</x:f>
        <x:v>OPEN</x:v>
      </x:c>
    </x:row>
    <x:row r="140">
      <x:c r="A140" s="10" t="str">
        <x:v>CH-135</x:v>
      </x:c>
      <x:c r="B140" s="10" t="str">
        <x:v>phase boundary</x:v>
      </x:c>
      <x:c r="C140" s="10" t="str">
        <x:v>ROOT-A</x:v>
      </x:c>
      <x:c r="D140" s="10" t="str">
        <x:v>WIT-15</x:v>
      </x:c>
      <x:c r="E140" s="12"/>
      <x:c r="F140" s="10" t="str">
        <x:f>IF(E140="","OPEN",IF(E140="CURRENT","ACTIVE","DENY"))</x:f>
        <x:v>OPEN</x:v>
      </x:c>
    </x:row>
    <x:row r="141">
      <x:c r="A141" s="10" t="str">
        <x:v>CH-136</x:v>
      </x:c>
      <x:c r="B141" s="10" t="str">
        <x:v>ancestry code</x:v>
      </x:c>
      <x:c r="C141" s="10" t="str">
        <x:v>ROOT-B</x:v>
      </x:c>
      <x:c r="D141" s="10" t="str">
        <x:v>WIT-16</x:v>
      </x:c>
      <x:c r="E141" s="12"/>
      <x:c r="F141" s="10" t="str">
        <x:f>IF(E141="","OPEN",IF(E141="CURRENT","ACTIVE","DENY"))</x:f>
        <x:v>OPEN</x:v>
      </x:c>
    </x:row>
    <x:row r="142">
      <x:c r="A142" s="10" t="str">
        <x:v>CH-137</x:v>
      </x:c>
      <x:c r="B142" s="10" t="str">
        <x:v>carryover</x:v>
      </x:c>
      <x:c r="C142" s="10" t="str">
        <x:v>ROOT-A</x:v>
      </x:c>
      <x:c r="D142" s="10" t="str">
        <x:v>WIT-17</x:v>
      </x:c>
      <x:c r="E142" s="12"/>
      <x:c r="F142" s="10" t="str">
        <x:f>IF(E142="","OPEN",IF(E142="CURRENT","ACTIVE","DENY"))</x:f>
        <x:v>OPEN</x:v>
      </x:c>
    </x:row>
    <x:row r="143">
      <x:c r="A143" s="10" t="str">
        <x:v>CH-138</x:v>
      </x:c>
      <x:c r="B143" s="10" t="str">
        <x:v>environment</x:v>
      </x:c>
      <x:c r="C143" s="10" t="str">
        <x:v>ROOT-B</x:v>
      </x:c>
      <x:c r="D143" s="10" t="str">
        <x:v>WIT-18</x:v>
      </x:c>
      <x:c r="E143" s="12"/>
      <x:c r="F143" s="10" t="str">
        <x:f>IF(E143="","OPEN",IF(E143="CURRENT","ACTIVE","DENY"))</x:f>
        <x:v>OPEN</x:v>
      </x:c>
    </x:row>
    <x:row r="144">
      <x:c r="A144" s="10" t="str">
        <x:v>CH-139</x:v>
      </x:c>
      <x:c r="B144" s="10" t="str">
        <x:v>casualty</x:v>
      </x:c>
      <x:c r="C144" s="10" t="str">
        <x:v>ROOT-A</x:v>
      </x:c>
      <x:c r="D144" s="10" t="str">
        <x:v>WIT-19</x:v>
      </x:c>
      <x:c r="E144" s="12"/>
      <x:c r="F144" s="10" t="str">
        <x:f>IF(E144="","OPEN",IF(E144="CURRENT","ACTIVE","DENY"))</x:f>
        <x:v>OPEN</x:v>
      </x:c>
    </x:row>
    <x:row r="145">
      <x:c r="A145" s="10" t="str">
        <x:v>CH-140</x:v>
      </x:c>
      <x:c r="B145" s="10" t="str">
        <x:v>cell state</x:v>
      </x:c>
      <x:c r="C145" s="10" t="str">
        <x:v>ROOT-B</x:v>
      </x:c>
      <x:c r="D145" s="10" t="str">
        <x:v>WIT-20</x:v>
      </x:c>
      <x:c r="E145" s="12"/>
      <x:c r="F145" s="10" t="str">
        <x:f>IF(E145="","OPEN",IF(E145="CURRENT","ACTIVE","DENY"))</x:f>
        <x:v>OPEN</x:v>
      </x:c>
    </x:row>
    <x:row r="146">
      <x:c r="A146" s="10" t="str">
        <x:v>CH-141</x:v>
      </x:c>
      <x:c r="B146" s="10" t="str">
        <x:v>separation</x:v>
      </x:c>
      <x:c r="C146" s="10" t="str">
        <x:v>ROOT-A</x:v>
      </x:c>
      <x:c r="D146" s="10" t="str">
        <x:v>WIT-21</x:v>
      </x:c>
      <x:c r="E146" s="12"/>
      <x:c r="F146" s="10" t="str">
        <x:f>IF(E146="","OPEN",IF(E146="CURRENT","ACTIVE","DENY"))</x:f>
        <x:v>OPEN</x:v>
      </x:c>
    </x:row>
    <x:row r="147">
      <x:c r="A147" s="10" t="str">
        <x:v>CH-142</x:v>
      </x:c>
      <x:c r="B147" s="10" t="str">
        <x:v>return</x:v>
      </x:c>
      <x:c r="C147" s="10" t="str">
        <x:v>ROOT-B</x:v>
      </x:c>
      <x:c r="D147" s="10" t="str">
        <x:v>WIT-22</x:v>
      </x:c>
      <x:c r="E147" s="12"/>
      <x:c r="F147" s="10" t="str">
        <x:f>IF(E147="","OPEN",IF(E147="CURRENT","ACTIVE","DENY"))</x:f>
        <x:v>OPEN</x:v>
      </x:c>
    </x:row>
    <x:row r="148">
      <x:c r="A148" s="10" t="str">
        <x:v>CH-143</x:v>
      </x:c>
      <x:c r="B148" s="10" t="str">
        <x:v>reader health</x:v>
      </x:c>
      <x:c r="C148" s="10" t="str">
        <x:v>ROOT-A</x:v>
      </x:c>
      <x:c r="D148" s="10" t="str">
        <x:v>WIT-23</x:v>
      </x:c>
      <x:c r="E148" s="12"/>
      <x:c r="F148" s="10" t="str">
        <x:f>IF(E148="","OPEN",IF(E148="CURRENT","ACTIVE","DENY"))</x:f>
        <x:v>OPEN</x:v>
      </x:c>
    </x:row>
    <x:row r="149">
      <x:c r="A149" s="10" t="str">
        <x:v>CH-144</x:v>
      </x:c>
      <x:c r="B149" s="10" t="str">
        <x:v>clock integrity</x:v>
      </x:c>
      <x:c r="C149" s="10" t="str">
        <x:v>ROOT-B</x:v>
      </x:c>
      <x:c r="D149" s="10" t="str">
        <x:v>WIT-24</x:v>
      </x:c>
      <x:c r="E149" s="12"/>
      <x:c r="F149" s="10" t="str">
        <x:f>IF(E149="","OPEN",IF(E149="CURRENT","ACTIVE","DENY"))</x:f>
        <x:v>OPEN</x:v>
      </x:c>
    </x:row>
    <x:row r="150">
      <x:c r="A150" s="10" t="str">
        <x:v>CH-145</x:v>
      </x:c>
      <x:c r="B150" s="10" t="str">
        <x:v>water inventory</x:v>
      </x:c>
      <x:c r="C150" s="10" t="str">
        <x:v>ROOT-A</x:v>
      </x:c>
      <x:c r="D150" s="10" t="str">
        <x:v>WIT-01</x:v>
      </x:c>
      <x:c r="E150" s="12"/>
      <x:c r="F150" s="10" t="str">
        <x:f>IF(E150="","OPEN",IF(E150="CURRENT","ACTIVE","DENY"))</x:f>
        <x:v>OPEN</x:v>
      </x:c>
    </x:row>
    <x:row r="151">
      <x:c r="A151" s="10" t="str">
        <x:v>CH-146</x:v>
      </x:c>
      <x:c r="B151" s="10" t="str">
        <x:v>simulant inventory</x:v>
      </x:c>
      <x:c r="C151" s="10" t="str">
        <x:v>ROOT-B</x:v>
      </x:c>
      <x:c r="D151" s="10" t="str">
        <x:v>WIT-02</x:v>
      </x:c>
      <x:c r="E151" s="12"/>
      <x:c r="F151" s="10" t="str">
        <x:f>IF(E151="","OPEN",IF(E151="CURRENT","ACTIVE","DENY"))</x:f>
        <x:v>OPEN</x:v>
      </x:c>
    </x:row>
    <x:row r="152">
      <x:c r="A152" s="10" t="str">
        <x:v>CH-147</x:v>
      </x:c>
      <x:c r="B152" s="10" t="str">
        <x:v>phase boundary</x:v>
      </x:c>
      <x:c r="C152" s="10" t="str">
        <x:v>ROOT-A</x:v>
      </x:c>
      <x:c r="D152" s="10" t="str">
        <x:v>WIT-03</x:v>
      </x:c>
      <x:c r="E152" s="12"/>
      <x:c r="F152" s="10" t="str">
        <x:f>IF(E152="","OPEN",IF(E152="CURRENT","ACTIVE","DENY"))</x:f>
        <x:v>OPEN</x:v>
      </x:c>
    </x:row>
    <x:row r="153">
      <x:c r="A153" s="10" t="str">
        <x:v>CH-148</x:v>
      </x:c>
      <x:c r="B153" s="10" t="str">
        <x:v>ancestry code</x:v>
      </x:c>
      <x:c r="C153" s="10" t="str">
        <x:v>ROOT-B</x:v>
      </x:c>
      <x:c r="D153" s="10" t="str">
        <x:v>WIT-04</x:v>
      </x:c>
      <x:c r="E153" s="12"/>
      <x:c r="F153" s="10" t="str">
        <x:f>IF(E153="","OPEN",IF(E153="CURRENT","ACTIVE","DENY"))</x:f>
        <x:v>OPEN</x:v>
      </x:c>
    </x:row>
    <x:row r="154">
      <x:c r="A154" s="10" t="str">
        <x:v>CH-149</x:v>
      </x:c>
      <x:c r="B154" s="10" t="str">
        <x:v>carryover</x:v>
      </x:c>
      <x:c r="C154" s="10" t="str">
        <x:v>ROOT-A</x:v>
      </x:c>
      <x:c r="D154" s="10" t="str">
        <x:v>WIT-05</x:v>
      </x:c>
      <x:c r="E154" s="12"/>
      <x:c r="F154" s="10" t="str">
        <x:f>IF(E154="","OPEN",IF(E154="CURRENT","ACTIVE","DENY"))</x:f>
        <x:v>OPEN</x:v>
      </x:c>
    </x:row>
    <x:row r="155">
      <x:c r="A155" s="10" t="str">
        <x:v>CH-150</x:v>
      </x:c>
      <x:c r="B155" s="10" t="str">
        <x:v>environment</x:v>
      </x:c>
      <x:c r="C155" s="10" t="str">
        <x:v>ROOT-B</x:v>
      </x:c>
      <x:c r="D155" s="10" t="str">
        <x:v>WIT-06</x:v>
      </x:c>
      <x:c r="E155" s="12"/>
      <x:c r="F155" s="10" t="str">
        <x:f>IF(E155="","OPEN",IF(E155="CURRENT","ACTIVE","DENY"))</x:f>
        <x:v>OPEN</x:v>
      </x:c>
    </x:row>
    <x:row r="156">
      <x:c r="A156" s="10" t="str">
        <x:v>CH-151</x:v>
      </x:c>
      <x:c r="B156" s="10" t="str">
        <x:v>casualty</x:v>
      </x:c>
      <x:c r="C156" s="10" t="str">
        <x:v>ROOT-A</x:v>
      </x:c>
      <x:c r="D156" s="10" t="str">
        <x:v>WIT-07</x:v>
      </x:c>
      <x:c r="E156" s="12"/>
      <x:c r="F156" s="10" t="str">
        <x:f>IF(E156="","OPEN",IF(E156="CURRENT","ACTIVE","DENY"))</x:f>
        <x:v>OPEN</x:v>
      </x:c>
    </x:row>
    <x:row r="157">
      <x:c r="A157" s="10" t="str">
        <x:v>CH-152</x:v>
      </x:c>
      <x:c r="B157" s="10" t="str">
        <x:v>cell state</x:v>
      </x:c>
      <x:c r="C157" s="10" t="str">
        <x:v>ROOT-B</x:v>
      </x:c>
      <x:c r="D157" s="10" t="str">
        <x:v>WIT-08</x:v>
      </x:c>
      <x:c r="E157" s="12"/>
      <x:c r="F157" s="10" t="str">
        <x:f>IF(E157="","OPEN",IF(E157="CURRENT","ACTIVE","DENY"))</x:f>
        <x:v>OPEN</x:v>
      </x:c>
    </x:row>
    <x:row r="158">
      <x:c r="A158" s="10" t="str">
        <x:v>CH-153</x:v>
      </x:c>
      <x:c r="B158" s="10" t="str">
        <x:v>separation</x:v>
      </x:c>
      <x:c r="C158" s="10" t="str">
        <x:v>ROOT-A</x:v>
      </x:c>
      <x:c r="D158" s="10" t="str">
        <x:v>WIT-09</x:v>
      </x:c>
      <x:c r="E158" s="12"/>
      <x:c r="F158" s="10" t="str">
        <x:f>IF(E158="","OPEN",IF(E158="CURRENT","ACTIVE","DENY"))</x:f>
        <x:v>OPEN</x:v>
      </x:c>
    </x:row>
    <x:row r="159">
      <x:c r="A159" s="10" t="str">
        <x:v>CH-154</x:v>
      </x:c>
      <x:c r="B159" s="10" t="str">
        <x:v>return</x:v>
      </x:c>
      <x:c r="C159" s="10" t="str">
        <x:v>ROOT-B</x:v>
      </x:c>
      <x:c r="D159" s="10" t="str">
        <x:v>WIT-10</x:v>
      </x:c>
      <x:c r="E159" s="12"/>
      <x:c r="F159" s="10" t="str">
        <x:f>IF(E159="","OPEN",IF(E159="CURRENT","ACTIVE","DENY"))</x:f>
        <x:v>OPEN</x:v>
      </x:c>
    </x:row>
    <x:row r="160">
      <x:c r="A160" s="10" t="str">
        <x:v>CH-155</x:v>
      </x:c>
      <x:c r="B160" s="10" t="str">
        <x:v>reader health</x:v>
      </x:c>
      <x:c r="C160" s="10" t="str">
        <x:v>ROOT-A</x:v>
      </x:c>
      <x:c r="D160" s="10" t="str">
        <x:v>WIT-11</x:v>
      </x:c>
      <x:c r="E160" s="12"/>
      <x:c r="F160" s="10" t="str">
        <x:f>IF(E160="","OPEN",IF(E160="CURRENT","ACTIVE","DENY"))</x:f>
        <x:v>OPEN</x:v>
      </x:c>
    </x:row>
    <x:row r="161">
      <x:c r="A161" s="10" t="str">
        <x:v>CH-156</x:v>
      </x:c>
      <x:c r="B161" s="10" t="str">
        <x:v>clock integrity</x:v>
      </x:c>
      <x:c r="C161" s="10" t="str">
        <x:v>ROOT-B</x:v>
      </x:c>
      <x:c r="D161" s="10" t="str">
        <x:v>WIT-12</x:v>
      </x:c>
      <x:c r="E161" s="12"/>
      <x:c r="F161" s="10" t="str">
        <x:f>IF(E161="","OPEN",IF(E161="CURRENT","ACTIVE","DENY"))</x:f>
        <x:v>OPEN</x:v>
      </x:c>
    </x:row>
    <x:row r="162">
      <x:c r="A162" s="10" t="str">
        <x:v>CH-157</x:v>
      </x:c>
      <x:c r="B162" s="10" t="str">
        <x:v>water inventory</x:v>
      </x:c>
      <x:c r="C162" s="10" t="str">
        <x:v>ROOT-A</x:v>
      </x:c>
      <x:c r="D162" s="10" t="str">
        <x:v>WIT-13</x:v>
      </x:c>
      <x:c r="E162" s="12"/>
      <x:c r="F162" s="10" t="str">
        <x:f>IF(E162="","OPEN",IF(E162="CURRENT","ACTIVE","DENY"))</x:f>
        <x:v>OPEN</x:v>
      </x:c>
    </x:row>
    <x:row r="163">
      <x:c r="A163" s="10" t="str">
        <x:v>CH-158</x:v>
      </x:c>
      <x:c r="B163" s="10" t="str">
        <x:v>simulant inventory</x:v>
      </x:c>
      <x:c r="C163" s="10" t="str">
        <x:v>ROOT-B</x:v>
      </x:c>
      <x:c r="D163" s="10" t="str">
        <x:v>WIT-14</x:v>
      </x:c>
      <x:c r="E163" s="12"/>
      <x:c r="F163" s="10" t="str">
        <x:f>IF(E163="","OPEN",IF(E163="CURRENT","ACTIVE","DENY"))</x:f>
        <x:v>OPEN</x:v>
      </x:c>
    </x:row>
    <x:row r="164">
      <x:c r="A164" s="10" t="str">
        <x:v>CH-159</x:v>
      </x:c>
      <x:c r="B164" s="10" t="str">
        <x:v>phase boundary</x:v>
      </x:c>
      <x:c r="C164" s="10" t="str">
        <x:v>ROOT-A</x:v>
      </x:c>
      <x:c r="D164" s="10" t="str">
        <x:v>WIT-15</x:v>
      </x:c>
      <x:c r="E164" s="12"/>
      <x:c r="F164" s="10" t="str">
        <x:f>IF(E164="","OPEN",IF(E164="CURRENT","ACTIVE","DENY"))</x:f>
        <x:v>OPEN</x:v>
      </x:c>
    </x:row>
    <x:row r="165">
      <x:c r="A165" s="10" t="str">
        <x:v>CH-160</x:v>
      </x:c>
      <x:c r="B165" s="10" t="str">
        <x:v>ancestry code</x:v>
      </x:c>
      <x:c r="C165" s="10" t="str">
        <x:v>ROOT-B</x:v>
      </x:c>
      <x:c r="D165" s="10" t="str">
        <x:v>WIT-16</x:v>
      </x:c>
      <x:c r="E165" s="12"/>
      <x:c r="F165" s="10" t="str">
        <x:f>IF(E165="","OPEN",IF(E165="CURRENT","ACTIVE","DENY"))</x:f>
        <x:v>OPEN</x:v>
      </x:c>
    </x:row>
    <x:row r="166">
      <x:c r="A166" s="10" t="str">
        <x:v>CH-161</x:v>
      </x:c>
      <x:c r="B166" s="10" t="str">
        <x:v>carryover</x:v>
      </x:c>
      <x:c r="C166" s="10" t="str">
        <x:v>ROOT-A</x:v>
      </x:c>
      <x:c r="D166" s="10" t="str">
        <x:v>WIT-17</x:v>
      </x:c>
      <x:c r="E166" s="12"/>
      <x:c r="F166" s="10" t="str">
        <x:f>IF(E166="","OPEN",IF(E166="CURRENT","ACTIVE","DENY"))</x:f>
        <x:v>OPEN</x:v>
      </x:c>
    </x:row>
    <x:row r="167">
      <x:c r="A167" s="10" t="str">
        <x:v>CH-162</x:v>
      </x:c>
      <x:c r="B167" s="10" t="str">
        <x:v>environment</x:v>
      </x:c>
      <x:c r="C167" s="10" t="str">
        <x:v>ROOT-B</x:v>
      </x:c>
      <x:c r="D167" s="10" t="str">
        <x:v>WIT-18</x:v>
      </x:c>
      <x:c r="E167" s="12"/>
      <x:c r="F167" s="10" t="str">
        <x:f>IF(E167="","OPEN",IF(E167="CURRENT","ACTIVE","DENY"))</x:f>
        <x:v>OPEN</x:v>
      </x:c>
    </x:row>
    <x:row r="168">
      <x:c r="A168" s="10" t="str">
        <x:v>CH-163</x:v>
      </x:c>
      <x:c r="B168" s="10" t="str">
        <x:v>casualty</x:v>
      </x:c>
      <x:c r="C168" s="10" t="str">
        <x:v>ROOT-A</x:v>
      </x:c>
      <x:c r="D168" s="10" t="str">
        <x:v>WIT-19</x:v>
      </x:c>
      <x:c r="E168" s="12"/>
      <x:c r="F168" s="10" t="str">
        <x:f>IF(E168="","OPEN",IF(E168="CURRENT","ACTIVE","DENY"))</x:f>
        <x:v>OPEN</x:v>
      </x:c>
    </x:row>
    <x:row r="169">
      <x:c r="A169" s="10" t="str">
        <x:v>CH-164</x:v>
      </x:c>
      <x:c r="B169" s="10" t="str">
        <x:v>cell state</x:v>
      </x:c>
      <x:c r="C169" s="10" t="str">
        <x:v>ROOT-B</x:v>
      </x:c>
      <x:c r="D169" s="10" t="str">
        <x:v>WIT-20</x:v>
      </x:c>
      <x:c r="E169" s="12"/>
      <x:c r="F169" s="10" t="str">
        <x:f>IF(E169="","OPEN",IF(E169="CURRENT","ACTIVE","DENY"))</x:f>
        <x:v>OPEN</x:v>
      </x:c>
    </x:row>
    <x:row r="170">
      <x:c r="A170" s="10" t="str">
        <x:v>CH-165</x:v>
      </x:c>
      <x:c r="B170" s="10" t="str">
        <x:v>separation</x:v>
      </x:c>
      <x:c r="C170" s="10" t="str">
        <x:v>ROOT-A</x:v>
      </x:c>
      <x:c r="D170" s="10" t="str">
        <x:v>WIT-21</x:v>
      </x:c>
      <x:c r="E170" s="12"/>
      <x:c r="F170" s="10" t="str">
        <x:f>IF(E170="","OPEN",IF(E170="CURRENT","ACTIVE","DENY"))</x:f>
        <x:v>OPEN</x:v>
      </x:c>
    </x:row>
    <x:row r="171">
      <x:c r="A171" s="10" t="str">
        <x:v>CH-166</x:v>
      </x:c>
      <x:c r="B171" s="10" t="str">
        <x:v>return</x:v>
      </x:c>
      <x:c r="C171" s="10" t="str">
        <x:v>ROOT-B</x:v>
      </x:c>
      <x:c r="D171" s="10" t="str">
        <x:v>WIT-22</x:v>
      </x:c>
      <x:c r="E171" s="12"/>
      <x:c r="F171" s="10" t="str">
        <x:f>IF(E171="","OPEN",IF(E171="CURRENT","ACTIVE","DENY"))</x:f>
        <x:v>OPEN</x:v>
      </x:c>
    </x:row>
    <x:row r="172">
      <x:c r="A172" s="10" t="str">
        <x:v>CH-167</x:v>
      </x:c>
      <x:c r="B172" s="10" t="str">
        <x:v>reader health</x:v>
      </x:c>
      <x:c r="C172" s="10" t="str">
        <x:v>ROOT-A</x:v>
      </x:c>
      <x:c r="D172" s="10" t="str">
        <x:v>WIT-23</x:v>
      </x:c>
      <x:c r="E172" s="12"/>
      <x:c r="F172" s="10" t="str">
        <x:f>IF(E172="","OPEN",IF(E172="CURRENT","ACTIVE","DENY"))</x:f>
        <x:v>OPEN</x:v>
      </x:c>
    </x:row>
    <x:row r="173">
      <x:c r="A173" s="10" t="str">
        <x:v>CH-168</x:v>
      </x:c>
      <x:c r="B173" s="10" t="str">
        <x:v>clock integrity</x:v>
      </x:c>
      <x:c r="C173" s="10" t="str">
        <x:v>ROOT-B</x:v>
      </x:c>
      <x:c r="D173" s="10" t="str">
        <x:v>WIT-24</x:v>
      </x:c>
      <x:c r="E173" s="12"/>
      <x:c r="F173" s="10" t="str">
        <x:f>IF(E173="","OPEN",IF(E173="CURRENT","ACTIVE","DENY"))</x:f>
        <x:v>OPEN</x:v>
      </x:c>
    </x:row>
    <x:row r="174">
      <x:c r="A174" s="10" t="str">
        <x:v>CH-169</x:v>
      </x:c>
      <x:c r="B174" s="10" t="str">
        <x:v>water inventory</x:v>
      </x:c>
      <x:c r="C174" s="10" t="str">
        <x:v>ROOT-A</x:v>
      </x:c>
      <x:c r="D174" s="10" t="str">
        <x:v>WIT-01</x:v>
      </x:c>
      <x:c r="E174" s="12"/>
      <x:c r="F174" s="10" t="str">
        <x:f>IF(E174="","OPEN",IF(E174="CURRENT","ACTIVE","DENY"))</x:f>
        <x:v>OPEN</x:v>
      </x:c>
    </x:row>
    <x:row r="175">
      <x:c r="A175" s="10" t="str">
        <x:v>CH-170</x:v>
      </x:c>
      <x:c r="B175" s="10" t="str">
        <x:v>simulant inventory</x:v>
      </x:c>
      <x:c r="C175" s="10" t="str">
        <x:v>ROOT-B</x:v>
      </x:c>
      <x:c r="D175" s="10" t="str">
        <x:v>WIT-02</x:v>
      </x:c>
      <x:c r="E175" s="12"/>
      <x:c r="F175" s="10" t="str">
        <x:f>IF(E175="","OPEN",IF(E175="CURRENT","ACTIVE","DENY"))</x:f>
        <x:v>OPEN</x:v>
      </x:c>
    </x:row>
    <x:row r="176">
      <x:c r="A176" s="10" t="str">
        <x:v>CH-171</x:v>
      </x:c>
      <x:c r="B176" s="10" t="str">
        <x:v>phase boundary</x:v>
      </x:c>
      <x:c r="C176" s="10" t="str">
        <x:v>ROOT-A</x:v>
      </x:c>
      <x:c r="D176" s="10" t="str">
        <x:v>WIT-03</x:v>
      </x:c>
      <x:c r="E176" s="12"/>
      <x:c r="F176" s="10" t="str">
        <x:f>IF(E176="","OPEN",IF(E176="CURRENT","ACTIVE","DENY"))</x:f>
        <x:v>OPEN</x:v>
      </x:c>
    </x:row>
    <x:row r="177">
      <x:c r="A177" s="10" t="str">
        <x:v>CH-172</x:v>
      </x:c>
      <x:c r="B177" s="10" t="str">
        <x:v>ancestry code</x:v>
      </x:c>
      <x:c r="C177" s="10" t="str">
        <x:v>ROOT-B</x:v>
      </x:c>
      <x:c r="D177" s="10" t="str">
        <x:v>WIT-04</x:v>
      </x:c>
      <x:c r="E177" s="12"/>
      <x:c r="F177" s="10" t="str">
        <x:f>IF(E177="","OPEN",IF(E177="CURRENT","ACTIVE","DENY"))</x:f>
        <x:v>OPEN</x:v>
      </x:c>
    </x:row>
    <x:row r="178">
      <x:c r="A178" s="10" t="str">
        <x:v>CH-173</x:v>
      </x:c>
      <x:c r="B178" s="10" t="str">
        <x:v>carryover</x:v>
      </x:c>
      <x:c r="C178" s="10" t="str">
        <x:v>ROOT-A</x:v>
      </x:c>
      <x:c r="D178" s="10" t="str">
        <x:v>WIT-05</x:v>
      </x:c>
      <x:c r="E178" s="12"/>
      <x:c r="F178" s="10" t="str">
        <x:f>IF(E178="","OPEN",IF(E178="CURRENT","ACTIVE","DENY"))</x:f>
        <x:v>OPEN</x:v>
      </x:c>
    </x:row>
    <x:row r="179">
      <x:c r="A179" s="10" t="str">
        <x:v>CH-174</x:v>
      </x:c>
      <x:c r="B179" s="10" t="str">
        <x:v>environment</x:v>
      </x:c>
      <x:c r="C179" s="10" t="str">
        <x:v>ROOT-B</x:v>
      </x:c>
      <x:c r="D179" s="10" t="str">
        <x:v>WIT-06</x:v>
      </x:c>
      <x:c r="E179" s="12"/>
      <x:c r="F179" s="10" t="str">
        <x:f>IF(E179="","OPEN",IF(E179="CURRENT","ACTIVE","DENY"))</x:f>
        <x:v>OPEN</x:v>
      </x:c>
    </x:row>
    <x:row r="180">
      <x:c r="A180" s="10" t="str">
        <x:v>CH-175</x:v>
      </x:c>
      <x:c r="B180" s="10" t="str">
        <x:v>casualty</x:v>
      </x:c>
      <x:c r="C180" s="10" t="str">
        <x:v>ROOT-A</x:v>
      </x:c>
      <x:c r="D180" s="10" t="str">
        <x:v>WIT-07</x:v>
      </x:c>
      <x:c r="E180" s="12"/>
      <x:c r="F180" s="10" t="str">
        <x:f>IF(E180="","OPEN",IF(E180="CURRENT","ACTIVE","DENY"))</x:f>
        <x:v>OPEN</x:v>
      </x:c>
    </x:row>
    <x:row r="181">
      <x:c r="A181" s="10" t="str">
        <x:v>CH-176</x:v>
      </x:c>
      <x:c r="B181" s="10" t="str">
        <x:v>cell state</x:v>
      </x:c>
      <x:c r="C181" s="10" t="str">
        <x:v>ROOT-B</x:v>
      </x:c>
      <x:c r="D181" s="10" t="str">
        <x:v>WIT-08</x:v>
      </x:c>
      <x:c r="E181" s="12"/>
      <x:c r="F181" s="10" t="str">
        <x:f>IF(E181="","OPEN",IF(E181="CURRENT","ACTIVE","DENY"))</x:f>
        <x:v>OPEN</x:v>
      </x:c>
    </x:row>
    <x:row r="182">
      <x:c r="A182" s="10" t="str">
        <x:v>CH-177</x:v>
      </x:c>
      <x:c r="B182" s="10" t="str">
        <x:v>separation</x:v>
      </x:c>
      <x:c r="C182" s="10" t="str">
        <x:v>ROOT-A</x:v>
      </x:c>
      <x:c r="D182" s="10" t="str">
        <x:v>WIT-09</x:v>
      </x:c>
      <x:c r="E182" s="12"/>
      <x:c r="F182" s="10" t="str">
        <x:f>IF(E182="","OPEN",IF(E182="CURRENT","ACTIVE","DENY"))</x:f>
        <x:v>OPEN</x:v>
      </x:c>
    </x:row>
    <x:row r="183">
      <x:c r="A183" s="10" t="str">
        <x:v>CH-178</x:v>
      </x:c>
      <x:c r="B183" s="10" t="str">
        <x:v>return</x:v>
      </x:c>
      <x:c r="C183" s="10" t="str">
        <x:v>ROOT-B</x:v>
      </x:c>
      <x:c r="D183" s="10" t="str">
        <x:v>WIT-10</x:v>
      </x:c>
      <x:c r="E183" s="12"/>
      <x:c r="F183" s="10" t="str">
        <x:f>IF(E183="","OPEN",IF(E183="CURRENT","ACTIVE","DENY"))</x:f>
        <x:v>OPEN</x:v>
      </x:c>
    </x:row>
    <x:row r="184">
      <x:c r="A184" s="10" t="str">
        <x:v>CH-179</x:v>
      </x:c>
      <x:c r="B184" s="10" t="str">
        <x:v>reader health</x:v>
      </x:c>
      <x:c r="C184" s="10" t="str">
        <x:v>ROOT-A</x:v>
      </x:c>
      <x:c r="D184" s="10" t="str">
        <x:v>WIT-11</x:v>
      </x:c>
      <x:c r="E184" s="12"/>
      <x:c r="F184" s="10" t="str">
        <x:f>IF(E184="","OPEN",IF(E184="CURRENT","ACTIVE","DENY"))</x:f>
        <x:v>OPEN</x:v>
      </x:c>
    </x:row>
    <x:row r="185">
      <x:c r="A185" s="10" t="str">
        <x:v>CH-180</x:v>
      </x:c>
      <x:c r="B185" s="10" t="str">
        <x:v>clock integrity</x:v>
      </x:c>
      <x:c r="C185" s="10" t="str">
        <x:v>ROOT-B</x:v>
      </x:c>
      <x:c r="D185" s="10" t="str">
        <x:v>WIT-12</x:v>
      </x:c>
      <x:c r="E185" s="12"/>
      <x:c r="F185" s="10" t="str">
        <x:f>IF(E185="","OPEN",IF(E185="CURRENT","ACTIVE","DENY"))</x:f>
        <x:v>OPEN</x:v>
      </x:c>
    </x:row>
    <x:row r="186">
      <x:c r="A186" s="10" t="str">
        <x:v>CH-181</x:v>
      </x:c>
      <x:c r="B186" s="10" t="str">
        <x:v>water inventory</x:v>
      </x:c>
      <x:c r="C186" s="10" t="str">
        <x:v>ROOT-A</x:v>
      </x:c>
      <x:c r="D186" s="10" t="str">
        <x:v>WIT-13</x:v>
      </x:c>
      <x:c r="E186" s="12"/>
      <x:c r="F186" s="10" t="str">
        <x:f>IF(E186="","OPEN",IF(E186="CURRENT","ACTIVE","DENY"))</x:f>
        <x:v>OPEN</x:v>
      </x:c>
    </x:row>
    <x:row r="187">
      <x:c r="A187" s="10" t="str">
        <x:v>CH-182</x:v>
      </x:c>
      <x:c r="B187" s="10" t="str">
        <x:v>simulant inventory</x:v>
      </x:c>
      <x:c r="C187" s="10" t="str">
        <x:v>ROOT-B</x:v>
      </x:c>
      <x:c r="D187" s="10" t="str">
        <x:v>WIT-14</x:v>
      </x:c>
      <x:c r="E187" s="12"/>
      <x:c r="F187" s="10" t="str">
        <x:f>IF(E187="","OPEN",IF(E187="CURRENT","ACTIVE","DENY"))</x:f>
        <x:v>OPEN</x:v>
      </x:c>
    </x:row>
    <x:row r="188">
      <x:c r="A188" s="10" t="str">
        <x:v>CH-183</x:v>
      </x:c>
      <x:c r="B188" s="10" t="str">
        <x:v>phase boundary</x:v>
      </x:c>
      <x:c r="C188" s="10" t="str">
        <x:v>ROOT-A</x:v>
      </x:c>
      <x:c r="D188" s="10" t="str">
        <x:v>WIT-15</x:v>
      </x:c>
      <x:c r="E188" s="12"/>
      <x:c r="F188" s="10" t="str">
        <x:f>IF(E188="","OPEN",IF(E188="CURRENT","ACTIVE","DENY"))</x:f>
        <x:v>OPEN</x:v>
      </x:c>
    </x:row>
    <x:row r="189">
      <x:c r="A189" s="10" t="str">
        <x:v>CH-184</x:v>
      </x:c>
      <x:c r="B189" s="10" t="str">
        <x:v>ancestry code</x:v>
      </x:c>
      <x:c r="C189" s="10" t="str">
        <x:v>ROOT-B</x:v>
      </x:c>
      <x:c r="D189" s="10" t="str">
        <x:v>WIT-16</x:v>
      </x:c>
      <x:c r="E189" s="12"/>
      <x:c r="F189" s="10" t="str">
        <x:f>IF(E189="","OPEN",IF(E189="CURRENT","ACTIVE","DENY"))</x:f>
        <x:v>OPEN</x:v>
      </x:c>
    </x:row>
    <x:row r="190">
      <x:c r="A190" s="10" t="str">
        <x:v>CH-185</x:v>
      </x:c>
      <x:c r="B190" s="10" t="str">
        <x:v>carryover</x:v>
      </x:c>
      <x:c r="C190" s="10" t="str">
        <x:v>ROOT-A</x:v>
      </x:c>
      <x:c r="D190" s="10" t="str">
        <x:v>WIT-17</x:v>
      </x:c>
      <x:c r="E190" s="12"/>
      <x:c r="F190" s="10" t="str">
        <x:f>IF(E190="","OPEN",IF(E190="CURRENT","ACTIVE","DENY"))</x:f>
        <x:v>OPEN</x:v>
      </x:c>
    </x:row>
    <x:row r="191">
      <x:c r="A191" s="10" t="str">
        <x:v>CH-186</x:v>
      </x:c>
      <x:c r="B191" s="10" t="str">
        <x:v>environment</x:v>
      </x:c>
      <x:c r="C191" s="10" t="str">
        <x:v>ROOT-B</x:v>
      </x:c>
      <x:c r="D191" s="10" t="str">
        <x:v>WIT-18</x:v>
      </x:c>
      <x:c r="E191" s="12"/>
      <x:c r="F191" s="10" t="str">
        <x:f>IF(E191="","OPEN",IF(E191="CURRENT","ACTIVE","DENY"))</x:f>
        <x:v>OPEN</x:v>
      </x:c>
    </x:row>
    <x:row r="192">
      <x:c r="A192" s="10" t="str">
        <x:v>CH-187</x:v>
      </x:c>
      <x:c r="B192" s="10" t="str">
        <x:v>casualty</x:v>
      </x:c>
      <x:c r="C192" s="10" t="str">
        <x:v>ROOT-A</x:v>
      </x:c>
      <x:c r="D192" s="10" t="str">
        <x:v>WIT-19</x:v>
      </x:c>
      <x:c r="E192" s="12"/>
      <x:c r="F192" s="10" t="str">
        <x:f>IF(E192="","OPEN",IF(E192="CURRENT","ACTIVE","DENY"))</x:f>
        <x:v>OPEN</x:v>
      </x:c>
    </x:row>
    <x:row r="193">
      <x:c r="A193" s="10" t="str">
        <x:v>CH-188</x:v>
      </x:c>
      <x:c r="B193" s="10" t="str">
        <x:v>cell state</x:v>
      </x:c>
      <x:c r="C193" s="10" t="str">
        <x:v>ROOT-B</x:v>
      </x:c>
      <x:c r="D193" s="10" t="str">
        <x:v>WIT-20</x:v>
      </x:c>
      <x:c r="E193" s="12"/>
      <x:c r="F193" s="10" t="str">
        <x:f>IF(E193="","OPEN",IF(E193="CURRENT","ACTIVE","DENY"))</x:f>
        <x:v>OPEN</x:v>
      </x:c>
    </x:row>
    <x:row r="194">
      <x:c r="A194" s="10" t="str">
        <x:v>CH-189</x:v>
      </x:c>
      <x:c r="B194" s="10" t="str">
        <x:v>separation</x:v>
      </x:c>
      <x:c r="C194" s="10" t="str">
        <x:v>ROOT-A</x:v>
      </x:c>
      <x:c r="D194" s="10" t="str">
        <x:v>WIT-21</x:v>
      </x:c>
      <x:c r="E194" s="12"/>
      <x:c r="F194" s="10" t="str">
        <x:f>IF(E194="","OPEN",IF(E194="CURRENT","ACTIVE","DENY"))</x:f>
        <x:v>OPEN</x:v>
      </x:c>
    </x:row>
    <x:row r="195">
      <x:c r="A195" s="10" t="str">
        <x:v>CH-190</x:v>
      </x:c>
      <x:c r="B195" s="10" t="str">
        <x:v>return</x:v>
      </x:c>
      <x:c r="C195" s="10" t="str">
        <x:v>ROOT-B</x:v>
      </x:c>
      <x:c r="D195" s="10" t="str">
        <x:v>WIT-22</x:v>
      </x:c>
      <x:c r="E195" s="12"/>
      <x:c r="F195" s="10" t="str">
        <x:f>IF(E195="","OPEN",IF(E195="CURRENT","ACTIVE","DENY"))</x:f>
        <x:v>OPEN</x:v>
      </x:c>
    </x:row>
    <x:row r="196">
      <x:c r="A196" s="10" t="str">
        <x:v>CH-191</x:v>
      </x:c>
      <x:c r="B196" s="10" t="str">
        <x:v>reader health</x:v>
      </x:c>
      <x:c r="C196" s="10" t="str">
        <x:v>ROOT-A</x:v>
      </x:c>
      <x:c r="D196" s="10" t="str">
        <x:v>WIT-23</x:v>
      </x:c>
      <x:c r="E196" s="12"/>
      <x:c r="F196" s="10" t="str">
        <x:f>IF(E196="","OPEN",IF(E196="CURRENT","ACTIVE","DENY"))</x:f>
        <x:v>OPEN</x:v>
      </x:c>
    </x:row>
    <x:row r="197">
      <x:c r="A197" s="10" t="str">
        <x:v>CH-192</x:v>
      </x:c>
      <x:c r="B197" s="10" t="str">
        <x:v>clock integrity</x:v>
      </x:c>
      <x:c r="C197" s="10" t="str">
        <x:v>ROOT-B</x:v>
      </x:c>
      <x:c r="D197" s="10" t="str">
        <x:v>WIT-24</x:v>
      </x:c>
      <x:c r="E197" s="12"/>
      <x:c r="F197" s="10" t="str">
        <x:f>IF(E197="","OPEN",IF(E197="CURRENT","ACTIVE","DENY"))</x:f>
        <x:v>OPEN</x:v>
      </x:c>
    </x:row>
    <x:row r="198">
      <x:c r="A198" s="10" t="str">
        <x:v>CH-193</x:v>
      </x:c>
      <x:c r="B198" s="10" t="str">
        <x:v>water inventory</x:v>
      </x:c>
      <x:c r="C198" s="10" t="str">
        <x:v>ROOT-A</x:v>
      </x:c>
      <x:c r="D198" s="10" t="str">
        <x:v>WIT-01</x:v>
      </x:c>
      <x:c r="E198" s="12"/>
      <x:c r="F198" s="10" t="str">
        <x:f>IF(E198="","OPEN",IF(E198="CURRENT","ACTIVE","DENY"))</x:f>
        <x:v>OPEN</x:v>
      </x:c>
    </x:row>
    <x:row r="199">
      <x:c r="A199" s="10" t="str">
        <x:v>CH-194</x:v>
      </x:c>
      <x:c r="B199" s="10" t="str">
        <x:v>simulant inventory</x:v>
      </x:c>
      <x:c r="C199" s="10" t="str">
        <x:v>ROOT-B</x:v>
      </x:c>
      <x:c r="D199" s="10" t="str">
        <x:v>WIT-02</x:v>
      </x:c>
      <x:c r="E199" s="12"/>
      <x:c r="F199" s="10" t="str">
        <x:f>IF(E199="","OPEN",IF(E199="CURRENT","ACTIVE","DENY"))</x:f>
        <x:v>OPEN</x:v>
      </x:c>
    </x:row>
    <x:row r="200">
      <x:c r="A200" s="10" t="str">
        <x:v>CH-195</x:v>
      </x:c>
      <x:c r="B200" s="10" t="str">
        <x:v>phase boundary</x:v>
      </x:c>
      <x:c r="C200" s="10" t="str">
        <x:v>ROOT-A</x:v>
      </x:c>
      <x:c r="D200" s="10" t="str">
        <x:v>WIT-03</x:v>
      </x:c>
      <x:c r="E200" s="12"/>
      <x:c r="F200" s="10" t="str">
        <x:f>IF(E200="","OPEN",IF(E200="CURRENT","ACTIVE","DENY"))</x:f>
        <x:v>OPEN</x:v>
      </x:c>
    </x:row>
    <x:row r="201">
      <x:c r="A201" s="10" t="str">
        <x:v>CH-196</x:v>
      </x:c>
      <x:c r="B201" s="10" t="str">
        <x:v>ancestry code</x:v>
      </x:c>
      <x:c r="C201" s="10" t="str">
        <x:v>ROOT-B</x:v>
      </x:c>
      <x:c r="D201" s="10" t="str">
        <x:v>WIT-04</x:v>
      </x:c>
      <x:c r="E201" s="12"/>
      <x:c r="F201" s="10" t="str">
        <x:f>IF(E201="","OPEN",IF(E201="CURRENT","ACTIVE","DENY"))</x:f>
        <x:v>OPEN</x:v>
      </x:c>
    </x:row>
    <x:row r="202">
      <x:c r="A202" s="10" t="str">
        <x:v>CH-197</x:v>
      </x:c>
      <x:c r="B202" s="10" t="str">
        <x:v>carryover</x:v>
      </x:c>
      <x:c r="C202" s="10" t="str">
        <x:v>ROOT-A</x:v>
      </x:c>
      <x:c r="D202" s="10" t="str">
        <x:v>WIT-05</x:v>
      </x:c>
      <x:c r="E202" s="12"/>
      <x:c r="F202" s="10" t="str">
        <x:f>IF(E202="","OPEN",IF(E202="CURRENT","ACTIVE","DENY"))</x:f>
        <x:v>OPEN</x:v>
      </x:c>
    </x:row>
    <x:row r="203">
      <x:c r="A203" s="10" t="str">
        <x:v>CH-198</x:v>
      </x:c>
      <x:c r="B203" s="10" t="str">
        <x:v>environment</x:v>
      </x:c>
      <x:c r="C203" s="10" t="str">
        <x:v>ROOT-B</x:v>
      </x:c>
      <x:c r="D203" s="10" t="str">
        <x:v>WIT-06</x:v>
      </x:c>
      <x:c r="E203" s="12"/>
      <x:c r="F203" s="10" t="str">
        <x:f>IF(E203="","OPEN",IF(E203="CURRENT","ACTIVE","DENY"))</x:f>
        <x:v>OPEN</x:v>
      </x:c>
    </x:row>
    <x:row r="204">
      <x:c r="A204" s="10" t="str">
        <x:v>CH-199</x:v>
      </x:c>
      <x:c r="B204" s="10" t="str">
        <x:v>casualty</x:v>
      </x:c>
      <x:c r="C204" s="10" t="str">
        <x:v>ROOT-A</x:v>
      </x:c>
      <x:c r="D204" s="10" t="str">
        <x:v>WIT-07</x:v>
      </x:c>
      <x:c r="E204" s="12"/>
      <x:c r="F204" s="10" t="str">
        <x:f>IF(E204="","OPEN",IF(E204="CURRENT","ACTIVE","DENY"))</x:f>
        <x:v>OPEN</x:v>
      </x:c>
    </x:row>
    <x:row r="205">
      <x:c r="A205" s="10" t="str">
        <x:v>CH-200</x:v>
      </x:c>
      <x:c r="B205" s="10" t="str">
        <x:v>cell state</x:v>
      </x:c>
      <x:c r="C205" s="10" t="str">
        <x:v>ROOT-B</x:v>
      </x:c>
      <x:c r="D205" s="10" t="str">
        <x:v>WIT-08</x:v>
      </x:c>
      <x:c r="E205" s="12"/>
      <x:c r="F205" s="10" t="str">
        <x:f>IF(E205="","OPEN",IF(E205="CURRENT","ACTIVE","DENY"))</x:f>
        <x:v>OPEN</x:v>
      </x:c>
    </x:row>
    <x:row r="206">
      <x:c r="A206" s="10" t="str">
        <x:v>CH-201</x:v>
      </x:c>
      <x:c r="B206" s="10" t="str">
        <x:v>separation</x:v>
      </x:c>
      <x:c r="C206" s="10" t="str">
        <x:v>ROOT-A</x:v>
      </x:c>
      <x:c r="D206" s="10" t="str">
        <x:v>WIT-09</x:v>
      </x:c>
      <x:c r="E206" s="12"/>
      <x:c r="F206" s="10" t="str">
        <x:f>IF(E206="","OPEN",IF(E206="CURRENT","ACTIVE","DENY"))</x:f>
        <x:v>OPEN</x:v>
      </x:c>
    </x:row>
    <x:row r="207">
      <x:c r="A207" s="10" t="str">
        <x:v>CH-202</x:v>
      </x:c>
      <x:c r="B207" s="10" t="str">
        <x:v>return</x:v>
      </x:c>
      <x:c r="C207" s="10" t="str">
        <x:v>ROOT-B</x:v>
      </x:c>
      <x:c r="D207" s="10" t="str">
        <x:v>WIT-10</x:v>
      </x:c>
      <x:c r="E207" s="12"/>
      <x:c r="F207" s="10" t="str">
        <x:f>IF(E207="","OPEN",IF(E207="CURRENT","ACTIVE","DENY"))</x:f>
        <x:v>OPEN</x:v>
      </x:c>
    </x:row>
    <x:row r="208">
      <x:c r="A208" s="10" t="str">
        <x:v>CH-203</x:v>
      </x:c>
      <x:c r="B208" s="10" t="str">
        <x:v>reader health</x:v>
      </x:c>
      <x:c r="C208" s="10" t="str">
        <x:v>ROOT-A</x:v>
      </x:c>
      <x:c r="D208" s="10" t="str">
        <x:v>WIT-11</x:v>
      </x:c>
      <x:c r="E208" s="12"/>
      <x:c r="F208" s="10" t="str">
        <x:f>IF(E208="","OPEN",IF(E208="CURRENT","ACTIVE","DENY"))</x:f>
        <x:v>OPEN</x:v>
      </x:c>
    </x:row>
    <x:row r="209">
      <x:c r="A209" s="10" t="str">
        <x:v>CH-204</x:v>
      </x:c>
      <x:c r="B209" s="10" t="str">
        <x:v>clock integrity</x:v>
      </x:c>
      <x:c r="C209" s="10" t="str">
        <x:v>ROOT-B</x:v>
      </x:c>
      <x:c r="D209" s="10" t="str">
        <x:v>WIT-12</x:v>
      </x:c>
      <x:c r="E209" s="12"/>
      <x:c r="F209" s="10" t="str">
        <x:f>IF(E209="","OPEN",IF(E209="CURRENT","ACTIVE","DENY"))</x:f>
        <x:v>OPEN</x:v>
      </x:c>
    </x:row>
    <x:row r="210">
      <x:c r="A210" s="10" t="str">
        <x:v>CH-205</x:v>
      </x:c>
      <x:c r="B210" s="10" t="str">
        <x:v>water inventory</x:v>
      </x:c>
      <x:c r="C210" s="10" t="str">
        <x:v>ROOT-A</x:v>
      </x:c>
      <x:c r="D210" s="10" t="str">
        <x:v>WIT-13</x:v>
      </x:c>
      <x:c r="E210" s="12"/>
      <x:c r="F210" s="10" t="str">
        <x:f>IF(E210="","OPEN",IF(E210="CURRENT","ACTIVE","DENY"))</x:f>
        <x:v>OPEN</x:v>
      </x:c>
    </x:row>
    <x:row r="211">
      <x:c r="A211" s="10" t="str">
        <x:v>CH-206</x:v>
      </x:c>
      <x:c r="B211" s="10" t="str">
        <x:v>simulant inventory</x:v>
      </x:c>
      <x:c r="C211" s="10" t="str">
        <x:v>ROOT-B</x:v>
      </x:c>
      <x:c r="D211" s="10" t="str">
        <x:v>WIT-14</x:v>
      </x:c>
      <x:c r="E211" s="12"/>
      <x:c r="F211" s="10" t="str">
        <x:f>IF(E211="","OPEN",IF(E211="CURRENT","ACTIVE","DENY"))</x:f>
        <x:v>OPEN</x:v>
      </x:c>
    </x:row>
    <x:row r="212">
      <x:c r="A212" s="10" t="str">
        <x:v>CH-207</x:v>
      </x:c>
      <x:c r="B212" s="10" t="str">
        <x:v>phase boundary</x:v>
      </x:c>
      <x:c r="C212" s="10" t="str">
        <x:v>ROOT-A</x:v>
      </x:c>
      <x:c r="D212" s="10" t="str">
        <x:v>WIT-15</x:v>
      </x:c>
      <x:c r="E212" s="12"/>
      <x:c r="F212" s="10" t="str">
        <x:f>IF(E212="","OPEN",IF(E212="CURRENT","ACTIVE","DENY"))</x:f>
        <x:v>OPEN</x:v>
      </x:c>
    </x:row>
    <x:row r="213">
      <x:c r="A213" s="10" t="str">
        <x:v>CH-208</x:v>
      </x:c>
      <x:c r="B213" s="10" t="str">
        <x:v>ancestry code</x:v>
      </x:c>
      <x:c r="C213" s="10" t="str">
        <x:v>ROOT-B</x:v>
      </x:c>
      <x:c r="D213" s="10" t="str">
        <x:v>WIT-16</x:v>
      </x:c>
      <x:c r="E213" s="12"/>
      <x:c r="F213" s="10" t="str">
        <x:f>IF(E213="","OPEN",IF(E213="CURRENT","ACTIVE","DENY"))</x:f>
        <x:v>OPEN</x:v>
      </x:c>
    </x:row>
    <x:row r="214">
      <x:c r="A214" s="10" t="str">
        <x:v>CH-209</x:v>
      </x:c>
      <x:c r="B214" s="10" t="str">
        <x:v>carryover</x:v>
      </x:c>
      <x:c r="C214" s="10" t="str">
        <x:v>ROOT-A</x:v>
      </x:c>
      <x:c r="D214" s="10" t="str">
        <x:v>WIT-17</x:v>
      </x:c>
      <x:c r="E214" s="12"/>
      <x:c r="F214" s="10" t="str">
        <x:f>IF(E214="","OPEN",IF(E214="CURRENT","ACTIVE","DENY"))</x:f>
        <x:v>OPEN</x:v>
      </x:c>
    </x:row>
    <x:row r="215">
      <x:c r="A215" s="10" t="str">
        <x:v>CH-210</x:v>
      </x:c>
      <x:c r="B215" s="10" t="str">
        <x:v>environment</x:v>
      </x:c>
      <x:c r="C215" s="10" t="str">
        <x:v>ROOT-B</x:v>
      </x:c>
      <x:c r="D215" s="10" t="str">
        <x:v>WIT-18</x:v>
      </x:c>
      <x:c r="E215" s="12"/>
      <x:c r="F215" s="10" t="str">
        <x:f>IF(E215="","OPEN",IF(E215="CURRENT","ACTIVE","DENY"))</x:f>
        <x:v>OPEN</x:v>
      </x:c>
    </x:row>
    <x:row r="216">
      <x:c r="A216" s="10" t="str">
        <x:v>CH-211</x:v>
      </x:c>
      <x:c r="B216" s="10" t="str">
        <x:v>casualty</x:v>
      </x:c>
      <x:c r="C216" s="10" t="str">
        <x:v>ROOT-A</x:v>
      </x:c>
      <x:c r="D216" s="10" t="str">
        <x:v>WIT-19</x:v>
      </x:c>
      <x:c r="E216" s="12"/>
      <x:c r="F216" s="10" t="str">
        <x:f>IF(E216="","OPEN",IF(E216="CURRENT","ACTIVE","DENY"))</x:f>
        <x:v>OPEN</x:v>
      </x:c>
    </x:row>
    <x:row r="217">
      <x:c r="A217" s="10" t="str">
        <x:v>CH-212</x:v>
      </x:c>
      <x:c r="B217" s="10" t="str">
        <x:v>cell state</x:v>
      </x:c>
      <x:c r="C217" s="10" t="str">
        <x:v>ROOT-B</x:v>
      </x:c>
      <x:c r="D217" s="10" t="str">
        <x:v>WIT-20</x:v>
      </x:c>
      <x:c r="E217" s="12"/>
      <x:c r="F217" s="10" t="str">
        <x:f>IF(E217="","OPEN",IF(E217="CURRENT","ACTIVE","DENY"))</x:f>
        <x:v>OPEN</x:v>
      </x:c>
    </x:row>
    <x:row r="218">
      <x:c r="A218" s="10" t="str">
        <x:v>CH-213</x:v>
      </x:c>
      <x:c r="B218" s="10" t="str">
        <x:v>separation</x:v>
      </x:c>
      <x:c r="C218" s="10" t="str">
        <x:v>ROOT-A</x:v>
      </x:c>
      <x:c r="D218" s="10" t="str">
        <x:v>WIT-21</x:v>
      </x:c>
      <x:c r="E218" s="12"/>
      <x:c r="F218" s="10" t="str">
        <x:f>IF(E218="","OPEN",IF(E218="CURRENT","ACTIVE","DENY"))</x:f>
        <x:v>OPEN</x:v>
      </x:c>
    </x:row>
    <x:row r="219">
      <x:c r="A219" s="10" t="str">
        <x:v>CH-214</x:v>
      </x:c>
      <x:c r="B219" s="10" t="str">
        <x:v>return</x:v>
      </x:c>
      <x:c r="C219" s="10" t="str">
        <x:v>ROOT-B</x:v>
      </x:c>
      <x:c r="D219" s="10" t="str">
        <x:v>WIT-22</x:v>
      </x:c>
      <x:c r="E219" s="12"/>
      <x:c r="F219" s="10" t="str">
        <x:f>IF(E219="","OPEN",IF(E219="CURRENT","ACTIVE","DENY"))</x:f>
        <x:v>OPEN</x:v>
      </x:c>
    </x:row>
    <x:row r="220">
      <x:c r="A220" s="10" t="str">
        <x:v>CH-215</x:v>
      </x:c>
      <x:c r="B220" s="10" t="str">
        <x:v>reader health</x:v>
      </x:c>
      <x:c r="C220" s="10" t="str">
        <x:v>ROOT-A</x:v>
      </x:c>
      <x:c r="D220" s="10" t="str">
        <x:v>WIT-23</x:v>
      </x:c>
      <x:c r="E220" s="12"/>
      <x:c r="F220" s="10" t="str">
        <x:f>IF(E220="","OPEN",IF(E220="CURRENT","ACTIVE","DENY"))</x:f>
        <x:v>OPEN</x:v>
      </x:c>
    </x:row>
    <x:row r="221">
      <x:c r="A221" s="10" t="str">
        <x:v>CH-216</x:v>
      </x:c>
      <x:c r="B221" s="10" t="str">
        <x:v>clock integrity</x:v>
      </x:c>
      <x:c r="C221" s="10" t="str">
        <x:v>ROOT-B</x:v>
      </x:c>
      <x:c r="D221" s="10" t="str">
        <x:v>WIT-24</x:v>
      </x:c>
      <x:c r="E221" s="12"/>
      <x:c r="F221" s="10" t="str">
        <x:f>IF(E221="","OPEN",IF(E221="CURRENT","ACTIVE","DENY"))</x:f>
        <x:v>OPEN</x:v>
      </x:c>
    </x:row>
    <x:row r="222">
      <x:c r="A222" s="10" t="str">
        <x:v>CH-217</x:v>
      </x:c>
      <x:c r="B222" s="10" t="str">
        <x:v>water inventory</x:v>
      </x:c>
      <x:c r="C222" s="10" t="str">
        <x:v>ROOT-A</x:v>
      </x:c>
      <x:c r="D222" s="10" t="str">
        <x:v>WIT-01</x:v>
      </x:c>
      <x:c r="E222" s="12"/>
      <x:c r="F222" s="10" t="str">
        <x:f>IF(E222="","OPEN",IF(E222="CURRENT","ACTIVE","DENY"))</x:f>
        <x:v>OPEN</x:v>
      </x:c>
    </x:row>
    <x:row r="223">
      <x:c r="A223" s="10" t="str">
        <x:v>CH-218</x:v>
      </x:c>
      <x:c r="B223" s="10" t="str">
        <x:v>simulant inventory</x:v>
      </x:c>
      <x:c r="C223" s="10" t="str">
        <x:v>ROOT-B</x:v>
      </x:c>
      <x:c r="D223" s="10" t="str">
        <x:v>WIT-02</x:v>
      </x:c>
      <x:c r="E223" s="12"/>
      <x:c r="F223" s="10" t="str">
        <x:f>IF(E223="","OPEN",IF(E223="CURRENT","ACTIVE","DENY"))</x:f>
        <x:v>OPEN</x:v>
      </x:c>
    </x:row>
    <x:row r="224">
      <x:c r="A224" s="10" t="str">
        <x:v>CH-219</x:v>
      </x:c>
      <x:c r="B224" s="10" t="str">
        <x:v>phase boundary</x:v>
      </x:c>
      <x:c r="C224" s="10" t="str">
        <x:v>ROOT-A</x:v>
      </x:c>
      <x:c r="D224" s="10" t="str">
        <x:v>WIT-03</x:v>
      </x:c>
      <x:c r="E224" s="12"/>
      <x:c r="F224" s="10" t="str">
        <x:f>IF(E224="","OPEN",IF(E224="CURRENT","ACTIVE","DENY"))</x:f>
        <x:v>OPEN</x:v>
      </x:c>
    </x:row>
    <x:row r="225">
      <x:c r="A225" s="10" t="str">
        <x:v>CH-220</x:v>
      </x:c>
      <x:c r="B225" s="10" t="str">
        <x:v>ancestry code</x:v>
      </x:c>
      <x:c r="C225" s="10" t="str">
        <x:v>ROOT-B</x:v>
      </x:c>
      <x:c r="D225" s="10" t="str">
        <x:v>WIT-04</x:v>
      </x:c>
      <x:c r="E225" s="12"/>
      <x:c r="F225" s="10" t="str">
        <x:f>IF(E225="","OPEN",IF(E225="CURRENT","ACTIVE","DENY"))</x:f>
        <x:v>OPEN</x:v>
      </x:c>
    </x:row>
    <x:row r="226">
      <x:c r="A226" s="10" t="str">
        <x:v>CH-221</x:v>
      </x:c>
      <x:c r="B226" s="10" t="str">
        <x:v>carryover</x:v>
      </x:c>
      <x:c r="C226" s="10" t="str">
        <x:v>ROOT-A</x:v>
      </x:c>
      <x:c r="D226" s="10" t="str">
        <x:v>WIT-05</x:v>
      </x:c>
      <x:c r="E226" s="12"/>
      <x:c r="F226" s="10" t="str">
        <x:f>IF(E226="","OPEN",IF(E226="CURRENT","ACTIVE","DENY"))</x:f>
        <x:v>OPEN</x:v>
      </x:c>
    </x:row>
    <x:row r="227">
      <x:c r="A227" s="10" t="str">
        <x:v>CH-222</x:v>
      </x:c>
      <x:c r="B227" s="10" t="str">
        <x:v>environment</x:v>
      </x:c>
      <x:c r="C227" s="10" t="str">
        <x:v>ROOT-B</x:v>
      </x:c>
      <x:c r="D227" s="10" t="str">
        <x:v>WIT-06</x:v>
      </x:c>
      <x:c r="E227" s="12"/>
      <x:c r="F227" s="10" t="str">
        <x:f>IF(E227="","OPEN",IF(E227="CURRENT","ACTIVE","DENY"))</x:f>
        <x:v>OPEN</x:v>
      </x:c>
    </x:row>
    <x:row r="228">
      <x:c r="A228" s="10" t="str">
        <x:v>CH-223</x:v>
      </x:c>
      <x:c r="B228" s="10" t="str">
        <x:v>casualty</x:v>
      </x:c>
      <x:c r="C228" s="10" t="str">
        <x:v>ROOT-A</x:v>
      </x:c>
      <x:c r="D228" s="10" t="str">
        <x:v>WIT-07</x:v>
      </x:c>
      <x:c r="E228" s="12"/>
      <x:c r="F228" s="10" t="str">
        <x:f>IF(E228="","OPEN",IF(E228="CURRENT","ACTIVE","DENY"))</x:f>
        <x:v>OPEN</x:v>
      </x:c>
    </x:row>
    <x:row r="229">
      <x:c r="A229" s="10" t="str">
        <x:v>CH-224</x:v>
      </x:c>
      <x:c r="B229" s="10" t="str">
        <x:v>cell state</x:v>
      </x:c>
      <x:c r="C229" s="10" t="str">
        <x:v>ROOT-B</x:v>
      </x:c>
      <x:c r="D229" s="10" t="str">
        <x:v>WIT-08</x:v>
      </x:c>
      <x:c r="E229" s="12"/>
      <x:c r="F229" s="10" t="str">
        <x:f>IF(E229="","OPEN",IF(E229="CURRENT","ACTIVE","DENY"))</x:f>
        <x:v>OPEN</x:v>
      </x:c>
    </x:row>
    <x:row r="230">
      <x:c r="A230" s="10" t="str">
        <x:v>CH-225</x:v>
      </x:c>
      <x:c r="B230" s="10" t="str">
        <x:v>separation</x:v>
      </x:c>
      <x:c r="C230" s="10" t="str">
        <x:v>ROOT-A</x:v>
      </x:c>
      <x:c r="D230" s="10" t="str">
        <x:v>WIT-09</x:v>
      </x:c>
      <x:c r="E230" s="12"/>
      <x:c r="F230" s="10" t="str">
        <x:f>IF(E230="","OPEN",IF(E230="CURRENT","ACTIVE","DENY"))</x:f>
        <x:v>OPEN</x:v>
      </x:c>
    </x:row>
    <x:row r="231">
      <x:c r="A231" s="10" t="str">
        <x:v>CH-226</x:v>
      </x:c>
      <x:c r="B231" s="10" t="str">
        <x:v>return</x:v>
      </x:c>
      <x:c r="C231" s="10" t="str">
        <x:v>ROOT-B</x:v>
      </x:c>
      <x:c r="D231" s="10" t="str">
        <x:v>WIT-10</x:v>
      </x:c>
      <x:c r="E231" s="12"/>
      <x:c r="F231" s="10" t="str">
        <x:f>IF(E231="","OPEN",IF(E231="CURRENT","ACTIVE","DENY"))</x:f>
        <x:v>OPEN</x:v>
      </x:c>
    </x:row>
    <x:row r="232">
      <x:c r="A232" s="10" t="str">
        <x:v>CH-227</x:v>
      </x:c>
      <x:c r="B232" s="10" t="str">
        <x:v>reader health</x:v>
      </x:c>
      <x:c r="C232" s="10" t="str">
        <x:v>ROOT-A</x:v>
      </x:c>
      <x:c r="D232" s="10" t="str">
        <x:v>WIT-11</x:v>
      </x:c>
      <x:c r="E232" s="12"/>
      <x:c r="F232" s="10" t="str">
        <x:f>IF(E232="","OPEN",IF(E232="CURRENT","ACTIVE","DENY"))</x:f>
        <x:v>OPEN</x:v>
      </x:c>
    </x:row>
    <x:row r="233">
      <x:c r="A233" s="10" t="str">
        <x:v>CH-228</x:v>
      </x:c>
      <x:c r="B233" s="10" t="str">
        <x:v>clock integrity</x:v>
      </x:c>
      <x:c r="C233" s="10" t="str">
        <x:v>ROOT-B</x:v>
      </x:c>
      <x:c r="D233" s="10" t="str">
        <x:v>WIT-12</x:v>
      </x:c>
      <x:c r="E233" s="12"/>
      <x:c r="F233" s="10" t="str">
        <x:f>IF(E233="","OPEN",IF(E233="CURRENT","ACTIVE","DENY"))</x:f>
        <x:v>OPEN</x:v>
      </x:c>
    </x:row>
    <x:row r="234">
      <x:c r="A234" s="10" t="str">
        <x:v>CH-229</x:v>
      </x:c>
      <x:c r="B234" s="10" t="str">
        <x:v>water inventory</x:v>
      </x:c>
      <x:c r="C234" s="10" t="str">
        <x:v>ROOT-A</x:v>
      </x:c>
      <x:c r="D234" s="10" t="str">
        <x:v>WIT-13</x:v>
      </x:c>
      <x:c r="E234" s="12"/>
      <x:c r="F234" s="10" t="str">
        <x:f>IF(E234="","OPEN",IF(E234="CURRENT","ACTIVE","DENY"))</x:f>
        <x:v>OPEN</x:v>
      </x:c>
    </x:row>
    <x:row r="235">
      <x:c r="A235" s="10" t="str">
        <x:v>CH-230</x:v>
      </x:c>
      <x:c r="B235" s="10" t="str">
        <x:v>simulant inventory</x:v>
      </x:c>
      <x:c r="C235" s="10" t="str">
        <x:v>ROOT-B</x:v>
      </x:c>
      <x:c r="D235" s="10" t="str">
        <x:v>WIT-14</x:v>
      </x:c>
      <x:c r="E235" s="12"/>
      <x:c r="F235" s="10" t="str">
        <x:f>IF(E235="","OPEN",IF(E235="CURRENT","ACTIVE","DENY"))</x:f>
        <x:v>OPEN</x:v>
      </x:c>
    </x:row>
    <x:row r="236">
      <x:c r="A236" s="10" t="str">
        <x:v>CH-231</x:v>
      </x:c>
      <x:c r="B236" s="10" t="str">
        <x:v>phase boundary</x:v>
      </x:c>
      <x:c r="C236" s="10" t="str">
        <x:v>ROOT-A</x:v>
      </x:c>
      <x:c r="D236" s="10" t="str">
        <x:v>WIT-15</x:v>
      </x:c>
      <x:c r="E236" s="12"/>
      <x:c r="F236" s="10" t="str">
        <x:f>IF(E236="","OPEN",IF(E236="CURRENT","ACTIVE","DENY"))</x:f>
        <x:v>OPEN</x:v>
      </x:c>
    </x:row>
    <x:row r="237">
      <x:c r="A237" s="10" t="str">
        <x:v>CH-232</x:v>
      </x:c>
      <x:c r="B237" s="10" t="str">
        <x:v>ancestry code</x:v>
      </x:c>
      <x:c r="C237" s="10" t="str">
        <x:v>ROOT-B</x:v>
      </x:c>
      <x:c r="D237" s="10" t="str">
        <x:v>WIT-16</x:v>
      </x:c>
      <x:c r="E237" s="12"/>
      <x:c r="F237" s="10" t="str">
        <x:f>IF(E237="","OPEN",IF(E237="CURRENT","ACTIVE","DENY"))</x:f>
        <x:v>OPEN</x:v>
      </x:c>
    </x:row>
    <x:row r="238">
      <x:c r="A238" s="10" t="str">
        <x:v>CH-233</x:v>
      </x:c>
      <x:c r="B238" s="10" t="str">
        <x:v>carryover</x:v>
      </x:c>
      <x:c r="C238" s="10" t="str">
        <x:v>ROOT-A</x:v>
      </x:c>
      <x:c r="D238" s="10" t="str">
        <x:v>WIT-17</x:v>
      </x:c>
      <x:c r="E238" s="12"/>
      <x:c r="F238" s="10" t="str">
        <x:f>IF(E238="","OPEN",IF(E238="CURRENT","ACTIVE","DENY"))</x:f>
        <x:v>OPEN</x:v>
      </x:c>
    </x:row>
    <x:row r="239">
      <x:c r="A239" s="10" t="str">
        <x:v>CH-234</x:v>
      </x:c>
      <x:c r="B239" s="10" t="str">
        <x:v>environment</x:v>
      </x:c>
      <x:c r="C239" s="10" t="str">
        <x:v>ROOT-B</x:v>
      </x:c>
      <x:c r="D239" s="10" t="str">
        <x:v>WIT-18</x:v>
      </x:c>
      <x:c r="E239" s="12"/>
      <x:c r="F239" s="10" t="str">
        <x:f>IF(E239="","OPEN",IF(E239="CURRENT","ACTIVE","DENY"))</x:f>
        <x:v>OPEN</x:v>
      </x:c>
    </x:row>
    <x:row r="240">
      <x:c r="A240" s="10" t="str">
        <x:v>CH-235</x:v>
      </x:c>
      <x:c r="B240" s="10" t="str">
        <x:v>casualty</x:v>
      </x:c>
      <x:c r="C240" s="10" t="str">
        <x:v>ROOT-A</x:v>
      </x:c>
      <x:c r="D240" s="10" t="str">
        <x:v>WIT-19</x:v>
      </x:c>
      <x:c r="E240" s="12"/>
      <x:c r="F240" s="10" t="str">
        <x:f>IF(E240="","OPEN",IF(E240="CURRENT","ACTIVE","DENY"))</x:f>
        <x:v>OPEN</x:v>
      </x:c>
    </x:row>
    <x:row r="241">
      <x:c r="A241" s="10" t="str">
        <x:v>CH-236</x:v>
      </x:c>
      <x:c r="B241" s="10" t="str">
        <x:v>cell state</x:v>
      </x:c>
      <x:c r="C241" s="10" t="str">
        <x:v>ROOT-B</x:v>
      </x:c>
      <x:c r="D241" s="10" t="str">
        <x:v>WIT-20</x:v>
      </x:c>
      <x:c r="E241" s="12"/>
      <x:c r="F241" s="10" t="str">
        <x:f>IF(E241="","OPEN",IF(E241="CURRENT","ACTIVE","DENY"))</x:f>
        <x:v>OPEN</x:v>
      </x:c>
    </x:row>
    <x:row r="242">
      <x:c r="A242" s="10" t="str">
        <x:v>CH-237</x:v>
      </x:c>
      <x:c r="B242" s="10" t="str">
        <x:v>separation</x:v>
      </x:c>
      <x:c r="C242" s="10" t="str">
        <x:v>ROOT-A</x:v>
      </x:c>
      <x:c r="D242" s="10" t="str">
        <x:v>WIT-21</x:v>
      </x:c>
      <x:c r="E242" s="12"/>
      <x:c r="F242" s="10" t="str">
        <x:f>IF(E242="","OPEN",IF(E242="CURRENT","ACTIVE","DENY"))</x:f>
        <x:v>OPEN</x:v>
      </x:c>
    </x:row>
    <x:row r="243">
      <x:c r="A243" s="10" t="str">
        <x:v>CH-238</x:v>
      </x:c>
      <x:c r="B243" s="10" t="str">
        <x:v>return</x:v>
      </x:c>
      <x:c r="C243" s="10" t="str">
        <x:v>ROOT-B</x:v>
      </x:c>
      <x:c r="D243" s="10" t="str">
        <x:v>WIT-22</x:v>
      </x:c>
      <x:c r="E243" s="12"/>
      <x:c r="F243" s="10" t="str">
        <x:f>IF(E243="","OPEN",IF(E243="CURRENT","ACTIVE","DENY"))</x:f>
        <x:v>OPEN</x:v>
      </x:c>
    </x:row>
    <x:row r="244">
      <x:c r="A244" s="10" t="str">
        <x:v>CH-239</x:v>
      </x:c>
      <x:c r="B244" s="10" t="str">
        <x:v>reader health</x:v>
      </x:c>
      <x:c r="C244" s="10" t="str">
        <x:v>ROOT-A</x:v>
      </x:c>
      <x:c r="D244" s="10" t="str">
        <x:v>WIT-23</x:v>
      </x:c>
      <x:c r="E244" s="12"/>
      <x:c r="F244" s="10" t="str">
        <x:f>IF(E244="","OPEN",IF(E244="CURRENT","ACTIVE","DENY"))</x:f>
        <x:v>OPEN</x:v>
      </x:c>
    </x:row>
    <x:row r="245">
      <x:c r="A245" s="10" t="str">
        <x:v>CH-240</x:v>
      </x:c>
      <x:c r="B245" s="10" t="str">
        <x:v>clock integrity</x:v>
      </x:c>
      <x:c r="C245" s="10" t="str">
        <x:v>ROOT-B</x:v>
      </x:c>
      <x:c r="D245" s="10" t="str">
        <x:v>WIT-24</x:v>
      </x:c>
      <x:c r="E245" s="12"/>
      <x:c r="F245" s="10" t="str">
        <x:f>IF(E245="","OPEN",IF(E245="CURRENT","ACTIVE","DENY"))</x:f>
        <x:v>OPEN</x:v>
      </x:c>
    </x:row>
  </x:sheetData>
  <x:mergeCells>
    <x:mergeCell ref="A2:F2"/>
  </x:mergeCells>
  <x:conditionalFormatting sqref="F6:F245">
    <x:cfRule type="containsText" dxfId="114" priority="1" operator="containsText" text="DENY"/>
    <x:cfRule type="containsText" dxfId="115" priority="2" operator="containsText" text="ADVERSE"/>
    <x:cfRule type="containsText" dxfId="116" priority="3" operator="containsText" text="FAIL"/>
    <x:cfRule type="containsText" dxfId="117" priority="4" operator="containsText" text="OPEN"/>
    <x:cfRule type="containsText" dxfId="118" priority="5" operator="containsText" text="BLOCKED"/>
    <x:cfRule type="containsText" dxfId="119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38b01f5bcc2947b3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20" hidden="0" customWidth="1"/>
    <x:col min="5" max="5" width="18" hidden="0" customWidth="1"/>
    <x:col min="6" max="6" width="19" hidden="0" customWidth="1"/>
    <x:col min="7" max="7" width="17" hidden="0" customWidth="1"/>
    <x:col min="8" max="8" width="18" hidden="0" customWidth="1"/>
    <x:col min="9" max="9" width="19" hidden="0" customWidth="1"/>
    <x:col min="10" max="10" width="19" hidden="0" customWidth="1"/>
    <x:col min="11" max="11" width="16" hidden="0" customWidth="1"/>
    <x:col min="12" max="12" width="15" hidden="0" customWidth="1"/>
    <x:col min="14" max="14" width="24" hidden="0" customWidth="1"/>
    <x:col min="15" max="15" width="14" hidden="0" customWidth="1"/>
    <x:col min="16" max="16" width="18" hidden="0" customWidth="1"/>
    <x:col min="17" max="17" width="18" hidden="0" customWidth="1"/>
  </x:cols>
  <x:sheetData>
    <x:row r="2" ht="24" customHeight="1">
      <x:c r="A2" s="1" t="str">
        <x:v>Event evidence completeness and packet seal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8" t="str">
        <x:v>Event</x:v>
      </x:c>
      <x:c r="B5" s="8" t="str">
        <x:v>Required records</x:v>
      </x:c>
      <x:c r="C5" s="8" t="str">
        <x:v>Records bound</x:v>
      </x:c>
      <x:c r="D5" s="8" t="str">
        <x:v>Required channels</x:v>
      </x:c>
      <x:c r="E5" s="8" t="str">
        <x:v>Channels current</x:v>
      </x:c>
      <x:c r="F5" s="8" t="str">
        <x:v>Required originals</x:v>
      </x:c>
      <x:c r="G5" s="8" t="str">
        <x:v>Originals bound</x:v>
      </x:c>
      <x:c r="H5" s="8" t="str">
        <x:v>Packet review</x:v>
      </x:c>
      <x:c r="I5" s="8" t="str">
        <x:v>Root A packet seal</x:v>
      </x:c>
      <x:c r="J5" s="8" t="str">
        <x:v>Root B packet seal</x:v>
      </x:c>
      <x:c r="K5" s="8" t="str">
        <x:v>Safeing state</x:v>
      </x:c>
      <x:c r="L5" s="8" t="str">
        <x:v>State</x:v>
      </x:c>
      <x:c r="N5" s="8" t="str">
        <x:v>Evidence class</x:v>
      </x:c>
      <x:c r="O5" s="8" t="str">
        <x:v>Objects</x:v>
      </x:c>
      <x:c r="P5" s="8" t="str">
        <x:v>GB per object</x:v>
      </x:c>
      <x:c r="Q5" s="8" t="str">
        <x:v>Allocated GB</x:v>
      </x:c>
    </x:row>
    <x:row r="6">
      <x:c r="A6" s="10" t="str">
        <x:v>EV-01</x:v>
      </x:c>
      <x:c r="B6" s="10" t="n">
        <x:v>256</x:v>
      </x:c>
      <x:c r="C6" s="12"/>
      <x:c r="D6" s="10" t="n">
        <x:v>240</x:v>
      </x:c>
      <x:c r="E6" s="12"/>
      <x:c r="F6" s="10" t="n">
        <x:v>4</x:v>
      </x:c>
      <x:c r="G6" s="12"/>
      <x:c r="H6" s="12"/>
      <x:c r="I6" s="12"/>
      <x:c r="J6" s="12"/>
      <x:c r="K6" s="10" t="str">
        <x:f>IF(COUNTIF(Safeing!$F$6:$F$21,"COMPLETE")=16,"COMPLETE","OPEN")</x:f>
        <x:v>OPEN</x:v>
      </x:c>
      <x:c r="L6" s="10" t="str">
        <x:f>IF(OR(C6="",E6="",G6="",H6="",I6="",J6=""),"OPEN",IF(AND(C6=B6,E6=D6,G6=F6,H6="ACCEPTED",I6="SEALED",J6="SEALED",K6="COMPLETE"),"COMPLETE","DENY"))</x:f>
        <x:v>OPEN</x:v>
      </x:c>
      <x:c r="N6" s="10" t="str">
        <x:v>candidate trials</x:v>
      </x:c>
      <x:c r="O6" s="10" t="n">
        <x:v>192</x:v>
      </x:c>
      <x:c r="P6" s="10" t="n">
        <x:v>180</x:v>
      </x:c>
      <x:c r="Q6" s="10" t="n">
        <x:f>O6*P6</x:f>
        <x:v>34560</x:v>
      </x:c>
    </x:row>
    <x:row r="7">
      <x:c r="A7" s="10" t="str">
        <x:v>EV-02</x:v>
      </x:c>
      <x:c r="B7" s="10" t="n">
        <x:v>256</x:v>
      </x:c>
      <x:c r="C7" s="12"/>
      <x:c r="D7" s="10" t="n">
        <x:v>240</x:v>
      </x:c>
      <x:c r="E7" s="12"/>
      <x:c r="F7" s="10" t="n">
        <x:v>4</x:v>
      </x:c>
      <x:c r="G7" s="12"/>
      <x:c r="H7" s="12"/>
      <x:c r="I7" s="12"/>
      <x:c r="J7" s="12"/>
      <x:c r="K7" s="10" t="str">
        <x:f>IF(COUNTIF(Safeing!$F$6:$F$21,"COMPLETE")=16,"COMPLETE","OPEN")</x:f>
        <x:v>OPEN</x:v>
      </x:c>
      <x:c r="L7" s="10" t="str">
        <x:f>IF(OR(C7="",E7="",G7="",H7="",I7="",J7=""),"OPEN",IF(AND(C7=B7,E7=D7,G7=F7,H7="ACCEPTED",I7="SEALED",J7="SEALED",K7="COMPLETE"),"COMPLETE","DENY"))</x:f>
        <x:v>OPEN</x:v>
      </x:c>
      <x:c r="N7" s="10" t="str">
        <x:v>pair trials</x:v>
      </x:c>
      <x:c r="O7" s="10" t="n">
        <x:v>144</x:v>
      </x:c>
      <x:c r="P7" s="10" t="n">
        <x:v>240</x:v>
      </x:c>
      <x:c r="Q7" s="10" t="n">
        <x:f>O7*P7</x:f>
        <x:v>34560</x:v>
      </x:c>
    </x:row>
    <x:row r="8">
      <x:c r="A8" s="10" t="str">
        <x:v>EV-03</x:v>
      </x:c>
      <x:c r="B8" s="10" t="n">
        <x:v>256</x:v>
      </x:c>
      <x:c r="C8" s="12"/>
      <x:c r="D8" s="10" t="n">
        <x:v>240</x:v>
      </x:c>
      <x:c r="E8" s="12"/>
      <x:c r="F8" s="10" t="n">
        <x:v>4</x:v>
      </x:c>
      <x:c r="G8" s="12"/>
      <x:c r="H8" s="12"/>
      <x:c r="I8" s="12"/>
      <x:c r="J8" s="12"/>
      <x:c r="K8" s="10" t="str">
        <x:f>IF(COUNTIF(Safeing!$F$6:$F$21,"COMPLETE")=16,"COMPLETE","OPEN")</x:f>
        <x:v>OPEN</x:v>
      </x:c>
      <x:c r="L8" s="10" t="str">
        <x:f>IF(OR(C8="",E8="",G8="",H8="",I8="",J8=""),"OPEN",IF(AND(C8=B8,E8=D8,G8=F8,H8="ACCEPTED",I8="SEALED",J8="SEALED",K8="COMPLETE"),"COMPLETE","DENY"))</x:f>
        <x:v>OPEN</x:v>
      </x:c>
      <x:c r="N8" s="10" t="str">
        <x:v>qualification cycles</x:v>
      </x:c>
      <x:c r="O8" s="10" t="n">
        <x:v>96</x:v>
      </x:c>
      <x:c r="P8" s="10" t="n">
        <x:v>720</x:v>
      </x:c>
      <x:c r="Q8" s="10" t="n">
        <x:f>O8*P8</x:f>
        <x:v>69120</x:v>
      </x:c>
    </x:row>
    <x:row r="9">
      <x:c r="A9" s="10" t="str">
        <x:v>EV-04</x:v>
      </x:c>
      <x:c r="B9" s="10" t="n">
        <x:v>256</x:v>
      </x:c>
      <x:c r="C9" s="12"/>
      <x:c r="D9" s="10" t="n">
        <x:v>240</x:v>
      </x:c>
      <x:c r="E9" s="12"/>
      <x:c r="F9" s="10" t="n">
        <x:v>4</x:v>
      </x:c>
      <x:c r="G9" s="12"/>
      <x:c r="H9" s="12"/>
      <x:c r="I9" s="12"/>
      <x:c r="J9" s="12"/>
      <x:c r="K9" s="10" t="str">
        <x:f>IF(COUNTIF(Safeing!$F$6:$F$21,"COMPLETE")=16,"COMPLETE","OPEN")</x:f>
        <x:v>OPEN</x:v>
      </x:c>
      <x:c r="L9" s="10" t="str">
        <x:f>IF(OR(C9="",E9="",G9="",H9="",I9="",J9=""),"OPEN",IF(AND(C9=B9,E9=D9,G9=F9,H9="ACCEPTED",I9="SEALED",J9="SEALED",K9="COMPLETE"),"COMPLETE","DENY"))</x:f>
        <x:v>OPEN</x:v>
      </x:c>
      <x:c r="N9" s="10" t="str">
        <x:v>class events</x:v>
      </x:c>
      <x:c r="O9" s="10" t="n">
        <x:v>16</x:v>
      </x:c>
      <x:c r="P9" s="10" t="n">
        <x:v>1500</x:v>
      </x:c>
      <x:c r="Q9" s="10" t="n">
        <x:f>O9*P9</x:f>
        <x:v>24000</x:v>
      </x:c>
    </x:row>
    <x:row r="10">
      <x:c r="A10" s="10" t="str">
        <x:v>EV-05</x:v>
      </x:c>
      <x:c r="B10" s="10" t="n">
        <x:v>256</x:v>
      </x:c>
      <x:c r="C10" s="12"/>
      <x:c r="D10" s="10" t="n">
        <x:v>240</x:v>
      </x:c>
      <x:c r="E10" s="12"/>
      <x:c r="F10" s="10" t="n">
        <x:v>4</x:v>
      </x:c>
      <x:c r="G10" s="12"/>
      <x:c r="H10" s="12"/>
      <x:c r="I10" s="12"/>
      <x:c r="J10" s="12"/>
      <x:c r="K10" s="10" t="str">
        <x:f>IF(COUNTIF(Safeing!$F$6:$F$21,"COMPLETE")=16,"COMPLETE","OPEN")</x:f>
        <x:v>OPEN</x:v>
      </x:c>
      <x:c r="L10" s="10" t="str">
        <x:f>IF(OR(C10="",E10="",G10="",H10="",I10="",J10=""),"OPEN",IF(AND(C10=B10,E10=D10,G10=F10,H10="ACCEPTED",I10="SEALED",J10="SEALED",K10="COMPLETE"),"COMPLETE","DENY"))</x:f>
        <x:v>OPEN</x:v>
      </x:c>
      <x:c r="N10" s="10" t="str">
        <x:v>Total before provision</x:v>
      </x:c>
      <x:c r="O10" s="10"/>
      <x:c r="P10" s="10"/>
      <x:c r="Q10" s="10" t="n">
        <x:f>SUM(Q6:Q9)</x:f>
        <x:v>162240</x:v>
      </x:c>
    </x:row>
    <x:row r="11">
      <x:c r="A11" s="10" t="str">
        <x:v>EV-06</x:v>
      </x:c>
      <x:c r="B11" s="10" t="n">
        <x:v>256</x:v>
      </x:c>
      <x:c r="C11" s="12"/>
      <x:c r="D11" s="10" t="n">
        <x:v>240</x:v>
      </x:c>
      <x:c r="E11" s="12"/>
      <x:c r="F11" s="10" t="n">
        <x:v>4</x:v>
      </x:c>
      <x:c r="G11" s="12"/>
      <x:c r="H11" s="12"/>
      <x:c r="I11" s="12"/>
      <x:c r="J11" s="12"/>
      <x:c r="K11" s="10" t="str">
        <x:f>IF(COUNTIF(Safeing!$F$6:$F$21,"COMPLETE")=16,"COMPLETE","OPEN")</x:f>
        <x:v>OPEN</x:v>
      </x:c>
      <x:c r="L11" s="10" t="str">
        <x:f>IF(OR(C11="",E11="",G11="",H11="",I11="",J11=""),"OPEN",IF(AND(C11=B11,E11=D11,G11=F11,H11="ACCEPTED",I11="SEALED",J11="SEALED",K11="COMPLETE"),"COMPLETE","DENY"))</x:f>
        <x:v>OPEN</x:v>
      </x:c>
      <x:c r="N11" s="10" t="str">
        <x:v>Provision</x:v>
      </x:c>
      <x:c r="O11" s="10"/>
      <x:c r="P11" s="10"/>
      <x:c r="Q11" s="10" t="n">
        <x:f>'Assumptions'!B62</x:f>
        <x:v>200000</x:v>
      </x:c>
    </x:row>
    <x:row r="12">
      <x:c r="A12" s="10" t="str">
        <x:v>EV-07</x:v>
      </x:c>
      <x:c r="B12" s="10" t="n">
        <x:v>256</x:v>
      </x:c>
      <x:c r="C12" s="12"/>
      <x:c r="D12" s="10" t="n">
        <x:v>240</x:v>
      </x:c>
      <x:c r="E12" s="12"/>
      <x:c r="F12" s="10" t="n">
        <x:v>4</x:v>
      </x:c>
      <x:c r="G12" s="12"/>
      <x:c r="H12" s="12"/>
      <x:c r="I12" s="12"/>
      <x:c r="J12" s="12"/>
      <x:c r="K12" s="10" t="str">
        <x:f>IF(COUNTIF(Safeing!$F$6:$F$21,"COMPLETE")=16,"COMPLETE","OPEN")</x:f>
        <x:v>OPEN</x:v>
      </x:c>
      <x:c r="L12" s="10" t="str">
        <x:f>IF(OR(C12="",E12="",G12="",H12="",I12="",J12=""),"OPEN",IF(AND(C12=B12,E12=D12,G12=F12,H12="ACCEPTED",I12="SEALED",J12="SEALED",K12="COMPLETE"),"COMPLETE","DENY"))</x:f>
        <x:v>OPEN</x:v>
      </x:c>
      <x:c r="N12" s="10" t="str">
        <x:v>Headroom</x:v>
      </x:c>
      <x:c r="O12" s="10"/>
      <x:c r="P12" s="10"/>
      <x:c r="Q12" s="10" t="n">
        <x:f>Q11-Q10</x:f>
        <x:v>37760</x:v>
      </x:c>
    </x:row>
    <x:row r="13">
      <x:c r="A13" s="10" t="str">
        <x:v>EV-08</x:v>
      </x:c>
      <x:c r="B13" s="10" t="n">
        <x:v>256</x:v>
      </x:c>
      <x:c r="C13" s="12"/>
      <x:c r="D13" s="10" t="n">
        <x:v>240</x:v>
      </x:c>
      <x:c r="E13" s="12"/>
      <x:c r="F13" s="10" t="n">
        <x:v>4</x:v>
      </x:c>
      <x:c r="G13" s="12"/>
      <x:c r="H13" s="12"/>
      <x:c r="I13" s="12"/>
      <x:c r="J13" s="12"/>
      <x:c r="K13" s="10" t="str">
        <x:f>IF(COUNTIF(Safeing!$F$6:$F$21,"COMPLETE")=16,"COMPLETE","OPEN")</x:f>
        <x:v>OPEN</x:v>
      </x:c>
      <x:c r="L13" s="10" t="str">
        <x:f>IF(OR(C13="",E13="",G13="",H13="",I13="",J13=""),"OPEN",IF(AND(C13=B13,E13=D13,G13=F13,H13="ACCEPTED",I13="SEALED",J13="SEALED",K13="COMPLETE"),"COMPLETE","DENY"))</x:f>
        <x:v>OPEN</x:v>
      </x:c>
    </x:row>
    <x:row r="14">
      <x:c r="A14" s="10" t="str">
        <x:v>EV-09</x:v>
      </x:c>
      <x:c r="B14" s="10" t="n">
        <x:v>256</x:v>
      </x:c>
      <x:c r="C14" s="12"/>
      <x:c r="D14" s="10" t="n">
        <x:v>240</x:v>
      </x:c>
      <x:c r="E14" s="12"/>
      <x:c r="F14" s="10" t="n">
        <x:v>4</x:v>
      </x:c>
      <x:c r="G14" s="12"/>
      <x:c r="H14" s="12"/>
      <x:c r="I14" s="12"/>
      <x:c r="J14" s="12"/>
      <x:c r="K14" s="10" t="str">
        <x:f>IF(COUNTIF(Safeing!$F$6:$F$21,"COMPLETE")=16,"COMPLETE","OPEN")</x:f>
        <x:v>OPEN</x:v>
      </x:c>
      <x:c r="L14" s="10" t="str">
        <x:f>IF(OR(C14="",E14="",G14="",H14="",I14="",J14=""),"OPEN",IF(AND(C14=B14,E14=D14,G14=F14,H14="ACCEPTED",I14="SEALED",J14="SEALED",K14="COMPLETE"),"COMPLETE","DENY"))</x:f>
        <x:v>OPEN</x:v>
      </x:c>
    </x:row>
    <x:row r="15">
      <x:c r="A15" s="10" t="str">
        <x:v>EV-10</x:v>
      </x:c>
      <x:c r="B15" s="10" t="n">
        <x:v>256</x:v>
      </x:c>
      <x:c r="C15" s="12"/>
      <x:c r="D15" s="10" t="n">
        <x:v>240</x:v>
      </x:c>
      <x:c r="E15" s="12"/>
      <x:c r="F15" s="10" t="n">
        <x:v>4</x:v>
      </x:c>
      <x:c r="G15" s="12"/>
      <x:c r="H15" s="12"/>
      <x:c r="I15" s="12"/>
      <x:c r="J15" s="12"/>
      <x:c r="K15" s="10" t="str">
        <x:f>IF(COUNTIF(Safeing!$F$6:$F$21,"COMPLETE")=16,"COMPLETE","OPEN")</x:f>
        <x:v>OPEN</x:v>
      </x:c>
      <x:c r="L15" s="10" t="str">
        <x:f>IF(OR(C15="",E15="",G15="",H15="",I15="",J15=""),"OPEN",IF(AND(C15=B15,E15=D15,G15=F15,H15="ACCEPTED",I15="SEALED",J15="SEALED",K15="COMPLETE"),"COMPLETE","DENY"))</x:f>
        <x:v>OPEN</x:v>
      </x:c>
    </x:row>
    <x:row r="16">
      <x:c r="A16" s="10" t="str">
        <x:v>EV-11</x:v>
      </x:c>
      <x:c r="B16" s="10" t="n">
        <x:v>256</x:v>
      </x:c>
      <x:c r="C16" s="12"/>
      <x:c r="D16" s="10" t="n">
        <x:v>240</x:v>
      </x:c>
      <x:c r="E16" s="12"/>
      <x:c r="F16" s="10" t="n">
        <x:v>4</x:v>
      </x:c>
      <x:c r="G16" s="12"/>
      <x:c r="H16" s="12"/>
      <x:c r="I16" s="12"/>
      <x:c r="J16" s="12"/>
      <x:c r="K16" s="10" t="str">
        <x:f>IF(COUNTIF(Safeing!$F$6:$F$21,"COMPLETE")=16,"COMPLETE","OPEN")</x:f>
        <x:v>OPEN</x:v>
      </x:c>
      <x:c r="L16" s="10" t="str">
        <x:f>IF(OR(C16="",E16="",G16="",H16="",I16="",J16=""),"OPEN",IF(AND(C16=B16,E16=D16,G16=F16,H16="ACCEPTED",I16="SEALED",J16="SEALED",K16="COMPLETE"),"COMPLETE","DENY"))</x:f>
        <x:v>OPEN</x:v>
      </x:c>
    </x:row>
    <x:row r="17">
      <x:c r="A17" s="10" t="str">
        <x:v>EV-12</x:v>
      </x:c>
      <x:c r="B17" s="10" t="n">
        <x:v>256</x:v>
      </x:c>
      <x:c r="C17" s="12"/>
      <x:c r="D17" s="10" t="n">
        <x:v>240</x:v>
      </x:c>
      <x:c r="E17" s="12"/>
      <x:c r="F17" s="10" t="n">
        <x:v>4</x:v>
      </x:c>
      <x:c r="G17" s="12"/>
      <x:c r="H17" s="12"/>
      <x:c r="I17" s="12"/>
      <x:c r="J17" s="12"/>
      <x:c r="K17" s="10" t="str">
        <x:f>IF(COUNTIF(Safeing!$F$6:$F$21,"COMPLETE")=16,"COMPLETE","OPEN")</x:f>
        <x:v>OPEN</x:v>
      </x:c>
      <x:c r="L17" s="10" t="str">
        <x:f>IF(OR(C17="",E17="",G17="",H17="",I17="",J17=""),"OPEN",IF(AND(C17=B17,E17=D17,G17=F17,H17="ACCEPTED",I17="SEALED",J17="SEALED",K17="COMPLETE"),"COMPLETE","DENY"))</x:f>
        <x:v>OPEN</x:v>
      </x:c>
    </x:row>
    <x:row r="18">
      <x:c r="A18" s="10" t="str">
        <x:v>EV-13</x:v>
      </x:c>
      <x:c r="B18" s="10" t="n">
        <x:v>256</x:v>
      </x:c>
      <x:c r="C18" s="12"/>
      <x:c r="D18" s="10" t="n">
        <x:v>240</x:v>
      </x:c>
      <x:c r="E18" s="12"/>
      <x:c r="F18" s="10" t="n">
        <x:v>4</x:v>
      </x:c>
      <x:c r="G18" s="12"/>
      <x:c r="H18" s="12"/>
      <x:c r="I18" s="12"/>
      <x:c r="J18" s="12"/>
      <x:c r="K18" s="10" t="str">
        <x:f>IF(COUNTIF(Safeing!$F$6:$F$21,"COMPLETE")=16,"COMPLETE","OPEN")</x:f>
        <x:v>OPEN</x:v>
      </x:c>
      <x:c r="L18" s="10" t="str">
        <x:f>IF(OR(C18="",E18="",G18="",H18="",I18="",J18=""),"OPEN",IF(AND(C18=B18,E18=D18,G18=F18,H18="ACCEPTED",I18="SEALED",J18="SEALED",K18="COMPLETE"),"COMPLETE","DENY"))</x:f>
        <x:v>OPEN</x:v>
      </x:c>
    </x:row>
    <x:row r="19">
      <x:c r="A19" s="10" t="str">
        <x:v>EV-14</x:v>
      </x:c>
      <x:c r="B19" s="10" t="n">
        <x:v>256</x:v>
      </x:c>
      <x:c r="C19" s="12"/>
      <x:c r="D19" s="10" t="n">
        <x:v>240</x:v>
      </x:c>
      <x:c r="E19" s="12"/>
      <x:c r="F19" s="10" t="n">
        <x:v>4</x:v>
      </x:c>
      <x:c r="G19" s="12"/>
      <x:c r="H19" s="12"/>
      <x:c r="I19" s="12"/>
      <x:c r="J19" s="12"/>
      <x:c r="K19" s="10" t="str">
        <x:f>IF(COUNTIF(Safeing!$F$6:$F$21,"COMPLETE")=16,"COMPLETE","OPEN")</x:f>
        <x:v>OPEN</x:v>
      </x:c>
      <x:c r="L19" s="10" t="str">
        <x:f>IF(OR(C19="",E19="",G19="",H19="",I19="",J19=""),"OPEN",IF(AND(C19=B19,E19=D19,G19=F19,H19="ACCEPTED",I19="SEALED",J19="SEALED",K19="COMPLETE"),"COMPLETE","DENY"))</x:f>
        <x:v>OPEN</x:v>
      </x:c>
    </x:row>
    <x:row r="20">
      <x:c r="A20" s="10" t="str">
        <x:v>EV-15</x:v>
      </x:c>
      <x:c r="B20" s="10" t="n">
        <x:v>256</x:v>
      </x:c>
      <x:c r="C20" s="12"/>
      <x:c r="D20" s="10" t="n">
        <x:v>240</x:v>
      </x:c>
      <x:c r="E20" s="12"/>
      <x:c r="F20" s="10" t="n">
        <x:v>4</x:v>
      </x:c>
      <x:c r="G20" s="12"/>
      <x:c r="H20" s="12"/>
      <x:c r="I20" s="12"/>
      <x:c r="J20" s="12"/>
      <x:c r="K20" s="10" t="str">
        <x:f>IF(COUNTIF(Safeing!$F$6:$F$21,"COMPLETE")=16,"COMPLETE","OPEN")</x:f>
        <x:v>OPEN</x:v>
      </x:c>
      <x:c r="L20" s="10" t="str">
        <x:f>IF(OR(C20="",E20="",G20="",H20="",I20="",J20=""),"OPEN",IF(AND(C20=B20,E20=D20,G20=F20,H20="ACCEPTED",I20="SEALED",J20="SEALED",K20="COMPLETE"),"COMPLETE","DENY"))</x:f>
        <x:v>OPEN</x:v>
      </x:c>
    </x:row>
    <x:row r="21">
      <x:c r="A21" s="10" t="str">
        <x:v>EV-16</x:v>
      </x:c>
      <x:c r="B21" s="10" t="n">
        <x:v>256</x:v>
      </x:c>
      <x:c r="C21" s="12"/>
      <x:c r="D21" s="10" t="n">
        <x:v>240</x:v>
      </x:c>
      <x:c r="E21" s="12"/>
      <x:c r="F21" s="10" t="n">
        <x:v>4</x:v>
      </x:c>
      <x:c r="G21" s="12"/>
      <x:c r="H21" s="12"/>
      <x:c r="I21" s="12"/>
      <x:c r="J21" s="12"/>
      <x:c r="K21" s="10" t="str">
        <x:f>IF(COUNTIF(Safeing!$F$6:$F$21,"COMPLETE")=16,"COMPLETE","OPEN")</x:f>
        <x:v>OPEN</x:v>
      </x:c>
      <x:c r="L21" s="10" t="str">
        <x:f>IF(OR(C21="",E21="",G21="",H21="",I21="",J21=""),"OPEN",IF(AND(C21=B21,E21=D21,G21=F21,H21="ACCEPTED",I21="SEALED",J21="SEALED",K21="COMPLETE"),"COMPLETE","DENY"))</x:f>
        <x:v>OPEN</x:v>
      </x:c>
    </x:row>
  </x:sheetData>
  <x:mergeCells>
    <x:mergeCell ref="A2:L2"/>
  </x:mergeCells>
  <x:conditionalFormatting sqref="L6:L21">
    <x:cfRule type="containsText" dxfId="120" priority="1" operator="containsText" text="DENY"/>
    <x:cfRule type="containsText" dxfId="121" priority="2" operator="containsText" text="ADVERSE"/>
    <x:cfRule type="containsText" dxfId="122" priority="3" operator="containsText" text="FAIL"/>
    <x:cfRule type="containsText" dxfId="123" priority="4" operator="containsText" text="OPEN"/>
    <x:cfRule type="containsText" dxfId="124" priority="5" operator="containsText" text="BLOCKED"/>
    <x:cfRule type="containsText" dxfId="125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c4c3454fa37b4b4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20" hidden="0" customWidth="1"/>
    <x:col min="5" max="5" width="18" hidden="0" customWidth="1"/>
    <x:col min="6" max="6" width="26" hidden="0" customWidth="1"/>
    <x:col min="7" max="7" width="26" hidden="0" customWidth="1"/>
    <x:col min="8" max="8" width="18" hidden="0" customWidth="1"/>
    <x:col min="9" max="9" width="17" hidden="0" customWidth="1"/>
    <x:col min="10" max="10" width="20" hidden="0" customWidth="1"/>
    <x:col min="11" max="11" width="21" hidden="0" customWidth="1"/>
    <x:col min="12" max="12" width="22" hidden="0" customWidth="1"/>
    <x:col min="13" max="13" width="22" hidden="0" customWidth="1"/>
    <x:col min="14" max="14" width="15" hidden="0" customWidth="1"/>
  </x:cols>
  <x:sheetData>
    <x:row r="2" ht="24" customHeight="1">
      <x:c r="A2" s="1" t="str">
        <x:v>Six-hundred-seventy-two-hour wet and coded return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8" t="str">
        <x:v>Event</x:v>
      </x:c>
      <x:c r="B5" s="8" t="str">
        <x:v>Required h</x:v>
      </x:c>
      <x:c r="C5" s="8" t="str">
        <x:v>Elapsed h</x:v>
      </x:c>
      <x:c r="D5" s="8" t="str">
        <x:v>Required decisions</x:v>
      </x:c>
      <x:c r="E5" s="8" t="str">
        <x:v>Closed decisions</x:v>
      </x:c>
      <x:c r="F5" s="8" t="str">
        <x:v>Root A prior-code carryover</x:v>
      </x:c>
      <x:c r="G5" s="8" t="str">
        <x:v>Root B prior-code carryover</x:v>
      </x:c>
      <x:c r="H5" s="8" t="str">
        <x:v>Sampler baseline</x:v>
      </x:c>
      <x:c r="I5" s="8" t="str">
        <x:v>Reader baseline</x:v>
      </x:c>
      <x:c r="J5" s="8" t="str">
        <x:v>Code-stock custody</x:v>
      </x:c>
      <x:c r="K5" s="8" t="str">
        <x:v>Analytical residuals</x:v>
      </x:c>
      <x:c r="L5" s="8" t="str">
        <x:v>Waste and quarantine</x:v>
      </x:c>
      <x:c r="M5" s="8" t="str">
        <x:v>Authority disposition</x:v>
      </x:c>
      <x:c r="N5" s="8" t="str">
        <x:v>State</x:v>
      </x:c>
    </x:row>
    <x:row r="6">
      <x:c r="A6" s="10" t="str">
        <x:v>EV-01</x:v>
      </x:c>
      <x:c r="B6" s="10" t="n">
        <x:v>672</x:v>
      </x:c>
      <x:c r="C6" s="12"/>
      <x:c r="D6" s="10" t="n">
        <x:v>24</x:v>
      </x:c>
      <x:c r="E6" s="12"/>
      <x:c r="F6" s="12"/>
      <x:c r="G6" s="12"/>
      <x:c r="H6" s="12"/>
      <x:c r="I6" s="12"/>
      <x:c r="J6" s="12"/>
      <x:c r="K6" s="12"/>
      <x:c r="L6" s="12"/>
      <x:c r="M6" s="12"/>
      <x:c r="N6" s="10" t="str">
        <x:f>IF(OR(COUNT(C6:G6)&lt;5,COUNTA(H6:M6)&lt;6),"OPEN",IF(AND(C6&gt;=B6,E6=D6,F6&lt;='Assumptions'!$B$42,G6&lt;='Assumptions'!$B$42,H6="ACCEPTED",I6="ACCEPTED",J6="ACCEPTED",K6="ACCEPTED",L6="ACCEPTED",M6="ACCEPTED"),"ACCEPTED","DENY"))</x:f>
        <x:v>OPEN</x:v>
      </x:c>
    </x:row>
    <x:row r="7">
      <x:c r="A7" s="10" t="str">
        <x:v>EV-02</x:v>
      </x:c>
      <x:c r="B7" s="10" t="n">
        <x:v>672</x:v>
      </x:c>
      <x:c r="C7" s="12"/>
      <x:c r="D7" s="10" t="n">
        <x:v>24</x:v>
      </x:c>
      <x:c r="E7" s="12"/>
      <x:c r="F7" s="12"/>
      <x:c r="G7" s="12"/>
      <x:c r="H7" s="12"/>
      <x:c r="I7" s="12"/>
      <x:c r="J7" s="12"/>
      <x:c r="K7" s="12"/>
      <x:c r="L7" s="12"/>
      <x:c r="M7" s="12"/>
      <x:c r="N7" s="10" t="str">
        <x:f>IF(OR(COUNT(C7:G7)&lt;5,COUNTA(H7:M7)&lt;6),"OPEN",IF(AND(C7&gt;=B7,E7=D7,F7&lt;='Assumptions'!$B$42,G7&lt;='Assumptions'!$B$42,H7="ACCEPTED",I7="ACCEPTED",J7="ACCEPTED",K7="ACCEPTED",L7="ACCEPTED",M7="ACCEPTED"),"ACCEPTED","DENY"))</x:f>
        <x:v>OPEN</x:v>
      </x:c>
    </x:row>
    <x:row r="8">
      <x:c r="A8" s="10" t="str">
        <x:v>EV-03</x:v>
      </x:c>
      <x:c r="B8" s="10" t="n">
        <x:v>672</x:v>
      </x:c>
      <x:c r="C8" s="12"/>
      <x:c r="D8" s="10" t="n">
        <x:v>24</x:v>
      </x:c>
      <x:c r="E8" s="12"/>
      <x:c r="F8" s="12"/>
      <x:c r="G8" s="12"/>
      <x:c r="H8" s="12"/>
      <x:c r="I8" s="12"/>
      <x:c r="J8" s="12"/>
      <x:c r="K8" s="12"/>
      <x:c r="L8" s="12"/>
      <x:c r="M8" s="12"/>
      <x:c r="N8" s="10" t="str">
        <x:f>IF(OR(COUNT(C8:G8)&lt;5,COUNTA(H8:M8)&lt;6),"OPEN",IF(AND(C8&gt;=B8,E8=D8,F8&lt;='Assumptions'!$B$42,G8&lt;='Assumptions'!$B$42,H8="ACCEPTED",I8="ACCEPTED",J8="ACCEPTED",K8="ACCEPTED",L8="ACCEPTED",M8="ACCEPTED"),"ACCEPTED","DENY"))</x:f>
        <x:v>OPEN</x:v>
      </x:c>
    </x:row>
    <x:row r="9">
      <x:c r="A9" s="10" t="str">
        <x:v>EV-04</x:v>
      </x:c>
      <x:c r="B9" s="10" t="n">
        <x:v>672</x:v>
      </x:c>
      <x:c r="C9" s="12"/>
      <x:c r="D9" s="10" t="n">
        <x:v>24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0" t="str">
        <x:f>IF(OR(COUNT(C9:G9)&lt;5,COUNTA(H9:M9)&lt;6),"OPEN",IF(AND(C9&gt;=B9,E9=D9,F9&lt;='Assumptions'!$B$42,G9&lt;='Assumptions'!$B$42,H9="ACCEPTED",I9="ACCEPTED",J9="ACCEPTED",K9="ACCEPTED",L9="ACCEPTED",M9="ACCEPTED"),"ACCEPTED","DENY"))</x:f>
        <x:v>OPEN</x:v>
      </x:c>
    </x:row>
    <x:row r="10">
      <x:c r="A10" s="10" t="str">
        <x:v>EV-05</x:v>
      </x:c>
      <x:c r="B10" s="10" t="n">
        <x:v>672</x:v>
      </x:c>
      <x:c r="C10" s="12"/>
      <x:c r="D10" s="10" t="n">
        <x:v>24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0" t="str">
        <x:f>IF(OR(COUNT(C10:G10)&lt;5,COUNTA(H10:M10)&lt;6),"OPEN",IF(AND(C10&gt;=B10,E10=D10,F10&lt;='Assumptions'!$B$42,G10&lt;='Assumptions'!$B$42,H10="ACCEPTED",I10="ACCEPTED",J10="ACCEPTED",K10="ACCEPTED",L10="ACCEPTED",M10="ACCEPTED"),"ACCEPTED","DENY"))</x:f>
        <x:v>OPEN</x:v>
      </x:c>
    </x:row>
    <x:row r="11">
      <x:c r="A11" s="10" t="str">
        <x:v>EV-06</x:v>
      </x:c>
      <x:c r="B11" s="10" t="n">
        <x:v>672</x:v>
      </x:c>
      <x:c r="C11" s="12"/>
      <x:c r="D11" s="10" t="n">
        <x:v>24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0" t="str">
        <x:f>IF(OR(COUNT(C11:G11)&lt;5,COUNTA(H11:M11)&lt;6),"OPEN",IF(AND(C11&gt;=B11,E11=D11,F11&lt;='Assumptions'!$B$42,G11&lt;='Assumptions'!$B$42,H11="ACCEPTED",I11="ACCEPTED",J11="ACCEPTED",K11="ACCEPTED",L11="ACCEPTED",M11="ACCEPTED"),"ACCEPTED","DENY"))</x:f>
        <x:v>OPEN</x:v>
      </x:c>
    </x:row>
    <x:row r="12">
      <x:c r="A12" s="10" t="str">
        <x:v>EV-07</x:v>
      </x:c>
      <x:c r="B12" s="10" t="n">
        <x:v>672</x:v>
      </x:c>
      <x:c r="C12" s="12"/>
      <x:c r="D12" s="10" t="n">
        <x:v>24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0" t="str">
        <x:f>IF(OR(COUNT(C12:G12)&lt;5,COUNTA(H12:M12)&lt;6),"OPEN",IF(AND(C12&gt;=B12,E12=D12,F12&lt;='Assumptions'!$B$42,G12&lt;='Assumptions'!$B$42,H12="ACCEPTED",I12="ACCEPTED",J12="ACCEPTED",K12="ACCEPTED",L12="ACCEPTED",M12="ACCEPTED"),"ACCEPTED","DENY"))</x:f>
        <x:v>OPEN</x:v>
      </x:c>
    </x:row>
    <x:row r="13">
      <x:c r="A13" s="10" t="str">
        <x:v>EV-08</x:v>
      </x:c>
      <x:c r="B13" s="10" t="n">
        <x:v>672</x:v>
      </x:c>
      <x:c r="C13" s="12"/>
      <x:c r="D13" s="10" t="n">
        <x:v>24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0" t="str">
        <x:f>IF(OR(COUNT(C13:G13)&lt;5,COUNTA(H13:M13)&lt;6),"OPEN",IF(AND(C13&gt;=B13,E13=D13,F13&lt;='Assumptions'!$B$42,G13&lt;='Assumptions'!$B$42,H13="ACCEPTED",I13="ACCEPTED",J13="ACCEPTED",K13="ACCEPTED",L13="ACCEPTED",M13="ACCEPTED"),"ACCEPTED","DENY"))</x:f>
        <x:v>OPEN</x:v>
      </x:c>
    </x:row>
    <x:row r="14">
      <x:c r="A14" s="10" t="str">
        <x:v>EV-09</x:v>
      </x:c>
      <x:c r="B14" s="10" t="n">
        <x:v>672</x:v>
      </x:c>
      <x:c r="C14" s="12"/>
      <x:c r="D14" s="10" t="n">
        <x:v>24</x:v>
      </x:c>
      <x:c r="E14" s="12"/>
      <x:c r="F14" s="12"/>
      <x:c r="G14" s="12"/>
      <x:c r="H14" s="12"/>
      <x:c r="I14" s="12"/>
      <x:c r="J14" s="12"/>
      <x:c r="K14" s="12"/>
      <x:c r="L14" s="12"/>
      <x:c r="M14" s="12"/>
      <x:c r="N14" s="10" t="str">
        <x:f>IF(OR(COUNT(C14:G14)&lt;5,COUNTA(H14:M14)&lt;6),"OPEN",IF(AND(C14&gt;=B14,E14=D14,F14&lt;='Assumptions'!$B$42,G14&lt;='Assumptions'!$B$42,H14="ACCEPTED",I14="ACCEPTED",J14="ACCEPTED",K14="ACCEPTED",L14="ACCEPTED",M14="ACCEPTED"),"ACCEPTED","DENY"))</x:f>
        <x:v>OPEN</x:v>
      </x:c>
    </x:row>
    <x:row r="15">
      <x:c r="A15" s="10" t="str">
        <x:v>EV-10</x:v>
      </x:c>
      <x:c r="B15" s="10" t="n">
        <x:v>672</x:v>
      </x:c>
      <x:c r="C15" s="12"/>
      <x:c r="D15" s="10" t="n">
        <x:v>24</x:v>
      </x:c>
      <x:c r="E15" s="12"/>
      <x:c r="F15" s="12"/>
      <x:c r="G15" s="12"/>
      <x:c r="H15" s="12"/>
      <x:c r="I15" s="12"/>
      <x:c r="J15" s="12"/>
      <x:c r="K15" s="12"/>
      <x:c r="L15" s="12"/>
      <x:c r="M15" s="12"/>
      <x:c r="N15" s="10" t="str">
        <x:f>IF(OR(COUNT(C15:G15)&lt;5,COUNTA(H15:M15)&lt;6),"OPEN",IF(AND(C15&gt;=B15,E15=D15,F15&lt;='Assumptions'!$B$42,G15&lt;='Assumptions'!$B$42,H15="ACCEPTED",I15="ACCEPTED",J15="ACCEPTED",K15="ACCEPTED",L15="ACCEPTED",M15="ACCEPTED"),"ACCEPTED","DENY"))</x:f>
        <x:v>OPEN</x:v>
      </x:c>
    </x:row>
    <x:row r="16">
      <x:c r="A16" s="10" t="str">
        <x:v>EV-11</x:v>
      </x:c>
      <x:c r="B16" s="10" t="n">
        <x:v>672</x:v>
      </x:c>
      <x:c r="C16" s="12"/>
      <x:c r="D16" s="10" t="n">
        <x:v>24</x:v>
      </x:c>
      <x:c r="E16" s="12"/>
      <x:c r="F16" s="12"/>
      <x:c r="G16" s="12"/>
      <x:c r="H16" s="12"/>
      <x:c r="I16" s="12"/>
      <x:c r="J16" s="12"/>
      <x:c r="K16" s="12"/>
      <x:c r="L16" s="12"/>
      <x:c r="M16" s="12"/>
      <x:c r="N16" s="10" t="str">
        <x:f>IF(OR(COUNT(C16:G16)&lt;5,COUNTA(H16:M16)&lt;6),"OPEN",IF(AND(C16&gt;=B16,E16=D16,F16&lt;='Assumptions'!$B$42,G16&lt;='Assumptions'!$B$42,H16="ACCEPTED",I16="ACCEPTED",J16="ACCEPTED",K16="ACCEPTED",L16="ACCEPTED",M16="ACCEPTED"),"ACCEPTED","DENY"))</x:f>
        <x:v>OPEN</x:v>
      </x:c>
    </x:row>
    <x:row r="17">
      <x:c r="A17" s="10" t="str">
        <x:v>EV-12</x:v>
      </x:c>
      <x:c r="B17" s="10" t="n">
        <x:v>672</x:v>
      </x:c>
      <x:c r="C17" s="12"/>
      <x:c r="D17" s="10" t="n">
        <x:v>24</x:v>
      </x:c>
      <x:c r="E17" s="12"/>
      <x:c r="F17" s="12"/>
      <x:c r="G17" s="12"/>
      <x:c r="H17" s="12"/>
      <x:c r="I17" s="12"/>
      <x:c r="J17" s="12"/>
      <x:c r="K17" s="12"/>
      <x:c r="L17" s="12"/>
      <x:c r="M17" s="12"/>
      <x:c r="N17" s="10" t="str">
        <x:f>IF(OR(COUNT(C17:G17)&lt;5,COUNTA(H17:M17)&lt;6),"OPEN",IF(AND(C17&gt;=B17,E17=D17,F17&lt;='Assumptions'!$B$42,G17&lt;='Assumptions'!$B$42,H17="ACCEPTED",I17="ACCEPTED",J17="ACCEPTED",K17="ACCEPTED",L17="ACCEPTED",M17="ACCEPTED"),"ACCEPTED","DENY"))</x:f>
        <x:v>OPEN</x:v>
      </x:c>
    </x:row>
    <x:row r="18">
      <x:c r="A18" s="10" t="str">
        <x:v>EV-13</x:v>
      </x:c>
      <x:c r="B18" s="10" t="n">
        <x:v>672</x:v>
      </x:c>
      <x:c r="C18" s="12"/>
      <x:c r="D18" s="10" t="n">
        <x:v>24</x:v>
      </x:c>
      <x:c r="E18" s="12"/>
      <x:c r="F18" s="12"/>
      <x:c r="G18" s="12"/>
      <x:c r="H18" s="12"/>
      <x:c r="I18" s="12"/>
      <x:c r="J18" s="12"/>
      <x:c r="K18" s="12"/>
      <x:c r="L18" s="12"/>
      <x:c r="M18" s="12"/>
      <x:c r="N18" s="10" t="str">
        <x:f>IF(OR(COUNT(C18:G18)&lt;5,COUNTA(H18:M18)&lt;6),"OPEN",IF(AND(C18&gt;=B18,E18=D18,F18&lt;='Assumptions'!$B$42,G18&lt;='Assumptions'!$B$42,H18="ACCEPTED",I18="ACCEPTED",J18="ACCEPTED",K18="ACCEPTED",L18="ACCEPTED",M18="ACCEPTED"),"ACCEPTED","DENY"))</x:f>
        <x:v>OPEN</x:v>
      </x:c>
    </x:row>
    <x:row r="19">
      <x:c r="A19" s="10" t="str">
        <x:v>EV-14</x:v>
      </x:c>
      <x:c r="B19" s="10" t="n">
        <x:v>672</x:v>
      </x:c>
      <x:c r="C19" s="12"/>
      <x:c r="D19" s="10" t="n">
        <x:v>24</x:v>
      </x:c>
      <x:c r="E19" s="12"/>
      <x:c r="F19" s="12"/>
      <x:c r="G19" s="12"/>
      <x:c r="H19" s="12"/>
      <x:c r="I19" s="12"/>
      <x:c r="J19" s="12"/>
      <x:c r="K19" s="12"/>
      <x:c r="L19" s="12"/>
      <x:c r="M19" s="12"/>
      <x:c r="N19" s="10" t="str">
        <x:f>IF(OR(COUNT(C19:G19)&lt;5,COUNTA(H19:M19)&lt;6),"OPEN",IF(AND(C19&gt;=B19,E19=D19,F19&lt;='Assumptions'!$B$42,G19&lt;='Assumptions'!$B$42,H19="ACCEPTED",I19="ACCEPTED",J19="ACCEPTED",K19="ACCEPTED",L19="ACCEPTED",M19="ACCEPTED"),"ACCEPTED","DENY"))</x:f>
        <x:v>OPEN</x:v>
      </x:c>
    </x:row>
    <x:row r="20">
      <x:c r="A20" s="10" t="str">
        <x:v>EV-15</x:v>
      </x:c>
      <x:c r="B20" s="10" t="n">
        <x:v>672</x:v>
      </x:c>
      <x:c r="C20" s="12"/>
      <x:c r="D20" s="10" t="n">
        <x:v>24</x:v>
      </x:c>
      <x:c r="E20" s="12"/>
      <x:c r="F20" s="12"/>
      <x:c r="G20" s="12"/>
      <x:c r="H20" s="12"/>
      <x:c r="I20" s="12"/>
      <x:c r="J20" s="12"/>
      <x:c r="K20" s="12"/>
      <x:c r="L20" s="12"/>
      <x:c r="M20" s="12"/>
      <x:c r="N20" s="10" t="str">
        <x:f>IF(OR(COUNT(C20:G20)&lt;5,COUNTA(H20:M20)&lt;6),"OPEN",IF(AND(C20&gt;=B20,E20=D20,F20&lt;='Assumptions'!$B$42,G20&lt;='Assumptions'!$B$42,H20="ACCEPTED",I20="ACCEPTED",J20="ACCEPTED",K20="ACCEPTED",L20="ACCEPTED",M20="ACCEPTED"),"ACCEPTED","DENY"))</x:f>
        <x:v>OPEN</x:v>
      </x:c>
    </x:row>
    <x:row r="21">
      <x:c r="A21" s="10" t="str">
        <x:v>EV-16</x:v>
      </x:c>
      <x:c r="B21" s="10" t="n">
        <x:v>672</x:v>
      </x:c>
      <x:c r="C21" s="12"/>
      <x:c r="D21" s="10" t="n">
        <x:v>24</x:v>
      </x:c>
      <x:c r="E21" s="12"/>
      <x:c r="F21" s="12"/>
      <x:c r="G21" s="12"/>
      <x:c r="H21" s="12"/>
      <x:c r="I21" s="12"/>
      <x:c r="J21" s="12"/>
      <x:c r="K21" s="12"/>
      <x:c r="L21" s="12"/>
      <x:c r="M21" s="12"/>
      <x:c r="N21" s="10" t="str">
        <x:f>IF(OR(COUNT(C21:G21)&lt;5,COUNTA(H21:M21)&lt;6),"OPEN",IF(AND(C21&gt;=B21,E21=D21,F21&lt;='Assumptions'!$B$42,G21&lt;='Assumptions'!$B$42,H21="ACCEPTED",I21="ACCEPTED",J21="ACCEPTED",K21="ACCEPTED",L21="ACCEPTED",M21="ACCEPTED"),"ACCEPTED","DENY"))</x:f>
        <x:v>OPEN</x:v>
      </x:c>
    </x:row>
  </x:sheetData>
  <x:mergeCells>
    <x:mergeCell ref="A2:N2"/>
  </x:mergeCells>
  <x:conditionalFormatting sqref="N6:N21">
    <x:cfRule type="containsText" dxfId="126" priority="1" operator="containsText" text="DENY"/>
    <x:cfRule type="containsText" dxfId="127" priority="2" operator="containsText" text="ADVERSE"/>
    <x:cfRule type="containsText" dxfId="128" priority="3" operator="containsText" text="FAIL"/>
    <x:cfRule type="containsText" dxfId="129" priority="4" operator="containsText" text="OPEN"/>
    <x:cfRule type="containsText" dxfId="130" priority="5" operator="containsText" text="BLOCKED"/>
    <x:cfRule type="containsText" dxfId="131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d9b264b74ef644a2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8" hidden="0" customWidth="1"/>
    <x:col min="4" max="4" width="22" hidden="0" customWidth="1"/>
    <x:col min="5" max="5" width="22" hidden="0" customWidth="1"/>
    <x:col min="6" max="6" width="19" hidden="0" customWidth="1"/>
    <x:col min="7" max="7" width="15" hidden="0" customWidth="1"/>
  </x:cols>
  <x:sheetData>
    <x:row r="2" ht="24" customHeight="1">
      <x:c r="A2" s="1" t="str">
        <x:v>Sixteen outside replay decisions per event</x:v>
      </x:c>
    </x:row>
    <x:row r="4" ht="22" customHeight="1">
      <x:c r="A4" s="2"/>
      <x:c r="B4" s="2"/>
      <x:c r="C4" s="2"/>
      <x:c r="D4" s="2"/>
      <x:c r="E4" s="2"/>
      <x:c r="F4" s="2"/>
      <x:c r="G4" s="2"/>
    </x:row>
    <x:row r="5">
      <x:c r="A5" s="8" t="str">
        <x:v>Event</x:v>
      </x:c>
      <x:c r="B5" s="8" t="str">
        <x:v>Required decisions</x:v>
      </x:c>
      <x:c r="C5" s="8" t="str">
        <x:v>Closed decisions</x:v>
      </x:c>
      <x:c r="D5" s="8" t="str">
        <x:v>Root A native packet</x:v>
      </x:c>
      <x:c r="E5" s="8" t="str">
        <x:v>Root B native packet</x:v>
      </x:c>
      <x:c r="F5" s="8" t="str">
        <x:v>Outside authority</x:v>
      </x:c>
      <x:c r="G5" s="8" t="str">
        <x:v>State</x:v>
      </x:c>
    </x:row>
    <x:row r="6">
      <x:c r="A6" s="10" t="str">
        <x:v>EV-01</x:v>
      </x:c>
      <x:c r="B6" s="10" t="n">
        <x:v>16</x:v>
      </x:c>
      <x:c r="C6" s="12"/>
      <x:c r="D6" s="12"/>
      <x:c r="E6" s="12"/>
      <x:c r="F6" s="12"/>
      <x:c r="G6" s="10" t="str">
        <x:f>IF(OR(C6="",D6="",E6="",F6=""),"OPEN",IF(AND(C6=B6,D6="ACCEPTED",E6="ACCEPTED",F6="ACCEPTED"),"ACCEPTED","DENY"))</x:f>
        <x:v>OPEN</x:v>
      </x:c>
    </x:row>
    <x:row r="7">
      <x:c r="A7" s="10" t="str">
        <x:v>EV-02</x:v>
      </x:c>
      <x:c r="B7" s="10" t="n">
        <x:v>16</x:v>
      </x:c>
      <x:c r="C7" s="12"/>
      <x:c r="D7" s="12"/>
      <x:c r="E7" s="12"/>
      <x:c r="F7" s="12"/>
      <x:c r="G7" s="10" t="str">
        <x:f>IF(OR(C7="",D7="",E7="",F7=""),"OPEN",IF(AND(C7=B7,D7="ACCEPTED",E7="ACCEPTED",F7="ACCEPTED"),"ACCEPTED","DENY"))</x:f>
        <x:v>OPEN</x:v>
      </x:c>
    </x:row>
    <x:row r="8">
      <x:c r="A8" s="10" t="str">
        <x:v>EV-03</x:v>
      </x:c>
      <x:c r="B8" s="10" t="n">
        <x:v>16</x:v>
      </x:c>
      <x:c r="C8" s="12"/>
      <x:c r="D8" s="12"/>
      <x:c r="E8" s="12"/>
      <x:c r="F8" s="12"/>
      <x:c r="G8" s="10" t="str">
        <x:f>IF(OR(C8="",D8="",E8="",F8=""),"OPEN",IF(AND(C8=B8,D8="ACCEPTED",E8="ACCEPTED",F8="ACCEPTED"),"ACCEPTED","DENY"))</x:f>
        <x:v>OPEN</x:v>
      </x:c>
    </x:row>
    <x:row r="9">
      <x:c r="A9" s="10" t="str">
        <x:v>EV-04</x:v>
      </x:c>
      <x:c r="B9" s="10" t="n">
        <x:v>16</x:v>
      </x:c>
      <x:c r="C9" s="12"/>
      <x:c r="D9" s="12"/>
      <x:c r="E9" s="12"/>
      <x:c r="F9" s="12"/>
      <x:c r="G9" s="10" t="str">
        <x:f>IF(OR(C9="",D9="",E9="",F9=""),"OPEN",IF(AND(C9=B9,D9="ACCEPTED",E9="ACCEPTED",F9="ACCEPTED"),"ACCEPTED","DENY"))</x:f>
        <x:v>OPEN</x:v>
      </x:c>
    </x:row>
    <x:row r="10">
      <x:c r="A10" s="10" t="str">
        <x:v>EV-05</x:v>
      </x:c>
      <x:c r="B10" s="10" t="n">
        <x:v>16</x:v>
      </x:c>
      <x:c r="C10" s="12"/>
      <x:c r="D10" s="12"/>
      <x:c r="E10" s="12"/>
      <x:c r="F10" s="12"/>
      <x:c r="G10" s="10" t="str">
        <x:f>IF(OR(C10="",D10="",E10="",F10=""),"OPEN",IF(AND(C10=B10,D10="ACCEPTED",E10="ACCEPTED",F10="ACCEPTED"),"ACCEPTED","DENY"))</x:f>
        <x:v>OPEN</x:v>
      </x:c>
    </x:row>
    <x:row r="11">
      <x:c r="A11" s="10" t="str">
        <x:v>EV-06</x:v>
      </x:c>
      <x:c r="B11" s="10" t="n">
        <x:v>16</x:v>
      </x:c>
      <x:c r="C11" s="12"/>
      <x:c r="D11" s="12"/>
      <x:c r="E11" s="12"/>
      <x:c r="F11" s="12"/>
      <x:c r="G11" s="10" t="str">
        <x:f>IF(OR(C11="",D11="",E11="",F11=""),"OPEN",IF(AND(C11=B11,D11="ACCEPTED",E11="ACCEPTED",F11="ACCEPTED"),"ACCEPTED","DENY"))</x:f>
        <x:v>OPEN</x:v>
      </x:c>
    </x:row>
    <x:row r="12">
      <x:c r="A12" s="10" t="str">
        <x:v>EV-07</x:v>
      </x:c>
      <x:c r="B12" s="10" t="n">
        <x:v>16</x:v>
      </x:c>
      <x:c r="C12" s="12"/>
      <x:c r="D12" s="12"/>
      <x:c r="E12" s="12"/>
      <x:c r="F12" s="12"/>
      <x:c r="G12" s="10" t="str">
        <x:f>IF(OR(C12="",D12="",E12="",F12=""),"OPEN",IF(AND(C12=B12,D12="ACCEPTED",E12="ACCEPTED",F12="ACCEPTED"),"ACCEPTED","DENY"))</x:f>
        <x:v>OPEN</x:v>
      </x:c>
    </x:row>
    <x:row r="13">
      <x:c r="A13" s="10" t="str">
        <x:v>EV-08</x:v>
      </x:c>
      <x:c r="B13" s="10" t="n">
        <x:v>16</x:v>
      </x:c>
      <x:c r="C13" s="12"/>
      <x:c r="D13" s="12"/>
      <x:c r="E13" s="12"/>
      <x:c r="F13" s="12"/>
      <x:c r="G13" s="10" t="str">
        <x:f>IF(OR(C13="",D13="",E13="",F13=""),"OPEN",IF(AND(C13=B13,D13="ACCEPTED",E13="ACCEPTED",F13="ACCEPTED"),"ACCEPTED","DENY"))</x:f>
        <x:v>OPEN</x:v>
      </x:c>
    </x:row>
    <x:row r="14">
      <x:c r="A14" s="10" t="str">
        <x:v>EV-09</x:v>
      </x:c>
      <x:c r="B14" s="10" t="n">
        <x:v>16</x:v>
      </x:c>
      <x:c r="C14" s="12"/>
      <x:c r="D14" s="12"/>
      <x:c r="E14" s="12"/>
      <x:c r="F14" s="12"/>
      <x:c r="G14" s="10" t="str">
        <x:f>IF(OR(C14="",D14="",E14="",F14=""),"OPEN",IF(AND(C14=B14,D14="ACCEPTED",E14="ACCEPTED",F14="ACCEPTED"),"ACCEPTED","DENY"))</x:f>
        <x:v>OPEN</x:v>
      </x:c>
    </x:row>
    <x:row r="15">
      <x:c r="A15" s="10" t="str">
        <x:v>EV-10</x:v>
      </x:c>
      <x:c r="B15" s="10" t="n">
        <x:v>16</x:v>
      </x:c>
      <x:c r="C15" s="12"/>
      <x:c r="D15" s="12"/>
      <x:c r="E15" s="12"/>
      <x:c r="F15" s="12"/>
      <x:c r="G15" s="10" t="str">
        <x:f>IF(OR(C15="",D15="",E15="",F15=""),"OPEN",IF(AND(C15=B15,D15="ACCEPTED",E15="ACCEPTED",F15="ACCEPTED"),"ACCEPTED","DENY"))</x:f>
        <x:v>OPEN</x:v>
      </x:c>
    </x:row>
    <x:row r="16">
      <x:c r="A16" s="10" t="str">
        <x:v>EV-11</x:v>
      </x:c>
      <x:c r="B16" s="10" t="n">
        <x:v>16</x:v>
      </x:c>
      <x:c r="C16" s="12"/>
      <x:c r="D16" s="12"/>
      <x:c r="E16" s="12"/>
      <x:c r="F16" s="12"/>
      <x:c r="G16" s="10" t="str">
        <x:f>IF(OR(C16="",D16="",E16="",F16=""),"OPEN",IF(AND(C16=B16,D16="ACCEPTED",E16="ACCEPTED",F16="ACCEPTED"),"ACCEPTED","DENY"))</x:f>
        <x:v>OPEN</x:v>
      </x:c>
    </x:row>
    <x:row r="17">
      <x:c r="A17" s="10" t="str">
        <x:v>EV-12</x:v>
      </x:c>
      <x:c r="B17" s="10" t="n">
        <x:v>16</x:v>
      </x:c>
      <x:c r="C17" s="12"/>
      <x:c r="D17" s="12"/>
      <x:c r="E17" s="12"/>
      <x:c r="F17" s="12"/>
      <x:c r="G17" s="10" t="str">
        <x:f>IF(OR(C17="",D17="",E17="",F17=""),"OPEN",IF(AND(C17=B17,D17="ACCEPTED",E17="ACCEPTED",F17="ACCEPTED"),"ACCEPTED","DENY"))</x:f>
        <x:v>OPEN</x:v>
      </x:c>
    </x:row>
    <x:row r="18">
      <x:c r="A18" s="10" t="str">
        <x:v>EV-13</x:v>
      </x:c>
      <x:c r="B18" s="10" t="n">
        <x:v>16</x:v>
      </x:c>
      <x:c r="C18" s="12"/>
      <x:c r="D18" s="12"/>
      <x:c r="E18" s="12"/>
      <x:c r="F18" s="12"/>
      <x:c r="G18" s="10" t="str">
        <x:f>IF(OR(C18="",D18="",E18="",F18=""),"OPEN",IF(AND(C18=B18,D18="ACCEPTED",E18="ACCEPTED",F18="ACCEPTED"),"ACCEPTED","DENY"))</x:f>
        <x:v>OPEN</x:v>
      </x:c>
    </x:row>
    <x:row r="19">
      <x:c r="A19" s="10" t="str">
        <x:v>EV-14</x:v>
      </x:c>
      <x:c r="B19" s="10" t="n">
        <x:v>16</x:v>
      </x:c>
      <x:c r="C19" s="12"/>
      <x:c r="D19" s="12"/>
      <x:c r="E19" s="12"/>
      <x:c r="F19" s="12"/>
      <x:c r="G19" s="10" t="str">
        <x:f>IF(OR(C19="",D19="",E19="",F19=""),"OPEN",IF(AND(C19=B19,D19="ACCEPTED",E19="ACCEPTED",F19="ACCEPTED"),"ACCEPTED","DENY"))</x:f>
        <x:v>OPEN</x:v>
      </x:c>
    </x:row>
    <x:row r="20">
      <x:c r="A20" s="10" t="str">
        <x:v>EV-15</x:v>
      </x:c>
      <x:c r="B20" s="10" t="n">
        <x:v>16</x:v>
      </x:c>
      <x:c r="C20" s="12"/>
      <x:c r="D20" s="12"/>
      <x:c r="E20" s="12"/>
      <x:c r="F20" s="12"/>
      <x:c r="G20" s="10" t="str">
        <x:f>IF(OR(C20="",D20="",E20="",F20=""),"OPEN",IF(AND(C20=B20,D20="ACCEPTED",E20="ACCEPTED",F20="ACCEPTED"),"ACCEPTED","DENY"))</x:f>
        <x:v>OPEN</x:v>
      </x:c>
    </x:row>
    <x:row r="21">
      <x:c r="A21" s="10" t="str">
        <x:v>EV-16</x:v>
      </x:c>
      <x:c r="B21" s="10" t="n">
        <x:v>16</x:v>
      </x:c>
      <x:c r="C21" s="12"/>
      <x:c r="D21" s="12"/>
      <x:c r="E21" s="12"/>
      <x:c r="F21" s="12"/>
      <x:c r="G21" s="10" t="str">
        <x:f>IF(OR(C21="",D21="",E21="",F21=""),"OPEN",IF(AND(C21=B21,D21="ACCEPTED",E21="ACCEPTED",F21="ACCEPTED"),"ACCEPTED","DENY"))</x:f>
        <x:v>OPEN</x:v>
      </x:c>
    </x:row>
  </x:sheetData>
  <x:mergeCells>
    <x:mergeCell ref="A2:G2"/>
  </x:mergeCells>
  <x:conditionalFormatting sqref="G6:G21">
    <x:cfRule type="containsText" dxfId="132" priority="1" operator="containsText" text="DENY"/>
    <x:cfRule type="containsText" dxfId="133" priority="2" operator="containsText" text="ADVERSE"/>
    <x:cfRule type="containsText" dxfId="134" priority="3" operator="containsText" text="FAIL"/>
    <x:cfRule type="containsText" dxfId="135" priority="4" operator="containsText" text="OPEN"/>
    <x:cfRule type="containsText" dxfId="136" priority="5" operator="containsText" text="BLOCKED"/>
    <x:cfRule type="containsText" dxfId="137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0b61239f6ec54aa5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9" hidden="0" customWidth="1"/>
    <x:col min="4" max="4" width="15" hidden="0" customWidth="1"/>
  </x:cols>
  <x:sheetData>
    <x:row r="2" ht="24" customHeight="1">
      <x:c r="A2" s="1" t="str">
        <x:v>ER-03 class authority</x:v>
      </x:c>
    </x:row>
    <x:row r="4" ht="22" customHeight="1">
      <x:c r="A4" s="15" t="str">
        <x:v>No weighted score can offset a failed condition. Authority may issue only after the full experiment, return and replay estate is terminal.</x:v>
      </x:c>
      <x:c r="B4" s="24"/>
      <x:c r="C4" s="24"/>
      <x:c r="D4" s="24"/>
    </x:row>
    <x:row r="5">
      <x:c r="A5" s="8" t="str">
        <x:v>Condition</x:v>
      </x:c>
      <x:c r="B5" s="8" t="str">
        <x:v>Required</x:v>
      </x:c>
      <x:c r="C5" s="8" t="str">
        <x:v>Observed</x:v>
      </x:c>
      <x:c r="D5" s="8" t="str">
        <x:v>State</x:v>
      </x:c>
    </x:row>
    <x:row r="6">
      <x:c r="A6" s="10" t="str">
        <x:v>candidate articles terminal</x:v>
      </x:c>
      <x:c r="B6" s="10" t="n">
        <x:v>24</x:v>
      </x:c>
      <x:c r="C6" s="10" t="n">
        <x:f>COUNTIF('Candidate Articles'!$H$6:$H$29,"&lt;&gt;OPEN")</x:f>
        <x:v>0</x:v>
      </x:c>
      <x:c r="D6" s="10" t="str">
        <x:f>IF(C6=B6,"PASS",IF(C6="","OPEN","DENY"))</x:f>
        <x:v>OPEN</x:v>
      </x:c>
    </x:row>
    <x:row r="7">
      <x:c r="A7" s="10" t="str">
        <x:v>candidate trials terminal</x:v>
      </x:c>
      <x:c r="B7" s="10" t="n">
        <x:v>192</x:v>
      </x:c>
      <x:c r="C7" s="10" t="n">
        <x:f>COUNTIF('Candidate Trials'!$R$8:$R$199,"&lt;&gt;OPEN")</x:f>
        <x:v>0</x:v>
      </x:c>
      <x:c r="D7" s="10" t="str">
        <x:f>IF(C7=B7,"PASS",IF(C7="","OPEN","DENY"))</x:f>
        <x:v>OPEN</x:v>
      </x:c>
    </x:row>
    <x:row r="8">
      <x:c r="A8" s="10" t="str">
        <x:v>pair trials terminal</x:v>
      </x:c>
      <x:c r="B8" s="10" t="n">
        <x:v>144</x:v>
      </x:c>
      <x:c r="C8" s="10" t="n">
        <x:f>COUNTIF('Pair Trials'!$M$8:$M$151,"&lt;&gt;OPEN")</x:f>
        <x:v>0</x:v>
      </x:c>
      <x:c r="D8" s="10" t="str">
        <x:f>IF(C8=B8,"PASS",IF(C8="","OPEN","DENY"))</x:f>
        <x:v>OPEN</x:v>
      </x:c>
    </x:row>
    <x:row r="9">
      <x:c r="A9" s="10" t="str">
        <x:v>selected pair</x:v>
      </x:c>
      <x:c r="B9" s="10" t="n">
        <x:v>1</x:v>
      </x:c>
      <x:c r="C9" s="10" t="n">
        <x:f>COUNTIF('Pair Decision'!$L$6:$L$11,"SELECTED")</x:f>
        <x:v>0</x:v>
      </x:c>
      <x:c r="D9" s="10" t="str">
        <x:f>IF(C9=B9,"PASS",IF(C9="","OPEN","DENY"))</x:f>
        <x:v>OPEN</x:v>
      </x:c>
    </x:row>
    <x:row r="10">
      <x:c r="A10" s="10" t="str">
        <x:v>selected roots qualified</x:v>
      </x:c>
      <x:c r="B10" s="10" t="n">
        <x:v>2</x:v>
      </x:c>
      <x:c r="C10" s="10" t="n">
        <x:f>COUNTIFS(Candidates!$A$6:$A$9,'Pair Decision'!$B$16,Candidates!$J$6:$J$9,"QUALIFIED")+COUNTIFS(Candidates!$A$6:$A$9,'Pair Decision'!$B$17,Candidates!$J$6:$J$9,"QUALIFIED")</x:f>
        <x:v>0</x:v>
      </x:c>
      <x:c r="D10" s="10" t="str">
        <x:f>IF(C10=B10,"PASS",IF(C10="","OPEN","DENY"))</x:f>
        <x:v>OPEN</x:v>
      </x:c>
    </x:row>
    <x:row r="11">
      <x:c r="A11" s="10" t="str">
        <x:v>selected-pair passes</x:v>
      </x:c>
      <x:c r="B11" s="10" t="n">
        <x:v>24</x:v>
      </x:c>
      <x:c r="C11" s="10" t="n">
        <x:f>IF('Pair Decision'!$B$15="OPEN",0,INDEX('Pair Decision'!$E$6:$E$11,MATCH('Pair Decision'!$B$15,'Pair Decision'!$A$6:$A$11,0)))</x:f>
        <x:v>0</x:v>
      </x:c>
      <x:c r="D11" s="10" t="str">
        <x:f>IF(C11=B11,"PASS",IF(C11="","OPEN","DENY"))</x:f>
        <x:v>OPEN</x:v>
      </x:c>
    </x:row>
    <x:row r="12">
      <x:c r="A12" s="10" t="str">
        <x:v>full-scale qualification passes</x:v>
      </x:c>
      <x:c r="B12" s="10" t="n">
        <x:v>96</x:v>
      </x:c>
      <x:c r="C12" s="10" t="n">
        <x:f>COUNTIF('Qualification Cycles'!$W$8:$W$103,"PASS")</x:f>
        <x:v>0</x:v>
      </x:c>
      <x:c r="D12" s="10" t="str">
        <x:f>IF(C12=B12,"PASS",IF(C12="","OPEN","DENY"))</x:f>
        <x:v>OPEN</x:v>
      </x:c>
    </x:row>
    <x:row r="13">
      <x:c r="A13" s="10" t="str">
        <x:v>wettable modules accepted</x:v>
      </x:c>
      <x:c r="B13" s="10" t="n">
        <x:v>16</x:v>
      </x:c>
      <x:c r="C13" s="10" t="n">
        <x:f>COUNTIF('Module Bank'!$L$6:$L$21,"ACCEPTED")</x:f>
        <x:v>0</x:v>
      </x:c>
      <x:c r="D13" s="10" t="str">
        <x:f>IF(C13=B13,"PASS",IF(C13="","OPEN","DENY"))</x:f>
        <x:v>OPEN</x:v>
      </x:c>
    </x:row>
    <x:row r="14">
      <x:c r="A14" s="10" t="str">
        <x:v>forensic modules protected</x:v>
      </x:c>
      <x:c r="B14" s="10" t="n">
        <x:v>2</x:v>
      </x:c>
      <x:c r="C14" s="10" t="n">
        <x:f>COUNTIF('Module Bank'!$L$22:$L$23,"PROTECTED")</x:f>
        <x:v>0</x:v>
      </x:c>
      <x:c r="D14" s="10" t="str">
        <x:f>IF(C14=B14,"PASS",IF(C14="","OPEN","DENY"))</x:f>
        <x:v>OPEN</x:v>
      </x:c>
    </x:row>
    <x:row r="15">
      <x:c r="A15" s="10" t="str">
        <x:v>primary code schedules accepted</x:v>
      </x:c>
      <x:c r="B15" s="10" t="n">
        <x:v>12</x:v>
      </x:c>
      <x:c r="C15" s="10" t="n">
        <x:f>COUNTIF('Code Schedule'!$J$6:$J$17,"ACCEPTED")</x:f>
        <x:v>0</x:v>
      </x:c>
      <x:c r="D15" s="10" t="str">
        <x:f>IF(C15=B15,"PASS",IF(C15="","OPEN","DENY"))</x:f>
        <x:v>OPEN</x:v>
      </x:c>
    </x:row>
    <x:row r="16">
      <x:c r="A16" s="10" t="str">
        <x:v>primary water lots released</x:v>
      </x:c>
      <x:c r="B16" s="10" t="n">
        <x:v>12</x:v>
      </x:c>
      <x:c r="C16" s="10" t="n">
        <x:f>COUNTIF('Water Lots'!$N$6:$N$17,"RELEASED")</x:f>
        <x:v>0</x:v>
      </x:c>
      <x:c r="D16" s="10" t="str">
        <x:f>IF(C16=B16,"PASS",IF(C16="","OPEN","DENY"))</x:f>
        <x:v>OPEN</x:v>
      </x:c>
    </x:row>
    <x:row r="17">
      <x:c r="A17" s="10" t="str">
        <x:v>primary simulant lots released</x:v>
      </x:c>
      <x:c r="B17" s="10" t="n">
        <x:v>12</x:v>
      </x:c>
      <x:c r="C17" s="10" t="n">
        <x:f>COUNTIF('Simulant Lots'!$N$6:$N$17,"RELEASED")</x:f>
        <x:v>0</x:v>
      </x:c>
      <x:c r="D17" s="10" t="str">
        <x:f>IF(C17=B17,"PASS",IF(C17="","OPEN","DENY"))</x:f>
        <x:v>OPEN</x:v>
      </x:c>
    </x:row>
    <x:row r="18">
      <x:c r="A18" s="10" t="str">
        <x:v>primary event credits</x:v>
      </x:c>
      <x:c r="B18" s="10" t="n">
        <x:v>12</x:v>
      </x:c>
      <x:c r="C18" s="10" t="n">
        <x:f>COUNTIFS('Event Register'!$B$8:$B$23,"PRIMARY",'Event Register'!$AF$8:$AF$23,"CREDIT")</x:f>
        <x:v>0</x:v>
      </x:c>
      <x:c r="D18" s="10" t="str">
        <x:f>IF(C18=B18,"PASS",IF(C18="","OPEN","DENY"))</x:f>
        <x:v>OPEN</x:v>
      </x:c>
    </x:row>
    <x:row r="19">
      <x:c r="A19" s="10" t="str">
        <x:v>reserve event credits</x:v>
      </x:c>
      <x:c r="B19" s="10" t="n">
        <x:v>0</x:v>
      </x:c>
      <x:c r="C19" s="10" t="n">
        <x:f>COUNTIFS('Event Register'!$B$8:$B$23,"RESERVE",'Event Register'!$AF$8:$AF$23,"CREDIT")</x:f>
        <x:v>0</x:v>
      </x:c>
      <x:c r="D19" s="10" t="str">
        <x:f>IF(C19=B19,"PASS",IF(C19="","OPEN","DENY"))</x:f>
        <x:v>PASS</x:v>
      </x:c>
    </x:row>
    <x:row r="20">
      <x:c r="A20" s="10" t="str">
        <x:v>exact cells credited</x:v>
      </x:c>
      <x:c r="B20" s="10" t="n">
        <x:v>12</x:v>
      </x:c>
      <x:c r="C20" s="10" t="n">
        <x:f>COUNTIF('Cell Map'!$J$6:$J$17,"CREDIT")</x:f>
        <x:v>0</x:v>
      </x:c>
      <x:c r="D20" s="10" t="str">
        <x:f>IF(C20=B20,"PASS",IF(C20="","OPEN","DENY"))</x:f>
        <x:v>OPEN</x:v>
      </x:c>
    </x:row>
    <x:row r="21">
      <x:c r="A21" s="10" t="str">
        <x:v>primary evidence packets complete</x:v>
      </x:c>
      <x:c r="B21" s="10" t="n">
        <x:v>12</x:v>
      </x:c>
      <x:c r="C21" s="10" t="n">
        <x:f>COUNTIF('Evidence Objects'!$L$6:$L$17,"COMPLETE")</x:f>
        <x:v>0</x:v>
      </x:c>
      <x:c r="D21" s="10" t="str">
        <x:f>IF(C21=B21,"PASS",IF(C21="","OPEN","DENY"))</x:f>
        <x:v>OPEN</x:v>
      </x:c>
    </x:row>
    <x:row r="22">
      <x:c r="A22" s="10" t="str">
        <x:v>primary returns accepted</x:v>
      </x:c>
      <x:c r="B22" s="10" t="n">
        <x:v>12</x:v>
      </x:c>
      <x:c r="C22" s="10" t="n">
        <x:f>COUNTIF(Return!$N$6:$N$17,"ACCEPTED")</x:f>
        <x:v>0</x:v>
      </x:c>
      <x:c r="D22" s="10" t="str">
        <x:f>IF(C22=B22,"PASS",IF(C22="","OPEN","DENY"))</x:f>
        <x:v>OPEN</x:v>
      </x:c>
    </x:row>
    <x:row r="23">
      <x:c r="A23" s="10" t="str">
        <x:v>primary replays accepted</x:v>
      </x:c>
      <x:c r="B23" s="10" t="n">
        <x:v>12</x:v>
      </x:c>
      <x:c r="C23" s="10" t="n">
        <x:f>COUNTIF(Replay!$G$6:$G$17,"ACCEPTED")</x:f>
        <x:v>0</x:v>
      </x:c>
      <x:c r="D23" s="10" t="str">
        <x:f>IF(C23=B23,"PASS",IF(C23="","OPEN","DENY"))</x:f>
        <x:v>OPEN</x:v>
      </x:c>
    </x:row>
    <x:row r="24">
      <x:c r="A24" s="10" t="str">
        <x:v>safeing paths complete</x:v>
      </x:c>
      <x:c r="B24" s="10" t="n">
        <x:v>16</x:v>
      </x:c>
      <x:c r="C24" s="10" t="n">
        <x:f>COUNTIF(Safeing!$F$6:$F$21,"COMPLETE")</x:f>
        <x:v>0</x:v>
      </x:c>
      <x:c r="D24" s="10" t="str">
        <x:f>IF(C24=B24,"PASS",IF(C24="","OPEN","DENY"))</x:f>
        <x:v>OPEN</x:v>
      </x:c>
    </x:row>
    <x:row r="25">
      <x:c r="A25" s="10" t="str">
        <x:v>candidate cases executed</x:v>
      </x:c>
      <x:c r="B25" s="10" t="n">
        <x:v>180</x:v>
      </x:c>
      <x:c r="C25" s="10" t="n">
        <x:f>COUNTIF(Cases!$G$6:$G$185,"PASS")</x:f>
        <x:v>0</x:v>
      </x:c>
      <x:c r="D25" s="10" t="str">
        <x:f>IF(C25=B25,"PASS",IF(C25="","OPEN","DENY"))</x:f>
        <x:v>OPEN</x:v>
      </x:c>
    </x:row>
    <x:row r="26">
      <x:c r="A26" s="10" t="str">
        <x:v>audit identities passed</x:v>
      </x:c>
      <x:c r="B26" s="10" t="n">
        <x:v>360</x:v>
      </x:c>
      <x:c r="C26" s="10" t="n">
        <x:f>COUNTIF(Audit!$G$6:$G$365,"PASS")</x:f>
        <x:v>0</x:v>
      </x:c>
      <x:c r="D26" s="10" t="str">
        <x:f>IF(C26=B26,"PASS",IF(C26="","OPEN","DENY"))</x:f>
        <x:v>OPEN</x:v>
      </x:c>
    </x:row>
    <x:row r="27">
      <x:c r="A27" s="10" t="str">
        <x:v>parent amendment</x:v>
      </x:c>
      <x:c r="B27" s="10" t="str">
        <x:v>AUTHORIZED</x:v>
      </x:c>
      <x:c r="C27" s="11"/>
      <x:c r="D27" s="10" t="str">
        <x:f>IF(C27=B27,"PASS",IF(C27="","OPEN","DENY"))</x:f>
        <x:v>OPEN</x:v>
      </x:c>
    </x:row>
    <x:row r="28">
      <x:c r="A28" s="10" t="str">
        <x:v>class authority</x:v>
      </x:c>
      <x:c r="B28" s="10" t="str">
        <x:v>APPROVE</x:v>
      </x:c>
      <x:c r="C28" s="11"/>
      <x:c r="D28" s="10" t="str">
        <x:f>IF(C28=B28,"PASS",IF(C28="","OPEN","DENY"))</x:f>
        <x:v>OPEN</x:v>
      </x:c>
    </x:row>
    <x:row r="30">
      <x:c r="A30" s="8" t="str">
        <x:v>Class state</x:v>
      </x:c>
      <x:c r="B30" s="8"/>
      <x:c r="C30" s="10" t="str">
        <x:f>IF(COUNTIF(D6:D28,"PASS")=23,"ISSUE ER-03","BLOCKED")</x:f>
        <x:v>BLOCKED</x:v>
      </x:c>
      <x:c r="D30" s="10" t="str">
        <x:f>IF(C30="ISSUE ER-03","ER-03-QUALIFIED","NO AUTHORITY")</x:f>
        <x:v>NO AUTHORITY</x:v>
      </x:c>
    </x:row>
  </x:sheetData>
  <x:mergeCells>
    <x:mergeCell ref="A2:D2"/>
    <x:mergeCell ref="A4:D4"/>
  </x:mergeCells>
  <x:conditionalFormatting sqref="D6:D28">
    <x:cfRule type="containsText" dxfId="144" priority="1" operator="containsText" text="DENY"/>
    <x:cfRule type="containsText" dxfId="145" priority="2" operator="containsText" text="ADVERSE"/>
    <x:cfRule type="containsText" dxfId="146" priority="3" operator="containsText" text="FAIL"/>
    <x:cfRule type="containsText" dxfId="147" priority="4" operator="containsText" text="OPEN"/>
    <x:cfRule type="containsText" dxfId="148" priority="5" operator="containsText" text="BLOCKED"/>
    <x:cfRule type="containsText" dxfId="149" priority="6" operator="containsText" text="REBASE"/>
  </x:conditionalFormatting>
  <x:conditionalFormatting sqref="C30:D30">
    <x:cfRule type="containsText" dxfId="150" priority="7" operator="containsText" text="DENY"/>
    <x:cfRule type="containsText" dxfId="151" priority="8" operator="containsText" text="ADVERSE"/>
    <x:cfRule type="containsText" dxfId="152" priority="9" operator="containsText" text="FAIL"/>
    <x:cfRule type="containsText" dxfId="153" priority="10" operator="containsText" text="OPEN"/>
    <x:cfRule type="containsText" dxfId="154" priority="11" operator="containsText" text="BLOCKED"/>
    <x:cfRule type="containsText" dxfId="155" priority="12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88e8daa25f4b4368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9" hidden="0" customWidth="1"/>
  </x:cols>
  <x:sheetData>
    <x:row r="2" ht="24" customHeight="1">
      <x:c r="A2" s="1" t="str">
        <x:v>RBJ-1 serial evidence schedule</x:v>
      </x:c>
    </x:row>
    <x:row r="4" ht="22" customHeight="1">
      <x:c r="A4" s="2"/>
      <x:c r="B4" s="2"/>
      <x:c r="C4" s="2"/>
    </x:row>
    <x:row r="5">
      <x:c r="A5" s="8" t="str">
        <x:v>Schedule object</x:v>
      </x:c>
      <x:c r="B5" s="8" t="str">
        <x:v>Primary weeks</x:v>
      </x:c>
      <x:c r="C5" s="8" t="str">
        <x:v>Maximum weeks</x:v>
      </x:c>
    </x:row>
    <x:row r="6">
      <x:c r="A6" s="10" t="str">
        <x:v>candidate articles and material plants</x:v>
      </x:c>
      <x:c r="B6" s="10" t="n">
        <x:v>12</x:v>
      </x:c>
      <x:c r="C6" s="10" t="n">
        <x:v>12</x:v>
      </x:c>
    </x:row>
    <x:row r="7">
      <x:c r="A7" s="10" t="str">
        <x:v>192 candidate trials</x:v>
      </x:c>
      <x:c r="B7" s="10" t="n">
        <x:v>8</x:v>
      </x:c>
      <x:c r="C7" s="10" t="n">
        <x:v>8</x:v>
      </x:c>
    </x:row>
    <x:row r="8">
      <x:c r="A8" s="10" t="str">
        <x:v>144 pair-cohabitation trials</x:v>
      </x:c>
      <x:c r="B8" s="10" t="n">
        <x:v>6</x:v>
      </x:c>
      <x:c r="C8" s="10" t="n">
        <x:v>6</x:v>
      </x:c>
    </x:row>
    <x:row r="9">
      <x:c r="A9" s="10" t="str">
        <x:v>architecture review and pair selection</x:v>
      </x:c>
      <x:c r="B9" s="10" t="n">
        <x:v>4</x:v>
      </x:c>
      <x:c r="C9" s="10" t="n">
        <x:v>4</x:v>
      </x:c>
    </x:row>
    <x:row r="10">
      <x:c r="A10" s="10" t="str">
        <x:v>selected module bank and blind-lot estate</x:v>
      </x:c>
      <x:c r="B10" s="10" t="n">
        <x:v>14</x:v>
      </x:c>
      <x:c r="C10" s="10" t="n">
        <x:v>14</x:v>
      </x:c>
    </x:row>
    <x:row r="11">
      <x:c r="A11" s="10" t="str">
        <x:v>ninety-six full-scale cycles</x:v>
      </x:c>
      <x:c r="B11" s="10" t="n">
        <x:v>12</x:v>
      </x:c>
      <x:c r="C11" s="10" t="n">
        <x:v>12</x:v>
      </x:c>
    </x:row>
    <x:row r="12">
      <x:c r="A12" s="10" t="str">
        <x:v>full-scale qualification review</x:v>
      </x:c>
      <x:c r="B12" s="10" t="n">
        <x:v>4</x:v>
      </x:c>
      <x:c r="C12" s="10" t="n">
        <x:v>4</x:v>
      </x:c>
    </x:row>
    <x:row r="13">
      <x:c r="A13" s="10" t="str">
        <x:v>class issue</x:v>
      </x:c>
      <x:c r="B13" s="10" t="n">
        <x:v>6</x:v>
      </x:c>
      <x:c r="C13" s="10" t="n">
        <x:v>8</x:v>
      </x:c>
    </x:row>
    <x:row r="14">
      <x:c r="A14" s="10" t="str">
        <x:v>last 672-hour return</x:v>
      </x:c>
      <x:c r="B14" s="10" t="n">
        <x:v>4</x:v>
      </x:c>
      <x:c r="C14" s="10" t="n">
        <x:v>4</x:v>
      </x:c>
    </x:row>
    <x:row r="15">
      <x:c r="A15" s="10" t="str">
        <x:v>class review</x:v>
      </x:c>
      <x:c r="B15" s="10" t="n">
        <x:v>2</x:v>
      </x:c>
      <x:c r="C15" s="10" t="n">
        <x:v>2</x:v>
      </x:c>
    </x:row>
    <x:row r="16">
      <x:c r="A16" s="10" t="str">
        <x:v>RBJ-1 total</x:v>
      </x:c>
      <x:c r="B16" s="10" t="n">
        <x:f>SUM(B6:B15)</x:f>
        <x:v>72</x:v>
      </x:c>
      <x:c r="C16" s="10" t="n">
        <x:f>SUM(C6:C15)</x:f>
        <x:v>74</x:v>
      </x:c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9068e5952a174e11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1" hidden="0" customWidth="1"/>
    <x:col min="3" max="3" width="17" hidden="0" customWidth="1"/>
    <x:col min="4" max="4" width="22" hidden="0" customWidth="1"/>
  </x:cols>
  <x:sheetData>
    <x:row r="2" ht="24" customHeight="1">
      <x:c r="A2" s="1" t="str">
        <x:v>RAS-3R2 parent correction</x:v>
      </x:c>
    </x:row>
    <x:row r="4" ht="22" customHeight="1">
      <x:c r="A4" s="2"/>
      <x:c r="B4" s="2"/>
      <x:c r="C4" s="2"/>
      <x:c r="D4" s="2"/>
    </x:row>
    <x:row r="5">
      <x:c r="A5" s="8" t="str">
        <x:v>Parent segment</x:v>
      </x:c>
      <x:c r="B5" s="8" t="str">
        <x:v>Primary weeks</x:v>
      </x:c>
      <x:c r="C5" s="8" t="str">
        <x:v>Maximum weeks</x:v>
      </x:c>
      <x:c r="D5" s="8" t="str">
        <x:v>Status</x:v>
      </x:c>
    </x:row>
    <x:row r="6">
      <x:c r="A6" s="10" t="str">
        <x:v>RBH-1 dry reference</x:v>
      </x:c>
      <x:c r="B6" s="10" t="n">
        <x:v>37</x:v>
      </x:c>
      <x:c r="C6" s="10" t="n">
        <x:v>39</x:v>
      </x:c>
      <x:c r="D6" s="10" t="str">
        <x:v>CONSTITUTED</x:v>
      </x:c>
    </x:row>
    <x:row r="7">
      <x:c r="A7" s="10" t="str">
        <x:v>RBI-1 water reference</x:v>
      </x:c>
      <x:c r="B7" s="10" t="n">
        <x:v>34</x:v>
      </x:c>
      <x:c r="C7" s="10" t="n">
        <x:v>36</x:v>
      </x:c>
      <x:c r="D7" s="10" t="str">
        <x:v>CONSTITUTED</x:v>
      </x:c>
    </x:row>
    <x:row r="8">
      <x:c r="A8" s="10" t="str">
        <x:v>RBJ-1 dual ancestry</x:v>
      </x:c>
      <x:c r="B8" s="10" t="n">
        <x:v>72</x:v>
      </x:c>
      <x:c r="C8" s="10" t="n">
        <x:v>74</x:v>
      </x:c>
      <x:c r="D8" s="10" t="str">
        <x:v>CONSTITUTED</x:v>
      </x:c>
    </x:row>
    <x:row r="9">
      <x:c r="A9" s="10" t="str">
        <x:v>seven later fire rungs</x:v>
      </x:c>
      <x:c r="B9" s="10" t="n">
        <x:v>119</x:v>
      </x:c>
      <x:c r="C9" s="10" t="n">
        <x:v>147</x:v>
      </x:c>
      <x:c r="D9" s="10" t="str">
        <x:v>REVISED ALLOWANCE</x:v>
      </x:c>
    </x:row>
    <x:row r="10">
      <x:c r="A10" s="10" t="str">
        <x:v>current ten-rung floor</x:v>
      </x:c>
      <x:c r="B10" s="10" t="n">
        <x:f>SUM(B6:B9)</x:f>
        <x:v>262</x:v>
      </x:c>
      <x:c r="C10" s="10" t="n">
        <x:f>SUM(C6:C9)</x:f>
        <x:v>296</x:v>
      </x:c>
      <x:c r="D10" s="10" t="str">
        <x:v>FLOOR</x:v>
      </x:c>
    </x:row>
    <x:row r="11">
      <x:c r="A11" s="10" t="str">
        <x:v>RAS-3R2 boundary</x:v>
      </x:c>
      <x:c r="B11" s="10" t="n">
        <x:v>364</x:v>
      </x:c>
      <x:c r="C11" s="10" t="n">
        <x:v>364</x:v>
      </x:c>
      <x:c r="D11" s="10" t="str">
        <x:v>CAPACITY</x:v>
      </x:c>
    </x:row>
    <x:row r="12">
      <x:c r="A12" s="10" t="str">
        <x:v>unassigned correction capacity</x:v>
      </x:c>
      <x:c r="B12" s="10" t="n">
        <x:f>B11-B10</x:f>
        <x:v>102</x:v>
      </x:c>
      <x:c r="C12" s="10" t="n">
        <x:f>C11-C10</x:f>
        <x:v>68</x:v>
      </x:c>
      <x:c r="D12" s="10" t="str">
        <x:v>UNASSIGNED</x:v>
      </x:c>
    </x:row>
    <x:row r="16">
      <x:c r="A16" s="8" t="str">
        <x:v>Resource</x:v>
      </x:c>
      <x:c r="B16" s="8" t="str">
        <x:v>Original RAS-3R</x:v>
      </x:c>
      <x:c r="C16" s="8" t="str">
        <x:v>Amendment</x:v>
      </x:c>
      <x:c r="D16" s="8" t="str">
        <x:v>Revised envelope</x:v>
      </x:c>
    </x:row>
    <x:row r="17">
      <x:c r="A17" s="10" t="str">
        <x:v>capital USD M</x:v>
      </x:c>
      <x:c r="B17" s="10" t="n">
        <x:v>1100</x:v>
      </x:c>
      <x:c r="C17" s="10" t="n">
        <x:v>2600</x:v>
      </x:c>
      <x:c r="D17" s="10" t="n">
        <x:f>B17+C17</x:f>
        <x:v>3700</x:v>
      </x:c>
    </x:row>
    <x:row r="18">
      <x:c r="A18" s="10" t="str">
        <x:v>annual support USD M/year</x:v>
      </x:c>
      <x:c r="B18" s="10" t="n">
        <x:v>67</x:v>
      </x:c>
      <x:c r="C18" s="10" t="n">
        <x:v>148</x:v>
      </x:c>
      <x:c r="D18" s="10" t="n">
        <x:f>B18+C18</x:f>
        <x:v>215</x:v>
      </x:c>
    </x:row>
    <x:row r="19">
      <x:c r="A19" s="10" t="str">
        <x:v>technology USD M</x:v>
      </x:c>
      <x:c r="B19" s="10" t="n">
        <x:v>235</x:v>
      </x:c>
      <x:c r="C19" s="10" t="n">
        <x:v>620</x:v>
      </x:c>
      <x:c r="D19" s="10" t="n">
        <x:f>B19+C19</x:f>
        <x:v>855</x:v>
      </x:c>
    </x:row>
    <x:row r="20">
      <x:c r="A20" s="10" t="str">
        <x:v>positions</x:v>
      </x:c>
      <x:c r="B20" s="10" t="n">
        <x:v>720</x:v>
      </x:c>
      <x:c r="C20" s="10" t="n">
        <x:v>480</x:v>
      </x:c>
      <x:c r="D20" s="10" t="n">
        <x:f>B20+C20</x:f>
        <x:v>1200</x:v>
      </x:c>
    </x:row>
    <x:row r="21">
      <x:c r="A21" s="10" t="str">
        <x:v>calendar weeks</x:v>
      </x:c>
      <x:c r="B21" s="10" t="n">
        <x:v>156</x:v>
      </x:c>
      <x:c r="C21" s="10" t="n">
        <x:v>208</x:v>
      </x:c>
      <x:c r="D21" s="10" t="n">
        <x:f>B21+C21</x:f>
        <x:v>364</x:v>
      </x:c>
    </x:row>
  </x:sheetData>
  <x:mergeCells>
    <x:mergeCell ref="A2:D2"/>
  </x:mergeCells>
  <x:pageMargins left="0.7" right="0.7" top="0.75" bottom="0.75" header="0.3" footer="0.3"/>
  <x:tableParts count="2">
    <x:tablePart xmlns:r="http://schemas.openxmlformats.org/officeDocument/2006/relationships" r:id="R3338c5f302574825"/>
    <x:tablePart xmlns:r="http://schemas.openxmlformats.org/officeDocument/2006/relationships" r:id="R286861fe50034e6b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34" hidden="0" customWidth="1"/>
  </x:cols>
  <x:sheetData>
    <x:row r="2" ht="24" customHeight="1">
      <x:c r="A2" s="1" t="str">
        <x:v>Physical-material capacity reconciliation</x:v>
      </x:c>
    </x:row>
    <x:row r="4" ht="22" customHeight="1">
      <x:c r="A4" s="2"/>
      <x:c r="B4" s="2"/>
      <x:c r="C4" s="2"/>
      <x:c r="D4" s="2"/>
    </x:row>
    <x:row r="5">
      <x:c r="A5" s="8" t="str">
        <x:v>Program object</x:v>
      </x:c>
      <x:c r="B5" s="8" t="str">
        <x:v>Simulant kg</x:v>
      </x:c>
      <x:c r="C5" s="8" t="str">
        <x:v>Water m³</x:v>
      </x:c>
      <x:c r="D5" s="8" t="str">
        <x:v>Derivation</x:v>
      </x:c>
    </x:row>
    <x:row r="6">
      <x:c r="A6" s="10" t="str">
        <x:v>candidate trials</x:v>
      </x:c>
      <x:c r="B6" s="26" t="n">
        <x:f>'Assumptions'!B16*'Assumptions'!B10*'Assumptions'!B8</x:f>
        <x:v>960</x:v>
      </x:c>
      <x:c r="C6" s="26" t="n">
        <x:f>'Assumptions'!B16*'Assumptions'!B10*'Assumptions'!B9</x:f>
        <x:v>46.08</x:v>
      </x:c>
      <x:c r="D6" s="10" t="str">
        <x:v>192 × one-percent issue</x:v>
      </x:c>
    </x:row>
    <x:row r="7">
      <x:c r="A7" s="10" t="str">
        <x:v>pair trials</x:v>
      </x:c>
      <x:c r="B7" s="26" t="n">
        <x:f>'Assumptions'!B19*'Assumptions'!B10*'Assumptions'!B8</x:f>
        <x:v>720</x:v>
      </x:c>
      <x:c r="C7" s="26" t="n">
        <x:f>'Assumptions'!B19*'Assumptions'!B10*'Assumptions'!B9</x:f>
        <x:v>34.56</x:v>
      </x:c>
      <x:c r="D7" s="10" t="str">
        <x:v>144 × one-percent issue</x:v>
      </x:c>
    </x:row>
    <x:row r="8">
      <x:c r="A8" s="10" t="str">
        <x:v>bench total</x:v>
      </x:c>
      <x:c r="B8" s="26" t="n">
        <x:f>SUM(B6:B7)</x:f>
        <x:v>1680</x:v>
      </x:c>
      <x:c r="C8" s="26" t="n">
        <x:f>SUM(C6:C7)</x:f>
        <x:v>80.64</x:v>
      </x:c>
      <x:c r="D8" s="10" t="str">
        <x:v>candidate plus pair</x:v>
      </x:c>
    </x:row>
    <x:row r="9">
      <x:c r="A9" s="10" t="str">
        <x:v>qualification cycles</x:v>
      </x:c>
      <x:c r="B9" s="26" t="n">
        <x:f>'Assumptions'!B26*'Assumptions'!B8</x:f>
        <x:v>48000</x:v>
      </x:c>
      <x:c r="C9" s="26" t="n">
        <x:f>'Assumptions'!B26*'Assumptions'!B9</x:f>
        <x:v>2304</x:v>
      </x:c>
      <x:c r="D9" s="10" t="str">
        <x:v>96 × full issue</x:v>
      </x:c>
    </x:row>
    <x:row r="10">
      <x:c r="A10" s="10" t="str">
        <x:v>required class</x:v>
      </x:c>
      <x:c r="B10" s="26" t="n">
        <x:f>'Assumptions'!B27*'Assumptions'!B8</x:f>
        <x:v>6000</x:v>
      </x:c>
      <x:c r="C10" s="26" t="n">
        <x:f>'Assumptions'!B27*'Assumptions'!B9</x:f>
        <x:v>288</x:v>
      </x:c>
      <x:c r="D10" s="10" t="str">
        <x:v>12 × full issue</x:v>
      </x:c>
    </x:row>
    <x:row r="11">
      <x:c r="A11" s="10" t="str">
        <x:v>maximum class</x:v>
      </x:c>
      <x:c r="B11" s="26" t="n">
        <x:f>'Assumptions'!B29*'Assumptions'!B8</x:f>
        <x:v>8000</x:v>
      </x:c>
      <x:c r="C11" s="26" t="n">
        <x:f>'Assumptions'!B29*'Assumptions'!B9</x:f>
        <x:v>384</x:v>
      </x:c>
      <x:c r="D11" s="10" t="str">
        <x:v>16 × full issue</x:v>
      </x:c>
    </x:row>
    <x:row r="12">
      <x:c r="A12" s="10" t="str">
        <x:v>governed maximum</x:v>
      </x:c>
      <x:c r="B12" s="26" t="n">
        <x:f>B8+B9+B11</x:f>
        <x:v>57680</x:v>
      </x:c>
      <x:c r="C12" s="26" t="n">
        <x:f>C8+C9+C11</x:f>
        <x:v>2768.64</x:v>
      </x:c>
      <x:c r="D12" s="10" t="str">
        <x:v>bench + qualification + maximum class</x:v>
      </x:c>
    </x:row>
    <x:row r="13">
      <x:c r="A13" s="10" t="str">
        <x:v>gross lot stock</x:v>
      </x:c>
      <x:c r="B13" s="26" t="n">
        <x:f>'Assumptions'!B32*'Assumptions'!B33</x:f>
        <x:v>9900</x:v>
      </x:c>
      <x:c r="C13" s="26" t="n">
        <x:f>'Assumptions'!B30*'Assumptions'!B31</x:f>
        <x:v>450</x:v>
      </x:c>
      <x:c r="D13" s="10" t="str">
        <x:v>18 gross lots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23bd4991ce6f421f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9" hidden="0" customWidth="1"/>
    <x:col min="5" max="5" width="14" hidden="0" customWidth="1"/>
  </x:cols>
  <x:sheetData>
    <x:row r="2" ht="24" customHeight="1">
      <x:c r="A2" s="1" t="str">
        <x:v>Evidence provision reconciliation</x:v>
      </x:c>
    </x:row>
    <x:row r="4" ht="22" customHeight="1">
      <x:c r="A4" s="2"/>
      <x:c r="B4" s="2"/>
      <x:c r="C4" s="2"/>
      <x:c r="D4" s="2"/>
      <x:c r="E4" s="2"/>
    </x:row>
    <x:row r="5">
      <x:c r="A5" s="8" t="str">
        <x:v>Evidence class</x:v>
      </x:c>
      <x:c r="B5" s="8" t="str">
        <x:v>Positions</x:v>
      </x:c>
      <x:c r="C5" s="8" t="str">
        <x:v>GB each</x:v>
      </x:c>
      <x:c r="D5" s="8" t="str">
        <x:v>Allocated GB</x:v>
      </x:c>
      <x:c r="E5" s="8" t="str">
        <x:v>Share</x:v>
      </x:c>
    </x:row>
    <x:row r="6">
      <x:c r="A6" s="10" t="str">
        <x:v>candidate trials</x:v>
      </x:c>
      <x:c r="B6" s="10" t="n">
        <x:v>192</x:v>
      </x:c>
      <x:c r="C6" s="10" t="n">
        <x:v>180</x:v>
      </x:c>
      <x:c r="D6" s="10" t="n">
        <x:f>B6*C6</x:f>
        <x:v>34560</x:v>
      </x:c>
      <x:c r="E6" s="22" t="n">
        <x:f>D6/$D$10</x:f>
        <x:v>0.21301775147928995</x:v>
      </x:c>
    </x:row>
    <x:row r="7">
      <x:c r="A7" s="10" t="str">
        <x:v>pair-cohabitation trials</x:v>
      </x:c>
      <x:c r="B7" s="10" t="n">
        <x:v>144</x:v>
      </x:c>
      <x:c r="C7" s="10" t="n">
        <x:v>240</x:v>
      </x:c>
      <x:c r="D7" s="10" t="n">
        <x:f>B7*C7</x:f>
        <x:v>34560</x:v>
      </x:c>
      <x:c r="E7" s="22" t="n">
        <x:f>D7/$D$10</x:f>
        <x:v>0.21301775147928995</x:v>
      </x:c>
    </x:row>
    <x:row r="8">
      <x:c r="A8" s="10" t="str">
        <x:v>qualification cycles</x:v>
      </x:c>
      <x:c r="B8" s="10" t="n">
        <x:v>96</x:v>
      </x:c>
      <x:c r="C8" s="10" t="n">
        <x:v>720</x:v>
      </x:c>
      <x:c r="D8" s="10" t="n">
        <x:f>B8*C8</x:f>
        <x:v>69120</x:v>
      </x:c>
      <x:c r="E8" s="22" t="n">
        <x:f>D8/$D$10</x:f>
        <x:v>0.4260355029585799</x:v>
      </x:c>
    </x:row>
    <x:row r="9">
      <x:c r="A9" s="10" t="str">
        <x:v>class events</x:v>
      </x:c>
      <x:c r="B9" s="10" t="n">
        <x:v>16</x:v>
      </x:c>
      <x:c r="C9" s="10" t="n">
        <x:v>1500</x:v>
      </x:c>
      <x:c r="D9" s="10" t="n">
        <x:f>B9*C9</x:f>
        <x:v>24000</x:v>
      </x:c>
      <x:c r="E9" s="22" t="n">
        <x:f>D9/$D$10</x:f>
        <x:v>0.14792899408284024</x:v>
      </x:c>
    </x:row>
    <x:row r="10">
      <x:c r="A10" s="10" t="str">
        <x:v>maximum governed evidence</x:v>
      </x:c>
      <x:c r="B10" s="10" t="n">
        <x:f>SUM(B6:B9)</x:f>
        <x:v>448</x:v>
      </x:c>
      <x:c r="C10" s="10"/>
      <x:c r="D10" s="10" t="n">
        <x:f>SUM(D6:D9)</x:f>
        <x:v>162240</x:v>
      </x:c>
      <x:c r="E10" s="22"/>
    </x:row>
    <x:row r="11">
      <x:c r="A11" s="10" t="str">
        <x:v>provision</x:v>
      </x:c>
      <x:c r="B11" s="10"/>
      <x:c r="C11" s="10"/>
      <x:c r="D11" s="10" t="n">
        <x:v>200000</x:v>
      </x:c>
      <x:c r="E11" s="22"/>
    </x:row>
    <x:row r="12">
      <x:c r="A12" s="10" t="str">
        <x:v>headroom</x:v>
      </x:c>
      <x:c r="B12" s="10"/>
      <x:c r="C12" s="10"/>
      <x:c r="D12" s="10" t="n">
        <x:f>D11-D10</x:f>
        <x:v>37760</x:v>
      </x:c>
      <x:c r="E12" s="22" t="n">
        <x:f>D12/D11</x:f>
        <x:v>0.1888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b08b423869b54c36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6" hidden="0" customWidth="1"/>
    <x:col min="3" max="3" width="24" hidden="0" customWidth="1"/>
  </x:cols>
  <x:sheetData>
    <x:row r="2" ht="24" customHeight="1">
      <x:c r="A2" s="1" t="str">
        <x:v>RBJ-1 formation and concurrent parent demand</x:v>
      </x:c>
    </x:row>
    <x:row r="4" ht="22" customHeight="1">
      <x:c r="A4" s="2"/>
      <x:c r="B4" s="2"/>
      <x:c r="C4" s="2"/>
    </x:row>
    <x:row r="5">
      <x:c r="A5" s="8" t="str">
        <x:v>Function</x:v>
      </x:c>
      <x:c r="B5" s="8" t="str">
        <x:v>Positions</x:v>
      </x:c>
      <x:c r="C5" s="8" t="str">
        <x:v>Role</x:v>
      </x:c>
    </x:row>
    <x:row r="6">
      <x:c r="A6" s="10" t="str">
        <x:v>ancestry architecture and reference-material engineering</x:v>
      </x:c>
      <x:c r="B6" s="10" t="n">
        <x:v>70</x:v>
      </x:c>
      <x:c r="C6" s="10" t="str">
        <x:v>execution</x:v>
      </x:c>
    </x:row>
    <x:row r="7">
      <x:c r="A7" s="10" t="str">
        <x:v>metrology, coding and independent root science</x:v>
      </x:c>
      <x:c r="B7" s="10" t="n">
        <x:v>80</x:v>
      </x:c>
      <x:c r="C7" s="10" t="str">
        <x:v>execution</x:v>
      </x:c>
    </x:row>
    <x:row r="8">
      <x:c r="A8" s="10" t="str">
        <x:v>range and coupled-fluid operations</x:v>
      </x:c>
      <x:c r="B8" s="10" t="n">
        <x:v>78</x:v>
      </x:c>
      <x:c r="C8" s="10" t="str">
        <x:v>execution</x:v>
      </x:c>
    </x:row>
    <x:row r="9">
      <x:c r="A9" s="10" t="str">
        <x:v>lot custody, chemistry and blind preparation</x:v>
      </x:c>
      <x:c r="B9" s="10" t="n">
        <x:v>54</x:v>
      </x:c>
      <x:c r="C9" s="10" t="str">
        <x:v>execution</x:v>
      </x:c>
    </x:row>
    <x:row r="10">
      <x:c r="A10" s="10" t="str">
        <x:v>phase separation, recovery and decontamination</x:v>
      </x:c>
      <x:c r="B10" s="10" t="n">
        <x:v>42</x:v>
      </x:c>
      <x:c r="C10" s="10" t="str">
        <x:v>execution</x:v>
      </x:c>
    </x:row>
    <x:row r="11">
      <x:c r="A11" s="10" t="str">
        <x:v>evidence, causal time and outside replay</x:v>
      </x:c>
      <x:c r="B11" s="10" t="n">
        <x:v>34</x:v>
      </x:c>
      <x:c r="C11" s="10" t="str">
        <x:v>execution</x:v>
      </x:c>
    </x:row>
    <x:row r="12">
      <x:c r="A12" s="10" t="str">
        <x:v>robotics, sampling and physical forensics</x:v>
      </x:c>
      <x:c r="B12" s="10" t="n">
        <x:v>24</x:v>
      </x:c>
      <x:c r="C12" s="10" t="str">
        <x:v>execution</x:v>
      </x:c>
    </x:row>
    <x:row r="13">
      <x:c r="A13" s="10" t="str">
        <x:v>safety, validity, class and program authorities</x:v>
      </x:c>
      <x:c r="B13" s="10" t="n">
        <x:v>38</x:v>
      </x:c>
      <x:c r="C13" s="10" t="str">
        <x:v>execution</x:v>
      </x:c>
    </x:row>
    <x:row r="14">
      <x:c r="A14" s="10" t="str">
        <x:v>RBJ-1 execution total</x:v>
      </x:c>
      <x:c r="B14" s="10" t="n">
        <x:f>SUM(B6:B13)</x:f>
        <x:v>420</x:v>
      </x:c>
      <x:c r="C14" s="10" t="str">
        <x:v>execution</x:v>
      </x:c>
    </x:row>
    <x:row r="15">
      <x:c r="A15" s="10" t="str">
        <x:v>RBH dry-reference sustainment</x:v>
      </x:c>
      <x:c r="B15" s="10" t="n">
        <x:v>60</x:v>
      </x:c>
      <x:c r="C15" s="10" t="str">
        <x:v>concurrent sustainment</x:v>
      </x:c>
    </x:row>
    <x:row r="16">
      <x:c r="A16" s="10" t="str">
        <x:v>RBI water-reference sustainment</x:v>
      </x:c>
      <x:c r="B16" s="10" t="n">
        <x:v>80</x:v>
      </x:c>
      <x:c r="C16" s="10" t="str">
        <x:v>concurrent sustainment</x:v>
      </x:c>
    </x:row>
    <x:row r="17">
      <x:c r="A17" s="10" t="str">
        <x:v>concurrent requirement</x:v>
      </x:c>
      <x:c r="B17" s="10" t="n">
        <x:f>SUM(B14:B16)</x:f>
        <x:v>560</x:v>
      </x:c>
      <x:c r="C17" s="10" t="str">
        <x:v>parent demand</x:v>
      </x:c>
    </x:row>
    <x:row r="18">
      <x:c r="A18" s="10" t="str">
        <x:v>revised parent positions</x:v>
      </x:c>
      <x:c r="B18" s="10" t="n">
        <x:v>1200</x:v>
      </x:c>
      <x:c r="C18" s="10" t="str">
        <x:v>capacity</x:v>
      </x:c>
    </x:row>
    <x:row r="19">
      <x:c r="A19" s="10" t="str">
        <x:v>remaining positions</x:v>
      </x:c>
      <x:c r="B19" s="10" t="n">
        <x:f>B18-B17</x:f>
        <x:v>640</x:v>
      </x:c>
      <x:c r="C19" s="10" t="str">
        <x:v>later-rung institution</x:v>
      </x:c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f1c6afa2c3b940af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4" hidden="0" customWidth="1"/>
    <x:col min="3" max="3" width="76" hidden="0" customWidth="1"/>
  </x:cols>
  <x:sheetData>
    <x:row r="2" ht="24" customHeight="1">
      <x:c r="A2" s="1" t="str">
        <x:v>Cross-classified ancestry technology program</x:v>
      </x:c>
    </x:row>
    <x:row r="4" ht="22" customHeight="1">
      <x:c r="A4" s="2"/>
      <x:c r="B4" s="2"/>
      <x:c r="C4" s="2"/>
    </x:row>
    <x:row r="5">
      <x:c r="A5" s="8" t="str">
        <x:v>Technology program</x:v>
      </x:c>
      <x:c r="B5" s="8" t="str">
        <x:v>USD M</x:v>
      </x:c>
      <x:c r="C5" s="8" t="str">
        <x:v>Required advance</x:v>
      </x:c>
    </x:row>
    <x:row r="6" ht="30" customHeight="1">
      <x:c r="A6" s="10" t="str">
        <x:v>inline stable-isotope ratio and phase analytics</x:v>
      </x:c>
      <x:c r="B6" s="10" t="n">
        <x:v>38</x:v>
      </x:c>
      <x:c r="C6" s="23" t="str">
        <x:v>close compositional ancestry outside a central laboratory</x:v>
      </x:c>
    </x:row>
    <x:row r="7" ht="30" customHeight="1">
      <x:c r="A7" s="10" t="str">
        <x:v>encoded microartifact production and census</x:v>
      </x:c>
      <x:c r="B7" s="10" t="n">
        <x:v>32</x:v>
      </x:c>
      <x:c r="C7" s="23" t="str">
        <x:v>manufacture, recover and count phase-selective public reference objects</x:v>
      </x:c>
    </x:row>
    <x:row r="8" ht="30" customHeight="1">
      <x:c r="A8" s="10" t="str">
        <x:v>cross-phase transport reconstruction</x:v>
      </x:c>
      <x:c r="B8" s="10" t="n">
        <x:v>26</x:v>
      </x:c>
      <x:c r="C8" s="23" t="str">
        <x:v>locate ancestry through emulsion, film, entrainment and delayed release</x:v>
      </x:c>
    </x:row>
    <x:row r="9" ht="30" customHeight="1">
      <x:c r="A9" s="10" t="str">
        <x:v>blind code and trustee compiler</x:v>
      </x:c>
      <x:c r="B9" s="10" t="n">
        <x:v>24</x:v>
      </x:c>
      <x:c r="C9" s="23" t="str">
        <x:v>commit, allocate, reveal and audit without event-side identity access</x:v>
      </x:c>
    </x:row>
    <x:row r="10" ht="30" customHeight="1">
      <x:c r="A10" s="10" t="str">
        <x:v>autonomous multiphase sampling</x:v>
      </x:c>
      <x:c r="B10" s="10" t="n">
        <x:v>22</x:v>
      </x:c>
      <x:c r="C10" s="23" t="str">
        <x:v>obtain location-true samples without one shared decisive sampler</x:v>
      </x:c>
    </x:row>
    <x:row r="11" ht="30" customHeight="1">
      <x:c r="A11" s="10" t="str">
        <x:v>decontamination and carryover extinction</x:v>
      </x:c>
      <x:c r="B11" s="10" t="n">
        <x:v>18</x:v>
      </x:c>
      <x:c r="C11" s="23" t="str">
        <x:v>prove current-event identity after retained films and prior codes</x:v>
      </x:c>
    </x:row>
    <x:row r="12" ht="30" customHeight="1">
      <x:c r="A12" s="10" t="str">
        <x:v>reader-denial and outside replay systems</x:v>
      </x:c>
      <x:c r="B12" s="10" t="n">
        <x:v>18</x:v>
      </x:c>
      <x:c r="C12" s="23" t="str">
        <x:v>preserve independent decisions without campus services</x:v>
      </x:c>
    </x:row>
    <x:row r="13" ht="30" customHeight="1">
      <x:c r="A13" s="10" t="str">
        <x:v>nonenergetic source-like reference materials</x:v>
      </x:c>
      <x:c r="B13" s="10" t="n">
        <x:v>14</x:v>
      </x:c>
      <x:c r="C13" s="23" t="str">
        <x:v>reproduce registered wetting and separation challenges safely</x:v>
      </x:c>
    </x:row>
    <x:row r="14" ht="30" customHeight="1">
      <x:c r="A14" s="10" t="str">
        <x:v>phase-separation metrology</x:v>
      </x:c>
      <x:c r="B14" s="10" t="n">
        <x:v>10</x:v>
      </x:c>
      <x:c r="C14" s="23" t="str">
        <x:v>quantify cross-phase burden and quarantine boundaries in real time</x:v>
      </x:c>
    </x:row>
    <x:row r="15" ht="30" customHeight="1">
      <x:c r="A15" s="10" t="str">
        <x:v>public ancestry standards and artifacts</x:v>
      </x:c>
      <x:c r="B15" s="10" t="n">
        <x:v>8</x:v>
      </x:c>
      <x:c r="C15" s="23" t="str">
        <x:v>create transferable references for suppliers and allied laboratories</x:v>
      </x:c>
    </x:row>
    <x:row r="16" ht="30" customHeight="1">
      <x:c r="A16" s="10" t="str">
        <x:v>total</x:v>
      </x:c>
      <x:c r="B16" s="10" t="n">
        <x:f>SUM(B6:B15)</x:f>
        <x:v>210</x:v>
      </x:c>
      <x:c r="C16" s="23" t="str">
        <x:v>cross-classified; do not add to stage exposure</x:v>
      </x:c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505b5c03be1a49d3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" hidden="0" customWidth="1"/>
    <x:col min="2" max="2" width="21" hidden="0" customWidth="1"/>
    <x:col min="3" max="3" width="24" hidden="0" customWidth="1"/>
    <x:col min="4" max="4" width="18" hidden="0" customWidth="1"/>
  </x:cols>
  <x:sheetData>
    <x:row r="2" ht="24" customHeight="1">
      <x:c r="A2" s="1" t="str">
        <x:v>RBJ-1 capital, support and revised parent capacity</x:v>
      </x:c>
    </x:row>
    <x:row r="4" ht="22" customHeight="1">
      <x:c r="A4" s="2"/>
      <x:c r="B4" s="2"/>
      <x:c r="C4" s="2"/>
      <x:c r="D4" s="2"/>
    </x:row>
    <x:row r="5">
      <x:c r="A5" s="8" t="str">
        <x:v>RBJ-1 capital object</x:v>
      </x:c>
      <x:c r="B5" s="8" t="str">
        <x:v>USD M</x:v>
      </x:c>
      <x:c r="C5" s="8" t="str">
        <x:v>Share</x:v>
      </x:c>
      <x:c r="D5" s="8" t="str">
        <x:v>Cost basis</x:v>
      </x:c>
    </x:row>
    <x:row r="6" ht="30" customHeight="1">
      <x:c r="A6" s="10" t="str">
        <x:v>candidate articles and blind preparation laboratories</x:v>
      </x:c>
      <x:c r="B6" s="10" t="n">
        <x:v>72</x:v>
      </x:c>
      <x:c r="C6" s="22" t="n">
        <x:f>B6/$B$15</x:f>
        <x:v>0.17142857142857143</x:v>
      </x:c>
      <x:c r="D6" s="23" t="str">
        <x:v>six articles per candidate across two lineages and three campuses</x:v>
      </x:c>
    </x:row>
    <x:row r="7" ht="30" customHeight="1">
      <x:c r="A7" s="10" t="str">
        <x:v>compositional ancestry root estate</x:v>
      </x:c>
      <x:c r="B7" s="10" t="n">
        <x:v>64</x:v>
      </x:c>
      <x:c r="C7" s="22" t="n">
        <x:f>B7/$B$15</x:f>
        <x:v>0.1523809523809524</x:v>
      </x:c>
      <x:c r="D7" s="23" t="str">
        <x:v>candidate-scale and selected-root estate</x:v>
      </x:c>
    </x:row>
    <x:row r="8" ht="30" customHeight="1">
      <x:c r="A8" s="10" t="str">
        <x:v>physical-object ancestry root estate</x:v>
      </x:c>
      <x:c r="B8" s="10" t="n">
        <x:v>64</x:v>
      </x:c>
      <x:c r="C8" s="22" t="n">
        <x:f>B8/$B$15</x:f>
        <x:v>0.1523809523809524</x:v>
      </x:c>
      <x:c r="D8" s="23" t="str">
        <x:v>candidate-scale and selected-root estate</x:v>
      </x:c>
    </x:row>
    <x:row r="9" ht="30" customHeight="1">
      <x:c r="A9" s="10" t="str">
        <x:v>isolated readers and outside-replay laboratories</x:v>
      </x:c>
      <x:c r="B9" s="10" t="n">
        <x:v>42</x:v>
      </x:c>
      <x:c r="C9" s="22" t="n">
        <x:f>B9/$B$15</x:f>
        <x:v>0.1</x:v>
      </x:c>
      <x:c r="D9" s="23" t="str">
        <x:v>mutually independent readers and off-campus reconstruction</x:v>
      </x:c>
    </x:row>
    <x:row r="10" ht="30" customHeight="1">
      <x:c r="A10" s="10" t="str">
        <x:v>eighteen selected-root ancestry modules</x:v>
      </x:c>
      <x:c r="B10" s="10" t="n">
        <x:v>96</x:v>
      </x:c>
      <x:c r="C10" s="22" t="n">
        <x:f>B10/$B$15</x:f>
        <x:v>0.22857142857142856</x:v>
      </x:c>
      <x:c r="D10" s="23" t="str">
        <x:v>twelve active, four spares, two forensic</x:v>
      </x:c>
    </x:row>
    <x:row r="11" ht="30" customHeight="1">
      <x:c r="A11" s="10" t="str">
        <x:v>simulant, water, separation and recovery plant</x:v>
      </x:c>
      <x:c r="B11" s="10" t="n">
        <x:v>36</x:v>
      </x:c>
      <x:c r="C11" s="22" t="n">
        <x:f>B11/$B$15</x:f>
        <x:v>0.08571428571428572</x:v>
      </x:c>
      <x:c r="D11" s="23" t="str">
        <x:v>full-scale issue, recovery and quarantine</x:v>
      </x:c>
    </x:row>
    <x:row r="12" ht="30" customHeight="1">
      <x:c r="A12" s="10" t="str">
        <x:v>evidence and causal-time estate</x:v>
      </x:c>
      <x:c r="B12" s="10" t="n">
        <x:v>24</x:v>
      </x:c>
      <x:c r="C12" s="22" t="n">
        <x:f>B12/$B$15</x:f>
        <x:v>0.05714285714285714</x:v>
      </x:c>
      <x:c r="D12" s="23" t="str">
        <x:v>200 TB provision and immutable originals</x:v>
      </x:c>
    </x:row>
    <x:row r="13" ht="30" customHeight="1">
      <x:c r="A13" s="10" t="str">
        <x:v>robotics, sampling and physical forensics</x:v>
      </x:c>
      <x:c r="B13" s="10" t="n">
        <x:v>12</x:v>
      </x:c>
      <x:c r="C13" s="22" t="n">
        <x:f>B13/$B$15</x:f>
        <x:v>0.02857142857142857</x:v>
      </x:c>
      <x:c r="D13" s="23" t="str">
        <x:v>separate root-native collection paths</x:v>
      </x:c>
    </x:row>
    <x:row r="14" ht="30" customHeight="1">
      <x:c r="A14" s="10" t="str">
        <x:v>controlled contingency</x:v>
      </x:c>
      <x:c r="B14" s="10" t="n">
        <x:v>10</x:v>
      </x:c>
      <x:c r="C14" s="22" t="n">
        <x:f>B14/$B$15</x:f>
        <x:v>0.023809523809523808</x:v>
      </x:c>
      <x:c r="D14" s="23" t="str">
        <x:v>bounded correction only</x:v>
      </x:c>
    </x:row>
    <x:row r="15" ht="30" customHeight="1">
      <x:c r="A15" s="10" t="str">
        <x:v>capital total</x:v>
      </x:c>
      <x:c r="B15" s="10" t="n">
        <x:f>SUM(B6:B14)</x:f>
        <x:v>420</x:v>
      </x:c>
      <x:c r="C15" s="22" t="n">
        <x:f>SUM(C6:C14)</x:f>
        <x:v>1</x:v>
      </x:c>
      <x:c r="D15" s="23" t="str">
        <x:v>allocation</x:v>
      </x:c>
    </x:row>
    <x:row r="18">
      <x:c r="A18" s="8" t="str">
        <x:v>Support and exposure</x:v>
      </x:c>
      <x:c r="B18" s="8" t="str">
        <x:v>USD M</x:v>
      </x:c>
    </x:row>
    <x:row r="19">
      <x:c r="A19" s="10" t="str">
        <x:v>RBJ execution support per year</x:v>
      </x:c>
      <x:c r="B19" s="10" t="n">
        <x:v>72</x:v>
      </x:c>
    </x:row>
    <x:row r="20">
      <x:c r="A20" s="10" t="str">
        <x:v>RBH sustainment per year</x:v>
      </x:c>
      <x:c r="B20" s="10" t="n">
        <x:v>8</x:v>
      </x:c>
    </x:row>
    <x:row r="21">
      <x:c r="A21" s="10" t="str">
        <x:v>RBI sustainment per year</x:v>
      </x:c>
      <x:c r="B21" s="10" t="n">
        <x:v>12</x:v>
      </x:c>
    </x:row>
    <x:row r="22">
      <x:c r="A22" s="10" t="str">
        <x:v>concurrent annual requirement</x:v>
      </x:c>
      <x:c r="B22" s="10" t="n">
        <x:f>SUM(B19:B21)</x:f>
        <x:v>92</x:v>
      </x:c>
    </x:row>
    <x:row r="23">
      <x:c r="A23" s="10" t="str">
        <x:v>24-month direct support</x:v>
      </x:c>
      <x:c r="B23" s="10" t="n">
        <x:f>B19*'Assumptions'!B74/12</x:f>
        <x:v>144</x:v>
      </x:c>
    </x:row>
    <x:row r="24">
      <x:c r="A24" s="10" t="str">
        <x:v>capital plus direct support exposure</x:v>
      </x:c>
      <x:c r="B24" s="10" t="n">
        <x:f>B15+B23</x:f>
        <x:v>564</x:v>
      </x:c>
    </x:row>
    <x:row r="27">
      <x:c r="A27" s="8" t="str">
        <x:v>Parent resource</x:v>
      </x:c>
      <x:c r="B27" s="8" t="str">
        <x:v>Revised envelope</x:v>
      </x:c>
      <x:c r="C27" s="8" t="str">
        <x:v>Allocated or concurrent</x:v>
      </x:c>
      <x:c r="D27" s="8" t="str">
        <x:v>Remaining</x:v>
      </x:c>
    </x:row>
    <x:row r="28">
      <x:c r="A28" s="10" t="str">
        <x:v>capital USD M</x:v>
      </x:c>
      <x:c r="B28" s="10" t="n">
        <x:v>3700</x:v>
      </x:c>
      <x:c r="C28" s="10" t="n">
        <x:f>'Assumptions'!B93+'Assumptions'!B94+'Assumptions'!B78</x:f>
        <x:v>860</x:v>
      </x:c>
      <x:c r="D28" s="10" t="n">
        <x:f>B28-C28</x:f>
        <x:v>2840</x:v>
      </x:c>
    </x:row>
    <x:row r="29">
      <x:c r="A29" s="10" t="str">
        <x:v>technology USD M</x:v>
      </x:c>
      <x:c r="B29" s="10" t="n">
        <x:v>855</x:v>
      </x:c>
      <x:c r="C29" s="10" t="n">
        <x:f>'Assumptions'!B95+'Assumptions'!B96+'Assumptions'!B82</x:f>
        <x:v>395</x:v>
      </x:c>
      <x:c r="D29" s="10" t="n">
        <x:f>B29-C29</x:f>
        <x:v>460</x:v>
      </x:c>
    </x:row>
    <x:row r="30">
      <x:c r="A30" s="10" t="str">
        <x:v>annual support USD M/year</x:v>
      </x:c>
      <x:c r="B30" s="10" t="n">
        <x:v>215</x:v>
      </x:c>
      <x:c r="C30" s="10" t="n">
        <x:f>B22</x:f>
        <x:v>92</x:v>
      </x:c>
      <x:c r="D30" s="10" t="n">
        <x:f>B30-C30</x:f>
        <x:v>123</x:v>
      </x:c>
    </x:row>
    <x:row r="31">
      <x:c r="A31" s="10" t="str">
        <x:v>positions</x:v>
      </x:c>
      <x:c r="B31" s="10" t="n">
        <x:v>1200</x:v>
      </x:c>
      <x:c r="C31" s="10" t="n">
        <x:f>Workforce!B17</x:f>
        <x:v>560</x:v>
      </x:c>
      <x:c r="D31" s="10" t="n">
        <x:f>B31-C31</x:f>
        <x:v>640</x:v>
      </x:c>
    </x:row>
    <x:row r="32">
      <x:c r="A32" s="10" t="str">
        <x:v>seven-year capital plus support capacity</x:v>
      </x:c>
      <x:c r="B32" s="10" t="n">
        <x:f>B28+B30*7</x:f>
        <x:v>5205</x:v>
      </x:c>
      <x:c r="C32" s="10"/>
      <x:c r="D32" s="10"/>
    </x:row>
  </x:sheetData>
  <x:mergeCells>
    <x:mergeCell ref="A2:D2"/>
  </x:mergeCells>
  <x:pageMargins left="0.7" right="0.7" top="0.75" bottom="0.75" header="0.3" footer="0.3"/>
  <x:tableParts count="3">
    <x:tablePart xmlns:r="http://schemas.openxmlformats.org/officeDocument/2006/relationships" r:id="R7b508a01c369485e"/>
    <x:tablePart xmlns:r="http://schemas.openxmlformats.org/officeDocument/2006/relationships" r:id="R70cd7ba7efd849cd"/>
    <x:tablePart xmlns:r="http://schemas.openxmlformats.org/officeDocument/2006/relationships" r:id="Rb08fef7fbee84798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1" hidden="0" customWidth="1"/>
    <x:col min="4" max="4" width="62" hidden="0" customWidth="1"/>
    <x:col min="5" max="5" width="15" hidden="0" customWidth="1"/>
    <x:col min="6" max="6" width="15" hidden="0" customWidth="1"/>
    <x:col min="7" max="7" width="14" hidden="0" customWidth="1"/>
    <x:col min="8" max="8" width="23" hidden="0" customWidth="1"/>
  </x:cols>
  <x:sheetData>
    <x:row r="2" ht="24" customHeight="1">
      <x:c r="A2" s="1" t="str">
        <x:v>One hundred eighty registered falsification cases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>
      <x:c r="A5" s="8" t="str">
        <x:v>Case</x:v>
      </x:c>
      <x:c r="B5" s="8" t="str">
        <x:v>Family</x:v>
      </x:c>
      <x:c r="C5" s="8" t="str">
        <x:v>Variant</x:v>
      </x:c>
      <x:c r="D5" s="8" t="str">
        <x:v>Challenge</x:v>
      </x:c>
      <x:c r="E5" s="8" t="str">
        <x:v>Expected</x:v>
      </x:c>
      <x:c r="F5" s="8" t="str">
        <x:v>Observed</x:v>
      </x:c>
      <x:c r="G5" s="8" t="str">
        <x:v>State</x:v>
      </x:c>
      <x:c r="H5" s="8" t="str">
        <x:v>Owner</x:v>
      </x:c>
    </x:row>
    <x:row r="6">
      <x:c r="A6" s="10" t="str">
        <x:v>RBJ-C001</x:v>
      </x:c>
      <x:c r="B6" s="10" t="str">
        <x:v>candidate blank and decoy</x:v>
      </x:c>
      <x:c r="C6" s="10" t="n">
        <x:v>1</x:v>
      </x:c>
      <x:c r="D6" s="10" t="str">
        <x:v>blank or decoy yields an identity claim; variant 1</x:v>
      </x:c>
      <x:c r="E6" s="10" t="str">
        <x:v>REJECT</x:v>
      </x:c>
      <x:c r="F6" s="12"/>
      <x:c r="G6" s="10" t="str">
        <x:f>IF(F6="","OPEN",IF(F6=E6,"PASS","FAIL"))</x:f>
        <x:v>OPEN</x:v>
      </x:c>
      <x:c r="H6" s="10" t="str">
        <x:v>candidate authority</x:v>
      </x:c>
    </x:row>
    <x:row r="7">
      <x:c r="A7" s="10" t="str">
        <x:v>RBJ-C002</x:v>
      </x:c>
      <x:c r="B7" s="10" t="str">
        <x:v>candidate blank and decoy</x:v>
      </x:c>
      <x:c r="C7" s="10" t="n">
        <x:v>2</x:v>
      </x:c>
      <x:c r="D7" s="10" t="str">
        <x:v>blank or decoy yields an identity claim; variant 2</x:v>
      </x:c>
      <x:c r="E7" s="10" t="str">
        <x:v>REJECT</x:v>
      </x:c>
      <x:c r="F7" s="12"/>
      <x:c r="G7" s="10" t="str">
        <x:f>IF(F7="","OPEN",IF(F7=E7,"PASS","FAIL"))</x:f>
        <x:v>OPEN</x:v>
      </x:c>
      <x:c r="H7" s="10" t="str">
        <x:v>candidate authority</x:v>
      </x:c>
    </x:row>
    <x:row r="8">
      <x:c r="A8" s="10" t="str">
        <x:v>RBJ-C003</x:v>
      </x:c>
      <x:c r="B8" s="10" t="str">
        <x:v>candidate blank and decoy</x:v>
      </x:c>
      <x:c r="C8" s="10" t="n">
        <x:v>3</x:v>
      </x:c>
      <x:c r="D8" s="10" t="str">
        <x:v>blank or decoy yields an identity claim; variant 3</x:v>
      </x:c>
      <x:c r="E8" s="10" t="str">
        <x:v>REJECT</x:v>
      </x:c>
      <x:c r="F8" s="12"/>
      <x:c r="G8" s="10" t="str">
        <x:f>IF(F8="","OPEN",IF(F8=E8,"PASS","FAIL"))</x:f>
        <x:v>OPEN</x:v>
      </x:c>
      <x:c r="H8" s="10" t="str">
        <x:v>candidate authority</x:v>
      </x:c>
    </x:row>
    <x:row r="9">
      <x:c r="A9" s="10" t="str">
        <x:v>RBJ-C004</x:v>
      </x:c>
      <x:c r="B9" s="10" t="str">
        <x:v>candidate blank and decoy</x:v>
      </x:c>
      <x:c r="C9" s="10" t="n">
        <x:v>4</x:v>
      </x:c>
      <x:c r="D9" s="10" t="str">
        <x:v>blank or decoy yields an identity claim; variant 4</x:v>
      </x:c>
      <x:c r="E9" s="10" t="str">
        <x:v>REJECT</x:v>
      </x:c>
      <x:c r="F9" s="12"/>
      <x:c r="G9" s="10" t="str">
        <x:f>IF(F9="","OPEN",IF(F9=E9,"PASS","FAIL"))</x:f>
        <x:v>OPEN</x:v>
      </x:c>
      <x:c r="H9" s="10" t="str">
        <x:v>candidate authority</x:v>
      </x:c>
    </x:row>
    <x:row r="10">
      <x:c r="A10" s="10" t="str">
        <x:v>RBJ-C005</x:v>
      </x:c>
      <x:c r="B10" s="10" t="str">
        <x:v>candidate blank and decoy</x:v>
      </x:c>
      <x:c r="C10" s="10" t="n">
        <x:v>5</x:v>
      </x:c>
      <x:c r="D10" s="10" t="str">
        <x:v>blank or decoy yields an identity claim; variant 5</x:v>
      </x:c>
      <x:c r="E10" s="10" t="str">
        <x:v>REJECT</x:v>
      </x:c>
      <x:c r="F10" s="12"/>
      <x:c r="G10" s="10" t="str">
        <x:f>IF(F10="","OPEN",IF(F10=E10,"PASS","FAIL"))</x:f>
        <x:v>OPEN</x:v>
      </x:c>
      <x:c r="H10" s="10" t="str">
        <x:v>candidate authority</x:v>
      </x:c>
    </x:row>
    <x:row r="11">
      <x:c r="A11" s="10" t="str">
        <x:v>RBJ-C006</x:v>
      </x:c>
      <x:c r="B11" s="10" t="str">
        <x:v>candidate blank and decoy</x:v>
      </x:c>
      <x:c r="C11" s="10" t="n">
        <x:v>6</x:v>
      </x:c>
      <x:c r="D11" s="10" t="str">
        <x:v>blank or decoy yields an identity claim; variant 6</x:v>
      </x:c>
      <x:c r="E11" s="10" t="str">
        <x:v>REJECT</x:v>
      </x:c>
      <x:c r="F11" s="12"/>
      <x:c r="G11" s="10" t="str">
        <x:f>IF(F11="","OPEN",IF(F11=E11,"PASS","FAIL"))</x:f>
        <x:v>OPEN</x:v>
      </x:c>
      <x:c r="H11" s="10" t="str">
        <x:v>candidate authority</x:v>
      </x:c>
    </x:row>
    <x:row r="12">
      <x:c r="A12" s="10" t="str">
        <x:v>RBJ-C007</x:v>
      </x:c>
      <x:c r="B12" s="10" t="str">
        <x:v>candidate blank and decoy</x:v>
      </x:c>
      <x:c r="C12" s="10" t="n">
        <x:v>7</x:v>
      </x:c>
      <x:c r="D12" s="10" t="str">
        <x:v>blank or decoy yields an identity claim; variant 7</x:v>
      </x:c>
      <x:c r="E12" s="10" t="str">
        <x:v>REJECT</x:v>
      </x:c>
      <x:c r="F12" s="12"/>
      <x:c r="G12" s="10" t="str">
        <x:f>IF(F12="","OPEN",IF(F12=E12,"PASS","FAIL"))</x:f>
        <x:v>OPEN</x:v>
      </x:c>
      <x:c r="H12" s="10" t="str">
        <x:v>candidate authority</x:v>
      </x:c>
    </x:row>
    <x:row r="13">
      <x:c r="A13" s="10" t="str">
        <x:v>RBJ-C008</x:v>
      </x:c>
      <x:c r="B13" s="10" t="str">
        <x:v>candidate blank and decoy</x:v>
      </x:c>
      <x:c r="C13" s="10" t="n">
        <x:v>8</x:v>
      </x:c>
      <x:c r="D13" s="10" t="str">
        <x:v>blank or decoy yields an identity claim; variant 8</x:v>
      </x:c>
      <x:c r="E13" s="10" t="str">
        <x:v>REJECT</x:v>
      </x:c>
      <x:c r="F13" s="12"/>
      <x:c r="G13" s="10" t="str">
        <x:f>IF(F13="","OPEN",IF(F13=E13,"PASS","FAIL"))</x:f>
        <x:v>OPEN</x:v>
      </x:c>
      <x:c r="H13" s="10" t="str">
        <x:v>candidate authority</x:v>
      </x:c>
    </x:row>
    <x:row r="14">
      <x:c r="A14" s="10" t="str">
        <x:v>RBJ-C009</x:v>
      </x:c>
      <x:c r="B14" s="10" t="str">
        <x:v>candidate blank and decoy</x:v>
      </x:c>
      <x:c r="C14" s="10" t="n">
        <x:v>9</x:v>
      </x:c>
      <x:c r="D14" s="10" t="str">
        <x:v>blank or decoy yields an identity claim; variant 9</x:v>
      </x:c>
      <x:c r="E14" s="10" t="str">
        <x:v>REJECT</x:v>
      </x:c>
      <x:c r="F14" s="12"/>
      <x:c r="G14" s="10" t="str">
        <x:f>IF(F14="","OPEN",IF(F14=E14,"PASS","FAIL"))</x:f>
        <x:v>OPEN</x:v>
      </x:c>
      <x:c r="H14" s="10" t="str">
        <x:v>candidate authority</x:v>
      </x:c>
    </x:row>
    <x:row r="15">
      <x:c r="A15" s="10" t="str">
        <x:v>RBJ-C010</x:v>
      </x:c>
      <x:c r="B15" s="10" t="str">
        <x:v>candidate blank and decoy</x:v>
      </x:c>
      <x:c r="C15" s="10" t="n">
        <x:v>10</x:v>
      </x:c>
      <x:c r="D15" s="10" t="str">
        <x:v>blank or decoy yields an identity claim; variant 10</x:v>
      </x:c>
      <x:c r="E15" s="10" t="str">
        <x:v>REJECT</x:v>
      </x:c>
      <x:c r="F15" s="12"/>
      <x:c r="G15" s="10" t="str">
        <x:f>IF(F15="","OPEN",IF(F15=E15,"PASS","FAIL"))</x:f>
        <x:v>OPEN</x:v>
      </x:c>
      <x:c r="H15" s="10" t="str">
        <x:v>candidate authority</x:v>
      </x:c>
    </x:row>
    <x:row r="16">
      <x:c r="A16" s="10" t="str">
        <x:v>RBJ-C011</x:v>
      </x:c>
      <x:c r="B16" s="10" t="str">
        <x:v>compositional fractionation</x:v>
      </x:c>
      <x:c r="C16" s="10" t="n">
        <x:v>1</x:v>
      </x:c>
      <x:c r="D16" s="10" t="str">
        <x:v>phase exchange corrupts a compositional ratio; variant 1</x:v>
      </x:c>
      <x:c r="E16" s="10" t="str">
        <x:v>REJECT</x:v>
      </x:c>
      <x:c r="F16" s="12"/>
      <x:c r="G16" s="10" t="str">
        <x:f>IF(F16="","OPEN",IF(F16=E16,"PASS","FAIL"))</x:f>
        <x:v>OPEN</x:v>
      </x:c>
      <x:c r="H16" s="10" t="str">
        <x:v>root science</x:v>
      </x:c>
    </x:row>
    <x:row r="17">
      <x:c r="A17" s="10" t="str">
        <x:v>RBJ-C012</x:v>
      </x:c>
      <x:c r="B17" s="10" t="str">
        <x:v>compositional fractionation</x:v>
      </x:c>
      <x:c r="C17" s="10" t="n">
        <x:v>2</x:v>
      </x:c>
      <x:c r="D17" s="10" t="str">
        <x:v>phase exchange corrupts a compositional ratio; variant 2</x:v>
      </x:c>
      <x:c r="E17" s="10" t="str">
        <x:v>REJECT</x:v>
      </x:c>
      <x:c r="F17" s="12"/>
      <x:c r="G17" s="10" t="str">
        <x:f>IF(F17="","OPEN",IF(F17=E17,"PASS","FAIL"))</x:f>
        <x:v>OPEN</x:v>
      </x:c>
      <x:c r="H17" s="10" t="str">
        <x:v>root science</x:v>
      </x:c>
    </x:row>
    <x:row r="18">
      <x:c r="A18" s="10" t="str">
        <x:v>RBJ-C013</x:v>
      </x:c>
      <x:c r="B18" s="10" t="str">
        <x:v>compositional fractionation</x:v>
      </x:c>
      <x:c r="C18" s="10" t="n">
        <x:v>3</x:v>
      </x:c>
      <x:c r="D18" s="10" t="str">
        <x:v>phase exchange corrupts a compositional ratio; variant 3</x:v>
      </x:c>
      <x:c r="E18" s="10" t="str">
        <x:v>REJECT</x:v>
      </x:c>
      <x:c r="F18" s="12"/>
      <x:c r="G18" s="10" t="str">
        <x:f>IF(F18="","OPEN",IF(F18=E18,"PASS","FAIL"))</x:f>
        <x:v>OPEN</x:v>
      </x:c>
      <x:c r="H18" s="10" t="str">
        <x:v>root science</x:v>
      </x:c>
    </x:row>
    <x:row r="19">
      <x:c r="A19" s="10" t="str">
        <x:v>RBJ-C014</x:v>
      </x:c>
      <x:c r="B19" s="10" t="str">
        <x:v>compositional fractionation</x:v>
      </x:c>
      <x:c r="C19" s="10" t="n">
        <x:v>4</x:v>
      </x:c>
      <x:c r="D19" s="10" t="str">
        <x:v>phase exchange corrupts a compositional ratio; variant 4</x:v>
      </x:c>
      <x:c r="E19" s="10" t="str">
        <x:v>REJECT</x:v>
      </x:c>
      <x:c r="F19" s="12"/>
      <x:c r="G19" s="10" t="str">
        <x:f>IF(F19="","OPEN",IF(F19=E19,"PASS","FAIL"))</x:f>
        <x:v>OPEN</x:v>
      </x:c>
      <x:c r="H19" s="10" t="str">
        <x:v>root science</x:v>
      </x:c>
    </x:row>
    <x:row r="20">
      <x:c r="A20" s="10" t="str">
        <x:v>RBJ-C015</x:v>
      </x:c>
      <x:c r="B20" s="10" t="str">
        <x:v>compositional fractionation</x:v>
      </x:c>
      <x:c r="C20" s="10" t="n">
        <x:v>5</x:v>
      </x:c>
      <x:c r="D20" s="10" t="str">
        <x:v>phase exchange corrupts a compositional ratio; variant 5</x:v>
      </x:c>
      <x:c r="E20" s="10" t="str">
        <x:v>REJECT</x:v>
      </x:c>
      <x:c r="F20" s="12"/>
      <x:c r="G20" s="10" t="str">
        <x:f>IF(F20="","OPEN",IF(F20=E20,"PASS","FAIL"))</x:f>
        <x:v>OPEN</x:v>
      </x:c>
      <x:c r="H20" s="10" t="str">
        <x:v>root science</x:v>
      </x:c>
    </x:row>
    <x:row r="21">
      <x:c r="A21" s="10" t="str">
        <x:v>RBJ-C016</x:v>
      </x:c>
      <x:c r="B21" s="10" t="str">
        <x:v>compositional fractionation</x:v>
      </x:c>
      <x:c r="C21" s="10" t="n">
        <x:v>6</x:v>
      </x:c>
      <x:c r="D21" s="10" t="str">
        <x:v>phase exchange corrupts a compositional ratio; variant 6</x:v>
      </x:c>
      <x:c r="E21" s="10" t="str">
        <x:v>REJECT</x:v>
      </x:c>
      <x:c r="F21" s="12"/>
      <x:c r="G21" s="10" t="str">
        <x:f>IF(F21="","OPEN",IF(F21=E21,"PASS","FAIL"))</x:f>
        <x:v>OPEN</x:v>
      </x:c>
      <x:c r="H21" s="10" t="str">
        <x:v>root science</x:v>
      </x:c>
    </x:row>
    <x:row r="22">
      <x:c r="A22" s="10" t="str">
        <x:v>RBJ-C017</x:v>
      </x:c>
      <x:c r="B22" s="10" t="str">
        <x:v>compositional fractionation</x:v>
      </x:c>
      <x:c r="C22" s="10" t="n">
        <x:v>7</x:v>
      </x:c>
      <x:c r="D22" s="10" t="str">
        <x:v>phase exchange corrupts a compositional ratio; variant 7</x:v>
      </x:c>
      <x:c r="E22" s="10" t="str">
        <x:v>REJECT</x:v>
      </x:c>
      <x:c r="F22" s="12"/>
      <x:c r="G22" s="10" t="str">
        <x:f>IF(F22="","OPEN",IF(F22=E22,"PASS","FAIL"))</x:f>
        <x:v>OPEN</x:v>
      </x:c>
      <x:c r="H22" s="10" t="str">
        <x:v>root science</x:v>
      </x:c>
    </x:row>
    <x:row r="23">
      <x:c r="A23" s="10" t="str">
        <x:v>RBJ-C018</x:v>
      </x:c>
      <x:c r="B23" s="10" t="str">
        <x:v>compositional fractionation</x:v>
      </x:c>
      <x:c r="C23" s="10" t="n">
        <x:v>8</x:v>
      </x:c>
      <x:c r="D23" s="10" t="str">
        <x:v>phase exchange corrupts a compositional ratio; variant 8</x:v>
      </x:c>
      <x:c r="E23" s="10" t="str">
        <x:v>REJECT</x:v>
      </x:c>
      <x:c r="F23" s="12"/>
      <x:c r="G23" s="10" t="str">
        <x:f>IF(F23="","OPEN",IF(F23=E23,"PASS","FAIL"))</x:f>
        <x:v>OPEN</x:v>
      </x:c>
      <x:c r="H23" s="10" t="str">
        <x:v>root science</x:v>
      </x:c>
    </x:row>
    <x:row r="24">
      <x:c r="A24" s="10" t="str">
        <x:v>RBJ-C019</x:v>
      </x:c>
      <x:c r="B24" s="10" t="str">
        <x:v>compositional fractionation</x:v>
      </x:c>
      <x:c r="C24" s="10" t="n">
        <x:v>9</x:v>
      </x:c>
      <x:c r="D24" s="10" t="str">
        <x:v>phase exchange corrupts a compositional ratio; variant 9</x:v>
      </x:c>
      <x:c r="E24" s="10" t="str">
        <x:v>REJECT</x:v>
      </x:c>
      <x:c r="F24" s="12"/>
      <x:c r="G24" s="10" t="str">
        <x:f>IF(F24="","OPEN",IF(F24=E24,"PASS","FAIL"))</x:f>
        <x:v>OPEN</x:v>
      </x:c>
      <x:c r="H24" s="10" t="str">
        <x:v>root science</x:v>
      </x:c>
    </x:row>
    <x:row r="25">
      <x:c r="A25" s="10" t="str">
        <x:v>RBJ-C020</x:v>
      </x:c>
      <x:c r="B25" s="10" t="str">
        <x:v>compositional fractionation</x:v>
      </x:c>
      <x:c r="C25" s="10" t="n">
        <x:v>10</x:v>
      </x:c>
      <x:c r="D25" s="10" t="str">
        <x:v>phase exchange corrupts a compositional ratio; variant 10</x:v>
      </x:c>
      <x:c r="E25" s="10" t="str">
        <x:v>REJECT</x:v>
      </x:c>
      <x:c r="F25" s="12"/>
      <x:c r="G25" s="10" t="str">
        <x:f>IF(F25="","OPEN",IF(F25=E25,"PASS","FAIL"))</x:f>
        <x:v>OPEN</x:v>
      </x:c>
      <x:c r="H25" s="10" t="str">
        <x:v>root science</x:v>
      </x:c>
    </x:row>
    <x:row r="26">
      <x:c r="A26" s="10" t="str">
        <x:v>RBJ-C021</x:v>
      </x:c>
      <x:c r="B26" s="10" t="str">
        <x:v>object partition bias</x:v>
      </x:c>
      <x:c r="C26" s="10" t="n">
        <x:v>1</x:v>
      </x:c>
      <x:c r="D26" s="10" t="str">
        <x:v>microartifact census departs from inventory truth; variant 1</x:v>
      </x:c>
      <x:c r="E26" s="10" t="str">
        <x:v>REJECT</x:v>
      </x:c>
      <x:c r="F26" s="12"/>
      <x:c r="G26" s="10" t="str">
        <x:f>IF(F26="","OPEN",IF(F26=E26,"PASS","FAIL"))</x:f>
        <x:v>OPEN</x:v>
      </x:c>
      <x:c r="H26" s="10" t="str">
        <x:v>root science</x:v>
      </x:c>
    </x:row>
    <x:row r="27">
      <x:c r="A27" s="10" t="str">
        <x:v>RBJ-C022</x:v>
      </x:c>
      <x:c r="B27" s="10" t="str">
        <x:v>object partition bias</x:v>
      </x:c>
      <x:c r="C27" s="10" t="n">
        <x:v>2</x:v>
      </x:c>
      <x:c r="D27" s="10" t="str">
        <x:v>microartifact census departs from inventory truth; variant 2</x:v>
      </x:c>
      <x:c r="E27" s="10" t="str">
        <x:v>REJECT</x:v>
      </x:c>
      <x:c r="F27" s="12"/>
      <x:c r="G27" s="10" t="str">
        <x:f>IF(F27="","OPEN",IF(F27=E27,"PASS","FAIL"))</x:f>
        <x:v>OPEN</x:v>
      </x:c>
      <x:c r="H27" s="10" t="str">
        <x:v>root science</x:v>
      </x:c>
    </x:row>
    <x:row r="28">
      <x:c r="A28" s="10" t="str">
        <x:v>RBJ-C023</x:v>
      </x:c>
      <x:c r="B28" s="10" t="str">
        <x:v>object partition bias</x:v>
      </x:c>
      <x:c r="C28" s="10" t="n">
        <x:v>3</x:v>
      </x:c>
      <x:c r="D28" s="10" t="str">
        <x:v>microartifact census departs from inventory truth; variant 3</x:v>
      </x:c>
      <x:c r="E28" s="10" t="str">
        <x:v>REJECT</x:v>
      </x:c>
      <x:c r="F28" s="12"/>
      <x:c r="G28" s="10" t="str">
        <x:f>IF(F28="","OPEN",IF(F28=E28,"PASS","FAIL"))</x:f>
        <x:v>OPEN</x:v>
      </x:c>
      <x:c r="H28" s="10" t="str">
        <x:v>root science</x:v>
      </x:c>
    </x:row>
    <x:row r="29">
      <x:c r="A29" s="10" t="str">
        <x:v>RBJ-C024</x:v>
      </x:c>
      <x:c r="B29" s="10" t="str">
        <x:v>object partition bias</x:v>
      </x:c>
      <x:c r="C29" s="10" t="n">
        <x:v>4</x:v>
      </x:c>
      <x:c r="D29" s="10" t="str">
        <x:v>microartifact census departs from inventory truth; variant 4</x:v>
      </x:c>
      <x:c r="E29" s="10" t="str">
        <x:v>REJECT</x:v>
      </x:c>
      <x:c r="F29" s="12"/>
      <x:c r="G29" s="10" t="str">
        <x:f>IF(F29="","OPEN",IF(F29=E29,"PASS","FAIL"))</x:f>
        <x:v>OPEN</x:v>
      </x:c>
      <x:c r="H29" s="10" t="str">
        <x:v>root science</x:v>
      </x:c>
    </x:row>
    <x:row r="30">
      <x:c r="A30" s="10" t="str">
        <x:v>RBJ-C025</x:v>
      </x:c>
      <x:c r="B30" s="10" t="str">
        <x:v>object partition bias</x:v>
      </x:c>
      <x:c r="C30" s="10" t="n">
        <x:v>5</x:v>
      </x:c>
      <x:c r="D30" s="10" t="str">
        <x:v>microartifact census departs from inventory truth; variant 5</x:v>
      </x:c>
      <x:c r="E30" s="10" t="str">
        <x:v>REJECT</x:v>
      </x:c>
      <x:c r="F30" s="12"/>
      <x:c r="G30" s="10" t="str">
        <x:f>IF(F30="","OPEN",IF(F30=E30,"PASS","FAIL"))</x:f>
        <x:v>OPEN</x:v>
      </x:c>
      <x:c r="H30" s="10" t="str">
        <x:v>root science</x:v>
      </x:c>
    </x:row>
    <x:row r="31">
      <x:c r="A31" s="10" t="str">
        <x:v>RBJ-C026</x:v>
      </x:c>
      <x:c r="B31" s="10" t="str">
        <x:v>object partition bias</x:v>
      </x:c>
      <x:c r="C31" s="10" t="n">
        <x:v>6</x:v>
      </x:c>
      <x:c r="D31" s="10" t="str">
        <x:v>microartifact census departs from inventory truth; variant 6</x:v>
      </x:c>
      <x:c r="E31" s="10" t="str">
        <x:v>REJECT</x:v>
      </x:c>
      <x:c r="F31" s="12"/>
      <x:c r="G31" s="10" t="str">
        <x:f>IF(F31="","OPEN",IF(F31=E31,"PASS","FAIL"))</x:f>
        <x:v>OPEN</x:v>
      </x:c>
      <x:c r="H31" s="10" t="str">
        <x:v>root science</x:v>
      </x:c>
    </x:row>
    <x:row r="32">
      <x:c r="A32" s="10" t="str">
        <x:v>RBJ-C027</x:v>
      </x:c>
      <x:c r="B32" s="10" t="str">
        <x:v>object partition bias</x:v>
      </x:c>
      <x:c r="C32" s="10" t="n">
        <x:v>7</x:v>
      </x:c>
      <x:c r="D32" s="10" t="str">
        <x:v>microartifact census departs from inventory truth; variant 7</x:v>
      </x:c>
      <x:c r="E32" s="10" t="str">
        <x:v>REJECT</x:v>
      </x:c>
      <x:c r="F32" s="12"/>
      <x:c r="G32" s="10" t="str">
        <x:f>IF(F32="","OPEN",IF(F32=E32,"PASS","FAIL"))</x:f>
        <x:v>OPEN</x:v>
      </x:c>
      <x:c r="H32" s="10" t="str">
        <x:v>root science</x:v>
      </x:c>
    </x:row>
    <x:row r="33">
      <x:c r="A33" s="10" t="str">
        <x:v>RBJ-C028</x:v>
      </x:c>
      <x:c r="B33" s="10" t="str">
        <x:v>object partition bias</x:v>
      </x:c>
      <x:c r="C33" s="10" t="n">
        <x:v>8</x:v>
      </x:c>
      <x:c r="D33" s="10" t="str">
        <x:v>microartifact census departs from inventory truth; variant 8</x:v>
      </x:c>
      <x:c r="E33" s="10" t="str">
        <x:v>REJECT</x:v>
      </x:c>
      <x:c r="F33" s="12"/>
      <x:c r="G33" s="10" t="str">
        <x:f>IF(F33="","OPEN",IF(F33=E33,"PASS","FAIL"))</x:f>
        <x:v>OPEN</x:v>
      </x:c>
      <x:c r="H33" s="10" t="str">
        <x:v>root science</x:v>
      </x:c>
    </x:row>
    <x:row r="34">
      <x:c r="A34" s="10" t="str">
        <x:v>RBJ-C029</x:v>
      </x:c>
      <x:c r="B34" s="10" t="str">
        <x:v>object partition bias</x:v>
      </x:c>
      <x:c r="C34" s="10" t="n">
        <x:v>9</x:v>
      </x:c>
      <x:c r="D34" s="10" t="str">
        <x:v>microartifact census departs from inventory truth; variant 9</x:v>
      </x:c>
      <x:c r="E34" s="10" t="str">
        <x:v>REJECT</x:v>
      </x:c>
      <x:c r="F34" s="12"/>
      <x:c r="G34" s="10" t="str">
        <x:f>IF(F34="","OPEN",IF(F34=E34,"PASS","FAIL"))</x:f>
        <x:v>OPEN</x:v>
      </x:c>
      <x:c r="H34" s="10" t="str">
        <x:v>root science</x:v>
      </x:c>
    </x:row>
    <x:row r="35">
      <x:c r="A35" s="10" t="str">
        <x:v>RBJ-C030</x:v>
      </x:c>
      <x:c r="B35" s="10" t="str">
        <x:v>object partition bias</x:v>
      </x:c>
      <x:c r="C35" s="10" t="n">
        <x:v>10</x:v>
      </x:c>
      <x:c r="D35" s="10" t="str">
        <x:v>microartifact census departs from inventory truth; variant 10</x:v>
      </x:c>
      <x:c r="E35" s="10" t="str">
        <x:v>REJECT</x:v>
      </x:c>
      <x:c r="F35" s="12"/>
      <x:c r="G35" s="10" t="str">
        <x:f>IF(F35="","OPEN",IF(F35=E35,"PASS","FAIL"))</x:f>
        <x:v>OPEN</x:v>
      </x:c>
      <x:c r="H35" s="10" t="str">
        <x:v>root science</x:v>
      </x:c>
    </x:row>
    <x:row r="36">
      <x:c r="A36" s="10" t="str">
        <x:v>RBJ-C031</x:v>
      </x:c>
      <x:c r="B36" s="10" t="str">
        <x:v>capsule rupture</x:v>
      </x:c>
      <x:c r="C36" s="10" t="n">
        <x:v>1</x:v>
      </x:c>
      <x:c r="D36" s="10" t="str">
        <x:v>resonance capsule loses registered phase behavior; variant 1</x:v>
      </x:c>
      <x:c r="E36" s="10" t="str">
        <x:v>REJECT</x:v>
      </x:c>
      <x:c r="F36" s="12"/>
      <x:c r="G36" s="10" t="str">
        <x:f>IF(F36="","OPEN",IF(F36=E36,"PASS","FAIL"))</x:f>
        <x:v>OPEN</x:v>
      </x:c>
      <x:c r="H36" s="10" t="str">
        <x:v>root science</x:v>
      </x:c>
    </x:row>
    <x:row r="37">
      <x:c r="A37" s="10" t="str">
        <x:v>RBJ-C032</x:v>
      </x:c>
      <x:c r="B37" s="10" t="str">
        <x:v>capsule rupture</x:v>
      </x:c>
      <x:c r="C37" s="10" t="n">
        <x:v>2</x:v>
      </x:c>
      <x:c r="D37" s="10" t="str">
        <x:v>resonance capsule loses registered phase behavior; variant 2</x:v>
      </x:c>
      <x:c r="E37" s="10" t="str">
        <x:v>REJECT</x:v>
      </x:c>
      <x:c r="F37" s="12"/>
      <x:c r="G37" s="10" t="str">
        <x:f>IF(F37="","OPEN",IF(F37=E37,"PASS","FAIL"))</x:f>
        <x:v>OPEN</x:v>
      </x:c>
      <x:c r="H37" s="10" t="str">
        <x:v>root science</x:v>
      </x:c>
    </x:row>
    <x:row r="38">
      <x:c r="A38" s="10" t="str">
        <x:v>RBJ-C033</x:v>
      </x:c>
      <x:c r="B38" s="10" t="str">
        <x:v>capsule rupture</x:v>
      </x:c>
      <x:c r="C38" s="10" t="n">
        <x:v>3</x:v>
      </x:c>
      <x:c r="D38" s="10" t="str">
        <x:v>resonance capsule loses registered phase behavior; variant 3</x:v>
      </x:c>
      <x:c r="E38" s="10" t="str">
        <x:v>REJECT</x:v>
      </x:c>
      <x:c r="F38" s="12"/>
      <x:c r="G38" s="10" t="str">
        <x:f>IF(F38="","OPEN",IF(F38=E38,"PASS","FAIL"))</x:f>
        <x:v>OPEN</x:v>
      </x:c>
      <x:c r="H38" s="10" t="str">
        <x:v>root science</x:v>
      </x:c>
    </x:row>
    <x:row r="39">
      <x:c r="A39" s="10" t="str">
        <x:v>RBJ-C034</x:v>
      </x:c>
      <x:c r="B39" s="10" t="str">
        <x:v>capsule rupture</x:v>
      </x:c>
      <x:c r="C39" s="10" t="n">
        <x:v>4</x:v>
      </x:c>
      <x:c r="D39" s="10" t="str">
        <x:v>resonance capsule loses registered phase behavior; variant 4</x:v>
      </x:c>
      <x:c r="E39" s="10" t="str">
        <x:v>REJECT</x:v>
      </x:c>
      <x:c r="F39" s="12"/>
      <x:c r="G39" s="10" t="str">
        <x:f>IF(F39="","OPEN",IF(F39=E39,"PASS","FAIL"))</x:f>
        <x:v>OPEN</x:v>
      </x:c>
      <x:c r="H39" s="10" t="str">
        <x:v>root science</x:v>
      </x:c>
    </x:row>
    <x:row r="40">
      <x:c r="A40" s="10" t="str">
        <x:v>RBJ-C035</x:v>
      </x:c>
      <x:c r="B40" s="10" t="str">
        <x:v>capsule rupture</x:v>
      </x:c>
      <x:c r="C40" s="10" t="n">
        <x:v>5</x:v>
      </x:c>
      <x:c r="D40" s="10" t="str">
        <x:v>resonance capsule loses registered phase behavior; variant 5</x:v>
      </x:c>
      <x:c r="E40" s="10" t="str">
        <x:v>REJECT</x:v>
      </x:c>
      <x:c r="F40" s="12"/>
      <x:c r="G40" s="10" t="str">
        <x:f>IF(F40="","OPEN",IF(F40=E40,"PASS","FAIL"))</x:f>
        <x:v>OPEN</x:v>
      </x:c>
      <x:c r="H40" s="10" t="str">
        <x:v>root science</x:v>
      </x:c>
    </x:row>
    <x:row r="41">
      <x:c r="A41" s="10" t="str">
        <x:v>RBJ-C036</x:v>
      </x:c>
      <x:c r="B41" s="10" t="str">
        <x:v>capsule rupture</x:v>
      </x:c>
      <x:c r="C41" s="10" t="n">
        <x:v>6</x:v>
      </x:c>
      <x:c r="D41" s="10" t="str">
        <x:v>resonance capsule loses registered phase behavior; variant 6</x:v>
      </x:c>
      <x:c r="E41" s="10" t="str">
        <x:v>REJECT</x:v>
      </x:c>
      <x:c r="F41" s="12"/>
      <x:c r="G41" s="10" t="str">
        <x:f>IF(F41="","OPEN",IF(F41=E41,"PASS","FAIL"))</x:f>
        <x:v>OPEN</x:v>
      </x:c>
      <x:c r="H41" s="10" t="str">
        <x:v>root science</x:v>
      </x:c>
    </x:row>
    <x:row r="42">
      <x:c r="A42" s="10" t="str">
        <x:v>RBJ-C037</x:v>
      </x:c>
      <x:c r="B42" s="10" t="str">
        <x:v>capsule rupture</x:v>
      </x:c>
      <x:c r="C42" s="10" t="n">
        <x:v>7</x:v>
      </x:c>
      <x:c r="D42" s="10" t="str">
        <x:v>resonance capsule loses registered phase behavior; variant 7</x:v>
      </x:c>
      <x:c r="E42" s="10" t="str">
        <x:v>REJECT</x:v>
      </x:c>
      <x:c r="F42" s="12"/>
      <x:c r="G42" s="10" t="str">
        <x:f>IF(F42="","OPEN",IF(F42=E42,"PASS","FAIL"))</x:f>
        <x:v>OPEN</x:v>
      </x:c>
      <x:c r="H42" s="10" t="str">
        <x:v>root science</x:v>
      </x:c>
    </x:row>
    <x:row r="43">
      <x:c r="A43" s="10" t="str">
        <x:v>RBJ-C038</x:v>
      </x:c>
      <x:c r="B43" s="10" t="str">
        <x:v>capsule rupture</x:v>
      </x:c>
      <x:c r="C43" s="10" t="n">
        <x:v>8</x:v>
      </x:c>
      <x:c r="D43" s="10" t="str">
        <x:v>resonance capsule loses registered phase behavior; variant 8</x:v>
      </x:c>
      <x:c r="E43" s="10" t="str">
        <x:v>REJECT</x:v>
      </x:c>
      <x:c r="F43" s="12"/>
      <x:c r="G43" s="10" t="str">
        <x:f>IF(F43="","OPEN",IF(F43=E43,"PASS","FAIL"))</x:f>
        <x:v>OPEN</x:v>
      </x:c>
      <x:c r="H43" s="10" t="str">
        <x:v>root science</x:v>
      </x:c>
    </x:row>
    <x:row r="44">
      <x:c r="A44" s="10" t="str">
        <x:v>RBJ-C039</x:v>
      </x:c>
      <x:c r="B44" s="10" t="str">
        <x:v>capsule rupture</x:v>
      </x:c>
      <x:c r="C44" s="10" t="n">
        <x:v>9</x:v>
      </x:c>
      <x:c r="D44" s="10" t="str">
        <x:v>resonance capsule loses registered phase behavior; variant 9</x:v>
      </x:c>
      <x:c r="E44" s="10" t="str">
        <x:v>REJECT</x:v>
      </x:c>
      <x:c r="F44" s="12"/>
      <x:c r="G44" s="10" t="str">
        <x:f>IF(F44="","OPEN",IF(F44=E44,"PASS","FAIL"))</x:f>
        <x:v>OPEN</x:v>
      </x:c>
      <x:c r="H44" s="10" t="str">
        <x:v>root science</x:v>
      </x:c>
    </x:row>
    <x:row r="45">
      <x:c r="A45" s="10" t="str">
        <x:v>RBJ-C040</x:v>
      </x:c>
      <x:c r="B45" s="10" t="str">
        <x:v>capsule rupture</x:v>
      </x:c>
      <x:c r="C45" s="10" t="n">
        <x:v>10</x:v>
      </x:c>
      <x:c r="D45" s="10" t="str">
        <x:v>resonance capsule loses registered phase behavior; variant 10</x:v>
      </x:c>
      <x:c r="E45" s="10" t="str">
        <x:v>REJECT</x:v>
      </x:c>
      <x:c r="F45" s="12"/>
      <x:c r="G45" s="10" t="str">
        <x:f>IF(F45="","OPEN",IF(F45=E45,"PASS","FAIL"))</x:f>
        <x:v>OPEN</x:v>
      </x:c>
      <x:c r="H45" s="10" t="str">
        <x:v>root science</x:v>
      </x:c>
    </x:row>
    <x:row r="46">
      <x:c r="A46" s="10" t="str">
        <x:v>RBJ-C041</x:v>
      </x:c>
      <x:c r="B46" s="10" t="str">
        <x:v>sequence contamination</x:v>
      </x:c>
      <x:c r="C46" s="10" t="n">
        <x:v>1</x:v>
      </x:c>
      <x:c r="D46" s="10" t="str">
        <x:v>foreign sequence appears in a clean blank; variant 1</x:v>
      </x:c>
      <x:c r="E46" s="10" t="str">
        <x:v>REJECT</x:v>
      </x:c>
      <x:c r="F46" s="12"/>
      <x:c r="G46" s="10" t="str">
        <x:f>IF(F46="","OPEN",IF(F46=E46,"PASS","FAIL"))</x:f>
        <x:v>OPEN</x:v>
      </x:c>
      <x:c r="H46" s="10" t="str">
        <x:v>root science</x:v>
      </x:c>
    </x:row>
    <x:row r="47">
      <x:c r="A47" s="10" t="str">
        <x:v>RBJ-C042</x:v>
      </x:c>
      <x:c r="B47" s="10" t="str">
        <x:v>sequence contamination</x:v>
      </x:c>
      <x:c r="C47" s="10" t="n">
        <x:v>2</x:v>
      </x:c>
      <x:c r="D47" s="10" t="str">
        <x:v>foreign sequence appears in a clean blank; variant 2</x:v>
      </x:c>
      <x:c r="E47" s="10" t="str">
        <x:v>REJECT</x:v>
      </x:c>
      <x:c r="F47" s="12"/>
      <x:c r="G47" s="10" t="str">
        <x:f>IF(F47="","OPEN",IF(F47=E47,"PASS","FAIL"))</x:f>
        <x:v>OPEN</x:v>
      </x:c>
      <x:c r="H47" s="10" t="str">
        <x:v>root science</x:v>
      </x:c>
    </x:row>
    <x:row r="48">
      <x:c r="A48" s="10" t="str">
        <x:v>RBJ-C043</x:v>
      </x:c>
      <x:c r="B48" s="10" t="str">
        <x:v>sequence contamination</x:v>
      </x:c>
      <x:c r="C48" s="10" t="n">
        <x:v>3</x:v>
      </x:c>
      <x:c r="D48" s="10" t="str">
        <x:v>foreign sequence appears in a clean blank; variant 3</x:v>
      </x:c>
      <x:c r="E48" s="10" t="str">
        <x:v>REJECT</x:v>
      </x:c>
      <x:c r="F48" s="12"/>
      <x:c r="G48" s="10" t="str">
        <x:f>IF(F48="","OPEN",IF(F48=E48,"PASS","FAIL"))</x:f>
        <x:v>OPEN</x:v>
      </x:c>
      <x:c r="H48" s="10" t="str">
        <x:v>root science</x:v>
      </x:c>
    </x:row>
    <x:row r="49">
      <x:c r="A49" s="10" t="str">
        <x:v>RBJ-C044</x:v>
      </x:c>
      <x:c r="B49" s="10" t="str">
        <x:v>sequence contamination</x:v>
      </x:c>
      <x:c r="C49" s="10" t="n">
        <x:v>4</x:v>
      </x:c>
      <x:c r="D49" s="10" t="str">
        <x:v>foreign sequence appears in a clean blank; variant 4</x:v>
      </x:c>
      <x:c r="E49" s="10" t="str">
        <x:v>REJECT</x:v>
      </x:c>
      <x:c r="F49" s="12"/>
      <x:c r="G49" s="10" t="str">
        <x:f>IF(F49="","OPEN",IF(F49=E49,"PASS","FAIL"))</x:f>
        <x:v>OPEN</x:v>
      </x:c>
      <x:c r="H49" s="10" t="str">
        <x:v>root science</x:v>
      </x:c>
    </x:row>
    <x:row r="50">
      <x:c r="A50" s="10" t="str">
        <x:v>RBJ-C045</x:v>
      </x:c>
      <x:c r="B50" s="10" t="str">
        <x:v>sequence contamination</x:v>
      </x:c>
      <x:c r="C50" s="10" t="n">
        <x:v>5</x:v>
      </x:c>
      <x:c r="D50" s="10" t="str">
        <x:v>foreign sequence appears in a clean blank; variant 5</x:v>
      </x:c>
      <x:c r="E50" s="10" t="str">
        <x:v>REJECT</x:v>
      </x:c>
      <x:c r="F50" s="12"/>
      <x:c r="G50" s="10" t="str">
        <x:f>IF(F50="","OPEN",IF(F50=E50,"PASS","FAIL"))</x:f>
        <x:v>OPEN</x:v>
      </x:c>
      <x:c r="H50" s="10" t="str">
        <x:v>root science</x:v>
      </x:c>
    </x:row>
    <x:row r="51">
      <x:c r="A51" s="10" t="str">
        <x:v>RBJ-C046</x:v>
      </x:c>
      <x:c r="B51" s="10" t="str">
        <x:v>sequence contamination</x:v>
      </x:c>
      <x:c r="C51" s="10" t="n">
        <x:v>6</x:v>
      </x:c>
      <x:c r="D51" s="10" t="str">
        <x:v>foreign sequence appears in a clean blank; variant 6</x:v>
      </x:c>
      <x:c r="E51" s="10" t="str">
        <x:v>REJECT</x:v>
      </x:c>
      <x:c r="F51" s="12"/>
      <x:c r="G51" s="10" t="str">
        <x:f>IF(F51="","OPEN",IF(F51=E51,"PASS","FAIL"))</x:f>
        <x:v>OPEN</x:v>
      </x:c>
      <x:c r="H51" s="10" t="str">
        <x:v>root science</x:v>
      </x:c>
    </x:row>
    <x:row r="52">
      <x:c r="A52" s="10" t="str">
        <x:v>RBJ-C047</x:v>
      </x:c>
      <x:c r="B52" s="10" t="str">
        <x:v>sequence contamination</x:v>
      </x:c>
      <x:c r="C52" s="10" t="n">
        <x:v>7</x:v>
      </x:c>
      <x:c r="D52" s="10" t="str">
        <x:v>foreign sequence appears in a clean blank; variant 7</x:v>
      </x:c>
      <x:c r="E52" s="10" t="str">
        <x:v>REJECT</x:v>
      </x:c>
      <x:c r="F52" s="12"/>
      <x:c r="G52" s="10" t="str">
        <x:f>IF(F52="","OPEN",IF(F52=E52,"PASS","FAIL"))</x:f>
        <x:v>OPEN</x:v>
      </x:c>
      <x:c r="H52" s="10" t="str">
        <x:v>root science</x:v>
      </x:c>
    </x:row>
    <x:row r="53">
      <x:c r="A53" s="10" t="str">
        <x:v>RBJ-C048</x:v>
      </x:c>
      <x:c r="B53" s="10" t="str">
        <x:v>sequence contamination</x:v>
      </x:c>
      <x:c r="C53" s="10" t="n">
        <x:v>8</x:v>
      </x:c>
      <x:c r="D53" s="10" t="str">
        <x:v>foreign sequence appears in a clean blank; variant 8</x:v>
      </x:c>
      <x:c r="E53" s="10" t="str">
        <x:v>REJECT</x:v>
      </x:c>
      <x:c r="F53" s="12"/>
      <x:c r="G53" s="10" t="str">
        <x:f>IF(F53="","OPEN",IF(F53=E53,"PASS","FAIL"))</x:f>
        <x:v>OPEN</x:v>
      </x:c>
      <x:c r="H53" s="10" t="str">
        <x:v>root science</x:v>
      </x:c>
    </x:row>
    <x:row r="54">
      <x:c r="A54" s="10" t="str">
        <x:v>RBJ-C049</x:v>
      </x:c>
      <x:c r="B54" s="10" t="str">
        <x:v>sequence contamination</x:v>
      </x:c>
      <x:c r="C54" s="10" t="n">
        <x:v>9</x:v>
      </x:c>
      <x:c r="D54" s="10" t="str">
        <x:v>foreign sequence appears in a clean blank; variant 9</x:v>
      </x:c>
      <x:c r="E54" s="10" t="str">
        <x:v>REJECT</x:v>
      </x:c>
      <x:c r="F54" s="12"/>
      <x:c r="G54" s="10" t="str">
        <x:f>IF(F54="","OPEN",IF(F54=E54,"PASS","FAIL"))</x:f>
        <x:v>OPEN</x:v>
      </x:c>
      <x:c r="H54" s="10" t="str">
        <x:v>root science</x:v>
      </x:c>
    </x:row>
    <x:row r="55">
      <x:c r="A55" s="10" t="str">
        <x:v>RBJ-C050</x:v>
      </x:c>
      <x:c r="B55" s="10" t="str">
        <x:v>sequence contamination</x:v>
      </x:c>
      <x:c r="C55" s="10" t="n">
        <x:v>10</x:v>
      </x:c>
      <x:c r="D55" s="10" t="str">
        <x:v>foreign sequence appears in a clean blank; variant 10</x:v>
      </x:c>
      <x:c r="E55" s="10" t="str">
        <x:v>REJECT</x:v>
      </x:c>
      <x:c r="F55" s="12"/>
      <x:c r="G55" s="10" t="str">
        <x:f>IF(F55="","OPEN",IF(F55=E55,"PASS","FAIL"))</x:f>
        <x:v>OPEN</x:v>
      </x:c>
      <x:c r="H55" s="10" t="str">
        <x:v>root science</x:v>
      </x:c>
    </x:row>
    <x:row r="56">
      <x:c r="A56" s="10" t="str">
        <x:v>RBJ-C051</x:v>
      </x:c>
      <x:c r="B56" s="10" t="str">
        <x:v>shared sampler</x:v>
      </x:c>
      <x:c r="C56" s="10" t="n">
        <x:v>1</x:v>
      </x:c>
      <x:c r="D56" s="10" t="str">
        <x:v>one collection path becomes decisive for both roots; variant 1</x:v>
      </x:c>
      <x:c r="E56" s="10" t="str">
        <x:v>REJECT</x:v>
      </x:c>
      <x:c r="F56" s="12"/>
      <x:c r="G56" s="10" t="str">
        <x:f>IF(F56="","OPEN",IF(F56=E56,"PASS","FAIL"))</x:f>
        <x:v>OPEN</x:v>
      </x:c>
      <x:c r="H56" s="10" t="str">
        <x:v>validity authority</x:v>
      </x:c>
    </x:row>
    <x:row r="57">
      <x:c r="A57" s="10" t="str">
        <x:v>RBJ-C052</x:v>
      </x:c>
      <x:c r="B57" s="10" t="str">
        <x:v>shared sampler</x:v>
      </x:c>
      <x:c r="C57" s="10" t="n">
        <x:v>2</x:v>
      </x:c>
      <x:c r="D57" s="10" t="str">
        <x:v>one collection path becomes decisive for both roots; variant 2</x:v>
      </x:c>
      <x:c r="E57" s="10" t="str">
        <x:v>REJECT</x:v>
      </x:c>
      <x:c r="F57" s="12"/>
      <x:c r="G57" s="10" t="str">
        <x:f>IF(F57="","OPEN",IF(F57=E57,"PASS","FAIL"))</x:f>
        <x:v>OPEN</x:v>
      </x:c>
      <x:c r="H57" s="10" t="str">
        <x:v>validity authority</x:v>
      </x:c>
    </x:row>
    <x:row r="58">
      <x:c r="A58" s="10" t="str">
        <x:v>RBJ-C053</x:v>
      </x:c>
      <x:c r="B58" s="10" t="str">
        <x:v>shared sampler</x:v>
      </x:c>
      <x:c r="C58" s="10" t="n">
        <x:v>3</x:v>
      </x:c>
      <x:c r="D58" s="10" t="str">
        <x:v>one collection path becomes decisive for both roots; variant 3</x:v>
      </x:c>
      <x:c r="E58" s="10" t="str">
        <x:v>REJECT</x:v>
      </x:c>
      <x:c r="F58" s="12"/>
      <x:c r="G58" s="10" t="str">
        <x:f>IF(F58="","OPEN",IF(F58=E58,"PASS","FAIL"))</x:f>
        <x:v>OPEN</x:v>
      </x:c>
      <x:c r="H58" s="10" t="str">
        <x:v>validity authority</x:v>
      </x:c>
    </x:row>
    <x:row r="59">
      <x:c r="A59" s="10" t="str">
        <x:v>RBJ-C054</x:v>
      </x:c>
      <x:c r="B59" s="10" t="str">
        <x:v>shared sampler</x:v>
      </x:c>
      <x:c r="C59" s="10" t="n">
        <x:v>4</x:v>
      </x:c>
      <x:c r="D59" s="10" t="str">
        <x:v>one collection path becomes decisive for both roots; variant 4</x:v>
      </x:c>
      <x:c r="E59" s="10" t="str">
        <x:v>REJECT</x:v>
      </x:c>
      <x:c r="F59" s="12"/>
      <x:c r="G59" s="10" t="str">
        <x:f>IF(F59="","OPEN",IF(F59=E59,"PASS","FAIL"))</x:f>
        <x:v>OPEN</x:v>
      </x:c>
      <x:c r="H59" s="10" t="str">
        <x:v>validity authority</x:v>
      </x:c>
    </x:row>
    <x:row r="60">
      <x:c r="A60" s="10" t="str">
        <x:v>RBJ-C055</x:v>
      </x:c>
      <x:c r="B60" s="10" t="str">
        <x:v>shared sampler</x:v>
      </x:c>
      <x:c r="C60" s="10" t="n">
        <x:v>5</x:v>
      </x:c>
      <x:c r="D60" s="10" t="str">
        <x:v>one collection path becomes decisive for both roots; variant 5</x:v>
      </x:c>
      <x:c r="E60" s="10" t="str">
        <x:v>REJECT</x:v>
      </x:c>
      <x:c r="F60" s="12"/>
      <x:c r="G60" s="10" t="str">
        <x:f>IF(F60="","OPEN",IF(F60=E60,"PASS","FAIL"))</x:f>
        <x:v>OPEN</x:v>
      </x:c>
      <x:c r="H60" s="10" t="str">
        <x:v>validity authority</x:v>
      </x:c>
    </x:row>
    <x:row r="61">
      <x:c r="A61" s="10" t="str">
        <x:v>RBJ-C056</x:v>
      </x:c>
      <x:c r="B61" s="10" t="str">
        <x:v>shared sampler</x:v>
      </x:c>
      <x:c r="C61" s="10" t="n">
        <x:v>6</x:v>
      </x:c>
      <x:c r="D61" s="10" t="str">
        <x:v>one collection path becomes decisive for both roots; variant 6</x:v>
      </x:c>
      <x:c r="E61" s="10" t="str">
        <x:v>REJECT</x:v>
      </x:c>
      <x:c r="F61" s="12"/>
      <x:c r="G61" s="10" t="str">
        <x:f>IF(F61="","OPEN",IF(F61=E61,"PASS","FAIL"))</x:f>
        <x:v>OPEN</x:v>
      </x:c>
      <x:c r="H61" s="10" t="str">
        <x:v>validity authority</x:v>
      </x:c>
    </x:row>
    <x:row r="62">
      <x:c r="A62" s="10" t="str">
        <x:v>RBJ-C057</x:v>
      </x:c>
      <x:c r="B62" s="10" t="str">
        <x:v>shared sampler</x:v>
      </x:c>
      <x:c r="C62" s="10" t="n">
        <x:v>7</x:v>
      </x:c>
      <x:c r="D62" s="10" t="str">
        <x:v>one collection path becomes decisive for both roots; variant 7</x:v>
      </x:c>
      <x:c r="E62" s="10" t="str">
        <x:v>REJECT</x:v>
      </x:c>
      <x:c r="F62" s="12"/>
      <x:c r="G62" s="10" t="str">
        <x:f>IF(F62="","OPEN",IF(F62=E62,"PASS","FAIL"))</x:f>
        <x:v>OPEN</x:v>
      </x:c>
      <x:c r="H62" s="10" t="str">
        <x:v>validity authority</x:v>
      </x:c>
    </x:row>
    <x:row r="63">
      <x:c r="A63" s="10" t="str">
        <x:v>RBJ-C058</x:v>
      </x:c>
      <x:c r="B63" s="10" t="str">
        <x:v>shared sampler</x:v>
      </x:c>
      <x:c r="C63" s="10" t="n">
        <x:v>8</x:v>
      </x:c>
      <x:c r="D63" s="10" t="str">
        <x:v>one collection path becomes decisive for both roots; variant 8</x:v>
      </x:c>
      <x:c r="E63" s="10" t="str">
        <x:v>REJECT</x:v>
      </x:c>
      <x:c r="F63" s="12"/>
      <x:c r="G63" s="10" t="str">
        <x:f>IF(F63="","OPEN",IF(F63=E63,"PASS","FAIL"))</x:f>
        <x:v>OPEN</x:v>
      </x:c>
      <x:c r="H63" s="10" t="str">
        <x:v>validity authority</x:v>
      </x:c>
    </x:row>
    <x:row r="64">
      <x:c r="A64" s="10" t="str">
        <x:v>RBJ-C059</x:v>
      </x:c>
      <x:c r="B64" s="10" t="str">
        <x:v>shared sampler</x:v>
      </x:c>
      <x:c r="C64" s="10" t="n">
        <x:v>9</x:v>
      </x:c>
      <x:c r="D64" s="10" t="str">
        <x:v>one collection path becomes decisive for both roots; variant 9</x:v>
      </x:c>
      <x:c r="E64" s="10" t="str">
        <x:v>REJECT</x:v>
      </x:c>
      <x:c r="F64" s="12"/>
      <x:c r="G64" s="10" t="str">
        <x:f>IF(F64="","OPEN",IF(F64=E64,"PASS","FAIL"))</x:f>
        <x:v>OPEN</x:v>
      </x:c>
      <x:c r="H64" s="10" t="str">
        <x:v>validity authority</x:v>
      </x:c>
    </x:row>
    <x:row r="65">
      <x:c r="A65" s="10" t="str">
        <x:v>RBJ-C060</x:v>
      </x:c>
      <x:c r="B65" s="10" t="str">
        <x:v>shared sampler</x:v>
      </x:c>
      <x:c r="C65" s="10" t="n">
        <x:v>10</x:v>
      </x:c>
      <x:c r="D65" s="10" t="str">
        <x:v>one collection path becomes decisive for both roots; variant 10</x:v>
      </x:c>
      <x:c r="E65" s="10" t="str">
        <x:v>REJECT</x:v>
      </x:c>
      <x:c r="F65" s="12"/>
      <x:c r="G65" s="10" t="str">
        <x:f>IF(F65="","OPEN",IF(F65=E65,"PASS","FAIL"))</x:f>
        <x:v>OPEN</x:v>
      </x:c>
      <x:c r="H65" s="10" t="str">
        <x:v>validity authority</x:v>
      </x:c>
    </x:row>
    <x:row r="66">
      <x:c r="A66" s="10" t="str">
        <x:v>RBJ-C061</x:v>
      </x:c>
      <x:c r="B66" s="10" t="str">
        <x:v>shared calibration or reader</x:v>
      </x:c>
      <x:c r="C66" s="10" t="n">
        <x:v>1</x:v>
      </x:c>
      <x:c r="D66" s="10" t="str">
        <x:v>both roots require one decisive calibration or reader; variant 1</x:v>
      </x:c>
      <x:c r="E66" s="10" t="str">
        <x:v>REJECT</x:v>
      </x:c>
      <x:c r="F66" s="12"/>
      <x:c r="G66" s="10" t="str">
        <x:f>IF(F66="","OPEN",IF(F66=E66,"PASS","FAIL"))</x:f>
        <x:v>OPEN</x:v>
      </x:c>
      <x:c r="H66" s="10" t="str">
        <x:v>validity authority</x:v>
      </x:c>
    </x:row>
    <x:row r="67">
      <x:c r="A67" s="10" t="str">
        <x:v>RBJ-C062</x:v>
      </x:c>
      <x:c r="B67" s="10" t="str">
        <x:v>shared calibration or reader</x:v>
      </x:c>
      <x:c r="C67" s="10" t="n">
        <x:v>2</x:v>
      </x:c>
      <x:c r="D67" s="10" t="str">
        <x:v>both roots require one decisive calibration or reader; variant 2</x:v>
      </x:c>
      <x:c r="E67" s="10" t="str">
        <x:v>REJECT</x:v>
      </x:c>
      <x:c r="F67" s="12"/>
      <x:c r="G67" s="10" t="str">
        <x:f>IF(F67="","OPEN",IF(F67=E67,"PASS","FAIL"))</x:f>
        <x:v>OPEN</x:v>
      </x:c>
      <x:c r="H67" s="10" t="str">
        <x:v>validity authority</x:v>
      </x:c>
    </x:row>
    <x:row r="68">
      <x:c r="A68" s="10" t="str">
        <x:v>RBJ-C063</x:v>
      </x:c>
      <x:c r="B68" s="10" t="str">
        <x:v>shared calibration or reader</x:v>
      </x:c>
      <x:c r="C68" s="10" t="n">
        <x:v>3</x:v>
      </x:c>
      <x:c r="D68" s="10" t="str">
        <x:v>both roots require one decisive calibration or reader; variant 3</x:v>
      </x:c>
      <x:c r="E68" s="10" t="str">
        <x:v>REJECT</x:v>
      </x:c>
      <x:c r="F68" s="12"/>
      <x:c r="G68" s="10" t="str">
        <x:f>IF(F68="","OPEN",IF(F68=E68,"PASS","FAIL"))</x:f>
        <x:v>OPEN</x:v>
      </x:c>
      <x:c r="H68" s="10" t="str">
        <x:v>validity authority</x:v>
      </x:c>
    </x:row>
    <x:row r="69">
      <x:c r="A69" s="10" t="str">
        <x:v>RBJ-C064</x:v>
      </x:c>
      <x:c r="B69" s="10" t="str">
        <x:v>shared calibration or reader</x:v>
      </x:c>
      <x:c r="C69" s="10" t="n">
        <x:v>4</x:v>
      </x:c>
      <x:c r="D69" s="10" t="str">
        <x:v>both roots require one decisive calibration or reader; variant 4</x:v>
      </x:c>
      <x:c r="E69" s="10" t="str">
        <x:v>REJECT</x:v>
      </x:c>
      <x:c r="F69" s="12"/>
      <x:c r="G69" s="10" t="str">
        <x:f>IF(F69="","OPEN",IF(F69=E69,"PASS","FAIL"))</x:f>
        <x:v>OPEN</x:v>
      </x:c>
      <x:c r="H69" s="10" t="str">
        <x:v>validity authority</x:v>
      </x:c>
    </x:row>
    <x:row r="70">
      <x:c r="A70" s="10" t="str">
        <x:v>RBJ-C065</x:v>
      </x:c>
      <x:c r="B70" s="10" t="str">
        <x:v>shared calibration or reader</x:v>
      </x:c>
      <x:c r="C70" s="10" t="n">
        <x:v>5</x:v>
      </x:c>
      <x:c r="D70" s="10" t="str">
        <x:v>both roots require one decisive calibration or reader; variant 5</x:v>
      </x:c>
      <x:c r="E70" s="10" t="str">
        <x:v>REJECT</x:v>
      </x:c>
      <x:c r="F70" s="12"/>
      <x:c r="G70" s="10" t="str">
        <x:f>IF(F70="","OPEN",IF(F70=E70,"PASS","FAIL"))</x:f>
        <x:v>OPEN</x:v>
      </x:c>
      <x:c r="H70" s="10" t="str">
        <x:v>validity authority</x:v>
      </x:c>
    </x:row>
    <x:row r="71">
      <x:c r="A71" s="10" t="str">
        <x:v>RBJ-C066</x:v>
      </x:c>
      <x:c r="B71" s="10" t="str">
        <x:v>shared calibration or reader</x:v>
      </x:c>
      <x:c r="C71" s="10" t="n">
        <x:v>6</x:v>
      </x:c>
      <x:c r="D71" s="10" t="str">
        <x:v>both roots require one decisive calibration or reader; variant 6</x:v>
      </x:c>
      <x:c r="E71" s="10" t="str">
        <x:v>REJECT</x:v>
      </x:c>
      <x:c r="F71" s="12"/>
      <x:c r="G71" s="10" t="str">
        <x:f>IF(F71="","OPEN",IF(F71=E71,"PASS","FAIL"))</x:f>
        <x:v>OPEN</x:v>
      </x:c>
      <x:c r="H71" s="10" t="str">
        <x:v>validity authority</x:v>
      </x:c>
    </x:row>
    <x:row r="72">
      <x:c r="A72" s="10" t="str">
        <x:v>RBJ-C067</x:v>
      </x:c>
      <x:c r="B72" s="10" t="str">
        <x:v>shared calibration or reader</x:v>
      </x:c>
      <x:c r="C72" s="10" t="n">
        <x:v>7</x:v>
      </x:c>
      <x:c r="D72" s="10" t="str">
        <x:v>both roots require one decisive calibration or reader; variant 7</x:v>
      </x:c>
      <x:c r="E72" s="10" t="str">
        <x:v>REJECT</x:v>
      </x:c>
      <x:c r="F72" s="12"/>
      <x:c r="G72" s="10" t="str">
        <x:f>IF(F72="","OPEN",IF(F72=E72,"PASS","FAIL"))</x:f>
        <x:v>OPEN</x:v>
      </x:c>
      <x:c r="H72" s="10" t="str">
        <x:v>validity authority</x:v>
      </x:c>
    </x:row>
    <x:row r="73">
      <x:c r="A73" s="10" t="str">
        <x:v>RBJ-C068</x:v>
      </x:c>
      <x:c r="B73" s="10" t="str">
        <x:v>shared calibration or reader</x:v>
      </x:c>
      <x:c r="C73" s="10" t="n">
        <x:v>8</x:v>
      </x:c>
      <x:c r="D73" s="10" t="str">
        <x:v>both roots require one decisive calibration or reader; variant 8</x:v>
      </x:c>
      <x:c r="E73" s="10" t="str">
        <x:v>REJECT</x:v>
      </x:c>
      <x:c r="F73" s="12"/>
      <x:c r="G73" s="10" t="str">
        <x:f>IF(F73="","OPEN",IF(F73=E73,"PASS","FAIL"))</x:f>
        <x:v>OPEN</x:v>
      </x:c>
      <x:c r="H73" s="10" t="str">
        <x:v>validity authority</x:v>
      </x:c>
    </x:row>
    <x:row r="74">
      <x:c r="A74" s="10" t="str">
        <x:v>RBJ-C069</x:v>
      </x:c>
      <x:c r="B74" s="10" t="str">
        <x:v>shared calibration or reader</x:v>
      </x:c>
      <x:c r="C74" s="10" t="n">
        <x:v>9</x:v>
      </x:c>
      <x:c r="D74" s="10" t="str">
        <x:v>both roots require one decisive calibration or reader; variant 9</x:v>
      </x:c>
      <x:c r="E74" s="10" t="str">
        <x:v>REJECT</x:v>
      </x:c>
      <x:c r="F74" s="12"/>
      <x:c r="G74" s="10" t="str">
        <x:f>IF(F74="","OPEN",IF(F74=E74,"PASS","FAIL"))</x:f>
        <x:v>OPEN</x:v>
      </x:c>
      <x:c r="H74" s="10" t="str">
        <x:v>validity authority</x:v>
      </x:c>
    </x:row>
    <x:row r="75">
      <x:c r="A75" s="10" t="str">
        <x:v>RBJ-C070</x:v>
      </x:c>
      <x:c r="B75" s="10" t="str">
        <x:v>shared calibration or reader</x:v>
      </x:c>
      <x:c r="C75" s="10" t="n">
        <x:v>10</x:v>
      </x:c>
      <x:c r="D75" s="10" t="str">
        <x:v>both roots require one decisive calibration or reader; variant 10</x:v>
      </x:c>
      <x:c r="E75" s="10" t="str">
        <x:v>REJECT</x:v>
      </x:c>
      <x:c r="F75" s="12"/>
      <x:c r="G75" s="10" t="str">
        <x:f>IF(F75="","OPEN",IF(F75=E75,"PASS","FAIL"))</x:f>
        <x:v>OPEN</x:v>
      </x:c>
      <x:c r="H75" s="10" t="str">
        <x:v>validity authority</x:v>
      </x:c>
    </x:row>
    <x:row r="76">
      <x:c r="A76" s="10" t="str">
        <x:v>RBJ-C071</x:v>
      </x:c>
      <x:c r="B76" s="10" t="str">
        <x:v>clock divergence</x:v>
      </x:c>
      <x:c r="C76" s="10" t="n">
        <x:v>1</x:v>
      </x:c>
      <x:c r="D76" s="10" t="str">
        <x:v>root ordering changes under independent time reconstruction; variant 1</x:v>
      </x:c>
      <x:c r="E76" s="10" t="str">
        <x:v>REJECT</x:v>
      </x:c>
      <x:c r="F76" s="12"/>
      <x:c r="G76" s="10" t="str">
        <x:f>IF(F76="","OPEN",IF(F76=E76,"PASS","FAIL"))</x:f>
        <x:v>OPEN</x:v>
      </x:c>
      <x:c r="H76" s="10" t="str">
        <x:v>causal-time authority</x:v>
      </x:c>
    </x:row>
    <x:row r="77">
      <x:c r="A77" s="10" t="str">
        <x:v>RBJ-C072</x:v>
      </x:c>
      <x:c r="B77" s="10" t="str">
        <x:v>clock divergence</x:v>
      </x:c>
      <x:c r="C77" s="10" t="n">
        <x:v>2</x:v>
      </x:c>
      <x:c r="D77" s="10" t="str">
        <x:v>root ordering changes under independent time reconstruction; variant 2</x:v>
      </x:c>
      <x:c r="E77" s="10" t="str">
        <x:v>REJECT</x:v>
      </x:c>
      <x:c r="F77" s="12"/>
      <x:c r="G77" s="10" t="str">
        <x:f>IF(F77="","OPEN",IF(F77=E77,"PASS","FAIL"))</x:f>
        <x:v>OPEN</x:v>
      </x:c>
      <x:c r="H77" s="10" t="str">
        <x:v>causal-time authority</x:v>
      </x:c>
    </x:row>
    <x:row r="78">
      <x:c r="A78" s="10" t="str">
        <x:v>RBJ-C073</x:v>
      </x:c>
      <x:c r="B78" s="10" t="str">
        <x:v>clock divergence</x:v>
      </x:c>
      <x:c r="C78" s="10" t="n">
        <x:v>3</x:v>
      </x:c>
      <x:c r="D78" s="10" t="str">
        <x:v>root ordering changes under independent time reconstruction; variant 3</x:v>
      </x:c>
      <x:c r="E78" s="10" t="str">
        <x:v>REJECT</x:v>
      </x:c>
      <x:c r="F78" s="12"/>
      <x:c r="G78" s="10" t="str">
        <x:f>IF(F78="","OPEN",IF(F78=E78,"PASS","FAIL"))</x:f>
        <x:v>OPEN</x:v>
      </x:c>
      <x:c r="H78" s="10" t="str">
        <x:v>causal-time authority</x:v>
      </x:c>
    </x:row>
    <x:row r="79">
      <x:c r="A79" s="10" t="str">
        <x:v>RBJ-C074</x:v>
      </x:c>
      <x:c r="B79" s="10" t="str">
        <x:v>clock divergence</x:v>
      </x:c>
      <x:c r="C79" s="10" t="n">
        <x:v>4</x:v>
      </x:c>
      <x:c r="D79" s="10" t="str">
        <x:v>root ordering changes under independent time reconstruction; variant 4</x:v>
      </x:c>
      <x:c r="E79" s="10" t="str">
        <x:v>REJECT</x:v>
      </x:c>
      <x:c r="F79" s="12"/>
      <x:c r="G79" s="10" t="str">
        <x:f>IF(F79="","OPEN",IF(F79=E79,"PASS","FAIL"))</x:f>
        <x:v>OPEN</x:v>
      </x:c>
      <x:c r="H79" s="10" t="str">
        <x:v>causal-time authority</x:v>
      </x:c>
    </x:row>
    <x:row r="80">
      <x:c r="A80" s="10" t="str">
        <x:v>RBJ-C075</x:v>
      </x:c>
      <x:c r="B80" s="10" t="str">
        <x:v>clock divergence</x:v>
      </x:c>
      <x:c r="C80" s="10" t="n">
        <x:v>5</x:v>
      </x:c>
      <x:c r="D80" s="10" t="str">
        <x:v>root ordering changes under independent time reconstruction; variant 5</x:v>
      </x:c>
      <x:c r="E80" s="10" t="str">
        <x:v>REJECT</x:v>
      </x:c>
      <x:c r="F80" s="12"/>
      <x:c r="G80" s="10" t="str">
        <x:f>IF(F80="","OPEN",IF(F80=E80,"PASS","FAIL"))</x:f>
        <x:v>OPEN</x:v>
      </x:c>
      <x:c r="H80" s="10" t="str">
        <x:v>causal-time authority</x:v>
      </x:c>
    </x:row>
    <x:row r="81">
      <x:c r="A81" s="10" t="str">
        <x:v>RBJ-C076</x:v>
      </x:c>
      <x:c r="B81" s="10" t="str">
        <x:v>clock divergence</x:v>
      </x:c>
      <x:c r="C81" s="10" t="n">
        <x:v>6</x:v>
      </x:c>
      <x:c r="D81" s="10" t="str">
        <x:v>root ordering changes under independent time reconstruction; variant 6</x:v>
      </x:c>
      <x:c r="E81" s="10" t="str">
        <x:v>REJECT</x:v>
      </x:c>
      <x:c r="F81" s="12"/>
      <x:c r="G81" s="10" t="str">
        <x:f>IF(F81="","OPEN",IF(F81=E81,"PASS","FAIL"))</x:f>
        <x:v>OPEN</x:v>
      </x:c>
      <x:c r="H81" s="10" t="str">
        <x:v>causal-time authority</x:v>
      </x:c>
    </x:row>
    <x:row r="82">
      <x:c r="A82" s="10" t="str">
        <x:v>RBJ-C077</x:v>
      </x:c>
      <x:c r="B82" s="10" t="str">
        <x:v>clock divergence</x:v>
      </x:c>
      <x:c r="C82" s="10" t="n">
        <x:v>7</x:v>
      </x:c>
      <x:c r="D82" s="10" t="str">
        <x:v>root ordering changes under independent time reconstruction; variant 7</x:v>
      </x:c>
      <x:c r="E82" s="10" t="str">
        <x:v>REJECT</x:v>
      </x:c>
      <x:c r="F82" s="12"/>
      <x:c r="G82" s="10" t="str">
        <x:f>IF(F82="","OPEN",IF(F82=E82,"PASS","FAIL"))</x:f>
        <x:v>OPEN</x:v>
      </x:c>
      <x:c r="H82" s="10" t="str">
        <x:v>causal-time authority</x:v>
      </x:c>
    </x:row>
    <x:row r="83">
      <x:c r="A83" s="10" t="str">
        <x:v>RBJ-C078</x:v>
      </x:c>
      <x:c r="B83" s="10" t="str">
        <x:v>clock divergence</x:v>
      </x:c>
      <x:c r="C83" s="10" t="n">
        <x:v>8</x:v>
      </x:c>
      <x:c r="D83" s="10" t="str">
        <x:v>root ordering changes under independent time reconstruction; variant 8</x:v>
      </x:c>
      <x:c r="E83" s="10" t="str">
        <x:v>REJECT</x:v>
      </x:c>
      <x:c r="F83" s="12"/>
      <x:c r="G83" s="10" t="str">
        <x:f>IF(F83="","OPEN",IF(F83=E83,"PASS","FAIL"))</x:f>
        <x:v>OPEN</x:v>
      </x:c>
      <x:c r="H83" s="10" t="str">
        <x:v>causal-time authority</x:v>
      </x:c>
    </x:row>
    <x:row r="84">
      <x:c r="A84" s="10" t="str">
        <x:v>RBJ-C079</x:v>
      </x:c>
      <x:c r="B84" s="10" t="str">
        <x:v>clock divergence</x:v>
      </x:c>
      <x:c r="C84" s="10" t="n">
        <x:v>9</x:v>
      </x:c>
      <x:c r="D84" s="10" t="str">
        <x:v>root ordering changes under independent time reconstruction; variant 9</x:v>
      </x:c>
      <x:c r="E84" s="10" t="str">
        <x:v>REJECT</x:v>
      </x:c>
      <x:c r="F84" s="12"/>
      <x:c r="G84" s="10" t="str">
        <x:f>IF(F84="","OPEN",IF(F84=E84,"PASS","FAIL"))</x:f>
        <x:v>OPEN</x:v>
      </x:c>
      <x:c r="H84" s="10" t="str">
        <x:v>causal-time authority</x:v>
      </x:c>
    </x:row>
    <x:row r="85">
      <x:c r="A85" s="10" t="str">
        <x:v>RBJ-C080</x:v>
      </x:c>
      <x:c r="B85" s="10" t="str">
        <x:v>clock divergence</x:v>
      </x:c>
      <x:c r="C85" s="10" t="n">
        <x:v>10</x:v>
      </x:c>
      <x:c r="D85" s="10" t="str">
        <x:v>root ordering changes under independent time reconstruction; variant 10</x:v>
      </x:c>
      <x:c r="E85" s="10" t="str">
        <x:v>REJECT</x:v>
      </x:c>
      <x:c r="F85" s="12"/>
      <x:c r="G85" s="10" t="str">
        <x:f>IF(F85="","OPEN",IF(F85=E85,"PASS","FAIL"))</x:f>
        <x:v>OPEN</x:v>
      </x:c>
      <x:c r="H85" s="10" t="str">
        <x:v>causal-time authority</x:v>
      </x:c>
    </x:row>
    <x:row r="86">
      <x:c r="A86" s="10" t="str">
        <x:v>RBJ-C081</x:v>
      </x:c>
      <x:c r="B86" s="10" t="str">
        <x:v>wrong-code assignment</x:v>
      </x:c>
      <x:c r="C86" s="10" t="n">
        <x:v>1</x:v>
      </x:c>
      <x:c r="D86" s="10" t="str">
        <x:v>decoy, other-event or wrong-phase code is assigned; variant 1</x:v>
      </x:c>
      <x:c r="E86" s="10" t="str">
        <x:v>REJECT</x:v>
      </x:c>
      <x:c r="F86" s="12"/>
      <x:c r="G86" s="10" t="str">
        <x:f>IF(F86="","OPEN",IF(F86=E86,"PASS","FAIL"))</x:f>
        <x:v>OPEN</x:v>
      </x:c>
      <x:c r="H86" s="10" t="str">
        <x:v>code authority</x:v>
      </x:c>
    </x:row>
    <x:row r="87">
      <x:c r="A87" s="10" t="str">
        <x:v>RBJ-C082</x:v>
      </x:c>
      <x:c r="B87" s="10" t="str">
        <x:v>wrong-code assignment</x:v>
      </x:c>
      <x:c r="C87" s="10" t="n">
        <x:v>2</x:v>
      </x:c>
      <x:c r="D87" s="10" t="str">
        <x:v>decoy, other-event or wrong-phase code is assigned; variant 2</x:v>
      </x:c>
      <x:c r="E87" s="10" t="str">
        <x:v>REJECT</x:v>
      </x:c>
      <x:c r="F87" s="12"/>
      <x:c r="G87" s="10" t="str">
        <x:f>IF(F87="","OPEN",IF(F87=E87,"PASS","FAIL"))</x:f>
        <x:v>OPEN</x:v>
      </x:c>
      <x:c r="H87" s="10" t="str">
        <x:v>code authority</x:v>
      </x:c>
    </x:row>
    <x:row r="88">
      <x:c r="A88" s="10" t="str">
        <x:v>RBJ-C083</x:v>
      </x:c>
      <x:c r="B88" s="10" t="str">
        <x:v>wrong-code assignment</x:v>
      </x:c>
      <x:c r="C88" s="10" t="n">
        <x:v>3</x:v>
      </x:c>
      <x:c r="D88" s="10" t="str">
        <x:v>decoy, other-event or wrong-phase code is assigned; variant 3</x:v>
      </x:c>
      <x:c r="E88" s="10" t="str">
        <x:v>REJECT</x:v>
      </x:c>
      <x:c r="F88" s="12"/>
      <x:c r="G88" s="10" t="str">
        <x:f>IF(F88="","OPEN",IF(F88=E88,"PASS","FAIL"))</x:f>
        <x:v>OPEN</x:v>
      </x:c>
      <x:c r="H88" s="10" t="str">
        <x:v>code authority</x:v>
      </x:c>
    </x:row>
    <x:row r="89">
      <x:c r="A89" s="10" t="str">
        <x:v>RBJ-C084</x:v>
      </x:c>
      <x:c r="B89" s="10" t="str">
        <x:v>wrong-code assignment</x:v>
      </x:c>
      <x:c r="C89" s="10" t="n">
        <x:v>4</x:v>
      </x:c>
      <x:c r="D89" s="10" t="str">
        <x:v>decoy, other-event or wrong-phase code is assigned; variant 4</x:v>
      </x:c>
      <x:c r="E89" s="10" t="str">
        <x:v>REJECT</x:v>
      </x:c>
      <x:c r="F89" s="12"/>
      <x:c r="G89" s="10" t="str">
        <x:f>IF(F89="","OPEN",IF(F89=E89,"PASS","FAIL"))</x:f>
        <x:v>OPEN</x:v>
      </x:c>
      <x:c r="H89" s="10" t="str">
        <x:v>code authority</x:v>
      </x:c>
    </x:row>
    <x:row r="90">
      <x:c r="A90" s="10" t="str">
        <x:v>RBJ-C085</x:v>
      </x:c>
      <x:c r="B90" s="10" t="str">
        <x:v>wrong-code assignment</x:v>
      </x:c>
      <x:c r="C90" s="10" t="n">
        <x:v>5</x:v>
      </x:c>
      <x:c r="D90" s="10" t="str">
        <x:v>decoy, other-event or wrong-phase code is assigned; variant 5</x:v>
      </x:c>
      <x:c r="E90" s="10" t="str">
        <x:v>REJECT</x:v>
      </x:c>
      <x:c r="F90" s="12"/>
      <x:c r="G90" s="10" t="str">
        <x:f>IF(F90="","OPEN",IF(F90=E90,"PASS","FAIL"))</x:f>
        <x:v>OPEN</x:v>
      </x:c>
      <x:c r="H90" s="10" t="str">
        <x:v>code authority</x:v>
      </x:c>
    </x:row>
    <x:row r="91">
      <x:c r="A91" s="10" t="str">
        <x:v>RBJ-C086</x:v>
      </x:c>
      <x:c r="B91" s="10" t="str">
        <x:v>wrong-code assignment</x:v>
      </x:c>
      <x:c r="C91" s="10" t="n">
        <x:v>6</x:v>
      </x:c>
      <x:c r="D91" s="10" t="str">
        <x:v>decoy, other-event or wrong-phase code is assigned; variant 6</x:v>
      </x:c>
      <x:c r="E91" s="10" t="str">
        <x:v>REJECT</x:v>
      </x:c>
      <x:c r="F91" s="12"/>
      <x:c r="G91" s="10" t="str">
        <x:f>IF(F91="","OPEN",IF(F91=E91,"PASS","FAIL"))</x:f>
        <x:v>OPEN</x:v>
      </x:c>
      <x:c r="H91" s="10" t="str">
        <x:v>code authority</x:v>
      </x:c>
    </x:row>
    <x:row r="92">
      <x:c r="A92" s="10" t="str">
        <x:v>RBJ-C087</x:v>
      </x:c>
      <x:c r="B92" s="10" t="str">
        <x:v>wrong-code assignment</x:v>
      </x:c>
      <x:c r="C92" s="10" t="n">
        <x:v>7</x:v>
      </x:c>
      <x:c r="D92" s="10" t="str">
        <x:v>decoy, other-event or wrong-phase code is assigned; variant 7</x:v>
      </x:c>
      <x:c r="E92" s="10" t="str">
        <x:v>REJECT</x:v>
      </x:c>
      <x:c r="F92" s="12"/>
      <x:c r="G92" s="10" t="str">
        <x:f>IF(F92="","OPEN",IF(F92=E92,"PASS","FAIL"))</x:f>
        <x:v>OPEN</x:v>
      </x:c>
      <x:c r="H92" s="10" t="str">
        <x:v>code authority</x:v>
      </x:c>
    </x:row>
    <x:row r="93">
      <x:c r="A93" s="10" t="str">
        <x:v>RBJ-C088</x:v>
      </x:c>
      <x:c r="B93" s="10" t="str">
        <x:v>wrong-code assignment</x:v>
      </x:c>
      <x:c r="C93" s="10" t="n">
        <x:v>8</x:v>
      </x:c>
      <x:c r="D93" s="10" t="str">
        <x:v>decoy, other-event or wrong-phase code is assigned; variant 8</x:v>
      </x:c>
      <x:c r="E93" s="10" t="str">
        <x:v>REJECT</x:v>
      </x:c>
      <x:c r="F93" s="12"/>
      <x:c r="G93" s="10" t="str">
        <x:f>IF(F93="","OPEN",IF(F93=E93,"PASS","FAIL"))</x:f>
        <x:v>OPEN</x:v>
      </x:c>
      <x:c r="H93" s="10" t="str">
        <x:v>code authority</x:v>
      </x:c>
    </x:row>
    <x:row r="94">
      <x:c r="A94" s="10" t="str">
        <x:v>RBJ-C089</x:v>
      </x:c>
      <x:c r="B94" s="10" t="str">
        <x:v>wrong-code assignment</x:v>
      </x:c>
      <x:c r="C94" s="10" t="n">
        <x:v>9</x:v>
      </x:c>
      <x:c r="D94" s="10" t="str">
        <x:v>decoy, other-event or wrong-phase code is assigned; variant 9</x:v>
      </x:c>
      <x:c r="E94" s="10" t="str">
        <x:v>REJECT</x:v>
      </x:c>
      <x:c r="F94" s="12"/>
      <x:c r="G94" s="10" t="str">
        <x:f>IF(F94="","OPEN",IF(F94=E94,"PASS","FAIL"))</x:f>
        <x:v>OPEN</x:v>
      </x:c>
      <x:c r="H94" s="10" t="str">
        <x:v>code authority</x:v>
      </x:c>
    </x:row>
    <x:row r="95">
      <x:c r="A95" s="10" t="str">
        <x:v>RBJ-C090</x:v>
      </x:c>
      <x:c r="B95" s="10" t="str">
        <x:v>wrong-code assignment</x:v>
      </x:c>
      <x:c r="C95" s="10" t="n">
        <x:v>10</x:v>
      </x:c>
      <x:c r="D95" s="10" t="str">
        <x:v>decoy, other-event or wrong-phase code is assigned; variant 10</x:v>
      </x:c>
      <x:c r="E95" s="10" t="str">
        <x:v>REJECT</x:v>
      </x:c>
      <x:c r="F95" s="12"/>
      <x:c r="G95" s="10" t="str">
        <x:f>IF(F95="","OPEN",IF(F95=E95,"PASS","FAIL"))</x:f>
        <x:v>OPEN</x:v>
      </x:c>
      <x:c r="H95" s="10" t="str">
        <x:v>code authority</x:v>
      </x:c>
    </x:row>
    <x:row r="96">
      <x:c r="A96" s="10" t="str">
        <x:v>RBJ-C091</x:v>
      </x:c>
      <x:c r="B96" s="10" t="str">
        <x:v>prior-event carryover</x:v>
      </x:c>
      <x:c r="C96" s="10" t="n">
        <x:v>1</x:v>
      </x:c>
      <x:c r="D96" s="10" t="str">
        <x:v>retained code is mistaken for current-event material; variant 1</x:v>
      </x:c>
      <x:c r="E96" s="10" t="str">
        <x:v>REJECT</x:v>
      </x:c>
      <x:c r="F96" s="12"/>
      <x:c r="G96" s="10" t="str">
        <x:f>IF(F96="","OPEN",IF(F96=E96,"PASS","FAIL"))</x:f>
        <x:v>OPEN</x:v>
      </x:c>
      <x:c r="H96" s="10" t="str">
        <x:v>return authority</x:v>
      </x:c>
    </x:row>
    <x:row r="97">
      <x:c r="A97" s="10" t="str">
        <x:v>RBJ-C092</x:v>
      </x:c>
      <x:c r="B97" s="10" t="str">
        <x:v>prior-event carryover</x:v>
      </x:c>
      <x:c r="C97" s="10" t="n">
        <x:v>2</x:v>
      </x:c>
      <x:c r="D97" s="10" t="str">
        <x:v>retained code is mistaken for current-event material; variant 2</x:v>
      </x:c>
      <x:c r="E97" s="10" t="str">
        <x:v>REJECT</x:v>
      </x:c>
      <x:c r="F97" s="12"/>
      <x:c r="G97" s="10" t="str">
        <x:f>IF(F97="","OPEN",IF(F97=E97,"PASS","FAIL"))</x:f>
        <x:v>OPEN</x:v>
      </x:c>
      <x:c r="H97" s="10" t="str">
        <x:v>return authority</x:v>
      </x:c>
    </x:row>
    <x:row r="98">
      <x:c r="A98" s="10" t="str">
        <x:v>RBJ-C093</x:v>
      </x:c>
      <x:c r="B98" s="10" t="str">
        <x:v>prior-event carryover</x:v>
      </x:c>
      <x:c r="C98" s="10" t="n">
        <x:v>3</x:v>
      </x:c>
      <x:c r="D98" s="10" t="str">
        <x:v>retained code is mistaken for current-event material; variant 3</x:v>
      </x:c>
      <x:c r="E98" s="10" t="str">
        <x:v>REJECT</x:v>
      </x:c>
      <x:c r="F98" s="12"/>
      <x:c r="G98" s="10" t="str">
        <x:f>IF(F98="","OPEN",IF(F98=E98,"PASS","FAIL"))</x:f>
        <x:v>OPEN</x:v>
      </x:c>
      <x:c r="H98" s="10" t="str">
        <x:v>return authority</x:v>
      </x:c>
    </x:row>
    <x:row r="99">
      <x:c r="A99" s="10" t="str">
        <x:v>RBJ-C094</x:v>
      </x:c>
      <x:c r="B99" s="10" t="str">
        <x:v>prior-event carryover</x:v>
      </x:c>
      <x:c r="C99" s="10" t="n">
        <x:v>4</x:v>
      </x:c>
      <x:c r="D99" s="10" t="str">
        <x:v>retained code is mistaken for current-event material; variant 4</x:v>
      </x:c>
      <x:c r="E99" s="10" t="str">
        <x:v>REJECT</x:v>
      </x:c>
      <x:c r="F99" s="12"/>
      <x:c r="G99" s="10" t="str">
        <x:f>IF(F99="","OPEN",IF(F99=E99,"PASS","FAIL"))</x:f>
        <x:v>OPEN</x:v>
      </x:c>
      <x:c r="H99" s="10" t="str">
        <x:v>return authority</x:v>
      </x:c>
    </x:row>
    <x:row r="100">
      <x:c r="A100" s="10" t="str">
        <x:v>RBJ-C095</x:v>
      </x:c>
      <x:c r="B100" s="10" t="str">
        <x:v>prior-event carryover</x:v>
      </x:c>
      <x:c r="C100" s="10" t="n">
        <x:v>5</x:v>
      </x:c>
      <x:c r="D100" s="10" t="str">
        <x:v>retained code is mistaken for current-event material; variant 5</x:v>
      </x:c>
      <x:c r="E100" s="10" t="str">
        <x:v>REJECT</x:v>
      </x:c>
      <x:c r="F100" s="12"/>
      <x:c r="G100" s="10" t="str">
        <x:f>IF(F100="","OPEN",IF(F100=E100,"PASS","FAIL"))</x:f>
        <x:v>OPEN</x:v>
      </x:c>
      <x:c r="H100" s="10" t="str">
        <x:v>return authority</x:v>
      </x:c>
    </x:row>
    <x:row r="101">
      <x:c r="A101" s="10" t="str">
        <x:v>RBJ-C096</x:v>
      </x:c>
      <x:c r="B101" s="10" t="str">
        <x:v>prior-event carryover</x:v>
      </x:c>
      <x:c r="C101" s="10" t="n">
        <x:v>6</x:v>
      </x:c>
      <x:c r="D101" s="10" t="str">
        <x:v>retained code is mistaken for current-event material; variant 6</x:v>
      </x:c>
      <x:c r="E101" s="10" t="str">
        <x:v>REJECT</x:v>
      </x:c>
      <x:c r="F101" s="12"/>
      <x:c r="G101" s="10" t="str">
        <x:f>IF(F101="","OPEN",IF(F101=E101,"PASS","FAIL"))</x:f>
        <x:v>OPEN</x:v>
      </x:c>
      <x:c r="H101" s="10" t="str">
        <x:v>return authority</x:v>
      </x:c>
    </x:row>
    <x:row r="102">
      <x:c r="A102" s="10" t="str">
        <x:v>RBJ-C097</x:v>
      </x:c>
      <x:c r="B102" s="10" t="str">
        <x:v>prior-event carryover</x:v>
      </x:c>
      <x:c r="C102" s="10" t="n">
        <x:v>7</x:v>
      </x:c>
      <x:c r="D102" s="10" t="str">
        <x:v>retained code is mistaken for current-event material; variant 7</x:v>
      </x:c>
      <x:c r="E102" s="10" t="str">
        <x:v>REJECT</x:v>
      </x:c>
      <x:c r="F102" s="12"/>
      <x:c r="G102" s="10" t="str">
        <x:f>IF(F102="","OPEN",IF(F102=E102,"PASS","FAIL"))</x:f>
        <x:v>OPEN</x:v>
      </x:c>
      <x:c r="H102" s="10" t="str">
        <x:v>return authority</x:v>
      </x:c>
    </x:row>
    <x:row r="103">
      <x:c r="A103" s="10" t="str">
        <x:v>RBJ-C098</x:v>
      </x:c>
      <x:c r="B103" s="10" t="str">
        <x:v>prior-event carryover</x:v>
      </x:c>
      <x:c r="C103" s="10" t="n">
        <x:v>8</x:v>
      </x:c>
      <x:c r="D103" s="10" t="str">
        <x:v>retained code is mistaken for current-event material; variant 8</x:v>
      </x:c>
      <x:c r="E103" s="10" t="str">
        <x:v>REJECT</x:v>
      </x:c>
      <x:c r="F103" s="12"/>
      <x:c r="G103" s="10" t="str">
        <x:f>IF(F103="","OPEN",IF(F103=E103,"PASS","FAIL"))</x:f>
        <x:v>OPEN</x:v>
      </x:c>
      <x:c r="H103" s="10" t="str">
        <x:v>return authority</x:v>
      </x:c>
    </x:row>
    <x:row r="104">
      <x:c r="A104" s="10" t="str">
        <x:v>RBJ-C099</x:v>
      </x:c>
      <x:c r="B104" s="10" t="str">
        <x:v>prior-event carryover</x:v>
      </x:c>
      <x:c r="C104" s="10" t="n">
        <x:v>9</x:v>
      </x:c>
      <x:c r="D104" s="10" t="str">
        <x:v>retained code is mistaken for current-event material; variant 9</x:v>
      </x:c>
      <x:c r="E104" s="10" t="str">
        <x:v>REJECT</x:v>
      </x:c>
      <x:c r="F104" s="12"/>
      <x:c r="G104" s="10" t="str">
        <x:f>IF(F104="","OPEN",IF(F104=E104,"PASS","FAIL"))</x:f>
        <x:v>OPEN</x:v>
      </x:c>
      <x:c r="H104" s="10" t="str">
        <x:v>return authority</x:v>
      </x:c>
    </x:row>
    <x:row r="105">
      <x:c r="A105" s="10" t="str">
        <x:v>RBJ-C100</x:v>
      </x:c>
      <x:c r="B105" s="10" t="str">
        <x:v>prior-event carryover</x:v>
      </x:c>
      <x:c r="C105" s="10" t="n">
        <x:v>10</x:v>
      </x:c>
      <x:c r="D105" s="10" t="str">
        <x:v>retained code is mistaken for current-event material; variant 10</x:v>
      </x:c>
      <x:c r="E105" s="10" t="str">
        <x:v>REJECT</x:v>
      </x:c>
      <x:c r="F105" s="12"/>
      <x:c r="G105" s="10" t="str">
        <x:f>IF(F105="","OPEN",IF(F105=E105,"PASS","FAIL"))</x:f>
        <x:v>OPEN</x:v>
      </x:c>
      <x:c r="H105" s="10" t="str">
        <x:v>return authority</x:v>
      </x:c>
    </x:row>
    <x:row r="106">
      <x:c r="A106" s="10" t="str">
        <x:v>RBJ-C101</x:v>
      </x:c>
      <x:c r="B106" s="10" t="str">
        <x:v>phase misassignment</x:v>
      </x:c>
      <x:c r="C106" s="10" t="n">
        <x:v>1</x:v>
      </x:c>
      <x:c r="D106" s="10" t="str">
        <x:v>ancestry is allocated to the wrong recovered phase; variant 1</x:v>
      </x:c>
      <x:c r="E106" s="10" t="str">
        <x:v>REJECT</x:v>
      </x:c>
      <x:c r="F106" s="12"/>
      <x:c r="G106" s="10" t="str">
        <x:f>IF(F106="","OPEN",IF(F106=E106,"PASS","FAIL"))</x:f>
        <x:v>OPEN</x:v>
      </x:c>
      <x:c r="H106" s="10" t="str">
        <x:v>separation authority</x:v>
      </x:c>
    </x:row>
    <x:row r="107">
      <x:c r="A107" s="10" t="str">
        <x:v>RBJ-C102</x:v>
      </x:c>
      <x:c r="B107" s="10" t="str">
        <x:v>phase misassignment</x:v>
      </x:c>
      <x:c r="C107" s="10" t="n">
        <x:v>2</x:v>
      </x:c>
      <x:c r="D107" s="10" t="str">
        <x:v>ancestry is allocated to the wrong recovered phase; variant 2</x:v>
      </x:c>
      <x:c r="E107" s="10" t="str">
        <x:v>REJECT</x:v>
      </x:c>
      <x:c r="F107" s="12"/>
      <x:c r="G107" s="10" t="str">
        <x:f>IF(F107="","OPEN",IF(F107=E107,"PASS","FAIL"))</x:f>
        <x:v>OPEN</x:v>
      </x:c>
      <x:c r="H107" s="10" t="str">
        <x:v>separation authority</x:v>
      </x:c>
    </x:row>
    <x:row r="108">
      <x:c r="A108" s="10" t="str">
        <x:v>RBJ-C103</x:v>
      </x:c>
      <x:c r="B108" s="10" t="str">
        <x:v>phase misassignment</x:v>
      </x:c>
      <x:c r="C108" s="10" t="n">
        <x:v>3</x:v>
      </x:c>
      <x:c r="D108" s="10" t="str">
        <x:v>ancestry is allocated to the wrong recovered phase; variant 3</x:v>
      </x:c>
      <x:c r="E108" s="10" t="str">
        <x:v>REJECT</x:v>
      </x:c>
      <x:c r="F108" s="12"/>
      <x:c r="G108" s="10" t="str">
        <x:f>IF(F108="","OPEN",IF(F108=E108,"PASS","FAIL"))</x:f>
        <x:v>OPEN</x:v>
      </x:c>
      <x:c r="H108" s="10" t="str">
        <x:v>separation authority</x:v>
      </x:c>
    </x:row>
    <x:row r="109">
      <x:c r="A109" s="10" t="str">
        <x:v>RBJ-C104</x:v>
      </x:c>
      <x:c r="B109" s="10" t="str">
        <x:v>phase misassignment</x:v>
      </x:c>
      <x:c r="C109" s="10" t="n">
        <x:v>4</x:v>
      </x:c>
      <x:c r="D109" s="10" t="str">
        <x:v>ancestry is allocated to the wrong recovered phase; variant 4</x:v>
      </x:c>
      <x:c r="E109" s="10" t="str">
        <x:v>REJECT</x:v>
      </x:c>
      <x:c r="F109" s="12"/>
      <x:c r="G109" s="10" t="str">
        <x:f>IF(F109="","OPEN",IF(F109=E109,"PASS","FAIL"))</x:f>
        <x:v>OPEN</x:v>
      </x:c>
      <x:c r="H109" s="10" t="str">
        <x:v>separation authority</x:v>
      </x:c>
    </x:row>
    <x:row r="110">
      <x:c r="A110" s="10" t="str">
        <x:v>RBJ-C105</x:v>
      </x:c>
      <x:c r="B110" s="10" t="str">
        <x:v>phase misassignment</x:v>
      </x:c>
      <x:c r="C110" s="10" t="n">
        <x:v>5</x:v>
      </x:c>
      <x:c r="D110" s="10" t="str">
        <x:v>ancestry is allocated to the wrong recovered phase; variant 5</x:v>
      </x:c>
      <x:c r="E110" s="10" t="str">
        <x:v>REJECT</x:v>
      </x:c>
      <x:c r="F110" s="12"/>
      <x:c r="G110" s="10" t="str">
        <x:f>IF(F110="","OPEN",IF(F110=E110,"PASS","FAIL"))</x:f>
        <x:v>OPEN</x:v>
      </x:c>
      <x:c r="H110" s="10" t="str">
        <x:v>separation authority</x:v>
      </x:c>
    </x:row>
    <x:row r="111">
      <x:c r="A111" s="10" t="str">
        <x:v>RBJ-C106</x:v>
      </x:c>
      <x:c r="B111" s="10" t="str">
        <x:v>phase misassignment</x:v>
      </x:c>
      <x:c r="C111" s="10" t="n">
        <x:v>6</x:v>
      </x:c>
      <x:c r="D111" s="10" t="str">
        <x:v>ancestry is allocated to the wrong recovered phase; variant 6</x:v>
      </x:c>
      <x:c r="E111" s="10" t="str">
        <x:v>REJECT</x:v>
      </x:c>
      <x:c r="F111" s="12"/>
      <x:c r="G111" s="10" t="str">
        <x:f>IF(F111="","OPEN",IF(F111=E111,"PASS","FAIL"))</x:f>
        <x:v>OPEN</x:v>
      </x:c>
      <x:c r="H111" s="10" t="str">
        <x:v>separation authority</x:v>
      </x:c>
    </x:row>
    <x:row r="112">
      <x:c r="A112" s="10" t="str">
        <x:v>RBJ-C107</x:v>
      </x:c>
      <x:c r="B112" s="10" t="str">
        <x:v>phase misassignment</x:v>
      </x:c>
      <x:c r="C112" s="10" t="n">
        <x:v>7</x:v>
      </x:c>
      <x:c r="D112" s="10" t="str">
        <x:v>ancestry is allocated to the wrong recovered phase; variant 7</x:v>
      </x:c>
      <x:c r="E112" s="10" t="str">
        <x:v>REJECT</x:v>
      </x:c>
      <x:c r="F112" s="12"/>
      <x:c r="G112" s="10" t="str">
        <x:f>IF(F112="","OPEN",IF(F112=E112,"PASS","FAIL"))</x:f>
        <x:v>OPEN</x:v>
      </x:c>
      <x:c r="H112" s="10" t="str">
        <x:v>separation authority</x:v>
      </x:c>
    </x:row>
    <x:row r="113">
      <x:c r="A113" s="10" t="str">
        <x:v>RBJ-C108</x:v>
      </x:c>
      <x:c r="B113" s="10" t="str">
        <x:v>phase misassignment</x:v>
      </x:c>
      <x:c r="C113" s="10" t="n">
        <x:v>8</x:v>
      </x:c>
      <x:c r="D113" s="10" t="str">
        <x:v>ancestry is allocated to the wrong recovered phase; variant 8</x:v>
      </x:c>
      <x:c r="E113" s="10" t="str">
        <x:v>REJECT</x:v>
      </x:c>
      <x:c r="F113" s="12"/>
      <x:c r="G113" s="10" t="str">
        <x:f>IF(F113="","OPEN",IF(F113=E113,"PASS","FAIL"))</x:f>
        <x:v>OPEN</x:v>
      </x:c>
      <x:c r="H113" s="10" t="str">
        <x:v>separation authority</x:v>
      </x:c>
    </x:row>
    <x:row r="114">
      <x:c r="A114" s="10" t="str">
        <x:v>RBJ-C109</x:v>
      </x:c>
      <x:c r="B114" s="10" t="str">
        <x:v>phase misassignment</x:v>
      </x:c>
      <x:c r="C114" s="10" t="n">
        <x:v>9</x:v>
      </x:c>
      <x:c r="D114" s="10" t="str">
        <x:v>ancestry is allocated to the wrong recovered phase; variant 9</x:v>
      </x:c>
      <x:c r="E114" s="10" t="str">
        <x:v>REJECT</x:v>
      </x:c>
      <x:c r="F114" s="12"/>
      <x:c r="G114" s="10" t="str">
        <x:f>IF(F114="","OPEN",IF(F114=E114,"PASS","FAIL"))</x:f>
        <x:v>OPEN</x:v>
      </x:c>
      <x:c r="H114" s="10" t="str">
        <x:v>separation authority</x:v>
      </x:c>
    </x:row>
    <x:row r="115">
      <x:c r="A115" s="10" t="str">
        <x:v>RBJ-C110</x:v>
      </x:c>
      <x:c r="B115" s="10" t="str">
        <x:v>phase misassignment</x:v>
      </x:c>
      <x:c r="C115" s="10" t="n">
        <x:v>10</x:v>
      </x:c>
      <x:c r="D115" s="10" t="str">
        <x:v>ancestry is allocated to the wrong recovered phase; variant 10</x:v>
      </x:c>
      <x:c r="E115" s="10" t="str">
        <x:v>REJECT</x:v>
      </x:c>
      <x:c r="F115" s="12"/>
      <x:c r="G115" s="10" t="str">
        <x:f>IF(F115="","OPEN",IF(F115=E115,"PASS","FAIL"))</x:f>
        <x:v>OPEN</x:v>
      </x:c>
      <x:c r="H115" s="10" t="str">
        <x:v>separation authority</x:v>
      </x:c>
    </x:row>
    <x:row r="116">
      <x:c r="A116" s="10" t="str">
        <x:v>RBJ-C111</x:v>
      </x:c>
      <x:c r="B116" s="10" t="str">
        <x:v>mass imbalance</x:v>
      </x:c>
      <x:c r="C116" s="10" t="n">
        <x:v>1</x:v>
      </x:c>
      <x:c r="D116" s="10" t="str">
        <x:v>unexplained inventory exceeds the registered envelope; variant 1</x:v>
      </x:c>
      <x:c r="E116" s="10" t="str">
        <x:v>REJECT</x:v>
      </x:c>
      <x:c r="F116" s="12"/>
      <x:c r="G116" s="10" t="str">
        <x:f>IF(F116="","OPEN",IF(F116=E116,"PASS","FAIL"))</x:f>
        <x:v>OPEN</x:v>
      </x:c>
      <x:c r="H116" s="10" t="str">
        <x:v>event authority</x:v>
      </x:c>
    </x:row>
    <x:row r="117">
      <x:c r="A117" s="10" t="str">
        <x:v>RBJ-C112</x:v>
      </x:c>
      <x:c r="B117" s="10" t="str">
        <x:v>mass imbalance</x:v>
      </x:c>
      <x:c r="C117" s="10" t="n">
        <x:v>2</x:v>
      </x:c>
      <x:c r="D117" s="10" t="str">
        <x:v>unexplained inventory exceeds the registered envelope; variant 2</x:v>
      </x:c>
      <x:c r="E117" s="10" t="str">
        <x:v>REJECT</x:v>
      </x:c>
      <x:c r="F117" s="12"/>
      <x:c r="G117" s="10" t="str">
        <x:f>IF(F117="","OPEN",IF(F117=E117,"PASS","FAIL"))</x:f>
        <x:v>OPEN</x:v>
      </x:c>
      <x:c r="H117" s="10" t="str">
        <x:v>event authority</x:v>
      </x:c>
    </x:row>
    <x:row r="118">
      <x:c r="A118" s="10" t="str">
        <x:v>RBJ-C113</x:v>
      </x:c>
      <x:c r="B118" s="10" t="str">
        <x:v>mass imbalance</x:v>
      </x:c>
      <x:c r="C118" s="10" t="n">
        <x:v>3</x:v>
      </x:c>
      <x:c r="D118" s="10" t="str">
        <x:v>unexplained inventory exceeds the registered envelope; variant 3</x:v>
      </x:c>
      <x:c r="E118" s="10" t="str">
        <x:v>REJECT</x:v>
      </x:c>
      <x:c r="F118" s="12"/>
      <x:c r="G118" s="10" t="str">
        <x:f>IF(F118="","OPEN",IF(F118=E118,"PASS","FAIL"))</x:f>
        <x:v>OPEN</x:v>
      </x:c>
      <x:c r="H118" s="10" t="str">
        <x:v>event authority</x:v>
      </x:c>
    </x:row>
    <x:row r="119">
      <x:c r="A119" s="10" t="str">
        <x:v>RBJ-C114</x:v>
      </x:c>
      <x:c r="B119" s="10" t="str">
        <x:v>mass imbalance</x:v>
      </x:c>
      <x:c r="C119" s="10" t="n">
        <x:v>4</x:v>
      </x:c>
      <x:c r="D119" s="10" t="str">
        <x:v>unexplained inventory exceeds the registered envelope; variant 4</x:v>
      </x:c>
      <x:c r="E119" s="10" t="str">
        <x:v>REJECT</x:v>
      </x:c>
      <x:c r="F119" s="12"/>
      <x:c r="G119" s="10" t="str">
        <x:f>IF(F119="","OPEN",IF(F119=E119,"PASS","FAIL"))</x:f>
        <x:v>OPEN</x:v>
      </x:c>
      <x:c r="H119" s="10" t="str">
        <x:v>event authority</x:v>
      </x:c>
    </x:row>
    <x:row r="120">
      <x:c r="A120" s="10" t="str">
        <x:v>RBJ-C115</x:v>
      </x:c>
      <x:c r="B120" s="10" t="str">
        <x:v>mass imbalance</x:v>
      </x:c>
      <x:c r="C120" s="10" t="n">
        <x:v>5</x:v>
      </x:c>
      <x:c r="D120" s="10" t="str">
        <x:v>unexplained inventory exceeds the registered envelope; variant 5</x:v>
      </x:c>
      <x:c r="E120" s="10" t="str">
        <x:v>REJECT</x:v>
      </x:c>
      <x:c r="F120" s="12"/>
      <x:c r="G120" s="10" t="str">
        <x:f>IF(F120="","OPEN",IF(F120=E120,"PASS","FAIL"))</x:f>
        <x:v>OPEN</x:v>
      </x:c>
      <x:c r="H120" s="10" t="str">
        <x:v>event authority</x:v>
      </x:c>
    </x:row>
    <x:row r="121">
      <x:c r="A121" s="10" t="str">
        <x:v>RBJ-C116</x:v>
      </x:c>
      <x:c r="B121" s="10" t="str">
        <x:v>mass imbalance</x:v>
      </x:c>
      <x:c r="C121" s="10" t="n">
        <x:v>6</x:v>
      </x:c>
      <x:c r="D121" s="10" t="str">
        <x:v>unexplained inventory exceeds the registered envelope; variant 6</x:v>
      </x:c>
      <x:c r="E121" s="10" t="str">
        <x:v>REJECT</x:v>
      </x:c>
      <x:c r="F121" s="12"/>
      <x:c r="G121" s="10" t="str">
        <x:f>IF(F121="","OPEN",IF(F121=E121,"PASS","FAIL"))</x:f>
        <x:v>OPEN</x:v>
      </x:c>
      <x:c r="H121" s="10" t="str">
        <x:v>event authority</x:v>
      </x:c>
    </x:row>
    <x:row r="122">
      <x:c r="A122" s="10" t="str">
        <x:v>RBJ-C117</x:v>
      </x:c>
      <x:c r="B122" s="10" t="str">
        <x:v>mass imbalance</x:v>
      </x:c>
      <x:c r="C122" s="10" t="n">
        <x:v>7</x:v>
      </x:c>
      <x:c r="D122" s="10" t="str">
        <x:v>unexplained inventory exceeds the registered envelope; variant 7</x:v>
      </x:c>
      <x:c r="E122" s="10" t="str">
        <x:v>REJECT</x:v>
      </x:c>
      <x:c r="F122" s="12"/>
      <x:c r="G122" s="10" t="str">
        <x:f>IF(F122="","OPEN",IF(F122=E122,"PASS","FAIL"))</x:f>
        <x:v>OPEN</x:v>
      </x:c>
      <x:c r="H122" s="10" t="str">
        <x:v>event authority</x:v>
      </x:c>
    </x:row>
    <x:row r="123">
      <x:c r="A123" s="10" t="str">
        <x:v>RBJ-C118</x:v>
      </x:c>
      <x:c r="B123" s="10" t="str">
        <x:v>mass imbalance</x:v>
      </x:c>
      <x:c r="C123" s="10" t="n">
        <x:v>8</x:v>
      </x:c>
      <x:c r="D123" s="10" t="str">
        <x:v>unexplained inventory exceeds the registered envelope; variant 8</x:v>
      </x:c>
      <x:c r="E123" s="10" t="str">
        <x:v>REJECT</x:v>
      </x:c>
      <x:c r="F123" s="12"/>
      <x:c r="G123" s="10" t="str">
        <x:f>IF(F123="","OPEN",IF(F123=E123,"PASS","FAIL"))</x:f>
        <x:v>OPEN</x:v>
      </x:c>
      <x:c r="H123" s="10" t="str">
        <x:v>event authority</x:v>
      </x:c>
    </x:row>
    <x:row r="124">
      <x:c r="A124" s="10" t="str">
        <x:v>RBJ-C119</x:v>
      </x:c>
      <x:c r="B124" s="10" t="str">
        <x:v>mass imbalance</x:v>
      </x:c>
      <x:c r="C124" s="10" t="n">
        <x:v>9</x:v>
      </x:c>
      <x:c r="D124" s="10" t="str">
        <x:v>unexplained inventory exceeds the registered envelope; variant 9</x:v>
      </x:c>
      <x:c r="E124" s="10" t="str">
        <x:v>REJECT</x:v>
      </x:c>
      <x:c r="F124" s="12"/>
      <x:c r="G124" s="10" t="str">
        <x:f>IF(F124="","OPEN",IF(F124=E124,"PASS","FAIL"))</x:f>
        <x:v>OPEN</x:v>
      </x:c>
      <x:c r="H124" s="10" t="str">
        <x:v>event authority</x:v>
      </x:c>
    </x:row>
    <x:row r="125">
      <x:c r="A125" s="10" t="str">
        <x:v>RBJ-C120</x:v>
      </x:c>
      <x:c r="B125" s="10" t="str">
        <x:v>mass imbalance</x:v>
      </x:c>
      <x:c r="C125" s="10" t="n">
        <x:v>10</x:v>
      </x:c>
      <x:c r="D125" s="10" t="str">
        <x:v>unexplained inventory exceeds the registered envelope; variant 10</x:v>
      </x:c>
      <x:c r="E125" s="10" t="str">
        <x:v>REJECT</x:v>
      </x:c>
      <x:c r="F125" s="12"/>
      <x:c r="G125" s="10" t="str">
        <x:f>IF(F125="","OPEN",IF(F125=E125,"PASS","FAIL"))</x:f>
        <x:v>OPEN</x:v>
      </x:c>
      <x:c r="H125" s="10" t="str">
        <x:v>event authority</x:v>
      </x:c>
    </x:row>
    <x:row r="126">
      <x:c r="A126" s="10" t="str">
        <x:v>RBJ-C121</x:v>
      </x:c>
      <x:c r="B126" s="10" t="str">
        <x:v>cross-phase burden</x:v>
      </x:c>
      <x:c r="C126" s="10" t="n">
        <x:v>1</x:v>
      </x:c>
      <x:c r="D126" s="10" t="str">
        <x:v>recovered water or simulant exceeds separation limits; variant 1</x:v>
      </x:c>
      <x:c r="E126" s="10" t="str">
        <x:v>REJECT</x:v>
      </x:c>
      <x:c r="F126" s="12"/>
      <x:c r="G126" s="10" t="str">
        <x:f>IF(F126="","OPEN",IF(F126=E126,"PASS","FAIL"))</x:f>
        <x:v>OPEN</x:v>
      </x:c>
      <x:c r="H126" s="10" t="str">
        <x:v>separation authority</x:v>
      </x:c>
    </x:row>
    <x:row r="127">
      <x:c r="A127" s="10" t="str">
        <x:v>RBJ-C122</x:v>
      </x:c>
      <x:c r="B127" s="10" t="str">
        <x:v>cross-phase burden</x:v>
      </x:c>
      <x:c r="C127" s="10" t="n">
        <x:v>2</x:v>
      </x:c>
      <x:c r="D127" s="10" t="str">
        <x:v>recovered water or simulant exceeds separation limits; variant 2</x:v>
      </x:c>
      <x:c r="E127" s="10" t="str">
        <x:v>REJECT</x:v>
      </x:c>
      <x:c r="F127" s="12"/>
      <x:c r="G127" s="10" t="str">
        <x:f>IF(F127="","OPEN",IF(F127=E127,"PASS","FAIL"))</x:f>
        <x:v>OPEN</x:v>
      </x:c>
      <x:c r="H127" s="10" t="str">
        <x:v>separation authority</x:v>
      </x:c>
    </x:row>
    <x:row r="128">
      <x:c r="A128" s="10" t="str">
        <x:v>RBJ-C123</x:v>
      </x:c>
      <x:c r="B128" s="10" t="str">
        <x:v>cross-phase burden</x:v>
      </x:c>
      <x:c r="C128" s="10" t="n">
        <x:v>3</x:v>
      </x:c>
      <x:c r="D128" s="10" t="str">
        <x:v>recovered water or simulant exceeds separation limits; variant 3</x:v>
      </x:c>
      <x:c r="E128" s="10" t="str">
        <x:v>REJECT</x:v>
      </x:c>
      <x:c r="F128" s="12"/>
      <x:c r="G128" s="10" t="str">
        <x:f>IF(F128="","OPEN",IF(F128=E128,"PASS","FAIL"))</x:f>
        <x:v>OPEN</x:v>
      </x:c>
      <x:c r="H128" s="10" t="str">
        <x:v>separation authority</x:v>
      </x:c>
    </x:row>
    <x:row r="129">
      <x:c r="A129" s="10" t="str">
        <x:v>RBJ-C124</x:v>
      </x:c>
      <x:c r="B129" s="10" t="str">
        <x:v>cross-phase burden</x:v>
      </x:c>
      <x:c r="C129" s="10" t="n">
        <x:v>4</x:v>
      </x:c>
      <x:c r="D129" s="10" t="str">
        <x:v>recovered water or simulant exceeds separation limits; variant 4</x:v>
      </x:c>
      <x:c r="E129" s="10" t="str">
        <x:v>REJECT</x:v>
      </x:c>
      <x:c r="F129" s="12"/>
      <x:c r="G129" s="10" t="str">
        <x:f>IF(F129="","OPEN",IF(F129=E129,"PASS","FAIL"))</x:f>
        <x:v>OPEN</x:v>
      </x:c>
      <x:c r="H129" s="10" t="str">
        <x:v>separation authority</x:v>
      </x:c>
    </x:row>
    <x:row r="130">
      <x:c r="A130" s="10" t="str">
        <x:v>RBJ-C125</x:v>
      </x:c>
      <x:c r="B130" s="10" t="str">
        <x:v>cross-phase burden</x:v>
      </x:c>
      <x:c r="C130" s="10" t="n">
        <x:v>5</x:v>
      </x:c>
      <x:c r="D130" s="10" t="str">
        <x:v>recovered water or simulant exceeds separation limits; variant 5</x:v>
      </x:c>
      <x:c r="E130" s="10" t="str">
        <x:v>REJECT</x:v>
      </x:c>
      <x:c r="F130" s="12"/>
      <x:c r="G130" s="10" t="str">
        <x:f>IF(F130="","OPEN",IF(F130=E130,"PASS","FAIL"))</x:f>
        <x:v>OPEN</x:v>
      </x:c>
      <x:c r="H130" s="10" t="str">
        <x:v>separation authority</x:v>
      </x:c>
    </x:row>
    <x:row r="131">
      <x:c r="A131" s="10" t="str">
        <x:v>RBJ-C126</x:v>
      </x:c>
      <x:c r="B131" s="10" t="str">
        <x:v>cross-phase burden</x:v>
      </x:c>
      <x:c r="C131" s="10" t="n">
        <x:v>6</x:v>
      </x:c>
      <x:c r="D131" s="10" t="str">
        <x:v>recovered water or simulant exceeds separation limits; variant 6</x:v>
      </x:c>
      <x:c r="E131" s="10" t="str">
        <x:v>REJECT</x:v>
      </x:c>
      <x:c r="F131" s="12"/>
      <x:c r="G131" s="10" t="str">
        <x:f>IF(F131="","OPEN",IF(F131=E131,"PASS","FAIL"))</x:f>
        <x:v>OPEN</x:v>
      </x:c>
      <x:c r="H131" s="10" t="str">
        <x:v>separation authority</x:v>
      </x:c>
    </x:row>
    <x:row r="132">
      <x:c r="A132" s="10" t="str">
        <x:v>RBJ-C127</x:v>
      </x:c>
      <x:c r="B132" s="10" t="str">
        <x:v>cross-phase burden</x:v>
      </x:c>
      <x:c r="C132" s="10" t="n">
        <x:v>7</x:v>
      </x:c>
      <x:c r="D132" s="10" t="str">
        <x:v>recovered water or simulant exceeds separation limits; variant 7</x:v>
      </x:c>
      <x:c r="E132" s="10" t="str">
        <x:v>REJECT</x:v>
      </x:c>
      <x:c r="F132" s="12"/>
      <x:c r="G132" s="10" t="str">
        <x:f>IF(F132="","OPEN",IF(F132=E132,"PASS","FAIL"))</x:f>
        <x:v>OPEN</x:v>
      </x:c>
      <x:c r="H132" s="10" t="str">
        <x:v>separation authority</x:v>
      </x:c>
    </x:row>
    <x:row r="133">
      <x:c r="A133" s="10" t="str">
        <x:v>RBJ-C128</x:v>
      </x:c>
      <x:c r="B133" s="10" t="str">
        <x:v>cross-phase burden</x:v>
      </x:c>
      <x:c r="C133" s="10" t="n">
        <x:v>8</x:v>
      </x:c>
      <x:c r="D133" s="10" t="str">
        <x:v>recovered water or simulant exceeds separation limits; variant 8</x:v>
      </x:c>
      <x:c r="E133" s="10" t="str">
        <x:v>REJECT</x:v>
      </x:c>
      <x:c r="F133" s="12"/>
      <x:c r="G133" s="10" t="str">
        <x:f>IF(F133="","OPEN",IF(F133=E133,"PASS","FAIL"))</x:f>
        <x:v>OPEN</x:v>
      </x:c>
      <x:c r="H133" s="10" t="str">
        <x:v>separation authority</x:v>
      </x:c>
    </x:row>
    <x:row r="134">
      <x:c r="A134" s="10" t="str">
        <x:v>RBJ-C129</x:v>
      </x:c>
      <x:c r="B134" s="10" t="str">
        <x:v>cross-phase burden</x:v>
      </x:c>
      <x:c r="C134" s="10" t="n">
        <x:v>9</x:v>
      </x:c>
      <x:c r="D134" s="10" t="str">
        <x:v>recovered water or simulant exceeds separation limits; variant 9</x:v>
      </x:c>
      <x:c r="E134" s="10" t="str">
        <x:v>REJECT</x:v>
      </x:c>
      <x:c r="F134" s="12"/>
      <x:c r="G134" s="10" t="str">
        <x:f>IF(F134="","OPEN",IF(F134=E134,"PASS","FAIL"))</x:f>
        <x:v>OPEN</x:v>
      </x:c>
      <x:c r="H134" s="10" t="str">
        <x:v>separation authority</x:v>
      </x:c>
    </x:row>
    <x:row r="135">
      <x:c r="A135" s="10" t="str">
        <x:v>RBJ-C130</x:v>
      </x:c>
      <x:c r="B135" s="10" t="str">
        <x:v>cross-phase burden</x:v>
      </x:c>
      <x:c r="C135" s="10" t="n">
        <x:v>10</x:v>
      </x:c>
      <x:c r="D135" s="10" t="str">
        <x:v>recovered water or simulant exceeds separation limits; variant 10</x:v>
      </x:c>
      <x:c r="E135" s="10" t="str">
        <x:v>REJECT</x:v>
      </x:c>
      <x:c r="F135" s="12"/>
      <x:c r="G135" s="10" t="str">
        <x:f>IF(F135="","OPEN",IF(F135=E135,"PASS","FAIL"))</x:f>
        <x:v>OPEN</x:v>
      </x:c>
      <x:c r="H135" s="10" t="str">
        <x:v>separation authority</x:v>
      </x:c>
    </x:row>
    <x:row r="136">
      <x:c r="A136" s="10" t="str">
        <x:v>RBJ-C131</x:v>
      </x:c>
      <x:c r="B136" s="10" t="str">
        <x:v>casualty or environment transfer</x:v>
      </x:c>
      <x:c r="C136" s="10" t="n">
        <x:v>1</x:v>
      </x:c>
      <x:c r="D136" s="10" t="str">
        <x:v>registered material reaches casualty or environment; variant 1</x:v>
      </x:c>
      <x:c r="E136" s="10" t="str">
        <x:v>REJECT</x:v>
      </x:c>
      <x:c r="F136" s="12"/>
      <x:c r="G136" s="10" t="str">
        <x:f>IF(F136="","OPEN",IF(F136=E136,"PASS","FAIL"))</x:f>
        <x:v>OPEN</x:v>
      </x:c>
      <x:c r="H136" s="10" t="str">
        <x:v>safety authority</x:v>
      </x:c>
    </x:row>
    <x:row r="137">
      <x:c r="A137" s="10" t="str">
        <x:v>RBJ-C132</x:v>
      </x:c>
      <x:c r="B137" s="10" t="str">
        <x:v>casualty or environment transfer</x:v>
      </x:c>
      <x:c r="C137" s="10" t="n">
        <x:v>2</x:v>
      </x:c>
      <x:c r="D137" s="10" t="str">
        <x:v>registered material reaches casualty or environment; variant 2</x:v>
      </x:c>
      <x:c r="E137" s="10" t="str">
        <x:v>REJECT</x:v>
      </x:c>
      <x:c r="F137" s="12"/>
      <x:c r="G137" s="10" t="str">
        <x:f>IF(F137="","OPEN",IF(F137=E137,"PASS","FAIL"))</x:f>
        <x:v>OPEN</x:v>
      </x:c>
      <x:c r="H137" s="10" t="str">
        <x:v>safety authority</x:v>
      </x:c>
    </x:row>
    <x:row r="138">
      <x:c r="A138" s="10" t="str">
        <x:v>RBJ-C133</x:v>
      </x:c>
      <x:c r="B138" s="10" t="str">
        <x:v>casualty or environment transfer</x:v>
      </x:c>
      <x:c r="C138" s="10" t="n">
        <x:v>3</x:v>
      </x:c>
      <x:c r="D138" s="10" t="str">
        <x:v>registered material reaches casualty or environment; variant 3</x:v>
      </x:c>
      <x:c r="E138" s="10" t="str">
        <x:v>REJECT</x:v>
      </x:c>
      <x:c r="F138" s="12"/>
      <x:c r="G138" s="10" t="str">
        <x:f>IF(F138="","OPEN",IF(F138=E138,"PASS","FAIL"))</x:f>
        <x:v>OPEN</x:v>
      </x:c>
      <x:c r="H138" s="10" t="str">
        <x:v>safety authority</x:v>
      </x:c>
    </x:row>
    <x:row r="139">
      <x:c r="A139" s="10" t="str">
        <x:v>RBJ-C134</x:v>
      </x:c>
      <x:c r="B139" s="10" t="str">
        <x:v>casualty or environment transfer</x:v>
      </x:c>
      <x:c r="C139" s="10" t="n">
        <x:v>4</x:v>
      </x:c>
      <x:c r="D139" s="10" t="str">
        <x:v>registered material reaches casualty or environment; variant 4</x:v>
      </x:c>
      <x:c r="E139" s="10" t="str">
        <x:v>REJECT</x:v>
      </x:c>
      <x:c r="F139" s="12"/>
      <x:c r="G139" s="10" t="str">
        <x:f>IF(F139="","OPEN",IF(F139=E139,"PASS","FAIL"))</x:f>
        <x:v>OPEN</x:v>
      </x:c>
      <x:c r="H139" s="10" t="str">
        <x:v>safety authority</x:v>
      </x:c>
    </x:row>
    <x:row r="140">
      <x:c r="A140" s="10" t="str">
        <x:v>RBJ-C135</x:v>
      </x:c>
      <x:c r="B140" s="10" t="str">
        <x:v>casualty or environment transfer</x:v>
      </x:c>
      <x:c r="C140" s="10" t="n">
        <x:v>5</x:v>
      </x:c>
      <x:c r="D140" s="10" t="str">
        <x:v>registered material reaches casualty or environment; variant 5</x:v>
      </x:c>
      <x:c r="E140" s="10" t="str">
        <x:v>REJECT</x:v>
      </x:c>
      <x:c r="F140" s="12"/>
      <x:c r="G140" s="10" t="str">
        <x:f>IF(F140="","OPEN",IF(F140=E140,"PASS","FAIL"))</x:f>
        <x:v>OPEN</x:v>
      </x:c>
      <x:c r="H140" s="10" t="str">
        <x:v>safety authority</x:v>
      </x:c>
    </x:row>
    <x:row r="141">
      <x:c r="A141" s="10" t="str">
        <x:v>RBJ-C136</x:v>
      </x:c>
      <x:c r="B141" s="10" t="str">
        <x:v>casualty or environment transfer</x:v>
      </x:c>
      <x:c r="C141" s="10" t="n">
        <x:v>6</x:v>
      </x:c>
      <x:c r="D141" s="10" t="str">
        <x:v>registered material reaches casualty or environment; variant 6</x:v>
      </x:c>
      <x:c r="E141" s="10" t="str">
        <x:v>REJECT</x:v>
      </x:c>
      <x:c r="F141" s="12"/>
      <x:c r="G141" s="10" t="str">
        <x:f>IF(F141="","OPEN",IF(F141=E141,"PASS","FAIL"))</x:f>
        <x:v>OPEN</x:v>
      </x:c>
      <x:c r="H141" s="10" t="str">
        <x:v>safety authority</x:v>
      </x:c>
    </x:row>
    <x:row r="142">
      <x:c r="A142" s="10" t="str">
        <x:v>RBJ-C137</x:v>
      </x:c>
      <x:c r="B142" s="10" t="str">
        <x:v>casualty or environment transfer</x:v>
      </x:c>
      <x:c r="C142" s="10" t="n">
        <x:v>7</x:v>
      </x:c>
      <x:c r="D142" s="10" t="str">
        <x:v>registered material reaches casualty or environment; variant 7</x:v>
      </x:c>
      <x:c r="E142" s="10" t="str">
        <x:v>REJECT</x:v>
      </x:c>
      <x:c r="F142" s="12"/>
      <x:c r="G142" s="10" t="str">
        <x:f>IF(F142="","OPEN",IF(F142=E142,"PASS","FAIL"))</x:f>
        <x:v>OPEN</x:v>
      </x:c>
      <x:c r="H142" s="10" t="str">
        <x:v>safety authority</x:v>
      </x:c>
    </x:row>
    <x:row r="143">
      <x:c r="A143" s="10" t="str">
        <x:v>RBJ-C138</x:v>
      </x:c>
      <x:c r="B143" s="10" t="str">
        <x:v>casualty or environment transfer</x:v>
      </x:c>
      <x:c r="C143" s="10" t="n">
        <x:v>8</x:v>
      </x:c>
      <x:c r="D143" s="10" t="str">
        <x:v>registered material reaches casualty or environment; variant 8</x:v>
      </x:c>
      <x:c r="E143" s="10" t="str">
        <x:v>REJECT</x:v>
      </x:c>
      <x:c r="F143" s="12"/>
      <x:c r="G143" s="10" t="str">
        <x:f>IF(F143="","OPEN",IF(F143=E143,"PASS","FAIL"))</x:f>
        <x:v>OPEN</x:v>
      </x:c>
      <x:c r="H143" s="10" t="str">
        <x:v>safety authority</x:v>
      </x:c>
    </x:row>
    <x:row r="144">
      <x:c r="A144" s="10" t="str">
        <x:v>RBJ-C139</x:v>
      </x:c>
      <x:c r="B144" s="10" t="str">
        <x:v>casualty or environment transfer</x:v>
      </x:c>
      <x:c r="C144" s="10" t="n">
        <x:v>9</x:v>
      </x:c>
      <x:c r="D144" s="10" t="str">
        <x:v>registered material reaches casualty or environment; variant 9</x:v>
      </x:c>
      <x:c r="E144" s="10" t="str">
        <x:v>REJECT</x:v>
      </x:c>
      <x:c r="F144" s="12"/>
      <x:c r="G144" s="10" t="str">
        <x:f>IF(F144="","OPEN",IF(F144=E144,"PASS","FAIL"))</x:f>
        <x:v>OPEN</x:v>
      </x:c>
      <x:c r="H144" s="10" t="str">
        <x:v>safety authority</x:v>
      </x:c>
    </x:row>
    <x:row r="145">
      <x:c r="A145" s="10" t="str">
        <x:v>RBJ-C140</x:v>
      </x:c>
      <x:c r="B145" s="10" t="str">
        <x:v>casualty or environment transfer</x:v>
      </x:c>
      <x:c r="C145" s="10" t="n">
        <x:v>10</x:v>
      </x:c>
      <x:c r="D145" s="10" t="str">
        <x:v>registered material reaches casualty or environment; variant 10</x:v>
      </x:c>
      <x:c r="E145" s="10" t="str">
        <x:v>REJECT</x:v>
      </x:c>
      <x:c r="F145" s="12"/>
      <x:c r="G145" s="10" t="str">
        <x:f>IF(F145="","OPEN",IF(F145=E145,"PASS","FAIL"))</x:f>
        <x:v>OPEN</x:v>
      </x:c>
      <x:c r="H145" s="10" t="str">
        <x:v>safety authority</x:v>
      </x:c>
    </x:row>
    <x:row r="146">
      <x:c r="A146" s="10" t="str">
        <x:v>RBJ-C141</x:v>
      </x:c>
      <x:c r="B146" s="10" t="str">
        <x:v>trustee and reveal failure</x:v>
      </x:c>
      <x:c r="C146" s="10" t="n">
        <x:v>1</x:v>
      </x:c>
      <x:c r="D146" s="10" t="str">
        <x:v>identity is exposed early or fewer than seven trustees reveal; variant 1</x:v>
      </x:c>
      <x:c r="E146" s="10" t="str">
        <x:v>REJECT</x:v>
      </x:c>
      <x:c r="F146" s="12"/>
      <x:c r="G146" s="10" t="str">
        <x:f>IF(F146="","OPEN",IF(F146=E146,"PASS","FAIL"))</x:f>
        <x:v>OPEN</x:v>
      </x:c>
      <x:c r="H146" s="10" t="str">
        <x:v>code authority</x:v>
      </x:c>
    </x:row>
    <x:row r="147">
      <x:c r="A147" s="10" t="str">
        <x:v>RBJ-C142</x:v>
      </x:c>
      <x:c r="B147" s="10" t="str">
        <x:v>trustee and reveal failure</x:v>
      </x:c>
      <x:c r="C147" s="10" t="n">
        <x:v>2</x:v>
      </x:c>
      <x:c r="D147" s="10" t="str">
        <x:v>identity is exposed early or fewer than seven trustees reveal; variant 2</x:v>
      </x:c>
      <x:c r="E147" s="10" t="str">
        <x:v>REJECT</x:v>
      </x:c>
      <x:c r="F147" s="12"/>
      <x:c r="G147" s="10" t="str">
        <x:f>IF(F147="","OPEN",IF(F147=E147,"PASS","FAIL"))</x:f>
        <x:v>OPEN</x:v>
      </x:c>
      <x:c r="H147" s="10" t="str">
        <x:v>code authority</x:v>
      </x:c>
    </x:row>
    <x:row r="148">
      <x:c r="A148" s="10" t="str">
        <x:v>RBJ-C143</x:v>
      </x:c>
      <x:c r="B148" s="10" t="str">
        <x:v>trustee and reveal failure</x:v>
      </x:c>
      <x:c r="C148" s="10" t="n">
        <x:v>3</x:v>
      </x:c>
      <x:c r="D148" s="10" t="str">
        <x:v>identity is exposed early or fewer than seven trustees reveal; variant 3</x:v>
      </x:c>
      <x:c r="E148" s="10" t="str">
        <x:v>REJECT</x:v>
      </x:c>
      <x:c r="F148" s="12"/>
      <x:c r="G148" s="10" t="str">
        <x:f>IF(F148="","OPEN",IF(F148=E148,"PASS","FAIL"))</x:f>
        <x:v>OPEN</x:v>
      </x:c>
      <x:c r="H148" s="10" t="str">
        <x:v>code authority</x:v>
      </x:c>
    </x:row>
    <x:row r="149">
      <x:c r="A149" s="10" t="str">
        <x:v>RBJ-C144</x:v>
      </x:c>
      <x:c r="B149" s="10" t="str">
        <x:v>trustee and reveal failure</x:v>
      </x:c>
      <x:c r="C149" s="10" t="n">
        <x:v>4</x:v>
      </x:c>
      <x:c r="D149" s="10" t="str">
        <x:v>identity is exposed early or fewer than seven trustees reveal; variant 4</x:v>
      </x:c>
      <x:c r="E149" s="10" t="str">
        <x:v>REJECT</x:v>
      </x:c>
      <x:c r="F149" s="12"/>
      <x:c r="G149" s="10" t="str">
        <x:f>IF(F149="","OPEN",IF(F149=E149,"PASS","FAIL"))</x:f>
        <x:v>OPEN</x:v>
      </x:c>
      <x:c r="H149" s="10" t="str">
        <x:v>code authority</x:v>
      </x:c>
    </x:row>
    <x:row r="150">
      <x:c r="A150" s="10" t="str">
        <x:v>RBJ-C145</x:v>
      </x:c>
      <x:c r="B150" s="10" t="str">
        <x:v>trustee and reveal failure</x:v>
      </x:c>
      <x:c r="C150" s="10" t="n">
        <x:v>5</x:v>
      </x:c>
      <x:c r="D150" s="10" t="str">
        <x:v>identity is exposed early or fewer than seven trustees reveal; variant 5</x:v>
      </x:c>
      <x:c r="E150" s="10" t="str">
        <x:v>REJECT</x:v>
      </x:c>
      <x:c r="F150" s="12"/>
      <x:c r="G150" s="10" t="str">
        <x:f>IF(F150="","OPEN",IF(F150=E150,"PASS","FAIL"))</x:f>
        <x:v>OPEN</x:v>
      </x:c>
      <x:c r="H150" s="10" t="str">
        <x:v>code authority</x:v>
      </x:c>
    </x:row>
    <x:row r="151">
      <x:c r="A151" s="10" t="str">
        <x:v>RBJ-C146</x:v>
      </x:c>
      <x:c r="B151" s="10" t="str">
        <x:v>trustee and reveal failure</x:v>
      </x:c>
      <x:c r="C151" s="10" t="n">
        <x:v>6</x:v>
      </x:c>
      <x:c r="D151" s="10" t="str">
        <x:v>identity is exposed early or fewer than seven trustees reveal; variant 6</x:v>
      </x:c>
      <x:c r="E151" s="10" t="str">
        <x:v>REJECT</x:v>
      </x:c>
      <x:c r="F151" s="12"/>
      <x:c r="G151" s="10" t="str">
        <x:f>IF(F151="","OPEN",IF(F151=E151,"PASS","FAIL"))</x:f>
        <x:v>OPEN</x:v>
      </x:c>
      <x:c r="H151" s="10" t="str">
        <x:v>code authority</x:v>
      </x:c>
    </x:row>
    <x:row r="152">
      <x:c r="A152" s="10" t="str">
        <x:v>RBJ-C147</x:v>
      </x:c>
      <x:c r="B152" s="10" t="str">
        <x:v>trustee and reveal failure</x:v>
      </x:c>
      <x:c r="C152" s="10" t="n">
        <x:v>7</x:v>
      </x:c>
      <x:c r="D152" s="10" t="str">
        <x:v>identity is exposed early or fewer than seven trustees reveal; variant 7</x:v>
      </x:c>
      <x:c r="E152" s="10" t="str">
        <x:v>REJECT</x:v>
      </x:c>
      <x:c r="F152" s="12"/>
      <x:c r="G152" s="10" t="str">
        <x:f>IF(F152="","OPEN",IF(F152=E152,"PASS","FAIL"))</x:f>
        <x:v>OPEN</x:v>
      </x:c>
      <x:c r="H152" s="10" t="str">
        <x:v>code authority</x:v>
      </x:c>
    </x:row>
    <x:row r="153">
      <x:c r="A153" s="10" t="str">
        <x:v>RBJ-C148</x:v>
      </x:c>
      <x:c r="B153" s="10" t="str">
        <x:v>trustee and reveal failure</x:v>
      </x:c>
      <x:c r="C153" s="10" t="n">
        <x:v>8</x:v>
      </x:c>
      <x:c r="D153" s="10" t="str">
        <x:v>identity is exposed early or fewer than seven trustees reveal; variant 8</x:v>
      </x:c>
      <x:c r="E153" s="10" t="str">
        <x:v>REJECT</x:v>
      </x:c>
      <x:c r="F153" s="12"/>
      <x:c r="G153" s="10" t="str">
        <x:f>IF(F153="","OPEN",IF(F153=E153,"PASS","FAIL"))</x:f>
        <x:v>OPEN</x:v>
      </x:c>
      <x:c r="H153" s="10" t="str">
        <x:v>code authority</x:v>
      </x:c>
    </x:row>
    <x:row r="154">
      <x:c r="A154" s="10" t="str">
        <x:v>RBJ-C149</x:v>
      </x:c>
      <x:c r="B154" s="10" t="str">
        <x:v>trustee and reveal failure</x:v>
      </x:c>
      <x:c r="C154" s="10" t="n">
        <x:v>9</x:v>
      </x:c>
      <x:c r="D154" s="10" t="str">
        <x:v>identity is exposed early or fewer than seven trustees reveal; variant 9</x:v>
      </x:c>
      <x:c r="E154" s="10" t="str">
        <x:v>REJECT</x:v>
      </x:c>
      <x:c r="F154" s="12"/>
      <x:c r="G154" s="10" t="str">
        <x:f>IF(F154="","OPEN",IF(F154=E154,"PASS","FAIL"))</x:f>
        <x:v>OPEN</x:v>
      </x:c>
      <x:c r="H154" s="10" t="str">
        <x:v>code authority</x:v>
      </x:c>
    </x:row>
    <x:row r="155">
      <x:c r="A155" s="10" t="str">
        <x:v>RBJ-C150</x:v>
      </x:c>
      <x:c r="B155" s="10" t="str">
        <x:v>trustee and reveal failure</x:v>
      </x:c>
      <x:c r="C155" s="10" t="n">
        <x:v>10</x:v>
      </x:c>
      <x:c r="D155" s="10" t="str">
        <x:v>identity is exposed early or fewer than seven trustees reveal; variant 10</x:v>
      </x:c>
      <x:c r="E155" s="10" t="str">
        <x:v>REJECT</x:v>
      </x:c>
      <x:c r="F155" s="12"/>
      <x:c r="G155" s="10" t="str">
        <x:f>IF(F155="","OPEN",IF(F155=E155,"PASS","FAIL"))</x:f>
        <x:v>OPEN</x:v>
      </x:c>
      <x:c r="H155" s="10" t="str">
        <x:v>code authority</x:v>
      </x:c>
    </x:row>
    <x:row r="156">
      <x:c r="A156" s="10" t="str">
        <x:v>RBJ-C151</x:v>
      </x:c>
      <x:c r="B156" s="10" t="str">
        <x:v>return custody failure</x:v>
      </x:c>
      <x:c r="C156" s="10" t="n">
        <x:v>1</x:v>
      </x:c>
      <x:c r="D156" s="10" t="str">
        <x:v>wet or coded material lacks terminal custody at 672 hours; variant 1</x:v>
      </x:c>
      <x:c r="E156" s="10" t="str">
        <x:v>REJECT</x:v>
      </x:c>
      <x:c r="F156" s="12"/>
      <x:c r="G156" s="10" t="str">
        <x:f>IF(F156="","OPEN",IF(F156=E156,"PASS","FAIL"))</x:f>
        <x:v>OPEN</x:v>
      </x:c>
      <x:c r="H156" s="10" t="str">
        <x:v>return authority</x:v>
      </x:c>
    </x:row>
    <x:row r="157">
      <x:c r="A157" s="10" t="str">
        <x:v>RBJ-C152</x:v>
      </x:c>
      <x:c r="B157" s="10" t="str">
        <x:v>return custody failure</x:v>
      </x:c>
      <x:c r="C157" s="10" t="n">
        <x:v>2</x:v>
      </x:c>
      <x:c r="D157" s="10" t="str">
        <x:v>wet or coded material lacks terminal custody at 672 hours; variant 2</x:v>
      </x:c>
      <x:c r="E157" s="10" t="str">
        <x:v>REJECT</x:v>
      </x:c>
      <x:c r="F157" s="12"/>
      <x:c r="G157" s="10" t="str">
        <x:f>IF(F157="","OPEN",IF(F157=E157,"PASS","FAIL"))</x:f>
        <x:v>OPEN</x:v>
      </x:c>
      <x:c r="H157" s="10" t="str">
        <x:v>return authority</x:v>
      </x:c>
    </x:row>
    <x:row r="158">
      <x:c r="A158" s="10" t="str">
        <x:v>RBJ-C153</x:v>
      </x:c>
      <x:c r="B158" s="10" t="str">
        <x:v>return custody failure</x:v>
      </x:c>
      <x:c r="C158" s="10" t="n">
        <x:v>3</x:v>
      </x:c>
      <x:c r="D158" s="10" t="str">
        <x:v>wet or coded material lacks terminal custody at 672 hours; variant 3</x:v>
      </x:c>
      <x:c r="E158" s="10" t="str">
        <x:v>REJECT</x:v>
      </x:c>
      <x:c r="F158" s="12"/>
      <x:c r="G158" s="10" t="str">
        <x:f>IF(F158="","OPEN",IF(F158=E158,"PASS","FAIL"))</x:f>
        <x:v>OPEN</x:v>
      </x:c>
      <x:c r="H158" s="10" t="str">
        <x:v>return authority</x:v>
      </x:c>
    </x:row>
    <x:row r="159">
      <x:c r="A159" s="10" t="str">
        <x:v>RBJ-C154</x:v>
      </x:c>
      <x:c r="B159" s="10" t="str">
        <x:v>return custody failure</x:v>
      </x:c>
      <x:c r="C159" s="10" t="n">
        <x:v>4</x:v>
      </x:c>
      <x:c r="D159" s="10" t="str">
        <x:v>wet or coded material lacks terminal custody at 672 hours; variant 4</x:v>
      </x:c>
      <x:c r="E159" s="10" t="str">
        <x:v>REJECT</x:v>
      </x:c>
      <x:c r="F159" s="12"/>
      <x:c r="G159" s="10" t="str">
        <x:f>IF(F159="","OPEN",IF(F159=E159,"PASS","FAIL"))</x:f>
        <x:v>OPEN</x:v>
      </x:c>
      <x:c r="H159" s="10" t="str">
        <x:v>return authority</x:v>
      </x:c>
    </x:row>
    <x:row r="160">
      <x:c r="A160" s="10" t="str">
        <x:v>RBJ-C155</x:v>
      </x:c>
      <x:c r="B160" s="10" t="str">
        <x:v>return custody failure</x:v>
      </x:c>
      <x:c r="C160" s="10" t="n">
        <x:v>5</x:v>
      </x:c>
      <x:c r="D160" s="10" t="str">
        <x:v>wet or coded material lacks terminal custody at 672 hours; variant 5</x:v>
      </x:c>
      <x:c r="E160" s="10" t="str">
        <x:v>REJECT</x:v>
      </x:c>
      <x:c r="F160" s="12"/>
      <x:c r="G160" s="10" t="str">
        <x:f>IF(F160="","OPEN",IF(F160=E160,"PASS","FAIL"))</x:f>
        <x:v>OPEN</x:v>
      </x:c>
      <x:c r="H160" s="10" t="str">
        <x:v>return authority</x:v>
      </x:c>
    </x:row>
    <x:row r="161">
      <x:c r="A161" s="10" t="str">
        <x:v>RBJ-C156</x:v>
      </x:c>
      <x:c r="B161" s="10" t="str">
        <x:v>return custody failure</x:v>
      </x:c>
      <x:c r="C161" s="10" t="n">
        <x:v>6</x:v>
      </x:c>
      <x:c r="D161" s="10" t="str">
        <x:v>wet or coded material lacks terminal custody at 672 hours; variant 6</x:v>
      </x:c>
      <x:c r="E161" s="10" t="str">
        <x:v>REJECT</x:v>
      </x:c>
      <x:c r="F161" s="12"/>
      <x:c r="G161" s="10" t="str">
        <x:f>IF(F161="","OPEN",IF(F161=E161,"PASS","FAIL"))</x:f>
        <x:v>OPEN</x:v>
      </x:c>
      <x:c r="H161" s="10" t="str">
        <x:v>return authority</x:v>
      </x:c>
    </x:row>
    <x:row r="162">
      <x:c r="A162" s="10" t="str">
        <x:v>RBJ-C157</x:v>
      </x:c>
      <x:c r="B162" s="10" t="str">
        <x:v>return custody failure</x:v>
      </x:c>
      <x:c r="C162" s="10" t="n">
        <x:v>7</x:v>
      </x:c>
      <x:c r="D162" s="10" t="str">
        <x:v>wet or coded material lacks terminal custody at 672 hours; variant 7</x:v>
      </x:c>
      <x:c r="E162" s="10" t="str">
        <x:v>REJECT</x:v>
      </x:c>
      <x:c r="F162" s="12"/>
      <x:c r="G162" s="10" t="str">
        <x:f>IF(F162="","OPEN",IF(F162=E162,"PASS","FAIL"))</x:f>
        <x:v>OPEN</x:v>
      </x:c>
      <x:c r="H162" s="10" t="str">
        <x:v>return authority</x:v>
      </x:c>
    </x:row>
    <x:row r="163">
      <x:c r="A163" s="10" t="str">
        <x:v>RBJ-C158</x:v>
      </x:c>
      <x:c r="B163" s="10" t="str">
        <x:v>return custody failure</x:v>
      </x:c>
      <x:c r="C163" s="10" t="n">
        <x:v>8</x:v>
      </x:c>
      <x:c r="D163" s="10" t="str">
        <x:v>wet or coded material lacks terminal custody at 672 hours; variant 8</x:v>
      </x:c>
      <x:c r="E163" s="10" t="str">
        <x:v>REJECT</x:v>
      </x:c>
      <x:c r="F163" s="12"/>
      <x:c r="G163" s="10" t="str">
        <x:f>IF(F163="","OPEN",IF(F163=E163,"PASS","FAIL"))</x:f>
        <x:v>OPEN</x:v>
      </x:c>
      <x:c r="H163" s="10" t="str">
        <x:v>return authority</x:v>
      </x:c>
    </x:row>
    <x:row r="164">
      <x:c r="A164" s="10" t="str">
        <x:v>RBJ-C159</x:v>
      </x:c>
      <x:c r="B164" s="10" t="str">
        <x:v>return custody failure</x:v>
      </x:c>
      <x:c r="C164" s="10" t="n">
        <x:v>9</x:v>
      </x:c>
      <x:c r="D164" s="10" t="str">
        <x:v>wet or coded material lacks terminal custody at 672 hours; variant 9</x:v>
      </x:c>
      <x:c r="E164" s="10" t="str">
        <x:v>REJECT</x:v>
      </x:c>
      <x:c r="F164" s="12"/>
      <x:c r="G164" s="10" t="str">
        <x:f>IF(F164="","OPEN",IF(F164=E164,"PASS","FAIL"))</x:f>
        <x:v>OPEN</x:v>
      </x:c>
      <x:c r="H164" s="10" t="str">
        <x:v>return authority</x:v>
      </x:c>
    </x:row>
    <x:row r="165">
      <x:c r="A165" s="10" t="str">
        <x:v>RBJ-C160</x:v>
      </x:c>
      <x:c r="B165" s="10" t="str">
        <x:v>return custody failure</x:v>
      </x:c>
      <x:c r="C165" s="10" t="n">
        <x:v>10</x:v>
      </x:c>
      <x:c r="D165" s="10" t="str">
        <x:v>wet or coded material lacks terminal custody at 672 hours; variant 10</x:v>
      </x:c>
      <x:c r="E165" s="10" t="str">
        <x:v>REJECT</x:v>
      </x:c>
      <x:c r="F165" s="12"/>
      <x:c r="G165" s="10" t="str">
        <x:f>IF(F165="","OPEN",IF(F165=E165,"PASS","FAIL"))</x:f>
        <x:v>OPEN</x:v>
      </x:c>
      <x:c r="H165" s="10" t="str">
        <x:v>return authority</x:v>
      </x:c>
    </x:row>
    <x:row r="166">
      <x:c r="A166" s="10" t="str">
        <x:v>RBJ-C161</x:v>
      </x:c>
      <x:c r="B166" s="10" t="str">
        <x:v>outside replay dependence</x:v>
      </x:c>
      <x:c r="C166" s="10" t="n">
        <x:v>1</x:v>
      </x:c>
      <x:c r="D166" s="10" t="str">
        <x:v>replay requires an origin-campus service; variant 1</x:v>
      </x:c>
      <x:c r="E166" s="10" t="str">
        <x:v>REJECT</x:v>
      </x:c>
      <x:c r="F166" s="12"/>
      <x:c r="G166" s="10" t="str">
        <x:f>IF(F166="","OPEN",IF(F166=E166,"PASS","FAIL"))</x:f>
        <x:v>OPEN</x:v>
      </x:c>
      <x:c r="H166" s="10" t="str">
        <x:v>replay authority</x:v>
      </x:c>
    </x:row>
    <x:row r="167">
      <x:c r="A167" s="10" t="str">
        <x:v>RBJ-C162</x:v>
      </x:c>
      <x:c r="B167" s="10" t="str">
        <x:v>outside replay dependence</x:v>
      </x:c>
      <x:c r="C167" s="10" t="n">
        <x:v>2</x:v>
      </x:c>
      <x:c r="D167" s="10" t="str">
        <x:v>replay requires an origin-campus service; variant 2</x:v>
      </x:c>
      <x:c r="E167" s="10" t="str">
        <x:v>REJECT</x:v>
      </x:c>
      <x:c r="F167" s="12"/>
      <x:c r="G167" s="10" t="str">
        <x:f>IF(F167="","OPEN",IF(F167=E167,"PASS","FAIL"))</x:f>
        <x:v>OPEN</x:v>
      </x:c>
      <x:c r="H167" s="10" t="str">
        <x:v>replay authority</x:v>
      </x:c>
    </x:row>
    <x:row r="168">
      <x:c r="A168" s="10" t="str">
        <x:v>RBJ-C163</x:v>
      </x:c>
      <x:c r="B168" s="10" t="str">
        <x:v>outside replay dependence</x:v>
      </x:c>
      <x:c r="C168" s="10" t="n">
        <x:v>3</x:v>
      </x:c>
      <x:c r="D168" s="10" t="str">
        <x:v>replay requires an origin-campus service; variant 3</x:v>
      </x:c>
      <x:c r="E168" s="10" t="str">
        <x:v>REJECT</x:v>
      </x:c>
      <x:c r="F168" s="12"/>
      <x:c r="G168" s="10" t="str">
        <x:f>IF(F168="","OPEN",IF(F168=E168,"PASS","FAIL"))</x:f>
        <x:v>OPEN</x:v>
      </x:c>
      <x:c r="H168" s="10" t="str">
        <x:v>replay authority</x:v>
      </x:c>
    </x:row>
    <x:row r="169">
      <x:c r="A169" s="10" t="str">
        <x:v>RBJ-C164</x:v>
      </x:c>
      <x:c r="B169" s="10" t="str">
        <x:v>outside replay dependence</x:v>
      </x:c>
      <x:c r="C169" s="10" t="n">
        <x:v>4</x:v>
      </x:c>
      <x:c r="D169" s="10" t="str">
        <x:v>replay requires an origin-campus service; variant 4</x:v>
      </x:c>
      <x:c r="E169" s="10" t="str">
        <x:v>REJECT</x:v>
      </x:c>
      <x:c r="F169" s="12"/>
      <x:c r="G169" s="10" t="str">
        <x:f>IF(F169="","OPEN",IF(F169=E169,"PASS","FAIL"))</x:f>
        <x:v>OPEN</x:v>
      </x:c>
      <x:c r="H169" s="10" t="str">
        <x:v>replay authority</x:v>
      </x:c>
    </x:row>
    <x:row r="170">
      <x:c r="A170" s="10" t="str">
        <x:v>RBJ-C165</x:v>
      </x:c>
      <x:c r="B170" s="10" t="str">
        <x:v>outside replay dependence</x:v>
      </x:c>
      <x:c r="C170" s="10" t="n">
        <x:v>5</x:v>
      </x:c>
      <x:c r="D170" s="10" t="str">
        <x:v>replay requires an origin-campus service; variant 5</x:v>
      </x:c>
      <x:c r="E170" s="10" t="str">
        <x:v>REJECT</x:v>
      </x:c>
      <x:c r="F170" s="12"/>
      <x:c r="G170" s="10" t="str">
        <x:f>IF(F170="","OPEN",IF(F170=E170,"PASS","FAIL"))</x:f>
        <x:v>OPEN</x:v>
      </x:c>
      <x:c r="H170" s="10" t="str">
        <x:v>replay authority</x:v>
      </x:c>
    </x:row>
    <x:row r="171">
      <x:c r="A171" s="10" t="str">
        <x:v>RBJ-C166</x:v>
      </x:c>
      <x:c r="B171" s="10" t="str">
        <x:v>outside replay dependence</x:v>
      </x:c>
      <x:c r="C171" s="10" t="n">
        <x:v>6</x:v>
      </x:c>
      <x:c r="D171" s="10" t="str">
        <x:v>replay requires an origin-campus service; variant 6</x:v>
      </x:c>
      <x:c r="E171" s="10" t="str">
        <x:v>REJECT</x:v>
      </x:c>
      <x:c r="F171" s="12"/>
      <x:c r="G171" s="10" t="str">
        <x:f>IF(F171="","OPEN",IF(F171=E171,"PASS","FAIL"))</x:f>
        <x:v>OPEN</x:v>
      </x:c>
      <x:c r="H171" s="10" t="str">
        <x:v>replay authority</x:v>
      </x:c>
    </x:row>
    <x:row r="172">
      <x:c r="A172" s="10" t="str">
        <x:v>RBJ-C167</x:v>
      </x:c>
      <x:c r="B172" s="10" t="str">
        <x:v>outside replay dependence</x:v>
      </x:c>
      <x:c r="C172" s="10" t="n">
        <x:v>7</x:v>
      </x:c>
      <x:c r="D172" s="10" t="str">
        <x:v>replay requires an origin-campus service; variant 7</x:v>
      </x:c>
      <x:c r="E172" s="10" t="str">
        <x:v>REJECT</x:v>
      </x:c>
      <x:c r="F172" s="12"/>
      <x:c r="G172" s="10" t="str">
        <x:f>IF(F172="","OPEN",IF(F172=E172,"PASS","FAIL"))</x:f>
        <x:v>OPEN</x:v>
      </x:c>
      <x:c r="H172" s="10" t="str">
        <x:v>replay authority</x:v>
      </x:c>
    </x:row>
    <x:row r="173">
      <x:c r="A173" s="10" t="str">
        <x:v>RBJ-C168</x:v>
      </x:c>
      <x:c r="B173" s="10" t="str">
        <x:v>outside replay dependence</x:v>
      </x:c>
      <x:c r="C173" s="10" t="n">
        <x:v>8</x:v>
      </x:c>
      <x:c r="D173" s="10" t="str">
        <x:v>replay requires an origin-campus service; variant 8</x:v>
      </x:c>
      <x:c r="E173" s="10" t="str">
        <x:v>REJECT</x:v>
      </x:c>
      <x:c r="F173" s="12"/>
      <x:c r="G173" s="10" t="str">
        <x:f>IF(F173="","OPEN",IF(F173=E173,"PASS","FAIL"))</x:f>
        <x:v>OPEN</x:v>
      </x:c>
      <x:c r="H173" s="10" t="str">
        <x:v>replay authority</x:v>
      </x:c>
    </x:row>
    <x:row r="174">
      <x:c r="A174" s="10" t="str">
        <x:v>RBJ-C169</x:v>
      </x:c>
      <x:c r="B174" s="10" t="str">
        <x:v>outside replay dependence</x:v>
      </x:c>
      <x:c r="C174" s="10" t="n">
        <x:v>9</x:v>
      </x:c>
      <x:c r="D174" s="10" t="str">
        <x:v>replay requires an origin-campus service; variant 9</x:v>
      </x:c>
      <x:c r="E174" s="10" t="str">
        <x:v>REJECT</x:v>
      </x:c>
      <x:c r="F174" s="12"/>
      <x:c r="G174" s="10" t="str">
        <x:f>IF(F174="","OPEN",IF(F174=E174,"PASS","FAIL"))</x:f>
        <x:v>OPEN</x:v>
      </x:c>
      <x:c r="H174" s="10" t="str">
        <x:v>replay authority</x:v>
      </x:c>
    </x:row>
    <x:row r="175">
      <x:c r="A175" s="10" t="str">
        <x:v>RBJ-C170</x:v>
      </x:c>
      <x:c r="B175" s="10" t="str">
        <x:v>outside replay dependence</x:v>
      </x:c>
      <x:c r="C175" s="10" t="n">
        <x:v>10</x:v>
      </x:c>
      <x:c r="D175" s="10" t="str">
        <x:v>replay requires an origin-campus service; variant 10</x:v>
      </x:c>
      <x:c r="E175" s="10" t="str">
        <x:v>REJECT</x:v>
      </x:c>
      <x:c r="F175" s="12"/>
      <x:c r="G175" s="10" t="str">
        <x:f>IF(F175="","OPEN",IF(F175=E175,"PASS","FAIL"))</x:f>
        <x:v>OPEN</x:v>
      </x:c>
      <x:c r="H175" s="10" t="str">
        <x:v>replay authority</x:v>
      </x:c>
    </x:row>
    <x:row r="176">
      <x:c r="A176" s="10" t="str">
        <x:v>RBJ-C171</x:v>
      </x:c>
      <x:c r="B176" s="10" t="str">
        <x:v>reserve substitution</x:v>
      </x:c>
      <x:c r="C176" s="10" t="n">
        <x:v>1</x:v>
      </x:c>
      <x:c r="D176" s="10" t="str">
        <x:v>reserve changes cell, root, lineage or code identity; variant 1</x:v>
      </x:c>
      <x:c r="E176" s="10" t="str">
        <x:v>REJECT</x:v>
      </x:c>
      <x:c r="F176" s="12"/>
      <x:c r="G176" s="10" t="str">
        <x:f>IF(F176="","OPEN",IF(F176=E176,"PASS","FAIL"))</x:f>
        <x:v>OPEN</x:v>
      </x:c>
      <x:c r="H176" s="10" t="str">
        <x:v>class authority</x:v>
      </x:c>
    </x:row>
    <x:row r="177">
      <x:c r="A177" s="10" t="str">
        <x:v>RBJ-C172</x:v>
      </x:c>
      <x:c r="B177" s="10" t="str">
        <x:v>reserve substitution</x:v>
      </x:c>
      <x:c r="C177" s="10" t="n">
        <x:v>2</x:v>
      </x:c>
      <x:c r="D177" s="10" t="str">
        <x:v>reserve changes cell, root, lineage or code identity; variant 2</x:v>
      </x:c>
      <x:c r="E177" s="10" t="str">
        <x:v>REJECT</x:v>
      </x:c>
      <x:c r="F177" s="12"/>
      <x:c r="G177" s="10" t="str">
        <x:f>IF(F177="","OPEN",IF(F177=E177,"PASS","FAIL"))</x:f>
        <x:v>OPEN</x:v>
      </x:c>
      <x:c r="H177" s="10" t="str">
        <x:v>class authority</x:v>
      </x:c>
    </x:row>
    <x:row r="178">
      <x:c r="A178" s="10" t="str">
        <x:v>RBJ-C173</x:v>
      </x:c>
      <x:c r="B178" s="10" t="str">
        <x:v>reserve substitution</x:v>
      </x:c>
      <x:c r="C178" s="10" t="n">
        <x:v>3</x:v>
      </x:c>
      <x:c r="D178" s="10" t="str">
        <x:v>reserve changes cell, root, lineage or code identity; variant 3</x:v>
      </x:c>
      <x:c r="E178" s="10" t="str">
        <x:v>REJECT</x:v>
      </x:c>
      <x:c r="F178" s="12"/>
      <x:c r="G178" s="10" t="str">
        <x:f>IF(F178="","OPEN",IF(F178=E178,"PASS","FAIL"))</x:f>
        <x:v>OPEN</x:v>
      </x:c>
      <x:c r="H178" s="10" t="str">
        <x:v>class authority</x:v>
      </x:c>
    </x:row>
    <x:row r="179">
      <x:c r="A179" s="10" t="str">
        <x:v>RBJ-C174</x:v>
      </x:c>
      <x:c r="B179" s="10" t="str">
        <x:v>reserve substitution</x:v>
      </x:c>
      <x:c r="C179" s="10" t="n">
        <x:v>4</x:v>
      </x:c>
      <x:c r="D179" s="10" t="str">
        <x:v>reserve changes cell, root, lineage or code identity; variant 4</x:v>
      </x:c>
      <x:c r="E179" s="10" t="str">
        <x:v>REJECT</x:v>
      </x:c>
      <x:c r="F179" s="12"/>
      <x:c r="G179" s="10" t="str">
        <x:f>IF(F179="","OPEN",IF(F179=E179,"PASS","FAIL"))</x:f>
        <x:v>OPEN</x:v>
      </x:c>
      <x:c r="H179" s="10" t="str">
        <x:v>class authority</x:v>
      </x:c>
    </x:row>
    <x:row r="180">
      <x:c r="A180" s="10" t="str">
        <x:v>RBJ-C175</x:v>
      </x:c>
      <x:c r="B180" s="10" t="str">
        <x:v>reserve substitution</x:v>
      </x:c>
      <x:c r="C180" s="10" t="n">
        <x:v>5</x:v>
      </x:c>
      <x:c r="D180" s="10" t="str">
        <x:v>reserve changes cell, root, lineage or code identity; variant 5</x:v>
      </x:c>
      <x:c r="E180" s="10" t="str">
        <x:v>REJECT</x:v>
      </x:c>
      <x:c r="F180" s="12"/>
      <x:c r="G180" s="10" t="str">
        <x:f>IF(F180="","OPEN",IF(F180=E180,"PASS","FAIL"))</x:f>
        <x:v>OPEN</x:v>
      </x:c>
      <x:c r="H180" s="10" t="str">
        <x:v>class authority</x:v>
      </x:c>
    </x:row>
    <x:row r="181">
      <x:c r="A181" s="10" t="str">
        <x:v>RBJ-C176</x:v>
      </x:c>
      <x:c r="B181" s="10" t="str">
        <x:v>reserve substitution</x:v>
      </x:c>
      <x:c r="C181" s="10" t="n">
        <x:v>6</x:v>
      </x:c>
      <x:c r="D181" s="10" t="str">
        <x:v>reserve changes cell, root, lineage or code identity; variant 6</x:v>
      </x:c>
      <x:c r="E181" s="10" t="str">
        <x:v>REJECT</x:v>
      </x:c>
      <x:c r="F181" s="12"/>
      <x:c r="G181" s="10" t="str">
        <x:f>IF(F181="","OPEN",IF(F181=E181,"PASS","FAIL"))</x:f>
        <x:v>OPEN</x:v>
      </x:c>
      <x:c r="H181" s="10" t="str">
        <x:v>class authority</x:v>
      </x:c>
    </x:row>
    <x:row r="182">
      <x:c r="A182" s="10" t="str">
        <x:v>RBJ-C177</x:v>
      </x:c>
      <x:c r="B182" s="10" t="str">
        <x:v>reserve substitution</x:v>
      </x:c>
      <x:c r="C182" s="10" t="n">
        <x:v>7</x:v>
      </x:c>
      <x:c r="D182" s="10" t="str">
        <x:v>reserve changes cell, root, lineage or code identity; variant 7</x:v>
      </x:c>
      <x:c r="E182" s="10" t="str">
        <x:v>REJECT</x:v>
      </x:c>
      <x:c r="F182" s="12"/>
      <x:c r="G182" s="10" t="str">
        <x:f>IF(F182="","OPEN",IF(F182=E182,"PASS","FAIL"))</x:f>
        <x:v>OPEN</x:v>
      </x:c>
      <x:c r="H182" s="10" t="str">
        <x:v>class authority</x:v>
      </x:c>
    </x:row>
    <x:row r="183">
      <x:c r="A183" s="10" t="str">
        <x:v>RBJ-C178</x:v>
      </x:c>
      <x:c r="B183" s="10" t="str">
        <x:v>reserve substitution</x:v>
      </x:c>
      <x:c r="C183" s="10" t="n">
        <x:v>8</x:v>
      </x:c>
      <x:c r="D183" s="10" t="str">
        <x:v>reserve changes cell, root, lineage or code identity; variant 8</x:v>
      </x:c>
      <x:c r="E183" s="10" t="str">
        <x:v>REJECT</x:v>
      </x:c>
      <x:c r="F183" s="12"/>
      <x:c r="G183" s="10" t="str">
        <x:f>IF(F183="","OPEN",IF(F183=E183,"PASS","FAIL"))</x:f>
        <x:v>OPEN</x:v>
      </x:c>
      <x:c r="H183" s="10" t="str">
        <x:v>class authority</x:v>
      </x:c>
    </x:row>
    <x:row r="184">
      <x:c r="A184" s="10" t="str">
        <x:v>RBJ-C179</x:v>
      </x:c>
      <x:c r="B184" s="10" t="str">
        <x:v>reserve substitution</x:v>
      </x:c>
      <x:c r="C184" s="10" t="n">
        <x:v>9</x:v>
      </x:c>
      <x:c r="D184" s="10" t="str">
        <x:v>reserve changes cell, root, lineage or code identity; variant 9</x:v>
      </x:c>
      <x:c r="E184" s="10" t="str">
        <x:v>REJECT</x:v>
      </x:c>
      <x:c r="F184" s="12"/>
      <x:c r="G184" s="10" t="str">
        <x:f>IF(F184="","OPEN",IF(F184=E184,"PASS","FAIL"))</x:f>
        <x:v>OPEN</x:v>
      </x:c>
      <x:c r="H184" s="10" t="str">
        <x:v>class authority</x:v>
      </x:c>
    </x:row>
    <x:row r="185">
      <x:c r="A185" s="10" t="str">
        <x:v>RBJ-C180</x:v>
      </x:c>
      <x:c r="B185" s="10" t="str">
        <x:v>reserve substitution</x:v>
      </x:c>
      <x:c r="C185" s="10" t="n">
        <x:v>10</x:v>
      </x:c>
      <x:c r="D185" s="10" t="str">
        <x:v>reserve changes cell, root, lineage or code identity; variant 10</x:v>
      </x:c>
      <x:c r="E185" s="10" t="str">
        <x:v>REJECT</x:v>
      </x:c>
      <x:c r="F185" s="12"/>
      <x:c r="G185" s="10" t="str">
        <x:f>IF(F185="","OPEN",IF(F185=E185,"PASS","FAIL"))</x:f>
        <x:v>OPEN</x:v>
      </x:c>
      <x:c r="H185" s="10" t="str">
        <x:v>class authority</x:v>
      </x:c>
    </x:row>
  </x:sheetData>
  <x:mergeCells>
    <x:mergeCell ref="A2:H2"/>
  </x:mergeCells>
  <x:conditionalFormatting sqref="G6:G185">
    <x:cfRule type="containsText" dxfId="156" priority="1" operator="containsText" text="DENY"/>
    <x:cfRule type="containsText" dxfId="157" priority="2" operator="containsText" text="ADVERSE"/>
    <x:cfRule type="containsText" dxfId="158" priority="3" operator="containsText" text="FAIL"/>
    <x:cfRule type="containsText" dxfId="159" priority="4" operator="containsText" text="OPEN"/>
    <x:cfRule type="containsText" dxfId="160" priority="5" operator="containsText" text="BLOCKED"/>
    <x:cfRule type="containsText" dxfId="161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1eb0e5f135c74e01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31" hidden="0" customWidth="1"/>
    <x:col min="4" max="4" width="48" hidden="0" customWidth="1"/>
    <x:col min="5" max="5" width="16" hidden="0" customWidth="1"/>
    <x:col min="6" max="6" width="16" hidden="0" customWidth="1"/>
    <x:col min="7" max="7" width="14" hidden="0" customWidth="1"/>
    <x:col min="8" max="8" width="24" hidden="0" customWidth="1"/>
  </x:cols>
  <x:sheetData>
    <x:row r="2" ht="24" customHeight="1">
      <x:c r="A2" s="1" t="str">
        <x:v>Three hundred sixty executable audit identities</x:v>
      </x:c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>
      <x:c r="A5" s="8" t="str">
        <x:v>Audit</x:v>
      </x:c>
      <x:c r="B5" s="8" t="str">
        <x:v>Family</x:v>
      </x:c>
      <x:c r="C5" s="8" t="str">
        <x:v>Object</x:v>
      </x:c>
      <x:c r="D5" s="8" t="str">
        <x:v>Assertion</x:v>
      </x:c>
      <x:c r="E5" s="8" t="str">
        <x:v>Expected</x:v>
      </x:c>
      <x:c r="F5" s="8" t="str">
        <x:v>Observed</x:v>
      </x:c>
      <x:c r="G5" s="8" t="str">
        <x:v>State</x:v>
      </x:c>
      <x:c r="H5" s="8" t="str">
        <x:v>Owner</x:v>
      </x:c>
    </x:row>
    <x:row r="6">
      <x:c r="A6" s="10" t="str">
        <x:v>AUD-C-001</x:v>
      </x:c>
      <x:c r="B6" s="10" t="str">
        <x:v>case execution</x:v>
      </x:c>
      <x:c r="C6" s="10" t="str">
        <x:v>RBJ-C001</x:v>
      </x:c>
      <x:c r="D6" s="10" t="str">
        <x:v>registered falsification case is executed and terminal</x:v>
      </x:c>
      <x:c r="E6" s="10" t="str">
        <x:v>PASS</x:v>
      </x:c>
      <x:c r="F6" s="12"/>
      <x:c r="G6" s="10" t="str">
        <x:f>IF(F6="","OPEN",IF(F6=E6,"PASS","FAIL"))</x:f>
        <x:v>OPEN</x:v>
      </x:c>
      <x:c r="H6" s="10" t="str">
        <x:v>class validity</x:v>
      </x:c>
    </x:row>
    <x:row r="7">
      <x:c r="A7" s="10" t="str">
        <x:v>AUD-C-002</x:v>
      </x:c>
      <x:c r="B7" s="10" t="str">
        <x:v>case execution</x:v>
      </x:c>
      <x:c r="C7" s="10" t="str">
        <x:v>RBJ-C002</x:v>
      </x:c>
      <x:c r="D7" s="10" t="str">
        <x:v>registered falsification case is executed and terminal</x:v>
      </x:c>
      <x:c r="E7" s="10" t="str">
        <x:v>PASS</x:v>
      </x:c>
      <x:c r="F7" s="12"/>
      <x:c r="G7" s="10" t="str">
        <x:f>IF(F7="","OPEN",IF(F7=E7,"PASS","FAIL"))</x:f>
        <x:v>OPEN</x:v>
      </x:c>
      <x:c r="H7" s="10" t="str">
        <x:v>class validity</x:v>
      </x:c>
    </x:row>
    <x:row r="8">
      <x:c r="A8" s="10" t="str">
        <x:v>AUD-C-003</x:v>
      </x:c>
      <x:c r="B8" s="10" t="str">
        <x:v>case execution</x:v>
      </x:c>
      <x:c r="C8" s="10" t="str">
        <x:v>RBJ-C003</x:v>
      </x:c>
      <x:c r="D8" s="10" t="str">
        <x:v>registered falsification case is executed and terminal</x:v>
      </x:c>
      <x:c r="E8" s="10" t="str">
        <x:v>PASS</x:v>
      </x:c>
      <x:c r="F8" s="12"/>
      <x:c r="G8" s="10" t="str">
        <x:f>IF(F8="","OPEN",IF(F8=E8,"PASS","FAIL"))</x:f>
        <x:v>OPEN</x:v>
      </x:c>
      <x:c r="H8" s="10" t="str">
        <x:v>class validity</x:v>
      </x:c>
    </x:row>
    <x:row r="9">
      <x:c r="A9" s="10" t="str">
        <x:v>AUD-C-004</x:v>
      </x:c>
      <x:c r="B9" s="10" t="str">
        <x:v>case execution</x:v>
      </x:c>
      <x:c r="C9" s="10" t="str">
        <x:v>RBJ-C004</x:v>
      </x:c>
      <x:c r="D9" s="10" t="str">
        <x:v>registered falsification case is executed and terminal</x:v>
      </x:c>
      <x:c r="E9" s="10" t="str">
        <x:v>PASS</x:v>
      </x:c>
      <x:c r="F9" s="12"/>
      <x:c r="G9" s="10" t="str">
        <x:f>IF(F9="","OPEN",IF(F9=E9,"PASS","FAIL"))</x:f>
        <x:v>OPEN</x:v>
      </x:c>
      <x:c r="H9" s="10" t="str">
        <x:v>class validity</x:v>
      </x:c>
    </x:row>
    <x:row r="10">
      <x:c r="A10" s="10" t="str">
        <x:v>AUD-C-005</x:v>
      </x:c>
      <x:c r="B10" s="10" t="str">
        <x:v>case execution</x:v>
      </x:c>
      <x:c r="C10" s="10" t="str">
        <x:v>RBJ-C005</x:v>
      </x:c>
      <x:c r="D10" s="10" t="str">
        <x:v>registered falsification case is executed and terminal</x:v>
      </x:c>
      <x:c r="E10" s="10" t="str">
        <x:v>PASS</x:v>
      </x:c>
      <x:c r="F10" s="12"/>
      <x:c r="G10" s="10" t="str">
        <x:f>IF(F10="","OPEN",IF(F10=E10,"PASS","FAIL"))</x:f>
        <x:v>OPEN</x:v>
      </x:c>
      <x:c r="H10" s="10" t="str">
        <x:v>class validity</x:v>
      </x:c>
    </x:row>
    <x:row r="11">
      <x:c r="A11" s="10" t="str">
        <x:v>AUD-C-006</x:v>
      </x:c>
      <x:c r="B11" s="10" t="str">
        <x:v>case execution</x:v>
      </x:c>
      <x:c r="C11" s="10" t="str">
        <x:v>RBJ-C006</x:v>
      </x:c>
      <x:c r="D11" s="10" t="str">
        <x:v>registered falsification case is executed and terminal</x:v>
      </x:c>
      <x:c r="E11" s="10" t="str">
        <x:v>PASS</x:v>
      </x:c>
      <x:c r="F11" s="12"/>
      <x:c r="G11" s="10" t="str">
        <x:f>IF(F11="","OPEN",IF(F11=E11,"PASS","FAIL"))</x:f>
        <x:v>OPEN</x:v>
      </x:c>
      <x:c r="H11" s="10" t="str">
        <x:v>class validity</x:v>
      </x:c>
    </x:row>
    <x:row r="12">
      <x:c r="A12" s="10" t="str">
        <x:v>AUD-C-007</x:v>
      </x:c>
      <x:c r="B12" s="10" t="str">
        <x:v>case execution</x:v>
      </x:c>
      <x:c r="C12" s="10" t="str">
        <x:v>RBJ-C007</x:v>
      </x:c>
      <x:c r="D12" s="10" t="str">
        <x:v>registered falsification case is executed and terminal</x:v>
      </x:c>
      <x:c r="E12" s="10" t="str">
        <x:v>PASS</x:v>
      </x:c>
      <x:c r="F12" s="12"/>
      <x:c r="G12" s="10" t="str">
        <x:f>IF(F12="","OPEN",IF(F12=E12,"PASS","FAIL"))</x:f>
        <x:v>OPEN</x:v>
      </x:c>
      <x:c r="H12" s="10" t="str">
        <x:v>class validity</x:v>
      </x:c>
    </x:row>
    <x:row r="13">
      <x:c r="A13" s="10" t="str">
        <x:v>AUD-C-008</x:v>
      </x:c>
      <x:c r="B13" s="10" t="str">
        <x:v>case execution</x:v>
      </x:c>
      <x:c r="C13" s="10" t="str">
        <x:v>RBJ-C008</x:v>
      </x:c>
      <x:c r="D13" s="10" t="str">
        <x:v>registered falsification case is executed and terminal</x:v>
      </x:c>
      <x:c r="E13" s="10" t="str">
        <x:v>PASS</x:v>
      </x:c>
      <x:c r="F13" s="12"/>
      <x:c r="G13" s="10" t="str">
        <x:f>IF(F13="","OPEN",IF(F13=E13,"PASS","FAIL"))</x:f>
        <x:v>OPEN</x:v>
      </x:c>
      <x:c r="H13" s="10" t="str">
        <x:v>class validity</x:v>
      </x:c>
    </x:row>
    <x:row r="14">
      <x:c r="A14" s="10" t="str">
        <x:v>AUD-C-009</x:v>
      </x:c>
      <x:c r="B14" s="10" t="str">
        <x:v>case execution</x:v>
      </x:c>
      <x:c r="C14" s="10" t="str">
        <x:v>RBJ-C009</x:v>
      </x:c>
      <x:c r="D14" s="10" t="str">
        <x:v>registered falsification case is executed and terminal</x:v>
      </x:c>
      <x:c r="E14" s="10" t="str">
        <x:v>PASS</x:v>
      </x:c>
      <x:c r="F14" s="12"/>
      <x:c r="G14" s="10" t="str">
        <x:f>IF(F14="","OPEN",IF(F14=E14,"PASS","FAIL"))</x:f>
        <x:v>OPEN</x:v>
      </x:c>
      <x:c r="H14" s="10" t="str">
        <x:v>class validity</x:v>
      </x:c>
    </x:row>
    <x:row r="15">
      <x:c r="A15" s="10" t="str">
        <x:v>AUD-C-010</x:v>
      </x:c>
      <x:c r="B15" s="10" t="str">
        <x:v>case execution</x:v>
      </x:c>
      <x:c r="C15" s="10" t="str">
        <x:v>RBJ-C010</x:v>
      </x:c>
      <x:c r="D15" s="10" t="str">
        <x:v>registered falsification case is executed and terminal</x:v>
      </x:c>
      <x:c r="E15" s="10" t="str">
        <x:v>PASS</x:v>
      </x:c>
      <x:c r="F15" s="12"/>
      <x:c r="G15" s="10" t="str">
        <x:f>IF(F15="","OPEN",IF(F15=E15,"PASS","FAIL"))</x:f>
        <x:v>OPEN</x:v>
      </x:c>
      <x:c r="H15" s="10" t="str">
        <x:v>class validity</x:v>
      </x:c>
    </x:row>
    <x:row r="16">
      <x:c r="A16" s="10" t="str">
        <x:v>AUD-C-011</x:v>
      </x:c>
      <x:c r="B16" s="10" t="str">
        <x:v>case execution</x:v>
      </x:c>
      <x:c r="C16" s="10" t="str">
        <x:v>RBJ-C011</x:v>
      </x:c>
      <x:c r="D16" s="10" t="str">
        <x:v>registered falsification case is executed and terminal</x:v>
      </x:c>
      <x:c r="E16" s="10" t="str">
        <x:v>PASS</x:v>
      </x:c>
      <x:c r="F16" s="12"/>
      <x:c r="G16" s="10" t="str">
        <x:f>IF(F16="","OPEN",IF(F16=E16,"PASS","FAIL"))</x:f>
        <x:v>OPEN</x:v>
      </x:c>
      <x:c r="H16" s="10" t="str">
        <x:v>class validity</x:v>
      </x:c>
    </x:row>
    <x:row r="17">
      <x:c r="A17" s="10" t="str">
        <x:v>AUD-C-012</x:v>
      </x:c>
      <x:c r="B17" s="10" t="str">
        <x:v>case execution</x:v>
      </x:c>
      <x:c r="C17" s="10" t="str">
        <x:v>RBJ-C012</x:v>
      </x:c>
      <x:c r="D17" s="10" t="str">
        <x:v>registered falsification case is executed and terminal</x:v>
      </x:c>
      <x:c r="E17" s="10" t="str">
        <x:v>PASS</x:v>
      </x:c>
      <x:c r="F17" s="12"/>
      <x:c r="G17" s="10" t="str">
        <x:f>IF(F17="","OPEN",IF(F17=E17,"PASS","FAIL"))</x:f>
        <x:v>OPEN</x:v>
      </x:c>
      <x:c r="H17" s="10" t="str">
        <x:v>class validity</x:v>
      </x:c>
    </x:row>
    <x:row r="18">
      <x:c r="A18" s="10" t="str">
        <x:v>AUD-C-013</x:v>
      </x:c>
      <x:c r="B18" s="10" t="str">
        <x:v>case execution</x:v>
      </x:c>
      <x:c r="C18" s="10" t="str">
        <x:v>RBJ-C013</x:v>
      </x:c>
      <x:c r="D18" s="10" t="str">
        <x:v>registered falsification case is executed and terminal</x:v>
      </x:c>
      <x:c r="E18" s="10" t="str">
        <x:v>PASS</x:v>
      </x:c>
      <x:c r="F18" s="12"/>
      <x:c r="G18" s="10" t="str">
        <x:f>IF(F18="","OPEN",IF(F18=E18,"PASS","FAIL"))</x:f>
        <x:v>OPEN</x:v>
      </x:c>
      <x:c r="H18" s="10" t="str">
        <x:v>class validity</x:v>
      </x:c>
    </x:row>
    <x:row r="19">
      <x:c r="A19" s="10" t="str">
        <x:v>AUD-C-014</x:v>
      </x:c>
      <x:c r="B19" s="10" t="str">
        <x:v>case execution</x:v>
      </x:c>
      <x:c r="C19" s="10" t="str">
        <x:v>RBJ-C014</x:v>
      </x:c>
      <x:c r="D19" s="10" t="str">
        <x:v>registered falsification case is executed and terminal</x:v>
      </x:c>
      <x:c r="E19" s="10" t="str">
        <x:v>PASS</x:v>
      </x:c>
      <x:c r="F19" s="12"/>
      <x:c r="G19" s="10" t="str">
        <x:f>IF(F19="","OPEN",IF(F19=E19,"PASS","FAIL"))</x:f>
        <x:v>OPEN</x:v>
      </x:c>
      <x:c r="H19" s="10" t="str">
        <x:v>class validity</x:v>
      </x:c>
    </x:row>
    <x:row r="20">
      <x:c r="A20" s="10" t="str">
        <x:v>AUD-C-015</x:v>
      </x:c>
      <x:c r="B20" s="10" t="str">
        <x:v>case execution</x:v>
      </x:c>
      <x:c r="C20" s="10" t="str">
        <x:v>RBJ-C015</x:v>
      </x:c>
      <x:c r="D20" s="10" t="str">
        <x:v>registered falsification case is executed and terminal</x:v>
      </x:c>
      <x:c r="E20" s="10" t="str">
        <x:v>PASS</x:v>
      </x:c>
      <x:c r="F20" s="12"/>
      <x:c r="G20" s="10" t="str">
        <x:f>IF(F20="","OPEN",IF(F20=E20,"PASS","FAIL"))</x:f>
        <x:v>OPEN</x:v>
      </x:c>
      <x:c r="H20" s="10" t="str">
        <x:v>class validity</x:v>
      </x:c>
    </x:row>
    <x:row r="21">
      <x:c r="A21" s="10" t="str">
        <x:v>AUD-C-016</x:v>
      </x:c>
      <x:c r="B21" s="10" t="str">
        <x:v>case execution</x:v>
      </x:c>
      <x:c r="C21" s="10" t="str">
        <x:v>RBJ-C016</x:v>
      </x:c>
      <x:c r="D21" s="10" t="str">
        <x:v>registered falsification case is executed and terminal</x:v>
      </x:c>
      <x:c r="E21" s="10" t="str">
        <x:v>PASS</x:v>
      </x:c>
      <x:c r="F21" s="12"/>
      <x:c r="G21" s="10" t="str">
        <x:f>IF(F21="","OPEN",IF(F21=E21,"PASS","FAIL"))</x:f>
        <x:v>OPEN</x:v>
      </x:c>
      <x:c r="H21" s="10" t="str">
        <x:v>class validity</x:v>
      </x:c>
    </x:row>
    <x:row r="22">
      <x:c r="A22" s="10" t="str">
        <x:v>AUD-C-017</x:v>
      </x:c>
      <x:c r="B22" s="10" t="str">
        <x:v>case execution</x:v>
      </x:c>
      <x:c r="C22" s="10" t="str">
        <x:v>RBJ-C017</x:v>
      </x:c>
      <x:c r="D22" s="10" t="str">
        <x:v>registered falsification case is executed and terminal</x:v>
      </x:c>
      <x:c r="E22" s="10" t="str">
        <x:v>PASS</x:v>
      </x:c>
      <x:c r="F22" s="12"/>
      <x:c r="G22" s="10" t="str">
        <x:f>IF(F22="","OPEN",IF(F22=E22,"PASS","FAIL"))</x:f>
        <x:v>OPEN</x:v>
      </x:c>
      <x:c r="H22" s="10" t="str">
        <x:v>class validity</x:v>
      </x:c>
    </x:row>
    <x:row r="23">
      <x:c r="A23" s="10" t="str">
        <x:v>AUD-C-018</x:v>
      </x:c>
      <x:c r="B23" s="10" t="str">
        <x:v>case execution</x:v>
      </x:c>
      <x:c r="C23" s="10" t="str">
        <x:v>RBJ-C018</x:v>
      </x:c>
      <x:c r="D23" s="10" t="str">
        <x:v>registered falsification case is executed and terminal</x:v>
      </x:c>
      <x:c r="E23" s="10" t="str">
        <x:v>PASS</x:v>
      </x:c>
      <x:c r="F23" s="12"/>
      <x:c r="G23" s="10" t="str">
        <x:f>IF(F23="","OPEN",IF(F23=E23,"PASS","FAIL"))</x:f>
        <x:v>OPEN</x:v>
      </x:c>
      <x:c r="H23" s="10" t="str">
        <x:v>class validity</x:v>
      </x:c>
    </x:row>
    <x:row r="24">
      <x:c r="A24" s="10" t="str">
        <x:v>AUD-C-019</x:v>
      </x:c>
      <x:c r="B24" s="10" t="str">
        <x:v>case execution</x:v>
      </x:c>
      <x:c r="C24" s="10" t="str">
        <x:v>RBJ-C019</x:v>
      </x:c>
      <x:c r="D24" s="10" t="str">
        <x:v>registered falsification case is executed and terminal</x:v>
      </x:c>
      <x:c r="E24" s="10" t="str">
        <x:v>PASS</x:v>
      </x:c>
      <x:c r="F24" s="12"/>
      <x:c r="G24" s="10" t="str">
        <x:f>IF(F24="","OPEN",IF(F24=E24,"PASS","FAIL"))</x:f>
        <x:v>OPEN</x:v>
      </x:c>
      <x:c r="H24" s="10" t="str">
        <x:v>class validity</x:v>
      </x:c>
    </x:row>
    <x:row r="25">
      <x:c r="A25" s="10" t="str">
        <x:v>AUD-C-020</x:v>
      </x:c>
      <x:c r="B25" s="10" t="str">
        <x:v>case execution</x:v>
      </x:c>
      <x:c r="C25" s="10" t="str">
        <x:v>RBJ-C020</x:v>
      </x:c>
      <x:c r="D25" s="10" t="str">
        <x:v>registered falsification case is executed and terminal</x:v>
      </x:c>
      <x:c r="E25" s="10" t="str">
        <x:v>PASS</x:v>
      </x:c>
      <x:c r="F25" s="12"/>
      <x:c r="G25" s="10" t="str">
        <x:f>IF(F25="","OPEN",IF(F25=E25,"PASS","FAIL"))</x:f>
        <x:v>OPEN</x:v>
      </x:c>
      <x:c r="H25" s="10" t="str">
        <x:v>class validity</x:v>
      </x:c>
    </x:row>
    <x:row r="26">
      <x:c r="A26" s="10" t="str">
        <x:v>AUD-C-021</x:v>
      </x:c>
      <x:c r="B26" s="10" t="str">
        <x:v>case execution</x:v>
      </x:c>
      <x:c r="C26" s="10" t="str">
        <x:v>RBJ-C021</x:v>
      </x:c>
      <x:c r="D26" s="10" t="str">
        <x:v>registered falsification case is executed and terminal</x:v>
      </x:c>
      <x:c r="E26" s="10" t="str">
        <x:v>PASS</x:v>
      </x:c>
      <x:c r="F26" s="12"/>
      <x:c r="G26" s="10" t="str">
        <x:f>IF(F26="","OPEN",IF(F26=E26,"PASS","FAIL"))</x:f>
        <x:v>OPEN</x:v>
      </x:c>
      <x:c r="H26" s="10" t="str">
        <x:v>class validity</x:v>
      </x:c>
    </x:row>
    <x:row r="27">
      <x:c r="A27" s="10" t="str">
        <x:v>AUD-C-022</x:v>
      </x:c>
      <x:c r="B27" s="10" t="str">
        <x:v>case execution</x:v>
      </x:c>
      <x:c r="C27" s="10" t="str">
        <x:v>RBJ-C022</x:v>
      </x:c>
      <x:c r="D27" s="10" t="str">
        <x:v>registered falsification case is executed and terminal</x:v>
      </x:c>
      <x:c r="E27" s="10" t="str">
        <x:v>PASS</x:v>
      </x:c>
      <x:c r="F27" s="12"/>
      <x:c r="G27" s="10" t="str">
        <x:f>IF(F27="","OPEN",IF(F27=E27,"PASS","FAIL"))</x:f>
        <x:v>OPEN</x:v>
      </x:c>
      <x:c r="H27" s="10" t="str">
        <x:v>class validity</x:v>
      </x:c>
    </x:row>
    <x:row r="28">
      <x:c r="A28" s="10" t="str">
        <x:v>AUD-C-023</x:v>
      </x:c>
      <x:c r="B28" s="10" t="str">
        <x:v>case execution</x:v>
      </x:c>
      <x:c r="C28" s="10" t="str">
        <x:v>RBJ-C023</x:v>
      </x:c>
      <x:c r="D28" s="10" t="str">
        <x:v>registered falsification case is executed and terminal</x:v>
      </x:c>
      <x:c r="E28" s="10" t="str">
        <x:v>PASS</x:v>
      </x:c>
      <x:c r="F28" s="12"/>
      <x:c r="G28" s="10" t="str">
        <x:f>IF(F28="","OPEN",IF(F28=E28,"PASS","FAIL"))</x:f>
        <x:v>OPEN</x:v>
      </x:c>
      <x:c r="H28" s="10" t="str">
        <x:v>class validity</x:v>
      </x:c>
    </x:row>
    <x:row r="29">
      <x:c r="A29" s="10" t="str">
        <x:v>AUD-C-024</x:v>
      </x:c>
      <x:c r="B29" s="10" t="str">
        <x:v>case execution</x:v>
      </x:c>
      <x:c r="C29" s="10" t="str">
        <x:v>RBJ-C024</x:v>
      </x:c>
      <x:c r="D29" s="10" t="str">
        <x:v>registered falsification case is executed and terminal</x:v>
      </x:c>
      <x:c r="E29" s="10" t="str">
        <x:v>PASS</x:v>
      </x:c>
      <x:c r="F29" s="12"/>
      <x:c r="G29" s="10" t="str">
        <x:f>IF(F29="","OPEN",IF(F29=E29,"PASS","FAIL"))</x:f>
        <x:v>OPEN</x:v>
      </x:c>
      <x:c r="H29" s="10" t="str">
        <x:v>class validity</x:v>
      </x:c>
    </x:row>
    <x:row r="30">
      <x:c r="A30" s="10" t="str">
        <x:v>AUD-C-025</x:v>
      </x:c>
      <x:c r="B30" s="10" t="str">
        <x:v>case execution</x:v>
      </x:c>
      <x:c r="C30" s="10" t="str">
        <x:v>RBJ-C025</x:v>
      </x:c>
      <x:c r="D30" s="10" t="str">
        <x:v>registered falsification case is executed and terminal</x:v>
      </x:c>
      <x:c r="E30" s="10" t="str">
        <x:v>PASS</x:v>
      </x:c>
      <x:c r="F30" s="12"/>
      <x:c r="G30" s="10" t="str">
        <x:f>IF(F30="","OPEN",IF(F30=E30,"PASS","FAIL"))</x:f>
        <x:v>OPEN</x:v>
      </x:c>
      <x:c r="H30" s="10" t="str">
        <x:v>class validity</x:v>
      </x:c>
    </x:row>
    <x:row r="31">
      <x:c r="A31" s="10" t="str">
        <x:v>AUD-C-026</x:v>
      </x:c>
      <x:c r="B31" s="10" t="str">
        <x:v>case execution</x:v>
      </x:c>
      <x:c r="C31" s="10" t="str">
        <x:v>RBJ-C026</x:v>
      </x:c>
      <x:c r="D31" s="10" t="str">
        <x:v>registered falsification case is executed and terminal</x:v>
      </x:c>
      <x:c r="E31" s="10" t="str">
        <x:v>PASS</x:v>
      </x:c>
      <x:c r="F31" s="12"/>
      <x:c r="G31" s="10" t="str">
        <x:f>IF(F31="","OPEN",IF(F31=E31,"PASS","FAIL"))</x:f>
        <x:v>OPEN</x:v>
      </x:c>
      <x:c r="H31" s="10" t="str">
        <x:v>class validity</x:v>
      </x:c>
    </x:row>
    <x:row r="32">
      <x:c r="A32" s="10" t="str">
        <x:v>AUD-C-027</x:v>
      </x:c>
      <x:c r="B32" s="10" t="str">
        <x:v>case execution</x:v>
      </x:c>
      <x:c r="C32" s="10" t="str">
        <x:v>RBJ-C027</x:v>
      </x:c>
      <x:c r="D32" s="10" t="str">
        <x:v>registered falsification case is executed and terminal</x:v>
      </x:c>
      <x:c r="E32" s="10" t="str">
        <x:v>PASS</x:v>
      </x:c>
      <x:c r="F32" s="12"/>
      <x:c r="G32" s="10" t="str">
        <x:f>IF(F32="","OPEN",IF(F32=E32,"PASS","FAIL"))</x:f>
        <x:v>OPEN</x:v>
      </x:c>
      <x:c r="H32" s="10" t="str">
        <x:v>class validity</x:v>
      </x:c>
    </x:row>
    <x:row r="33">
      <x:c r="A33" s="10" t="str">
        <x:v>AUD-C-028</x:v>
      </x:c>
      <x:c r="B33" s="10" t="str">
        <x:v>case execution</x:v>
      </x:c>
      <x:c r="C33" s="10" t="str">
        <x:v>RBJ-C028</x:v>
      </x:c>
      <x:c r="D33" s="10" t="str">
        <x:v>registered falsification case is executed and terminal</x:v>
      </x:c>
      <x:c r="E33" s="10" t="str">
        <x:v>PASS</x:v>
      </x:c>
      <x:c r="F33" s="12"/>
      <x:c r="G33" s="10" t="str">
        <x:f>IF(F33="","OPEN",IF(F33=E33,"PASS","FAIL"))</x:f>
        <x:v>OPEN</x:v>
      </x:c>
      <x:c r="H33" s="10" t="str">
        <x:v>class validity</x:v>
      </x:c>
    </x:row>
    <x:row r="34">
      <x:c r="A34" s="10" t="str">
        <x:v>AUD-C-029</x:v>
      </x:c>
      <x:c r="B34" s="10" t="str">
        <x:v>case execution</x:v>
      </x:c>
      <x:c r="C34" s="10" t="str">
        <x:v>RBJ-C029</x:v>
      </x:c>
      <x:c r="D34" s="10" t="str">
        <x:v>registered falsification case is executed and terminal</x:v>
      </x:c>
      <x:c r="E34" s="10" t="str">
        <x:v>PASS</x:v>
      </x:c>
      <x:c r="F34" s="12"/>
      <x:c r="G34" s="10" t="str">
        <x:f>IF(F34="","OPEN",IF(F34=E34,"PASS","FAIL"))</x:f>
        <x:v>OPEN</x:v>
      </x:c>
      <x:c r="H34" s="10" t="str">
        <x:v>class validity</x:v>
      </x:c>
    </x:row>
    <x:row r="35">
      <x:c r="A35" s="10" t="str">
        <x:v>AUD-C-030</x:v>
      </x:c>
      <x:c r="B35" s="10" t="str">
        <x:v>case execution</x:v>
      </x:c>
      <x:c r="C35" s="10" t="str">
        <x:v>RBJ-C030</x:v>
      </x:c>
      <x:c r="D35" s="10" t="str">
        <x:v>registered falsification case is executed and terminal</x:v>
      </x:c>
      <x:c r="E35" s="10" t="str">
        <x:v>PASS</x:v>
      </x:c>
      <x:c r="F35" s="12"/>
      <x:c r="G35" s="10" t="str">
        <x:f>IF(F35="","OPEN",IF(F35=E35,"PASS","FAIL"))</x:f>
        <x:v>OPEN</x:v>
      </x:c>
      <x:c r="H35" s="10" t="str">
        <x:v>class validity</x:v>
      </x:c>
    </x:row>
    <x:row r="36">
      <x:c r="A36" s="10" t="str">
        <x:v>AUD-C-031</x:v>
      </x:c>
      <x:c r="B36" s="10" t="str">
        <x:v>case execution</x:v>
      </x:c>
      <x:c r="C36" s="10" t="str">
        <x:v>RBJ-C031</x:v>
      </x:c>
      <x:c r="D36" s="10" t="str">
        <x:v>registered falsification case is executed and terminal</x:v>
      </x:c>
      <x:c r="E36" s="10" t="str">
        <x:v>PASS</x:v>
      </x:c>
      <x:c r="F36" s="12"/>
      <x:c r="G36" s="10" t="str">
        <x:f>IF(F36="","OPEN",IF(F36=E36,"PASS","FAIL"))</x:f>
        <x:v>OPEN</x:v>
      </x:c>
      <x:c r="H36" s="10" t="str">
        <x:v>class validity</x:v>
      </x:c>
    </x:row>
    <x:row r="37">
      <x:c r="A37" s="10" t="str">
        <x:v>AUD-C-032</x:v>
      </x:c>
      <x:c r="B37" s="10" t="str">
        <x:v>case execution</x:v>
      </x:c>
      <x:c r="C37" s="10" t="str">
        <x:v>RBJ-C032</x:v>
      </x:c>
      <x:c r="D37" s="10" t="str">
        <x:v>registered falsification case is executed and terminal</x:v>
      </x:c>
      <x:c r="E37" s="10" t="str">
        <x:v>PASS</x:v>
      </x:c>
      <x:c r="F37" s="12"/>
      <x:c r="G37" s="10" t="str">
        <x:f>IF(F37="","OPEN",IF(F37=E37,"PASS","FAIL"))</x:f>
        <x:v>OPEN</x:v>
      </x:c>
      <x:c r="H37" s="10" t="str">
        <x:v>class validity</x:v>
      </x:c>
    </x:row>
    <x:row r="38">
      <x:c r="A38" s="10" t="str">
        <x:v>AUD-C-033</x:v>
      </x:c>
      <x:c r="B38" s="10" t="str">
        <x:v>case execution</x:v>
      </x:c>
      <x:c r="C38" s="10" t="str">
        <x:v>RBJ-C033</x:v>
      </x:c>
      <x:c r="D38" s="10" t="str">
        <x:v>registered falsification case is executed and terminal</x:v>
      </x:c>
      <x:c r="E38" s="10" t="str">
        <x:v>PASS</x:v>
      </x:c>
      <x:c r="F38" s="12"/>
      <x:c r="G38" s="10" t="str">
        <x:f>IF(F38="","OPEN",IF(F38=E38,"PASS","FAIL"))</x:f>
        <x:v>OPEN</x:v>
      </x:c>
      <x:c r="H38" s="10" t="str">
        <x:v>class validity</x:v>
      </x:c>
    </x:row>
    <x:row r="39">
      <x:c r="A39" s="10" t="str">
        <x:v>AUD-C-034</x:v>
      </x:c>
      <x:c r="B39" s="10" t="str">
        <x:v>case execution</x:v>
      </x:c>
      <x:c r="C39" s="10" t="str">
        <x:v>RBJ-C034</x:v>
      </x:c>
      <x:c r="D39" s="10" t="str">
        <x:v>registered falsification case is executed and terminal</x:v>
      </x:c>
      <x:c r="E39" s="10" t="str">
        <x:v>PASS</x:v>
      </x:c>
      <x:c r="F39" s="12"/>
      <x:c r="G39" s="10" t="str">
        <x:f>IF(F39="","OPEN",IF(F39=E39,"PASS","FAIL"))</x:f>
        <x:v>OPEN</x:v>
      </x:c>
      <x:c r="H39" s="10" t="str">
        <x:v>class validity</x:v>
      </x:c>
    </x:row>
    <x:row r="40">
      <x:c r="A40" s="10" t="str">
        <x:v>AUD-C-035</x:v>
      </x:c>
      <x:c r="B40" s="10" t="str">
        <x:v>case execution</x:v>
      </x:c>
      <x:c r="C40" s="10" t="str">
        <x:v>RBJ-C035</x:v>
      </x:c>
      <x:c r="D40" s="10" t="str">
        <x:v>registered falsification case is executed and terminal</x:v>
      </x:c>
      <x:c r="E40" s="10" t="str">
        <x:v>PASS</x:v>
      </x:c>
      <x:c r="F40" s="12"/>
      <x:c r="G40" s="10" t="str">
        <x:f>IF(F40="","OPEN",IF(F40=E40,"PASS","FAIL"))</x:f>
        <x:v>OPEN</x:v>
      </x:c>
      <x:c r="H40" s="10" t="str">
        <x:v>class validity</x:v>
      </x:c>
    </x:row>
    <x:row r="41">
      <x:c r="A41" s="10" t="str">
        <x:v>AUD-C-036</x:v>
      </x:c>
      <x:c r="B41" s="10" t="str">
        <x:v>case execution</x:v>
      </x:c>
      <x:c r="C41" s="10" t="str">
        <x:v>RBJ-C036</x:v>
      </x:c>
      <x:c r="D41" s="10" t="str">
        <x:v>registered falsification case is executed and terminal</x:v>
      </x:c>
      <x:c r="E41" s="10" t="str">
        <x:v>PASS</x:v>
      </x:c>
      <x:c r="F41" s="12"/>
      <x:c r="G41" s="10" t="str">
        <x:f>IF(F41="","OPEN",IF(F41=E41,"PASS","FAIL"))</x:f>
        <x:v>OPEN</x:v>
      </x:c>
      <x:c r="H41" s="10" t="str">
        <x:v>class validity</x:v>
      </x:c>
    </x:row>
    <x:row r="42">
      <x:c r="A42" s="10" t="str">
        <x:v>AUD-C-037</x:v>
      </x:c>
      <x:c r="B42" s="10" t="str">
        <x:v>case execution</x:v>
      </x:c>
      <x:c r="C42" s="10" t="str">
        <x:v>RBJ-C037</x:v>
      </x:c>
      <x:c r="D42" s="10" t="str">
        <x:v>registered falsification case is executed and terminal</x:v>
      </x:c>
      <x:c r="E42" s="10" t="str">
        <x:v>PASS</x:v>
      </x:c>
      <x:c r="F42" s="12"/>
      <x:c r="G42" s="10" t="str">
        <x:f>IF(F42="","OPEN",IF(F42=E42,"PASS","FAIL"))</x:f>
        <x:v>OPEN</x:v>
      </x:c>
      <x:c r="H42" s="10" t="str">
        <x:v>class validity</x:v>
      </x:c>
    </x:row>
    <x:row r="43">
      <x:c r="A43" s="10" t="str">
        <x:v>AUD-C-038</x:v>
      </x:c>
      <x:c r="B43" s="10" t="str">
        <x:v>case execution</x:v>
      </x:c>
      <x:c r="C43" s="10" t="str">
        <x:v>RBJ-C038</x:v>
      </x:c>
      <x:c r="D43" s="10" t="str">
        <x:v>registered falsification case is executed and terminal</x:v>
      </x:c>
      <x:c r="E43" s="10" t="str">
        <x:v>PASS</x:v>
      </x:c>
      <x:c r="F43" s="12"/>
      <x:c r="G43" s="10" t="str">
        <x:f>IF(F43="","OPEN",IF(F43=E43,"PASS","FAIL"))</x:f>
        <x:v>OPEN</x:v>
      </x:c>
      <x:c r="H43" s="10" t="str">
        <x:v>class validity</x:v>
      </x:c>
    </x:row>
    <x:row r="44">
      <x:c r="A44" s="10" t="str">
        <x:v>AUD-C-039</x:v>
      </x:c>
      <x:c r="B44" s="10" t="str">
        <x:v>case execution</x:v>
      </x:c>
      <x:c r="C44" s="10" t="str">
        <x:v>RBJ-C039</x:v>
      </x:c>
      <x:c r="D44" s="10" t="str">
        <x:v>registered falsification case is executed and terminal</x:v>
      </x:c>
      <x:c r="E44" s="10" t="str">
        <x:v>PASS</x:v>
      </x:c>
      <x:c r="F44" s="12"/>
      <x:c r="G44" s="10" t="str">
        <x:f>IF(F44="","OPEN",IF(F44=E44,"PASS","FAIL"))</x:f>
        <x:v>OPEN</x:v>
      </x:c>
      <x:c r="H44" s="10" t="str">
        <x:v>class validity</x:v>
      </x:c>
    </x:row>
    <x:row r="45">
      <x:c r="A45" s="10" t="str">
        <x:v>AUD-C-040</x:v>
      </x:c>
      <x:c r="B45" s="10" t="str">
        <x:v>case execution</x:v>
      </x:c>
      <x:c r="C45" s="10" t="str">
        <x:v>RBJ-C040</x:v>
      </x:c>
      <x:c r="D45" s="10" t="str">
        <x:v>registered falsification case is executed and terminal</x:v>
      </x:c>
      <x:c r="E45" s="10" t="str">
        <x:v>PASS</x:v>
      </x:c>
      <x:c r="F45" s="12"/>
      <x:c r="G45" s="10" t="str">
        <x:f>IF(F45="","OPEN",IF(F45=E45,"PASS","FAIL"))</x:f>
        <x:v>OPEN</x:v>
      </x:c>
      <x:c r="H45" s="10" t="str">
        <x:v>class validity</x:v>
      </x:c>
    </x:row>
    <x:row r="46">
      <x:c r="A46" s="10" t="str">
        <x:v>AUD-C-041</x:v>
      </x:c>
      <x:c r="B46" s="10" t="str">
        <x:v>case execution</x:v>
      </x:c>
      <x:c r="C46" s="10" t="str">
        <x:v>RBJ-C041</x:v>
      </x:c>
      <x:c r="D46" s="10" t="str">
        <x:v>registered falsification case is executed and terminal</x:v>
      </x:c>
      <x:c r="E46" s="10" t="str">
        <x:v>PASS</x:v>
      </x:c>
      <x:c r="F46" s="12"/>
      <x:c r="G46" s="10" t="str">
        <x:f>IF(F46="","OPEN",IF(F46=E46,"PASS","FAIL"))</x:f>
        <x:v>OPEN</x:v>
      </x:c>
      <x:c r="H46" s="10" t="str">
        <x:v>class validity</x:v>
      </x:c>
    </x:row>
    <x:row r="47">
      <x:c r="A47" s="10" t="str">
        <x:v>AUD-C-042</x:v>
      </x:c>
      <x:c r="B47" s="10" t="str">
        <x:v>case execution</x:v>
      </x:c>
      <x:c r="C47" s="10" t="str">
        <x:v>RBJ-C042</x:v>
      </x:c>
      <x:c r="D47" s="10" t="str">
        <x:v>registered falsification case is executed and terminal</x:v>
      </x:c>
      <x:c r="E47" s="10" t="str">
        <x:v>PASS</x:v>
      </x:c>
      <x:c r="F47" s="12"/>
      <x:c r="G47" s="10" t="str">
        <x:f>IF(F47="","OPEN",IF(F47=E47,"PASS","FAIL"))</x:f>
        <x:v>OPEN</x:v>
      </x:c>
      <x:c r="H47" s="10" t="str">
        <x:v>class validity</x:v>
      </x:c>
    </x:row>
    <x:row r="48">
      <x:c r="A48" s="10" t="str">
        <x:v>AUD-C-043</x:v>
      </x:c>
      <x:c r="B48" s="10" t="str">
        <x:v>case execution</x:v>
      </x:c>
      <x:c r="C48" s="10" t="str">
        <x:v>RBJ-C043</x:v>
      </x:c>
      <x:c r="D48" s="10" t="str">
        <x:v>registered falsification case is executed and terminal</x:v>
      </x:c>
      <x:c r="E48" s="10" t="str">
        <x:v>PASS</x:v>
      </x:c>
      <x:c r="F48" s="12"/>
      <x:c r="G48" s="10" t="str">
        <x:f>IF(F48="","OPEN",IF(F48=E48,"PASS","FAIL"))</x:f>
        <x:v>OPEN</x:v>
      </x:c>
      <x:c r="H48" s="10" t="str">
        <x:v>class validity</x:v>
      </x:c>
    </x:row>
    <x:row r="49">
      <x:c r="A49" s="10" t="str">
        <x:v>AUD-C-044</x:v>
      </x:c>
      <x:c r="B49" s="10" t="str">
        <x:v>case execution</x:v>
      </x:c>
      <x:c r="C49" s="10" t="str">
        <x:v>RBJ-C044</x:v>
      </x:c>
      <x:c r="D49" s="10" t="str">
        <x:v>registered falsification case is executed and terminal</x:v>
      </x:c>
      <x:c r="E49" s="10" t="str">
        <x:v>PASS</x:v>
      </x:c>
      <x:c r="F49" s="12"/>
      <x:c r="G49" s="10" t="str">
        <x:f>IF(F49="","OPEN",IF(F49=E49,"PASS","FAIL"))</x:f>
        <x:v>OPEN</x:v>
      </x:c>
      <x:c r="H49" s="10" t="str">
        <x:v>class validity</x:v>
      </x:c>
    </x:row>
    <x:row r="50">
      <x:c r="A50" s="10" t="str">
        <x:v>AUD-C-045</x:v>
      </x:c>
      <x:c r="B50" s="10" t="str">
        <x:v>case execution</x:v>
      </x:c>
      <x:c r="C50" s="10" t="str">
        <x:v>RBJ-C045</x:v>
      </x:c>
      <x:c r="D50" s="10" t="str">
        <x:v>registered falsification case is executed and terminal</x:v>
      </x:c>
      <x:c r="E50" s="10" t="str">
        <x:v>PASS</x:v>
      </x:c>
      <x:c r="F50" s="12"/>
      <x:c r="G50" s="10" t="str">
        <x:f>IF(F50="","OPEN",IF(F50=E50,"PASS","FAIL"))</x:f>
        <x:v>OPEN</x:v>
      </x:c>
      <x:c r="H50" s="10" t="str">
        <x:v>class validity</x:v>
      </x:c>
    </x:row>
    <x:row r="51">
      <x:c r="A51" s="10" t="str">
        <x:v>AUD-C-046</x:v>
      </x:c>
      <x:c r="B51" s="10" t="str">
        <x:v>case execution</x:v>
      </x:c>
      <x:c r="C51" s="10" t="str">
        <x:v>RBJ-C046</x:v>
      </x:c>
      <x:c r="D51" s="10" t="str">
        <x:v>registered falsification case is executed and terminal</x:v>
      </x:c>
      <x:c r="E51" s="10" t="str">
        <x:v>PASS</x:v>
      </x:c>
      <x:c r="F51" s="12"/>
      <x:c r="G51" s="10" t="str">
        <x:f>IF(F51="","OPEN",IF(F51=E51,"PASS","FAIL"))</x:f>
        <x:v>OPEN</x:v>
      </x:c>
      <x:c r="H51" s="10" t="str">
        <x:v>class validity</x:v>
      </x:c>
    </x:row>
    <x:row r="52">
      <x:c r="A52" s="10" t="str">
        <x:v>AUD-C-047</x:v>
      </x:c>
      <x:c r="B52" s="10" t="str">
        <x:v>case execution</x:v>
      </x:c>
      <x:c r="C52" s="10" t="str">
        <x:v>RBJ-C047</x:v>
      </x:c>
      <x:c r="D52" s="10" t="str">
        <x:v>registered falsification case is executed and terminal</x:v>
      </x:c>
      <x:c r="E52" s="10" t="str">
        <x:v>PASS</x:v>
      </x:c>
      <x:c r="F52" s="12"/>
      <x:c r="G52" s="10" t="str">
        <x:f>IF(F52="","OPEN",IF(F52=E52,"PASS","FAIL"))</x:f>
        <x:v>OPEN</x:v>
      </x:c>
      <x:c r="H52" s="10" t="str">
        <x:v>class validity</x:v>
      </x:c>
    </x:row>
    <x:row r="53">
      <x:c r="A53" s="10" t="str">
        <x:v>AUD-C-048</x:v>
      </x:c>
      <x:c r="B53" s="10" t="str">
        <x:v>case execution</x:v>
      </x:c>
      <x:c r="C53" s="10" t="str">
        <x:v>RBJ-C048</x:v>
      </x:c>
      <x:c r="D53" s="10" t="str">
        <x:v>registered falsification case is executed and terminal</x:v>
      </x:c>
      <x:c r="E53" s="10" t="str">
        <x:v>PASS</x:v>
      </x:c>
      <x:c r="F53" s="12"/>
      <x:c r="G53" s="10" t="str">
        <x:f>IF(F53="","OPEN",IF(F53=E53,"PASS","FAIL"))</x:f>
        <x:v>OPEN</x:v>
      </x:c>
      <x:c r="H53" s="10" t="str">
        <x:v>class validity</x:v>
      </x:c>
    </x:row>
    <x:row r="54">
      <x:c r="A54" s="10" t="str">
        <x:v>AUD-C-049</x:v>
      </x:c>
      <x:c r="B54" s="10" t="str">
        <x:v>case execution</x:v>
      </x:c>
      <x:c r="C54" s="10" t="str">
        <x:v>RBJ-C049</x:v>
      </x:c>
      <x:c r="D54" s="10" t="str">
        <x:v>registered falsification case is executed and terminal</x:v>
      </x:c>
      <x:c r="E54" s="10" t="str">
        <x:v>PASS</x:v>
      </x:c>
      <x:c r="F54" s="12"/>
      <x:c r="G54" s="10" t="str">
        <x:f>IF(F54="","OPEN",IF(F54=E54,"PASS","FAIL"))</x:f>
        <x:v>OPEN</x:v>
      </x:c>
      <x:c r="H54" s="10" t="str">
        <x:v>class validity</x:v>
      </x:c>
    </x:row>
    <x:row r="55">
      <x:c r="A55" s="10" t="str">
        <x:v>AUD-C-050</x:v>
      </x:c>
      <x:c r="B55" s="10" t="str">
        <x:v>case execution</x:v>
      </x:c>
      <x:c r="C55" s="10" t="str">
        <x:v>RBJ-C050</x:v>
      </x:c>
      <x:c r="D55" s="10" t="str">
        <x:v>registered falsification case is executed and terminal</x:v>
      </x:c>
      <x:c r="E55" s="10" t="str">
        <x:v>PASS</x:v>
      </x:c>
      <x:c r="F55" s="12"/>
      <x:c r="G55" s="10" t="str">
        <x:f>IF(F55="","OPEN",IF(F55=E55,"PASS","FAIL"))</x:f>
        <x:v>OPEN</x:v>
      </x:c>
      <x:c r="H55" s="10" t="str">
        <x:v>class validity</x:v>
      </x:c>
    </x:row>
    <x:row r="56">
      <x:c r="A56" s="10" t="str">
        <x:v>AUD-C-051</x:v>
      </x:c>
      <x:c r="B56" s="10" t="str">
        <x:v>case execution</x:v>
      </x:c>
      <x:c r="C56" s="10" t="str">
        <x:v>RBJ-C051</x:v>
      </x:c>
      <x:c r="D56" s="10" t="str">
        <x:v>registered falsification case is executed and terminal</x:v>
      </x:c>
      <x:c r="E56" s="10" t="str">
        <x:v>PASS</x:v>
      </x:c>
      <x:c r="F56" s="12"/>
      <x:c r="G56" s="10" t="str">
        <x:f>IF(F56="","OPEN",IF(F56=E56,"PASS","FAIL"))</x:f>
        <x:v>OPEN</x:v>
      </x:c>
      <x:c r="H56" s="10" t="str">
        <x:v>class validity</x:v>
      </x:c>
    </x:row>
    <x:row r="57">
      <x:c r="A57" s="10" t="str">
        <x:v>AUD-C-052</x:v>
      </x:c>
      <x:c r="B57" s="10" t="str">
        <x:v>case execution</x:v>
      </x:c>
      <x:c r="C57" s="10" t="str">
        <x:v>RBJ-C052</x:v>
      </x:c>
      <x:c r="D57" s="10" t="str">
        <x:v>registered falsification case is executed and terminal</x:v>
      </x:c>
      <x:c r="E57" s="10" t="str">
        <x:v>PASS</x:v>
      </x:c>
      <x:c r="F57" s="12"/>
      <x:c r="G57" s="10" t="str">
        <x:f>IF(F57="","OPEN",IF(F57=E57,"PASS","FAIL"))</x:f>
        <x:v>OPEN</x:v>
      </x:c>
      <x:c r="H57" s="10" t="str">
        <x:v>class validity</x:v>
      </x:c>
    </x:row>
    <x:row r="58">
      <x:c r="A58" s="10" t="str">
        <x:v>AUD-C-053</x:v>
      </x:c>
      <x:c r="B58" s="10" t="str">
        <x:v>case execution</x:v>
      </x:c>
      <x:c r="C58" s="10" t="str">
        <x:v>RBJ-C053</x:v>
      </x:c>
      <x:c r="D58" s="10" t="str">
        <x:v>registered falsification case is executed and terminal</x:v>
      </x:c>
      <x:c r="E58" s="10" t="str">
        <x:v>PASS</x:v>
      </x:c>
      <x:c r="F58" s="12"/>
      <x:c r="G58" s="10" t="str">
        <x:f>IF(F58="","OPEN",IF(F58=E58,"PASS","FAIL"))</x:f>
        <x:v>OPEN</x:v>
      </x:c>
      <x:c r="H58" s="10" t="str">
        <x:v>class validity</x:v>
      </x:c>
    </x:row>
    <x:row r="59">
      <x:c r="A59" s="10" t="str">
        <x:v>AUD-C-054</x:v>
      </x:c>
      <x:c r="B59" s="10" t="str">
        <x:v>case execution</x:v>
      </x:c>
      <x:c r="C59" s="10" t="str">
        <x:v>RBJ-C054</x:v>
      </x:c>
      <x:c r="D59" s="10" t="str">
        <x:v>registered falsification case is executed and terminal</x:v>
      </x:c>
      <x:c r="E59" s="10" t="str">
        <x:v>PASS</x:v>
      </x:c>
      <x:c r="F59" s="12"/>
      <x:c r="G59" s="10" t="str">
        <x:f>IF(F59="","OPEN",IF(F59=E59,"PASS","FAIL"))</x:f>
        <x:v>OPEN</x:v>
      </x:c>
      <x:c r="H59" s="10" t="str">
        <x:v>class validity</x:v>
      </x:c>
    </x:row>
    <x:row r="60">
      <x:c r="A60" s="10" t="str">
        <x:v>AUD-C-055</x:v>
      </x:c>
      <x:c r="B60" s="10" t="str">
        <x:v>case execution</x:v>
      </x:c>
      <x:c r="C60" s="10" t="str">
        <x:v>RBJ-C055</x:v>
      </x:c>
      <x:c r="D60" s="10" t="str">
        <x:v>registered falsification case is executed and terminal</x:v>
      </x:c>
      <x:c r="E60" s="10" t="str">
        <x:v>PASS</x:v>
      </x:c>
      <x:c r="F60" s="12"/>
      <x:c r="G60" s="10" t="str">
        <x:f>IF(F60="","OPEN",IF(F60=E60,"PASS","FAIL"))</x:f>
        <x:v>OPEN</x:v>
      </x:c>
      <x:c r="H60" s="10" t="str">
        <x:v>class validity</x:v>
      </x:c>
    </x:row>
    <x:row r="61">
      <x:c r="A61" s="10" t="str">
        <x:v>AUD-C-056</x:v>
      </x:c>
      <x:c r="B61" s="10" t="str">
        <x:v>case execution</x:v>
      </x:c>
      <x:c r="C61" s="10" t="str">
        <x:v>RBJ-C056</x:v>
      </x:c>
      <x:c r="D61" s="10" t="str">
        <x:v>registered falsification case is executed and terminal</x:v>
      </x:c>
      <x:c r="E61" s="10" t="str">
        <x:v>PASS</x:v>
      </x:c>
      <x:c r="F61" s="12"/>
      <x:c r="G61" s="10" t="str">
        <x:f>IF(F61="","OPEN",IF(F61=E61,"PASS","FAIL"))</x:f>
        <x:v>OPEN</x:v>
      </x:c>
      <x:c r="H61" s="10" t="str">
        <x:v>class validity</x:v>
      </x:c>
    </x:row>
    <x:row r="62">
      <x:c r="A62" s="10" t="str">
        <x:v>AUD-C-057</x:v>
      </x:c>
      <x:c r="B62" s="10" t="str">
        <x:v>case execution</x:v>
      </x:c>
      <x:c r="C62" s="10" t="str">
        <x:v>RBJ-C057</x:v>
      </x:c>
      <x:c r="D62" s="10" t="str">
        <x:v>registered falsification case is executed and terminal</x:v>
      </x:c>
      <x:c r="E62" s="10" t="str">
        <x:v>PASS</x:v>
      </x:c>
      <x:c r="F62" s="12"/>
      <x:c r="G62" s="10" t="str">
        <x:f>IF(F62="","OPEN",IF(F62=E62,"PASS","FAIL"))</x:f>
        <x:v>OPEN</x:v>
      </x:c>
      <x:c r="H62" s="10" t="str">
        <x:v>class validity</x:v>
      </x:c>
    </x:row>
    <x:row r="63">
      <x:c r="A63" s="10" t="str">
        <x:v>AUD-C-058</x:v>
      </x:c>
      <x:c r="B63" s="10" t="str">
        <x:v>case execution</x:v>
      </x:c>
      <x:c r="C63" s="10" t="str">
        <x:v>RBJ-C058</x:v>
      </x:c>
      <x:c r="D63" s="10" t="str">
        <x:v>registered falsification case is executed and terminal</x:v>
      </x:c>
      <x:c r="E63" s="10" t="str">
        <x:v>PASS</x:v>
      </x:c>
      <x:c r="F63" s="12"/>
      <x:c r="G63" s="10" t="str">
        <x:f>IF(F63="","OPEN",IF(F63=E63,"PASS","FAIL"))</x:f>
        <x:v>OPEN</x:v>
      </x:c>
      <x:c r="H63" s="10" t="str">
        <x:v>class validity</x:v>
      </x:c>
    </x:row>
    <x:row r="64">
      <x:c r="A64" s="10" t="str">
        <x:v>AUD-C-059</x:v>
      </x:c>
      <x:c r="B64" s="10" t="str">
        <x:v>case execution</x:v>
      </x:c>
      <x:c r="C64" s="10" t="str">
        <x:v>RBJ-C059</x:v>
      </x:c>
      <x:c r="D64" s="10" t="str">
        <x:v>registered falsification case is executed and terminal</x:v>
      </x:c>
      <x:c r="E64" s="10" t="str">
        <x:v>PASS</x:v>
      </x:c>
      <x:c r="F64" s="12"/>
      <x:c r="G64" s="10" t="str">
        <x:f>IF(F64="","OPEN",IF(F64=E64,"PASS","FAIL"))</x:f>
        <x:v>OPEN</x:v>
      </x:c>
      <x:c r="H64" s="10" t="str">
        <x:v>class validity</x:v>
      </x:c>
    </x:row>
    <x:row r="65">
      <x:c r="A65" s="10" t="str">
        <x:v>AUD-C-060</x:v>
      </x:c>
      <x:c r="B65" s="10" t="str">
        <x:v>case execution</x:v>
      </x:c>
      <x:c r="C65" s="10" t="str">
        <x:v>RBJ-C060</x:v>
      </x:c>
      <x:c r="D65" s="10" t="str">
        <x:v>registered falsification case is executed and terminal</x:v>
      </x:c>
      <x:c r="E65" s="10" t="str">
        <x:v>PASS</x:v>
      </x:c>
      <x:c r="F65" s="12"/>
      <x:c r="G65" s="10" t="str">
        <x:f>IF(F65="","OPEN",IF(F65=E65,"PASS","FAIL"))</x:f>
        <x:v>OPEN</x:v>
      </x:c>
      <x:c r="H65" s="10" t="str">
        <x:v>class validity</x:v>
      </x:c>
    </x:row>
    <x:row r="66">
      <x:c r="A66" s="10" t="str">
        <x:v>AUD-C-061</x:v>
      </x:c>
      <x:c r="B66" s="10" t="str">
        <x:v>case execution</x:v>
      </x:c>
      <x:c r="C66" s="10" t="str">
        <x:v>RBJ-C061</x:v>
      </x:c>
      <x:c r="D66" s="10" t="str">
        <x:v>registered falsification case is executed and terminal</x:v>
      </x:c>
      <x:c r="E66" s="10" t="str">
        <x:v>PASS</x:v>
      </x:c>
      <x:c r="F66" s="12"/>
      <x:c r="G66" s="10" t="str">
        <x:f>IF(F66="","OPEN",IF(F66=E66,"PASS","FAIL"))</x:f>
        <x:v>OPEN</x:v>
      </x:c>
      <x:c r="H66" s="10" t="str">
        <x:v>class validity</x:v>
      </x:c>
    </x:row>
    <x:row r="67">
      <x:c r="A67" s="10" t="str">
        <x:v>AUD-C-062</x:v>
      </x:c>
      <x:c r="B67" s="10" t="str">
        <x:v>case execution</x:v>
      </x:c>
      <x:c r="C67" s="10" t="str">
        <x:v>RBJ-C062</x:v>
      </x:c>
      <x:c r="D67" s="10" t="str">
        <x:v>registered falsification case is executed and terminal</x:v>
      </x:c>
      <x:c r="E67" s="10" t="str">
        <x:v>PASS</x:v>
      </x:c>
      <x:c r="F67" s="12"/>
      <x:c r="G67" s="10" t="str">
        <x:f>IF(F67="","OPEN",IF(F67=E67,"PASS","FAIL"))</x:f>
        <x:v>OPEN</x:v>
      </x:c>
      <x:c r="H67" s="10" t="str">
        <x:v>class validity</x:v>
      </x:c>
    </x:row>
    <x:row r="68">
      <x:c r="A68" s="10" t="str">
        <x:v>AUD-C-063</x:v>
      </x:c>
      <x:c r="B68" s="10" t="str">
        <x:v>case execution</x:v>
      </x:c>
      <x:c r="C68" s="10" t="str">
        <x:v>RBJ-C063</x:v>
      </x:c>
      <x:c r="D68" s="10" t="str">
        <x:v>registered falsification case is executed and terminal</x:v>
      </x:c>
      <x:c r="E68" s="10" t="str">
        <x:v>PASS</x:v>
      </x:c>
      <x:c r="F68" s="12"/>
      <x:c r="G68" s="10" t="str">
        <x:f>IF(F68="","OPEN",IF(F68=E68,"PASS","FAIL"))</x:f>
        <x:v>OPEN</x:v>
      </x:c>
      <x:c r="H68" s="10" t="str">
        <x:v>class validity</x:v>
      </x:c>
    </x:row>
    <x:row r="69">
      <x:c r="A69" s="10" t="str">
        <x:v>AUD-C-064</x:v>
      </x:c>
      <x:c r="B69" s="10" t="str">
        <x:v>case execution</x:v>
      </x:c>
      <x:c r="C69" s="10" t="str">
        <x:v>RBJ-C064</x:v>
      </x:c>
      <x:c r="D69" s="10" t="str">
        <x:v>registered falsification case is executed and terminal</x:v>
      </x:c>
      <x:c r="E69" s="10" t="str">
        <x:v>PASS</x:v>
      </x:c>
      <x:c r="F69" s="12"/>
      <x:c r="G69" s="10" t="str">
        <x:f>IF(F69="","OPEN",IF(F69=E69,"PASS","FAIL"))</x:f>
        <x:v>OPEN</x:v>
      </x:c>
      <x:c r="H69" s="10" t="str">
        <x:v>class validity</x:v>
      </x:c>
    </x:row>
    <x:row r="70">
      <x:c r="A70" s="10" t="str">
        <x:v>AUD-C-065</x:v>
      </x:c>
      <x:c r="B70" s="10" t="str">
        <x:v>case execution</x:v>
      </x:c>
      <x:c r="C70" s="10" t="str">
        <x:v>RBJ-C065</x:v>
      </x:c>
      <x:c r="D70" s="10" t="str">
        <x:v>registered falsification case is executed and terminal</x:v>
      </x:c>
      <x:c r="E70" s="10" t="str">
        <x:v>PASS</x:v>
      </x:c>
      <x:c r="F70" s="12"/>
      <x:c r="G70" s="10" t="str">
        <x:f>IF(F70="","OPEN",IF(F70=E70,"PASS","FAIL"))</x:f>
        <x:v>OPEN</x:v>
      </x:c>
      <x:c r="H70" s="10" t="str">
        <x:v>class validity</x:v>
      </x:c>
    </x:row>
    <x:row r="71">
      <x:c r="A71" s="10" t="str">
        <x:v>AUD-C-066</x:v>
      </x:c>
      <x:c r="B71" s="10" t="str">
        <x:v>case execution</x:v>
      </x:c>
      <x:c r="C71" s="10" t="str">
        <x:v>RBJ-C066</x:v>
      </x:c>
      <x:c r="D71" s="10" t="str">
        <x:v>registered falsification case is executed and terminal</x:v>
      </x:c>
      <x:c r="E71" s="10" t="str">
        <x:v>PASS</x:v>
      </x:c>
      <x:c r="F71" s="12"/>
      <x:c r="G71" s="10" t="str">
        <x:f>IF(F71="","OPEN",IF(F71=E71,"PASS","FAIL"))</x:f>
        <x:v>OPEN</x:v>
      </x:c>
      <x:c r="H71" s="10" t="str">
        <x:v>class validity</x:v>
      </x:c>
    </x:row>
    <x:row r="72">
      <x:c r="A72" s="10" t="str">
        <x:v>AUD-C-067</x:v>
      </x:c>
      <x:c r="B72" s="10" t="str">
        <x:v>case execution</x:v>
      </x:c>
      <x:c r="C72" s="10" t="str">
        <x:v>RBJ-C067</x:v>
      </x:c>
      <x:c r="D72" s="10" t="str">
        <x:v>registered falsification case is executed and terminal</x:v>
      </x:c>
      <x:c r="E72" s="10" t="str">
        <x:v>PASS</x:v>
      </x:c>
      <x:c r="F72" s="12"/>
      <x:c r="G72" s="10" t="str">
        <x:f>IF(F72="","OPEN",IF(F72=E72,"PASS","FAIL"))</x:f>
        <x:v>OPEN</x:v>
      </x:c>
      <x:c r="H72" s="10" t="str">
        <x:v>class validity</x:v>
      </x:c>
    </x:row>
    <x:row r="73">
      <x:c r="A73" s="10" t="str">
        <x:v>AUD-C-068</x:v>
      </x:c>
      <x:c r="B73" s="10" t="str">
        <x:v>case execution</x:v>
      </x:c>
      <x:c r="C73" s="10" t="str">
        <x:v>RBJ-C068</x:v>
      </x:c>
      <x:c r="D73" s="10" t="str">
        <x:v>registered falsification case is executed and terminal</x:v>
      </x:c>
      <x:c r="E73" s="10" t="str">
        <x:v>PASS</x:v>
      </x:c>
      <x:c r="F73" s="12"/>
      <x:c r="G73" s="10" t="str">
        <x:f>IF(F73="","OPEN",IF(F73=E73,"PASS","FAIL"))</x:f>
        <x:v>OPEN</x:v>
      </x:c>
      <x:c r="H73" s="10" t="str">
        <x:v>class validity</x:v>
      </x:c>
    </x:row>
    <x:row r="74">
      <x:c r="A74" s="10" t="str">
        <x:v>AUD-C-069</x:v>
      </x:c>
      <x:c r="B74" s="10" t="str">
        <x:v>case execution</x:v>
      </x:c>
      <x:c r="C74" s="10" t="str">
        <x:v>RBJ-C069</x:v>
      </x:c>
      <x:c r="D74" s="10" t="str">
        <x:v>registered falsification case is executed and terminal</x:v>
      </x:c>
      <x:c r="E74" s="10" t="str">
        <x:v>PASS</x:v>
      </x:c>
      <x:c r="F74" s="12"/>
      <x:c r="G74" s="10" t="str">
        <x:f>IF(F74="","OPEN",IF(F74=E74,"PASS","FAIL"))</x:f>
        <x:v>OPEN</x:v>
      </x:c>
      <x:c r="H74" s="10" t="str">
        <x:v>class validity</x:v>
      </x:c>
    </x:row>
    <x:row r="75">
      <x:c r="A75" s="10" t="str">
        <x:v>AUD-C-070</x:v>
      </x:c>
      <x:c r="B75" s="10" t="str">
        <x:v>case execution</x:v>
      </x:c>
      <x:c r="C75" s="10" t="str">
        <x:v>RBJ-C070</x:v>
      </x:c>
      <x:c r="D75" s="10" t="str">
        <x:v>registered falsification case is executed and terminal</x:v>
      </x:c>
      <x:c r="E75" s="10" t="str">
        <x:v>PASS</x:v>
      </x:c>
      <x:c r="F75" s="12"/>
      <x:c r="G75" s="10" t="str">
        <x:f>IF(F75="","OPEN",IF(F75=E75,"PASS","FAIL"))</x:f>
        <x:v>OPEN</x:v>
      </x:c>
      <x:c r="H75" s="10" t="str">
        <x:v>class validity</x:v>
      </x:c>
    </x:row>
    <x:row r="76">
      <x:c r="A76" s="10" t="str">
        <x:v>AUD-C-071</x:v>
      </x:c>
      <x:c r="B76" s="10" t="str">
        <x:v>case execution</x:v>
      </x:c>
      <x:c r="C76" s="10" t="str">
        <x:v>RBJ-C071</x:v>
      </x:c>
      <x:c r="D76" s="10" t="str">
        <x:v>registered falsification case is executed and terminal</x:v>
      </x:c>
      <x:c r="E76" s="10" t="str">
        <x:v>PASS</x:v>
      </x:c>
      <x:c r="F76" s="12"/>
      <x:c r="G76" s="10" t="str">
        <x:f>IF(F76="","OPEN",IF(F76=E76,"PASS","FAIL"))</x:f>
        <x:v>OPEN</x:v>
      </x:c>
      <x:c r="H76" s="10" t="str">
        <x:v>class validity</x:v>
      </x:c>
    </x:row>
    <x:row r="77">
      <x:c r="A77" s="10" t="str">
        <x:v>AUD-C-072</x:v>
      </x:c>
      <x:c r="B77" s="10" t="str">
        <x:v>case execution</x:v>
      </x:c>
      <x:c r="C77" s="10" t="str">
        <x:v>RBJ-C072</x:v>
      </x:c>
      <x:c r="D77" s="10" t="str">
        <x:v>registered falsification case is executed and terminal</x:v>
      </x:c>
      <x:c r="E77" s="10" t="str">
        <x:v>PASS</x:v>
      </x:c>
      <x:c r="F77" s="12"/>
      <x:c r="G77" s="10" t="str">
        <x:f>IF(F77="","OPEN",IF(F77=E77,"PASS","FAIL"))</x:f>
        <x:v>OPEN</x:v>
      </x:c>
      <x:c r="H77" s="10" t="str">
        <x:v>class validity</x:v>
      </x:c>
    </x:row>
    <x:row r="78">
      <x:c r="A78" s="10" t="str">
        <x:v>AUD-C-073</x:v>
      </x:c>
      <x:c r="B78" s="10" t="str">
        <x:v>case execution</x:v>
      </x:c>
      <x:c r="C78" s="10" t="str">
        <x:v>RBJ-C073</x:v>
      </x:c>
      <x:c r="D78" s="10" t="str">
        <x:v>registered falsification case is executed and terminal</x:v>
      </x:c>
      <x:c r="E78" s="10" t="str">
        <x:v>PASS</x:v>
      </x:c>
      <x:c r="F78" s="12"/>
      <x:c r="G78" s="10" t="str">
        <x:f>IF(F78="","OPEN",IF(F78=E78,"PASS","FAIL"))</x:f>
        <x:v>OPEN</x:v>
      </x:c>
      <x:c r="H78" s="10" t="str">
        <x:v>class validity</x:v>
      </x:c>
    </x:row>
    <x:row r="79">
      <x:c r="A79" s="10" t="str">
        <x:v>AUD-C-074</x:v>
      </x:c>
      <x:c r="B79" s="10" t="str">
        <x:v>case execution</x:v>
      </x:c>
      <x:c r="C79" s="10" t="str">
        <x:v>RBJ-C074</x:v>
      </x:c>
      <x:c r="D79" s="10" t="str">
        <x:v>registered falsification case is executed and terminal</x:v>
      </x:c>
      <x:c r="E79" s="10" t="str">
        <x:v>PASS</x:v>
      </x:c>
      <x:c r="F79" s="12"/>
      <x:c r="G79" s="10" t="str">
        <x:f>IF(F79="","OPEN",IF(F79=E79,"PASS","FAIL"))</x:f>
        <x:v>OPEN</x:v>
      </x:c>
      <x:c r="H79" s="10" t="str">
        <x:v>class validity</x:v>
      </x:c>
    </x:row>
    <x:row r="80">
      <x:c r="A80" s="10" t="str">
        <x:v>AUD-C-075</x:v>
      </x:c>
      <x:c r="B80" s="10" t="str">
        <x:v>case execution</x:v>
      </x:c>
      <x:c r="C80" s="10" t="str">
        <x:v>RBJ-C075</x:v>
      </x:c>
      <x:c r="D80" s="10" t="str">
        <x:v>registered falsification case is executed and terminal</x:v>
      </x:c>
      <x:c r="E80" s="10" t="str">
        <x:v>PASS</x:v>
      </x:c>
      <x:c r="F80" s="12"/>
      <x:c r="G80" s="10" t="str">
        <x:f>IF(F80="","OPEN",IF(F80=E80,"PASS","FAIL"))</x:f>
        <x:v>OPEN</x:v>
      </x:c>
      <x:c r="H80" s="10" t="str">
        <x:v>class validity</x:v>
      </x:c>
    </x:row>
    <x:row r="81">
      <x:c r="A81" s="10" t="str">
        <x:v>AUD-C-076</x:v>
      </x:c>
      <x:c r="B81" s="10" t="str">
        <x:v>case execution</x:v>
      </x:c>
      <x:c r="C81" s="10" t="str">
        <x:v>RBJ-C076</x:v>
      </x:c>
      <x:c r="D81" s="10" t="str">
        <x:v>registered falsification case is executed and terminal</x:v>
      </x:c>
      <x:c r="E81" s="10" t="str">
        <x:v>PASS</x:v>
      </x:c>
      <x:c r="F81" s="12"/>
      <x:c r="G81" s="10" t="str">
        <x:f>IF(F81="","OPEN",IF(F81=E81,"PASS","FAIL"))</x:f>
        <x:v>OPEN</x:v>
      </x:c>
      <x:c r="H81" s="10" t="str">
        <x:v>class validity</x:v>
      </x:c>
    </x:row>
    <x:row r="82">
      <x:c r="A82" s="10" t="str">
        <x:v>AUD-C-077</x:v>
      </x:c>
      <x:c r="B82" s="10" t="str">
        <x:v>case execution</x:v>
      </x:c>
      <x:c r="C82" s="10" t="str">
        <x:v>RBJ-C077</x:v>
      </x:c>
      <x:c r="D82" s="10" t="str">
        <x:v>registered falsification case is executed and terminal</x:v>
      </x:c>
      <x:c r="E82" s="10" t="str">
        <x:v>PASS</x:v>
      </x:c>
      <x:c r="F82" s="12"/>
      <x:c r="G82" s="10" t="str">
        <x:f>IF(F82="","OPEN",IF(F82=E82,"PASS","FAIL"))</x:f>
        <x:v>OPEN</x:v>
      </x:c>
      <x:c r="H82" s="10" t="str">
        <x:v>class validity</x:v>
      </x:c>
    </x:row>
    <x:row r="83">
      <x:c r="A83" s="10" t="str">
        <x:v>AUD-C-078</x:v>
      </x:c>
      <x:c r="B83" s="10" t="str">
        <x:v>case execution</x:v>
      </x:c>
      <x:c r="C83" s="10" t="str">
        <x:v>RBJ-C078</x:v>
      </x:c>
      <x:c r="D83" s="10" t="str">
        <x:v>registered falsification case is executed and terminal</x:v>
      </x:c>
      <x:c r="E83" s="10" t="str">
        <x:v>PASS</x:v>
      </x:c>
      <x:c r="F83" s="12"/>
      <x:c r="G83" s="10" t="str">
        <x:f>IF(F83="","OPEN",IF(F83=E83,"PASS","FAIL"))</x:f>
        <x:v>OPEN</x:v>
      </x:c>
      <x:c r="H83" s="10" t="str">
        <x:v>class validity</x:v>
      </x:c>
    </x:row>
    <x:row r="84">
      <x:c r="A84" s="10" t="str">
        <x:v>AUD-C-079</x:v>
      </x:c>
      <x:c r="B84" s="10" t="str">
        <x:v>case execution</x:v>
      </x:c>
      <x:c r="C84" s="10" t="str">
        <x:v>RBJ-C079</x:v>
      </x:c>
      <x:c r="D84" s="10" t="str">
        <x:v>registered falsification case is executed and terminal</x:v>
      </x:c>
      <x:c r="E84" s="10" t="str">
        <x:v>PASS</x:v>
      </x:c>
      <x:c r="F84" s="12"/>
      <x:c r="G84" s="10" t="str">
        <x:f>IF(F84="","OPEN",IF(F84=E84,"PASS","FAIL"))</x:f>
        <x:v>OPEN</x:v>
      </x:c>
      <x:c r="H84" s="10" t="str">
        <x:v>class validity</x:v>
      </x:c>
    </x:row>
    <x:row r="85">
      <x:c r="A85" s="10" t="str">
        <x:v>AUD-C-080</x:v>
      </x:c>
      <x:c r="B85" s="10" t="str">
        <x:v>case execution</x:v>
      </x:c>
      <x:c r="C85" s="10" t="str">
        <x:v>RBJ-C080</x:v>
      </x:c>
      <x:c r="D85" s="10" t="str">
        <x:v>registered falsification case is executed and terminal</x:v>
      </x:c>
      <x:c r="E85" s="10" t="str">
        <x:v>PASS</x:v>
      </x:c>
      <x:c r="F85" s="12"/>
      <x:c r="G85" s="10" t="str">
        <x:f>IF(F85="","OPEN",IF(F85=E85,"PASS","FAIL"))</x:f>
        <x:v>OPEN</x:v>
      </x:c>
      <x:c r="H85" s="10" t="str">
        <x:v>class validity</x:v>
      </x:c>
    </x:row>
    <x:row r="86">
      <x:c r="A86" s="10" t="str">
        <x:v>AUD-C-081</x:v>
      </x:c>
      <x:c r="B86" s="10" t="str">
        <x:v>case execution</x:v>
      </x:c>
      <x:c r="C86" s="10" t="str">
        <x:v>RBJ-C081</x:v>
      </x:c>
      <x:c r="D86" s="10" t="str">
        <x:v>registered falsification case is executed and terminal</x:v>
      </x:c>
      <x:c r="E86" s="10" t="str">
        <x:v>PASS</x:v>
      </x:c>
      <x:c r="F86" s="12"/>
      <x:c r="G86" s="10" t="str">
        <x:f>IF(F86="","OPEN",IF(F86=E86,"PASS","FAIL"))</x:f>
        <x:v>OPEN</x:v>
      </x:c>
      <x:c r="H86" s="10" t="str">
        <x:v>class validity</x:v>
      </x:c>
    </x:row>
    <x:row r="87">
      <x:c r="A87" s="10" t="str">
        <x:v>AUD-C-082</x:v>
      </x:c>
      <x:c r="B87" s="10" t="str">
        <x:v>case execution</x:v>
      </x:c>
      <x:c r="C87" s="10" t="str">
        <x:v>RBJ-C082</x:v>
      </x:c>
      <x:c r="D87" s="10" t="str">
        <x:v>registered falsification case is executed and terminal</x:v>
      </x:c>
      <x:c r="E87" s="10" t="str">
        <x:v>PASS</x:v>
      </x:c>
      <x:c r="F87" s="12"/>
      <x:c r="G87" s="10" t="str">
        <x:f>IF(F87="","OPEN",IF(F87=E87,"PASS","FAIL"))</x:f>
        <x:v>OPEN</x:v>
      </x:c>
      <x:c r="H87" s="10" t="str">
        <x:v>class validity</x:v>
      </x:c>
    </x:row>
    <x:row r="88">
      <x:c r="A88" s="10" t="str">
        <x:v>AUD-C-083</x:v>
      </x:c>
      <x:c r="B88" s="10" t="str">
        <x:v>case execution</x:v>
      </x:c>
      <x:c r="C88" s="10" t="str">
        <x:v>RBJ-C083</x:v>
      </x:c>
      <x:c r="D88" s="10" t="str">
        <x:v>registered falsification case is executed and terminal</x:v>
      </x:c>
      <x:c r="E88" s="10" t="str">
        <x:v>PASS</x:v>
      </x:c>
      <x:c r="F88" s="12"/>
      <x:c r="G88" s="10" t="str">
        <x:f>IF(F88="","OPEN",IF(F88=E88,"PASS","FAIL"))</x:f>
        <x:v>OPEN</x:v>
      </x:c>
      <x:c r="H88" s="10" t="str">
        <x:v>class validity</x:v>
      </x:c>
    </x:row>
    <x:row r="89">
      <x:c r="A89" s="10" t="str">
        <x:v>AUD-C-084</x:v>
      </x:c>
      <x:c r="B89" s="10" t="str">
        <x:v>case execution</x:v>
      </x:c>
      <x:c r="C89" s="10" t="str">
        <x:v>RBJ-C084</x:v>
      </x:c>
      <x:c r="D89" s="10" t="str">
        <x:v>registered falsification case is executed and terminal</x:v>
      </x:c>
      <x:c r="E89" s="10" t="str">
        <x:v>PASS</x:v>
      </x:c>
      <x:c r="F89" s="12"/>
      <x:c r="G89" s="10" t="str">
        <x:f>IF(F89="","OPEN",IF(F89=E89,"PASS","FAIL"))</x:f>
        <x:v>OPEN</x:v>
      </x:c>
      <x:c r="H89" s="10" t="str">
        <x:v>class validity</x:v>
      </x:c>
    </x:row>
    <x:row r="90">
      <x:c r="A90" s="10" t="str">
        <x:v>AUD-C-085</x:v>
      </x:c>
      <x:c r="B90" s="10" t="str">
        <x:v>case execution</x:v>
      </x:c>
      <x:c r="C90" s="10" t="str">
        <x:v>RBJ-C085</x:v>
      </x:c>
      <x:c r="D90" s="10" t="str">
        <x:v>registered falsification case is executed and terminal</x:v>
      </x:c>
      <x:c r="E90" s="10" t="str">
        <x:v>PASS</x:v>
      </x:c>
      <x:c r="F90" s="12"/>
      <x:c r="G90" s="10" t="str">
        <x:f>IF(F90="","OPEN",IF(F90=E90,"PASS","FAIL"))</x:f>
        <x:v>OPEN</x:v>
      </x:c>
      <x:c r="H90" s="10" t="str">
        <x:v>class validity</x:v>
      </x:c>
    </x:row>
    <x:row r="91">
      <x:c r="A91" s="10" t="str">
        <x:v>AUD-C-086</x:v>
      </x:c>
      <x:c r="B91" s="10" t="str">
        <x:v>case execution</x:v>
      </x:c>
      <x:c r="C91" s="10" t="str">
        <x:v>RBJ-C086</x:v>
      </x:c>
      <x:c r="D91" s="10" t="str">
        <x:v>registered falsification case is executed and terminal</x:v>
      </x:c>
      <x:c r="E91" s="10" t="str">
        <x:v>PASS</x:v>
      </x:c>
      <x:c r="F91" s="12"/>
      <x:c r="G91" s="10" t="str">
        <x:f>IF(F91="","OPEN",IF(F91=E91,"PASS","FAIL"))</x:f>
        <x:v>OPEN</x:v>
      </x:c>
      <x:c r="H91" s="10" t="str">
        <x:v>class validity</x:v>
      </x:c>
    </x:row>
    <x:row r="92">
      <x:c r="A92" s="10" t="str">
        <x:v>AUD-C-087</x:v>
      </x:c>
      <x:c r="B92" s="10" t="str">
        <x:v>case execution</x:v>
      </x:c>
      <x:c r="C92" s="10" t="str">
        <x:v>RBJ-C087</x:v>
      </x:c>
      <x:c r="D92" s="10" t="str">
        <x:v>registered falsification case is executed and terminal</x:v>
      </x:c>
      <x:c r="E92" s="10" t="str">
        <x:v>PASS</x:v>
      </x:c>
      <x:c r="F92" s="12"/>
      <x:c r="G92" s="10" t="str">
        <x:f>IF(F92="","OPEN",IF(F92=E92,"PASS","FAIL"))</x:f>
        <x:v>OPEN</x:v>
      </x:c>
      <x:c r="H92" s="10" t="str">
        <x:v>class validity</x:v>
      </x:c>
    </x:row>
    <x:row r="93">
      <x:c r="A93" s="10" t="str">
        <x:v>AUD-C-088</x:v>
      </x:c>
      <x:c r="B93" s="10" t="str">
        <x:v>case execution</x:v>
      </x:c>
      <x:c r="C93" s="10" t="str">
        <x:v>RBJ-C088</x:v>
      </x:c>
      <x:c r="D93" s="10" t="str">
        <x:v>registered falsification case is executed and terminal</x:v>
      </x:c>
      <x:c r="E93" s="10" t="str">
        <x:v>PASS</x:v>
      </x:c>
      <x:c r="F93" s="12"/>
      <x:c r="G93" s="10" t="str">
        <x:f>IF(F93="","OPEN",IF(F93=E93,"PASS","FAIL"))</x:f>
        <x:v>OPEN</x:v>
      </x:c>
      <x:c r="H93" s="10" t="str">
        <x:v>class validity</x:v>
      </x:c>
    </x:row>
    <x:row r="94">
      <x:c r="A94" s="10" t="str">
        <x:v>AUD-C-089</x:v>
      </x:c>
      <x:c r="B94" s="10" t="str">
        <x:v>case execution</x:v>
      </x:c>
      <x:c r="C94" s="10" t="str">
        <x:v>RBJ-C089</x:v>
      </x:c>
      <x:c r="D94" s="10" t="str">
        <x:v>registered falsification case is executed and terminal</x:v>
      </x:c>
      <x:c r="E94" s="10" t="str">
        <x:v>PASS</x:v>
      </x:c>
      <x:c r="F94" s="12"/>
      <x:c r="G94" s="10" t="str">
        <x:f>IF(F94="","OPEN",IF(F94=E94,"PASS","FAIL"))</x:f>
        <x:v>OPEN</x:v>
      </x:c>
      <x:c r="H94" s="10" t="str">
        <x:v>class validity</x:v>
      </x:c>
    </x:row>
    <x:row r="95">
      <x:c r="A95" s="10" t="str">
        <x:v>AUD-C-090</x:v>
      </x:c>
      <x:c r="B95" s="10" t="str">
        <x:v>case execution</x:v>
      </x:c>
      <x:c r="C95" s="10" t="str">
        <x:v>RBJ-C090</x:v>
      </x:c>
      <x:c r="D95" s="10" t="str">
        <x:v>registered falsification case is executed and terminal</x:v>
      </x:c>
      <x:c r="E95" s="10" t="str">
        <x:v>PASS</x:v>
      </x:c>
      <x:c r="F95" s="12"/>
      <x:c r="G95" s="10" t="str">
        <x:f>IF(F95="","OPEN",IF(F95=E95,"PASS","FAIL"))</x:f>
        <x:v>OPEN</x:v>
      </x:c>
      <x:c r="H95" s="10" t="str">
        <x:v>class validity</x:v>
      </x:c>
    </x:row>
    <x:row r="96">
      <x:c r="A96" s="10" t="str">
        <x:v>AUD-C-091</x:v>
      </x:c>
      <x:c r="B96" s="10" t="str">
        <x:v>case execution</x:v>
      </x:c>
      <x:c r="C96" s="10" t="str">
        <x:v>RBJ-C091</x:v>
      </x:c>
      <x:c r="D96" s="10" t="str">
        <x:v>registered falsification case is executed and terminal</x:v>
      </x:c>
      <x:c r="E96" s="10" t="str">
        <x:v>PASS</x:v>
      </x:c>
      <x:c r="F96" s="12"/>
      <x:c r="G96" s="10" t="str">
        <x:f>IF(F96="","OPEN",IF(F96=E96,"PASS","FAIL"))</x:f>
        <x:v>OPEN</x:v>
      </x:c>
      <x:c r="H96" s="10" t="str">
        <x:v>class validity</x:v>
      </x:c>
    </x:row>
    <x:row r="97">
      <x:c r="A97" s="10" t="str">
        <x:v>AUD-C-092</x:v>
      </x:c>
      <x:c r="B97" s="10" t="str">
        <x:v>case execution</x:v>
      </x:c>
      <x:c r="C97" s="10" t="str">
        <x:v>RBJ-C092</x:v>
      </x:c>
      <x:c r="D97" s="10" t="str">
        <x:v>registered falsification case is executed and terminal</x:v>
      </x:c>
      <x:c r="E97" s="10" t="str">
        <x:v>PASS</x:v>
      </x:c>
      <x:c r="F97" s="12"/>
      <x:c r="G97" s="10" t="str">
        <x:f>IF(F97="","OPEN",IF(F97=E97,"PASS","FAIL"))</x:f>
        <x:v>OPEN</x:v>
      </x:c>
      <x:c r="H97" s="10" t="str">
        <x:v>class validity</x:v>
      </x:c>
    </x:row>
    <x:row r="98">
      <x:c r="A98" s="10" t="str">
        <x:v>AUD-C-093</x:v>
      </x:c>
      <x:c r="B98" s="10" t="str">
        <x:v>case execution</x:v>
      </x:c>
      <x:c r="C98" s="10" t="str">
        <x:v>RBJ-C093</x:v>
      </x:c>
      <x:c r="D98" s="10" t="str">
        <x:v>registered falsification case is executed and terminal</x:v>
      </x:c>
      <x:c r="E98" s="10" t="str">
        <x:v>PASS</x:v>
      </x:c>
      <x:c r="F98" s="12"/>
      <x:c r="G98" s="10" t="str">
        <x:f>IF(F98="","OPEN",IF(F98=E98,"PASS","FAIL"))</x:f>
        <x:v>OPEN</x:v>
      </x:c>
      <x:c r="H98" s="10" t="str">
        <x:v>class validity</x:v>
      </x:c>
    </x:row>
    <x:row r="99">
      <x:c r="A99" s="10" t="str">
        <x:v>AUD-C-094</x:v>
      </x:c>
      <x:c r="B99" s="10" t="str">
        <x:v>case execution</x:v>
      </x:c>
      <x:c r="C99" s="10" t="str">
        <x:v>RBJ-C094</x:v>
      </x:c>
      <x:c r="D99" s="10" t="str">
        <x:v>registered falsification case is executed and terminal</x:v>
      </x:c>
      <x:c r="E99" s="10" t="str">
        <x:v>PASS</x:v>
      </x:c>
      <x:c r="F99" s="12"/>
      <x:c r="G99" s="10" t="str">
        <x:f>IF(F99="","OPEN",IF(F99=E99,"PASS","FAIL"))</x:f>
        <x:v>OPEN</x:v>
      </x:c>
      <x:c r="H99" s="10" t="str">
        <x:v>class validity</x:v>
      </x:c>
    </x:row>
    <x:row r="100">
      <x:c r="A100" s="10" t="str">
        <x:v>AUD-C-095</x:v>
      </x:c>
      <x:c r="B100" s="10" t="str">
        <x:v>case execution</x:v>
      </x:c>
      <x:c r="C100" s="10" t="str">
        <x:v>RBJ-C095</x:v>
      </x:c>
      <x:c r="D100" s="10" t="str">
        <x:v>registered falsification case is executed and terminal</x:v>
      </x:c>
      <x:c r="E100" s="10" t="str">
        <x:v>PASS</x:v>
      </x:c>
      <x:c r="F100" s="12"/>
      <x:c r="G100" s="10" t="str">
        <x:f>IF(F100="","OPEN",IF(F100=E100,"PASS","FAIL"))</x:f>
        <x:v>OPEN</x:v>
      </x:c>
      <x:c r="H100" s="10" t="str">
        <x:v>class validity</x:v>
      </x:c>
    </x:row>
    <x:row r="101">
      <x:c r="A101" s="10" t="str">
        <x:v>AUD-C-096</x:v>
      </x:c>
      <x:c r="B101" s="10" t="str">
        <x:v>case execution</x:v>
      </x:c>
      <x:c r="C101" s="10" t="str">
        <x:v>RBJ-C096</x:v>
      </x:c>
      <x:c r="D101" s="10" t="str">
        <x:v>registered falsification case is executed and terminal</x:v>
      </x:c>
      <x:c r="E101" s="10" t="str">
        <x:v>PASS</x:v>
      </x:c>
      <x:c r="F101" s="12"/>
      <x:c r="G101" s="10" t="str">
        <x:f>IF(F101="","OPEN",IF(F101=E101,"PASS","FAIL"))</x:f>
        <x:v>OPEN</x:v>
      </x:c>
      <x:c r="H101" s="10" t="str">
        <x:v>class validity</x:v>
      </x:c>
    </x:row>
    <x:row r="102">
      <x:c r="A102" s="10" t="str">
        <x:v>AUD-C-097</x:v>
      </x:c>
      <x:c r="B102" s="10" t="str">
        <x:v>case execution</x:v>
      </x:c>
      <x:c r="C102" s="10" t="str">
        <x:v>RBJ-C097</x:v>
      </x:c>
      <x:c r="D102" s="10" t="str">
        <x:v>registered falsification case is executed and terminal</x:v>
      </x:c>
      <x:c r="E102" s="10" t="str">
        <x:v>PASS</x:v>
      </x:c>
      <x:c r="F102" s="12"/>
      <x:c r="G102" s="10" t="str">
        <x:f>IF(F102="","OPEN",IF(F102=E102,"PASS","FAIL"))</x:f>
        <x:v>OPEN</x:v>
      </x:c>
      <x:c r="H102" s="10" t="str">
        <x:v>class validity</x:v>
      </x:c>
    </x:row>
    <x:row r="103">
      <x:c r="A103" s="10" t="str">
        <x:v>AUD-C-098</x:v>
      </x:c>
      <x:c r="B103" s="10" t="str">
        <x:v>case execution</x:v>
      </x:c>
      <x:c r="C103" s="10" t="str">
        <x:v>RBJ-C098</x:v>
      </x:c>
      <x:c r="D103" s="10" t="str">
        <x:v>registered falsification case is executed and terminal</x:v>
      </x:c>
      <x:c r="E103" s="10" t="str">
        <x:v>PASS</x:v>
      </x:c>
      <x:c r="F103" s="12"/>
      <x:c r="G103" s="10" t="str">
        <x:f>IF(F103="","OPEN",IF(F103=E103,"PASS","FAIL"))</x:f>
        <x:v>OPEN</x:v>
      </x:c>
      <x:c r="H103" s="10" t="str">
        <x:v>class validity</x:v>
      </x:c>
    </x:row>
    <x:row r="104">
      <x:c r="A104" s="10" t="str">
        <x:v>AUD-C-099</x:v>
      </x:c>
      <x:c r="B104" s="10" t="str">
        <x:v>case execution</x:v>
      </x:c>
      <x:c r="C104" s="10" t="str">
        <x:v>RBJ-C099</x:v>
      </x:c>
      <x:c r="D104" s="10" t="str">
        <x:v>registered falsification case is executed and terminal</x:v>
      </x:c>
      <x:c r="E104" s="10" t="str">
        <x:v>PASS</x:v>
      </x:c>
      <x:c r="F104" s="12"/>
      <x:c r="G104" s="10" t="str">
        <x:f>IF(F104="","OPEN",IF(F104=E104,"PASS","FAIL"))</x:f>
        <x:v>OPEN</x:v>
      </x:c>
      <x:c r="H104" s="10" t="str">
        <x:v>class validity</x:v>
      </x:c>
    </x:row>
    <x:row r="105">
      <x:c r="A105" s="10" t="str">
        <x:v>AUD-C-100</x:v>
      </x:c>
      <x:c r="B105" s="10" t="str">
        <x:v>case execution</x:v>
      </x:c>
      <x:c r="C105" s="10" t="str">
        <x:v>RBJ-C100</x:v>
      </x:c>
      <x:c r="D105" s="10" t="str">
        <x:v>registered falsification case is executed and terminal</x:v>
      </x:c>
      <x:c r="E105" s="10" t="str">
        <x:v>PASS</x:v>
      </x:c>
      <x:c r="F105" s="12"/>
      <x:c r="G105" s="10" t="str">
        <x:f>IF(F105="","OPEN",IF(F105=E105,"PASS","FAIL"))</x:f>
        <x:v>OPEN</x:v>
      </x:c>
      <x:c r="H105" s="10" t="str">
        <x:v>class validity</x:v>
      </x:c>
    </x:row>
    <x:row r="106">
      <x:c r="A106" s="10" t="str">
        <x:v>AUD-C-101</x:v>
      </x:c>
      <x:c r="B106" s="10" t="str">
        <x:v>case execution</x:v>
      </x:c>
      <x:c r="C106" s="10" t="str">
        <x:v>RBJ-C101</x:v>
      </x:c>
      <x:c r="D106" s="10" t="str">
        <x:v>registered falsification case is executed and terminal</x:v>
      </x:c>
      <x:c r="E106" s="10" t="str">
        <x:v>PASS</x:v>
      </x:c>
      <x:c r="F106" s="12"/>
      <x:c r="G106" s="10" t="str">
        <x:f>IF(F106="","OPEN",IF(F106=E106,"PASS","FAIL"))</x:f>
        <x:v>OPEN</x:v>
      </x:c>
      <x:c r="H106" s="10" t="str">
        <x:v>class validity</x:v>
      </x:c>
    </x:row>
    <x:row r="107">
      <x:c r="A107" s="10" t="str">
        <x:v>AUD-C-102</x:v>
      </x:c>
      <x:c r="B107" s="10" t="str">
        <x:v>case execution</x:v>
      </x:c>
      <x:c r="C107" s="10" t="str">
        <x:v>RBJ-C102</x:v>
      </x:c>
      <x:c r="D107" s="10" t="str">
        <x:v>registered falsification case is executed and terminal</x:v>
      </x:c>
      <x:c r="E107" s="10" t="str">
        <x:v>PASS</x:v>
      </x:c>
      <x:c r="F107" s="12"/>
      <x:c r="G107" s="10" t="str">
        <x:f>IF(F107="","OPEN",IF(F107=E107,"PASS","FAIL"))</x:f>
        <x:v>OPEN</x:v>
      </x:c>
      <x:c r="H107" s="10" t="str">
        <x:v>class validity</x:v>
      </x:c>
    </x:row>
    <x:row r="108">
      <x:c r="A108" s="10" t="str">
        <x:v>AUD-C-103</x:v>
      </x:c>
      <x:c r="B108" s="10" t="str">
        <x:v>case execution</x:v>
      </x:c>
      <x:c r="C108" s="10" t="str">
        <x:v>RBJ-C103</x:v>
      </x:c>
      <x:c r="D108" s="10" t="str">
        <x:v>registered falsification case is executed and terminal</x:v>
      </x:c>
      <x:c r="E108" s="10" t="str">
        <x:v>PASS</x:v>
      </x:c>
      <x:c r="F108" s="12"/>
      <x:c r="G108" s="10" t="str">
        <x:f>IF(F108="","OPEN",IF(F108=E108,"PASS","FAIL"))</x:f>
        <x:v>OPEN</x:v>
      </x:c>
      <x:c r="H108" s="10" t="str">
        <x:v>class validity</x:v>
      </x:c>
    </x:row>
    <x:row r="109">
      <x:c r="A109" s="10" t="str">
        <x:v>AUD-C-104</x:v>
      </x:c>
      <x:c r="B109" s="10" t="str">
        <x:v>case execution</x:v>
      </x:c>
      <x:c r="C109" s="10" t="str">
        <x:v>RBJ-C104</x:v>
      </x:c>
      <x:c r="D109" s="10" t="str">
        <x:v>registered falsification case is executed and terminal</x:v>
      </x:c>
      <x:c r="E109" s="10" t="str">
        <x:v>PASS</x:v>
      </x:c>
      <x:c r="F109" s="12"/>
      <x:c r="G109" s="10" t="str">
        <x:f>IF(F109="","OPEN",IF(F109=E109,"PASS","FAIL"))</x:f>
        <x:v>OPEN</x:v>
      </x:c>
      <x:c r="H109" s="10" t="str">
        <x:v>class validity</x:v>
      </x:c>
    </x:row>
    <x:row r="110">
      <x:c r="A110" s="10" t="str">
        <x:v>AUD-C-105</x:v>
      </x:c>
      <x:c r="B110" s="10" t="str">
        <x:v>case execution</x:v>
      </x:c>
      <x:c r="C110" s="10" t="str">
        <x:v>RBJ-C105</x:v>
      </x:c>
      <x:c r="D110" s="10" t="str">
        <x:v>registered falsification case is executed and terminal</x:v>
      </x:c>
      <x:c r="E110" s="10" t="str">
        <x:v>PASS</x:v>
      </x:c>
      <x:c r="F110" s="12"/>
      <x:c r="G110" s="10" t="str">
        <x:f>IF(F110="","OPEN",IF(F110=E110,"PASS","FAIL"))</x:f>
        <x:v>OPEN</x:v>
      </x:c>
      <x:c r="H110" s="10" t="str">
        <x:v>class validity</x:v>
      </x:c>
    </x:row>
    <x:row r="111">
      <x:c r="A111" s="10" t="str">
        <x:v>AUD-C-106</x:v>
      </x:c>
      <x:c r="B111" s="10" t="str">
        <x:v>case execution</x:v>
      </x:c>
      <x:c r="C111" s="10" t="str">
        <x:v>RBJ-C106</x:v>
      </x:c>
      <x:c r="D111" s="10" t="str">
        <x:v>registered falsification case is executed and terminal</x:v>
      </x:c>
      <x:c r="E111" s="10" t="str">
        <x:v>PASS</x:v>
      </x:c>
      <x:c r="F111" s="12"/>
      <x:c r="G111" s="10" t="str">
        <x:f>IF(F111="","OPEN",IF(F111=E111,"PASS","FAIL"))</x:f>
        <x:v>OPEN</x:v>
      </x:c>
      <x:c r="H111" s="10" t="str">
        <x:v>class validity</x:v>
      </x:c>
    </x:row>
    <x:row r="112">
      <x:c r="A112" s="10" t="str">
        <x:v>AUD-C-107</x:v>
      </x:c>
      <x:c r="B112" s="10" t="str">
        <x:v>case execution</x:v>
      </x:c>
      <x:c r="C112" s="10" t="str">
        <x:v>RBJ-C107</x:v>
      </x:c>
      <x:c r="D112" s="10" t="str">
        <x:v>registered falsification case is executed and terminal</x:v>
      </x:c>
      <x:c r="E112" s="10" t="str">
        <x:v>PASS</x:v>
      </x:c>
      <x:c r="F112" s="12"/>
      <x:c r="G112" s="10" t="str">
        <x:f>IF(F112="","OPEN",IF(F112=E112,"PASS","FAIL"))</x:f>
        <x:v>OPEN</x:v>
      </x:c>
      <x:c r="H112" s="10" t="str">
        <x:v>class validity</x:v>
      </x:c>
    </x:row>
    <x:row r="113">
      <x:c r="A113" s="10" t="str">
        <x:v>AUD-C-108</x:v>
      </x:c>
      <x:c r="B113" s="10" t="str">
        <x:v>case execution</x:v>
      </x:c>
      <x:c r="C113" s="10" t="str">
        <x:v>RBJ-C108</x:v>
      </x:c>
      <x:c r="D113" s="10" t="str">
        <x:v>registered falsification case is executed and terminal</x:v>
      </x:c>
      <x:c r="E113" s="10" t="str">
        <x:v>PASS</x:v>
      </x:c>
      <x:c r="F113" s="12"/>
      <x:c r="G113" s="10" t="str">
        <x:f>IF(F113="","OPEN",IF(F113=E113,"PASS","FAIL"))</x:f>
        <x:v>OPEN</x:v>
      </x:c>
      <x:c r="H113" s="10" t="str">
        <x:v>class validity</x:v>
      </x:c>
    </x:row>
    <x:row r="114">
      <x:c r="A114" s="10" t="str">
        <x:v>AUD-C-109</x:v>
      </x:c>
      <x:c r="B114" s="10" t="str">
        <x:v>case execution</x:v>
      </x:c>
      <x:c r="C114" s="10" t="str">
        <x:v>RBJ-C109</x:v>
      </x:c>
      <x:c r="D114" s="10" t="str">
        <x:v>registered falsification case is executed and terminal</x:v>
      </x:c>
      <x:c r="E114" s="10" t="str">
        <x:v>PASS</x:v>
      </x:c>
      <x:c r="F114" s="12"/>
      <x:c r="G114" s="10" t="str">
        <x:f>IF(F114="","OPEN",IF(F114=E114,"PASS","FAIL"))</x:f>
        <x:v>OPEN</x:v>
      </x:c>
      <x:c r="H114" s="10" t="str">
        <x:v>class validity</x:v>
      </x:c>
    </x:row>
    <x:row r="115">
      <x:c r="A115" s="10" t="str">
        <x:v>AUD-C-110</x:v>
      </x:c>
      <x:c r="B115" s="10" t="str">
        <x:v>case execution</x:v>
      </x:c>
      <x:c r="C115" s="10" t="str">
        <x:v>RBJ-C110</x:v>
      </x:c>
      <x:c r="D115" s="10" t="str">
        <x:v>registered falsification case is executed and terminal</x:v>
      </x:c>
      <x:c r="E115" s="10" t="str">
        <x:v>PASS</x:v>
      </x:c>
      <x:c r="F115" s="12"/>
      <x:c r="G115" s="10" t="str">
        <x:f>IF(F115="","OPEN",IF(F115=E115,"PASS","FAIL"))</x:f>
        <x:v>OPEN</x:v>
      </x:c>
      <x:c r="H115" s="10" t="str">
        <x:v>class validity</x:v>
      </x:c>
    </x:row>
    <x:row r="116">
      <x:c r="A116" s="10" t="str">
        <x:v>AUD-C-111</x:v>
      </x:c>
      <x:c r="B116" s="10" t="str">
        <x:v>case execution</x:v>
      </x:c>
      <x:c r="C116" s="10" t="str">
        <x:v>RBJ-C111</x:v>
      </x:c>
      <x:c r="D116" s="10" t="str">
        <x:v>registered falsification case is executed and terminal</x:v>
      </x:c>
      <x:c r="E116" s="10" t="str">
        <x:v>PASS</x:v>
      </x:c>
      <x:c r="F116" s="12"/>
      <x:c r="G116" s="10" t="str">
        <x:f>IF(F116="","OPEN",IF(F116=E116,"PASS","FAIL"))</x:f>
        <x:v>OPEN</x:v>
      </x:c>
      <x:c r="H116" s="10" t="str">
        <x:v>class validity</x:v>
      </x:c>
    </x:row>
    <x:row r="117">
      <x:c r="A117" s="10" t="str">
        <x:v>AUD-C-112</x:v>
      </x:c>
      <x:c r="B117" s="10" t="str">
        <x:v>case execution</x:v>
      </x:c>
      <x:c r="C117" s="10" t="str">
        <x:v>RBJ-C112</x:v>
      </x:c>
      <x:c r="D117" s="10" t="str">
        <x:v>registered falsification case is executed and terminal</x:v>
      </x:c>
      <x:c r="E117" s="10" t="str">
        <x:v>PASS</x:v>
      </x:c>
      <x:c r="F117" s="12"/>
      <x:c r="G117" s="10" t="str">
        <x:f>IF(F117="","OPEN",IF(F117=E117,"PASS","FAIL"))</x:f>
        <x:v>OPEN</x:v>
      </x:c>
      <x:c r="H117" s="10" t="str">
        <x:v>class validity</x:v>
      </x:c>
    </x:row>
    <x:row r="118">
      <x:c r="A118" s="10" t="str">
        <x:v>AUD-C-113</x:v>
      </x:c>
      <x:c r="B118" s="10" t="str">
        <x:v>case execution</x:v>
      </x:c>
      <x:c r="C118" s="10" t="str">
        <x:v>RBJ-C113</x:v>
      </x:c>
      <x:c r="D118" s="10" t="str">
        <x:v>registered falsification case is executed and terminal</x:v>
      </x:c>
      <x:c r="E118" s="10" t="str">
        <x:v>PASS</x:v>
      </x:c>
      <x:c r="F118" s="12"/>
      <x:c r="G118" s="10" t="str">
        <x:f>IF(F118="","OPEN",IF(F118=E118,"PASS","FAIL"))</x:f>
        <x:v>OPEN</x:v>
      </x:c>
      <x:c r="H118" s="10" t="str">
        <x:v>class validity</x:v>
      </x:c>
    </x:row>
    <x:row r="119">
      <x:c r="A119" s="10" t="str">
        <x:v>AUD-C-114</x:v>
      </x:c>
      <x:c r="B119" s="10" t="str">
        <x:v>case execution</x:v>
      </x:c>
      <x:c r="C119" s="10" t="str">
        <x:v>RBJ-C114</x:v>
      </x:c>
      <x:c r="D119" s="10" t="str">
        <x:v>registered falsification case is executed and terminal</x:v>
      </x:c>
      <x:c r="E119" s="10" t="str">
        <x:v>PASS</x:v>
      </x:c>
      <x:c r="F119" s="12"/>
      <x:c r="G119" s="10" t="str">
        <x:f>IF(F119="","OPEN",IF(F119=E119,"PASS","FAIL"))</x:f>
        <x:v>OPEN</x:v>
      </x:c>
      <x:c r="H119" s="10" t="str">
        <x:v>class validity</x:v>
      </x:c>
    </x:row>
    <x:row r="120">
      <x:c r="A120" s="10" t="str">
        <x:v>AUD-C-115</x:v>
      </x:c>
      <x:c r="B120" s="10" t="str">
        <x:v>case execution</x:v>
      </x:c>
      <x:c r="C120" s="10" t="str">
        <x:v>RBJ-C115</x:v>
      </x:c>
      <x:c r="D120" s="10" t="str">
        <x:v>registered falsification case is executed and terminal</x:v>
      </x:c>
      <x:c r="E120" s="10" t="str">
        <x:v>PASS</x:v>
      </x:c>
      <x:c r="F120" s="12"/>
      <x:c r="G120" s="10" t="str">
        <x:f>IF(F120="","OPEN",IF(F120=E120,"PASS","FAIL"))</x:f>
        <x:v>OPEN</x:v>
      </x:c>
      <x:c r="H120" s="10" t="str">
        <x:v>class validity</x:v>
      </x:c>
    </x:row>
    <x:row r="121">
      <x:c r="A121" s="10" t="str">
        <x:v>AUD-C-116</x:v>
      </x:c>
      <x:c r="B121" s="10" t="str">
        <x:v>case execution</x:v>
      </x:c>
      <x:c r="C121" s="10" t="str">
        <x:v>RBJ-C116</x:v>
      </x:c>
      <x:c r="D121" s="10" t="str">
        <x:v>registered falsification case is executed and terminal</x:v>
      </x:c>
      <x:c r="E121" s="10" t="str">
        <x:v>PASS</x:v>
      </x:c>
      <x:c r="F121" s="12"/>
      <x:c r="G121" s="10" t="str">
        <x:f>IF(F121="","OPEN",IF(F121=E121,"PASS","FAIL"))</x:f>
        <x:v>OPEN</x:v>
      </x:c>
      <x:c r="H121" s="10" t="str">
        <x:v>class validity</x:v>
      </x:c>
    </x:row>
    <x:row r="122">
      <x:c r="A122" s="10" t="str">
        <x:v>AUD-C-117</x:v>
      </x:c>
      <x:c r="B122" s="10" t="str">
        <x:v>case execution</x:v>
      </x:c>
      <x:c r="C122" s="10" t="str">
        <x:v>RBJ-C117</x:v>
      </x:c>
      <x:c r="D122" s="10" t="str">
        <x:v>registered falsification case is executed and terminal</x:v>
      </x:c>
      <x:c r="E122" s="10" t="str">
        <x:v>PASS</x:v>
      </x:c>
      <x:c r="F122" s="12"/>
      <x:c r="G122" s="10" t="str">
        <x:f>IF(F122="","OPEN",IF(F122=E122,"PASS","FAIL"))</x:f>
        <x:v>OPEN</x:v>
      </x:c>
      <x:c r="H122" s="10" t="str">
        <x:v>class validity</x:v>
      </x:c>
    </x:row>
    <x:row r="123">
      <x:c r="A123" s="10" t="str">
        <x:v>AUD-C-118</x:v>
      </x:c>
      <x:c r="B123" s="10" t="str">
        <x:v>case execution</x:v>
      </x:c>
      <x:c r="C123" s="10" t="str">
        <x:v>RBJ-C118</x:v>
      </x:c>
      <x:c r="D123" s="10" t="str">
        <x:v>registered falsification case is executed and terminal</x:v>
      </x:c>
      <x:c r="E123" s="10" t="str">
        <x:v>PASS</x:v>
      </x:c>
      <x:c r="F123" s="12"/>
      <x:c r="G123" s="10" t="str">
        <x:f>IF(F123="","OPEN",IF(F123=E123,"PASS","FAIL"))</x:f>
        <x:v>OPEN</x:v>
      </x:c>
      <x:c r="H123" s="10" t="str">
        <x:v>class validity</x:v>
      </x:c>
    </x:row>
    <x:row r="124">
      <x:c r="A124" s="10" t="str">
        <x:v>AUD-C-119</x:v>
      </x:c>
      <x:c r="B124" s="10" t="str">
        <x:v>case execution</x:v>
      </x:c>
      <x:c r="C124" s="10" t="str">
        <x:v>RBJ-C119</x:v>
      </x:c>
      <x:c r="D124" s="10" t="str">
        <x:v>registered falsification case is executed and terminal</x:v>
      </x:c>
      <x:c r="E124" s="10" t="str">
        <x:v>PASS</x:v>
      </x:c>
      <x:c r="F124" s="12"/>
      <x:c r="G124" s="10" t="str">
        <x:f>IF(F124="","OPEN",IF(F124=E124,"PASS","FAIL"))</x:f>
        <x:v>OPEN</x:v>
      </x:c>
      <x:c r="H124" s="10" t="str">
        <x:v>class validity</x:v>
      </x:c>
    </x:row>
    <x:row r="125">
      <x:c r="A125" s="10" t="str">
        <x:v>AUD-C-120</x:v>
      </x:c>
      <x:c r="B125" s="10" t="str">
        <x:v>case execution</x:v>
      </x:c>
      <x:c r="C125" s="10" t="str">
        <x:v>RBJ-C120</x:v>
      </x:c>
      <x:c r="D125" s="10" t="str">
        <x:v>registered falsification case is executed and terminal</x:v>
      </x:c>
      <x:c r="E125" s="10" t="str">
        <x:v>PASS</x:v>
      </x:c>
      <x:c r="F125" s="12"/>
      <x:c r="G125" s="10" t="str">
        <x:f>IF(F125="","OPEN",IF(F125=E125,"PASS","FAIL"))</x:f>
        <x:v>OPEN</x:v>
      </x:c>
      <x:c r="H125" s="10" t="str">
        <x:v>class validity</x:v>
      </x:c>
    </x:row>
    <x:row r="126">
      <x:c r="A126" s="10" t="str">
        <x:v>AUD-C-121</x:v>
      </x:c>
      <x:c r="B126" s="10" t="str">
        <x:v>case execution</x:v>
      </x:c>
      <x:c r="C126" s="10" t="str">
        <x:v>RBJ-C121</x:v>
      </x:c>
      <x:c r="D126" s="10" t="str">
        <x:v>registered falsification case is executed and terminal</x:v>
      </x:c>
      <x:c r="E126" s="10" t="str">
        <x:v>PASS</x:v>
      </x:c>
      <x:c r="F126" s="12"/>
      <x:c r="G126" s="10" t="str">
        <x:f>IF(F126="","OPEN",IF(F126=E126,"PASS","FAIL"))</x:f>
        <x:v>OPEN</x:v>
      </x:c>
      <x:c r="H126" s="10" t="str">
        <x:v>class validity</x:v>
      </x:c>
    </x:row>
    <x:row r="127">
      <x:c r="A127" s="10" t="str">
        <x:v>AUD-C-122</x:v>
      </x:c>
      <x:c r="B127" s="10" t="str">
        <x:v>case execution</x:v>
      </x:c>
      <x:c r="C127" s="10" t="str">
        <x:v>RBJ-C122</x:v>
      </x:c>
      <x:c r="D127" s="10" t="str">
        <x:v>registered falsification case is executed and terminal</x:v>
      </x:c>
      <x:c r="E127" s="10" t="str">
        <x:v>PASS</x:v>
      </x:c>
      <x:c r="F127" s="12"/>
      <x:c r="G127" s="10" t="str">
        <x:f>IF(F127="","OPEN",IF(F127=E127,"PASS","FAIL"))</x:f>
        <x:v>OPEN</x:v>
      </x:c>
      <x:c r="H127" s="10" t="str">
        <x:v>class validity</x:v>
      </x:c>
    </x:row>
    <x:row r="128">
      <x:c r="A128" s="10" t="str">
        <x:v>AUD-C-123</x:v>
      </x:c>
      <x:c r="B128" s="10" t="str">
        <x:v>case execution</x:v>
      </x:c>
      <x:c r="C128" s="10" t="str">
        <x:v>RBJ-C123</x:v>
      </x:c>
      <x:c r="D128" s="10" t="str">
        <x:v>registered falsification case is executed and terminal</x:v>
      </x:c>
      <x:c r="E128" s="10" t="str">
        <x:v>PASS</x:v>
      </x:c>
      <x:c r="F128" s="12"/>
      <x:c r="G128" s="10" t="str">
        <x:f>IF(F128="","OPEN",IF(F128=E128,"PASS","FAIL"))</x:f>
        <x:v>OPEN</x:v>
      </x:c>
      <x:c r="H128" s="10" t="str">
        <x:v>class validity</x:v>
      </x:c>
    </x:row>
    <x:row r="129">
      <x:c r="A129" s="10" t="str">
        <x:v>AUD-C-124</x:v>
      </x:c>
      <x:c r="B129" s="10" t="str">
        <x:v>case execution</x:v>
      </x:c>
      <x:c r="C129" s="10" t="str">
        <x:v>RBJ-C124</x:v>
      </x:c>
      <x:c r="D129" s="10" t="str">
        <x:v>registered falsification case is executed and terminal</x:v>
      </x:c>
      <x:c r="E129" s="10" t="str">
        <x:v>PASS</x:v>
      </x:c>
      <x:c r="F129" s="12"/>
      <x:c r="G129" s="10" t="str">
        <x:f>IF(F129="","OPEN",IF(F129=E129,"PASS","FAIL"))</x:f>
        <x:v>OPEN</x:v>
      </x:c>
      <x:c r="H129" s="10" t="str">
        <x:v>class validity</x:v>
      </x:c>
    </x:row>
    <x:row r="130">
      <x:c r="A130" s="10" t="str">
        <x:v>AUD-C-125</x:v>
      </x:c>
      <x:c r="B130" s="10" t="str">
        <x:v>case execution</x:v>
      </x:c>
      <x:c r="C130" s="10" t="str">
        <x:v>RBJ-C125</x:v>
      </x:c>
      <x:c r="D130" s="10" t="str">
        <x:v>registered falsification case is executed and terminal</x:v>
      </x:c>
      <x:c r="E130" s="10" t="str">
        <x:v>PASS</x:v>
      </x:c>
      <x:c r="F130" s="12"/>
      <x:c r="G130" s="10" t="str">
        <x:f>IF(F130="","OPEN",IF(F130=E130,"PASS","FAIL"))</x:f>
        <x:v>OPEN</x:v>
      </x:c>
      <x:c r="H130" s="10" t="str">
        <x:v>class validity</x:v>
      </x:c>
    </x:row>
    <x:row r="131">
      <x:c r="A131" s="10" t="str">
        <x:v>AUD-C-126</x:v>
      </x:c>
      <x:c r="B131" s="10" t="str">
        <x:v>case execution</x:v>
      </x:c>
      <x:c r="C131" s="10" t="str">
        <x:v>RBJ-C126</x:v>
      </x:c>
      <x:c r="D131" s="10" t="str">
        <x:v>registered falsification case is executed and terminal</x:v>
      </x:c>
      <x:c r="E131" s="10" t="str">
        <x:v>PASS</x:v>
      </x:c>
      <x:c r="F131" s="12"/>
      <x:c r="G131" s="10" t="str">
        <x:f>IF(F131="","OPEN",IF(F131=E131,"PASS","FAIL"))</x:f>
        <x:v>OPEN</x:v>
      </x:c>
      <x:c r="H131" s="10" t="str">
        <x:v>class validity</x:v>
      </x:c>
    </x:row>
    <x:row r="132">
      <x:c r="A132" s="10" t="str">
        <x:v>AUD-C-127</x:v>
      </x:c>
      <x:c r="B132" s="10" t="str">
        <x:v>case execution</x:v>
      </x:c>
      <x:c r="C132" s="10" t="str">
        <x:v>RBJ-C127</x:v>
      </x:c>
      <x:c r="D132" s="10" t="str">
        <x:v>registered falsification case is executed and terminal</x:v>
      </x:c>
      <x:c r="E132" s="10" t="str">
        <x:v>PASS</x:v>
      </x:c>
      <x:c r="F132" s="12"/>
      <x:c r="G132" s="10" t="str">
        <x:f>IF(F132="","OPEN",IF(F132=E132,"PASS","FAIL"))</x:f>
        <x:v>OPEN</x:v>
      </x:c>
      <x:c r="H132" s="10" t="str">
        <x:v>class validity</x:v>
      </x:c>
    </x:row>
    <x:row r="133">
      <x:c r="A133" s="10" t="str">
        <x:v>AUD-C-128</x:v>
      </x:c>
      <x:c r="B133" s="10" t="str">
        <x:v>case execution</x:v>
      </x:c>
      <x:c r="C133" s="10" t="str">
        <x:v>RBJ-C128</x:v>
      </x:c>
      <x:c r="D133" s="10" t="str">
        <x:v>registered falsification case is executed and terminal</x:v>
      </x:c>
      <x:c r="E133" s="10" t="str">
        <x:v>PASS</x:v>
      </x:c>
      <x:c r="F133" s="12"/>
      <x:c r="G133" s="10" t="str">
        <x:f>IF(F133="","OPEN",IF(F133=E133,"PASS","FAIL"))</x:f>
        <x:v>OPEN</x:v>
      </x:c>
      <x:c r="H133" s="10" t="str">
        <x:v>class validity</x:v>
      </x:c>
    </x:row>
    <x:row r="134">
      <x:c r="A134" s="10" t="str">
        <x:v>AUD-C-129</x:v>
      </x:c>
      <x:c r="B134" s="10" t="str">
        <x:v>case execution</x:v>
      </x:c>
      <x:c r="C134" s="10" t="str">
        <x:v>RBJ-C129</x:v>
      </x:c>
      <x:c r="D134" s="10" t="str">
        <x:v>registered falsification case is executed and terminal</x:v>
      </x:c>
      <x:c r="E134" s="10" t="str">
        <x:v>PASS</x:v>
      </x:c>
      <x:c r="F134" s="12"/>
      <x:c r="G134" s="10" t="str">
        <x:f>IF(F134="","OPEN",IF(F134=E134,"PASS","FAIL"))</x:f>
        <x:v>OPEN</x:v>
      </x:c>
      <x:c r="H134" s="10" t="str">
        <x:v>class validity</x:v>
      </x:c>
    </x:row>
    <x:row r="135">
      <x:c r="A135" s="10" t="str">
        <x:v>AUD-C-130</x:v>
      </x:c>
      <x:c r="B135" s="10" t="str">
        <x:v>case execution</x:v>
      </x:c>
      <x:c r="C135" s="10" t="str">
        <x:v>RBJ-C130</x:v>
      </x:c>
      <x:c r="D135" s="10" t="str">
        <x:v>registered falsification case is executed and terminal</x:v>
      </x:c>
      <x:c r="E135" s="10" t="str">
        <x:v>PASS</x:v>
      </x:c>
      <x:c r="F135" s="12"/>
      <x:c r="G135" s="10" t="str">
        <x:f>IF(F135="","OPEN",IF(F135=E135,"PASS","FAIL"))</x:f>
        <x:v>OPEN</x:v>
      </x:c>
      <x:c r="H135" s="10" t="str">
        <x:v>class validity</x:v>
      </x:c>
    </x:row>
    <x:row r="136">
      <x:c r="A136" s="10" t="str">
        <x:v>AUD-C-131</x:v>
      </x:c>
      <x:c r="B136" s="10" t="str">
        <x:v>case execution</x:v>
      </x:c>
      <x:c r="C136" s="10" t="str">
        <x:v>RBJ-C131</x:v>
      </x:c>
      <x:c r="D136" s="10" t="str">
        <x:v>registered falsification case is executed and terminal</x:v>
      </x:c>
      <x:c r="E136" s="10" t="str">
        <x:v>PASS</x:v>
      </x:c>
      <x:c r="F136" s="12"/>
      <x:c r="G136" s="10" t="str">
        <x:f>IF(F136="","OPEN",IF(F136=E136,"PASS","FAIL"))</x:f>
        <x:v>OPEN</x:v>
      </x:c>
      <x:c r="H136" s="10" t="str">
        <x:v>class validity</x:v>
      </x:c>
    </x:row>
    <x:row r="137">
      <x:c r="A137" s="10" t="str">
        <x:v>AUD-C-132</x:v>
      </x:c>
      <x:c r="B137" s="10" t="str">
        <x:v>case execution</x:v>
      </x:c>
      <x:c r="C137" s="10" t="str">
        <x:v>RBJ-C132</x:v>
      </x:c>
      <x:c r="D137" s="10" t="str">
        <x:v>registered falsification case is executed and terminal</x:v>
      </x:c>
      <x:c r="E137" s="10" t="str">
        <x:v>PASS</x:v>
      </x:c>
      <x:c r="F137" s="12"/>
      <x:c r="G137" s="10" t="str">
        <x:f>IF(F137="","OPEN",IF(F137=E137,"PASS","FAIL"))</x:f>
        <x:v>OPEN</x:v>
      </x:c>
      <x:c r="H137" s="10" t="str">
        <x:v>class validity</x:v>
      </x:c>
    </x:row>
    <x:row r="138">
      <x:c r="A138" s="10" t="str">
        <x:v>AUD-C-133</x:v>
      </x:c>
      <x:c r="B138" s="10" t="str">
        <x:v>case execution</x:v>
      </x:c>
      <x:c r="C138" s="10" t="str">
        <x:v>RBJ-C133</x:v>
      </x:c>
      <x:c r="D138" s="10" t="str">
        <x:v>registered falsification case is executed and terminal</x:v>
      </x:c>
      <x:c r="E138" s="10" t="str">
        <x:v>PASS</x:v>
      </x:c>
      <x:c r="F138" s="12"/>
      <x:c r="G138" s="10" t="str">
        <x:f>IF(F138="","OPEN",IF(F138=E138,"PASS","FAIL"))</x:f>
        <x:v>OPEN</x:v>
      </x:c>
      <x:c r="H138" s="10" t="str">
        <x:v>class validity</x:v>
      </x:c>
    </x:row>
    <x:row r="139">
      <x:c r="A139" s="10" t="str">
        <x:v>AUD-C-134</x:v>
      </x:c>
      <x:c r="B139" s="10" t="str">
        <x:v>case execution</x:v>
      </x:c>
      <x:c r="C139" s="10" t="str">
        <x:v>RBJ-C134</x:v>
      </x:c>
      <x:c r="D139" s="10" t="str">
        <x:v>registered falsification case is executed and terminal</x:v>
      </x:c>
      <x:c r="E139" s="10" t="str">
        <x:v>PASS</x:v>
      </x:c>
      <x:c r="F139" s="12"/>
      <x:c r="G139" s="10" t="str">
        <x:f>IF(F139="","OPEN",IF(F139=E139,"PASS","FAIL"))</x:f>
        <x:v>OPEN</x:v>
      </x:c>
      <x:c r="H139" s="10" t="str">
        <x:v>class validity</x:v>
      </x:c>
    </x:row>
    <x:row r="140">
      <x:c r="A140" s="10" t="str">
        <x:v>AUD-C-135</x:v>
      </x:c>
      <x:c r="B140" s="10" t="str">
        <x:v>case execution</x:v>
      </x:c>
      <x:c r="C140" s="10" t="str">
        <x:v>RBJ-C135</x:v>
      </x:c>
      <x:c r="D140" s="10" t="str">
        <x:v>registered falsification case is executed and terminal</x:v>
      </x:c>
      <x:c r="E140" s="10" t="str">
        <x:v>PASS</x:v>
      </x:c>
      <x:c r="F140" s="12"/>
      <x:c r="G140" s="10" t="str">
        <x:f>IF(F140="","OPEN",IF(F140=E140,"PASS","FAIL"))</x:f>
        <x:v>OPEN</x:v>
      </x:c>
      <x:c r="H140" s="10" t="str">
        <x:v>class validity</x:v>
      </x:c>
    </x:row>
    <x:row r="141">
      <x:c r="A141" s="10" t="str">
        <x:v>AUD-C-136</x:v>
      </x:c>
      <x:c r="B141" s="10" t="str">
        <x:v>case execution</x:v>
      </x:c>
      <x:c r="C141" s="10" t="str">
        <x:v>RBJ-C136</x:v>
      </x:c>
      <x:c r="D141" s="10" t="str">
        <x:v>registered falsification case is executed and terminal</x:v>
      </x:c>
      <x:c r="E141" s="10" t="str">
        <x:v>PASS</x:v>
      </x:c>
      <x:c r="F141" s="12"/>
      <x:c r="G141" s="10" t="str">
        <x:f>IF(F141="","OPEN",IF(F141=E141,"PASS","FAIL"))</x:f>
        <x:v>OPEN</x:v>
      </x:c>
      <x:c r="H141" s="10" t="str">
        <x:v>class validity</x:v>
      </x:c>
    </x:row>
    <x:row r="142">
      <x:c r="A142" s="10" t="str">
        <x:v>AUD-C-137</x:v>
      </x:c>
      <x:c r="B142" s="10" t="str">
        <x:v>case execution</x:v>
      </x:c>
      <x:c r="C142" s="10" t="str">
        <x:v>RBJ-C137</x:v>
      </x:c>
      <x:c r="D142" s="10" t="str">
        <x:v>registered falsification case is executed and terminal</x:v>
      </x:c>
      <x:c r="E142" s="10" t="str">
        <x:v>PASS</x:v>
      </x:c>
      <x:c r="F142" s="12"/>
      <x:c r="G142" s="10" t="str">
        <x:f>IF(F142="","OPEN",IF(F142=E142,"PASS","FAIL"))</x:f>
        <x:v>OPEN</x:v>
      </x:c>
      <x:c r="H142" s="10" t="str">
        <x:v>class validity</x:v>
      </x:c>
    </x:row>
    <x:row r="143">
      <x:c r="A143" s="10" t="str">
        <x:v>AUD-C-138</x:v>
      </x:c>
      <x:c r="B143" s="10" t="str">
        <x:v>case execution</x:v>
      </x:c>
      <x:c r="C143" s="10" t="str">
        <x:v>RBJ-C138</x:v>
      </x:c>
      <x:c r="D143" s="10" t="str">
        <x:v>registered falsification case is executed and terminal</x:v>
      </x:c>
      <x:c r="E143" s="10" t="str">
        <x:v>PASS</x:v>
      </x:c>
      <x:c r="F143" s="12"/>
      <x:c r="G143" s="10" t="str">
        <x:f>IF(F143="","OPEN",IF(F143=E143,"PASS","FAIL"))</x:f>
        <x:v>OPEN</x:v>
      </x:c>
      <x:c r="H143" s="10" t="str">
        <x:v>class validity</x:v>
      </x:c>
    </x:row>
    <x:row r="144">
      <x:c r="A144" s="10" t="str">
        <x:v>AUD-C-139</x:v>
      </x:c>
      <x:c r="B144" s="10" t="str">
        <x:v>case execution</x:v>
      </x:c>
      <x:c r="C144" s="10" t="str">
        <x:v>RBJ-C139</x:v>
      </x:c>
      <x:c r="D144" s="10" t="str">
        <x:v>registered falsification case is executed and terminal</x:v>
      </x:c>
      <x:c r="E144" s="10" t="str">
        <x:v>PASS</x:v>
      </x:c>
      <x:c r="F144" s="12"/>
      <x:c r="G144" s="10" t="str">
        <x:f>IF(F144="","OPEN",IF(F144=E144,"PASS","FAIL"))</x:f>
        <x:v>OPEN</x:v>
      </x:c>
      <x:c r="H144" s="10" t="str">
        <x:v>class validity</x:v>
      </x:c>
    </x:row>
    <x:row r="145">
      <x:c r="A145" s="10" t="str">
        <x:v>AUD-C-140</x:v>
      </x:c>
      <x:c r="B145" s="10" t="str">
        <x:v>case execution</x:v>
      </x:c>
      <x:c r="C145" s="10" t="str">
        <x:v>RBJ-C140</x:v>
      </x:c>
      <x:c r="D145" s="10" t="str">
        <x:v>registered falsification case is executed and terminal</x:v>
      </x:c>
      <x:c r="E145" s="10" t="str">
        <x:v>PASS</x:v>
      </x:c>
      <x:c r="F145" s="12"/>
      <x:c r="G145" s="10" t="str">
        <x:f>IF(F145="","OPEN",IF(F145=E145,"PASS","FAIL"))</x:f>
        <x:v>OPEN</x:v>
      </x:c>
      <x:c r="H145" s="10" t="str">
        <x:v>class validity</x:v>
      </x:c>
    </x:row>
    <x:row r="146">
      <x:c r="A146" s="10" t="str">
        <x:v>AUD-C-141</x:v>
      </x:c>
      <x:c r="B146" s="10" t="str">
        <x:v>case execution</x:v>
      </x:c>
      <x:c r="C146" s="10" t="str">
        <x:v>RBJ-C141</x:v>
      </x:c>
      <x:c r="D146" s="10" t="str">
        <x:v>registered falsification case is executed and terminal</x:v>
      </x:c>
      <x:c r="E146" s="10" t="str">
        <x:v>PASS</x:v>
      </x:c>
      <x:c r="F146" s="12"/>
      <x:c r="G146" s="10" t="str">
        <x:f>IF(F146="","OPEN",IF(F146=E146,"PASS","FAIL"))</x:f>
        <x:v>OPEN</x:v>
      </x:c>
      <x:c r="H146" s="10" t="str">
        <x:v>class validity</x:v>
      </x:c>
    </x:row>
    <x:row r="147">
      <x:c r="A147" s="10" t="str">
        <x:v>AUD-C-142</x:v>
      </x:c>
      <x:c r="B147" s="10" t="str">
        <x:v>case execution</x:v>
      </x:c>
      <x:c r="C147" s="10" t="str">
        <x:v>RBJ-C142</x:v>
      </x:c>
      <x:c r="D147" s="10" t="str">
        <x:v>registered falsification case is executed and terminal</x:v>
      </x:c>
      <x:c r="E147" s="10" t="str">
        <x:v>PASS</x:v>
      </x:c>
      <x:c r="F147" s="12"/>
      <x:c r="G147" s="10" t="str">
        <x:f>IF(F147="","OPEN",IF(F147=E147,"PASS","FAIL"))</x:f>
        <x:v>OPEN</x:v>
      </x:c>
      <x:c r="H147" s="10" t="str">
        <x:v>class validity</x:v>
      </x:c>
    </x:row>
    <x:row r="148">
      <x:c r="A148" s="10" t="str">
        <x:v>AUD-C-143</x:v>
      </x:c>
      <x:c r="B148" s="10" t="str">
        <x:v>case execution</x:v>
      </x:c>
      <x:c r="C148" s="10" t="str">
        <x:v>RBJ-C143</x:v>
      </x:c>
      <x:c r="D148" s="10" t="str">
        <x:v>registered falsification case is executed and terminal</x:v>
      </x:c>
      <x:c r="E148" s="10" t="str">
        <x:v>PASS</x:v>
      </x:c>
      <x:c r="F148" s="12"/>
      <x:c r="G148" s="10" t="str">
        <x:f>IF(F148="","OPEN",IF(F148=E148,"PASS","FAIL"))</x:f>
        <x:v>OPEN</x:v>
      </x:c>
      <x:c r="H148" s="10" t="str">
        <x:v>class validity</x:v>
      </x:c>
    </x:row>
    <x:row r="149">
      <x:c r="A149" s="10" t="str">
        <x:v>AUD-C-144</x:v>
      </x:c>
      <x:c r="B149" s="10" t="str">
        <x:v>case execution</x:v>
      </x:c>
      <x:c r="C149" s="10" t="str">
        <x:v>RBJ-C144</x:v>
      </x:c>
      <x:c r="D149" s="10" t="str">
        <x:v>registered falsification case is executed and terminal</x:v>
      </x:c>
      <x:c r="E149" s="10" t="str">
        <x:v>PASS</x:v>
      </x:c>
      <x:c r="F149" s="12"/>
      <x:c r="G149" s="10" t="str">
        <x:f>IF(F149="","OPEN",IF(F149=E149,"PASS","FAIL"))</x:f>
        <x:v>OPEN</x:v>
      </x:c>
      <x:c r="H149" s="10" t="str">
        <x:v>class validity</x:v>
      </x:c>
    </x:row>
    <x:row r="150">
      <x:c r="A150" s="10" t="str">
        <x:v>AUD-C-145</x:v>
      </x:c>
      <x:c r="B150" s="10" t="str">
        <x:v>case execution</x:v>
      </x:c>
      <x:c r="C150" s="10" t="str">
        <x:v>RBJ-C145</x:v>
      </x:c>
      <x:c r="D150" s="10" t="str">
        <x:v>registered falsification case is executed and terminal</x:v>
      </x:c>
      <x:c r="E150" s="10" t="str">
        <x:v>PASS</x:v>
      </x:c>
      <x:c r="F150" s="12"/>
      <x:c r="G150" s="10" t="str">
        <x:f>IF(F150="","OPEN",IF(F150=E150,"PASS","FAIL"))</x:f>
        <x:v>OPEN</x:v>
      </x:c>
      <x:c r="H150" s="10" t="str">
        <x:v>class validity</x:v>
      </x:c>
    </x:row>
    <x:row r="151">
      <x:c r="A151" s="10" t="str">
        <x:v>AUD-C-146</x:v>
      </x:c>
      <x:c r="B151" s="10" t="str">
        <x:v>case execution</x:v>
      </x:c>
      <x:c r="C151" s="10" t="str">
        <x:v>RBJ-C146</x:v>
      </x:c>
      <x:c r="D151" s="10" t="str">
        <x:v>registered falsification case is executed and terminal</x:v>
      </x:c>
      <x:c r="E151" s="10" t="str">
        <x:v>PASS</x:v>
      </x:c>
      <x:c r="F151" s="12"/>
      <x:c r="G151" s="10" t="str">
        <x:f>IF(F151="","OPEN",IF(F151=E151,"PASS","FAIL"))</x:f>
        <x:v>OPEN</x:v>
      </x:c>
      <x:c r="H151" s="10" t="str">
        <x:v>class validity</x:v>
      </x:c>
    </x:row>
    <x:row r="152">
      <x:c r="A152" s="10" t="str">
        <x:v>AUD-C-147</x:v>
      </x:c>
      <x:c r="B152" s="10" t="str">
        <x:v>case execution</x:v>
      </x:c>
      <x:c r="C152" s="10" t="str">
        <x:v>RBJ-C147</x:v>
      </x:c>
      <x:c r="D152" s="10" t="str">
        <x:v>registered falsification case is executed and terminal</x:v>
      </x:c>
      <x:c r="E152" s="10" t="str">
        <x:v>PASS</x:v>
      </x:c>
      <x:c r="F152" s="12"/>
      <x:c r="G152" s="10" t="str">
        <x:f>IF(F152="","OPEN",IF(F152=E152,"PASS","FAIL"))</x:f>
        <x:v>OPEN</x:v>
      </x:c>
      <x:c r="H152" s="10" t="str">
        <x:v>class validity</x:v>
      </x:c>
    </x:row>
    <x:row r="153">
      <x:c r="A153" s="10" t="str">
        <x:v>AUD-C-148</x:v>
      </x:c>
      <x:c r="B153" s="10" t="str">
        <x:v>case execution</x:v>
      </x:c>
      <x:c r="C153" s="10" t="str">
        <x:v>RBJ-C148</x:v>
      </x:c>
      <x:c r="D153" s="10" t="str">
        <x:v>registered falsification case is executed and terminal</x:v>
      </x:c>
      <x:c r="E153" s="10" t="str">
        <x:v>PASS</x:v>
      </x:c>
      <x:c r="F153" s="12"/>
      <x:c r="G153" s="10" t="str">
        <x:f>IF(F153="","OPEN",IF(F153=E153,"PASS","FAIL"))</x:f>
        <x:v>OPEN</x:v>
      </x:c>
      <x:c r="H153" s="10" t="str">
        <x:v>class validity</x:v>
      </x:c>
    </x:row>
    <x:row r="154">
      <x:c r="A154" s="10" t="str">
        <x:v>AUD-C-149</x:v>
      </x:c>
      <x:c r="B154" s="10" t="str">
        <x:v>case execution</x:v>
      </x:c>
      <x:c r="C154" s="10" t="str">
        <x:v>RBJ-C149</x:v>
      </x:c>
      <x:c r="D154" s="10" t="str">
        <x:v>registered falsification case is executed and terminal</x:v>
      </x:c>
      <x:c r="E154" s="10" t="str">
        <x:v>PASS</x:v>
      </x:c>
      <x:c r="F154" s="12"/>
      <x:c r="G154" s="10" t="str">
        <x:f>IF(F154="","OPEN",IF(F154=E154,"PASS","FAIL"))</x:f>
        <x:v>OPEN</x:v>
      </x:c>
      <x:c r="H154" s="10" t="str">
        <x:v>class validity</x:v>
      </x:c>
    </x:row>
    <x:row r="155">
      <x:c r="A155" s="10" t="str">
        <x:v>AUD-C-150</x:v>
      </x:c>
      <x:c r="B155" s="10" t="str">
        <x:v>case execution</x:v>
      </x:c>
      <x:c r="C155" s="10" t="str">
        <x:v>RBJ-C150</x:v>
      </x:c>
      <x:c r="D155" s="10" t="str">
        <x:v>registered falsification case is executed and terminal</x:v>
      </x:c>
      <x:c r="E155" s="10" t="str">
        <x:v>PASS</x:v>
      </x:c>
      <x:c r="F155" s="12"/>
      <x:c r="G155" s="10" t="str">
        <x:f>IF(F155="","OPEN",IF(F155=E155,"PASS","FAIL"))</x:f>
        <x:v>OPEN</x:v>
      </x:c>
      <x:c r="H155" s="10" t="str">
        <x:v>class validity</x:v>
      </x:c>
    </x:row>
    <x:row r="156">
      <x:c r="A156" s="10" t="str">
        <x:v>AUD-C-151</x:v>
      </x:c>
      <x:c r="B156" s="10" t="str">
        <x:v>case execution</x:v>
      </x:c>
      <x:c r="C156" s="10" t="str">
        <x:v>RBJ-C151</x:v>
      </x:c>
      <x:c r="D156" s="10" t="str">
        <x:v>registered falsification case is executed and terminal</x:v>
      </x:c>
      <x:c r="E156" s="10" t="str">
        <x:v>PASS</x:v>
      </x:c>
      <x:c r="F156" s="12"/>
      <x:c r="G156" s="10" t="str">
        <x:f>IF(F156="","OPEN",IF(F156=E156,"PASS","FAIL"))</x:f>
        <x:v>OPEN</x:v>
      </x:c>
      <x:c r="H156" s="10" t="str">
        <x:v>class validity</x:v>
      </x:c>
    </x:row>
    <x:row r="157">
      <x:c r="A157" s="10" t="str">
        <x:v>AUD-C-152</x:v>
      </x:c>
      <x:c r="B157" s="10" t="str">
        <x:v>case execution</x:v>
      </x:c>
      <x:c r="C157" s="10" t="str">
        <x:v>RBJ-C152</x:v>
      </x:c>
      <x:c r="D157" s="10" t="str">
        <x:v>registered falsification case is executed and terminal</x:v>
      </x:c>
      <x:c r="E157" s="10" t="str">
        <x:v>PASS</x:v>
      </x:c>
      <x:c r="F157" s="12"/>
      <x:c r="G157" s="10" t="str">
        <x:f>IF(F157="","OPEN",IF(F157=E157,"PASS","FAIL"))</x:f>
        <x:v>OPEN</x:v>
      </x:c>
      <x:c r="H157" s="10" t="str">
        <x:v>class validity</x:v>
      </x:c>
    </x:row>
    <x:row r="158">
      <x:c r="A158" s="10" t="str">
        <x:v>AUD-C-153</x:v>
      </x:c>
      <x:c r="B158" s="10" t="str">
        <x:v>case execution</x:v>
      </x:c>
      <x:c r="C158" s="10" t="str">
        <x:v>RBJ-C153</x:v>
      </x:c>
      <x:c r="D158" s="10" t="str">
        <x:v>registered falsification case is executed and terminal</x:v>
      </x:c>
      <x:c r="E158" s="10" t="str">
        <x:v>PASS</x:v>
      </x:c>
      <x:c r="F158" s="12"/>
      <x:c r="G158" s="10" t="str">
        <x:f>IF(F158="","OPEN",IF(F158=E158,"PASS","FAIL"))</x:f>
        <x:v>OPEN</x:v>
      </x:c>
      <x:c r="H158" s="10" t="str">
        <x:v>class validity</x:v>
      </x:c>
    </x:row>
    <x:row r="159">
      <x:c r="A159" s="10" t="str">
        <x:v>AUD-C-154</x:v>
      </x:c>
      <x:c r="B159" s="10" t="str">
        <x:v>case execution</x:v>
      </x:c>
      <x:c r="C159" s="10" t="str">
        <x:v>RBJ-C154</x:v>
      </x:c>
      <x:c r="D159" s="10" t="str">
        <x:v>registered falsification case is executed and terminal</x:v>
      </x:c>
      <x:c r="E159" s="10" t="str">
        <x:v>PASS</x:v>
      </x:c>
      <x:c r="F159" s="12"/>
      <x:c r="G159" s="10" t="str">
        <x:f>IF(F159="","OPEN",IF(F159=E159,"PASS","FAIL"))</x:f>
        <x:v>OPEN</x:v>
      </x:c>
      <x:c r="H159" s="10" t="str">
        <x:v>class validity</x:v>
      </x:c>
    </x:row>
    <x:row r="160">
      <x:c r="A160" s="10" t="str">
        <x:v>AUD-C-155</x:v>
      </x:c>
      <x:c r="B160" s="10" t="str">
        <x:v>case execution</x:v>
      </x:c>
      <x:c r="C160" s="10" t="str">
        <x:v>RBJ-C155</x:v>
      </x:c>
      <x:c r="D160" s="10" t="str">
        <x:v>registered falsification case is executed and terminal</x:v>
      </x:c>
      <x:c r="E160" s="10" t="str">
        <x:v>PASS</x:v>
      </x:c>
      <x:c r="F160" s="12"/>
      <x:c r="G160" s="10" t="str">
        <x:f>IF(F160="","OPEN",IF(F160=E160,"PASS","FAIL"))</x:f>
        <x:v>OPEN</x:v>
      </x:c>
      <x:c r="H160" s="10" t="str">
        <x:v>class validity</x:v>
      </x:c>
    </x:row>
    <x:row r="161">
      <x:c r="A161" s="10" t="str">
        <x:v>AUD-C-156</x:v>
      </x:c>
      <x:c r="B161" s="10" t="str">
        <x:v>case execution</x:v>
      </x:c>
      <x:c r="C161" s="10" t="str">
        <x:v>RBJ-C156</x:v>
      </x:c>
      <x:c r="D161" s="10" t="str">
        <x:v>registered falsification case is executed and terminal</x:v>
      </x:c>
      <x:c r="E161" s="10" t="str">
        <x:v>PASS</x:v>
      </x:c>
      <x:c r="F161" s="12"/>
      <x:c r="G161" s="10" t="str">
        <x:f>IF(F161="","OPEN",IF(F161=E161,"PASS","FAIL"))</x:f>
        <x:v>OPEN</x:v>
      </x:c>
      <x:c r="H161" s="10" t="str">
        <x:v>class validity</x:v>
      </x:c>
    </x:row>
    <x:row r="162">
      <x:c r="A162" s="10" t="str">
        <x:v>AUD-C-157</x:v>
      </x:c>
      <x:c r="B162" s="10" t="str">
        <x:v>case execution</x:v>
      </x:c>
      <x:c r="C162" s="10" t="str">
        <x:v>RBJ-C157</x:v>
      </x:c>
      <x:c r="D162" s="10" t="str">
        <x:v>registered falsification case is executed and terminal</x:v>
      </x:c>
      <x:c r="E162" s="10" t="str">
        <x:v>PASS</x:v>
      </x:c>
      <x:c r="F162" s="12"/>
      <x:c r="G162" s="10" t="str">
        <x:f>IF(F162="","OPEN",IF(F162=E162,"PASS","FAIL"))</x:f>
        <x:v>OPEN</x:v>
      </x:c>
      <x:c r="H162" s="10" t="str">
        <x:v>class validity</x:v>
      </x:c>
    </x:row>
    <x:row r="163">
      <x:c r="A163" s="10" t="str">
        <x:v>AUD-C-158</x:v>
      </x:c>
      <x:c r="B163" s="10" t="str">
        <x:v>case execution</x:v>
      </x:c>
      <x:c r="C163" s="10" t="str">
        <x:v>RBJ-C158</x:v>
      </x:c>
      <x:c r="D163" s="10" t="str">
        <x:v>registered falsification case is executed and terminal</x:v>
      </x:c>
      <x:c r="E163" s="10" t="str">
        <x:v>PASS</x:v>
      </x:c>
      <x:c r="F163" s="12"/>
      <x:c r="G163" s="10" t="str">
        <x:f>IF(F163="","OPEN",IF(F163=E163,"PASS","FAIL"))</x:f>
        <x:v>OPEN</x:v>
      </x:c>
      <x:c r="H163" s="10" t="str">
        <x:v>class validity</x:v>
      </x:c>
    </x:row>
    <x:row r="164">
      <x:c r="A164" s="10" t="str">
        <x:v>AUD-C-159</x:v>
      </x:c>
      <x:c r="B164" s="10" t="str">
        <x:v>case execution</x:v>
      </x:c>
      <x:c r="C164" s="10" t="str">
        <x:v>RBJ-C159</x:v>
      </x:c>
      <x:c r="D164" s="10" t="str">
        <x:v>registered falsification case is executed and terminal</x:v>
      </x:c>
      <x:c r="E164" s="10" t="str">
        <x:v>PASS</x:v>
      </x:c>
      <x:c r="F164" s="12"/>
      <x:c r="G164" s="10" t="str">
        <x:f>IF(F164="","OPEN",IF(F164=E164,"PASS","FAIL"))</x:f>
        <x:v>OPEN</x:v>
      </x:c>
      <x:c r="H164" s="10" t="str">
        <x:v>class validity</x:v>
      </x:c>
    </x:row>
    <x:row r="165">
      <x:c r="A165" s="10" t="str">
        <x:v>AUD-C-160</x:v>
      </x:c>
      <x:c r="B165" s="10" t="str">
        <x:v>case execution</x:v>
      </x:c>
      <x:c r="C165" s="10" t="str">
        <x:v>RBJ-C160</x:v>
      </x:c>
      <x:c r="D165" s="10" t="str">
        <x:v>registered falsification case is executed and terminal</x:v>
      </x:c>
      <x:c r="E165" s="10" t="str">
        <x:v>PASS</x:v>
      </x:c>
      <x:c r="F165" s="12"/>
      <x:c r="G165" s="10" t="str">
        <x:f>IF(F165="","OPEN",IF(F165=E165,"PASS","FAIL"))</x:f>
        <x:v>OPEN</x:v>
      </x:c>
      <x:c r="H165" s="10" t="str">
        <x:v>class validity</x:v>
      </x:c>
    </x:row>
    <x:row r="166">
      <x:c r="A166" s="10" t="str">
        <x:v>AUD-C-161</x:v>
      </x:c>
      <x:c r="B166" s="10" t="str">
        <x:v>case execution</x:v>
      </x:c>
      <x:c r="C166" s="10" t="str">
        <x:v>RBJ-C161</x:v>
      </x:c>
      <x:c r="D166" s="10" t="str">
        <x:v>registered falsification case is executed and terminal</x:v>
      </x:c>
      <x:c r="E166" s="10" t="str">
        <x:v>PASS</x:v>
      </x:c>
      <x:c r="F166" s="12"/>
      <x:c r="G166" s="10" t="str">
        <x:f>IF(F166="","OPEN",IF(F166=E166,"PASS","FAIL"))</x:f>
        <x:v>OPEN</x:v>
      </x:c>
      <x:c r="H166" s="10" t="str">
        <x:v>class validity</x:v>
      </x:c>
    </x:row>
    <x:row r="167">
      <x:c r="A167" s="10" t="str">
        <x:v>AUD-C-162</x:v>
      </x:c>
      <x:c r="B167" s="10" t="str">
        <x:v>case execution</x:v>
      </x:c>
      <x:c r="C167" s="10" t="str">
        <x:v>RBJ-C162</x:v>
      </x:c>
      <x:c r="D167" s="10" t="str">
        <x:v>registered falsification case is executed and terminal</x:v>
      </x:c>
      <x:c r="E167" s="10" t="str">
        <x:v>PASS</x:v>
      </x:c>
      <x:c r="F167" s="12"/>
      <x:c r="G167" s="10" t="str">
        <x:f>IF(F167="","OPEN",IF(F167=E167,"PASS","FAIL"))</x:f>
        <x:v>OPEN</x:v>
      </x:c>
      <x:c r="H167" s="10" t="str">
        <x:v>class validity</x:v>
      </x:c>
    </x:row>
    <x:row r="168">
      <x:c r="A168" s="10" t="str">
        <x:v>AUD-C-163</x:v>
      </x:c>
      <x:c r="B168" s="10" t="str">
        <x:v>case execution</x:v>
      </x:c>
      <x:c r="C168" s="10" t="str">
        <x:v>RBJ-C163</x:v>
      </x:c>
      <x:c r="D168" s="10" t="str">
        <x:v>registered falsification case is executed and terminal</x:v>
      </x:c>
      <x:c r="E168" s="10" t="str">
        <x:v>PASS</x:v>
      </x:c>
      <x:c r="F168" s="12"/>
      <x:c r="G168" s="10" t="str">
        <x:f>IF(F168="","OPEN",IF(F168=E168,"PASS","FAIL"))</x:f>
        <x:v>OPEN</x:v>
      </x:c>
      <x:c r="H168" s="10" t="str">
        <x:v>class validity</x:v>
      </x:c>
    </x:row>
    <x:row r="169">
      <x:c r="A169" s="10" t="str">
        <x:v>AUD-C-164</x:v>
      </x:c>
      <x:c r="B169" s="10" t="str">
        <x:v>case execution</x:v>
      </x:c>
      <x:c r="C169" s="10" t="str">
        <x:v>RBJ-C164</x:v>
      </x:c>
      <x:c r="D169" s="10" t="str">
        <x:v>registered falsification case is executed and terminal</x:v>
      </x:c>
      <x:c r="E169" s="10" t="str">
        <x:v>PASS</x:v>
      </x:c>
      <x:c r="F169" s="12"/>
      <x:c r="G169" s="10" t="str">
        <x:f>IF(F169="","OPEN",IF(F169=E169,"PASS","FAIL"))</x:f>
        <x:v>OPEN</x:v>
      </x:c>
      <x:c r="H169" s="10" t="str">
        <x:v>class validity</x:v>
      </x:c>
    </x:row>
    <x:row r="170">
      <x:c r="A170" s="10" t="str">
        <x:v>AUD-C-165</x:v>
      </x:c>
      <x:c r="B170" s="10" t="str">
        <x:v>case execution</x:v>
      </x:c>
      <x:c r="C170" s="10" t="str">
        <x:v>RBJ-C165</x:v>
      </x:c>
      <x:c r="D170" s="10" t="str">
        <x:v>registered falsification case is executed and terminal</x:v>
      </x:c>
      <x:c r="E170" s="10" t="str">
        <x:v>PASS</x:v>
      </x:c>
      <x:c r="F170" s="12"/>
      <x:c r="G170" s="10" t="str">
        <x:f>IF(F170="","OPEN",IF(F170=E170,"PASS","FAIL"))</x:f>
        <x:v>OPEN</x:v>
      </x:c>
      <x:c r="H170" s="10" t="str">
        <x:v>class validity</x:v>
      </x:c>
    </x:row>
    <x:row r="171">
      <x:c r="A171" s="10" t="str">
        <x:v>AUD-C-166</x:v>
      </x:c>
      <x:c r="B171" s="10" t="str">
        <x:v>case execution</x:v>
      </x:c>
      <x:c r="C171" s="10" t="str">
        <x:v>RBJ-C166</x:v>
      </x:c>
      <x:c r="D171" s="10" t="str">
        <x:v>registered falsification case is executed and terminal</x:v>
      </x:c>
      <x:c r="E171" s="10" t="str">
        <x:v>PASS</x:v>
      </x:c>
      <x:c r="F171" s="12"/>
      <x:c r="G171" s="10" t="str">
        <x:f>IF(F171="","OPEN",IF(F171=E171,"PASS","FAIL"))</x:f>
        <x:v>OPEN</x:v>
      </x:c>
      <x:c r="H171" s="10" t="str">
        <x:v>class validity</x:v>
      </x:c>
    </x:row>
    <x:row r="172">
      <x:c r="A172" s="10" t="str">
        <x:v>AUD-C-167</x:v>
      </x:c>
      <x:c r="B172" s="10" t="str">
        <x:v>case execution</x:v>
      </x:c>
      <x:c r="C172" s="10" t="str">
        <x:v>RBJ-C167</x:v>
      </x:c>
      <x:c r="D172" s="10" t="str">
        <x:v>registered falsification case is executed and terminal</x:v>
      </x:c>
      <x:c r="E172" s="10" t="str">
        <x:v>PASS</x:v>
      </x:c>
      <x:c r="F172" s="12"/>
      <x:c r="G172" s="10" t="str">
        <x:f>IF(F172="","OPEN",IF(F172=E172,"PASS","FAIL"))</x:f>
        <x:v>OPEN</x:v>
      </x:c>
      <x:c r="H172" s="10" t="str">
        <x:v>class validity</x:v>
      </x:c>
    </x:row>
    <x:row r="173">
      <x:c r="A173" s="10" t="str">
        <x:v>AUD-C-168</x:v>
      </x:c>
      <x:c r="B173" s="10" t="str">
        <x:v>case execution</x:v>
      </x:c>
      <x:c r="C173" s="10" t="str">
        <x:v>RBJ-C168</x:v>
      </x:c>
      <x:c r="D173" s="10" t="str">
        <x:v>registered falsification case is executed and terminal</x:v>
      </x:c>
      <x:c r="E173" s="10" t="str">
        <x:v>PASS</x:v>
      </x:c>
      <x:c r="F173" s="12"/>
      <x:c r="G173" s="10" t="str">
        <x:f>IF(F173="","OPEN",IF(F173=E173,"PASS","FAIL"))</x:f>
        <x:v>OPEN</x:v>
      </x:c>
      <x:c r="H173" s="10" t="str">
        <x:v>class validity</x:v>
      </x:c>
    </x:row>
    <x:row r="174">
      <x:c r="A174" s="10" t="str">
        <x:v>AUD-C-169</x:v>
      </x:c>
      <x:c r="B174" s="10" t="str">
        <x:v>case execution</x:v>
      </x:c>
      <x:c r="C174" s="10" t="str">
        <x:v>RBJ-C169</x:v>
      </x:c>
      <x:c r="D174" s="10" t="str">
        <x:v>registered falsification case is executed and terminal</x:v>
      </x:c>
      <x:c r="E174" s="10" t="str">
        <x:v>PASS</x:v>
      </x:c>
      <x:c r="F174" s="12"/>
      <x:c r="G174" s="10" t="str">
        <x:f>IF(F174="","OPEN",IF(F174=E174,"PASS","FAIL"))</x:f>
        <x:v>OPEN</x:v>
      </x:c>
      <x:c r="H174" s="10" t="str">
        <x:v>class validity</x:v>
      </x:c>
    </x:row>
    <x:row r="175">
      <x:c r="A175" s="10" t="str">
        <x:v>AUD-C-170</x:v>
      </x:c>
      <x:c r="B175" s="10" t="str">
        <x:v>case execution</x:v>
      </x:c>
      <x:c r="C175" s="10" t="str">
        <x:v>RBJ-C170</x:v>
      </x:c>
      <x:c r="D175" s="10" t="str">
        <x:v>registered falsification case is executed and terminal</x:v>
      </x:c>
      <x:c r="E175" s="10" t="str">
        <x:v>PASS</x:v>
      </x:c>
      <x:c r="F175" s="12"/>
      <x:c r="G175" s="10" t="str">
        <x:f>IF(F175="","OPEN",IF(F175=E175,"PASS","FAIL"))</x:f>
        <x:v>OPEN</x:v>
      </x:c>
      <x:c r="H175" s="10" t="str">
        <x:v>class validity</x:v>
      </x:c>
    </x:row>
    <x:row r="176">
      <x:c r="A176" s="10" t="str">
        <x:v>AUD-C-171</x:v>
      </x:c>
      <x:c r="B176" s="10" t="str">
        <x:v>case execution</x:v>
      </x:c>
      <x:c r="C176" s="10" t="str">
        <x:v>RBJ-C171</x:v>
      </x:c>
      <x:c r="D176" s="10" t="str">
        <x:v>registered falsification case is executed and terminal</x:v>
      </x:c>
      <x:c r="E176" s="10" t="str">
        <x:v>PASS</x:v>
      </x:c>
      <x:c r="F176" s="12"/>
      <x:c r="G176" s="10" t="str">
        <x:f>IF(F176="","OPEN",IF(F176=E176,"PASS","FAIL"))</x:f>
        <x:v>OPEN</x:v>
      </x:c>
      <x:c r="H176" s="10" t="str">
        <x:v>class validity</x:v>
      </x:c>
    </x:row>
    <x:row r="177">
      <x:c r="A177" s="10" t="str">
        <x:v>AUD-C-172</x:v>
      </x:c>
      <x:c r="B177" s="10" t="str">
        <x:v>case execution</x:v>
      </x:c>
      <x:c r="C177" s="10" t="str">
        <x:v>RBJ-C172</x:v>
      </x:c>
      <x:c r="D177" s="10" t="str">
        <x:v>registered falsification case is executed and terminal</x:v>
      </x:c>
      <x:c r="E177" s="10" t="str">
        <x:v>PASS</x:v>
      </x:c>
      <x:c r="F177" s="12"/>
      <x:c r="G177" s="10" t="str">
        <x:f>IF(F177="","OPEN",IF(F177=E177,"PASS","FAIL"))</x:f>
        <x:v>OPEN</x:v>
      </x:c>
      <x:c r="H177" s="10" t="str">
        <x:v>class validity</x:v>
      </x:c>
    </x:row>
    <x:row r="178">
      <x:c r="A178" s="10" t="str">
        <x:v>AUD-C-173</x:v>
      </x:c>
      <x:c r="B178" s="10" t="str">
        <x:v>case execution</x:v>
      </x:c>
      <x:c r="C178" s="10" t="str">
        <x:v>RBJ-C173</x:v>
      </x:c>
      <x:c r="D178" s="10" t="str">
        <x:v>registered falsification case is executed and terminal</x:v>
      </x:c>
      <x:c r="E178" s="10" t="str">
        <x:v>PASS</x:v>
      </x:c>
      <x:c r="F178" s="12"/>
      <x:c r="G178" s="10" t="str">
        <x:f>IF(F178="","OPEN",IF(F178=E178,"PASS","FAIL"))</x:f>
        <x:v>OPEN</x:v>
      </x:c>
      <x:c r="H178" s="10" t="str">
        <x:v>class validity</x:v>
      </x:c>
    </x:row>
    <x:row r="179">
      <x:c r="A179" s="10" t="str">
        <x:v>AUD-C-174</x:v>
      </x:c>
      <x:c r="B179" s="10" t="str">
        <x:v>case execution</x:v>
      </x:c>
      <x:c r="C179" s="10" t="str">
        <x:v>RBJ-C174</x:v>
      </x:c>
      <x:c r="D179" s="10" t="str">
        <x:v>registered falsification case is executed and terminal</x:v>
      </x:c>
      <x:c r="E179" s="10" t="str">
        <x:v>PASS</x:v>
      </x:c>
      <x:c r="F179" s="12"/>
      <x:c r="G179" s="10" t="str">
        <x:f>IF(F179="","OPEN",IF(F179=E179,"PASS","FAIL"))</x:f>
        <x:v>OPEN</x:v>
      </x:c>
      <x:c r="H179" s="10" t="str">
        <x:v>class validity</x:v>
      </x:c>
    </x:row>
    <x:row r="180">
      <x:c r="A180" s="10" t="str">
        <x:v>AUD-C-175</x:v>
      </x:c>
      <x:c r="B180" s="10" t="str">
        <x:v>case execution</x:v>
      </x:c>
      <x:c r="C180" s="10" t="str">
        <x:v>RBJ-C175</x:v>
      </x:c>
      <x:c r="D180" s="10" t="str">
        <x:v>registered falsification case is executed and terminal</x:v>
      </x:c>
      <x:c r="E180" s="10" t="str">
        <x:v>PASS</x:v>
      </x:c>
      <x:c r="F180" s="12"/>
      <x:c r="G180" s="10" t="str">
        <x:f>IF(F180="","OPEN",IF(F180=E180,"PASS","FAIL"))</x:f>
        <x:v>OPEN</x:v>
      </x:c>
      <x:c r="H180" s="10" t="str">
        <x:v>class validity</x:v>
      </x:c>
    </x:row>
    <x:row r="181">
      <x:c r="A181" s="10" t="str">
        <x:v>AUD-C-176</x:v>
      </x:c>
      <x:c r="B181" s="10" t="str">
        <x:v>case execution</x:v>
      </x:c>
      <x:c r="C181" s="10" t="str">
        <x:v>RBJ-C176</x:v>
      </x:c>
      <x:c r="D181" s="10" t="str">
        <x:v>registered falsification case is executed and terminal</x:v>
      </x:c>
      <x:c r="E181" s="10" t="str">
        <x:v>PASS</x:v>
      </x:c>
      <x:c r="F181" s="12"/>
      <x:c r="G181" s="10" t="str">
        <x:f>IF(F181="","OPEN",IF(F181=E181,"PASS","FAIL"))</x:f>
        <x:v>OPEN</x:v>
      </x:c>
      <x:c r="H181" s="10" t="str">
        <x:v>class validity</x:v>
      </x:c>
    </x:row>
    <x:row r="182">
      <x:c r="A182" s="10" t="str">
        <x:v>AUD-C-177</x:v>
      </x:c>
      <x:c r="B182" s="10" t="str">
        <x:v>case execution</x:v>
      </x:c>
      <x:c r="C182" s="10" t="str">
        <x:v>RBJ-C177</x:v>
      </x:c>
      <x:c r="D182" s="10" t="str">
        <x:v>registered falsification case is executed and terminal</x:v>
      </x:c>
      <x:c r="E182" s="10" t="str">
        <x:v>PASS</x:v>
      </x:c>
      <x:c r="F182" s="12"/>
      <x:c r="G182" s="10" t="str">
        <x:f>IF(F182="","OPEN",IF(F182=E182,"PASS","FAIL"))</x:f>
        <x:v>OPEN</x:v>
      </x:c>
      <x:c r="H182" s="10" t="str">
        <x:v>class validity</x:v>
      </x:c>
    </x:row>
    <x:row r="183">
      <x:c r="A183" s="10" t="str">
        <x:v>AUD-C-178</x:v>
      </x:c>
      <x:c r="B183" s="10" t="str">
        <x:v>case execution</x:v>
      </x:c>
      <x:c r="C183" s="10" t="str">
        <x:v>RBJ-C178</x:v>
      </x:c>
      <x:c r="D183" s="10" t="str">
        <x:v>registered falsification case is executed and terminal</x:v>
      </x:c>
      <x:c r="E183" s="10" t="str">
        <x:v>PASS</x:v>
      </x:c>
      <x:c r="F183" s="12"/>
      <x:c r="G183" s="10" t="str">
        <x:f>IF(F183="","OPEN",IF(F183=E183,"PASS","FAIL"))</x:f>
        <x:v>OPEN</x:v>
      </x:c>
      <x:c r="H183" s="10" t="str">
        <x:v>class validity</x:v>
      </x:c>
    </x:row>
    <x:row r="184">
      <x:c r="A184" s="10" t="str">
        <x:v>AUD-C-179</x:v>
      </x:c>
      <x:c r="B184" s="10" t="str">
        <x:v>case execution</x:v>
      </x:c>
      <x:c r="C184" s="10" t="str">
        <x:v>RBJ-C179</x:v>
      </x:c>
      <x:c r="D184" s="10" t="str">
        <x:v>registered falsification case is executed and terminal</x:v>
      </x:c>
      <x:c r="E184" s="10" t="str">
        <x:v>PASS</x:v>
      </x:c>
      <x:c r="F184" s="12"/>
      <x:c r="G184" s="10" t="str">
        <x:f>IF(F184="","OPEN",IF(F184=E184,"PASS","FAIL"))</x:f>
        <x:v>OPEN</x:v>
      </x:c>
      <x:c r="H184" s="10" t="str">
        <x:v>class validity</x:v>
      </x:c>
    </x:row>
    <x:row r="185">
      <x:c r="A185" s="10" t="str">
        <x:v>AUD-C-180</x:v>
      </x:c>
      <x:c r="B185" s="10" t="str">
        <x:v>case execution</x:v>
      </x:c>
      <x:c r="C185" s="10" t="str">
        <x:v>RBJ-C180</x:v>
      </x:c>
      <x:c r="D185" s="10" t="str">
        <x:v>registered falsification case is executed and terminal</x:v>
      </x:c>
      <x:c r="E185" s="10" t="str">
        <x:v>PASS</x:v>
      </x:c>
      <x:c r="F185" s="12"/>
      <x:c r="G185" s="10" t="str">
        <x:f>IF(F185="","OPEN",IF(F185=E185,"PASS","FAIL"))</x:f>
        <x:v>OPEN</x:v>
      </x:c>
      <x:c r="H185" s="10" t="str">
        <x:v>class validity</x:v>
      </x:c>
    </x:row>
    <x:row r="186">
      <x:c r="A186" s="10" t="str">
        <x:v>AUD-R-001</x:v>
      </x:c>
      <x:c r="B186" s="10" t="str">
        <x:v>reconciliation</x:v>
      </x:c>
      <x:c r="C186" s="10" t="str">
        <x:v>candidate article count</x:v>
      </x:c>
      <x:c r="D186" s="10" t="str">
        <x:v>independent recomputation variant 1</x:v>
      </x:c>
      <x:c r="E186" s="10" t="str">
        <x:v>MATCH</x:v>
      </x:c>
      <x:c r="F186" s="12"/>
      <x:c r="G186" s="10" t="str">
        <x:f>IF(F186="","OPEN",IF(F186=E186,"PASS","FAIL"))</x:f>
        <x:v>OPEN</x:v>
      </x:c>
      <x:c r="H186" s="10" t="str">
        <x:v>program audit</x:v>
      </x:c>
    </x:row>
    <x:row r="187">
      <x:c r="A187" s="10" t="str">
        <x:v>AUD-R-002</x:v>
      </x:c>
      <x:c r="B187" s="10" t="str">
        <x:v>reconciliation</x:v>
      </x:c>
      <x:c r="C187" s="10" t="str">
        <x:v>candidate article count</x:v>
      </x:c>
      <x:c r="D187" s="10" t="str">
        <x:v>independent recomputation variant 2</x:v>
      </x:c>
      <x:c r="E187" s="10" t="str">
        <x:v>MATCH</x:v>
      </x:c>
      <x:c r="F187" s="12"/>
      <x:c r="G187" s="10" t="str">
        <x:f>IF(F187="","OPEN",IF(F187=E187,"PASS","FAIL"))</x:f>
        <x:v>OPEN</x:v>
      </x:c>
      <x:c r="H187" s="10" t="str">
        <x:v>program audit</x:v>
      </x:c>
    </x:row>
    <x:row r="188">
      <x:c r="A188" s="10" t="str">
        <x:v>AUD-R-003</x:v>
      </x:c>
      <x:c r="B188" s="10" t="str">
        <x:v>reconciliation</x:v>
      </x:c>
      <x:c r="C188" s="10" t="str">
        <x:v>candidate article count</x:v>
      </x:c>
      <x:c r="D188" s="10" t="str">
        <x:v>independent recomputation variant 3</x:v>
      </x:c>
      <x:c r="E188" s="10" t="str">
        <x:v>MATCH</x:v>
      </x:c>
      <x:c r="F188" s="12"/>
      <x:c r="G188" s="10" t="str">
        <x:f>IF(F188="","OPEN",IF(F188=E188,"PASS","FAIL"))</x:f>
        <x:v>OPEN</x:v>
      </x:c>
      <x:c r="H188" s="10" t="str">
        <x:v>program audit</x:v>
      </x:c>
    </x:row>
    <x:row r="189">
      <x:c r="A189" s="10" t="str">
        <x:v>AUD-R-004</x:v>
      </x:c>
      <x:c r="B189" s="10" t="str">
        <x:v>reconciliation</x:v>
      </x:c>
      <x:c r="C189" s="10" t="str">
        <x:v>candidate article count</x:v>
      </x:c>
      <x:c r="D189" s="10" t="str">
        <x:v>independent recomputation variant 4</x:v>
      </x:c>
      <x:c r="E189" s="10" t="str">
        <x:v>MATCH</x:v>
      </x:c>
      <x:c r="F189" s="12"/>
      <x:c r="G189" s="10" t="str">
        <x:f>IF(F189="","OPEN",IF(F189=E189,"PASS","FAIL"))</x:f>
        <x:v>OPEN</x:v>
      </x:c>
      <x:c r="H189" s="10" t="str">
        <x:v>program audit</x:v>
      </x:c>
    </x:row>
    <x:row r="190">
      <x:c r="A190" s="10" t="str">
        <x:v>AUD-R-005</x:v>
      </x:c>
      <x:c r="B190" s="10" t="str">
        <x:v>reconciliation</x:v>
      </x:c>
      <x:c r="C190" s="10" t="str">
        <x:v>candidate article count</x:v>
      </x:c>
      <x:c r="D190" s="10" t="str">
        <x:v>independent recomputation variant 5</x:v>
      </x:c>
      <x:c r="E190" s="10" t="str">
        <x:v>MATCH</x:v>
      </x:c>
      <x:c r="F190" s="12"/>
      <x:c r="G190" s="10" t="str">
        <x:f>IF(F190="","OPEN",IF(F190=E190,"PASS","FAIL"))</x:f>
        <x:v>OPEN</x:v>
      </x:c>
      <x:c r="H190" s="10" t="str">
        <x:v>program audit</x:v>
      </x:c>
    </x:row>
    <x:row r="191">
      <x:c r="A191" s="10" t="str">
        <x:v>AUD-R-006</x:v>
      </x:c>
      <x:c r="B191" s="10" t="str">
        <x:v>reconciliation</x:v>
      </x:c>
      <x:c r="C191" s="10" t="str">
        <x:v>candidate trial count</x:v>
      </x:c>
      <x:c r="D191" s="10" t="str">
        <x:v>independent recomputation variant 1</x:v>
      </x:c>
      <x:c r="E191" s="10" t="str">
        <x:v>MATCH</x:v>
      </x:c>
      <x:c r="F191" s="12"/>
      <x:c r="G191" s="10" t="str">
        <x:f>IF(F191="","OPEN",IF(F191=E191,"PASS","FAIL"))</x:f>
        <x:v>OPEN</x:v>
      </x:c>
      <x:c r="H191" s="10" t="str">
        <x:v>program audit</x:v>
      </x:c>
    </x:row>
    <x:row r="192">
      <x:c r="A192" s="10" t="str">
        <x:v>AUD-R-007</x:v>
      </x:c>
      <x:c r="B192" s="10" t="str">
        <x:v>reconciliation</x:v>
      </x:c>
      <x:c r="C192" s="10" t="str">
        <x:v>candidate trial count</x:v>
      </x:c>
      <x:c r="D192" s="10" t="str">
        <x:v>independent recomputation variant 2</x:v>
      </x:c>
      <x:c r="E192" s="10" t="str">
        <x:v>MATCH</x:v>
      </x:c>
      <x:c r="F192" s="12"/>
      <x:c r="G192" s="10" t="str">
        <x:f>IF(F192="","OPEN",IF(F192=E192,"PASS","FAIL"))</x:f>
        <x:v>OPEN</x:v>
      </x:c>
      <x:c r="H192" s="10" t="str">
        <x:v>program audit</x:v>
      </x:c>
    </x:row>
    <x:row r="193">
      <x:c r="A193" s="10" t="str">
        <x:v>AUD-R-008</x:v>
      </x:c>
      <x:c r="B193" s="10" t="str">
        <x:v>reconciliation</x:v>
      </x:c>
      <x:c r="C193" s="10" t="str">
        <x:v>candidate trial count</x:v>
      </x:c>
      <x:c r="D193" s="10" t="str">
        <x:v>independent recomputation variant 3</x:v>
      </x:c>
      <x:c r="E193" s="10" t="str">
        <x:v>MATCH</x:v>
      </x:c>
      <x:c r="F193" s="12"/>
      <x:c r="G193" s="10" t="str">
        <x:f>IF(F193="","OPEN",IF(F193=E193,"PASS","FAIL"))</x:f>
        <x:v>OPEN</x:v>
      </x:c>
      <x:c r="H193" s="10" t="str">
        <x:v>program audit</x:v>
      </x:c>
    </x:row>
    <x:row r="194">
      <x:c r="A194" s="10" t="str">
        <x:v>AUD-R-009</x:v>
      </x:c>
      <x:c r="B194" s="10" t="str">
        <x:v>reconciliation</x:v>
      </x:c>
      <x:c r="C194" s="10" t="str">
        <x:v>candidate trial count</x:v>
      </x:c>
      <x:c r="D194" s="10" t="str">
        <x:v>independent recomputation variant 4</x:v>
      </x:c>
      <x:c r="E194" s="10" t="str">
        <x:v>MATCH</x:v>
      </x:c>
      <x:c r="F194" s="12"/>
      <x:c r="G194" s="10" t="str">
        <x:f>IF(F194="","OPEN",IF(F194=E194,"PASS","FAIL"))</x:f>
        <x:v>OPEN</x:v>
      </x:c>
      <x:c r="H194" s="10" t="str">
        <x:v>program audit</x:v>
      </x:c>
    </x:row>
    <x:row r="195">
      <x:c r="A195" s="10" t="str">
        <x:v>AUD-R-010</x:v>
      </x:c>
      <x:c r="B195" s="10" t="str">
        <x:v>reconciliation</x:v>
      </x:c>
      <x:c r="C195" s="10" t="str">
        <x:v>candidate trial count</x:v>
      </x:c>
      <x:c r="D195" s="10" t="str">
        <x:v>independent recomputation variant 5</x:v>
      </x:c>
      <x:c r="E195" s="10" t="str">
        <x:v>MATCH</x:v>
      </x:c>
      <x:c r="F195" s="12"/>
      <x:c r="G195" s="10" t="str">
        <x:f>IF(F195="","OPEN",IF(F195=E195,"PASS","FAIL"))</x:f>
        <x:v>OPEN</x:v>
      </x:c>
      <x:c r="H195" s="10" t="str">
        <x:v>program audit</x:v>
      </x:c>
    </x:row>
    <x:row r="196">
      <x:c r="A196" s="10" t="str">
        <x:v>AUD-R-011</x:v>
      </x:c>
      <x:c r="B196" s="10" t="str">
        <x:v>reconciliation</x:v>
      </x:c>
      <x:c r="C196" s="10" t="str">
        <x:v>pair matrix cardinality</x:v>
      </x:c>
      <x:c r="D196" s="10" t="str">
        <x:v>independent recomputation variant 1</x:v>
      </x:c>
      <x:c r="E196" s="10" t="str">
        <x:v>MATCH</x:v>
      </x:c>
      <x:c r="F196" s="12"/>
      <x:c r="G196" s="10" t="str">
        <x:f>IF(F196="","OPEN",IF(F196=E196,"PASS","FAIL"))</x:f>
        <x:v>OPEN</x:v>
      </x:c>
      <x:c r="H196" s="10" t="str">
        <x:v>program audit</x:v>
      </x:c>
    </x:row>
    <x:row r="197">
      <x:c r="A197" s="10" t="str">
        <x:v>AUD-R-012</x:v>
      </x:c>
      <x:c r="B197" s="10" t="str">
        <x:v>reconciliation</x:v>
      </x:c>
      <x:c r="C197" s="10" t="str">
        <x:v>pair matrix cardinality</x:v>
      </x:c>
      <x:c r="D197" s="10" t="str">
        <x:v>independent recomputation variant 2</x:v>
      </x:c>
      <x:c r="E197" s="10" t="str">
        <x:v>MATCH</x:v>
      </x:c>
      <x:c r="F197" s="12"/>
      <x:c r="G197" s="10" t="str">
        <x:f>IF(F197="","OPEN",IF(F197=E197,"PASS","FAIL"))</x:f>
        <x:v>OPEN</x:v>
      </x:c>
      <x:c r="H197" s="10" t="str">
        <x:v>program audit</x:v>
      </x:c>
    </x:row>
    <x:row r="198">
      <x:c r="A198" s="10" t="str">
        <x:v>AUD-R-013</x:v>
      </x:c>
      <x:c r="B198" s="10" t="str">
        <x:v>reconciliation</x:v>
      </x:c>
      <x:c r="C198" s="10" t="str">
        <x:v>pair matrix cardinality</x:v>
      </x:c>
      <x:c r="D198" s="10" t="str">
        <x:v>independent recomputation variant 3</x:v>
      </x:c>
      <x:c r="E198" s="10" t="str">
        <x:v>MATCH</x:v>
      </x:c>
      <x:c r="F198" s="12"/>
      <x:c r="G198" s="10" t="str">
        <x:f>IF(F198="","OPEN",IF(F198=E198,"PASS","FAIL"))</x:f>
        <x:v>OPEN</x:v>
      </x:c>
      <x:c r="H198" s="10" t="str">
        <x:v>program audit</x:v>
      </x:c>
    </x:row>
    <x:row r="199">
      <x:c r="A199" s="10" t="str">
        <x:v>AUD-R-014</x:v>
      </x:c>
      <x:c r="B199" s="10" t="str">
        <x:v>reconciliation</x:v>
      </x:c>
      <x:c r="C199" s="10" t="str">
        <x:v>pair matrix cardinality</x:v>
      </x:c>
      <x:c r="D199" s="10" t="str">
        <x:v>independent recomputation variant 4</x:v>
      </x:c>
      <x:c r="E199" s="10" t="str">
        <x:v>MATCH</x:v>
      </x:c>
      <x:c r="F199" s="12"/>
      <x:c r="G199" s="10" t="str">
        <x:f>IF(F199="","OPEN",IF(F199=E199,"PASS","FAIL"))</x:f>
        <x:v>OPEN</x:v>
      </x:c>
      <x:c r="H199" s="10" t="str">
        <x:v>program audit</x:v>
      </x:c>
    </x:row>
    <x:row r="200">
      <x:c r="A200" s="10" t="str">
        <x:v>AUD-R-015</x:v>
      </x:c>
      <x:c r="B200" s="10" t="str">
        <x:v>reconciliation</x:v>
      </x:c>
      <x:c r="C200" s="10" t="str">
        <x:v>pair matrix cardinality</x:v>
      </x:c>
      <x:c r="D200" s="10" t="str">
        <x:v>independent recomputation variant 5</x:v>
      </x:c>
      <x:c r="E200" s="10" t="str">
        <x:v>MATCH</x:v>
      </x:c>
      <x:c r="F200" s="12"/>
      <x:c r="G200" s="10" t="str">
        <x:f>IF(F200="","OPEN",IF(F200=E200,"PASS","FAIL"))</x:f>
        <x:v>OPEN</x:v>
      </x:c>
      <x:c r="H200" s="10" t="str">
        <x:v>program audit</x:v>
      </x:c>
    </x:row>
    <x:row r="201">
      <x:c r="A201" s="10" t="str">
        <x:v>AUD-R-016</x:v>
      </x:c>
      <x:c r="B201" s="10" t="str">
        <x:v>reconciliation</x:v>
      </x:c>
      <x:c r="C201" s="10" t="str">
        <x:v>pair trial count</x:v>
      </x:c>
      <x:c r="D201" s="10" t="str">
        <x:v>independent recomputation variant 1</x:v>
      </x:c>
      <x:c r="E201" s="10" t="str">
        <x:v>MATCH</x:v>
      </x:c>
      <x:c r="F201" s="12"/>
      <x:c r="G201" s="10" t="str">
        <x:f>IF(F201="","OPEN",IF(F201=E201,"PASS","FAIL"))</x:f>
        <x:v>OPEN</x:v>
      </x:c>
      <x:c r="H201" s="10" t="str">
        <x:v>program audit</x:v>
      </x:c>
    </x:row>
    <x:row r="202">
      <x:c r="A202" s="10" t="str">
        <x:v>AUD-R-017</x:v>
      </x:c>
      <x:c r="B202" s="10" t="str">
        <x:v>reconciliation</x:v>
      </x:c>
      <x:c r="C202" s="10" t="str">
        <x:v>pair trial count</x:v>
      </x:c>
      <x:c r="D202" s="10" t="str">
        <x:v>independent recomputation variant 2</x:v>
      </x:c>
      <x:c r="E202" s="10" t="str">
        <x:v>MATCH</x:v>
      </x:c>
      <x:c r="F202" s="12"/>
      <x:c r="G202" s="10" t="str">
        <x:f>IF(F202="","OPEN",IF(F202=E202,"PASS","FAIL"))</x:f>
        <x:v>OPEN</x:v>
      </x:c>
      <x:c r="H202" s="10" t="str">
        <x:v>program audit</x:v>
      </x:c>
    </x:row>
    <x:row r="203">
      <x:c r="A203" s="10" t="str">
        <x:v>AUD-R-018</x:v>
      </x:c>
      <x:c r="B203" s="10" t="str">
        <x:v>reconciliation</x:v>
      </x:c>
      <x:c r="C203" s="10" t="str">
        <x:v>pair trial count</x:v>
      </x:c>
      <x:c r="D203" s="10" t="str">
        <x:v>independent recomputation variant 3</x:v>
      </x:c>
      <x:c r="E203" s="10" t="str">
        <x:v>MATCH</x:v>
      </x:c>
      <x:c r="F203" s="12"/>
      <x:c r="G203" s="10" t="str">
        <x:f>IF(F203="","OPEN",IF(F203=E203,"PASS","FAIL"))</x:f>
        <x:v>OPEN</x:v>
      </x:c>
      <x:c r="H203" s="10" t="str">
        <x:v>program audit</x:v>
      </x:c>
    </x:row>
    <x:row r="204">
      <x:c r="A204" s="10" t="str">
        <x:v>AUD-R-019</x:v>
      </x:c>
      <x:c r="B204" s="10" t="str">
        <x:v>reconciliation</x:v>
      </x:c>
      <x:c r="C204" s="10" t="str">
        <x:v>pair trial count</x:v>
      </x:c>
      <x:c r="D204" s="10" t="str">
        <x:v>independent recomputation variant 4</x:v>
      </x:c>
      <x:c r="E204" s="10" t="str">
        <x:v>MATCH</x:v>
      </x:c>
      <x:c r="F204" s="12"/>
      <x:c r="G204" s="10" t="str">
        <x:f>IF(F204="","OPEN",IF(F204=E204,"PASS","FAIL"))</x:f>
        <x:v>OPEN</x:v>
      </x:c>
      <x:c r="H204" s="10" t="str">
        <x:v>program audit</x:v>
      </x:c>
    </x:row>
    <x:row r="205">
      <x:c r="A205" s="10" t="str">
        <x:v>AUD-R-020</x:v>
      </x:c>
      <x:c r="B205" s="10" t="str">
        <x:v>reconciliation</x:v>
      </x:c>
      <x:c r="C205" s="10" t="str">
        <x:v>pair trial count</x:v>
      </x:c>
      <x:c r="D205" s="10" t="str">
        <x:v>independent recomputation variant 5</x:v>
      </x:c>
      <x:c r="E205" s="10" t="str">
        <x:v>MATCH</x:v>
      </x:c>
      <x:c r="F205" s="12"/>
      <x:c r="G205" s="10" t="str">
        <x:f>IF(F205="","OPEN",IF(F205=E205,"PASS","FAIL"))</x:f>
        <x:v>OPEN</x:v>
      </x:c>
      <x:c r="H205" s="10" t="str">
        <x:v>program audit</x:v>
      </x:c>
    </x:row>
    <x:row r="206">
      <x:c r="A206" s="10" t="str">
        <x:v>AUD-R-021</x:v>
      </x:c>
      <x:c r="B206" s="10" t="str">
        <x:v>reconciliation</x:v>
      </x:c>
      <x:c r="C206" s="10" t="str">
        <x:v>selected-pair pass count</x:v>
      </x:c>
      <x:c r="D206" s="10" t="str">
        <x:v>independent recomputation variant 1</x:v>
      </x:c>
      <x:c r="E206" s="10" t="str">
        <x:v>MATCH</x:v>
      </x:c>
      <x:c r="F206" s="12"/>
      <x:c r="G206" s="10" t="str">
        <x:f>IF(F206="","OPEN",IF(F206=E206,"PASS","FAIL"))</x:f>
        <x:v>OPEN</x:v>
      </x:c>
      <x:c r="H206" s="10" t="str">
        <x:v>program audit</x:v>
      </x:c>
    </x:row>
    <x:row r="207">
      <x:c r="A207" s="10" t="str">
        <x:v>AUD-R-022</x:v>
      </x:c>
      <x:c r="B207" s="10" t="str">
        <x:v>reconciliation</x:v>
      </x:c>
      <x:c r="C207" s="10" t="str">
        <x:v>selected-pair pass count</x:v>
      </x:c>
      <x:c r="D207" s="10" t="str">
        <x:v>independent recomputation variant 2</x:v>
      </x:c>
      <x:c r="E207" s="10" t="str">
        <x:v>MATCH</x:v>
      </x:c>
      <x:c r="F207" s="12"/>
      <x:c r="G207" s="10" t="str">
        <x:f>IF(F207="","OPEN",IF(F207=E207,"PASS","FAIL"))</x:f>
        <x:v>OPEN</x:v>
      </x:c>
      <x:c r="H207" s="10" t="str">
        <x:v>program audit</x:v>
      </x:c>
    </x:row>
    <x:row r="208">
      <x:c r="A208" s="10" t="str">
        <x:v>AUD-R-023</x:v>
      </x:c>
      <x:c r="B208" s="10" t="str">
        <x:v>reconciliation</x:v>
      </x:c>
      <x:c r="C208" s="10" t="str">
        <x:v>selected-pair pass count</x:v>
      </x:c>
      <x:c r="D208" s="10" t="str">
        <x:v>independent recomputation variant 3</x:v>
      </x:c>
      <x:c r="E208" s="10" t="str">
        <x:v>MATCH</x:v>
      </x:c>
      <x:c r="F208" s="12"/>
      <x:c r="G208" s="10" t="str">
        <x:f>IF(F208="","OPEN",IF(F208=E208,"PASS","FAIL"))</x:f>
        <x:v>OPEN</x:v>
      </x:c>
      <x:c r="H208" s="10" t="str">
        <x:v>program audit</x:v>
      </x:c>
    </x:row>
    <x:row r="209">
      <x:c r="A209" s="10" t="str">
        <x:v>AUD-R-024</x:v>
      </x:c>
      <x:c r="B209" s="10" t="str">
        <x:v>reconciliation</x:v>
      </x:c>
      <x:c r="C209" s="10" t="str">
        <x:v>selected-pair pass count</x:v>
      </x:c>
      <x:c r="D209" s="10" t="str">
        <x:v>independent recomputation variant 4</x:v>
      </x:c>
      <x:c r="E209" s="10" t="str">
        <x:v>MATCH</x:v>
      </x:c>
      <x:c r="F209" s="12"/>
      <x:c r="G209" s="10" t="str">
        <x:f>IF(F209="","OPEN",IF(F209=E209,"PASS","FAIL"))</x:f>
        <x:v>OPEN</x:v>
      </x:c>
      <x:c r="H209" s="10" t="str">
        <x:v>program audit</x:v>
      </x:c>
    </x:row>
    <x:row r="210">
      <x:c r="A210" s="10" t="str">
        <x:v>AUD-R-025</x:v>
      </x:c>
      <x:c r="B210" s="10" t="str">
        <x:v>reconciliation</x:v>
      </x:c>
      <x:c r="C210" s="10" t="str">
        <x:v>selected-pair pass count</x:v>
      </x:c>
      <x:c r="D210" s="10" t="str">
        <x:v>independent recomputation variant 5</x:v>
      </x:c>
      <x:c r="E210" s="10" t="str">
        <x:v>MATCH</x:v>
      </x:c>
      <x:c r="F210" s="12"/>
      <x:c r="G210" s="10" t="str">
        <x:f>IF(F210="","OPEN",IF(F210=E210,"PASS","FAIL"))</x:f>
        <x:v>OPEN</x:v>
      </x:c>
      <x:c r="H210" s="10" t="str">
        <x:v>program audit</x:v>
      </x:c>
    </x:row>
    <x:row r="211">
      <x:c r="A211" s="10" t="str">
        <x:v>AUD-R-026</x:v>
      </x:c>
      <x:c r="B211" s="10" t="str">
        <x:v>reconciliation</x:v>
      </x:c>
      <x:c r="C211" s="10" t="str">
        <x:v>module role count</x:v>
      </x:c>
      <x:c r="D211" s="10" t="str">
        <x:v>independent recomputation variant 1</x:v>
      </x:c>
      <x:c r="E211" s="10" t="str">
        <x:v>MATCH</x:v>
      </x:c>
      <x:c r="F211" s="12"/>
      <x:c r="G211" s="10" t="str">
        <x:f>IF(F211="","OPEN",IF(F211=E211,"PASS","FAIL"))</x:f>
        <x:v>OPEN</x:v>
      </x:c>
      <x:c r="H211" s="10" t="str">
        <x:v>program audit</x:v>
      </x:c>
    </x:row>
    <x:row r="212">
      <x:c r="A212" s="10" t="str">
        <x:v>AUD-R-027</x:v>
      </x:c>
      <x:c r="B212" s="10" t="str">
        <x:v>reconciliation</x:v>
      </x:c>
      <x:c r="C212" s="10" t="str">
        <x:v>module role count</x:v>
      </x:c>
      <x:c r="D212" s="10" t="str">
        <x:v>independent recomputation variant 2</x:v>
      </x:c>
      <x:c r="E212" s="10" t="str">
        <x:v>MATCH</x:v>
      </x:c>
      <x:c r="F212" s="12"/>
      <x:c r="G212" s="10" t="str">
        <x:f>IF(F212="","OPEN",IF(F212=E212,"PASS","FAIL"))</x:f>
        <x:v>OPEN</x:v>
      </x:c>
      <x:c r="H212" s="10" t="str">
        <x:v>program audit</x:v>
      </x:c>
    </x:row>
    <x:row r="213">
      <x:c r="A213" s="10" t="str">
        <x:v>AUD-R-028</x:v>
      </x:c>
      <x:c r="B213" s="10" t="str">
        <x:v>reconciliation</x:v>
      </x:c>
      <x:c r="C213" s="10" t="str">
        <x:v>module role count</x:v>
      </x:c>
      <x:c r="D213" s="10" t="str">
        <x:v>independent recomputation variant 3</x:v>
      </x:c>
      <x:c r="E213" s="10" t="str">
        <x:v>MATCH</x:v>
      </x:c>
      <x:c r="F213" s="12"/>
      <x:c r="G213" s="10" t="str">
        <x:f>IF(F213="","OPEN",IF(F213=E213,"PASS","FAIL"))</x:f>
        <x:v>OPEN</x:v>
      </x:c>
      <x:c r="H213" s="10" t="str">
        <x:v>program audit</x:v>
      </x:c>
    </x:row>
    <x:row r="214">
      <x:c r="A214" s="10" t="str">
        <x:v>AUD-R-029</x:v>
      </x:c>
      <x:c r="B214" s="10" t="str">
        <x:v>reconciliation</x:v>
      </x:c>
      <x:c r="C214" s="10" t="str">
        <x:v>module role count</x:v>
      </x:c>
      <x:c r="D214" s="10" t="str">
        <x:v>independent recomputation variant 4</x:v>
      </x:c>
      <x:c r="E214" s="10" t="str">
        <x:v>MATCH</x:v>
      </x:c>
      <x:c r="F214" s="12"/>
      <x:c r="G214" s="10" t="str">
        <x:f>IF(F214="","OPEN",IF(F214=E214,"PASS","FAIL"))</x:f>
        <x:v>OPEN</x:v>
      </x:c>
      <x:c r="H214" s="10" t="str">
        <x:v>program audit</x:v>
      </x:c>
    </x:row>
    <x:row r="215">
      <x:c r="A215" s="10" t="str">
        <x:v>AUD-R-030</x:v>
      </x:c>
      <x:c r="B215" s="10" t="str">
        <x:v>reconciliation</x:v>
      </x:c>
      <x:c r="C215" s="10" t="str">
        <x:v>module role count</x:v>
      </x:c>
      <x:c r="D215" s="10" t="str">
        <x:v>independent recomputation variant 5</x:v>
      </x:c>
      <x:c r="E215" s="10" t="str">
        <x:v>MATCH</x:v>
      </x:c>
      <x:c r="F215" s="12"/>
      <x:c r="G215" s="10" t="str">
        <x:f>IF(F215="","OPEN",IF(F215=E215,"PASS","FAIL"))</x:f>
        <x:v>OPEN</x:v>
      </x:c>
      <x:c r="H215" s="10" t="str">
        <x:v>program audit</x:v>
      </x:c>
    </x:row>
    <x:row r="216">
      <x:c r="A216" s="10" t="str">
        <x:v>AUD-R-031</x:v>
      </x:c>
      <x:c r="B216" s="10" t="str">
        <x:v>reconciliation</x:v>
      </x:c>
      <x:c r="C216" s="10" t="str">
        <x:v>qualification cycle count</x:v>
      </x:c>
      <x:c r="D216" s="10" t="str">
        <x:v>independent recomputation variant 1</x:v>
      </x:c>
      <x:c r="E216" s="10" t="str">
        <x:v>MATCH</x:v>
      </x:c>
      <x:c r="F216" s="12"/>
      <x:c r="G216" s="10" t="str">
        <x:f>IF(F216="","OPEN",IF(F216=E216,"PASS","FAIL"))</x:f>
        <x:v>OPEN</x:v>
      </x:c>
      <x:c r="H216" s="10" t="str">
        <x:v>program audit</x:v>
      </x:c>
    </x:row>
    <x:row r="217">
      <x:c r="A217" s="10" t="str">
        <x:v>AUD-R-032</x:v>
      </x:c>
      <x:c r="B217" s="10" t="str">
        <x:v>reconciliation</x:v>
      </x:c>
      <x:c r="C217" s="10" t="str">
        <x:v>qualification cycle count</x:v>
      </x:c>
      <x:c r="D217" s="10" t="str">
        <x:v>independent recomputation variant 2</x:v>
      </x:c>
      <x:c r="E217" s="10" t="str">
        <x:v>MATCH</x:v>
      </x:c>
      <x:c r="F217" s="12"/>
      <x:c r="G217" s="10" t="str">
        <x:f>IF(F217="","OPEN",IF(F217=E217,"PASS","FAIL"))</x:f>
        <x:v>OPEN</x:v>
      </x:c>
      <x:c r="H217" s="10" t="str">
        <x:v>program audit</x:v>
      </x:c>
    </x:row>
    <x:row r="218">
      <x:c r="A218" s="10" t="str">
        <x:v>AUD-R-033</x:v>
      </x:c>
      <x:c r="B218" s="10" t="str">
        <x:v>reconciliation</x:v>
      </x:c>
      <x:c r="C218" s="10" t="str">
        <x:v>qualification cycle count</x:v>
      </x:c>
      <x:c r="D218" s="10" t="str">
        <x:v>independent recomputation variant 3</x:v>
      </x:c>
      <x:c r="E218" s="10" t="str">
        <x:v>MATCH</x:v>
      </x:c>
      <x:c r="F218" s="12"/>
      <x:c r="G218" s="10" t="str">
        <x:f>IF(F218="","OPEN",IF(F218=E218,"PASS","FAIL"))</x:f>
        <x:v>OPEN</x:v>
      </x:c>
      <x:c r="H218" s="10" t="str">
        <x:v>program audit</x:v>
      </x:c>
    </x:row>
    <x:row r="219">
      <x:c r="A219" s="10" t="str">
        <x:v>AUD-R-034</x:v>
      </x:c>
      <x:c r="B219" s="10" t="str">
        <x:v>reconciliation</x:v>
      </x:c>
      <x:c r="C219" s="10" t="str">
        <x:v>qualification cycle count</x:v>
      </x:c>
      <x:c r="D219" s="10" t="str">
        <x:v>independent recomputation variant 4</x:v>
      </x:c>
      <x:c r="E219" s="10" t="str">
        <x:v>MATCH</x:v>
      </x:c>
      <x:c r="F219" s="12"/>
      <x:c r="G219" s="10" t="str">
        <x:f>IF(F219="","OPEN",IF(F219=E219,"PASS","FAIL"))</x:f>
        <x:v>OPEN</x:v>
      </x:c>
      <x:c r="H219" s="10" t="str">
        <x:v>program audit</x:v>
      </x:c>
    </x:row>
    <x:row r="220">
      <x:c r="A220" s="10" t="str">
        <x:v>AUD-R-035</x:v>
      </x:c>
      <x:c r="B220" s="10" t="str">
        <x:v>reconciliation</x:v>
      </x:c>
      <x:c r="C220" s="10" t="str">
        <x:v>qualification cycle count</x:v>
      </x:c>
      <x:c r="D220" s="10" t="str">
        <x:v>independent recomputation variant 5</x:v>
      </x:c>
      <x:c r="E220" s="10" t="str">
        <x:v>MATCH</x:v>
      </x:c>
      <x:c r="F220" s="12"/>
      <x:c r="G220" s="10" t="str">
        <x:f>IF(F220="","OPEN",IF(F220=E220,"PASS","FAIL"))</x:f>
        <x:v>OPEN</x:v>
      </x:c>
      <x:c r="H220" s="10" t="str">
        <x:v>program audit</x:v>
      </x:c>
    </x:row>
    <x:row r="221">
      <x:c r="A221" s="10" t="str">
        <x:v>AUD-R-036</x:v>
      </x:c>
      <x:c r="B221" s="10" t="str">
        <x:v>reconciliation</x:v>
      </x:c>
      <x:c r="C221" s="10" t="str">
        <x:v>water-lot allocation</x:v>
      </x:c>
      <x:c r="D221" s="10" t="str">
        <x:v>independent recomputation variant 1</x:v>
      </x:c>
      <x:c r="E221" s="10" t="str">
        <x:v>MATCH</x:v>
      </x:c>
      <x:c r="F221" s="12"/>
      <x:c r="G221" s="10" t="str">
        <x:f>IF(F221="","OPEN",IF(F221=E221,"PASS","FAIL"))</x:f>
        <x:v>OPEN</x:v>
      </x:c>
      <x:c r="H221" s="10" t="str">
        <x:v>program audit</x:v>
      </x:c>
    </x:row>
    <x:row r="222">
      <x:c r="A222" s="10" t="str">
        <x:v>AUD-R-037</x:v>
      </x:c>
      <x:c r="B222" s="10" t="str">
        <x:v>reconciliation</x:v>
      </x:c>
      <x:c r="C222" s="10" t="str">
        <x:v>water-lot allocation</x:v>
      </x:c>
      <x:c r="D222" s="10" t="str">
        <x:v>independent recomputation variant 2</x:v>
      </x:c>
      <x:c r="E222" s="10" t="str">
        <x:v>MATCH</x:v>
      </x:c>
      <x:c r="F222" s="12"/>
      <x:c r="G222" s="10" t="str">
        <x:f>IF(F222="","OPEN",IF(F222=E222,"PASS","FAIL"))</x:f>
        <x:v>OPEN</x:v>
      </x:c>
      <x:c r="H222" s="10" t="str">
        <x:v>program audit</x:v>
      </x:c>
    </x:row>
    <x:row r="223">
      <x:c r="A223" s="10" t="str">
        <x:v>AUD-R-038</x:v>
      </x:c>
      <x:c r="B223" s="10" t="str">
        <x:v>reconciliation</x:v>
      </x:c>
      <x:c r="C223" s="10" t="str">
        <x:v>water-lot allocation</x:v>
      </x:c>
      <x:c r="D223" s="10" t="str">
        <x:v>independent recomputation variant 3</x:v>
      </x:c>
      <x:c r="E223" s="10" t="str">
        <x:v>MATCH</x:v>
      </x:c>
      <x:c r="F223" s="12"/>
      <x:c r="G223" s="10" t="str">
        <x:f>IF(F223="","OPEN",IF(F223=E223,"PASS","FAIL"))</x:f>
        <x:v>OPEN</x:v>
      </x:c>
      <x:c r="H223" s="10" t="str">
        <x:v>program audit</x:v>
      </x:c>
    </x:row>
    <x:row r="224">
      <x:c r="A224" s="10" t="str">
        <x:v>AUD-R-039</x:v>
      </x:c>
      <x:c r="B224" s="10" t="str">
        <x:v>reconciliation</x:v>
      </x:c>
      <x:c r="C224" s="10" t="str">
        <x:v>water-lot allocation</x:v>
      </x:c>
      <x:c r="D224" s="10" t="str">
        <x:v>independent recomputation variant 4</x:v>
      </x:c>
      <x:c r="E224" s="10" t="str">
        <x:v>MATCH</x:v>
      </x:c>
      <x:c r="F224" s="12"/>
      <x:c r="G224" s="10" t="str">
        <x:f>IF(F224="","OPEN",IF(F224=E224,"PASS","FAIL"))</x:f>
        <x:v>OPEN</x:v>
      </x:c>
      <x:c r="H224" s="10" t="str">
        <x:v>program audit</x:v>
      </x:c>
    </x:row>
    <x:row r="225">
      <x:c r="A225" s="10" t="str">
        <x:v>AUD-R-040</x:v>
      </x:c>
      <x:c r="B225" s="10" t="str">
        <x:v>reconciliation</x:v>
      </x:c>
      <x:c r="C225" s="10" t="str">
        <x:v>water-lot allocation</x:v>
      </x:c>
      <x:c r="D225" s="10" t="str">
        <x:v>independent recomputation variant 5</x:v>
      </x:c>
      <x:c r="E225" s="10" t="str">
        <x:v>MATCH</x:v>
      </x:c>
      <x:c r="F225" s="12"/>
      <x:c r="G225" s="10" t="str">
        <x:f>IF(F225="","OPEN",IF(F225=E225,"PASS","FAIL"))</x:f>
        <x:v>OPEN</x:v>
      </x:c>
      <x:c r="H225" s="10" t="str">
        <x:v>program audit</x:v>
      </x:c>
    </x:row>
    <x:row r="226">
      <x:c r="A226" s="10" t="str">
        <x:v>AUD-R-041</x:v>
      </x:c>
      <x:c r="B226" s="10" t="str">
        <x:v>reconciliation</x:v>
      </x:c>
      <x:c r="C226" s="10" t="str">
        <x:v>simulant-lot allocation</x:v>
      </x:c>
      <x:c r="D226" s="10" t="str">
        <x:v>independent recomputation variant 1</x:v>
      </x:c>
      <x:c r="E226" s="10" t="str">
        <x:v>MATCH</x:v>
      </x:c>
      <x:c r="F226" s="12"/>
      <x:c r="G226" s="10" t="str">
        <x:f>IF(F226="","OPEN",IF(F226=E226,"PASS","FAIL"))</x:f>
        <x:v>OPEN</x:v>
      </x:c>
      <x:c r="H226" s="10" t="str">
        <x:v>program audit</x:v>
      </x:c>
    </x:row>
    <x:row r="227">
      <x:c r="A227" s="10" t="str">
        <x:v>AUD-R-042</x:v>
      </x:c>
      <x:c r="B227" s="10" t="str">
        <x:v>reconciliation</x:v>
      </x:c>
      <x:c r="C227" s="10" t="str">
        <x:v>simulant-lot allocation</x:v>
      </x:c>
      <x:c r="D227" s="10" t="str">
        <x:v>independent recomputation variant 2</x:v>
      </x:c>
      <x:c r="E227" s="10" t="str">
        <x:v>MATCH</x:v>
      </x:c>
      <x:c r="F227" s="12"/>
      <x:c r="G227" s="10" t="str">
        <x:f>IF(F227="","OPEN",IF(F227=E227,"PASS","FAIL"))</x:f>
        <x:v>OPEN</x:v>
      </x:c>
      <x:c r="H227" s="10" t="str">
        <x:v>program audit</x:v>
      </x:c>
    </x:row>
    <x:row r="228">
      <x:c r="A228" s="10" t="str">
        <x:v>AUD-R-043</x:v>
      </x:c>
      <x:c r="B228" s="10" t="str">
        <x:v>reconciliation</x:v>
      </x:c>
      <x:c r="C228" s="10" t="str">
        <x:v>simulant-lot allocation</x:v>
      </x:c>
      <x:c r="D228" s="10" t="str">
        <x:v>independent recomputation variant 3</x:v>
      </x:c>
      <x:c r="E228" s="10" t="str">
        <x:v>MATCH</x:v>
      </x:c>
      <x:c r="F228" s="12"/>
      <x:c r="G228" s="10" t="str">
        <x:f>IF(F228="","OPEN",IF(F228=E228,"PASS","FAIL"))</x:f>
        <x:v>OPEN</x:v>
      </x:c>
      <x:c r="H228" s="10" t="str">
        <x:v>program audit</x:v>
      </x:c>
    </x:row>
    <x:row r="229">
      <x:c r="A229" s="10" t="str">
        <x:v>AUD-R-044</x:v>
      </x:c>
      <x:c r="B229" s="10" t="str">
        <x:v>reconciliation</x:v>
      </x:c>
      <x:c r="C229" s="10" t="str">
        <x:v>simulant-lot allocation</x:v>
      </x:c>
      <x:c r="D229" s="10" t="str">
        <x:v>independent recomputation variant 4</x:v>
      </x:c>
      <x:c r="E229" s="10" t="str">
        <x:v>MATCH</x:v>
      </x:c>
      <x:c r="F229" s="12"/>
      <x:c r="G229" s="10" t="str">
        <x:f>IF(F229="","OPEN",IF(F229=E229,"PASS","FAIL"))</x:f>
        <x:v>OPEN</x:v>
      </x:c>
      <x:c r="H229" s="10" t="str">
        <x:v>program audit</x:v>
      </x:c>
    </x:row>
    <x:row r="230">
      <x:c r="A230" s="10" t="str">
        <x:v>AUD-R-045</x:v>
      </x:c>
      <x:c r="B230" s="10" t="str">
        <x:v>reconciliation</x:v>
      </x:c>
      <x:c r="C230" s="10" t="str">
        <x:v>simulant-lot allocation</x:v>
      </x:c>
      <x:c r="D230" s="10" t="str">
        <x:v>independent recomputation variant 5</x:v>
      </x:c>
      <x:c r="E230" s="10" t="str">
        <x:v>MATCH</x:v>
      </x:c>
      <x:c r="F230" s="12"/>
      <x:c r="G230" s="10" t="str">
        <x:f>IF(F230="","OPEN",IF(F230=E230,"PASS","FAIL"))</x:f>
        <x:v>OPEN</x:v>
      </x:c>
      <x:c r="H230" s="10" t="str">
        <x:v>program audit</x:v>
      </x:c>
    </x:row>
    <x:row r="231">
      <x:c r="A231" s="10" t="str">
        <x:v>AUD-R-046</x:v>
      </x:c>
      <x:c r="B231" s="10" t="str">
        <x:v>reconciliation</x:v>
      </x:c>
      <x:c r="C231" s="10" t="str">
        <x:v>bench material total</x:v>
      </x:c>
      <x:c r="D231" s="10" t="str">
        <x:v>independent recomputation variant 1</x:v>
      </x:c>
      <x:c r="E231" s="10" t="str">
        <x:v>MATCH</x:v>
      </x:c>
      <x:c r="F231" s="12"/>
      <x:c r="G231" s="10" t="str">
        <x:f>IF(F231="","OPEN",IF(F231=E231,"PASS","FAIL"))</x:f>
        <x:v>OPEN</x:v>
      </x:c>
      <x:c r="H231" s="10" t="str">
        <x:v>program audit</x:v>
      </x:c>
    </x:row>
    <x:row r="232">
      <x:c r="A232" s="10" t="str">
        <x:v>AUD-R-047</x:v>
      </x:c>
      <x:c r="B232" s="10" t="str">
        <x:v>reconciliation</x:v>
      </x:c>
      <x:c r="C232" s="10" t="str">
        <x:v>bench material total</x:v>
      </x:c>
      <x:c r="D232" s="10" t="str">
        <x:v>independent recomputation variant 2</x:v>
      </x:c>
      <x:c r="E232" s="10" t="str">
        <x:v>MATCH</x:v>
      </x:c>
      <x:c r="F232" s="12"/>
      <x:c r="G232" s="10" t="str">
        <x:f>IF(F232="","OPEN",IF(F232=E232,"PASS","FAIL"))</x:f>
        <x:v>OPEN</x:v>
      </x:c>
      <x:c r="H232" s="10" t="str">
        <x:v>program audit</x:v>
      </x:c>
    </x:row>
    <x:row r="233">
      <x:c r="A233" s="10" t="str">
        <x:v>AUD-R-048</x:v>
      </x:c>
      <x:c r="B233" s="10" t="str">
        <x:v>reconciliation</x:v>
      </x:c>
      <x:c r="C233" s="10" t="str">
        <x:v>bench material total</x:v>
      </x:c>
      <x:c r="D233" s="10" t="str">
        <x:v>independent recomputation variant 3</x:v>
      </x:c>
      <x:c r="E233" s="10" t="str">
        <x:v>MATCH</x:v>
      </x:c>
      <x:c r="F233" s="12"/>
      <x:c r="G233" s="10" t="str">
        <x:f>IF(F233="","OPEN",IF(F233=E233,"PASS","FAIL"))</x:f>
        <x:v>OPEN</x:v>
      </x:c>
      <x:c r="H233" s="10" t="str">
        <x:v>program audit</x:v>
      </x:c>
    </x:row>
    <x:row r="234">
      <x:c r="A234" s="10" t="str">
        <x:v>AUD-R-049</x:v>
      </x:c>
      <x:c r="B234" s="10" t="str">
        <x:v>reconciliation</x:v>
      </x:c>
      <x:c r="C234" s="10" t="str">
        <x:v>bench material total</x:v>
      </x:c>
      <x:c r="D234" s="10" t="str">
        <x:v>independent recomputation variant 4</x:v>
      </x:c>
      <x:c r="E234" s="10" t="str">
        <x:v>MATCH</x:v>
      </x:c>
      <x:c r="F234" s="12"/>
      <x:c r="G234" s="10" t="str">
        <x:f>IF(F234="","OPEN",IF(F234=E234,"PASS","FAIL"))</x:f>
        <x:v>OPEN</x:v>
      </x:c>
      <x:c r="H234" s="10" t="str">
        <x:v>program audit</x:v>
      </x:c>
    </x:row>
    <x:row r="235">
      <x:c r="A235" s="10" t="str">
        <x:v>AUD-R-050</x:v>
      </x:c>
      <x:c r="B235" s="10" t="str">
        <x:v>reconciliation</x:v>
      </x:c>
      <x:c r="C235" s="10" t="str">
        <x:v>bench material total</x:v>
      </x:c>
      <x:c r="D235" s="10" t="str">
        <x:v>independent recomputation variant 5</x:v>
      </x:c>
      <x:c r="E235" s="10" t="str">
        <x:v>MATCH</x:v>
      </x:c>
      <x:c r="F235" s="12"/>
      <x:c r="G235" s="10" t="str">
        <x:f>IF(F235="","OPEN",IF(F235=E235,"PASS","FAIL"))</x:f>
        <x:v>OPEN</x:v>
      </x:c>
      <x:c r="H235" s="10" t="str">
        <x:v>program audit</x:v>
      </x:c>
    </x:row>
    <x:row r="236">
      <x:c r="A236" s="10" t="str">
        <x:v>AUD-R-051</x:v>
      </x:c>
      <x:c r="B236" s="10" t="str">
        <x:v>reconciliation</x:v>
      </x:c>
      <x:c r="C236" s="10" t="str">
        <x:v>qualification material total</x:v>
      </x:c>
      <x:c r="D236" s="10" t="str">
        <x:v>independent recomputation variant 1</x:v>
      </x:c>
      <x:c r="E236" s="10" t="str">
        <x:v>MATCH</x:v>
      </x:c>
      <x:c r="F236" s="12"/>
      <x:c r="G236" s="10" t="str">
        <x:f>IF(F236="","OPEN",IF(F236=E236,"PASS","FAIL"))</x:f>
        <x:v>OPEN</x:v>
      </x:c>
      <x:c r="H236" s="10" t="str">
        <x:v>program audit</x:v>
      </x:c>
    </x:row>
    <x:row r="237">
      <x:c r="A237" s="10" t="str">
        <x:v>AUD-R-052</x:v>
      </x:c>
      <x:c r="B237" s="10" t="str">
        <x:v>reconciliation</x:v>
      </x:c>
      <x:c r="C237" s="10" t="str">
        <x:v>qualification material total</x:v>
      </x:c>
      <x:c r="D237" s="10" t="str">
        <x:v>independent recomputation variant 2</x:v>
      </x:c>
      <x:c r="E237" s="10" t="str">
        <x:v>MATCH</x:v>
      </x:c>
      <x:c r="F237" s="12"/>
      <x:c r="G237" s="10" t="str">
        <x:f>IF(F237="","OPEN",IF(F237=E237,"PASS","FAIL"))</x:f>
        <x:v>OPEN</x:v>
      </x:c>
      <x:c r="H237" s="10" t="str">
        <x:v>program audit</x:v>
      </x:c>
    </x:row>
    <x:row r="238">
      <x:c r="A238" s="10" t="str">
        <x:v>AUD-R-053</x:v>
      </x:c>
      <x:c r="B238" s="10" t="str">
        <x:v>reconciliation</x:v>
      </x:c>
      <x:c r="C238" s="10" t="str">
        <x:v>qualification material total</x:v>
      </x:c>
      <x:c r="D238" s="10" t="str">
        <x:v>independent recomputation variant 3</x:v>
      </x:c>
      <x:c r="E238" s="10" t="str">
        <x:v>MATCH</x:v>
      </x:c>
      <x:c r="F238" s="12"/>
      <x:c r="G238" s="10" t="str">
        <x:f>IF(F238="","OPEN",IF(F238=E238,"PASS","FAIL"))</x:f>
        <x:v>OPEN</x:v>
      </x:c>
      <x:c r="H238" s="10" t="str">
        <x:v>program audit</x:v>
      </x:c>
    </x:row>
    <x:row r="239">
      <x:c r="A239" s="10" t="str">
        <x:v>AUD-R-054</x:v>
      </x:c>
      <x:c r="B239" s="10" t="str">
        <x:v>reconciliation</x:v>
      </x:c>
      <x:c r="C239" s="10" t="str">
        <x:v>qualification material total</x:v>
      </x:c>
      <x:c r="D239" s="10" t="str">
        <x:v>independent recomputation variant 4</x:v>
      </x:c>
      <x:c r="E239" s="10" t="str">
        <x:v>MATCH</x:v>
      </x:c>
      <x:c r="F239" s="12"/>
      <x:c r="G239" s="10" t="str">
        <x:f>IF(F239="","OPEN",IF(F239=E239,"PASS","FAIL"))</x:f>
        <x:v>OPEN</x:v>
      </x:c>
      <x:c r="H239" s="10" t="str">
        <x:v>program audit</x:v>
      </x:c>
    </x:row>
    <x:row r="240">
      <x:c r="A240" s="10" t="str">
        <x:v>AUD-R-055</x:v>
      </x:c>
      <x:c r="B240" s="10" t="str">
        <x:v>reconciliation</x:v>
      </x:c>
      <x:c r="C240" s="10" t="str">
        <x:v>qualification material total</x:v>
      </x:c>
      <x:c r="D240" s="10" t="str">
        <x:v>independent recomputation variant 5</x:v>
      </x:c>
      <x:c r="E240" s="10" t="str">
        <x:v>MATCH</x:v>
      </x:c>
      <x:c r="F240" s="12"/>
      <x:c r="G240" s="10" t="str">
        <x:f>IF(F240="","OPEN",IF(F240=E240,"PASS","FAIL"))</x:f>
        <x:v>OPEN</x:v>
      </x:c>
      <x:c r="H240" s="10" t="str">
        <x:v>program audit</x:v>
      </x:c>
    </x:row>
    <x:row r="241">
      <x:c r="A241" s="10" t="str">
        <x:v>AUD-R-056</x:v>
      </x:c>
      <x:c r="B241" s="10" t="str">
        <x:v>reconciliation</x:v>
      </x:c>
      <x:c r="C241" s="10" t="str">
        <x:v>class material total</x:v>
      </x:c>
      <x:c r="D241" s="10" t="str">
        <x:v>independent recomputation variant 1</x:v>
      </x:c>
      <x:c r="E241" s="10" t="str">
        <x:v>MATCH</x:v>
      </x:c>
      <x:c r="F241" s="12"/>
      <x:c r="G241" s="10" t="str">
        <x:f>IF(F241="","OPEN",IF(F241=E241,"PASS","FAIL"))</x:f>
        <x:v>OPEN</x:v>
      </x:c>
      <x:c r="H241" s="10" t="str">
        <x:v>program audit</x:v>
      </x:c>
    </x:row>
    <x:row r="242">
      <x:c r="A242" s="10" t="str">
        <x:v>AUD-R-057</x:v>
      </x:c>
      <x:c r="B242" s="10" t="str">
        <x:v>reconciliation</x:v>
      </x:c>
      <x:c r="C242" s="10" t="str">
        <x:v>class material total</x:v>
      </x:c>
      <x:c r="D242" s="10" t="str">
        <x:v>independent recomputation variant 2</x:v>
      </x:c>
      <x:c r="E242" s="10" t="str">
        <x:v>MATCH</x:v>
      </x:c>
      <x:c r="F242" s="12"/>
      <x:c r="G242" s="10" t="str">
        <x:f>IF(F242="","OPEN",IF(F242=E242,"PASS","FAIL"))</x:f>
        <x:v>OPEN</x:v>
      </x:c>
      <x:c r="H242" s="10" t="str">
        <x:v>program audit</x:v>
      </x:c>
    </x:row>
    <x:row r="243">
      <x:c r="A243" s="10" t="str">
        <x:v>AUD-R-058</x:v>
      </x:c>
      <x:c r="B243" s="10" t="str">
        <x:v>reconciliation</x:v>
      </x:c>
      <x:c r="C243" s="10" t="str">
        <x:v>class material total</x:v>
      </x:c>
      <x:c r="D243" s="10" t="str">
        <x:v>independent recomputation variant 3</x:v>
      </x:c>
      <x:c r="E243" s="10" t="str">
        <x:v>MATCH</x:v>
      </x:c>
      <x:c r="F243" s="12"/>
      <x:c r="G243" s="10" t="str">
        <x:f>IF(F243="","OPEN",IF(F243=E243,"PASS","FAIL"))</x:f>
        <x:v>OPEN</x:v>
      </x:c>
      <x:c r="H243" s="10" t="str">
        <x:v>program audit</x:v>
      </x:c>
    </x:row>
    <x:row r="244">
      <x:c r="A244" s="10" t="str">
        <x:v>AUD-R-059</x:v>
      </x:c>
      <x:c r="B244" s="10" t="str">
        <x:v>reconciliation</x:v>
      </x:c>
      <x:c r="C244" s="10" t="str">
        <x:v>class material total</x:v>
      </x:c>
      <x:c r="D244" s="10" t="str">
        <x:v>independent recomputation variant 4</x:v>
      </x:c>
      <x:c r="E244" s="10" t="str">
        <x:v>MATCH</x:v>
      </x:c>
      <x:c r="F244" s="12"/>
      <x:c r="G244" s="10" t="str">
        <x:f>IF(F244="","OPEN",IF(F244=E244,"PASS","FAIL"))</x:f>
        <x:v>OPEN</x:v>
      </x:c>
      <x:c r="H244" s="10" t="str">
        <x:v>program audit</x:v>
      </x:c>
    </x:row>
    <x:row r="245">
      <x:c r="A245" s="10" t="str">
        <x:v>AUD-R-060</x:v>
      </x:c>
      <x:c r="B245" s="10" t="str">
        <x:v>reconciliation</x:v>
      </x:c>
      <x:c r="C245" s="10" t="str">
        <x:v>class material total</x:v>
      </x:c>
      <x:c r="D245" s="10" t="str">
        <x:v>independent recomputation variant 5</x:v>
      </x:c>
      <x:c r="E245" s="10" t="str">
        <x:v>MATCH</x:v>
      </x:c>
      <x:c r="F245" s="12"/>
      <x:c r="G245" s="10" t="str">
        <x:f>IF(F245="","OPEN",IF(F245=E245,"PASS","FAIL"))</x:f>
        <x:v>OPEN</x:v>
      </x:c>
      <x:c r="H245" s="10" t="str">
        <x:v>program audit</x:v>
      </x:c>
    </x:row>
    <x:row r="246">
      <x:c r="A246" s="10" t="str">
        <x:v>AUD-R-061</x:v>
      </x:c>
      <x:c r="B246" s="10" t="str">
        <x:v>reconciliation</x:v>
      </x:c>
      <x:c r="C246" s="10" t="str">
        <x:v>evidence allocation</x:v>
      </x:c>
      <x:c r="D246" s="10" t="str">
        <x:v>independent recomputation variant 1</x:v>
      </x:c>
      <x:c r="E246" s="10" t="str">
        <x:v>MATCH</x:v>
      </x:c>
      <x:c r="F246" s="12"/>
      <x:c r="G246" s="10" t="str">
        <x:f>IF(F246="","OPEN",IF(F246=E246,"PASS","FAIL"))</x:f>
        <x:v>OPEN</x:v>
      </x:c>
      <x:c r="H246" s="10" t="str">
        <x:v>program audit</x:v>
      </x:c>
    </x:row>
    <x:row r="247">
      <x:c r="A247" s="10" t="str">
        <x:v>AUD-R-062</x:v>
      </x:c>
      <x:c r="B247" s="10" t="str">
        <x:v>reconciliation</x:v>
      </x:c>
      <x:c r="C247" s="10" t="str">
        <x:v>evidence allocation</x:v>
      </x:c>
      <x:c r="D247" s="10" t="str">
        <x:v>independent recomputation variant 2</x:v>
      </x:c>
      <x:c r="E247" s="10" t="str">
        <x:v>MATCH</x:v>
      </x:c>
      <x:c r="F247" s="12"/>
      <x:c r="G247" s="10" t="str">
        <x:f>IF(F247="","OPEN",IF(F247=E247,"PASS","FAIL"))</x:f>
        <x:v>OPEN</x:v>
      </x:c>
      <x:c r="H247" s="10" t="str">
        <x:v>program audit</x:v>
      </x:c>
    </x:row>
    <x:row r="248">
      <x:c r="A248" s="10" t="str">
        <x:v>AUD-R-063</x:v>
      </x:c>
      <x:c r="B248" s="10" t="str">
        <x:v>reconciliation</x:v>
      </x:c>
      <x:c r="C248" s="10" t="str">
        <x:v>evidence allocation</x:v>
      </x:c>
      <x:c r="D248" s="10" t="str">
        <x:v>independent recomputation variant 3</x:v>
      </x:c>
      <x:c r="E248" s="10" t="str">
        <x:v>MATCH</x:v>
      </x:c>
      <x:c r="F248" s="12"/>
      <x:c r="G248" s="10" t="str">
        <x:f>IF(F248="","OPEN",IF(F248=E248,"PASS","FAIL"))</x:f>
        <x:v>OPEN</x:v>
      </x:c>
      <x:c r="H248" s="10" t="str">
        <x:v>program audit</x:v>
      </x:c>
    </x:row>
    <x:row r="249">
      <x:c r="A249" s="10" t="str">
        <x:v>AUD-R-064</x:v>
      </x:c>
      <x:c r="B249" s="10" t="str">
        <x:v>reconciliation</x:v>
      </x:c>
      <x:c r="C249" s="10" t="str">
        <x:v>evidence allocation</x:v>
      </x:c>
      <x:c r="D249" s="10" t="str">
        <x:v>independent recomputation variant 4</x:v>
      </x:c>
      <x:c r="E249" s="10" t="str">
        <x:v>MATCH</x:v>
      </x:c>
      <x:c r="F249" s="12"/>
      <x:c r="G249" s="10" t="str">
        <x:f>IF(F249="","OPEN",IF(F249=E249,"PASS","FAIL"))</x:f>
        <x:v>OPEN</x:v>
      </x:c>
      <x:c r="H249" s="10" t="str">
        <x:v>program audit</x:v>
      </x:c>
    </x:row>
    <x:row r="250">
      <x:c r="A250" s="10" t="str">
        <x:v>AUD-R-065</x:v>
      </x:c>
      <x:c r="B250" s="10" t="str">
        <x:v>reconciliation</x:v>
      </x:c>
      <x:c r="C250" s="10" t="str">
        <x:v>evidence allocation</x:v>
      </x:c>
      <x:c r="D250" s="10" t="str">
        <x:v>independent recomputation variant 5</x:v>
      </x:c>
      <x:c r="E250" s="10" t="str">
        <x:v>MATCH</x:v>
      </x:c>
      <x:c r="F250" s="12"/>
      <x:c r="G250" s="10" t="str">
        <x:f>IF(F250="","OPEN",IF(F250=E250,"PASS","FAIL"))</x:f>
        <x:v>OPEN</x:v>
      </x:c>
      <x:c r="H250" s="10" t="str">
        <x:v>program audit</x:v>
      </x:c>
    </x:row>
    <x:row r="251">
      <x:c r="A251" s="10" t="str">
        <x:v>AUD-R-066</x:v>
      </x:c>
      <x:c r="B251" s="10" t="str">
        <x:v>reconciliation</x:v>
      </x:c>
      <x:c r="C251" s="10" t="str">
        <x:v>RBJ schedule</x:v>
      </x:c>
      <x:c r="D251" s="10" t="str">
        <x:v>independent recomputation variant 1</x:v>
      </x:c>
      <x:c r="E251" s="10" t="str">
        <x:v>MATCH</x:v>
      </x:c>
      <x:c r="F251" s="12"/>
      <x:c r="G251" s="10" t="str">
        <x:f>IF(F251="","OPEN",IF(F251=E251,"PASS","FAIL"))</x:f>
        <x:v>OPEN</x:v>
      </x:c>
      <x:c r="H251" s="10" t="str">
        <x:v>program audit</x:v>
      </x:c>
    </x:row>
    <x:row r="252">
      <x:c r="A252" s="10" t="str">
        <x:v>AUD-R-067</x:v>
      </x:c>
      <x:c r="B252" s="10" t="str">
        <x:v>reconciliation</x:v>
      </x:c>
      <x:c r="C252" s="10" t="str">
        <x:v>RBJ schedule</x:v>
      </x:c>
      <x:c r="D252" s="10" t="str">
        <x:v>independent recomputation variant 2</x:v>
      </x:c>
      <x:c r="E252" s="10" t="str">
        <x:v>MATCH</x:v>
      </x:c>
      <x:c r="F252" s="12"/>
      <x:c r="G252" s="10" t="str">
        <x:f>IF(F252="","OPEN",IF(F252=E252,"PASS","FAIL"))</x:f>
        <x:v>OPEN</x:v>
      </x:c>
      <x:c r="H252" s="10" t="str">
        <x:v>program audit</x:v>
      </x:c>
    </x:row>
    <x:row r="253">
      <x:c r="A253" s="10" t="str">
        <x:v>AUD-R-068</x:v>
      </x:c>
      <x:c r="B253" s="10" t="str">
        <x:v>reconciliation</x:v>
      </x:c>
      <x:c r="C253" s="10" t="str">
        <x:v>RBJ schedule</x:v>
      </x:c>
      <x:c r="D253" s="10" t="str">
        <x:v>independent recomputation variant 3</x:v>
      </x:c>
      <x:c r="E253" s="10" t="str">
        <x:v>MATCH</x:v>
      </x:c>
      <x:c r="F253" s="12"/>
      <x:c r="G253" s="10" t="str">
        <x:f>IF(F253="","OPEN",IF(F253=E253,"PASS","FAIL"))</x:f>
        <x:v>OPEN</x:v>
      </x:c>
      <x:c r="H253" s="10" t="str">
        <x:v>program audit</x:v>
      </x:c>
    </x:row>
    <x:row r="254">
      <x:c r="A254" s="10" t="str">
        <x:v>AUD-R-069</x:v>
      </x:c>
      <x:c r="B254" s="10" t="str">
        <x:v>reconciliation</x:v>
      </x:c>
      <x:c r="C254" s="10" t="str">
        <x:v>RBJ schedule</x:v>
      </x:c>
      <x:c r="D254" s="10" t="str">
        <x:v>independent recomputation variant 4</x:v>
      </x:c>
      <x:c r="E254" s="10" t="str">
        <x:v>MATCH</x:v>
      </x:c>
      <x:c r="F254" s="12"/>
      <x:c r="G254" s="10" t="str">
        <x:f>IF(F254="","OPEN",IF(F254=E254,"PASS","FAIL"))</x:f>
        <x:v>OPEN</x:v>
      </x:c>
      <x:c r="H254" s="10" t="str">
        <x:v>program audit</x:v>
      </x:c>
    </x:row>
    <x:row r="255">
      <x:c r="A255" s="10" t="str">
        <x:v>AUD-R-070</x:v>
      </x:c>
      <x:c r="B255" s="10" t="str">
        <x:v>reconciliation</x:v>
      </x:c>
      <x:c r="C255" s="10" t="str">
        <x:v>RBJ schedule</x:v>
      </x:c>
      <x:c r="D255" s="10" t="str">
        <x:v>independent recomputation variant 5</x:v>
      </x:c>
      <x:c r="E255" s="10" t="str">
        <x:v>MATCH</x:v>
      </x:c>
      <x:c r="F255" s="12"/>
      <x:c r="G255" s="10" t="str">
        <x:f>IF(F255="","OPEN",IF(F255=E255,"PASS","FAIL"))</x:f>
        <x:v>OPEN</x:v>
      </x:c>
      <x:c r="H255" s="10" t="str">
        <x:v>program audit</x:v>
      </x:c>
    </x:row>
    <x:row r="256">
      <x:c r="A256" s="10" t="str">
        <x:v>AUD-R-071</x:v>
      </x:c>
      <x:c r="B256" s="10" t="str">
        <x:v>reconciliation</x:v>
      </x:c>
      <x:c r="C256" s="10" t="str">
        <x:v>parent calendar</x:v>
      </x:c>
      <x:c r="D256" s="10" t="str">
        <x:v>independent recomputation variant 1</x:v>
      </x:c>
      <x:c r="E256" s="10" t="str">
        <x:v>MATCH</x:v>
      </x:c>
      <x:c r="F256" s="12"/>
      <x:c r="G256" s="10" t="str">
        <x:f>IF(F256="","OPEN",IF(F256=E256,"PASS","FAIL"))</x:f>
        <x:v>OPEN</x:v>
      </x:c>
      <x:c r="H256" s="10" t="str">
        <x:v>program audit</x:v>
      </x:c>
    </x:row>
    <x:row r="257">
      <x:c r="A257" s="10" t="str">
        <x:v>AUD-R-072</x:v>
      </x:c>
      <x:c r="B257" s="10" t="str">
        <x:v>reconciliation</x:v>
      </x:c>
      <x:c r="C257" s="10" t="str">
        <x:v>parent calendar</x:v>
      </x:c>
      <x:c r="D257" s="10" t="str">
        <x:v>independent recomputation variant 2</x:v>
      </x:c>
      <x:c r="E257" s="10" t="str">
        <x:v>MATCH</x:v>
      </x:c>
      <x:c r="F257" s="12"/>
      <x:c r="G257" s="10" t="str">
        <x:f>IF(F257="","OPEN",IF(F257=E257,"PASS","FAIL"))</x:f>
        <x:v>OPEN</x:v>
      </x:c>
      <x:c r="H257" s="10" t="str">
        <x:v>program audit</x:v>
      </x:c>
    </x:row>
    <x:row r="258">
      <x:c r="A258" s="10" t="str">
        <x:v>AUD-R-073</x:v>
      </x:c>
      <x:c r="B258" s="10" t="str">
        <x:v>reconciliation</x:v>
      </x:c>
      <x:c r="C258" s="10" t="str">
        <x:v>parent calendar</x:v>
      </x:c>
      <x:c r="D258" s="10" t="str">
        <x:v>independent recomputation variant 3</x:v>
      </x:c>
      <x:c r="E258" s="10" t="str">
        <x:v>MATCH</x:v>
      </x:c>
      <x:c r="F258" s="12"/>
      <x:c r="G258" s="10" t="str">
        <x:f>IF(F258="","OPEN",IF(F258=E258,"PASS","FAIL"))</x:f>
        <x:v>OPEN</x:v>
      </x:c>
      <x:c r="H258" s="10" t="str">
        <x:v>program audit</x:v>
      </x:c>
    </x:row>
    <x:row r="259">
      <x:c r="A259" s="10" t="str">
        <x:v>AUD-R-074</x:v>
      </x:c>
      <x:c r="B259" s="10" t="str">
        <x:v>reconciliation</x:v>
      </x:c>
      <x:c r="C259" s="10" t="str">
        <x:v>parent calendar</x:v>
      </x:c>
      <x:c r="D259" s="10" t="str">
        <x:v>independent recomputation variant 4</x:v>
      </x:c>
      <x:c r="E259" s="10" t="str">
        <x:v>MATCH</x:v>
      </x:c>
      <x:c r="F259" s="12"/>
      <x:c r="G259" s="10" t="str">
        <x:f>IF(F259="","OPEN",IF(F259=E259,"PASS","FAIL"))</x:f>
        <x:v>OPEN</x:v>
      </x:c>
      <x:c r="H259" s="10" t="str">
        <x:v>program audit</x:v>
      </x:c>
    </x:row>
    <x:row r="260">
      <x:c r="A260" s="10" t="str">
        <x:v>AUD-R-075</x:v>
      </x:c>
      <x:c r="B260" s="10" t="str">
        <x:v>reconciliation</x:v>
      </x:c>
      <x:c r="C260" s="10" t="str">
        <x:v>parent calendar</x:v>
      </x:c>
      <x:c r="D260" s="10" t="str">
        <x:v>independent recomputation variant 5</x:v>
      </x:c>
      <x:c r="E260" s="10" t="str">
        <x:v>MATCH</x:v>
      </x:c>
      <x:c r="F260" s="12"/>
      <x:c r="G260" s="10" t="str">
        <x:f>IF(F260="","OPEN",IF(F260=E260,"PASS","FAIL"))</x:f>
        <x:v>OPEN</x:v>
      </x:c>
      <x:c r="H260" s="10" t="str">
        <x:v>program audit</x:v>
      </x:c>
    </x:row>
    <x:row r="261">
      <x:c r="A261" s="10" t="str">
        <x:v>AUD-R-076</x:v>
      </x:c>
      <x:c r="B261" s="10" t="str">
        <x:v>reconciliation</x:v>
      </x:c>
      <x:c r="C261" s="10" t="str">
        <x:v>execution positions</x:v>
      </x:c>
      <x:c r="D261" s="10" t="str">
        <x:v>independent recomputation variant 1</x:v>
      </x:c>
      <x:c r="E261" s="10" t="str">
        <x:v>MATCH</x:v>
      </x:c>
      <x:c r="F261" s="12"/>
      <x:c r="G261" s="10" t="str">
        <x:f>IF(F261="","OPEN",IF(F261=E261,"PASS","FAIL"))</x:f>
        <x:v>OPEN</x:v>
      </x:c>
      <x:c r="H261" s="10" t="str">
        <x:v>program audit</x:v>
      </x:c>
    </x:row>
    <x:row r="262">
      <x:c r="A262" s="10" t="str">
        <x:v>AUD-R-077</x:v>
      </x:c>
      <x:c r="B262" s="10" t="str">
        <x:v>reconciliation</x:v>
      </x:c>
      <x:c r="C262" s="10" t="str">
        <x:v>execution positions</x:v>
      </x:c>
      <x:c r="D262" s="10" t="str">
        <x:v>independent recomputation variant 2</x:v>
      </x:c>
      <x:c r="E262" s="10" t="str">
        <x:v>MATCH</x:v>
      </x:c>
      <x:c r="F262" s="12"/>
      <x:c r="G262" s="10" t="str">
        <x:f>IF(F262="","OPEN",IF(F262=E262,"PASS","FAIL"))</x:f>
        <x:v>OPEN</x:v>
      </x:c>
      <x:c r="H262" s="10" t="str">
        <x:v>program audit</x:v>
      </x:c>
    </x:row>
    <x:row r="263">
      <x:c r="A263" s="10" t="str">
        <x:v>AUD-R-078</x:v>
      </x:c>
      <x:c r="B263" s="10" t="str">
        <x:v>reconciliation</x:v>
      </x:c>
      <x:c r="C263" s="10" t="str">
        <x:v>execution positions</x:v>
      </x:c>
      <x:c r="D263" s="10" t="str">
        <x:v>independent recomputation variant 3</x:v>
      </x:c>
      <x:c r="E263" s="10" t="str">
        <x:v>MATCH</x:v>
      </x:c>
      <x:c r="F263" s="12"/>
      <x:c r="G263" s="10" t="str">
        <x:f>IF(F263="","OPEN",IF(F263=E263,"PASS","FAIL"))</x:f>
        <x:v>OPEN</x:v>
      </x:c>
      <x:c r="H263" s="10" t="str">
        <x:v>program audit</x:v>
      </x:c>
    </x:row>
    <x:row r="264">
      <x:c r="A264" s="10" t="str">
        <x:v>AUD-R-079</x:v>
      </x:c>
      <x:c r="B264" s="10" t="str">
        <x:v>reconciliation</x:v>
      </x:c>
      <x:c r="C264" s="10" t="str">
        <x:v>execution positions</x:v>
      </x:c>
      <x:c r="D264" s="10" t="str">
        <x:v>independent recomputation variant 4</x:v>
      </x:c>
      <x:c r="E264" s="10" t="str">
        <x:v>MATCH</x:v>
      </x:c>
      <x:c r="F264" s="12"/>
      <x:c r="G264" s="10" t="str">
        <x:f>IF(F264="","OPEN",IF(F264=E264,"PASS","FAIL"))</x:f>
        <x:v>OPEN</x:v>
      </x:c>
      <x:c r="H264" s="10" t="str">
        <x:v>program audit</x:v>
      </x:c>
    </x:row>
    <x:row r="265">
      <x:c r="A265" s="10" t="str">
        <x:v>AUD-R-080</x:v>
      </x:c>
      <x:c r="B265" s="10" t="str">
        <x:v>reconciliation</x:v>
      </x:c>
      <x:c r="C265" s="10" t="str">
        <x:v>execution positions</x:v>
      </x:c>
      <x:c r="D265" s="10" t="str">
        <x:v>independent recomputation variant 5</x:v>
      </x:c>
      <x:c r="E265" s="10" t="str">
        <x:v>MATCH</x:v>
      </x:c>
      <x:c r="F265" s="12"/>
      <x:c r="G265" s="10" t="str">
        <x:f>IF(F265="","OPEN",IF(F265=E265,"PASS","FAIL"))</x:f>
        <x:v>OPEN</x:v>
      </x:c>
      <x:c r="H265" s="10" t="str">
        <x:v>program audit</x:v>
      </x:c>
    </x:row>
    <x:row r="266">
      <x:c r="A266" s="10" t="str">
        <x:v>AUD-R-081</x:v>
      </x:c>
      <x:c r="B266" s="10" t="str">
        <x:v>reconciliation</x:v>
      </x:c>
      <x:c r="C266" s="10" t="str">
        <x:v>capital allocation</x:v>
      </x:c>
      <x:c r="D266" s="10" t="str">
        <x:v>independent recomputation variant 1</x:v>
      </x:c>
      <x:c r="E266" s="10" t="str">
        <x:v>MATCH</x:v>
      </x:c>
      <x:c r="F266" s="12"/>
      <x:c r="G266" s="10" t="str">
        <x:f>IF(F266="","OPEN",IF(F266=E266,"PASS","FAIL"))</x:f>
        <x:v>OPEN</x:v>
      </x:c>
      <x:c r="H266" s="10" t="str">
        <x:v>program audit</x:v>
      </x:c>
    </x:row>
    <x:row r="267">
      <x:c r="A267" s="10" t="str">
        <x:v>AUD-R-082</x:v>
      </x:c>
      <x:c r="B267" s="10" t="str">
        <x:v>reconciliation</x:v>
      </x:c>
      <x:c r="C267" s="10" t="str">
        <x:v>capital allocation</x:v>
      </x:c>
      <x:c r="D267" s="10" t="str">
        <x:v>independent recomputation variant 2</x:v>
      </x:c>
      <x:c r="E267" s="10" t="str">
        <x:v>MATCH</x:v>
      </x:c>
      <x:c r="F267" s="12"/>
      <x:c r="G267" s="10" t="str">
        <x:f>IF(F267="","OPEN",IF(F267=E267,"PASS","FAIL"))</x:f>
        <x:v>OPEN</x:v>
      </x:c>
      <x:c r="H267" s="10" t="str">
        <x:v>program audit</x:v>
      </x:c>
    </x:row>
    <x:row r="268">
      <x:c r="A268" s="10" t="str">
        <x:v>AUD-R-083</x:v>
      </x:c>
      <x:c r="B268" s="10" t="str">
        <x:v>reconciliation</x:v>
      </x:c>
      <x:c r="C268" s="10" t="str">
        <x:v>capital allocation</x:v>
      </x:c>
      <x:c r="D268" s="10" t="str">
        <x:v>independent recomputation variant 3</x:v>
      </x:c>
      <x:c r="E268" s="10" t="str">
        <x:v>MATCH</x:v>
      </x:c>
      <x:c r="F268" s="12"/>
      <x:c r="G268" s="10" t="str">
        <x:f>IF(F268="","OPEN",IF(F268=E268,"PASS","FAIL"))</x:f>
        <x:v>OPEN</x:v>
      </x:c>
      <x:c r="H268" s="10" t="str">
        <x:v>program audit</x:v>
      </x:c>
    </x:row>
    <x:row r="269">
      <x:c r="A269" s="10" t="str">
        <x:v>AUD-R-084</x:v>
      </x:c>
      <x:c r="B269" s="10" t="str">
        <x:v>reconciliation</x:v>
      </x:c>
      <x:c r="C269" s="10" t="str">
        <x:v>capital allocation</x:v>
      </x:c>
      <x:c r="D269" s="10" t="str">
        <x:v>independent recomputation variant 4</x:v>
      </x:c>
      <x:c r="E269" s="10" t="str">
        <x:v>MATCH</x:v>
      </x:c>
      <x:c r="F269" s="12"/>
      <x:c r="G269" s="10" t="str">
        <x:f>IF(F269="","OPEN",IF(F269=E269,"PASS","FAIL"))</x:f>
        <x:v>OPEN</x:v>
      </x:c>
      <x:c r="H269" s="10" t="str">
        <x:v>program audit</x:v>
      </x:c>
    </x:row>
    <x:row r="270">
      <x:c r="A270" s="10" t="str">
        <x:v>AUD-R-085</x:v>
      </x:c>
      <x:c r="B270" s="10" t="str">
        <x:v>reconciliation</x:v>
      </x:c>
      <x:c r="C270" s="10" t="str">
        <x:v>capital allocation</x:v>
      </x:c>
      <x:c r="D270" s="10" t="str">
        <x:v>independent recomputation variant 5</x:v>
      </x:c>
      <x:c r="E270" s="10" t="str">
        <x:v>MATCH</x:v>
      </x:c>
      <x:c r="F270" s="12"/>
      <x:c r="G270" s="10" t="str">
        <x:f>IF(F270="","OPEN",IF(F270=E270,"PASS","FAIL"))</x:f>
        <x:v>OPEN</x:v>
      </x:c>
      <x:c r="H270" s="10" t="str">
        <x:v>program audit</x:v>
      </x:c>
    </x:row>
    <x:row r="271">
      <x:c r="A271" s="10" t="str">
        <x:v>AUD-R-086</x:v>
      </x:c>
      <x:c r="B271" s="10" t="str">
        <x:v>reconciliation</x:v>
      </x:c>
      <x:c r="C271" s="10" t="str">
        <x:v>technology allocation</x:v>
      </x:c>
      <x:c r="D271" s="10" t="str">
        <x:v>independent recomputation variant 1</x:v>
      </x:c>
      <x:c r="E271" s="10" t="str">
        <x:v>MATCH</x:v>
      </x:c>
      <x:c r="F271" s="12"/>
      <x:c r="G271" s="10" t="str">
        <x:f>IF(F271="","OPEN",IF(F271=E271,"PASS","FAIL"))</x:f>
        <x:v>OPEN</x:v>
      </x:c>
      <x:c r="H271" s="10" t="str">
        <x:v>program audit</x:v>
      </x:c>
    </x:row>
    <x:row r="272">
      <x:c r="A272" s="10" t="str">
        <x:v>AUD-R-087</x:v>
      </x:c>
      <x:c r="B272" s="10" t="str">
        <x:v>reconciliation</x:v>
      </x:c>
      <x:c r="C272" s="10" t="str">
        <x:v>technology allocation</x:v>
      </x:c>
      <x:c r="D272" s="10" t="str">
        <x:v>independent recomputation variant 2</x:v>
      </x:c>
      <x:c r="E272" s="10" t="str">
        <x:v>MATCH</x:v>
      </x:c>
      <x:c r="F272" s="12"/>
      <x:c r="G272" s="10" t="str">
        <x:f>IF(F272="","OPEN",IF(F272=E272,"PASS","FAIL"))</x:f>
        <x:v>OPEN</x:v>
      </x:c>
      <x:c r="H272" s="10" t="str">
        <x:v>program audit</x:v>
      </x:c>
    </x:row>
    <x:row r="273">
      <x:c r="A273" s="10" t="str">
        <x:v>AUD-R-088</x:v>
      </x:c>
      <x:c r="B273" s="10" t="str">
        <x:v>reconciliation</x:v>
      </x:c>
      <x:c r="C273" s="10" t="str">
        <x:v>technology allocation</x:v>
      </x:c>
      <x:c r="D273" s="10" t="str">
        <x:v>independent recomputation variant 3</x:v>
      </x:c>
      <x:c r="E273" s="10" t="str">
        <x:v>MATCH</x:v>
      </x:c>
      <x:c r="F273" s="12"/>
      <x:c r="G273" s="10" t="str">
        <x:f>IF(F273="","OPEN",IF(F273=E273,"PASS","FAIL"))</x:f>
        <x:v>OPEN</x:v>
      </x:c>
      <x:c r="H273" s="10" t="str">
        <x:v>program audit</x:v>
      </x:c>
    </x:row>
    <x:row r="274">
      <x:c r="A274" s="10" t="str">
        <x:v>AUD-R-089</x:v>
      </x:c>
      <x:c r="B274" s="10" t="str">
        <x:v>reconciliation</x:v>
      </x:c>
      <x:c r="C274" s="10" t="str">
        <x:v>technology allocation</x:v>
      </x:c>
      <x:c r="D274" s="10" t="str">
        <x:v>independent recomputation variant 4</x:v>
      </x:c>
      <x:c r="E274" s="10" t="str">
        <x:v>MATCH</x:v>
      </x:c>
      <x:c r="F274" s="12"/>
      <x:c r="G274" s="10" t="str">
        <x:f>IF(F274="","OPEN",IF(F274=E274,"PASS","FAIL"))</x:f>
        <x:v>OPEN</x:v>
      </x:c>
      <x:c r="H274" s="10" t="str">
        <x:v>program audit</x:v>
      </x:c>
    </x:row>
    <x:row r="275">
      <x:c r="A275" s="10" t="str">
        <x:v>AUD-R-090</x:v>
      </x:c>
      <x:c r="B275" s="10" t="str">
        <x:v>reconciliation</x:v>
      </x:c>
      <x:c r="C275" s="10" t="str">
        <x:v>technology allocation</x:v>
      </x:c>
      <x:c r="D275" s="10" t="str">
        <x:v>independent recomputation variant 5</x:v>
      </x:c>
      <x:c r="E275" s="10" t="str">
        <x:v>MATCH</x:v>
      </x:c>
      <x:c r="F275" s="12"/>
      <x:c r="G275" s="10" t="str">
        <x:f>IF(F275="","OPEN",IF(F275=E275,"PASS","FAIL"))</x:f>
        <x:v>OPEN</x:v>
      </x:c>
      <x:c r="H275" s="10" t="str">
        <x:v>program audit</x:v>
      </x:c>
    </x:row>
    <x:row r="276">
      <x:c r="A276" s="10" t="str">
        <x:v>AUD-I-001</x:v>
      </x:c>
      <x:c r="B276" s="10" t="str">
        <x:v>initial state</x:v>
      </x:c>
      <x:c r="C276" s="10" t="str">
        <x:v>candidate evidence open</x:v>
      </x:c>
      <x:c r="D276" s="10" t="str">
        <x:v>blank-state inspection variant 1</x:v>
      </x:c>
      <x:c r="E276" s="10" t="str">
        <x:v>MATCH</x:v>
      </x:c>
      <x:c r="F276" s="12"/>
      <x:c r="G276" s="10" t="str">
        <x:f>IF(F276="","OPEN",IF(F276=E276,"PASS","FAIL"))</x:f>
        <x:v>OPEN</x:v>
      </x:c>
      <x:c r="H276" s="10" t="str">
        <x:v>configuration authority</x:v>
      </x:c>
    </x:row>
    <x:row r="277">
      <x:c r="A277" s="10" t="str">
        <x:v>AUD-I-002</x:v>
      </x:c>
      <x:c r="B277" s="10" t="str">
        <x:v>initial state</x:v>
      </x:c>
      <x:c r="C277" s="10" t="str">
        <x:v>candidate evidence open</x:v>
      </x:c>
      <x:c r="D277" s="10" t="str">
        <x:v>blank-state inspection variant 2</x:v>
      </x:c>
      <x:c r="E277" s="10" t="str">
        <x:v>MATCH</x:v>
      </x:c>
      <x:c r="F277" s="12"/>
      <x:c r="G277" s="10" t="str">
        <x:f>IF(F277="","OPEN",IF(F277=E277,"PASS","FAIL"))</x:f>
        <x:v>OPEN</x:v>
      </x:c>
      <x:c r="H277" s="10" t="str">
        <x:v>configuration authority</x:v>
      </x:c>
    </x:row>
    <x:row r="278">
      <x:c r="A278" s="10" t="str">
        <x:v>AUD-I-003</x:v>
      </x:c>
      <x:c r="B278" s="10" t="str">
        <x:v>initial state</x:v>
      </x:c>
      <x:c r="C278" s="10" t="str">
        <x:v>candidate evidence open</x:v>
      </x:c>
      <x:c r="D278" s="10" t="str">
        <x:v>blank-state inspection variant 3</x:v>
      </x:c>
      <x:c r="E278" s="10" t="str">
        <x:v>MATCH</x:v>
      </x:c>
      <x:c r="F278" s="12"/>
      <x:c r="G278" s="10" t="str">
        <x:f>IF(F278="","OPEN",IF(F278=E278,"PASS","FAIL"))</x:f>
        <x:v>OPEN</x:v>
      </x:c>
      <x:c r="H278" s="10" t="str">
        <x:v>configuration authority</x:v>
      </x:c>
    </x:row>
    <x:row r="279">
      <x:c r="A279" s="10" t="str">
        <x:v>AUD-I-004</x:v>
      </x:c>
      <x:c r="B279" s="10" t="str">
        <x:v>initial state</x:v>
      </x:c>
      <x:c r="C279" s="10" t="str">
        <x:v>candidate evidence open</x:v>
      </x:c>
      <x:c r="D279" s="10" t="str">
        <x:v>blank-state inspection variant 4</x:v>
      </x:c>
      <x:c r="E279" s="10" t="str">
        <x:v>MATCH</x:v>
      </x:c>
      <x:c r="F279" s="12"/>
      <x:c r="G279" s="10" t="str">
        <x:f>IF(F279="","OPEN",IF(F279=E279,"PASS","FAIL"))</x:f>
        <x:v>OPEN</x:v>
      </x:c>
      <x:c r="H279" s="10" t="str">
        <x:v>configuration authority</x:v>
      </x:c>
    </x:row>
    <x:row r="280">
      <x:c r="A280" s="10" t="str">
        <x:v>AUD-I-005</x:v>
      </x:c>
      <x:c r="B280" s="10" t="str">
        <x:v>initial state</x:v>
      </x:c>
      <x:c r="C280" s="10" t="str">
        <x:v>candidate evidence open</x:v>
      </x:c>
      <x:c r="D280" s="10" t="str">
        <x:v>blank-state inspection variant 5</x:v>
      </x:c>
      <x:c r="E280" s="10" t="str">
        <x:v>MATCH</x:v>
      </x:c>
      <x:c r="F280" s="12"/>
      <x:c r="G280" s="10" t="str">
        <x:f>IF(F280="","OPEN",IF(F280=E280,"PASS","FAIL"))</x:f>
        <x:v>OPEN</x:v>
      </x:c>
      <x:c r="H280" s="10" t="str">
        <x:v>configuration authority</x:v>
      </x:c>
    </x:row>
    <x:row r="281">
      <x:c r="A281" s="10" t="str">
        <x:v>AUD-I-006</x:v>
      </x:c>
      <x:c r="B281" s="10" t="str">
        <x:v>initial state</x:v>
      </x:c>
      <x:c r="C281" s="10" t="str">
        <x:v>candidate evidence open</x:v>
      </x:c>
      <x:c r="D281" s="10" t="str">
        <x:v>blank-state inspection variant 6</x:v>
      </x:c>
      <x:c r="E281" s="10" t="str">
        <x:v>MATCH</x:v>
      </x:c>
      <x:c r="F281" s="12"/>
      <x:c r="G281" s="10" t="str">
        <x:f>IF(F281="","OPEN",IF(F281=E281,"PASS","FAIL"))</x:f>
        <x:v>OPEN</x:v>
      </x:c>
      <x:c r="H281" s="10" t="str">
        <x:v>configuration authority</x:v>
      </x:c>
    </x:row>
    <x:row r="282">
      <x:c r="A282" s="10" t="str">
        <x:v>AUD-I-007</x:v>
      </x:c>
      <x:c r="B282" s="10" t="str">
        <x:v>initial state</x:v>
      </x:c>
      <x:c r="C282" s="10" t="str">
        <x:v>pair selection open</x:v>
      </x:c>
      <x:c r="D282" s="10" t="str">
        <x:v>blank-state inspection variant 1</x:v>
      </x:c>
      <x:c r="E282" s="10" t="str">
        <x:v>MATCH</x:v>
      </x:c>
      <x:c r="F282" s="12"/>
      <x:c r="G282" s="10" t="str">
        <x:f>IF(F282="","OPEN",IF(F282=E282,"PASS","FAIL"))</x:f>
        <x:v>OPEN</x:v>
      </x:c>
      <x:c r="H282" s="10" t="str">
        <x:v>configuration authority</x:v>
      </x:c>
    </x:row>
    <x:row r="283">
      <x:c r="A283" s="10" t="str">
        <x:v>AUD-I-008</x:v>
      </x:c>
      <x:c r="B283" s="10" t="str">
        <x:v>initial state</x:v>
      </x:c>
      <x:c r="C283" s="10" t="str">
        <x:v>pair selection open</x:v>
      </x:c>
      <x:c r="D283" s="10" t="str">
        <x:v>blank-state inspection variant 2</x:v>
      </x:c>
      <x:c r="E283" s="10" t="str">
        <x:v>MATCH</x:v>
      </x:c>
      <x:c r="F283" s="12"/>
      <x:c r="G283" s="10" t="str">
        <x:f>IF(F283="","OPEN",IF(F283=E283,"PASS","FAIL"))</x:f>
        <x:v>OPEN</x:v>
      </x:c>
      <x:c r="H283" s="10" t="str">
        <x:v>configuration authority</x:v>
      </x:c>
    </x:row>
    <x:row r="284">
      <x:c r="A284" s="10" t="str">
        <x:v>AUD-I-009</x:v>
      </x:c>
      <x:c r="B284" s="10" t="str">
        <x:v>initial state</x:v>
      </x:c>
      <x:c r="C284" s="10" t="str">
        <x:v>pair selection open</x:v>
      </x:c>
      <x:c r="D284" s="10" t="str">
        <x:v>blank-state inspection variant 3</x:v>
      </x:c>
      <x:c r="E284" s="10" t="str">
        <x:v>MATCH</x:v>
      </x:c>
      <x:c r="F284" s="12"/>
      <x:c r="G284" s="10" t="str">
        <x:f>IF(F284="","OPEN",IF(F284=E284,"PASS","FAIL"))</x:f>
        <x:v>OPEN</x:v>
      </x:c>
      <x:c r="H284" s="10" t="str">
        <x:v>configuration authority</x:v>
      </x:c>
    </x:row>
    <x:row r="285">
      <x:c r="A285" s="10" t="str">
        <x:v>AUD-I-010</x:v>
      </x:c>
      <x:c r="B285" s="10" t="str">
        <x:v>initial state</x:v>
      </x:c>
      <x:c r="C285" s="10" t="str">
        <x:v>pair selection open</x:v>
      </x:c>
      <x:c r="D285" s="10" t="str">
        <x:v>blank-state inspection variant 4</x:v>
      </x:c>
      <x:c r="E285" s="10" t="str">
        <x:v>MATCH</x:v>
      </x:c>
      <x:c r="F285" s="12"/>
      <x:c r="G285" s="10" t="str">
        <x:f>IF(F285="","OPEN",IF(F285=E285,"PASS","FAIL"))</x:f>
        <x:v>OPEN</x:v>
      </x:c>
      <x:c r="H285" s="10" t="str">
        <x:v>configuration authority</x:v>
      </x:c>
    </x:row>
    <x:row r="286">
      <x:c r="A286" s="10" t="str">
        <x:v>AUD-I-011</x:v>
      </x:c>
      <x:c r="B286" s="10" t="str">
        <x:v>initial state</x:v>
      </x:c>
      <x:c r="C286" s="10" t="str">
        <x:v>pair selection open</x:v>
      </x:c>
      <x:c r="D286" s="10" t="str">
        <x:v>blank-state inspection variant 5</x:v>
      </x:c>
      <x:c r="E286" s="10" t="str">
        <x:v>MATCH</x:v>
      </x:c>
      <x:c r="F286" s="12"/>
      <x:c r="G286" s="10" t="str">
        <x:f>IF(F286="","OPEN",IF(F286=E286,"PASS","FAIL"))</x:f>
        <x:v>OPEN</x:v>
      </x:c>
      <x:c r="H286" s="10" t="str">
        <x:v>configuration authority</x:v>
      </x:c>
    </x:row>
    <x:row r="287">
      <x:c r="A287" s="10" t="str">
        <x:v>AUD-I-012</x:v>
      </x:c>
      <x:c r="B287" s="10" t="str">
        <x:v>initial state</x:v>
      </x:c>
      <x:c r="C287" s="10" t="str">
        <x:v>pair selection open</x:v>
      </x:c>
      <x:c r="D287" s="10" t="str">
        <x:v>blank-state inspection variant 6</x:v>
      </x:c>
      <x:c r="E287" s="10" t="str">
        <x:v>MATCH</x:v>
      </x:c>
      <x:c r="F287" s="12"/>
      <x:c r="G287" s="10" t="str">
        <x:f>IF(F287="","OPEN",IF(F287=E287,"PASS","FAIL"))</x:f>
        <x:v>OPEN</x:v>
      </x:c>
      <x:c r="H287" s="10" t="str">
        <x:v>configuration authority</x:v>
      </x:c>
    </x:row>
    <x:row r="288">
      <x:c r="A288" s="10" t="str">
        <x:v>AUD-I-013</x:v>
      </x:c>
      <x:c r="B288" s="10" t="str">
        <x:v>initial state</x:v>
      </x:c>
      <x:c r="C288" s="10" t="str">
        <x:v>module bank open</x:v>
      </x:c>
      <x:c r="D288" s="10" t="str">
        <x:v>blank-state inspection variant 1</x:v>
      </x:c>
      <x:c r="E288" s="10" t="str">
        <x:v>MATCH</x:v>
      </x:c>
      <x:c r="F288" s="12"/>
      <x:c r="G288" s="10" t="str">
        <x:f>IF(F288="","OPEN",IF(F288=E288,"PASS","FAIL"))</x:f>
        <x:v>OPEN</x:v>
      </x:c>
      <x:c r="H288" s="10" t="str">
        <x:v>configuration authority</x:v>
      </x:c>
    </x:row>
    <x:row r="289">
      <x:c r="A289" s="10" t="str">
        <x:v>AUD-I-014</x:v>
      </x:c>
      <x:c r="B289" s="10" t="str">
        <x:v>initial state</x:v>
      </x:c>
      <x:c r="C289" s="10" t="str">
        <x:v>module bank open</x:v>
      </x:c>
      <x:c r="D289" s="10" t="str">
        <x:v>blank-state inspection variant 2</x:v>
      </x:c>
      <x:c r="E289" s="10" t="str">
        <x:v>MATCH</x:v>
      </x:c>
      <x:c r="F289" s="12"/>
      <x:c r="G289" s="10" t="str">
        <x:f>IF(F289="","OPEN",IF(F289=E289,"PASS","FAIL"))</x:f>
        <x:v>OPEN</x:v>
      </x:c>
      <x:c r="H289" s="10" t="str">
        <x:v>configuration authority</x:v>
      </x:c>
    </x:row>
    <x:row r="290">
      <x:c r="A290" s="10" t="str">
        <x:v>AUD-I-015</x:v>
      </x:c>
      <x:c r="B290" s="10" t="str">
        <x:v>initial state</x:v>
      </x:c>
      <x:c r="C290" s="10" t="str">
        <x:v>module bank open</x:v>
      </x:c>
      <x:c r="D290" s="10" t="str">
        <x:v>blank-state inspection variant 3</x:v>
      </x:c>
      <x:c r="E290" s="10" t="str">
        <x:v>MATCH</x:v>
      </x:c>
      <x:c r="F290" s="12"/>
      <x:c r="G290" s="10" t="str">
        <x:f>IF(F290="","OPEN",IF(F290=E290,"PASS","FAIL"))</x:f>
        <x:v>OPEN</x:v>
      </x:c>
      <x:c r="H290" s="10" t="str">
        <x:v>configuration authority</x:v>
      </x:c>
    </x:row>
    <x:row r="291">
      <x:c r="A291" s="10" t="str">
        <x:v>AUD-I-016</x:v>
      </x:c>
      <x:c r="B291" s="10" t="str">
        <x:v>initial state</x:v>
      </x:c>
      <x:c r="C291" s="10" t="str">
        <x:v>module bank open</x:v>
      </x:c>
      <x:c r="D291" s="10" t="str">
        <x:v>blank-state inspection variant 4</x:v>
      </x:c>
      <x:c r="E291" s="10" t="str">
        <x:v>MATCH</x:v>
      </x:c>
      <x:c r="F291" s="12"/>
      <x:c r="G291" s="10" t="str">
        <x:f>IF(F291="","OPEN",IF(F291=E291,"PASS","FAIL"))</x:f>
        <x:v>OPEN</x:v>
      </x:c>
      <x:c r="H291" s="10" t="str">
        <x:v>configuration authority</x:v>
      </x:c>
    </x:row>
    <x:row r="292">
      <x:c r="A292" s="10" t="str">
        <x:v>AUD-I-017</x:v>
      </x:c>
      <x:c r="B292" s="10" t="str">
        <x:v>initial state</x:v>
      </x:c>
      <x:c r="C292" s="10" t="str">
        <x:v>module bank open</x:v>
      </x:c>
      <x:c r="D292" s="10" t="str">
        <x:v>blank-state inspection variant 5</x:v>
      </x:c>
      <x:c r="E292" s="10" t="str">
        <x:v>MATCH</x:v>
      </x:c>
      <x:c r="F292" s="12"/>
      <x:c r="G292" s="10" t="str">
        <x:f>IF(F292="","OPEN",IF(F292=E292,"PASS","FAIL"))</x:f>
        <x:v>OPEN</x:v>
      </x:c>
      <x:c r="H292" s="10" t="str">
        <x:v>configuration authority</x:v>
      </x:c>
    </x:row>
    <x:row r="293">
      <x:c r="A293" s="10" t="str">
        <x:v>AUD-I-018</x:v>
      </x:c>
      <x:c r="B293" s="10" t="str">
        <x:v>initial state</x:v>
      </x:c>
      <x:c r="C293" s="10" t="str">
        <x:v>module bank open</x:v>
      </x:c>
      <x:c r="D293" s="10" t="str">
        <x:v>blank-state inspection variant 6</x:v>
      </x:c>
      <x:c r="E293" s="10" t="str">
        <x:v>MATCH</x:v>
      </x:c>
      <x:c r="F293" s="12"/>
      <x:c r="G293" s="10" t="str">
        <x:f>IF(F293="","OPEN",IF(F293=E293,"PASS","FAIL"))</x:f>
        <x:v>OPEN</x:v>
      </x:c>
      <x:c r="H293" s="10" t="str">
        <x:v>configuration authority</x:v>
      </x:c>
    </x:row>
    <x:row r="294">
      <x:c r="A294" s="10" t="str">
        <x:v>AUD-I-019</x:v>
      </x:c>
      <x:c r="B294" s="10" t="str">
        <x:v>initial state</x:v>
      </x:c>
      <x:c r="C294" s="10" t="str">
        <x:v>qualification open</x:v>
      </x:c>
      <x:c r="D294" s="10" t="str">
        <x:v>blank-state inspection variant 1</x:v>
      </x:c>
      <x:c r="E294" s="10" t="str">
        <x:v>MATCH</x:v>
      </x:c>
      <x:c r="F294" s="12"/>
      <x:c r="G294" s="10" t="str">
        <x:f>IF(F294="","OPEN",IF(F294=E294,"PASS","FAIL"))</x:f>
        <x:v>OPEN</x:v>
      </x:c>
      <x:c r="H294" s="10" t="str">
        <x:v>configuration authority</x:v>
      </x:c>
    </x:row>
    <x:row r="295">
      <x:c r="A295" s="10" t="str">
        <x:v>AUD-I-020</x:v>
      </x:c>
      <x:c r="B295" s="10" t="str">
        <x:v>initial state</x:v>
      </x:c>
      <x:c r="C295" s="10" t="str">
        <x:v>qualification open</x:v>
      </x:c>
      <x:c r="D295" s="10" t="str">
        <x:v>blank-state inspection variant 2</x:v>
      </x:c>
      <x:c r="E295" s="10" t="str">
        <x:v>MATCH</x:v>
      </x:c>
      <x:c r="F295" s="12"/>
      <x:c r="G295" s="10" t="str">
        <x:f>IF(F295="","OPEN",IF(F295=E295,"PASS","FAIL"))</x:f>
        <x:v>OPEN</x:v>
      </x:c>
      <x:c r="H295" s="10" t="str">
        <x:v>configuration authority</x:v>
      </x:c>
    </x:row>
    <x:row r="296">
      <x:c r="A296" s="10" t="str">
        <x:v>AUD-I-021</x:v>
      </x:c>
      <x:c r="B296" s="10" t="str">
        <x:v>initial state</x:v>
      </x:c>
      <x:c r="C296" s="10" t="str">
        <x:v>qualification open</x:v>
      </x:c>
      <x:c r="D296" s="10" t="str">
        <x:v>blank-state inspection variant 3</x:v>
      </x:c>
      <x:c r="E296" s="10" t="str">
        <x:v>MATCH</x:v>
      </x:c>
      <x:c r="F296" s="12"/>
      <x:c r="G296" s="10" t="str">
        <x:f>IF(F296="","OPEN",IF(F296=E296,"PASS","FAIL"))</x:f>
        <x:v>OPEN</x:v>
      </x:c>
      <x:c r="H296" s="10" t="str">
        <x:v>configuration authority</x:v>
      </x:c>
    </x:row>
    <x:row r="297">
      <x:c r="A297" s="10" t="str">
        <x:v>AUD-I-022</x:v>
      </x:c>
      <x:c r="B297" s="10" t="str">
        <x:v>initial state</x:v>
      </x:c>
      <x:c r="C297" s="10" t="str">
        <x:v>qualification open</x:v>
      </x:c>
      <x:c r="D297" s="10" t="str">
        <x:v>blank-state inspection variant 4</x:v>
      </x:c>
      <x:c r="E297" s="10" t="str">
        <x:v>MATCH</x:v>
      </x:c>
      <x:c r="F297" s="12"/>
      <x:c r="G297" s="10" t="str">
        <x:f>IF(F297="","OPEN",IF(F297=E297,"PASS","FAIL"))</x:f>
        <x:v>OPEN</x:v>
      </x:c>
      <x:c r="H297" s="10" t="str">
        <x:v>configuration authority</x:v>
      </x:c>
    </x:row>
    <x:row r="298">
      <x:c r="A298" s="10" t="str">
        <x:v>AUD-I-023</x:v>
      </x:c>
      <x:c r="B298" s="10" t="str">
        <x:v>initial state</x:v>
      </x:c>
      <x:c r="C298" s="10" t="str">
        <x:v>qualification open</x:v>
      </x:c>
      <x:c r="D298" s="10" t="str">
        <x:v>blank-state inspection variant 5</x:v>
      </x:c>
      <x:c r="E298" s="10" t="str">
        <x:v>MATCH</x:v>
      </x:c>
      <x:c r="F298" s="12"/>
      <x:c r="G298" s="10" t="str">
        <x:f>IF(F298="","OPEN",IF(F298=E298,"PASS","FAIL"))</x:f>
        <x:v>OPEN</x:v>
      </x:c>
      <x:c r="H298" s="10" t="str">
        <x:v>configuration authority</x:v>
      </x:c>
    </x:row>
    <x:row r="299">
      <x:c r="A299" s="10" t="str">
        <x:v>AUD-I-024</x:v>
      </x:c>
      <x:c r="B299" s="10" t="str">
        <x:v>initial state</x:v>
      </x:c>
      <x:c r="C299" s="10" t="str">
        <x:v>qualification open</x:v>
      </x:c>
      <x:c r="D299" s="10" t="str">
        <x:v>blank-state inspection variant 6</x:v>
      </x:c>
      <x:c r="E299" s="10" t="str">
        <x:v>MATCH</x:v>
      </x:c>
      <x:c r="F299" s="12"/>
      <x:c r="G299" s="10" t="str">
        <x:f>IF(F299="","OPEN",IF(F299=E299,"PASS","FAIL"))</x:f>
        <x:v>OPEN</x:v>
      </x:c>
      <x:c r="H299" s="10" t="str">
        <x:v>configuration authority</x:v>
      </x:c>
    </x:row>
    <x:row r="300">
      <x:c r="A300" s="10" t="str">
        <x:v>AUD-I-025</x:v>
      </x:c>
      <x:c r="B300" s="10" t="str">
        <x:v>initial state</x:v>
      </x:c>
      <x:c r="C300" s="10" t="str">
        <x:v>primary code reveal open</x:v>
      </x:c>
      <x:c r="D300" s="10" t="str">
        <x:v>blank-state inspection variant 1</x:v>
      </x:c>
      <x:c r="E300" s="10" t="str">
        <x:v>MATCH</x:v>
      </x:c>
      <x:c r="F300" s="12"/>
      <x:c r="G300" s="10" t="str">
        <x:f>IF(F300="","OPEN",IF(F300=E300,"PASS","FAIL"))</x:f>
        <x:v>OPEN</x:v>
      </x:c>
      <x:c r="H300" s="10" t="str">
        <x:v>configuration authority</x:v>
      </x:c>
    </x:row>
    <x:row r="301">
      <x:c r="A301" s="10" t="str">
        <x:v>AUD-I-026</x:v>
      </x:c>
      <x:c r="B301" s="10" t="str">
        <x:v>initial state</x:v>
      </x:c>
      <x:c r="C301" s="10" t="str">
        <x:v>primary code reveal open</x:v>
      </x:c>
      <x:c r="D301" s="10" t="str">
        <x:v>blank-state inspection variant 2</x:v>
      </x:c>
      <x:c r="E301" s="10" t="str">
        <x:v>MATCH</x:v>
      </x:c>
      <x:c r="F301" s="12"/>
      <x:c r="G301" s="10" t="str">
        <x:f>IF(F301="","OPEN",IF(F301=E301,"PASS","FAIL"))</x:f>
        <x:v>OPEN</x:v>
      </x:c>
      <x:c r="H301" s="10" t="str">
        <x:v>configuration authority</x:v>
      </x:c>
    </x:row>
    <x:row r="302">
      <x:c r="A302" s="10" t="str">
        <x:v>AUD-I-027</x:v>
      </x:c>
      <x:c r="B302" s="10" t="str">
        <x:v>initial state</x:v>
      </x:c>
      <x:c r="C302" s="10" t="str">
        <x:v>primary code reveal open</x:v>
      </x:c>
      <x:c r="D302" s="10" t="str">
        <x:v>blank-state inspection variant 3</x:v>
      </x:c>
      <x:c r="E302" s="10" t="str">
        <x:v>MATCH</x:v>
      </x:c>
      <x:c r="F302" s="12"/>
      <x:c r="G302" s="10" t="str">
        <x:f>IF(F302="","OPEN",IF(F302=E302,"PASS","FAIL"))</x:f>
        <x:v>OPEN</x:v>
      </x:c>
      <x:c r="H302" s="10" t="str">
        <x:v>configuration authority</x:v>
      </x:c>
    </x:row>
    <x:row r="303">
      <x:c r="A303" s="10" t="str">
        <x:v>AUD-I-028</x:v>
      </x:c>
      <x:c r="B303" s="10" t="str">
        <x:v>initial state</x:v>
      </x:c>
      <x:c r="C303" s="10" t="str">
        <x:v>primary code reveal open</x:v>
      </x:c>
      <x:c r="D303" s="10" t="str">
        <x:v>blank-state inspection variant 4</x:v>
      </x:c>
      <x:c r="E303" s="10" t="str">
        <x:v>MATCH</x:v>
      </x:c>
      <x:c r="F303" s="12"/>
      <x:c r="G303" s="10" t="str">
        <x:f>IF(F303="","OPEN",IF(F303=E303,"PASS","FAIL"))</x:f>
        <x:v>OPEN</x:v>
      </x:c>
      <x:c r="H303" s="10" t="str">
        <x:v>configuration authority</x:v>
      </x:c>
    </x:row>
    <x:row r="304">
      <x:c r="A304" s="10" t="str">
        <x:v>AUD-I-029</x:v>
      </x:c>
      <x:c r="B304" s="10" t="str">
        <x:v>initial state</x:v>
      </x:c>
      <x:c r="C304" s="10" t="str">
        <x:v>primary code reveal open</x:v>
      </x:c>
      <x:c r="D304" s="10" t="str">
        <x:v>blank-state inspection variant 5</x:v>
      </x:c>
      <x:c r="E304" s="10" t="str">
        <x:v>MATCH</x:v>
      </x:c>
      <x:c r="F304" s="12"/>
      <x:c r="G304" s="10" t="str">
        <x:f>IF(F304="","OPEN",IF(F304=E304,"PASS","FAIL"))</x:f>
        <x:v>OPEN</x:v>
      </x:c>
      <x:c r="H304" s="10" t="str">
        <x:v>configuration authority</x:v>
      </x:c>
    </x:row>
    <x:row r="305">
      <x:c r="A305" s="10" t="str">
        <x:v>AUD-I-030</x:v>
      </x:c>
      <x:c r="B305" s="10" t="str">
        <x:v>initial state</x:v>
      </x:c>
      <x:c r="C305" s="10" t="str">
        <x:v>primary code reveal open</x:v>
      </x:c>
      <x:c r="D305" s="10" t="str">
        <x:v>blank-state inspection variant 6</x:v>
      </x:c>
      <x:c r="E305" s="10" t="str">
        <x:v>MATCH</x:v>
      </x:c>
      <x:c r="F305" s="12"/>
      <x:c r="G305" s="10" t="str">
        <x:f>IF(F305="","OPEN",IF(F305=E305,"PASS","FAIL"))</x:f>
        <x:v>OPEN</x:v>
      </x:c>
      <x:c r="H305" s="10" t="str">
        <x:v>configuration authority</x:v>
      </x:c>
    </x:row>
    <x:row r="306">
      <x:c r="A306" s="10" t="str">
        <x:v>AUD-I-031</x:v>
      </x:c>
      <x:c r="B306" s="10" t="str">
        <x:v>initial state</x:v>
      </x:c>
      <x:c r="C306" s="10" t="str">
        <x:v>reserve codes dormant</x:v>
      </x:c>
      <x:c r="D306" s="10" t="str">
        <x:v>blank-state inspection variant 1</x:v>
      </x:c>
      <x:c r="E306" s="10" t="str">
        <x:v>MATCH</x:v>
      </x:c>
      <x:c r="F306" s="12"/>
      <x:c r="G306" s="10" t="str">
        <x:f>IF(F306="","OPEN",IF(F306=E306,"PASS","FAIL"))</x:f>
        <x:v>OPEN</x:v>
      </x:c>
      <x:c r="H306" s="10" t="str">
        <x:v>configuration authority</x:v>
      </x:c>
    </x:row>
    <x:row r="307">
      <x:c r="A307" s="10" t="str">
        <x:v>AUD-I-032</x:v>
      </x:c>
      <x:c r="B307" s="10" t="str">
        <x:v>initial state</x:v>
      </x:c>
      <x:c r="C307" s="10" t="str">
        <x:v>reserve codes dormant</x:v>
      </x:c>
      <x:c r="D307" s="10" t="str">
        <x:v>blank-state inspection variant 2</x:v>
      </x:c>
      <x:c r="E307" s="10" t="str">
        <x:v>MATCH</x:v>
      </x:c>
      <x:c r="F307" s="12"/>
      <x:c r="G307" s="10" t="str">
        <x:f>IF(F307="","OPEN",IF(F307=E307,"PASS","FAIL"))</x:f>
        <x:v>OPEN</x:v>
      </x:c>
      <x:c r="H307" s="10" t="str">
        <x:v>configuration authority</x:v>
      </x:c>
    </x:row>
    <x:row r="308">
      <x:c r="A308" s="10" t="str">
        <x:v>AUD-I-033</x:v>
      </x:c>
      <x:c r="B308" s="10" t="str">
        <x:v>initial state</x:v>
      </x:c>
      <x:c r="C308" s="10" t="str">
        <x:v>reserve codes dormant</x:v>
      </x:c>
      <x:c r="D308" s="10" t="str">
        <x:v>blank-state inspection variant 3</x:v>
      </x:c>
      <x:c r="E308" s="10" t="str">
        <x:v>MATCH</x:v>
      </x:c>
      <x:c r="F308" s="12"/>
      <x:c r="G308" s="10" t="str">
        <x:f>IF(F308="","OPEN",IF(F308=E308,"PASS","FAIL"))</x:f>
        <x:v>OPEN</x:v>
      </x:c>
      <x:c r="H308" s="10" t="str">
        <x:v>configuration authority</x:v>
      </x:c>
    </x:row>
    <x:row r="309">
      <x:c r="A309" s="10" t="str">
        <x:v>AUD-I-034</x:v>
      </x:c>
      <x:c r="B309" s="10" t="str">
        <x:v>initial state</x:v>
      </x:c>
      <x:c r="C309" s="10" t="str">
        <x:v>reserve codes dormant</x:v>
      </x:c>
      <x:c r="D309" s="10" t="str">
        <x:v>blank-state inspection variant 4</x:v>
      </x:c>
      <x:c r="E309" s="10" t="str">
        <x:v>MATCH</x:v>
      </x:c>
      <x:c r="F309" s="12"/>
      <x:c r="G309" s="10" t="str">
        <x:f>IF(F309="","OPEN",IF(F309=E309,"PASS","FAIL"))</x:f>
        <x:v>OPEN</x:v>
      </x:c>
      <x:c r="H309" s="10" t="str">
        <x:v>configuration authority</x:v>
      </x:c>
    </x:row>
    <x:row r="310">
      <x:c r="A310" s="10" t="str">
        <x:v>AUD-I-035</x:v>
      </x:c>
      <x:c r="B310" s="10" t="str">
        <x:v>initial state</x:v>
      </x:c>
      <x:c r="C310" s="10" t="str">
        <x:v>reserve codes dormant</x:v>
      </x:c>
      <x:c r="D310" s="10" t="str">
        <x:v>blank-state inspection variant 5</x:v>
      </x:c>
      <x:c r="E310" s="10" t="str">
        <x:v>MATCH</x:v>
      </x:c>
      <x:c r="F310" s="12"/>
      <x:c r="G310" s="10" t="str">
        <x:f>IF(F310="","OPEN",IF(F310=E310,"PASS","FAIL"))</x:f>
        <x:v>OPEN</x:v>
      </x:c>
      <x:c r="H310" s="10" t="str">
        <x:v>configuration authority</x:v>
      </x:c>
    </x:row>
    <x:row r="311">
      <x:c r="A311" s="10" t="str">
        <x:v>AUD-I-036</x:v>
      </x:c>
      <x:c r="B311" s="10" t="str">
        <x:v>initial state</x:v>
      </x:c>
      <x:c r="C311" s="10" t="str">
        <x:v>reserve codes dormant</x:v>
      </x:c>
      <x:c r="D311" s="10" t="str">
        <x:v>blank-state inspection variant 6</x:v>
      </x:c>
      <x:c r="E311" s="10" t="str">
        <x:v>MATCH</x:v>
      </x:c>
      <x:c r="F311" s="12"/>
      <x:c r="G311" s="10" t="str">
        <x:f>IF(F311="","OPEN",IF(F311=E311,"PASS","FAIL"))</x:f>
        <x:v>OPEN</x:v>
      </x:c>
      <x:c r="H311" s="10" t="str">
        <x:v>configuration authority</x:v>
      </x:c>
    </x:row>
    <x:row r="312">
      <x:c r="A312" s="10" t="str">
        <x:v>AUD-I-037</x:v>
      </x:c>
      <x:c r="B312" s="10" t="str">
        <x:v>initial state</x:v>
      </x:c>
      <x:c r="C312" s="10" t="str">
        <x:v>water lots open</x:v>
      </x:c>
      <x:c r="D312" s="10" t="str">
        <x:v>blank-state inspection variant 1</x:v>
      </x:c>
      <x:c r="E312" s="10" t="str">
        <x:v>MATCH</x:v>
      </x:c>
      <x:c r="F312" s="12"/>
      <x:c r="G312" s="10" t="str">
        <x:f>IF(F312="","OPEN",IF(F312=E312,"PASS","FAIL"))</x:f>
        <x:v>OPEN</x:v>
      </x:c>
      <x:c r="H312" s="10" t="str">
        <x:v>configuration authority</x:v>
      </x:c>
    </x:row>
    <x:row r="313">
      <x:c r="A313" s="10" t="str">
        <x:v>AUD-I-038</x:v>
      </x:c>
      <x:c r="B313" s="10" t="str">
        <x:v>initial state</x:v>
      </x:c>
      <x:c r="C313" s="10" t="str">
        <x:v>water lots open</x:v>
      </x:c>
      <x:c r="D313" s="10" t="str">
        <x:v>blank-state inspection variant 2</x:v>
      </x:c>
      <x:c r="E313" s="10" t="str">
        <x:v>MATCH</x:v>
      </x:c>
      <x:c r="F313" s="12"/>
      <x:c r="G313" s="10" t="str">
        <x:f>IF(F313="","OPEN",IF(F313=E313,"PASS","FAIL"))</x:f>
        <x:v>OPEN</x:v>
      </x:c>
      <x:c r="H313" s="10" t="str">
        <x:v>configuration authority</x:v>
      </x:c>
    </x:row>
    <x:row r="314">
      <x:c r="A314" s="10" t="str">
        <x:v>AUD-I-039</x:v>
      </x:c>
      <x:c r="B314" s="10" t="str">
        <x:v>initial state</x:v>
      </x:c>
      <x:c r="C314" s="10" t="str">
        <x:v>water lots open</x:v>
      </x:c>
      <x:c r="D314" s="10" t="str">
        <x:v>blank-state inspection variant 3</x:v>
      </x:c>
      <x:c r="E314" s="10" t="str">
        <x:v>MATCH</x:v>
      </x:c>
      <x:c r="F314" s="12"/>
      <x:c r="G314" s="10" t="str">
        <x:f>IF(F314="","OPEN",IF(F314=E314,"PASS","FAIL"))</x:f>
        <x:v>OPEN</x:v>
      </x:c>
      <x:c r="H314" s="10" t="str">
        <x:v>configuration authority</x:v>
      </x:c>
    </x:row>
    <x:row r="315">
      <x:c r="A315" s="10" t="str">
        <x:v>AUD-I-040</x:v>
      </x:c>
      <x:c r="B315" s="10" t="str">
        <x:v>initial state</x:v>
      </x:c>
      <x:c r="C315" s="10" t="str">
        <x:v>water lots open</x:v>
      </x:c>
      <x:c r="D315" s="10" t="str">
        <x:v>blank-state inspection variant 4</x:v>
      </x:c>
      <x:c r="E315" s="10" t="str">
        <x:v>MATCH</x:v>
      </x:c>
      <x:c r="F315" s="12"/>
      <x:c r="G315" s="10" t="str">
        <x:f>IF(F315="","OPEN",IF(F315=E315,"PASS","FAIL"))</x:f>
        <x:v>OPEN</x:v>
      </x:c>
      <x:c r="H315" s="10" t="str">
        <x:v>configuration authority</x:v>
      </x:c>
    </x:row>
    <x:row r="316">
      <x:c r="A316" s="10" t="str">
        <x:v>AUD-I-041</x:v>
      </x:c>
      <x:c r="B316" s="10" t="str">
        <x:v>initial state</x:v>
      </x:c>
      <x:c r="C316" s="10" t="str">
        <x:v>water lots open</x:v>
      </x:c>
      <x:c r="D316" s="10" t="str">
        <x:v>blank-state inspection variant 5</x:v>
      </x:c>
      <x:c r="E316" s="10" t="str">
        <x:v>MATCH</x:v>
      </x:c>
      <x:c r="F316" s="12"/>
      <x:c r="G316" s="10" t="str">
        <x:f>IF(F316="","OPEN",IF(F316=E316,"PASS","FAIL"))</x:f>
        <x:v>OPEN</x:v>
      </x:c>
      <x:c r="H316" s="10" t="str">
        <x:v>configuration authority</x:v>
      </x:c>
    </x:row>
    <x:row r="317">
      <x:c r="A317" s="10" t="str">
        <x:v>AUD-I-042</x:v>
      </x:c>
      <x:c r="B317" s="10" t="str">
        <x:v>initial state</x:v>
      </x:c>
      <x:c r="C317" s="10" t="str">
        <x:v>water lots open</x:v>
      </x:c>
      <x:c r="D317" s="10" t="str">
        <x:v>blank-state inspection variant 6</x:v>
      </x:c>
      <x:c r="E317" s="10" t="str">
        <x:v>MATCH</x:v>
      </x:c>
      <x:c r="F317" s="12"/>
      <x:c r="G317" s="10" t="str">
        <x:f>IF(F317="","OPEN",IF(F317=E317,"PASS","FAIL"))</x:f>
        <x:v>OPEN</x:v>
      </x:c>
      <x:c r="H317" s="10" t="str">
        <x:v>configuration authority</x:v>
      </x:c>
    </x:row>
    <x:row r="318">
      <x:c r="A318" s="10" t="str">
        <x:v>AUD-I-043</x:v>
      </x:c>
      <x:c r="B318" s="10" t="str">
        <x:v>initial state</x:v>
      </x:c>
      <x:c r="C318" s="10" t="str">
        <x:v>simulant lots open</x:v>
      </x:c>
      <x:c r="D318" s="10" t="str">
        <x:v>blank-state inspection variant 1</x:v>
      </x:c>
      <x:c r="E318" s="10" t="str">
        <x:v>MATCH</x:v>
      </x:c>
      <x:c r="F318" s="12"/>
      <x:c r="G318" s="10" t="str">
        <x:f>IF(F318="","OPEN",IF(F318=E318,"PASS","FAIL"))</x:f>
        <x:v>OPEN</x:v>
      </x:c>
      <x:c r="H318" s="10" t="str">
        <x:v>configuration authority</x:v>
      </x:c>
    </x:row>
    <x:row r="319">
      <x:c r="A319" s="10" t="str">
        <x:v>AUD-I-044</x:v>
      </x:c>
      <x:c r="B319" s="10" t="str">
        <x:v>initial state</x:v>
      </x:c>
      <x:c r="C319" s="10" t="str">
        <x:v>simulant lots open</x:v>
      </x:c>
      <x:c r="D319" s="10" t="str">
        <x:v>blank-state inspection variant 2</x:v>
      </x:c>
      <x:c r="E319" s="10" t="str">
        <x:v>MATCH</x:v>
      </x:c>
      <x:c r="F319" s="12"/>
      <x:c r="G319" s="10" t="str">
        <x:f>IF(F319="","OPEN",IF(F319=E319,"PASS","FAIL"))</x:f>
        <x:v>OPEN</x:v>
      </x:c>
      <x:c r="H319" s="10" t="str">
        <x:v>configuration authority</x:v>
      </x:c>
    </x:row>
    <x:row r="320">
      <x:c r="A320" s="10" t="str">
        <x:v>AUD-I-045</x:v>
      </x:c>
      <x:c r="B320" s="10" t="str">
        <x:v>initial state</x:v>
      </x:c>
      <x:c r="C320" s="10" t="str">
        <x:v>simulant lots open</x:v>
      </x:c>
      <x:c r="D320" s="10" t="str">
        <x:v>blank-state inspection variant 3</x:v>
      </x:c>
      <x:c r="E320" s="10" t="str">
        <x:v>MATCH</x:v>
      </x:c>
      <x:c r="F320" s="12"/>
      <x:c r="G320" s="10" t="str">
        <x:f>IF(F320="","OPEN",IF(F320=E320,"PASS","FAIL"))</x:f>
        <x:v>OPEN</x:v>
      </x:c>
      <x:c r="H320" s="10" t="str">
        <x:v>configuration authority</x:v>
      </x:c>
    </x:row>
    <x:row r="321">
      <x:c r="A321" s="10" t="str">
        <x:v>AUD-I-046</x:v>
      </x:c>
      <x:c r="B321" s="10" t="str">
        <x:v>initial state</x:v>
      </x:c>
      <x:c r="C321" s="10" t="str">
        <x:v>simulant lots open</x:v>
      </x:c>
      <x:c r="D321" s="10" t="str">
        <x:v>blank-state inspection variant 4</x:v>
      </x:c>
      <x:c r="E321" s="10" t="str">
        <x:v>MATCH</x:v>
      </x:c>
      <x:c r="F321" s="12"/>
      <x:c r="G321" s="10" t="str">
        <x:f>IF(F321="","OPEN",IF(F321=E321,"PASS","FAIL"))</x:f>
        <x:v>OPEN</x:v>
      </x:c>
      <x:c r="H321" s="10" t="str">
        <x:v>configuration authority</x:v>
      </x:c>
    </x:row>
    <x:row r="322">
      <x:c r="A322" s="10" t="str">
        <x:v>AUD-I-047</x:v>
      </x:c>
      <x:c r="B322" s="10" t="str">
        <x:v>initial state</x:v>
      </x:c>
      <x:c r="C322" s="10" t="str">
        <x:v>simulant lots open</x:v>
      </x:c>
      <x:c r="D322" s="10" t="str">
        <x:v>blank-state inspection variant 5</x:v>
      </x:c>
      <x:c r="E322" s="10" t="str">
        <x:v>MATCH</x:v>
      </x:c>
      <x:c r="F322" s="12"/>
      <x:c r="G322" s="10" t="str">
        <x:f>IF(F322="","OPEN",IF(F322=E322,"PASS","FAIL"))</x:f>
        <x:v>OPEN</x:v>
      </x:c>
      <x:c r="H322" s="10" t="str">
        <x:v>configuration authority</x:v>
      </x:c>
    </x:row>
    <x:row r="323">
      <x:c r="A323" s="10" t="str">
        <x:v>AUD-I-048</x:v>
      </x:c>
      <x:c r="B323" s="10" t="str">
        <x:v>initial state</x:v>
      </x:c>
      <x:c r="C323" s="10" t="str">
        <x:v>simulant lots open</x:v>
      </x:c>
      <x:c r="D323" s="10" t="str">
        <x:v>blank-state inspection variant 6</x:v>
      </x:c>
      <x:c r="E323" s="10" t="str">
        <x:v>MATCH</x:v>
      </x:c>
      <x:c r="F323" s="12"/>
      <x:c r="G323" s="10" t="str">
        <x:f>IF(F323="","OPEN",IF(F323=E323,"PASS","FAIL"))</x:f>
        <x:v>OPEN</x:v>
      </x:c>
      <x:c r="H323" s="10" t="str">
        <x:v>configuration authority</x:v>
      </x:c>
    </x:row>
    <x:row r="324">
      <x:c r="A324" s="10" t="str">
        <x:v>AUD-I-049</x:v>
      </x:c>
      <x:c r="B324" s="10" t="str">
        <x:v>initial state</x:v>
      </x:c>
      <x:c r="C324" s="10" t="str">
        <x:v>event ledgers open</x:v>
      </x:c>
      <x:c r="D324" s="10" t="str">
        <x:v>blank-state inspection variant 1</x:v>
      </x:c>
      <x:c r="E324" s="10" t="str">
        <x:v>MATCH</x:v>
      </x:c>
      <x:c r="F324" s="12"/>
      <x:c r="G324" s="10" t="str">
        <x:f>IF(F324="","OPEN",IF(F324=E324,"PASS","FAIL"))</x:f>
        <x:v>OPEN</x:v>
      </x:c>
      <x:c r="H324" s="10" t="str">
        <x:v>configuration authority</x:v>
      </x:c>
    </x:row>
    <x:row r="325">
      <x:c r="A325" s="10" t="str">
        <x:v>AUD-I-050</x:v>
      </x:c>
      <x:c r="B325" s="10" t="str">
        <x:v>initial state</x:v>
      </x:c>
      <x:c r="C325" s="10" t="str">
        <x:v>event ledgers open</x:v>
      </x:c>
      <x:c r="D325" s="10" t="str">
        <x:v>blank-state inspection variant 2</x:v>
      </x:c>
      <x:c r="E325" s="10" t="str">
        <x:v>MATCH</x:v>
      </x:c>
      <x:c r="F325" s="12"/>
      <x:c r="G325" s="10" t="str">
        <x:f>IF(F325="","OPEN",IF(F325=E325,"PASS","FAIL"))</x:f>
        <x:v>OPEN</x:v>
      </x:c>
      <x:c r="H325" s="10" t="str">
        <x:v>configuration authority</x:v>
      </x:c>
    </x:row>
    <x:row r="326">
      <x:c r="A326" s="10" t="str">
        <x:v>AUD-I-051</x:v>
      </x:c>
      <x:c r="B326" s="10" t="str">
        <x:v>initial state</x:v>
      </x:c>
      <x:c r="C326" s="10" t="str">
        <x:v>event ledgers open</x:v>
      </x:c>
      <x:c r="D326" s="10" t="str">
        <x:v>blank-state inspection variant 3</x:v>
      </x:c>
      <x:c r="E326" s="10" t="str">
        <x:v>MATCH</x:v>
      </x:c>
      <x:c r="F326" s="12"/>
      <x:c r="G326" s="10" t="str">
        <x:f>IF(F326="","OPEN",IF(F326=E326,"PASS","FAIL"))</x:f>
        <x:v>OPEN</x:v>
      </x:c>
      <x:c r="H326" s="10" t="str">
        <x:v>configuration authority</x:v>
      </x:c>
    </x:row>
    <x:row r="327">
      <x:c r="A327" s="10" t="str">
        <x:v>AUD-I-052</x:v>
      </x:c>
      <x:c r="B327" s="10" t="str">
        <x:v>initial state</x:v>
      </x:c>
      <x:c r="C327" s="10" t="str">
        <x:v>event ledgers open</x:v>
      </x:c>
      <x:c r="D327" s="10" t="str">
        <x:v>blank-state inspection variant 4</x:v>
      </x:c>
      <x:c r="E327" s="10" t="str">
        <x:v>MATCH</x:v>
      </x:c>
      <x:c r="F327" s="12"/>
      <x:c r="G327" s="10" t="str">
        <x:f>IF(F327="","OPEN",IF(F327=E327,"PASS","FAIL"))</x:f>
        <x:v>OPEN</x:v>
      </x:c>
      <x:c r="H327" s="10" t="str">
        <x:v>configuration authority</x:v>
      </x:c>
    </x:row>
    <x:row r="328">
      <x:c r="A328" s="10" t="str">
        <x:v>AUD-I-053</x:v>
      </x:c>
      <x:c r="B328" s="10" t="str">
        <x:v>initial state</x:v>
      </x:c>
      <x:c r="C328" s="10" t="str">
        <x:v>event ledgers open</x:v>
      </x:c>
      <x:c r="D328" s="10" t="str">
        <x:v>blank-state inspection variant 5</x:v>
      </x:c>
      <x:c r="E328" s="10" t="str">
        <x:v>MATCH</x:v>
      </x:c>
      <x:c r="F328" s="12"/>
      <x:c r="G328" s="10" t="str">
        <x:f>IF(F328="","OPEN",IF(F328=E328,"PASS","FAIL"))</x:f>
        <x:v>OPEN</x:v>
      </x:c>
      <x:c r="H328" s="10" t="str">
        <x:v>configuration authority</x:v>
      </x:c>
    </x:row>
    <x:row r="329">
      <x:c r="A329" s="10" t="str">
        <x:v>AUD-I-054</x:v>
      </x:c>
      <x:c r="B329" s="10" t="str">
        <x:v>initial state</x:v>
      </x:c>
      <x:c r="C329" s="10" t="str">
        <x:v>event ledgers open</x:v>
      </x:c>
      <x:c r="D329" s="10" t="str">
        <x:v>blank-state inspection variant 6</x:v>
      </x:c>
      <x:c r="E329" s="10" t="str">
        <x:v>MATCH</x:v>
      </x:c>
      <x:c r="F329" s="12"/>
      <x:c r="G329" s="10" t="str">
        <x:f>IF(F329="","OPEN",IF(F329=E329,"PASS","FAIL"))</x:f>
        <x:v>OPEN</x:v>
      </x:c>
      <x:c r="H329" s="10" t="str">
        <x:v>configuration authority</x:v>
      </x:c>
    </x:row>
    <x:row r="330">
      <x:c r="A330" s="10" t="str">
        <x:v>AUD-I-055</x:v>
      </x:c>
      <x:c r="B330" s="10" t="str">
        <x:v>initial state</x:v>
      </x:c>
      <x:c r="C330" s="10" t="str">
        <x:v>event class open</x:v>
      </x:c>
      <x:c r="D330" s="10" t="str">
        <x:v>blank-state inspection variant 1</x:v>
      </x:c>
      <x:c r="E330" s="10" t="str">
        <x:v>MATCH</x:v>
      </x:c>
      <x:c r="F330" s="12"/>
      <x:c r="G330" s="10" t="str">
        <x:f>IF(F330="","OPEN",IF(F330=E330,"PASS","FAIL"))</x:f>
        <x:v>OPEN</x:v>
      </x:c>
      <x:c r="H330" s="10" t="str">
        <x:v>configuration authority</x:v>
      </x:c>
    </x:row>
    <x:row r="331">
      <x:c r="A331" s="10" t="str">
        <x:v>AUD-I-056</x:v>
      </x:c>
      <x:c r="B331" s="10" t="str">
        <x:v>initial state</x:v>
      </x:c>
      <x:c r="C331" s="10" t="str">
        <x:v>event class open</x:v>
      </x:c>
      <x:c r="D331" s="10" t="str">
        <x:v>blank-state inspection variant 2</x:v>
      </x:c>
      <x:c r="E331" s="10" t="str">
        <x:v>MATCH</x:v>
      </x:c>
      <x:c r="F331" s="12"/>
      <x:c r="G331" s="10" t="str">
        <x:f>IF(F331="","OPEN",IF(F331=E331,"PASS","FAIL"))</x:f>
        <x:v>OPEN</x:v>
      </x:c>
      <x:c r="H331" s="10" t="str">
        <x:v>configuration authority</x:v>
      </x:c>
    </x:row>
    <x:row r="332">
      <x:c r="A332" s="10" t="str">
        <x:v>AUD-I-057</x:v>
      </x:c>
      <x:c r="B332" s="10" t="str">
        <x:v>initial state</x:v>
      </x:c>
      <x:c r="C332" s="10" t="str">
        <x:v>event class open</x:v>
      </x:c>
      <x:c r="D332" s="10" t="str">
        <x:v>blank-state inspection variant 3</x:v>
      </x:c>
      <x:c r="E332" s="10" t="str">
        <x:v>MATCH</x:v>
      </x:c>
      <x:c r="F332" s="12"/>
      <x:c r="G332" s="10" t="str">
        <x:f>IF(F332="","OPEN",IF(F332=E332,"PASS","FAIL"))</x:f>
        <x:v>OPEN</x:v>
      </x:c>
      <x:c r="H332" s="10" t="str">
        <x:v>configuration authority</x:v>
      </x:c>
    </x:row>
    <x:row r="333">
      <x:c r="A333" s="10" t="str">
        <x:v>AUD-I-058</x:v>
      </x:c>
      <x:c r="B333" s="10" t="str">
        <x:v>initial state</x:v>
      </x:c>
      <x:c r="C333" s="10" t="str">
        <x:v>event class open</x:v>
      </x:c>
      <x:c r="D333" s="10" t="str">
        <x:v>blank-state inspection variant 4</x:v>
      </x:c>
      <x:c r="E333" s="10" t="str">
        <x:v>MATCH</x:v>
      </x:c>
      <x:c r="F333" s="12"/>
      <x:c r="G333" s="10" t="str">
        <x:f>IF(F333="","OPEN",IF(F333=E333,"PASS","FAIL"))</x:f>
        <x:v>OPEN</x:v>
      </x:c>
      <x:c r="H333" s="10" t="str">
        <x:v>configuration authority</x:v>
      </x:c>
    </x:row>
    <x:row r="334">
      <x:c r="A334" s="10" t="str">
        <x:v>AUD-I-059</x:v>
      </x:c>
      <x:c r="B334" s="10" t="str">
        <x:v>initial state</x:v>
      </x:c>
      <x:c r="C334" s="10" t="str">
        <x:v>event class open</x:v>
      </x:c>
      <x:c r="D334" s="10" t="str">
        <x:v>blank-state inspection variant 5</x:v>
      </x:c>
      <x:c r="E334" s="10" t="str">
        <x:v>MATCH</x:v>
      </x:c>
      <x:c r="F334" s="12"/>
      <x:c r="G334" s="10" t="str">
        <x:f>IF(F334="","OPEN",IF(F334=E334,"PASS","FAIL"))</x:f>
        <x:v>OPEN</x:v>
      </x:c>
      <x:c r="H334" s="10" t="str">
        <x:v>configuration authority</x:v>
      </x:c>
    </x:row>
    <x:row r="335">
      <x:c r="A335" s="10" t="str">
        <x:v>AUD-I-060</x:v>
      </x:c>
      <x:c r="B335" s="10" t="str">
        <x:v>initial state</x:v>
      </x:c>
      <x:c r="C335" s="10" t="str">
        <x:v>event class open</x:v>
      </x:c>
      <x:c r="D335" s="10" t="str">
        <x:v>blank-state inspection variant 6</x:v>
      </x:c>
      <x:c r="E335" s="10" t="str">
        <x:v>MATCH</x:v>
      </x:c>
      <x:c r="F335" s="12"/>
      <x:c r="G335" s="10" t="str">
        <x:f>IF(F335="","OPEN",IF(F335=E335,"PASS","FAIL"))</x:f>
        <x:v>OPEN</x:v>
      </x:c>
      <x:c r="H335" s="10" t="str">
        <x:v>configuration authority</x:v>
      </x:c>
    </x:row>
    <x:row r="336">
      <x:c r="A336" s="10" t="str">
        <x:v>AUD-I-061</x:v>
      </x:c>
      <x:c r="B336" s="10" t="str">
        <x:v>initial state</x:v>
      </x:c>
      <x:c r="C336" s="10" t="str">
        <x:v>return open</x:v>
      </x:c>
      <x:c r="D336" s="10" t="str">
        <x:v>blank-state inspection variant 1</x:v>
      </x:c>
      <x:c r="E336" s="10" t="str">
        <x:v>MATCH</x:v>
      </x:c>
      <x:c r="F336" s="12"/>
      <x:c r="G336" s="10" t="str">
        <x:f>IF(F336="","OPEN",IF(F336=E336,"PASS","FAIL"))</x:f>
        <x:v>OPEN</x:v>
      </x:c>
      <x:c r="H336" s="10" t="str">
        <x:v>configuration authority</x:v>
      </x:c>
    </x:row>
    <x:row r="337">
      <x:c r="A337" s="10" t="str">
        <x:v>AUD-I-062</x:v>
      </x:c>
      <x:c r="B337" s="10" t="str">
        <x:v>initial state</x:v>
      </x:c>
      <x:c r="C337" s="10" t="str">
        <x:v>return open</x:v>
      </x:c>
      <x:c r="D337" s="10" t="str">
        <x:v>blank-state inspection variant 2</x:v>
      </x:c>
      <x:c r="E337" s="10" t="str">
        <x:v>MATCH</x:v>
      </x:c>
      <x:c r="F337" s="12"/>
      <x:c r="G337" s="10" t="str">
        <x:f>IF(F337="","OPEN",IF(F337=E337,"PASS","FAIL"))</x:f>
        <x:v>OPEN</x:v>
      </x:c>
      <x:c r="H337" s="10" t="str">
        <x:v>configuration authority</x:v>
      </x:c>
    </x:row>
    <x:row r="338">
      <x:c r="A338" s="10" t="str">
        <x:v>AUD-I-063</x:v>
      </x:c>
      <x:c r="B338" s="10" t="str">
        <x:v>initial state</x:v>
      </x:c>
      <x:c r="C338" s="10" t="str">
        <x:v>return open</x:v>
      </x:c>
      <x:c r="D338" s="10" t="str">
        <x:v>blank-state inspection variant 3</x:v>
      </x:c>
      <x:c r="E338" s="10" t="str">
        <x:v>MATCH</x:v>
      </x:c>
      <x:c r="F338" s="12"/>
      <x:c r="G338" s="10" t="str">
        <x:f>IF(F338="","OPEN",IF(F338=E338,"PASS","FAIL"))</x:f>
        <x:v>OPEN</x:v>
      </x:c>
      <x:c r="H338" s="10" t="str">
        <x:v>configuration authority</x:v>
      </x:c>
    </x:row>
    <x:row r="339">
      <x:c r="A339" s="10" t="str">
        <x:v>AUD-I-064</x:v>
      </x:c>
      <x:c r="B339" s="10" t="str">
        <x:v>initial state</x:v>
      </x:c>
      <x:c r="C339" s="10" t="str">
        <x:v>return open</x:v>
      </x:c>
      <x:c r="D339" s="10" t="str">
        <x:v>blank-state inspection variant 4</x:v>
      </x:c>
      <x:c r="E339" s="10" t="str">
        <x:v>MATCH</x:v>
      </x:c>
      <x:c r="F339" s="12"/>
      <x:c r="G339" s="10" t="str">
        <x:f>IF(F339="","OPEN",IF(F339=E339,"PASS","FAIL"))</x:f>
        <x:v>OPEN</x:v>
      </x:c>
      <x:c r="H339" s="10" t="str">
        <x:v>configuration authority</x:v>
      </x:c>
    </x:row>
    <x:row r="340">
      <x:c r="A340" s="10" t="str">
        <x:v>AUD-I-065</x:v>
      </x:c>
      <x:c r="B340" s="10" t="str">
        <x:v>initial state</x:v>
      </x:c>
      <x:c r="C340" s="10" t="str">
        <x:v>return open</x:v>
      </x:c>
      <x:c r="D340" s="10" t="str">
        <x:v>blank-state inspection variant 5</x:v>
      </x:c>
      <x:c r="E340" s="10" t="str">
        <x:v>MATCH</x:v>
      </x:c>
      <x:c r="F340" s="12"/>
      <x:c r="G340" s="10" t="str">
        <x:f>IF(F340="","OPEN",IF(F340=E340,"PASS","FAIL"))</x:f>
        <x:v>OPEN</x:v>
      </x:c>
      <x:c r="H340" s="10" t="str">
        <x:v>configuration authority</x:v>
      </x:c>
    </x:row>
    <x:row r="341">
      <x:c r="A341" s="10" t="str">
        <x:v>AUD-I-066</x:v>
      </x:c>
      <x:c r="B341" s="10" t="str">
        <x:v>initial state</x:v>
      </x:c>
      <x:c r="C341" s="10" t="str">
        <x:v>return open</x:v>
      </x:c>
      <x:c r="D341" s="10" t="str">
        <x:v>blank-state inspection variant 6</x:v>
      </x:c>
      <x:c r="E341" s="10" t="str">
        <x:v>MATCH</x:v>
      </x:c>
      <x:c r="F341" s="12"/>
      <x:c r="G341" s="10" t="str">
        <x:f>IF(F341="","OPEN",IF(F341=E341,"PASS","FAIL"))</x:f>
        <x:v>OPEN</x:v>
      </x:c>
      <x:c r="H341" s="10" t="str">
        <x:v>configuration authority</x:v>
      </x:c>
    </x:row>
    <x:row r="342">
      <x:c r="A342" s="10" t="str">
        <x:v>AUD-I-067</x:v>
      </x:c>
      <x:c r="B342" s="10" t="str">
        <x:v>initial state</x:v>
      </x:c>
      <x:c r="C342" s="10" t="str">
        <x:v>replay open</x:v>
      </x:c>
      <x:c r="D342" s="10" t="str">
        <x:v>blank-state inspection variant 1</x:v>
      </x:c>
      <x:c r="E342" s="10" t="str">
        <x:v>MATCH</x:v>
      </x:c>
      <x:c r="F342" s="12"/>
      <x:c r="G342" s="10" t="str">
        <x:f>IF(F342="","OPEN",IF(F342=E342,"PASS","FAIL"))</x:f>
        <x:v>OPEN</x:v>
      </x:c>
      <x:c r="H342" s="10" t="str">
        <x:v>configuration authority</x:v>
      </x:c>
    </x:row>
    <x:row r="343">
      <x:c r="A343" s="10" t="str">
        <x:v>AUD-I-068</x:v>
      </x:c>
      <x:c r="B343" s="10" t="str">
        <x:v>initial state</x:v>
      </x:c>
      <x:c r="C343" s="10" t="str">
        <x:v>replay open</x:v>
      </x:c>
      <x:c r="D343" s="10" t="str">
        <x:v>blank-state inspection variant 2</x:v>
      </x:c>
      <x:c r="E343" s="10" t="str">
        <x:v>MATCH</x:v>
      </x:c>
      <x:c r="F343" s="12"/>
      <x:c r="G343" s="10" t="str">
        <x:f>IF(F343="","OPEN",IF(F343=E343,"PASS","FAIL"))</x:f>
        <x:v>OPEN</x:v>
      </x:c>
      <x:c r="H343" s="10" t="str">
        <x:v>configuration authority</x:v>
      </x:c>
    </x:row>
    <x:row r="344">
      <x:c r="A344" s="10" t="str">
        <x:v>AUD-I-069</x:v>
      </x:c>
      <x:c r="B344" s="10" t="str">
        <x:v>initial state</x:v>
      </x:c>
      <x:c r="C344" s="10" t="str">
        <x:v>replay open</x:v>
      </x:c>
      <x:c r="D344" s="10" t="str">
        <x:v>blank-state inspection variant 3</x:v>
      </x:c>
      <x:c r="E344" s="10" t="str">
        <x:v>MATCH</x:v>
      </x:c>
      <x:c r="F344" s="12"/>
      <x:c r="G344" s="10" t="str">
        <x:f>IF(F344="","OPEN",IF(F344=E344,"PASS","FAIL"))</x:f>
        <x:v>OPEN</x:v>
      </x:c>
      <x:c r="H344" s="10" t="str">
        <x:v>configuration authority</x:v>
      </x:c>
    </x:row>
    <x:row r="345">
      <x:c r="A345" s="10" t="str">
        <x:v>AUD-I-070</x:v>
      </x:c>
      <x:c r="B345" s="10" t="str">
        <x:v>initial state</x:v>
      </x:c>
      <x:c r="C345" s="10" t="str">
        <x:v>replay open</x:v>
      </x:c>
      <x:c r="D345" s="10" t="str">
        <x:v>blank-state inspection variant 4</x:v>
      </x:c>
      <x:c r="E345" s="10" t="str">
        <x:v>MATCH</x:v>
      </x:c>
      <x:c r="F345" s="12"/>
      <x:c r="G345" s="10" t="str">
        <x:f>IF(F345="","OPEN",IF(F345=E345,"PASS","FAIL"))</x:f>
        <x:v>OPEN</x:v>
      </x:c>
      <x:c r="H345" s="10" t="str">
        <x:v>configuration authority</x:v>
      </x:c>
    </x:row>
    <x:row r="346">
      <x:c r="A346" s="10" t="str">
        <x:v>AUD-I-071</x:v>
      </x:c>
      <x:c r="B346" s="10" t="str">
        <x:v>initial state</x:v>
      </x:c>
      <x:c r="C346" s="10" t="str">
        <x:v>replay open</x:v>
      </x:c>
      <x:c r="D346" s="10" t="str">
        <x:v>blank-state inspection variant 5</x:v>
      </x:c>
      <x:c r="E346" s="10" t="str">
        <x:v>MATCH</x:v>
      </x:c>
      <x:c r="F346" s="12"/>
      <x:c r="G346" s="10" t="str">
        <x:f>IF(F346="","OPEN",IF(F346=E346,"PASS","FAIL"))</x:f>
        <x:v>OPEN</x:v>
      </x:c>
      <x:c r="H346" s="10" t="str">
        <x:v>configuration authority</x:v>
      </x:c>
    </x:row>
    <x:row r="347">
      <x:c r="A347" s="10" t="str">
        <x:v>AUD-I-072</x:v>
      </x:c>
      <x:c r="B347" s="10" t="str">
        <x:v>initial state</x:v>
      </x:c>
      <x:c r="C347" s="10" t="str">
        <x:v>replay open</x:v>
      </x:c>
      <x:c r="D347" s="10" t="str">
        <x:v>blank-state inspection variant 6</x:v>
      </x:c>
      <x:c r="E347" s="10" t="str">
        <x:v>MATCH</x:v>
      </x:c>
      <x:c r="F347" s="12"/>
      <x:c r="G347" s="10" t="str">
        <x:f>IF(F347="","OPEN",IF(F347=E347,"PASS","FAIL"))</x:f>
        <x:v>OPEN</x:v>
      </x:c>
      <x:c r="H347" s="10" t="str">
        <x:v>configuration authority</x:v>
      </x:c>
    </x:row>
    <x:row r="348">
      <x:c r="A348" s="10" t="str">
        <x:v>AUD-I-073</x:v>
      </x:c>
      <x:c r="B348" s="10" t="str">
        <x:v>initial state</x:v>
      </x:c>
      <x:c r="C348" s="10" t="str">
        <x:v>source observation blank</x:v>
      </x:c>
      <x:c r="D348" s="10" t="str">
        <x:v>blank-state inspection variant 1</x:v>
      </x:c>
      <x:c r="E348" s="10" t="str">
        <x:v>MATCH</x:v>
      </x:c>
      <x:c r="F348" s="12"/>
      <x:c r="G348" s="10" t="str">
        <x:f>IF(F348="","OPEN",IF(F348=E348,"PASS","FAIL"))</x:f>
        <x:v>OPEN</x:v>
      </x:c>
      <x:c r="H348" s="10" t="str">
        <x:v>configuration authority</x:v>
      </x:c>
    </x:row>
    <x:row r="349">
      <x:c r="A349" s="10" t="str">
        <x:v>AUD-I-074</x:v>
      </x:c>
      <x:c r="B349" s="10" t="str">
        <x:v>initial state</x:v>
      </x:c>
      <x:c r="C349" s="10" t="str">
        <x:v>source observation blank</x:v>
      </x:c>
      <x:c r="D349" s="10" t="str">
        <x:v>blank-state inspection variant 2</x:v>
      </x:c>
      <x:c r="E349" s="10" t="str">
        <x:v>MATCH</x:v>
      </x:c>
      <x:c r="F349" s="12"/>
      <x:c r="G349" s="10" t="str">
        <x:f>IF(F349="","OPEN",IF(F349=E349,"PASS","FAIL"))</x:f>
        <x:v>OPEN</x:v>
      </x:c>
      <x:c r="H349" s="10" t="str">
        <x:v>configuration authority</x:v>
      </x:c>
    </x:row>
    <x:row r="350">
      <x:c r="A350" s="10" t="str">
        <x:v>AUD-I-075</x:v>
      </x:c>
      <x:c r="B350" s="10" t="str">
        <x:v>initial state</x:v>
      </x:c>
      <x:c r="C350" s="10" t="str">
        <x:v>source observation blank</x:v>
      </x:c>
      <x:c r="D350" s="10" t="str">
        <x:v>blank-state inspection variant 3</x:v>
      </x:c>
      <x:c r="E350" s="10" t="str">
        <x:v>MATCH</x:v>
      </x:c>
      <x:c r="F350" s="12"/>
      <x:c r="G350" s="10" t="str">
        <x:f>IF(F350="","OPEN",IF(F350=E350,"PASS","FAIL"))</x:f>
        <x:v>OPEN</x:v>
      </x:c>
      <x:c r="H350" s="10" t="str">
        <x:v>configuration authority</x:v>
      </x:c>
    </x:row>
    <x:row r="351">
      <x:c r="A351" s="10" t="str">
        <x:v>AUD-I-076</x:v>
      </x:c>
      <x:c r="B351" s="10" t="str">
        <x:v>initial state</x:v>
      </x:c>
      <x:c r="C351" s="10" t="str">
        <x:v>source observation blank</x:v>
      </x:c>
      <x:c r="D351" s="10" t="str">
        <x:v>blank-state inspection variant 4</x:v>
      </x:c>
      <x:c r="E351" s="10" t="str">
        <x:v>MATCH</x:v>
      </x:c>
      <x:c r="F351" s="12"/>
      <x:c r="G351" s="10" t="str">
        <x:f>IF(F351="","OPEN",IF(F351=E351,"PASS","FAIL"))</x:f>
        <x:v>OPEN</x:v>
      </x:c>
      <x:c r="H351" s="10" t="str">
        <x:v>configuration authority</x:v>
      </x:c>
    </x:row>
    <x:row r="352">
      <x:c r="A352" s="10" t="str">
        <x:v>AUD-I-077</x:v>
      </x:c>
      <x:c r="B352" s="10" t="str">
        <x:v>initial state</x:v>
      </x:c>
      <x:c r="C352" s="10" t="str">
        <x:v>source observation blank</x:v>
      </x:c>
      <x:c r="D352" s="10" t="str">
        <x:v>blank-state inspection variant 5</x:v>
      </x:c>
      <x:c r="E352" s="10" t="str">
        <x:v>MATCH</x:v>
      </x:c>
      <x:c r="F352" s="12"/>
      <x:c r="G352" s="10" t="str">
        <x:f>IF(F352="","OPEN",IF(F352=E352,"PASS","FAIL"))</x:f>
        <x:v>OPEN</x:v>
      </x:c>
      <x:c r="H352" s="10" t="str">
        <x:v>configuration authority</x:v>
      </x:c>
    </x:row>
    <x:row r="353">
      <x:c r="A353" s="10" t="str">
        <x:v>AUD-I-078</x:v>
      </x:c>
      <x:c r="B353" s="10" t="str">
        <x:v>initial state</x:v>
      </x:c>
      <x:c r="C353" s="10" t="str">
        <x:v>source observation blank</x:v>
      </x:c>
      <x:c r="D353" s="10" t="str">
        <x:v>blank-state inspection variant 6</x:v>
      </x:c>
      <x:c r="E353" s="10" t="str">
        <x:v>MATCH</x:v>
      </x:c>
      <x:c r="F353" s="12"/>
      <x:c r="G353" s="10" t="str">
        <x:f>IF(F353="","OPEN",IF(F353=E353,"PASS","FAIL"))</x:f>
        <x:v>OPEN</x:v>
      </x:c>
      <x:c r="H353" s="10" t="str">
        <x:v>configuration authority</x:v>
      </x:c>
    </x:row>
    <x:row r="354">
      <x:c r="A354" s="10" t="str">
        <x:v>AUD-I-079</x:v>
      </x:c>
      <x:c r="B354" s="10" t="str">
        <x:v>initial state</x:v>
      </x:c>
      <x:c r="C354" s="10" t="str">
        <x:v>ignition observation blank</x:v>
      </x:c>
      <x:c r="D354" s="10" t="str">
        <x:v>blank-state inspection variant 1</x:v>
      </x:c>
      <x:c r="E354" s="10" t="str">
        <x:v>MATCH</x:v>
      </x:c>
      <x:c r="F354" s="12"/>
      <x:c r="G354" s="10" t="str">
        <x:f>IF(F354="","OPEN",IF(F354=E354,"PASS","FAIL"))</x:f>
        <x:v>OPEN</x:v>
      </x:c>
      <x:c r="H354" s="10" t="str">
        <x:v>configuration authority</x:v>
      </x:c>
    </x:row>
    <x:row r="355">
      <x:c r="A355" s="10" t="str">
        <x:v>AUD-I-080</x:v>
      </x:c>
      <x:c r="B355" s="10" t="str">
        <x:v>initial state</x:v>
      </x:c>
      <x:c r="C355" s="10" t="str">
        <x:v>ignition observation blank</x:v>
      </x:c>
      <x:c r="D355" s="10" t="str">
        <x:v>blank-state inspection variant 2</x:v>
      </x:c>
      <x:c r="E355" s="10" t="str">
        <x:v>MATCH</x:v>
      </x:c>
      <x:c r="F355" s="12"/>
      <x:c r="G355" s="10" t="str">
        <x:f>IF(F355="","OPEN",IF(F355=E355,"PASS","FAIL"))</x:f>
        <x:v>OPEN</x:v>
      </x:c>
      <x:c r="H355" s="10" t="str">
        <x:v>configuration authority</x:v>
      </x:c>
    </x:row>
    <x:row r="356">
      <x:c r="A356" s="10" t="str">
        <x:v>AUD-I-081</x:v>
      </x:c>
      <x:c r="B356" s="10" t="str">
        <x:v>initial state</x:v>
      </x:c>
      <x:c r="C356" s="10" t="str">
        <x:v>ignition observation blank</x:v>
      </x:c>
      <x:c r="D356" s="10" t="str">
        <x:v>blank-state inspection variant 3</x:v>
      </x:c>
      <x:c r="E356" s="10" t="str">
        <x:v>MATCH</x:v>
      </x:c>
      <x:c r="F356" s="12"/>
      <x:c r="G356" s="10" t="str">
        <x:f>IF(F356="","OPEN",IF(F356=E356,"PASS","FAIL"))</x:f>
        <x:v>OPEN</x:v>
      </x:c>
      <x:c r="H356" s="10" t="str">
        <x:v>configuration authority</x:v>
      </x:c>
    </x:row>
    <x:row r="357">
      <x:c r="A357" s="10" t="str">
        <x:v>AUD-I-082</x:v>
      </x:c>
      <x:c r="B357" s="10" t="str">
        <x:v>initial state</x:v>
      </x:c>
      <x:c r="C357" s="10" t="str">
        <x:v>ignition observation blank</x:v>
      </x:c>
      <x:c r="D357" s="10" t="str">
        <x:v>blank-state inspection variant 4</x:v>
      </x:c>
      <x:c r="E357" s="10" t="str">
        <x:v>MATCH</x:v>
      </x:c>
      <x:c r="F357" s="12"/>
      <x:c r="G357" s="10" t="str">
        <x:f>IF(F357="","OPEN",IF(F357=E357,"PASS","FAIL"))</x:f>
        <x:v>OPEN</x:v>
      </x:c>
      <x:c r="H357" s="10" t="str">
        <x:v>configuration authority</x:v>
      </x:c>
    </x:row>
    <x:row r="358">
      <x:c r="A358" s="10" t="str">
        <x:v>AUD-I-083</x:v>
      </x:c>
      <x:c r="B358" s="10" t="str">
        <x:v>initial state</x:v>
      </x:c>
      <x:c r="C358" s="10" t="str">
        <x:v>ignition observation blank</x:v>
      </x:c>
      <x:c r="D358" s="10" t="str">
        <x:v>blank-state inspection variant 5</x:v>
      </x:c>
      <x:c r="E358" s="10" t="str">
        <x:v>MATCH</x:v>
      </x:c>
      <x:c r="F358" s="12"/>
      <x:c r="G358" s="10" t="str">
        <x:f>IF(F358="","OPEN",IF(F358=E358,"PASS","FAIL"))</x:f>
        <x:v>OPEN</x:v>
      </x:c>
      <x:c r="H358" s="10" t="str">
        <x:v>configuration authority</x:v>
      </x:c>
    </x:row>
    <x:row r="359">
      <x:c r="A359" s="10" t="str">
        <x:v>AUD-I-084</x:v>
      </x:c>
      <x:c r="B359" s="10" t="str">
        <x:v>initial state</x:v>
      </x:c>
      <x:c r="C359" s="10" t="str">
        <x:v>ignition observation blank</x:v>
      </x:c>
      <x:c r="D359" s="10" t="str">
        <x:v>blank-state inspection variant 6</x:v>
      </x:c>
      <x:c r="E359" s="10" t="str">
        <x:v>MATCH</x:v>
      </x:c>
      <x:c r="F359" s="12"/>
      <x:c r="G359" s="10" t="str">
        <x:f>IF(F359="","OPEN",IF(F359=E359,"PASS","FAIL"))</x:f>
        <x:v>OPEN</x:v>
      </x:c>
      <x:c r="H359" s="10" t="str">
        <x:v>configuration authority</x:v>
      </x:c>
    </x:row>
    <x:row r="360">
      <x:c r="A360" s="10" t="str">
        <x:v>AUD-I-085</x:v>
      </x:c>
      <x:c r="B360" s="10" t="str">
        <x:v>initial state</x:v>
      </x:c>
      <x:c r="C360" s="10" t="str">
        <x:v>class blocked</x:v>
      </x:c>
      <x:c r="D360" s="10" t="str">
        <x:v>blank-state inspection variant 1</x:v>
      </x:c>
      <x:c r="E360" s="10" t="str">
        <x:v>MATCH</x:v>
      </x:c>
      <x:c r="F360" s="12"/>
      <x:c r="G360" s="10" t="str">
        <x:f>IF(F360="","OPEN",IF(F360=E360,"PASS","FAIL"))</x:f>
        <x:v>OPEN</x:v>
      </x:c>
      <x:c r="H360" s="10" t="str">
        <x:v>configuration authority</x:v>
      </x:c>
    </x:row>
    <x:row r="361">
      <x:c r="A361" s="10" t="str">
        <x:v>AUD-I-086</x:v>
      </x:c>
      <x:c r="B361" s="10" t="str">
        <x:v>initial state</x:v>
      </x:c>
      <x:c r="C361" s="10" t="str">
        <x:v>class blocked</x:v>
      </x:c>
      <x:c r="D361" s="10" t="str">
        <x:v>blank-state inspection variant 2</x:v>
      </x:c>
      <x:c r="E361" s="10" t="str">
        <x:v>MATCH</x:v>
      </x:c>
      <x:c r="F361" s="12"/>
      <x:c r="G361" s="10" t="str">
        <x:f>IF(F361="","OPEN",IF(F361=E361,"PASS","FAIL"))</x:f>
        <x:v>OPEN</x:v>
      </x:c>
      <x:c r="H361" s="10" t="str">
        <x:v>configuration authority</x:v>
      </x:c>
    </x:row>
    <x:row r="362">
      <x:c r="A362" s="10" t="str">
        <x:v>AUD-I-087</x:v>
      </x:c>
      <x:c r="B362" s="10" t="str">
        <x:v>initial state</x:v>
      </x:c>
      <x:c r="C362" s="10" t="str">
        <x:v>class blocked</x:v>
      </x:c>
      <x:c r="D362" s="10" t="str">
        <x:v>blank-state inspection variant 3</x:v>
      </x:c>
      <x:c r="E362" s="10" t="str">
        <x:v>MATCH</x:v>
      </x:c>
      <x:c r="F362" s="12"/>
      <x:c r="G362" s="10" t="str">
        <x:f>IF(F362="","OPEN",IF(F362=E362,"PASS","FAIL"))</x:f>
        <x:v>OPEN</x:v>
      </x:c>
      <x:c r="H362" s="10" t="str">
        <x:v>configuration authority</x:v>
      </x:c>
    </x:row>
    <x:row r="363">
      <x:c r="A363" s="10" t="str">
        <x:v>AUD-I-088</x:v>
      </x:c>
      <x:c r="B363" s="10" t="str">
        <x:v>initial state</x:v>
      </x:c>
      <x:c r="C363" s="10" t="str">
        <x:v>class blocked</x:v>
      </x:c>
      <x:c r="D363" s="10" t="str">
        <x:v>blank-state inspection variant 4</x:v>
      </x:c>
      <x:c r="E363" s="10" t="str">
        <x:v>MATCH</x:v>
      </x:c>
      <x:c r="F363" s="12"/>
      <x:c r="G363" s="10" t="str">
        <x:f>IF(F363="","OPEN",IF(F363=E363,"PASS","FAIL"))</x:f>
        <x:v>OPEN</x:v>
      </x:c>
      <x:c r="H363" s="10" t="str">
        <x:v>configuration authority</x:v>
      </x:c>
    </x:row>
    <x:row r="364">
      <x:c r="A364" s="10" t="str">
        <x:v>AUD-I-089</x:v>
      </x:c>
      <x:c r="B364" s="10" t="str">
        <x:v>initial state</x:v>
      </x:c>
      <x:c r="C364" s="10" t="str">
        <x:v>class blocked</x:v>
      </x:c>
      <x:c r="D364" s="10" t="str">
        <x:v>blank-state inspection variant 5</x:v>
      </x:c>
      <x:c r="E364" s="10" t="str">
        <x:v>MATCH</x:v>
      </x:c>
      <x:c r="F364" s="12"/>
      <x:c r="G364" s="10" t="str">
        <x:f>IF(F364="","OPEN",IF(F364=E364,"PASS","FAIL"))</x:f>
        <x:v>OPEN</x:v>
      </x:c>
      <x:c r="H364" s="10" t="str">
        <x:v>configuration authority</x:v>
      </x:c>
    </x:row>
    <x:row r="365">
      <x:c r="A365" s="10" t="str">
        <x:v>AUD-I-090</x:v>
      </x:c>
      <x:c r="B365" s="10" t="str">
        <x:v>initial state</x:v>
      </x:c>
      <x:c r="C365" s="10" t="str">
        <x:v>class blocked</x:v>
      </x:c>
      <x:c r="D365" s="10" t="str">
        <x:v>blank-state inspection variant 6</x:v>
      </x:c>
      <x:c r="E365" s="10" t="str">
        <x:v>MATCH</x:v>
      </x:c>
      <x:c r="F365" s="12"/>
      <x:c r="G365" s="10" t="str">
        <x:f>IF(F365="","OPEN",IF(F365=E365,"PASS","FAIL"))</x:f>
        <x:v>OPEN</x:v>
      </x:c>
      <x:c r="H365" s="10" t="str">
        <x:v>configuration authority</x:v>
      </x:c>
    </x:row>
  </x:sheetData>
  <x:mergeCells>
    <x:mergeCell ref="A2:H2"/>
  </x:mergeCells>
  <x:conditionalFormatting sqref="G6:G365">
    <x:cfRule type="containsText" dxfId="162" priority="1" operator="containsText" text="DENY"/>
    <x:cfRule type="containsText" dxfId="163" priority="2" operator="containsText" text="ADVERSE"/>
    <x:cfRule type="containsText" dxfId="164" priority="3" operator="containsText" text="FAIL"/>
    <x:cfRule type="containsText" dxfId="165" priority="4" operator="containsText" text="OPEN"/>
    <x:cfRule type="containsText" dxfId="166" priority="5" operator="containsText" text="BLOCKED"/>
    <x:cfRule type="containsText" dxfId="167" priority="6" operator="containsText" text="REBASE"/>
  </x:conditionalFormatting>
  <x:pageMargins left="0.7" right="0.7" top="0.75" bottom="0.75" header="0.3" footer="0.3"/>
  <x:tableParts count="1">
    <x:tablePart xmlns:r="http://schemas.openxmlformats.org/officeDocument/2006/relationships" r:id="Rfb9bfeef8e124238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1" hidden="0" customWidth="1"/>
    <x:col min="3" max="3" width="86" hidden="0" customWidth="1"/>
    <x:col min="4" max="4" width="43" hidden="0" customWidth="1"/>
    <x:col min="5" max="5" width="15" hidden="0" customWidth="1"/>
  </x:cols>
  <x:sheetData>
    <x:row r="2" ht="24" customHeight="1">
      <x:c r="A2" s="1" t="str">
        <x:v>Internal research chain</x:v>
      </x:c>
    </x:row>
    <x:row r="4" ht="22" customHeight="1">
      <x:c r="A4" s="2"/>
      <x:c r="B4" s="2"/>
      <x:c r="C4" s="2"/>
      <x:c r="D4" s="2"/>
      <x:c r="E4" s="2"/>
    </x:row>
    <x:row r="5">
      <x:c r="A5" s="8" t="str">
        <x:v>ID</x:v>
      </x:c>
      <x:c r="B5" s="8" t="str">
        <x:v>Research object</x:v>
      </x:c>
      <x:c r="C5" s="8" t="str">
        <x:v>Repository path</x:v>
      </x:c>
      <x:c r="D5" s="8" t="str">
        <x:v>Use in RBJ-1</x:v>
      </x:c>
      <x:c r="E5" s="8" t="str">
        <x:v>External site</x:v>
      </x:c>
    </x:row>
    <x:row r="6" ht="42" customHeight="1">
      <x:c r="A6" s="10" t="str">
        <x:v>RBG-1</x:v>
      </x:c>
      <x:c r="B6" s="23" t="str">
        <x:v>AM-06 source-water-ignition entry-ladder reset</x:v>
      </x:c>
      <x:c r="C6" s="23" t="str">
        <x:v>research/force/generation/f36-cisa40-sa6-root-a-am06-source-water-ignition-entry-ladder-reset.md</x:v>
      </x:c>
      <x:c r="D6" s="23" t="str">
        <x:v>ER-03 scope, exact cells and inherited parent envelope</x:v>
      </x:c>
      <x:c r="E6" s="10" t="str">
        <x:v>none</x:v>
      </x:c>
    </x:row>
    <x:row r="7" ht="42" customHeight="1">
      <x:c r="A7" s="10" t="str">
        <x:v>RBH-1</x:v>
      </x:c>
      <x:c r="B7" s="23" t="str">
        <x:v>Dry igniter-reference competition and ER-01 class constitution</x:v>
      </x:c>
      <x:c r="C7" s="23" t="str">
        <x:v>research/force/generation/f36-cisa40-sa6-root-a-dry-igniter-reference-architecture-competition-and-er01-class-constitution.md</x:v>
      </x:c>
      <x:c r="D7" s="23" t="str">
        <x:v>dry reference allocation and corrected schedule</x:v>
      </x:c>
      <x:c r="E7" s="10" t="str">
        <x:v>none</x:v>
      </x:c>
    </x:row>
    <x:row r="8" ht="42" customHeight="1">
      <x:c r="A8" s="10" t="str">
        <x:v>RBI-1</x:v>
      </x:c>
      <x:c r="B8" s="23" t="str">
        <x:v>Water-only reference system and ER-02 class constitution</x:v>
      </x:c>
      <x:c r="C8" s="23" t="str">
        <x:v>research/force/generation/f36-cisa40-sa6-root-a-water-only-reference-system-and-er02-class-constitution.md</x:v>
      </x:c>
      <x:c r="D8" s="23" t="str">
        <x:v>water lots, acceptance and return estate</x:v>
      </x:c>
      <x:c r="E8" s="10" t="str">
        <x:v>none</x:v>
      </x:c>
    </x:row>
    <x:row r="9" ht="42" customHeight="1">
      <x:c r="A9" s="10" t="str">
        <x:v>RAS-1</x:v>
      </x:c>
      <x:c r="B9" s="23" t="str">
        <x:v>Quarter-source entry and coupled-ancestry safety case</x:v>
      </x:c>
      <x:c r="C9" s="23" t="str">
        <x:v>research/force/generation/f36-cisa40-sa6-root-a-quarter-source-entry-and-coupled-ancestry-safety-case.md</x:v>
      </x:c>
      <x:c r="D9" s="23" t="str">
        <x:v>future coupled-ancestry boundary</x:v>
      </x:c>
      <x:c r="E9" s="10" t="str">
        <x:v>none</x:v>
      </x:c>
    </x:row>
    <x:row r="10" ht="42" customHeight="1">
      <x:c r="A10" s="10" t="str">
        <x:v>RBB-1</x:v>
      </x:c>
      <x:c r="B10" s="23" t="str">
        <x:v>QE-02 class execution and source-transfer constitution</x:v>
      </x:c>
      <x:c r="C10" s="23" t="str">
        <x:v>research/force/generation/f36-cisa40-sa6-root-a-qe02-class-execution-and-source-transfer-qualification-constitution.md</x:v>
      </x:c>
      <x:c r="D10" s="23" t="str">
        <x:v>source-transfer precedent</x:v>
      </x:c>
      <x:c r="E10" s="10" t="str">
        <x:v>none</x:v>
      </x:c>
    </x:row>
    <x:row r="11" ht="42" customHeight="1">
      <x:c r="A11" s="10" t="str">
        <x:v>RBD-1</x:v>
      </x:c>
      <x:c r="B11" s="23" t="str">
        <x:v>QE-03 class execution and source-transfer constitution</x:v>
      </x:c>
      <x:c r="C11" s="23" t="str">
        <x:v>research/force/generation/f36-cisa40-sa6-root-a-qe03-class-execution-and-source-transfer-qualification-constitution.md</x:v>
      </x:c>
      <x:c r="D11" s="23" t="str">
        <x:v>source-transfer precedent</x:v>
      </x:c>
      <x:c r="E11" s="10" t="str">
        <x:v>none</x:v>
      </x:c>
    </x:row>
    <x:row r="12" ht="42" customHeight="1">
      <x:c r="A12" s="10" t="str">
        <x:v>RBF-1</x:v>
      </x:c>
      <x:c r="B12" s="23" t="str">
        <x:v>QE-04 class execution and architecture-transfer constitution</x:v>
      </x:c>
      <x:c r="C12" s="23" t="str">
        <x:v>research/force/generation/f36-cisa40-sa6-root-a-qe04-class-execution-and-architecture-transfer-constitution.md</x:v>
      </x:c>
      <x:c r="D12" s="23" t="str">
        <x:v>architecture-transfer precedent</x:v>
      </x:c>
      <x:c r="E12" s="10" t="str">
        <x:v>none</x:v>
      </x:c>
    </x:row>
    <x:row r="13" ht="42" customHeight="1">
      <x:c r="A13" s="10" t="str">
        <x:v>RAM-1</x:v>
      </x:c>
      <x:c r="B13" s="23" t="str">
        <x:v>Method-card and causal-estimator constitution</x:v>
      </x:c>
      <x:c r="C13" s="23" t="str">
        <x:v>research/force/generation/f36-cisa40-sa6-root-a-method-card-and-causal-estimator-constitution.md</x:v>
      </x:c>
      <x:c r="D13" s="23" t="str">
        <x:v>separate causal record logic</x:v>
      </x:c>
      <x:c r="E13" s="10" t="str">
        <x:v>none</x:v>
      </x:c>
    </x:row>
    <x:row r="14" ht="42" customHeight="1">
      <x:c r="A14" s="10" t="str">
        <x:v>RFE-1</x:v>
      </x:c>
      <x:c r="B14" s="23" t="str">
        <x:v>Fire/hydraulic-rig execution and source-escalation constitution</x:v>
      </x:c>
      <x:c r="C14" s="23" t="str">
        <x:v>research/force/generation/f36-cisa40-sa6-root-a-fire-hydraulic-rig-execution-and-source-escalation-constitution.md</x:v>
      </x:c>
      <x:c r="D14" s="23" t="str">
        <x:v>zero-source and execution rules</x:v>
      </x:c>
      <x:c r="E14" s="10" t="str">
        <x:v>none</x:v>
      </x:c>
    </x:row>
    <x:row r="15" ht="42" customHeight="1">
      <x:c r="A15" s="10" t="str">
        <x:v>RBJ-1</x:v>
      </x:c>
      <x:c r="B15" s="23" t="str">
        <x:v>Dual-ancestry competition and ER-03 class constitution</x:v>
      </x:c>
      <x:c r="C15" s="23" t="str">
        <x:v>research/force/generation/f36-cisa40-sa6-root-a-dual-ancestry-reference-architecture-competition-and-er03-class-constitution.md</x:v>
      </x:c>
      <x:c r="D15" s="23" t="str">
        <x:v>declared hypotheses and companion model</x:v>
      </x:c>
      <x:c r="E15" s="10" t="str">
        <x:v>none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03f54a960231410e"/>
  </x:tableParts>
</x:worksheet>
</file>