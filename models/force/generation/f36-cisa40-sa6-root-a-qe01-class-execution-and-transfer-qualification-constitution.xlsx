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819749500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bd3a1d56004402"/>
    <x:sheet xmlns:r="http://schemas.openxmlformats.org/officeDocument/2006/relationships" name="Controls" sheetId="2" r:id="R27751374e6774e02"/>
    <x:sheet xmlns:r="http://schemas.openxmlformats.org/officeDocument/2006/relationships" name="Research Questions" sheetId="3" r:id="R6c306adebca2477b"/>
    <x:sheet xmlns:r="http://schemas.openxmlformats.org/officeDocument/2006/relationships" name="Claim Boundary" sheetId="4" r:id="Rae4d8926cb1f49ae"/>
    <x:sheet xmlns:r="http://schemas.openxmlformats.org/officeDocument/2006/relationships" name="Governance" sheetId="5" r:id="Rb23ddca3357e439f"/>
    <x:sheet xmlns:r="http://schemas.openxmlformats.org/officeDocument/2006/relationships" name="Class State" sheetId="6" r:id="R4d0a6cfc526c4731"/>
    <x:sheet xmlns:r="http://schemas.openxmlformats.org/officeDocument/2006/relationships" name="Treatment Design" sheetId="7" r:id="R7564b9c9092a4c5a"/>
    <x:sheet xmlns:r="http://schemas.openxmlformats.org/officeDocument/2006/relationships" name="Canonical Sequences" sheetId="8" r:id="R9afba01cd78e4879"/>
    <x:sheet xmlns:r="http://schemas.openxmlformats.org/officeDocument/2006/relationships" name="Schedule Transform" sheetId="9" r:id="R56776fe4651a471a"/>
    <x:sheet xmlns:r="http://schemas.openxmlformats.org/officeDocument/2006/relationships" name="Wave Schedule" sheetId="10" r:id="R4b8ef34eedc94c59"/>
    <x:sheet xmlns:r="http://schemas.openxmlformats.org/officeDocument/2006/relationships" name="Balance Checks" sheetId="11" r:id="R26ad153f16bf485c"/>
    <x:sheet xmlns:r="http://schemas.openxmlformats.org/officeDocument/2006/relationships" name="Cell Register" sheetId="12" r:id="Rc17e1b26ddc44619"/>
    <x:sheet xmlns:r="http://schemas.openxmlformats.org/officeDocument/2006/relationships" name="Attempt Tokens" sheetId="13" r:id="R3c952bcd05a14c46"/>
    <x:sheet xmlns:r="http://schemas.openxmlformats.org/officeDocument/2006/relationships" name="Attempt Register" sheetId="14" r:id="Rcc5ee174774a4e0b"/>
    <x:sheet xmlns:r="http://schemas.openxmlformats.org/officeDocument/2006/relationships" name="Event Packet Gates" sheetId="15" r:id="R07a3e239ae504ae9"/>
    <x:sheet xmlns:r="http://schemas.openxmlformats.org/officeDocument/2006/relationships" name="Event Metrics" sheetId="16" r:id="Ra5a1d39dd07c43ac"/>
    <x:sheet xmlns:r="http://schemas.openxmlformats.org/officeDocument/2006/relationships" name="Pair Cycles" sheetId="17" r:id="Rd05a65adea0446e7"/>
    <x:sheet xmlns:r="http://schemas.openxmlformats.org/officeDocument/2006/relationships" name="Crew Rotations" sheetId="18" r:id="Rc4392a8580a047b9"/>
    <x:sheet xmlns:r="http://schemas.openxmlformats.org/officeDocument/2006/relationships" name="Root Deployments" sheetId="19" r:id="Rd257f36ca9744843"/>
    <x:sheet xmlns:r="http://schemas.openxmlformats.org/officeDocument/2006/relationships" name="Transition Audits" sheetId="20" r:id="Rb024059c16df4c4a"/>
    <x:sheet xmlns:r="http://schemas.openxmlformats.org/officeDocument/2006/relationships" name="Evidence Replay" sheetId="21" r:id="R12927632872e4302"/>
    <x:sheet xmlns:r="http://schemas.openxmlformats.org/officeDocument/2006/relationships" name="Cell Credits" sheetId="22" r:id="R6f936ddb94a74fbb"/>
    <x:sheet xmlns:r="http://schemas.openxmlformats.org/officeDocument/2006/relationships" name="Root Contrasts" sheetId="23" r:id="Rc0ce63218e714201"/>
    <x:sheet xmlns:r="http://schemas.openxmlformats.org/officeDocument/2006/relationships" name="Method Contrasts" sheetId="24" r:id="R8ba1d3cbe3e041f8"/>
    <x:sheet xmlns:r="http://schemas.openxmlformats.org/officeDocument/2006/relationships" name="Rig Decisions" sheetId="25" r:id="R809034b5dfde4dd7"/>
    <x:sheet xmlns:r="http://schemas.openxmlformats.org/officeDocument/2006/relationships" name="Treatment Decisions" sheetId="26" r:id="R67e3fbf86f6d4cac"/>
    <x:sheet xmlns:r="http://schemas.openxmlformats.org/officeDocument/2006/relationships" name="Campus Decisions" sheetId="27" r:id="Rc71759aa5a9a4e08"/>
    <x:sheet xmlns:r="http://schemas.openxmlformats.org/officeDocument/2006/relationships" name="Class Metrics" sheetId="28" r:id="Rc18dd1ab394048e1"/>
    <x:sheet xmlns:r="http://schemas.openxmlformats.org/officeDocument/2006/relationships" name="Statistical Limits" sheetId="29" r:id="R754d25112d3444fd"/>
    <x:sheet xmlns:r="http://schemas.openxmlformats.org/officeDocument/2006/relationships" name="Replacement Rules" sheetId="30" r:id="R7234098179e246b1"/>
    <x:sheet xmlns:r="http://schemas.openxmlformats.org/officeDocument/2006/relationships" name="Exceptions" sheetId="31" r:id="R2ba6389563344543"/>
    <x:sheet xmlns:r="http://schemas.openxmlformats.org/officeDocument/2006/relationships" name="Change Control" sheetId="32" r:id="R9c697cba851349d0"/>
    <x:sheet xmlns:r="http://schemas.openxmlformats.org/officeDocument/2006/relationships" name="Quarantine" sheetId="33" r:id="Rff99ec9795b64ee7"/>
    <x:sheet xmlns:r="http://schemas.openxmlformats.org/officeDocument/2006/relationships" name="Expiry Ledger" sheetId="34" r:id="R81b7659a1b8f4d0b"/>
    <x:sheet xmlns:r="http://schemas.openxmlformats.org/officeDocument/2006/relationships" name="Class Release Gates" sheetId="35" r:id="R8dca6847b0a04113"/>
    <x:sheet xmlns:r="http://schemas.openxmlformats.org/officeDocument/2006/relationships" name="Class Release" sheetId="36" r:id="Re7784daf58874105"/>
    <x:sheet xmlns:r="http://schemas.openxmlformats.org/officeDocument/2006/relationships" name="QE-02 Boundary" sheetId="37" r:id="R48032e41dbec4462"/>
    <x:sheet xmlns:r="http://schemas.openxmlformats.org/officeDocument/2006/relationships" name="Decision Rules" sheetId="38" r:id="R3a6ec0c5bf1d44b3"/>
    <x:sheet xmlns:r="http://schemas.openxmlformats.org/officeDocument/2006/relationships" name="Stop Rules" sheetId="39" r:id="Rf7641e9e270b424e"/>
    <x:sheet xmlns:r="http://schemas.openxmlformats.org/officeDocument/2006/relationships" name="Schedule" sheetId="40" r:id="R67138a870c124143"/>
    <x:sheet xmlns:r="http://schemas.openxmlformats.org/officeDocument/2006/relationships" name="Capacity" sheetId="41" r:id="Ra056df1f2a8f49a4"/>
    <x:sheet xmlns:r="http://schemas.openxmlformats.org/officeDocument/2006/relationships" name="Capital" sheetId="42" r:id="R6898dc5ef2df4168"/>
    <x:sheet xmlns:r="http://schemas.openxmlformats.org/officeDocument/2006/relationships" name="Annual Support" sheetId="43" r:id="R65496a631f1a4567"/>
    <x:sheet xmlns:r="http://schemas.openxmlformats.org/officeDocument/2006/relationships" name="Quarterly Cash Flow" sheetId="44" r:id="R4378de24e19845ff"/>
    <x:sheet xmlns:r="http://schemas.openxmlformats.org/officeDocument/2006/relationships" name="Portfolio Boundary" sheetId="45" r:id="R2cb8fd23757d42a6"/>
    <x:sheet xmlns:r="http://schemas.openxmlformats.org/officeDocument/2006/relationships" name="Technology Programs" sheetId="46" r:id="R5cfd98898f1a4f97"/>
    <x:sheet xmlns:r="http://schemas.openxmlformats.org/officeDocument/2006/relationships" name="Audit" sheetId="47" r:id="R7bef14687538452c"/>
    <x:sheet xmlns:r="http://schemas.openxmlformats.org/officeDocument/2006/relationships" name="Sources" sheetId="48" r:id="R3bc03ae8c9cf41b2"/>
    <x:sheet xmlns:r="http://schemas.openxmlformats.org/officeDocument/2006/relationships" name="ReadMe" sheetId="49" r:id="R52cc5a2b01bb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"/>
    <x:numFmt numFmtId="202" formatCode="0.0000%"/>
    <x:numFmt numFmtId="203" formatCode="0.0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5" fillId="3" borderId="0" xfId="0" applyNumberFormat="1" applyFont="1" applyFill="1" applyBorder="1"/>
    <x:xf numFmtId="200" fontId="4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3" fontId="4" fillId="0" borderId="0" xfId="0" applyNumberFormat="1" applyFont="1" applyFill="1" applyBorder="1"/>
    <x:xf numFmtId="203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3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47fdbca0a4be0" /><Relationship Type="http://schemas.openxmlformats.org/officeDocument/2006/relationships/theme" Target="/xl/theme/theme1.xml" Id="R06c6e93bbbb449e9" /><Relationship Type="http://schemas.openxmlformats.org/officeDocument/2006/relationships/sharedStrings" Target="/xl/sharedStrings.xml" Id="R2cd37c41088944e6" /><Relationship Type="http://schemas.openxmlformats.org/officeDocument/2006/relationships/worksheet" Target="/xl/worksheets/sheet1.xml" Id="Rb1bd3a1d56004402" /><Relationship Type="http://schemas.openxmlformats.org/officeDocument/2006/relationships/worksheet" Target="/xl/worksheets/sheet2.xml" Id="R27751374e6774e02" /><Relationship Type="http://schemas.openxmlformats.org/officeDocument/2006/relationships/worksheet" Target="/xl/worksheets/sheet3.xml" Id="R6c306adebca2477b" /><Relationship Type="http://schemas.openxmlformats.org/officeDocument/2006/relationships/worksheet" Target="/xl/worksheets/sheet4.xml" Id="Rae4d8926cb1f49ae" /><Relationship Type="http://schemas.openxmlformats.org/officeDocument/2006/relationships/worksheet" Target="/xl/worksheets/sheet5.xml" Id="Rb23ddca3357e439f" /><Relationship Type="http://schemas.openxmlformats.org/officeDocument/2006/relationships/worksheet" Target="/xl/worksheets/sheet6.xml" Id="R4d0a6cfc526c4731" /><Relationship Type="http://schemas.openxmlformats.org/officeDocument/2006/relationships/worksheet" Target="/xl/worksheets/sheet7.xml" Id="R7564b9c9092a4c5a" /><Relationship Type="http://schemas.openxmlformats.org/officeDocument/2006/relationships/worksheet" Target="/xl/worksheets/sheet8.xml" Id="R9afba01cd78e4879" /><Relationship Type="http://schemas.openxmlformats.org/officeDocument/2006/relationships/worksheet" Target="/xl/worksheets/sheet9.xml" Id="R56776fe4651a471a" /><Relationship Type="http://schemas.openxmlformats.org/officeDocument/2006/relationships/worksheet" Target="/xl/worksheets/sheet10.xml" Id="R4b8ef34eedc94c59" /><Relationship Type="http://schemas.openxmlformats.org/officeDocument/2006/relationships/worksheet" Target="/xl/worksheets/sheet11.xml" Id="R26ad153f16bf485c" /><Relationship Type="http://schemas.openxmlformats.org/officeDocument/2006/relationships/worksheet" Target="/xl/worksheets/sheet12.xml" Id="Rc17e1b26ddc44619" /><Relationship Type="http://schemas.openxmlformats.org/officeDocument/2006/relationships/worksheet" Target="/xl/worksheets/sheet13.xml" Id="R3c952bcd05a14c46" /><Relationship Type="http://schemas.openxmlformats.org/officeDocument/2006/relationships/worksheet" Target="/xl/worksheets/sheet14.xml" Id="Rcc5ee174774a4e0b" /><Relationship Type="http://schemas.openxmlformats.org/officeDocument/2006/relationships/worksheet" Target="/xl/worksheets/sheet15.xml" Id="R07a3e239ae504ae9" /><Relationship Type="http://schemas.openxmlformats.org/officeDocument/2006/relationships/worksheet" Target="/xl/worksheets/sheet16.xml" Id="Ra5a1d39dd07c43ac" /><Relationship Type="http://schemas.openxmlformats.org/officeDocument/2006/relationships/worksheet" Target="/xl/worksheets/sheet17.xml" Id="Rd05a65adea0446e7" /><Relationship Type="http://schemas.openxmlformats.org/officeDocument/2006/relationships/worksheet" Target="/xl/worksheets/sheet18.xml" Id="Rc4392a8580a047b9" /><Relationship Type="http://schemas.openxmlformats.org/officeDocument/2006/relationships/worksheet" Target="/xl/worksheets/sheet19.xml" Id="Rd257f36ca9744843" /><Relationship Type="http://schemas.openxmlformats.org/officeDocument/2006/relationships/worksheet" Target="/xl/worksheets/sheet20.xml" Id="Rb024059c16df4c4a" /><Relationship Type="http://schemas.openxmlformats.org/officeDocument/2006/relationships/worksheet" Target="/xl/worksheets/sheet21.xml" Id="R12927632872e4302" /><Relationship Type="http://schemas.openxmlformats.org/officeDocument/2006/relationships/worksheet" Target="/xl/worksheets/sheet22.xml" Id="R6f936ddb94a74fbb" /><Relationship Type="http://schemas.openxmlformats.org/officeDocument/2006/relationships/worksheet" Target="/xl/worksheets/sheet23.xml" Id="Rc0ce63218e714201" /><Relationship Type="http://schemas.openxmlformats.org/officeDocument/2006/relationships/worksheet" Target="/xl/worksheets/sheet24.xml" Id="R8ba1d3cbe3e041f8" /><Relationship Type="http://schemas.openxmlformats.org/officeDocument/2006/relationships/worksheet" Target="/xl/worksheets/sheet25.xml" Id="R809034b5dfde4dd7" /><Relationship Type="http://schemas.openxmlformats.org/officeDocument/2006/relationships/worksheet" Target="/xl/worksheets/sheet26.xml" Id="R67e3fbf86f6d4cac" /><Relationship Type="http://schemas.openxmlformats.org/officeDocument/2006/relationships/worksheet" Target="/xl/worksheets/sheet27.xml" Id="Rc71759aa5a9a4e08" /><Relationship Type="http://schemas.openxmlformats.org/officeDocument/2006/relationships/worksheet" Target="/xl/worksheets/sheet28.xml" Id="Rc18dd1ab394048e1" /><Relationship Type="http://schemas.openxmlformats.org/officeDocument/2006/relationships/worksheet" Target="/xl/worksheets/sheet29.xml" Id="R754d25112d3444fd" /><Relationship Type="http://schemas.openxmlformats.org/officeDocument/2006/relationships/worksheet" Target="/xl/worksheets/sheet30.xml" Id="R7234098179e246b1" /><Relationship Type="http://schemas.openxmlformats.org/officeDocument/2006/relationships/worksheet" Target="/xl/worksheets/sheet31.xml" Id="R2ba6389563344543" /><Relationship Type="http://schemas.openxmlformats.org/officeDocument/2006/relationships/worksheet" Target="/xl/worksheets/sheet32.xml" Id="R9c697cba851349d0" /><Relationship Type="http://schemas.openxmlformats.org/officeDocument/2006/relationships/worksheet" Target="/xl/worksheets/sheet33.xml" Id="Rff99ec9795b64ee7" /><Relationship Type="http://schemas.openxmlformats.org/officeDocument/2006/relationships/worksheet" Target="/xl/worksheets/sheet34.xml" Id="R81b7659a1b8f4d0b" /><Relationship Type="http://schemas.openxmlformats.org/officeDocument/2006/relationships/worksheet" Target="/xl/worksheets/sheet35.xml" Id="R8dca6847b0a04113" /><Relationship Type="http://schemas.openxmlformats.org/officeDocument/2006/relationships/worksheet" Target="/xl/worksheets/sheet36.xml" Id="Re7784daf58874105" /><Relationship Type="http://schemas.openxmlformats.org/officeDocument/2006/relationships/worksheet" Target="/xl/worksheets/sheet37.xml" Id="R48032e41dbec4462" /><Relationship Type="http://schemas.openxmlformats.org/officeDocument/2006/relationships/worksheet" Target="/xl/worksheets/sheet38.xml" Id="R3a6ec0c5bf1d44b3" /><Relationship Type="http://schemas.openxmlformats.org/officeDocument/2006/relationships/worksheet" Target="/xl/worksheets/sheet39.xml" Id="Rf7641e9e270b424e" /><Relationship Type="http://schemas.openxmlformats.org/officeDocument/2006/relationships/worksheet" Target="/xl/worksheets/sheet40.xml" Id="R67138a870c124143" /><Relationship Type="http://schemas.openxmlformats.org/officeDocument/2006/relationships/worksheet" Target="/xl/worksheets/sheet41.xml" Id="Ra056df1f2a8f49a4" /><Relationship Type="http://schemas.openxmlformats.org/officeDocument/2006/relationships/worksheet" Target="/xl/worksheets/sheet42.xml" Id="R6898dc5ef2df4168" /><Relationship Type="http://schemas.openxmlformats.org/officeDocument/2006/relationships/worksheet" Target="/xl/worksheets/sheet43.xml" Id="R65496a631f1a4567" /><Relationship Type="http://schemas.openxmlformats.org/officeDocument/2006/relationships/worksheet" Target="/xl/worksheets/sheet44.xml" Id="R4378de24e19845ff" /><Relationship Type="http://schemas.openxmlformats.org/officeDocument/2006/relationships/worksheet" Target="/xl/worksheets/sheet45.xml" Id="R2cb8fd23757d42a6" /><Relationship Type="http://schemas.openxmlformats.org/officeDocument/2006/relationships/worksheet" Target="/xl/worksheets/sheet46.xml" Id="R5cfd98898f1a4f97" /><Relationship Type="http://schemas.openxmlformats.org/officeDocument/2006/relationships/worksheet" Target="/xl/worksheets/sheet47.xml" Id="R7bef14687538452c" /><Relationship Type="http://schemas.openxmlformats.org/officeDocument/2006/relationships/worksheet" Target="/xl/worksheets/sheet48.xml" Id="R3bc03ae8c9cf41b2" /><Relationship Type="http://schemas.openxmlformats.org/officeDocument/2006/relationships/worksheet" Target="/xl/worksheets/sheet49.xml" Id="R52cc5a2b01bb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104" hidden="0" customWidth="1"/>
    <x:col min="4" max="4" width="4" hidden="0" customWidth="1"/>
    <x:col min="5" max="5" width="34" hidden="0" customWidth="1"/>
    <x:col min="6" max="6" width="20" hidden="0" customWidth="1"/>
    <x:col min="7" max="7" width="34" hidden="0" customWidth="1"/>
    <x:col min="8" max="8" width="20" hidden="0" customWidth="1"/>
  </x:cols>
  <x:sheetData>
    <x:row r="2">
      <x:c r="B2" s="23" t="str">
        <x:v>RAZ-1 QE-01 class execution and transfer qualification constitution</x:v>
      </x:c>
      <x:c r="C2" s="24"/>
      <x:c r="D2" s="24"/>
      <x:c r="E2" s="24"/>
      <x:c r="F2" s="24"/>
      <x:c r="G2" s="24"/>
      <x:c r="H2" s="24"/>
    </x:row>
    <x:row r="3">
      <x:c r="B3" s="25" t="str">
        <x:v>One RAY seed generates a balanced twenty-four-cell class. Every event consumes readiness and every reuse requires a new baseline.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Decision field</x:v>
      </x:c>
      <x:c r="C6" s="6" t="str">
        <x:v>RAZ-1 position</x:v>
      </x:c>
      <x:c r="D6" s="24" t="str"/>
      <x:c r="E6" s="6" t="str">
        <x:v>NUMERIC ANCHORS</x:v>
      </x:c>
      <x:c r="F6" s="6" t="str"/>
      <x:c r="G6" s="6" t="str"/>
      <x:c r="H6" s="6" t="str"/>
    </x:row>
    <x:row r="7">
      <x:c r="B7" s="24" t="str">
        <x:v>Object</x:v>
      </x:c>
      <x:c r="C7" s="24" t="str">
        <x:v>Complete QE-01 null-event class and transfer qualification</x:v>
      </x:c>
      <x:c r="D7" s="24" t="str"/>
      <x:c r="E7" s="26" t="str">
        <x:v>Required cells</x:v>
      </x:c>
      <x:c r="F7" s="26" t="n">
        <x:v>24</x:v>
      </x:c>
      <x:c r="G7" s="26" t="str">
        <x:v>Attempt capacity</x:v>
      </x:c>
      <x:c r="H7" s="26" t="n">
        <x:v>30</x:v>
      </x:c>
    </x:row>
    <x:row r="8">
      <x:c r="B8" s="24" t="str">
        <x:v>Schedule</x:v>
      </x:c>
      <x:c r="C8" s="24" t="str">
        <x:v>Four transformed waves preserve method, root, position and carryover balance</x:v>
      </x:c>
      <x:c r="D8" s="24" t="str"/>
      <x:c r="E8" s="26" t="str">
        <x:v>Events per wave</x:v>
      </x:c>
      <x:c r="F8" s="26" t="n">
        <x:v>6</x:v>
      </x:c>
      <x:c r="G8" s="26" t="str">
        <x:v>Transitions</x:v>
      </x:c>
      <x:c r="H8" s="26" t="n">
        <x:v>18</x:v>
      </x:c>
    </x:row>
    <x:row r="9">
      <x:c r="B9" s="24" t="str">
        <x:v>Replacement</x:v>
      </x:c>
      <x:c r="C9" s="24" t="str">
        <x:v>Six dormant tokens may replace only invalid attempts in the same cell</x:v>
      </x:c>
      <x:c r="D9" s="24" t="str"/>
      <x:c r="E9" s="26" t="str">
        <x:v>Reserve tokens</x:v>
      </x:c>
      <x:c r="F9" s="26" t="n">
        <x:v>6</x:v>
      </x:c>
      <x:c r="G9" s="26" t="str">
        <x:v>P90 completion</x:v>
      </x:c>
      <x:c r="H9" s="27" t="n">
        <x:v>0.9393926331</x:v>
      </x:c>
    </x:row>
    <x:row r="10">
      <x:c r="B10" s="24" t="str">
        <x:v>Evidence</x:v>
      </x:c>
      <x:c r="C10" s="24" t="str">
        <x:v>Every active event binds twenty-four RAY gates and twenty-four outside replay decisions</x:v>
      </x:c>
      <x:c r="D10" s="24" t="str"/>
      <x:c r="E10" s="26" t="str">
        <x:v>Primary event gates</x:v>
      </x:c>
      <x:c r="F10" s="26" t="n">
        <x:v>576</x:v>
      </x:c>
      <x:c r="G10" s="26" t="str">
        <x:v>Primary replays</x:v>
      </x:c>
      <x:c r="H10" s="26" t="n">
        <x:v>576</x:v>
      </x:c>
    </x:row>
    <x:row r="11">
      <x:c r="B11" s="24" t="str">
        <x:v>Transfer</x:v>
      </x:c>
      <x:c r="C11" s="24" t="str">
        <x:v>Twelve root and twelve method contrasts precede rig, treatment and campus decisions</x:v>
      </x:c>
      <x:c r="D11" s="24" t="str"/>
      <x:c r="E11" s="26" t="str">
        <x:v>Root contrasts</x:v>
      </x:c>
      <x:c r="F11" s="26" t="n">
        <x:v>12</x:v>
      </x:c>
      <x:c r="G11" s="26" t="str">
        <x:v>Method contrasts</x:v>
      </x:c>
      <x:c r="H11" s="26" t="n">
        <x:v>12</x:v>
      </x:c>
    </x:row>
    <x:row r="12">
      <x:c r="B12" s="24" t="str">
        <x:v>Reuse</x:v>
      </x:c>
      <x:c r="C12" s="24" t="str">
        <x:v>Day-seven disposition plus a new ninety-six-hour freeze creates a 264-hour minimum separation</x:v>
      </x:c>
      <x:c r="D12" s="24" t="str"/>
      <x:c r="E12" s="26" t="str">
        <x:v>Pair cycles</x:v>
      </x:c>
      <x:c r="F12" s="26" t="n">
        <x:v>24</x:v>
      </x:c>
      <x:c r="G12" s="26" t="str">
        <x:v>Crew rotations</x:v>
      </x:c>
      <x:c r="H12" s="26" t="n">
        <x:v>24</x:v>
      </x:c>
    </x:row>
    <x:row r="13">
      <x:c r="B13" s="24" t="str">
        <x:v>Storage</x:v>
      </x:c>
      <x:c r="C13" s="24" t="str">
        <x:v>Required evidence is 3.671 TB; thirty-attempt planning allocation is 4.589 TB</x:v>
      </x:c>
      <x:c r="D13" s="24" t="str"/>
      <x:c r="E13" s="26" t="str">
        <x:v>Required evidence GB</x:v>
      </x:c>
      <x:c r="F13" s="26" t="n">
        <x:v>3670.9608</x:v>
      </x:c>
      <x:c r="G13" s="26" t="str">
        <x:v>Planning evidence GB</x:v>
      </x:c>
      <x:c r="H13" s="26" t="n">
        <x:v>4588.701</x:v>
      </x:c>
    </x:row>
    <x:row r="14">
      <x:c r="B14" s="24" t="str">
        <x:v>Calendar</x:v>
      </x:c>
      <x:c r="C14" s="24" t="str">
        <x:v>Sequential chain is ninety months; release-aware chain closes at month sixty-six</x:v>
      </x:c>
      <x:c r="D14" s="24" t="str"/>
      <x:c r="E14" s="26" t="str">
        <x:v>RAZ duration months</x:v>
      </x:c>
      <x:c r="F14" s="26" t="n">
        <x:v>8</x:v>
      </x:c>
      <x:c r="G14" s="26" t="str">
        <x:v>Calendar saved months</x:v>
      </x:c>
      <x:c r="H14" s="26" t="n">
        <x:v>24</x:v>
      </x:c>
    </x:row>
    <x:row r="15">
      <x:c r="B15" s="24" t="str">
        <x:v>Finance</x:v>
      </x:c>
      <x:c r="C15" s="24" t="str">
        <x:v>The class completes the RAE-1 capital, annual-support and technology allocations</x:v>
      </x:c>
      <x:c r="D15" s="24" t="str"/>
      <x:c r="E15" s="26" t="str">
        <x:v>Capital USD M</x:v>
      </x:c>
      <x:c r="F15" s="26" t="n">
        <x:v>16</x:v>
      </x:c>
      <x:c r="G15" s="26" t="str">
        <x:v>Annual USD M</x:v>
      </x:c>
      <x:c r="H15" s="26" t="n">
        <x:v>6</x:v>
      </x:c>
    </x:row>
    <x:row r="16">
      <x:c r="B16" s="24" t="str">
        <x:v>Authority ceiling</x:v>
      </x:c>
      <x:c r="C16" s="24" t="str">
        <x:v>QE-01 transfer only; QE-02 issue, source, candidate, production and exterior form remain blocked</x:v>
      </x:c>
      <x:c r="D16" s="24" t="str"/>
      <x:c r="E16" s="26" t="str">
        <x:v>Stage exposure USD M</x:v>
      </x:c>
      <x:c r="F16" s="26" t="n">
        <x:v>20</x:v>
      </x:c>
      <x:c r="G16" s="26" t="str">
        <x:v>Technology USD M</x:v>
      </x:c>
      <x:c r="H16" s="26" t="n">
        <x:v>36</x:v>
      </x:c>
    </x:row>
    <x:row r="17">
      <x:c r="B17" s="24" t="str">
        <x:v>Next object</x:v>
      </x:c>
      <x:c r="C17" s="24" t="str">
        <x:v>Constitute the first 100 kg QE-02 source lot, issue, safety case and event</x:v>
      </x:c>
      <x:c r="D17" s="24" t="str"/>
      <x:c r="E17" s="26" t="str">
        <x:v>Class release gates</x:v>
      </x:c>
      <x:c r="F17" s="26" t="n">
        <x:v>32</x:v>
      </x:c>
      <x:c r="G17" s="26" t="str">
        <x:v>Parent capital remainder</x:v>
      </x:c>
      <x:c r="H17" s="26" t="n">
        <x:v>0</x:v>
      </x:c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8" hidden="0" customWidth="1"/>
    <x:col min="4" max="4" width="21" hidden="0" customWidth="1"/>
    <x:col min="5" max="5" width="26" hidden="0" customWidth="1"/>
    <x:col min="6" max="6" width="20" hidden="0" customWidth="1"/>
    <x:col min="7" max="7" width="22" hidden="0" customWidth="1"/>
  </x:cols>
  <x:sheetData>
    <x:row r="2">
      <x:c r="B2" s="23" t="str">
        <x:v>RAZ-1 controls</x:v>
      </x:c>
      <x:c r="C2" s="24"/>
      <x:c r="D2" s="24"/>
      <x:c r="E2" s="24"/>
      <x:c r="F2" s="24"/>
      <x:c r="G2" s="24"/>
    </x:row>
    <x:row r="3">
      <x:c r="B3" s="25" t="str">
        <x:v>Amber values are inherited limits, design allocations or physical inputs. No class result exists until the accountable boards accept the physical record.</x:v>
      </x:c>
      <x:c r="C3" s="24"/>
      <x:c r="D3" s="24"/>
      <x:c r="E3" s="24"/>
      <x:c r="F3" s="24"/>
      <x:c r="G3" s="24"/>
    </x:row>
    <x:row r="4">
      <x:c r="B4" s="24"/>
      <x:c r="C4" s="24"/>
      <x:c r="D4" s="24"/>
      <x:c r="E4" s="24"/>
      <x:c r="F4" s="24"/>
      <x:c r="G4" s="24"/>
    </x:row>
    <x:row r="5">
      <x:c r="B5" s="24"/>
      <x:c r="C5" s="24"/>
      <x:c r="D5" s="24"/>
      <x:c r="E5" s="24"/>
      <x:c r="F5" s="24"/>
      <x:c r="G5" s="24"/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28" t="str">
        <x:v>C01</x:v>
      </x:c>
      <x:c r="C7" s="28" t="str">
        <x:v>required QE-01 cells</x:v>
      </x:c>
      <x:c r="D7" s="29" t="n">
        <x:v>24</x:v>
      </x:c>
      <x:c r="E7" s="28" t="str">
        <x:v>cells</x:v>
      </x:c>
      <x:c r="F7" s="28" t="str">
        <x:v>derived</x:v>
      </x:c>
      <x:c r="G7" s="28" t="str">
        <x:v>RAZ-1</x:v>
      </x:c>
    </x:row>
    <x:row r="8">
      <x:c r="B8" s="28" t="str">
        <x:v>C02</x:v>
      </x:c>
      <x:c r="C8" s="28" t="str">
        <x:v>public rigs</x:v>
      </x:c>
      <x:c r="D8" s="29" t="n">
        <x:v>6</x:v>
      </x:c>
      <x:c r="E8" s="28" t="str">
        <x:v>rigs</x:v>
      </x:c>
      <x:c r="F8" s="28" t="str">
        <x:v>inherited</x:v>
      </x:c>
      <x:c r="G8" s="28" t="str">
        <x:v>RFP-1</x:v>
      </x:c>
    </x:row>
    <x:row r="9">
      <x:c r="B9" s="28" t="str">
        <x:v>C03</x:v>
      </x:c>
      <x:c r="C9" s="28" t="str">
        <x:v>methods</x:v>
      </x:c>
      <x:c r="D9" s="29" t="n">
        <x:v>2</x:v>
      </x:c>
      <x:c r="E9" s="28" t="str">
        <x:v>methods</x:v>
      </x:c>
      <x:c r="F9" s="28" t="str">
        <x:v>inherited</x:v>
      </x:c>
      <x:c r="G9" s="28" t="str">
        <x:v>RAE-1</x:v>
      </x:c>
    </x:row>
    <x:row r="10">
      <x:c r="B10" s="28" t="str">
        <x:v>C04</x:v>
      </x:c>
      <x:c r="C10" s="28" t="str">
        <x:v>truth roots</x:v>
      </x:c>
      <x:c r="D10" s="29" t="n">
        <x:v>2</x:v>
      </x:c>
      <x:c r="E10" s="28" t="str">
        <x:v>roots</x:v>
      </x:c>
      <x:c r="F10" s="28" t="str">
        <x:v>inherited</x:v>
      </x:c>
      <x:c r="G10" s="28" t="str">
        <x:v>RAE-1</x:v>
      </x:c>
    </x:row>
    <x:row r="11">
      <x:c r="B11" s="28" t="str">
        <x:v>C05</x:v>
      </x:c>
      <x:c r="C11" s="28" t="str">
        <x:v>treatments</x:v>
      </x:c>
      <x:c r="D11" s="29" t="n">
        <x:v>4</x:v>
      </x:c>
      <x:c r="E11" s="28" t="str">
        <x:v>method-root combinations</x:v>
      </x:c>
      <x:c r="F11" s="28" t="str">
        <x:v>derived</x:v>
      </x:c>
      <x:c r="G11" s="28" t="str">
        <x:v>RAZ-1</x:v>
      </x:c>
    </x:row>
    <x:row r="12">
      <x:c r="B12" s="28" t="str">
        <x:v>C06</x:v>
      </x:c>
      <x:c r="C12" s="28" t="str">
        <x:v>class waves</x:v>
      </x:c>
      <x:c r="D12" s="29" t="n">
        <x:v>4</x:v>
      </x:c>
      <x:c r="E12" s="28" t="str">
        <x:v>waves</x:v>
      </x:c>
      <x:c r="F12" s="28" t="str">
        <x:v>design</x:v>
      </x:c>
      <x:c r="G12" s="28" t="str">
        <x:v>RAZ-1</x:v>
      </x:c>
    </x:row>
    <x:row r="13">
      <x:c r="B13" s="28" t="str">
        <x:v>C07</x:v>
      </x:c>
      <x:c r="C13" s="28" t="str">
        <x:v>events per wave</x:v>
      </x:c>
      <x:c r="D13" s="29" t="n">
        <x:v>6</x:v>
      </x:c>
      <x:c r="E13" s="28" t="str">
        <x:v>events</x:v>
      </x:c>
      <x:c r="F13" s="28" t="str">
        <x:v>derived</x:v>
      </x:c>
      <x:c r="G13" s="28" t="str">
        <x:v>RAZ-1</x:v>
      </x:c>
    </x:row>
    <x:row r="14">
      <x:c r="B14" s="28" t="str">
        <x:v>C08</x:v>
      </x:c>
      <x:c r="C14" s="28" t="str">
        <x:v>events per rig</x:v>
      </x:c>
      <x:c r="D14" s="29" t="n">
        <x:v>4</x:v>
      </x:c>
      <x:c r="E14" s="28" t="str">
        <x:v>events</x:v>
      </x:c>
      <x:c r="F14" s="28" t="str">
        <x:v>derived</x:v>
      </x:c>
      <x:c r="G14" s="28" t="str">
        <x:v>RAZ-1</x:v>
      </x:c>
    </x:row>
    <x:row r="15">
      <x:c r="B15" s="28" t="str">
        <x:v>C09</x:v>
      </x:c>
      <x:c r="C15" s="28" t="str">
        <x:v>credits per treatment</x:v>
      </x:c>
      <x:c r="D15" s="29" t="n">
        <x:v>6</x:v>
      </x:c>
      <x:c r="E15" s="28" t="str">
        <x:v>credits</x:v>
      </x:c>
      <x:c r="F15" s="28" t="str">
        <x:v>derived</x:v>
      </x:c>
      <x:c r="G15" s="28" t="str">
        <x:v>RAZ-1</x:v>
      </x:c>
    </x:row>
    <x:row r="16">
      <x:c r="B16" s="28" t="str">
        <x:v>C10</x:v>
      </x:c>
      <x:c r="C16" s="28" t="str">
        <x:v>required valid credits</x:v>
      </x:c>
      <x:c r="D16" s="29" t="n">
        <x:v>24</x:v>
      </x:c>
      <x:c r="E16" s="28" t="str">
        <x:v>credits</x:v>
      </x:c>
      <x:c r="F16" s="28" t="str">
        <x:v>design</x:v>
      </x:c>
      <x:c r="G16" s="28" t="str">
        <x:v>RAZ-1</x:v>
      </x:c>
    </x:row>
    <x:row r="17">
      <x:c r="B17" s="28" t="str">
        <x:v>C11</x:v>
      </x:c>
      <x:c r="C17" s="28" t="str">
        <x:v>reserve event tokens</x:v>
      </x:c>
      <x:c r="D17" s="29" t="n">
        <x:v>6</x:v>
      </x:c>
      <x:c r="E17" s="28" t="str">
        <x:v>tokens</x:v>
      </x:c>
      <x:c r="F17" s="28" t="str">
        <x:v>design</x:v>
      </x:c>
      <x:c r="G17" s="28" t="str">
        <x:v>RAZ-1</x:v>
      </x:c>
    </x:row>
    <x:row r="18">
      <x:c r="B18" s="28" t="str">
        <x:v>C12</x:v>
      </x:c>
      <x:c r="C18" s="28" t="str">
        <x:v>attempt capacity</x:v>
      </x:c>
      <x:c r="D18" s="30" t="n">
        <x:f>'Controls'!$D$16+'Controls'!$D$17</x:f>
        <x:v>30</x:v>
      </x:c>
      <x:c r="E18" s="28" t="str">
        <x:v>attempts</x:v>
      </x:c>
      <x:c r="F18" s="28" t="str">
        <x:v>derived</x:v>
      </x:c>
      <x:c r="G18" s="28" t="str">
        <x:v>RAZ-1</x:v>
      </x:c>
    </x:row>
    <x:row r="19">
      <x:c r="B19" s="28" t="str">
        <x:v>C13</x:v>
      </x:c>
      <x:c r="C19" s="28" t="str">
        <x:v>RAY packet gates per attempt</x:v>
      </x:c>
      <x:c r="D19" s="29" t="n">
        <x:v>24</x:v>
      </x:c>
      <x:c r="E19" s="28" t="str">
        <x:v>gates</x:v>
      </x:c>
      <x:c r="F19" s="28" t="str">
        <x:v>inherited</x:v>
      </x:c>
      <x:c r="G19" s="28" t="str">
        <x:v>RAY-1</x:v>
      </x:c>
    </x:row>
    <x:row r="20">
      <x:c r="B20" s="28" t="str">
        <x:v>C14</x:v>
      </x:c>
      <x:c r="C20" s="28" t="str">
        <x:v>event packet gate capacity</x:v>
      </x:c>
      <x:c r="D20" s="30" t="n">
        <x:f>'Controls'!$D$18*'Controls'!$D$19</x:f>
        <x:v>720</x:v>
      </x:c>
      <x:c r="E20" s="28" t="str">
        <x:v>records</x:v>
      </x:c>
      <x:c r="F20" s="28" t="str">
        <x:v>derived</x:v>
      </x:c>
      <x:c r="G20" s="28" t="str">
        <x:v>RAZ-1</x:v>
      </x:c>
    </x:row>
    <x:row r="21">
      <x:c r="B21" s="28" t="str">
        <x:v>C15</x:v>
      </x:c>
      <x:c r="C21" s="28" t="str">
        <x:v>replay packet classes</x:v>
      </x:c>
      <x:c r="D21" s="29" t="n">
        <x:v>12</x:v>
      </x:c>
      <x:c r="E21" s="28" t="str">
        <x:v>classes/attempt</x:v>
      </x:c>
      <x:c r="F21" s="28" t="str">
        <x:v>inherited</x:v>
      </x:c>
      <x:c r="G21" s="28" t="str">
        <x:v>RAY-1</x:v>
      </x:c>
    </x:row>
    <x:row r="22">
      <x:c r="B22" s="28" t="str">
        <x:v>C16</x:v>
      </x:c>
      <x:c r="C22" s="28" t="str">
        <x:v>outside replay destinations</x:v>
      </x:c>
      <x:c r="D22" s="29" t="n">
        <x:v>2</x:v>
      </x:c>
      <x:c r="E22" s="28" t="str">
        <x:v>destinations</x:v>
      </x:c>
      <x:c r="F22" s="28" t="str">
        <x:v>design</x:v>
      </x:c>
      <x:c r="G22" s="28" t="str">
        <x:v>RAZ-1</x:v>
      </x:c>
    </x:row>
    <x:row r="23">
      <x:c r="B23" s="28" t="str">
        <x:v>C17</x:v>
      </x:c>
      <x:c r="C23" s="28" t="str">
        <x:v>replay decision capacity</x:v>
      </x:c>
      <x:c r="D23" s="30" t="n">
        <x:f>'Controls'!$D$18*'Controls'!$D$21*'Controls'!$D$22</x:f>
        <x:v>720</x:v>
      </x:c>
      <x:c r="E23" s="28" t="str">
        <x:v>records</x:v>
      </x:c>
      <x:c r="F23" s="28" t="str">
        <x:v>derived</x:v>
      </x:c>
      <x:c r="G23" s="28" t="str">
        <x:v>RAZ-1</x:v>
      </x:c>
    </x:row>
    <x:row r="24">
      <x:c r="B24" s="28" t="str">
        <x:v>C18</x:v>
      </x:c>
      <x:c r="C24" s="28" t="str">
        <x:v>primary replay decisions</x:v>
      </x:c>
      <x:c r="D24" s="30" t="n">
        <x:f>'Controls'!$D$16*'Controls'!$D$21*'Controls'!$D$22</x:f>
        <x:v>576</x:v>
      </x:c>
      <x:c r="E24" s="28" t="str">
        <x:v>records</x:v>
      </x:c>
      <x:c r="F24" s="28" t="str">
        <x:v>derived</x:v>
      </x:c>
      <x:c r="G24" s="28" t="str">
        <x:v>RAZ-1</x:v>
      </x:c>
    </x:row>
    <x:row r="25">
      <x:c r="B25" s="28" t="str">
        <x:v>C19</x:v>
      </x:c>
      <x:c r="C25" s="28" t="str">
        <x:v>article-rig transitions</x:v>
      </x:c>
      <x:c r="D25" s="30" t="n">
        <x:f>'Controls'!$D$8*('Controls'!$D$12-1)</x:f>
        <x:v>18</x:v>
      </x:c>
      <x:c r="E25" s="28" t="str">
        <x:v>transitions</x:v>
      </x:c>
      <x:c r="F25" s="28" t="str">
        <x:v>derived</x:v>
      </x:c>
      <x:c r="G25" s="28" t="str">
        <x:v>RAZ-1</x:v>
      </x:c>
    </x:row>
    <x:row r="26">
      <x:c r="B26" s="28" t="str">
        <x:v>C20</x:v>
      </x:c>
      <x:c r="C26" s="28" t="str">
        <x:v>minimum T0 separation</x:v>
      </x:c>
      <x:c r="D26" s="29" t="n">
        <x:v>264</x:v>
      </x:c>
      <x:c r="E26" s="28" t="str">
        <x:v>hours</x:v>
      </x:c>
      <x:c r="F26" s="28" t="str">
        <x:v>design</x:v>
      </x:c>
      <x:c r="G26" s="28" t="str">
        <x:v>RAZ-1</x:v>
      </x:c>
    </x:row>
    <x:row r="27">
      <x:c r="B27" s="28" t="str">
        <x:v>C21</x:v>
      </x:c>
      <x:c r="C27" s="28" t="str">
        <x:v>position imbalance ceiling</x:v>
      </x:c>
      <x:c r="D27" s="29" t="n">
        <x:v>1</x:v>
      </x:c>
      <x:c r="E27" s="28" t="str">
        <x:v>count</x:v>
      </x:c>
      <x:c r="F27" s="28" t="str">
        <x:v>design</x:v>
      </x:c>
      <x:c r="G27" s="28" t="str">
        <x:v>RAZ-1</x:v>
      </x:c>
    </x:row>
    <x:row r="28">
      <x:c r="B28" s="28" t="str">
        <x:v>C22</x:v>
      </x:c>
      <x:c r="C28" s="28" t="str">
        <x:v>directed carryover minimum</x:v>
      </x:c>
      <x:c r="D28" s="29" t="n">
        <x:v>1</x:v>
      </x:c>
      <x:c r="E28" s="28" t="str">
        <x:v>observations</x:v>
      </x:c>
      <x:c r="F28" s="28" t="str">
        <x:v>design</x:v>
      </x:c>
      <x:c r="G28" s="28" t="str">
        <x:v>RAZ-1</x:v>
      </x:c>
    </x:row>
    <x:row r="29">
      <x:c r="B29" s="28" t="str">
        <x:v>C23</x:v>
      </x:c>
      <x:c r="C29" s="28" t="str">
        <x:v>directed carryover maximum</x:v>
      </x:c>
      <x:c r="D29" s="29" t="n">
        <x:v>2</x:v>
      </x:c>
      <x:c r="E29" s="28" t="str">
        <x:v>observations</x:v>
      </x:c>
      <x:c r="F29" s="28" t="str">
        <x:v>design</x:v>
      </x:c>
      <x:c r="G29" s="28" t="str">
        <x:v>RAZ-1</x:v>
      </x:c>
    </x:row>
    <x:row r="30">
      <x:c r="B30" s="28" t="str">
        <x:v>C24</x:v>
      </x:c>
      <x:c r="C30" s="28" t="str">
        <x:v>root contrasts</x:v>
      </x:c>
      <x:c r="D30" s="30" t="n">
        <x:f>'Controls'!$D$8*'Controls'!$D$9</x:f>
        <x:v>12</x:v>
      </x:c>
      <x:c r="E30" s="28" t="str">
        <x:v>contrasts</x:v>
      </x:c>
      <x:c r="F30" s="28" t="str">
        <x:v>derived</x:v>
      </x:c>
      <x:c r="G30" s="28" t="str">
        <x:v>RAZ-1</x:v>
      </x:c>
    </x:row>
    <x:row r="31">
      <x:c r="B31" s="28" t="str">
        <x:v>C25</x:v>
      </x:c>
      <x:c r="C31" s="28" t="str">
        <x:v>method contrasts</x:v>
      </x:c>
      <x:c r="D31" s="30" t="n">
        <x:f>'Controls'!$D$8*'Controls'!$D$10</x:f>
        <x:v>12</x:v>
      </x:c>
      <x:c r="E31" s="28" t="str">
        <x:v>contrasts</x:v>
      </x:c>
      <x:c r="F31" s="28" t="str">
        <x:v>derived</x:v>
      </x:c>
      <x:c r="G31" s="28" t="str">
        <x:v>RAZ-1</x:v>
      </x:c>
    </x:row>
    <x:row r="32">
      <x:c r="B32" s="28" t="str">
        <x:v>C26</x:v>
      </x:c>
      <x:c r="C32" s="28" t="str">
        <x:v>source contrast margin</x:v>
      </x:c>
      <x:c r="D32" s="29" t="n">
        <x:v>0.05</x:v>
      </x:c>
      <x:c r="E32" s="28" t="str">
        <x:v>kg</x:v>
      </x:c>
      <x:c r="F32" s="28" t="str">
        <x:v>design</x:v>
      </x:c>
      <x:c r="G32" s="28" t="str">
        <x:v>RAZ-1</x:v>
      </x:c>
    </x:row>
    <x:row r="33">
      <x:c r="B33" s="28" t="str">
        <x:v>C27</x:v>
      </x:c>
      <x:c r="C33" s="28" t="str">
        <x:v>water contrast margin</x:v>
      </x:c>
      <x:c r="D33" s="29" t="n">
        <x:v>0.0125</x:v>
      </x:c>
      <x:c r="E33" s="28" t="str">
        <x:v>m3</x:v>
      </x:c>
      <x:c r="F33" s="28" t="str">
        <x:v>design</x:v>
      </x:c>
      <x:c r="G33" s="28" t="str">
        <x:v>RAZ-1</x:v>
      </x:c>
    </x:row>
    <x:row r="34">
      <x:c r="B34" s="28" t="str">
        <x:v>C28</x:v>
      </x:c>
      <x:c r="C34" s="28" t="str">
        <x:v>rig decisions</x:v>
      </x:c>
      <x:c r="D34" s="30" t="n">
        <x:f>'Controls'!$D$8</x:f>
        <x:v>6</x:v>
      </x:c>
      <x:c r="E34" s="28" t="str">
        <x:v>decisions</x:v>
      </x:c>
      <x:c r="F34" s="28" t="str">
        <x:v>derived</x:v>
      </x:c>
      <x:c r="G34" s="28" t="str">
        <x:v>RAZ-1</x:v>
      </x:c>
    </x:row>
    <x:row r="35">
      <x:c r="B35" s="28" t="str">
        <x:v>C29</x:v>
      </x:c>
      <x:c r="C35" s="28" t="str">
        <x:v>treatment decisions</x:v>
      </x:c>
      <x:c r="D35" s="30" t="n">
        <x:f>'Controls'!$D$11</x:f>
        <x:v>4</x:v>
      </x:c>
      <x:c r="E35" s="28" t="str">
        <x:v>decisions</x:v>
      </x:c>
      <x:c r="F35" s="28" t="str">
        <x:v>derived</x:v>
      </x:c>
      <x:c r="G35" s="28" t="str">
        <x:v>RAZ-1</x:v>
      </x:c>
    </x:row>
    <x:row r="36">
      <x:c r="B36" s="28" t="str">
        <x:v>C30</x:v>
      </x:c>
      <x:c r="C36" s="28" t="str">
        <x:v>campus decisions</x:v>
      </x:c>
      <x:c r="D36" s="30" t="n">
        <x:f>'Controls'!$D$8/2</x:f>
        <x:v>3</x:v>
      </x:c>
      <x:c r="E36" s="28" t="str">
        <x:v>decisions</x:v>
      </x:c>
      <x:c r="F36" s="28" t="str">
        <x:v>derived</x:v>
      </x:c>
      <x:c r="G36" s="28" t="str">
        <x:v>RAZ-1</x:v>
      </x:c>
    </x:row>
    <x:row r="37">
      <x:c r="B37" s="28" t="str">
        <x:v>C31</x:v>
      </x:c>
      <x:c r="C37" s="28" t="str">
        <x:v>class release gates</x:v>
      </x:c>
      <x:c r="D37" s="29" t="n">
        <x:v>32</x:v>
      </x:c>
      <x:c r="E37" s="28" t="str">
        <x:v>gates</x:v>
      </x:c>
      <x:c r="F37" s="28" t="str">
        <x:v>design</x:v>
      </x:c>
      <x:c r="G37" s="28" t="str">
        <x:v>RAZ-1</x:v>
      </x:c>
    </x:row>
    <x:row r="38">
      <x:c r="B38" s="28" t="str">
        <x:v>C32</x:v>
      </x:c>
      <x:c r="C38" s="28" t="str">
        <x:v>event crew positions</x:v>
      </x:c>
      <x:c r="D38" s="29" t="n">
        <x:v>40</x:v>
      </x:c>
      <x:c r="E38" s="28" t="str">
        <x:v>positions/event</x:v>
      </x:c>
      <x:c r="F38" s="28" t="str">
        <x:v>inherited</x:v>
      </x:c>
      <x:c r="G38" s="28" t="str">
        <x:v>RAY-1</x:v>
      </x:c>
    </x:row>
    <x:row r="39">
      <x:c r="B39" s="28" t="str">
        <x:v>C33</x:v>
      </x:c>
      <x:c r="C39" s="28" t="str">
        <x:v>concurrent event seats</x:v>
      </x:c>
      <x:c r="D39" s="30" t="n">
        <x:f>'Controls'!$D$13*'Controls'!$D$38</x:f>
        <x:v>240</x:v>
      </x:c>
      <x:c r="E39" s="28" t="str">
        <x:v>seats/wave</x:v>
      </x:c>
      <x:c r="F39" s="28" t="str">
        <x:v>derived</x:v>
      </x:c>
      <x:c r="G39" s="28" t="str">
        <x:v>RAZ-1</x:v>
      </x:c>
    </x:row>
    <x:row r="40">
      <x:c r="B40" s="28" t="str">
        <x:v>C34</x:v>
      </x:c>
      <x:c r="C40" s="28" t="str">
        <x:v>native event evidence</x:v>
      </x:c>
      <x:c r="D40" s="29" t="n">
        <x:v>117.659</x:v>
      </x:c>
      <x:c r="E40" s="28" t="str">
        <x:v>GB/attempt</x:v>
      </x:c>
      <x:c r="F40" s="28" t="str">
        <x:v>inherited</x:v>
      </x:c>
      <x:c r="G40" s="28" t="str">
        <x:v>RAY-1</x:v>
      </x:c>
    </x:row>
    <x:row r="41">
      <x:c r="B41" s="28" t="str">
        <x:v>C35</x:v>
      </x:c>
      <x:c r="C41" s="28" t="str">
        <x:v>allocated event evidence</x:v>
      </x:c>
      <x:c r="D41" s="29" t="n">
        <x:v>152.9567</x:v>
      </x:c>
      <x:c r="E41" s="28" t="str">
        <x:v>GB/attempt</x:v>
      </x:c>
      <x:c r="F41" s="28" t="str">
        <x:v>inherited</x:v>
      </x:c>
      <x:c r="G41" s="28" t="str">
        <x:v>RAY-1</x:v>
      </x:c>
    </x:row>
    <x:row r="42">
      <x:c r="B42" s="28" t="str">
        <x:v>C36</x:v>
      </x:c>
      <x:c r="C42" s="28" t="str">
        <x:v>required native evidence</x:v>
      </x:c>
      <x:c r="D42" s="30" t="n">
        <x:f>'Controls'!$D$16*'Controls'!$D$40</x:f>
        <x:v>2823.8160000000003</x:v>
      </x:c>
      <x:c r="E42" s="28" t="str">
        <x:v>GB</x:v>
      </x:c>
      <x:c r="F42" s="28" t="str">
        <x:v>derived</x:v>
      </x:c>
      <x:c r="G42" s="28" t="str">
        <x:v>RAZ-1</x:v>
      </x:c>
    </x:row>
    <x:row r="43">
      <x:c r="B43" s="28" t="str">
        <x:v>C37</x:v>
      </x:c>
      <x:c r="C43" s="28" t="str">
        <x:v>required allocated evidence</x:v>
      </x:c>
      <x:c r="D43" s="30" t="n">
        <x:f>'Controls'!$D$16*'Controls'!$D$41</x:f>
        <x:v>3670.9608000000003</x:v>
      </x:c>
      <x:c r="E43" s="28" t="str">
        <x:v>GB</x:v>
      </x:c>
      <x:c r="F43" s="28" t="str">
        <x:v>derived</x:v>
      </x:c>
      <x:c r="G43" s="28" t="str">
        <x:v>RAZ-1</x:v>
      </x:c>
    </x:row>
    <x:row r="44">
      <x:c r="B44" s="28" t="str">
        <x:v>C38</x:v>
      </x:c>
      <x:c r="C44" s="28" t="str">
        <x:v>planning native evidence</x:v>
      </x:c>
      <x:c r="D44" s="30" t="n">
        <x:f>'Controls'!$D$18*'Controls'!$D$40</x:f>
        <x:v>3529.77</x:v>
      </x:c>
      <x:c r="E44" s="28" t="str">
        <x:v>GB</x:v>
      </x:c>
      <x:c r="F44" s="28" t="str">
        <x:v>derived</x:v>
      </x:c>
      <x:c r="G44" s="28" t="str">
        <x:v>RAZ-1</x:v>
      </x:c>
    </x:row>
    <x:row r="45">
      <x:c r="B45" s="28" t="str">
        <x:v>C39</x:v>
      </x:c>
      <x:c r="C45" s="28" t="str">
        <x:v>planning allocated evidence</x:v>
      </x:c>
      <x:c r="D45" s="30" t="n">
        <x:f>'Controls'!$D$18*'Controls'!$D$41</x:f>
        <x:v>4588.701</x:v>
      </x:c>
      <x:c r="E45" s="28" t="str">
        <x:v>GB</x:v>
      </x:c>
      <x:c r="F45" s="28" t="str">
        <x:v>derived</x:v>
      </x:c>
      <x:c r="G45" s="28" t="str">
        <x:v>RAZ-1</x:v>
      </x:c>
    </x:row>
    <x:row r="46">
      <x:c r="B46" s="28" t="str">
        <x:v>C40</x:v>
      </x:c>
      <x:c r="C46" s="28" t="str">
        <x:v>nominal attempt validity</x:v>
      </x:c>
      <x:c r="D46" s="31" t="n">
        <x:v>0.88</x:v>
      </x:c>
      <x:c r="E46" s="28" t="str">
        <x:v>probability</x:v>
      </x:c>
      <x:c r="F46" s="28" t="str">
        <x:v>planning</x:v>
      </x:c>
      <x:c r="G46" s="28" t="str">
        <x:v>RAZ-1</x:v>
      </x:c>
    </x:row>
    <x:row r="47">
      <x:c r="B47" s="28" t="str">
        <x:v>C41</x:v>
      </x:c>
      <x:c r="C47" s="28" t="str">
        <x:v>P90 completion probability</x:v>
      </x:c>
      <x:c r="D47" s="32" t="n">
        <x:f>SUM('Statistical Limits'!H18:H24)</x:f>
        <x:v>0.9393926330682421</x:v>
      </x:c>
      <x:c r="E47" s="28" t="str">
        <x:v>probability</x:v>
      </x:c>
      <x:c r="F47" s="28" t="str">
        <x:v>derived</x:v>
      </x:c>
      <x:c r="G47" s="28" t="str">
        <x:v>RAZ-1</x:v>
      </x:c>
    </x:row>
    <x:row r="48">
      <x:c r="B48" s="28" t="str">
        <x:v>ACLE</x:v>
      </x:c>
      <x:c r="C48" s="28" t="str">
        <x:v>all-credit lower bound</x:v>
      </x:c>
      <x:c r="D48" s="32" t="n">
        <x:f>POWER(0.05,1/'Controls'!$D$16)</x:f>
        <x:v>0.8826538438450513</x:v>
      </x:c>
      <x:c r="E48" s="28" t="str">
        <x:v>one-sided 95%</x:v>
      </x:c>
      <x:c r="F48" s="28" t="str">
        <x:v>derived</x:v>
      </x:c>
      <x:c r="G48" s="28" t="str">
        <x:v>RAZ-1</x:v>
      </x:c>
    </x:row>
    <x:row r="49">
      <x:c r="B49" s="28" t="str">
        <x:v>C43</x:v>
      </x:c>
      <x:c r="C49" s="28" t="str">
        <x:v>RAZ-1 duration</x:v>
      </x:c>
      <x:c r="D49" s="29" t="n">
        <x:v>8</x:v>
      </x:c>
      <x:c r="E49" s="28" t="str">
        <x:v>months</x:v>
      </x:c>
      <x:c r="F49" s="28" t="str">
        <x:v>design</x:v>
      </x:c>
      <x:c r="G49" s="28" t="str">
        <x:v>RAZ-1</x:v>
      </x:c>
    </x:row>
    <x:row r="50">
      <x:c r="B50" s="28" t="str">
        <x:v>C44</x:v>
      </x:c>
      <x:c r="C50" s="28" t="str">
        <x:v>sequential chain duration</x:v>
      </x:c>
      <x:c r="D50" s="30" t="n">
        <x:f>82+'Controls'!$D$49</x:f>
        <x:v>90</x:v>
      </x:c>
      <x:c r="E50" s="28" t="str">
        <x:v>months</x:v>
      </x:c>
      <x:c r="F50" s="28" t="str">
        <x:v>derived</x:v>
      </x:c>
      <x:c r="G50" s="28" t="str">
        <x:v>RAZ-1</x:v>
      </x:c>
    </x:row>
    <x:row r="51">
      <x:c r="B51" s="28" t="str">
        <x:v>C45</x:v>
      </x:c>
      <x:c r="C51" s="28" t="str">
        <x:v>release-aware chain duration</x:v>
      </x:c>
      <x:c r="D51" s="30" t="n">
        <x:f>58+'Controls'!$D$49</x:f>
        <x:v>66</x:v>
      </x:c>
      <x:c r="E51" s="28" t="str">
        <x:v>months</x:v>
      </x:c>
      <x:c r="F51" s="28" t="str">
        <x:v>derived</x:v>
      </x:c>
      <x:c r="G51" s="28" t="str">
        <x:v>RAZ-1</x:v>
      </x:c>
    </x:row>
    <x:row r="52">
      <x:c r="B52" s="28" t="str">
        <x:v>C46</x:v>
      </x:c>
      <x:c r="C52" s="28" t="str">
        <x:v>original RAP-1 duration</x:v>
      </x:c>
      <x:c r="D52" s="29" t="n">
        <x:v>24</x:v>
      </x:c>
      <x:c r="E52" s="28" t="str">
        <x:v>months</x:v>
      </x:c>
      <x:c r="F52" s="28" t="str">
        <x:v>inherited</x:v>
      </x:c>
      <x:c r="G52" s="28" t="str">
        <x:v>RAP-1</x:v>
      </x:c>
    </x:row>
    <x:row r="53">
      <x:c r="B53" s="28" t="str">
        <x:v>C47</x:v>
      </x:c>
      <x:c r="C53" s="28" t="str">
        <x:v>release-aware excess</x:v>
      </x:c>
      <x:c r="D53" s="30" t="n">
        <x:f>'Controls'!$D$51-'Controls'!$D$52</x:f>
        <x:v>42</x:v>
      </x:c>
      <x:c r="E53" s="28" t="str">
        <x:v>months</x:v>
      </x:c>
      <x:c r="F53" s="28" t="str">
        <x:v>derived</x:v>
      </x:c>
      <x:c r="G53" s="28" t="str">
        <x:v>RAZ-1</x:v>
      </x:c>
    </x:row>
    <x:row r="54">
      <x:c r="B54" s="28" t="str">
        <x:v>C48</x:v>
      </x:c>
      <x:c r="C54" s="28" t="str">
        <x:v>RAZ-1 capital</x:v>
      </x:c>
      <x:c r="D54" s="29" t="n">
        <x:v>16</x:v>
      </x:c>
      <x:c r="E54" s="28" t="str">
        <x:v>USD M</x:v>
      </x:c>
      <x:c r="F54" s="28" t="str">
        <x:v>allocation</x:v>
      </x:c>
      <x:c r="G54" s="28" t="str">
        <x:v>RAZ-1</x:v>
      </x:c>
    </x:row>
    <x:row r="55">
      <x:c r="B55" s="28" t="str">
        <x:v>C49</x:v>
      </x:c>
      <x:c r="C55" s="28" t="str">
        <x:v>RAZ-1 annual support</x:v>
      </x:c>
      <x:c r="D55" s="29" t="n">
        <x:v>6</x:v>
      </x:c>
      <x:c r="E55" s="28" t="str">
        <x:v>USD M/year</x:v>
      </x:c>
      <x:c r="F55" s="28" t="str">
        <x:v>allocation</x:v>
      </x:c>
      <x:c r="G55" s="28" t="str">
        <x:v>RAZ-1</x:v>
      </x:c>
    </x:row>
    <x:row r="56">
      <x:c r="B56" s="28" t="str">
        <x:v>C50</x:v>
      </x:c>
      <x:c r="C56" s="28" t="str">
        <x:v>RAZ-1 stage exposure</x:v>
      </x:c>
      <x:c r="D56" s="30" t="n">
        <x:f>'Controls'!$D$54+'Controls'!$D$55*'Controls'!$D$49/12</x:f>
        <x:v>20</x:v>
      </x:c>
      <x:c r="E56" s="28" t="str">
        <x:v>USD M</x:v>
      </x:c>
      <x:c r="F56" s="28" t="str">
        <x:v>derived</x:v>
      </x:c>
      <x:c r="G56" s="28" t="str">
        <x:v>RAZ-1</x:v>
      </x:c>
    </x:row>
    <x:row r="57">
      <x:c r="B57" s="28" t="str">
        <x:v>C51</x:v>
      </x:c>
      <x:c r="C57" s="28" t="str">
        <x:v>RAE-1 capital boundary</x:v>
      </x:c>
      <x:c r="D57" s="29" t="n">
        <x:v>360</x:v>
      </x:c>
      <x:c r="E57" s="28" t="str">
        <x:v>USD M</x:v>
      </x:c>
      <x:c r="F57" s="28" t="str">
        <x:v>inherited</x:v>
      </x:c>
      <x:c r="G57" s="28" t="str">
        <x:v>RAE-1</x:v>
      </x:c>
    </x:row>
    <x:row r="58">
      <x:c r="B58" s="28" t="str">
        <x:v>C52</x:v>
      </x:c>
      <x:c r="C58" s="28" t="str">
        <x:v>prior capital allocation</x:v>
      </x:c>
      <x:c r="D58" s="29" t="n">
        <x:v>344</x:v>
      </x:c>
      <x:c r="E58" s="28" t="str">
        <x:v>USD M</x:v>
      </x:c>
      <x:c r="F58" s="28" t="str">
        <x:v>inherited</x:v>
      </x:c>
      <x:c r="G58" s="28" t="str">
        <x:v>RAY-1</x:v>
      </x:c>
    </x:row>
    <x:row r="59">
      <x:c r="B59" s="28" t="str">
        <x:v>C53</x:v>
      </x:c>
      <x:c r="C59" s="28" t="str">
        <x:v>remaining capital</x:v>
      </x:c>
      <x:c r="D59" s="30" t="n">
        <x:f>'Controls'!$D$57-'Controls'!$D$58-'Controls'!$D$54</x:f>
        <x:v>0</x:v>
      </x:c>
      <x:c r="E59" s="28" t="str">
        <x:v>USD M</x:v>
      </x:c>
      <x:c r="F59" s="28" t="str">
        <x:v>derived</x:v>
      </x:c>
      <x:c r="G59" s="28" t="str">
        <x:v>RAZ-1</x:v>
      </x:c>
    </x:row>
    <x:row r="60">
      <x:c r="B60" s="28" t="str">
        <x:v>C54</x:v>
      </x:c>
      <x:c r="C60" s="28" t="str">
        <x:v>RAE-1 annual boundary</x:v>
      </x:c>
      <x:c r="D60" s="29" t="n">
        <x:v>168</x:v>
      </x:c>
      <x:c r="E60" s="28" t="str">
        <x:v>USD M/year</x:v>
      </x:c>
      <x:c r="F60" s="28" t="str">
        <x:v>inherited</x:v>
      </x:c>
      <x:c r="G60" s="28" t="str">
        <x:v>RAE-1</x:v>
      </x:c>
    </x:row>
    <x:row r="61">
      <x:c r="B61" s="28" t="str">
        <x:v>C55</x:v>
      </x:c>
      <x:c r="C61" s="28" t="str">
        <x:v>prior annual allocation</x:v>
      </x:c>
      <x:c r="D61" s="29" t="n">
        <x:v>162</x:v>
      </x:c>
      <x:c r="E61" s="28" t="str">
        <x:v>USD M/year</x:v>
      </x:c>
      <x:c r="F61" s="28" t="str">
        <x:v>inherited</x:v>
      </x:c>
      <x:c r="G61" s="28" t="str">
        <x:v>RAY-1</x:v>
      </x:c>
    </x:row>
    <x:row r="62">
      <x:c r="B62" s="28" t="str">
        <x:v>C56</x:v>
      </x:c>
      <x:c r="C62" s="28" t="str">
        <x:v>remaining annual support</x:v>
      </x:c>
      <x:c r="D62" s="30" t="n">
        <x:f>'Controls'!$D$60-'Controls'!$D$61-'Controls'!$D$55</x:f>
        <x:v>0</x:v>
      </x:c>
      <x:c r="E62" s="28" t="str">
        <x:v>USD M/year</x:v>
      </x:c>
      <x:c r="F62" s="28" t="str">
        <x:v>derived</x:v>
      </x:c>
      <x:c r="G62" s="28" t="str">
        <x:v>RAZ-1</x:v>
      </x:c>
    </x:row>
    <x:row r="63">
      <x:c r="B63" s="28" t="str">
        <x:v>C57</x:v>
      </x:c>
      <x:c r="C63" s="28" t="str">
        <x:v>RAE-1 technology boundary</x:v>
      </x:c>
      <x:c r="D63" s="29" t="n">
        <x:v>470</x:v>
      </x:c>
      <x:c r="E63" s="28" t="str">
        <x:v>USD M</x:v>
      </x:c>
      <x:c r="F63" s="28" t="str">
        <x:v>inherited</x:v>
      </x:c>
      <x:c r="G63" s="28" t="str">
        <x:v>RAE-1</x:v>
      </x:c>
    </x:row>
    <x:row r="64">
      <x:c r="B64" s="28" t="str">
        <x:v>C58</x:v>
      </x:c>
      <x:c r="C64" s="28" t="str">
        <x:v>prior technology allocation</x:v>
      </x:c>
      <x:c r="D64" s="29" t="n">
        <x:v>434</x:v>
      </x:c>
      <x:c r="E64" s="28" t="str">
        <x:v>USD M</x:v>
      </x:c>
      <x:c r="F64" s="28" t="str">
        <x:v>inherited</x:v>
      </x:c>
      <x:c r="G64" s="28" t="str">
        <x:v>RAY-1</x:v>
      </x:c>
    </x:row>
    <x:row r="65">
      <x:c r="B65" s="28" t="str">
        <x:v>C59</x:v>
      </x:c>
      <x:c r="C65" s="28" t="str">
        <x:v>RAZ-1 technology</x:v>
      </x:c>
      <x:c r="D65" s="29" t="n">
        <x:v>36</x:v>
      </x:c>
      <x:c r="E65" s="28" t="str">
        <x:v>USD M</x:v>
      </x:c>
      <x:c r="F65" s="28" t="str">
        <x:v>cross-classified</x:v>
      </x:c>
      <x:c r="G65" s="28" t="str">
        <x:v>RAZ-1</x:v>
      </x:c>
    </x:row>
    <x:row r="66">
      <x:c r="B66" s="28" t="str">
        <x:v>C60</x:v>
      </x:c>
      <x:c r="C66" s="28" t="str">
        <x:v>remaining technology</x:v>
      </x:c>
      <x:c r="D66" s="30" t="n">
        <x:f>'Controls'!$D$63-'Controls'!$D$64-'Controls'!$D$65</x:f>
        <x:v>0</x:v>
      </x:c>
      <x:c r="E66" s="28" t="str">
        <x:v>USD M</x:v>
      </x:c>
      <x:c r="F66" s="28" t="str">
        <x:v>derived</x:v>
      </x:c>
      <x:c r="G66" s="28" t="str">
        <x:v>RAZ-1</x:v>
      </x:c>
    </x:row>
    <x:row r="67">
      <x:c r="B67" s="28" t="str">
        <x:v>C61</x:v>
      </x:c>
      <x:c r="C67" s="28" t="str">
        <x:v>prior cumulative stage exposure</x:v>
      </x:c>
      <x:c r="D67" s="29" t="n">
        <x:v>588</x:v>
      </x:c>
      <x:c r="E67" s="28" t="str">
        <x:v>USD M</x:v>
      </x:c>
      <x:c r="F67" s="28" t="str">
        <x:v>inherited</x:v>
      </x:c>
      <x:c r="G67" s="28" t="str">
        <x:v>RAY-1</x:v>
      </x:c>
    </x:row>
    <x:row r="68">
      <x:c r="B68" s="28" t="str">
        <x:v>C62</x:v>
      </x:c>
      <x:c r="C68" s="28" t="str">
        <x:v>cumulative stage exposure</x:v>
      </x:c>
      <x:c r="D68" s="30" t="n">
        <x:f>'Controls'!$D$67+'Controls'!$D$56</x:f>
        <x:v>608</x:v>
      </x:c>
      <x:c r="E68" s="28" t="str">
        <x:v>USD M</x:v>
      </x:c>
      <x:c r="F68" s="28" t="str">
        <x:v>derived</x:v>
      </x:c>
      <x:c r="G68" s="28" t="str">
        <x:v>RAZ-1</x:v>
      </x:c>
    </x:row>
    <x:row r="69">
      <x:c r="B69" s="28" t="str">
        <x:v>C63</x:v>
      </x:c>
      <x:c r="C69" s="28" t="str">
        <x:v>RAE-1 original gross reference</x:v>
      </x:c>
      <x:c r="D69" s="29" t="n">
        <x:v>696</x:v>
      </x:c>
      <x:c r="E69" s="28" t="str">
        <x:v>USD M</x:v>
      </x:c>
      <x:c r="F69" s="28" t="str">
        <x:v>inherited</x:v>
      </x:c>
      <x:c r="G69" s="28" t="str">
        <x:v>RAE-1</x:v>
      </x:c>
    </x:row>
    <x:row r="70">
      <x:c r="B70" s="28" t="str">
        <x:v>C64</x:v>
      </x:c>
      <x:c r="C70" s="28" t="str">
        <x:v>unassigned inside gross reference</x:v>
      </x:c>
      <x:c r="D70" s="30" t="n">
        <x:f>'Controls'!$D$69-'Controls'!$D$68</x:f>
        <x:v>88</x:v>
      </x:c>
      <x:c r="E70" s="28" t="str">
        <x:v>USD M</x:v>
      </x:c>
      <x:c r="F70" s="28" t="str">
        <x:v>derived</x:v>
      </x:c>
      <x:c r="G70" s="28" t="str">
        <x:v>RAZ-1</x:v>
      </x:c>
    </x:row>
    <x:row r="71">
      <x:c r="B71" s="28" t="str">
        <x:v>C65</x:v>
      </x:c>
      <x:c r="C71" s="28" t="str">
        <x:v>RAY selected cell index</x:v>
      </x:c>
      <x:c r="D71" s="29" t="str"/>
      <x:c r="E71" s="28" t="str">
        <x:v>integer 1-24</x:v>
      </x:c>
      <x:c r="F71" s="28" t="str">
        <x:v>physical input</x:v>
      </x:c>
      <x:c r="G71" s="28" t="str">
        <x:v>RAY board</x:v>
      </x:c>
    </x:row>
    <x:row r="72">
      <x:c r="B72" s="28" t="str">
        <x:v>C66</x:v>
      </x:c>
      <x:c r="C72" s="28" t="str">
        <x:v>RAY credit packet root</x:v>
      </x:c>
      <x:c r="D72" s="29" t="str"/>
      <x:c r="E72" s="28" t="str">
        <x:v>root</x:v>
      </x:c>
      <x:c r="F72" s="28" t="str">
        <x:v>physical input</x:v>
      </x:c>
      <x:c r="G72" s="28" t="str">
        <x:v>RAY board</x:v>
      </x:c>
    </x:row>
    <x:row r="73">
      <x:c r="B73" s="28" t="str">
        <x:v>C67</x:v>
      </x:c>
      <x:c r="C73" s="28" t="str">
        <x:v>RAY credit state</x:v>
      </x:c>
      <x:c r="D73" s="29" t="str"/>
      <x:c r="E73" s="28" t="str">
        <x:v>PASS</x:v>
      </x:c>
      <x:c r="F73" s="28" t="str">
        <x:v>physical input</x:v>
      </x:c>
      <x:c r="G73" s="28" t="str">
        <x:v>RAY board</x:v>
      </x:c>
    </x:row>
    <x:row r="74">
      <x:c r="B74" s="28" t="str">
        <x:v>C68</x:v>
      </x:c>
      <x:c r="C74" s="28" t="str">
        <x:v>class start date</x:v>
      </x:c>
      <x:c r="D74" s="29" t="str"/>
      <x:c r="E74" s="28" t="str">
        <x:v>Excel date</x:v>
      </x:c>
      <x:c r="F74" s="28" t="str">
        <x:v>physical input</x:v>
      </x:c>
      <x:c r="G74" s="28" t="str">
        <x:v>class board</x:v>
      </x:c>
    </x:row>
    <x:row r="75">
      <x:c r="B75" s="28" t="str">
        <x:v>C69</x:v>
      </x:c>
      <x:c r="C75" s="28" t="str">
        <x:v>class issue authority</x:v>
      </x:c>
      <x:c r="D75" s="29" t="n">
        <x:v>0</x:v>
      </x:c>
      <x:c r="E75" s="28" t="str">
        <x:v>binary</x:v>
      </x:c>
      <x:c r="F75" s="28" t="str">
        <x:v>authority</x:v>
      </x:c>
      <x:c r="G75" s="28" t="str">
        <x:v>class issuer</x:v>
      </x:c>
    </x:row>
    <x:row r="76">
      <x:c r="B76" s="28" t="str">
        <x:v>C70</x:v>
      </x:c>
      <x:c r="C76" s="28" t="str">
        <x:v>replacement-token authority</x:v>
      </x:c>
      <x:c r="D76" s="29" t="n">
        <x:v>0</x:v>
      </x:c>
      <x:c r="E76" s="28" t="str">
        <x:v>binary</x:v>
      </x:c>
      <x:c r="F76" s="28" t="str">
        <x:v>authority</x:v>
      </x:c>
      <x:c r="G76" s="28" t="str">
        <x:v>replacement board</x:v>
      </x:c>
    </x:row>
    <x:row r="77">
      <x:c r="B77" s="28" t="str">
        <x:v>C71</x:v>
      </x:c>
      <x:c r="C77" s="28" t="str">
        <x:v>QE-01 class authority</x:v>
      </x:c>
      <x:c r="D77" s="29" t="n">
        <x:v>0</x:v>
      </x:c>
      <x:c r="E77" s="28" t="str">
        <x:v>binary</x:v>
      </x:c>
      <x:c r="F77" s="28" t="str">
        <x:v>authority</x:v>
      </x:c>
      <x:c r="G77" s="28" t="str">
        <x:v>downstream</x:v>
      </x:c>
    </x:row>
    <x:row r="78">
      <x:c r="B78" s="28" t="str">
        <x:v>C72</x:v>
      </x:c>
      <x:c r="C78" s="28" t="str">
        <x:v>QE-02 issue authority</x:v>
      </x:c>
      <x:c r="D78" s="29" t="n">
        <x:v>0</x:v>
      </x:c>
      <x:c r="E78" s="28" t="str">
        <x:v>binary</x:v>
      </x:c>
      <x:c r="F78" s="28" t="str">
        <x:v>authority</x:v>
      </x:c>
      <x:c r="G78" s="28" t="str">
        <x:v>downstream</x:v>
      </x:c>
    </x:row>
    <x:row r="79">
      <x:c r="B79" s="28" t="str">
        <x:v>C73</x:v>
      </x:c>
      <x:c r="C79" s="28" t="str">
        <x:v>source-entry authority</x:v>
      </x:c>
      <x:c r="D79" s="29" t="n">
        <x:v>0</x:v>
      </x:c>
      <x:c r="E79" s="28" t="str">
        <x:v>binary</x:v>
      </x:c>
      <x:c r="F79" s="28" t="str">
        <x:v>authority</x:v>
      </x:c>
      <x:c r="G79" s="28" t="str">
        <x:v>downstream</x:v>
      </x:c>
    </x:row>
    <x:row r="80">
      <x:c r="B80" s="28" t="str">
        <x:v>C74</x:v>
      </x:c>
      <x:c r="C80" s="28" t="str">
        <x:v>candidate-entry authority</x:v>
      </x:c>
      <x:c r="D80" s="29" t="n">
        <x:v>0</x:v>
      </x:c>
      <x:c r="E80" s="28" t="str">
        <x:v>binary</x:v>
      </x:c>
      <x:c r="F80" s="28" t="str">
        <x:v>authority</x:v>
      </x:c>
      <x:c r="G80" s="28" t="str">
        <x:v>downstream</x:v>
      </x:c>
    </x:row>
    <x:row r="81">
      <x:c r="B81" s="28" t="str">
        <x:v>C75</x:v>
      </x:c>
      <x:c r="C81" s="28" t="str">
        <x:v>series-production authority</x:v>
      </x:c>
      <x:c r="D81" s="29" t="n">
        <x:v>0</x:v>
      </x:c>
      <x:c r="E81" s="28" t="str">
        <x:v>binary</x:v>
      </x:c>
      <x:c r="F81" s="28" t="str">
        <x:v>authority</x:v>
      </x:c>
      <x:c r="G81" s="28" t="str">
        <x:v>downstream</x:v>
      </x:c>
    </x:row>
    <x:row r="82">
      <x:c r="B82" s="28" t="str">
        <x:v>C76</x:v>
      </x:c>
      <x:c r="C82" s="28" t="str">
        <x:v>exterior-rendering authority</x:v>
      </x:c>
      <x:c r="D82" s="29" t="n">
        <x:v>0</x:v>
      </x:c>
      <x:c r="E82" s="28" t="str">
        <x:v>binary</x:v>
      </x:c>
      <x:c r="F82" s="28" t="str">
        <x:v>authority</x:v>
      </x:c>
      <x:c r="G82" s="28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86" hidden="0" customWidth="1"/>
    <x:col min="4" max="4" width="56" hidden="0" customWidth="1"/>
  </x:cols>
  <x:sheetData>
    <x:row r="2">
      <x:c r="B2" s="23" t="str">
        <x:v>Nine class-level research questions</x:v>
      </x:c>
      <x:c r="C2" s="24"/>
      <x:c r="D2" s="24"/>
    </x:row>
    <x:row r="3">
      <x:c r="B3" s="25" t="str">
        <x:v>The unit of evidence is the complete cell, its event packet and the regenerated transition into the next cell.</x:v>
      </x:c>
      <x:c r="C3" s="24"/>
      <x:c r="D3" s="24"/>
    </x:row>
    <x:row r="4">
      <x:c r="B4" s="24"/>
      <x:c r="C4" s="24"/>
      <x:c r="D4" s="24"/>
    </x:row>
    <x:row r="5">
      <x:c r="B5" s="24"/>
      <x:c r="C5" s="24"/>
      <x:c r="D5" s="24"/>
    </x:row>
    <x:row r="6" ht="24" customHeight="1">
      <x:c r="B6" s="6" t="str">
        <x:v>Question</x:v>
      </x:c>
      <x:c r="C6" s="6" t="str">
        <x:v>Problem</x:v>
      </x:c>
      <x:c r="D6" s="6" t="str">
        <x:v>Required answer</x:v>
      </x:c>
    </x:row>
    <x:row r="7" ht="42" customHeight="1">
      <x:c r="B7" s="28" t="str">
        <x:v>RQ-01</x:v>
      </x:c>
      <x:c r="C7" s="33" t="str">
        <x:v>Can one public draw seed a balanced 24-cell class without reopening discretion?</x:v>
      </x:c>
      <x:c r="D7" s="33" t="str">
        <x:v>factor-preserving schedule transform</x:v>
      </x:c>
    </x:row>
    <x:row r="8" ht="42" customHeight="1">
      <x:c r="B8" s="28" t="str">
        <x:v>RQ-02</x:v>
      </x:c>
      <x:c r="C8" s="33" t="str">
        <x:v>Can every rig execute both methods under both truth roots?</x:v>
      </x:c>
      <x:c r="D8" s="33" t="str">
        <x:v>24 unique cell credits</x:v>
      </x:c>
    </x:row>
    <x:row r="9" ht="42" customHeight="1">
      <x:c r="B9" s="28" t="str">
        <x:v>RQ-03</x:v>
      </x:c>
      <x:c r="C9" s="33" t="str">
        <x:v>Can reuse remain causal after each event consumes pair readiness?</x:v>
      </x:c>
      <x:c r="D9" s="33" t="str">
        <x:v>18 accepted transition audits</x:v>
      </x:c>
    </x:row>
    <x:row r="10" ht="42" customHeight="1">
      <x:c r="B10" s="28" t="str">
        <x:v>RQ-04</x:v>
      </x:c>
      <x:c r="C10" s="33" t="str">
        <x:v>Can invalid attempts be replaced without erasing the original denominator?</x:v>
      </x:c>
      <x:c r="D10" s="33" t="str">
        <x:v>six dormant, targeted tokens</x:v>
      </x:c>
    </x:row>
    <x:row r="11" ht="42" customHeight="1">
      <x:c r="B11" s="28" t="str">
        <x:v>RQ-05</x:v>
      </x:c>
      <x:c r="C11" s="33" t="str">
        <x:v>Can evidence be reconstructed outside every origin campus?</x:v>
      </x:c>
      <x:c r="D11" s="33" t="str">
        <x:v>576 required remote decisions</x:v>
      </x:c>
    </x:row>
    <x:row r="12" ht="42" customHeight="1">
      <x:c r="B12" s="28" t="str">
        <x:v>RQ-06</x:v>
      </x:c>
      <x:c r="C12" s="33" t="str">
        <x:v>Can root and method disagreement remain visible before class release?</x:v>
      </x:c>
      <x:c r="D12" s="33" t="str">
        <x:v>24 precommitted contrasts</x:v>
      </x:c>
    </x:row>
    <x:row r="13" ht="42" customHeight="1">
      <x:c r="B13" s="28" t="str">
        <x:v>RQ-07</x:v>
      </x:c>
      <x:c r="C13" s="33" t="str">
        <x:v>What does 24-cell completion establish statistically?</x:v>
      </x:c>
      <x:c r="D13" s="33" t="str">
        <x:v>coverage, not production reliability</x:v>
      </x:c>
    </x:row>
    <x:row r="14" ht="42" customHeight="1">
      <x:c r="B14" s="28" t="str">
        <x:v>RQ-08</x:v>
      </x:c>
      <x:c r="C14" s="33" t="str">
        <x:v>Can the class close inside the remaining RAE-1 allocation?</x:v>
      </x:c>
      <x:c r="D14" s="33" t="str">
        <x:v>capital, support and technology reconciliation</x:v>
      </x:c>
    </x:row>
    <x:row r="15" ht="42" customHeight="1">
      <x:c r="B15" s="28" t="str">
        <x:v>RQ-09</x:v>
      </x:c>
      <x:c r="C15" s="33" t="str">
        <x:v>What remains unavailable after a perfect class?</x:v>
      </x:c>
      <x:c r="D15" s="33" t="str">
        <x:v>source, candidate, production and exterior form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92" hidden="0" customWidth="1"/>
    <x:col min="5" max="5" width="18" hidden="0" customWidth="1"/>
    <x:col min="6" max="6" width="30" hidden="0" customWidth="1"/>
  </x:cols>
  <x:sheetData>
    <x:row r="2">
      <x:c r="B2" s="23" t="str">
        <x:v>Ten bounded RAZ-1 claims</x:v>
      </x:c>
      <x:c r="C2" s="24"/>
      <x:c r="D2" s="24"/>
      <x:c r="E2" s="24"/>
      <x:c r="F2" s="24"/>
    </x:row>
    <x:row r="3">
      <x:c r="B3" s="25" t="str">
        <x:v>Planning closure never substitutes for a physical event, accepted contrast or new source authority.</x:v>
      </x:c>
      <x:c r="C3" s="24"/>
      <x:c r="D3" s="24"/>
      <x:c r="E3" s="24"/>
      <x:c r="F3" s="24"/>
    </x:row>
    <x:row r="4">
      <x:c r="B4" s="24"/>
      <x:c r="C4" s="24"/>
      <x:c r="D4" s="24"/>
      <x:c r="E4" s="24"/>
      <x:c r="F4" s="24"/>
    </x:row>
    <x:row r="5">
      <x:c r="B5" s="24"/>
      <x:c r="C5" s="24"/>
      <x:c r="D5" s="24"/>
      <x:c r="E5" s="24"/>
      <x:c r="F5" s="24"/>
    </x:row>
    <x:row r="6" ht="24" customHeight="1">
      <x:c r="B6" s="6" t="str">
        <x:v>Claim</x:v>
      </x:c>
      <x:c r="C6" s="6" t="str">
        <x:v>Class</x:v>
      </x:c>
      <x:c r="D6" s="6" t="str">
        <x:v>Statement</x:v>
      </x:c>
      <x:c r="E6" s="6" t="str">
        <x:v>Present state</x:v>
      </x:c>
      <x:c r="F6" s="6" t="str">
        <x:v>Evidence needed</x:v>
      </x:c>
    </x:row>
    <x:row r="7" ht="40" customHeight="1">
      <x:c r="B7" s="28" t="str">
        <x:v>CL-01</x:v>
      </x:c>
      <x:c r="C7" s="28" t="str">
        <x:v>schedule</x:v>
      </x:c>
      <x:c r="D7" s="33" t="str">
        <x:v>The transformed schedule covers every rig-method-root cell exactly once.</x:v>
      </x:c>
      <x:c r="E7" s="28" t="str">
        <x:v>planning</x:v>
      </x:c>
      <x:c r="F7" s="28" t="str">
        <x:v>schedule audit</x:v>
      </x:c>
    </x:row>
    <x:row r="8" ht="40" customHeight="1">
      <x:c r="B8" s="28" t="str">
        <x:v>CL-02</x:v>
      </x:c>
      <x:c r="C8" s="28" t="str">
        <x:v>balance</x:v>
      </x:c>
      <x:c r="D8" s="33" t="str">
        <x:v>Every wave has three events per method and three per truth root.</x:v>
      </x:c>
      <x:c r="E8" s="28" t="str">
        <x:v>planning</x:v>
      </x:c>
      <x:c r="F8" s="28" t="str">
        <x:v>balance audit</x:v>
      </x:c>
    </x:row>
    <x:row r="9" ht="40" customHeight="1">
      <x:c r="B9" s="28" t="str">
        <x:v>CL-03</x:v>
      </x:c>
      <x:c r="C9" s="28" t="str">
        <x:v>carryover</x:v>
      </x:c>
      <x:c r="D9" s="33" t="str">
        <x:v>Every ordered treatment pair appears once or twice across eighteen transitions.</x:v>
      </x:c>
      <x:c r="E9" s="28" t="str">
        <x:v>planning</x:v>
      </x:c>
      <x:c r="F9" s="28" t="str">
        <x:v>transition audit</x:v>
      </x:c>
    </x:row>
    <x:row r="10" ht="40" customHeight="1">
      <x:c r="B10" s="28" t="str">
        <x:v>CL-04</x:v>
      </x:c>
      <x:c r="C10" s="28" t="str">
        <x:v>completion</x:v>
      </x:c>
      <x:c r="D10" s="33" t="str">
        <x:v>Twenty-four accepted event packets can complete QE-01 coverage.</x:v>
      </x:c>
      <x:c r="E10" s="28" t="str">
        <x:v>open</x:v>
      </x:c>
      <x:c r="F10" s="28" t="str">
        <x:v>physical events</x:v>
      </x:c>
    </x:row>
    <x:row r="11" ht="40" customHeight="1">
      <x:c r="B11" s="28" t="str">
        <x:v>CL-05</x:v>
      </x:c>
      <x:c r="C11" s="28" t="str">
        <x:v>transfer</x:v>
      </x:c>
      <x:c r="D11" s="33" t="str">
        <x:v>Root and method results agree within registered margins at every rig.</x:v>
      </x:c>
      <x:c r="E11" s="28" t="str">
        <x:v>open</x:v>
      </x:c>
      <x:c r="F11" s="28" t="str">
        <x:v>contrast boards</x:v>
      </x:c>
    </x:row>
    <x:row r="12" ht="40" customHeight="1">
      <x:c r="B12" s="28" t="str">
        <x:v>CL-06</x:v>
      </x:c>
      <x:c r="C12" s="28" t="str">
        <x:v>reentry</x:v>
      </x:c>
      <x:c r="D12" s="33" t="str">
        <x:v>Every pair receives a new baseline before its next event or return.</x:v>
      </x:c>
      <x:c r="E12" s="28" t="str">
        <x:v>open</x:v>
      </x:c>
      <x:c r="F12" s="28" t="str">
        <x:v>pair-cycle evidence</x:v>
      </x:c>
    </x:row>
    <x:row r="13" ht="40" customHeight="1">
      <x:c r="B13" s="28" t="str">
        <x:v>CL-07</x:v>
      </x:c>
      <x:c r="C13" s="28" t="str">
        <x:v>validity</x:v>
      </x:c>
      <x:c r="D13" s="33" t="str">
        <x:v>Replacement preserves the invalid original and the actual denominator.</x:v>
      </x:c>
      <x:c r="E13" s="28" t="str">
        <x:v>open</x:v>
      </x:c>
      <x:c r="F13" s="28" t="str">
        <x:v>token ledger</x:v>
      </x:c>
    </x:row>
    <x:row r="14" ht="40" customHeight="1">
      <x:c r="B14" s="28" t="str">
        <x:v>CL-08</x:v>
      </x:c>
      <x:c r="C14" s="28" t="str">
        <x:v>replay</x:v>
      </x:c>
      <x:c r="D14" s="33" t="str">
        <x:v>Each required event can be reconstructed at two non-origin sites.</x:v>
      </x:c>
      <x:c r="E14" s="28" t="str">
        <x:v>open</x:v>
      </x:c>
      <x:c r="F14" s="28" t="str">
        <x:v>remote replay</x:v>
      </x:c>
    </x:row>
    <x:row r="15" ht="40" customHeight="1">
      <x:c r="B15" s="28" t="str">
        <x:v>CL-09</x:v>
      </x:c>
      <x:c r="C15" s="28" t="str">
        <x:v>finance</x:v>
      </x:c>
      <x:c r="D15" s="33" t="str">
        <x:v>The class uses the remaining parent capital, support and technology allocation.</x:v>
      </x:c>
      <x:c r="E15" s="28" t="str">
        <x:v>planning</x:v>
      </x:c>
      <x:c r="F15" s="28" t="str">
        <x:v>portfolio reconciliation</x:v>
      </x:c>
    </x:row>
    <x:row r="16" ht="40" customHeight="1">
      <x:c r="B16" s="28" t="str">
        <x:v>CL-10</x:v>
      </x:c>
      <x:c r="C16" s="28" t="str">
        <x:v>authority</x:v>
      </x:c>
      <x:c r="D16" s="33" t="str">
        <x:v>Class success permits only the next source-entry constitution.</x:v>
      </x:c>
      <x:c r="E16" s="28" t="str">
        <x:v>blocked</x:v>
      </x:c>
      <x:c r="F16" s="28" t="str">
        <x:v>downstream board</x:v>
      </x:c>
    </x:row>
  </x:sheetData>
  <x:conditionalFormatting sqref="E7:E16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INVALID"/>
    <x:cfRule type="containsText" dxfId="3" priority="4" operator="containsText" text="ADVERSE"/>
    <x:cfRule type="containsText" dxfId="4" priority="5" operator="containsText" text="EXPIRED"/>
    <x:cfRule type="containsText" dxfId="5" priority="6" operator="containsText" text="OPEN"/>
    <x:cfRule type="containsText" dxfId="6" priority="7" operator="containsText" text="DORMANT"/>
    <x:cfRule type="containsText" dxfId="7" priority="8" operator="containsText" text="PASS"/>
    <x:cfRule type="containsText" dxfId="8" priority="9" operator="containsText" text="AVAILABL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82" hidden="0" customWidth="1"/>
    <x:col min="5" max="5" width="62" hidden="0" customWidth="1"/>
  </x:cols>
  <x:sheetData>
    <x:row r="2">
      <x:c r="B2" s="23" t="str">
        <x:v>Ten separated class authorities</x:v>
      </x:c>
      <x:c r="C2" s="24"/>
      <x:c r="D2" s="24"/>
      <x:c r="E2" s="24"/>
    </x:row>
    <x:row r="3">
      <x:c r="B3" s="25" t="str">
        <x:v>Schedule, execution, validity, outcome, replacement, transfer and release remain institutionally distinct.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Authority</x:v>
      </x:c>
      <x:c r="C6" s="6" t="str">
        <x:v>Body</x:v>
      </x:c>
      <x:c r="D6" s="6" t="str">
        <x:v>Duty</x:v>
      </x:c>
      <x:c r="E6" s="6" t="str">
        <x:v>Prohibition</x:v>
      </x:c>
    </x:row>
    <x:row r="7" ht="42" customHeight="1">
      <x:c r="B7" s="28" t="str">
        <x:v>GV-01</x:v>
      </x:c>
      <x:c r="C7" s="28" t="str">
        <x:v>class issuer</x:v>
      </x:c>
      <x:c r="D7" s="33" t="str">
        <x:v>reserves complete waves and may not waive cell coverage</x:v>
      </x:c>
      <x:c r="E7" s="33" t="str">
        <x:v>issues authority only</x:v>
      </x:c>
    </x:row>
    <x:row r="8" ht="42" customHeight="1">
      <x:c r="B8" s="28" t="str">
        <x:v>GV-02</x:v>
      </x:c>
      <x:c r="C8" s="28" t="str">
        <x:v>schedule custodian</x:v>
      </x:c>
      <x:c r="D8" s="33" t="str">
        <x:v>applies the public transform and freezes the resulting sequence</x:v>
      </x:c>
      <x:c r="E8" s="33" t="str">
        <x:v>cannot alter event results</x:v>
      </x:c>
    </x:row>
    <x:row r="9" ht="42" customHeight="1">
      <x:c r="B9" s="28" t="str">
        <x:v>GV-03</x:v>
      </x:c>
      <x:c r="C9" s="28" t="str">
        <x:v>event boards</x:v>
      </x:c>
      <x:c r="D9" s="33" t="str">
        <x:v>apply RAY-1 to each attempt</x:v>
      </x:c>
      <x:c r="E9" s="33" t="str">
        <x:v>cannot grant class credit</x:v>
      </x:c>
    </x:row>
    <x:row r="10" ht="42" customHeight="1">
      <x:c r="B10" s="28" t="str">
        <x:v>GV-04</x:v>
      </x:c>
      <x:c r="C10" s="28" t="str">
        <x:v>validity board</x:v>
      </x:c>
      <x:c r="D10" s="33" t="str">
        <x:v>judges whether each registered event question was observed</x:v>
      </x:c>
      <x:c r="E10" s="33" t="str">
        <x:v>acts before outcome board</x:v>
      </x:c>
    </x:row>
    <x:row r="11" ht="42" customHeight="1">
      <x:c r="B11" s="28" t="str">
        <x:v>GV-05</x:v>
      </x:c>
      <x:c r="C11" s="28" t="str">
        <x:v>outcome board</x:v>
      </x:c>
      <x:c r="D11" s="33" t="str">
        <x:v>classifies valid event behavior</x:v>
      </x:c>
      <x:c r="E11" s="33" t="str">
        <x:v>cannot erase adverse evidence</x:v>
      </x:c>
    </x:row>
    <x:row r="12" ht="42" customHeight="1">
      <x:c r="B12" s="28" t="str">
        <x:v>GV-06</x:v>
      </x:c>
      <x:c r="C12" s="28" t="str">
        <x:v>replacement board</x:v>
      </x:c>
      <x:c r="D12" s="33" t="str">
        <x:v>targets a dormant token to one invalid cell</x:v>
      </x:c>
      <x:c r="E12" s="33" t="str">
        <x:v>cannot replace a valid adverse result</x:v>
      </x:c>
    </x:row>
    <x:row r="13" ht="42" customHeight="1">
      <x:c r="B13" s="28" t="str">
        <x:v>GV-07</x:v>
      </x:c>
      <x:c r="C13" s="28" t="str">
        <x:v>transfer board</x:v>
      </x:c>
      <x:c r="D13" s="33" t="str">
        <x:v>judges root, method, rig and campus contrasts</x:v>
      </x:c>
      <x:c r="E13" s="33" t="str">
        <x:v>cannot average a failed cell</x:v>
      </x:c>
    </x:row>
    <x:row r="14" ht="42" customHeight="1">
      <x:c r="B14" s="28" t="str">
        <x:v>GV-08</x:v>
      </x:c>
      <x:c r="C14" s="28" t="str">
        <x:v>reentry board</x:v>
      </x:c>
      <x:c r="D14" s="33" t="str">
        <x:v>accepts new pair baselines and transition evidence</x:v>
      </x:c>
      <x:c r="E14" s="33" t="str">
        <x:v>cannot reuse pre-event credentials</x:v>
      </x:c>
    </x:row>
    <x:row r="15" ht="42" customHeight="1">
      <x:c r="B15" s="28" t="str">
        <x:v>GV-09</x:v>
      </x:c>
      <x:c r="C15" s="28" t="str">
        <x:v>evidence authority</x:v>
      </x:c>
      <x:c r="D15" s="33" t="str">
        <x:v>preserves local originals and remote reconstructions</x:v>
      </x:c>
      <x:c r="E15" s="33" t="str">
        <x:v>separate from operators</x:v>
      </x:c>
    </x:row>
    <x:row r="16" ht="42" customHeight="1">
      <x:c r="B16" s="28" t="str">
        <x:v>GV-10</x:v>
      </x:c>
      <x:c r="C16" s="28" t="str">
        <x:v>class board</x:v>
      </x:c>
      <x:c r="D16" s="33" t="str">
        <x:v>reads all thirty-two gates and decides bounded release</x:v>
      </x:c>
      <x:c r="E16" s="33" t="str">
        <x:v>cannot issue QE-02 or source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4" hidden="0" customWidth="1"/>
    <x:col min="4" max="4" width="76" hidden="0" customWidth="1"/>
    <x:col min="5" max="5" width="20" hidden="0" customWidth="1"/>
    <x:col min="6" max="6" width="22" hidden="0" customWidth="1"/>
    <x:col min="7" max="7" width="34" hidden="0" customWidth="1"/>
    <x:col min="8" max="8" width="14" hidden="0" customWidth="1"/>
  </x:cols>
  <x:sheetData>
    <x:row r="2">
      <x:c r="B2" s="23" t="str">
        <x:v>Eleven ordered class states</x:v>
      </x:c>
      <x:c r="C2" s="24"/>
      <x:c r="D2" s="24"/>
      <x:c r="E2" s="24"/>
      <x:c r="F2" s="24"/>
      <x:c r="G2" s="24"/>
      <x:c r="H2" s="24"/>
    </x:row>
    <x:row r="3">
      <x:c r="B3" s="25" t="str">
        <x:v>Observed sequence must equal the registered sequence. No administrative jump can create class credit.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Sequence</x:v>
      </x:c>
      <x:c r="C6" s="6" t="str">
        <x:v>Required state</x:v>
      </x:c>
      <x:c r="D6" s="6" t="str">
        <x:v>Meaning</x:v>
      </x:c>
      <x:c r="E6" s="6" t="str">
        <x:v>Observed sequence</x:v>
      </x:c>
      <x:c r="F6" s="6" t="str">
        <x:v>Observed state</x:v>
      </x:c>
      <x:c r="G6" s="6" t="str">
        <x:v>Evidence root</x:v>
      </x:c>
      <x:c r="H6" s="6" t="str">
        <x:v>State</x:v>
      </x:c>
    </x:row>
    <x:row r="7">
      <x:c r="B7" s="28" t="n">
        <x:v>1</x:v>
      </x:c>
      <x:c r="C7" s="28" t="str">
        <x:v>UNCONSTITUTED</x:v>
      </x:c>
      <x:c r="D7" s="28" t="str">
        <x:v>no accepted RAY seed</x:v>
      </x:c>
      <x:c r="E7" s="28" t="str"/>
      <x:c r="F7" s="28" t="str"/>
      <x:c r="G7" s="28" t="str"/>
      <x:c r="H7" s="28" t="str">
        <x:f>IF(G7="","OPEN",IF(AND(E7=B7,F7=C7),"PASS","FAIL"))</x:f>
        <x:v>OPEN</x:v>
      </x:c>
    </x:row>
    <x:row r="8">
      <x:c r="B8" s="28" t="n">
        <x:v>2</x:v>
      </x:c>
      <x:c r="C8" s="28" t="str">
        <x:v>SEEDED</x:v>
      </x:c>
      <x:c r="D8" s="28" t="str">
        <x:v>RAY cell and packet root accepted</x:v>
      </x:c>
      <x:c r="E8" s="28" t="str"/>
      <x:c r="F8" s="28" t="str"/>
      <x:c r="G8" s="28" t="str"/>
      <x:c r="H8" s="28" t="str">
        <x:f>IF(G8="","OPEN",IF(AND(E8=B8,F8=C8),"PASS","FAIL"))</x:f>
        <x:v>OPEN</x:v>
      </x:c>
    </x:row>
    <x:row r="9">
      <x:c r="B9" s="28" t="n">
        <x:v>3</x:v>
      </x:c>
      <x:c r="C9" s="28" t="str">
        <x:v>SCHEDULED</x:v>
      </x:c>
      <x:c r="D9" s="28" t="str">
        <x:v>factor-preserving class schedule frozen</x:v>
      </x:c>
      <x:c r="E9" s="28" t="str"/>
      <x:c r="F9" s="28" t="str"/>
      <x:c r="G9" s="28" t="str"/>
      <x:c r="H9" s="28" t="str">
        <x:f>IF(G9="","OPEN",IF(AND(E9=B9,F9=C9),"PASS","FAIL"))</x:f>
        <x:v>OPEN</x:v>
      </x:c>
    </x:row>
    <x:row r="10">
      <x:c r="B10" s="28" t="n">
        <x:v>4</x:v>
      </x:c>
      <x:c r="C10" s="28" t="str">
        <x:v>ISSUED</x:v>
      </x:c>
      <x:c r="D10" s="28" t="str">
        <x:v>wave resources reserved</x:v>
      </x:c>
      <x:c r="E10" s="28" t="str"/>
      <x:c r="F10" s="28" t="str"/>
      <x:c r="G10" s="28" t="str"/>
      <x:c r="H10" s="28" t="str">
        <x:f>IF(G10="","OPEN",IF(AND(E10=B10,F10=C10),"PASS","FAIL"))</x:f>
        <x:v>OPEN</x:v>
      </x:c>
    </x:row>
    <x:row r="11">
      <x:c r="B11" s="28" t="n">
        <x:v>5</x:v>
      </x:c>
      <x:c r="C11" s="28" t="str">
        <x:v>EXECUTING</x:v>
      </x:c>
      <x:c r="D11" s="28" t="str">
        <x:v>event attempts active</x:v>
      </x:c>
      <x:c r="E11" s="28" t="str"/>
      <x:c r="F11" s="28" t="str"/>
      <x:c r="G11" s="28" t="str"/>
      <x:c r="H11" s="28" t="str">
        <x:f>IF(G11="","OPEN",IF(AND(E11=B11,F11=C11),"PASS","FAIL"))</x:f>
        <x:v>OPEN</x:v>
      </x:c>
    </x:row>
    <x:row r="12">
      <x:c r="B12" s="28" t="n">
        <x:v>6</x:v>
      </x:c>
      <x:c r="C12" s="28" t="str">
        <x:v>ADJUDICATING</x:v>
      </x:c>
      <x:c r="D12" s="28" t="str">
        <x:v>validity and outcome boards active</x:v>
      </x:c>
      <x:c r="E12" s="28" t="str"/>
      <x:c r="F12" s="28" t="str"/>
      <x:c r="G12" s="28" t="str"/>
      <x:c r="H12" s="28" t="str">
        <x:f>IF(G12="","OPEN",IF(AND(E12=B12,F12=C12),"PASS","FAIL"))</x:f>
        <x:v>OPEN</x:v>
      </x:c>
    </x:row>
    <x:row r="13">
      <x:c r="B13" s="28" t="n">
        <x:v>7</x:v>
      </x:c>
      <x:c r="C13" s="28" t="str">
        <x:v>TRANSFERRING</x:v>
      </x:c>
      <x:c r="D13" s="28" t="str">
        <x:v>root, method, rig and campus contrasts active</x:v>
      </x:c>
      <x:c r="E13" s="28" t="str"/>
      <x:c r="F13" s="28" t="str"/>
      <x:c r="G13" s="28" t="str"/>
      <x:c r="H13" s="28" t="str">
        <x:f>IF(G13="","OPEN",IF(AND(E13=B13,F13=C13),"PASS","FAIL"))</x:f>
        <x:v>OPEN</x:v>
      </x:c>
    </x:row>
    <x:row r="14">
      <x:c r="B14" s="28" t="n">
        <x:v>8</x:v>
      </x:c>
      <x:c r="C14" s="28" t="str">
        <x:v>REGENERATING</x:v>
      </x:c>
      <x:c r="D14" s="28" t="str">
        <x:v>pairs and credentials being renewed</x:v>
      </x:c>
      <x:c r="E14" s="28" t="str"/>
      <x:c r="F14" s="28" t="str"/>
      <x:c r="G14" s="28" t="str"/>
      <x:c r="H14" s="28" t="str">
        <x:f>IF(G14="","OPEN",IF(AND(E14=B14,F14=C14),"PASS","FAIL"))</x:f>
        <x:v>OPEN</x:v>
      </x:c>
    </x:row>
    <x:row r="15">
      <x:c r="B15" s="28" t="n">
        <x:v>9</x:v>
      </x:c>
      <x:c r="C15" s="28" t="str">
        <x:v>REPLAYING</x:v>
      </x:c>
      <x:c r="D15" s="28" t="str">
        <x:v>outside-origin reconstructions active</x:v>
      </x:c>
      <x:c r="E15" s="28" t="str"/>
      <x:c r="F15" s="28" t="str"/>
      <x:c r="G15" s="28" t="str"/>
      <x:c r="H15" s="28" t="str">
        <x:f>IF(G15="","OPEN",IF(AND(E15=B15,F15=C15),"PASS","FAIL"))</x:f>
        <x:v>OPEN</x:v>
      </x:c>
    </x:row>
    <x:row r="16">
      <x:c r="B16" s="28" t="n">
        <x:v>10</x:v>
      </x:c>
      <x:c r="C16" s="28" t="str">
        <x:v>QUALIFIED</x:v>
      </x:c>
      <x:c r="D16" s="28" t="str">
        <x:v>all class gates accepted</x:v>
      </x:c>
      <x:c r="E16" s="28" t="str"/>
      <x:c r="F16" s="28" t="str"/>
      <x:c r="G16" s="28" t="str"/>
      <x:c r="H16" s="28" t="str">
        <x:f>IF(G16="","OPEN",IF(AND(E16=B16,F16=C16),"PASS","FAIL"))</x:f>
        <x:v>OPEN</x:v>
      </x:c>
    </x:row>
    <x:row r="17">
      <x:c r="B17" s="28" t="n">
        <x:v>11</x:v>
      </x:c>
      <x:c r="C17" s="28" t="str">
        <x:v>CLOSED</x:v>
      </x:c>
      <x:c r="D17" s="28" t="str">
        <x:v>record frozen and next-object eligibility decided</x:v>
      </x:c>
      <x:c r="E17" s="28" t="str"/>
      <x:c r="F17" s="28" t="str"/>
      <x:c r="G17" s="28" t="str"/>
      <x:c r="H17" s="28" t="str">
        <x:f>IF(G17="","OPEN",IF(AND(E17=B17,F17=C17),"PASS","FAIL"))</x:f>
        <x:v>OPEN</x:v>
      </x:c>
    </x:row>
  </x:sheetData>
  <x:conditionalFormatting sqref="H7:H17">
    <x:cfRule type="containsText" dxfId="9" priority="1" operator="containsText" text="FAIL"/>
    <x:cfRule type="containsText" dxfId="10" priority="2" operator="containsText" text="BLOCKED"/>
    <x:cfRule type="containsText" dxfId="11" priority="3" operator="containsText" text="INVALID"/>
    <x:cfRule type="containsText" dxfId="12" priority="4" operator="containsText" text="ADVERSE"/>
    <x:cfRule type="containsText" dxfId="13" priority="5" operator="containsText" text="EXPIRED"/>
    <x:cfRule type="containsText" dxfId="14" priority="6" operator="containsText" text="OPEN"/>
    <x:cfRule type="containsText" dxfId="15" priority="7" operator="containsText" text="DORMANT"/>
    <x:cfRule type="containsText" dxfId="16" priority="8" operator="containsText" text="PASS"/>
    <x:cfRule type="containsText" dxfId="17" priority="9" operator="containsText" text="AVAILABL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</x:cols>
  <x:sheetData>
    <x:row r="2">
      <x:c r="B2" s="23" t="str">
        <x:v>Four method-root treatments</x:v>
      </x:c>
      <x:c r="C2" s="24"/>
      <x:c r="D2" s="24"/>
      <x:c r="E2" s="24"/>
      <x:c r="F2" s="24"/>
      <x:c r="G2" s="24"/>
    </x:row>
    <x:row r="3">
      <x:c r="B3" s="25" t="str">
        <x:v>Independent method and truth-root flips preserve the two-by-two factorial structure after the RAY draw.</x:v>
      </x:c>
      <x:c r="C3" s="24"/>
      <x:c r="D3" s="24"/>
      <x:c r="E3" s="24"/>
      <x:c r="F3" s="24"/>
      <x:c r="G3" s="24"/>
    </x:row>
    <x:row r="4">
      <x:c r="B4" s="24"/>
      <x:c r="C4" s="24"/>
      <x:c r="D4" s="24"/>
      <x:c r="E4" s="24"/>
      <x:c r="F4" s="24"/>
      <x:c r="G4" s="24"/>
    </x:row>
    <x:row r="5">
      <x:c r="B5" s="24"/>
      <x:c r="C5" s="24"/>
      <x:c r="D5" s="24"/>
      <x:c r="E5" s="24"/>
      <x:c r="F5" s="24"/>
      <x:c r="G5" s="24"/>
    </x:row>
    <x:row r="6" ht="24" customHeight="1">
      <x:c r="B6" s="6" t="str">
        <x:v>Index</x:v>
      </x:c>
      <x:c r="C6" s="6" t="str">
        <x:v>Treatment</x:v>
      </x:c>
      <x:c r="D6" s="6" t="str">
        <x:v>Method</x:v>
      </x:c>
      <x:c r="E6" s="6" t="str">
        <x:v>Credit root</x:v>
      </x:c>
      <x:c r="F6" s="6" t="str">
        <x:v>Method bit</x:v>
      </x:c>
      <x:c r="G6" s="6" t="str">
        <x:v>Root bit</x:v>
      </x:c>
    </x:row>
    <x:row r="7">
      <x:c r="B7" s="28" t="n">
        <x:v>1</x:v>
      </x:c>
      <x:c r="C7" s="28" t="str">
        <x:v>T1</x:v>
      </x:c>
      <x:c r="D7" s="28" t="str">
        <x:v>AM-05</x:v>
      </x:c>
      <x:c r="E7" s="28" t="str">
        <x:v>TR-A</x:v>
      </x:c>
      <x:c r="F7" s="28" t="n">
        <x:v>0</x:v>
      </x:c>
      <x:c r="G7" s="28" t="n">
        <x:v>0</x:v>
      </x:c>
    </x:row>
    <x:row r="8">
      <x:c r="B8" s="28" t="n">
        <x:v>2</x:v>
      </x:c>
      <x:c r="C8" s="28" t="str">
        <x:v>T2</x:v>
      </x:c>
      <x:c r="D8" s="28" t="str">
        <x:v>AM-05</x:v>
      </x:c>
      <x:c r="E8" s="28" t="str">
        <x:v>TR-B</x:v>
      </x:c>
      <x:c r="F8" s="28" t="n">
        <x:v>0</x:v>
      </x:c>
      <x:c r="G8" s="28" t="n">
        <x:v>1</x:v>
      </x:c>
    </x:row>
    <x:row r="9">
      <x:c r="B9" s="28" t="n">
        <x:v>3</x:v>
      </x:c>
      <x:c r="C9" s="28" t="str">
        <x:v>T3</x:v>
      </x:c>
      <x:c r="D9" s="28" t="str">
        <x:v>AM-06</x:v>
      </x:c>
      <x:c r="E9" s="28" t="str">
        <x:v>TR-A</x:v>
      </x:c>
      <x:c r="F9" s="28" t="n">
        <x:v>1</x:v>
      </x:c>
      <x:c r="G9" s="28" t="n">
        <x:v>0</x:v>
      </x:c>
    </x:row>
    <x:row r="10">
      <x:c r="B10" s="28" t="n">
        <x:v>4</x:v>
      </x:c>
      <x:c r="C10" s="28" t="str">
        <x:v>T4</x:v>
      </x:c>
      <x:c r="D10" s="28" t="str">
        <x:v>AM-06</x:v>
      </x:c>
      <x:c r="E10" s="28" t="str">
        <x:v>TR-B</x:v>
      </x:c>
      <x:c r="F10" s="28" t="n">
        <x:v>1</x:v>
      </x:c>
      <x:c r="G10" s="28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B2" s="23" t="str">
        <x:v>Six precommitted four-wave sequences</x:v>
      </x:c>
      <x:c r="C2" s="24"/>
      <x:c r="D2" s="24"/>
      <x:c r="E2" s="24"/>
      <x:c r="F2" s="24"/>
    </x:row>
    <x:row r="3">
      <x:c r="B3" s="25" t="str">
        <x:v>Each treatment appears once per rig. Position counts and directed carryover counts differ by no more than one.</x:v>
      </x:c>
      <x:c r="C3" s="24"/>
      <x:c r="D3" s="24"/>
      <x:c r="E3" s="24"/>
      <x:c r="F3" s="24"/>
    </x:row>
    <x:row r="4">
      <x:c r="B4" s="24"/>
      <x:c r="C4" s="24"/>
      <x:c r="D4" s="24"/>
      <x:c r="E4" s="24"/>
      <x:c r="F4" s="24"/>
    </x:row>
    <x:row r="5">
      <x:c r="B5" s="24"/>
      <x:c r="C5" s="24"/>
      <x:c r="D5" s="24"/>
      <x:c r="E5" s="24"/>
      <x:c r="F5" s="24"/>
    </x:row>
    <x:row r="6" ht="24" customHeight="1">
      <x:c r="B6" s="6" t="str">
        <x:v>Canonical rig</x:v>
      </x:c>
      <x:c r="C6" s="6" t="str">
        <x:v>Wave 1</x:v>
      </x:c>
      <x:c r="D6" s="6" t="str">
        <x:v>Wave 2</x:v>
      </x:c>
      <x:c r="E6" s="6" t="str">
        <x:v>Wave 3</x:v>
      </x:c>
      <x:c r="F6" s="6" t="str">
        <x:v>Wave 4</x:v>
      </x:c>
    </x:row>
    <x:row r="7">
      <x:c r="B7" s="28" t="n">
        <x:v>1</x:v>
      </x:c>
      <x:c r="C7" s="28" t="str">
        <x:v>T1</x:v>
      </x:c>
      <x:c r="D7" s="28" t="str">
        <x:v>T2</x:v>
      </x:c>
      <x:c r="E7" s="28" t="str">
        <x:v>T3</x:v>
      </x:c>
      <x:c r="F7" s="28" t="str">
        <x:v>T4</x:v>
      </x:c>
    </x:row>
    <x:row r="8">
      <x:c r="B8" s="28" t="n">
        <x:v>2</x:v>
      </x:c>
      <x:c r="C8" s="28" t="str">
        <x:v>T1</x:v>
      </x:c>
      <x:c r="D8" s="28" t="str">
        <x:v>T2</x:v>
      </x:c>
      <x:c r="E8" s="28" t="str">
        <x:v>T4</x:v>
      </x:c>
      <x:c r="F8" s="28" t="str">
        <x:v>T3</x:v>
      </x:c>
    </x:row>
    <x:row r="9">
      <x:c r="B9" s="28" t="n">
        <x:v>3</x:v>
      </x:c>
      <x:c r="C9" s="28" t="str">
        <x:v>T2</x:v>
      </x:c>
      <x:c r="D9" s="28" t="str">
        <x:v>T3</x:v>
      </x:c>
      <x:c r="E9" s="28" t="str">
        <x:v>T1</x:v>
      </x:c>
      <x:c r="F9" s="28" t="str">
        <x:v>T4</x:v>
      </x:c>
    </x:row>
    <x:row r="10">
      <x:c r="B10" s="28" t="n">
        <x:v>4</x:v>
      </x:c>
      <x:c r="C10" s="28" t="str">
        <x:v>T3</x:v>
      </x:c>
      <x:c r="D10" s="28" t="str">
        <x:v>T4</x:v>
      </x:c>
      <x:c r="E10" s="28" t="str">
        <x:v>T2</x:v>
      </x:c>
      <x:c r="F10" s="28" t="str">
        <x:v>T1</x:v>
      </x:c>
    </x:row>
    <x:row r="11">
      <x:c r="B11" s="28" t="n">
        <x:v>5</x:v>
      </x:c>
      <x:c r="C11" s="28" t="str">
        <x:v>T4</x:v>
      </x:c>
      <x:c r="D11" s="28" t="str">
        <x:v>T1</x:v>
      </x:c>
      <x:c r="E11" s="28" t="str">
        <x:v>T3</x:v>
      </x:c>
      <x:c r="F11" s="28" t="str">
        <x:v>T2</x:v>
      </x:c>
    </x:row>
    <x:row r="12">
      <x:c r="B12" s="28" t="n">
        <x:v>6</x:v>
      </x:c>
      <x:c r="C12" s="28" t="str">
        <x:v>T4</x:v>
      </x:c>
      <x:c r="D12" s="28" t="str">
        <x:v>T3</x:v>
      </x:c>
      <x:c r="E12" s="28" t="str">
        <x:v>T2</x:v>
      </x:c>
      <x:c r="F12" s="28" t="str">
        <x:v>T1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24" hidden="0" customWidth="1"/>
    <x:col min="4" max="4" width="62" hidden="0" customWidth="1"/>
    <x:col min="5" max="5" width="16" hidden="0" customWidth="1"/>
  </x:cols>
  <x:sheetData>
    <x:row r="2">
      <x:c r="B2" s="23" t="str">
        <x:v>Factor-preserving transform from the RAY seed</x:v>
      </x:c>
      <x:c r="C2" s="24"/>
      <x:c r="D2" s="24"/>
      <x:c r="E2" s="24"/>
    </x:row>
    <x:row r="3">
      <x:c r="B3" s="25" t="str">
        <x:v>Canonical rig 1, wave 1 maps to the publicly selected RAY cell. Only rig rotation and independent factor flips are allowed.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Field</x:v>
      </x:c>
      <x:c r="C6" s="6" t="str">
        <x:v>Value</x:v>
      </x:c>
      <x:c r="D6" s="6" t="str">
        <x:v>Meaning</x:v>
      </x:c>
      <x:c r="E6" s="6" t="str">
        <x:v>State</x:v>
      </x:c>
    </x:row>
    <x:row r="7">
      <x:c r="B7" s="28" t="str">
        <x:v>Seed cell index</x:v>
      </x:c>
      <x:c r="C7" s="28" t="str">
        <x:f>'Controls'!$D$71</x:f>
      </x:c>
      <x:c r="D7" s="28" t="str">
        <x:v>integer 1-24</x:v>
      </x:c>
      <x:c r="E7" s="28" t="str"/>
    </x:row>
    <x:row r="8">
      <x:c r="B8" s="28" t="str">
        <x:v>Selected rig index</x:v>
      </x:c>
      <x:c r="C8" s="28" t="str">
        <x:f>IF(AND(ISNUMBER(C7),C7&gt;=1,C7&lt;=24),INT((C7-1)/4)+1,"")</x:f>
      </x:c>
      <x:c r="D8" s="28" t="str">
        <x:v>derived</x:v>
      </x:c>
      <x:c r="E8" s="28" t="str"/>
    </x:row>
    <x:row r="9">
      <x:c r="B9" s="28" t="str">
        <x:v>Selected treatment index</x:v>
      </x:c>
      <x:c r="C9" s="28" t="str">
        <x:f>IF(AND(ISNUMBER(C7),C7&gt;=1,C7&lt;=24),MOD(C7-1,4)+1,"")</x:f>
      </x:c>
      <x:c r="D9" s="28" t="str">
        <x:v>derived</x:v>
      </x:c>
      <x:c r="E9" s="28" t="str"/>
    </x:row>
    <x:row r="10">
      <x:c r="B10" s="28" t="str">
        <x:v>Rig rotation</x:v>
      </x:c>
      <x:c r="C10" s="28" t="str">
        <x:f>IF(C8="","",C8-1)</x:f>
      </x:c>
      <x:c r="D10" s="28" t="str">
        <x:v>derived</x:v>
      </x:c>
      <x:c r="E10" s="28" t="str"/>
    </x:row>
    <x:row r="11">
      <x:c r="B11" s="28" t="str">
        <x:v>Method flip</x:v>
      </x:c>
      <x:c r="C11" s="28" t="str">
        <x:f>IF(C9="","",INT((C9-1)/2))</x:f>
      </x:c>
      <x:c r="D11" s="28" t="str">
        <x:v>derived</x:v>
      </x:c>
      <x:c r="E11" s="28" t="str"/>
    </x:row>
    <x:row r="12">
      <x:c r="B12" s="28" t="str">
        <x:v>Root flip</x:v>
      </x:c>
      <x:c r="C12" s="28" t="str">
        <x:f>IF(C9="","",MOD(C9-1,2))</x:f>
      </x:c>
      <x:c r="D12" s="28" t="str">
        <x:v>derived</x:v>
      </x:c>
      <x:c r="E12" s="28" t="str"/>
    </x:row>
    <x:row r="13">
      <x:c r="B13" s="28" t="str">
        <x:v>Transform state</x:v>
      </x:c>
      <x:c r="C13" s="28" t="str"/>
      <x:c r="D13" s="28" t="str">
        <x:v>PASS only for accepted RAY seed</x:v>
      </x:c>
      <x:c r="E13" s="28" t="str">
        <x:f>IF(C7="","OPEN",IF(AND('Controls'!$D$73="PASS",'Controls'!$D$72&lt;&gt;"",ISNUMBER(C7),C7&gt;=1,C7&lt;=24),"PASS","FAIL"))</x:f>
        <x:v>OPEN</x:v>
      </x:c>
    </x:row>
  </x:sheetData>
  <x:conditionalFormatting sqref="E7:E13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INVALID"/>
    <x:cfRule type="containsText" dxfId="21" priority="4" operator="containsText" text="ADVERSE"/>
    <x:cfRule type="containsText" dxfId="22" priority="5" operator="containsText" text="EXPIRED"/>
    <x:cfRule type="containsText" dxfId="23" priority="6" operator="containsText" text="OPEN"/>
    <x:cfRule type="containsText" dxfId="24" priority="7" operator="containsText" text="DORMANT"/>
    <x:cfRule type="containsText" dxfId="25" priority="8" operator="containsText" text="PASS"/>
    <x:cfRule type="containsText" dxfId="26" priority="9" operator="containsText" text="AVAILABL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8" hidden="0" customWidth="1"/>
    <x:col min="4" max="4" width="12" hidden="0" customWidth="1"/>
    <x:col min="5" max="5" width="22" hidden="0" customWidth="1"/>
    <x:col min="6" max="6" width="19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14" hidden="0" customWidth="1"/>
  </x:cols>
  <x:sheetData>
    <x:row r="2">
      <x:c r="B2" s="23" t="str">
        <x:v>Twenty-four-cell transformed execution schedule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The first row is the RAY event. Five remaining wave-one events and three later waves complete the class without reopening selection.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Event</x:v>
      </x:c>
      <x:c r="C6" s="6" t="str">
        <x:v>Canonical rig</x:v>
      </x:c>
      <x:c r="D6" s="6" t="str">
        <x:v>Wave</x:v>
      </x:c>
      <x:c r="E6" s="6" t="str">
        <x:v>Canonical treatment</x:v>
      </x:c>
      <x:c r="F6" s="6" t="str">
        <x:v>Actual rig index</x:v>
      </x:c>
      <x:c r="G6" s="6" t="str">
        <x:v>Actual treatment index</x:v>
      </x:c>
      <x:c r="H6" s="6" t="str">
        <x:v>Rig</x:v>
      </x:c>
      <x:c r="I6" s="6" t="str">
        <x:v>Method</x:v>
      </x:c>
      <x:c r="J6" s="6" t="str">
        <x:v>Credit root</x:v>
      </x:c>
      <x:c r="K6" s="6" t="str">
        <x:v>Cell</x:v>
      </x:c>
      <x:c r="L6" s="6" t="str">
        <x:v>State</x:v>
      </x:c>
    </x:row>
    <x:row r="7">
      <x:c r="B7" s="28" t="str">
        <x:v>QE01-001</x:v>
      </x:c>
      <x:c r="C7" s="28" t="n">
        <x:v>1</x:v>
      </x:c>
      <x:c r="D7" s="28" t="n">
        <x:v>1</x:v>
      </x:c>
      <x:c r="E7" s="28" t="n">
        <x:v>1</x:v>
      </x:c>
      <x:c r="F7" s="28" t="str">
        <x:f>IF('Schedule Transform'!$E$13&lt;&gt;"PASS","",MOD(C7-1+'Schedule Transform'!$C$10,6)+1)</x:f>
      </x:c>
      <x:c r="G7" s="28" t="str">
        <x:f>IF(F7="","",2*MOD(INT((E7-1)/2)+'Schedule Transform'!$C$11,2)+MOD(MOD(E7-1,2)+'Schedule Transform'!$C$12,2)+1)</x:f>
      </x:c>
      <x:c r="H7" s="28" t="str">
        <x:f>IF(F7="","","RFP-"&amp;IF(F7&lt;=2,"A",IF(F7&lt;=4,"B","C"))&amp;IF(MOD(F7,2)=1,"1","2"))</x:f>
      </x:c>
      <x:c r="I7" s="28" t="str">
        <x:f>IF(G7="","",IF(G7&lt;=2,"AM-05","AM-06"))</x:f>
      </x:c>
      <x:c r="J7" s="28" t="str">
        <x:f>IF(G7="","",IF(MOD(G7,2)=1,"TR-A","TR-B"))</x:f>
      </x:c>
      <x:c r="K7" s="28" t="str">
        <x:f>IF(H7="","",H7&amp;"-"&amp;I7&amp;"-"&amp;J7)</x:f>
      </x:c>
      <x:c r="L7" s="28" t="str">
        <x:f>IF(K7="","OPEN",IF(COUNTIFS($K$7:$K$30,K7)=1,"PASS","FAIL"))</x:f>
        <x:v>OPEN</x:v>
      </x:c>
    </x:row>
    <x:row r="8">
      <x:c r="B8" s="28" t="str">
        <x:v>QE01-002</x:v>
      </x:c>
      <x:c r="C8" s="28" t="n">
        <x:v>2</x:v>
      </x:c>
      <x:c r="D8" s="28" t="n">
        <x:v>1</x:v>
      </x:c>
      <x:c r="E8" s="28" t="n">
        <x:v>1</x:v>
      </x:c>
      <x:c r="F8" s="28" t="str">
        <x:f>IF('Schedule Transform'!$E$13&lt;&gt;"PASS","",MOD(C8-1+'Schedule Transform'!$C$10,6)+1)</x:f>
      </x:c>
      <x:c r="G8" s="28" t="str">
        <x:f>IF(F8="","",2*MOD(INT((E8-1)/2)+'Schedule Transform'!$C$11,2)+MOD(MOD(E8-1,2)+'Schedule Transform'!$C$12,2)+1)</x:f>
      </x:c>
      <x:c r="H8" s="28" t="str">
        <x:f>IF(F8="","","RFP-"&amp;IF(F8&lt;=2,"A",IF(F8&lt;=4,"B","C"))&amp;IF(MOD(F8,2)=1,"1","2"))</x:f>
      </x:c>
      <x:c r="I8" s="28" t="str">
        <x:f>IF(G8="","",IF(G8&lt;=2,"AM-05","AM-06"))</x:f>
      </x:c>
      <x:c r="J8" s="28" t="str">
        <x:f>IF(G8="","",IF(MOD(G8,2)=1,"TR-A","TR-B"))</x:f>
      </x:c>
      <x:c r="K8" s="28" t="str">
        <x:f>IF(H8="","",H8&amp;"-"&amp;I8&amp;"-"&amp;J8)</x:f>
      </x:c>
      <x:c r="L8" s="28" t="str">
        <x:f>IF(K8="","OPEN",IF(COUNTIFS($K$7:$K$30,K8)=1,"PASS","FAIL"))</x:f>
        <x:v>OPEN</x:v>
      </x:c>
    </x:row>
    <x:row r="9">
      <x:c r="B9" s="28" t="str">
        <x:v>QE01-003</x:v>
      </x:c>
      <x:c r="C9" s="28" t="n">
        <x:v>3</x:v>
      </x:c>
      <x:c r="D9" s="28" t="n">
        <x:v>1</x:v>
      </x:c>
      <x:c r="E9" s="28" t="n">
        <x:v>2</x:v>
      </x:c>
      <x:c r="F9" s="28" t="str">
        <x:f>IF('Schedule Transform'!$E$13&lt;&gt;"PASS","",MOD(C9-1+'Schedule Transform'!$C$10,6)+1)</x:f>
      </x:c>
      <x:c r="G9" s="28" t="str">
        <x:f>IF(F9="","",2*MOD(INT((E9-1)/2)+'Schedule Transform'!$C$11,2)+MOD(MOD(E9-1,2)+'Schedule Transform'!$C$12,2)+1)</x:f>
      </x:c>
      <x:c r="H9" s="28" t="str">
        <x:f>IF(F9="","","RFP-"&amp;IF(F9&lt;=2,"A",IF(F9&lt;=4,"B","C"))&amp;IF(MOD(F9,2)=1,"1","2"))</x:f>
      </x:c>
      <x:c r="I9" s="28" t="str">
        <x:f>IF(G9="","",IF(G9&lt;=2,"AM-05","AM-06"))</x:f>
      </x:c>
      <x:c r="J9" s="28" t="str">
        <x:f>IF(G9="","",IF(MOD(G9,2)=1,"TR-A","TR-B"))</x:f>
      </x:c>
      <x:c r="K9" s="28" t="str">
        <x:f>IF(H9="","",H9&amp;"-"&amp;I9&amp;"-"&amp;J9)</x:f>
      </x:c>
      <x:c r="L9" s="28" t="str">
        <x:f>IF(K9="","OPEN",IF(COUNTIFS($K$7:$K$30,K9)=1,"PASS","FAIL"))</x:f>
        <x:v>OPEN</x:v>
      </x:c>
    </x:row>
    <x:row r="10">
      <x:c r="B10" s="28" t="str">
        <x:v>QE01-004</x:v>
      </x:c>
      <x:c r="C10" s="28" t="n">
        <x:v>4</x:v>
      </x:c>
      <x:c r="D10" s="28" t="n">
        <x:v>1</x:v>
      </x:c>
      <x:c r="E10" s="28" t="n">
        <x:v>3</x:v>
      </x:c>
      <x:c r="F10" s="28" t="str">
        <x:f>IF('Schedule Transform'!$E$13&lt;&gt;"PASS","",MOD(C10-1+'Schedule Transform'!$C$10,6)+1)</x:f>
      </x:c>
      <x:c r="G10" s="28" t="str">
        <x:f>IF(F10="","",2*MOD(INT((E10-1)/2)+'Schedule Transform'!$C$11,2)+MOD(MOD(E10-1,2)+'Schedule Transform'!$C$12,2)+1)</x:f>
      </x:c>
      <x:c r="H10" s="28" t="str">
        <x:f>IF(F10="","","RFP-"&amp;IF(F10&lt;=2,"A",IF(F10&lt;=4,"B","C"))&amp;IF(MOD(F10,2)=1,"1","2"))</x:f>
      </x:c>
      <x:c r="I10" s="28" t="str">
        <x:f>IF(G10="","",IF(G10&lt;=2,"AM-05","AM-06"))</x:f>
      </x:c>
      <x:c r="J10" s="28" t="str">
        <x:f>IF(G10="","",IF(MOD(G10,2)=1,"TR-A","TR-B"))</x:f>
      </x:c>
      <x:c r="K10" s="28" t="str">
        <x:f>IF(H10="","",H10&amp;"-"&amp;I10&amp;"-"&amp;J10)</x:f>
      </x:c>
      <x:c r="L10" s="28" t="str">
        <x:f>IF(K10="","OPEN",IF(COUNTIFS($K$7:$K$30,K10)=1,"PASS","FAIL"))</x:f>
        <x:v>OPEN</x:v>
      </x:c>
    </x:row>
    <x:row r="11">
      <x:c r="B11" s="28" t="str">
        <x:v>QE01-005</x:v>
      </x:c>
      <x:c r="C11" s="28" t="n">
        <x:v>5</x:v>
      </x:c>
      <x:c r="D11" s="28" t="n">
        <x:v>1</x:v>
      </x:c>
      <x:c r="E11" s="28" t="n">
        <x:v>4</x:v>
      </x:c>
      <x:c r="F11" s="28" t="str">
        <x:f>IF('Schedule Transform'!$E$13&lt;&gt;"PASS","",MOD(C11-1+'Schedule Transform'!$C$10,6)+1)</x:f>
      </x:c>
      <x:c r="G11" s="28" t="str">
        <x:f>IF(F11="","",2*MOD(INT((E11-1)/2)+'Schedule Transform'!$C$11,2)+MOD(MOD(E11-1,2)+'Schedule Transform'!$C$12,2)+1)</x:f>
      </x:c>
      <x:c r="H11" s="28" t="str">
        <x:f>IF(F11="","","RFP-"&amp;IF(F11&lt;=2,"A",IF(F11&lt;=4,"B","C"))&amp;IF(MOD(F11,2)=1,"1","2"))</x:f>
      </x:c>
      <x:c r="I11" s="28" t="str">
        <x:f>IF(G11="","",IF(G11&lt;=2,"AM-05","AM-06"))</x:f>
      </x:c>
      <x:c r="J11" s="28" t="str">
        <x:f>IF(G11="","",IF(MOD(G11,2)=1,"TR-A","TR-B"))</x:f>
      </x:c>
      <x:c r="K11" s="28" t="str">
        <x:f>IF(H11="","",H11&amp;"-"&amp;I11&amp;"-"&amp;J11)</x:f>
      </x:c>
      <x:c r="L11" s="28" t="str">
        <x:f>IF(K11="","OPEN",IF(COUNTIFS($K$7:$K$30,K11)=1,"PASS","FAIL"))</x:f>
        <x:v>OPEN</x:v>
      </x:c>
    </x:row>
    <x:row r="12">
      <x:c r="B12" s="28" t="str">
        <x:v>QE01-006</x:v>
      </x:c>
      <x:c r="C12" s="28" t="n">
        <x:v>6</x:v>
      </x:c>
      <x:c r="D12" s="28" t="n">
        <x:v>1</x:v>
      </x:c>
      <x:c r="E12" s="28" t="n">
        <x:v>4</x:v>
      </x:c>
      <x:c r="F12" s="28" t="str">
        <x:f>IF('Schedule Transform'!$E$13&lt;&gt;"PASS","",MOD(C12-1+'Schedule Transform'!$C$10,6)+1)</x:f>
      </x:c>
      <x:c r="G12" s="28" t="str">
        <x:f>IF(F12="","",2*MOD(INT((E12-1)/2)+'Schedule Transform'!$C$11,2)+MOD(MOD(E12-1,2)+'Schedule Transform'!$C$12,2)+1)</x:f>
      </x:c>
      <x:c r="H12" s="28" t="str">
        <x:f>IF(F12="","","RFP-"&amp;IF(F12&lt;=2,"A",IF(F12&lt;=4,"B","C"))&amp;IF(MOD(F12,2)=1,"1","2"))</x:f>
      </x:c>
      <x:c r="I12" s="28" t="str">
        <x:f>IF(G12="","",IF(G12&lt;=2,"AM-05","AM-06"))</x:f>
      </x:c>
      <x:c r="J12" s="28" t="str">
        <x:f>IF(G12="","",IF(MOD(G12,2)=1,"TR-A","TR-B"))</x:f>
      </x:c>
      <x:c r="K12" s="28" t="str">
        <x:f>IF(H12="","",H12&amp;"-"&amp;I12&amp;"-"&amp;J12)</x:f>
      </x:c>
      <x:c r="L12" s="28" t="str">
        <x:f>IF(K12="","OPEN",IF(COUNTIFS($K$7:$K$30,K12)=1,"PASS","FAIL"))</x:f>
        <x:v>OPEN</x:v>
      </x:c>
    </x:row>
    <x:row r="13">
      <x:c r="B13" s="28" t="str">
        <x:v>QE01-007</x:v>
      </x:c>
      <x:c r="C13" s="28" t="n">
        <x:v>1</x:v>
      </x:c>
      <x:c r="D13" s="28" t="n">
        <x:v>2</x:v>
      </x:c>
      <x:c r="E13" s="28" t="n">
        <x:v>2</x:v>
      </x:c>
      <x:c r="F13" s="28" t="str">
        <x:f>IF('Schedule Transform'!$E$13&lt;&gt;"PASS","",MOD(C13-1+'Schedule Transform'!$C$10,6)+1)</x:f>
      </x:c>
      <x:c r="G13" s="28" t="str">
        <x:f>IF(F13="","",2*MOD(INT((E13-1)/2)+'Schedule Transform'!$C$11,2)+MOD(MOD(E13-1,2)+'Schedule Transform'!$C$12,2)+1)</x:f>
      </x:c>
      <x:c r="H13" s="28" t="str">
        <x:f>IF(F13="","","RFP-"&amp;IF(F13&lt;=2,"A",IF(F13&lt;=4,"B","C"))&amp;IF(MOD(F13,2)=1,"1","2"))</x:f>
      </x:c>
      <x:c r="I13" s="28" t="str">
        <x:f>IF(G13="","",IF(G13&lt;=2,"AM-05","AM-06"))</x:f>
      </x:c>
      <x:c r="J13" s="28" t="str">
        <x:f>IF(G13="","",IF(MOD(G13,2)=1,"TR-A","TR-B"))</x:f>
      </x:c>
      <x:c r="K13" s="28" t="str">
        <x:f>IF(H13="","",H13&amp;"-"&amp;I13&amp;"-"&amp;J13)</x:f>
      </x:c>
      <x:c r="L13" s="28" t="str">
        <x:f>IF(K13="","OPEN",IF(COUNTIFS($K$7:$K$30,K13)=1,"PASS","FAIL"))</x:f>
        <x:v>OPEN</x:v>
      </x:c>
    </x:row>
    <x:row r="14">
      <x:c r="B14" s="28" t="str">
        <x:v>QE01-008</x:v>
      </x:c>
      <x:c r="C14" s="28" t="n">
        <x:v>2</x:v>
      </x:c>
      <x:c r="D14" s="28" t="n">
        <x:v>2</x:v>
      </x:c>
      <x:c r="E14" s="28" t="n">
        <x:v>2</x:v>
      </x:c>
      <x:c r="F14" s="28" t="str">
        <x:f>IF('Schedule Transform'!$E$13&lt;&gt;"PASS","",MOD(C14-1+'Schedule Transform'!$C$10,6)+1)</x:f>
      </x:c>
      <x:c r="G14" s="28" t="str">
        <x:f>IF(F14="","",2*MOD(INT((E14-1)/2)+'Schedule Transform'!$C$11,2)+MOD(MOD(E14-1,2)+'Schedule Transform'!$C$12,2)+1)</x:f>
      </x:c>
      <x:c r="H14" s="28" t="str">
        <x:f>IF(F14="","","RFP-"&amp;IF(F14&lt;=2,"A",IF(F14&lt;=4,"B","C"))&amp;IF(MOD(F14,2)=1,"1","2"))</x:f>
      </x:c>
      <x:c r="I14" s="28" t="str">
        <x:f>IF(G14="","",IF(G14&lt;=2,"AM-05","AM-06"))</x:f>
      </x:c>
      <x:c r="J14" s="28" t="str">
        <x:f>IF(G14="","",IF(MOD(G14,2)=1,"TR-A","TR-B"))</x:f>
      </x:c>
      <x:c r="K14" s="28" t="str">
        <x:f>IF(H14="","",H14&amp;"-"&amp;I14&amp;"-"&amp;J14)</x:f>
      </x:c>
      <x:c r="L14" s="28" t="str">
        <x:f>IF(K14="","OPEN",IF(COUNTIFS($K$7:$K$30,K14)=1,"PASS","FAIL"))</x:f>
        <x:v>OPEN</x:v>
      </x:c>
    </x:row>
    <x:row r="15">
      <x:c r="B15" s="28" t="str">
        <x:v>QE01-009</x:v>
      </x:c>
      <x:c r="C15" s="28" t="n">
        <x:v>3</x:v>
      </x:c>
      <x:c r="D15" s="28" t="n">
        <x:v>2</x:v>
      </x:c>
      <x:c r="E15" s="28" t="n">
        <x:v>3</x:v>
      </x:c>
      <x:c r="F15" s="28" t="str">
        <x:f>IF('Schedule Transform'!$E$13&lt;&gt;"PASS","",MOD(C15-1+'Schedule Transform'!$C$10,6)+1)</x:f>
      </x:c>
      <x:c r="G15" s="28" t="str">
        <x:f>IF(F15="","",2*MOD(INT((E15-1)/2)+'Schedule Transform'!$C$11,2)+MOD(MOD(E15-1,2)+'Schedule Transform'!$C$12,2)+1)</x:f>
      </x:c>
      <x:c r="H15" s="28" t="str">
        <x:f>IF(F15="","","RFP-"&amp;IF(F15&lt;=2,"A",IF(F15&lt;=4,"B","C"))&amp;IF(MOD(F15,2)=1,"1","2"))</x:f>
      </x:c>
      <x:c r="I15" s="28" t="str">
        <x:f>IF(G15="","",IF(G15&lt;=2,"AM-05","AM-06"))</x:f>
      </x:c>
      <x:c r="J15" s="28" t="str">
        <x:f>IF(G15="","",IF(MOD(G15,2)=1,"TR-A","TR-B"))</x:f>
      </x:c>
      <x:c r="K15" s="28" t="str">
        <x:f>IF(H15="","",H15&amp;"-"&amp;I15&amp;"-"&amp;J15)</x:f>
      </x:c>
      <x:c r="L15" s="28" t="str">
        <x:f>IF(K15="","OPEN",IF(COUNTIFS($K$7:$K$30,K15)=1,"PASS","FAIL"))</x:f>
        <x:v>OPEN</x:v>
      </x:c>
    </x:row>
    <x:row r="16">
      <x:c r="B16" s="28" t="str">
        <x:v>QE01-010</x:v>
      </x:c>
      <x:c r="C16" s="28" t="n">
        <x:v>4</x:v>
      </x:c>
      <x:c r="D16" s="28" t="n">
        <x:v>2</x:v>
      </x:c>
      <x:c r="E16" s="28" t="n">
        <x:v>4</x:v>
      </x:c>
      <x:c r="F16" s="28" t="str">
        <x:f>IF('Schedule Transform'!$E$13&lt;&gt;"PASS","",MOD(C16-1+'Schedule Transform'!$C$10,6)+1)</x:f>
      </x:c>
      <x:c r="G16" s="28" t="str">
        <x:f>IF(F16="","",2*MOD(INT((E16-1)/2)+'Schedule Transform'!$C$11,2)+MOD(MOD(E16-1,2)+'Schedule Transform'!$C$12,2)+1)</x:f>
      </x:c>
      <x:c r="H16" s="28" t="str">
        <x:f>IF(F16="","","RFP-"&amp;IF(F16&lt;=2,"A",IF(F16&lt;=4,"B","C"))&amp;IF(MOD(F16,2)=1,"1","2"))</x:f>
      </x:c>
      <x:c r="I16" s="28" t="str">
        <x:f>IF(G16="","",IF(G16&lt;=2,"AM-05","AM-06"))</x:f>
      </x:c>
      <x:c r="J16" s="28" t="str">
        <x:f>IF(G16="","",IF(MOD(G16,2)=1,"TR-A","TR-B"))</x:f>
      </x:c>
      <x:c r="K16" s="28" t="str">
        <x:f>IF(H16="","",H16&amp;"-"&amp;I16&amp;"-"&amp;J16)</x:f>
      </x:c>
      <x:c r="L16" s="28" t="str">
        <x:f>IF(K16="","OPEN",IF(COUNTIFS($K$7:$K$30,K16)=1,"PASS","FAIL"))</x:f>
        <x:v>OPEN</x:v>
      </x:c>
    </x:row>
    <x:row r="17">
      <x:c r="B17" s="28" t="str">
        <x:v>QE01-011</x:v>
      </x:c>
      <x:c r="C17" s="28" t="n">
        <x:v>5</x:v>
      </x:c>
      <x:c r="D17" s="28" t="n">
        <x:v>2</x:v>
      </x:c>
      <x:c r="E17" s="28" t="n">
        <x:v>1</x:v>
      </x:c>
      <x:c r="F17" s="28" t="str">
        <x:f>IF('Schedule Transform'!$E$13&lt;&gt;"PASS","",MOD(C17-1+'Schedule Transform'!$C$10,6)+1)</x:f>
      </x:c>
      <x:c r="G17" s="28" t="str">
        <x:f>IF(F17="","",2*MOD(INT((E17-1)/2)+'Schedule Transform'!$C$11,2)+MOD(MOD(E17-1,2)+'Schedule Transform'!$C$12,2)+1)</x:f>
      </x:c>
      <x:c r="H17" s="28" t="str">
        <x:f>IF(F17="","","RFP-"&amp;IF(F17&lt;=2,"A",IF(F17&lt;=4,"B","C"))&amp;IF(MOD(F17,2)=1,"1","2"))</x:f>
      </x:c>
      <x:c r="I17" s="28" t="str">
        <x:f>IF(G17="","",IF(G17&lt;=2,"AM-05","AM-06"))</x:f>
      </x:c>
      <x:c r="J17" s="28" t="str">
        <x:f>IF(G17="","",IF(MOD(G17,2)=1,"TR-A","TR-B"))</x:f>
      </x:c>
      <x:c r="K17" s="28" t="str">
        <x:f>IF(H17="","",H17&amp;"-"&amp;I17&amp;"-"&amp;J17)</x:f>
      </x:c>
      <x:c r="L17" s="28" t="str">
        <x:f>IF(K17="","OPEN",IF(COUNTIFS($K$7:$K$30,K17)=1,"PASS","FAIL"))</x:f>
        <x:v>OPEN</x:v>
      </x:c>
    </x:row>
    <x:row r="18">
      <x:c r="B18" s="28" t="str">
        <x:v>QE01-012</x:v>
      </x:c>
      <x:c r="C18" s="28" t="n">
        <x:v>6</x:v>
      </x:c>
      <x:c r="D18" s="28" t="n">
        <x:v>2</x:v>
      </x:c>
      <x:c r="E18" s="28" t="n">
        <x:v>3</x:v>
      </x:c>
      <x:c r="F18" s="28" t="str">
        <x:f>IF('Schedule Transform'!$E$13&lt;&gt;"PASS","",MOD(C18-1+'Schedule Transform'!$C$10,6)+1)</x:f>
      </x:c>
      <x:c r="G18" s="28" t="str">
        <x:f>IF(F18="","",2*MOD(INT((E18-1)/2)+'Schedule Transform'!$C$11,2)+MOD(MOD(E18-1,2)+'Schedule Transform'!$C$12,2)+1)</x:f>
      </x:c>
      <x:c r="H18" s="28" t="str">
        <x:f>IF(F18="","","RFP-"&amp;IF(F18&lt;=2,"A",IF(F18&lt;=4,"B","C"))&amp;IF(MOD(F18,2)=1,"1","2"))</x:f>
      </x:c>
      <x:c r="I18" s="28" t="str">
        <x:f>IF(G18="","",IF(G18&lt;=2,"AM-05","AM-06"))</x:f>
      </x:c>
      <x:c r="J18" s="28" t="str">
        <x:f>IF(G18="","",IF(MOD(G18,2)=1,"TR-A","TR-B"))</x:f>
      </x:c>
      <x:c r="K18" s="28" t="str">
        <x:f>IF(H18="","",H18&amp;"-"&amp;I18&amp;"-"&amp;J18)</x:f>
      </x:c>
      <x:c r="L18" s="28" t="str">
        <x:f>IF(K18="","OPEN",IF(COUNTIFS($K$7:$K$30,K18)=1,"PASS","FAIL"))</x:f>
        <x:v>OPEN</x:v>
      </x:c>
    </x:row>
    <x:row r="19">
      <x:c r="B19" s="28" t="str">
        <x:v>QE01-013</x:v>
      </x:c>
      <x:c r="C19" s="28" t="n">
        <x:v>1</x:v>
      </x:c>
      <x:c r="D19" s="28" t="n">
        <x:v>3</x:v>
      </x:c>
      <x:c r="E19" s="28" t="n">
        <x:v>3</x:v>
      </x:c>
      <x:c r="F19" s="28" t="str">
        <x:f>IF('Schedule Transform'!$E$13&lt;&gt;"PASS","",MOD(C19-1+'Schedule Transform'!$C$10,6)+1)</x:f>
      </x:c>
      <x:c r="G19" s="28" t="str">
        <x:f>IF(F19="","",2*MOD(INT((E19-1)/2)+'Schedule Transform'!$C$11,2)+MOD(MOD(E19-1,2)+'Schedule Transform'!$C$12,2)+1)</x:f>
      </x:c>
      <x:c r="H19" s="28" t="str">
        <x:f>IF(F19="","","RFP-"&amp;IF(F19&lt;=2,"A",IF(F19&lt;=4,"B","C"))&amp;IF(MOD(F19,2)=1,"1","2"))</x:f>
      </x:c>
      <x:c r="I19" s="28" t="str">
        <x:f>IF(G19="","",IF(G19&lt;=2,"AM-05","AM-06"))</x:f>
      </x:c>
      <x:c r="J19" s="28" t="str">
        <x:f>IF(G19="","",IF(MOD(G19,2)=1,"TR-A","TR-B"))</x:f>
      </x:c>
      <x:c r="K19" s="28" t="str">
        <x:f>IF(H19="","",H19&amp;"-"&amp;I19&amp;"-"&amp;J19)</x:f>
      </x:c>
      <x:c r="L19" s="28" t="str">
        <x:f>IF(K19="","OPEN",IF(COUNTIFS($K$7:$K$30,K19)=1,"PASS","FAIL"))</x:f>
        <x:v>OPEN</x:v>
      </x:c>
    </x:row>
    <x:row r="20">
      <x:c r="B20" s="28" t="str">
        <x:v>QE01-014</x:v>
      </x:c>
      <x:c r="C20" s="28" t="n">
        <x:v>2</x:v>
      </x:c>
      <x:c r="D20" s="28" t="n">
        <x:v>3</x:v>
      </x:c>
      <x:c r="E20" s="28" t="n">
        <x:v>4</x:v>
      </x:c>
      <x:c r="F20" s="28" t="str">
        <x:f>IF('Schedule Transform'!$E$13&lt;&gt;"PASS","",MOD(C20-1+'Schedule Transform'!$C$10,6)+1)</x:f>
      </x:c>
      <x:c r="G20" s="28" t="str">
        <x:f>IF(F20="","",2*MOD(INT((E20-1)/2)+'Schedule Transform'!$C$11,2)+MOD(MOD(E20-1,2)+'Schedule Transform'!$C$12,2)+1)</x:f>
      </x:c>
      <x:c r="H20" s="28" t="str">
        <x:f>IF(F20="","","RFP-"&amp;IF(F20&lt;=2,"A",IF(F20&lt;=4,"B","C"))&amp;IF(MOD(F20,2)=1,"1","2"))</x:f>
      </x:c>
      <x:c r="I20" s="28" t="str">
        <x:f>IF(G20="","",IF(G20&lt;=2,"AM-05","AM-06"))</x:f>
      </x:c>
      <x:c r="J20" s="28" t="str">
        <x:f>IF(G20="","",IF(MOD(G20,2)=1,"TR-A","TR-B"))</x:f>
      </x:c>
      <x:c r="K20" s="28" t="str">
        <x:f>IF(H20="","",H20&amp;"-"&amp;I20&amp;"-"&amp;J20)</x:f>
      </x:c>
      <x:c r="L20" s="28" t="str">
        <x:f>IF(K20="","OPEN",IF(COUNTIFS($K$7:$K$30,K20)=1,"PASS","FAIL"))</x:f>
        <x:v>OPEN</x:v>
      </x:c>
    </x:row>
    <x:row r="21">
      <x:c r="B21" s="28" t="str">
        <x:v>QE01-015</x:v>
      </x:c>
      <x:c r="C21" s="28" t="n">
        <x:v>3</x:v>
      </x:c>
      <x:c r="D21" s="28" t="n">
        <x:v>3</x:v>
      </x:c>
      <x:c r="E21" s="28" t="n">
        <x:v>1</x:v>
      </x:c>
      <x:c r="F21" s="28" t="str">
        <x:f>IF('Schedule Transform'!$E$13&lt;&gt;"PASS","",MOD(C21-1+'Schedule Transform'!$C$10,6)+1)</x:f>
      </x:c>
      <x:c r="G21" s="28" t="str">
        <x:f>IF(F21="","",2*MOD(INT((E21-1)/2)+'Schedule Transform'!$C$11,2)+MOD(MOD(E21-1,2)+'Schedule Transform'!$C$12,2)+1)</x:f>
      </x:c>
      <x:c r="H21" s="28" t="str">
        <x:f>IF(F21="","","RFP-"&amp;IF(F21&lt;=2,"A",IF(F21&lt;=4,"B","C"))&amp;IF(MOD(F21,2)=1,"1","2"))</x:f>
      </x:c>
      <x:c r="I21" s="28" t="str">
        <x:f>IF(G21="","",IF(G21&lt;=2,"AM-05","AM-06"))</x:f>
      </x:c>
      <x:c r="J21" s="28" t="str">
        <x:f>IF(G21="","",IF(MOD(G21,2)=1,"TR-A","TR-B"))</x:f>
      </x:c>
      <x:c r="K21" s="28" t="str">
        <x:f>IF(H21="","",H21&amp;"-"&amp;I21&amp;"-"&amp;J21)</x:f>
      </x:c>
      <x:c r="L21" s="28" t="str">
        <x:f>IF(K21="","OPEN",IF(COUNTIFS($K$7:$K$30,K21)=1,"PASS","FAIL"))</x:f>
        <x:v>OPEN</x:v>
      </x:c>
    </x:row>
    <x:row r="22">
      <x:c r="B22" s="28" t="str">
        <x:v>QE01-016</x:v>
      </x:c>
      <x:c r="C22" s="28" t="n">
        <x:v>4</x:v>
      </x:c>
      <x:c r="D22" s="28" t="n">
        <x:v>3</x:v>
      </x:c>
      <x:c r="E22" s="28" t="n">
        <x:v>2</x:v>
      </x:c>
      <x:c r="F22" s="28" t="str">
        <x:f>IF('Schedule Transform'!$E$13&lt;&gt;"PASS","",MOD(C22-1+'Schedule Transform'!$C$10,6)+1)</x:f>
      </x:c>
      <x:c r="G22" s="28" t="str">
        <x:f>IF(F22="","",2*MOD(INT((E22-1)/2)+'Schedule Transform'!$C$11,2)+MOD(MOD(E22-1,2)+'Schedule Transform'!$C$12,2)+1)</x:f>
      </x:c>
      <x:c r="H22" s="28" t="str">
        <x:f>IF(F22="","","RFP-"&amp;IF(F22&lt;=2,"A",IF(F22&lt;=4,"B","C"))&amp;IF(MOD(F22,2)=1,"1","2"))</x:f>
      </x:c>
      <x:c r="I22" s="28" t="str">
        <x:f>IF(G22="","",IF(G22&lt;=2,"AM-05","AM-06"))</x:f>
      </x:c>
      <x:c r="J22" s="28" t="str">
        <x:f>IF(G22="","",IF(MOD(G22,2)=1,"TR-A","TR-B"))</x:f>
      </x:c>
      <x:c r="K22" s="28" t="str">
        <x:f>IF(H22="","",H22&amp;"-"&amp;I22&amp;"-"&amp;J22)</x:f>
      </x:c>
      <x:c r="L22" s="28" t="str">
        <x:f>IF(K22="","OPEN",IF(COUNTIFS($K$7:$K$30,K22)=1,"PASS","FAIL"))</x:f>
        <x:v>OPEN</x:v>
      </x:c>
    </x:row>
    <x:row r="23">
      <x:c r="B23" s="28" t="str">
        <x:v>QE01-017</x:v>
      </x:c>
      <x:c r="C23" s="28" t="n">
        <x:v>5</x:v>
      </x:c>
      <x:c r="D23" s="28" t="n">
        <x:v>3</x:v>
      </x:c>
      <x:c r="E23" s="28" t="n">
        <x:v>3</x:v>
      </x:c>
      <x:c r="F23" s="28" t="str">
        <x:f>IF('Schedule Transform'!$E$13&lt;&gt;"PASS","",MOD(C23-1+'Schedule Transform'!$C$10,6)+1)</x:f>
      </x:c>
      <x:c r="G23" s="28" t="str">
        <x:f>IF(F23="","",2*MOD(INT((E23-1)/2)+'Schedule Transform'!$C$11,2)+MOD(MOD(E23-1,2)+'Schedule Transform'!$C$12,2)+1)</x:f>
      </x:c>
      <x:c r="H23" s="28" t="str">
        <x:f>IF(F23="","","RFP-"&amp;IF(F23&lt;=2,"A",IF(F23&lt;=4,"B","C"))&amp;IF(MOD(F23,2)=1,"1","2"))</x:f>
      </x:c>
      <x:c r="I23" s="28" t="str">
        <x:f>IF(G23="","",IF(G23&lt;=2,"AM-05","AM-06"))</x:f>
      </x:c>
      <x:c r="J23" s="28" t="str">
        <x:f>IF(G23="","",IF(MOD(G23,2)=1,"TR-A","TR-B"))</x:f>
      </x:c>
      <x:c r="K23" s="28" t="str">
        <x:f>IF(H23="","",H23&amp;"-"&amp;I23&amp;"-"&amp;J23)</x:f>
      </x:c>
      <x:c r="L23" s="28" t="str">
        <x:f>IF(K23="","OPEN",IF(COUNTIFS($K$7:$K$30,K23)=1,"PASS","FAIL"))</x:f>
        <x:v>OPEN</x:v>
      </x:c>
    </x:row>
    <x:row r="24">
      <x:c r="B24" s="28" t="str">
        <x:v>QE01-018</x:v>
      </x:c>
      <x:c r="C24" s="28" t="n">
        <x:v>6</x:v>
      </x:c>
      <x:c r="D24" s="28" t="n">
        <x:v>3</x:v>
      </x:c>
      <x:c r="E24" s="28" t="n">
        <x:v>2</x:v>
      </x:c>
      <x:c r="F24" s="28" t="str">
        <x:f>IF('Schedule Transform'!$E$13&lt;&gt;"PASS","",MOD(C24-1+'Schedule Transform'!$C$10,6)+1)</x:f>
      </x:c>
      <x:c r="G24" s="28" t="str">
        <x:f>IF(F24="","",2*MOD(INT((E24-1)/2)+'Schedule Transform'!$C$11,2)+MOD(MOD(E24-1,2)+'Schedule Transform'!$C$12,2)+1)</x:f>
      </x:c>
      <x:c r="H24" s="28" t="str">
        <x:f>IF(F24="","","RFP-"&amp;IF(F24&lt;=2,"A",IF(F24&lt;=4,"B","C"))&amp;IF(MOD(F24,2)=1,"1","2"))</x:f>
      </x:c>
      <x:c r="I24" s="28" t="str">
        <x:f>IF(G24="","",IF(G24&lt;=2,"AM-05","AM-06"))</x:f>
      </x:c>
      <x:c r="J24" s="28" t="str">
        <x:f>IF(G24="","",IF(MOD(G24,2)=1,"TR-A","TR-B"))</x:f>
      </x:c>
      <x:c r="K24" s="28" t="str">
        <x:f>IF(H24="","",H24&amp;"-"&amp;I24&amp;"-"&amp;J24)</x:f>
      </x:c>
      <x:c r="L24" s="28" t="str">
        <x:f>IF(K24="","OPEN",IF(COUNTIFS($K$7:$K$30,K24)=1,"PASS","FAIL"))</x:f>
        <x:v>OPEN</x:v>
      </x:c>
    </x:row>
    <x:row r="25">
      <x:c r="B25" s="28" t="str">
        <x:v>QE01-019</x:v>
      </x:c>
      <x:c r="C25" s="28" t="n">
        <x:v>1</x:v>
      </x:c>
      <x:c r="D25" s="28" t="n">
        <x:v>4</x:v>
      </x:c>
      <x:c r="E25" s="28" t="n">
        <x:v>4</x:v>
      </x:c>
      <x:c r="F25" s="28" t="str">
        <x:f>IF('Schedule Transform'!$E$13&lt;&gt;"PASS","",MOD(C25-1+'Schedule Transform'!$C$10,6)+1)</x:f>
      </x:c>
      <x:c r="G25" s="28" t="str">
        <x:f>IF(F25="","",2*MOD(INT((E25-1)/2)+'Schedule Transform'!$C$11,2)+MOD(MOD(E25-1,2)+'Schedule Transform'!$C$12,2)+1)</x:f>
      </x:c>
      <x:c r="H25" s="28" t="str">
        <x:f>IF(F25="","","RFP-"&amp;IF(F25&lt;=2,"A",IF(F25&lt;=4,"B","C"))&amp;IF(MOD(F25,2)=1,"1","2"))</x:f>
      </x:c>
      <x:c r="I25" s="28" t="str">
        <x:f>IF(G25="","",IF(G25&lt;=2,"AM-05","AM-06"))</x:f>
      </x:c>
      <x:c r="J25" s="28" t="str">
        <x:f>IF(G25="","",IF(MOD(G25,2)=1,"TR-A","TR-B"))</x:f>
      </x:c>
      <x:c r="K25" s="28" t="str">
        <x:f>IF(H25="","",H25&amp;"-"&amp;I25&amp;"-"&amp;J25)</x:f>
      </x:c>
      <x:c r="L25" s="28" t="str">
        <x:f>IF(K25="","OPEN",IF(COUNTIFS($K$7:$K$30,K25)=1,"PASS","FAIL"))</x:f>
        <x:v>OPEN</x:v>
      </x:c>
    </x:row>
    <x:row r="26">
      <x:c r="B26" s="28" t="str">
        <x:v>QE01-020</x:v>
      </x:c>
      <x:c r="C26" s="28" t="n">
        <x:v>2</x:v>
      </x:c>
      <x:c r="D26" s="28" t="n">
        <x:v>4</x:v>
      </x:c>
      <x:c r="E26" s="28" t="n">
        <x:v>3</x:v>
      </x:c>
      <x:c r="F26" s="28" t="str">
        <x:f>IF('Schedule Transform'!$E$13&lt;&gt;"PASS","",MOD(C26-1+'Schedule Transform'!$C$10,6)+1)</x:f>
      </x:c>
      <x:c r="G26" s="28" t="str">
        <x:f>IF(F26="","",2*MOD(INT((E26-1)/2)+'Schedule Transform'!$C$11,2)+MOD(MOD(E26-1,2)+'Schedule Transform'!$C$12,2)+1)</x:f>
      </x:c>
      <x:c r="H26" s="28" t="str">
        <x:f>IF(F26="","","RFP-"&amp;IF(F26&lt;=2,"A",IF(F26&lt;=4,"B","C"))&amp;IF(MOD(F26,2)=1,"1","2"))</x:f>
      </x:c>
      <x:c r="I26" s="28" t="str">
        <x:f>IF(G26="","",IF(G26&lt;=2,"AM-05","AM-06"))</x:f>
      </x:c>
      <x:c r="J26" s="28" t="str">
        <x:f>IF(G26="","",IF(MOD(G26,2)=1,"TR-A","TR-B"))</x:f>
      </x:c>
      <x:c r="K26" s="28" t="str">
        <x:f>IF(H26="","",H26&amp;"-"&amp;I26&amp;"-"&amp;J26)</x:f>
      </x:c>
      <x:c r="L26" s="28" t="str">
        <x:f>IF(K26="","OPEN",IF(COUNTIFS($K$7:$K$30,K26)=1,"PASS","FAIL"))</x:f>
        <x:v>OPEN</x:v>
      </x:c>
    </x:row>
    <x:row r="27">
      <x:c r="B27" s="28" t="str">
        <x:v>QE01-021</x:v>
      </x:c>
      <x:c r="C27" s="28" t="n">
        <x:v>3</x:v>
      </x:c>
      <x:c r="D27" s="28" t="n">
        <x:v>4</x:v>
      </x:c>
      <x:c r="E27" s="28" t="n">
        <x:v>4</x:v>
      </x:c>
      <x:c r="F27" s="28" t="str">
        <x:f>IF('Schedule Transform'!$E$13&lt;&gt;"PASS","",MOD(C27-1+'Schedule Transform'!$C$10,6)+1)</x:f>
      </x:c>
      <x:c r="G27" s="28" t="str">
        <x:f>IF(F27="","",2*MOD(INT((E27-1)/2)+'Schedule Transform'!$C$11,2)+MOD(MOD(E27-1,2)+'Schedule Transform'!$C$12,2)+1)</x:f>
      </x:c>
      <x:c r="H27" s="28" t="str">
        <x:f>IF(F27="","","RFP-"&amp;IF(F27&lt;=2,"A",IF(F27&lt;=4,"B","C"))&amp;IF(MOD(F27,2)=1,"1","2"))</x:f>
      </x:c>
      <x:c r="I27" s="28" t="str">
        <x:f>IF(G27="","",IF(G27&lt;=2,"AM-05","AM-06"))</x:f>
      </x:c>
      <x:c r="J27" s="28" t="str">
        <x:f>IF(G27="","",IF(MOD(G27,2)=1,"TR-A","TR-B"))</x:f>
      </x:c>
      <x:c r="K27" s="28" t="str">
        <x:f>IF(H27="","",H27&amp;"-"&amp;I27&amp;"-"&amp;J27)</x:f>
      </x:c>
      <x:c r="L27" s="28" t="str">
        <x:f>IF(K27="","OPEN",IF(COUNTIFS($K$7:$K$30,K27)=1,"PASS","FAIL"))</x:f>
        <x:v>OPEN</x:v>
      </x:c>
    </x:row>
    <x:row r="28">
      <x:c r="B28" s="28" t="str">
        <x:v>QE01-022</x:v>
      </x:c>
      <x:c r="C28" s="28" t="n">
        <x:v>4</x:v>
      </x:c>
      <x:c r="D28" s="28" t="n">
        <x:v>4</x:v>
      </x:c>
      <x:c r="E28" s="28" t="n">
        <x:v>1</x:v>
      </x:c>
      <x:c r="F28" s="28" t="str">
        <x:f>IF('Schedule Transform'!$E$13&lt;&gt;"PASS","",MOD(C28-1+'Schedule Transform'!$C$10,6)+1)</x:f>
      </x:c>
      <x:c r="G28" s="28" t="str">
        <x:f>IF(F28="","",2*MOD(INT((E28-1)/2)+'Schedule Transform'!$C$11,2)+MOD(MOD(E28-1,2)+'Schedule Transform'!$C$12,2)+1)</x:f>
      </x:c>
      <x:c r="H28" s="28" t="str">
        <x:f>IF(F28="","","RFP-"&amp;IF(F28&lt;=2,"A",IF(F28&lt;=4,"B","C"))&amp;IF(MOD(F28,2)=1,"1","2"))</x:f>
      </x:c>
      <x:c r="I28" s="28" t="str">
        <x:f>IF(G28="","",IF(G28&lt;=2,"AM-05","AM-06"))</x:f>
      </x:c>
      <x:c r="J28" s="28" t="str">
        <x:f>IF(G28="","",IF(MOD(G28,2)=1,"TR-A","TR-B"))</x:f>
      </x:c>
      <x:c r="K28" s="28" t="str">
        <x:f>IF(H28="","",H28&amp;"-"&amp;I28&amp;"-"&amp;J28)</x:f>
      </x:c>
      <x:c r="L28" s="28" t="str">
        <x:f>IF(K28="","OPEN",IF(COUNTIFS($K$7:$K$30,K28)=1,"PASS","FAIL"))</x:f>
        <x:v>OPEN</x:v>
      </x:c>
    </x:row>
    <x:row r="29">
      <x:c r="B29" s="28" t="str">
        <x:v>QE01-023</x:v>
      </x:c>
      <x:c r="C29" s="28" t="n">
        <x:v>5</x:v>
      </x:c>
      <x:c r="D29" s="28" t="n">
        <x:v>4</x:v>
      </x:c>
      <x:c r="E29" s="28" t="n">
        <x:v>2</x:v>
      </x:c>
      <x:c r="F29" s="28" t="str">
        <x:f>IF('Schedule Transform'!$E$13&lt;&gt;"PASS","",MOD(C29-1+'Schedule Transform'!$C$10,6)+1)</x:f>
      </x:c>
      <x:c r="G29" s="28" t="str">
        <x:f>IF(F29="","",2*MOD(INT((E29-1)/2)+'Schedule Transform'!$C$11,2)+MOD(MOD(E29-1,2)+'Schedule Transform'!$C$12,2)+1)</x:f>
      </x:c>
      <x:c r="H29" s="28" t="str">
        <x:f>IF(F29="","","RFP-"&amp;IF(F29&lt;=2,"A",IF(F29&lt;=4,"B","C"))&amp;IF(MOD(F29,2)=1,"1","2"))</x:f>
      </x:c>
      <x:c r="I29" s="28" t="str">
        <x:f>IF(G29="","",IF(G29&lt;=2,"AM-05","AM-06"))</x:f>
      </x:c>
      <x:c r="J29" s="28" t="str">
        <x:f>IF(G29="","",IF(MOD(G29,2)=1,"TR-A","TR-B"))</x:f>
      </x:c>
      <x:c r="K29" s="28" t="str">
        <x:f>IF(H29="","",H29&amp;"-"&amp;I29&amp;"-"&amp;J29)</x:f>
      </x:c>
      <x:c r="L29" s="28" t="str">
        <x:f>IF(K29="","OPEN",IF(COUNTIFS($K$7:$K$30,K29)=1,"PASS","FAIL"))</x:f>
        <x:v>OPEN</x:v>
      </x:c>
    </x:row>
    <x:row r="30">
      <x:c r="B30" s="28" t="str">
        <x:v>QE01-024</x:v>
      </x:c>
      <x:c r="C30" s="28" t="n">
        <x:v>6</x:v>
      </x:c>
      <x:c r="D30" s="28" t="n">
        <x:v>4</x:v>
      </x:c>
      <x:c r="E30" s="28" t="n">
        <x:v>1</x:v>
      </x:c>
      <x:c r="F30" s="28" t="str">
        <x:f>IF('Schedule Transform'!$E$13&lt;&gt;"PASS","",MOD(C30-1+'Schedule Transform'!$C$10,6)+1)</x:f>
      </x:c>
      <x:c r="G30" s="28" t="str">
        <x:f>IF(F30="","",2*MOD(INT((E30-1)/2)+'Schedule Transform'!$C$11,2)+MOD(MOD(E30-1,2)+'Schedule Transform'!$C$12,2)+1)</x:f>
      </x:c>
      <x:c r="H30" s="28" t="str">
        <x:f>IF(F30="","","RFP-"&amp;IF(F30&lt;=2,"A",IF(F30&lt;=4,"B","C"))&amp;IF(MOD(F30,2)=1,"1","2"))</x:f>
      </x:c>
      <x:c r="I30" s="28" t="str">
        <x:f>IF(G30="","",IF(G30&lt;=2,"AM-05","AM-06"))</x:f>
      </x:c>
      <x:c r="J30" s="28" t="str">
        <x:f>IF(G30="","",IF(MOD(G30,2)=1,"TR-A","TR-B"))</x:f>
      </x:c>
      <x:c r="K30" s="28" t="str">
        <x:f>IF(H30="","",H30&amp;"-"&amp;I30&amp;"-"&amp;J30)</x:f>
      </x:c>
      <x:c r="L30" s="28" t="str">
        <x:f>IF(K30="","OPEN",IF(COUNTIFS($K$7:$K$30,K30)=1,"PASS","FAIL"))</x:f>
        <x:v>OPEN</x:v>
      </x:c>
    </x:row>
  </x:sheetData>
  <x:conditionalFormatting sqref="L7:L30">
    <x:cfRule type="containsText" dxfId="27" priority="1" operator="containsText" text="FAIL"/>
    <x:cfRule type="containsText" dxfId="28" priority="2" operator="containsText" text="BLOCKED"/>
    <x:cfRule type="containsText" dxfId="29" priority="3" operator="containsText" text="INVALID"/>
    <x:cfRule type="containsText" dxfId="30" priority="4" operator="containsText" text="ADVERSE"/>
    <x:cfRule type="containsText" dxfId="31" priority="5" operator="containsText" text="EXPIRED"/>
    <x:cfRule type="containsText" dxfId="32" priority="6" operator="containsText" text="OPEN"/>
    <x:cfRule type="containsText" dxfId="33" priority="7" operator="containsText" text="DORMANT"/>
    <x:cfRule type="containsText" dxfId="34" priority="8" operator="containsText" text="PASS"/>
    <x:cfRule type="containsText" dxfId="35" priority="9" operator="containsText" text="AVAILABL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2">
      <x:c r="B2" s="23" t="str">
        <x:v>Thirty-six schedule-balance checks</x:v>
      </x:c>
      <x:c r="C2" s="24"/>
      <x:c r="D2" s="24"/>
      <x:c r="E2" s="24"/>
      <x:c r="F2" s="24"/>
      <x:c r="G2" s="24"/>
      <x:c r="H2" s="24"/>
    </x:row>
    <x:row r="3">
      <x:c r="B3" s="25" t="str">
        <x:v>Every wave balances method and root margins. Position and directed carryover counts remain within one observation.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Check</x:v>
      </x:c>
      <x:c r="C6" s="6" t="str">
        <x:v>Class</x:v>
      </x:c>
      <x:c r="D6" s="6" t="str">
        <x:v>Dimension A</x:v>
      </x:c>
      <x:c r="E6" s="6" t="str">
        <x:v>Dimension B</x:v>
      </x:c>
      <x:c r="F6" s="6" t="str">
        <x:v>Required</x:v>
      </x:c>
      <x:c r="G6" s="6" t="str">
        <x:v>Observed</x:v>
      </x:c>
      <x:c r="H6" s="6" t="str">
        <x:v>State</x:v>
      </x:c>
    </x:row>
    <x:row r="7">
      <x:c r="B7" s="28" t="str">
        <x:v>BM-W1-M</x:v>
      </x:c>
      <x:c r="C7" s="28" t="str">
        <x:v>wave method margin</x:v>
      </x:c>
      <x:c r="D7" s="28" t="n">
        <x:v>1</x:v>
      </x:c>
      <x:c r="E7" s="28" t="str">
        <x:v>AM-05</x:v>
      </x:c>
      <x:c r="F7" s="28" t="n">
        <x:v>3</x:v>
      </x:c>
      <x:c r="G7" s="28" t="n">
        <x:f>COUNTIFS('Wave Schedule'!$D$7:$D$30,D7,'Wave Schedule'!$I$7:$I$30,E7)</x:f>
        <x:v>0</x:v>
      </x:c>
      <x:c r="H7" s="28" t="str">
        <x:f>IF(G7=F7,"PASS",IF(G7=0,"OPEN","FAIL"))</x:f>
        <x:v>OPEN</x:v>
      </x:c>
    </x:row>
    <x:row r="8">
      <x:c r="B8" s="28" t="str">
        <x:v>BM-W1-R</x:v>
      </x:c>
      <x:c r="C8" s="28" t="str">
        <x:v>wave root margin</x:v>
      </x:c>
      <x:c r="D8" s="28" t="n">
        <x:v>1</x:v>
      </x:c>
      <x:c r="E8" s="28" t="str">
        <x:v>TR-A</x:v>
      </x:c>
      <x:c r="F8" s="28" t="n">
        <x:v>3</x:v>
      </x:c>
      <x:c r="G8" s="28" t="n">
        <x:f>COUNTIFS('Wave Schedule'!$D$7:$D$30,D8,'Wave Schedule'!$J$7:$J$30,E8)</x:f>
        <x:v>0</x:v>
      </x:c>
      <x:c r="H8" s="28" t="str">
        <x:f>IF(G8=F8,"PASS",IF(G8=0,"OPEN","FAIL"))</x:f>
        <x:v>OPEN</x:v>
      </x:c>
    </x:row>
    <x:row r="9">
      <x:c r="B9" s="28" t="str">
        <x:v>BM-W2-M</x:v>
      </x:c>
      <x:c r="C9" s="28" t="str">
        <x:v>wave method margin</x:v>
      </x:c>
      <x:c r="D9" s="28" t="n">
        <x:v>2</x:v>
      </x:c>
      <x:c r="E9" s="28" t="str">
        <x:v>AM-05</x:v>
      </x:c>
      <x:c r="F9" s="28" t="n">
        <x:v>3</x:v>
      </x:c>
      <x:c r="G9" s="28" t="n">
        <x:f>COUNTIFS('Wave Schedule'!$D$7:$D$30,D9,'Wave Schedule'!$I$7:$I$30,E9)</x:f>
        <x:v>0</x:v>
      </x:c>
      <x:c r="H9" s="28" t="str">
        <x:f>IF(G9=F9,"PASS",IF(G9=0,"OPEN","FAIL"))</x:f>
        <x:v>OPEN</x:v>
      </x:c>
    </x:row>
    <x:row r="10">
      <x:c r="B10" s="28" t="str">
        <x:v>BM-W2-R</x:v>
      </x:c>
      <x:c r="C10" s="28" t="str">
        <x:v>wave root margin</x:v>
      </x:c>
      <x:c r="D10" s="28" t="n">
        <x:v>2</x:v>
      </x:c>
      <x:c r="E10" s="28" t="str">
        <x:v>TR-A</x:v>
      </x:c>
      <x:c r="F10" s="28" t="n">
        <x:v>3</x:v>
      </x:c>
      <x:c r="G10" s="28" t="n">
        <x:f>COUNTIFS('Wave Schedule'!$D$7:$D$30,D10,'Wave Schedule'!$J$7:$J$30,E10)</x:f>
        <x:v>0</x:v>
      </x:c>
      <x:c r="H10" s="28" t="str">
        <x:f>IF(G10=F10,"PASS",IF(G10=0,"OPEN","FAIL"))</x:f>
        <x:v>OPEN</x:v>
      </x:c>
    </x:row>
    <x:row r="11">
      <x:c r="B11" s="28" t="str">
        <x:v>BM-W3-M</x:v>
      </x:c>
      <x:c r="C11" s="28" t="str">
        <x:v>wave method margin</x:v>
      </x:c>
      <x:c r="D11" s="28" t="n">
        <x:v>3</x:v>
      </x:c>
      <x:c r="E11" s="28" t="str">
        <x:v>AM-05</x:v>
      </x:c>
      <x:c r="F11" s="28" t="n">
        <x:v>3</x:v>
      </x:c>
      <x:c r="G11" s="28" t="n">
        <x:f>COUNTIFS('Wave Schedule'!$D$7:$D$30,D11,'Wave Schedule'!$I$7:$I$30,E11)</x:f>
        <x:v>0</x:v>
      </x:c>
      <x:c r="H11" s="28" t="str">
        <x:f>IF(G11=F11,"PASS",IF(G11=0,"OPEN","FAIL"))</x:f>
        <x:v>OPEN</x:v>
      </x:c>
    </x:row>
    <x:row r="12">
      <x:c r="B12" s="28" t="str">
        <x:v>BM-W3-R</x:v>
      </x:c>
      <x:c r="C12" s="28" t="str">
        <x:v>wave root margin</x:v>
      </x:c>
      <x:c r="D12" s="28" t="n">
        <x:v>3</x:v>
      </x:c>
      <x:c r="E12" s="28" t="str">
        <x:v>TR-A</x:v>
      </x:c>
      <x:c r="F12" s="28" t="n">
        <x:v>3</x:v>
      </x:c>
      <x:c r="G12" s="28" t="n">
        <x:f>COUNTIFS('Wave Schedule'!$D$7:$D$30,D12,'Wave Schedule'!$J$7:$J$30,E12)</x:f>
        <x:v>0</x:v>
      </x:c>
      <x:c r="H12" s="28" t="str">
        <x:f>IF(G12=F12,"PASS",IF(G12=0,"OPEN","FAIL"))</x:f>
        <x:v>OPEN</x:v>
      </x:c>
    </x:row>
    <x:row r="13">
      <x:c r="B13" s="28" t="str">
        <x:v>BM-W4-M</x:v>
      </x:c>
      <x:c r="C13" s="28" t="str">
        <x:v>wave method margin</x:v>
      </x:c>
      <x:c r="D13" s="28" t="n">
        <x:v>4</x:v>
      </x:c>
      <x:c r="E13" s="28" t="str">
        <x:v>AM-05</x:v>
      </x:c>
      <x:c r="F13" s="28" t="n">
        <x:v>3</x:v>
      </x:c>
      <x:c r="G13" s="28" t="n">
        <x:f>COUNTIFS('Wave Schedule'!$D$7:$D$30,D13,'Wave Schedule'!$I$7:$I$30,E13)</x:f>
        <x:v>0</x:v>
      </x:c>
      <x:c r="H13" s="28" t="str">
        <x:f>IF(G13=F13,"PASS",IF(G13=0,"OPEN","FAIL"))</x:f>
        <x:v>OPEN</x:v>
      </x:c>
    </x:row>
    <x:row r="14">
      <x:c r="B14" s="28" t="str">
        <x:v>BM-W4-R</x:v>
      </x:c>
      <x:c r="C14" s="28" t="str">
        <x:v>wave root margin</x:v>
      </x:c>
      <x:c r="D14" s="28" t="n">
        <x:v>4</x:v>
      </x:c>
      <x:c r="E14" s="28" t="str">
        <x:v>TR-A</x:v>
      </x:c>
      <x:c r="F14" s="28" t="n">
        <x:v>3</x:v>
      </x:c>
      <x:c r="G14" s="28" t="n">
        <x:f>COUNTIFS('Wave Schedule'!$D$7:$D$30,D14,'Wave Schedule'!$J$7:$J$30,E14)</x:f>
        <x:v>0</x:v>
      </x:c>
      <x:c r="H14" s="28" t="str">
        <x:f>IF(G14=F14,"PASS",IF(G14=0,"OPEN","FAIL"))</x:f>
        <x:v>OPEN</x:v>
      </x:c>
    </x:row>
    <x:row r="15">
      <x:c r="B15" s="28" t="str">
        <x:v>BP-W1-T1</x:v>
      </x:c>
      <x:c r="C15" s="28" t="str">
        <x:v>position treatment</x:v>
      </x:c>
      <x:c r="D15" s="28" t="n">
        <x:v>1</x:v>
      </x:c>
      <x:c r="E15" s="28" t="str">
        <x:v>T1</x:v>
      </x:c>
      <x:c r="F15" s="28" t="str">
        <x:v>1-2</x:v>
      </x:c>
      <x:c r="G15" s="28" t="n">
        <x:f>COUNTIFS('Wave Schedule'!$D$7:$D$30,D15,'Wave Schedule'!$G$7:$G$30,RIGHT(E15,1)*1)</x:f>
        <x:v>0</x:v>
      </x:c>
      <x:c r="H15" s="28" t="str">
        <x:f>IF(G15=0,"OPEN",IF(AND(G15&gt;=1,G15&lt;=2),"PASS","FAIL"))</x:f>
        <x:v>OPEN</x:v>
      </x:c>
    </x:row>
    <x:row r="16">
      <x:c r="B16" s="28" t="str">
        <x:v>BP-W1-T2</x:v>
      </x:c>
      <x:c r="C16" s="28" t="str">
        <x:v>position treatment</x:v>
      </x:c>
      <x:c r="D16" s="28" t="n">
        <x:v>1</x:v>
      </x:c>
      <x:c r="E16" s="28" t="str">
        <x:v>T2</x:v>
      </x:c>
      <x:c r="F16" s="28" t="str">
        <x:v>1-2</x:v>
      </x:c>
      <x:c r="G16" s="28" t="n">
        <x:f>COUNTIFS('Wave Schedule'!$D$7:$D$30,D16,'Wave Schedule'!$G$7:$G$30,RIGHT(E16,1)*1)</x:f>
        <x:v>0</x:v>
      </x:c>
      <x:c r="H16" s="28" t="str">
        <x:f>IF(G16=0,"OPEN",IF(AND(G16&gt;=1,G16&lt;=2),"PASS","FAIL"))</x:f>
        <x:v>OPEN</x:v>
      </x:c>
    </x:row>
    <x:row r="17">
      <x:c r="B17" s="28" t="str">
        <x:v>BP-W1-T3</x:v>
      </x:c>
      <x:c r="C17" s="28" t="str">
        <x:v>position treatment</x:v>
      </x:c>
      <x:c r="D17" s="28" t="n">
        <x:v>1</x:v>
      </x:c>
      <x:c r="E17" s="28" t="str">
        <x:v>T3</x:v>
      </x:c>
      <x:c r="F17" s="28" t="str">
        <x:v>1-2</x:v>
      </x:c>
      <x:c r="G17" s="28" t="n">
        <x:f>COUNTIFS('Wave Schedule'!$D$7:$D$30,D17,'Wave Schedule'!$G$7:$G$30,RIGHT(E17,1)*1)</x:f>
        <x:v>0</x:v>
      </x:c>
      <x:c r="H17" s="28" t="str">
        <x:f>IF(G17=0,"OPEN",IF(AND(G17&gt;=1,G17&lt;=2),"PASS","FAIL"))</x:f>
        <x:v>OPEN</x:v>
      </x:c>
    </x:row>
    <x:row r="18">
      <x:c r="B18" s="28" t="str">
        <x:v>BP-W1-T4</x:v>
      </x:c>
      <x:c r="C18" s="28" t="str">
        <x:v>position treatment</x:v>
      </x:c>
      <x:c r="D18" s="28" t="n">
        <x:v>1</x:v>
      </x:c>
      <x:c r="E18" s="28" t="str">
        <x:v>T4</x:v>
      </x:c>
      <x:c r="F18" s="28" t="str">
        <x:v>1-2</x:v>
      </x:c>
      <x:c r="G18" s="28" t="n">
        <x:f>COUNTIFS('Wave Schedule'!$D$7:$D$30,D18,'Wave Schedule'!$G$7:$G$30,RIGHT(E18,1)*1)</x:f>
        <x:v>0</x:v>
      </x:c>
      <x:c r="H18" s="28" t="str">
        <x:f>IF(G18=0,"OPEN",IF(AND(G18&gt;=1,G18&lt;=2),"PASS","FAIL"))</x:f>
        <x:v>OPEN</x:v>
      </x:c>
    </x:row>
    <x:row r="19">
      <x:c r="B19" s="28" t="str">
        <x:v>BP-W2-T1</x:v>
      </x:c>
      <x:c r="C19" s="28" t="str">
        <x:v>position treatment</x:v>
      </x:c>
      <x:c r="D19" s="28" t="n">
        <x:v>2</x:v>
      </x:c>
      <x:c r="E19" s="28" t="str">
        <x:v>T1</x:v>
      </x:c>
      <x:c r="F19" s="28" t="str">
        <x:v>1-2</x:v>
      </x:c>
      <x:c r="G19" s="28" t="n">
        <x:f>COUNTIFS('Wave Schedule'!$D$7:$D$30,D19,'Wave Schedule'!$G$7:$G$30,RIGHT(E19,1)*1)</x:f>
        <x:v>0</x:v>
      </x:c>
      <x:c r="H19" s="28" t="str">
        <x:f>IF(G19=0,"OPEN",IF(AND(G19&gt;=1,G19&lt;=2),"PASS","FAIL"))</x:f>
        <x:v>OPEN</x:v>
      </x:c>
    </x:row>
    <x:row r="20">
      <x:c r="B20" s="28" t="str">
        <x:v>BP-W2-T2</x:v>
      </x:c>
      <x:c r="C20" s="28" t="str">
        <x:v>position treatment</x:v>
      </x:c>
      <x:c r="D20" s="28" t="n">
        <x:v>2</x:v>
      </x:c>
      <x:c r="E20" s="28" t="str">
        <x:v>T2</x:v>
      </x:c>
      <x:c r="F20" s="28" t="str">
        <x:v>1-2</x:v>
      </x:c>
      <x:c r="G20" s="28" t="n">
        <x:f>COUNTIFS('Wave Schedule'!$D$7:$D$30,D20,'Wave Schedule'!$G$7:$G$30,RIGHT(E20,1)*1)</x:f>
        <x:v>0</x:v>
      </x:c>
      <x:c r="H20" s="28" t="str">
        <x:f>IF(G20=0,"OPEN",IF(AND(G20&gt;=1,G20&lt;=2),"PASS","FAIL"))</x:f>
        <x:v>OPEN</x:v>
      </x:c>
    </x:row>
    <x:row r="21">
      <x:c r="B21" s="28" t="str">
        <x:v>BP-W2-T3</x:v>
      </x:c>
      <x:c r="C21" s="28" t="str">
        <x:v>position treatment</x:v>
      </x:c>
      <x:c r="D21" s="28" t="n">
        <x:v>2</x:v>
      </x:c>
      <x:c r="E21" s="28" t="str">
        <x:v>T3</x:v>
      </x:c>
      <x:c r="F21" s="28" t="str">
        <x:v>1-2</x:v>
      </x:c>
      <x:c r="G21" s="28" t="n">
        <x:f>COUNTIFS('Wave Schedule'!$D$7:$D$30,D21,'Wave Schedule'!$G$7:$G$30,RIGHT(E21,1)*1)</x:f>
        <x:v>0</x:v>
      </x:c>
      <x:c r="H21" s="28" t="str">
        <x:f>IF(G21=0,"OPEN",IF(AND(G21&gt;=1,G21&lt;=2),"PASS","FAIL"))</x:f>
        <x:v>OPEN</x:v>
      </x:c>
    </x:row>
    <x:row r="22">
      <x:c r="B22" s="28" t="str">
        <x:v>BP-W2-T4</x:v>
      </x:c>
      <x:c r="C22" s="28" t="str">
        <x:v>position treatment</x:v>
      </x:c>
      <x:c r="D22" s="28" t="n">
        <x:v>2</x:v>
      </x:c>
      <x:c r="E22" s="28" t="str">
        <x:v>T4</x:v>
      </x:c>
      <x:c r="F22" s="28" t="str">
        <x:v>1-2</x:v>
      </x:c>
      <x:c r="G22" s="28" t="n">
        <x:f>COUNTIFS('Wave Schedule'!$D$7:$D$30,D22,'Wave Schedule'!$G$7:$G$30,RIGHT(E22,1)*1)</x:f>
        <x:v>0</x:v>
      </x:c>
      <x:c r="H22" s="28" t="str">
        <x:f>IF(G22=0,"OPEN",IF(AND(G22&gt;=1,G22&lt;=2),"PASS","FAIL"))</x:f>
        <x:v>OPEN</x:v>
      </x:c>
    </x:row>
    <x:row r="23">
      <x:c r="B23" s="28" t="str">
        <x:v>BP-W3-T1</x:v>
      </x:c>
      <x:c r="C23" s="28" t="str">
        <x:v>position treatment</x:v>
      </x:c>
      <x:c r="D23" s="28" t="n">
        <x:v>3</x:v>
      </x:c>
      <x:c r="E23" s="28" t="str">
        <x:v>T1</x:v>
      </x:c>
      <x:c r="F23" s="28" t="str">
        <x:v>1-2</x:v>
      </x:c>
      <x:c r="G23" s="28" t="n">
        <x:f>COUNTIFS('Wave Schedule'!$D$7:$D$30,D23,'Wave Schedule'!$G$7:$G$30,RIGHT(E23,1)*1)</x:f>
        <x:v>0</x:v>
      </x:c>
      <x:c r="H23" s="28" t="str">
        <x:f>IF(G23=0,"OPEN",IF(AND(G23&gt;=1,G23&lt;=2),"PASS","FAIL"))</x:f>
        <x:v>OPEN</x:v>
      </x:c>
    </x:row>
    <x:row r="24">
      <x:c r="B24" s="28" t="str">
        <x:v>BP-W3-T2</x:v>
      </x:c>
      <x:c r="C24" s="28" t="str">
        <x:v>position treatment</x:v>
      </x:c>
      <x:c r="D24" s="28" t="n">
        <x:v>3</x:v>
      </x:c>
      <x:c r="E24" s="28" t="str">
        <x:v>T2</x:v>
      </x:c>
      <x:c r="F24" s="28" t="str">
        <x:v>1-2</x:v>
      </x:c>
      <x:c r="G24" s="28" t="n">
        <x:f>COUNTIFS('Wave Schedule'!$D$7:$D$30,D24,'Wave Schedule'!$G$7:$G$30,RIGHT(E24,1)*1)</x:f>
        <x:v>0</x:v>
      </x:c>
      <x:c r="H24" s="28" t="str">
        <x:f>IF(G24=0,"OPEN",IF(AND(G24&gt;=1,G24&lt;=2),"PASS","FAIL"))</x:f>
        <x:v>OPEN</x:v>
      </x:c>
    </x:row>
    <x:row r="25">
      <x:c r="B25" s="28" t="str">
        <x:v>BP-W3-T3</x:v>
      </x:c>
      <x:c r="C25" s="28" t="str">
        <x:v>position treatment</x:v>
      </x:c>
      <x:c r="D25" s="28" t="n">
        <x:v>3</x:v>
      </x:c>
      <x:c r="E25" s="28" t="str">
        <x:v>T3</x:v>
      </x:c>
      <x:c r="F25" s="28" t="str">
        <x:v>1-2</x:v>
      </x:c>
      <x:c r="G25" s="28" t="n">
        <x:f>COUNTIFS('Wave Schedule'!$D$7:$D$30,D25,'Wave Schedule'!$G$7:$G$30,RIGHT(E25,1)*1)</x:f>
        <x:v>0</x:v>
      </x:c>
      <x:c r="H25" s="28" t="str">
        <x:f>IF(G25=0,"OPEN",IF(AND(G25&gt;=1,G25&lt;=2),"PASS","FAIL"))</x:f>
        <x:v>OPEN</x:v>
      </x:c>
    </x:row>
    <x:row r="26">
      <x:c r="B26" s="28" t="str">
        <x:v>BP-W3-T4</x:v>
      </x:c>
      <x:c r="C26" s="28" t="str">
        <x:v>position treatment</x:v>
      </x:c>
      <x:c r="D26" s="28" t="n">
        <x:v>3</x:v>
      </x:c>
      <x:c r="E26" s="28" t="str">
        <x:v>T4</x:v>
      </x:c>
      <x:c r="F26" s="28" t="str">
        <x:v>1-2</x:v>
      </x:c>
      <x:c r="G26" s="28" t="n">
        <x:f>COUNTIFS('Wave Schedule'!$D$7:$D$30,D26,'Wave Schedule'!$G$7:$G$30,RIGHT(E26,1)*1)</x:f>
        <x:v>0</x:v>
      </x:c>
      <x:c r="H26" s="28" t="str">
        <x:f>IF(G26=0,"OPEN",IF(AND(G26&gt;=1,G26&lt;=2),"PASS","FAIL"))</x:f>
        <x:v>OPEN</x:v>
      </x:c>
    </x:row>
    <x:row r="27">
      <x:c r="B27" s="28" t="str">
        <x:v>BP-W4-T1</x:v>
      </x:c>
      <x:c r="C27" s="28" t="str">
        <x:v>position treatment</x:v>
      </x:c>
      <x:c r="D27" s="28" t="n">
        <x:v>4</x:v>
      </x:c>
      <x:c r="E27" s="28" t="str">
        <x:v>T1</x:v>
      </x:c>
      <x:c r="F27" s="28" t="str">
        <x:v>1-2</x:v>
      </x:c>
      <x:c r="G27" s="28" t="n">
        <x:f>COUNTIFS('Wave Schedule'!$D$7:$D$30,D27,'Wave Schedule'!$G$7:$G$30,RIGHT(E27,1)*1)</x:f>
        <x:v>0</x:v>
      </x:c>
      <x:c r="H27" s="28" t="str">
        <x:f>IF(G27=0,"OPEN",IF(AND(G27&gt;=1,G27&lt;=2),"PASS","FAIL"))</x:f>
        <x:v>OPEN</x:v>
      </x:c>
    </x:row>
    <x:row r="28">
      <x:c r="B28" s="28" t="str">
        <x:v>BP-W4-T2</x:v>
      </x:c>
      <x:c r="C28" s="28" t="str">
        <x:v>position treatment</x:v>
      </x:c>
      <x:c r="D28" s="28" t="n">
        <x:v>4</x:v>
      </x:c>
      <x:c r="E28" s="28" t="str">
        <x:v>T2</x:v>
      </x:c>
      <x:c r="F28" s="28" t="str">
        <x:v>1-2</x:v>
      </x:c>
      <x:c r="G28" s="28" t="n">
        <x:f>COUNTIFS('Wave Schedule'!$D$7:$D$30,D28,'Wave Schedule'!$G$7:$G$30,RIGHT(E28,1)*1)</x:f>
        <x:v>0</x:v>
      </x:c>
      <x:c r="H28" s="28" t="str">
        <x:f>IF(G28=0,"OPEN",IF(AND(G28&gt;=1,G28&lt;=2),"PASS","FAIL"))</x:f>
        <x:v>OPEN</x:v>
      </x:c>
    </x:row>
    <x:row r="29">
      <x:c r="B29" s="28" t="str">
        <x:v>BP-W4-T3</x:v>
      </x:c>
      <x:c r="C29" s="28" t="str">
        <x:v>position treatment</x:v>
      </x:c>
      <x:c r="D29" s="28" t="n">
        <x:v>4</x:v>
      </x:c>
      <x:c r="E29" s="28" t="str">
        <x:v>T3</x:v>
      </x:c>
      <x:c r="F29" s="28" t="str">
        <x:v>1-2</x:v>
      </x:c>
      <x:c r="G29" s="28" t="n">
        <x:f>COUNTIFS('Wave Schedule'!$D$7:$D$30,D29,'Wave Schedule'!$G$7:$G$30,RIGHT(E29,1)*1)</x:f>
        <x:v>0</x:v>
      </x:c>
      <x:c r="H29" s="28" t="str">
        <x:f>IF(G29=0,"OPEN",IF(AND(G29&gt;=1,G29&lt;=2),"PASS","FAIL"))</x:f>
        <x:v>OPEN</x:v>
      </x:c>
    </x:row>
    <x:row r="30">
      <x:c r="B30" s="28" t="str">
        <x:v>BP-W4-T4</x:v>
      </x:c>
      <x:c r="C30" s="28" t="str">
        <x:v>position treatment</x:v>
      </x:c>
      <x:c r="D30" s="28" t="n">
        <x:v>4</x:v>
      </x:c>
      <x:c r="E30" s="28" t="str">
        <x:v>T4</x:v>
      </x:c>
      <x:c r="F30" s="28" t="str">
        <x:v>1-2</x:v>
      </x:c>
      <x:c r="G30" s="28" t="n">
        <x:f>COUNTIFS('Wave Schedule'!$D$7:$D$30,D30,'Wave Schedule'!$G$7:$G$30,RIGHT(E30,1)*1)</x:f>
        <x:v>0</x:v>
      </x:c>
      <x:c r="H30" s="28" t="str">
        <x:f>IF(G30=0,"OPEN",IF(AND(G30&gt;=1,G30&lt;=2),"PASS","FAIL"))</x:f>
        <x:v>OPEN</x:v>
      </x:c>
    </x:row>
    <x:row r="31">
      <x:c r="B31" s="28" t="str">
        <x:v>BC-T1-T2</x:v>
      </x:c>
      <x:c r="C31" s="28" t="str">
        <x:v>directed carryover</x:v>
      </x:c>
      <x:c r="D31" s="28" t="str">
        <x:v>T1</x:v>
      </x:c>
      <x:c r="E31" s="28" t="str">
        <x:v>T2</x:v>
      </x:c>
      <x:c r="F31" s="28" t="str">
        <x:v>1-2</x:v>
      </x:c>
      <x:c r="G31" s="28" t="n">
        <x:f>SUM(IF(AND('Wave Schedule'!$G$7=1,'Wave Schedule'!$G$13=2),1,0),IF(AND('Wave Schedule'!$G$13=1,'Wave Schedule'!$G$19=2),1,0),IF(AND('Wave Schedule'!$G$19=1,'Wave Schedule'!$G$25=2),1,0),IF(AND('Wave Schedule'!$G$8=1,'Wave Schedule'!$G$14=2),1,0),IF(AND('Wave Schedule'!$G$14=1,'Wave Schedule'!$G$20=2),1,0),IF(AND('Wave Schedule'!$G$20=1,'Wave Schedule'!$G$26=2),1,0),IF(AND('Wave Schedule'!$G$9=1,'Wave Schedule'!$G$15=2),1,0),IF(AND('Wave Schedule'!$G$15=1,'Wave Schedule'!$G$21=2),1,0),IF(AND('Wave Schedule'!$G$21=1,'Wave Schedule'!$G$27=2),1,0),IF(AND('Wave Schedule'!$G$10=1,'Wave Schedule'!$G$16=2),1,0),IF(AND('Wave Schedule'!$G$16=1,'Wave Schedule'!$G$22=2),1,0),IF(AND('Wave Schedule'!$G$22=1,'Wave Schedule'!$G$28=2),1,0),IF(AND('Wave Schedule'!$G$11=1,'Wave Schedule'!$G$17=2),1,0),IF(AND('Wave Schedule'!$G$17=1,'Wave Schedule'!$G$23=2),1,0),IF(AND('Wave Schedule'!$G$23=1,'Wave Schedule'!$G$29=2),1,0),IF(AND('Wave Schedule'!$G$12=1,'Wave Schedule'!$G$18=2),1,0),IF(AND('Wave Schedule'!$G$18=1,'Wave Schedule'!$G$24=2),1,0),IF(AND('Wave Schedule'!$G$24=1,'Wave Schedule'!$G$30=2),1,0))</x:f>
        <x:v>0</x:v>
      </x:c>
      <x:c r="H31" s="28" t="str">
        <x:f>IF(G31=0,"OPEN",IF(AND(G31&gt;='Controls'!$D$28,G31&lt;='Controls'!$D$29),"PASS","FAIL"))</x:f>
        <x:v>OPEN</x:v>
      </x:c>
    </x:row>
    <x:row r="32">
      <x:c r="B32" s="28" t="str">
        <x:v>BC-T1-T3</x:v>
      </x:c>
      <x:c r="C32" s="28" t="str">
        <x:v>directed carryover</x:v>
      </x:c>
      <x:c r="D32" s="28" t="str">
        <x:v>T1</x:v>
      </x:c>
      <x:c r="E32" s="28" t="str">
        <x:v>T3</x:v>
      </x:c>
      <x:c r="F32" s="28" t="str">
        <x:v>1-2</x:v>
      </x:c>
      <x:c r="G32" s="28" t="n">
        <x:f>SUM(IF(AND('Wave Schedule'!$G$7=1,'Wave Schedule'!$G$13=3),1,0),IF(AND('Wave Schedule'!$G$13=1,'Wave Schedule'!$G$19=3),1,0),IF(AND('Wave Schedule'!$G$19=1,'Wave Schedule'!$G$25=3),1,0),IF(AND('Wave Schedule'!$G$8=1,'Wave Schedule'!$G$14=3),1,0),IF(AND('Wave Schedule'!$G$14=1,'Wave Schedule'!$G$20=3),1,0),IF(AND('Wave Schedule'!$G$20=1,'Wave Schedule'!$G$26=3),1,0),IF(AND('Wave Schedule'!$G$9=1,'Wave Schedule'!$G$15=3),1,0),IF(AND('Wave Schedule'!$G$15=1,'Wave Schedule'!$G$21=3),1,0),IF(AND('Wave Schedule'!$G$21=1,'Wave Schedule'!$G$27=3),1,0),IF(AND('Wave Schedule'!$G$10=1,'Wave Schedule'!$G$16=3),1,0),IF(AND('Wave Schedule'!$G$16=1,'Wave Schedule'!$G$22=3),1,0),IF(AND('Wave Schedule'!$G$22=1,'Wave Schedule'!$G$28=3),1,0),IF(AND('Wave Schedule'!$G$11=1,'Wave Schedule'!$G$17=3),1,0),IF(AND('Wave Schedule'!$G$17=1,'Wave Schedule'!$G$23=3),1,0),IF(AND('Wave Schedule'!$G$23=1,'Wave Schedule'!$G$29=3),1,0),IF(AND('Wave Schedule'!$G$12=1,'Wave Schedule'!$G$18=3),1,0),IF(AND('Wave Schedule'!$G$18=1,'Wave Schedule'!$G$24=3),1,0),IF(AND('Wave Schedule'!$G$24=1,'Wave Schedule'!$G$30=3),1,0))</x:f>
        <x:v>0</x:v>
      </x:c>
      <x:c r="H32" s="28" t="str">
        <x:f>IF(G32=0,"OPEN",IF(AND(G32&gt;='Controls'!$D$28,G32&lt;='Controls'!$D$29),"PASS","FAIL"))</x:f>
        <x:v>OPEN</x:v>
      </x:c>
    </x:row>
    <x:row r="33">
      <x:c r="B33" s="28" t="str">
        <x:v>BC-T1-T4</x:v>
      </x:c>
      <x:c r="C33" s="28" t="str">
        <x:v>directed carryover</x:v>
      </x:c>
      <x:c r="D33" s="28" t="str">
        <x:v>T1</x:v>
      </x:c>
      <x:c r="E33" s="28" t="str">
        <x:v>T4</x:v>
      </x:c>
      <x:c r="F33" s="28" t="str">
        <x:v>1-2</x:v>
      </x:c>
      <x:c r="G33" s="28" t="n">
        <x:f>SUM(IF(AND('Wave Schedule'!$G$7=1,'Wave Schedule'!$G$13=4),1,0),IF(AND('Wave Schedule'!$G$13=1,'Wave Schedule'!$G$19=4),1,0),IF(AND('Wave Schedule'!$G$19=1,'Wave Schedule'!$G$25=4),1,0),IF(AND('Wave Schedule'!$G$8=1,'Wave Schedule'!$G$14=4),1,0),IF(AND('Wave Schedule'!$G$14=1,'Wave Schedule'!$G$20=4),1,0),IF(AND('Wave Schedule'!$G$20=1,'Wave Schedule'!$G$26=4),1,0),IF(AND('Wave Schedule'!$G$9=1,'Wave Schedule'!$G$15=4),1,0),IF(AND('Wave Schedule'!$G$15=1,'Wave Schedule'!$G$21=4),1,0),IF(AND('Wave Schedule'!$G$21=1,'Wave Schedule'!$G$27=4),1,0),IF(AND('Wave Schedule'!$G$10=1,'Wave Schedule'!$G$16=4),1,0),IF(AND('Wave Schedule'!$G$16=1,'Wave Schedule'!$G$22=4),1,0),IF(AND('Wave Schedule'!$G$22=1,'Wave Schedule'!$G$28=4),1,0),IF(AND('Wave Schedule'!$G$11=1,'Wave Schedule'!$G$17=4),1,0),IF(AND('Wave Schedule'!$G$17=1,'Wave Schedule'!$G$23=4),1,0),IF(AND('Wave Schedule'!$G$23=1,'Wave Schedule'!$G$29=4),1,0),IF(AND('Wave Schedule'!$G$12=1,'Wave Schedule'!$G$18=4),1,0),IF(AND('Wave Schedule'!$G$18=1,'Wave Schedule'!$G$24=4),1,0),IF(AND('Wave Schedule'!$G$24=1,'Wave Schedule'!$G$30=4),1,0))</x:f>
        <x:v>0</x:v>
      </x:c>
      <x:c r="H33" s="28" t="str">
        <x:f>IF(G33=0,"OPEN",IF(AND(G33&gt;='Controls'!$D$28,G33&lt;='Controls'!$D$29),"PASS","FAIL"))</x:f>
        <x:v>OPEN</x:v>
      </x:c>
    </x:row>
    <x:row r="34">
      <x:c r="B34" s="28" t="str">
        <x:v>BC-T2-T1</x:v>
      </x:c>
      <x:c r="C34" s="28" t="str">
        <x:v>directed carryover</x:v>
      </x:c>
      <x:c r="D34" s="28" t="str">
        <x:v>T2</x:v>
      </x:c>
      <x:c r="E34" s="28" t="str">
        <x:v>T1</x:v>
      </x:c>
      <x:c r="F34" s="28" t="str">
        <x:v>1-2</x:v>
      </x:c>
      <x:c r="G34" s="28" t="n">
        <x:f>SUM(IF(AND('Wave Schedule'!$G$7=2,'Wave Schedule'!$G$13=1),1,0),IF(AND('Wave Schedule'!$G$13=2,'Wave Schedule'!$G$19=1),1,0),IF(AND('Wave Schedule'!$G$19=2,'Wave Schedule'!$G$25=1),1,0),IF(AND('Wave Schedule'!$G$8=2,'Wave Schedule'!$G$14=1),1,0),IF(AND('Wave Schedule'!$G$14=2,'Wave Schedule'!$G$20=1),1,0),IF(AND('Wave Schedule'!$G$20=2,'Wave Schedule'!$G$26=1),1,0),IF(AND('Wave Schedule'!$G$9=2,'Wave Schedule'!$G$15=1),1,0),IF(AND('Wave Schedule'!$G$15=2,'Wave Schedule'!$G$21=1),1,0),IF(AND('Wave Schedule'!$G$21=2,'Wave Schedule'!$G$27=1),1,0),IF(AND('Wave Schedule'!$G$10=2,'Wave Schedule'!$G$16=1),1,0),IF(AND('Wave Schedule'!$G$16=2,'Wave Schedule'!$G$22=1),1,0),IF(AND('Wave Schedule'!$G$22=2,'Wave Schedule'!$G$28=1),1,0),IF(AND('Wave Schedule'!$G$11=2,'Wave Schedule'!$G$17=1),1,0),IF(AND('Wave Schedule'!$G$17=2,'Wave Schedule'!$G$23=1),1,0),IF(AND('Wave Schedule'!$G$23=2,'Wave Schedule'!$G$29=1),1,0),IF(AND('Wave Schedule'!$G$12=2,'Wave Schedule'!$G$18=1),1,0),IF(AND('Wave Schedule'!$G$18=2,'Wave Schedule'!$G$24=1),1,0),IF(AND('Wave Schedule'!$G$24=2,'Wave Schedule'!$G$30=1),1,0))</x:f>
        <x:v>0</x:v>
      </x:c>
      <x:c r="H34" s="28" t="str">
        <x:f>IF(G34=0,"OPEN",IF(AND(G34&gt;='Controls'!$D$28,G34&lt;='Controls'!$D$29),"PASS","FAIL"))</x:f>
        <x:v>OPEN</x:v>
      </x:c>
    </x:row>
    <x:row r="35">
      <x:c r="B35" s="28" t="str">
        <x:v>BC-T2-T3</x:v>
      </x:c>
      <x:c r="C35" s="28" t="str">
        <x:v>directed carryover</x:v>
      </x:c>
      <x:c r="D35" s="28" t="str">
        <x:v>T2</x:v>
      </x:c>
      <x:c r="E35" s="28" t="str">
        <x:v>T3</x:v>
      </x:c>
      <x:c r="F35" s="28" t="str">
        <x:v>1-2</x:v>
      </x:c>
      <x:c r="G35" s="28" t="n">
        <x:f>SUM(IF(AND('Wave Schedule'!$G$7=2,'Wave Schedule'!$G$13=3),1,0),IF(AND('Wave Schedule'!$G$13=2,'Wave Schedule'!$G$19=3),1,0),IF(AND('Wave Schedule'!$G$19=2,'Wave Schedule'!$G$25=3),1,0),IF(AND('Wave Schedule'!$G$8=2,'Wave Schedule'!$G$14=3),1,0),IF(AND('Wave Schedule'!$G$14=2,'Wave Schedule'!$G$20=3),1,0),IF(AND('Wave Schedule'!$G$20=2,'Wave Schedule'!$G$26=3),1,0),IF(AND('Wave Schedule'!$G$9=2,'Wave Schedule'!$G$15=3),1,0),IF(AND('Wave Schedule'!$G$15=2,'Wave Schedule'!$G$21=3),1,0),IF(AND('Wave Schedule'!$G$21=2,'Wave Schedule'!$G$27=3),1,0),IF(AND('Wave Schedule'!$G$10=2,'Wave Schedule'!$G$16=3),1,0),IF(AND('Wave Schedule'!$G$16=2,'Wave Schedule'!$G$22=3),1,0),IF(AND('Wave Schedule'!$G$22=2,'Wave Schedule'!$G$28=3),1,0),IF(AND('Wave Schedule'!$G$11=2,'Wave Schedule'!$G$17=3),1,0),IF(AND('Wave Schedule'!$G$17=2,'Wave Schedule'!$G$23=3),1,0),IF(AND('Wave Schedule'!$G$23=2,'Wave Schedule'!$G$29=3),1,0),IF(AND('Wave Schedule'!$G$12=2,'Wave Schedule'!$G$18=3),1,0),IF(AND('Wave Schedule'!$G$18=2,'Wave Schedule'!$G$24=3),1,0),IF(AND('Wave Schedule'!$G$24=2,'Wave Schedule'!$G$30=3),1,0))</x:f>
        <x:v>0</x:v>
      </x:c>
      <x:c r="H35" s="28" t="str">
        <x:f>IF(G35=0,"OPEN",IF(AND(G35&gt;='Controls'!$D$28,G35&lt;='Controls'!$D$29),"PASS","FAIL"))</x:f>
        <x:v>OPEN</x:v>
      </x:c>
    </x:row>
    <x:row r="36">
      <x:c r="B36" s="28" t="str">
        <x:v>BC-T2-T4</x:v>
      </x:c>
      <x:c r="C36" s="28" t="str">
        <x:v>directed carryover</x:v>
      </x:c>
      <x:c r="D36" s="28" t="str">
        <x:v>T2</x:v>
      </x:c>
      <x:c r="E36" s="28" t="str">
        <x:v>T4</x:v>
      </x:c>
      <x:c r="F36" s="28" t="str">
        <x:v>1-2</x:v>
      </x:c>
      <x:c r="G36" s="28" t="n">
        <x:f>SUM(IF(AND('Wave Schedule'!$G$7=2,'Wave Schedule'!$G$13=4),1,0),IF(AND('Wave Schedule'!$G$13=2,'Wave Schedule'!$G$19=4),1,0),IF(AND('Wave Schedule'!$G$19=2,'Wave Schedule'!$G$25=4),1,0),IF(AND('Wave Schedule'!$G$8=2,'Wave Schedule'!$G$14=4),1,0),IF(AND('Wave Schedule'!$G$14=2,'Wave Schedule'!$G$20=4),1,0),IF(AND('Wave Schedule'!$G$20=2,'Wave Schedule'!$G$26=4),1,0),IF(AND('Wave Schedule'!$G$9=2,'Wave Schedule'!$G$15=4),1,0),IF(AND('Wave Schedule'!$G$15=2,'Wave Schedule'!$G$21=4),1,0),IF(AND('Wave Schedule'!$G$21=2,'Wave Schedule'!$G$27=4),1,0),IF(AND('Wave Schedule'!$G$10=2,'Wave Schedule'!$G$16=4),1,0),IF(AND('Wave Schedule'!$G$16=2,'Wave Schedule'!$G$22=4),1,0),IF(AND('Wave Schedule'!$G$22=2,'Wave Schedule'!$G$28=4),1,0),IF(AND('Wave Schedule'!$G$11=2,'Wave Schedule'!$G$17=4),1,0),IF(AND('Wave Schedule'!$G$17=2,'Wave Schedule'!$G$23=4),1,0),IF(AND('Wave Schedule'!$G$23=2,'Wave Schedule'!$G$29=4),1,0),IF(AND('Wave Schedule'!$G$12=2,'Wave Schedule'!$G$18=4),1,0),IF(AND('Wave Schedule'!$G$18=2,'Wave Schedule'!$G$24=4),1,0),IF(AND('Wave Schedule'!$G$24=2,'Wave Schedule'!$G$30=4),1,0))</x:f>
        <x:v>0</x:v>
      </x:c>
      <x:c r="H36" s="28" t="str">
        <x:f>IF(G36=0,"OPEN",IF(AND(G36&gt;='Controls'!$D$28,G36&lt;='Controls'!$D$29),"PASS","FAIL"))</x:f>
        <x:v>OPEN</x:v>
      </x:c>
    </x:row>
    <x:row r="37">
      <x:c r="B37" s="28" t="str">
        <x:v>BC-T3-T1</x:v>
      </x:c>
      <x:c r="C37" s="28" t="str">
        <x:v>directed carryover</x:v>
      </x:c>
      <x:c r="D37" s="28" t="str">
        <x:v>T3</x:v>
      </x:c>
      <x:c r="E37" s="28" t="str">
        <x:v>T1</x:v>
      </x:c>
      <x:c r="F37" s="28" t="str">
        <x:v>1-2</x:v>
      </x:c>
      <x:c r="G37" s="28" t="n">
        <x:f>SUM(IF(AND('Wave Schedule'!$G$7=3,'Wave Schedule'!$G$13=1),1,0),IF(AND('Wave Schedule'!$G$13=3,'Wave Schedule'!$G$19=1),1,0),IF(AND('Wave Schedule'!$G$19=3,'Wave Schedule'!$G$25=1),1,0),IF(AND('Wave Schedule'!$G$8=3,'Wave Schedule'!$G$14=1),1,0),IF(AND('Wave Schedule'!$G$14=3,'Wave Schedule'!$G$20=1),1,0),IF(AND('Wave Schedule'!$G$20=3,'Wave Schedule'!$G$26=1),1,0),IF(AND('Wave Schedule'!$G$9=3,'Wave Schedule'!$G$15=1),1,0),IF(AND('Wave Schedule'!$G$15=3,'Wave Schedule'!$G$21=1),1,0),IF(AND('Wave Schedule'!$G$21=3,'Wave Schedule'!$G$27=1),1,0),IF(AND('Wave Schedule'!$G$10=3,'Wave Schedule'!$G$16=1),1,0),IF(AND('Wave Schedule'!$G$16=3,'Wave Schedule'!$G$22=1),1,0),IF(AND('Wave Schedule'!$G$22=3,'Wave Schedule'!$G$28=1),1,0),IF(AND('Wave Schedule'!$G$11=3,'Wave Schedule'!$G$17=1),1,0),IF(AND('Wave Schedule'!$G$17=3,'Wave Schedule'!$G$23=1),1,0),IF(AND('Wave Schedule'!$G$23=3,'Wave Schedule'!$G$29=1),1,0),IF(AND('Wave Schedule'!$G$12=3,'Wave Schedule'!$G$18=1),1,0),IF(AND('Wave Schedule'!$G$18=3,'Wave Schedule'!$G$24=1),1,0),IF(AND('Wave Schedule'!$G$24=3,'Wave Schedule'!$G$30=1),1,0))</x:f>
        <x:v>0</x:v>
      </x:c>
      <x:c r="H37" s="28" t="str">
        <x:f>IF(G37=0,"OPEN",IF(AND(G37&gt;='Controls'!$D$28,G37&lt;='Controls'!$D$29),"PASS","FAIL"))</x:f>
        <x:v>OPEN</x:v>
      </x:c>
    </x:row>
    <x:row r="38">
      <x:c r="B38" s="28" t="str">
        <x:v>BC-T3-T2</x:v>
      </x:c>
      <x:c r="C38" s="28" t="str">
        <x:v>directed carryover</x:v>
      </x:c>
      <x:c r="D38" s="28" t="str">
        <x:v>T3</x:v>
      </x:c>
      <x:c r="E38" s="28" t="str">
        <x:v>T2</x:v>
      </x:c>
      <x:c r="F38" s="28" t="str">
        <x:v>1-2</x:v>
      </x:c>
      <x:c r="G38" s="28" t="n">
        <x:f>SUM(IF(AND('Wave Schedule'!$G$7=3,'Wave Schedule'!$G$13=2),1,0),IF(AND('Wave Schedule'!$G$13=3,'Wave Schedule'!$G$19=2),1,0),IF(AND('Wave Schedule'!$G$19=3,'Wave Schedule'!$G$25=2),1,0),IF(AND('Wave Schedule'!$G$8=3,'Wave Schedule'!$G$14=2),1,0),IF(AND('Wave Schedule'!$G$14=3,'Wave Schedule'!$G$20=2),1,0),IF(AND('Wave Schedule'!$G$20=3,'Wave Schedule'!$G$26=2),1,0),IF(AND('Wave Schedule'!$G$9=3,'Wave Schedule'!$G$15=2),1,0),IF(AND('Wave Schedule'!$G$15=3,'Wave Schedule'!$G$21=2),1,0),IF(AND('Wave Schedule'!$G$21=3,'Wave Schedule'!$G$27=2),1,0),IF(AND('Wave Schedule'!$G$10=3,'Wave Schedule'!$G$16=2),1,0),IF(AND('Wave Schedule'!$G$16=3,'Wave Schedule'!$G$22=2),1,0),IF(AND('Wave Schedule'!$G$22=3,'Wave Schedule'!$G$28=2),1,0),IF(AND('Wave Schedule'!$G$11=3,'Wave Schedule'!$G$17=2),1,0),IF(AND('Wave Schedule'!$G$17=3,'Wave Schedule'!$G$23=2),1,0),IF(AND('Wave Schedule'!$G$23=3,'Wave Schedule'!$G$29=2),1,0),IF(AND('Wave Schedule'!$G$12=3,'Wave Schedule'!$G$18=2),1,0),IF(AND('Wave Schedule'!$G$18=3,'Wave Schedule'!$G$24=2),1,0),IF(AND('Wave Schedule'!$G$24=3,'Wave Schedule'!$G$30=2),1,0))</x:f>
        <x:v>0</x:v>
      </x:c>
      <x:c r="H38" s="28" t="str">
        <x:f>IF(G38=0,"OPEN",IF(AND(G38&gt;='Controls'!$D$28,G38&lt;='Controls'!$D$29),"PASS","FAIL"))</x:f>
        <x:v>OPEN</x:v>
      </x:c>
    </x:row>
    <x:row r="39">
      <x:c r="B39" s="28" t="str">
        <x:v>BC-T3-T4</x:v>
      </x:c>
      <x:c r="C39" s="28" t="str">
        <x:v>directed carryover</x:v>
      </x:c>
      <x:c r="D39" s="28" t="str">
        <x:v>T3</x:v>
      </x:c>
      <x:c r="E39" s="28" t="str">
        <x:v>T4</x:v>
      </x:c>
      <x:c r="F39" s="28" t="str">
        <x:v>1-2</x:v>
      </x:c>
      <x:c r="G39" s="28" t="n">
        <x:f>SUM(IF(AND('Wave Schedule'!$G$7=3,'Wave Schedule'!$G$13=4),1,0),IF(AND('Wave Schedule'!$G$13=3,'Wave Schedule'!$G$19=4),1,0),IF(AND('Wave Schedule'!$G$19=3,'Wave Schedule'!$G$25=4),1,0),IF(AND('Wave Schedule'!$G$8=3,'Wave Schedule'!$G$14=4),1,0),IF(AND('Wave Schedule'!$G$14=3,'Wave Schedule'!$G$20=4),1,0),IF(AND('Wave Schedule'!$G$20=3,'Wave Schedule'!$G$26=4),1,0),IF(AND('Wave Schedule'!$G$9=3,'Wave Schedule'!$G$15=4),1,0),IF(AND('Wave Schedule'!$G$15=3,'Wave Schedule'!$G$21=4),1,0),IF(AND('Wave Schedule'!$G$21=3,'Wave Schedule'!$G$27=4),1,0),IF(AND('Wave Schedule'!$G$10=3,'Wave Schedule'!$G$16=4),1,0),IF(AND('Wave Schedule'!$G$16=3,'Wave Schedule'!$G$22=4),1,0),IF(AND('Wave Schedule'!$G$22=3,'Wave Schedule'!$G$28=4),1,0),IF(AND('Wave Schedule'!$G$11=3,'Wave Schedule'!$G$17=4),1,0),IF(AND('Wave Schedule'!$G$17=3,'Wave Schedule'!$G$23=4),1,0),IF(AND('Wave Schedule'!$G$23=3,'Wave Schedule'!$G$29=4),1,0),IF(AND('Wave Schedule'!$G$12=3,'Wave Schedule'!$G$18=4),1,0),IF(AND('Wave Schedule'!$G$18=3,'Wave Schedule'!$G$24=4),1,0),IF(AND('Wave Schedule'!$G$24=3,'Wave Schedule'!$G$30=4),1,0))</x:f>
        <x:v>0</x:v>
      </x:c>
      <x:c r="H39" s="28" t="str">
        <x:f>IF(G39=0,"OPEN",IF(AND(G39&gt;='Controls'!$D$28,G39&lt;='Controls'!$D$29),"PASS","FAIL"))</x:f>
        <x:v>OPEN</x:v>
      </x:c>
    </x:row>
    <x:row r="40">
      <x:c r="B40" s="28" t="str">
        <x:v>BC-T4-T1</x:v>
      </x:c>
      <x:c r="C40" s="28" t="str">
        <x:v>directed carryover</x:v>
      </x:c>
      <x:c r="D40" s="28" t="str">
        <x:v>T4</x:v>
      </x:c>
      <x:c r="E40" s="28" t="str">
        <x:v>T1</x:v>
      </x:c>
      <x:c r="F40" s="28" t="str">
        <x:v>1-2</x:v>
      </x:c>
      <x:c r="G40" s="28" t="n">
        <x:f>SUM(IF(AND('Wave Schedule'!$G$7=4,'Wave Schedule'!$G$13=1),1,0),IF(AND('Wave Schedule'!$G$13=4,'Wave Schedule'!$G$19=1),1,0),IF(AND('Wave Schedule'!$G$19=4,'Wave Schedule'!$G$25=1),1,0),IF(AND('Wave Schedule'!$G$8=4,'Wave Schedule'!$G$14=1),1,0),IF(AND('Wave Schedule'!$G$14=4,'Wave Schedule'!$G$20=1),1,0),IF(AND('Wave Schedule'!$G$20=4,'Wave Schedule'!$G$26=1),1,0),IF(AND('Wave Schedule'!$G$9=4,'Wave Schedule'!$G$15=1),1,0),IF(AND('Wave Schedule'!$G$15=4,'Wave Schedule'!$G$21=1),1,0),IF(AND('Wave Schedule'!$G$21=4,'Wave Schedule'!$G$27=1),1,0),IF(AND('Wave Schedule'!$G$10=4,'Wave Schedule'!$G$16=1),1,0),IF(AND('Wave Schedule'!$G$16=4,'Wave Schedule'!$G$22=1),1,0),IF(AND('Wave Schedule'!$G$22=4,'Wave Schedule'!$G$28=1),1,0),IF(AND('Wave Schedule'!$G$11=4,'Wave Schedule'!$G$17=1),1,0),IF(AND('Wave Schedule'!$G$17=4,'Wave Schedule'!$G$23=1),1,0),IF(AND('Wave Schedule'!$G$23=4,'Wave Schedule'!$G$29=1),1,0),IF(AND('Wave Schedule'!$G$12=4,'Wave Schedule'!$G$18=1),1,0),IF(AND('Wave Schedule'!$G$18=4,'Wave Schedule'!$G$24=1),1,0),IF(AND('Wave Schedule'!$G$24=4,'Wave Schedule'!$G$30=1),1,0))</x:f>
        <x:v>0</x:v>
      </x:c>
      <x:c r="H40" s="28" t="str">
        <x:f>IF(G40=0,"OPEN",IF(AND(G40&gt;='Controls'!$D$28,G40&lt;='Controls'!$D$29),"PASS","FAIL"))</x:f>
        <x:v>OPEN</x:v>
      </x:c>
    </x:row>
    <x:row r="41">
      <x:c r="B41" s="28" t="str">
        <x:v>BC-T4-T2</x:v>
      </x:c>
      <x:c r="C41" s="28" t="str">
        <x:v>directed carryover</x:v>
      </x:c>
      <x:c r="D41" s="28" t="str">
        <x:v>T4</x:v>
      </x:c>
      <x:c r="E41" s="28" t="str">
        <x:v>T2</x:v>
      </x:c>
      <x:c r="F41" s="28" t="str">
        <x:v>1-2</x:v>
      </x:c>
      <x:c r="G41" s="28" t="n">
        <x:f>SUM(IF(AND('Wave Schedule'!$G$7=4,'Wave Schedule'!$G$13=2),1,0),IF(AND('Wave Schedule'!$G$13=4,'Wave Schedule'!$G$19=2),1,0),IF(AND('Wave Schedule'!$G$19=4,'Wave Schedule'!$G$25=2),1,0),IF(AND('Wave Schedule'!$G$8=4,'Wave Schedule'!$G$14=2),1,0),IF(AND('Wave Schedule'!$G$14=4,'Wave Schedule'!$G$20=2),1,0),IF(AND('Wave Schedule'!$G$20=4,'Wave Schedule'!$G$26=2),1,0),IF(AND('Wave Schedule'!$G$9=4,'Wave Schedule'!$G$15=2),1,0),IF(AND('Wave Schedule'!$G$15=4,'Wave Schedule'!$G$21=2),1,0),IF(AND('Wave Schedule'!$G$21=4,'Wave Schedule'!$G$27=2),1,0),IF(AND('Wave Schedule'!$G$10=4,'Wave Schedule'!$G$16=2),1,0),IF(AND('Wave Schedule'!$G$16=4,'Wave Schedule'!$G$22=2),1,0),IF(AND('Wave Schedule'!$G$22=4,'Wave Schedule'!$G$28=2),1,0),IF(AND('Wave Schedule'!$G$11=4,'Wave Schedule'!$G$17=2),1,0),IF(AND('Wave Schedule'!$G$17=4,'Wave Schedule'!$G$23=2),1,0),IF(AND('Wave Schedule'!$G$23=4,'Wave Schedule'!$G$29=2),1,0),IF(AND('Wave Schedule'!$G$12=4,'Wave Schedule'!$G$18=2),1,0),IF(AND('Wave Schedule'!$G$18=4,'Wave Schedule'!$G$24=2),1,0),IF(AND('Wave Schedule'!$G$24=4,'Wave Schedule'!$G$30=2),1,0))</x:f>
        <x:v>0</x:v>
      </x:c>
      <x:c r="H41" s="28" t="str">
        <x:f>IF(G41=0,"OPEN",IF(AND(G41&gt;='Controls'!$D$28,G41&lt;='Controls'!$D$29),"PASS","FAIL"))</x:f>
        <x:v>OPEN</x:v>
      </x:c>
    </x:row>
    <x:row r="42">
      <x:c r="B42" s="28" t="str">
        <x:v>BC-T4-T3</x:v>
      </x:c>
      <x:c r="C42" s="28" t="str">
        <x:v>directed carryover</x:v>
      </x:c>
      <x:c r="D42" s="28" t="str">
        <x:v>T4</x:v>
      </x:c>
      <x:c r="E42" s="28" t="str">
        <x:v>T3</x:v>
      </x:c>
      <x:c r="F42" s="28" t="str">
        <x:v>1-2</x:v>
      </x:c>
      <x:c r="G42" s="28" t="n">
        <x:f>SUM(IF(AND('Wave Schedule'!$G$7=4,'Wave Schedule'!$G$13=3),1,0),IF(AND('Wave Schedule'!$G$13=4,'Wave Schedule'!$G$19=3),1,0),IF(AND('Wave Schedule'!$G$19=4,'Wave Schedule'!$G$25=3),1,0),IF(AND('Wave Schedule'!$G$8=4,'Wave Schedule'!$G$14=3),1,0),IF(AND('Wave Schedule'!$G$14=4,'Wave Schedule'!$G$20=3),1,0),IF(AND('Wave Schedule'!$G$20=4,'Wave Schedule'!$G$26=3),1,0),IF(AND('Wave Schedule'!$G$9=4,'Wave Schedule'!$G$15=3),1,0),IF(AND('Wave Schedule'!$G$15=4,'Wave Schedule'!$G$21=3),1,0),IF(AND('Wave Schedule'!$G$21=4,'Wave Schedule'!$G$27=3),1,0),IF(AND('Wave Schedule'!$G$10=4,'Wave Schedule'!$G$16=3),1,0),IF(AND('Wave Schedule'!$G$16=4,'Wave Schedule'!$G$22=3),1,0),IF(AND('Wave Schedule'!$G$22=4,'Wave Schedule'!$G$28=3),1,0),IF(AND('Wave Schedule'!$G$11=4,'Wave Schedule'!$G$17=3),1,0),IF(AND('Wave Schedule'!$G$17=4,'Wave Schedule'!$G$23=3),1,0),IF(AND('Wave Schedule'!$G$23=4,'Wave Schedule'!$G$29=3),1,0),IF(AND('Wave Schedule'!$G$12=4,'Wave Schedule'!$G$18=3),1,0),IF(AND('Wave Schedule'!$G$18=4,'Wave Schedule'!$G$24=3),1,0),IF(AND('Wave Schedule'!$G$24=4,'Wave Schedule'!$G$30=3),1,0))</x:f>
        <x:v>0</x:v>
      </x:c>
      <x:c r="H42" s="28" t="str">
        <x:f>IF(G42=0,"OPEN",IF(AND(G42&gt;='Controls'!$D$28,G42&lt;='Controls'!$D$29),"PASS","FAIL"))</x:f>
        <x:v>OPEN</x:v>
      </x:c>
    </x:row>
  </x:sheetData>
  <x:conditionalFormatting sqref="H7:H42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INVALID"/>
    <x:cfRule type="containsText" dxfId="39" priority="4" operator="containsText" text="ADVERSE"/>
    <x:cfRule type="containsText" dxfId="40" priority="5" operator="containsText" text="EXPIRED"/>
    <x:cfRule type="containsText" dxfId="41" priority="6" operator="containsText" text="OPEN"/>
    <x:cfRule type="containsText" dxfId="42" priority="7" operator="containsText" text="DORMANT"/>
    <x:cfRule type="containsText" dxfId="43" priority="8" operator="containsText" text="PASS"/>
    <x:cfRule type="containsText" dxfId="44" priority="9" operator="containsText" text="AVAILABL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7" hidden="0" customWidth="1"/>
    <x:col min="5" max="5" width="17" hidden="0" customWidth="1"/>
    <x:col min="6" max="6" width="18" hidden="0" customWidth="1"/>
    <x:col min="7" max="7" width="42" hidden="0" customWidth="1"/>
    <x:col min="8" max="8" width="21" hidden="0" customWidth="1"/>
    <x:col min="9" max="9" width="23" hidden="0" customWidth="1"/>
    <x:col min="10" max="10" width="18" hidden="0" customWidth="1"/>
    <x:col min="11" max="11" width="14" hidden="0" customWidth="1"/>
  </x:cols>
  <x:sheetData>
    <x:row r="2">
      <x:c r="B2" s="23" t="str">
        <x:v>Twenty-four indivisible class cells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25" t="str">
        <x:v>A class credit belongs to one rig-method-root cell. No event can satisfy two cells and no cell can borrow another cell's result.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24" customHeight="1">
      <x:c r="B6" s="6" t="str">
        <x:v>Cell record</x:v>
      </x:c>
      <x:c r="C6" s="6" t="str">
        <x:v>Rig</x:v>
      </x:c>
      <x:c r="D6" s="6" t="str">
        <x:v>Campus</x:v>
      </x:c>
      <x:c r="E6" s="6" t="str">
        <x:v>Method</x:v>
      </x:c>
      <x:c r="F6" s="6" t="str">
        <x:v>Credit root</x:v>
      </x:c>
      <x:c r="G6" s="6" t="str">
        <x:v>Cell</x:v>
      </x:c>
      <x:c r="H6" s="6" t="str">
        <x:v>Scheduled count</x:v>
      </x:c>
      <x:c r="I6" s="6" t="str">
        <x:v>Passing credit count</x:v>
      </x:c>
      <x:c r="J6" s="6" t="str">
        <x:v>Credit token</x:v>
      </x:c>
      <x:c r="K6" s="6" t="str">
        <x:v>State</x:v>
      </x:c>
    </x:row>
    <x:row r="7">
      <x:c r="B7" s="28" t="str">
        <x:v>CELL-01</x:v>
      </x:c>
      <x:c r="C7" s="28" t="str">
        <x:v>RFP-A1</x:v>
      </x:c>
      <x:c r="D7" s="28" t="str">
        <x:v>PTC-A</x:v>
      </x:c>
      <x:c r="E7" s="28" t="str">
        <x:v>AM-05</x:v>
      </x:c>
      <x:c r="F7" s="28" t="str">
        <x:v>TR-A</x:v>
      </x:c>
      <x:c r="G7" s="28" t="str">
        <x:v>RFP-A1-AM-05-TR-A</x:v>
      </x:c>
      <x:c r="H7" s="28" t="n">
        <x:f>COUNTIFS('Wave Schedule'!$K$7:$K$30,G7)</x:f>
        <x:v>0</x:v>
      </x:c>
      <x:c r="I7" s="28" t="n">
        <x:f>'Cell Credits'!G7</x:f>
        <x:v>0</x:v>
      </x:c>
      <x:c r="J7" s="29" t="n">
        <x:f>'Cell Credits'!J7</x:f>
        <x:v>0</x:v>
      </x:c>
      <x:c r="K7" s="28" t="str">
        <x:f>IF(H7=0,"OPEN",IF(J7="","OPEN",IF(AND(H7=1,I7=1,COUNTIFS('Attempt Register'!$B$7:$B$36,J7,'Attempt Register'!$E$7:$E$36,G7,'Attempt Register'!$Q$7:$Q$36,"PASS")=1),"PASS","FAIL")))</x:f>
        <x:v>OPEN</x:v>
      </x:c>
    </x:row>
    <x:row r="8">
      <x:c r="B8" s="28" t="str">
        <x:v>CELL-02</x:v>
      </x:c>
      <x:c r="C8" s="28" t="str">
        <x:v>RFP-A1</x:v>
      </x:c>
      <x:c r="D8" s="28" t="str">
        <x:v>PTC-A</x:v>
      </x:c>
      <x:c r="E8" s="28" t="str">
        <x:v>AM-05</x:v>
      </x:c>
      <x:c r="F8" s="28" t="str">
        <x:v>TR-B</x:v>
      </x:c>
      <x:c r="G8" s="28" t="str">
        <x:v>RFP-A1-AM-05-TR-B</x:v>
      </x:c>
      <x:c r="H8" s="28" t="n">
        <x:f>COUNTIFS('Wave Schedule'!$K$7:$K$30,G8)</x:f>
        <x:v>0</x:v>
      </x:c>
      <x:c r="I8" s="28" t="n">
        <x:f>'Cell Credits'!G8</x:f>
        <x:v>0</x:v>
      </x:c>
      <x:c r="J8" s="29" t="n">
        <x:f>'Cell Credits'!J8</x:f>
        <x:v>0</x:v>
      </x:c>
      <x:c r="K8" s="28" t="str">
        <x:f>IF(H8=0,"OPEN",IF(J8="","OPEN",IF(AND(H8=1,I8=1,COUNTIFS('Attempt Register'!$B$7:$B$36,J8,'Attempt Register'!$E$7:$E$36,G8,'Attempt Register'!$Q$7:$Q$36,"PASS")=1),"PASS","FAIL")))</x:f>
        <x:v>OPEN</x:v>
      </x:c>
    </x:row>
    <x:row r="9">
      <x:c r="B9" s="28" t="str">
        <x:v>CELL-03</x:v>
      </x:c>
      <x:c r="C9" s="28" t="str">
        <x:v>RFP-A1</x:v>
      </x:c>
      <x:c r="D9" s="28" t="str">
        <x:v>PTC-A</x:v>
      </x:c>
      <x:c r="E9" s="28" t="str">
        <x:v>AM-06</x:v>
      </x:c>
      <x:c r="F9" s="28" t="str">
        <x:v>TR-A</x:v>
      </x:c>
      <x:c r="G9" s="28" t="str">
        <x:v>RFP-A1-AM-06-TR-A</x:v>
      </x:c>
      <x:c r="H9" s="28" t="n">
        <x:f>COUNTIFS('Wave Schedule'!$K$7:$K$30,G9)</x:f>
        <x:v>0</x:v>
      </x:c>
      <x:c r="I9" s="28" t="n">
        <x:f>'Cell Credits'!G9</x:f>
        <x:v>0</x:v>
      </x:c>
      <x:c r="J9" s="29" t="n">
        <x:f>'Cell Credits'!J9</x:f>
        <x:v>0</x:v>
      </x:c>
      <x:c r="K9" s="28" t="str">
        <x:f>IF(H9=0,"OPEN",IF(J9="","OPEN",IF(AND(H9=1,I9=1,COUNTIFS('Attempt Register'!$B$7:$B$36,J9,'Attempt Register'!$E$7:$E$36,G9,'Attempt Register'!$Q$7:$Q$36,"PASS")=1),"PASS","FAIL")))</x:f>
        <x:v>OPEN</x:v>
      </x:c>
    </x:row>
    <x:row r="10">
      <x:c r="B10" s="28" t="str">
        <x:v>CELL-04</x:v>
      </x:c>
      <x:c r="C10" s="28" t="str">
        <x:v>RFP-A1</x:v>
      </x:c>
      <x:c r="D10" s="28" t="str">
        <x:v>PTC-A</x:v>
      </x:c>
      <x:c r="E10" s="28" t="str">
        <x:v>AM-06</x:v>
      </x:c>
      <x:c r="F10" s="28" t="str">
        <x:v>TR-B</x:v>
      </x:c>
      <x:c r="G10" s="28" t="str">
        <x:v>RFP-A1-AM-06-TR-B</x:v>
      </x:c>
      <x:c r="H10" s="28" t="n">
        <x:f>COUNTIFS('Wave Schedule'!$K$7:$K$30,G10)</x:f>
        <x:v>0</x:v>
      </x:c>
      <x:c r="I10" s="28" t="n">
        <x:f>'Cell Credits'!G10</x:f>
        <x:v>0</x:v>
      </x:c>
      <x:c r="J10" s="29" t="n">
        <x:f>'Cell Credits'!J10</x:f>
        <x:v>0</x:v>
      </x:c>
      <x:c r="K10" s="28" t="str">
        <x:f>IF(H10=0,"OPEN",IF(J10="","OPEN",IF(AND(H10=1,I10=1,COUNTIFS('Attempt Register'!$B$7:$B$36,J10,'Attempt Register'!$E$7:$E$36,G10,'Attempt Register'!$Q$7:$Q$36,"PASS")=1),"PASS","FAIL")))</x:f>
        <x:v>OPEN</x:v>
      </x:c>
    </x:row>
    <x:row r="11">
      <x:c r="B11" s="28" t="str">
        <x:v>CELL-05</x:v>
      </x:c>
      <x:c r="C11" s="28" t="str">
        <x:v>RFP-A2</x:v>
      </x:c>
      <x:c r="D11" s="28" t="str">
        <x:v>PTC-A</x:v>
      </x:c>
      <x:c r="E11" s="28" t="str">
        <x:v>AM-05</x:v>
      </x:c>
      <x:c r="F11" s="28" t="str">
        <x:v>TR-A</x:v>
      </x:c>
      <x:c r="G11" s="28" t="str">
        <x:v>RFP-A2-AM-05-TR-A</x:v>
      </x:c>
      <x:c r="H11" s="28" t="n">
        <x:f>COUNTIFS('Wave Schedule'!$K$7:$K$30,G11)</x:f>
        <x:v>0</x:v>
      </x:c>
      <x:c r="I11" s="28" t="n">
        <x:f>'Cell Credits'!G11</x:f>
        <x:v>0</x:v>
      </x:c>
      <x:c r="J11" s="29" t="n">
        <x:f>'Cell Credits'!J11</x:f>
        <x:v>0</x:v>
      </x:c>
      <x:c r="K11" s="28" t="str">
        <x:f>IF(H11=0,"OPEN",IF(J11="","OPEN",IF(AND(H11=1,I11=1,COUNTIFS('Attempt Register'!$B$7:$B$36,J11,'Attempt Register'!$E$7:$E$36,G11,'Attempt Register'!$Q$7:$Q$36,"PASS")=1),"PASS","FAIL")))</x:f>
        <x:v>OPEN</x:v>
      </x:c>
    </x:row>
    <x:row r="12">
      <x:c r="B12" s="28" t="str">
        <x:v>CELL-06</x:v>
      </x:c>
      <x:c r="C12" s="28" t="str">
        <x:v>RFP-A2</x:v>
      </x:c>
      <x:c r="D12" s="28" t="str">
        <x:v>PTC-A</x:v>
      </x:c>
      <x:c r="E12" s="28" t="str">
        <x:v>AM-05</x:v>
      </x:c>
      <x:c r="F12" s="28" t="str">
        <x:v>TR-B</x:v>
      </x:c>
      <x:c r="G12" s="28" t="str">
        <x:v>RFP-A2-AM-05-TR-B</x:v>
      </x:c>
      <x:c r="H12" s="28" t="n">
        <x:f>COUNTIFS('Wave Schedule'!$K$7:$K$30,G12)</x:f>
        <x:v>0</x:v>
      </x:c>
      <x:c r="I12" s="28" t="n">
        <x:f>'Cell Credits'!G12</x:f>
        <x:v>0</x:v>
      </x:c>
      <x:c r="J12" s="29" t="n">
        <x:f>'Cell Credits'!J12</x:f>
        <x:v>0</x:v>
      </x:c>
      <x:c r="K12" s="28" t="str">
        <x:f>IF(H12=0,"OPEN",IF(J12="","OPEN",IF(AND(H12=1,I12=1,COUNTIFS('Attempt Register'!$B$7:$B$36,J12,'Attempt Register'!$E$7:$E$36,G12,'Attempt Register'!$Q$7:$Q$36,"PASS")=1),"PASS","FAIL")))</x:f>
        <x:v>OPEN</x:v>
      </x:c>
    </x:row>
    <x:row r="13">
      <x:c r="B13" s="28" t="str">
        <x:v>CELL-07</x:v>
      </x:c>
      <x:c r="C13" s="28" t="str">
        <x:v>RFP-A2</x:v>
      </x:c>
      <x:c r="D13" s="28" t="str">
        <x:v>PTC-A</x:v>
      </x:c>
      <x:c r="E13" s="28" t="str">
        <x:v>AM-06</x:v>
      </x:c>
      <x:c r="F13" s="28" t="str">
        <x:v>TR-A</x:v>
      </x:c>
      <x:c r="G13" s="28" t="str">
        <x:v>RFP-A2-AM-06-TR-A</x:v>
      </x:c>
      <x:c r="H13" s="28" t="n">
        <x:f>COUNTIFS('Wave Schedule'!$K$7:$K$30,G13)</x:f>
        <x:v>0</x:v>
      </x:c>
      <x:c r="I13" s="28" t="n">
        <x:f>'Cell Credits'!G13</x:f>
        <x:v>0</x:v>
      </x:c>
      <x:c r="J13" s="29" t="n">
        <x:f>'Cell Credits'!J13</x:f>
        <x:v>0</x:v>
      </x:c>
      <x:c r="K13" s="28" t="str">
        <x:f>IF(H13=0,"OPEN",IF(J13="","OPEN",IF(AND(H13=1,I13=1,COUNTIFS('Attempt Register'!$B$7:$B$36,J13,'Attempt Register'!$E$7:$E$36,G13,'Attempt Register'!$Q$7:$Q$36,"PASS")=1),"PASS","FAIL")))</x:f>
        <x:v>OPEN</x:v>
      </x:c>
    </x:row>
    <x:row r="14">
      <x:c r="B14" s="28" t="str">
        <x:v>CELL-08</x:v>
      </x:c>
      <x:c r="C14" s="28" t="str">
        <x:v>RFP-A2</x:v>
      </x:c>
      <x:c r="D14" s="28" t="str">
        <x:v>PTC-A</x:v>
      </x:c>
      <x:c r="E14" s="28" t="str">
        <x:v>AM-06</x:v>
      </x:c>
      <x:c r="F14" s="28" t="str">
        <x:v>TR-B</x:v>
      </x:c>
      <x:c r="G14" s="28" t="str">
        <x:v>RFP-A2-AM-06-TR-B</x:v>
      </x:c>
      <x:c r="H14" s="28" t="n">
        <x:f>COUNTIFS('Wave Schedule'!$K$7:$K$30,G14)</x:f>
        <x:v>0</x:v>
      </x:c>
      <x:c r="I14" s="28" t="n">
        <x:f>'Cell Credits'!G14</x:f>
        <x:v>0</x:v>
      </x:c>
      <x:c r="J14" s="29" t="n">
        <x:f>'Cell Credits'!J14</x:f>
        <x:v>0</x:v>
      </x:c>
      <x:c r="K14" s="28" t="str">
        <x:f>IF(H14=0,"OPEN",IF(J14="","OPEN",IF(AND(H14=1,I14=1,COUNTIFS('Attempt Register'!$B$7:$B$36,J14,'Attempt Register'!$E$7:$E$36,G14,'Attempt Register'!$Q$7:$Q$36,"PASS")=1),"PASS","FAIL")))</x:f>
        <x:v>OPEN</x:v>
      </x:c>
    </x:row>
    <x:row r="15">
      <x:c r="B15" s="28" t="str">
        <x:v>CELL-09</x:v>
      </x:c>
      <x:c r="C15" s="28" t="str">
        <x:v>RFP-B1</x:v>
      </x:c>
      <x:c r="D15" s="28" t="str">
        <x:v>PTC-B</x:v>
      </x:c>
      <x:c r="E15" s="28" t="str">
        <x:v>AM-05</x:v>
      </x:c>
      <x:c r="F15" s="28" t="str">
        <x:v>TR-A</x:v>
      </x:c>
      <x:c r="G15" s="28" t="str">
        <x:v>RFP-B1-AM-05-TR-A</x:v>
      </x:c>
      <x:c r="H15" s="28" t="n">
        <x:f>COUNTIFS('Wave Schedule'!$K$7:$K$30,G15)</x:f>
        <x:v>0</x:v>
      </x:c>
      <x:c r="I15" s="28" t="n">
        <x:f>'Cell Credits'!G15</x:f>
        <x:v>0</x:v>
      </x:c>
      <x:c r="J15" s="29" t="n">
        <x:f>'Cell Credits'!J15</x:f>
        <x:v>0</x:v>
      </x:c>
      <x:c r="K15" s="28" t="str">
        <x:f>IF(H15=0,"OPEN",IF(J15="","OPEN",IF(AND(H15=1,I15=1,COUNTIFS('Attempt Register'!$B$7:$B$36,J15,'Attempt Register'!$E$7:$E$36,G15,'Attempt Register'!$Q$7:$Q$36,"PASS")=1),"PASS","FAIL")))</x:f>
        <x:v>OPEN</x:v>
      </x:c>
    </x:row>
    <x:row r="16">
      <x:c r="B16" s="28" t="str">
        <x:v>CELL-10</x:v>
      </x:c>
      <x:c r="C16" s="28" t="str">
        <x:v>RFP-B1</x:v>
      </x:c>
      <x:c r="D16" s="28" t="str">
        <x:v>PTC-B</x:v>
      </x:c>
      <x:c r="E16" s="28" t="str">
        <x:v>AM-05</x:v>
      </x:c>
      <x:c r="F16" s="28" t="str">
        <x:v>TR-B</x:v>
      </x:c>
      <x:c r="G16" s="28" t="str">
        <x:v>RFP-B1-AM-05-TR-B</x:v>
      </x:c>
      <x:c r="H16" s="28" t="n">
        <x:f>COUNTIFS('Wave Schedule'!$K$7:$K$30,G16)</x:f>
        <x:v>0</x:v>
      </x:c>
      <x:c r="I16" s="28" t="n">
        <x:f>'Cell Credits'!G16</x:f>
        <x:v>0</x:v>
      </x:c>
      <x:c r="J16" s="29" t="n">
        <x:f>'Cell Credits'!J16</x:f>
        <x:v>0</x:v>
      </x:c>
      <x:c r="K16" s="28" t="str">
        <x:f>IF(H16=0,"OPEN",IF(J16="","OPEN",IF(AND(H16=1,I16=1,COUNTIFS('Attempt Register'!$B$7:$B$36,J16,'Attempt Register'!$E$7:$E$36,G16,'Attempt Register'!$Q$7:$Q$36,"PASS")=1),"PASS","FAIL")))</x:f>
        <x:v>OPEN</x:v>
      </x:c>
    </x:row>
    <x:row r="17">
      <x:c r="B17" s="28" t="str">
        <x:v>CELL-11</x:v>
      </x:c>
      <x:c r="C17" s="28" t="str">
        <x:v>RFP-B1</x:v>
      </x:c>
      <x:c r="D17" s="28" t="str">
        <x:v>PTC-B</x:v>
      </x:c>
      <x:c r="E17" s="28" t="str">
        <x:v>AM-06</x:v>
      </x:c>
      <x:c r="F17" s="28" t="str">
        <x:v>TR-A</x:v>
      </x:c>
      <x:c r="G17" s="28" t="str">
        <x:v>RFP-B1-AM-06-TR-A</x:v>
      </x:c>
      <x:c r="H17" s="28" t="n">
        <x:f>COUNTIFS('Wave Schedule'!$K$7:$K$30,G17)</x:f>
        <x:v>0</x:v>
      </x:c>
      <x:c r="I17" s="28" t="n">
        <x:f>'Cell Credits'!G17</x:f>
        <x:v>0</x:v>
      </x:c>
      <x:c r="J17" s="29" t="n">
        <x:f>'Cell Credits'!J17</x:f>
        <x:v>0</x:v>
      </x:c>
      <x:c r="K17" s="28" t="str">
        <x:f>IF(H17=0,"OPEN",IF(J17="","OPEN",IF(AND(H17=1,I17=1,COUNTIFS('Attempt Register'!$B$7:$B$36,J17,'Attempt Register'!$E$7:$E$36,G17,'Attempt Register'!$Q$7:$Q$36,"PASS")=1),"PASS","FAIL")))</x:f>
        <x:v>OPEN</x:v>
      </x:c>
    </x:row>
    <x:row r="18">
      <x:c r="B18" s="28" t="str">
        <x:v>CELL-12</x:v>
      </x:c>
      <x:c r="C18" s="28" t="str">
        <x:v>RFP-B1</x:v>
      </x:c>
      <x:c r="D18" s="28" t="str">
        <x:v>PTC-B</x:v>
      </x:c>
      <x:c r="E18" s="28" t="str">
        <x:v>AM-06</x:v>
      </x:c>
      <x:c r="F18" s="28" t="str">
        <x:v>TR-B</x:v>
      </x:c>
      <x:c r="G18" s="28" t="str">
        <x:v>RFP-B1-AM-06-TR-B</x:v>
      </x:c>
      <x:c r="H18" s="28" t="n">
        <x:f>COUNTIFS('Wave Schedule'!$K$7:$K$30,G18)</x:f>
        <x:v>0</x:v>
      </x:c>
      <x:c r="I18" s="28" t="n">
        <x:f>'Cell Credits'!G18</x:f>
        <x:v>0</x:v>
      </x:c>
      <x:c r="J18" s="29" t="n">
        <x:f>'Cell Credits'!J18</x:f>
        <x:v>0</x:v>
      </x:c>
      <x:c r="K18" s="28" t="str">
        <x:f>IF(H18=0,"OPEN",IF(J18="","OPEN",IF(AND(H18=1,I18=1,COUNTIFS('Attempt Register'!$B$7:$B$36,J18,'Attempt Register'!$E$7:$E$36,G18,'Attempt Register'!$Q$7:$Q$36,"PASS")=1),"PASS","FAIL")))</x:f>
        <x:v>OPEN</x:v>
      </x:c>
    </x:row>
    <x:row r="19">
      <x:c r="B19" s="28" t="str">
        <x:v>CELL-13</x:v>
      </x:c>
      <x:c r="C19" s="28" t="str">
        <x:v>RFP-B2</x:v>
      </x:c>
      <x:c r="D19" s="28" t="str">
        <x:v>PTC-B</x:v>
      </x:c>
      <x:c r="E19" s="28" t="str">
        <x:v>AM-05</x:v>
      </x:c>
      <x:c r="F19" s="28" t="str">
        <x:v>TR-A</x:v>
      </x:c>
      <x:c r="G19" s="28" t="str">
        <x:v>RFP-B2-AM-05-TR-A</x:v>
      </x:c>
      <x:c r="H19" s="28" t="n">
        <x:f>COUNTIFS('Wave Schedule'!$K$7:$K$30,G19)</x:f>
        <x:v>0</x:v>
      </x:c>
      <x:c r="I19" s="28" t="n">
        <x:f>'Cell Credits'!G19</x:f>
        <x:v>0</x:v>
      </x:c>
      <x:c r="J19" s="29" t="n">
        <x:f>'Cell Credits'!J19</x:f>
        <x:v>0</x:v>
      </x:c>
      <x:c r="K19" s="28" t="str">
        <x:f>IF(H19=0,"OPEN",IF(J19="","OPEN",IF(AND(H19=1,I19=1,COUNTIFS('Attempt Register'!$B$7:$B$36,J19,'Attempt Register'!$E$7:$E$36,G19,'Attempt Register'!$Q$7:$Q$36,"PASS")=1),"PASS","FAIL")))</x:f>
        <x:v>OPEN</x:v>
      </x:c>
    </x:row>
    <x:row r="20">
      <x:c r="B20" s="28" t="str">
        <x:v>CELL-14</x:v>
      </x:c>
      <x:c r="C20" s="28" t="str">
        <x:v>RFP-B2</x:v>
      </x:c>
      <x:c r="D20" s="28" t="str">
        <x:v>PTC-B</x:v>
      </x:c>
      <x:c r="E20" s="28" t="str">
        <x:v>AM-05</x:v>
      </x:c>
      <x:c r="F20" s="28" t="str">
        <x:v>TR-B</x:v>
      </x:c>
      <x:c r="G20" s="28" t="str">
        <x:v>RFP-B2-AM-05-TR-B</x:v>
      </x:c>
      <x:c r="H20" s="28" t="n">
        <x:f>COUNTIFS('Wave Schedule'!$K$7:$K$30,G20)</x:f>
        <x:v>0</x:v>
      </x:c>
      <x:c r="I20" s="28" t="n">
        <x:f>'Cell Credits'!G20</x:f>
        <x:v>0</x:v>
      </x:c>
      <x:c r="J20" s="29" t="n">
        <x:f>'Cell Credits'!J20</x:f>
        <x:v>0</x:v>
      </x:c>
      <x:c r="K20" s="28" t="str">
        <x:f>IF(H20=0,"OPEN",IF(J20="","OPEN",IF(AND(H20=1,I20=1,COUNTIFS('Attempt Register'!$B$7:$B$36,J20,'Attempt Register'!$E$7:$E$36,G20,'Attempt Register'!$Q$7:$Q$36,"PASS")=1),"PASS","FAIL")))</x:f>
        <x:v>OPEN</x:v>
      </x:c>
    </x:row>
    <x:row r="21">
      <x:c r="B21" s="28" t="str">
        <x:v>CELL-15</x:v>
      </x:c>
      <x:c r="C21" s="28" t="str">
        <x:v>RFP-B2</x:v>
      </x:c>
      <x:c r="D21" s="28" t="str">
        <x:v>PTC-B</x:v>
      </x:c>
      <x:c r="E21" s="28" t="str">
        <x:v>AM-06</x:v>
      </x:c>
      <x:c r="F21" s="28" t="str">
        <x:v>TR-A</x:v>
      </x:c>
      <x:c r="G21" s="28" t="str">
        <x:v>RFP-B2-AM-06-TR-A</x:v>
      </x:c>
      <x:c r="H21" s="28" t="n">
        <x:f>COUNTIFS('Wave Schedule'!$K$7:$K$30,G21)</x:f>
        <x:v>0</x:v>
      </x:c>
      <x:c r="I21" s="28" t="n">
        <x:f>'Cell Credits'!G21</x:f>
        <x:v>0</x:v>
      </x:c>
      <x:c r="J21" s="29" t="n">
        <x:f>'Cell Credits'!J21</x:f>
        <x:v>0</x:v>
      </x:c>
      <x:c r="K21" s="28" t="str">
        <x:f>IF(H21=0,"OPEN",IF(J21="","OPEN",IF(AND(H21=1,I21=1,COUNTIFS('Attempt Register'!$B$7:$B$36,J21,'Attempt Register'!$E$7:$E$36,G21,'Attempt Register'!$Q$7:$Q$36,"PASS")=1),"PASS","FAIL")))</x:f>
        <x:v>OPEN</x:v>
      </x:c>
    </x:row>
    <x:row r="22">
      <x:c r="B22" s="28" t="str">
        <x:v>CELL-16</x:v>
      </x:c>
      <x:c r="C22" s="28" t="str">
        <x:v>RFP-B2</x:v>
      </x:c>
      <x:c r="D22" s="28" t="str">
        <x:v>PTC-B</x:v>
      </x:c>
      <x:c r="E22" s="28" t="str">
        <x:v>AM-06</x:v>
      </x:c>
      <x:c r="F22" s="28" t="str">
        <x:v>TR-B</x:v>
      </x:c>
      <x:c r="G22" s="28" t="str">
        <x:v>RFP-B2-AM-06-TR-B</x:v>
      </x:c>
      <x:c r="H22" s="28" t="n">
        <x:f>COUNTIFS('Wave Schedule'!$K$7:$K$30,G22)</x:f>
        <x:v>0</x:v>
      </x:c>
      <x:c r="I22" s="28" t="n">
        <x:f>'Cell Credits'!G22</x:f>
        <x:v>0</x:v>
      </x:c>
      <x:c r="J22" s="29" t="n">
        <x:f>'Cell Credits'!J22</x:f>
        <x:v>0</x:v>
      </x:c>
      <x:c r="K22" s="28" t="str">
        <x:f>IF(H22=0,"OPEN",IF(J22="","OPEN",IF(AND(H22=1,I22=1,COUNTIFS('Attempt Register'!$B$7:$B$36,J22,'Attempt Register'!$E$7:$E$36,G22,'Attempt Register'!$Q$7:$Q$36,"PASS")=1),"PASS","FAIL")))</x:f>
        <x:v>OPEN</x:v>
      </x:c>
    </x:row>
    <x:row r="23">
      <x:c r="B23" s="28" t="str">
        <x:v>CELL-17</x:v>
      </x:c>
      <x:c r="C23" s="28" t="str">
        <x:v>RFP-C1</x:v>
      </x:c>
      <x:c r="D23" s="28" t="str">
        <x:v>PTC-C</x:v>
      </x:c>
      <x:c r="E23" s="28" t="str">
        <x:v>AM-05</x:v>
      </x:c>
      <x:c r="F23" s="28" t="str">
        <x:v>TR-A</x:v>
      </x:c>
      <x:c r="G23" s="28" t="str">
        <x:v>RFP-C1-AM-05-TR-A</x:v>
      </x:c>
      <x:c r="H23" s="28" t="n">
        <x:f>COUNTIFS('Wave Schedule'!$K$7:$K$30,G23)</x:f>
        <x:v>0</x:v>
      </x:c>
      <x:c r="I23" s="28" t="n">
        <x:f>'Cell Credits'!G23</x:f>
        <x:v>0</x:v>
      </x:c>
      <x:c r="J23" s="29" t="n">
        <x:f>'Cell Credits'!J23</x:f>
        <x:v>0</x:v>
      </x:c>
      <x:c r="K23" s="28" t="str">
        <x:f>IF(H23=0,"OPEN",IF(J23="","OPEN",IF(AND(H23=1,I23=1,COUNTIFS('Attempt Register'!$B$7:$B$36,J23,'Attempt Register'!$E$7:$E$36,G23,'Attempt Register'!$Q$7:$Q$36,"PASS")=1),"PASS","FAIL")))</x:f>
        <x:v>OPEN</x:v>
      </x:c>
    </x:row>
    <x:row r="24">
      <x:c r="B24" s="28" t="str">
        <x:v>CELL-18</x:v>
      </x:c>
      <x:c r="C24" s="28" t="str">
        <x:v>RFP-C1</x:v>
      </x:c>
      <x:c r="D24" s="28" t="str">
        <x:v>PTC-C</x:v>
      </x:c>
      <x:c r="E24" s="28" t="str">
        <x:v>AM-05</x:v>
      </x:c>
      <x:c r="F24" s="28" t="str">
        <x:v>TR-B</x:v>
      </x:c>
      <x:c r="G24" s="28" t="str">
        <x:v>RFP-C1-AM-05-TR-B</x:v>
      </x:c>
      <x:c r="H24" s="28" t="n">
        <x:f>COUNTIFS('Wave Schedule'!$K$7:$K$30,G24)</x:f>
        <x:v>0</x:v>
      </x:c>
      <x:c r="I24" s="28" t="n">
        <x:f>'Cell Credits'!G24</x:f>
        <x:v>0</x:v>
      </x:c>
      <x:c r="J24" s="29" t="n">
        <x:f>'Cell Credits'!J24</x:f>
        <x:v>0</x:v>
      </x:c>
      <x:c r="K24" s="28" t="str">
        <x:f>IF(H24=0,"OPEN",IF(J24="","OPEN",IF(AND(H24=1,I24=1,COUNTIFS('Attempt Register'!$B$7:$B$36,J24,'Attempt Register'!$E$7:$E$36,G24,'Attempt Register'!$Q$7:$Q$36,"PASS")=1),"PASS","FAIL")))</x:f>
        <x:v>OPEN</x:v>
      </x:c>
    </x:row>
    <x:row r="25">
      <x:c r="B25" s="28" t="str">
        <x:v>CELL-19</x:v>
      </x:c>
      <x:c r="C25" s="28" t="str">
        <x:v>RFP-C1</x:v>
      </x:c>
      <x:c r="D25" s="28" t="str">
        <x:v>PTC-C</x:v>
      </x:c>
      <x:c r="E25" s="28" t="str">
        <x:v>AM-06</x:v>
      </x:c>
      <x:c r="F25" s="28" t="str">
        <x:v>TR-A</x:v>
      </x:c>
      <x:c r="G25" s="28" t="str">
        <x:v>RFP-C1-AM-06-TR-A</x:v>
      </x:c>
      <x:c r="H25" s="28" t="n">
        <x:f>COUNTIFS('Wave Schedule'!$K$7:$K$30,G25)</x:f>
        <x:v>0</x:v>
      </x:c>
      <x:c r="I25" s="28" t="n">
        <x:f>'Cell Credits'!G25</x:f>
        <x:v>0</x:v>
      </x:c>
      <x:c r="J25" s="29" t="n">
        <x:f>'Cell Credits'!J25</x:f>
        <x:v>0</x:v>
      </x:c>
      <x:c r="K25" s="28" t="str">
        <x:f>IF(H25=0,"OPEN",IF(J25="","OPEN",IF(AND(H25=1,I25=1,COUNTIFS('Attempt Register'!$B$7:$B$36,J25,'Attempt Register'!$E$7:$E$36,G25,'Attempt Register'!$Q$7:$Q$36,"PASS")=1),"PASS","FAIL")))</x:f>
        <x:v>OPEN</x:v>
      </x:c>
    </x:row>
    <x:row r="26">
      <x:c r="B26" s="28" t="str">
        <x:v>CELL-20</x:v>
      </x:c>
      <x:c r="C26" s="28" t="str">
        <x:v>RFP-C1</x:v>
      </x:c>
      <x:c r="D26" s="28" t="str">
        <x:v>PTC-C</x:v>
      </x:c>
      <x:c r="E26" s="28" t="str">
        <x:v>AM-06</x:v>
      </x:c>
      <x:c r="F26" s="28" t="str">
        <x:v>TR-B</x:v>
      </x:c>
      <x:c r="G26" s="28" t="str">
        <x:v>RFP-C1-AM-06-TR-B</x:v>
      </x:c>
      <x:c r="H26" s="28" t="n">
        <x:f>COUNTIFS('Wave Schedule'!$K$7:$K$30,G26)</x:f>
        <x:v>0</x:v>
      </x:c>
      <x:c r="I26" s="28" t="n">
        <x:f>'Cell Credits'!G26</x:f>
        <x:v>0</x:v>
      </x:c>
      <x:c r="J26" s="29" t="n">
        <x:f>'Cell Credits'!J26</x:f>
        <x:v>0</x:v>
      </x:c>
      <x:c r="K26" s="28" t="str">
        <x:f>IF(H26=0,"OPEN",IF(J26="","OPEN",IF(AND(H26=1,I26=1,COUNTIFS('Attempt Register'!$B$7:$B$36,J26,'Attempt Register'!$E$7:$E$36,G26,'Attempt Register'!$Q$7:$Q$36,"PASS")=1),"PASS","FAIL")))</x:f>
        <x:v>OPEN</x:v>
      </x:c>
    </x:row>
    <x:row r="27">
      <x:c r="B27" s="28" t="str">
        <x:v>CELL-21</x:v>
      </x:c>
      <x:c r="C27" s="28" t="str">
        <x:v>RFP-C2</x:v>
      </x:c>
      <x:c r="D27" s="28" t="str">
        <x:v>PTC-C</x:v>
      </x:c>
      <x:c r="E27" s="28" t="str">
        <x:v>AM-05</x:v>
      </x:c>
      <x:c r="F27" s="28" t="str">
        <x:v>TR-A</x:v>
      </x:c>
      <x:c r="G27" s="28" t="str">
        <x:v>RFP-C2-AM-05-TR-A</x:v>
      </x:c>
      <x:c r="H27" s="28" t="n">
        <x:f>COUNTIFS('Wave Schedule'!$K$7:$K$30,G27)</x:f>
        <x:v>0</x:v>
      </x:c>
      <x:c r="I27" s="28" t="n">
        <x:f>'Cell Credits'!G27</x:f>
        <x:v>0</x:v>
      </x:c>
      <x:c r="J27" s="29" t="n">
        <x:f>'Cell Credits'!J27</x:f>
        <x:v>0</x:v>
      </x:c>
      <x:c r="K27" s="28" t="str">
        <x:f>IF(H27=0,"OPEN",IF(J27="","OPEN",IF(AND(H27=1,I27=1,COUNTIFS('Attempt Register'!$B$7:$B$36,J27,'Attempt Register'!$E$7:$E$36,G27,'Attempt Register'!$Q$7:$Q$36,"PASS")=1),"PASS","FAIL")))</x:f>
        <x:v>OPEN</x:v>
      </x:c>
    </x:row>
    <x:row r="28">
      <x:c r="B28" s="28" t="str">
        <x:v>CELL-22</x:v>
      </x:c>
      <x:c r="C28" s="28" t="str">
        <x:v>RFP-C2</x:v>
      </x:c>
      <x:c r="D28" s="28" t="str">
        <x:v>PTC-C</x:v>
      </x:c>
      <x:c r="E28" s="28" t="str">
        <x:v>AM-05</x:v>
      </x:c>
      <x:c r="F28" s="28" t="str">
        <x:v>TR-B</x:v>
      </x:c>
      <x:c r="G28" s="28" t="str">
        <x:v>RFP-C2-AM-05-TR-B</x:v>
      </x:c>
      <x:c r="H28" s="28" t="n">
        <x:f>COUNTIFS('Wave Schedule'!$K$7:$K$30,G28)</x:f>
        <x:v>0</x:v>
      </x:c>
      <x:c r="I28" s="28" t="n">
        <x:f>'Cell Credits'!G28</x:f>
        <x:v>0</x:v>
      </x:c>
      <x:c r="J28" s="29" t="n">
        <x:f>'Cell Credits'!J28</x:f>
        <x:v>0</x:v>
      </x:c>
      <x:c r="K28" s="28" t="str">
        <x:f>IF(H28=0,"OPEN",IF(J28="","OPEN",IF(AND(H28=1,I28=1,COUNTIFS('Attempt Register'!$B$7:$B$36,J28,'Attempt Register'!$E$7:$E$36,G28,'Attempt Register'!$Q$7:$Q$36,"PASS")=1),"PASS","FAIL")))</x:f>
        <x:v>OPEN</x:v>
      </x:c>
    </x:row>
    <x:row r="29">
      <x:c r="B29" s="28" t="str">
        <x:v>CELL-23</x:v>
      </x:c>
      <x:c r="C29" s="28" t="str">
        <x:v>RFP-C2</x:v>
      </x:c>
      <x:c r="D29" s="28" t="str">
        <x:v>PTC-C</x:v>
      </x:c>
      <x:c r="E29" s="28" t="str">
        <x:v>AM-06</x:v>
      </x:c>
      <x:c r="F29" s="28" t="str">
        <x:v>TR-A</x:v>
      </x:c>
      <x:c r="G29" s="28" t="str">
        <x:v>RFP-C2-AM-06-TR-A</x:v>
      </x:c>
      <x:c r="H29" s="28" t="n">
        <x:f>COUNTIFS('Wave Schedule'!$K$7:$K$30,G29)</x:f>
        <x:v>0</x:v>
      </x:c>
      <x:c r="I29" s="28" t="n">
        <x:f>'Cell Credits'!G29</x:f>
        <x:v>0</x:v>
      </x:c>
      <x:c r="J29" s="29" t="n">
        <x:f>'Cell Credits'!J29</x:f>
        <x:v>0</x:v>
      </x:c>
      <x:c r="K29" s="28" t="str">
        <x:f>IF(H29=0,"OPEN",IF(J29="","OPEN",IF(AND(H29=1,I29=1,COUNTIFS('Attempt Register'!$B$7:$B$36,J29,'Attempt Register'!$E$7:$E$36,G29,'Attempt Register'!$Q$7:$Q$36,"PASS")=1),"PASS","FAIL")))</x:f>
        <x:v>OPEN</x:v>
      </x:c>
    </x:row>
    <x:row r="30">
      <x:c r="B30" s="28" t="str">
        <x:v>CELL-24</x:v>
      </x:c>
      <x:c r="C30" s="28" t="str">
        <x:v>RFP-C2</x:v>
      </x:c>
      <x:c r="D30" s="28" t="str">
        <x:v>PTC-C</x:v>
      </x:c>
      <x:c r="E30" s="28" t="str">
        <x:v>AM-06</x:v>
      </x:c>
      <x:c r="F30" s="28" t="str">
        <x:v>TR-B</x:v>
      </x:c>
      <x:c r="G30" s="28" t="str">
        <x:v>RFP-C2-AM-06-TR-B</x:v>
      </x:c>
      <x:c r="H30" s="28" t="n">
        <x:f>COUNTIFS('Wave Schedule'!$K$7:$K$30,G30)</x:f>
        <x:v>0</x:v>
      </x:c>
      <x:c r="I30" s="28" t="n">
        <x:f>'Cell Credits'!G30</x:f>
        <x:v>0</x:v>
      </x:c>
      <x:c r="J30" s="29" t="n">
        <x:f>'Cell Credits'!J30</x:f>
        <x:v>0</x:v>
      </x:c>
      <x:c r="K30" s="28" t="str">
        <x:f>IF(H30=0,"OPEN",IF(J30="","OPEN",IF(AND(H30=1,I30=1,COUNTIFS('Attempt Register'!$B$7:$B$36,J30,'Attempt Register'!$E$7:$E$36,G30,'Attempt Register'!$Q$7:$Q$36,"PASS")=1),"PASS","FAIL")))</x:f>
        <x:v>OPEN</x:v>
      </x:c>
    </x:row>
  </x:sheetData>
  <x:conditionalFormatting sqref="K7:K30">
    <x:cfRule type="containsText" dxfId="45" priority="1" operator="containsText" text="FAIL"/>
    <x:cfRule type="containsText" dxfId="46" priority="2" operator="containsText" text="BLOCKED"/>
    <x:cfRule type="containsText" dxfId="47" priority="3" operator="containsText" text="INVALID"/>
    <x:cfRule type="containsText" dxfId="48" priority="4" operator="containsText" text="ADVERSE"/>
    <x:cfRule type="containsText" dxfId="49" priority="5" operator="containsText" text="EXPIRED"/>
    <x:cfRule type="containsText" dxfId="50" priority="6" operator="containsText" text="OPEN"/>
    <x:cfRule type="containsText" dxfId="51" priority="7" operator="containsText" text="DORMANT"/>
    <x:cfRule type="containsText" dxfId="52" priority="8" operator="containsText" text="PASS"/>
    <x:cfRule type="containsText" dxfId="53" priority="9" operator="containsText" text="AVAILABL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2" hidden="0" customWidth="1"/>
    <x:col min="5" max="5" width="42" hidden="0" customWidth="1"/>
    <x:col min="6" max="6" width="18" hidden="0" customWidth="1"/>
    <x:col min="7" max="7" width="38" hidden="0" customWidth="1"/>
    <x:col min="8" max="8" width="23" hidden="0" customWidth="1"/>
    <x:col min="9" max="9" width="16" hidden="0" customWidth="1"/>
  </x:cols>
  <x:sheetData>
    <x:row r="2">
      <x:c r="B2" s="23" t="str">
        <x:v>Thirty immutable attempt tokens</x:v>
      </x:c>
      <x:c r="C2" s="24"/>
      <x:c r="D2" s="24"/>
      <x:c r="E2" s="24"/>
      <x:c r="F2" s="24"/>
      <x:c r="G2" s="24"/>
      <x:c r="H2" s="24"/>
      <x:c r="I2" s="24"/>
    </x:row>
    <x:row r="3">
      <x:c r="B3" s="25" t="str">
        <x:v>Twenty-four primary tokens map to the transformed schedule. Six dormant tokens may target only an independently invalid cell.</x:v>
      </x:c>
      <x:c r="C3" s="24"/>
      <x:c r="D3" s="24"/>
      <x:c r="E3" s="24"/>
      <x:c r="F3" s="24"/>
      <x:c r="G3" s="24"/>
      <x:c r="H3" s="24"/>
      <x:c r="I3" s="24"/>
    </x:row>
    <x:row r="4">
      <x:c r="B4" s="24"/>
      <x:c r="C4" s="24"/>
      <x:c r="D4" s="24"/>
      <x:c r="E4" s="24"/>
      <x:c r="F4" s="24"/>
      <x:c r="G4" s="24"/>
      <x:c r="H4" s="24"/>
      <x:c r="I4" s="24"/>
    </x:row>
    <x:row r="5">
      <x:c r="B5" s="24"/>
      <x:c r="C5" s="24"/>
      <x:c r="D5" s="24"/>
      <x:c r="E5" s="24"/>
      <x:c r="F5" s="24"/>
      <x:c r="G5" s="24"/>
      <x:c r="H5" s="24"/>
      <x:c r="I5" s="24"/>
    </x:row>
    <x:row r="6" ht="24" customHeight="1">
      <x:c r="B6" s="6" t="str">
        <x:v>Token</x:v>
      </x:c>
      <x:c r="C6" s="6" t="str">
        <x:v>Kind</x:v>
      </x:c>
      <x:c r="D6" s="6" t="str">
        <x:v>Wave</x:v>
      </x:c>
      <x:c r="E6" s="6" t="str">
        <x:v>Target cell</x:v>
      </x:c>
      <x:c r="F6" s="6" t="str">
        <x:v>Replaces token</x:v>
      </x:c>
      <x:c r="G6" s="6" t="str">
        <x:v>Activation reason</x:v>
      </x:c>
      <x:c r="H6" s="6" t="str">
        <x:v>Board accepted UTC</x:v>
      </x:c>
      <x:c r="I6" s="6" t="str">
        <x:v>State</x:v>
      </x:c>
    </x:row>
    <x:row r="7">
      <x:c r="B7" s="28" t="str">
        <x:v>AT-01</x:v>
      </x:c>
      <x:c r="C7" s="28" t="str">
        <x:v>PRIMARY</x:v>
      </x:c>
      <x:c r="D7" s="28" t="n">
        <x:v>1</x:v>
      </x:c>
      <x:c r="E7" s="28" t="str">
        <x:f>'Wave Schedule'!K7</x:f>
      </x:c>
      <x:c r="F7" s="28" t="str"/>
      <x:c r="G7" s="28" t="str"/>
      <x:c r="H7" s="28" t="str"/>
      <x:c r="I7" s="28" t="str">
        <x:f>IF(E7="","OPEN",IF('Wave Schedule'!L7="PASS","AVAILABLE","FAIL"))</x:f>
        <x:v>OPEN</x:v>
      </x:c>
    </x:row>
    <x:row r="8">
      <x:c r="B8" s="28" t="str">
        <x:v>AT-02</x:v>
      </x:c>
      <x:c r="C8" s="28" t="str">
        <x:v>PRIMARY</x:v>
      </x:c>
      <x:c r="D8" s="28" t="n">
        <x:v>1</x:v>
      </x:c>
      <x:c r="E8" s="28" t="str">
        <x:f>'Wave Schedule'!K8</x:f>
      </x:c>
      <x:c r="F8" s="28" t="str"/>
      <x:c r="G8" s="28" t="str"/>
      <x:c r="H8" s="28" t="str"/>
      <x:c r="I8" s="28" t="str">
        <x:f>IF(E8="","OPEN",IF('Wave Schedule'!L8="PASS","AVAILABLE","FAIL"))</x:f>
        <x:v>OPEN</x:v>
      </x:c>
    </x:row>
    <x:row r="9">
      <x:c r="B9" s="28" t="str">
        <x:v>AT-03</x:v>
      </x:c>
      <x:c r="C9" s="28" t="str">
        <x:v>PRIMARY</x:v>
      </x:c>
      <x:c r="D9" s="28" t="n">
        <x:v>1</x:v>
      </x:c>
      <x:c r="E9" s="28" t="str">
        <x:f>'Wave Schedule'!K9</x:f>
      </x:c>
      <x:c r="F9" s="28" t="str"/>
      <x:c r="G9" s="28" t="str"/>
      <x:c r="H9" s="28" t="str"/>
      <x:c r="I9" s="28" t="str">
        <x:f>IF(E9="","OPEN",IF('Wave Schedule'!L9="PASS","AVAILABLE","FAIL"))</x:f>
        <x:v>OPEN</x:v>
      </x:c>
    </x:row>
    <x:row r="10">
      <x:c r="B10" s="28" t="str">
        <x:v>AT-04</x:v>
      </x:c>
      <x:c r="C10" s="28" t="str">
        <x:v>PRIMARY</x:v>
      </x:c>
      <x:c r="D10" s="28" t="n">
        <x:v>1</x:v>
      </x:c>
      <x:c r="E10" s="28" t="str">
        <x:f>'Wave Schedule'!K10</x:f>
      </x:c>
      <x:c r="F10" s="28" t="str"/>
      <x:c r="G10" s="28" t="str"/>
      <x:c r="H10" s="28" t="str"/>
      <x:c r="I10" s="28" t="str">
        <x:f>IF(E10="","OPEN",IF('Wave Schedule'!L10="PASS","AVAILABLE","FAIL"))</x:f>
        <x:v>OPEN</x:v>
      </x:c>
    </x:row>
    <x:row r="11">
      <x:c r="B11" s="28" t="str">
        <x:v>AT-05</x:v>
      </x:c>
      <x:c r="C11" s="28" t="str">
        <x:v>PRIMARY</x:v>
      </x:c>
      <x:c r="D11" s="28" t="n">
        <x:v>1</x:v>
      </x:c>
      <x:c r="E11" s="28" t="str">
        <x:f>'Wave Schedule'!K11</x:f>
      </x:c>
      <x:c r="F11" s="28" t="str"/>
      <x:c r="G11" s="28" t="str"/>
      <x:c r="H11" s="28" t="str"/>
      <x:c r="I11" s="28" t="str">
        <x:f>IF(E11="","OPEN",IF('Wave Schedule'!L11="PASS","AVAILABLE","FAIL"))</x:f>
        <x:v>OPEN</x:v>
      </x:c>
    </x:row>
    <x:row r="12">
      <x:c r="B12" s="28" t="str">
        <x:v>AT-06</x:v>
      </x:c>
      <x:c r="C12" s="28" t="str">
        <x:v>PRIMARY</x:v>
      </x:c>
      <x:c r="D12" s="28" t="n">
        <x:v>1</x:v>
      </x:c>
      <x:c r="E12" s="28" t="str">
        <x:f>'Wave Schedule'!K12</x:f>
      </x:c>
      <x:c r="F12" s="28" t="str"/>
      <x:c r="G12" s="28" t="str"/>
      <x:c r="H12" s="28" t="str"/>
      <x:c r="I12" s="28" t="str">
        <x:f>IF(E12="","OPEN",IF('Wave Schedule'!L12="PASS","AVAILABLE","FAIL"))</x:f>
        <x:v>OPEN</x:v>
      </x:c>
    </x:row>
    <x:row r="13">
      <x:c r="B13" s="28" t="str">
        <x:v>AT-07</x:v>
      </x:c>
      <x:c r="C13" s="28" t="str">
        <x:v>PRIMARY</x:v>
      </x:c>
      <x:c r="D13" s="28" t="n">
        <x:v>2</x:v>
      </x:c>
      <x:c r="E13" s="28" t="str">
        <x:f>'Wave Schedule'!K13</x:f>
      </x:c>
      <x:c r="F13" s="28" t="str"/>
      <x:c r="G13" s="28" t="str"/>
      <x:c r="H13" s="28" t="str"/>
      <x:c r="I13" s="28" t="str">
        <x:f>IF(E13="","OPEN",IF('Wave Schedule'!L13="PASS","AVAILABLE","FAIL"))</x:f>
        <x:v>OPEN</x:v>
      </x:c>
    </x:row>
    <x:row r="14">
      <x:c r="B14" s="28" t="str">
        <x:v>AT-08</x:v>
      </x:c>
      <x:c r="C14" s="28" t="str">
        <x:v>PRIMARY</x:v>
      </x:c>
      <x:c r="D14" s="28" t="n">
        <x:v>2</x:v>
      </x:c>
      <x:c r="E14" s="28" t="str">
        <x:f>'Wave Schedule'!K14</x:f>
      </x:c>
      <x:c r="F14" s="28" t="str"/>
      <x:c r="G14" s="28" t="str"/>
      <x:c r="H14" s="28" t="str"/>
      <x:c r="I14" s="28" t="str">
        <x:f>IF(E14="","OPEN",IF('Wave Schedule'!L14="PASS","AVAILABLE","FAIL"))</x:f>
        <x:v>OPEN</x:v>
      </x:c>
    </x:row>
    <x:row r="15">
      <x:c r="B15" s="28" t="str">
        <x:v>AT-09</x:v>
      </x:c>
      <x:c r="C15" s="28" t="str">
        <x:v>PRIMARY</x:v>
      </x:c>
      <x:c r="D15" s="28" t="n">
        <x:v>2</x:v>
      </x:c>
      <x:c r="E15" s="28" t="str">
        <x:f>'Wave Schedule'!K15</x:f>
      </x:c>
      <x:c r="F15" s="28" t="str"/>
      <x:c r="G15" s="28" t="str"/>
      <x:c r="H15" s="28" t="str"/>
      <x:c r="I15" s="28" t="str">
        <x:f>IF(E15="","OPEN",IF('Wave Schedule'!L15="PASS","AVAILABLE","FAIL"))</x:f>
        <x:v>OPEN</x:v>
      </x:c>
    </x:row>
    <x:row r="16">
      <x:c r="B16" s="28" t="str">
        <x:v>AT-10</x:v>
      </x:c>
      <x:c r="C16" s="28" t="str">
        <x:v>PRIMARY</x:v>
      </x:c>
      <x:c r="D16" s="28" t="n">
        <x:v>2</x:v>
      </x:c>
      <x:c r="E16" s="28" t="str">
        <x:f>'Wave Schedule'!K16</x:f>
      </x:c>
      <x:c r="F16" s="28" t="str"/>
      <x:c r="G16" s="28" t="str"/>
      <x:c r="H16" s="28" t="str"/>
      <x:c r="I16" s="28" t="str">
        <x:f>IF(E16="","OPEN",IF('Wave Schedule'!L16="PASS","AVAILABLE","FAIL"))</x:f>
        <x:v>OPEN</x:v>
      </x:c>
    </x:row>
    <x:row r="17">
      <x:c r="B17" s="28" t="str">
        <x:v>AT-11</x:v>
      </x:c>
      <x:c r="C17" s="28" t="str">
        <x:v>PRIMARY</x:v>
      </x:c>
      <x:c r="D17" s="28" t="n">
        <x:v>2</x:v>
      </x:c>
      <x:c r="E17" s="28" t="str">
        <x:f>'Wave Schedule'!K17</x:f>
      </x:c>
      <x:c r="F17" s="28" t="str"/>
      <x:c r="G17" s="28" t="str"/>
      <x:c r="H17" s="28" t="str"/>
      <x:c r="I17" s="28" t="str">
        <x:f>IF(E17="","OPEN",IF('Wave Schedule'!L17="PASS","AVAILABLE","FAIL"))</x:f>
        <x:v>OPEN</x:v>
      </x:c>
    </x:row>
    <x:row r="18">
      <x:c r="B18" s="28" t="str">
        <x:v>AT-12</x:v>
      </x:c>
      <x:c r="C18" s="28" t="str">
        <x:v>PRIMARY</x:v>
      </x:c>
      <x:c r="D18" s="28" t="n">
        <x:v>2</x:v>
      </x:c>
      <x:c r="E18" s="28" t="str">
        <x:f>'Wave Schedule'!K18</x:f>
      </x:c>
      <x:c r="F18" s="28" t="str"/>
      <x:c r="G18" s="28" t="str"/>
      <x:c r="H18" s="28" t="str"/>
      <x:c r="I18" s="28" t="str">
        <x:f>IF(E18="","OPEN",IF('Wave Schedule'!L18="PASS","AVAILABLE","FAIL"))</x:f>
        <x:v>OPEN</x:v>
      </x:c>
    </x:row>
    <x:row r="19">
      <x:c r="B19" s="28" t="str">
        <x:v>AT-13</x:v>
      </x:c>
      <x:c r="C19" s="28" t="str">
        <x:v>PRIMARY</x:v>
      </x:c>
      <x:c r="D19" s="28" t="n">
        <x:v>3</x:v>
      </x:c>
      <x:c r="E19" s="28" t="str">
        <x:f>'Wave Schedule'!K19</x:f>
      </x:c>
      <x:c r="F19" s="28" t="str"/>
      <x:c r="G19" s="28" t="str"/>
      <x:c r="H19" s="28" t="str"/>
      <x:c r="I19" s="28" t="str">
        <x:f>IF(E19="","OPEN",IF('Wave Schedule'!L19="PASS","AVAILABLE","FAIL"))</x:f>
        <x:v>OPEN</x:v>
      </x:c>
    </x:row>
    <x:row r="20">
      <x:c r="B20" s="28" t="str">
        <x:v>AT-14</x:v>
      </x:c>
      <x:c r="C20" s="28" t="str">
        <x:v>PRIMARY</x:v>
      </x:c>
      <x:c r="D20" s="28" t="n">
        <x:v>3</x:v>
      </x:c>
      <x:c r="E20" s="28" t="str">
        <x:f>'Wave Schedule'!K20</x:f>
      </x:c>
      <x:c r="F20" s="28" t="str"/>
      <x:c r="G20" s="28" t="str"/>
      <x:c r="H20" s="28" t="str"/>
      <x:c r="I20" s="28" t="str">
        <x:f>IF(E20="","OPEN",IF('Wave Schedule'!L20="PASS","AVAILABLE","FAIL"))</x:f>
        <x:v>OPEN</x:v>
      </x:c>
    </x:row>
    <x:row r="21">
      <x:c r="B21" s="28" t="str">
        <x:v>AT-15</x:v>
      </x:c>
      <x:c r="C21" s="28" t="str">
        <x:v>PRIMARY</x:v>
      </x:c>
      <x:c r="D21" s="28" t="n">
        <x:v>3</x:v>
      </x:c>
      <x:c r="E21" s="28" t="str">
        <x:f>'Wave Schedule'!K21</x:f>
      </x:c>
      <x:c r="F21" s="28" t="str"/>
      <x:c r="G21" s="28" t="str"/>
      <x:c r="H21" s="28" t="str"/>
      <x:c r="I21" s="28" t="str">
        <x:f>IF(E21="","OPEN",IF('Wave Schedule'!L21="PASS","AVAILABLE","FAIL"))</x:f>
        <x:v>OPEN</x:v>
      </x:c>
    </x:row>
    <x:row r="22">
      <x:c r="B22" s="28" t="str">
        <x:v>AT-16</x:v>
      </x:c>
      <x:c r="C22" s="28" t="str">
        <x:v>PRIMARY</x:v>
      </x:c>
      <x:c r="D22" s="28" t="n">
        <x:v>3</x:v>
      </x:c>
      <x:c r="E22" s="28" t="str">
        <x:f>'Wave Schedule'!K22</x:f>
      </x:c>
      <x:c r="F22" s="28" t="str"/>
      <x:c r="G22" s="28" t="str"/>
      <x:c r="H22" s="28" t="str"/>
      <x:c r="I22" s="28" t="str">
        <x:f>IF(E22="","OPEN",IF('Wave Schedule'!L22="PASS","AVAILABLE","FAIL"))</x:f>
        <x:v>OPEN</x:v>
      </x:c>
    </x:row>
    <x:row r="23">
      <x:c r="B23" s="28" t="str">
        <x:v>AT-17</x:v>
      </x:c>
      <x:c r="C23" s="28" t="str">
        <x:v>PRIMARY</x:v>
      </x:c>
      <x:c r="D23" s="28" t="n">
        <x:v>3</x:v>
      </x:c>
      <x:c r="E23" s="28" t="str">
        <x:f>'Wave Schedule'!K23</x:f>
      </x:c>
      <x:c r="F23" s="28" t="str"/>
      <x:c r="G23" s="28" t="str"/>
      <x:c r="H23" s="28" t="str"/>
      <x:c r="I23" s="28" t="str">
        <x:f>IF(E23="","OPEN",IF('Wave Schedule'!L23="PASS","AVAILABLE","FAIL"))</x:f>
        <x:v>OPEN</x:v>
      </x:c>
    </x:row>
    <x:row r="24">
      <x:c r="B24" s="28" t="str">
        <x:v>AT-18</x:v>
      </x:c>
      <x:c r="C24" s="28" t="str">
        <x:v>PRIMARY</x:v>
      </x:c>
      <x:c r="D24" s="28" t="n">
        <x:v>3</x:v>
      </x:c>
      <x:c r="E24" s="28" t="str">
        <x:f>'Wave Schedule'!K24</x:f>
      </x:c>
      <x:c r="F24" s="28" t="str"/>
      <x:c r="G24" s="28" t="str"/>
      <x:c r="H24" s="28" t="str"/>
      <x:c r="I24" s="28" t="str">
        <x:f>IF(E24="","OPEN",IF('Wave Schedule'!L24="PASS","AVAILABLE","FAIL"))</x:f>
        <x:v>OPEN</x:v>
      </x:c>
    </x:row>
    <x:row r="25">
      <x:c r="B25" s="28" t="str">
        <x:v>AT-19</x:v>
      </x:c>
      <x:c r="C25" s="28" t="str">
        <x:v>PRIMARY</x:v>
      </x:c>
      <x:c r="D25" s="28" t="n">
        <x:v>4</x:v>
      </x:c>
      <x:c r="E25" s="28" t="str">
        <x:f>'Wave Schedule'!K25</x:f>
      </x:c>
      <x:c r="F25" s="28" t="str"/>
      <x:c r="G25" s="28" t="str"/>
      <x:c r="H25" s="28" t="str"/>
      <x:c r="I25" s="28" t="str">
        <x:f>IF(E25="","OPEN",IF('Wave Schedule'!L25="PASS","AVAILABLE","FAIL"))</x:f>
        <x:v>OPEN</x:v>
      </x:c>
    </x:row>
    <x:row r="26">
      <x:c r="B26" s="28" t="str">
        <x:v>AT-20</x:v>
      </x:c>
      <x:c r="C26" s="28" t="str">
        <x:v>PRIMARY</x:v>
      </x:c>
      <x:c r="D26" s="28" t="n">
        <x:v>4</x:v>
      </x:c>
      <x:c r="E26" s="28" t="str">
        <x:f>'Wave Schedule'!K26</x:f>
      </x:c>
      <x:c r="F26" s="28" t="str"/>
      <x:c r="G26" s="28" t="str"/>
      <x:c r="H26" s="28" t="str"/>
      <x:c r="I26" s="28" t="str">
        <x:f>IF(E26="","OPEN",IF('Wave Schedule'!L26="PASS","AVAILABLE","FAIL"))</x:f>
        <x:v>OPEN</x:v>
      </x:c>
    </x:row>
    <x:row r="27">
      <x:c r="B27" s="28" t="str">
        <x:v>AT-21</x:v>
      </x:c>
      <x:c r="C27" s="28" t="str">
        <x:v>PRIMARY</x:v>
      </x:c>
      <x:c r="D27" s="28" t="n">
        <x:v>4</x:v>
      </x:c>
      <x:c r="E27" s="28" t="str">
        <x:f>'Wave Schedule'!K27</x:f>
      </x:c>
      <x:c r="F27" s="28" t="str"/>
      <x:c r="G27" s="28" t="str"/>
      <x:c r="H27" s="28" t="str"/>
      <x:c r="I27" s="28" t="str">
        <x:f>IF(E27="","OPEN",IF('Wave Schedule'!L27="PASS","AVAILABLE","FAIL"))</x:f>
        <x:v>OPEN</x:v>
      </x:c>
    </x:row>
    <x:row r="28">
      <x:c r="B28" s="28" t="str">
        <x:v>AT-22</x:v>
      </x:c>
      <x:c r="C28" s="28" t="str">
        <x:v>PRIMARY</x:v>
      </x:c>
      <x:c r="D28" s="28" t="n">
        <x:v>4</x:v>
      </x:c>
      <x:c r="E28" s="28" t="str">
        <x:f>'Wave Schedule'!K28</x:f>
      </x:c>
      <x:c r="F28" s="28" t="str"/>
      <x:c r="G28" s="28" t="str"/>
      <x:c r="H28" s="28" t="str"/>
      <x:c r="I28" s="28" t="str">
        <x:f>IF(E28="","OPEN",IF('Wave Schedule'!L28="PASS","AVAILABLE","FAIL"))</x:f>
        <x:v>OPEN</x:v>
      </x:c>
    </x:row>
    <x:row r="29">
      <x:c r="B29" s="28" t="str">
        <x:v>AT-23</x:v>
      </x:c>
      <x:c r="C29" s="28" t="str">
        <x:v>PRIMARY</x:v>
      </x:c>
      <x:c r="D29" s="28" t="n">
        <x:v>4</x:v>
      </x:c>
      <x:c r="E29" s="28" t="str">
        <x:f>'Wave Schedule'!K29</x:f>
      </x:c>
      <x:c r="F29" s="28" t="str"/>
      <x:c r="G29" s="28" t="str"/>
      <x:c r="H29" s="28" t="str"/>
      <x:c r="I29" s="28" t="str">
        <x:f>IF(E29="","OPEN",IF('Wave Schedule'!L29="PASS","AVAILABLE","FAIL"))</x:f>
        <x:v>OPEN</x:v>
      </x:c>
    </x:row>
    <x:row r="30">
      <x:c r="B30" s="28" t="str">
        <x:v>AT-24</x:v>
      </x:c>
      <x:c r="C30" s="28" t="str">
        <x:v>PRIMARY</x:v>
      </x:c>
      <x:c r="D30" s="28" t="n">
        <x:v>4</x:v>
      </x:c>
      <x:c r="E30" s="28" t="n">
        <x:f>'Wave Schedule'!K30</x:f>
        <x:v>0</x:v>
      </x:c>
      <x:c r="F30" s="28" t="str"/>
      <x:c r="G30" s="28" t="str"/>
      <x:c r="H30" s="28" t="str"/>
      <x:c r="I30" s="28" t="str">
        <x:f>IF(E30="","OPEN",IF('Wave Schedule'!L30="PASS","AVAILABLE","FAIL"))</x:f>
        <x:v>OPEN</x:v>
      </x:c>
    </x:row>
    <x:row r="31">
      <x:c r="B31" s="28" t="str">
        <x:v>AT-25</x:v>
      </x:c>
      <x:c r="C31" s="28" t="str">
        <x:v>RESERVE</x:v>
      </x:c>
      <x:c r="D31" s="28" t="str"/>
      <x:c r="E31" s="29" t="str"/>
      <x:c r="F31" s="29" t="str"/>
      <x:c r="G31" s="29" t="str"/>
      <x:c r="H31" s="29" t="str"/>
      <x:c r="I31" s="28" t="str">
        <x:f>IF(E31="","DORMANT",IF(H31="","OPEN",IF(AND('Controls'!$D$76=1,F31&lt;&gt;"",G31&lt;&gt;"",COUNTIFS('Attempt Register'!$B$7:$B$36,F31,'Attempt Register'!$E$7:$E$36,E31,'Attempt Register'!$Q$7:$Q$36,"INVALID")=1),"AVAILABLE","FAIL")))</x:f>
        <x:v>DORMANT</x:v>
      </x:c>
    </x:row>
    <x:row r="32">
      <x:c r="B32" s="28" t="str">
        <x:v>AT-26</x:v>
      </x:c>
      <x:c r="C32" s="28" t="str">
        <x:v>RESERVE</x:v>
      </x:c>
      <x:c r="D32" s="28" t="str"/>
      <x:c r="E32" s="29" t="str"/>
      <x:c r="F32" s="29" t="str"/>
      <x:c r="G32" s="29" t="str"/>
      <x:c r="H32" s="29" t="str"/>
      <x:c r="I32" s="28" t="str">
        <x:f>IF(E32="","DORMANT",IF(H32="","OPEN",IF(AND('Controls'!$D$76=1,F32&lt;&gt;"",G32&lt;&gt;"",COUNTIFS('Attempt Register'!$B$7:$B$36,F32,'Attempt Register'!$E$7:$E$36,E32,'Attempt Register'!$Q$7:$Q$36,"INVALID")=1),"AVAILABLE","FAIL")))</x:f>
        <x:v>DORMANT</x:v>
      </x:c>
    </x:row>
    <x:row r="33">
      <x:c r="B33" s="28" t="str">
        <x:v>AT-27</x:v>
      </x:c>
      <x:c r="C33" s="28" t="str">
        <x:v>RESERVE</x:v>
      </x:c>
      <x:c r="D33" s="28" t="str"/>
      <x:c r="E33" s="29" t="str"/>
      <x:c r="F33" s="29" t="str"/>
      <x:c r="G33" s="29" t="str"/>
      <x:c r="H33" s="29" t="str"/>
      <x:c r="I33" s="28" t="str">
        <x:f>IF(E33="","DORMANT",IF(H33="","OPEN",IF(AND('Controls'!$D$76=1,F33&lt;&gt;"",G33&lt;&gt;"",COUNTIFS('Attempt Register'!$B$7:$B$36,F33,'Attempt Register'!$E$7:$E$36,E33,'Attempt Register'!$Q$7:$Q$36,"INVALID")=1),"AVAILABLE","FAIL")))</x:f>
        <x:v>DORMANT</x:v>
      </x:c>
    </x:row>
    <x:row r="34">
      <x:c r="B34" s="28" t="str">
        <x:v>AT-28</x:v>
      </x:c>
      <x:c r="C34" s="28" t="str">
        <x:v>RESERVE</x:v>
      </x:c>
      <x:c r="D34" s="28" t="str"/>
      <x:c r="E34" s="29" t="str"/>
      <x:c r="F34" s="29" t="str"/>
      <x:c r="G34" s="29" t="str"/>
      <x:c r="H34" s="29" t="str"/>
      <x:c r="I34" s="28" t="str">
        <x:f>IF(E34="","DORMANT",IF(H34="","OPEN",IF(AND('Controls'!$D$76=1,F34&lt;&gt;"",G34&lt;&gt;"",COUNTIFS('Attempt Register'!$B$7:$B$36,F34,'Attempt Register'!$E$7:$E$36,E34,'Attempt Register'!$Q$7:$Q$36,"INVALID")=1),"AVAILABLE","FAIL")))</x:f>
        <x:v>DORMANT</x:v>
      </x:c>
    </x:row>
    <x:row r="35">
      <x:c r="B35" s="28" t="str">
        <x:v>AT-29</x:v>
      </x:c>
      <x:c r="C35" s="28" t="str">
        <x:v>RESERVE</x:v>
      </x:c>
      <x:c r="D35" s="28" t="str"/>
      <x:c r="E35" s="29" t="str"/>
      <x:c r="F35" s="29" t="str"/>
      <x:c r="G35" s="29" t="str"/>
      <x:c r="H35" s="29" t="str"/>
      <x:c r="I35" s="28" t="str">
        <x:f>IF(E35="","DORMANT",IF(H35="","OPEN",IF(AND('Controls'!$D$76=1,F35&lt;&gt;"",G35&lt;&gt;"",COUNTIFS('Attempt Register'!$B$7:$B$36,F35,'Attempt Register'!$E$7:$E$36,E35,'Attempt Register'!$Q$7:$Q$36,"INVALID")=1),"AVAILABLE","FAIL")))</x:f>
        <x:v>DORMANT</x:v>
      </x:c>
    </x:row>
    <x:row r="36">
      <x:c r="B36" s="28" t="str">
        <x:v>AT-30</x:v>
      </x:c>
      <x:c r="C36" s="28" t="str">
        <x:v>RESERVE</x:v>
      </x:c>
      <x:c r="D36" s="28" t="str"/>
      <x:c r="E36" s="29" t="str"/>
      <x:c r="F36" s="29" t="str"/>
      <x:c r="G36" s="29" t="str"/>
      <x:c r="H36" s="29" t="str"/>
      <x:c r="I36" s="28" t="str">
        <x:f>IF(E36="","DORMANT",IF(H36="","OPEN",IF(AND('Controls'!$D$76=1,F36&lt;&gt;"",G36&lt;&gt;"",COUNTIFS('Attempt Register'!$B$7:$B$36,F36,'Attempt Register'!$E$7:$E$36,E36,'Attempt Register'!$Q$7:$Q$36,"INVALID")=1),"AVAILABLE","FAIL")))</x:f>
        <x:v>DORMANT</x:v>
      </x:c>
    </x:row>
  </x:sheetData>
  <x:conditionalFormatting sqref="I7:I36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INVALID"/>
    <x:cfRule type="containsText" dxfId="57" priority="4" operator="containsText" text="ADVERSE"/>
    <x:cfRule type="containsText" dxfId="58" priority="5" operator="containsText" text="EXPIRED"/>
    <x:cfRule type="containsText" dxfId="59" priority="6" operator="containsText" text="OPEN"/>
    <x:cfRule type="containsText" dxfId="60" priority="7" operator="containsText" text="DORMANT"/>
    <x:cfRule type="containsText" dxfId="61" priority="8" operator="containsText" text="PASS"/>
    <x:cfRule type="containsText" dxfId="62" priority="9" operator="containsText" text="AVAILABL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8" hidden="0" customWidth="1"/>
    <x:col min="5" max="5" width="42" hidden="0" customWidth="1"/>
    <x:col min="6" max="6" width="19" hidden="0" customWidth="1"/>
    <x:col min="7" max="7" width="18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9" hidden="0" customWidth="1"/>
    <x:col min="14" max="14" width="36" hidden="0" customWidth="1"/>
    <x:col min="15" max="15" width="20" hidden="0" customWidth="1"/>
    <x:col min="16" max="16" width="22" hidden="0" customWidth="1"/>
    <x:col min="17" max="17" width="16" hidden="0" customWidth="1"/>
  </x:cols>
  <x:sheetData>
    <x:row r="2">
      <x:c r="B2" s="23" t="str">
        <x:v>Thirty-slot class attempt register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>
      <x:c r="B3" s="25" t="str">
        <x:v>A replacement targets the same failed cell. Invalid and adverse attempts remain in the denominator and in the evidence record.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</x:row>
    <x:row r="6" ht="24" customHeight="1">
      <x:c r="B6" s="6" t="str">
        <x:v>Token</x:v>
      </x:c>
      <x:c r="C6" s="6" t="str">
        <x:v>Kind</x:v>
      </x:c>
      <x:c r="D6" s="6" t="str">
        <x:v>Attempt</x:v>
      </x:c>
      <x:c r="E6" s="6" t="str">
        <x:v>Target cell</x:v>
      </x:c>
      <x:c r="F6" s="6" t="str">
        <x:v>Attempt ordinal</x:v>
      </x:c>
      <x:c r="G6" s="6" t="str">
        <x:v>Issue state</x:v>
      </x:c>
      <x:c r="H6" s="6" t="str">
        <x:v>Passing event gates</x:v>
      </x:c>
      <x:c r="I6" s="6" t="str">
        <x:v>Metrics state</x:v>
      </x:c>
      <x:c r="J6" s="6" t="str">
        <x:v>Replay state</x:v>
      </x:c>
      <x:c r="K6" s="6" t="str">
        <x:v>Validity</x:v>
      </x:c>
      <x:c r="L6" s="6" t="str">
        <x:v>Outcome</x:v>
      </x:c>
      <x:c r="M6" s="6" t="str">
        <x:v>Pair returned</x:v>
      </x:c>
      <x:c r="N6" s="6" t="str">
        <x:v>Packet root</x:v>
      </x:c>
      <x:c r="O6" s="6" t="str">
        <x:v>T0 UTC</x:v>
      </x:c>
      <x:c r="P6" s="6" t="str">
        <x:v>Accepted UTC</x:v>
      </x:c>
      <x:c r="Q6" s="6" t="str">
        <x:v>State</x:v>
      </x:c>
    </x:row>
    <x:row r="7">
      <x:c r="B7" s="28" t="str">
        <x:v>AT-01</x:v>
      </x:c>
      <x:c r="C7" s="28" t="str">
        <x:v>PRIMARY</x:v>
      </x:c>
      <x:c r="D7" s="28" t="str">
        <x:v>QE01-A01</x:v>
      </x:c>
      <x:c r="E7" s="28" t="n">
        <x:f>'Attempt Tokens'!E7</x:f>
        <x:v>0</x:v>
      </x:c>
      <x:c r="F7" s="29" t="n">
        <x:v>1</x:v>
      </x:c>
      <x:c r="G7" s="29" t="str"/>
      <x:c r="H7" s="28" t="n">
        <x:f>COUNTIFS('Event Packet Gates'!$B$7:$B$726,B7,'Event Packet Gates'!$L$7:$L$726,"PASS")</x:f>
        <x:v>0</x:v>
      </x:c>
      <x:c r="I7" s="28" t="str">
        <x:f>INDEX('Event Metrics'!$S$7:$S$36,MATCH(B7,'Event Metrics'!$B$7:$B$36,0))</x:f>
        <x:v>OPEN</x:v>
      </x:c>
      <x:c r="J7" s="28" t="str">
        <x:f>IF(E7="","DORMANT",IF(COUNTIFS('Evidence Replay'!$B$7:$B$726,B7,'Evidence Replay'!$M$7:$M$726,"PASS")='Controls'!$D$21*'Controls'!$D$22,"PASS","OPEN"))</x:f>
        <x:v>DORMANT</x:v>
      </x:c>
      <x:c r="K7" s="29" t="str"/>
      <x:c r="L7" s="29" t="str"/>
      <x:c r="M7" s="29" t="str"/>
      <x:c r="N7" s="29" t="str"/>
      <x:c r="O7" s="29" t="str"/>
      <x:c r="P7" s="29" t="str"/>
      <x:c r="Q7" s="28" t="str">
        <x:f>IF(AND(C7="RESERVE",E7=""),"DORMANT",IF(P7="","OPEN",IF(AND(K7="INVALID",N7&lt;&gt;""),"INVALID",IF(AND(G7="PASS",H7='Controls'!$D$19,I7="PASS",J7="PASS",K7="VALID",L7="SUCCESS",M7="PASS",N7&lt;&gt;""),"PASS",IF(AND(G7="PASS",H7='Controls'!$D$19,I7="PASS",J7="PASS",K7="VALID",L7="ADVERSE",M7="PASS",N7&lt;&gt;""),"ADVERSE","FAIL")))))</x:f>
        <x:v>OPEN</x:v>
      </x:c>
    </x:row>
    <x:row r="8">
      <x:c r="B8" s="28" t="str">
        <x:v>AT-02</x:v>
      </x:c>
      <x:c r="C8" s="28" t="str">
        <x:v>PRIMARY</x:v>
      </x:c>
      <x:c r="D8" s="28" t="str">
        <x:v>QE01-A02</x:v>
      </x:c>
      <x:c r="E8" s="28" t="n">
        <x:f>'Attempt Tokens'!E8</x:f>
        <x:v>0</x:v>
      </x:c>
      <x:c r="F8" s="29" t="n">
        <x:v>1</x:v>
      </x:c>
      <x:c r="G8" s="29" t="str"/>
      <x:c r="H8" s="28" t="n">
        <x:f>COUNTIFS('Event Packet Gates'!$B$7:$B$726,B8,'Event Packet Gates'!$L$7:$L$726,"PASS")</x:f>
        <x:v>0</x:v>
      </x:c>
      <x:c r="I8" s="28" t="str">
        <x:f>INDEX('Event Metrics'!$S$7:$S$36,MATCH(B8,'Event Metrics'!$B$7:$B$36,0))</x:f>
        <x:v>OPEN</x:v>
      </x:c>
      <x:c r="J8" s="28" t="str">
        <x:f>IF(E8="","DORMANT",IF(COUNTIFS('Evidence Replay'!$B$7:$B$726,B8,'Evidence Replay'!$M$7:$M$726,"PASS")='Controls'!$D$21*'Controls'!$D$22,"PASS","OPEN"))</x:f>
        <x:v>DORMANT</x:v>
      </x:c>
      <x:c r="K8" s="29" t="str"/>
      <x:c r="L8" s="29" t="str"/>
      <x:c r="M8" s="29" t="str"/>
      <x:c r="N8" s="29" t="str"/>
      <x:c r="O8" s="29" t="str"/>
      <x:c r="P8" s="29" t="str"/>
      <x:c r="Q8" s="28" t="str">
        <x:f>IF(AND(C8="RESERVE",E8=""),"DORMANT",IF(P8="","OPEN",IF(AND(K8="INVALID",N8&lt;&gt;""),"INVALID",IF(AND(G8="PASS",H8='Controls'!$D$19,I8="PASS",J8="PASS",K8="VALID",L8="SUCCESS",M8="PASS",N8&lt;&gt;""),"PASS",IF(AND(G8="PASS",H8='Controls'!$D$19,I8="PASS",J8="PASS",K8="VALID",L8="ADVERSE",M8="PASS",N8&lt;&gt;""),"ADVERSE","FAIL")))))</x:f>
        <x:v>OPEN</x:v>
      </x:c>
    </x:row>
    <x:row r="9">
      <x:c r="B9" s="28" t="str">
        <x:v>AT-03</x:v>
      </x:c>
      <x:c r="C9" s="28" t="str">
        <x:v>PRIMARY</x:v>
      </x:c>
      <x:c r="D9" s="28" t="str">
        <x:v>QE01-A03</x:v>
      </x:c>
      <x:c r="E9" s="28" t="n">
        <x:f>'Attempt Tokens'!E9</x:f>
        <x:v>0</x:v>
      </x:c>
      <x:c r="F9" s="29" t="n">
        <x:v>1</x:v>
      </x:c>
      <x:c r="G9" s="29" t="str"/>
      <x:c r="H9" s="28" t="n">
        <x:f>COUNTIFS('Event Packet Gates'!$B$7:$B$726,B9,'Event Packet Gates'!$L$7:$L$726,"PASS")</x:f>
        <x:v>0</x:v>
      </x:c>
      <x:c r="I9" s="28" t="str">
        <x:f>INDEX('Event Metrics'!$S$7:$S$36,MATCH(B9,'Event Metrics'!$B$7:$B$36,0))</x:f>
        <x:v>OPEN</x:v>
      </x:c>
      <x:c r="J9" s="28" t="str">
        <x:f>IF(E9="","DORMANT",IF(COUNTIFS('Evidence Replay'!$B$7:$B$726,B9,'Evidence Replay'!$M$7:$M$726,"PASS")='Controls'!$D$21*'Controls'!$D$22,"PASS","OPEN"))</x:f>
        <x:v>DORMANT</x:v>
      </x:c>
      <x:c r="K9" s="29" t="str"/>
      <x:c r="L9" s="29" t="str"/>
      <x:c r="M9" s="29" t="str"/>
      <x:c r="N9" s="29" t="str"/>
      <x:c r="O9" s="29" t="str"/>
      <x:c r="P9" s="29" t="str"/>
      <x:c r="Q9" s="28" t="str">
        <x:f>IF(AND(C9="RESERVE",E9=""),"DORMANT",IF(P9="","OPEN",IF(AND(K9="INVALID",N9&lt;&gt;""),"INVALID",IF(AND(G9="PASS",H9='Controls'!$D$19,I9="PASS",J9="PASS",K9="VALID",L9="SUCCESS",M9="PASS",N9&lt;&gt;""),"PASS",IF(AND(G9="PASS",H9='Controls'!$D$19,I9="PASS",J9="PASS",K9="VALID",L9="ADVERSE",M9="PASS",N9&lt;&gt;""),"ADVERSE","FAIL")))))</x:f>
        <x:v>OPEN</x:v>
      </x:c>
    </x:row>
    <x:row r="10">
      <x:c r="B10" s="28" t="str">
        <x:v>AT-04</x:v>
      </x:c>
      <x:c r="C10" s="28" t="str">
        <x:v>PRIMARY</x:v>
      </x:c>
      <x:c r="D10" s="28" t="str">
        <x:v>QE01-A04</x:v>
      </x:c>
      <x:c r="E10" s="28" t="n">
        <x:f>'Attempt Tokens'!E10</x:f>
        <x:v>0</x:v>
      </x:c>
      <x:c r="F10" s="29" t="n">
        <x:v>1</x:v>
      </x:c>
      <x:c r="G10" s="29" t="str"/>
      <x:c r="H10" s="28" t="n">
        <x:f>COUNTIFS('Event Packet Gates'!$B$7:$B$726,B10,'Event Packet Gates'!$L$7:$L$726,"PASS")</x:f>
        <x:v>0</x:v>
      </x:c>
      <x:c r="I10" s="28" t="str">
        <x:f>INDEX('Event Metrics'!$S$7:$S$36,MATCH(B10,'Event Metrics'!$B$7:$B$36,0))</x:f>
        <x:v>OPEN</x:v>
      </x:c>
      <x:c r="J10" s="28" t="str">
        <x:f>IF(E10="","DORMANT",IF(COUNTIFS('Evidence Replay'!$B$7:$B$726,B10,'Evidence Replay'!$M$7:$M$726,"PASS")='Controls'!$D$21*'Controls'!$D$22,"PASS","OPEN"))</x:f>
        <x:v>DORMANT</x:v>
      </x:c>
      <x:c r="K10" s="29" t="str"/>
      <x:c r="L10" s="29" t="str"/>
      <x:c r="M10" s="29" t="str"/>
      <x:c r="N10" s="29" t="str"/>
      <x:c r="O10" s="29" t="str"/>
      <x:c r="P10" s="29" t="str"/>
      <x:c r="Q10" s="28" t="str">
        <x:f>IF(AND(C10="RESERVE",E10=""),"DORMANT",IF(P10="","OPEN",IF(AND(K10="INVALID",N10&lt;&gt;""),"INVALID",IF(AND(G10="PASS",H10='Controls'!$D$19,I10="PASS",J10="PASS",K10="VALID",L10="SUCCESS",M10="PASS",N10&lt;&gt;""),"PASS",IF(AND(G10="PASS",H10='Controls'!$D$19,I10="PASS",J10="PASS",K10="VALID",L10="ADVERSE",M10="PASS",N10&lt;&gt;""),"ADVERSE","FAIL")))))</x:f>
        <x:v>OPEN</x:v>
      </x:c>
    </x:row>
    <x:row r="11">
      <x:c r="B11" s="28" t="str">
        <x:v>AT-05</x:v>
      </x:c>
      <x:c r="C11" s="28" t="str">
        <x:v>PRIMARY</x:v>
      </x:c>
      <x:c r="D11" s="28" t="str">
        <x:v>QE01-A05</x:v>
      </x:c>
      <x:c r="E11" s="28" t="n">
        <x:f>'Attempt Tokens'!E11</x:f>
        <x:v>0</x:v>
      </x:c>
      <x:c r="F11" s="29" t="n">
        <x:v>1</x:v>
      </x:c>
      <x:c r="G11" s="29" t="str"/>
      <x:c r="H11" s="28" t="n">
        <x:f>COUNTIFS('Event Packet Gates'!$B$7:$B$726,B11,'Event Packet Gates'!$L$7:$L$726,"PASS")</x:f>
        <x:v>0</x:v>
      </x:c>
      <x:c r="I11" s="28" t="str">
        <x:f>INDEX('Event Metrics'!$S$7:$S$36,MATCH(B11,'Event Metrics'!$B$7:$B$36,0))</x:f>
        <x:v>OPEN</x:v>
      </x:c>
      <x:c r="J11" s="28" t="str">
        <x:f>IF(E11="","DORMANT",IF(COUNTIFS('Evidence Replay'!$B$7:$B$726,B11,'Evidence Replay'!$M$7:$M$726,"PASS")='Controls'!$D$21*'Controls'!$D$22,"PASS","OPEN"))</x:f>
        <x:v>DORMANT</x:v>
      </x:c>
      <x:c r="K11" s="29" t="str"/>
      <x:c r="L11" s="29" t="str"/>
      <x:c r="M11" s="29" t="str"/>
      <x:c r="N11" s="29" t="str"/>
      <x:c r="O11" s="29" t="str"/>
      <x:c r="P11" s="29" t="str"/>
      <x:c r="Q11" s="28" t="str">
        <x:f>IF(AND(C11="RESERVE",E11=""),"DORMANT",IF(P11="","OPEN",IF(AND(K11="INVALID",N11&lt;&gt;""),"INVALID",IF(AND(G11="PASS",H11='Controls'!$D$19,I11="PASS",J11="PASS",K11="VALID",L11="SUCCESS",M11="PASS",N11&lt;&gt;""),"PASS",IF(AND(G11="PASS",H11='Controls'!$D$19,I11="PASS",J11="PASS",K11="VALID",L11="ADVERSE",M11="PASS",N11&lt;&gt;""),"ADVERSE","FAIL")))))</x:f>
        <x:v>OPEN</x:v>
      </x:c>
    </x:row>
    <x:row r="12">
      <x:c r="B12" s="28" t="str">
        <x:v>AT-06</x:v>
      </x:c>
      <x:c r="C12" s="28" t="str">
        <x:v>PRIMARY</x:v>
      </x:c>
      <x:c r="D12" s="28" t="str">
        <x:v>QE01-A06</x:v>
      </x:c>
      <x:c r="E12" s="28" t="n">
        <x:f>'Attempt Tokens'!E12</x:f>
        <x:v>0</x:v>
      </x:c>
      <x:c r="F12" s="29" t="n">
        <x:v>1</x:v>
      </x:c>
      <x:c r="G12" s="29" t="str"/>
      <x:c r="H12" s="28" t="n">
        <x:f>COUNTIFS('Event Packet Gates'!$B$7:$B$726,B12,'Event Packet Gates'!$L$7:$L$726,"PASS")</x:f>
        <x:v>0</x:v>
      </x:c>
      <x:c r="I12" s="28" t="str">
        <x:f>INDEX('Event Metrics'!$S$7:$S$36,MATCH(B12,'Event Metrics'!$B$7:$B$36,0))</x:f>
        <x:v>OPEN</x:v>
      </x:c>
      <x:c r="J12" s="28" t="str">
        <x:f>IF(E12="","DORMANT",IF(COUNTIFS('Evidence Replay'!$B$7:$B$726,B12,'Evidence Replay'!$M$7:$M$726,"PASS")='Controls'!$D$21*'Controls'!$D$22,"PASS","OPEN"))</x:f>
        <x:v>DORMANT</x:v>
      </x:c>
      <x:c r="K12" s="29" t="str"/>
      <x:c r="L12" s="29" t="str"/>
      <x:c r="M12" s="29" t="str"/>
      <x:c r="N12" s="29" t="str"/>
      <x:c r="O12" s="29" t="str"/>
      <x:c r="P12" s="29" t="str"/>
      <x:c r="Q12" s="28" t="str">
        <x:f>IF(AND(C12="RESERVE",E12=""),"DORMANT",IF(P12="","OPEN",IF(AND(K12="INVALID",N12&lt;&gt;""),"INVALID",IF(AND(G12="PASS",H12='Controls'!$D$19,I12="PASS",J12="PASS",K12="VALID",L12="SUCCESS",M12="PASS",N12&lt;&gt;""),"PASS",IF(AND(G12="PASS",H12='Controls'!$D$19,I12="PASS",J12="PASS",K12="VALID",L12="ADVERSE",M12="PASS",N12&lt;&gt;""),"ADVERSE","FAIL")))))</x:f>
        <x:v>OPEN</x:v>
      </x:c>
    </x:row>
    <x:row r="13">
      <x:c r="B13" s="28" t="str">
        <x:v>AT-07</x:v>
      </x:c>
      <x:c r="C13" s="28" t="str">
        <x:v>PRIMARY</x:v>
      </x:c>
      <x:c r="D13" s="28" t="str">
        <x:v>QE01-A07</x:v>
      </x:c>
      <x:c r="E13" s="28" t="n">
        <x:f>'Attempt Tokens'!E13</x:f>
        <x:v>0</x:v>
      </x:c>
      <x:c r="F13" s="29" t="n">
        <x:v>1</x:v>
      </x:c>
      <x:c r="G13" s="29" t="str"/>
      <x:c r="H13" s="28" t="n">
        <x:f>COUNTIFS('Event Packet Gates'!$B$7:$B$726,B13,'Event Packet Gates'!$L$7:$L$726,"PASS")</x:f>
        <x:v>0</x:v>
      </x:c>
      <x:c r="I13" s="28" t="str">
        <x:f>INDEX('Event Metrics'!$S$7:$S$36,MATCH(B13,'Event Metrics'!$B$7:$B$36,0))</x:f>
        <x:v>OPEN</x:v>
      </x:c>
      <x:c r="J13" s="28" t="str">
        <x:f>IF(E13="","DORMANT",IF(COUNTIFS('Evidence Replay'!$B$7:$B$726,B13,'Evidence Replay'!$M$7:$M$726,"PASS")='Controls'!$D$21*'Controls'!$D$22,"PASS","OPEN"))</x:f>
        <x:v>DORMANT</x:v>
      </x:c>
      <x:c r="K13" s="29" t="str"/>
      <x:c r="L13" s="29" t="str"/>
      <x:c r="M13" s="29" t="str"/>
      <x:c r="N13" s="29" t="str"/>
      <x:c r="O13" s="29" t="str"/>
      <x:c r="P13" s="29" t="str"/>
      <x:c r="Q13" s="28" t="str">
        <x:f>IF(AND(C13="RESERVE",E13=""),"DORMANT",IF(P13="","OPEN",IF(AND(K13="INVALID",N13&lt;&gt;""),"INVALID",IF(AND(G13="PASS",H13='Controls'!$D$19,I13="PASS",J13="PASS",K13="VALID",L13="SUCCESS",M13="PASS",N13&lt;&gt;""),"PASS",IF(AND(G13="PASS",H13='Controls'!$D$19,I13="PASS",J13="PASS",K13="VALID",L13="ADVERSE",M13="PASS",N13&lt;&gt;""),"ADVERSE","FAIL")))))</x:f>
        <x:v>OPEN</x:v>
      </x:c>
    </x:row>
    <x:row r="14">
      <x:c r="B14" s="28" t="str">
        <x:v>AT-08</x:v>
      </x:c>
      <x:c r="C14" s="28" t="str">
        <x:v>PRIMARY</x:v>
      </x:c>
      <x:c r="D14" s="28" t="str">
        <x:v>QE01-A08</x:v>
      </x:c>
      <x:c r="E14" s="28" t="n">
        <x:f>'Attempt Tokens'!E14</x:f>
        <x:v>0</x:v>
      </x:c>
      <x:c r="F14" s="29" t="n">
        <x:v>1</x:v>
      </x:c>
      <x:c r="G14" s="29" t="str"/>
      <x:c r="H14" s="28" t="n">
        <x:f>COUNTIFS('Event Packet Gates'!$B$7:$B$726,B14,'Event Packet Gates'!$L$7:$L$726,"PASS")</x:f>
        <x:v>0</x:v>
      </x:c>
      <x:c r="I14" s="28" t="str">
        <x:f>INDEX('Event Metrics'!$S$7:$S$36,MATCH(B14,'Event Metrics'!$B$7:$B$36,0))</x:f>
        <x:v>OPEN</x:v>
      </x:c>
      <x:c r="J14" s="28" t="str">
        <x:f>IF(E14="","DORMANT",IF(COUNTIFS('Evidence Replay'!$B$7:$B$726,B14,'Evidence Replay'!$M$7:$M$726,"PASS")='Controls'!$D$21*'Controls'!$D$22,"PASS","OPEN"))</x:f>
        <x:v>DORMANT</x:v>
      </x:c>
      <x:c r="K14" s="29" t="str"/>
      <x:c r="L14" s="29" t="str"/>
      <x:c r="M14" s="29" t="str"/>
      <x:c r="N14" s="29" t="str"/>
      <x:c r="O14" s="29" t="str"/>
      <x:c r="P14" s="29" t="str"/>
      <x:c r="Q14" s="28" t="str">
        <x:f>IF(AND(C14="RESERVE",E14=""),"DORMANT",IF(P14="","OPEN",IF(AND(K14="INVALID",N14&lt;&gt;""),"INVALID",IF(AND(G14="PASS",H14='Controls'!$D$19,I14="PASS",J14="PASS",K14="VALID",L14="SUCCESS",M14="PASS",N14&lt;&gt;""),"PASS",IF(AND(G14="PASS",H14='Controls'!$D$19,I14="PASS",J14="PASS",K14="VALID",L14="ADVERSE",M14="PASS",N14&lt;&gt;""),"ADVERSE","FAIL")))))</x:f>
        <x:v>OPEN</x:v>
      </x:c>
    </x:row>
    <x:row r="15">
      <x:c r="B15" s="28" t="str">
        <x:v>AT-09</x:v>
      </x:c>
      <x:c r="C15" s="28" t="str">
        <x:v>PRIMARY</x:v>
      </x:c>
      <x:c r="D15" s="28" t="str">
        <x:v>QE01-A09</x:v>
      </x:c>
      <x:c r="E15" s="28" t="n">
        <x:f>'Attempt Tokens'!E15</x:f>
        <x:v>0</x:v>
      </x:c>
      <x:c r="F15" s="29" t="n">
        <x:v>1</x:v>
      </x:c>
      <x:c r="G15" s="29" t="str"/>
      <x:c r="H15" s="28" t="n">
        <x:f>COUNTIFS('Event Packet Gates'!$B$7:$B$726,B15,'Event Packet Gates'!$L$7:$L$726,"PASS")</x:f>
        <x:v>0</x:v>
      </x:c>
      <x:c r="I15" s="28" t="str">
        <x:f>INDEX('Event Metrics'!$S$7:$S$36,MATCH(B15,'Event Metrics'!$B$7:$B$36,0))</x:f>
        <x:v>OPEN</x:v>
      </x:c>
      <x:c r="J15" s="28" t="str">
        <x:f>IF(E15="","DORMANT",IF(COUNTIFS('Evidence Replay'!$B$7:$B$726,B15,'Evidence Replay'!$M$7:$M$726,"PASS")='Controls'!$D$21*'Controls'!$D$22,"PASS","OPEN"))</x:f>
        <x:v>DORMANT</x:v>
      </x:c>
      <x:c r="K15" s="29" t="str"/>
      <x:c r="L15" s="29" t="str"/>
      <x:c r="M15" s="29" t="str"/>
      <x:c r="N15" s="29" t="str"/>
      <x:c r="O15" s="29" t="str"/>
      <x:c r="P15" s="29" t="str"/>
      <x:c r="Q15" s="28" t="str">
        <x:f>IF(AND(C15="RESERVE",E15=""),"DORMANT",IF(P15="","OPEN",IF(AND(K15="INVALID",N15&lt;&gt;""),"INVALID",IF(AND(G15="PASS",H15='Controls'!$D$19,I15="PASS",J15="PASS",K15="VALID",L15="SUCCESS",M15="PASS",N15&lt;&gt;""),"PASS",IF(AND(G15="PASS",H15='Controls'!$D$19,I15="PASS",J15="PASS",K15="VALID",L15="ADVERSE",M15="PASS",N15&lt;&gt;""),"ADVERSE","FAIL")))))</x:f>
        <x:v>OPEN</x:v>
      </x:c>
    </x:row>
    <x:row r="16">
      <x:c r="B16" s="28" t="str">
        <x:v>AT-10</x:v>
      </x:c>
      <x:c r="C16" s="28" t="str">
        <x:v>PRIMARY</x:v>
      </x:c>
      <x:c r="D16" s="28" t="str">
        <x:v>QE01-A10</x:v>
      </x:c>
      <x:c r="E16" s="28" t="n">
        <x:f>'Attempt Tokens'!E16</x:f>
        <x:v>0</x:v>
      </x:c>
      <x:c r="F16" s="29" t="n">
        <x:v>1</x:v>
      </x:c>
      <x:c r="G16" s="29" t="str"/>
      <x:c r="H16" s="28" t="n">
        <x:f>COUNTIFS('Event Packet Gates'!$B$7:$B$726,B16,'Event Packet Gates'!$L$7:$L$726,"PASS")</x:f>
        <x:v>0</x:v>
      </x:c>
      <x:c r="I16" s="28" t="str">
        <x:f>INDEX('Event Metrics'!$S$7:$S$36,MATCH(B16,'Event Metrics'!$B$7:$B$36,0))</x:f>
        <x:v>OPEN</x:v>
      </x:c>
      <x:c r="J16" s="28" t="str">
        <x:f>IF(E16="","DORMANT",IF(COUNTIFS('Evidence Replay'!$B$7:$B$726,B16,'Evidence Replay'!$M$7:$M$726,"PASS")='Controls'!$D$21*'Controls'!$D$22,"PASS","OPEN"))</x:f>
        <x:v>DORMANT</x:v>
      </x:c>
      <x:c r="K16" s="29" t="str"/>
      <x:c r="L16" s="29" t="str"/>
      <x:c r="M16" s="29" t="str"/>
      <x:c r="N16" s="29" t="str"/>
      <x:c r="O16" s="29" t="str"/>
      <x:c r="P16" s="29" t="str"/>
      <x:c r="Q16" s="28" t="str">
        <x:f>IF(AND(C16="RESERVE",E16=""),"DORMANT",IF(P16="","OPEN",IF(AND(K16="INVALID",N16&lt;&gt;""),"INVALID",IF(AND(G16="PASS",H16='Controls'!$D$19,I16="PASS",J16="PASS",K16="VALID",L16="SUCCESS",M16="PASS",N16&lt;&gt;""),"PASS",IF(AND(G16="PASS",H16='Controls'!$D$19,I16="PASS",J16="PASS",K16="VALID",L16="ADVERSE",M16="PASS",N16&lt;&gt;""),"ADVERSE","FAIL")))))</x:f>
        <x:v>OPEN</x:v>
      </x:c>
    </x:row>
    <x:row r="17">
      <x:c r="B17" s="28" t="str">
        <x:v>AT-11</x:v>
      </x:c>
      <x:c r="C17" s="28" t="str">
        <x:v>PRIMARY</x:v>
      </x:c>
      <x:c r="D17" s="28" t="str">
        <x:v>QE01-A11</x:v>
      </x:c>
      <x:c r="E17" s="28" t="n">
        <x:f>'Attempt Tokens'!E17</x:f>
        <x:v>0</x:v>
      </x:c>
      <x:c r="F17" s="29" t="n">
        <x:v>1</x:v>
      </x:c>
      <x:c r="G17" s="29" t="str"/>
      <x:c r="H17" s="28" t="n">
        <x:f>COUNTIFS('Event Packet Gates'!$B$7:$B$726,B17,'Event Packet Gates'!$L$7:$L$726,"PASS")</x:f>
        <x:v>0</x:v>
      </x:c>
      <x:c r="I17" s="28" t="str">
        <x:f>INDEX('Event Metrics'!$S$7:$S$36,MATCH(B17,'Event Metrics'!$B$7:$B$36,0))</x:f>
        <x:v>OPEN</x:v>
      </x:c>
      <x:c r="J17" s="28" t="str">
        <x:f>IF(E17="","DORMANT",IF(COUNTIFS('Evidence Replay'!$B$7:$B$726,B17,'Evidence Replay'!$M$7:$M$726,"PASS")='Controls'!$D$21*'Controls'!$D$22,"PASS","OPEN"))</x:f>
        <x:v>DORMANT</x:v>
      </x:c>
      <x:c r="K17" s="29" t="str"/>
      <x:c r="L17" s="29" t="str"/>
      <x:c r="M17" s="29" t="str"/>
      <x:c r="N17" s="29" t="str"/>
      <x:c r="O17" s="29" t="str"/>
      <x:c r="P17" s="29" t="str"/>
      <x:c r="Q17" s="28" t="str">
        <x:f>IF(AND(C17="RESERVE",E17=""),"DORMANT",IF(P17="","OPEN",IF(AND(K17="INVALID",N17&lt;&gt;""),"INVALID",IF(AND(G17="PASS",H17='Controls'!$D$19,I17="PASS",J17="PASS",K17="VALID",L17="SUCCESS",M17="PASS",N17&lt;&gt;""),"PASS",IF(AND(G17="PASS",H17='Controls'!$D$19,I17="PASS",J17="PASS",K17="VALID",L17="ADVERSE",M17="PASS",N17&lt;&gt;""),"ADVERSE","FAIL")))))</x:f>
        <x:v>OPEN</x:v>
      </x:c>
    </x:row>
    <x:row r="18">
      <x:c r="B18" s="28" t="str">
        <x:v>AT-12</x:v>
      </x:c>
      <x:c r="C18" s="28" t="str">
        <x:v>PRIMARY</x:v>
      </x:c>
      <x:c r="D18" s="28" t="str">
        <x:v>QE01-A12</x:v>
      </x:c>
      <x:c r="E18" s="28" t="n">
        <x:f>'Attempt Tokens'!E18</x:f>
        <x:v>0</x:v>
      </x:c>
      <x:c r="F18" s="29" t="n">
        <x:v>1</x:v>
      </x:c>
      <x:c r="G18" s="29" t="str"/>
      <x:c r="H18" s="28" t="n">
        <x:f>COUNTIFS('Event Packet Gates'!$B$7:$B$726,B18,'Event Packet Gates'!$L$7:$L$726,"PASS")</x:f>
        <x:v>0</x:v>
      </x:c>
      <x:c r="I18" s="28" t="str">
        <x:f>INDEX('Event Metrics'!$S$7:$S$36,MATCH(B18,'Event Metrics'!$B$7:$B$36,0))</x:f>
        <x:v>OPEN</x:v>
      </x:c>
      <x:c r="J18" s="28" t="str">
        <x:f>IF(E18="","DORMANT",IF(COUNTIFS('Evidence Replay'!$B$7:$B$726,B18,'Evidence Replay'!$M$7:$M$726,"PASS")='Controls'!$D$21*'Controls'!$D$22,"PASS","OPEN"))</x:f>
        <x:v>DORMANT</x:v>
      </x:c>
      <x:c r="K18" s="29" t="str"/>
      <x:c r="L18" s="29" t="str"/>
      <x:c r="M18" s="29" t="str"/>
      <x:c r="N18" s="29" t="str"/>
      <x:c r="O18" s="29" t="str"/>
      <x:c r="P18" s="29" t="str"/>
      <x:c r="Q18" s="28" t="str">
        <x:f>IF(AND(C18="RESERVE",E18=""),"DORMANT",IF(P18="","OPEN",IF(AND(K18="INVALID",N18&lt;&gt;""),"INVALID",IF(AND(G18="PASS",H18='Controls'!$D$19,I18="PASS",J18="PASS",K18="VALID",L18="SUCCESS",M18="PASS",N18&lt;&gt;""),"PASS",IF(AND(G18="PASS",H18='Controls'!$D$19,I18="PASS",J18="PASS",K18="VALID",L18="ADVERSE",M18="PASS",N18&lt;&gt;""),"ADVERSE","FAIL")))))</x:f>
        <x:v>OPEN</x:v>
      </x:c>
    </x:row>
    <x:row r="19">
      <x:c r="B19" s="28" t="str">
        <x:v>AT-13</x:v>
      </x:c>
      <x:c r="C19" s="28" t="str">
        <x:v>PRIMARY</x:v>
      </x:c>
      <x:c r="D19" s="28" t="str">
        <x:v>QE01-A13</x:v>
      </x:c>
      <x:c r="E19" s="28" t="n">
        <x:f>'Attempt Tokens'!E19</x:f>
        <x:v>0</x:v>
      </x:c>
      <x:c r="F19" s="29" t="n">
        <x:v>1</x:v>
      </x:c>
      <x:c r="G19" s="29" t="str"/>
      <x:c r="H19" s="28" t="n">
        <x:f>COUNTIFS('Event Packet Gates'!$B$7:$B$726,B19,'Event Packet Gates'!$L$7:$L$726,"PASS")</x:f>
        <x:v>0</x:v>
      </x:c>
      <x:c r="I19" s="28" t="str">
        <x:f>INDEX('Event Metrics'!$S$7:$S$36,MATCH(B19,'Event Metrics'!$B$7:$B$36,0))</x:f>
        <x:v>OPEN</x:v>
      </x:c>
      <x:c r="J19" s="28" t="str">
        <x:f>IF(E19="","DORMANT",IF(COUNTIFS('Evidence Replay'!$B$7:$B$726,B19,'Evidence Replay'!$M$7:$M$726,"PASS")='Controls'!$D$21*'Controls'!$D$22,"PASS","OPEN"))</x:f>
        <x:v>DORMANT</x:v>
      </x:c>
      <x:c r="K19" s="29" t="str"/>
      <x:c r="L19" s="29" t="str"/>
      <x:c r="M19" s="29" t="str"/>
      <x:c r="N19" s="29" t="str"/>
      <x:c r="O19" s="29" t="str"/>
      <x:c r="P19" s="29" t="str"/>
      <x:c r="Q19" s="28" t="str">
        <x:f>IF(AND(C19="RESERVE",E19=""),"DORMANT",IF(P19="","OPEN",IF(AND(K19="INVALID",N19&lt;&gt;""),"INVALID",IF(AND(G19="PASS",H19='Controls'!$D$19,I19="PASS",J19="PASS",K19="VALID",L19="SUCCESS",M19="PASS",N19&lt;&gt;""),"PASS",IF(AND(G19="PASS",H19='Controls'!$D$19,I19="PASS",J19="PASS",K19="VALID",L19="ADVERSE",M19="PASS",N19&lt;&gt;""),"ADVERSE","FAIL")))))</x:f>
        <x:v>OPEN</x:v>
      </x:c>
    </x:row>
    <x:row r="20">
      <x:c r="B20" s="28" t="str">
        <x:v>AT-14</x:v>
      </x:c>
      <x:c r="C20" s="28" t="str">
        <x:v>PRIMARY</x:v>
      </x:c>
      <x:c r="D20" s="28" t="str">
        <x:v>QE01-A14</x:v>
      </x:c>
      <x:c r="E20" s="28" t="n">
        <x:f>'Attempt Tokens'!E20</x:f>
        <x:v>0</x:v>
      </x:c>
      <x:c r="F20" s="29" t="n">
        <x:v>1</x:v>
      </x:c>
      <x:c r="G20" s="29" t="str"/>
      <x:c r="H20" s="28" t="n">
        <x:f>COUNTIFS('Event Packet Gates'!$B$7:$B$726,B20,'Event Packet Gates'!$L$7:$L$726,"PASS")</x:f>
        <x:v>0</x:v>
      </x:c>
      <x:c r="I20" s="28" t="str">
        <x:f>INDEX('Event Metrics'!$S$7:$S$36,MATCH(B20,'Event Metrics'!$B$7:$B$36,0))</x:f>
        <x:v>OPEN</x:v>
      </x:c>
      <x:c r="J20" s="28" t="str">
        <x:f>IF(E20="","DORMANT",IF(COUNTIFS('Evidence Replay'!$B$7:$B$726,B20,'Evidence Replay'!$M$7:$M$726,"PASS")='Controls'!$D$21*'Controls'!$D$22,"PASS","OPEN"))</x:f>
        <x:v>DORMANT</x:v>
      </x:c>
      <x:c r="K20" s="29" t="str"/>
      <x:c r="L20" s="29" t="str"/>
      <x:c r="M20" s="29" t="str"/>
      <x:c r="N20" s="29" t="str"/>
      <x:c r="O20" s="29" t="str"/>
      <x:c r="P20" s="29" t="str"/>
      <x:c r="Q20" s="28" t="str">
        <x:f>IF(AND(C20="RESERVE",E20=""),"DORMANT",IF(P20="","OPEN",IF(AND(K20="INVALID",N20&lt;&gt;""),"INVALID",IF(AND(G20="PASS",H20='Controls'!$D$19,I20="PASS",J20="PASS",K20="VALID",L20="SUCCESS",M20="PASS",N20&lt;&gt;""),"PASS",IF(AND(G20="PASS",H20='Controls'!$D$19,I20="PASS",J20="PASS",K20="VALID",L20="ADVERSE",M20="PASS",N20&lt;&gt;""),"ADVERSE","FAIL")))))</x:f>
        <x:v>OPEN</x:v>
      </x:c>
    </x:row>
    <x:row r="21">
      <x:c r="B21" s="28" t="str">
        <x:v>AT-15</x:v>
      </x:c>
      <x:c r="C21" s="28" t="str">
        <x:v>PRIMARY</x:v>
      </x:c>
      <x:c r="D21" s="28" t="str">
        <x:v>QE01-A15</x:v>
      </x:c>
      <x:c r="E21" s="28" t="n">
        <x:f>'Attempt Tokens'!E21</x:f>
        <x:v>0</x:v>
      </x:c>
      <x:c r="F21" s="29" t="n">
        <x:v>1</x:v>
      </x:c>
      <x:c r="G21" s="29" t="str"/>
      <x:c r="H21" s="28" t="n">
        <x:f>COUNTIFS('Event Packet Gates'!$B$7:$B$726,B21,'Event Packet Gates'!$L$7:$L$726,"PASS")</x:f>
        <x:v>0</x:v>
      </x:c>
      <x:c r="I21" s="28" t="str">
        <x:f>INDEX('Event Metrics'!$S$7:$S$36,MATCH(B21,'Event Metrics'!$B$7:$B$36,0))</x:f>
        <x:v>OPEN</x:v>
      </x:c>
      <x:c r="J21" s="28" t="str">
        <x:f>IF(E21="","DORMANT",IF(COUNTIFS('Evidence Replay'!$B$7:$B$726,B21,'Evidence Replay'!$M$7:$M$726,"PASS")='Controls'!$D$21*'Controls'!$D$22,"PASS","OPEN"))</x:f>
        <x:v>DORMANT</x:v>
      </x:c>
      <x:c r="K21" s="29" t="str"/>
      <x:c r="L21" s="29" t="str"/>
      <x:c r="M21" s="29" t="str"/>
      <x:c r="N21" s="29" t="str"/>
      <x:c r="O21" s="29" t="str"/>
      <x:c r="P21" s="29" t="str"/>
      <x:c r="Q21" s="28" t="str">
        <x:f>IF(AND(C21="RESERVE",E21=""),"DORMANT",IF(P21="","OPEN",IF(AND(K21="INVALID",N21&lt;&gt;""),"INVALID",IF(AND(G21="PASS",H21='Controls'!$D$19,I21="PASS",J21="PASS",K21="VALID",L21="SUCCESS",M21="PASS",N21&lt;&gt;""),"PASS",IF(AND(G21="PASS",H21='Controls'!$D$19,I21="PASS",J21="PASS",K21="VALID",L21="ADVERSE",M21="PASS",N21&lt;&gt;""),"ADVERSE","FAIL")))))</x:f>
        <x:v>OPEN</x:v>
      </x:c>
    </x:row>
    <x:row r="22">
      <x:c r="B22" s="28" t="str">
        <x:v>AT-16</x:v>
      </x:c>
      <x:c r="C22" s="28" t="str">
        <x:v>PRIMARY</x:v>
      </x:c>
      <x:c r="D22" s="28" t="str">
        <x:v>QE01-A16</x:v>
      </x:c>
      <x:c r="E22" s="28" t="n">
        <x:f>'Attempt Tokens'!E22</x:f>
        <x:v>0</x:v>
      </x:c>
      <x:c r="F22" s="29" t="n">
        <x:v>1</x:v>
      </x:c>
      <x:c r="G22" s="29" t="str"/>
      <x:c r="H22" s="28" t="n">
        <x:f>COUNTIFS('Event Packet Gates'!$B$7:$B$726,B22,'Event Packet Gates'!$L$7:$L$726,"PASS")</x:f>
        <x:v>0</x:v>
      </x:c>
      <x:c r="I22" s="28" t="str">
        <x:f>INDEX('Event Metrics'!$S$7:$S$36,MATCH(B22,'Event Metrics'!$B$7:$B$36,0))</x:f>
        <x:v>OPEN</x:v>
      </x:c>
      <x:c r="J22" s="28" t="str">
        <x:f>IF(E22="","DORMANT",IF(COUNTIFS('Evidence Replay'!$B$7:$B$726,B22,'Evidence Replay'!$M$7:$M$726,"PASS")='Controls'!$D$21*'Controls'!$D$22,"PASS","OPEN"))</x:f>
        <x:v>DORMANT</x:v>
      </x:c>
      <x:c r="K22" s="29" t="str"/>
      <x:c r="L22" s="29" t="str"/>
      <x:c r="M22" s="29" t="str"/>
      <x:c r="N22" s="29" t="str"/>
      <x:c r="O22" s="29" t="str"/>
      <x:c r="P22" s="29" t="str"/>
      <x:c r="Q22" s="28" t="str">
        <x:f>IF(AND(C22="RESERVE",E22=""),"DORMANT",IF(P22="","OPEN",IF(AND(K22="INVALID",N22&lt;&gt;""),"INVALID",IF(AND(G22="PASS",H22='Controls'!$D$19,I22="PASS",J22="PASS",K22="VALID",L22="SUCCESS",M22="PASS",N22&lt;&gt;""),"PASS",IF(AND(G22="PASS",H22='Controls'!$D$19,I22="PASS",J22="PASS",K22="VALID",L22="ADVERSE",M22="PASS",N22&lt;&gt;""),"ADVERSE","FAIL")))))</x:f>
        <x:v>OPEN</x:v>
      </x:c>
    </x:row>
    <x:row r="23">
      <x:c r="B23" s="28" t="str">
        <x:v>AT-17</x:v>
      </x:c>
      <x:c r="C23" s="28" t="str">
        <x:v>PRIMARY</x:v>
      </x:c>
      <x:c r="D23" s="28" t="str">
        <x:v>QE01-A17</x:v>
      </x:c>
      <x:c r="E23" s="28" t="n">
        <x:f>'Attempt Tokens'!E23</x:f>
        <x:v>0</x:v>
      </x:c>
      <x:c r="F23" s="29" t="n">
        <x:v>1</x:v>
      </x:c>
      <x:c r="G23" s="29" t="str"/>
      <x:c r="H23" s="28" t="n">
        <x:f>COUNTIFS('Event Packet Gates'!$B$7:$B$726,B23,'Event Packet Gates'!$L$7:$L$726,"PASS")</x:f>
        <x:v>0</x:v>
      </x:c>
      <x:c r="I23" s="28" t="str">
        <x:f>INDEX('Event Metrics'!$S$7:$S$36,MATCH(B23,'Event Metrics'!$B$7:$B$36,0))</x:f>
        <x:v>OPEN</x:v>
      </x:c>
      <x:c r="J23" s="28" t="str">
        <x:f>IF(E23="","DORMANT",IF(COUNTIFS('Evidence Replay'!$B$7:$B$726,B23,'Evidence Replay'!$M$7:$M$726,"PASS")='Controls'!$D$21*'Controls'!$D$22,"PASS","OPEN"))</x:f>
        <x:v>DORMANT</x:v>
      </x:c>
      <x:c r="K23" s="29" t="str"/>
      <x:c r="L23" s="29" t="str"/>
      <x:c r="M23" s="29" t="str"/>
      <x:c r="N23" s="29" t="str"/>
      <x:c r="O23" s="29" t="str"/>
      <x:c r="P23" s="29" t="str"/>
      <x:c r="Q23" s="28" t="str">
        <x:f>IF(AND(C23="RESERVE",E23=""),"DORMANT",IF(P23="","OPEN",IF(AND(K23="INVALID",N23&lt;&gt;""),"INVALID",IF(AND(G23="PASS",H23='Controls'!$D$19,I23="PASS",J23="PASS",K23="VALID",L23="SUCCESS",M23="PASS",N23&lt;&gt;""),"PASS",IF(AND(G23="PASS",H23='Controls'!$D$19,I23="PASS",J23="PASS",K23="VALID",L23="ADVERSE",M23="PASS",N23&lt;&gt;""),"ADVERSE","FAIL")))))</x:f>
        <x:v>OPEN</x:v>
      </x:c>
    </x:row>
    <x:row r="24">
      <x:c r="B24" s="28" t="str">
        <x:v>AT-18</x:v>
      </x:c>
      <x:c r="C24" s="28" t="str">
        <x:v>PRIMARY</x:v>
      </x:c>
      <x:c r="D24" s="28" t="str">
        <x:v>QE01-A18</x:v>
      </x:c>
      <x:c r="E24" s="28" t="n">
        <x:f>'Attempt Tokens'!E24</x:f>
        <x:v>0</x:v>
      </x:c>
      <x:c r="F24" s="29" t="n">
        <x:v>1</x:v>
      </x:c>
      <x:c r="G24" s="29" t="str"/>
      <x:c r="H24" s="28" t="n">
        <x:f>COUNTIFS('Event Packet Gates'!$B$7:$B$726,B24,'Event Packet Gates'!$L$7:$L$726,"PASS")</x:f>
        <x:v>0</x:v>
      </x:c>
      <x:c r="I24" s="28" t="str">
        <x:f>INDEX('Event Metrics'!$S$7:$S$36,MATCH(B24,'Event Metrics'!$B$7:$B$36,0))</x:f>
        <x:v>OPEN</x:v>
      </x:c>
      <x:c r="J24" s="28" t="str">
        <x:f>IF(E24="","DORMANT",IF(COUNTIFS('Evidence Replay'!$B$7:$B$726,B24,'Evidence Replay'!$M$7:$M$726,"PASS")='Controls'!$D$21*'Controls'!$D$22,"PASS","OPEN"))</x:f>
        <x:v>DORMANT</x:v>
      </x:c>
      <x:c r="K24" s="29" t="str"/>
      <x:c r="L24" s="29" t="str"/>
      <x:c r="M24" s="29" t="str"/>
      <x:c r="N24" s="29" t="str"/>
      <x:c r="O24" s="29" t="str"/>
      <x:c r="P24" s="29" t="str"/>
      <x:c r="Q24" s="28" t="str">
        <x:f>IF(AND(C24="RESERVE",E24=""),"DORMANT",IF(P24="","OPEN",IF(AND(K24="INVALID",N24&lt;&gt;""),"INVALID",IF(AND(G24="PASS",H24='Controls'!$D$19,I24="PASS",J24="PASS",K24="VALID",L24="SUCCESS",M24="PASS",N24&lt;&gt;""),"PASS",IF(AND(G24="PASS",H24='Controls'!$D$19,I24="PASS",J24="PASS",K24="VALID",L24="ADVERSE",M24="PASS",N24&lt;&gt;""),"ADVERSE","FAIL")))))</x:f>
        <x:v>OPEN</x:v>
      </x:c>
    </x:row>
    <x:row r="25">
      <x:c r="B25" s="28" t="str">
        <x:v>AT-19</x:v>
      </x:c>
      <x:c r="C25" s="28" t="str">
        <x:v>PRIMARY</x:v>
      </x:c>
      <x:c r="D25" s="28" t="str">
        <x:v>QE01-A19</x:v>
      </x:c>
      <x:c r="E25" s="28" t="n">
        <x:f>'Attempt Tokens'!E25</x:f>
        <x:v>0</x:v>
      </x:c>
      <x:c r="F25" s="29" t="n">
        <x:v>1</x:v>
      </x:c>
      <x:c r="G25" s="29" t="str"/>
      <x:c r="H25" s="28" t="n">
        <x:f>COUNTIFS('Event Packet Gates'!$B$7:$B$726,B25,'Event Packet Gates'!$L$7:$L$726,"PASS")</x:f>
        <x:v>0</x:v>
      </x:c>
      <x:c r="I25" s="28" t="str">
        <x:f>INDEX('Event Metrics'!$S$7:$S$36,MATCH(B25,'Event Metrics'!$B$7:$B$36,0))</x:f>
        <x:v>OPEN</x:v>
      </x:c>
      <x:c r="J25" s="28" t="str">
        <x:f>IF(E25="","DORMANT",IF(COUNTIFS('Evidence Replay'!$B$7:$B$726,B25,'Evidence Replay'!$M$7:$M$726,"PASS")='Controls'!$D$21*'Controls'!$D$22,"PASS","OPEN"))</x:f>
        <x:v>DORMANT</x:v>
      </x:c>
      <x:c r="K25" s="29" t="str"/>
      <x:c r="L25" s="29" t="str"/>
      <x:c r="M25" s="29" t="str"/>
      <x:c r="N25" s="29" t="str"/>
      <x:c r="O25" s="29" t="str"/>
      <x:c r="P25" s="29" t="str"/>
      <x:c r="Q25" s="28" t="str">
        <x:f>IF(AND(C25="RESERVE",E25=""),"DORMANT",IF(P25="","OPEN",IF(AND(K25="INVALID",N25&lt;&gt;""),"INVALID",IF(AND(G25="PASS",H25='Controls'!$D$19,I25="PASS",J25="PASS",K25="VALID",L25="SUCCESS",M25="PASS",N25&lt;&gt;""),"PASS",IF(AND(G25="PASS",H25='Controls'!$D$19,I25="PASS",J25="PASS",K25="VALID",L25="ADVERSE",M25="PASS",N25&lt;&gt;""),"ADVERSE","FAIL")))))</x:f>
        <x:v>OPEN</x:v>
      </x:c>
    </x:row>
    <x:row r="26">
      <x:c r="B26" s="28" t="str">
        <x:v>AT-20</x:v>
      </x:c>
      <x:c r="C26" s="28" t="str">
        <x:v>PRIMARY</x:v>
      </x:c>
      <x:c r="D26" s="28" t="str">
        <x:v>QE01-A20</x:v>
      </x:c>
      <x:c r="E26" s="28" t="n">
        <x:f>'Attempt Tokens'!E26</x:f>
        <x:v>0</x:v>
      </x:c>
      <x:c r="F26" s="29" t="n">
        <x:v>1</x:v>
      </x:c>
      <x:c r="G26" s="29" t="str"/>
      <x:c r="H26" s="28" t="n">
        <x:f>COUNTIFS('Event Packet Gates'!$B$7:$B$726,B26,'Event Packet Gates'!$L$7:$L$726,"PASS")</x:f>
        <x:v>0</x:v>
      </x:c>
      <x:c r="I26" s="28" t="str">
        <x:f>INDEX('Event Metrics'!$S$7:$S$36,MATCH(B26,'Event Metrics'!$B$7:$B$36,0))</x:f>
        <x:v>OPEN</x:v>
      </x:c>
      <x:c r="J26" s="28" t="str">
        <x:f>IF(E26="","DORMANT",IF(COUNTIFS('Evidence Replay'!$B$7:$B$726,B26,'Evidence Replay'!$M$7:$M$726,"PASS")='Controls'!$D$21*'Controls'!$D$22,"PASS","OPEN"))</x:f>
        <x:v>DORMANT</x:v>
      </x:c>
      <x:c r="K26" s="29" t="str"/>
      <x:c r="L26" s="29" t="str"/>
      <x:c r="M26" s="29" t="str"/>
      <x:c r="N26" s="29" t="str"/>
      <x:c r="O26" s="29" t="str"/>
      <x:c r="P26" s="29" t="str"/>
      <x:c r="Q26" s="28" t="str">
        <x:f>IF(AND(C26="RESERVE",E26=""),"DORMANT",IF(P26="","OPEN",IF(AND(K26="INVALID",N26&lt;&gt;""),"INVALID",IF(AND(G26="PASS",H26='Controls'!$D$19,I26="PASS",J26="PASS",K26="VALID",L26="SUCCESS",M26="PASS",N26&lt;&gt;""),"PASS",IF(AND(G26="PASS",H26='Controls'!$D$19,I26="PASS",J26="PASS",K26="VALID",L26="ADVERSE",M26="PASS",N26&lt;&gt;""),"ADVERSE","FAIL")))))</x:f>
        <x:v>OPEN</x:v>
      </x:c>
    </x:row>
    <x:row r="27">
      <x:c r="B27" s="28" t="str">
        <x:v>AT-21</x:v>
      </x:c>
      <x:c r="C27" s="28" t="str">
        <x:v>PRIMARY</x:v>
      </x:c>
      <x:c r="D27" s="28" t="str">
        <x:v>QE01-A21</x:v>
      </x:c>
      <x:c r="E27" s="28" t="n">
        <x:f>'Attempt Tokens'!E27</x:f>
        <x:v>0</x:v>
      </x:c>
      <x:c r="F27" s="29" t="n">
        <x:v>1</x:v>
      </x:c>
      <x:c r="G27" s="29" t="str"/>
      <x:c r="H27" s="28" t="n">
        <x:f>COUNTIFS('Event Packet Gates'!$B$7:$B$726,B27,'Event Packet Gates'!$L$7:$L$726,"PASS")</x:f>
        <x:v>0</x:v>
      </x:c>
      <x:c r="I27" s="28" t="str">
        <x:f>INDEX('Event Metrics'!$S$7:$S$36,MATCH(B27,'Event Metrics'!$B$7:$B$36,0))</x:f>
        <x:v>OPEN</x:v>
      </x:c>
      <x:c r="J27" s="28" t="str">
        <x:f>IF(E27="","DORMANT",IF(COUNTIFS('Evidence Replay'!$B$7:$B$726,B27,'Evidence Replay'!$M$7:$M$726,"PASS")='Controls'!$D$21*'Controls'!$D$22,"PASS","OPEN"))</x:f>
        <x:v>DORMANT</x:v>
      </x:c>
      <x:c r="K27" s="29" t="str"/>
      <x:c r="L27" s="29" t="str"/>
      <x:c r="M27" s="29" t="str"/>
      <x:c r="N27" s="29" t="str"/>
      <x:c r="O27" s="29" t="str"/>
      <x:c r="P27" s="29" t="str"/>
      <x:c r="Q27" s="28" t="str">
        <x:f>IF(AND(C27="RESERVE",E27=""),"DORMANT",IF(P27="","OPEN",IF(AND(K27="INVALID",N27&lt;&gt;""),"INVALID",IF(AND(G27="PASS",H27='Controls'!$D$19,I27="PASS",J27="PASS",K27="VALID",L27="SUCCESS",M27="PASS",N27&lt;&gt;""),"PASS",IF(AND(G27="PASS",H27='Controls'!$D$19,I27="PASS",J27="PASS",K27="VALID",L27="ADVERSE",M27="PASS",N27&lt;&gt;""),"ADVERSE","FAIL")))))</x:f>
        <x:v>OPEN</x:v>
      </x:c>
    </x:row>
    <x:row r="28">
      <x:c r="B28" s="28" t="str">
        <x:v>AT-22</x:v>
      </x:c>
      <x:c r="C28" s="28" t="str">
        <x:v>PRIMARY</x:v>
      </x:c>
      <x:c r="D28" s="28" t="str">
        <x:v>QE01-A22</x:v>
      </x:c>
      <x:c r="E28" s="28" t="n">
        <x:f>'Attempt Tokens'!E28</x:f>
        <x:v>0</x:v>
      </x:c>
      <x:c r="F28" s="29" t="n">
        <x:v>1</x:v>
      </x:c>
      <x:c r="G28" s="29" t="str"/>
      <x:c r="H28" s="28" t="n">
        <x:f>COUNTIFS('Event Packet Gates'!$B$7:$B$726,B28,'Event Packet Gates'!$L$7:$L$726,"PASS")</x:f>
        <x:v>0</x:v>
      </x:c>
      <x:c r="I28" s="28" t="str">
        <x:f>INDEX('Event Metrics'!$S$7:$S$36,MATCH(B28,'Event Metrics'!$B$7:$B$36,0))</x:f>
        <x:v>OPEN</x:v>
      </x:c>
      <x:c r="J28" s="28" t="str">
        <x:f>IF(E28="","DORMANT",IF(COUNTIFS('Evidence Replay'!$B$7:$B$726,B28,'Evidence Replay'!$M$7:$M$726,"PASS")='Controls'!$D$21*'Controls'!$D$22,"PASS","OPEN"))</x:f>
        <x:v>DORMANT</x:v>
      </x:c>
      <x:c r="K28" s="29" t="str"/>
      <x:c r="L28" s="29" t="str"/>
      <x:c r="M28" s="29" t="str"/>
      <x:c r="N28" s="29" t="str"/>
      <x:c r="O28" s="29" t="str"/>
      <x:c r="P28" s="29" t="str"/>
      <x:c r="Q28" s="28" t="str">
        <x:f>IF(AND(C28="RESERVE",E28=""),"DORMANT",IF(P28="","OPEN",IF(AND(K28="INVALID",N28&lt;&gt;""),"INVALID",IF(AND(G28="PASS",H28='Controls'!$D$19,I28="PASS",J28="PASS",K28="VALID",L28="SUCCESS",M28="PASS",N28&lt;&gt;""),"PASS",IF(AND(G28="PASS",H28='Controls'!$D$19,I28="PASS",J28="PASS",K28="VALID",L28="ADVERSE",M28="PASS",N28&lt;&gt;""),"ADVERSE","FAIL")))))</x:f>
        <x:v>OPEN</x:v>
      </x:c>
    </x:row>
    <x:row r="29">
      <x:c r="B29" s="28" t="str">
        <x:v>AT-23</x:v>
      </x:c>
      <x:c r="C29" s="28" t="str">
        <x:v>PRIMARY</x:v>
      </x:c>
      <x:c r="D29" s="28" t="str">
        <x:v>QE01-A23</x:v>
      </x:c>
      <x:c r="E29" s="28" t="n">
        <x:f>'Attempt Tokens'!E29</x:f>
        <x:v>0</x:v>
      </x:c>
      <x:c r="F29" s="29" t="n">
        <x:v>1</x:v>
      </x:c>
      <x:c r="G29" s="29" t="str"/>
      <x:c r="H29" s="28" t="n">
        <x:f>COUNTIFS('Event Packet Gates'!$B$7:$B$726,B29,'Event Packet Gates'!$L$7:$L$726,"PASS")</x:f>
        <x:v>0</x:v>
      </x:c>
      <x:c r="I29" s="28" t="str">
        <x:f>INDEX('Event Metrics'!$S$7:$S$36,MATCH(B29,'Event Metrics'!$B$7:$B$36,0))</x:f>
        <x:v>OPEN</x:v>
      </x:c>
      <x:c r="J29" s="28" t="str">
        <x:f>IF(E29="","DORMANT",IF(COUNTIFS('Evidence Replay'!$B$7:$B$726,B29,'Evidence Replay'!$M$7:$M$726,"PASS")='Controls'!$D$21*'Controls'!$D$22,"PASS","OPEN"))</x:f>
        <x:v>DORMANT</x:v>
      </x:c>
      <x:c r="K29" s="29" t="str"/>
      <x:c r="L29" s="29" t="str"/>
      <x:c r="M29" s="29" t="str"/>
      <x:c r="N29" s="29" t="str"/>
      <x:c r="O29" s="29" t="str"/>
      <x:c r="P29" s="29" t="str"/>
      <x:c r="Q29" s="28" t="str">
        <x:f>IF(AND(C29="RESERVE",E29=""),"DORMANT",IF(P29="","OPEN",IF(AND(K29="INVALID",N29&lt;&gt;""),"INVALID",IF(AND(G29="PASS",H29='Controls'!$D$19,I29="PASS",J29="PASS",K29="VALID",L29="SUCCESS",M29="PASS",N29&lt;&gt;""),"PASS",IF(AND(G29="PASS",H29='Controls'!$D$19,I29="PASS",J29="PASS",K29="VALID",L29="ADVERSE",M29="PASS",N29&lt;&gt;""),"ADVERSE","FAIL")))))</x:f>
        <x:v>OPEN</x:v>
      </x:c>
    </x:row>
    <x:row r="30">
      <x:c r="B30" s="28" t="str">
        <x:v>AT-24</x:v>
      </x:c>
      <x:c r="C30" s="28" t="str">
        <x:v>PRIMARY</x:v>
      </x:c>
      <x:c r="D30" s="28" t="str">
        <x:v>QE01-A24</x:v>
      </x:c>
      <x:c r="E30" s="28" t="n">
        <x:f>'Attempt Tokens'!E30</x:f>
        <x:v>0</x:v>
      </x:c>
      <x:c r="F30" s="29" t="n">
        <x:v>1</x:v>
      </x:c>
      <x:c r="G30" s="29" t="str"/>
      <x:c r="H30" s="28" t="n">
        <x:f>COUNTIFS('Event Packet Gates'!$B$7:$B$726,B30,'Event Packet Gates'!$L$7:$L$726,"PASS")</x:f>
        <x:v>0</x:v>
      </x:c>
      <x:c r="I30" s="28" t="str">
        <x:f>INDEX('Event Metrics'!$S$7:$S$36,MATCH(B30,'Event Metrics'!$B$7:$B$36,0))</x:f>
        <x:v>OPEN</x:v>
      </x:c>
      <x:c r="J30" s="28" t="str">
        <x:f>IF(E30="","DORMANT",IF(COUNTIFS('Evidence Replay'!$B$7:$B$726,B30,'Evidence Replay'!$M$7:$M$726,"PASS")='Controls'!$D$21*'Controls'!$D$22,"PASS","OPEN"))</x:f>
        <x:v>DORMANT</x:v>
      </x:c>
      <x:c r="K30" s="29" t="str"/>
      <x:c r="L30" s="29" t="str"/>
      <x:c r="M30" s="29" t="str"/>
      <x:c r="N30" s="29" t="str"/>
      <x:c r="O30" s="29" t="str"/>
      <x:c r="P30" s="29" t="str"/>
      <x:c r="Q30" s="28" t="str">
        <x:f>IF(AND(C30="RESERVE",E30=""),"DORMANT",IF(P30="","OPEN",IF(AND(K30="INVALID",N30&lt;&gt;""),"INVALID",IF(AND(G30="PASS",H30='Controls'!$D$19,I30="PASS",J30="PASS",K30="VALID",L30="SUCCESS",M30="PASS",N30&lt;&gt;""),"PASS",IF(AND(G30="PASS",H30='Controls'!$D$19,I30="PASS",J30="PASS",K30="VALID",L30="ADVERSE",M30="PASS",N30&lt;&gt;""),"ADVERSE","FAIL")))))</x:f>
        <x:v>OPEN</x:v>
      </x:c>
    </x:row>
    <x:row r="31">
      <x:c r="B31" s="28" t="str">
        <x:v>AT-25</x:v>
      </x:c>
      <x:c r="C31" s="28" t="str">
        <x:v>RESERVE</x:v>
      </x:c>
      <x:c r="D31" s="28" t="str">
        <x:v>QE01-A25</x:v>
      </x:c>
      <x:c r="E31" s="28" t="n">
        <x:f>'Attempt Tokens'!E31</x:f>
        <x:v>0</x:v>
      </x:c>
      <x:c r="F31" s="29" t="str"/>
      <x:c r="G31" s="29" t="str"/>
      <x:c r="H31" s="28" t="n">
        <x:f>COUNTIFS('Event Packet Gates'!$B$7:$B$726,B31,'Event Packet Gates'!$L$7:$L$726,"PASS")</x:f>
        <x:v>0</x:v>
      </x:c>
      <x:c r="I31" s="28" t="str">
        <x:f>INDEX('Event Metrics'!$S$7:$S$36,MATCH(B31,'Event Metrics'!$B$7:$B$36,0))</x:f>
        <x:v>DORMANT</x:v>
      </x:c>
      <x:c r="J31" s="28" t="str">
        <x:f>IF(E31="","DORMANT",IF(COUNTIFS('Evidence Replay'!$B$7:$B$726,B31,'Evidence Replay'!$M$7:$M$726,"PASS")='Controls'!$D$21*'Controls'!$D$22,"PASS","OPEN"))</x:f>
        <x:v>DORMANT</x:v>
      </x:c>
      <x:c r="K31" s="29" t="str"/>
      <x:c r="L31" s="29" t="str"/>
      <x:c r="M31" s="29" t="str"/>
      <x:c r="N31" s="29" t="str"/>
      <x:c r="O31" s="29" t="str"/>
      <x:c r="P31" s="29" t="str"/>
      <x:c r="Q31" s="28" t="str">
        <x:f>IF(AND(C31="RESERVE",E31=""),"DORMANT",IF(P31="","OPEN",IF(AND(K31="INVALID",N31&lt;&gt;""),"INVALID",IF(AND(G31="PASS",H31='Controls'!$D$19,I31="PASS",J31="PASS",K31="VALID",L31="SUCCESS",M31="PASS",N31&lt;&gt;""),"PASS",IF(AND(G31="PASS",H31='Controls'!$D$19,I31="PASS",J31="PASS",K31="VALID",L31="ADVERSE",M31="PASS",N31&lt;&gt;""),"ADVERSE","FAIL")))))</x:f>
        <x:v>DORMANT</x:v>
      </x:c>
    </x:row>
    <x:row r="32">
      <x:c r="B32" s="28" t="str">
        <x:v>AT-26</x:v>
      </x:c>
      <x:c r="C32" s="28" t="str">
        <x:v>RESERVE</x:v>
      </x:c>
      <x:c r="D32" s="28" t="str">
        <x:v>QE01-A26</x:v>
      </x:c>
      <x:c r="E32" s="28" t="n">
        <x:f>'Attempt Tokens'!E32</x:f>
        <x:v>0</x:v>
      </x:c>
      <x:c r="F32" s="29" t="str"/>
      <x:c r="G32" s="29" t="str"/>
      <x:c r="H32" s="28" t="n">
        <x:f>COUNTIFS('Event Packet Gates'!$B$7:$B$726,B32,'Event Packet Gates'!$L$7:$L$726,"PASS")</x:f>
        <x:v>0</x:v>
      </x:c>
      <x:c r="I32" s="28" t="str">
        <x:f>INDEX('Event Metrics'!$S$7:$S$36,MATCH(B32,'Event Metrics'!$B$7:$B$36,0))</x:f>
        <x:v>DORMANT</x:v>
      </x:c>
      <x:c r="J32" s="28" t="str">
        <x:f>IF(E32="","DORMANT",IF(COUNTIFS('Evidence Replay'!$B$7:$B$726,B32,'Evidence Replay'!$M$7:$M$726,"PASS")='Controls'!$D$21*'Controls'!$D$22,"PASS","OPEN"))</x:f>
        <x:v>DORMANT</x:v>
      </x:c>
      <x:c r="K32" s="29" t="str"/>
      <x:c r="L32" s="29" t="str"/>
      <x:c r="M32" s="29" t="str"/>
      <x:c r="N32" s="29" t="str"/>
      <x:c r="O32" s="29" t="str"/>
      <x:c r="P32" s="29" t="str"/>
      <x:c r="Q32" s="28" t="str">
        <x:f>IF(AND(C32="RESERVE",E32=""),"DORMANT",IF(P32="","OPEN",IF(AND(K32="INVALID",N32&lt;&gt;""),"INVALID",IF(AND(G32="PASS",H32='Controls'!$D$19,I32="PASS",J32="PASS",K32="VALID",L32="SUCCESS",M32="PASS",N32&lt;&gt;""),"PASS",IF(AND(G32="PASS",H32='Controls'!$D$19,I32="PASS",J32="PASS",K32="VALID",L32="ADVERSE",M32="PASS",N32&lt;&gt;""),"ADVERSE","FAIL")))))</x:f>
        <x:v>DORMANT</x:v>
      </x:c>
    </x:row>
    <x:row r="33">
      <x:c r="B33" s="28" t="str">
        <x:v>AT-27</x:v>
      </x:c>
      <x:c r="C33" s="28" t="str">
        <x:v>RESERVE</x:v>
      </x:c>
      <x:c r="D33" s="28" t="str">
        <x:v>QE01-A27</x:v>
      </x:c>
      <x:c r="E33" s="28" t="n">
        <x:f>'Attempt Tokens'!E33</x:f>
        <x:v>0</x:v>
      </x:c>
      <x:c r="F33" s="29" t="str"/>
      <x:c r="G33" s="29" t="str"/>
      <x:c r="H33" s="28" t="n">
        <x:f>COUNTIFS('Event Packet Gates'!$B$7:$B$726,B33,'Event Packet Gates'!$L$7:$L$726,"PASS")</x:f>
        <x:v>0</x:v>
      </x:c>
      <x:c r="I33" s="28" t="str">
        <x:f>INDEX('Event Metrics'!$S$7:$S$36,MATCH(B33,'Event Metrics'!$B$7:$B$36,0))</x:f>
        <x:v>DORMANT</x:v>
      </x:c>
      <x:c r="J33" s="28" t="str">
        <x:f>IF(E33="","DORMANT",IF(COUNTIFS('Evidence Replay'!$B$7:$B$726,B33,'Evidence Replay'!$M$7:$M$726,"PASS")='Controls'!$D$21*'Controls'!$D$22,"PASS","OPEN"))</x:f>
        <x:v>DORMANT</x:v>
      </x:c>
      <x:c r="K33" s="29" t="str"/>
      <x:c r="L33" s="29" t="str"/>
      <x:c r="M33" s="29" t="str"/>
      <x:c r="N33" s="29" t="str"/>
      <x:c r="O33" s="29" t="str"/>
      <x:c r="P33" s="29" t="str"/>
      <x:c r="Q33" s="28" t="str">
        <x:f>IF(AND(C33="RESERVE",E33=""),"DORMANT",IF(P33="","OPEN",IF(AND(K33="INVALID",N33&lt;&gt;""),"INVALID",IF(AND(G33="PASS",H33='Controls'!$D$19,I33="PASS",J33="PASS",K33="VALID",L33="SUCCESS",M33="PASS",N33&lt;&gt;""),"PASS",IF(AND(G33="PASS",H33='Controls'!$D$19,I33="PASS",J33="PASS",K33="VALID",L33="ADVERSE",M33="PASS",N33&lt;&gt;""),"ADVERSE","FAIL")))))</x:f>
        <x:v>DORMANT</x:v>
      </x:c>
    </x:row>
    <x:row r="34">
      <x:c r="B34" s="28" t="str">
        <x:v>AT-28</x:v>
      </x:c>
      <x:c r="C34" s="28" t="str">
        <x:v>RESERVE</x:v>
      </x:c>
      <x:c r="D34" s="28" t="str">
        <x:v>QE01-A28</x:v>
      </x:c>
      <x:c r="E34" s="28" t="n">
        <x:f>'Attempt Tokens'!E34</x:f>
        <x:v>0</x:v>
      </x:c>
      <x:c r="F34" s="29" t="str"/>
      <x:c r="G34" s="29" t="str"/>
      <x:c r="H34" s="28" t="n">
        <x:f>COUNTIFS('Event Packet Gates'!$B$7:$B$726,B34,'Event Packet Gates'!$L$7:$L$726,"PASS")</x:f>
        <x:v>0</x:v>
      </x:c>
      <x:c r="I34" s="28" t="str">
        <x:f>INDEX('Event Metrics'!$S$7:$S$36,MATCH(B34,'Event Metrics'!$B$7:$B$36,0))</x:f>
        <x:v>DORMANT</x:v>
      </x:c>
      <x:c r="J34" s="28" t="str">
        <x:f>IF(E34="","DORMANT",IF(COUNTIFS('Evidence Replay'!$B$7:$B$726,B34,'Evidence Replay'!$M$7:$M$726,"PASS")='Controls'!$D$21*'Controls'!$D$22,"PASS","OPEN"))</x:f>
        <x:v>DORMANT</x:v>
      </x:c>
      <x:c r="K34" s="29" t="str"/>
      <x:c r="L34" s="29" t="str"/>
      <x:c r="M34" s="29" t="str"/>
      <x:c r="N34" s="29" t="str"/>
      <x:c r="O34" s="29" t="str"/>
      <x:c r="P34" s="29" t="str"/>
      <x:c r="Q34" s="28" t="str">
        <x:f>IF(AND(C34="RESERVE",E34=""),"DORMANT",IF(P34="","OPEN",IF(AND(K34="INVALID",N34&lt;&gt;""),"INVALID",IF(AND(G34="PASS",H34='Controls'!$D$19,I34="PASS",J34="PASS",K34="VALID",L34="SUCCESS",M34="PASS",N34&lt;&gt;""),"PASS",IF(AND(G34="PASS",H34='Controls'!$D$19,I34="PASS",J34="PASS",K34="VALID",L34="ADVERSE",M34="PASS",N34&lt;&gt;""),"ADVERSE","FAIL")))))</x:f>
        <x:v>DORMANT</x:v>
      </x:c>
    </x:row>
    <x:row r="35">
      <x:c r="B35" s="28" t="str">
        <x:v>AT-29</x:v>
      </x:c>
      <x:c r="C35" s="28" t="str">
        <x:v>RESERVE</x:v>
      </x:c>
      <x:c r="D35" s="28" t="str">
        <x:v>QE01-A29</x:v>
      </x:c>
      <x:c r="E35" s="28" t="n">
        <x:f>'Attempt Tokens'!E35</x:f>
        <x:v>0</x:v>
      </x:c>
      <x:c r="F35" s="29" t="str"/>
      <x:c r="G35" s="29" t="str"/>
      <x:c r="H35" s="28" t="n">
        <x:f>COUNTIFS('Event Packet Gates'!$B$7:$B$726,B35,'Event Packet Gates'!$L$7:$L$726,"PASS")</x:f>
        <x:v>0</x:v>
      </x:c>
      <x:c r="I35" s="28" t="str">
        <x:f>INDEX('Event Metrics'!$S$7:$S$36,MATCH(B35,'Event Metrics'!$B$7:$B$36,0))</x:f>
        <x:v>DORMANT</x:v>
      </x:c>
      <x:c r="J35" s="28" t="str">
        <x:f>IF(E35="","DORMANT",IF(COUNTIFS('Evidence Replay'!$B$7:$B$726,B35,'Evidence Replay'!$M$7:$M$726,"PASS")='Controls'!$D$21*'Controls'!$D$22,"PASS","OPEN"))</x:f>
        <x:v>DORMANT</x:v>
      </x:c>
      <x:c r="K35" s="29" t="str"/>
      <x:c r="L35" s="29" t="str"/>
      <x:c r="M35" s="29" t="str"/>
      <x:c r="N35" s="29" t="str"/>
      <x:c r="O35" s="29" t="str"/>
      <x:c r="P35" s="29" t="str"/>
      <x:c r="Q35" s="28" t="str">
        <x:f>IF(AND(C35="RESERVE",E35=""),"DORMANT",IF(P35="","OPEN",IF(AND(K35="INVALID",N35&lt;&gt;""),"INVALID",IF(AND(G35="PASS",H35='Controls'!$D$19,I35="PASS",J35="PASS",K35="VALID",L35="SUCCESS",M35="PASS",N35&lt;&gt;""),"PASS",IF(AND(G35="PASS",H35='Controls'!$D$19,I35="PASS",J35="PASS",K35="VALID",L35="ADVERSE",M35="PASS",N35&lt;&gt;""),"ADVERSE","FAIL")))))</x:f>
        <x:v>DORMANT</x:v>
      </x:c>
    </x:row>
    <x:row r="36">
      <x:c r="B36" s="28" t="str">
        <x:v>AT-30</x:v>
      </x:c>
      <x:c r="C36" s="28" t="str">
        <x:v>RESERVE</x:v>
      </x:c>
      <x:c r="D36" s="28" t="str">
        <x:v>QE01-A30</x:v>
      </x:c>
      <x:c r="E36" s="28" t="n">
        <x:f>'Attempt Tokens'!E36</x:f>
        <x:v>0</x:v>
      </x:c>
      <x:c r="F36" s="29" t="str"/>
      <x:c r="G36" s="29" t="str"/>
      <x:c r="H36" s="28" t="n">
        <x:f>COUNTIFS('Event Packet Gates'!$B$7:$B$726,B36,'Event Packet Gates'!$L$7:$L$726,"PASS")</x:f>
        <x:v>0</x:v>
      </x:c>
      <x:c r="I36" s="28" t="str">
        <x:f>INDEX('Event Metrics'!$S$7:$S$36,MATCH(B36,'Event Metrics'!$B$7:$B$36,0))</x:f>
        <x:v>DORMANT</x:v>
      </x:c>
      <x:c r="J36" s="28" t="str">
        <x:f>IF(E36="","DORMANT",IF(COUNTIFS('Evidence Replay'!$B$7:$B$726,B36,'Evidence Replay'!$M$7:$M$726,"PASS")='Controls'!$D$21*'Controls'!$D$22,"PASS","OPEN"))</x:f>
        <x:v>DORMANT</x:v>
      </x:c>
      <x:c r="K36" s="29" t="str"/>
      <x:c r="L36" s="29" t="str"/>
      <x:c r="M36" s="29" t="str"/>
      <x:c r="N36" s="29" t="str"/>
      <x:c r="O36" s="29" t="str"/>
      <x:c r="P36" s="29" t="str"/>
      <x:c r="Q36" s="28" t="str">
        <x:f>IF(AND(C36="RESERVE",E36=""),"DORMANT",IF(P36="","OPEN",IF(AND(K36="INVALID",N36&lt;&gt;""),"INVALID",IF(AND(G36="PASS",H36='Controls'!$D$19,I36="PASS",J36="PASS",K36="VALID",L36="SUCCESS",M36="PASS",N36&lt;&gt;""),"PASS",IF(AND(G36="PASS",H36='Controls'!$D$19,I36="PASS",J36="PASS",K36="VALID",L36="ADVERSE",M36="PASS",N36&lt;&gt;""),"ADVERSE","FAIL")))))</x:f>
        <x:v>DORMANT</x:v>
      </x:c>
    </x:row>
  </x:sheetData>
  <x:conditionalFormatting sqref="I7:J36">
    <x:cfRule type="containsText" dxfId="63" priority="1" operator="containsText" text="FAIL"/>
    <x:cfRule type="containsText" dxfId="64" priority="2" operator="containsText" text="BLOCKED"/>
    <x:cfRule type="containsText" dxfId="65" priority="3" operator="containsText" text="INVALID"/>
    <x:cfRule type="containsText" dxfId="66" priority="4" operator="containsText" text="ADVERSE"/>
    <x:cfRule type="containsText" dxfId="67" priority="5" operator="containsText" text="EXPIRED"/>
    <x:cfRule type="containsText" dxfId="68" priority="6" operator="containsText" text="OPEN"/>
    <x:cfRule type="containsText" dxfId="69" priority="7" operator="containsText" text="DORMANT"/>
    <x:cfRule type="containsText" dxfId="70" priority="8" operator="containsText" text="PASS"/>
    <x:cfRule type="containsText" dxfId="71" priority="9" operator="containsText" text="AVAILABLE"/>
  </x:conditionalFormatting>
  <x:conditionalFormatting sqref="Q7:Q36">
    <x:cfRule type="containsText" dxfId="72" priority="10" operator="containsText" text="FAIL"/>
    <x:cfRule type="containsText" dxfId="73" priority="11" operator="containsText" text="BLOCKED"/>
    <x:cfRule type="containsText" dxfId="74" priority="12" operator="containsText" text="INVALID"/>
    <x:cfRule type="containsText" dxfId="75" priority="13" operator="containsText" text="ADVERSE"/>
    <x:cfRule type="containsText" dxfId="76" priority="14" operator="containsText" text="EXPIRED"/>
    <x:cfRule type="containsText" dxfId="77" priority="15" operator="containsText" text="OPEN"/>
    <x:cfRule type="containsText" dxfId="78" priority="16" operator="containsText" text="DORMANT"/>
    <x:cfRule type="containsText" dxfId="79" priority="17" operator="containsText" text="PASS"/>
    <x:cfRule type="containsText" dxfId="80" priority="18" operator="containsText" text="AVAILABL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42" hidden="0" customWidth="1"/>
    <x:col min="5" max="5" width="13" hidden="0" customWidth="1"/>
    <x:col min="6" max="6" width="14" hidden="0" customWidth="1"/>
    <x:col min="7" max="7" width="55" hidden="0" customWidth="1"/>
    <x:col min="8" max="8" width="18" hidden="0" customWidth="1"/>
    <x:col min="9" max="9" width="18" hidden="0" customWidth="1"/>
    <x:col min="10" max="10" width="34" hidden="0" customWidth="1"/>
    <x:col min="11" max="11" width="22" hidden="0" customWidth="1"/>
    <x:col min="12" max="12" width="16" hidden="0" customWidth="1"/>
  </x:cols>
  <x:sheetData>
    <x:row r="2">
      <x:c r="B2" s="23" t="str">
        <x:v>Seven hundred twenty bound event-gate records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The class workbook reads each RAY packet at its release boundary. It does not duplicate event-level ledgers or grant an event result itself.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Token</x:v>
      </x:c>
      <x:c r="C6" s="6" t="str">
        <x:v>Kind</x:v>
      </x:c>
      <x:c r="D6" s="6" t="str">
        <x:v>Target cell</x:v>
      </x:c>
      <x:c r="E6" s="6" t="str">
        <x:v>Sequence</x:v>
      </x:c>
      <x:c r="F6" s="6" t="str">
        <x:v>Gate</x:v>
      </x:c>
      <x:c r="G6" s="6" t="str">
        <x:v>Requirement</x:v>
      </x:c>
      <x:c r="H6" s="6" t="str">
        <x:v>Required state</x:v>
      </x:c>
      <x:c r="I6" s="6" t="str">
        <x:v>Observed state</x:v>
      </x:c>
      <x:c r="J6" s="6" t="str">
        <x:v>Evidence root</x:v>
      </x:c>
      <x:c r="K6" s="6" t="str">
        <x:v>Accepted UTC</x:v>
      </x:c>
      <x:c r="L6" s="6" t="str">
        <x:v>State</x:v>
      </x:c>
    </x:row>
    <x:row r="7">
      <x:c r="B7" s="28" t="str">
        <x:v>AT-01</x:v>
      </x:c>
      <x:c r="C7" s="28" t="str">
        <x:v>PRIMARY</x:v>
      </x:c>
      <x:c r="D7" s="28" t="str">
        <x:f>INDEX('Attempt Tokens'!$E$7:$E$36,MATCH(B7,'Attempt Tokens'!$B$7:$B$36,0))</x:f>
      </x:c>
      <x:c r="E7" s="28" t="n">
        <x:v>1</x:v>
      </x:c>
      <x:c r="F7" s="28" t="str">
        <x:v>EG-01</x:v>
      </x:c>
      <x:c r="G7" s="28" t="str">
        <x:v>RAX or renewed pair credential current</x:v>
      </x:c>
      <x:c r="H7" s="28" t="str">
        <x:v>PASS</x:v>
      </x:c>
      <x:c r="I7" s="29" t="str"/>
      <x:c r="J7" s="29" t="str"/>
      <x:c r="K7" s="29" t="str"/>
      <x:c r="L7" s="28" t="str">
        <x:f>IF(AND(C7="RESERVE",D7=""),"DORMANT",IF(K7="","OPEN",IF(AND(I7=H7,J7&lt;&gt;""),"PASS","FAIL")))</x:f>
        <x:v>OPEN</x:v>
      </x:c>
    </x:row>
    <x:row r="8">
      <x:c r="B8" s="28" t="str">
        <x:v>AT-01</x:v>
      </x:c>
      <x:c r="C8" s="28" t="str">
        <x:v>PRIMARY</x:v>
      </x:c>
      <x:c r="D8" s="28" t="str">
        <x:f>INDEX('Attempt Tokens'!$E$7:$E$36,MATCH(B8,'Attempt Tokens'!$B$7:$B$36,0))</x:f>
      </x:c>
      <x:c r="E8" s="28" t="n">
        <x:v>2</x:v>
      </x:c>
      <x:c r="F8" s="28" t="str">
        <x:v>EG-02</x:v>
      </x:c>
      <x:c r="G8" s="28" t="str">
        <x:v>candidate cell eligible</x:v>
      </x:c>
      <x:c r="H8" s="28" t="str">
        <x:v>PASS</x:v>
      </x:c>
      <x:c r="I8" s="29" t="str"/>
      <x:c r="J8" s="29" t="str"/>
      <x:c r="K8" s="29" t="str"/>
      <x:c r="L8" s="28" t="str">
        <x:f>IF(AND(C8="RESERVE",D8=""),"DORMANT",IF(K8="","OPEN",IF(AND(I8=H8,J8&lt;&gt;""),"PASS","FAIL")))</x:f>
        <x:v>OPEN</x:v>
      </x:c>
    </x:row>
    <x:row r="9">
      <x:c r="B9" s="28" t="str">
        <x:v>AT-01</x:v>
      </x:c>
      <x:c r="C9" s="28" t="str">
        <x:v>PRIMARY</x:v>
      </x:c>
      <x:c r="D9" s="28" t="str">
        <x:f>INDEX('Attempt Tokens'!$E$7:$E$36,MATCH(B9,'Attempt Tokens'!$B$7:$B$36,0))</x:f>
      </x:c>
      <x:c r="E9" s="28" t="n">
        <x:v>3</x:v>
      </x:c>
      <x:c r="F9" s="28" t="str">
        <x:v>EG-03</x:v>
      </x:c>
      <x:c r="G9" s="28" t="str">
        <x:v>draw and schedule binding complete</x:v>
      </x:c>
      <x:c r="H9" s="28" t="str">
        <x:v>PASS</x:v>
      </x:c>
      <x:c r="I9" s="29" t="str"/>
      <x:c r="J9" s="29" t="str"/>
      <x:c r="K9" s="29" t="str"/>
      <x:c r="L9" s="28" t="str">
        <x:f>IF(AND(C9="RESERVE",D9=""),"DORMANT",IF(K9="","OPEN",IF(AND(I9=H9,J9&lt;&gt;""),"PASS","FAIL")))</x:f>
        <x:v>OPEN</x:v>
      </x:c>
    </x:row>
    <x:row r="10">
      <x:c r="B10" s="28" t="str">
        <x:v>AT-01</x:v>
      </x:c>
      <x:c r="C10" s="28" t="str">
        <x:v>PRIMARY</x:v>
      </x:c>
      <x:c r="D10" s="28" t="str">
        <x:f>INDEX('Attempt Tokens'!$E$7:$E$36,MATCH(B10,'Attempt Tokens'!$B$7:$B$36,0))</x:f>
      </x:c>
      <x:c r="E10" s="28" t="n">
        <x:v>4</x:v>
      </x:c>
      <x:c r="F10" s="28" t="str">
        <x:v>EG-04</x:v>
      </x:c>
      <x:c r="G10" s="28" t="str">
        <x:v>event issue accepted</x:v>
      </x:c>
      <x:c r="H10" s="28" t="str">
        <x:v>PASS</x:v>
      </x:c>
      <x:c r="I10" s="29" t="str"/>
      <x:c r="J10" s="29" t="str"/>
      <x:c r="K10" s="29" t="str"/>
      <x:c r="L10" s="28" t="str">
        <x:f>IF(AND(C10="RESERVE",D10=""),"DORMANT",IF(K10="","OPEN",IF(AND(I10=H10,J10&lt;&gt;""),"PASS","FAIL")))</x:f>
        <x:v>OPEN</x:v>
      </x:c>
    </x:row>
    <x:row r="11">
      <x:c r="B11" s="28" t="str">
        <x:v>AT-01</x:v>
      </x:c>
      <x:c r="C11" s="28" t="str">
        <x:v>PRIMARY</x:v>
      </x:c>
      <x:c r="D11" s="28" t="str">
        <x:f>INDEX('Attempt Tokens'!$E$7:$E$36,MATCH(B11,'Attempt Tokens'!$B$7:$B$36,0))</x:f>
      </x:c>
      <x:c r="E11" s="28" t="n">
        <x:v>5</x:v>
      </x:c>
      <x:c r="F11" s="28" t="str">
        <x:v>EG-05</x:v>
      </x:c>
      <x:c r="G11" s="28" t="str">
        <x:v>dossier bindings complete</x:v>
      </x:c>
      <x:c r="H11" s="28" t="str">
        <x:v>PASS</x:v>
      </x:c>
      <x:c r="I11" s="29" t="str"/>
      <x:c r="J11" s="29" t="str"/>
      <x:c r="K11" s="29" t="str"/>
      <x:c r="L11" s="28" t="str">
        <x:f>IF(AND(C11="RESERVE",D11=""),"DORMANT",IF(K11="","OPEN",IF(AND(I11=H11,J11&lt;&gt;""),"PASS","FAIL")))</x:f>
        <x:v>OPEN</x:v>
      </x:c>
    </x:row>
    <x:row r="12">
      <x:c r="B12" s="28" t="str">
        <x:v>AT-01</x:v>
      </x:c>
      <x:c r="C12" s="28" t="str">
        <x:v>PRIMARY</x:v>
      </x:c>
      <x:c r="D12" s="28" t="str">
        <x:f>INDEX('Attempt Tokens'!$E$7:$E$36,MATCH(B12,'Attempt Tokens'!$B$7:$B$36,0))</x:f>
      </x:c>
      <x:c r="E12" s="28" t="n">
        <x:v>6</x:v>
      </x:c>
      <x:c r="F12" s="28" t="str">
        <x:v>EG-06</x:v>
      </x:c>
      <x:c r="G12" s="28" t="str">
        <x:v>event crew complete</x:v>
      </x:c>
      <x:c r="H12" s="28" t="str">
        <x:v>PASS</x:v>
      </x:c>
      <x:c r="I12" s="29" t="str"/>
      <x:c r="J12" s="29" t="str"/>
      <x:c r="K12" s="29" t="str"/>
      <x:c r="L12" s="28" t="str">
        <x:f>IF(AND(C12="RESERVE",D12=""),"DORMANT",IF(K12="","OPEN",IF(AND(I12=H12,J12&lt;&gt;""),"PASS","FAIL")))</x:f>
        <x:v>OPEN</x:v>
      </x:c>
    </x:row>
    <x:row r="13">
      <x:c r="B13" s="28" t="str">
        <x:v>AT-01</x:v>
      </x:c>
      <x:c r="C13" s="28" t="str">
        <x:v>PRIMARY</x:v>
      </x:c>
      <x:c r="D13" s="28" t="str">
        <x:f>INDEX('Attempt Tokens'!$E$7:$E$36,MATCH(B13,'Attempt Tokens'!$B$7:$B$36,0))</x:f>
      </x:c>
      <x:c r="E13" s="28" t="n">
        <x:v>7</x:v>
      </x:c>
      <x:c r="F13" s="28" t="str">
        <x:v>EG-07</x:v>
      </x:c>
      <x:c r="G13" s="28" t="str">
        <x:v>configuration freeze complete</x:v>
      </x:c>
      <x:c r="H13" s="28" t="str">
        <x:v>PASS</x:v>
      </x:c>
      <x:c r="I13" s="29" t="str"/>
      <x:c r="J13" s="29" t="str"/>
      <x:c r="K13" s="29" t="str"/>
      <x:c r="L13" s="28" t="str">
        <x:f>IF(AND(C13="RESERVE",D13=""),"DORMANT",IF(K13="","OPEN",IF(AND(I13=H13,J13&lt;&gt;""),"PASS","FAIL")))</x:f>
        <x:v>OPEN</x:v>
      </x:c>
    </x:row>
    <x:row r="14">
      <x:c r="B14" s="28" t="str">
        <x:v>AT-01</x:v>
      </x:c>
      <x:c r="C14" s="28" t="str">
        <x:v>PRIMARY</x:v>
      </x:c>
      <x:c r="D14" s="28" t="str">
        <x:f>INDEX('Attempt Tokens'!$E$7:$E$36,MATCH(B14,'Attempt Tokens'!$B$7:$B$36,0))</x:f>
      </x:c>
      <x:c r="E14" s="28" t="n">
        <x:v>8</x:v>
      </x:c>
      <x:c r="F14" s="28" t="str">
        <x:v>EG-08</x:v>
      </x:c>
      <x:c r="G14" s="28" t="str">
        <x:v>zero-source checks complete</x:v>
      </x:c>
      <x:c r="H14" s="28" t="str">
        <x:v>PASS</x:v>
      </x:c>
      <x:c r="I14" s="29" t="str"/>
      <x:c r="J14" s="29" t="str"/>
      <x:c r="K14" s="29" t="str"/>
      <x:c r="L14" s="28" t="str">
        <x:f>IF(AND(C14="RESERVE",D14=""),"DORMANT",IF(K14="","OPEN",IF(AND(I14=H14,J14&lt;&gt;""),"PASS","FAIL")))</x:f>
        <x:v>OPEN</x:v>
      </x:c>
    </x:row>
    <x:row r="15">
      <x:c r="B15" s="28" t="str">
        <x:v>AT-01</x:v>
      </x:c>
      <x:c r="C15" s="28" t="str">
        <x:v>PRIMARY</x:v>
      </x:c>
      <x:c r="D15" s="28" t="str">
        <x:f>INDEX('Attempt Tokens'!$E$7:$E$36,MATCH(B15,'Attempt Tokens'!$B$7:$B$36,0))</x:f>
      </x:c>
      <x:c r="E15" s="28" t="n">
        <x:v>9</x:v>
      </x:c>
      <x:c r="F15" s="28" t="str">
        <x:v>EG-09</x:v>
      </x:c>
      <x:c r="G15" s="28" t="str">
        <x:v>zero-water checks complete</x:v>
      </x:c>
      <x:c r="H15" s="28" t="str">
        <x:v>PASS</x:v>
      </x:c>
      <x:c r="I15" s="29" t="str"/>
      <x:c r="J15" s="29" t="str"/>
      <x:c r="K15" s="29" t="str"/>
      <x:c r="L15" s="28" t="str">
        <x:f>IF(AND(C15="RESERVE",D15=""),"DORMANT",IF(K15="","OPEN",IF(AND(I15=H15,J15&lt;&gt;""),"PASS","FAIL")))</x:f>
        <x:v>OPEN</x:v>
      </x:c>
    </x:row>
    <x:row r="16">
      <x:c r="B16" s="28" t="str">
        <x:v>AT-01</x:v>
      </x:c>
      <x:c r="C16" s="28" t="str">
        <x:v>PRIMARY</x:v>
      </x:c>
      <x:c r="D16" s="28" t="str">
        <x:f>INDEX('Attempt Tokens'!$E$7:$E$36,MATCH(B16,'Attempt Tokens'!$B$7:$B$36,0))</x:f>
      </x:c>
      <x:c r="E16" s="28" t="n">
        <x:v>10</x:v>
      </x:c>
      <x:c r="F16" s="28" t="str">
        <x:v>EG-10</x:v>
      </x:c>
      <x:c r="G16" s="28" t="str">
        <x:v>uncertainty decisions complete</x:v>
      </x:c>
      <x:c r="H16" s="28" t="str">
        <x:v>PASS</x:v>
      </x:c>
      <x:c r="I16" s="29" t="str"/>
      <x:c r="J16" s="29" t="str"/>
      <x:c r="K16" s="29" t="str"/>
      <x:c r="L16" s="28" t="str">
        <x:f>IF(AND(C16="RESERVE",D16=""),"DORMANT",IF(K16="","OPEN",IF(AND(I16=H16,J16&lt;&gt;""),"PASS","FAIL")))</x:f>
        <x:v>OPEN</x:v>
      </x:c>
    </x:row>
    <x:row r="17">
      <x:c r="B17" s="28" t="str">
        <x:v>AT-01</x:v>
      </x:c>
      <x:c r="C17" s="28" t="str">
        <x:v>PRIMARY</x:v>
      </x:c>
      <x:c r="D17" s="28" t="str">
        <x:f>INDEX('Attempt Tokens'!$E$7:$E$36,MATCH(B17,'Attempt Tokens'!$B$7:$B$36,0))</x:f>
      </x:c>
      <x:c r="E17" s="28" t="n">
        <x:v>11</x:v>
      </x:c>
      <x:c r="F17" s="28" t="str">
        <x:v>EG-11</x:v>
      </x:c>
      <x:c r="G17" s="28" t="str">
        <x:v>measurement windows complete</x:v>
      </x:c>
      <x:c r="H17" s="28" t="str">
        <x:v>PASS</x:v>
      </x:c>
      <x:c r="I17" s="29" t="str"/>
      <x:c r="J17" s="29" t="str"/>
      <x:c r="K17" s="29" t="str"/>
      <x:c r="L17" s="28" t="str">
        <x:f>IF(AND(C17="RESERVE",D17=""),"DORMANT",IF(K17="","OPEN",IF(AND(I17=H17,J17&lt;&gt;""),"PASS","FAIL")))</x:f>
        <x:v>OPEN</x:v>
      </x:c>
    </x:row>
    <x:row r="18">
      <x:c r="B18" s="28" t="str">
        <x:v>AT-01</x:v>
      </x:c>
      <x:c r="C18" s="28" t="str">
        <x:v>PRIMARY</x:v>
      </x:c>
      <x:c r="D18" s="28" t="str">
        <x:f>INDEX('Attempt Tokens'!$E$7:$E$36,MATCH(B18,'Attempt Tokens'!$B$7:$B$36,0))</x:f>
      </x:c>
      <x:c r="E18" s="28" t="n">
        <x:v>12</x:v>
      </x:c>
      <x:c r="F18" s="28" t="str">
        <x:v>EG-12</x:v>
      </x:c>
      <x:c r="G18" s="28" t="str">
        <x:v>neighbor proofs complete</x:v>
      </x:c>
      <x:c r="H18" s="28" t="str">
        <x:v>PASS</x:v>
      </x:c>
      <x:c r="I18" s="29" t="str"/>
      <x:c r="J18" s="29" t="str"/>
      <x:c r="K18" s="29" t="str"/>
      <x:c r="L18" s="28" t="str">
        <x:f>IF(AND(C18="RESERVE",D18=""),"DORMANT",IF(K18="","OPEN",IF(AND(I18=H18,J18&lt;&gt;""),"PASS","FAIL")))</x:f>
        <x:v>OPEN</x:v>
      </x:c>
    </x:row>
    <x:row r="19">
      <x:c r="B19" s="28" t="str">
        <x:v>AT-01</x:v>
      </x:c>
      <x:c r="C19" s="28" t="str">
        <x:v>PRIMARY</x:v>
      </x:c>
      <x:c r="D19" s="28" t="str">
        <x:f>INDEX('Attempt Tokens'!$E$7:$E$36,MATCH(B19,'Attempt Tokens'!$B$7:$B$36,0))</x:f>
      </x:c>
      <x:c r="E19" s="28" t="n">
        <x:v>13</x:v>
      </x:c>
      <x:c r="F19" s="28" t="str">
        <x:v>EG-13</x:v>
      </x:c>
      <x:c r="G19" s="28" t="str">
        <x:v>safeing polls complete</x:v>
      </x:c>
      <x:c r="H19" s="28" t="str">
        <x:v>PASS</x:v>
      </x:c>
      <x:c r="I19" s="29" t="str"/>
      <x:c r="J19" s="29" t="str"/>
      <x:c r="K19" s="29" t="str"/>
      <x:c r="L19" s="28" t="str">
        <x:f>IF(AND(C19="RESERVE",D19=""),"DORMANT",IF(K19="","OPEN",IF(AND(I19=H19,J19&lt;&gt;""),"PASS","FAIL")))</x:f>
        <x:v>OPEN</x:v>
      </x:c>
    </x:row>
    <x:row r="20">
      <x:c r="B20" s="28" t="str">
        <x:v>AT-01</x:v>
      </x:c>
      <x:c r="C20" s="28" t="str">
        <x:v>PRIMARY</x:v>
      </x:c>
      <x:c r="D20" s="28" t="str">
        <x:f>INDEX('Attempt Tokens'!$E$7:$E$36,MATCH(B20,'Attempt Tokens'!$B$7:$B$36,0))</x:f>
      </x:c>
      <x:c r="E20" s="28" t="n">
        <x:v>14</x:v>
      </x:c>
      <x:c r="F20" s="28" t="str">
        <x:v>EG-14</x:v>
      </x:c>
      <x:c r="G20" s="28" t="str">
        <x:v>command transactions complete</x:v>
      </x:c>
      <x:c r="H20" s="28" t="str">
        <x:v>PASS</x:v>
      </x:c>
      <x:c r="I20" s="29" t="str"/>
      <x:c r="J20" s="29" t="str"/>
      <x:c r="K20" s="29" t="str"/>
      <x:c r="L20" s="28" t="str">
        <x:f>IF(AND(C20="RESERVE",D20=""),"DORMANT",IF(K20="","OPEN",IF(AND(I20=H20,J20&lt;&gt;""),"PASS","FAIL")))</x:f>
        <x:v>OPEN</x:v>
      </x:c>
    </x:row>
    <x:row r="21">
      <x:c r="B21" s="28" t="str">
        <x:v>AT-01</x:v>
      </x:c>
      <x:c r="C21" s="28" t="str">
        <x:v>PRIMARY</x:v>
      </x:c>
      <x:c r="D21" s="28" t="str">
        <x:f>INDEX('Attempt Tokens'!$E$7:$E$36,MATCH(B21,'Attempt Tokens'!$B$7:$B$36,0))</x:f>
      </x:c>
      <x:c r="E21" s="28" t="n">
        <x:v>15</x:v>
      </x:c>
      <x:c r="F21" s="28" t="str">
        <x:v>EG-15</x:v>
      </x:c>
      <x:c r="G21" s="28" t="str">
        <x:v>phase clock complete</x:v>
      </x:c>
      <x:c r="H21" s="28" t="str">
        <x:v>PASS</x:v>
      </x:c>
      <x:c r="I21" s="29" t="str"/>
      <x:c r="J21" s="29" t="str"/>
      <x:c r="K21" s="29" t="str"/>
      <x:c r="L21" s="28" t="str">
        <x:f>IF(AND(C21="RESERVE",D21=""),"DORMANT",IF(K21="","OPEN",IF(AND(I21=H21,J21&lt;&gt;""),"PASS","FAIL")))</x:f>
        <x:v>OPEN</x:v>
      </x:c>
    </x:row>
    <x:row r="22">
      <x:c r="B22" s="28" t="str">
        <x:v>AT-01</x:v>
      </x:c>
      <x:c r="C22" s="28" t="str">
        <x:v>PRIMARY</x:v>
      </x:c>
      <x:c r="D22" s="28" t="str">
        <x:f>INDEX('Attempt Tokens'!$E$7:$E$36,MATCH(B22,'Attempt Tokens'!$B$7:$B$36,0))</x:f>
      </x:c>
      <x:c r="E22" s="28" t="n">
        <x:v>16</x:v>
      </x:c>
      <x:c r="F22" s="28" t="str">
        <x:v>EG-16</x:v>
      </x:c>
      <x:c r="G22" s="28" t="str">
        <x:v>holds complete</x:v>
      </x:c>
      <x:c r="H22" s="28" t="str">
        <x:v>PASS</x:v>
      </x:c>
      <x:c r="I22" s="29" t="str"/>
      <x:c r="J22" s="29" t="str"/>
      <x:c r="K22" s="29" t="str"/>
      <x:c r="L22" s="28" t="str">
        <x:f>IF(AND(C22="RESERVE",D22=""),"DORMANT",IF(K22="","OPEN",IF(AND(I22=H22,J22&lt;&gt;""),"PASS","FAIL")))</x:f>
        <x:v>OPEN</x:v>
      </x:c>
    </x:row>
    <x:row r="23">
      <x:c r="B23" s="28" t="str">
        <x:v>AT-01</x:v>
      </x:c>
      <x:c r="C23" s="28" t="str">
        <x:v>PRIMARY</x:v>
      </x:c>
      <x:c r="D23" s="28" t="str">
        <x:f>INDEX('Attempt Tokens'!$E$7:$E$36,MATCH(B23,'Attempt Tokens'!$B$7:$B$36,0))</x:f>
      </x:c>
      <x:c r="E23" s="28" t="n">
        <x:v>17</x:v>
      </x:c>
      <x:c r="F23" s="28" t="str">
        <x:v>EG-17</x:v>
      </x:c>
      <x:c r="G23" s="28" t="str">
        <x:v>evidence obligations complete</x:v>
      </x:c>
      <x:c r="H23" s="28" t="str">
        <x:v>PASS</x:v>
      </x:c>
      <x:c r="I23" s="29" t="str"/>
      <x:c r="J23" s="29" t="str"/>
      <x:c r="K23" s="29" t="str"/>
      <x:c r="L23" s="28" t="str">
        <x:f>IF(AND(C23="RESERVE",D23=""),"DORMANT",IF(K23="","OPEN",IF(AND(I23=H23,J23&lt;&gt;""),"PASS","FAIL")))</x:f>
        <x:v>OPEN</x:v>
      </x:c>
    </x:row>
    <x:row r="24">
      <x:c r="B24" s="28" t="str">
        <x:v>AT-01</x:v>
      </x:c>
      <x:c r="C24" s="28" t="str">
        <x:v>PRIMARY</x:v>
      </x:c>
      <x:c r="D24" s="28" t="str">
        <x:f>INDEX('Attempt Tokens'!$E$7:$E$36,MATCH(B24,'Attempt Tokens'!$B$7:$B$36,0))</x:f>
      </x:c>
      <x:c r="E24" s="28" t="n">
        <x:v>18</x:v>
      </x:c>
      <x:c r="F24" s="28" t="str">
        <x:v>EG-18</x:v>
      </x:c>
      <x:c r="G24" s="28" t="str">
        <x:v>blank samples complete</x:v>
      </x:c>
      <x:c r="H24" s="28" t="str">
        <x:v>PASS</x:v>
      </x:c>
      <x:c r="I24" s="29" t="str"/>
      <x:c r="J24" s="29" t="str"/>
      <x:c r="K24" s="29" t="str"/>
      <x:c r="L24" s="28" t="str">
        <x:f>IF(AND(C24="RESERVE",D24=""),"DORMANT",IF(K24="","OPEN",IF(AND(I24=H24,J24&lt;&gt;""),"PASS","FAIL")))</x:f>
        <x:v>OPEN</x:v>
      </x:c>
    </x:row>
    <x:row r="25">
      <x:c r="B25" s="28" t="str">
        <x:v>AT-01</x:v>
      </x:c>
      <x:c r="C25" s="28" t="str">
        <x:v>PRIMARY</x:v>
      </x:c>
      <x:c r="D25" s="28" t="str">
        <x:f>INDEX('Attempt Tokens'!$E$7:$E$36,MATCH(B25,'Attempt Tokens'!$B$7:$B$36,0))</x:f>
      </x:c>
      <x:c r="E25" s="28" t="n">
        <x:v>19</x:v>
      </x:c>
      <x:c r="F25" s="28" t="str">
        <x:v>EG-19</x:v>
      </x:c>
      <x:c r="G25" s="28" t="str">
        <x:v>abort channels classified</x:v>
      </x:c>
      <x:c r="H25" s="28" t="str">
        <x:v>PASS</x:v>
      </x:c>
      <x:c r="I25" s="29" t="str"/>
      <x:c r="J25" s="29" t="str"/>
      <x:c r="K25" s="29" t="str"/>
      <x:c r="L25" s="28" t="str">
        <x:f>IF(AND(C25="RESERVE",D25=""),"DORMANT",IF(K25="","OPEN",IF(AND(I25=H25,J25&lt;&gt;""),"PASS","FAIL")))</x:f>
        <x:v>OPEN</x:v>
      </x:c>
    </x:row>
    <x:row r="26">
      <x:c r="B26" s="28" t="str">
        <x:v>AT-01</x:v>
      </x:c>
      <x:c r="C26" s="28" t="str">
        <x:v>PRIMARY</x:v>
      </x:c>
      <x:c r="D26" s="28" t="str">
        <x:f>INDEX('Attempt Tokens'!$E$7:$E$36,MATCH(B26,'Attempt Tokens'!$B$7:$B$36,0))</x:f>
      </x:c>
      <x:c r="E26" s="28" t="n">
        <x:v>20</x:v>
      </x:c>
      <x:c r="F26" s="28" t="str">
        <x:v>EG-20</x:v>
      </x:c>
      <x:c r="G26" s="28" t="str">
        <x:v>interventions classified</x:v>
      </x:c>
      <x:c r="H26" s="28" t="str">
        <x:v>PASS</x:v>
      </x:c>
      <x:c r="I26" s="29" t="str"/>
      <x:c r="J26" s="29" t="str"/>
      <x:c r="K26" s="29" t="str"/>
      <x:c r="L26" s="28" t="str">
        <x:f>IF(AND(C26="RESERVE",D26=""),"DORMANT",IF(K26="","OPEN",IF(AND(I26=H26,J26&lt;&gt;""),"PASS","FAIL")))</x:f>
        <x:v>OPEN</x:v>
      </x:c>
    </x:row>
    <x:row r="27">
      <x:c r="B27" s="28" t="str">
        <x:v>AT-01</x:v>
      </x:c>
      <x:c r="C27" s="28" t="str">
        <x:v>PRIMARY</x:v>
      </x:c>
      <x:c r="D27" s="28" t="str">
        <x:f>INDEX('Attempt Tokens'!$E$7:$E$36,MATCH(B27,'Attempt Tokens'!$B$7:$B$36,0))</x:f>
      </x:c>
      <x:c r="E27" s="28" t="n">
        <x:v>21</x:v>
      </x:c>
      <x:c r="F27" s="28" t="str">
        <x:v>EG-21</x:v>
      </x:c>
      <x:c r="G27" s="28" t="str">
        <x:v>event result accepted</x:v>
      </x:c>
      <x:c r="H27" s="28" t="str">
        <x:v>PASS</x:v>
      </x:c>
      <x:c r="I27" s="29" t="str"/>
      <x:c r="J27" s="29" t="str"/>
      <x:c r="K27" s="29" t="str"/>
      <x:c r="L27" s="28" t="str">
        <x:f>IF(AND(C27="RESERVE",D27=""),"DORMANT",IF(K27="","OPEN",IF(AND(I27=H27,J27&lt;&gt;""),"PASS","FAIL")))</x:f>
        <x:v>OPEN</x:v>
      </x:c>
    </x:row>
    <x:row r="28">
      <x:c r="B28" s="28" t="str">
        <x:v>AT-01</x:v>
      </x:c>
      <x:c r="C28" s="28" t="str">
        <x:v>PRIMARY</x:v>
      </x:c>
      <x:c r="D28" s="28" t="str">
        <x:f>INDEX('Attempt Tokens'!$E$7:$E$36,MATCH(B28,'Attempt Tokens'!$B$7:$B$36,0))</x:f>
      </x:c>
      <x:c r="E28" s="28" t="n">
        <x:v>22</x:v>
      </x:c>
      <x:c r="F28" s="28" t="str">
        <x:v>EG-22</x:v>
      </x:c>
      <x:c r="G28" s="28" t="str">
        <x:v>recovery states complete</x:v>
      </x:c>
      <x:c r="H28" s="28" t="str">
        <x:v>PASS</x:v>
      </x:c>
      <x:c r="I28" s="29" t="str"/>
      <x:c r="J28" s="29" t="str"/>
      <x:c r="K28" s="29" t="str"/>
      <x:c r="L28" s="28" t="str">
        <x:f>IF(AND(C28="RESERVE",D28=""),"DORMANT",IF(K28="","OPEN",IF(AND(I28=H28,J28&lt;&gt;""),"PASS","FAIL")))</x:f>
        <x:v>OPEN</x:v>
      </x:c>
    </x:row>
    <x:row r="29">
      <x:c r="B29" s="28" t="str">
        <x:v>AT-01</x:v>
      </x:c>
      <x:c r="C29" s="28" t="str">
        <x:v>PRIMARY</x:v>
      </x:c>
      <x:c r="D29" s="28" t="str">
        <x:f>INDEX('Attempt Tokens'!$E$7:$E$36,MATCH(B29,'Attempt Tokens'!$B$7:$B$36,0))</x:f>
      </x:c>
      <x:c r="E29" s="28" t="n">
        <x:v>23</x:v>
      </x:c>
      <x:c r="F29" s="28" t="str">
        <x:v>EG-23</x:v>
      </x:c>
      <x:c r="G29" s="28" t="str">
        <x:v>regeneration and regression complete</x:v>
      </x:c>
      <x:c r="H29" s="28" t="str">
        <x:v>PASS</x:v>
      </x:c>
      <x:c r="I29" s="29" t="str"/>
      <x:c r="J29" s="29" t="str"/>
      <x:c r="K29" s="29" t="str"/>
      <x:c r="L29" s="28" t="str">
        <x:f>IF(AND(C29="RESERVE",D29=""),"DORMANT",IF(K29="","OPEN",IF(AND(I29=H29,J29&lt;&gt;""),"PASS","FAIL")))</x:f>
        <x:v>OPEN</x:v>
      </x:c>
    </x:row>
    <x:row r="30">
      <x:c r="B30" s="28" t="str">
        <x:v>AT-01</x:v>
      </x:c>
      <x:c r="C30" s="28" t="str">
        <x:v>PRIMARY</x:v>
      </x:c>
      <x:c r="D30" s="28" t="str">
        <x:f>INDEX('Attempt Tokens'!$E$7:$E$36,MATCH(B30,'Attempt Tokens'!$B$7:$B$36,0))</x:f>
      </x:c>
      <x:c r="E30" s="28" t="n">
        <x:v>24</x:v>
      </x:c>
      <x:c r="F30" s="28" t="str">
        <x:v>EG-24</x:v>
      </x:c>
      <x:c r="G30" s="28" t="str">
        <x:v>reentry and packet release complete</x:v>
      </x:c>
      <x:c r="H30" s="28" t="str">
        <x:v>PASS</x:v>
      </x:c>
      <x:c r="I30" s="29" t="str"/>
      <x:c r="J30" s="29" t="str"/>
      <x:c r="K30" s="29" t="str"/>
      <x:c r="L30" s="28" t="str">
        <x:f>IF(AND(C30="RESERVE",D30=""),"DORMANT",IF(K30="","OPEN",IF(AND(I30=H30,J30&lt;&gt;""),"PASS","FAIL")))</x:f>
        <x:v>OPEN</x:v>
      </x:c>
    </x:row>
    <x:row r="31">
      <x:c r="B31" s="28" t="str">
        <x:v>AT-02</x:v>
      </x:c>
      <x:c r="C31" s="28" t="str">
        <x:v>PRIMARY</x:v>
      </x:c>
      <x:c r="D31" s="28" t="str">
        <x:f>INDEX('Attempt Tokens'!$E$7:$E$36,MATCH(B31,'Attempt Tokens'!$B$7:$B$36,0))</x:f>
      </x:c>
      <x:c r="E31" s="28" t="n">
        <x:v>1</x:v>
      </x:c>
      <x:c r="F31" s="28" t="str">
        <x:v>EG-01</x:v>
      </x:c>
      <x:c r="G31" s="28" t="str">
        <x:v>RAX or renewed pair credential current</x:v>
      </x:c>
      <x:c r="H31" s="28" t="str">
        <x:v>PASS</x:v>
      </x:c>
      <x:c r="I31" s="29" t="str"/>
      <x:c r="J31" s="29" t="str"/>
      <x:c r="K31" s="29" t="str"/>
      <x:c r="L31" s="28" t="str">
        <x:f>IF(AND(C31="RESERVE",D31=""),"DORMANT",IF(K31="","OPEN",IF(AND(I31=H31,J31&lt;&gt;""),"PASS","FAIL")))</x:f>
        <x:v>OPEN</x:v>
      </x:c>
    </x:row>
    <x:row r="32">
      <x:c r="B32" s="28" t="str">
        <x:v>AT-02</x:v>
      </x:c>
      <x:c r="C32" s="28" t="str">
        <x:v>PRIMARY</x:v>
      </x:c>
      <x:c r="D32" s="28" t="str">
        <x:f>INDEX('Attempt Tokens'!$E$7:$E$36,MATCH(B32,'Attempt Tokens'!$B$7:$B$36,0))</x:f>
      </x:c>
      <x:c r="E32" s="28" t="n">
        <x:v>2</x:v>
      </x:c>
      <x:c r="F32" s="28" t="str">
        <x:v>EG-02</x:v>
      </x:c>
      <x:c r="G32" s="28" t="str">
        <x:v>candidate cell eligible</x:v>
      </x:c>
      <x:c r="H32" s="28" t="str">
        <x:v>PASS</x:v>
      </x:c>
      <x:c r="I32" s="29" t="str"/>
      <x:c r="J32" s="29" t="str"/>
      <x:c r="K32" s="29" t="str"/>
      <x:c r="L32" s="28" t="str">
        <x:f>IF(AND(C32="RESERVE",D32=""),"DORMANT",IF(K32="","OPEN",IF(AND(I32=H32,J32&lt;&gt;""),"PASS","FAIL")))</x:f>
        <x:v>OPEN</x:v>
      </x:c>
    </x:row>
    <x:row r="33">
      <x:c r="B33" s="28" t="str">
        <x:v>AT-02</x:v>
      </x:c>
      <x:c r="C33" s="28" t="str">
        <x:v>PRIMARY</x:v>
      </x:c>
      <x:c r="D33" s="28" t="str">
        <x:f>INDEX('Attempt Tokens'!$E$7:$E$36,MATCH(B33,'Attempt Tokens'!$B$7:$B$36,0))</x:f>
      </x:c>
      <x:c r="E33" s="28" t="n">
        <x:v>3</x:v>
      </x:c>
      <x:c r="F33" s="28" t="str">
        <x:v>EG-03</x:v>
      </x:c>
      <x:c r="G33" s="28" t="str">
        <x:v>draw and schedule binding complete</x:v>
      </x:c>
      <x:c r="H33" s="28" t="str">
        <x:v>PASS</x:v>
      </x:c>
      <x:c r="I33" s="29" t="str"/>
      <x:c r="J33" s="29" t="str"/>
      <x:c r="K33" s="29" t="str"/>
      <x:c r="L33" s="28" t="str">
        <x:f>IF(AND(C33="RESERVE",D33=""),"DORMANT",IF(K33="","OPEN",IF(AND(I33=H33,J33&lt;&gt;""),"PASS","FAIL")))</x:f>
        <x:v>OPEN</x:v>
      </x:c>
    </x:row>
    <x:row r="34">
      <x:c r="B34" s="28" t="str">
        <x:v>AT-02</x:v>
      </x:c>
      <x:c r="C34" s="28" t="str">
        <x:v>PRIMARY</x:v>
      </x:c>
      <x:c r="D34" s="28" t="str">
        <x:f>INDEX('Attempt Tokens'!$E$7:$E$36,MATCH(B34,'Attempt Tokens'!$B$7:$B$36,0))</x:f>
      </x:c>
      <x:c r="E34" s="28" t="n">
        <x:v>4</x:v>
      </x:c>
      <x:c r="F34" s="28" t="str">
        <x:v>EG-04</x:v>
      </x:c>
      <x:c r="G34" s="28" t="str">
        <x:v>event issue accepted</x:v>
      </x:c>
      <x:c r="H34" s="28" t="str">
        <x:v>PASS</x:v>
      </x:c>
      <x:c r="I34" s="29" t="str"/>
      <x:c r="J34" s="29" t="str"/>
      <x:c r="K34" s="29" t="str"/>
      <x:c r="L34" s="28" t="str">
        <x:f>IF(AND(C34="RESERVE",D34=""),"DORMANT",IF(K34="","OPEN",IF(AND(I34=H34,J34&lt;&gt;""),"PASS","FAIL")))</x:f>
        <x:v>OPEN</x:v>
      </x:c>
    </x:row>
    <x:row r="35">
      <x:c r="B35" s="28" t="str">
        <x:v>AT-02</x:v>
      </x:c>
      <x:c r="C35" s="28" t="str">
        <x:v>PRIMARY</x:v>
      </x:c>
      <x:c r="D35" s="28" t="str">
        <x:f>INDEX('Attempt Tokens'!$E$7:$E$36,MATCH(B35,'Attempt Tokens'!$B$7:$B$36,0))</x:f>
      </x:c>
      <x:c r="E35" s="28" t="n">
        <x:v>5</x:v>
      </x:c>
      <x:c r="F35" s="28" t="str">
        <x:v>EG-05</x:v>
      </x:c>
      <x:c r="G35" s="28" t="str">
        <x:v>dossier bindings complete</x:v>
      </x:c>
      <x:c r="H35" s="28" t="str">
        <x:v>PASS</x:v>
      </x:c>
      <x:c r="I35" s="29" t="str"/>
      <x:c r="J35" s="29" t="str"/>
      <x:c r="K35" s="29" t="str"/>
      <x:c r="L35" s="28" t="str">
        <x:f>IF(AND(C35="RESERVE",D35=""),"DORMANT",IF(K35="","OPEN",IF(AND(I35=H35,J35&lt;&gt;""),"PASS","FAIL")))</x:f>
        <x:v>OPEN</x:v>
      </x:c>
    </x:row>
    <x:row r="36">
      <x:c r="B36" s="28" t="str">
        <x:v>AT-02</x:v>
      </x:c>
      <x:c r="C36" s="28" t="str">
        <x:v>PRIMARY</x:v>
      </x:c>
      <x:c r="D36" s="28" t="str">
        <x:f>INDEX('Attempt Tokens'!$E$7:$E$36,MATCH(B36,'Attempt Tokens'!$B$7:$B$36,0))</x:f>
      </x:c>
      <x:c r="E36" s="28" t="n">
        <x:v>6</x:v>
      </x:c>
      <x:c r="F36" s="28" t="str">
        <x:v>EG-06</x:v>
      </x:c>
      <x:c r="G36" s="28" t="str">
        <x:v>event crew complete</x:v>
      </x:c>
      <x:c r="H36" s="28" t="str">
        <x:v>PASS</x:v>
      </x:c>
      <x:c r="I36" s="29" t="str"/>
      <x:c r="J36" s="29" t="str"/>
      <x:c r="K36" s="29" t="str"/>
      <x:c r="L36" s="28" t="str">
        <x:f>IF(AND(C36="RESERVE",D36=""),"DORMANT",IF(K36="","OPEN",IF(AND(I36=H36,J36&lt;&gt;""),"PASS","FAIL")))</x:f>
        <x:v>OPEN</x:v>
      </x:c>
    </x:row>
    <x:row r="37">
      <x:c r="B37" s="28" t="str">
        <x:v>AT-02</x:v>
      </x:c>
      <x:c r="C37" s="28" t="str">
        <x:v>PRIMARY</x:v>
      </x:c>
      <x:c r="D37" s="28" t="str">
        <x:f>INDEX('Attempt Tokens'!$E$7:$E$36,MATCH(B37,'Attempt Tokens'!$B$7:$B$36,0))</x:f>
      </x:c>
      <x:c r="E37" s="28" t="n">
        <x:v>7</x:v>
      </x:c>
      <x:c r="F37" s="28" t="str">
        <x:v>EG-07</x:v>
      </x:c>
      <x:c r="G37" s="28" t="str">
        <x:v>configuration freeze complete</x:v>
      </x:c>
      <x:c r="H37" s="28" t="str">
        <x:v>PASS</x:v>
      </x:c>
      <x:c r="I37" s="29" t="str"/>
      <x:c r="J37" s="29" t="str"/>
      <x:c r="K37" s="29" t="str"/>
      <x:c r="L37" s="28" t="str">
        <x:f>IF(AND(C37="RESERVE",D37=""),"DORMANT",IF(K37="","OPEN",IF(AND(I37=H37,J37&lt;&gt;""),"PASS","FAIL")))</x:f>
        <x:v>OPEN</x:v>
      </x:c>
    </x:row>
    <x:row r="38">
      <x:c r="B38" s="28" t="str">
        <x:v>AT-02</x:v>
      </x:c>
      <x:c r="C38" s="28" t="str">
        <x:v>PRIMARY</x:v>
      </x:c>
      <x:c r="D38" s="28" t="str">
        <x:f>INDEX('Attempt Tokens'!$E$7:$E$36,MATCH(B38,'Attempt Tokens'!$B$7:$B$36,0))</x:f>
      </x:c>
      <x:c r="E38" s="28" t="n">
        <x:v>8</x:v>
      </x:c>
      <x:c r="F38" s="28" t="str">
        <x:v>EG-08</x:v>
      </x:c>
      <x:c r="G38" s="28" t="str">
        <x:v>zero-source checks complete</x:v>
      </x:c>
      <x:c r="H38" s="28" t="str">
        <x:v>PASS</x:v>
      </x:c>
      <x:c r="I38" s="29" t="str"/>
      <x:c r="J38" s="29" t="str"/>
      <x:c r="K38" s="29" t="str"/>
      <x:c r="L38" s="28" t="str">
        <x:f>IF(AND(C38="RESERVE",D38=""),"DORMANT",IF(K38="","OPEN",IF(AND(I38=H38,J38&lt;&gt;""),"PASS","FAIL")))</x:f>
        <x:v>OPEN</x:v>
      </x:c>
    </x:row>
    <x:row r="39">
      <x:c r="B39" s="28" t="str">
        <x:v>AT-02</x:v>
      </x:c>
      <x:c r="C39" s="28" t="str">
        <x:v>PRIMARY</x:v>
      </x:c>
      <x:c r="D39" s="28" t="str">
        <x:f>INDEX('Attempt Tokens'!$E$7:$E$36,MATCH(B39,'Attempt Tokens'!$B$7:$B$36,0))</x:f>
      </x:c>
      <x:c r="E39" s="28" t="n">
        <x:v>9</x:v>
      </x:c>
      <x:c r="F39" s="28" t="str">
        <x:v>EG-09</x:v>
      </x:c>
      <x:c r="G39" s="28" t="str">
        <x:v>zero-water checks complete</x:v>
      </x:c>
      <x:c r="H39" s="28" t="str">
        <x:v>PASS</x:v>
      </x:c>
      <x:c r="I39" s="29" t="str"/>
      <x:c r="J39" s="29" t="str"/>
      <x:c r="K39" s="29" t="str"/>
      <x:c r="L39" s="28" t="str">
        <x:f>IF(AND(C39="RESERVE",D39=""),"DORMANT",IF(K39="","OPEN",IF(AND(I39=H39,J39&lt;&gt;""),"PASS","FAIL")))</x:f>
        <x:v>OPEN</x:v>
      </x:c>
    </x:row>
    <x:row r="40">
      <x:c r="B40" s="28" t="str">
        <x:v>AT-02</x:v>
      </x:c>
      <x:c r="C40" s="28" t="str">
        <x:v>PRIMARY</x:v>
      </x:c>
      <x:c r="D40" s="28" t="str">
        <x:f>INDEX('Attempt Tokens'!$E$7:$E$36,MATCH(B40,'Attempt Tokens'!$B$7:$B$36,0))</x:f>
      </x:c>
      <x:c r="E40" s="28" t="n">
        <x:v>10</x:v>
      </x:c>
      <x:c r="F40" s="28" t="str">
        <x:v>EG-10</x:v>
      </x:c>
      <x:c r="G40" s="28" t="str">
        <x:v>uncertainty decisions complete</x:v>
      </x:c>
      <x:c r="H40" s="28" t="str">
        <x:v>PASS</x:v>
      </x:c>
      <x:c r="I40" s="29" t="str"/>
      <x:c r="J40" s="29" t="str"/>
      <x:c r="K40" s="29" t="str"/>
      <x:c r="L40" s="28" t="str">
        <x:f>IF(AND(C40="RESERVE",D40=""),"DORMANT",IF(K40="","OPEN",IF(AND(I40=H40,J40&lt;&gt;""),"PASS","FAIL")))</x:f>
        <x:v>OPEN</x:v>
      </x:c>
    </x:row>
    <x:row r="41">
      <x:c r="B41" s="28" t="str">
        <x:v>AT-02</x:v>
      </x:c>
      <x:c r="C41" s="28" t="str">
        <x:v>PRIMARY</x:v>
      </x:c>
      <x:c r="D41" s="28" t="str">
        <x:f>INDEX('Attempt Tokens'!$E$7:$E$36,MATCH(B41,'Attempt Tokens'!$B$7:$B$36,0))</x:f>
      </x:c>
      <x:c r="E41" s="28" t="n">
        <x:v>11</x:v>
      </x:c>
      <x:c r="F41" s="28" t="str">
        <x:v>EG-11</x:v>
      </x:c>
      <x:c r="G41" s="28" t="str">
        <x:v>measurement windows complete</x:v>
      </x:c>
      <x:c r="H41" s="28" t="str">
        <x:v>PASS</x:v>
      </x:c>
      <x:c r="I41" s="29" t="str"/>
      <x:c r="J41" s="29" t="str"/>
      <x:c r="K41" s="29" t="str"/>
      <x:c r="L41" s="28" t="str">
        <x:f>IF(AND(C41="RESERVE",D41=""),"DORMANT",IF(K41="","OPEN",IF(AND(I41=H41,J41&lt;&gt;""),"PASS","FAIL")))</x:f>
        <x:v>OPEN</x:v>
      </x:c>
    </x:row>
    <x:row r="42">
      <x:c r="B42" s="28" t="str">
        <x:v>AT-02</x:v>
      </x:c>
      <x:c r="C42" s="28" t="str">
        <x:v>PRIMARY</x:v>
      </x:c>
      <x:c r="D42" s="28" t="str">
        <x:f>INDEX('Attempt Tokens'!$E$7:$E$36,MATCH(B42,'Attempt Tokens'!$B$7:$B$36,0))</x:f>
      </x:c>
      <x:c r="E42" s="28" t="n">
        <x:v>12</x:v>
      </x:c>
      <x:c r="F42" s="28" t="str">
        <x:v>EG-12</x:v>
      </x:c>
      <x:c r="G42" s="28" t="str">
        <x:v>neighbor proofs complete</x:v>
      </x:c>
      <x:c r="H42" s="28" t="str">
        <x:v>PASS</x:v>
      </x:c>
      <x:c r="I42" s="29" t="str"/>
      <x:c r="J42" s="29" t="str"/>
      <x:c r="K42" s="29" t="str"/>
      <x:c r="L42" s="28" t="str">
        <x:f>IF(AND(C42="RESERVE",D42=""),"DORMANT",IF(K42="","OPEN",IF(AND(I42=H42,J42&lt;&gt;""),"PASS","FAIL")))</x:f>
        <x:v>OPEN</x:v>
      </x:c>
    </x:row>
    <x:row r="43">
      <x:c r="B43" s="28" t="str">
        <x:v>AT-02</x:v>
      </x:c>
      <x:c r="C43" s="28" t="str">
        <x:v>PRIMARY</x:v>
      </x:c>
      <x:c r="D43" s="28" t="str">
        <x:f>INDEX('Attempt Tokens'!$E$7:$E$36,MATCH(B43,'Attempt Tokens'!$B$7:$B$36,0))</x:f>
      </x:c>
      <x:c r="E43" s="28" t="n">
        <x:v>13</x:v>
      </x:c>
      <x:c r="F43" s="28" t="str">
        <x:v>EG-13</x:v>
      </x:c>
      <x:c r="G43" s="28" t="str">
        <x:v>safeing polls complete</x:v>
      </x:c>
      <x:c r="H43" s="28" t="str">
        <x:v>PASS</x:v>
      </x:c>
      <x:c r="I43" s="29" t="str"/>
      <x:c r="J43" s="29" t="str"/>
      <x:c r="K43" s="29" t="str"/>
      <x:c r="L43" s="28" t="str">
        <x:f>IF(AND(C43="RESERVE",D43=""),"DORMANT",IF(K43="","OPEN",IF(AND(I43=H43,J43&lt;&gt;""),"PASS","FAIL")))</x:f>
        <x:v>OPEN</x:v>
      </x:c>
    </x:row>
    <x:row r="44">
      <x:c r="B44" s="28" t="str">
        <x:v>AT-02</x:v>
      </x:c>
      <x:c r="C44" s="28" t="str">
        <x:v>PRIMARY</x:v>
      </x:c>
      <x:c r="D44" s="28" t="str">
        <x:f>INDEX('Attempt Tokens'!$E$7:$E$36,MATCH(B44,'Attempt Tokens'!$B$7:$B$36,0))</x:f>
      </x:c>
      <x:c r="E44" s="28" t="n">
        <x:v>14</x:v>
      </x:c>
      <x:c r="F44" s="28" t="str">
        <x:v>EG-14</x:v>
      </x:c>
      <x:c r="G44" s="28" t="str">
        <x:v>command transactions complete</x:v>
      </x:c>
      <x:c r="H44" s="28" t="str">
        <x:v>PASS</x:v>
      </x:c>
      <x:c r="I44" s="29" t="str"/>
      <x:c r="J44" s="29" t="str"/>
      <x:c r="K44" s="29" t="str"/>
      <x:c r="L44" s="28" t="str">
        <x:f>IF(AND(C44="RESERVE",D44=""),"DORMANT",IF(K44="","OPEN",IF(AND(I44=H44,J44&lt;&gt;""),"PASS","FAIL")))</x:f>
        <x:v>OPEN</x:v>
      </x:c>
    </x:row>
    <x:row r="45">
      <x:c r="B45" s="28" t="str">
        <x:v>AT-02</x:v>
      </x:c>
      <x:c r="C45" s="28" t="str">
        <x:v>PRIMARY</x:v>
      </x:c>
      <x:c r="D45" s="28" t="str">
        <x:f>INDEX('Attempt Tokens'!$E$7:$E$36,MATCH(B45,'Attempt Tokens'!$B$7:$B$36,0))</x:f>
      </x:c>
      <x:c r="E45" s="28" t="n">
        <x:v>15</x:v>
      </x:c>
      <x:c r="F45" s="28" t="str">
        <x:v>EG-15</x:v>
      </x:c>
      <x:c r="G45" s="28" t="str">
        <x:v>phase clock complete</x:v>
      </x:c>
      <x:c r="H45" s="28" t="str">
        <x:v>PASS</x:v>
      </x:c>
      <x:c r="I45" s="29" t="str"/>
      <x:c r="J45" s="29" t="str"/>
      <x:c r="K45" s="29" t="str"/>
      <x:c r="L45" s="28" t="str">
        <x:f>IF(AND(C45="RESERVE",D45=""),"DORMANT",IF(K45="","OPEN",IF(AND(I45=H45,J45&lt;&gt;""),"PASS","FAIL")))</x:f>
        <x:v>OPEN</x:v>
      </x:c>
    </x:row>
    <x:row r="46">
      <x:c r="B46" s="28" t="str">
        <x:v>AT-02</x:v>
      </x:c>
      <x:c r="C46" s="28" t="str">
        <x:v>PRIMARY</x:v>
      </x:c>
      <x:c r="D46" s="28" t="str">
        <x:f>INDEX('Attempt Tokens'!$E$7:$E$36,MATCH(B46,'Attempt Tokens'!$B$7:$B$36,0))</x:f>
      </x:c>
      <x:c r="E46" s="28" t="n">
        <x:v>16</x:v>
      </x:c>
      <x:c r="F46" s="28" t="str">
        <x:v>EG-16</x:v>
      </x:c>
      <x:c r="G46" s="28" t="str">
        <x:v>holds complete</x:v>
      </x:c>
      <x:c r="H46" s="28" t="str">
        <x:v>PASS</x:v>
      </x:c>
      <x:c r="I46" s="29" t="str"/>
      <x:c r="J46" s="29" t="str"/>
      <x:c r="K46" s="29" t="str"/>
      <x:c r="L46" s="28" t="str">
        <x:f>IF(AND(C46="RESERVE",D46=""),"DORMANT",IF(K46="","OPEN",IF(AND(I46=H46,J46&lt;&gt;""),"PASS","FAIL")))</x:f>
        <x:v>OPEN</x:v>
      </x:c>
    </x:row>
    <x:row r="47">
      <x:c r="B47" s="28" t="str">
        <x:v>AT-02</x:v>
      </x:c>
      <x:c r="C47" s="28" t="str">
        <x:v>PRIMARY</x:v>
      </x:c>
      <x:c r="D47" s="28" t="str">
        <x:f>INDEX('Attempt Tokens'!$E$7:$E$36,MATCH(B47,'Attempt Tokens'!$B$7:$B$36,0))</x:f>
      </x:c>
      <x:c r="E47" s="28" t="n">
        <x:v>17</x:v>
      </x:c>
      <x:c r="F47" s="28" t="str">
        <x:v>EG-17</x:v>
      </x:c>
      <x:c r="G47" s="28" t="str">
        <x:v>evidence obligations complete</x:v>
      </x:c>
      <x:c r="H47" s="28" t="str">
        <x:v>PASS</x:v>
      </x:c>
      <x:c r="I47" s="29" t="str"/>
      <x:c r="J47" s="29" t="str"/>
      <x:c r="K47" s="29" t="str"/>
      <x:c r="L47" s="28" t="str">
        <x:f>IF(AND(C47="RESERVE",D47=""),"DORMANT",IF(K47="","OPEN",IF(AND(I47=H47,J47&lt;&gt;""),"PASS","FAIL")))</x:f>
        <x:v>OPEN</x:v>
      </x:c>
    </x:row>
    <x:row r="48">
      <x:c r="B48" s="28" t="str">
        <x:v>AT-02</x:v>
      </x:c>
      <x:c r="C48" s="28" t="str">
        <x:v>PRIMARY</x:v>
      </x:c>
      <x:c r="D48" s="28" t="str">
        <x:f>INDEX('Attempt Tokens'!$E$7:$E$36,MATCH(B48,'Attempt Tokens'!$B$7:$B$36,0))</x:f>
      </x:c>
      <x:c r="E48" s="28" t="n">
        <x:v>18</x:v>
      </x:c>
      <x:c r="F48" s="28" t="str">
        <x:v>EG-18</x:v>
      </x:c>
      <x:c r="G48" s="28" t="str">
        <x:v>blank samples complete</x:v>
      </x:c>
      <x:c r="H48" s="28" t="str">
        <x:v>PASS</x:v>
      </x:c>
      <x:c r="I48" s="29" t="str"/>
      <x:c r="J48" s="29" t="str"/>
      <x:c r="K48" s="29" t="str"/>
      <x:c r="L48" s="28" t="str">
        <x:f>IF(AND(C48="RESERVE",D48=""),"DORMANT",IF(K48="","OPEN",IF(AND(I48=H48,J48&lt;&gt;""),"PASS","FAIL")))</x:f>
        <x:v>OPEN</x:v>
      </x:c>
    </x:row>
    <x:row r="49">
      <x:c r="B49" s="28" t="str">
        <x:v>AT-02</x:v>
      </x:c>
      <x:c r="C49" s="28" t="str">
        <x:v>PRIMARY</x:v>
      </x:c>
      <x:c r="D49" s="28" t="str">
        <x:f>INDEX('Attempt Tokens'!$E$7:$E$36,MATCH(B49,'Attempt Tokens'!$B$7:$B$36,0))</x:f>
      </x:c>
      <x:c r="E49" s="28" t="n">
        <x:v>19</x:v>
      </x:c>
      <x:c r="F49" s="28" t="str">
        <x:v>EG-19</x:v>
      </x:c>
      <x:c r="G49" s="28" t="str">
        <x:v>abort channels classified</x:v>
      </x:c>
      <x:c r="H49" s="28" t="str">
        <x:v>PASS</x:v>
      </x:c>
      <x:c r="I49" s="29" t="str"/>
      <x:c r="J49" s="29" t="str"/>
      <x:c r="K49" s="29" t="str"/>
      <x:c r="L49" s="28" t="str">
        <x:f>IF(AND(C49="RESERVE",D49=""),"DORMANT",IF(K49="","OPEN",IF(AND(I49=H49,J49&lt;&gt;""),"PASS","FAIL")))</x:f>
        <x:v>OPEN</x:v>
      </x:c>
    </x:row>
    <x:row r="50">
      <x:c r="B50" s="28" t="str">
        <x:v>AT-02</x:v>
      </x:c>
      <x:c r="C50" s="28" t="str">
        <x:v>PRIMARY</x:v>
      </x:c>
      <x:c r="D50" s="28" t="str">
        <x:f>INDEX('Attempt Tokens'!$E$7:$E$36,MATCH(B50,'Attempt Tokens'!$B$7:$B$36,0))</x:f>
      </x:c>
      <x:c r="E50" s="28" t="n">
        <x:v>20</x:v>
      </x:c>
      <x:c r="F50" s="28" t="str">
        <x:v>EG-20</x:v>
      </x:c>
      <x:c r="G50" s="28" t="str">
        <x:v>interventions classified</x:v>
      </x:c>
      <x:c r="H50" s="28" t="str">
        <x:v>PASS</x:v>
      </x:c>
      <x:c r="I50" s="29" t="str"/>
      <x:c r="J50" s="29" t="str"/>
      <x:c r="K50" s="29" t="str"/>
      <x:c r="L50" s="28" t="str">
        <x:f>IF(AND(C50="RESERVE",D50=""),"DORMANT",IF(K50="","OPEN",IF(AND(I50=H50,J50&lt;&gt;""),"PASS","FAIL")))</x:f>
        <x:v>OPEN</x:v>
      </x:c>
    </x:row>
    <x:row r="51">
      <x:c r="B51" s="28" t="str">
        <x:v>AT-02</x:v>
      </x:c>
      <x:c r="C51" s="28" t="str">
        <x:v>PRIMARY</x:v>
      </x:c>
      <x:c r="D51" s="28" t="str">
        <x:f>INDEX('Attempt Tokens'!$E$7:$E$36,MATCH(B51,'Attempt Tokens'!$B$7:$B$36,0))</x:f>
      </x:c>
      <x:c r="E51" s="28" t="n">
        <x:v>21</x:v>
      </x:c>
      <x:c r="F51" s="28" t="str">
        <x:v>EG-21</x:v>
      </x:c>
      <x:c r="G51" s="28" t="str">
        <x:v>event result accepted</x:v>
      </x:c>
      <x:c r="H51" s="28" t="str">
        <x:v>PASS</x:v>
      </x:c>
      <x:c r="I51" s="29" t="str"/>
      <x:c r="J51" s="29" t="str"/>
      <x:c r="K51" s="29" t="str"/>
      <x:c r="L51" s="28" t="str">
        <x:f>IF(AND(C51="RESERVE",D51=""),"DORMANT",IF(K51="","OPEN",IF(AND(I51=H51,J51&lt;&gt;""),"PASS","FAIL")))</x:f>
        <x:v>OPEN</x:v>
      </x:c>
    </x:row>
    <x:row r="52">
      <x:c r="B52" s="28" t="str">
        <x:v>AT-02</x:v>
      </x:c>
      <x:c r="C52" s="28" t="str">
        <x:v>PRIMARY</x:v>
      </x:c>
      <x:c r="D52" s="28" t="str">
        <x:f>INDEX('Attempt Tokens'!$E$7:$E$36,MATCH(B52,'Attempt Tokens'!$B$7:$B$36,0))</x:f>
      </x:c>
      <x:c r="E52" s="28" t="n">
        <x:v>22</x:v>
      </x:c>
      <x:c r="F52" s="28" t="str">
        <x:v>EG-22</x:v>
      </x:c>
      <x:c r="G52" s="28" t="str">
        <x:v>recovery states complete</x:v>
      </x:c>
      <x:c r="H52" s="28" t="str">
        <x:v>PASS</x:v>
      </x:c>
      <x:c r="I52" s="29" t="str"/>
      <x:c r="J52" s="29" t="str"/>
      <x:c r="K52" s="29" t="str"/>
      <x:c r="L52" s="28" t="str">
        <x:f>IF(AND(C52="RESERVE",D52=""),"DORMANT",IF(K52="","OPEN",IF(AND(I52=H52,J52&lt;&gt;""),"PASS","FAIL")))</x:f>
        <x:v>OPEN</x:v>
      </x:c>
    </x:row>
    <x:row r="53">
      <x:c r="B53" s="28" t="str">
        <x:v>AT-02</x:v>
      </x:c>
      <x:c r="C53" s="28" t="str">
        <x:v>PRIMARY</x:v>
      </x:c>
      <x:c r="D53" s="28" t="str">
        <x:f>INDEX('Attempt Tokens'!$E$7:$E$36,MATCH(B53,'Attempt Tokens'!$B$7:$B$36,0))</x:f>
      </x:c>
      <x:c r="E53" s="28" t="n">
        <x:v>23</x:v>
      </x:c>
      <x:c r="F53" s="28" t="str">
        <x:v>EG-23</x:v>
      </x:c>
      <x:c r="G53" s="28" t="str">
        <x:v>regeneration and regression complete</x:v>
      </x:c>
      <x:c r="H53" s="28" t="str">
        <x:v>PASS</x:v>
      </x:c>
      <x:c r="I53" s="29" t="str"/>
      <x:c r="J53" s="29" t="str"/>
      <x:c r="K53" s="29" t="str"/>
      <x:c r="L53" s="28" t="str">
        <x:f>IF(AND(C53="RESERVE",D53=""),"DORMANT",IF(K53="","OPEN",IF(AND(I53=H53,J53&lt;&gt;""),"PASS","FAIL")))</x:f>
        <x:v>OPEN</x:v>
      </x:c>
    </x:row>
    <x:row r="54">
      <x:c r="B54" s="28" t="str">
        <x:v>AT-02</x:v>
      </x:c>
      <x:c r="C54" s="28" t="str">
        <x:v>PRIMARY</x:v>
      </x:c>
      <x:c r="D54" s="28" t="str">
        <x:f>INDEX('Attempt Tokens'!$E$7:$E$36,MATCH(B54,'Attempt Tokens'!$B$7:$B$36,0))</x:f>
      </x:c>
      <x:c r="E54" s="28" t="n">
        <x:v>24</x:v>
      </x:c>
      <x:c r="F54" s="28" t="str">
        <x:v>EG-24</x:v>
      </x:c>
      <x:c r="G54" s="28" t="str">
        <x:v>reentry and packet release complete</x:v>
      </x:c>
      <x:c r="H54" s="28" t="str">
        <x:v>PASS</x:v>
      </x:c>
      <x:c r="I54" s="29" t="str"/>
      <x:c r="J54" s="29" t="str"/>
      <x:c r="K54" s="29" t="str"/>
      <x:c r="L54" s="28" t="str">
        <x:f>IF(AND(C54="RESERVE",D54=""),"DORMANT",IF(K54="","OPEN",IF(AND(I54=H54,J54&lt;&gt;""),"PASS","FAIL")))</x:f>
        <x:v>OPEN</x:v>
      </x:c>
    </x:row>
    <x:row r="55">
      <x:c r="B55" s="28" t="str">
        <x:v>AT-03</x:v>
      </x:c>
      <x:c r="C55" s="28" t="str">
        <x:v>PRIMARY</x:v>
      </x:c>
      <x:c r="D55" s="28" t="str">
        <x:f>INDEX('Attempt Tokens'!$E$7:$E$36,MATCH(B55,'Attempt Tokens'!$B$7:$B$36,0))</x:f>
      </x:c>
      <x:c r="E55" s="28" t="n">
        <x:v>1</x:v>
      </x:c>
      <x:c r="F55" s="28" t="str">
        <x:v>EG-01</x:v>
      </x:c>
      <x:c r="G55" s="28" t="str">
        <x:v>RAX or renewed pair credential current</x:v>
      </x:c>
      <x:c r="H55" s="28" t="str">
        <x:v>PASS</x:v>
      </x:c>
      <x:c r="I55" s="29" t="str"/>
      <x:c r="J55" s="29" t="str"/>
      <x:c r="K55" s="29" t="str"/>
      <x:c r="L55" s="28" t="str">
        <x:f>IF(AND(C55="RESERVE",D55=""),"DORMANT",IF(K55="","OPEN",IF(AND(I55=H55,J55&lt;&gt;""),"PASS","FAIL")))</x:f>
        <x:v>OPEN</x:v>
      </x:c>
    </x:row>
    <x:row r="56">
      <x:c r="B56" s="28" t="str">
        <x:v>AT-03</x:v>
      </x:c>
      <x:c r="C56" s="28" t="str">
        <x:v>PRIMARY</x:v>
      </x:c>
      <x:c r="D56" s="28" t="str">
        <x:f>INDEX('Attempt Tokens'!$E$7:$E$36,MATCH(B56,'Attempt Tokens'!$B$7:$B$36,0))</x:f>
      </x:c>
      <x:c r="E56" s="28" t="n">
        <x:v>2</x:v>
      </x:c>
      <x:c r="F56" s="28" t="str">
        <x:v>EG-02</x:v>
      </x:c>
      <x:c r="G56" s="28" t="str">
        <x:v>candidate cell eligible</x:v>
      </x:c>
      <x:c r="H56" s="28" t="str">
        <x:v>PASS</x:v>
      </x:c>
      <x:c r="I56" s="29" t="str"/>
      <x:c r="J56" s="29" t="str"/>
      <x:c r="K56" s="29" t="str"/>
      <x:c r="L56" s="28" t="str">
        <x:f>IF(AND(C56="RESERVE",D56=""),"DORMANT",IF(K56="","OPEN",IF(AND(I56=H56,J56&lt;&gt;""),"PASS","FAIL")))</x:f>
        <x:v>OPEN</x:v>
      </x:c>
    </x:row>
    <x:row r="57">
      <x:c r="B57" s="28" t="str">
        <x:v>AT-03</x:v>
      </x:c>
      <x:c r="C57" s="28" t="str">
        <x:v>PRIMARY</x:v>
      </x:c>
      <x:c r="D57" s="28" t="str">
        <x:f>INDEX('Attempt Tokens'!$E$7:$E$36,MATCH(B57,'Attempt Tokens'!$B$7:$B$36,0))</x:f>
      </x:c>
      <x:c r="E57" s="28" t="n">
        <x:v>3</x:v>
      </x:c>
      <x:c r="F57" s="28" t="str">
        <x:v>EG-03</x:v>
      </x:c>
      <x:c r="G57" s="28" t="str">
        <x:v>draw and schedule binding complete</x:v>
      </x:c>
      <x:c r="H57" s="28" t="str">
        <x:v>PASS</x:v>
      </x:c>
      <x:c r="I57" s="29" t="str"/>
      <x:c r="J57" s="29" t="str"/>
      <x:c r="K57" s="29" t="str"/>
      <x:c r="L57" s="28" t="str">
        <x:f>IF(AND(C57="RESERVE",D57=""),"DORMANT",IF(K57="","OPEN",IF(AND(I57=H57,J57&lt;&gt;""),"PASS","FAIL")))</x:f>
        <x:v>OPEN</x:v>
      </x:c>
    </x:row>
    <x:row r="58">
      <x:c r="B58" s="28" t="str">
        <x:v>AT-03</x:v>
      </x:c>
      <x:c r="C58" s="28" t="str">
        <x:v>PRIMARY</x:v>
      </x:c>
      <x:c r="D58" s="28" t="str">
        <x:f>INDEX('Attempt Tokens'!$E$7:$E$36,MATCH(B58,'Attempt Tokens'!$B$7:$B$36,0))</x:f>
      </x:c>
      <x:c r="E58" s="28" t="n">
        <x:v>4</x:v>
      </x:c>
      <x:c r="F58" s="28" t="str">
        <x:v>EG-04</x:v>
      </x:c>
      <x:c r="G58" s="28" t="str">
        <x:v>event issue accepted</x:v>
      </x:c>
      <x:c r="H58" s="28" t="str">
        <x:v>PASS</x:v>
      </x:c>
      <x:c r="I58" s="29" t="str"/>
      <x:c r="J58" s="29" t="str"/>
      <x:c r="K58" s="29" t="str"/>
      <x:c r="L58" s="28" t="str">
        <x:f>IF(AND(C58="RESERVE",D58=""),"DORMANT",IF(K58="","OPEN",IF(AND(I58=H58,J58&lt;&gt;""),"PASS","FAIL")))</x:f>
        <x:v>OPEN</x:v>
      </x:c>
    </x:row>
    <x:row r="59">
      <x:c r="B59" s="28" t="str">
        <x:v>AT-03</x:v>
      </x:c>
      <x:c r="C59" s="28" t="str">
        <x:v>PRIMARY</x:v>
      </x:c>
      <x:c r="D59" s="28" t="str">
        <x:f>INDEX('Attempt Tokens'!$E$7:$E$36,MATCH(B59,'Attempt Tokens'!$B$7:$B$36,0))</x:f>
      </x:c>
      <x:c r="E59" s="28" t="n">
        <x:v>5</x:v>
      </x:c>
      <x:c r="F59" s="28" t="str">
        <x:v>EG-05</x:v>
      </x:c>
      <x:c r="G59" s="28" t="str">
        <x:v>dossier bindings complete</x:v>
      </x:c>
      <x:c r="H59" s="28" t="str">
        <x:v>PASS</x:v>
      </x:c>
      <x:c r="I59" s="29" t="str"/>
      <x:c r="J59" s="29" t="str"/>
      <x:c r="K59" s="29" t="str"/>
      <x:c r="L59" s="28" t="str">
        <x:f>IF(AND(C59="RESERVE",D59=""),"DORMANT",IF(K59="","OPEN",IF(AND(I59=H59,J59&lt;&gt;""),"PASS","FAIL")))</x:f>
        <x:v>OPEN</x:v>
      </x:c>
    </x:row>
    <x:row r="60">
      <x:c r="B60" s="28" t="str">
        <x:v>AT-03</x:v>
      </x:c>
      <x:c r="C60" s="28" t="str">
        <x:v>PRIMARY</x:v>
      </x:c>
      <x:c r="D60" s="28" t="str">
        <x:f>INDEX('Attempt Tokens'!$E$7:$E$36,MATCH(B60,'Attempt Tokens'!$B$7:$B$36,0))</x:f>
      </x:c>
      <x:c r="E60" s="28" t="n">
        <x:v>6</x:v>
      </x:c>
      <x:c r="F60" s="28" t="str">
        <x:v>EG-06</x:v>
      </x:c>
      <x:c r="G60" s="28" t="str">
        <x:v>event crew complete</x:v>
      </x:c>
      <x:c r="H60" s="28" t="str">
        <x:v>PASS</x:v>
      </x:c>
      <x:c r="I60" s="29" t="str"/>
      <x:c r="J60" s="29" t="str"/>
      <x:c r="K60" s="29" t="str"/>
      <x:c r="L60" s="28" t="str">
        <x:f>IF(AND(C60="RESERVE",D60=""),"DORMANT",IF(K60="","OPEN",IF(AND(I60=H60,J60&lt;&gt;""),"PASS","FAIL")))</x:f>
        <x:v>OPEN</x:v>
      </x:c>
    </x:row>
    <x:row r="61">
      <x:c r="B61" s="28" t="str">
        <x:v>AT-03</x:v>
      </x:c>
      <x:c r="C61" s="28" t="str">
        <x:v>PRIMARY</x:v>
      </x:c>
      <x:c r="D61" s="28" t="str">
        <x:f>INDEX('Attempt Tokens'!$E$7:$E$36,MATCH(B61,'Attempt Tokens'!$B$7:$B$36,0))</x:f>
      </x:c>
      <x:c r="E61" s="28" t="n">
        <x:v>7</x:v>
      </x:c>
      <x:c r="F61" s="28" t="str">
        <x:v>EG-07</x:v>
      </x:c>
      <x:c r="G61" s="28" t="str">
        <x:v>configuration freeze complete</x:v>
      </x:c>
      <x:c r="H61" s="28" t="str">
        <x:v>PASS</x:v>
      </x:c>
      <x:c r="I61" s="29" t="str"/>
      <x:c r="J61" s="29" t="str"/>
      <x:c r="K61" s="29" t="str"/>
      <x:c r="L61" s="28" t="str">
        <x:f>IF(AND(C61="RESERVE",D61=""),"DORMANT",IF(K61="","OPEN",IF(AND(I61=H61,J61&lt;&gt;""),"PASS","FAIL")))</x:f>
        <x:v>OPEN</x:v>
      </x:c>
    </x:row>
    <x:row r="62">
      <x:c r="B62" s="28" t="str">
        <x:v>AT-03</x:v>
      </x:c>
      <x:c r="C62" s="28" t="str">
        <x:v>PRIMARY</x:v>
      </x:c>
      <x:c r="D62" s="28" t="str">
        <x:f>INDEX('Attempt Tokens'!$E$7:$E$36,MATCH(B62,'Attempt Tokens'!$B$7:$B$36,0))</x:f>
      </x:c>
      <x:c r="E62" s="28" t="n">
        <x:v>8</x:v>
      </x:c>
      <x:c r="F62" s="28" t="str">
        <x:v>EG-08</x:v>
      </x:c>
      <x:c r="G62" s="28" t="str">
        <x:v>zero-source checks complete</x:v>
      </x:c>
      <x:c r="H62" s="28" t="str">
        <x:v>PASS</x:v>
      </x:c>
      <x:c r="I62" s="29" t="str"/>
      <x:c r="J62" s="29" t="str"/>
      <x:c r="K62" s="29" t="str"/>
      <x:c r="L62" s="28" t="str">
        <x:f>IF(AND(C62="RESERVE",D62=""),"DORMANT",IF(K62="","OPEN",IF(AND(I62=H62,J62&lt;&gt;""),"PASS","FAIL")))</x:f>
        <x:v>OPEN</x:v>
      </x:c>
    </x:row>
    <x:row r="63">
      <x:c r="B63" s="28" t="str">
        <x:v>AT-03</x:v>
      </x:c>
      <x:c r="C63" s="28" t="str">
        <x:v>PRIMARY</x:v>
      </x:c>
      <x:c r="D63" s="28" t="str">
        <x:f>INDEX('Attempt Tokens'!$E$7:$E$36,MATCH(B63,'Attempt Tokens'!$B$7:$B$36,0))</x:f>
      </x:c>
      <x:c r="E63" s="28" t="n">
        <x:v>9</x:v>
      </x:c>
      <x:c r="F63" s="28" t="str">
        <x:v>EG-09</x:v>
      </x:c>
      <x:c r="G63" s="28" t="str">
        <x:v>zero-water checks complete</x:v>
      </x:c>
      <x:c r="H63" s="28" t="str">
        <x:v>PASS</x:v>
      </x:c>
      <x:c r="I63" s="29" t="str"/>
      <x:c r="J63" s="29" t="str"/>
      <x:c r="K63" s="29" t="str"/>
      <x:c r="L63" s="28" t="str">
        <x:f>IF(AND(C63="RESERVE",D63=""),"DORMANT",IF(K63="","OPEN",IF(AND(I63=H63,J63&lt;&gt;""),"PASS","FAIL")))</x:f>
        <x:v>OPEN</x:v>
      </x:c>
    </x:row>
    <x:row r="64">
      <x:c r="B64" s="28" t="str">
        <x:v>AT-03</x:v>
      </x:c>
      <x:c r="C64" s="28" t="str">
        <x:v>PRIMARY</x:v>
      </x:c>
      <x:c r="D64" s="28" t="str">
        <x:f>INDEX('Attempt Tokens'!$E$7:$E$36,MATCH(B64,'Attempt Tokens'!$B$7:$B$36,0))</x:f>
      </x:c>
      <x:c r="E64" s="28" t="n">
        <x:v>10</x:v>
      </x:c>
      <x:c r="F64" s="28" t="str">
        <x:v>EG-10</x:v>
      </x:c>
      <x:c r="G64" s="28" t="str">
        <x:v>uncertainty decisions complete</x:v>
      </x:c>
      <x:c r="H64" s="28" t="str">
        <x:v>PASS</x:v>
      </x:c>
      <x:c r="I64" s="29" t="str"/>
      <x:c r="J64" s="29" t="str"/>
      <x:c r="K64" s="29" t="str"/>
      <x:c r="L64" s="28" t="str">
        <x:f>IF(AND(C64="RESERVE",D64=""),"DORMANT",IF(K64="","OPEN",IF(AND(I64=H64,J64&lt;&gt;""),"PASS","FAIL")))</x:f>
        <x:v>OPEN</x:v>
      </x:c>
    </x:row>
    <x:row r="65">
      <x:c r="B65" s="28" t="str">
        <x:v>AT-03</x:v>
      </x:c>
      <x:c r="C65" s="28" t="str">
        <x:v>PRIMARY</x:v>
      </x:c>
      <x:c r="D65" s="28" t="str">
        <x:f>INDEX('Attempt Tokens'!$E$7:$E$36,MATCH(B65,'Attempt Tokens'!$B$7:$B$36,0))</x:f>
      </x:c>
      <x:c r="E65" s="28" t="n">
        <x:v>11</x:v>
      </x:c>
      <x:c r="F65" s="28" t="str">
        <x:v>EG-11</x:v>
      </x:c>
      <x:c r="G65" s="28" t="str">
        <x:v>measurement windows complete</x:v>
      </x:c>
      <x:c r="H65" s="28" t="str">
        <x:v>PASS</x:v>
      </x:c>
      <x:c r="I65" s="29" t="str"/>
      <x:c r="J65" s="29" t="str"/>
      <x:c r="K65" s="29" t="str"/>
      <x:c r="L65" s="28" t="str">
        <x:f>IF(AND(C65="RESERVE",D65=""),"DORMANT",IF(K65="","OPEN",IF(AND(I65=H65,J65&lt;&gt;""),"PASS","FAIL")))</x:f>
        <x:v>OPEN</x:v>
      </x:c>
    </x:row>
    <x:row r="66">
      <x:c r="B66" s="28" t="str">
        <x:v>AT-03</x:v>
      </x:c>
      <x:c r="C66" s="28" t="str">
        <x:v>PRIMARY</x:v>
      </x:c>
      <x:c r="D66" s="28" t="str">
        <x:f>INDEX('Attempt Tokens'!$E$7:$E$36,MATCH(B66,'Attempt Tokens'!$B$7:$B$36,0))</x:f>
      </x:c>
      <x:c r="E66" s="28" t="n">
        <x:v>12</x:v>
      </x:c>
      <x:c r="F66" s="28" t="str">
        <x:v>EG-12</x:v>
      </x:c>
      <x:c r="G66" s="28" t="str">
        <x:v>neighbor proofs complete</x:v>
      </x:c>
      <x:c r="H66" s="28" t="str">
        <x:v>PASS</x:v>
      </x:c>
      <x:c r="I66" s="29" t="str"/>
      <x:c r="J66" s="29" t="str"/>
      <x:c r="K66" s="29" t="str"/>
      <x:c r="L66" s="28" t="str">
        <x:f>IF(AND(C66="RESERVE",D66=""),"DORMANT",IF(K66="","OPEN",IF(AND(I66=H66,J66&lt;&gt;""),"PASS","FAIL")))</x:f>
        <x:v>OPEN</x:v>
      </x:c>
    </x:row>
    <x:row r="67">
      <x:c r="B67" s="28" t="str">
        <x:v>AT-03</x:v>
      </x:c>
      <x:c r="C67" s="28" t="str">
        <x:v>PRIMARY</x:v>
      </x:c>
      <x:c r="D67" s="28" t="str">
        <x:f>INDEX('Attempt Tokens'!$E$7:$E$36,MATCH(B67,'Attempt Tokens'!$B$7:$B$36,0))</x:f>
      </x:c>
      <x:c r="E67" s="28" t="n">
        <x:v>13</x:v>
      </x:c>
      <x:c r="F67" s="28" t="str">
        <x:v>EG-13</x:v>
      </x:c>
      <x:c r="G67" s="28" t="str">
        <x:v>safeing polls complete</x:v>
      </x:c>
      <x:c r="H67" s="28" t="str">
        <x:v>PASS</x:v>
      </x:c>
      <x:c r="I67" s="29" t="str"/>
      <x:c r="J67" s="29" t="str"/>
      <x:c r="K67" s="29" t="str"/>
      <x:c r="L67" s="28" t="str">
        <x:f>IF(AND(C67="RESERVE",D67=""),"DORMANT",IF(K67="","OPEN",IF(AND(I67=H67,J67&lt;&gt;""),"PASS","FAIL")))</x:f>
        <x:v>OPEN</x:v>
      </x:c>
    </x:row>
    <x:row r="68">
      <x:c r="B68" s="28" t="str">
        <x:v>AT-03</x:v>
      </x:c>
      <x:c r="C68" s="28" t="str">
        <x:v>PRIMARY</x:v>
      </x:c>
      <x:c r="D68" s="28" t="str">
        <x:f>INDEX('Attempt Tokens'!$E$7:$E$36,MATCH(B68,'Attempt Tokens'!$B$7:$B$36,0))</x:f>
      </x:c>
      <x:c r="E68" s="28" t="n">
        <x:v>14</x:v>
      </x:c>
      <x:c r="F68" s="28" t="str">
        <x:v>EG-14</x:v>
      </x:c>
      <x:c r="G68" s="28" t="str">
        <x:v>command transactions complete</x:v>
      </x:c>
      <x:c r="H68" s="28" t="str">
        <x:v>PASS</x:v>
      </x:c>
      <x:c r="I68" s="29" t="str"/>
      <x:c r="J68" s="29" t="str"/>
      <x:c r="K68" s="29" t="str"/>
      <x:c r="L68" s="28" t="str">
        <x:f>IF(AND(C68="RESERVE",D68=""),"DORMANT",IF(K68="","OPEN",IF(AND(I68=H68,J68&lt;&gt;""),"PASS","FAIL")))</x:f>
        <x:v>OPEN</x:v>
      </x:c>
    </x:row>
    <x:row r="69">
      <x:c r="B69" s="28" t="str">
        <x:v>AT-03</x:v>
      </x:c>
      <x:c r="C69" s="28" t="str">
        <x:v>PRIMARY</x:v>
      </x:c>
      <x:c r="D69" s="28" t="str">
        <x:f>INDEX('Attempt Tokens'!$E$7:$E$36,MATCH(B69,'Attempt Tokens'!$B$7:$B$36,0))</x:f>
      </x:c>
      <x:c r="E69" s="28" t="n">
        <x:v>15</x:v>
      </x:c>
      <x:c r="F69" s="28" t="str">
        <x:v>EG-15</x:v>
      </x:c>
      <x:c r="G69" s="28" t="str">
        <x:v>phase clock complete</x:v>
      </x:c>
      <x:c r="H69" s="28" t="str">
        <x:v>PASS</x:v>
      </x:c>
      <x:c r="I69" s="29" t="str"/>
      <x:c r="J69" s="29" t="str"/>
      <x:c r="K69" s="29" t="str"/>
      <x:c r="L69" s="28" t="str">
        <x:f>IF(AND(C69="RESERVE",D69=""),"DORMANT",IF(K69="","OPEN",IF(AND(I69=H69,J69&lt;&gt;""),"PASS","FAIL")))</x:f>
        <x:v>OPEN</x:v>
      </x:c>
    </x:row>
    <x:row r="70">
      <x:c r="B70" s="28" t="str">
        <x:v>AT-03</x:v>
      </x:c>
      <x:c r="C70" s="28" t="str">
        <x:v>PRIMARY</x:v>
      </x:c>
      <x:c r="D70" s="28" t="str">
        <x:f>INDEX('Attempt Tokens'!$E$7:$E$36,MATCH(B70,'Attempt Tokens'!$B$7:$B$36,0))</x:f>
      </x:c>
      <x:c r="E70" s="28" t="n">
        <x:v>16</x:v>
      </x:c>
      <x:c r="F70" s="28" t="str">
        <x:v>EG-16</x:v>
      </x:c>
      <x:c r="G70" s="28" t="str">
        <x:v>holds complete</x:v>
      </x:c>
      <x:c r="H70" s="28" t="str">
        <x:v>PASS</x:v>
      </x:c>
      <x:c r="I70" s="29" t="str"/>
      <x:c r="J70" s="29" t="str"/>
      <x:c r="K70" s="29" t="str"/>
      <x:c r="L70" s="28" t="str">
        <x:f>IF(AND(C70="RESERVE",D70=""),"DORMANT",IF(K70="","OPEN",IF(AND(I70=H70,J70&lt;&gt;""),"PASS","FAIL")))</x:f>
        <x:v>OPEN</x:v>
      </x:c>
    </x:row>
    <x:row r="71">
      <x:c r="B71" s="28" t="str">
        <x:v>AT-03</x:v>
      </x:c>
      <x:c r="C71" s="28" t="str">
        <x:v>PRIMARY</x:v>
      </x:c>
      <x:c r="D71" s="28" t="str">
        <x:f>INDEX('Attempt Tokens'!$E$7:$E$36,MATCH(B71,'Attempt Tokens'!$B$7:$B$36,0))</x:f>
      </x:c>
      <x:c r="E71" s="28" t="n">
        <x:v>17</x:v>
      </x:c>
      <x:c r="F71" s="28" t="str">
        <x:v>EG-17</x:v>
      </x:c>
      <x:c r="G71" s="28" t="str">
        <x:v>evidence obligations complete</x:v>
      </x:c>
      <x:c r="H71" s="28" t="str">
        <x:v>PASS</x:v>
      </x:c>
      <x:c r="I71" s="29" t="str"/>
      <x:c r="J71" s="29" t="str"/>
      <x:c r="K71" s="29" t="str"/>
      <x:c r="L71" s="28" t="str">
        <x:f>IF(AND(C71="RESERVE",D71=""),"DORMANT",IF(K71="","OPEN",IF(AND(I71=H71,J71&lt;&gt;""),"PASS","FAIL")))</x:f>
        <x:v>OPEN</x:v>
      </x:c>
    </x:row>
    <x:row r="72">
      <x:c r="B72" s="28" t="str">
        <x:v>AT-03</x:v>
      </x:c>
      <x:c r="C72" s="28" t="str">
        <x:v>PRIMARY</x:v>
      </x:c>
      <x:c r="D72" s="28" t="str">
        <x:f>INDEX('Attempt Tokens'!$E$7:$E$36,MATCH(B72,'Attempt Tokens'!$B$7:$B$36,0))</x:f>
      </x:c>
      <x:c r="E72" s="28" t="n">
        <x:v>18</x:v>
      </x:c>
      <x:c r="F72" s="28" t="str">
        <x:v>EG-18</x:v>
      </x:c>
      <x:c r="G72" s="28" t="str">
        <x:v>blank samples complete</x:v>
      </x:c>
      <x:c r="H72" s="28" t="str">
        <x:v>PASS</x:v>
      </x:c>
      <x:c r="I72" s="29" t="str"/>
      <x:c r="J72" s="29" t="str"/>
      <x:c r="K72" s="29" t="str"/>
      <x:c r="L72" s="28" t="str">
        <x:f>IF(AND(C72="RESERVE",D72=""),"DORMANT",IF(K72="","OPEN",IF(AND(I72=H72,J72&lt;&gt;""),"PASS","FAIL")))</x:f>
        <x:v>OPEN</x:v>
      </x:c>
    </x:row>
    <x:row r="73">
      <x:c r="B73" s="28" t="str">
        <x:v>AT-03</x:v>
      </x:c>
      <x:c r="C73" s="28" t="str">
        <x:v>PRIMARY</x:v>
      </x:c>
      <x:c r="D73" s="28" t="str">
        <x:f>INDEX('Attempt Tokens'!$E$7:$E$36,MATCH(B73,'Attempt Tokens'!$B$7:$B$36,0))</x:f>
      </x:c>
      <x:c r="E73" s="28" t="n">
        <x:v>19</x:v>
      </x:c>
      <x:c r="F73" s="28" t="str">
        <x:v>EG-19</x:v>
      </x:c>
      <x:c r="G73" s="28" t="str">
        <x:v>abort channels classified</x:v>
      </x:c>
      <x:c r="H73" s="28" t="str">
        <x:v>PASS</x:v>
      </x:c>
      <x:c r="I73" s="29" t="str"/>
      <x:c r="J73" s="29" t="str"/>
      <x:c r="K73" s="29" t="str"/>
      <x:c r="L73" s="28" t="str">
        <x:f>IF(AND(C73="RESERVE",D73=""),"DORMANT",IF(K73="","OPEN",IF(AND(I73=H73,J73&lt;&gt;""),"PASS","FAIL")))</x:f>
        <x:v>OPEN</x:v>
      </x:c>
    </x:row>
    <x:row r="74">
      <x:c r="B74" s="28" t="str">
        <x:v>AT-03</x:v>
      </x:c>
      <x:c r="C74" s="28" t="str">
        <x:v>PRIMARY</x:v>
      </x:c>
      <x:c r="D74" s="28" t="str">
        <x:f>INDEX('Attempt Tokens'!$E$7:$E$36,MATCH(B74,'Attempt Tokens'!$B$7:$B$36,0))</x:f>
      </x:c>
      <x:c r="E74" s="28" t="n">
        <x:v>20</x:v>
      </x:c>
      <x:c r="F74" s="28" t="str">
        <x:v>EG-20</x:v>
      </x:c>
      <x:c r="G74" s="28" t="str">
        <x:v>interventions classified</x:v>
      </x:c>
      <x:c r="H74" s="28" t="str">
        <x:v>PASS</x:v>
      </x:c>
      <x:c r="I74" s="29" t="str"/>
      <x:c r="J74" s="29" t="str"/>
      <x:c r="K74" s="29" t="str"/>
      <x:c r="L74" s="28" t="str">
        <x:f>IF(AND(C74="RESERVE",D74=""),"DORMANT",IF(K74="","OPEN",IF(AND(I74=H74,J74&lt;&gt;""),"PASS","FAIL")))</x:f>
        <x:v>OPEN</x:v>
      </x:c>
    </x:row>
    <x:row r="75">
      <x:c r="B75" s="28" t="str">
        <x:v>AT-03</x:v>
      </x:c>
      <x:c r="C75" s="28" t="str">
        <x:v>PRIMARY</x:v>
      </x:c>
      <x:c r="D75" s="28" t="str">
        <x:f>INDEX('Attempt Tokens'!$E$7:$E$36,MATCH(B75,'Attempt Tokens'!$B$7:$B$36,0))</x:f>
      </x:c>
      <x:c r="E75" s="28" t="n">
        <x:v>21</x:v>
      </x:c>
      <x:c r="F75" s="28" t="str">
        <x:v>EG-21</x:v>
      </x:c>
      <x:c r="G75" s="28" t="str">
        <x:v>event result accepted</x:v>
      </x:c>
      <x:c r="H75" s="28" t="str">
        <x:v>PASS</x:v>
      </x:c>
      <x:c r="I75" s="29" t="str"/>
      <x:c r="J75" s="29" t="str"/>
      <x:c r="K75" s="29" t="str"/>
      <x:c r="L75" s="28" t="str">
        <x:f>IF(AND(C75="RESERVE",D75=""),"DORMANT",IF(K75="","OPEN",IF(AND(I75=H75,J75&lt;&gt;""),"PASS","FAIL")))</x:f>
        <x:v>OPEN</x:v>
      </x:c>
    </x:row>
    <x:row r="76">
      <x:c r="B76" s="28" t="str">
        <x:v>AT-03</x:v>
      </x:c>
      <x:c r="C76" s="28" t="str">
        <x:v>PRIMARY</x:v>
      </x:c>
      <x:c r="D76" s="28" t="str">
        <x:f>INDEX('Attempt Tokens'!$E$7:$E$36,MATCH(B76,'Attempt Tokens'!$B$7:$B$36,0))</x:f>
      </x:c>
      <x:c r="E76" s="28" t="n">
        <x:v>22</x:v>
      </x:c>
      <x:c r="F76" s="28" t="str">
        <x:v>EG-22</x:v>
      </x:c>
      <x:c r="G76" s="28" t="str">
        <x:v>recovery states complete</x:v>
      </x:c>
      <x:c r="H76" s="28" t="str">
        <x:v>PASS</x:v>
      </x:c>
      <x:c r="I76" s="29" t="str"/>
      <x:c r="J76" s="29" t="str"/>
      <x:c r="K76" s="29" t="str"/>
      <x:c r="L76" s="28" t="str">
        <x:f>IF(AND(C76="RESERVE",D76=""),"DORMANT",IF(K76="","OPEN",IF(AND(I76=H76,J76&lt;&gt;""),"PASS","FAIL")))</x:f>
        <x:v>OPEN</x:v>
      </x:c>
    </x:row>
    <x:row r="77">
      <x:c r="B77" s="28" t="str">
        <x:v>AT-03</x:v>
      </x:c>
      <x:c r="C77" s="28" t="str">
        <x:v>PRIMARY</x:v>
      </x:c>
      <x:c r="D77" s="28" t="str">
        <x:f>INDEX('Attempt Tokens'!$E$7:$E$36,MATCH(B77,'Attempt Tokens'!$B$7:$B$36,0))</x:f>
      </x:c>
      <x:c r="E77" s="28" t="n">
        <x:v>23</x:v>
      </x:c>
      <x:c r="F77" s="28" t="str">
        <x:v>EG-23</x:v>
      </x:c>
      <x:c r="G77" s="28" t="str">
        <x:v>regeneration and regression complete</x:v>
      </x:c>
      <x:c r="H77" s="28" t="str">
        <x:v>PASS</x:v>
      </x:c>
      <x:c r="I77" s="29" t="str"/>
      <x:c r="J77" s="29" t="str"/>
      <x:c r="K77" s="29" t="str"/>
      <x:c r="L77" s="28" t="str">
        <x:f>IF(AND(C77="RESERVE",D77=""),"DORMANT",IF(K77="","OPEN",IF(AND(I77=H77,J77&lt;&gt;""),"PASS","FAIL")))</x:f>
        <x:v>OPEN</x:v>
      </x:c>
    </x:row>
    <x:row r="78">
      <x:c r="B78" s="28" t="str">
        <x:v>AT-03</x:v>
      </x:c>
      <x:c r="C78" s="28" t="str">
        <x:v>PRIMARY</x:v>
      </x:c>
      <x:c r="D78" s="28" t="str">
        <x:f>INDEX('Attempt Tokens'!$E$7:$E$36,MATCH(B78,'Attempt Tokens'!$B$7:$B$36,0))</x:f>
      </x:c>
      <x:c r="E78" s="28" t="n">
        <x:v>24</x:v>
      </x:c>
      <x:c r="F78" s="28" t="str">
        <x:v>EG-24</x:v>
      </x:c>
      <x:c r="G78" s="28" t="str">
        <x:v>reentry and packet release complete</x:v>
      </x:c>
      <x:c r="H78" s="28" t="str">
        <x:v>PASS</x:v>
      </x:c>
      <x:c r="I78" s="29" t="str"/>
      <x:c r="J78" s="29" t="str"/>
      <x:c r="K78" s="29" t="str"/>
      <x:c r="L78" s="28" t="str">
        <x:f>IF(AND(C78="RESERVE",D78=""),"DORMANT",IF(K78="","OPEN",IF(AND(I78=H78,J78&lt;&gt;""),"PASS","FAIL")))</x:f>
        <x:v>OPEN</x:v>
      </x:c>
    </x:row>
    <x:row r="79">
      <x:c r="B79" s="28" t="str">
        <x:v>AT-04</x:v>
      </x:c>
      <x:c r="C79" s="28" t="str">
        <x:v>PRIMARY</x:v>
      </x:c>
      <x:c r="D79" s="28" t="str">
        <x:f>INDEX('Attempt Tokens'!$E$7:$E$36,MATCH(B79,'Attempt Tokens'!$B$7:$B$36,0))</x:f>
      </x:c>
      <x:c r="E79" s="28" t="n">
        <x:v>1</x:v>
      </x:c>
      <x:c r="F79" s="28" t="str">
        <x:v>EG-01</x:v>
      </x:c>
      <x:c r="G79" s="28" t="str">
        <x:v>RAX or renewed pair credential current</x:v>
      </x:c>
      <x:c r="H79" s="28" t="str">
        <x:v>PASS</x:v>
      </x:c>
      <x:c r="I79" s="29" t="str"/>
      <x:c r="J79" s="29" t="str"/>
      <x:c r="K79" s="29" t="str"/>
      <x:c r="L79" s="28" t="str">
        <x:f>IF(AND(C79="RESERVE",D79=""),"DORMANT",IF(K79="","OPEN",IF(AND(I79=H79,J79&lt;&gt;""),"PASS","FAIL")))</x:f>
        <x:v>OPEN</x:v>
      </x:c>
    </x:row>
    <x:row r="80">
      <x:c r="B80" s="28" t="str">
        <x:v>AT-04</x:v>
      </x:c>
      <x:c r="C80" s="28" t="str">
        <x:v>PRIMARY</x:v>
      </x:c>
      <x:c r="D80" s="28" t="str">
        <x:f>INDEX('Attempt Tokens'!$E$7:$E$36,MATCH(B80,'Attempt Tokens'!$B$7:$B$36,0))</x:f>
      </x:c>
      <x:c r="E80" s="28" t="n">
        <x:v>2</x:v>
      </x:c>
      <x:c r="F80" s="28" t="str">
        <x:v>EG-02</x:v>
      </x:c>
      <x:c r="G80" s="28" t="str">
        <x:v>candidate cell eligible</x:v>
      </x:c>
      <x:c r="H80" s="28" t="str">
        <x:v>PASS</x:v>
      </x:c>
      <x:c r="I80" s="29" t="str"/>
      <x:c r="J80" s="29" t="str"/>
      <x:c r="K80" s="29" t="str"/>
      <x:c r="L80" s="28" t="str">
        <x:f>IF(AND(C80="RESERVE",D80=""),"DORMANT",IF(K80="","OPEN",IF(AND(I80=H80,J80&lt;&gt;""),"PASS","FAIL")))</x:f>
        <x:v>OPEN</x:v>
      </x:c>
    </x:row>
    <x:row r="81">
      <x:c r="B81" s="28" t="str">
        <x:v>AT-04</x:v>
      </x:c>
      <x:c r="C81" s="28" t="str">
        <x:v>PRIMARY</x:v>
      </x:c>
      <x:c r="D81" s="28" t="str">
        <x:f>INDEX('Attempt Tokens'!$E$7:$E$36,MATCH(B81,'Attempt Tokens'!$B$7:$B$36,0))</x:f>
      </x:c>
      <x:c r="E81" s="28" t="n">
        <x:v>3</x:v>
      </x:c>
      <x:c r="F81" s="28" t="str">
        <x:v>EG-03</x:v>
      </x:c>
      <x:c r="G81" s="28" t="str">
        <x:v>draw and schedule binding complete</x:v>
      </x:c>
      <x:c r="H81" s="28" t="str">
        <x:v>PASS</x:v>
      </x:c>
      <x:c r="I81" s="29" t="str"/>
      <x:c r="J81" s="29" t="str"/>
      <x:c r="K81" s="29" t="str"/>
      <x:c r="L81" s="28" t="str">
        <x:f>IF(AND(C81="RESERVE",D81=""),"DORMANT",IF(K81="","OPEN",IF(AND(I81=H81,J81&lt;&gt;""),"PASS","FAIL")))</x:f>
        <x:v>OPEN</x:v>
      </x:c>
    </x:row>
    <x:row r="82">
      <x:c r="B82" s="28" t="str">
        <x:v>AT-04</x:v>
      </x:c>
      <x:c r="C82" s="28" t="str">
        <x:v>PRIMARY</x:v>
      </x:c>
      <x:c r="D82" s="28" t="str">
        <x:f>INDEX('Attempt Tokens'!$E$7:$E$36,MATCH(B82,'Attempt Tokens'!$B$7:$B$36,0))</x:f>
      </x:c>
      <x:c r="E82" s="28" t="n">
        <x:v>4</x:v>
      </x:c>
      <x:c r="F82" s="28" t="str">
        <x:v>EG-04</x:v>
      </x:c>
      <x:c r="G82" s="28" t="str">
        <x:v>event issue accepted</x:v>
      </x:c>
      <x:c r="H82" s="28" t="str">
        <x:v>PASS</x:v>
      </x:c>
      <x:c r="I82" s="29" t="str"/>
      <x:c r="J82" s="29" t="str"/>
      <x:c r="K82" s="29" t="str"/>
      <x:c r="L82" s="28" t="str">
        <x:f>IF(AND(C82="RESERVE",D82=""),"DORMANT",IF(K82="","OPEN",IF(AND(I82=H82,J82&lt;&gt;""),"PASS","FAIL")))</x:f>
        <x:v>OPEN</x:v>
      </x:c>
    </x:row>
    <x:row r="83">
      <x:c r="B83" s="28" t="str">
        <x:v>AT-04</x:v>
      </x:c>
      <x:c r="C83" s="28" t="str">
        <x:v>PRIMARY</x:v>
      </x:c>
      <x:c r="D83" s="28" t="str">
        <x:f>INDEX('Attempt Tokens'!$E$7:$E$36,MATCH(B83,'Attempt Tokens'!$B$7:$B$36,0))</x:f>
      </x:c>
      <x:c r="E83" s="28" t="n">
        <x:v>5</x:v>
      </x:c>
      <x:c r="F83" s="28" t="str">
        <x:v>EG-05</x:v>
      </x:c>
      <x:c r="G83" s="28" t="str">
        <x:v>dossier bindings complete</x:v>
      </x:c>
      <x:c r="H83" s="28" t="str">
        <x:v>PASS</x:v>
      </x:c>
      <x:c r="I83" s="29" t="str"/>
      <x:c r="J83" s="29" t="str"/>
      <x:c r="K83" s="29" t="str"/>
      <x:c r="L83" s="28" t="str">
        <x:f>IF(AND(C83="RESERVE",D83=""),"DORMANT",IF(K83="","OPEN",IF(AND(I83=H83,J83&lt;&gt;""),"PASS","FAIL")))</x:f>
        <x:v>OPEN</x:v>
      </x:c>
    </x:row>
    <x:row r="84">
      <x:c r="B84" s="28" t="str">
        <x:v>AT-04</x:v>
      </x:c>
      <x:c r="C84" s="28" t="str">
        <x:v>PRIMARY</x:v>
      </x:c>
      <x:c r="D84" s="28" t="str">
        <x:f>INDEX('Attempt Tokens'!$E$7:$E$36,MATCH(B84,'Attempt Tokens'!$B$7:$B$36,0))</x:f>
      </x:c>
      <x:c r="E84" s="28" t="n">
        <x:v>6</x:v>
      </x:c>
      <x:c r="F84" s="28" t="str">
        <x:v>EG-06</x:v>
      </x:c>
      <x:c r="G84" s="28" t="str">
        <x:v>event crew complete</x:v>
      </x:c>
      <x:c r="H84" s="28" t="str">
        <x:v>PASS</x:v>
      </x:c>
      <x:c r="I84" s="29" t="str"/>
      <x:c r="J84" s="29" t="str"/>
      <x:c r="K84" s="29" t="str"/>
      <x:c r="L84" s="28" t="str">
        <x:f>IF(AND(C84="RESERVE",D84=""),"DORMANT",IF(K84="","OPEN",IF(AND(I84=H84,J84&lt;&gt;""),"PASS","FAIL")))</x:f>
        <x:v>OPEN</x:v>
      </x:c>
    </x:row>
    <x:row r="85">
      <x:c r="B85" s="28" t="str">
        <x:v>AT-04</x:v>
      </x:c>
      <x:c r="C85" s="28" t="str">
        <x:v>PRIMARY</x:v>
      </x:c>
      <x:c r="D85" s="28" t="str">
        <x:f>INDEX('Attempt Tokens'!$E$7:$E$36,MATCH(B85,'Attempt Tokens'!$B$7:$B$36,0))</x:f>
      </x:c>
      <x:c r="E85" s="28" t="n">
        <x:v>7</x:v>
      </x:c>
      <x:c r="F85" s="28" t="str">
        <x:v>EG-07</x:v>
      </x:c>
      <x:c r="G85" s="28" t="str">
        <x:v>configuration freeze complete</x:v>
      </x:c>
      <x:c r="H85" s="28" t="str">
        <x:v>PASS</x:v>
      </x:c>
      <x:c r="I85" s="29" t="str"/>
      <x:c r="J85" s="29" t="str"/>
      <x:c r="K85" s="29" t="str"/>
      <x:c r="L85" s="28" t="str">
        <x:f>IF(AND(C85="RESERVE",D85=""),"DORMANT",IF(K85="","OPEN",IF(AND(I85=H85,J85&lt;&gt;""),"PASS","FAIL")))</x:f>
        <x:v>OPEN</x:v>
      </x:c>
    </x:row>
    <x:row r="86">
      <x:c r="B86" s="28" t="str">
        <x:v>AT-04</x:v>
      </x:c>
      <x:c r="C86" s="28" t="str">
        <x:v>PRIMARY</x:v>
      </x:c>
      <x:c r="D86" s="28" t="str">
        <x:f>INDEX('Attempt Tokens'!$E$7:$E$36,MATCH(B86,'Attempt Tokens'!$B$7:$B$36,0))</x:f>
      </x:c>
      <x:c r="E86" s="28" t="n">
        <x:v>8</x:v>
      </x:c>
      <x:c r="F86" s="28" t="str">
        <x:v>EG-08</x:v>
      </x:c>
      <x:c r="G86" s="28" t="str">
        <x:v>zero-source checks complete</x:v>
      </x:c>
      <x:c r="H86" s="28" t="str">
        <x:v>PASS</x:v>
      </x:c>
      <x:c r="I86" s="29" t="str"/>
      <x:c r="J86" s="29" t="str"/>
      <x:c r="K86" s="29" t="str"/>
      <x:c r="L86" s="28" t="str">
        <x:f>IF(AND(C86="RESERVE",D86=""),"DORMANT",IF(K86="","OPEN",IF(AND(I86=H86,J86&lt;&gt;""),"PASS","FAIL")))</x:f>
        <x:v>OPEN</x:v>
      </x:c>
    </x:row>
    <x:row r="87">
      <x:c r="B87" s="28" t="str">
        <x:v>AT-04</x:v>
      </x:c>
      <x:c r="C87" s="28" t="str">
        <x:v>PRIMARY</x:v>
      </x:c>
      <x:c r="D87" s="28" t="str">
        <x:f>INDEX('Attempt Tokens'!$E$7:$E$36,MATCH(B87,'Attempt Tokens'!$B$7:$B$36,0))</x:f>
      </x:c>
      <x:c r="E87" s="28" t="n">
        <x:v>9</x:v>
      </x:c>
      <x:c r="F87" s="28" t="str">
        <x:v>EG-09</x:v>
      </x:c>
      <x:c r="G87" s="28" t="str">
        <x:v>zero-water checks complete</x:v>
      </x:c>
      <x:c r="H87" s="28" t="str">
        <x:v>PASS</x:v>
      </x:c>
      <x:c r="I87" s="29" t="str"/>
      <x:c r="J87" s="29" t="str"/>
      <x:c r="K87" s="29" t="str"/>
      <x:c r="L87" s="28" t="str">
        <x:f>IF(AND(C87="RESERVE",D87=""),"DORMANT",IF(K87="","OPEN",IF(AND(I87=H87,J87&lt;&gt;""),"PASS","FAIL")))</x:f>
        <x:v>OPEN</x:v>
      </x:c>
    </x:row>
    <x:row r="88">
      <x:c r="B88" s="28" t="str">
        <x:v>AT-04</x:v>
      </x:c>
      <x:c r="C88" s="28" t="str">
        <x:v>PRIMARY</x:v>
      </x:c>
      <x:c r="D88" s="28" t="str">
        <x:f>INDEX('Attempt Tokens'!$E$7:$E$36,MATCH(B88,'Attempt Tokens'!$B$7:$B$36,0))</x:f>
      </x:c>
      <x:c r="E88" s="28" t="n">
        <x:v>10</x:v>
      </x:c>
      <x:c r="F88" s="28" t="str">
        <x:v>EG-10</x:v>
      </x:c>
      <x:c r="G88" s="28" t="str">
        <x:v>uncertainty decisions complete</x:v>
      </x:c>
      <x:c r="H88" s="28" t="str">
        <x:v>PASS</x:v>
      </x:c>
      <x:c r="I88" s="29" t="str"/>
      <x:c r="J88" s="29" t="str"/>
      <x:c r="K88" s="29" t="str"/>
      <x:c r="L88" s="28" t="str">
        <x:f>IF(AND(C88="RESERVE",D88=""),"DORMANT",IF(K88="","OPEN",IF(AND(I88=H88,J88&lt;&gt;""),"PASS","FAIL")))</x:f>
        <x:v>OPEN</x:v>
      </x:c>
    </x:row>
    <x:row r="89">
      <x:c r="B89" s="28" t="str">
        <x:v>AT-04</x:v>
      </x:c>
      <x:c r="C89" s="28" t="str">
        <x:v>PRIMARY</x:v>
      </x:c>
      <x:c r="D89" s="28" t="str">
        <x:f>INDEX('Attempt Tokens'!$E$7:$E$36,MATCH(B89,'Attempt Tokens'!$B$7:$B$36,0))</x:f>
      </x:c>
      <x:c r="E89" s="28" t="n">
        <x:v>11</x:v>
      </x:c>
      <x:c r="F89" s="28" t="str">
        <x:v>EG-11</x:v>
      </x:c>
      <x:c r="G89" s="28" t="str">
        <x:v>measurement windows complete</x:v>
      </x:c>
      <x:c r="H89" s="28" t="str">
        <x:v>PASS</x:v>
      </x:c>
      <x:c r="I89" s="29" t="str"/>
      <x:c r="J89" s="29" t="str"/>
      <x:c r="K89" s="29" t="str"/>
      <x:c r="L89" s="28" t="str">
        <x:f>IF(AND(C89="RESERVE",D89=""),"DORMANT",IF(K89="","OPEN",IF(AND(I89=H89,J89&lt;&gt;""),"PASS","FAIL")))</x:f>
        <x:v>OPEN</x:v>
      </x:c>
    </x:row>
    <x:row r="90">
      <x:c r="B90" s="28" t="str">
        <x:v>AT-04</x:v>
      </x:c>
      <x:c r="C90" s="28" t="str">
        <x:v>PRIMARY</x:v>
      </x:c>
      <x:c r="D90" s="28" t="str">
        <x:f>INDEX('Attempt Tokens'!$E$7:$E$36,MATCH(B90,'Attempt Tokens'!$B$7:$B$36,0))</x:f>
      </x:c>
      <x:c r="E90" s="28" t="n">
        <x:v>12</x:v>
      </x:c>
      <x:c r="F90" s="28" t="str">
        <x:v>EG-12</x:v>
      </x:c>
      <x:c r="G90" s="28" t="str">
        <x:v>neighbor proofs complete</x:v>
      </x:c>
      <x:c r="H90" s="28" t="str">
        <x:v>PASS</x:v>
      </x:c>
      <x:c r="I90" s="29" t="str"/>
      <x:c r="J90" s="29" t="str"/>
      <x:c r="K90" s="29" t="str"/>
      <x:c r="L90" s="28" t="str">
        <x:f>IF(AND(C90="RESERVE",D90=""),"DORMANT",IF(K90="","OPEN",IF(AND(I90=H90,J90&lt;&gt;""),"PASS","FAIL")))</x:f>
        <x:v>OPEN</x:v>
      </x:c>
    </x:row>
    <x:row r="91">
      <x:c r="B91" s="28" t="str">
        <x:v>AT-04</x:v>
      </x:c>
      <x:c r="C91" s="28" t="str">
        <x:v>PRIMARY</x:v>
      </x:c>
      <x:c r="D91" s="28" t="str">
        <x:f>INDEX('Attempt Tokens'!$E$7:$E$36,MATCH(B91,'Attempt Tokens'!$B$7:$B$36,0))</x:f>
      </x:c>
      <x:c r="E91" s="28" t="n">
        <x:v>13</x:v>
      </x:c>
      <x:c r="F91" s="28" t="str">
        <x:v>EG-13</x:v>
      </x:c>
      <x:c r="G91" s="28" t="str">
        <x:v>safeing polls complete</x:v>
      </x:c>
      <x:c r="H91" s="28" t="str">
        <x:v>PASS</x:v>
      </x:c>
      <x:c r="I91" s="29" t="str"/>
      <x:c r="J91" s="29" t="str"/>
      <x:c r="K91" s="29" t="str"/>
      <x:c r="L91" s="28" t="str">
        <x:f>IF(AND(C91="RESERVE",D91=""),"DORMANT",IF(K91="","OPEN",IF(AND(I91=H91,J91&lt;&gt;""),"PASS","FAIL")))</x:f>
        <x:v>OPEN</x:v>
      </x:c>
    </x:row>
    <x:row r="92">
      <x:c r="B92" s="28" t="str">
        <x:v>AT-04</x:v>
      </x:c>
      <x:c r="C92" s="28" t="str">
        <x:v>PRIMARY</x:v>
      </x:c>
      <x:c r="D92" s="28" t="str">
        <x:f>INDEX('Attempt Tokens'!$E$7:$E$36,MATCH(B92,'Attempt Tokens'!$B$7:$B$36,0))</x:f>
      </x:c>
      <x:c r="E92" s="28" t="n">
        <x:v>14</x:v>
      </x:c>
      <x:c r="F92" s="28" t="str">
        <x:v>EG-14</x:v>
      </x:c>
      <x:c r="G92" s="28" t="str">
        <x:v>command transactions complete</x:v>
      </x:c>
      <x:c r="H92" s="28" t="str">
        <x:v>PASS</x:v>
      </x:c>
      <x:c r="I92" s="29" t="str"/>
      <x:c r="J92" s="29" t="str"/>
      <x:c r="K92" s="29" t="str"/>
      <x:c r="L92" s="28" t="str">
        <x:f>IF(AND(C92="RESERVE",D92=""),"DORMANT",IF(K92="","OPEN",IF(AND(I92=H92,J92&lt;&gt;""),"PASS","FAIL")))</x:f>
        <x:v>OPEN</x:v>
      </x:c>
    </x:row>
    <x:row r="93">
      <x:c r="B93" s="28" t="str">
        <x:v>AT-04</x:v>
      </x:c>
      <x:c r="C93" s="28" t="str">
        <x:v>PRIMARY</x:v>
      </x:c>
      <x:c r="D93" s="28" t="str">
        <x:f>INDEX('Attempt Tokens'!$E$7:$E$36,MATCH(B93,'Attempt Tokens'!$B$7:$B$36,0))</x:f>
      </x:c>
      <x:c r="E93" s="28" t="n">
        <x:v>15</x:v>
      </x:c>
      <x:c r="F93" s="28" t="str">
        <x:v>EG-15</x:v>
      </x:c>
      <x:c r="G93" s="28" t="str">
        <x:v>phase clock complete</x:v>
      </x:c>
      <x:c r="H93" s="28" t="str">
        <x:v>PASS</x:v>
      </x:c>
      <x:c r="I93" s="29" t="str"/>
      <x:c r="J93" s="29" t="str"/>
      <x:c r="K93" s="29" t="str"/>
      <x:c r="L93" s="28" t="str">
        <x:f>IF(AND(C93="RESERVE",D93=""),"DORMANT",IF(K93="","OPEN",IF(AND(I93=H93,J93&lt;&gt;""),"PASS","FAIL")))</x:f>
        <x:v>OPEN</x:v>
      </x:c>
    </x:row>
    <x:row r="94">
      <x:c r="B94" s="28" t="str">
        <x:v>AT-04</x:v>
      </x:c>
      <x:c r="C94" s="28" t="str">
        <x:v>PRIMARY</x:v>
      </x:c>
      <x:c r="D94" s="28" t="str">
        <x:f>INDEX('Attempt Tokens'!$E$7:$E$36,MATCH(B94,'Attempt Tokens'!$B$7:$B$36,0))</x:f>
      </x:c>
      <x:c r="E94" s="28" t="n">
        <x:v>16</x:v>
      </x:c>
      <x:c r="F94" s="28" t="str">
        <x:v>EG-16</x:v>
      </x:c>
      <x:c r="G94" s="28" t="str">
        <x:v>holds complete</x:v>
      </x:c>
      <x:c r="H94" s="28" t="str">
        <x:v>PASS</x:v>
      </x:c>
      <x:c r="I94" s="29" t="str"/>
      <x:c r="J94" s="29" t="str"/>
      <x:c r="K94" s="29" t="str"/>
      <x:c r="L94" s="28" t="str">
        <x:f>IF(AND(C94="RESERVE",D94=""),"DORMANT",IF(K94="","OPEN",IF(AND(I94=H94,J94&lt;&gt;""),"PASS","FAIL")))</x:f>
        <x:v>OPEN</x:v>
      </x:c>
    </x:row>
    <x:row r="95">
      <x:c r="B95" s="28" t="str">
        <x:v>AT-04</x:v>
      </x:c>
      <x:c r="C95" s="28" t="str">
        <x:v>PRIMARY</x:v>
      </x:c>
      <x:c r="D95" s="28" t="str">
        <x:f>INDEX('Attempt Tokens'!$E$7:$E$36,MATCH(B95,'Attempt Tokens'!$B$7:$B$36,0))</x:f>
      </x:c>
      <x:c r="E95" s="28" t="n">
        <x:v>17</x:v>
      </x:c>
      <x:c r="F95" s="28" t="str">
        <x:v>EG-17</x:v>
      </x:c>
      <x:c r="G95" s="28" t="str">
        <x:v>evidence obligations complete</x:v>
      </x:c>
      <x:c r="H95" s="28" t="str">
        <x:v>PASS</x:v>
      </x:c>
      <x:c r="I95" s="29" t="str"/>
      <x:c r="J95" s="29" t="str"/>
      <x:c r="K95" s="29" t="str"/>
      <x:c r="L95" s="28" t="str">
        <x:f>IF(AND(C95="RESERVE",D95=""),"DORMANT",IF(K95="","OPEN",IF(AND(I95=H95,J95&lt;&gt;""),"PASS","FAIL")))</x:f>
        <x:v>OPEN</x:v>
      </x:c>
    </x:row>
    <x:row r="96">
      <x:c r="B96" s="28" t="str">
        <x:v>AT-04</x:v>
      </x:c>
      <x:c r="C96" s="28" t="str">
        <x:v>PRIMARY</x:v>
      </x:c>
      <x:c r="D96" s="28" t="str">
        <x:f>INDEX('Attempt Tokens'!$E$7:$E$36,MATCH(B96,'Attempt Tokens'!$B$7:$B$36,0))</x:f>
      </x:c>
      <x:c r="E96" s="28" t="n">
        <x:v>18</x:v>
      </x:c>
      <x:c r="F96" s="28" t="str">
        <x:v>EG-18</x:v>
      </x:c>
      <x:c r="G96" s="28" t="str">
        <x:v>blank samples complete</x:v>
      </x:c>
      <x:c r="H96" s="28" t="str">
        <x:v>PASS</x:v>
      </x:c>
      <x:c r="I96" s="29" t="str"/>
      <x:c r="J96" s="29" t="str"/>
      <x:c r="K96" s="29" t="str"/>
      <x:c r="L96" s="28" t="str">
        <x:f>IF(AND(C96="RESERVE",D96=""),"DORMANT",IF(K96="","OPEN",IF(AND(I96=H96,J96&lt;&gt;""),"PASS","FAIL")))</x:f>
        <x:v>OPEN</x:v>
      </x:c>
    </x:row>
    <x:row r="97">
      <x:c r="B97" s="28" t="str">
        <x:v>AT-04</x:v>
      </x:c>
      <x:c r="C97" s="28" t="str">
        <x:v>PRIMARY</x:v>
      </x:c>
      <x:c r="D97" s="28" t="str">
        <x:f>INDEX('Attempt Tokens'!$E$7:$E$36,MATCH(B97,'Attempt Tokens'!$B$7:$B$36,0))</x:f>
      </x:c>
      <x:c r="E97" s="28" t="n">
        <x:v>19</x:v>
      </x:c>
      <x:c r="F97" s="28" t="str">
        <x:v>EG-19</x:v>
      </x:c>
      <x:c r="G97" s="28" t="str">
        <x:v>abort channels classified</x:v>
      </x:c>
      <x:c r="H97" s="28" t="str">
        <x:v>PASS</x:v>
      </x:c>
      <x:c r="I97" s="29" t="str"/>
      <x:c r="J97" s="29" t="str"/>
      <x:c r="K97" s="29" t="str"/>
      <x:c r="L97" s="28" t="str">
        <x:f>IF(AND(C97="RESERVE",D97=""),"DORMANT",IF(K97="","OPEN",IF(AND(I97=H97,J97&lt;&gt;""),"PASS","FAIL")))</x:f>
        <x:v>OPEN</x:v>
      </x:c>
    </x:row>
    <x:row r="98">
      <x:c r="B98" s="28" t="str">
        <x:v>AT-04</x:v>
      </x:c>
      <x:c r="C98" s="28" t="str">
        <x:v>PRIMARY</x:v>
      </x:c>
      <x:c r="D98" s="28" t="str">
        <x:f>INDEX('Attempt Tokens'!$E$7:$E$36,MATCH(B98,'Attempt Tokens'!$B$7:$B$36,0))</x:f>
      </x:c>
      <x:c r="E98" s="28" t="n">
        <x:v>20</x:v>
      </x:c>
      <x:c r="F98" s="28" t="str">
        <x:v>EG-20</x:v>
      </x:c>
      <x:c r="G98" s="28" t="str">
        <x:v>interventions classified</x:v>
      </x:c>
      <x:c r="H98" s="28" t="str">
        <x:v>PASS</x:v>
      </x:c>
      <x:c r="I98" s="29" t="str"/>
      <x:c r="J98" s="29" t="str"/>
      <x:c r="K98" s="29" t="str"/>
      <x:c r="L98" s="28" t="str">
        <x:f>IF(AND(C98="RESERVE",D98=""),"DORMANT",IF(K98="","OPEN",IF(AND(I98=H98,J98&lt;&gt;""),"PASS","FAIL")))</x:f>
        <x:v>OPEN</x:v>
      </x:c>
    </x:row>
    <x:row r="99">
      <x:c r="B99" s="28" t="str">
        <x:v>AT-04</x:v>
      </x:c>
      <x:c r="C99" s="28" t="str">
        <x:v>PRIMARY</x:v>
      </x:c>
      <x:c r="D99" s="28" t="str">
        <x:f>INDEX('Attempt Tokens'!$E$7:$E$36,MATCH(B99,'Attempt Tokens'!$B$7:$B$36,0))</x:f>
      </x:c>
      <x:c r="E99" s="28" t="n">
        <x:v>21</x:v>
      </x:c>
      <x:c r="F99" s="28" t="str">
        <x:v>EG-21</x:v>
      </x:c>
      <x:c r="G99" s="28" t="str">
        <x:v>event result accepted</x:v>
      </x:c>
      <x:c r="H99" s="28" t="str">
        <x:v>PASS</x:v>
      </x:c>
      <x:c r="I99" s="29" t="str"/>
      <x:c r="J99" s="29" t="str"/>
      <x:c r="K99" s="29" t="str"/>
      <x:c r="L99" s="28" t="str">
        <x:f>IF(AND(C99="RESERVE",D99=""),"DORMANT",IF(K99="","OPEN",IF(AND(I99=H99,J99&lt;&gt;""),"PASS","FAIL")))</x:f>
        <x:v>OPEN</x:v>
      </x:c>
    </x:row>
    <x:row r="100">
      <x:c r="B100" s="28" t="str">
        <x:v>AT-04</x:v>
      </x:c>
      <x:c r="C100" s="28" t="str">
        <x:v>PRIMARY</x:v>
      </x:c>
      <x:c r="D100" s="28" t="str">
        <x:f>INDEX('Attempt Tokens'!$E$7:$E$36,MATCH(B100,'Attempt Tokens'!$B$7:$B$36,0))</x:f>
      </x:c>
      <x:c r="E100" s="28" t="n">
        <x:v>22</x:v>
      </x:c>
      <x:c r="F100" s="28" t="str">
        <x:v>EG-22</x:v>
      </x:c>
      <x:c r="G100" s="28" t="str">
        <x:v>recovery states complete</x:v>
      </x:c>
      <x:c r="H100" s="28" t="str">
        <x:v>PASS</x:v>
      </x:c>
      <x:c r="I100" s="29" t="str"/>
      <x:c r="J100" s="29" t="str"/>
      <x:c r="K100" s="29" t="str"/>
      <x:c r="L100" s="28" t="str">
        <x:f>IF(AND(C100="RESERVE",D100=""),"DORMANT",IF(K100="","OPEN",IF(AND(I100=H100,J100&lt;&gt;""),"PASS","FAIL")))</x:f>
        <x:v>OPEN</x:v>
      </x:c>
    </x:row>
    <x:row r="101">
      <x:c r="B101" s="28" t="str">
        <x:v>AT-04</x:v>
      </x:c>
      <x:c r="C101" s="28" t="str">
        <x:v>PRIMARY</x:v>
      </x:c>
      <x:c r="D101" s="28" t="str">
        <x:f>INDEX('Attempt Tokens'!$E$7:$E$36,MATCH(B101,'Attempt Tokens'!$B$7:$B$36,0))</x:f>
      </x:c>
      <x:c r="E101" s="28" t="n">
        <x:v>23</x:v>
      </x:c>
      <x:c r="F101" s="28" t="str">
        <x:v>EG-23</x:v>
      </x:c>
      <x:c r="G101" s="28" t="str">
        <x:v>regeneration and regression complete</x:v>
      </x:c>
      <x:c r="H101" s="28" t="str">
        <x:v>PASS</x:v>
      </x:c>
      <x:c r="I101" s="29" t="str"/>
      <x:c r="J101" s="29" t="str"/>
      <x:c r="K101" s="29" t="str"/>
      <x:c r="L101" s="28" t="str">
        <x:f>IF(AND(C101="RESERVE",D101=""),"DORMANT",IF(K101="","OPEN",IF(AND(I101=H101,J101&lt;&gt;""),"PASS","FAIL")))</x:f>
        <x:v>OPEN</x:v>
      </x:c>
    </x:row>
    <x:row r="102">
      <x:c r="B102" s="28" t="str">
        <x:v>AT-04</x:v>
      </x:c>
      <x:c r="C102" s="28" t="str">
        <x:v>PRIMARY</x:v>
      </x:c>
      <x:c r="D102" s="28" t="str">
        <x:f>INDEX('Attempt Tokens'!$E$7:$E$36,MATCH(B102,'Attempt Tokens'!$B$7:$B$36,0))</x:f>
      </x:c>
      <x:c r="E102" s="28" t="n">
        <x:v>24</x:v>
      </x:c>
      <x:c r="F102" s="28" t="str">
        <x:v>EG-24</x:v>
      </x:c>
      <x:c r="G102" s="28" t="str">
        <x:v>reentry and packet release complete</x:v>
      </x:c>
      <x:c r="H102" s="28" t="str">
        <x:v>PASS</x:v>
      </x:c>
      <x:c r="I102" s="29" t="str"/>
      <x:c r="J102" s="29" t="str"/>
      <x:c r="K102" s="29" t="str"/>
      <x:c r="L102" s="28" t="str">
        <x:f>IF(AND(C102="RESERVE",D102=""),"DORMANT",IF(K102="","OPEN",IF(AND(I102=H102,J102&lt;&gt;""),"PASS","FAIL")))</x:f>
        <x:v>OPEN</x:v>
      </x:c>
    </x:row>
    <x:row r="103">
      <x:c r="B103" s="28" t="str">
        <x:v>AT-05</x:v>
      </x:c>
      <x:c r="C103" s="28" t="str">
        <x:v>PRIMARY</x:v>
      </x:c>
      <x:c r="D103" s="28" t="str">
        <x:f>INDEX('Attempt Tokens'!$E$7:$E$36,MATCH(B103,'Attempt Tokens'!$B$7:$B$36,0))</x:f>
      </x:c>
      <x:c r="E103" s="28" t="n">
        <x:v>1</x:v>
      </x:c>
      <x:c r="F103" s="28" t="str">
        <x:v>EG-01</x:v>
      </x:c>
      <x:c r="G103" s="28" t="str">
        <x:v>RAX or renewed pair credential current</x:v>
      </x:c>
      <x:c r="H103" s="28" t="str">
        <x:v>PASS</x:v>
      </x:c>
      <x:c r="I103" s="29" t="str"/>
      <x:c r="J103" s="29" t="str"/>
      <x:c r="K103" s="29" t="str"/>
      <x:c r="L103" s="28" t="str">
        <x:f>IF(AND(C103="RESERVE",D103=""),"DORMANT",IF(K103="","OPEN",IF(AND(I103=H103,J103&lt;&gt;""),"PASS","FAIL")))</x:f>
        <x:v>OPEN</x:v>
      </x:c>
    </x:row>
    <x:row r="104">
      <x:c r="B104" s="28" t="str">
        <x:v>AT-05</x:v>
      </x:c>
      <x:c r="C104" s="28" t="str">
        <x:v>PRIMARY</x:v>
      </x:c>
      <x:c r="D104" s="28" t="str">
        <x:f>INDEX('Attempt Tokens'!$E$7:$E$36,MATCH(B104,'Attempt Tokens'!$B$7:$B$36,0))</x:f>
      </x:c>
      <x:c r="E104" s="28" t="n">
        <x:v>2</x:v>
      </x:c>
      <x:c r="F104" s="28" t="str">
        <x:v>EG-02</x:v>
      </x:c>
      <x:c r="G104" s="28" t="str">
        <x:v>candidate cell eligible</x:v>
      </x:c>
      <x:c r="H104" s="28" t="str">
        <x:v>PASS</x:v>
      </x:c>
      <x:c r="I104" s="29" t="str"/>
      <x:c r="J104" s="29" t="str"/>
      <x:c r="K104" s="29" t="str"/>
      <x:c r="L104" s="28" t="str">
        <x:f>IF(AND(C104="RESERVE",D104=""),"DORMANT",IF(K104="","OPEN",IF(AND(I104=H104,J104&lt;&gt;""),"PASS","FAIL")))</x:f>
        <x:v>OPEN</x:v>
      </x:c>
    </x:row>
    <x:row r="105">
      <x:c r="B105" s="28" t="str">
        <x:v>AT-05</x:v>
      </x:c>
      <x:c r="C105" s="28" t="str">
        <x:v>PRIMARY</x:v>
      </x:c>
      <x:c r="D105" s="28" t="str">
        <x:f>INDEX('Attempt Tokens'!$E$7:$E$36,MATCH(B105,'Attempt Tokens'!$B$7:$B$36,0))</x:f>
      </x:c>
      <x:c r="E105" s="28" t="n">
        <x:v>3</x:v>
      </x:c>
      <x:c r="F105" s="28" t="str">
        <x:v>EG-03</x:v>
      </x:c>
      <x:c r="G105" s="28" t="str">
        <x:v>draw and schedule binding complete</x:v>
      </x:c>
      <x:c r="H105" s="28" t="str">
        <x:v>PASS</x:v>
      </x:c>
      <x:c r="I105" s="29" t="str"/>
      <x:c r="J105" s="29" t="str"/>
      <x:c r="K105" s="29" t="str"/>
      <x:c r="L105" s="28" t="str">
        <x:f>IF(AND(C105="RESERVE",D105=""),"DORMANT",IF(K105="","OPEN",IF(AND(I105=H105,J105&lt;&gt;""),"PASS","FAIL")))</x:f>
        <x:v>OPEN</x:v>
      </x:c>
    </x:row>
    <x:row r="106">
      <x:c r="B106" s="28" t="str">
        <x:v>AT-05</x:v>
      </x:c>
      <x:c r="C106" s="28" t="str">
        <x:v>PRIMARY</x:v>
      </x:c>
      <x:c r="D106" s="28" t="str">
        <x:f>INDEX('Attempt Tokens'!$E$7:$E$36,MATCH(B106,'Attempt Tokens'!$B$7:$B$36,0))</x:f>
      </x:c>
      <x:c r="E106" s="28" t="n">
        <x:v>4</x:v>
      </x:c>
      <x:c r="F106" s="28" t="str">
        <x:v>EG-04</x:v>
      </x:c>
      <x:c r="G106" s="28" t="str">
        <x:v>event issue accepted</x:v>
      </x:c>
      <x:c r="H106" s="28" t="str">
        <x:v>PASS</x:v>
      </x:c>
      <x:c r="I106" s="29" t="str"/>
      <x:c r="J106" s="29" t="str"/>
      <x:c r="K106" s="29" t="str"/>
      <x:c r="L106" s="28" t="str">
        <x:f>IF(AND(C106="RESERVE",D106=""),"DORMANT",IF(K106="","OPEN",IF(AND(I106=H106,J106&lt;&gt;""),"PASS","FAIL")))</x:f>
        <x:v>OPEN</x:v>
      </x:c>
    </x:row>
    <x:row r="107">
      <x:c r="B107" s="28" t="str">
        <x:v>AT-05</x:v>
      </x:c>
      <x:c r="C107" s="28" t="str">
        <x:v>PRIMARY</x:v>
      </x:c>
      <x:c r="D107" s="28" t="str">
        <x:f>INDEX('Attempt Tokens'!$E$7:$E$36,MATCH(B107,'Attempt Tokens'!$B$7:$B$36,0))</x:f>
      </x:c>
      <x:c r="E107" s="28" t="n">
        <x:v>5</x:v>
      </x:c>
      <x:c r="F107" s="28" t="str">
        <x:v>EG-05</x:v>
      </x:c>
      <x:c r="G107" s="28" t="str">
        <x:v>dossier bindings complete</x:v>
      </x:c>
      <x:c r="H107" s="28" t="str">
        <x:v>PASS</x:v>
      </x:c>
      <x:c r="I107" s="29" t="str"/>
      <x:c r="J107" s="29" t="str"/>
      <x:c r="K107" s="29" t="str"/>
      <x:c r="L107" s="28" t="str">
        <x:f>IF(AND(C107="RESERVE",D107=""),"DORMANT",IF(K107="","OPEN",IF(AND(I107=H107,J107&lt;&gt;""),"PASS","FAIL")))</x:f>
        <x:v>OPEN</x:v>
      </x:c>
    </x:row>
    <x:row r="108">
      <x:c r="B108" s="28" t="str">
        <x:v>AT-05</x:v>
      </x:c>
      <x:c r="C108" s="28" t="str">
        <x:v>PRIMARY</x:v>
      </x:c>
      <x:c r="D108" s="28" t="str">
        <x:f>INDEX('Attempt Tokens'!$E$7:$E$36,MATCH(B108,'Attempt Tokens'!$B$7:$B$36,0))</x:f>
      </x:c>
      <x:c r="E108" s="28" t="n">
        <x:v>6</x:v>
      </x:c>
      <x:c r="F108" s="28" t="str">
        <x:v>EG-06</x:v>
      </x:c>
      <x:c r="G108" s="28" t="str">
        <x:v>event crew complete</x:v>
      </x:c>
      <x:c r="H108" s="28" t="str">
        <x:v>PASS</x:v>
      </x:c>
      <x:c r="I108" s="29" t="str"/>
      <x:c r="J108" s="29" t="str"/>
      <x:c r="K108" s="29" t="str"/>
      <x:c r="L108" s="28" t="str">
        <x:f>IF(AND(C108="RESERVE",D108=""),"DORMANT",IF(K108="","OPEN",IF(AND(I108=H108,J108&lt;&gt;""),"PASS","FAIL")))</x:f>
        <x:v>OPEN</x:v>
      </x:c>
    </x:row>
    <x:row r="109">
      <x:c r="B109" s="28" t="str">
        <x:v>AT-05</x:v>
      </x:c>
      <x:c r="C109" s="28" t="str">
        <x:v>PRIMARY</x:v>
      </x:c>
      <x:c r="D109" s="28" t="str">
        <x:f>INDEX('Attempt Tokens'!$E$7:$E$36,MATCH(B109,'Attempt Tokens'!$B$7:$B$36,0))</x:f>
      </x:c>
      <x:c r="E109" s="28" t="n">
        <x:v>7</x:v>
      </x:c>
      <x:c r="F109" s="28" t="str">
        <x:v>EG-07</x:v>
      </x:c>
      <x:c r="G109" s="28" t="str">
        <x:v>configuration freeze complete</x:v>
      </x:c>
      <x:c r="H109" s="28" t="str">
        <x:v>PASS</x:v>
      </x:c>
      <x:c r="I109" s="29" t="str"/>
      <x:c r="J109" s="29" t="str"/>
      <x:c r="K109" s="29" t="str"/>
      <x:c r="L109" s="28" t="str">
        <x:f>IF(AND(C109="RESERVE",D109=""),"DORMANT",IF(K109="","OPEN",IF(AND(I109=H109,J109&lt;&gt;""),"PASS","FAIL")))</x:f>
        <x:v>OPEN</x:v>
      </x:c>
    </x:row>
    <x:row r="110">
      <x:c r="B110" s="28" t="str">
        <x:v>AT-05</x:v>
      </x:c>
      <x:c r="C110" s="28" t="str">
        <x:v>PRIMARY</x:v>
      </x:c>
      <x:c r="D110" s="28" t="str">
        <x:f>INDEX('Attempt Tokens'!$E$7:$E$36,MATCH(B110,'Attempt Tokens'!$B$7:$B$36,0))</x:f>
      </x:c>
      <x:c r="E110" s="28" t="n">
        <x:v>8</x:v>
      </x:c>
      <x:c r="F110" s="28" t="str">
        <x:v>EG-08</x:v>
      </x:c>
      <x:c r="G110" s="28" t="str">
        <x:v>zero-source checks complete</x:v>
      </x:c>
      <x:c r="H110" s="28" t="str">
        <x:v>PASS</x:v>
      </x:c>
      <x:c r="I110" s="29" t="str"/>
      <x:c r="J110" s="29" t="str"/>
      <x:c r="K110" s="29" t="str"/>
      <x:c r="L110" s="28" t="str">
        <x:f>IF(AND(C110="RESERVE",D110=""),"DORMANT",IF(K110="","OPEN",IF(AND(I110=H110,J110&lt;&gt;""),"PASS","FAIL")))</x:f>
        <x:v>OPEN</x:v>
      </x:c>
    </x:row>
    <x:row r="111">
      <x:c r="B111" s="28" t="str">
        <x:v>AT-05</x:v>
      </x:c>
      <x:c r="C111" s="28" t="str">
        <x:v>PRIMARY</x:v>
      </x:c>
      <x:c r="D111" s="28" t="str">
        <x:f>INDEX('Attempt Tokens'!$E$7:$E$36,MATCH(B111,'Attempt Tokens'!$B$7:$B$36,0))</x:f>
      </x:c>
      <x:c r="E111" s="28" t="n">
        <x:v>9</x:v>
      </x:c>
      <x:c r="F111" s="28" t="str">
        <x:v>EG-09</x:v>
      </x:c>
      <x:c r="G111" s="28" t="str">
        <x:v>zero-water checks complete</x:v>
      </x:c>
      <x:c r="H111" s="28" t="str">
        <x:v>PASS</x:v>
      </x:c>
      <x:c r="I111" s="29" t="str"/>
      <x:c r="J111" s="29" t="str"/>
      <x:c r="K111" s="29" t="str"/>
      <x:c r="L111" s="28" t="str">
        <x:f>IF(AND(C111="RESERVE",D111=""),"DORMANT",IF(K111="","OPEN",IF(AND(I111=H111,J111&lt;&gt;""),"PASS","FAIL")))</x:f>
        <x:v>OPEN</x:v>
      </x:c>
    </x:row>
    <x:row r="112">
      <x:c r="B112" s="28" t="str">
        <x:v>AT-05</x:v>
      </x:c>
      <x:c r="C112" s="28" t="str">
        <x:v>PRIMARY</x:v>
      </x:c>
      <x:c r="D112" s="28" t="str">
        <x:f>INDEX('Attempt Tokens'!$E$7:$E$36,MATCH(B112,'Attempt Tokens'!$B$7:$B$36,0))</x:f>
      </x:c>
      <x:c r="E112" s="28" t="n">
        <x:v>10</x:v>
      </x:c>
      <x:c r="F112" s="28" t="str">
        <x:v>EG-10</x:v>
      </x:c>
      <x:c r="G112" s="28" t="str">
        <x:v>uncertainty decisions complete</x:v>
      </x:c>
      <x:c r="H112" s="28" t="str">
        <x:v>PASS</x:v>
      </x:c>
      <x:c r="I112" s="29" t="str"/>
      <x:c r="J112" s="29" t="str"/>
      <x:c r="K112" s="29" t="str"/>
      <x:c r="L112" s="28" t="str">
        <x:f>IF(AND(C112="RESERVE",D112=""),"DORMANT",IF(K112="","OPEN",IF(AND(I112=H112,J112&lt;&gt;""),"PASS","FAIL")))</x:f>
        <x:v>OPEN</x:v>
      </x:c>
    </x:row>
    <x:row r="113">
      <x:c r="B113" s="28" t="str">
        <x:v>AT-05</x:v>
      </x:c>
      <x:c r="C113" s="28" t="str">
        <x:v>PRIMARY</x:v>
      </x:c>
      <x:c r="D113" s="28" t="str">
        <x:f>INDEX('Attempt Tokens'!$E$7:$E$36,MATCH(B113,'Attempt Tokens'!$B$7:$B$36,0))</x:f>
      </x:c>
      <x:c r="E113" s="28" t="n">
        <x:v>11</x:v>
      </x:c>
      <x:c r="F113" s="28" t="str">
        <x:v>EG-11</x:v>
      </x:c>
      <x:c r="G113" s="28" t="str">
        <x:v>measurement windows complete</x:v>
      </x:c>
      <x:c r="H113" s="28" t="str">
        <x:v>PASS</x:v>
      </x:c>
      <x:c r="I113" s="29" t="str"/>
      <x:c r="J113" s="29" t="str"/>
      <x:c r="K113" s="29" t="str"/>
      <x:c r="L113" s="28" t="str">
        <x:f>IF(AND(C113="RESERVE",D113=""),"DORMANT",IF(K113="","OPEN",IF(AND(I113=H113,J113&lt;&gt;""),"PASS","FAIL")))</x:f>
        <x:v>OPEN</x:v>
      </x:c>
    </x:row>
    <x:row r="114">
      <x:c r="B114" s="28" t="str">
        <x:v>AT-05</x:v>
      </x:c>
      <x:c r="C114" s="28" t="str">
        <x:v>PRIMARY</x:v>
      </x:c>
      <x:c r="D114" s="28" t="str">
        <x:f>INDEX('Attempt Tokens'!$E$7:$E$36,MATCH(B114,'Attempt Tokens'!$B$7:$B$36,0))</x:f>
      </x:c>
      <x:c r="E114" s="28" t="n">
        <x:v>12</x:v>
      </x:c>
      <x:c r="F114" s="28" t="str">
        <x:v>EG-12</x:v>
      </x:c>
      <x:c r="G114" s="28" t="str">
        <x:v>neighbor proofs complete</x:v>
      </x:c>
      <x:c r="H114" s="28" t="str">
        <x:v>PASS</x:v>
      </x:c>
      <x:c r="I114" s="29" t="str"/>
      <x:c r="J114" s="29" t="str"/>
      <x:c r="K114" s="29" t="str"/>
      <x:c r="L114" s="28" t="str">
        <x:f>IF(AND(C114="RESERVE",D114=""),"DORMANT",IF(K114="","OPEN",IF(AND(I114=H114,J114&lt;&gt;""),"PASS","FAIL")))</x:f>
        <x:v>OPEN</x:v>
      </x:c>
    </x:row>
    <x:row r="115">
      <x:c r="B115" s="28" t="str">
        <x:v>AT-05</x:v>
      </x:c>
      <x:c r="C115" s="28" t="str">
        <x:v>PRIMARY</x:v>
      </x:c>
      <x:c r="D115" s="28" t="str">
        <x:f>INDEX('Attempt Tokens'!$E$7:$E$36,MATCH(B115,'Attempt Tokens'!$B$7:$B$36,0))</x:f>
      </x:c>
      <x:c r="E115" s="28" t="n">
        <x:v>13</x:v>
      </x:c>
      <x:c r="F115" s="28" t="str">
        <x:v>EG-13</x:v>
      </x:c>
      <x:c r="G115" s="28" t="str">
        <x:v>safeing polls complete</x:v>
      </x:c>
      <x:c r="H115" s="28" t="str">
        <x:v>PASS</x:v>
      </x:c>
      <x:c r="I115" s="29" t="str"/>
      <x:c r="J115" s="29" t="str"/>
      <x:c r="K115" s="29" t="str"/>
      <x:c r="L115" s="28" t="str">
        <x:f>IF(AND(C115="RESERVE",D115=""),"DORMANT",IF(K115="","OPEN",IF(AND(I115=H115,J115&lt;&gt;""),"PASS","FAIL")))</x:f>
        <x:v>OPEN</x:v>
      </x:c>
    </x:row>
    <x:row r="116">
      <x:c r="B116" s="28" t="str">
        <x:v>AT-05</x:v>
      </x:c>
      <x:c r="C116" s="28" t="str">
        <x:v>PRIMARY</x:v>
      </x:c>
      <x:c r="D116" s="28" t="str">
        <x:f>INDEX('Attempt Tokens'!$E$7:$E$36,MATCH(B116,'Attempt Tokens'!$B$7:$B$36,0))</x:f>
      </x:c>
      <x:c r="E116" s="28" t="n">
        <x:v>14</x:v>
      </x:c>
      <x:c r="F116" s="28" t="str">
        <x:v>EG-14</x:v>
      </x:c>
      <x:c r="G116" s="28" t="str">
        <x:v>command transactions complete</x:v>
      </x:c>
      <x:c r="H116" s="28" t="str">
        <x:v>PASS</x:v>
      </x:c>
      <x:c r="I116" s="29" t="str"/>
      <x:c r="J116" s="29" t="str"/>
      <x:c r="K116" s="29" t="str"/>
      <x:c r="L116" s="28" t="str">
        <x:f>IF(AND(C116="RESERVE",D116=""),"DORMANT",IF(K116="","OPEN",IF(AND(I116=H116,J116&lt;&gt;""),"PASS","FAIL")))</x:f>
        <x:v>OPEN</x:v>
      </x:c>
    </x:row>
    <x:row r="117">
      <x:c r="B117" s="28" t="str">
        <x:v>AT-05</x:v>
      </x:c>
      <x:c r="C117" s="28" t="str">
        <x:v>PRIMARY</x:v>
      </x:c>
      <x:c r="D117" s="28" t="str">
        <x:f>INDEX('Attempt Tokens'!$E$7:$E$36,MATCH(B117,'Attempt Tokens'!$B$7:$B$36,0))</x:f>
      </x:c>
      <x:c r="E117" s="28" t="n">
        <x:v>15</x:v>
      </x:c>
      <x:c r="F117" s="28" t="str">
        <x:v>EG-15</x:v>
      </x:c>
      <x:c r="G117" s="28" t="str">
        <x:v>phase clock complete</x:v>
      </x:c>
      <x:c r="H117" s="28" t="str">
        <x:v>PASS</x:v>
      </x:c>
      <x:c r="I117" s="29" t="str"/>
      <x:c r="J117" s="29" t="str"/>
      <x:c r="K117" s="29" t="str"/>
      <x:c r="L117" s="28" t="str">
        <x:f>IF(AND(C117="RESERVE",D117=""),"DORMANT",IF(K117="","OPEN",IF(AND(I117=H117,J117&lt;&gt;""),"PASS","FAIL")))</x:f>
        <x:v>OPEN</x:v>
      </x:c>
    </x:row>
    <x:row r="118">
      <x:c r="B118" s="28" t="str">
        <x:v>AT-05</x:v>
      </x:c>
      <x:c r="C118" s="28" t="str">
        <x:v>PRIMARY</x:v>
      </x:c>
      <x:c r="D118" s="28" t="str">
        <x:f>INDEX('Attempt Tokens'!$E$7:$E$36,MATCH(B118,'Attempt Tokens'!$B$7:$B$36,0))</x:f>
      </x:c>
      <x:c r="E118" s="28" t="n">
        <x:v>16</x:v>
      </x:c>
      <x:c r="F118" s="28" t="str">
        <x:v>EG-16</x:v>
      </x:c>
      <x:c r="G118" s="28" t="str">
        <x:v>holds complete</x:v>
      </x:c>
      <x:c r="H118" s="28" t="str">
        <x:v>PASS</x:v>
      </x:c>
      <x:c r="I118" s="29" t="str"/>
      <x:c r="J118" s="29" t="str"/>
      <x:c r="K118" s="29" t="str"/>
      <x:c r="L118" s="28" t="str">
        <x:f>IF(AND(C118="RESERVE",D118=""),"DORMANT",IF(K118="","OPEN",IF(AND(I118=H118,J118&lt;&gt;""),"PASS","FAIL")))</x:f>
        <x:v>OPEN</x:v>
      </x:c>
    </x:row>
    <x:row r="119">
      <x:c r="B119" s="28" t="str">
        <x:v>AT-05</x:v>
      </x:c>
      <x:c r="C119" s="28" t="str">
        <x:v>PRIMARY</x:v>
      </x:c>
      <x:c r="D119" s="28" t="str">
        <x:f>INDEX('Attempt Tokens'!$E$7:$E$36,MATCH(B119,'Attempt Tokens'!$B$7:$B$36,0))</x:f>
      </x:c>
      <x:c r="E119" s="28" t="n">
        <x:v>17</x:v>
      </x:c>
      <x:c r="F119" s="28" t="str">
        <x:v>EG-17</x:v>
      </x:c>
      <x:c r="G119" s="28" t="str">
        <x:v>evidence obligations complete</x:v>
      </x:c>
      <x:c r="H119" s="28" t="str">
        <x:v>PASS</x:v>
      </x:c>
      <x:c r="I119" s="29" t="str"/>
      <x:c r="J119" s="29" t="str"/>
      <x:c r="K119" s="29" t="str"/>
      <x:c r="L119" s="28" t="str">
        <x:f>IF(AND(C119="RESERVE",D119=""),"DORMANT",IF(K119="","OPEN",IF(AND(I119=H119,J119&lt;&gt;""),"PASS","FAIL")))</x:f>
        <x:v>OPEN</x:v>
      </x:c>
    </x:row>
    <x:row r="120">
      <x:c r="B120" s="28" t="str">
        <x:v>AT-05</x:v>
      </x:c>
      <x:c r="C120" s="28" t="str">
        <x:v>PRIMARY</x:v>
      </x:c>
      <x:c r="D120" s="28" t="str">
        <x:f>INDEX('Attempt Tokens'!$E$7:$E$36,MATCH(B120,'Attempt Tokens'!$B$7:$B$36,0))</x:f>
      </x:c>
      <x:c r="E120" s="28" t="n">
        <x:v>18</x:v>
      </x:c>
      <x:c r="F120" s="28" t="str">
        <x:v>EG-18</x:v>
      </x:c>
      <x:c r="G120" s="28" t="str">
        <x:v>blank samples complete</x:v>
      </x:c>
      <x:c r="H120" s="28" t="str">
        <x:v>PASS</x:v>
      </x:c>
      <x:c r="I120" s="29" t="str"/>
      <x:c r="J120" s="29" t="str"/>
      <x:c r="K120" s="29" t="str"/>
      <x:c r="L120" s="28" t="str">
        <x:f>IF(AND(C120="RESERVE",D120=""),"DORMANT",IF(K120="","OPEN",IF(AND(I120=H120,J120&lt;&gt;""),"PASS","FAIL")))</x:f>
        <x:v>OPEN</x:v>
      </x:c>
    </x:row>
    <x:row r="121">
      <x:c r="B121" s="28" t="str">
        <x:v>AT-05</x:v>
      </x:c>
      <x:c r="C121" s="28" t="str">
        <x:v>PRIMARY</x:v>
      </x:c>
      <x:c r="D121" s="28" t="str">
        <x:f>INDEX('Attempt Tokens'!$E$7:$E$36,MATCH(B121,'Attempt Tokens'!$B$7:$B$36,0))</x:f>
      </x:c>
      <x:c r="E121" s="28" t="n">
        <x:v>19</x:v>
      </x:c>
      <x:c r="F121" s="28" t="str">
        <x:v>EG-19</x:v>
      </x:c>
      <x:c r="G121" s="28" t="str">
        <x:v>abort channels classified</x:v>
      </x:c>
      <x:c r="H121" s="28" t="str">
        <x:v>PASS</x:v>
      </x:c>
      <x:c r="I121" s="29" t="str"/>
      <x:c r="J121" s="29" t="str"/>
      <x:c r="K121" s="29" t="str"/>
      <x:c r="L121" s="28" t="str">
        <x:f>IF(AND(C121="RESERVE",D121=""),"DORMANT",IF(K121="","OPEN",IF(AND(I121=H121,J121&lt;&gt;""),"PASS","FAIL")))</x:f>
        <x:v>OPEN</x:v>
      </x:c>
    </x:row>
    <x:row r="122">
      <x:c r="B122" s="28" t="str">
        <x:v>AT-05</x:v>
      </x:c>
      <x:c r="C122" s="28" t="str">
        <x:v>PRIMARY</x:v>
      </x:c>
      <x:c r="D122" s="28" t="str">
        <x:f>INDEX('Attempt Tokens'!$E$7:$E$36,MATCH(B122,'Attempt Tokens'!$B$7:$B$36,0))</x:f>
      </x:c>
      <x:c r="E122" s="28" t="n">
        <x:v>20</x:v>
      </x:c>
      <x:c r="F122" s="28" t="str">
        <x:v>EG-20</x:v>
      </x:c>
      <x:c r="G122" s="28" t="str">
        <x:v>interventions classified</x:v>
      </x:c>
      <x:c r="H122" s="28" t="str">
        <x:v>PASS</x:v>
      </x:c>
      <x:c r="I122" s="29" t="str"/>
      <x:c r="J122" s="29" t="str"/>
      <x:c r="K122" s="29" t="str"/>
      <x:c r="L122" s="28" t="str">
        <x:f>IF(AND(C122="RESERVE",D122=""),"DORMANT",IF(K122="","OPEN",IF(AND(I122=H122,J122&lt;&gt;""),"PASS","FAIL")))</x:f>
        <x:v>OPEN</x:v>
      </x:c>
    </x:row>
    <x:row r="123">
      <x:c r="B123" s="28" t="str">
        <x:v>AT-05</x:v>
      </x:c>
      <x:c r="C123" s="28" t="str">
        <x:v>PRIMARY</x:v>
      </x:c>
      <x:c r="D123" s="28" t="str">
        <x:f>INDEX('Attempt Tokens'!$E$7:$E$36,MATCH(B123,'Attempt Tokens'!$B$7:$B$36,0))</x:f>
      </x:c>
      <x:c r="E123" s="28" t="n">
        <x:v>21</x:v>
      </x:c>
      <x:c r="F123" s="28" t="str">
        <x:v>EG-21</x:v>
      </x:c>
      <x:c r="G123" s="28" t="str">
        <x:v>event result accepted</x:v>
      </x:c>
      <x:c r="H123" s="28" t="str">
        <x:v>PASS</x:v>
      </x:c>
      <x:c r="I123" s="29" t="str"/>
      <x:c r="J123" s="29" t="str"/>
      <x:c r="K123" s="29" t="str"/>
      <x:c r="L123" s="28" t="str">
        <x:f>IF(AND(C123="RESERVE",D123=""),"DORMANT",IF(K123="","OPEN",IF(AND(I123=H123,J123&lt;&gt;""),"PASS","FAIL")))</x:f>
        <x:v>OPEN</x:v>
      </x:c>
    </x:row>
    <x:row r="124">
      <x:c r="B124" s="28" t="str">
        <x:v>AT-05</x:v>
      </x:c>
      <x:c r="C124" s="28" t="str">
        <x:v>PRIMARY</x:v>
      </x:c>
      <x:c r="D124" s="28" t="str">
        <x:f>INDEX('Attempt Tokens'!$E$7:$E$36,MATCH(B124,'Attempt Tokens'!$B$7:$B$36,0))</x:f>
      </x:c>
      <x:c r="E124" s="28" t="n">
        <x:v>22</x:v>
      </x:c>
      <x:c r="F124" s="28" t="str">
        <x:v>EG-22</x:v>
      </x:c>
      <x:c r="G124" s="28" t="str">
        <x:v>recovery states complete</x:v>
      </x:c>
      <x:c r="H124" s="28" t="str">
        <x:v>PASS</x:v>
      </x:c>
      <x:c r="I124" s="29" t="str"/>
      <x:c r="J124" s="29" t="str"/>
      <x:c r="K124" s="29" t="str"/>
      <x:c r="L124" s="28" t="str">
        <x:f>IF(AND(C124="RESERVE",D124=""),"DORMANT",IF(K124="","OPEN",IF(AND(I124=H124,J124&lt;&gt;""),"PASS","FAIL")))</x:f>
        <x:v>OPEN</x:v>
      </x:c>
    </x:row>
    <x:row r="125">
      <x:c r="B125" s="28" t="str">
        <x:v>AT-05</x:v>
      </x:c>
      <x:c r="C125" s="28" t="str">
        <x:v>PRIMARY</x:v>
      </x:c>
      <x:c r="D125" s="28" t="str">
        <x:f>INDEX('Attempt Tokens'!$E$7:$E$36,MATCH(B125,'Attempt Tokens'!$B$7:$B$36,0))</x:f>
      </x:c>
      <x:c r="E125" s="28" t="n">
        <x:v>23</x:v>
      </x:c>
      <x:c r="F125" s="28" t="str">
        <x:v>EG-23</x:v>
      </x:c>
      <x:c r="G125" s="28" t="str">
        <x:v>regeneration and regression complete</x:v>
      </x:c>
      <x:c r="H125" s="28" t="str">
        <x:v>PASS</x:v>
      </x:c>
      <x:c r="I125" s="29" t="str"/>
      <x:c r="J125" s="29" t="str"/>
      <x:c r="K125" s="29" t="str"/>
      <x:c r="L125" s="28" t="str">
        <x:f>IF(AND(C125="RESERVE",D125=""),"DORMANT",IF(K125="","OPEN",IF(AND(I125=H125,J125&lt;&gt;""),"PASS","FAIL")))</x:f>
        <x:v>OPEN</x:v>
      </x:c>
    </x:row>
    <x:row r="126">
      <x:c r="B126" s="28" t="str">
        <x:v>AT-05</x:v>
      </x:c>
      <x:c r="C126" s="28" t="str">
        <x:v>PRIMARY</x:v>
      </x:c>
      <x:c r="D126" s="28" t="str">
        <x:f>INDEX('Attempt Tokens'!$E$7:$E$36,MATCH(B126,'Attempt Tokens'!$B$7:$B$36,0))</x:f>
      </x:c>
      <x:c r="E126" s="28" t="n">
        <x:v>24</x:v>
      </x:c>
      <x:c r="F126" s="28" t="str">
        <x:v>EG-24</x:v>
      </x:c>
      <x:c r="G126" s="28" t="str">
        <x:v>reentry and packet release complete</x:v>
      </x:c>
      <x:c r="H126" s="28" t="str">
        <x:v>PASS</x:v>
      </x:c>
      <x:c r="I126" s="29" t="str"/>
      <x:c r="J126" s="29" t="str"/>
      <x:c r="K126" s="29" t="str"/>
      <x:c r="L126" s="28" t="str">
        <x:f>IF(AND(C126="RESERVE",D126=""),"DORMANT",IF(K126="","OPEN",IF(AND(I126=H126,J126&lt;&gt;""),"PASS","FAIL")))</x:f>
        <x:v>OPEN</x:v>
      </x:c>
    </x:row>
    <x:row r="127">
      <x:c r="B127" s="28" t="str">
        <x:v>AT-06</x:v>
      </x:c>
      <x:c r="C127" s="28" t="str">
        <x:v>PRIMARY</x:v>
      </x:c>
      <x:c r="D127" s="28" t="str">
        <x:f>INDEX('Attempt Tokens'!$E$7:$E$36,MATCH(B127,'Attempt Tokens'!$B$7:$B$36,0))</x:f>
      </x:c>
      <x:c r="E127" s="28" t="n">
        <x:v>1</x:v>
      </x:c>
      <x:c r="F127" s="28" t="str">
        <x:v>EG-01</x:v>
      </x:c>
      <x:c r="G127" s="28" t="str">
        <x:v>RAX or renewed pair credential current</x:v>
      </x:c>
      <x:c r="H127" s="28" t="str">
        <x:v>PASS</x:v>
      </x:c>
      <x:c r="I127" s="29" t="str"/>
      <x:c r="J127" s="29" t="str"/>
      <x:c r="K127" s="29" t="str"/>
      <x:c r="L127" s="28" t="str">
        <x:f>IF(AND(C127="RESERVE",D127=""),"DORMANT",IF(K127="","OPEN",IF(AND(I127=H127,J127&lt;&gt;""),"PASS","FAIL")))</x:f>
        <x:v>OPEN</x:v>
      </x:c>
    </x:row>
    <x:row r="128">
      <x:c r="B128" s="28" t="str">
        <x:v>AT-06</x:v>
      </x:c>
      <x:c r="C128" s="28" t="str">
        <x:v>PRIMARY</x:v>
      </x:c>
      <x:c r="D128" s="28" t="str">
        <x:f>INDEX('Attempt Tokens'!$E$7:$E$36,MATCH(B128,'Attempt Tokens'!$B$7:$B$36,0))</x:f>
      </x:c>
      <x:c r="E128" s="28" t="n">
        <x:v>2</x:v>
      </x:c>
      <x:c r="F128" s="28" t="str">
        <x:v>EG-02</x:v>
      </x:c>
      <x:c r="G128" s="28" t="str">
        <x:v>candidate cell eligible</x:v>
      </x:c>
      <x:c r="H128" s="28" t="str">
        <x:v>PASS</x:v>
      </x:c>
      <x:c r="I128" s="29" t="str"/>
      <x:c r="J128" s="29" t="str"/>
      <x:c r="K128" s="29" t="str"/>
      <x:c r="L128" s="28" t="str">
        <x:f>IF(AND(C128="RESERVE",D128=""),"DORMANT",IF(K128="","OPEN",IF(AND(I128=H128,J128&lt;&gt;""),"PASS","FAIL")))</x:f>
        <x:v>OPEN</x:v>
      </x:c>
    </x:row>
    <x:row r="129">
      <x:c r="B129" s="28" t="str">
        <x:v>AT-06</x:v>
      </x:c>
      <x:c r="C129" s="28" t="str">
        <x:v>PRIMARY</x:v>
      </x:c>
      <x:c r="D129" s="28" t="str">
        <x:f>INDEX('Attempt Tokens'!$E$7:$E$36,MATCH(B129,'Attempt Tokens'!$B$7:$B$36,0))</x:f>
      </x:c>
      <x:c r="E129" s="28" t="n">
        <x:v>3</x:v>
      </x:c>
      <x:c r="F129" s="28" t="str">
        <x:v>EG-03</x:v>
      </x:c>
      <x:c r="G129" s="28" t="str">
        <x:v>draw and schedule binding complete</x:v>
      </x:c>
      <x:c r="H129" s="28" t="str">
        <x:v>PASS</x:v>
      </x:c>
      <x:c r="I129" s="29" t="str"/>
      <x:c r="J129" s="29" t="str"/>
      <x:c r="K129" s="29" t="str"/>
      <x:c r="L129" s="28" t="str">
        <x:f>IF(AND(C129="RESERVE",D129=""),"DORMANT",IF(K129="","OPEN",IF(AND(I129=H129,J129&lt;&gt;""),"PASS","FAIL")))</x:f>
        <x:v>OPEN</x:v>
      </x:c>
    </x:row>
    <x:row r="130">
      <x:c r="B130" s="28" t="str">
        <x:v>AT-06</x:v>
      </x:c>
      <x:c r="C130" s="28" t="str">
        <x:v>PRIMARY</x:v>
      </x:c>
      <x:c r="D130" s="28" t="str">
        <x:f>INDEX('Attempt Tokens'!$E$7:$E$36,MATCH(B130,'Attempt Tokens'!$B$7:$B$36,0))</x:f>
      </x:c>
      <x:c r="E130" s="28" t="n">
        <x:v>4</x:v>
      </x:c>
      <x:c r="F130" s="28" t="str">
        <x:v>EG-04</x:v>
      </x:c>
      <x:c r="G130" s="28" t="str">
        <x:v>event issue accepted</x:v>
      </x:c>
      <x:c r="H130" s="28" t="str">
        <x:v>PASS</x:v>
      </x:c>
      <x:c r="I130" s="29" t="str"/>
      <x:c r="J130" s="29" t="str"/>
      <x:c r="K130" s="29" t="str"/>
      <x:c r="L130" s="28" t="str">
        <x:f>IF(AND(C130="RESERVE",D130=""),"DORMANT",IF(K130="","OPEN",IF(AND(I130=H130,J130&lt;&gt;""),"PASS","FAIL")))</x:f>
        <x:v>OPEN</x:v>
      </x:c>
    </x:row>
    <x:row r="131">
      <x:c r="B131" s="28" t="str">
        <x:v>AT-06</x:v>
      </x:c>
      <x:c r="C131" s="28" t="str">
        <x:v>PRIMARY</x:v>
      </x:c>
      <x:c r="D131" s="28" t="str">
        <x:f>INDEX('Attempt Tokens'!$E$7:$E$36,MATCH(B131,'Attempt Tokens'!$B$7:$B$36,0))</x:f>
      </x:c>
      <x:c r="E131" s="28" t="n">
        <x:v>5</x:v>
      </x:c>
      <x:c r="F131" s="28" t="str">
        <x:v>EG-05</x:v>
      </x:c>
      <x:c r="G131" s="28" t="str">
        <x:v>dossier bindings complete</x:v>
      </x:c>
      <x:c r="H131" s="28" t="str">
        <x:v>PASS</x:v>
      </x:c>
      <x:c r="I131" s="29" t="str"/>
      <x:c r="J131" s="29" t="str"/>
      <x:c r="K131" s="29" t="str"/>
      <x:c r="L131" s="28" t="str">
        <x:f>IF(AND(C131="RESERVE",D131=""),"DORMANT",IF(K131="","OPEN",IF(AND(I131=H131,J131&lt;&gt;""),"PASS","FAIL")))</x:f>
        <x:v>OPEN</x:v>
      </x:c>
    </x:row>
    <x:row r="132">
      <x:c r="B132" s="28" t="str">
        <x:v>AT-06</x:v>
      </x:c>
      <x:c r="C132" s="28" t="str">
        <x:v>PRIMARY</x:v>
      </x:c>
      <x:c r="D132" s="28" t="str">
        <x:f>INDEX('Attempt Tokens'!$E$7:$E$36,MATCH(B132,'Attempt Tokens'!$B$7:$B$36,0))</x:f>
      </x:c>
      <x:c r="E132" s="28" t="n">
        <x:v>6</x:v>
      </x:c>
      <x:c r="F132" s="28" t="str">
        <x:v>EG-06</x:v>
      </x:c>
      <x:c r="G132" s="28" t="str">
        <x:v>event crew complete</x:v>
      </x:c>
      <x:c r="H132" s="28" t="str">
        <x:v>PASS</x:v>
      </x:c>
      <x:c r="I132" s="29" t="str"/>
      <x:c r="J132" s="29" t="str"/>
      <x:c r="K132" s="29" t="str"/>
      <x:c r="L132" s="28" t="str">
        <x:f>IF(AND(C132="RESERVE",D132=""),"DORMANT",IF(K132="","OPEN",IF(AND(I132=H132,J132&lt;&gt;""),"PASS","FAIL")))</x:f>
        <x:v>OPEN</x:v>
      </x:c>
    </x:row>
    <x:row r="133">
      <x:c r="B133" s="28" t="str">
        <x:v>AT-06</x:v>
      </x:c>
      <x:c r="C133" s="28" t="str">
        <x:v>PRIMARY</x:v>
      </x:c>
      <x:c r="D133" s="28" t="str">
        <x:f>INDEX('Attempt Tokens'!$E$7:$E$36,MATCH(B133,'Attempt Tokens'!$B$7:$B$36,0))</x:f>
      </x:c>
      <x:c r="E133" s="28" t="n">
        <x:v>7</x:v>
      </x:c>
      <x:c r="F133" s="28" t="str">
        <x:v>EG-07</x:v>
      </x:c>
      <x:c r="G133" s="28" t="str">
        <x:v>configuration freeze complete</x:v>
      </x:c>
      <x:c r="H133" s="28" t="str">
        <x:v>PASS</x:v>
      </x:c>
      <x:c r="I133" s="29" t="str"/>
      <x:c r="J133" s="29" t="str"/>
      <x:c r="K133" s="29" t="str"/>
      <x:c r="L133" s="28" t="str">
        <x:f>IF(AND(C133="RESERVE",D133=""),"DORMANT",IF(K133="","OPEN",IF(AND(I133=H133,J133&lt;&gt;""),"PASS","FAIL")))</x:f>
        <x:v>OPEN</x:v>
      </x:c>
    </x:row>
    <x:row r="134">
      <x:c r="B134" s="28" t="str">
        <x:v>AT-06</x:v>
      </x:c>
      <x:c r="C134" s="28" t="str">
        <x:v>PRIMARY</x:v>
      </x:c>
      <x:c r="D134" s="28" t="str">
        <x:f>INDEX('Attempt Tokens'!$E$7:$E$36,MATCH(B134,'Attempt Tokens'!$B$7:$B$36,0))</x:f>
      </x:c>
      <x:c r="E134" s="28" t="n">
        <x:v>8</x:v>
      </x:c>
      <x:c r="F134" s="28" t="str">
        <x:v>EG-08</x:v>
      </x:c>
      <x:c r="G134" s="28" t="str">
        <x:v>zero-source checks complete</x:v>
      </x:c>
      <x:c r="H134" s="28" t="str">
        <x:v>PASS</x:v>
      </x:c>
      <x:c r="I134" s="29" t="str"/>
      <x:c r="J134" s="29" t="str"/>
      <x:c r="K134" s="29" t="str"/>
      <x:c r="L134" s="28" t="str">
        <x:f>IF(AND(C134="RESERVE",D134=""),"DORMANT",IF(K134="","OPEN",IF(AND(I134=H134,J134&lt;&gt;""),"PASS","FAIL")))</x:f>
        <x:v>OPEN</x:v>
      </x:c>
    </x:row>
    <x:row r="135">
      <x:c r="B135" s="28" t="str">
        <x:v>AT-06</x:v>
      </x:c>
      <x:c r="C135" s="28" t="str">
        <x:v>PRIMARY</x:v>
      </x:c>
      <x:c r="D135" s="28" t="str">
        <x:f>INDEX('Attempt Tokens'!$E$7:$E$36,MATCH(B135,'Attempt Tokens'!$B$7:$B$36,0))</x:f>
      </x:c>
      <x:c r="E135" s="28" t="n">
        <x:v>9</x:v>
      </x:c>
      <x:c r="F135" s="28" t="str">
        <x:v>EG-09</x:v>
      </x:c>
      <x:c r="G135" s="28" t="str">
        <x:v>zero-water checks complete</x:v>
      </x:c>
      <x:c r="H135" s="28" t="str">
        <x:v>PASS</x:v>
      </x:c>
      <x:c r="I135" s="29" t="str"/>
      <x:c r="J135" s="29" t="str"/>
      <x:c r="K135" s="29" t="str"/>
      <x:c r="L135" s="28" t="str">
        <x:f>IF(AND(C135="RESERVE",D135=""),"DORMANT",IF(K135="","OPEN",IF(AND(I135=H135,J135&lt;&gt;""),"PASS","FAIL")))</x:f>
        <x:v>OPEN</x:v>
      </x:c>
    </x:row>
    <x:row r="136">
      <x:c r="B136" s="28" t="str">
        <x:v>AT-06</x:v>
      </x:c>
      <x:c r="C136" s="28" t="str">
        <x:v>PRIMARY</x:v>
      </x:c>
      <x:c r="D136" s="28" t="str">
        <x:f>INDEX('Attempt Tokens'!$E$7:$E$36,MATCH(B136,'Attempt Tokens'!$B$7:$B$36,0))</x:f>
      </x:c>
      <x:c r="E136" s="28" t="n">
        <x:v>10</x:v>
      </x:c>
      <x:c r="F136" s="28" t="str">
        <x:v>EG-10</x:v>
      </x:c>
      <x:c r="G136" s="28" t="str">
        <x:v>uncertainty decisions complete</x:v>
      </x:c>
      <x:c r="H136" s="28" t="str">
        <x:v>PASS</x:v>
      </x:c>
      <x:c r="I136" s="29" t="str"/>
      <x:c r="J136" s="29" t="str"/>
      <x:c r="K136" s="29" t="str"/>
      <x:c r="L136" s="28" t="str">
        <x:f>IF(AND(C136="RESERVE",D136=""),"DORMANT",IF(K136="","OPEN",IF(AND(I136=H136,J136&lt;&gt;""),"PASS","FAIL")))</x:f>
        <x:v>OPEN</x:v>
      </x:c>
    </x:row>
    <x:row r="137">
      <x:c r="B137" s="28" t="str">
        <x:v>AT-06</x:v>
      </x:c>
      <x:c r="C137" s="28" t="str">
        <x:v>PRIMARY</x:v>
      </x:c>
      <x:c r="D137" s="28" t="str">
        <x:f>INDEX('Attempt Tokens'!$E$7:$E$36,MATCH(B137,'Attempt Tokens'!$B$7:$B$36,0))</x:f>
      </x:c>
      <x:c r="E137" s="28" t="n">
        <x:v>11</x:v>
      </x:c>
      <x:c r="F137" s="28" t="str">
        <x:v>EG-11</x:v>
      </x:c>
      <x:c r="G137" s="28" t="str">
        <x:v>measurement windows complete</x:v>
      </x:c>
      <x:c r="H137" s="28" t="str">
        <x:v>PASS</x:v>
      </x:c>
      <x:c r="I137" s="29" t="str"/>
      <x:c r="J137" s="29" t="str"/>
      <x:c r="K137" s="29" t="str"/>
      <x:c r="L137" s="28" t="str">
        <x:f>IF(AND(C137="RESERVE",D137=""),"DORMANT",IF(K137="","OPEN",IF(AND(I137=H137,J137&lt;&gt;""),"PASS","FAIL")))</x:f>
        <x:v>OPEN</x:v>
      </x:c>
    </x:row>
    <x:row r="138">
      <x:c r="B138" s="28" t="str">
        <x:v>AT-06</x:v>
      </x:c>
      <x:c r="C138" s="28" t="str">
        <x:v>PRIMARY</x:v>
      </x:c>
      <x:c r="D138" s="28" t="str">
        <x:f>INDEX('Attempt Tokens'!$E$7:$E$36,MATCH(B138,'Attempt Tokens'!$B$7:$B$36,0))</x:f>
      </x:c>
      <x:c r="E138" s="28" t="n">
        <x:v>12</x:v>
      </x:c>
      <x:c r="F138" s="28" t="str">
        <x:v>EG-12</x:v>
      </x:c>
      <x:c r="G138" s="28" t="str">
        <x:v>neighbor proofs complete</x:v>
      </x:c>
      <x:c r="H138" s="28" t="str">
        <x:v>PASS</x:v>
      </x:c>
      <x:c r="I138" s="29" t="str"/>
      <x:c r="J138" s="29" t="str"/>
      <x:c r="K138" s="29" t="str"/>
      <x:c r="L138" s="28" t="str">
        <x:f>IF(AND(C138="RESERVE",D138=""),"DORMANT",IF(K138="","OPEN",IF(AND(I138=H138,J138&lt;&gt;""),"PASS","FAIL")))</x:f>
        <x:v>OPEN</x:v>
      </x:c>
    </x:row>
    <x:row r="139">
      <x:c r="B139" s="28" t="str">
        <x:v>AT-06</x:v>
      </x:c>
      <x:c r="C139" s="28" t="str">
        <x:v>PRIMARY</x:v>
      </x:c>
      <x:c r="D139" s="28" t="str">
        <x:f>INDEX('Attempt Tokens'!$E$7:$E$36,MATCH(B139,'Attempt Tokens'!$B$7:$B$36,0))</x:f>
      </x:c>
      <x:c r="E139" s="28" t="n">
        <x:v>13</x:v>
      </x:c>
      <x:c r="F139" s="28" t="str">
        <x:v>EG-13</x:v>
      </x:c>
      <x:c r="G139" s="28" t="str">
        <x:v>safeing polls complete</x:v>
      </x:c>
      <x:c r="H139" s="28" t="str">
        <x:v>PASS</x:v>
      </x:c>
      <x:c r="I139" s="29" t="str"/>
      <x:c r="J139" s="29" t="str"/>
      <x:c r="K139" s="29" t="str"/>
      <x:c r="L139" s="28" t="str">
        <x:f>IF(AND(C139="RESERVE",D139=""),"DORMANT",IF(K139="","OPEN",IF(AND(I139=H139,J139&lt;&gt;""),"PASS","FAIL")))</x:f>
        <x:v>OPEN</x:v>
      </x:c>
    </x:row>
    <x:row r="140">
      <x:c r="B140" s="28" t="str">
        <x:v>AT-06</x:v>
      </x:c>
      <x:c r="C140" s="28" t="str">
        <x:v>PRIMARY</x:v>
      </x:c>
      <x:c r="D140" s="28" t="str">
        <x:f>INDEX('Attempt Tokens'!$E$7:$E$36,MATCH(B140,'Attempt Tokens'!$B$7:$B$36,0))</x:f>
      </x:c>
      <x:c r="E140" s="28" t="n">
        <x:v>14</x:v>
      </x:c>
      <x:c r="F140" s="28" t="str">
        <x:v>EG-14</x:v>
      </x:c>
      <x:c r="G140" s="28" t="str">
        <x:v>command transactions complete</x:v>
      </x:c>
      <x:c r="H140" s="28" t="str">
        <x:v>PASS</x:v>
      </x:c>
      <x:c r="I140" s="29" t="str"/>
      <x:c r="J140" s="29" t="str"/>
      <x:c r="K140" s="29" t="str"/>
      <x:c r="L140" s="28" t="str">
        <x:f>IF(AND(C140="RESERVE",D140=""),"DORMANT",IF(K140="","OPEN",IF(AND(I140=H140,J140&lt;&gt;""),"PASS","FAIL")))</x:f>
        <x:v>OPEN</x:v>
      </x:c>
    </x:row>
    <x:row r="141">
      <x:c r="B141" s="28" t="str">
        <x:v>AT-06</x:v>
      </x:c>
      <x:c r="C141" s="28" t="str">
        <x:v>PRIMARY</x:v>
      </x:c>
      <x:c r="D141" s="28" t="str">
        <x:f>INDEX('Attempt Tokens'!$E$7:$E$36,MATCH(B141,'Attempt Tokens'!$B$7:$B$36,0))</x:f>
      </x:c>
      <x:c r="E141" s="28" t="n">
        <x:v>15</x:v>
      </x:c>
      <x:c r="F141" s="28" t="str">
        <x:v>EG-15</x:v>
      </x:c>
      <x:c r="G141" s="28" t="str">
        <x:v>phase clock complete</x:v>
      </x:c>
      <x:c r="H141" s="28" t="str">
        <x:v>PASS</x:v>
      </x:c>
      <x:c r="I141" s="29" t="str"/>
      <x:c r="J141" s="29" t="str"/>
      <x:c r="K141" s="29" t="str"/>
      <x:c r="L141" s="28" t="str">
        <x:f>IF(AND(C141="RESERVE",D141=""),"DORMANT",IF(K141="","OPEN",IF(AND(I141=H141,J141&lt;&gt;""),"PASS","FAIL")))</x:f>
        <x:v>OPEN</x:v>
      </x:c>
    </x:row>
    <x:row r="142">
      <x:c r="B142" s="28" t="str">
        <x:v>AT-06</x:v>
      </x:c>
      <x:c r="C142" s="28" t="str">
        <x:v>PRIMARY</x:v>
      </x:c>
      <x:c r="D142" s="28" t="str">
        <x:f>INDEX('Attempt Tokens'!$E$7:$E$36,MATCH(B142,'Attempt Tokens'!$B$7:$B$36,0))</x:f>
      </x:c>
      <x:c r="E142" s="28" t="n">
        <x:v>16</x:v>
      </x:c>
      <x:c r="F142" s="28" t="str">
        <x:v>EG-16</x:v>
      </x:c>
      <x:c r="G142" s="28" t="str">
        <x:v>holds complete</x:v>
      </x:c>
      <x:c r="H142" s="28" t="str">
        <x:v>PASS</x:v>
      </x:c>
      <x:c r="I142" s="29" t="str"/>
      <x:c r="J142" s="29" t="str"/>
      <x:c r="K142" s="29" t="str"/>
      <x:c r="L142" s="28" t="str">
        <x:f>IF(AND(C142="RESERVE",D142=""),"DORMANT",IF(K142="","OPEN",IF(AND(I142=H142,J142&lt;&gt;""),"PASS","FAIL")))</x:f>
        <x:v>OPEN</x:v>
      </x:c>
    </x:row>
    <x:row r="143">
      <x:c r="B143" s="28" t="str">
        <x:v>AT-06</x:v>
      </x:c>
      <x:c r="C143" s="28" t="str">
        <x:v>PRIMARY</x:v>
      </x:c>
      <x:c r="D143" s="28" t="str">
        <x:f>INDEX('Attempt Tokens'!$E$7:$E$36,MATCH(B143,'Attempt Tokens'!$B$7:$B$36,0))</x:f>
      </x:c>
      <x:c r="E143" s="28" t="n">
        <x:v>17</x:v>
      </x:c>
      <x:c r="F143" s="28" t="str">
        <x:v>EG-17</x:v>
      </x:c>
      <x:c r="G143" s="28" t="str">
        <x:v>evidence obligations complete</x:v>
      </x:c>
      <x:c r="H143" s="28" t="str">
        <x:v>PASS</x:v>
      </x:c>
      <x:c r="I143" s="29" t="str"/>
      <x:c r="J143" s="29" t="str"/>
      <x:c r="K143" s="29" t="str"/>
      <x:c r="L143" s="28" t="str">
        <x:f>IF(AND(C143="RESERVE",D143=""),"DORMANT",IF(K143="","OPEN",IF(AND(I143=H143,J143&lt;&gt;""),"PASS","FAIL")))</x:f>
        <x:v>OPEN</x:v>
      </x:c>
    </x:row>
    <x:row r="144">
      <x:c r="B144" s="28" t="str">
        <x:v>AT-06</x:v>
      </x:c>
      <x:c r="C144" s="28" t="str">
        <x:v>PRIMARY</x:v>
      </x:c>
      <x:c r="D144" s="28" t="str">
        <x:f>INDEX('Attempt Tokens'!$E$7:$E$36,MATCH(B144,'Attempt Tokens'!$B$7:$B$36,0))</x:f>
      </x:c>
      <x:c r="E144" s="28" t="n">
        <x:v>18</x:v>
      </x:c>
      <x:c r="F144" s="28" t="str">
        <x:v>EG-18</x:v>
      </x:c>
      <x:c r="G144" s="28" t="str">
        <x:v>blank samples complete</x:v>
      </x:c>
      <x:c r="H144" s="28" t="str">
        <x:v>PASS</x:v>
      </x:c>
      <x:c r="I144" s="29" t="str"/>
      <x:c r="J144" s="29" t="str"/>
      <x:c r="K144" s="29" t="str"/>
      <x:c r="L144" s="28" t="str">
        <x:f>IF(AND(C144="RESERVE",D144=""),"DORMANT",IF(K144="","OPEN",IF(AND(I144=H144,J144&lt;&gt;""),"PASS","FAIL")))</x:f>
        <x:v>OPEN</x:v>
      </x:c>
    </x:row>
    <x:row r="145">
      <x:c r="B145" s="28" t="str">
        <x:v>AT-06</x:v>
      </x:c>
      <x:c r="C145" s="28" t="str">
        <x:v>PRIMARY</x:v>
      </x:c>
      <x:c r="D145" s="28" t="str">
        <x:f>INDEX('Attempt Tokens'!$E$7:$E$36,MATCH(B145,'Attempt Tokens'!$B$7:$B$36,0))</x:f>
      </x:c>
      <x:c r="E145" s="28" t="n">
        <x:v>19</x:v>
      </x:c>
      <x:c r="F145" s="28" t="str">
        <x:v>EG-19</x:v>
      </x:c>
      <x:c r="G145" s="28" t="str">
        <x:v>abort channels classified</x:v>
      </x:c>
      <x:c r="H145" s="28" t="str">
        <x:v>PASS</x:v>
      </x:c>
      <x:c r="I145" s="29" t="str"/>
      <x:c r="J145" s="29" t="str"/>
      <x:c r="K145" s="29" t="str"/>
      <x:c r="L145" s="28" t="str">
        <x:f>IF(AND(C145="RESERVE",D145=""),"DORMANT",IF(K145="","OPEN",IF(AND(I145=H145,J145&lt;&gt;""),"PASS","FAIL")))</x:f>
        <x:v>OPEN</x:v>
      </x:c>
    </x:row>
    <x:row r="146">
      <x:c r="B146" s="28" t="str">
        <x:v>AT-06</x:v>
      </x:c>
      <x:c r="C146" s="28" t="str">
        <x:v>PRIMARY</x:v>
      </x:c>
      <x:c r="D146" s="28" t="str">
        <x:f>INDEX('Attempt Tokens'!$E$7:$E$36,MATCH(B146,'Attempt Tokens'!$B$7:$B$36,0))</x:f>
      </x:c>
      <x:c r="E146" s="28" t="n">
        <x:v>20</x:v>
      </x:c>
      <x:c r="F146" s="28" t="str">
        <x:v>EG-20</x:v>
      </x:c>
      <x:c r="G146" s="28" t="str">
        <x:v>interventions classified</x:v>
      </x:c>
      <x:c r="H146" s="28" t="str">
        <x:v>PASS</x:v>
      </x:c>
      <x:c r="I146" s="29" t="str"/>
      <x:c r="J146" s="29" t="str"/>
      <x:c r="K146" s="29" t="str"/>
      <x:c r="L146" s="28" t="str">
        <x:f>IF(AND(C146="RESERVE",D146=""),"DORMANT",IF(K146="","OPEN",IF(AND(I146=H146,J146&lt;&gt;""),"PASS","FAIL")))</x:f>
        <x:v>OPEN</x:v>
      </x:c>
    </x:row>
    <x:row r="147">
      <x:c r="B147" s="28" t="str">
        <x:v>AT-06</x:v>
      </x:c>
      <x:c r="C147" s="28" t="str">
        <x:v>PRIMARY</x:v>
      </x:c>
      <x:c r="D147" s="28" t="str">
        <x:f>INDEX('Attempt Tokens'!$E$7:$E$36,MATCH(B147,'Attempt Tokens'!$B$7:$B$36,0))</x:f>
      </x:c>
      <x:c r="E147" s="28" t="n">
        <x:v>21</x:v>
      </x:c>
      <x:c r="F147" s="28" t="str">
        <x:v>EG-21</x:v>
      </x:c>
      <x:c r="G147" s="28" t="str">
        <x:v>event result accepted</x:v>
      </x:c>
      <x:c r="H147" s="28" t="str">
        <x:v>PASS</x:v>
      </x:c>
      <x:c r="I147" s="29" t="str"/>
      <x:c r="J147" s="29" t="str"/>
      <x:c r="K147" s="29" t="str"/>
      <x:c r="L147" s="28" t="str">
        <x:f>IF(AND(C147="RESERVE",D147=""),"DORMANT",IF(K147="","OPEN",IF(AND(I147=H147,J147&lt;&gt;""),"PASS","FAIL")))</x:f>
        <x:v>OPEN</x:v>
      </x:c>
    </x:row>
    <x:row r="148">
      <x:c r="B148" s="28" t="str">
        <x:v>AT-06</x:v>
      </x:c>
      <x:c r="C148" s="28" t="str">
        <x:v>PRIMARY</x:v>
      </x:c>
      <x:c r="D148" s="28" t="str">
        <x:f>INDEX('Attempt Tokens'!$E$7:$E$36,MATCH(B148,'Attempt Tokens'!$B$7:$B$36,0))</x:f>
      </x:c>
      <x:c r="E148" s="28" t="n">
        <x:v>22</x:v>
      </x:c>
      <x:c r="F148" s="28" t="str">
        <x:v>EG-22</x:v>
      </x:c>
      <x:c r="G148" s="28" t="str">
        <x:v>recovery states complete</x:v>
      </x:c>
      <x:c r="H148" s="28" t="str">
        <x:v>PASS</x:v>
      </x:c>
      <x:c r="I148" s="29" t="str"/>
      <x:c r="J148" s="29" t="str"/>
      <x:c r="K148" s="29" t="str"/>
      <x:c r="L148" s="28" t="str">
        <x:f>IF(AND(C148="RESERVE",D148=""),"DORMANT",IF(K148="","OPEN",IF(AND(I148=H148,J148&lt;&gt;""),"PASS","FAIL")))</x:f>
        <x:v>OPEN</x:v>
      </x:c>
    </x:row>
    <x:row r="149">
      <x:c r="B149" s="28" t="str">
        <x:v>AT-06</x:v>
      </x:c>
      <x:c r="C149" s="28" t="str">
        <x:v>PRIMARY</x:v>
      </x:c>
      <x:c r="D149" s="28" t="str">
        <x:f>INDEX('Attempt Tokens'!$E$7:$E$36,MATCH(B149,'Attempt Tokens'!$B$7:$B$36,0))</x:f>
      </x:c>
      <x:c r="E149" s="28" t="n">
        <x:v>23</x:v>
      </x:c>
      <x:c r="F149" s="28" t="str">
        <x:v>EG-23</x:v>
      </x:c>
      <x:c r="G149" s="28" t="str">
        <x:v>regeneration and regression complete</x:v>
      </x:c>
      <x:c r="H149" s="28" t="str">
        <x:v>PASS</x:v>
      </x:c>
      <x:c r="I149" s="29" t="str"/>
      <x:c r="J149" s="29" t="str"/>
      <x:c r="K149" s="29" t="str"/>
      <x:c r="L149" s="28" t="str">
        <x:f>IF(AND(C149="RESERVE",D149=""),"DORMANT",IF(K149="","OPEN",IF(AND(I149=H149,J149&lt;&gt;""),"PASS","FAIL")))</x:f>
        <x:v>OPEN</x:v>
      </x:c>
    </x:row>
    <x:row r="150">
      <x:c r="B150" s="28" t="str">
        <x:v>AT-06</x:v>
      </x:c>
      <x:c r="C150" s="28" t="str">
        <x:v>PRIMARY</x:v>
      </x:c>
      <x:c r="D150" s="28" t="str">
        <x:f>INDEX('Attempt Tokens'!$E$7:$E$36,MATCH(B150,'Attempt Tokens'!$B$7:$B$36,0))</x:f>
      </x:c>
      <x:c r="E150" s="28" t="n">
        <x:v>24</x:v>
      </x:c>
      <x:c r="F150" s="28" t="str">
        <x:v>EG-24</x:v>
      </x:c>
      <x:c r="G150" s="28" t="str">
        <x:v>reentry and packet release complete</x:v>
      </x:c>
      <x:c r="H150" s="28" t="str">
        <x:v>PASS</x:v>
      </x:c>
      <x:c r="I150" s="29" t="str"/>
      <x:c r="J150" s="29" t="str"/>
      <x:c r="K150" s="29" t="str"/>
      <x:c r="L150" s="28" t="str">
        <x:f>IF(AND(C150="RESERVE",D150=""),"DORMANT",IF(K150="","OPEN",IF(AND(I150=H150,J150&lt;&gt;""),"PASS","FAIL")))</x:f>
        <x:v>OPEN</x:v>
      </x:c>
    </x:row>
    <x:row r="151">
      <x:c r="B151" s="28" t="str">
        <x:v>AT-07</x:v>
      </x:c>
      <x:c r="C151" s="28" t="str">
        <x:v>PRIMARY</x:v>
      </x:c>
      <x:c r="D151" s="28" t="str">
        <x:f>INDEX('Attempt Tokens'!$E$7:$E$36,MATCH(B151,'Attempt Tokens'!$B$7:$B$36,0))</x:f>
      </x:c>
      <x:c r="E151" s="28" t="n">
        <x:v>1</x:v>
      </x:c>
      <x:c r="F151" s="28" t="str">
        <x:v>EG-01</x:v>
      </x:c>
      <x:c r="G151" s="28" t="str">
        <x:v>RAX or renewed pair credential current</x:v>
      </x:c>
      <x:c r="H151" s="28" t="str">
        <x:v>PASS</x:v>
      </x:c>
      <x:c r="I151" s="29" t="str"/>
      <x:c r="J151" s="29" t="str"/>
      <x:c r="K151" s="29" t="str"/>
      <x:c r="L151" s="28" t="str">
        <x:f>IF(AND(C151="RESERVE",D151=""),"DORMANT",IF(K151="","OPEN",IF(AND(I151=H151,J151&lt;&gt;""),"PASS","FAIL")))</x:f>
        <x:v>OPEN</x:v>
      </x:c>
    </x:row>
    <x:row r="152">
      <x:c r="B152" s="28" t="str">
        <x:v>AT-07</x:v>
      </x:c>
      <x:c r="C152" s="28" t="str">
        <x:v>PRIMARY</x:v>
      </x:c>
      <x:c r="D152" s="28" t="str">
        <x:f>INDEX('Attempt Tokens'!$E$7:$E$36,MATCH(B152,'Attempt Tokens'!$B$7:$B$36,0))</x:f>
      </x:c>
      <x:c r="E152" s="28" t="n">
        <x:v>2</x:v>
      </x:c>
      <x:c r="F152" s="28" t="str">
        <x:v>EG-02</x:v>
      </x:c>
      <x:c r="G152" s="28" t="str">
        <x:v>candidate cell eligible</x:v>
      </x:c>
      <x:c r="H152" s="28" t="str">
        <x:v>PASS</x:v>
      </x:c>
      <x:c r="I152" s="29" t="str"/>
      <x:c r="J152" s="29" t="str"/>
      <x:c r="K152" s="29" t="str"/>
      <x:c r="L152" s="28" t="str">
        <x:f>IF(AND(C152="RESERVE",D152=""),"DORMANT",IF(K152="","OPEN",IF(AND(I152=H152,J152&lt;&gt;""),"PASS","FAIL")))</x:f>
        <x:v>OPEN</x:v>
      </x:c>
    </x:row>
    <x:row r="153">
      <x:c r="B153" s="28" t="str">
        <x:v>AT-07</x:v>
      </x:c>
      <x:c r="C153" s="28" t="str">
        <x:v>PRIMARY</x:v>
      </x:c>
      <x:c r="D153" s="28" t="str">
        <x:f>INDEX('Attempt Tokens'!$E$7:$E$36,MATCH(B153,'Attempt Tokens'!$B$7:$B$36,0))</x:f>
      </x:c>
      <x:c r="E153" s="28" t="n">
        <x:v>3</x:v>
      </x:c>
      <x:c r="F153" s="28" t="str">
        <x:v>EG-03</x:v>
      </x:c>
      <x:c r="G153" s="28" t="str">
        <x:v>draw and schedule binding complete</x:v>
      </x:c>
      <x:c r="H153" s="28" t="str">
        <x:v>PASS</x:v>
      </x:c>
      <x:c r="I153" s="29" t="str"/>
      <x:c r="J153" s="29" t="str"/>
      <x:c r="K153" s="29" t="str"/>
      <x:c r="L153" s="28" t="str">
        <x:f>IF(AND(C153="RESERVE",D153=""),"DORMANT",IF(K153="","OPEN",IF(AND(I153=H153,J153&lt;&gt;""),"PASS","FAIL")))</x:f>
        <x:v>OPEN</x:v>
      </x:c>
    </x:row>
    <x:row r="154">
      <x:c r="B154" s="28" t="str">
        <x:v>AT-07</x:v>
      </x:c>
      <x:c r="C154" s="28" t="str">
        <x:v>PRIMARY</x:v>
      </x:c>
      <x:c r="D154" s="28" t="str">
        <x:f>INDEX('Attempt Tokens'!$E$7:$E$36,MATCH(B154,'Attempt Tokens'!$B$7:$B$36,0))</x:f>
      </x:c>
      <x:c r="E154" s="28" t="n">
        <x:v>4</x:v>
      </x:c>
      <x:c r="F154" s="28" t="str">
        <x:v>EG-04</x:v>
      </x:c>
      <x:c r="G154" s="28" t="str">
        <x:v>event issue accepted</x:v>
      </x:c>
      <x:c r="H154" s="28" t="str">
        <x:v>PASS</x:v>
      </x:c>
      <x:c r="I154" s="29" t="str"/>
      <x:c r="J154" s="29" t="str"/>
      <x:c r="K154" s="29" t="str"/>
      <x:c r="L154" s="28" t="str">
        <x:f>IF(AND(C154="RESERVE",D154=""),"DORMANT",IF(K154="","OPEN",IF(AND(I154=H154,J154&lt;&gt;""),"PASS","FAIL")))</x:f>
        <x:v>OPEN</x:v>
      </x:c>
    </x:row>
    <x:row r="155">
      <x:c r="B155" s="28" t="str">
        <x:v>AT-07</x:v>
      </x:c>
      <x:c r="C155" s="28" t="str">
        <x:v>PRIMARY</x:v>
      </x:c>
      <x:c r="D155" s="28" t="str">
        <x:f>INDEX('Attempt Tokens'!$E$7:$E$36,MATCH(B155,'Attempt Tokens'!$B$7:$B$36,0))</x:f>
      </x:c>
      <x:c r="E155" s="28" t="n">
        <x:v>5</x:v>
      </x:c>
      <x:c r="F155" s="28" t="str">
        <x:v>EG-05</x:v>
      </x:c>
      <x:c r="G155" s="28" t="str">
        <x:v>dossier bindings complete</x:v>
      </x:c>
      <x:c r="H155" s="28" t="str">
        <x:v>PASS</x:v>
      </x:c>
      <x:c r="I155" s="29" t="str"/>
      <x:c r="J155" s="29" t="str"/>
      <x:c r="K155" s="29" t="str"/>
      <x:c r="L155" s="28" t="str">
        <x:f>IF(AND(C155="RESERVE",D155=""),"DORMANT",IF(K155="","OPEN",IF(AND(I155=H155,J155&lt;&gt;""),"PASS","FAIL")))</x:f>
        <x:v>OPEN</x:v>
      </x:c>
    </x:row>
    <x:row r="156">
      <x:c r="B156" s="28" t="str">
        <x:v>AT-07</x:v>
      </x:c>
      <x:c r="C156" s="28" t="str">
        <x:v>PRIMARY</x:v>
      </x:c>
      <x:c r="D156" s="28" t="str">
        <x:f>INDEX('Attempt Tokens'!$E$7:$E$36,MATCH(B156,'Attempt Tokens'!$B$7:$B$36,0))</x:f>
      </x:c>
      <x:c r="E156" s="28" t="n">
        <x:v>6</x:v>
      </x:c>
      <x:c r="F156" s="28" t="str">
        <x:v>EG-06</x:v>
      </x:c>
      <x:c r="G156" s="28" t="str">
        <x:v>event crew complete</x:v>
      </x:c>
      <x:c r="H156" s="28" t="str">
        <x:v>PASS</x:v>
      </x:c>
      <x:c r="I156" s="29" t="str"/>
      <x:c r="J156" s="29" t="str"/>
      <x:c r="K156" s="29" t="str"/>
      <x:c r="L156" s="28" t="str">
        <x:f>IF(AND(C156="RESERVE",D156=""),"DORMANT",IF(K156="","OPEN",IF(AND(I156=H156,J156&lt;&gt;""),"PASS","FAIL")))</x:f>
        <x:v>OPEN</x:v>
      </x:c>
    </x:row>
    <x:row r="157">
      <x:c r="B157" s="28" t="str">
        <x:v>AT-07</x:v>
      </x:c>
      <x:c r="C157" s="28" t="str">
        <x:v>PRIMARY</x:v>
      </x:c>
      <x:c r="D157" s="28" t="str">
        <x:f>INDEX('Attempt Tokens'!$E$7:$E$36,MATCH(B157,'Attempt Tokens'!$B$7:$B$36,0))</x:f>
      </x:c>
      <x:c r="E157" s="28" t="n">
        <x:v>7</x:v>
      </x:c>
      <x:c r="F157" s="28" t="str">
        <x:v>EG-07</x:v>
      </x:c>
      <x:c r="G157" s="28" t="str">
        <x:v>configuration freeze complete</x:v>
      </x:c>
      <x:c r="H157" s="28" t="str">
        <x:v>PASS</x:v>
      </x:c>
      <x:c r="I157" s="29" t="str"/>
      <x:c r="J157" s="29" t="str"/>
      <x:c r="K157" s="29" t="str"/>
      <x:c r="L157" s="28" t="str">
        <x:f>IF(AND(C157="RESERVE",D157=""),"DORMANT",IF(K157="","OPEN",IF(AND(I157=H157,J157&lt;&gt;""),"PASS","FAIL")))</x:f>
        <x:v>OPEN</x:v>
      </x:c>
    </x:row>
    <x:row r="158">
      <x:c r="B158" s="28" t="str">
        <x:v>AT-07</x:v>
      </x:c>
      <x:c r="C158" s="28" t="str">
        <x:v>PRIMARY</x:v>
      </x:c>
      <x:c r="D158" s="28" t="str">
        <x:f>INDEX('Attempt Tokens'!$E$7:$E$36,MATCH(B158,'Attempt Tokens'!$B$7:$B$36,0))</x:f>
      </x:c>
      <x:c r="E158" s="28" t="n">
        <x:v>8</x:v>
      </x:c>
      <x:c r="F158" s="28" t="str">
        <x:v>EG-08</x:v>
      </x:c>
      <x:c r="G158" s="28" t="str">
        <x:v>zero-source checks complete</x:v>
      </x:c>
      <x:c r="H158" s="28" t="str">
        <x:v>PASS</x:v>
      </x:c>
      <x:c r="I158" s="29" t="str"/>
      <x:c r="J158" s="29" t="str"/>
      <x:c r="K158" s="29" t="str"/>
      <x:c r="L158" s="28" t="str">
        <x:f>IF(AND(C158="RESERVE",D158=""),"DORMANT",IF(K158="","OPEN",IF(AND(I158=H158,J158&lt;&gt;""),"PASS","FAIL")))</x:f>
        <x:v>OPEN</x:v>
      </x:c>
    </x:row>
    <x:row r="159">
      <x:c r="B159" s="28" t="str">
        <x:v>AT-07</x:v>
      </x:c>
      <x:c r="C159" s="28" t="str">
        <x:v>PRIMARY</x:v>
      </x:c>
      <x:c r="D159" s="28" t="str">
        <x:f>INDEX('Attempt Tokens'!$E$7:$E$36,MATCH(B159,'Attempt Tokens'!$B$7:$B$36,0))</x:f>
      </x:c>
      <x:c r="E159" s="28" t="n">
        <x:v>9</x:v>
      </x:c>
      <x:c r="F159" s="28" t="str">
        <x:v>EG-09</x:v>
      </x:c>
      <x:c r="G159" s="28" t="str">
        <x:v>zero-water checks complete</x:v>
      </x:c>
      <x:c r="H159" s="28" t="str">
        <x:v>PASS</x:v>
      </x:c>
      <x:c r="I159" s="29" t="str"/>
      <x:c r="J159" s="29" t="str"/>
      <x:c r="K159" s="29" t="str"/>
      <x:c r="L159" s="28" t="str">
        <x:f>IF(AND(C159="RESERVE",D159=""),"DORMANT",IF(K159="","OPEN",IF(AND(I159=H159,J159&lt;&gt;""),"PASS","FAIL")))</x:f>
        <x:v>OPEN</x:v>
      </x:c>
    </x:row>
    <x:row r="160">
      <x:c r="B160" s="28" t="str">
        <x:v>AT-07</x:v>
      </x:c>
      <x:c r="C160" s="28" t="str">
        <x:v>PRIMARY</x:v>
      </x:c>
      <x:c r="D160" s="28" t="str">
        <x:f>INDEX('Attempt Tokens'!$E$7:$E$36,MATCH(B160,'Attempt Tokens'!$B$7:$B$36,0))</x:f>
      </x:c>
      <x:c r="E160" s="28" t="n">
        <x:v>10</x:v>
      </x:c>
      <x:c r="F160" s="28" t="str">
        <x:v>EG-10</x:v>
      </x:c>
      <x:c r="G160" s="28" t="str">
        <x:v>uncertainty decisions complete</x:v>
      </x:c>
      <x:c r="H160" s="28" t="str">
        <x:v>PASS</x:v>
      </x:c>
      <x:c r="I160" s="29" t="str"/>
      <x:c r="J160" s="29" t="str"/>
      <x:c r="K160" s="29" t="str"/>
      <x:c r="L160" s="28" t="str">
        <x:f>IF(AND(C160="RESERVE",D160=""),"DORMANT",IF(K160="","OPEN",IF(AND(I160=H160,J160&lt;&gt;""),"PASS","FAIL")))</x:f>
        <x:v>OPEN</x:v>
      </x:c>
    </x:row>
    <x:row r="161">
      <x:c r="B161" s="28" t="str">
        <x:v>AT-07</x:v>
      </x:c>
      <x:c r="C161" s="28" t="str">
        <x:v>PRIMARY</x:v>
      </x:c>
      <x:c r="D161" s="28" t="str">
        <x:f>INDEX('Attempt Tokens'!$E$7:$E$36,MATCH(B161,'Attempt Tokens'!$B$7:$B$36,0))</x:f>
      </x:c>
      <x:c r="E161" s="28" t="n">
        <x:v>11</x:v>
      </x:c>
      <x:c r="F161" s="28" t="str">
        <x:v>EG-11</x:v>
      </x:c>
      <x:c r="G161" s="28" t="str">
        <x:v>measurement windows complete</x:v>
      </x:c>
      <x:c r="H161" s="28" t="str">
        <x:v>PASS</x:v>
      </x:c>
      <x:c r="I161" s="29" t="str"/>
      <x:c r="J161" s="29" t="str"/>
      <x:c r="K161" s="29" t="str"/>
      <x:c r="L161" s="28" t="str">
        <x:f>IF(AND(C161="RESERVE",D161=""),"DORMANT",IF(K161="","OPEN",IF(AND(I161=H161,J161&lt;&gt;""),"PASS","FAIL")))</x:f>
        <x:v>OPEN</x:v>
      </x:c>
    </x:row>
    <x:row r="162">
      <x:c r="B162" s="28" t="str">
        <x:v>AT-07</x:v>
      </x:c>
      <x:c r="C162" s="28" t="str">
        <x:v>PRIMARY</x:v>
      </x:c>
      <x:c r="D162" s="28" t="str">
        <x:f>INDEX('Attempt Tokens'!$E$7:$E$36,MATCH(B162,'Attempt Tokens'!$B$7:$B$36,0))</x:f>
      </x:c>
      <x:c r="E162" s="28" t="n">
        <x:v>12</x:v>
      </x:c>
      <x:c r="F162" s="28" t="str">
        <x:v>EG-12</x:v>
      </x:c>
      <x:c r="G162" s="28" t="str">
        <x:v>neighbor proofs complete</x:v>
      </x:c>
      <x:c r="H162" s="28" t="str">
        <x:v>PASS</x:v>
      </x:c>
      <x:c r="I162" s="29" t="str"/>
      <x:c r="J162" s="29" t="str"/>
      <x:c r="K162" s="29" t="str"/>
      <x:c r="L162" s="28" t="str">
        <x:f>IF(AND(C162="RESERVE",D162=""),"DORMANT",IF(K162="","OPEN",IF(AND(I162=H162,J162&lt;&gt;""),"PASS","FAIL")))</x:f>
        <x:v>OPEN</x:v>
      </x:c>
    </x:row>
    <x:row r="163">
      <x:c r="B163" s="28" t="str">
        <x:v>AT-07</x:v>
      </x:c>
      <x:c r="C163" s="28" t="str">
        <x:v>PRIMARY</x:v>
      </x:c>
      <x:c r="D163" s="28" t="str">
        <x:f>INDEX('Attempt Tokens'!$E$7:$E$36,MATCH(B163,'Attempt Tokens'!$B$7:$B$36,0))</x:f>
      </x:c>
      <x:c r="E163" s="28" t="n">
        <x:v>13</x:v>
      </x:c>
      <x:c r="F163" s="28" t="str">
        <x:v>EG-13</x:v>
      </x:c>
      <x:c r="G163" s="28" t="str">
        <x:v>safeing polls complete</x:v>
      </x:c>
      <x:c r="H163" s="28" t="str">
        <x:v>PASS</x:v>
      </x:c>
      <x:c r="I163" s="29" t="str"/>
      <x:c r="J163" s="29" t="str"/>
      <x:c r="K163" s="29" t="str"/>
      <x:c r="L163" s="28" t="str">
        <x:f>IF(AND(C163="RESERVE",D163=""),"DORMANT",IF(K163="","OPEN",IF(AND(I163=H163,J163&lt;&gt;""),"PASS","FAIL")))</x:f>
        <x:v>OPEN</x:v>
      </x:c>
    </x:row>
    <x:row r="164">
      <x:c r="B164" s="28" t="str">
        <x:v>AT-07</x:v>
      </x:c>
      <x:c r="C164" s="28" t="str">
        <x:v>PRIMARY</x:v>
      </x:c>
      <x:c r="D164" s="28" t="str">
        <x:f>INDEX('Attempt Tokens'!$E$7:$E$36,MATCH(B164,'Attempt Tokens'!$B$7:$B$36,0))</x:f>
      </x:c>
      <x:c r="E164" s="28" t="n">
        <x:v>14</x:v>
      </x:c>
      <x:c r="F164" s="28" t="str">
        <x:v>EG-14</x:v>
      </x:c>
      <x:c r="G164" s="28" t="str">
        <x:v>command transactions complete</x:v>
      </x:c>
      <x:c r="H164" s="28" t="str">
        <x:v>PASS</x:v>
      </x:c>
      <x:c r="I164" s="29" t="str"/>
      <x:c r="J164" s="29" t="str"/>
      <x:c r="K164" s="29" t="str"/>
      <x:c r="L164" s="28" t="str">
        <x:f>IF(AND(C164="RESERVE",D164=""),"DORMANT",IF(K164="","OPEN",IF(AND(I164=H164,J164&lt;&gt;""),"PASS","FAIL")))</x:f>
        <x:v>OPEN</x:v>
      </x:c>
    </x:row>
    <x:row r="165">
      <x:c r="B165" s="28" t="str">
        <x:v>AT-07</x:v>
      </x:c>
      <x:c r="C165" s="28" t="str">
        <x:v>PRIMARY</x:v>
      </x:c>
      <x:c r="D165" s="28" t="str">
        <x:f>INDEX('Attempt Tokens'!$E$7:$E$36,MATCH(B165,'Attempt Tokens'!$B$7:$B$36,0))</x:f>
      </x:c>
      <x:c r="E165" s="28" t="n">
        <x:v>15</x:v>
      </x:c>
      <x:c r="F165" s="28" t="str">
        <x:v>EG-15</x:v>
      </x:c>
      <x:c r="G165" s="28" t="str">
        <x:v>phase clock complete</x:v>
      </x:c>
      <x:c r="H165" s="28" t="str">
        <x:v>PASS</x:v>
      </x:c>
      <x:c r="I165" s="29" t="str"/>
      <x:c r="J165" s="29" t="str"/>
      <x:c r="K165" s="29" t="str"/>
      <x:c r="L165" s="28" t="str">
        <x:f>IF(AND(C165="RESERVE",D165=""),"DORMANT",IF(K165="","OPEN",IF(AND(I165=H165,J165&lt;&gt;""),"PASS","FAIL")))</x:f>
        <x:v>OPEN</x:v>
      </x:c>
    </x:row>
    <x:row r="166">
      <x:c r="B166" s="28" t="str">
        <x:v>AT-07</x:v>
      </x:c>
      <x:c r="C166" s="28" t="str">
        <x:v>PRIMARY</x:v>
      </x:c>
      <x:c r="D166" s="28" t="str">
        <x:f>INDEX('Attempt Tokens'!$E$7:$E$36,MATCH(B166,'Attempt Tokens'!$B$7:$B$36,0))</x:f>
      </x:c>
      <x:c r="E166" s="28" t="n">
        <x:v>16</x:v>
      </x:c>
      <x:c r="F166" s="28" t="str">
        <x:v>EG-16</x:v>
      </x:c>
      <x:c r="G166" s="28" t="str">
        <x:v>holds complete</x:v>
      </x:c>
      <x:c r="H166" s="28" t="str">
        <x:v>PASS</x:v>
      </x:c>
      <x:c r="I166" s="29" t="str"/>
      <x:c r="J166" s="29" t="str"/>
      <x:c r="K166" s="29" t="str"/>
      <x:c r="L166" s="28" t="str">
        <x:f>IF(AND(C166="RESERVE",D166=""),"DORMANT",IF(K166="","OPEN",IF(AND(I166=H166,J166&lt;&gt;""),"PASS","FAIL")))</x:f>
        <x:v>OPEN</x:v>
      </x:c>
    </x:row>
    <x:row r="167">
      <x:c r="B167" s="28" t="str">
        <x:v>AT-07</x:v>
      </x:c>
      <x:c r="C167" s="28" t="str">
        <x:v>PRIMARY</x:v>
      </x:c>
      <x:c r="D167" s="28" t="str">
        <x:f>INDEX('Attempt Tokens'!$E$7:$E$36,MATCH(B167,'Attempt Tokens'!$B$7:$B$36,0))</x:f>
      </x:c>
      <x:c r="E167" s="28" t="n">
        <x:v>17</x:v>
      </x:c>
      <x:c r="F167" s="28" t="str">
        <x:v>EG-17</x:v>
      </x:c>
      <x:c r="G167" s="28" t="str">
        <x:v>evidence obligations complete</x:v>
      </x:c>
      <x:c r="H167" s="28" t="str">
        <x:v>PASS</x:v>
      </x:c>
      <x:c r="I167" s="29" t="str"/>
      <x:c r="J167" s="29" t="str"/>
      <x:c r="K167" s="29" t="str"/>
      <x:c r="L167" s="28" t="str">
        <x:f>IF(AND(C167="RESERVE",D167=""),"DORMANT",IF(K167="","OPEN",IF(AND(I167=H167,J167&lt;&gt;""),"PASS","FAIL")))</x:f>
        <x:v>OPEN</x:v>
      </x:c>
    </x:row>
    <x:row r="168">
      <x:c r="B168" s="28" t="str">
        <x:v>AT-07</x:v>
      </x:c>
      <x:c r="C168" s="28" t="str">
        <x:v>PRIMARY</x:v>
      </x:c>
      <x:c r="D168" s="28" t="str">
        <x:f>INDEX('Attempt Tokens'!$E$7:$E$36,MATCH(B168,'Attempt Tokens'!$B$7:$B$36,0))</x:f>
      </x:c>
      <x:c r="E168" s="28" t="n">
        <x:v>18</x:v>
      </x:c>
      <x:c r="F168" s="28" t="str">
        <x:v>EG-18</x:v>
      </x:c>
      <x:c r="G168" s="28" t="str">
        <x:v>blank samples complete</x:v>
      </x:c>
      <x:c r="H168" s="28" t="str">
        <x:v>PASS</x:v>
      </x:c>
      <x:c r="I168" s="29" t="str"/>
      <x:c r="J168" s="29" t="str"/>
      <x:c r="K168" s="29" t="str"/>
      <x:c r="L168" s="28" t="str">
        <x:f>IF(AND(C168="RESERVE",D168=""),"DORMANT",IF(K168="","OPEN",IF(AND(I168=H168,J168&lt;&gt;""),"PASS","FAIL")))</x:f>
        <x:v>OPEN</x:v>
      </x:c>
    </x:row>
    <x:row r="169">
      <x:c r="B169" s="28" t="str">
        <x:v>AT-07</x:v>
      </x:c>
      <x:c r="C169" s="28" t="str">
        <x:v>PRIMARY</x:v>
      </x:c>
      <x:c r="D169" s="28" t="str">
        <x:f>INDEX('Attempt Tokens'!$E$7:$E$36,MATCH(B169,'Attempt Tokens'!$B$7:$B$36,0))</x:f>
      </x:c>
      <x:c r="E169" s="28" t="n">
        <x:v>19</x:v>
      </x:c>
      <x:c r="F169" s="28" t="str">
        <x:v>EG-19</x:v>
      </x:c>
      <x:c r="G169" s="28" t="str">
        <x:v>abort channels classified</x:v>
      </x:c>
      <x:c r="H169" s="28" t="str">
        <x:v>PASS</x:v>
      </x:c>
      <x:c r="I169" s="29" t="str"/>
      <x:c r="J169" s="29" t="str"/>
      <x:c r="K169" s="29" t="str"/>
      <x:c r="L169" s="28" t="str">
        <x:f>IF(AND(C169="RESERVE",D169=""),"DORMANT",IF(K169="","OPEN",IF(AND(I169=H169,J169&lt;&gt;""),"PASS","FAIL")))</x:f>
        <x:v>OPEN</x:v>
      </x:c>
    </x:row>
    <x:row r="170">
      <x:c r="B170" s="28" t="str">
        <x:v>AT-07</x:v>
      </x:c>
      <x:c r="C170" s="28" t="str">
        <x:v>PRIMARY</x:v>
      </x:c>
      <x:c r="D170" s="28" t="str">
        <x:f>INDEX('Attempt Tokens'!$E$7:$E$36,MATCH(B170,'Attempt Tokens'!$B$7:$B$36,0))</x:f>
      </x:c>
      <x:c r="E170" s="28" t="n">
        <x:v>20</x:v>
      </x:c>
      <x:c r="F170" s="28" t="str">
        <x:v>EG-20</x:v>
      </x:c>
      <x:c r="G170" s="28" t="str">
        <x:v>interventions classified</x:v>
      </x:c>
      <x:c r="H170" s="28" t="str">
        <x:v>PASS</x:v>
      </x:c>
      <x:c r="I170" s="29" t="str"/>
      <x:c r="J170" s="29" t="str"/>
      <x:c r="K170" s="29" t="str"/>
      <x:c r="L170" s="28" t="str">
        <x:f>IF(AND(C170="RESERVE",D170=""),"DORMANT",IF(K170="","OPEN",IF(AND(I170=H170,J170&lt;&gt;""),"PASS","FAIL")))</x:f>
        <x:v>OPEN</x:v>
      </x:c>
    </x:row>
    <x:row r="171">
      <x:c r="B171" s="28" t="str">
        <x:v>AT-07</x:v>
      </x:c>
      <x:c r="C171" s="28" t="str">
        <x:v>PRIMARY</x:v>
      </x:c>
      <x:c r="D171" s="28" t="str">
        <x:f>INDEX('Attempt Tokens'!$E$7:$E$36,MATCH(B171,'Attempt Tokens'!$B$7:$B$36,0))</x:f>
      </x:c>
      <x:c r="E171" s="28" t="n">
        <x:v>21</x:v>
      </x:c>
      <x:c r="F171" s="28" t="str">
        <x:v>EG-21</x:v>
      </x:c>
      <x:c r="G171" s="28" t="str">
        <x:v>event result accepted</x:v>
      </x:c>
      <x:c r="H171" s="28" t="str">
        <x:v>PASS</x:v>
      </x:c>
      <x:c r="I171" s="29" t="str"/>
      <x:c r="J171" s="29" t="str"/>
      <x:c r="K171" s="29" t="str"/>
      <x:c r="L171" s="28" t="str">
        <x:f>IF(AND(C171="RESERVE",D171=""),"DORMANT",IF(K171="","OPEN",IF(AND(I171=H171,J171&lt;&gt;""),"PASS","FAIL")))</x:f>
        <x:v>OPEN</x:v>
      </x:c>
    </x:row>
    <x:row r="172">
      <x:c r="B172" s="28" t="str">
        <x:v>AT-07</x:v>
      </x:c>
      <x:c r="C172" s="28" t="str">
        <x:v>PRIMARY</x:v>
      </x:c>
      <x:c r="D172" s="28" t="str">
        <x:f>INDEX('Attempt Tokens'!$E$7:$E$36,MATCH(B172,'Attempt Tokens'!$B$7:$B$36,0))</x:f>
      </x:c>
      <x:c r="E172" s="28" t="n">
        <x:v>22</x:v>
      </x:c>
      <x:c r="F172" s="28" t="str">
        <x:v>EG-22</x:v>
      </x:c>
      <x:c r="G172" s="28" t="str">
        <x:v>recovery states complete</x:v>
      </x:c>
      <x:c r="H172" s="28" t="str">
        <x:v>PASS</x:v>
      </x:c>
      <x:c r="I172" s="29" t="str"/>
      <x:c r="J172" s="29" t="str"/>
      <x:c r="K172" s="29" t="str"/>
      <x:c r="L172" s="28" t="str">
        <x:f>IF(AND(C172="RESERVE",D172=""),"DORMANT",IF(K172="","OPEN",IF(AND(I172=H172,J172&lt;&gt;""),"PASS","FAIL")))</x:f>
        <x:v>OPEN</x:v>
      </x:c>
    </x:row>
    <x:row r="173">
      <x:c r="B173" s="28" t="str">
        <x:v>AT-07</x:v>
      </x:c>
      <x:c r="C173" s="28" t="str">
        <x:v>PRIMARY</x:v>
      </x:c>
      <x:c r="D173" s="28" t="str">
        <x:f>INDEX('Attempt Tokens'!$E$7:$E$36,MATCH(B173,'Attempt Tokens'!$B$7:$B$36,0))</x:f>
      </x:c>
      <x:c r="E173" s="28" t="n">
        <x:v>23</x:v>
      </x:c>
      <x:c r="F173" s="28" t="str">
        <x:v>EG-23</x:v>
      </x:c>
      <x:c r="G173" s="28" t="str">
        <x:v>regeneration and regression complete</x:v>
      </x:c>
      <x:c r="H173" s="28" t="str">
        <x:v>PASS</x:v>
      </x:c>
      <x:c r="I173" s="29" t="str"/>
      <x:c r="J173" s="29" t="str"/>
      <x:c r="K173" s="29" t="str"/>
      <x:c r="L173" s="28" t="str">
        <x:f>IF(AND(C173="RESERVE",D173=""),"DORMANT",IF(K173="","OPEN",IF(AND(I173=H173,J173&lt;&gt;""),"PASS","FAIL")))</x:f>
        <x:v>OPEN</x:v>
      </x:c>
    </x:row>
    <x:row r="174">
      <x:c r="B174" s="28" t="str">
        <x:v>AT-07</x:v>
      </x:c>
      <x:c r="C174" s="28" t="str">
        <x:v>PRIMARY</x:v>
      </x:c>
      <x:c r="D174" s="28" t="str">
        <x:f>INDEX('Attempt Tokens'!$E$7:$E$36,MATCH(B174,'Attempt Tokens'!$B$7:$B$36,0))</x:f>
      </x:c>
      <x:c r="E174" s="28" t="n">
        <x:v>24</x:v>
      </x:c>
      <x:c r="F174" s="28" t="str">
        <x:v>EG-24</x:v>
      </x:c>
      <x:c r="G174" s="28" t="str">
        <x:v>reentry and packet release complete</x:v>
      </x:c>
      <x:c r="H174" s="28" t="str">
        <x:v>PASS</x:v>
      </x:c>
      <x:c r="I174" s="29" t="str"/>
      <x:c r="J174" s="29" t="str"/>
      <x:c r="K174" s="29" t="str"/>
      <x:c r="L174" s="28" t="str">
        <x:f>IF(AND(C174="RESERVE",D174=""),"DORMANT",IF(K174="","OPEN",IF(AND(I174=H174,J174&lt;&gt;""),"PASS","FAIL")))</x:f>
        <x:v>OPEN</x:v>
      </x:c>
    </x:row>
    <x:row r="175">
      <x:c r="B175" s="28" t="str">
        <x:v>AT-08</x:v>
      </x:c>
      <x:c r="C175" s="28" t="str">
        <x:v>PRIMARY</x:v>
      </x:c>
      <x:c r="D175" s="28" t="str">
        <x:f>INDEX('Attempt Tokens'!$E$7:$E$36,MATCH(B175,'Attempt Tokens'!$B$7:$B$36,0))</x:f>
      </x:c>
      <x:c r="E175" s="28" t="n">
        <x:v>1</x:v>
      </x:c>
      <x:c r="F175" s="28" t="str">
        <x:v>EG-01</x:v>
      </x:c>
      <x:c r="G175" s="28" t="str">
        <x:v>RAX or renewed pair credential current</x:v>
      </x:c>
      <x:c r="H175" s="28" t="str">
        <x:v>PASS</x:v>
      </x:c>
      <x:c r="I175" s="29" t="str"/>
      <x:c r="J175" s="29" t="str"/>
      <x:c r="K175" s="29" t="str"/>
      <x:c r="L175" s="28" t="str">
        <x:f>IF(AND(C175="RESERVE",D175=""),"DORMANT",IF(K175="","OPEN",IF(AND(I175=H175,J175&lt;&gt;""),"PASS","FAIL")))</x:f>
        <x:v>OPEN</x:v>
      </x:c>
    </x:row>
    <x:row r="176">
      <x:c r="B176" s="28" t="str">
        <x:v>AT-08</x:v>
      </x:c>
      <x:c r="C176" s="28" t="str">
        <x:v>PRIMARY</x:v>
      </x:c>
      <x:c r="D176" s="28" t="str">
        <x:f>INDEX('Attempt Tokens'!$E$7:$E$36,MATCH(B176,'Attempt Tokens'!$B$7:$B$36,0))</x:f>
      </x:c>
      <x:c r="E176" s="28" t="n">
        <x:v>2</x:v>
      </x:c>
      <x:c r="F176" s="28" t="str">
        <x:v>EG-02</x:v>
      </x:c>
      <x:c r="G176" s="28" t="str">
        <x:v>candidate cell eligible</x:v>
      </x:c>
      <x:c r="H176" s="28" t="str">
        <x:v>PASS</x:v>
      </x:c>
      <x:c r="I176" s="29" t="str"/>
      <x:c r="J176" s="29" t="str"/>
      <x:c r="K176" s="29" t="str"/>
      <x:c r="L176" s="28" t="str">
        <x:f>IF(AND(C176="RESERVE",D176=""),"DORMANT",IF(K176="","OPEN",IF(AND(I176=H176,J176&lt;&gt;""),"PASS","FAIL")))</x:f>
        <x:v>OPEN</x:v>
      </x:c>
    </x:row>
    <x:row r="177">
      <x:c r="B177" s="28" t="str">
        <x:v>AT-08</x:v>
      </x:c>
      <x:c r="C177" s="28" t="str">
        <x:v>PRIMARY</x:v>
      </x:c>
      <x:c r="D177" s="28" t="str">
        <x:f>INDEX('Attempt Tokens'!$E$7:$E$36,MATCH(B177,'Attempt Tokens'!$B$7:$B$36,0))</x:f>
      </x:c>
      <x:c r="E177" s="28" t="n">
        <x:v>3</x:v>
      </x:c>
      <x:c r="F177" s="28" t="str">
        <x:v>EG-03</x:v>
      </x:c>
      <x:c r="G177" s="28" t="str">
        <x:v>draw and schedule binding complete</x:v>
      </x:c>
      <x:c r="H177" s="28" t="str">
        <x:v>PASS</x:v>
      </x:c>
      <x:c r="I177" s="29" t="str"/>
      <x:c r="J177" s="29" t="str"/>
      <x:c r="K177" s="29" t="str"/>
      <x:c r="L177" s="28" t="str">
        <x:f>IF(AND(C177="RESERVE",D177=""),"DORMANT",IF(K177="","OPEN",IF(AND(I177=H177,J177&lt;&gt;""),"PASS","FAIL")))</x:f>
        <x:v>OPEN</x:v>
      </x:c>
    </x:row>
    <x:row r="178">
      <x:c r="B178" s="28" t="str">
        <x:v>AT-08</x:v>
      </x:c>
      <x:c r="C178" s="28" t="str">
        <x:v>PRIMARY</x:v>
      </x:c>
      <x:c r="D178" s="28" t="str">
        <x:f>INDEX('Attempt Tokens'!$E$7:$E$36,MATCH(B178,'Attempt Tokens'!$B$7:$B$36,0))</x:f>
      </x:c>
      <x:c r="E178" s="28" t="n">
        <x:v>4</x:v>
      </x:c>
      <x:c r="F178" s="28" t="str">
        <x:v>EG-04</x:v>
      </x:c>
      <x:c r="G178" s="28" t="str">
        <x:v>event issue accepted</x:v>
      </x:c>
      <x:c r="H178" s="28" t="str">
        <x:v>PASS</x:v>
      </x:c>
      <x:c r="I178" s="29" t="str"/>
      <x:c r="J178" s="29" t="str"/>
      <x:c r="K178" s="29" t="str"/>
      <x:c r="L178" s="28" t="str">
        <x:f>IF(AND(C178="RESERVE",D178=""),"DORMANT",IF(K178="","OPEN",IF(AND(I178=H178,J178&lt;&gt;""),"PASS","FAIL")))</x:f>
        <x:v>OPEN</x:v>
      </x:c>
    </x:row>
    <x:row r="179">
      <x:c r="B179" s="28" t="str">
        <x:v>AT-08</x:v>
      </x:c>
      <x:c r="C179" s="28" t="str">
        <x:v>PRIMARY</x:v>
      </x:c>
      <x:c r="D179" s="28" t="str">
        <x:f>INDEX('Attempt Tokens'!$E$7:$E$36,MATCH(B179,'Attempt Tokens'!$B$7:$B$36,0))</x:f>
      </x:c>
      <x:c r="E179" s="28" t="n">
        <x:v>5</x:v>
      </x:c>
      <x:c r="F179" s="28" t="str">
        <x:v>EG-05</x:v>
      </x:c>
      <x:c r="G179" s="28" t="str">
        <x:v>dossier bindings complete</x:v>
      </x:c>
      <x:c r="H179" s="28" t="str">
        <x:v>PASS</x:v>
      </x:c>
      <x:c r="I179" s="29" t="str"/>
      <x:c r="J179" s="29" t="str"/>
      <x:c r="K179" s="29" t="str"/>
      <x:c r="L179" s="28" t="str">
        <x:f>IF(AND(C179="RESERVE",D179=""),"DORMANT",IF(K179="","OPEN",IF(AND(I179=H179,J179&lt;&gt;""),"PASS","FAIL")))</x:f>
        <x:v>OPEN</x:v>
      </x:c>
    </x:row>
    <x:row r="180">
      <x:c r="B180" s="28" t="str">
        <x:v>AT-08</x:v>
      </x:c>
      <x:c r="C180" s="28" t="str">
        <x:v>PRIMARY</x:v>
      </x:c>
      <x:c r="D180" s="28" t="str">
        <x:f>INDEX('Attempt Tokens'!$E$7:$E$36,MATCH(B180,'Attempt Tokens'!$B$7:$B$36,0))</x:f>
      </x:c>
      <x:c r="E180" s="28" t="n">
        <x:v>6</x:v>
      </x:c>
      <x:c r="F180" s="28" t="str">
        <x:v>EG-06</x:v>
      </x:c>
      <x:c r="G180" s="28" t="str">
        <x:v>event crew complete</x:v>
      </x:c>
      <x:c r="H180" s="28" t="str">
        <x:v>PASS</x:v>
      </x:c>
      <x:c r="I180" s="29" t="str"/>
      <x:c r="J180" s="29" t="str"/>
      <x:c r="K180" s="29" t="str"/>
      <x:c r="L180" s="28" t="str">
        <x:f>IF(AND(C180="RESERVE",D180=""),"DORMANT",IF(K180="","OPEN",IF(AND(I180=H180,J180&lt;&gt;""),"PASS","FAIL")))</x:f>
        <x:v>OPEN</x:v>
      </x:c>
    </x:row>
    <x:row r="181">
      <x:c r="B181" s="28" t="str">
        <x:v>AT-08</x:v>
      </x:c>
      <x:c r="C181" s="28" t="str">
        <x:v>PRIMARY</x:v>
      </x:c>
      <x:c r="D181" s="28" t="str">
        <x:f>INDEX('Attempt Tokens'!$E$7:$E$36,MATCH(B181,'Attempt Tokens'!$B$7:$B$36,0))</x:f>
      </x:c>
      <x:c r="E181" s="28" t="n">
        <x:v>7</x:v>
      </x:c>
      <x:c r="F181" s="28" t="str">
        <x:v>EG-07</x:v>
      </x:c>
      <x:c r="G181" s="28" t="str">
        <x:v>configuration freeze complete</x:v>
      </x:c>
      <x:c r="H181" s="28" t="str">
        <x:v>PASS</x:v>
      </x:c>
      <x:c r="I181" s="29" t="str"/>
      <x:c r="J181" s="29" t="str"/>
      <x:c r="K181" s="29" t="str"/>
      <x:c r="L181" s="28" t="str">
        <x:f>IF(AND(C181="RESERVE",D181=""),"DORMANT",IF(K181="","OPEN",IF(AND(I181=H181,J181&lt;&gt;""),"PASS","FAIL")))</x:f>
        <x:v>OPEN</x:v>
      </x:c>
    </x:row>
    <x:row r="182">
      <x:c r="B182" s="28" t="str">
        <x:v>AT-08</x:v>
      </x:c>
      <x:c r="C182" s="28" t="str">
        <x:v>PRIMARY</x:v>
      </x:c>
      <x:c r="D182" s="28" t="str">
        <x:f>INDEX('Attempt Tokens'!$E$7:$E$36,MATCH(B182,'Attempt Tokens'!$B$7:$B$36,0))</x:f>
      </x:c>
      <x:c r="E182" s="28" t="n">
        <x:v>8</x:v>
      </x:c>
      <x:c r="F182" s="28" t="str">
        <x:v>EG-08</x:v>
      </x:c>
      <x:c r="G182" s="28" t="str">
        <x:v>zero-source checks complete</x:v>
      </x:c>
      <x:c r="H182" s="28" t="str">
        <x:v>PASS</x:v>
      </x:c>
      <x:c r="I182" s="29" t="str"/>
      <x:c r="J182" s="29" t="str"/>
      <x:c r="K182" s="29" t="str"/>
      <x:c r="L182" s="28" t="str">
        <x:f>IF(AND(C182="RESERVE",D182=""),"DORMANT",IF(K182="","OPEN",IF(AND(I182=H182,J182&lt;&gt;""),"PASS","FAIL")))</x:f>
        <x:v>OPEN</x:v>
      </x:c>
    </x:row>
    <x:row r="183">
      <x:c r="B183" s="28" t="str">
        <x:v>AT-08</x:v>
      </x:c>
      <x:c r="C183" s="28" t="str">
        <x:v>PRIMARY</x:v>
      </x:c>
      <x:c r="D183" s="28" t="str">
        <x:f>INDEX('Attempt Tokens'!$E$7:$E$36,MATCH(B183,'Attempt Tokens'!$B$7:$B$36,0))</x:f>
      </x:c>
      <x:c r="E183" s="28" t="n">
        <x:v>9</x:v>
      </x:c>
      <x:c r="F183" s="28" t="str">
        <x:v>EG-09</x:v>
      </x:c>
      <x:c r="G183" s="28" t="str">
        <x:v>zero-water checks complete</x:v>
      </x:c>
      <x:c r="H183" s="28" t="str">
        <x:v>PASS</x:v>
      </x:c>
      <x:c r="I183" s="29" t="str"/>
      <x:c r="J183" s="29" t="str"/>
      <x:c r="K183" s="29" t="str"/>
      <x:c r="L183" s="28" t="str">
        <x:f>IF(AND(C183="RESERVE",D183=""),"DORMANT",IF(K183="","OPEN",IF(AND(I183=H183,J183&lt;&gt;""),"PASS","FAIL")))</x:f>
        <x:v>OPEN</x:v>
      </x:c>
    </x:row>
    <x:row r="184">
      <x:c r="B184" s="28" t="str">
        <x:v>AT-08</x:v>
      </x:c>
      <x:c r="C184" s="28" t="str">
        <x:v>PRIMARY</x:v>
      </x:c>
      <x:c r="D184" s="28" t="str">
        <x:f>INDEX('Attempt Tokens'!$E$7:$E$36,MATCH(B184,'Attempt Tokens'!$B$7:$B$36,0))</x:f>
      </x:c>
      <x:c r="E184" s="28" t="n">
        <x:v>10</x:v>
      </x:c>
      <x:c r="F184" s="28" t="str">
        <x:v>EG-10</x:v>
      </x:c>
      <x:c r="G184" s="28" t="str">
        <x:v>uncertainty decisions complete</x:v>
      </x:c>
      <x:c r="H184" s="28" t="str">
        <x:v>PASS</x:v>
      </x:c>
      <x:c r="I184" s="29" t="str"/>
      <x:c r="J184" s="29" t="str"/>
      <x:c r="K184" s="29" t="str"/>
      <x:c r="L184" s="28" t="str">
        <x:f>IF(AND(C184="RESERVE",D184=""),"DORMANT",IF(K184="","OPEN",IF(AND(I184=H184,J184&lt;&gt;""),"PASS","FAIL")))</x:f>
        <x:v>OPEN</x:v>
      </x:c>
    </x:row>
    <x:row r="185">
      <x:c r="B185" s="28" t="str">
        <x:v>AT-08</x:v>
      </x:c>
      <x:c r="C185" s="28" t="str">
        <x:v>PRIMARY</x:v>
      </x:c>
      <x:c r="D185" s="28" t="str">
        <x:f>INDEX('Attempt Tokens'!$E$7:$E$36,MATCH(B185,'Attempt Tokens'!$B$7:$B$36,0))</x:f>
      </x:c>
      <x:c r="E185" s="28" t="n">
        <x:v>11</x:v>
      </x:c>
      <x:c r="F185" s="28" t="str">
        <x:v>EG-11</x:v>
      </x:c>
      <x:c r="G185" s="28" t="str">
        <x:v>measurement windows complete</x:v>
      </x:c>
      <x:c r="H185" s="28" t="str">
        <x:v>PASS</x:v>
      </x:c>
      <x:c r="I185" s="29" t="str"/>
      <x:c r="J185" s="29" t="str"/>
      <x:c r="K185" s="29" t="str"/>
      <x:c r="L185" s="28" t="str">
        <x:f>IF(AND(C185="RESERVE",D185=""),"DORMANT",IF(K185="","OPEN",IF(AND(I185=H185,J185&lt;&gt;""),"PASS","FAIL")))</x:f>
        <x:v>OPEN</x:v>
      </x:c>
    </x:row>
    <x:row r="186">
      <x:c r="B186" s="28" t="str">
        <x:v>AT-08</x:v>
      </x:c>
      <x:c r="C186" s="28" t="str">
        <x:v>PRIMARY</x:v>
      </x:c>
      <x:c r="D186" s="28" t="str">
        <x:f>INDEX('Attempt Tokens'!$E$7:$E$36,MATCH(B186,'Attempt Tokens'!$B$7:$B$36,0))</x:f>
      </x:c>
      <x:c r="E186" s="28" t="n">
        <x:v>12</x:v>
      </x:c>
      <x:c r="F186" s="28" t="str">
        <x:v>EG-12</x:v>
      </x:c>
      <x:c r="G186" s="28" t="str">
        <x:v>neighbor proofs complete</x:v>
      </x:c>
      <x:c r="H186" s="28" t="str">
        <x:v>PASS</x:v>
      </x:c>
      <x:c r="I186" s="29" t="str"/>
      <x:c r="J186" s="29" t="str"/>
      <x:c r="K186" s="29" t="str"/>
      <x:c r="L186" s="28" t="str">
        <x:f>IF(AND(C186="RESERVE",D186=""),"DORMANT",IF(K186="","OPEN",IF(AND(I186=H186,J186&lt;&gt;""),"PASS","FAIL")))</x:f>
        <x:v>OPEN</x:v>
      </x:c>
    </x:row>
    <x:row r="187">
      <x:c r="B187" s="28" t="str">
        <x:v>AT-08</x:v>
      </x:c>
      <x:c r="C187" s="28" t="str">
        <x:v>PRIMARY</x:v>
      </x:c>
      <x:c r="D187" s="28" t="str">
        <x:f>INDEX('Attempt Tokens'!$E$7:$E$36,MATCH(B187,'Attempt Tokens'!$B$7:$B$36,0))</x:f>
      </x:c>
      <x:c r="E187" s="28" t="n">
        <x:v>13</x:v>
      </x:c>
      <x:c r="F187" s="28" t="str">
        <x:v>EG-13</x:v>
      </x:c>
      <x:c r="G187" s="28" t="str">
        <x:v>safeing polls complete</x:v>
      </x:c>
      <x:c r="H187" s="28" t="str">
        <x:v>PASS</x:v>
      </x:c>
      <x:c r="I187" s="29" t="str"/>
      <x:c r="J187" s="29" t="str"/>
      <x:c r="K187" s="29" t="str"/>
      <x:c r="L187" s="28" t="str">
        <x:f>IF(AND(C187="RESERVE",D187=""),"DORMANT",IF(K187="","OPEN",IF(AND(I187=H187,J187&lt;&gt;""),"PASS","FAIL")))</x:f>
        <x:v>OPEN</x:v>
      </x:c>
    </x:row>
    <x:row r="188">
      <x:c r="B188" s="28" t="str">
        <x:v>AT-08</x:v>
      </x:c>
      <x:c r="C188" s="28" t="str">
        <x:v>PRIMARY</x:v>
      </x:c>
      <x:c r="D188" s="28" t="str">
        <x:f>INDEX('Attempt Tokens'!$E$7:$E$36,MATCH(B188,'Attempt Tokens'!$B$7:$B$36,0))</x:f>
      </x:c>
      <x:c r="E188" s="28" t="n">
        <x:v>14</x:v>
      </x:c>
      <x:c r="F188" s="28" t="str">
        <x:v>EG-14</x:v>
      </x:c>
      <x:c r="G188" s="28" t="str">
        <x:v>command transactions complete</x:v>
      </x:c>
      <x:c r="H188" s="28" t="str">
        <x:v>PASS</x:v>
      </x:c>
      <x:c r="I188" s="29" t="str"/>
      <x:c r="J188" s="29" t="str"/>
      <x:c r="K188" s="29" t="str"/>
      <x:c r="L188" s="28" t="str">
        <x:f>IF(AND(C188="RESERVE",D188=""),"DORMANT",IF(K188="","OPEN",IF(AND(I188=H188,J188&lt;&gt;""),"PASS","FAIL")))</x:f>
        <x:v>OPEN</x:v>
      </x:c>
    </x:row>
    <x:row r="189">
      <x:c r="B189" s="28" t="str">
        <x:v>AT-08</x:v>
      </x:c>
      <x:c r="C189" s="28" t="str">
        <x:v>PRIMARY</x:v>
      </x:c>
      <x:c r="D189" s="28" t="str">
        <x:f>INDEX('Attempt Tokens'!$E$7:$E$36,MATCH(B189,'Attempt Tokens'!$B$7:$B$36,0))</x:f>
      </x:c>
      <x:c r="E189" s="28" t="n">
        <x:v>15</x:v>
      </x:c>
      <x:c r="F189" s="28" t="str">
        <x:v>EG-15</x:v>
      </x:c>
      <x:c r="G189" s="28" t="str">
        <x:v>phase clock complete</x:v>
      </x:c>
      <x:c r="H189" s="28" t="str">
        <x:v>PASS</x:v>
      </x:c>
      <x:c r="I189" s="29" t="str"/>
      <x:c r="J189" s="29" t="str"/>
      <x:c r="K189" s="29" t="str"/>
      <x:c r="L189" s="28" t="str">
        <x:f>IF(AND(C189="RESERVE",D189=""),"DORMANT",IF(K189="","OPEN",IF(AND(I189=H189,J189&lt;&gt;""),"PASS","FAIL")))</x:f>
        <x:v>OPEN</x:v>
      </x:c>
    </x:row>
    <x:row r="190">
      <x:c r="B190" s="28" t="str">
        <x:v>AT-08</x:v>
      </x:c>
      <x:c r="C190" s="28" t="str">
        <x:v>PRIMARY</x:v>
      </x:c>
      <x:c r="D190" s="28" t="str">
        <x:f>INDEX('Attempt Tokens'!$E$7:$E$36,MATCH(B190,'Attempt Tokens'!$B$7:$B$36,0))</x:f>
      </x:c>
      <x:c r="E190" s="28" t="n">
        <x:v>16</x:v>
      </x:c>
      <x:c r="F190" s="28" t="str">
        <x:v>EG-16</x:v>
      </x:c>
      <x:c r="G190" s="28" t="str">
        <x:v>holds complete</x:v>
      </x:c>
      <x:c r="H190" s="28" t="str">
        <x:v>PASS</x:v>
      </x:c>
      <x:c r="I190" s="29" t="str"/>
      <x:c r="J190" s="29" t="str"/>
      <x:c r="K190" s="29" t="str"/>
      <x:c r="L190" s="28" t="str">
        <x:f>IF(AND(C190="RESERVE",D190=""),"DORMANT",IF(K190="","OPEN",IF(AND(I190=H190,J190&lt;&gt;""),"PASS","FAIL")))</x:f>
        <x:v>OPEN</x:v>
      </x:c>
    </x:row>
    <x:row r="191">
      <x:c r="B191" s="28" t="str">
        <x:v>AT-08</x:v>
      </x:c>
      <x:c r="C191" s="28" t="str">
        <x:v>PRIMARY</x:v>
      </x:c>
      <x:c r="D191" s="28" t="str">
        <x:f>INDEX('Attempt Tokens'!$E$7:$E$36,MATCH(B191,'Attempt Tokens'!$B$7:$B$36,0))</x:f>
      </x:c>
      <x:c r="E191" s="28" t="n">
        <x:v>17</x:v>
      </x:c>
      <x:c r="F191" s="28" t="str">
        <x:v>EG-17</x:v>
      </x:c>
      <x:c r="G191" s="28" t="str">
        <x:v>evidence obligations complete</x:v>
      </x:c>
      <x:c r="H191" s="28" t="str">
        <x:v>PASS</x:v>
      </x:c>
      <x:c r="I191" s="29" t="str"/>
      <x:c r="J191" s="29" t="str"/>
      <x:c r="K191" s="29" t="str"/>
      <x:c r="L191" s="28" t="str">
        <x:f>IF(AND(C191="RESERVE",D191=""),"DORMANT",IF(K191="","OPEN",IF(AND(I191=H191,J191&lt;&gt;""),"PASS","FAIL")))</x:f>
        <x:v>OPEN</x:v>
      </x:c>
    </x:row>
    <x:row r="192">
      <x:c r="B192" s="28" t="str">
        <x:v>AT-08</x:v>
      </x:c>
      <x:c r="C192" s="28" t="str">
        <x:v>PRIMARY</x:v>
      </x:c>
      <x:c r="D192" s="28" t="str">
        <x:f>INDEX('Attempt Tokens'!$E$7:$E$36,MATCH(B192,'Attempt Tokens'!$B$7:$B$36,0))</x:f>
      </x:c>
      <x:c r="E192" s="28" t="n">
        <x:v>18</x:v>
      </x:c>
      <x:c r="F192" s="28" t="str">
        <x:v>EG-18</x:v>
      </x:c>
      <x:c r="G192" s="28" t="str">
        <x:v>blank samples complete</x:v>
      </x:c>
      <x:c r="H192" s="28" t="str">
        <x:v>PASS</x:v>
      </x:c>
      <x:c r="I192" s="29" t="str"/>
      <x:c r="J192" s="29" t="str"/>
      <x:c r="K192" s="29" t="str"/>
      <x:c r="L192" s="28" t="str">
        <x:f>IF(AND(C192="RESERVE",D192=""),"DORMANT",IF(K192="","OPEN",IF(AND(I192=H192,J192&lt;&gt;""),"PASS","FAIL")))</x:f>
        <x:v>OPEN</x:v>
      </x:c>
    </x:row>
    <x:row r="193">
      <x:c r="B193" s="28" t="str">
        <x:v>AT-08</x:v>
      </x:c>
      <x:c r="C193" s="28" t="str">
        <x:v>PRIMARY</x:v>
      </x:c>
      <x:c r="D193" s="28" t="str">
        <x:f>INDEX('Attempt Tokens'!$E$7:$E$36,MATCH(B193,'Attempt Tokens'!$B$7:$B$36,0))</x:f>
      </x:c>
      <x:c r="E193" s="28" t="n">
        <x:v>19</x:v>
      </x:c>
      <x:c r="F193" s="28" t="str">
        <x:v>EG-19</x:v>
      </x:c>
      <x:c r="G193" s="28" t="str">
        <x:v>abort channels classified</x:v>
      </x:c>
      <x:c r="H193" s="28" t="str">
        <x:v>PASS</x:v>
      </x:c>
      <x:c r="I193" s="29" t="str"/>
      <x:c r="J193" s="29" t="str"/>
      <x:c r="K193" s="29" t="str"/>
      <x:c r="L193" s="28" t="str">
        <x:f>IF(AND(C193="RESERVE",D193=""),"DORMANT",IF(K193="","OPEN",IF(AND(I193=H193,J193&lt;&gt;""),"PASS","FAIL")))</x:f>
        <x:v>OPEN</x:v>
      </x:c>
    </x:row>
    <x:row r="194">
      <x:c r="B194" s="28" t="str">
        <x:v>AT-08</x:v>
      </x:c>
      <x:c r="C194" s="28" t="str">
        <x:v>PRIMARY</x:v>
      </x:c>
      <x:c r="D194" s="28" t="str">
        <x:f>INDEX('Attempt Tokens'!$E$7:$E$36,MATCH(B194,'Attempt Tokens'!$B$7:$B$36,0))</x:f>
      </x:c>
      <x:c r="E194" s="28" t="n">
        <x:v>20</x:v>
      </x:c>
      <x:c r="F194" s="28" t="str">
        <x:v>EG-20</x:v>
      </x:c>
      <x:c r="G194" s="28" t="str">
        <x:v>interventions classified</x:v>
      </x:c>
      <x:c r="H194" s="28" t="str">
        <x:v>PASS</x:v>
      </x:c>
      <x:c r="I194" s="29" t="str"/>
      <x:c r="J194" s="29" t="str"/>
      <x:c r="K194" s="29" t="str"/>
      <x:c r="L194" s="28" t="str">
        <x:f>IF(AND(C194="RESERVE",D194=""),"DORMANT",IF(K194="","OPEN",IF(AND(I194=H194,J194&lt;&gt;""),"PASS","FAIL")))</x:f>
        <x:v>OPEN</x:v>
      </x:c>
    </x:row>
    <x:row r="195">
      <x:c r="B195" s="28" t="str">
        <x:v>AT-08</x:v>
      </x:c>
      <x:c r="C195" s="28" t="str">
        <x:v>PRIMARY</x:v>
      </x:c>
      <x:c r="D195" s="28" t="str">
        <x:f>INDEX('Attempt Tokens'!$E$7:$E$36,MATCH(B195,'Attempt Tokens'!$B$7:$B$36,0))</x:f>
      </x:c>
      <x:c r="E195" s="28" t="n">
        <x:v>21</x:v>
      </x:c>
      <x:c r="F195" s="28" t="str">
        <x:v>EG-21</x:v>
      </x:c>
      <x:c r="G195" s="28" t="str">
        <x:v>event result accepted</x:v>
      </x:c>
      <x:c r="H195" s="28" t="str">
        <x:v>PASS</x:v>
      </x:c>
      <x:c r="I195" s="29" t="str"/>
      <x:c r="J195" s="29" t="str"/>
      <x:c r="K195" s="29" t="str"/>
      <x:c r="L195" s="28" t="str">
        <x:f>IF(AND(C195="RESERVE",D195=""),"DORMANT",IF(K195="","OPEN",IF(AND(I195=H195,J195&lt;&gt;""),"PASS","FAIL")))</x:f>
        <x:v>OPEN</x:v>
      </x:c>
    </x:row>
    <x:row r="196">
      <x:c r="B196" s="28" t="str">
        <x:v>AT-08</x:v>
      </x:c>
      <x:c r="C196" s="28" t="str">
        <x:v>PRIMARY</x:v>
      </x:c>
      <x:c r="D196" s="28" t="str">
        <x:f>INDEX('Attempt Tokens'!$E$7:$E$36,MATCH(B196,'Attempt Tokens'!$B$7:$B$36,0))</x:f>
      </x:c>
      <x:c r="E196" s="28" t="n">
        <x:v>22</x:v>
      </x:c>
      <x:c r="F196" s="28" t="str">
        <x:v>EG-22</x:v>
      </x:c>
      <x:c r="G196" s="28" t="str">
        <x:v>recovery states complete</x:v>
      </x:c>
      <x:c r="H196" s="28" t="str">
        <x:v>PASS</x:v>
      </x:c>
      <x:c r="I196" s="29" t="str"/>
      <x:c r="J196" s="29" t="str"/>
      <x:c r="K196" s="29" t="str"/>
      <x:c r="L196" s="28" t="str">
        <x:f>IF(AND(C196="RESERVE",D196=""),"DORMANT",IF(K196="","OPEN",IF(AND(I196=H196,J196&lt;&gt;""),"PASS","FAIL")))</x:f>
        <x:v>OPEN</x:v>
      </x:c>
    </x:row>
    <x:row r="197">
      <x:c r="B197" s="28" t="str">
        <x:v>AT-08</x:v>
      </x:c>
      <x:c r="C197" s="28" t="str">
        <x:v>PRIMARY</x:v>
      </x:c>
      <x:c r="D197" s="28" t="str">
        <x:f>INDEX('Attempt Tokens'!$E$7:$E$36,MATCH(B197,'Attempt Tokens'!$B$7:$B$36,0))</x:f>
      </x:c>
      <x:c r="E197" s="28" t="n">
        <x:v>23</x:v>
      </x:c>
      <x:c r="F197" s="28" t="str">
        <x:v>EG-23</x:v>
      </x:c>
      <x:c r="G197" s="28" t="str">
        <x:v>regeneration and regression complete</x:v>
      </x:c>
      <x:c r="H197" s="28" t="str">
        <x:v>PASS</x:v>
      </x:c>
      <x:c r="I197" s="29" t="str"/>
      <x:c r="J197" s="29" t="str"/>
      <x:c r="K197" s="29" t="str"/>
      <x:c r="L197" s="28" t="str">
        <x:f>IF(AND(C197="RESERVE",D197=""),"DORMANT",IF(K197="","OPEN",IF(AND(I197=H197,J197&lt;&gt;""),"PASS","FAIL")))</x:f>
        <x:v>OPEN</x:v>
      </x:c>
    </x:row>
    <x:row r="198">
      <x:c r="B198" s="28" t="str">
        <x:v>AT-08</x:v>
      </x:c>
      <x:c r="C198" s="28" t="str">
        <x:v>PRIMARY</x:v>
      </x:c>
      <x:c r="D198" s="28" t="str">
        <x:f>INDEX('Attempt Tokens'!$E$7:$E$36,MATCH(B198,'Attempt Tokens'!$B$7:$B$36,0))</x:f>
      </x:c>
      <x:c r="E198" s="28" t="n">
        <x:v>24</x:v>
      </x:c>
      <x:c r="F198" s="28" t="str">
        <x:v>EG-24</x:v>
      </x:c>
      <x:c r="G198" s="28" t="str">
        <x:v>reentry and packet release complete</x:v>
      </x:c>
      <x:c r="H198" s="28" t="str">
        <x:v>PASS</x:v>
      </x:c>
      <x:c r="I198" s="29" t="str"/>
      <x:c r="J198" s="29" t="str"/>
      <x:c r="K198" s="29" t="str"/>
      <x:c r="L198" s="28" t="str">
        <x:f>IF(AND(C198="RESERVE",D198=""),"DORMANT",IF(K198="","OPEN",IF(AND(I198=H198,J198&lt;&gt;""),"PASS","FAIL")))</x:f>
        <x:v>OPEN</x:v>
      </x:c>
    </x:row>
    <x:row r="199">
      <x:c r="B199" s="28" t="str">
        <x:v>AT-09</x:v>
      </x:c>
      <x:c r="C199" s="28" t="str">
        <x:v>PRIMARY</x:v>
      </x:c>
      <x:c r="D199" s="28" t="str">
        <x:f>INDEX('Attempt Tokens'!$E$7:$E$36,MATCH(B199,'Attempt Tokens'!$B$7:$B$36,0))</x:f>
      </x:c>
      <x:c r="E199" s="28" t="n">
        <x:v>1</x:v>
      </x:c>
      <x:c r="F199" s="28" t="str">
        <x:v>EG-01</x:v>
      </x:c>
      <x:c r="G199" s="28" t="str">
        <x:v>RAX or renewed pair credential current</x:v>
      </x:c>
      <x:c r="H199" s="28" t="str">
        <x:v>PASS</x:v>
      </x:c>
      <x:c r="I199" s="29" t="str"/>
      <x:c r="J199" s="29" t="str"/>
      <x:c r="K199" s="29" t="str"/>
      <x:c r="L199" s="28" t="str">
        <x:f>IF(AND(C199="RESERVE",D199=""),"DORMANT",IF(K199="","OPEN",IF(AND(I199=H199,J199&lt;&gt;""),"PASS","FAIL")))</x:f>
        <x:v>OPEN</x:v>
      </x:c>
    </x:row>
    <x:row r="200">
      <x:c r="B200" s="28" t="str">
        <x:v>AT-09</x:v>
      </x:c>
      <x:c r="C200" s="28" t="str">
        <x:v>PRIMARY</x:v>
      </x:c>
      <x:c r="D200" s="28" t="str">
        <x:f>INDEX('Attempt Tokens'!$E$7:$E$36,MATCH(B200,'Attempt Tokens'!$B$7:$B$36,0))</x:f>
      </x:c>
      <x:c r="E200" s="28" t="n">
        <x:v>2</x:v>
      </x:c>
      <x:c r="F200" s="28" t="str">
        <x:v>EG-02</x:v>
      </x:c>
      <x:c r="G200" s="28" t="str">
        <x:v>candidate cell eligible</x:v>
      </x:c>
      <x:c r="H200" s="28" t="str">
        <x:v>PASS</x:v>
      </x:c>
      <x:c r="I200" s="29" t="str"/>
      <x:c r="J200" s="29" t="str"/>
      <x:c r="K200" s="29" t="str"/>
      <x:c r="L200" s="28" t="str">
        <x:f>IF(AND(C200="RESERVE",D200=""),"DORMANT",IF(K200="","OPEN",IF(AND(I200=H200,J200&lt;&gt;""),"PASS","FAIL")))</x:f>
        <x:v>OPEN</x:v>
      </x:c>
    </x:row>
    <x:row r="201">
      <x:c r="B201" s="28" t="str">
        <x:v>AT-09</x:v>
      </x:c>
      <x:c r="C201" s="28" t="str">
        <x:v>PRIMARY</x:v>
      </x:c>
      <x:c r="D201" s="28" t="str">
        <x:f>INDEX('Attempt Tokens'!$E$7:$E$36,MATCH(B201,'Attempt Tokens'!$B$7:$B$36,0))</x:f>
      </x:c>
      <x:c r="E201" s="28" t="n">
        <x:v>3</x:v>
      </x:c>
      <x:c r="F201" s="28" t="str">
        <x:v>EG-03</x:v>
      </x:c>
      <x:c r="G201" s="28" t="str">
        <x:v>draw and schedule binding complete</x:v>
      </x:c>
      <x:c r="H201" s="28" t="str">
        <x:v>PASS</x:v>
      </x:c>
      <x:c r="I201" s="29" t="str"/>
      <x:c r="J201" s="29" t="str"/>
      <x:c r="K201" s="29" t="str"/>
      <x:c r="L201" s="28" t="str">
        <x:f>IF(AND(C201="RESERVE",D201=""),"DORMANT",IF(K201="","OPEN",IF(AND(I201=H201,J201&lt;&gt;""),"PASS","FAIL")))</x:f>
        <x:v>OPEN</x:v>
      </x:c>
    </x:row>
    <x:row r="202">
      <x:c r="B202" s="28" t="str">
        <x:v>AT-09</x:v>
      </x:c>
      <x:c r="C202" s="28" t="str">
        <x:v>PRIMARY</x:v>
      </x:c>
      <x:c r="D202" s="28" t="str">
        <x:f>INDEX('Attempt Tokens'!$E$7:$E$36,MATCH(B202,'Attempt Tokens'!$B$7:$B$36,0))</x:f>
      </x:c>
      <x:c r="E202" s="28" t="n">
        <x:v>4</x:v>
      </x:c>
      <x:c r="F202" s="28" t="str">
        <x:v>EG-04</x:v>
      </x:c>
      <x:c r="G202" s="28" t="str">
        <x:v>event issue accepted</x:v>
      </x:c>
      <x:c r="H202" s="28" t="str">
        <x:v>PASS</x:v>
      </x:c>
      <x:c r="I202" s="29" t="str"/>
      <x:c r="J202" s="29" t="str"/>
      <x:c r="K202" s="29" t="str"/>
      <x:c r="L202" s="28" t="str">
        <x:f>IF(AND(C202="RESERVE",D202=""),"DORMANT",IF(K202="","OPEN",IF(AND(I202=H202,J202&lt;&gt;""),"PASS","FAIL")))</x:f>
        <x:v>OPEN</x:v>
      </x:c>
    </x:row>
    <x:row r="203">
      <x:c r="B203" s="28" t="str">
        <x:v>AT-09</x:v>
      </x:c>
      <x:c r="C203" s="28" t="str">
        <x:v>PRIMARY</x:v>
      </x:c>
      <x:c r="D203" s="28" t="str">
        <x:f>INDEX('Attempt Tokens'!$E$7:$E$36,MATCH(B203,'Attempt Tokens'!$B$7:$B$36,0))</x:f>
      </x:c>
      <x:c r="E203" s="28" t="n">
        <x:v>5</x:v>
      </x:c>
      <x:c r="F203" s="28" t="str">
        <x:v>EG-05</x:v>
      </x:c>
      <x:c r="G203" s="28" t="str">
        <x:v>dossier bindings complete</x:v>
      </x:c>
      <x:c r="H203" s="28" t="str">
        <x:v>PASS</x:v>
      </x:c>
      <x:c r="I203" s="29" t="str"/>
      <x:c r="J203" s="29" t="str"/>
      <x:c r="K203" s="29" t="str"/>
      <x:c r="L203" s="28" t="str">
        <x:f>IF(AND(C203="RESERVE",D203=""),"DORMANT",IF(K203="","OPEN",IF(AND(I203=H203,J203&lt;&gt;""),"PASS","FAIL")))</x:f>
        <x:v>OPEN</x:v>
      </x:c>
    </x:row>
    <x:row r="204">
      <x:c r="B204" s="28" t="str">
        <x:v>AT-09</x:v>
      </x:c>
      <x:c r="C204" s="28" t="str">
        <x:v>PRIMARY</x:v>
      </x:c>
      <x:c r="D204" s="28" t="str">
        <x:f>INDEX('Attempt Tokens'!$E$7:$E$36,MATCH(B204,'Attempt Tokens'!$B$7:$B$36,0))</x:f>
      </x:c>
      <x:c r="E204" s="28" t="n">
        <x:v>6</x:v>
      </x:c>
      <x:c r="F204" s="28" t="str">
        <x:v>EG-06</x:v>
      </x:c>
      <x:c r="G204" s="28" t="str">
        <x:v>event crew complete</x:v>
      </x:c>
      <x:c r="H204" s="28" t="str">
        <x:v>PASS</x:v>
      </x:c>
      <x:c r="I204" s="29" t="str"/>
      <x:c r="J204" s="29" t="str"/>
      <x:c r="K204" s="29" t="str"/>
      <x:c r="L204" s="28" t="str">
        <x:f>IF(AND(C204="RESERVE",D204=""),"DORMANT",IF(K204="","OPEN",IF(AND(I204=H204,J204&lt;&gt;""),"PASS","FAIL")))</x:f>
        <x:v>OPEN</x:v>
      </x:c>
    </x:row>
    <x:row r="205">
      <x:c r="B205" s="28" t="str">
        <x:v>AT-09</x:v>
      </x:c>
      <x:c r="C205" s="28" t="str">
        <x:v>PRIMARY</x:v>
      </x:c>
      <x:c r="D205" s="28" t="str">
        <x:f>INDEX('Attempt Tokens'!$E$7:$E$36,MATCH(B205,'Attempt Tokens'!$B$7:$B$36,0))</x:f>
      </x:c>
      <x:c r="E205" s="28" t="n">
        <x:v>7</x:v>
      </x:c>
      <x:c r="F205" s="28" t="str">
        <x:v>EG-07</x:v>
      </x:c>
      <x:c r="G205" s="28" t="str">
        <x:v>configuration freeze complete</x:v>
      </x:c>
      <x:c r="H205" s="28" t="str">
        <x:v>PASS</x:v>
      </x:c>
      <x:c r="I205" s="29" t="str"/>
      <x:c r="J205" s="29" t="str"/>
      <x:c r="K205" s="29" t="str"/>
      <x:c r="L205" s="28" t="str">
        <x:f>IF(AND(C205="RESERVE",D205=""),"DORMANT",IF(K205="","OPEN",IF(AND(I205=H205,J205&lt;&gt;""),"PASS","FAIL")))</x:f>
        <x:v>OPEN</x:v>
      </x:c>
    </x:row>
    <x:row r="206">
      <x:c r="B206" s="28" t="str">
        <x:v>AT-09</x:v>
      </x:c>
      <x:c r="C206" s="28" t="str">
        <x:v>PRIMARY</x:v>
      </x:c>
      <x:c r="D206" s="28" t="str">
        <x:f>INDEX('Attempt Tokens'!$E$7:$E$36,MATCH(B206,'Attempt Tokens'!$B$7:$B$36,0))</x:f>
      </x:c>
      <x:c r="E206" s="28" t="n">
        <x:v>8</x:v>
      </x:c>
      <x:c r="F206" s="28" t="str">
        <x:v>EG-08</x:v>
      </x:c>
      <x:c r="G206" s="28" t="str">
        <x:v>zero-source checks complete</x:v>
      </x:c>
      <x:c r="H206" s="28" t="str">
        <x:v>PASS</x:v>
      </x:c>
      <x:c r="I206" s="29" t="str"/>
      <x:c r="J206" s="29" t="str"/>
      <x:c r="K206" s="29" t="str"/>
      <x:c r="L206" s="28" t="str">
        <x:f>IF(AND(C206="RESERVE",D206=""),"DORMANT",IF(K206="","OPEN",IF(AND(I206=H206,J206&lt;&gt;""),"PASS","FAIL")))</x:f>
        <x:v>OPEN</x:v>
      </x:c>
    </x:row>
    <x:row r="207">
      <x:c r="B207" s="28" t="str">
        <x:v>AT-09</x:v>
      </x:c>
      <x:c r="C207" s="28" t="str">
        <x:v>PRIMARY</x:v>
      </x:c>
      <x:c r="D207" s="28" t="str">
        <x:f>INDEX('Attempt Tokens'!$E$7:$E$36,MATCH(B207,'Attempt Tokens'!$B$7:$B$36,0))</x:f>
      </x:c>
      <x:c r="E207" s="28" t="n">
        <x:v>9</x:v>
      </x:c>
      <x:c r="F207" s="28" t="str">
        <x:v>EG-09</x:v>
      </x:c>
      <x:c r="G207" s="28" t="str">
        <x:v>zero-water checks complete</x:v>
      </x:c>
      <x:c r="H207" s="28" t="str">
        <x:v>PASS</x:v>
      </x:c>
      <x:c r="I207" s="29" t="str"/>
      <x:c r="J207" s="29" t="str"/>
      <x:c r="K207" s="29" t="str"/>
      <x:c r="L207" s="28" t="str">
        <x:f>IF(AND(C207="RESERVE",D207=""),"DORMANT",IF(K207="","OPEN",IF(AND(I207=H207,J207&lt;&gt;""),"PASS","FAIL")))</x:f>
        <x:v>OPEN</x:v>
      </x:c>
    </x:row>
    <x:row r="208">
      <x:c r="B208" s="28" t="str">
        <x:v>AT-09</x:v>
      </x:c>
      <x:c r="C208" s="28" t="str">
        <x:v>PRIMARY</x:v>
      </x:c>
      <x:c r="D208" s="28" t="str">
        <x:f>INDEX('Attempt Tokens'!$E$7:$E$36,MATCH(B208,'Attempt Tokens'!$B$7:$B$36,0))</x:f>
      </x:c>
      <x:c r="E208" s="28" t="n">
        <x:v>10</x:v>
      </x:c>
      <x:c r="F208" s="28" t="str">
        <x:v>EG-10</x:v>
      </x:c>
      <x:c r="G208" s="28" t="str">
        <x:v>uncertainty decisions complete</x:v>
      </x:c>
      <x:c r="H208" s="28" t="str">
        <x:v>PASS</x:v>
      </x:c>
      <x:c r="I208" s="29" t="str"/>
      <x:c r="J208" s="29" t="str"/>
      <x:c r="K208" s="29" t="str"/>
      <x:c r="L208" s="28" t="str">
        <x:f>IF(AND(C208="RESERVE",D208=""),"DORMANT",IF(K208="","OPEN",IF(AND(I208=H208,J208&lt;&gt;""),"PASS","FAIL")))</x:f>
        <x:v>OPEN</x:v>
      </x:c>
    </x:row>
    <x:row r="209">
      <x:c r="B209" s="28" t="str">
        <x:v>AT-09</x:v>
      </x:c>
      <x:c r="C209" s="28" t="str">
        <x:v>PRIMARY</x:v>
      </x:c>
      <x:c r="D209" s="28" t="str">
        <x:f>INDEX('Attempt Tokens'!$E$7:$E$36,MATCH(B209,'Attempt Tokens'!$B$7:$B$36,0))</x:f>
      </x:c>
      <x:c r="E209" s="28" t="n">
        <x:v>11</x:v>
      </x:c>
      <x:c r="F209" s="28" t="str">
        <x:v>EG-11</x:v>
      </x:c>
      <x:c r="G209" s="28" t="str">
        <x:v>measurement windows complete</x:v>
      </x:c>
      <x:c r="H209" s="28" t="str">
        <x:v>PASS</x:v>
      </x:c>
      <x:c r="I209" s="29" t="str"/>
      <x:c r="J209" s="29" t="str"/>
      <x:c r="K209" s="29" t="str"/>
      <x:c r="L209" s="28" t="str">
        <x:f>IF(AND(C209="RESERVE",D209=""),"DORMANT",IF(K209="","OPEN",IF(AND(I209=H209,J209&lt;&gt;""),"PASS","FAIL")))</x:f>
        <x:v>OPEN</x:v>
      </x:c>
    </x:row>
    <x:row r="210">
      <x:c r="B210" s="28" t="str">
        <x:v>AT-09</x:v>
      </x:c>
      <x:c r="C210" s="28" t="str">
        <x:v>PRIMARY</x:v>
      </x:c>
      <x:c r="D210" s="28" t="str">
        <x:f>INDEX('Attempt Tokens'!$E$7:$E$36,MATCH(B210,'Attempt Tokens'!$B$7:$B$36,0))</x:f>
      </x:c>
      <x:c r="E210" s="28" t="n">
        <x:v>12</x:v>
      </x:c>
      <x:c r="F210" s="28" t="str">
        <x:v>EG-12</x:v>
      </x:c>
      <x:c r="G210" s="28" t="str">
        <x:v>neighbor proofs complete</x:v>
      </x:c>
      <x:c r="H210" s="28" t="str">
        <x:v>PASS</x:v>
      </x:c>
      <x:c r="I210" s="29" t="str"/>
      <x:c r="J210" s="29" t="str"/>
      <x:c r="K210" s="29" t="str"/>
      <x:c r="L210" s="28" t="str">
        <x:f>IF(AND(C210="RESERVE",D210=""),"DORMANT",IF(K210="","OPEN",IF(AND(I210=H210,J210&lt;&gt;""),"PASS","FAIL")))</x:f>
        <x:v>OPEN</x:v>
      </x:c>
    </x:row>
    <x:row r="211">
      <x:c r="B211" s="28" t="str">
        <x:v>AT-09</x:v>
      </x:c>
      <x:c r="C211" s="28" t="str">
        <x:v>PRIMARY</x:v>
      </x:c>
      <x:c r="D211" s="28" t="str">
        <x:f>INDEX('Attempt Tokens'!$E$7:$E$36,MATCH(B211,'Attempt Tokens'!$B$7:$B$36,0))</x:f>
      </x:c>
      <x:c r="E211" s="28" t="n">
        <x:v>13</x:v>
      </x:c>
      <x:c r="F211" s="28" t="str">
        <x:v>EG-13</x:v>
      </x:c>
      <x:c r="G211" s="28" t="str">
        <x:v>safeing polls complete</x:v>
      </x:c>
      <x:c r="H211" s="28" t="str">
        <x:v>PASS</x:v>
      </x:c>
      <x:c r="I211" s="29" t="str"/>
      <x:c r="J211" s="29" t="str"/>
      <x:c r="K211" s="29" t="str"/>
      <x:c r="L211" s="28" t="str">
        <x:f>IF(AND(C211="RESERVE",D211=""),"DORMANT",IF(K211="","OPEN",IF(AND(I211=H211,J211&lt;&gt;""),"PASS","FAIL")))</x:f>
        <x:v>OPEN</x:v>
      </x:c>
    </x:row>
    <x:row r="212">
      <x:c r="B212" s="28" t="str">
        <x:v>AT-09</x:v>
      </x:c>
      <x:c r="C212" s="28" t="str">
        <x:v>PRIMARY</x:v>
      </x:c>
      <x:c r="D212" s="28" t="str">
        <x:f>INDEX('Attempt Tokens'!$E$7:$E$36,MATCH(B212,'Attempt Tokens'!$B$7:$B$36,0))</x:f>
      </x:c>
      <x:c r="E212" s="28" t="n">
        <x:v>14</x:v>
      </x:c>
      <x:c r="F212" s="28" t="str">
        <x:v>EG-14</x:v>
      </x:c>
      <x:c r="G212" s="28" t="str">
        <x:v>command transactions complete</x:v>
      </x:c>
      <x:c r="H212" s="28" t="str">
        <x:v>PASS</x:v>
      </x:c>
      <x:c r="I212" s="29" t="str"/>
      <x:c r="J212" s="29" t="str"/>
      <x:c r="K212" s="29" t="str"/>
      <x:c r="L212" s="28" t="str">
        <x:f>IF(AND(C212="RESERVE",D212=""),"DORMANT",IF(K212="","OPEN",IF(AND(I212=H212,J212&lt;&gt;""),"PASS","FAIL")))</x:f>
        <x:v>OPEN</x:v>
      </x:c>
    </x:row>
    <x:row r="213">
      <x:c r="B213" s="28" t="str">
        <x:v>AT-09</x:v>
      </x:c>
      <x:c r="C213" s="28" t="str">
        <x:v>PRIMARY</x:v>
      </x:c>
      <x:c r="D213" s="28" t="str">
        <x:f>INDEX('Attempt Tokens'!$E$7:$E$36,MATCH(B213,'Attempt Tokens'!$B$7:$B$36,0))</x:f>
      </x:c>
      <x:c r="E213" s="28" t="n">
        <x:v>15</x:v>
      </x:c>
      <x:c r="F213" s="28" t="str">
        <x:v>EG-15</x:v>
      </x:c>
      <x:c r="G213" s="28" t="str">
        <x:v>phase clock complete</x:v>
      </x:c>
      <x:c r="H213" s="28" t="str">
        <x:v>PASS</x:v>
      </x:c>
      <x:c r="I213" s="29" t="str"/>
      <x:c r="J213" s="29" t="str"/>
      <x:c r="K213" s="29" t="str"/>
      <x:c r="L213" s="28" t="str">
        <x:f>IF(AND(C213="RESERVE",D213=""),"DORMANT",IF(K213="","OPEN",IF(AND(I213=H213,J213&lt;&gt;""),"PASS","FAIL")))</x:f>
        <x:v>OPEN</x:v>
      </x:c>
    </x:row>
    <x:row r="214">
      <x:c r="B214" s="28" t="str">
        <x:v>AT-09</x:v>
      </x:c>
      <x:c r="C214" s="28" t="str">
        <x:v>PRIMARY</x:v>
      </x:c>
      <x:c r="D214" s="28" t="str">
        <x:f>INDEX('Attempt Tokens'!$E$7:$E$36,MATCH(B214,'Attempt Tokens'!$B$7:$B$36,0))</x:f>
      </x:c>
      <x:c r="E214" s="28" t="n">
        <x:v>16</x:v>
      </x:c>
      <x:c r="F214" s="28" t="str">
        <x:v>EG-16</x:v>
      </x:c>
      <x:c r="G214" s="28" t="str">
        <x:v>holds complete</x:v>
      </x:c>
      <x:c r="H214" s="28" t="str">
        <x:v>PASS</x:v>
      </x:c>
      <x:c r="I214" s="29" t="str"/>
      <x:c r="J214" s="29" t="str"/>
      <x:c r="K214" s="29" t="str"/>
      <x:c r="L214" s="28" t="str">
        <x:f>IF(AND(C214="RESERVE",D214=""),"DORMANT",IF(K214="","OPEN",IF(AND(I214=H214,J214&lt;&gt;""),"PASS","FAIL")))</x:f>
        <x:v>OPEN</x:v>
      </x:c>
    </x:row>
    <x:row r="215">
      <x:c r="B215" s="28" t="str">
        <x:v>AT-09</x:v>
      </x:c>
      <x:c r="C215" s="28" t="str">
        <x:v>PRIMARY</x:v>
      </x:c>
      <x:c r="D215" s="28" t="str">
        <x:f>INDEX('Attempt Tokens'!$E$7:$E$36,MATCH(B215,'Attempt Tokens'!$B$7:$B$36,0))</x:f>
      </x:c>
      <x:c r="E215" s="28" t="n">
        <x:v>17</x:v>
      </x:c>
      <x:c r="F215" s="28" t="str">
        <x:v>EG-17</x:v>
      </x:c>
      <x:c r="G215" s="28" t="str">
        <x:v>evidence obligations complete</x:v>
      </x:c>
      <x:c r="H215" s="28" t="str">
        <x:v>PASS</x:v>
      </x:c>
      <x:c r="I215" s="29" t="str"/>
      <x:c r="J215" s="29" t="str"/>
      <x:c r="K215" s="29" t="str"/>
      <x:c r="L215" s="28" t="str">
        <x:f>IF(AND(C215="RESERVE",D215=""),"DORMANT",IF(K215="","OPEN",IF(AND(I215=H215,J215&lt;&gt;""),"PASS","FAIL")))</x:f>
        <x:v>OPEN</x:v>
      </x:c>
    </x:row>
    <x:row r="216">
      <x:c r="B216" s="28" t="str">
        <x:v>AT-09</x:v>
      </x:c>
      <x:c r="C216" s="28" t="str">
        <x:v>PRIMARY</x:v>
      </x:c>
      <x:c r="D216" s="28" t="str">
        <x:f>INDEX('Attempt Tokens'!$E$7:$E$36,MATCH(B216,'Attempt Tokens'!$B$7:$B$36,0))</x:f>
      </x:c>
      <x:c r="E216" s="28" t="n">
        <x:v>18</x:v>
      </x:c>
      <x:c r="F216" s="28" t="str">
        <x:v>EG-18</x:v>
      </x:c>
      <x:c r="G216" s="28" t="str">
        <x:v>blank samples complete</x:v>
      </x:c>
      <x:c r="H216" s="28" t="str">
        <x:v>PASS</x:v>
      </x:c>
      <x:c r="I216" s="29" t="str"/>
      <x:c r="J216" s="29" t="str"/>
      <x:c r="K216" s="29" t="str"/>
      <x:c r="L216" s="28" t="str">
        <x:f>IF(AND(C216="RESERVE",D216=""),"DORMANT",IF(K216="","OPEN",IF(AND(I216=H216,J216&lt;&gt;""),"PASS","FAIL")))</x:f>
        <x:v>OPEN</x:v>
      </x:c>
    </x:row>
    <x:row r="217">
      <x:c r="B217" s="28" t="str">
        <x:v>AT-09</x:v>
      </x:c>
      <x:c r="C217" s="28" t="str">
        <x:v>PRIMARY</x:v>
      </x:c>
      <x:c r="D217" s="28" t="str">
        <x:f>INDEX('Attempt Tokens'!$E$7:$E$36,MATCH(B217,'Attempt Tokens'!$B$7:$B$36,0))</x:f>
      </x:c>
      <x:c r="E217" s="28" t="n">
        <x:v>19</x:v>
      </x:c>
      <x:c r="F217" s="28" t="str">
        <x:v>EG-19</x:v>
      </x:c>
      <x:c r="G217" s="28" t="str">
        <x:v>abort channels classified</x:v>
      </x:c>
      <x:c r="H217" s="28" t="str">
        <x:v>PASS</x:v>
      </x:c>
      <x:c r="I217" s="29" t="str"/>
      <x:c r="J217" s="29" t="str"/>
      <x:c r="K217" s="29" t="str"/>
      <x:c r="L217" s="28" t="str">
        <x:f>IF(AND(C217="RESERVE",D217=""),"DORMANT",IF(K217="","OPEN",IF(AND(I217=H217,J217&lt;&gt;""),"PASS","FAIL")))</x:f>
        <x:v>OPEN</x:v>
      </x:c>
    </x:row>
    <x:row r="218">
      <x:c r="B218" s="28" t="str">
        <x:v>AT-09</x:v>
      </x:c>
      <x:c r="C218" s="28" t="str">
        <x:v>PRIMARY</x:v>
      </x:c>
      <x:c r="D218" s="28" t="str">
        <x:f>INDEX('Attempt Tokens'!$E$7:$E$36,MATCH(B218,'Attempt Tokens'!$B$7:$B$36,0))</x:f>
      </x:c>
      <x:c r="E218" s="28" t="n">
        <x:v>20</x:v>
      </x:c>
      <x:c r="F218" s="28" t="str">
        <x:v>EG-20</x:v>
      </x:c>
      <x:c r="G218" s="28" t="str">
        <x:v>interventions classified</x:v>
      </x:c>
      <x:c r="H218" s="28" t="str">
        <x:v>PASS</x:v>
      </x:c>
      <x:c r="I218" s="29" t="str"/>
      <x:c r="J218" s="29" t="str"/>
      <x:c r="K218" s="29" t="str"/>
      <x:c r="L218" s="28" t="str">
        <x:f>IF(AND(C218="RESERVE",D218=""),"DORMANT",IF(K218="","OPEN",IF(AND(I218=H218,J218&lt;&gt;""),"PASS","FAIL")))</x:f>
        <x:v>OPEN</x:v>
      </x:c>
    </x:row>
    <x:row r="219">
      <x:c r="B219" s="28" t="str">
        <x:v>AT-09</x:v>
      </x:c>
      <x:c r="C219" s="28" t="str">
        <x:v>PRIMARY</x:v>
      </x:c>
      <x:c r="D219" s="28" t="str">
        <x:f>INDEX('Attempt Tokens'!$E$7:$E$36,MATCH(B219,'Attempt Tokens'!$B$7:$B$36,0))</x:f>
      </x:c>
      <x:c r="E219" s="28" t="n">
        <x:v>21</x:v>
      </x:c>
      <x:c r="F219" s="28" t="str">
        <x:v>EG-21</x:v>
      </x:c>
      <x:c r="G219" s="28" t="str">
        <x:v>event result accepted</x:v>
      </x:c>
      <x:c r="H219" s="28" t="str">
        <x:v>PASS</x:v>
      </x:c>
      <x:c r="I219" s="29" t="str"/>
      <x:c r="J219" s="29" t="str"/>
      <x:c r="K219" s="29" t="str"/>
      <x:c r="L219" s="28" t="str">
        <x:f>IF(AND(C219="RESERVE",D219=""),"DORMANT",IF(K219="","OPEN",IF(AND(I219=H219,J219&lt;&gt;""),"PASS","FAIL")))</x:f>
        <x:v>OPEN</x:v>
      </x:c>
    </x:row>
    <x:row r="220">
      <x:c r="B220" s="28" t="str">
        <x:v>AT-09</x:v>
      </x:c>
      <x:c r="C220" s="28" t="str">
        <x:v>PRIMARY</x:v>
      </x:c>
      <x:c r="D220" s="28" t="str">
        <x:f>INDEX('Attempt Tokens'!$E$7:$E$36,MATCH(B220,'Attempt Tokens'!$B$7:$B$36,0))</x:f>
      </x:c>
      <x:c r="E220" s="28" t="n">
        <x:v>22</x:v>
      </x:c>
      <x:c r="F220" s="28" t="str">
        <x:v>EG-22</x:v>
      </x:c>
      <x:c r="G220" s="28" t="str">
        <x:v>recovery states complete</x:v>
      </x:c>
      <x:c r="H220" s="28" t="str">
        <x:v>PASS</x:v>
      </x:c>
      <x:c r="I220" s="29" t="str"/>
      <x:c r="J220" s="29" t="str"/>
      <x:c r="K220" s="29" t="str"/>
      <x:c r="L220" s="28" t="str">
        <x:f>IF(AND(C220="RESERVE",D220=""),"DORMANT",IF(K220="","OPEN",IF(AND(I220=H220,J220&lt;&gt;""),"PASS","FAIL")))</x:f>
        <x:v>OPEN</x:v>
      </x:c>
    </x:row>
    <x:row r="221">
      <x:c r="B221" s="28" t="str">
        <x:v>AT-09</x:v>
      </x:c>
      <x:c r="C221" s="28" t="str">
        <x:v>PRIMARY</x:v>
      </x:c>
      <x:c r="D221" s="28" t="str">
        <x:f>INDEX('Attempt Tokens'!$E$7:$E$36,MATCH(B221,'Attempt Tokens'!$B$7:$B$36,0))</x:f>
      </x:c>
      <x:c r="E221" s="28" t="n">
        <x:v>23</x:v>
      </x:c>
      <x:c r="F221" s="28" t="str">
        <x:v>EG-23</x:v>
      </x:c>
      <x:c r="G221" s="28" t="str">
        <x:v>regeneration and regression complete</x:v>
      </x:c>
      <x:c r="H221" s="28" t="str">
        <x:v>PASS</x:v>
      </x:c>
      <x:c r="I221" s="29" t="str"/>
      <x:c r="J221" s="29" t="str"/>
      <x:c r="K221" s="29" t="str"/>
      <x:c r="L221" s="28" t="str">
        <x:f>IF(AND(C221="RESERVE",D221=""),"DORMANT",IF(K221="","OPEN",IF(AND(I221=H221,J221&lt;&gt;""),"PASS","FAIL")))</x:f>
        <x:v>OPEN</x:v>
      </x:c>
    </x:row>
    <x:row r="222">
      <x:c r="B222" s="28" t="str">
        <x:v>AT-09</x:v>
      </x:c>
      <x:c r="C222" s="28" t="str">
        <x:v>PRIMARY</x:v>
      </x:c>
      <x:c r="D222" s="28" t="str">
        <x:f>INDEX('Attempt Tokens'!$E$7:$E$36,MATCH(B222,'Attempt Tokens'!$B$7:$B$36,0))</x:f>
      </x:c>
      <x:c r="E222" s="28" t="n">
        <x:v>24</x:v>
      </x:c>
      <x:c r="F222" s="28" t="str">
        <x:v>EG-24</x:v>
      </x:c>
      <x:c r="G222" s="28" t="str">
        <x:v>reentry and packet release complete</x:v>
      </x:c>
      <x:c r="H222" s="28" t="str">
        <x:v>PASS</x:v>
      </x:c>
      <x:c r="I222" s="29" t="str"/>
      <x:c r="J222" s="29" t="str"/>
      <x:c r="K222" s="29" t="str"/>
      <x:c r="L222" s="28" t="str">
        <x:f>IF(AND(C222="RESERVE",D222=""),"DORMANT",IF(K222="","OPEN",IF(AND(I222=H222,J222&lt;&gt;""),"PASS","FAIL")))</x:f>
        <x:v>OPEN</x:v>
      </x:c>
    </x:row>
    <x:row r="223">
      <x:c r="B223" s="28" t="str">
        <x:v>AT-10</x:v>
      </x:c>
      <x:c r="C223" s="28" t="str">
        <x:v>PRIMARY</x:v>
      </x:c>
      <x:c r="D223" s="28" t="str">
        <x:f>INDEX('Attempt Tokens'!$E$7:$E$36,MATCH(B223,'Attempt Tokens'!$B$7:$B$36,0))</x:f>
      </x:c>
      <x:c r="E223" s="28" t="n">
        <x:v>1</x:v>
      </x:c>
      <x:c r="F223" s="28" t="str">
        <x:v>EG-01</x:v>
      </x:c>
      <x:c r="G223" s="28" t="str">
        <x:v>RAX or renewed pair credential current</x:v>
      </x:c>
      <x:c r="H223" s="28" t="str">
        <x:v>PASS</x:v>
      </x:c>
      <x:c r="I223" s="29" t="str"/>
      <x:c r="J223" s="29" t="str"/>
      <x:c r="K223" s="29" t="str"/>
      <x:c r="L223" s="28" t="str">
        <x:f>IF(AND(C223="RESERVE",D223=""),"DORMANT",IF(K223="","OPEN",IF(AND(I223=H223,J223&lt;&gt;""),"PASS","FAIL")))</x:f>
        <x:v>OPEN</x:v>
      </x:c>
    </x:row>
    <x:row r="224">
      <x:c r="B224" s="28" t="str">
        <x:v>AT-10</x:v>
      </x:c>
      <x:c r="C224" s="28" t="str">
        <x:v>PRIMARY</x:v>
      </x:c>
      <x:c r="D224" s="28" t="str">
        <x:f>INDEX('Attempt Tokens'!$E$7:$E$36,MATCH(B224,'Attempt Tokens'!$B$7:$B$36,0))</x:f>
      </x:c>
      <x:c r="E224" s="28" t="n">
        <x:v>2</x:v>
      </x:c>
      <x:c r="F224" s="28" t="str">
        <x:v>EG-02</x:v>
      </x:c>
      <x:c r="G224" s="28" t="str">
        <x:v>candidate cell eligible</x:v>
      </x:c>
      <x:c r="H224" s="28" t="str">
        <x:v>PASS</x:v>
      </x:c>
      <x:c r="I224" s="29" t="str"/>
      <x:c r="J224" s="29" t="str"/>
      <x:c r="K224" s="29" t="str"/>
      <x:c r="L224" s="28" t="str">
        <x:f>IF(AND(C224="RESERVE",D224=""),"DORMANT",IF(K224="","OPEN",IF(AND(I224=H224,J224&lt;&gt;""),"PASS","FAIL")))</x:f>
        <x:v>OPEN</x:v>
      </x:c>
    </x:row>
    <x:row r="225">
      <x:c r="B225" s="28" t="str">
        <x:v>AT-10</x:v>
      </x:c>
      <x:c r="C225" s="28" t="str">
        <x:v>PRIMARY</x:v>
      </x:c>
      <x:c r="D225" s="28" t="str">
        <x:f>INDEX('Attempt Tokens'!$E$7:$E$36,MATCH(B225,'Attempt Tokens'!$B$7:$B$36,0))</x:f>
      </x:c>
      <x:c r="E225" s="28" t="n">
        <x:v>3</x:v>
      </x:c>
      <x:c r="F225" s="28" t="str">
        <x:v>EG-03</x:v>
      </x:c>
      <x:c r="G225" s="28" t="str">
        <x:v>draw and schedule binding complete</x:v>
      </x:c>
      <x:c r="H225" s="28" t="str">
        <x:v>PASS</x:v>
      </x:c>
      <x:c r="I225" s="29" t="str"/>
      <x:c r="J225" s="29" t="str"/>
      <x:c r="K225" s="29" t="str"/>
      <x:c r="L225" s="28" t="str">
        <x:f>IF(AND(C225="RESERVE",D225=""),"DORMANT",IF(K225="","OPEN",IF(AND(I225=H225,J225&lt;&gt;""),"PASS","FAIL")))</x:f>
        <x:v>OPEN</x:v>
      </x:c>
    </x:row>
    <x:row r="226">
      <x:c r="B226" s="28" t="str">
        <x:v>AT-10</x:v>
      </x:c>
      <x:c r="C226" s="28" t="str">
        <x:v>PRIMARY</x:v>
      </x:c>
      <x:c r="D226" s="28" t="str">
        <x:f>INDEX('Attempt Tokens'!$E$7:$E$36,MATCH(B226,'Attempt Tokens'!$B$7:$B$36,0))</x:f>
      </x:c>
      <x:c r="E226" s="28" t="n">
        <x:v>4</x:v>
      </x:c>
      <x:c r="F226" s="28" t="str">
        <x:v>EG-04</x:v>
      </x:c>
      <x:c r="G226" s="28" t="str">
        <x:v>event issue accepted</x:v>
      </x:c>
      <x:c r="H226" s="28" t="str">
        <x:v>PASS</x:v>
      </x:c>
      <x:c r="I226" s="29" t="str"/>
      <x:c r="J226" s="29" t="str"/>
      <x:c r="K226" s="29" t="str"/>
      <x:c r="L226" s="28" t="str">
        <x:f>IF(AND(C226="RESERVE",D226=""),"DORMANT",IF(K226="","OPEN",IF(AND(I226=H226,J226&lt;&gt;""),"PASS","FAIL")))</x:f>
        <x:v>OPEN</x:v>
      </x:c>
    </x:row>
    <x:row r="227">
      <x:c r="B227" s="28" t="str">
        <x:v>AT-10</x:v>
      </x:c>
      <x:c r="C227" s="28" t="str">
        <x:v>PRIMARY</x:v>
      </x:c>
      <x:c r="D227" s="28" t="str">
        <x:f>INDEX('Attempt Tokens'!$E$7:$E$36,MATCH(B227,'Attempt Tokens'!$B$7:$B$36,0))</x:f>
      </x:c>
      <x:c r="E227" s="28" t="n">
        <x:v>5</x:v>
      </x:c>
      <x:c r="F227" s="28" t="str">
        <x:v>EG-05</x:v>
      </x:c>
      <x:c r="G227" s="28" t="str">
        <x:v>dossier bindings complete</x:v>
      </x:c>
      <x:c r="H227" s="28" t="str">
        <x:v>PASS</x:v>
      </x:c>
      <x:c r="I227" s="29" t="str"/>
      <x:c r="J227" s="29" t="str"/>
      <x:c r="K227" s="29" t="str"/>
      <x:c r="L227" s="28" t="str">
        <x:f>IF(AND(C227="RESERVE",D227=""),"DORMANT",IF(K227="","OPEN",IF(AND(I227=H227,J227&lt;&gt;""),"PASS","FAIL")))</x:f>
        <x:v>OPEN</x:v>
      </x:c>
    </x:row>
    <x:row r="228">
      <x:c r="B228" s="28" t="str">
        <x:v>AT-10</x:v>
      </x:c>
      <x:c r="C228" s="28" t="str">
        <x:v>PRIMARY</x:v>
      </x:c>
      <x:c r="D228" s="28" t="str">
        <x:f>INDEX('Attempt Tokens'!$E$7:$E$36,MATCH(B228,'Attempt Tokens'!$B$7:$B$36,0))</x:f>
      </x:c>
      <x:c r="E228" s="28" t="n">
        <x:v>6</x:v>
      </x:c>
      <x:c r="F228" s="28" t="str">
        <x:v>EG-06</x:v>
      </x:c>
      <x:c r="G228" s="28" t="str">
        <x:v>event crew complete</x:v>
      </x:c>
      <x:c r="H228" s="28" t="str">
        <x:v>PASS</x:v>
      </x:c>
      <x:c r="I228" s="29" t="str"/>
      <x:c r="J228" s="29" t="str"/>
      <x:c r="K228" s="29" t="str"/>
      <x:c r="L228" s="28" t="str">
        <x:f>IF(AND(C228="RESERVE",D228=""),"DORMANT",IF(K228="","OPEN",IF(AND(I228=H228,J228&lt;&gt;""),"PASS","FAIL")))</x:f>
        <x:v>OPEN</x:v>
      </x:c>
    </x:row>
    <x:row r="229">
      <x:c r="B229" s="28" t="str">
        <x:v>AT-10</x:v>
      </x:c>
      <x:c r="C229" s="28" t="str">
        <x:v>PRIMARY</x:v>
      </x:c>
      <x:c r="D229" s="28" t="str">
        <x:f>INDEX('Attempt Tokens'!$E$7:$E$36,MATCH(B229,'Attempt Tokens'!$B$7:$B$36,0))</x:f>
      </x:c>
      <x:c r="E229" s="28" t="n">
        <x:v>7</x:v>
      </x:c>
      <x:c r="F229" s="28" t="str">
        <x:v>EG-07</x:v>
      </x:c>
      <x:c r="G229" s="28" t="str">
        <x:v>configuration freeze complete</x:v>
      </x:c>
      <x:c r="H229" s="28" t="str">
        <x:v>PASS</x:v>
      </x:c>
      <x:c r="I229" s="29" t="str"/>
      <x:c r="J229" s="29" t="str"/>
      <x:c r="K229" s="29" t="str"/>
      <x:c r="L229" s="28" t="str">
        <x:f>IF(AND(C229="RESERVE",D229=""),"DORMANT",IF(K229="","OPEN",IF(AND(I229=H229,J229&lt;&gt;""),"PASS","FAIL")))</x:f>
        <x:v>OPEN</x:v>
      </x:c>
    </x:row>
    <x:row r="230">
      <x:c r="B230" s="28" t="str">
        <x:v>AT-10</x:v>
      </x:c>
      <x:c r="C230" s="28" t="str">
        <x:v>PRIMARY</x:v>
      </x:c>
      <x:c r="D230" s="28" t="str">
        <x:f>INDEX('Attempt Tokens'!$E$7:$E$36,MATCH(B230,'Attempt Tokens'!$B$7:$B$36,0))</x:f>
      </x:c>
      <x:c r="E230" s="28" t="n">
        <x:v>8</x:v>
      </x:c>
      <x:c r="F230" s="28" t="str">
        <x:v>EG-08</x:v>
      </x:c>
      <x:c r="G230" s="28" t="str">
        <x:v>zero-source checks complete</x:v>
      </x:c>
      <x:c r="H230" s="28" t="str">
        <x:v>PASS</x:v>
      </x:c>
      <x:c r="I230" s="29" t="str"/>
      <x:c r="J230" s="29" t="str"/>
      <x:c r="K230" s="29" t="str"/>
      <x:c r="L230" s="28" t="str">
        <x:f>IF(AND(C230="RESERVE",D230=""),"DORMANT",IF(K230="","OPEN",IF(AND(I230=H230,J230&lt;&gt;""),"PASS","FAIL")))</x:f>
        <x:v>OPEN</x:v>
      </x:c>
    </x:row>
    <x:row r="231">
      <x:c r="B231" s="28" t="str">
        <x:v>AT-10</x:v>
      </x:c>
      <x:c r="C231" s="28" t="str">
        <x:v>PRIMARY</x:v>
      </x:c>
      <x:c r="D231" s="28" t="str">
        <x:f>INDEX('Attempt Tokens'!$E$7:$E$36,MATCH(B231,'Attempt Tokens'!$B$7:$B$36,0))</x:f>
      </x:c>
      <x:c r="E231" s="28" t="n">
        <x:v>9</x:v>
      </x:c>
      <x:c r="F231" s="28" t="str">
        <x:v>EG-09</x:v>
      </x:c>
      <x:c r="G231" s="28" t="str">
        <x:v>zero-water checks complete</x:v>
      </x:c>
      <x:c r="H231" s="28" t="str">
        <x:v>PASS</x:v>
      </x:c>
      <x:c r="I231" s="29" t="str"/>
      <x:c r="J231" s="29" t="str"/>
      <x:c r="K231" s="29" t="str"/>
      <x:c r="L231" s="28" t="str">
        <x:f>IF(AND(C231="RESERVE",D231=""),"DORMANT",IF(K231="","OPEN",IF(AND(I231=H231,J231&lt;&gt;""),"PASS","FAIL")))</x:f>
        <x:v>OPEN</x:v>
      </x:c>
    </x:row>
    <x:row r="232">
      <x:c r="B232" s="28" t="str">
        <x:v>AT-10</x:v>
      </x:c>
      <x:c r="C232" s="28" t="str">
        <x:v>PRIMARY</x:v>
      </x:c>
      <x:c r="D232" s="28" t="str">
        <x:f>INDEX('Attempt Tokens'!$E$7:$E$36,MATCH(B232,'Attempt Tokens'!$B$7:$B$36,0))</x:f>
      </x:c>
      <x:c r="E232" s="28" t="n">
        <x:v>10</x:v>
      </x:c>
      <x:c r="F232" s="28" t="str">
        <x:v>EG-10</x:v>
      </x:c>
      <x:c r="G232" s="28" t="str">
        <x:v>uncertainty decisions complete</x:v>
      </x:c>
      <x:c r="H232" s="28" t="str">
        <x:v>PASS</x:v>
      </x:c>
      <x:c r="I232" s="29" t="str"/>
      <x:c r="J232" s="29" t="str"/>
      <x:c r="K232" s="29" t="str"/>
      <x:c r="L232" s="28" t="str">
        <x:f>IF(AND(C232="RESERVE",D232=""),"DORMANT",IF(K232="","OPEN",IF(AND(I232=H232,J232&lt;&gt;""),"PASS","FAIL")))</x:f>
        <x:v>OPEN</x:v>
      </x:c>
    </x:row>
    <x:row r="233">
      <x:c r="B233" s="28" t="str">
        <x:v>AT-10</x:v>
      </x:c>
      <x:c r="C233" s="28" t="str">
        <x:v>PRIMARY</x:v>
      </x:c>
      <x:c r="D233" s="28" t="str">
        <x:f>INDEX('Attempt Tokens'!$E$7:$E$36,MATCH(B233,'Attempt Tokens'!$B$7:$B$36,0))</x:f>
      </x:c>
      <x:c r="E233" s="28" t="n">
        <x:v>11</x:v>
      </x:c>
      <x:c r="F233" s="28" t="str">
        <x:v>EG-11</x:v>
      </x:c>
      <x:c r="G233" s="28" t="str">
        <x:v>measurement windows complete</x:v>
      </x:c>
      <x:c r="H233" s="28" t="str">
        <x:v>PASS</x:v>
      </x:c>
      <x:c r="I233" s="29" t="str"/>
      <x:c r="J233" s="29" t="str"/>
      <x:c r="K233" s="29" t="str"/>
      <x:c r="L233" s="28" t="str">
        <x:f>IF(AND(C233="RESERVE",D233=""),"DORMANT",IF(K233="","OPEN",IF(AND(I233=H233,J233&lt;&gt;""),"PASS","FAIL")))</x:f>
        <x:v>OPEN</x:v>
      </x:c>
    </x:row>
    <x:row r="234">
      <x:c r="B234" s="28" t="str">
        <x:v>AT-10</x:v>
      </x:c>
      <x:c r="C234" s="28" t="str">
        <x:v>PRIMARY</x:v>
      </x:c>
      <x:c r="D234" s="28" t="str">
        <x:f>INDEX('Attempt Tokens'!$E$7:$E$36,MATCH(B234,'Attempt Tokens'!$B$7:$B$36,0))</x:f>
      </x:c>
      <x:c r="E234" s="28" t="n">
        <x:v>12</x:v>
      </x:c>
      <x:c r="F234" s="28" t="str">
        <x:v>EG-12</x:v>
      </x:c>
      <x:c r="G234" s="28" t="str">
        <x:v>neighbor proofs complete</x:v>
      </x:c>
      <x:c r="H234" s="28" t="str">
        <x:v>PASS</x:v>
      </x:c>
      <x:c r="I234" s="29" t="str"/>
      <x:c r="J234" s="29" t="str"/>
      <x:c r="K234" s="29" t="str"/>
      <x:c r="L234" s="28" t="str">
        <x:f>IF(AND(C234="RESERVE",D234=""),"DORMANT",IF(K234="","OPEN",IF(AND(I234=H234,J234&lt;&gt;""),"PASS","FAIL")))</x:f>
        <x:v>OPEN</x:v>
      </x:c>
    </x:row>
    <x:row r="235">
      <x:c r="B235" s="28" t="str">
        <x:v>AT-10</x:v>
      </x:c>
      <x:c r="C235" s="28" t="str">
        <x:v>PRIMARY</x:v>
      </x:c>
      <x:c r="D235" s="28" t="str">
        <x:f>INDEX('Attempt Tokens'!$E$7:$E$36,MATCH(B235,'Attempt Tokens'!$B$7:$B$36,0))</x:f>
      </x:c>
      <x:c r="E235" s="28" t="n">
        <x:v>13</x:v>
      </x:c>
      <x:c r="F235" s="28" t="str">
        <x:v>EG-13</x:v>
      </x:c>
      <x:c r="G235" s="28" t="str">
        <x:v>safeing polls complete</x:v>
      </x:c>
      <x:c r="H235" s="28" t="str">
        <x:v>PASS</x:v>
      </x:c>
      <x:c r="I235" s="29" t="str"/>
      <x:c r="J235" s="29" t="str"/>
      <x:c r="K235" s="29" t="str"/>
      <x:c r="L235" s="28" t="str">
        <x:f>IF(AND(C235="RESERVE",D235=""),"DORMANT",IF(K235="","OPEN",IF(AND(I235=H235,J235&lt;&gt;""),"PASS","FAIL")))</x:f>
        <x:v>OPEN</x:v>
      </x:c>
    </x:row>
    <x:row r="236">
      <x:c r="B236" s="28" t="str">
        <x:v>AT-10</x:v>
      </x:c>
      <x:c r="C236" s="28" t="str">
        <x:v>PRIMARY</x:v>
      </x:c>
      <x:c r="D236" s="28" t="str">
        <x:f>INDEX('Attempt Tokens'!$E$7:$E$36,MATCH(B236,'Attempt Tokens'!$B$7:$B$36,0))</x:f>
      </x:c>
      <x:c r="E236" s="28" t="n">
        <x:v>14</x:v>
      </x:c>
      <x:c r="F236" s="28" t="str">
        <x:v>EG-14</x:v>
      </x:c>
      <x:c r="G236" s="28" t="str">
        <x:v>command transactions complete</x:v>
      </x:c>
      <x:c r="H236" s="28" t="str">
        <x:v>PASS</x:v>
      </x:c>
      <x:c r="I236" s="29" t="str"/>
      <x:c r="J236" s="29" t="str"/>
      <x:c r="K236" s="29" t="str"/>
      <x:c r="L236" s="28" t="str">
        <x:f>IF(AND(C236="RESERVE",D236=""),"DORMANT",IF(K236="","OPEN",IF(AND(I236=H236,J236&lt;&gt;""),"PASS","FAIL")))</x:f>
        <x:v>OPEN</x:v>
      </x:c>
    </x:row>
    <x:row r="237">
      <x:c r="B237" s="28" t="str">
        <x:v>AT-10</x:v>
      </x:c>
      <x:c r="C237" s="28" t="str">
        <x:v>PRIMARY</x:v>
      </x:c>
      <x:c r="D237" s="28" t="str">
        <x:f>INDEX('Attempt Tokens'!$E$7:$E$36,MATCH(B237,'Attempt Tokens'!$B$7:$B$36,0))</x:f>
      </x:c>
      <x:c r="E237" s="28" t="n">
        <x:v>15</x:v>
      </x:c>
      <x:c r="F237" s="28" t="str">
        <x:v>EG-15</x:v>
      </x:c>
      <x:c r="G237" s="28" t="str">
        <x:v>phase clock complete</x:v>
      </x:c>
      <x:c r="H237" s="28" t="str">
        <x:v>PASS</x:v>
      </x:c>
      <x:c r="I237" s="29" t="str"/>
      <x:c r="J237" s="29" t="str"/>
      <x:c r="K237" s="29" t="str"/>
      <x:c r="L237" s="28" t="str">
        <x:f>IF(AND(C237="RESERVE",D237=""),"DORMANT",IF(K237="","OPEN",IF(AND(I237=H237,J237&lt;&gt;""),"PASS","FAIL")))</x:f>
        <x:v>OPEN</x:v>
      </x:c>
    </x:row>
    <x:row r="238">
      <x:c r="B238" s="28" t="str">
        <x:v>AT-10</x:v>
      </x:c>
      <x:c r="C238" s="28" t="str">
        <x:v>PRIMARY</x:v>
      </x:c>
      <x:c r="D238" s="28" t="str">
        <x:f>INDEX('Attempt Tokens'!$E$7:$E$36,MATCH(B238,'Attempt Tokens'!$B$7:$B$36,0))</x:f>
      </x:c>
      <x:c r="E238" s="28" t="n">
        <x:v>16</x:v>
      </x:c>
      <x:c r="F238" s="28" t="str">
        <x:v>EG-16</x:v>
      </x:c>
      <x:c r="G238" s="28" t="str">
        <x:v>holds complete</x:v>
      </x:c>
      <x:c r="H238" s="28" t="str">
        <x:v>PASS</x:v>
      </x:c>
      <x:c r="I238" s="29" t="str"/>
      <x:c r="J238" s="29" t="str"/>
      <x:c r="K238" s="29" t="str"/>
      <x:c r="L238" s="28" t="str">
        <x:f>IF(AND(C238="RESERVE",D238=""),"DORMANT",IF(K238="","OPEN",IF(AND(I238=H238,J238&lt;&gt;""),"PASS","FAIL")))</x:f>
        <x:v>OPEN</x:v>
      </x:c>
    </x:row>
    <x:row r="239">
      <x:c r="B239" s="28" t="str">
        <x:v>AT-10</x:v>
      </x:c>
      <x:c r="C239" s="28" t="str">
        <x:v>PRIMARY</x:v>
      </x:c>
      <x:c r="D239" s="28" t="str">
        <x:f>INDEX('Attempt Tokens'!$E$7:$E$36,MATCH(B239,'Attempt Tokens'!$B$7:$B$36,0))</x:f>
      </x:c>
      <x:c r="E239" s="28" t="n">
        <x:v>17</x:v>
      </x:c>
      <x:c r="F239" s="28" t="str">
        <x:v>EG-17</x:v>
      </x:c>
      <x:c r="G239" s="28" t="str">
        <x:v>evidence obligations complete</x:v>
      </x:c>
      <x:c r="H239" s="28" t="str">
        <x:v>PASS</x:v>
      </x:c>
      <x:c r="I239" s="29" t="str"/>
      <x:c r="J239" s="29" t="str"/>
      <x:c r="K239" s="29" t="str"/>
      <x:c r="L239" s="28" t="str">
        <x:f>IF(AND(C239="RESERVE",D239=""),"DORMANT",IF(K239="","OPEN",IF(AND(I239=H239,J239&lt;&gt;""),"PASS","FAIL")))</x:f>
        <x:v>OPEN</x:v>
      </x:c>
    </x:row>
    <x:row r="240">
      <x:c r="B240" s="28" t="str">
        <x:v>AT-10</x:v>
      </x:c>
      <x:c r="C240" s="28" t="str">
        <x:v>PRIMARY</x:v>
      </x:c>
      <x:c r="D240" s="28" t="str">
        <x:f>INDEX('Attempt Tokens'!$E$7:$E$36,MATCH(B240,'Attempt Tokens'!$B$7:$B$36,0))</x:f>
      </x:c>
      <x:c r="E240" s="28" t="n">
        <x:v>18</x:v>
      </x:c>
      <x:c r="F240" s="28" t="str">
        <x:v>EG-18</x:v>
      </x:c>
      <x:c r="G240" s="28" t="str">
        <x:v>blank samples complete</x:v>
      </x:c>
      <x:c r="H240" s="28" t="str">
        <x:v>PASS</x:v>
      </x:c>
      <x:c r="I240" s="29" t="str"/>
      <x:c r="J240" s="29" t="str"/>
      <x:c r="K240" s="29" t="str"/>
      <x:c r="L240" s="28" t="str">
        <x:f>IF(AND(C240="RESERVE",D240=""),"DORMANT",IF(K240="","OPEN",IF(AND(I240=H240,J240&lt;&gt;""),"PASS","FAIL")))</x:f>
        <x:v>OPEN</x:v>
      </x:c>
    </x:row>
    <x:row r="241">
      <x:c r="B241" s="28" t="str">
        <x:v>AT-10</x:v>
      </x:c>
      <x:c r="C241" s="28" t="str">
        <x:v>PRIMARY</x:v>
      </x:c>
      <x:c r="D241" s="28" t="str">
        <x:f>INDEX('Attempt Tokens'!$E$7:$E$36,MATCH(B241,'Attempt Tokens'!$B$7:$B$36,0))</x:f>
      </x:c>
      <x:c r="E241" s="28" t="n">
        <x:v>19</x:v>
      </x:c>
      <x:c r="F241" s="28" t="str">
        <x:v>EG-19</x:v>
      </x:c>
      <x:c r="G241" s="28" t="str">
        <x:v>abort channels classified</x:v>
      </x:c>
      <x:c r="H241" s="28" t="str">
        <x:v>PASS</x:v>
      </x:c>
      <x:c r="I241" s="29" t="str"/>
      <x:c r="J241" s="29" t="str"/>
      <x:c r="K241" s="29" t="str"/>
      <x:c r="L241" s="28" t="str">
        <x:f>IF(AND(C241="RESERVE",D241=""),"DORMANT",IF(K241="","OPEN",IF(AND(I241=H241,J241&lt;&gt;""),"PASS","FAIL")))</x:f>
        <x:v>OPEN</x:v>
      </x:c>
    </x:row>
    <x:row r="242">
      <x:c r="B242" s="28" t="str">
        <x:v>AT-10</x:v>
      </x:c>
      <x:c r="C242" s="28" t="str">
        <x:v>PRIMARY</x:v>
      </x:c>
      <x:c r="D242" s="28" t="str">
        <x:f>INDEX('Attempt Tokens'!$E$7:$E$36,MATCH(B242,'Attempt Tokens'!$B$7:$B$36,0))</x:f>
      </x:c>
      <x:c r="E242" s="28" t="n">
        <x:v>20</x:v>
      </x:c>
      <x:c r="F242" s="28" t="str">
        <x:v>EG-20</x:v>
      </x:c>
      <x:c r="G242" s="28" t="str">
        <x:v>interventions classified</x:v>
      </x:c>
      <x:c r="H242" s="28" t="str">
        <x:v>PASS</x:v>
      </x:c>
      <x:c r="I242" s="29" t="str"/>
      <x:c r="J242" s="29" t="str"/>
      <x:c r="K242" s="29" t="str"/>
      <x:c r="L242" s="28" t="str">
        <x:f>IF(AND(C242="RESERVE",D242=""),"DORMANT",IF(K242="","OPEN",IF(AND(I242=H242,J242&lt;&gt;""),"PASS","FAIL")))</x:f>
        <x:v>OPEN</x:v>
      </x:c>
    </x:row>
    <x:row r="243">
      <x:c r="B243" s="28" t="str">
        <x:v>AT-10</x:v>
      </x:c>
      <x:c r="C243" s="28" t="str">
        <x:v>PRIMARY</x:v>
      </x:c>
      <x:c r="D243" s="28" t="str">
        <x:f>INDEX('Attempt Tokens'!$E$7:$E$36,MATCH(B243,'Attempt Tokens'!$B$7:$B$36,0))</x:f>
      </x:c>
      <x:c r="E243" s="28" t="n">
        <x:v>21</x:v>
      </x:c>
      <x:c r="F243" s="28" t="str">
        <x:v>EG-21</x:v>
      </x:c>
      <x:c r="G243" s="28" t="str">
        <x:v>event result accepted</x:v>
      </x:c>
      <x:c r="H243" s="28" t="str">
        <x:v>PASS</x:v>
      </x:c>
      <x:c r="I243" s="29" t="str"/>
      <x:c r="J243" s="29" t="str"/>
      <x:c r="K243" s="29" t="str"/>
      <x:c r="L243" s="28" t="str">
        <x:f>IF(AND(C243="RESERVE",D243=""),"DORMANT",IF(K243="","OPEN",IF(AND(I243=H243,J243&lt;&gt;""),"PASS","FAIL")))</x:f>
        <x:v>OPEN</x:v>
      </x:c>
    </x:row>
    <x:row r="244">
      <x:c r="B244" s="28" t="str">
        <x:v>AT-10</x:v>
      </x:c>
      <x:c r="C244" s="28" t="str">
        <x:v>PRIMARY</x:v>
      </x:c>
      <x:c r="D244" s="28" t="str">
        <x:f>INDEX('Attempt Tokens'!$E$7:$E$36,MATCH(B244,'Attempt Tokens'!$B$7:$B$36,0))</x:f>
      </x:c>
      <x:c r="E244" s="28" t="n">
        <x:v>22</x:v>
      </x:c>
      <x:c r="F244" s="28" t="str">
        <x:v>EG-22</x:v>
      </x:c>
      <x:c r="G244" s="28" t="str">
        <x:v>recovery states complete</x:v>
      </x:c>
      <x:c r="H244" s="28" t="str">
        <x:v>PASS</x:v>
      </x:c>
      <x:c r="I244" s="29" t="str"/>
      <x:c r="J244" s="29" t="str"/>
      <x:c r="K244" s="29" t="str"/>
      <x:c r="L244" s="28" t="str">
        <x:f>IF(AND(C244="RESERVE",D244=""),"DORMANT",IF(K244="","OPEN",IF(AND(I244=H244,J244&lt;&gt;""),"PASS","FAIL")))</x:f>
        <x:v>OPEN</x:v>
      </x:c>
    </x:row>
    <x:row r="245">
      <x:c r="B245" s="28" t="str">
        <x:v>AT-10</x:v>
      </x:c>
      <x:c r="C245" s="28" t="str">
        <x:v>PRIMARY</x:v>
      </x:c>
      <x:c r="D245" s="28" t="str">
        <x:f>INDEX('Attempt Tokens'!$E$7:$E$36,MATCH(B245,'Attempt Tokens'!$B$7:$B$36,0))</x:f>
      </x:c>
      <x:c r="E245" s="28" t="n">
        <x:v>23</x:v>
      </x:c>
      <x:c r="F245" s="28" t="str">
        <x:v>EG-23</x:v>
      </x:c>
      <x:c r="G245" s="28" t="str">
        <x:v>regeneration and regression complete</x:v>
      </x:c>
      <x:c r="H245" s="28" t="str">
        <x:v>PASS</x:v>
      </x:c>
      <x:c r="I245" s="29" t="str"/>
      <x:c r="J245" s="29" t="str"/>
      <x:c r="K245" s="29" t="str"/>
      <x:c r="L245" s="28" t="str">
        <x:f>IF(AND(C245="RESERVE",D245=""),"DORMANT",IF(K245="","OPEN",IF(AND(I245=H245,J245&lt;&gt;""),"PASS","FAIL")))</x:f>
        <x:v>OPEN</x:v>
      </x:c>
    </x:row>
    <x:row r="246">
      <x:c r="B246" s="28" t="str">
        <x:v>AT-10</x:v>
      </x:c>
      <x:c r="C246" s="28" t="str">
        <x:v>PRIMARY</x:v>
      </x:c>
      <x:c r="D246" s="28" t="str">
        <x:f>INDEX('Attempt Tokens'!$E$7:$E$36,MATCH(B246,'Attempt Tokens'!$B$7:$B$36,0))</x:f>
      </x:c>
      <x:c r="E246" s="28" t="n">
        <x:v>24</x:v>
      </x:c>
      <x:c r="F246" s="28" t="str">
        <x:v>EG-24</x:v>
      </x:c>
      <x:c r="G246" s="28" t="str">
        <x:v>reentry and packet release complete</x:v>
      </x:c>
      <x:c r="H246" s="28" t="str">
        <x:v>PASS</x:v>
      </x:c>
      <x:c r="I246" s="29" t="str"/>
      <x:c r="J246" s="29" t="str"/>
      <x:c r="K246" s="29" t="str"/>
      <x:c r="L246" s="28" t="str">
        <x:f>IF(AND(C246="RESERVE",D246=""),"DORMANT",IF(K246="","OPEN",IF(AND(I246=H246,J246&lt;&gt;""),"PASS","FAIL")))</x:f>
        <x:v>OPEN</x:v>
      </x:c>
    </x:row>
    <x:row r="247">
      <x:c r="B247" s="28" t="str">
        <x:v>AT-11</x:v>
      </x:c>
      <x:c r="C247" s="28" t="str">
        <x:v>PRIMARY</x:v>
      </x:c>
      <x:c r="D247" s="28" t="str">
        <x:f>INDEX('Attempt Tokens'!$E$7:$E$36,MATCH(B247,'Attempt Tokens'!$B$7:$B$36,0))</x:f>
      </x:c>
      <x:c r="E247" s="28" t="n">
        <x:v>1</x:v>
      </x:c>
      <x:c r="F247" s="28" t="str">
        <x:v>EG-01</x:v>
      </x:c>
      <x:c r="G247" s="28" t="str">
        <x:v>RAX or renewed pair credential current</x:v>
      </x:c>
      <x:c r="H247" s="28" t="str">
        <x:v>PASS</x:v>
      </x:c>
      <x:c r="I247" s="29" t="str"/>
      <x:c r="J247" s="29" t="str"/>
      <x:c r="K247" s="29" t="str"/>
      <x:c r="L247" s="28" t="str">
        <x:f>IF(AND(C247="RESERVE",D247=""),"DORMANT",IF(K247="","OPEN",IF(AND(I247=H247,J247&lt;&gt;""),"PASS","FAIL")))</x:f>
        <x:v>OPEN</x:v>
      </x:c>
    </x:row>
    <x:row r="248">
      <x:c r="B248" s="28" t="str">
        <x:v>AT-11</x:v>
      </x:c>
      <x:c r="C248" s="28" t="str">
        <x:v>PRIMARY</x:v>
      </x:c>
      <x:c r="D248" s="28" t="str">
        <x:f>INDEX('Attempt Tokens'!$E$7:$E$36,MATCH(B248,'Attempt Tokens'!$B$7:$B$36,0))</x:f>
      </x:c>
      <x:c r="E248" s="28" t="n">
        <x:v>2</x:v>
      </x:c>
      <x:c r="F248" s="28" t="str">
        <x:v>EG-02</x:v>
      </x:c>
      <x:c r="G248" s="28" t="str">
        <x:v>candidate cell eligible</x:v>
      </x:c>
      <x:c r="H248" s="28" t="str">
        <x:v>PASS</x:v>
      </x:c>
      <x:c r="I248" s="29" t="str"/>
      <x:c r="J248" s="29" t="str"/>
      <x:c r="K248" s="29" t="str"/>
      <x:c r="L248" s="28" t="str">
        <x:f>IF(AND(C248="RESERVE",D248=""),"DORMANT",IF(K248="","OPEN",IF(AND(I248=H248,J248&lt;&gt;""),"PASS","FAIL")))</x:f>
        <x:v>OPEN</x:v>
      </x:c>
    </x:row>
    <x:row r="249">
      <x:c r="B249" s="28" t="str">
        <x:v>AT-11</x:v>
      </x:c>
      <x:c r="C249" s="28" t="str">
        <x:v>PRIMARY</x:v>
      </x:c>
      <x:c r="D249" s="28" t="str">
        <x:f>INDEX('Attempt Tokens'!$E$7:$E$36,MATCH(B249,'Attempt Tokens'!$B$7:$B$36,0))</x:f>
      </x:c>
      <x:c r="E249" s="28" t="n">
        <x:v>3</x:v>
      </x:c>
      <x:c r="F249" s="28" t="str">
        <x:v>EG-03</x:v>
      </x:c>
      <x:c r="G249" s="28" t="str">
        <x:v>draw and schedule binding complete</x:v>
      </x:c>
      <x:c r="H249" s="28" t="str">
        <x:v>PASS</x:v>
      </x:c>
      <x:c r="I249" s="29" t="str"/>
      <x:c r="J249" s="29" t="str"/>
      <x:c r="K249" s="29" t="str"/>
      <x:c r="L249" s="28" t="str">
        <x:f>IF(AND(C249="RESERVE",D249=""),"DORMANT",IF(K249="","OPEN",IF(AND(I249=H249,J249&lt;&gt;""),"PASS","FAIL")))</x:f>
        <x:v>OPEN</x:v>
      </x:c>
    </x:row>
    <x:row r="250">
      <x:c r="B250" s="28" t="str">
        <x:v>AT-11</x:v>
      </x:c>
      <x:c r="C250" s="28" t="str">
        <x:v>PRIMARY</x:v>
      </x:c>
      <x:c r="D250" s="28" t="str">
        <x:f>INDEX('Attempt Tokens'!$E$7:$E$36,MATCH(B250,'Attempt Tokens'!$B$7:$B$36,0))</x:f>
      </x:c>
      <x:c r="E250" s="28" t="n">
        <x:v>4</x:v>
      </x:c>
      <x:c r="F250" s="28" t="str">
        <x:v>EG-04</x:v>
      </x:c>
      <x:c r="G250" s="28" t="str">
        <x:v>event issue accepted</x:v>
      </x:c>
      <x:c r="H250" s="28" t="str">
        <x:v>PASS</x:v>
      </x:c>
      <x:c r="I250" s="29" t="str"/>
      <x:c r="J250" s="29" t="str"/>
      <x:c r="K250" s="29" t="str"/>
      <x:c r="L250" s="28" t="str">
        <x:f>IF(AND(C250="RESERVE",D250=""),"DORMANT",IF(K250="","OPEN",IF(AND(I250=H250,J250&lt;&gt;""),"PASS","FAIL")))</x:f>
        <x:v>OPEN</x:v>
      </x:c>
    </x:row>
    <x:row r="251">
      <x:c r="B251" s="28" t="str">
        <x:v>AT-11</x:v>
      </x:c>
      <x:c r="C251" s="28" t="str">
        <x:v>PRIMARY</x:v>
      </x:c>
      <x:c r="D251" s="28" t="str">
        <x:f>INDEX('Attempt Tokens'!$E$7:$E$36,MATCH(B251,'Attempt Tokens'!$B$7:$B$36,0))</x:f>
      </x:c>
      <x:c r="E251" s="28" t="n">
        <x:v>5</x:v>
      </x:c>
      <x:c r="F251" s="28" t="str">
        <x:v>EG-05</x:v>
      </x:c>
      <x:c r="G251" s="28" t="str">
        <x:v>dossier bindings complete</x:v>
      </x:c>
      <x:c r="H251" s="28" t="str">
        <x:v>PASS</x:v>
      </x:c>
      <x:c r="I251" s="29" t="str"/>
      <x:c r="J251" s="29" t="str"/>
      <x:c r="K251" s="29" t="str"/>
      <x:c r="L251" s="28" t="str">
        <x:f>IF(AND(C251="RESERVE",D251=""),"DORMANT",IF(K251="","OPEN",IF(AND(I251=H251,J251&lt;&gt;""),"PASS","FAIL")))</x:f>
        <x:v>OPEN</x:v>
      </x:c>
    </x:row>
    <x:row r="252">
      <x:c r="B252" s="28" t="str">
        <x:v>AT-11</x:v>
      </x:c>
      <x:c r="C252" s="28" t="str">
        <x:v>PRIMARY</x:v>
      </x:c>
      <x:c r="D252" s="28" t="str">
        <x:f>INDEX('Attempt Tokens'!$E$7:$E$36,MATCH(B252,'Attempt Tokens'!$B$7:$B$36,0))</x:f>
      </x:c>
      <x:c r="E252" s="28" t="n">
        <x:v>6</x:v>
      </x:c>
      <x:c r="F252" s="28" t="str">
        <x:v>EG-06</x:v>
      </x:c>
      <x:c r="G252" s="28" t="str">
        <x:v>event crew complete</x:v>
      </x:c>
      <x:c r="H252" s="28" t="str">
        <x:v>PASS</x:v>
      </x:c>
      <x:c r="I252" s="29" t="str"/>
      <x:c r="J252" s="29" t="str"/>
      <x:c r="K252" s="29" t="str"/>
      <x:c r="L252" s="28" t="str">
        <x:f>IF(AND(C252="RESERVE",D252=""),"DORMANT",IF(K252="","OPEN",IF(AND(I252=H252,J252&lt;&gt;""),"PASS","FAIL")))</x:f>
        <x:v>OPEN</x:v>
      </x:c>
    </x:row>
    <x:row r="253">
      <x:c r="B253" s="28" t="str">
        <x:v>AT-11</x:v>
      </x:c>
      <x:c r="C253" s="28" t="str">
        <x:v>PRIMARY</x:v>
      </x:c>
      <x:c r="D253" s="28" t="str">
        <x:f>INDEX('Attempt Tokens'!$E$7:$E$36,MATCH(B253,'Attempt Tokens'!$B$7:$B$36,0))</x:f>
      </x:c>
      <x:c r="E253" s="28" t="n">
        <x:v>7</x:v>
      </x:c>
      <x:c r="F253" s="28" t="str">
        <x:v>EG-07</x:v>
      </x:c>
      <x:c r="G253" s="28" t="str">
        <x:v>configuration freeze complete</x:v>
      </x:c>
      <x:c r="H253" s="28" t="str">
        <x:v>PASS</x:v>
      </x:c>
      <x:c r="I253" s="29" t="str"/>
      <x:c r="J253" s="29" t="str"/>
      <x:c r="K253" s="29" t="str"/>
      <x:c r="L253" s="28" t="str">
        <x:f>IF(AND(C253="RESERVE",D253=""),"DORMANT",IF(K253="","OPEN",IF(AND(I253=H253,J253&lt;&gt;""),"PASS","FAIL")))</x:f>
        <x:v>OPEN</x:v>
      </x:c>
    </x:row>
    <x:row r="254">
      <x:c r="B254" s="28" t="str">
        <x:v>AT-11</x:v>
      </x:c>
      <x:c r="C254" s="28" t="str">
        <x:v>PRIMARY</x:v>
      </x:c>
      <x:c r="D254" s="28" t="str">
        <x:f>INDEX('Attempt Tokens'!$E$7:$E$36,MATCH(B254,'Attempt Tokens'!$B$7:$B$36,0))</x:f>
      </x:c>
      <x:c r="E254" s="28" t="n">
        <x:v>8</x:v>
      </x:c>
      <x:c r="F254" s="28" t="str">
        <x:v>EG-08</x:v>
      </x:c>
      <x:c r="G254" s="28" t="str">
        <x:v>zero-source checks complete</x:v>
      </x:c>
      <x:c r="H254" s="28" t="str">
        <x:v>PASS</x:v>
      </x:c>
      <x:c r="I254" s="29" t="str"/>
      <x:c r="J254" s="29" t="str"/>
      <x:c r="K254" s="29" t="str"/>
      <x:c r="L254" s="28" t="str">
        <x:f>IF(AND(C254="RESERVE",D254=""),"DORMANT",IF(K254="","OPEN",IF(AND(I254=H254,J254&lt;&gt;""),"PASS","FAIL")))</x:f>
        <x:v>OPEN</x:v>
      </x:c>
    </x:row>
    <x:row r="255">
      <x:c r="B255" s="28" t="str">
        <x:v>AT-11</x:v>
      </x:c>
      <x:c r="C255" s="28" t="str">
        <x:v>PRIMARY</x:v>
      </x:c>
      <x:c r="D255" s="28" t="str">
        <x:f>INDEX('Attempt Tokens'!$E$7:$E$36,MATCH(B255,'Attempt Tokens'!$B$7:$B$36,0))</x:f>
      </x:c>
      <x:c r="E255" s="28" t="n">
        <x:v>9</x:v>
      </x:c>
      <x:c r="F255" s="28" t="str">
        <x:v>EG-09</x:v>
      </x:c>
      <x:c r="G255" s="28" t="str">
        <x:v>zero-water checks complete</x:v>
      </x:c>
      <x:c r="H255" s="28" t="str">
        <x:v>PASS</x:v>
      </x:c>
      <x:c r="I255" s="29" t="str"/>
      <x:c r="J255" s="29" t="str"/>
      <x:c r="K255" s="29" t="str"/>
      <x:c r="L255" s="28" t="str">
        <x:f>IF(AND(C255="RESERVE",D255=""),"DORMANT",IF(K255="","OPEN",IF(AND(I255=H255,J255&lt;&gt;""),"PASS","FAIL")))</x:f>
        <x:v>OPEN</x:v>
      </x:c>
    </x:row>
    <x:row r="256">
      <x:c r="B256" s="28" t="str">
        <x:v>AT-11</x:v>
      </x:c>
      <x:c r="C256" s="28" t="str">
        <x:v>PRIMARY</x:v>
      </x:c>
      <x:c r="D256" s="28" t="str">
        <x:f>INDEX('Attempt Tokens'!$E$7:$E$36,MATCH(B256,'Attempt Tokens'!$B$7:$B$36,0))</x:f>
      </x:c>
      <x:c r="E256" s="28" t="n">
        <x:v>10</x:v>
      </x:c>
      <x:c r="F256" s="28" t="str">
        <x:v>EG-10</x:v>
      </x:c>
      <x:c r="G256" s="28" t="str">
        <x:v>uncertainty decisions complete</x:v>
      </x:c>
      <x:c r="H256" s="28" t="str">
        <x:v>PASS</x:v>
      </x:c>
      <x:c r="I256" s="29" t="str"/>
      <x:c r="J256" s="29" t="str"/>
      <x:c r="K256" s="29" t="str"/>
      <x:c r="L256" s="28" t="str">
        <x:f>IF(AND(C256="RESERVE",D256=""),"DORMANT",IF(K256="","OPEN",IF(AND(I256=H256,J256&lt;&gt;""),"PASS","FAIL")))</x:f>
        <x:v>OPEN</x:v>
      </x:c>
    </x:row>
    <x:row r="257">
      <x:c r="B257" s="28" t="str">
        <x:v>AT-11</x:v>
      </x:c>
      <x:c r="C257" s="28" t="str">
        <x:v>PRIMARY</x:v>
      </x:c>
      <x:c r="D257" s="28" t="str">
        <x:f>INDEX('Attempt Tokens'!$E$7:$E$36,MATCH(B257,'Attempt Tokens'!$B$7:$B$36,0))</x:f>
      </x:c>
      <x:c r="E257" s="28" t="n">
        <x:v>11</x:v>
      </x:c>
      <x:c r="F257" s="28" t="str">
        <x:v>EG-11</x:v>
      </x:c>
      <x:c r="G257" s="28" t="str">
        <x:v>measurement windows complete</x:v>
      </x:c>
      <x:c r="H257" s="28" t="str">
        <x:v>PASS</x:v>
      </x:c>
      <x:c r="I257" s="29" t="str"/>
      <x:c r="J257" s="29" t="str"/>
      <x:c r="K257" s="29" t="str"/>
      <x:c r="L257" s="28" t="str">
        <x:f>IF(AND(C257="RESERVE",D257=""),"DORMANT",IF(K257="","OPEN",IF(AND(I257=H257,J257&lt;&gt;""),"PASS","FAIL")))</x:f>
        <x:v>OPEN</x:v>
      </x:c>
    </x:row>
    <x:row r="258">
      <x:c r="B258" s="28" t="str">
        <x:v>AT-11</x:v>
      </x:c>
      <x:c r="C258" s="28" t="str">
        <x:v>PRIMARY</x:v>
      </x:c>
      <x:c r="D258" s="28" t="str">
        <x:f>INDEX('Attempt Tokens'!$E$7:$E$36,MATCH(B258,'Attempt Tokens'!$B$7:$B$36,0))</x:f>
      </x:c>
      <x:c r="E258" s="28" t="n">
        <x:v>12</x:v>
      </x:c>
      <x:c r="F258" s="28" t="str">
        <x:v>EG-12</x:v>
      </x:c>
      <x:c r="G258" s="28" t="str">
        <x:v>neighbor proofs complete</x:v>
      </x:c>
      <x:c r="H258" s="28" t="str">
        <x:v>PASS</x:v>
      </x:c>
      <x:c r="I258" s="29" t="str"/>
      <x:c r="J258" s="29" t="str"/>
      <x:c r="K258" s="29" t="str"/>
      <x:c r="L258" s="28" t="str">
        <x:f>IF(AND(C258="RESERVE",D258=""),"DORMANT",IF(K258="","OPEN",IF(AND(I258=H258,J258&lt;&gt;""),"PASS","FAIL")))</x:f>
        <x:v>OPEN</x:v>
      </x:c>
    </x:row>
    <x:row r="259">
      <x:c r="B259" s="28" t="str">
        <x:v>AT-11</x:v>
      </x:c>
      <x:c r="C259" s="28" t="str">
        <x:v>PRIMARY</x:v>
      </x:c>
      <x:c r="D259" s="28" t="str">
        <x:f>INDEX('Attempt Tokens'!$E$7:$E$36,MATCH(B259,'Attempt Tokens'!$B$7:$B$36,0))</x:f>
      </x:c>
      <x:c r="E259" s="28" t="n">
        <x:v>13</x:v>
      </x:c>
      <x:c r="F259" s="28" t="str">
        <x:v>EG-13</x:v>
      </x:c>
      <x:c r="G259" s="28" t="str">
        <x:v>safeing polls complete</x:v>
      </x:c>
      <x:c r="H259" s="28" t="str">
        <x:v>PASS</x:v>
      </x:c>
      <x:c r="I259" s="29" t="str"/>
      <x:c r="J259" s="29" t="str"/>
      <x:c r="K259" s="29" t="str"/>
      <x:c r="L259" s="28" t="str">
        <x:f>IF(AND(C259="RESERVE",D259=""),"DORMANT",IF(K259="","OPEN",IF(AND(I259=H259,J259&lt;&gt;""),"PASS","FAIL")))</x:f>
        <x:v>OPEN</x:v>
      </x:c>
    </x:row>
    <x:row r="260">
      <x:c r="B260" s="28" t="str">
        <x:v>AT-11</x:v>
      </x:c>
      <x:c r="C260" s="28" t="str">
        <x:v>PRIMARY</x:v>
      </x:c>
      <x:c r="D260" s="28" t="str">
        <x:f>INDEX('Attempt Tokens'!$E$7:$E$36,MATCH(B260,'Attempt Tokens'!$B$7:$B$36,0))</x:f>
      </x:c>
      <x:c r="E260" s="28" t="n">
        <x:v>14</x:v>
      </x:c>
      <x:c r="F260" s="28" t="str">
        <x:v>EG-14</x:v>
      </x:c>
      <x:c r="G260" s="28" t="str">
        <x:v>command transactions complete</x:v>
      </x:c>
      <x:c r="H260" s="28" t="str">
        <x:v>PASS</x:v>
      </x:c>
      <x:c r="I260" s="29" t="str"/>
      <x:c r="J260" s="29" t="str"/>
      <x:c r="K260" s="29" t="str"/>
      <x:c r="L260" s="28" t="str">
        <x:f>IF(AND(C260="RESERVE",D260=""),"DORMANT",IF(K260="","OPEN",IF(AND(I260=H260,J260&lt;&gt;""),"PASS","FAIL")))</x:f>
        <x:v>OPEN</x:v>
      </x:c>
    </x:row>
    <x:row r="261">
      <x:c r="B261" s="28" t="str">
        <x:v>AT-11</x:v>
      </x:c>
      <x:c r="C261" s="28" t="str">
        <x:v>PRIMARY</x:v>
      </x:c>
      <x:c r="D261" s="28" t="str">
        <x:f>INDEX('Attempt Tokens'!$E$7:$E$36,MATCH(B261,'Attempt Tokens'!$B$7:$B$36,0))</x:f>
      </x:c>
      <x:c r="E261" s="28" t="n">
        <x:v>15</x:v>
      </x:c>
      <x:c r="F261" s="28" t="str">
        <x:v>EG-15</x:v>
      </x:c>
      <x:c r="G261" s="28" t="str">
        <x:v>phase clock complete</x:v>
      </x:c>
      <x:c r="H261" s="28" t="str">
        <x:v>PASS</x:v>
      </x:c>
      <x:c r="I261" s="29" t="str"/>
      <x:c r="J261" s="29" t="str"/>
      <x:c r="K261" s="29" t="str"/>
      <x:c r="L261" s="28" t="str">
        <x:f>IF(AND(C261="RESERVE",D261=""),"DORMANT",IF(K261="","OPEN",IF(AND(I261=H261,J261&lt;&gt;""),"PASS","FAIL")))</x:f>
        <x:v>OPEN</x:v>
      </x:c>
    </x:row>
    <x:row r="262">
      <x:c r="B262" s="28" t="str">
        <x:v>AT-11</x:v>
      </x:c>
      <x:c r="C262" s="28" t="str">
        <x:v>PRIMARY</x:v>
      </x:c>
      <x:c r="D262" s="28" t="str">
        <x:f>INDEX('Attempt Tokens'!$E$7:$E$36,MATCH(B262,'Attempt Tokens'!$B$7:$B$36,0))</x:f>
      </x:c>
      <x:c r="E262" s="28" t="n">
        <x:v>16</x:v>
      </x:c>
      <x:c r="F262" s="28" t="str">
        <x:v>EG-16</x:v>
      </x:c>
      <x:c r="G262" s="28" t="str">
        <x:v>holds complete</x:v>
      </x:c>
      <x:c r="H262" s="28" t="str">
        <x:v>PASS</x:v>
      </x:c>
      <x:c r="I262" s="29" t="str"/>
      <x:c r="J262" s="29" t="str"/>
      <x:c r="K262" s="29" t="str"/>
      <x:c r="L262" s="28" t="str">
        <x:f>IF(AND(C262="RESERVE",D262=""),"DORMANT",IF(K262="","OPEN",IF(AND(I262=H262,J262&lt;&gt;""),"PASS","FAIL")))</x:f>
        <x:v>OPEN</x:v>
      </x:c>
    </x:row>
    <x:row r="263">
      <x:c r="B263" s="28" t="str">
        <x:v>AT-11</x:v>
      </x:c>
      <x:c r="C263" s="28" t="str">
        <x:v>PRIMARY</x:v>
      </x:c>
      <x:c r="D263" s="28" t="str">
        <x:f>INDEX('Attempt Tokens'!$E$7:$E$36,MATCH(B263,'Attempt Tokens'!$B$7:$B$36,0))</x:f>
      </x:c>
      <x:c r="E263" s="28" t="n">
        <x:v>17</x:v>
      </x:c>
      <x:c r="F263" s="28" t="str">
        <x:v>EG-17</x:v>
      </x:c>
      <x:c r="G263" s="28" t="str">
        <x:v>evidence obligations complete</x:v>
      </x:c>
      <x:c r="H263" s="28" t="str">
        <x:v>PASS</x:v>
      </x:c>
      <x:c r="I263" s="29" t="str"/>
      <x:c r="J263" s="29" t="str"/>
      <x:c r="K263" s="29" t="str"/>
      <x:c r="L263" s="28" t="str">
        <x:f>IF(AND(C263="RESERVE",D263=""),"DORMANT",IF(K263="","OPEN",IF(AND(I263=H263,J263&lt;&gt;""),"PASS","FAIL")))</x:f>
        <x:v>OPEN</x:v>
      </x:c>
    </x:row>
    <x:row r="264">
      <x:c r="B264" s="28" t="str">
        <x:v>AT-11</x:v>
      </x:c>
      <x:c r="C264" s="28" t="str">
        <x:v>PRIMARY</x:v>
      </x:c>
      <x:c r="D264" s="28" t="str">
        <x:f>INDEX('Attempt Tokens'!$E$7:$E$36,MATCH(B264,'Attempt Tokens'!$B$7:$B$36,0))</x:f>
      </x:c>
      <x:c r="E264" s="28" t="n">
        <x:v>18</x:v>
      </x:c>
      <x:c r="F264" s="28" t="str">
        <x:v>EG-18</x:v>
      </x:c>
      <x:c r="G264" s="28" t="str">
        <x:v>blank samples complete</x:v>
      </x:c>
      <x:c r="H264" s="28" t="str">
        <x:v>PASS</x:v>
      </x:c>
      <x:c r="I264" s="29" t="str"/>
      <x:c r="J264" s="29" t="str"/>
      <x:c r="K264" s="29" t="str"/>
      <x:c r="L264" s="28" t="str">
        <x:f>IF(AND(C264="RESERVE",D264=""),"DORMANT",IF(K264="","OPEN",IF(AND(I264=H264,J264&lt;&gt;""),"PASS","FAIL")))</x:f>
        <x:v>OPEN</x:v>
      </x:c>
    </x:row>
    <x:row r="265">
      <x:c r="B265" s="28" t="str">
        <x:v>AT-11</x:v>
      </x:c>
      <x:c r="C265" s="28" t="str">
        <x:v>PRIMARY</x:v>
      </x:c>
      <x:c r="D265" s="28" t="str">
        <x:f>INDEX('Attempt Tokens'!$E$7:$E$36,MATCH(B265,'Attempt Tokens'!$B$7:$B$36,0))</x:f>
      </x:c>
      <x:c r="E265" s="28" t="n">
        <x:v>19</x:v>
      </x:c>
      <x:c r="F265" s="28" t="str">
        <x:v>EG-19</x:v>
      </x:c>
      <x:c r="G265" s="28" t="str">
        <x:v>abort channels classified</x:v>
      </x:c>
      <x:c r="H265" s="28" t="str">
        <x:v>PASS</x:v>
      </x:c>
      <x:c r="I265" s="29" t="str"/>
      <x:c r="J265" s="29" t="str"/>
      <x:c r="K265" s="29" t="str"/>
      <x:c r="L265" s="28" t="str">
        <x:f>IF(AND(C265="RESERVE",D265=""),"DORMANT",IF(K265="","OPEN",IF(AND(I265=H265,J265&lt;&gt;""),"PASS","FAIL")))</x:f>
        <x:v>OPEN</x:v>
      </x:c>
    </x:row>
    <x:row r="266">
      <x:c r="B266" s="28" t="str">
        <x:v>AT-11</x:v>
      </x:c>
      <x:c r="C266" s="28" t="str">
        <x:v>PRIMARY</x:v>
      </x:c>
      <x:c r="D266" s="28" t="str">
        <x:f>INDEX('Attempt Tokens'!$E$7:$E$36,MATCH(B266,'Attempt Tokens'!$B$7:$B$36,0))</x:f>
      </x:c>
      <x:c r="E266" s="28" t="n">
        <x:v>20</x:v>
      </x:c>
      <x:c r="F266" s="28" t="str">
        <x:v>EG-20</x:v>
      </x:c>
      <x:c r="G266" s="28" t="str">
        <x:v>interventions classified</x:v>
      </x:c>
      <x:c r="H266" s="28" t="str">
        <x:v>PASS</x:v>
      </x:c>
      <x:c r="I266" s="29" t="str"/>
      <x:c r="J266" s="29" t="str"/>
      <x:c r="K266" s="29" t="str"/>
      <x:c r="L266" s="28" t="str">
        <x:f>IF(AND(C266="RESERVE",D266=""),"DORMANT",IF(K266="","OPEN",IF(AND(I266=H266,J266&lt;&gt;""),"PASS","FAIL")))</x:f>
        <x:v>OPEN</x:v>
      </x:c>
    </x:row>
    <x:row r="267">
      <x:c r="B267" s="28" t="str">
        <x:v>AT-11</x:v>
      </x:c>
      <x:c r="C267" s="28" t="str">
        <x:v>PRIMARY</x:v>
      </x:c>
      <x:c r="D267" s="28" t="str">
        <x:f>INDEX('Attempt Tokens'!$E$7:$E$36,MATCH(B267,'Attempt Tokens'!$B$7:$B$36,0))</x:f>
      </x:c>
      <x:c r="E267" s="28" t="n">
        <x:v>21</x:v>
      </x:c>
      <x:c r="F267" s="28" t="str">
        <x:v>EG-21</x:v>
      </x:c>
      <x:c r="G267" s="28" t="str">
        <x:v>event result accepted</x:v>
      </x:c>
      <x:c r="H267" s="28" t="str">
        <x:v>PASS</x:v>
      </x:c>
      <x:c r="I267" s="29" t="str"/>
      <x:c r="J267" s="29" t="str"/>
      <x:c r="K267" s="29" t="str"/>
      <x:c r="L267" s="28" t="str">
        <x:f>IF(AND(C267="RESERVE",D267=""),"DORMANT",IF(K267="","OPEN",IF(AND(I267=H267,J267&lt;&gt;""),"PASS","FAIL")))</x:f>
        <x:v>OPEN</x:v>
      </x:c>
    </x:row>
    <x:row r="268">
      <x:c r="B268" s="28" t="str">
        <x:v>AT-11</x:v>
      </x:c>
      <x:c r="C268" s="28" t="str">
        <x:v>PRIMARY</x:v>
      </x:c>
      <x:c r="D268" s="28" t="str">
        <x:f>INDEX('Attempt Tokens'!$E$7:$E$36,MATCH(B268,'Attempt Tokens'!$B$7:$B$36,0))</x:f>
      </x:c>
      <x:c r="E268" s="28" t="n">
        <x:v>22</x:v>
      </x:c>
      <x:c r="F268" s="28" t="str">
        <x:v>EG-22</x:v>
      </x:c>
      <x:c r="G268" s="28" t="str">
        <x:v>recovery states complete</x:v>
      </x:c>
      <x:c r="H268" s="28" t="str">
        <x:v>PASS</x:v>
      </x:c>
      <x:c r="I268" s="29" t="str"/>
      <x:c r="J268" s="29" t="str"/>
      <x:c r="K268" s="29" t="str"/>
      <x:c r="L268" s="28" t="str">
        <x:f>IF(AND(C268="RESERVE",D268=""),"DORMANT",IF(K268="","OPEN",IF(AND(I268=H268,J268&lt;&gt;""),"PASS","FAIL")))</x:f>
        <x:v>OPEN</x:v>
      </x:c>
    </x:row>
    <x:row r="269">
      <x:c r="B269" s="28" t="str">
        <x:v>AT-11</x:v>
      </x:c>
      <x:c r="C269" s="28" t="str">
        <x:v>PRIMARY</x:v>
      </x:c>
      <x:c r="D269" s="28" t="str">
        <x:f>INDEX('Attempt Tokens'!$E$7:$E$36,MATCH(B269,'Attempt Tokens'!$B$7:$B$36,0))</x:f>
      </x:c>
      <x:c r="E269" s="28" t="n">
        <x:v>23</x:v>
      </x:c>
      <x:c r="F269" s="28" t="str">
        <x:v>EG-23</x:v>
      </x:c>
      <x:c r="G269" s="28" t="str">
        <x:v>regeneration and regression complete</x:v>
      </x:c>
      <x:c r="H269" s="28" t="str">
        <x:v>PASS</x:v>
      </x:c>
      <x:c r="I269" s="29" t="str"/>
      <x:c r="J269" s="29" t="str"/>
      <x:c r="K269" s="29" t="str"/>
      <x:c r="L269" s="28" t="str">
        <x:f>IF(AND(C269="RESERVE",D269=""),"DORMANT",IF(K269="","OPEN",IF(AND(I269=H269,J269&lt;&gt;""),"PASS","FAIL")))</x:f>
        <x:v>OPEN</x:v>
      </x:c>
    </x:row>
    <x:row r="270">
      <x:c r="B270" s="28" t="str">
        <x:v>AT-11</x:v>
      </x:c>
      <x:c r="C270" s="28" t="str">
        <x:v>PRIMARY</x:v>
      </x:c>
      <x:c r="D270" s="28" t="str">
        <x:f>INDEX('Attempt Tokens'!$E$7:$E$36,MATCH(B270,'Attempt Tokens'!$B$7:$B$36,0))</x:f>
      </x:c>
      <x:c r="E270" s="28" t="n">
        <x:v>24</x:v>
      </x:c>
      <x:c r="F270" s="28" t="str">
        <x:v>EG-24</x:v>
      </x:c>
      <x:c r="G270" s="28" t="str">
        <x:v>reentry and packet release complete</x:v>
      </x:c>
      <x:c r="H270" s="28" t="str">
        <x:v>PASS</x:v>
      </x:c>
      <x:c r="I270" s="29" t="str"/>
      <x:c r="J270" s="29" t="str"/>
      <x:c r="K270" s="29" t="str"/>
      <x:c r="L270" s="28" t="str">
        <x:f>IF(AND(C270="RESERVE",D270=""),"DORMANT",IF(K270="","OPEN",IF(AND(I270=H270,J270&lt;&gt;""),"PASS","FAIL")))</x:f>
        <x:v>OPEN</x:v>
      </x:c>
    </x:row>
    <x:row r="271">
      <x:c r="B271" s="28" t="str">
        <x:v>AT-12</x:v>
      </x:c>
      <x:c r="C271" s="28" t="str">
        <x:v>PRIMARY</x:v>
      </x:c>
      <x:c r="D271" s="28" t="str">
        <x:f>INDEX('Attempt Tokens'!$E$7:$E$36,MATCH(B271,'Attempt Tokens'!$B$7:$B$36,0))</x:f>
      </x:c>
      <x:c r="E271" s="28" t="n">
        <x:v>1</x:v>
      </x:c>
      <x:c r="F271" s="28" t="str">
        <x:v>EG-01</x:v>
      </x:c>
      <x:c r="G271" s="28" t="str">
        <x:v>RAX or renewed pair credential current</x:v>
      </x:c>
      <x:c r="H271" s="28" t="str">
        <x:v>PASS</x:v>
      </x:c>
      <x:c r="I271" s="29" t="str"/>
      <x:c r="J271" s="29" t="str"/>
      <x:c r="K271" s="29" t="str"/>
      <x:c r="L271" s="28" t="str">
        <x:f>IF(AND(C271="RESERVE",D271=""),"DORMANT",IF(K271="","OPEN",IF(AND(I271=H271,J271&lt;&gt;""),"PASS","FAIL")))</x:f>
        <x:v>OPEN</x:v>
      </x:c>
    </x:row>
    <x:row r="272">
      <x:c r="B272" s="28" t="str">
        <x:v>AT-12</x:v>
      </x:c>
      <x:c r="C272" s="28" t="str">
        <x:v>PRIMARY</x:v>
      </x:c>
      <x:c r="D272" s="28" t="str">
        <x:f>INDEX('Attempt Tokens'!$E$7:$E$36,MATCH(B272,'Attempt Tokens'!$B$7:$B$36,0))</x:f>
      </x:c>
      <x:c r="E272" s="28" t="n">
        <x:v>2</x:v>
      </x:c>
      <x:c r="F272" s="28" t="str">
        <x:v>EG-02</x:v>
      </x:c>
      <x:c r="G272" s="28" t="str">
        <x:v>candidate cell eligible</x:v>
      </x:c>
      <x:c r="H272" s="28" t="str">
        <x:v>PASS</x:v>
      </x:c>
      <x:c r="I272" s="29" t="str"/>
      <x:c r="J272" s="29" t="str"/>
      <x:c r="K272" s="29" t="str"/>
      <x:c r="L272" s="28" t="str">
        <x:f>IF(AND(C272="RESERVE",D272=""),"DORMANT",IF(K272="","OPEN",IF(AND(I272=H272,J272&lt;&gt;""),"PASS","FAIL")))</x:f>
        <x:v>OPEN</x:v>
      </x:c>
    </x:row>
    <x:row r="273">
      <x:c r="B273" s="28" t="str">
        <x:v>AT-12</x:v>
      </x:c>
      <x:c r="C273" s="28" t="str">
        <x:v>PRIMARY</x:v>
      </x:c>
      <x:c r="D273" s="28" t="str">
        <x:f>INDEX('Attempt Tokens'!$E$7:$E$36,MATCH(B273,'Attempt Tokens'!$B$7:$B$36,0))</x:f>
      </x:c>
      <x:c r="E273" s="28" t="n">
        <x:v>3</x:v>
      </x:c>
      <x:c r="F273" s="28" t="str">
        <x:v>EG-03</x:v>
      </x:c>
      <x:c r="G273" s="28" t="str">
        <x:v>draw and schedule binding complete</x:v>
      </x:c>
      <x:c r="H273" s="28" t="str">
        <x:v>PASS</x:v>
      </x:c>
      <x:c r="I273" s="29" t="str"/>
      <x:c r="J273" s="29" t="str"/>
      <x:c r="K273" s="29" t="str"/>
      <x:c r="L273" s="28" t="str">
        <x:f>IF(AND(C273="RESERVE",D273=""),"DORMANT",IF(K273="","OPEN",IF(AND(I273=H273,J273&lt;&gt;""),"PASS","FAIL")))</x:f>
        <x:v>OPEN</x:v>
      </x:c>
    </x:row>
    <x:row r="274">
      <x:c r="B274" s="28" t="str">
        <x:v>AT-12</x:v>
      </x:c>
      <x:c r="C274" s="28" t="str">
        <x:v>PRIMARY</x:v>
      </x:c>
      <x:c r="D274" s="28" t="str">
        <x:f>INDEX('Attempt Tokens'!$E$7:$E$36,MATCH(B274,'Attempt Tokens'!$B$7:$B$36,0))</x:f>
      </x:c>
      <x:c r="E274" s="28" t="n">
        <x:v>4</x:v>
      </x:c>
      <x:c r="F274" s="28" t="str">
        <x:v>EG-04</x:v>
      </x:c>
      <x:c r="G274" s="28" t="str">
        <x:v>event issue accepted</x:v>
      </x:c>
      <x:c r="H274" s="28" t="str">
        <x:v>PASS</x:v>
      </x:c>
      <x:c r="I274" s="29" t="str"/>
      <x:c r="J274" s="29" t="str"/>
      <x:c r="K274" s="29" t="str"/>
      <x:c r="L274" s="28" t="str">
        <x:f>IF(AND(C274="RESERVE",D274=""),"DORMANT",IF(K274="","OPEN",IF(AND(I274=H274,J274&lt;&gt;""),"PASS","FAIL")))</x:f>
        <x:v>OPEN</x:v>
      </x:c>
    </x:row>
    <x:row r="275">
      <x:c r="B275" s="28" t="str">
        <x:v>AT-12</x:v>
      </x:c>
      <x:c r="C275" s="28" t="str">
        <x:v>PRIMARY</x:v>
      </x:c>
      <x:c r="D275" s="28" t="str">
        <x:f>INDEX('Attempt Tokens'!$E$7:$E$36,MATCH(B275,'Attempt Tokens'!$B$7:$B$36,0))</x:f>
      </x:c>
      <x:c r="E275" s="28" t="n">
        <x:v>5</x:v>
      </x:c>
      <x:c r="F275" s="28" t="str">
        <x:v>EG-05</x:v>
      </x:c>
      <x:c r="G275" s="28" t="str">
        <x:v>dossier bindings complete</x:v>
      </x:c>
      <x:c r="H275" s="28" t="str">
        <x:v>PASS</x:v>
      </x:c>
      <x:c r="I275" s="29" t="str"/>
      <x:c r="J275" s="29" t="str"/>
      <x:c r="K275" s="29" t="str"/>
      <x:c r="L275" s="28" t="str">
        <x:f>IF(AND(C275="RESERVE",D275=""),"DORMANT",IF(K275="","OPEN",IF(AND(I275=H275,J275&lt;&gt;""),"PASS","FAIL")))</x:f>
        <x:v>OPEN</x:v>
      </x:c>
    </x:row>
    <x:row r="276">
      <x:c r="B276" s="28" t="str">
        <x:v>AT-12</x:v>
      </x:c>
      <x:c r="C276" s="28" t="str">
        <x:v>PRIMARY</x:v>
      </x:c>
      <x:c r="D276" s="28" t="str">
        <x:f>INDEX('Attempt Tokens'!$E$7:$E$36,MATCH(B276,'Attempt Tokens'!$B$7:$B$36,0))</x:f>
      </x:c>
      <x:c r="E276" s="28" t="n">
        <x:v>6</x:v>
      </x:c>
      <x:c r="F276" s="28" t="str">
        <x:v>EG-06</x:v>
      </x:c>
      <x:c r="G276" s="28" t="str">
        <x:v>event crew complete</x:v>
      </x:c>
      <x:c r="H276" s="28" t="str">
        <x:v>PASS</x:v>
      </x:c>
      <x:c r="I276" s="29" t="str"/>
      <x:c r="J276" s="29" t="str"/>
      <x:c r="K276" s="29" t="str"/>
      <x:c r="L276" s="28" t="str">
        <x:f>IF(AND(C276="RESERVE",D276=""),"DORMANT",IF(K276="","OPEN",IF(AND(I276=H276,J276&lt;&gt;""),"PASS","FAIL")))</x:f>
        <x:v>OPEN</x:v>
      </x:c>
    </x:row>
    <x:row r="277">
      <x:c r="B277" s="28" t="str">
        <x:v>AT-12</x:v>
      </x:c>
      <x:c r="C277" s="28" t="str">
        <x:v>PRIMARY</x:v>
      </x:c>
      <x:c r="D277" s="28" t="str">
        <x:f>INDEX('Attempt Tokens'!$E$7:$E$36,MATCH(B277,'Attempt Tokens'!$B$7:$B$36,0))</x:f>
      </x:c>
      <x:c r="E277" s="28" t="n">
        <x:v>7</x:v>
      </x:c>
      <x:c r="F277" s="28" t="str">
        <x:v>EG-07</x:v>
      </x:c>
      <x:c r="G277" s="28" t="str">
        <x:v>configuration freeze complete</x:v>
      </x:c>
      <x:c r="H277" s="28" t="str">
        <x:v>PASS</x:v>
      </x:c>
      <x:c r="I277" s="29" t="str"/>
      <x:c r="J277" s="29" t="str"/>
      <x:c r="K277" s="29" t="str"/>
      <x:c r="L277" s="28" t="str">
        <x:f>IF(AND(C277="RESERVE",D277=""),"DORMANT",IF(K277="","OPEN",IF(AND(I277=H277,J277&lt;&gt;""),"PASS","FAIL")))</x:f>
        <x:v>OPEN</x:v>
      </x:c>
    </x:row>
    <x:row r="278">
      <x:c r="B278" s="28" t="str">
        <x:v>AT-12</x:v>
      </x:c>
      <x:c r="C278" s="28" t="str">
        <x:v>PRIMARY</x:v>
      </x:c>
      <x:c r="D278" s="28" t="str">
        <x:f>INDEX('Attempt Tokens'!$E$7:$E$36,MATCH(B278,'Attempt Tokens'!$B$7:$B$36,0))</x:f>
      </x:c>
      <x:c r="E278" s="28" t="n">
        <x:v>8</x:v>
      </x:c>
      <x:c r="F278" s="28" t="str">
        <x:v>EG-08</x:v>
      </x:c>
      <x:c r="G278" s="28" t="str">
        <x:v>zero-source checks complete</x:v>
      </x:c>
      <x:c r="H278" s="28" t="str">
        <x:v>PASS</x:v>
      </x:c>
      <x:c r="I278" s="29" t="str"/>
      <x:c r="J278" s="29" t="str"/>
      <x:c r="K278" s="29" t="str"/>
      <x:c r="L278" s="28" t="str">
        <x:f>IF(AND(C278="RESERVE",D278=""),"DORMANT",IF(K278="","OPEN",IF(AND(I278=H278,J278&lt;&gt;""),"PASS","FAIL")))</x:f>
        <x:v>OPEN</x:v>
      </x:c>
    </x:row>
    <x:row r="279">
      <x:c r="B279" s="28" t="str">
        <x:v>AT-12</x:v>
      </x:c>
      <x:c r="C279" s="28" t="str">
        <x:v>PRIMARY</x:v>
      </x:c>
      <x:c r="D279" s="28" t="str">
        <x:f>INDEX('Attempt Tokens'!$E$7:$E$36,MATCH(B279,'Attempt Tokens'!$B$7:$B$36,0))</x:f>
      </x:c>
      <x:c r="E279" s="28" t="n">
        <x:v>9</x:v>
      </x:c>
      <x:c r="F279" s="28" t="str">
        <x:v>EG-09</x:v>
      </x:c>
      <x:c r="G279" s="28" t="str">
        <x:v>zero-water checks complete</x:v>
      </x:c>
      <x:c r="H279" s="28" t="str">
        <x:v>PASS</x:v>
      </x:c>
      <x:c r="I279" s="29" t="str"/>
      <x:c r="J279" s="29" t="str"/>
      <x:c r="K279" s="29" t="str"/>
      <x:c r="L279" s="28" t="str">
        <x:f>IF(AND(C279="RESERVE",D279=""),"DORMANT",IF(K279="","OPEN",IF(AND(I279=H279,J279&lt;&gt;""),"PASS","FAIL")))</x:f>
        <x:v>OPEN</x:v>
      </x:c>
    </x:row>
    <x:row r="280">
      <x:c r="B280" s="28" t="str">
        <x:v>AT-12</x:v>
      </x:c>
      <x:c r="C280" s="28" t="str">
        <x:v>PRIMARY</x:v>
      </x:c>
      <x:c r="D280" s="28" t="str">
        <x:f>INDEX('Attempt Tokens'!$E$7:$E$36,MATCH(B280,'Attempt Tokens'!$B$7:$B$36,0))</x:f>
      </x:c>
      <x:c r="E280" s="28" t="n">
        <x:v>10</x:v>
      </x:c>
      <x:c r="F280" s="28" t="str">
        <x:v>EG-10</x:v>
      </x:c>
      <x:c r="G280" s="28" t="str">
        <x:v>uncertainty decisions complete</x:v>
      </x:c>
      <x:c r="H280" s="28" t="str">
        <x:v>PASS</x:v>
      </x:c>
      <x:c r="I280" s="29" t="str"/>
      <x:c r="J280" s="29" t="str"/>
      <x:c r="K280" s="29" t="str"/>
      <x:c r="L280" s="28" t="str">
        <x:f>IF(AND(C280="RESERVE",D280=""),"DORMANT",IF(K280="","OPEN",IF(AND(I280=H280,J280&lt;&gt;""),"PASS","FAIL")))</x:f>
        <x:v>OPEN</x:v>
      </x:c>
    </x:row>
    <x:row r="281">
      <x:c r="B281" s="28" t="str">
        <x:v>AT-12</x:v>
      </x:c>
      <x:c r="C281" s="28" t="str">
        <x:v>PRIMARY</x:v>
      </x:c>
      <x:c r="D281" s="28" t="str">
        <x:f>INDEX('Attempt Tokens'!$E$7:$E$36,MATCH(B281,'Attempt Tokens'!$B$7:$B$36,0))</x:f>
      </x:c>
      <x:c r="E281" s="28" t="n">
        <x:v>11</x:v>
      </x:c>
      <x:c r="F281" s="28" t="str">
        <x:v>EG-11</x:v>
      </x:c>
      <x:c r="G281" s="28" t="str">
        <x:v>measurement windows complete</x:v>
      </x:c>
      <x:c r="H281" s="28" t="str">
        <x:v>PASS</x:v>
      </x:c>
      <x:c r="I281" s="29" t="str"/>
      <x:c r="J281" s="29" t="str"/>
      <x:c r="K281" s="29" t="str"/>
      <x:c r="L281" s="28" t="str">
        <x:f>IF(AND(C281="RESERVE",D281=""),"DORMANT",IF(K281="","OPEN",IF(AND(I281=H281,J281&lt;&gt;""),"PASS","FAIL")))</x:f>
        <x:v>OPEN</x:v>
      </x:c>
    </x:row>
    <x:row r="282">
      <x:c r="B282" s="28" t="str">
        <x:v>AT-12</x:v>
      </x:c>
      <x:c r="C282" s="28" t="str">
        <x:v>PRIMARY</x:v>
      </x:c>
      <x:c r="D282" s="28" t="str">
        <x:f>INDEX('Attempt Tokens'!$E$7:$E$36,MATCH(B282,'Attempt Tokens'!$B$7:$B$36,0))</x:f>
      </x:c>
      <x:c r="E282" s="28" t="n">
        <x:v>12</x:v>
      </x:c>
      <x:c r="F282" s="28" t="str">
        <x:v>EG-12</x:v>
      </x:c>
      <x:c r="G282" s="28" t="str">
        <x:v>neighbor proofs complete</x:v>
      </x:c>
      <x:c r="H282" s="28" t="str">
        <x:v>PASS</x:v>
      </x:c>
      <x:c r="I282" s="29" t="str"/>
      <x:c r="J282" s="29" t="str"/>
      <x:c r="K282" s="29" t="str"/>
      <x:c r="L282" s="28" t="str">
        <x:f>IF(AND(C282="RESERVE",D282=""),"DORMANT",IF(K282="","OPEN",IF(AND(I282=H282,J282&lt;&gt;""),"PASS","FAIL")))</x:f>
        <x:v>OPEN</x:v>
      </x:c>
    </x:row>
    <x:row r="283">
      <x:c r="B283" s="28" t="str">
        <x:v>AT-12</x:v>
      </x:c>
      <x:c r="C283" s="28" t="str">
        <x:v>PRIMARY</x:v>
      </x:c>
      <x:c r="D283" s="28" t="str">
        <x:f>INDEX('Attempt Tokens'!$E$7:$E$36,MATCH(B283,'Attempt Tokens'!$B$7:$B$36,0))</x:f>
      </x:c>
      <x:c r="E283" s="28" t="n">
        <x:v>13</x:v>
      </x:c>
      <x:c r="F283" s="28" t="str">
        <x:v>EG-13</x:v>
      </x:c>
      <x:c r="G283" s="28" t="str">
        <x:v>safeing polls complete</x:v>
      </x:c>
      <x:c r="H283" s="28" t="str">
        <x:v>PASS</x:v>
      </x:c>
      <x:c r="I283" s="29" t="str"/>
      <x:c r="J283" s="29" t="str"/>
      <x:c r="K283" s="29" t="str"/>
      <x:c r="L283" s="28" t="str">
        <x:f>IF(AND(C283="RESERVE",D283=""),"DORMANT",IF(K283="","OPEN",IF(AND(I283=H283,J283&lt;&gt;""),"PASS","FAIL")))</x:f>
        <x:v>OPEN</x:v>
      </x:c>
    </x:row>
    <x:row r="284">
      <x:c r="B284" s="28" t="str">
        <x:v>AT-12</x:v>
      </x:c>
      <x:c r="C284" s="28" t="str">
        <x:v>PRIMARY</x:v>
      </x:c>
      <x:c r="D284" s="28" t="str">
        <x:f>INDEX('Attempt Tokens'!$E$7:$E$36,MATCH(B284,'Attempt Tokens'!$B$7:$B$36,0))</x:f>
      </x:c>
      <x:c r="E284" s="28" t="n">
        <x:v>14</x:v>
      </x:c>
      <x:c r="F284" s="28" t="str">
        <x:v>EG-14</x:v>
      </x:c>
      <x:c r="G284" s="28" t="str">
        <x:v>command transactions complete</x:v>
      </x:c>
      <x:c r="H284" s="28" t="str">
        <x:v>PASS</x:v>
      </x:c>
      <x:c r="I284" s="29" t="str"/>
      <x:c r="J284" s="29" t="str"/>
      <x:c r="K284" s="29" t="str"/>
      <x:c r="L284" s="28" t="str">
        <x:f>IF(AND(C284="RESERVE",D284=""),"DORMANT",IF(K284="","OPEN",IF(AND(I284=H284,J284&lt;&gt;""),"PASS","FAIL")))</x:f>
        <x:v>OPEN</x:v>
      </x:c>
    </x:row>
    <x:row r="285">
      <x:c r="B285" s="28" t="str">
        <x:v>AT-12</x:v>
      </x:c>
      <x:c r="C285" s="28" t="str">
        <x:v>PRIMARY</x:v>
      </x:c>
      <x:c r="D285" s="28" t="str">
        <x:f>INDEX('Attempt Tokens'!$E$7:$E$36,MATCH(B285,'Attempt Tokens'!$B$7:$B$36,0))</x:f>
      </x:c>
      <x:c r="E285" s="28" t="n">
        <x:v>15</x:v>
      </x:c>
      <x:c r="F285" s="28" t="str">
        <x:v>EG-15</x:v>
      </x:c>
      <x:c r="G285" s="28" t="str">
        <x:v>phase clock complete</x:v>
      </x:c>
      <x:c r="H285" s="28" t="str">
        <x:v>PASS</x:v>
      </x:c>
      <x:c r="I285" s="29" t="str"/>
      <x:c r="J285" s="29" t="str"/>
      <x:c r="K285" s="29" t="str"/>
      <x:c r="L285" s="28" t="str">
        <x:f>IF(AND(C285="RESERVE",D285=""),"DORMANT",IF(K285="","OPEN",IF(AND(I285=H285,J285&lt;&gt;""),"PASS","FAIL")))</x:f>
        <x:v>OPEN</x:v>
      </x:c>
    </x:row>
    <x:row r="286">
      <x:c r="B286" s="28" t="str">
        <x:v>AT-12</x:v>
      </x:c>
      <x:c r="C286" s="28" t="str">
        <x:v>PRIMARY</x:v>
      </x:c>
      <x:c r="D286" s="28" t="str">
        <x:f>INDEX('Attempt Tokens'!$E$7:$E$36,MATCH(B286,'Attempt Tokens'!$B$7:$B$36,0))</x:f>
      </x:c>
      <x:c r="E286" s="28" t="n">
        <x:v>16</x:v>
      </x:c>
      <x:c r="F286" s="28" t="str">
        <x:v>EG-16</x:v>
      </x:c>
      <x:c r="G286" s="28" t="str">
        <x:v>holds complete</x:v>
      </x:c>
      <x:c r="H286" s="28" t="str">
        <x:v>PASS</x:v>
      </x:c>
      <x:c r="I286" s="29" t="str"/>
      <x:c r="J286" s="29" t="str"/>
      <x:c r="K286" s="29" t="str"/>
      <x:c r="L286" s="28" t="str">
        <x:f>IF(AND(C286="RESERVE",D286=""),"DORMANT",IF(K286="","OPEN",IF(AND(I286=H286,J286&lt;&gt;""),"PASS","FAIL")))</x:f>
        <x:v>OPEN</x:v>
      </x:c>
    </x:row>
    <x:row r="287">
      <x:c r="B287" s="28" t="str">
        <x:v>AT-12</x:v>
      </x:c>
      <x:c r="C287" s="28" t="str">
        <x:v>PRIMARY</x:v>
      </x:c>
      <x:c r="D287" s="28" t="str">
        <x:f>INDEX('Attempt Tokens'!$E$7:$E$36,MATCH(B287,'Attempt Tokens'!$B$7:$B$36,0))</x:f>
      </x:c>
      <x:c r="E287" s="28" t="n">
        <x:v>17</x:v>
      </x:c>
      <x:c r="F287" s="28" t="str">
        <x:v>EG-17</x:v>
      </x:c>
      <x:c r="G287" s="28" t="str">
        <x:v>evidence obligations complete</x:v>
      </x:c>
      <x:c r="H287" s="28" t="str">
        <x:v>PASS</x:v>
      </x:c>
      <x:c r="I287" s="29" t="str"/>
      <x:c r="J287" s="29" t="str"/>
      <x:c r="K287" s="29" t="str"/>
      <x:c r="L287" s="28" t="str">
        <x:f>IF(AND(C287="RESERVE",D287=""),"DORMANT",IF(K287="","OPEN",IF(AND(I287=H287,J287&lt;&gt;""),"PASS","FAIL")))</x:f>
        <x:v>OPEN</x:v>
      </x:c>
    </x:row>
    <x:row r="288">
      <x:c r="B288" s="28" t="str">
        <x:v>AT-12</x:v>
      </x:c>
      <x:c r="C288" s="28" t="str">
        <x:v>PRIMARY</x:v>
      </x:c>
      <x:c r="D288" s="28" t="str">
        <x:f>INDEX('Attempt Tokens'!$E$7:$E$36,MATCH(B288,'Attempt Tokens'!$B$7:$B$36,0))</x:f>
      </x:c>
      <x:c r="E288" s="28" t="n">
        <x:v>18</x:v>
      </x:c>
      <x:c r="F288" s="28" t="str">
        <x:v>EG-18</x:v>
      </x:c>
      <x:c r="G288" s="28" t="str">
        <x:v>blank samples complete</x:v>
      </x:c>
      <x:c r="H288" s="28" t="str">
        <x:v>PASS</x:v>
      </x:c>
      <x:c r="I288" s="29" t="str"/>
      <x:c r="J288" s="29" t="str"/>
      <x:c r="K288" s="29" t="str"/>
      <x:c r="L288" s="28" t="str">
        <x:f>IF(AND(C288="RESERVE",D288=""),"DORMANT",IF(K288="","OPEN",IF(AND(I288=H288,J288&lt;&gt;""),"PASS","FAIL")))</x:f>
        <x:v>OPEN</x:v>
      </x:c>
    </x:row>
    <x:row r="289">
      <x:c r="B289" s="28" t="str">
        <x:v>AT-12</x:v>
      </x:c>
      <x:c r="C289" s="28" t="str">
        <x:v>PRIMARY</x:v>
      </x:c>
      <x:c r="D289" s="28" t="str">
        <x:f>INDEX('Attempt Tokens'!$E$7:$E$36,MATCH(B289,'Attempt Tokens'!$B$7:$B$36,0))</x:f>
      </x:c>
      <x:c r="E289" s="28" t="n">
        <x:v>19</x:v>
      </x:c>
      <x:c r="F289" s="28" t="str">
        <x:v>EG-19</x:v>
      </x:c>
      <x:c r="G289" s="28" t="str">
        <x:v>abort channels classified</x:v>
      </x:c>
      <x:c r="H289" s="28" t="str">
        <x:v>PASS</x:v>
      </x:c>
      <x:c r="I289" s="29" t="str"/>
      <x:c r="J289" s="29" t="str"/>
      <x:c r="K289" s="29" t="str"/>
      <x:c r="L289" s="28" t="str">
        <x:f>IF(AND(C289="RESERVE",D289=""),"DORMANT",IF(K289="","OPEN",IF(AND(I289=H289,J289&lt;&gt;""),"PASS","FAIL")))</x:f>
        <x:v>OPEN</x:v>
      </x:c>
    </x:row>
    <x:row r="290">
      <x:c r="B290" s="28" t="str">
        <x:v>AT-12</x:v>
      </x:c>
      <x:c r="C290" s="28" t="str">
        <x:v>PRIMARY</x:v>
      </x:c>
      <x:c r="D290" s="28" t="str">
        <x:f>INDEX('Attempt Tokens'!$E$7:$E$36,MATCH(B290,'Attempt Tokens'!$B$7:$B$36,0))</x:f>
      </x:c>
      <x:c r="E290" s="28" t="n">
        <x:v>20</x:v>
      </x:c>
      <x:c r="F290" s="28" t="str">
        <x:v>EG-20</x:v>
      </x:c>
      <x:c r="G290" s="28" t="str">
        <x:v>interventions classified</x:v>
      </x:c>
      <x:c r="H290" s="28" t="str">
        <x:v>PASS</x:v>
      </x:c>
      <x:c r="I290" s="29" t="str"/>
      <x:c r="J290" s="29" t="str"/>
      <x:c r="K290" s="29" t="str"/>
      <x:c r="L290" s="28" t="str">
        <x:f>IF(AND(C290="RESERVE",D290=""),"DORMANT",IF(K290="","OPEN",IF(AND(I290=H290,J290&lt;&gt;""),"PASS","FAIL")))</x:f>
        <x:v>OPEN</x:v>
      </x:c>
    </x:row>
    <x:row r="291">
      <x:c r="B291" s="28" t="str">
        <x:v>AT-12</x:v>
      </x:c>
      <x:c r="C291" s="28" t="str">
        <x:v>PRIMARY</x:v>
      </x:c>
      <x:c r="D291" s="28" t="str">
        <x:f>INDEX('Attempt Tokens'!$E$7:$E$36,MATCH(B291,'Attempt Tokens'!$B$7:$B$36,0))</x:f>
      </x:c>
      <x:c r="E291" s="28" t="n">
        <x:v>21</x:v>
      </x:c>
      <x:c r="F291" s="28" t="str">
        <x:v>EG-21</x:v>
      </x:c>
      <x:c r="G291" s="28" t="str">
        <x:v>event result accepted</x:v>
      </x:c>
      <x:c r="H291" s="28" t="str">
        <x:v>PASS</x:v>
      </x:c>
      <x:c r="I291" s="29" t="str"/>
      <x:c r="J291" s="29" t="str"/>
      <x:c r="K291" s="29" t="str"/>
      <x:c r="L291" s="28" t="str">
        <x:f>IF(AND(C291="RESERVE",D291=""),"DORMANT",IF(K291="","OPEN",IF(AND(I291=H291,J291&lt;&gt;""),"PASS","FAIL")))</x:f>
        <x:v>OPEN</x:v>
      </x:c>
    </x:row>
    <x:row r="292">
      <x:c r="B292" s="28" t="str">
        <x:v>AT-12</x:v>
      </x:c>
      <x:c r="C292" s="28" t="str">
        <x:v>PRIMARY</x:v>
      </x:c>
      <x:c r="D292" s="28" t="str">
        <x:f>INDEX('Attempt Tokens'!$E$7:$E$36,MATCH(B292,'Attempt Tokens'!$B$7:$B$36,0))</x:f>
      </x:c>
      <x:c r="E292" s="28" t="n">
        <x:v>22</x:v>
      </x:c>
      <x:c r="F292" s="28" t="str">
        <x:v>EG-22</x:v>
      </x:c>
      <x:c r="G292" s="28" t="str">
        <x:v>recovery states complete</x:v>
      </x:c>
      <x:c r="H292" s="28" t="str">
        <x:v>PASS</x:v>
      </x:c>
      <x:c r="I292" s="29" t="str"/>
      <x:c r="J292" s="29" t="str"/>
      <x:c r="K292" s="29" t="str"/>
      <x:c r="L292" s="28" t="str">
        <x:f>IF(AND(C292="RESERVE",D292=""),"DORMANT",IF(K292="","OPEN",IF(AND(I292=H292,J292&lt;&gt;""),"PASS","FAIL")))</x:f>
        <x:v>OPEN</x:v>
      </x:c>
    </x:row>
    <x:row r="293">
      <x:c r="B293" s="28" t="str">
        <x:v>AT-12</x:v>
      </x:c>
      <x:c r="C293" s="28" t="str">
        <x:v>PRIMARY</x:v>
      </x:c>
      <x:c r="D293" s="28" t="str">
        <x:f>INDEX('Attempt Tokens'!$E$7:$E$36,MATCH(B293,'Attempt Tokens'!$B$7:$B$36,0))</x:f>
      </x:c>
      <x:c r="E293" s="28" t="n">
        <x:v>23</x:v>
      </x:c>
      <x:c r="F293" s="28" t="str">
        <x:v>EG-23</x:v>
      </x:c>
      <x:c r="G293" s="28" t="str">
        <x:v>regeneration and regression complete</x:v>
      </x:c>
      <x:c r="H293" s="28" t="str">
        <x:v>PASS</x:v>
      </x:c>
      <x:c r="I293" s="29" t="str"/>
      <x:c r="J293" s="29" t="str"/>
      <x:c r="K293" s="29" t="str"/>
      <x:c r="L293" s="28" t="str">
        <x:f>IF(AND(C293="RESERVE",D293=""),"DORMANT",IF(K293="","OPEN",IF(AND(I293=H293,J293&lt;&gt;""),"PASS","FAIL")))</x:f>
        <x:v>OPEN</x:v>
      </x:c>
    </x:row>
    <x:row r="294">
      <x:c r="B294" s="28" t="str">
        <x:v>AT-12</x:v>
      </x:c>
      <x:c r="C294" s="28" t="str">
        <x:v>PRIMARY</x:v>
      </x:c>
      <x:c r="D294" s="28" t="str">
        <x:f>INDEX('Attempt Tokens'!$E$7:$E$36,MATCH(B294,'Attempt Tokens'!$B$7:$B$36,0))</x:f>
      </x:c>
      <x:c r="E294" s="28" t="n">
        <x:v>24</x:v>
      </x:c>
      <x:c r="F294" s="28" t="str">
        <x:v>EG-24</x:v>
      </x:c>
      <x:c r="G294" s="28" t="str">
        <x:v>reentry and packet release complete</x:v>
      </x:c>
      <x:c r="H294" s="28" t="str">
        <x:v>PASS</x:v>
      </x:c>
      <x:c r="I294" s="29" t="str"/>
      <x:c r="J294" s="29" t="str"/>
      <x:c r="K294" s="29" t="str"/>
      <x:c r="L294" s="28" t="str">
        <x:f>IF(AND(C294="RESERVE",D294=""),"DORMANT",IF(K294="","OPEN",IF(AND(I294=H294,J294&lt;&gt;""),"PASS","FAIL")))</x:f>
        <x:v>OPEN</x:v>
      </x:c>
    </x:row>
    <x:row r="295">
      <x:c r="B295" s="28" t="str">
        <x:v>AT-13</x:v>
      </x:c>
      <x:c r="C295" s="28" t="str">
        <x:v>PRIMARY</x:v>
      </x:c>
      <x:c r="D295" s="28" t="str">
        <x:f>INDEX('Attempt Tokens'!$E$7:$E$36,MATCH(B295,'Attempt Tokens'!$B$7:$B$36,0))</x:f>
      </x:c>
      <x:c r="E295" s="28" t="n">
        <x:v>1</x:v>
      </x:c>
      <x:c r="F295" s="28" t="str">
        <x:v>EG-01</x:v>
      </x:c>
      <x:c r="G295" s="28" t="str">
        <x:v>RAX or renewed pair credential current</x:v>
      </x:c>
      <x:c r="H295" s="28" t="str">
        <x:v>PASS</x:v>
      </x:c>
      <x:c r="I295" s="29" t="str"/>
      <x:c r="J295" s="29" t="str"/>
      <x:c r="K295" s="29" t="str"/>
      <x:c r="L295" s="28" t="str">
        <x:f>IF(AND(C295="RESERVE",D295=""),"DORMANT",IF(K295="","OPEN",IF(AND(I295=H295,J295&lt;&gt;""),"PASS","FAIL")))</x:f>
        <x:v>OPEN</x:v>
      </x:c>
    </x:row>
    <x:row r="296">
      <x:c r="B296" s="28" t="str">
        <x:v>AT-13</x:v>
      </x:c>
      <x:c r="C296" s="28" t="str">
        <x:v>PRIMARY</x:v>
      </x:c>
      <x:c r="D296" s="28" t="str">
        <x:f>INDEX('Attempt Tokens'!$E$7:$E$36,MATCH(B296,'Attempt Tokens'!$B$7:$B$36,0))</x:f>
      </x:c>
      <x:c r="E296" s="28" t="n">
        <x:v>2</x:v>
      </x:c>
      <x:c r="F296" s="28" t="str">
        <x:v>EG-02</x:v>
      </x:c>
      <x:c r="G296" s="28" t="str">
        <x:v>candidate cell eligible</x:v>
      </x:c>
      <x:c r="H296" s="28" t="str">
        <x:v>PASS</x:v>
      </x:c>
      <x:c r="I296" s="29" t="str"/>
      <x:c r="J296" s="29" t="str"/>
      <x:c r="K296" s="29" t="str"/>
      <x:c r="L296" s="28" t="str">
        <x:f>IF(AND(C296="RESERVE",D296=""),"DORMANT",IF(K296="","OPEN",IF(AND(I296=H296,J296&lt;&gt;""),"PASS","FAIL")))</x:f>
        <x:v>OPEN</x:v>
      </x:c>
    </x:row>
    <x:row r="297">
      <x:c r="B297" s="28" t="str">
        <x:v>AT-13</x:v>
      </x:c>
      <x:c r="C297" s="28" t="str">
        <x:v>PRIMARY</x:v>
      </x:c>
      <x:c r="D297" s="28" t="str">
        <x:f>INDEX('Attempt Tokens'!$E$7:$E$36,MATCH(B297,'Attempt Tokens'!$B$7:$B$36,0))</x:f>
      </x:c>
      <x:c r="E297" s="28" t="n">
        <x:v>3</x:v>
      </x:c>
      <x:c r="F297" s="28" t="str">
        <x:v>EG-03</x:v>
      </x:c>
      <x:c r="G297" s="28" t="str">
        <x:v>draw and schedule binding complete</x:v>
      </x:c>
      <x:c r="H297" s="28" t="str">
        <x:v>PASS</x:v>
      </x:c>
      <x:c r="I297" s="29" t="str"/>
      <x:c r="J297" s="29" t="str"/>
      <x:c r="K297" s="29" t="str"/>
      <x:c r="L297" s="28" t="str">
        <x:f>IF(AND(C297="RESERVE",D297=""),"DORMANT",IF(K297="","OPEN",IF(AND(I297=H297,J297&lt;&gt;""),"PASS","FAIL")))</x:f>
        <x:v>OPEN</x:v>
      </x:c>
    </x:row>
    <x:row r="298">
      <x:c r="B298" s="28" t="str">
        <x:v>AT-13</x:v>
      </x:c>
      <x:c r="C298" s="28" t="str">
        <x:v>PRIMARY</x:v>
      </x:c>
      <x:c r="D298" s="28" t="str">
        <x:f>INDEX('Attempt Tokens'!$E$7:$E$36,MATCH(B298,'Attempt Tokens'!$B$7:$B$36,0))</x:f>
      </x:c>
      <x:c r="E298" s="28" t="n">
        <x:v>4</x:v>
      </x:c>
      <x:c r="F298" s="28" t="str">
        <x:v>EG-04</x:v>
      </x:c>
      <x:c r="G298" s="28" t="str">
        <x:v>event issue accepted</x:v>
      </x:c>
      <x:c r="H298" s="28" t="str">
        <x:v>PASS</x:v>
      </x:c>
      <x:c r="I298" s="29" t="str"/>
      <x:c r="J298" s="29" t="str"/>
      <x:c r="K298" s="29" t="str"/>
      <x:c r="L298" s="28" t="str">
        <x:f>IF(AND(C298="RESERVE",D298=""),"DORMANT",IF(K298="","OPEN",IF(AND(I298=H298,J298&lt;&gt;""),"PASS","FAIL")))</x:f>
        <x:v>OPEN</x:v>
      </x:c>
    </x:row>
    <x:row r="299">
      <x:c r="B299" s="28" t="str">
        <x:v>AT-13</x:v>
      </x:c>
      <x:c r="C299" s="28" t="str">
        <x:v>PRIMARY</x:v>
      </x:c>
      <x:c r="D299" s="28" t="str">
        <x:f>INDEX('Attempt Tokens'!$E$7:$E$36,MATCH(B299,'Attempt Tokens'!$B$7:$B$36,0))</x:f>
      </x:c>
      <x:c r="E299" s="28" t="n">
        <x:v>5</x:v>
      </x:c>
      <x:c r="F299" s="28" t="str">
        <x:v>EG-05</x:v>
      </x:c>
      <x:c r="G299" s="28" t="str">
        <x:v>dossier bindings complete</x:v>
      </x:c>
      <x:c r="H299" s="28" t="str">
        <x:v>PASS</x:v>
      </x:c>
      <x:c r="I299" s="29" t="str"/>
      <x:c r="J299" s="29" t="str"/>
      <x:c r="K299" s="29" t="str"/>
      <x:c r="L299" s="28" t="str">
        <x:f>IF(AND(C299="RESERVE",D299=""),"DORMANT",IF(K299="","OPEN",IF(AND(I299=H299,J299&lt;&gt;""),"PASS","FAIL")))</x:f>
        <x:v>OPEN</x:v>
      </x:c>
    </x:row>
    <x:row r="300">
      <x:c r="B300" s="28" t="str">
        <x:v>AT-13</x:v>
      </x:c>
      <x:c r="C300" s="28" t="str">
        <x:v>PRIMARY</x:v>
      </x:c>
      <x:c r="D300" s="28" t="str">
        <x:f>INDEX('Attempt Tokens'!$E$7:$E$36,MATCH(B300,'Attempt Tokens'!$B$7:$B$36,0))</x:f>
      </x:c>
      <x:c r="E300" s="28" t="n">
        <x:v>6</x:v>
      </x:c>
      <x:c r="F300" s="28" t="str">
        <x:v>EG-06</x:v>
      </x:c>
      <x:c r="G300" s="28" t="str">
        <x:v>event crew complete</x:v>
      </x:c>
      <x:c r="H300" s="28" t="str">
        <x:v>PASS</x:v>
      </x:c>
      <x:c r="I300" s="29" t="str"/>
      <x:c r="J300" s="29" t="str"/>
      <x:c r="K300" s="29" t="str"/>
      <x:c r="L300" s="28" t="str">
        <x:f>IF(AND(C300="RESERVE",D300=""),"DORMANT",IF(K300="","OPEN",IF(AND(I300=H300,J300&lt;&gt;""),"PASS","FAIL")))</x:f>
        <x:v>OPEN</x:v>
      </x:c>
    </x:row>
    <x:row r="301">
      <x:c r="B301" s="28" t="str">
        <x:v>AT-13</x:v>
      </x:c>
      <x:c r="C301" s="28" t="str">
        <x:v>PRIMARY</x:v>
      </x:c>
      <x:c r="D301" s="28" t="str">
        <x:f>INDEX('Attempt Tokens'!$E$7:$E$36,MATCH(B301,'Attempt Tokens'!$B$7:$B$36,0))</x:f>
      </x:c>
      <x:c r="E301" s="28" t="n">
        <x:v>7</x:v>
      </x:c>
      <x:c r="F301" s="28" t="str">
        <x:v>EG-07</x:v>
      </x:c>
      <x:c r="G301" s="28" t="str">
        <x:v>configuration freeze complete</x:v>
      </x:c>
      <x:c r="H301" s="28" t="str">
        <x:v>PASS</x:v>
      </x:c>
      <x:c r="I301" s="29" t="str"/>
      <x:c r="J301" s="29" t="str"/>
      <x:c r="K301" s="29" t="str"/>
      <x:c r="L301" s="28" t="str">
        <x:f>IF(AND(C301="RESERVE",D301=""),"DORMANT",IF(K301="","OPEN",IF(AND(I301=H301,J301&lt;&gt;""),"PASS","FAIL")))</x:f>
        <x:v>OPEN</x:v>
      </x:c>
    </x:row>
    <x:row r="302">
      <x:c r="B302" s="28" t="str">
        <x:v>AT-13</x:v>
      </x:c>
      <x:c r="C302" s="28" t="str">
        <x:v>PRIMARY</x:v>
      </x:c>
      <x:c r="D302" s="28" t="str">
        <x:f>INDEX('Attempt Tokens'!$E$7:$E$36,MATCH(B302,'Attempt Tokens'!$B$7:$B$36,0))</x:f>
      </x:c>
      <x:c r="E302" s="28" t="n">
        <x:v>8</x:v>
      </x:c>
      <x:c r="F302" s="28" t="str">
        <x:v>EG-08</x:v>
      </x:c>
      <x:c r="G302" s="28" t="str">
        <x:v>zero-source checks complete</x:v>
      </x:c>
      <x:c r="H302" s="28" t="str">
        <x:v>PASS</x:v>
      </x:c>
      <x:c r="I302" s="29" t="str"/>
      <x:c r="J302" s="29" t="str"/>
      <x:c r="K302" s="29" t="str"/>
      <x:c r="L302" s="28" t="str">
        <x:f>IF(AND(C302="RESERVE",D302=""),"DORMANT",IF(K302="","OPEN",IF(AND(I302=H302,J302&lt;&gt;""),"PASS","FAIL")))</x:f>
        <x:v>OPEN</x:v>
      </x:c>
    </x:row>
    <x:row r="303">
      <x:c r="B303" s="28" t="str">
        <x:v>AT-13</x:v>
      </x:c>
      <x:c r="C303" s="28" t="str">
        <x:v>PRIMARY</x:v>
      </x:c>
      <x:c r="D303" s="28" t="str">
        <x:f>INDEX('Attempt Tokens'!$E$7:$E$36,MATCH(B303,'Attempt Tokens'!$B$7:$B$36,0))</x:f>
      </x:c>
      <x:c r="E303" s="28" t="n">
        <x:v>9</x:v>
      </x:c>
      <x:c r="F303" s="28" t="str">
        <x:v>EG-09</x:v>
      </x:c>
      <x:c r="G303" s="28" t="str">
        <x:v>zero-water checks complete</x:v>
      </x:c>
      <x:c r="H303" s="28" t="str">
        <x:v>PASS</x:v>
      </x:c>
      <x:c r="I303" s="29" t="str"/>
      <x:c r="J303" s="29" t="str"/>
      <x:c r="K303" s="29" t="str"/>
      <x:c r="L303" s="28" t="str">
        <x:f>IF(AND(C303="RESERVE",D303=""),"DORMANT",IF(K303="","OPEN",IF(AND(I303=H303,J303&lt;&gt;""),"PASS","FAIL")))</x:f>
        <x:v>OPEN</x:v>
      </x:c>
    </x:row>
    <x:row r="304">
      <x:c r="B304" s="28" t="str">
        <x:v>AT-13</x:v>
      </x:c>
      <x:c r="C304" s="28" t="str">
        <x:v>PRIMARY</x:v>
      </x:c>
      <x:c r="D304" s="28" t="str">
        <x:f>INDEX('Attempt Tokens'!$E$7:$E$36,MATCH(B304,'Attempt Tokens'!$B$7:$B$36,0))</x:f>
      </x:c>
      <x:c r="E304" s="28" t="n">
        <x:v>10</x:v>
      </x:c>
      <x:c r="F304" s="28" t="str">
        <x:v>EG-10</x:v>
      </x:c>
      <x:c r="G304" s="28" t="str">
        <x:v>uncertainty decisions complete</x:v>
      </x:c>
      <x:c r="H304" s="28" t="str">
        <x:v>PASS</x:v>
      </x:c>
      <x:c r="I304" s="29" t="str"/>
      <x:c r="J304" s="29" t="str"/>
      <x:c r="K304" s="29" t="str"/>
      <x:c r="L304" s="28" t="str">
        <x:f>IF(AND(C304="RESERVE",D304=""),"DORMANT",IF(K304="","OPEN",IF(AND(I304=H304,J304&lt;&gt;""),"PASS","FAIL")))</x:f>
        <x:v>OPEN</x:v>
      </x:c>
    </x:row>
    <x:row r="305">
      <x:c r="B305" s="28" t="str">
        <x:v>AT-13</x:v>
      </x:c>
      <x:c r="C305" s="28" t="str">
        <x:v>PRIMARY</x:v>
      </x:c>
      <x:c r="D305" s="28" t="str">
        <x:f>INDEX('Attempt Tokens'!$E$7:$E$36,MATCH(B305,'Attempt Tokens'!$B$7:$B$36,0))</x:f>
      </x:c>
      <x:c r="E305" s="28" t="n">
        <x:v>11</x:v>
      </x:c>
      <x:c r="F305" s="28" t="str">
        <x:v>EG-11</x:v>
      </x:c>
      <x:c r="G305" s="28" t="str">
        <x:v>measurement windows complete</x:v>
      </x:c>
      <x:c r="H305" s="28" t="str">
        <x:v>PASS</x:v>
      </x:c>
      <x:c r="I305" s="29" t="str"/>
      <x:c r="J305" s="29" t="str"/>
      <x:c r="K305" s="29" t="str"/>
      <x:c r="L305" s="28" t="str">
        <x:f>IF(AND(C305="RESERVE",D305=""),"DORMANT",IF(K305="","OPEN",IF(AND(I305=H305,J305&lt;&gt;""),"PASS","FAIL")))</x:f>
        <x:v>OPEN</x:v>
      </x:c>
    </x:row>
    <x:row r="306">
      <x:c r="B306" s="28" t="str">
        <x:v>AT-13</x:v>
      </x:c>
      <x:c r="C306" s="28" t="str">
        <x:v>PRIMARY</x:v>
      </x:c>
      <x:c r="D306" s="28" t="str">
        <x:f>INDEX('Attempt Tokens'!$E$7:$E$36,MATCH(B306,'Attempt Tokens'!$B$7:$B$36,0))</x:f>
      </x:c>
      <x:c r="E306" s="28" t="n">
        <x:v>12</x:v>
      </x:c>
      <x:c r="F306" s="28" t="str">
        <x:v>EG-12</x:v>
      </x:c>
      <x:c r="G306" s="28" t="str">
        <x:v>neighbor proofs complete</x:v>
      </x:c>
      <x:c r="H306" s="28" t="str">
        <x:v>PASS</x:v>
      </x:c>
      <x:c r="I306" s="29" t="str"/>
      <x:c r="J306" s="29" t="str"/>
      <x:c r="K306" s="29" t="str"/>
      <x:c r="L306" s="28" t="str">
        <x:f>IF(AND(C306="RESERVE",D306=""),"DORMANT",IF(K306="","OPEN",IF(AND(I306=H306,J306&lt;&gt;""),"PASS","FAIL")))</x:f>
        <x:v>OPEN</x:v>
      </x:c>
    </x:row>
    <x:row r="307">
      <x:c r="B307" s="28" t="str">
        <x:v>AT-13</x:v>
      </x:c>
      <x:c r="C307" s="28" t="str">
        <x:v>PRIMARY</x:v>
      </x:c>
      <x:c r="D307" s="28" t="str">
        <x:f>INDEX('Attempt Tokens'!$E$7:$E$36,MATCH(B307,'Attempt Tokens'!$B$7:$B$36,0))</x:f>
      </x:c>
      <x:c r="E307" s="28" t="n">
        <x:v>13</x:v>
      </x:c>
      <x:c r="F307" s="28" t="str">
        <x:v>EG-13</x:v>
      </x:c>
      <x:c r="G307" s="28" t="str">
        <x:v>safeing polls complete</x:v>
      </x:c>
      <x:c r="H307" s="28" t="str">
        <x:v>PASS</x:v>
      </x:c>
      <x:c r="I307" s="29" t="str"/>
      <x:c r="J307" s="29" t="str"/>
      <x:c r="K307" s="29" t="str"/>
      <x:c r="L307" s="28" t="str">
        <x:f>IF(AND(C307="RESERVE",D307=""),"DORMANT",IF(K307="","OPEN",IF(AND(I307=H307,J307&lt;&gt;""),"PASS","FAIL")))</x:f>
        <x:v>OPEN</x:v>
      </x:c>
    </x:row>
    <x:row r="308">
      <x:c r="B308" s="28" t="str">
        <x:v>AT-13</x:v>
      </x:c>
      <x:c r="C308" s="28" t="str">
        <x:v>PRIMARY</x:v>
      </x:c>
      <x:c r="D308" s="28" t="str">
        <x:f>INDEX('Attempt Tokens'!$E$7:$E$36,MATCH(B308,'Attempt Tokens'!$B$7:$B$36,0))</x:f>
      </x:c>
      <x:c r="E308" s="28" t="n">
        <x:v>14</x:v>
      </x:c>
      <x:c r="F308" s="28" t="str">
        <x:v>EG-14</x:v>
      </x:c>
      <x:c r="G308" s="28" t="str">
        <x:v>command transactions complete</x:v>
      </x:c>
      <x:c r="H308" s="28" t="str">
        <x:v>PASS</x:v>
      </x:c>
      <x:c r="I308" s="29" t="str"/>
      <x:c r="J308" s="29" t="str"/>
      <x:c r="K308" s="29" t="str"/>
      <x:c r="L308" s="28" t="str">
        <x:f>IF(AND(C308="RESERVE",D308=""),"DORMANT",IF(K308="","OPEN",IF(AND(I308=H308,J308&lt;&gt;""),"PASS","FAIL")))</x:f>
        <x:v>OPEN</x:v>
      </x:c>
    </x:row>
    <x:row r="309">
      <x:c r="B309" s="28" t="str">
        <x:v>AT-13</x:v>
      </x:c>
      <x:c r="C309" s="28" t="str">
        <x:v>PRIMARY</x:v>
      </x:c>
      <x:c r="D309" s="28" t="str">
        <x:f>INDEX('Attempt Tokens'!$E$7:$E$36,MATCH(B309,'Attempt Tokens'!$B$7:$B$36,0))</x:f>
      </x:c>
      <x:c r="E309" s="28" t="n">
        <x:v>15</x:v>
      </x:c>
      <x:c r="F309" s="28" t="str">
        <x:v>EG-15</x:v>
      </x:c>
      <x:c r="G309" s="28" t="str">
        <x:v>phase clock complete</x:v>
      </x:c>
      <x:c r="H309" s="28" t="str">
        <x:v>PASS</x:v>
      </x:c>
      <x:c r="I309" s="29" t="str"/>
      <x:c r="J309" s="29" t="str"/>
      <x:c r="K309" s="29" t="str"/>
      <x:c r="L309" s="28" t="str">
        <x:f>IF(AND(C309="RESERVE",D309=""),"DORMANT",IF(K309="","OPEN",IF(AND(I309=H309,J309&lt;&gt;""),"PASS","FAIL")))</x:f>
        <x:v>OPEN</x:v>
      </x:c>
    </x:row>
    <x:row r="310">
      <x:c r="B310" s="28" t="str">
        <x:v>AT-13</x:v>
      </x:c>
      <x:c r="C310" s="28" t="str">
        <x:v>PRIMARY</x:v>
      </x:c>
      <x:c r="D310" s="28" t="str">
        <x:f>INDEX('Attempt Tokens'!$E$7:$E$36,MATCH(B310,'Attempt Tokens'!$B$7:$B$36,0))</x:f>
      </x:c>
      <x:c r="E310" s="28" t="n">
        <x:v>16</x:v>
      </x:c>
      <x:c r="F310" s="28" t="str">
        <x:v>EG-16</x:v>
      </x:c>
      <x:c r="G310" s="28" t="str">
        <x:v>holds complete</x:v>
      </x:c>
      <x:c r="H310" s="28" t="str">
        <x:v>PASS</x:v>
      </x:c>
      <x:c r="I310" s="29" t="str"/>
      <x:c r="J310" s="29" t="str"/>
      <x:c r="K310" s="29" t="str"/>
      <x:c r="L310" s="28" t="str">
        <x:f>IF(AND(C310="RESERVE",D310=""),"DORMANT",IF(K310="","OPEN",IF(AND(I310=H310,J310&lt;&gt;""),"PASS","FAIL")))</x:f>
        <x:v>OPEN</x:v>
      </x:c>
    </x:row>
    <x:row r="311">
      <x:c r="B311" s="28" t="str">
        <x:v>AT-13</x:v>
      </x:c>
      <x:c r="C311" s="28" t="str">
        <x:v>PRIMARY</x:v>
      </x:c>
      <x:c r="D311" s="28" t="str">
        <x:f>INDEX('Attempt Tokens'!$E$7:$E$36,MATCH(B311,'Attempt Tokens'!$B$7:$B$36,0))</x:f>
      </x:c>
      <x:c r="E311" s="28" t="n">
        <x:v>17</x:v>
      </x:c>
      <x:c r="F311" s="28" t="str">
        <x:v>EG-17</x:v>
      </x:c>
      <x:c r="G311" s="28" t="str">
        <x:v>evidence obligations complete</x:v>
      </x:c>
      <x:c r="H311" s="28" t="str">
        <x:v>PASS</x:v>
      </x:c>
      <x:c r="I311" s="29" t="str"/>
      <x:c r="J311" s="29" t="str"/>
      <x:c r="K311" s="29" t="str"/>
      <x:c r="L311" s="28" t="str">
        <x:f>IF(AND(C311="RESERVE",D311=""),"DORMANT",IF(K311="","OPEN",IF(AND(I311=H311,J311&lt;&gt;""),"PASS","FAIL")))</x:f>
        <x:v>OPEN</x:v>
      </x:c>
    </x:row>
    <x:row r="312">
      <x:c r="B312" s="28" t="str">
        <x:v>AT-13</x:v>
      </x:c>
      <x:c r="C312" s="28" t="str">
        <x:v>PRIMARY</x:v>
      </x:c>
      <x:c r="D312" s="28" t="str">
        <x:f>INDEX('Attempt Tokens'!$E$7:$E$36,MATCH(B312,'Attempt Tokens'!$B$7:$B$36,0))</x:f>
      </x:c>
      <x:c r="E312" s="28" t="n">
        <x:v>18</x:v>
      </x:c>
      <x:c r="F312" s="28" t="str">
        <x:v>EG-18</x:v>
      </x:c>
      <x:c r="G312" s="28" t="str">
        <x:v>blank samples complete</x:v>
      </x:c>
      <x:c r="H312" s="28" t="str">
        <x:v>PASS</x:v>
      </x:c>
      <x:c r="I312" s="29" t="str"/>
      <x:c r="J312" s="29" t="str"/>
      <x:c r="K312" s="29" t="str"/>
      <x:c r="L312" s="28" t="str">
        <x:f>IF(AND(C312="RESERVE",D312=""),"DORMANT",IF(K312="","OPEN",IF(AND(I312=H312,J312&lt;&gt;""),"PASS","FAIL")))</x:f>
        <x:v>OPEN</x:v>
      </x:c>
    </x:row>
    <x:row r="313">
      <x:c r="B313" s="28" t="str">
        <x:v>AT-13</x:v>
      </x:c>
      <x:c r="C313" s="28" t="str">
        <x:v>PRIMARY</x:v>
      </x:c>
      <x:c r="D313" s="28" t="str">
        <x:f>INDEX('Attempt Tokens'!$E$7:$E$36,MATCH(B313,'Attempt Tokens'!$B$7:$B$36,0))</x:f>
      </x:c>
      <x:c r="E313" s="28" t="n">
        <x:v>19</x:v>
      </x:c>
      <x:c r="F313" s="28" t="str">
        <x:v>EG-19</x:v>
      </x:c>
      <x:c r="G313" s="28" t="str">
        <x:v>abort channels classified</x:v>
      </x:c>
      <x:c r="H313" s="28" t="str">
        <x:v>PASS</x:v>
      </x:c>
      <x:c r="I313" s="29" t="str"/>
      <x:c r="J313" s="29" t="str"/>
      <x:c r="K313" s="29" t="str"/>
      <x:c r="L313" s="28" t="str">
        <x:f>IF(AND(C313="RESERVE",D313=""),"DORMANT",IF(K313="","OPEN",IF(AND(I313=H313,J313&lt;&gt;""),"PASS","FAIL")))</x:f>
        <x:v>OPEN</x:v>
      </x:c>
    </x:row>
    <x:row r="314">
      <x:c r="B314" s="28" t="str">
        <x:v>AT-13</x:v>
      </x:c>
      <x:c r="C314" s="28" t="str">
        <x:v>PRIMARY</x:v>
      </x:c>
      <x:c r="D314" s="28" t="str">
        <x:f>INDEX('Attempt Tokens'!$E$7:$E$36,MATCH(B314,'Attempt Tokens'!$B$7:$B$36,0))</x:f>
      </x:c>
      <x:c r="E314" s="28" t="n">
        <x:v>20</x:v>
      </x:c>
      <x:c r="F314" s="28" t="str">
        <x:v>EG-20</x:v>
      </x:c>
      <x:c r="G314" s="28" t="str">
        <x:v>interventions classified</x:v>
      </x:c>
      <x:c r="H314" s="28" t="str">
        <x:v>PASS</x:v>
      </x:c>
      <x:c r="I314" s="29" t="str"/>
      <x:c r="J314" s="29" t="str"/>
      <x:c r="K314" s="29" t="str"/>
      <x:c r="L314" s="28" t="str">
        <x:f>IF(AND(C314="RESERVE",D314=""),"DORMANT",IF(K314="","OPEN",IF(AND(I314=H314,J314&lt;&gt;""),"PASS","FAIL")))</x:f>
        <x:v>OPEN</x:v>
      </x:c>
    </x:row>
    <x:row r="315">
      <x:c r="B315" s="28" t="str">
        <x:v>AT-13</x:v>
      </x:c>
      <x:c r="C315" s="28" t="str">
        <x:v>PRIMARY</x:v>
      </x:c>
      <x:c r="D315" s="28" t="str">
        <x:f>INDEX('Attempt Tokens'!$E$7:$E$36,MATCH(B315,'Attempt Tokens'!$B$7:$B$36,0))</x:f>
      </x:c>
      <x:c r="E315" s="28" t="n">
        <x:v>21</x:v>
      </x:c>
      <x:c r="F315" s="28" t="str">
        <x:v>EG-21</x:v>
      </x:c>
      <x:c r="G315" s="28" t="str">
        <x:v>event result accepted</x:v>
      </x:c>
      <x:c r="H315" s="28" t="str">
        <x:v>PASS</x:v>
      </x:c>
      <x:c r="I315" s="29" t="str"/>
      <x:c r="J315" s="29" t="str"/>
      <x:c r="K315" s="29" t="str"/>
      <x:c r="L315" s="28" t="str">
        <x:f>IF(AND(C315="RESERVE",D315=""),"DORMANT",IF(K315="","OPEN",IF(AND(I315=H315,J315&lt;&gt;""),"PASS","FAIL")))</x:f>
        <x:v>OPEN</x:v>
      </x:c>
    </x:row>
    <x:row r="316">
      <x:c r="B316" s="28" t="str">
        <x:v>AT-13</x:v>
      </x:c>
      <x:c r="C316" s="28" t="str">
        <x:v>PRIMARY</x:v>
      </x:c>
      <x:c r="D316" s="28" t="str">
        <x:f>INDEX('Attempt Tokens'!$E$7:$E$36,MATCH(B316,'Attempt Tokens'!$B$7:$B$36,0))</x:f>
      </x:c>
      <x:c r="E316" s="28" t="n">
        <x:v>22</x:v>
      </x:c>
      <x:c r="F316" s="28" t="str">
        <x:v>EG-22</x:v>
      </x:c>
      <x:c r="G316" s="28" t="str">
        <x:v>recovery states complete</x:v>
      </x:c>
      <x:c r="H316" s="28" t="str">
        <x:v>PASS</x:v>
      </x:c>
      <x:c r="I316" s="29" t="str"/>
      <x:c r="J316" s="29" t="str"/>
      <x:c r="K316" s="29" t="str"/>
      <x:c r="L316" s="28" t="str">
        <x:f>IF(AND(C316="RESERVE",D316=""),"DORMANT",IF(K316="","OPEN",IF(AND(I316=H316,J316&lt;&gt;""),"PASS","FAIL")))</x:f>
        <x:v>OPEN</x:v>
      </x:c>
    </x:row>
    <x:row r="317">
      <x:c r="B317" s="28" t="str">
        <x:v>AT-13</x:v>
      </x:c>
      <x:c r="C317" s="28" t="str">
        <x:v>PRIMARY</x:v>
      </x:c>
      <x:c r="D317" s="28" t="str">
        <x:f>INDEX('Attempt Tokens'!$E$7:$E$36,MATCH(B317,'Attempt Tokens'!$B$7:$B$36,0))</x:f>
      </x:c>
      <x:c r="E317" s="28" t="n">
        <x:v>23</x:v>
      </x:c>
      <x:c r="F317" s="28" t="str">
        <x:v>EG-23</x:v>
      </x:c>
      <x:c r="G317" s="28" t="str">
        <x:v>regeneration and regression complete</x:v>
      </x:c>
      <x:c r="H317" s="28" t="str">
        <x:v>PASS</x:v>
      </x:c>
      <x:c r="I317" s="29" t="str"/>
      <x:c r="J317" s="29" t="str"/>
      <x:c r="K317" s="29" t="str"/>
      <x:c r="L317" s="28" t="str">
        <x:f>IF(AND(C317="RESERVE",D317=""),"DORMANT",IF(K317="","OPEN",IF(AND(I317=H317,J317&lt;&gt;""),"PASS","FAIL")))</x:f>
        <x:v>OPEN</x:v>
      </x:c>
    </x:row>
    <x:row r="318">
      <x:c r="B318" s="28" t="str">
        <x:v>AT-13</x:v>
      </x:c>
      <x:c r="C318" s="28" t="str">
        <x:v>PRIMARY</x:v>
      </x:c>
      <x:c r="D318" s="28" t="str">
        <x:f>INDEX('Attempt Tokens'!$E$7:$E$36,MATCH(B318,'Attempt Tokens'!$B$7:$B$36,0))</x:f>
      </x:c>
      <x:c r="E318" s="28" t="n">
        <x:v>24</x:v>
      </x:c>
      <x:c r="F318" s="28" t="str">
        <x:v>EG-24</x:v>
      </x:c>
      <x:c r="G318" s="28" t="str">
        <x:v>reentry and packet release complete</x:v>
      </x:c>
      <x:c r="H318" s="28" t="str">
        <x:v>PASS</x:v>
      </x:c>
      <x:c r="I318" s="29" t="str"/>
      <x:c r="J318" s="29" t="str"/>
      <x:c r="K318" s="29" t="str"/>
      <x:c r="L318" s="28" t="str">
        <x:f>IF(AND(C318="RESERVE",D318=""),"DORMANT",IF(K318="","OPEN",IF(AND(I318=H318,J318&lt;&gt;""),"PASS","FAIL")))</x:f>
        <x:v>OPEN</x:v>
      </x:c>
    </x:row>
    <x:row r="319">
      <x:c r="B319" s="28" t="str">
        <x:v>AT-14</x:v>
      </x:c>
      <x:c r="C319" s="28" t="str">
        <x:v>PRIMARY</x:v>
      </x:c>
      <x:c r="D319" s="28" t="str">
        <x:f>INDEX('Attempt Tokens'!$E$7:$E$36,MATCH(B319,'Attempt Tokens'!$B$7:$B$36,0))</x:f>
      </x:c>
      <x:c r="E319" s="28" t="n">
        <x:v>1</x:v>
      </x:c>
      <x:c r="F319" s="28" t="str">
        <x:v>EG-01</x:v>
      </x:c>
      <x:c r="G319" s="28" t="str">
        <x:v>RAX or renewed pair credential current</x:v>
      </x:c>
      <x:c r="H319" s="28" t="str">
        <x:v>PASS</x:v>
      </x:c>
      <x:c r="I319" s="29" t="str"/>
      <x:c r="J319" s="29" t="str"/>
      <x:c r="K319" s="29" t="str"/>
      <x:c r="L319" s="28" t="str">
        <x:f>IF(AND(C319="RESERVE",D319=""),"DORMANT",IF(K319="","OPEN",IF(AND(I319=H319,J319&lt;&gt;""),"PASS","FAIL")))</x:f>
        <x:v>OPEN</x:v>
      </x:c>
    </x:row>
    <x:row r="320">
      <x:c r="B320" s="28" t="str">
        <x:v>AT-14</x:v>
      </x:c>
      <x:c r="C320" s="28" t="str">
        <x:v>PRIMARY</x:v>
      </x:c>
      <x:c r="D320" s="28" t="str">
        <x:f>INDEX('Attempt Tokens'!$E$7:$E$36,MATCH(B320,'Attempt Tokens'!$B$7:$B$36,0))</x:f>
      </x:c>
      <x:c r="E320" s="28" t="n">
        <x:v>2</x:v>
      </x:c>
      <x:c r="F320" s="28" t="str">
        <x:v>EG-02</x:v>
      </x:c>
      <x:c r="G320" s="28" t="str">
        <x:v>candidate cell eligible</x:v>
      </x:c>
      <x:c r="H320" s="28" t="str">
        <x:v>PASS</x:v>
      </x:c>
      <x:c r="I320" s="29" t="str"/>
      <x:c r="J320" s="29" t="str"/>
      <x:c r="K320" s="29" t="str"/>
      <x:c r="L320" s="28" t="str">
        <x:f>IF(AND(C320="RESERVE",D320=""),"DORMANT",IF(K320="","OPEN",IF(AND(I320=H320,J320&lt;&gt;""),"PASS","FAIL")))</x:f>
        <x:v>OPEN</x:v>
      </x:c>
    </x:row>
    <x:row r="321">
      <x:c r="B321" s="28" t="str">
        <x:v>AT-14</x:v>
      </x:c>
      <x:c r="C321" s="28" t="str">
        <x:v>PRIMARY</x:v>
      </x:c>
      <x:c r="D321" s="28" t="str">
        <x:f>INDEX('Attempt Tokens'!$E$7:$E$36,MATCH(B321,'Attempt Tokens'!$B$7:$B$36,0))</x:f>
      </x:c>
      <x:c r="E321" s="28" t="n">
        <x:v>3</x:v>
      </x:c>
      <x:c r="F321" s="28" t="str">
        <x:v>EG-03</x:v>
      </x:c>
      <x:c r="G321" s="28" t="str">
        <x:v>draw and schedule binding complete</x:v>
      </x:c>
      <x:c r="H321" s="28" t="str">
        <x:v>PASS</x:v>
      </x:c>
      <x:c r="I321" s="29" t="str"/>
      <x:c r="J321" s="29" t="str"/>
      <x:c r="K321" s="29" t="str"/>
      <x:c r="L321" s="28" t="str">
        <x:f>IF(AND(C321="RESERVE",D321=""),"DORMANT",IF(K321="","OPEN",IF(AND(I321=H321,J321&lt;&gt;""),"PASS","FAIL")))</x:f>
        <x:v>OPEN</x:v>
      </x:c>
    </x:row>
    <x:row r="322">
      <x:c r="B322" s="28" t="str">
        <x:v>AT-14</x:v>
      </x:c>
      <x:c r="C322" s="28" t="str">
        <x:v>PRIMARY</x:v>
      </x:c>
      <x:c r="D322" s="28" t="str">
        <x:f>INDEX('Attempt Tokens'!$E$7:$E$36,MATCH(B322,'Attempt Tokens'!$B$7:$B$36,0))</x:f>
      </x:c>
      <x:c r="E322" s="28" t="n">
        <x:v>4</x:v>
      </x:c>
      <x:c r="F322" s="28" t="str">
        <x:v>EG-04</x:v>
      </x:c>
      <x:c r="G322" s="28" t="str">
        <x:v>event issue accepted</x:v>
      </x:c>
      <x:c r="H322" s="28" t="str">
        <x:v>PASS</x:v>
      </x:c>
      <x:c r="I322" s="29" t="str"/>
      <x:c r="J322" s="29" t="str"/>
      <x:c r="K322" s="29" t="str"/>
      <x:c r="L322" s="28" t="str">
        <x:f>IF(AND(C322="RESERVE",D322=""),"DORMANT",IF(K322="","OPEN",IF(AND(I322=H322,J322&lt;&gt;""),"PASS","FAIL")))</x:f>
        <x:v>OPEN</x:v>
      </x:c>
    </x:row>
    <x:row r="323">
      <x:c r="B323" s="28" t="str">
        <x:v>AT-14</x:v>
      </x:c>
      <x:c r="C323" s="28" t="str">
        <x:v>PRIMARY</x:v>
      </x:c>
      <x:c r="D323" s="28" t="str">
        <x:f>INDEX('Attempt Tokens'!$E$7:$E$36,MATCH(B323,'Attempt Tokens'!$B$7:$B$36,0))</x:f>
      </x:c>
      <x:c r="E323" s="28" t="n">
        <x:v>5</x:v>
      </x:c>
      <x:c r="F323" s="28" t="str">
        <x:v>EG-05</x:v>
      </x:c>
      <x:c r="G323" s="28" t="str">
        <x:v>dossier bindings complete</x:v>
      </x:c>
      <x:c r="H323" s="28" t="str">
        <x:v>PASS</x:v>
      </x:c>
      <x:c r="I323" s="29" t="str"/>
      <x:c r="J323" s="29" t="str"/>
      <x:c r="K323" s="29" t="str"/>
      <x:c r="L323" s="28" t="str">
        <x:f>IF(AND(C323="RESERVE",D323=""),"DORMANT",IF(K323="","OPEN",IF(AND(I323=H323,J323&lt;&gt;""),"PASS","FAIL")))</x:f>
        <x:v>OPEN</x:v>
      </x:c>
    </x:row>
    <x:row r="324">
      <x:c r="B324" s="28" t="str">
        <x:v>AT-14</x:v>
      </x:c>
      <x:c r="C324" s="28" t="str">
        <x:v>PRIMARY</x:v>
      </x:c>
      <x:c r="D324" s="28" t="str">
        <x:f>INDEX('Attempt Tokens'!$E$7:$E$36,MATCH(B324,'Attempt Tokens'!$B$7:$B$36,0))</x:f>
      </x:c>
      <x:c r="E324" s="28" t="n">
        <x:v>6</x:v>
      </x:c>
      <x:c r="F324" s="28" t="str">
        <x:v>EG-06</x:v>
      </x:c>
      <x:c r="G324" s="28" t="str">
        <x:v>event crew complete</x:v>
      </x:c>
      <x:c r="H324" s="28" t="str">
        <x:v>PASS</x:v>
      </x:c>
      <x:c r="I324" s="29" t="str"/>
      <x:c r="J324" s="29" t="str"/>
      <x:c r="K324" s="29" t="str"/>
      <x:c r="L324" s="28" t="str">
        <x:f>IF(AND(C324="RESERVE",D324=""),"DORMANT",IF(K324="","OPEN",IF(AND(I324=H324,J324&lt;&gt;""),"PASS","FAIL")))</x:f>
        <x:v>OPEN</x:v>
      </x:c>
    </x:row>
    <x:row r="325">
      <x:c r="B325" s="28" t="str">
        <x:v>AT-14</x:v>
      </x:c>
      <x:c r="C325" s="28" t="str">
        <x:v>PRIMARY</x:v>
      </x:c>
      <x:c r="D325" s="28" t="str">
        <x:f>INDEX('Attempt Tokens'!$E$7:$E$36,MATCH(B325,'Attempt Tokens'!$B$7:$B$36,0))</x:f>
      </x:c>
      <x:c r="E325" s="28" t="n">
        <x:v>7</x:v>
      </x:c>
      <x:c r="F325" s="28" t="str">
        <x:v>EG-07</x:v>
      </x:c>
      <x:c r="G325" s="28" t="str">
        <x:v>configuration freeze complete</x:v>
      </x:c>
      <x:c r="H325" s="28" t="str">
        <x:v>PASS</x:v>
      </x:c>
      <x:c r="I325" s="29" t="str"/>
      <x:c r="J325" s="29" t="str"/>
      <x:c r="K325" s="29" t="str"/>
      <x:c r="L325" s="28" t="str">
        <x:f>IF(AND(C325="RESERVE",D325=""),"DORMANT",IF(K325="","OPEN",IF(AND(I325=H325,J325&lt;&gt;""),"PASS","FAIL")))</x:f>
        <x:v>OPEN</x:v>
      </x:c>
    </x:row>
    <x:row r="326">
      <x:c r="B326" s="28" t="str">
        <x:v>AT-14</x:v>
      </x:c>
      <x:c r="C326" s="28" t="str">
        <x:v>PRIMARY</x:v>
      </x:c>
      <x:c r="D326" s="28" t="str">
        <x:f>INDEX('Attempt Tokens'!$E$7:$E$36,MATCH(B326,'Attempt Tokens'!$B$7:$B$36,0))</x:f>
      </x:c>
      <x:c r="E326" s="28" t="n">
        <x:v>8</x:v>
      </x:c>
      <x:c r="F326" s="28" t="str">
        <x:v>EG-08</x:v>
      </x:c>
      <x:c r="G326" s="28" t="str">
        <x:v>zero-source checks complete</x:v>
      </x:c>
      <x:c r="H326" s="28" t="str">
        <x:v>PASS</x:v>
      </x:c>
      <x:c r="I326" s="29" t="str"/>
      <x:c r="J326" s="29" t="str"/>
      <x:c r="K326" s="29" t="str"/>
      <x:c r="L326" s="28" t="str">
        <x:f>IF(AND(C326="RESERVE",D326=""),"DORMANT",IF(K326="","OPEN",IF(AND(I326=H326,J326&lt;&gt;""),"PASS","FAIL")))</x:f>
        <x:v>OPEN</x:v>
      </x:c>
    </x:row>
    <x:row r="327">
      <x:c r="B327" s="28" t="str">
        <x:v>AT-14</x:v>
      </x:c>
      <x:c r="C327" s="28" t="str">
        <x:v>PRIMARY</x:v>
      </x:c>
      <x:c r="D327" s="28" t="str">
        <x:f>INDEX('Attempt Tokens'!$E$7:$E$36,MATCH(B327,'Attempt Tokens'!$B$7:$B$36,0))</x:f>
      </x:c>
      <x:c r="E327" s="28" t="n">
        <x:v>9</x:v>
      </x:c>
      <x:c r="F327" s="28" t="str">
        <x:v>EG-09</x:v>
      </x:c>
      <x:c r="G327" s="28" t="str">
        <x:v>zero-water checks complete</x:v>
      </x:c>
      <x:c r="H327" s="28" t="str">
        <x:v>PASS</x:v>
      </x:c>
      <x:c r="I327" s="29" t="str"/>
      <x:c r="J327" s="29" t="str"/>
      <x:c r="K327" s="29" t="str"/>
      <x:c r="L327" s="28" t="str">
        <x:f>IF(AND(C327="RESERVE",D327=""),"DORMANT",IF(K327="","OPEN",IF(AND(I327=H327,J327&lt;&gt;""),"PASS","FAIL")))</x:f>
        <x:v>OPEN</x:v>
      </x:c>
    </x:row>
    <x:row r="328">
      <x:c r="B328" s="28" t="str">
        <x:v>AT-14</x:v>
      </x:c>
      <x:c r="C328" s="28" t="str">
        <x:v>PRIMARY</x:v>
      </x:c>
      <x:c r="D328" s="28" t="str">
        <x:f>INDEX('Attempt Tokens'!$E$7:$E$36,MATCH(B328,'Attempt Tokens'!$B$7:$B$36,0))</x:f>
      </x:c>
      <x:c r="E328" s="28" t="n">
        <x:v>10</x:v>
      </x:c>
      <x:c r="F328" s="28" t="str">
        <x:v>EG-10</x:v>
      </x:c>
      <x:c r="G328" s="28" t="str">
        <x:v>uncertainty decisions complete</x:v>
      </x:c>
      <x:c r="H328" s="28" t="str">
        <x:v>PASS</x:v>
      </x:c>
      <x:c r="I328" s="29" t="str"/>
      <x:c r="J328" s="29" t="str"/>
      <x:c r="K328" s="29" t="str"/>
      <x:c r="L328" s="28" t="str">
        <x:f>IF(AND(C328="RESERVE",D328=""),"DORMANT",IF(K328="","OPEN",IF(AND(I328=H328,J328&lt;&gt;""),"PASS","FAIL")))</x:f>
        <x:v>OPEN</x:v>
      </x:c>
    </x:row>
    <x:row r="329">
      <x:c r="B329" s="28" t="str">
        <x:v>AT-14</x:v>
      </x:c>
      <x:c r="C329" s="28" t="str">
        <x:v>PRIMARY</x:v>
      </x:c>
      <x:c r="D329" s="28" t="str">
        <x:f>INDEX('Attempt Tokens'!$E$7:$E$36,MATCH(B329,'Attempt Tokens'!$B$7:$B$36,0))</x:f>
      </x:c>
      <x:c r="E329" s="28" t="n">
        <x:v>11</x:v>
      </x:c>
      <x:c r="F329" s="28" t="str">
        <x:v>EG-11</x:v>
      </x:c>
      <x:c r="G329" s="28" t="str">
        <x:v>measurement windows complete</x:v>
      </x:c>
      <x:c r="H329" s="28" t="str">
        <x:v>PASS</x:v>
      </x:c>
      <x:c r="I329" s="29" t="str"/>
      <x:c r="J329" s="29" t="str"/>
      <x:c r="K329" s="29" t="str"/>
      <x:c r="L329" s="28" t="str">
        <x:f>IF(AND(C329="RESERVE",D329=""),"DORMANT",IF(K329="","OPEN",IF(AND(I329=H329,J329&lt;&gt;""),"PASS","FAIL")))</x:f>
        <x:v>OPEN</x:v>
      </x:c>
    </x:row>
    <x:row r="330">
      <x:c r="B330" s="28" t="str">
        <x:v>AT-14</x:v>
      </x:c>
      <x:c r="C330" s="28" t="str">
        <x:v>PRIMARY</x:v>
      </x:c>
      <x:c r="D330" s="28" t="str">
        <x:f>INDEX('Attempt Tokens'!$E$7:$E$36,MATCH(B330,'Attempt Tokens'!$B$7:$B$36,0))</x:f>
      </x:c>
      <x:c r="E330" s="28" t="n">
        <x:v>12</x:v>
      </x:c>
      <x:c r="F330" s="28" t="str">
        <x:v>EG-12</x:v>
      </x:c>
      <x:c r="G330" s="28" t="str">
        <x:v>neighbor proofs complete</x:v>
      </x:c>
      <x:c r="H330" s="28" t="str">
        <x:v>PASS</x:v>
      </x:c>
      <x:c r="I330" s="29" t="str"/>
      <x:c r="J330" s="29" t="str"/>
      <x:c r="K330" s="29" t="str"/>
      <x:c r="L330" s="28" t="str">
        <x:f>IF(AND(C330="RESERVE",D330=""),"DORMANT",IF(K330="","OPEN",IF(AND(I330=H330,J330&lt;&gt;""),"PASS","FAIL")))</x:f>
        <x:v>OPEN</x:v>
      </x:c>
    </x:row>
    <x:row r="331">
      <x:c r="B331" s="28" t="str">
        <x:v>AT-14</x:v>
      </x:c>
      <x:c r="C331" s="28" t="str">
        <x:v>PRIMARY</x:v>
      </x:c>
      <x:c r="D331" s="28" t="str">
        <x:f>INDEX('Attempt Tokens'!$E$7:$E$36,MATCH(B331,'Attempt Tokens'!$B$7:$B$36,0))</x:f>
      </x:c>
      <x:c r="E331" s="28" t="n">
        <x:v>13</x:v>
      </x:c>
      <x:c r="F331" s="28" t="str">
        <x:v>EG-13</x:v>
      </x:c>
      <x:c r="G331" s="28" t="str">
        <x:v>safeing polls complete</x:v>
      </x:c>
      <x:c r="H331" s="28" t="str">
        <x:v>PASS</x:v>
      </x:c>
      <x:c r="I331" s="29" t="str"/>
      <x:c r="J331" s="29" t="str"/>
      <x:c r="K331" s="29" t="str"/>
      <x:c r="L331" s="28" t="str">
        <x:f>IF(AND(C331="RESERVE",D331=""),"DORMANT",IF(K331="","OPEN",IF(AND(I331=H331,J331&lt;&gt;""),"PASS","FAIL")))</x:f>
        <x:v>OPEN</x:v>
      </x:c>
    </x:row>
    <x:row r="332">
      <x:c r="B332" s="28" t="str">
        <x:v>AT-14</x:v>
      </x:c>
      <x:c r="C332" s="28" t="str">
        <x:v>PRIMARY</x:v>
      </x:c>
      <x:c r="D332" s="28" t="str">
        <x:f>INDEX('Attempt Tokens'!$E$7:$E$36,MATCH(B332,'Attempt Tokens'!$B$7:$B$36,0))</x:f>
      </x:c>
      <x:c r="E332" s="28" t="n">
        <x:v>14</x:v>
      </x:c>
      <x:c r="F332" s="28" t="str">
        <x:v>EG-14</x:v>
      </x:c>
      <x:c r="G332" s="28" t="str">
        <x:v>command transactions complete</x:v>
      </x:c>
      <x:c r="H332" s="28" t="str">
        <x:v>PASS</x:v>
      </x:c>
      <x:c r="I332" s="29" t="str"/>
      <x:c r="J332" s="29" t="str"/>
      <x:c r="K332" s="29" t="str"/>
      <x:c r="L332" s="28" t="str">
        <x:f>IF(AND(C332="RESERVE",D332=""),"DORMANT",IF(K332="","OPEN",IF(AND(I332=H332,J332&lt;&gt;""),"PASS","FAIL")))</x:f>
        <x:v>OPEN</x:v>
      </x:c>
    </x:row>
    <x:row r="333">
      <x:c r="B333" s="28" t="str">
        <x:v>AT-14</x:v>
      </x:c>
      <x:c r="C333" s="28" t="str">
        <x:v>PRIMARY</x:v>
      </x:c>
      <x:c r="D333" s="28" t="str">
        <x:f>INDEX('Attempt Tokens'!$E$7:$E$36,MATCH(B333,'Attempt Tokens'!$B$7:$B$36,0))</x:f>
      </x:c>
      <x:c r="E333" s="28" t="n">
        <x:v>15</x:v>
      </x:c>
      <x:c r="F333" s="28" t="str">
        <x:v>EG-15</x:v>
      </x:c>
      <x:c r="G333" s="28" t="str">
        <x:v>phase clock complete</x:v>
      </x:c>
      <x:c r="H333" s="28" t="str">
        <x:v>PASS</x:v>
      </x:c>
      <x:c r="I333" s="29" t="str"/>
      <x:c r="J333" s="29" t="str"/>
      <x:c r="K333" s="29" t="str"/>
      <x:c r="L333" s="28" t="str">
        <x:f>IF(AND(C333="RESERVE",D333=""),"DORMANT",IF(K333="","OPEN",IF(AND(I333=H333,J333&lt;&gt;""),"PASS","FAIL")))</x:f>
        <x:v>OPEN</x:v>
      </x:c>
    </x:row>
    <x:row r="334">
      <x:c r="B334" s="28" t="str">
        <x:v>AT-14</x:v>
      </x:c>
      <x:c r="C334" s="28" t="str">
        <x:v>PRIMARY</x:v>
      </x:c>
      <x:c r="D334" s="28" t="str">
        <x:f>INDEX('Attempt Tokens'!$E$7:$E$36,MATCH(B334,'Attempt Tokens'!$B$7:$B$36,0))</x:f>
      </x:c>
      <x:c r="E334" s="28" t="n">
        <x:v>16</x:v>
      </x:c>
      <x:c r="F334" s="28" t="str">
        <x:v>EG-16</x:v>
      </x:c>
      <x:c r="G334" s="28" t="str">
        <x:v>holds complete</x:v>
      </x:c>
      <x:c r="H334" s="28" t="str">
        <x:v>PASS</x:v>
      </x:c>
      <x:c r="I334" s="29" t="str"/>
      <x:c r="J334" s="29" t="str"/>
      <x:c r="K334" s="29" t="str"/>
      <x:c r="L334" s="28" t="str">
        <x:f>IF(AND(C334="RESERVE",D334=""),"DORMANT",IF(K334="","OPEN",IF(AND(I334=H334,J334&lt;&gt;""),"PASS","FAIL")))</x:f>
        <x:v>OPEN</x:v>
      </x:c>
    </x:row>
    <x:row r="335">
      <x:c r="B335" s="28" t="str">
        <x:v>AT-14</x:v>
      </x:c>
      <x:c r="C335" s="28" t="str">
        <x:v>PRIMARY</x:v>
      </x:c>
      <x:c r="D335" s="28" t="str">
        <x:f>INDEX('Attempt Tokens'!$E$7:$E$36,MATCH(B335,'Attempt Tokens'!$B$7:$B$36,0))</x:f>
      </x:c>
      <x:c r="E335" s="28" t="n">
        <x:v>17</x:v>
      </x:c>
      <x:c r="F335" s="28" t="str">
        <x:v>EG-17</x:v>
      </x:c>
      <x:c r="G335" s="28" t="str">
        <x:v>evidence obligations complete</x:v>
      </x:c>
      <x:c r="H335" s="28" t="str">
        <x:v>PASS</x:v>
      </x:c>
      <x:c r="I335" s="29" t="str"/>
      <x:c r="J335" s="29" t="str"/>
      <x:c r="K335" s="29" t="str"/>
      <x:c r="L335" s="28" t="str">
        <x:f>IF(AND(C335="RESERVE",D335=""),"DORMANT",IF(K335="","OPEN",IF(AND(I335=H335,J335&lt;&gt;""),"PASS","FAIL")))</x:f>
        <x:v>OPEN</x:v>
      </x:c>
    </x:row>
    <x:row r="336">
      <x:c r="B336" s="28" t="str">
        <x:v>AT-14</x:v>
      </x:c>
      <x:c r="C336" s="28" t="str">
        <x:v>PRIMARY</x:v>
      </x:c>
      <x:c r="D336" s="28" t="str">
        <x:f>INDEX('Attempt Tokens'!$E$7:$E$36,MATCH(B336,'Attempt Tokens'!$B$7:$B$36,0))</x:f>
      </x:c>
      <x:c r="E336" s="28" t="n">
        <x:v>18</x:v>
      </x:c>
      <x:c r="F336" s="28" t="str">
        <x:v>EG-18</x:v>
      </x:c>
      <x:c r="G336" s="28" t="str">
        <x:v>blank samples complete</x:v>
      </x:c>
      <x:c r="H336" s="28" t="str">
        <x:v>PASS</x:v>
      </x:c>
      <x:c r="I336" s="29" t="str"/>
      <x:c r="J336" s="29" t="str"/>
      <x:c r="K336" s="29" t="str"/>
      <x:c r="L336" s="28" t="str">
        <x:f>IF(AND(C336="RESERVE",D336=""),"DORMANT",IF(K336="","OPEN",IF(AND(I336=H336,J336&lt;&gt;""),"PASS","FAIL")))</x:f>
        <x:v>OPEN</x:v>
      </x:c>
    </x:row>
    <x:row r="337">
      <x:c r="B337" s="28" t="str">
        <x:v>AT-14</x:v>
      </x:c>
      <x:c r="C337" s="28" t="str">
        <x:v>PRIMARY</x:v>
      </x:c>
      <x:c r="D337" s="28" t="str">
        <x:f>INDEX('Attempt Tokens'!$E$7:$E$36,MATCH(B337,'Attempt Tokens'!$B$7:$B$36,0))</x:f>
      </x:c>
      <x:c r="E337" s="28" t="n">
        <x:v>19</x:v>
      </x:c>
      <x:c r="F337" s="28" t="str">
        <x:v>EG-19</x:v>
      </x:c>
      <x:c r="G337" s="28" t="str">
        <x:v>abort channels classified</x:v>
      </x:c>
      <x:c r="H337" s="28" t="str">
        <x:v>PASS</x:v>
      </x:c>
      <x:c r="I337" s="29" t="str"/>
      <x:c r="J337" s="29" t="str"/>
      <x:c r="K337" s="29" t="str"/>
      <x:c r="L337" s="28" t="str">
        <x:f>IF(AND(C337="RESERVE",D337=""),"DORMANT",IF(K337="","OPEN",IF(AND(I337=H337,J337&lt;&gt;""),"PASS","FAIL")))</x:f>
        <x:v>OPEN</x:v>
      </x:c>
    </x:row>
    <x:row r="338">
      <x:c r="B338" s="28" t="str">
        <x:v>AT-14</x:v>
      </x:c>
      <x:c r="C338" s="28" t="str">
        <x:v>PRIMARY</x:v>
      </x:c>
      <x:c r="D338" s="28" t="str">
        <x:f>INDEX('Attempt Tokens'!$E$7:$E$36,MATCH(B338,'Attempt Tokens'!$B$7:$B$36,0))</x:f>
      </x:c>
      <x:c r="E338" s="28" t="n">
        <x:v>20</x:v>
      </x:c>
      <x:c r="F338" s="28" t="str">
        <x:v>EG-20</x:v>
      </x:c>
      <x:c r="G338" s="28" t="str">
        <x:v>interventions classified</x:v>
      </x:c>
      <x:c r="H338" s="28" t="str">
        <x:v>PASS</x:v>
      </x:c>
      <x:c r="I338" s="29" t="str"/>
      <x:c r="J338" s="29" t="str"/>
      <x:c r="K338" s="29" t="str"/>
      <x:c r="L338" s="28" t="str">
        <x:f>IF(AND(C338="RESERVE",D338=""),"DORMANT",IF(K338="","OPEN",IF(AND(I338=H338,J338&lt;&gt;""),"PASS","FAIL")))</x:f>
        <x:v>OPEN</x:v>
      </x:c>
    </x:row>
    <x:row r="339">
      <x:c r="B339" s="28" t="str">
        <x:v>AT-14</x:v>
      </x:c>
      <x:c r="C339" s="28" t="str">
        <x:v>PRIMARY</x:v>
      </x:c>
      <x:c r="D339" s="28" t="str">
        <x:f>INDEX('Attempt Tokens'!$E$7:$E$36,MATCH(B339,'Attempt Tokens'!$B$7:$B$36,0))</x:f>
      </x:c>
      <x:c r="E339" s="28" t="n">
        <x:v>21</x:v>
      </x:c>
      <x:c r="F339" s="28" t="str">
        <x:v>EG-21</x:v>
      </x:c>
      <x:c r="G339" s="28" t="str">
        <x:v>event result accepted</x:v>
      </x:c>
      <x:c r="H339" s="28" t="str">
        <x:v>PASS</x:v>
      </x:c>
      <x:c r="I339" s="29" t="str"/>
      <x:c r="J339" s="29" t="str"/>
      <x:c r="K339" s="29" t="str"/>
      <x:c r="L339" s="28" t="str">
        <x:f>IF(AND(C339="RESERVE",D339=""),"DORMANT",IF(K339="","OPEN",IF(AND(I339=H339,J339&lt;&gt;""),"PASS","FAIL")))</x:f>
        <x:v>OPEN</x:v>
      </x:c>
    </x:row>
    <x:row r="340">
      <x:c r="B340" s="28" t="str">
        <x:v>AT-14</x:v>
      </x:c>
      <x:c r="C340" s="28" t="str">
        <x:v>PRIMARY</x:v>
      </x:c>
      <x:c r="D340" s="28" t="str">
        <x:f>INDEX('Attempt Tokens'!$E$7:$E$36,MATCH(B340,'Attempt Tokens'!$B$7:$B$36,0))</x:f>
      </x:c>
      <x:c r="E340" s="28" t="n">
        <x:v>22</x:v>
      </x:c>
      <x:c r="F340" s="28" t="str">
        <x:v>EG-22</x:v>
      </x:c>
      <x:c r="G340" s="28" t="str">
        <x:v>recovery states complete</x:v>
      </x:c>
      <x:c r="H340" s="28" t="str">
        <x:v>PASS</x:v>
      </x:c>
      <x:c r="I340" s="29" t="str"/>
      <x:c r="J340" s="29" t="str"/>
      <x:c r="K340" s="29" t="str"/>
      <x:c r="L340" s="28" t="str">
        <x:f>IF(AND(C340="RESERVE",D340=""),"DORMANT",IF(K340="","OPEN",IF(AND(I340=H340,J340&lt;&gt;""),"PASS","FAIL")))</x:f>
        <x:v>OPEN</x:v>
      </x:c>
    </x:row>
    <x:row r="341">
      <x:c r="B341" s="28" t="str">
        <x:v>AT-14</x:v>
      </x:c>
      <x:c r="C341" s="28" t="str">
        <x:v>PRIMARY</x:v>
      </x:c>
      <x:c r="D341" s="28" t="str">
        <x:f>INDEX('Attempt Tokens'!$E$7:$E$36,MATCH(B341,'Attempt Tokens'!$B$7:$B$36,0))</x:f>
      </x:c>
      <x:c r="E341" s="28" t="n">
        <x:v>23</x:v>
      </x:c>
      <x:c r="F341" s="28" t="str">
        <x:v>EG-23</x:v>
      </x:c>
      <x:c r="G341" s="28" t="str">
        <x:v>regeneration and regression complete</x:v>
      </x:c>
      <x:c r="H341" s="28" t="str">
        <x:v>PASS</x:v>
      </x:c>
      <x:c r="I341" s="29" t="str"/>
      <x:c r="J341" s="29" t="str"/>
      <x:c r="K341" s="29" t="str"/>
      <x:c r="L341" s="28" t="str">
        <x:f>IF(AND(C341="RESERVE",D341=""),"DORMANT",IF(K341="","OPEN",IF(AND(I341=H341,J341&lt;&gt;""),"PASS","FAIL")))</x:f>
        <x:v>OPEN</x:v>
      </x:c>
    </x:row>
    <x:row r="342">
      <x:c r="B342" s="28" t="str">
        <x:v>AT-14</x:v>
      </x:c>
      <x:c r="C342" s="28" t="str">
        <x:v>PRIMARY</x:v>
      </x:c>
      <x:c r="D342" s="28" t="str">
        <x:f>INDEX('Attempt Tokens'!$E$7:$E$36,MATCH(B342,'Attempt Tokens'!$B$7:$B$36,0))</x:f>
      </x:c>
      <x:c r="E342" s="28" t="n">
        <x:v>24</x:v>
      </x:c>
      <x:c r="F342" s="28" t="str">
        <x:v>EG-24</x:v>
      </x:c>
      <x:c r="G342" s="28" t="str">
        <x:v>reentry and packet release complete</x:v>
      </x:c>
      <x:c r="H342" s="28" t="str">
        <x:v>PASS</x:v>
      </x:c>
      <x:c r="I342" s="29" t="str"/>
      <x:c r="J342" s="29" t="str"/>
      <x:c r="K342" s="29" t="str"/>
      <x:c r="L342" s="28" t="str">
        <x:f>IF(AND(C342="RESERVE",D342=""),"DORMANT",IF(K342="","OPEN",IF(AND(I342=H342,J342&lt;&gt;""),"PASS","FAIL")))</x:f>
        <x:v>OPEN</x:v>
      </x:c>
    </x:row>
    <x:row r="343">
      <x:c r="B343" s="28" t="str">
        <x:v>AT-15</x:v>
      </x:c>
      <x:c r="C343" s="28" t="str">
        <x:v>PRIMARY</x:v>
      </x:c>
      <x:c r="D343" s="28" t="str">
        <x:f>INDEX('Attempt Tokens'!$E$7:$E$36,MATCH(B343,'Attempt Tokens'!$B$7:$B$36,0))</x:f>
      </x:c>
      <x:c r="E343" s="28" t="n">
        <x:v>1</x:v>
      </x:c>
      <x:c r="F343" s="28" t="str">
        <x:v>EG-01</x:v>
      </x:c>
      <x:c r="G343" s="28" t="str">
        <x:v>RAX or renewed pair credential current</x:v>
      </x:c>
      <x:c r="H343" s="28" t="str">
        <x:v>PASS</x:v>
      </x:c>
      <x:c r="I343" s="29" t="str"/>
      <x:c r="J343" s="29" t="str"/>
      <x:c r="K343" s="29" t="str"/>
      <x:c r="L343" s="28" t="str">
        <x:f>IF(AND(C343="RESERVE",D343=""),"DORMANT",IF(K343="","OPEN",IF(AND(I343=H343,J343&lt;&gt;""),"PASS","FAIL")))</x:f>
        <x:v>OPEN</x:v>
      </x:c>
    </x:row>
    <x:row r="344">
      <x:c r="B344" s="28" t="str">
        <x:v>AT-15</x:v>
      </x:c>
      <x:c r="C344" s="28" t="str">
        <x:v>PRIMARY</x:v>
      </x:c>
      <x:c r="D344" s="28" t="str">
        <x:f>INDEX('Attempt Tokens'!$E$7:$E$36,MATCH(B344,'Attempt Tokens'!$B$7:$B$36,0))</x:f>
      </x:c>
      <x:c r="E344" s="28" t="n">
        <x:v>2</x:v>
      </x:c>
      <x:c r="F344" s="28" t="str">
        <x:v>EG-02</x:v>
      </x:c>
      <x:c r="G344" s="28" t="str">
        <x:v>candidate cell eligible</x:v>
      </x:c>
      <x:c r="H344" s="28" t="str">
        <x:v>PASS</x:v>
      </x:c>
      <x:c r="I344" s="29" t="str"/>
      <x:c r="J344" s="29" t="str"/>
      <x:c r="K344" s="29" t="str"/>
      <x:c r="L344" s="28" t="str">
        <x:f>IF(AND(C344="RESERVE",D344=""),"DORMANT",IF(K344="","OPEN",IF(AND(I344=H344,J344&lt;&gt;""),"PASS","FAIL")))</x:f>
        <x:v>OPEN</x:v>
      </x:c>
    </x:row>
    <x:row r="345">
      <x:c r="B345" s="28" t="str">
        <x:v>AT-15</x:v>
      </x:c>
      <x:c r="C345" s="28" t="str">
        <x:v>PRIMARY</x:v>
      </x:c>
      <x:c r="D345" s="28" t="str">
        <x:f>INDEX('Attempt Tokens'!$E$7:$E$36,MATCH(B345,'Attempt Tokens'!$B$7:$B$36,0))</x:f>
      </x:c>
      <x:c r="E345" s="28" t="n">
        <x:v>3</x:v>
      </x:c>
      <x:c r="F345" s="28" t="str">
        <x:v>EG-03</x:v>
      </x:c>
      <x:c r="G345" s="28" t="str">
        <x:v>draw and schedule binding complete</x:v>
      </x:c>
      <x:c r="H345" s="28" t="str">
        <x:v>PASS</x:v>
      </x:c>
      <x:c r="I345" s="29" t="str"/>
      <x:c r="J345" s="29" t="str"/>
      <x:c r="K345" s="29" t="str"/>
      <x:c r="L345" s="28" t="str">
        <x:f>IF(AND(C345="RESERVE",D345=""),"DORMANT",IF(K345="","OPEN",IF(AND(I345=H345,J345&lt;&gt;""),"PASS","FAIL")))</x:f>
        <x:v>OPEN</x:v>
      </x:c>
    </x:row>
    <x:row r="346">
      <x:c r="B346" s="28" t="str">
        <x:v>AT-15</x:v>
      </x:c>
      <x:c r="C346" s="28" t="str">
        <x:v>PRIMARY</x:v>
      </x:c>
      <x:c r="D346" s="28" t="str">
        <x:f>INDEX('Attempt Tokens'!$E$7:$E$36,MATCH(B346,'Attempt Tokens'!$B$7:$B$36,0))</x:f>
      </x:c>
      <x:c r="E346" s="28" t="n">
        <x:v>4</x:v>
      </x:c>
      <x:c r="F346" s="28" t="str">
        <x:v>EG-04</x:v>
      </x:c>
      <x:c r="G346" s="28" t="str">
        <x:v>event issue accepted</x:v>
      </x:c>
      <x:c r="H346" s="28" t="str">
        <x:v>PASS</x:v>
      </x:c>
      <x:c r="I346" s="29" t="str"/>
      <x:c r="J346" s="29" t="str"/>
      <x:c r="K346" s="29" t="str"/>
      <x:c r="L346" s="28" t="str">
        <x:f>IF(AND(C346="RESERVE",D346=""),"DORMANT",IF(K346="","OPEN",IF(AND(I346=H346,J346&lt;&gt;""),"PASS","FAIL")))</x:f>
        <x:v>OPEN</x:v>
      </x:c>
    </x:row>
    <x:row r="347">
      <x:c r="B347" s="28" t="str">
        <x:v>AT-15</x:v>
      </x:c>
      <x:c r="C347" s="28" t="str">
        <x:v>PRIMARY</x:v>
      </x:c>
      <x:c r="D347" s="28" t="str">
        <x:f>INDEX('Attempt Tokens'!$E$7:$E$36,MATCH(B347,'Attempt Tokens'!$B$7:$B$36,0))</x:f>
      </x:c>
      <x:c r="E347" s="28" t="n">
        <x:v>5</x:v>
      </x:c>
      <x:c r="F347" s="28" t="str">
        <x:v>EG-05</x:v>
      </x:c>
      <x:c r="G347" s="28" t="str">
        <x:v>dossier bindings complete</x:v>
      </x:c>
      <x:c r="H347" s="28" t="str">
        <x:v>PASS</x:v>
      </x:c>
      <x:c r="I347" s="29" t="str"/>
      <x:c r="J347" s="29" t="str"/>
      <x:c r="K347" s="29" t="str"/>
      <x:c r="L347" s="28" t="str">
        <x:f>IF(AND(C347="RESERVE",D347=""),"DORMANT",IF(K347="","OPEN",IF(AND(I347=H347,J347&lt;&gt;""),"PASS","FAIL")))</x:f>
        <x:v>OPEN</x:v>
      </x:c>
    </x:row>
    <x:row r="348">
      <x:c r="B348" s="28" t="str">
        <x:v>AT-15</x:v>
      </x:c>
      <x:c r="C348" s="28" t="str">
        <x:v>PRIMARY</x:v>
      </x:c>
      <x:c r="D348" s="28" t="str">
        <x:f>INDEX('Attempt Tokens'!$E$7:$E$36,MATCH(B348,'Attempt Tokens'!$B$7:$B$36,0))</x:f>
      </x:c>
      <x:c r="E348" s="28" t="n">
        <x:v>6</x:v>
      </x:c>
      <x:c r="F348" s="28" t="str">
        <x:v>EG-06</x:v>
      </x:c>
      <x:c r="G348" s="28" t="str">
        <x:v>event crew complete</x:v>
      </x:c>
      <x:c r="H348" s="28" t="str">
        <x:v>PASS</x:v>
      </x:c>
      <x:c r="I348" s="29" t="str"/>
      <x:c r="J348" s="29" t="str"/>
      <x:c r="K348" s="29" t="str"/>
      <x:c r="L348" s="28" t="str">
        <x:f>IF(AND(C348="RESERVE",D348=""),"DORMANT",IF(K348="","OPEN",IF(AND(I348=H348,J348&lt;&gt;""),"PASS","FAIL")))</x:f>
        <x:v>OPEN</x:v>
      </x:c>
    </x:row>
    <x:row r="349">
      <x:c r="B349" s="28" t="str">
        <x:v>AT-15</x:v>
      </x:c>
      <x:c r="C349" s="28" t="str">
        <x:v>PRIMARY</x:v>
      </x:c>
      <x:c r="D349" s="28" t="str">
        <x:f>INDEX('Attempt Tokens'!$E$7:$E$36,MATCH(B349,'Attempt Tokens'!$B$7:$B$36,0))</x:f>
      </x:c>
      <x:c r="E349" s="28" t="n">
        <x:v>7</x:v>
      </x:c>
      <x:c r="F349" s="28" t="str">
        <x:v>EG-07</x:v>
      </x:c>
      <x:c r="G349" s="28" t="str">
        <x:v>configuration freeze complete</x:v>
      </x:c>
      <x:c r="H349" s="28" t="str">
        <x:v>PASS</x:v>
      </x:c>
      <x:c r="I349" s="29" t="str"/>
      <x:c r="J349" s="29" t="str"/>
      <x:c r="K349" s="29" t="str"/>
      <x:c r="L349" s="28" t="str">
        <x:f>IF(AND(C349="RESERVE",D349=""),"DORMANT",IF(K349="","OPEN",IF(AND(I349=H349,J349&lt;&gt;""),"PASS","FAIL")))</x:f>
        <x:v>OPEN</x:v>
      </x:c>
    </x:row>
    <x:row r="350">
      <x:c r="B350" s="28" t="str">
        <x:v>AT-15</x:v>
      </x:c>
      <x:c r="C350" s="28" t="str">
        <x:v>PRIMARY</x:v>
      </x:c>
      <x:c r="D350" s="28" t="str">
        <x:f>INDEX('Attempt Tokens'!$E$7:$E$36,MATCH(B350,'Attempt Tokens'!$B$7:$B$36,0))</x:f>
      </x:c>
      <x:c r="E350" s="28" t="n">
        <x:v>8</x:v>
      </x:c>
      <x:c r="F350" s="28" t="str">
        <x:v>EG-08</x:v>
      </x:c>
      <x:c r="G350" s="28" t="str">
        <x:v>zero-source checks complete</x:v>
      </x:c>
      <x:c r="H350" s="28" t="str">
        <x:v>PASS</x:v>
      </x:c>
      <x:c r="I350" s="29" t="str"/>
      <x:c r="J350" s="29" t="str"/>
      <x:c r="K350" s="29" t="str"/>
      <x:c r="L350" s="28" t="str">
        <x:f>IF(AND(C350="RESERVE",D350=""),"DORMANT",IF(K350="","OPEN",IF(AND(I350=H350,J350&lt;&gt;""),"PASS","FAIL")))</x:f>
        <x:v>OPEN</x:v>
      </x:c>
    </x:row>
    <x:row r="351">
      <x:c r="B351" s="28" t="str">
        <x:v>AT-15</x:v>
      </x:c>
      <x:c r="C351" s="28" t="str">
        <x:v>PRIMARY</x:v>
      </x:c>
      <x:c r="D351" s="28" t="str">
        <x:f>INDEX('Attempt Tokens'!$E$7:$E$36,MATCH(B351,'Attempt Tokens'!$B$7:$B$36,0))</x:f>
      </x:c>
      <x:c r="E351" s="28" t="n">
        <x:v>9</x:v>
      </x:c>
      <x:c r="F351" s="28" t="str">
        <x:v>EG-09</x:v>
      </x:c>
      <x:c r="G351" s="28" t="str">
        <x:v>zero-water checks complete</x:v>
      </x:c>
      <x:c r="H351" s="28" t="str">
        <x:v>PASS</x:v>
      </x:c>
      <x:c r="I351" s="29" t="str"/>
      <x:c r="J351" s="29" t="str"/>
      <x:c r="K351" s="29" t="str"/>
      <x:c r="L351" s="28" t="str">
        <x:f>IF(AND(C351="RESERVE",D351=""),"DORMANT",IF(K351="","OPEN",IF(AND(I351=H351,J351&lt;&gt;""),"PASS","FAIL")))</x:f>
        <x:v>OPEN</x:v>
      </x:c>
    </x:row>
    <x:row r="352">
      <x:c r="B352" s="28" t="str">
        <x:v>AT-15</x:v>
      </x:c>
      <x:c r="C352" s="28" t="str">
        <x:v>PRIMARY</x:v>
      </x:c>
      <x:c r="D352" s="28" t="str">
        <x:f>INDEX('Attempt Tokens'!$E$7:$E$36,MATCH(B352,'Attempt Tokens'!$B$7:$B$36,0))</x:f>
      </x:c>
      <x:c r="E352" s="28" t="n">
        <x:v>10</x:v>
      </x:c>
      <x:c r="F352" s="28" t="str">
        <x:v>EG-10</x:v>
      </x:c>
      <x:c r="G352" s="28" t="str">
        <x:v>uncertainty decisions complete</x:v>
      </x:c>
      <x:c r="H352" s="28" t="str">
        <x:v>PASS</x:v>
      </x:c>
      <x:c r="I352" s="29" t="str"/>
      <x:c r="J352" s="29" t="str"/>
      <x:c r="K352" s="29" t="str"/>
      <x:c r="L352" s="28" t="str">
        <x:f>IF(AND(C352="RESERVE",D352=""),"DORMANT",IF(K352="","OPEN",IF(AND(I352=H352,J352&lt;&gt;""),"PASS","FAIL")))</x:f>
        <x:v>OPEN</x:v>
      </x:c>
    </x:row>
    <x:row r="353">
      <x:c r="B353" s="28" t="str">
        <x:v>AT-15</x:v>
      </x:c>
      <x:c r="C353" s="28" t="str">
        <x:v>PRIMARY</x:v>
      </x:c>
      <x:c r="D353" s="28" t="str">
        <x:f>INDEX('Attempt Tokens'!$E$7:$E$36,MATCH(B353,'Attempt Tokens'!$B$7:$B$36,0))</x:f>
      </x:c>
      <x:c r="E353" s="28" t="n">
        <x:v>11</x:v>
      </x:c>
      <x:c r="F353" s="28" t="str">
        <x:v>EG-11</x:v>
      </x:c>
      <x:c r="G353" s="28" t="str">
        <x:v>measurement windows complete</x:v>
      </x:c>
      <x:c r="H353" s="28" t="str">
        <x:v>PASS</x:v>
      </x:c>
      <x:c r="I353" s="29" t="str"/>
      <x:c r="J353" s="29" t="str"/>
      <x:c r="K353" s="29" t="str"/>
      <x:c r="L353" s="28" t="str">
        <x:f>IF(AND(C353="RESERVE",D353=""),"DORMANT",IF(K353="","OPEN",IF(AND(I353=H353,J353&lt;&gt;""),"PASS","FAIL")))</x:f>
        <x:v>OPEN</x:v>
      </x:c>
    </x:row>
    <x:row r="354">
      <x:c r="B354" s="28" t="str">
        <x:v>AT-15</x:v>
      </x:c>
      <x:c r="C354" s="28" t="str">
        <x:v>PRIMARY</x:v>
      </x:c>
      <x:c r="D354" s="28" t="str">
        <x:f>INDEX('Attempt Tokens'!$E$7:$E$36,MATCH(B354,'Attempt Tokens'!$B$7:$B$36,0))</x:f>
      </x:c>
      <x:c r="E354" s="28" t="n">
        <x:v>12</x:v>
      </x:c>
      <x:c r="F354" s="28" t="str">
        <x:v>EG-12</x:v>
      </x:c>
      <x:c r="G354" s="28" t="str">
        <x:v>neighbor proofs complete</x:v>
      </x:c>
      <x:c r="H354" s="28" t="str">
        <x:v>PASS</x:v>
      </x:c>
      <x:c r="I354" s="29" t="str"/>
      <x:c r="J354" s="29" t="str"/>
      <x:c r="K354" s="29" t="str"/>
      <x:c r="L354" s="28" t="str">
        <x:f>IF(AND(C354="RESERVE",D354=""),"DORMANT",IF(K354="","OPEN",IF(AND(I354=H354,J354&lt;&gt;""),"PASS","FAIL")))</x:f>
        <x:v>OPEN</x:v>
      </x:c>
    </x:row>
    <x:row r="355">
      <x:c r="B355" s="28" t="str">
        <x:v>AT-15</x:v>
      </x:c>
      <x:c r="C355" s="28" t="str">
        <x:v>PRIMARY</x:v>
      </x:c>
      <x:c r="D355" s="28" t="str">
        <x:f>INDEX('Attempt Tokens'!$E$7:$E$36,MATCH(B355,'Attempt Tokens'!$B$7:$B$36,0))</x:f>
      </x:c>
      <x:c r="E355" s="28" t="n">
        <x:v>13</x:v>
      </x:c>
      <x:c r="F355" s="28" t="str">
        <x:v>EG-13</x:v>
      </x:c>
      <x:c r="G355" s="28" t="str">
        <x:v>safeing polls complete</x:v>
      </x:c>
      <x:c r="H355" s="28" t="str">
        <x:v>PASS</x:v>
      </x:c>
      <x:c r="I355" s="29" t="str"/>
      <x:c r="J355" s="29" t="str"/>
      <x:c r="K355" s="29" t="str"/>
      <x:c r="L355" s="28" t="str">
        <x:f>IF(AND(C355="RESERVE",D355=""),"DORMANT",IF(K355="","OPEN",IF(AND(I355=H355,J355&lt;&gt;""),"PASS","FAIL")))</x:f>
        <x:v>OPEN</x:v>
      </x:c>
    </x:row>
    <x:row r="356">
      <x:c r="B356" s="28" t="str">
        <x:v>AT-15</x:v>
      </x:c>
      <x:c r="C356" s="28" t="str">
        <x:v>PRIMARY</x:v>
      </x:c>
      <x:c r="D356" s="28" t="str">
        <x:f>INDEX('Attempt Tokens'!$E$7:$E$36,MATCH(B356,'Attempt Tokens'!$B$7:$B$36,0))</x:f>
      </x:c>
      <x:c r="E356" s="28" t="n">
        <x:v>14</x:v>
      </x:c>
      <x:c r="F356" s="28" t="str">
        <x:v>EG-14</x:v>
      </x:c>
      <x:c r="G356" s="28" t="str">
        <x:v>command transactions complete</x:v>
      </x:c>
      <x:c r="H356" s="28" t="str">
        <x:v>PASS</x:v>
      </x:c>
      <x:c r="I356" s="29" t="str"/>
      <x:c r="J356" s="29" t="str"/>
      <x:c r="K356" s="29" t="str"/>
      <x:c r="L356" s="28" t="str">
        <x:f>IF(AND(C356="RESERVE",D356=""),"DORMANT",IF(K356="","OPEN",IF(AND(I356=H356,J356&lt;&gt;""),"PASS","FAIL")))</x:f>
        <x:v>OPEN</x:v>
      </x:c>
    </x:row>
    <x:row r="357">
      <x:c r="B357" s="28" t="str">
        <x:v>AT-15</x:v>
      </x:c>
      <x:c r="C357" s="28" t="str">
        <x:v>PRIMARY</x:v>
      </x:c>
      <x:c r="D357" s="28" t="str">
        <x:f>INDEX('Attempt Tokens'!$E$7:$E$36,MATCH(B357,'Attempt Tokens'!$B$7:$B$36,0))</x:f>
      </x:c>
      <x:c r="E357" s="28" t="n">
        <x:v>15</x:v>
      </x:c>
      <x:c r="F357" s="28" t="str">
        <x:v>EG-15</x:v>
      </x:c>
      <x:c r="G357" s="28" t="str">
        <x:v>phase clock complete</x:v>
      </x:c>
      <x:c r="H357" s="28" t="str">
        <x:v>PASS</x:v>
      </x:c>
      <x:c r="I357" s="29" t="str"/>
      <x:c r="J357" s="29" t="str"/>
      <x:c r="K357" s="29" t="str"/>
      <x:c r="L357" s="28" t="str">
        <x:f>IF(AND(C357="RESERVE",D357=""),"DORMANT",IF(K357="","OPEN",IF(AND(I357=H357,J357&lt;&gt;""),"PASS","FAIL")))</x:f>
        <x:v>OPEN</x:v>
      </x:c>
    </x:row>
    <x:row r="358">
      <x:c r="B358" s="28" t="str">
        <x:v>AT-15</x:v>
      </x:c>
      <x:c r="C358" s="28" t="str">
        <x:v>PRIMARY</x:v>
      </x:c>
      <x:c r="D358" s="28" t="str">
        <x:f>INDEX('Attempt Tokens'!$E$7:$E$36,MATCH(B358,'Attempt Tokens'!$B$7:$B$36,0))</x:f>
      </x:c>
      <x:c r="E358" s="28" t="n">
        <x:v>16</x:v>
      </x:c>
      <x:c r="F358" s="28" t="str">
        <x:v>EG-16</x:v>
      </x:c>
      <x:c r="G358" s="28" t="str">
        <x:v>holds complete</x:v>
      </x:c>
      <x:c r="H358" s="28" t="str">
        <x:v>PASS</x:v>
      </x:c>
      <x:c r="I358" s="29" t="str"/>
      <x:c r="J358" s="29" t="str"/>
      <x:c r="K358" s="29" t="str"/>
      <x:c r="L358" s="28" t="str">
        <x:f>IF(AND(C358="RESERVE",D358=""),"DORMANT",IF(K358="","OPEN",IF(AND(I358=H358,J358&lt;&gt;""),"PASS","FAIL")))</x:f>
        <x:v>OPEN</x:v>
      </x:c>
    </x:row>
    <x:row r="359">
      <x:c r="B359" s="28" t="str">
        <x:v>AT-15</x:v>
      </x:c>
      <x:c r="C359" s="28" t="str">
        <x:v>PRIMARY</x:v>
      </x:c>
      <x:c r="D359" s="28" t="str">
        <x:f>INDEX('Attempt Tokens'!$E$7:$E$36,MATCH(B359,'Attempt Tokens'!$B$7:$B$36,0))</x:f>
      </x:c>
      <x:c r="E359" s="28" t="n">
        <x:v>17</x:v>
      </x:c>
      <x:c r="F359" s="28" t="str">
        <x:v>EG-17</x:v>
      </x:c>
      <x:c r="G359" s="28" t="str">
        <x:v>evidence obligations complete</x:v>
      </x:c>
      <x:c r="H359" s="28" t="str">
        <x:v>PASS</x:v>
      </x:c>
      <x:c r="I359" s="29" t="str"/>
      <x:c r="J359" s="29" t="str"/>
      <x:c r="K359" s="29" t="str"/>
      <x:c r="L359" s="28" t="str">
        <x:f>IF(AND(C359="RESERVE",D359=""),"DORMANT",IF(K359="","OPEN",IF(AND(I359=H359,J359&lt;&gt;""),"PASS","FAIL")))</x:f>
        <x:v>OPEN</x:v>
      </x:c>
    </x:row>
    <x:row r="360">
      <x:c r="B360" s="28" t="str">
        <x:v>AT-15</x:v>
      </x:c>
      <x:c r="C360" s="28" t="str">
        <x:v>PRIMARY</x:v>
      </x:c>
      <x:c r="D360" s="28" t="str">
        <x:f>INDEX('Attempt Tokens'!$E$7:$E$36,MATCH(B360,'Attempt Tokens'!$B$7:$B$36,0))</x:f>
      </x:c>
      <x:c r="E360" s="28" t="n">
        <x:v>18</x:v>
      </x:c>
      <x:c r="F360" s="28" t="str">
        <x:v>EG-18</x:v>
      </x:c>
      <x:c r="G360" s="28" t="str">
        <x:v>blank samples complete</x:v>
      </x:c>
      <x:c r="H360" s="28" t="str">
        <x:v>PASS</x:v>
      </x:c>
      <x:c r="I360" s="29" t="str"/>
      <x:c r="J360" s="29" t="str"/>
      <x:c r="K360" s="29" t="str"/>
      <x:c r="L360" s="28" t="str">
        <x:f>IF(AND(C360="RESERVE",D360=""),"DORMANT",IF(K360="","OPEN",IF(AND(I360=H360,J360&lt;&gt;""),"PASS","FAIL")))</x:f>
        <x:v>OPEN</x:v>
      </x:c>
    </x:row>
    <x:row r="361">
      <x:c r="B361" s="28" t="str">
        <x:v>AT-15</x:v>
      </x:c>
      <x:c r="C361" s="28" t="str">
        <x:v>PRIMARY</x:v>
      </x:c>
      <x:c r="D361" s="28" t="str">
        <x:f>INDEX('Attempt Tokens'!$E$7:$E$36,MATCH(B361,'Attempt Tokens'!$B$7:$B$36,0))</x:f>
      </x:c>
      <x:c r="E361" s="28" t="n">
        <x:v>19</x:v>
      </x:c>
      <x:c r="F361" s="28" t="str">
        <x:v>EG-19</x:v>
      </x:c>
      <x:c r="G361" s="28" t="str">
        <x:v>abort channels classified</x:v>
      </x:c>
      <x:c r="H361" s="28" t="str">
        <x:v>PASS</x:v>
      </x:c>
      <x:c r="I361" s="29" t="str"/>
      <x:c r="J361" s="29" t="str"/>
      <x:c r="K361" s="29" t="str"/>
      <x:c r="L361" s="28" t="str">
        <x:f>IF(AND(C361="RESERVE",D361=""),"DORMANT",IF(K361="","OPEN",IF(AND(I361=H361,J361&lt;&gt;""),"PASS","FAIL")))</x:f>
        <x:v>OPEN</x:v>
      </x:c>
    </x:row>
    <x:row r="362">
      <x:c r="B362" s="28" t="str">
        <x:v>AT-15</x:v>
      </x:c>
      <x:c r="C362" s="28" t="str">
        <x:v>PRIMARY</x:v>
      </x:c>
      <x:c r="D362" s="28" t="str">
        <x:f>INDEX('Attempt Tokens'!$E$7:$E$36,MATCH(B362,'Attempt Tokens'!$B$7:$B$36,0))</x:f>
      </x:c>
      <x:c r="E362" s="28" t="n">
        <x:v>20</x:v>
      </x:c>
      <x:c r="F362" s="28" t="str">
        <x:v>EG-20</x:v>
      </x:c>
      <x:c r="G362" s="28" t="str">
        <x:v>interventions classified</x:v>
      </x:c>
      <x:c r="H362" s="28" t="str">
        <x:v>PASS</x:v>
      </x:c>
      <x:c r="I362" s="29" t="str"/>
      <x:c r="J362" s="29" t="str"/>
      <x:c r="K362" s="29" t="str"/>
      <x:c r="L362" s="28" t="str">
        <x:f>IF(AND(C362="RESERVE",D362=""),"DORMANT",IF(K362="","OPEN",IF(AND(I362=H362,J362&lt;&gt;""),"PASS","FAIL")))</x:f>
        <x:v>OPEN</x:v>
      </x:c>
    </x:row>
    <x:row r="363">
      <x:c r="B363" s="28" t="str">
        <x:v>AT-15</x:v>
      </x:c>
      <x:c r="C363" s="28" t="str">
        <x:v>PRIMARY</x:v>
      </x:c>
      <x:c r="D363" s="28" t="str">
        <x:f>INDEX('Attempt Tokens'!$E$7:$E$36,MATCH(B363,'Attempt Tokens'!$B$7:$B$36,0))</x:f>
      </x:c>
      <x:c r="E363" s="28" t="n">
        <x:v>21</x:v>
      </x:c>
      <x:c r="F363" s="28" t="str">
        <x:v>EG-21</x:v>
      </x:c>
      <x:c r="G363" s="28" t="str">
        <x:v>event result accepted</x:v>
      </x:c>
      <x:c r="H363" s="28" t="str">
        <x:v>PASS</x:v>
      </x:c>
      <x:c r="I363" s="29" t="str"/>
      <x:c r="J363" s="29" t="str"/>
      <x:c r="K363" s="29" t="str"/>
      <x:c r="L363" s="28" t="str">
        <x:f>IF(AND(C363="RESERVE",D363=""),"DORMANT",IF(K363="","OPEN",IF(AND(I363=H363,J363&lt;&gt;""),"PASS","FAIL")))</x:f>
        <x:v>OPEN</x:v>
      </x:c>
    </x:row>
    <x:row r="364">
      <x:c r="B364" s="28" t="str">
        <x:v>AT-15</x:v>
      </x:c>
      <x:c r="C364" s="28" t="str">
        <x:v>PRIMARY</x:v>
      </x:c>
      <x:c r="D364" s="28" t="str">
        <x:f>INDEX('Attempt Tokens'!$E$7:$E$36,MATCH(B364,'Attempt Tokens'!$B$7:$B$36,0))</x:f>
      </x:c>
      <x:c r="E364" s="28" t="n">
        <x:v>22</x:v>
      </x:c>
      <x:c r="F364" s="28" t="str">
        <x:v>EG-22</x:v>
      </x:c>
      <x:c r="G364" s="28" t="str">
        <x:v>recovery states complete</x:v>
      </x:c>
      <x:c r="H364" s="28" t="str">
        <x:v>PASS</x:v>
      </x:c>
      <x:c r="I364" s="29" t="str"/>
      <x:c r="J364" s="29" t="str"/>
      <x:c r="K364" s="29" t="str"/>
      <x:c r="L364" s="28" t="str">
        <x:f>IF(AND(C364="RESERVE",D364=""),"DORMANT",IF(K364="","OPEN",IF(AND(I364=H364,J364&lt;&gt;""),"PASS","FAIL")))</x:f>
        <x:v>OPEN</x:v>
      </x:c>
    </x:row>
    <x:row r="365">
      <x:c r="B365" s="28" t="str">
        <x:v>AT-15</x:v>
      </x:c>
      <x:c r="C365" s="28" t="str">
        <x:v>PRIMARY</x:v>
      </x:c>
      <x:c r="D365" s="28" t="str">
        <x:f>INDEX('Attempt Tokens'!$E$7:$E$36,MATCH(B365,'Attempt Tokens'!$B$7:$B$36,0))</x:f>
      </x:c>
      <x:c r="E365" s="28" t="n">
        <x:v>23</x:v>
      </x:c>
      <x:c r="F365" s="28" t="str">
        <x:v>EG-23</x:v>
      </x:c>
      <x:c r="G365" s="28" t="str">
        <x:v>regeneration and regression complete</x:v>
      </x:c>
      <x:c r="H365" s="28" t="str">
        <x:v>PASS</x:v>
      </x:c>
      <x:c r="I365" s="29" t="str"/>
      <x:c r="J365" s="29" t="str"/>
      <x:c r="K365" s="29" t="str"/>
      <x:c r="L365" s="28" t="str">
        <x:f>IF(AND(C365="RESERVE",D365=""),"DORMANT",IF(K365="","OPEN",IF(AND(I365=H365,J365&lt;&gt;""),"PASS","FAIL")))</x:f>
        <x:v>OPEN</x:v>
      </x:c>
    </x:row>
    <x:row r="366">
      <x:c r="B366" s="28" t="str">
        <x:v>AT-15</x:v>
      </x:c>
      <x:c r="C366" s="28" t="str">
        <x:v>PRIMARY</x:v>
      </x:c>
      <x:c r="D366" s="28" t="str">
        <x:f>INDEX('Attempt Tokens'!$E$7:$E$36,MATCH(B366,'Attempt Tokens'!$B$7:$B$36,0))</x:f>
      </x:c>
      <x:c r="E366" s="28" t="n">
        <x:v>24</x:v>
      </x:c>
      <x:c r="F366" s="28" t="str">
        <x:v>EG-24</x:v>
      </x:c>
      <x:c r="G366" s="28" t="str">
        <x:v>reentry and packet release complete</x:v>
      </x:c>
      <x:c r="H366" s="28" t="str">
        <x:v>PASS</x:v>
      </x:c>
      <x:c r="I366" s="29" t="str"/>
      <x:c r="J366" s="29" t="str"/>
      <x:c r="K366" s="29" t="str"/>
      <x:c r="L366" s="28" t="str">
        <x:f>IF(AND(C366="RESERVE",D366=""),"DORMANT",IF(K366="","OPEN",IF(AND(I366=H366,J366&lt;&gt;""),"PASS","FAIL")))</x:f>
        <x:v>OPEN</x:v>
      </x:c>
    </x:row>
    <x:row r="367">
      <x:c r="B367" s="28" t="str">
        <x:v>AT-16</x:v>
      </x:c>
      <x:c r="C367" s="28" t="str">
        <x:v>PRIMARY</x:v>
      </x:c>
      <x:c r="D367" s="28" t="str">
        <x:f>INDEX('Attempt Tokens'!$E$7:$E$36,MATCH(B367,'Attempt Tokens'!$B$7:$B$36,0))</x:f>
      </x:c>
      <x:c r="E367" s="28" t="n">
        <x:v>1</x:v>
      </x:c>
      <x:c r="F367" s="28" t="str">
        <x:v>EG-01</x:v>
      </x:c>
      <x:c r="G367" s="28" t="str">
        <x:v>RAX or renewed pair credential current</x:v>
      </x:c>
      <x:c r="H367" s="28" t="str">
        <x:v>PASS</x:v>
      </x:c>
      <x:c r="I367" s="29" t="str"/>
      <x:c r="J367" s="29" t="str"/>
      <x:c r="K367" s="29" t="str"/>
      <x:c r="L367" s="28" t="str">
        <x:f>IF(AND(C367="RESERVE",D367=""),"DORMANT",IF(K367="","OPEN",IF(AND(I367=H367,J367&lt;&gt;""),"PASS","FAIL")))</x:f>
        <x:v>OPEN</x:v>
      </x:c>
    </x:row>
    <x:row r="368">
      <x:c r="B368" s="28" t="str">
        <x:v>AT-16</x:v>
      </x:c>
      <x:c r="C368" s="28" t="str">
        <x:v>PRIMARY</x:v>
      </x:c>
      <x:c r="D368" s="28" t="str">
        <x:f>INDEX('Attempt Tokens'!$E$7:$E$36,MATCH(B368,'Attempt Tokens'!$B$7:$B$36,0))</x:f>
      </x:c>
      <x:c r="E368" s="28" t="n">
        <x:v>2</x:v>
      </x:c>
      <x:c r="F368" s="28" t="str">
        <x:v>EG-02</x:v>
      </x:c>
      <x:c r="G368" s="28" t="str">
        <x:v>candidate cell eligible</x:v>
      </x:c>
      <x:c r="H368" s="28" t="str">
        <x:v>PASS</x:v>
      </x:c>
      <x:c r="I368" s="29" t="str"/>
      <x:c r="J368" s="29" t="str"/>
      <x:c r="K368" s="29" t="str"/>
      <x:c r="L368" s="28" t="str">
        <x:f>IF(AND(C368="RESERVE",D368=""),"DORMANT",IF(K368="","OPEN",IF(AND(I368=H368,J368&lt;&gt;""),"PASS","FAIL")))</x:f>
        <x:v>OPEN</x:v>
      </x:c>
    </x:row>
    <x:row r="369">
      <x:c r="B369" s="28" t="str">
        <x:v>AT-16</x:v>
      </x:c>
      <x:c r="C369" s="28" t="str">
        <x:v>PRIMARY</x:v>
      </x:c>
      <x:c r="D369" s="28" t="str">
        <x:f>INDEX('Attempt Tokens'!$E$7:$E$36,MATCH(B369,'Attempt Tokens'!$B$7:$B$36,0))</x:f>
      </x:c>
      <x:c r="E369" s="28" t="n">
        <x:v>3</x:v>
      </x:c>
      <x:c r="F369" s="28" t="str">
        <x:v>EG-03</x:v>
      </x:c>
      <x:c r="G369" s="28" t="str">
        <x:v>draw and schedule binding complete</x:v>
      </x:c>
      <x:c r="H369" s="28" t="str">
        <x:v>PASS</x:v>
      </x:c>
      <x:c r="I369" s="29" t="str"/>
      <x:c r="J369" s="29" t="str"/>
      <x:c r="K369" s="29" t="str"/>
      <x:c r="L369" s="28" t="str">
        <x:f>IF(AND(C369="RESERVE",D369=""),"DORMANT",IF(K369="","OPEN",IF(AND(I369=H369,J369&lt;&gt;""),"PASS","FAIL")))</x:f>
        <x:v>OPEN</x:v>
      </x:c>
    </x:row>
    <x:row r="370">
      <x:c r="B370" s="28" t="str">
        <x:v>AT-16</x:v>
      </x:c>
      <x:c r="C370" s="28" t="str">
        <x:v>PRIMARY</x:v>
      </x:c>
      <x:c r="D370" s="28" t="str">
        <x:f>INDEX('Attempt Tokens'!$E$7:$E$36,MATCH(B370,'Attempt Tokens'!$B$7:$B$36,0))</x:f>
      </x:c>
      <x:c r="E370" s="28" t="n">
        <x:v>4</x:v>
      </x:c>
      <x:c r="F370" s="28" t="str">
        <x:v>EG-04</x:v>
      </x:c>
      <x:c r="G370" s="28" t="str">
        <x:v>event issue accepted</x:v>
      </x:c>
      <x:c r="H370" s="28" t="str">
        <x:v>PASS</x:v>
      </x:c>
      <x:c r="I370" s="29" t="str"/>
      <x:c r="J370" s="29" t="str"/>
      <x:c r="K370" s="29" t="str"/>
      <x:c r="L370" s="28" t="str">
        <x:f>IF(AND(C370="RESERVE",D370=""),"DORMANT",IF(K370="","OPEN",IF(AND(I370=H370,J370&lt;&gt;""),"PASS","FAIL")))</x:f>
        <x:v>OPEN</x:v>
      </x:c>
    </x:row>
    <x:row r="371">
      <x:c r="B371" s="28" t="str">
        <x:v>AT-16</x:v>
      </x:c>
      <x:c r="C371" s="28" t="str">
        <x:v>PRIMARY</x:v>
      </x:c>
      <x:c r="D371" s="28" t="str">
        <x:f>INDEX('Attempt Tokens'!$E$7:$E$36,MATCH(B371,'Attempt Tokens'!$B$7:$B$36,0))</x:f>
      </x:c>
      <x:c r="E371" s="28" t="n">
        <x:v>5</x:v>
      </x:c>
      <x:c r="F371" s="28" t="str">
        <x:v>EG-05</x:v>
      </x:c>
      <x:c r="G371" s="28" t="str">
        <x:v>dossier bindings complete</x:v>
      </x:c>
      <x:c r="H371" s="28" t="str">
        <x:v>PASS</x:v>
      </x:c>
      <x:c r="I371" s="29" t="str"/>
      <x:c r="J371" s="29" t="str"/>
      <x:c r="K371" s="29" t="str"/>
      <x:c r="L371" s="28" t="str">
        <x:f>IF(AND(C371="RESERVE",D371=""),"DORMANT",IF(K371="","OPEN",IF(AND(I371=H371,J371&lt;&gt;""),"PASS","FAIL")))</x:f>
        <x:v>OPEN</x:v>
      </x:c>
    </x:row>
    <x:row r="372">
      <x:c r="B372" s="28" t="str">
        <x:v>AT-16</x:v>
      </x:c>
      <x:c r="C372" s="28" t="str">
        <x:v>PRIMARY</x:v>
      </x:c>
      <x:c r="D372" s="28" t="str">
        <x:f>INDEX('Attempt Tokens'!$E$7:$E$36,MATCH(B372,'Attempt Tokens'!$B$7:$B$36,0))</x:f>
      </x:c>
      <x:c r="E372" s="28" t="n">
        <x:v>6</x:v>
      </x:c>
      <x:c r="F372" s="28" t="str">
        <x:v>EG-06</x:v>
      </x:c>
      <x:c r="G372" s="28" t="str">
        <x:v>event crew complete</x:v>
      </x:c>
      <x:c r="H372" s="28" t="str">
        <x:v>PASS</x:v>
      </x:c>
      <x:c r="I372" s="29" t="str"/>
      <x:c r="J372" s="29" t="str"/>
      <x:c r="K372" s="29" t="str"/>
      <x:c r="L372" s="28" t="str">
        <x:f>IF(AND(C372="RESERVE",D372=""),"DORMANT",IF(K372="","OPEN",IF(AND(I372=H372,J372&lt;&gt;""),"PASS","FAIL")))</x:f>
        <x:v>OPEN</x:v>
      </x:c>
    </x:row>
    <x:row r="373">
      <x:c r="B373" s="28" t="str">
        <x:v>AT-16</x:v>
      </x:c>
      <x:c r="C373" s="28" t="str">
        <x:v>PRIMARY</x:v>
      </x:c>
      <x:c r="D373" s="28" t="str">
        <x:f>INDEX('Attempt Tokens'!$E$7:$E$36,MATCH(B373,'Attempt Tokens'!$B$7:$B$36,0))</x:f>
      </x:c>
      <x:c r="E373" s="28" t="n">
        <x:v>7</x:v>
      </x:c>
      <x:c r="F373" s="28" t="str">
        <x:v>EG-07</x:v>
      </x:c>
      <x:c r="G373" s="28" t="str">
        <x:v>configuration freeze complete</x:v>
      </x:c>
      <x:c r="H373" s="28" t="str">
        <x:v>PASS</x:v>
      </x:c>
      <x:c r="I373" s="29" t="str"/>
      <x:c r="J373" s="29" t="str"/>
      <x:c r="K373" s="29" t="str"/>
      <x:c r="L373" s="28" t="str">
        <x:f>IF(AND(C373="RESERVE",D373=""),"DORMANT",IF(K373="","OPEN",IF(AND(I373=H373,J373&lt;&gt;""),"PASS","FAIL")))</x:f>
        <x:v>OPEN</x:v>
      </x:c>
    </x:row>
    <x:row r="374">
      <x:c r="B374" s="28" t="str">
        <x:v>AT-16</x:v>
      </x:c>
      <x:c r="C374" s="28" t="str">
        <x:v>PRIMARY</x:v>
      </x:c>
      <x:c r="D374" s="28" t="str">
        <x:f>INDEX('Attempt Tokens'!$E$7:$E$36,MATCH(B374,'Attempt Tokens'!$B$7:$B$36,0))</x:f>
      </x:c>
      <x:c r="E374" s="28" t="n">
        <x:v>8</x:v>
      </x:c>
      <x:c r="F374" s="28" t="str">
        <x:v>EG-08</x:v>
      </x:c>
      <x:c r="G374" s="28" t="str">
        <x:v>zero-source checks complete</x:v>
      </x:c>
      <x:c r="H374" s="28" t="str">
        <x:v>PASS</x:v>
      </x:c>
      <x:c r="I374" s="29" t="str"/>
      <x:c r="J374" s="29" t="str"/>
      <x:c r="K374" s="29" t="str"/>
      <x:c r="L374" s="28" t="str">
        <x:f>IF(AND(C374="RESERVE",D374=""),"DORMANT",IF(K374="","OPEN",IF(AND(I374=H374,J374&lt;&gt;""),"PASS","FAIL")))</x:f>
        <x:v>OPEN</x:v>
      </x:c>
    </x:row>
    <x:row r="375">
      <x:c r="B375" s="28" t="str">
        <x:v>AT-16</x:v>
      </x:c>
      <x:c r="C375" s="28" t="str">
        <x:v>PRIMARY</x:v>
      </x:c>
      <x:c r="D375" s="28" t="str">
        <x:f>INDEX('Attempt Tokens'!$E$7:$E$36,MATCH(B375,'Attempt Tokens'!$B$7:$B$36,0))</x:f>
      </x:c>
      <x:c r="E375" s="28" t="n">
        <x:v>9</x:v>
      </x:c>
      <x:c r="F375" s="28" t="str">
        <x:v>EG-09</x:v>
      </x:c>
      <x:c r="G375" s="28" t="str">
        <x:v>zero-water checks complete</x:v>
      </x:c>
      <x:c r="H375" s="28" t="str">
        <x:v>PASS</x:v>
      </x:c>
      <x:c r="I375" s="29" t="str"/>
      <x:c r="J375" s="29" t="str"/>
      <x:c r="K375" s="29" t="str"/>
      <x:c r="L375" s="28" t="str">
        <x:f>IF(AND(C375="RESERVE",D375=""),"DORMANT",IF(K375="","OPEN",IF(AND(I375=H375,J375&lt;&gt;""),"PASS","FAIL")))</x:f>
        <x:v>OPEN</x:v>
      </x:c>
    </x:row>
    <x:row r="376">
      <x:c r="B376" s="28" t="str">
        <x:v>AT-16</x:v>
      </x:c>
      <x:c r="C376" s="28" t="str">
        <x:v>PRIMARY</x:v>
      </x:c>
      <x:c r="D376" s="28" t="str">
        <x:f>INDEX('Attempt Tokens'!$E$7:$E$36,MATCH(B376,'Attempt Tokens'!$B$7:$B$36,0))</x:f>
      </x:c>
      <x:c r="E376" s="28" t="n">
        <x:v>10</x:v>
      </x:c>
      <x:c r="F376" s="28" t="str">
        <x:v>EG-10</x:v>
      </x:c>
      <x:c r="G376" s="28" t="str">
        <x:v>uncertainty decisions complete</x:v>
      </x:c>
      <x:c r="H376" s="28" t="str">
        <x:v>PASS</x:v>
      </x:c>
      <x:c r="I376" s="29" t="str"/>
      <x:c r="J376" s="29" t="str"/>
      <x:c r="K376" s="29" t="str"/>
      <x:c r="L376" s="28" t="str">
        <x:f>IF(AND(C376="RESERVE",D376=""),"DORMANT",IF(K376="","OPEN",IF(AND(I376=H376,J376&lt;&gt;""),"PASS","FAIL")))</x:f>
        <x:v>OPEN</x:v>
      </x:c>
    </x:row>
    <x:row r="377">
      <x:c r="B377" s="28" t="str">
        <x:v>AT-16</x:v>
      </x:c>
      <x:c r="C377" s="28" t="str">
        <x:v>PRIMARY</x:v>
      </x:c>
      <x:c r="D377" s="28" t="str">
        <x:f>INDEX('Attempt Tokens'!$E$7:$E$36,MATCH(B377,'Attempt Tokens'!$B$7:$B$36,0))</x:f>
      </x:c>
      <x:c r="E377" s="28" t="n">
        <x:v>11</x:v>
      </x:c>
      <x:c r="F377" s="28" t="str">
        <x:v>EG-11</x:v>
      </x:c>
      <x:c r="G377" s="28" t="str">
        <x:v>measurement windows complete</x:v>
      </x:c>
      <x:c r="H377" s="28" t="str">
        <x:v>PASS</x:v>
      </x:c>
      <x:c r="I377" s="29" t="str"/>
      <x:c r="J377" s="29" t="str"/>
      <x:c r="K377" s="29" t="str"/>
      <x:c r="L377" s="28" t="str">
        <x:f>IF(AND(C377="RESERVE",D377=""),"DORMANT",IF(K377="","OPEN",IF(AND(I377=H377,J377&lt;&gt;""),"PASS","FAIL")))</x:f>
        <x:v>OPEN</x:v>
      </x:c>
    </x:row>
    <x:row r="378">
      <x:c r="B378" s="28" t="str">
        <x:v>AT-16</x:v>
      </x:c>
      <x:c r="C378" s="28" t="str">
        <x:v>PRIMARY</x:v>
      </x:c>
      <x:c r="D378" s="28" t="str">
        <x:f>INDEX('Attempt Tokens'!$E$7:$E$36,MATCH(B378,'Attempt Tokens'!$B$7:$B$36,0))</x:f>
      </x:c>
      <x:c r="E378" s="28" t="n">
        <x:v>12</x:v>
      </x:c>
      <x:c r="F378" s="28" t="str">
        <x:v>EG-12</x:v>
      </x:c>
      <x:c r="G378" s="28" t="str">
        <x:v>neighbor proofs complete</x:v>
      </x:c>
      <x:c r="H378" s="28" t="str">
        <x:v>PASS</x:v>
      </x:c>
      <x:c r="I378" s="29" t="str"/>
      <x:c r="J378" s="29" t="str"/>
      <x:c r="K378" s="29" t="str"/>
      <x:c r="L378" s="28" t="str">
        <x:f>IF(AND(C378="RESERVE",D378=""),"DORMANT",IF(K378="","OPEN",IF(AND(I378=H378,J378&lt;&gt;""),"PASS","FAIL")))</x:f>
        <x:v>OPEN</x:v>
      </x:c>
    </x:row>
    <x:row r="379">
      <x:c r="B379" s="28" t="str">
        <x:v>AT-16</x:v>
      </x:c>
      <x:c r="C379" s="28" t="str">
        <x:v>PRIMARY</x:v>
      </x:c>
      <x:c r="D379" s="28" t="str">
        <x:f>INDEX('Attempt Tokens'!$E$7:$E$36,MATCH(B379,'Attempt Tokens'!$B$7:$B$36,0))</x:f>
      </x:c>
      <x:c r="E379" s="28" t="n">
        <x:v>13</x:v>
      </x:c>
      <x:c r="F379" s="28" t="str">
        <x:v>EG-13</x:v>
      </x:c>
      <x:c r="G379" s="28" t="str">
        <x:v>safeing polls complete</x:v>
      </x:c>
      <x:c r="H379" s="28" t="str">
        <x:v>PASS</x:v>
      </x:c>
      <x:c r="I379" s="29" t="str"/>
      <x:c r="J379" s="29" t="str"/>
      <x:c r="K379" s="29" t="str"/>
      <x:c r="L379" s="28" t="str">
        <x:f>IF(AND(C379="RESERVE",D379=""),"DORMANT",IF(K379="","OPEN",IF(AND(I379=H379,J379&lt;&gt;""),"PASS","FAIL")))</x:f>
        <x:v>OPEN</x:v>
      </x:c>
    </x:row>
    <x:row r="380">
      <x:c r="B380" s="28" t="str">
        <x:v>AT-16</x:v>
      </x:c>
      <x:c r="C380" s="28" t="str">
        <x:v>PRIMARY</x:v>
      </x:c>
      <x:c r="D380" s="28" t="str">
        <x:f>INDEX('Attempt Tokens'!$E$7:$E$36,MATCH(B380,'Attempt Tokens'!$B$7:$B$36,0))</x:f>
      </x:c>
      <x:c r="E380" s="28" t="n">
        <x:v>14</x:v>
      </x:c>
      <x:c r="F380" s="28" t="str">
        <x:v>EG-14</x:v>
      </x:c>
      <x:c r="G380" s="28" t="str">
        <x:v>command transactions complete</x:v>
      </x:c>
      <x:c r="H380" s="28" t="str">
        <x:v>PASS</x:v>
      </x:c>
      <x:c r="I380" s="29" t="str"/>
      <x:c r="J380" s="29" t="str"/>
      <x:c r="K380" s="29" t="str"/>
      <x:c r="L380" s="28" t="str">
        <x:f>IF(AND(C380="RESERVE",D380=""),"DORMANT",IF(K380="","OPEN",IF(AND(I380=H380,J380&lt;&gt;""),"PASS","FAIL")))</x:f>
        <x:v>OPEN</x:v>
      </x:c>
    </x:row>
    <x:row r="381">
      <x:c r="B381" s="28" t="str">
        <x:v>AT-16</x:v>
      </x:c>
      <x:c r="C381" s="28" t="str">
        <x:v>PRIMARY</x:v>
      </x:c>
      <x:c r="D381" s="28" t="str">
        <x:f>INDEX('Attempt Tokens'!$E$7:$E$36,MATCH(B381,'Attempt Tokens'!$B$7:$B$36,0))</x:f>
      </x:c>
      <x:c r="E381" s="28" t="n">
        <x:v>15</x:v>
      </x:c>
      <x:c r="F381" s="28" t="str">
        <x:v>EG-15</x:v>
      </x:c>
      <x:c r="G381" s="28" t="str">
        <x:v>phase clock complete</x:v>
      </x:c>
      <x:c r="H381" s="28" t="str">
        <x:v>PASS</x:v>
      </x:c>
      <x:c r="I381" s="29" t="str"/>
      <x:c r="J381" s="29" t="str"/>
      <x:c r="K381" s="29" t="str"/>
      <x:c r="L381" s="28" t="str">
        <x:f>IF(AND(C381="RESERVE",D381=""),"DORMANT",IF(K381="","OPEN",IF(AND(I381=H381,J381&lt;&gt;""),"PASS","FAIL")))</x:f>
        <x:v>OPEN</x:v>
      </x:c>
    </x:row>
    <x:row r="382">
      <x:c r="B382" s="28" t="str">
        <x:v>AT-16</x:v>
      </x:c>
      <x:c r="C382" s="28" t="str">
        <x:v>PRIMARY</x:v>
      </x:c>
      <x:c r="D382" s="28" t="str">
        <x:f>INDEX('Attempt Tokens'!$E$7:$E$36,MATCH(B382,'Attempt Tokens'!$B$7:$B$36,0))</x:f>
      </x:c>
      <x:c r="E382" s="28" t="n">
        <x:v>16</x:v>
      </x:c>
      <x:c r="F382" s="28" t="str">
        <x:v>EG-16</x:v>
      </x:c>
      <x:c r="G382" s="28" t="str">
        <x:v>holds complete</x:v>
      </x:c>
      <x:c r="H382" s="28" t="str">
        <x:v>PASS</x:v>
      </x:c>
      <x:c r="I382" s="29" t="str"/>
      <x:c r="J382" s="29" t="str"/>
      <x:c r="K382" s="29" t="str"/>
      <x:c r="L382" s="28" t="str">
        <x:f>IF(AND(C382="RESERVE",D382=""),"DORMANT",IF(K382="","OPEN",IF(AND(I382=H382,J382&lt;&gt;""),"PASS","FAIL")))</x:f>
        <x:v>OPEN</x:v>
      </x:c>
    </x:row>
    <x:row r="383">
      <x:c r="B383" s="28" t="str">
        <x:v>AT-16</x:v>
      </x:c>
      <x:c r="C383" s="28" t="str">
        <x:v>PRIMARY</x:v>
      </x:c>
      <x:c r="D383" s="28" t="str">
        <x:f>INDEX('Attempt Tokens'!$E$7:$E$36,MATCH(B383,'Attempt Tokens'!$B$7:$B$36,0))</x:f>
      </x:c>
      <x:c r="E383" s="28" t="n">
        <x:v>17</x:v>
      </x:c>
      <x:c r="F383" s="28" t="str">
        <x:v>EG-17</x:v>
      </x:c>
      <x:c r="G383" s="28" t="str">
        <x:v>evidence obligations complete</x:v>
      </x:c>
      <x:c r="H383" s="28" t="str">
        <x:v>PASS</x:v>
      </x:c>
      <x:c r="I383" s="29" t="str"/>
      <x:c r="J383" s="29" t="str"/>
      <x:c r="K383" s="29" t="str"/>
      <x:c r="L383" s="28" t="str">
        <x:f>IF(AND(C383="RESERVE",D383=""),"DORMANT",IF(K383="","OPEN",IF(AND(I383=H383,J383&lt;&gt;""),"PASS","FAIL")))</x:f>
        <x:v>OPEN</x:v>
      </x:c>
    </x:row>
    <x:row r="384">
      <x:c r="B384" s="28" t="str">
        <x:v>AT-16</x:v>
      </x:c>
      <x:c r="C384" s="28" t="str">
        <x:v>PRIMARY</x:v>
      </x:c>
      <x:c r="D384" s="28" t="str">
        <x:f>INDEX('Attempt Tokens'!$E$7:$E$36,MATCH(B384,'Attempt Tokens'!$B$7:$B$36,0))</x:f>
      </x:c>
      <x:c r="E384" s="28" t="n">
        <x:v>18</x:v>
      </x:c>
      <x:c r="F384" s="28" t="str">
        <x:v>EG-18</x:v>
      </x:c>
      <x:c r="G384" s="28" t="str">
        <x:v>blank samples complete</x:v>
      </x:c>
      <x:c r="H384" s="28" t="str">
        <x:v>PASS</x:v>
      </x:c>
      <x:c r="I384" s="29" t="str"/>
      <x:c r="J384" s="29" t="str"/>
      <x:c r="K384" s="29" t="str"/>
      <x:c r="L384" s="28" t="str">
        <x:f>IF(AND(C384="RESERVE",D384=""),"DORMANT",IF(K384="","OPEN",IF(AND(I384=H384,J384&lt;&gt;""),"PASS","FAIL")))</x:f>
        <x:v>OPEN</x:v>
      </x:c>
    </x:row>
    <x:row r="385">
      <x:c r="B385" s="28" t="str">
        <x:v>AT-16</x:v>
      </x:c>
      <x:c r="C385" s="28" t="str">
        <x:v>PRIMARY</x:v>
      </x:c>
      <x:c r="D385" s="28" t="str">
        <x:f>INDEX('Attempt Tokens'!$E$7:$E$36,MATCH(B385,'Attempt Tokens'!$B$7:$B$36,0))</x:f>
      </x:c>
      <x:c r="E385" s="28" t="n">
        <x:v>19</x:v>
      </x:c>
      <x:c r="F385" s="28" t="str">
        <x:v>EG-19</x:v>
      </x:c>
      <x:c r="G385" s="28" t="str">
        <x:v>abort channels classified</x:v>
      </x:c>
      <x:c r="H385" s="28" t="str">
        <x:v>PASS</x:v>
      </x:c>
      <x:c r="I385" s="29" t="str"/>
      <x:c r="J385" s="29" t="str"/>
      <x:c r="K385" s="29" t="str"/>
      <x:c r="L385" s="28" t="str">
        <x:f>IF(AND(C385="RESERVE",D385=""),"DORMANT",IF(K385="","OPEN",IF(AND(I385=H385,J385&lt;&gt;""),"PASS","FAIL")))</x:f>
        <x:v>OPEN</x:v>
      </x:c>
    </x:row>
    <x:row r="386">
      <x:c r="B386" s="28" t="str">
        <x:v>AT-16</x:v>
      </x:c>
      <x:c r="C386" s="28" t="str">
        <x:v>PRIMARY</x:v>
      </x:c>
      <x:c r="D386" s="28" t="str">
        <x:f>INDEX('Attempt Tokens'!$E$7:$E$36,MATCH(B386,'Attempt Tokens'!$B$7:$B$36,0))</x:f>
      </x:c>
      <x:c r="E386" s="28" t="n">
        <x:v>20</x:v>
      </x:c>
      <x:c r="F386" s="28" t="str">
        <x:v>EG-20</x:v>
      </x:c>
      <x:c r="G386" s="28" t="str">
        <x:v>interventions classified</x:v>
      </x:c>
      <x:c r="H386" s="28" t="str">
        <x:v>PASS</x:v>
      </x:c>
      <x:c r="I386" s="29" t="str"/>
      <x:c r="J386" s="29" t="str"/>
      <x:c r="K386" s="29" t="str"/>
      <x:c r="L386" s="28" t="str">
        <x:f>IF(AND(C386="RESERVE",D386=""),"DORMANT",IF(K386="","OPEN",IF(AND(I386=H386,J386&lt;&gt;""),"PASS","FAIL")))</x:f>
        <x:v>OPEN</x:v>
      </x:c>
    </x:row>
    <x:row r="387">
      <x:c r="B387" s="28" t="str">
        <x:v>AT-16</x:v>
      </x:c>
      <x:c r="C387" s="28" t="str">
        <x:v>PRIMARY</x:v>
      </x:c>
      <x:c r="D387" s="28" t="str">
        <x:f>INDEX('Attempt Tokens'!$E$7:$E$36,MATCH(B387,'Attempt Tokens'!$B$7:$B$36,0))</x:f>
      </x:c>
      <x:c r="E387" s="28" t="n">
        <x:v>21</x:v>
      </x:c>
      <x:c r="F387" s="28" t="str">
        <x:v>EG-21</x:v>
      </x:c>
      <x:c r="G387" s="28" t="str">
        <x:v>event result accepted</x:v>
      </x:c>
      <x:c r="H387" s="28" t="str">
        <x:v>PASS</x:v>
      </x:c>
      <x:c r="I387" s="29" t="str"/>
      <x:c r="J387" s="29" t="str"/>
      <x:c r="K387" s="29" t="str"/>
      <x:c r="L387" s="28" t="str">
        <x:f>IF(AND(C387="RESERVE",D387=""),"DORMANT",IF(K387="","OPEN",IF(AND(I387=H387,J387&lt;&gt;""),"PASS","FAIL")))</x:f>
        <x:v>OPEN</x:v>
      </x:c>
    </x:row>
    <x:row r="388">
      <x:c r="B388" s="28" t="str">
        <x:v>AT-16</x:v>
      </x:c>
      <x:c r="C388" s="28" t="str">
        <x:v>PRIMARY</x:v>
      </x:c>
      <x:c r="D388" s="28" t="str">
        <x:f>INDEX('Attempt Tokens'!$E$7:$E$36,MATCH(B388,'Attempt Tokens'!$B$7:$B$36,0))</x:f>
      </x:c>
      <x:c r="E388" s="28" t="n">
        <x:v>22</x:v>
      </x:c>
      <x:c r="F388" s="28" t="str">
        <x:v>EG-22</x:v>
      </x:c>
      <x:c r="G388" s="28" t="str">
        <x:v>recovery states complete</x:v>
      </x:c>
      <x:c r="H388" s="28" t="str">
        <x:v>PASS</x:v>
      </x:c>
      <x:c r="I388" s="29" t="str"/>
      <x:c r="J388" s="29" t="str"/>
      <x:c r="K388" s="29" t="str"/>
      <x:c r="L388" s="28" t="str">
        <x:f>IF(AND(C388="RESERVE",D388=""),"DORMANT",IF(K388="","OPEN",IF(AND(I388=H388,J388&lt;&gt;""),"PASS","FAIL")))</x:f>
        <x:v>OPEN</x:v>
      </x:c>
    </x:row>
    <x:row r="389">
      <x:c r="B389" s="28" t="str">
        <x:v>AT-16</x:v>
      </x:c>
      <x:c r="C389" s="28" t="str">
        <x:v>PRIMARY</x:v>
      </x:c>
      <x:c r="D389" s="28" t="str">
        <x:f>INDEX('Attempt Tokens'!$E$7:$E$36,MATCH(B389,'Attempt Tokens'!$B$7:$B$36,0))</x:f>
      </x:c>
      <x:c r="E389" s="28" t="n">
        <x:v>23</x:v>
      </x:c>
      <x:c r="F389" s="28" t="str">
        <x:v>EG-23</x:v>
      </x:c>
      <x:c r="G389" s="28" t="str">
        <x:v>regeneration and regression complete</x:v>
      </x:c>
      <x:c r="H389" s="28" t="str">
        <x:v>PASS</x:v>
      </x:c>
      <x:c r="I389" s="29" t="str"/>
      <x:c r="J389" s="29" t="str"/>
      <x:c r="K389" s="29" t="str"/>
      <x:c r="L389" s="28" t="str">
        <x:f>IF(AND(C389="RESERVE",D389=""),"DORMANT",IF(K389="","OPEN",IF(AND(I389=H389,J389&lt;&gt;""),"PASS","FAIL")))</x:f>
        <x:v>OPEN</x:v>
      </x:c>
    </x:row>
    <x:row r="390">
      <x:c r="B390" s="28" t="str">
        <x:v>AT-16</x:v>
      </x:c>
      <x:c r="C390" s="28" t="str">
        <x:v>PRIMARY</x:v>
      </x:c>
      <x:c r="D390" s="28" t="str">
        <x:f>INDEX('Attempt Tokens'!$E$7:$E$36,MATCH(B390,'Attempt Tokens'!$B$7:$B$36,0))</x:f>
      </x:c>
      <x:c r="E390" s="28" t="n">
        <x:v>24</x:v>
      </x:c>
      <x:c r="F390" s="28" t="str">
        <x:v>EG-24</x:v>
      </x:c>
      <x:c r="G390" s="28" t="str">
        <x:v>reentry and packet release complete</x:v>
      </x:c>
      <x:c r="H390" s="28" t="str">
        <x:v>PASS</x:v>
      </x:c>
      <x:c r="I390" s="29" t="str"/>
      <x:c r="J390" s="29" t="str"/>
      <x:c r="K390" s="29" t="str"/>
      <x:c r="L390" s="28" t="str">
        <x:f>IF(AND(C390="RESERVE",D390=""),"DORMANT",IF(K390="","OPEN",IF(AND(I390=H390,J390&lt;&gt;""),"PASS","FAIL")))</x:f>
        <x:v>OPEN</x:v>
      </x:c>
    </x:row>
    <x:row r="391">
      <x:c r="B391" s="28" t="str">
        <x:v>AT-17</x:v>
      </x:c>
      <x:c r="C391" s="28" t="str">
        <x:v>PRIMARY</x:v>
      </x:c>
      <x:c r="D391" s="28" t="str">
        <x:f>INDEX('Attempt Tokens'!$E$7:$E$36,MATCH(B391,'Attempt Tokens'!$B$7:$B$36,0))</x:f>
      </x:c>
      <x:c r="E391" s="28" t="n">
        <x:v>1</x:v>
      </x:c>
      <x:c r="F391" s="28" t="str">
        <x:v>EG-01</x:v>
      </x:c>
      <x:c r="G391" s="28" t="str">
        <x:v>RAX or renewed pair credential current</x:v>
      </x:c>
      <x:c r="H391" s="28" t="str">
        <x:v>PASS</x:v>
      </x:c>
      <x:c r="I391" s="29" t="str"/>
      <x:c r="J391" s="29" t="str"/>
      <x:c r="K391" s="29" t="str"/>
      <x:c r="L391" s="28" t="str">
        <x:f>IF(AND(C391="RESERVE",D391=""),"DORMANT",IF(K391="","OPEN",IF(AND(I391=H391,J391&lt;&gt;""),"PASS","FAIL")))</x:f>
        <x:v>OPEN</x:v>
      </x:c>
    </x:row>
    <x:row r="392">
      <x:c r="B392" s="28" t="str">
        <x:v>AT-17</x:v>
      </x:c>
      <x:c r="C392" s="28" t="str">
        <x:v>PRIMARY</x:v>
      </x:c>
      <x:c r="D392" s="28" t="str">
        <x:f>INDEX('Attempt Tokens'!$E$7:$E$36,MATCH(B392,'Attempt Tokens'!$B$7:$B$36,0))</x:f>
      </x:c>
      <x:c r="E392" s="28" t="n">
        <x:v>2</x:v>
      </x:c>
      <x:c r="F392" s="28" t="str">
        <x:v>EG-02</x:v>
      </x:c>
      <x:c r="G392" s="28" t="str">
        <x:v>candidate cell eligible</x:v>
      </x:c>
      <x:c r="H392" s="28" t="str">
        <x:v>PASS</x:v>
      </x:c>
      <x:c r="I392" s="29" t="str"/>
      <x:c r="J392" s="29" t="str"/>
      <x:c r="K392" s="29" t="str"/>
      <x:c r="L392" s="28" t="str">
        <x:f>IF(AND(C392="RESERVE",D392=""),"DORMANT",IF(K392="","OPEN",IF(AND(I392=H392,J392&lt;&gt;""),"PASS","FAIL")))</x:f>
        <x:v>OPEN</x:v>
      </x:c>
    </x:row>
    <x:row r="393">
      <x:c r="B393" s="28" t="str">
        <x:v>AT-17</x:v>
      </x:c>
      <x:c r="C393" s="28" t="str">
        <x:v>PRIMARY</x:v>
      </x:c>
      <x:c r="D393" s="28" t="str">
        <x:f>INDEX('Attempt Tokens'!$E$7:$E$36,MATCH(B393,'Attempt Tokens'!$B$7:$B$36,0))</x:f>
      </x:c>
      <x:c r="E393" s="28" t="n">
        <x:v>3</x:v>
      </x:c>
      <x:c r="F393" s="28" t="str">
        <x:v>EG-03</x:v>
      </x:c>
      <x:c r="G393" s="28" t="str">
        <x:v>draw and schedule binding complete</x:v>
      </x:c>
      <x:c r="H393" s="28" t="str">
        <x:v>PASS</x:v>
      </x:c>
      <x:c r="I393" s="29" t="str"/>
      <x:c r="J393" s="29" t="str"/>
      <x:c r="K393" s="29" t="str"/>
      <x:c r="L393" s="28" t="str">
        <x:f>IF(AND(C393="RESERVE",D393=""),"DORMANT",IF(K393="","OPEN",IF(AND(I393=H393,J393&lt;&gt;""),"PASS","FAIL")))</x:f>
        <x:v>OPEN</x:v>
      </x:c>
    </x:row>
    <x:row r="394">
      <x:c r="B394" s="28" t="str">
        <x:v>AT-17</x:v>
      </x:c>
      <x:c r="C394" s="28" t="str">
        <x:v>PRIMARY</x:v>
      </x:c>
      <x:c r="D394" s="28" t="str">
        <x:f>INDEX('Attempt Tokens'!$E$7:$E$36,MATCH(B394,'Attempt Tokens'!$B$7:$B$36,0))</x:f>
      </x:c>
      <x:c r="E394" s="28" t="n">
        <x:v>4</x:v>
      </x:c>
      <x:c r="F394" s="28" t="str">
        <x:v>EG-04</x:v>
      </x:c>
      <x:c r="G394" s="28" t="str">
        <x:v>event issue accepted</x:v>
      </x:c>
      <x:c r="H394" s="28" t="str">
        <x:v>PASS</x:v>
      </x:c>
      <x:c r="I394" s="29" t="str"/>
      <x:c r="J394" s="29" t="str"/>
      <x:c r="K394" s="29" t="str"/>
      <x:c r="L394" s="28" t="str">
        <x:f>IF(AND(C394="RESERVE",D394=""),"DORMANT",IF(K394="","OPEN",IF(AND(I394=H394,J394&lt;&gt;""),"PASS","FAIL")))</x:f>
        <x:v>OPEN</x:v>
      </x:c>
    </x:row>
    <x:row r="395">
      <x:c r="B395" s="28" t="str">
        <x:v>AT-17</x:v>
      </x:c>
      <x:c r="C395" s="28" t="str">
        <x:v>PRIMARY</x:v>
      </x:c>
      <x:c r="D395" s="28" t="str">
        <x:f>INDEX('Attempt Tokens'!$E$7:$E$36,MATCH(B395,'Attempt Tokens'!$B$7:$B$36,0))</x:f>
      </x:c>
      <x:c r="E395" s="28" t="n">
        <x:v>5</x:v>
      </x:c>
      <x:c r="F395" s="28" t="str">
        <x:v>EG-05</x:v>
      </x:c>
      <x:c r="G395" s="28" t="str">
        <x:v>dossier bindings complete</x:v>
      </x:c>
      <x:c r="H395" s="28" t="str">
        <x:v>PASS</x:v>
      </x:c>
      <x:c r="I395" s="29" t="str"/>
      <x:c r="J395" s="29" t="str"/>
      <x:c r="K395" s="29" t="str"/>
      <x:c r="L395" s="28" t="str">
        <x:f>IF(AND(C395="RESERVE",D395=""),"DORMANT",IF(K395="","OPEN",IF(AND(I395=H395,J395&lt;&gt;""),"PASS","FAIL")))</x:f>
        <x:v>OPEN</x:v>
      </x:c>
    </x:row>
    <x:row r="396">
      <x:c r="B396" s="28" t="str">
        <x:v>AT-17</x:v>
      </x:c>
      <x:c r="C396" s="28" t="str">
        <x:v>PRIMARY</x:v>
      </x:c>
      <x:c r="D396" s="28" t="str">
        <x:f>INDEX('Attempt Tokens'!$E$7:$E$36,MATCH(B396,'Attempt Tokens'!$B$7:$B$36,0))</x:f>
      </x:c>
      <x:c r="E396" s="28" t="n">
        <x:v>6</x:v>
      </x:c>
      <x:c r="F396" s="28" t="str">
        <x:v>EG-06</x:v>
      </x:c>
      <x:c r="G396" s="28" t="str">
        <x:v>event crew complete</x:v>
      </x:c>
      <x:c r="H396" s="28" t="str">
        <x:v>PASS</x:v>
      </x:c>
      <x:c r="I396" s="29" t="str"/>
      <x:c r="J396" s="29" t="str"/>
      <x:c r="K396" s="29" t="str"/>
      <x:c r="L396" s="28" t="str">
        <x:f>IF(AND(C396="RESERVE",D396=""),"DORMANT",IF(K396="","OPEN",IF(AND(I396=H396,J396&lt;&gt;""),"PASS","FAIL")))</x:f>
        <x:v>OPEN</x:v>
      </x:c>
    </x:row>
    <x:row r="397">
      <x:c r="B397" s="28" t="str">
        <x:v>AT-17</x:v>
      </x:c>
      <x:c r="C397" s="28" t="str">
        <x:v>PRIMARY</x:v>
      </x:c>
      <x:c r="D397" s="28" t="str">
        <x:f>INDEX('Attempt Tokens'!$E$7:$E$36,MATCH(B397,'Attempt Tokens'!$B$7:$B$36,0))</x:f>
      </x:c>
      <x:c r="E397" s="28" t="n">
        <x:v>7</x:v>
      </x:c>
      <x:c r="F397" s="28" t="str">
        <x:v>EG-07</x:v>
      </x:c>
      <x:c r="G397" s="28" t="str">
        <x:v>configuration freeze complete</x:v>
      </x:c>
      <x:c r="H397" s="28" t="str">
        <x:v>PASS</x:v>
      </x:c>
      <x:c r="I397" s="29" t="str"/>
      <x:c r="J397" s="29" t="str"/>
      <x:c r="K397" s="29" t="str"/>
      <x:c r="L397" s="28" t="str">
        <x:f>IF(AND(C397="RESERVE",D397=""),"DORMANT",IF(K397="","OPEN",IF(AND(I397=H397,J397&lt;&gt;""),"PASS","FAIL")))</x:f>
        <x:v>OPEN</x:v>
      </x:c>
    </x:row>
    <x:row r="398">
      <x:c r="B398" s="28" t="str">
        <x:v>AT-17</x:v>
      </x:c>
      <x:c r="C398" s="28" t="str">
        <x:v>PRIMARY</x:v>
      </x:c>
      <x:c r="D398" s="28" t="str">
        <x:f>INDEX('Attempt Tokens'!$E$7:$E$36,MATCH(B398,'Attempt Tokens'!$B$7:$B$36,0))</x:f>
      </x:c>
      <x:c r="E398" s="28" t="n">
        <x:v>8</x:v>
      </x:c>
      <x:c r="F398" s="28" t="str">
        <x:v>EG-08</x:v>
      </x:c>
      <x:c r="G398" s="28" t="str">
        <x:v>zero-source checks complete</x:v>
      </x:c>
      <x:c r="H398" s="28" t="str">
        <x:v>PASS</x:v>
      </x:c>
      <x:c r="I398" s="29" t="str"/>
      <x:c r="J398" s="29" t="str"/>
      <x:c r="K398" s="29" t="str"/>
      <x:c r="L398" s="28" t="str">
        <x:f>IF(AND(C398="RESERVE",D398=""),"DORMANT",IF(K398="","OPEN",IF(AND(I398=H398,J398&lt;&gt;""),"PASS","FAIL")))</x:f>
        <x:v>OPEN</x:v>
      </x:c>
    </x:row>
    <x:row r="399">
      <x:c r="B399" s="28" t="str">
        <x:v>AT-17</x:v>
      </x:c>
      <x:c r="C399" s="28" t="str">
        <x:v>PRIMARY</x:v>
      </x:c>
      <x:c r="D399" s="28" t="str">
        <x:f>INDEX('Attempt Tokens'!$E$7:$E$36,MATCH(B399,'Attempt Tokens'!$B$7:$B$36,0))</x:f>
      </x:c>
      <x:c r="E399" s="28" t="n">
        <x:v>9</x:v>
      </x:c>
      <x:c r="F399" s="28" t="str">
        <x:v>EG-09</x:v>
      </x:c>
      <x:c r="G399" s="28" t="str">
        <x:v>zero-water checks complete</x:v>
      </x:c>
      <x:c r="H399" s="28" t="str">
        <x:v>PASS</x:v>
      </x:c>
      <x:c r="I399" s="29" t="str"/>
      <x:c r="J399" s="29" t="str"/>
      <x:c r="K399" s="29" t="str"/>
      <x:c r="L399" s="28" t="str">
        <x:f>IF(AND(C399="RESERVE",D399=""),"DORMANT",IF(K399="","OPEN",IF(AND(I399=H399,J399&lt;&gt;""),"PASS","FAIL")))</x:f>
        <x:v>OPEN</x:v>
      </x:c>
    </x:row>
    <x:row r="400">
      <x:c r="B400" s="28" t="str">
        <x:v>AT-17</x:v>
      </x:c>
      <x:c r="C400" s="28" t="str">
        <x:v>PRIMARY</x:v>
      </x:c>
      <x:c r="D400" s="28" t="str">
        <x:f>INDEX('Attempt Tokens'!$E$7:$E$36,MATCH(B400,'Attempt Tokens'!$B$7:$B$36,0))</x:f>
      </x:c>
      <x:c r="E400" s="28" t="n">
        <x:v>10</x:v>
      </x:c>
      <x:c r="F400" s="28" t="str">
        <x:v>EG-10</x:v>
      </x:c>
      <x:c r="G400" s="28" t="str">
        <x:v>uncertainty decisions complete</x:v>
      </x:c>
      <x:c r="H400" s="28" t="str">
        <x:v>PASS</x:v>
      </x:c>
      <x:c r="I400" s="29" t="str"/>
      <x:c r="J400" s="29" t="str"/>
      <x:c r="K400" s="29" t="str"/>
      <x:c r="L400" s="28" t="str">
        <x:f>IF(AND(C400="RESERVE",D400=""),"DORMANT",IF(K400="","OPEN",IF(AND(I400=H400,J400&lt;&gt;""),"PASS","FAIL")))</x:f>
        <x:v>OPEN</x:v>
      </x:c>
    </x:row>
    <x:row r="401">
      <x:c r="B401" s="28" t="str">
        <x:v>AT-17</x:v>
      </x:c>
      <x:c r="C401" s="28" t="str">
        <x:v>PRIMARY</x:v>
      </x:c>
      <x:c r="D401" s="28" t="str">
        <x:f>INDEX('Attempt Tokens'!$E$7:$E$36,MATCH(B401,'Attempt Tokens'!$B$7:$B$36,0))</x:f>
      </x:c>
      <x:c r="E401" s="28" t="n">
        <x:v>11</x:v>
      </x:c>
      <x:c r="F401" s="28" t="str">
        <x:v>EG-11</x:v>
      </x:c>
      <x:c r="G401" s="28" t="str">
        <x:v>measurement windows complete</x:v>
      </x:c>
      <x:c r="H401" s="28" t="str">
        <x:v>PASS</x:v>
      </x:c>
      <x:c r="I401" s="29" t="str"/>
      <x:c r="J401" s="29" t="str"/>
      <x:c r="K401" s="29" t="str"/>
      <x:c r="L401" s="28" t="str">
        <x:f>IF(AND(C401="RESERVE",D401=""),"DORMANT",IF(K401="","OPEN",IF(AND(I401=H401,J401&lt;&gt;""),"PASS","FAIL")))</x:f>
        <x:v>OPEN</x:v>
      </x:c>
    </x:row>
    <x:row r="402">
      <x:c r="B402" s="28" t="str">
        <x:v>AT-17</x:v>
      </x:c>
      <x:c r="C402" s="28" t="str">
        <x:v>PRIMARY</x:v>
      </x:c>
      <x:c r="D402" s="28" t="str">
        <x:f>INDEX('Attempt Tokens'!$E$7:$E$36,MATCH(B402,'Attempt Tokens'!$B$7:$B$36,0))</x:f>
      </x:c>
      <x:c r="E402" s="28" t="n">
        <x:v>12</x:v>
      </x:c>
      <x:c r="F402" s="28" t="str">
        <x:v>EG-12</x:v>
      </x:c>
      <x:c r="G402" s="28" t="str">
        <x:v>neighbor proofs complete</x:v>
      </x:c>
      <x:c r="H402" s="28" t="str">
        <x:v>PASS</x:v>
      </x:c>
      <x:c r="I402" s="29" t="str"/>
      <x:c r="J402" s="29" t="str"/>
      <x:c r="K402" s="29" t="str"/>
      <x:c r="L402" s="28" t="str">
        <x:f>IF(AND(C402="RESERVE",D402=""),"DORMANT",IF(K402="","OPEN",IF(AND(I402=H402,J402&lt;&gt;""),"PASS","FAIL")))</x:f>
        <x:v>OPEN</x:v>
      </x:c>
    </x:row>
    <x:row r="403">
      <x:c r="B403" s="28" t="str">
        <x:v>AT-17</x:v>
      </x:c>
      <x:c r="C403" s="28" t="str">
        <x:v>PRIMARY</x:v>
      </x:c>
      <x:c r="D403" s="28" t="str">
        <x:f>INDEX('Attempt Tokens'!$E$7:$E$36,MATCH(B403,'Attempt Tokens'!$B$7:$B$36,0))</x:f>
      </x:c>
      <x:c r="E403" s="28" t="n">
        <x:v>13</x:v>
      </x:c>
      <x:c r="F403" s="28" t="str">
        <x:v>EG-13</x:v>
      </x:c>
      <x:c r="G403" s="28" t="str">
        <x:v>safeing polls complete</x:v>
      </x:c>
      <x:c r="H403" s="28" t="str">
        <x:v>PASS</x:v>
      </x:c>
      <x:c r="I403" s="29" t="str"/>
      <x:c r="J403" s="29" t="str"/>
      <x:c r="K403" s="29" t="str"/>
      <x:c r="L403" s="28" t="str">
        <x:f>IF(AND(C403="RESERVE",D403=""),"DORMANT",IF(K403="","OPEN",IF(AND(I403=H403,J403&lt;&gt;""),"PASS","FAIL")))</x:f>
        <x:v>OPEN</x:v>
      </x:c>
    </x:row>
    <x:row r="404">
      <x:c r="B404" s="28" t="str">
        <x:v>AT-17</x:v>
      </x:c>
      <x:c r="C404" s="28" t="str">
        <x:v>PRIMARY</x:v>
      </x:c>
      <x:c r="D404" s="28" t="str">
        <x:f>INDEX('Attempt Tokens'!$E$7:$E$36,MATCH(B404,'Attempt Tokens'!$B$7:$B$36,0))</x:f>
      </x:c>
      <x:c r="E404" s="28" t="n">
        <x:v>14</x:v>
      </x:c>
      <x:c r="F404" s="28" t="str">
        <x:v>EG-14</x:v>
      </x:c>
      <x:c r="G404" s="28" t="str">
        <x:v>command transactions complete</x:v>
      </x:c>
      <x:c r="H404" s="28" t="str">
        <x:v>PASS</x:v>
      </x:c>
      <x:c r="I404" s="29" t="str"/>
      <x:c r="J404" s="29" t="str"/>
      <x:c r="K404" s="29" t="str"/>
      <x:c r="L404" s="28" t="str">
        <x:f>IF(AND(C404="RESERVE",D404=""),"DORMANT",IF(K404="","OPEN",IF(AND(I404=H404,J404&lt;&gt;""),"PASS","FAIL")))</x:f>
        <x:v>OPEN</x:v>
      </x:c>
    </x:row>
    <x:row r="405">
      <x:c r="B405" s="28" t="str">
        <x:v>AT-17</x:v>
      </x:c>
      <x:c r="C405" s="28" t="str">
        <x:v>PRIMARY</x:v>
      </x:c>
      <x:c r="D405" s="28" t="str">
        <x:f>INDEX('Attempt Tokens'!$E$7:$E$36,MATCH(B405,'Attempt Tokens'!$B$7:$B$36,0))</x:f>
      </x:c>
      <x:c r="E405" s="28" t="n">
        <x:v>15</x:v>
      </x:c>
      <x:c r="F405" s="28" t="str">
        <x:v>EG-15</x:v>
      </x:c>
      <x:c r="G405" s="28" t="str">
        <x:v>phase clock complete</x:v>
      </x:c>
      <x:c r="H405" s="28" t="str">
        <x:v>PASS</x:v>
      </x:c>
      <x:c r="I405" s="29" t="str"/>
      <x:c r="J405" s="29" t="str"/>
      <x:c r="K405" s="29" t="str"/>
      <x:c r="L405" s="28" t="str">
        <x:f>IF(AND(C405="RESERVE",D405=""),"DORMANT",IF(K405="","OPEN",IF(AND(I405=H405,J405&lt;&gt;""),"PASS","FAIL")))</x:f>
        <x:v>OPEN</x:v>
      </x:c>
    </x:row>
    <x:row r="406">
      <x:c r="B406" s="28" t="str">
        <x:v>AT-17</x:v>
      </x:c>
      <x:c r="C406" s="28" t="str">
        <x:v>PRIMARY</x:v>
      </x:c>
      <x:c r="D406" s="28" t="str">
        <x:f>INDEX('Attempt Tokens'!$E$7:$E$36,MATCH(B406,'Attempt Tokens'!$B$7:$B$36,0))</x:f>
      </x:c>
      <x:c r="E406" s="28" t="n">
        <x:v>16</x:v>
      </x:c>
      <x:c r="F406" s="28" t="str">
        <x:v>EG-16</x:v>
      </x:c>
      <x:c r="G406" s="28" t="str">
        <x:v>holds complete</x:v>
      </x:c>
      <x:c r="H406" s="28" t="str">
        <x:v>PASS</x:v>
      </x:c>
      <x:c r="I406" s="29" t="str"/>
      <x:c r="J406" s="29" t="str"/>
      <x:c r="K406" s="29" t="str"/>
      <x:c r="L406" s="28" t="str">
        <x:f>IF(AND(C406="RESERVE",D406=""),"DORMANT",IF(K406="","OPEN",IF(AND(I406=H406,J406&lt;&gt;""),"PASS","FAIL")))</x:f>
        <x:v>OPEN</x:v>
      </x:c>
    </x:row>
    <x:row r="407">
      <x:c r="B407" s="28" t="str">
        <x:v>AT-17</x:v>
      </x:c>
      <x:c r="C407" s="28" t="str">
        <x:v>PRIMARY</x:v>
      </x:c>
      <x:c r="D407" s="28" t="str">
        <x:f>INDEX('Attempt Tokens'!$E$7:$E$36,MATCH(B407,'Attempt Tokens'!$B$7:$B$36,0))</x:f>
      </x:c>
      <x:c r="E407" s="28" t="n">
        <x:v>17</x:v>
      </x:c>
      <x:c r="F407" s="28" t="str">
        <x:v>EG-17</x:v>
      </x:c>
      <x:c r="G407" s="28" t="str">
        <x:v>evidence obligations complete</x:v>
      </x:c>
      <x:c r="H407" s="28" t="str">
        <x:v>PASS</x:v>
      </x:c>
      <x:c r="I407" s="29" t="str"/>
      <x:c r="J407" s="29" t="str"/>
      <x:c r="K407" s="29" t="str"/>
      <x:c r="L407" s="28" t="str">
        <x:f>IF(AND(C407="RESERVE",D407=""),"DORMANT",IF(K407="","OPEN",IF(AND(I407=H407,J407&lt;&gt;""),"PASS","FAIL")))</x:f>
        <x:v>OPEN</x:v>
      </x:c>
    </x:row>
    <x:row r="408">
      <x:c r="B408" s="28" t="str">
        <x:v>AT-17</x:v>
      </x:c>
      <x:c r="C408" s="28" t="str">
        <x:v>PRIMARY</x:v>
      </x:c>
      <x:c r="D408" s="28" t="str">
        <x:f>INDEX('Attempt Tokens'!$E$7:$E$36,MATCH(B408,'Attempt Tokens'!$B$7:$B$36,0))</x:f>
      </x:c>
      <x:c r="E408" s="28" t="n">
        <x:v>18</x:v>
      </x:c>
      <x:c r="F408" s="28" t="str">
        <x:v>EG-18</x:v>
      </x:c>
      <x:c r="G408" s="28" t="str">
        <x:v>blank samples complete</x:v>
      </x:c>
      <x:c r="H408" s="28" t="str">
        <x:v>PASS</x:v>
      </x:c>
      <x:c r="I408" s="29" t="str"/>
      <x:c r="J408" s="29" t="str"/>
      <x:c r="K408" s="29" t="str"/>
      <x:c r="L408" s="28" t="str">
        <x:f>IF(AND(C408="RESERVE",D408=""),"DORMANT",IF(K408="","OPEN",IF(AND(I408=H408,J408&lt;&gt;""),"PASS","FAIL")))</x:f>
        <x:v>OPEN</x:v>
      </x:c>
    </x:row>
    <x:row r="409">
      <x:c r="B409" s="28" t="str">
        <x:v>AT-17</x:v>
      </x:c>
      <x:c r="C409" s="28" t="str">
        <x:v>PRIMARY</x:v>
      </x:c>
      <x:c r="D409" s="28" t="str">
        <x:f>INDEX('Attempt Tokens'!$E$7:$E$36,MATCH(B409,'Attempt Tokens'!$B$7:$B$36,0))</x:f>
      </x:c>
      <x:c r="E409" s="28" t="n">
        <x:v>19</x:v>
      </x:c>
      <x:c r="F409" s="28" t="str">
        <x:v>EG-19</x:v>
      </x:c>
      <x:c r="G409" s="28" t="str">
        <x:v>abort channels classified</x:v>
      </x:c>
      <x:c r="H409" s="28" t="str">
        <x:v>PASS</x:v>
      </x:c>
      <x:c r="I409" s="29" t="str"/>
      <x:c r="J409" s="29" t="str"/>
      <x:c r="K409" s="29" t="str"/>
      <x:c r="L409" s="28" t="str">
        <x:f>IF(AND(C409="RESERVE",D409=""),"DORMANT",IF(K409="","OPEN",IF(AND(I409=H409,J409&lt;&gt;""),"PASS","FAIL")))</x:f>
        <x:v>OPEN</x:v>
      </x:c>
    </x:row>
    <x:row r="410">
      <x:c r="B410" s="28" t="str">
        <x:v>AT-17</x:v>
      </x:c>
      <x:c r="C410" s="28" t="str">
        <x:v>PRIMARY</x:v>
      </x:c>
      <x:c r="D410" s="28" t="str">
        <x:f>INDEX('Attempt Tokens'!$E$7:$E$36,MATCH(B410,'Attempt Tokens'!$B$7:$B$36,0))</x:f>
      </x:c>
      <x:c r="E410" s="28" t="n">
        <x:v>20</x:v>
      </x:c>
      <x:c r="F410" s="28" t="str">
        <x:v>EG-20</x:v>
      </x:c>
      <x:c r="G410" s="28" t="str">
        <x:v>interventions classified</x:v>
      </x:c>
      <x:c r="H410" s="28" t="str">
        <x:v>PASS</x:v>
      </x:c>
      <x:c r="I410" s="29" t="str"/>
      <x:c r="J410" s="29" t="str"/>
      <x:c r="K410" s="29" t="str"/>
      <x:c r="L410" s="28" t="str">
        <x:f>IF(AND(C410="RESERVE",D410=""),"DORMANT",IF(K410="","OPEN",IF(AND(I410=H410,J410&lt;&gt;""),"PASS","FAIL")))</x:f>
        <x:v>OPEN</x:v>
      </x:c>
    </x:row>
    <x:row r="411">
      <x:c r="B411" s="28" t="str">
        <x:v>AT-17</x:v>
      </x:c>
      <x:c r="C411" s="28" t="str">
        <x:v>PRIMARY</x:v>
      </x:c>
      <x:c r="D411" s="28" t="str">
        <x:f>INDEX('Attempt Tokens'!$E$7:$E$36,MATCH(B411,'Attempt Tokens'!$B$7:$B$36,0))</x:f>
      </x:c>
      <x:c r="E411" s="28" t="n">
        <x:v>21</x:v>
      </x:c>
      <x:c r="F411" s="28" t="str">
        <x:v>EG-21</x:v>
      </x:c>
      <x:c r="G411" s="28" t="str">
        <x:v>event result accepted</x:v>
      </x:c>
      <x:c r="H411" s="28" t="str">
        <x:v>PASS</x:v>
      </x:c>
      <x:c r="I411" s="29" t="str"/>
      <x:c r="J411" s="29" t="str"/>
      <x:c r="K411" s="29" t="str"/>
      <x:c r="L411" s="28" t="str">
        <x:f>IF(AND(C411="RESERVE",D411=""),"DORMANT",IF(K411="","OPEN",IF(AND(I411=H411,J411&lt;&gt;""),"PASS","FAIL")))</x:f>
        <x:v>OPEN</x:v>
      </x:c>
    </x:row>
    <x:row r="412">
      <x:c r="B412" s="28" t="str">
        <x:v>AT-17</x:v>
      </x:c>
      <x:c r="C412" s="28" t="str">
        <x:v>PRIMARY</x:v>
      </x:c>
      <x:c r="D412" s="28" t="str">
        <x:f>INDEX('Attempt Tokens'!$E$7:$E$36,MATCH(B412,'Attempt Tokens'!$B$7:$B$36,0))</x:f>
      </x:c>
      <x:c r="E412" s="28" t="n">
        <x:v>22</x:v>
      </x:c>
      <x:c r="F412" s="28" t="str">
        <x:v>EG-22</x:v>
      </x:c>
      <x:c r="G412" s="28" t="str">
        <x:v>recovery states complete</x:v>
      </x:c>
      <x:c r="H412" s="28" t="str">
        <x:v>PASS</x:v>
      </x:c>
      <x:c r="I412" s="29" t="str"/>
      <x:c r="J412" s="29" t="str"/>
      <x:c r="K412" s="29" t="str"/>
      <x:c r="L412" s="28" t="str">
        <x:f>IF(AND(C412="RESERVE",D412=""),"DORMANT",IF(K412="","OPEN",IF(AND(I412=H412,J412&lt;&gt;""),"PASS","FAIL")))</x:f>
        <x:v>OPEN</x:v>
      </x:c>
    </x:row>
    <x:row r="413">
      <x:c r="B413" s="28" t="str">
        <x:v>AT-17</x:v>
      </x:c>
      <x:c r="C413" s="28" t="str">
        <x:v>PRIMARY</x:v>
      </x:c>
      <x:c r="D413" s="28" t="str">
        <x:f>INDEX('Attempt Tokens'!$E$7:$E$36,MATCH(B413,'Attempt Tokens'!$B$7:$B$36,0))</x:f>
      </x:c>
      <x:c r="E413" s="28" t="n">
        <x:v>23</x:v>
      </x:c>
      <x:c r="F413" s="28" t="str">
        <x:v>EG-23</x:v>
      </x:c>
      <x:c r="G413" s="28" t="str">
        <x:v>regeneration and regression complete</x:v>
      </x:c>
      <x:c r="H413" s="28" t="str">
        <x:v>PASS</x:v>
      </x:c>
      <x:c r="I413" s="29" t="str"/>
      <x:c r="J413" s="29" t="str"/>
      <x:c r="K413" s="29" t="str"/>
      <x:c r="L413" s="28" t="str">
        <x:f>IF(AND(C413="RESERVE",D413=""),"DORMANT",IF(K413="","OPEN",IF(AND(I413=H413,J413&lt;&gt;""),"PASS","FAIL")))</x:f>
        <x:v>OPEN</x:v>
      </x:c>
    </x:row>
    <x:row r="414">
      <x:c r="B414" s="28" t="str">
        <x:v>AT-17</x:v>
      </x:c>
      <x:c r="C414" s="28" t="str">
        <x:v>PRIMARY</x:v>
      </x:c>
      <x:c r="D414" s="28" t="str">
        <x:f>INDEX('Attempt Tokens'!$E$7:$E$36,MATCH(B414,'Attempt Tokens'!$B$7:$B$36,0))</x:f>
      </x:c>
      <x:c r="E414" s="28" t="n">
        <x:v>24</x:v>
      </x:c>
      <x:c r="F414" s="28" t="str">
        <x:v>EG-24</x:v>
      </x:c>
      <x:c r="G414" s="28" t="str">
        <x:v>reentry and packet release complete</x:v>
      </x:c>
      <x:c r="H414" s="28" t="str">
        <x:v>PASS</x:v>
      </x:c>
      <x:c r="I414" s="29" t="str"/>
      <x:c r="J414" s="29" t="str"/>
      <x:c r="K414" s="29" t="str"/>
      <x:c r="L414" s="28" t="str">
        <x:f>IF(AND(C414="RESERVE",D414=""),"DORMANT",IF(K414="","OPEN",IF(AND(I414=H414,J414&lt;&gt;""),"PASS","FAIL")))</x:f>
        <x:v>OPEN</x:v>
      </x:c>
    </x:row>
    <x:row r="415">
      <x:c r="B415" s="28" t="str">
        <x:v>AT-18</x:v>
      </x:c>
      <x:c r="C415" s="28" t="str">
        <x:v>PRIMARY</x:v>
      </x:c>
      <x:c r="D415" s="28" t="str">
        <x:f>INDEX('Attempt Tokens'!$E$7:$E$36,MATCH(B415,'Attempt Tokens'!$B$7:$B$36,0))</x:f>
      </x:c>
      <x:c r="E415" s="28" t="n">
        <x:v>1</x:v>
      </x:c>
      <x:c r="F415" s="28" t="str">
        <x:v>EG-01</x:v>
      </x:c>
      <x:c r="G415" s="28" t="str">
        <x:v>RAX or renewed pair credential current</x:v>
      </x:c>
      <x:c r="H415" s="28" t="str">
        <x:v>PASS</x:v>
      </x:c>
      <x:c r="I415" s="29" t="str"/>
      <x:c r="J415" s="29" t="str"/>
      <x:c r="K415" s="29" t="str"/>
      <x:c r="L415" s="28" t="str">
        <x:f>IF(AND(C415="RESERVE",D415=""),"DORMANT",IF(K415="","OPEN",IF(AND(I415=H415,J415&lt;&gt;""),"PASS","FAIL")))</x:f>
        <x:v>OPEN</x:v>
      </x:c>
    </x:row>
    <x:row r="416">
      <x:c r="B416" s="28" t="str">
        <x:v>AT-18</x:v>
      </x:c>
      <x:c r="C416" s="28" t="str">
        <x:v>PRIMARY</x:v>
      </x:c>
      <x:c r="D416" s="28" t="str">
        <x:f>INDEX('Attempt Tokens'!$E$7:$E$36,MATCH(B416,'Attempt Tokens'!$B$7:$B$36,0))</x:f>
      </x:c>
      <x:c r="E416" s="28" t="n">
        <x:v>2</x:v>
      </x:c>
      <x:c r="F416" s="28" t="str">
        <x:v>EG-02</x:v>
      </x:c>
      <x:c r="G416" s="28" t="str">
        <x:v>candidate cell eligible</x:v>
      </x:c>
      <x:c r="H416" s="28" t="str">
        <x:v>PASS</x:v>
      </x:c>
      <x:c r="I416" s="29" t="str"/>
      <x:c r="J416" s="29" t="str"/>
      <x:c r="K416" s="29" t="str"/>
      <x:c r="L416" s="28" t="str">
        <x:f>IF(AND(C416="RESERVE",D416=""),"DORMANT",IF(K416="","OPEN",IF(AND(I416=H416,J416&lt;&gt;""),"PASS","FAIL")))</x:f>
        <x:v>OPEN</x:v>
      </x:c>
    </x:row>
    <x:row r="417">
      <x:c r="B417" s="28" t="str">
        <x:v>AT-18</x:v>
      </x:c>
      <x:c r="C417" s="28" t="str">
        <x:v>PRIMARY</x:v>
      </x:c>
      <x:c r="D417" s="28" t="str">
        <x:f>INDEX('Attempt Tokens'!$E$7:$E$36,MATCH(B417,'Attempt Tokens'!$B$7:$B$36,0))</x:f>
      </x:c>
      <x:c r="E417" s="28" t="n">
        <x:v>3</x:v>
      </x:c>
      <x:c r="F417" s="28" t="str">
        <x:v>EG-03</x:v>
      </x:c>
      <x:c r="G417" s="28" t="str">
        <x:v>draw and schedule binding complete</x:v>
      </x:c>
      <x:c r="H417" s="28" t="str">
        <x:v>PASS</x:v>
      </x:c>
      <x:c r="I417" s="29" t="str"/>
      <x:c r="J417" s="29" t="str"/>
      <x:c r="K417" s="29" t="str"/>
      <x:c r="L417" s="28" t="str">
        <x:f>IF(AND(C417="RESERVE",D417=""),"DORMANT",IF(K417="","OPEN",IF(AND(I417=H417,J417&lt;&gt;""),"PASS","FAIL")))</x:f>
        <x:v>OPEN</x:v>
      </x:c>
    </x:row>
    <x:row r="418">
      <x:c r="B418" s="28" t="str">
        <x:v>AT-18</x:v>
      </x:c>
      <x:c r="C418" s="28" t="str">
        <x:v>PRIMARY</x:v>
      </x:c>
      <x:c r="D418" s="28" t="str">
        <x:f>INDEX('Attempt Tokens'!$E$7:$E$36,MATCH(B418,'Attempt Tokens'!$B$7:$B$36,0))</x:f>
      </x:c>
      <x:c r="E418" s="28" t="n">
        <x:v>4</x:v>
      </x:c>
      <x:c r="F418" s="28" t="str">
        <x:v>EG-04</x:v>
      </x:c>
      <x:c r="G418" s="28" t="str">
        <x:v>event issue accepted</x:v>
      </x:c>
      <x:c r="H418" s="28" t="str">
        <x:v>PASS</x:v>
      </x:c>
      <x:c r="I418" s="29" t="str"/>
      <x:c r="J418" s="29" t="str"/>
      <x:c r="K418" s="29" t="str"/>
      <x:c r="L418" s="28" t="str">
        <x:f>IF(AND(C418="RESERVE",D418=""),"DORMANT",IF(K418="","OPEN",IF(AND(I418=H418,J418&lt;&gt;""),"PASS","FAIL")))</x:f>
        <x:v>OPEN</x:v>
      </x:c>
    </x:row>
    <x:row r="419">
      <x:c r="B419" s="28" t="str">
        <x:v>AT-18</x:v>
      </x:c>
      <x:c r="C419" s="28" t="str">
        <x:v>PRIMARY</x:v>
      </x:c>
      <x:c r="D419" s="28" t="str">
        <x:f>INDEX('Attempt Tokens'!$E$7:$E$36,MATCH(B419,'Attempt Tokens'!$B$7:$B$36,0))</x:f>
      </x:c>
      <x:c r="E419" s="28" t="n">
        <x:v>5</x:v>
      </x:c>
      <x:c r="F419" s="28" t="str">
        <x:v>EG-05</x:v>
      </x:c>
      <x:c r="G419" s="28" t="str">
        <x:v>dossier bindings complete</x:v>
      </x:c>
      <x:c r="H419" s="28" t="str">
        <x:v>PASS</x:v>
      </x:c>
      <x:c r="I419" s="29" t="str"/>
      <x:c r="J419" s="29" t="str"/>
      <x:c r="K419" s="29" t="str"/>
      <x:c r="L419" s="28" t="str">
        <x:f>IF(AND(C419="RESERVE",D419=""),"DORMANT",IF(K419="","OPEN",IF(AND(I419=H419,J419&lt;&gt;""),"PASS","FAIL")))</x:f>
        <x:v>OPEN</x:v>
      </x:c>
    </x:row>
    <x:row r="420">
      <x:c r="B420" s="28" t="str">
        <x:v>AT-18</x:v>
      </x:c>
      <x:c r="C420" s="28" t="str">
        <x:v>PRIMARY</x:v>
      </x:c>
      <x:c r="D420" s="28" t="str">
        <x:f>INDEX('Attempt Tokens'!$E$7:$E$36,MATCH(B420,'Attempt Tokens'!$B$7:$B$36,0))</x:f>
      </x:c>
      <x:c r="E420" s="28" t="n">
        <x:v>6</x:v>
      </x:c>
      <x:c r="F420" s="28" t="str">
        <x:v>EG-06</x:v>
      </x:c>
      <x:c r="G420" s="28" t="str">
        <x:v>event crew complete</x:v>
      </x:c>
      <x:c r="H420" s="28" t="str">
        <x:v>PASS</x:v>
      </x:c>
      <x:c r="I420" s="29" t="str"/>
      <x:c r="J420" s="29" t="str"/>
      <x:c r="K420" s="29" t="str"/>
      <x:c r="L420" s="28" t="str">
        <x:f>IF(AND(C420="RESERVE",D420=""),"DORMANT",IF(K420="","OPEN",IF(AND(I420=H420,J420&lt;&gt;""),"PASS","FAIL")))</x:f>
        <x:v>OPEN</x:v>
      </x:c>
    </x:row>
    <x:row r="421">
      <x:c r="B421" s="28" t="str">
        <x:v>AT-18</x:v>
      </x:c>
      <x:c r="C421" s="28" t="str">
        <x:v>PRIMARY</x:v>
      </x:c>
      <x:c r="D421" s="28" t="str">
        <x:f>INDEX('Attempt Tokens'!$E$7:$E$36,MATCH(B421,'Attempt Tokens'!$B$7:$B$36,0))</x:f>
      </x:c>
      <x:c r="E421" s="28" t="n">
        <x:v>7</x:v>
      </x:c>
      <x:c r="F421" s="28" t="str">
        <x:v>EG-07</x:v>
      </x:c>
      <x:c r="G421" s="28" t="str">
        <x:v>configuration freeze complete</x:v>
      </x:c>
      <x:c r="H421" s="28" t="str">
        <x:v>PASS</x:v>
      </x:c>
      <x:c r="I421" s="29" t="str"/>
      <x:c r="J421" s="29" t="str"/>
      <x:c r="K421" s="29" t="str"/>
      <x:c r="L421" s="28" t="str">
        <x:f>IF(AND(C421="RESERVE",D421=""),"DORMANT",IF(K421="","OPEN",IF(AND(I421=H421,J421&lt;&gt;""),"PASS","FAIL")))</x:f>
        <x:v>OPEN</x:v>
      </x:c>
    </x:row>
    <x:row r="422">
      <x:c r="B422" s="28" t="str">
        <x:v>AT-18</x:v>
      </x:c>
      <x:c r="C422" s="28" t="str">
        <x:v>PRIMARY</x:v>
      </x:c>
      <x:c r="D422" s="28" t="str">
        <x:f>INDEX('Attempt Tokens'!$E$7:$E$36,MATCH(B422,'Attempt Tokens'!$B$7:$B$36,0))</x:f>
      </x:c>
      <x:c r="E422" s="28" t="n">
        <x:v>8</x:v>
      </x:c>
      <x:c r="F422" s="28" t="str">
        <x:v>EG-08</x:v>
      </x:c>
      <x:c r="G422" s="28" t="str">
        <x:v>zero-source checks complete</x:v>
      </x:c>
      <x:c r="H422" s="28" t="str">
        <x:v>PASS</x:v>
      </x:c>
      <x:c r="I422" s="29" t="str"/>
      <x:c r="J422" s="29" t="str"/>
      <x:c r="K422" s="29" t="str"/>
      <x:c r="L422" s="28" t="str">
        <x:f>IF(AND(C422="RESERVE",D422=""),"DORMANT",IF(K422="","OPEN",IF(AND(I422=H422,J422&lt;&gt;""),"PASS","FAIL")))</x:f>
        <x:v>OPEN</x:v>
      </x:c>
    </x:row>
    <x:row r="423">
      <x:c r="B423" s="28" t="str">
        <x:v>AT-18</x:v>
      </x:c>
      <x:c r="C423" s="28" t="str">
        <x:v>PRIMARY</x:v>
      </x:c>
      <x:c r="D423" s="28" t="str">
        <x:f>INDEX('Attempt Tokens'!$E$7:$E$36,MATCH(B423,'Attempt Tokens'!$B$7:$B$36,0))</x:f>
      </x:c>
      <x:c r="E423" s="28" t="n">
        <x:v>9</x:v>
      </x:c>
      <x:c r="F423" s="28" t="str">
        <x:v>EG-09</x:v>
      </x:c>
      <x:c r="G423" s="28" t="str">
        <x:v>zero-water checks complete</x:v>
      </x:c>
      <x:c r="H423" s="28" t="str">
        <x:v>PASS</x:v>
      </x:c>
      <x:c r="I423" s="29" t="str"/>
      <x:c r="J423" s="29" t="str"/>
      <x:c r="K423" s="29" t="str"/>
      <x:c r="L423" s="28" t="str">
        <x:f>IF(AND(C423="RESERVE",D423=""),"DORMANT",IF(K423="","OPEN",IF(AND(I423=H423,J423&lt;&gt;""),"PASS","FAIL")))</x:f>
        <x:v>OPEN</x:v>
      </x:c>
    </x:row>
    <x:row r="424">
      <x:c r="B424" s="28" t="str">
        <x:v>AT-18</x:v>
      </x:c>
      <x:c r="C424" s="28" t="str">
        <x:v>PRIMARY</x:v>
      </x:c>
      <x:c r="D424" s="28" t="str">
        <x:f>INDEX('Attempt Tokens'!$E$7:$E$36,MATCH(B424,'Attempt Tokens'!$B$7:$B$36,0))</x:f>
      </x:c>
      <x:c r="E424" s="28" t="n">
        <x:v>10</x:v>
      </x:c>
      <x:c r="F424" s="28" t="str">
        <x:v>EG-10</x:v>
      </x:c>
      <x:c r="G424" s="28" t="str">
        <x:v>uncertainty decisions complete</x:v>
      </x:c>
      <x:c r="H424" s="28" t="str">
        <x:v>PASS</x:v>
      </x:c>
      <x:c r="I424" s="29" t="str"/>
      <x:c r="J424" s="29" t="str"/>
      <x:c r="K424" s="29" t="str"/>
      <x:c r="L424" s="28" t="str">
        <x:f>IF(AND(C424="RESERVE",D424=""),"DORMANT",IF(K424="","OPEN",IF(AND(I424=H424,J424&lt;&gt;""),"PASS","FAIL")))</x:f>
        <x:v>OPEN</x:v>
      </x:c>
    </x:row>
    <x:row r="425">
      <x:c r="B425" s="28" t="str">
        <x:v>AT-18</x:v>
      </x:c>
      <x:c r="C425" s="28" t="str">
        <x:v>PRIMARY</x:v>
      </x:c>
      <x:c r="D425" s="28" t="str">
        <x:f>INDEX('Attempt Tokens'!$E$7:$E$36,MATCH(B425,'Attempt Tokens'!$B$7:$B$36,0))</x:f>
      </x:c>
      <x:c r="E425" s="28" t="n">
        <x:v>11</x:v>
      </x:c>
      <x:c r="F425" s="28" t="str">
        <x:v>EG-11</x:v>
      </x:c>
      <x:c r="G425" s="28" t="str">
        <x:v>measurement windows complete</x:v>
      </x:c>
      <x:c r="H425" s="28" t="str">
        <x:v>PASS</x:v>
      </x:c>
      <x:c r="I425" s="29" t="str"/>
      <x:c r="J425" s="29" t="str"/>
      <x:c r="K425" s="29" t="str"/>
      <x:c r="L425" s="28" t="str">
        <x:f>IF(AND(C425="RESERVE",D425=""),"DORMANT",IF(K425="","OPEN",IF(AND(I425=H425,J425&lt;&gt;""),"PASS","FAIL")))</x:f>
        <x:v>OPEN</x:v>
      </x:c>
    </x:row>
    <x:row r="426">
      <x:c r="B426" s="28" t="str">
        <x:v>AT-18</x:v>
      </x:c>
      <x:c r="C426" s="28" t="str">
        <x:v>PRIMARY</x:v>
      </x:c>
      <x:c r="D426" s="28" t="str">
        <x:f>INDEX('Attempt Tokens'!$E$7:$E$36,MATCH(B426,'Attempt Tokens'!$B$7:$B$36,0))</x:f>
      </x:c>
      <x:c r="E426" s="28" t="n">
        <x:v>12</x:v>
      </x:c>
      <x:c r="F426" s="28" t="str">
        <x:v>EG-12</x:v>
      </x:c>
      <x:c r="G426" s="28" t="str">
        <x:v>neighbor proofs complete</x:v>
      </x:c>
      <x:c r="H426" s="28" t="str">
        <x:v>PASS</x:v>
      </x:c>
      <x:c r="I426" s="29" t="str"/>
      <x:c r="J426" s="29" t="str"/>
      <x:c r="K426" s="29" t="str"/>
      <x:c r="L426" s="28" t="str">
        <x:f>IF(AND(C426="RESERVE",D426=""),"DORMANT",IF(K426="","OPEN",IF(AND(I426=H426,J426&lt;&gt;""),"PASS","FAIL")))</x:f>
        <x:v>OPEN</x:v>
      </x:c>
    </x:row>
    <x:row r="427">
      <x:c r="B427" s="28" t="str">
        <x:v>AT-18</x:v>
      </x:c>
      <x:c r="C427" s="28" t="str">
        <x:v>PRIMARY</x:v>
      </x:c>
      <x:c r="D427" s="28" t="str">
        <x:f>INDEX('Attempt Tokens'!$E$7:$E$36,MATCH(B427,'Attempt Tokens'!$B$7:$B$36,0))</x:f>
      </x:c>
      <x:c r="E427" s="28" t="n">
        <x:v>13</x:v>
      </x:c>
      <x:c r="F427" s="28" t="str">
        <x:v>EG-13</x:v>
      </x:c>
      <x:c r="G427" s="28" t="str">
        <x:v>safeing polls complete</x:v>
      </x:c>
      <x:c r="H427" s="28" t="str">
        <x:v>PASS</x:v>
      </x:c>
      <x:c r="I427" s="29" t="str"/>
      <x:c r="J427" s="29" t="str"/>
      <x:c r="K427" s="29" t="str"/>
      <x:c r="L427" s="28" t="str">
        <x:f>IF(AND(C427="RESERVE",D427=""),"DORMANT",IF(K427="","OPEN",IF(AND(I427=H427,J427&lt;&gt;""),"PASS","FAIL")))</x:f>
        <x:v>OPEN</x:v>
      </x:c>
    </x:row>
    <x:row r="428">
      <x:c r="B428" s="28" t="str">
        <x:v>AT-18</x:v>
      </x:c>
      <x:c r="C428" s="28" t="str">
        <x:v>PRIMARY</x:v>
      </x:c>
      <x:c r="D428" s="28" t="str">
        <x:f>INDEX('Attempt Tokens'!$E$7:$E$36,MATCH(B428,'Attempt Tokens'!$B$7:$B$36,0))</x:f>
      </x:c>
      <x:c r="E428" s="28" t="n">
        <x:v>14</x:v>
      </x:c>
      <x:c r="F428" s="28" t="str">
        <x:v>EG-14</x:v>
      </x:c>
      <x:c r="G428" s="28" t="str">
        <x:v>command transactions complete</x:v>
      </x:c>
      <x:c r="H428" s="28" t="str">
        <x:v>PASS</x:v>
      </x:c>
      <x:c r="I428" s="29" t="str"/>
      <x:c r="J428" s="29" t="str"/>
      <x:c r="K428" s="29" t="str"/>
      <x:c r="L428" s="28" t="str">
        <x:f>IF(AND(C428="RESERVE",D428=""),"DORMANT",IF(K428="","OPEN",IF(AND(I428=H428,J428&lt;&gt;""),"PASS","FAIL")))</x:f>
        <x:v>OPEN</x:v>
      </x:c>
    </x:row>
    <x:row r="429">
      <x:c r="B429" s="28" t="str">
        <x:v>AT-18</x:v>
      </x:c>
      <x:c r="C429" s="28" t="str">
        <x:v>PRIMARY</x:v>
      </x:c>
      <x:c r="D429" s="28" t="str">
        <x:f>INDEX('Attempt Tokens'!$E$7:$E$36,MATCH(B429,'Attempt Tokens'!$B$7:$B$36,0))</x:f>
      </x:c>
      <x:c r="E429" s="28" t="n">
        <x:v>15</x:v>
      </x:c>
      <x:c r="F429" s="28" t="str">
        <x:v>EG-15</x:v>
      </x:c>
      <x:c r="G429" s="28" t="str">
        <x:v>phase clock complete</x:v>
      </x:c>
      <x:c r="H429" s="28" t="str">
        <x:v>PASS</x:v>
      </x:c>
      <x:c r="I429" s="29" t="str"/>
      <x:c r="J429" s="29" t="str"/>
      <x:c r="K429" s="29" t="str"/>
      <x:c r="L429" s="28" t="str">
        <x:f>IF(AND(C429="RESERVE",D429=""),"DORMANT",IF(K429="","OPEN",IF(AND(I429=H429,J429&lt;&gt;""),"PASS","FAIL")))</x:f>
        <x:v>OPEN</x:v>
      </x:c>
    </x:row>
    <x:row r="430">
      <x:c r="B430" s="28" t="str">
        <x:v>AT-18</x:v>
      </x:c>
      <x:c r="C430" s="28" t="str">
        <x:v>PRIMARY</x:v>
      </x:c>
      <x:c r="D430" s="28" t="str">
        <x:f>INDEX('Attempt Tokens'!$E$7:$E$36,MATCH(B430,'Attempt Tokens'!$B$7:$B$36,0))</x:f>
      </x:c>
      <x:c r="E430" s="28" t="n">
        <x:v>16</x:v>
      </x:c>
      <x:c r="F430" s="28" t="str">
        <x:v>EG-16</x:v>
      </x:c>
      <x:c r="G430" s="28" t="str">
        <x:v>holds complete</x:v>
      </x:c>
      <x:c r="H430" s="28" t="str">
        <x:v>PASS</x:v>
      </x:c>
      <x:c r="I430" s="29" t="str"/>
      <x:c r="J430" s="29" t="str"/>
      <x:c r="K430" s="29" t="str"/>
      <x:c r="L430" s="28" t="str">
        <x:f>IF(AND(C430="RESERVE",D430=""),"DORMANT",IF(K430="","OPEN",IF(AND(I430=H430,J430&lt;&gt;""),"PASS","FAIL")))</x:f>
        <x:v>OPEN</x:v>
      </x:c>
    </x:row>
    <x:row r="431">
      <x:c r="B431" s="28" t="str">
        <x:v>AT-18</x:v>
      </x:c>
      <x:c r="C431" s="28" t="str">
        <x:v>PRIMARY</x:v>
      </x:c>
      <x:c r="D431" s="28" t="str">
        <x:f>INDEX('Attempt Tokens'!$E$7:$E$36,MATCH(B431,'Attempt Tokens'!$B$7:$B$36,0))</x:f>
      </x:c>
      <x:c r="E431" s="28" t="n">
        <x:v>17</x:v>
      </x:c>
      <x:c r="F431" s="28" t="str">
        <x:v>EG-17</x:v>
      </x:c>
      <x:c r="G431" s="28" t="str">
        <x:v>evidence obligations complete</x:v>
      </x:c>
      <x:c r="H431" s="28" t="str">
        <x:v>PASS</x:v>
      </x:c>
      <x:c r="I431" s="29" t="str"/>
      <x:c r="J431" s="29" t="str"/>
      <x:c r="K431" s="29" t="str"/>
      <x:c r="L431" s="28" t="str">
        <x:f>IF(AND(C431="RESERVE",D431=""),"DORMANT",IF(K431="","OPEN",IF(AND(I431=H431,J431&lt;&gt;""),"PASS","FAIL")))</x:f>
        <x:v>OPEN</x:v>
      </x:c>
    </x:row>
    <x:row r="432">
      <x:c r="B432" s="28" t="str">
        <x:v>AT-18</x:v>
      </x:c>
      <x:c r="C432" s="28" t="str">
        <x:v>PRIMARY</x:v>
      </x:c>
      <x:c r="D432" s="28" t="str">
        <x:f>INDEX('Attempt Tokens'!$E$7:$E$36,MATCH(B432,'Attempt Tokens'!$B$7:$B$36,0))</x:f>
      </x:c>
      <x:c r="E432" s="28" t="n">
        <x:v>18</x:v>
      </x:c>
      <x:c r="F432" s="28" t="str">
        <x:v>EG-18</x:v>
      </x:c>
      <x:c r="G432" s="28" t="str">
        <x:v>blank samples complete</x:v>
      </x:c>
      <x:c r="H432" s="28" t="str">
        <x:v>PASS</x:v>
      </x:c>
      <x:c r="I432" s="29" t="str"/>
      <x:c r="J432" s="29" t="str"/>
      <x:c r="K432" s="29" t="str"/>
      <x:c r="L432" s="28" t="str">
        <x:f>IF(AND(C432="RESERVE",D432=""),"DORMANT",IF(K432="","OPEN",IF(AND(I432=H432,J432&lt;&gt;""),"PASS","FAIL")))</x:f>
        <x:v>OPEN</x:v>
      </x:c>
    </x:row>
    <x:row r="433">
      <x:c r="B433" s="28" t="str">
        <x:v>AT-18</x:v>
      </x:c>
      <x:c r="C433" s="28" t="str">
        <x:v>PRIMARY</x:v>
      </x:c>
      <x:c r="D433" s="28" t="str">
        <x:f>INDEX('Attempt Tokens'!$E$7:$E$36,MATCH(B433,'Attempt Tokens'!$B$7:$B$36,0))</x:f>
      </x:c>
      <x:c r="E433" s="28" t="n">
        <x:v>19</x:v>
      </x:c>
      <x:c r="F433" s="28" t="str">
        <x:v>EG-19</x:v>
      </x:c>
      <x:c r="G433" s="28" t="str">
        <x:v>abort channels classified</x:v>
      </x:c>
      <x:c r="H433" s="28" t="str">
        <x:v>PASS</x:v>
      </x:c>
      <x:c r="I433" s="29" t="str"/>
      <x:c r="J433" s="29" t="str"/>
      <x:c r="K433" s="29" t="str"/>
      <x:c r="L433" s="28" t="str">
        <x:f>IF(AND(C433="RESERVE",D433=""),"DORMANT",IF(K433="","OPEN",IF(AND(I433=H433,J433&lt;&gt;""),"PASS","FAIL")))</x:f>
        <x:v>OPEN</x:v>
      </x:c>
    </x:row>
    <x:row r="434">
      <x:c r="B434" s="28" t="str">
        <x:v>AT-18</x:v>
      </x:c>
      <x:c r="C434" s="28" t="str">
        <x:v>PRIMARY</x:v>
      </x:c>
      <x:c r="D434" s="28" t="str">
        <x:f>INDEX('Attempt Tokens'!$E$7:$E$36,MATCH(B434,'Attempt Tokens'!$B$7:$B$36,0))</x:f>
      </x:c>
      <x:c r="E434" s="28" t="n">
        <x:v>20</x:v>
      </x:c>
      <x:c r="F434" s="28" t="str">
        <x:v>EG-20</x:v>
      </x:c>
      <x:c r="G434" s="28" t="str">
        <x:v>interventions classified</x:v>
      </x:c>
      <x:c r="H434" s="28" t="str">
        <x:v>PASS</x:v>
      </x:c>
      <x:c r="I434" s="29" t="str"/>
      <x:c r="J434" s="29" t="str"/>
      <x:c r="K434" s="29" t="str"/>
      <x:c r="L434" s="28" t="str">
        <x:f>IF(AND(C434="RESERVE",D434=""),"DORMANT",IF(K434="","OPEN",IF(AND(I434=H434,J434&lt;&gt;""),"PASS","FAIL")))</x:f>
        <x:v>OPEN</x:v>
      </x:c>
    </x:row>
    <x:row r="435">
      <x:c r="B435" s="28" t="str">
        <x:v>AT-18</x:v>
      </x:c>
      <x:c r="C435" s="28" t="str">
        <x:v>PRIMARY</x:v>
      </x:c>
      <x:c r="D435" s="28" t="str">
        <x:f>INDEX('Attempt Tokens'!$E$7:$E$36,MATCH(B435,'Attempt Tokens'!$B$7:$B$36,0))</x:f>
      </x:c>
      <x:c r="E435" s="28" t="n">
        <x:v>21</x:v>
      </x:c>
      <x:c r="F435" s="28" t="str">
        <x:v>EG-21</x:v>
      </x:c>
      <x:c r="G435" s="28" t="str">
        <x:v>event result accepted</x:v>
      </x:c>
      <x:c r="H435" s="28" t="str">
        <x:v>PASS</x:v>
      </x:c>
      <x:c r="I435" s="29" t="str"/>
      <x:c r="J435" s="29" t="str"/>
      <x:c r="K435" s="29" t="str"/>
      <x:c r="L435" s="28" t="str">
        <x:f>IF(AND(C435="RESERVE",D435=""),"DORMANT",IF(K435="","OPEN",IF(AND(I435=H435,J435&lt;&gt;""),"PASS","FAIL")))</x:f>
        <x:v>OPEN</x:v>
      </x:c>
    </x:row>
    <x:row r="436">
      <x:c r="B436" s="28" t="str">
        <x:v>AT-18</x:v>
      </x:c>
      <x:c r="C436" s="28" t="str">
        <x:v>PRIMARY</x:v>
      </x:c>
      <x:c r="D436" s="28" t="str">
        <x:f>INDEX('Attempt Tokens'!$E$7:$E$36,MATCH(B436,'Attempt Tokens'!$B$7:$B$36,0))</x:f>
      </x:c>
      <x:c r="E436" s="28" t="n">
        <x:v>22</x:v>
      </x:c>
      <x:c r="F436" s="28" t="str">
        <x:v>EG-22</x:v>
      </x:c>
      <x:c r="G436" s="28" t="str">
        <x:v>recovery states complete</x:v>
      </x:c>
      <x:c r="H436" s="28" t="str">
        <x:v>PASS</x:v>
      </x:c>
      <x:c r="I436" s="29" t="str"/>
      <x:c r="J436" s="29" t="str"/>
      <x:c r="K436" s="29" t="str"/>
      <x:c r="L436" s="28" t="str">
        <x:f>IF(AND(C436="RESERVE",D436=""),"DORMANT",IF(K436="","OPEN",IF(AND(I436=H436,J436&lt;&gt;""),"PASS","FAIL")))</x:f>
        <x:v>OPEN</x:v>
      </x:c>
    </x:row>
    <x:row r="437">
      <x:c r="B437" s="28" t="str">
        <x:v>AT-18</x:v>
      </x:c>
      <x:c r="C437" s="28" t="str">
        <x:v>PRIMARY</x:v>
      </x:c>
      <x:c r="D437" s="28" t="str">
        <x:f>INDEX('Attempt Tokens'!$E$7:$E$36,MATCH(B437,'Attempt Tokens'!$B$7:$B$36,0))</x:f>
      </x:c>
      <x:c r="E437" s="28" t="n">
        <x:v>23</x:v>
      </x:c>
      <x:c r="F437" s="28" t="str">
        <x:v>EG-23</x:v>
      </x:c>
      <x:c r="G437" s="28" t="str">
        <x:v>regeneration and regression complete</x:v>
      </x:c>
      <x:c r="H437" s="28" t="str">
        <x:v>PASS</x:v>
      </x:c>
      <x:c r="I437" s="29" t="str"/>
      <x:c r="J437" s="29" t="str"/>
      <x:c r="K437" s="29" t="str"/>
      <x:c r="L437" s="28" t="str">
        <x:f>IF(AND(C437="RESERVE",D437=""),"DORMANT",IF(K437="","OPEN",IF(AND(I437=H437,J437&lt;&gt;""),"PASS","FAIL")))</x:f>
        <x:v>OPEN</x:v>
      </x:c>
    </x:row>
    <x:row r="438">
      <x:c r="B438" s="28" t="str">
        <x:v>AT-18</x:v>
      </x:c>
      <x:c r="C438" s="28" t="str">
        <x:v>PRIMARY</x:v>
      </x:c>
      <x:c r="D438" s="28" t="str">
        <x:f>INDEX('Attempt Tokens'!$E$7:$E$36,MATCH(B438,'Attempt Tokens'!$B$7:$B$36,0))</x:f>
      </x:c>
      <x:c r="E438" s="28" t="n">
        <x:v>24</x:v>
      </x:c>
      <x:c r="F438" s="28" t="str">
        <x:v>EG-24</x:v>
      </x:c>
      <x:c r="G438" s="28" t="str">
        <x:v>reentry and packet release complete</x:v>
      </x:c>
      <x:c r="H438" s="28" t="str">
        <x:v>PASS</x:v>
      </x:c>
      <x:c r="I438" s="29" t="str"/>
      <x:c r="J438" s="29" t="str"/>
      <x:c r="K438" s="29" t="str"/>
      <x:c r="L438" s="28" t="str">
        <x:f>IF(AND(C438="RESERVE",D438=""),"DORMANT",IF(K438="","OPEN",IF(AND(I438=H438,J438&lt;&gt;""),"PASS","FAIL")))</x:f>
        <x:v>OPEN</x:v>
      </x:c>
    </x:row>
    <x:row r="439">
      <x:c r="B439" s="28" t="str">
        <x:v>AT-19</x:v>
      </x:c>
      <x:c r="C439" s="28" t="str">
        <x:v>PRIMARY</x:v>
      </x:c>
      <x:c r="D439" s="28" t="str">
        <x:f>INDEX('Attempt Tokens'!$E$7:$E$36,MATCH(B439,'Attempt Tokens'!$B$7:$B$36,0))</x:f>
      </x:c>
      <x:c r="E439" s="28" t="n">
        <x:v>1</x:v>
      </x:c>
      <x:c r="F439" s="28" t="str">
        <x:v>EG-01</x:v>
      </x:c>
      <x:c r="G439" s="28" t="str">
        <x:v>RAX or renewed pair credential current</x:v>
      </x:c>
      <x:c r="H439" s="28" t="str">
        <x:v>PASS</x:v>
      </x:c>
      <x:c r="I439" s="29" t="str"/>
      <x:c r="J439" s="29" t="str"/>
      <x:c r="K439" s="29" t="str"/>
      <x:c r="L439" s="28" t="str">
        <x:f>IF(AND(C439="RESERVE",D439=""),"DORMANT",IF(K439="","OPEN",IF(AND(I439=H439,J439&lt;&gt;""),"PASS","FAIL")))</x:f>
        <x:v>OPEN</x:v>
      </x:c>
    </x:row>
    <x:row r="440">
      <x:c r="B440" s="28" t="str">
        <x:v>AT-19</x:v>
      </x:c>
      <x:c r="C440" s="28" t="str">
        <x:v>PRIMARY</x:v>
      </x:c>
      <x:c r="D440" s="28" t="str">
        <x:f>INDEX('Attempt Tokens'!$E$7:$E$36,MATCH(B440,'Attempt Tokens'!$B$7:$B$36,0))</x:f>
      </x:c>
      <x:c r="E440" s="28" t="n">
        <x:v>2</x:v>
      </x:c>
      <x:c r="F440" s="28" t="str">
        <x:v>EG-02</x:v>
      </x:c>
      <x:c r="G440" s="28" t="str">
        <x:v>candidate cell eligible</x:v>
      </x:c>
      <x:c r="H440" s="28" t="str">
        <x:v>PASS</x:v>
      </x:c>
      <x:c r="I440" s="29" t="str"/>
      <x:c r="J440" s="29" t="str"/>
      <x:c r="K440" s="29" t="str"/>
      <x:c r="L440" s="28" t="str">
        <x:f>IF(AND(C440="RESERVE",D440=""),"DORMANT",IF(K440="","OPEN",IF(AND(I440=H440,J440&lt;&gt;""),"PASS","FAIL")))</x:f>
        <x:v>OPEN</x:v>
      </x:c>
    </x:row>
    <x:row r="441">
      <x:c r="B441" s="28" t="str">
        <x:v>AT-19</x:v>
      </x:c>
      <x:c r="C441" s="28" t="str">
        <x:v>PRIMARY</x:v>
      </x:c>
      <x:c r="D441" s="28" t="str">
        <x:f>INDEX('Attempt Tokens'!$E$7:$E$36,MATCH(B441,'Attempt Tokens'!$B$7:$B$36,0))</x:f>
      </x:c>
      <x:c r="E441" s="28" t="n">
        <x:v>3</x:v>
      </x:c>
      <x:c r="F441" s="28" t="str">
        <x:v>EG-03</x:v>
      </x:c>
      <x:c r="G441" s="28" t="str">
        <x:v>draw and schedule binding complete</x:v>
      </x:c>
      <x:c r="H441" s="28" t="str">
        <x:v>PASS</x:v>
      </x:c>
      <x:c r="I441" s="29" t="str"/>
      <x:c r="J441" s="29" t="str"/>
      <x:c r="K441" s="29" t="str"/>
      <x:c r="L441" s="28" t="str">
        <x:f>IF(AND(C441="RESERVE",D441=""),"DORMANT",IF(K441="","OPEN",IF(AND(I441=H441,J441&lt;&gt;""),"PASS","FAIL")))</x:f>
        <x:v>OPEN</x:v>
      </x:c>
    </x:row>
    <x:row r="442">
      <x:c r="B442" s="28" t="str">
        <x:v>AT-19</x:v>
      </x:c>
      <x:c r="C442" s="28" t="str">
        <x:v>PRIMARY</x:v>
      </x:c>
      <x:c r="D442" s="28" t="str">
        <x:f>INDEX('Attempt Tokens'!$E$7:$E$36,MATCH(B442,'Attempt Tokens'!$B$7:$B$36,0))</x:f>
      </x:c>
      <x:c r="E442" s="28" t="n">
        <x:v>4</x:v>
      </x:c>
      <x:c r="F442" s="28" t="str">
        <x:v>EG-04</x:v>
      </x:c>
      <x:c r="G442" s="28" t="str">
        <x:v>event issue accepted</x:v>
      </x:c>
      <x:c r="H442" s="28" t="str">
        <x:v>PASS</x:v>
      </x:c>
      <x:c r="I442" s="29" t="str"/>
      <x:c r="J442" s="29" t="str"/>
      <x:c r="K442" s="29" t="str"/>
      <x:c r="L442" s="28" t="str">
        <x:f>IF(AND(C442="RESERVE",D442=""),"DORMANT",IF(K442="","OPEN",IF(AND(I442=H442,J442&lt;&gt;""),"PASS","FAIL")))</x:f>
        <x:v>OPEN</x:v>
      </x:c>
    </x:row>
    <x:row r="443">
      <x:c r="B443" s="28" t="str">
        <x:v>AT-19</x:v>
      </x:c>
      <x:c r="C443" s="28" t="str">
        <x:v>PRIMARY</x:v>
      </x:c>
      <x:c r="D443" s="28" t="str">
        <x:f>INDEX('Attempt Tokens'!$E$7:$E$36,MATCH(B443,'Attempt Tokens'!$B$7:$B$36,0))</x:f>
      </x:c>
      <x:c r="E443" s="28" t="n">
        <x:v>5</x:v>
      </x:c>
      <x:c r="F443" s="28" t="str">
        <x:v>EG-05</x:v>
      </x:c>
      <x:c r="G443" s="28" t="str">
        <x:v>dossier bindings complete</x:v>
      </x:c>
      <x:c r="H443" s="28" t="str">
        <x:v>PASS</x:v>
      </x:c>
      <x:c r="I443" s="29" t="str"/>
      <x:c r="J443" s="29" t="str"/>
      <x:c r="K443" s="29" t="str"/>
      <x:c r="L443" s="28" t="str">
        <x:f>IF(AND(C443="RESERVE",D443=""),"DORMANT",IF(K443="","OPEN",IF(AND(I443=H443,J443&lt;&gt;""),"PASS","FAIL")))</x:f>
        <x:v>OPEN</x:v>
      </x:c>
    </x:row>
    <x:row r="444">
      <x:c r="B444" s="28" t="str">
        <x:v>AT-19</x:v>
      </x:c>
      <x:c r="C444" s="28" t="str">
        <x:v>PRIMARY</x:v>
      </x:c>
      <x:c r="D444" s="28" t="str">
        <x:f>INDEX('Attempt Tokens'!$E$7:$E$36,MATCH(B444,'Attempt Tokens'!$B$7:$B$36,0))</x:f>
      </x:c>
      <x:c r="E444" s="28" t="n">
        <x:v>6</x:v>
      </x:c>
      <x:c r="F444" s="28" t="str">
        <x:v>EG-06</x:v>
      </x:c>
      <x:c r="G444" s="28" t="str">
        <x:v>event crew complete</x:v>
      </x:c>
      <x:c r="H444" s="28" t="str">
        <x:v>PASS</x:v>
      </x:c>
      <x:c r="I444" s="29" t="str"/>
      <x:c r="J444" s="29" t="str"/>
      <x:c r="K444" s="29" t="str"/>
      <x:c r="L444" s="28" t="str">
        <x:f>IF(AND(C444="RESERVE",D444=""),"DORMANT",IF(K444="","OPEN",IF(AND(I444=H444,J444&lt;&gt;""),"PASS","FAIL")))</x:f>
        <x:v>OPEN</x:v>
      </x:c>
    </x:row>
    <x:row r="445">
      <x:c r="B445" s="28" t="str">
        <x:v>AT-19</x:v>
      </x:c>
      <x:c r="C445" s="28" t="str">
        <x:v>PRIMARY</x:v>
      </x:c>
      <x:c r="D445" s="28" t="str">
        <x:f>INDEX('Attempt Tokens'!$E$7:$E$36,MATCH(B445,'Attempt Tokens'!$B$7:$B$36,0))</x:f>
      </x:c>
      <x:c r="E445" s="28" t="n">
        <x:v>7</x:v>
      </x:c>
      <x:c r="F445" s="28" t="str">
        <x:v>EG-07</x:v>
      </x:c>
      <x:c r="G445" s="28" t="str">
        <x:v>configuration freeze complete</x:v>
      </x:c>
      <x:c r="H445" s="28" t="str">
        <x:v>PASS</x:v>
      </x:c>
      <x:c r="I445" s="29" t="str"/>
      <x:c r="J445" s="29" t="str"/>
      <x:c r="K445" s="29" t="str"/>
      <x:c r="L445" s="28" t="str">
        <x:f>IF(AND(C445="RESERVE",D445=""),"DORMANT",IF(K445="","OPEN",IF(AND(I445=H445,J445&lt;&gt;""),"PASS","FAIL")))</x:f>
        <x:v>OPEN</x:v>
      </x:c>
    </x:row>
    <x:row r="446">
      <x:c r="B446" s="28" t="str">
        <x:v>AT-19</x:v>
      </x:c>
      <x:c r="C446" s="28" t="str">
        <x:v>PRIMARY</x:v>
      </x:c>
      <x:c r="D446" s="28" t="str">
        <x:f>INDEX('Attempt Tokens'!$E$7:$E$36,MATCH(B446,'Attempt Tokens'!$B$7:$B$36,0))</x:f>
      </x:c>
      <x:c r="E446" s="28" t="n">
        <x:v>8</x:v>
      </x:c>
      <x:c r="F446" s="28" t="str">
        <x:v>EG-08</x:v>
      </x:c>
      <x:c r="G446" s="28" t="str">
        <x:v>zero-source checks complete</x:v>
      </x:c>
      <x:c r="H446" s="28" t="str">
        <x:v>PASS</x:v>
      </x:c>
      <x:c r="I446" s="29" t="str"/>
      <x:c r="J446" s="29" t="str"/>
      <x:c r="K446" s="29" t="str"/>
      <x:c r="L446" s="28" t="str">
        <x:f>IF(AND(C446="RESERVE",D446=""),"DORMANT",IF(K446="","OPEN",IF(AND(I446=H446,J446&lt;&gt;""),"PASS","FAIL")))</x:f>
        <x:v>OPEN</x:v>
      </x:c>
    </x:row>
    <x:row r="447">
      <x:c r="B447" s="28" t="str">
        <x:v>AT-19</x:v>
      </x:c>
      <x:c r="C447" s="28" t="str">
        <x:v>PRIMARY</x:v>
      </x:c>
      <x:c r="D447" s="28" t="str">
        <x:f>INDEX('Attempt Tokens'!$E$7:$E$36,MATCH(B447,'Attempt Tokens'!$B$7:$B$36,0))</x:f>
      </x:c>
      <x:c r="E447" s="28" t="n">
        <x:v>9</x:v>
      </x:c>
      <x:c r="F447" s="28" t="str">
        <x:v>EG-09</x:v>
      </x:c>
      <x:c r="G447" s="28" t="str">
        <x:v>zero-water checks complete</x:v>
      </x:c>
      <x:c r="H447" s="28" t="str">
        <x:v>PASS</x:v>
      </x:c>
      <x:c r="I447" s="29" t="str"/>
      <x:c r="J447" s="29" t="str"/>
      <x:c r="K447" s="29" t="str"/>
      <x:c r="L447" s="28" t="str">
        <x:f>IF(AND(C447="RESERVE",D447=""),"DORMANT",IF(K447="","OPEN",IF(AND(I447=H447,J447&lt;&gt;""),"PASS","FAIL")))</x:f>
        <x:v>OPEN</x:v>
      </x:c>
    </x:row>
    <x:row r="448">
      <x:c r="B448" s="28" t="str">
        <x:v>AT-19</x:v>
      </x:c>
      <x:c r="C448" s="28" t="str">
        <x:v>PRIMARY</x:v>
      </x:c>
      <x:c r="D448" s="28" t="str">
        <x:f>INDEX('Attempt Tokens'!$E$7:$E$36,MATCH(B448,'Attempt Tokens'!$B$7:$B$36,0))</x:f>
      </x:c>
      <x:c r="E448" s="28" t="n">
        <x:v>10</x:v>
      </x:c>
      <x:c r="F448" s="28" t="str">
        <x:v>EG-10</x:v>
      </x:c>
      <x:c r="G448" s="28" t="str">
        <x:v>uncertainty decisions complete</x:v>
      </x:c>
      <x:c r="H448" s="28" t="str">
        <x:v>PASS</x:v>
      </x:c>
      <x:c r="I448" s="29" t="str"/>
      <x:c r="J448" s="29" t="str"/>
      <x:c r="K448" s="29" t="str"/>
      <x:c r="L448" s="28" t="str">
        <x:f>IF(AND(C448="RESERVE",D448=""),"DORMANT",IF(K448="","OPEN",IF(AND(I448=H448,J448&lt;&gt;""),"PASS","FAIL")))</x:f>
        <x:v>OPEN</x:v>
      </x:c>
    </x:row>
    <x:row r="449">
      <x:c r="B449" s="28" t="str">
        <x:v>AT-19</x:v>
      </x:c>
      <x:c r="C449" s="28" t="str">
        <x:v>PRIMARY</x:v>
      </x:c>
      <x:c r="D449" s="28" t="str">
        <x:f>INDEX('Attempt Tokens'!$E$7:$E$36,MATCH(B449,'Attempt Tokens'!$B$7:$B$36,0))</x:f>
      </x:c>
      <x:c r="E449" s="28" t="n">
        <x:v>11</x:v>
      </x:c>
      <x:c r="F449" s="28" t="str">
        <x:v>EG-11</x:v>
      </x:c>
      <x:c r="G449" s="28" t="str">
        <x:v>measurement windows complete</x:v>
      </x:c>
      <x:c r="H449" s="28" t="str">
        <x:v>PASS</x:v>
      </x:c>
      <x:c r="I449" s="29" t="str"/>
      <x:c r="J449" s="29" t="str"/>
      <x:c r="K449" s="29" t="str"/>
      <x:c r="L449" s="28" t="str">
        <x:f>IF(AND(C449="RESERVE",D449=""),"DORMANT",IF(K449="","OPEN",IF(AND(I449=H449,J449&lt;&gt;""),"PASS","FAIL")))</x:f>
        <x:v>OPEN</x:v>
      </x:c>
    </x:row>
    <x:row r="450">
      <x:c r="B450" s="28" t="str">
        <x:v>AT-19</x:v>
      </x:c>
      <x:c r="C450" s="28" t="str">
        <x:v>PRIMARY</x:v>
      </x:c>
      <x:c r="D450" s="28" t="str">
        <x:f>INDEX('Attempt Tokens'!$E$7:$E$36,MATCH(B450,'Attempt Tokens'!$B$7:$B$36,0))</x:f>
      </x:c>
      <x:c r="E450" s="28" t="n">
        <x:v>12</x:v>
      </x:c>
      <x:c r="F450" s="28" t="str">
        <x:v>EG-12</x:v>
      </x:c>
      <x:c r="G450" s="28" t="str">
        <x:v>neighbor proofs complete</x:v>
      </x:c>
      <x:c r="H450" s="28" t="str">
        <x:v>PASS</x:v>
      </x:c>
      <x:c r="I450" s="29" t="str"/>
      <x:c r="J450" s="29" t="str"/>
      <x:c r="K450" s="29" t="str"/>
      <x:c r="L450" s="28" t="str">
        <x:f>IF(AND(C450="RESERVE",D450=""),"DORMANT",IF(K450="","OPEN",IF(AND(I450=H450,J450&lt;&gt;""),"PASS","FAIL")))</x:f>
        <x:v>OPEN</x:v>
      </x:c>
    </x:row>
    <x:row r="451">
      <x:c r="B451" s="28" t="str">
        <x:v>AT-19</x:v>
      </x:c>
      <x:c r="C451" s="28" t="str">
        <x:v>PRIMARY</x:v>
      </x:c>
      <x:c r="D451" s="28" t="str">
        <x:f>INDEX('Attempt Tokens'!$E$7:$E$36,MATCH(B451,'Attempt Tokens'!$B$7:$B$36,0))</x:f>
      </x:c>
      <x:c r="E451" s="28" t="n">
        <x:v>13</x:v>
      </x:c>
      <x:c r="F451" s="28" t="str">
        <x:v>EG-13</x:v>
      </x:c>
      <x:c r="G451" s="28" t="str">
        <x:v>safeing polls complete</x:v>
      </x:c>
      <x:c r="H451" s="28" t="str">
        <x:v>PASS</x:v>
      </x:c>
      <x:c r="I451" s="29" t="str"/>
      <x:c r="J451" s="29" t="str"/>
      <x:c r="K451" s="29" t="str"/>
      <x:c r="L451" s="28" t="str">
        <x:f>IF(AND(C451="RESERVE",D451=""),"DORMANT",IF(K451="","OPEN",IF(AND(I451=H451,J451&lt;&gt;""),"PASS","FAIL")))</x:f>
        <x:v>OPEN</x:v>
      </x:c>
    </x:row>
    <x:row r="452">
      <x:c r="B452" s="28" t="str">
        <x:v>AT-19</x:v>
      </x:c>
      <x:c r="C452" s="28" t="str">
        <x:v>PRIMARY</x:v>
      </x:c>
      <x:c r="D452" s="28" t="str">
        <x:f>INDEX('Attempt Tokens'!$E$7:$E$36,MATCH(B452,'Attempt Tokens'!$B$7:$B$36,0))</x:f>
      </x:c>
      <x:c r="E452" s="28" t="n">
        <x:v>14</x:v>
      </x:c>
      <x:c r="F452" s="28" t="str">
        <x:v>EG-14</x:v>
      </x:c>
      <x:c r="G452" s="28" t="str">
        <x:v>command transactions complete</x:v>
      </x:c>
      <x:c r="H452" s="28" t="str">
        <x:v>PASS</x:v>
      </x:c>
      <x:c r="I452" s="29" t="str"/>
      <x:c r="J452" s="29" t="str"/>
      <x:c r="K452" s="29" t="str"/>
      <x:c r="L452" s="28" t="str">
        <x:f>IF(AND(C452="RESERVE",D452=""),"DORMANT",IF(K452="","OPEN",IF(AND(I452=H452,J452&lt;&gt;""),"PASS","FAIL")))</x:f>
        <x:v>OPEN</x:v>
      </x:c>
    </x:row>
    <x:row r="453">
      <x:c r="B453" s="28" t="str">
        <x:v>AT-19</x:v>
      </x:c>
      <x:c r="C453" s="28" t="str">
        <x:v>PRIMARY</x:v>
      </x:c>
      <x:c r="D453" s="28" t="str">
        <x:f>INDEX('Attempt Tokens'!$E$7:$E$36,MATCH(B453,'Attempt Tokens'!$B$7:$B$36,0))</x:f>
      </x:c>
      <x:c r="E453" s="28" t="n">
        <x:v>15</x:v>
      </x:c>
      <x:c r="F453" s="28" t="str">
        <x:v>EG-15</x:v>
      </x:c>
      <x:c r="G453" s="28" t="str">
        <x:v>phase clock complete</x:v>
      </x:c>
      <x:c r="H453" s="28" t="str">
        <x:v>PASS</x:v>
      </x:c>
      <x:c r="I453" s="29" t="str"/>
      <x:c r="J453" s="29" t="str"/>
      <x:c r="K453" s="29" t="str"/>
      <x:c r="L453" s="28" t="str">
        <x:f>IF(AND(C453="RESERVE",D453=""),"DORMANT",IF(K453="","OPEN",IF(AND(I453=H453,J453&lt;&gt;""),"PASS","FAIL")))</x:f>
        <x:v>OPEN</x:v>
      </x:c>
    </x:row>
    <x:row r="454">
      <x:c r="B454" s="28" t="str">
        <x:v>AT-19</x:v>
      </x:c>
      <x:c r="C454" s="28" t="str">
        <x:v>PRIMARY</x:v>
      </x:c>
      <x:c r="D454" s="28" t="str">
        <x:f>INDEX('Attempt Tokens'!$E$7:$E$36,MATCH(B454,'Attempt Tokens'!$B$7:$B$36,0))</x:f>
      </x:c>
      <x:c r="E454" s="28" t="n">
        <x:v>16</x:v>
      </x:c>
      <x:c r="F454" s="28" t="str">
        <x:v>EG-16</x:v>
      </x:c>
      <x:c r="G454" s="28" t="str">
        <x:v>holds complete</x:v>
      </x:c>
      <x:c r="H454" s="28" t="str">
        <x:v>PASS</x:v>
      </x:c>
      <x:c r="I454" s="29" t="str"/>
      <x:c r="J454" s="29" t="str"/>
      <x:c r="K454" s="29" t="str"/>
      <x:c r="L454" s="28" t="str">
        <x:f>IF(AND(C454="RESERVE",D454=""),"DORMANT",IF(K454="","OPEN",IF(AND(I454=H454,J454&lt;&gt;""),"PASS","FAIL")))</x:f>
        <x:v>OPEN</x:v>
      </x:c>
    </x:row>
    <x:row r="455">
      <x:c r="B455" s="28" t="str">
        <x:v>AT-19</x:v>
      </x:c>
      <x:c r="C455" s="28" t="str">
        <x:v>PRIMARY</x:v>
      </x:c>
      <x:c r="D455" s="28" t="str">
        <x:f>INDEX('Attempt Tokens'!$E$7:$E$36,MATCH(B455,'Attempt Tokens'!$B$7:$B$36,0))</x:f>
      </x:c>
      <x:c r="E455" s="28" t="n">
        <x:v>17</x:v>
      </x:c>
      <x:c r="F455" s="28" t="str">
        <x:v>EG-17</x:v>
      </x:c>
      <x:c r="G455" s="28" t="str">
        <x:v>evidence obligations complete</x:v>
      </x:c>
      <x:c r="H455" s="28" t="str">
        <x:v>PASS</x:v>
      </x:c>
      <x:c r="I455" s="29" t="str"/>
      <x:c r="J455" s="29" t="str"/>
      <x:c r="K455" s="29" t="str"/>
      <x:c r="L455" s="28" t="str">
        <x:f>IF(AND(C455="RESERVE",D455=""),"DORMANT",IF(K455="","OPEN",IF(AND(I455=H455,J455&lt;&gt;""),"PASS","FAIL")))</x:f>
        <x:v>OPEN</x:v>
      </x:c>
    </x:row>
    <x:row r="456">
      <x:c r="B456" s="28" t="str">
        <x:v>AT-19</x:v>
      </x:c>
      <x:c r="C456" s="28" t="str">
        <x:v>PRIMARY</x:v>
      </x:c>
      <x:c r="D456" s="28" t="str">
        <x:f>INDEX('Attempt Tokens'!$E$7:$E$36,MATCH(B456,'Attempt Tokens'!$B$7:$B$36,0))</x:f>
      </x:c>
      <x:c r="E456" s="28" t="n">
        <x:v>18</x:v>
      </x:c>
      <x:c r="F456" s="28" t="str">
        <x:v>EG-18</x:v>
      </x:c>
      <x:c r="G456" s="28" t="str">
        <x:v>blank samples complete</x:v>
      </x:c>
      <x:c r="H456" s="28" t="str">
        <x:v>PASS</x:v>
      </x:c>
      <x:c r="I456" s="29" t="str"/>
      <x:c r="J456" s="29" t="str"/>
      <x:c r="K456" s="29" t="str"/>
      <x:c r="L456" s="28" t="str">
        <x:f>IF(AND(C456="RESERVE",D456=""),"DORMANT",IF(K456="","OPEN",IF(AND(I456=H456,J456&lt;&gt;""),"PASS","FAIL")))</x:f>
        <x:v>OPEN</x:v>
      </x:c>
    </x:row>
    <x:row r="457">
      <x:c r="B457" s="28" t="str">
        <x:v>AT-19</x:v>
      </x:c>
      <x:c r="C457" s="28" t="str">
        <x:v>PRIMARY</x:v>
      </x:c>
      <x:c r="D457" s="28" t="str">
        <x:f>INDEX('Attempt Tokens'!$E$7:$E$36,MATCH(B457,'Attempt Tokens'!$B$7:$B$36,0))</x:f>
      </x:c>
      <x:c r="E457" s="28" t="n">
        <x:v>19</x:v>
      </x:c>
      <x:c r="F457" s="28" t="str">
        <x:v>EG-19</x:v>
      </x:c>
      <x:c r="G457" s="28" t="str">
        <x:v>abort channels classified</x:v>
      </x:c>
      <x:c r="H457" s="28" t="str">
        <x:v>PASS</x:v>
      </x:c>
      <x:c r="I457" s="29" t="str"/>
      <x:c r="J457" s="29" t="str"/>
      <x:c r="K457" s="29" t="str"/>
      <x:c r="L457" s="28" t="str">
        <x:f>IF(AND(C457="RESERVE",D457=""),"DORMANT",IF(K457="","OPEN",IF(AND(I457=H457,J457&lt;&gt;""),"PASS","FAIL")))</x:f>
        <x:v>OPEN</x:v>
      </x:c>
    </x:row>
    <x:row r="458">
      <x:c r="B458" s="28" t="str">
        <x:v>AT-19</x:v>
      </x:c>
      <x:c r="C458" s="28" t="str">
        <x:v>PRIMARY</x:v>
      </x:c>
      <x:c r="D458" s="28" t="str">
        <x:f>INDEX('Attempt Tokens'!$E$7:$E$36,MATCH(B458,'Attempt Tokens'!$B$7:$B$36,0))</x:f>
      </x:c>
      <x:c r="E458" s="28" t="n">
        <x:v>20</x:v>
      </x:c>
      <x:c r="F458" s="28" t="str">
        <x:v>EG-20</x:v>
      </x:c>
      <x:c r="G458" s="28" t="str">
        <x:v>interventions classified</x:v>
      </x:c>
      <x:c r="H458" s="28" t="str">
        <x:v>PASS</x:v>
      </x:c>
      <x:c r="I458" s="29" t="str"/>
      <x:c r="J458" s="29" t="str"/>
      <x:c r="K458" s="29" t="str"/>
      <x:c r="L458" s="28" t="str">
        <x:f>IF(AND(C458="RESERVE",D458=""),"DORMANT",IF(K458="","OPEN",IF(AND(I458=H458,J458&lt;&gt;""),"PASS","FAIL")))</x:f>
        <x:v>OPEN</x:v>
      </x:c>
    </x:row>
    <x:row r="459">
      <x:c r="B459" s="28" t="str">
        <x:v>AT-19</x:v>
      </x:c>
      <x:c r="C459" s="28" t="str">
        <x:v>PRIMARY</x:v>
      </x:c>
      <x:c r="D459" s="28" t="str">
        <x:f>INDEX('Attempt Tokens'!$E$7:$E$36,MATCH(B459,'Attempt Tokens'!$B$7:$B$36,0))</x:f>
      </x:c>
      <x:c r="E459" s="28" t="n">
        <x:v>21</x:v>
      </x:c>
      <x:c r="F459" s="28" t="str">
        <x:v>EG-21</x:v>
      </x:c>
      <x:c r="G459" s="28" t="str">
        <x:v>event result accepted</x:v>
      </x:c>
      <x:c r="H459" s="28" t="str">
        <x:v>PASS</x:v>
      </x:c>
      <x:c r="I459" s="29" t="str"/>
      <x:c r="J459" s="29" t="str"/>
      <x:c r="K459" s="29" t="str"/>
      <x:c r="L459" s="28" t="str">
        <x:f>IF(AND(C459="RESERVE",D459=""),"DORMANT",IF(K459="","OPEN",IF(AND(I459=H459,J459&lt;&gt;""),"PASS","FAIL")))</x:f>
        <x:v>OPEN</x:v>
      </x:c>
    </x:row>
    <x:row r="460">
      <x:c r="B460" s="28" t="str">
        <x:v>AT-19</x:v>
      </x:c>
      <x:c r="C460" s="28" t="str">
        <x:v>PRIMARY</x:v>
      </x:c>
      <x:c r="D460" s="28" t="str">
        <x:f>INDEX('Attempt Tokens'!$E$7:$E$36,MATCH(B460,'Attempt Tokens'!$B$7:$B$36,0))</x:f>
      </x:c>
      <x:c r="E460" s="28" t="n">
        <x:v>22</x:v>
      </x:c>
      <x:c r="F460" s="28" t="str">
        <x:v>EG-22</x:v>
      </x:c>
      <x:c r="G460" s="28" t="str">
        <x:v>recovery states complete</x:v>
      </x:c>
      <x:c r="H460" s="28" t="str">
        <x:v>PASS</x:v>
      </x:c>
      <x:c r="I460" s="29" t="str"/>
      <x:c r="J460" s="29" t="str"/>
      <x:c r="K460" s="29" t="str"/>
      <x:c r="L460" s="28" t="str">
        <x:f>IF(AND(C460="RESERVE",D460=""),"DORMANT",IF(K460="","OPEN",IF(AND(I460=H460,J460&lt;&gt;""),"PASS","FAIL")))</x:f>
        <x:v>OPEN</x:v>
      </x:c>
    </x:row>
    <x:row r="461">
      <x:c r="B461" s="28" t="str">
        <x:v>AT-19</x:v>
      </x:c>
      <x:c r="C461" s="28" t="str">
        <x:v>PRIMARY</x:v>
      </x:c>
      <x:c r="D461" s="28" t="str">
        <x:f>INDEX('Attempt Tokens'!$E$7:$E$36,MATCH(B461,'Attempt Tokens'!$B$7:$B$36,0))</x:f>
      </x:c>
      <x:c r="E461" s="28" t="n">
        <x:v>23</x:v>
      </x:c>
      <x:c r="F461" s="28" t="str">
        <x:v>EG-23</x:v>
      </x:c>
      <x:c r="G461" s="28" t="str">
        <x:v>regeneration and regression complete</x:v>
      </x:c>
      <x:c r="H461" s="28" t="str">
        <x:v>PASS</x:v>
      </x:c>
      <x:c r="I461" s="29" t="str"/>
      <x:c r="J461" s="29" t="str"/>
      <x:c r="K461" s="29" t="str"/>
      <x:c r="L461" s="28" t="str">
        <x:f>IF(AND(C461="RESERVE",D461=""),"DORMANT",IF(K461="","OPEN",IF(AND(I461=H461,J461&lt;&gt;""),"PASS","FAIL")))</x:f>
        <x:v>OPEN</x:v>
      </x:c>
    </x:row>
    <x:row r="462">
      <x:c r="B462" s="28" t="str">
        <x:v>AT-19</x:v>
      </x:c>
      <x:c r="C462" s="28" t="str">
        <x:v>PRIMARY</x:v>
      </x:c>
      <x:c r="D462" s="28" t="str">
        <x:f>INDEX('Attempt Tokens'!$E$7:$E$36,MATCH(B462,'Attempt Tokens'!$B$7:$B$36,0))</x:f>
      </x:c>
      <x:c r="E462" s="28" t="n">
        <x:v>24</x:v>
      </x:c>
      <x:c r="F462" s="28" t="str">
        <x:v>EG-24</x:v>
      </x:c>
      <x:c r="G462" s="28" t="str">
        <x:v>reentry and packet release complete</x:v>
      </x:c>
      <x:c r="H462" s="28" t="str">
        <x:v>PASS</x:v>
      </x:c>
      <x:c r="I462" s="29" t="str"/>
      <x:c r="J462" s="29" t="str"/>
      <x:c r="K462" s="29" t="str"/>
      <x:c r="L462" s="28" t="str">
        <x:f>IF(AND(C462="RESERVE",D462=""),"DORMANT",IF(K462="","OPEN",IF(AND(I462=H462,J462&lt;&gt;""),"PASS","FAIL")))</x:f>
        <x:v>OPEN</x:v>
      </x:c>
    </x:row>
    <x:row r="463">
      <x:c r="B463" s="28" t="str">
        <x:v>AT-20</x:v>
      </x:c>
      <x:c r="C463" s="28" t="str">
        <x:v>PRIMARY</x:v>
      </x:c>
      <x:c r="D463" s="28" t="str">
        <x:f>INDEX('Attempt Tokens'!$E$7:$E$36,MATCH(B463,'Attempt Tokens'!$B$7:$B$36,0))</x:f>
      </x:c>
      <x:c r="E463" s="28" t="n">
        <x:v>1</x:v>
      </x:c>
      <x:c r="F463" s="28" t="str">
        <x:v>EG-01</x:v>
      </x:c>
      <x:c r="G463" s="28" t="str">
        <x:v>RAX or renewed pair credential current</x:v>
      </x:c>
      <x:c r="H463" s="28" t="str">
        <x:v>PASS</x:v>
      </x:c>
      <x:c r="I463" s="29" t="str"/>
      <x:c r="J463" s="29" t="str"/>
      <x:c r="K463" s="29" t="str"/>
      <x:c r="L463" s="28" t="str">
        <x:f>IF(AND(C463="RESERVE",D463=""),"DORMANT",IF(K463="","OPEN",IF(AND(I463=H463,J463&lt;&gt;""),"PASS","FAIL")))</x:f>
        <x:v>OPEN</x:v>
      </x:c>
    </x:row>
    <x:row r="464">
      <x:c r="B464" s="28" t="str">
        <x:v>AT-20</x:v>
      </x:c>
      <x:c r="C464" s="28" t="str">
        <x:v>PRIMARY</x:v>
      </x:c>
      <x:c r="D464" s="28" t="str">
        <x:f>INDEX('Attempt Tokens'!$E$7:$E$36,MATCH(B464,'Attempt Tokens'!$B$7:$B$36,0))</x:f>
      </x:c>
      <x:c r="E464" s="28" t="n">
        <x:v>2</x:v>
      </x:c>
      <x:c r="F464" s="28" t="str">
        <x:v>EG-02</x:v>
      </x:c>
      <x:c r="G464" s="28" t="str">
        <x:v>candidate cell eligible</x:v>
      </x:c>
      <x:c r="H464" s="28" t="str">
        <x:v>PASS</x:v>
      </x:c>
      <x:c r="I464" s="29" t="str"/>
      <x:c r="J464" s="29" t="str"/>
      <x:c r="K464" s="29" t="str"/>
      <x:c r="L464" s="28" t="str">
        <x:f>IF(AND(C464="RESERVE",D464=""),"DORMANT",IF(K464="","OPEN",IF(AND(I464=H464,J464&lt;&gt;""),"PASS","FAIL")))</x:f>
        <x:v>OPEN</x:v>
      </x:c>
    </x:row>
    <x:row r="465">
      <x:c r="B465" s="28" t="str">
        <x:v>AT-20</x:v>
      </x:c>
      <x:c r="C465" s="28" t="str">
        <x:v>PRIMARY</x:v>
      </x:c>
      <x:c r="D465" s="28" t="str">
        <x:f>INDEX('Attempt Tokens'!$E$7:$E$36,MATCH(B465,'Attempt Tokens'!$B$7:$B$36,0))</x:f>
      </x:c>
      <x:c r="E465" s="28" t="n">
        <x:v>3</x:v>
      </x:c>
      <x:c r="F465" s="28" t="str">
        <x:v>EG-03</x:v>
      </x:c>
      <x:c r="G465" s="28" t="str">
        <x:v>draw and schedule binding complete</x:v>
      </x:c>
      <x:c r="H465" s="28" t="str">
        <x:v>PASS</x:v>
      </x:c>
      <x:c r="I465" s="29" t="str"/>
      <x:c r="J465" s="29" t="str"/>
      <x:c r="K465" s="29" t="str"/>
      <x:c r="L465" s="28" t="str">
        <x:f>IF(AND(C465="RESERVE",D465=""),"DORMANT",IF(K465="","OPEN",IF(AND(I465=H465,J465&lt;&gt;""),"PASS","FAIL")))</x:f>
        <x:v>OPEN</x:v>
      </x:c>
    </x:row>
    <x:row r="466">
      <x:c r="B466" s="28" t="str">
        <x:v>AT-20</x:v>
      </x:c>
      <x:c r="C466" s="28" t="str">
        <x:v>PRIMARY</x:v>
      </x:c>
      <x:c r="D466" s="28" t="str">
        <x:f>INDEX('Attempt Tokens'!$E$7:$E$36,MATCH(B466,'Attempt Tokens'!$B$7:$B$36,0))</x:f>
      </x:c>
      <x:c r="E466" s="28" t="n">
        <x:v>4</x:v>
      </x:c>
      <x:c r="F466" s="28" t="str">
        <x:v>EG-04</x:v>
      </x:c>
      <x:c r="G466" s="28" t="str">
        <x:v>event issue accepted</x:v>
      </x:c>
      <x:c r="H466" s="28" t="str">
        <x:v>PASS</x:v>
      </x:c>
      <x:c r="I466" s="29" t="str"/>
      <x:c r="J466" s="29" t="str"/>
      <x:c r="K466" s="29" t="str"/>
      <x:c r="L466" s="28" t="str">
        <x:f>IF(AND(C466="RESERVE",D466=""),"DORMANT",IF(K466="","OPEN",IF(AND(I466=H466,J466&lt;&gt;""),"PASS","FAIL")))</x:f>
        <x:v>OPEN</x:v>
      </x:c>
    </x:row>
    <x:row r="467">
      <x:c r="B467" s="28" t="str">
        <x:v>AT-20</x:v>
      </x:c>
      <x:c r="C467" s="28" t="str">
        <x:v>PRIMARY</x:v>
      </x:c>
      <x:c r="D467" s="28" t="str">
        <x:f>INDEX('Attempt Tokens'!$E$7:$E$36,MATCH(B467,'Attempt Tokens'!$B$7:$B$36,0))</x:f>
      </x:c>
      <x:c r="E467" s="28" t="n">
        <x:v>5</x:v>
      </x:c>
      <x:c r="F467" s="28" t="str">
        <x:v>EG-05</x:v>
      </x:c>
      <x:c r="G467" s="28" t="str">
        <x:v>dossier bindings complete</x:v>
      </x:c>
      <x:c r="H467" s="28" t="str">
        <x:v>PASS</x:v>
      </x:c>
      <x:c r="I467" s="29" t="str"/>
      <x:c r="J467" s="29" t="str"/>
      <x:c r="K467" s="29" t="str"/>
      <x:c r="L467" s="28" t="str">
        <x:f>IF(AND(C467="RESERVE",D467=""),"DORMANT",IF(K467="","OPEN",IF(AND(I467=H467,J467&lt;&gt;""),"PASS","FAIL")))</x:f>
        <x:v>OPEN</x:v>
      </x:c>
    </x:row>
    <x:row r="468">
      <x:c r="B468" s="28" t="str">
        <x:v>AT-20</x:v>
      </x:c>
      <x:c r="C468" s="28" t="str">
        <x:v>PRIMARY</x:v>
      </x:c>
      <x:c r="D468" s="28" t="str">
        <x:f>INDEX('Attempt Tokens'!$E$7:$E$36,MATCH(B468,'Attempt Tokens'!$B$7:$B$36,0))</x:f>
      </x:c>
      <x:c r="E468" s="28" t="n">
        <x:v>6</x:v>
      </x:c>
      <x:c r="F468" s="28" t="str">
        <x:v>EG-06</x:v>
      </x:c>
      <x:c r="G468" s="28" t="str">
        <x:v>event crew complete</x:v>
      </x:c>
      <x:c r="H468" s="28" t="str">
        <x:v>PASS</x:v>
      </x:c>
      <x:c r="I468" s="29" t="str"/>
      <x:c r="J468" s="29" t="str"/>
      <x:c r="K468" s="29" t="str"/>
      <x:c r="L468" s="28" t="str">
        <x:f>IF(AND(C468="RESERVE",D468=""),"DORMANT",IF(K468="","OPEN",IF(AND(I468=H468,J468&lt;&gt;""),"PASS","FAIL")))</x:f>
        <x:v>OPEN</x:v>
      </x:c>
    </x:row>
    <x:row r="469">
      <x:c r="B469" s="28" t="str">
        <x:v>AT-20</x:v>
      </x:c>
      <x:c r="C469" s="28" t="str">
        <x:v>PRIMARY</x:v>
      </x:c>
      <x:c r="D469" s="28" t="str">
        <x:f>INDEX('Attempt Tokens'!$E$7:$E$36,MATCH(B469,'Attempt Tokens'!$B$7:$B$36,0))</x:f>
      </x:c>
      <x:c r="E469" s="28" t="n">
        <x:v>7</x:v>
      </x:c>
      <x:c r="F469" s="28" t="str">
        <x:v>EG-07</x:v>
      </x:c>
      <x:c r="G469" s="28" t="str">
        <x:v>configuration freeze complete</x:v>
      </x:c>
      <x:c r="H469" s="28" t="str">
        <x:v>PASS</x:v>
      </x:c>
      <x:c r="I469" s="29" t="str"/>
      <x:c r="J469" s="29" t="str"/>
      <x:c r="K469" s="29" t="str"/>
      <x:c r="L469" s="28" t="str">
        <x:f>IF(AND(C469="RESERVE",D469=""),"DORMANT",IF(K469="","OPEN",IF(AND(I469=H469,J469&lt;&gt;""),"PASS","FAIL")))</x:f>
        <x:v>OPEN</x:v>
      </x:c>
    </x:row>
    <x:row r="470">
      <x:c r="B470" s="28" t="str">
        <x:v>AT-20</x:v>
      </x:c>
      <x:c r="C470" s="28" t="str">
        <x:v>PRIMARY</x:v>
      </x:c>
      <x:c r="D470" s="28" t="str">
        <x:f>INDEX('Attempt Tokens'!$E$7:$E$36,MATCH(B470,'Attempt Tokens'!$B$7:$B$36,0))</x:f>
      </x:c>
      <x:c r="E470" s="28" t="n">
        <x:v>8</x:v>
      </x:c>
      <x:c r="F470" s="28" t="str">
        <x:v>EG-08</x:v>
      </x:c>
      <x:c r="G470" s="28" t="str">
        <x:v>zero-source checks complete</x:v>
      </x:c>
      <x:c r="H470" s="28" t="str">
        <x:v>PASS</x:v>
      </x:c>
      <x:c r="I470" s="29" t="str"/>
      <x:c r="J470" s="29" t="str"/>
      <x:c r="K470" s="29" t="str"/>
      <x:c r="L470" s="28" t="str">
        <x:f>IF(AND(C470="RESERVE",D470=""),"DORMANT",IF(K470="","OPEN",IF(AND(I470=H470,J470&lt;&gt;""),"PASS","FAIL")))</x:f>
        <x:v>OPEN</x:v>
      </x:c>
    </x:row>
    <x:row r="471">
      <x:c r="B471" s="28" t="str">
        <x:v>AT-20</x:v>
      </x:c>
      <x:c r="C471" s="28" t="str">
        <x:v>PRIMARY</x:v>
      </x:c>
      <x:c r="D471" s="28" t="str">
        <x:f>INDEX('Attempt Tokens'!$E$7:$E$36,MATCH(B471,'Attempt Tokens'!$B$7:$B$36,0))</x:f>
      </x:c>
      <x:c r="E471" s="28" t="n">
        <x:v>9</x:v>
      </x:c>
      <x:c r="F471" s="28" t="str">
        <x:v>EG-09</x:v>
      </x:c>
      <x:c r="G471" s="28" t="str">
        <x:v>zero-water checks complete</x:v>
      </x:c>
      <x:c r="H471" s="28" t="str">
        <x:v>PASS</x:v>
      </x:c>
      <x:c r="I471" s="29" t="str"/>
      <x:c r="J471" s="29" t="str"/>
      <x:c r="K471" s="29" t="str"/>
      <x:c r="L471" s="28" t="str">
        <x:f>IF(AND(C471="RESERVE",D471=""),"DORMANT",IF(K471="","OPEN",IF(AND(I471=H471,J471&lt;&gt;""),"PASS","FAIL")))</x:f>
        <x:v>OPEN</x:v>
      </x:c>
    </x:row>
    <x:row r="472">
      <x:c r="B472" s="28" t="str">
        <x:v>AT-20</x:v>
      </x:c>
      <x:c r="C472" s="28" t="str">
        <x:v>PRIMARY</x:v>
      </x:c>
      <x:c r="D472" s="28" t="str">
        <x:f>INDEX('Attempt Tokens'!$E$7:$E$36,MATCH(B472,'Attempt Tokens'!$B$7:$B$36,0))</x:f>
      </x:c>
      <x:c r="E472" s="28" t="n">
        <x:v>10</x:v>
      </x:c>
      <x:c r="F472" s="28" t="str">
        <x:v>EG-10</x:v>
      </x:c>
      <x:c r="G472" s="28" t="str">
        <x:v>uncertainty decisions complete</x:v>
      </x:c>
      <x:c r="H472" s="28" t="str">
        <x:v>PASS</x:v>
      </x:c>
      <x:c r="I472" s="29" t="str"/>
      <x:c r="J472" s="29" t="str"/>
      <x:c r="K472" s="29" t="str"/>
      <x:c r="L472" s="28" t="str">
        <x:f>IF(AND(C472="RESERVE",D472=""),"DORMANT",IF(K472="","OPEN",IF(AND(I472=H472,J472&lt;&gt;""),"PASS","FAIL")))</x:f>
        <x:v>OPEN</x:v>
      </x:c>
    </x:row>
    <x:row r="473">
      <x:c r="B473" s="28" t="str">
        <x:v>AT-20</x:v>
      </x:c>
      <x:c r="C473" s="28" t="str">
        <x:v>PRIMARY</x:v>
      </x:c>
      <x:c r="D473" s="28" t="str">
        <x:f>INDEX('Attempt Tokens'!$E$7:$E$36,MATCH(B473,'Attempt Tokens'!$B$7:$B$36,0))</x:f>
      </x:c>
      <x:c r="E473" s="28" t="n">
        <x:v>11</x:v>
      </x:c>
      <x:c r="F473" s="28" t="str">
        <x:v>EG-11</x:v>
      </x:c>
      <x:c r="G473" s="28" t="str">
        <x:v>measurement windows complete</x:v>
      </x:c>
      <x:c r="H473" s="28" t="str">
        <x:v>PASS</x:v>
      </x:c>
      <x:c r="I473" s="29" t="str"/>
      <x:c r="J473" s="29" t="str"/>
      <x:c r="K473" s="29" t="str"/>
      <x:c r="L473" s="28" t="str">
        <x:f>IF(AND(C473="RESERVE",D473=""),"DORMANT",IF(K473="","OPEN",IF(AND(I473=H473,J473&lt;&gt;""),"PASS","FAIL")))</x:f>
        <x:v>OPEN</x:v>
      </x:c>
    </x:row>
    <x:row r="474">
      <x:c r="B474" s="28" t="str">
        <x:v>AT-20</x:v>
      </x:c>
      <x:c r="C474" s="28" t="str">
        <x:v>PRIMARY</x:v>
      </x:c>
      <x:c r="D474" s="28" t="str">
        <x:f>INDEX('Attempt Tokens'!$E$7:$E$36,MATCH(B474,'Attempt Tokens'!$B$7:$B$36,0))</x:f>
      </x:c>
      <x:c r="E474" s="28" t="n">
        <x:v>12</x:v>
      </x:c>
      <x:c r="F474" s="28" t="str">
        <x:v>EG-12</x:v>
      </x:c>
      <x:c r="G474" s="28" t="str">
        <x:v>neighbor proofs complete</x:v>
      </x:c>
      <x:c r="H474" s="28" t="str">
        <x:v>PASS</x:v>
      </x:c>
      <x:c r="I474" s="29" t="str"/>
      <x:c r="J474" s="29" t="str"/>
      <x:c r="K474" s="29" t="str"/>
      <x:c r="L474" s="28" t="str">
        <x:f>IF(AND(C474="RESERVE",D474=""),"DORMANT",IF(K474="","OPEN",IF(AND(I474=H474,J474&lt;&gt;""),"PASS","FAIL")))</x:f>
        <x:v>OPEN</x:v>
      </x:c>
    </x:row>
    <x:row r="475">
      <x:c r="B475" s="28" t="str">
        <x:v>AT-20</x:v>
      </x:c>
      <x:c r="C475" s="28" t="str">
        <x:v>PRIMARY</x:v>
      </x:c>
      <x:c r="D475" s="28" t="str">
        <x:f>INDEX('Attempt Tokens'!$E$7:$E$36,MATCH(B475,'Attempt Tokens'!$B$7:$B$36,0))</x:f>
      </x:c>
      <x:c r="E475" s="28" t="n">
        <x:v>13</x:v>
      </x:c>
      <x:c r="F475" s="28" t="str">
        <x:v>EG-13</x:v>
      </x:c>
      <x:c r="G475" s="28" t="str">
        <x:v>safeing polls complete</x:v>
      </x:c>
      <x:c r="H475" s="28" t="str">
        <x:v>PASS</x:v>
      </x:c>
      <x:c r="I475" s="29" t="str"/>
      <x:c r="J475" s="29" t="str"/>
      <x:c r="K475" s="29" t="str"/>
      <x:c r="L475" s="28" t="str">
        <x:f>IF(AND(C475="RESERVE",D475=""),"DORMANT",IF(K475="","OPEN",IF(AND(I475=H475,J475&lt;&gt;""),"PASS","FAIL")))</x:f>
        <x:v>OPEN</x:v>
      </x:c>
    </x:row>
    <x:row r="476">
      <x:c r="B476" s="28" t="str">
        <x:v>AT-20</x:v>
      </x:c>
      <x:c r="C476" s="28" t="str">
        <x:v>PRIMARY</x:v>
      </x:c>
      <x:c r="D476" s="28" t="str">
        <x:f>INDEX('Attempt Tokens'!$E$7:$E$36,MATCH(B476,'Attempt Tokens'!$B$7:$B$36,0))</x:f>
      </x:c>
      <x:c r="E476" s="28" t="n">
        <x:v>14</x:v>
      </x:c>
      <x:c r="F476" s="28" t="str">
        <x:v>EG-14</x:v>
      </x:c>
      <x:c r="G476" s="28" t="str">
        <x:v>command transactions complete</x:v>
      </x:c>
      <x:c r="H476" s="28" t="str">
        <x:v>PASS</x:v>
      </x:c>
      <x:c r="I476" s="29" t="str"/>
      <x:c r="J476" s="29" t="str"/>
      <x:c r="K476" s="29" t="str"/>
      <x:c r="L476" s="28" t="str">
        <x:f>IF(AND(C476="RESERVE",D476=""),"DORMANT",IF(K476="","OPEN",IF(AND(I476=H476,J476&lt;&gt;""),"PASS","FAIL")))</x:f>
        <x:v>OPEN</x:v>
      </x:c>
    </x:row>
    <x:row r="477">
      <x:c r="B477" s="28" t="str">
        <x:v>AT-20</x:v>
      </x:c>
      <x:c r="C477" s="28" t="str">
        <x:v>PRIMARY</x:v>
      </x:c>
      <x:c r="D477" s="28" t="str">
        <x:f>INDEX('Attempt Tokens'!$E$7:$E$36,MATCH(B477,'Attempt Tokens'!$B$7:$B$36,0))</x:f>
      </x:c>
      <x:c r="E477" s="28" t="n">
        <x:v>15</x:v>
      </x:c>
      <x:c r="F477" s="28" t="str">
        <x:v>EG-15</x:v>
      </x:c>
      <x:c r="G477" s="28" t="str">
        <x:v>phase clock complete</x:v>
      </x:c>
      <x:c r="H477" s="28" t="str">
        <x:v>PASS</x:v>
      </x:c>
      <x:c r="I477" s="29" t="str"/>
      <x:c r="J477" s="29" t="str"/>
      <x:c r="K477" s="29" t="str"/>
      <x:c r="L477" s="28" t="str">
        <x:f>IF(AND(C477="RESERVE",D477=""),"DORMANT",IF(K477="","OPEN",IF(AND(I477=H477,J477&lt;&gt;""),"PASS","FAIL")))</x:f>
        <x:v>OPEN</x:v>
      </x:c>
    </x:row>
    <x:row r="478">
      <x:c r="B478" s="28" t="str">
        <x:v>AT-20</x:v>
      </x:c>
      <x:c r="C478" s="28" t="str">
        <x:v>PRIMARY</x:v>
      </x:c>
      <x:c r="D478" s="28" t="str">
        <x:f>INDEX('Attempt Tokens'!$E$7:$E$36,MATCH(B478,'Attempt Tokens'!$B$7:$B$36,0))</x:f>
      </x:c>
      <x:c r="E478" s="28" t="n">
        <x:v>16</x:v>
      </x:c>
      <x:c r="F478" s="28" t="str">
        <x:v>EG-16</x:v>
      </x:c>
      <x:c r="G478" s="28" t="str">
        <x:v>holds complete</x:v>
      </x:c>
      <x:c r="H478" s="28" t="str">
        <x:v>PASS</x:v>
      </x:c>
      <x:c r="I478" s="29" t="str"/>
      <x:c r="J478" s="29" t="str"/>
      <x:c r="K478" s="29" t="str"/>
      <x:c r="L478" s="28" t="str">
        <x:f>IF(AND(C478="RESERVE",D478=""),"DORMANT",IF(K478="","OPEN",IF(AND(I478=H478,J478&lt;&gt;""),"PASS","FAIL")))</x:f>
        <x:v>OPEN</x:v>
      </x:c>
    </x:row>
    <x:row r="479">
      <x:c r="B479" s="28" t="str">
        <x:v>AT-20</x:v>
      </x:c>
      <x:c r="C479" s="28" t="str">
        <x:v>PRIMARY</x:v>
      </x:c>
      <x:c r="D479" s="28" t="str">
        <x:f>INDEX('Attempt Tokens'!$E$7:$E$36,MATCH(B479,'Attempt Tokens'!$B$7:$B$36,0))</x:f>
      </x:c>
      <x:c r="E479" s="28" t="n">
        <x:v>17</x:v>
      </x:c>
      <x:c r="F479" s="28" t="str">
        <x:v>EG-17</x:v>
      </x:c>
      <x:c r="G479" s="28" t="str">
        <x:v>evidence obligations complete</x:v>
      </x:c>
      <x:c r="H479" s="28" t="str">
        <x:v>PASS</x:v>
      </x:c>
      <x:c r="I479" s="29" t="str"/>
      <x:c r="J479" s="29" t="str"/>
      <x:c r="K479" s="29" t="str"/>
      <x:c r="L479" s="28" t="str">
        <x:f>IF(AND(C479="RESERVE",D479=""),"DORMANT",IF(K479="","OPEN",IF(AND(I479=H479,J479&lt;&gt;""),"PASS","FAIL")))</x:f>
        <x:v>OPEN</x:v>
      </x:c>
    </x:row>
    <x:row r="480">
      <x:c r="B480" s="28" t="str">
        <x:v>AT-20</x:v>
      </x:c>
      <x:c r="C480" s="28" t="str">
        <x:v>PRIMARY</x:v>
      </x:c>
      <x:c r="D480" s="28" t="str">
        <x:f>INDEX('Attempt Tokens'!$E$7:$E$36,MATCH(B480,'Attempt Tokens'!$B$7:$B$36,0))</x:f>
      </x:c>
      <x:c r="E480" s="28" t="n">
        <x:v>18</x:v>
      </x:c>
      <x:c r="F480" s="28" t="str">
        <x:v>EG-18</x:v>
      </x:c>
      <x:c r="G480" s="28" t="str">
        <x:v>blank samples complete</x:v>
      </x:c>
      <x:c r="H480" s="28" t="str">
        <x:v>PASS</x:v>
      </x:c>
      <x:c r="I480" s="29" t="str"/>
      <x:c r="J480" s="29" t="str"/>
      <x:c r="K480" s="29" t="str"/>
      <x:c r="L480" s="28" t="str">
        <x:f>IF(AND(C480="RESERVE",D480=""),"DORMANT",IF(K480="","OPEN",IF(AND(I480=H480,J480&lt;&gt;""),"PASS","FAIL")))</x:f>
        <x:v>OPEN</x:v>
      </x:c>
    </x:row>
    <x:row r="481">
      <x:c r="B481" s="28" t="str">
        <x:v>AT-20</x:v>
      </x:c>
      <x:c r="C481" s="28" t="str">
        <x:v>PRIMARY</x:v>
      </x:c>
      <x:c r="D481" s="28" t="str">
        <x:f>INDEX('Attempt Tokens'!$E$7:$E$36,MATCH(B481,'Attempt Tokens'!$B$7:$B$36,0))</x:f>
      </x:c>
      <x:c r="E481" s="28" t="n">
        <x:v>19</x:v>
      </x:c>
      <x:c r="F481" s="28" t="str">
        <x:v>EG-19</x:v>
      </x:c>
      <x:c r="G481" s="28" t="str">
        <x:v>abort channels classified</x:v>
      </x:c>
      <x:c r="H481" s="28" t="str">
        <x:v>PASS</x:v>
      </x:c>
      <x:c r="I481" s="29" t="str"/>
      <x:c r="J481" s="29" t="str"/>
      <x:c r="K481" s="29" t="str"/>
      <x:c r="L481" s="28" t="str">
        <x:f>IF(AND(C481="RESERVE",D481=""),"DORMANT",IF(K481="","OPEN",IF(AND(I481=H481,J481&lt;&gt;""),"PASS","FAIL")))</x:f>
        <x:v>OPEN</x:v>
      </x:c>
    </x:row>
    <x:row r="482">
      <x:c r="B482" s="28" t="str">
        <x:v>AT-20</x:v>
      </x:c>
      <x:c r="C482" s="28" t="str">
        <x:v>PRIMARY</x:v>
      </x:c>
      <x:c r="D482" s="28" t="str">
        <x:f>INDEX('Attempt Tokens'!$E$7:$E$36,MATCH(B482,'Attempt Tokens'!$B$7:$B$36,0))</x:f>
      </x:c>
      <x:c r="E482" s="28" t="n">
        <x:v>20</x:v>
      </x:c>
      <x:c r="F482" s="28" t="str">
        <x:v>EG-20</x:v>
      </x:c>
      <x:c r="G482" s="28" t="str">
        <x:v>interventions classified</x:v>
      </x:c>
      <x:c r="H482" s="28" t="str">
        <x:v>PASS</x:v>
      </x:c>
      <x:c r="I482" s="29" t="str"/>
      <x:c r="J482" s="29" t="str"/>
      <x:c r="K482" s="29" t="str"/>
      <x:c r="L482" s="28" t="str">
        <x:f>IF(AND(C482="RESERVE",D482=""),"DORMANT",IF(K482="","OPEN",IF(AND(I482=H482,J482&lt;&gt;""),"PASS","FAIL")))</x:f>
        <x:v>OPEN</x:v>
      </x:c>
    </x:row>
    <x:row r="483">
      <x:c r="B483" s="28" t="str">
        <x:v>AT-20</x:v>
      </x:c>
      <x:c r="C483" s="28" t="str">
        <x:v>PRIMARY</x:v>
      </x:c>
      <x:c r="D483" s="28" t="str">
        <x:f>INDEX('Attempt Tokens'!$E$7:$E$36,MATCH(B483,'Attempt Tokens'!$B$7:$B$36,0))</x:f>
      </x:c>
      <x:c r="E483" s="28" t="n">
        <x:v>21</x:v>
      </x:c>
      <x:c r="F483" s="28" t="str">
        <x:v>EG-21</x:v>
      </x:c>
      <x:c r="G483" s="28" t="str">
        <x:v>event result accepted</x:v>
      </x:c>
      <x:c r="H483" s="28" t="str">
        <x:v>PASS</x:v>
      </x:c>
      <x:c r="I483" s="29" t="str"/>
      <x:c r="J483" s="29" t="str"/>
      <x:c r="K483" s="29" t="str"/>
      <x:c r="L483" s="28" t="str">
        <x:f>IF(AND(C483="RESERVE",D483=""),"DORMANT",IF(K483="","OPEN",IF(AND(I483=H483,J483&lt;&gt;""),"PASS","FAIL")))</x:f>
        <x:v>OPEN</x:v>
      </x:c>
    </x:row>
    <x:row r="484">
      <x:c r="B484" s="28" t="str">
        <x:v>AT-20</x:v>
      </x:c>
      <x:c r="C484" s="28" t="str">
        <x:v>PRIMARY</x:v>
      </x:c>
      <x:c r="D484" s="28" t="str">
        <x:f>INDEX('Attempt Tokens'!$E$7:$E$36,MATCH(B484,'Attempt Tokens'!$B$7:$B$36,0))</x:f>
      </x:c>
      <x:c r="E484" s="28" t="n">
        <x:v>22</x:v>
      </x:c>
      <x:c r="F484" s="28" t="str">
        <x:v>EG-22</x:v>
      </x:c>
      <x:c r="G484" s="28" t="str">
        <x:v>recovery states complete</x:v>
      </x:c>
      <x:c r="H484" s="28" t="str">
        <x:v>PASS</x:v>
      </x:c>
      <x:c r="I484" s="29" t="str"/>
      <x:c r="J484" s="29" t="str"/>
      <x:c r="K484" s="29" t="str"/>
      <x:c r="L484" s="28" t="str">
        <x:f>IF(AND(C484="RESERVE",D484=""),"DORMANT",IF(K484="","OPEN",IF(AND(I484=H484,J484&lt;&gt;""),"PASS","FAIL")))</x:f>
        <x:v>OPEN</x:v>
      </x:c>
    </x:row>
    <x:row r="485">
      <x:c r="B485" s="28" t="str">
        <x:v>AT-20</x:v>
      </x:c>
      <x:c r="C485" s="28" t="str">
        <x:v>PRIMARY</x:v>
      </x:c>
      <x:c r="D485" s="28" t="str">
        <x:f>INDEX('Attempt Tokens'!$E$7:$E$36,MATCH(B485,'Attempt Tokens'!$B$7:$B$36,0))</x:f>
      </x:c>
      <x:c r="E485" s="28" t="n">
        <x:v>23</x:v>
      </x:c>
      <x:c r="F485" s="28" t="str">
        <x:v>EG-23</x:v>
      </x:c>
      <x:c r="G485" s="28" t="str">
        <x:v>regeneration and regression complete</x:v>
      </x:c>
      <x:c r="H485" s="28" t="str">
        <x:v>PASS</x:v>
      </x:c>
      <x:c r="I485" s="29" t="str"/>
      <x:c r="J485" s="29" t="str"/>
      <x:c r="K485" s="29" t="str"/>
      <x:c r="L485" s="28" t="str">
        <x:f>IF(AND(C485="RESERVE",D485=""),"DORMANT",IF(K485="","OPEN",IF(AND(I485=H485,J485&lt;&gt;""),"PASS","FAIL")))</x:f>
        <x:v>OPEN</x:v>
      </x:c>
    </x:row>
    <x:row r="486">
      <x:c r="B486" s="28" t="str">
        <x:v>AT-20</x:v>
      </x:c>
      <x:c r="C486" s="28" t="str">
        <x:v>PRIMARY</x:v>
      </x:c>
      <x:c r="D486" s="28" t="str">
        <x:f>INDEX('Attempt Tokens'!$E$7:$E$36,MATCH(B486,'Attempt Tokens'!$B$7:$B$36,0))</x:f>
      </x:c>
      <x:c r="E486" s="28" t="n">
        <x:v>24</x:v>
      </x:c>
      <x:c r="F486" s="28" t="str">
        <x:v>EG-24</x:v>
      </x:c>
      <x:c r="G486" s="28" t="str">
        <x:v>reentry and packet release complete</x:v>
      </x:c>
      <x:c r="H486" s="28" t="str">
        <x:v>PASS</x:v>
      </x:c>
      <x:c r="I486" s="29" t="str"/>
      <x:c r="J486" s="29" t="str"/>
      <x:c r="K486" s="29" t="str"/>
      <x:c r="L486" s="28" t="str">
        <x:f>IF(AND(C486="RESERVE",D486=""),"DORMANT",IF(K486="","OPEN",IF(AND(I486=H486,J486&lt;&gt;""),"PASS","FAIL")))</x:f>
        <x:v>OPEN</x:v>
      </x:c>
    </x:row>
    <x:row r="487">
      <x:c r="B487" s="28" t="str">
        <x:v>AT-21</x:v>
      </x:c>
      <x:c r="C487" s="28" t="str">
        <x:v>PRIMARY</x:v>
      </x:c>
      <x:c r="D487" s="28" t="str">
        <x:f>INDEX('Attempt Tokens'!$E$7:$E$36,MATCH(B487,'Attempt Tokens'!$B$7:$B$36,0))</x:f>
      </x:c>
      <x:c r="E487" s="28" t="n">
        <x:v>1</x:v>
      </x:c>
      <x:c r="F487" s="28" t="str">
        <x:v>EG-01</x:v>
      </x:c>
      <x:c r="G487" s="28" t="str">
        <x:v>RAX or renewed pair credential current</x:v>
      </x:c>
      <x:c r="H487" s="28" t="str">
        <x:v>PASS</x:v>
      </x:c>
      <x:c r="I487" s="29" t="str"/>
      <x:c r="J487" s="29" t="str"/>
      <x:c r="K487" s="29" t="str"/>
      <x:c r="L487" s="28" t="str">
        <x:f>IF(AND(C487="RESERVE",D487=""),"DORMANT",IF(K487="","OPEN",IF(AND(I487=H487,J487&lt;&gt;""),"PASS","FAIL")))</x:f>
        <x:v>OPEN</x:v>
      </x:c>
    </x:row>
    <x:row r="488">
      <x:c r="B488" s="28" t="str">
        <x:v>AT-21</x:v>
      </x:c>
      <x:c r="C488" s="28" t="str">
        <x:v>PRIMARY</x:v>
      </x:c>
      <x:c r="D488" s="28" t="str">
        <x:f>INDEX('Attempt Tokens'!$E$7:$E$36,MATCH(B488,'Attempt Tokens'!$B$7:$B$36,0))</x:f>
      </x:c>
      <x:c r="E488" s="28" t="n">
        <x:v>2</x:v>
      </x:c>
      <x:c r="F488" s="28" t="str">
        <x:v>EG-02</x:v>
      </x:c>
      <x:c r="G488" s="28" t="str">
        <x:v>candidate cell eligible</x:v>
      </x:c>
      <x:c r="H488" s="28" t="str">
        <x:v>PASS</x:v>
      </x:c>
      <x:c r="I488" s="29" t="str"/>
      <x:c r="J488" s="29" t="str"/>
      <x:c r="K488" s="29" t="str"/>
      <x:c r="L488" s="28" t="str">
        <x:f>IF(AND(C488="RESERVE",D488=""),"DORMANT",IF(K488="","OPEN",IF(AND(I488=H488,J488&lt;&gt;""),"PASS","FAIL")))</x:f>
        <x:v>OPEN</x:v>
      </x:c>
    </x:row>
    <x:row r="489">
      <x:c r="B489" s="28" t="str">
        <x:v>AT-21</x:v>
      </x:c>
      <x:c r="C489" s="28" t="str">
        <x:v>PRIMARY</x:v>
      </x:c>
      <x:c r="D489" s="28" t="str">
        <x:f>INDEX('Attempt Tokens'!$E$7:$E$36,MATCH(B489,'Attempt Tokens'!$B$7:$B$36,0))</x:f>
      </x:c>
      <x:c r="E489" s="28" t="n">
        <x:v>3</x:v>
      </x:c>
      <x:c r="F489" s="28" t="str">
        <x:v>EG-03</x:v>
      </x:c>
      <x:c r="G489" s="28" t="str">
        <x:v>draw and schedule binding complete</x:v>
      </x:c>
      <x:c r="H489" s="28" t="str">
        <x:v>PASS</x:v>
      </x:c>
      <x:c r="I489" s="29" t="str"/>
      <x:c r="J489" s="29" t="str"/>
      <x:c r="K489" s="29" t="str"/>
      <x:c r="L489" s="28" t="str">
        <x:f>IF(AND(C489="RESERVE",D489=""),"DORMANT",IF(K489="","OPEN",IF(AND(I489=H489,J489&lt;&gt;""),"PASS","FAIL")))</x:f>
        <x:v>OPEN</x:v>
      </x:c>
    </x:row>
    <x:row r="490">
      <x:c r="B490" s="28" t="str">
        <x:v>AT-21</x:v>
      </x:c>
      <x:c r="C490" s="28" t="str">
        <x:v>PRIMARY</x:v>
      </x:c>
      <x:c r="D490" s="28" t="str">
        <x:f>INDEX('Attempt Tokens'!$E$7:$E$36,MATCH(B490,'Attempt Tokens'!$B$7:$B$36,0))</x:f>
      </x:c>
      <x:c r="E490" s="28" t="n">
        <x:v>4</x:v>
      </x:c>
      <x:c r="F490" s="28" t="str">
        <x:v>EG-04</x:v>
      </x:c>
      <x:c r="G490" s="28" t="str">
        <x:v>event issue accepted</x:v>
      </x:c>
      <x:c r="H490" s="28" t="str">
        <x:v>PASS</x:v>
      </x:c>
      <x:c r="I490" s="29" t="str"/>
      <x:c r="J490" s="29" t="str"/>
      <x:c r="K490" s="29" t="str"/>
      <x:c r="L490" s="28" t="str">
        <x:f>IF(AND(C490="RESERVE",D490=""),"DORMANT",IF(K490="","OPEN",IF(AND(I490=H490,J490&lt;&gt;""),"PASS","FAIL")))</x:f>
        <x:v>OPEN</x:v>
      </x:c>
    </x:row>
    <x:row r="491">
      <x:c r="B491" s="28" t="str">
        <x:v>AT-21</x:v>
      </x:c>
      <x:c r="C491" s="28" t="str">
        <x:v>PRIMARY</x:v>
      </x:c>
      <x:c r="D491" s="28" t="str">
        <x:f>INDEX('Attempt Tokens'!$E$7:$E$36,MATCH(B491,'Attempt Tokens'!$B$7:$B$36,0))</x:f>
      </x:c>
      <x:c r="E491" s="28" t="n">
        <x:v>5</x:v>
      </x:c>
      <x:c r="F491" s="28" t="str">
        <x:v>EG-05</x:v>
      </x:c>
      <x:c r="G491" s="28" t="str">
        <x:v>dossier bindings complete</x:v>
      </x:c>
      <x:c r="H491" s="28" t="str">
        <x:v>PASS</x:v>
      </x:c>
      <x:c r="I491" s="29" t="str"/>
      <x:c r="J491" s="29" t="str"/>
      <x:c r="K491" s="29" t="str"/>
      <x:c r="L491" s="28" t="str">
        <x:f>IF(AND(C491="RESERVE",D491=""),"DORMANT",IF(K491="","OPEN",IF(AND(I491=H491,J491&lt;&gt;""),"PASS","FAIL")))</x:f>
        <x:v>OPEN</x:v>
      </x:c>
    </x:row>
    <x:row r="492">
      <x:c r="B492" s="28" t="str">
        <x:v>AT-21</x:v>
      </x:c>
      <x:c r="C492" s="28" t="str">
        <x:v>PRIMARY</x:v>
      </x:c>
      <x:c r="D492" s="28" t="str">
        <x:f>INDEX('Attempt Tokens'!$E$7:$E$36,MATCH(B492,'Attempt Tokens'!$B$7:$B$36,0))</x:f>
      </x:c>
      <x:c r="E492" s="28" t="n">
        <x:v>6</x:v>
      </x:c>
      <x:c r="F492" s="28" t="str">
        <x:v>EG-06</x:v>
      </x:c>
      <x:c r="G492" s="28" t="str">
        <x:v>event crew complete</x:v>
      </x:c>
      <x:c r="H492" s="28" t="str">
        <x:v>PASS</x:v>
      </x:c>
      <x:c r="I492" s="29" t="str"/>
      <x:c r="J492" s="29" t="str"/>
      <x:c r="K492" s="29" t="str"/>
      <x:c r="L492" s="28" t="str">
        <x:f>IF(AND(C492="RESERVE",D492=""),"DORMANT",IF(K492="","OPEN",IF(AND(I492=H492,J492&lt;&gt;""),"PASS","FAIL")))</x:f>
        <x:v>OPEN</x:v>
      </x:c>
    </x:row>
    <x:row r="493">
      <x:c r="B493" s="28" t="str">
        <x:v>AT-21</x:v>
      </x:c>
      <x:c r="C493" s="28" t="str">
        <x:v>PRIMARY</x:v>
      </x:c>
      <x:c r="D493" s="28" t="str">
        <x:f>INDEX('Attempt Tokens'!$E$7:$E$36,MATCH(B493,'Attempt Tokens'!$B$7:$B$36,0))</x:f>
      </x:c>
      <x:c r="E493" s="28" t="n">
        <x:v>7</x:v>
      </x:c>
      <x:c r="F493" s="28" t="str">
        <x:v>EG-07</x:v>
      </x:c>
      <x:c r="G493" s="28" t="str">
        <x:v>configuration freeze complete</x:v>
      </x:c>
      <x:c r="H493" s="28" t="str">
        <x:v>PASS</x:v>
      </x:c>
      <x:c r="I493" s="29" t="str"/>
      <x:c r="J493" s="29" t="str"/>
      <x:c r="K493" s="29" t="str"/>
      <x:c r="L493" s="28" t="str">
        <x:f>IF(AND(C493="RESERVE",D493=""),"DORMANT",IF(K493="","OPEN",IF(AND(I493=H493,J493&lt;&gt;""),"PASS","FAIL")))</x:f>
        <x:v>OPEN</x:v>
      </x:c>
    </x:row>
    <x:row r="494">
      <x:c r="B494" s="28" t="str">
        <x:v>AT-21</x:v>
      </x:c>
      <x:c r="C494" s="28" t="str">
        <x:v>PRIMARY</x:v>
      </x:c>
      <x:c r="D494" s="28" t="str">
        <x:f>INDEX('Attempt Tokens'!$E$7:$E$36,MATCH(B494,'Attempt Tokens'!$B$7:$B$36,0))</x:f>
      </x:c>
      <x:c r="E494" s="28" t="n">
        <x:v>8</x:v>
      </x:c>
      <x:c r="F494" s="28" t="str">
        <x:v>EG-08</x:v>
      </x:c>
      <x:c r="G494" s="28" t="str">
        <x:v>zero-source checks complete</x:v>
      </x:c>
      <x:c r="H494" s="28" t="str">
        <x:v>PASS</x:v>
      </x:c>
      <x:c r="I494" s="29" t="str"/>
      <x:c r="J494" s="29" t="str"/>
      <x:c r="K494" s="29" t="str"/>
      <x:c r="L494" s="28" t="str">
        <x:f>IF(AND(C494="RESERVE",D494=""),"DORMANT",IF(K494="","OPEN",IF(AND(I494=H494,J494&lt;&gt;""),"PASS","FAIL")))</x:f>
        <x:v>OPEN</x:v>
      </x:c>
    </x:row>
    <x:row r="495">
      <x:c r="B495" s="28" t="str">
        <x:v>AT-21</x:v>
      </x:c>
      <x:c r="C495" s="28" t="str">
        <x:v>PRIMARY</x:v>
      </x:c>
      <x:c r="D495" s="28" t="str">
        <x:f>INDEX('Attempt Tokens'!$E$7:$E$36,MATCH(B495,'Attempt Tokens'!$B$7:$B$36,0))</x:f>
      </x:c>
      <x:c r="E495" s="28" t="n">
        <x:v>9</x:v>
      </x:c>
      <x:c r="F495" s="28" t="str">
        <x:v>EG-09</x:v>
      </x:c>
      <x:c r="G495" s="28" t="str">
        <x:v>zero-water checks complete</x:v>
      </x:c>
      <x:c r="H495" s="28" t="str">
        <x:v>PASS</x:v>
      </x:c>
      <x:c r="I495" s="29" t="str"/>
      <x:c r="J495" s="29" t="str"/>
      <x:c r="K495" s="29" t="str"/>
      <x:c r="L495" s="28" t="str">
        <x:f>IF(AND(C495="RESERVE",D495=""),"DORMANT",IF(K495="","OPEN",IF(AND(I495=H495,J495&lt;&gt;""),"PASS","FAIL")))</x:f>
        <x:v>OPEN</x:v>
      </x:c>
    </x:row>
    <x:row r="496">
      <x:c r="B496" s="28" t="str">
        <x:v>AT-21</x:v>
      </x:c>
      <x:c r="C496" s="28" t="str">
        <x:v>PRIMARY</x:v>
      </x:c>
      <x:c r="D496" s="28" t="str">
        <x:f>INDEX('Attempt Tokens'!$E$7:$E$36,MATCH(B496,'Attempt Tokens'!$B$7:$B$36,0))</x:f>
      </x:c>
      <x:c r="E496" s="28" t="n">
        <x:v>10</x:v>
      </x:c>
      <x:c r="F496" s="28" t="str">
        <x:v>EG-10</x:v>
      </x:c>
      <x:c r="G496" s="28" t="str">
        <x:v>uncertainty decisions complete</x:v>
      </x:c>
      <x:c r="H496" s="28" t="str">
        <x:v>PASS</x:v>
      </x:c>
      <x:c r="I496" s="29" t="str"/>
      <x:c r="J496" s="29" t="str"/>
      <x:c r="K496" s="29" t="str"/>
      <x:c r="L496" s="28" t="str">
        <x:f>IF(AND(C496="RESERVE",D496=""),"DORMANT",IF(K496="","OPEN",IF(AND(I496=H496,J496&lt;&gt;""),"PASS","FAIL")))</x:f>
        <x:v>OPEN</x:v>
      </x:c>
    </x:row>
    <x:row r="497">
      <x:c r="B497" s="28" t="str">
        <x:v>AT-21</x:v>
      </x:c>
      <x:c r="C497" s="28" t="str">
        <x:v>PRIMARY</x:v>
      </x:c>
      <x:c r="D497" s="28" t="str">
        <x:f>INDEX('Attempt Tokens'!$E$7:$E$36,MATCH(B497,'Attempt Tokens'!$B$7:$B$36,0))</x:f>
      </x:c>
      <x:c r="E497" s="28" t="n">
        <x:v>11</x:v>
      </x:c>
      <x:c r="F497" s="28" t="str">
        <x:v>EG-11</x:v>
      </x:c>
      <x:c r="G497" s="28" t="str">
        <x:v>measurement windows complete</x:v>
      </x:c>
      <x:c r="H497" s="28" t="str">
        <x:v>PASS</x:v>
      </x:c>
      <x:c r="I497" s="29" t="str"/>
      <x:c r="J497" s="29" t="str"/>
      <x:c r="K497" s="29" t="str"/>
      <x:c r="L497" s="28" t="str">
        <x:f>IF(AND(C497="RESERVE",D497=""),"DORMANT",IF(K497="","OPEN",IF(AND(I497=H497,J497&lt;&gt;""),"PASS","FAIL")))</x:f>
        <x:v>OPEN</x:v>
      </x:c>
    </x:row>
    <x:row r="498">
      <x:c r="B498" s="28" t="str">
        <x:v>AT-21</x:v>
      </x:c>
      <x:c r="C498" s="28" t="str">
        <x:v>PRIMARY</x:v>
      </x:c>
      <x:c r="D498" s="28" t="str">
        <x:f>INDEX('Attempt Tokens'!$E$7:$E$36,MATCH(B498,'Attempt Tokens'!$B$7:$B$36,0))</x:f>
      </x:c>
      <x:c r="E498" s="28" t="n">
        <x:v>12</x:v>
      </x:c>
      <x:c r="F498" s="28" t="str">
        <x:v>EG-12</x:v>
      </x:c>
      <x:c r="G498" s="28" t="str">
        <x:v>neighbor proofs complete</x:v>
      </x:c>
      <x:c r="H498" s="28" t="str">
        <x:v>PASS</x:v>
      </x:c>
      <x:c r="I498" s="29" t="str"/>
      <x:c r="J498" s="29" t="str"/>
      <x:c r="K498" s="29" t="str"/>
      <x:c r="L498" s="28" t="str">
        <x:f>IF(AND(C498="RESERVE",D498=""),"DORMANT",IF(K498="","OPEN",IF(AND(I498=H498,J498&lt;&gt;""),"PASS","FAIL")))</x:f>
        <x:v>OPEN</x:v>
      </x:c>
    </x:row>
    <x:row r="499">
      <x:c r="B499" s="28" t="str">
        <x:v>AT-21</x:v>
      </x:c>
      <x:c r="C499" s="28" t="str">
        <x:v>PRIMARY</x:v>
      </x:c>
      <x:c r="D499" s="28" t="str">
        <x:f>INDEX('Attempt Tokens'!$E$7:$E$36,MATCH(B499,'Attempt Tokens'!$B$7:$B$36,0))</x:f>
      </x:c>
      <x:c r="E499" s="28" t="n">
        <x:v>13</x:v>
      </x:c>
      <x:c r="F499" s="28" t="str">
        <x:v>EG-13</x:v>
      </x:c>
      <x:c r="G499" s="28" t="str">
        <x:v>safeing polls complete</x:v>
      </x:c>
      <x:c r="H499" s="28" t="str">
        <x:v>PASS</x:v>
      </x:c>
      <x:c r="I499" s="29" t="str"/>
      <x:c r="J499" s="29" t="str"/>
      <x:c r="K499" s="29" t="str"/>
      <x:c r="L499" s="28" t="str">
        <x:f>IF(AND(C499="RESERVE",D499=""),"DORMANT",IF(K499="","OPEN",IF(AND(I499=H499,J499&lt;&gt;""),"PASS","FAIL")))</x:f>
        <x:v>OPEN</x:v>
      </x:c>
    </x:row>
    <x:row r="500">
      <x:c r="B500" s="28" t="str">
        <x:v>AT-21</x:v>
      </x:c>
      <x:c r="C500" s="28" t="str">
        <x:v>PRIMARY</x:v>
      </x:c>
      <x:c r="D500" s="28" t="str">
        <x:f>INDEX('Attempt Tokens'!$E$7:$E$36,MATCH(B500,'Attempt Tokens'!$B$7:$B$36,0))</x:f>
      </x:c>
      <x:c r="E500" s="28" t="n">
        <x:v>14</x:v>
      </x:c>
      <x:c r="F500" s="28" t="str">
        <x:v>EG-14</x:v>
      </x:c>
      <x:c r="G500" s="28" t="str">
        <x:v>command transactions complete</x:v>
      </x:c>
      <x:c r="H500" s="28" t="str">
        <x:v>PASS</x:v>
      </x:c>
      <x:c r="I500" s="29" t="str"/>
      <x:c r="J500" s="29" t="str"/>
      <x:c r="K500" s="29" t="str"/>
      <x:c r="L500" s="28" t="str">
        <x:f>IF(AND(C500="RESERVE",D500=""),"DORMANT",IF(K500="","OPEN",IF(AND(I500=H500,J500&lt;&gt;""),"PASS","FAIL")))</x:f>
        <x:v>OPEN</x:v>
      </x:c>
    </x:row>
    <x:row r="501">
      <x:c r="B501" s="28" t="str">
        <x:v>AT-21</x:v>
      </x:c>
      <x:c r="C501" s="28" t="str">
        <x:v>PRIMARY</x:v>
      </x:c>
      <x:c r="D501" s="28" t="str">
        <x:f>INDEX('Attempt Tokens'!$E$7:$E$36,MATCH(B501,'Attempt Tokens'!$B$7:$B$36,0))</x:f>
      </x:c>
      <x:c r="E501" s="28" t="n">
        <x:v>15</x:v>
      </x:c>
      <x:c r="F501" s="28" t="str">
        <x:v>EG-15</x:v>
      </x:c>
      <x:c r="G501" s="28" t="str">
        <x:v>phase clock complete</x:v>
      </x:c>
      <x:c r="H501" s="28" t="str">
        <x:v>PASS</x:v>
      </x:c>
      <x:c r="I501" s="29" t="str"/>
      <x:c r="J501" s="29" t="str"/>
      <x:c r="K501" s="29" t="str"/>
      <x:c r="L501" s="28" t="str">
        <x:f>IF(AND(C501="RESERVE",D501=""),"DORMANT",IF(K501="","OPEN",IF(AND(I501=H501,J501&lt;&gt;""),"PASS","FAIL")))</x:f>
        <x:v>OPEN</x:v>
      </x:c>
    </x:row>
    <x:row r="502">
      <x:c r="B502" s="28" t="str">
        <x:v>AT-21</x:v>
      </x:c>
      <x:c r="C502" s="28" t="str">
        <x:v>PRIMARY</x:v>
      </x:c>
      <x:c r="D502" s="28" t="str">
        <x:f>INDEX('Attempt Tokens'!$E$7:$E$36,MATCH(B502,'Attempt Tokens'!$B$7:$B$36,0))</x:f>
      </x:c>
      <x:c r="E502" s="28" t="n">
        <x:v>16</x:v>
      </x:c>
      <x:c r="F502" s="28" t="str">
        <x:v>EG-16</x:v>
      </x:c>
      <x:c r="G502" s="28" t="str">
        <x:v>holds complete</x:v>
      </x:c>
      <x:c r="H502" s="28" t="str">
        <x:v>PASS</x:v>
      </x:c>
      <x:c r="I502" s="29" t="str"/>
      <x:c r="J502" s="29" t="str"/>
      <x:c r="K502" s="29" t="str"/>
      <x:c r="L502" s="28" t="str">
        <x:f>IF(AND(C502="RESERVE",D502=""),"DORMANT",IF(K502="","OPEN",IF(AND(I502=H502,J502&lt;&gt;""),"PASS","FAIL")))</x:f>
        <x:v>OPEN</x:v>
      </x:c>
    </x:row>
    <x:row r="503">
      <x:c r="B503" s="28" t="str">
        <x:v>AT-21</x:v>
      </x:c>
      <x:c r="C503" s="28" t="str">
        <x:v>PRIMARY</x:v>
      </x:c>
      <x:c r="D503" s="28" t="str">
        <x:f>INDEX('Attempt Tokens'!$E$7:$E$36,MATCH(B503,'Attempt Tokens'!$B$7:$B$36,0))</x:f>
      </x:c>
      <x:c r="E503" s="28" t="n">
        <x:v>17</x:v>
      </x:c>
      <x:c r="F503" s="28" t="str">
        <x:v>EG-17</x:v>
      </x:c>
      <x:c r="G503" s="28" t="str">
        <x:v>evidence obligations complete</x:v>
      </x:c>
      <x:c r="H503" s="28" t="str">
        <x:v>PASS</x:v>
      </x:c>
      <x:c r="I503" s="29" t="str"/>
      <x:c r="J503" s="29" t="str"/>
      <x:c r="K503" s="29" t="str"/>
      <x:c r="L503" s="28" t="str">
        <x:f>IF(AND(C503="RESERVE",D503=""),"DORMANT",IF(K503="","OPEN",IF(AND(I503=H503,J503&lt;&gt;""),"PASS","FAIL")))</x:f>
        <x:v>OPEN</x:v>
      </x:c>
    </x:row>
    <x:row r="504">
      <x:c r="B504" s="28" t="str">
        <x:v>AT-21</x:v>
      </x:c>
      <x:c r="C504" s="28" t="str">
        <x:v>PRIMARY</x:v>
      </x:c>
      <x:c r="D504" s="28" t="str">
        <x:f>INDEX('Attempt Tokens'!$E$7:$E$36,MATCH(B504,'Attempt Tokens'!$B$7:$B$36,0))</x:f>
      </x:c>
      <x:c r="E504" s="28" t="n">
        <x:v>18</x:v>
      </x:c>
      <x:c r="F504" s="28" t="str">
        <x:v>EG-18</x:v>
      </x:c>
      <x:c r="G504" s="28" t="str">
        <x:v>blank samples complete</x:v>
      </x:c>
      <x:c r="H504" s="28" t="str">
        <x:v>PASS</x:v>
      </x:c>
      <x:c r="I504" s="29" t="str"/>
      <x:c r="J504" s="29" t="str"/>
      <x:c r="K504" s="29" t="str"/>
      <x:c r="L504" s="28" t="str">
        <x:f>IF(AND(C504="RESERVE",D504=""),"DORMANT",IF(K504="","OPEN",IF(AND(I504=H504,J504&lt;&gt;""),"PASS","FAIL")))</x:f>
        <x:v>OPEN</x:v>
      </x:c>
    </x:row>
    <x:row r="505">
      <x:c r="B505" s="28" t="str">
        <x:v>AT-21</x:v>
      </x:c>
      <x:c r="C505" s="28" t="str">
        <x:v>PRIMARY</x:v>
      </x:c>
      <x:c r="D505" s="28" t="str">
        <x:f>INDEX('Attempt Tokens'!$E$7:$E$36,MATCH(B505,'Attempt Tokens'!$B$7:$B$36,0))</x:f>
      </x:c>
      <x:c r="E505" s="28" t="n">
        <x:v>19</x:v>
      </x:c>
      <x:c r="F505" s="28" t="str">
        <x:v>EG-19</x:v>
      </x:c>
      <x:c r="G505" s="28" t="str">
        <x:v>abort channels classified</x:v>
      </x:c>
      <x:c r="H505" s="28" t="str">
        <x:v>PASS</x:v>
      </x:c>
      <x:c r="I505" s="29" t="str"/>
      <x:c r="J505" s="29" t="str"/>
      <x:c r="K505" s="29" t="str"/>
      <x:c r="L505" s="28" t="str">
        <x:f>IF(AND(C505="RESERVE",D505=""),"DORMANT",IF(K505="","OPEN",IF(AND(I505=H505,J505&lt;&gt;""),"PASS","FAIL")))</x:f>
        <x:v>OPEN</x:v>
      </x:c>
    </x:row>
    <x:row r="506">
      <x:c r="B506" s="28" t="str">
        <x:v>AT-21</x:v>
      </x:c>
      <x:c r="C506" s="28" t="str">
        <x:v>PRIMARY</x:v>
      </x:c>
      <x:c r="D506" s="28" t="str">
        <x:f>INDEX('Attempt Tokens'!$E$7:$E$36,MATCH(B506,'Attempt Tokens'!$B$7:$B$36,0))</x:f>
      </x:c>
      <x:c r="E506" s="28" t="n">
        <x:v>20</x:v>
      </x:c>
      <x:c r="F506" s="28" t="str">
        <x:v>EG-20</x:v>
      </x:c>
      <x:c r="G506" s="28" t="str">
        <x:v>interventions classified</x:v>
      </x:c>
      <x:c r="H506" s="28" t="str">
        <x:v>PASS</x:v>
      </x:c>
      <x:c r="I506" s="29" t="str"/>
      <x:c r="J506" s="29" t="str"/>
      <x:c r="K506" s="29" t="str"/>
      <x:c r="L506" s="28" t="str">
        <x:f>IF(AND(C506="RESERVE",D506=""),"DORMANT",IF(K506="","OPEN",IF(AND(I506=H506,J506&lt;&gt;""),"PASS","FAIL")))</x:f>
        <x:v>OPEN</x:v>
      </x:c>
    </x:row>
    <x:row r="507">
      <x:c r="B507" s="28" t="str">
        <x:v>AT-21</x:v>
      </x:c>
      <x:c r="C507" s="28" t="str">
        <x:v>PRIMARY</x:v>
      </x:c>
      <x:c r="D507" s="28" t="str">
        <x:f>INDEX('Attempt Tokens'!$E$7:$E$36,MATCH(B507,'Attempt Tokens'!$B$7:$B$36,0))</x:f>
      </x:c>
      <x:c r="E507" s="28" t="n">
        <x:v>21</x:v>
      </x:c>
      <x:c r="F507" s="28" t="str">
        <x:v>EG-21</x:v>
      </x:c>
      <x:c r="G507" s="28" t="str">
        <x:v>event result accepted</x:v>
      </x:c>
      <x:c r="H507" s="28" t="str">
        <x:v>PASS</x:v>
      </x:c>
      <x:c r="I507" s="29" t="str"/>
      <x:c r="J507" s="29" t="str"/>
      <x:c r="K507" s="29" t="str"/>
      <x:c r="L507" s="28" t="str">
        <x:f>IF(AND(C507="RESERVE",D507=""),"DORMANT",IF(K507="","OPEN",IF(AND(I507=H507,J507&lt;&gt;""),"PASS","FAIL")))</x:f>
        <x:v>OPEN</x:v>
      </x:c>
    </x:row>
    <x:row r="508">
      <x:c r="B508" s="28" t="str">
        <x:v>AT-21</x:v>
      </x:c>
      <x:c r="C508" s="28" t="str">
        <x:v>PRIMARY</x:v>
      </x:c>
      <x:c r="D508" s="28" t="str">
        <x:f>INDEX('Attempt Tokens'!$E$7:$E$36,MATCH(B508,'Attempt Tokens'!$B$7:$B$36,0))</x:f>
      </x:c>
      <x:c r="E508" s="28" t="n">
        <x:v>22</x:v>
      </x:c>
      <x:c r="F508" s="28" t="str">
        <x:v>EG-22</x:v>
      </x:c>
      <x:c r="G508" s="28" t="str">
        <x:v>recovery states complete</x:v>
      </x:c>
      <x:c r="H508" s="28" t="str">
        <x:v>PASS</x:v>
      </x:c>
      <x:c r="I508" s="29" t="str"/>
      <x:c r="J508" s="29" t="str"/>
      <x:c r="K508" s="29" t="str"/>
      <x:c r="L508" s="28" t="str">
        <x:f>IF(AND(C508="RESERVE",D508=""),"DORMANT",IF(K508="","OPEN",IF(AND(I508=H508,J508&lt;&gt;""),"PASS","FAIL")))</x:f>
        <x:v>OPEN</x:v>
      </x:c>
    </x:row>
    <x:row r="509">
      <x:c r="B509" s="28" t="str">
        <x:v>AT-21</x:v>
      </x:c>
      <x:c r="C509" s="28" t="str">
        <x:v>PRIMARY</x:v>
      </x:c>
      <x:c r="D509" s="28" t="str">
        <x:f>INDEX('Attempt Tokens'!$E$7:$E$36,MATCH(B509,'Attempt Tokens'!$B$7:$B$36,0))</x:f>
      </x:c>
      <x:c r="E509" s="28" t="n">
        <x:v>23</x:v>
      </x:c>
      <x:c r="F509" s="28" t="str">
        <x:v>EG-23</x:v>
      </x:c>
      <x:c r="G509" s="28" t="str">
        <x:v>regeneration and regression complete</x:v>
      </x:c>
      <x:c r="H509" s="28" t="str">
        <x:v>PASS</x:v>
      </x:c>
      <x:c r="I509" s="29" t="str"/>
      <x:c r="J509" s="29" t="str"/>
      <x:c r="K509" s="29" t="str"/>
      <x:c r="L509" s="28" t="str">
        <x:f>IF(AND(C509="RESERVE",D509=""),"DORMANT",IF(K509="","OPEN",IF(AND(I509=H509,J509&lt;&gt;""),"PASS","FAIL")))</x:f>
        <x:v>OPEN</x:v>
      </x:c>
    </x:row>
    <x:row r="510">
      <x:c r="B510" s="28" t="str">
        <x:v>AT-21</x:v>
      </x:c>
      <x:c r="C510" s="28" t="str">
        <x:v>PRIMARY</x:v>
      </x:c>
      <x:c r="D510" s="28" t="str">
        <x:f>INDEX('Attempt Tokens'!$E$7:$E$36,MATCH(B510,'Attempt Tokens'!$B$7:$B$36,0))</x:f>
      </x:c>
      <x:c r="E510" s="28" t="n">
        <x:v>24</x:v>
      </x:c>
      <x:c r="F510" s="28" t="str">
        <x:v>EG-24</x:v>
      </x:c>
      <x:c r="G510" s="28" t="str">
        <x:v>reentry and packet release complete</x:v>
      </x:c>
      <x:c r="H510" s="28" t="str">
        <x:v>PASS</x:v>
      </x:c>
      <x:c r="I510" s="29" t="str"/>
      <x:c r="J510" s="29" t="str"/>
      <x:c r="K510" s="29" t="str"/>
      <x:c r="L510" s="28" t="str">
        <x:f>IF(AND(C510="RESERVE",D510=""),"DORMANT",IF(K510="","OPEN",IF(AND(I510=H510,J510&lt;&gt;""),"PASS","FAIL")))</x:f>
        <x:v>OPEN</x:v>
      </x:c>
    </x:row>
    <x:row r="511">
      <x:c r="B511" s="28" t="str">
        <x:v>AT-22</x:v>
      </x:c>
      <x:c r="C511" s="28" t="str">
        <x:v>PRIMARY</x:v>
      </x:c>
      <x:c r="D511" s="28" t="str">
        <x:f>INDEX('Attempt Tokens'!$E$7:$E$36,MATCH(B511,'Attempt Tokens'!$B$7:$B$36,0))</x:f>
      </x:c>
      <x:c r="E511" s="28" t="n">
        <x:v>1</x:v>
      </x:c>
      <x:c r="F511" s="28" t="str">
        <x:v>EG-01</x:v>
      </x:c>
      <x:c r="G511" s="28" t="str">
        <x:v>RAX or renewed pair credential current</x:v>
      </x:c>
      <x:c r="H511" s="28" t="str">
        <x:v>PASS</x:v>
      </x:c>
      <x:c r="I511" s="29" t="str"/>
      <x:c r="J511" s="29" t="str"/>
      <x:c r="K511" s="29" t="str"/>
      <x:c r="L511" s="28" t="str">
        <x:f>IF(AND(C511="RESERVE",D511=""),"DORMANT",IF(K511="","OPEN",IF(AND(I511=H511,J511&lt;&gt;""),"PASS","FAIL")))</x:f>
        <x:v>OPEN</x:v>
      </x:c>
    </x:row>
    <x:row r="512">
      <x:c r="B512" s="28" t="str">
        <x:v>AT-22</x:v>
      </x:c>
      <x:c r="C512" s="28" t="str">
        <x:v>PRIMARY</x:v>
      </x:c>
      <x:c r="D512" s="28" t="str">
        <x:f>INDEX('Attempt Tokens'!$E$7:$E$36,MATCH(B512,'Attempt Tokens'!$B$7:$B$36,0))</x:f>
      </x:c>
      <x:c r="E512" s="28" t="n">
        <x:v>2</x:v>
      </x:c>
      <x:c r="F512" s="28" t="str">
        <x:v>EG-02</x:v>
      </x:c>
      <x:c r="G512" s="28" t="str">
        <x:v>candidate cell eligible</x:v>
      </x:c>
      <x:c r="H512" s="28" t="str">
        <x:v>PASS</x:v>
      </x:c>
      <x:c r="I512" s="29" t="str"/>
      <x:c r="J512" s="29" t="str"/>
      <x:c r="K512" s="29" t="str"/>
      <x:c r="L512" s="28" t="str">
        <x:f>IF(AND(C512="RESERVE",D512=""),"DORMANT",IF(K512="","OPEN",IF(AND(I512=H512,J512&lt;&gt;""),"PASS","FAIL")))</x:f>
        <x:v>OPEN</x:v>
      </x:c>
    </x:row>
    <x:row r="513">
      <x:c r="B513" s="28" t="str">
        <x:v>AT-22</x:v>
      </x:c>
      <x:c r="C513" s="28" t="str">
        <x:v>PRIMARY</x:v>
      </x:c>
      <x:c r="D513" s="28" t="str">
        <x:f>INDEX('Attempt Tokens'!$E$7:$E$36,MATCH(B513,'Attempt Tokens'!$B$7:$B$36,0))</x:f>
      </x:c>
      <x:c r="E513" s="28" t="n">
        <x:v>3</x:v>
      </x:c>
      <x:c r="F513" s="28" t="str">
        <x:v>EG-03</x:v>
      </x:c>
      <x:c r="G513" s="28" t="str">
        <x:v>draw and schedule binding complete</x:v>
      </x:c>
      <x:c r="H513" s="28" t="str">
        <x:v>PASS</x:v>
      </x:c>
      <x:c r="I513" s="29" t="str"/>
      <x:c r="J513" s="29" t="str"/>
      <x:c r="K513" s="29" t="str"/>
      <x:c r="L513" s="28" t="str">
        <x:f>IF(AND(C513="RESERVE",D513=""),"DORMANT",IF(K513="","OPEN",IF(AND(I513=H513,J513&lt;&gt;""),"PASS","FAIL")))</x:f>
        <x:v>OPEN</x:v>
      </x:c>
    </x:row>
    <x:row r="514">
      <x:c r="B514" s="28" t="str">
        <x:v>AT-22</x:v>
      </x:c>
      <x:c r="C514" s="28" t="str">
        <x:v>PRIMARY</x:v>
      </x:c>
      <x:c r="D514" s="28" t="str">
        <x:f>INDEX('Attempt Tokens'!$E$7:$E$36,MATCH(B514,'Attempt Tokens'!$B$7:$B$36,0))</x:f>
      </x:c>
      <x:c r="E514" s="28" t="n">
        <x:v>4</x:v>
      </x:c>
      <x:c r="F514" s="28" t="str">
        <x:v>EG-04</x:v>
      </x:c>
      <x:c r="G514" s="28" t="str">
        <x:v>event issue accepted</x:v>
      </x:c>
      <x:c r="H514" s="28" t="str">
        <x:v>PASS</x:v>
      </x:c>
      <x:c r="I514" s="29" t="str"/>
      <x:c r="J514" s="29" t="str"/>
      <x:c r="K514" s="29" t="str"/>
      <x:c r="L514" s="28" t="str">
        <x:f>IF(AND(C514="RESERVE",D514=""),"DORMANT",IF(K514="","OPEN",IF(AND(I514=H514,J514&lt;&gt;""),"PASS","FAIL")))</x:f>
        <x:v>OPEN</x:v>
      </x:c>
    </x:row>
    <x:row r="515">
      <x:c r="B515" s="28" t="str">
        <x:v>AT-22</x:v>
      </x:c>
      <x:c r="C515" s="28" t="str">
        <x:v>PRIMARY</x:v>
      </x:c>
      <x:c r="D515" s="28" t="str">
        <x:f>INDEX('Attempt Tokens'!$E$7:$E$36,MATCH(B515,'Attempt Tokens'!$B$7:$B$36,0))</x:f>
      </x:c>
      <x:c r="E515" s="28" t="n">
        <x:v>5</x:v>
      </x:c>
      <x:c r="F515" s="28" t="str">
        <x:v>EG-05</x:v>
      </x:c>
      <x:c r="G515" s="28" t="str">
        <x:v>dossier bindings complete</x:v>
      </x:c>
      <x:c r="H515" s="28" t="str">
        <x:v>PASS</x:v>
      </x:c>
      <x:c r="I515" s="29" t="str"/>
      <x:c r="J515" s="29" t="str"/>
      <x:c r="K515" s="29" t="str"/>
      <x:c r="L515" s="28" t="str">
        <x:f>IF(AND(C515="RESERVE",D515=""),"DORMANT",IF(K515="","OPEN",IF(AND(I515=H515,J515&lt;&gt;""),"PASS","FAIL")))</x:f>
        <x:v>OPEN</x:v>
      </x:c>
    </x:row>
    <x:row r="516">
      <x:c r="B516" s="28" t="str">
        <x:v>AT-22</x:v>
      </x:c>
      <x:c r="C516" s="28" t="str">
        <x:v>PRIMARY</x:v>
      </x:c>
      <x:c r="D516" s="28" t="str">
        <x:f>INDEX('Attempt Tokens'!$E$7:$E$36,MATCH(B516,'Attempt Tokens'!$B$7:$B$36,0))</x:f>
      </x:c>
      <x:c r="E516" s="28" t="n">
        <x:v>6</x:v>
      </x:c>
      <x:c r="F516" s="28" t="str">
        <x:v>EG-06</x:v>
      </x:c>
      <x:c r="G516" s="28" t="str">
        <x:v>event crew complete</x:v>
      </x:c>
      <x:c r="H516" s="28" t="str">
        <x:v>PASS</x:v>
      </x:c>
      <x:c r="I516" s="29" t="str"/>
      <x:c r="J516" s="29" t="str"/>
      <x:c r="K516" s="29" t="str"/>
      <x:c r="L516" s="28" t="str">
        <x:f>IF(AND(C516="RESERVE",D516=""),"DORMANT",IF(K516="","OPEN",IF(AND(I516=H516,J516&lt;&gt;""),"PASS","FAIL")))</x:f>
        <x:v>OPEN</x:v>
      </x:c>
    </x:row>
    <x:row r="517">
      <x:c r="B517" s="28" t="str">
        <x:v>AT-22</x:v>
      </x:c>
      <x:c r="C517" s="28" t="str">
        <x:v>PRIMARY</x:v>
      </x:c>
      <x:c r="D517" s="28" t="str">
        <x:f>INDEX('Attempt Tokens'!$E$7:$E$36,MATCH(B517,'Attempt Tokens'!$B$7:$B$36,0))</x:f>
      </x:c>
      <x:c r="E517" s="28" t="n">
        <x:v>7</x:v>
      </x:c>
      <x:c r="F517" s="28" t="str">
        <x:v>EG-07</x:v>
      </x:c>
      <x:c r="G517" s="28" t="str">
        <x:v>configuration freeze complete</x:v>
      </x:c>
      <x:c r="H517" s="28" t="str">
        <x:v>PASS</x:v>
      </x:c>
      <x:c r="I517" s="29" t="str"/>
      <x:c r="J517" s="29" t="str"/>
      <x:c r="K517" s="29" t="str"/>
      <x:c r="L517" s="28" t="str">
        <x:f>IF(AND(C517="RESERVE",D517=""),"DORMANT",IF(K517="","OPEN",IF(AND(I517=H517,J517&lt;&gt;""),"PASS","FAIL")))</x:f>
        <x:v>OPEN</x:v>
      </x:c>
    </x:row>
    <x:row r="518">
      <x:c r="B518" s="28" t="str">
        <x:v>AT-22</x:v>
      </x:c>
      <x:c r="C518" s="28" t="str">
        <x:v>PRIMARY</x:v>
      </x:c>
      <x:c r="D518" s="28" t="str">
        <x:f>INDEX('Attempt Tokens'!$E$7:$E$36,MATCH(B518,'Attempt Tokens'!$B$7:$B$36,0))</x:f>
      </x:c>
      <x:c r="E518" s="28" t="n">
        <x:v>8</x:v>
      </x:c>
      <x:c r="F518" s="28" t="str">
        <x:v>EG-08</x:v>
      </x:c>
      <x:c r="G518" s="28" t="str">
        <x:v>zero-source checks complete</x:v>
      </x:c>
      <x:c r="H518" s="28" t="str">
        <x:v>PASS</x:v>
      </x:c>
      <x:c r="I518" s="29" t="str"/>
      <x:c r="J518" s="29" t="str"/>
      <x:c r="K518" s="29" t="str"/>
      <x:c r="L518" s="28" t="str">
        <x:f>IF(AND(C518="RESERVE",D518=""),"DORMANT",IF(K518="","OPEN",IF(AND(I518=H518,J518&lt;&gt;""),"PASS","FAIL")))</x:f>
        <x:v>OPEN</x:v>
      </x:c>
    </x:row>
    <x:row r="519">
      <x:c r="B519" s="28" t="str">
        <x:v>AT-22</x:v>
      </x:c>
      <x:c r="C519" s="28" t="str">
        <x:v>PRIMARY</x:v>
      </x:c>
      <x:c r="D519" s="28" t="str">
        <x:f>INDEX('Attempt Tokens'!$E$7:$E$36,MATCH(B519,'Attempt Tokens'!$B$7:$B$36,0))</x:f>
      </x:c>
      <x:c r="E519" s="28" t="n">
        <x:v>9</x:v>
      </x:c>
      <x:c r="F519" s="28" t="str">
        <x:v>EG-09</x:v>
      </x:c>
      <x:c r="G519" s="28" t="str">
        <x:v>zero-water checks complete</x:v>
      </x:c>
      <x:c r="H519" s="28" t="str">
        <x:v>PASS</x:v>
      </x:c>
      <x:c r="I519" s="29" t="str"/>
      <x:c r="J519" s="29" t="str"/>
      <x:c r="K519" s="29" t="str"/>
      <x:c r="L519" s="28" t="str">
        <x:f>IF(AND(C519="RESERVE",D519=""),"DORMANT",IF(K519="","OPEN",IF(AND(I519=H519,J519&lt;&gt;""),"PASS","FAIL")))</x:f>
        <x:v>OPEN</x:v>
      </x:c>
    </x:row>
    <x:row r="520">
      <x:c r="B520" s="28" t="str">
        <x:v>AT-22</x:v>
      </x:c>
      <x:c r="C520" s="28" t="str">
        <x:v>PRIMARY</x:v>
      </x:c>
      <x:c r="D520" s="28" t="str">
        <x:f>INDEX('Attempt Tokens'!$E$7:$E$36,MATCH(B520,'Attempt Tokens'!$B$7:$B$36,0))</x:f>
      </x:c>
      <x:c r="E520" s="28" t="n">
        <x:v>10</x:v>
      </x:c>
      <x:c r="F520" s="28" t="str">
        <x:v>EG-10</x:v>
      </x:c>
      <x:c r="G520" s="28" t="str">
        <x:v>uncertainty decisions complete</x:v>
      </x:c>
      <x:c r="H520" s="28" t="str">
        <x:v>PASS</x:v>
      </x:c>
      <x:c r="I520" s="29" t="str"/>
      <x:c r="J520" s="29" t="str"/>
      <x:c r="K520" s="29" t="str"/>
      <x:c r="L520" s="28" t="str">
        <x:f>IF(AND(C520="RESERVE",D520=""),"DORMANT",IF(K520="","OPEN",IF(AND(I520=H520,J520&lt;&gt;""),"PASS","FAIL")))</x:f>
        <x:v>OPEN</x:v>
      </x:c>
    </x:row>
    <x:row r="521">
      <x:c r="B521" s="28" t="str">
        <x:v>AT-22</x:v>
      </x:c>
      <x:c r="C521" s="28" t="str">
        <x:v>PRIMARY</x:v>
      </x:c>
      <x:c r="D521" s="28" t="str">
        <x:f>INDEX('Attempt Tokens'!$E$7:$E$36,MATCH(B521,'Attempt Tokens'!$B$7:$B$36,0))</x:f>
      </x:c>
      <x:c r="E521" s="28" t="n">
        <x:v>11</x:v>
      </x:c>
      <x:c r="F521" s="28" t="str">
        <x:v>EG-11</x:v>
      </x:c>
      <x:c r="G521" s="28" t="str">
        <x:v>measurement windows complete</x:v>
      </x:c>
      <x:c r="H521" s="28" t="str">
        <x:v>PASS</x:v>
      </x:c>
      <x:c r="I521" s="29" t="str"/>
      <x:c r="J521" s="29" t="str"/>
      <x:c r="K521" s="29" t="str"/>
      <x:c r="L521" s="28" t="str">
        <x:f>IF(AND(C521="RESERVE",D521=""),"DORMANT",IF(K521="","OPEN",IF(AND(I521=H521,J521&lt;&gt;""),"PASS","FAIL")))</x:f>
        <x:v>OPEN</x:v>
      </x:c>
    </x:row>
    <x:row r="522">
      <x:c r="B522" s="28" t="str">
        <x:v>AT-22</x:v>
      </x:c>
      <x:c r="C522" s="28" t="str">
        <x:v>PRIMARY</x:v>
      </x:c>
      <x:c r="D522" s="28" t="str">
        <x:f>INDEX('Attempt Tokens'!$E$7:$E$36,MATCH(B522,'Attempt Tokens'!$B$7:$B$36,0))</x:f>
      </x:c>
      <x:c r="E522" s="28" t="n">
        <x:v>12</x:v>
      </x:c>
      <x:c r="F522" s="28" t="str">
        <x:v>EG-12</x:v>
      </x:c>
      <x:c r="G522" s="28" t="str">
        <x:v>neighbor proofs complete</x:v>
      </x:c>
      <x:c r="H522" s="28" t="str">
        <x:v>PASS</x:v>
      </x:c>
      <x:c r="I522" s="29" t="str"/>
      <x:c r="J522" s="29" t="str"/>
      <x:c r="K522" s="29" t="str"/>
      <x:c r="L522" s="28" t="str">
        <x:f>IF(AND(C522="RESERVE",D522=""),"DORMANT",IF(K522="","OPEN",IF(AND(I522=H522,J522&lt;&gt;""),"PASS","FAIL")))</x:f>
        <x:v>OPEN</x:v>
      </x:c>
    </x:row>
    <x:row r="523">
      <x:c r="B523" s="28" t="str">
        <x:v>AT-22</x:v>
      </x:c>
      <x:c r="C523" s="28" t="str">
        <x:v>PRIMARY</x:v>
      </x:c>
      <x:c r="D523" s="28" t="str">
        <x:f>INDEX('Attempt Tokens'!$E$7:$E$36,MATCH(B523,'Attempt Tokens'!$B$7:$B$36,0))</x:f>
      </x:c>
      <x:c r="E523" s="28" t="n">
        <x:v>13</x:v>
      </x:c>
      <x:c r="F523" s="28" t="str">
        <x:v>EG-13</x:v>
      </x:c>
      <x:c r="G523" s="28" t="str">
        <x:v>safeing polls complete</x:v>
      </x:c>
      <x:c r="H523" s="28" t="str">
        <x:v>PASS</x:v>
      </x:c>
      <x:c r="I523" s="29" t="str"/>
      <x:c r="J523" s="29" t="str"/>
      <x:c r="K523" s="29" t="str"/>
      <x:c r="L523" s="28" t="str">
        <x:f>IF(AND(C523="RESERVE",D523=""),"DORMANT",IF(K523="","OPEN",IF(AND(I523=H523,J523&lt;&gt;""),"PASS","FAIL")))</x:f>
        <x:v>OPEN</x:v>
      </x:c>
    </x:row>
    <x:row r="524">
      <x:c r="B524" s="28" t="str">
        <x:v>AT-22</x:v>
      </x:c>
      <x:c r="C524" s="28" t="str">
        <x:v>PRIMARY</x:v>
      </x:c>
      <x:c r="D524" s="28" t="str">
        <x:f>INDEX('Attempt Tokens'!$E$7:$E$36,MATCH(B524,'Attempt Tokens'!$B$7:$B$36,0))</x:f>
      </x:c>
      <x:c r="E524" s="28" t="n">
        <x:v>14</x:v>
      </x:c>
      <x:c r="F524" s="28" t="str">
        <x:v>EG-14</x:v>
      </x:c>
      <x:c r="G524" s="28" t="str">
        <x:v>command transactions complete</x:v>
      </x:c>
      <x:c r="H524" s="28" t="str">
        <x:v>PASS</x:v>
      </x:c>
      <x:c r="I524" s="29" t="str"/>
      <x:c r="J524" s="29" t="str"/>
      <x:c r="K524" s="29" t="str"/>
      <x:c r="L524" s="28" t="str">
        <x:f>IF(AND(C524="RESERVE",D524=""),"DORMANT",IF(K524="","OPEN",IF(AND(I524=H524,J524&lt;&gt;""),"PASS","FAIL")))</x:f>
        <x:v>OPEN</x:v>
      </x:c>
    </x:row>
    <x:row r="525">
      <x:c r="B525" s="28" t="str">
        <x:v>AT-22</x:v>
      </x:c>
      <x:c r="C525" s="28" t="str">
        <x:v>PRIMARY</x:v>
      </x:c>
      <x:c r="D525" s="28" t="str">
        <x:f>INDEX('Attempt Tokens'!$E$7:$E$36,MATCH(B525,'Attempt Tokens'!$B$7:$B$36,0))</x:f>
      </x:c>
      <x:c r="E525" s="28" t="n">
        <x:v>15</x:v>
      </x:c>
      <x:c r="F525" s="28" t="str">
        <x:v>EG-15</x:v>
      </x:c>
      <x:c r="G525" s="28" t="str">
        <x:v>phase clock complete</x:v>
      </x:c>
      <x:c r="H525" s="28" t="str">
        <x:v>PASS</x:v>
      </x:c>
      <x:c r="I525" s="29" t="str"/>
      <x:c r="J525" s="29" t="str"/>
      <x:c r="K525" s="29" t="str"/>
      <x:c r="L525" s="28" t="str">
        <x:f>IF(AND(C525="RESERVE",D525=""),"DORMANT",IF(K525="","OPEN",IF(AND(I525=H525,J525&lt;&gt;""),"PASS","FAIL")))</x:f>
        <x:v>OPEN</x:v>
      </x:c>
    </x:row>
    <x:row r="526">
      <x:c r="B526" s="28" t="str">
        <x:v>AT-22</x:v>
      </x:c>
      <x:c r="C526" s="28" t="str">
        <x:v>PRIMARY</x:v>
      </x:c>
      <x:c r="D526" s="28" t="str">
        <x:f>INDEX('Attempt Tokens'!$E$7:$E$36,MATCH(B526,'Attempt Tokens'!$B$7:$B$36,0))</x:f>
      </x:c>
      <x:c r="E526" s="28" t="n">
        <x:v>16</x:v>
      </x:c>
      <x:c r="F526" s="28" t="str">
        <x:v>EG-16</x:v>
      </x:c>
      <x:c r="G526" s="28" t="str">
        <x:v>holds complete</x:v>
      </x:c>
      <x:c r="H526" s="28" t="str">
        <x:v>PASS</x:v>
      </x:c>
      <x:c r="I526" s="29" t="str"/>
      <x:c r="J526" s="29" t="str"/>
      <x:c r="K526" s="29" t="str"/>
      <x:c r="L526" s="28" t="str">
        <x:f>IF(AND(C526="RESERVE",D526=""),"DORMANT",IF(K526="","OPEN",IF(AND(I526=H526,J526&lt;&gt;""),"PASS","FAIL")))</x:f>
        <x:v>OPEN</x:v>
      </x:c>
    </x:row>
    <x:row r="527">
      <x:c r="B527" s="28" t="str">
        <x:v>AT-22</x:v>
      </x:c>
      <x:c r="C527" s="28" t="str">
        <x:v>PRIMARY</x:v>
      </x:c>
      <x:c r="D527" s="28" t="str">
        <x:f>INDEX('Attempt Tokens'!$E$7:$E$36,MATCH(B527,'Attempt Tokens'!$B$7:$B$36,0))</x:f>
      </x:c>
      <x:c r="E527" s="28" t="n">
        <x:v>17</x:v>
      </x:c>
      <x:c r="F527" s="28" t="str">
        <x:v>EG-17</x:v>
      </x:c>
      <x:c r="G527" s="28" t="str">
        <x:v>evidence obligations complete</x:v>
      </x:c>
      <x:c r="H527" s="28" t="str">
        <x:v>PASS</x:v>
      </x:c>
      <x:c r="I527" s="29" t="str"/>
      <x:c r="J527" s="29" t="str"/>
      <x:c r="K527" s="29" t="str"/>
      <x:c r="L527" s="28" t="str">
        <x:f>IF(AND(C527="RESERVE",D527=""),"DORMANT",IF(K527="","OPEN",IF(AND(I527=H527,J527&lt;&gt;""),"PASS","FAIL")))</x:f>
        <x:v>OPEN</x:v>
      </x:c>
    </x:row>
    <x:row r="528">
      <x:c r="B528" s="28" t="str">
        <x:v>AT-22</x:v>
      </x:c>
      <x:c r="C528" s="28" t="str">
        <x:v>PRIMARY</x:v>
      </x:c>
      <x:c r="D528" s="28" t="str">
        <x:f>INDEX('Attempt Tokens'!$E$7:$E$36,MATCH(B528,'Attempt Tokens'!$B$7:$B$36,0))</x:f>
      </x:c>
      <x:c r="E528" s="28" t="n">
        <x:v>18</x:v>
      </x:c>
      <x:c r="F528" s="28" t="str">
        <x:v>EG-18</x:v>
      </x:c>
      <x:c r="G528" s="28" t="str">
        <x:v>blank samples complete</x:v>
      </x:c>
      <x:c r="H528" s="28" t="str">
        <x:v>PASS</x:v>
      </x:c>
      <x:c r="I528" s="29" t="str"/>
      <x:c r="J528" s="29" t="str"/>
      <x:c r="K528" s="29" t="str"/>
      <x:c r="L528" s="28" t="str">
        <x:f>IF(AND(C528="RESERVE",D528=""),"DORMANT",IF(K528="","OPEN",IF(AND(I528=H528,J528&lt;&gt;""),"PASS","FAIL")))</x:f>
        <x:v>OPEN</x:v>
      </x:c>
    </x:row>
    <x:row r="529">
      <x:c r="B529" s="28" t="str">
        <x:v>AT-22</x:v>
      </x:c>
      <x:c r="C529" s="28" t="str">
        <x:v>PRIMARY</x:v>
      </x:c>
      <x:c r="D529" s="28" t="str">
        <x:f>INDEX('Attempt Tokens'!$E$7:$E$36,MATCH(B529,'Attempt Tokens'!$B$7:$B$36,0))</x:f>
      </x:c>
      <x:c r="E529" s="28" t="n">
        <x:v>19</x:v>
      </x:c>
      <x:c r="F529" s="28" t="str">
        <x:v>EG-19</x:v>
      </x:c>
      <x:c r="G529" s="28" t="str">
        <x:v>abort channels classified</x:v>
      </x:c>
      <x:c r="H529" s="28" t="str">
        <x:v>PASS</x:v>
      </x:c>
      <x:c r="I529" s="29" t="str"/>
      <x:c r="J529" s="29" t="str"/>
      <x:c r="K529" s="29" t="str"/>
      <x:c r="L529" s="28" t="str">
        <x:f>IF(AND(C529="RESERVE",D529=""),"DORMANT",IF(K529="","OPEN",IF(AND(I529=H529,J529&lt;&gt;""),"PASS","FAIL")))</x:f>
        <x:v>OPEN</x:v>
      </x:c>
    </x:row>
    <x:row r="530">
      <x:c r="B530" s="28" t="str">
        <x:v>AT-22</x:v>
      </x:c>
      <x:c r="C530" s="28" t="str">
        <x:v>PRIMARY</x:v>
      </x:c>
      <x:c r="D530" s="28" t="str">
        <x:f>INDEX('Attempt Tokens'!$E$7:$E$36,MATCH(B530,'Attempt Tokens'!$B$7:$B$36,0))</x:f>
      </x:c>
      <x:c r="E530" s="28" t="n">
        <x:v>20</x:v>
      </x:c>
      <x:c r="F530" s="28" t="str">
        <x:v>EG-20</x:v>
      </x:c>
      <x:c r="G530" s="28" t="str">
        <x:v>interventions classified</x:v>
      </x:c>
      <x:c r="H530" s="28" t="str">
        <x:v>PASS</x:v>
      </x:c>
      <x:c r="I530" s="29" t="str"/>
      <x:c r="J530" s="29" t="str"/>
      <x:c r="K530" s="29" t="str"/>
      <x:c r="L530" s="28" t="str">
        <x:f>IF(AND(C530="RESERVE",D530=""),"DORMANT",IF(K530="","OPEN",IF(AND(I530=H530,J530&lt;&gt;""),"PASS","FAIL")))</x:f>
        <x:v>OPEN</x:v>
      </x:c>
    </x:row>
    <x:row r="531">
      <x:c r="B531" s="28" t="str">
        <x:v>AT-22</x:v>
      </x:c>
      <x:c r="C531" s="28" t="str">
        <x:v>PRIMARY</x:v>
      </x:c>
      <x:c r="D531" s="28" t="str">
        <x:f>INDEX('Attempt Tokens'!$E$7:$E$36,MATCH(B531,'Attempt Tokens'!$B$7:$B$36,0))</x:f>
      </x:c>
      <x:c r="E531" s="28" t="n">
        <x:v>21</x:v>
      </x:c>
      <x:c r="F531" s="28" t="str">
        <x:v>EG-21</x:v>
      </x:c>
      <x:c r="G531" s="28" t="str">
        <x:v>event result accepted</x:v>
      </x:c>
      <x:c r="H531" s="28" t="str">
        <x:v>PASS</x:v>
      </x:c>
      <x:c r="I531" s="29" t="str"/>
      <x:c r="J531" s="29" t="str"/>
      <x:c r="K531" s="29" t="str"/>
      <x:c r="L531" s="28" t="str">
        <x:f>IF(AND(C531="RESERVE",D531=""),"DORMANT",IF(K531="","OPEN",IF(AND(I531=H531,J531&lt;&gt;""),"PASS","FAIL")))</x:f>
        <x:v>OPEN</x:v>
      </x:c>
    </x:row>
    <x:row r="532">
      <x:c r="B532" s="28" t="str">
        <x:v>AT-22</x:v>
      </x:c>
      <x:c r="C532" s="28" t="str">
        <x:v>PRIMARY</x:v>
      </x:c>
      <x:c r="D532" s="28" t="str">
        <x:f>INDEX('Attempt Tokens'!$E$7:$E$36,MATCH(B532,'Attempt Tokens'!$B$7:$B$36,0))</x:f>
      </x:c>
      <x:c r="E532" s="28" t="n">
        <x:v>22</x:v>
      </x:c>
      <x:c r="F532" s="28" t="str">
        <x:v>EG-22</x:v>
      </x:c>
      <x:c r="G532" s="28" t="str">
        <x:v>recovery states complete</x:v>
      </x:c>
      <x:c r="H532" s="28" t="str">
        <x:v>PASS</x:v>
      </x:c>
      <x:c r="I532" s="29" t="str"/>
      <x:c r="J532" s="29" t="str"/>
      <x:c r="K532" s="29" t="str"/>
      <x:c r="L532" s="28" t="str">
        <x:f>IF(AND(C532="RESERVE",D532=""),"DORMANT",IF(K532="","OPEN",IF(AND(I532=H532,J532&lt;&gt;""),"PASS","FAIL")))</x:f>
        <x:v>OPEN</x:v>
      </x:c>
    </x:row>
    <x:row r="533">
      <x:c r="B533" s="28" t="str">
        <x:v>AT-22</x:v>
      </x:c>
      <x:c r="C533" s="28" t="str">
        <x:v>PRIMARY</x:v>
      </x:c>
      <x:c r="D533" s="28" t="str">
        <x:f>INDEX('Attempt Tokens'!$E$7:$E$36,MATCH(B533,'Attempt Tokens'!$B$7:$B$36,0))</x:f>
      </x:c>
      <x:c r="E533" s="28" t="n">
        <x:v>23</x:v>
      </x:c>
      <x:c r="F533" s="28" t="str">
        <x:v>EG-23</x:v>
      </x:c>
      <x:c r="G533" s="28" t="str">
        <x:v>regeneration and regression complete</x:v>
      </x:c>
      <x:c r="H533" s="28" t="str">
        <x:v>PASS</x:v>
      </x:c>
      <x:c r="I533" s="29" t="str"/>
      <x:c r="J533" s="29" t="str"/>
      <x:c r="K533" s="29" t="str"/>
      <x:c r="L533" s="28" t="str">
        <x:f>IF(AND(C533="RESERVE",D533=""),"DORMANT",IF(K533="","OPEN",IF(AND(I533=H533,J533&lt;&gt;""),"PASS","FAIL")))</x:f>
        <x:v>OPEN</x:v>
      </x:c>
    </x:row>
    <x:row r="534">
      <x:c r="B534" s="28" t="str">
        <x:v>AT-22</x:v>
      </x:c>
      <x:c r="C534" s="28" t="str">
        <x:v>PRIMARY</x:v>
      </x:c>
      <x:c r="D534" s="28" t="str">
        <x:f>INDEX('Attempt Tokens'!$E$7:$E$36,MATCH(B534,'Attempt Tokens'!$B$7:$B$36,0))</x:f>
      </x:c>
      <x:c r="E534" s="28" t="n">
        <x:v>24</x:v>
      </x:c>
      <x:c r="F534" s="28" t="str">
        <x:v>EG-24</x:v>
      </x:c>
      <x:c r="G534" s="28" t="str">
        <x:v>reentry and packet release complete</x:v>
      </x:c>
      <x:c r="H534" s="28" t="str">
        <x:v>PASS</x:v>
      </x:c>
      <x:c r="I534" s="29" t="str"/>
      <x:c r="J534" s="29" t="str"/>
      <x:c r="K534" s="29" t="str"/>
      <x:c r="L534" s="28" t="str">
        <x:f>IF(AND(C534="RESERVE",D534=""),"DORMANT",IF(K534="","OPEN",IF(AND(I534=H534,J534&lt;&gt;""),"PASS","FAIL")))</x:f>
        <x:v>OPEN</x:v>
      </x:c>
    </x:row>
    <x:row r="535">
      <x:c r="B535" s="28" t="str">
        <x:v>AT-23</x:v>
      </x:c>
      <x:c r="C535" s="28" t="str">
        <x:v>PRIMARY</x:v>
      </x:c>
      <x:c r="D535" s="28" t="str">
        <x:f>INDEX('Attempt Tokens'!$E$7:$E$36,MATCH(B535,'Attempt Tokens'!$B$7:$B$36,0))</x:f>
      </x:c>
      <x:c r="E535" s="28" t="n">
        <x:v>1</x:v>
      </x:c>
      <x:c r="F535" s="28" t="str">
        <x:v>EG-01</x:v>
      </x:c>
      <x:c r="G535" s="28" t="str">
        <x:v>RAX or renewed pair credential current</x:v>
      </x:c>
      <x:c r="H535" s="28" t="str">
        <x:v>PASS</x:v>
      </x:c>
      <x:c r="I535" s="29" t="str"/>
      <x:c r="J535" s="29" t="str"/>
      <x:c r="K535" s="29" t="str"/>
      <x:c r="L535" s="28" t="str">
        <x:f>IF(AND(C535="RESERVE",D535=""),"DORMANT",IF(K535="","OPEN",IF(AND(I535=H535,J535&lt;&gt;""),"PASS","FAIL")))</x:f>
        <x:v>OPEN</x:v>
      </x:c>
    </x:row>
    <x:row r="536">
      <x:c r="B536" s="28" t="str">
        <x:v>AT-23</x:v>
      </x:c>
      <x:c r="C536" s="28" t="str">
        <x:v>PRIMARY</x:v>
      </x:c>
      <x:c r="D536" s="28" t="str">
        <x:f>INDEX('Attempt Tokens'!$E$7:$E$36,MATCH(B536,'Attempt Tokens'!$B$7:$B$36,0))</x:f>
      </x:c>
      <x:c r="E536" s="28" t="n">
        <x:v>2</x:v>
      </x:c>
      <x:c r="F536" s="28" t="str">
        <x:v>EG-02</x:v>
      </x:c>
      <x:c r="G536" s="28" t="str">
        <x:v>candidate cell eligible</x:v>
      </x:c>
      <x:c r="H536" s="28" t="str">
        <x:v>PASS</x:v>
      </x:c>
      <x:c r="I536" s="29" t="str"/>
      <x:c r="J536" s="29" t="str"/>
      <x:c r="K536" s="29" t="str"/>
      <x:c r="L536" s="28" t="str">
        <x:f>IF(AND(C536="RESERVE",D536=""),"DORMANT",IF(K536="","OPEN",IF(AND(I536=H536,J536&lt;&gt;""),"PASS","FAIL")))</x:f>
        <x:v>OPEN</x:v>
      </x:c>
    </x:row>
    <x:row r="537">
      <x:c r="B537" s="28" t="str">
        <x:v>AT-23</x:v>
      </x:c>
      <x:c r="C537" s="28" t="str">
        <x:v>PRIMARY</x:v>
      </x:c>
      <x:c r="D537" s="28" t="str">
        <x:f>INDEX('Attempt Tokens'!$E$7:$E$36,MATCH(B537,'Attempt Tokens'!$B$7:$B$36,0))</x:f>
      </x:c>
      <x:c r="E537" s="28" t="n">
        <x:v>3</x:v>
      </x:c>
      <x:c r="F537" s="28" t="str">
        <x:v>EG-03</x:v>
      </x:c>
      <x:c r="G537" s="28" t="str">
        <x:v>draw and schedule binding complete</x:v>
      </x:c>
      <x:c r="H537" s="28" t="str">
        <x:v>PASS</x:v>
      </x:c>
      <x:c r="I537" s="29" t="str"/>
      <x:c r="J537" s="29" t="str"/>
      <x:c r="K537" s="29" t="str"/>
      <x:c r="L537" s="28" t="str">
        <x:f>IF(AND(C537="RESERVE",D537=""),"DORMANT",IF(K537="","OPEN",IF(AND(I537=H537,J537&lt;&gt;""),"PASS","FAIL")))</x:f>
        <x:v>OPEN</x:v>
      </x:c>
    </x:row>
    <x:row r="538">
      <x:c r="B538" s="28" t="str">
        <x:v>AT-23</x:v>
      </x:c>
      <x:c r="C538" s="28" t="str">
        <x:v>PRIMARY</x:v>
      </x:c>
      <x:c r="D538" s="28" t="str">
        <x:f>INDEX('Attempt Tokens'!$E$7:$E$36,MATCH(B538,'Attempt Tokens'!$B$7:$B$36,0))</x:f>
      </x:c>
      <x:c r="E538" s="28" t="n">
        <x:v>4</x:v>
      </x:c>
      <x:c r="F538" s="28" t="str">
        <x:v>EG-04</x:v>
      </x:c>
      <x:c r="G538" s="28" t="str">
        <x:v>event issue accepted</x:v>
      </x:c>
      <x:c r="H538" s="28" t="str">
        <x:v>PASS</x:v>
      </x:c>
      <x:c r="I538" s="29" t="str"/>
      <x:c r="J538" s="29" t="str"/>
      <x:c r="K538" s="29" t="str"/>
      <x:c r="L538" s="28" t="str">
        <x:f>IF(AND(C538="RESERVE",D538=""),"DORMANT",IF(K538="","OPEN",IF(AND(I538=H538,J538&lt;&gt;""),"PASS","FAIL")))</x:f>
        <x:v>OPEN</x:v>
      </x:c>
    </x:row>
    <x:row r="539">
      <x:c r="B539" s="28" t="str">
        <x:v>AT-23</x:v>
      </x:c>
      <x:c r="C539" s="28" t="str">
        <x:v>PRIMARY</x:v>
      </x:c>
      <x:c r="D539" s="28" t="str">
        <x:f>INDEX('Attempt Tokens'!$E$7:$E$36,MATCH(B539,'Attempt Tokens'!$B$7:$B$36,0))</x:f>
      </x:c>
      <x:c r="E539" s="28" t="n">
        <x:v>5</x:v>
      </x:c>
      <x:c r="F539" s="28" t="str">
        <x:v>EG-05</x:v>
      </x:c>
      <x:c r="G539" s="28" t="str">
        <x:v>dossier bindings complete</x:v>
      </x:c>
      <x:c r="H539" s="28" t="str">
        <x:v>PASS</x:v>
      </x:c>
      <x:c r="I539" s="29" t="str"/>
      <x:c r="J539" s="29" t="str"/>
      <x:c r="K539" s="29" t="str"/>
      <x:c r="L539" s="28" t="str">
        <x:f>IF(AND(C539="RESERVE",D539=""),"DORMANT",IF(K539="","OPEN",IF(AND(I539=H539,J539&lt;&gt;""),"PASS","FAIL")))</x:f>
        <x:v>OPEN</x:v>
      </x:c>
    </x:row>
    <x:row r="540">
      <x:c r="B540" s="28" t="str">
        <x:v>AT-23</x:v>
      </x:c>
      <x:c r="C540" s="28" t="str">
        <x:v>PRIMARY</x:v>
      </x:c>
      <x:c r="D540" s="28" t="str">
        <x:f>INDEX('Attempt Tokens'!$E$7:$E$36,MATCH(B540,'Attempt Tokens'!$B$7:$B$36,0))</x:f>
      </x:c>
      <x:c r="E540" s="28" t="n">
        <x:v>6</x:v>
      </x:c>
      <x:c r="F540" s="28" t="str">
        <x:v>EG-06</x:v>
      </x:c>
      <x:c r="G540" s="28" t="str">
        <x:v>event crew complete</x:v>
      </x:c>
      <x:c r="H540" s="28" t="str">
        <x:v>PASS</x:v>
      </x:c>
      <x:c r="I540" s="29" t="str"/>
      <x:c r="J540" s="29" t="str"/>
      <x:c r="K540" s="29" t="str"/>
      <x:c r="L540" s="28" t="str">
        <x:f>IF(AND(C540="RESERVE",D540=""),"DORMANT",IF(K540="","OPEN",IF(AND(I540=H540,J540&lt;&gt;""),"PASS","FAIL")))</x:f>
        <x:v>OPEN</x:v>
      </x:c>
    </x:row>
    <x:row r="541">
      <x:c r="B541" s="28" t="str">
        <x:v>AT-23</x:v>
      </x:c>
      <x:c r="C541" s="28" t="str">
        <x:v>PRIMARY</x:v>
      </x:c>
      <x:c r="D541" s="28" t="str">
        <x:f>INDEX('Attempt Tokens'!$E$7:$E$36,MATCH(B541,'Attempt Tokens'!$B$7:$B$36,0))</x:f>
      </x:c>
      <x:c r="E541" s="28" t="n">
        <x:v>7</x:v>
      </x:c>
      <x:c r="F541" s="28" t="str">
        <x:v>EG-07</x:v>
      </x:c>
      <x:c r="G541" s="28" t="str">
        <x:v>configuration freeze complete</x:v>
      </x:c>
      <x:c r="H541" s="28" t="str">
        <x:v>PASS</x:v>
      </x:c>
      <x:c r="I541" s="29" t="str"/>
      <x:c r="J541" s="29" t="str"/>
      <x:c r="K541" s="29" t="str"/>
      <x:c r="L541" s="28" t="str">
        <x:f>IF(AND(C541="RESERVE",D541=""),"DORMANT",IF(K541="","OPEN",IF(AND(I541=H541,J541&lt;&gt;""),"PASS","FAIL")))</x:f>
        <x:v>OPEN</x:v>
      </x:c>
    </x:row>
    <x:row r="542">
      <x:c r="B542" s="28" t="str">
        <x:v>AT-23</x:v>
      </x:c>
      <x:c r="C542" s="28" t="str">
        <x:v>PRIMARY</x:v>
      </x:c>
      <x:c r="D542" s="28" t="str">
        <x:f>INDEX('Attempt Tokens'!$E$7:$E$36,MATCH(B542,'Attempt Tokens'!$B$7:$B$36,0))</x:f>
      </x:c>
      <x:c r="E542" s="28" t="n">
        <x:v>8</x:v>
      </x:c>
      <x:c r="F542" s="28" t="str">
        <x:v>EG-08</x:v>
      </x:c>
      <x:c r="G542" s="28" t="str">
        <x:v>zero-source checks complete</x:v>
      </x:c>
      <x:c r="H542" s="28" t="str">
        <x:v>PASS</x:v>
      </x:c>
      <x:c r="I542" s="29" t="str"/>
      <x:c r="J542" s="29" t="str"/>
      <x:c r="K542" s="29" t="str"/>
      <x:c r="L542" s="28" t="str">
        <x:f>IF(AND(C542="RESERVE",D542=""),"DORMANT",IF(K542="","OPEN",IF(AND(I542=H542,J542&lt;&gt;""),"PASS","FAIL")))</x:f>
        <x:v>OPEN</x:v>
      </x:c>
    </x:row>
    <x:row r="543">
      <x:c r="B543" s="28" t="str">
        <x:v>AT-23</x:v>
      </x:c>
      <x:c r="C543" s="28" t="str">
        <x:v>PRIMARY</x:v>
      </x:c>
      <x:c r="D543" s="28" t="str">
        <x:f>INDEX('Attempt Tokens'!$E$7:$E$36,MATCH(B543,'Attempt Tokens'!$B$7:$B$36,0))</x:f>
      </x:c>
      <x:c r="E543" s="28" t="n">
        <x:v>9</x:v>
      </x:c>
      <x:c r="F543" s="28" t="str">
        <x:v>EG-09</x:v>
      </x:c>
      <x:c r="G543" s="28" t="str">
        <x:v>zero-water checks complete</x:v>
      </x:c>
      <x:c r="H543" s="28" t="str">
        <x:v>PASS</x:v>
      </x:c>
      <x:c r="I543" s="29" t="str"/>
      <x:c r="J543" s="29" t="str"/>
      <x:c r="K543" s="29" t="str"/>
      <x:c r="L543" s="28" t="str">
        <x:f>IF(AND(C543="RESERVE",D543=""),"DORMANT",IF(K543="","OPEN",IF(AND(I543=H543,J543&lt;&gt;""),"PASS","FAIL")))</x:f>
        <x:v>OPEN</x:v>
      </x:c>
    </x:row>
    <x:row r="544">
      <x:c r="B544" s="28" t="str">
        <x:v>AT-23</x:v>
      </x:c>
      <x:c r="C544" s="28" t="str">
        <x:v>PRIMARY</x:v>
      </x:c>
      <x:c r="D544" s="28" t="str">
        <x:f>INDEX('Attempt Tokens'!$E$7:$E$36,MATCH(B544,'Attempt Tokens'!$B$7:$B$36,0))</x:f>
      </x:c>
      <x:c r="E544" s="28" t="n">
        <x:v>10</x:v>
      </x:c>
      <x:c r="F544" s="28" t="str">
        <x:v>EG-10</x:v>
      </x:c>
      <x:c r="G544" s="28" t="str">
        <x:v>uncertainty decisions complete</x:v>
      </x:c>
      <x:c r="H544" s="28" t="str">
        <x:v>PASS</x:v>
      </x:c>
      <x:c r="I544" s="29" t="str"/>
      <x:c r="J544" s="29" t="str"/>
      <x:c r="K544" s="29" t="str"/>
      <x:c r="L544" s="28" t="str">
        <x:f>IF(AND(C544="RESERVE",D544=""),"DORMANT",IF(K544="","OPEN",IF(AND(I544=H544,J544&lt;&gt;""),"PASS","FAIL")))</x:f>
        <x:v>OPEN</x:v>
      </x:c>
    </x:row>
    <x:row r="545">
      <x:c r="B545" s="28" t="str">
        <x:v>AT-23</x:v>
      </x:c>
      <x:c r="C545" s="28" t="str">
        <x:v>PRIMARY</x:v>
      </x:c>
      <x:c r="D545" s="28" t="str">
        <x:f>INDEX('Attempt Tokens'!$E$7:$E$36,MATCH(B545,'Attempt Tokens'!$B$7:$B$36,0))</x:f>
      </x:c>
      <x:c r="E545" s="28" t="n">
        <x:v>11</x:v>
      </x:c>
      <x:c r="F545" s="28" t="str">
        <x:v>EG-11</x:v>
      </x:c>
      <x:c r="G545" s="28" t="str">
        <x:v>measurement windows complete</x:v>
      </x:c>
      <x:c r="H545" s="28" t="str">
        <x:v>PASS</x:v>
      </x:c>
      <x:c r="I545" s="29" t="str"/>
      <x:c r="J545" s="29" t="str"/>
      <x:c r="K545" s="29" t="str"/>
      <x:c r="L545" s="28" t="str">
        <x:f>IF(AND(C545="RESERVE",D545=""),"DORMANT",IF(K545="","OPEN",IF(AND(I545=H545,J545&lt;&gt;""),"PASS","FAIL")))</x:f>
        <x:v>OPEN</x:v>
      </x:c>
    </x:row>
    <x:row r="546">
      <x:c r="B546" s="28" t="str">
        <x:v>AT-23</x:v>
      </x:c>
      <x:c r="C546" s="28" t="str">
        <x:v>PRIMARY</x:v>
      </x:c>
      <x:c r="D546" s="28" t="str">
        <x:f>INDEX('Attempt Tokens'!$E$7:$E$36,MATCH(B546,'Attempt Tokens'!$B$7:$B$36,0))</x:f>
      </x:c>
      <x:c r="E546" s="28" t="n">
        <x:v>12</x:v>
      </x:c>
      <x:c r="F546" s="28" t="str">
        <x:v>EG-12</x:v>
      </x:c>
      <x:c r="G546" s="28" t="str">
        <x:v>neighbor proofs complete</x:v>
      </x:c>
      <x:c r="H546" s="28" t="str">
        <x:v>PASS</x:v>
      </x:c>
      <x:c r="I546" s="29" t="str"/>
      <x:c r="J546" s="29" t="str"/>
      <x:c r="K546" s="29" t="str"/>
      <x:c r="L546" s="28" t="str">
        <x:f>IF(AND(C546="RESERVE",D546=""),"DORMANT",IF(K546="","OPEN",IF(AND(I546=H546,J546&lt;&gt;""),"PASS","FAIL")))</x:f>
        <x:v>OPEN</x:v>
      </x:c>
    </x:row>
    <x:row r="547">
      <x:c r="B547" s="28" t="str">
        <x:v>AT-23</x:v>
      </x:c>
      <x:c r="C547" s="28" t="str">
        <x:v>PRIMARY</x:v>
      </x:c>
      <x:c r="D547" s="28" t="str">
        <x:f>INDEX('Attempt Tokens'!$E$7:$E$36,MATCH(B547,'Attempt Tokens'!$B$7:$B$36,0))</x:f>
      </x:c>
      <x:c r="E547" s="28" t="n">
        <x:v>13</x:v>
      </x:c>
      <x:c r="F547" s="28" t="str">
        <x:v>EG-13</x:v>
      </x:c>
      <x:c r="G547" s="28" t="str">
        <x:v>safeing polls complete</x:v>
      </x:c>
      <x:c r="H547" s="28" t="str">
        <x:v>PASS</x:v>
      </x:c>
      <x:c r="I547" s="29" t="str"/>
      <x:c r="J547" s="29" t="str"/>
      <x:c r="K547" s="29" t="str"/>
      <x:c r="L547" s="28" t="str">
        <x:f>IF(AND(C547="RESERVE",D547=""),"DORMANT",IF(K547="","OPEN",IF(AND(I547=H547,J547&lt;&gt;""),"PASS","FAIL")))</x:f>
        <x:v>OPEN</x:v>
      </x:c>
    </x:row>
    <x:row r="548">
      <x:c r="B548" s="28" t="str">
        <x:v>AT-23</x:v>
      </x:c>
      <x:c r="C548" s="28" t="str">
        <x:v>PRIMARY</x:v>
      </x:c>
      <x:c r="D548" s="28" t="str">
        <x:f>INDEX('Attempt Tokens'!$E$7:$E$36,MATCH(B548,'Attempt Tokens'!$B$7:$B$36,0))</x:f>
      </x:c>
      <x:c r="E548" s="28" t="n">
        <x:v>14</x:v>
      </x:c>
      <x:c r="F548" s="28" t="str">
        <x:v>EG-14</x:v>
      </x:c>
      <x:c r="G548" s="28" t="str">
        <x:v>command transactions complete</x:v>
      </x:c>
      <x:c r="H548" s="28" t="str">
        <x:v>PASS</x:v>
      </x:c>
      <x:c r="I548" s="29" t="str"/>
      <x:c r="J548" s="29" t="str"/>
      <x:c r="K548" s="29" t="str"/>
      <x:c r="L548" s="28" t="str">
        <x:f>IF(AND(C548="RESERVE",D548=""),"DORMANT",IF(K548="","OPEN",IF(AND(I548=H548,J548&lt;&gt;""),"PASS","FAIL")))</x:f>
        <x:v>OPEN</x:v>
      </x:c>
    </x:row>
    <x:row r="549">
      <x:c r="B549" s="28" t="str">
        <x:v>AT-23</x:v>
      </x:c>
      <x:c r="C549" s="28" t="str">
        <x:v>PRIMARY</x:v>
      </x:c>
      <x:c r="D549" s="28" t="str">
        <x:f>INDEX('Attempt Tokens'!$E$7:$E$36,MATCH(B549,'Attempt Tokens'!$B$7:$B$36,0))</x:f>
      </x:c>
      <x:c r="E549" s="28" t="n">
        <x:v>15</x:v>
      </x:c>
      <x:c r="F549" s="28" t="str">
        <x:v>EG-15</x:v>
      </x:c>
      <x:c r="G549" s="28" t="str">
        <x:v>phase clock complete</x:v>
      </x:c>
      <x:c r="H549" s="28" t="str">
        <x:v>PASS</x:v>
      </x:c>
      <x:c r="I549" s="29" t="str"/>
      <x:c r="J549" s="29" t="str"/>
      <x:c r="K549" s="29" t="str"/>
      <x:c r="L549" s="28" t="str">
        <x:f>IF(AND(C549="RESERVE",D549=""),"DORMANT",IF(K549="","OPEN",IF(AND(I549=H549,J549&lt;&gt;""),"PASS","FAIL")))</x:f>
        <x:v>OPEN</x:v>
      </x:c>
    </x:row>
    <x:row r="550">
      <x:c r="B550" s="28" t="str">
        <x:v>AT-23</x:v>
      </x:c>
      <x:c r="C550" s="28" t="str">
        <x:v>PRIMARY</x:v>
      </x:c>
      <x:c r="D550" s="28" t="str">
        <x:f>INDEX('Attempt Tokens'!$E$7:$E$36,MATCH(B550,'Attempt Tokens'!$B$7:$B$36,0))</x:f>
      </x:c>
      <x:c r="E550" s="28" t="n">
        <x:v>16</x:v>
      </x:c>
      <x:c r="F550" s="28" t="str">
        <x:v>EG-16</x:v>
      </x:c>
      <x:c r="G550" s="28" t="str">
        <x:v>holds complete</x:v>
      </x:c>
      <x:c r="H550" s="28" t="str">
        <x:v>PASS</x:v>
      </x:c>
      <x:c r="I550" s="29" t="str"/>
      <x:c r="J550" s="29" t="str"/>
      <x:c r="K550" s="29" t="str"/>
      <x:c r="L550" s="28" t="str">
        <x:f>IF(AND(C550="RESERVE",D550=""),"DORMANT",IF(K550="","OPEN",IF(AND(I550=H550,J550&lt;&gt;""),"PASS","FAIL")))</x:f>
        <x:v>OPEN</x:v>
      </x:c>
    </x:row>
    <x:row r="551">
      <x:c r="B551" s="28" t="str">
        <x:v>AT-23</x:v>
      </x:c>
      <x:c r="C551" s="28" t="str">
        <x:v>PRIMARY</x:v>
      </x:c>
      <x:c r="D551" s="28" t="str">
        <x:f>INDEX('Attempt Tokens'!$E$7:$E$36,MATCH(B551,'Attempt Tokens'!$B$7:$B$36,0))</x:f>
      </x:c>
      <x:c r="E551" s="28" t="n">
        <x:v>17</x:v>
      </x:c>
      <x:c r="F551" s="28" t="str">
        <x:v>EG-17</x:v>
      </x:c>
      <x:c r="G551" s="28" t="str">
        <x:v>evidence obligations complete</x:v>
      </x:c>
      <x:c r="H551" s="28" t="str">
        <x:v>PASS</x:v>
      </x:c>
      <x:c r="I551" s="29" t="str"/>
      <x:c r="J551" s="29" t="str"/>
      <x:c r="K551" s="29" t="str"/>
      <x:c r="L551" s="28" t="str">
        <x:f>IF(AND(C551="RESERVE",D551=""),"DORMANT",IF(K551="","OPEN",IF(AND(I551=H551,J551&lt;&gt;""),"PASS","FAIL")))</x:f>
        <x:v>OPEN</x:v>
      </x:c>
    </x:row>
    <x:row r="552">
      <x:c r="B552" s="28" t="str">
        <x:v>AT-23</x:v>
      </x:c>
      <x:c r="C552" s="28" t="str">
        <x:v>PRIMARY</x:v>
      </x:c>
      <x:c r="D552" s="28" t="str">
        <x:f>INDEX('Attempt Tokens'!$E$7:$E$36,MATCH(B552,'Attempt Tokens'!$B$7:$B$36,0))</x:f>
      </x:c>
      <x:c r="E552" s="28" t="n">
        <x:v>18</x:v>
      </x:c>
      <x:c r="F552" s="28" t="str">
        <x:v>EG-18</x:v>
      </x:c>
      <x:c r="G552" s="28" t="str">
        <x:v>blank samples complete</x:v>
      </x:c>
      <x:c r="H552" s="28" t="str">
        <x:v>PASS</x:v>
      </x:c>
      <x:c r="I552" s="29" t="str"/>
      <x:c r="J552" s="29" t="str"/>
      <x:c r="K552" s="29" t="str"/>
      <x:c r="L552" s="28" t="str">
        <x:f>IF(AND(C552="RESERVE",D552=""),"DORMANT",IF(K552="","OPEN",IF(AND(I552=H552,J552&lt;&gt;""),"PASS","FAIL")))</x:f>
        <x:v>OPEN</x:v>
      </x:c>
    </x:row>
    <x:row r="553">
      <x:c r="B553" s="28" t="str">
        <x:v>AT-23</x:v>
      </x:c>
      <x:c r="C553" s="28" t="str">
        <x:v>PRIMARY</x:v>
      </x:c>
      <x:c r="D553" s="28" t="str">
        <x:f>INDEX('Attempt Tokens'!$E$7:$E$36,MATCH(B553,'Attempt Tokens'!$B$7:$B$36,0))</x:f>
      </x:c>
      <x:c r="E553" s="28" t="n">
        <x:v>19</x:v>
      </x:c>
      <x:c r="F553" s="28" t="str">
        <x:v>EG-19</x:v>
      </x:c>
      <x:c r="G553" s="28" t="str">
        <x:v>abort channels classified</x:v>
      </x:c>
      <x:c r="H553" s="28" t="str">
        <x:v>PASS</x:v>
      </x:c>
      <x:c r="I553" s="29" t="str"/>
      <x:c r="J553" s="29" t="str"/>
      <x:c r="K553" s="29" t="str"/>
      <x:c r="L553" s="28" t="str">
        <x:f>IF(AND(C553="RESERVE",D553=""),"DORMANT",IF(K553="","OPEN",IF(AND(I553=H553,J553&lt;&gt;""),"PASS","FAIL")))</x:f>
        <x:v>OPEN</x:v>
      </x:c>
    </x:row>
    <x:row r="554">
      <x:c r="B554" s="28" t="str">
        <x:v>AT-23</x:v>
      </x:c>
      <x:c r="C554" s="28" t="str">
        <x:v>PRIMARY</x:v>
      </x:c>
      <x:c r="D554" s="28" t="str">
        <x:f>INDEX('Attempt Tokens'!$E$7:$E$36,MATCH(B554,'Attempt Tokens'!$B$7:$B$36,0))</x:f>
      </x:c>
      <x:c r="E554" s="28" t="n">
        <x:v>20</x:v>
      </x:c>
      <x:c r="F554" s="28" t="str">
        <x:v>EG-20</x:v>
      </x:c>
      <x:c r="G554" s="28" t="str">
        <x:v>interventions classified</x:v>
      </x:c>
      <x:c r="H554" s="28" t="str">
        <x:v>PASS</x:v>
      </x:c>
      <x:c r="I554" s="29" t="str"/>
      <x:c r="J554" s="29" t="str"/>
      <x:c r="K554" s="29" t="str"/>
      <x:c r="L554" s="28" t="str">
        <x:f>IF(AND(C554="RESERVE",D554=""),"DORMANT",IF(K554="","OPEN",IF(AND(I554=H554,J554&lt;&gt;""),"PASS","FAIL")))</x:f>
        <x:v>OPEN</x:v>
      </x:c>
    </x:row>
    <x:row r="555">
      <x:c r="B555" s="28" t="str">
        <x:v>AT-23</x:v>
      </x:c>
      <x:c r="C555" s="28" t="str">
        <x:v>PRIMARY</x:v>
      </x:c>
      <x:c r="D555" s="28" t="str">
        <x:f>INDEX('Attempt Tokens'!$E$7:$E$36,MATCH(B555,'Attempt Tokens'!$B$7:$B$36,0))</x:f>
      </x:c>
      <x:c r="E555" s="28" t="n">
        <x:v>21</x:v>
      </x:c>
      <x:c r="F555" s="28" t="str">
        <x:v>EG-21</x:v>
      </x:c>
      <x:c r="G555" s="28" t="str">
        <x:v>event result accepted</x:v>
      </x:c>
      <x:c r="H555" s="28" t="str">
        <x:v>PASS</x:v>
      </x:c>
      <x:c r="I555" s="29" t="str"/>
      <x:c r="J555" s="29" t="str"/>
      <x:c r="K555" s="29" t="str"/>
      <x:c r="L555" s="28" t="str">
        <x:f>IF(AND(C555="RESERVE",D555=""),"DORMANT",IF(K555="","OPEN",IF(AND(I555=H555,J555&lt;&gt;""),"PASS","FAIL")))</x:f>
        <x:v>OPEN</x:v>
      </x:c>
    </x:row>
    <x:row r="556">
      <x:c r="B556" s="28" t="str">
        <x:v>AT-23</x:v>
      </x:c>
      <x:c r="C556" s="28" t="str">
        <x:v>PRIMARY</x:v>
      </x:c>
      <x:c r="D556" s="28" t="str">
        <x:f>INDEX('Attempt Tokens'!$E$7:$E$36,MATCH(B556,'Attempt Tokens'!$B$7:$B$36,0))</x:f>
      </x:c>
      <x:c r="E556" s="28" t="n">
        <x:v>22</x:v>
      </x:c>
      <x:c r="F556" s="28" t="str">
        <x:v>EG-22</x:v>
      </x:c>
      <x:c r="G556" s="28" t="str">
        <x:v>recovery states complete</x:v>
      </x:c>
      <x:c r="H556" s="28" t="str">
        <x:v>PASS</x:v>
      </x:c>
      <x:c r="I556" s="29" t="str"/>
      <x:c r="J556" s="29" t="str"/>
      <x:c r="K556" s="29" t="str"/>
      <x:c r="L556" s="28" t="str">
        <x:f>IF(AND(C556="RESERVE",D556=""),"DORMANT",IF(K556="","OPEN",IF(AND(I556=H556,J556&lt;&gt;""),"PASS","FAIL")))</x:f>
        <x:v>OPEN</x:v>
      </x:c>
    </x:row>
    <x:row r="557">
      <x:c r="B557" s="28" t="str">
        <x:v>AT-23</x:v>
      </x:c>
      <x:c r="C557" s="28" t="str">
        <x:v>PRIMARY</x:v>
      </x:c>
      <x:c r="D557" s="28" t="str">
        <x:f>INDEX('Attempt Tokens'!$E$7:$E$36,MATCH(B557,'Attempt Tokens'!$B$7:$B$36,0))</x:f>
      </x:c>
      <x:c r="E557" s="28" t="n">
        <x:v>23</x:v>
      </x:c>
      <x:c r="F557" s="28" t="str">
        <x:v>EG-23</x:v>
      </x:c>
      <x:c r="G557" s="28" t="str">
        <x:v>regeneration and regression complete</x:v>
      </x:c>
      <x:c r="H557" s="28" t="str">
        <x:v>PASS</x:v>
      </x:c>
      <x:c r="I557" s="29" t="str"/>
      <x:c r="J557" s="29" t="str"/>
      <x:c r="K557" s="29" t="str"/>
      <x:c r="L557" s="28" t="str">
        <x:f>IF(AND(C557="RESERVE",D557=""),"DORMANT",IF(K557="","OPEN",IF(AND(I557=H557,J557&lt;&gt;""),"PASS","FAIL")))</x:f>
        <x:v>OPEN</x:v>
      </x:c>
    </x:row>
    <x:row r="558">
      <x:c r="B558" s="28" t="str">
        <x:v>AT-23</x:v>
      </x:c>
      <x:c r="C558" s="28" t="str">
        <x:v>PRIMARY</x:v>
      </x:c>
      <x:c r="D558" s="28" t="str">
        <x:f>INDEX('Attempt Tokens'!$E$7:$E$36,MATCH(B558,'Attempt Tokens'!$B$7:$B$36,0))</x:f>
      </x:c>
      <x:c r="E558" s="28" t="n">
        <x:v>24</x:v>
      </x:c>
      <x:c r="F558" s="28" t="str">
        <x:v>EG-24</x:v>
      </x:c>
      <x:c r="G558" s="28" t="str">
        <x:v>reentry and packet release complete</x:v>
      </x:c>
      <x:c r="H558" s="28" t="str">
        <x:v>PASS</x:v>
      </x:c>
      <x:c r="I558" s="29" t="str"/>
      <x:c r="J558" s="29" t="str"/>
      <x:c r="K558" s="29" t="str"/>
      <x:c r="L558" s="28" t="str">
        <x:f>IF(AND(C558="RESERVE",D558=""),"DORMANT",IF(K558="","OPEN",IF(AND(I558=H558,J558&lt;&gt;""),"PASS","FAIL")))</x:f>
        <x:v>OPEN</x:v>
      </x:c>
    </x:row>
    <x:row r="559">
      <x:c r="B559" s="28" t="str">
        <x:v>AT-24</x:v>
      </x:c>
      <x:c r="C559" s="28" t="str">
        <x:v>PRIMARY</x:v>
      </x:c>
      <x:c r="D559" s="28" t="n">
        <x:f>INDEX('Attempt Tokens'!$E$7:$E$36,MATCH(B559,'Attempt Tokens'!$B$7:$B$36,0))</x:f>
        <x:v>0</x:v>
      </x:c>
      <x:c r="E559" s="28" t="n">
        <x:v>1</x:v>
      </x:c>
      <x:c r="F559" s="28" t="str">
        <x:v>EG-01</x:v>
      </x:c>
      <x:c r="G559" s="28" t="str">
        <x:v>RAX or renewed pair credential current</x:v>
      </x:c>
      <x:c r="H559" s="28" t="str">
        <x:v>PASS</x:v>
      </x:c>
      <x:c r="I559" s="29" t="str"/>
      <x:c r="J559" s="29" t="str"/>
      <x:c r="K559" s="29" t="str"/>
      <x:c r="L559" s="28" t="str">
        <x:f>IF(AND(C559="RESERVE",D559=""),"DORMANT",IF(K559="","OPEN",IF(AND(I559=H559,J559&lt;&gt;""),"PASS","FAIL")))</x:f>
        <x:v>OPEN</x:v>
      </x:c>
    </x:row>
    <x:row r="560">
      <x:c r="B560" s="28" t="str">
        <x:v>AT-24</x:v>
      </x:c>
      <x:c r="C560" s="28" t="str">
        <x:v>PRIMARY</x:v>
      </x:c>
      <x:c r="D560" s="28" t="n">
        <x:f>INDEX('Attempt Tokens'!$E$7:$E$36,MATCH(B560,'Attempt Tokens'!$B$7:$B$36,0))</x:f>
        <x:v>0</x:v>
      </x:c>
      <x:c r="E560" s="28" t="n">
        <x:v>2</x:v>
      </x:c>
      <x:c r="F560" s="28" t="str">
        <x:v>EG-02</x:v>
      </x:c>
      <x:c r="G560" s="28" t="str">
        <x:v>candidate cell eligible</x:v>
      </x:c>
      <x:c r="H560" s="28" t="str">
        <x:v>PASS</x:v>
      </x:c>
      <x:c r="I560" s="29" t="str"/>
      <x:c r="J560" s="29" t="str"/>
      <x:c r="K560" s="29" t="str"/>
      <x:c r="L560" s="28" t="str">
        <x:f>IF(AND(C560="RESERVE",D560=""),"DORMANT",IF(K560="","OPEN",IF(AND(I560=H560,J560&lt;&gt;""),"PASS","FAIL")))</x:f>
        <x:v>OPEN</x:v>
      </x:c>
    </x:row>
    <x:row r="561">
      <x:c r="B561" s="28" t="str">
        <x:v>AT-24</x:v>
      </x:c>
      <x:c r="C561" s="28" t="str">
        <x:v>PRIMARY</x:v>
      </x:c>
      <x:c r="D561" s="28" t="n">
        <x:f>INDEX('Attempt Tokens'!$E$7:$E$36,MATCH(B561,'Attempt Tokens'!$B$7:$B$36,0))</x:f>
        <x:v>0</x:v>
      </x:c>
      <x:c r="E561" s="28" t="n">
        <x:v>3</x:v>
      </x:c>
      <x:c r="F561" s="28" t="str">
        <x:v>EG-03</x:v>
      </x:c>
      <x:c r="G561" s="28" t="str">
        <x:v>draw and schedule binding complete</x:v>
      </x:c>
      <x:c r="H561" s="28" t="str">
        <x:v>PASS</x:v>
      </x:c>
      <x:c r="I561" s="29" t="str"/>
      <x:c r="J561" s="29" t="str"/>
      <x:c r="K561" s="29" t="str"/>
      <x:c r="L561" s="28" t="str">
        <x:f>IF(AND(C561="RESERVE",D561=""),"DORMANT",IF(K561="","OPEN",IF(AND(I561=H561,J561&lt;&gt;""),"PASS","FAIL")))</x:f>
        <x:v>OPEN</x:v>
      </x:c>
    </x:row>
    <x:row r="562">
      <x:c r="B562" s="28" t="str">
        <x:v>AT-24</x:v>
      </x:c>
      <x:c r="C562" s="28" t="str">
        <x:v>PRIMARY</x:v>
      </x:c>
      <x:c r="D562" s="28" t="n">
        <x:f>INDEX('Attempt Tokens'!$E$7:$E$36,MATCH(B562,'Attempt Tokens'!$B$7:$B$36,0))</x:f>
        <x:v>0</x:v>
      </x:c>
      <x:c r="E562" s="28" t="n">
        <x:v>4</x:v>
      </x:c>
      <x:c r="F562" s="28" t="str">
        <x:v>EG-04</x:v>
      </x:c>
      <x:c r="G562" s="28" t="str">
        <x:v>event issue accepted</x:v>
      </x:c>
      <x:c r="H562" s="28" t="str">
        <x:v>PASS</x:v>
      </x:c>
      <x:c r="I562" s="29" t="str"/>
      <x:c r="J562" s="29" t="str"/>
      <x:c r="K562" s="29" t="str"/>
      <x:c r="L562" s="28" t="str">
        <x:f>IF(AND(C562="RESERVE",D562=""),"DORMANT",IF(K562="","OPEN",IF(AND(I562=H562,J562&lt;&gt;""),"PASS","FAIL")))</x:f>
        <x:v>OPEN</x:v>
      </x:c>
    </x:row>
    <x:row r="563">
      <x:c r="B563" s="28" t="str">
        <x:v>AT-24</x:v>
      </x:c>
      <x:c r="C563" s="28" t="str">
        <x:v>PRIMARY</x:v>
      </x:c>
      <x:c r="D563" s="28" t="n">
        <x:f>INDEX('Attempt Tokens'!$E$7:$E$36,MATCH(B563,'Attempt Tokens'!$B$7:$B$36,0))</x:f>
        <x:v>0</x:v>
      </x:c>
      <x:c r="E563" s="28" t="n">
        <x:v>5</x:v>
      </x:c>
      <x:c r="F563" s="28" t="str">
        <x:v>EG-05</x:v>
      </x:c>
      <x:c r="G563" s="28" t="str">
        <x:v>dossier bindings complete</x:v>
      </x:c>
      <x:c r="H563" s="28" t="str">
        <x:v>PASS</x:v>
      </x:c>
      <x:c r="I563" s="29" t="str"/>
      <x:c r="J563" s="29" t="str"/>
      <x:c r="K563" s="29" t="str"/>
      <x:c r="L563" s="28" t="str">
        <x:f>IF(AND(C563="RESERVE",D563=""),"DORMANT",IF(K563="","OPEN",IF(AND(I563=H563,J563&lt;&gt;""),"PASS","FAIL")))</x:f>
        <x:v>OPEN</x:v>
      </x:c>
    </x:row>
    <x:row r="564">
      <x:c r="B564" s="28" t="str">
        <x:v>AT-24</x:v>
      </x:c>
      <x:c r="C564" s="28" t="str">
        <x:v>PRIMARY</x:v>
      </x:c>
      <x:c r="D564" s="28" t="n">
        <x:f>INDEX('Attempt Tokens'!$E$7:$E$36,MATCH(B564,'Attempt Tokens'!$B$7:$B$36,0))</x:f>
        <x:v>0</x:v>
      </x:c>
      <x:c r="E564" s="28" t="n">
        <x:v>6</x:v>
      </x:c>
      <x:c r="F564" s="28" t="str">
        <x:v>EG-06</x:v>
      </x:c>
      <x:c r="G564" s="28" t="str">
        <x:v>event crew complete</x:v>
      </x:c>
      <x:c r="H564" s="28" t="str">
        <x:v>PASS</x:v>
      </x:c>
      <x:c r="I564" s="29" t="str"/>
      <x:c r="J564" s="29" t="str"/>
      <x:c r="K564" s="29" t="str"/>
      <x:c r="L564" s="28" t="str">
        <x:f>IF(AND(C564="RESERVE",D564=""),"DORMANT",IF(K564="","OPEN",IF(AND(I564=H564,J564&lt;&gt;""),"PASS","FAIL")))</x:f>
        <x:v>OPEN</x:v>
      </x:c>
    </x:row>
    <x:row r="565">
      <x:c r="B565" s="28" t="str">
        <x:v>AT-24</x:v>
      </x:c>
      <x:c r="C565" s="28" t="str">
        <x:v>PRIMARY</x:v>
      </x:c>
      <x:c r="D565" s="28" t="n">
        <x:f>INDEX('Attempt Tokens'!$E$7:$E$36,MATCH(B565,'Attempt Tokens'!$B$7:$B$36,0))</x:f>
        <x:v>0</x:v>
      </x:c>
      <x:c r="E565" s="28" t="n">
        <x:v>7</x:v>
      </x:c>
      <x:c r="F565" s="28" t="str">
        <x:v>EG-07</x:v>
      </x:c>
      <x:c r="G565" s="28" t="str">
        <x:v>configuration freeze complete</x:v>
      </x:c>
      <x:c r="H565" s="28" t="str">
        <x:v>PASS</x:v>
      </x:c>
      <x:c r="I565" s="29" t="str"/>
      <x:c r="J565" s="29" t="str"/>
      <x:c r="K565" s="29" t="str"/>
      <x:c r="L565" s="28" t="str">
        <x:f>IF(AND(C565="RESERVE",D565=""),"DORMANT",IF(K565="","OPEN",IF(AND(I565=H565,J565&lt;&gt;""),"PASS","FAIL")))</x:f>
        <x:v>OPEN</x:v>
      </x:c>
    </x:row>
    <x:row r="566">
      <x:c r="B566" s="28" t="str">
        <x:v>AT-24</x:v>
      </x:c>
      <x:c r="C566" s="28" t="str">
        <x:v>PRIMARY</x:v>
      </x:c>
      <x:c r="D566" s="28" t="n">
        <x:f>INDEX('Attempt Tokens'!$E$7:$E$36,MATCH(B566,'Attempt Tokens'!$B$7:$B$36,0))</x:f>
        <x:v>0</x:v>
      </x:c>
      <x:c r="E566" s="28" t="n">
        <x:v>8</x:v>
      </x:c>
      <x:c r="F566" s="28" t="str">
        <x:v>EG-08</x:v>
      </x:c>
      <x:c r="G566" s="28" t="str">
        <x:v>zero-source checks complete</x:v>
      </x:c>
      <x:c r="H566" s="28" t="str">
        <x:v>PASS</x:v>
      </x:c>
      <x:c r="I566" s="29" t="str"/>
      <x:c r="J566" s="29" t="str"/>
      <x:c r="K566" s="29" t="str"/>
      <x:c r="L566" s="28" t="str">
        <x:f>IF(AND(C566="RESERVE",D566=""),"DORMANT",IF(K566="","OPEN",IF(AND(I566=H566,J566&lt;&gt;""),"PASS","FAIL")))</x:f>
        <x:v>OPEN</x:v>
      </x:c>
    </x:row>
    <x:row r="567">
      <x:c r="B567" s="28" t="str">
        <x:v>AT-24</x:v>
      </x:c>
      <x:c r="C567" s="28" t="str">
        <x:v>PRIMARY</x:v>
      </x:c>
      <x:c r="D567" s="28" t="n">
        <x:f>INDEX('Attempt Tokens'!$E$7:$E$36,MATCH(B567,'Attempt Tokens'!$B$7:$B$36,0))</x:f>
        <x:v>0</x:v>
      </x:c>
      <x:c r="E567" s="28" t="n">
        <x:v>9</x:v>
      </x:c>
      <x:c r="F567" s="28" t="str">
        <x:v>EG-09</x:v>
      </x:c>
      <x:c r="G567" s="28" t="str">
        <x:v>zero-water checks complete</x:v>
      </x:c>
      <x:c r="H567" s="28" t="str">
        <x:v>PASS</x:v>
      </x:c>
      <x:c r="I567" s="29" t="str"/>
      <x:c r="J567" s="29" t="str"/>
      <x:c r="K567" s="29" t="str"/>
      <x:c r="L567" s="28" t="str">
        <x:f>IF(AND(C567="RESERVE",D567=""),"DORMANT",IF(K567="","OPEN",IF(AND(I567=H567,J567&lt;&gt;""),"PASS","FAIL")))</x:f>
        <x:v>OPEN</x:v>
      </x:c>
    </x:row>
    <x:row r="568">
      <x:c r="B568" s="28" t="str">
        <x:v>AT-24</x:v>
      </x:c>
      <x:c r="C568" s="28" t="str">
        <x:v>PRIMARY</x:v>
      </x:c>
      <x:c r="D568" s="28" t="n">
        <x:f>INDEX('Attempt Tokens'!$E$7:$E$36,MATCH(B568,'Attempt Tokens'!$B$7:$B$36,0))</x:f>
        <x:v>0</x:v>
      </x:c>
      <x:c r="E568" s="28" t="n">
        <x:v>10</x:v>
      </x:c>
      <x:c r="F568" s="28" t="str">
        <x:v>EG-10</x:v>
      </x:c>
      <x:c r="G568" s="28" t="str">
        <x:v>uncertainty decisions complete</x:v>
      </x:c>
      <x:c r="H568" s="28" t="str">
        <x:v>PASS</x:v>
      </x:c>
      <x:c r="I568" s="29" t="str"/>
      <x:c r="J568" s="29" t="str"/>
      <x:c r="K568" s="29" t="str"/>
      <x:c r="L568" s="28" t="str">
        <x:f>IF(AND(C568="RESERVE",D568=""),"DORMANT",IF(K568="","OPEN",IF(AND(I568=H568,J568&lt;&gt;""),"PASS","FAIL")))</x:f>
        <x:v>OPEN</x:v>
      </x:c>
    </x:row>
    <x:row r="569">
      <x:c r="B569" s="28" t="str">
        <x:v>AT-24</x:v>
      </x:c>
      <x:c r="C569" s="28" t="str">
        <x:v>PRIMARY</x:v>
      </x:c>
      <x:c r="D569" s="28" t="n">
        <x:f>INDEX('Attempt Tokens'!$E$7:$E$36,MATCH(B569,'Attempt Tokens'!$B$7:$B$36,0))</x:f>
        <x:v>0</x:v>
      </x:c>
      <x:c r="E569" s="28" t="n">
        <x:v>11</x:v>
      </x:c>
      <x:c r="F569" s="28" t="str">
        <x:v>EG-11</x:v>
      </x:c>
      <x:c r="G569" s="28" t="str">
        <x:v>measurement windows complete</x:v>
      </x:c>
      <x:c r="H569" s="28" t="str">
        <x:v>PASS</x:v>
      </x:c>
      <x:c r="I569" s="29" t="str"/>
      <x:c r="J569" s="29" t="str"/>
      <x:c r="K569" s="29" t="str"/>
      <x:c r="L569" s="28" t="str">
        <x:f>IF(AND(C569="RESERVE",D569=""),"DORMANT",IF(K569="","OPEN",IF(AND(I569=H569,J569&lt;&gt;""),"PASS","FAIL")))</x:f>
        <x:v>OPEN</x:v>
      </x:c>
    </x:row>
    <x:row r="570">
      <x:c r="B570" s="28" t="str">
        <x:v>AT-24</x:v>
      </x:c>
      <x:c r="C570" s="28" t="str">
        <x:v>PRIMARY</x:v>
      </x:c>
      <x:c r="D570" s="28" t="n">
        <x:f>INDEX('Attempt Tokens'!$E$7:$E$36,MATCH(B570,'Attempt Tokens'!$B$7:$B$36,0))</x:f>
        <x:v>0</x:v>
      </x:c>
      <x:c r="E570" s="28" t="n">
        <x:v>12</x:v>
      </x:c>
      <x:c r="F570" s="28" t="str">
        <x:v>EG-12</x:v>
      </x:c>
      <x:c r="G570" s="28" t="str">
        <x:v>neighbor proofs complete</x:v>
      </x:c>
      <x:c r="H570" s="28" t="str">
        <x:v>PASS</x:v>
      </x:c>
      <x:c r="I570" s="29" t="str"/>
      <x:c r="J570" s="29" t="str"/>
      <x:c r="K570" s="29" t="str"/>
      <x:c r="L570" s="28" t="str">
        <x:f>IF(AND(C570="RESERVE",D570=""),"DORMANT",IF(K570="","OPEN",IF(AND(I570=H570,J570&lt;&gt;""),"PASS","FAIL")))</x:f>
        <x:v>OPEN</x:v>
      </x:c>
    </x:row>
    <x:row r="571">
      <x:c r="B571" s="28" t="str">
        <x:v>AT-24</x:v>
      </x:c>
      <x:c r="C571" s="28" t="str">
        <x:v>PRIMARY</x:v>
      </x:c>
      <x:c r="D571" s="28" t="n">
        <x:f>INDEX('Attempt Tokens'!$E$7:$E$36,MATCH(B571,'Attempt Tokens'!$B$7:$B$36,0))</x:f>
        <x:v>0</x:v>
      </x:c>
      <x:c r="E571" s="28" t="n">
        <x:v>13</x:v>
      </x:c>
      <x:c r="F571" s="28" t="str">
        <x:v>EG-13</x:v>
      </x:c>
      <x:c r="G571" s="28" t="str">
        <x:v>safeing polls complete</x:v>
      </x:c>
      <x:c r="H571" s="28" t="str">
        <x:v>PASS</x:v>
      </x:c>
      <x:c r="I571" s="29" t="str"/>
      <x:c r="J571" s="29" t="str"/>
      <x:c r="K571" s="29" t="str"/>
      <x:c r="L571" s="28" t="str">
        <x:f>IF(AND(C571="RESERVE",D571=""),"DORMANT",IF(K571="","OPEN",IF(AND(I571=H571,J571&lt;&gt;""),"PASS","FAIL")))</x:f>
        <x:v>OPEN</x:v>
      </x:c>
    </x:row>
    <x:row r="572">
      <x:c r="B572" s="28" t="str">
        <x:v>AT-24</x:v>
      </x:c>
      <x:c r="C572" s="28" t="str">
        <x:v>PRIMARY</x:v>
      </x:c>
      <x:c r="D572" s="28" t="n">
        <x:f>INDEX('Attempt Tokens'!$E$7:$E$36,MATCH(B572,'Attempt Tokens'!$B$7:$B$36,0))</x:f>
        <x:v>0</x:v>
      </x:c>
      <x:c r="E572" s="28" t="n">
        <x:v>14</x:v>
      </x:c>
      <x:c r="F572" s="28" t="str">
        <x:v>EG-14</x:v>
      </x:c>
      <x:c r="G572" s="28" t="str">
        <x:v>command transactions complete</x:v>
      </x:c>
      <x:c r="H572" s="28" t="str">
        <x:v>PASS</x:v>
      </x:c>
      <x:c r="I572" s="29" t="str"/>
      <x:c r="J572" s="29" t="str"/>
      <x:c r="K572" s="29" t="str"/>
      <x:c r="L572" s="28" t="str">
        <x:f>IF(AND(C572="RESERVE",D572=""),"DORMANT",IF(K572="","OPEN",IF(AND(I572=H572,J572&lt;&gt;""),"PASS","FAIL")))</x:f>
        <x:v>OPEN</x:v>
      </x:c>
    </x:row>
    <x:row r="573">
      <x:c r="B573" s="28" t="str">
        <x:v>AT-24</x:v>
      </x:c>
      <x:c r="C573" s="28" t="str">
        <x:v>PRIMARY</x:v>
      </x:c>
      <x:c r="D573" s="28" t="n">
        <x:f>INDEX('Attempt Tokens'!$E$7:$E$36,MATCH(B573,'Attempt Tokens'!$B$7:$B$36,0))</x:f>
        <x:v>0</x:v>
      </x:c>
      <x:c r="E573" s="28" t="n">
        <x:v>15</x:v>
      </x:c>
      <x:c r="F573" s="28" t="str">
        <x:v>EG-15</x:v>
      </x:c>
      <x:c r="G573" s="28" t="str">
        <x:v>phase clock complete</x:v>
      </x:c>
      <x:c r="H573" s="28" t="str">
        <x:v>PASS</x:v>
      </x:c>
      <x:c r="I573" s="29" t="str"/>
      <x:c r="J573" s="29" t="str"/>
      <x:c r="K573" s="29" t="str"/>
      <x:c r="L573" s="28" t="str">
        <x:f>IF(AND(C573="RESERVE",D573=""),"DORMANT",IF(K573="","OPEN",IF(AND(I573=H573,J573&lt;&gt;""),"PASS","FAIL")))</x:f>
        <x:v>OPEN</x:v>
      </x:c>
    </x:row>
    <x:row r="574">
      <x:c r="B574" s="28" t="str">
        <x:v>AT-24</x:v>
      </x:c>
      <x:c r="C574" s="28" t="str">
        <x:v>PRIMARY</x:v>
      </x:c>
      <x:c r="D574" s="28" t="n">
        <x:f>INDEX('Attempt Tokens'!$E$7:$E$36,MATCH(B574,'Attempt Tokens'!$B$7:$B$36,0))</x:f>
        <x:v>0</x:v>
      </x:c>
      <x:c r="E574" s="28" t="n">
        <x:v>16</x:v>
      </x:c>
      <x:c r="F574" s="28" t="str">
        <x:v>EG-16</x:v>
      </x:c>
      <x:c r="G574" s="28" t="str">
        <x:v>holds complete</x:v>
      </x:c>
      <x:c r="H574" s="28" t="str">
        <x:v>PASS</x:v>
      </x:c>
      <x:c r="I574" s="29" t="str"/>
      <x:c r="J574" s="29" t="str"/>
      <x:c r="K574" s="29" t="str"/>
      <x:c r="L574" s="28" t="str">
        <x:f>IF(AND(C574="RESERVE",D574=""),"DORMANT",IF(K574="","OPEN",IF(AND(I574=H574,J574&lt;&gt;""),"PASS","FAIL")))</x:f>
        <x:v>OPEN</x:v>
      </x:c>
    </x:row>
    <x:row r="575">
      <x:c r="B575" s="28" t="str">
        <x:v>AT-24</x:v>
      </x:c>
      <x:c r="C575" s="28" t="str">
        <x:v>PRIMARY</x:v>
      </x:c>
      <x:c r="D575" s="28" t="n">
        <x:f>INDEX('Attempt Tokens'!$E$7:$E$36,MATCH(B575,'Attempt Tokens'!$B$7:$B$36,0))</x:f>
        <x:v>0</x:v>
      </x:c>
      <x:c r="E575" s="28" t="n">
        <x:v>17</x:v>
      </x:c>
      <x:c r="F575" s="28" t="str">
        <x:v>EG-17</x:v>
      </x:c>
      <x:c r="G575" s="28" t="str">
        <x:v>evidence obligations complete</x:v>
      </x:c>
      <x:c r="H575" s="28" t="str">
        <x:v>PASS</x:v>
      </x:c>
      <x:c r="I575" s="29" t="str"/>
      <x:c r="J575" s="29" t="str"/>
      <x:c r="K575" s="29" t="str"/>
      <x:c r="L575" s="28" t="str">
        <x:f>IF(AND(C575="RESERVE",D575=""),"DORMANT",IF(K575="","OPEN",IF(AND(I575=H575,J575&lt;&gt;""),"PASS","FAIL")))</x:f>
        <x:v>OPEN</x:v>
      </x:c>
    </x:row>
    <x:row r="576">
      <x:c r="B576" s="28" t="str">
        <x:v>AT-24</x:v>
      </x:c>
      <x:c r="C576" s="28" t="str">
        <x:v>PRIMARY</x:v>
      </x:c>
      <x:c r="D576" s="28" t="n">
        <x:f>INDEX('Attempt Tokens'!$E$7:$E$36,MATCH(B576,'Attempt Tokens'!$B$7:$B$36,0))</x:f>
        <x:v>0</x:v>
      </x:c>
      <x:c r="E576" s="28" t="n">
        <x:v>18</x:v>
      </x:c>
      <x:c r="F576" s="28" t="str">
        <x:v>EG-18</x:v>
      </x:c>
      <x:c r="G576" s="28" t="str">
        <x:v>blank samples complete</x:v>
      </x:c>
      <x:c r="H576" s="28" t="str">
        <x:v>PASS</x:v>
      </x:c>
      <x:c r="I576" s="29" t="str"/>
      <x:c r="J576" s="29" t="str"/>
      <x:c r="K576" s="29" t="str"/>
      <x:c r="L576" s="28" t="str">
        <x:f>IF(AND(C576="RESERVE",D576=""),"DORMANT",IF(K576="","OPEN",IF(AND(I576=H576,J576&lt;&gt;""),"PASS","FAIL")))</x:f>
        <x:v>OPEN</x:v>
      </x:c>
    </x:row>
    <x:row r="577">
      <x:c r="B577" s="28" t="str">
        <x:v>AT-24</x:v>
      </x:c>
      <x:c r="C577" s="28" t="str">
        <x:v>PRIMARY</x:v>
      </x:c>
      <x:c r="D577" s="28" t="n">
        <x:f>INDEX('Attempt Tokens'!$E$7:$E$36,MATCH(B577,'Attempt Tokens'!$B$7:$B$36,0))</x:f>
        <x:v>0</x:v>
      </x:c>
      <x:c r="E577" s="28" t="n">
        <x:v>19</x:v>
      </x:c>
      <x:c r="F577" s="28" t="str">
        <x:v>EG-19</x:v>
      </x:c>
      <x:c r="G577" s="28" t="str">
        <x:v>abort channels classified</x:v>
      </x:c>
      <x:c r="H577" s="28" t="str">
        <x:v>PASS</x:v>
      </x:c>
      <x:c r="I577" s="29" t="str"/>
      <x:c r="J577" s="29" t="str"/>
      <x:c r="K577" s="29" t="str"/>
      <x:c r="L577" s="28" t="str">
        <x:f>IF(AND(C577="RESERVE",D577=""),"DORMANT",IF(K577="","OPEN",IF(AND(I577=H577,J577&lt;&gt;""),"PASS","FAIL")))</x:f>
        <x:v>OPEN</x:v>
      </x:c>
    </x:row>
    <x:row r="578">
      <x:c r="B578" s="28" t="str">
        <x:v>AT-24</x:v>
      </x:c>
      <x:c r="C578" s="28" t="str">
        <x:v>PRIMARY</x:v>
      </x:c>
      <x:c r="D578" s="28" t="n">
        <x:f>INDEX('Attempt Tokens'!$E$7:$E$36,MATCH(B578,'Attempt Tokens'!$B$7:$B$36,0))</x:f>
        <x:v>0</x:v>
      </x:c>
      <x:c r="E578" s="28" t="n">
        <x:v>20</x:v>
      </x:c>
      <x:c r="F578" s="28" t="str">
        <x:v>EG-20</x:v>
      </x:c>
      <x:c r="G578" s="28" t="str">
        <x:v>interventions classified</x:v>
      </x:c>
      <x:c r="H578" s="28" t="str">
        <x:v>PASS</x:v>
      </x:c>
      <x:c r="I578" s="29" t="str"/>
      <x:c r="J578" s="29" t="str"/>
      <x:c r="K578" s="29" t="str"/>
      <x:c r="L578" s="28" t="str">
        <x:f>IF(AND(C578="RESERVE",D578=""),"DORMANT",IF(K578="","OPEN",IF(AND(I578=H578,J578&lt;&gt;""),"PASS","FAIL")))</x:f>
        <x:v>OPEN</x:v>
      </x:c>
    </x:row>
    <x:row r="579">
      <x:c r="B579" s="28" t="str">
        <x:v>AT-24</x:v>
      </x:c>
      <x:c r="C579" s="28" t="str">
        <x:v>PRIMARY</x:v>
      </x:c>
      <x:c r="D579" s="28" t="n">
        <x:f>INDEX('Attempt Tokens'!$E$7:$E$36,MATCH(B579,'Attempt Tokens'!$B$7:$B$36,0))</x:f>
        <x:v>0</x:v>
      </x:c>
      <x:c r="E579" s="28" t="n">
        <x:v>21</x:v>
      </x:c>
      <x:c r="F579" s="28" t="str">
        <x:v>EG-21</x:v>
      </x:c>
      <x:c r="G579" s="28" t="str">
        <x:v>event result accepted</x:v>
      </x:c>
      <x:c r="H579" s="28" t="str">
        <x:v>PASS</x:v>
      </x:c>
      <x:c r="I579" s="29" t="str"/>
      <x:c r="J579" s="29" t="str"/>
      <x:c r="K579" s="29" t="str"/>
      <x:c r="L579" s="28" t="str">
        <x:f>IF(AND(C579="RESERVE",D579=""),"DORMANT",IF(K579="","OPEN",IF(AND(I579=H579,J579&lt;&gt;""),"PASS","FAIL")))</x:f>
        <x:v>OPEN</x:v>
      </x:c>
    </x:row>
    <x:row r="580">
      <x:c r="B580" s="28" t="str">
        <x:v>AT-24</x:v>
      </x:c>
      <x:c r="C580" s="28" t="str">
        <x:v>PRIMARY</x:v>
      </x:c>
      <x:c r="D580" s="28" t="n">
        <x:f>INDEX('Attempt Tokens'!$E$7:$E$36,MATCH(B580,'Attempt Tokens'!$B$7:$B$36,0))</x:f>
        <x:v>0</x:v>
      </x:c>
      <x:c r="E580" s="28" t="n">
        <x:v>22</x:v>
      </x:c>
      <x:c r="F580" s="28" t="str">
        <x:v>EG-22</x:v>
      </x:c>
      <x:c r="G580" s="28" t="str">
        <x:v>recovery states complete</x:v>
      </x:c>
      <x:c r="H580" s="28" t="str">
        <x:v>PASS</x:v>
      </x:c>
      <x:c r="I580" s="29" t="str"/>
      <x:c r="J580" s="29" t="str"/>
      <x:c r="K580" s="29" t="str"/>
      <x:c r="L580" s="28" t="str">
        <x:f>IF(AND(C580="RESERVE",D580=""),"DORMANT",IF(K580="","OPEN",IF(AND(I580=H580,J580&lt;&gt;""),"PASS","FAIL")))</x:f>
        <x:v>OPEN</x:v>
      </x:c>
    </x:row>
    <x:row r="581">
      <x:c r="B581" s="28" t="str">
        <x:v>AT-24</x:v>
      </x:c>
      <x:c r="C581" s="28" t="str">
        <x:v>PRIMARY</x:v>
      </x:c>
      <x:c r="D581" s="28" t="n">
        <x:f>INDEX('Attempt Tokens'!$E$7:$E$36,MATCH(B581,'Attempt Tokens'!$B$7:$B$36,0))</x:f>
        <x:v>0</x:v>
      </x:c>
      <x:c r="E581" s="28" t="n">
        <x:v>23</x:v>
      </x:c>
      <x:c r="F581" s="28" t="str">
        <x:v>EG-23</x:v>
      </x:c>
      <x:c r="G581" s="28" t="str">
        <x:v>regeneration and regression complete</x:v>
      </x:c>
      <x:c r="H581" s="28" t="str">
        <x:v>PASS</x:v>
      </x:c>
      <x:c r="I581" s="29" t="str"/>
      <x:c r="J581" s="29" t="str"/>
      <x:c r="K581" s="29" t="str"/>
      <x:c r="L581" s="28" t="str">
        <x:f>IF(AND(C581="RESERVE",D581=""),"DORMANT",IF(K581="","OPEN",IF(AND(I581=H581,J581&lt;&gt;""),"PASS","FAIL")))</x:f>
        <x:v>OPEN</x:v>
      </x:c>
    </x:row>
    <x:row r="582">
      <x:c r="B582" s="28" t="str">
        <x:v>AT-24</x:v>
      </x:c>
      <x:c r="C582" s="28" t="str">
        <x:v>PRIMARY</x:v>
      </x:c>
      <x:c r="D582" s="28" t="n">
        <x:f>INDEX('Attempt Tokens'!$E$7:$E$36,MATCH(B582,'Attempt Tokens'!$B$7:$B$36,0))</x:f>
        <x:v>0</x:v>
      </x:c>
      <x:c r="E582" s="28" t="n">
        <x:v>24</x:v>
      </x:c>
      <x:c r="F582" s="28" t="str">
        <x:v>EG-24</x:v>
      </x:c>
      <x:c r="G582" s="28" t="str">
        <x:v>reentry and packet release complete</x:v>
      </x:c>
      <x:c r="H582" s="28" t="str">
        <x:v>PASS</x:v>
      </x:c>
      <x:c r="I582" s="29" t="str"/>
      <x:c r="J582" s="29" t="str"/>
      <x:c r="K582" s="29" t="str"/>
      <x:c r="L582" s="28" t="str">
        <x:f>IF(AND(C582="RESERVE",D582=""),"DORMANT",IF(K582="","OPEN",IF(AND(I582=H582,J582&lt;&gt;""),"PASS","FAIL")))</x:f>
        <x:v>OPEN</x:v>
      </x:c>
    </x:row>
    <x:row r="583">
      <x:c r="B583" s="28" t="str">
        <x:v>AT-25</x:v>
      </x:c>
      <x:c r="C583" s="28" t="str">
        <x:v>RESERVE</x:v>
      </x:c>
      <x:c r="D583" s="28" t="str">
        <x:f>INDEX('Attempt Tokens'!$E$7:$E$36,MATCH(B583,'Attempt Tokens'!$B$7:$B$36,0))</x:f>
      </x:c>
      <x:c r="E583" s="28" t="n">
        <x:v>1</x:v>
      </x:c>
      <x:c r="F583" s="28" t="str">
        <x:v>EG-01</x:v>
      </x:c>
      <x:c r="G583" s="28" t="str">
        <x:v>RAX or renewed pair credential current</x:v>
      </x:c>
      <x:c r="H583" s="28" t="str">
        <x:v>PASS</x:v>
      </x:c>
      <x:c r="I583" s="29" t="str"/>
      <x:c r="J583" s="29" t="str"/>
      <x:c r="K583" s="29" t="str"/>
      <x:c r="L583" s="28" t="str">
        <x:f>IF(AND(C583="RESERVE",D583=""),"DORMANT",IF(K583="","OPEN",IF(AND(I583=H583,J583&lt;&gt;""),"PASS","FAIL")))</x:f>
        <x:v>DORMANT</x:v>
      </x:c>
    </x:row>
    <x:row r="584">
      <x:c r="B584" s="28" t="str">
        <x:v>AT-25</x:v>
      </x:c>
      <x:c r="C584" s="28" t="str">
        <x:v>RESERVE</x:v>
      </x:c>
      <x:c r="D584" s="28" t="str">
        <x:f>INDEX('Attempt Tokens'!$E$7:$E$36,MATCH(B584,'Attempt Tokens'!$B$7:$B$36,0))</x:f>
      </x:c>
      <x:c r="E584" s="28" t="n">
        <x:v>2</x:v>
      </x:c>
      <x:c r="F584" s="28" t="str">
        <x:v>EG-02</x:v>
      </x:c>
      <x:c r="G584" s="28" t="str">
        <x:v>candidate cell eligible</x:v>
      </x:c>
      <x:c r="H584" s="28" t="str">
        <x:v>PASS</x:v>
      </x:c>
      <x:c r="I584" s="29" t="str"/>
      <x:c r="J584" s="29" t="str"/>
      <x:c r="K584" s="29" t="str"/>
      <x:c r="L584" s="28" t="str">
        <x:f>IF(AND(C584="RESERVE",D584=""),"DORMANT",IF(K584="","OPEN",IF(AND(I584=H584,J584&lt;&gt;""),"PASS","FAIL")))</x:f>
        <x:v>DORMANT</x:v>
      </x:c>
    </x:row>
    <x:row r="585">
      <x:c r="B585" s="28" t="str">
        <x:v>AT-25</x:v>
      </x:c>
      <x:c r="C585" s="28" t="str">
        <x:v>RESERVE</x:v>
      </x:c>
      <x:c r="D585" s="28" t="str">
        <x:f>INDEX('Attempt Tokens'!$E$7:$E$36,MATCH(B585,'Attempt Tokens'!$B$7:$B$36,0))</x:f>
      </x:c>
      <x:c r="E585" s="28" t="n">
        <x:v>3</x:v>
      </x:c>
      <x:c r="F585" s="28" t="str">
        <x:v>EG-03</x:v>
      </x:c>
      <x:c r="G585" s="28" t="str">
        <x:v>draw and schedule binding complete</x:v>
      </x:c>
      <x:c r="H585" s="28" t="str">
        <x:v>PASS</x:v>
      </x:c>
      <x:c r="I585" s="29" t="str"/>
      <x:c r="J585" s="29" t="str"/>
      <x:c r="K585" s="29" t="str"/>
      <x:c r="L585" s="28" t="str">
        <x:f>IF(AND(C585="RESERVE",D585=""),"DORMANT",IF(K585="","OPEN",IF(AND(I585=H585,J585&lt;&gt;""),"PASS","FAIL")))</x:f>
        <x:v>DORMANT</x:v>
      </x:c>
    </x:row>
    <x:row r="586">
      <x:c r="B586" s="28" t="str">
        <x:v>AT-25</x:v>
      </x:c>
      <x:c r="C586" s="28" t="str">
        <x:v>RESERVE</x:v>
      </x:c>
      <x:c r="D586" s="28" t="str">
        <x:f>INDEX('Attempt Tokens'!$E$7:$E$36,MATCH(B586,'Attempt Tokens'!$B$7:$B$36,0))</x:f>
      </x:c>
      <x:c r="E586" s="28" t="n">
        <x:v>4</x:v>
      </x:c>
      <x:c r="F586" s="28" t="str">
        <x:v>EG-04</x:v>
      </x:c>
      <x:c r="G586" s="28" t="str">
        <x:v>event issue accepted</x:v>
      </x:c>
      <x:c r="H586" s="28" t="str">
        <x:v>PASS</x:v>
      </x:c>
      <x:c r="I586" s="29" t="str"/>
      <x:c r="J586" s="29" t="str"/>
      <x:c r="K586" s="29" t="str"/>
      <x:c r="L586" s="28" t="str">
        <x:f>IF(AND(C586="RESERVE",D586=""),"DORMANT",IF(K586="","OPEN",IF(AND(I586=H586,J586&lt;&gt;""),"PASS","FAIL")))</x:f>
        <x:v>DORMANT</x:v>
      </x:c>
    </x:row>
    <x:row r="587">
      <x:c r="B587" s="28" t="str">
        <x:v>AT-25</x:v>
      </x:c>
      <x:c r="C587" s="28" t="str">
        <x:v>RESERVE</x:v>
      </x:c>
      <x:c r="D587" s="28" t="str">
        <x:f>INDEX('Attempt Tokens'!$E$7:$E$36,MATCH(B587,'Attempt Tokens'!$B$7:$B$36,0))</x:f>
      </x:c>
      <x:c r="E587" s="28" t="n">
        <x:v>5</x:v>
      </x:c>
      <x:c r="F587" s="28" t="str">
        <x:v>EG-05</x:v>
      </x:c>
      <x:c r="G587" s="28" t="str">
        <x:v>dossier bindings complete</x:v>
      </x:c>
      <x:c r="H587" s="28" t="str">
        <x:v>PASS</x:v>
      </x:c>
      <x:c r="I587" s="29" t="str"/>
      <x:c r="J587" s="29" t="str"/>
      <x:c r="K587" s="29" t="str"/>
      <x:c r="L587" s="28" t="str">
        <x:f>IF(AND(C587="RESERVE",D587=""),"DORMANT",IF(K587="","OPEN",IF(AND(I587=H587,J587&lt;&gt;""),"PASS","FAIL")))</x:f>
        <x:v>DORMANT</x:v>
      </x:c>
    </x:row>
    <x:row r="588">
      <x:c r="B588" s="28" t="str">
        <x:v>AT-25</x:v>
      </x:c>
      <x:c r="C588" s="28" t="str">
        <x:v>RESERVE</x:v>
      </x:c>
      <x:c r="D588" s="28" t="str">
        <x:f>INDEX('Attempt Tokens'!$E$7:$E$36,MATCH(B588,'Attempt Tokens'!$B$7:$B$36,0))</x:f>
      </x:c>
      <x:c r="E588" s="28" t="n">
        <x:v>6</x:v>
      </x:c>
      <x:c r="F588" s="28" t="str">
        <x:v>EG-06</x:v>
      </x:c>
      <x:c r="G588" s="28" t="str">
        <x:v>event crew complete</x:v>
      </x:c>
      <x:c r="H588" s="28" t="str">
        <x:v>PASS</x:v>
      </x:c>
      <x:c r="I588" s="29" t="str"/>
      <x:c r="J588" s="29" t="str"/>
      <x:c r="K588" s="29" t="str"/>
      <x:c r="L588" s="28" t="str">
        <x:f>IF(AND(C588="RESERVE",D588=""),"DORMANT",IF(K588="","OPEN",IF(AND(I588=H588,J588&lt;&gt;""),"PASS","FAIL")))</x:f>
        <x:v>DORMANT</x:v>
      </x:c>
    </x:row>
    <x:row r="589">
      <x:c r="B589" s="28" t="str">
        <x:v>AT-25</x:v>
      </x:c>
      <x:c r="C589" s="28" t="str">
        <x:v>RESERVE</x:v>
      </x:c>
      <x:c r="D589" s="28" t="str">
        <x:f>INDEX('Attempt Tokens'!$E$7:$E$36,MATCH(B589,'Attempt Tokens'!$B$7:$B$36,0))</x:f>
      </x:c>
      <x:c r="E589" s="28" t="n">
        <x:v>7</x:v>
      </x:c>
      <x:c r="F589" s="28" t="str">
        <x:v>EG-07</x:v>
      </x:c>
      <x:c r="G589" s="28" t="str">
        <x:v>configuration freeze complete</x:v>
      </x:c>
      <x:c r="H589" s="28" t="str">
        <x:v>PASS</x:v>
      </x:c>
      <x:c r="I589" s="29" t="str"/>
      <x:c r="J589" s="29" t="str"/>
      <x:c r="K589" s="29" t="str"/>
      <x:c r="L589" s="28" t="str">
        <x:f>IF(AND(C589="RESERVE",D589=""),"DORMANT",IF(K589="","OPEN",IF(AND(I589=H589,J589&lt;&gt;""),"PASS","FAIL")))</x:f>
        <x:v>DORMANT</x:v>
      </x:c>
    </x:row>
    <x:row r="590">
      <x:c r="B590" s="28" t="str">
        <x:v>AT-25</x:v>
      </x:c>
      <x:c r="C590" s="28" t="str">
        <x:v>RESERVE</x:v>
      </x:c>
      <x:c r="D590" s="28" t="str">
        <x:f>INDEX('Attempt Tokens'!$E$7:$E$36,MATCH(B590,'Attempt Tokens'!$B$7:$B$36,0))</x:f>
      </x:c>
      <x:c r="E590" s="28" t="n">
        <x:v>8</x:v>
      </x:c>
      <x:c r="F590" s="28" t="str">
        <x:v>EG-08</x:v>
      </x:c>
      <x:c r="G590" s="28" t="str">
        <x:v>zero-source checks complete</x:v>
      </x:c>
      <x:c r="H590" s="28" t="str">
        <x:v>PASS</x:v>
      </x:c>
      <x:c r="I590" s="29" t="str"/>
      <x:c r="J590" s="29" t="str"/>
      <x:c r="K590" s="29" t="str"/>
      <x:c r="L590" s="28" t="str">
        <x:f>IF(AND(C590="RESERVE",D590=""),"DORMANT",IF(K590="","OPEN",IF(AND(I590=H590,J590&lt;&gt;""),"PASS","FAIL")))</x:f>
        <x:v>DORMANT</x:v>
      </x:c>
    </x:row>
    <x:row r="591">
      <x:c r="B591" s="28" t="str">
        <x:v>AT-25</x:v>
      </x:c>
      <x:c r="C591" s="28" t="str">
        <x:v>RESERVE</x:v>
      </x:c>
      <x:c r="D591" s="28" t="str">
        <x:f>INDEX('Attempt Tokens'!$E$7:$E$36,MATCH(B591,'Attempt Tokens'!$B$7:$B$36,0))</x:f>
      </x:c>
      <x:c r="E591" s="28" t="n">
        <x:v>9</x:v>
      </x:c>
      <x:c r="F591" s="28" t="str">
        <x:v>EG-09</x:v>
      </x:c>
      <x:c r="G591" s="28" t="str">
        <x:v>zero-water checks complete</x:v>
      </x:c>
      <x:c r="H591" s="28" t="str">
        <x:v>PASS</x:v>
      </x:c>
      <x:c r="I591" s="29" t="str"/>
      <x:c r="J591" s="29" t="str"/>
      <x:c r="K591" s="29" t="str"/>
      <x:c r="L591" s="28" t="str">
        <x:f>IF(AND(C591="RESERVE",D591=""),"DORMANT",IF(K591="","OPEN",IF(AND(I591=H591,J591&lt;&gt;""),"PASS","FAIL")))</x:f>
        <x:v>DORMANT</x:v>
      </x:c>
    </x:row>
    <x:row r="592">
      <x:c r="B592" s="28" t="str">
        <x:v>AT-25</x:v>
      </x:c>
      <x:c r="C592" s="28" t="str">
        <x:v>RESERVE</x:v>
      </x:c>
      <x:c r="D592" s="28" t="str">
        <x:f>INDEX('Attempt Tokens'!$E$7:$E$36,MATCH(B592,'Attempt Tokens'!$B$7:$B$36,0))</x:f>
      </x:c>
      <x:c r="E592" s="28" t="n">
        <x:v>10</x:v>
      </x:c>
      <x:c r="F592" s="28" t="str">
        <x:v>EG-10</x:v>
      </x:c>
      <x:c r="G592" s="28" t="str">
        <x:v>uncertainty decisions complete</x:v>
      </x:c>
      <x:c r="H592" s="28" t="str">
        <x:v>PASS</x:v>
      </x:c>
      <x:c r="I592" s="29" t="str"/>
      <x:c r="J592" s="29" t="str"/>
      <x:c r="K592" s="29" t="str"/>
      <x:c r="L592" s="28" t="str">
        <x:f>IF(AND(C592="RESERVE",D592=""),"DORMANT",IF(K592="","OPEN",IF(AND(I592=H592,J592&lt;&gt;""),"PASS","FAIL")))</x:f>
        <x:v>DORMANT</x:v>
      </x:c>
    </x:row>
    <x:row r="593">
      <x:c r="B593" s="28" t="str">
        <x:v>AT-25</x:v>
      </x:c>
      <x:c r="C593" s="28" t="str">
        <x:v>RESERVE</x:v>
      </x:c>
      <x:c r="D593" s="28" t="str">
        <x:f>INDEX('Attempt Tokens'!$E$7:$E$36,MATCH(B593,'Attempt Tokens'!$B$7:$B$36,0))</x:f>
      </x:c>
      <x:c r="E593" s="28" t="n">
        <x:v>11</x:v>
      </x:c>
      <x:c r="F593" s="28" t="str">
        <x:v>EG-11</x:v>
      </x:c>
      <x:c r="G593" s="28" t="str">
        <x:v>measurement windows complete</x:v>
      </x:c>
      <x:c r="H593" s="28" t="str">
        <x:v>PASS</x:v>
      </x:c>
      <x:c r="I593" s="29" t="str"/>
      <x:c r="J593" s="29" t="str"/>
      <x:c r="K593" s="29" t="str"/>
      <x:c r="L593" s="28" t="str">
        <x:f>IF(AND(C593="RESERVE",D593=""),"DORMANT",IF(K593="","OPEN",IF(AND(I593=H593,J593&lt;&gt;""),"PASS","FAIL")))</x:f>
        <x:v>DORMANT</x:v>
      </x:c>
    </x:row>
    <x:row r="594">
      <x:c r="B594" s="28" t="str">
        <x:v>AT-25</x:v>
      </x:c>
      <x:c r="C594" s="28" t="str">
        <x:v>RESERVE</x:v>
      </x:c>
      <x:c r="D594" s="28" t="str">
        <x:f>INDEX('Attempt Tokens'!$E$7:$E$36,MATCH(B594,'Attempt Tokens'!$B$7:$B$36,0))</x:f>
      </x:c>
      <x:c r="E594" s="28" t="n">
        <x:v>12</x:v>
      </x:c>
      <x:c r="F594" s="28" t="str">
        <x:v>EG-12</x:v>
      </x:c>
      <x:c r="G594" s="28" t="str">
        <x:v>neighbor proofs complete</x:v>
      </x:c>
      <x:c r="H594" s="28" t="str">
        <x:v>PASS</x:v>
      </x:c>
      <x:c r="I594" s="29" t="str"/>
      <x:c r="J594" s="29" t="str"/>
      <x:c r="K594" s="29" t="str"/>
      <x:c r="L594" s="28" t="str">
        <x:f>IF(AND(C594="RESERVE",D594=""),"DORMANT",IF(K594="","OPEN",IF(AND(I594=H594,J594&lt;&gt;""),"PASS","FAIL")))</x:f>
        <x:v>DORMANT</x:v>
      </x:c>
    </x:row>
    <x:row r="595">
      <x:c r="B595" s="28" t="str">
        <x:v>AT-25</x:v>
      </x:c>
      <x:c r="C595" s="28" t="str">
        <x:v>RESERVE</x:v>
      </x:c>
      <x:c r="D595" s="28" t="str">
        <x:f>INDEX('Attempt Tokens'!$E$7:$E$36,MATCH(B595,'Attempt Tokens'!$B$7:$B$36,0))</x:f>
      </x:c>
      <x:c r="E595" s="28" t="n">
        <x:v>13</x:v>
      </x:c>
      <x:c r="F595" s="28" t="str">
        <x:v>EG-13</x:v>
      </x:c>
      <x:c r="G595" s="28" t="str">
        <x:v>safeing polls complete</x:v>
      </x:c>
      <x:c r="H595" s="28" t="str">
        <x:v>PASS</x:v>
      </x:c>
      <x:c r="I595" s="29" t="str"/>
      <x:c r="J595" s="29" t="str"/>
      <x:c r="K595" s="29" t="str"/>
      <x:c r="L595" s="28" t="str">
        <x:f>IF(AND(C595="RESERVE",D595=""),"DORMANT",IF(K595="","OPEN",IF(AND(I595=H595,J595&lt;&gt;""),"PASS","FAIL")))</x:f>
        <x:v>DORMANT</x:v>
      </x:c>
    </x:row>
    <x:row r="596">
      <x:c r="B596" s="28" t="str">
        <x:v>AT-25</x:v>
      </x:c>
      <x:c r="C596" s="28" t="str">
        <x:v>RESERVE</x:v>
      </x:c>
      <x:c r="D596" s="28" t="str">
        <x:f>INDEX('Attempt Tokens'!$E$7:$E$36,MATCH(B596,'Attempt Tokens'!$B$7:$B$36,0))</x:f>
      </x:c>
      <x:c r="E596" s="28" t="n">
        <x:v>14</x:v>
      </x:c>
      <x:c r="F596" s="28" t="str">
        <x:v>EG-14</x:v>
      </x:c>
      <x:c r="G596" s="28" t="str">
        <x:v>command transactions complete</x:v>
      </x:c>
      <x:c r="H596" s="28" t="str">
        <x:v>PASS</x:v>
      </x:c>
      <x:c r="I596" s="29" t="str"/>
      <x:c r="J596" s="29" t="str"/>
      <x:c r="K596" s="29" t="str"/>
      <x:c r="L596" s="28" t="str">
        <x:f>IF(AND(C596="RESERVE",D596=""),"DORMANT",IF(K596="","OPEN",IF(AND(I596=H596,J596&lt;&gt;""),"PASS","FAIL")))</x:f>
        <x:v>DORMANT</x:v>
      </x:c>
    </x:row>
    <x:row r="597">
      <x:c r="B597" s="28" t="str">
        <x:v>AT-25</x:v>
      </x:c>
      <x:c r="C597" s="28" t="str">
        <x:v>RESERVE</x:v>
      </x:c>
      <x:c r="D597" s="28" t="str">
        <x:f>INDEX('Attempt Tokens'!$E$7:$E$36,MATCH(B597,'Attempt Tokens'!$B$7:$B$36,0))</x:f>
      </x:c>
      <x:c r="E597" s="28" t="n">
        <x:v>15</x:v>
      </x:c>
      <x:c r="F597" s="28" t="str">
        <x:v>EG-15</x:v>
      </x:c>
      <x:c r="G597" s="28" t="str">
        <x:v>phase clock complete</x:v>
      </x:c>
      <x:c r="H597" s="28" t="str">
        <x:v>PASS</x:v>
      </x:c>
      <x:c r="I597" s="29" t="str"/>
      <x:c r="J597" s="29" t="str"/>
      <x:c r="K597" s="29" t="str"/>
      <x:c r="L597" s="28" t="str">
        <x:f>IF(AND(C597="RESERVE",D597=""),"DORMANT",IF(K597="","OPEN",IF(AND(I597=H597,J597&lt;&gt;""),"PASS","FAIL")))</x:f>
        <x:v>DORMANT</x:v>
      </x:c>
    </x:row>
    <x:row r="598">
      <x:c r="B598" s="28" t="str">
        <x:v>AT-25</x:v>
      </x:c>
      <x:c r="C598" s="28" t="str">
        <x:v>RESERVE</x:v>
      </x:c>
      <x:c r="D598" s="28" t="str">
        <x:f>INDEX('Attempt Tokens'!$E$7:$E$36,MATCH(B598,'Attempt Tokens'!$B$7:$B$36,0))</x:f>
      </x:c>
      <x:c r="E598" s="28" t="n">
        <x:v>16</x:v>
      </x:c>
      <x:c r="F598" s="28" t="str">
        <x:v>EG-16</x:v>
      </x:c>
      <x:c r="G598" s="28" t="str">
        <x:v>holds complete</x:v>
      </x:c>
      <x:c r="H598" s="28" t="str">
        <x:v>PASS</x:v>
      </x:c>
      <x:c r="I598" s="29" t="str"/>
      <x:c r="J598" s="29" t="str"/>
      <x:c r="K598" s="29" t="str"/>
      <x:c r="L598" s="28" t="str">
        <x:f>IF(AND(C598="RESERVE",D598=""),"DORMANT",IF(K598="","OPEN",IF(AND(I598=H598,J598&lt;&gt;""),"PASS","FAIL")))</x:f>
        <x:v>DORMANT</x:v>
      </x:c>
    </x:row>
    <x:row r="599">
      <x:c r="B599" s="28" t="str">
        <x:v>AT-25</x:v>
      </x:c>
      <x:c r="C599" s="28" t="str">
        <x:v>RESERVE</x:v>
      </x:c>
      <x:c r="D599" s="28" t="str">
        <x:f>INDEX('Attempt Tokens'!$E$7:$E$36,MATCH(B599,'Attempt Tokens'!$B$7:$B$36,0))</x:f>
      </x:c>
      <x:c r="E599" s="28" t="n">
        <x:v>17</x:v>
      </x:c>
      <x:c r="F599" s="28" t="str">
        <x:v>EG-17</x:v>
      </x:c>
      <x:c r="G599" s="28" t="str">
        <x:v>evidence obligations complete</x:v>
      </x:c>
      <x:c r="H599" s="28" t="str">
        <x:v>PASS</x:v>
      </x:c>
      <x:c r="I599" s="29" t="str"/>
      <x:c r="J599" s="29" t="str"/>
      <x:c r="K599" s="29" t="str"/>
      <x:c r="L599" s="28" t="str">
        <x:f>IF(AND(C599="RESERVE",D599=""),"DORMANT",IF(K599="","OPEN",IF(AND(I599=H599,J599&lt;&gt;""),"PASS","FAIL")))</x:f>
        <x:v>DORMANT</x:v>
      </x:c>
    </x:row>
    <x:row r="600">
      <x:c r="B600" s="28" t="str">
        <x:v>AT-25</x:v>
      </x:c>
      <x:c r="C600" s="28" t="str">
        <x:v>RESERVE</x:v>
      </x:c>
      <x:c r="D600" s="28" t="str">
        <x:f>INDEX('Attempt Tokens'!$E$7:$E$36,MATCH(B600,'Attempt Tokens'!$B$7:$B$36,0))</x:f>
      </x:c>
      <x:c r="E600" s="28" t="n">
        <x:v>18</x:v>
      </x:c>
      <x:c r="F600" s="28" t="str">
        <x:v>EG-18</x:v>
      </x:c>
      <x:c r="G600" s="28" t="str">
        <x:v>blank samples complete</x:v>
      </x:c>
      <x:c r="H600" s="28" t="str">
        <x:v>PASS</x:v>
      </x:c>
      <x:c r="I600" s="29" t="str"/>
      <x:c r="J600" s="29" t="str"/>
      <x:c r="K600" s="29" t="str"/>
      <x:c r="L600" s="28" t="str">
        <x:f>IF(AND(C600="RESERVE",D600=""),"DORMANT",IF(K600="","OPEN",IF(AND(I600=H600,J600&lt;&gt;""),"PASS","FAIL")))</x:f>
        <x:v>DORMANT</x:v>
      </x:c>
    </x:row>
    <x:row r="601">
      <x:c r="B601" s="28" t="str">
        <x:v>AT-25</x:v>
      </x:c>
      <x:c r="C601" s="28" t="str">
        <x:v>RESERVE</x:v>
      </x:c>
      <x:c r="D601" s="28" t="str">
        <x:f>INDEX('Attempt Tokens'!$E$7:$E$36,MATCH(B601,'Attempt Tokens'!$B$7:$B$36,0))</x:f>
      </x:c>
      <x:c r="E601" s="28" t="n">
        <x:v>19</x:v>
      </x:c>
      <x:c r="F601" s="28" t="str">
        <x:v>EG-19</x:v>
      </x:c>
      <x:c r="G601" s="28" t="str">
        <x:v>abort channels classified</x:v>
      </x:c>
      <x:c r="H601" s="28" t="str">
        <x:v>PASS</x:v>
      </x:c>
      <x:c r="I601" s="29" t="str"/>
      <x:c r="J601" s="29" t="str"/>
      <x:c r="K601" s="29" t="str"/>
      <x:c r="L601" s="28" t="str">
        <x:f>IF(AND(C601="RESERVE",D601=""),"DORMANT",IF(K601="","OPEN",IF(AND(I601=H601,J601&lt;&gt;""),"PASS","FAIL")))</x:f>
        <x:v>DORMANT</x:v>
      </x:c>
    </x:row>
    <x:row r="602">
      <x:c r="B602" s="28" t="str">
        <x:v>AT-25</x:v>
      </x:c>
      <x:c r="C602" s="28" t="str">
        <x:v>RESERVE</x:v>
      </x:c>
      <x:c r="D602" s="28" t="str">
        <x:f>INDEX('Attempt Tokens'!$E$7:$E$36,MATCH(B602,'Attempt Tokens'!$B$7:$B$36,0))</x:f>
      </x:c>
      <x:c r="E602" s="28" t="n">
        <x:v>20</x:v>
      </x:c>
      <x:c r="F602" s="28" t="str">
        <x:v>EG-20</x:v>
      </x:c>
      <x:c r="G602" s="28" t="str">
        <x:v>interventions classified</x:v>
      </x:c>
      <x:c r="H602" s="28" t="str">
        <x:v>PASS</x:v>
      </x:c>
      <x:c r="I602" s="29" t="str"/>
      <x:c r="J602" s="29" t="str"/>
      <x:c r="K602" s="29" t="str"/>
      <x:c r="L602" s="28" t="str">
        <x:f>IF(AND(C602="RESERVE",D602=""),"DORMANT",IF(K602="","OPEN",IF(AND(I602=H602,J602&lt;&gt;""),"PASS","FAIL")))</x:f>
        <x:v>DORMANT</x:v>
      </x:c>
    </x:row>
    <x:row r="603">
      <x:c r="B603" s="28" t="str">
        <x:v>AT-25</x:v>
      </x:c>
      <x:c r="C603" s="28" t="str">
        <x:v>RESERVE</x:v>
      </x:c>
      <x:c r="D603" s="28" t="str">
        <x:f>INDEX('Attempt Tokens'!$E$7:$E$36,MATCH(B603,'Attempt Tokens'!$B$7:$B$36,0))</x:f>
      </x:c>
      <x:c r="E603" s="28" t="n">
        <x:v>21</x:v>
      </x:c>
      <x:c r="F603" s="28" t="str">
        <x:v>EG-21</x:v>
      </x:c>
      <x:c r="G603" s="28" t="str">
        <x:v>event result accepted</x:v>
      </x:c>
      <x:c r="H603" s="28" t="str">
        <x:v>PASS</x:v>
      </x:c>
      <x:c r="I603" s="29" t="str"/>
      <x:c r="J603" s="29" t="str"/>
      <x:c r="K603" s="29" t="str"/>
      <x:c r="L603" s="28" t="str">
        <x:f>IF(AND(C603="RESERVE",D603=""),"DORMANT",IF(K603="","OPEN",IF(AND(I603=H603,J603&lt;&gt;""),"PASS","FAIL")))</x:f>
        <x:v>DORMANT</x:v>
      </x:c>
    </x:row>
    <x:row r="604">
      <x:c r="B604" s="28" t="str">
        <x:v>AT-25</x:v>
      </x:c>
      <x:c r="C604" s="28" t="str">
        <x:v>RESERVE</x:v>
      </x:c>
      <x:c r="D604" s="28" t="str">
        <x:f>INDEX('Attempt Tokens'!$E$7:$E$36,MATCH(B604,'Attempt Tokens'!$B$7:$B$36,0))</x:f>
      </x:c>
      <x:c r="E604" s="28" t="n">
        <x:v>22</x:v>
      </x:c>
      <x:c r="F604" s="28" t="str">
        <x:v>EG-22</x:v>
      </x:c>
      <x:c r="G604" s="28" t="str">
        <x:v>recovery states complete</x:v>
      </x:c>
      <x:c r="H604" s="28" t="str">
        <x:v>PASS</x:v>
      </x:c>
      <x:c r="I604" s="29" t="str"/>
      <x:c r="J604" s="29" t="str"/>
      <x:c r="K604" s="29" t="str"/>
      <x:c r="L604" s="28" t="str">
        <x:f>IF(AND(C604="RESERVE",D604=""),"DORMANT",IF(K604="","OPEN",IF(AND(I604=H604,J604&lt;&gt;""),"PASS","FAIL")))</x:f>
        <x:v>DORMANT</x:v>
      </x:c>
    </x:row>
    <x:row r="605">
      <x:c r="B605" s="28" t="str">
        <x:v>AT-25</x:v>
      </x:c>
      <x:c r="C605" s="28" t="str">
        <x:v>RESERVE</x:v>
      </x:c>
      <x:c r="D605" s="28" t="str">
        <x:f>INDEX('Attempt Tokens'!$E$7:$E$36,MATCH(B605,'Attempt Tokens'!$B$7:$B$36,0))</x:f>
      </x:c>
      <x:c r="E605" s="28" t="n">
        <x:v>23</x:v>
      </x:c>
      <x:c r="F605" s="28" t="str">
        <x:v>EG-23</x:v>
      </x:c>
      <x:c r="G605" s="28" t="str">
        <x:v>regeneration and regression complete</x:v>
      </x:c>
      <x:c r="H605" s="28" t="str">
        <x:v>PASS</x:v>
      </x:c>
      <x:c r="I605" s="29" t="str"/>
      <x:c r="J605" s="29" t="str"/>
      <x:c r="K605" s="29" t="str"/>
      <x:c r="L605" s="28" t="str">
        <x:f>IF(AND(C605="RESERVE",D605=""),"DORMANT",IF(K605="","OPEN",IF(AND(I605=H605,J605&lt;&gt;""),"PASS","FAIL")))</x:f>
        <x:v>DORMANT</x:v>
      </x:c>
    </x:row>
    <x:row r="606">
      <x:c r="B606" s="28" t="str">
        <x:v>AT-25</x:v>
      </x:c>
      <x:c r="C606" s="28" t="str">
        <x:v>RESERVE</x:v>
      </x:c>
      <x:c r="D606" s="28" t="str">
        <x:f>INDEX('Attempt Tokens'!$E$7:$E$36,MATCH(B606,'Attempt Tokens'!$B$7:$B$36,0))</x:f>
      </x:c>
      <x:c r="E606" s="28" t="n">
        <x:v>24</x:v>
      </x:c>
      <x:c r="F606" s="28" t="str">
        <x:v>EG-24</x:v>
      </x:c>
      <x:c r="G606" s="28" t="str">
        <x:v>reentry and packet release complete</x:v>
      </x:c>
      <x:c r="H606" s="28" t="str">
        <x:v>PASS</x:v>
      </x:c>
      <x:c r="I606" s="29" t="str"/>
      <x:c r="J606" s="29" t="str"/>
      <x:c r="K606" s="29" t="str"/>
      <x:c r="L606" s="28" t="str">
        <x:f>IF(AND(C606="RESERVE",D606=""),"DORMANT",IF(K606="","OPEN",IF(AND(I606=H606,J606&lt;&gt;""),"PASS","FAIL")))</x:f>
        <x:v>DORMANT</x:v>
      </x:c>
    </x:row>
    <x:row r="607">
      <x:c r="B607" s="28" t="str">
        <x:v>AT-26</x:v>
      </x:c>
      <x:c r="C607" s="28" t="str">
        <x:v>RESERVE</x:v>
      </x:c>
      <x:c r="D607" s="28" t="str">
        <x:f>INDEX('Attempt Tokens'!$E$7:$E$36,MATCH(B607,'Attempt Tokens'!$B$7:$B$36,0))</x:f>
      </x:c>
      <x:c r="E607" s="28" t="n">
        <x:v>1</x:v>
      </x:c>
      <x:c r="F607" s="28" t="str">
        <x:v>EG-01</x:v>
      </x:c>
      <x:c r="G607" s="28" t="str">
        <x:v>RAX or renewed pair credential current</x:v>
      </x:c>
      <x:c r="H607" s="28" t="str">
        <x:v>PASS</x:v>
      </x:c>
      <x:c r="I607" s="29" t="str"/>
      <x:c r="J607" s="29" t="str"/>
      <x:c r="K607" s="29" t="str"/>
      <x:c r="L607" s="28" t="str">
        <x:f>IF(AND(C607="RESERVE",D607=""),"DORMANT",IF(K607="","OPEN",IF(AND(I607=H607,J607&lt;&gt;""),"PASS","FAIL")))</x:f>
        <x:v>DORMANT</x:v>
      </x:c>
    </x:row>
    <x:row r="608">
      <x:c r="B608" s="28" t="str">
        <x:v>AT-26</x:v>
      </x:c>
      <x:c r="C608" s="28" t="str">
        <x:v>RESERVE</x:v>
      </x:c>
      <x:c r="D608" s="28" t="str">
        <x:f>INDEX('Attempt Tokens'!$E$7:$E$36,MATCH(B608,'Attempt Tokens'!$B$7:$B$36,0))</x:f>
      </x:c>
      <x:c r="E608" s="28" t="n">
        <x:v>2</x:v>
      </x:c>
      <x:c r="F608" s="28" t="str">
        <x:v>EG-02</x:v>
      </x:c>
      <x:c r="G608" s="28" t="str">
        <x:v>candidate cell eligible</x:v>
      </x:c>
      <x:c r="H608" s="28" t="str">
        <x:v>PASS</x:v>
      </x:c>
      <x:c r="I608" s="29" t="str"/>
      <x:c r="J608" s="29" t="str"/>
      <x:c r="K608" s="29" t="str"/>
      <x:c r="L608" s="28" t="str">
        <x:f>IF(AND(C608="RESERVE",D608=""),"DORMANT",IF(K608="","OPEN",IF(AND(I608=H608,J608&lt;&gt;""),"PASS","FAIL")))</x:f>
        <x:v>DORMANT</x:v>
      </x:c>
    </x:row>
    <x:row r="609">
      <x:c r="B609" s="28" t="str">
        <x:v>AT-26</x:v>
      </x:c>
      <x:c r="C609" s="28" t="str">
        <x:v>RESERVE</x:v>
      </x:c>
      <x:c r="D609" s="28" t="str">
        <x:f>INDEX('Attempt Tokens'!$E$7:$E$36,MATCH(B609,'Attempt Tokens'!$B$7:$B$36,0))</x:f>
      </x:c>
      <x:c r="E609" s="28" t="n">
        <x:v>3</x:v>
      </x:c>
      <x:c r="F609" s="28" t="str">
        <x:v>EG-03</x:v>
      </x:c>
      <x:c r="G609" s="28" t="str">
        <x:v>draw and schedule binding complete</x:v>
      </x:c>
      <x:c r="H609" s="28" t="str">
        <x:v>PASS</x:v>
      </x:c>
      <x:c r="I609" s="29" t="str"/>
      <x:c r="J609" s="29" t="str"/>
      <x:c r="K609" s="29" t="str"/>
      <x:c r="L609" s="28" t="str">
        <x:f>IF(AND(C609="RESERVE",D609=""),"DORMANT",IF(K609="","OPEN",IF(AND(I609=H609,J609&lt;&gt;""),"PASS","FAIL")))</x:f>
        <x:v>DORMANT</x:v>
      </x:c>
    </x:row>
    <x:row r="610">
      <x:c r="B610" s="28" t="str">
        <x:v>AT-26</x:v>
      </x:c>
      <x:c r="C610" s="28" t="str">
        <x:v>RESERVE</x:v>
      </x:c>
      <x:c r="D610" s="28" t="str">
        <x:f>INDEX('Attempt Tokens'!$E$7:$E$36,MATCH(B610,'Attempt Tokens'!$B$7:$B$36,0))</x:f>
      </x:c>
      <x:c r="E610" s="28" t="n">
        <x:v>4</x:v>
      </x:c>
      <x:c r="F610" s="28" t="str">
        <x:v>EG-04</x:v>
      </x:c>
      <x:c r="G610" s="28" t="str">
        <x:v>event issue accepted</x:v>
      </x:c>
      <x:c r="H610" s="28" t="str">
        <x:v>PASS</x:v>
      </x:c>
      <x:c r="I610" s="29" t="str"/>
      <x:c r="J610" s="29" t="str"/>
      <x:c r="K610" s="29" t="str"/>
      <x:c r="L610" s="28" t="str">
        <x:f>IF(AND(C610="RESERVE",D610=""),"DORMANT",IF(K610="","OPEN",IF(AND(I610=H610,J610&lt;&gt;""),"PASS","FAIL")))</x:f>
        <x:v>DORMANT</x:v>
      </x:c>
    </x:row>
    <x:row r="611">
      <x:c r="B611" s="28" t="str">
        <x:v>AT-26</x:v>
      </x:c>
      <x:c r="C611" s="28" t="str">
        <x:v>RESERVE</x:v>
      </x:c>
      <x:c r="D611" s="28" t="str">
        <x:f>INDEX('Attempt Tokens'!$E$7:$E$36,MATCH(B611,'Attempt Tokens'!$B$7:$B$36,0))</x:f>
      </x:c>
      <x:c r="E611" s="28" t="n">
        <x:v>5</x:v>
      </x:c>
      <x:c r="F611" s="28" t="str">
        <x:v>EG-05</x:v>
      </x:c>
      <x:c r="G611" s="28" t="str">
        <x:v>dossier bindings complete</x:v>
      </x:c>
      <x:c r="H611" s="28" t="str">
        <x:v>PASS</x:v>
      </x:c>
      <x:c r="I611" s="29" t="str"/>
      <x:c r="J611" s="29" t="str"/>
      <x:c r="K611" s="29" t="str"/>
      <x:c r="L611" s="28" t="str">
        <x:f>IF(AND(C611="RESERVE",D611=""),"DORMANT",IF(K611="","OPEN",IF(AND(I611=H611,J611&lt;&gt;""),"PASS","FAIL")))</x:f>
        <x:v>DORMANT</x:v>
      </x:c>
    </x:row>
    <x:row r="612">
      <x:c r="B612" s="28" t="str">
        <x:v>AT-26</x:v>
      </x:c>
      <x:c r="C612" s="28" t="str">
        <x:v>RESERVE</x:v>
      </x:c>
      <x:c r="D612" s="28" t="str">
        <x:f>INDEX('Attempt Tokens'!$E$7:$E$36,MATCH(B612,'Attempt Tokens'!$B$7:$B$36,0))</x:f>
      </x:c>
      <x:c r="E612" s="28" t="n">
        <x:v>6</x:v>
      </x:c>
      <x:c r="F612" s="28" t="str">
        <x:v>EG-06</x:v>
      </x:c>
      <x:c r="G612" s="28" t="str">
        <x:v>event crew complete</x:v>
      </x:c>
      <x:c r="H612" s="28" t="str">
        <x:v>PASS</x:v>
      </x:c>
      <x:c r="I612" s="29" t="str"/>
      <x:c r="J612" s="29" t="str"/>
      <x:c r="K612" s="29" t="str"/>
      <x:c r="L612" s="28" t="str">
        <x:f>IF(AND(C612="RESERVE",D612=""),"DORMANT",IF(K612="","OPEN",IF(AND(I612=H612,J612&lt;&gt;""),"PASS","FAIL")))</x:f>
        <x:v>DORMANT</x:v>
      </x:c>
    </x:row>
    <x:row r="613">
      <x:c r="B613" s="28" t="str">
        <x:v>AT-26</x:v>
      </x:c>
      <x:c r="C613" s="28" t="str">
        <x:v>RESERVE</x:v>
      </x:c>
      <x:c r="D613" s="28" t="str">
        <x:f>INDEX('Attempt Tokens'!$E$7:$E$36,MATCH(B613,'Attempt Tokens'!$B$7:$B$36,0))</x:f>
      </x:c>
      <x:c r="E613" s="28" t="n">
        <x:v>7</x:v>
      </x:c>
      <x:c r="F613" s="28" t="str">
        <x:v>EG-07</x:v>
      </x:c>
      <x:c r="G613" s="28" t="str">
        <x:v>configuration freeze complete</x:v>
      </x:c>
      <x:c r="H613" s="28" t="str">
        <x:v>PASS</x:v>
      </x:c>
      <x:c r="I613" s="29" t="str"/>
      <x:c r="J613" s="29" t="str"/>
      <x:c r="K613" s="29" t="str"/>
      <x:c r="L613" s="28" t="str">
        <x:f>IF(AND(C613="RESERVE",D613=""),"DORMANT",IF(K613="","OPEN",IF(AND(I613=H613,J613&lt;&gt;""),"PASS","FAIL")))</x:f>
        <x:v>DORMANT</x:v>
      </x:c>
    </x:row>
    <x:row r="614">
      <x:c r="B614" s="28" t="str">
        <x:v>AT-26</x:v>
      </x:c>
      <x:c r="C614" s="28" t="str">
        <x:v>RESERVE</x:v>
      </x:c>
      <x:c r="D614" s="28" t="str">
        <x:f>INDEX('Attempt Tokens'!$E$7:$E$36,MATCH(B614,'Attempt Tokens'!$B$7:$B$36,0))</x:f>
      </x:c>
      <x:c r="E614" s="28" t="n">
        <x:v>8</x:v>
      </x:c>
      <x:c r="F614" s="28" t="str">
        <x:v>EG-08</x:v>
      </x:c>
      <x:c r="G614" s="28" t="str">
        <x:v>zero-source checks complete</x:v>
      </x:c>
      <x:c r="H614" s="28" t="str">
        <x:v>PASS</x:v>
      </x:c>
      <x:c r="I614" s="29" t="str"/>
      <x:c r="J614" s="29" t="str"/>
      <x:c r="K614" s="29" t="str"/>
      <x:c r="L614" s="28" t="str">
        <x:f>IF(AND(C614="RESERVE",D614=""),"DORMANT",IF(K614="","OPEN",IF(AND(I614=H614,J614&lt;&gt;""),"PASS","FAIL")))</x:f>
        <x:v>DORMANT</x:v>
      </x:c>
    </x:row>
    <x:row r="615">
      <x:c r="B615" s="28" t="str">
        <x:v>AT-26</x:v>
      </x:c>
      <x:c r="C615" s="28" t="str">
        <x:v>RESERVE</x:v>
      </x:c>
      <x:c r="D615" s="28" t="str">
        <x:f>INDEX('Attempt Tokens'!$E$7:$E$36,MATCH(B615,'Attempt Tokens'!$B$7:$B$36,0))</x:f>
      </x:c>
      <x:c r="E615" s="28" t="n">
        <x:v>9</x:v>
      </x:c>
      <x:c r="F615" s="28" t="str">
        <x:v>EG-09</x:v>
      </x:c>
      <x:c r="G615" s="28" t="str">
        <x:v>zero-water checks complete</x:v>
      </x:c>
      <x:c r="H615" s="28" t="str">
        <x:v>PASS</x:v>
      </x:c>
      <x:c r="I615" s="29" t="str"/>
      <x:c r="J615" s="29" t="str"/>
      <x:c r="K615" s="29" t="str"/>
      <x:c r="L615" s="28" t="str">
        <x:f>IF(AND(C615="RESERVE",D615=""),"DORMANT",IF(K615="","OPEN",IF(AND(I615=H615,J615&lt;&gt;""),"PASS","FAIL")))</x:f>
        <x:v>DORMANT</x:v>
      </x:c>
    </x:row>
    <x:row r="616">
      <x:c r="B616" s="28" t="str">
        <x:v>AT-26</x:v>
      </x:c>
      <x:c r="C616" s="28" t="str">
        <x:v>RESERVE</x:v>
      </x:c>
      <x:c r="D616" s="28" t="str">
        <x:f>INDEX('Attempt Tokens'!$E$7:$E$36,MATCH(B616,'Attempt Tokens'!$B$7:$B$36,0))</x:f>
      </x:c>
      <x:c r="E616" s="28" t="n">
        <x:v>10</x:v>
      </x:c>
      <x:c r="F616" s="28" t="str">
        <x:v>EG-10</x:v>
      </x:c>
      <x:c r="G616" s="28" t="str">
        <x:v>uncertainty decisions complete</x:v>
      </x:c>
      <x:c r="H616" s="28" t="str">
        <x:v>PASS</x:v>
      </x:c>
      <x:c r="I616" s="29" t="str"/>
      <x:c r="J616" s="29" t="str"/>
      <x:c r="K616" s="29" t="str"/>
      <x:c r="L616" s="28" t="str">
        <x:f>IF(AND(C616="RESERVE",D616=""),"DORMANT",IF(K616="","OPEN",IF(AND(I616=H616,J616&lt;&gt;""),"PASS","FAIL")))</x:f>
        <x:v>DORMANT</x:v>
      </x:c>
    </x:row>
    <x:row r="617">
      <x:c r="B617" s="28" t="str">
        <x:v>AT-26</x:v>
      </x:c>
      <x:c r="C617" s="28" t="str">
        <x:v>RESERVE</x:v>
      </x:c>
      <x:c r="D617" s="28" t="str">
        <x:f>INDEX('Attempt Tokens'!$E$7:$E$36,MATCH(B617,'Attempt Tokens'!$B$7:$B$36,0))</x:f>
      </x:c>
      <x:c r="E617" s="28" t="n">
        <x:v>11</x:v>
      </x:c>
      <x:c r="F617" s="28" t="str">
        <x:v>EG-11</x:v>
      </x:c>
      <x:c r="G617" s="28" t="str">
        <x:v>measurement windows complete</x:v>
      </x:c>
      <x:c r="H617" s="28" t="str">
        <x:v>PASS</x:v>
      </x:c>
      <x:c r="I617" s="29" t="str"/>
      <x:c r="J617" s="29" t="str"/>
      <x:c r="K617" s="29" t="str"/>
      <x:c r="L617" s="28" t="str">
        <x:f>IF(AND(C617="RESERVE",D617=""),"DORMANT",IF(K617="","OPEN",IF(AND(I617=H617,J617&lt;&gt;""),"PASS","FAIL")))</x:f>
        <x:v>DORMANT</x:v>
      </x:c>
    </x:row>
    <x:row r="618">
      <x:c r="B618" s="28" t="str">
        <x:v>AT-26</x:v>
      </x:c>
      <x:c r="C618" s="28" t="str">
        <x:v>RESERVE</x:v>
      </x:c>
      <x:c r="D618" s="28" t="str">
        <x:f>INDEX('Attempt Tokens'!$E$7:$E$36,MATCH(B618,'Attempt Tokens'!$B$7:$B$36,0))</x:f>
      </x:c>
      <x:c r="E618" s="28" t="n">
        <x:v>12</x:v>
      </x:c>
      <x:c r="F618" s="28" t="str">
        <x:v>EG-12</x:v>
      </x:c>
      <x:c r="G618" s="28" t="str">
        <x:v>neighbor proofs complete</x:v>
      </x:c>
      <x:c r="H618" s="28" t="str">
        <x:v>PASS</x:v>
      </x:c>
      <x:c r="I618" s="29" t="str"/>
      <x:c r="J618" s="29" t="str"/>
      <x:c r="K618" s="29" t="str"/>
      <x:c r="L618" s="28" t="str">
        <x:f>IF(AND(C618="RESERVE",D618=""),"DORMANT",IF(K618="","OPEN",IF(AND(I618=H618,J618&lt;&gt;""),"PASS","FAIL")))</x:f>
        <x:v>DORMANT</x:v>
      </x:c>
    </x:row>
    <x:row r="619">
      <x:c r="B619" s="28" t="str">
        <x:v>AT-26</x:v>
      </x:c>
      <x:c r="C619" s="28" t="str">
        <x:v>RESERVE</x:v>
      </x:c>
      <x:c r="D619" s="28" t="str">
        <x:f>INDEX('Attempt Tokens'!$E$7:$E$36,MATCH(B619,'Attempt Tokens'!$B$7:$B$36,0))</x:f>
      </x:c>
      <x:c r="E619" s="28" t="n">
        <x:v>13</x:v>
      </x:c>
      <x:c r="F619" s="28" t="str">
        <x:v>EG-13</x:v>
      </x:c>
      <x:c r="G619" s="28" t="str">
        <x:v>safeing polls complete</x:v>
      </x:c>
      <x:c r="H619" s="28" t="str">
        <x:v>PASS</x:v>
      </x:c>
      <x:c r="I619" s="29" t="str"/>
      <x:c r="J619" s="29" t="str"/>
      <x:c r="K619" s="29" t="str"/>
      <x:c r="L619" s="28" t="str">
        <x:f>IF(AND(C619="RESERVE",D619=""),"DORMANT",IF(K619="","OPEN",IF(AND(I619=H619,J619&lt;&gt;""),"PASS","FAIL")))</x:f>
        <x:v>DORMANT</x:v>
      </x:c>
    </x:row>
    <x:row r="620">
      <x:c r="B620" s="28" t="str">
        <x:v>AT-26</x:v>
      </x:c>
      <x:c r="C620" s="28" t="str">
        <x:v>RESERVE</x:v>
      </x:c>
      <x:c r="D620" s="28" t="str">
        <x:f>INDEX('Attempt Tokens'!$E$7:$E$36,MATCH(B620,'Attempt Tokens'!$B$7:$B$36,0))</x:f>
      </x:c>
      <x:c r="E620" s="28" t="n">
        <x:v>14</x:v>
      </x:c>
      <x:c r="F620" s="28" t="str">
        <x:v>EG-14</x:v>
      </x:c>
      <x:c r="G620" s="28" t="str">
        <x:v>command transactions complete</x:v>
      </x:c>
      <x:c r="H620" s="28" t="str">
        <x:v>PASS</x:v>
      </x:c>
      <x:c r="I620" s="29" t="str"/>
      <x:c r="J620" s="29" t="str"/>
      <x:c r="K620" s="29" t="str"/>
      <x:c r="L620" s="28" t="str">
        <x:f>IF(AND(C620="RESERVE",D620=""),"DORMANT",IF(K620="","OPEN",IF(AND(I620=H620,J620&lt;&gt;""),"PASS","FAIL")))</x:f>
        <x:v>DORMANT</x:v>
      </x:c>
    </x:row>
    <x:row r="621">
      <x:c r="B621" s="28" t="str">
        <x:v>AT-26</x:v>
      </x:c>
      <x:c r="C621" s="28" t="str">
        <x:v>RESERVE</x:v>
      </x:c>
      <x:c r="D621" s="28" t="str">
        <x:f>INDEX('Attempt Tokens'!$E$7:$E$36,MATCH(B621,'Attempt Tokens'!$B$7:$B$36,0))</x:f>
      </x:c>
      <x:c r="E621" s="28" t="n">
        <x:v>15</x:v>
      </x:c>
      <x:c r="F621" s="28" t="str">
        <x:v>EG-15</x:v>
      </x:c>
      <x:c r="G621" s="28" t="str">
        <x:v>phase clock complete</x:v>
      </x:c>
      <x:c r="H621" s="28" t="str">
        <x:v>PASS</x:v>
      </x:c>
      <x:c r="I621" s="29" t="str"/>
      <x:c r="J621" s="29" t="str"/>
      <x:c r="K621" s="29" t="str"/>
      <x:c r="L621" s="28" t="str">
        <x:f>IF(AND(C621="RESERVE",D621=""),"DORMANT",IF(K621="","OPEN",IF(AND(I621=H621,J621&lt;&gt;""),"PASS","FAIL")))</x:f>
        <x:v>DORMANT</x:v>
      </x:c>
    </x:row>
    <x:row r="622">
      <x:c r="B622" s="28" t="str">
        <x:v>AT-26</x:v>
      </x:c>
      <x:c r="C622" s="28" t="str">
        <x:v>RESERVE</x:v>
      </x:c>
      <x:c r="D622" s="28" t="str">
        <x:f>INDEX('Attempt Tokens'!$E$7:$E$36,MATCH(B622,'Attempt Tokens'!$B$7:$B$36,0))</x:f>
      </x:c>
      <x:c r="E622" s="28" t="n">
        <x:v>16</x:v>
      </x:c>
      <x:c r="F622" s="28" t="str">
        <x:v>EG-16</x:v>
      </x:c>
      <x:c r="G622" s="28" t="str">
        <x:v>holds complete</x:v>
      </x:c>
      <x:c r="H622" s="28" t="str">
        <x:v>PASS</x:v>
      </x:c>
      <x:c r="I622" s="29" t="str"/>
      <x:c r="J622" s="29" t="str"/>
      <x:c r="K622" s="29" t="str"/>
      <x:c r="L622" s="28" t="str">
        <x:f>IF(AND(C622="RESERVE",D622=""),"DORMANT",IF(K622="","OPEN",IF(AND(I622=H622,J622&lt;&gt;""),"PASS","FAIL")))</x:f>
        <x:v>DORMANT</x:v>
      </x:c>
    </x:row>
    <x:row r="623">
      <x:c r="B623" s="28" t="str">
        <x:v>AT-26</x:v>
      </x:c>
      <x:c r="C623" s="28" t="str">
        <x:v>RESERVE</x:v>
      </x:c>
      <x:c r="D623" s="28" t="str">
        <x:f>INDEX('Attempt Tokens'!$E$7:$E$36,MATCH(B623,'Attempt Tokens'!$B$7:$B$36,0))</x:f>
      </x:c>
      <x:c r="E623" s="28" t="n">
        <x:v>17</x:v>
      </x:c>
      <x:c r="F623" s="28" t="str">
        <x:v>EG-17</x:v>
      </x:c>
      <x:c r="G623" s="28" t="str">
        <x:v>evidence obligations complete</x:v>
      </x:c>
      <x:c r="H623" s="28" t="str">
        <x:v>PASS</x:v>
      </x:c>
      <x:c r="I623" s="29" t="str"/>
      <x:c r="J623" s="29" t="str"/>
      <x:c r="K623" s="29" t="str"/>
      <x:c r="L623" s="28" t="str">
        <x:f>IF(AND(C623="RESERVE",D623=""),"DORMANT",IF(K623="","OPEN",IF(AND(I623=H623,J623&lt;&gt;""),"PASS","FAIL")))</x:f>
        <x:v>DORMANT</x:v>
      </x:c>
    </x:row>
    <x:row r="624">
      <x:c r="B624" s="28" t="str">
        <x:v>AT-26</x:v>
      </x:c>
      <x:c r="C624" s="28" t="str">
        <x:v>RESERVE</x:v>
      </x:c>
      <x:c r="D624" s="28" t="str">
        <x:f>INDEX('Attempt Tokens'!$E$7:$E$36,MATCH(B624,'Attempt Tokens'!$B$7:$B$36,0))</x:f>
      </x:c>
      <x:c r="E624" s="28" t="n">
        <x:v>18</x:v>
      </x:c>
      <x:c r="F624" s="28" t="str">
        <x:v>EG-18</x:v>
      </x:c>
      <x:c r="G624" s="28" t="str">
        <x:v>blank samples complete</x:v>
      </x:c>
      <x:c r="H624" s="28" t="str">
        <x:v>PASS</x:v>
      </x:c>
      <x:c r="I624" s="29" t="str"/>
      <x:c r="J624" s="29" t="str"/>
      <x:c r="K624" s="29" t="str"/>
      <x:c r="L624" s="28" t="str">
        <x:f>IF(AND(C624="RESERVE",D624=""),"DORMANT",IF(K624="","OPEN",IF(AND(I624=H624,J624&lt;&gt;""),"PASS","FAIL")))</x:f>
        <x:v>DORMANT</x:v>
      </x:c>
    </x:row>
    <x:row r="625">
      <x:c r="B625" s="28" t="str">
        <x:v>AT-26</x:v>
      </x:c>
      <x:c r="C625" s="28" t="str">
        <x:v>RESERVE</x:v>
      </x:c>
      <x:c r="D625" s="28" t="str">
        <x:f>INDEX('Attempt Tokens'!$E$7:$E$36,MATCH(B625,'Attempt Tokens'!$B$7:$B$36,0))</x:f>
      </x:c>
      <x:c r="E625" s="28" t="n">
        <x:v>19</x:v>
      </x:c>
      <x:c r="F625" s="28" t="str">
        <x:v>EG-19</x:v>
      </x:c>
      <x:c r="G625" s="28" t="str">
        <x:v>abort channels classified</x:v>
      </x:c>
      <x:c r="H625" s="28" t="str">
        <x:v>PASS</x:v>
      </x:c>
      <x:c r="I625" s="29" t="str"/>
      <x:c r="J625" s="29" t="str"/>
      <x:c r="K625" s="29" t="str"/>
      <x:c r="L625" s="28" t="str">
        <x:f>IF(AND(C625="RESERVE",D625=""),"DORMANT",IF(K625="","OPEN",IF(AND(I625=H625,J625&lt;&gt;""),"PASS","FAIL")))</x:f>
        <x:v>DORMANT</x:v>
      </x:c>
    </x:row>
    <x:row r="626">
      <x:c r="B626" s="28" t="str">
        <x:v>AT-26</x:v>
      </x:c>
      <x:c r="C626" s="28" t="str">
        <x:v>RESERVE</x:v>
      </x:c>
      <x:c r="D626" s="28" t="str">
        <x:f>INDEX('Attempt Tokens'!$E$7:$E$36,MATCH(B626,'Attempt Tokens'!$B$7:$B$36,0))</x:f>
      </x:c>
      <x:c r="E626" s="28" t="n">
        <x:v>20</x:v>
      </x:c>
      <x:c r="F626" s="28" t="str">
        <x:v>EG-20</x:v>
      </x:c>
      <x:c r="G626" s="28" t="str">
        <x:v>interventions classified</x:v>
      </x:c>
      <x:c r="H626" s="28" t="str">
        <x:v>PASS</x:v>
      </x:c>
      <x:c r="I626" s="29" t="str"/>
      <x:c r="J626" s="29" t="str"/>
      <x:c r="K626" s="29" t="str"/>
      <x:c r="L626" s="28" t="str">
        <x:f>IF(AND(C626="RESERVE",D626=""),"DORMANT",IF(K626="","OPEN",IF(AND(I626=H626,J626&lt;&gt;""),"PASS","FAIL")))</x:f>
        <x:v>DORMANT</x:v>
      </x:c>
    </x:row>
    <x:row r="627">
      <x:c r="B627" s="28" t="str">
        <x:v>AT-26</x:v>
      </x:c>
      <x:c r="C627" s="28" t="str">
        <x:v>RESERVE</x:v>
      </x:c>
      <x:c r="D627" s="28" t="str">
        <x:f>INDEX('Attempt Tokens'!$E$7:$E$36,MATCH(B627,'Attempt Tokens'!$B$7:$B$36,0))</x:f>
      </x:c>
      <x:c r="E627" s="28" t="n">
        <x:v>21</x:v>
      </x:c>
      <x:c r="F627" s="28" t="str">
        <x:v>EG-21</x:v>
      </x:c>
      <x:c r="G627" s="28" t="str">
        <x:v>event result accepted</x:v>
      </x:c>
      <x:c r="H627" s="28" t="str">
        <x:v>PASS</x:v>
      </x:c>
      <x:c r="I627" s="29" t="str"/>
      <x:c r="J627" s="29" t="str"/>
      <x:c r="K627" s="29" t="str"/>
      <x:c r="L627" s="28" t="str">
        <x:f>IF(AND(C627="RESERVE",D627=""),"DORMANT",IF(K627="","OPEN",IF(AND(I627=H627,J627&lt;&gt;""),"PASS","FAIL")))</x:f>
        <x:v>DORMANT</x:v>
      </x:c>
    </x:row>
    <x:row r="628">
      <x:c r="B628" s="28" t="str">
        <x:v>AT-26</x:v>
      </x:c>
      <x:c r="C628" s="28" t="str">
        <x:v>RESERVE</x:v>
      </x:c>
      <x:c r="D628" s="28" t="str">
        <x:f>INDEX('Attempt Tokens'!$E$7:$E$36,MATCH(B628,'Attempt Tokens'!$B$7:$B$36,0))</x:f>
      </x:c>
      <x:c r="E628" s="28" t="n">
        <x:v>22</x:v>
      </x:c>
      <x:c r="F628" s="28" t="str">
        <x:v>EG-22</x:v>
      </x:c>
      <x:c r="G628" s="28" t="str">
        <x:v>recovery states complete</x:v>
      </x:c>
      <x:c r="H628" s="28" t="str">
        <x:v>PASS</x:v>
      </x:c>
      <x:c r="I628" s="29" t="str"/>
      <x:c r="J628" s="29" t="str"/>
      <x:c r="K628" s="29" t="str"/>
      <x:c r="L628" s="28" t="str">
        <x:f>IF(AND(C628="RESERVE",D628=""),"DORMANT",IF(K628="","OPEN",IF(AND(I628=H628,J628&lt;&gt;""),"PASS","FAIL")))</x:f>
        <x:v>DORMANT</x:v>
      </x:c>
    </x:row>
    <x:row r="629">
      <x:c r="B629" s="28" t="str">
        <x:v>AT-26</x:v>
      </x:c>
      <x:c r="C629" s="28" t="str">
        <x:v>RESERVE</x:v>
      </x:c>
      <x:c r="D629" s="28" t="str">
        <x:f>INDEX('Attempt Tokens'!$E$7:$E$36,MATCH(B629,'Attempt Tokens'!$B$7:$B$36,0))</x:f>
      </x:c>
      <x:c r="E629" s="28" t="n">
        <x:v>23</x:v>
      </x:c>
      <x:c r="F629" s="28" t="str">
        <x:v>EG-23</x:v>
      </x:c>
      <x:c r="G629" s="28" t="str">
        <x:v>regeneration and regression complete</x:v>
      </x:c>
      <x:c r="H629" s="28" t="str">
        <x:v>PASS</x:v>
      </x:c>
      <x:c r="I629" s="29" t="str"/>
      <x:c r="J629" s="29" t="str"/>
      <x:c r="K629" s="29" t="str"/>
      <x:c r="L629" s="28" t="str">
        <x:f>IF(AND(C629="RESERVE",D629=""),"DORMANT",IF(K629="","OPEN",IF(AND(I629=H629,J629&lt;&gt;""),"PASS","FAIL")))</x:f>
        <x:v>DORMANT</x:v>
      </x:c>
    </x:row>
    <x:row r="630">
      <x:c r="B630" s="28" t="str">
        <x:v>AT-26</x:v>
      </x:c>
      <x:c r="C630" s="28" t="str">
        <x:v>RESERVE</x:v>
      </x:c>
      <x:c r="D630" s="28" t="str">
        <x:f>INDEX('Attempt Tokens'!$E$7:$E$36,MATCH(B630,'Attempt Tokens'!$B$7:$B$36,0))</x:f>
      </x:c>
      <x:c r="E630" s="28" t="n">
        <x:v>24</x:v>
      </x:c>
      <x:c r="F630" s="28" t="str">
        <x:v>EG-24</x:v>
      </x:c>
      <x:c r="G630" s="28" t="str">
        <x:v>reentry and packet release complete</x:v>
      </x:c>
      <x:c r="H630" s="28" t="str">
        <x:v>PASS</x:v>
      </x:c>
      <x:c r="I630" s="29" t="str"/>
      <x:c r="J630" s="29" t="str"/>
      <x:c r="K630" s="29" t="str"/>
      <x:c r="L630" s="28" t="str">
        <x:f>IF(AND(C630="RESERVE",D630=""),"DORMANT",IF(K630="","OPEN",IF(AND(I630=H630,J630&lt;&gt;""),"PASS","FAIL")))</x:f>
        <x:v>DORMANT</x:v>
      </x:c>
    </x:row>
    <x:row r="631">
      <x:c r="B631" s="28" t="str">
        <x:v>AT-27</x:v>
      </x:c>
      <x:c r="C631" s="28" t="str">
        <x:v>RESERVE</x:v>
      </x:c>
      <x:c r="D631" s="28" t="str">
        <x:f>INDEX('Attempt Tokens'!$E$7:$E$36,MATCH(B631,'Attempt Tokens'!$B$7:$B$36,0))</x:f>
      </x:c>
      <x:c r="E631" s="28" t="n">
        <x:v>1</x:v>
      </x:c>
      <x:c r="F631" s="28" t="str">
        <x:v>EG-01</x:v>
      </x:c>
      <x:c r="G631" s="28" t="str">
        <x:v>RAX or renewed pair credential current</x:v>
      </x:c>
      <x:c r="H631" s="28" t="str">
        <x:v>PASS</x:v>
      </x:c>
      <x:c r="I631" s="29" t="str"/>
      <x:c r="J631" s="29" t="str"/>
      <x:c r="K631" s="29" t="str"/>
      <x:c r="L631" s="28" t="str">
        <x:f>IF(AND(C631="RESERVE",D631=""),"DORMANT",IF(K631="","OPEN",IF(AND(I631=H631,J631&lt;&gt;""),"PASS","FAIL")))</x:f>
        <x:v>DORMANT</x:v>
      </x:c>
    </x:row>
    <x:row r="632">
      <x:c r="B632" s="28" t="str">
        <x:v>AT-27</x:v>
      </x:c>
      <x:c r="C632" s="28" t="str">
        <x:v>RESERVE</x:v>
      </x:c>
      <x:c r="D632" s="28" t="str">
        <x:f>INDEX('Attempt Tokens'!$E$7:$E$36,MATCH(B632,'Attempt Tokens'!$B$7:$B$36,0))</x:f>
      </x:c>
      <x:c r="E632" s="28" t="n">
        <x:v>2</x:v>
      </x:c>
      <x:c r="F632" s="28" t="str">
        <x:v>EG-02</x:v>
      </x:c>
      <x:c r="G632" s="28" t="str">
        <x:v>candidate cell eligible</x:v>
      </x:c>
      <x:c r="H632" s="28" t="str">
        <x:v>PASS</x:v>
      </x:c>
      <x:c r="I632" s="29" t="str"/>
      <x:c r="J632" s="29" t="str"/>
      <x:c r="K632" s="29" t="str"/>
      <x:c r="L632" s="28" t="str">
        <x:f>IF(AND(C632="RESERVE",D632=""),"DORMANT",IF(K632="","OPEN",IF(AND(I632=H632,J632&lt;&gt;""),"PASS","FAIL")))</x:f>
        <x:v>DORMANT</x:v>
      </x:c>
    </x:row>
    <x:row r="633">
      <x:c r="B633" s="28" t="str">
        <x:v>AT-27</x:v>
      </x:c>
      <x:c r="C633" s="28" t="str">
        <x:v>RESERVE</x:v>
      </x:c>
      <x:c r="D633" s="28" t="str">
        <x:f>INDEX('Attempt Tokens'!$E$7:$E$36,MATCH(B633,'Attempt Tokens'!$B$7:$B$36,0))</x:f>
      </x:c>
      <x:c r="E633" s="28" t="n">
        <x:v>3</x:v>
      </x:c>
      <x:c r="F633" s="28" t="str">
        <x:v>EG-03</x:v>
      </x:c>
      <x:c r="G633" s="28" t="str">
        <x:v>draw and schedule binding complete</x:v>
      </x:c>
      <x:c r="H633" s="28" t="str">
        <x:v>PASS</x:v>
      </x:c>
      <x:c r="I633" s="29" t="str"/>
      <x:c r="J633" s="29" t="str"/>
      <x:c r="K633" s="29" t="str"/>
      <x:c r="L633" s="28" t="str">
        <x:f>IF(AND(C633="RESERVE",D633=""),"DORMANT",IF(K633="","OPEN",IF(AND(I633=H633,J633&lt;&gt;""),"PASS","FAIL")))</x:f>
        <x:v>DORMANT</x:v>
      </x:c>
    </x:row>
    <x:row r="634">
      <x:c r="B634" s="28" t="str">
        <x:v>AT-27</x:v>
      </x:c>
      <x:c r="C634" s="28" t="str">
        <x:v>RESERVE</x:v>
      </x:c>
      <x:c r="D634" s="28" t="str">
        <x:f>INDEX('Attempt Tokens'!$E$7:$E$36,MATCH(B634,'Attempt Tokens'!$B$7:$B$36,0))</x:f>
      </x:c>
      <x:c r="E634" s="28" t="n">
        <x:v>4</x:v>
      </x:c>
      <x:c r="F634" s="28" t="str">
        <x:v>EG-04</x:v>
      </x:c>
      <x:c r="G634" s="28" t="str">
        <x:v>event issue accepted</x:v>
      </x:c>
      <x:c r="H634" s="28" t="str">
        <x:v>PASS</x:v>
      </x:c>
      <x:c r="I634" s="29" t="str"/>
      <x:c r="J634" s="29" t="str"/>
      <x:c r="K634" s="29" t="str"/>
      <x:c r="L634" s="28" t="str">
        <x:f>IF(AND(C634="RESERVE",D634=""),"DORMANT",IF(K634="","OPEN",IF(AND(I634=H634,J634&lt;&gt;""),"PASS","FAIL")))</x:f>
        <x:v>DORMANT</x:v>
      </x:c>
    </x:row>
    <x:row r="635">
      <x:c r="B635" s="28" t="str">
        <x:v>AT-27</x:v>
      </x:c>
      <x:c r="C635" s="28" t="str">
        <x:v>RESERVE</x:v>
      </x:c>
      <x:c r="D635" s="28" t="str">
        <x:f>INDEX('Attempt Tokens'!$E$7:$E$36,MATCH(B635,'Attempt Tokens'!$B$7:$B$36,0))</x:f>
      </x:c>
      <x:c r="E635" s="28" t="n">
        <x:v>5</x:v>
      </x:c>
      <x:c r="F635" s="28" t="str">
        <x:v>EG-05</x:v>
      </x:c>
      <x:c r="G635" s="28" t="str">
        <x:v>dossier bindings complete</x:v>
      </x:c>
      <x:c r="H635" s="28" t="str">
        <x:v>PASS</x:v>
      </x:c>
      <x:c r="I635" s="29" t="str"/>
      <x:c r="J635" s="29" t="str"/>
      <x:c r="K635" s="29" t="str"/>
      <x:c r="L635" s="28" t="str">
        <x:f>IF(AND(C635="RESERVE",D635=""),"DORMANT",IF(K635="","OPEN",IF(AND(I635=H635,J635&lt;&gt;""),"PASS","FAIL")))</x:f>
        <x:v>DORMANT</x:v>
      </x:c>
    </x:row>
    <x:row r="636">
      <x:c r="B636" s="28" t="str">
        <x:v>AT-27</x:v>
      </x:c>
      <x:c r="C636" s="28" t="str">
        <x:v>RESERVE</x:v>
      </x:c>
      <x:c r="D636" s="28" t="str">
        <x:f>INDEX('Attempt Tokens'!$E$7:$E$36,MATCH(B636,'Attempt Tokens'!$B$7:$B$36,0))</x:f>
      </x:c>
      <x:c r="E636" s="28" t="n">
        <x:v>6</x:v>
      </x:c>
      <x:c r="F636" s="28" t="str">
        <x:v>EG-06</x:v>
      </x:c>
      <x:c r="G636" s="28" t="str">
        <x:v>event crew complete</x:v>
      </x:c>
      <x:c r="H636" s="28" t="str">
        <x:v>PASS</x:v>
      </x:c>
      <x:c r="I636" s="29" t="str"/>
      <x:c r="J636" s="29" t="str"/>
      <x:c r="K636" s="29" t="str"/>
      <x:c r="L636" s="28" t="str">
        <x:f>IF(AND(C636="RESERVE",D636=""),"DORMANT",IF(K636="","OPEN",IF(AND(I636=H636,J636&lt;&gt;""),"PASS","FAIL")))</x:f>
        <x:v>DORMANT</x:v>
      </x:c>
    </x:row>
    <x:row r="637">
      <x:c r="B637" s="28" t="str">
        <x:v>AT-27</x:v>
      </x:c>
      <x:c r="C637" s="28" t="str">
        <x:v>RESERVE</x:v>
      </x:c>
      <x:c r="D637" s="28" t="str">
        <x:f>INDEX('Attempt Tokens'!$E$7:$E$36,MATCH(B637,'Attempt Tokens'!$B$7:$B$36,0))</x:f>
      </x:c>
      <x:c r="E637" s="28" t="n">
        <x:v>7</x:v>
      </x:c>
      <x:c r="F637" s="28" t="str">
        <x:v>EG-07</x:v>
      </x:c>
      <x:c r="G637" s="28" t="str">
        <x:v>configuration freeze complete</x:v>
      </x:c>
      <x:c r="H637" s="28" t="str">
        <x:v>PASS</x:v>
      </x:c>
      <x:c r="I637" s="29" t="str"/>
      <x:c r="J637" s="29" t="str"/>
      <x:c r="K637" s="29" t="str"/>
      <x:c r="L637" s="28" t="str">
        <x:f>IF(AND(C637="RESERVE",D637=""),"DORMANT",IF(K637="","OPEN",IF(AND(I637=H637,J637&lt;&gt;""),"PASS","FAIL")))</x:f>
        <x:v>DORMANT</x:v>
      </x:c>
    </x:row>
    <x:row r="638">
      <x:c r="B638" s="28" t="str">
        <x:v>AT-27</x:v>
      </x:c>
      <x:c r="C638" s="28" t="str">
        <x:v>RESERVE</x:v>
      </x:c>
      <x:c r="D638" s="28" t="str">
        <x:f>INDEX('Attempt Tokens'!$E$7:$E$36,MATCH(B638,'Attempt Tokens'!$B$7:$B$36,0))</x:f>
      </x:c>
      <x:c r="E638" s="28" t="n">
        <x:v>8</x:v>
      </x:c>
      <x:c r="F638" s="28" t="str">
        <x:v>EG-08</x:v>
      </x:c>
      <x:c r="G638" s="28" t="str">
        <x:v>zero-source checks complete</x:v>
      </x:c>
      <x:c r="H638" s="28" t="str">
        <x:v>PASS</x:v>
      </x:c>
      <x:c r="I638" s="29" t="str"/>
      <x:c r="J638" s="29" t="str"/>
      <x:c r="K638" s="29" t="str"/>
      <x:c r="L638" s="28" t="str">
        <x:f>IF(AND(C638="RESERVE",D638=""),"DORMANT",IF(K638="","OPEN",IF(AND(I638=H638,J638&lt;&gt;""),"PASS","FAIL")))</x:f>
        <x:v>DORMANT</x:v>
      </x:c>
    </x:row>
    <x:row r="639">
      <x:c r="B639" s="28" t="str">
        <x:v>AT-27</x:v>
      </x:c>
      <x:c r="C639" s="28" t="str">
        <x:v>RESERVE</x:v>
      </x:c>
      <x:c r="D639" s="28" t="str">
        <x:f>INDEX('Attempt Tokens'!$E$7:$E$36,MATCH(B639,'Attempt Tokens'!$B$7:$B$36,0))</x:f>
      </x:c>
      <x:c r="E639" s="28" t="n">
        <x:v>9</x:v>
      </x:c>
      <x:c r="F639" s="28" t="str">
        <x:v>EG-09</x:v>
      </x:c>
      <x:c r="G639" s="28" t="str">
        <x:v>zero-water checks complete</x:v>
      </x:c>
      <x:c r="H639" s="28" t="str">
        <x:v>PASS</x:v>
      </x:c>
      <x:c r="I639" s="29" t="str"/>
      <x:c r="J639" s="29" t="str"/>
      <x:c r="K639" s="29" t="str"/>
      <x:c r="L639" s="28" t="str">
        <x:f>IF(AND(C639="RESERVE",D639=""),"DORMANT",IF(K639="","OPEN",IF(AND(I639=H639,J639&lt;&gt;""),"PASS","FAIL")))</x:f>
        <x:v>DORMANT</x:v>
      </x:c>
    </x:row>
    <x:row r="640">
      <x:c r="B640" s="28" t="str">
        <x:v>AT-27</x:v>
      </x:c>
      <x:c r="C640" s="28" t="str">
        <x:v>RESERVE</x:v>
      </x:c>
      <x:c r="D640" s="28" t="str">
        <x:f>INDEX('Attempt Tokens'!$E$7:$E$36,MATCH(B640,'Attempt Tokens'!$B$7:$B$36,0))</x:f>
      </x:c>
      <x:c r="E640" s="28" t="n">
        <x:v>10</x:v>
      </x:c>
      <x:c r="F640" s="28" t="str">
        <x:v>EG-10</x:v>
      </x:c>
      <x:c r="G640" s="28" t="str">
        <x:v>uncertainty decisions complete</x:v>
      </x:c>
      <x:c r="H640" s="28" t="str">
        <x:v>PASS</x:v>
      </x:c>
      <x:c r="I640" s="29" t="str"/>
      <x:c r="J640" s="29" t="str"/>
      <x:c r="K640" s="29" t="str"/>
      <x:c r="L640" s="28" t="str">
        <x:f>IF(AND(C640="RESERVE",D640=""),"DORMANT",IF(K640="","OPEN",IF(AND(I640=H640,J640&lt;&gt;""),"PASS","FAIL")))</x:f>
        <x:v>DORMANT</x:v>
      </x:c>
    </x:row>
    <x:row r="641">
      <x:c r="B641" s="28" t="str">
        <x:v>AT-27</x:v>
      </x:c>
      <x:c r="C641" s="28" t="str">
        <x:v>RESERVE</x:v>
      </x:c>
      <x:c r="D641" s="28" t="str">
        <x:f>INDEX('Attempt Tokens'!$E$7:$E$36,MATCH(B641,'Attempt Tokens'!$B$7:$B$36,0))</x:f>
      </x:c>
      <x:c r="E641" s="28" t="n">
        <x:v>11</x:v>
      </x:c>
      <x:c r="F641" s="28" t="str">
        <x:v>EG-11</x:v>
      </x:c>
      <x:c r="G641" s="28" t="str">
        <x:v>measurement windows complete</x:v>
      </x:c>
      <x:c r="H641" s="28" t="str">
        <x:v>PASS</x:v>
      </x:c>
      <x:c r="I641" s="29" t="str"/>
      <x:c r="J641" s="29" t="str"/>
      <x:c r="K641" s="29" t="str"/>
      <x:c r="L641" s="28" t="str">
        <x:f>IF(AND(C641="RESERVE",D641=""),"DORMANT",IF(K641="","OPEN",IF(AND(I641=H641,J641&lt;&gt;""),"PASS","FAIL")))</x:f>
        <x:v>DORMANT</x:v>
      </x:c>
    </x:row>
    <x:row r="642">
      <x:c r="B642" s="28" t="str">
        <x:v>AT-27</x:v>
      </x:c>
      <x:c r="C642" s="28" t="str">
        <x:v>RESERVE</x:v>
      </x:c>
      <x:c r="D642" s="28" t="str">
        <x:f>INDEX('Attempt Tokens'!$E$7:$E$36,MATCH(B642,'Attempt Tokens'!$B$7:$B$36,0))</x:f>
      </x:c>
      <x:c r="E642" s="28" t="n">
        <x:v>12</x:v>
      </x:c>
      <x:c r="F642" s="28" t="str">
        <x:v>EG-12</x:v>
      </x:c>
      <x:c r="G642" s="28" t="str">
        <x:v>neighbor proofs complete</x:v>
      </x:c>
      <x:c r="H642" s="28" t="str">
        <x:v>PASS</x:v>
      </x:c>
      <x:c r="I642" s="29" t="str"/>
      <x:c r="J642" s="29" t="str"/>
      <x:c r="K642" s="29" t="str"/>
      <x:c r="L642" s="28" t="str">
        <x:f>IF(AND(C642="RESERVE",D642=""),"DORMANT",IF(K642="","OPEN",IF(AND(I642=H642,J642&lt;&gt;""),"PASS","FAIL")))</x:f>
        <x:v>DORMANT</x:v>
      </x:c>
    </x:row>
    <x:row r="643">
      <x:c r="B643" s="28" t="str">
        <x:v>AT-27</x:v>
      </x:c>
      <x:c r="C643" s="28" t="str">
        <x:v>RESERVE</x:v>
      </x:c>
      <x:c r="D643" s="28" t="str">
        <x:f>INDEX('Attempt Tokens'!$E$7:$E$36,MATCH(B643,'Attempt Tokens'!$B$7:$B$36,0))</x:f>
      </x:c>
      <x:c r="E643" s="28" t="n">
        <x:v>13</x:v>
      </x:c>
      <x:c r="F643" s="28" t="str">
        <x:v>EG-13</x:v>
      </x:c>
      <x:c r="G643" s="28" t="str">
        <x:v>safeing polls complete</x:v>
      </x:c>
      <x:c r="H643" s="28" t="str">
        <x:v>PASS</x:v>
      </x:c>
      <x:c r="I643" s="29" t="str"/>
      <x:c r="J643" s="29" t="str"/>
      <x:c r="K643" s="29" t="str"/>
      <x:c r="L643" s="28" t="str">
        <x:f>IF(AND(C643="RESERVE",D643=""),"DORMANT",IF(K643="","OPEN",IF(AND(I643=H643,J643&lt;&gt;""),"PASS","FAIL")))</x:f>
        <x:v>DORMANT</x:v>
      </x:c>
    </x:row>
    <x:row r="644">
      <x:c r="B644" s="28" t="str">
        <x:v>AT-27</x:v>
      </x:c>
      <x:c r="C644" s="28" t="str">
        <x:v>RESERVE</x:v>
      </x:c>
      <x:c r="D644" s="28" t="str">
        <x:f>INDEX('Attempt Tokens'!$E$7:$E$36,MATCH(B644,'Attempt Tokens'!$B$7:$B$36,0))</x:f>
      </x:c>
      <x:c r="E644" s="28" t="n">
        <x:v>14</x:v>
      </x:c>
      <x:c r="F644" s="28" t="str">
        <x:v>EG-14</x:v>
      </x:c>
      <x:c r="G644" s="28" t="str">
        <x:v>command transactions complete</x:v>
      </x:c>
      <x:c r="H644" s="28" t="str">
        <x:v>PASS</x:v>
      </x:c>
      <x:c r="I644" s="29" t="str"/>
      <x:c r="J644" s="29" t="str"/>
      <x:c r="K644" s="29" t="str"/>
      <x:c r="L644" s="28" t="str">
        <x:f>IF(AND(C644="RESERVE",D644=""),"DORMANT",IF(K644="","OPEN",IF(AND(I644=H644,J644&lt;&gt;""),"PASS","FAIL")))</x:f>
        <x:v>DORMANT</x:v>
      </x:c>
    </x:row>
    <x:row r="645">
      <x:c r="B645" s="28" t="str">
        <x:v>AT-27</x:v>
      </x:c>
      <x:c r="C645" s="28" t="str">
        <x:v>RESERVE</x:v>
      </x:c>
      <x:c r="D645" s="28" t="str">
        <x:f>INDEX('Attempt Tokens'!$E$7:$E$36,MATCH(B645,'Attempt Tokens'!$B$7:$B$36,0))</x:f>
      </x:c>
      <x:c r="E645" s="28" t="n">
        <x:v>15</x:v>
      </x:c>
      <x:c r="F645" s="28" t="str">
        <x:v>EG-15</x:v>
      </x:c>
      <x:c r="G645" s="28" t="str">
        <x:v>phase clock complete</x:v>
      </x:c>
      <x:c r="H645" s="28" t="str">
        <x:v>PASS</x:v>
      </x:c>
      <x:c r="I645" s="29" t="str"/>
      <x:c r="J645" s="29" t="str"/>
      <x:c r="K645" s="29" t="str"/>
      <x:c r="L645" s="28" t="str">
        <x:f>IF(AND(C645="RESERVE",D645=""),"DORMANT",IF(K645="","OPEN",IF(AND(I645=H645,J645&lt;&gt;""),"PASS","FAIL")))</x:f>
        <x:v>DORMANT</x:v>
      </x:c>
    </x:row>
    <x:row r="646">
      <x:c r="B646" s="28" t="str">
        <x:v>AT-27</x:v>
      </x:c>
      <x:c r="C646" s="28" t="str">
        <x:v>RESERVE</x:v>
      </x:c>
      <x:c r="D646" s="28" t="str">
        <x:f>INDEX('Attempt Tokens'!$E$7:$E$36,MATCH(B646,'Attempt Tokens'!$B$7:$B$36,0))</x:f>
      </x:c>
      <x:c r="E646" s="28" t="n">
        <x:v>16</x:v>
      </x:c>
      <x:c r="F646" s="28" t="str">
        <x:v>EG-16</x:v>
      </x:c>
      <x:c r="G646" s="28" t="str">
        <x:v>holds complete</x:v>
      </x:c>
      <x:c r="H646" s="28" t="str">
        <x:v>PASS</x:v>
      </x:c>
      <x:c r="I646" s="29" t="str"/>
      <x:c r="J646" s="29" t="str"/>
      <x:c r="K646" s="29" t="str"/>
      <x:c r="L646" s="28" t="str">
        <x:f>IF(AND(C646="RESERVE",D646=""),"DORMANT",IF(K646="","OPEN",IF(AND(I646=H646,J646&lt;&gt;""),"PASS","FAIL")))</x:f>
        <x:v>DORMANT</x:v>
      </x:c>
    </x:row>
    <x:row r="647">
      <x:c r="B647" s="28" t="str">
        <x:v>AT-27</x:v>
      </x:c>
      <x:c r="C647" s="28" t="str">
        <x:v>RESERVE</x:v>
      </x:c>
      <x:c r="D647" s="28" t="str">
        <x:f>INDEX('Attempt Tokens'!$E$7:$E$36,MATCH(B647,'Attempt Tokens'!$B$7:$B$36,0))</x:f>
      </x:c>
      <x:c r="E647" s="28" t="n">
        <x:v>17</x:v>
      </x:c>
      <x:c r="F647" s="28" t="str">
        <x:v>EG-17</x:v>
      </x:c>
      <x:c r="G647" s="28" t="str">
        <x:v>evidence obligations complete</x:v>
      </x:c>
      <x:c r="H647" s="28" t="str">
        <x:v>PASS</x:v>
      </x:c>
      <x:c r="I647" s="29" t="str"/>
      <x:c r="J647" s="29" t="str"/>
      <x:c r="K647" s="29" t="str"/>
      <x:c r="L647" s="28" t="str">
        <x:f>IF(AND(C647="RESERVE",D647=""),"DORMANT",IF(K647="","OPEN",IF(AND(I647=H647,J647&lt;&gt;""),"PASS","FAIL")))</x:f>
        <x:v>DORMANT</x:v>
      </x:c>
    </x:row>
    <x:row r="648">
      <x:c r="B648" s="28" t="str">
        <x:v>AT-27</x:v>
      </x:c>
      <x:c r="C648" s="28" t="str">
        <x:v>RESERVE</x:v>
      </x:c>
      <x:c r="D648" s="28" t="str">
        <x:f>INDEX('Attempt Tokens'!$E$7:$E$36,MATCH(B648,'Attempt Tokens'!$B$7:$B$36,0))</x:f>
      </x:c>
      <x:c r="E648" s="28" t="n">
        <x:v>18</x:v>
      </x:c>
      <x:c r="F648" s="28" t="str">
        <x:v>EG-18</x:v>
      </x:c>
      <x:c r="G648" s="28" t="str">
        <x:v>blank samples complete</x:v>
      </x:c>
      <x:c r="H648" s="28" t="str">
        <x:v>PASS</x:v>
      </x:c>
      <x:c r="I648" s="29" t="str"/>
      <x:c r="J648" s="29" t="str"/>
      <x:c r="K648" s="29" t="str"/>
      <x:c r="L648" s="28" t="str">
        <x:f>IF(AND(C648="RESERVE",D648=""),"DORMANT",IF(K648="","OPEN",IF(AND(I648=H648,J648&lt;&gt;""),"PASS","FAIL")))</x:f>
        <x:v>DORMANT</x:v>
      </x:c>
    </x:row>
    <x:row r="649">
      <x:c r="B649" s="28" t="str">
        <x:v>AT-27</x:v>
      </x:c>
      <x:c r="C649" s="28" t="str">
        <x:v>RESERVE</x:v>
      </x:c>
      <x:c r="D649" s="28" t="str">
        <x:f>INDEX('Attempt Tokens'!$E$7:$E$36,MATCH(B649,'Attempt Tokens'!$B$7:$B$36,0))</x:f>
      </x:c>
      <x:c r="E649" s="28" t="n">
        <x:v>19</x:v>
      </x:c>
      <x:c r="F649" s="28" t="str">
        <x:v>EG-19</x:v>
      </x:c>
      <x:c r="G649" s="28" t="str">
        <x:v>abort channels classified</x:v>
      </x:c>
      <x:c r="H649" s="28" t="str">
        <x:v>PASS</x:v>
      </x:c>
      <x:c r="I649" s="29" t="str"/>
      <x:c r="J649" s="29" t="str"/>
      <x:c r="K649" s="29" t="str"/>
      <x:c r="L649" s="28" t="str">
        <x:f>IF(AND(C649="RESERVE",D649=""),"DORMANT",IF(K649="","OPEN",IF(AND(I649=H649,J649&lt;&gt;""),"PASS","FAIL")))</x:f>
        <x:v>DORMANT</x:v>
      </x:c>
    </x:row>
    <x:row r="650">
      <x:c r="B650" s="28" t="str">
        <x:v>AT-27</x:v>
      </x:c>
      <x:c r="C650" s="28" t="str">
        <x:v>RESERVE</x:v>
      </x:c>
      <x:c r="D650" s="28" t="str">
        <x:f>INDEX('Attempt Tokens'!$E$7:$E$36,MATCH(B650,'Attempt Tokens'!$B$7:$B$36,0))</x:f>
      </x:c>
      <x:c r="E650" s="28" t="n">
        <x:v>20</x:v>
      </x:c>
      <x:c r="F650" s="28" t="str">
        <x:v>EG-20</x:v>
      </x:c>
      <x:c r="G650" s="28" t="str">
        <x:v>interventions classified</x:v>
      </x:c>
      <x:c r="H650" s="28" t="str">
        <x:v>PASS</x:v>
      </x:c>
      <x:c r="I650" s="29" t="str"/>
      <x:c r="J650" s="29" t="str"/>
      <x:c r="K650" s="29" t="str"/>
      <x:c r="L650" s="28" t="str">
        <x:f>IF(AND(C650="RESERVE",D650=""),"DORMANT",IF(K650="","OPEN",IF(AND(I650=H650,J650&lt;&gt;""),"PASS","FAIL")))</x:f>
        <x:v>DORMANT</x:v>
      </x:c>
    </x:row>
    <x:row r="651">
      <x:c r="B651" s="28" t="str">
        <x:v>AT-27</x:v>
      </x:c>
      <x:c r="C651" s="28" t="str">
        <x:v>RESERVE</x:v>
      </x:c>
      <x:c r="D651" s="28" t="str">
        <x:f>INDEX('Attempt Tokens'!$E$7:$E$36,MATCH(B651,'Attempt Tokens'!$B$7:$B$36,0))</x:f>
      </x:c>
      <x:c r="E651" s="28" t="n">
        <x:v>21</x:v>
      </x:c>
      <x:c r="F651" s="28" t="str">
        <x:v>EG-21</x:v>
      </x:c>
      <x:c r="G651" s="28" t="str">
        <x:v>event result accepted</x:v>
      </x:c>
      <x:c r="H651" s="28" t="str">
        <x:v>PASS</x:v>
      </x:c>
      <x:c r="I651" s="29" t="str"/>
      <x:c r="J651" s="29" t="str"/>
      <x:c r="K651" s="29" t="str"/>
      <x:c r="L651" s="28" t="str">
        <x:f>IF(AND(C651="RESERVE",D651=""),"DORMANT",IF(K651="","OPEN",IF(AND(I651=H651,J651&lt;&gt;""),"PASS","FAIL")))</x:f>
        <x:v>DORMANT</x:v>
      </x:c>
    </x:row>
    <x:row r="652">
      <x:c r="B652" s="28" t="str">
        <x:v>AT-27</x:v>
      </x:c>
      <x:c r="C652" s="28" t="str">
        <x:v>RESERVE</x:v>
      </x:c>
      <x:c r="D652" s="28" t="str">
        <x:f>INDEX('Attempt Tokens'!$E$7:$E$36,MATCH(B652,'Attempt Tokens'!$B$7:$B$36,0))</x:f>
      </x:c>
      <x:c r="E652" s="28" t="n">
        <x:v>22</x:v>
      </x:c>
      <x:c r="F652" s="28" t="str">
        <x:v>EG-22</x:v>
      </x:c>
      <x:c r="G652" s="28" t="str">
        <x:v>recovery states complete</x:v>
      </x:c>
      <x:c r="H652" s="28" t="str">
        <x:v>PASS</x:v>
      </x:c>
      <x:c r="I652" s="29" t="str"/>
      <x:c r="J652" s="29" t="str"/>
      <x:c r="K652" s="29" t="str"/>
      <x:c r="L652" s="28" t="str">
        <x:f>IF(AND(C652="RESERVE",D652=""),"DORMANT",IF(K652="","OPEN",IF(AND(I652=H652,J652&lt;&gt;""),"PASS","FAIL")))</x:f>
        <x:v>DORMANT</x:v>
      </x:c>
    </x:row>
    <x:row r="653">
      <x:c r="B653" s="28" t="str">
        <x:v>AT-27</x:v>
      </x:c>
      <x:c r="C653" s="28" t="str">
        <x:v>RESERVE</x:v>
      </x:c>
      <x:c r="D653" s="28" t="str">
        <x:f>INDEX('Attempt Tokens'!$E$7:$E$36,MATCH(B653,'Attempt Tokens'!$B$7:$B$36,0))</x:f>
      </x:c>
      <x:c r="E653" s="28" t="n">
        <x:v>23</x:v>
      </x:c>
      <x:c r="F653" s="28" t="str">
        <x:v>EG-23</x:v>
      </x:c>
      <x:c r="G653" s="28" t="str">
        <x:v>regeneration and regression complete</x:v>
      </x:c>
      <x:c r="H653" s="28" t="str">
        <x:v>PASS</x:v>
      </x:c>
      <x:c r="I653" s="29" t="str"/>
      <x:c r="J653" s="29" t="str"/>
      <x:c r="K653" s="29" t="str"/>
      <x:c r="L653" s="28" t="str">
        <x:f>IF(AND(C653="RESERVE",D653=""),"DORMANT",IF(K653="","OPEN",IF(AND(I653=H653,J653&lt;&gt;""),"PASS","FAIL")))</x:f>
        <x:v>DORMANT</x:v>
      </x:c>
    </x:row>
    <x:row r="654">
      <x:c r="B654" s="28" t="str">
        <x:v>AT-27</x:v>
      </x:c>
      <x:c r="C654" s="28" t="str">
        <x:v>RESERVE</x:v>
      </x:c>
      <x:c r="D654" s="28" t="str">
        <x:f>INDEX('Attempt Tokens'!$E$7:$E$36,MATCH(B654,'Attempt Tokens'!$B$7:$B$36,0))</x:f>
      </x:c>
      <x:c r="E654" s="28" t="n">
        <x:v>24</x:v>
      </x:c>
      <x:c r="F654" s="28" t="str">
        <x:v>EG-24</x:v>
      </x:c>
      <x:c r="G654" s="28" t="str">
        <x:v>reentry and packet release complete</x:v>
      </x:c>
      <x:c r="H654" s="28" t="str">
        <x:v>PASS</x:v>
      </x:c>
      <x:c r="I654" s="29" t="str"/>
      <x:c r="J654" s="29" t="str"/>
      <x:c r="K654" s="29" t="str"/>
      <x:c r="L654" s="28" t="str">
        <x:f>IF(AND(C654="RESERVE",D654=""),"DORMANT",IF(K654="","OPEN",IF(AND(I654=H654,J654&lt;&gt;""),"PASS","FAIL")))</x:f>
        <x:v>DORMANT</x:v>
      </x:c>
    </x:row>
    <x:row r="655">
      <x:c r="B655" s="28" t="str">
        <x:v>AT-28</x:v>
      </x:c>
      <x:c r="C655" s="28" t="str">
        <x:v>RESERVE</x:v>
      </x:c>
      <x:c r="D655" s="28" t="str">
        <x:f>INDEX('Attempt Tokens'!$E$7:$E$36,MATCH(B655,'Attempt Tokens'!$B$7:$B$36,0))</x:f>
      </x:c>
      <x:c r="E655" s="28" t="n">
        <x:v>1</x:v>
      </x:c>
      <x:c r="F655" s="28" t="str">
        <x:v>EG-01</x:v>
      </x:c>
      <x:c r="G655" s="28" t="str">
        <x:v>RAX or renewed pair credential current</x:v>
      </x:c>
      <x:c r="H655" s="28" t="str">
        <x:v>PASS</x:v>
      </x:c>
      <x:c r="I655" s="29" t="str"/>
      <x:c r="J655" s="29" t="str"/>
      <x:c r="K655" s="29" t="str"/>
      <x:c r="L655" s="28" t="str">
        <x:f>IF(AND(C655="RESERVE",D655=""),"DORMANT",IF(K655="","OPEN",IF(AND(I655=H655,J655&lt;&gt;""),"PASS","FAIL")))</x:f>
        <x:v>DORMANT</x:v>
      </x:c>
    </x:row>
    <x:row r="656">
      <x:c r="B656" s="28" t="str">
        <x:v>AT-28</x:v>
      </x:c>
      <x:c r="C656" s="28" t="str">
        <x:v>RESERVE</x:v>
      </x:c>
      <x:c r="D656" s="28" t="str">
        <x:f>INDEX('Attempt Tokens'!$E$7:$E$36,MATCH(B656,'Attempt Tokens'!$B$7:$B$36,0))</x:f>
      </x:c>
      <x:c r="E656" s="28" t="n">
        <x:v>2</x:v>
      </x:c>
      <x:c r="F656" s="28" t="str">
        <x:v>EG-02</x:v>
      </x:c>
      <x:c r="G656" s="28" t="str">
        <x:v>candidate cell eligible</x:v>
      </x:c>
      <x:c r="H656" s="28" t="str">
        <x:v>PASS</x:v>
      </x:c>
      <x:c r="I656" s="29" t="str"/>
      <x:c r="J656" s="29" t="str"/>
      <x:c r="K656" s="29" t="str"/>
      <x:c r="L656" s="28" t="str">
        <x:f>IF(AND(C656="RESERVE",D656=""),"DORMANT",IF(K656="","OPEN",IF(AND(I656=H656,J656&lt;&gt;""),"PASS","FAIL")))</x:f>
        <x:v>DORMANT</x:v>
      </x:c>
    </x:row>
    <x:row r="657">
      <x:c r="B657" s="28" t="str">
        <x:v>AT-28</x:v>
      </x:c>
      <x:c r="C657" s="28" t="str">
        <x:v>RESERVE</x:v>
      </x:c>
      <x:c r="D657" s="28" t="str">
        <x:f>INDEX('Attempt Tokens'!$E$7:$E$36,MATCH(B657,'Attempt Tokens'!$B$7:$B$36,0))</x:f>
      </x:c>
      <x:c r="E657" s="28" t="n">
        <x:v>3</x:v>
      </x:c>
      <x:c r="F657" s="28" t="str">
        <x:v>EG-03</x:v>
      </x:c>
      <x:c r="G657" s="28" t="str">
        <x:v>draw and schedule binding complete</x:v>
      </x:c>
      <x:c r="H657" s="28" t="str">
        <x:v>PASS</x:v>
      </x:c>
      <x:c r="I657" s="29" t="str"/>
      <x:c r="J657" s="29" t="str"/>
      <x:c r="K657" s="29" t="str"/>
      <x:c r="L657" s="28" t="str">
        <x:f>IF(AND(C657="RESERVE",D657=""),"DORMANT",IF(K657="","OPEN",IF(AND(I657=H657,J657&lt;&gt;""),"PASS","FAIL")))</x:f>
        <x:v>DORMANT</x:v>
      </x:c>
    </x:row>
    <x:row r="658">
      <x:c r="B658" s="28" t="str">
        <x:v>AT-28</x:v>
      </x:c>
      <x:c r="C658" s="28" t="str">
        <x:v>RESERVE</x:v>
      </x:c>
      <x:c r="D658" s="28" t="str">
        <x:f>INDEX('Attempt Tokens'!$E$7:$E$36,MATCH(B658,'Attempt Tokens'!$B$7:$B$36,0))</x:f>
      </x:c>
      <x:c r="E658" s="28" t="n">
        <x:v>4</x:v>
      </x:c>
      <x:c r="F658" s="28" t="str">
        <x:v>EG-04</x:v>
      </x:c>
      <x:c r="G658" s="28" t="str">
        <x:v>event issue accepted</x:v>
      </x:c>
      <x:c r="H658" s="28" t="str">
        <x:v>PASS</x:v>
      </x:c>
      <x:c r="I658" s="29" t="str"/>
      <x:c r="J658" s="29" t="str"/>
      <x:c r="K658" s="29" t="str"/>
      <x:c r="L658" s="28" t="str">
        <x:f>IF(AND(C658="RESERVE",D658=""),"DORMANT",IF(K658="","OPEN",IF(AND(I658=H658,J658&lt;&gt;""),"PASS","FAIL")))</x:f>
        <x:v>DORMANT</x:v>
      </x:c>
    </x:row>
    <x:row r="659">
      <x:c r="B659" s="28" t="str">
        <x:v>AT-28</x:v>
      </x:c>
      <x:c r="C659" s="28" t="str">
        <x:v>RESERVE</x:v>
      </x:c>
      <x:c r="D659" s="28" t="str">
        <x:f>INDEX('Attempt Tokens'!$E$7:$E$36,MATCH(B659,'Attempt Tokens'!$B$7:$B$36,0))</x:f>
      </x:c>
      <x:c r="E659" s="28" t="n">
        <x:v>5</x:v>
      </x:c>
      <x:c r="F659" s="28" t="str">
        <x:v>EG-05</x:v>
      </x:c>
      <x:c r="G659" s="28" t="str">
        <x:v>dossier bindings complete</x:v>
      </x:c>
      <x:c r="H659" s="28" t="str">
        <x:v>PASS</x:v>
      </x:c>
      <x:c r="I659" s="29" t="str"/>
      <x:c r="J659" s="29" t="str"/>
      <x:c r="K659" s="29" t="str"/>
      <x:c r="L659" s="28" t="str">
        <x:f>IF(AND(C659="RESERVE",D659=""),"DORMANT",IF(K659="","OPEN",IF(AND(I659=H659,J659&lt;&gt;""),"PASS","FAIL")))</x:f>
        <x:v>DORMANT</x:v>
      </x:c>
    </x:row>
    <x:row r="660">
      <x:c r="B660" s="28" t="str">
        <x:v>AT-28</x:v>
      </x:c>
      <x:c r="C660" s="28" t="str">
        <x:v>RESERVE</x:v>
      </x:c>
      <x:c r="D660" s="28" t="str">
        <x:f>INDEX('Attempt Tokens'!$E$7:$E$36,MATCH(B660,'Attempt Tokens'!$B$7:$B$36,0))</x:f>
      </x:c>
      <x:c r="E660" s="28" t="n">
        <x:v>6</x:v>
      </x:c>
      <x:c r="F660" s="28" t="str">
        <x:v>EG-06</x:v>
      </x:c>
      <x:c r="G660" s="28" t="str">
        <x:v>event crew complete</x:v>
      </x:c>
      <x:c r="H660" s="28" t="str">
        <x:v>PASS</x:v>
      </x:c>
      <x:c r="I660" s="29" t="str"/>
      <x:c r="J660" s="29" t="str"/>
      <x:c r="K660" s="29" t="str"/>
      <x:c r="L660" s="28" t="str">
        <x:f>IF(AND(C660="RESERVE",D660=""),"DORMANT",IF(K660="","OPEN",IF(AND(I660=H660,J660&lt;&gt;""),"PASS","FAIL")))</x:f>
        <x:v>DORMANT</x:v>
      </x:c>
    </x:row>
    <x:row r="661">
      <x:c r="B661" s="28" t="str">
        <x:v>AT-28</x:v>
      </x:c>
      <x:c r="C661" s="28" t="str">
        <x:v>RESERVE</x:v>
      </x:c>
      <x:c r="D661" s="28" t="str">
        <x:f>INDEX('Attempt Tokens'!$E$7:$E$36,MATCH(B661,'Attempt Tokens'!$B$7:$B$36,0))</x:f>
      </x:c>
      <x:c r="E661" s="28" t="n">
        <x:v>7</x:v>
      </x:c>
      <x:c r="F661" s="28" t="str">
        <x:v>EG-07</x:v>
      </x:c>
      <x:c r="G661" s="28" t="str">
        <x:v>configuration freeze complete</x:v>
      </x:c>
      <x:c r="H661" s="28" t="str">
        <x:v>PASS</x:v>
      </x:c>
      <x:c r="I661" s="29" t="str"/>
      <x:c r="J661" s="29" t="str"/>
      <x:c r="K661" s="29" t="str"/>
      <x:c r="L661" s="28" t="str">
        <x:f>IF(AND(C661="RESERVE",D661=""),"DORMANT",IF(K661="","OPEN",IF(AND(I661=H661,J661&lt;&gt;""),"PASS","FAIL")))</x:f>
        <x:v>DORMANT</x:v>
      </x:c>
    </x:row>
    <x:row r="662">
      <x:c r="B662" s="28" t="str">
        <x:v>AT-28</x:v>
      </x:c>
      <x:c r="C662" s="28" t="str">
        <x:v>RESERVE</x:v>
      </x:c>
      <x:c r="D662" s="28" t="str">
        <x:f>INDEX('Attempt Tokens'!$E$7:$E$36,MATCH(B662,'Attempt Tokens'!$B$7:$B$36,0))</x:f>
      </x:c>
      <x:c r="E662" s="28" t="n">
        <x:v>8</x:v>
      </x:c>
      <x:c r="F662" s="28" t="str">
        <x:v>EG-08</x:v>
      </x:c>
      <x:c r="G662" s="28" t="str">
        <x:v>zero-source checks complete</x:v>
      </x:c>
      <x:c r="H662" s="28" t="str">
        <x:v>PASS</x:v>
      </x:c>
      <x:c r="I662" s="29" t="str"/>
      <x:c r="J662" s="29" t="str"/>
      <x:c r="K662" s="29" t="str"/>
      <x:c r="L662" s="28" t="str">
        <x:f>IF(AND(C662="RESERVE",D662=""),"DORMANT",IF(K662="","OPEN",IF(AND(I662=H662,J662&lt;&gt;""),"PASS","FAIL")))</x:f>
        <x:v>DORMANT</x:v>
      </x:c>
    </x:row>
    <x:row r="663">
      <x:c r="B663" s="28" t="str">
        <x:v>AT-28</x:v>
      </x:c>
      <x:c r="C663" s="28" t="str">
        <x:v>RESERVE</x:v>
      </x:c>
      <x:c r="D663" s="28" t="str">
        <x:f>INDEX('Attempt Tokens'!$E$7:$E$36,MATCH(B663,'Attempt Tokens'!$B$7:$B$36,0))</x:f>
      </x:c>
      <x:c r="E663" s="28" t="n">
        <x:v>9</x:v>
      </x:c>
      <x:c r="F663" s="28" t="str">
        <x:v>EG-09</x:v>
      </x:c>
      <x:c r="G663" s="28" t="str">
        <x:v>zero-water checks complete</x:v>
      </x:c>
      <x:c r="H663" s="28" t="str">
        <x:v>PASS</x:v>
      </x:c>
      <x:c r="I663" s="29" t="str"/>
      <x:c r="J663" s="29" t="str"/>
      <x:c r="K663" s="29" t="str"/>
      <x:c r="L663" s="28" t="str">
        <x:f>IF(AND(C663="RESERVE",D663=""),"DORMANT",IF(K663="","OPEN",IF(AND(I663=H663,J663&lt;&gt;""),"PASS","FAIL")))</x:f>
        <x:v>DORMANT</x:v>
      </x:c>
    </x:row>
    <x:row r="664">
      <x:c r="B664" s="28" t="str">
        <x:v>AT-28</x:v>
      </x:c>
      <x:c r="C664" s="28" t="str">
        <x:v>RESERVE</x:v>
      </x:c>
      <x:c r="D664" s="28" t="str">
        <x:f>INDEX('Attempt Tokens'!$E$7:$E$36,MATCH(B664,'Attempt Tokens'!$B$7:$B$36,0))</x:f>
      </x:c>
      <x:c r="E664" s="28" t="n">
        <x:v>10</x:v>
      </x:c>
      <x:c r="F664" s="28" t="str">
        <x:v>EG-10</x:v>
      </x:c>
      <x:c r="G664" s="28" t="str">
        <x:v>uncertainty decisions complete</x:v>
      </x:c>
      <x:c r="H664" s="28" t="str">
        <x:v>PASS</x:v>
      </x:c>
      <x:c r="I664" s="29" t="str"/>
      <x:c r="J664" s="29" t="str"/>
      <x:c r="K664" s="29" t="str"/>
      <x:c r="L664" s="28" t="str">
        <x:f>IF(AND(C664="RESERVE",D664=""),"DORMANT",IF(K664="","OPEN",IF(AND(I664=H664,J664&lt;&gt;""),"PASS","FAIL")))</x:f>
        <x:v>DORMANT</x:v>
      </x:c>
    </x:row>
    <x:row r="665">
      <x:c r="B665" s="28" t="str">
        <x:v>AT-28</x:v>
      </x:c>
      <x:c r="C665" s="28" t="str">
        <x:v>RESERVE</x:v>
      </x:c>
      <x:c r="D665" s="28" t="str">
        <x:f>INDEX('Attempt Tokens'!$E$7:$E$36,MATCH(B665,'Attempt Tokens'!$B$7:$B$36,0))</x:f>
      </x:c>
      <x:c r="E665" s="28" t="n">
        <x:v>11</x:v>
      </x:c>
      <x:c r="F665" s="28" t="str">
        <x:v>EG-11</x:v>
      </x:c>
      <x:c r="G665" s="28" t="str">
        <x:v>measurement windows complete</x:v>
      </x:c>
      <x:c r="H665" s="28" t="str">
        <x:v>PASS</x:v>
      </x:c>
      <x:c r="I665" s="29" t="str"/>
      <x:c r="J665" s="29" t="str"/>
      <x:c r="K665" s="29" t="str"/>
      <x:c r="L665" s="28" t="str">
        <x:f>IF(AND(C665="RESERVE",D665=""),"DORMANT",IF(K665="","OPEN",IF(AND(I665=H665,J665&lt;&gt;""),"PASS","FAIL")))</x:f>
        <x:v>DORMANT</x:v>
      </x:c>
    </x:row>
    <x:row r="666">
      <x:c r="B666" s="28" t="str">
        <x:v>AT-28</x:v>
      </x:c>
      <x:c r="C666" s="28" t="str">
        <x:v>RESERVE</x:v>
      </x:c>
      <x:c r="D666" s="28" t="str">
        <x:f>INDEX('Attempt Tokens'!$E$7:$E$36,MATCH(B666,'Attempt Tokens'!$B$7:$B$36,0))</x:f>
      </x:c>
      <x:c r="E666" s="28" t="n">
        <x:v>12</x:v>
      </x:c>
      <x:c r="F666" s="28" t="str">
        <x:v>EG-12</x:v>
      </x:c>
      <x:c r="G666" s="28" t="str">
        <x:v>neighbor proofs complete</x:v>
      </x:c>
      <x:c r="H666" s="28" t="str">
        <x:v>PASS</x:v>
      </x:c>
      <x:c r="I666" s="29" t="str"/>
      <x:c r="J666" s="29" t="str"/>
      <x:c r="K666" s="29" t="str"/>
      <x:c r="L666" s="28" t="str">
        <x:f>IF(AND(C666="RESERVE",D666=""),"DORMANT",IF(K666="","OPEN",IF(AND(I666=H666,J666&lt;&gt;""),"PASS","FAIL")))</x:f>
        <x:v>DORMANT</x:v>
      </x:c>
    </x:row>
    <x:row r="667">
      <x:c r="B667" s="28" t="str">
        <x:v>AT-28</x:v>
      </x:c>
      <x:c r="C667" s="28" t="str">
        <x:v>RESERVE</x:v>
      </x:c>
      <x:c r="D667" s="28" t="str">
        <x:f>INDEX('Attempt Tokens'!$E$7:$E$36,MATCH(B667,'Attempt Tokens'!$B$7:$B$36,0))</x:f>
      </x:c>
      <x:c r="E667" s="28" t="n">
        <x:v>13</x:v>
      </x:c>
      <x:c r="F667" s="28" t="str">
        <x:v>EG-13</x:v>
      </x:c>
      <x:c r="G667" s="28" t="str">
        <x:v>safeing polls complete</x:v>
      </x:c>
      <x:c r="H667" s="28" t="str">
        <x:v>PASS</x:v>
      </x:c>
      <x:c r="I667" s="29" t="str"/>
      <x:c r="J667" s="29" t="str"/>
      <x:c r="K667" s="29" t="str"/>
      <x:c r="L667" s="28" t="str">
        <x:f>IF(AND(C667="RESERVE",D667=""),"DORMANT",IF(K667="","OPEN",IF(AND(I667=H667,J667&lt;&gt;""),"PASS","FAIL")))</x:f>
        <x:v>DORMANT</x:v>
      </x:c>
    </x:row>
    <x:row r="668">
      <x:c r="B668" s="28" t="str">
        <x:v>AT-28</x:v>
      </x:c>
      <x:c r="C668" s="28" t="str">
        <x:v>RESERVE</x:v>
      </x:c>
      <x:c r="D668" s="28" t="str">
        <x:f>INDEX('Attempt Tokens'!$E$7:$E$36,MATCH(B668,'Attempt Tokens'!$B$7:$B$36,0))</x:f>
      </x:c>
      <x:c r="E668" s="28" t="n">
        <x:v>14</x:v>
      </x:c>
      <x:c r="F668" s="28" t="str">
        <x:v>EG-14</x:v>
      </x:c>
      <x:c r="G668" s="28" t="str">
        <x:v>command transactions complete</x:v>
      </x:c>
      <x:c r="H668" s="28" t="str">
        <x:v>PASS</x:v>
      </x:c>
      <x:c r="I668" s="29" t="str"/>
      <x:c r="J668" s="29" t="str"/>
      <x:c r="K668" s="29" t="str"/>
      <x:c r="L668" s="28" t="str">
        <x:f>IF(AND(C668="RESERVE",D668=""),"DORMANT",IF(K668="","OPEN",IF(AND(I668=H668,J668&lt;&gt;""),"PASS","FAIL")))</x:f>
        <x:v>DORMANT</x:v>
      </x:c>
    </x:row>
    <x:row r="669">
      <x:c r="B669" s="28" t="str">
        <x:v>AT-28</x:v>
      </x:c>
      <x:c r="C669" s="28" t="str">
        <x:v>RESERVE</x:v>
      </x:c>
      <x:c r="D669" s="28" t="str">
        <x:f>INDEX('Attempt Tokens'!$E$7:$E$36,MATCH(B669,'Attempt Tokens'!$B$7:$B$36,0))</x:f>
      </x:c>
      <x:c r="E669" s="28" t="n">
        <x:v>15</x:v>
      </x:c>
      <x:c r="F669" s="28" t="str">
        <x:v>EG-15</x:v>
      </x:c>
      <x:c r="G669" s="28" t="str">
        <x:v>phase clock complete</x:v>
      </x:c>
      <x:c r="H669" s="28" t="str">
        <x:v>PASS</x:v>
      </x:c>
      <x:c r="I669" s="29" t="str"/>
      <x:c r="J669" s="29" t="str"/>
      <x:c r="K669" s="29" t="str"/>
      <x:c r="L669" s="28" t="str">
        <x:f>IF(AND(C669="RESERVE",D669=""),"DORMANT",IF(K669="","OPEN",IF(AND(I669=H669,J669&lt;&gt;""),"PASS","FAIL")))</x:f>
        <x:v>DORMANT</x:v>
      </x:c>
    </x:row>
    <x:row r="670">
      <x:c r="B670" s="28" t="str">
        <x:v>AT-28</x:v>
      </x:c>
      <x:c r="C670" s="28" t="str">
        <x:v>RESERVE</x:v>
      </x:c>
      <x:c r="D670" s="28" t="str">
        <x:f>INDEX('Attempt Tokens'!$E$7:$E$36,MATCH(B670,'Attempt Tokens'!$B$7:$B$36,0))</x:f>
      </x:c>
      <x:c r="E670" s="28" t="n">
        <x:v>16</x:v>
      </x:c>
      <x:c r="F670" s="28" t="str">
        <x:v>EG-16</x:v>
      </x:c>
      <x:c r="G670" s="28" t="str">
        <x:v>holds complete</x:v>
      </x:c>
      <x:c r="H670" s="28" t="str">
        <x:v>PASS</x:v>
      </x:c>
      <x:c r="I670" s="29" t="str"/>
      <x:c r="J670" s="29" t="str"/>
      <x:c r="K670" s="29" t="str"/>
      <x:c r="L670" s="28" t="str">
        <x:f>IF(AND(C670="RESERVE",D670=""),"DORMANT",IF(K670="","OPEN",IF(AND(I670=H670,J670&lt;&gt;""),"PASS","FAIL")))</x:f>
        <x:v>DORMANT</x:v>
      </x:c>
    </x:row>
    <x:row r="671">
      <x:c r="B671" s="28" t="str">
        <x:v>AT-28</x:v>
      </x:c>
      <x:c r="C671" s="28" t="str">
        <x:v>RESERVE</x:v>
      </x:c>
      <x:c r="D671" s="28" t="str">
        <x:f>INDEX('Attempt Tokens'!$E$7:$E$36,MATCH(B671,'Attempt Tokens'!$B$7:$B$36,0))</x:f>
      </x:c>
      <x:c r="E671" s="28" t="n">
        <x:v>17</x:v>
      </x:c>
      <x:c r="F671" s="28" t="str">
        <x:v>EG-17</x:v>
      </x:c>
      <x:c r="G671" s="28" t="str">
        <x:v>evidence obligations complete</x:v>
      </x:c>
      <x:c r="H671" s="28" t="str">
        <x:v>PASS</x:v>
      </x:c>
      <x:c r="I671" s="29" t="str"/>
      <x:c r="J671" s="29" t="str"/>
      <x:c r="K671" s="29" t="str"/>
      <x:c r="L671" s="28" t="str">
        <x:f>IF(AND(C671="RESERVE",D671=""),"DORMANT",IF(K671="","OPEN",IF(AND(I671=H671,J671&lt;&gt;""),"PASS","FAIL")))</x:f>
        <x:v>DORMANT</x:v>
      </x:c>
    </x:row>
    <x:row r="672">
      <x:c r="B672" s="28" t="str">
        <x:v>AT-28</x:v>
      </x:c>
      <x:c r="C672" s="28" t="str">
        <x:v>RESERVE</x:v>
      </x:c>
      <x:c r="D672" s="28" t="str">
        <x:f>INDEX('Attempt Tokens'!$E$7:$E$36,MATCH(B672,'Attempt Tokens'!$B$7:$B$36,0))</x:f>
      </x:c>
      <x:c r="E672" s="28" t="n">
        <x:v>18</x:v>
      </x:c>
      <x:c r="F672" s="28" t="str">
        <x:v>EG-18</x:v>
      </x:c>
      <x:c r="G672" s="28" t="str">
        <x:v>blank samples complete</x:v>
      </x:c>
      <x:c r="H672" s="28" t="str">
        <x:v>PASS</x:v>
      </x:c>
      <x:c r="I672" s="29" t="str"/>
      <x:c r="J672" s="29" t="str"/>
      <x:c r="K672" s="29" t="str"/>
      <x:c r="L672" s="28" t="str">
        <x:f>IF(AND(C672="RESERVE",D672=""),"DORMANT",IF(K672="","OPEN",IF(AND(I672=H672,J672&lt;&gt;""),"PASS","FAIL")))</x:f>
        <x:v>DORMANT</x:v>
      </x:c>
    </x:row>
    <x:row r="673">
      <x:c r="B673" s="28" t="str">
        <x:v>AT-28</x:v>
      </x:c>
      <x:c r="C673" s="28" t="str">
        <x:v>RESERVE</x:v>
      </x:c>
      <x:c r="D673" s="28" t="str">
        <x:f>INDEX('Attempt Tokens'!$E$7:$E$36,MATCH(B673,'Attempt Tokens'!$B$7:$B$36,0))</x:f>
      </x:c>
      <x:c r="E673" s="28" t="n">
        <x:v>19</x:v>
      </x:c>
      <x:c r="F673" s="28" t="str">
        <x:v>EG-19</x:v>
      </x:c>
      <x:c r="G673" s="28" t="str">
        <x:v>abort channels classified</x:v>
      </x:c>
      <x:c r="H673" s="28" t="str">
        <x:v>PASS</x:v>
      </x:c>
      <x:c r="I673" s="29" t="str"/>
      <x:c r="J673" s="29" t="str"/>
      <x:c r="K673" s="29" t="str"/>
      <x:c r="L673" s="28" t="str">
        <x:f>IF(AND(C673="RESERVE",D673=""),"DORMANT",IF(K673="","OPEN",IF(AND(I673=H673,J673&lt;&gt;""),"PASS","FAIL")))</x:f>
        <x:v>DORMANT</x:v>
      </x:c>
    </x:row>
    <x:row r="674">
      <x:c r="B674" s="28" t="str">
        <x:v>AT-28</x:v>
      </x:c>
      <x:c r="C674" s="28" t="str">
        <x:v>RESERVE</x:v>
      </x:c>
      <x:c r="D674" s="28" t="str">
        <x:f>INDEX('Attempt Tokens'!$E$7:$E$36,MATCH(B674,'Attempt Tokens'!$B$7:$B$36,0))</x:f>
      </x:c>
      <x:c r="E674" s="28" t="n">
        <x:v>20</x:v>
      </x:c>
      <x:c r="F674" s="28" t="str">
        <x:v>EG-20</x:v>
      </x:c>
      <x:c r="G674" s="28" t="str">
        <x:v>interventions classified</x:v>
      </x:c>
      <x:c r="H674" s="28" t="str">
        <x:v>PASS</x:v>
      </x:c>
      <x:c r="I674" s="29" t="str"/>
      <x:c r="J674" s="29" t="str"/>
      <x:c r="K674" s="29" t="str"/>
      <x:c r="L674" s="28" t="str">
        <x:f>IF(AND(C674="RESERVE",D674=""),"DORMANT",IF(K674="","OPEN",IF(AND(I674=H674,J674&lt;&gt;""),"PASS","FAIL")))</x:f>
        <x:v>DORMANT</x:v>
      </x:c>
    </x:row>
    <x:row r="675">
      <x:c r="B675" s="28" t="str">
        <x:v>AT-28</x:v>
      </x:c>
      <x:c r="C675" s="28" t="str">
        <x:v>RESERVE</x:v>
      </x:c>
      <x:c r="D675" s="28" t="str">
        <x:f>INDEX('Attempt Tokens'!$E$7:$E$36,MATCH(B675,'Attempt Tokens'!$B$7:$B$36,0))</x:f>
      </x:c>
      <x:c r="E675" s="28" t="n">
        <x:v>21</x:v>
      </x:c>
      <x:c r="F675" s="28" t="str">
        <x:v>EG-21</x:v>
      </x:c>
      <x:c r="G675" s="28" t="str">
        <x:v>event result accepted</x:v>
      </x:c>
      <x:c r="H675" s="28" t="str">
        <x:v>PASS</x:v>
      </x:c>
      <x:c r="I675" s="29" t="str"/>
      <x:c r="J675" s="29" t="str"/>
      <x:c r="K675" s="29" t="str"/>
      <x:c r="L675" s="28" t="str">
        <x:f>IF(AND(C675="RESERVE",D675=""),"DORMANT",IF(K675="","OPEN",IF(AND(I675=H675,J675&lt;&gt;""),"PASS","FAIL")))</x:f>
        <x:v>DORMANT</x:v>
      </x:c>
    </x:row>
    <x:row r="676">
      <x:c r="B676" s="28" t="str">
        <x:v>AT-28</x:v>
      </x:c>
      <x:c r="C676" s="28" t="str">
        <x:v>RESERVE</x:v>
      </x:c>
      <x:c r="D676" s="28" t="str">
        <x:f>INDEX('Attempt Tokens'!$E$7:$E$36,MATCH(B676,'Attempt Tokens'!$B$7:$B$36,0))</x:f>
      </x:c>
      <x:c r="E676" s="28" t="n">
        <x:v>22</x:v>
      </x:c>
      <x:c r="F676" s="28" t="str">
        <x:v>EG-22</x:v>
      </x:c>
      <x:c r="G676" s="28" t="str">
        <x:v>recovery states complete</x:v>
      </x:c>
      <x:c r="H676" s="28" t="str">
        <x:v>PASS</x:v>
      </x:c>
      <x:c r="I676" s="29" t="str"/>
      <x:c r="J676" s="29" t="str"/>
      <x:c r="K676" s="29" t="str"/>
      <x:c r="L676" s="28" t="str">
        <x:f>IF(AND(C676="RESERVE",D676=""),"DORMANT",IF(K676="","OPEN",IF(AND(I676=H676,J676&lt;&gt;""),"PASS","FAIL")))</x:f>
        <x:v>DORMANT</x:v>
      </x:c>
    </x:row>
    <x:row r="677">
      <x:c r="B677" s="28" t="str">
        <x:v>AT-28</x:v>
      </x:c>
      <x:c r="C677" s="28" t="str">
        <x:v>RESERVE</x:v>
      </x:c>
      <x:c r="D677" s="28" t="str">
        <x:f>INDEX('Attempt Tokens'!$E$7:$E$36,MATCH(B677,'Attempt Tokens'!$B$7:$B$36,0))</x:f>
      </x:c>
      <x:c r="E677" s="28" t="n">
        <x:v>23</x:v>
      </x:c>
      <x:c r="F677" s="28" t="str">
        <x:v>EG-23</x:v>
      </x:c>
      <x:c r="G677" s="28" t="str">
        <x:v>regeneration and regression complete</x:v>
      </x:c>
      <x:c r="H677" s="28" t="str">
        <x:v>PASS</x:v>
      </x:c>
      <x:c r="I677" s="29" t="str"/>
      <x:c r="J677" s="29" t="str"/>
      <x:c r="K677" s="29" t="str"/>
      <x:c r="L677" s="28" t="str">
        <x:f>IF(AND(C677="RESERVE",D677=""),"DORMANT",IF(K677="","OPEN",IF(AND(I677=H677,J677&lt;&gt;""),"PASS","FAIL")))</x:f>
        <x:v>DORMANT</x:v>
      </x:c>
    </x:row>
    <x:row r="678">
      <x:c r="B678" s="28" t="str">
        <x:v>AT-28</x:v>
      </x:c>
      <x:c r="C678" s="28" t="str">
        <x:v>RESERVE</x:v>
      </x:c>
      <x:c r="D678" s="28" t="str">
        <x:f>INDEX('Attempt Tokens'!$E$7:$E$36,MATCH(B678,'Attempt Tokens'!$B$7:$B$36,0))</x:f>
      </x:c>
      <x:c r="E678" s="28" t="n">
        <x:v>24</x:v>
      </x:c>
      <x:c r="F678" s="28" t="str">
        <x:v>EG-24</x:v>
      </x:c>
      <x:c r="G678" s="28" t="str">
        <x:v>reentry and packet release complete</x:v>
      </x:c>
      <x:c r="H678" s="28" t="str">
        <x:v>PASS</x:v>
      </x:c>
      <x:c r="I678" s="29" t="str"/>
      <x:c r="J678" s="29" t="str"/>
      <x:c r="K678" s="29" t="str"/>
      <x:c r="L678" s="28" t="str">
        <x:f>IF(AND(C678="RESERVE",D678=""),"DORMANT",IF(K678="","OPEN",IF(AND(I678=H678,J678&lt;&gt;""),"PASS","FAIL")))</x:f>
        <x:v>DORMANT</x:v>
      </x:c>
    </x:row>
    <x:row r="679">
      <x:c r="B679" s="28" t="str">
        <x:v>AT-29</x:v>
      </x:c>
      <x:c r="C679" s="28" t="str">
        <x:v>RESERVE</x:v>
      </x:c>
      <x:c r="D679" s="28" t="str">
        <x:f>INDEX('Attempt Tokens'!$E$7:$E$36,MATCH(B679,'Attempt Tokens'!$B$7:$B$36,0))</x:f>
      </x:c>
      <x:c r="E679" s="28" t="n">
        <x:v>1</x:v>
      </x:c>
      <x:c r="F679" s="28" t="str">
        <x:v>EG-01</x:v>
      </x:c>
      <x:c r="G679" s="28" t="str">
        <x:v>RAX or renewed pair credential current</x:v>
      </x:c>
      <x:c r="H679" s="28" t="str">
        <x:v>PASS</x:v>
      </x:c>
      <x:c r="I679" s="29" t="str"/>
      <x:c r="J679" s="29" t="str"/>
      <x:c r="K679" s="29" t="str"/>
      <x:c r="L679" s="28" t="str">
        <x:f>IF(AND(C679="RESERVE",D679=""),"DORMANT",IF(K679="","OPEN",IF(AND(I679=H679,J679&lt;&gt;""),"PASS","FAIL")))</x:f>
        <x:v>DORMANT</x:v>
      </x:c>
    </x:row>
    <x:row r="680">
      <x:c r="B680" s="28" t="str">
        <x:v>AT-29</x:v>
      </x:c>
      <x:c r="C680" s="28" t="str">
        <x:v>RESERVE</x:v>
      </x:c>
      <x:c r="D680" s="28" t="str">
        <x:f>INDEX('Attempt Tokens'!$E$7:$E$36,MATCH(B680,'Attempt Tokens'!$B$7:$B$36,0))</x:f>
      </x:c>
      <x:c r="E680" s="28" t="n">
        <x:v>2</x:v>
      </x:c>
      <x:c r="F680" s="28" t="str">
        <x:v>EG-02</x:v>
      </x:c>
      <x:c r="G680" s="28" t="str">
        <x:v>candidate cell eligible</x:v>
      </x:c>
      <x:c r="H680" s="28" t="str">
        <x:v>PASS</x:v>
      </x:c>
      <x:c r="I680" s="29" t="str"/>
      <x:c r="J680" s="29" t="str"/>
      <x:c r="K680" s="29" t="str"/>
      <x:c r="L680" s="28" t="str">
        <x:f>IF(AND(C680="RESERVE",D680=""),"DORMANT",IF(K680="","OPEN",IF(AND(I680=H680,J680&lt;&gt;""),"PASS","FAIL")))</x:f>
        <x:v>DORMANT</x:v>
      </x:c>
    </x:row>
    <x:row r="681">
      <x:c r="B681" s="28" t="str">
        <x:v>AT-29</x:v>
      </x:c>
      <x:c r="C681" s="28" t="str">
        <x:v>RESERVE</x:v>
      </x:c>
      <x:c r="D681" s="28" t="str">
        <x:f>INDEX('Attempt Tokens'!$E$7:$E$36,MATCH(B681,'Attempt Tokens'!$B$7:$B$36,0))</x:f>
      </x:c>
      <x:c r="E681" s="28" t="n">
        <x:v>3</x:v>
      </x:c>
      <x:c r="F681" s="28" t="str">
        <x:v>EG-03</x:v>
      </x:c>
      <x:c r="G681" s="28" t="str">
        <x:v>draw and schedule binding complete</x:v>
      </x:c>
      <x:c r="H681" s="28" t="str">
        <x:v>PASS</x:v>
      </x:c>
      <x:c r="I681" s="29" t="str"/>
      <x:c r="J681" s="29" t="str"/>
      <x:c r="K681" s="29" t="str"/>
      <x:c r="L681" s="28" t="str">
        <x:f>IF(AND(C681="RESERVE",D681=""),"DORMANT",IF(K681="","OPEN",IF(AND(I681=H681,J681&lt;&gt;""),"PASS","FAIL")))</x:f>
        <x:v>DORMANT</x:v>
      </x:c>
    </x:row>
    <x:row r="682">
      <x:c r="B682" s="28" t="str">
        <x:v>AT-29</x:v>
      </x:c>
      <x:c r="C682" s="28" t="str">
        <x:v>RESERVE</x:v>
      </x:c>
      <x:c r="D682" s="28" t="str">
        <x:f>INDEX('Attempt Tokens'!$E$7:$E$36,MATCH(B682,'Attempt Tokens'!$B$7:$B$36,0))</x:f>
      </x:c>
      <x:c r="E682" s="28" t="n">
        <x:v>4</x:v>
      </x:c>
      <x:c r="F682" s="28" t="str">
        <x:v>EG-04</x:v>
      </x:c>
      <x:c r="G682" s="28" t="str">
        <x:v>event issue accepted</x:v>
      </x:c>
      <x:c r="H682" s="28" t="str">
        <x:v>PASS</x:v>
      </x:c>
      <x:c r="I682" s="29" t="str"/>
      <x:c r="J682" s="29" t="str"/>
      <x:c r="K682" s="29" t="str"/>
      <x:c r="L682" s="28" t="str">
        <x:f>IF(AND(C682="RESERVE",D682=""),"DORMANT",IF(K682="","OPEN",IF(AND(I682=H682,J682&lt;&gt;""),"PASS","FAIL")))</x:f>
        <x:v>DORMANT</x:v>
      </x:c>
    </x:row>
    <x:row r="683">
      <x:c r="B683" s="28" t="str">
        <x:v>AT-29</x:v>
      </x:c>
      <x:c r="C683" s="28" t="str">
        <x:v>RESERVE</x:v>
      </x:c>
      <x:c r="D683" s="28" t="str">
        <x:f>INDEX('Attempt Tokens'!$E$7:$E$36,MATCH(B683,'Attempt Tokens'!$B$7:$B$36,0))</x:f>
      </x:c>
      <x:c r="E683" s="28" t="n">
        <x:v>5</x:v>
      </x:c>
      <x:c r="F683" s="28" t="str">
        <x:v>EG-05</x:v>
      </x:c>
      <x:c r="G683" s="28" t="str">
        <x:v>dossier bindings complete</x:v>
      </x:c>
      <x:c r="H683" s="28" t="str">
        <x:v>PASS</x:v>
      </x:c>
      <x:c r="I683" s="29" t="str"/>
      <x:c r="J683" s="29" t="str"/>
      <x:c r="K683" s="29" t="str"/>
      <x:c r="L683" s="28" t="str">
        <x:f>IF(AND(C683="RESERVE",D683=""),"DORMANT",IF(K683="","OPEN",IF(AND(I683=H683,J683&lt;&gt;""),"PASS","FAIL")))</x:f>
        <x:v>DORMANT</x:v>
      </x:c>
    </x:row>
    <x:row r="684">
      <x:c r="B684" s="28" t="str">
        <x:v>AT-29</x:v>
      </x:c>
      <x:c r="C684" s="28" t="str">
        <x:v>RESERVE</x:v>
      </x:c>
      <x:c r="D684" s="28" t="str">
        <x:f>INDEX('Attempt Tokens'!$E$7:$E$36,MATCH(B684,'Attempt Tokens'!$B$7:$B$36,0))</x:f>
      </x:c>
      <x:c r="E684" s="28" t="n">
        <x:v>6</x:v>
      </x:c>
      <x:c r="F684" s="28" t="str">
        <x:v>EG-06</x:v>
      </x:c>
      <x:c r="G684" s="28" t="str">
        <x:v>event crew complete</x:v>
      </x:c>
      <x:c r="H684" s="28" t="str">
        <x:v>PASS</x:v>
      </x:c>
      <x:c r="I684" s="29" t="str"/>
      <x:c r="J684" s="29" t="str"/>
      <x:c r="K684" s="29" t="str"/>
      <x:c r="L684" s="28" t="str">
        <x:f>IF(AND(C684="RESERVE",D684=""),"DORMANT",IF(K684="","OPEN",IF(AND(I684=H684,J684&lt;&gt;""),"PASS","FAIL")))</x:f>
        <x:v>DORMANT</x:v>
      </x:c>
    </x:row>
    <x:row r="685">
      <x:c r="B685" s="28" t="str">
        <x:v>AT-29</x:v>
      </x:c>
      <x:c r="C685" s="28" t="str">
        <x:v>RESERVE</x:v>
      </x:c>
      <x:c r="D685" s="28" t="str">
        <x:f>INDEX('Attempt Tokens'!$E$7:$E$36,MATCH(B685,'Attempt Tokens'!$B$7:$B$36,0))</x:f>
      </x:c>
      <x:c r="E685" s="28" t="n">
        <x:v>7</x:v>
      </x:c>
      <x:c r="F685" s="28" t="str">
        <x:v>EG-07</x:v>
      </x:c>
      <x:c r="G685" s="28" t="str">
        <x:v>configuration freeze complete</x:v>
      </x:c>
      <x:c r="H685" s="28" t="str">
        <x:v>PASS</x:v>
      </x:c>
      <x:c r="I685" s="29" t="str"/>
      <x:c r="J685" s="29" t="str"/>
      <x:c r="K685" s="29" t="str"/>
      <x:c r="L685" s="28" t="str">
        <x:f>IF(AND(C685="RESERVE",D685=""),"DORMANT",IF(K685="","OPEN",IF(AND(I685=H685,J685&lt;&gt;""),"PASS","FAIL")))</x:f>
        <x:v>DORMANT</x:v>
      </x:c>
    </x:row>
    <x:row r="686">
      <x:c r="B686" s="28" t="str">
        <x:v>AT-29</x:v>
      </x:c>
      <x:c r="C686" s="28" t="str">
        <x:v>RESERVE</x:v>
      </x:c>
      <x:c r="D686" s="28" t="str">
        <x:f>INDEX('Attempt Tokens'!$E$7:$E$36,MATCH(B686,'Attempt Tokens'!$B$7:$B$36,0))</x:f>
      </x:c>
      <x:c r="E686" s="28" t="n">
        <x:v>8</x:v>
      </x:c>
      <x:c r="F686" s="28" t="str">
        <x:v>EG-08</x:v>
      </x:c>
      <x:c r="G686" s="28" t="str">
        <x:v>zero-source checks complete</x:v>
      </x:c>
      <x:c r="H686" s="28" t="str">
        <x:v>PASS</x:v>
      </x:c>
      <x:c r="I686" s="29" t="str"/>
      <x:c r="J686" s="29" t="str"/>
      <x:c r="K686" s="29" t="str"/>
      <x:c r="L686" s="28" t="str">
        <x:f>IF(AND(C686="RESERVE",D686=""),"DORMANT",IF(K686="","OPEN",IF(AND(I686=H686,J686&lt;&gt;""),"PASS","FAIL")))</x:f>
        <x:v>DORMANT</x:v>
      </x:c>
    </x:row>
    <x:row r="687">
      <x:c r="B687" s="28" t="str">
        <x:v>AT-29</x:v>
      </x:c>
      <x:c r="C687" s="28" t="str">
        <x:v>RESERVE</x:v>
      </x:c>
      <x:c r="D687" s="28" t="str">
        <x:f>INDEX('Attempt Tokens'!$E$7:$E$36,MATCH(B687,'Attempt Tokens'!$B$7:$B$36,0))</x:f>
      </x:c>
      <x:c r="E687" s="28" t="n">
        <x:v>9</x:v>
      </x:c>
      <x:c r="F687" s="28" t="str">
        <x:v>EG-09</x:v>
      </x:c>
      <x:c r="G687" s="28" t="str">
        <x:v>zero-water checks complete</x:v>
      </x:c>
      <x:c r="H687" s="28" t="str">
        <x:v>PASS</x:v>
      </x:c>
      <x:c r="I687" s="29" t="str"/>
      <x:c r="J687" s="29" t="str"/>
      <x:c r="K687" s="29" t="str"/>
      <x:c r="L687" s="28" t="str">
        <x:f>IF(AND(C687="RESERVE",D687=""),"DORMANT",IF(K687="","OPEN",IF(AND(I687=H687,J687&lt;&gt;""),"PASS","FAIL")))</x:f>
        <x:v>DORMANT</x:v>
      </x:c>
    </x:row>
    <x:row r="688">
      <x:c r="B688" s="28" t="str">
        <x:v>AT-29</x:v>
      </x:c>
      <x:c r="C688" s="28" t="str">
        <x:v>RESERVE</x:v>
      </x:c>
      <x:c r="D688" s="28" t="str">
        <x:f>INDEX('Attempt Tokens'!$E$7:$E$36,MATCH(B688,'Attempt Tokens'!$B$7:$B$36,0))</x:f>
      </x:c>
      <x:c r="E688" s="28" t="n">
        <x:v>10</x:v>
      </x:c>
      <x:c r="F688" s="28" t="str">
        <x:v>EG-10</x:v>
      </x:c>
      <x:c r="G688" s="28" t="str">
        <x:v>uncertainty decisions complete</x:v>
      </x:c>
      <x:c r="H688" s="28" t="str">
        <x:v>PASS</x:v>
      </x:c>
      <x:c r="I688" s="29" t="str"/>
      <x:c r="J688" s="29" t="str"/>
      <x:c r="K688" s="29" t="str"/>
      <x:c r="L688" s="28" t="str">
        <x:f>IF(AND(C688="RESERVE",D688=""),"DORMANT",IF(K688="","OPEN",IF(AND(I688=H688,J688&lt;&gt;""),"PASS","FAIL")))</x:f>
        <x:v>DORMANT</x:v>
      </x:c>
    </x:row>
    <x:row r="689">
      <x:c r="B689" s="28" t="str">
        <x:v>AT-29</x:v>
      </x:c>
      <x:c r="C689" s="28" t="str">
        <x:v>RESERVE</x:v>
      </x:c>
      <x:c r="D689" s="28" t="str">
        <x:f>INDEX('Attempt Tokens'!$E$7:$E$36,MATCH(B689,'Attempt Tokens'!$B$7:$B$36,0))</x:f>
      </x:c>
      <x:c r="E689" s="28" t="n">
        <x:v>11</x:v>
      </x:c>
      <x:c r="F689" s="28" t="str">
        <x:v>EG-11</x:v>
      </x:c>
      <x:c r="G689" s="28" t="str">
        <x:v>measurement windows complete</x:v>
      </x:c>
      <x:c r="H689" s="28" t="str">
        <x:v>PASS</x:v>
      </x:c>
      <x:c r="I689" s="29" t="str"/>
      <x:c r="J689" s="29" t="str"/>
      <x:c r="K689" s="29" t="str"/>
      <x:c r="L689" s="28" t="str">
        <x:f>IF(AND(C689="RESERVE",D689=""),"DORMANT",IF(K689="","OPEN",IF(AND(I689=H689,J689&lt;&gt;""),"PASS","FAIL")))</x:f>
        <x:v>DORMANT</x:v>
      </x:c>
    </x:row>
    <x:row r="690">
      <x:c r="B690" s="28" t="str">
        <x:v>AT-29</x:v>
      </x:c>
      <x:c r="C690" s="28" t="str">
        <x:v>RESERVE</x:v>
      </x:c>
      <x:c r="D690" s="28" t="str">
        <x:f>INDEX('Attempt Tokens'!$E$7:$E$36,MATCH(B690,'Attempt Tokens'!$B$7:$B$36,0))</x:f>
      </x:c>
      <x:c r="E690" s="28" t="n">
        <x:v>12</x:v>
      </x:c>
      <x:c r="F690" s="28" t="str">
        <x:v>EG-12</x:v>
      </x:c>
      <x:c r="G690" s="28" t="str">
        <x:v>neighbor proofs complete</x:v>
      </x:c>
      <x:c r="H690" s="28" t="str">
        <x:v>PASS</x:v>
      </x:c>
      <x:c r="I690" s="29" t="str"/>
      <x:c r="J690" s="29" t="str"/>
      <x:c r="K690" s="29" t="str"/>
      <x:c r="L690" s="28" t="str">
        <x:f>IF(AND(C690="RESERVE",D690=""),"DORMANT",IF(K690="","OPEN",IF(AND(I690=H690,J690&lt;&gt;""),"PASS","FAIL")))</x:f>
        <x:v>DORMANT</x:v>
      </x:c>
    </x:row>
    <x:row r="691">
      <x:c r="B691" s="28" t="str">
        <x:v>AT-29</x:v>
      </x:c>
      <x:c r="C691" s="28" t="str">
        <x:v>RESERVE</x:v>
      </x:c>
      <x:c r="D691" s="28" t="str">
        <x:f>INDEX('Attempt Tokens'!$E$7:$E$36,MATCH(B691,'Attempt Tokens'!$B$7:$B$36,0))</x:f>
      </x:c>
      <x:c r="E691" s="28" t="n">
        <x:v>13</x:v>
      </x:c>
      <x:c r="F691" s="28" t="str">
        <x:v>EG-13</x:v>
      </x:c>
      <x:c r="G691" s="28" t="str">
        <x:v>safeing polls complete</x:v>
      </x:c>
      <x:c r="H691" s="28" t="str">
        <x:v>PASS</x:v>
      </x:c>
      <x:c r="I691" s="29" t="str"/>
      <x:c r="J691" s="29" t="str"/>
      <x:c r="K691" s="29" t="str"/>
      <x:c r="L691" s="28" t="str">
        <x:f>IF(AND(C691="RESERVE",D691=""),"DORMANT",IF(K691="","OPEN",IF(AND(I691=H691,J691&lt;&gt;""),"PASS","FAIL")))</x:f>
        <x:v>DORMANT</x:v>
      </x:c>
    </x:row>
    <x:row r="692">
      <x:c r="B692" s="28" t="str">
        <x:v>AT-29</x:v>
      </x:c>
      <x:c r="C692" s="28" t="str">
        <x:v>RESERVE</x:v>
      </x:c>
      <x:c r="D692" s="28" t="str">
        <x:f>INDEX('Attempt Tokens'!$E$7:$E$36,MATCH(B692,'Attempt Tokens'!$B$7:$B$36,0))</x:f>
      </x:c>
      <x:c r="E692" s="28" t="n">
        <x:v>14</x:v>
      </x:c>
      <x:c r="F692" s="28" t="str">
        <x:v>EG-14</x:v>
      </x:c>
      <x:c r="G692" s="28" t="str">
        <x:v>command transactions complete</x:v>
      </x:c>
      <x:c r="H692" s="28" t="str">
        <x:v>PASS</x:v>
      </x:c>
      <x:c r="I692" s="29" t="str"/>
      <x:c r="J692" s="29" t="str"/>
      <x:c r="K692" s="29" t="str"/>
      <x:c r="L692" s="28" t="str">
        <x:f>IF(AND(C692="RESERVE",D692=""),"DORMANT",IF(K692="","OPEN",IF(AND(I692=H692,J692&lt;&gt;""),"PASS","FAIL")))</x:f>
        <x:v>DORMANT</x:v>
      </x:c>
    </x:row>
    <x:row r="693">
      <x:c r="B693" s="28" t="str">
        <x:v>AT-29</x:v>
      </x:c>
      <x:c r="C693" s="28" t="str">
        <x:v>RESERVE</x:v>
      </x:c>
      <x:c r="D693" s="28" t="str">
        <x:f>INDEX('Attempt Tokens'!$E$7:$E$36,MATCH(B693,'Attempt Tokens'!$B$7:$B$36,0))</x:f>
      </x:c>
      <x:c r="E693" s="28" t="n">
        <x:v>15</x:v>
      </x:c>
      <x:c r="F693" s="28" t="str">
        <x:v>EG-15</x:v>
      </x:c>
      <x:c r="G693" s="28" t="str">
        <x:v>phase clock complete</x:v>
      </x:c>
      <x:c r="H693" s="28" t="str">
        <x:v>PASS</x:v>
      </x:c>
      <x:c r="I693" s="29" t="str"/>
      <x:c r="J693" s="29" t="str"/>
      <x:c r="K693" s="29" t="str"/>
      <x:c r="L693" s="28" t="str">
        <x:f>IF(AND(C693="RESERVE",D693=""),"DORMANT",IF(K693="","OPEN",IF(AND(I693=H693,J693&lt;&gt;""),"PASS","FAIL")))</x:f>
        <x:v>DORMANT</x:v>
      </x:c>
    </x:row>
    <x:row r="694">
      <x:c r="B694" s="28" t="str">
        <x:v>AT-29</x:v>
      </x:c>
      <x:c r="C694" s="28" t="str">
        <x:v>RESERVE</x:v>
      </x:c>
      <x:c r="D694" s="28" t="str">
        <x:f>INDEX('Attempt Tokens'!$E$7:$E$36,MATCH(B694,'Attempt Tokens'!$B$7:$B$36,0))</x:f>
      </x:c>
      <x:c r="E694" s="28" t="n">
        <x:v>16</x:v>
      </x:c>
      <x:c r="F694" s="28" t="str">
        <x:v>EG-16</x:v>
      </x:c>
      <x:c r="G694" s="28" t="str">
        <x:v>holds complete</x:v>
      </x:c>
      <x:c r="H694" s="28" t="str">
        <x:v>PASS</x:v>
      </x:c>
      <x:c r="I694" s="29" t="str"/>
      <x:c r="J694" s="29" t="str"/>
      <x:c r="K694" s="29" t="str"/>
      <x:c r="L694" s="28" t="str">
        <x:f>IF(AND(C694="RESERVE",D694=""),"DORMANT",IF(K694="","OPEN",IF(AND(I694=H694,J694&lt;&gt;""),"PASS","FAIL")))</x:f>
        <x:v>DORMANT</x:v>
      </x:c>
    </x:row>
    <x:row r="695">
      <x:c r="B695" s="28" t="str">
        <x:v>AT-29</x:v>
      </x:c>
      <x:c r="C695" s="28" t="str">
        <x:v>RESERVE</x:v>
      </x:c>
      <x:c r="D695" s="28" t="str">
        <x:f>INDEX('Attempt Tokens'!$E$7:$E$36,MATCH(B695,'Attempt Tokens'!$B$7:$B$36,0))</x:f>
      </x:c>
      <x:c r="E695" s="28" t="n">
        <x:v>17</x:v>
      </x:c>
      <x:c r="F695" s="28" t="str">
        <x:v>EG-17</x:v>
      </x:c>
      <x:c r="G695" s="28" t="str">
        <x:v>evidence obligations complete</x:v>
      </x:c>
      <x:c r="H695" s="28" t="str">
        <x:v>PASS</x:v>
      </x:c>
      <x:c r="I695" s="29" t="str"/>
      <x:c r="J695" s="29" t="str"/>
      <x:c r="K695" s="29" t="str"/>
      <x:c r="L695" s="28" t="str">
        <x:f>IF(AND(C695="RESERVE",D695=""),"DORMANT",IF(K695="","OPEN",IF(AND(I695=H695,J695&lt;&gt;""),"PASS","FAIL")))</x:f>
        <x:v>DORMANT</x:v>
      </x:c>
    </x:row>
    <x:row r="696">
      <x:c r="B696" s="28" t="str">
        <x:v>AT-29</x:v>
      </x:c>
      <x:c r="C696" s="28" t="str">
        <x:v>RESERVE</x:v>
      </x:c>
      <x:c r="D696" s="28" t="str">
        <x:f>INDEX('Attempt Tokens'!$E$7:$E$36,MATCH(B696,'Attempt Tokens'!$B$7:$B$36,0))</x:f>
      </x:c>
      <x:c r="E696" s="28" t="n">
        <x:v>18</x:v>
      </x:c>
      <x:c r="F696" s="28" t="str">
        <x:v>EG-18</x:v>
      </x:c>
      <x:c r="G696" s="28" t="str">
        <x:v>blank samples complete</x:v>
      </x:c>
      <x:c r="H696" s="28" t="str">
        <x:v>PASS</x:v>
      </x:c>
      <x:c r="I696" s="29" t="str"/>
      <x:c r="J696" s="29" t="str"/>
      <x:c r="K696" s="29" t="str"/>
      <x:c r="L696" s="28" t="str">
        <x:f>IF(AND(C696="RESERVE",D696=""),"DORMANT",IF(K696="","OPEN",IF(AND(I696=H696,J696&lt;&gt;""),"PASS","FAIL")))</x:f>
        <x:v>DORMANT</x:v>
      </x:c>
    </x:row>
    <x:row r="697">
      <x:c r="B697" s="28" t="str">
        <x:v>AT-29</x:v>
      </x:c>
      <x:c r="C697" s="28" t="str">
        <x:v>RESERVE</x:v>
      </x:c>
      <x:c r="D697" s="28" t="str">
        <x:f>INDEX('Attempt Tokens'!$E$7:$E$36,MATCH(B697,'Attempt Tokens'!$B$7:$B$36,0))</x:f>
      </x:c>
      <x:c r="E697" s="28" t="n">
        <x:v>19</x:v>
      </x:c>
      <x:c r="F697" s="28" t="str">
        <x:v>EG-19</x:v>
      </x:c>
      <x:c r="G697" s="28" t="str">
        <x:v>abort channels classified</x:v>
      </x:c>
      <x:c r="H697" s="28" t="str">
        <x:v>PASS</x:v>
      </x:c>
      <x:c r="I697" s="29" t="str"/>
      <x:c r="J697" s="29" t="str"/>
      <x:c r="K697" s="29" t="str"/>
      <x:c r="L697" s="28" t="str">
        <x:f>IF(AND(C697="RESERVE",D697=""),"DORMANT",IF(K697="","OPEN",IF(AND(I697=H697,J697&lt;&gt;""),"PASS","FAIL")))</x:f>
        <x:v>DORMANT</x:v>
      </x:c>
    </x:row>
    <x:row r="698">
      <x:c r="B698" s="28" t="str">
        <x:v>AT-29</x:v>
      </x:c>
      <x:c r="C698" s="28" t="str">
        <x:v>RESERVE</x:v>
      </x:c>
      <x:c r="D698" s="28" t="str">
        <x:f>INDEX('Attempt Tokens'!$E$7:$E$36,MATCH(B698,'Attempt Tokens'!$B$7:$B$36,0))</x:f>
      </x:c>
      <x:c r="E698" s="28" t="n">
        <x:v>20</x:v>
      </x:c>
      <x:c r="F698" s="28" t="str">
        <x:v>EG-20</x:v>
      </x:c>
      <x:c r="G698" s="28" t="str">
        <x:v>interventions classified</x:v>
      </x:c>
      <x:c r="H698" s="28" t="str">
        <x:v>PASS</x:v>
      </x:c>
      <x:c r="I698" s="29" t="str"/>
      <x:c r="J698" s="29" t="str"/>
      <x:c r="K698" s="29" t="str"/>
      <x:c r="L698" s="28" t="str">
        <x:f>IF(AND(C698="RESERVE",D698=""),"DORMANT",IF(K698="","OPEN",IF(AND(I698=H698,J698&lt;&gt;""),"PASS","FAIL")))</x:f>
        <x:v>DORMANT</x:v>
      </x:c>
    </x:row>
    <x:row r="699">
      <x:c r="B699" s="28" t="str">
        <x:v>AT-29</x:v>
      </x:c>
      <x:c r="C699" s="28" t="str">
        <x:v>RESERVE</x:v>
      </x:c>
      <x:c r="D699" s="28" t="str">
        <x:f>INDEX('Attempt Tokens'!$E$7:$E$36,MATCH(B699,'Attempt Tokens'!$B$7:$B$36,0))</x:f>
      </x:c>
      <x:c r="E699" s="28" t="n">
        <x:v>21</x:v>
      </x:c>
      <x:c r="F699" s="28" t="str">
        <x:v>EG-21</x:v>
      </x:c>
      <x:c r="G699" s="28" t="str">
        <x:v>event result accepted</x:v>
      </x:c>
      <x:c r="H699" s="28" t="str">
        <x:v>PASS</x:v>
      </x:c>
      <x:c r="I699" s="29" t="str"/>
      <x:c r="J699" s="29" t="str"/>
      <x:c r="K699" s="29" t="str"/>
      <x:c r="L699" s="28" t="str">
        <x:f>IF(AND(C699="RESERVE",D699=""),"DORMANT",IF(K699="","OPEN",IF(AND(I699=H699,J699&lt;&gt;""),"PASS","FAIL")))</x:f>
        <x:v>DORMANT</x:v>
      </x:c>
    </x:row>
    <x:row r="700">
      <x:c r="B700" s="28" t="str">
        <x:v>AT-29</x:v>
      </x:c>
      <x:c r="C700" s="28" t="str">
        <x:v>RESERVE</x:v>
      </x:c>
      <x:c r="D700" s="28" t="str">
        <x:f>INDEX('Attempt Tokens'!$E$7:$E$36,MATCH(B700,'Attempt Tokens'!$B$7:$B$36,0))</x:f>
      </x:c>
      <x:c r="E700" s="28" t="n">
        <x:v>22</x:v>
      </x:c>
      <x:c r="F700" s="28" t="str">
        <x:v>EG-22</x:v>
      </x:c>
      <x:c r="G700" s="28" t="str">
        <x:v>recovery states complete</x:v>
      </x:c>
      <x:c r="H700" s="28" t="str">
        <x:v>PASS</x:v>
      </x:c>
      <x:c r="I700" s="29" t="str"/>
      <x:c r="J700" s="29" t="str"/>
      <x:c r="K700" s="29" t="str"/>
      <x:c r="L700" s="28" t="str">
        <x:f>IF(AND(C700="RESERVE",D700=""),"DORMANT",IF(K700="","OPEN",IF(AND(I700=H700,J700&lt;&gt;""),"PASS","FAIL")))</x:f>
        <x:v>DORMANT</x:v>
      </x:c>
    </x:row>
    <x:row r="701">
      <x:c r="B701" s="28" t="str">
        <x:v>AT-29</x:v>
      </x:c>
      <x:c r="C701" s="28" t="str">
        <x:v>RESERVE</x:v>
      </x:c>
      <x:c r="D701" s="28" t="str">
        <x:f>INDEX('Attempt Tokens'!$E$7:$E$36,MATCH(B701,'Attempt Tokens'!$B$7:$B$36,0))</x:f>
      </x:c>
      <x:c r="E701" s="28" t="n">
        <x:v>23</x:v>
      </x:c>
      <x:c r="F701" s="28" t="str">
        <x:v>EG-23</x:v>
      </x:c>
      <x:c r="G701" s="28" t="str">
        <x:v>regeneration and regression complete</x:v>
      </x:c>
      <x:c r="H701" s="28" t="str">
        <x:v>PASS</x:v>
      </x:c>
      <x:c r="I701" s="29" t="str"/>
      <x:c r="J701" s="29" t="str"/>
      <x:c r="K701" s="29" t="str"/>
      <x:c r="L701" s="28" t="str">
        <x:f>IF(AND(C701="RESERVE",D701=""),"DORMANT",IF(K701="","OPEN",IF(AND(I701=H701,J701&lt;&gt;""),"PASS","FAIL")))</x:f>
        <x:v>DORMANT</x:v>
      </x:c>
    </x:row>
    <x:row r="702">
      <x:c r="B702" s="28" t="str">
        <x:v>AT-29</x:v>
      </x:c>
      <x:c r="C702" s="28" t="str">
        <x:v>RESERVE</x:v>
      </x:c>
      <x:c r="D702" s="28" t="str">
        <x:f>INDEX('Attempt Tokens'!$E$7:$E$36,MATCH(B702,'Attempt Tokens'!$B$7:$B$36,0))</x:f>
      </x:c>
      <x:c r="E702" s="28" t="n">
        <x:v>24</x:v>
      </x:c>
      <x:c r="F702" s="28" t="str">
        <x:v>EG-24</x:v>
      </x:c>
      <x:c r="G702" s="28" t="str">
        <x:v>reentry and packet release complete</x:v>
      </x:c>
      <x:c r="H702" s="28" t="str">
        <x:v>PASS</x:v>
      </x:c>
      <x:c r="I702" s="29" t="str"/>
      <x:c r="J702" s="29" t="str"/>
      <x:c r="K702" s="29" t="str"/>
      <x:c r="L702" s="28" t="str">
        <x:f>IF(AND(C702="RESERVE",D702=""),"DORMANT",IF(K702="","OPEN",IF(AND(I702=H702,J702&lt;&gt;""),"PASS","FAIL")))</x:f>
        <x:v>DORMANT</x:v>
      </x:c>
    </x:row>
    <x:row r="703">
      <x:c r="B703" s="28" t="str">
        <x:v>AT-30</x:v>
      </x:c>
      <x:c r="C703" s="28" t="str">
        <x:v>RESERVE</x:v>
      </x:c>
      <x:c r="D703" s="28" t="str">
        <x:f>INDEX('Attempt Tokens'!$E$7:$E$36,MATCH(B703,'Attempt Tokens'!$B$7:$B$36,0))</x:f>
      </x:c>
      <x:c r="E703" s="28" t="n">
        <x:v>1</x:v>
      </x:c>
      <x:c r="F703" s="28" t="str">
        <x:v>EG-01</x:v>
      </x:c>
      <x:c r="G703" s="28" t="str">
        <x:v>RAX or renewed pair credential current</x:v>
      </x:c>
      <x:c r="H703" s="28" t="str">
        <x:v>PASS</x:v>
      </x:c>
      <x:c r="I703" s="29" t="str"/>
      <x:c r="J703" s="29" t="str"/>
      <x:c r="K703" s="29" t="str"/>
      <x:c r="L703" s="28" t="str">
        <x:f>IF(AND(C703="RESERVE",D703=""),"DORMANT",IF(K703="","OPEN",IF(AND(I703=H703,J703&lt;&gt;""),"PASS","FAIL")))</x:f>
        <x:v>DORMANT</x:v>
      </x:c>
    </x:row>
    <x:row r="704">
      <x:c r="B704" s="28" t="str">
        <x:v>AT-30</x:v>
      </x:c>
      <x:c r="C704" s="28" t="str">
        <x:v>RESERVE</x:v>
      </x:c>
      <x:c r="D704" s="28" t="str">
        <x:f>INDEX('Attempt Tokens'!$E$7:$E$36,MATCH(B704,'Attempt Tokens'!$B$7:$B$36,0))</x:f>
      </x:c>
      <x:c r="E704" s="28" t="n">
        <x:v>2</x:v>
      </x:c>
      <x:c r="F704" s="28" t="str">
        <x:v>EG-02</x:v>
      </x:c>
      <x:c r="G704" s="28" t="str">
        <x:v>candidate cell eligible</x:v>
      </x:c>
      <x:c r="H704" s="28" t="str">
        <x:v>PASS</x:v>
      </x:c>
      <x:c r="I704" s="29" t="str"/>
      <x:c r="J704" s="29" t="str"/>
      <x:c r="K704" s="29" t="str"/>
      <x:c r="L704" s="28" t="str">
        <x:f>IF(AND(C704="RESERVE",D704=""),"DORMANT",IF(K704="","OPEN",IF(AND(I704=H704,J704&lt;&gt;""),"PASS","FAIL")))</x:f>
        <x:v>DORMANT</x:v>
      </x:c>
    </x:row>
    <x:row r="705">
      <x:c r="B705" s="28" t="str">
        <x:v>AT-30</x:v>
      </x:c>
      <x:c r="C705" s="28" t="str">
        <x:v>RESERVE</x:v>
      </x:c>
      <x:c r="D705" s="28" t="str">
        <x:f>INDEX('Attempt Tokens'!$E$7:$E$36,MATCH(B705,'Attempt Tokens'!$B$7:$B$36,0))</x:f>
      </x:c>
      <x:c r="E705" s="28" t="n">
        <x:v>3</x:v>
      </x:c>
      <x:c r="F705" s="28" t="str">
        <x:v>EG-03</x:v>
      </x:c>
      <x:c r="G705" s="28" t="str">
        <x:v>draw and schedule binding complete</x:v>
      </x:c>
      <x:c r="H705" s="28" t="str">
        <x:v>PASS</x:v>
      </x:c>
      <x:c r="I705" s="29" t="str"/>
      <x:c r="J705" s="29" t="str"/>
      <x:c r="K705" s="29" t="str"/>
      <x:c r="L705" s="28" t="str">
        <x:f>IF(AND(C705="RESERVE",D705=""),"DORMANT",IF(K705="","OPEN",IF(AND(I705=H705,J705&lt;&gt;""),"PASS","FAIL")))</x:f>
        <x:v>DORMANT</x:v>
      </x:c>
    </x:row>
    <x:row r="706">
      <x:c r="B706" s="28" t="str">
        <x:v>AT-30</x:v>
      </x:c>
      <x:c r="C706" s="28" t="str">
        <x:v>RESERVE</x:v>
      </x:c>
      <x:c r="D706" s="28" t="str">
        <x:f>INDEX('Attempt Tokens'!$E$7:$E$36,MATCH(B706,'Attempt Tokens'!$B$7:$B$36,0))</x:f>
      </x:c>
      <x:c r="E706" s="28" t="n">
        <x:v>4</x:v>
      </x:c>
      <x:c r="F706" s="28" t="str">
        <x:v>EG-04</x:v>
      </x:c>
      <x:c r="G706" s="28" t="str">
        <x:v>event issue accepted</x:v>
      </x:c>
      <x:c r="H706" s="28" t="str">
        <x:v>PASS</x:v>
      </x:c>
      <x:c r="I706" s="29" t="str"/>
      <x:c r="J706" s="29" t="str"/>
      <x:c r="K706" s="29" t="str"/>
      <x:c r="L706" s="28" t="str">
        <x:f>IF(AND(C706="RESERVE",D706=""),"DORMANT",IF(K706="","OPEN",IF(AND(I706=H706,J706&lt;&gt;""),"PASS","FAIL")))</x:f>
        <x:v>DORMANT</x:v>
      </x:c>
    </x:row>
    <x:row r="707">
      <x:c r="B707" s="28" t="str">
        <x:v>AT-30</x:v>
      </x:c>
      <x:c r="C707" s="28" t="str">
        <x:v>RESERVE</x:v>
      </x:c>
      <x:c r="D707" s="28" t="str">
        <x:f>INDEX('Attempt Tokens'!$E$7:$E$36,MATCH(B707,'Attempt Tokens'!$B$7:$B$36,0))</x:f>
      </x:c>
      <x:c r="E707" s="28" t="n">
        <x:v>5</x:v>
      </x:c>
      <x:c r="F707" s="28" t="str">
        <x:v>EG-05</x:v>
      </x:c>
      <x:c r="G707" s="28" t="str">
        <x:v>dossier bindings complete</x:v>
      </x:c>
      <x:c r="H707" s="28" t="str">
        <x:v>PASS</x:v>
      </x:c>
      <x:c r="I707" s="29" t="str"/>
      <x:c r="J707" s="29" t="str"/>
      <x:c r="K707" s="29" t="str"/>
      <x:c r="L707" s="28" t="str">
        <x:f>IF(AND(C707="RESERVE",D707=""),"DORMANT",IF(K707="","OPEN",IF(AND(I707=H707,J707&lt;&gt;""),"PASS","FAIL")))</x:f>
        <x:v>DORMANT</x:v>
      </x:c>
    </x:row>
    <x:row r="708">
      <x:c r="B708" s="28" t="str">
        <x:v>AT-30</x:v>
      </x:c>
      <x:c r="C708" s="28" t="str">
        <x:v>RESERVE</x:v>
      </x:c>
      <x:c r="D708" s="28" t="str">
        <x:f>INDEX('Attempt Tokens'!$E$7:$E$36,MATCH(B708,'Attempt Tokens'!$B$7:$B$36,0))</x:f>
      </x:c>
      <x:c r="E708" s="28" t="n">
        <x:v>6</x:v>
      </x:c>
      <x:c r="F708" s="28" t="str">
        <x:v>EG-06</x:v>
      </x:c>
      <x:c r="G708" s="28" t="str">
        <x:v>event crew complete</x:v>
      </x:c>
      <x:c r="H708" s="28" t="str">
        <x:v>PASS</x:v>
      </x:c>
      <x:c r="I708" s="29" t="str"/>
      <x:c r="J708" s="29" t="str"/>
      <x:c r="K708" s="29" t="str"/>
      <x:c r="L708" s="28" t="str">
        <x:f>IF(AND(C708="RESERVE",D708=""),"DORMANT",IF(K708="","OPEN",IF(AND(I708=H708,J708&lt;&gt;""),"PASS","FAIL")))</x:f>
        <x:v>DORMANT</x:v>
      </x:c>
    </x:row>
    <x:row r="709">
      <x:c r="B709" s="28" t="str">
        <x:v>AT-30</x:v>
      </x:c>
      <x:c r="C709" s="28" t="str">
        <x:v>RESERVE</x:v>
      </x:c>
      <x:c r="D709" s="28" t="str">
        <x:f>INDEX('Attempt Tokens'!$E$7:$E$36,MATCH(B709,'Attempt Tokens'!$B$7:$B$36,0))</x:f>
      </x:c>
      <x:c r="E709" s="28" t="n">
        <x:v>7</x:v>
      </x:c>
      <x:c r="F709" s="28" t="str">
        <x:v>EG-07</x:v>
      </x:c>
      <x:c r="G709" s="28" t="str">
        <x:v>configuration freeze complete</x:v>
      </x:c>
      <x:c r="H709" s="28" t="str">
        <x:v>PASS</x:v>
      </x:c>
      <x:c r="I709" s="29" t="str"/>
      <x:c r="J709" s="29" t="str"/>
      <x:c r="K709" s="29" t="str"/>
      <x:c r="L709" s="28" t="str">
        <x:f>IF(AND(C709="RESERVE",D709=""),"DORMANT",IF(K709="","OPEN",IF(AND(I709=H709,J709&lt;&gt;""),"PASS","FAIL")))</x:f>
        <x:v>DORMANT</x:v>
      </x:c>
    </x:row>
    <x:row r="710">
      <x:c r="B710" s="28" t="str">
        <x:v>AT-30</x:v>
      </x:c>
      <x:c r="C710" s="28" t="str">
        <x:v>RESERVE</x:v>
      </x:c>
      <x:c r="D710" s="28" t="str">
        <x:f>INDEX('Attempt Tokens'!$E$7:$E$36,MATCH(B710,'Attempt Tokens'!$B$7:$B$36,0))</x:f>
      </x:c>
      <x:c r="E710" s="28" t="n">
        <x:v>8</x:v>
      </x:c>
      <x:c r="F710" s="28" t="str">
        <x:v>EG-08</x:v>
      </x:c>
      <x:c r="G710" s="28" t="str">
        <x:v>zero-source checks complete</x:v>
      </x:c>
      <x:c r="H710" s="28" t="str">
        <x:v>PASS</x:v>
      </x:c>
      <x:c r="I710" s="29" t="str"/>
      <x:c r="J710" s="29" t="str"/>
      <x:c r="K710" s="29" t="str"/>
      <x:c r="L710" s="28" t="str">
        <x:f>IF(AND(C710="RESERVE",D710=""),"DORMANT",IF(K710="","OPEN",IF(AND(I710=H710,J710&lt;&gt;""),"PASS","FAIL")))</x:f>
        <x:v>DORMANT</x:v>
      </x:c>
    </x:row>
    <x:row r="711">
      <x:c r="B711" s="28" t="str">
        <x:v>AT-30</x:v>
      </x:c>
      <x:c r="C711" s="28" t="str">
        <x:v>RESERVE</x:v>
      </x:c>
      <x:c r="D711" s="28" t="str">
        <x:f>INDEX('Attempt Tokens'!$E$7:$E$36,MATCH(B711,'Attempt Tokens'!$B$7:$B$36,0))</x:f>
      </x:c>
      <x:c r="E711" s="28" t="n">
        <x:v>9</x:v>
      </x:c>
      <x:c r="F711" s="28" t="str">
        <x:v>EG-09</x:v>
      </x:c>
      <x:c r="G711" s="28" t="str">
        <x:v>zero-water checks complete</x:v>
      </x:c>
      <x:c r="H711" s="28" t="str">
        <x:v>PASS</x:v>
      </x:c>
      <x:c r="I711" s="29" t="str"/>
      <x:c r="J711" s="29" t="str"/>
      <x:c r="K711" s="29" t="str"/>
      <x:c r="L711" s="28" t="str">
        <x:f>IF(AND(C711="RESERVE",D711=""),"DORMANT",IF(K711="","OPEN",IF(AND(I711=H711,J711&lt;&gt;""),"PASS","FAIL")))</x:f>
        <x:v>DORMANT</x:v>
      </x:c>
    </x:row>
    <x:row r="712">
      <x:c r="B712" s="28" t="str">
        <x:v>AT-30</x:v>
      </x:c>
      <x:c r="C712" s="28" t="str">
        <x:v>RESERVE</x:v>
      </x:c>
      <x:c r="D712" s="28" t="str">
        <x:f>INDEX('Attempt Tokens'!$E$7:$E$36,MATCH(B712,'Attempt Tokens'!$B$7:$B$36,0))</x:f>
      </x:c>
      <x:c r="E712" s="28" t="n">
        <x:v>10</x:v>
      </x:c>
      <x:c r="F712" s="28" t="str">
        <x:v>EG-10</x:v>
      </x:c>
      <x:c r="G712" s="28" t="str">
        <x:v>uncertainty decisions complete</x:v>
      </x:c>
      <x:c r="H712" s="28" t="str">
        <x:v>PASS</x:v>
      </x:c>
      <x:c r="I712" s="29" t="str"/>
      <x:c r="J712" s="29" t="str"/>
      <x:c r="K712" s="29" t="str"/>
      <x:c r="L712" s="28" t="str">
        <x:f>IF(AND(C712="RESERVE",D712=""),"DORMANT",IF(K712="","OPEN",IF(AND(I712=H712,J712&lt;&gt;""),"PASS","FAIL")))</x:f>
        <x:v>DORMANT</x:v>
      </x:c>
    </x:row>
    <x:row r="713">
      <x:c r="B713" s="28" t="str">
        <x:v>AT-30</x:v>
      </x:c>
      <x:c r="C713" s="28" t="str">
        <x:v>RESERVE</x:v>
      </x:c>
      <x:c r="D713" s="28" t="str">
        <x:f>INDEX('Attempt Tokens'!$E$7:$E$36,MATCH(B713,'Attempt Tokens'!$B$7:$B$36,0))</x:f>
      </x:c>
      <x:c r="E713" s="28" t="n">
        <x:v>11</x:v>
      </x:c>
      <x:c r="F713" s="28" t="str">
        <x:v>EG-11</x:v>
      </x:c>
      <x:c r="G713" s="28" t="str">
        <x:v>measurement windows complete</x:v>
      </x:c>
      <x:c r="H713" s="28" t="str">
        <x:v>PASS</x:v>
      </x:c>
      <x:c r="I713" s="29" t="str"/>
      <x:c r="J713" s="29" t="str"/>
      <x:c r="K713" s="29" t="str"/>
      <x:c r="L713" s="28" t="str">
        <x:f>IF(AND(C713="RESERVE",D713=""),"DORMANT",IF(K713="","OPEN",IF(AND(I713=H713,J713&lt;&gt;""),"PASS","FAIL")))</x:f>
        <x:v>DORMANT</x:v>
      </x:c>
    </x:row>
    <x:row r="714">
      <x:c r="B714" s="28" t="str">
        <x:v>AT-30</x:v>
      </x:c>
      <x:c r="C714" s="28" t="str">
        <x:v>RESERVE</x:v>
      </x:c>
      <x:c r="D714" s="28" t="str">
        <x:f>INDEX('Attempt Tokens'!$E$7:$E$36,MATCH(B714,'Attempt Tokens'!$B$7:$B$36,0))</x:f>
      </x:c>
      <x:c r="E714" s="28" t="n">
        <x:v>12</x:v>
      </x:c>
      <x:c r="F714" s="28" t="str">
        <x:v>EG-12</x:v>
      </x:c>
      <x:c r="G714" s="28" t="str">
        <x:v>neighbor proofs complete</x:v>
      </x:c>
      <x:c r="H714" s="28" t="str">
        <x:v>PASS</x:v>
      </x:c>
      <x:c r="I714" s="29" t="str"/>
      <x:c r="J714" s="29" t="str"/>
      <x:c r="K714" s="29" t="str"/>
      <x:c r="L714" s="28" t="str">
        <x:f>IF(AND(C714="RESERVE",D714=""),"DORMANT",IF(K714="","OPEN",IF(AND(I714=H714,J714&lt;&gt;""),"PASS","FAIL")))</x:f>
        <x:v>DORMANT</x:v>
      </x:c>
    </x:row>
    <x:row r="715">
      <x:c r="B715" s="28" t="str">
        <x:v>AT-30</x:v>
      </x:c>
      <x:c r="C715" s="28" t="str">
        <x:v>RESERVE</x:v>
      </x:c>
      <x:c r="D715" s="28" t="str">
        <x:f>INDEX('Attempt Tokens'!$E$7:$E$36,MATCH(B715,'Attempt Tokens'!$B$7:$B$36,0))</x:f>
      </x:c>
      <x:c r="E715" s="28" t="n">
        <x:v>13</x:v>
      </x:c>
      <x:c r="F715" s="28" t="str">
        <x:v>EG-13</x:v>
      </x:c>
      <x:c r="G715" s="28" t="str">
        <x:v>safeing polls complete</x:v>
      </x:c>
      <x:c r="H715" s="28" t="str">
        <x:v>PASS</x:v>
      </x:c>
      <x:c r="I715" s="29" t="str"/>
      <x:c r="J715" s="29" t="str"/>
      <x:c r="K715" s="29" t="str"/>
      <x:c r="L715" s="28" t="str">
        <x:f>IF(AND(C715="RESERVE",D715=""),"DORMANT",IF(K715="","OPEN",IF(AND(I715=H715,J715&lt;&gt;""),"PASS","FAIL")))</x:f>
        <x:v>DORMANT</x:v>
      </x:c>
    </x:row>
    <x:row r="716">
      <x:c r="B716" s="28" t="str">
        <x:v>AT-30</x:v>
      </x:c>
      <x:c r="C716" s="28" t="str">
        <x:v>RESERVE</x:v>
      </x:c>
      <x:c r="D716" s="28" t="str">
        <x:f>INDEX('Attempt Tokens'!$E$7:$E$36,MATCH(B716,'Attempt Tokens'!$B$7:$B$36,0))</x:f>
      </x:c>
      <x:c r="E716" s="28" t="n">
        <x:v>14</x:v>
      </x:c>
      <x:c r="F716" s="28" t="str">
        <x:v>EG-14</x:v>
      </x:c>
      <x:c r="G716" s="28" t="str">
        <x:v>command transactions complete</x:v>
      </x:c>
      <x:c r="H716" s="28" t="str">
        <x:v>PASS</x:v>
      </x:c>
      <x:c r="I716" s="29" t="str"/>
      <x:c r="J716" s="29" t="str"/>
      <x:c r="K716" s="29" t="str"/>
      <x:c r="L716" s="28" t="str">
        <x:f>IF(AND(C716="RESERVE",D716=""),"DORMANT",IF(K716="","OPEN",IF(AND(I716=H716,J716&lt;&gt;""),"PASS","FAIL")))</x:f>
        <x:v>DORMANT</x:v>
      </x:c>
    </x:row>
    <x:row r="717">
      <x:c r="B717" s="28" t="str">
        <x:v>AT-30</x:v>
      </x:c>
      <x:c r="C717" s="28" t="str">
        <x:v>RESERVE</x:v>
      </x:c>
      <x:c r="D717" s="28" t="str">
        <x:f>INDEX('Attempt Tokens'!$E$7:$E$36,MATCH(B717,'Attempt Tokens'!$B$7:$B$36,0))</x:f>
      </x:c>
      <x:c r="E717" s="28" t="n">
        <x:v>15</x:v>
      </x:c>
      <x:c r="F717" s="28" t="str">
        <x:v>EG-15</x:v>
      </x:c>
      <x:c r="G717" s="28" t="str">
        <x:v>phase clock complete</x:v>
      </x:c>
      <x:c r="H717" s="28" t="str">
        <x:v>PASS</x:v>
      </x:c>
      <x:c r="I717" s="29" t="str"/>
      <x:c r="J717" s="29" t="str"/>
      <x:c r="K717" s="29" t="str"/>
      <x:c r="L717" s="28" t="str">
        <x:f>IF(AND(C717="RESERVE",D717=""),"DORMANT",IF(K717="","OPEN",IF(AND(I717=H717,J717&lt;&gt;""),"PASS","FAIL")))</x:f>
        <x:v>DORMANT</x:v>
      </x:c>
    </x:row>
    <x:row r="718">
      <x:c r="B718" s="28" t="str">
        <x:v>AT-30</x:v>
      </x:c>
      <x:c r="C718" s="28" t="str">
        <x:v>RESERVE</x:v>
      </x:c>
      <x:c r="D718" s="28" t="str">
        <x:f>INDEX('Attempt Tokens'!$E$7:$E$36,MATCH(B718,'Attempt Tokens'!$B$7:$B$36,0))</x:f>
      </x:c>
      <x:c r="E718" s="28" t="n">
        <x:v>16</x:v>
      </x:c>
      <x:c r="F718" s="28" t="str">
        <x:v>EG-16</x:v>
      </x:c>
      <x:c r="G718" s="28" t="str">
        <x:v>holds complete</x:v>
      </x:c>
      <x:c r="H718" s="28" t="str">
        <x:v>PASS</x:v>
      </x:c>
      <x:c r="I718" s="29" t="str"/>
      <x:c r="J718" s="29" t="str"/>
      <x:c r="K718" s="29" t="str"/>
      <x:c r="L718" s="28" t="str">
        <x:f>IF(AND(C718="RESERVE",D718=""),"DORMANT",IF(K718="","OPEN",IF(AND(I718=H718,J718&lt;&gt;""),"PASS","FAIL")))</x:f>
        <x:v>DORMANT</x:v>
      </x:c>
    </x:row>
    <x:row r="719">
      <x:c r="B719" s="28" t="str">
        <x:v>AT-30</x:v>
      </x:c>
      <x:c r="C719" s="28" t="str">
        <x:v>RESERVE</x:v>
      </x:c>
      <x:c r="D719" s="28" t="str">
        <x:f>INDEX('Attempt Tokens'!$E$7:$E$36,MATCH(B719,'Attempt Tokens'!$B$7:$B$36,0))</x:f>
      </x:c>
      <x:c r="E719" s="28" t="n">
        <x:v>17</x:v>
      </x:c>
      <x:c r="F719" s="28" t="str">
        <x:v>EG-17</x:v>
      </x:c>
      <x:c r="G719" s="28" t="str">
        <x:v>evidence obligations complete</x:v>
      </x:c>
      <x:c r="H719" s="28" t="str">
        <x:v>PASS</x:v>
      </x:c>
      <x:c r="I719" s="29" t="str"/>
      <x:c r="J719" s="29" t="str"/>
      <x:c r="K719" s="29" t="str"/>
      <x:c r="L719" s="28" t="str">
        <x:f>IF(AND(C719="RESERVE",D719=""),"DORMANT",IF(K719="","OPEN",IF(AND(I719=H719,J719&lt;&gt;""),"PASS","FAIL")))</x:f>
        <x:v>DORMANT</x:v>
      </x:c>
    </x:row>
    <x:row r="720">
      <x:c r="B720" s="28" t="str">
        <x:v>AT-30</x:v>
      </x:c>
      <x:c r="C720" s="28" t="str">
        <x:v>RESERVE</x:v>
      </x:c>
      <x:c r="D720" s="28" t="str">
        <x:f>INDEX('Attempt Tokens'!$E$7:$E$36,MATCH(B720,'Attempt Tokens'!$B$7:$B$36,0))</x:f>
      </x:c>
      <x:c r="E720" s="28" t="n">
        <x:v>18</x:v>
      </x:c>
      <x:c r="F720" s="28" t="str">
        <x:v>EG-18</x:v>
      </x:c>
      <x:c r="G720" s="28" t="str">
        <x:v>blank samples complete</x:v>
      </x:c>
      <x:c r="H720" s="28" t="str">
        <x:v>PASS</x:v>
      </x:c>
      <x:c r="I720" s="29" t="str"/>
      <x:c r="J720" s="29" t="str"/>
      <x:c r="K720" s="29" t="str"/>
      <x:c r="L720" s="28" t="str">
        <x:f>IF(AND(C720="RESERVE",D720=""),"DORMANT",IF(K720="","OPEN",IF(AND(I720=H720,J720&lt;&gt;""),"PASS","FAIL")))</x:f>
        <x:v>DORMANT</x:v>
      </x:c>
    </x:row>
    <x:row r="721">
      <x:c r="B721" s="28" t="str">
        <x:v>AT-30</x:v>
      </x:c>
      <x:c r="C721" s="28" t="str">
        <x:v>RESERVE</x:v>
      </x:c>
      <x:c r="D721" s="28" t="str">
        <x:f>INDEX('Attempt Tokens'!$E$7:$E$36,MATCH(B721,'Attempt Tokens'!$B$7:$B$36,0))</x:f>
      </x:c>
      <x:c r="E721" s="28" t="n">
        <x:v>19</x:v>
      </x:c>
      <x:c r="F721" s="28" t="str">
        <x:v>EG-19</x:v>
      </x:c>
      <x:c r="G721" s="28" t="str">
        <x:v>abort channels classified</x:v>
      </x:c>
      <x:c r="H721" s="28" t="str">
        <x:v>PASS</x:v>
      </x:c>
      <x:c r="I721" s="29" t="str"/>
      <x:c r="J721" s="29" t="str"/>
      <x:c r="K721" s="29" t="str"/>
      <x:c r="L721" s="28" t="str">
        <x:f>IF(AND(C721="RESERVE",D721=""),"DORMANT",IF(K721="","OPEN",IF(AND(I721=H721,J721&lt;&gt;""),"PASS","FAIL")))</x:f>
        <x:v>DORMANT</x:v>
      </x:c>
    </x:row>
    <x:row r="722">
      <x:c r="B722" s="28" t="str">
        <x:v>AT-30</x:v>
      </x:c>
      <x:c r="C722" s="28" t="str">
        <x:v>RESERVE</x:v>
      </x:c>
      <x:c r="D722" s="28" t="str">
        <x:f>INDEX('Attempt Tokens'!$E$7:$E$36,MATCH(B722,'Attempt Tokens'!$B$7:$B$36,0))</x:f>
      </x:c>
      <x:c r="E722" s="28" t="n">
        <x:v>20</x:v>
      </x:c>
      <x:c r="F722" s="28" t="str">
        <x:v>EG-20</x:v>
      </x:c>
      <x:c r="G722" s="28" t="str">
        <x:v>interventions classified</x:v>
      </x:c>
      <x:c r="H722" s="28" t="str">
        <x:v>PASS</x:v>
      </x:c>
      <x:c r="I722" s="29" t="str"/>
      <x:c r="J722" s="29" t="str"/>
      <x:c r="K722" s="29" t="str"/>
      <x:c r="L722" s="28" t="str">
        <x:f>IF(AND(C722="RESERVE",D722=""),"DORMANT",IF(K722="","OPEN",IF(AND(I722=H722,J722&lt;&gt;""),"PASS","FAIL")))</x:f>
        <x:v>DORMANT</x:v>
      </x:c>
    </x:row>
    <x:row r="723">
      <x:c r="B723" s="28" t="str">
        <x:v>AT-30</x:v>
      </x:c>
      <x:c r="C723" s="28" t="str">
        <x:v>RESERVE</x:v>
      </x:c>
      <x:c r="D723" s="28" t="str">
        <x:f>INDEX('Attempt Tokens'!$E$7:$E$36,MATCH(B723,'Attempt Tokens'!$B$7:$B$36,0))</x:f>
      </x:c>
      <x:c r="E723" s="28" t="n">
        <x:v>21</x:v>
      </x:c>
      <x:c r="F723" s="28" t="str">
        <x:v>EG-21</x:v>
      </x:c>
      <x:c r="G723" s="28" t="str">
        <x:v>event result accepted</x:v>
      </x:c>
      <x:c r="H723" s="28" t="str">
        <x:v>PASS</x:v>
      </x:c>
      <x:c r="I723" s="29" t="str"/>
      <x:c r="J723" s="29" t="str"/>
      <x:c r="K723" s="29" t="str"/>
      <x:c r="L723" s="28" t="str">
        <x:f>IF(AND(C723="RESERVE",D723=""),"DORMANT",IF(K723="","OPEN",IF(AND(I723=H723,J723&lt;&gt;""),"PASS","FAIL")))</x:f>
        <x:v>DORMANT</x:v>
      </x:c>
    </x:row>
    <x:row r="724">
      <x:c r="B724" s="28" t="str">
        <x:v>AT-30</x:v>
      </x:c>
      <x:c r="C724" s="28" t="str">
        <x:v>RESERVE</x:v>
      </x:c>
      <x:c r="D724" s="28" t="str">
        <x:f>INDEX('Attempt Tokens'!$E$7:$E$36,MATCH(B724,'Attempt Tokens'!$B$7:$B$36,0))</x:f>
      </x:c>
      <x:c r="E724" s="28" t="n">
        <x:v>22</x:v>
      </x:c>
      <x:c r="F724" s="28" t="str">
        <x:v>EG-22</x:v>
      </x:c>
      <x:c r="G724" s="28" t="str">
        <x:v>recovery states complete</x:v>
      </x:c>
      <x:c r="H724" s="28" t="str">
        <x:v>PASS</x:v>
      </x:c>
      <x:c r="I724" s="29" t="str"/>
      <x:c r="J724" s="29" t="str"/>
      <x:c r="K724" s="29" t="str"/>
      <x:c r="L724" s="28" t="str">
        <x:f>IF(AND(C724="RESERVE",D724=""),"DORMANT",IF(K724="","OPEN",IF(AND(I724=H724,J724&lt;&gt;""),"PASS","FAIL")))</x:f>
        <x:v>DORMANT</x:v>
      </x:c>
    </x:row>
    <x:row r="725">
      <x:c r="B725" s="28" t="str">
        <x:v>AT-30</x:v>
      </x:c>
      <x:c r="C725" s="28" t="str">
        <x:v>RESERVE</x:v>
      </x:c>
      <x:c r="D725" s="28" t="str">
        <x:f>INDEX('Attempt Tokens'!$E$7:$E$36,MATCH(B725,'Attempt Tokens'!$B$7:$B$36,0))</x:f>
      </x:c>
      <x:c r="E725" s="28" t="n">
        <x:v>23</x:v>
      </x:c>
      <x:c r="F725" s="28" t="str">
        <x:v>EG-23</x:v>
      </x:c>
      <x:c r="G725" s="28" t="str">
        <x:v>regeneration and regression complete</x:v>
      </x:c>
      <x:c r="H725" s="28" t="str">
        <x:v>PASS</x:v>
      </x:c>
      <x:c r="I725" s="29" t="str"/>
      <x:c r="J725" s="29" t="str"/>
      <x:c r="K725" s="29" t="str"/>
      <x:c r="L725" s="28" t="str">
        <x:f>IF(AND(C725="RESERVE",D725=""),"DORMANT",IF(K725="","OPEN",IF(AND(I725=H725,J725&lt;&gt;""),"PASS","FAIL")))</x:f>
        <x:v>DORMANT</x:v>
      </x:c>
    </x:row>
    <x:row r="726">
      <x:c r="B726" s="28" t="str">
        <x:v>AT-30</x:v>
      </x:c>
      <x:c r="C726" s="28" t="str">
        <x:v>RESERVE</x:v>
      </x:c>
      <x:c r="D726" s="28" t="str">
        <x:f>INDEX('Attempt Tokens'!$E$7:$E$36,MATCH(B726,'Attempt Tokens'!$B$7:$B$36,0))</x:f>
      </x:c>
      <x:c r="E726" s="28" t="n">
        <x:v>24</x:v>
      </x:c>
      <x:c r="F726" s="28" t="str">
        <x:v>EG-24</x:v>
      </x:c>
      <x:c r="G726" s="28" t="str">
        <x:v>reentry and packet release complete</x:v>
      </x:c>
      <x:c r="H726" s="28" t="str">
        <x:v>PASS</x:v>
      </x:c>
      <x:c r="I726" s="29" t="str"/>
      <x:c r="J726" s="29" t="str"/>
      <x:c r="K726" s="29" t="str"/>
      <x:c r="L726" s="28" t="str">
        <x:f>IF(AND(C726="RESERVE",D726=""),"DORMANT",IF(K726="","OPEN",IF(AND(I726=H726,J726&lt;&gt;""),"PASS","FAIL")))</x:f>
        <x:v>DORMANT</x:v>
      </x:c>
    </x:row>
  </x:sheetData>
  <x:conditionalFormatting sqref="L7:L726">
    <x:cfRule type="containsText" dxfId="81" priority="1" operator="containsText" text="FAIL"/>
    <x:cfRule type="containsText" dxfId="82" priority="2" operator="containsText" text="BLOCKED"/>
    <x:cfRule type="containsText" dxfId="83" priority="3" operator="containsText" text="INVALID"/>
    <x:cfRule type="containsText" dxfId="84" priority="4" operator="containsText" text="ADVERSE"/>
    <x:cfRule type="containsText" dxfId="85" priority="5" operator="containsText" text="EXPIRED"/>
    <x:cfRule type="containsText" dxfId="86" priority="6" operator="containsText" text="OPEN"/>
    <x:cfRule type="containsText" dxfId="87" priority="7" operator="containsText" text="DORMANT"/>
    <x:cfRule type="containsText" dxfId="88" priority="8" operator="containsText" text="PASS"/>
    <x:cfRule type="containsText" dxfId="89" priority="9" operator="containsText" text="AVAILABL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42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24" hidden="0" customWidth="1"/>
    <x:col min="10" max="10" width="22" hidden="0" customWidth="1"/>
    <x:col min="11" max="11" width="24" hidden="0" customWidth="1"/>
    <x:col min="12" max="12" width="22" hidden="0" customWidth="1"/>
    <x:col min="13" max="13" width="20" hidden="0" customWidth="1"/>
    <x:col min="14" max="14" width="20" hidden="0" customWidth="1"/>
    <x:col min="15" max="15" width="22" hidden="0" customWidth="1"/>
    <x:col min="16" max="16" width="23" hidden="0" customWidth="1"/>
    <x:col min="17" max="17" width="26" hidden="0" customWidth="1"/>
    <x:col min="18" max="18" width="22" hidden="0" customWidth="1"/>
    <x:col min="19" max="19" width="16" hidden="0" customWidth="1"/>
  </x:cols>
  <x:sheetData>
    <x:row r="2">
      <x:c r="B2" s="23" t="str">
        <x:v>Thirty attempt-level zero-state summaries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</x:row>
    <x:row r="3">
      <x:c r="B3" s="25" t="str">
        <x:v>Every active attempt reports unlike-root estimates and uncertainty, exact source and water ledgers, retained evidence and intervention class.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</x:row>
    <x:row r="6" ht="24" customHeight="1">
      <x:c r="B6" s="6" t="str">
        <x:v>Token</x:v>
      </x:c>
      <x:c r="C6" s="6" t="str">
        <x:v>Kind</x:v>
      </x:c>
      <x:c r="D6" s="6" t="str">
        <x:v>Target cell</x:v>
      </x:c>
      <x:c r="E6" s="6" t="str">
        <x:v>Source estimate TR-A kg</x:v>
      </x:c>
      <x:c r="F6" s="6" t="str">
        <x:v>Source U TR-A kg</x:v>
      </x:c>
      <x:c r="G6" s="6" t="str">
        <x:v>Source estimate TR-B kg</x:v>
      </x:c>
      <x:c r="H6" s="6" t="str">
        <x:v>Source U TR-B kg</x:v>
      </x:c>
      <x:c r="I6" s="6" t="str">
        <x:v>Water estimate TR-A m3</x:v>
      </x:c>
      <x:c r="J6" s="6" t="str">
        <x:v>Water U TR-A m3</x:v>
      </x:c>
      <x:c r="K6" s="6" t="str">
        <x:v>Water estimate TR-B m3</x:v>
      </x:c>
      <x:c r="L6" s="6" t="str">
        <x:v>Water U TR-B m3</x:v>
      </x:c>
      <x:c r="M6" s="6" t="str">
        <x:v>Source ledger kg</x:v>
      </x:c>
      <x:c r="N6" s="6" t="str">
        <x:v>Water ledger m3</x:v>
      </x:c>
      <x:c r="O6" s="6" t="str">
        <x:v>Native evidence GB</x:v>
      </x:c>
      <x:c r="P6" s="6" t="str">
        <x:v>Allocated evidence GB</x:v>
      </x:c>
      <x:c r="Q6" s="6" t="str">
        <x:v>Intervention class</x:v>
      </x:c>
      <x:c r="R6" s="6" t="str">
        <x:v>Accepted UTC</x:v>
      </x:c>
      <x:c r="S6" s="6" t="str">
        <x:v>State</x:v>
      </x:c>
    </x:row>
    <x:row r="7">
      <x:c r="B7" s="28" t="str">
        <x:v>AT-01</x:v>
      </x:c>
      <x:c r="C7" s="28" t="str">
        <x:v>PRIMARY</x:v>
      </x:c>
      <x:c r="D7" s="28" t="str">
        <x:f>INDEX('Attempt Tokens'!$E$7:$E$36,MATCH(B7,'Attempt Tokens'!$B$7:$B$36,0))</x:f>
      </x:c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29" t="str"/>
      <x:c r="R7" s="29" t="str"/>
      <x:c r="S7" s="28" t="str">
        <x:f>IF(AND(C7="RESERVE",D7=""),"DORMANT",IF(R7="","OPEN",IF(AND(ISNUMBER(E7),ISNUMBER(F7),ABS(E7)+F7&lt;=0.1,ISNUMBER(G7),ISNUMBER(H7),ABS(G7)+H7&lt;=0.1,ISNUMBER(I7),ISNUMBER(J7),ABS(I7)+J7&lt;=0.025,ISNUMBER(K7),ISNUMBER(L7),ABS(K7)+L7&lt;=0.025,ISNUMBER(M7),M7=0,ISNUMBER(N7),N7=0,O7&gt;='Controls'!$D$40,P7&gt;='Controls'!$D$41,Q7&lt;&gt;""),"PASS","FAIL")))</x:f>
        <x:v>OPEN</x:v>
      </x:c>
    </x:row>
    <x:row r="8">
      <x:c r="B8" s="28" t="str">
        <x:v>AT-02</x:v>
      </x:c>
      <x:c r="C8" s="28" t="str">
        <x:v>PRIMARY</x:v>
      </x:c>
      <x:c r="D8" s="28" t="str">
        <x:f>INDEX('Attempt Tokens'!$E$7:$E$36,MATCH(B8,'Attempt Tokens'!$B$7:$B$36,0))</x:f>
      </x:c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29" t="str"/>
      <x:c r="R8" s="29" t="str"/>
      <x:c r="S8" s="28" t="str">
        <x:f>IF(AND(C8="RESERVE",D8=""),"DORMANT",IF(R8="","OPEN",IF(AND(ISNUMBER(E8),ISNUMBER(F8),ABS(E8)+F8&lt;=0.1,ISNUMBER(G8),ISNUMBER(H8),ABS(G8)+H8&lt;=0.1,ISNUMBER(I8),ISNUMBER(J8),ABS(I8)+J8&lt;=0.025,ISNUMBER(K8),ISNUMBER(L8),ABS(K8)+L8&lt;=0.025,ISNUMBER(M8),M8=0,ISNUMBER(N8),N8=0,O8&gt;='Controls'!$D$40,P8&gt;='Controls'!$D$41,Q8&lt;&gt;""),"PASS","FAIL")))</x:f>
        <x:v>OPEN</x:v>
      </x:c>
    </x:row>
    <x:row r="9">
      <x:c r="B9" s="28" t="str">
        <x:v>AT-03</x:v>
      </x:c>
      <x:c r="C9" s="28" t="str">
        <x:v>PRIMARY</x:v>
      </x:c>
      <x:c r="D9" s="28" t="str">
        <x:f>INDEX('Attempt Tokens'!$E$7:$E$36,MATCH(B9,'Attempt Tokens'!$B$7:$B$36,0))</x:f>
      </x:c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29" t="str"/>
      <x:c r="R9" s="29" t="str"/>
      <x:c r="S9" s="28" t="str">
        <x:f>IF(AND(C9="RESERVE",D9=""),"DORMANT",IF(R9="","OPEN",IF(AND(ISNUMBER(E9),ISNUMBER(F9),ABS(E9)+F9&lt;=0.1,ISNUMBER(G9),ISNUMBER(H9),ABS(G9)+H9&lt;=0.1,ISNUMBER(I9),ISNUMBER(J9),ABS(I9)+J9&lt;=0.025,ISNUMBER(K9),ISNUMBER(L9),ABS(K9)+L9&lt;=0.025,ISNUMBER(M9),M9=0,ISNUMBER(N9),N9=0,O9&gt;='Controls'!$D$40,P9&gt;='Controls'!$D$41,Q9&lt;&gt;""),"PASS","FAIL")))</x:f>
        <x:v>OPEN</x:v>
      </x:c>
    </x:row>
    <x:row r="10">
      <x:c r="B10" s="28" t="str">
        <x:v>AT-04</x:v>
      </x:c>
      <x:c r="C10" s="28" t="str">
        <x:v>PRIMARY</x:v>
      </x:c>
      <x:c r="D10" s="28" t="str">
        <x:f>INDEX('Attempt Tokens'!$E$7:$E$36,MATCH(B10,'Attempt Tokens'!$B$7:$B$36,0))</x:f>
      </x:c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29" t="str"/>
      <x:c r="R10" s="29" t="str"/>
      <x:c r="S10" s="28" t="str">
        <x:f>IF(AND(C10="RESERVE",D10=""),"DORMANT",IF(R10="","OPEN",IF(AND(ISNUMBER(E10),ISNUMBER(F10),ABS(E10)+F10&lt;=0.1,ISNUMBER(G10),ISNUMBER(H10),ABS(G10)+H10&lt;=0.1,ISNUMBER(I10),ISNUMBER(J10),ABS(I10)+J10&lt;=0.025,ISNUMBER(K10),ISNUMBER(L10),ABS(K10)+L10&lt;=0.025,ISNUMBER(M10),M10=0,ISNUMBER(N10),N10=0,O10&gt;='Controls'!$D$40,P10&gt;='Controls'!$D$41,Q10&lt;&gt;""),"PASS","FAIL")))</x:f>
        <x:v>OPEN</x:v>
      </x:c>
    </x:row>
    <x:row r="11">
      <x:c r="B11" s="28" t="str">
        <x:v>AT-05</x:v>
      </x:c>
      <x:c r="C11" s="28" t="str">
        <x:v>PRIMARY</x:v>
      </x:c>
      <x:c r="D11" s="28" t="str">
        <x:f>INDEX('Attempt Tokens'!$E$7:$E$36,MATCH(B11,'Attempt Tokens'!$B$7:$B$36,0))</x:f>
      </x:c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29" t="str"/>
      <x:c r="R11" s="29" t="str"/>
      <x:c r="S11" s="28" t="str">
        <x:f>IF(AND(C11="RESERVE",D11=""),"DORMANT",IF(R11="","OPEN",IF(AND(ISNUMBER(E11),ISNUMBER(F11),ABS(E11)+F11&lt;=0.1,ISNUMBER(G11),ISNUMBER(H11),ABS(G11)+H11&lt;=0.1,ISNUMBER(I11),ISNUMBER(J11),ABS(I11)+J11&lt;=0.025,ISNUMBER(K11),ISNUMBER(L11),ABS(K11)+L11&lt;=0.025,ISNUMBER(M11),M11=0,ISNUMBER(N11),N11=0,O11&gt;='Controls'!$D$40,P11&gt;='Controls'!$D$41,Q11&lt;&gt;""),"PASS","FAIL")))</x:f>
        <x:v>OPEN</x:v>
      </x:c>
    </x:row>
    <x:row r="12">
      <x:c r="B12" s="28" t="str">
        <x:v>AT-06</x:v>
      </x:c>
      <x:c r="C12" s="28" t="str">
        <x:v>PRIMARY</x:v>
      </x:c>
      <x:c r="D12" s="28" t="str">
        <x:f>INDEX('Attempt Tokens'!$E$7:$E$36,MATCH(B12,'Attempt Tokens'!$B$7:$B$36,0))</x:f>
      </x:c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29" t="str"/>
      <x:c r="R12" s="29" t="str"/>
      <x:c r="S12" s="28" t="str">
        <x:f>IF(AND(C12="RESERVE",D12=""),"DORMANT",IF(R12="","OPEN",IF(AND(ISNUMBER(E12),ISNUMBER(F12),ABS(E12)+F12&lt;=0.1,ISNUMBER(G12),ISNUMBER(H12),ABS(G12)+H12&lt;=0.1,ISNUMBER(I12),ISNUMBER(J12),ABS(I12)+J12&lt;=0.025,ISNUMBER(K12),ISNUMBER(L12),ABS(K12)+L12&lt;=0.025,ISNUMBER(M12),M12=0,ISNUMBER(N12),N12=0,O12&gt;='Controls'!$D$40,P12&gt;='Controls'!$D$41,Q12&lt;&gt;""),"PASS","FAIL")))</x:f>
        <x:v>OPEN</x:v>
      </x:c>
    </x:row>
    <x:row r="13">
      <x:c r="B13" s="28" t="str">
        <x:v>AT-07</x:v>
      </x:c>
      <x:c r="C13" s="28" t="str">
        <x:v>PRIMARY</x:v>
      </x:c>
      <x:c r="D13" s="28" t="str">
        <x:f>INDEX('Attempt Tokens'!$E$7:$E$36,MATCH(B13,'Attempt Tokens'!$B$7:$B$36,0))</x:f>
      </x:c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29" t="str"/>
      <x:c r="R13" s="29" t="str"/>
      <x:c r="S13" s="28" t="str">
        <x:f>IF(AND(C13="RESERVE",D13=""),"DORMANT",IF(R13="","OPEN",IF(AND(ISNUMBER(E13),ISNUMBER(F13),ABS(E13)+F13&lt;=0.1,ISNUMBER(G13),ISNUMBER(H13),ABS(G13)+H13&lt;=0.1,ISNUMBER(I13),ISNUMBER(J13),ABS(I13)+J13&lt;=0.025,ISNUMBER(K13),ISNUMBER(L13),ABS(K13)+L13&lt;=0.025,ISNUMBER(M13),M13=0,ISNUMBER(N13),N13=0,O13&gt;='Controls'!$D$40,P13&gt;='Controls'!$D$41,Q13&lt;&gt;""),"PASS","FAIL")))</x:f>
        <x:v>OPEN</x:v>
      </x:c>
    </x:row>
    <x:row r="14">
      <x:c r="B14" s="28" t="str">
        <x:v>AT-08</x:v>
      </x:c>
      <x:c r="C14" s="28" t="str">
        <x:v>PRIMARY</x:v>
      </x:c>
      <x:c r="D14" s="28" t="str">
        <x:f>INDEX('Attempt Tokens'!$E$7:$E$36,MATCH(B14,'Attempt Tokens'!$B$7:$B$36,0))</x:f>
      </x:c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29" t="str"/>
      <x:c r="R14" s="29" t="str"/>
      <x:c r="S14" s="28" t="str">
        <x:f>IF(AND(C14="RESERVE",D14=""),"DORMANT",IF(R14="","OPEN",IF(AND(ISNUMBER(E14),ISNUMBER(F14),ABS(E14)+F14&lt;=0.1,ISNUMBER(G14),ISNUMBER(H14),ABS(G14)+H14&lt;=0.1,ISNUMBER(I14),ISNUMBER(J14),ABS(I14)+J14&lt;=0.025,ISNUMBER(K14),ISNUMBER(L14),ABS(K14)+L14&lt;=0.025,ISNUMBER(M14),M14=0,ISNUMBER(N14),N14=0,O14&gt;='Controls'!$D$40,P14&gt;='Controls'!$D$41,Q14&lt;&gt;""),"PASS","FAIL")))</x:f>
        <x:v>OPEN</x:v>
      </x:c>
    </x:row>
    <x:row r="15">
      <x:c r="B15" s="28" t="str">
        <x:v>AT-09</x:v>
      </x:c>
      <x:c r="C15" s="28" t="str">
        <x:v>PRIMARY</x:v>
      </x:c>
      <x:c r="D15" s="28" t="str">
        <x:f>INDEX('Attempt Tokens'!$E$7:$E$36,MATCH(B15,'Attempt Tokens'!$B$7:$B$36,0))</x:f>
      </x:c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29" t="str"/>
      <x:c r="R15" s="29" t="str"/>
      <x:c r="S15" s="28" t="str">
        <x:f>IF(AND(C15="RESERVE",D15=""),"DORMANT",IF(R15="","OPEN",IF(AND(ISNUMBER(E15),ISNUMBER(F15),ABS(E15)+F15&lt;=0.1,ISNUMBER(G15),ISNUMBER(H15),ABS(G15)+H15&lt;=0.1,ISNUMBER(I15),ISNUMBER(J15),ABS(I15)+J15&lt;=0.025,ISNUMBER(K15),ISNUMBER(L15),ABS(K15)+L15&lt;=0.025,ISNUMBER(M15),M15=0,ISNUMBER(N15),N15=0,O15&gt;='Controls'!$D$40,P15&gt;='Controls'!$D$41,Q15&lt;&gt;""),"PASS","FAIL")))</x:f>
        <x:v>OPEN</x:v>
      </x:c>
    </x:row>
    <x:row r="16">
      <x:c r="B16" s="28" t="str">
        <x:v>AT-10</x:v>
      </x:c>
      <x:c r="C16" s="28" t="str">
        <x:v>PRIMARY</x:v>
      </x:c>
      <x:c r="D16" s="28" t="str">
        <x:f>INDEX('Attempt Tokens'!$E$7:$E$36,MATCH(B16,'Attempt Tokens'!$B$7:$B$36,0))</x:f>
      </x:c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29" t="str"/>
      <x:c r="R16" s="29" t="str"/>
      <x:c r="S16" s="28" t="str">
        <x:f>IF(AND(C16="RESERVE",D16=""),"DORMANT",IF(R16="","OPEN",IF(AND(ISNUMBER(E16),ISNUMBER(F16),ABS(E16)+F16&lt;=0.1,ISNUMBER(G16),ISNUMBER(H16),ABS(G16)+H16&lt;=0.1,ISNUMBER(I16),ISNUMBER(J16),ABS(I16)+J16&lt;=0.025,ISNUMBER(K16),ISNUMBER(L16),ABS(K16)+L16&lt;=0.025,ISNUMBER(M16),M16=0,ISNUMBER(N16),N16=0,O16&gt;='Controls'!$D$40,P16&gt;='Controls'!$D$41,Q16&lt;&gt;""),"PASS","FAIL")))</x:f>
        <x:v>OPEN</x:v>
      </x:c>
    </x:row>
    <x:row r="17">
      <x:c r="B17" s="28" t="str">
        <x:v>AT-11</x:v>
      </x:c>
      <x:c r="C17" s="28" t="str">
        <x:v>PRIMARY</x:v>
      </x:c>
      <x:c r="D17" s="28" t="str">
        <x:f>INDEX('Attempt Tokens'!$E$7:$E$36,MATCH(B17,'Attempt Tokens'!$B$7:$B$36,0))</x:f>
      </x:c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29" t="str"/>
      <x:c r="R17" s="29" t="str"/>
      <x:c r="S17" s="28" t="str">
        <x:f>IF(AND(C17="RESERVE",D17=""),"DORMANT",IF(R17="","OPEN",IF(AND(ISNUMBER(E17),ISNUMBER(F17),ABS(E17)+F17&lt;=0.1,ISNUMBER(G17),ISNUMBER(H17),ABS(G17)+H17&lt;=0.1,ISNUMBER(I17),ISNUMBER(J17),ABS(I17)+J17&lt;=0.025,ISNUMBER(K17),ISNUMBER(L17),ABS(K17)+L17&lt;=0.025,ISNUMBER(M17),M17=0,ISNUMBER(N17),N17=0,O17&gt;='Controls'!$D$40,P17&gt;='Controls'!$D$41,Q17&lt;&gt;""),"PASS","FAIL")))</x:f>
        <x:v>OPEN</x:v>
      </x:c>
    </x:row>
    <x:row r="18">
      <x:c r="B18" s="28" t="str">
        <x:v>AT-12</x:v>
      </x:c>
      <x:c r="C18" s="28" t="str">
        <x:v>PRIMARY</x:v>
      </x:c>
      <x:c r="D18" s="28" t="str">
        <x:f>INDEX('Attempt Tokens'!$E$7:$E$36,MATCH(B18,'Attempt Tokens'!$B$7:$B$36,0))</x:f>
      </x:c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29" t="str"/>
      <x:c r="R18" s="29" t="str"/>
      <x:c r="S18" s="28" t="str">
        <x:f>IF(AND(C18="RESERVE",D18=""),"DORMANT",IF(R18="","OPEN",IF(AND(ISNUMBER(E18),ISNUMBER(F18),ABS(E18)+F18&lt;=0.1,ISNUMBER(G18),ISNUMBER(H18),ABS(G18)+H18&lt;=0.1,ISNUMBER(I18),ISNUMBER(J18),ABS(I18)+J18&lt;=0.025,ISNUMBER(K18),ISNUMBER(L18),ABS(K18)+L18&lt;=0.025,ISNUMBER(M18),M18=0,ISNUMBER(N18),N18=0,O18&gt;='Controls'!$D$40,P18&gt;='Controls'!$D$41,Q18&lt;&gt;""),"PASS","FAIL")))</x:f>
        <x:v>OPEN</x:v>
      </x:c>
    </x:row>
    <x:row r="19">
      <x:c r="B19" s="28" t="str">
        <x:v>AT-13</x:v>
      </x:c>
      <x:c r="C19" s="28" t="str">
        <x:v>PRIMARY</x:v>
      </x:c>
      <x:c r="D19" s="28" t="str">
        <x:f>INDEX('Attempt Tokens'!$E$7:$E$36,MATCH(B19,'Attempt Tokens'!$B$7:$B$36,0))</x:f>
      </x:c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29" t="str"/>
      <x:c r="R19" s="29" t="str"/>
      <x:c r="S19" s="28" t="str">
        <x:f>IF(AND(C19="RESERVE",D19=""),"DORMANT",IF(R19="","OPEN",IF(AND(ISNUMBER(E19),ISNUMBER(F19),ABS(E19)+F19&lt;=0.1,ISNUMBER(G19),ISNUMBER(H19),ABS(G19)+H19&lt;=0.1,ISNUMBER(I19),ISNUMBER(J19),ABS(I19)+J19&lt;=0.025,ISNUMBER(K19),ISNUMBER(L19),ABS(K19)+L19&lt;=0.025,ISNUMBER(M19),M19=0,ISNUMBER(N19),N19=0,O19&gt;='Controls'!$D$40,P19&gt;='Controls'!$D$41,Q19&lt;&gt;""),"PASS","FAIL")))</x:f>
        <x:v>OPEN</x:v>
      </x:c>
    </x:row>
    <x:row r="20">
      <x:c r="B20" s="28" t="str">
        <x:v>AT-14</x:v>
      </x:c>
      <x:c r="C20" s="28" t="str">
        <x:v>PRIMARY</x:v>
      </x:c>
      <x:c r="D20" s="28" t="str">
        <x:f>INDEX('Attempt Tokens'!$E$7:$E$36,MATCH(B20,'Attempt Tokens'!$B$7:$B$36,0))</x:f>
      </x:c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str"/>
      <x:c r="Q20" s="29" t="str"/>
      <x:c r="R20" s="29" t="str"/>
      <x:c r="S20" s="28" t="str">
        <x:f>IF(AND(C20="RESERVE",D20=""),"DORMANT",IF(R20="","OPEN",IF(AND(ISNUMBER(E20),ISNUMBER(F20),ABS(E20)+F20&lt;=0.1,ISNUMBER(G20),ISNUMBER(H20),ABS(G20)+H20&lt;=0.1,ISNUMBER(I20),ISNUMBER(J20),ABS(I20)+J20&lt;=0.025,ISNUMBER(K20),ISNUMBER(L20),ABS(K20)+L20&lt;=0.025,ISNUMBER(M20),M20=0,ISNUMBER(N20),N20=0,O20&gt;='Controls'!$D$40,P20&gt;='Controls'!$D$41,Q20&lt;&gt;""),"PASS","FAIL")))</x:f>
        <x:v>OPEN</x:v>
      </x:c>
    </x:row>
    <x:row r="21">
      <x:c r="B21" s="28" t="str">
        <x:v>AT-15</x:v>
      </x:c>
      <x:c r="C21" s="28" t="str">
        <x:v>PRIMARY</x:v>
      </x:c>
      <x:c r="D21" s="28" t="str">
        <x:f>INDEX('Attempt Tokens'!$E$7:$E$36,MATCH(B21,'Attempt Tokens'!$B$7:$B$36,0))</x:f>
      </x:c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29" t="str"/>
      <x:c r="R21" s="29" t="str"/>
      <x:c r="S21" s="28" t="str">
        <x:f>IF(AND(C21="RESERVE",D21=""),"DORMANT",IF(R21="","OPEN",IF(AND(ISNUMBER(E21),ISNUMBER(F21),ABS(E21)+F21&lt;=0.1,ISNUMBER(G21),ISNUMBER(H21),ABS(G21)+H21&lt;=0.1,ISNUMBER(I21),ISNUMBER(J21),ABS(I21)+J21&lt;=0.025,ISNUMBER(K21),ISNUMBER(L21),ABS(K21)+L21&lt;=0.025,ISNUMBER(M21),M21=0,ISNUMBER(N21),N21=0,O21&gt;='Controls'!$D$40,P21&gt;='Controls'!$D$41,Q21&lt;&gt;""),"PASS","FAIL")))</x:f>
        <x:v>OPEN</x:v>
      </x:c>
    </x:row>
    <x:row r="22">
      <x:c r="B22" s="28" t="str">
        <x:v>AT-16</x:v>
      </x:c>
      <x:c r="C22" s="28" t="str">
        <x:v>PRIMARY</x:v>
      </x:c>
      <x:c r="D22" s="28" t="str">
        <x:f>INDEX('Attempt Tokens'!$E$7:$E$36,MATCH(B22,'Attempt Tokens'!$B$7:$B$36,0))</x:f>
      </x:c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str"/>
      <x:c r="Q22" s="29" t="str"/>
      <x:c r="R22" s="29" t="str"/>
      <x:c r="S22" s="28" t="str">
        <x:f>IF(AND(C22="RESERVE",D22=""),"DORMANT",IF(R22="","OPEN",IF(AND(ISNUMBER(E22),ISNUMBER(F22),ABS(E22)+F22&lt;=0.1,ISNUMBER(G22),ISNUMBER(H22),ABS(G22)+H22&lt;=0.1,ISNUMBER(I22),ISNUMBER(J22),ABS(I22)+J22&lt;=0.025,ISNUMBER(K22),ISNUMBER(L22),ABS(K22)+L22&lt;=0.025,ISNUMBER(M22),M22=0,ISNUMBER(N22),N22=0,O22&gt;='Controls'!$D$40,P22&gt;='Controls'!$D$41,Q22&lt;&gt;""),"PASS","FAIL")))</x:f>
        <x:v>OPEN</x:v>
      </x:c>
    </x:row>
    <x:row r="23">
      <x:c r="B23" s="28" t="str">
        <x:v>AT-17</x:v>
      </x:c>
      <x:c r="C23" s="28" t="str">
        <x:v>PRIMARY</x:v>
      </x:c>
      <x:c r="D23" s="28" t="str">
        <x:f>INDEX('Attempt Tokens'!$E$7:$E$36,MATCH(B23,'Attempt Tokens'!$B$7:$B$36,0))</x:f>
      </x:c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29" t="str"/>
      <x:c r="R23" s="29" t="str"/>
      <x:c r="S23" s="28" t="str">
        <x:f>IF(AND(C23="RESERVE",D23=""),"DORMANT",IF(R23="","OPEN",IF(AND(ISNUMBER(E23),ISNUMBER(F23),ABS(E23)+F23&lt;=0.1,ISNUMBER(G23),ISNUMBER(H23),ABS(G23)+H23&lt;=0.1,ISNUMBER(I23),ISNUMBER(J23),ABS(I23)+J23&lt;=0.025,ISNUMBER(K23),ISNUMBER(L23),ABS(K23)+L23&lt;=0.025,ISNUMBER(M23),M23=0,ISNUMBER(N23),N23=0,O23&gt;='Controls'!$D$40,P23&gt;='Controls'!$D$41,Q23&lt;&gt;""),"PASS","FAIL")))</x:f>
        <x:v>OPEN</x:v>
      </x:c>
    </x:row>
    <x:row r="24">
      <x:c r="B24" s="28" t="str">
        <x:v>AT-18</x:v>
      </x:c>
      <x:c r="C24" s="28" t="str">
        <x:v>PRIMARY</x:v>
      </x:c>
      <x:c r="D24" s="28" t="str">
        <x:f>INDEX('Attempt Tokens'!$E$7:$E$36,MATCH(B24,'Attempt Tokens'!$B$7:$B$36,0))</x:f>
      </x:c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str"/>
      <x:c r="Q24" s="29" t="str"/>
      <x:c r="R24" s="29" t="str"/>
      <x:c r="S24" s="28" t="str">
        <x:f>IF(AND(C24="RESERVE",D24=""),"DORMANT",IF(R24="","OPEN",IF(AND(ISNUMBER(E24),ISNUMBER(F24),ABS(E24)+F24&lt;=0.1,ISNUMBER(G24),ISNUMBER(H24),ABS(G24)+H24&lt;=0.1,ISNUMBER(I24),ISNUMBER(J24),ABS(I24)+J24&lt;=0.025,ISNUMBER(K24),ISNUMBER(L24),ABS(K24)+L24&lt;=0.025,ISNUMBER(M24),M24=0,ISNUMBER(N24),N24=0,O24&gt;='Controls'!$D$40,P24&gt;='Controls'!$D$41,Q24&lt;&gt;""),"PASS","FAIL")))</x:f>
        <x:v>OPEN</x:v>
      </x:c>
    </x:row>
    <x:row r="25">
      <x:c r="B25" s="28" t="str">
        <x:v>AT-19</x:v>
      </x:c>
      <x:c r="C25" s="28" t="str">
        <x:v>PRIMARY</x:v>
      </x:c>
      <x:c r="D25" s="28" t="str">
        <x:f>INDEX('Attempt Tokens'!$E$7:$E$36,MATCH(B25,'Attempt Tokens'!$B$7:$B$36,0))</x:f>
      </x:c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str"/>
      <x:c r="Q25" s="29" t="str"/>
      <x:c r="R25" s="29" t="str"/>
      <x:c r="S25" s="28" t="str">
        <x:f>IF(AND(C25="RESERVE",D25=""),"DORMANT",IF(R25="","OPEN",IF(AND(ISNUMBER(E25),ISNUMBER(F25),ABS(E25)+F25&lt;=0.1,ISNUMBER(G25),ISNUMBER(H25),ABS(G25)+H25&lt;=0.1,ISNUMBER(I25),ISNUMBER(J25),ABS(I25)+J25&lt;=0.025,ISNUMBER(K25),ISNUMBER(L25),ABS(K25)+L25&lt;=0.025,ISNUMBER(M25),M25=0,ISNUMBER(N25),N25=0,O25&gt;='Controls'!$D$40,P25&gt;='Controls'!$D$41,Q25&lt;&gt;""),"PASS","FAIL")))</x:f>
        <x:v>OPEN</x:v>
      </x:c>
    </x:row>
    <x:row r="26">
      <x:c r="B26" s="28" t="str">
        <x:v>AT-20</x:v>
      </x:c>
      <x:c r="C26" s="28" t="str">
        <x:v>PRIMARY</x:v>
      </x:c>
      <x:c r="D26" s="28" t="str">
        <x:f>INDEX('Attempt Tokens'!$E$7:$E$36,MATCH(B26,'Attempt Tokens'!$B$7:$B$36,0))</x:f>
      </x:c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str"/>
      <x:c r="Q26" s="29" t="str"/>
      <x:c r="R26" s="29" t="str"/>
      <x:c r="S26" s="28" t="str">
        <x:f>IF(AND(C26="RESERVE",D26=""),"DORMANT",IF(R26="","OPEN",IF(AND(ISNUMBER(E26),ISNUMBER(F26),ABS(E26)+F26&lt;=0.1,ISNUMBER(G26),ISNUMBER(H26),ABS(G26)+H26&lt;=0.1,ISNUMBER(I26),ISNUMBER(J26),ABS(I26)+J26&lt;=0.025,ISNUMBER(K26),ISNUMBER(L26),ABS(K26)+L26&lt;=0.025,ISNUMBER(M26),M26=0,ISNUMBER(N26),N26=0,O26&gt;='Controls'!$D$40,P26&gt;='Controls'!$D$41,Q26&lt;&gt;""),"PASS","FAIL")))</x:f>
        <x:v>OPEN</x:v>
      </x:c>
    </x:row>
    <x:row r="27">
      <x:c r="B27" s="28" t="str">
        <x:v>AT-21</x:v>
      </x:c>
      <x:c r="C27" s="28" t="str">
        <x:v>PRIMARY</x:v>
      </x:c>
      <x:c r="D27" s="28" t="str">
        <x:f>INDEX('Attempt Tokens'!$E$7:$E$36,MATCH(B27,'Attempt Tokens'!$B$7:$B$36,0))</x:f>
      </x:c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str"/>
      <x:c r="Q27" s="29" t="str"/>
      <x:c r="R27" s="29" t="str"/>
      <x:c r="S27" s="28" t="str">
        <x:f>IF(AND(C27="RESERVE",D27=""),"DORMANT",IF(R27="","OPEN",IF(AND(ISNUMBER(E27),ISNUMBER(F27),ABS(E27)+F27&lt;=0.1,ISNUMBER(G27),ISNUMBER(H27),ABS(G27)+H27&lt;=0.1,ISNUMBER(I27),ISNUMBER(J27),ABS(I27)+J27&lt;=0.025,ISNUMBER(K27),ISNUMBER(L27),ABS(K27)+L27&lt;=0.025,ISNUMBER(M27),M27=0,ISNUMBER(N27),N27=0,O27&gt;='Controls'!$D$40,P27&gt;='Controls'!$D$41,Q27&lt;&gt;""),"PASS","FAIL")))</x:f>
        <x:v>OPEN</x:v>
      </x:c>
    </x:row>
    <x:row r="28">
      <x:c r="B28" s="28" t="str">
        <x:v>AT-22</x:v>
      </x:c>
      <x:c r="C28" s="28" t="str">
        <x:v>PRIMARY</x:v>
      </x:c>
      <x:c r="D28" s="28" t="str">
        <x:f>INDEX('Attempt Tokens'!$E$7:$E$36,MATCH(B28,'Attempt Tokens'!$B$7:$B$36,0))</x:f>
      </x:c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str"/>
      <x:c r="Q28" s="29" t="str"/>
      <x:c r="R28" s="29" t="str"/>
      <x:c r="S28" s="28" t="str">
        <x:f>IF(AND(C28="RESERVE",D28=""),"DORMANT",IF(R28="","OPEN",IF(AND(ISNUMBER(E28),ISNUMBER(F28),ABS(E28)+F28&lt;=0.1,ISNUMBER(G28),ISNUMBER(H28),ABS(G28)+H28&lt;=0.1,ISNUMBER(I28),ISNUMBER(J28),ABS(I28)+J28&lt;=0.025,ISNUMBER(K28),ISNUMBER(L28),ABS(K28)+L28&lt;=0.025,ISNUMBER(M28),M28=0,ISNUMBER(N28),N28=0,O28&gt;='Controls'!$D$40,P28&gt;='Controls'!$D$41,Q28&lt;&gt;""),"PASS","FAIL")))</x:f>
        <x:v>OPEN</x:v>
      </x:c>
    </x:row>
    <x:row r="29">
      <x:c r="B29" s="28" t="str">
        <x:v>AT-23</x:v>
      </x:c>
      <x:c r="C29" s="28" t="str">
        <x:v>PRIMARY</x:v>
      </x:c>
      <x:c r="D29" s="28" t="str">
        <x:f>INDEX('Attempt Tokens'!$E$7:$E$36,MATCH(B29,'Attempt Tokens'!$B$7:$B$36,0))</x:f>
      </x:c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str"/>
      <x:c r="Q29" s="29" t="str"/>
      <x:c r="R29" s="29" t="str"/>
      <x:c r="S29" s="28" t="str">
        <x:f>IF(AND(C29="RESERVE",D29=""),"DORMANT",IF(R29="","OPEN",IF(AND(ISNUMBER(E29),ISNUMBER(F29),ABS(E29)+F29&lt;=0.1,ISNUMBER(G29),ISNUMBER(H29),ABS(G29)+H29&lt;=0.1,ISNUMBER(I29),ISNUMBER(J29),ABS(I29)+J29&lt;=0.025,ISNUMBER(K29),ISNUMBER(L29),ABS(K29)+L29&lt;=0.025,ISNUMBER(M29),M29=0,ISNUMBER(N29),N29=0,O29&gt;='Controls'!$D$40,P29&gt;='Controls'!$D$41,Q29&lt;&gt;""),"PASS","FAIL")))</x:f>
        <x:v>OPEN</x:v>
      </x:c>
    </x:row>
    <x:row r="30">
      <x:c r="B30" s="28" t="str">
        <x:v>AT-24</x:v>
      </x:c>
      <x:c r="C30" s="28" t="str">
        <x:v>PRIMARY</x:v>
      </x:c>
      <x:c r="D30" s="28" t="n">
        <x:f>INDEX('Attempt Tokens'!$E$7:$E$36,MATCH(B30,'Attempt Tokens'!$B$7:$B$36,0))</x:f>
        <x:v>0</x:v>
      </x:c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str"/>
      <x:c r="Q30" s="29" t="str"/>
      <x:c r="R30" s="29" t="str"/>
      <x:c r="S30" s="28" t="str">
        <x:f>IF(AND(C30="RESERVE",D30=""),"DORMANT",IF(R30="","OPEN",IF(AND(ISNUMBER(E30),ISNUMBER(F30),ABS(E30)+F30&lt;=0.1,ISNUMBER(G30),ISNUMBER(H30),ABS(G30)+H30&lt;=0.1,ISNUMBER(I30),ISNUMBER(J30),ABS(I30)+J30&lt;=0.025,ISNUMBER(K30),ISNUMBER(L30),ABS(K30)+L30&lt;=0.025,ISNUMBER(M30),M30=0,ISNUMBER(N30),N30=0,O30&gt;='Controls'!$D$40,P30&gt;='Controls'!$D$41,Q30&lt;&gt;""),"PASS","FAIL")))</x:f>
        <x:v>OPEN</x:v>
      </x:c>
    </x:row>
    <x:row r="31">
      <x:c r="B31" s="28" t="str">
        <x:v>AT-25</x:v>
      </x:c>
      <x:c r="C31" s="28" t="str">
        <x:v>RESERVE</x:v>
      </x:c>
      <x:c r="D31" s="28" t="str">
        <x:f>INDEX('Attempt Tokens'!$E$7:$E$36,MATCH(B31,'Attempt Tokens'!$B$7:$B$36,0))</x:f>
      </x:c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str"/>
      <x:c r="Q31" s="29" t="str"/>
      <x:c r="R31" s="29" t="str"/>
      <x:c r="S31" s="28" t="str">
        <x:f>IF(AND(C31="RESERVE",D31=""),"DORMANT",IF(R31="","OPEN",IF(AND(ISNUMBER(E31),ISNUMBER(F31),ABS(E31)+F31&lt;=0.1,ISNUMBER(G31),ISNUMBER(H31),ABS(G31)+H31&lt;=0.1,ISNUMBER(I31),ISNUMBER(J31),ABS(I31)+J31&lt;=0.025,ISNUMBER(K31),ISNUMBER(L31),ABS(K31)+L31&lt;=0.025,ISNUMBER(M31),M31=0,ISNUMBER(N31),N31=0,O31&gt;='Controls'!$D$40,P31&gt;='Controls'!$D$41,Q31&lt;&gt;""),"PASS","FAIL")))</x:f>
        <x:v>DORMANT</x:v>
      </x:c>
    </x:row>
    <x:row r="32">
      <x:c r="B32" s="28" t="str">
        <x:v>AT-26</x:v>
      </x:c>
      <x:c r="C32" s="28" t="str">
        <x:v>RESERVE</x:v>
      </x:c>
      <x:c r="D32" s="28" t="str">
        <x:f>INDEX('Attempt Tokens'!$E$7:$E$36,MATCH(B32,'Attempt Tokens'!$B$7:$B$36,0))</x:f>
      </x:c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str"/>
      <x:c r="Q32" s="29" t="str"/>
      <x:c r="R32" s="29" t="str"/>
      <x:c r="S32" s="28" t="str">
        <x:f>IF(AND(C32="RESERVE",D32=""),"DORMANT",IF(R32="","OPEN",IF(AND(ISNUMBER(E32),ISNUMBER(F32),ABS(E32)+F32&lt;=0.1,ISNUMBER(G32),ISNUMBER(H32),ABS(G32)+H32&lt;=0.1,ISNUMBER(I32),ISNUMBER(J32),ABS(I32)+J32&lt;=0.025,ISNUMBER(K32),ISNUMBER(L32),ABS(K32)+L32&lt;=0.025,ISNUMBER(M32),M32=0,ISNUMBER(N32),N32=0,O32&gt;='Controls'!$D$40,P32&gt;='Controls'!$D$41,Q32&lt;&gt;""),"PASS","FAIL")))</x:f>
        <x:v>DORMANT</x:v>
      </x:c>
    </x:row>
    <x:row r="33">
      <x:c r="B33" s="28" t="str">
        <x:v>AT-27</x:v>
      </x:c>
      <x:c r="C33" s="28" t="str">
        <x:v>RESERVE</x:v>
      </x:c>
      <x:c r="D33" s="28" t="str">
        <x:f>INDEX('Attempt Tokens'!$E$7:$E$36,MATCH(B33,'Attempt Tokens'!$B$7:$B$36,0))</x:f>
      </x:c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str"/>
      <x:c r="Q33" s="29" t="str"/>
      <x:c r="R33" s="29" t="str"/>
      <x:c r="S33" s="28" t="str">
        <x:f>IF(AND(C33="RESERVE",D33=""),"DORMANT",IF(R33="","OPEN",IF(AND(ISNUMBER(E33),ISNUMBER(F33),ABS(E33)+F33&lt;=0.1,ISNUMBER(G33),ISNUMBER(H33),ABS(G33)+H33&lt;=0.1,ISNUMBER(I33),ISNUMBER(J33),ABS(I33)+J33&lt;=0.025,ISNUMBER(K33),ISNUMBER(L33),ABS(K33)+L33&lt;=0.025,ISNUMBER(M33),M33=0,ISNUMBER(N33),N33=0,O33&gt;='Controls'!$D$40,P33&gt;='Controls'!$D$41,Q33&lt;&gt;""),"PASS","FAIL")))</x:f>
        <x:v>DORMANT</x:v>
      </x:c>
    </x:row>
    <x:row r="34">
      <x:c r="B34" s="28" t="str">
        <x:v>AT-28</x:v>
      </x:c>
      <x:c r="C34" s="28" t="str">
        <x:v>RESERVE</x:v>
      </x:c>
      <x:c r="D34" s="28" t="str">
        <x:f>INDEX('Attempt Tokens'!$E$7:$E$36,MATCH(B34,'Attempt Tokens'!$B$7:$B$36,0))</x:f>
      </x:c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str"/>
      <x:c r="Q34" s="29" t="str"/>
      <x:c r="R34" s="29" t="str"/>
      <x:c r="S34" s="28" t="str">
        <x:f>IF(AND(C34="RESERVE",D34=""),"DORMANT",IF(R34="","OPEN",IF(AND(ISNUMBER(E34),ISNUMBER(F34),ABS(E34)+F34&lt;=0.1,ISNUMBER(G34),ISNUMBER(H34),ABS(G34)+H34&lt;=0.1,ISNUMBER(I34),ISNUMBER(J34),ABS(I34)+J34&lt;=0.025,ISNUMBER(K34),ISNUMBER(L34),ABS(K34)+L34&lt;=0.025,ISNUMBER(M34),M34=0,ISNUMBER(N34),N34=0,O34&gt;='Controls'!$D$40,P34&gt;='Controls'!$D$41,Q34&lt;&gt;""),"PASS","FAIL")))</x:f>
        <x:v>DORMANT</x:v>
      </x:c>
    </x:row>
    <x:row r="35">
      <x:c r="B35" s="28" t="str">
        <x:v>AT-29</x:v>
      </x:c>
      <x:c r="C35" s="28" t="str">
        <x:v>RESERVE</x:v>
      </x:c>
      <x:c r="D35" s="28" t="str">
        <x:f>INDEX('Attempt Tokens'!$E$7:$E$36,MATCH(B35,'Attempt Tokens'!$B$7:$B$36,0))</x:f>
      </x:c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str"/>
      <x:c r="Q35" s="29" t="str"/>
      <x:c r="R35" s="29" t="str"/>
      <x:c r="S35" s="28" t="str">
        <x:f>IF(AND(C35="RESERVE",D35=""),"DORMANT",IF(R35="","OPEN",IF(AND(ISNUMBER(E35),ISNUMBER(F35),ABS(E35)+F35&lt;=0.1,ISNUMBER(G35),ISNUMBER(H35),ABS(G35)+H35&lt;=0.1,ISNUMBER(I35),ISNUMBER(J35),ABS(I35)+J35&lt;=0.025,ISNUMBER(K35),ISNUMBER(L35),ABS(K35)+L35&lt;=0.025,ISNUMBER(M35),M35=0,ISNUMBER(N35),N35=0,O35&gt;='Controls'!$D$40,P35&gt;='Controls'!$D$41,Q35&lt;&gt;""),"PASS","FAIL")))</x:f>
        <x:v>DORMANT</x:v>
      </x:c>
    </x:row>
    <x:row r="36">
      <x:c r="B36" s="28" t="str">
        <x:v>AT-30</x:v>
      </x:c>
      <x:c r="C36" s="28" t="str">
        <x:v>RESERVE</x:v>
      </x:c>
      <x:c r="D36" s="28" t="str">
        <x:f>INDEX('Attempt Tokens'!$E$7:$E$36,MATCH(B36,'Attempt Tokens'!$B$7:$B$36,0))</x:f>
      </x:c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str"/>
      <x:c r="Q36" s="29" t="str"/>
      <x:c r="R36" s="29" t="str"/>
      <x:c r="S36" s="28" t="str">
        <x:f>IF(AND(C36="RESERVE",D36=""),"DORMANT",IF(R36="","OPEN",IF(AND(ISNUMBER(E36),ISNUMBER(F36),ABS(E36)+F36&lt;=0.1,ISNUMBER(G36),ISNUMBER(H36),ABS(G36)+H36&lt;=0.1,ISNUMBER(I36),ISNUMBER(J36),ABS(I36)+J36&lt;=0.025,ISNUMBER(K36),ISNUMBER(L36),ABS(K36)+L36&lt;=0.025,ISNUMBER(M36),M36=0,ISNUMBER(N36),N36=0,O36&gt;='Controls'!$D$40,P36&gt;='Controls'!$D$41,Q36&lt;&gt;""),"PASS","FAIL")))</x:f>
        <x:v>DORMANT</x:v>
      </x:c>
    </x:row>
  </x:sheetData>
  <x:conditionalFormatting sqref="S7:S36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INVALID"/>
    <x:cfRule type="containsText" dxfId="93" priority="4" operator="containsText" text="ADVERSE"/>
    <x:cfRule type="containsText" dxfId="94" priority="5" operator="containsText" text="EXPIRED"/>
    <x:cfRule type="containsText" dxfId="95" priority="6" operator="containsText" text="OPEN"/>
    <x:cfRule type="containsText" dxfId="96" priority="7" operator="containsText" text="DORMANT"/>
    <x:cfRule type="containsText" dxfId="97" priority="8" operator="containsText" text="PASS"/>
    <x:cfRule type="containsText" dxfId="98" priority="9" operator="containsText" text="AVAILABL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17" hidden="0" customWidth="1"/>
    <x:col min="4" max="4" width="42" hidden="0" customWidth="1"/>
    <x:col min="5" max="5" width="18" hidden="0" customWidth="1"/>
    <x:col min="6" max="6" width="23" hidden="0" customWidth="1"/>
    <x:col min="7" max="7" width="34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34" hidden="0" customWidth="1"/>
    <x:col min="13" max="13" width="16" hidden="0" customWidth="1"/>
  </x:cols>
  <x:sheetData>
    <x:row r="2">
      <x:c r="B2" s="23" t="str">
        <x:v>Twenty-four readiness-consumption and renewal records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B3" s="25" t="str">
        <x:v>Every credited cell requires a distinct pre-event baseline and a new post-event baseline. Reuse never copies the old credential across T0.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 ht="24" customHeight="1">
      <x:c r="B6" s="6" t="str">
        <x:v>Cycle</x:v>
      </x:c>
      <x:c r="C6" s="6" t="str">
        <x:v>Credit token</x:v>
      </x:c>
      <x:c r="D6" s="6" t="str">
        <x:v>Cell</x:v>
      </x:c>
      <x:c r="E6" s="6" t="str">
        <x:v>Pair</x:v>
      </x:c>
      <x:c r="F6" s="6" t="str">
        <x:v>Required prior state</x:v>
      </x:c>
      <x:c r="G6" s="6" t="str">
        <x:v>Prior baseline</x:v>
      </x:c>
      <x:c r="H6" s="6" t="str">
        <x:v>Issue state</x:v>
      </x:c>
      <x:c r="I6" s="6" t="str">
        <x:v>Safe state</x:v>
      </x:c>
      <x:c r="J6" s="6" t="str">
        <x:v>Regeneration state</x:v>
      </x:c>
      <x:c r="K6" s="6" t="str">
        <x:v>Reentry state</x:v>
      </x:c>
      <x:c r="L6" s="6" t="str">
        <x:v>New baseline</x:v>
      </x:c>
      <x:c r="M6" s="6" t="str">
        <x:v>State</x:v>
      </x:c>
    </x:row>
    <x:row r="7">
      <x:c r="B7" s="28" t="str">
        <x:v>PC-01</x:v>
      </x:c>
      <x:c r="C7" s="28" t="str">
        <x:f>IF(D7="","",INDEX('Cell Credits'!$J$7:$J$30,MATCH(D7,'Cell Credits'!$B$7:$B$30,0)))</x:f>
      </x:c>
      <x:c r="D7" s="28" t="str">
        <x:f>'Wave Schedule'!K7</x:f>
      </x:c>
      <x:c r="E7" s="28" t="str">
        <x:f>'Wave Schedule'!H7</x:f>
      </x:c>
      <x:c r="F7" s="28" t="str">
        <x:v>AVAILABLE</x:v>
      </x:c>
      <x:c r="G7" s="29" t="str"/>
      <x:c r="H7" s="29" t="str"/>
      <x:c r="I7" s="29" t="str"/>
      <x:c r="J7" s="29" t="str"/>
      <x:c r="K7" s="29" t="str"/>
      <x:c r="L7" s="29" t="str"/>
      <x:c r="M7" s="28" t="str">
        <x:f>IF(L7="","OPEN",IF(AND(D7&lt;&gt;"",G7&lt;&gt;"",G7&lt;&gt;L7,H7="PASS",I7="PASS",J7="PASS",K7="PASS"),"PASS","FAIL"))</x:f>
        <x:v>OPEN</x:v>
      </x:c>
    </x:row>
    <x:row r="8">
      <x:c r="B8" s="28" t="str">
        <x:v>PC-02</x:v>
      </x:c>
      <x:c r="C8" s="28" t="str">
        <x:f>IF(D8="","",INDEX('Cell Credits'!$J$7:$J$30,MATCH(D8,'Cell Credits'!$B$7:$B$30,0)))</x:f>
      </x:c>
      <x:c r="D8" s="28" t="str">
        <x:f>'Wave Schedule'!K8</x:f>
      </x:c>
      <x:c r="E8" s="28" t="str">
        <x:f>'Wave Schedule'!H8</x:f>
      </x:c>
      <x:c r="F8" s="28" t="str">
        <x:v>AVAILABLE</x:v>
      </x:c>
      <x:c r="G8" s="29" t="str"/>
      <x:c r="H8" s="29" t="str"/>
      <x:c r="I8" s="29" t="str"/>
      <x:c r="J8" s="29" t="str"/>
      <x:c r="K8" s="29" t="str"/>
      <x:c r="L8" s="29" t="str"/>
      <x:c r="M8" s="28" t="str">
        <x:f>IF(L8="","OPEN",IF(AND(D8&lt;&gt;"",G8&lt;&gt;"",G8&lt;&gt;L8,H8="PASS",I8="PASS",J8="PASS",K8="PASS"),"PASS","FAIL"))</x:f>
        <x:v>OPEN</x:v>
      </x:c>
    </x:row>
    <x:row r="9">
      <x:c r="B9" s="28" t="str">
        <x:v>PC-03</x:v>
      </x:c>
      <x:c r="C9" s="28" t="str">
        <x:f>IF(D9="","",INDEX('Cell Credits'!$J$7:$J$30,MATCH(D9,'Cell Credits'!$B$7:$B$30,0)))</x:f>
      </x:c>
      <x:c r="D9" s="28" t="str">
        <x:f>'Wave Schedule'!K9</x:f>
      </x:c>
      <x:c r="E9" s="28" t="str">
        <x:f>'Wave Schedule'!H9</x:f>
      </x:c>
      <x:c r="F9" s="28" t="str">
        <x:v>AVAILABLE</x:v>
      </x:c>
      <x:c r="G9" s="29" t="str"/>
      <x:c r="H9" s="29" t="str"/>
      <x:c r="I9" s="29" t="str"/>
      <x:c r="J9" s="29" t="str"/>
      <x:c r="K9" s="29" t="str"/>
      <x:c r="L9" s="29" t="str"/>
      <x:c r="M9" s="28" t="str">
        <x:f>IF(L9="","OPEN",IF(AND(D9&lt;&gt;"",G9&lt;&gt;"",G9&lt;&gt;L9,H9="PASS",I9="PASS",J9="PASS",K9="PASS"),"PASS","FAIL"))</x:f>
        <x:v>OPEN</x:v>
      </x:c>
    </x:row>
    <x:row r="10">
      <x:c r="B10" s="28" t="str">
        <x:v>PC-04</x:v>
      </x:c>
      <x:c r="C10" s="28" t="str">
        <x:f>IF(D10="","",INDEX('Cell Credits'!$J$7:$J$30,MATCH(D10,'Cell Credits'!$B$7:$B$30,0)))</x:f>
      </x:c>
      <x:c r="D10" s="28" t="str">
        <x:f>'Wave Schedule'!K10</x:f>
      </x:c>
      <x:c r="E10" s="28" t="str">
        <x:f>'Wave Schedule'!H10</x:f>
      </x:c>
      <x:c r="F10" s="28" t="str">
        <x:v>AVAILABLE</x:v>
      </x:c>
      <x:c r="G10" s="29" t="str"/>
      <x:c r="H10" s="29" t="str"/>
      <x:c r="I10" s="29" t="str"/>
      <x:c r="J10" s="29" t="str"/>
      <x:c r="K10" s="29" t="str"/>
      <x:c r="L10" s="29" t="str"/>
      <x:c r="M10" s="28" t="str">
        <x:f>IF(L10="","OPEN",IF(AND(D10&lt;&gt;"",G10&lt;&gt;"",G10&lt;&gt;L10,H10="PASS",I10="PASS",J10="PASS",K10="PASS"),"PASS","FAIL"))</x:f>
        <x:v>OPEN</x:v>
      </x:c>
    </x:row>
    <x:row r="11">
      <x:c r="B11" s="28" t="str">
        <x:v>PC-05</x:v>
      </x:c>
      <x:c r="C11" s="28" t="str">
        <x:f>IF(D11="","",INDEX('Cell Credits'!$J$7:$J$30,MATCH(D11,'Cell Credits'!$B$7:$B$30,0)))</x:f>
      </x:c>
      <x:c r="D11" s="28" t="str">
        <x:f>'Wave Schedule'!K11</x:f>
      </x:c>
      <x:c r="E11" s="28" t="str">
        <x:f>'Wave Schedule'!H11</x:f>
      </x:c>
      <x:c r="F11" s="28" t="str">
        <x:v>AVAILABLE</x:v>
      </x:c>
      <x:c r="G11" s="29" t="str"/>
      <x:c r="H11" s="29" t="str"/>
      <x:c r="I11" s="29" t="str"/>
      <x:c r="J11" s="29" t="str"/>
      <x:c r="K11" s="29" t="str"/>
      <x:c r="L11" s="29" t="str"/>
      <x:c r="M11" s="28" t="str">
        <x:f>IF(L11="","OPEN",IF(AND(D11&lt;&gt;"",G11&lt;&gt;"",G11&lt;&gt;L11,H11="PASS",I11="PASS",J11="PASS",K11="PASS"),"PASS","FAIL"))</x:f>
        <x:v>OPEN</x:v>
      </x:c>
    </x:row>
    <x:row r="12">
      <x:c r="B12" s="28" t="str">
        <x:v>PC-06</x:v>
      </x:c>
      <x:c r="C12" s="28" t="str">
        <x:f>IF(D12="","",INDEX('Cell Credits'!$J$7:$J$30,MATCH(D12,'Cell Credits'!$B$7:$B$30,0)))</x:f>
      </x:c>
      <x:c r="D12" s="28" t="str">
        <x:f>'Wave Schedule'!K12</x:f>
      </x:c>
      <x:c r="E12" s="28" t="str">
        <x:f>'Wave Schedule'!H12</x:f>
      </x:c>
      <x:c r="F12" s="28" t="str">
        <x:v>AVAILABLE</x:v>
      </x:c>
      <x:c r="G12" s="29" t="str"/>
      <x:c r="H12" s="29" t="str"/>
      <x:c r="I12" s="29" t="str"/>
      <x:c r="J12" s="29" t="str"/>
      <x:c r="K12" s="29" t="str"/>
      <x:c r="L12" s="29" t="str"/>
      <x:c r="M12" s="28" t="str">
        <x:f>IF(L12="","OPEN",IF(AND(D12&lt;&gt;"",G12&lt;&gt;"",G12&lt;&gt;L12,H12="PASS",I12="PASS",J12="PASS",K12="PASS"),"PASS","FAIL"))</x:f>
        <x:v>OPEN</x:v>
      </x:c>
    </x:row>
    <x:row r="13">
      <x:c r="B13" s="28" t="str">
        <x:v>PC-07</x:v>
      </x:c>
      <x:c r="C13" s="28" t="str">
        <x:f>IF(D13="","",INDEX('Cell Credits'!$J$7:$J$30,MATCH(D13,'Cell Credits'!$B$7:$B$30,0)))</x:f>
      </x:c>
      <x:c r="D13" s="28" t="str">
        <x:f>'Wave Schedule'!K13</x:f>
      </x:c>
      <x:c r="E13" s="28" t="str">
        <x:f>'Wave Schedule'!H13</x:f>
      </x:c>
      <x:c r="F13" s="28" t="str">
        <x:v>AVAILABLE</x:v>
      </x:c>
      <x:c r="G13" s="29" t="str"/>
      <x:c r="H13" s="29" t="str"/>
      <x:c r="I13" s="29" t="str"/>
      <x:c r="J13" s="29" t="str"/>
      <x:c r="K13" s="29" t="str"/>
      <x:c r="L13" s="29" t="str"/>
      <x:c r="M13" s="28" t="str">
        <x:f>IF(L13="","OPEN",IF(AND(D13&lt;&gt;"",G13&lt;&gt;"",G13&lt;&gt;L13,H13="PASS",I13="PASS",J13="PASS",K13="PASS"),"PASS","FAIL"))</x:f>
        <x:v>OPEN</x:v>
      </x:c>
    </x:row>
    <x:row r="14">
      <x:c r="B14" s="28" t="str">
        <x:v>PC-08</x:v>
      </x:c>
      <x:c r="C14" s="28" t="str">
        <x:f>IF(D14="","",INDEX('Cell Credits'!$J$7:$J$30,MATCH(D14,'Cell Credits'!$B$7:$B$30,0)))</x:f>
      </x:c>
      <x:c r="D14" s="28" t="str">
        <x:f>'Wave Schedule'!K14</x:f>
      </x:c>
      <x:c r="E14" s="28" t="str">
        <x:f>'Wave Schedule'!H14</x:f>
      </x:c>
      <x:c r="F14" s="28" t="str">
        <x:v>AVAILABLE</x:v>
      </x:c>
      <x:c r="G14" s="29" t="str"/>
      <x:c r="H14" s="29" t="str"/>
      <x:c r="I14" s="29" t="str"/>
      <x:c r="J14" s="29" t="str"/>
      <x:c r="K14" s="29" t="str"/>
      <x:c r="L14" s="29" t="str"/>
      <x:c r="M14" s="28" t="str">
        <x:f>IF(L14="","OPEN",IF(AND(D14&lt;&gt;"",G14&lt;&gt;"",G14&lt;&gt;L14,H14="PASS",I14="PASS",J14="PASS",K14="PASS"),"PASS","FAIL"))</x:f>
        <x:v>OPEN</x:v>
      </x:c>
    </x:row>
    <x:row r="15">
      <x:c r="B15" s="28" t="str">
        <x:v>PC-09</x:v>
      </x:c>
      <x:c r="C15" s="28" t="str">
        <x:f>IF(D15="","",INDEX('Cell Credits'!$J$7:$J$30,MATCH(D15,'Cell Credits'!$B$7:$B$30,0)))</x:f>
      </x:c>
      <x:c r="D15" s="28" t="str">
        <x:f>'Wave Schedule'!K15</x:f>
      </x:c>
      <x:c r="E15" s="28" t="str">
        <x:f>'Wave Schedule'!H15</x:f>
      </x:c>
      <x:c r="F15" s="28" t="str">
        <x:v>AVAILABLE</x:v>
      </x:c>
      <x:c r="G15" s="29" t="str"/>
      <x:c r="H15" s="29" t="str"/>
      <x:c r="I15" s="29" t="str"/>
      <x:c r="J15" s="29" t="str"/>
      <x:c r="K15" s="29" t="str"/>
      <x:c r="L15" s="29" t="str"/>
      <x:c r="M15" s="28" t="str">
        <x:f>IF(L15="","OPEN",IF(AND(D15&lt;&gt;"",G15&lt;&gt;"",G15&lt;&gt;L15,H15="PASS",I15="PASS",J15="PASS",K15="PASS"),"PASS","FAIL"))</x:f>
        <x:v>OPEN</x:v>
      </x:c>
    </x:row>
    <x:row r="16">
      <x:c r="B16" s="28" t="str">
        <x:v>PC-10</x:v>
      </x:c>
      <x:c r="C16" s="28" t="str">
        <x:f>IF(D16="","",INDEX('Cell Credits'!$J$7:$J$30,MATCH(D16,'Cell Credits'!$B$7:$B$30,0)))</x:f>
      </x:c>
      <x:c r="D16" s="28" t="str">
        <x:f>'Wave Schedule'!K16</x:f>
      </x:c>
      <x:c r="E16" s="28" t="str">
        <x:f>'Wave Schedule'!H16</x:f>
      </x:c>
      <x:c r="F16" s="28" t="str">
        <x:v>AVAILABLE</x:v>
      </x:c>
      <x:c r="G16" s="29" t="str"/>
      <x:c r="H16" s="29" t="str"/>
      <x:c r="I16" s="29" t="str"/>
      <x:c r="J16" s="29" t="str"/>
      <x:c r="K16" s="29" t="str"/>
      <x:c r="L16" s="29" t="str"/>
      <x:c r="M16" s="28" t="str">
        <x:f>IF(L16="","OPEN",IF(AND(D16&lt;&gt;"",G16&lt;&gt;"",G16&lt;&gt;L16,H16="PASS",I16="PASS",J16="PASS",K16="PASS"),"PASS","FAIL"))</x:f>
        <x:v>OPEN</x:v>
      </x:c>
    </x:row>
    <x:row r="17">
      <x:c r="B17" s="28" t="str">
        <x:v>PC-11</x:v>
      </x:c>
      <x:c r="C17" s="28" t="str">
        <x:f>IF(D17="","",INDEX('Cell Credits'!$J$7:$J$30,MATCH(D17,'Cell Credits'!$B$7:$B$30,0)))</x:f>
      </x:c>
      <x:c r="D17" s="28" t="str">
        <x:f>'Wave Schedule'!K17</x:f>
      </x:c>
      <x:c r="E17" s="28" t="str">
        <x:f>'Wave Schedule'!H17</x:f>
      </x:c>
      <x:c r="F17" s="28" t="str">
        <x:v>AVAILABLE</x:v>
      </x:c>
      <x:c r="G17" s="29" t="str"/>
      <x:c r="H17" s="29" t="str"/>
      <x:c r="I17" s="29" t="str"/>
      <x:c r="J17" s="29" t="str"/>
      <x:c r="K17" s="29" t="str"/>
      <x:c r="L17" s="29" t="str"/>
      <x:c r="M17" s="28" t="str">
        <x:f>IF(L17="","OPEN",IF(AND(D17&lt;&gt;"",G17&lt;&gt;"",G17&lt;&gt;L17,H17="PASS",I17="PASS",J17="PASS",K17="PASS"),"PASS","FAIL"))</x:f>
        <x:v>OPEN</x:v>
      </x:c>
    </x:row>
    <x:row r="18">
      <x:c r="B18" s="28" t="str">
        <x:v>PC-12</x:v>
      </x:c>
      <x:c r="C18" s="28" t="str">
        <x:f>IF(D18="","",INDEX('Cell Credits'!$J$7:$J$30,MATCH(D18,'Cell Credits'!$B$7:$B$30,0)))</x:f>
      </x:c>
      <x:c r="D18" s="28" t="str">
        <x:f>'Wave Schedule'!K18</x:f>
      </x:c>
      <x:c r="E18" s="28" t="str">
        <x:f>'Wave Schedule'!H18</x:f>
      </x:c>
      <x:c r="F18" s="28" t="str">
        <x:v>AVAILABLE</x:v>
      </x:c>
      <x:c r="G18" s="29" t="str"/>
      <x:c r="H18" s="29" t="str"/>
      <x:c r="I18" s="29" t="str"/>
      <x:c r="J18" s="29" t="str"/>
      <x:c r="K18" s="29" t="str"/>
      <x:c r="L18" s="29" t="str"/>
      <x:c r="M18" s="28" t="str">
        <x:f>IF(L18="","OPEN",IF(AND(D18&lt;&gt;"",G18&lt;&gt;"",G18&lt;&gt;L18,H18="PASS",I18="PASS",J18="PASS",K18="PASS"),"PASS","FAIL"))</x:f>
        <x:v>OPEN</x:v>
      </x:c>
    </x:row>
    <x:row r="19">
      <x:c r="B19" s="28" t="str">
        <x:v>PC-13</x:v>
      </x:c>
      <x:c r="C19" s="28" t="str">
        <x:f>IF(D19="","",INDEX('Cell Credits'!$J$7:$J$30,MATCH(D19,'Cell Credits'!$B$7:$B$30,0)))</x:f>
      </x:c>
      <x:c r="D19" s="28" t="str">
        <x:f>'Wave Schedule'!K19</x:f>
      </x:c>
      <x:c r="E19" s="28" t="str">
        <x:f>'Wave Schedule'!H19</x:f>
      </x:c>
      <x:c r="F19" s="28" t="str">
        <x:v>AVAILABLE</x:v>
      </x:c>
      <x:c r="G19" s="29" t="str"/>
      <x:c r="H19" s="29" t="str"/>
      <x:c r="I19" s="29" t="str"/>
      <x:c r="J19" s="29" t="str"/>
      <x:c r="K19" s="29" t="str"/>
      <x:c r="L19" s="29" t="str"/>
      <x:c r="M19" s="28" t="str">
        <x:f>IF(L19="","OPEN",IF(AND(D19&lt;&gt;"",G19&lt;&gt;"",G19&lt;&gt;L19,H19="PASS",I19="PASS",J19="PASS",K19="PASS"),"PASS","FAIL"))</x:f>
        <x:v>OPEN</x:v>
      </x:c>
    </x:row>
    <x:row r="20">
      <x:c r="B20" s="28" t="str">
        <x:v>PC-14</x:v>
      </x:c>
      <x:c r="C20" s="28" t="str">
        <x:f>IF(D20="","",INDEX('Cell Credits'!$J$7:$J$30,MATCH(D20,'Cell Credits'!$B$7:$B$30,0)))</x:f>
      </x:c>
      <x:c r="D20" s="28" t="str">
        <x:f>'Wave Schedule'!K20</x:f>
      </x:c>
      <x:c r="E20" s="28" t="str">
        <x:f>'Wave Schedule'!H20</x:f>
      </x:c>
      <x:c r="F20" s="28" t="str">
        <x:v>AVAILABLE</x:v>
      </x:c>
      <x:c r="G20" s="29" t="str"/>
      <x:c r="H20" s="29" t="str"/>
      <x:c r="I20" s="29" t="str"/>
      <x:c r="J20" s="29" t="str"/>
      <x:c r="K20" s="29" t="str"/>
      <x:c r="L20" s="29" t="str"/>
      <x:c r="M20" s="28" t="str">
        <x:f>IF(L20="","OPEN",IF(AND(D20&lt;&gt;"",G20&lt;&gt;"",G20&lt;&gt;L20,H20="PASS",I20="PASS",J20="PASS",K20="PASS"),"PASS","FAIL"))</x:f>
        <x:v>OPEN</x:v>
      </x:c>
    </x:row>
    <x:row r="21">
      <x:c r="B21" s="28" t="str">
        <x:v>PC-15</x:v>
      </x:c>
      <x:c r="C21" s="28" t="str">
        <x:f>IF(D21="","",INDEX('Cell Credits'!$J$7:$J$30,MATCH(D21,'Cell Credits'!$B$7:$B$30,0)))</x:f>
      </x:c>
      <x:c r="D21" s="28" t="str">
        <x:f>'Wave Schedule'!K21</x:f>
      </x:c>
      <x:c r="E21" s="28" t="str">
        <x:f>'Wave Schedule'!H21</x:f>
      </x:c>
      <x:c r="F21" s="28" t="str">
        <x:v>AVAILABLE</x:v>
      </x:c>
      <x:c r="G21" s="29" t="str"/>
      <x:c r="H21" s="29" t="str"/>
      <x:c r="I21" s="29" t="str"/>
      <x:c r="J21" s="29" t="str"/>
      <x:c r="K21" s="29" t="str"/>
      <x:c r="L21" s="29" t="str"/>
      <x:c r="M21" s="28" t="str">
        <x:f>IF(L21="","OPEN",IF(AND(D21&lt;&gt;"",G21&lt;&gt;"",G21&lt;&gt;L21,H21="PASS",I21="PASS",J21="PASS",K21="PASS"),"PASS","FAIL"))</x:f>
        <x:v>OPEN</x:v>
      </x:c>
    </x:row>
    <x:row r="22">
      <x:c r="B22" s="28" t="str">
        <x:v>PC-16</x:v>
      </x:c>
      <x:c r="C22" s="28" t="str">
        <x:f>IF(D22="","",INDEX('Cell Credits'!$J$7:$J$30,MATCH(D22,'Cell Credits'!$B$7:$B$30,0)))</x:f>
      </x:c>
      <x:c r="D22" s="28" t="str">
        <x:f>'Wave Schedule'!K22</x:f>
      </x:c>
      <x:c r="E22" s="28" t="str">
        <x:f>'Wave Schedule'!H22</x:f>
      </x:c>
      <x:c r="F22" s="28" t="str">
        <x:v>AVAILABLE</x:v>
      </x:c>
      <x:c r="G22" s="29" t="str"/>
      <x:c r="H22" s="29" t="str"/>
      <x:c r="I22" s="29" t="str"/>
      <x:c r="J22" s="29" t="str"/>
      <x:c r="K22" s="29" t="str"/>
      <x:c r="L22" s="29" t="str"/>
      <x:c r="M22" s="28" t="str">
        <x:f>IF(L22="","OPEN",IF(AND(D22&lt;&gt;"",G22&lt;&gt;"",G22&lt;&gt;L22,H22="PASS",I22="PASS",J22="PASS",K22="PASS"),"PASS","FAIL"))</x:f>
        <x:v>OPEN</x:v>
      </x:c>
    </x:row>
    <x:row r="23">
      <x:c r="B23" s="28" t="str">
        <x:v>PC-17</x:v>
      </x:c>
      <x:c r="C23" s="28" t="str">
        <x:f>IF(D23="","",INDEX('Cell Credits'!$J$7:$J$30,MATCH(D23,'Cell Credits'!$B$7:$B$30,0)))</x:f>
      </x:c>
      <x:c r="D23" s="28" t="str">
        <x:f>'Wave Schedule'!K23</x:f>
      </x:c>
      <x:c r="E23" s="28" t="str">
        <x:f>'Wave Schedule'!H23</x:f>
      </x:c>
      <x:c r="F23" s="28" t="str">
        <x:v>AVAILABLE</x:v>
      </x:c>
      <x:c r="G23" s="29" t="str"/>
      <x:c r="H23" s="29" t="str"/>
      <x:c r="I23" s="29" t="str"/>
      <x:c r="J23" s="29" t="str"/>
      <x:c r="K23" s="29" t="str"/>
      <x:c r="L23" s="29" t="str"/>
      <x:c r="M23" s="28" t="str">
        <x:f>IF(L23="","OPEN",IF(AND(D23&lt;&gt;"",G23&lt;&gt;"",G23&lt;&gt;L23,H23="PASS",I23="PASS",J23="PASS",K23="PASS"),"PASS","FAIL"))</x:f>
        <x:v>OPEN</x:v>
      </x:c>
    </x:row>
    <x:row r="24">
      <x:c r="B24" s="28" t="str">
        <x:v>PC-18</x:v>
      </x:c>
      <x:c r="C24" s="28" t="str">
        <x:f>IF(D24="","",INDEX('Cell Credits'!$J$7:$J$30,MATCH(D24,'Cell Credits'!$B$7:$B$30,0)))</x:f>
      </x:c>
      <x:c r="D24" s="28" t="str">
        <x:f>'Wave Schedule'!K24</x:f>
      </x:c>
      <x:c r="E24" s="28" t="str">
        <x:f>'Wave Schedule'!H24</x:f>
      </x:c>
      <x:c r="F24" s="28" t="str">
        <x:v>AVAILABLE</x:v>
      </x:c>
      <x:c r="G24" s="29" t="str"/>
      <x:c r="H24" s="29" t="str"/>
      <x:c r="I24" s="29" t="str"/>
      <x:c r="J24" s="29" t="str"/>
      <x:c r="K24" s="29" t="str"/>
      <x:c r="L24" s="29" t="str"/>
      <x:c r="M24" s="28" t="str">
        <x:f>IF(L24="","OPEN",IF(AND(D24&lt;&gt;"",G24&lt;&gt;"",G24&lt;&gt;L24,H24="PASS",I24="PASS",J24="PASS",K24="PASS"),"PASS","FAIL"))</x:f>
        <x:v>OPEN</x:v>
      </x:c>
    </x:row>
    <x:row r="25">
      <x:c r="B25" s="28" t="str">
        <x:v>PC-19</x:v>
      </x:c>
      <x:c r="C25" s="28" t="str">
        <x:f>IF(D25="","",INDEX('Cell Credits'!$J$7:$J$30,MATCH(D25,'Cell Credits'!$B$7:$B$30,0)))</x:f>
      </x:c>
      <x:c r="D25" s="28" t="str">
        <x:f>'Wave Schedule'!K25</x:f>
      </x:c>
      <x:c r="E25" s="28" t="str">
        <x:f>'Wave Schedule'!H25</x:f>
      </x:c>
      <x:c r="F25" s="28" t="str">
        <x:v>AVAILABLE</x:v>
      </x:c>
      <x:c r="G25" s="29" t="str"/>
      <x:c r="H25" s="29" t="str"/>
      <x:c r="I25" s="29" t="str"/>
      <x:c r="J25" s="29" t="str"/>
      <x:c r="K25" s="29" t="str"/>
      <x:c r="L25" s="29" t="str"/>
      <x:c r="M25" s="28" t="str">
        <x:f>IF(L25="","OPEN",IF(AND(D25&lt;&gt;"",G25&lt;&gt;"",G25&lt;&gt;L25,H25="PASS",I25="PASS",J25="PASS",K25="PASS"),"PASS","FAIL"))</x:f>
        <x:v>OPEN</x:v>
      </x:c>
    </x:row>
    <x:row r="26">
      <x:c r="B26" s="28" t="str">
        <x:v>PC-20</x:v>
      </x:c>
      <x:c r="C26" s="28" t="str">
        <x:f>IF(D26="","",INDEX('Cell Credits'!$J$7:$J$30,MATCH(D26,'Cell Credits'!$B$7:$B$30,0)))</x:f>
      </x:c>
      <x:c r="D26" s="28" t="str">
        <x:f>'Wave Schedule'!K26</x:f>
      </x:c>
      <x:c r="E26" s="28" t="str">
        <x:f>'Wave Schedule'!H26</x:f>
      </x:c>
      <x:c r="F26" s="28" t="str">
        <x:v>AVAILABLE</x:v>
      </x:c>
      <x:c r="G26" s="29" t="str"/>
      <x:c r="H26" s="29" t="str"/>
      <x:c r="I26" s="29" t="str"/>
      <x:c r="J26" s="29" t="str"/>
      <x:c r="K26" s="29" t="str"/>
      <x:c r="L26" s="29" t="str"/>
      <x:c r="M26" s="28" t="str">
        <x:f>IF(L26="","OPEN",IF(AND(D26&lt;&gt;"",G26&lt;&gt;"",G26&lt;&gt;L26,H26="PASS",I26="PASS",J26="PASS",K26="PASS"),"PASS","FAIL"))</x:f>
        <x:v>OPEN</x:v>
      </x:c>
    </x:row>
    <x:row r="27">
      <x:c r="B27" s="28" t="str">
        <x:v>PC-21</x:v>
      </x:c>
      <x:c r="C27" s="28" t="str">
        <x:f>IF(D27="","",INDEX('Cell Credits'!$J$7:$J$30,MATCH(D27,'Cell Credits'!$B$7:$B$30,0)))</x:f>
      </x:c>
      <x:c r="D27" s="28" t="str">
        <x:f>'Wave Schedule'!K27</x:f>
      </x:c>
      <x:c r="E27" s="28" t="str">
        <x:f>'Wave Schedule'!H27</x:f>
      </x:c>
      <x:c r="F27" s="28" t="str">
        <x:v>AVAILABLE</x:v>
      </x:c>
      <x:c r="G27" s="29" t="str"/>
      <x:c r="H27" s="29" t="str"/>
      <x:c r="I27" s="29" t="str"/>
      <x:c r="J27" s="29" t="str"/>
      <x:c r="K27" s="29" t="str"/>
      <x:c r="L27" s="29" t="str"/>
      <x:c r="M27" s="28" t="str">
        <x:f>IF(L27="","OPEN",IF(AND(D27&lt;&gt;"",G27&lt;&gt;"",G27&lt;&gt;L27,H27="PASS",I27="PASS",J27="PASS",K27="PASS"),"PASS","FAIL"))</x:f>
        <x:v>OPEN</x:v>
      </x:c>
    </x:row>
    <x:row r="28">
      <x:c r="B28" s="28" t="str">
        <x:v>PC-22</x:v>
      </x:c>
      <x:c r="C28" s="28" t="str">
        <x:f>IF(D28="","",INDEX('Cell Credits'!$J$7:$J$30,MATCH(D28,'Cell Credits'!$B$7:$B$30,0)))</x:f>
      </x:c>
      <x:c r="D28" s="28" t="str">
        <x:f>'Wave Schedule'!K28</x:f>
      </x:c>
      <x:c r="E28" s="28" t="str">
        <x:f>'Wave Schedule'!H28</x:f>
      </x:c>
      <x:c r="F28" s="28" t="str">
        <x:v>AVAILABLE</x:v>
      </x:c>
      <x:c r="G28" s="29" t="str"/>
      <x:c r="H28" s="29" t="str"/>
      <x:c r="I28" s="29" t="str"/>
      <x:c r="J28" s="29" t="str"/>
      <x:c r="K28" s="29" t="str"/>
      <x:c r="L28" s="29" t="str"/>
      <x:c r="M28" s="28" t="str">
        <x:f>IF(L28="","OPEN",IF(AND(D28&lt;&gt;"",G28&lt;&gt;"",G28&lt;&gt;L28,H28="PASS",I28="PASS",J28="PASS",K28="PASS"),"PASS","FAIL"))</x:f>
        <x:v>OPEN</x:v>
      </x:c>
    </x:row>
    <x:row r="29">
      <x:c r="B29" s="28" t="str">
        <x:v>PC-23</x:v>
      </x:c>
      <x:c r="C29" s="28" t="str">
        <x:f>IF(D29="","",INDEX('Cell Credits'!$J$7:$J$30,MATCH(D29,'Cell Credits'!$B$7:$B$30,0)))</x:f>
      </x:c>
      <x:c r="D29" s="28" t="str">
        <x:f>'Wave Schedule'!K29</x:f>
      </x:c>
      <x:c r="E29" s="28" t="str">
        <x:f>'Wave Schedule'!H29</x:f>
      </x:c>
      <x:c r="F29" s="28" t="str">
        <x:v>AVAILABLE</x:v>
      </x:c>
      <x:c r="G29" s="29" t="str"/>
      <x:c r="H29" s="29" t="str"/>
      <x:c r="I29" s="29" t="str"/>
      <x:c r="J29" s="29" t="str"/>
      <x:c r="K29" s="29" t="str"/>
      <x:c r="L29" s="29" t="str"/>
      <x:c r="M29" s="28" t="str">
        <x:f>IF(L29="","OPEN",IF(AND(D29&lt;&gt;"",G29&lt;&gt;"",G29&lt;&gt;L29,H29="PASS",I29="PASS",J29="PASS",K29="PASS"),"PASS","FAIL"))</x:f>
        <x:v>OPEN</x:v>
      </x:c>
    </x:row>
    <x:row r="30">
      <x:c r="B30" s="28" t="str">
        <x:v>PC-24</x:v>
      </x:c>
      <x:c r="C30" s="28" t="str">
        <x:f>IF(D30="","",INDEX('Cell Credits'!$J$7:$J$30,MATCH(D30,'Cell Credits'!$B$7:$B$30,0)))</x:f>
      </x:c>
      <x:c r="D30" s="28" t="n">
        <x:f>'Wave Schedule'!K30</x:f>
        <x:v>0</x:v>
      </x:c>
      <x:c r="E30" s="28" t="n">
        <x:f>'Wave Schedule'!H30</x:f>
        <x:v>0</x:v>
      </x:c>
      <x:c r="F30" s="28" t="str">
        <x:v>AVAILABLE</x:v>
      </x:c>
      <x:c r="G30" s="29" t="str"/>
      <x:c r="H30" s="29" t="str"/>
      <x:c r="I30" s="29" t="str"/>
      <x:c r="J30" s="29" t="str"/>
      <x:c r="K30" s="29" t="str"/>
      <x:c r="L30" s="29" t="str"/>
      <x:c r="M30" s="28" t="str">
        <x:f>IF(L30="","OPEN",IF(AND(D30&lt;&gt;"",G30&lt;&gt;"",G30&lt;&gt;L30,H30="PASS",I30="PASS",J30="PASS",K30="PASS"),"PASS","FAIL"))</x:f>
        <x:v>OPEN</x:v>
      </x:c>
    </x:row>
  </x:sheetData>
  <x:conditionalFormatting sqref="M7:M30">
    <x:cfRule type="containsText" dxfId="99" priority="1" operator="containsText" text="FAIL"/>
    <x:cfRule type="containsText" dxfId="100" priority="2" operator="containsText" text="BLOCKED"/>
    <x:cfRule type="containsText" dxfId="101" priority="3" operator="containsText" text="INVALID"/>
    <x:cfRule type="containsText" dxfId="102" priority="4" operator="containsText" text="ADVERSE"/>
    <x:cfRule type="containsText" dxfId="103" priority="5" operator="containsText" text="EXPIRED"/>
    <x:cfRule type="containsText" dxfId="104" priority="6" operator="containsText" text="OPEN"/>
    <x:cfRule type="containsText" dxfId="105" priority="7" operator="containsText" text="DORMANT"/>
    <x:cfRule type="containsText" dxfId="106" priority="8" operator="containsText" text="PASS"/>
    <x:cfRule type="containsText" dxfId="107" priority="9" operator="containsText" text="AVAILABL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42" hidden="0" customWidth="1"/>
    <x:col min="5" max="5" width="35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3" hidden="0" customWidth="1"/>
    <x:col min="11" max="11" width="34" hidden="0" customWidth="1"/>
    <x:col min="12" max="12" width="16" hidden="0" customWidth="1"/>
  </x:cols>
  <x:sheetData>
    <x:row r="2">
      <x:c r="B2" s="23" t="str">
        <x:v>Twenty-four event crew rotations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RAY-1 owns the forty event seats. RAZ-1 binds each full roster, duty interval, rest decision and relief team to its class event.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Rotation</x:v>
      </x:c>
      <x:c r="C6" s="6" t="str">
        <x:v>Token</x:v>
      </x:c>
      <x:c r="D6" s="6" t="str">
        <x:v>Cell</x:v>
      </x:c>
      <x:c r="E6" s="6" t="str">
        <x:v>Crew root</x:v>
      </x:c>
      <x:c r="F6" s="6" t="str">
        <x:v>Required seats</x:v>
      </x:c>
      <x:c r="G6" s="6" t="str">
        <x:v>Assigned seats</x:v>
      </x:c>
      <x:c r="H6" s="6" t="str">
        <x:v>Duty start UTC</x:v>
      </x:c>
      <x:c r="I6" s="6" t="str">
        <x:v>Duty end UTC</x:v>
      </x:c>
      <x:c r="J6" s="6" t="str">
        <x:v>Rest hours before duty</x:v>
      </x:c>
      <x:c r="K6" s="6" t="str">
        <x:v>Relief root</x:v>
      </x:c>
      <x:c r="L6" s="6" t="str">
        <x:v>State</x:v>
      </x:c>
    </x:row>
    <x:row r="7">
      <x:c r="B7" s="28" t="str">
        <x:v>CR-01</x:v>
      </x:c>
      <x:c r="C7" s="28" t="str">
        <x:f>IF(D7="","",INDEX('Cell Credits'!$J$7:$J$30,MATCH(D7,'Cell Credits'!$B$7:$B$30,0)))</x:f>
      </x:c>
      <x:c r="D7" s="28" t="str">
        <x:f>'Wave Schedule'!K7</x:f>
      </x:c>
      <x:c r="E7" s="29" t="str"/>
      <x:c r="F7" s="29" t="n">
        <x:v>40</x:v>
      </x:c>
      <x:c r="G7" s="29" t="str"/>
      <x:c r="H7" s="29" t="str"/>
      <x:c r="I7" s="29" t="str"/>
      <x:c r="J7" s="29" t="str"/>
      <x:c r="K7" s="29" t="str"/>
      <x:c r="L7" s="28" t="str">
        <x:f>IF(K7="","OPEN",IF(AND(D7&lt;&gt;"",E7&lt;&gt;"",G7=F7,ISNUMBER(H7),ISNUMBER(I7),I7&gt;H7,J7&gt;=12,K7&lt;&gt;""),"PASS","FAIL"))</x:f>
        <x:v>OPEN</x:v>
      </x:c>
    </x:row>
    <x:row r="8">
      <x:c r="B8" s="28" t="str">
        <x:v>CR-02</x:v>
      </x:c>
      <x:c r="C8" s="28" t="str">
        <x:f>IF(D8="","",INDEX('Cell Credits'!$J$7:$J$30,MATCH(D8,'Cell Credits'!$B$7:$B$30,0)))</x:f>
      </x:c>
      <x:c r="D8" s="28" t="str">
        <x:f>'Wave Schedule'!K8</x:f>
      </x:c>
      <x:c r="E8" s="29" t="str"/>
      <x:c r="F8" s="29" t="n">
        <x:v>40</x:v>
      </x:c>
      <x:c r="G8" s="29" t="str"/>
      <x:c r="H8" s="29" t="str"/>
      <x:c r="I8" s="29" t="str"/>
      <x:c r="J8" s="29" t="str"/>
      <x:c r="K8" s="29" t="str"/>
      <x:c r="L8" s="28" t="str">
        <x:f>IF(K8="","OPEN",IF(AND(D8&lt;&gt;"",E8&lt;&gt;"",G8=F8,ISNUMBER(H8),ISNUMBER(I8),I8&gt;H8,J8&gt;=12,K8&lt;&gt;""),"PASS","FAIL"))</x:f>
        <x:v>OPEN</x:v>
      </x:c>
    </x:row>
    <x:row r="9">
      <x:c r="B9" s="28" t="str">
        <x:v>CR-03</x:v>
      </x:c>
      <x:c r="C9" s="28" t="str">
        <x:f>IF(D9="","",INDEX('Cell Credits'!$J$7:$J$30,MATCH(D9,'Cell Credits'!$B$7:$B$30,0)))</x:f>
      </x:c>
      <x:c r="D9" s="28" t="str">
        <x:f>'Wave Schedule'!K9</x:f>
      </x:c>
      <x:c r="E9" s="29" t="str"/>
      <x:c r="F9" s="29" t="n">
        <x:v>40</x:v>
      </x:c>
      <x:c r="G9" s="29" t="str"/>
      <x:c r="H9" s="29" t="str"/>
      <x:c r="I9" s="29" t="str"/>
      <x:c r="J9" s="29" t="str"/>
      <x:c r="K9" s="29" t="str"/>
      <x:c r="L9" s="28" t="str">
        <x:f>IF(K9="","OPEN",IF(AND(D9&lt;&gt;"",E9&lt;&gt;"",G9=F9,ISNUMBER(H9),ISNUMBER(I9),I9&gt;H9,J9&gt;=12,K9&lt;&gt;""),"PASS","FAIL"))</x:f>
        <x:v>OPEN</x:v>
      </x:c>
    </x:row>
    <x:row r="10">
      <x:c r="B10" s="28" t="str">
        <x:v>CR-04</x:v>
      </x:c>
      <x:c r="C10" s="28" t="str">
        <x:f>IF(D10="","",INDEX('Cell Credits'!$J$7:$J$30,MATCH(D10,'Cell Credits'!$B$7:$B$30,0)))</x:f>
      </x:c>
      <x:c r="D10" s="28" t="str">
        <x:f>'Wave Schedule'!K10</x:f>
      </x:c>
      <x:c r="E10" s="29" t="str"/>
      <x:c r="F10" s="29" t="n">
        <x:v>40</x:v>
      </x:c>
      <x:c r="G10" s="29" t="str"/>
      <x:c r="H10" s="29" t="str"/>
      <x:c r="I10" s="29" t="str"/>
      <x:c r="J10" s="29" t="str"/>
      <x:c r="K10" s="29" t="str"/>
      <x:c r="L10" s="28" t="str">
        <x:f>IF(K10="","OPEN",IF(AND(D10&lt;&gt;"",E10&lt;&gt;"",G10=F10,ISNUMBER(H10),ISNUMBER(I10),I10&gt;H10,J10&gt;=12,K10&lt;&gt;""),"PASS","FAIL"))</x:f>
        <x:v>OPEN</x:v>
      </x:c>
    </x:row>
    <x:row r="11">
      <x:c r="B11" s="28" t="str">
        <x:v>CR-05</x:v>
      </x:c>
      <x:c r="C11" s="28" t="str">
        <x:f>IF(D11="","",INDEX('Cell Credits'!$J$7:$J$30,MATCH(D11,'Cell Credits'!$B$7:$B$30,0)))</x:f>
      </x:c>
      <x:c r="D11" s="28" t="str">
        <x:f>'Wave Schedule'!K11</x:f>
      </x:c>
      <x:c r="E11" s="29" t="str"/>
      <x:c r="F11" s="29" t="n">
        <x:v>40</x:v>
      </x:c>
      <x:c r="G11" s="29" t="str"/>
      <x:c r="H11" s="29" t="str"/>
      <x:c r="I11" s="29" t="str"/>
      <x:c r="J11" s="29" t="str"/>
      <x:c r="K11" s="29" t="str"/>
      <x:c r="L11" s="28" t="str">
        <x:f>IF(K11="","OPEN",IF(AND(D11&lt;&gt;"",E11&lt;&gt;"",G11=F11,ISNUMBER(H11),ISNUMBER(I11),I11&gt;H11,J11&gt;=12,K11&lt;&gt;""),"PASS","FAIL"))</x:f>
        <x:v>OPEN</x:v>
      </x:c>
    </x:row>
    <x:row r="12">
      <x:c r="B12" s="28" t="str">
        <x:v>CR-06</x:v>
      </x:c>
      <x:c r="C12" s="28" t="str">
        <x:f>IF(D12="","",INDEX('Cell Credits'!$J$7:$J$30,MATCH(D12,'Cell Credits'!$B$7:$B$30,0)))</x:f>
      </x:c>
      <x:c r="D12" s="28" t="str">
        <x:f>'Wave Schedule'!K12</x:f>
      </x:c>
      <x:c r="E12" s="29" t="str"/>
      <x:c r="F12" s="29" t="n">
        <x:v>40</x:v>
      </x:c>
      <x:c r="G12" s="29" t="str"/>
      <x:c r="H12" s="29" t="str"/>
      <x:c r="I12" s="29" t="str"/>
      <x:c r="J12" s="29" t="str"/>
      <x:c r="K12" s="29" t="str"/>
      <x:c r="L12" s="28" t="str">
        <x:f>IF(K12="","OPEN",IF(AND(D12&lt;&gt;"",E12&lt;&gt;"",G12=F12,ISNUMBER(H12),ISNUMBER(I12),I12&gt;H12,J12&gt;=12,K12&lt;&gt;""),"PASS","FAIL"))</x:f>
        <x:v>OPEN</x:v>
      </x:c>
    </x:row>
    <x:row r="13">
      <x:c r="B13" s="28" t="str">
        <x:v>CR-07</x:v>
      </x:c>
      <x:c r="C13" s="28" t="str">
        <x:f>IF(D13="","",INDEX('Cell Credits'!$J$7:$J$30,MATCH(D13,'Cell Credits'!$B$7:$B$30,0)))</x:f>
      </x:c>
      <x:c r="D13" s="28" t="str">
        <x:f>'Wave Schedule'!K13</x:f>
      </x:c>
      <x:c r="E13" s="29" t="str"/>
      <x:c r="F13" s="29" t="n">
        <x:v>40</x:v>
      </x:c>
      <x:c r="G13" s="29" t="str"/>
      <x:c r="H13" s="29" t="str"/>
      <x:c r="I13" s="29" t="str"/>
      <x:c r="J13" s="29" t="str"/>
      <x:c r="K13" s="29" t="str"/>
      <x:c r="L13" s="28" t="str">
        <x:f>IF(K13="","OPEN",IF(AND(D13&lt;&gt;"",E13&lt;&gt;"",G13=F13,ISNUMBER(H13),ISNUMBER(I13),I13&gt;H13,J13&gt;=12,K13&lt;&gt;""),"PASS","FAIL"))</x:f>
        <x:v>OPEN</x:v>
      </x:c>
    </x:row>
    <x:row r="14">
      <x:c r="B14" s="28" t="str">
        <x:v>CR-08</x:v>
      </x:c>
      <x:c r="C14" s="28" t="str">
        <x:f>IF(D14="","",INDEX('Cell Credits'!$J$7:$J$30,MATCH(D14,'Cell Credits'!$B$7:$B$30,0)))</x:f>
      </x:c>
      <x:c r="D14" s="28" t="str">
        <x:f>'Wave Schedule'!K14</x:f>
      </x:c>
      <x:c r="E14" s="29" t="str"/>
      <x:c r="F14" s="29" t="n">
        <x:v>40</x:v>
      </x:c>
      <x:c r="G14" s="29" t="str"/>
      <x:c r="H14" s="29" t="str"/>
      <x:c r="I14" s="29" t="str"/>
      <x:c r="J14" s="29" t="str"/>
      <x:c r="K14" s="29" t="str"/>
      <x:c r="L14" s="28" t="str">
        <x:f>IF(K14="","OPEN",IF(AND(D14&lt;&gt;"",E14&lt;&gt;"",G14=F14,ISNUMBER(H14),ISNUMBER(I14),I14&gt;H14,J14&gt;=12,K14&lt;&gt;""),"PASS","FAIL"))</x:f>
        <x:v>OPEN</x:v>
      </x:c>
    </x:row>
    <x:row r="15">
      <x:c r="B15" s="28" t="str">
        <x:v>CR-09</x:v>
      </x:c>
      <x:c r="C15" s="28" t="str">
        <x:f>IF(D15="","",INDEX('Cell Credits'!$J$7:$J$30,MATCH(D15,'Cell Credits'!$B$7:$B$30,0)))</x:f>
      </x:c>
      <x:c r="D15" s="28" t="str">
        <x:f>'Wave Schedule'!K15</x:f>
      </x:c>
      <x:c r="E15" s="29" t="str"/>
      <x:c r="F15" s="29" t="n">
        <x:v>40</x:v>
      </x:c>
      <x:c r="G15" s="29" t="str"/>
      <x:c r="H15" s="29" t="str"/>
      <x:c r="I15" s="29" t="str"/>
      <x:c r="J15" s="29" t="str"/>
      <x:c r="K15" s="29" t="str"/>
      <x:c r="L15" s="28" t="str">
        <x:f>IF(K15="","OPEN",IF(AND(D15&lt;&gt;"",E15&lt;&gt;"",G15=F15,ISNUMBER(H15),ISNUMBER(I15),I15&gt;H15,J15&gt;=12,K15&lt;&gt;""),"PASS","FAIL"))</x:f>
        <x:v>OPEN</x:v>
      </x:c>
    </x:row>
    <x:row r="16">
      <x:c r="B16" s="28" t="str">
        <x:v>CR-10</x:v>
      </x:c>
      <x:c r="C16" s="28" t="str">
        <x:f>IF(D16="","",INDEX('Cell Credits'!$J$7:$J$30,MATCH(D16,'Cell Credits'!$B$7:$B$30,0)))</x:f>
      </x:c>
      <x:c r="D16" s="28" t="str">
        <x:f>'Wave Schedule'!K16</x:f>
      </x:c>
      <x:c r="E16" s="29" t="str"/>
      <x:c r="F16" s="29" t="n">
        <x:v>40</x:v>
      </x:c>
      <x:c r="G16" s="29" t="str"/>
      <x:c r="H16" s="29" t="str"/>
      <x:c r="I16" s="29" t="str"/>
      <x:c r="J16" s="29" t="str"/>
      <x:c r="K16" s="29" t="str"/>
      <x:c r="L16" s="28" t="str">
        <x:f>IF(K16="","OPEN",IF(AND(D16&lt;&gt;"",E16&lt;&gt;"",G16=F16,ISNUMBER(H16),ISNUMBER(I16),I16&gt;H16,J16&gt;=12,K16&lt;&gt;""),"PASS","FAIL"))</x:f>
        <x:v>OPEN</x:v>
      </x:c>
    </x:row>
    <x:row r="17">
      <x:c r="B17" s="28" t="str">
        <x:v>CR-11</x:v>
      </x:c>
      <x:c r="C17" s="28" t="str">
        <x:f>IF(D17="","",INDEX('Cell Credits'!$J$7:$J$30,MATCH(D17,'Cell Credits'!$B$7:$B$30,0)))</x:f>
      </x:c>
      <x:c r="D17" s="28" t="str">
        <x:f>'Wave Schedule'!K17</x:f>
      </x:c>
      <x:c r="E17" s="29" t="str"/>
      <x:c r="F17" s="29" t="n">
        <x:v>40</x:v>
      </x:c>
      <x:c r="G17" s="29" t="str"/>
      <x:c r="H17" s="29" t="str"/>
      <x:c r="I17" s="29" t="str"/>
      <x:c r="J17" s="29" t="str"/>
      <x:c r="K17" s="29" t="str"/>
      <x:c r="L17" s="28" t="str">
        <x:f>IF(K17="","OPEN",IF(AND(D17&lt;&gt;"",E17&lt;&gt;"",G17=F17,ISNUMBER(H17),ISNUMBER(I17),I17&gt;H17,J17&gt;=12,K17&lt;&gt;""),"PASS","FAIL"))</x:f>
        <x:v>OPEN</x:v>
      </x:c>
    </x:row>
    <x:row r="18">
      <x:c r="B18" s="28" t="str">
        <x:v>CR-12</x:v>
      </x:c>
      <x:c r="C18" s="28" t="str">
        <x:f>IF(D18="","",INDEX('Cell Credits'!$J$7:$J$30,MATCH(D18,'Cell Credits'!$B$7:$B$30,0)))</x:f>
      </x:c>
      <x:c r="D18" s="28" t="str">
        <x:f>'Wave Schedule'!K18</x:f>
      </x:c>
      <x:c r="E18" s="29" t="str"/>
      <x:c r="F18" s="29" t="n">
        <x:v>40</x:v>
      </x:c>
      <x:c r="G18" s="29" t="str"/>
      <x:c r="H18" s="29" t="str"/>
      <x:c r="I18" s="29" t="str"/>
      <x:c r="J18" s="29" t="str"/>
      <x:c r="K18" s="29" t="str"/>
      <x:c r="L18" s="28" t="str">
        <x:f>IF(K18="","OPEN",IF(AND(D18&lt;&gt;"",E18&lt;&gt;"",G18=F18,ISNUMBER(H18),ISNUMBER(I18),I18&gt;H18,J18&gt;=12,K18&lt;&gt;""),"PASS","FAIL"))</x:f>
        <x:v>OPEN</x:v>
      </x:c>
    </x:row>
    <x:row r="19">
      <x:c r="B19" s="28" t="str">
        <x:v>CR-13</x:v>
      </x:c>
      <x:c r="C19" s="28" t="str">
        <x:f>IF(D19="","",INDEX('Cell Credits'!$J$7:$J$30,MATCH(D19,'Cell Credits'!$B$7:$B$30,0)))</x:f>
      </x:c>
      <x:c r="D19" s="28" t="str">
        <x:f>'Wave Schedule'!K19</x:f>
      </x:c>
      <x:c r="E19" s="29" t="str"/>
      <x:c r="F19" s="29" t="n">
        <x:v>40</x:v>
      </x:c>
      <x:c r="G19" s="29" t="str"/>
      <x:c r="H19" s="29" t="str"/>
      <x:c r="I19" s="29" t="str"/>
      <x:c r="J19" s="29" t="str"/>
      <x:c r="K19" s="29" t="str"/>
      <x:c r="L19" s="28" t="str">
        <x:f>IF(K19="","OPEN",IF(AND(D19&lt;&gt;"",E19&lt;&gt;"",G19=F19,ISNUMBER(H19),ISNUMBER(I19),I19&gt;H19,J19&gt;=12,K19&lt;&gt;""),"PASS","FAIL"))</x:f>
        <x:v>OPEN</x:v>
      </x:c>
    </x:row>
    <x:row r="20">
      <x:c r="B20" s="28" t="str">
        <x:v>CR-14</x:v>
      </x:c>
      <x:c r="C20" s="28" t="str">
        <x:f>IF(D20="","",INDEX('Cell Credits'!$J$7:$J$30,MATCH(D20,'Cell Credits'!$B$7:$B$30,0)))</x:f>
      </x:c>
      <x:c r="D20" s="28" t="str">
        <x:f>'Wave Schedule'!K20</x:f>
      </x:c>
      <x:c r="E20" s="29" t="str"/>
      <x:c r="F20" s="29" t="n">
        <x:v>40</x:v>
      </x:c>
      <x:c r="G20" s="29" t="str"/>
      <x:c r="H20" s="29" t="str"/>
      <x:c r="I20" s="29" t="str"/>
      <x:c r="J20" s="29" t="str"/>
      <x:c r="K20" s="29" t="str"/>
      <x:c r="L20" s="28" t="str">
        <x:f>IF(K20="","OPEN",IF(AND(D20&lt;&gt;"",E20&lt;&gt;"",G20=F20,ISNUMBER(H20),ISNUMBER(I20),I20&gt;H20,J20&gt;=12,K20&lt;&gt;""),"PASS","FAIL"))</x:f>
        <x:v>OPEN</x:v>
      </x:c>
    </x:row>
    <x:row r="21">
      <x:c r="B21" s="28" t="str">
        <x:v>CR-15</x:v>
      </x:c>
      <x:c r="C21" s="28" t="str">
        <x:f>IF(D21="","",INDEX('Cell Credits'!$J$7:$J$30,MATCH(D21,'Cell Credits'!$B$7:$B$30,0)))</x:f>
      </x:c>
      <x:c r="D21" s="28" t="str">
        <x:f>'Wave Schedule'!K21</x:f>
      </x:c>
      <x:c r="E21" s="29" t="str"/>
      <x:c r="F21" s="29" t="n">
        <x:v>40</x:v>
      </x:c>
      <x:c r="G21" s="29" t="str"/>
      <x:c r="H21" s="29" t="str"/>
      <x:c r="I21" s="29" t="str"/>
      <x:c r="J21" s="29" t="str"/>
      <x:c r="K21" s="29" t="str"/>
      <x:c r="L21" s="28" t="str">
        <x:f>IF(K21="","OPEN",IF(AND(D21&lt;&gt;"",E21&lt;&gt;"",G21=F21,ISNUMBER(H21),ISNUMBER(I21),I21&gt;H21,J21&gt;=12,K21&lt;&gt;""),"PASS","FAIL"))</x:f>
        <x:v>OPEN</x:v>
      </x:c>
    </x:row>
    <x:row r="22">
      <x:c r="B22" s="28" t="str">
        <x:v>CR-16</x:v>
      </x:c>
      <x:c r="C22" s="28" t="str">
        <x:f>IF(D22="","",INDEX('Cell Credits'!$J$7:$J$30,MATCH(D22,'Cell Credits'!$B$7:$B$30,0)))</x:f>
      </x:c>
      <x:c r="D22" s="28" t="str">
        <x:f>'Wave Schedule'!K22</x:f>
      </x:c>
      <x:c r="E22" s="29" t="str"/>
      <x:c r="F22" s="29" t="n">
        <x:v>40</x:v>
      </x:c>
      <x:c r="G22" s="29" t="str"/>
      <x:c r="H22" s="29" t="str"/>
      <x:c r="I22" s="29" t="str"/>
      <x:c r="J22" s="29" t="str"/>
      <x:c r="K22" s="29" t="str"/>
      <x:c r="L22" s="28" t="str">
        <x:f>IF(K22="","OPEN",IF(AND(D22&lt;&gt;"",E22&lt;&gt;"",G22=F22,ISNUMBER(H22),ISNUMBER(I22),I22&gt;H22,J22&gt;=12,K22&lt;&gt;""),"PASS","FAIL"))</x:f>
        <x:v>OPEN</x:v>
      </x:c>
    </x:row>
    <x:row r="23">
      <x:c r="B23" s="28" t="str">
        <x:v>CR-17</x:v>
      </x:c>
      <x:c r="C23" s="28" t="str">
        <x:f>IF(D23="","",INDEX('Cell Credits'!$J$7:$J$30,MATCH(D23,'Cell Credits'!$B$7:$B$30,0)))</x:f>
      </x:c>
      <x:c r="D23" s="28" t="str">
        <x:f>'Wave Schedule'!K23</x:f>
      </x:c>
      <x:c r="E23" s="29" t="str"/>
      <x:c r="F23" s="29" t="n">
        <x:v>40</x:v>
      </x:c>
      <x:c r="G23" s="29" t="str"/>
      <x:c r="H23" s="29" t="str"/>
      <x:c r="I23" s="29" t="str"/>
      <x:c r="J23" s="29" t="str"/>
      <x:c r="K23" s="29" t="str"/>
      <x:c r="L23" s="28" t="str">
        <x:f>IF(K23="","OPEN",IF(AND(D23&lt;&gt;"",E23&lt;&gt;"",G23=F23,ISNUMBER(H23),ISNUMBER(I23),I23&gt;H23,J23&gt;=12,K23&lt;&gt;""),"PASS","FAIL"))</x:f>
        <x:v>OPEN</x:v>
      </x:c>
    </x:row>
    <x:row r="24">
      <x:c r="B24" s="28" t="str">
        <x:v>CR-18</x:v>
      </x:c>
      <x:c r="C24" s="28" t="str">
        <x:f>IF(D24="","",INDEX('Cell Credits'!$J$7:$J$30,MATCH(D24,'Cell Credits'!$B$7:$B$30,0)))</x:f>
      </x:c>
      <x:c r="D24" s="28" t="str">
        <x:f>'Wave Schedule'!K24</x:f>
      </x:c>
      <x:c r="E24" s="29" t="str"/>
      <x:c r="F24" s="29" t="n">
        <x:v>40</x:v>
      </x:c>
      <x:c r="G24" s="29" t="str"/>
      <x:c r="H24" s="29" t="str"/>
      <x:c r="I24" s="29" t="str"/>
      <x:c r="J24" s="29" t="str"/>
      <x:c r="K24" s="29" t="str"/>
      <x:c r="L24" s="28" t="str">
        <x:f>IF(K24="","OPEN",IF(AND(D24&lt;&gt;"",E24&lt;&gt;"",G24=F24,ISNUMBER(H24),ISNUMBER(I24),I24&gt;H24,J24&gt;=12,K24&lt;&gt;""),"PASS","FAIL"))</x:f>
        <x:v>OPEN</x:v>
      </x:c>
    </x:row>
    <x:row r="25">
      <x:c r="B25" s="28" t="str">
        <x:v>CR-19</x:v>
      </x:c>
      <x:c r="C25" s="28" t="str">
        <x:f>IF(D25="","",INDEX('Cell Credits'!$J$7:$J$30,MATCH(D25,'Cell Credits'!$B$7:$B$30,0)))</x:f>
      </x:c>
      <x:c r="D25" s="28" t="str">
        <x:f>'Wave Schedule'!K25</x:f>
      </x:c>
      <x:c r="E25" s="29" t="str"/>
      <x:c r="F25" s="29" t="n">
        <x:v>40</x:v>
      </x:c>
      <x:c r="G25" s="29" t="str"/>
      <x:c r="H25" s="29" t="str"/>
      <x:c r="I25" s="29" t="str"/>
      <x:c r="J25" s="29" t="str"/>
      <x:c r="K25" s="29" t="str"/>
      <x:c r="L25" s="28" t="str">
        <x:f>IF(K25="","OPEN",IF(AND(D25&lt;&gt;"",E25&lt;&gt;"",G25=F25,ISNUMBER(H25),ISNUMBER(I25),I25&gt;H25,J25&gt;=12,K25&lt;&gt;""),"PASS","FAIL"))</x:f>
        <x:v>OPEN</x:v>
      </x:c>
    </x:row>
    <x:row r="26">
      <x:c r="B26" s="28" t="str">
        <x:v>CR-20</x:v>
      </x:c>
      <x:c r="C26" s="28" t="str">
        <x:f>IF(D26="","",INDEX('Cell Credits'!$J$7:$J$30,MATCH(D26,'Cell Credits'!$B$7:$B$30,0)))</x:f>
      </x:c>
      <x:c r="D26" s="28" t="str">
        <x:f>'Wave Schedule'!K26</x:f>
      </x:c>
      <x:c r="E26" s="29" t="str"/>
      <x:c r="F26" s="29" t="n">
        <x:v>40</x:v>
      </x:c>
      <x:c r="G26" s="29" t="str"/>
      <x:c r="H26" s="29" t="str"/>
      <x:c r="I26" s="29" t="str"/>
      <x:c r="J26" s="29" t="str"/>
      <x:c r="K26" s="29" t="str"/>
      <x:c r="L26" s="28" t="str">
        <x:f>IF(K26="","OPEN",IF(AND(D26&lt;&gt;"",E26&lt;&gt;"",G26=F26,ISNUMBER(H26),ISNUMBER(I26),I26&gt;H26,J26&gt;=12,K26&lt;&gt;""),"PASS","FAIL"))</x:f>
        <x:v>OPEN</x:v>
      </x:c>
    </x:row>
    <x:row r="27">
      <x:c r="B27" s="28" t="str">
        <x:v>CR-21</x:v>
      </x:c>
      <x:c r="C27" s="28" t="str">
        <x:f>IF(D27="","",INDEX('Cell Credits'!$J$7:$J$30,MATCH(D27,'Cell Credits'!$B$7:$B$30,0)))</x:f>
      </x:c>
      <x:c r="D27" s="28" t="str">
        <x:f>'Wave Schedule'!K27</x:f>
      </x:c>
      <x:c r="E27" s="29" t="str"/>
      <x:c r="F27" s="29" t="n">
        <x:v>40</x:v>
      </x:c>
      <x:c r="G27" s="29" t="str"/>
      <x:c r="H27" s="29" t="str"/>
      <x:c r="I27" s="29" t="str"/>
      <x:c r="J27" s="29" t="str"/>
      <x:c r="K27" s="29" t="str"/>
      <x:c r="L27" s="28" t="str">
        <x:f>IF(K27="","OPEN",IF(AND(D27&lt;&gt;"",E27&lt;&gt;"",G27=F27,ISNUMBER(H27),ISNUMBER(I27),I27&gt;H27,J27&gt;=12,K27&lt;&gt;""),"PASS","FAIL"))</x:f>
        <x:v>OPEN</x:v>
      </x:c>
    </x:row>
    <x:row r="28">
      <x:c r="B28" s="28" t="str">
        <x:v>CR-22</x:v>
      </x:c>
      <x:c r="C28" s="28" t="str">
        <x:f>IF(D28="","",INDEX('Cell Credits'!$J$7:$J$30,MATCH(D28,'Cell Credits'!$B$7:$B$30,0)))</x:f>
      </x:c>
      <x:c r="D28" s="28" t="str">
        <x:f>'Wave Schedule'!K28</x:f>
      </x:c>
      <x:c r="E28" s="29" t="str"/>
      <x:c r="F28" s="29" t="n">
        <x:v>40</x:v>
      </x:c>
      <x:c r="G28" s="29" t="str"/>
      <x:c r="H28" s="29" t="str"/>
      <x:c r="I28" s="29" t="str"/>
      <x:c r="J28" s="29" t="str"/>
      <x:c r="K28" s="29" t="str"/>
      <x:c r="L28" s="28" t="str">
        <x:f>IF(K28="","OPEN",IF(AND(D28&lt;&gt;"",E28&lt;&gt;"",G28=F28,ISNUMBER(H28),ISNUMBER(I28),I28&gt;H28,J28&gt;=12,K28&lt;&gt;""),"PASS","FAIL"))</x:f>
        <x:v>OPEN</x:v>
      </x:c>
    </x:row>
    <x:row r="29">
      <x:c r="B29" s="28" t="str">
        <x:v>CR-23</x:v>
      </x:c>
      <x:c r="C29" s="28" t="str">
        <x:f>IF(D29="","",INDEX('Cell Credits'!$J$7:$J$30,MATCH(D29,'Cell Credits'!$B$7:$B$30,0)))</x:f>
      </x:c>
      <x:c r="D29" s="28" t="str">
        <x:f>'Wave Schedule'!K29</x:f>
      </x:c>
      <x:c r="E29" s="29" t="str"/>
      <x:c r="F29" s="29" t="n">
        <x:v>40</x:v>
      </x:c>
      <x:c r="G29" s="29" t="str"/>
      <x:c r="H29" s="29" t="str"/>
      <x:c r="I29" s="29" t="str"/>
      <x:c r="J29" s="29" t="str"/>
      <x:c r="K29" s="29" t="str"/>
      <x:c r="L29" s="28" t="str">
        <x:f>IF(K29="","OPEN",IF(AND(D29&lt;&gt;"",E29&lt;&gt;"",G29=F29,ISNUMBER(H29),ISNUMBER(I29),I29&gt;H29,J29&gt;=12,K29&lt;&gt;""),"PASS","FAIL"))</x:f>
        <x:v>OPEN</x:v>
      </x:c>
    </x:row>
    <x:row r="30">
      <x:c r="B30" s="28" t="str">
        <x:v>CR-24</x:v>
      </x:c>
      <x:c r="C30" s="28" t="str">
        <x:f>IF(D30="","",INDEX('Cell Credits'!$J$7:$J$30,MATCH(D30,'Cell Credits'!$B$7:$B$30,0)))</x:f>
      </x:c>
      <x:c r="D30" s="28" t="n">
        <x:f>'Wave Schedule'!K30</x:f>
        <x:v>0</x:v>
      </x:c>
      <x:c r="E30" s="29" t="str"/>
      <x:c r="F30" s="29" t="n">
        <x:v>40</x:v>
      </x:c>
      <x:c r="G30" s="29" t="str"/>
      <x:c r="H30" s="29" t="str"/>
      <x:c r="I30" s="29" t="str"/>
      <x:c r="J30" s="29" t="str"/>
      <x:c r="K30" s="29" t="str"/>
      <x:c r="L30" s="28" t="str">
        <x:f>IF(K30="","OPEN",IF(AND(D30&lt;&gt;"",E30&lt;&gt;"",G30=F30,ISNUMBER(H30),ISNUMBER(I30),I30&gt;H30,J30&gt;=12,K30&lt;&gt;""),"PASS","FAIL"))</x:f>
        <x:v>OPEN</x:v>
      </x:c>
    </x:row>
  </x:sheetData>
  <x:conditionalFormatting sqref="L7:L30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INVALID"/>
    <x:cfRule type="containsText" dxfId="111" priority="4" operator="containsText" text="ADVERSE"/>
    <x:cfRule type="containsText" dxfId="112" priority="5" operator="containsText" text="EXPIRED"/>
    <x:cfRule type="containsText" dxfId="113" priority="6" operator="containsText" text="OPEN"/>
    <x:cfRule type="containsText" dxfId="114" priority="7" operator="containsText" text="DORMANT"/>
    <x:cfRule type="containsText" dxfId="115" priority="8" operator="containsText" text="PASS"/>
    <x:cfRule type="containsText" dxfId="116" priority="9" operator="containsText" text="AVAILABLE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42" hidden="0" customWidth="1"/>
    <x:col min="5" max="5" width="18" hidden="0" customWidth="1"/>
    <x:col min="6" max="6" width="22" hidden="0" customWidth="1"/>
    <x:col min="7" max="7" width="24" hidden="0" customWidth="1"/>
    <x:col min="8" max="8" width="34" hidden="0" customWidth="1"/>
    <x:col min="9" max="9" width="34" hidden="0" customWidth="1"/>
    <x:col min="10" max="10" width="22" hidden="0" customWidth="1"/>
    <x:col min="11" max="11" width="16" hidden="0" customWidth="1"/>
  </x:cols>
  <x:sheetData>
    <x:row r="2">
      <x:c r="B2" s="23" t="str">
        <x:v>Twenty-four truth-root deployments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25" t="str">
        <x:v>The credited root and its unlike witness both travel with current calibration and custody roots. No campus may substitute a local chain.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24" customHeight="1">
      <x:c r="B6" s="6" t="str">
        <x:v>Deployment</x:v>
      </x:c>
      <x:c r="C6" s="6" t="str">
        <x:v>Token</x:v>
      </x:c>
      <x:c r="D6" s="6" t="str">
        <x:v>Cell</x:v>
      </x:c>
      <x:c r="E6" s="6" t="str">
        <x:v>Credit root</x:v>
      </x:c>
      <x:c r="F6" s="6" t="str">
        <x:v>Unlike witness root</x:v>
      </x:c>
      <x:c r="G6" s="6" t="str">
        <x:v>Root kit</x:v>
      </x:c>
      <x:c r="H6" s="6" t="str">
        <x:v>Calibration root</x:v>
      </x:c>
      <x:c r="I6" s="6" t="str">
        <x:v>Custody root</x:v>
      </x:c>
      <x:c r="J6" s="6" t="str">
        <x:v>Accepted UTC</x:v>
      </x:c>
      <x:c r="K6" s="6" t="str">
        <x:v>State</x:v>
      </x:c>
    </x:row>
    <x:row r="7">
      <x:c r="B7" s="28" t="str">
        <x:v>RD-01</x:v>
      </x:c>
      <x:c r="C7" s="28" t="str">
        <x:f>IF(D7="","",INDEX('Cell Credits'!$J$7:$J$30,MATCH(D7,'Cell Credits'!$B$7:$B$30,0)))</x:f>
      </x:c>
      <x:c r="D7" s="28" t="str">
        <x:f>'Wave Schedule'!K7</x:f>
      </x:c>
      <x:c r="E7" s="28" t="str">
        <x:f>'Wave Schedule'!J7</x:f>
      </x:c>
      <x:c r="F7" s="28" t="str">
        <x:f>IF(E7="","",IF(E7="TR-A","TR-B","TR-A"))</x:f>
      </x:c>
      <x:c r="G7" s="29" t="str"/>
      <x:c r="H7" s="29" t="str"/>
      <x:c r="I7" s="29" t="str"/>
      <x:c r="J7" s="29" t="str"/>
      <x:c r="K7" s="28" t="str">
        <x:f>IF(J7="","OPEN",IF(AND(D7&lt;&gt;"",E7&lt;&gt;F7,G7&lt;&gt;"",H7&lt;&gt;"",I7&lt;&gt;""),"PASS","FAIL"))</x:f>
        <x:v>OPEN</x:v>
      </x:c>
    </x:row>
    <x:row r="8">
      <x:c r="B8" s="28" t="str">
        <x:v>RD-02</x:v>
      </x:c>
      <x:c r="C8" s="28" t="str">
        <x:f>IF(D8="","",INDEX('Cell Credits'!$J$7:$J$30,MATCH(D8,'Cell Credits'!$B$7:$B$30,0)))</x:f>
      </x:c>
      <x:c r="D8" s="28" t="str">
        <x:f>'Wave Schedule'!K8</x:f>
      </x:c>
      <x:c r="E8" s="28" t="str">
        <x:f>'Wave Schedule'!J8</x:f>
      </x:c>
      <x:c r="F8" s="28" t="str">
        <x:f>IF(E8="","",IF(E8="TR-A","TR-B","TR-A"))</x:f>
      </x:c>
      <x:c r="G8" s="29" t="str"/>
      <x:c r="H8" s="29" t="str"/>
      <x:c r="I8" s="29" t="str"/>
      <x:c r="J8" s="29" t="str"/>
      <x:c r="K8" s="28" t="str">
        <x:f>IF(J8="","OPEN",IF(AND(D8&lt;&gt;"",E8&lt;&gt;F8,G8&lt;&gt;"",H8&lt;&gt;"",I8&lt;&gt;""),"PASS","FAIL"))</x:f>
        <x:v>OPEN</x:v>
      </x:c>
    </x:row>
    <x:row r="9">
      <x:c r="B9" s="28" t="str">
        <x:v>RD-03</x:v>
      </x:c>
      <x:c r="C9" s="28" t="str">
        <x:f>IF(D9="","",INDEX('Cell Credits'!$J$7:$J$30,MATCH(D9,'Cell Credits'!$B$7:$B$30,0)))</x:f>
      </x:c>
      <x:c r="D9" s="28" t="str">
        <x:f>'Wave Schedule'!K9</x:f>
      </x:c>
      <x:c r="E9" s="28" t="str">
        <x:f>'Wave Schedule'!J9</x:f>
      </x:c>
      <x:c r="F9" s="28" t="str">
        <x:f>IF(E9="","",IF(E9="TR-A","TR-B","TR-A"))</x:f>
      </x:c>
      <x:c r="G9" s="29" t="str"/>
      <x:c r="H9" s="29" t="str"/>
      <x:c r="I9" s="29" t="str"/>
      <x:c r="J9" s="29" t="str"/>
      <x:c r="K9" s="28" t="str">
        <x:f>IF(J9="","OPEN",IF(AND(D9&lt;&gt;"",E9&lt;&gt;F9,G9&lt;&gt;"",H9&lt;&gt;"",I9&lt;&gt;""),"PASS","FAIL"))</x:f>
        <x:v>OPEN</x:v>
      </x:c>
    </x:row>
    <x:row r="10">
      <x:c r="B10" s="28" t="str">
        <x:v>RD-04</x:v>
      </x:c>
      <x:c r="C10" s="28" t="str">
        <x:f>IF(D10="","",INDEX('Cell Credits'!$J$7:$J$30,MATCH(D10,'Cell Credits'!$B$7:$B$30,0)))</x:f>
      </x:c>
      <x:c r="D10" s="28" t="str">
        <x:f>'Wave Schedule'!K10</x:f>
      </x:c>
      <x:c r="E10" s="28" t="str">
        <x:f>'Wave Schedule'!J10</x:f>
      </x:c>
      <x:c r="F10" s="28" t="str">
        <x:f>IF(E10="","",IF(E10="TR-A","TR-B","TR-A"))</x:f>
      </x:c>
      <x:c r="G10" s="29" t="str"/>
      <x:c r="H10" s="29" t="str"/>
      <x:c r="I10" s="29" t="str"/>
      <x:c r="J10" s="29" t="str"/>
      <x:c r="K10" s="28" t="str">
        <x:f>IF(J10="","OPEN",IF(AND(D10&lt;&gt;"",E10&lt;&gt;F10,G10&lt;&gt;"",H10&lt;&gt;"",I10&lt;&gt;""),"PASS","FAIL"))</x:f>
        <x:v>OPEN</x:v>
      </x:c>
    </x:row>
    <x:row r="11">
      <x:c r="B11" s="28" t="str">
        <x:v>RD-05</x:v>
      </x:c>
      <x:c r="C11" s="28" t="str">
        <x:f>IF(D11="","",INDEX('Cell Credits'!$J$7:$J$30,MATCH(D11,'Cell Credits'!$B$7:$B$30,0)))</x:f>
      </x:c>
      <x:c r="D11" s="28" t="str">
        <x:f>'Wave Schedule'!K11</x:f>
      </x:c>
      <x:c r="E11" s="28" t="str">
        <x:f>'Wave Schedule'!J11</x:f>
      </x:c>
      <x:c r="F11" s="28" t="str">
        <x:f>IF(E11="","",IF(E11="TR-A","TR-B","TR-A"))</x:f>
      </x:c>
      <x:c r="G11" s="29" t="str"/>
      <x:c r="H11" s="29" t="str"/>
      <x:c r="I11" s="29" t="str"/>
      <x:c r="J11" s="29" t="str"/>
      <x:c r="K11" s="28" t="str">
        <x:f>IF(J11="","OPEN",IF(AND(D11&lt;&gt;"",E11&lt;&gt;F11,G11&lt;&gt;"",H11&lt;&gt;"",I11&lt;&gt;""),"PASS","FAIL"))</x:f>
        <x:v>OPEN</x:v>
      </x:c>
    </x:row>
    <x:row r="12">
      <x:c r="B12" s="28" t="str">
        <x:v>RD-06</x:v>
      </x:c>
      <x:c r="C12" s="28" t="str">
        <x:f>IF(D12="","",INDEX('Cell Credits'!$J$7:$J$30,MATCH(D12,'Cell Credits'!$B$7:$B$30,0)))</x:f>
      </x:c>
      <x:c r="D12" s="28" t="str">
        <x:f>'Wave Schedule'!K12</x:f>
      </x:c>
      <x:c r="E12" s="28" t="str">
        <x:f>'Wave Schedule'!J12</x:f>
      </x:c>
      <x:c r="F12" s="28" t="str">
        <x:f>IF(E12="","",IF(E12="TR-A","TR-B","TR-A"))</x:f>
      </x:c>
      <x:c r="G12" s="29" t="str"/>
      <x:c r="H12" s="29" t="str"/>
      <x:c r="I12" s="29" t="str"/>
      <x:c r="J12" s="29" t="str"/>
      <x:c r="K12" s="28" t="str">
        <x:f>IF(J12="","OPEN",IF(AND(D12&lt;&gt;"",E12&lt;&gt;F12,G12&lt;&gt;"",H12&lt;&gt;"",I12&lt;&gt;""),"PASS","FAIL"))</x:f>
        <x:v>OPEN</x:v>
      </x:c>
    </x:row>
    <x:row r="13">
      <x:c r="B13" s="28" t="str">
        <x:v>RD-07</x:v>
      </x:c>
      <x:c r="C13" s="28" t="str">
        <x:f>IF(D13="","",INDEX('Cell Credits'!$J$7:$J$30,MATCH(D13,'Cell Credits'!$B$7:$B$30,0)))</x:f>
      </x:c>
      <x:c r="D13" s="28" t="str">
        <x:f>'Wave Schedule'!K13</x:f>
      </x:c>
      <x:c r="E13" s="28" t="str">
        <x:f>'Wave Schedule'!J13</x:f>
      </x:c>
      <x:c r="F13" s="28" t="str">
        <x:f>IF(E13="","",IF(E13="TR-A","TR-B","TR-A"))</x:f>
      </x:c>
      <x:c r="G13" s="29" t="str"/>
      <x:c r="H13" s="29" t="str"/>
      <x:c r="I13" s="29" t="str"/>
      <x:c r="J13" s="29" t="str"/>
      <x:c r="K13" s="28" t="str">
        <x:f>IF(J13="","OPEN",IF(AND(D13&lt;&gt;"",E13&lt;&gt;F13,G13&lt;&gt;"",H13&lt;&gt;"",I13&lt;&gt;""),"PASS","FAIL"))</x:f>
        <x:v>OPEN</x:v>
      </x:c>
    </x:row>
    <x:row r="14">
      <x:c r="B14" s="28" t="str">
        <x:v>RD-08</x:v>
      </x:c>
      <x:c r="C14" s="28" t="str">
        <x:f>IF(D14="","",INDEX('Cell Credits'!$J$7:$J$30,MATCH(D14,'Cell Credits'!$B$7:$B$30,0)))</x:f>
      </x:c>
      <x:c r="D14" s="28" t="str">
        <x:f>'Wave Schedule'!K14</x:f>
      </x:c>
      <x:c r="E14" s="28" t="str">
        <x:f>'Wave Schedule'!J14</x:f>
      </x:c>
      <x:c r="F14" s="28" t="str">
        <x:f>IF(E14="","",IF(E14="TR-A","TR-B","TR-A"))</x:f>
      </x:c>
      <x:c r="G14" s="29" t="str"/>
      <x:c r="H14" s="29" t="str"/>
      <x:c r="I14" s="29" t="str"/>
      <x:c r="J14" s="29" t="str"/>
      <x:c r="K14" s="28" t="str">
        <x:f>IF(J14="","OPEN",IF(AND(D14&lt;&gt;"",E14&lt;&gt;F14,G14&lt;&gt;"",H14&lt;&gt;"",I14&lt;&gt;""),"PASS","FAIL"))</x:f>
        <x:v>OPEN</x:v>
      </x:c>
    </x:row>
    <x:row r="15">
      <x:c r="B15" s="28" t="str">
        <x:v>RD-09</x:v>
      </x:c>
      <x:c r="C15" s="28" t="str">
        <x:f>IF(D15="","",INDEX('Cell Credits'!$J$7:$J$30,MATCH(D15,'Cell Credits'!$B$7:$B$30,0)))</x:f>
      </x:c>
      <x:c r="D15" s="28" t="str">
        <x:f>'Wave Schedule'!K15</x:f>
      </x:c>
      <x:c r="E15" s="28" t="str">
        <x:f>'Wave Schedule'!J15</x:f>
      </x:c>
      <x:c r="F15" s="28" t="str">
        <x:f>IF(E15="","",IF(E15="TR-A","TR-B","TR-A"))</x:f>
      </x:c>
      <x:c r="G15" s="29" t="str"/>
      <x:c r="H15" s="29" t="str"/>
      <x:c r="I15" s="29" t="str"/>
      <x:c r="J15" s="29" t="str"/>
      <x:c r="K15" s="28" t="str">
        <x:f>IF(J15="","OPEN",IF(AND(D15&lt;&gt;"",E15&lt;&gt;F15,G15&lt;&gt;"",H15&lt;&gt;"",I15&lt;&gt;""),"PASS","FAIL"))</x:f>
        <x:v>OPEN</x:v>
      </x:c>
    </x:row>
    <x:row r="16">
      <x:c r="B16" s="28" t="str">
        <x:v>RD-10</x:v>
      </x:c>
      <x:c r="C16" s="28" t="str">
        <x:f>IF(D16="","",INDEX('Cell Credits'!$J$7:$J$30,MATCH(D16,'Cell Credits'!$B$7:$B$30,0)))</x:f>
      </x:c>
      <x:c r="D16" s="28" t="str">
        <x:f>'Wave Schedule'!K16</x:f>
      </x:c>
      <x:c r="E16" s="28" t="str">
        <x:f>'Wave Schedule'!J16</x:f>
      </x:c>
      <x:c r="F16" s="28" t="str">
        <x:f>IF(E16="","",IF(E16="TR-A","TR-B","TR-A"))</x:f>
      </x:c>
      <x:c r="G16" s="29" t="str"/>
      <x:c r="H16" s="29" t="str"/>
      <x:c r="I16" s="29" t="str"/>
      <x:c r="J16" s="29" t="str"/>
      <x:c r="K16" s="28" t="str">
        <x:f>IF(J16="","OPEN",IF(AND(D16&lt;&gt;"",E16&lt;&gt;F16,G16&lt;&gt;"",H16&lt;&gt;"",I16&lt;&gt;""),"PASS","FAIL"))</x:f>
        <x:v>OPEN</x:v>
      </x:c>
    </x:row>
    <x:row r="17">
      <x:c r="B17" s="28" t="str">
        <x:v>RD-11</x:v>
      </x:c>
      <x:c r="C17" s="28" t="str">
        <x:f>IF(D17="","",INDEX('Cell Credits'!$J$7:$J$30,MATCH(D17,'Cell Credits'!$B$7:$B$30,0)))</x:f>
      </x:c>
      <x:c r="D17" s="28" t="str">
        <x:f>'Wave Schedule'!K17</x:f>
      </x:c>
      <x:c r="E17" s="28" t="str">
        <x:f>'Wave Schedule'!J17</x:f>
      </x:c>
      <x:c r="F17" s="28" t="str">
        <x:f>IF(E17="","",IF(E17="TR-A","TR-B","TR-A"))</x:f>
      </x:c>
      <x:c r="G17" s="29" t="str"/>
      <x:c r="H17" s="29" t="str"/>
      <x:c r="I17" s="29" t="str"/>
      <x:c r="J17" s="29" t="str"/>
      <x:c r="K17" s="28" t="str">
        <x:f>IF(J17="","OPEN",IF(AND(D17&lt;&gt;"",E17&lt;&gt;F17,G17&lt;&gt;"",H17&lt;&gt;"",I17&lt;&gt;""),"PASS","FAIL"))</x:f>
        <x:v>OPEN</x:v>
      </x:c>
    </x:row>
    <x:row r="18">
      <x:c r="B18" s="28" t="str">
        <x:v>RD-12</x:v>
      </x:c>
      <x:c r="C18" s="28" t="str">
        <x:f>IF(D18="","",INDEX('Cell Credits'!$J$7:$J$30,MATCH(D18,'Cell Credits'!$B$7:$B$30,0)))</x:f>
      </x:c>
      <x:c r="D18" s="28" t="str">
        <x:f>'Wave Schedule'!K18</x:f>
      </x:c>
      <x:c r="E18" s="28" t="str">
        <x:f>'Wave Schedule'!J18</x:f>
      </x:c>
      <x:c r="F18" s="28" t="str">
        <x:f>IF(E18="","",IF(E18="TR-A","TR-B","TR-A"))</x:f>
      </x:c>
      <x:c r="G18" s="29" t="str"/>
      <x:c r="H18" s="29" t="str"/>
      <x:c r="I18" s="29" t="str"/>
      <x:c r="J18" s="29" t="str"/>
      <x:c r="K18" s="28" t="str">
        <x:f>IF(J18="","OPEN",IF(AND(D18&lt;&gt;"",E18&lt;&gt;F18,G18&lt;&gt;"",H18&lt;&gt;"",I18&lt;&gt;""),"PASS","FAIL"))</x:f>
        <x:v>OPEN</x:v>
      </x:c>
    </x:row>
    <x:row r="19">
      <x:c r="B19" s="28" t="str">
        <x:v>RD-13</x:v>
      </x:c>
      <x:c r="C19" s="28" t="str">
        <x:f>IF(D19="","",INDEX('Cell Credits'!$J$7:$J$30,MATCH(D19,'Cell Credits'!$B$7:$B$30,0)))</x:f>
      </x:c>
      <x:c r="D19" s="28" t="str">
        <x:f>'Wave Schedule'!K19</x:f>
      </x:c>
      <x:c r="E19" s="28" t="str">
        <x:f>'Wave Schedule'!J19</x:f>
      </x:c>
      <x:c r="F19" s="28" t="str">
        <x:f>IF(E19="","",IF(E19="TR-A","TR-B","TR-A"))</x:f>
      </x:c>
      <x:c r="G19" s="29" t="str"/>
      <x:c r="H19" s="29" t="str"/>
      <x:c r="I19" s="29" t="str"/>
      <x:c r="J19" s="29" t="str"/>
      <x:c r="K19" s="28" t="str">
        <x:f>IF(J19="","OPEN",IF(AND(D19&lt;&gt;"",E19&lt;&gt;F19,G19&lt;&gt;"",H19&lt;&gt;"",I19&lt;&gt;""),"PASS","FAIL"))</x:f>
        <x:v>OPEN</x:v>
      </x:c>
    </x:row>
    <x:row r="20">
      <x:c r="B20" s="28" t="str">
        <x:v>RD-14</x:v>
      </x:c>
      <x:c r="C20" s="28" t="str">
        <x:f>IF(D20="","",INDEX('Cell Credits'!$J$7:$J$30,MATCH(D20,'Cell Credits'!$B$7:$B$30,0)))</x:f>
      </x:c>
      <x:c r="D20" s="28" t="str">
        <x:f>'Wave Schedule'!K20</x:f>
      </x:c>
      <x:c r="E20" s="28" t="str">
        <x:f>'Wave Schedule'!J20</x:f>
      </x:c>
      <x:c r="F20" s="28" t="str">
        <x:f>IF(E20="","",IF(E20="TR-A","TR-B","TR-A"))</x:f>
      </x:c>
      <x:c r="G20" s="29" t="str"/>
      <x:c r="H20" s="29" t="str"/>
      <x:c r="I20" s="29" t="str"/>
      <x:c r="J20" s="29" t="str"/>
      <x:c r="K20" s="28" t="str">
        <x:f>IF(J20="","OPEN",IF(AND(D20&lt;&gt;"",E20&lt;&gt;F20,G20&lt;&gt;"",H20&lt;&gt;"",I20&lt;&gt;""),"PASS","FAIL"))</x:f>
        <x:v>OPEN</x:v>
      </x:c>
    </x:row>
    <x:row r="21">
      <x:c r="B21" s="28" t="str">
        <x:v>RD-15</x:v>
      </x:c>
      <x:c r="C21" s="28" t="str">
        <x:f>IF(D21="","",INDEX('Cell Credits'!$J$7:$J$30,MATCH(D21,'Cell Credits'!$B$7:$B$30,0)))</x:f>
      </x:c>
      <x:c r="D21" s="28" t="str">
        <x:f>'Wave Schedule'!K21</x:f>
      </x:c>
      <x:c r="E21" s="28" t="str">
        <x:f>'Wave Schedule'!J21</x:f>
      </x:c>
      <x:c r="F21" s="28" t="str">
        <x:f>IF(E21="","",IF(E21="TR-A","TR-B","TR-A"))</x:f>
      </x:c>
      <x:c r="G21" s="29" t="str"/>
      <x:c r="H21" s="29" t="str"/>
      <x:c r="I21" s="29" t="str"/>
      <x:c r="J21" s="29" t="str"/>
      <x:c r="K21" s="28" t="str">
        <x:f>IF(J21="","OPEN",IF(AND(D21&lt;&gt;"",E21&lt;&gt;F21,G21&lt;&gt;"",H21&lt;&gt;"",I21&lt;&gt;""),"PASS","FAIL"))</x:f>
        <x:v>OPEN</x:v>
      </x:c>
    </x:row>
    <x:row r="22">
      <x:c r="B22" s="28" t="str">
        <x:v>RD-16</x:v>
      </x:c>
      <x:c r="C22" s="28" t="str">
        <x:f>IF(D22="","",INDEX('Cell Credits'!$J$7:$J$30,MATCH(D22,'Cell Credits'!$B$7:$B$30,0)))</x:f>
      </x:c>
      <x:c r="D22" s="28" t="str">
        <x:f>'Wave Schedule'!K22</x:f>
      </x:c>
      <x:c r="E22" s="28" t="str">
        <x:f>'Wave Schedule'!J22</x:f>
      </x:c>
      <x:c r="F22" s="28" t="str">
        <x:f>IF(E22="","",IF(E22="TR-A","TR-B","TR-A"))</x:f>
      </x:c>
      <x:c r="G22" s="29" t="str"/>
      <x:c r="H22" s="29" t="str"/>
      <x:c r="I22" s="29" t="str"/>
      <x:c r="J22" s="29" t="str"/>
      <x:c r="K22" s="28" t="str">
        <x:f>IF(J22="","OPEN",IF(AND(D22&lt;&gt;"",E22&lt;&gt;F22,G22&lt;&gt;"",H22&lt;&gt;"",I22&lt;&gt;""),"PASS","FAIL"))</x:f>
        <x:v>OPEN</x:v>
      </x:c>
    </x:row>
    <x:row r="23">
      <x:c r="B23" s="28" t="str">
        <x:v>RD-17</x:v>
      </x:c>
      <x:c r="C23" s="28" t="str">
        <x:f>IF(D23="","",INDEX('Cell Credits'!$J$7:$J$30,MATCH(D23,'Cell Credits'!$B$7:$B$30,0)))</x:f>
      </x:c>
      <x:c r="D23" s="28" t="str">
        <x:f>'Wave Schedule'!K23</x:f>
      </x:c>
      <x:c r="E23" s="28" t="str">
        <x:f>'Wave Schedule'!J23</x:f>
      </x:c>
      <x:c r="F23" s="28" t="str">
        <x:f>IF(E23="","",IF(E23="TR-A","TR-B","TR-A"))</x:f>
      </x:c>
      <x:c r="G23" s="29" t="str"/>
      <x:c r="H23" s="29" t="str"/>
      <x:c r="I23" s="29" t="str"/>
      <x:c r="J23" s="29" t="str"/>
      <x:c r="K23" s="28" t="str">
        <x:f>IF(J23="","OPEN",IF(AND(D23&lt;&gt;"",E23&lt;&gt;F23,G23&lt;&gt;"",H23&lt;&gt;"",I23&lt;&gt;""),"PASS","FAIL"))</x:f>
        <x:v>OPEN</x:v>
      </x:c>
    </x:row>
    <x:row r="24">
      <x:c r="B24" s="28" t="str">
        <x:v>RD-18</x:v>
      </x:c>
      <x:c r="C24" s="28" t="str">
        <x:f>IF(D24="","",INDEX('Cell Credits'!$J$7:$J$30,MATCH(D24,'Cell Credits'!$B$7:$B$30,0)))</x:f>
      </x:c>
      <x:c r="D24" s="28" t="str">
        <x:f>'Wave Schedule'!K24</x:f>
      </x:c>
      <x:c r="E24" s="28" t="str">
        <x:f>'Wave Schedule'!J24</x:f>
      </x:c>
      <x:c r="F24" s="28" t="str">
        <x:f>IF(E24="","",IF(E24="TR-A","TR-B","TR-A"))</x:f>
      </x:c>
      <x:c r="G24" s="29" t="str"/>
      <x:c r="H24" s="29" t="str"/>
      <x:c r="I24" s="29" t="str"/>
      <x:c r="J24" s="29" t="str"/>
      <x:c r="K24" s="28" t="str">
        <x:f>IF(J24="","OPEN",IF(AND(D24&lt;&gt;"",E24&lt;&gt;F24,G24&lt;&gt;"",H24&lt;&gt;"",I24&lt;&gt;""),"PASS","FAIL"))</x:f>
        <x:v>OPEN</x:v>
      </x:c>
    </x:row>
    <x:row r="25">
      <x:c r="B25" s="28" t="str">
        <x:v>RD-19</x:v>
      </x:c>
      <x:c r="C25" s="28" t="str">
        <x:f>IF(D25="","",INDEX('Cell Credits'!$J$7:$J$30,MATCH(D25,'Cell Credits'!$B$7:$B$30,0)))</x:f>
      </x:c>
      <x:c r="D25" s="28" t="str">
        <x:f>'Wave Schedule'!K25</x:f>
      </x:c>
      <x:c r="E25" s="28" t="str">
        <x:f>'Wave Schedule'!J25</x:f>
      </x:c>
      <x:c r="F25" s="28" t="str">
        <x:f>IF(E25="","",IF(E25="TR-A","TR-B","TR-A"))</x:f>
      </x:c>
      <x:c r="G25" s="29" t="str"/>
      <x:c r="H25" s="29" t="str"/>
      <x:c r="I25" s="29" t="str"/>
      <x:c r="J25" s="29" t="str"/>
      <x:c r="K25" s="28" t="str">
        <x:f>IF(J25="","OPEN",IF(AND(D25&lt;&gt;"",E25&lt;&gt;F25,G25&lt;&gt;"",H25&lt;&gt;"",I25&lt;&gt;""),"PASS","FAIL"))</x:f>
        <x:v>OPEN</x:v>
      </x:c>
    </x:row>
    <x:row r="26">
      <x:c r="B26" s="28" t="str">
        <x:v>RD-20</x:v>
      </x:c>
      <x:c r="C26" s="28" t="str">
        <x:f>IF(D26="","",INDEX('Cell Credits'!$J$7:$J$30,MATCH(D26,'Cell Credits'!$B$7:$B$30,0)))</x:f>
      </x:c>
      <x:c r="D26" s="28" t="str">
        <x:f>'Wave Schedule'!K26</x:f>
      </x:c>
      <x:c r="E26" s="28" t="str">
        <x:f>'Wave Schedule'!J26</x:f>
      </x:c>
      <x:c r="F26" s="28" t="str">
        <x:f>IF(E26="","",IF(E26="TR-A","TR-B","TR-A"))</x:f>
      </x:c>
      <x:c r="G26" s="29" t="str"/>
      <x:c r="H26" s="29" t="str"/>
      <x:c r="I26" s="29" t="str"/>
      <x:c r="J26" s="29" t="str"/>
      <x:c r="K26" s="28" t="str">
        <x:f>IF(J26="","OPEN",IF(AND(D26&lt;&gt;"",E26&lt;&gt;F26,G26&lt;&gt;"",H26&lt;&gt;"",I26&lt;&gt;""),"PASS","FAIL"))</x:f>
        <x:v>OPEN</x:v>
      </x:c>
    </x:row>
    <x:row r="27">
      <x:c r="B27" s="28" t="str">
        <x:v>RD-21</x:v>
      </x:c>
      <x:c r="C27" s="28" t="str">
        <x:f>IF(D27="","",INDEX('Cell Credits'!$J$7:$J$30,MATCH(D27,'Cell Credits'!$B$7:$B$30,0)))</x:f>
      </x:c>
      <x:c r="D27" s="28" t="str">
        <x:f>'Wave Schedule'!K27</x:f>
      </x:c>
      <x:c r="E27" s="28" t="str">
        <x:f>'Wave Schedule'!J27</x:f>
      </x:c>
      <x:c r="F27" s="28" t="str">
        <x:f>IF(E27="","",IF(E27="TR-A","TR-B","TR-A"))</x:f>
      </x:c>
      <x:c r="G27" s="29" t="str"/>
      <x:c r="H27" s="29" t="str"/>
      <x:c r="I27" s="29" t="str"/>
      <x:c r="J27" s="29" t="str"/>
      <x:c r="K27" s="28" t="str">
        <x:f>IF(J27="","OPEN",IF(AND(D27&lt;&gt;"",E27&lt;&gt;F27,G27&lt;&gt;"",H27&lt;&gt;"",I27&lt;&gt;""),"PASS","FAIL"))</x:f>
        <x:v>OPEN</x:v>
      </x:c>
    </x:row>
    <x:row r="28">
      <x:c r="B28" s="28" t="str">
        <x:v>RD-22</x:v>
      </x:c>
      <x:c r="C28" s="28" t="str">
        <x:f>IF(D28="","",INDEX('Cell Credits'!$J$7:$J$30,MATCH(D28,'Cell Credits'!$B$7:$B$30,0)))</x:f>
      </x:c>
      <x:c r="D28" s="28" t="str">
        <x:f>'Wave Schedule'!K28</x:f>
      </x:c>
      <x:c r="E28" s="28" t="str">
        <x:f>'Wave Schedule'!J28</x:f>
      </x:c>
      <x:c r="F28" s="28" t="str">
        <x:f>IF(E28="","",IF(E28="TR-A","TR-B","TR-A"))</x:f>
      </x:c>
      <x:c r="G28" s="29" t="str"/>
      <x:c r="H28" s="29" t="str"/>
      <x:c r="I28" s="29" t="str"/>
      <x:c r="J28" s="29" t="str"/>
      <x:c r="K28" s="28" t="str">
        <x:f>IF(J28="","OPEN",IF(AND(D28&lt;&gt;"",E28&lt;&gt;F28,G28&lt;&gt;"",H28&lt;&gt;"",I28&lt;&gt;""),"PASS","FAIL"))</x:f>
        <x:v>OPEN</x:v>
      </x:c>
    </x:row>
    <x:row r="29">
      <x:c r="B29" s="28" t="str">
        <x:v>RD-23</x:v>
      </x:c>
      <x:c r="C29" s="28" t="str">
        <x:f>IF(D29="","",INDEX('Cell Credits'!$J$7:$J$30,MATCH(D29,'Cell Credits'!$B$7:$B$30,0)))</x:f>
      </x:c>
      <x:c r="D29" s="28" t="str">
        <x:f>'Wave Schedule'!K29</x:f>
      </x:c>
      <x:c r="E29" s="28" t="str">
        <x:f>'Wave Schedule'!J29</x:f>
      </x:c>
      <x:c r="F29" s="28" t="str">
        <x:f>IF(E29="","",IF(E29="TR-A","TR-B","TR-A"))</x:f>
      </x:c>
      <x:c r="G29" s="29" t="str"/>
      <x:c r="H29" s="29" t="str"/>
      <x:c r="I29" s="29" t="str"/>
      <x:c r="J29" s="29" t="str"/>
      <x:c r="K29" s="28" t="str">
        <x:f>IF(J29="","OPEN",IF(AND(D29&lt;&gt;"",E29&lt;&gt;F29,G29&lt;&gt;"",H29&lt;&gt;"",I29&lt;&gt;""),"PASS","FAIL"))</x:f>
        <x:v>OPEN</x:v>
      </x:c>
    </x:row>
    <x:row r="30">
      <x:c r="B30" s="28" t="str">
        <x:v>RD-24</x:v>
      </x:c>
      <x:c r="C30" s="28" t="str">
        <x:f>IF(D30="","",INDEX('Cell Credits'!$J$7:$J$30,MATCH(D30,'Cell Credits'!$B$7:$B$30,0)))</x:f>
      </x:c>
      <x:c r="D30" s="28" t="n">
        <x:f>'Wave Schedule'!K30</x:f>
        <x:v>0</x:v>
      </x:c>
      <x:c r="E30" s="28" t="n">
        <x:f>'Wave Schedule'!J30</x:f>
        <x:v>0</x:v>
      </x:c>
      <x:c r="F30" s="28" t="str">
        <x:f>IF(E30="","",IF(E30="TR-A","TR-B","TR-A"))</x:f>
      </x:c>
      <x:c r="G30" s="29" t="str"/>
      <x:c r="H30" s="29" t="str"/>
      <x:c r="I30" s="29" t="str"/>
      <x:c r="J30" s="29" t="str"/>
      <x:c r="K30" s="28" t="str">
        <x:f>IF(J30="","OPEN",IF(AND(D30&lt;&gt;"",E30&lt;&gt;F30,G30&lt;&gt;"",H30&lt;&gt;"",I30&lt;&gt;""),"PASS","FAIL"))</x:f>
        <x:v>OPEN</x:v>
      </x:c>
    </x:row>
  </x:sheetData>
  <x:conditionalFormatting sqref="K7:K30">
    <x:cfRule type="containsText" dxfId="117" priority="1" operator="containsText" text="FAIL"/>
    <x:cfRule type="containsText" dxfId="118" priority="2" operator="containsText" text="BLOCKED"/>
    <x:cfRule type="containsText" dxfId="119" priority="3" operator="containsText" text="INVALID"/>
    <x:cfRule type="containsText" dxfId="120" priority="4" operator="containsText" text="ADVERSE"/>
    <x:cfRule type="containsText" dxfId="121" priority="5" operator="containsText" text="EXPIRED"/>
    <x:cfRule type="containsText" dxfId="122" priority="6" operator="containsText" text="OPEN"/>
    <x:cfRule type="containsText" dxfId="123" priority="7" operator="containsText" text="DORMANT"/>
    <x:cfRule type="containsText" dxfId="124" priority="8" operator="containsText" text="PASS"/>
    <x:cfRule type="containsText" dxfId="125" priority="9" operator="containsText" text="AVAILABLE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5" hidden="0" customWidth="1"/>
    <x:col min="5" max="5" width="17" hidden="0" customWidth="1"/>
    <x:col min="6" max="6" width="17" hidden="0" customWidth="1"/>
    <x:col min="7" max="7" width="26" hidden="0" customWidth="1"/>
    <x:col min="8" max="8" width="24" hidden="0" customWidth="1"/>
    <x:col min="9" max="9" width="18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22" hidden="0" customWidth="1"/>
    <x:col min="15" max="15" width="34" hidden="0" customWidth="1"/>
    <x:col min="16" max="16" width="34" hidden="0" customWidth="1"/>
    <x:col min="17" max="17" width="16" hidden="0" customWidth="1"/>
  </x:cols>
  <x:sheetData>
    <x:row r="2">
      <x:c r="B2" s="23" t="str">
        <x:v>Eighteen reuse and carryover transitions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>
      <x:c r="B3" s="25" t="str">
        <x:v>The next event cannot begin until day-seven disposition, pair reentry and a new 96-hour freeze are complete. The minimum T0 separation is 264 hours.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</x:row>
    <x:row r="6" ht="24" customHeight="1">
      <x:c r="B6" s="6" t="str">
        <x:v>Transition</x:v>
      </x:c>
      <x:c r="C6" s="6" t="str">
        <x:v>Canonical rig</x:v>
      </x:c>
      <x:c r="D6" s="6" t="str">
        <x:v>From wave</x:v>
      </x:c>
      <x:c r="E6" s="6" t="str">
        <x:v>From token</x:v>
      </x:c>
      <x:c r="F6" s="6" t="str">
        <x:v>To token</x:v>
      </x:c>
      <x:c r="G6" s="6" t="str">
        <x:v>Canonical from treatment</x:v>
      </x:c>
      <x:c r="H6" s="6" t="str">
        <x:v>Canonical to treatment</x:v>
      </x:c>
      <x:c r="I6" s="6" t="str">
        <x:v>Actual pair</x:v>
      </x:c>
      <x:c r="J6" s="6" t="str">
        <x:v>Minimum separation hours</x:v>
      </x:c>
      <x:c r="K6" s="6" t="str">
        <x:v>Observed separation hours</x:v>
      </x:c>
      <x:c r="L6" s="6" t="str">
        <x:v>Source residual kg</x:v>
      </x:c>
      <x:c r="M6" s="6" t="str">
        <x:v>Water residual m3</x:v>
      </x:c>
      <x:c r="N6" s="6" t="str">
        <x:v>Prior disposition</x:v>
      </x:c>
      <x:c r="O6" s="6" t="str">
        <x:v>Successor baseline</x:v>
      </x:c>
      <x:c r="P6" s="6" t="str">
        <x:v>Evidence root</x:v>
      </x:c>
      <x:c r="Q6" s="6" t="str">
        <x:v>State</x:v>
      </x:c>
    </x:row>
    <x:row r="7">
      <x:c r="B7" s="28" t="str">
        <x:v>TX-1-1</x:v>
      </x:c>
      <x:c r="C7" s="28" t="n">
        <x:v>1</x:v>
      </x:c>
      <x:c r="D7" s="28" t="n">
        <x:v>1</x:v>
      </x:c>
      <x:c r="E7" s="28" t="str">
        <x:f>'Pair Cycles'!C7</x:f>
      </x:c>
      <x:c r="F7" s="28" t="str">
        <x:f>'Pair Cycles'!C13</x:f>
      </x:c>
      <x:c r="G7" s="28" t="n">
        <x:v>1</x:v>
      </x:c>
      <x:c r="H7" s="28" t="n">
        <x:v>2</x:v>
      </x:c>
      <x:c r="I7" s="28" t="str">
        <x:f>'Wave Schedule'!H7</x:f>
      </x:c>
      <x:c r="J7" s="28" t="n">
        <x:v>264</x:v>
      </x:c>
      <x:c r="K7" s="29" t="str"/>
      <x:c r="L7" s="29" t="str"/>
      <x:c r="M7" s="29" t="str"/>
      <x:c r="N7" s="29" t="str"/>
      <x:c r="O7" s="29" t="str"/>
      <x:c r="P7" s="29" t="str"/>
      <x:c r="Q7" s="28" t="str">
        <x:f>IF(P7="","OPEN",IF(AND(K7&gt;=J7,L7=0,M7=0,N7="PASS",O7&lt;&gt;"",P7&lt;&gt;""),"PASS","FAIL"))</x:f>
        <x:v>OPEN</x:v>
      </x:c>
    </x:row>
    <x:row r="8">
      <x:c r="B8" s="28" t="str">
        <x:v>TX-1-2</x:v>
      </x:c>
      <x:c r="C8" s="28" t="n">
        <x:v>1</x:v>
      </x:c>
      <x:c r="D8" s="28" t="n">
        <x:v>2</x:v>
      </x:c>
      <x:c r="E8" s="28" t="str">
        <x:f>'Pair Cycles'!C13</x:f>
      </x:c>
      <x:c r="F8" s="28" t="str">
        <x:f>'Pair Cycles'!C19</x:f>
      </x:c>
      <x:c r="G8" s="28" t="n">
        <x:v>2</x:v>
      </x:c>
      <x:c r="H8" s="28" t="n">
        <x:v>3</x:v>
      </x:c>
      <x:c r="I8" s="28" t="str">
        <x:f>'Wave Schedule'!H13</x:f>
      </x:c>
      <x:c r="J8" s="28" t="n">
        <x:v>264</x:v>
      </x:c>
      <x:c r="K8" s="29" t="str"/>
      <x:c r="L8" s="29" t="str"/>
      <x:c r="M8" s="29" t="str"/>
      <x:c r="N8" s="29" t="str"/>
      <x:c r="O8" s="29" t="str"/>
      <x:c r="P8" s="29" t="str"/>
      <x:c r="Q8" s="28" t="str">
        <x:f>IF(P8="","OPEN",IF(AND(K8&gt;=J8,L8=0,M8=0,N8="PASS",O8&lt;&gt;"",P8&lt;&gt;""),"PASS","FAIL"))</x:f>
        <x:v>OPEN</x:v>
      </x:c>
    </x:row>
    <x:row r="9">
      <x:c r="B9" s="28" t="str">
        <x:v>TX-1-3</x:v>
      </x:c>
      <x:c r="C9" s="28" t="n">
        <x:v>1</x:v>
      </x:c>
      <x:c r="D9" s="28" t="n">
        <x:v>3</x:v>
      </x:c>
      <x:c r="E9" s="28" t="str">
        <x:f>'Pair Cycles'!C19</x:f>
      </x:c>
      <x:c r="F9" s="28" t="str">
        <x:f>'Pair Cycles'!C25</x:f>
      </x:c>
      <x:c r="G9" s="28" t="n">
        <x:v>3</x:v>
      </x:c>
      <x:c r="H9" s="28" t="n">
        <x:v>4</x:v>
      </x:c>
      <x:c r="I9" s="28" t="str">
        <x:f>'Wave Schedule'!H19</x:f>
      </x:c>
      <x:c r="J9" s="28" t="n">
        <x:v>264</x:v>
      </x:c>
      <x:c r="K9" s="29" t="str"/>
      <x:c r="L9" s="29" t="str"/>
      <x:c r="M9" s="29" t="str"/>
      <x:c r="N9" s="29" t="str"/>
      <x:c r="O9" s="29" t="str"/>
      <x:c r="P9" s="29" t="str"/>
      <x:c r="Q9" s="28" t="str">
        <x:f>IF(P9="","OPEN",IF(AND(K9&gt;=J9,L9=0,M9=0,N9="PASS",O9&lt;&gt;"",P9&lt;&gt;""),"PASS","FAIL"))</x:f>
        <x:v>OPEN</x:v>
      </x:c>
    </x:row>
    <x:row r="10">
      <x:c r="B10" s="28" t="str">
        <x:v>TX-2-1</x:v>
      </x:c>
      <x:c r="C10" s="28" t="n">
        <x:v>2</x:v>
      </x:c>
      <x:c r="D10" s="28" t="n">
        <x:v>1</x:v>
      </x:c>
      <x:c r="E10" s="28" t="str">
        <x:f>'Pair Cycles'!C8</x:f>
      </x:c>
      <x:c r="F10" s="28" t="str">
        <x:f>'Pair Cycles'!C14</x:f>
      </x:c>
      <x:c r="G10" s="28" t="n">
        <x:v>1</x:v>
      </x:c>
      <x:c r="H10" s="28" t="n">
        <x:v>2</x:v>
      </x:c>
      <x:c r="I10" s="28" t="str">
        <x:f>'Wave Schedule'!H8</x:f>
      </x:c>
      <x:c r="J10" s="28" t="n">
        <x:v>264</x:v>
      </x:c>
      <x:c r="K10" s="29" t="str"/>
      <x:c r="L10" s="29" t="str"/>
      <x:c r="M10" s="29" t="str"/>
      <x:c r="N10" s="29" t="str"/>
      <x:c r="O10" s="29" t="str"/>
      <x:c r="P10" s="29" t="str"/>
      <x:c r="Q10" s="28" t="str">
        <x:f>IF(P10="","OPEN",IF(AND(K10&gt;=J10,L10=0,M10=0,N10="PASS",O10&lt;&gt;"",P10&lt;&gt;""),"PASS","FAIL"))</x:f>
        <x:v>OPEN</x:v>
      </x:c>
    </x:row>
    <x:row r="11">
      <x:c r="B11" s="28" t="str">
        <x:v>TX-2-2</x:v>
      </x:c>
      <x:c r="C11" s="28" t="n">
        <x:v>2</x:v>
      </x:c>
      <x:c r="D11" s="28" t="n">
        <x:v>2</x:v>
      </x:c>
      <x:c r="E11" s="28" t="str">
        <x:f>'Pair Cycles'!C14</x:f>
      </x:c>
      <x:c r="F11" s="28" t="str">
        <x:f>'Pair Cycles'!C20</x:f>
      </x:c>
      <x:c r="G11" s="28" t="n">
        <x:v>2</x:v>
      </x:c>
      <x:c r="H11" s="28" t="n">
        <x:v>4</x:v>
      </x:c>
      <x:c r="I11" s="28" t="str">
        <x:f>'Wave Schedule'!H14</x:f>
      </x:c>
      <x:c r="J11" s="28" t="n">
        <x:v>264</x:v>
      </x:c>
      <x:c r="K11" s="29" t="str"/>
      <x:c r="L11" s="29" t="str"/>
      <x:c r="M11" s="29" t="str"/>
      <x:c r="N11" s="29" t="str"/>
      <x:c r="O11" s="29" t="str"/>
      <x:c r="P11" s="29" t="str"/>
      <x:c r="Q11" s="28" t="str">
        <x:f>IF(P11="","OPEN",IF(AND(K11&gt;=J11,L11=0,M11=0,N11="PASS",O11&lt;&gt;"",P11&lt;&gt;""),"PASS","FAIL"))</x:f>
        <x:v>OPEN</x:v>
      </x:c>
    </x:row>
    <x:row r="12">
      <x:c r="B12" s="28" t="str">
        <x:v>TX-2-3</x:v>
      </x:c>
      <x:c r="C12" s="28" t="n">
        <x:v>2</x:v>
      </x:c>
      <x:c r="D12" s="28" t="n">
        <x:v>3</x:v>
      </x:c>
      <x:c r="E12" s="28" t="str">
        <x:f>'Pair Cycles'!C20</x:f>
      </x:c>
      <x:c r="F12" s="28" t="str">
        <x:f>'Pair Cycles'!C26</x:f>
      </x:c>
      <x:c r="G12" s="28" t="n">
        <x:v>4</x:v>
      </x:c>
      <x:c r="H12" s="28" t="n">
        <x:v>3</x:v>
      </x:c>
      <x:c r="I12" s="28" t="str">
        <x:f>'Wave Schedule'!H20</x:f>
      </x:c>
      <x:c r="J12" s="28" t="n">
        <x:v>264</x:v>
      </x:c>
      <x:c r="K12" s="29" t="str"/>
      <x:c r="L12" s="29" t="str"/>
      <x:c r="M12" s="29" t="str"/>
      <x:c r="N12" s="29" t="str"/>
      <x:c r="O12" s="29" t="str"/>
      <x:c r="P12" s="29" t="str"/>
      <x:c r="Q12" s="28" t="str">
        <x:f>IF(P12="","OPEN",IF(AND(K12&gt;=J12,L12=0,M12=0,N12="PASS",O12&lt;&gt;"",P12&lt;&gt;""),"PASS","FAIL"))</x:f>
        <x:v>OPEN</x:v>
      </x:c>
    </x:row>
    <x:row r="13">
      <x:c r="B13" s="28" t="str">
        <x:v>TX-3-1</x:v>
      </x:c>
      <x:c r="C13" s="28" t="n">
        <x:v>3</x:v>
      </x:c>
      <x:c r="D13" s="28" t="n">
        <x:v>1</x:v>
      </x:c>
      <x:c r="E13" s="28" t="str">
        <x:f>'Pair Cycles'!C9</x:f>
      </x:c>
      <x:c r="F13" s="28" t="str">
        <x:f>'Pair Cycles'!C15</x:f>
      </x:c>
      <x:c r="G13" s="28" t="n">
        <x:v>2</x:v>
      </x:c>
      <x:c r="H13" s="28" t="n">
        <x:v>3</x:v>
      </x:c>
      <x:c r="I13" s="28" t="str">
        <x:f>'Wave Schedule'!H9</x:f>
      </x:c>
      <x:c r="J13" s="28" t="n">
        <x:v>264</x:v>
      </x:c>
      <x:c r="K13" s="29" t="str"/>
      <x:c r="L13" s="29" t="str"/>
      <x:c r="M13" s="29" t="str"/>
      <x:c r="N13" s="29" t="str"/>
      <x:c r="O13" s="29" t="str"/>
      <x:c r="P13" s="29" t="str"/>
      <x:c r="Q13" s="28" t="str">
        <x:f>IF(P13="","OPEN",IF(AND(K13&gt;=J13,L13=0,M13=0,N13="PASS",O13&lt;&gt;"",P13&lt;&gt;""),"PASS","FAIL"))</x:f>
        <x:v>OPEN</x:v>
      </x:c>
    </x:row>
    <x:row r="14">
      <x:c r="B14" s="28" t="str">
        <x:v>TX-3-2</x:v>
      </x:c>
      <x:c r="C14" s="28" t="n">
        <x:v>3</x:v>
      </x:c>
      <x:c r="D14" s="28" t="n">
        <x:v>2</x:v>
      </x:c>
      <x:c r="E14" s="28" t="str">
        <x:f>'Pair Cycles'!C15</x:f>
      </x:c>
      <x:c r="F14" s="28" t="str">
        <x:f>'Pair Cycles'!C21</x:f>
      </x:c>
      <x:c r="G14" s="28" t="n">
        <x:v>3</x:v>
      </x:c>
      <x:c r="H14" s="28" t="n">
        <x:v>1</x:v>
      </x:c>
      <x:c r="I14" s="28" t="str">
        <x:f>'Wave Schedule'!H15</x:f>
      </x:c>
      <x:c r="J14" s="28" t="n">
        <x:v>264</x:v>
      </x:c>
      <x:c r="K14" s="29" t="str"/>
      <x:c r="L14" s="29" t="str"/>
      <x:c r="M14" s="29" t="str"/>
      <x:c r="N14" s="29" t="str"/>
      <x:c r="O14" s="29" t="str"/>
      <x:c r="P14" s="29" t="str"/>
      <x:c r="Q14" s="28" t="str">
        <x:f>IF(P14="","OPEN",IF(AND(K14&gt;=J14,L14=0,M14=0,N14="PASS",O14&lt;&gt;"",P14&lt;&gt;""),"PASS","FAIL"))</x:f>
        <x:v>OPEN</x:v>
      </x:c>
    </x:row>
    <x:row r="15">
      <x:c r="B15" s="28" t="str">
        <x:v>TX-3-3</x:v>
      </x:c>
      <x:c r="C15" s="28" t="n">
        <x:v>3</x:v>
      </x:c>
      <x:c r="D15" s="28" t="n">
        <x:v>3</x:v>
      </x:c>
      <x:c r="E15" s="28" t="str">
        <x:f>'Pair Cycles'!C21</x:f>
      </x:c>
      <x:c r="F15" s="28" t="str">
        <x:f>'Pair Cycles'!C27</x:f>
      </x:c>
      <x:c r="G15" s="28" t="n">
        <x:v>1</x:v>
      </x:c>
      <x:c r="H15" s="28" t="n">
        <x:v>4</x:v>
      </x:c>
      <x:c r="I15" s="28" t="str">
        <x:f>'Wave Schedule'!H21</x:f>
      </x:c>
      <x:c r="J15" s="28" t="n">
        <x:v>264</x:v>
      </x:c>
      <x:c r="K15" s="29" t="str"/>
      <x:c r="L15" s="29" t="str"/>
      <x:c r="M15" s="29" t="str"/>
      <x:c r="N15" s="29" t="str"/>
      <x:c r="O15" s="29" t="str"/>
      <x:c r="P15" s="29" t="str"/>
      <x:c r="Q15" s="28" t="str">
        <x:f>IF(P15="","OPEN",IF(AND(K15&gt;=J15,L15=0,M15=0,N15="PASS",O15&lt;&gt;"",P15&lt;&gt;""),"PASS","FAIL"))</x:f>
        <x:v>OPEN</x:v>
      </x:c>
    </x:row>
    <x:row r="16">
      <x:c r="B16" s="28" t="str">
        <x:v>TX-4-1</x:v>
      </x:c>
      <x:c r="C16" s="28" t="n">
        <x:v>4</x:v>
      </x:c>
      <x:c r="D16" s="28" t="n">
        <x:v>1</x:v>
      </x:c>
      <x:c r="E16" s="28" t="str">
        <x:f>'Pair Cycles'!C10</x:f>
      </x:c>
      <x:c r="F16" s="28" t="str">
        <x:f>'Pair Cycles'!C16</x:f>
      </x:c>
      <x:c r="G16" s="28" t="n">
        <x:v>3</x:v>
      </x:c>
      <x:c r="H16" s="28" t="n">
        <x:v>4</x:v>
      </x:c>
      <x:c r="I16" s="28" t="str">
        <x:f>'Wave Schedule'!H10</x:f>
      </x:c>
      <x:c r="J16" s="28" t="n">
        <x:v>264</x:v>
      </x:c>
      <x:c r="K16" s="29" t="str"/>
      <x:c r="L16" s="29" t="str"/>
      <x:c r="M16" s="29" t="str"/>
      <x:c r="N16" s="29" t="str"/>
      <x:c r="O16" s="29" t="str"/>
      <x:c r="P16" s="29" t="str"/>
      <x:c r="Q16" s="28" t="str">
        <x:f>IF(P16="","OPEN",IF(AND(K16&gt;=J16,L16=0,M16=0,N16="PASS",O16&lt;&gt;"",P16&lt;&gt;""),"PASS","FAIL"))</x:f>
        <x:v>OPEN</x:v>
      </x:c>
    </x:row>
    <x:row r="17">
      <x:c r="B17" s="28" t="str">
        <x:v>TX-4-2</x:v>
      </x:c>
      <x:c r="C17" s="28" t="n">
        <x:v>4</x:v>
      </x:c>
      <x:c r="D17" s="28" t="n">
        <x:v>2</x:v>
      </x:c>
      <x:c r="E17" s="28" t="str">
        <x:f>'Pair Cycles'!C16</x:f>
      </x:c>
      <x:c r="F17" s="28" t="str">
        <x:f>'Pair Cycles'!C22</x:f>
      </x:c>
      <x:c r="G17" s="28" t="n">
        <x:v>4</x:v>
      </x:c>
      <x:c r="H17" s="28" t="n">
        <x:v>2</x:v>
      </x:c>
      <x:c r="I17" s="28" t="str">
        <x:f>'Wave Schedule'!H16</x:f>
      </x:c>
      <x:c r="J17" s="28" t="n">
        <x:v>264</x:v>
      </x:c>
      <x:c r="K17" s="29" t="str"/>
      <x:c r="L17" s="29" t="str"/>
      <x:c r="M17" s="29" t="str"/>
      <x:c r="N17" s="29" t="str"/>
      <x:c r="O17" s="29" t="str"/>
      <x:c r="P17" s="29" t="str"/>
      <x:c r="Q17" s="28" t="str">
        <x:f>IF(P17="","OPEN",IF(AND(K17&gt;=J17,L17=0,M17=0,N17="PASS",O17&lt;&gt;"",P17&lt;&gt;""),"PASS","FAIL"))</x:f>
        <x:v>OPEN</x:v>
      </x:c>
    </x:row>
    <x:row r="18">
      <x:c r="B18" s="28" t="str">
        <x:v>TX-4-3</x:v>
      </x:c>
      <x:c r="C18" s="28" t="n">
        <x:v>4</x:v>
      </x:c>
      <x:c r="D18" s="28" t="n">
        <x:v>3</x:v>
      </x:c>
      <x:c r="E18" s="28" t="str">
        <x:f>'Pair Cycles'!C22</x:f>
      </x:c>
      <x:c r="F18" s="28" t="str">
        <x:f>'Pair Cycles'!C28</x:f>
      </x:c>
      <x:c r="G18" s="28" t="n">
        <x:v>2</x:v>
      </x:c>
      <x:c r="H18" s="28" t="n">
        <x:v>1</x:v>
      </x:c>
      <x:c r="I18" s="28" t="str">
        <x:f>'Wave Schedule'!H22</x:f>
      </x:c>
      <x:c r="J18" s="28" t="n">
        <x:v>264</x:v>
      </x:c>
      <x:c r="K18" s="29" t="str"/>
      <x:c r="L18" s="29" t="str"/>
      <x:c r="M18" s="29" t="str"/>
      <x:c r="N18" s="29" t="str"/>
      <x:c r="O18" s="29" t="str"/>
      <x:c r="P18" s="29" t="str"/>
      <x:c r="Q18" s="28" t="str">
        <x:f>IF(P18="","OPEN",IF(AND(K18&gt;=J18,L18=0,M18=0,N18="PASS",O18&lt;&gt;"",P18&lt;&gt;""),"PASS","FAIL"))</x:f>
        <x:v>OPEN</x:v>
      </x:c>
    </x:row>
    <x:row r="19">
      <x:c r="B19" s="28" t="str">
        <x:v>TX-5-1</x:v>
      </x:c>
      <x:c r="C19" s="28" t="n">
        <x:v>5</x:v>
      </x:c>
      <x:c r="D19" s="28" t="n">
        <x:v>1</x:v>
      </x:c>
      <x:c r="E19" s="28" t="str">
        <x:f>'Pair Cycles'!C11</x:f>
      </x:c>
      <x:c r="F19" s="28" t="str">
        <x:f>'Pair Cycles'!C17</x:f>
      </x:c>
      <x:c r="G19" s="28" t="n">
        <x:v>4</x:v>
      </x:c>
      <x:c r="H19" s="28" t="n">
        <x:v>1</x:v>
      </x:c>
      <x:c r="I19" s="28" t="str">
        <x:f>'Wave Schedule'!H11</x:f>
      </x:c>
      <x:c r="J19" s="28" t="n">
        <x:v>264</x:v>
      </x:c>
      <x:c r="K19" s="29" t="str"/>
      <x:c r="L19" s="29" t="str"/>
      <x:c r="M19" s="29" t="str"/>
      <x:c r="N19" s="29" t="str"/>
      <x:c r="O19" s="29" t="str"/>
      <x:c r="P19" s="29" t="str"/>
      <x:c r="Q19" s="28" t="str">
        <x:f>IF(P19="","OPEN",IF(AND(K19&gt;=J19,L19=0,M19=0,N19="PASS",O19&lt;&gt;"",P19&lt;&gt;""),"PASS","FAIL"))</x:f>
        <x:v>OPEN</x:v>
      </x:c>
    </x:row>
    <x:row r="20">
      <x:c r="B20" s="28" t="str">
        <x:v>TX-5-2</x:v>
      </x:c>
      <x:c r="C20" s="28" t="n">
        <x:v>5</x:v>
      </x:c>
      <x:c r="D20" s="28" t="n">
        <x:v>2</x:v>
      </x:c>
      <x:c r="E20" s="28" t="str">
        <x:f>'Pair Cycles'!C17</x:f>
      </x:c>
      <x:c r="F20" s="28" t="str">
        <x:f>'Pair Cycles'!C23</x:f>
      </x:c>
      <x:c r="G20" s="28" t="n">
        <x:v>1</x:v>
      </x:c>
      <x:c r="H20" s="28" t="n">
        <x:v>3</x:v>
      </x:c>
      <x:c r="I20" s="28" t="str">
        <x:f>'Wave Schedule'!H17</x:f>
      </x:c>
      <x:c r="J20" s="28" t="n">
        <x:v>264</x:v>
      </x:c>
      <x:c r="K20" s="29" t="str"/>
      <x:c r="L20" s="29" t="str"/>
      <x:c r="M20" s="29" t="str"/>
      <x:c r="N20" s="29" t="str"/>
      <x:c r="O20" s="29" t="str"/>
      <x:c r="P20" s="29" t="str"/>
      <x:c r="Q20" s="28" t="str">
        <x:f>IF(P20="","OPEN",IF(AND(K20&gt;=J20,L20=0,M20=0,N20="PASS",O20&lt;&gt;"",P20&lt;&gt;""),"PASS","FAIL"))</x:f>
        <x:v>OPEN</x:v>
      </x:c>
    </x:row>
    <x:row r="21">
      <x:c r="B21" s="28" t="str">
        <x:v>TX-5-3</x:v>
      </x:c>
      <x:c r="C21" s="28" t="n">
        <x:v>5</x:v>
      </x:c>
      <x:c r="D21" s="28" t="n">
        <x:v>3</x:v>
      </x:c>
      <x:c r="E21" s="28" t="str">
        <x:f>'Pair Cycles'!C23</x:f>
      </x:c>
      <x:c r="F21" s="28" t="str">
        <x:f>'Pair Cycles'!C29</x:f>
      </x:c>
      <x:c r="G21" s="28" t="n">
        <x:v>3</x:v>
      </x:c>
      <x:c r="H21" s="28" t="n">
        <x:v>2</x:v>
      </x:c>
      <x:c r="I21" s="28" t="str">
        <x:f>'Wave Schedule'!H23</x:f>
      </x:c>
      <x:c r="J21" s="28" t="n">
        <x:v>264</x:v>
      </x:c>
      <x:c r="K21" s="29" t="str"/>
      <x:c r="L21" s="29" t="str"/>
      <x:c r="M21" s="29" t="str"/>
      <x:c r="N21" s="29" t="str"/>
      <x:c r="O21" s="29" t="str"/>
      <x:c r="P21" s="29" t="str"/>
      <x:c r="Q21" s="28" t="str">
        <x:f>IF(P21="","OPEN",IF(AND(K21&gt;=J21,L21=0,M21=0,N21="PASS",O21&lt;&gt;"",P21&lt;&gt;""),"PASS","FAIL"))</x:f>
        <x:v>OPEN</x:v>
      </x:c>
    </x:row>
    <x:row r="22">
      <x:c r="B22" s="28" t="str">
        <x:v>TX-6-1</x:v>
      </x:c>
      <x:c r="C22" s="28" t="n">
        <x:v>6</x:v>
      </x:c>
      <x:c r="D22" s="28" t="n">
        <x:v>1</x:v>
      </x:c>
      <x:c r="E22" s="28" t="str">
        <x:f>'Pair Cycles'!C12</x:f>
      </x:c>
      <x:c r="F22" s="28" t="str">
        <x:f>'Pair Cycles'!C18</x:f>
      </x:c>
      <x:c r="G22" s="28" t="n">
        <x:v>4</x:v>
      </x:c>
      <x:c r="H22" s="28" t="n">
        <x:v>3</x:v>
      </x:c>
      <x:c r="I22" s="28" t="str">
        <x:f>'Wave Schedule'!H12</x:f>
      </x:c>
      <x:c r="J22" s="28" t="n">
        <x:v>264</x:v>
      </x:c>
      <x:c r="K22" s="29" t="str"/>
      <x:c r="L22" s="29" t="str"/>
      <x:c r="M22" s="29" t="str"/>
      <x:c r="N22" s="29" t="str"/>
      <x:c r="O22" s="29" t="str"/>
      <x:c r="P22" s="29" t="str"/>
      <x:c r="Q22" s="28" t="str">
        <x:f>IF(P22="","OPEN",IF(AND(K22&gt;=J22,L22=0,M22=0,N22="PASS",O22&lt;&gt;"",P22&lt;&gt;""),"PASS","FAIL"))</x:f>
        <x:v>OPEN</x:v>
      </x:c>
    </x:row>
    <x:row r="23">
      <x:c r="B23" s="28" t="str">
        <x:v>TX-6-2</x:v>
      </x:c>
      <x:c r="C23" s="28" t="n">
        <x:v>6</x:v>
      </x:c>
      <x:c r="D23" s="28" t="n">
        <x:v>2</x:v>
      </x:c>
      <x:c r="E23" s="28" t="str">
        <x:f>'Pair Cycles'!C18</x:f>
      </x:c>
      <x:c r="F23" s="28" t="str">
        <x:f>'Pair Cycles'!C24</x:f>
      </x:c>
      <x:c r="G23" s="28" t="n">
        <x:v>3</x:v>
      </x:c>
      <x:c r="H23" s="28" t="n">
        <x:v>2</x:v>
      </x:c>
      <x:c r="I23" s="28" t="str">
        <x:f>'Wave Schedule'!H18</x:f>
      </x:c>
      <x:c r="J23" s="28" t="n">
        <x:v>264</x:v>
      </x:c>
      <x:c r="K23" s="29" t="str"/>
      <x:c r="L23" s="29" t="str"/>
      <x:c r="M23" s="29" t="str"/>
      <x:c r="N23" s="29" t="str"/>
      <x:c r="O23" s="29" t="str"/>
      <x:c r="P23" s="29" t="str"/>
      <x:c r="Q23" s="28" t="str">
        <x:f>IF(P23="","OPEN",IF(AND(K23&gt;=J23,L23=0,M23=0,N23="PASS",O23&lt;&gt;"",P23&lt;&gt;""),"PASS","FAIL"))</x:f>
        <x:v>OPEN</x:v>
      </x:c>
    </x:row>
    <x:row r="24">
      <x:c r="B24" s="28" t="str">
        <x:v>TX-6-3</x:v>
      </x:c>
      <x:c r="C24" s="28" t="n">
        <x:v>6</x:v>
      </x:c>
      <x:c r="D24" s="28" t="n">
        <x:v>3</x:v>
      </x:c>
      <x:c r="E24" s="28" t="str">
        <x:f>'Pair Cycles'!C24</x:f>
      </x:c>
      <x:c r="F24" s="28" t="n">
        <x:f>'Pair Cycles'!C30</x:f>
        <x:v>0</x:v>
      </x:c>
      <x:c r="G24" s="28" t="n">
        <x:v>2</x:v>
      </x:c>
      <x:c r="H24" s="28" t="n">
        <x:v>1</x:v>
      </x:c>
      <x:c r="I24" s="28" t="str">
        <x:f>'Wave Schedule'!H24</x:f>
      </x:c>
      <x:c r="J24" s="28" t="n">
        <x:v>264</x:v>
      </x:c>
      <x:c r="K24" s="29" t="str"/>
      <x:c r="L24" s="29" t="str"/>
      <x:c r="M24" s="29" t="str"/>
      <x:c r="N24" s="29" t="str"/>
      <x:c r="O24" s="29" t="str"/>
      <x:c r="P24" s="29" t="str"/>
      <x:c r="Q24" s="28" t="str">
        <x:f>IF(P24="","OPEN",IF(AND(K24&gt;=J24,L24=0,M24=0,N24="PASS",O24&lt;&gt;"",P24&lt;&gt;""),"PASS","FAIL"))</x:f>
        <x:v>OPEN</x:v>
      </x:c>
    </x:row>
  </x:sheetData>
  <x:conditionalFormatting sqref="Q7:Q24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INVALID"/>
    <x:cfRule type="containsText" dxfId="129" priority="4" operator="containsText" text="ADVERSE"/>
    <x:cfRule type="containsText" dxfId="130" priority="5" operator="containsText" text="EXPIRED"/>
    <x:cfRule type="containsText" dxfId="131" priority="6" operator="containsText" text="OPEN"/>
    <x:cfRule type="containsText" dxfId="132" priority="7" operator="containsText" text="DORMANT"/>
    <x:cfRule type="containsText" dxfId="133" priority="8" operator="containsText" text="PASS"/>
    <x:cfRule type="containsText" dxfId="134" priority="9" operator="containsText" text="AVAILABLE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42" hidden="0" customWidth="1"/>
    <x:col min="5" max="5" width="15" hidden="0" customWidth="1"/>
    <x:col min="6" max="6" width="20" hidden="0" customWidth="1"/>
    <x:col min="7" max="7" width="23" hidden="0" customWidth="1"/>
    <x:col min="8" max="8" width="20" hidden="0" customWidth="1"/>
    <x:col min="9" max="9" width="20" hidden="0" customWidth="1"/>
    <x:col min="10" max="10" width="34" hidden="0" customWidth="1"/>
    <x:col min="11" max="11" width="34" hidden="0" customWidth="1"/>
    <x:col min="12" max="12" width="22" hidden="0" customWidth="1"/>
    <x:col min="13" max="13" width="16" hidden="0" customWidth="1"/>
  </x:cols>
  <x:sheetData>
    <x:row r="2">
      <x:c r="B2" s="23" t="str">
        <x:v>Seven hundred twenty outside-origin reconstruction decisions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B3" s="25" t="str">
        <x:v>Every active attempt sends twelve packet classes to two non-origin destinations. Remote agreement must arise from independent reconstruction.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 ht="24" customHeight="1">
      <x:c r="B6" s="6" t="str">
        <x:v>Token</x:v>
      </x:c>
      <x:c r="C6" s="6" t="str">
        <x:v>Kind</x:v>
      </x:c>
      <x:c r="D6" s="6" t="str">
        <x:v>Target cell</x:v>
      </x:c>
      <x:c r="E6" s="6" t="str">
        <x:v>Packet</x:v>
      </x:c>
      <x:c r="F6" s="6" t="str">
        <x:v>Destination number</x:v>
      </x:c>
      <x:c r="G6" s="6" t="str">
        <x:v>Destination campus</x:v>
      </x:c>
      <x:c r="H6" s="6" t="str">
        <x:v>Origin result</x:v>
      </x:c>
      <x:c r="I6" s="6" t="str">
        <x:v>Remote result</x:v>
      </x:c>
      <x:c r="J6" s="6" t="str">
        <x:v>Origin root</x:v>
      </x:c>
      <x:c r="K6" s="6" t="str">
        <x:v>Remote root</x:v>
      </x:c>
      <x:c r="L6" s="6" t="str">
        <x:v>Accepted UTC</x:v>
      </x:c>
      <x:c r="M6" s="6" t="str">
        <x:v>State</x:v>
      </x:c>
    </x:row>
    <x:row r="7">
      <x:c r="B7" s="28" t="str">
        <x:v>AT-01</x:v>
      </x:c>
      <x:c r="C7" s="28" t="str">
        <x:v>PRIMARY</x:v>
      </x:c>
      <x:c r="D7" s="28" t="str">
        <x:f>INDEX('Attempt Tokens'!$E$7:$E$36,MATCH(B7,'Attempt Tokens'!$B$7:$B$36,0))</x:f>
      </x:c>
      <x:c r="E7" s="28" t="str">
        <x:v>RP-01</x:v>
      </x:c>
      <x:c r="F7" s="28" t="n">
        <x:v>1</x:v>
      </x:c>
      <x:c r="G7" s="28" t="str">
        <x:f>IF(D7="","",IF(LEFT(D7,5)="RFP-A",IF(F7=1,"PTC-B","PTC-C"),IF(LEFT(D7,5)="RFP-B",IF(F7=1,"PTC-A","PTC-C"),IF(F7=1,"PTC-A","PTC-B"))))</x:f>
      </x:c>
      <x:c r="H7" s="29" t="str"/>
      <x:c r="I7" s="29" t="str"/>
      <x:c r="J7" s="29" t="str"/>
      <x:c r="K7" s="29" t="str"/>
      <x:c r="L7" s="29" t="str"/>
      <x:c r="M7" s="28" t="str">
        <x:f>IF(AND(C7="RESERVE",D7=""),"DORMANT",IF(L7="","OPEN",IF(AND(G7&lt;&gt;"",H7&lt;&gt;"",I7=H7,J7&lt;&gt;"",K7&lt;&gt;"",J7&lt;&gt;K7),"PASS","FAIL")))</x:f>
        <x:v>OPEN</x:v>
      </x:c>
    </x:row>
    <x:row r="8">
      <x:c r="B8" s="28" t="str">
        <x:v>AT-01</x:v>
      </x:c>
      <x:c r="C8" s="28" t="str">
        <x:v>PRIMARY</x:v>
      </x:c>
      <x:c r="D8" s="28" t="str">
        <x:f>INDEX('Attempt Tokens'!$E$7:$E$36,MATCH(B8,'Attempt Tokens'!$B$7:$B$36,0))</x:f>
      </x:c>
      <x:c r="E8" s="28" t="str">
        <x:v>RP-01</x:v>
      </x:c>
      <x:c r="F8" s="28" t="n">
        <x:v>2</x:v>
      </x:c>
      <x:c r="G8" s="28" t="str">
        <x:f>IF(D8="","",IF(LEFT(D8,5)="RFP-A",IF(F8=1,"PTC-B","PTC-C"),IF(LEFT(D8,5)="RFP-B",IF(F8=1,"PTC-A","PTC-C"),IF(F8=1,"PTC-A","PTC-B"))))</x:f>
      </x:c>
      <x:c r="H8" s="29" t="str"/>
      <x:c r="I8" s="29" t="str"/>
      <x:c r="J8" s="29" t="str"/>
      <x:c r="K8" s="29" t="str"/>
      <x:c r="L8" s="29" t="str"/>
      <x:c r="M8" s="28" t="str">
        <x:f>IF(AND(C8="RESERVE",D8=""),"DORMANT",IF(L8="","OPEN",IF(AND(G8&lt;&gt;"",H8&lt;&gt;"",I8=H8,J8&lt;&gt;"",K8&lt;&gt;"",J8&lt;&gt;K8),"PASS","FAIL")))</x:f>
        <x:v>OPEN</x:v>
      </x:c>
    </x:row>
    <x:row r="9">
      <x:c r="B9" s="28" t="str">
        <x:v>AT-01</x:v>
      </x:c>
      <x:c r="C9" s="28" t="str">
        <x:v>PRIMARY</x:v>
      </x:c>
      <x:c r="D9" s="28" t="str">
        <x:f>INDEX('Attempt Tokens'!$E$7:$E$36,MATCH(B9,'Attempt Tokens'!$B$7:$B$36,0))</x:f>
      </x:c>
      <x:c r="E9" s="28" t="str">
        <x:v>RP-02</x:v>
      </x:c>
      <x:c r="F9" s="28" t="n">
        <x:v>1</x:v>
      </x:c>
      <x:c r="G9" s="28" t="str">
        <x:f>IF(D9="","",IF(LEFT(D9,5)="RFP-A",IF(F9=1,"PTC-B","PTC-C"),IF(LEFT(D9,5)="RFP-B",IF(F9=1,"PTC-A","PTC-C"),IF(F9=1,"PTC-A","PTC-B"))))</x:f>
      </x:c>
      <x:c r="H9" s="29" t="str"/>
      <x:c r="I9" s="29" t="str"/>
      <x:c r="J9" s="29" t="str"/>
      <x:c r="K9" s="29" t="str"/>
      <x:c r="L9" s="29" t="str"/>
      <x:c r="M9" s="28" t="str">
        <x:f>IF(AND(C9="RESERVE",D9=""),"DORMANT",IF(L9="","OPEN",IF(AND(G9&lt;&gt;"",H9&lt;&gt;"",I9=H9,J9&lt;&gt;"",K9&lt;&gt;"",J9&lt;&gt;K9),"PASS","FAIL")))</x:f>
        <x:v>OPEN</x:v>
      </x:c>
    </x:row>
    <x:row r="10">
      <x:c r="B10" s="28" t="str">
        <x:v>AT-01</x:v>
      </x:c>
      <x:c r="C10" s="28" t="str">
        <x:v>PRIMARY</x:v>
      </x:c>
      <x:c r="D10" s="28" t="str">
        <x:f>INDEX('Attempt Tokens'!$E$7:$E$36,MATCH(B10,'Attempt Tokens'!$B$7:$B$36,0))</x:f>
      </x:c>
      <x:c r="E10" s="28" t="str">
        <x:v>RP-02</x:v>
      </x:c>
      <x:c r="F10" s="28" t="n">
        <x:v>2</x:v>
      </x:c>
      <x:c r="G10" s="28" t="str">
        <x:f>IF(D10="","",IF(LEFT(D10,5)="RFP-A",IF(F10=1,"PTC-B","PTC-C"),IF(LEFT(D10,5)="RFP-B",IF(F10=1,"PTC-A","PTC-C"),IF(F10=1,"PTC-A","PTC-B"))))</x:f>
      </x:c>
      <x:c r="H10" s="29" t="str"/>
      <x:c r="I10" s="29" t="str"/>
      <x:c r="J10" s="29" t="str"/>
      <x:c r="K10" s="29" t="str"/>
      <x:c r="L10" s="29" t="str"/>
      <x:c r="M10" s="28" t="str">
        <x:f>IF(AND(C10="RESERVE",D10=""),"DORMANT",IF(L10="","OPEN",IF(AND(G10&lt;&gt;"",H10&lt;&gt;"",I10=H10,J10&lt;&gt;"",K10&lt;&gt;"",J10&lt;&gt;K10),"PASS","FAIL")))</x:f>
        <x:v>OPEN</x:v>
      </x:c>
    </x:row>
    <x:row r="11">
      <x:c r="B11" s="28" t="str">
        <x:v>AT-01</x:v>
      </x:c>
      <x:c r="C11" s="28" t="str">
        <x:v>PRIMARY</x:v>
      </x:c>
      <x:c r="D11" s="28" t="str">
        <x:f>INDEX('Attempt Tokens'!$E$7:$E$36,MATCH(B11,'Attempt Tokens'!$B$7:$B$36,0))</x:f>
      </x:c>
      <x:c r="E11" s="28" t="str">
        <x:v>RP-03</x:v>
      </x:c>
      <x:c r="F11" s="28" t="n">
        <x:v>1</x:v>
      </x:c>
      <x:c r="G11" s="28" t="str">
        <x:f>IF(D11="","",IF(LEFT(D11,5)="RFP-A",IF(F11=1,"PTC-B","PTC-C"),IF(LEFT(D11,5)="RFP-B",IF(F11=1,"PTC-A","PTC-C"),IF(F11=1,"PTC-A","PTC-B"))))</x:f>
      </x:c>
      <x:c r="H11" s="29" t="str"/>
      <x:c r="I11" s="29" t="str"/>
      <x:c r="J11" s="29" t="str"/>
      <x:c r="K11" s="29" t="str"/>
      <x:c r="L11" s="29" t="str"/>
      <x:c r="M11" s="28" t="str">
        <x:f>IF(AND(C11="RESERVE",D11=""),"DORMANT",IF(L11="","OPEN",IF(AND(G11&lt;&gt;"",H11&lt;&gt;"",I11=H11,J11&lt;&gt;"",K11&lt;&gt;"",J11&lt;&gt;K11),"PASS","FAIL")))</x:f>
        <x:v>OPEN</x:v>
      </x:c>
    </x:row>
    <x:row r="12">
      <x:c r="B12" s="28" t="str">
        <x:v>AT-01</x:v>
      </x:c>
      <x:c r="C12" s="28" t="str">
        <x:v>PRIMARY</x:v>
      </x:c>
      <x:c r="D12" s="28" t="str">
        <x:f>INDEX('Attempt Tokens'!$E$7:$E$36,MATCH(B12,'Attempt Tokens'!$B$7:$B$36,0))</x:f>
      </x:c>
      <x:c r="E12" s="28" t="str">
        <x:v>RP-03</x:v>
      </x:c>
      <x:c r="F12" s="28" t="n">
        <x:v>2</x:v>
      </x:c>
      <x:c r="G12" s="28" t="str">
        <x:f>IF(D12="","",IF(LEFT(D12,5)="RFP-A",IF(F12=1,"PTC-B","PTC-C"),IF(LEFT(D12,5)="RFP-B",IF(F12=1,"PTC-A","PTC-C"),IF(F12=1,"PTC-A","PTC-B"))))</x:f>
      </x:c>
      <x:c r="H12" s="29" t="str"/>
      <x:c r="I12" s="29" t="str"/>
      <x:c r="J12" s="29" t="str"/>
      <x:c r="K12" s="29" t="str"/>
      <x:c r="L12" s="29" t="str"/>
      <x:c r="M12" s="28" t="str">
        <x:f>IF(AND(C12="RESERVE",D12=""),"DORMANT",IF(L12="","OPEN",IF(AND(G12&lt;&gt;"",H12&lt;&gt;"",I12=H12,J12&lt;&gt;"",K12&lt;&gt;"",J12&lt;&gt;K12),"PASS","FAIL")))</x:f>
        <x:v>OPEN</x:v>
      </x:c>
    </x:row>
    <x:row r="13">
      <x:c r="B13" s="28" t="str">
        <x:v>AT-01</x:v>
      </x:c>
      <x:c r="C13" s="28" t="str">
        <x:v>PRIMARY</x:v>
      </x:c>
      <x:c r="D13" s="28" t="str">
        <x:f>INDEX('Attempt Tokens'!$E$7:$E$36,MATCH(B13,'Attempt Tokens'!$B$7:$B$36,0))</x:f>
      </x:c>
      <x:c r="E13" s="28" t="str">
        <x:v>RP-04</x:v>
      </x:c>
      <x:c r="F13" s="28" t="n">
        <x:v>1</x:v>
      </x:c>
      <x:c r="G13" s="28" t="str">
        <x:f>IF(D13="","",IF(LEFT(D13,5)="RFP-A",IF(F13=1,"PTC-B","PTC-C"),IF(LEFT(D13,5)="RFP-B",IF(F13=1,"PTC-A","PTC-C"),IF(F13=1,"PTC-A","PTC-B"))))</x:f>
      </x:c>
      <x:c r="H13" s="29" t="str"/>
      <x:c r="I13" s="29" t="str"/>
      <x:c r="J13" s="29" t="str"/>
      <x:c r="K13" s="29" t="str"/>
      <x:c r="L13" s="29" t="str"/>
      <x:c r="M13" s="28" t="str">
        <x:f>IF(AND(C13="RESERVE",D13=""),"DORMANT",IF(L13="","OPEN",IF(AND(G13&lt;&gt;"",H13&lt;&gt;"",I13=H13,J13&lt;&gt;"",K13&lt;&gt;"",J13&lt;&gt;K13),"PASS","FAIL")))</x:f>
        <x:v>OPEN</x:v>
      </x:c>
    </x:row>
    <x:row r="14">
      <x:c r="B14" s="28" t="str">
        <x:v>AT-01</x:v>
      </x:c>
      <x:c r="C14" s="28" t="str">
        <x:v>PRIMARY</x:v>
      </x:c>
      <x:c r="D14" s="28" t="str">
        <x:f>INDEX('Attempt Tokens'!$E$7:$E$36,MATCH(B14,'Attempt Tokens'!$B$7:$B$36,0))</x:f>
      </x:c>
      <x:c r="E14" s="28" t="str">
        <x:v>RP-04</x:v>
      </x:c>
      <x:c r="F14" s="28" t="n">
        <x:v>2</x:v>
      </x:c>
      <x:c r="G14" s="28" t="str">
        <x:f>IF(D14="","",IF(LEFT(D14,5)="RFP-A",IF(F14=1,"PTC-B","PTC-C"),IF(LEFT(D14,5)="RFP-B",IF(F14=1,"PTC-A","PTC-C"),IF(F14=1,"PTC-A","PTC-B"))))</x:f>
      </x:c>
      <x:c r="H14" s="29" t="str"/>
      <x:c r="I14" s="29" t="str"/>
      <x:c r="J14" s="29" t="str"/>
      <x:c r="K14" s="29" t="str"/>
      <x:c r="L14" s="29" t="str"/>
      <x:c r="M14" s="28" t="str">
        <x:f>IF(AND(C14="RESERVE",D14=""),"DORMANT",IF(L14="","OPEN",IF(AND(G14&lt;&gt;"",H14&lt;&gt;"",I14=H14,J14&lt;&gt;"",K14&lt;&gt;"",J14&lt;&gt;K14),"PASS","FAIL")))</x:f>
        <x:v>OPEN</x:v>
      </x:c>
    </x:row>
    <x:row r="15">
      <x:c r="B15" s="28" t="str">
        <x:v>AT-01</x:v>
      </x:c>
      <x:c r="C15" s="28" t="str">
        <x:v>PRIMARY</x:v>
      </x:c>
      <x:c r="D15" s="28" t="str">
        <x:f>INDEX('Attempt Tokens'!$E$7:$E$36,MATCH(B15,'Attempt Tokens'!$B$7:$B$36,0))</x:f>
      </x:c>
      <x:c r="E15" s="28" t="str">
        <x:v>RP-05</x:v>
      </x:c>
      <x:c r="F15" s="28" t="n">
        <x:v>1</x:v>
      </x:c>
      <x:c r="G15" s="28" t="str">
        <x:f>IF(D15="","",IF(LEFT(D15,5)="RFP-A",IF(F15=1,"PTC-B","PTC-C"),IF(LEFT(D15,5)="RFP-B",IF(F15=1,"PTC-A","PTC-C"),IF(F15=1,"PTC-A","PTC-B"))))</x:f>
      </x:c>
      <x:c r="H15" s="29" t="str"/>
      <x:c r="I15" s="29" t="str"/>
      <x:c r="J15" s="29" t="str"/>
      <x:c r="K15" s="29" t="str"/>
      <x:c r="L15" s="29" t="str"/>
      <x:c r="M15" s="28" t="str">
        <x:f>IF(AND(C15="RESERVE",D15=""),"DORMANT",IF(L15="","OPEN",IF(AND(G15&lt;&gt;"",H15&lt;&gt;"",I15=H15,J15&lt;&gt;"",K15&lt;&gt;"",J15&lt;&gt;K15),"PASS","FAIL")))</x:f>
        <x:v>OPEN</x:v>
      </x:c>
    </x:row>
    <x:row r="16">
      <x:c r="B16" s="28" t="str">
        <x:v>AT-01</x:v>
      </x:c>
      <x:c r="C16" s="28" t="str">
        <x:v>PRIMARY</x:v>
      </x:c>
      <x:c r="D16" s="28" t="str">
        <x:f>INDEX('Attempt Tokens'!$E$7:$E$36,MATCH(B16,'Attempt Tokens'!$B$7:$B$36,0))</x:f>
      </x:c>
      <x:c r="E16" s="28" t="str">
        <x:v>RP-05</x:v>
      </x:c>
      <x:c r="F16" s="28" t="n">
        <x:v>2</x:v>
      </x:c>
      <x:c r="G16" s="28" t="str">
        <x:f>IF(D16="","",IF(LEFT(D16,5)="RFP-A",IF(F16=1,"PTC-B","PTC-C"),IF(LEFT(D16,5)="RFP-B",IF(F16=1,"PTC-A","PTC-C"),IF(F16=1,"PTC-A","PTC-B"))))</x:f>
      </x:c>
      <x:c r="H16" s="29" t="str"/>
      <x:c r="I16" s="29" t="str"/>
      <x:c r="J16" s="29" t="str"/>
      <x:c r="K16" s="29" t="str"/>
      <x:c r="L16" s="29" t="str"/>
      <x:c r="M16" s="28" t="str">
        <x:f>IF(AND(C16="RESERVE",D16=""),"DORMANT",IF(L16="","OPEN",IF(AND(G16&lt;&gt;"",H16&lt;&gt;"",I16=H16,J16&lt;&gt;"",K16&lt;&gt;"",J16&lt;&gt;K16),"PASS","FAIL")))</x:f>
        <x:v>OPEN</x:v>
      </x:c>
    </x:row>
    <x:row r="17">
      <x:c r="B17" s="28" t="str">
        <x:v>AT-01</x:v>
      </x:c>
      <x:c r="C17" s="28" t="str">
        <x:v>PRIMARY</x:v>
      </x:c>
      <x:c r="D17" s="28" t="str">
        <x:f>INDEX('Attempt Tokens'!$E$7:$E$36,MATCH(B17,'Attempt Tokens'!$B$7:$B$36,0))</x:f>
      </x:c>
      <x:c r="E17" s="28" t="str">
        <x:v>RP-06</x:v>
      </x:c>
      <x:c r="F17" s="28" t="n">
        <x:v>1</x:v>
      </x:c>
      <x:c r="G17" s="28" t="str">
        <x:f>IF(D17="","",IF(LEFT(D17,5)="RFP-A",IF(F17=1,"PTC-B","PTC-C"),IF(LEFT(D17,5)="RFP-B",IF(F17=1,"PTC-A","PTC-C"),IF(F17=1,"PTC-A","PTC-B"))))</x:f>
      </x:c>
      <x:c r="H17" s="29" t="str"/>
      <x:c r="I17" s="29" t="str"/>
      <x:c r="J17" s="29" t="str"/>
      <x:c r="K17" s="29" t="str"/>
      <x:c r="L17" s="29" t="str"/>
      <x:c r="M17" s="28" t="str">
        <x:f>IF(AND(C17="RESERVE",D17=""),"DORMANT",IF(L17="","OPEN",IF(AND(G17&lt;&gt;"",H17&lt;&gt;"",I17=H17,J17&lt;&gt;"",K17&lt;&gt;"",J17&lt;&gt;K17),"PASS","FAIL")))</x:f>
        <x:v>OPEN</x:v>
      </x:c>
    </x:row>
    <x:row r="18">
      <x:c r="B18" s="28" t="str">
        <x:v>AT-01</x:v>
      </x:c>
      <x:c r="C18" s="28" t="str">
        <x:v>PRIMARY</x:v>
      </x:c>
      <x:c r="D18" s="28" t="str">
        <x:f>INDEX('Attempt Tokens'!$E$7:$E$36,MATCH(B18,'Attempt Tokens'!$B$7:$B$36,0))</x:f>
      </x:c>
      <x:c r="E18" s="28" t="str">
        <x:v>RP-06</x:v>
      </x:c>
      <x:c r="F18" s="28" t="n">
        <x:v>2</x:v>
      </x:c>
      <x:c r="G18" s="28" t="str">
        <x:f>IF(D18="","",IF(LEFT(D18,5)="RFP-A",IF(F18=1,"PTC-B","PTC-C"),IF(LEFT(D18,5)="RFP-B",IF(F18=1,"PTC-A","PTC-C"),IF(F18=1,"PTC-A","PTC-B"))))</x:f>
      </x:c>
      <x:c r="H18" s="29" t="str"/>
      <x:c r="I18" s="29" t="str"/>
      <x:c r="J18" s="29" t="str"/>
      <x:c r="K18" s="29" t="str"/>
      <x:c r="L18" s="29" t="str"/>
      <x:c r="M18" s="28" t="str">
        <x:f>IF(AND(C18="RESERVE",D18=""),"DORMANT",IF(L18="","OPEN",IF(AND(G18&lt;&gt;"",H18&lt;&gt;"",I18=H18,J18&lt;&gt;"",K18&lt;&gt;"",J18&lt;&gt;K18),"PASS","FAIL")))</x:f>
        <x:v>OPEN</x:v>
      </x:c>
    </x:row>
    <x:row r="19">
      <x:c r="B19" s="28" t="str">
        <x:v>AT-01</x:v>
      </x:c>
      <x:c r="C19" s="28" t="str">
        <x:v>PRIMARY</x:v>
      </x:c>
      <x:c r="D19" s="28" t="str">
        <x:f>INDEX('Attempt Tokens'!$E$7:$E$36,MATCH(B19,'Attempt Tokens'!$B$7:$B$36,0))</x:f>
      </x:c>
      <x:c r="E19" s="28" t="str">
        <x:v>RP-07</x:v>
      </x:c>
      <x:c r="F19" s="28" t="n">
        <x:v>1</x:v>
      </x:c>
      <x:c r="G19" s="28" t="str">
        <x:f>IF(D19="","",IF(LEFT(D19,5)="RFP-A",IF(F19=1,"PTC-B","PTC-C"),IF(LEFT(D19,5)="RFP-B",IF(F19=1,"PTC-A","PTC-C"),IF(F19=1,"PTC-A","PTC-B"))))</x:f>
      </x:c>
      <x:c r="H19" s="29" t="str"/>
      <x:c r="I19" s="29" t="str"/>
      <x:c r="J19" s="29" t="str"/>
      <x:c r="K19" s="29" t="str"/>
      <x:c r="L19" s="29" t="str"/>
      <x:c r="M19" s="28" t="str">
        <x:f>IF(AND(C19="RESERVE",D19=""),"DORMANT",IF(L19="","OPEN",IF(AND(G19&lt;&gt;"",H19&lt;&gt;"",I19=H19,J19&lt;&gt;"",K19&lt;&gt;"",J19&lt;&gt;K19),"PASS","FAIL")))</x:f>
        <x:v>OPEN</x:v>
      </x:c>
    </x:row>
    <x:row r="20">
      <x:c r="B20" s="28" t="str">
        <x:v>AT-01</x:v>
      </x:c>
      <x:c r="C20" s="28" t="str">
        <x:v>PRIMARY</x:v>
      </x:c>
      <x:c r="D20" s="28" t="str">
        <x:f>INDEX('Attempt Tokens'!$E$7:$E$36,MATCH(B20,'Attempt Tokens'!$B$7:$B$36,0))</x:f>
      </x:c>
      <x:c r="E20" s="28" t="str">
        <x:v>RP-07</x:v>
      </x:c>
      <x:c r="F20" s="28" t="n">
        <x:v>2</x:v>
      </x:c>
      <x:c r="G20" s="28" t="str">
        <x:f>IF(D20="","",IF(LEFT(D20,5)="RFP-A",IF(F20=1,"PTC-B","PTC-C"),IF(LEFT(D20,5)="RFP-B",IF(F20=1,"PTC-A","PTC-C"),IF(F20=1,"PTC-A","PTC-B"))))</x:f>
      </x:c>
      <x:c r="H20" s="29" t="str"/>
      <x:c r="I20" s="29" t="str"/>
      <x:c r="J20" s="29" t="str"/>
      <x:c r="K20" s="29" t="str"/>
      <x:c r="L20" s="29" t="str"/>
      <x:c r="M20" s="28" t="str">
        <x:f>IF(AND(C20="RESERVE",D20=""),"DORMANT",IF(L20="","OPEN",IF(AND(G20&lt;&gt;"",H20&lt;&gt;"",I20=H20,J20&lt;&gt;"",K20&lt;&gt;"",J20&lt;&gt;K20),"PASS","FAIL")))</x:f>
        <x:v>OPEN</x:v>
      </x:c>
    </x:row>
    <x:row r="21">
      <x:c r="B21" s="28" t="str">
        <x:v>AT-01</x:v>
      </x:c>
      <x:c r="C21" s="28" t="str">
        <x:v>PRIMARY</x:v>
      </x:c>
      <x:c r="D21" s="28" t="str">
        <x:f>INDEX('Attempt Tokens'!$E$7:$E$36,MATCH(B21,'Attempt Tokens'!$B$7:$B$36,0))</x:f>
      </x:c>
      <x:c r="E21" s="28" t="str">
        <x:v>RP-08</x:v>
      </x:c>
      <x:c r="F21" s="28" t="n">
        <x:v>1</x:v>
      </x:c>
      <x:c r="G21" s="28" t="str">
        <x:f>IF(D21="","",IF(LEFT(D21,5)="RFP-A",IF(F21=1,"PTC-B","PTC-C"),IF(LEFT(D21,5)="RFP-B",IF(F21=1,"PTC-A","PTC-C"),IF(F21=1,"PTC-A","PTC-B"))))</x:f>
      </x:c>
      <x:c r="H21" s="29" t="str"/>
      <x:c r="I21" s="29" t="str"/>
      <x:c r="J21" s="29" t="str"/>
      <x:c r="K21" s="29" t="str"/>
      <x:c r="L21" s="29" t="str"/>
      <x:c r="M21" s="28" t="str">
        <x:f>IF(AND(C21="RESERVE",D21=""),"DORMANT",IF(L21="","OPEN",IF(AND(G21&lt;&gt;"",H21&lt;&gt;"",I21=H21,J21&lt;&gt;"",K21&lt;&gt;"",J21&lt;&gt;K21),"PASS","FAIL")))</x:f>
        <x:v>OPEN</x:v>
      </x:c>
    </x:row>
    <x:row r="22">
      <x:c r="B22" s="28" t="str">
        <x:v>AT-01</x:v>
      </x:c>
      <x:c r="C22" s="28" t="str">
        <x:v>PRIMARY</x:v>
      </x:c>
      <x:c r="D22" s="28" t="str">
        <x:f>INDEX('Attempt Tokens'!$E$7:$E$36,MATCH(B22,'Attempt Tokens'!$B$7:$B$36,0))</x:f>
      </x:c>
      <x:c r="E22" s="28" t="str">
        <x:v>RP-08</x:v>
      </x:c>
      <x:c r="F22" s="28" t="n">
        <x:v>2</x:v>
      </x:c>
      <x:c r="G22" s="28" t="str">
        <x:f>IF(D22="","",IF(LEFT(D22,5)="RFP-A",IF(F22=1,"PTC-B","PTC-C"),IF(LEFT(D22,5)="RFP-B",IF(F22=1,"PTC-A","PTC-C"),IF(F22=1,"PTC-A","PTC-B"))))</x:f>
      </x:c>
      <x:c r="H22" s="29" t="str"/>
      <x:c r="I22" s="29" t="str"/>
      <x:c r="J22" s="29" t="str"/>
      <x:c r="K22" s="29" t="str"/>
      <x:c r="L22" s="29" t="str"/>
      <x:c r="M22" s="28" t="str">
        <x:f>IF(AND(C22="RESERVE",D22=""),"DORMANT",IF(L22="","OPEN",IF(AND(G22&lt;&gt;"",H22&lt;&gt;"",I22=H22,J22&lt;&gt;"",K22&lt;&gt;"",J22&lt;&gt;K22),"PASS","FAIL")))</x:f>
        <x:v>OPEN</x:v>
      </x:c>
    </x:row>
    <x:row r="23">
      <x:c r="B23" s="28" t="str">
        <x:v>AT-01</x:v>
      </x:c>
      <x:c r="C23" s="28" t="str">
        <x:v>PRIMARY</x:v>
      </x:c>
      <x:c r="D23" s="28" t="str">
        <x:f>INDEX('Attempt Tokens'!$E$7:$E$36,MATCH(B23,'Attempt Tokens'!$B$7:$B$36,0))</x:f>
      </x:c>
      <x:c r="E23" s="28" t="str">
        <x:v>RP-09</x:v>
      </x:c>
      <x:c r="F23" s="28" t="n">
        <x:v>1</x:v>
      </x:c>
      <x:c r="G23" s="28" t="str">
        <x:f>IF(D23="","",IF(LEFT(D23,5)="RFP-A",IF(F23=1,"PTC-B","PTC-C"),IF(LEFT(D23,5)="RFP-B",IF(F23=1,"PTC-A","PTC-C"),IF(F23=1,"PTC-A","PTC-B"))))</x:f>
      </x:c>
      <x:c r="H23" s="29" t="str"/>
      <x:c r="I23" s="29" t="str"/>
      <x:c r="J23" s="29" t="str"/>
      <x:c r="K23" s="29" t="str"/>
      <x:c r="L23" s="29" t="str"/>
      <x:c r="M23" s="28" t="str">
        <x:f>IF(AND(C23="RESERVE",D23=""),"DORMANT",IF(L23="","OPEN",IF(AND(G23&lt;&gt;"",H23&lt;&gt;"",I23=H23,J23&lt;&gt;"",K23&lt;&gt;"",J23&lt;&gt;K23),"PASS","FAIL")))</x:f>
        <x:v>OPEN</x:v>
      </x:c>
    </x:row>
    <x:row r="24">
      <x:c r="B24" s="28" t="str">
        <x:v>AT-01</x:v>
      </x:c>
      <x:c r="C24" s="28" t="str">
        <x:v>PRIMARY</x:v>
      </x:c>
      <x:c r="D24" s="28" t="str">
        <x:f>INDEX('Attempt Tokens'!$E$7:$E$36,MATCH(B24,'Attempt Tokens'!$B$7:$B$36,0))</x:f>
      </x:c>
      <x:c r="E24" s="28" t="str">
        <x:v>RP-09</x:v>
      </x:c>
      <x:c r="F24" s="28" t="n">
        <x:v>2</x:v>
      </x:c>
      <x:c r="G24" s="28" t="str">
        <x:f>IF(D24="","",IF(LEFT(D24,5)="RFP-A",IF(F24=1,"PTC-B","PTC-C"),IF(LEFT(D24,5)="RFP-B",IF(F24=1,"PTC-A","PTC-C"),IF(F24=1,"PTC-A","PTC-B"))))</x:f>
      </x:c>
      <x:c r="H24" s="29" t="str"/>
      <x:c r="I24" s="29" t="str"/>
      <x:c r="J24" s="29" t="str"/>
      <x:c r="K24" s="29" t="str"/>
      <x:c r="L24" s="29" t="str"/>
      <x:c r="M24" s="28" t="str">
        <x:f>IF(AND(C24="RESERVE",D24=""),"DORMANT",IF(L24="","OPEN",IF(AND(G24&lt;&gt;"",H24&lt;&gt;"",I24=H24,J24&lt;&gt;"",K24&lt;&gt;"",J24&lt;&gt;K24),"PASS","FAIL")))</x:f>
        <x:v>OPEN</x:v>
      </x:c>
    </x:row>
    <x:row r="25">
      <x:c r="B25" s="28" t="str">
        <x:v>AT-01</x:v>
      </x:c>
      <x:c r="C25" s="28" t="str">
        <x:v>PRIMARY</x:v>
      </x:c>
      <x:c r="D25" s="28" t="str">
        <x:f>INDEX('Attempt Tokens'!$E$7:$E$36,MATCH(B25,'Attempt Tokens'!$B$7:$B$36,0))</x:f>
      </x:c>
      <x:c r="E25" s="28" t="str">
        <x:v>RP-10</x:v>
      </x:c>
      <x:c r="F25" s="28" t="n">
        <x:v>1</x:v>
      </x:c>
      <x:c r="G25" s="28" t="str">
        <x:f>IF(D25="","",IF(LEFT(D25,5)="RFP-A",IF(F25=1,"PTC-B","PTC-C"),IF(LEFT(D25,5)="RFP-B",IF(F25=1,"PTC-A","PTC-C"),IF(F25=1,"PTC-A","PTC-B"))))</x:f>
      </x:c>
      <x:c r="H25" s="29" t="str"/>
      <x:c r="I25" s="29" t="str"/>
      <x:c r="J25" s="29" t="str"/>
      <x:c r="K25" s="29" t="str"/>
      <x:c r="L25" s="29" t="str"/>
      <x:c r="M25" s="28" t="str">
        <x:f>IF(AND(C25="RESERVE",D25=""),"DORMANT",IF(L25="","OPEN",IF(AND(G25&lt;&gt;"",H25&lt;&gt;"",I25=H25,J25&lt;&gt;"",K25&lt;&gt;"",J25&lt;&gt;K25),"PASS","FAIL")))</x:f>
        <x:v>OPEN</x:v>
      </x:c>
    </x:row>
    <x:row r="26">
      <x:c r="B26" s="28" t="str">
        <x:v>AT-01</x:v>
      </x:c>
      <x:c r="C26" s="28" t="str">
        <x:v>PRIMARY</x:v>
      </x:c>
      <x:c r="D26" s="28" t="str">
        <x:f>INDEX('Attempt Tokens'!$E$7:$E$36,MATCH(B26,'Attempt Tokens'!$B$7:$B$36,0))</x:f>
      </x:c>
      <x:c r="E26" s="28" t="str">
        <x:v>RP-10</x:v>
      </x:c>
      <x:c r="F26" s="28" t="n">
        <x:v>2</x:v>
      </x:c>
      <x:c r="G26" s="28" t="str">
        <x:f>IF(D26="","",IF(LEFT(D26,5)="RFP-A",IF(F26=1,"PTC-B","PTC-C"),IF(LEFT(D26,5)="RFP-B",IF(F26=1,"PTC-A","PTC-C"),IF(F26=1,"PTC-A","PTC-B"))))</x:f>
      </x:c>
      <x:c r="H26" s="29" t="str"/>
      <x:c r="I26" s="29" t="str"/>
      <x:c r="J26" s="29" t="str"/>
      <x:c r="K26" s="29" t="str"/>
      <x:c r="L26" s="29" t="str"/>
      <x:c r="M26" s="28" t="str">
        <x:f>IF(AND(C26="RESERVE",D26=""),"DORMANT",IF(L26="","OPEN",IF(AND(G26&lt;&gt;"",H26&lt;&gt;"",I26=H26,J26&lt;&gt;"",K26&lt;&gt;"",J26&lt;&gt;K26),"PASS","FAIL")))</x:f>
        <x:v>OPEN</x:v>
      </x:c>
    </x:row>
    <x:row r="27">
      <x:c r="B27" s="28" t="str">
        <x:v>AT-01</x:v>
      </x:c>
      <x:c r="C27" s="28" t="str">
        <x:v>PRIMARY</x:v>
      </x:c>
      <x:c r="D27" s="28" t="str">
        <x:f>INDEX('Attempt Tokens'!$E$7:$E$36,MATCH(B27,'Attempt Tokens'!$B$7:$B$36,0))</x:f>
      </x:c>
      <x:c r="E27" s="28" t="str">
        <x:v>RP-11</x:v>
      </x:c>
      <x:c r="F27" s="28" t="n">
        <x:v>1</x:v>
      </x:c>
      <x:c r="G27" s="28" t="str">
        <x:f>IF(D27="","",IF(LEFT(D27,5)="RFP-A",IF(F27=1,"PTC-B","PTC-C"),IF(LEFT(D27,5)="RFP-B",IF(F27=1,"PTC-A","PTC-C"),IF(F27=1,"PTC-A","PTC-B"))))</x:f>
      </x:c>
      <x:c r="H27" s="29" t="str"/>
      <x:c r="I27" s="29" t="str"/>
      <x:c r="J27" s="29" t="str"/>
      <x:c r="K27" s="29" t="str"/>
      <x:c r="L27" s="29" t="str"/>
      <x:c r="M27" s="28" t="str">
        <x:f>IF(AND(C27="RESERVE",D27=""),"DORMANT",IF(L27="","OPEN",IF(AND(G27&lt;&gt;"",H27&lt;&gt;"",I27=H27,J27&lt;&gt;"",K27&lt;&gt;"",J27&lt;&gt;K27),"PASS","FAIL")))</x:f>
        <x:v>OPEN</x:v>
      </x:c>
    </x:row>
    <x:row r="28">
      <x:c r="B28" s="28" t="str">
        <x:v>AT-01</x:v>
      </x:c>
      <x:c r="C28" s="28" t="str">
        <x:v>PRIMARY</x:v>
      </x:c>
      <x:c r="D28" s="28" t="str">
        <x:f>INDEX('Attempt Tokens'!$E$7:$E$36,MATCH(B28,'Attempt Tokens'!$B$7:$B$36,0))</x:f>
      </x:c>
      <x:c r="E28" s="28" t="str">
        <x:v>RP-11</x:v>
      </x:c>
      <x:c r="F28" s="28" t="n">
        <x:v>2</x:v>
      </x:c>
      <x:c r="G28" s="28" t="str">
        <x:f>IF(D28="","",IF(LEFT(D28,5)="RFP-A",IF(F28=1,"PTC-B","PTC-C"),IF(LEFT(D28,5)="RFP-B",IF(F28=1,"PTC-A","PTC-C"),IF(F28=1,"PTC-A","PTC-B"))))</x:f>
      </x:c>
      <x:c r="H28" s="29" t="str"/>
      <x:c r="I28" s="29" t="str"/>
      <x:c r="J28" s="29" t="str"/>
      <x:c r="K28" s="29" t="str"/>
      <x:c r="L28" s="29" t="str"/>
      <x:c r="M28" s="28" t="str">
        <x:f>IF(AND(C28="RESERVE",D28=""),"DORMANT",IF(L28="","OPEN",IF(AND(G28&lt;&gt;"",H28&lt;&gt;"",I28=H28,J28&lt;&gt;"",K28&lt;&gt;"",J28&lt;&gt;K28),"PASS","FAIL")))</x:f>
        <x:v>OPEN</x:v>
      </x:c>
    </x:row>
    <x:row r="29">
      <x:c r="B29" s="28" t="str">
        <x:v>AT-01</x:v>
      </x:c>
      <x:c r="C29" s="28" t="str">
        <x:v>PRIMARY</x:v>
      </x:c>
      <x:c r="D29" s="28" t="str">
        <x:f>INDEX('Attempt Tokens'!$E$7:$E$36,MATCH(B29,'Attempt Tokens'!$B$7:$B$36,0))</x:f>
      </x:c>
      <x:c r="E29" s="28" t="str">
        <x:v>RP-12</x:v>
      </x:c>
      <x:c r="F29" s="28" t="n">
        <x:v>1</x:v>
      </x:c>
      <x:c r="G29" s="28" t="str">
        <x:f>IF(D29="","",IF(LEFT(D29,5)="RFP-A",IF(F29=1,"PTC-B","PTC-C"),IF(LEFT(D29,5)="RFP-B",IF(F29=1,"PTC-A","PTC-C"),IF(F29=1,"PTC-A","PTC-B"))))</x:f>
      </x:c>
      <x:c r="H29" s="29" t="str"/>
      <x:c r="I29" s="29" t="str"/>
      <x:c r="J29" s="29" t="str"/>
      <x:c r="K29" s="29" t="str"/>
      <x:c r="L29" s="29" t="str"/>
      <x:c r="M29" s="28" t="str">
        <x:f>IF(AND(C29="RESERVE",D29=""),"DORMANT",IF(L29="","OPEN",IF(AND(G29&lt;&gt;"",H29&lt;&gt;"",I29=H29,J29&lt;&gt;"",K29&lt;&gt;"",J29&lt;&gt;K29),"PASS","FAIL")))</x:f>
        <x:v>OPEN</x:v>
      </x:c>
    </x:row>
    <x:row r="30">
      <x:c r="B30" s="28" t="str">
        <x:v>AT-01</x:v>
      </x:c>
      <x:c r="C30" s="28" t="str">
        <x:v>PRIMARY</x:v>
      </x:c>
      <x:c r="D30" s="28" t="str">
        <x:f>INDEX('Attempt Tokens'!$E$7:$E$36,MATCH(B30,'Attempt Tokens'!$B$7:$B$36,0))</x:f>
      </x:c>
      <x:c r="E30" s="28" t="str">
        <x:v>RP-12</x:v>
      </x:c>
      <x:c r="F30" s="28" t="n">
        <x:v>2</x:v>
      </x:c>
      <x:c r="G30" s="28" t="str">
        <x:f>IF(D30="","",IF(LEFT(D30,5)="RFP-A",IF(F30=1,"PTC-B","PTC-C"),IF(LEFT(D30,5)="RFP-B",IF(F30=1,"PTC-A","PTC-C"),IF(F30=1,"PTC-A","PTC-B"))))</x:f>
      </x:c>
      <x:c r="H30" s="29" t="str"/>
      <x:c r="I30" s="29" t="str"/>
      <x:c r="J30" s="29" t="str"/>
      <x:c r="K30" s="29" t="str"/>
      <x:c r="L30" s="29" t="str"/>
      <x:c r="M30" s="28" t="str">
        <x:f>IF(AND(C30="RESERVE",D30=""),"DORMANT",IF(L30="","OPEN",IF(AND(G30&lt;&gt;"",H30&lt;&gt;"",I30=H30,J30&lt;&gt;"",K30&lt;&gt;"",J30&lt;&gt;K30),"PASS","FAIL")))</x:f>
        <x:v>OPEN</x:v>
      </x:c>
    </x:row>
    <x:row r="31">
      <x:c r="B31" s="28" t="str">
        <x:v>AT-02</x:v>
      </x:c>
      <x:c r="C31" s="28" t="str">
        <x:v>PRIMARY</x:v>
      </x:c>
      <x:c r="D31" s="28" t="str">
        <x:f>INDEX('Attempt Tokens'!$E$7:$E$36,MATCH(B31,'Attempt Tokens'!$B$7:$B$36,0))</x:f>
      </x:c>
      <x:c r="E31" s="28" t="str">
        <x:v>RP-01</x:v>
      </x:c>
      <x:c r="F31" s="28" t="n">
        <x:v>1</x:v>
      </x:c>
      <x:c r="G31" s="28" t="str">
        <x:f>IF(D31="","",IF(LEFT(D31,5)="RFP-A",IF(F31=1,"PTC-B","PTC-C"),IF(LEFT(D31,5)="RFP-B",IF(F31=1,"PTC-A","PTC-C"),IF(F31=1,"PTC-A","PTC-B"))))</x:f>
      </x:c>
      <x:c r="H31" s="29" t="str"/>
      <x:c r="I31" s="29" t="str"/>
      <x:c r="J31" s="29" t="str"/>
      <x:c r="K31" s="29" t="str"/>
      <x:c r="L31" s="29" t="str"/>
      <x:c r="M31" s="28" t="str">
        <x:f>IF(AND(C31="RESERVE",D31=""),"DORMANT",IF(L31="","OPEN",IF(AND(G31&lt;&gt;"",H31&lt;&gt;"",I31=H31,J31&lt;&gt;"",K31&lt;&gt;"",J31&lt;&gt;K31),"PASS","FAIL")))</x:f>
        <x:v>OPEN</x:v>
      </x:c>
    </x:row>
    <x:row r="32">
      <x:c r="B32" s="28" t="str">
        <x:v>AT-02</x:v>
      </x:c>
      <x:c r="C32" s="28" t="str">
        <x:v>PRIMARY</x:v>
      </x:c>
      <x:c r="D32" s="28" t="str">
        <x:f>INDEX('Attempt Tokens'!$E$7:$E$36,MATCH(B32,'Attempt Tokens'!$B$7:$B$36,0))</x:f>
      </x:c>
      <x:c r="E32" s="28" t="str">
        <x:v>RP-01</x:v>
      </x:c>
      <x:c r="F32" s="28" t="n">
        <x:v>2</x:v>
      </x:c>
      <x:c r="G32" s="28" t="str">
        <x:f>IF(D32="","",IF(LEFT(D32,5)="RFP-A",IF(F32=1,"PTC-B","PTC-C"),IF(LEFT(D32,5)="RFP-B",IF(F32=1,"PTC-A","PTC-C"),IF(F32=1,"PTC-A","PTC-B"))))</x:f>
      </x:c>
      <x:c r="H32" s="29" t="str"/>
      <x:c r="I32" s="29" t="str"/>
      <x:c r="J32" s="29" t="str"/>
      <x:c r="K32" s="29" t="str"/>
      <x:c r="L32" s="29" t="str"/>
      <x:c r="M32" s="28" t="str">
        <x:f>IF(AND(C32="RESERVE",D32=""),"DORMANT",IF(L32="","OPEN",IF(AND(G32&lt;&gt;"",H32&lt;&gt;"",I32=H32,J32&lt;&gt;"",K32&lt;&gt;"",J32&lt;&gt;K32),"PASS","FAIL")))</x:f>
        <x:v>OPEN</x:v>
      </x:c>
    </x:row>
    <x:row r="33">
      <x:c r="B33" s="28" t="str">
        <x:v>AT-02</x:v>
      </x:c>
      <x:c r="C33" s="28" t="str">
        <x:v>PRIMARY</x:v>
      </x:c>
      <x:c r="D33" s="28" t="str">
        <x:f>INDEX('Attempt Tokens'!$E$7:$E$36,MATCH(B33,'Attempt Tokens'!$B$7:$B$36,0))</x:f>
      </x:c>
      <x:c r="E33" s="28" t="str">
        <x:v>RP-02</x:v>
      </x:c>
      <x:c r="F33" s="28" t="n">
        <x:v>1</x:v>
      </x:c>
      <x:c r="G33" s="28" t="str">
        <x:f>IF(D33="","",IF(LEFT(D33,5)="RFP-A",IF(F33=1,"PTC-B","PTC-C"),IF(LEFT(D33,5)="RFP-B",IF(F33=1,"PTC-A","PTC-C"),IF(F33=1,"PTC-A","PTC-B"))))</x:f>
      </x:c>
      <x:c r="H33" s="29" t="str"/>
      <x:c r="I33" s="29" t="str"/>
      <x:c r="J33" s="29" t="str"/>
      <x:c r="K33" s="29" t="str"/>
      <x:c r="L33" s="29" t="str"/>
      <x:c r="M33" s="28" t="str">
        <x:f>IF(AND(C33="RESERVE",D33=""),"DORMANT",IF(L33="","OPEN",IF(AND(G33&lt;&gt;"",H33&lt;&gt;"",I33=H33,J33&lt;&gt;"",K33&lt;&gt;"",J33&lt;&gt;K33),"PASS","FAIL")))</x:f>
        <x:v>OPEN</x:v>
      </x:c>
    </x:row>
    <x:row r="34">
      <x:c r="B34" s="28" t="str">
        <x:v>AT-02</x:v>
      </x:c>
      <x:c r="C34" s="28" t="str">
        <x:v>PRIMARY</x:v>
      </x:c>
      <x:c r="D34" s="28" t="str">
        <x:f>INDEX('Attempt Tokens'!$E$7:$E$36,MATCH(B34,'Attempt Tokens'!$B$7:$B$36,0))</x:f>
      </x:c>
      <x:c r="E34" s="28" t="str">
        <x:v>RP-02</x:v>
      </x:c>
      <x:c r="F34" s="28" t="n">
        <x:v>2</x:v>
      </x:c>
      <x:c r="G34" s="28" t="str">
        <x:f>IF(D34="","",IF(LEFT(D34,5)="RFP-A",IF(F34=1,"PTC-B","PTC-C"),IF(LEFT(D34,5)="RFP-B",IF(F34=1,"PTC-A","PTC-C"),IF(F34=1,"PTC-A","PTC-B"))))</x:f>
      </x:c>
      <x:c r="H34" s="29" t="str"/>
      <x:c r="I34" s="29" t="str"/>
      <x:c r="J34" s="29" t="str"/>
      <x:c r="K34" s="29" t="str"/>
      <x:c r="L34" s="29" t="str"/>
      <x:c r="M34" s="28" t="str">
        <x:f>IF(AND(C34="RESERVE",D34=""),"DORMANT",IF(L34="","OPEN",IF(AND(G34&lt;&gt;"",H34&lt;&gt;"",I34=H34,J34&lt;&gt;"",K34&lt;&gt;"",J34&lt;&gt;K34),"PASS","FAIL")))</x:f>
        <x:v>OPEN</x:v>
      </x:c>
    </x:row>
    <x:row r="35">
      <x:c r="B35" s="28" t="str">
        <x:v>AT-02</x:v>
      </x:c>
      <x:c r="C35" s="28" t="str">
        <x:v>PRIMARY</x:v>
      </x:c>
      <x:c r="D35" s="28" t="str">
        <x:f>INDEX('Attempt Tokens'!$E$7:$E$36,MATCH(B35,'Attempt Tokens'!$B$7:$B$36,0))</x:f>
      </x:c>
      <x:c r="E35" s="28" t="str">
        <x:v>RP-03</x:v>
      </x:c>
      <x:c r="F35" s="28" t="n">
        <x:v>1</x:v>
      </x:c>
      <x:c r="G35" s="28" t="str">
        <x:f>IF(D35="","",IF(LEFT(D35,5)="RFP-A",IF(F35=1,"PTC-B","PTC-C"),IF(LEFT(D35,5)="RFP-B",IF(F35=1,"PTC-A","PTC-C"),IF(F35=1,"PTC-A","PTC-B"))))</x:f>
      </x:c>
      <x:c r="H35" s="29" t="str"/>
      <x:c r="I35" s="29" t="str"/>
      <x:c r="J35" s="29" t="str"/>
      <x:c r="K35" s="29" t="str"/>
      <x:c r="L35" s="29" t="str"/>
      <x:c r="M35" s="28" t="str">
        <x:f>IF(AND(C35="RESERVE",D35=""),"DORMANT",IF(L35="","OPEN",IF(AND(G35&lt;&gt;"",H35&lt;&gt;"",I35=H35,J35&lt;&gt;"",K35&lt;&gt;"",J35&lt;&gt;K35),"PASS","FAIL")))</x:f>
        <x:v>OPEN</x:v>
      </x:c>
    </x:row>
    <x:row r="36">
      <x:c r="B36" s="28" t="str">
        <x:v>AT-02</x:v>
      </x:c>
      <x:c r="C36" s="28" t="str">
        <x:v>PRIMARY</x:v>
      </x:c>
      <x:c r="D36" s="28" t="str">
        <x:f>INDEX('Attempt Tokens'!$E$7:$E$36,MATCH(B36,'Attempt Tokens'!$B$7:$B$36,0))</x:f>
      </x:c>
      <x:c r="E36" s="28" t="str">
        <x:v>RP-03</x:v>
      </x:c>
      <x:c r="F36" s="28" t="n">
        <x:v>2</x:v>
      </x:c>
      <x:c r="G36" s="28" t="str">
        <x:f>IF(D36="","",IF(LEFT(D36,5)="RFP-A",IF(F36=1,"PTC-B","PTC-C"),IF(LEFT(D36,5)="RFP-B",IF(F36=1,"PTC-A","PTC-C"),IF(F36=1,"PTC-A","PTC-B"))))</x:f>
      </x:c>
      <x:c r="H36" s="29" t="str"/>
      <x:c r="I36" s="29" t="str"/>
      <x:c r="J36" s="29" t="str"/>
      <x:c r="K36" s="29" t="str"/>
      <x:c r="L36" s="29" t="str"/>
      <x:c r="M36" s="28" t="str">
        <x:f>IF(AND(C36="RESERVE",D36=""),"DORMANT",IF(L36="","OPEN",IF(AND(G36&lt;&gt;"",H36&lt;&gt;"",I36=H36,J36&lt;&gt;"",K36&lt;&gt;"",J36&lt;&gt;K36),"PASS","FAIL")))</x:f>
        <x:v>OPEN</x:v>
      </x:c>
    </x:row>
    <x:row r="37">
      <x:c r="B37" s="28" t="str">
        <x:v>AT-02</x:v>
      </x:c>
      <x:c r="C37" s="28" t="str">
        <x:v>PRIMARY</x:v>
      </x:c>
      <x:c r="D37" s="28" t="str">
        <x:f>INDEX('Attempt Tokens'!$E$7:$E$36,MATCH(B37,'Attempt Tokens'!$B$7:$B$36,0))</x:f>
      </x:c>
      <x:c r="E37" s="28" t="str">
        <x:v>RP-04</x:v>
      </x:c>
      <x:c r="F37" s="28" t="n">
        <x:v>1</x:v>
      </x:c>
      <x:c r="G37" s="28" t="str">
        <x:f>IF(D37="","",IF(LEFT(D37,5)="RFP-A",IF(F37=1,"PTC-B","PTC-C"),IF(LEFT(D37,5)="RFP-B",IF(F37=1,"PTC-A","PTC-C"),IF(F37=1,"PTC-A","PTC-B"))))</x:f>
      </x:c>
      <x:c r="H37" s="29" t="str"/>
      <x:c r="I37" s="29" t="str"/>
      <x:c r="J37" s="29" t="str"/>
      <x:c r="K37" s="29" t="str"/>
      <x:c r="L37" s="29" t="str"/>
      <x:c r="M37" s="28" t="str">
        <x:f>IF(AND(C37="RESERVE",D37=""),"DORMANT",IF(L37="","OPEN",IF(AND(G37&lt;&gt;"",H37&lt;&gt;"",I37=H37,J37&lt;&gt;"",K37&lt;&gt;"",J37&lt;&gt;K37),"PASS","FAIL")))</x:f>
        <x:v>OPEN</x:v>
      </x:c>
    </x:row>
    <x:row r="38">
      <x:c r="B38" s="28" t="str">
        <x:v>AT-02</x:v>
      </x:c>
      <x:c r="C38" s="28" t="str">
        <x:v>PRIMARY</x:v>
      </x:c>
      <x:c r="D38" s="28" t="str">
        <x:f>INDEX('Attempt Tokens'!$E$7:$E$36,MATCH(B38,'Attempt Tokens'!$B$7:$B$36,0))</x:f>
      </x:c>
      <x:c r="E38" s="28" t="str">
        <x:v>RP-04</x:v>
      </x:c>
      <x:c r="F38" s="28" t="n">
        <x:v>2</x:v>
      </x:c>
      <x:c r="G38" s="28" t="str">
        <x:f>IF(D38="","",IF(LEFT(D38,5)="RFP-A",IF(F38=1,"PTC-B","PTC-C"),IF(LEFT(D38,5)="RFP-B",IF(F38=1,"PTC-A","PTC-C"),IF(F38=1,"PTC-A","PTC-B"))))</x:f>
      </x:c>
      <x:c r="H38" s="29" t="str"/>
      <x:c r="I38" s="29" t="str"/>
      <x:c r="J38" s="29" t="str"/>
      <x:c r="K38" s="29" t="str"/>
      <x:c r="L38" s="29" t="str"/>
      <x:c r="M38" s="28" t="str">
        <x:f>IF(AND(C38="RESERVE",D38=""),"DORMANT",IF(L38="","OPEN",IF(AND(G38&lt;&gt;"",H38&lt;&gt;"",I38=H38,J38&lt;&gt;"",K38&lt;&gt;"",J38&lt;&gt;K38),"PASS","FAIL")))</x:f>
        <x:v>OPEN</x:v>
      </x:c>
    </x:row>
    <x:row r="39">
      <x:c r="B39" s="28" t="str">
        <x:v>AT-02</x:v>
      </x:c>
      <x:c r="C39" s="28" t="str">
        <x:v>PRIMARY</x:v>
      </x:c>
      <x:c r="D39" s="28" t="str">
        <x:f>INDEX('Attempt Tokens'!$E$7:$E$36,MATCH(B39,'Attempt Tokens'!$B$7:$B$36,0))</x:f>
      </x:c>
      <x:c r="E39" s="28" t="str">
        <x:v>RP-05</x:v>
      </x:c>
      <x:c r="F39" s="28" t="n">
        <x:v>1</x:v>
      </x:c>
      <x:c r="G39" s="28" t="str">
        <x:f>IF(D39="","",IF(LEFT(D39,5)="RFP-A",IF(F39=1,"PTC-B","PTC-C"),IF(LEFT(D39,5)="RFP-B",IF(F39=1,"PTC-A","PTC-C"),IF(F39=1,"PTC-A","PTC-B"))))</x:f>
      </x:c>
      <x:c r="H39" s="29" t="str"/>
      <x:c r="I39" s="29" t="str"/>
      <x:c r="J39" s="29" t="str"/>
      <x:c r="K39" s="29" t="str"/>
      <x:c r="L39" s="29" t="str"/>
      <x:c r="M39" s="28" t="str">
        <x:f>IF(AND(C39="RESERVE",D39=""),"DORMANT",IF(L39="","OPEN",IF(AND(G39&lt;&gt;"",H39&lt;&gt;"",I39=H39,J39&lt;&gt;"",K39&lt;&gt;"",J39&lt;&gt;K39),"PASS","FAIL")))</x:f>
        <x:v>OPEN</x:v>
      </x:c>
    </x:row>
    <x:row r="40">
      <x:c r="B40" s="28" t="str">
        <x:v>AT-02</x:v>
      </x:c>
      <x:c r="C40" s="28" t="str">
        <x:v>PRIMARY</x:v>
      </x:c>
      <x:c r="D40" s="28" t="str">
        <x:f>INDEX('Attempt Tokens'!$E$7:$E$36,MATCH(B40,'Attempt Tokens'!$B$7:$B$36,0))</x:f>
      </x:c>
      <x:c r="E40" s="28" t="str">
        <x:v>RP-05</x:v>
      </x:c>
      <x:c r="F40" s="28" t="n">
        <x:v>2</x:v>
      </x:c>
      <x:c r="G40" s="28" t="str">
        <x:f>IF(D40="","",IF(LEFT(D40,5)="RFP-A",IF(F40=1,"PTC-B","PTC-C"),IF(LEFT(D40,5)="RFP-B",IF(F40=1,"PTC-A","PTC-C"),IF(F40=1,"PTC-A","PTC-B"))))</x:f>
      </x:c>
      <x:c r="H40" s="29" t="str"/>
      <x:c r="I40" s="29" t="str"/>
      <x:c r="J40" s="29" t="str"/>
      <x:c r="K40" s="29" t="str"/>
      <x:c r="L40" s="29" t="str"/>
      <x:c r="M40" s="28" t="str">
        <x:f>IF(AND(C40="RESERVE",D40=""),"DORMANT",IF(L40="","OPEN",IF(AND(G40&lt;&gt;"",H40&lt;&gt;"",I40=H40,J40&lt;&gt;"",K40&lt;&gt;"",J40&lt;&gt;K40),"PASS","FAIL")))</x:f>
        <x:v>OPEN</x:v>
      </x:c>
    </x:row>
    <x:row r="41">
      <x:c r="B41" s="28" t="str">
        <x:v>AT-02</x:v>
      </x:c>
      <x:c r="C41" s="28" t="str">
        <x:v>PRIMARY</x:v>
      </x:c>
      <x:c r="D41" s="28" t="str">
        <x:f>INDEX('Attempt Tokens'!$E$7:$E$36,MATCH(B41,'Attempt Tokens'!$B$7:$B$36,0))</x:f>
      </x:c>
      <x:c r="E41" s="28" t="str">
        <x:v>RP-06</x:v>
      </x:c>
      <x:c r="F41" s="28" t="n">
        <x:v>1</x:v>
      </x:c>
      <x:c r="G41" s="28" t="str">
        <x:f>IF(D41="","",IF(LEFT(D41,5)="RFP-A",IF(F41=1,"PTC-B","PTC-C"),IF(LEFT(D41,5)="RFP-B",IF(F41=1,"PTC-A","PTC-C"),IF(F41=1,"PTC-A","PTC-B"))))</x:f>
      </x:c>
      <x:c r="H41" s="29" t="str"/>
      <x:c r="I41" s="29" t="str"/>
      <x:c r="J41" s="29" t="str"/>
      <x:c r="K41" s="29" t="str"/>
      <x:c r="L41" s="29" t="str"/>
      <x:c r="M41" s="28" t="str">
        <x:f>IF(AND(C41="RESERVE",D41=""),"DORMANT",IF(L41="","OPEN",IF(AND(G41&lt;&gt;"",H41&lt;&gt;"",I41=H41,J41&lt;&gt;"",K41&lt;&gt;"",J41&lt;&gt;K41),"PASS","FAIL")))</x:f>
        <x:v>OPEN</x:v>
      </x:c>
    </x:row>
    <x:row r="42">
      <x:c r="B42" s="28" t="str">
        <x:v>AT-02</x:v>
      </x:c>
      <x:c r="C42" s="28" t="str">
        <x:v>PRIMARY</x:v>
      </x:c>
      <x:c r="D42" s="28" t="str">
        <x:f>INDEX('Attempt Tokens'!$E$7:$E$36,MATCH(B42,'Attempt Tokens'!$B$7:$B$36,0))</x:f>
      </x:c>
      <x:c r="E42" s="28" t="str">
        <x:v>RP-06</x:v>
      </x:c>
      <x:c r="F42" s="28" t="n">
        <x:v>2</x:v>
      </x:c>
      <x:c r="G42" s="28" t="str">
        <x:f>IF(D42="","",IF(LEFT(D42,5)="RFP-A",IF(F42=1,"PTC-B","PTC-C"),IF(LEFT(D42,5)="RFP-B",IF(F42=1,"PTC-A","PTC-C"),IF(F42=1,"PTC-A","PTC-B"))))</x:f>
      </x:c>
      <x:c r="H42" s="29" t="str"/>
      <x:c r="I42" s="29" t="str"/>
      <x:c r="J42" s="29" t="str"/>
      <x:c r="K42" s="29" t="str"/>
      <x:c r="L42" s="29" t="str"/>
      <x:c r="M42" s="28" t="str">
        <x:f>IF(AND(C42="RESERVE",D42=""),"DORMANT",IF(L42="","OPEN",IF(AND(G42&lt;&gt;"",H42&lt;&gt;"",I42=H42,J42&lt;&gt;"",K42&lt;&gt;"",J42&lt;&gt;K42),"PASS","FAIL")))</x:f>
        <x:v>OPEN</x:v>
      </x:c>
    </x:row>
    <x:row r="43">
      <x:c r="B43" s="28" t="str">
        <x:v>AT-02</x:v>
      </x:c>
      <x:c r="C43" s="28" t="str">
        <x:v>PRIMARY</x:v>
      </x:c>
      <x:c r="D43" s="28" t="str">
        <x:f>INDEX('Attempt Tokens'!$E$7:$E$36,MATCH(B43,'Attempt Tokens'!$B$7:$B$36,0))</x:f>
      </x:c>
      <x:c r="E43" s="28" t="str">
        <x:v>RP-07</x:v>
      </x:c>
      <x:c r="F43" s="28" t="n">
        <x:v>1</x:v>
      </x:c>
      <x:c r="G43" s="28" t="str">
        <x:f>IF(D43="","",IF(LEFT(D43,5)="RFP-A",IF(F43=1,"PTC-B","PTC-C"),IF(LEFT(D43,5)="RFP-B",IF(F43=1,"PTC-A","PTC-C"),IF(F43=1,"PTC-A","PTC-B"))))</x:f>
      </x:c>
      <x:c r="H43" s="29" t="str"/>
      <x:c r="I43" s="29" t="str"/>
      <x:c r="J43" s="29" t="str"/>
      <x:c r="K43" s="29" t="str"/>
      <x:c r="L43" s="29" t="str"/>
      <x:c r="M43" s="28" t="str">
        <x:f>IF(AND(C43="RESERVE",D43=""),"DORMANT",IF(L43="","OPEN",IF(AND(G43&lt;&gt;"",H43&lt;&gt;"",I43=H43,J43&lt;&gt;"",K43&lt;&gt;"",J43&lt;&gt;K43),"PASS","FAIL")))</x:f>
        <x:v>OPEN</x:v>
      </x:c>
    </x:row>
    <x:row r="44">
      <x:c r="B44" s="28" t="str">
        <x:v>AT-02</x:v>
      </x:c>
      <x:c r="C44" s="28" t="str">
        <x:v>PRIMARY</x:v>
      </x:c>
      <x:c r="D44" s="28" t="str">
        <x:f>INDEX('Attempt Tokens'!$E$7:$E$36,MATCH(B44,'Attempt Tokens'!$B$7:$B$36,0))</x:f>
      </x:c>
      <x:c r="E44" s="28" t="str">
        <x:v>RP-07</x:v>
      </x:c>
      <x:c r="F44" s="28" t="n">
        <x:v>2</x:v>
      </x:c>
      <x:c r="G44" s="28" t="str">
        <x:f>IF(D44="","",IF(LEFT(D44,5)="RFP-A",IF(F44=1,"PTC-B","PTC-C"),IF(LEFT(D44,5)="RFP-B",IF(F44=1,"PTC-A","PTC-C"),IF(F44=1,"PTC-A","PTC-B"))))</x:f>
      </x:c>
      <x:c r="H44" s="29" t="str"/>
      <x:c r="I44" s="29" t="str"/>
      <x:c r="J44" s="29" t="str"/>
      <x:c r="K44" s="29" t="str"/>
      <x:c r="L44" s="29" t="str"/>
      <x:c r="M44" s="28" t="str">
        <x:f>IF(AND(C44="RESERVE",D44=""),"DORMANT",IF(L44="","OPEN",IF(AND(G44&lt;&gt;"",H44&lt;&gt;"",I44=H44,J44&lt;&gt;"",K44&lt;&gt;"",J44&lt;&gt;K44),"PASS","FAIL")))</x:f>
        <x:v>OPEN</x:v>
      </x:c>
    </x:row>
    <x:row r="45">
      <x:c r="B45" s="28" t="str">
        <x:v>AT-02</x:v>
      </x:c>
      <x:c r="C45" s="28" t="str">
        <x:v>PRIMARY</x:v>
      </x:c>
      <x:c r="D45" s="28" t="str">
        <x:f>INDEX('Attempt Tokens'!$E$7:$E$36,MATCH(B45,'Attempt Tokens'!$B$7:$B$36,0))</x:f>
      </x:c>
      <x:c r="E45" s="28" t="str">
        <x:v>RP-08</x:v>
      </x:c>
      <x:c r="F45" s="28" t="n">
        <x:v>1</x:v>
      </x:c>
      <x:c r="G45" s="28" t="str">
        <x:f>IF(D45="","",IF(LEFT(D45,5)="RFP-A",IF(F45=1,"PTC-B","PTC-C"),IF(LEFT(D45,5)="RFP-B",IF(F45=1,"PTC-A","PTC-C"),IF(F45=1,"PTC-A","PTC-B"))))</x:f>
      </x:c>
      <x:c r="H45" s="29" t="str"/>
      <x:c r="I45" s="29" t="str"/>
      <x:c r="J45" s="29" t="str"/>
      <x:c r="K45" s="29" t="str"/>
      <x:c r="L45" s="29" t="str"/>
      <x:c r="M45" s="28" t="str">
        <x:f>IF(AND(C45="RESERVE",D45=""),"DORMANT",IF(L45="","OPEN",IF(AND(G45&lt;&gt;"",H45&lt;&gt;"",I45=H45,J45&lt;&gt;"",K45&lt;&gt;"",J45&lt;&gt;K45),"PASS","FAIL")))</x:f>
        <x:v>OPEN</x:v>
      </x:c>
    </x:row>
    <x:row r="46">
      <x:c r="B46" s="28" t="str">
        <x:v>AT-02</x:v>
      </x:c>
      <x:c r="C46" s="28" t="str">
        <x:v>PRIMARY</x:v>
      </x:c>
      <x:c r="D46" s="28" t="str">
        <x:f>INDEX('Attempt Tokens'!$E$7:$E$36,MATCH(B46,'Attempt Tokens'!$B$7:$B$36,0))</x:f>
      </x:c>
      <x:c r="E46" s="28" t="str">
        <x:v>RP-08</x:v>
      </x:c>
      <x:c r="F46" s="28" t="n">
        <x:v>2</x:v>
      </x:c>
      <x:c r="G46" s="28" t="str">
        <x:f>IF(D46="","",IF(LEFT(D46,5)="RFP-A",IF(F46=1,"PTC-B","PTC-C"),IF(LEFT(D46,5)="RFP-B",IF(F46=1,"PTC-A","PTC-C"),IF(F46=1,"PTC-A","PTC-B"))))</x:f>
      </x:c>
      <x:c r="H46" s="29" t="str"/>
      <x:c r="I46" s="29" t="str"/>
      <x:c r="J46" s="29" t="str"/>
      <x:c r="K46" s="29" t="str"/>
      <x:c r="L46" s="29" t="str"/>
      <x:c r="M46" s="28" t="str">
        <x:f>IF(AND(C46="RESERVE",D46=""),"DORMANT",IF(L46="","OPEN",IF(AND(G46&lt;&gt;"",H46&lt;&gt;"",I46=H46,J46&lt;&gt;"",K46&lt;&gt;"",J46&lt;&gt;K46),"PASS","FAIL")))</x:f>
        <x:v>OPEN</x:v>
      </x:c>
    </x:row>
    <x:row r="47">
      <x:c r="B47" s="28" t="str">
        <x:v>AT-02</x:v>
      </x:c>
      <x:c r="C47" s="28" t="str">
        <x:v>PRIMARY</x:v>
      </x:c>
      <x:c r="D47" s="28" t="str">
        <x:f>INDEX('Attempt Tokens'!$E$7:$E$36,MATCH(B47,'Attempt Tokens'!$B$7:$B$36,0))</x:f>
      </x:c>
      <x:c r="E47" s="28" t="str">
        <x:v>RP-09</x:v>
      </x:c>
      <x:c r="F47" s="28" t="n">
        <x:v>1</x:v>
      </x:c>
      <x:c r="G47" s="28" t="str">
        <x:f>IF(D47="","",IF(LEFT(D47,5)="RFP-A",IF(F47=1,"PTC-B","PTC-C"),IF(LEFT(D47,5)="RFP-B",IF(F47=1,"PTC-A","PTC-C"),IF(F47=1,"PTC-A","PTC-B"))))</x:f>
      </x:c>
      <x:c r="H47" s="29" t="str"/>
      <x:c r="I47" s="29" t="str"/>
      <x:c r="J47" s="29" t="str"/>
      <x:c r="K47" s="29" t="str"/>
      <x:c r="L47" s="29" t="str"/>
      <x:c r="M47" s="28" t="str">
        <x:f>IF(AND(C47="RESERVE",D47=""),"DORMANT",IF(L47="","OPEN",IF(AND(G47&lt;&gt;"",H47&lt;&gt;"",I47=H47,J47&lt;&gt;"",K47&lt;&gt;"",J47&lt;&gt;K47),"PASS","FAIL")))</x:f>
        <x:v>OPEN</x:v>
      </x:c>
    </x:row>
    <x:row r="48">
      <x:c r="B48" s="28" t="str">
        <x:v>AT-02</x:v>
      </x:c>
      <x:c r="C48" s="28" t="str">
        <x:v>PRIMARY</x:v>
      </x:c>
      <x:c r="D48" s="28" t="str">
        <x:f>INDEX('Attempt Tokens'!$E$7:$E$36,MATCH(B48,'Attempt Tokens'!$B$7:$B$36,0))</x:f>
      </x:c>
      <x:c r="E48" s="28" t="str">
        <x:v>RP-09</x:v>
      </x:c>
      <x:c r="F48" s="28" t="n">
        <x:v>2</x:v>
      </x:c>
      <x:c r="G48" s="28" t="str">
        <x:f>IF(D48="","",IF(LEFT(D48,5)="RFP-A",IF(F48=1,"PTC-B","PTC-C"),IF(LEFT(D48,5)="RFP-B",IF(F48=1,"PTC-A","PTC-C"),IF(F48=1,"PTC-A","PTC-B"))))</x:f>
      </x:c>
      <x:c r="H48" s="29" t="str"/>
      <x:c r="I48" s="29" t="str"/>
      <x:c r="J48" s="29" t="str"/>
      <x:c r="K48" s="29" t="str"/>
      <x:c r="L48" s="29" t="str"/>
      <x:c r="M48" s="28" t="str">
        <x:f>IF(AND(C48="RESERVE",D48=""),"DORMANT",IF(L48="","OPEN",IF(AND(G48&lt;&gt;"",H48&lt;&gt;"",I48=H48,J48&lt;&gt;"",K48&lt;&gt;"",J48&lt;&gt;K48),"PASS","FAIL")))</x:f>
        <x:v>OPEN</x:v>
      </x:c>
    </x:row>
    <x:row r="49">
      <x:c r="B49" s="28" t="str">
        <x:v>AT-02</x:v>
      </x:c>
      <x:c r="C49" s="28" t="str">
        <x:v>PRIMARY</x:v>
      </x:c>
      <x:c r="D49" s="28" t="str">
        <x:f>INDEX('Attempt Tokens'!$E$7:$E$36,MATCH(B49,'Attempt Tokens'!$B$7:$B$36,0))</x:f>
      </x:c>
      <x:c r="E49" s="28" t="str">
        <x:v>RP-10</x:v>
      </x:c>
      <x:c r="F49" s="28" t="n">
        <x:v>1</x:v>
      </x:c>
      <x:c r="G49" s="28" t="str">
        <x:f>IF(D49="","",IF(LEFT(D49,5)="RFP-A",IF(F49=1,"PTC-B","PTC-C"),IF(LEFT(D49,5)="RFP-B",IF(F49=1,"PTC-A","PTC-C"),IF(F49=1,"PTC-A","PTC-B"))))</x:f>
      </x:c>
      <x:c r="H49" s="29" t="str"/>
      <x:c r="I49" s="29" t="str"/>
      <x:c r="J49" s="29" t="str"/>
      <x:c r="K49" s="29" t="str"/>
      <x:c r="L49" s="29" t="str"/>
      <x:c r="M49" s="28" t="str">
        <x:f>IF(AND(C49="RESERVE",D49=""),"DORMANT",IF(L49="","OPEN",IF(AND(G49&lt;&gt;"",H49&lt;&gt;"",I49=H49,J49&lt;&gt;"",K49&lt;&gt;"",J49&lt;&gt;K49),"PASS","FAIL")))</x:f>
        <x:v>OPEN</x:v>
      </x:c>
    </x:row>
    <x:row r="50">
      <x:c r="B50" s="28" t="str">
        <x:v>AT-02</x:v>
      </x:c>
      <x:c r="C50" s="28" t="str">
        <x:v>PRIMARY</x:v>
      </x:c>
      <x:c r="D50" s="28" t="str">
        <x:f>INDEX('Attempt Tokens'!$E$7:$E$36,MATCH(B50,'Attempt Tokens'!$B$7:$B$36,0))</x:f>
      </x:c>
      <x:c r="E50" s="28" t="str">
        <x:v>RP-10</x:v>
      </x:c>
      <x:c r="F50" s="28" t="n">
        <x:v>2</x:v>
      </x:c>
      <x:c r="G50" s="28" t="str">
        <x:f>IF(D50="","",IF(LEFT(D50,5)="RFP-A",IF(F50=1,"PTC-B","PTC-C"),IF(LEFT(D50,5)="RFP-B",IF(F50=1,"PTC-A","PTC-C"),IF(F50=1,"PTC-A","PTC-B"))))</x:f>
      </x:c>
      <x:c r="H50" s="29" t="str"/>
      <x:c r="I50" s="29" t="str"/>
      <x:c r="J50" s="29" t="str"/>
      <x:c r="K50" s="29" t="str"/>
      <x:c r="L50" s="29" t="str"/>
      <x:c r="M50" s="28" t="str">
        <x:f>IF(AND(C50="RESERVE",D50=""),"DORMANT",IF(L50="","OPEN",IF(AND(G50&lt;&gt;"",H50&lt;&gt;"",I50=H50,J50&lt;&gt;"",K50&lt;&gt;"",J50&lt;&gt;K50),"PASS","FAIL")))</x:f>
        <x:v>OPEN</x:v>
      </x:c>
    </x:row>
    <x:row r="51">
      <x:c r="B51" s="28" t="str">
        <x:v>AT-02</x:v>
      </x:c>
      <x:c r="C51" s="28" t="str">
        <x:v>PRIMARY</x:v>
      </x:c>
      <x:c r="D51" s="28" t="str">
        <x:f>INDEX('Attempt Tokens'!$E$7:$E$36,MATCH(B51,'Attempt Tokens'!$B$7:$B$36,0))</x:f>
      </x:c>
      <x:c r="E51" s="28" t="str">
        <x:v>RP-11</x:v>
      </x:c>
      <x:c r="F51" s="28" t="n">
        <x:v>1</x:v>
      </x:c>
      <x:c r="G51" s="28" t="str">
        <x:f>IF(D51="","",IF(LEFT(D51,5)="RFP-A",IF(F51=1,"PTC-B","PTC-C"),IF(LEFT(D51,5)="RFP-B",IF(F51=1,"PTC-A","PTC-C"),IF(F51=1,"PTC-A","PTC-B"))))</x:f>
      </x:c>
      <x:c r="H51" s="29" t="str"/>
      <x:c r="I51" s="29" t="str"/>
      <x:c r="J51" s="29" t="str"/>
      <x:c r="K51" s="29" t="str"/>
      <x:c r="L51" s="29" t="str"/>
      <x:c r="M51" s="28" t="str">
        <x:f>IF(AND(C51="RESERVE",D51=""),"DORMANT",IF(L51="","OPEN",IF(AND(G51&lt;&gt;"",H51&lt;&gt;"",I51=H51,J51&lt;&gt;"",K51&lt;&gt;"",J51&lt;&gt;K51),"PASS","FAIL")))</x:f>
        <x:v>OPEN</x:v>
      </x:c>
    </x:row>
    <x:row r="52">
      <x:c r="B52" s="28" t="str">
        <x:v>AT-02</x:v>
      </x:c>
      <x:c r="C52" s="28" t="str">
        <x:v>PRIMARY</x:v>
      </x:c>
      <x:c r="D52" s="28" t="str">
        <x:f>INDEX('Attempt Tokens'!$E$7:$E$36,MATCH(B52,'Attempt Tokens'!$B$7:$B$36,0))</x:f>
      </x:c>
      <x:c r="E52" s="28" t="str">
        <x:v>RP-11</x:v>
      </x:c>
      <x:c r="F52" s="28" t="n">
        <x:v>2</x:v>
      </x:c>
      <x:c r="G52" s="28" t="str">
        <x:f>IF(D52="","",IF(LEFT(D52,5)="RFP-A",IF(F52=1,"PTC-B","PTC-C"),IF(LEFT(D52,5)="RFP-B",IF(F52=1,"PTC-A","PTC-C"),IF(F52=1,"PTC-A","PTC-B"))))</x:f>
      </x:c>
      <x:c r="H52" s="29" t="str"/>
      <x:c r="I52" s="29" t="str"/>
      <x:c r="J52" s="29" t="str"/>
      <x:c r="K52" s="29" t="str"/>
      <x:c r="L52" s="29" t="str"/>
      <x:c r="M52" s="28" t="str">
        <x:f>IF(AND(C52="RESERVE",D52=""),"DORMANT",IF(L52="","OPEN",IF(AND(G52&lt;&gt;"",H52&lt;&gt;"",I52=H52,J52&lt;&gt;"",K52&lt;&gt;"",J52&lt;&gt;K52),"PASS","FAIL")))</x:f>
        <x:v>OPEN</x:v>
      </x:c>
    </x:row>
    <x:row r="53">
      <x:c r="B53" s="28" t="str">
        <x:v>AT-02</x:v>
      </x:c>
      <x:c r="C53" s="28" t="str">
        <x:v>PRIMARY</x:v>
      </x:c>
      <x:c r="D53" s="28" t="str">
        <x:f>INDEX('Attempt Tokens'!$E$7:$E$36,MATCH(B53,'Attempt Tokens'!$B$7:$B$36,0))</x:f>
      </x:c>
      <x:c r="E53" s="28" t="str">
        <x:v>RP-12</x:v>
      </x:c>
      <x:c r="F53" s="28" t="n">
        <x:v>1</x:v>
      </x:c>
      <x:c r="G53" s="28" t="str">
        <x:f>IF(D53="","",IF(LEFT(D53,5)="RFP-A",IF(F53=1,"PTC-B","PTC-C"),IF(LEFT(D53,5)="RFP-B",IF(F53=1,"PTC-A","PTC-C"),IF(F53=1,"PTC-A","PTC-B"))))</x:f>
      </x:c>
      <x:c r="H53" s="29" t="str"/>
      <x:c r="I53" s="29" t="str"/>
      <x:c r="J53" s="29" t="str"/>
      <x:c r="K53" s="29" t="str"/>
      <x:c r="L53" s="29" t="str"/>
      <x:c r="M53" s="28" t="str">
        <x:f>IF(AND(C53="RESERVE",D53=""),"DORMANT",IF(L53="","OPEN",IF(AND(G53&lt;&gt;"",H53&lt;&gt;"",I53=H53,J53&lt;&gt;"",K53&lt;&gt;"",J53&lt;&gt;K53),"PASS","FAIL")))</x:f>
        <x:v>OPEN</x:v>
      </x:c>
    </x:row>
    <x:row r="54">
      <x:c r="B54" s="28" t="str">
        <x:v>AT-02</x:v>
      </x:c>
      <x:c r="C54" s="28" t="str">
        <x:v>PRIMARY</x:v>
      </x:c>
      <x:c r="D54" s="28" t="str">
        <x:f>INDEX('Attempt Tokens'!$E$7:$E$36,MATCH(B54,'Attempt Tokens'!$B$7:$B$36,0))</x:f>
      </x:c>
      <x:c r="E54" s="28" t="str">
        <x:v>RP-12</x:v>
      </x:c>
      <x:c r="F54" s="28" t="n">
        <x:v>2</x:v>
      </x:c>
      <x:c r="G54" s="28" t="str">
        <x:f>IF(D54="","",IF(LEFT(D54,5)="RFP-A",IF(F54=1,"PTC-B","PTC-C"),IF(LEFT(D54,5)="RFP-B",IF(F54=1,"PTC-A","PTC-C"),IF(F54=1,"PTC-A","PTC-B"))))</x:f>
      </x:c>
      <x:c r="H54" s="29" t="str"/>
      <x:c r="I54" s="29" t="str"/>
      <x:c r="J54" s="29" t="str"/>
      <x:c r="K54" s="29" t="str"/>
      <x:c r="L54" s="29" t="str"/>
      <x:c r="M54" s="28" t="str">
        <x:f>IF(AND(C54="RESERVE",D54=""),"DORMANT",IF(L54="","OPEN",IF(AND(G54&lt;&gt;"",H54&lt;&gt;"",I54=H54,J54&lt;&gt;"",K54&lt;&gt;"",J54&lt;&gt;K54),"PASS","FAIL")))</x:f>
        <x:v>OPEN</x:v>
      </x:c>
    </x:row>
    <x:row r="55">
      <x:c r="B55" s="28" t="str">
        <x:v>AT-03</x:v>
      </x:c>
      <x:c r="C55" s="28" t="str">
        <x:v>PRIMARY</x:v>
      </x:c>
      <x:c r="D55" s="28" t="str">
        <x:f>INDEX('Attempt Tokens'!$E$7:$E$36,MATCH(B55,'Attempt Tokens'!$B$7:$B$36,0))</x:f>
      </x:c>
      <x:c r="E55" s="28" t="str">
        <x:v>RP-01</x:v>
      </x:c>
      <x:c r="F55" s="28" t="n">
        <x:v>1</x:v>
      </x:c>
      <x:c r="G55" s="28" t="str">
        <x:f>IF(D55="","",IF(LEFT(D55,5)="RFP-A",IF(F55=1,"PTC-B","PTC-C"),IF(LEFT(D55,5)="RFP-B",IF(F55=1,"PTC-A","PTC-C"),IF(F55=1,"PTC-A","PTC-B"))))</x:f>
      </x:c>
      <x:c r="H55" s="29" t="str"/>
      <x:c r="I55" s="29" t="str"/>
      <x:c r="J55" s="29" t="str"/>
      <x:c r="K55" s="29" t="str"/>
      <x:c r="L55" s="29" t="str"/>
      <x:c r="M55" s="28" t="str">
        <x:f>IF(AND(C55="RESERVE",D55=""),"DORMANT",IF(L55="","OPEN",IF(AND(G55&lt;&gt;"",H55&lt;&gt;"",I55=H55,J55&lt;&gt;"",K55&lt;&gt;"",J55&lt;&gt;K55),"PASS","FAIL")))</x:f>
        <x:v>OPEN</x:v>
      </x:c>
    </x:row>
    <x:row r="56">
      <x:c r="B56" s="28" t="str">
        <x:v>AT-03</x:v>
      </x:c>
      <x:c r="C56" s="28" t="str">
        <x:v>PRIMARY</x:v>
      </x:c>
      <x:c r="D56" s="28" t="str">
        <x:f>INDEX('Attempt Tokens'!$E$7:$E$36,MATCH(B56,'Attempt Tokens'!$B$7:$B$36,0))</x:f>
      </x:c>
      <x:c r="E56" s="28" t="str">
        <x:v>RP-01</x:v>
      </x:c>
      <x:c r="F56" s="28" t="n">
        <x:v>2</x:v>
      </x:c>
      <x:c r="G56" s="28" t="str">
        <x:f>IF(D56="","",IF(LEFT(D56,5)="RFP-A",IF(F56=1,"PTC-B","PTC-C"),IF(LEFT(D56,5)="RFP-B",IF(F56=1,"PTC-A","PTC-C"),IF(F56=1,"PTC-A","PTC-B"))))</x:f>
      </x:c>
      <x:c r="H56" s="29" t="str"/>
      <x:c r="I56" s="29" t="str"/>
      <x:c r="J56" s="29" t="str"/>
      <x:c r="K56" s="29" t="str"/>
      <x:c r="L56" s="29" t="str"/>
      <x:c r="M56" s="28" t="str">
        <x:f>IF(AND(C56="RESERVE",D56=""),"DORMANT",IF(L56="","OPEN",IF(AND(G56&lt;&gt;"",H56&lt;&gt;"",I56=H56,J56&lt;&gt;"",K56&lt;&gt;"",J56&lt;&gt;K56),"PASS","FAIL")))</x:f>
        <x:v>OPEN</x:v>
      </x:c>
    </x:row>
    <x:row r="57">
      <x:c r="B57" s="28" t="str">
        <x:v>AT-03</x:v>
      </x:c>
      <x:c r="C57" s="28" t="str">
        <x:v>PRIMARY</x:v>
      </x:c>
      <x:c r="D57" s="28" t="str">
        <x:f>INDEX('Attempt Tokens'!$E$7:$E$36,MATCH(B57,'Attempt Tokens'!$B$7:$B$36,0))</x:f>
      </x:c>
      <x:c r="E57" s="28" t="str">
        <x:v>RP-02</x:v>
      </x:c>
      <x:c r="F57" s="28" t="n">
        <x:v>1</x:v>
      </x:c>
      <x:c r="G57" s="28" t="str">
        <x:f>IF(D57="","",IF(LEFT(D57,5)="RFP-A",IF(F57=1,"PTC-B","PTC-C"),IF(LEFT(D57,5)="RFP-B",IF(F57=1,"PTC-A","PTC-C"),IF(F57=1,"PTC-A","PTC-B"))))</x:f>
      </x:c>
      <x:c r="H57" s="29" t="str"/>
      <x:c r="I57" s="29" t="str"/>
      <x:c r="J57" s="29" t="str"/>
      <x:c r="K57" s="29" t="str"/>
      <x:c r="L57" s="29" t="str"/>
      <x:c r="M57" s="28" t="str">
        <x:f>IF(AND(C57="RESERVE",D57=""),"DORMANT",IF(L57="","OPEN",IF(AND(G57&lt;&gt;"",H57&lt;&gt;"",I57=H57,J57&lt;&gt;"",K57&lt;&gt;"",J57&lt;&gt;K57),"PASS","FAIL")))</x:f>
        <x:v>OPEN</x:v>
      </x:c>
    </x:row>
    <x:row r="58">
      <x:c r="B58" s="28" t="str">
        <x:v>AT-03</x:v>
      </x:c>
      <x:c r="C58" s="28" t="str">
        <x:v>PRIMARY</x:v>
      </x:c>
      <x:c r="D58" s="28" t="str">
        <x:f>INDEX('Attempt Tokens'!$E$7:$E$36,MATCH(B58,'Attempt Tokens'!$B$7:$B$36,0))</x:f>
      </x:c>
      <x:c r="E58" s="28" t="str">
        <x:v>RP-02</x:v>
      </x:c>
      <x:c r="F58" s="28" t="n">
        <x:v>2</x:v>
      </x:c>
      <x:c r="G58" s="28" t="str">
        <x:f>IF(D58="","",IF(LEFT(D58,5)="RFP-A",IF(F58=1,"PTC-B","PTC-C"),IF(LEFT(D58,5)="RFP-B",IF(F58=1,"PTC-A","PTC-C"),IF(F58=1,"PTC-A","PTC-B"))))</x:f>
      </x:c>
      <x:c r="H58" s="29" t="str"/>
      <x:c r="I58" s="29" t="str"/>
      <x:c r="J58" s="29" t="str"/>
      <x:c r="K58" s="29" t="str"/>
      <x:c r="L58" s="29" t="str"/>
      <x:c r="M58" s="28" t="str">
        <x:f>IF(AND(C58="RESERVE",D58=""),"DORMANT",IF(L58="","OPEN",IF(AND(G58&lt;&gt;"",H58&lt;&gt;"",I58=H58,J58&lt;&gt;"",K58&lt;&gt;"",J58&lt;&gt;K58),"PASS","FAIL")))</x:f>
        <x:v>OPEN</x:v>
      </x:c>
    </x:row>
    <x:row r="59">
      <x:c r="B59" s="28" t="str">
        <x:v>AT-03</x:v>
      </x:c>
      <x:c r="C59" s="28" t="str">
        <x:v>PRIMARY</x:v>
      </x:c>
      <x:c r="D59" s="28" t="str">
        <x:f>INDEX('Attempt Tokens'!$E$7:$E$36,MATCH(B59,'Attempt Tokens'!$B$7:$B$36,0))</x:f>
      </x:c>
      <x:c r="E59" s="28" t="str">
        <x:v>RP-03</x:v>
      </x:c>
      <x:c r="F59" s="28" t="n">
        <x:v>1</x:v>
      </x:c>
      <x:c r="G59" s="28" t="str">
        <x:f>IF(D59="","",IF(LEFT(D59,5)="RFP-A",IF(F59=1,"PTC-B","PTC-C"),IF(LEFT(D59,5)="RFP-B",IF(F59=1,"PTC-A","PTC-C"),IF(F59=1,"PTC-A","PTC-B"))))</x:f>
      </x:c>
      <x:c r="H59" s="29" t="str"/>
      <x:c r="I59" s="29" t="str"/>
      <x:c r="J59" s="29" t="str"/>
      <x:c r="K59" s="29" t="str"/>
      <x:c r="L59" s="29" t="str"/>
      <x:c r="M59" s="28" t="str">
        <x:f>IF(AND(C59="RESERVE",D59=""),"DORMANT",IF(L59="","OPEN",IF(AND(G59&lt;&gt;"",H59&lt;&gt;"",I59=H59,J59&lt;&gt;"",K59&lt;&gt;"",J59&lt;&gt;K59),"PASS","FAIL")))</x:f>
        <x:v>OPEN</x:v>
      </x:c>
    </x:row>
    <x:row r="60">
      <x:c r="B60" s="28" t="str">
        <x:v>AT-03</x:v>
      </x:c>
      <x:c r="C60" s="28" t="str">
        <x:v>PRIMARY</x:v>
      </x:c>
      <x:c r="D60" s="28" t="str">
        <x:f>INDEX('Attempt Tokens'!$E$7:$E$36,MATCH(B60,'Attempt Tokens'!$B$7:$B$36,0))</x:f>
      </x:c>
      <x:c r="E60" s="28" t="str">
        <x:v>RP-03</x:v>
      </x:c>
      <x:c r="F60" s="28" t="n">
        <x:v>2</x:v>
      </x:c>
      <x:c r="G60" s="28" t="str">
        <x:f>IF(D60="","",IF(LEFT(D60,5)="RFP-A",IF(F60=1,"PTC-B","PTC-C"),IF(LEFT(D60,5)="RFP-B",IF(F60=1,"PTC-A","PTC-C"),IF(F60=1,"PTC-A","PTC-B"))))</x:f>
      </x:c>
      <x:c r="H60" s="29" t="str"/>
      <x:c r="I60" s="29" t="str"/>
      <x:c r="J60" s="29" t="str"/>
      <x:c r="K60" s="29" t="str"/>
      <x:c r="L60" s="29" t="str"/>
      <x:c r="M60" s="28" t="str">
        <x:f>IF(AND(C60="RESERVE",D60=""),"DORMANT",IF(L60="","OPEN",IF(AND(G60&lt;&gt;"",H60&lt;&gt;"",I60=H60,J60&lt;&gt;"",K60&lt;&gt;"",J60&lt;&gt;K60),"PASS","FAIL")))</x:f>
        <x:v>OPEN</x:v>
      </x:c>
    </x:row>
    <x:row r="61">
      <x:c r="B61" s="28" t="str">
        <x:v>AT-03</x:v>
      </x:c>
      <x:c r="C61" s="28" t="str">
        <x:v>PRIMARY</x:v>
      </x:c>
      <x:c r="D61" s="28" t="str">
        <x:f>INDEX('Attempt Tokens'!$E$7:$E$36,MATCH(B61,'Attempt Tokens'!$B$7:$B$36,0))</x:f>
      </x:c>
      <x:c r="E61" s="28" t="str">
        <x:v>RP-04</x:v>
      </x:c>
      <x:c r="F61" s="28" t="n">
        <x:v>1</x:v>
      </x:c>
      <x:c r="G61" s="28" t="str">
        <x:f>IF(D61="","",IF(LEFT(D61,5)="RFP-A",IF(F61=1,"PTC-B","PTC-C"),IF(LEFT(D61,5)="RFP-B",IF(F61=1,"PTC-A","PTC-C"),IF(F61=1,"PTC-A","PTC-B"))))</x:f>
      </x:c>
      <x:c r="H61" s="29" t="str"/>
      <x:c r="I61" s="29" t="str"/>
      <x:c r="J61" s="29" t="str"/>
      <x:c r="K61" s="29" t="str"/>
      <x:c r="L61" s="29" t="str"/>
      <x:c r="M61" s="28" t="str">
        <x:f>IF(AND(C61="RESERVE",D61=""),"DORMANT",IF(L61="","OPEN",IF(AND(G61&lt;&gt;"",H61&lt;&gt;"",I61=H61,J61&lt;&gt;"",K61&lt;&gt;"",J61&lt;&gt;K61),"PASS","FAIL")))</x:f>
        <x:v>OPEN</x:v>
      </x:c>
    </x:row>
    <x:row r="62">
      <x:c r="B62" s="28" t="str">
        <x:v>AT-03</x:v>
      </x:c>
      <x:c r="C62" s="28" t="str">
        <x:v>PRIMARY</x:v>
      </x:c>
      <x:c r="D62" s="28" t="str">
        <x:f>INDEX('Attempt Tokens'!$E$7:$E$36,MATCH(B62,'Attempt Tokens'!$B$7:$B$36,0))</x:f>
      </x:c>
      <x:c r="E62" s="28" t="str">
        <x:v>RP-04</x:v>
      </x:c>
      <x:c r="F62" s="28" t="n">
        <x:v>2</x:v>
      </x:c>
      <x:c r="G62" s="28" t="str">
        <x:f>IF(D62="","",IF(LEFT(D62,5)="RFP-A",IF(F62=1,"PTC-B","PTC-C"),IF(LEFT(D62,5)="RFP-B",IF(F62=1,"PTC-A","PTC-C"),IF(F62=1,"PTC-A","PTC-B"))))</x:f>
      </x:c>
      <x:c r="H62" s="29" t="str"/>
      <x:c r="I62" s="29" t="str"/>
      <x:c r="J62" s="29" t="str"/>
      <x:c r="K62" s="29" t="str"/>
      <x:c r="L62" s="29" t="str"/>
      <x:c r="M62" s="28" t="str">
        <x:f>IF(AND(C62="RESERVE",D62=""),"DORMANT",IF(L62="","OPEN",IF(AND(G62&lt;&gt;"",H62&lt;&gt;"",I62=H62,J62&lt;&gt;"",K62&lt;&gt;"",J62&lt;&gt;K62),"PASS","FAIL")))</x:f>
        <x:v>OPEN</x:v>
      </x:c>
    </x:row>
    <x:row r="63">
      <x:c r="B63" s="28" t="str">
        <x:v>AT-03</x:v>
      </x:c>
      <x:c r="C63" s="28" t="str">
        <x:v>PRIMARY</x:v>
      </x:c>
      <x:c r="D63" s="28" t="str">
        <x:f>INDEX('Attempt Tokens'!$E$7:$E$36,MATCH(B63,'Attempt Tokens'!$B$7:$B$36,0))</x:f>
      </x:c>
      <x:c r="E63" s="28" t="str">
        <x:v>RP-05</x:v>
      </x:c>
      <x:c r="F63" s="28" t="n">
        <x:v>1</x:v>
      </x:c>
      <x:c r="G63" s="28" t="str">
        <x:f>IF(D63="","",IF(LEFT(D63,5)="RFP-A",IF(F63=1,"PTC-B","PTC-C"),IF(LEFT(D63,5)="RFP-B",IF(F63=1,"PTC-A","PTC-C"),IF(F63=1,"PTC-A","PTC-B"))))</x:f>
      </x:c>
      <x:c r="H63" s="29" t="str"/>
      <x:c r="I63" s="29" t="str"/>
      <x:c r="J63" s="29" t="str"/>
      <x:c r="K63" s="29" t="str"/>
      <x:c r="L63" s="29" t="str"/>
      <x:c r="M63" s="28" t="str">
        <x:f>IF(AND(C63="RESERVE",D63=""),"DORMANT",IF(L63="","OPEN",IF(AND(G63&lt;&gt;"",H63&lt;&gt;"",I63=H63,J63&lt;&gt;"",K63&lt;&gt;"",J63&lt;&gt;K63),"PASS","FAIL")))</x:f>
        <x:v>OPEN</x:v>
      </x:c>
    </x:row>
    <x:row r="64">
      <x:c r="B64" s="28" t="str">
        <x:v>AT-03</x:v>
      </x:c>
      <x:c r="C64" s="28" t="str">
        <x:v>PRIMARY</x:v>
      </x:c>
      <x:c r="D64" s="28" t="str">
        <x:f>INDEX('Attempt Tokens'!$E$7:$E$36,MATCH(B64,'Attempt Tokens'!$B$7:$B$36,0))</x:f>
      </x:c>
      <x:c r="E64" s="28" t="str">
        <x:v>RP-05</x:v>
      </x:c>
      <x:c r="F64" s="28" t="n">
        <x:v>2</x:v>
      </x:c>
      <x:c r="G64" s="28" t="str">
        <x:f>IF(D64="","",IF(LEFT(D64,5)="RFP-A",IF(F64=1,"PTC-B","PTC-C"),IF(LEFT(D64,5)="RFP-B",IF(F64=1,"PTC-A","PTC-C"),IF(F64=1,"PTC-A","PTC-B"))))</x:f>
      </x:c>
      <x:c r="H64" s="29" t="str"/>
      <x:c r="I64" s="29" t="str"/>
      <x:c r="J64" s="29" t="str"/>
      <x:c r="K64" s="29" t="str"/>
      <x:c r="L64" s="29" t="str"/>
      <x:c r="M64" s="28" t="str">
        <x:f>IF(AND(C64="RESERVE",D64=""),"DORMANT",IF(L64="","OPEN",IF(AND(G64&lt;&gt;"",H64&lt;&gt;"",I64=H64,J64&lt;&gt;"",K64&lt;&gt;"",J64&lt;&gt;K64),"PASS","FAIL")))</x:f>
        <x:v>OPEN</x:v>
      </x:c>
    </x:row>
    <x:row r="65">
      <x:c r="B65" s="28" t="str">
        <x:v>AT-03</x:v>
      </x:c>
      <x:c r="C65" s="28" t="str">
        <x:v>PRIMARY</x:v>
      </x:c>
      <x:c r="D65" s="28" t="str">
        <x:f>INDEX('Attempt Tokens'!$E$7:$E$36,MATCH(B65,'Attempt Tokens'!$B$7:$B$36,0))</x:f>
      </x:c>
      <x:c r="E65" s="28" t="str">
        <x:v>RP-06</x:v>
      </x:c>
      <x:c r="F65" s="28" t="n">
        <x:v>1</x:v>
      </x:c>
      <x:c r="G65" s="28" t="str">
        <x:f>IF(D65="","",IF(LEFT(D65,5)="RFP-A",IF(F65=1,"PTC-B","PTC-C"),IF(LEFT(D65,5)="RFP-B",IF(F65=1,"PTC-A","PTC-C"),IF(F65=1,"PTC-A","PTC-B"))))</x:f>
      </x:c>
      <x:c r="H65" s="29" t="str"/>
      <x:c r="I65" s="29" t="str"/>
      <x:c r="J65" s="29" t="str"/>
      <x:c r="K65" s="29" t="str"/>
      <x:c r="L65" s="29" t="str"/>
      <x:c r="M65" s="28" t="str">
        <x:f>IF(AND(C65="RESERVE",D65=""),"DORMANT",IF(L65="","OPEN",IF(AND(G65&lt;&gt;"",H65&lt;&gt;"",I65=H65,J65&lt;&gt;"",K65&lt;&gt;"",J65&lt;&gt;K65),"PASS","FAIL")))</x:f>
        <x:v>OPEN</x:v>
      </x:c>
    </x:row>
    <x:row r="66">
      <x:c r="B66" s="28" t="str">
        <x:v>AT-03</x:v>
      </x:c>
      <x:c r="C66" s="28" t="str">
        <x:v>PRIMARY</x:v>
      </x:c>
      <x:c r="D66" s="28" t="str">
        <x:f>INDEX('Attempt Tokens'!$E$7:$E$36,MATCH(B66,'Attempt Tokens'!$B$7:$B$36,0))</x:f>
      </x:c>
      <x:c r="E66" s="28" t="str">
        <x:v>RP-06</x:v>
      </x:c>
      <x:c r="F66" s="28" t="n">
        <x:v>2</x:v>
      </x:c>
      <x:c r="G66" s="28" t="str">
        <x:f>IF(D66="","",IF(LEFT(D66,5)="RFP-A",IF(F66=1,"PTC-B","PTC-C"),IF(LEFT(D66,5)="RFP-B",IF(F66=1,"PTC-A","PTC-C"),IF(F66=1,"PTC-A","PTC-B"))))</x:f>
      </x:c>
      <x:c r="H66" s="29" t="str"/>
      <x:c r="I66" s="29" t="str"/>
      <x:c r="J66" s="29" t="str"/>
      <x:c r="K66" s="29" t="str"/>
      <x:c r="L66" s="29" t="str"/>
      <x:c r="M66" s="28" t="str">
        <x:f>IF(AND(C66="RESERVE",D66=""),"DORMANT",IF(L66="","OPEN",IF(AND(G66&lt;&gt;"",H66&lt;&gt;"",I66=H66,J66&lt;&gt;"",K66&lt;&gt;"",J66&lt;&gt;K66),"PASS","FAIL")))</x:f>
        <x:v>OPEN</x:v>
      </x:c>
    </x:row>
    <x:row r="67">
      <x:c r="B67" s="28" t="str">
        <x:v>AT-03</x:v>
      </x:c>
      <x:c r="C67" s="28" t="str">
        <x:v>PRIMARY</x:v>
      </x:c>
      <x:c r="D67" s="28" t="str">
        <x:f>INDEX('Attempt Tokens'!$E$7:$E$36,MATCH(B67,'Attempt Tokens'!$B$7:$B$36,0))</x:f>
      </x:c>
      <x:c r="E67" s="28" t="str">
        <x:v>RP-07</x:v>
      </x:c>
      <x:c r="F67" s="28" t="n">
        <x:v>1</x:v>
      </x:c>
      <x:c r="G67" s="28" t="str">
        <x:f>IF(D67="","",IF(LEFT(D67,5)="RFP-A",IF(F67=1,"PTC-B","PTC-C"),IF(LEFT(D67,5)="RFP-B",IF(F67=1,"PTC-A","PTC-C"),IF(F67=1,"PTC-A","PTC-B"))))</x:f>
      </x:c>
      <x:c r="H67" s="29" t="str"/>
      <x:c r="I67" s="29" t="str"/>
      <x:c r="J67" s="29" t="str"/>
      <x:c r="K67" s="29" t="str"/>
      <x:c r="L67" s="29" t="str"/>
      <x:c r="M67" s="28" t="str">
        <x:f>IF(AND(C67="RESERVE",D67=""),"DORMANT",IF(L67="","OPEN",IF(AND(G67&lt;&gt;"",H67&lt;&gt;"",I67=H67,J67&lt;&gt;"",K67&lt;&gt;"",J67&lt;&gt;K67),"PASS","FAIL")))</x:f>
        <x:v>OPEN</x:v>
      </x:c>
    </x:row>
    <x:row r="68">
      <x:c r="B68" s="28" t="str">
        <x:v>AT-03</x:v>
      </x:c>
      <x:c r="C68" s="28" t="str">
        <x:v>PRIMARY</x:v>
      </x:c>
      <x:c r="D68" s="28" t="str">
        <x:f>INDEX('Attempt Tokens'!$E$7:$E$36,MATCH(B68,'Attempt Tokens'!$B$7:$B$36,0))</x:f>
      </x:c>
      <x:c r="E68" s="28" t="str">
        <x:v>RP-07</x:v>
      </x:c>
      <x:c r="F68" s="28" t="n">
        <x:v>2</x:v>
      </x:c>
      <x:c r="G68" s="28" t="str">
        <x:f>IF(D68="","",IF(LEFT(D68,5)="RFP-A",IF(F68=1,"PTC-B","PTC-C"),IF(LEFT(D68,5)="RFP-B",IF(F68=1,"PTC-A","PTC-C"),IF(F68=1,"PTC-A","PTC-B"))))</x:f>
      </x:c>
      <x:c r="H68" s="29" t="str"/>
      <x:c r="I68" s="29" t="str"/>
      <x:c r="J68" s="29" t="str"/>
      <x:c r="K68" s="29" t="str"/>
      <x:c r="L68" s="29" t="str"/>
      <x:c r="M68" s="28" t="str">
        <x:f>IF(AND(C68="RESERVE",D68=""),"DORMANT",IF(L68="","OPEN",IF(AND(G68&lt;&gt;"",H68&lt;&gt;"",I68=H68,J68&lt;&gt;"",K68&lt;&gt;"",J68&lt;&gt;K68),"PASS","FAIL")))</x:f>
        <x:v>OPEN</x:v>
      </x:c>
    </x:row>
    <x:row r="69">
      <x:c r="B69" s="28" t="str">
        <x:v>AT-03</x:v>
      </x:c>
      <x:c r="C69" s="28" t="str">
        <x:v>PRIMARY</x:v>
      </x:c>
      <x:c r="D69" s="28" t="str">
        <x:f>INDEX('Attempt Tokens'!$E$7:$E$36,MATCH(B69,'Attempt Tokens'!$B$7:$B$36,0))</x:f>
      </x:c>
      <x:c r="E69" s="28" t="str">
        <x:v>RP-08</x:v>
      </x:c>
      <x:c r="F69" s="28" t="n">
        <x:v>1</x:v>
      </x:c>
      <x:c r="G69" s="28" t="str">
        <x:f>IF(D69="","",IF(LEFT(D69,5)="RFP-A",IF(F69=1,"PTC-B","PTC-C"),IF(LEFT(D69,5)="RFP-B",IF(F69=1,"PTC-A","PTC-C"),IF(F69=1,"PTC-A","PTC-B"))))</x:f>
      </x:c>
      <x:c r="H69" s="29" t="str"/>
      <x:c r="I69" s="29" t="str"/>
      <x:c r="J69" s="29" t="str"/>
      <x:c r="K69" s="29" t="str"/>
      <x:c r="L69" s="29" t="str"/>
      <x:c r="M69" s="28" t="str">
        <x:f>IF(AND(C69="RESERVE",D69=""),"DORMANT",IF(L69="","OPEN",IF(AND(G69&lt;&gt;"",H69&lt;&gt;"",I69=H69,J69&lt;&gt;"",K69&lt;&gt;"",J69&lt;&gt;K69),"PASS","FAIL")))</x:f>
        <x:v>OPEN</x:v>
      </x:c>
    </x:row>
    <x:row r="70">
      <x:c r="B70" s="28" t="str">
        <x:v>AT-03</x:v>
      </x:c>
      <x:c r="C70" s="28" t="str">
        <x:v>PRIMARY</x:v>
      </x:c>
      <x:c r="D70" s="28" t="str">
        <x:f>INDEX('Attempt Tokens'!$E$7:$E$36,MATCH(B70,'Attempt Tokens'!$B$7:$B$36,0))</x:f>
      </x:c>
      <x:c r="E70" s="28" t="str">
        <x:v>RP-08</x:v>
      </x:c>
      <x:c r="F70" s="28" t="n">
        <x:v>2</x:v>
      </x:c>
      <x:c r="G70" s="28" t="str">
        <x:f>IF(D70="","",IF(LEFT(D70,5)="RFP-A",IF(F70=1,"PTC-B","PTC-C"),IF(LEFT(D70,5)="RFP-B",IF(F70=1,"PTC-A","PTC-C"),IF(F70=1,"PTC-A","PTC-B"))))</x:f>
      </x:c>
      <x:c r="H70" s="29" t="str"/>
      <x:c r="I70" s="29" t="str"/>
      <x:c r="J70" s="29" t="str"/>
      <x:c r="K70" s="29" t="str"/>
      <x:c r="L70" s="29" t="str"/>
      <x:c r="M70" s="28" t="str">
        <x:f>IF(AND(C70="RESERVE",D70=""),"DORMANT",IF(L70="","OPEN",IF(AND(G70&lt;&gt;"",H70&lt;&gt;"",I70=H70,J70&lt;&gt;"",K70&lt;&gt;"",J70&lt;&gt;K70),"PASS","FAIL")))</x:f>
        <x:v>OPEN</x:v>
      </x:c>
    </x:row>
    <x:row r="71">
      <x:c r="B71" s="28" t="str">
        <x:v>AT-03</x:v>
      </x:c>
      <x:c r="C71" s="28" t="str">
        <x:v>PRIMARY</x:v>
      </x:c>
      <x:c r="D71" s="28" t="str">
        <x:f>INDEX('Attempt Tokens'!$E$7:$E$36,MATCH(B71,'Attempt Tokens'!$B$7:$B$36,0))</x:f>
      </x:c>
      <x:c r="E71" s="28" t="str">
        <x:v>RP-09</x:v>
      </x:c>
      <x:c r="F71" s="28" t="n">
        <x:v>1</x:v>
      </x:c>
      <x:c r="G71" s="28" t="str">
        <x:f>IF(D71="","",IF(LEFT(D71,5)="RFP-A",IF(F71=1,"PTC-B","PTC-C"),IF(LEFT(D71,5)="RFP-B",IF(F71=1,"PTC-A","PTC-C"),IF(F71=1,"PTC-A","PTC-B"))))</x:f>
      </x:c>
      <x:c r="H71" s="29" t="str"/>
      <x:c r="I71" s="29" t="str"/>
      <x:c r="J71" s="29" t="str"/>
      <x:c r="K71" s="29" t="str"/>
      <x:c r="L71" s="29" t="str"/>
      <x:c r="M71" s="28" t="str">
        <x:f>IF(AND(C71="RESERVE",D71=""),"DORMANT",IF(L71="","OPEN",IF(AND(G71&lt;&gt;"",H71&lt;&gt;"",I71=H71,J71&lt;&gt;"",K71&lt;&gt;"",J71&lt;&gt;K71),"PASS","FAIL")))</x:f>
        <x:v>OPEN</x:v>
      </x:c>
    </x:row>
    <x:row r="72">
      <x:c r="B72" s="28" t="str">
        <x:v>AT-03</x:v>
      </x:c>
      <x:c r="C72" s="28" t="str">
        <x:v>PRIMARY</x:v>
      </x:c>
      <x:c r="D72" s="28" t="str">
        <x:f>INDEX('Attempt Tokens'!$E$7:$E$36,MATCH(B72,'Attempt Tokens'!$B$7:$B$36,0))</x:f>
      </x:c>
      <x:c r="E72" s="28" t="str">
        <x:v>RP-09</x:v>
      </x:c>
      <x:c r="F72" s="28" t="n">
        <x:v>2</x:v>
      </x:c>
      <x:c r="G72" s="28" t="str">
        <x:f>IF(D72="","",IF(LEFT(D72,5)="RFP-A",IF(F72=1,"PTC-B","PTC-C"),IF(LEFT(D72,5)="RFP-B",IF(F72=1,"PTC-A","PTC-C"),IF(F72=1,"PTC-A","PTC-B"))))</x:f>
      </x:c>
      <x:c r="H72" s="29" t="str"/>
      <x:c r="I72" s="29" t="str"/>
      <x:c r="J72" s="29" t="str"/>
      <x:c r="K72" s="29" t="str"/>
      <x:c r="L72" s="29" t="str"/>
      <x:c r="M72" s="28" t="str">
        <x:f>IF(AND(C72="RESERVE",D72=""),"DORMANT",IF(L72="","OPEN",IF(AND(G72&lt;&gt;"",H72&lt;&gt;"",I72=H72,J72&lt;&gt;"",K72&lt;&gt;"",J72&lt;&gt;K72),"PASS","FAIL")))</x:f>
        <x:v>OPEN</x:v>
      </x:c>
    </x:row>
    <x:row r="73">
      <x:c r="B73" s="28" t="str">
        <x:v>AT-03</x:v>
      </x:c>
      <x:c r="C73" s="28" t="str">
        <x:v>PRIMARY</x:v>
      </x:c>
      <x:c r="D73" s="28" t="str">
        <x:f>INDEX('Attempt Tokens'!$E$7:$E$36,MATCH(B73,'Attempt Tokens'!$B$7:$B$36,0))</x:f>
      </x:c>
      <x:c r="E73" s="28" t="str">
        <x:v>RP-10</x:v>
      </x:c>
      <x:c r="F73" s="28" t="n">
        <x:v>1</x:v>
      </x:c>
      <x:c r="G73" s="28" t="str">
        <x:f>IF(D73="","",IF(LEFT(D73,5)="RFP-A",IF(F73=1,"PTC-B","PTC-C"),IF(LEFT(D73,5)="RFP-B",IF(F73=1,"PTC-A","PTC-C"),IF(F73=1,"PTC-A","PTC-B"))))</x:f>
      </x:c>
      <x:c r="H73" s="29" t="str"/>
      <x:c r="I73" s="29" t="str"/>
      <x:c r="J73" s="29" t="str"/>
      <x:c r="K73" s="29" t="str"/>
      <x:c r="L73" s="29" t="str"/>
      <x:c r="M73" s="28" t="str">
        <x:f>IF(AND(C73="RESERVE",D73=""),"DORMANT",IF(L73="","OPEN",IF(AND(G73&lt;&gt;"",H73&lt;&gt;"",I73=H73,J73&lt;&gt;"",K73&lt;&gt;"",J73&lt;&gt;K73),"PASS","FAIL")))</x:f>
        <x:v>OPEN</x:v>
      </x:c>
    </x:row>
    <x:row r="74">
      <x:c r="B74" s="28" t="str">
        <x:v>AT-03</x:v>
      </x:c>
      <x:c r="C74" s="28" t="str">
        <x:v>PRIMARY</x:v>
      </x:c>
      <x:c r="D74" s="28" t="str">
        <x:f>INDEX('Attempt Tokens'!$E$7:$E$36,MATCH(B74,'Attempt Tokens'!$B$7:$B$36,0))</x:f>
      </x:c>
      <x:c r="E74" s="28" t="str">
        <x:v>RP-10</x:v>
      </x:c>
      <x:c r="F74" s="28" t="n">
        <x:v>2</x:v>
      </x:c>
      <x:c r="G74" s="28" t="str">
        <x:f>IF(D74="","",IF(LEFT(D74,5)="RFP-A",IF(F74=1,"PTC-B","PTC-C"),IF(LEFT(D74,5)="RFP-B",IF(F74=1,"PTC-A","PTC-C"),IF(F74=1,"PTC-A","PTC-B"))))</x:f>
      </x:c>
      <x:c r="H74" s="29" t="str"/>
      <x:c r="I74" s="29" t="str"/>
      <x:c r="J74" s="29" t="str"/>
      <x:c r="K74" s="29" t="str"/>
      <x:c r="L74" s="29" t="str"/>
      <x:c r="M74" s="28" t="str">
        <x:f>IF(AND(C74="RESERVE",D74=""),"DORMANT",IF(L74="","OPEN",IF(AND(G74&lt;&gt;"",H74&lt;&gt;"",I74=H74,J74&lt;&gt;"",K74&lt;&gt;"",J74&lt;&gt;K74),"PASS","FAIL")))</x:f>
        <x:v>OPEN</x:v>
      </x:c>
    </x:row>
    <x:row r="75">
      <x:c r="B75" s="28" t="str">
        <x:v>AT-03</x:v>
      </x:c>
      <x:c r="C75" s="28" t="str">
        <x:v>PRIMARY</x:v>
      </x:c>
      <x:c r="D75" s="28" t="str">
        <x:f>INDEX('Attempt Tokens'!$E$7:$E$36,MATCH(B75,'Attempt Tokens'!$B$7:$B$36,0))</x:f>
      </x:c>
      <x:c r="E75" s="28" t="str">
        <x:v>RP-11</x:v>
      </x:c>
      <x:c r="F75" s="28" t="n">
        <x:v>1</x:v>
      </x:c>
      <x:c r="G75" s="28" t="str">
        <x:f>IF(D75="","",IF(LEFT(D75,5)="RFP-A",IF(F75=1,"PTC-B","PTC-C"),IF(LEFT(D75,5)="RFP-B",IF(F75=1,"PTC-A","PTC-C"),IF(F75=1,"PTC-A","PTC-B"))))</x:f>
      </x:c>
      <x:c r="H75" s="29" t="str"/>
      <x:c r="I75" s="29" t="str"/>
      <x:c r="J75" s="29" t="str"/>
      <x:c r="K75" s="29" t="str"/>
      <x:c r="L75" s="29" t="str"/>
      <x:c r="M75" s="28" t="str">
        <x:f>IF(AND(C75="RESERVE",D75=""),"DORMANT",IF(L75="","OPEN",IF(AND(G75&lt;&gt;"",H75&lt;&gt;"",I75=H75,J75&lt;&gt;"",K75&lt;&gt;"",J75&lt;&gt;K75),"PASS","FAIL")))</x:f>
        <x:v>OPEN</x:v>
      </x:c>
    </x:row>
    <x:row r="76">
      <x:c r="B76" s="28" t="str">
        <x:v>AT-03</x:v>
      </x:c>
      <x:c r="C76" s="28" t="str">
        <x:v>PRIMARY</x:v>
      </x:c>
      <x:c r="D76" s="28" t="str">
        <x:f>INDEX('Attempt Tokens'!$E$7:$E$36,MATCH(B76,'Attempt Tokens'!$B$7:$B$36,0))</x:f>
      </x:c>
      <x:c r="E76" s="28" t="str">
        <x:v>RP-11</x:v>
      </x:c>
      <x:c r="F76" s="28" t="n">
        <x:v>2</x:v>
      </x:c>
      <x:c r="G76" s="28" t="str">
        <x:f>IF(D76="","",IF(LEFT(D76,5)="RFP-A",IF(F76=1,"PTC-B","PTC-C"),IF(LEFT(D76,5)="RFP-B",IF(F76=1,"PTC-A","PTC-C"),IF(F76=1,"PTC-A","PTC-B"))))</x:f>
      </x:c>
      <x:c r="H76" s="29" t="str"/>
      <x:c r="I76" s="29" t="str"/>
      <x:c r="J76" s="29" t="str"/>
      <x:c r="K76" s="29" t="str"/>
      <x:c r="L76" s="29" t="str"/>
      <x:c r="M76" s="28" t="str">
        <x:f>IF(AND(C76="RESERVE",D76=""),"DORMANT",IF(L76="","OPEN",IF(AND(G76&lt;&gt;"",H76&lt;&gt;"",I76=H76,J76&lt;&gt;"",K76&lt;&gt;"",J76&lt;&gt;K76),"PASS","FAIL")))</x:f>
        <x:v>OPEN</x:v>
      </x:c>
    </x:row>
    <x:row r="77">
      <x:c r="B77" s="28" t="str">
        <x:v>AT-03</x:v>
      </x:c>
      <x:c r="C77" s="28" t="str">
        <x:v>PRIMARY</x:v>
      </x:c>
      <x:c r="D77" s="28" t="str">
        <x:f>INDEX('Attempt Tokens'!$E$7:$E$36,MATCH(B77,'Attempt Tokens'!$B$7:$B$36,0))</x:f>
      </x:c>
      <x:c r="E77" s="28" t="str">
        <x:v>RP-12</x:v>
      </x:c>
      <x:c r="F77" s="28" t="n">
        <x:v>1</x:v>
      </x:c>
      <x:c r="G77" s="28" t="str">
        <x:f>IF(D77="","",IF(LEFT(D77,5)="RFP-A",IF(F77=1,"PTC-B","PTC-C"),IF(LEFT(D77,5)="RFP-B",IF(F77=1,"PTC-A","PTC-C"),IF(F77=1,"PTC-A","PTC-B"))))</x:f>
      </x:c>
      <x:c r="H77" s="29" t="str"/>
      <x:c r="I77" s="29" t="str"/>
      <x:c r="J77" s="29" t="str"/>
      <x:c r="K77" s="29" t="str"/>
      <x:c r="L77" s="29" t="str"/>
      <x:c r="M77" s="28" t="str">
        <x:f>IF(AND(C77="RESERVE",D77=""),"DORMANT",IF(L77="","OPEN",IF(AND(G77&lt;&gt;"",H77&lt;&gt;"",I77=H77,J77&lt;&gt;"",K77&lt;&gt;"",J77&lt;&gt;K77),"PASS","FAIL")))</x:f>
        <x:v>OPEN</x:v>
      </x:c>
    </x:row>
    <x:row r="78">
      <x:c r="B78" s="28" t="str">
        <x:v>AT-03</x:v>
      </x:c>
      <x:c r="C78" s="28" t="str">
        <x:v>PRIMARY</x:v>
      </x:c>
      <x:c r="D78" s="28" t="str">
        <x:f>INDEX('Attempt Tokens'!$E$7:$E$36,MATCH(B78,'Attempt Tokens'!$B$7:$B$36,0))</x:f>
      </x:c>
      <x:c r="E78" s="28" t="str">
        <x:v>RP-12</x:v>
      </x:c>
      <x:c r="F78" s="28" t="n">
        <x:v>2</x:v>
      </x:c>
      <x:c r="G78" s="28" t="str">
        <x:f>IF(D78="","",IF(LEFT(D78,5)="RFP-A",IF(F78=1,"PTC-B","PTC-C"),IF(LEFT(D78,5)="RFP-B",IF(F78=1,"PTC-A","PTC-C"),IF(F78=1,"PTC-A","PTC-B"))))</x:f>
      </x:c>
      <x:c r="H78" s="29" t="str"/>
      <x:c r="I78" s="29" t="str"/>
      <x:c r="J78" s="29" t="str"/>
      <x:c r="K78" s="29" t="str"/>
      <x:c r="L78" s="29" t="str"/>
      <x:c r="M78" s="28" t="str">
        <x:f>IF(AND(C78="RESERVE",D78=""),"DORMANT",IF(L78="","OPEN",IF(AND(G78&lt;&gt;"",H78&lt;&gt;"",I78=H78,J78&lt;&gt;"",K78&lt;&gt;"",J78&lt;&gt;K78),"PASS","FAIL")))</x:f>
        <x:v>OPEN</x:v>
      </x:c>
    </x:row>
    <x:row r="79">
      <x:c r="B79" s="28" t="str">
        <x:v>AT-04</x:v>
      </x:c>
      <x:c r="C79" s="28" t="str">
        <x:v>PRIMARY</x:v>
      </x:c>
      <x:c r="D79" s="28" t="str">
        <x:f>INDEX('Attempt Tokens'!$E$7:$E$36,MATCH(B79,'Attempt Tokens'!$B$7:$B$36,0))</x:f>
      </x:c>
      <x:c r="E79" s="28" t="str">
        <x:v>RP-01</x:v>
      </x:c>
      <x:c r="F79" s="28" t="n">
        <x:v>1</x:v>
      </x:c>
      <x:c r="G79" s="28" t="str">
        <x:f>IF(D79="","",IF(LEFT(D79,5)="RFP-A",IF(F79=1,"PTC-B","PTC-C"),IF(LEFT(D79,5)="RFP-B",IF(F79=1,"PTC-A","PTC-C"),IF(F79=1,"PTC-A","PTC-B"))))</x:f>
      </x:c>
      <x:c r="H79" s="29" t="str"/>
      <x:c r="I79" s="29" t="str"/>
      <x:c r="J79" s="29" t="str"/>
      <x:c r="K79" s="29" t="str"/>
      <x:c r="L79" s="29" t="str"/>
      <x:c r="M79" s="28" t="str">
        <x:f>IF(AND(C79="RESERVE",D79=""),"DORMANT",IF(L79="","OPEN",IF(AND(G79&lt;&gt;"",H79&lt;&gt;"",I79=H79,J79&lt;&gt;"",K79&lt;&gt;"",J79&lt;&gt;K79),"PASS","FAIL")))</x:f>
        <x:v>OPEN</x:v>
      </x:c>
    </x:row>
    <x:row r="80">
      <x:c r="B80" s="28" t="str">
        <x:v>AT-04</x:v>
      </x:c>
      <x:c r="C80" s="28" t="str">
        <x:v>PRIMARY</x:v>
      </x:c>
      <x:c r="D80" s="28" t="str">
        <x:f>INDEX('Attempt Tokens'!$E$7:$E$36,MATCH(B80,'Attempt Tokens'!$B$7:$B$36,0))</x:f>
      </x:c>
      <x:c r="E80" s="28" t="str">
        <x:v>RP-01</x:v>
      </x:c>
      <x:c r="F80" s="28" t="n">
        <x:v>2</x:v>
      </x:c>
      <x:c r="G80" s="28" t="str">
        <x:f>IF(D80="","",IF(LEFT(D80,5)="RFP-A",IF(F80=1,"PTC-B","PTC-C"),IF(LEFT(D80,5)="RFP-B",IF(F80=1,"PTC-A","PTC-C"),IF(F80=1,"PTC-A","PTC-B"))))</x:f>
      </x:c>
      <x:c r="H80" s="29" t="str"/>
      <x:c r="I80" s="29" t="str"/>
      <x:c r="J80" s="29" t="str"/>
      <x:c r="K80" s="29" t="str"/>
      <x:c r="L80" s="29" t="str"/>
      <x:c r="M80" s="28" t="str">
        <x:f>IF(AND(C80="RESERVE",D80=""),"DORMANT",IF(L80="","OPEN",IF(AND(G80&lt;&gt;"",H80&lt;&gt;"",I80=H80,J80&lt;&gt;"",K80&lt;&gt;"",J80&lt;&gt;K80),"PASS","FAIL")))</x:f>
        <x:v>OPEN</x:v>
      </x:c>
    </x:row>
    <x:row r="81">
      <x:c r="B81" s="28" t="str">
        <x:v>AT-04</x:v>
      </x:c>
      <x:c r="C81" s="28" t="str">
        <x:v>PRIMARY</x:v>
      </x:c>
      <x:c r="D81" s="28" t="str">
        <x:f>INDEX('Attempt Tokens'!$E$7:$E$36,MATCH(B81,'Attempt Tokens'!$B$7:$B$36,0))</x:f>
      </x:c>
      <x:c r="E81" s="28" t="str">
        <x:v>RP-02</x:v>
      </x:c>
      <x:c r="F81" s="28" t="n">
        <x:v>1</x:v>
      </x:c>
      <x:c r="G81" s="28" t="str">
        <x:f>IF(D81="","",IF(LEFT(D81,5)="RFP-A",IF(F81=1,"PTC-B","PTC-C"),IF(LEFT(D81,5)="RFP-B",IF(F81=1,"PTC-A","PTC-C"),IF(F81=1,"PTC-A","PTC-B"))))</x:f>
      </x:c>
      <x:c r="H81" s="29" t="str"/>
      <x:c r="I81" s="29" t="str"/>
      <x:c r="J81" s="29" t="str"/>
      <x:c r="K81" s="29" t="str"/>
      <x:c r="L81" s="29" t="str"/>
      <x:c r="M81" s="28" t="str">
        <x:f>IF(AND(C81="RESERVE",D81=""),"DORMANT",IF(L81="","OPEN",IF(AND(G81&lt;&gt;"",H81&lt;&gt;"",I81=H81,J81&lt;&gt;"",K81&lt;&gt;"",J81&lt;&gt;K81),"PASS","FAIL")))</x:f>
        <x:v>OPEN</x:v>
      </x:c>
    </x:row>
    <x:row r="82">
      <x:c r="B82" s="28" t="str">
        <x:v>AT-04</x:v>
      </x:c>
      <x:c r="C82" s="28" t="str">
        <x:v>PRIMARY</x:v>
      </x:c>
      <x:c r="D82" s="28" t="str">
        <x:f>INDEX('Attempt Tokens'!$E$7:$E$36,MATCH(B82,'Attempt Tokens'!$B$7:$B$36,0))</x:f>
      </x:c>
      <x:c r="E82" s="28" t="str">
        <x:v>RP-02</x:v>
      </x:c>
      <x:c r="F82" s="28" t="n">
        <x:v>2</x:v>
      </x:c>
      <x:c r="G82" s="28" t="str">
        <x:f>IF(D82="","",IF(LEFT(D82,5)="RFP-A",IF(F82=1,"PTC-B","PTC-C"),IF(LEFT(D82,5)="RFP-B",IF(F82=1,"PTC-A","PTC-C"),IF(F82=1,"PTC-A","PTC-B"))))</x:f>
      </x:c>
      <x:c r="H82" s="29" t="str"/>
      <x:c r="I82" s="29" t="str"/>
      <x:c r="J82" s="29" t="str"/>
      <x:c r="K82" s="29" t="str"/>
      <x:c r="L82" s="29" t="str"/>
      <x:c r="M82" s="28" t="str">
        <x:f>IF(AND(C82="RESERVE",D82=""),"DORMANT",IF(L82="","OPEN",IF(AND(G82&lt;&gt;"",H82&lt;&gt;"",I82=H82,J82&lt;&gt;"",K82&lt;&gt;"",J82&lt;&gt;K82),"PASS","FAIL")))</x:f>
        <x:v>OPEN</x:v>
      </x:c>
    </x:row>
    <x:row r="83">
      <x:c r="B83" s="28" t="str">
        <x:v>AT-04</x:v>
      </x:c>
      <x:c r="C83" s="28" t="str">
        <x:v>PRIMARY</x:v>
      </x:c>
      <x:c r="D83" s="28" t="str">
        <x:f>INDEX('Attempt Tokens'!$E$7:$E$36,MATCH(B83,'Attempt Tokens'!$B$7:$B$36,0))</x:f>
      </x:c>
      <x:c r="E83" s="28" t="str">
        <x:v>RP-03</x:v>
      </x:c>
      <x:c r="F83" s="28" t="n">
        <x:v>1</x:v>
      </x:c>
      <x:c r="G83" s="28" t="str">
        <x:f>IF(D83="","",IF(LEFT(D83,5)="RFP-A",IF(F83=1,"PTC-B","PTC-C"),IF(LEFT(D83,5)="RFP-B",IF(F83=1,"PTC-A","PTC-C"),IF(F83=1,"PTC-A","PTC-B"))))</x:f>
      </x:c>
      <x:c r="H83" s="29" t="str"/>
      <x:c r="I83" s="29" t="str"/>
      <x:c r="J83" s="29" t="str"/>
      <x:c r="K83" s="29" t="str"/>
      <x:c r="L83" s="29" t="str"/>
      <x:c r="M83" s="28" t="str">
        <x:f>IF(AND(C83="RESERVE",D83=""),"DORMANT",IF(L83="","OPEN",IF(AND(G83&lt;&gt;"",H83&lt;&gt;"",I83=H83,J83&lt;&gt;"",K83&lt;&gt;"",J83&lt;&gt;K83),"PASS","FAIL")))</x:f>
        <x:v>OPEN</x:v>
      </x:c>
    </x:row>
    <x:row r="84">
      <x:c r="B84" s="28" t="str">
        <x:v>AT-04</x:v>
      </x:c>
      <x:c r="C84" s="28" t="str">
        <x:v>PRIMARY</x:v>
      </x:c>
      <x:c r="D84" s="28" t="str">
        <x:f>INDEX('Attempt Tokens'!$E$7:$E$36,MATCH(B84,'Attempt Tokens'!$B$7:$B$36,0))</x:f>
      </x:c>
      <x:c r="E84" s="28" t="str">
        <x:v>RP-03</x:v>
      </x:c>
      <x:c r="F84" s="28" t="n">
        <x:v>2</x:v>
      </x:c>
      <x:c r="G84" s="28" t="str">
        <x:f>IF(D84="","",IF(LEFT(D84,5)="RFP-A",IF(F84=1,"PTC-B","PTC-C"),IF(LEFT(D84,5)="RFP-B",IF(F84=1,"PTC-A","PTC-C"),IF(F84=1,"PTC-A","PTC-B"))))</x:f>
      </x:c>
      <x:c r="H84" s="29" t="str"/>
      <x:c r="I84" s="29" t="str"/>
      <x:c r="J84" s="29" t="str"/>
      <x:c r="K84" s="29" t="str"/>
      <x:c r="L84" s="29" t="str"/>
      <x:c r="M84" s="28" t="str">
        <x:f>IF(AND(C84="RESERVE",D84=""),"DORMANT",IF(L84="","OPEN",IF(AND(G84&lt;&gt;"",H84&lt;&gt;"",I84=H84,J84&lt;&gt;"",K84&lt;&gt;"",J84&lt;&gt;K84),"PASS","FAIL")))</x:f>
        <x:v>OPEN</x:v>
      </x:c>
    </x:row>
    <x:row r="85">
      <x:c r="B85" s="28" t="str">
        <x:v>AT-04</x:v>
      </x:c>
      <x:c r="C85" s="28" t="str">
        <x:v>PRIMARY</x:v>
      </x:c>
      <x:c r="D85" s="28" t="str">
        <x:f>INDEX('Attempt Tokens'!$E$7:$E$36,MATCH(B85,'Attempt Tokens'!$B$7:$B$36,0))</x:f>
      </x:c>
      <x:c r="E85" s="28" t="str">
        <x:v>RP-04</x:v>
      </x:c>
      <x:c r="F85" s="28" t="n">
        <x:v>1</x:v>
      </x:c>
      <x:c r="G85" s="28" t="str">
        <x:f>IF(D85="","",IF(LEFT(D85,5)="RFP-A",IF(F85=1,"PTC-B","PTC-C"),IF(LEFT(D85,5)="RFP-B",IF(F85=1,"PTC-A","PTC-C"),IF(F85=1,"PTC-A","PTC-B"))))</x:f>
      </x:c>
      <x:c r="H85" s="29" t="str"/>
      <x:c r="I85" s="29" t="str"/>
      <x:c r="J85" s="29" t="str"/>
      <x:c r="K85" s="29" t="str"/>
      <x:c r="L85" s="29" t="str"/>
      <x:c r="M85" s="28" t="str">
        <x:f>IF(AND(C85="RESERVE",D85=""),"DORMANT",IF(L85="","OPEN",IF(AND(G85&lt;&gt;"",H85&lt;&gt;"",I85=H85,J85&lt;&gt;"",K85&lt;&gt;"",J85&lt;&gt;K85),"PASS","FAIL")))</x:f>
        <x:v>OPEN</x:v>
      </x:c>
    </x:row>
    <x:row r="86">
      <x:c r="B86" s="28" t="str">
        <x:v>AT-04</x:v>
      </x:c>
      <x:c r="C86" s="28" t="str">
        <x:v>PRIMARY</x:v>
      </x:c>
      <x:c r="D86" s="28" t="str">
        <x:f>INDEX('Attempt Tokens'!$E$7:$E$36,MATCH(B86,'Attempt Tokens'!$B$7:$B$36,0))</x:f>
      </x:c>
      <x:c r="E86" s="28" t="str">
        <x:v>RP-04</x:v>
      </x:c>
      <x:c r="F86" s="28" t="n">
        <x:v>2</x:v>
      </x:c>
      <x:c r="G86" s="28" t="str">
        <x:f>IF(D86="","",IF(LEFT(D86,5)="RFP-A",IF(F86=1,"PTC-B","PTC-C"),IF(LEFT(D86,5)="RFP-B",IF(F86=1,"PTC-A","PTC-C"),IF(F86=1,"PTC-A","PTC-B"))))</x:f>
      </x:c>
      <x:c r="H86" s="29" t="str"/>
      <x:c r="I86" s="29" t="str"/>
      <x:c r="J86" s="29" t="str"/>
      <x:c r="K86" s="29" t="str"/>
      <x:c r="L86" s="29" t="str"/>
      <x:c r="M86" s="28" t="str">
        <x:f>IF(AND(C86="RESERVE",D86=""),"DORMANT",IF(L86="","OPEN",IF(AND(G86&lt;&gt;"",H86&lt;&gt;"",I86=H86,J86&lt;&gt;"",K86&lt;&gt;"",J86&lt;&gt;K86),"PASS","FAIL")))</x:f>
        <x:v>OPEN</x:v>
      </x:c>
    </x:row>
    <x:row r="87">
      <x:c r="B87" s="28" t="str">
        <x:v>AT-04</x:v>
      </x:c>
      <x:c r="C87" s="28" t="str">
        <x:v>PRIMARY</x:v>
      </x:c>
      <x:c r="D87" s="28" t="str">
        <x:f>INDEX('Attempt Tokens'!$E$7:$E$36,MATCH(B87,'Attempt Tokens'!$B$7:$B$36,0))</x:f>
      </x:c>
      <x:c r="E87" s="28" t="str">
        <x:v>RP-05</x:v>
      </x:c>
      <x:c r="F87" s="28" t="n">
        <x:v>1</x:v>
      </x:c>
      <x:c r="G87" s="28" t="str">
        <x:f>IF(D87="","",IF(LEFT(D87,5)="RFP-A",IF(F87=1,"PTC-B","PTC-C"),IF(LEFT(D87,5)="RFP-B",IF(F87=1,"PTC-A","PTC-C"),IF(F87=1,"PTC-A","PTC-B"))))</x:f>
      </x:c>
      <x:c r="H87" s="29" t="str"/>
      <x:c r="I87" s="29" t="str"/>
      <x:c r="J87" s="29" t="str"/>
      <x:c r="K87" s="29" t="str"/>
      <x:c r="L87" s="29" t="str"/>
      <x:c r="M87" s="28" t="str">
        <x:f>IF(AND(C87="RESERVE",D87=""),"DORMANT",IF(L87="","OPEN",IF(AND(G87&lt;&gt;"",H87&lt;&gt;"",I87=H87,J87&lt;&gt;"",K87&lt;&gt;"",J87&lt;&gt;K87),"PASS","FAIL")))</x:f>
        <x:v>OPEN</x:v>
      </x:c>
    </x:row>
    <x:row r="88">
      <x:c r="B88" s="28" t="str">
        <x:v>AT-04</x:v>
      </x:c>
      <x:c r="C88" s="28" t="str">
        <x:v>PRIMARY</x:v>
      </x:c>
      <x:c r="D88" s="28" t="str">
        <x:f>INDEX('Attempt Tokens'!$E$7:$E$36,MATCH(B88,'Attempt Tokens'!$B$7:$B$36,0))</x:f>
      </x:c>
      <x:c r="E88" s="28" t="str">
        <x:v>RP-05</x:v>
      </x:c>
      <x:c r="F88" s="28" t="n">
        <x:v>2</x:v>
      </x:c>
      <x:c r="G88" s="28" t="str">
        <x:f>IF(D88="","",IF(LEFT(D88,5)="RFP-A",IF(F88=1,"PTC-B","PTC-C"),IF(LEFT(D88,5)="RFP-B",IF(F88=1,"PTC-A","PTC-C"),IF(F88=1,"PTC-A","PTC-B"))))</x:f>
      </x:c>
      <x:c r="H88" s="29" t="str"/>
      <x:c r="I88" s="29" t="str"/>
      <x:c r="J88" s="29" t="str"/>
      <x:c r="K88" s="29" t="str"/>
      <x:c r="L88" s="29" t="str"/>
      <x:c r="M88" s="28" t="str">
        <x:f>IF(AND(C88="RESERVE",D88=""),"DORMANT",IF(L88="","OPEN",IF(AND(G88&lt;&gt;"",H88&lt;&gt;"",I88=H88,J88&lt;&gt;"",K88&lt;&gt;"",J88&lt;&gt;K88),"PASS","FAIL")))</x:f>
        <x:v>OPEN</x:v>
      </x:c>
    </x:row>
    <x:row r="89">
      <x:c r="B89" s="28" t="str">
        <x:v>AT-04</x:v>
      </x:c>
      <x:c r="C89" s="28" t="str">
        <x:v>PRIMARY</x:v>
      </x:c>
      <x:c r="D89" s="28" t="str">
        <x:f>INDEX('Attempt Tokens'!$E$7:$E$36,MATCH(B89,'Attempt Tokens'!$B$7:$B$36,0))</x:f>
      </x:c>
      <x:c r="E89" s="28" t="str">
        <x:v>RP-06</x:v>
      </x:c>
      <x:c r="F89" s="28" t="n">
        <x:v>1</x:v>
      </x:c>
      <x:c r="G89" s="28" t="str">
        <x:f>IF(D89="","",IF(LEFT(D89,5)="RFP-A",IF(F89=1,"PTC-B","PTC-C"),IF(LEFT(D89,5)="RFP-B",IF(F89=1,"PTC-A","PTC-C"),IF(F89=1,"PTC-A","PTC-B"))))</x:f>
      </x:c>
      <x:c r="H89" s="29" t="str"/>
      <x:c r="I89" s="29" t="str"/>
      <x:c r="J89" s="29" t="str"/>
      <x:c r="K89" s="29" t="str"/>
      <x:c r="L89" s="29" t="str"/>
      <x:c r="M89" s="28" t="str">
        <x:f>IF(AND(C89="RESERVE",D89=""),"DORMANT",IF(L89="","OPEN",IF(AND(G89&lt;&gt;"",H89&lt;&gt;"",I89=H89,J89&lt;&gt;"",K89&lt;&gt;"",J89&lt;&gt;K89),"PASS","FAIL")))</x:f>
        <x:v>OPEN</x:v>
      </x:c>
    </x:row>
    <x:row r="90">
      <x:c r="B90" s="28" t="str">
        <x:v>AT-04</x:v>
      </x:c>
      <x:c r="C90" s="28" t="str">
        <x:v>PRIMARY</x:v>
      </x:c>
      <x:c r="D90" s="28" t="str">
        <x:f>INDEX('Attempt Tokens'!$E$7:$E$36,MATCH(B90,'Attempt Tokens'!$B$7:$B$36,0))</x:f>
      </x:c>
      <x:c r="E90" s="28" t="str">
        <x:v>RP-06</x:v>
      </x:c>
      <x:c r="F90" s="28" t="n">
        <x:v>2</x:v>
      </x:c>
      <x:c r="G90" s="28" t="str">
        <x:f>IF(D90="","",IF(LEFT(D90,5)="RFP-A",IF(F90=1,"PTC-B","PTC-C"),IF(LEFT(D90,5)="RFP-B",IF(F90=1,"PTC-A","PTC-C"),IF(F90=1,"PTC-A","PTC-B"))))</x:f>
      </x:c>
      <x:c r="H90" s="29" t="str"/>
      <x:c r="I90" s="29" t="str"/>
      <x:c r="J90" s="29" t="str"/>
      <x:c r="K90" s="29" t="str"/>
      <x:c r="L90" s="29" t="str"/>
      <x:c r="M90" s="28" t="str">
        <x:f>IF(AND(C90="RESERVE",D90=""),"DORMANT",IF(L90="","OPEN",IF(AND(G90&lt;&gt;"",H90&lt;&gt;"",I90=H90,J90&lt;&gt;"",K90&lt;&gt;"",J90&lt;&gt;K90),"PASS","FAIL")))</x:f>
        <x:v>OPEN</x:v>
      </x:c>
    </x:row>
    <x:row r="91">
      <x:c r="B91" s="28" t="str">
        <x:v>AT-04</x:v>
      </x:c>
      <x:c r="C91" s="28" t="str">
        <x:v>PRIMARY</x:v>
      </x:c>
      <x:c r="D91" s="28" t="str">
        <x:f>INDEX('Attempt Tokens'!$E$7:$E$36,MATCH(B91,'Attempt Tokens'!$B$7:$B$36,0))</x:f>
      </x:c>
      <x:c r="E91" s="28" t="str">
        <x:v>RP-07</x:v>
      </x:c>
      <x:c r="F91" s="28" t="n">
        <x:v>1</x:v>
      </x:c>
      <x:c r="G91" s="28" t="str">
        <x:f>IF(D91="","",IF(LEFT(D91,5)="RFP-A",IF(F91=1,"PTC-B","PTC-C"),IF(LEFT(D91,5)="RFP-B",IF(F91=1,"PTC-A","PTC-C"),IF(F91=1,"PTC-A","PTC-B"))))</x:f>
      </x:c>
      <x:c r="H91" s="29" t="str"/>
      <x:c r="I91" s="29" t="str"/>
      <x:c r="J91" s="29" t="str"/>
      <x:c r="K91" s="29" t="str"/>
      <x:c r="L91" s="29" t="str"/>
      <x:c r="M91" s="28" t="str">
        <x:f>IF(AND(C91="RESERVE",D91=""),"DORMANT",IF(L91="","OPEN",IF(AND(G91&lt;&gt;"",H91&lt;&gt;"",I91=H91,J91&lt;&gt;"",K91&lt;&gt;"",J91&lt;&gt;K91),"PASS","FAIL")))</x:f>
        <x:v>OPEN</x:v>
      </x:c>
    </x:row>
    <x:row r="92">
      <x:c r="B92" s="28" t="str">
        <x:v>AT-04</x:v>
      </x:c>
      <x:c r="C92" s="28" t="str">
        <x:v>PRIMARY</x:v>
      </x:c>
      <x:c r="D92" s="28" t="str">
        <x:f>INDEX('Attempt Tokens'!$E$7:$E$36,MATCH(B92,'Attempt Tokens'!$B$7:$B$36,0))</x:f>
      </x:c>
      <x:c r="E92" s="28" t="str">
        <x:v>RP-07</x:v>
      </x:c>
      <x:c r="F92" s="28" t="n">
        <x:v>2</x:v>
      </x:c>
      <x:c r="G92" s="28" t="str">
        <x:f>IF(D92="","",IF(LEFT(D92,5)="RFP-A",IF(F92=1,"PTC-B","PTC-C"),IF(LEFT(D92,5)="RFP-B",IF(F92=1,"PTC-A","PTC-C"),IF(F92=1,"PTC-A","PTC-B"))))</x:f>
      </x:c>
      <x:c r="H92" s="29" t="str"/>
      <x:c r="I92" s="29" t="str"/>
      <x:c r="J92" s="29" t="str"/>
      <x:c r="K92" s="29" t="str"/>
      <x:c r="L92" s="29" t="str"/>
      <x:c r="M92" s="28" t="str">
        <x:f>IF(AND(C92="RESERVE",D92=""),"DORMANT",IF(L92="","OPEN",IF(AND(G92&lt;&gt;"",H92&lt;&gt;"",I92=H92,J92&lt;&gt;"",K92&lt;&gt;"",J92&lt;&gt;K92),"PASS","FAIL")))</x:f>
        <x:v>OPEN</x:v>
      </x:c>
    </x:row>
    <x:row r="93">
      <x:c r="B93" s="28" t="str">
        <x:v>AT-04</x:v>
      </x:c>
      <x:c r="C93" s="28" t="str">
        <x:v>PRIMARY</x:v>
      </x:c>
      <x:c r="D93" s="28" t="str">
        <x:f>INDEX('Attempt Tokens'!$E$7:$E$36,MATCH(B93,'Attempt Tokens'!$B$7:$B$36,0))</x:f>
      </x:c>
      <x:c r="E93" s="28" t="str">
        <x:v>RP-08</x:v>
      </x:c>
      <x:c r="F93" s="28" t="n">
        <x:v>1</x:v>
      </x:c>
      <x:c r="G93" s="28" t="str">
        <x:f>IF(D93="","",IF(LEFT(D93,5)="RFP-A",IF(F93=1,"PTC-B","PTC-C"),IF(LEFT(D93,5)="RFP-B",IF(F93=1,"PTC-A","PTC-C"),IF(F93=1,"PTC-A","PTC-B"))))</x:f>
      </x:c>
      <x:c r="H93" s="29" t="str"/>
      <x:c r="I93" s="29" t="str"/>
      <x:c r="J93" s="29" t="str"/>
      <x:c r="K93" s="29" t="str"/>
      <x:c r="L93" s="29" t="str"/>
      <x:c r="M93" s="28" t="str">
        <x:f>IF(AND(C93="RESERVE",D93=""),"DORMANT",IF(L93="","OPEN",IF(AND(G93&lt;&gt;"",H93&lt;&gt;"",I93=H93,J93&lt;&gt;"",K93&lt;&gt;"",J93&lt;&gt;K93),"PASS","FAIL")))</x:f>
        <x:v>OPEN</x:v>
      </x:c>
    </x:row>
    <x:row r="94">
      <x:c r="B94" s="28" t="str">
        <x:v>AT-04</x:v>
      </x:c>
      <x:c r="C94" s="28" t="str">
        <x:v>PRIMARY</x:v>
      </x:c>
      <x:c r="D94" s="28" t="str">
        <x:f>INDEX('Attempt Tokens'!$E$7:$E$36,MATCH(B94,'Attempt Tokens'!$B$7:$B$36,0))</x:f>
      </x:c>
      <x:c r="E94" s="28" t="str">
        <x:v>RP-08</x:v>
      </x:c>
      <x:c r="F94" s="28" t="n">
        <x:v>2</x:v>
      </x:c>
      <x:c r="G94" s="28" t="str">
        <x:f>IF(D94="","",IF(LEFT(D94,5)="RFP-A",IF(F94=1,"PTC-B","PTC-C"),IF(LEFT(D94,5)="RFP-B",IF(F94=1,"PTC-A","PTC-C"),IF(F94=1,"PTC-A","PTC-B"))))</x:f>
      </x:c>
      <x:c r="H94" s="29" t="str"/>
      <x:c r="I94" s="29" t="str"/>
      <x:c r="J94" s="29" t="str"/>
      <x:c r="K94" s="29" t="str"/>
      <x:c r="L94" s="29" t="str"/>
      <x:c r="M94" s="28" t="str">
        <x:f>IF(AND(C94="RESERVE",D94=""),"DORMANT",IF(L94="","OPEN",IF(AND(G94&lt;&gt;"",H94&lt;&gt;"",I94=H94,J94&lt;&gt;"",K94&lt;&gt;"",J94&lt;&gt;K94),"PASS","FAIL")))</x:f>
        <x:v>OPEN</x:v>
      </x:c>
    </x:row>
    <x:row r="95">
      <x:c r="B95" s="28" t="str">
        <x:v>AT-04</x:v>
      </x:c>
      <x:c r="C95" s="28" t="str">
        <x:v>PRIMARY</x:v>
      </x:c>
      <x:c r="D95" s="28" t="str">
        <x:f>INDEX('Attempt Tokens'!$E$7:$E$36,MATCH(B95,'Attempt Tokens'!$B$7:$B$36,0))</x:f>
      </x:c>
      <x:c r="E95" s="28" t="str">
        <x:v>RP-09</x:v>
      </x:c>
      <x:c r="F95" s="28" t="n">
        <x:v>1</x:v>
      </x:c>
      <x:c r="G95" s="28" t="str">
        <x:f>IF(D95="","",IF(LEFT(D95,5)="RFP-A",IF(F95=1,"PTC-B","PTC-C"),IF(LEFT(D95,5)="RFP-B",IF(F95=1,"PTC-A","PTC-C"),IF(F95=1,"PTC-A","PTC-B"))))</x:f>
      </x:c>
      <x:c r="H95" s="29" t="str"/>
      <x:c r="I95" s="29" t="str"/>
      <x:c r="J95" s="29" t="str"/>
      <x:c r="K95" s="29" t="str"/>
      <x:c r="L95" s="29" t="str"/>
      <x:c r="M95" s="28" t="str">
        <x:f>IF(AND(C95="RESERVE",D95=""),"DORMANT",IF(L95="","OPEN",IF(AND(G95&lt;&gt;"",H95&lt;&gt;"",I95=H95,J95&lt;&gt;"",K95&lt;&gt;"",J95&lt;&gt;K95),"PASS","FAIL")))</x:f>
        <x:v>OPEN</x:v>
      </x:c>
    </x:row>
    <x:row r="96">
      <x:c r="B96" s="28" t="str">
        <x:v>AT-04</x:v>
      </x:c>
      <x:c r="C96" s="28" t="str">
        <x:v>PRIMARY</x:v>
      </x:c>
      <x:c r="D96" s="28" t="str">
        <x:f>INDEX('Attempt Tokens'!$E$7:$E$36,MATCH(B96,'Attempt Tokens'!$B$7:$B$36,0))</x:f>
      </x:c>
      <x:c r="E96" s="28" t="str">
        <x:v>RP-09</x:v>
      </x:c>
      <x:c r="F96" s="28" t="n">
        <x:v>2</x:v>
      </x:c>
      <x:c r="G96" s="28" t="str">
        <x:f>IF(D96="","",IF(LEFT(D96,5)="RFP-A",IF(F96=1,"PTC-B","PTC-C"),IF(LEFT(D96,5)="RFP-B",IF(F96=1,"PTC-A","PTC-C"),IF(F96=1,"PTC-A","PTC-B"))))</x:f>
      </x:c>
      <x:c r="H96" s="29" t="str"/>
      <x:c r="I96" s="29" t="str"/>
      <x:c r="J96" s="29" t="str"/>
      <x:c r="K96" s="29" t="str"/>
      <x:c r="L96" s="29" t="str"/>
      <x:c r="M96" s="28" t="str">
        <x:f>IF(AND(C96="RESERVE",D96=""),"DORMANT",IF(L96="","OPEN",IF(AND(G96&lt;&gt;"",H96&lt;&gt;"",I96=H96,J96&lt;&gt;"",K96&lt;&gt;"",J96&lt;&gt;K96),"PASS","FAIL")))</x:f>
        <x:v>OPEN</x:v>
      </x:c>
    </x:row>
    <x:row r="97">
      <x:c r="B97" s="28" t="str">
        <x:v>AT-04</x:v>
      </x:c>
      <x:c r="C97" s="28" t="str">
        <x:v>PRIMARY</x:v>
      </x:c>
      <x:c r="D97" s="28" t="str">
        <x:f>INDEX('Attempt Tokens'!$E$7:$E$36,MATCH(B97,'Attempt Tokens'!$B$7:$B$36,0))</x:f>
      </x:c>
      <x:c r="E97" s="28" t="str">
        <x:v>RP-10</x:v>
      </x:c>
      <x:c r="F97" s="28" t="n">
        <x:v>1</x:v>
      </x:c>
      <x:c r="G97" s="28" t="str">
        <x:f>IF(D97="","",IF(LEFT(D97,5)="RFP-A",IF(F97=1,"PTC-B","PTC-C"),IF(LEFT(D97,5)="RFP-B",IF(F97=1,"PTC-A","PTC-C"),IF(F97=1,"PTC-A","PTC-B"))))</x:f>
      </x:c>
      <x:c r="H97" s="29" t="str"/>
      <x:c r="I97" s="29" t="str"/>
      <x:c r="J97" s="29" t="str"/>
      <x:c r="K97" s="29" t="str"/>
      <x:c r="L97" s="29" t="str"/>
      <x:c r="M97" s="28" t="str">
        <x:f>IF(AND(C97="RESERVE",D97=""),"DORMANT",IF(L97="","OPEN",IF(AND(G97&lt;&gt;"",H97&lt;&gt;"",I97=H97,J97&lt;&gt;"",K97&lt;&gt;"",J97&lt;&gt;K97),"PASS","FAIL")))</x:f>
        <x:v>OPEN</x:v>
      </x:c>
    </x:row>
    <x:row r="98">
      <x:c r="B98" s="28" t="str">
        <x:v>AT-04</x:v>
      </x:c>
      <x:c r="C98" s="28" t="str">
        <x:v>PRIMARY</x:v>
      </x:c>
      <x:c r="D98" s="28" t="str">
        <x:f>INDEX('Attempt Tokens'!$E$7:$E$36,MATCH(B98,'Attempt Tokens'!$B$7:$B$36,0))</x:f>
      </x:c>
      <x:c r="E98" s="28" t="str">
        <x:v>RP-10</x:v>
      </x:c>
      <x:c r="F98" s="28" t="n">
        <x:v>2</x:v>
      </x:c>
      <x:c r="G98" s="28" t="str">
        <x:f>IF(D98="","",IF(LEFT(D98,5)="RFP-A",IF(F98=1,"PTC-B","PTC-C"),IF(LEFT(D98,5)="RFP-B",IF(F98=1,"PTC-A","PTC-C"),IF(F98=1,"PTC-A","PTC-B"))))</x:f>
      </x:c>
      <x:c r="H98" s="29" t="str"/>
      <x:c r="I98" s="29" t="str"/>
      <x:c r="J98" s="29" t="str"/>
      <x:c r="K98" s="29" t="str"/>
      <x:c r="L98" s="29" t="str"/>
      <x:c r="M98" s="28" t="str">
        <x:f>IF(AND(C98="RESERVE",D98=""),"DORMANT",IF(L98="","OPEN",IF(AND(G98&lt;&gt;"",H98&lt;&gt;"",I98=H98,J98&lt;&gt;"",K98&lt;&gt;"",J98&lt;&gt;K98),"PASS","FAIL")))</x:f>
        <x:v>OPEN</x:v>
      </x:c>
    </x:row>
    <x:row r="99">
      <x:c r="B99" s="28" t="str">
        <x:v>AT-04</x:v>
      </x:c>
      <x:c r="C99" s="28" t="str">
        <x:v>PRIMARY</x:v>
      </x:c>
      <x:c r="D99" s="28" t="str">
        <x:f>INDEX('Attempt Tokens'!$E$7:$E$36,MATCH(B99,'Attempt Tokens'!$B$7:$B$36,0))</x:f>
      </x:c>
      <x:c r="E99" s="28" t="str">
        <x:v>RP-11</x:v>
      </x:c>
      <x:c r="F99" s="28" t="n">
        <x:v>1</x:v>
      </x:c>
      <x:c r="G99" s="28" t="str">
        <x:f>IF(D99="","",IF(LEFT(D99,5)="RFP-A",IF(F99=1,"PTC-B","PTC-C"),IF(LEFT(D99,5)="RFP-B",IF(F99=1,"PTC-A","PTC-C"),IF(F99=1,"PTC-A","PTC-B"))))</x:f>
      </x:c>
      <x:c r="H99" s="29" t="str"/>
      <x:c r="I99" s="29" t="str"/>
      <x:c r="J99" s="29" t="str"/>
      <x:c r="K99" s="29" t="str"/>
      <x:c r="L99" s="29" t="str"/>
      <x:c r="M99" s="28" t="str">
        <x:f>IF(AND(C99="RESERVE",D99=""),"DORMANT",IF(L99="","OPEN",IF(AND(G99&lt;&gt;"",H99&lt;&gt;"",I99=H99,J99&lt;&gt;"",K99&lt;&gt;"",J99&lt;&gt;K99),"PASS","FAIL")))</x:f>
        <x:v>OPEN</x:v>
      </x:c>
    </x:row>
    <x:row r="100">
      <x:c r="B100" s="28" t="str">
        <x:v>AT-04</x:v>
      </x:c>
      <x:c r="C100" s="28" t="str">
        <x:v>PRIMARY</x:v>
      </x:c>
      <x:c r="D100" s="28" t="str">
        <x:f>INDEX('Attempt Tokens'!$E$7:$E$36,MATCH(B100,'Attempt Tokens'!$B$7:$B$36,0))</x:f>
      </x:c>
      <x:c r="E100" s="28" t="str">
        <x:v>RP-11</x:v>
      </x:c>
      <x:c r="F100" s="28" t="n">
        <x:v>2</x:v>
      </x:c>
      <x:c r="G100" s="28" t="str">
        <x:f>IF(D100="","",IF(LEFT(D100,5)="RFP-A",IF(F100=1,"PTC-B","PTC-C"),IF(LEFT(D100,5)="RFP-B",IF(F100=1,"PTC-A","PTC-C"),IF(F100=1,"PTC-A","PTC-B"))))</x:f>
      </x:c>
      <x:c r="H100" s="29" t="str"/>
      <x:c r="I100" s="29" t="str"/>
      <x:c r="J100" s="29" t="str"/>
      <x:c r="K100" s="29" t="str"/>
      <x:c r="L100" s="29" t="str"/>
      <x:c r="M100" s="28" t="str">
        <x:f>IF(AND(C100="RESERVE",D100=""),"DORMANT",IF(L100="","OPEN",IF(AND(G100&lt;&gt;"",H100&lt;&gt;"",I100=H100,J100&lt;&gt;"",K100&lt;&gt;"",J100&lt;&gt;K100),"PASS","FAIL")))</x:f>
        <x:v>OPEN</x:v>
      </x:c>
    </x:row>
    <x:row r="101">
      <x:c r="B101" s="28" t="str">
        <x:v>AT-04</x:v>
      </x:c>
      <x:c r="C101" s="28" t="str">
        <x:v>PRIMARY</x:v>
      </x:c>
      <x:c r="D101" s="28" t="str">
        <x:f>INDEX('Attempt Tokens'!$E$7:$E$36,MATCH(B101,'Attempt Tokens'!$B$7:$B$36,0))</x:f>
      </x:c>
      <x:c r="E101" s="28" t="str">
        <x:v>RP-12</x:v>
      </x:c>
      <x:c r="F101" s="28" t="n">
        <x:v>1</x:v>
      </x:c>
      <x:c r="G101" s="28" t="str">
        <x:f>IF(D101="","",IF(LEFT(D101,5)="RFP-A",IF(F101=1,"PTC-B","PTC-C"),IF(LEFT(D101,5)="RFP-B",IF(F101=1,"PTC-A","PTC-C"),IF(F101=1,"PTC-A","PTC-B"))))</x:f>
      </x:c>
      <x:c r="H101" s="29" t="str"/>
      <x:c r="I101" s="29" t="str"/>
      <x:c r="J101" s="29" t="str"/>
      <x:c r="K101" s="29" t="str"/>
      <x:c r="L101" s="29" t="str"/>
      <x:c r="M101" s="28" t="str">
        <x:f>IF(AND(C101="RESERVE",D101=""),"DORMANT",IF(L101="","OPEN",IF(AND(G101&lt;&gt;"",H101&lt;&gt;"",I101=H101,J101&lt;&gt;"",K101&lt;&gt;"",J101&lt;&gt;K101),"PASS","FAIL")))</x:f>
        <x:v>OPEN</x:v>
      </x:c>
    </x:row>
    <x:row r="102">
      <x:c r="B102" s="28" t="str">
        <x:v>AT-04</x:v>
      </x:c>
      <x:c r="C102" s="28" t="str">
        <x:v>PRIMARY</x:v>
      </x:c>
      <x:c r="D102" s="28" t="str">
        <x:f>INDEX('Attempt Tokens'!$E$7:$E$36,MATCH(B102,'Attempt Tokens'!$B$7:$B$36,0))</x:f>
      </x:c>
      <x:c r="E102" s="28" t="str">
        <x:v>RP-12</x:v>
      </x:c>
      <x:c r="F102" s="28" t="n">
        <x:v>2</x:v>
      </x:c>
      <x:c r="G102" s="28" t="str">
        <x:f>IF(D102="","",IF(LEFT(D102,5)="RFP-A",IF(F102=1,"PTC-B","PTC-C"),IF(LEFT(D102,5)="RFP-B",IF(F102=1,"PTC-A","PTC-C"),IF(F102=1,"PTC-A","PTC-B"))))</x:f>
      </x:c>
      <x:c r="H102" s="29" t="str"/>
      <x:c r="I102" s="29" t="str"/>
      <x:c r="J102" s="29" t="str"/>
      <x:c r="K102" s="29" t="str"/>
      <x:c r="L102" s="29" t="str"/>
      <x:c r="M102" s="28" t="str">
        <x:f>IF(AND(C102="RESERVE",D102=""),"DORMANT",IF(L102="","OPEN",IF(AND(G102&lt;&gt;"",H102&lt;&gt;"",I102=H102,J102&lt;&gt;"",K102&lt;&gt;"",J102&lt;&gt;K102),"PASS","FAIL")))</x:f>
        <x:v>OPEN</x:v>
      </x:c>
    </x:row>
    <x:row r="103">
      <x:c r="B103" s="28" t="str">
        <x:v>AT-05</x:v>
      </x:c>
      <x:c r="C103" s="28" t="str">
        <x:v>PRIMARY</x:v>
      </x:c>
      <x:c r="D103" s="28" t="str">
        <x:f>INDEX('Attempt Tokens'!$E$7:$E$36,MATCH(B103,'Attempt Tokens'!$B$7:$B$36,0))</x:f>
      </x:c>
      <x:c r="E103" s="28" t="str">
        <x:v>RP-01</x:v>
      </x:c>
      <x:c r="F103" s="28" t="n">
        <x:v>1</x:v>
      </x:c>
      <x:c r="G103" s="28" t="str">
        <x:f>IF(D103="","",IF(LEFT(D103,5)="RFP-A",IF(F103=1,"PTC-B","PTC-C"),IF(LEFT(D103,5)="RFP-B",IF(F103=1,"PTC-A","PTC-C"),IF(F103=1,"PTC-A","PTC-B"))))</x:f>
      </x:c>
      <x:c r="H103" s="29" t="str"/>
      <x:c r="I103" s="29" t="str"/>
      <x:c r="J103" s="29" t="str"/>
      <x:c r="K103" s="29" t="str"/>
      <x:c r="L103" s="29" t="str"/>
      <x:c r="M103" s="28" t="str">
        <x:f>IF(AND(C103="RESERVE",D103=""),"DORMANT",IF(L103="","OPEN",IF(AND(G103&lt;&gt;"",H103&lt;&gt;"",I103=H103,J103&lt;&gt;"",K103&lt;&gt;"",J103&lt;&gt;K103),"PASS","FAIL")))</x:f>
        <x:v>OPEN</x:v>
      </x:c>
    </x:row>
    <x:row r="104">
      <x:c r="B104" s="28" t="str">
        <x:v>AT-05</x:v>
      </x:c>
      <x:c r="C104" s="28" t="str">
        <x:v>PRIMARY</x:v>
      </x:c>
      <x:c r="D104" s="28" t="str">
        <x:f>INDEX('Attempt Tokens'!$E$7:$E$36,MATCH(B104,'Attempt Tokens'!$B$7:$B$36,0))</x:f>
      </x:c>
      <x:c r="E104" s="28" t="str">
        <x:v>RP-01</x:v>
      </x:c>
      <x:c r="F104" s="28" t="n">
        <x:v>2</x:v>
      </x:c>
      <x:c r="G104" s="28" t="str">
        <x:f>IF(D104="","",IF(LEFT(D104,5)="RFP-A",IF(F104=1,"PTC-B","PTC-C"),IF(LEFT(D104,5)="RFP-B",IF(F104=1,"PTC-A","PTC-C"),IF(F104=1,"PTC-A","PTC-B"))))</x:f>
      </x:c>
      <x:c r="H104" s="29" t="str"/>
      <x:c r="I104" s="29" t="str"/>
      <x:c r="J104" s="29" t="str"/>
      <x:c r="K104" s="29" t="str"/>
      <x:c r="L104" s="29" t="str"/>
      <x:c r="M104" s="28" t="str">
        <x:f>IF(AND(C104="RESERVE",D104=""),"DORMANT",IF(L104="","OPEN",IF(AND(G104&lt;&gt;"",H104&lt;&gt;"",I104=H104,J104&lt;&gt;"",K104&lt;&gt;"",J104&lt;&gt;K104),"PASS","FAIL")))</x:f>
        <x:v>OPEN</x:v>
      </x:c>
    </x:row>
    <x:row r="105">
      <x:c r="B105" s="28" t="str">
        <x:v>AT-05</x:v>
      </x:c>
      <x:c r="C105" s="28" t="str">
        <x:v>PRIMARY</x:v>
      </x:c>
      <x:c r="D105" s="28" t="str">
        <x:f>INDEX('Attempt Tokens'!$E$7:$E$36,MATCH(B105,'Attempt Tokens'!$B$7:$B$36,0))</x:f>
      </x:c>
      <x:c r="E105" s="28" t="str">
        <x:v>RP-02</x:v>
      </x:c>
      <x:c r="F105" s="28" t="n">
        <x:v>1</x:v>
      </x:c>
      <x:c r="G105" s="28" t="str">
        <x:f>IF(D105="","",IF(LEFT(D105,5)="RFP-A",IF(F105=1,"PTC-B","PTC-C"),IF(LEFT(D105,5)="RFP-B",IF(F105=1,"PTC-A","PTC-C"),IF(F105=1,"PTC-A","PTC-B"))))</x:f>
      </x:c>
      <x:c r="H105" s="29" t="str"/>
      <x:c r="I105" s="29" t="str"/>
      <x:c r="J105" s="29" t="str"/>
      <x:c r="K105" s="29" t="str"/>
      <x:c r="L105" s="29" t="str"/>
      <x:c r="M105" s="28" t="str">
        <x:f>IF(AND(C105="RESERVE",D105=""),"DORMANT",IF(L105="","OPEN",IF(AND(G105&lt;&gt;"",H105&lt;&gt;"",I105=H105,J105&lt;&gt;"",K105&lt;&gt;"",J105&lt;&gt;K105),"PASS","FAIL")))</x:f>
        <x:v>OPEN</x:v>
      </x:c>
    </x:row>
    <x:row r="106">
      <x:c r="B106" s="28" t="str">
        <x:v>AT-05</x:v>
      </x:c>
      <x:c r="C106" s="28" t="str">
        <x:v>PRIMARY</x:v>
      </x:c>
      <x:c r="D106" s="28" t="str">
        <x:f>INDEX('Attempt Tokens'!$E$7:$E$36,MATCH(B106,'Attempt Tokens'!$B$7:$B$36,0))</x:f>
      </x:c>
      <x:c r="E106" s="28" t="str">
        <x:v>RP-02</x:v>
      </x:c>
      <x:c r="F106" s="28" t="n">
        <x:v>2</x:v>
      </x:c>
      <x:c r="G106" s="28" t="str">
        <x:f>IF(D106="","",IF(LEFT(D106,5)="RFP-A",IF(F106=1,"PTC-B","PTC-C"),IF(LEFT(D106,5)="RFP-B",IF(F106=1,"PTC-A","PTC-C"),IF(F106=1,"PTC-A","PTC-B"))))</x:f>
      </x:c>
      <x:c r="H106" s="29" t="str"/>
      <x:c r="I106" s="29" t="str"/>
      <x:c r="J106" s="29" t="str"/>
      <x:c r="K106" s="29" t="str"/>
      <x:c r="L106" s="29" t="str"/>
      <x:c r="M106" s="28" t="str">
        <x:f>IF(AND(C106="RESERVE",D106=""),"DORMANT",IF(L106="","OPEN",IF(AND(G106&lt;&gt;"",H106&lt;&gt;"",I106=H106,J106&lt;&gt;"",K106&lt;&gt;"",J106&lt;&gt;K106),"PASS","FAIL")))</x:f>
        <x:v>OPEN</x:v>
      </x:c>
    </x:row>
    <x:row r="107">
      <x:c r="B107" s="28" t="str">
        <x:v>AT-05</x:v>
      </x:c>
      <x:c r="C107" s="28" t="str">
        <x:v>PRIMARY</x:v>
      </x:c>
      <x:c r="D107" s="28" t="str">
        <x:f>INDEX('Attempt Tokens'!$E$7:$E$36,MATCH(B107,'Attempt Tokens'!$B$7:$B$36,0))</x:f>
      </x:c>
      <x:c r="E107" s="28" t="str">
        <x:v>RP-03</x:v>
      </x:c>
      <x:c r="F107" s="28" t="n">
        <x:v>1</x:v>
      </x:c>
      <x:c r="G107" s="28" t="str">
        <x:f>IF(D107="","",IF(LEFT(D107,5)="RFP-A",IF(F107=1,"PTC-B","PTC-C"),IF(LEFT(D107,5)="RFP-B",IF(F107=1,"PTC-A","PTC-C"),IF(F107=1,"PTC-A","PTC-B"))))</x:f>
      </x:c>
      <x:c r="H107" s="29" t="str"/>
      <x:c r="I107" s="29" t="str"/>
      <x:c r="J107" s="29" t="str"/>
      <x:c r="K107" s="29" t="str"/>
      <x:c r="L107" s="29" t="str"/>
      <x:c r="M107" s="28" t="str">
        <x:f>IF(AND(C107="RESERVE",D107=""),"DORMANT",IF(L107="","OPEN",IF(AND(G107&lt;&gt;"",H107&lt;&gt;"",I107=H107,J107&lt;&gt;"",K107&lt;&gt;"",J107&lt;&gt;K107),"PASS","FAIL")))</x:f>
        <x:v>OPEN</x:v>
      </x:c>
    </x:row>
    <x:row r="108">
      <x:c r="B108" s="28" t="str">
        <x:v>AT-05</x:v>
      </x:c>
      <x:c r="C108" s="28" t="str">
        <x:v>PRIMARY</x:v>
      </x:c>
      <x:c r="D108" s="28" t="str">
        <x:f>INDEX('Attempt Tokens'!$E$7:$E$36,MATCH(B108,'Attempt Tokens'!$B$7:$B$36,0))</x:f>
      </x:c>
      <x:c r="E108" s="28" t="str">
        <x:v>RP-03</x:v>
      </x:c>
      <x:c r="F108" s="28" t="n">
        <x:v>2</x:v>
      </x:c>
      <x:c r="G108" s="28" t="str">
        <x:f>IF(D108="","",IF(LEFT(D108,5)="RFP-A",IF(F108=1,"PTC-B","PTC-C"),IF(LEFT(D108,5)="RFP-B",IF(F108=1,"PTC-A","PTC-C"),IF(F108=1,"PTC-A","PTC-B"))))</x:f>
      </x:c>
      <x:c r="H108" s="29" t="str"/>
      <x:c r="I108" s="29" t="str"/>
      <x:c r="J108" s="29" t="str"/>
      <x:c r="K108" s="29" t="str"/>
      <x:c r="L108" s="29" t="str"/>
      <x:c r="M108" s="28" t="str">
        <x:f>IF(AND(C108="RESERVE",D108=""),"DORMANT",IF(L108="","OPEN",IF(AND(G108&lt;&gt;"",H108&lt;&gt;"",I108=H108,J108&lt;&gt;"",K108&lt;&gt;"",J108&lt;&gt;K108),"PASS","FAIL")))</x:f>
        <x:v>OPEN</x:v>
      </x:c>
    </x:row>
    <x:row r="109">
      <x:c r="B109" s="28" t="str">
        <x:v>AT-05</x:v>
      </x:c>
      <x:c r="C109" s="28" t="str">
        <x:v>PRIMARY</x:v>
      </x:c>
      <x:c r="D109" s="28" t="str">
        <x:f>INDEX('Attempt Tokens'!$E$7:$E$36,MATCH(B109,'Attempt Tokens'!$B$7:$B$36,0))</x:f>
      </x:c>
      <x:c r="E109" s="28" t="str">
        <x:v>RP-04</x:v>
      </x:c>
      <x:c r="F109" s="28" t="n">
        <x:v>1</x:v>
      </x:c>
      <x:c r="G109" s="28" t="str">
        <x:f>IF(D109="","",IF(LEFT(D109,5)="RFP-A",IF(F109=1,"PTC-B","PTC-C"),IF(LEFT(D109,5)="RFP-B",IF(F109=1,"PTC-A","PTC-C"),IF(F109=1,"PTC-A","PTC-B"))))</x:f>
      </x:c>
      <x:c r="H109" s="29" t="str"/>
      <x:c r="I109" s="29" t="str"/>
      <x:c r="J109" s="29" t="str"/>
      <x:c r="K109" s="29" t="str"/>
      <x:c r="L109" s="29" t="str"/>
      <x:c r="M109" s="28" t="str">
        <x:f>IF(AND(C109="RESERVE",D109=""),"DORMANT",IF(L109="","OPEN",IF(AND(G109&lt;&gt;"",H109&lt;&gt;"",I109=H109,J109&lt;&gt;"",K109&lt;&gt;"",J109&lt;&gt;K109),"PASS","FAIL")))</x:f>
        <x:v>OPEN</x:v>
      </x:c>
    </x:row>
    <x:row r="110">
      <x:c r="B110" s="28" t="str">
        <x:v>AT-05</x:v>
      </x:c>
      <x:c r="C110" s="28" t="str">
        <x:v>PRIMARY</x:v>
      </x:c>
      <x:c r="D110" s="28" t="str">
        <x:f>INDEX('Attempt Tokens'!$E$7:$E$36,MATCH(B110,'Attempt Tokens'!$B$7:$B$36,0))</x:f>
      </x:c>
      <x:c r="E110" s="28" t="str">
        <x:v>RP-04</x:v>
      </x:c>
      <x:c r="F110" s="28" t="n">
        <x:v>2</x:v>
      </x:c>
      <x:c r="G110" s="28" t="str">
        <x:f>IF(D110="","",IF(LEFT(D110,5)="RFP-A",IF(F110=1,"PTC-B","PTC-C"),IF(LEFT(D110,5)="RFP-B",IF(F110=1,"PTC-A","PTC-C"),IF(F110=1,"PTC-A","PTC-B"))))</x:f>
      </x:c>
      <x:c r="H110" s="29" t="str"/>
      <x:c r="I110" s="29" t="str"/>
      <x:c r="J110" s="29" t="str"/>
      <x:c r="K110" s="29" t="str"/>
      <x:c r="L110" s="29" t="str"/>
      <x:c r="M110" s="28" t="str">
        <x:f>IF(AND(C110="RESERVE",D110=""),"DORMANT",IF(L110="","OPEN",IF(AND(G110&lt;&gt;"",H110&lt;&gt;"",I110=H110,J110&lt;&gt;"",K110&lt;&gt;"",J110&lt;&gt;K110),"PASS","FAIL")))</x:f>
        <x:v>OPEN</x:v>
      </x:c>
    </x:row>
    <x:row r="111">
      <x:c r="B111" s="28" t="str">
        <x:v>AT-05</x:v>
      </x:c>
      <x:c r="C111" s="28" t="str">
        <x:v>PRIMARY</x:v>
      </x:c>
      <x:c r="D111" s="28" t="str">
        <x:f>INDEX('Attempt Tokens'!$E$7:$E$36,MATCH(B111,'Attempt Tokens'!$B$7:$B$36,0))</x:f>
      </x:c>
      <x:c r="E111" s="28" t="str">
        <x:v>RP-05</x:v>
      </x:c>
      <x:c r="F111" s="28" t="n">
        <x:v>1</x:v>
      </x:c>
      <x:c r="G111" s="28" t="str">
        <x:f>IF(D111="","",IF(LEFT(D111,5)="RFP-A",IF(F111=1,"PTC-B","PTC-C"),IF(LEFT(D111,5)="RFP-B",IF(F111=1,"PTC-A","PTC-C"),IF(F111=1,"PTC-A","PTC-B"))))</x:f>
      </x:c>
      <x:c r="H111" s="29" t="str"/>
      <x:c r="I111" s="29" t="str"/>
      <x:c r="J111" s="29" t="str"/>
      <x:c r="K111" s="29" t="str"/>
      <x:c r="L111" s="29" t="str"/>
      <x:c r="M111" s="28" t="str">
        <x:f>IF(AND(C111="RESERVE",D111=""),"DORMANT",IF(L111="","OPEN",IF(AND(G111&lt;&gt;"",H111&lt;&gt;"",I111=H111,J111&lt;&gt;"",K111&lt;&gt;"",J111&lt;&gt;K111),"PASS","FAIL")))</x:f>
        <x:v>OPEN</x:v>
      </x:c>
    </x:row>
    <x:row r="112">
      <x:c r="B112" s="28" t="str">
        <x:v>AT-05</x:v>
      </x:c>
      <x:c r="C112" s="28" t="str">
        <x:v>PRIMARY</x:v>
      </x:c>
      <x:c r="D112" s="28" t="str">
        <x:f>INDEX('Attempt Tokens'!$E$7:$E$36,MATCH(B112,'Attempt Tokens'!$B$7:$B$36,0))</x:f>
      </x:c>
      <x:c r="E112" s="28" t="str">
        <x:v>RP-05</x:v>
      </x:c>
      <x:c r="F112" s="28" t="n">
        <x:v>2</x:v>
      </x:c>
      <x:c r="G112" s="28" t="str">
        <x:f>IF(D112="","",IF(LEFT(D112,5)="RFP-A",IF(F112=1,"PTC-B","PTC-C"),IF(LEFT(D112,5)="RFP-B",IF(F112=1,"PTC-A","PTC-C"),IF(F112=1,"PTC-A","PTC-B"))))</x:f>
      </x:c>
      <x:c r="H112" s="29" t="str"/>
      <x:c r="I112" s="29" t="str"/>
      <x:c r="J112" s="29" t="str"/>
      <x:c r="K112" s="29" t="str"/>
      <x:c r="L112" s="29" t="str"/>
      <x:c r="M112" s="28" t="str">
        <x:f>IF(AND(C112="RESERVE",D112=""),"DORMANT",IF(L112="","OPEN",IF(AND(G112&lt;&gt;"",H112&lt;&gt;"",I112=H112,J112&lt;&gt;"",K112&lt;&gt;"",J112&lt;&gt;K112),"PASS","FAIL")))</x:f>
        <x:v>OPEN</x:v>
      </x:c>
    </x:row>
    <x:row r="113">
      <x:c r="B113" s="28" t="str">
        <x:v>AT-05</x:v>
      </x:c>
      <x:c r="C113" s="28" t="str">
        <x:v>PRIMARY</x:v>
      </x:c>
      <x:c r="D113" s="28" t="str">
        <x:f>INDEX('Attempt Tokens'!$E$7:$E$36,MATCH(B113,'Attempt Tokens'!$B$7:$B$36,0))</x:f>
      </x:c>
      <x:c r="E113" s="28" t="str">
        <x:v>RP-06</x:v>
      </x:c>
      <x:c r="F113" s="28" t="n">
        <x:v>1</x:v>
      </x:c>
      <x:c r="G113" s="28" t="str">
        <x:f>IF(D113="","",IF(LEFT(D113,5)="RFP-A",IF(F113=1,"PTC-B","PTC-C"),IF(LEFT(D113,5)="RFP-B",IF(F113=1,"PTC-A","PTC-C"),IF(F113=1,"PTC-A","PTC-B"))))</x:f>
      </x:c>
      <x:c r="H113" s="29" t="str"/>
      <x:c r="I113" s="29" t="str"/>
      <x:c r="J113" s="29" t="str"/>
      <x:c r="K113" s="29" t="str"/>
      <x:c r="L113" s="29" t="str"/>
      <x:c r="M113" s="28" t="str">
        <x:f>IF(AND(C113="RESERVE",D113=""),"DORMANT",IF(L113="","OPEN",IF(AND(G113&lt;&gt;"",H113&lt;&gt;"",I113=H113,J113&lt;&gt;"",K113&lt;&gt;"",J113&lt;&gt;K113),"PASS","FAIL")))</x:f>
        <x:v>OPEN</x:v>
      </x:c>
    </x:row>
    <x:row r="114">
      <x:c r="B114" s="28" t="str">
        <x:v>AT-05</x:v>
      </x:c>
      <x:c r="C114" s="28" t="str">
        <x:v>PRIMARY</x:v>
      </x:c>
      <x:c r="D114" s="28" t="str">
        <x:f>INDEX('Attempt Tokens'!$E$7:$E$36,MATCH(B114,'Attempt Tokens'!$B$7:$B$36,0))</x:f>
      </x:c>
      <x:c r="E114" s="28" t="str">
        <x:v>RP-06</x:v>
      </x:c>
      <x:c r="F114" s="28" t="n">
        <x:v>2</x:v>
      </x:c>
      <x:c r="G114" s="28" t="str">
        <x:f>IF(D114="","",IF(LEFT(D114,5)="RFP-A",IF(F114=1,"PTC-B","PTC-C"),IF(LEFT(D114,5)="RFP-B",IF(F114=1,"PTC-A","PTC-C"),IF(F114=1,"PTC-A","PTC-B"))))</x:f>
      </x:c>
      <x:c r="H114" s="29" t="str"/>
      <x:c r="I114" s="29" t="str"/>
      <x:c r="J114" s="29" t="str"/>
      <x:c r="K114" s="29" t="str"/>
      <x:c r="L114" s="29" t="str"/>
      <x:c r="M114" s="28" t="str">
        <x:f>IF(AND(C114="RESERVE",D114=""),"DORMANT",IF(L114="","OPEN",IF(AND(G114&lt;&gt;"",H114&lt;&gt;"",I114=H114,J114&lt;&gt;"",K114&lt;&gt;"",J114&lt;&gt;K114),"PASS","FAIL")))</x:f>
        <x:v>OPEN</x:v>
      </x:c>
    </x:row>
    <x:row r="115">
      <x:c r="B115" s="28" t="str">
        <x:v>AT-05</x:v>
      </x:c>
      <x:c r="C115" s="28" t="str">
        <x:v>PRIMARY</x:v>
      </x:c>
      <x:c r="D115" s="28" t="str">
        <x:f>INDEX('Attempt Tokens'!$E$7:$E$36,MATCH(B115,'Attempt Tokens'!$B$7:$B$36,0))</x:f>
      </x:c>
      <x:c r="E115" s="28" t="str">
        <x:v>RP-07</x:v>
      </x:c>
      <x:c r="F115" s="28" t="n">
        <x:v>1</x:v>
      </x:c>
      <x:c r="G115" s="28" t="str">
        <x:f>IF(D115="","",IF(LEFT(D115,5)="RFP-A",IF(F115=1,"PTC-B","PTC-C"),IF(LEFT(D115,5)="RFP-B",IF(F115=1,"PTC-A","PTC-C"),IF(F115=1,"PTC-A","PTC-B"))))</x:f>
      </x:c>
      <x:c r="H115" s="29" t="str"/>
      <x:c r="I115" s="29" t="str"/>
      <x:c r="J115" s="29" t="str"/>
      <x:c r="K115" s="29" t="str"/>
      <x:c r="L115" s="29" t="str"/>
      <x:c r="M115" s="28" t="str">
        <x:f>IF(AND(C115="RESERVE",D115=""),"DORMANT",IF(L115="","OPEN",IF(AND(G115&lt;&gt;"",H115&lt;&gt;"",I115=H115,J115&lt;&gt;"",K115&lt;&gt;"",J115&lt;&gt;K115),"PASS","FAIL")))</x:f>
        <x:v>OPEN</x:v>
      </x:c>
    </x:row>
    <x:row r="116">
      <x:c r="B116" s="28" t="str">
        <x:v>AT-05</x:v>
      </x:c>
      <x:c r="C116" s="28" t="str">
        <x:v>PRIMARY</x:v>
      </x:c>
      <x:c r="D116" s="28" t="str">
        <x:f>INDEX('Attempt Tokens'!$E$7:$E$36,MATCH(B116,'Attempt Tokens'!$B$7:$B$36,0))</x:f>
      </x:c>
      <x:c r="E116" s="28" t="str">
        <x:v>RP-07</x:v>
      </x:c>
      <x:c r="F116" s="28" t="n">
        <x:v>2</x:v>
      </x:c>
      <x:c r="G116" s="28" t="str">
        <x:f>IF(D116="","",IF(LEFT(D116,5)="RFP-A",IF(F116=1,"PTC-B","PTC-C"),IF(LEFT(D116,5)="RFP-B",IF(F116=1,"PTC-A","PTC-C"),IF(F116=1,"PTC-A","PTC-B"))))</x:f>
      </x:c>
      <x:c r="H116" s="29" t="str"/>
      <x:c r="I116" s="29" t="str"/>
      <x:c r="J116" s="29" t="str"/>
      <x:c r="K116" s="29" t="str"/>
      <x:c r="L116" s="29" t="str"/>
      <x:c r="M116" s="28" t="str">
        <x:f>IF(AND(C116="RESERVE",D116=""),"DORMANT",IF(L116="","OPEN",IF(AND(G116&lt;&gt;"",H116&lt;&gt;"",I116=H116,J116&lt;&gt;"",K116&lt;&gt;"",J116&lt;&gt;K116),"PASS","FAIL")))</x:f>
        <x:v>OPEN</x:v>
      </x:c>
    </x:row>
    <x:row r="117">
      <x:c r="B117" s="28" t="str">
        <x:v>AT-05</x:v>
      </x:c>
      <x:c r="C117" s="28" t="str">
        <x:v>PRIMARY</x:v>
      </x:c>
      <x:c r="D117" s="28" t="str">
        <x:f>INDEX('Attempt Tokens'!$E$7:$E$36,MATCH(B117,'Attempt Tokens'!$B$7:$B$36,0))</x:f>
      </x:c>
      <x:c r="E117" s="28" t="str">
        <x:v>RP-08</x:v>
      </x:c>
      <x:c r="F117" s="28" t="n">
        <x:v>1</x:v>
      </x:c>
      <x:c r="G117" s="28" t="str">
        <x:f>IF(D117="","",IF(LEFT(D117,5)="RFP-A",IF(F117=1,"PTC-B","PTC-C"),IF(LEFT(D117,5)="RFP-B",IF(F117=1,"PTC-A","PTC-C"),IF(F117=1,"PTC-A","PTC-B"))))</x:f>
      </x:c>
      <x:c r="H117" s="29" t="str"/>
      <x:c r="I117" s="29" t="str"/>
      <x:c r="J117" s="29" t="str"/>
      <x:c r="K117" s="29" t="str"/>
      <x:c r="L117" s="29" t="str"/>
      <x:c r="M117" s="28" t="str">
        <x:f>IF(AND(C117="RESERVE",D117=""),"DORMANT",IF(L117="","OPEN",IF(AND(G117&lt;&gt;"",H117&lt;&gt;"",I117=H117,J117&lt;&gt;"",K117&lt;&gt;"",J117&lt;&gt;K117),"PASS","FAIL")))</x:f>
        <x:v>OPEN</x:v>
      </x:c>
    </x:row>
    <x:row r="118">
      <x:c r="B118" s="28" t="str">
        <x:v>AT-05</x:v>
      </x:c>
      <x:c r="C118" s="28" t="str">
        <x:v>PRIMARY</x:v>
      </x:c>
      <x:c r="D118" s="28" t="str">
        <x:f>INDEX('Attempt Tokens'!$E$7:$E$36,MATCH(B118,'Attempt Tokens'!$B$7:$B$36,0))</x:f>
      </x:c>
      <x:c r="E118" s="28" t="str">
        <x:v>RP-08</x:v>
      </x:c>
      <x:c r="F118" s="28" t="n">
        <x:v>2</x:v>
      </x:c>
      <x:c r="G118" s="28" t="str">
        <x:f>IF(D118="","",IF(LEFT(D118,5)="RFP-A",IF(F118=1,"PTC-B","PTC-C"),IF(LEFT(D118,5)="RFP-B",IF(F118=1,"PTC-A","PTC-C"),IF(F118=1,"PTC-A","PTC-B"))))</x:f>
      </x:c>
      <x:c r="H118" s="29" t="str"/>
      <x:c r="I118" s="29" t="str"/>
      <x:c r="J118" s="29" t="str"/>
      <x:c r="K118" s="29" t="str"/>
      <x:c r="L118" s="29" t="str"/>
      <x:c r="M118" s="28" t="str">
        <x:f>IF(AND(C118="RESERVE",D118=""),"DORMANT",IF(L118="","OPEN",IF(AND(G118&lt;&gt;"",H118&lt;&gt;"",I118=H118,J118&lt;&gt;"",K118&lt;&gt;"",J118&lt;&gt;K118),"PASS","FAIL")))</x:f>
        <x:v>OPEN</x:v>
      </x:c>
    </x:row>
    <x:row r="119">
      <x:c r="B119" s="28" t="str">
        <x:v>AT-05</x:v>
      </x:c>
      <x:c r="C119" s="28" t="str">
        <x:v>PRIMARY</x:v>
      </x:c>
      <x:c r="D119" s="28" t="str">
        <x:f>INDEX('Attempt Tokens'!$E$7:$E$36,MATCH(B119,'Attempt Tokens'!$B$7:$B$36,0))</x:f>
      </x:c>
      <x:c r="E119" s="28" t="str">
        <x:v>RP-09</x:v>
      </x:c>
      <x:c r="F119" s="28" t="n">
        <x:v>1</x:v>
      </x:c>
      <x:c r="G119" s="28" t="str">
        <x:f>IF(D119="","",IF(LEFT(D119,5)="RFP-A",IF(F119=1,"PTC-B","PTC-C"),IF(LEFT(D119,5)="RFP-B",IF(F119=1,"PTC-A","PTC-C"),IF(F119=1,"PTC-A","PTC-B"))))</x:f>
      </x:c>
      <x:c r="H119" s="29" t="str"/>
      <x:c r="I119" s="29" t="str"/>
      <x:c r="J119" s="29" t="str"/>
      <x:c r="K119" s="29" t="str"/>
      <x:c r="L119" s="29" t="str"/>
      <x:c r="M119" s="28" t="str">
        <x:f>IF(AND(C119="RESERVE",D119=""),"DORMANT",IF(L119="","OPEN",IF(AND(G119&lt;&gt;"",H119&lt;&gt;"",I119=H119,J119&lt;&gt;"",K119&lt;&gt;"",J119&lt;&gt;K119),"PASS","FAIL")))</x:f>
        <x:v>OPEN</x:v>
      </x:c>
    </x:row>
    <x:row r="120">
      <x:c r="B120" s="28" t="str">
        <x:v>AT-05</x:v>
      </x:c>
      <x:c r="C120" s="28" t="str">
        <x:v>PRIMARY</x:v>
      </x:c>
      <x:c r="D120" s="28" t="str">
        <x:f>INDEX('Attempt Tokens'!$E$7:$E$36,MATCH(B120,'Attempt Tokens'!$B$7:$B$36,0))</x:f>
      </x:c>
      <x:c r="E120" s="28" t="str">
        <x:v>RP-09</x:v>
      </x:c>
      <x:c r="F120" s="28" t="n">
        <x:v>2</x:v>
      </x:c>
      <x:c r="G120" s="28" t="str">
        <x:f>IF(D120="","",IF(LEFT(D120,5)="RFP-A",IF(F120=1,"PTC-B","PTC-C"),IF(LEFT(D120,5)="RFP-B",IF(F120=1,"PTC-A","PTC-C"),IF(F120=1,"PTC-A","PTC-B"))))</x:f>
      </x:c>
      <x:c r="H120" s="29" t="str"/>
      <x:c r="I120" s="29" t="str"/>
      <x:c r="J120" s="29" t="str"/>
      <x:c r="K120" s="29" t="str"/>
      <x:c r="L120" s="29" t="str"/>
      <x:c r="M120" s="28" t="str">
        <x:f>IF(AND(C120="RESERVE",D120=""),"DORMANT",IF(L120="","OPEN",IF(AND(G120&lt;&gt;"",H120&lt;&gt;"",I120=H120,J120&lt;&gt;"",K120&lt;&gt;"",J120&lt;&gt;K120),"PASS","FAIL")))</x:f>
        <x:v>OPEN</x:v>
      </x:c>
    </x:row>
    <x:row r="121">
      <x:c r="B121" s="28" t="str">
        <x:v>AT-05</x:v>
      </x:c>
      <x:c r="C121" s="28" t="str">
        <x:v>PRIMARY</x:v>
      </x:c>
      <x:c r="D121" s="28" t="str">
        <x:f>INDEX('Attempt Tokens'!$E$7:$E$36,MATCH(B121,'Attempt Tokens'!$B$7:$B$36,0))</x:f>
      </x:c>
      <x:c r="E121" s="28" t="str">
        <x:v>RP-10</x:v>
      </x:c>
      <x:c r="F121" s="28" t="n">
        <x:v>1</x:v>
      </x:c>
      <x:c r="G121" s="28" t="str">
        <x:f>IF(D121="","",IF(LEFT(D121,5)="RFP-A",IF(F121=1,"PTC-B","PTC-C"),IF(LEFT(D121,5)="RFP-B",IF(F121=1,"PTC-A","PTC-C"),IF(F121=1,"PTC-A","PTC-B"))))</x:f>
      </x:c>
      <x:c r="H121" s="29" t="str"/>
      <x:c r="I121" s="29" t="str"/>
      <x:c r="J121" s="29" t="str"/>
      <x:c r="K121" s="29" t="str"/>
      <x:c r="L121" s="29" t="str"/>
      <x:c r="M121" s="28" t="str">
        <x:f>IF(AND(C121="RESERVE",D121=""),"DORMANT",IF(L121="","OPEN",IF(AND(G121&lt;&gt;"",H121&lt;&gt;"",I121=H121,J121&lt;&gt;"",K121&lt;&gt;"",J121&lt;&gt;K121),"PASS","FAIL")))</x:f>
        <x:v>OPEN</x:v>
      </x:c>
    </x:row>
    <x:row r="122">
      <x:c r="B122" s="28" t="str">
        <x:v>AT-05</x:v>
      </x:c>
      <x:c r="C122" s="28" t="str">
        <x:v>PRIMARY</x:v>
      </x:c>
      <x:c r="D122" s="28" t="str">
        <x:f>INDEX('Attempt Tokens'!$E$7:$E$36,MATCH(B122,'Attempt Tokens'!$B$7:$B$36,0))</x:f>
      </x:c>
      <x:c r="E122" s="28" t="str">
        <x:v>RP-10</x:v>
      </x:c>
      <x:c r="F122" s="28" t="n">
        <x:v>2</x:v>
      </x:c>
      <x:c r="G122" s="28" t="str">
        <x:f>IF(D122="","",IF(LEFT(D122,5)="RFP-A",IF(F122=1,"PTC-B","PTC-C"),IF(LEFT(D122,5)="RFP-B",IF(F122=1,"PTC-A","PTC-C"),IF(F122=1,"PTC-A","PTC-B"))))</x:f>
      </x:c>
      <x:c r="H122" s="29" t="str"/>
      <x:c r="I122" s="29" t="str"/>
      <x:c r="J122" s="29" t="str"/>
      <x:c r="K122" s="29" t="str"/>
      <x:c r="L122" s="29" t="str"/>
      <x:c r="M122" s="28" t="str">
        <x:f>IF(AND(C122="RESERVE",D122=""),"DORMANT",IF(L122="","OPEN",IF(AND(G122&lt;&gt;"",H122&lt;&gt;"",I122=H122,J122&lt;&gt;"",K122&lt;&gt;"",J122&lt;&gt;K122),"PASS","FAIL")))</x:f>
        <x:v>OPEN</x:v>
      </x:c>
    </x:row>
    <x:row r="123">
      <x:c r="B123" s="28" t="str">
        <x:v>AT-05</x:v>
      </x:c>
      <x:c r="C123" s="28" t="str">
        <x:v>PRIMARY</x:v>
      </x:c>
      <x:c r="D123" s="28" t="str">
        <x:f>INDEX('Attempt Tokens'!$E$7:$E$36,MATCH(B123,'Attempt Tokens'!$B$7:$B$36,0))</x:f>
      </x:c>
      <x:c r="E123" s="28" t="str">
        <x:v>RP-11</x:v>
      </x:c>
      <x:c r="F123" s="28" t="n">
        <x:v>1</x:v>
      </x:c>
      <x:c r="G123" s="28" t="str">
        <x:f>IF(D123="","",IF(LEFT(D123,5)="RFP-A",IF(F123=1,"PTC-B","PTC-C"),IF(LEFT(D123,5)="RFP-B",IF(F123=1,"PTC-A","PTC-C"),IF(F123=1,"PTC-A","PTC-B"))))</x:f>
      </x:c>
      <x:c r="H123" s="29" t="str"/>
      <x:c r="I123" s="29" t="str"/>
      <x:c r="J123" s="29" t="str"/>
      <x:c r="K123" s="29" t="str"/>
      <x:c r="L123" s="29" t="str"/>
      <x:c r="M123" s="28" t="str">
        <x:f>IF(AND(C123="RESERVE",D123=""),"DORMANT",IF(L123="","OPEN",IF(AND(G123&lt;&gt;"",H123&lt;&gt;"",I123=H123,J123&lt;&gt;"",K123&lt;&gt;"",J123&lt;&gt;K123),"PASS","FAIL")))</x:f>
        <x:v>OPEN</x:v>
      </x:c>
    </x:row>
    <x:row r="124">
      <x:c r="B124" s="28" t="str">
        <x:v>AT-05</x:v>
      </x:c>
      <x:c r="C124" s="28" t="str">
        <x:v>PRIMARY</x:v>
      </x:c>
      <x:c r="D124" s="28" t="str">
        <x:f>INDEX('Attempt Tokens'!$E$7:$E$36,MATCH(B124,'Attempt Tokens'!$B$7:$B$36,0))</x:f>
      </x:c>
      <x:c r="E124" s="28" t="str">
        <x:v>RP-11</x:v>
      </x:c>
      <x:c r="F124" s="28" t="n">
        <x:v>2</x:v>
      </x:c>
      <x:c r="G124" s="28" t="str">
        <x:f>IF(D124="","",IF(LEFT(D124,5)="RFP-A",IF(F124=1,"PTC-B","PTC-C"),IF(LEFT(D124,5)="RFP-B",IF(F124=1,"PTC-A","PTC-C"),IF(F124=1,"PTC-A","PTC-B"))))</x:f>
      </x:c>
      <x:c r="H124" s="29" t="str"/>
      <x:c r="I124" s="29" t="str"/>
      <x:c r="J124" s="29" t="str"/>
      <x:c r="K124" s="29" t="str"/>
      <x:c r="L124" s="29" t="str"/>
      <x:c r="M124" s="28" t="str">
        <x:f>IF(AND(C124="RESERVE",D124=""),"DORMANT",IF(L124="","OPEN",IF(AND(G124&lt;&gt;"",H124&lt;&gt;"",I124=H124,J124&lt;&gt;"",K124&lt;&gt;"",J124&lt;&gt;K124),"PASS","FAIL")))</x:f>
        <x:v>OPEN</x:v>
      </x:c>
    </x:row>
    <x:row r="125">
      <x:c r="B125" s="28" t="str">
        <x:v>AT-05</x:v>
      </x:c>
      <x:c r="C125" s="28" t="str">
        <x:v>PRIMARY</x:v>
      </x:c>
      <x:c r="D125" s="28" t="str">
        <x:f>INDEX('Attempt Tokens'!$E$7:$E$36,MATCH(B125,'Attempt Tokens'!$B$7:$B$36,0))</x:f>
      </x:c>
      <x:c r="E125" s="28" t="str">
        <x:v>RP-12</x:v>
      </x:c>
      <x:c r="F125" s="28" t="n">
        <x:v>1</x:v>
      </x:c>
      <x:c r="G125" s="28" t="str">
        <x:f>IF(D125="","",IF(LEFT(D125,5)="RFP-A",IF(F125=1,"PTC-B","PTC-C"),IF(LEFT(D125,5)="RFP-B",IF(F125=1,"PTC-A","PTC-C"),IF(F125=1,"PTC-A","PTC-B"))))</x:f>
      </x:c>
      <x:c r="H125" s="29" t="str"/>
      <x:c r="I125" s="29" t="str"/>
      <x:c r="J125" s="29" t="str"/>
      <x:c r="K125" s="29" t="str"/>
      <x:c r="L125" s="29" t="str"/>
      <x:c r="M125" s="28" t="str">
        <x:f>IF(AND(C125="RESERVE",D125=""),"DORMANT",IF(L125="","OPEN",IF(AND(G125&lt;&gt;"",H125&lt;&gt;"",I125=H125,J125&lt;&gt;"",K125&lt;&gt;"",J125&lt;&gt;K125),"PASS","FAIL")))</x:f>
        <x:v>OPEN</x:v>
      </x:c>
    </x:row>
    <x:row r="126">
      <x:c r="B126" s="28" t="str">
        <x:v>AT-05</x:v>
      </x:c>
      <x:c r="C126" s="28" t="str">
        <x:v>PRIMARY</x:v>
      </x:c>
      <x:c r="D126" s="28" t="str">
        <x:f>INDEX('Attempt Tokens'!$E$7:$E$36,MATCH(B126,'Attempt Tokens'!$B$7:$B$36,0))</x:f>
      </x:c>
      <x:c r="E126" s="28" t="str">
        <x:v>RP-12</x:v>
      </x:c>
      <x:c r="F126" s="28" t="n">
        <x:v>2</x:v>
      </x:c>
      <x:c r="G126" s="28" t="str">
        <x:f>IF(D126="","",IF(LEFT(D126,5)="RFP-A",IF(F126=1,"PTC-B","PTC-C"),IF(LEFT(D126,5)="RFP-B",IF(F126=1,"PTC-A","PTC-C"),IF(F126=1,"PTC-A","PTC-B"))))</x:f>
      </x:c>
      <x:c r="H126" s="29" t="str"/>
      <x:c r="I126" s="29" t="str"/>
      <x:c r="J126" s="29" t="str"/>
      <x:c r="K126" s="29" t="str"/>
      <x:c r="L126" s="29" t="str"/>
      <x:c r="M126" s="28" t="str">
        <x:f>IF(AND(C126="RESERVE",D126=""),"DORMANT",IF(L126="","OPEN",IF(AND(G126&lt;&gt;"",H126&lt;&gt;"",I126=H126,J126&lt;&gt;"",K126&lt;&gt;"",J126&lt;&gt;K126),"PASS","FAIL")))</x:f>
        <x:v>OPEN</x:v>
      </x:c>
    </x:row>
    <x:row r="127">
      <x:c r="B127" s="28" t="str">
        <x:v>AT-06</x:v>
      </x:c>
      <x:c r="C127" s="28" t="str">
        <x:v>PRIMARY</x:v>
      </x:c>
      <x:c r="D127" s="28" t="str">
        <x:f>INDEX('Attempt Tokens'!$E$7:$E$36,MATCH(B127,'Attempt Tokens'!$B$7:$B$36,0))</x:f>
      </x:c>
      <x:c r="E127" s="28" t="str">
        <x:v>RP-01</x:v>
      </x:c>
      <x:c r="F127" s="28" t="n">
        <x:v>1</x:v>
      </x:c>
      <x:c r="G127" s="28" t="str">
        <x:f>IF(D127="","",IF(LEFT(D127,5)="RFP-A",IF(F127=1,"PTC-B","PTC-C"),IF(LEFT(D127,5)="RFP-B",IF(F127=1,"PTC-A","PTC-C"),IF(F127=1,"PTC-A","PTC-B"))))</x:f>
      </x:c>
      <x:c r="H127" s="29" t="str"/>
      <x:c r="I127" s="29" t="str"/>
      <x:c r="J127" s="29" t="str"/>
      <x:c r="K127" s="29" t="str"/>
      <x:c r="L127" s="29" t="str"/>
      <x:c r="M127" s="28" t="str">
        <x:f>IF(AND(C127="RESERVE",D127=""),"DORMANT",IF(L127="","OPEN",IF(AND(G127&lt;&gt;"",H127&lt;&gt;"",I127=H127,J127&lt;&gt;"",K127&lt;&gt;"",J127&lt;&gt;K127),"PASS","FAIL")))</x:f>
        <x:v>OPEN</x:v>
      </x:c>
    </x:row>
    <x:row r="128">
      <x:c r="B128" s="28" t="str">
        <x:v>AT-06</x:v>
      </x:c>
      <x:c r="C128" s="28" t="str">
        <x:v>PRIMARY</x:v>
      </x:c>
      <x:c r="D128" s="28" t="str">
        <x:f>INDEX('Attempt Tokens'!$E$7:$E$36,MATCH(B128,'Attempt Tokens'!$B$7:$B$36,0))</x:f>
      </x:c>
      <x:c r="E128" s="28" t="str">
        <x:v>RP-01</x:v>
      </x:c>
      <x:c r="F128" s="28" t="n">
        <x:v>2</x:v>
      </x:c>
      <x:c r="G128" s="28" t="str">
        <x:f>IF(D128="","",IF(LEFT(D128,5)="RFP-A",IF(F128=1,"PTC-B","PTC-C"),IF(LEFT(D128,5)="RFP-B",IF(F128=1,"PTC-A","PTC-C"),IF(F128=1,"PTC-A","PTC-B"))))</x:f>
      </x:c>
      <x:c r="H128" s="29" t="str"/>
      <x:c r="I128" s="29" t="str"/>
      <x:c r="J128" s="29" t="str"/>
      <x:c r="K128" s="29" t="str"/>
      <x:c r="L128" s="29" t="str"/>
      <x:c r="M128" s="28" t="str">
        <x:f>IF(AND(C128="RESERVE",D128=""),"DORMANT",IF(L128="","OPEN",IF(AND(G128&lt;&gt;"",H128&lt;&gt;"",I128=H128,J128&lt;&gt;"",K128&lt;&gt;"",J128&lt;&gt;K128),"PASS","FAIL")))</x:f>
        <x:v>OPEN</x:v>
      </x:c>
    </x:row>
    <x:row r="129">
      <x:c r="B129" s="28" t="str">
        <x:v>AT-06</x:v>
      </x:c>
      <x:c r="C129" s="28" t="str">
        <x:v>PRIMARY</x:v>
      </x:c>
      <x:c r="D129" s="28" t="str">
        <x:f>INDEX('Attempt Tokens'!$E$7:$E$36,MATCH(B129,'Attempt Tokens'!$B$7:$B$36,0))</x:f>
      </x:c>
      <x:c r="E129" s="28" t="str">
        <x:v>RP-02</x:v>
      </x:c>
      <x:c r="F129" s="28" t="n">
        <x:v>1</x:v>
      </x:c>
      <x:c r="G129" s="28" t="str">
        <x:f>IF(D129="","",IF(LEFT(D129,5)="RFP-A",IF(F129=1,"PTC-B","PTC-C"),IF(LEFT(D129,5)="RFP-B",IF(F129=1,"PTC-A","PTC-C"),IF(F129=1,"PTC-A","PTC-B"))))</x:f>
      </x:c>
      <x:c r="H129" s="29" t="str"/>
      <x:c r="I129" s="29" t="str"/>
      <x:c r="J129" s="29" t="str"/>
      <x:c r="K129" s="29" t="str"/>
      <x:c r="L129" s="29" t="str"/>
      <x:c r="M129" s="28" t="str">
        <x:f>IF(AND(C129="RESERVE",D129=""),"DORMANT",IF(L129="","OPEN",IF(AND(G129&lt;&gt;"",H129&lt;&gt;"",I129=H129,J129&lt;&gt;"",K129&lt;&gt;"",J129&lt;&gt;K129),"PASS","FAIL")))</x:f>
        <x:v>OPEN</x:v>
      </x:c>
    </x:row>
    <x:row r="130">
      <x:c r="B130" s="28" t="str">
        <x:v>AT-06</x:v>
      </x:c>
      <x:c r="C130" s="28" t="str">
        <x:v>PRIMARY</x:v>
      </x:c>
      <x:c r="D130" s="28" t="str">
        <x:f>INDEX('Attempt Tokens'!$E$7:$E$36,MATCH(B130,'Attempt Tokens'!$B$7:$B$36,0))</x:f>
      </x:c>
      <x:c r="E130" s="28" t="str">
        <x:v>RP-02</x:v>
      </x:c>
      <x:c r="F130" s="28" t="n">
        <x:v>2</x:v>
      </x:c>
      <x:c r="G130" s="28" t="str">
        <x:f>IF(D130="","",IF(LEFT(D130,5)="RFP-A",IF(F130=1,"PTC-B","PTC-C"),IF(LEFT(D130,5)="RFP-B",IF(F130=1,"PTC-A","PTC-C"),IF(F130=1,"PTC-A","PTC-B"))))</x:f>
      </x:c>
      <x:c r="H130" s="29" t="str"/>
      <x:c r="I130" s="29" t="str"/>
      <x:c r="J130" s="29" t="str"/>
      <x:c r="K130" s="29" t="str"/>
      <x:c r="L130" s="29" t="str"/>
      <x:c r="M130" s="28" t="str">
        <x:f>IF(AND(C130="RESERVE",D130=""),"DORMANT",IF(L130="","OPEN",IF(AND(G130&lt;&gt;"",H130&lt;&gt;"",I130=H130,J130&lt;&gt;"",K130&lt;&gt;"",J130&lt;&gt;K130),"PASS","FAIL")))</x:f>
        <x:v>OPEN</x:v>
      </x:c>
    </x:row>
    <x:row r="131">
      <x:c r="B131" s="28" t="str">
        <x:v>AT-06</x:v>
      </x:c>
      <x:c r="C131" s="28" t="str">
        <x:v>PRIMARY</x:v>
      </x:c>
      <x:c r="D131" s="28" t="str">
        <x:f>INDEX('Attempt Tokens'!$E$7:$E$36,MATCH(B131,'Attempt Tokens'!$B$7:$B$36,0))</x:f>
      </x:c>
      <x:c r="E131" s="28" t="str">
        <x:v>RP-03</x:v>
      </x:c>
      <x:c r="F131" s="28" t="n">
        <x:v>1</x:v>
      </x:c>
      <x:c r="G131" s="28" t="str">
        <x:f>IF(D131="","",IF(LEFT(D131,5)="RFP-A",IF(F131=1,"PTC-B","PTC-C"),IF(LEFT(D131,5)="RFP-B",IF(F131=1,"PTC-A","PTC-C"),IF(F131=1,"PTC-A","PTC-B"))))</x:f>
      </x:c>
      <x:c r="H131" s="29" t="str"/>
      <x:c r="I131" s="29" t="str"/>
      <x:c r="J131" s="29" t="str"/>
      <x:c r="K131" s="29" t="str"/>
      <x:c r="L131" s="29" t="str"/>
      <x:c r="M131" s="28" t="str">
        <x:f>IF(AND(C131="RESERVE",D131=""),"DORMANT",IF(L131="","OPEN",IF(AND(G131&lt;&gt;"",H131&lt;&gt;"",I131=H131,J131&lt;&gt;"",K131&lt;&gt;"",J131&lt;&gt;K131),"PASS","FAIL")))</x:f>
        <x:v>OPEN</x:v>
      </x:c>
    </x:row>
    <x:row r="132">
      <x:c r="B132" s="28" t="str">
        <x:v>AT-06</x:v>
      </x:c>
      <x:c r="C132" s="28" t="str">
        <x:v>PRIMARY</x:v>
      </x:c>
      <x:c r="D132" s="28" t="str">
        <x:f>INDEX('Attempt Tokens'!$E$7:$E$36,MATCH(B132,'Attempt Tokens'!$B$7:$B$36,0))</x:f>
      </x:c>
      <x:c r="E132" s="28" t="str">
        <x:v>RP-03</x:v>
      </x:c>
      <x:c r="F132" s="28" t="n">
        <x:v>2</x:v>
      </x:c>
      <x:c r="G132" s="28" t="str">
        <x:f>IF(D132="","",IF(LEFT(D132,5)="RFP-A",IF(F132=1,"PTC-B","PTC-C"),IF(LEFT(D132,5)="RFP-B",IF(F132=1,"PTC-A","PTC-C"),IF(F132=1,"PTC-A","PTC-B"))))</x:f>
      </x:c>
      <x:c r="H132" s="29" t="str"/>
      <x:c r="I132" s="29" t="str"/>
      <x:c r="J132" s="29" t="str"/>
      <x:c r="K132" s="29" t="str"/>
      <x:c r="L132" s="29" t="str"/>
      <x:c r="M132" s="28" t="str">
        <x:f>IF(AND(C132="RESERVE",D132=""),"DORMANT",IF(L132="","OPEN",IF(AND(G132&lt;&gt;"",H132&lt;&gt;"",I132=H132,J132&lt;&gt;"",K132&lt;&gt;"",J132&lt;&gt;K132),"PASS","FAIL")))</x:f>
        <x:v>OPEN</x:v>
      </x:c>
    </x:row>
    <x:row r="133">
      <x:c r="B133" s="28" t="str">
        <x:v>AT-06</x:v>
      </x:c>
      <x:c r="C133" s="28" t="str">
        <x:v>PRIMARY</x:v>
      </x:c>
      <x:c r="D133" s="28" t="str">
        <x:f>INDEX('Attempt Tokens'!$E$7:$E$36,MATCH(B133,'Attempt Tokens'!$B$7:$B$36,0))</x:f>
      </x:c>
      <x:c r="E133" s="28" t="str">
        <x:v>RP-04</x:v>
      </x:c>
      <x:c r="F133" s="28" t="n">
        <x:v>1</x:v>
      </x:c>
      <x:c r="G133" s="28" t="str">
        <x:f>IF(D133="","",IF(LEFT(D133,5)="RFP-A",IF(F133=1,"PTC-B","PTC-C"),IF(LEFT(D133,5)="RFP-B",IF(F133=1,"PTC-A","PTC-C"),IF(F133=1,"PTC-A","PTC-B"))))</x:f>
      </x:c>
      <x:c r="H133" s="29" t="str"/>
      <x:c r="I133" s="29" t="str"/>
      <x:c r="J133" s="29" t="str"/>
      <x:c r="K133" s="29" t="str"/>
      <x:c r="L133" s="29" t="str"/>
      <x:c r="M133" s="28" t="str">
        <x:f>IF(AND(C133="RESERVE",D133=""),"DORMANT",IF(L133="","OPEN",IF(AND(G133&lt;&gt;"",H133&lt;&gt;"",I133=H133,J133&lt;&gt;"",K133&lt;&gt;"",J133&lt;&gt;K133),"PASS","FAIL")))</x:f>
        <x:v>OPEN</x:v>
      </x:c>
    </x:row>
    <x:row r="134">
      <x:c r="B134" s="28" t="str">
        <x:v>AT-06</x:v>
      </x:c>
      <x:c r="C134" s="28" t="str">
        <x:v>PRIMARY</x:v>
      </x:c>
      <x:c r="D134" s="28" t="str">
        <x:f>INDEX('Attempt Tokens'!$E$7:$E$36,MATCH(B134,'Attempt Tokens'!$B$7:$B$36,0))</x:f>
      </x:c>
      <x:c r="E134" s="28" t="str">
        <x:v>RP-04</x:v>
      </x:c>
      <x:c r="F134" s="28" t="n">
        <x:v>2</x:v>
      </x:c>
      <x:c r="G134" s="28" t="str">
        <x:f>IF(D134="","",IF(LEFT(D134,5)="RFP-A",IF(F134=1,"PTC-B","PTC-C"),IF(LEFT(D134,5)="RFP-B",IF(F134=1,"PTC-A","PTC-C"),IF(F134=1,"PTC-A","PTC-B"))))</x:f>
      </x:c>
      <x:c r="H134" s="29" t="str"/>
      <x:c r="I134" s="29" t="str"/>
      <x:c r="J134" s="29" t="str"/>
      <x:c r="K134" s="29" t="str"/>
      <x:c r="L134" s="29" t="str"/>
      <x:c r="M134" s="28" t="str">
        <x:f>IF(AND(C134="RESERVE",D134=""),"DORMANT",IF(L134="","OPEN",IF(AND(G134&lt;&gt;"",H134&lt;&gt;"",I134=H134,J134&lt;&gt;"",K134&lt;&gt;"",J134&lt;&gt;K134),"PASS","FAIL")))</x:f>
        <x:v>OPEN</x:v>
      </x:c>
    </x:row>
    <x:row r="135">
      <x:c r="B135" s="28" t="str">
        <x:v>AT-06</x:v>
      </x:c>
      <x:c r="C135" s="28" t="str">
        <x:v>PRIMARY</x:v>
      </x:c>
      <x:c r="D135" s="28" t="str">
        <x:f>INDEX('Attempt Tokens'!$E$7:$E$36,MATCH(B135,'Attempt Tokens'!$B$7:$B$36,0))</x:f>
      </x:c>
      <x:c r="E135" s="28" t="str">
        <x:v>RP-05</x:v>
      </x:c>
      <x:c r="F135" s="28" t="n">
        <x:v>1</x:v>
      </x:c>
      <x:c r="G135" s="28" t="str">
        <x:f>IF(D135="","",IF(LEFT(D135,5)="RFP-A",IF(F135=1,"PTC-B","PTC-C"),IF(LEFT(D135,5)="RFP-B",IF(F135=1,"PTC-A","PTC-C"),IF(F135=1,"PTC-A","PTC-B"))))</x:f>
      </x:c>
      <x:c r="H135" s="29" t="str"/>
      <x:c r="I135" s="29" t="str"/>
      <x:c r="J135" s="29" t="str"/>
      <x:c r="K135" s="29" t="str"/>
      <x:c r="L135" s="29" t="str"/>
      <x:c r="M135" s="28" t="str">
        <x:f>IF(AND(C135="RESERVE",D135=""),"DORMANT",IF(L135="","OPEN",IF(AND(G135&lt;&gt;"",H135&lt;&gt;"",I135=H135,J135&lt;&gt;"",K135&lt;&gt;"",J135&lt;&gt;K135),"PASS","FAIL")))</x:f>
        <x:v>OPEN</x:v>
      </x:c>
    </x:row>
    <x:row r="136">
      <x:c r="B136" s="28" t="str">
        <x:v>AT-06</x:v>
      </x:c>
      <x:c r="C136" s="28" t="str">
        <x:v>PRIMARY</x:v>
      </x:c>
      <x:c r="D136" s="28" t="str">
        <x:f>INDEX('Attempt Tokens'!$E$7:$E$36,MATCH(B136,'Attempt Tokens'!$B$7:$B$36,0))</x:f>
      </x:c>
      <x:c r="E136" s="28" t="str">
        <x:v>RP-05</x:v>
      </x:c>
      <x:c r="F136" s="28" t="n">
        <x:v>2</x:v>
      </x:c>
      <x:c r="G136" s="28" t="str">
        <x:f>IF(D136="","",IF(LEFT(D136,5)="RFP-A",IF(F136=1,"PTC-B","PTC-C"),IF(LEFT(D136,5)="RFP-B",IF(F136=1,"PTC-A","PTC-C"),IF(F136=1,"PTC-A","PTC-B"))))</x:f>
      </x:c>
      <x:c r="H136" s="29" t="str"/>
      <x:c r="I136" s="29" t="str"/>
      <x:c r="J136" s="29" t="str"/>
      <x:c r="K136" s="29" t="str"/>
      <x:c r="L136" s="29" t="str"/>
      <x:c r="M136" s="28" t="str">
        <x:f>IF(AND(C136="RESERVE",D136=""),"DORMANT",IF(L136="","OPEN",IF(AND(G136&lt;&gt;"",H136&lt;&gt;"",I136=H136,J136&lt;&gt;"",K136&lt;&gt;"",J136&lt;&gt;K136),"PASS","FAIL")))</x:f>
        <x:v>OPEN</x:v>
      </x:c>
    </x:row>
    <x:row r="137">
      <x:c r="B137" s="28" t="str">
        <x:v>AT-06</x:v>
      </x:c>
      <x:c r="C137" s="28" t="str">
        <x:v>PRIMARY</x:v>
      </x:c>
      <x:c r="D137" s="28" t="str">
        <x:f>INDEX('Attempt Tokens'!$E$7:$E$36,MATCH(B137,'Attempt Tokens'!$B$7:$B$36,0))</x:f>
      </x:c>
      <x:c r="E137" s="28" t="str">
        <x:v>RP-06</x:v>
      </x:c>
      <x:c r="F137" s="28" t="n">
        <x:v>1</x:v>
      </x:c>
      <x:c r="G137" s="28" t="str">
        <x:f>IF(D137="","",IF(LEFT(D137,5)="RFP-A",IF(F137=1,"PTC-B","PTC-C"),IF(LEFT(D137,5)="RFP-B",IF(F137=1,"PTC-A","PTC-C"),IF(F137=1,"PTC-A","PTC-B"))))</x:f>
      </x:c>
      <x:c r="H137" s="29" t="str"/>
      <x:c r="I137" s="29" t="str"/>
      <x:c r="J137" s="29" t="str"/>
      <x:c r="K137" s="29" t="str"/>
      <x:c r="L137" s="29" t="str"/>
      <x:c r="M137" s="28" t="str">
        <x:f>IF(AND(C137="RESERVE",D137=""),"DORMANT",IF(L137="","OPEN",IF(AND(G137&lt;&gt;"",H137&lt;&gt;"",I137=H137,J137&lt;&gt;"",K137&lt;&gt;"",J137&lt;&gt;K137),"PASS","FAIL")))</x:f>
        <x:v>OPEN</x:v>
      </x:c>
    </x:row>
    <x:row r="138">
      <x:c r="B138" s="28" t="str">
        <x:v>AT-06</x:v>
      </x:c>
      <x:c r="C138" s="28" t="str">
        <x:v>PRIMARY</x:v>
      </x:c>
      <x:c r="D138" s="28" t="str">
        <x:f>INDEX('Attempt Tokens'!$E$7:$E$36,MATCH(B138,'Attempt Tokens'!$B$7:$B$36,0))</x:f>
      </x:c>
      <x:c r="E138" s="28" t="str">
        <x:v>RP-06</x:v>
      </x:c>
      <x:c r="F138" s="28" t="n">
        <x:v>2</x:v>
      </x:c>
      <x:c r="G138" s="28" t="str">
        <x:f>IF(D138="","",IF(LEFT(D138,5)="RFP-A",IF(F138=1,"PTC-B","PTC-C"),IF(LEFT(D138,5)="RFP-B",IF(F138=1,"PTC-A","PTC-C"),IF(F138=1,"PTC-A","PTC-B"))))</x:f>
      </x:c>
      <x:c r="H138" s="29" t="str"/>
      <x:c r="I138" s="29" t="str"/>
      <x:c r="J138" s="29" t="str"/>
      <x:c r="K138" s="29" t="str"/>
      <x:c r="L138" s="29" t="str"/>
      <x:c r="M138" s="28" t="str">
        <x:f>IF(AND(C138="RESERVE",D138=""),"DORMANT",IF(L138="","OPEN",IF(AND(G138&lt;&gt;"",H138&lt;&gt;"",I138=H138,J138&lt;&gt;"",K138&lt;&gt;"",J138&lt;&gt;K138),"PASS","FAIL")))</x:f>
        <x:v>OPEN</x:v>
      </x:c>
    </x:row>
    <x:row r="139">
      <x:c r="B139" s="28" t="str">
        <x:v>AT-06</x:v>
      </x:c>
      <x:c r="C139" s="28" t="str">
        <x:v>PRIMARY</x:v>
      </x:c>
      <x:c r="D139" s="28" t="str">
        <x:f>INDEX('Attempt Tokens'!$E$7:$E$36,MATCH(B139,'Attempt Tokens'!$B$7:$B$36,0))</x:f>
      </x:c>
      <x:c r="E139" s="28" t="str">
        <x:v>RP-07</x:v>
      </x:c>
      <x:c r="F139" s="28" t="n">
        <x:v>1</x:v>
      </x:c>
      <x:c r="G139" s="28" t="str">
        <x:f>IF(D139="","",IF(LEFT(D139,5)="RFP-A",IF(F139=1,"PTC-B","PTC-C"),IF(LEFT(D139,5)="RFP-B",IF(F139=1,"PTC-A","PTC-C"),IF(F139=1,"PTC-A","PTC-B"))))</x:f>
      </x:c>
      <x:c r="H139" s="29" t="str"/>
      <x:c r="I139" s="29" t="str"/>
      <x:c r="J139" s="29" t="str"/>
      <x:c r="K139" s="29" t="str"/>
      <x:c r="L139" s="29" t="str"/>
      <x:c r="M139" s="28" t="str">
        <x:f>IF(AND(C139="RESERVE",D139=""),"DORMANT",IF(L139="","OPEN",IF(AND(G139&lt;&gt;"",H139&lt;&gt;"",I139=H139,J139&lt;&gt;"",K139&lt;&gt;"",J139&lt;&gt;K139),"PASS","FAIL")))</x:f>
        <x:v>OPEN</x:v>
      </x:c>
    </x:row>
    <x:row r="140">
      <x:c r="B140" s="28" t="str">
        <x:v>AT-06</x:v>
      </x:c>
      <x:c r="C140" s="28" t="str">
        <x:v>PRIMARY</x:v>
      </x:c>
      <x:c r="D140" s="28" t="str">
        <x:f>INDEX('Attempt Tokens'!$E$7:$E$36,MATCH(B140,'Attempt Tokens'!$B$7:$B$36,0))</x:f>
      </x:c>
      <x:c r="E140" s="28" t="str">
        <x:v>RP-07</x:v>
      </x:c>
      <x:c r="F140" s="28" t="n">
        <x:v>2</x:v>
      </x:c>
      <x:c r="G140" s="28" t="str">
        <x:f>IF(D140="","",IF(LEFT(D140,5)="RFP-A",IF(F140=1,"PTC-B","PTC-C"),IF(LEFT(D140,5)="RFP-B",IF(F140=1,"PTC-A","PTC-C"),IF(F140=1,"PTC-A","PTC-B"))))</x:f>
      </x:c>
      <x:c r="H140" s="29" t="str"/>
      <x:c r="I140" s="29" t="str"/>
      <x:c r="J140" s="29" t="str"/>
      <x:c r="K140" s="29" t="str"/>
      <x:c r="L140" s="29" t="str"/>
      <x:c r="M140" s="28" t="str">
        <x:f>IF(AND(C140="RESERVE",D140=""),"DORMANT",IF(L140="","OPEN",IF(AND(G140&lt;&gt;"",H140&lt;&gt;"",I140=H140,J140&lt;&gt;"",K140&lt;&gt;"",J140&lt;&gt;K140),"PASS","FAIL")))</x:f>
        <x:v>OPEN</x:v>
      </x:c>
    </x:row>
    <x:row r="141">
      <x:c r="B141" s="28" t="str">
        <x:v>AT-06</x:v>
      </x:c>
      <x:c r="C141" s="28" t="str">
        <x:v>PRIMARY</x:v>
      </x:c>
      <x:c r="D141" s="28" t="str">
        <x:f>INDEX('Attempt Tokens'!$E$7:$E$36,MATCH(B141,'Attempt Tokens'!$B$7:$B$36,0))</x:f>
      </x:c>
      <x:c r="E141" s="28" t="str">
        <x:v>RP-08</x:v>
      </x:c>
      <x:c r="F141" s="28" t="n">
        <x:v>1</x:v>
      </x:c>
      <x:c r="G141" s="28" t="str">
        <x:f>IF(D141="","",IF(LEFT(D141,5)="RFP-A",IF(F141=1,"PTC-B","PTC-C"),IF(LEFT(D141,5)="RFP-B",IF(F141=1,"PTC-A","PTC-C"),IF(F141=1,"PTC-A","PTC-B"))))</x:f>
      </x:c>
      <x:c r="H141" s="29" t="str"/>
      <x:c r="I141" s="29" t="str"/>
      <x:c r="J141" s="29" t="str"/>
      <x:c r="K141" s="29" t="str"/>
      <x:c r="L141" s="29" t="str"/>
      <x:c r="M141" s="28" t="str">
        <x:f>IF(AND(C141="RESERVE",D141=""),"DORMANT",IF(L141="","OPEN",IF(AND(G141&lt;&gt;"",H141&lt;&gt;"",I141=H141,J141&lt;&gt;"",K141&lt;&gt;"",J141&lt;&gt;K141),"PASS","FAIL")))</x:f>
        <x:v>OPEN</x:v>
      </x:c>
    </x:row>
    <x:row r="142">
      <x:c r="B142" s="28" t="str">
        <x:v>AT-06</x:v>
      </x:c>
      <x:c r="C142" s="28" t="str">
        <x:v>PRIMARY</x:v>
      </x:c>
      <x:c r="D142" s="28" t="str">
        <x:f>INDEX('Attempt Tokens'!$E$7:$E$36,MATCH(B142,'Attempt Tokens'!$B$7:$B$36,0))</x:f>
      </x:c>
      <x:c r="E142" s="28" t="str">
        <x:v>RP-08</x:v>
      </x:c>
      <x:c r="F142" s="28" t="n">
        <x:v>2</x:v>
      </x:c>
      <x:c r="G142" s="28" t="str">
        <x:f>IF(D142="","",IF(LEFT(D142,5)="RFP-A",IF(F142=1,"PTC-B","PTC-C"),IF(LEFT(D142,5)="RFP-B",IF(F142=1,"PTC-A","PTC-C"),IF(F142=1,"PTC-A","PTC-B"))))</x:f>
      </x:c>
      <x:c r="H142" s="29" t="str"/>
      <x:c r="I142" s="29" t="str"/>
      <x:c r="J142" s="29" t="str"/>
      <x:c r="K142" s="29" t="str"/>
      <x:c r="L142" s="29" t="str"/>
      <x:c r="M142" s="28" t="str">
        <x:f>IF(AND(C142="RESERVE",D142=""),"DORMANT",IF(L142="","OPEN",IF(AND(G142&lt;&gt;"",H142&lt;&gt;"",I142=H142,J142&lt;&gt;"",K142&lt;&gt;"",J142&lt;&gt;K142),"PASS","FAIL")))</x:f>
        <x:v>OPEN</x:v>
      </x:c>
    </x:row>
    <x:row r="143">
      <x:c r="B143" s="28" t="str">
        <x:v>AT-06</x:v>
      </x:c>
      <x:c r="C143" s="28" t="str">
        <x:v>PRIMARY</x:v>
      </x:c>
      <x:c r="D143" s="28" t="str">
        <x:f>INDEX('Attempt Tokens'!$E$7:$E$36,MATCH(B143,'Attempt Tokens'!$B$7:$B$36,0))</x:f>
      </x:c>
      <x:c r="E143" s="28" t="str">
        <x:v>RP-09</x:v>
      </x:c>
      <x:c r="F143" s="28" t="n">
        <x:v>1</x:v>
      </x:c>
      <x:c r="G143" s="28" t="str">
        <x:f>IF(D143="","",IF(LEFT(D143,5)="RFP-A",IF(F143=1,"PTC-B","PTC-C"),IF(LEFT(D143,5)="RFP-B",IF(F143=1,"PTC-A","PTC-C"),IF(F143=1,"PTC-A","PTC-B"))))</x:f>
      </x:c>
      <x:c r="H143" s="29" t="str"/>
      <x:c r="I143" s="29" t="str"/>
      <x:c r="J143" s="29" t="str"/>
      <x:c r="K143" s="29" t="str"/>
      <x:c r="L143" s="29" t="str"/>
      <x:c r="M143" s="28" t="str">
        <x:f>IF(AND(C143="RESERVE",D143=""),"DORMANT",IF(L143="","OPEN",IF(AND(G143&lt;&gt;"",H143&lt;&gt;"",I143=H143,J143&lt;&gt;"",K143&lt;&gt;"",J143&lt;&gt;K143),"PASS","FAIL")))</x:f>
        <x:v>OPEN</x:v>
      </x:c>
    </x:row>
    <x:row r="144">
      <x:c r="B144" s="28" t="str">
        <x:v>AT-06</x:v>
      </x:c>
      <x:c r="C144" s="28" t="str">
        <x:v>PRIMARY</x:v>
      </x:c>
      <x:c r="D144" s="28" t="str">
        <x:f>INDEX('Attempt Tokens'!$E$7:$E$36,MATCH(B144,'Attempt Tokens'!$B$7:$B$36,0))</x:f>
      </x:c>
      <x:c r="E144" s="28" t="str">
        <x:v>RP-09</x:v>
      </x:c>
      <x:c r="F144" s="28" t="n">
        <x:v>2</x:v>
      </x:c>
      <x:c r="G144" s="28" t="str">
        <x:f>IF(D144="","",IF(LEFT(D144,5)="RFP-A",IF(F144=1,"PTC-B","PTC-C"),IF(LEFT(D144,5)="RFP-B",IF(F144=1,"PTC-A","PTC-C"),IF(F144=1,"PTC-A","PTC-B"))))</x:f>
      </x:c>
      <x:c r="H144" s="29" t="str"/>
      <x:c r="I144" s="29" t="str"/>
      <x:c r="J144" s="29" t="str"/>
      <x:c r="K144" s="29" t="str"/>
      <x:c r="L144" s="29" t="str"/>
      <x:c r="M144" s="28" t="str">
        <x:f>IF(AND(C144="RESERVE",D144=""),"DORMANT",IF(L144="","OPEN",IF(AND(G144&lt;&gt;"",H144&lt;&gt;"",I144=H144,J144&lt;&gt;"",K144&lt;&gt;"",J144&lt;&gt;K144),"PASS","FAIL")))</x:f>
        <x:v>OPEN</x:v>
      </x:c>
    </x:row>
    <x:row r="145">
      <x:c r="B145" s="28" t="str">
        <x:v>AT-06</x:v>
      </x:c>
      <x:c r="C145" s="28" t="str">
        <x:v>PRIMARY</x:v>
      </x:c>
      <x:c r="D145" s="28" t="str">
        <x:f>INDEX('Attempt Tokens'!$E$7:$E$36,MATCH(B145,'Attempt Tokens'!$B$7:$B$36,0))</x:f>
      </x:c>
      <x:c r="E145" s="28" t="str">
        <x:v>RP-10</x:v>
      </x:c>
      <x:c r="F145" s="28" t="n">
        <x:v>1</x:v>
      </x:c>
      <x:c r="G145" s="28" t="str">
        <x:f>IF(D145="","",IF(LEFT(D145,5)="RFP-A",IF(F145=1,"PTC-B","PTC-C"),IF(LEFT(D145,5)="RFP-B",IF(F145=1,"PTC-A","PTC-C"),IF(F145=1,"PTC-A","PTC-B"))))</x:f>
      </x:c>
      <x:c r="H145" s="29" t="str"/>
      <x:c r="I145" s="29" t="str"/>
      <x:c r="J145" s="29" t="str"/>
      <x:c r="K145" s="29" t="str"/>
      <x:c r="L145" s="29" t="str"/>
      <x:c r="M145" s="28" t="str">
        <x:f>IF(AND(C145="RESERVE",D145=""),"DORMANT",IF(L145="","OPEN",IF(AND(G145&lt;&gt;"",H145&lt;&gt;"",I145=H145,J145&lt;&gt;"",K145&lt;&gt;"",J145&lt;&gt;K145),"PASS","FAIL")))</x:f>
        <x:v>OPEN</x:v>
      </x:c>
    </x:row>
    <x:row r="146">
      <x:c r="B146" s="28" t="str">
        <x:v>AT-06</x:v>
      </x:c>
      <x:c r="C146" s="28" t="str">
        <x:v>PRIMARY</x:v>
      </x:c>
      <x:c r="D146" s="28" t="str">
        <x:f>INDEX('Attempt Tokens'!$E$7:$E$36,MATCH(B146,'Attempt Tokens'!$B$7:$B$36,0))</x:f>
      </x:c>
      <x:c r="E146" s="28" t="str">
        <x:v>RP-10</x:v>
      </x:c>
      <x:c r="F146" s="28" t="n">
        <x:v>2</x:v>
      </x:c>
      <x:c r="G146" s="28" t="str">
        <x:f>IF(D146="","",IF(LEFT(D146,5)="RFP-A",IF(F146=1,"PTC-B","PTC-C"),IF(LEFT(D146,5)="RFP-B",IF(F146=1,"PTC-A","PTC-C"),IF(F146=1,"PTC-A","PTC-B"))))</x:f>
      </x:c>
      <x:c r="H146" s="29" t="str"/>
      <x:c r="I146" s="29" t="str"/>
      <x:c r="J146" s="29" t="str"/>
      <x:c r="K146" s="29" t="str"/>
      <x:c r="L146" s="29" t="str"/>
      <x:c r="M146" s="28" t="str">
        <x:f>IF(AND(C146="RESERVE",D146=""),"DORMANT",IF(L146="","OPEN",IF(AND(G146&lt;&gt;"",H146&lt;&gt;"",I146=H146,J146&lt;&gt;"",K146&lt;&gt;"",J146&lt;&gt;K146),"PASS","FAIL")))</x:f>
        <x:v>OPEN</x:v>
      </x:c>
    </x:row>
    <x:row r="147">
      <x:c r="B147" s="28" t="str">
        <x:v>AT-06</x:v>
      </x:c>
      <x:c r="C147" s="28" t="str">
        <x:v>PRIMARY</x:v>
      </x:c>
      <x:c r="D147" s="28" t="str">
        <x:f>INDEX('Attempt Tokens'!$E$7:$E$36,MATCH(B147,'Attempt Tokens'!$B$7:$B$36,0))</x:f>
      </x:c>
      <x:c r="E147" s="28" t="str">
        <x:v>RP-11</x:v>
      </x:c>
      <x:c r="F147" s="28" t="n">
        <x:v>1</x:v>
      </x:c>
      <x:c r="G147" s="28" t="str">
        <x:f>IF(D147="","",IF(LEFT(D147,5)="RFP-A",IF(F147=1,"PTC-B","PTC-C"),IF(LEFT(D147,5)="RFP-B",IF(F147=1,"PTC-A","PTC-C"),IF(F147=1,"PTC-A","PTC-B"))))</x:f>
      </x:c>
      <x:c r="H147" s="29" t="str"/>
      <x:c r="I147" s="29" t="str"/>
      <x:c r="J147" s="29" t="str"/>
      <x:c r="K147" s="29" t="str"/>
      <x:c r="L147" s="29" t="str"/>
      <x:c r="M147" s="28" t="str">
        <x:f>IF(AND(C147="RESERVE",D147=""),"DORMANT",IF(L147="","OPEN",IF(AND(G147&lt;&gt;"",H147&lt;&gt;"",I147=H147,J147&lt;&gt;"",K147&lt;&gt;"",J147&lt;&gt;K147),"PASS","FAIL")))</x:f>
        <x:v>OPEN</x:v>
      </x:c>
    </x:row>
    <x:row r="148">
      <x:c r="B148" s="28" t="str">
        <x:v>AT-06</x:v>
      </x:c>
      <x:c r="C148" s="28" t="str">
        <x:v>PRIMARY</x:v>
      </x:c>
      <x:c r="D148" s="28" t="str">
        <x:f>INDEX('Attempt Tokens'!$E$7:$E$36,MATCH(B148,'Attempt Tokens'!$B$7:$B$36,0))</x:f>
      </x:c>
      <x:c r="E148" s="28" t="str">
        <x:v>RP-11</x:v>
      </x:c>
      <x:c r="F148" s="28" t="n">
        <x:v>2</x:v>
      </x:c>
      <x:c r="G148" s="28" t="str">
        <x:f>IF(D148="","",IF(LEFT(D148,5)="RFP-A",IF(F148=1,"PTC-B","PTC-C"),IF(LEFT(D148,5)="RFP-B",IF(F148=1,"PTC-A","PTC-C"),IF(F148=1,"PTC-A","PTC-B"))))</x:f>
      </x:c>
      <x:c r="H148" s="29" t="str"/>
      <x:c r="I148" s="29" t="str"/>
      <x:c r="J148" s="29" t="str"/>
      <x:c r="K148" s="29" t="str"/>
      <x:c r="L148" s="29" t="str"/>
      <x:c r="M148" s="28" t="str">
        <x:f>IF(AND(C148="RESERVE",D148=""),"DORMANT",IF(L148="","OPEN",IF(AND(G148&lt;&gt;"",H148&lt;&gt;"",I148=H148,J148&lt;&gt;"",K148&lt;&gt;"",J148&lt;&gt;K148),"PASS","FAIL")))</x:f>
        <x:v>OPEN</x:v>
      </x:c>
    </x:row>
    <x:row r="149">
      <x:c r="B149" s="28" t="str">
        <x:v>AT-06</x:v>
      </x:c>
      <x:c r="C149" s="28" t="str">
        <x:v>PRIMARY</x:v>
      </x:c>
      <x:c r="D149" s="28" t="str">
        <x:f>INDEX('Attempt Tokens'!$E$7:$E$36,MATCH(B149,'Attempt Tokens'!$B$7:$B$36,0))</x:f>
      </x:c>
      <x:c r="E149" s="28" t="str">
        <x:v>RP-12</x:v>
      </x:c>
      <x:c r="F149" s="28" t="n">
        <x:v>1</x:v>
      </x:c>
      <x:c r="G149" s="28" t="str">
        <x:f>IF(D149="","",IF(LEFT(D149,5)="RFP-A",IF(F149=1,"PTC-B","PTC-C"),IF(LEFT(D149,5)="RFP-B",IF(F149=1,"PTC-A","PTC-C"),IF(F149=1,"PTC-A","PTC-B"))))</x:f>
      </x:c>
      <x:c r="H149" s="29" t="str"/>
      <x:c r="I149" s="29" t="str"/>
      <x:c r="J149" s="29" t="str"/>
      <x:c r="K149" s="29" t="str"/>
      <x:c r="L149" s="29" t="str"/>
      <x:c r="M149" s="28" t="str">
        <x:f>IF(AND(C149="RESERVE",D149=""),"DORMANT",IF(L149="","OPEN",IF(AND(G149&lt;&gt;"",H149&lt;&gt;"",I149=H149,J149&lt;&gt;"",K149&lt;&gt;"",J149&lt;&gt;K149),"PASS","FAIL")))</x:f>
        <x:v>OPEN</x:v>
      </x:c>
    </x:row>
    <x:row r="150">
      <x:c r="B150" s="28" t="str">
        <x:v>AT-06</x:v>
      </x:c>
      <x:c r="C150" s="28" t="str">
        <x:v>PRIMARY</x:v>
      </x:c>
      <x:c r="D150" s="28" t="str">
        <x:f>INDEX('Attempt Tokens'!$E$7:$E$36,MATCH(B150,'Attempt Tokens'!$B$7:$B$36,0))</x:f>
      </x:c>
      <x:c r="E150" s="28" t="str">
        <x:v>RP-12</x:v>
      </x:c>
      <x:c r="F150" s="28" t="n">
        <x:v>2</x:v>
      </x:c>
      <x:c r="G150" s="28" t="str">
        <x:f>IF(D150="","",IF(LEFT(D150,5)="RFP-A",IF(F150=1,"PTC-B","PTC-C"),IF(LEFT(D150,5)="RFP-B",IF(F150=1,"PTC-A","PTC-C"),IF(F150=1,"PTC-A","PTC-B"))))</x:f>
      </x:c>
      <x:c r="H150" s="29" t="str"/>
      <x:c r="I150" s="29" t="str"/>
      <x:c r="J150" s="29" t="str"/>
      <x:c r="K150" s="29" t="str"/>
      <x:c r="L150" s="29" t="str"/>
      <x:c r="M150" s="28" t="str">
        <x:f>IF(AND(C150="RESERVE",D150=""),"DORMANT",IF(L150="","OPEN",IF(AND(G150&lt;&gt;"",H150&lt;&gt;"",I150=H150,J150&lt;&gt;"",K150&lt;&gt;"",J150&lt;&gt;K150),"PASS","FAIL")))</x:f>
        <x:v>OPEN</x:v>
      </x:c>
    </x:row>
    <x:row r="151">
      <x:c r="B151" s="28" t="str">
        <x:v>AT-07</x:v>
      </x:c>
      <x:c r="C151" s="28" t="str">
        <x:v>PRIMARY</x:v>
      </x:c>
      <x:c r="D151" s="28" t="str">
        <x:f>INDEX('Attempt Tokens'!$E$7:$E$36,MATCH(B151,'Attempt Tokens'!$B$7:$B$36,0))</x:f>
      </x:c>
      <x:c r="E151" s="28" t="str">
        <x:v>RP-01</x:v>
      </x:c>
      <x:c r="F151" s="28" t="n">
        <x:v>1</x:v>
      </x:c>
      <x:c r="G151" s="28" t="str">
        <x:f>IF(D151="","",IF(LEFT(D151,5)="RFP-A",IF(F151=1,"PTC-B","PTC-C"),IF(LEFT(D151,5)="RFP-B",IF(F151=1,"PTC-A","PTC-C"),IF(F151=1,"PTC-A","PTC-B"))))</x:f>
      </x:c>
      <x:c r="H151" s="29" t="str"/>
      <x:c r="I151" s="29" t="str"/>
      <x:c r="J151" s="29" t="str"/>
      <x:c r="K151" s="29" t="str"/>
      <x:c r="L151" s="29" t="str"/>
      <x:c r="M151" s="28" t="str">
        <x:f>IF(AND(C151="RESERVE",D151=""),"DORMANT",IF(L151="","OPEN",IF(AND(G151&lt;&gt;"",H151&lt;&gt;"",I151=H151,J151&lt;&gt;"",K151&lt;&gt;"",J151&lt;&gt;K151),"PASS","FAIL")))</x:f>
        <x:v>OPEN</x:v>
      </x:c>
    </x:row>
    <x:row r="152">
      <x:c r="B152" s="28" t="str">
        <x:v>AT-07</x:v>
      </x:c>
      <x:c r="C152" s="28" t="str">
        <x:v>PRIMARY</x:v>
      </x:c>
      <x:c r="D152" s="28" t="str">
        <x:f>INDEX('Attempt Tokens'!$E$7:$E$36,MATCH(B152,'Attempt Tokens'!$B$7:$B$36,0))</x:f>
      </x:c>
      <x:c r="E152" s="28" t="str">
        <x:v>RP-01</x:v>
      </x:c>
      <x:c r="F152" s="28" t="n">
        <x:v>2</x:v>
      </x:c>
      <x:c r="G152" s="28" t="str">
        <x:f>IF(D152="","",IF(LEFT(D152,5)="RFP-A",IF(F152=1,"PTC-B","PTC-C"),IF(LEFT(D152,5)="RFP-B",IF(F152=1,"PTC-A","PTC-C"),IF(F152=1,"PTC-A","PTC-B"))))</x:f>
      </x:c>
      <x:c r="H152" s="29" t="str"/>
      <x:c r="I152" s="29" t="str"/>
      <x:c r="J152" s="29" t="str"/>
      <x:c r="K152" s="29" t="str"/>
      <x:c r="L152" s="29" t="str"/>
      <x:c r="M152" s="28" t="str">
        <x:f>IF(AND(C152="RESERVE",D152=""),"DORMANT",IF(L152="","OPEN",IF(AND(G152&lt;&gt;"",H152&lt;&gt;"",I152=H152,J152&lt;&gt;"",K152&lt;&gt;"",J152&lt;&gt;K152),"PASS","FAIL")))</x:f>
        <x:v>OPEN</x:v>
      </x:c>
    </x:row>
    <x:row r="153">
      <x:c r="B153" s="28" t="str">
        <x:v>AT-07</x:v>
      </x:c>
      <x:c r="C153" s="28" t="str">
        <x:v>PRIMARY</x:v>
      </x:c>
      <x:c r="D153" s="28" t="str">
        <x:f>INDEX('Attempt Tokens'!$E$7:$E$36,MATCH(B153,'Attempt Tokens'!$B$7:$B$36,0))</x:f>
      </x:c>
      <x:c r="E153" s="28" t="str">
        <x:v>RP-02</x:v>
      </x:c>
      <x:c r="F153" s="28" t="n">
        <x:v>1</x:v>
      </x:c>
      <x:c r="G153" s="28" t="str">
        <x:f>IF(D153="","",IF(LEFT(D153,5)="RFP-A",IF(F153=1,"PTC-B","PTC-C"),IF(LEFT(D153,5)="RFP-B",IF(F153=1,"PTC-A","PTC-C"),IF(F153=1,"PTC-A","PTC-B"))))</x:f>
      </x:c>
      <x:c r="H153" s="29" t="str"/>
      <x:c r="I153" s="29" t="str"/>
      <x:c r="J153" s="29" t="str"/>
      <x:c r="K153" s="29" t="str"/>
      <x:c r="L153" s="29" t="str"/>
      <x:c r="M153" s="28" t="str">
        <x:f>IF(AND(C153="RESERVE",D153=""),"DORMANT",IF(L153="","OPEN",IF(AND(G153&lt;&gt;"",H153&lt;&gt;"",I153=H153,J153&lt;&gt;"",K153&lt;&gt;"",J153&lt;&gt;K153),"PASS","FAIL")))</x:f>
        <x:v>OPEN</x:v>
      </x:c>
    </x:row>
    <x:row r="154">
      <x:c r="B154" s="28" t="str">
        <x:v>AT-07</x:v>
      </x:c>
      <x:c r="C154" s="28" t="str">
        <x:v>PRIMARY</x:v>
      </x:c>
      <x:c r="D154" s="28" t="str">
        <x:f>INDEX('Attempt Tokens'!$E$7:$E$36,MATCH(B154,'Attempt Tokens'!$B$7:$B$36,0))</x:f>
      </x:c>
      <x:c r="E154" s="28" t="str">
        <x:v>RP-02</x:v>
      </x:c>
      <x:c r="F154" s="28" t="n">
        <x:v>2</x:v>
      </x:c>
      <x:c r="G154" s="28" t="str">
        <x:f>IF(D154="","",IF(LEFT(D154,5)="RFP-A",IF(F154=1,"PTC-B","PTC-C"),IF(LEFT(D154,5)="RFP-B",IF(F154=1,"PTC-A","PTC-C"),IF(F154=1,"PTC-A","PTC-B"))))</x:f>
      </x:c>
      <x:c r="H154" s="29" t="str"/>
      <x:c r="I154" s="29" t="str"/>
      <x:c r="J154" s="29" t="str"/>
      <x:c r="K154" s="29" t="str"/>
      <x:c r="L154" s="29" t="str"/>
      <x:c r="M154" s="28" t="str">
        <x:f>IF(AND(C154="RESERVE",D154=""),"DORMANT",IF(L154="","OPEN",IF(AND(G154&lt;&gt;"",H154&lt;&gt;"",I154=H154,J154&lt;&gt;"",K154&lt;&gt;"",J154&lt;&gt;K154),"PASS","FAIL")))</x:f>
        <x:v>OPEN</x:v>
      </x:c>
    </x:row>
    <x:row r="155">
      <x:c r="B155" s="28" t="str">
        <x:v>AT-07</x:v>
      </x:c>
      <x:c r="C155" s="28" t="str">
        <x:v>PRIMARY</x:v>
      </x:c>
      <x:c r="D155" s="28" t="str">
        <x:f>INDEX('Attempt Tokens'!$E$7:$E$36,MATCH(B155,'Attempt Tokens'!$B$7:$B$36,0))</x:f>
      </x:c>
      <x:c r="E155" s="28" t="str">
        <x:v>RP-03</x:v>
      </x:c>
      <x:c r="F155" s="28" t="n">
        <x:v>1</x:v>
      </x:c>
      <x:c r="G155" s="28" t="str">
        <x:f>IF(D155="","",IF(LEFT(D155,5)="RFP-A",IF(F155=1,"PTC-B","PTC-C"),IF(LEFT(D155,5)="RFP-B",IF(F155=1,"PTC-A","PTC-C"),IF(F155=1,"PTC-A","PTC-B"))))</x:f>
      </x:c>
      <x:c r="H155" s="29" t="str"/>
      <x:c r="I155" s="29" t="str"/>
      <x:c r="J155" s="29" t="str"/>
      <x:c r="K155" s="29" t="str"/>
      <x:c r="L155" s="29" t="str"/>
      <x:c r="M155" s="28" t="str">
        <x:f>IF(AND(C155="RESERVE",D155=""),"DORMANT",IF(L155="","OPEN",IF(AND(G155&lt;&gt;"",H155&lt;&gt;"",I155=H155,J155&lt;&gt;"",K155&lt;&gt;"",J155&lt;&gt;K155),"PASS","FAIL")))</x:f>
        <x:v>OPEN</x:v>
      </x:c>
    </x:row>
    <x:row r="156">
      <x:c r="B156" s="28" t="str">
        <x:v>AT-07</x:v>
      </x:c>
      <x:c r="C156" s="28" t="str">
        <x:v>PRIMARY</x:v>
      </x:c>
      <x:c r="D156" s="28" t="str">
        <x:f>INDEX('Attempt Tokens'!$E$7:$E$36,MATCH(B156,'Attempt Tokens'!$B$7:$B$36,0))</x:f>
      </x:c>
      <x:c r="E156" s="28" t="str">
        <x:v>RP-03</x:v>
      </x:c>
      <x:c r="F156" s="28" t="n">
        <x:v>2</x:v>
      </x:c>
      <x:c r="G156" s="28" t="str">
        <x:f>IF(D156="","",IF(LEFT(D156,5)="RFP-A",IF(F156=1,"PTC-B","PTC-C"),IF(LEFT(D156,5)="RFP-B",IF(F156=1,"PTC-A","PTC-C"),IF(F156=1,"PTC-A","PTC-B"))))</x:f>
      </x:c>
      <x:c r="H156" s="29" t="str"/>
      <x:c r="I156" s="29" t="str"/>
      <x:c r="J156" s="29" t="str"/>
      <x:c r="K156" s="29" t="str"/>
      <x:c r="L156" s="29" t="str"/>
      <x:c r="M156" s="28" t="str">
        <x:f>IF(AND(C156="RESERVE",D156=""),"DORMANT",IF(L156="","OPEN",IF(AND(G156&lt;&gt;"",H156&lt;&gt;"",I156=H156,J156&lt;&gt;"",K156&lt;&gt;"",J156&lt;&gt;K156),"PASS","FAIL")))</x:f>
        <x:v>OPEN</x:v>
      </x:c>
    </x:row>
    <x:row r="157">
      <x:c r="B157" s="28" t="str">
        <x:v>AT-07</x:v>
      </x:c>
      <x:c r="C157" s="28" t="str">
        <x:v>PRIMARY</x:v>
      </x:c>
      <x:c r="D157" s="28" t="str">
        <x:f>INDEX('Attempt Tokens'!$E$7:$E$36,MATCH(B157,'Attempt Tokens'!$B$7:$B$36,0))</x:f>
      </x:c>
      <x:c r="E157" s="28" t="str">
        <x:v>RP-04</x:v>
      </x:c>
      <x:c r="F157" s="28" t="n">
        <x:v>1</x:v>
      </x:c>
      <x:c r="G157" s="28" t="str">
        <x:f>IF(D157="","",IF(LEFT(D157,5)="RFP-A",IF(F157=1,"PTC-B","PTC-C"),IF(LEFT(D157,5)="RFP-B",IF(F157=1,"PTC-A","PTC-C"),IF(F157=1,"PTC-A","PTC-B"))))</x:f>
      </x:c>
      <x:c r="H157" s="29" t="str"/>
      <x:c r="I157" s="29" t="str"/>
      <x:c r="J157" s="29" t="str"/>
      <x:c r="K157" s="29" t="str"/>
      <x:c r="L157" s="29" t="str"/>
      <x:c r="M157" s="28" t="str">
        <x:f>IF(AND(C157="RESERVE",D157=""),"DORMANT",IF(L157="","OPEN",IF(AND(G157&lt;&gt;"",H157&lt;&gt;"",I157=H157,J157&lt;&gt;"",K157&lt;&gt;"",J157&lt;&gt;K157),"PASS","FAIL")))</x:f>
        <x:v>OPEN</x:v>
      </x:c>
    </x:row>
    <x:row r="158">
      <x:c r="B158" s="28" t="str">
        <x:v>AT-07</x:v>
      </x:c>
      <x:c r="C158" s="28" t="str">
        <x:v>PRIMARY</x:v>
      </x:c>
      <x:c r="D158" s="28" t="str">
        <x:f>INDEX('Attempt Tokens'!$E$7:$E$36,MATCH(B158,'Attempt Tokens'!$B$7:$B$36,0))</x:f>
      </x:c>
      <x:c r="E158" s="28" t="str">
        <x:v>RP-04</x:v>
      </x:c>
      <x:c r="F158" s="28" t="n">
        <x:v>2</x:v>
      </x:c>
      <x:c r="G158" s="28" t="str">
        <x:f>IF(D158="","",IF(LEFT(D158,5)="RFP-A",IF(F158=1,"PTC-B","PTC-C"),IF(LEFT(D158,5)="RFP-B",IF(F158=1,"PTC-A","PTC-C"),IF(F158=1,"PTC-A","PTC-B"))))</x:f>
      </x:c>
      <x:c r="H158" s="29" t="str"/>
      <x:c r="I158" s="29" t="str"/>
      <x:c r="J158" s="29" t="str"/>
      <x:c r="K158" s="29" t="str"/>
      <x:c r="L158" s="29" t="str"/>
      <x:c r="M158" s="28" t="str">
        <x:f>IF(AND(C158="RESERVE",D158=""),"DORMANT",IF(L158="","OPEN",IF(AND(G158&lt;&gt;"",H158&lt;&gt;"",I158=H158,J158&lt;&gt;"",K158&lt;&gt;"",J158&lt;&gt;K158),"PASS","FAIL")))</x:f>
        <x:v>OPEN</x:v>
      </x:c>
    </x:row>
    <x:row r="159">
      <x:c r="B159" s="28" t="str">
        <x:v>AT-07</x:v>
      </x:c>
      <x:c r="C159" s="28" t="str">
        <x:v>PRIMARY</x:v>
      </x:c>
      <x:c r="D159" s="28" t="str">
        <x:f>INDEX('Attempt Tokens'!$E$7:$E$36,MATCH(B159,'Attempt Tokens'!$B$7:$B$36,0))</x:f>
      </x:c>
      <x:c r="E159" s="28" t="str">
        <x:v>RP-05</x:v>
      </x:c>
      <x:c r="F159" s="28" t="n">
        <x:v>1</x:v>
      </x:c>
      <x:c r="G159" s="28" t="str">
        <x:f>IF(D159="","",IF(LEFT(D159,5)="RFP-A",IF(F159=1,"PTC-B","PTC-C"),IF(LEFT(D159,5)="RFP-B",IF(F159=1,"PTC-A","PTC-C"),IF(F159=1,"PTC-A","PTC-B"))))</x:f>
      </x:c>
      <x:c r="H159" s="29" t="str"/>
      <x:c r="I159" s="29" t="str"/>
      <x:c r="J159" s="29" t="str"/>
      <x:c r="K159" s="29" t="str"/>
      <x:c r="L159" s="29" t="str"/>
      <x:c r="M159" s="28" t="str">
        <x:f>IF(AND(C159="RESERVE",D159=""),"DORMANT",IF(L159="","OPEN",IF(AND(G159&lt;&gt;"",H159&lt;&gt;"",I159=H159,J159&lt;&gt;"",K159&lt;&gt;"",J159&lt;&gt;K159),"PASS","FAIL")))</x:f>
        <x:v>OPEN</x:v>
      </x:c>
    </x:row>
    <x:row r="160">
      <x:c r="B160" s="28" t="str">
        <x:v>AT-07</x:v>
      </x:c>
      <x:c r="C160" s="28" t="str">
        <x:v>PRIMARY</x:v>
      </x:c>
      <x:c r="D160" s="28" t="str">
        <x:f>INDEX('Attempt Tokens'!$E$7:$E$36,MATCH(B160,'Attempt Tokens'!$B$7:$B$36,0))</x:f>
      </x:c>
      <x:c r="E160" s="28" t="str">
        <x:v>RP-05</x:v>
      </x:c>
      <x:c r="F160" s="28" t="n">
        <x:v>2</x:v>
      </x:c>
      <x:c r="G160" s="28" t="str">
        <x:f>IF(D160="","",IF(LEFT(D160,5)="RFP-A",IF(F160=1,"PTC-B","PTC-C"),IF(LEFT(D160,5)="RFP-B",IF(F160=1,"PTC-A","PTC-C"),IF(F160=1,"PTC-A","PTC-B"))))</x:f>
      </x:c>
      <x:c r="H160" s="29" t="str"/>
      <x:c r="I160" s="29" t="str"/>
      <x:c r="J160" s="29" t="str"/>
      <x:c r="K160" s="29" t="str"/>
      <x:c r="L160" s="29" t="str"/>
      <x:c r="M160" s="28" t="str">
        <x:f>IF(AND(C160="RESERVE",D160=""),"DORMANT",IF(L160="","OPEN",IF(AND(G160&lt;&gt;"",H160&lt;&gt;"",I160=H160,J160&lt;&gt;"",K160&lt;&gt;"",J160&lt;&gt;K160),"PASS","FAIL")))</x:f>
        <x:v>OPEN</x:v>
      </x:c>
    </x:row>
    <x:row r="161">
      <x:c r="B161" s="28" t="str">
        <x:v>AT-07</x:v>
      </x:c>
      <x:c r="C161" s="28" t="str">
        <x:v>PRIMARY</x:v>
      </x:c>
      <x:c r="D161" s="28" t="str">
        <x:f>INDEX('Attempt Tokens'!$E$7:$E$36,MATCH(B161,'Attempt Tokens'!$B$7:$B$36,0))</x:f>
      </x:c>
      <x:c r="E161" s="28" t="str">
        <x:v>RP-06</x:v>
      </x:c>
      <x:c r="F161" s="28" t="n">
        <x:v>1</x:v>
      </x:c>
      <x:c r="G161" s="28" t="str">
        <x:f>IF(D161="","",IF(LEFT(D161,5)="RFP-A",IF(F161=1,"PTC-B","PTC-C"),IF(LEFT(D161,5)="RFP-B",IF(F161=1,"PTC-A","PTC-C"),IF(F161=1,"PTC-A","PTC-B"))))</x:f>
      </x:c>
      <x:c r="H161" s="29" t="str"/>
      <x:c r="I161" s="29" t="str"/>
      <x:c r="J161" s="29" t="str"/>
      <x:c r="K161" s="29" t="str"/>
      <x:c r="L161" s="29" t="str"/>
      <x:c r="M161" s="28" t="str">
        <x:f>IF(AND(C161="RESERVE",D161=""),"DORMANT",IF(L161="","OPEN",IF(AND(G161&lt;&gt;"",H161&lt;&gt;"",I161=H161,J161&lt;&gt;"",K161&lt;&gt;"",J161&lt;&gt;K161),"PASS","FAIL")))</x:f>
        <x:v>OPEN</x:v>
      </x:c>
    </x:row>
    <x:row r="162">
      <x:c r="B162" s="28" t="str">
        <x:v>AT-07</x:v>
      </x:c>
      <x:c r="C162" s="28" t="str">
        <x:v>PRIMARY</x:v>
      </x:c>
      <x:c r="D162" s="28" t="str">
        <x:f>INDEX('Attempt Tokens'!$E$7:$E$36,MATCH(B162,'Attempt Tokens'!$B$7:$B$36,0))</x:f>
      </x:c>
      <x:c r="E162" s="28" t="str">
        <x:v>RP-06</x:v>
      </x:c>
      <x:c r="F162" s="28" t="n">
        <x:v>2</x:v>
      </x:c>
      <x:c r="G162" s="28" t="str">
        <x:f>IF(D162="","",IF(LEFT(D162,5)="RFP-A",IF(F162=1,"PTC-B","PTC-C"),IF(LEFT(D162,5)="RFP-B",IF(F162=1,"PTC-A","PTC-C"),IF(F162=1,"PTC-A","PTC-B"))))</x:f>
      </x:c>
      <x:c r="H162" s="29" t="str"/>
      <x:c r="I162" s="29" t="str"/>
      <x:c r="J162" s="29" t="str"/>
      <x:c r="K162" s="29" t="str"/>
      <x:c r="L162" s="29" t="str"/>
      <x:c r="M162" s="28" t="str">
        <x:f>IF(AND(C162="RESERVE",D162=""),"DORMANT",IF(L162="","OPEN",IF(AND(G162&lt;&gt;"",H162&lt;&gt;"",I162=H162,J162&lt;&gt;"",K162&lt;&gt;"",J162&lt;&gt;K162),"PASS","FAIL")))</x:f>
        <x:v>OPEN</x:v>
      </x:c>
    </x:row>
    <x:row r="163">
      <x:c r="B163" s="28" t="str">
        <x:v>AT-07</x:v>
      </x:c>
      <x:c r="C163" s="28" t="str">
        <x:v>PRIMARY</x:v>
      </x:c>
      <x:c r="D163" s="28" t="str">
        <x:f>INDEX('Attempt Tokens'!$E$7:$E$36,MATCH(B163,'Attempt Tokens'!$B$7:$B$36,0))</x:f>
      </x:c>
      <x:c r="E163" s="28" t="str">
        <x:v>RP-07</x:v>
      </x:c>
      <x:c r="F163" s="28" t="n">
        <x:v>1</x:v>
      </x:c>
      <x:c r="G163" s="28" t="str">
        <x:f>IF(D163="","",IF(LEFT(D163,5)="RFP-A",IF(F163=1,"PTC-B","PTC-C"),IF(LEFT(D163,5)="RFP-B",IF(F163=1,"PTC-A","PTC-C"),IF(F163=1,"PTC-A","PTC-B"))))</x:f>
      </x:c>
      <x:c r="H163" s="29" t="str"/>
      <x:c r="I163" s="29" t="str"/>
      <x:c r="J163" s="29" t="str"/>
      <x:c r="K163" s="29" t="str"/>
      <x:c r="L163" s="29" t="str"/>
      <x:c r="M163" s="28" t="str">
        <x:f>IF(AND(C163="RESERVE",D163=""),"DORMANT",IF(L163="","OPEN",IF(AND(G163&lt;&gt;"",H163&lt;&gt;"",I163=H163,J163&lt;&gt;"",K163&lt;&gt;"",J163&lt;&gt;K163),"PASS","FAIL")))</x:f>
        <x:v>OPEN</x:v>
      </x:c>
    </x:row>
    <x:row r="164">
      <x:c r="B164" s="28" t="str">
        <x:v>AT-07</x:v>
      </x:c>
      <x:c r="C164" s="28" t="str">
        <x:v>PRIMARY</x:v>
      </x:c>
      <x:c r="D164" s="28" t="str">
        <x:f>INDEX('Attempt Tokens'!$E$7:$E$36,MATCH(B164,'Attempt Tokens'!$B$7:$B$36,0))</x:f>
      </x:c>
      <x:c r="E164" s="28" t="str">
        <x:v>RP-07</x:v>
      </x:c>
      <x:c r="F164" s="28" t="n">
        <x:v>2</x:v>
      </x:c>
      <x:c r="G164" s="28" t="str">
        <x:f>IF(D164="","",IF(LEFT(D164,5)="RFP-A",IF(F164=1,"PTC-B","PTC-C"),IF(LEFT(D164,5)="RFP-B",IF(F164=1,"PTC-A","PTC-C"),IF(F164=1,"PTC-A","PTC-B"))))</x:f>
      </x:c>
      <x:c r="H164" s="29" t="str"/>
      <x:c r="I164" s="29" t="str"/>
      <x:c r="J164" s="29" t="str"/>
      <x:c r="K164" s="29" t="str"/>
      <x:c r="L164" s="29" t="str"/>
      <x:c r="M164" s="28" t="str">
        <x:f>IF(AND(C164="RESERVE",D164=""),"DORMANT",IF(L164="","OPEN",IF(AND(G164&lt;&gt;"",H164&lt;&gt;"",I164=H164,J164&lt;&gt;"",K164&lt;&gt;"",J164&lt;&gt;K164),"PASS","FAIL")))</x:f>
        <x:v>OPEN</x:v>
      </x:c>
    </x:row>
    <x:row r="165">
      <x:c r="B165" s="28" t="str">
        <x:v>AT-07</x:v>
      </x:c>
      <x:c r="C165" s="28" t="str">
        <x:v>PRIMARY</x:v>
      </x:c>
      <x:c r="D165" s="28" t="str">
        <x:f>INDEX('Attempt Tokens'!$E$7:$E$36,MATCH(B165,'Attempt Tokens'!$B$7:$B$36,0))</x:f>
      </x:c>
      <x:c r="E165" s="28" t="str">
        <x:v>RP-08</x:v>
      </x:c>
      <x:c r="F165" s="28" t="n">
        <x:v>1</x:v>
      </x:c>
      <x:c r="G165" s="28" t="str">
        <x:f>IF(D165="","",IF(LEFT(D165,5)="RFP-A",IF(F165=1,"PTC-B","PTC-C"),IF(LEFT(D165,5)="RFP-B",IF(F165=1,"PTC-A","PTC-C"),IF(F165=1,"PTC-A","PTC-B"))))</x:f>
      </x:c>
      <x:c r="H165" s="29" t="str"/>
      <x:c r="I165" s="29" t="str"/>
      <x:c r="J165" s="29" t="str"/>
      <x:c r="K165" s="29" t="str"/>
      <x:c r="L165" s="29" t="str"/>
      <x:c r="M165" s="28" t="str">
        <x:f>IF(AND(C165="RESERVE",D165=""),"DORMANT",IF(L165="","OPEN",IF(AND(G165&lt;&gt;"",H165&lt;&gt;"",I165=H165,J165&lt;&gt;"",K165&lt;&gt;"",J165&lt;&gt;K165),"PASS","FAIL")))</x:f>
        <x:v>OPEN</x:v>
      </x:c>
    </x:row>
    <x:row r="166">
      <x:c r="B166" s="28" t="str">
        <x:v>AT-07</x:v>
      </x:c>
      <x:c r="C166" s="28" t="str">
        <x:v>PRIMARY</x:v>
      </x:c>
      <x:c r="D166" s="28" t="str">
        <x:f>INDEX('Attempt Tokens'!$E$7:$E$36,MATCH(B166,'Attempt Tokens'!$B$7:$B$36,0))</x:f>
      </x:c>
      <x:c r="E166" s="28" t="str">
        <x:v>RP-08</x:v>
      </x:c>
      <x:c r="F166" s="28" t="n">
        <x:v>2</x:v>
      </x:c>
      <x:c r="G166" s="28" t="str">
        <x:f>IF(D166="","",IF(LEFT(D166,5)="RFP-A",IF(F166=1,"PTC-B","PTC-C"),IF(LEFT(D166,5)="RFP-B",IF(F166=1,"PTC-A","PTC-C"),IF(F166=1,"PTC-A","PTC-B"))))</x:f>
      </x:c>
      <x:c r="H166" s="29" t="str"/>
      <x:c r="I166" s="29" t="str"/>
      <x:c r="J166" s="29" t="str"/>
      <x:c r="K166" s="29" t="str"/>
      <x:c r="L166" s="29" t="str"/>
      <x:c r="M166" s="28" t="str">
        <x:f>IF(AND(C166="RESERVE",D166=""),"DORMANT",IF(L166="","OPEN",IF(AND(G166&lt;&gt;"",H166&lt;&gt;"",I166=H166,J166&lt;&gt;"",K166&lt;&gt;"",J166&lt;&gt;K166),"PASS","FAIL")))</x:f>
        <x:v>OPEN</x:v>
      </x:c>
    </x:row>
    <x:row r="167">
      <x:c r="B167" s="28" t="str">
        <x:v>AT-07</x:v>
      </x:c>
      <x:c r="C167" s="28" t="str">
        <x:v>PRIMARY</x:v>
      </x:c>
      <x:c r="D167" s="28" t="str">
        <x:f>INDEX('Attempt Tokens'!$E$7:$E$36,MATCH(B167,'Attempt Tokens'!$B$7:$B$36,0))</x:f>
      </x:c>
      <x:c r="E167" s="28" t="str">
        <x:v>RP-09</x:v>
      </x:c>
      <x:c r="F167" s="28" t="n">
        <x:v>1</x:v>
      </x:c>
      <x:c r="G167" s="28" t="str">
        <x:f>IF(D167="","",IF(LEFT(D167,5)="RFP-A",IF(F167=1,"PTC-B","PTC-C"),IF(LEFT(D167,5)="RFP-B",IF(F167=1,"PTC-A","PTC-C"),IF(F167=1,"PTC-A","PTC-B"))))</x:f>
      </x:c>
      <x:c r="H167" s="29" t="str"/>
      <x:c r="I167" s="29" t="str"/>
      <x:c r="J167" s="29" t="str"/>
      <x:c r="K167" s="29" t="str"/>
      <x:c r="L167" s="29" t="str"/>
      <x:c r="M167" s="28" t="str">
        <x:f>IF(AND(C167="RESERVE",D167=""),"DORMANT",IF(L167="","OPEN",IF(AND(G167&lt;&gt;"",H167&lt;&gt;"",I167=H167,J167&lt;&gt;"",K167&lt;&gt;"",J167&lt;&gt;K167),"PASS","FAIL")))</x:f>
        <x:v>OPEN</x:v>
      </x:c>
    </x:row>
    <x:row r="168">
      <x:c r="B168" s="28" t="str">
        <x:v>AT-07</x:v>
      </x:c>
      <x:c r="C168" s="28" t="str">
        <x:v>PRIMARY</x:v>
      </x:c>
      <x:c r="D168" s="28" t="str">
        <x:f>INDEX('Attempt Tokens'!$E$7:$E$36,MATCH(B168,'Attempt Tokens'!$B$7:$B$36,0))</x:f>
      </x:c>
      <x:c r="E168" s="28" t="str">
        <x:v>RP-09</x:v>
      </x:c>
      <x:c r="F168" s="28" t="n">
        <x:v>2</x:v>
      </x:c>
      <x:c r="G168" s="28" t="str">
        <x:f>IF(D168="","",IF(LEFT(D168,5)="RFP-A",IF(F168=1,"PTC-B","PTC-C"),IF(LEFT(D168,5)="RFP-B",IF(F168=1,"PTC-A","PTC-C"),IF(F168=1,"PTC-A","PTC-B"))))</x:f>
      </x:c>
      <x:c r="H168" s="29" t="str"/>
      <x:c r="I168" s="29" t="str"/>
      <x:c r="J168" s="29" t="str"/>
      <x:c r="K168" s="29" t="str"/>
      <x:c r="L168" s="29" t="str"/>
      <x:c r="M168" s="28" t="str">
        <x:f>IF(AND(C168="RESERVE",D168=""),"DORMANT",IF(L168="","OPEN",IF(AND(G168&lt;&gt;"",H168&lt;&gt;"",I168=H168,J168&lt;&gt;"",K168&lt;&gt;"",J168&lt;&gt;K168),"PASS","FAIL")))</x:f>
        <x:v>OPEN</x:v>
      </x:c>
    </x:row>
    <x:row r="169">
      <x:c r="B169" s="28" t="str">
        <x:v>AT-07</x:v>
      </x:c>
      <x:c r="C169" s="28" t="str">
        <x:v>PRIMARY</x:v>
      </x:c>
      <x:c r="D169" s="28" t="str">
        <x:f>INDEX('Attempt Tokens'!$E$7:$E$36,MATCH(B169,'Attempt Tokens'!$B$7:$B$36,0))</x:f>
      </x:c>
      <x:c r="E169" s="28" t="str">
        <x:v>RP-10</x:v>
      </x:c>
      <x:c r="F169" s="28" t="n">
        <x:v>1</x:v>
      </x:c>
      <x:c r="G169" s="28" t="str">
        <x:f>IF(D169="","",IF(LEFT(D169,5)="RFP-A",IF(F169=1,"PTC-B","PTC-C"),IF(LEFT(D169,5)="RFP-B",IF(F169=1,"PTC-A","PTC-C"),IF(F169=1,"PTC-A","PTC-B"))))</x:f>
      </x:c>
      <x:c r="H169" s="29" t="str"/>
      <x:c r="I169" s="29" t="str"/>
      <x:c r="J169" s="29" t="str"/>
      <x:c r="K169" s="29" t="str"/>
      <x:c r="L169" s="29" t="str"/>
      <x:c r="M169" s="28" t="str">
        <x:f>IF(AND(C169="RESERVE",D169=""),"DORMANT",IF(L169="","OPEN",IF(AND(G169&lt;&gt;"",H169&lt;&gt;"",I169=H169,J169&lt;&gt;"",K169&lt;&gt;"",J169&lt;&gt;K169),"PASS","FAIL")))</x:f>
        <x:v>OPEN</x:v>
      </x:c>
    </x:row>
    <x:row r="170">
      <x:c r="B170" s="28" t="str">
        <x:v>AT-07</x:v>
      </x:c>
      <x:c r="C170" s="28" t="str">
        <x:v>PRIMARY</x:v>
      </x:c>
      <x:c r="D170" s="28" t="str">
        <x:f>INDEX('Attempt Tokens'!$E$7:$E$36,MATCH(B170,'Attempt Tokens'!$B$7:$B$36,0))</x:f>
      </x:c>
      <x:c r="E170" s="28" t="str">
        <x:v>RP-10</x:v>
      </x:c>
      <x:c r="F170" s="28" t="n">
        <x:v>2</x:v>
      </x:c>
      <x:c r="G170" s="28" t="str">
        <x:f>IF(D170="","",IF(LEFT(D170,5)="RFP-A",IF(F170=1,"PTC-B","PTC-C"),IF(LEFT(D170,5)="RFP-B",IF(F170=1,"PTC-A","PTC-C"),IF(F170=1,"PTC-A","PTC-B"))))</x:f>
      </x:c>
      <x:c r="H170" s="29" t="str"/>
      <x:c r="I170" s="29" t="str"/>
      <x:c r="J170" s="29" t="str"/>
      <x:c r="K170" s="29" t="str"/>
      <x:c r="L170" s="29" t="str"/>
      <x:c r="M170" s="28" t="str">
        <x:f>IF(AND(C170="RESERVE",D170=""),"DORMANT",IF(L170="","OPEN",IF(AND(G170&lt;&gt;"",H170&lt;&gt;"",I170=H170,J170&lt;&gt;"",K170&lt;&gt;"",J170&lt;&gt;K170),"PASS","FAIL")))</x:f>
        <x:v>OPEN</x:v>
      </x:c>
    </x:row>
    <x:row r="171">
      <x:c r="B171" s="28" t="str">
        <x:v>AT-07</x:v>
      </x:c>
      <x:c r="C171" s="28" t="str">
        <x:v>PRIMARY</x:v>
      </x:c>
      <x:c r="D171" s="28" t="str">
        <x:f>INDEX('Attempt Tokens'!$E$7:$E$36,MATCH(B171,'Attempt Tokens'!$B$7:$B$36,0))</x:f>
      </x:c>
      <x:c r="E171" s="28" t="str">
        <x:v>RP-11</x:v>
      </x:c>
      <x:c r="F171" s="28" t="n">
        <x:v>1</x:v>
      </x:c>
      <x:c r="G171" s="28" t="str">
        <x:f>IF(D171="","",IF(LEFT(D171,5)="RFP-A",IF(F171=1,"PTC-B","PTC-C"),IF(LEFT(D171,5)="RFP-B",IF(F171=1,"PTC-A","PTC-C"),IF(F171=1,"PTC-A","PTC-B"))))</x:f>
      </x:c>
      <x:c r="H171" s="29" t="str"/>
      <x:c r="I171" s="29" t="str"/>
      <x:c r="J171" s="29" t="str"/>
      <x:c r="K171" s="29" t="str"/>
      <x:c r="L171" s="29" t="str"/>
      <x:c r="M171" s="28" t="str">
        <x:f>IF(AND(C171="RESERVE",D171=""),"DORMANT",IF(L171="","OPEN",IF(AND(G171&lt;&gt;"",H171&lt;&gt;"",I171=H171,J171&lt;&gt;"",K171&lt;&gt;"",J171&lt;&gt;K171),"PASS","FAIL")))</x:f>
        <x:v>OPEN</x:v>
      </x:c>
    </x:row>
    <x:row r="172">
      <x:c r="B172" s="28" t="str">
        <x:v>AT-07</x:v>
      </x:c>
      <x:c r="C172" s="28" t="str">
        <x:v>PRIMARY</x:v>
      </x:c>
      <x:c r="D172" s="28" t="str">
        <x:f>INDEX('Attempt Tokens'!$E$7:$E$36,MATCH(B172,'Attempt Tokens'!$B$7:$B$36,0))</x:f>
      </x:c>
      <x:c r="E172" s="28" t="str">
        <x:v>RP-11</x:v>
      </x:c>
      <x:c r="F172" s="28" t="n">
        <x:v>2</x:v>
      </x:c>
      <x:c r="G172" s="28" t="str">
        <x:f>IF(D172="","",IF(LEFT(D172,5)="RFP-A",IF(F172=1,"PTC-B","PTC-C"),IF(LEFT(D172,5)="RFP-B",IF(F172=1,"PTC-A","PTC-C"),IF(F172=1,"PTC-A","PTC-B"))))</x:f>
      </x:c>
      <x:c r="H172" s="29" t="str"/>
      <x:c r="I172" s="29" t="str"/>
      <x:c r="J172" s="29" t="str"/>
      <x:c r="K172" s="29" t="str"/>
      <x:c r="L172" s="29" t="str"/>
      <x:c r="M172" s="28" t="str">
        <x:f>IF(AND(C172="RESERVE",D172=""),"DORMANT",IF(L172="","OPEN",IF(AND(G172&lt;&gt;"",H172&lt;&gt;"",I172=H172,J172&lt;&gt;"",K172&lt;&gt;"",J172&lt;&gt;K172),"PASS","FAIL")))</x:f>
        <x:v>OPEN</x:v>
      </x:c>
    </x:row>
    <x:row r="173">
      <x:c r="B173" s="28" t="str">
        <x:v>AT-07</x:v>
      </x:c>
      <x:c r="C173" s="28" t="str">
        <x:v>PRIMARY</x:v>
      </x:c>
      <x:c r="D173" s="28" t="str">
        <x:f>INDEX('Attempt Tokens'!$E$7:$E$36,MATCH(B173,'Attempt Tokens'!$B$7:$B$36,0))</x:f>
      </x:c>
      <x:c r="E173" s="28" t="str">
        <x:v>RP-12</x:v>
      </x:c>
      <x:c r="F173" s="28" t="n">
        <x:v>1</x:v>
      </x:c>
      <x:c r="G173" s="28" t="str">
        <x:f>IF(D173="","",IF(LEFT(D173,5)="RFP-A",IF(F173=1,"PTC-B","PTC-C"),IF(LEFT(D173,5)="RFP-B",IF(F173=1,"PTC-A","PTC-C"),IF(F173=1,"PTC-A","PTC-B"))))</x:f>
      </x:c>
      <x:c r="H173" s="29" t="str"/>
      <x:c r="I173" s="29" t="str"/>
      <x:c r="J173" s="29" t="str"/>
      <x:c r="K173" s="29" t="str"/>
      <x:c r="L173" s="29" t="str"/>
      <x:c r="M173" s="28" t="str">
        <x:f>IF(AND(C173="RESERVE",D173=""),"DORMANT",IF(L173="","OPEN",IF(AND(G173&lt;&gt;"",H173&lt;&gt;"",I173=H173,J173&lt;&gt;"",K173&lt;&gt;"",J173&lt;&gt;K173),"PASS","FAIL")))</x:f>
        <x:v>OPEN</x:v>
      </x:c>
    </x:row>
    <x:row r="174">
      <x:c r="B174" s="28" t="str">
        <x:v>AT-07</x:v>
      </x:c>
      <x:c r="C174" s="28" t="str">
        <x:v>PRIMARY</x:v>
      </x:c>
      <x:c r="D174" s="28" t="str">
        <x:f>INDEX('Attempt Tokens'!$E$7:$E$36,MATCH(B174,'Attempt Tokens'!$B$7:$B$36,0))</x:f>
      </x:c>
      <x:c r="E174" s="28" t="str">
        <x:v>RP-12</x:v>
      </x:c>
      <x:c r="F174" s="28" t="n">
        <x:v>2</x:v>
      </x:c>
      <x:c r="G174" s="28" t="str">
        <x:f>IF(D174="","",IF(LEFT(D174,5)="RFP-A",IF(F174=1,"PTC-B","PTC-C"),IF(LEFT(D174,5)="RFP-B",IF(F174=1,"PTC-A","PTC-C"),IF(F174=1,"PTC-A","PTC-B"))))</x:f>
      </x:c>
      <x:c r="H174" s="29" t="str"/>
      <x:c r="I174" s="29" t="str"/>
      <x:c r="J174" s="29" t="str"/>
      <x:c r="K174" s="29" t="str"/>
      <x:c r="L174" s="29" t="str"/>
      <x:c r="M174" s="28" t="str">
        <x:f>IF(AND(C174="RESERVE",D174=""),"DORMANT",IF(L174="","OPEN",IF(AND(G174&lt;&gt;"",H174&lt;&gt;"",I174=H174,J174&lt;&gt;"",K174&lt;&gt;"",J174&lt;&gt;K174),"PASS","FAIL")))</x:f>
        <x:v>OPEN</x:v>
      </x:c>
    </x:row>
    <x:row r="175">
      <x:c r="B175" s="28" t="str">
        <x:v>AT-08</x:v>
      </x:c>
      <x:c r="C175" s="28" t="str">
        <x:v>PRIMARY</x:v>
      </x:c>
      <x:c r="D175" s="28" t="str">
        <x:f>INDEX('Attempt Tokens'!$E$7:$E$36,MATCH(B175,'Attempt Tokens'!$B$7:$B$36,0))</x:f>
      </x:c>
      <x:c r="E175" s="28" t="str">
        <x:v>RP-01</x:v>
      </x:c>
      <x:c r="F175" s="28" t="n">
        <x:v>1</x:v>
      </x:c>
      <x:c r="G175" s="28" t="str">
        <x:f>IF(D175="","",IF(LEFT(D175,5)="RFP-A",IF(F175=1,"PTC-B","PTC-C"),IF(LEFT(D175,5)="RFP-B",IF(F175=1,"PTC-A","PTC-C"),IF(F175=1,"PTC-A","PTC-B"))))</x:f>
      </x:c>
      <x:c r="H175" s="29" t="str"/>
      <x:c r="I175" s="29" t="str"/>
      <x:c r="J175" s="29" t="str"/>
      <x:c r="K175" s="29" t="str"/>
      <x:c r="L175" s="29" t="str"/>
      <x:c r="M175" s="28" t="str">
        <x:f>IF(AND(C175="RESERVE",D175=""),"DORMANT",IF(L175="","OPEN",IF(AND(G175&lt;&gt;"",H175&lt;&gt;"",I175=H175,J175&lt;&gt;"",K175&lt;&gt;"",J175&lt;&gt;K175),"PASS","FAIL")))</x:f>
        <x:v>OPEN</x:v>
      </x:c>
    </x:row>
    <x:row r="176">
      <x:c r="B176" s="28" t="str">
        <x:v>AT-08</x:v>
      </x:c>
      <x:c r="C176" s="28" t="str">
        <x:v>PRIMARY</x:v>
      </x:c>
      <x:c r="D176" s="28" t="str">
        <x:f>INDEX('Attempt Tokens'!$E$7:$E$36,MATCH(B176,'Attempt Tokens'!$B$7:$B$36,0))</x:f>
      </x:c>
      <x:c r="E176" s="28" t="str">
        <x:v>RP-01</x:v>
      </x:c>
      <x:c r="F176" s="28" t="n">
        <x:v>2</x:v>
      </x:c>
      <x:c r="G176" s="28" t="str">
        <x:f>IF(D176="","",IF(LEFT(D176,5)="RFP-A",IF(F176=1,"PTC-B","PTC-C"),IF(LEFT(D176,5)="RFP-B",IF(F176=1,"PTC-A","PTC-C"),IF(F176=1,"PTC-A","PTC-B"))))</x:f>
      </x:c>
      <x:c r="H176" s="29" t="str"/>
      <x:c r="I176" s="29" t="str"/>
      <x:c r="J176" s="29" t="str"/>
      <x:c r="K176" s="29" t="str"/>
      <x:c r="L176" s="29" t="str"/>
      <x:c r="M176" s="28" t="str">
        <x:f>IF(AND(C176="RESERVE",D176=""),"DORMANT",IF(L176="","OPEN",IF(AND(G176&lt;&gt;"",H176&lt;&gt;"",I176=H176,J176&lt;&gt;"",K176&lt;&gt;"",J176&lt;&gt;K176),"PASS","FAIL")))</x:f>
        <x:v>OPEN</x:v>
      </x:c>
    </x:row>
    <x:row r="177">
      <x:c r="B177" s="28" t="str">
        <x:v>AT-08</x:v>
      </x:c>
      <x:c r="C177" s="28" t="str">
        <x:v>PRIMARY</x:v>
      </x:c>
      <x:c r="D177" s="28" t="str">
        <x:f>INDEX('Attempt Tokens'!$E$7:$E$36,MATCH(B177,'Attempt Tokens'!$B$7:$B$36,0))</x:f>
      </x:c>
      <x:c r="E177" s="28" t="str">
        <x:v>RP-02</x:v>
      </x:c>
      <x:c r="F177" s="28" t="n">
        <x:v>1</x:v>
      </x:c>
      <x:c r="G177" s="28" t="str">
        <x:f>IF(D177="","",IF(LEFT(D177,5)="RFP-A",IF(F177=1,"PTC-B","PTC-C"),IF(LEFT(D177,5)="RFP-B",IF(F177=1,"PTC-A","PTC-C"),IF(F177=1,"PTC-A","PTC-B"))))</x:f>
      </x:c>
      <x:c r="H177" s="29" t="str"/>
      <x:c r="I177" s="29" t="str"/>
      <x:c r="J177" s="29" t="str"/>
      <x:c r="K177" s="29" t="str"/>
      <x:c r="L177" s="29" t="str"/>
      <x:c r="M177" s="28" t="str">
        <x:f>IF(AND(C177="RESERVE",D177=""),"DORMANT",IF(L177="","OPEN",IF(AND(G177&lt;&gt;"",H177&lt;&gt;"",I177=H177,J177&lt;&gt;"",K177&lt;&gt;"",J177&lt;&gt;K177),"PASS","FAIL")))</x:f>
        <x:v>OPEN</x:v>
      </x:c>
    </x:row>
    <x:row r="178">
      <x:c r="B178" s="28" t="str">
        <x:v>AT-08</x:v>
      </x:c>
      <x:c r="C178" s="28" t="str">
        <x:v>PRIMARY</x:v>
      </x:c>
      <x:c r="D178" s="28" t="str">
        <x:f>INDEX('Attempt Tokens'!$E$7:$E$36,MATCH(B178,'Attempt Tokens'!$B$7:$B$36,0))</x:f>
      </x:c>
      <x:c r="E178" s="28" t="str">
        <x:v>RP-02</x:v>
      </x:c>
      <x:c r="F178" s="28" t="n">
        <x:v>2</x:v>
      </x:c>
      <x:c r="G178" s="28" t="str">
        <x:f>IF(D178="","",IF(LEFT(D178,5)="RFP-A",IF(F178=1,"PTC-B","PTC-C"),IF(LEFT(D178,5)="RFP-B",IF(F178=1,"PTC-A","PTC-C"),IF(F178=1,"PTC-A","PTC-B"))))</x:f>
      </x:c>
      <x:c r="H178" s="29" t="str"/>
      <x:c r="I178" s="29" t="str"/>
      <x:c r="J178" s="29" t="str"/>
      <x:c r="K178" s="29" t="str"/>
      <x:c r="L178" s="29" t="str"/>
      <x:c r="M178" s="28" t="str">
        <x:f>IF(AND(C178="RESERVE",D178=""),"DORMANT",IF(L178="","OPEN",IF(AND(G178&lt;&gt;"",H178&lt;&gt;"",I178=H178,J178&lt;&gt;"",K178&lt;&gt;"",J178&lt;&gt;K178),"PASS","FAIL")))</x:f>
        <x:v>OPEN</x:v>
      </x:c>
    </x:row>
    <x:row r="179">
      <x:c r="B179" s="28" t="str">
        <x:v>AT-08</x:v>
      </x:c>
      <x:c r="C179" s="28" t="str">
        <x:v>PRIMARY</x:v>
      </x:c>
      <x:c r="D179" s="28" t="str">
        <x:f>INDEX('Attempt Tokens'!$E$7:$E$36,MATCH(B179,'Attempt Tokens'!$B$7:$B$36,0))</x:f>
      </x:c>
      <x:c r="E179" s="28" t="str">
        <x:v>RP-03</x:v>
      </x:c>
      <x:c r="F179" s="28" t="n">
        <x:v>1</x:v>
      </x:c>
      <x:c r="G179" s="28" t="str">
        <x:f>IF(D179="","",IF(LEFT(D179,5)="RFP-A",IF(F179=1,"PTC-B","PTC-C"),IF(LEFT(D179,5)="RFP-B",IF(F179=1,"PTC-A","PTC-C"),IF(F179=1,"PTC-A","PTC-B"))))</x:f>
      </x:c>
      <x:c r="H179" s="29" t="str"/>
      <x:c r="I179" s="29" t="str"/>
      <x:c r="J179" s="29" t="str"/>
      <x:c r="K179" s="29" t="str"/>
      <x:c r="L179" s="29" t="str"/>
      <x:c r="M179" s="28" t="str">
        <x:f>IF(AND(C179="RESERVE",D179=""),"DORMANT",IF(L179="","OPEN",IF(AND(G179&lt;&gt;"",H179&lt;&gt;"",I179=H179,J179&lt;&gt;"",K179&lt;&gt;"",J179&lt;&gt;K179),"PASS","FAIL")))</x:f>
        <x:v>OPEN</x:v>
      </x:c>
    </x:row>
    <x:row r="180">
      <x:c r="B180" s="28" t="str">
        <x:v>AT-08</x:v>
      </x:c>
      <x:c r="C180" s="28" t="str">
        <x:v>PRIMARY</x:v>
      </x:c>
      <x:c r="D180" s="28" t="str">
        <x:f>INDEX('Attempt Tokens'!$E$7:$E$36,MATCH(B180,'Attempt Tokens'!$B$7:$B$36,0))</x:f>
      </x:c>
      <x:c r="E180" s="28" t="str">
        <x:v>RP-03</x:v>
      </x:c>
      <x:c r="F180" s="28" t="n">
        <x:v>2</x:v>
      </x:c>
      <x:c r="G180" s="28" t="str">
        <x:f>IF(D180="","",IF(LEFT(D180,5)="RFP-A",IF(F180=1,"PTC-B","PTC-C"),IF(LEFT(D180,5)="RFP-B",IF(F180=1,"PTC-A","PTC-C"),IF(F180=1,"PTC-A","PTC-B"))))</x:f>
      </x:c>
      <x:c r="H180" s="29" t="str"/>
      <x:c r="I180" s="29" t="str"/>
      <x:c r="J180" s="29" t="str"/>
      <x:c r="K180" s="29" t="str"/>
      <x:c r="L180" s="29" t="str"/>
      <x:c r="M180" s="28" t="str">
        <x:f>IF(AND(C180="RESERVE",D180=""),"DORMANT",IF(L180="","OPEN",IF(AND(G180&lt;&gt;"",H180&lt;&gt;"",I180=H180,J180&lt;&gt;"",K180&lt;&gt;"",J180&lt;&gt;K180),"PASS","FAIL")))</x:f>
        <x:v>OPEN</x:v>
      </x:c>
    </x:row>
    <x:row r="181">
      <x:c r="B181" s="28" t="str">
        <x:v>AT-08</x:v>
      </x:c>
      <x:c r="C181" s="28" t="str">
        <x:v>PRIMARY</x:v>
      </x:c>
      <x:c r="D181" s="28" t="str">
        <x:f>INDEX('Attempt Tokens'!$E$7:$E$36,MATCH(B181,'Attempt Tokens'!$B$7:$B$36,0))</x:f>
      </x:c>
      <x:c r="E181" s="28" t="str">
        <x:v>RP-04</x:v>
      </x:c>
      <x:c r="F181" s="28" t="n">
        <x:v>1</x:v>
      </x:c>
      <x:c r="G181" s="28" t="str">
        <x:f>IF(D181="","",IF(LEFT(D181,5)="RFP-A",IF(F181=1,"PTC-B","PTC-C"),IF(LEFT(D181,5)="RFP-B",IF(F181=1,"PTC-A","PTC-C"),IF(F181=1,"PTC-A","PTC-B"))))</x:f>
      </x:c>
      <x:c r="H181" s="29" t="str"/>
      <x:c r="I181" s="29" t="str"/>
      <x:c r="J181" s="29" t="str"/>
      <x:c r="K181" s="29" t="str"/>
      <x:c r="L181" s="29" t="str"/>
      <x:c r="M181" s="28" t="str">
        <x:f>IF(AND(C181="RESERVE",D181=""),"DORMANT",IF(L181="","OPEN",IF(AND(G181&lt;&gt;"",H181&lt;&gt;"",I181=H181,J181&lt;&gt;"",K181&lt;&gt;"",J181&lt;&gt;K181),"PASS","FAIL")))</x:f>
        <x:v>OPEN</x:v>
      </x:c>
    </x:row>
    <x:row r="182">
      <x:c r="B182" s="28" t="str">
        <x:v>AT-08</x:v>
      </x:c>
      <x:c r="C182" s="28" t="str">
        <x:v>PRIMARY</x:v>
      </x:c>
      <x:c r="D182" s="28" t="str">
        <x:f>INDEX('Attempt Tokens'!$E$7:$E$36,MATCH(B182,'Attempt Tokens'!$B$7:$B$36,0))</x:f>
      </x:c>
      <x:c r="E182" s="28" t="str">
        <x:v>RP-04</x:v>
      </x:c>
      <x:c r="F182" s="28" t="n">
        <x:v>2</x:v>
      </x:c>
      <x:c r="G182" s="28" t="str">
        <x:f>IF(D182="","",IF(LEFT(D182,5)="RFP-A",IF(F182=1,"PTC-B","PTC-C"),IF(LEFT(D182,5)="RFP-B",IF(F182=1,"PTC-A","PTC-C"),IF(F182=1,"PTC-A","PTC-B"))))</x:f>
      </x:c>
      <x:c r="H182" s="29" t="str"/>
      <x:c r="I182" s="29" t="str"/>
      <x:c r="J182" s="29" t="str"/>
      <x:c r="K182" s="29" t="str"/>
      <x:c r="L182" s="29" t="str"/>
      <x:c r="M182" s="28" t="str">
        <x:f>IF(AND(C182="RESERVE",D182=""),"DORMANT",IF(L182="","OPEN",IF(AND(G182&lt;&gt;"",H182&lt;&gt;"",I182=H182,J182&lt;&gt;"",K182&lt;&gt;"",J182&lt;&gt;K182),"PASS","FAIL")))</x:f>
        <x:v>OPEN</x:v>
      </x:c>
    </x:row>
    <x:row r="183">
      <x:c r="B183" s="28" t="str">
        <x:v>AT-08</x:v>
      </x:c>
      <x:c r="C183" s="28" t="str">
        <x:v>PRIMARY</x:v>
      </x:c>
      <x:c r="D183" s="28" t="str">
        <x:f>INDEX('Attempt Tokens'!$E$7:$E$36,MATCH(B183,'Attempt Tokens'!$B$7:$B$36,0))</x:f>
      </x:c>
      <x:c r="E183" s="28" t="str">
        <x:v>RP-05</x:v>
      </x:c>
      <x:c r="F183" s="28" t="n">
        <x:v>1</x:v>
      </x:c>
      <x:c r="G183" s="28" t="str">
        <x:f>IF(D183="","",IF(LEFT(D183,5)="RFP-A",IF(F183=1,"PTC-B","PTC-C"),IF(LEFT(D183,5)="RFP-B",IF(F183=1,"PTC-A","PTC-C"),IF(F183=1,"PTC-A","PTC-B"))))</x:f>
      </x:c>
      <x:c r="H183" s="29" t="str"/>
      <x:c r="I183" s="29" t="str"/>
      <x:c r="J183" s="29" t="str"/>
      <x:c r="K183" s="29" t="str"/>
      <x:c r="L183" s="29" t="str"/>
      <x:c r="M183" s="28" t="str">
        <x:f>IF(AND(C183="RESERVE",D183=""),"DORMANT",IF(L183="","OPEN",IF(AND(G183&lt;&gt;"",H183&lt;&gt;"",I183=H183,J183&lt;&gt;"",K183&lt;&gt;"",J183&lt;&gt;K183),"PASS","FAIL")))</x:f>
        <x:v>OPEN</x:v>
      </x:c>
    </x:row>
    <x:row r="184">
      <x:c r="B184" s="28" t="str">
        <x:v>AT-08</x:v>
      </x:c>
      <x:c r="C184" s="28" t="str">
        <x:v>PRIMARY</x:v>
      </x:c>
      <x:c r="D184" s="28" t="str">
        <x:f>INDEX('Attempt Tokens'!$E$7:$E$36,MATCH(B184,'Attempt Tokens'!$B$7:$B$36,0))</x:f>
      </x:c>
      <x:c r="E184" s="28" t="str">
        <x:v>RP-05</x:v>
      </x:c>
      <x:c r="F184" s="28" t="n">
        <x:v>2</x:v>
      </x:c>
      <x:c r="G184" s="28" t="str">
        <x:f>IF(D184="","",IF(LEFT(D184,5)="RFP-A",IF(F184=1,"PTC-B","PTC-C"),IF(LEFT(D184,5)="RFP-B",IF(F184=1,"PTC-A","PTC-C"),IF(F184=1,"PTC-A","PTC-B"))))</x:f>
      </x:c>
      <x:c r="H184" s="29" t="str"/>
      <x:c r="I184" s="29" t="str"/>
      <x:c r="J184" s="29" t="str"/>
      <x:c r="K184" s="29" t="str"/>
      <x:c r="L184" s="29" t="str"/>
      <x:c r="M184" s="28" t="str">
        <x:f>IF(AND(C184="RESERVE",D184=""),"DORMANT",IF(L184="","OPEN",IF(AND(G184&lt;&gt;"",H184&lt;&gt;"",I184=H184,J184&lt;&gt;"",K184&lt;&gt;"",J184&lt;&gt;K184),"PASS","FAIL")))</x:f>
        <x:v>OPEN</x:v>
      </x:c>
    </x:row>
    <x:row r="185">
      <x:c r="B185" s="28" t="str">
        <x:v>AT-08</x:v>
      </x:c>
      <x:c r="C185" s="28" t="str">
        <x:v>PRIMARY</x:v>
      </x:c>
      <x:c r="D185" s="28" t="str">
        <x:f>INDEX('Attempt Tokens'!$E$7:$E$36,MATCH(B185,'Attempt Tokens'!$B$7:$B$36,0))</x:f>
      </x:c>
      <x:c r="E185" s="28" t="str">
        <x:v>RP-06</x:v>
      </x:c>
      <x:c r="F185" s="28" t="n">
        <x:v>1</x:v>
      </x:c>
      <x:c r="G185" s="28" t="str">
        <x:f>IF(D185="","",IF(LEFT(D185,5)="RFP-A",IF(F185=1,"PTC-B","PTC-C"),IF(LEFT(D185,5)="RFP-B",IF(F185=1,"PTC-A","PTC-C"),IF(F185=1,"PTC-A","PTC-B"))))</x:f>
      </x:c>
      <x:c r="H185" s="29" t="str"/>
      <x:c r="I185" s="29" t="str"/>
      <x:c r="J185" s="29" t="str"/>
      <x:c r="K185" s="29" t="str"/>
      <x:c r="L185" s="29" t="str"/>
      <x:c r="M185" s="28" t="str">
        <x:f>IF(AND(C185="RESERVE",D185=""),"DORMANT",IF(L185="","OPEN",IF(AND(G185&lt;&gt;"",H185&lt;&gt;"",I185=H185,J185&lt;&gt;"",K185&lt;&gt;"",J185&lt;&gt;K185),"PASS","FAIL")))</x:f>
        <x:v>OPEN</x:v>
      </x:c>
    </x:row>
    <x:row r="186">
      <x:c r="B186" s="28" t="str">
        <x:v>AT-08</x:v>
      </x:c>
      <x:c r="C186" s="28" t="str">
        <x:v>PRIMARY</x:v>
      </x:c>
      <x:c r="D186" s="28" t="str">
        <x:f>INDEX('Attempt Tokens'!$E$7:$E$36,MATCH(B186,'Attempt Tokens'!$B$7:$B$36,0))</x:f>
      </x:c>
      <x:c r="E186" s="28" t="str">
        <x:v>RP-06</x:v>
      </x:c>
      <x:c r="F186" s="28" t="n">
        <x:v>2</x:v>
      </x:c>
      <x:c r="G186" s="28" t="str">
        <x:f>IF(D186="","",IF(LEFT(D186,5)="RFP-A",IF(F186=1,"PTC-B","PTC-C"),IF(LEFT(D186,5)="RFP-B",IF(F186=1,"PTC-A","PTC-C"),IF(F186=1,"PTC-A","PTC-B"))))</x:f>
      </x:c>
      <x:c r="H186" s="29" t="str"/>
      <x:c r="I186" s="29" t="str"/>
      <x:c r="J186" s="29" t="str"/>
      <x:c r="K186" s="29" t="str"/>
      <x:c r="L186" s="29" t="str"/>
      <x:c r="M186" s="28" t="str">
        <x:f>IF(AND(C186="RESERVE",D186=""),"DORMANT",IF(L186="","OPEN",IF(AND(G186&lt;&gt;"",H186&lt;&gt;"",I186=H186,J186&lt;&gt;"",K186&lt;&gt;"",J186&lt;&gt;K186),"PASS","FAIL")))</x:f>
        <x:v>OPEN</x:v>
      </x:c>
    </x:row>
    <x:row r="187">
      <x:c r="B187" s="28" t="str">
        <x:v>AT-08</x:v>
      </x:c>
      <x:c r="C187" s="28" t="str">
        <x:v>PRIMARY</x:v>
      </x:c>
      <x:c r="D187" s="28" t="str">
        <x:f>INDEX('Attempt Tokens'!$E$7:$E$36,MATCH(B187,'Attempt Tokens'!$B$7:$B$36,0))</x:f>
      </x:c>
      <x:c r="E187" s="28" t="str">
        <x:v>RP-07</x:v>
      </x:c>
      <x:c r="F187" s="28" t="n">
        <x:v>1</x:v>
      </x:c>
      <x:c r="G187" s="28" t="str">
        <x:f>IF(D187="","",IF(LEFT(D187,5)="RFP-A",IF(F187=1,"PTC-B","PTC-C"),IF(LEFT(D187,5)="RFP-B",IF(F187=1,"PTC-A","PTC-C"),IF(F187=1,"PTC-A","PTC-B"))))</x:f>
      </x:c>
      <x:c r="H187" s="29" t="str"/>
      <x:c r="I187" s="29" t="str"/>
      <x:c r="J187" s="29" t="str"/>
      <x:c r="K187" s="29" t="str"/>
      <x:c r="L187" s="29" t="str"/>
      <x:c r="M187" s="28" t="str">
        <x:f>IF(AND(C187="RESERVE",D187=""),"DORMANT",IF(L187="","OPEN",IF(AND(G187&lt;&gt;"",H187&lt;&gt;"",I187=H187,J187&lt;&gt;"",K187&lt;&gt;"",J187&lt;&gt;K187),"PASS","FAIL")))</x:f>
        <x:v>OPEN</x:v>
      </x:c>
    </x:row>
    <x:row r="188">
      <x:c r="B188" s="28" t="str">
        <x:v>AT-08</x:v>
      </x:c>
      <x:c r="C188" s="28" t="str">
        <x:v>PRIMARY</x:v>
      </x:c>
      <x:c r="D188" s="28" t="str">
        <x:f>INDEX('Attempt Tokens'!$E$7:$E$36,MATCH(B188,'Attempt Tokens'!$B$7:$B$36,0))</x:f>
      </x:c>
      <x:c r="E188" s="28" t="str">
        <x:v>RP-07</x:v>
      </x:c>
      <x:c r="F188" s="28" t="n">
        <x:v>2</x:v>
      </x:c>
      <x:c r="G188" s="28" t="str">
        <x:f>IF(D188="","",IF(LEFT(D188,5)="RFP-A",IF(F188=1,"PTC-B","PTC-C"),IF(LEFT(D188,5)="RFP-B",IF(F188=1,"PTC-A","PTC-C"),IF(F188=1,"PTC-A","PTC-B"))))</x:f>
      </x:c>
      <x:c r="H188" s="29" t="str"/>
      <x:c r="I188" s="29" t="str"/>
      <x:c r="J188" s="29" t="str"/>
      <x:c r="K188" s="29" t="str"/>
      <x:c r="L188" s="29" t="str"/>
      <x:c r="M188" s="28" t="str">
        <x:f>IF(AND(C188="RESERVE",D188=""),"DORMANT",IF(L188="","OPEN",IF(AND(G188&lt;&gt;"",H188&lt;&gt;"",I188=H188,J188&lt;&gt;"",K188&lt;&gt;"",J188&lt;&gt;K188),"PASS","FAIL")))</x:f>
        <x:v>OPEN</x:v>
      </x:c>
    </x:row>
    <x:row r="189">
      <x:c r="B189" s="28" t="str">
        <x:v>AT-08</x:v>
      </x:c>
      <x:c r="C189" s="28" t="str">
        <x:v>PRIMARY</x:v>
      </x:c>
      <x:c r="D189" s="28" t="str">
        <x:f>INDEX('Attempt Tokens'!$E$7:$E$36,MATCH(B189,'Attempt Tokens'!$B$7:$B$36,0))</x:f>
      </x:c>
      <x:c r="E189" s="28" t="str">
        <x:v>RP-08</x:v>
      </x:c>
      <x:c r="F189" s="28" t="n">
        <x:v>1</x:v>
      </x:c>
      <x:c r="G189" s="28" t="str">
        <x:f>IF(D189="","",IF(LEFT(D189,5)="RFP-A",IF(F189=1,"PTC-B","PTC-C"),IF(LEFT(D189,5)="RFP-B",IF(F189=1,"PTC-A","PTC-C"),IF(F189=1,"PTC-A","PTC-B"))))</x:f>
      </x:c>
      <x:c r="H189" s="29" t="str"/>
      <x:c r="I189" s="29" t="str"/>
      <x:c r="J189" s="29" t="str"/>
      <x:c r="K189" s="29" t="str"/>
      <x:c r="L189" s="29" t="str"/>
      <x:c r="M189" s="28" t="str">
        <x:f>IF(AND(C189="RESERVE",D189=""),"DORMANT",IF(L189="","OPEN",IF(AND(G189&lt;&gt;"",H189&lt;&gt;"",I189=H189,J189&lt;&gt;"",K189&lt;&gt;"",J189&lt;&gt;K189),"PASS","FAIL")))</x:f>
        <x:v>OPEN</x:v>
      </x:c>
    </x:row>
    <x:row r="190">
      <x:c r="B190" s="28" t="str">
        <x:v>AT-08</x:v>
      </x:c>
      <x:c r="C190" s="28" t="str">
        <x:v>PRIMARY</x:v>
      </x:c>
      <x:c r="D190" s="28" t="str">
        <x:f>INDEX('Attempt Tokens'!$E$7:$E$36,MATCH(B190,'Attempt Tokens'!$B$7:$B$36,0))</x:f>
      </x:c>
      <x:c r="E190" s="28" t="str">
        <x:v>RP-08</x:v>
      </x:c>
      <x:c r="F190" s="28" t="n">
        <x:v>2</x:v>
      </x:c>
      <x:c r="G190" s="28" t="str">
        <x:f>IF(D190="","",IF(LEFT(D190,5)="RFP-A",IF(F190=1,"PTC-B","PTC-C"),IF(LEFT(D190,5)="RFP-B",IF(F190=1,"PTC-A","PTC-C"),IF(F190=1,"PTC-A","PTC-B"))))</x:f>
      </x:c>
      <x:c r="H190" s="29" t="str"/>
      <x:c r="I190" s="29" t="str"/>
      <x:c r="J190" s="29" t="str"/>
      <x:c r="K190" s="29" t="str"/>
      <x:c r="L190" s="29" t="str"/>
      <x:c r="M190" s="28" t="str">
        <x:f>IF(AND(C190="RESERVE",D190=""),"DORMANT",IF(L190="","OPEN",IF(AND(G190&lt;&gt;"",H190&lt;&gt;"",I190=H190,J190&lt;&gt;"",K190&lt;&gt;"",J190&lt;&gt;K190),"PASS","FAIL")))</x:f>
        <x:v>OPEN</x:v>
      </x:c>
    </x:row>
    <x:row r="191">
      <x:c r="B191" s="28" t="str">
        <x:v>AT-08</x:v>
      </x:c>
      <x:c r="C191" s="28" t="str">
        <x:v>PRIMARY</x:v>
      </x:c>
      <x:c r="D191" s="28" t="str">
        <x:f>INDEX('Attempt Tokens'!$E$7:$E$36,MATCH(B191,'Attempt Tokens'!$B$7:$B$36,0))</x:f>
      </x:c>
      <x:c r="E191" s="28" t="str">
        <x:v>RP-09</x:v>
      </x:c>
      <x:c r="F191" s="28" t="n">
        <x:v>1</x:v>
      </x:c>
      <x:c r="G191" s="28" t="str">
        <x:f>IF(D191="","",IF(LEFT(D191,5)="RFP-A",IF(F191=1,"PTC-B","PTC-C"),IF(LEFT(D191,5)="RFP-B",IF(F191=1,"PTC-A","PTC-C"),IF(F191=1,"PTC-A","PTC-B"))))</x:f>
      </x:c>
      <x:c r="H191" s="29" t="str"/>
      <x:c r="I191" s="29" t="str"/>
      <x:c r="J191" s="29" t="str"/>
      <x:c r="K191" s="29" t="str"/>
      <x:c r="L191" s="29" t="str"/>
      <x:c r="M191" s="28" t="str">
        <x:f>IF(AND(C191="RESERVE",D191=""),"DORMANT",IF(L191="","OPEN",IF(AND(G191&lt;&gt;"",H191&lt;&gt;"",I191=H191,J191&lt;&gt;"",K191&lt;&gt;"",J191&lt;&gt;K191),"PASS","FAIL")))</x:f>
        <x:v>OPEN</x:v>
      </x:c>
    </x:row>
    <x:row r="192">
      <x:c r="B192" s="28" t="str">
        <x:v>AT-08</x:v>
      </x:c>
      <x:c r="C192" s="28" t="str">
        <x:v>PRIMARY</x:v>
      </x:c>
      <x:c r="D192" s="28" t="str">
        <x:f>INDEX('Attempt Tokens'!$E$7:$E$36,MATCH(B192,'Attempt Tokens'!$B$7:$B$36,0))</x:f>
      </x:c>
      <x:c r="E192" s="28" t="str">
        <x:v>RP-09</x:v>
      </x:c>
      <x:c r="F192" s="28" t="n">
        <x:v>2</x:v>
      </x:c>
      <x:c r="G192" s="28" t="str">
        <x:f>IF(D192="","",IF(LEFT(D192,5)="RFP-A",IF(F192=1,"PTC-B","PTC-C"),IF(LEFT(D192,5)="RFP-B",IF(F192=1,"PTC-A","PTC-C"),IF(F192=1,"PTC-A","PTC-B"))))</x:f>
      </x:c>
      <x:c r="H192" s="29" t="str"/>
      <x:c r="I192" s="29" t="str"/>
      <x:c r="J192" s="29" t="str"/>
      <x:c r="K192" s="29" t="str"/>
      <x:c r="L192" s="29" t="str"/>
      <x:c r="M192" s="28" t="str">
        <x:f>IF(AND(C192="RESERVE",D192=""),"DORMANT",IF(L192="","OPEN",IF(AND(G192&lt;&gt;"",H192&lt;&gt;"",I192=H192,J192&lt;&gt;"",K192&lt;&gt;"",J192&lt;&gt;K192),"PASS","FAIL")))</x:f>
        <x:v>OPEN</x:v>
      </x:c>
    </x:row>
    <x:row r="193">
      <x:c r="B193" s="28" t="str">
        <x:v>AT-08</x:v>
      </x:c>
      <x:c r="C193" s="28" t="str">
        <x:v>PRIMARY</x:v>
      </x:c>
      <x:c r="D193" s="28" t="str">
        <x:f>INDEX('Attempt Tokens'!$E$7:$E$36,MATCH(B193,'Attempt Tokens'!$B$7:$B$36,0))</x:f>
      </x:c>
      <x:c r="E193" s="28" t="str">
        <x:v>RP-10</x:v>
      </x:c>
      <x:c r="F193" s="28" t="n">
        <x:v>1</x:v>
      </x:c>
      <x:c r="G193" s="28" t="str">
        <x:f>IF(D193="","",IF(LEFT(D193,5)="RFP-A",IF(F193=1,"PTC-B","PTC-C"),IF(LEFT(D193,5)="RFP-B",IF(F193=1,"PTC-A","PTC-C"),IF(F193=1,"PTC-A","PTC-B"))))</x:f>
      </x:c>
      <x:c r="H193" s="29" t="str"/>
      <x:c r="I193" s="29" t="str"/>
      <x:c r="J193" s="29" t="str"/>
      <x:c r="K193" s="29" t="str"/>
      <x:c r="L193" s="29" t="str"/>
      <x:c r="M193" s="28" t="str">
        <x:f>IF(AND(C193="RESERVE",D193=""),"DORMANT",IF(L193="","OPEN",IF(AND(G193&lt;&gt;"",H193&lt;&gt;"",I193=H193,J193&lt;&gt;"",K193&lt;&gt;"",J193&lt;&gt;K193),"PASS","FAIL")))</x:f>
        <x:v>OPEN</x:v>
      </x:c>
    </x:row>
    <x:row r="194">
      <x:c r="B194" s="28" t="str">
        <x:v>AT-08</x:v>
      </x:c>
      <x:c r="C194" s="28" t="str">
        <x:v>PRIMARY</x:v>
      </x:c>
      <x:c r="D194" s="28" t="str">
        <x:f>INDEX('Attempt Tokens'!$E$7:$E$36,MATCH(B194,'Attempt Tokens'!$B$7:$B$36,0))</x:f>
      </x:c>
      <x:c r="E194" s="28" t="str">
        <x:v>RP-10</x:v>
      </x:c>
      <x:c r="F194" s="28" t="n">
        <x:v>2</x:v>
      </x:c>
      <x:c r="G194" s="28" t="str">
        <x:f>IF(D194="","",IF(LEFT(D194,5)="RFP-A",IF(F194=1,"PTC-B","PTC-C"),IF(LEFT(D194,5)="RFP-B",IF(F194=1,"PTC-A","PTC-C"),IF(F194=1,"PTC-A","PTC-B"))))</x:f>
      </x:c>
      <x:c r="H194" s="29" t="str"/>
      <x:c r="I194" s="29" t="str"/>
      <x:c r="J194" s="29" t="str"/>
      <x:c r="K194" s="29" t="str"/>
      <x:c r="L194" s="29" t="str"/>
      <x:c r="M194" s="28" t="str">
        <x:f>IF(AND(C194="RESERVE",D194=""),"DORMANT",IF(L194="","OPEN",IF(AND(G194&lt;&gt;"",H194&lt;&gt;"",I194=H194,J194&lt;&gt;"",K194&lt;&gt;"",J194&lt;&gt;K194),"PASS","FAIL")))</x:f>
        <x:v>OPEN</x:v>
      </x:c>
    </x:row>
    <x:row r="195">
      <x:c r="B195" s="28" t="str">
        <x:v>AT-08</x:v>
      </x:c>
      <x:c r="C195" s="28" t="str">
        <x:v>PRIMARY</x:v>
      </x:c>
      <x:c r="D195" s="28" t="str">
        <x:f>INDEX('Attempt Tokens'!$E$7:$E$36,MATCH(B195,'Attempt Tokens'!$B$7:$B$36,0))</x:f>
      </x:c>
      <x:c r="E195" s="28" t="str">
        <x:v>RP-11</x:v>
      </x:c>
      <x:c r="F195" s="28" t="n">
        <x:v>1</x:v>
      </x:c>
      <x:c r="G195" s="28" t="str">
        <x:f>IF(D195="","",IF(LEFT(D195,5)="RFP-A",IF(F195=1,"PTC-B","PTC-C"),IF(LEFT(D195,5)="RFP-B",IF(F195=1,"PTC-A","PTC-C"),IF(F195=1,"PTC-A","PTC-B"))))</x:f>
      </x:c>
      <x:c r="H195" s="29" t="str"/>
      <x:c r="I195" s="29" t="str"/>
      <x:c r="J195" s="29" t="str"/>
      <x:c r="K195" s="29" t="str"/>
      <x:c r="L195" s="29" t="str"/>
      <x:c r="M195" s="28" t="str">
        <x:f>IF(AND(C195="RESERVE",D195=""),"DORMANT",IF(L195="","OPEN",IF(AND(G195&lt;&gt;"",H195&lt;&gt;"",I195=H195,J195&lt;&gt;"",K195&lt;&gt;"",J195&lt;&gt;K195),"PASS","FAIL")))</x:f>
        <x:v>OPEN</x:v>
      </x:c>
    </x:row>
    <x:row r="196">
      <x:c r="B196" s="28" t="str">
        <x:v>AT-08</x:v>
      </x:c>
      <x:c r="C196" s="28" t="str">
        <x:v>PRIMARY</x:v>
      </x:c>
      <x:c r="D196" s="28" t="str">
        <x:f>INDEX('Attempt Tokens'!$E$7:$E$36,MATCH(B196,'Attempt Tokens'!$B$7:$B$36,0))</x:f>
      </x:c>
      <x:c r="E196" s="28" t="str">
        <x:v>RP-11</x:v>
      </x:c>
      <x:c r="F196" s="28" t="n">
        <x:v>2</x:v>
      </x:c>
      <x:c r="G196" s="28" t="str">
        <x:f>IF(D196="","",IF(LEFT(D196,5)="RFP-A",IF(F196=1,"PTC-B","PTC-C"),IF(LEFT(D196,5)="RFP-B",IF(F196=1,"PTC-A","PTC-C"),IF(F196=1,"PTC-A","PTC-B"))))</x:f>
      </x:c>
      <x:c r="H196" s="29" t="str"/>
      <x:c r="I196" s="29" t="str"/>
      <x:c r="J196" s="29" t="str"/>
      <x:c r="K196" s="29" t="str"/>
      <x:c r="L196" s="29" t="str"/>
      <x:c r="M196" s="28" t="str">
        <x:f>IF(AND(C196="RESERVE",D196=""),"DORMANT",IF(L196="","OPEN",IF(AND(G196&lt;&gt;"",H196&lt;&gt;"",I196=H196,J196&lt;&gt;"",K196&lt;&gt;"",J196&lt;&gt;K196),"PASS","FAIL")))</x:f>
        <x:v>OPEN</x:v>
      </x:c>
    </x:row>
    <x:row r="197">
      <x:c r="B197" s="28" t="str">
        <x:v>AT-08</x:v>
      </x:c>
      <x:c r="C197" s="28" t="str">
        <x:v>PRIMARY</x:v>
      </x:c>
      <x:c r="D197" s="28" t="str">
        <x:f>INDEX('Attempt Tokens'!$E$7:$E$36,MATCH(B197,'Attempt Tokens'!$B$7:$B$36,0))</x:f>
      </x:c>
      <x:c r="E197" s="28" t="str">
        <x:v>RP-12</x:v>
      </x:c>
      <x:c r="F197" s="28" t="n">
        <x:v>1</x:v>
      </x:c>
      <x:c r="G197" s="28" t="str">
        <x:f>IF(D197="","",IF(LEFT(D197,5)="RFP-A",IF(F197=1,"PTC-B","PTC-C"),IF(LEFT(D197,5)="RFP-B",IF(F197=1,"PTC-A","PTC-C"),IF(F197=1,"PTC-A","PTC-B"))))</x:f>
      </x:c>
      <x:c r="H197" s="29" t="str"/>
      <x:c r="I197" s="29" t="str"/>
      <x:c r="J197" s="29" t="str"/>
      <x:c r="K197" s="29" t="str"/>
      <x:c r="L197" s="29" t="str"/>
      <x:c r="M197" s="28" t="str">
        <x:f>IF(AND(C197="RESERVE",D197=""),"DORMANT",IF(L197="","OPEN",IF(AND(G197&lt;&gt;"",H197&lt;&gt;"",I197=H197,J197&lt;&gt;"",K197&lt;&gt;"",J197&lt;&gt;K197),"PASS","FAIL")))</x:f>
        <x:v>OPEN</x:v>
      </x:c>
    </x:row>
    <x:row r="198">
      <x:c r="B198" s="28" t="str">
        <x:v>AT-08</x:v>
      </x:c>
      <x:c r="C198" s="28" t="str">
        <x:v>PRIMARY</x:v>
      </x:c>
      <x:c r="D198" s="28" t="str">
        <x:f>INDEX('Attempt Tokens'!$E$7:$E$36,MATCH(B198,'Attempt Tokens'!$B$7:$B$36,0))</x:f>
      </x:c>
      <x:c r="E198" s="28" t="str">
        <x:v>RP-12</x:v>
      </x:c>
      <x:c r="F198" s="28" t="n">
        <x:v>2</x:v>
      </x:c>
      <x:c r="G198" s="28" t="str">
        <x:f>IF(D198="","",IF(LEFT(D198,5)="RFP-A",IF(F198=1,"PTC-B","PTC-C"),IF(LEFT(D198,5)="RFP-B",IF(F198=1,"PTC-A","PTC-C"),IF(F198=1,"PTC-A","PTC-B"))))</x:f>
      </x:c>
      <x:c r="H198" s="29" t="str"/>
      <x:c r="I198" s="29" t="str"/>
      <x:c r="J198" s="29" t="str"/>
      <x:c r="K198" s="29" t="str"/>
      <x:c r="L198" s="29" t="str"/>
      <x:c r="M198" s="28" t="str">
        <x:f>IF(AND(C198="RESERVE",D198=""),"DORMANT",IF(L198="","OPEN",IF(AND(G198&lt;&gt;"",H198&lt;&gt;"",I198=H198,J198&lt;&gt;"",K198&lt;&gt;"",J198&lt;&gt;K198),"PASS","FAIL")))</x:f>
        <x:v>OPEN</x:v>
      </x:c>
    </x:row>
    <x:row r="199">
      <x:c r="B199" s="28" t="str">
        <x:v>AT-09</x:v>
      </x:c>
      <x:c r="C199" s="28" t="str">
        <x:v>PRIMARY</x:v>
      </x:c>
      <x:c r="D199" s="28" t="str">
        <x:f>INDEX('Attempt Tokens'!$E$7:$E$36,MATCH(B199,'Attempt Tokens'!$B$7:$B$36,0))</x:f>
      </x:c>
      <x:c r="E199" s="28" t="str">
        <x:v>RP-01</x:v>
      </x:c>
      <x:c r="F199" s="28" t="n">
        <x:v>1</x:v>
      </x:c>
      <x:c r="G199" s="28" t="str">
        <x:f>IF(D199="","",IF(LEFT(D199,5)="RFP-A",IF(F199=1,"PTC-B","PTC-C"),IF(LEFT(D199,5)="RFP-B",IF(F199=1,"PTC-A","PTC-C"),IF(F199=1,"PTC-A","PTC-B"))))</x:f>
      </x:c>
      <x:c r="H199" s="29" t="str"/>
      <x:c r="I199" s="29" t="str"/>
      <x:c r="J199" s="29" t="str"/>
      <x:c r="K199" s="29" t="str"/>
      <x:c r="L199" s="29" t="str"/>
      <x:c r="M199" s="28" t="str">
        <x:f>IF(AND(C199="RESERVE",D199=""),"DORMANT",IF(L199="","OPEN",IF(AND(G199&lt;&gt;"",H199&lt;&gt;"",I199=H199,J199&lt;&gt;"",K199&lt;&gt;"",J199&lt;&gt;K199),"PASS","FAIL")))</x:f>
        <x:v>OPEN</x:v>
      </x:c>
    </x:row>
    <x:row r="200">
      <x:c r="B200" s="28" t="str">
        <x:v>AT-09</x:v>
      </x:c>
      <x:c r="C200" s="28" t="str">
        <x:v>PRIMARY</x:v>
      </x:c>
      <x:c r="D200" s="28" t="str">
        <x:f>INDEX('Attempt Tokens'!$E$7:$E$36,MATCH(B200,'Attempt Tokens'!$B$7:$B$36,0))</x:f>
      </x:c>
      <x:c r="E200" s="28" t="str">
        <x:v>RP-01</x:v>
      </x:c>
      <x:c r="F200" s="28" t="n">
        <x:v>2</x:v>
      </x:c>
      <x:c r="G200" s="28" t="str">
        <x:f>IF(D200="","",IF(LEFT(D200,5)="RFP-A",IF(F200=1,"PTC-B","PTC-C"),IF(LEFT(D200,5)="RFP-B",IF(F200=1,"PTC-A","PTC-C"),IF(F200=1,"PTC-A","PTC-B"))))</x:f>
      </x:c>
      <x:c r="H200" s="29" t="str"/>
      <x:c r="I200" s="29" t="str"/>
      <x:c r="J200" s="29" t="str"/>
      <x:c r="K200" s="29" t="str"/>
      <x:c r="L200" s="29" t="str"/>
      <x:c r="M200" s="28" t="str">
        <x:f>IF(AND(C200="RESERVE",D200=""),"DORMANT",IF(L200="","OPEN",IF(AND(G200&lt;&gt;"",H200&lt;&gt;"",I200=H200,J200&lt;&gt;"",K200&lt;&gt;"",J200&lt;&gt;K200),"PASS","FAIL")))</x:f>
        <x:v>OPEN</x:v>
      </x:c>
    </x:row>
    <x:row r="201">
      <x:c r="B201" s="28" t="str">
        <x:v>AT-09</x:v>
      </x:c>
      <x:c r="C201" s="28" t="str">
        <x:v>PRIMARY</x:v>
      </x:c>
      <x:c r="D201" s="28" t="str">
        <x:f>INDEX('Attempt Tokens'!$E$7:$E$36,MATCH(B201,'Attempt Tokens'!$B$7:$B$36,0))</x:f>
      </x:c>
      <x:c r="E201" s="28" t="str">
        <x:v>RP-02</x:v>
      </x:c>
      <x:c r="F201" s="28" t="n">
        <x:v>1</x:v>
      </x:c>
      <x:c r="G201" s="28" t="str">
        <x:f>IF(D201="","",IF(LEFT(D201,5)="RFP-A",IF(F201=1,"PTC-B","PTC-C"),IF(LEFT(D201,5)="RFP-B",IF(F201=1,"PTC-A","PTC-C"),IF(F201=1,"PTC-A","PTC-B"))))</x:f>
      </x:c>
      <x:c r="H201" s="29" t="str"/>
      <x:c r="I201" s="29" t="str"/>
      <x:c r="J201" s="29" t="str"/>
      <x:c r="K201" s="29" t="str"/>
      <x:c r="L201" s="29" t="str"/>
      <x:c r="M201" s="28" t="str">
        <x:f>IF(AND(C201="RESERVE",D201=""),"DORMANT",IF(L201="","OPEN",IF(AND(G201&lt;&gt;"",H201&lt;&gt;"",I201=H201,J201&lt;&gt;"",K201&lt;&gt;"",J201&lt;&gt;K201),"PASS","FAIL")))</x:f>
        <x:v>OPEN</x:v>
      </x:c>
    </x:row>
    <x:row r="202">
      <x:c r="B202" s="28" t="str">
        <x:v>AT-09</x:v>
      </x:c>
      <x:c r="C202" s="28" t="str">
        <x:v>PRIMARY</x:v>
      </x:c>
      <x:c r="D202" s="28" t="str">
        <x:f>INDEX('Attempt Tokens'!$E$7:$E$36,MATCH(B202,'Attempt Tokens'!$B$7:$B$36,0))</x:f>
      </x:c>
      <x:c r="E202" s="28" t="str">
        <x:v>RP-02</x:v>
      </x:c>
      <x:c r="F202" s="28" t="n">
        <x:v>2</x:v>
      </x:c>
      <x:c r="G202" s="28" t="str">
        <x:f>IF(D202="","",IF(LEFT(D202,5)="RFP-A",IF(F202=1,"PTC-B","PTC-C"),IF(LEFT(D202,5)="RFP-B",IF(F202=1,"PTC-A","PTC-C"),IF(F202=1,"PTC-A","PTC-B"))))</x:f>
      </x:c>
      <x:c r="H202" s="29" t="str"/>
      <x:c r="I202" s="29" t="str"/>
      <x:c r="J202" s="29" t="str"/>
      <x:c r="K202" s="29" t="str"/>
      <x:c r="L202" s="29" t="str"/>
      <x:c r="M202" s="28" t="str">
        <x:f>IF(AND(C202="RESERVE",D202=""),"DORMANT",IF(L202="","OPEN",IF(AND(G202&lt;&gt;"",H202&lt;&gt;"",I202=H202,J202&lt;&gt;"",K202&lt;&gt;"",J202&lt;&gt;K202),"PASS","FAIL")))</x:f>
        <x:v>OPEN</x:v>
      </x:c>
    </x:row>
    <x:row r="203">
      <x:c r="B203" s="28" t="str">
        <x:v>AT-09</x:v>
      </x:c>
      <x:c r="C203" s="28" t="str">
        <x:v>PRIMARY</x:v>
      </x:c>
      <x:c r="D203" s="28" t="str">
        <x:f>INDEX('Attempt Tokens'!$E$7:$E$36,MATCH(B203,'Attempt Tokens'!$B$7:$B$36,0))</x:f>
      </x:c>
      <x:c r="E203" s="28" t="str">
        <x:v>RP-03</x:v>
      </x:c>
      <x:c r="F203" s="28" t="n">
        <x:v>1</x:v>
      </x:c>
      <x:c r="G203" s="28" t="str">
        <x:f>IF(D203="","",IF(LEFT(D203,5)="RFP-A",IF(F203=1,"PTC-B","PTC-C"),IF(LEFT(D203,5)="RFP-B",IF(F203=1,"PTC-A","PTC-C"),IF(F203=1,"PTC-A","PTC-B"))))</x:f>
      </x:c>
      <x:c r="H203" s="29" t="str"/>
      <x:c r="I203" s="29" t="str"/>
      <x:c r="J203" s="29" t="str"/>
      <x:c r="K203" s="29" t="str"/>
      <x:c r="L203" s="29" t="str"/>
      <x:c r="M203" s="28" t="str">
        <x:f>IF(AND(C203="RESERVE",D203=""),"DORMANT",IF(L203="","OPEN",IF(AND(G203&lt;&gt;"",H203&lt;&gt;"",I203=H203,J203&lt;&gt;"",K203&lt;&gt;"",J203&lt;&gt;K203),"PASS","FAIL")))</x:f>
        <x:v>OPEN</x:v>
      </x:c>
    </x:row>
    <x:row r="204">
      <x:c r="B204" s="28" t="str">
        <x:v>AT-09</x:v>
      </x:c>
      <x:c r="C204" s="28" t="str">
        <x:v>PRIMARY</x:v>
      </x:c>
      <x:c r="D204" s="28" t="str">
        <x:f>INDEX('Attempt Tokens'!$E$7:$E$36,MATCH(B204,'Attempt Tokens'!$B$7:$B$36,0))</x:f>
      </x:c>
      <x:c r="E204" s="28" t="str">
        <x:v>RP-03</x:v>
      </x:c>
      <x:c r="F204" s="28" t="n">
        <x:v>2</x:v>
      </x:c>
      <x:c r="G204" s="28" t="str">
        <x:f>IF(D204="","",IF(LEFT(D204,5)="RFP-A",IF(F204=1,"PTC-B","PTC-C"),IF(LEFT(D204,5)="RFP-B",IF(F204=1,"PTC-A","PTC-C"),IF(F204=1,"PTC-A","PTC-B"))))</x:f>
      </x:c>
      <x:c r="H204" s="29" t="str"/>
      <x:c r="I204" s="29" t="str"/>
      <x:c r="J204" s="29" t="str"/>
      <x:c r="K204" s="29" t="str"/>
      <x:c r="L204" s="29" t="str"/>
      <x:c r="M204" s="28" t="str">
        <x:f>IF(AND(C204="RESERVE",D204=""),"DORMANT",IF(L204="","OPEN",IF(AND(G204&lt;&gt;"",H204&lt;&gt;"",I204=H204,J204&lt;&gt;"",K204&lt;&gt;"",J204&lt;&gt;K204),"PASS","FAIL")))</x:f>
        <x:v>OPEN</x:v>
      </x:c>
    </x:row>
    <x:row r="205">
      <x:c r="B205" s="28" t="str">
        <x:v>AT-09</x:v>
      </x:c>
      <x:c r="C205" s="28" t="str">
        <x:v>PRIMARY</x:v>
      </x:c>
      <x:c r="D205" s="28" t="str">
        <x:f>INDEX('Attempt Tokens'!$E$7:$E$36,MATCH(B205,'Attempt Tokens'!$B$7:$B$36,0))</x:f>
      </x:c>
      <x:c r="E205" s="28" t="str">
        <x:v>RP-04</x:v>
      </x:c>
      <x:c r="F205" s="28" t="n">
        <x:v>1</x:v>
      </x:c>
      <x:c r="G205" s="28" t="str">
        <x:f>IF(D205="","",IF(LEFT(D205,5)="RFP-A",IF(F205=1,"PTC-B","PTC-C"),IF(LEFT(D205,5)="RFP-B",IF(F205=1,"PTC-A","PTC-C"),IF(F205=1,"PTC-A","PTC-B"))))</x:f>
      </x:c>
      <x:c r="H205" s="29" t="str"/>
      <x:c r="I205" s="29" t="str"/>
      <x:c r="J205" s="29" t="str"/>
      <x:c r="K205" s="29" t="str"/>
      <x:c r="L205" s="29" t="str"/>
      <x:c r="M205" s="28" t="str">
        <x:f>IF(AND(C205="RESERVE",D205=""),"DORMANT",IF(L205="","OPEN",IF(AND(G205&lt;&gt;"",H205&lt;&gt;"",I205=H205,J205&lt;&gt;"",K205&lt;&gt;"",J205&lt;&gt;K205),"PASS","FAIL")))</x:f>
        <x:v>OPEN</x:v>
      </x:c>
    </x:row>
    <x:row r="206">
      <x:c r="B206" s="28" t="str">
        <x:v>AT-09</x:v>
      </x:c>
      <x:c r="C206" s="28" t="str">
        <x:v>PRIMARY</x:v>
      </x:c>
      <x:c r="D206" s="28" t="str">
        <x:f>INDEX('Attempt Tokens'!$E$7:$E$36,MATCH(B206,'Attempt Tokens'!$B$7:$B$36,0))</x:f>
      </x:c>
      <x:c r="E206" s="28" t="str">
        <x:v>RP-04</x:v>
      </x:c>
      <x:c r="F206" s="28" t="n">
        <x:v>2</x:v>
      </x:c>
      <x:c r="G206" s="28" t="str">
        <x:f>IF(D206="","",IF(LEFT(D206,5)="RFP-A",IF(F206=1,"PTC-B","PTC-C"),IF(LEFT(D206,5)="RFP-B",IF(F206=1,"PTC-A","PTC-C"),IF(F206=1,"PTC-A","PTC-B"))))</x:f>
      </x:c>
      <x:c r="H206" s="29" t="str"/>
      <x:c r="I206" s="29" t="str"/>
      <x:c r="J206" s="29" t="str"/>
      <x:c r="K206" s="29" t="str"/>
      <x:c r="L206" s="29" t="str"/>
      <x:c r="M206" s="28" t="str">
        <x:f>IF(AND(C206="RESERVE",D206=""),"DORMANT",IF(L206="","OPEN",IF(AND(G206&lt;&gt;"",H206&lt;&gt;"",I206=H206,J206&lt;&gt;"",K206&lt;&gt;"",J206&lt;&gt;K206),"PASS","FAIL")))</x:f>
        <x:v>OPEN</x:v>
      </x:c>
    </x:row>
    <x:row r="207">
      <x:c r="B207" s="28" t="str">
        <x:v>AT-09</x:v>
      </x:c>
      <x:c r="C207" s="28" t="str">
        <x:v>PRIMARY</x:v>
      </x:c>
      <x:c r="D207" s="28" t="str">
        <x:f>INDEX('Attempt Tokens'!$E$7:$E$36,MATCH(B207,'Attempt Tokens'!$B$7:$B$36,0))</x:f>
      </x:c>
      <x:c r="E207" s="28" t="str">
        <x:v>RP-05</x:v>
      </x:c>
      <x:c r="F207" s="28" t="n">
        <x:v>1</x:v>
      </x:c>
      <x:c r="G207" s="28" t="str">
        <x:f>IF(D207="","",IF(LEFT(D207,5)="RFP-A",IF(F207=1,"PTC-B","PTC-C"),IF(LEFT(D207,5)="RFP-B",IF(F207=1,"PTC-A","PTC-C"),IF(F207=1,"PTC-A","PTC-B"))))</x:f>
      </x:c>
      <x:c r="H207" s="29" t="str"/>
      <x:c r="I207" s="29" t="str"/>
      <x:c r="J207" s="29" t="str"/>
      <x:c r="K207" s="29" t="str"/>
      <x:c r="L207" s="29" t="str"/>
      <x:c r="M207" s="28" t="str">
        <x:f>IF(AND(C207="RESERVE",D207=""),"DORMANT",IF(L207="","OPEN",IF(AND(G207&lt;&gt;"",H207&lt;&gt;"",I207=H207,J207&lt;&gt;"",K207&lt;&gt;"",J207&lt;&gt;K207),"PASS","FAIL")))</x:f>
        <x:v>OPEN</x:v>
      </x:c>
    </x:row>
    <x:row r="208">
      <x:c r="B208" s="28" t="str">
        <x:v>AT-09</x:v>
      </x:c>
      <x:c r="C208" s="28" t="str">
        <x:v>PRIMARY</x:v>
      </x:c>
      <x:c r="D208" s="28" t="str">
        <x:f>INDEX('Attempt Tokens'!$E$7:$E$36,MATCH(B208,'Attempt Tokens'!$B$7:$B$36,0))</x:f>
      </x:c>
      <x:c r="E208" s="28" t="str">
        <x:v>RP-05</x:v>
      </x:c>
      <x:c r="F208" s="28" t="n">
        <x:v>2</x:v>
      </x:c>
      <x:c r="G208" s="28" t="str">
        <x:f>IF(D208="","",IF(LEFT(D208,5)="RFP-A",IF(F208=1,"PTC-B","PTC-C"),IF(LEFT(D208,5)="RFP-B",IF(F208=1,"PTC-A","PTC-C"),IF(F208=1,"PTC-A","PTC-B"))))</x:f>
      </x:c>
      <x:c r="H208" s="29" t="str"/>
      <x:c r="I208" s="29" t="str"/>
      <x:c r="J208" s="29" t="str"/>
      <x:c r="K208" s="29" t="str"/>
      <x:c r="L208" s="29" t="str"/>
      <x:c r="M208" s="28" t="str">
        <x:f>IF(AND(C208="RESERVE",D208=""),"DORMANT",IF(L208="","OPEN",IF(AND(G208&lt;&gt;"",H208&lt;&gt;"",I208=H208,J208&lt;&gt;"",K208&lt;&gt;"",J208&lt;&gt;K208),"PASS","FAIL")))</x:f>
        <x:v>OPEN</x:v>
      </x:c>
    </x:row>
    <x:row r="209">
      <x:c r="B209" s="28" t="str">
        <x:v>AT-09</x:v>
      </x:c>
      <x:c r="C209" s="28" t="str">
        <x:v>PRIMARY</x:v>
      </x:c>
      <x:c r="D209" s="28" t="str">
        <x:f>INDEX('Attempt Tokens'!$E$7:$E$36,MATCH(B209,'Attempt Tokens'!$B$7:$B$36,0))</x:f>
      </x:c>
      <x:c r="E209" s="28" t="str">
        <x:v>RP-06</x:v>
      </x:c>
      <x:c r="F209" s="28" t="n">
        <x:v>1</x:v>
      </x:c>
      <x:c r="G209" s="28" t="str">
        <x:f>IF(D209="","",IF(LEFT(D209,5)="RFP-A",IF(F209=1,"PTC-B","PTC-C"),IF(LEFT(D209,5)="RFP-B",IF(F209=1,"PTC-A","PTC-C"),IF(F209=1,"PTC-A","PTC-B"))))</x:f>
      </x:c>
      <x:c r="H209" s="29" t="str"/>
      <x:c r="I209" s="29" t="str"/>
      <x:c r="J209" s="29" t="str"/>
      <x:c r="K209" s="29" t="str"/>
      <x:c r="L209" s="29" t="str"/>
      <x:c r="M209" s="28" t="str">
        <x:f>IF(AND(C209="RESERVE",D209=""),"DORMANT",IF(L209="","OPEN",IF(AND(G209&lt;&gt;"",H209&lt;&gt;"",I209=H209,J209&lt;&gt;"",K209&lt;&gt;"",J209&lt;&gt;K209),"PASS","FAIL")))</x:f>
        <x:v>OPEN</x:v>
      </x:c>
    </x:row>
    <x:row r="210">
      <x:c r="B210" s="28" t="str">
        <x:v>AT-09</x:v>
      </x:c>
      <x:c r="C210" s="28" t="str">
        <x:v>PRIMARY</x:v>
      </x:c>
      <x:c r="D210" s="28" t="str">
        <x:f>INDEX('Attempt Tokens'!$E$7:$E$36,MATCH(B210,'Attempt Tokens'!$B$7:$B$36,0))</x:f>
      </x:c>
      <x:c r="E210" s="28" t="str">
        <x:v>RP-06</x:v>
      </x:c>
      <x:c r="F210" s="28" t="n">
        <x:v>2</x:v>
      </x:c>
      <x:c r="G210" s="28" t="str">
        <x:f>IF(D210="","",IF(LEFT(D210,5)="RFP-A",IF(F210=1,"PTC-B","PTC-C"),IF(LEFT(D210,5)="RFP-B",IF(F210=1,"PTC-A","PTC-C"),IF(F210=1,"PTC-A","PTC-B"))))</x:f>
      </x:c>
      <x:c r="H210" s="29" t="str"/>
      <x:c r="I210" s="29" t="str"/>
      <x:c r="J210" s="29" t="str"/>
      <x:c r="K210" s="29" t="str"/>
      <x:c r="L210" s="29" t="str"/>
      <x:c r="M210" s="28" t="str">
        <x:f>IF(AND(C210="RESERVE",D210=""),"DORMANT",IF(L210="","OPEN",IF(AND(G210&lt;&gt;"",H210&lt;&gt;"",I210=H210,J210&lt;&gt;"",K210&lt;&gt;"",J210&lt;&gt;K210),"PASS","FAIL")))</x:f>
        <x:v>OPEN</x:v>
      </x:c>
    </x:row>
    <x:row r="211">
      <x:c r="B211" s="28" t="str">
        <x:v>AT-09</x:v>
      </x:c>
      <x:c r="C211" s="28" t="str">
        <x:v>PRIMARY</x:v>
      </x:c>
      <x:c r="D211" s="28" t="str">
        <x:f>INDEX('Attempt Tokens'!$E$7:$E$36,MATCH(B211,'Attempt Tokens'!$B$7:$B$36,0))</x:f>
      </x:c>
      <x:c r="E211" s="28" t="str">
        <x:v>RP-07</x:v>
      </x:c>
      <x:c r="F211" s="28" t="n">
        <x:v>1</x:v>
      </x:c>
      <x:c r="G211" s="28" t="str">
        <x:f>IF(D211="","",IF(LEFT(D211,5)="RFP-A",IF(F211=1,"PTC-B","PTC-C"),IF(LEFT(D211,5)="RFP-B",IF(F211=1,"PTC-A","PTC-C"),IF(F211=1,"PTC-A","PTC-B"))))</x:f>
      </x:c>
      <x:c r="H211" s="29" t="str"/>
      <x:c r="I211" s="29" t="str"/>
      <x:c r="J211" s="29" t="str"/>
      <x:c r="K211" s="29" t="str"/>
      <x:c r="L211" s="29" t="str"/>
      <x:c r="M211" s="28" t="str">
        <x:f>IF(AND(C211="RESERVE",D211=""),"DORMANT",IF(L211="","OPEN",IF(AND(G211&lt;&gt;"",H211&lt;&gt;"",I211=H211,J211&lt;&gt;"",K211&lt;&gt;"",J211&lt;&gt;K211),"PASS","FAIL")))</x:f>
        <x:v>OPEN</x:v>
      </x:c>
    </x:row>
    <x:row r="212">
      <x:c r="B212" s="28" t="str">
        <x:v>AT-09</x:v>
      </x:c>
      <x:c r="C212" s="28" t="str">
        <x:v>PRIMARY</x:v>
      </x:c>
      <x:c r="D212" s="28" t="str">
        <x:f>INDEX('Attempt Tokens'!$E$7:$E$36,MATCH(B212,'Attempt Tokens'!$B$7:$B$36,0))</x:f>
      </x:c>
      <x:c r="E212" s="28" t="str">
        <x:v>RP-07</x:v>
      </x:c>
      <x:c r="F212" s="28" t="n">
        <x:v>2</x:v>
      </x:c>
      <x:c r="G212" s="28" t="str">
        <x:f>IF(D212="","",IF(LEFT(D212,5)="RFP-A",IF(F212=1,"PTC-B","PTC-C"),IF(LEFT(D212,5)="RFP-B",IF(F212=1,"PTC-A","PTC-C"),IF(F212=1,"PTC-A","PTC-B"))))</x:f>
      </x:c>
      <x:c r="H212" s="29" t="str"/>
      <x:c r="I212" s="29" t="str"/>
      <x:c r="J212" s="29" t="str"/>
      <x:c r="K212" s="29" t="str"/>
      <x:c r="L212" s="29" t="str"/>
      <x:c r="M212" s="28" t="str">
        <x:f>IF(AND(C212="RESERVE",D212=""),"DORMANT",IF(L212="","OPEN",IF(AND(G212&lt;&gt;"",H212&lt;&gt;"",I212=H212,J212&lt;&gt;"",K212&lt;&gt;"",J212&lt;&gt;K212),"PASS","FAIL")))</x:f>
        <x:v>OPEN</x:v>
      </x:c>
    </x:row>
    <x:row r="213">
      <x:c r="B213" s="28" t="str">
        <x:v>AT-09</x:v>
      </x:c>
      <x:c r="C213" s="28" t="str">
        <x:v>PRIMARY</x:v>
      </x:c>
      <x:c r="D213" s="28" t="str">
        <x:f>INDEX('Attempt Tokens'!$E$7:$E$36,MATCH(B213,'Attempt Tokens'!$B$7:$B$36,0))</x:f>
      </x:c>
      <x:c r="E213" s="28" t="str">
        <x:v>RP-08</x:v>
      </x:c>
      <x:c r="F213" s="28" t="n">
        <x:v>1</x:v>
      </x:c>
      <x:c r="G213" s="28" t="str">
        <x:f>IF(D213="","",IF(LEFT(D213,5)="RFP-A",IF(F213=1,"PTC-B","PTC-C"),IF(LEFT(D213,5)="RFP-B",IF(F213=1,"PTC-A","PTC-C"),IF(F213=1,"PTC-A","PTC-B"))))</x:f>
      </x:c>
      <x:c r="H213" s="29" t="str"/>
      <x:c r="I213" s="29" t="str"/>
      <x:c r="J213" s="29" t="str"/>
      <x:c r="K213" s="29" t="str"/>
      <x:c r="L213" s="29" t="str"/>
      <x:c r="M213" s="28" t="str">
        <x:f>IF(AND(C213="RESERVE",D213=""),"DORMANT",IF(L213="","OPEN",IF(AND(G213&lt;&gt;"",H213&lt;&gt;"",I213=H213,J213&lt;&gt;"",K213&lt;&gt;"",J213&lt;&gt;K213),"PASS","FAIL")))</x:f>
        <x:v>OPEN</x:v>
      </x:c>
    </x:row>
    <x:row r="214">
      <x:c r="B214" s="28" t="str">
        <x:v>AT-09</x:v>
      </x:c>
      <x:c r="C214" s="28" t="str">
        <x:v>PRIMARY</x:v>
      </x:c>
      <x:c r="D214" s="28" t="str">
        <x:f>INDEX('Attempt Tokens'!$E$7:$E$36,MATCH(B214,'Attempt Tokens'!$B$7:$B$36,0))</x:f>
      </x:c>
      <x:c r="E214" s="28" t="str">
        <x:v>RP-08</x:v>
      </x:c>
      <x:c r="F214" s="28" t="n">
        <x:v>2</x:v>
      </x:c>
      <x:c r="G214" s="28" t="str">
        <x:f>IF(D214="","",IF(LEFT(D214,5)="RFP-A",IF(F214=1,"PTC-B","PTC-C"),IF(LEFT(D214,5)="RFP-B",IF(F214=1,"PTC-A","PTC-C"),IF(F214=1,"PTC-A","PTC-B"))))</x:f>
      </x:c>
      <x:c r="H214" s="29" t="str"/>
      <x:c r="I214" s="29" t="str"/>
      <x:c r="J214" s="29" t="str"/>
      <x:c r="K214" s="29" t="str"/>
      <x:c r="L214" s="29" t="str"/>
      <x:c r="M214" s="28" t="str">
        <x:f>IF(AND(C214="RESERVE",D214=""),"DORMANT",IF(L214="","OPEN",IF(AND(G214&lt;&gt;"",H214&lt;&gt;"",I214=H214,J214&lt;&gt;"",K214&lt;&gt;"",J214&lt;&gt;K214),"PASS","FAIL")))</x:f>
        <x:v>OPEN</x:v>
      </x:c>
    </x:row>
    <x:row r="215">
      <x:c r="B215" s="28" t="str">
        <x:v>AT-09</x:v>
      </x:c>
      <x:c r="C215" s="28" t="str">
        <x:v>PRIMARY</x:v>
      </x:c>
      <x:c r="D215" s="28" t="str">
        <x:f>INDEX('Attempt Tokens'!$E$7:$E$36,MATCH(B215,'Attempt Tokens'!$B$7:$B$36,0))</x:f>
      </x:c>
      <x:c r="E215" s="28" t="str">
        <x:v>RP-09</x:v>
      </x:c>
      <x:c r="F215" s="28" t="n">
        <x:v>1</x:v>
      </x:c>
      <x:c r="G215" s="28" t="str">
        <x:f>IF(D215="","",IF(LEFT(D215,5)="RFP-A",IF(F215=1,"PTC-B","PTC-C"),IF(LEFT(D215,5)="RFP-B",IF(F215=1,"PTC-A","PTC-C"),IF(F215=1,"PTC-A","PTC-B"))))</x:f>
      </x:c>
      <x:c r="H215" s="29" t="str"/>
      <x:c r="I215" s="29" t="str"/>
      <x:c r="J215" s="29" t="str"/>
      <x:c r="K215" s="29" t="str"/>
      <x:c r="L215" s="29" t="str"/>
      <x:c r="M215" s="28" t="str">
        <x:f>IF(AND(C215="RESERVE",D215=""),"DORMANT",IF(L215="","OPEN",IF(AND(G215&lt;&gt;"",H215&lt;&gt;"",I215=H215,J215&lt;&gt;"",K215&lt;&gt;"",J215&lt;&gt;K215),"PASS","FAIL")))</x:f>
        <x:v>OPEN</x:v>
      </x:c>
    </x:row>
    <x:row r="216">
      <x:c r="B216" s="28" t="str">
        <x:v>AT-09</x:v>
      </x:c>
      <x:c r="C216" s="28" t="str">
        <x:v>PRIMARY</x:v>
      </x:c>
      <x:c r="D216" s="28" t="str">
        <x:f>INDEX('Attempt Tokens'!$E$7:$E$36,MATCH(B216,'Attempt Tokens'!$B$7:$B$36,0))</x:f>
      </x:c>
      <x:c r="E216" s="28" t="str">
        <x:v>RP-09</x:v>
      </x:c>
      <x:c r="F216" s="28" t="n">
        <x:v>2</x:v>
      </x:c>
      <x:c r="G216" s="28" t="str">
        <x:f>IF(D216="","",IF(LEFT(D216,5)="RFP-A",IF(F216=1,"PTC-B","PTC-C"),IF(LEFT(D216,5)="RFP-B",IF(F216=1,"PTC-A","PTC-C"),IF(F216=1,"PTC-A","PTC-B"))))</x:f>
      </x:c>
      <x:c r="H216" s="29" t="str"/>
      <x:c r="I216" s="29" t="str"/>
      <x:c r="J216" s="29" t="str"/>
      <x:c r="K216" s="29" t="str"/>
      <x:c r="L216" s="29" t="str"/>
      <x:c r="M216" s="28" t="str">
        <x:f>IF(AND(C216="RESERVE",D216=""),"DORMANT",IF(L216="","OPEN",IF(AND(G216&lt;&gt;"",H216&lt;&gt;"",I216=H216,J216&lt;&gt;"",K216&lt;&gt;"",J216&lt;&gt;K216),"PASS","FAIL")))</x:f>
        <x:v>OPEN</x:v>
      </x:c>
    </x:row>
    <x:row r="217">
      <x:c r="B217" s="28" t="str">
        <x:v>AT-09</x:v>
      </x:c>
      <x:c r="C217" s="28" t="str">
        <x:v>PRIMARY</x:v>
      </x:c>
      <x:c r="D217" s="28" t="str">
        <x:f>INDEX('Attempt Tokens'!$E$7:$E$36,MATCH(B217,'Attempt Tokens'!$B$7:$B$36,0))</x:f>
      </x:c>
      <x:c r="E217" s="28" t="str">
        <x:v>RP-10</x:v>
      </x:c>
      <x:c r="F217" s="28" t="n">
        <x:v>1</x:v>
      </x:c>
      <x:c r="G217" s="28" t="str">
        <x:f>IF(D217="","",IF(LEFT(D217,5)="RFP-A",IF(F217=1,"PTC-B","PTC-C"),IF(LEFT(D217,5)="RFP-B",IF(F217=1,"PTC-A","PTC-C"),IF(F217=1,"PTC-A","PTC-B"))))</x:f>
      </x:c>
      <x:c r="H217" s="29" t="str"/>
      <x:c r="I217" s="29" t="str"/>
      <x:c r="J217" s="29" t="str"/>
      <x:c r="K217" s="29" t="str"/>
      <x:c r="L217" s="29" t="str"/>
      <x:c r="M217" s="28" t="str">
        <x:f>IF(AND(C217="RESERVE",D217=""),"DORMANT",IF(L217="","OPEN",IF(AND(G217&lt;&gt;"",H217&lt;&gt;"",I217=H217,J217&lt;&gt;"",K217&lt;&gt;"",J217&lt;&gt;K217),"PASS","FAIL")))</x:f>
        <x:v>OPEN</x:v>
      </x:c>
    </x:row>
    <x:row r="218">
      <x:c r="B218" s="28" t="str">
        <x:v>AT-09</x:v>
      </x:c>
      <x:c r="C218" s="28" t="str">
        <x:v>PRIMARY</x:v>
      </x:c>
      <x:c r="D218" s="28" t="str">
        <x:f>INDEX('Attempt Tokens'!$E$7:$E$36,MATCH(B218,'Attempt Tokens'!$B$7:$B$36,0))</x:f>
      </x:c>
      <x:c r="E218" s="28" t="str">
        <x:v>RP-10</x:v>
      </x:c>
      <x:c r="F218" s="28" t="n">
        <x:v>2</x:v>
      </x:c>
      <x:c r="G218" s="28" t="str">
        <x:f>IF(D218="","",IF(LEFT(D218,5)="RFP-A",IF(F218=1,"PTC-B","PTC-C"),IF(LEFT(D218,5)="RFP-B",IF(F218=1,"PTC-A","PTC-C"),IF(F218=1,"PTC-A","PTC-B"))))</x:f>
      </x:c>
      <x:c r="H218" s="29" t="str"/>
      <x:c r="I218" s="29" t="str"/>
      <x:c r="J218" s="29" t="str"/>
      <x:c r="K218" s="29" t="str"/>
      <x:c r="L218" s="29" t="str"/>
      <x:c r="M218" s="28" t="str">
        <x:f>IF(AND(C218="RESERVE",D218=""),"DORMANT",IF(L218="","OPEN",IF(AND(G218&lt;&gt;"",H218&lt;&gt;"",I218=H218,J218&lt;&gt;"",K218&lt;&gt;"",J218&lt;&gt;K218),"PASS","FAIL")))</x:f>
        <x:v>OPEN</x:v>
      </x:c>
    </x:row>
    <x:row r="219">
      <x:c r="B219" s="28" t="str">
        <x:v>AT-09</x:v>
      </x:c>
      <x:c r="C219" s="28" t="str">
        <x:v>PRIMARY</x:v>
      </x:c>
      <x:c r="D219" s="28" t="str">
        <x:f>INDEX('Attempt Tokens'!$E$7:$E$36,MATCH(B219,'Attempt Tokens'!$B$7:$B$36,0))</x:f>
      </x:c>
      <x:c r="E219" s="28" t="str">
        <x:v>RP-11</x:v>
      </x:c>
      <x:c r="F219" s="28" t="n">
        <x:v>1</x:v>
      </x:c>
      <x:c r="G219" s="28" t="str">
        <x:f>IF(D219="","",IF(LEFT(D219,5)="RFP-A",IF(F219=1,"PTC-B","PTC-C"),IF(LEFT(D219,5)="RFP-B",IF(F219=1,"PTC-A","PTC-C"),IF(F219=1,"PTC-A","PTC-B"))))</x:f>
      </x:c>
      <x:c r="H219" s="29" t="str"/>
      <x:c r="I219" s="29" t="str"/>
      <x:c r="J219" s="29" t="str"/>
      <x:c r="K219" s="29" t="str"/>
      <x:c r="L219" s="29" t="str"/>
      <x:c r="M219" s="28" t="str">
        <x:f>IF(AND(C219="RESERVE",D219=""),"DORMANT",IF(L219="","OPEN",IF(AND(G219&lt;&gt;"",H219&lt;&gt;"",I219=H219,J219&lt;&gt;"",K219&lt;&gt;"",J219&lt;&gt;K219),"PASS","FAIL")))</x:f>
        <x:v>OPEN</x:v>
      </x:c>
    </x:row>
    <x:row r="220">
      <x:c r="B220" s="28" t="str">
        <x:v>AT-09</x:v>
      </x:c>
      <x:c r="C220" s="28" t="str">
        <x:v>PRIMARY</x:v>
      </x:c>
      <x:c r="D220" s="28" t="str">
        <x:f>INDEX('Attempt Tokens'!$E$7:$E$36,MATCH(B220,'Attempt Tokens'!$B$7:$B$36,0))</x:f>
      </x:c>
      <x:c r="E220" s="28" t="str">
        <x:v>RP-11</x:v>
      </x:c>
      <x:c r="F220" s="28" t="n">
        <x:v>2</x:v>
      </x:c>
      <x:c r="G220" s="28" t="str">
        <x:f>IF(D220="","",IF(LEFT(D220,5)="RFP-A",IF(F220=1,"PTC-B","PTC-C"),IF(LEFT(D220,5)="RFP-B",IF(F220=1,"PTC-A","PTC-C"),IF(F220=1,"PTC-A","PTC-B"))))</x:f>
      </x:c>
      <x:c r="H220" s="29" t="str"/>
      <x:c r="I220" s="29" t="str"/>
      <x:c r="J220" s="29" t="str"/>
      <x:c r="K220" s="29" t="str"/>
      <x:c r="L220" s="29" t="str"/>
      <x:c r="M220" s="28" t="str">
        <x:f>IF(AND(C220="RESERVE",D220=""),"DORMANT",IF(L220="","OPEN",IF(AND(G220&lt;&gt;"",H220&lt;&gt;"",I220=H220,J220&lt;&gt;"",K220&lt;&gt;"",J220&lt;&gt;K220),"PASS","FAIL")))</x:f>
        <x:v>OPEN</x:v>
      </x:c>
    </x:row>
    <x:row r="221">
      <x:c r="B221" s="28" t="str">
        <x:v>AT-09</x:v>
      </x:c>
      <x:c r="C221" s="28" t="str">
        <x:v>PRIMARY</x:v>
      </x:c>
      <x:c r="D221" s="28" t="str">
        <x:f>INDEX('Attempt Tokens'!$E$7:$E$36,MATCH(B221,'Attempt Tokens'!$B$7:$B$36,0))</x:f>
      </x:c>
      <x:c r="E221" s="28" t="str">
        <x:v>RP-12</x:v>
      </x:c>
      <x:c r="F221" s="28" t="n">
        <x:v>1</x:v>
      </x:c>
      <x:c r="G221" s="28" t="str">
        <x:f>IF(D221="","",IF(LEFT(D221,5)="RFP-A",IF(F221=1,"PTC-B","PTC-C"),IF(LEFT(D221,5)="RFP-B",IF(F221=1,"PTC-A","PTC-C"),IF(F221=1,"PTC-A","PTC-B"))))</x:f>
      </x:c>
      <x:c r="H221" s="29" t="str"/>
      <x:c r="I221" s="29" t="str"/>
      <x:c r="J221" s="29" t="str"/>
      <x:c r="K221" s="29" t="str"/>
      <x:c r="L221" s="29" t="str"/>
      <x:c r="M221" s="28" t="str">
        <x:f>IF(AND(C221="RESERVE",D221=""),"DORMANT",IF(L221="","OPEN",IF(AND(G221&lt;&gt;"",H221&lt;&gt;"",I221=H221,J221&lt;&gt;"",K221&lt;&gt;"",J221&lt;&gt;K221),"PASS","FAIL")))</x:f>
        <x:v>OPEN</x:v>
      </x:c>
    </x:row>
    <x:row r="222">
      <x:c r="B222" s="28" t="str">
        <x:v>AT-09</x:v>
      </x:c>
      <x:c r="C222" s="28" t="str">
        <x:v>PRIMARY</x:v>
      </x:c>
      <x:c r="D222" s="28" t="str">
        <x:f>INDEX('Attempt Tokens'!$E$7:$E$36,MATCH(B222,'Attempt Tokens'!$B$7:$B$36,0))</x:f>
      </x:c>
      <x:c r="E222" s="28" t="str">
        <x:v>RP-12</x:v>
      </x:c>
      <x:c r="F222" s="28" t="n">
        <x:v>2</x:v>
      </x:c>
      <x:c r="G222" s="28" t="str">
        <x:f>IF(D222="","",IF(LEFT(D222,5)="RFP-A",IF(F222=1,"PTC-B","PTC-C"),IF(LEFT(D222,5)="RFP-B",IF(F222=1,"PTC-A","PTC-C"),IF(F222=1,"PTC-A","PTC-B"))))</x:f>
      </x:c>
      <x:c r="H222" s="29" t="str"/>
      <x:c r="I222" s="29" t="str"/>
      <x:c r="J222" s="29" t="str"/>
      <x:c r="K222" s="29" t="str"/>
      <x:c r="L222" s="29" t="str"/>
      <x:c r="M222" s="28" t="str">
        <x:f>IF(AND(C222="RESERVE",D222=""),"DORMANT",IF(L222="","OPEN",IF(AND(G222&lt;&gt;"",H222&lt;&gt;"",I222=H222,J222&lt;&gt;"",K222&lt;&gt;"",J222&lt;&gt;K222),"PASS","FAIL")))</x:f>
        <x:v>OPEN</x:v>
      </x:c>
    </x:row>
    <x:row r="223">
      <x:c r="B223" s="28" t="str">
        <x:v>AT-10</x:v>
      </x:c>
      <x:c r="C223" s="28" t="str">
        <x:v>PRIMARY</x:v>
      </x:c>
      <x:c r="D223" s="28" t="str">
        <x:f>INDEX('Attempt Tokens'!$E$7:$E$36,MATCH(B223,'Attempt Tokens'!$B$7:$B$36,0))</x:f>
      </x:c>
      <x:c r="E223" s="28" t="str">
        <x:v>RP-01</x:v>
      </x:c>
      <x:c r="F223" s="28" t="n">
        <x:v>1</x:v>
      </x:c>
      <x:c r="G223" s="28" t="str">
        <x:f>IF(D223="","",IF(LEFT(D223,5)="RFP-A",IF(F223=1,"PTC-B","PTC-C"),IF(LEFT(D223,5)="RFP-B",IF(F223=1,"PTC-A","PTC-C"),IF(F223=1,"PTC-A","PTC-B"))))</x:f>
      </x:c>
      <x:c r="H223" s="29" t="str"/>
      <x:c r="I223" s="29" t="str"/>
      <x:c r="J223" s="29" t="str"/>
      <x:c r="K223" s="29" t="str"/>
      <x:c r="L223" s="29" t="str"/>
      <x:c r="M223" s="28" t="str">
        <x:f>IF(AND(C223="RESERVE",D223=""),"DORMANT",IF(L223="","OPEN",IF(AND(G223&lt;&gt;"",H223&lt;&gt;"",I223=H223,J223&lt;&gt;"",K223&lt;&gt;"",J223&lt;&gt;K223),"PASS","FAIL")))</x:f>
        <x:v>OPEN</x:v>
      </x:c>
    </x:row>
    <x:row r="224">
      <x:c r="B224" s="28" t="str">
        <x:v>AT-10</x:v>
      </x:c>
      <x:c r="C224" s="28" t="str">
        <x:v>PRIMARY</x:v>
      </x:c>
      <x:c r="D224" s="28" t="str">
        <x:f>INDEX('Attempt Tokens'!$E$7:$E$36,MATCH(B224,'Attempt Tokens'!$B$7:$B$36,0))</x:f>
      </x:c>
      <x:c r="E224" s="28" t="str">
        <x:v>RP-01</x:v>
      </x:c>
      <x:c r="F224" s="28" t="n">
        <x:v>2</x:v>
      </x:c>
      <x:c r="G224" s="28" t="str">
        <x:f>IF(D224="","",IF(LEFT(D224,5)="RFP-A",IF(F224=1,"PTC-B","PTC-C"),IF(LEFT(D224,5)="RFP-B",IF(F224=1,"PTC-A","PTC-C"),IF(F224=1,"PTC-A","PTC-B"))))</x:f>
      </x:c>
      <x:c r="H224" s="29" t="str"/>
      <x:c r="I224" s="29" t="str"/>
      <x:c r="J224" s="29" t="str"/>
      <x:c r="K224" s="29" t="str"/>
      <x:c r="L224" s="29" t="str"/>
      <x:c r="M224" s="28" t="str">
        <x:f>IF(AND(C224="RESERVE",D224=""),"DORMANT",IF(L224="","OPEN",IF(AND(G224&lt;&gt;"",H224&lt;&gt;"",I224=H224,J224&lt;&gt;"",K224&lt;&gt;"",J224&lt;&gt;K224),"PASS","FAIL")))</x:f>
        <x:v>OPEN</x:v>
      </x:c>
    </x:row>
    <x:row r="225">
      <x:c r="B225" s="28" t="str">
        <x:v>AT-10</x:v>
      </x:c>
      <x:c r="C225" s="28" t="str">
        <x:v>PRIMARY</x:v>
      </x:c>
      <x:c r="D225" s="28" t="str">
        <x:f>INDEX('Attempt Tokens'!$E$7:$E$36,MATCH(B225,'Attempt Tokens'!$B$7:$B$36,0))</x:f>
      </x:c>
      <x:c r="E225" s="28" t="str">
        <x:v>RP-02</x:v>
      </x:c>
      <x:c r="F225" s="28" t="n">
        <x:v>1</x:v>
      </x:c>
      <x:c r="G225" s="28" t="str">
        <x:f>IF(D225="","",IF(LEFT(D225,5)="RFP-A",IF(F225=1,"PTC-B","PTC-C"),IF(LEFT(D225,5)="RFP-B",IF(F225=1,"PTC-A","PTC-C"),IF(F225=1,"PTC-A","PTC-B"))))</x:f>
      </x:c>
      <x:c r="H225" s="29" t="str"/>
      <x:c r="I225" s="29" t="str"/>
      <x:c r="J225" s="29" t="str"/>
      <x:c r="K225" s="29" t="str"/>
      <x:c r="L225" s="29" t="str"/>
      <x:c r="M225" s="28" t="str">
        <x:f>IF(AND(C225="RESERVE",D225=""),"DORMANT",IF(L225="","OPEN",IF(AND(G225&lt;&gt;"",H225&lt;&gt;"",I225=H225,J225&lt;&gt;"",K225&lt;&gt;"",J225&lt;&gt;K225),"PASS","FAIL")))</x:f>
        <x:v>OPEN</x:v>
      </x:c>
    </x:row>
    <x:row r="226">
      <x:c r="B226" s="28" t="str">
        <x:v>AT-10</x:v>
      </x:c>
      <x:c r="C226" s="28" t="str">
        <x:v>PRIMARY</x:v>
      </x:c>
      <x:c r="D226" s="28" t="str">
        <x:f>INDEX('Attempt Tokens'!$E$7:$E$36,MATCH(B226,'Attempt Tokens'!$B$7:$B$36,0))</x:f>
      </x:c>
      <x:c r="E226" s="28" t="str">
        <x:v>RP-02</x:v>
      </x:c>
      <x:c r="F226" s="28" t="n">
        <x:v>2</x:v>
      </x:c>
      <x:c r="G226" s="28" t="str">
        <x:f>IF(D226="","",IF(LEFT(D226,5)="RFP-A",IF(F226=1,"PTC-B","PTC-C"),IF(LEFT(D226,5)="RFP-B",IF(F226=1,"PTC-A","PTC-C"),IF(F226=1,"PTC-A","PTC-B"))))</x:f>
      </x:c>
      <x:c r="H226" s="29" t="str"/>
      <x:c r="I226" s="29" t="str"/>
      <x:c r="J226" s="29" t="str"/>
      <x:c r="K226" s="29" t="str"/>
      <x:c r="L226" s="29" t="str"/>
      <x:c r="M226" s="28" t="str">
        <x:f>IF(AND(C226="RESERVE",D226=""),"DORMANT",IF(L226="","OPEN",IF(AND(G226&lt;&gt;"",H226&lt;&gt;"",I226=H226,J226&lt;&gt;"",K226&lt;&gt;"",J226&lt;&gt;K226),"PASS","FAIL")))</x:f>
        <x:v>OPEN</x:v>
      </x:c>
    </x:row>
    <x:row r="227">
      <x:c r="B227" s="28" t="str">
        <x:v>AT-10</x:v>
      </x:c>
      <x:c r="C227" s="28" t="str">
        <x:v>PRIMARY</x:v>
      </x:c>
      <x:c r="D227" s="28" t="str">
        <x:f>INDEX('Attempt Tokens'!$E$7:$E$36,MATCH(B227,'Attempt Tokens'!$B$7:$B$36,0))</x:f>
      </x:c>
      <x:c r="E227" s="28" t="str">
        <x:v>RP-03</x:v>
      </x:c>
      <x:c r="F227" s="28" t="n">
        <x:v>1</x:v>
      </x:c>
      <x:c r="G227" s="28" t="str">
        <x:f>IF(D227="","",IF(LEFT(D227,5)="RFP-A",IF(F227=1,"PTC-B","PTC-C"),IF(LEFT(D227,5)="RFP-B",IF(F227=1,"PTC-A","PTC-C"),IF(F227=1,"PTC-A","PTC-B"))))</x:f>
      </x:c>
      <x:c r="H227" s="29" t="str"/>
      <x:c r="I227" s="29" t="str"/>
      <x:c r="J227" s="29" t="str"/>
      <x:c r="K227" s="29" t="str"/>
      <x:c r="L227" s="29" t="str"/>
      <x:c r="M227" s="28" t="str">
        <x:f>IF(AND(C227="RESERVE",D227=""),"DORMANT",IF(L227="","OPEN",IF(AND(G227&lt;&gt;"",H227&lt;&gt;"",I227=H227,J227&lt;&gt;"",K227&lt;&gt;"",J227&lt;&gt;K227),"PASS","FAIL")))</x:f>
        <x:v>OPEN</x:v>
      </x:c>
    </x:row>
    <x:row r="228">
      <x:c r="B228" s="28" t="str">
        <x:v>AT-10</x:v>
      </x:c>
      <x:c r="C228" s="28" t="str">
        <x:v>PRIMARY</x:v>
      </x:c>
      <x:c r="D228" s="28" t="str">
        <x:f>INDEX('Attempt Tokens'!$E$7:$E$36,MATCH(B228,'Attempt Tokens'!$B$7:$B$36,0))</x:f>
      </x:c>
      <x:c r="E228" s="28" t="str">
        <x:v>RP-03</x:v>
      </x:c>
      <x:c r="F228" s="28" t="n">
        <x:v>2</x:v>
      </x:c>
      <x:c r="G228" s="28" t="str">
        <x:f>IF(D228="","",IF(LEFT(D228,5)="RFP-A",IF(F228=1,"PTC-B","PTC-C"),IF(LEFT(D228,5)="RFP-B",IF(F228=1,"PTC-A","PTC-C"),IF(F228=1,"PTC-A","PTC-B"))))</x:f>
      </x:c>
      <x:c r="H228" s="29" t="str"/>
      <x:c r="I228" s="29" t="str"/>
      <x:c r="J228" s="29" t="str"/>
      <x:c r="K228" s="29" t="str"/>
      <x:c r="L228" s="29" t="str"/>
      <x:c r="M228" s="28" t="str">
        <x:f>IF(AND(C228="RESERVE",D228=""),"DORMANT",IF(L228="","OPEN",IF(AND(G228&lt;&gt;"",H228&lt;&gt;"",I228=H228,J228&lt;&gt;"",K228&lt;&gt;"",J228&lt;&gt;K228),"PASS","FAIL")))</x:f>
        <x:v>OPEN</x:v>
      </x:c>
    </x:row>
    <x:row r="229">
      <x:c r="B229" s="28" t="str">
        <x:v>AT-10</x:v>
      </x:c>
      <x:c r="C229" s="28" t="str">
        <x:v>PRIMARY</x:v>
      </x:c>
      <x:c r="D229" s="28" t="str">
        <x:f>INDEX('Attempt Tokens'!$E$7:$E$36,MATCH(B229,'Attempt Tokens'!$B$7:$B$36,0))</x:f>
      </x:c>
      <x:c r="E229" s="28" t="str">
        <x:v>RP-04</x:v>
      </x:c>
      <x:c r="F229" s="28" t="n">
        <x:v>1</x:v>
      </x:c>
      <x:c r="G229" s="28" t="str">
        <x:f>IF(D229="","",IF(LEFT(D229,5)="RFP-A",IF(F229=1,"PTC-B","PTC-C"),IF(LEFT(D229,5)="RFP-B",IF(F229=1,"PTC-A","PTC-C"),IF(F229=1,"PTC-A","PTC-B"))))</x:f>
      </x:c>
      <x:c r="H229" s="29" t="str"/>
      <x:c r="I229" s="29" t="str"/>
      <x:c r="J229" s="29" t="str"/>
      <x:c r="K229" s="29" t="str"/>
      <x:c r="L229" s="29" t="str"/>
      <x:c r="M229" s="28" t="str">
        <x:f>IF(AND(C229="RESERVE",D229=""),"DORMANT",IF(L229="","OPEN",IF(AND(G229&lt;&gt;"",H229&lt;&gt;"",I229=H229,J229&lt;&gt;"",K229&lt;&gt;"",J229&lt;&gt;K229),"PASS","FAIL")))</x:f>
        <x:v>OPEN</x:v>
      </x:c>
    </x:row>
    <x:row r="230">
      <x:c r="B230" s="28" t="str">
        <x:v>AT-10</x:v>
      </x:c>
      <x:c r="C230" s="28" t="str">
        <x:v>PRIMARY</x:v>
      </x:c>
      <x:c r="D230" s="28" t="str">
        <x:f>INDEX('Attempt Tokens'!$E$7:$E$36,MATCH(B230,'Attempt Tokens'!$B$7:$B$36,0))</x:f>
      </x:c>
      <x:c r="E230" s="28" t="str">
        <x:v>RP-04</x:v>
      </x:c>
      <x:c r="F230" s="28" t="n">
        <x:v>2</x:v>
      </x:c>
      <x:c r="G230" s="28" t="str">
        <x:f>IF(D230="","",IF(LEFT(D230,5)="RFP-A",IF(F230=1,"PTC-B","PTC-C"),IF(LEFT(D230,5)="RFP-B",IF(F230=1,"PTC-A","PTC-C"),IF(F230=1,"PTC-A","PTC-B"))))</x:f>
      </x:c>
      <x:c r="H230" s="29" t="str"/>
      <x:c r="I230" s="29" t="str"/>
      <x:c r="J230" s="29" t="str"/>
      <x:c r="K230" s="29" t="str"/>
      <x:c r="L230" s="29" t="str"/>
      <x:c r="M230" s="28" t="str">
        <x:f>IF(AND(C230="RESERVE",D230=""),"DORMANT",IF(L230="","OPEN",IF(AND(G230&lt;&gt;"",H230&lt;&gt;"",I230=H230,J230&lt;&gt;"",K230&lt;&gt;"",J230&lt;&gt;K230),"PASS","FAIL")))</x:f>
        <x:v>OPEN</x:v>
      </x:c>
    </x:row>
    <x:row r="231">
      <x:c r="B231" s="28" t="str">
        <x:v>AT-10</x:v>
      </x:c>
      <x:c r="C231" s="28" t="str">
        <x:v>PRIMARY</x:v>
      </x:c>
      <x:c r="D231" s="28" t="str">
        <x:f>INDEX('Attempt Tokens'!$E$7:$E$36,MATCH(B231,'Attempt Tokens'!$B$7:$B$36,0))</x:f>
      </x:c>
      <x:c r="E231" s="28" t="str">
        <x:v>RP-05</x:v>
      </x:c>
      <x:c r="F231" s="28" t="n">
        <x:v>1</x:v>
      </x:c>
      <x:c r="G231" s="28" t="str">
        <x:f>IF(D231="","",IF(LEFT(D231,5)="RFP-A",IF(F231=1,"PTC-B","PTC-C"),IF(LEFT(D231,5)="RFP-B",IF(F231=1,"PTC-A","PTC-C"),IF(F231=1,"PTC-A","PTC-B"))))</x:f>
      </x:c>
      <x:c r="H231" s="29" t="str"/>
      <x:c r="I231" s="29" t="str"/>
      <x:c r="J231" s="29" t="str"/>
      <x:c r="K231" s="29" t="str"/>
      <x:c r="L231" s="29" t="str"/>
      <x:c r="M231" s="28" t="str">
        <x:f>IF(AND(C231="RESERVE",D231=""),"DORMANT",IF(L231="","OPEN",IF(AND(G231&lt;&gt;"",H231&lt;&gt;"",I231=H231,J231&lt;&gt;"",K231&lt;&gt;"",J231&lt;&gt;K231),"PASS","FAIL")))</x:f>
        <x:v>OPEN</x:v>
      </x:c>
    </x:row>
    <x:row r="232">
      <x:c r="B232" s="28" t="str">
        <x:v>AT-10</x:v>
      </x:c>
      <x:c r="C232" s="28" t="str">
        <x:v>PRIMARY</x:v>
      </x:c>
      <x:c r="D232" s="28" t="str">
        <x:f>INDEX('Attempt Tokens'!$E$7:$E$36,MATCH(B232,'Attempt Tokens'!$B$7:$B$36,0))</x:f>
      </x:c>
      <x:c r="E232" s="28" t="str">
        <x:v>RP-05</x:v>
      </x:c>
      <x:c r="F232" s="28" t="n">
        <x:v>2</x:v>
      </x:c>
      <x:c r="G232" s="28" t="str">
        <x:f>IF(D232="","",IF(LEFT(D232,5)="RFP-A",IF(F232=1,"PTC-B","PTC-C"),IF(LEFT(D232,5)="RFP-B",IF(F232=1,"PTC-A","PTC-C"),IF(F232=1,"PTC-A","PTC-B"))))</x:f>
      </x:c>
      <x:c r="H232" s="29" t="str"/>
      <x:c r="I232" s="29" t="str"/>
      <x:c r="J232" s="29" t="str"/>
      <x:c r="K232" s="29" t="str"/>
      <x:c r="L232" s="29" t="str"/>
      <x:c r="M232" s="28" t="str">
        <x:f>IF(AND(C232="RESERVE",D232=""),"DORMANT",IF(L232="","OPEN",IF(AND(G232&lt;&gt;"",H232&lt;&gt;"",I232=H232,J232&lt;&gt;"",K232&lt;&gt;"",J232&lt;&gt;K232),"PASS","FAIL")))</x:f>
        <x:v>OPEN</x:v>
      </x:c>
    </x:row>
    <x:row r="233">
      <x:c r="B233" s="28" t="str">
        <x:v>AT-10</x:v>
      </x:c>
      <x:c r="C233" s="28" t="str">
        <x:v>PRIMARY</x:v>
      </x:c>
      <x:c r="D233" s="28" t="str">
        <x:f>INDEX('Attempt Tokens'!$E$7:$E$36,MATCH(B233,'Attempt Tokens'!$B$7:$B$36,0))</x:f>
      </x:c>
      <x:c r="E233" s="28" t="str">
        <x:v>RP-06</x:v>
      </x:c>
      <x:c r="F233" s="28" t="n">
        <x:v>1</x:v>
      </x:c>
      <x:c r="G233" s="28" t="str">
        <x:f>IF(D233="","",IF(LEFT(D233,5)="RFP-A",IF(F233=1,"PTC-B","PTC-C"),IF(LEFT(D233,5)="RFP-B",IF(F233=1,"PTC-A","PTC-C"),IF(F233=1,"PTC-A","PTC-B"))))</x:f>
      </x:c>
      <x:c r="H233" s="29" t="str"/>
      <x:c r="I233" s="29" t="str"/>
      <x:c r="J233" s="29" t="str"/>
      <x:c r="K233" s="29" t="str"/>
      <x:c r="L233" s="29" t="str"/>
      <x:c r="M233" s="28" t="str">
        <x:f>IF(AND(C233="RESERVE",D233=""),"DORMANT",IF(L233="","OPEN",IF(AND(G233&lt;&gt;"",H233&lt;&gt;"",I233=H233,J233&lt;&gt;"",K233&lt;&gt;"",J233&lt;&gt;K233),"PASS","FAIL")))</x:f>
        <x:v>OPEN</x:v>
      </x:c>
    </x:row>
    <x:row r="234">
      <x:c r="B234" s="28" t="str">
        <x:v>AT-10</x:v>
      </x:c>
      <x:c r="C234" s="28" t="str">
        <x:v>PRIMARY</x:v>
      </x:c>
      <x:c r="D234" s="28" t="str">
        <x:f>INDEX('Attempt Tokens'!$E$7:$E$36,MATCH(B234,'Attempt Tokens'!$B$7:$B$36,0))</x:f>
      </x:c>
      <x:c r="E234" s="28" t="str">
        <x:v>RP-06</x:v>
      </x:c>
      <x:c r="F234" s="28" t="n">
        <x:v>2</x:v>
      </x:c>
      <x:c r="G234" s="28" t="str">
        <x:f>IF(D234="","",IF(LEFT(D234,5)="RFP-A",IF(F234=1,"PTC-B","PTC-C"),IF(LEFT(D234,5)="RFP-B",IF(F234=1,"PTC-A","PTC-C"),IF(F234=1,"PTC-A","PTC-B"))))</x:f>
      </x:c>
      <x:c r="H234" s="29" t="str"/>
      <x:c r="I234" s="29" t="str"/>
      <x:c r="J234" s="29" t="str"/>
      <x:c r="K234" s="29" t="str"/>
      <x:c r="L234" s="29" t="str"/>
      <x:c r="M234" s="28" t="str">
        <x:f>IF(AND(C234="RESERVE",D234=""),"DORMANT",IF(L234="","OPEN",IF(AND(G234&lt;&gt;"",H234&lt;&gt;"",I234=H234,J234&lt;&gt;"",K234&lt;&gt;"",J234&lt;&gt;K234),"PASS","FAIL")))</x:f>
        <x:v>OPEN</x:v>
      </x:c>
    </x:row>
    <x:row r="235">
      <x:c r="B235" s="28" t="str">
        <x:v>AT-10</x:v>
      </x:c>
      <x:c r="C235" s="28" t="str">
        <x:v>PRIMARY</x:v>
      </x:c>
      <x:c r="D235" s="28" t="str">
        <x:f>INDEX('Attempt Tokens'!$E$7:$E$36,MATCH(B235,'Attempt Tokens'!$B$7:$B$36,0))</x:f>
      </x:c>
      <x:c r="E235" s="28" t="str">
        <x:v>RP-07</x:v>
      </x:c>
      <x:c r="F235" s="28" t="n">
        <x:v>1</x:v>
      </x:c>
      <x:c r="G235" s="28" t="str">
        <x:f>IF(D235="","",IF(LEFT(D235,5)="RFP-A",IF(F235=1,"PTC-B","PTC-C"),IF(LEFT(D235,5)="RFP-B",IF(F235=1,"PTC-A","PTC-C"),IF(F235=1,"PTC-A","PTC-B"))))</x:f>
      </x:c>
      <x:c r="H235" s="29" t="str"/>
      <x:c r="I235" s="29" t="str"/>
      <x:c r="J235" s="29" t="str"/>
      <x:c r="K235" s="29" t="str"/>
      <x:c r="L235" s="29" t="str"/>
      <x:c r="M235" s="28" t="str">
        <x:f>IF(AND(C235="RESERVE",D235=""),"DORMANT",IF(L235="","OPEN",IF(AND(G235&lt;&gt;"",H235&lt;&gt;"",I235=H235,J235&lt;&gt;"",K235&lt;&gt;"",J235&lt;&gt;K235),"PASS","FAIL")))</x:f>
        <x:v>OPEN</x:v>
      </x:c>
    </x:row>
    <x:row r="236">
      <x:c r="B236" s="28" t="str">
        <x:v>AT-10</x:v>
      </x:c>
      <x:c r="C236" s="28" t="str">
        <x:v>PRIMARY</x:v>
      </x:c>
      <x:c r="D236" s="28" t="str">
        <x:f>INDEX('Attempt Tokens'!$E$7:$E$36,MATCH(B236,'Attempt Tokens'!$B$7:$B$36,0))</x:f>
      </x:c>
      <x:c r="E236" s="28" t="str">
        <x:v>RP-07</x:v>
      </x:c>
      <x:c r="F236" s="28" t="n">
        <x:v>2</x:v>
      </x:c>
      <x:c r="G236" s="28" t="str">
        <x:f>IF(D236="","",IF(LEFT(D236,5)="RFP-A",IF(F236=1,"PTC-B","PTC-C"),IF(LEFT(D236,5)="RFP-B",IF(F236=1,"PTC-A","PTC-C"),IF(F236=1,"PTC-A","PTC-B"))))</x:f>
      </x:c>
      <x:c r="H236" s="29" t="str"/>
      <x:c r="I236" s="29" t="str"/>
      <x:c r="J236" s="29" t="str"/>
      <x:c r="K236" s="29" t="str"/>
      <x:c r="L236" s="29" t="str"/>
      <x:c r="M236" s="28" t="str">
        <x:f>IF(AND(C236="RESERVE",D236=""),"DORMANT",IF(L236="","OPEN",IF(AND(G236&lt;&gt;"",H236&lt;&gt;"",I236=H236,J236&lt;&gt;"",K236&lt;&gt;"",J236&lt;&gt;K236),"PASS","FAIL")))</x:f>
        <x:v>OPEN</x:v>
      </x:c>
    </x:row>
    <x:row r="237">
      <x:c r="B237" s="28" t="str">
        <x:v>AT-10</x:v>
      </x:c>
      <x:c r="C237" s="28" t="str">
        <x:v>PRIMARY</x:v>
      </x:c>
      <x:c r="D237" s="28" t="str">
        <x:f>INDEX('Attempt Tokens'!$E$7:$E$36,MATCH(B237,'Attempt Tokens'!$B$7:$B$36,0))</x:f>
      </x:c>
      <x:c r="E237" s="28" t="str">
        <x:v>RP-08</x:v>
      </x:c>
      <x:c r="F237" s="28" t="n">
        <x:v>1</x:v>
      </x:c>
      <x:c r="G237" s="28" t="str">
        <x:f>IF(D237="","",IF(LEFT(D237,5)="RFP-A",IF(F237=1,"PTC-B","PTC-C"),IF(LEFT(D237,5)="RFP-B",IF(F237=1,"PTC-A","PTC-C"),IF(F237=1,"PTC-A","PTC-B"))))</x:f>
      </x:c>
      <x:c r="H237" s="29" t="str"/>
      <x:c r="I237" s="29" t="str"/>
      <x:c r="J237" s="29" t="str"/>
      <x:c r="K237" s="29" t="str"/>
      <x:c r="L237" s="29" t="str"/>
      <x:c r="M237" s="28" t="str">
        <x:f>IF(AND(C237="RESERVE",D237=""),"DORMANT",IF(L237="","OPEN",IF(AND(G237&lt;&gt;"",H237&lt;&gt;"",I237=H237,J237&lt;&gt;"",K237&lt;&gt;"",J237&lt;&gt;K237),"PASS","FAIL")))</x:f>
        <x:v>OPEN</x:v>
      </x:c>
    </x:row>
    <x:row r="238">
      <x:c r="B238" s="28" t="str">
        <x:v>AT-10</x:v>
      </x:c>
      <x:c r="C238" s="28" t="str">
        <x:v>PRIMARY</x:v>
      </x:c>
      <x:c r="D238" s="28" t="str">
        <x:f>INDEX('Attempt Tokens'!$E$7:$E$36,MATCH(B238,'Attempt Tokens'!$B$7:$B$36,0))</x:f>
      </x:c>
      <x:c r="E238" s="28" t="str">
        <x:v>RP-08</x:v>
      </x:c>
      <x:c r="F238" s="28" t="n">
        <x:v>2</x:v>
      </x:c>
      <x:c r="G238" s="28" t="str">
        <x:f>IF(D238="","",IF(LEFT(D238,5)="RFP-A",IF(F238=1,"PTC-B","PTC-C"),IF(LEFT(D238,5)="RFP-B",IF(F238=1,"PTC-A","PTC-C"),IF(F238=1,"PTC-A","PTC-B"))))</x:f>
      </x:c>
      <x:c r="H238" s="29" t="str"/>
      <x:c r="I238" s="29" t="str"/>
      <x:c r="J238" s="29" t="str"/>
      <x:c r="K238" s="29" t="str"/>
      <x:c r="L238" s="29" t="str"/>
      <x:c r="M238" s="28" t="str">
        <x:f>IF(AND(C238="RESERVE",D238=""),"DORMANT",IF(L238="","OPEN",IF(AND(G238&lt;&gt;"",H238&lt;&gt;"",I238=H238,J238&lt;&gt;"",K238&lt;&gt;"",J238&lt;&gt;K238),"PASS","FAIL")))</x:f>
        <x:v>OPEN</x:v>
      </x:c>
    </x:row>
    <x:row r="239">
      <x:c r="B239" s="28" t="str">
        <x:v>AT-10</x:v>
      </x:c>
      <x:c r="C239" s="28" t="str">
        <x:v>PRIMARY</x:v>
      </x:c>
      <x:c r="D239" s="28" t="str">
        <x:f>INDEX('Attempt Tokens'!$E$7:$E$36,MATCH(B239,'Attempt Tokens'!$B$7:$B$36,0))</x:f>
      </x:c>
      <x:c r="E239" s="28" t="str">
        <x:v>RP-09</x:v>
      </x:c>
      <x:c r="F239" s="28" t="n">
        <x:v>1</x:v>
      </x:c>
      <x:c r="G239" s="28" t="str">
        <x:f>IF(D239="","",IF(LEFT(D239,5)="RFP-A",IF(F239=1,"PTC-B","PTC-C"),IF(LEFT(D239,5)="RFP-B",IF(F239=1,"PTC-A","PTC-C"),IF(F239=1,"PTC-A","PTC-B"))))</x:f>
      </x:c>
      <x:c r="H239" s="29" t="str"/>
      <x:c r="I239" s="29" t="str"/>
      <x:c r="J239" s="29" t="str"/>
      <x:c r="K239" s="29" t="str"/>
      <x:c r="L239" s="29" t="str"/>
      <x:c r="M239" s="28" t="str">
        <x:f>IF(AND(C239="RESERVE",D239=""),"DORMANT",IF(L239="","OPEN",IF(AND(G239&lt;&gt;"",H239&lt;&gt;"",I239=H239,J239&lt;&gt;"",K239&lt;&gt;"",J239&lt;&gt;K239),"PASS","FAIL")))</x:f>
        <x:v>OPEN</x:v>
      </x:c>
    </x:row>
    <x:row r="240">
      <x:c r="B240" s="28" t="str">
        <x:v>AT-10</x:v>
      </x:c>
      <x:c r="C240" s="28" t="str">
        <x:v>PRIMARY</x:v>
      </x:c>
      <x:c r="D240" s="28" t="str">
        <x:f>INDEX('Attempt Tokens'!$E$7:$E$36,MATCH(B240,'Attempt Tokens'!$B$7:$B$36,0))</x:f>
      </x:c>
      <x:c r="E240" s="28" t="str">
        <x:v>RP-09</x:v>
      </x:c>
      <x:c r="F240" s="28" t="n">
        <x:v>2</x:v>
      </x:c>
      <x:c r="G240" s="28" t="str">
        <x:f>IF(D240="","",IF(LEFT(D240,5)="RFP-A",IF(F240=1,"PTC-B","PTC-C"),IF(LEFT(D240,5)="RFP-B",IF(F240=1,"PTC-A","PTC-C"),IF(F240=1,"PTC-A","PTC-B"))))</x:f>
      </x:c>
      <x:c r="H240" s="29" t="str"/>
      <x:c r="I240" s="29" t="str"/>
      <x:c r="J240" s="29" t="str"/>
      <x:c r="K240" s="29" t="str"/>
      <x:c r="L240" s="29" t="str"/>
      <x:c r="M240" s="28" t="str">
        <x:f>IF(AND(C240="RESERVE",D240=""),"DORMANT",IF(L240="","OPEN",IF(AND(G240&lt;&gt;"",H240&lt;&gt;"",I240=H240,J240&lt;&gt;"",K240&lt;&gt;"",J240&lt;&gt;K240),"PASS","FAIL")))</x:f>
        <x:v>OPEN</x:v>
      </x:c>
    </x:row>
    <x:row r="241">
      <x:c r="B241" s="28" t="str">
        <x:v>AT-10</x:v>
      </x:c>
      <x:c r="C241" s="28" t="str">
        <x:v>PRIMARY</x:v>
      </x:c>
      <x:c r="D241" s="28" t="str">
        <x:f>INDEX('Attempt Tokens'!$E$7:$E$36,MATCH(B241,'Attempt Tokens'!$B$7:$B$36,0))</x:f>
      </x:c>
      <x:c r="E241" s="28" t="str">
        <x:v>RP-10</x:v>
      </x:c>
      <x:c r="F241" s="28" t="n">
        <x:v>1</x:v>
      </x:c>
      <x:c r="G241" s="28" t="str">
        <x:f>IF(D241="","",IF(LEFT(D241,5)="RFP-A",IF(F241=1,"PTC-B","PTC-C"),IF(LEFT(D241,5)="RFP-B",IF(F241=1,"PTC-A","PTC-C"),IF(F241=1,"PTC-A","PTC-B"))))</x:f>
      </x:c>
      <x:c r="H241" s="29" t="str"/>
      <x:c r="I241" s="29" t="str"/>
      <x:c r="J241" s="29" t="str"/>
      <x:c r="K241" s="29" t="str"/>
      <x:c r="L241" s="29" t="str"/>
      <x:c r="M241" s="28" t="str">
        <x:f>IF(AND(C241="RESERVE",D241=""),"DORMANT",IF(L241="","OPEN",IF(AND(G241&lt;&gt;"",H241&lt;&gt;"",I241=H241,J241&lt;&gt;"",K241&lt;&gt;"",J241&lt;&gt;K241),"PASS","FAIL")))</x:f>
        <x:v>OPEN</x:v>
      </x:c>
    </x:row>
    <x:row r="242">
      <x:c r="B242" s="28" t="str">
        <x:v>AT-10</x:v>
      </x:c>
      <x:c r="C242" s="28" t="str">
        <x:v>PRIMARY</x:v>
      </x:c>
      <x:c r="D242" s="28" t="str">
        <x:f>INDEX('Attempt Tokens'!$E$7:$E$36,MATCH(B242,'Attempt Tokens'!$B$7:$B$36,0))</x:f>
      </x:c>
      <x:c r="E242" s="28" t="str">
        <x:v>RP-10</x:v>
      </x:c>
      <x:c r="F242" s="28" t="n">
        <x:v>2</x:v>
      </x:c>
      <x:c r="G242" s="28" t="str">
        <x:f>IF(D242="","",IF(LEFT(D242,5)="RFP-A",IF(F242=1,"PTC-B","PTC-C"),IF(LEFT(D242,5)="RFP-B",IF(F242=1,"PTC-A","PTC-C"),IF(F242=1,"PTC-A","PTC-B"))))</x:f>
      </x:c>
      <x:c r="H242" s="29" t="str"/>
      <x:c r="I242" s="29" t="str"/>
      <x:c r="J242" s="29" t="str"/>
      <x:c r="K242" s="29" t="str"/>
      <x:c r="L242" s="29" t="str"/>
      <x:c r="M242" s="28" t="str">
        <x:f>IF(AND(C242="RESERVE",D242=""),"DORMANT",IF(L242="","OPEN",IF(AND(G242&lt;&gt;"",H242&lt;&gt;"",I242=H242,J242&lt;&gt;"",K242&lt;&gt;"",J242&lt;&gt;K242),"PASS","FAIL")))</x:f>
        <x:v>OPEN</x:v>
      </x:c>
    </x:row>
    <x:row r="243">
      <x:c r="B243" s="28" t="str">
        <x:v>AT-10</x:v>
      </x:c>
      <x:c r="C243" s="28" t="str">
        <x:v>PRIMARY</x:v>
      </x:c>
      <x:c r="D243" s="28" t="str">
        <x:f>INDEX('Attempt Tokens'!$E$7:$E$36,MATCH(B243,'Attempt Tokens'!$B$7:$B$36,0))</x:f>
      </x:c>
      <x:c r="E243" s="28" t="str">
        <x:v>RP-11</x:v>
      </x:c>
      <x:c r="F243" s="28" t="n">
        <x:v>1</x:v>
      </x:c>
      <x:c r="G243" s="28" t="str">
        <x:f>IF(D243="","",IF(LEFT(D243,5)="RFP-A",IF(F243=1,"PTC-B","PTC-C"),IF(LEFT(D243,5)="RFP-B",IF(F243=1,"PTC-A","PTC-C"),IF(F243=1,"PTC-A","PTC-B"))))</x:f>
      </x:c>
      <x:c r="H243" s="29" t="str"/>
      <x:c r="I243" s="29" t="str"/>
      <x:c r="J243" s="29" t="str"/>
      <x:c r="K243" s="29" t="str"/>
      <x:c r="L243" s="29" t="str"/>
      <x:c r="M243" s="28" t="str">
        <x:f>IF(AND(C243="RESERVE",D243=""),"DORMANT",IF(L243="","OPEN",IF(AND(G243&lt;&gt;"",H243&lt;&gt;"",I243=H243,J243&lt;&gt;"",K243&lt;&gt;"",J243&lt;&gt;K243),"PASS","FAIL")))</x:f>
        <x:v>OPEN</x:v>
      </x:c>
    </x:row>
    <x:row r="244">
      <x:c r="B244" s="28" t="str">
        <x:v>AT-10</x:v>
      </x:c>
      <x:c r="C244" s="28" t="str">
        <x:v>PRIMARY</x:v>
      </x:c>
      <x:c r="D244" s="28" t="str">
        <x:f>INDEX('Attempt Tokens'!$E$7:$E$36,MATCH(B244,'Attempt Tokens'!$B$7:$B$36,0))</x:f>
      </x:c>
      <x:c r="E244" s="28" t="str">
        <x:v>RP-11</x:v>
      </x:c>
      <x:c r="F244" s="28" t="n">
        <x:v>2</x:v>
      </x:c>
      <x:c r="G244" s="28" t="str">
        <x:f>IF(D244="","",IF(LEFT(D244,5)="RFP-A",IF(F244=1,"PTC-B","PTC-C"),IF(LEFT(D244,5)="RFP-B",IF(F244=1,"PTC-A","PTC-C"),IF(F244=1,"PTC-A","PTC-B"))))</x:f>
      </x:c>
      <x:c r="H244" s="29" t="str"/>
      <x:c r="I244" s="29" t="str"/>
      <x:c r="J244" s="29" t="str"/>
      <x:c r="K244" s="29" t="str"/>
      <x:c r="L244" s="29" t="str"/>
      <x:c r="M244" s="28" t="str">
        <x:f>IF(AND(C244="RESERVE",D244=""),"DORMANT",IF(L244="","OPEN",IF(AND(G244&lt;&gt;"",H244&lt;&gt;"",I244=H244,J244&lt;&gt;"",K244&lt;&gt;"",J244&lt;&gt;K244),"PASS","FAIL")))</x:f>
        <x:v>OPEN</x:v>
      </x:c>
    </x:row>
    <x:row r="245">
      <x:c r="B245" s="28" t="str">
        <x:v>AT-10</x:v>
      </x:c>
      <x:c r="C245" s="28" t="str">
        <x:v>PRIMARY</x:v>
      </x:c>
      <x:c r="D245" s="28" t="str">
        <x:f>INDEX('Attempt Tokens'!$E$7:$E$36,MATCH(B245,'Attempt Tokens'!$B$7:$B$36,0))</x:f>
      </x:c>
      <x:c r="E245" s="28" t="str">
        <x:v>RP-12</x:v>
      </x:c>
      <x:c r="F245" s="28" t="n">
        <x:v>1</x:v>
      </x:c>
      <x:c r="G245" s="28" t="str">
        <x:f>IF(D245="","",IF(LEFT(D245,5)="RFP-A",IF(F245=1,"PTC-B","PTC-C"),IF(LEFT(D245,5)="RFP-B",IF(F245=1,"PTC-A","PTC-C"),IF(F245=1,"PTC-A","PTC-B"))))</x:f>
      </x:c>
      <x:c r="H245" s="29" t="str"/>
      <x:c r="I245" s="29" t="str"/>
      <x:c r="J245" s="29" t="str"/>
      <x:c r="K245" s="29" t="str"/>
      <x:c r="L245" s="29" t="str"/>
      <x:c r="M245" s="28" t="str">
        <x:f>IF(AND(C245="RESERVE",D245=""),"DORMANT",IF(L245="","OPEN",IF(AND(G245&lt;&gt;"",H245&lt;&gt;"",I245=H245,J245&lt;&gt;"",K245&lt;&gt;"",J245&lt;&gt;K245),"PASS","FAIL")))</x:f>
        <x:v>OPEN</x:v>
      </x:c>
    </x:row>
    <x:row r="246">
      <x:c r="B246" s="28" t="str">
        <x:v>AT-10</x:v>
      </x:c>
      <x:c r="C246" s="28" t="str">
        <x:v>PRIMARY</x:v>
      </x:c>
      <x:c r="D246" s="28" t="str">
        <x:f>INDEX('Attempt Tokens'!$E$7:$E$36,MATCH(B246,'Attempt Tokens'!$B$7:$B$36,0))</x:f>
      </x:c>
      <x:c r="E246" s="28" t="str">
        <x:v>RP-12</x:v>
      </x:c>
      <x:c r="F246" s="28" t="n">
        <x:v>2</x:v>
      </x:c>
      <x:c r="G246" s="28" t="str">
        <x:f>IF(D246="","",IF(LEFT(D246,5)="RFP-A",IF(F246=1,"PTC-B","PTC-C"),IF(LEFT(D246,5)="RFP-B",IF(F246=1,"PTC-A","PTC-C"),IF(F246=1,"PTC-A","PTC-B"))))</x:f>
      </x:c>
      <x:c r="H246" s="29" t="str"/>
      <x:c r="I246" s="29" t="str"/>
      <x:c r="J246" s="29" t="str"/>
      <x:c r="K246" s="29" t="str"/>
      <x:c r="L246" s="29" t="str"/>
      <x:c r="M246" s="28" t="str">
        <x:f>IF(AND(C246="RESERVE",D246=""),"DORMANT",IF(L246="","OPEN",IF(AND(G246&lt;&gt;"",H246&lt;&gt;"",I246=H246,J246&lt;&gt;"",K246&lt;&gt;"",J246&lt;&gt;K246),"PASS","FAIL")))</x:f>
        <x:v>OPEN</x:v>
      </x:c>
    </x:row>
    <x:row r="247">
      <x:c r="B247" s="28" t="str">
        <x:v>AT-11</x:v>
      </x:c>
      <x:c r="C247" s="28" t="str">
        <x:v>PRIMARY</x:v>
      </x:c>
      <x:c r="D247" s="28" t="str">
        <x:f>INDEX('Attempt Tokens'!$E$7:$E$36,MATCH(B247,'Attempt Tokens'!$B$7:$B$36,0))</x:f>
      </x:c>
      <x:c r="E247" s="28" t="str">
        <x:v>RP-01</x:v>
      </x:c>
      <x:c r="F247" s="28" t="n">
        <x:v>1</x:v>
      </x:c>
      <x:c r="G247" s="28" t="str">
        <x:f>IF(D247="","",IF(LEFT(D247,5)="RFP-A",IF(F247=1,"PTC-B","PTC-C"),IF(LEFT(D247,5)="RFP-B",IF(F247=1,"PTC-A","PTC-C"),IF(F247=1,"PTC-A","PTC-B"))))</x:f>
      </x:c>
      <x:c r="H247" s="29" t="str"/>
      <x:c r="I247" s="29" t="str"/>
      <x:c r="J247" s="29" t="str"/>
      <x:c r="K247" s="29" t="str"/>
      <x:c r="L247" s="29" t="str"/>
      <x:c r="M247" s="28" t="str">
        <x:f>IF(AND(C247="RESERVE",D247=""),"DORMANT",IF(L247="","OPEN",IF(AND(G247&lt;&gt;"",H247&lt;&gt;"",I247=H247,J247&lt;&gt;"",K247&lt;&gt;"",J247&lt;&gt;K247),"PASS","FAIL")))</x:f>
        <x:v>OPEN</x:v>
      </x:c>
    </x:row>
    <x:row r="248">
      <x:c r="B248" s="28" t="str">
        <x:v>AT-11</x:v>
      </x:c>
      <x:c r="C248" s="28" t="str">
        <x:v>PRIMARY</x:v>
      </x:c>
      <x:c r="D248" s="28" t="str">
        <x:f>INDEX('Attempt Tokens'!$E$7:$E$36,MATCH(B248,'Attempt Tokens'!$B$7:$B$36,0))</x:f>
      </x:c>
      <x:c r="E248" s="28" t="str">
        <x:v>RP-01</x:v>
      </x:c>
      <x:c r="F248" s="28" t="n">
        <x:v>2</x:v>
      </x:c>
      <x:c r="G248" s="28" t="str">
        <x:f>IF(D248="","",IF(LEFT(D248,5)="RFP-A",IF(F248=1,"PTC-B","PTC-C"),IF(LEFT(D248,5)="RFP-B",IF(F248=1,"PTC-A","PTC-C"),IF(F248=1,"PTC-A","PTC-B"))))</x:f>
      </x:c>
      <x:c r="H248" s="29" t="str"/>
      <x:c r="I248" s="29" t="str"/>
      <x:c r="J248" s="29" t="str"/>
      <x:c r="K248" s="29" t="str"/>
      <x:c r="L248" s="29" t="str"/>
      <x:c r="M248" s="28" t="str">
        <x:f>IF(AND(C248="RESERVE",D248=""),"DORMANT",IF(L248="","OPEN",IF(AND(G248&lt;&gt;"",H248&lt;&gt;"",I248=H248,J248&lt;&gt;"",K248&lt;&gt;"",J248&lt;&gt;K248),"PASS","FAIL")))</x:f>
        <x:v>OPEN</x:v>
      </x:c>
    </x:row>
    <x:row r="249">
      <x:c r="B249" s="28" t="str">
        <x:v>AT-11</x:v>
      </x:c>
      <x:c r="C249" s="28" t="str">
        <x:v>PRIMARY</x:v>
      </x:c>
      <x:c r="D249" s="28" t="str">
        <x:f>INDEX('Attempt Tokens'!$E$7:$E$36,MATCH(B249,'Attempt Tokens'!$B$7:$B$36,0))</x:f>
      </x:c>
      <x:c r="E249" s="28" t="str">
        <x:v>RP-02</x:v>
      </x:c>
      <x:c r="F249" s="28" t="n">
        <x:v>1</x:v>
      </x:c>
      <x:c r="G249" s="28" t="str">
        <x:f>IF(D249="","",IF(LEFT(D249,5)="RFP-A",IF(F249=1,"PTC-B","PTC-C"),IF(LEFT(D249,5)="RFP-B",IF(F249=1,"PTC-A","PTC-C"),IF(F249=1,"PTC-A","PTC-B"))))</x:f>
      </x:c>
      <x:c r="H249" s="29" t="str"/>
      <x:c r="I249" s="29" t="str"/>
      <x:c r="J249" s="29" t="str"/>
      <x:c r="K249" s="29" t="str"/>
      <x:c r="L249" s="29" t="str"/>
      <x:c r="M249" s="28" t="str">
        <x:f>IF(AND(C249="RESERVE",D249=""),"DORMANT",IF(L249="","OPEN",IF(AND(G249&lt;&gt;"",H249&lt;&gt;"",I249=H249,J249&lt;&gt;"",K249&lt;&gt;"",J249&lt;&gt;K249),"PASS","FAIL")))</x:f>
        <x:v>OPEN</x:v>
      </x:c>
    </x:row>
    <x:row r="250">
      <x:c r="B250" s="28" t="str">
        <x:v>AT-11</x:v>
      </x:c>
      <x:c r="C250" s="28" t="str">
        <x:v>PRIMARY</x:v>
      </x:c>
      <x:c r="D250" s="28" t="str">
        <x:f>INDEX('Attempt Tokens'!$E$7:$E$36,MATCH(B250,'Attempt Tokens'!$B$7:$B$36,0))</x:f>
      </x:c>
      <x:c r="E250" s="28" t="str">
        <x:v>RP-02</x:v>
      </x:c>
      <x:c r="F250" s="28" t="n">
        <x:v>2</x:v>
      </x:c>
      <x:c r="G250" s="28" t="str">
        <x:f>IF(D250="","",IF(LEFT(D250,5)="RFP-A",IF(F250=1,"PTC-B","PTC-C"),IF(LEFT(D250,5)="RFP-B",IF(F250=1,"PTC-A","PTC-C"),IF(F250=1,"PTC-A","PTC-B"))))</x:f>
      </x:c>
      <x:c r="H250" s="29" t="str"/>
      <x:c r="I250" s="29" t="str"/>
      <x:c r="J250" s="29" t="str"/>
      <x:c r="K250" s="29" t="str"/>
      <x:c r="L250" s="29" t="str"/>
      <x:c r="M250" s="28" t="str">
        <x:f>IF(AND(C250="RESERVE",D250=""),"DORMANT",IF(L250="","OPEN",IF(AND(G250&lt;&gt;"",H250&lt;&gt;"",I250=H250,J250&lt;&gt;"",K250&lt;&gt;"",J250&lt;&gt;K250),"PASS","FAIL")))</x:f>
        <x:v>OPEN</x:v>
      </x:c>
    </x:row>
    <x:row r="251">
      <x:c r="B251" s="28" t="str">
        <x:v>AT-11</x:v>
      </x:c>
      <x:c r="C251" s="28" t="str">
        <x:v>PRIMARY</x:v>
      </x:c>
      <x:c r="D251" s="28" t="str">
        <x:f>INDEX('Attempt Tokens'!$E$7:$E$36,MATCH(B251,'Attempt Tokens'!$B$7:$B$36,0))</x:f>
      </x:c>
      <x:c r="E251" s="28" t="str">
        <x:v>RP-03</x:v>
      </x:c>
      <x:c r="F251" s="28" t="n">
        <x:v>1</x:v>
      </x:c>
      <x:c r="G251" s="28" t="str">
        <x:f>IF(D251="","",IF(LEFT(D251,5)="RFP-A",IF(F251=1,"PTC-B","PTC-C"),IF(LEFT(D251,5)="RFP-B",IF(F251=1,"PTC-A","PTC-C"),IF(F251=1,"PTC-A","PTC-B"))))</x:f>
      </x:c>
      <x:c r="H251" s="29" t="str"/>
      <x:c r="I251" s="29" t="str"/>
      <x:c r="J251" s="29" t="str"/>
      <x:c r="K251" s="29" t="str"/>
      <x:c r="L251" s="29" t="str"/>
      <x:c r="M251" s="28" t="str">
        <x:f>IF(AND(C251="RESERVE",D251=""),"DORMANT",IF(L251="","OPEN",IF(AND(G251&lt;&gt;"",H251&lt;&gt;"",I251=H251,J251&lt;&gt;"",K251&lt;&gt;"",J251&lt;&gt;K251),"PASS","FAIL")))</x:f>
        <x:v>OPEN</x:v>
      </x:c>
    </x:row>
    <x:row r="252">
      <x:c r="B252" s="28" t="str">
        <x:v>AT-11</x:v>
      </x:c>
      <x:c r="C252" s="28" t="str">
        <x:v>PRIMARY</x:v>
      </x:c>
      <x:c r="D252" s="28" t="str">
        <x:f>INDEX('Attempt Tokens'!$E$7:$E$36,MATCH(B252,'Attempt Tokens'!$B$7:$B$36,0))</x:f>
      </x:c>
      <x:c r="E252" s="28" t="str">
        <x:v>RP-03</x:v>
      </x:c>
      <x:c r="F252" s="28" t="n">
        <x:v>2</x:v>
      </x:c>
      <x:c r="G252" s="28" t="str">
        <x:f>IF(D252="","",IF(LEFT(D252,5)="RFP-A",IF(F252=1,"PTC-B","PTC-C"),IF(LEFT(D252,5)="RFP-B",IF(F252=1,"PTC-A","PTC-C"),IF(F252=1,"PTC-A","PTC-B"))))</x:f>
      </x:c>
      <x:c r="H252" s="29" t="str"/>
      <x:c r="I252" s="29" t="str"/>
      <x:c r="J252" s="29" t="str"/>
      <x:c r="K252" s="29" t="str"/>
      <x:c r="L252" s="29" t="str"/>
      <x:c r="M252" s="28" t="str">
        <x:f>IF(AND(C252="RESERVE",D252=""),"DORMANT",IF(L252="","OPEN",IF(AND(G252&lt;&gt;"",H252&lt;&gt;"",I252=H252,J252&lt;&gt;"",K252&lt;&gt;"",J252&lt;&gt;K252),"PASS","FAIL")))</x:f>
        <x:v>OPEN</x:v>
      </x:c>
    </x:row>
    <x:row r="253">
      <x:c r="B253" s="28" t="str">
        <x:v>AT-11</x:v>
      </x:c>
      <x:c r="C253" s="28" t="str">
        <x:v>PRIMARY</x:v>
      </x:c>
      <x:c r="D253" s="28" t="str">
        <x:f>INDEX('Attempt Tokens'!$E$7:$E$36,MATCH(B253,'Attempt Tokens'!$B$7:$B$36,0))</x:f>
      </x:c>
      <x:c r="E253" s="28" t="str">
        <x:v>RP-04</x:v>
      </x:c>
      <x:c r="F253" s="28" t="n">
        <x:v>1</x:v>
      </x:c>
      <x:c r="G253" s="28" t="str">
        <x:f>IF(D253="","",IF(LEFT(D253,5)="RFP-A",IF(F253=1,"PTC-B","PTC-C"),IF(LEFT(D253,5)="RFP-B",IF(F253=1,"PTC-A","PTC-C"),IF(F253=1,"PTC-A","PTC-B"))))</x:f>
      </x:c>
      <x:c r="H253" s="29" t="str"/>
      <x:c r="I253" s="29" t="str"/>
      <x:c r="J253" s="29" t="str"/>
      <x:c r="K253" s="29" t="str"/>
      <x:c r="L253" s="29" t="str"/>
      <x:c r="M253" s="28" t="str">
        <x:f>IF(AND(C253="RESERVE",D253=""),"DORMANT",IF(L253="","OPEN",IF(AND(G253&lt;&gt;"",H253&lt;&gt;"",I253=H253,J253&lt;&gt;"",K253&lt;&gt;"",J253&lt;&gt;K253),"PASS","FAIL")))</x:f>
        <x:v>OPEN</x:v>
      </x:c>
    </x:row>
    <x:row r="254">
      <x:c r="B254" s="28" t="str">
        <x:v>AT-11</x:v>
      </x:c>
      <x:c r="C254" s="28" t="str">
        <x:v>PRIMARY</x:v>
      </x:c>
      <x:c r="D254" s="28" t="str">
        <x:f>INDEX('Attempt Tokens'!$E$7:$E$36,MATCH(B254,'Attempt Tokens'!$B$7:$B$36,0))</x:f>
      </x:c>
      <x:c r="E254" s="28" t="str">
        <x:v>RP-04</x:v>
      </x:c>
      <x:c r="F254" s="28" t="n">
        <x:v>2</x:v>
      </x:c>
      <x:c r="G254" s="28" t="str">
        <x:f>IF(D254="","",IF(LEFT(D254,5)="RFP-A",IF(F254=1,"PTC-B","PTC-C"),IF(LEFT(D254,5)="RFP-B",IF(F254=1,"PTC-A","PTC-C"),IF(F254=1,"PTC-A","PTC-B"))))</x:f>
      </x:c>
      <x:c r="H254" s="29" t="str"/>
      <x:c r="I254" s="29" t="str"/>
      <x:c r="J254" s="29" t="str"/>
      <x:c r="K254" s="29" t="str"/>
      <x:c r="L254" s="29" t="str"/>
      <x:c r="M254" s="28" t="str">
        <x:f>IF(AND(C254="RESERVE",D254=""),"DORMANT",IF(L254="","OPEN",IF(AND(G254&lt;&gt;"",H254&lt;&gt;"",I254=H254,J254&lt;&gt;"",K254&lt;&gt;"",J254&lt;&gt;K254),"PASS","FAIL")))</x:f>
        <x:v>OPEN</x:v>
      </x:c>
    </x:row>
    <x:row r="255">
      <x:c r="B255" s="28" t="str">
        <x:v>AT-11</x:v>
      </x:c>
      <x:c r="C255" s="28" t="str">
        <x:v>PRIMARY</x:v>
      </x:c>
      <x:c r="D255" s="28" t="str">
        <x:f>INDEX('Attempt Tokens'!$E$7:$E$36,MATCH(B255,'Attempt Tokens'!$B$7:$B$36,0))</x:f>
      </x:c>
      <x:c r="E255" s="28" t="str">
        <x:v>RP-05</x:v>
      </x:c>
      <x:c r="F255" s="28" t="n">
        <x:v>1</x:v>
      </x:c>
      <x:c r="G255" s="28" t="str">
        <x:f>IF(D255="","",IF(LEFT(D255,5)="RFP-A",IF(F255=1,"PTC-B","PTC-C"),IF(LEFT(D255,5)="RFP-B",IF(F255=1,"PTC-A","PTC-C"),IF(F255=1,"PTC-A","PTC-B"))))</x:f>
      </x:c>
      <x:c r="H255" s="29" t="str"/>
      <x:c r="I255" s="29" t="str"/>
      <x:c r="J255" s="29" t="str"/>
      <x:c r="K255" s="29" t="str"/>
      <x:c r="L255" s="29" t="str"/>
      <x:c r="M255" s="28" t="str">
        <x:f>IF(AND(C255="RESERVE",D255=""),"DORMANT",IF(L255="","OPEN",IF(AND(G255&lt;&gt;"",H255&lt;&gt;"",I255=H255,J255&lt;&gt;"",K255&lt;&gt;"",J255&lt;&gt;K255),"PASS","FAIL")))</x:f>
        <x:v>OPEN</x:v>
      </x:c>
    </x:row>
    <x:row r="256">
      <x:c r="B256" s="28" t="str">
        <x:v>AT-11</x:v>
      </x:c>
      <x:c r="C256" s="28" t="str">
        <x:v>PRIMARY</x:v>
      </x:c>
      <x:c r="D256" s="28" t="str">
        <x:f>INDEX('Attempt Tokens'!$E$7:$E$36,MATCH(B256,'Attempt Tokens'!$B$7:$B$36,0))</x:f>
      </x:c>
      <x:c r="E256" s="28" t="str">
        <x:v>RP-05</x:v>
      </x:c>
      <x:c r="F256" s="28" t="n">
        <x:v>2</x:v>
      </x:c>
      <x:c r="G256" s="28" t="str">
        <x:f>IF(D256="","",IF(LEFT(D256,5)="RFP-A",IF(F256=1,"PTC-B","PTC-C"),IF(LEFT(D256,5)="RFP-B",IF(F256=1,"PTC-A","PTC-C"),IF(F256=1,"PTC-A","PTC-B"))))</x:f>
      </x:c>
      <x:c r="H256" s="29" t="str"/>
      <x:c r="I256" s="29" t="str"/>
      <x:c r="J256" s="29" t="str"/>
      <x:c r="K256" s="29" t="str"/>
      <x:c r="L256" s="29" t="str"/>
      <x:c r="M256" s="28" t="str">
        <x:f>IF(AND(C256="RESERVE",D256=""),"DORMANT",IF(L256="","OPEN",IF(AND(G256&lt;&gt;"",H256&lt;&gt;"",I256=H256,J256&lt;&gt;"",K256&lt;&gt;"",J256&lt;&gt;K256),"PASS","FAIL")))</x:f>
        <x:v>OPEN</x:v>
      </x:c>
    </x:row>
    <x:row r="257">
      <x:c r="B257" s="28" t="str">
        <x:v>AT-11</x:v>
      </x:c>
      <x:c r="C257" s="28" t="str">
        <x:v>PRIMARY</x:v>
      </x:c>
      <x:c r="D257" s="28" t="str">
        <x:f>INDEX('Attempt Tokens'!$E$7:$E$36,MATCH(B257,'Attempt Tokens'!$B$7:$B$36,0))</x:f>
      </x:c>
      <x:c r="E257" s="28" t="str">
        <x:v>RP-06</x:v>
      </x:c>
      <x:c r="F257" s="28" t="n">
        <x:v>1</x:v>
      </x:c>
      <x:c r="G257" s="28" t="str">
        <x:f>IF(D257="","",IF(LEFT(D257,5)="RFP-A",IF(F257=1,"PTC-B","PTC-C"),IF(LEFT(D257,5)="RFP-B",IF(F257=1,"PTC-A","PTC-C"),IF(F257=1,"PTC-A","PTC-B"))))</x:f>
      </x:c>
      <x:c r="H257" s="29" t="str"/>
      <x:c r="I257" s="29" t="str"/>
      <x:c r="J257" s="29" t="str"/>
      <x:c r="K257" s="29" t="str"/>
      <x:c r="L257" s="29" t="str"/>
      <x:c r="M257" s="28" t="str">
        <x:f>IF(AND(C257="RESERVE",D257=""),"DORMANT",IF(L257="","OPEN",IF(AND(G257&lt;&gt;"",H257&lt;&gt;"",I257=H257,J257&lt;&gt;"",K257&lt;&gt;"",J257&lt;&gt;K257),"PASS","FAIL")))</x:f>
        <x:v>OPEN</x:v>
      </x:c>
    </x:row>
    <x:row r="258">
      <x:c r="B258" s="28" t="str">
        <x:v>AT-11</x:v>
      </x:c>
      <x:c r="C258" s="28" t="str">
        <x:v>PRIMARY</x:v>
      </x:c>
      <x:c r="D258" s="28" t="str">
        <x:f>INDEX('Attempt Tokens'!$E$7:$E$36,MATCH(B258,'Attempt Tokens'!$B$7:$B$36,0))</x:f>
      </x:c>
      <x:c r="E258" s="28" t="str">
        <x:v>RP-06</x:v>
      </x:c>
      <x:c r="F258" s="28" t="n">
        <x:v>2</x:v>
      </x:c>
      <x:c r="G258" s="28" t="str">
        <x:f>IF(D258="","",IF(LEFT(D258,5)="RFP-A",IF(F258=1,"PTC-B","PTC-C"),IF(LEFT(D258,5)="RFP-B",IF(F258=1,"PTC-A","PTC-C"),IF(F258=1,"PTC-A","PTC-B"))))</x:f>
      </x:c>
      <x:c r="H258" s="29" t="str"/>
      <x:c r="I258" s="29" t="str"/>
      <x:c r="J258" s="29" t="str"/>
      <x:c r="K258" s="29" t="str"/>
      <x:c r="L258" s="29" t="str"/>
      <x:c r="M258" s="28" t="str">
        <x:f>IF(AND(C258="RESERVE",D258=""),"DORMANT",IF(L258="","OPEN",IF(AND(G258&lt;&gt;"",H258&lt;&gt;"",I258=H258,J258&lt;&gt;"",K258&lt;&gt;"",J258&lt;&gt;K258),"PASS","FAIL")))</x:f>
        <x:v>OPEN</x:v>
      </x:c>
    </x:row>
    <x:row r="259">
      <x:c r="B259" s="28" t="str">
        <x:v>AT-11</x:v>
      </x:c>
      <x:c r="C259" s="28" t="str">
        <x:v>PRIMARY</x:v>
      </x:c>
      <x:c r="D259" s="28" t="str">
        <x:f>INDEX('Attempt Tokens'!$E$7:$E$36,MATCH(B259,'Attempt Tokens'!$B$7:$B$36,0))</x:f>
      </x:c>
      <x:c r="E259" s="28" t="str">
        <x:v>RP-07</x:v>
      </x:c>
      <x:c r="F259" s="28" t="n">
        <x:v>1</x:v>
      </x:c>
      <x:c r="G259" s="28" t="str">
        <x:f>IF(D259="","",IF(LEFT(D259,5)="RFP-A",IF(F259=1,"PTC-B","PTC-C"),IF(LEFT(D259,5)="RFP-B",IF(F259=1,"PTC-A","PTC-C"),IF(F259=1,"PTC-A","PTC-B"))))</x:f>
      </x:c>
      <x:c r="H259" s="29" t="str"/>
      <x:c r="I259" s="29" t="str"/>
      <x:c r="J259" s="29" t="str"/>
      <x:c r="K259" s="29" t="str"/>
      <x:c r="L259" s="29" t="str"/>
      <x:c r="M259" s="28" t="str">
        <x:f>IF(AND(C259="RESERVE",D259=""),"DORMANT",IF(L259="","OPEN",IF(AND(G259&lt;&gt;"",H259&lt;&gt;"",I259=H259,J259&lt;&gt;"",K259&lt;&gt;"",J259&lt;&gt;K259),"PASS","FAIL")))</x:f>
        <x:v>OPEN</x:v>
      </x:c>
    </x:row>
    <x:row r="260">
      <x:c r="B260" s="28" t="str">
        <x:v>AT-11</x:v>
      </x:c>
      <x:c r="C260" s="28" t="str">
        <x:v>PRIMARY</x:v>
      </x:c>
      <x:c r="D260" s="28" t="str">
        <x:f>INDEX('Attempt Tokens'!$E$7:$E$36,MATCH(B260,'Attempt Tokens'!$B$7:$B$36,0))</x:f>
      </x:c>
      <x:c r="E260" s="28" t="str">
        <x:v>RP-07</x:v>
      </x:c>
      <x:c r="F260" s="28" t="n">
        <x:v>2</x:v>
      </x:c>
      <x:c r="G260" s="28" t="str">
        <x:f>IF(D260="","",IF(LEFT(D260,5)="RFP-A",IF(F260=1,"PTC-B","PTC-C"),IF(LEFT(D260,5)="RFP-B",IF(F260=1,"PTC-A","PTC-C"),IF(F260=1,"PTC-A","PTC-B"))))</x:f>
      </x:c>
      <x:c r="H260" s="29" t="str"/>
      <x:c r="I260" s="29" t="str"/>
      <x:c r="J260" s="29" t="str"/>
      <x:c r="K260" s="29" t="str"/>
      <x:c r="L260" s="29" t="str"/>
      <x:c r="M260" s="28" t="str">
        <x:f>IF(AND(C260="RESERVE",D260=""),"DORMANT",IF(L260="","OPEN",IF(AND(G260&lt;&gt;"",H260&lt;&gt;"",I260=H260,J260&lt;&gt;"",K260&lt;&gt;"",J260&lt;&gt;K260),"PASS","FAIL")))</x:f>
        <x:v>OPEN</x:v>
      </x:c>
    </x:row>
    <x:row r="261">
      <x:c r="B261" s="28" t="str">
        <x:v>AT-11</x:v>
      </x:c>
      <x:c r="C261" s="28" t="str">
        <x:v>PRIMARY</x:v>
      </x:c>
      <x:c r="D261" s="28" t="str">
        <x:f>INDEX('Attempt Tokens'!$E$7:$E$36,MATCH(B261,'Attempt Tokens'!$B$7:$B$36,0))</x:f>
      </x:c>
      <x:c r="E261" s="28" t="str">
        <x:v>RP-08</x:v>
      </x:c>
      <x:c r="F261" s="28" t="n">
        <x:v>1</x:v>
      </x:c>
      <x:c r="G261" s="28" t="str">
        <x:f>IF(D261="","",IF(LEFT(D261,5)="RFP-A",IF(F261=1,"PTC-B","PTC-C"),IF(LEFT(D261,5)="RFP-B",IF(F261=1,"PTC-A","PTC-C"),IF(F261=1,"PTC-A","PTC-B"))))</x:f>
      </x:c>
      <x:c r="H261" s="29" t="str"/>
      <x:c r="I261" s="29" t="str"/>
      <x:c r="J261" s="29" t="str"/>
      <x:c r="K261" s="29" t="str"/>
      <x:c r="L261" s="29" t="str"/>
      <x:c r="M261" s="28" t="str">
        <x:f>IF(AND(C261="RESERVE",D261=""),"DORMANT",IF(L261="","OPEN",IF(AND(G261&lt;&gt;"",H261&lt;&gt;"",I261=H261,J261&lt;&gt;"",K261&lt;&gt;"",J261&lt;&gt;K261),"PASS","FAIL")))</x:f>
        <x:v>OPEN</x:v>
      </x:c>
    </x:row>
    <x:row r="262">
      <x:c r="B262" s="28" t="str">
        <x:v>AT-11</x:v>
      </x:c>
      <x:c r="C262" s="28" t="str">
        <x:v>PRIMARY</x:v>
      </x:c>
      <x:c r="D262" s="28" t="str">
        <x:f>INDEX('Attempt Tokens'!$E$7:$E$36,MATCH(B262,'Attempt Tokens'!$B$7:$B$36,0))</x:f>
      </x:c>
      <x:c r="E262" s="28" t="str">
        <x:v>RP-08</x:v>
      </x:c>
      <x:c r="F262" s="28" t="n">
        <x:v>2</x:v>
      </x:c>
      <x:c r="G262" s="28" t="str">
        <x:f>IF(D262="","",IF(LEFT(D262,5)="RFP-A",IF(F262=1,"PTC-B","PTC-C"),IF(LEFT(D262,5)="RFP-B",IF(F262=1,"PTC-A","PTC-C"),IF(F262=1,"PTC-A","PTC-B"))))</x:f>
      </x:c>
      <x:c r="H262" s="29" t="str"/>
      <x:c r="I262" s="29" t="str"/>
      <x:c r="J262" s="29" t="str"/>
      <x:c r="K262" s="29" t="str"/>
      <x:c r="L262" s="29" t="str"/>
      <x:c r="M262" s="28" t="str">
        <x:f>IF(AND(C262="RESERVE",D262=""),"DORMANT",IF(L262="","OPEN",IF(AND(G262&lt;&gt;"",H262&lt;&gt;"",I262=H262,J262&lt;&gt;"",K262&lt;&gt;"",J262&lt;&gt;K262),"PASS","FAIL")))</x:f>
        <x:v>OPEN</x:v>
      </x:c>
    </x:row>
    <x:row r="263">
      <x:c r="B263" s="28" t="str">
        <x:v>AT-11</x:v>
      </x:c>
      <x:c r="C263" s="28" t="str">
        <x:v>PRIMARY</x:v>
      </x:c>
      <x:c r="D263" s="28" t="str">
        <x:f>INDEX('Attempt Tokens'!$E$7:$E$36,MATCH(B263,'Attempt Tokens'!$B$7:$B$36,0))</x:f>
      </x:c>
      <x:c r="E263" s="28" t="str">
        <x:v>RP-09</x:v>
      </x:c>
      <x:c r="F263" s="28" t="n">
        <x:v>1</x:v>
      </x:c>
      <x:c r="G263" s="28" t="str">
        <x:f>IF(D263="","",IF(LEFT(D263,5)="RFP-A",IF(F263=1,"PTC-B","PTC-C"),IF(LEFT(D263,5)="RFP-B",IF(F263=1,"PTC-A","PTC-C"),IF(F263=1,"PTC-A","PTC-B"))))</x:f>
      </x:c>
      <x:c r="H263" s="29" t="str"/>
      <x:c r="I263" s="29" t="str"/>
      <x:c r="J263" s="29" t="str"/>
      <x:c r="K263" s="29" t="str"/>
      <x:c r="L263" s="29" t="str"/>
      <x:c r="M263" s="28" t="str">
        <x:f>IF(AND(C263="RESERVE",D263=""),"DORMANT",IF(L263="","OPEN",IF(AND(G263&lt;&gt;"",H263&lt;&gt;"",I263=H263,J263&lt;&gt;"",K263&lt;&gt;"",J263&lt;&gt;K263),"PASS","FAIL")))</x:f>
        <x:v>OPEN</x:v>
      </x:c>
    </x:row>
    <x:row r="264">
      <x:c r="B264" s="28" t="str">
        <x:v>AT-11</x:v>
      </x:c>
      <x:c r="C264" s="28" t="str">
        <x:v>PRIMARY</x:v>
      </x:c>
      <x:c r="D264" s="28" t="str">
        <x:f>INDEX('Attempt Tokens'!$E$7:$E$36,MATCH(B264,'Attempt Tokens'!$B$7:$B$36,0))</x:f>
      </x:c>
      <x:c r="E264" s="28" t="str">
        <x:v>RP-09</x:v>
      </x:c>
      <x:c r="F264" s="28" t="n">
        <x:v>2</x:v>
      </x:c>
      <x:c r="G264" s="28" t="str">
        <x:f>IF(D264="","",IF(LEFT(D264,5)="RFP-A",IF(F264=1,"PTC-B","PTC-C"),IF(LEFT(D264,5)="RFP-B",IF(F264=1,"PTC-A","PTC-C"),IF(F264=1,"PTC-A","PTC-B"))))</x:f>
      </x:c>
      <x:c r="H264" s="29" t="str"/>
      <x:c r="I264" s="29" t="str"/>
      <x:c r="J264" s="29" t="str"/>
      <x:c r="K264" s="29" t="str"/>
      <x:c r="L264" s="29" t="str"/>
      <x:c r="M264" s="28" t="str">
        <x:f>IF(AND(C264="RESERVE",D264=""),"DORMANT",IF(L264="","OPEN",IF(AND(G264&lt;&gt;"",H264&lt;&gt;"",I264=H264,J264&lt;&gt;"",K264&lt;&gt;"",J264&lt;&gt;K264),"PASS","FAIL")))</x:f>
        <x:v>OPEN</x:v>
      </x:c>
    </x:row>
    <x:row r="265">
      <x:c r="B265" s="28" t="str">
        <x:v>AT-11</x:v>
      </x:c>
      <x:c r="C265" s="28" t="str">
        <x:v>PRIMARY</x:v>
      </x:c>
      <x:c r="D265" s="28" t="str">
        <x:f>INDEX('Attempt Tokens'!$E$7:$E$36,MATCH(B265,'Attempt Tokens'!$B$7:$B$36,0))</x:f>
      </x:c>
      <x:c r="E265" s="28" t="str">
        <x:v>RP-10</x:v>
      </x:c>
      <x:c r="F265" s="28" t="n">
        <x:v>1</x:v>
      </x:c>
      <x:c r="G265" s="28" t="str">
        <x:f>IF(D265="","",IF(LEFT(D265,5)="RFP-A",IF(F265=1,"PTC-B","PTC-C"),IF(LEFT(D265,5)="RFP-B",IF(F265=1,"PTC-A","PTC-C"),IF(F265=1,"PTC-A","PTC-B"))))</x:f>
      </x:c>
      <x:c r="H265" s="29" t="str"/>
      <x:c r="I265" s="29" t="str"/>
      <x:c r="J265" s="29" t="str"/>
      <x:c r="K265" s="29" t="str"/>
      <x:c r="L265" s="29" t="str"/>
      <x:c r="M265" s="28" t="str">
        <x:f>IF(AND(C265="RESERVE",D265=""),"DORMANT",IF(L265="","OPEN",IF(AND(G265&lt;&gt;"",H265&lt;&gt;"",I265=H265,J265&lt;&gt;"",K265&lt;&gt;"",J265&lt;&gt;K265),"PASS","FAIL")))</x:f>
        <x:v>OPEN</x:v>
      </x:c>
    </x:row>
    <x:row r="266">
      <x:c r="B266" s="28" t="str">
        <x:v>AT-11</x:v>
      </x:c>
      <x:c r="C266" s="28" t="str">
        <x:v>PRIMARY</x:v>
      </x:c>
      <x:c r="D266" s="28" t="str">
        <x:f>INDEX('Attempt Tokens'!$E$7:$E$36,MATCH(B266,'Attempt Tokens'!$B$7:$B$36,0))</x:f>
      </x:c>
      <x:c r="E266" s="28" t="str">
        <x:v>RP-10</x:v>
      </x:c>
      <x:c r="F266" s="28" t="n">
        <x:v>2</x:v>
      </x:c>
      <x:c r="G266" s="28" t="str">
        <x:f>IF(D266="","",IF(LEFT(D266,5)="RFP-A",IF(F266=1,"PTC-B","PTC-C"),IF(LEFT(D266,5)="RFP-B",IF(F266=1,"PTC-A","PTC-C"),IF(F266=1,"PTC-A","PTC-B"))))</x:f>
      </x:c>
      <x:c r="H266" s="29" t="str"/>
      <x:c r="I266" s="29" t="str"/>
      <x:c r="J266" s="29" t="str"/>
      <x:c r="K266" s="29" t="str"/>
      <x:c r="L266" s="29" t="str"/>
      <x:c r="M266" s="28" t="str">
        <x:f>IF(AND(C266="RESERVE",D266=""),"DORMANT",IF(L266="","OPEN",IF(AND(G266&lt;&gt;"",H266&lt;&gt;"",I266=H266,J266&lt;&gt;"",K266&lt;&gt;"",J266&lt;&gt;K266),"PASS","FAIL")))</x:f>
        <x:v>OPEN</x:v>
      </x:c>
    </x:row>
    <x:row r="267">
      <x:c r="B267" s="28" t="str">
        <x:v>AT-11</x:v>
      </x:c>
      <x:c r="C267" s="28" t="str">
        <x:v>PRIMARY</x:v>
      </x:c>
      <x:c r="D267" s="28" t="str">
        <x:f>INDEX('Attempt Tokens'!$E$7:$E$36,MATCH(B267,'Attempt Tokens'!$B$7:$B$36,0))</x:f>
      </x:c>
      <x:c r="E267" s="28" t="str">
        <x:v>RP-11</x:v>
      </x:c>
      <x:c r="F267" s="28" t="n">
        <x:v>1</x:v>
      </x:c>
      <x:c r="G267" s="28" t="str">
        <x:f>IF(D267="","",IF(LEFT(D267,5)="RFP-A",IF(F267=1,"PTC-B","PTC-C"),IF(LEFT(D267,5)="RFP-B",IF(F267=1,"PTC-A","PTC-C"),IF(F267=1,"PTC-A","PTC-B"))))</x:f>
      </x:c>
      <x:c r="H267" s="29" t="str"/>
      <x:c r="I267" s="29" t="str"/>
      <x:c r="J267" s="29" t="str"/>
      <x:c r="K267" s="29" t="str"/>
      <x:c r="L267" s="29" t="str"/>
      <x:c r="M267" s="28" t="str">
        <x:f>IF(AND(C267="RESERVE",D267=""),"DORMANT",IF(L267="","OPEN",IF(AND(G267&lt;&gt;"",H267&lt;&gt;"",I267=H267,J267&lt;&gt;"",K267&lt;&gt;"",J267&lt;&gt;K267),"PASS","FAIL")))</x:f>
        <x:v>OPEN</x:v>
      </x:c>
    </x:row>
    <x:row r="268">
      <x:c r="B268" s="28" t="str">
        <x:v>AT-11</x:v>
      </x:c>
      <x:c r="C268" s="28" t="str">
        <x:v>PRIMARY</x:v>
      </x:c>
      <x:c r="D268" s="28" t="str">
        <x:f>INDEX('Attempt Tokens'!$E$7:$E$36,MATCH(B268,'Attempt Tokens'!$B$7:$B$36,0))</x:f>
      </x:c>
      <x:c r="E268" s="28" t="str">
        <x:v>RP-11</x:v>
      </x:c>
      <x:c r="F268" s="28" t="n">
        <x:v>2</x:v>
      </x:c>
      <x:c r="G268" s="28" t="str">
        <x:f>IF(D268="","",IF(LEFT(D268,5)="RFP-A",IF(F268=1,"PTC-B","PTC-C"),IF(LEFT(D268,5)="RFP-B",IF(F268=1,"PTC-A","PTC-C"),IF(F268=1,"PTC-A","PTC-B"))))</x:f>
      </x:c>
      <x:c r="H268" s="29" t="str"/>
      <x:c r="I268" s="29" t="str"/>
      <x:c r="J268" s="29" t="str"/>
      <x:c r="K268" s="29" t="str"/>
      <x:c r="L268" s="29" t="str"/>
      <x:c r="M268" s="28" t="str">
        <x:f>IF(AND(C268="RESERVE",D268=""),"DORMANT",IF(L268="","OPEN",IF(AND(G268&lt;&gt;"",H268&lt;&gt;"",I268=H268,J268&lt;&gt;"",K268&lt;&gt;"",J268&lt;&gt;K268),"PASS","FAIL")))</x:f>
        <x:v>OPEN</x:v>
      </x:c>
    </x:row>
    <x:row r="269">
      <x:c r="B269" s="28" t="str">
        <x:v>AT-11</x:v>
      </x:c>
      <x:c r="C269" s="28" t="str">
        <x:v>PRIMARY</x:v>
      </x:c>
      <x:c r="D269" s="28" t="str">
        <x:f>INDEX('Attempt Tokens'!$E$7:$E$36,MATCH(B269,'Attempt Tokens'!$B$7:$B$36,0))</x:f>
      </x:c>
      <x:c r="E269" s="28" t="str">
        <x:v>RP-12</x:v>
      </x:c>
      <x:c r="F269" s="28" t="n">
        <x:v>1</x:v>
      </x:c>
      <x:c r="G269" s="28" t="str">
        <x:f>IF(D269="","",IF(LEFT(D269,5)="RFP-A",IF(F269=1,"PTC-B","PTC-C"),IF(LEFT(D269,5)="RFP-B",IF(F269=1,"PTC-A","PTC-C"),IF(F269=1,"PTC-A","PTC-B"))))</x:f>
      </x:c>
      <x:c r="H269" s="29" t="str"/>
      <x:c r="I269" s="29" t="str"/>
      <x:c r="J269" s="29" t="str"/>
      <x:c r="K269" s="29" t="str"/>
      <x:c r="L269" s="29" t="str"/>
      <x:c r="M269" s="28" t="str">
        <x:f>IF(AND(C269="RESERVE",D269=""),"DORMANT",IF(L269="","OPEN",IF(AND(G269&lt;&gt;"",H269&lt;&gt;"",I269=H269,J269&lt;&gt;"",K269&lt;&gt;"",J269&lt;&gt;K269),"PASS","FAIL")))</x:f>
        <x:v>OPEN</x:v>
      </x:c>
    </x:row>
    <x:row r="270">
      <x:c r="B270" s="28" t="str">
        <x:v>AT-11</x:v>
      </x:c>
      <x:c r="C270" s="28" t="str">
        <x:v>PRIMARY</x:v>
      </x:c>
      <x:c r="D270" s="28" t="str">
        <x:f>INDEX('Attempt Tokens'!$E$7:$E$36,MATCH(B270,'Attempt Tokens'!$B$7:$B$36,0))</x:f>
      </x:c>
      <x:c r="E270" s="28" t="str">
        <x:v>RP-12</x:v>
      </x:c>
      <x:c r="F270" s="28" t="n">
        <x:v>2</x:v>
      </x:c>
      <x:c r="G270" s="28" t="str">
        <x:f>IF(D270="","",IF(LEFT(D270,5)="RFP-A",IF(F270=1,"PTC-B","PTC-C"),IF(LEFT(D270,5)="RFP-B",IF(F270=1,"PTC-A","PTC-C"),IF(F270=1,"PTC-A","PTC-B"))))</x:f>
      </x:c>
      <x:c r="H270" s="29" t="str"/>
      <x:c r="I270" s="29" t="str"/>
      <x:c r="J270" s="29" t="str"/>
      <x:c r="K270" s="29" t="str"/>
      <x:c r="L270" s="29" t="str"/>
      <x:c r="M270" s="28" t="str">
        <x:f>IF(AND(C270="RESERVE",D270=""),"DORMANT",IF(L270="","OPEN",IF(AND(G270&lt;&gt;"",H270&lt;&gt;"",I270=H270,J270&lt;&gt;"",K270&lt;&gt;"",J270&lt;&gt;K270),"PASS","FAIL")))</x:f>
        <x:v>OPEN</x:v>
      </x:c>
    </x:row>
    <x:row r="271">
      <x:c r="B271" s="28" t="str">
        <x:v>AT-12</x:v>
      </x:c>
      <x:c r="C271" s="28" t="str">
        <x:v>PRIMARY</x:v>
      </x:c>
      <x:c r="D271" s="28" t="str">
        <x:f>INDEX('Attempt Tokens'!$E$7:$E$36,MATCH(B271,'Attempt Tokens'!$B$7:$B$36,0))</x:f>
      </x:c>
      <x:c r="E271" s="28" t="str">
        <x:v>RP-01</x:v>
      </x:c>
      <x:c r="F271" s="28" t="n">
        <x:v>1</x:v>
      </x:c>
      <x:c r="G271" s="28" t="str">
        <x:f>IF(D271="","",IF(LEFT(D271,5)="RFP-A",IF(F271=1,"PTC-B","PTC-C"),IF(LEFT(D271,5)="RFP-B",IF(F271=1,"PTC-A","PTC-C"),IF(F271=1,"PTC-A","PTC-B"))))</x:f>
      </x:c>
      <x:c r="H271" s="29" t="str"/>
      <x:c r="I271" s="29" t="str"/>
      <x:c r="J271" s="29" t="str"/>
      <x:c r="K271" s="29" t="str"/>
      <x:c r="L271" s="29" t="str"/>
      <x:c r="M271" s="28" t="str">
        <x:f>IF(AND(C271="RESERVE",D271=""),"DORMANT",IF(L271="","OPEN",IF(AND(G271&lt;&gt;"",H271&lt;&gt;"",I271=H271,J271&lt;&gt;"",K271&lt;&gt;"",J271&lt;&gt;K271),"PASS","FAIL")))</x:f>
        <x:v>OPEN</x:v>
      </x:c>
    </x:row>
    <x:row r="272">
      <x:c r="B272" s="28" t="str">
        <x:v>AT-12</x:v>
      </x:c>
      <x:c r="C272" s="28" t="str">
        <x:v>PRIMARY</x:v>
      </x:c>
      <x:c r="D272" s="28" t="str">
        <x:f>INDEX('Attempt Tokens'!$E$7:$E$36,MATCH(B272,'Attempt Tokens'!$B$7:$B$36,0))</x:f>
      </x:c>
      <x:c r="E272" s="28" t="str">
        <x:v>RP-01</x:v>
      </x:c>
      <x:c r="F272" s="28" t="n">
        <x:v>2</x:v>
      </x:c>
      <x:c r="G272" s="28" t="str">
        <x:f>IF(D272="","",IF(LEFT(D272,5)="RFP-A",IF(F272=1,"PTC-B","PTC-C"),IF(LEFT(D272,5)="RFP-B",IF(F272=1,"PTC-A","PTC-C"),IF(F272=1,"PTC-A","PTC-B"))))</x:f>
      </x:c>
      <x:c r="H272" s="29" t="str"/>
      <x:c r="I272" s="29" t="str"/>
      <x:c r="J272" s="29" t="str"/>
      <x:c r="K272" s="29" t="str"/>
      <x:c r="L272" s="29" t="str"/>
      <x:c r="M272" s="28" t="str">
        <x:f>IF(AND(C272="RESERVE",D272=""),"DORMANT",IF(L272="","OPEN",IF(AND(G272&lt;&gt;"",H272&lt;&gt;"",I272=H272,J272&lt;&gt;"",K272&lt;&gt;"",J272&lt;&gt;K272),"PASS","FAIL")))</x:f>
        <x:v>OPEN</x:v>
      </x:c>
    </x:row>
    <x:row r="273">
      <x:c r="B273" s="28" t="str">
        <x:v>AT-12</x:v>
      </x:c>
      <x:c r="C273" s="28" t="str">
        <x:v>PRIMARY</x:v>
      </x:c>
      <x:c r="D273" s="28" t="str">
        <x:f>INDEX('Attempt Tokens'!$E$7:$E$36,MATCH(B273,'Attempt Tokens'!$B$7:$B$36,0))</x:f>
      </x:c>
      <x:c r="E273" s="28" t="str">
        <x:v>RP-02</x:v>
      </x:c>
      <x:c r="F273" s="28" t="n">
        <x:v>1</x:v>
      </x:c>
      <x:c r="G273" s="28" t="str">
        <x:f>IF(D273="","",IF(LEFT(D273,5)="RFP-A",IF(F273=1,"PTC-B","PTC-C"),IF(LEFT(D273,5)="RFP-B",IF(F273=1,"PTC-A","PTC-C"),IF(F273=1,"PTC-A","PTC-B"))))</x:f>
      </x:c>
      <x:c r="H273" s="29" t="str"/>
      <x:c r="I273" s="29" t="str"/>
      <x:c r="J273" s="29" t="str"/>
      <x:c r="K273" s="29" t="str"/>
      <x:c r="L273" s="29" t="str"/>
      <x:c r="M273" s="28" t="str">
        <x:f>IF(AND(C273="RESERVE",D273=""),"DORMANT",IF(L273="","OPEN",IF(AND(G273&lt;&gt;"",H273&lt;&gt;"",I273=H273,J273&lt;&gt;"",K273&lt;&gt;"",J273&lt;&gt;K273),"PASS","FAIL")))</x:f>
        <x:v>OPEN</x:v>
      </x:c>
    </x:row>
    <x:row r="274">
      <x:c r="B274" s="28" t="str">
        <x:v>AT-12</x:v>
      </x:c>
      <x:c r="C274" s="28" t="str">
        <x:v>PRIMARY</x:v>
      </x:c>
      <x:c r="D274" s="28" t="str">
        <x:f>INDEX('Attempt Tokens'!$E$7:$E$36,MATCH(B274,'Attempt Tokens'!$B$7:$B$36,0))</x:f>
      </x:c>
      <x:c r="E274" s="28" t="str">
        <x:v>RP-02</x:v>
      </x:c>
      <x:c r="F274" s="28" t="n">
        <x:v>2</x:v>
      </x:c>
      <x:c r="G274" s="28" t="str">
        <x:f>IF(D274="","",IF(LEFT(D274,5)="RFP-A",IF(F274=1,"PTC-B","PTC-C"),IF(LEFT(D274,5)="RFP-B",IF(F274=1,"PTC-A","PTC-C"),IF(F274=1,"PTC-A","PTC-B"))))</x:f>
      </x:c>
      <x:c r="H274" s="29" t="str"/>
      <x:c r="I274" s="29" t="str"/>
      <x:c r="J274" s="29" t="str"/>
      <x:c r="K274" s="29" t="str"/>
      <x:c r="L274" s="29" t="str"/>
      <x:c r="M274" s="28" t="str">
        <x:f>IF(AND(C274="RESERVE",D274=""),"DORMANT",IF(L274="","OPEN",IF(AND(G274&lt;&gt;"",H274&lt;&gt;"",I274=H274,J274&lt;&gt;"",K274&lt;&gt;"",J274&lt;&gt;K274),"PASS","FAIL")))</x:f>
        <x:v>OPEN</x:v>
      </x:c>
    </x:row>
    <x:row r="275">
      <x:c r="B275" s="28" t="str">
        <x:v>AT-12</x:v>
      </x:c>
      <x:c r="C275" s="28" t="str">
        <x:v>PRIMARY</x:v>
      </x:c>
      <x:c r="D275" s="28" t="str">
        <x:f>INDEX('Attempt Tokens'!$E$7:$E$36,MATCH(B275,'Attempt Tokens'!$B$7:$B$36,0))</x:f>
      </x:c>
      <x:c r="E275" s="28" t="str">
        <x:v>RP-03</x:v>
      </x:c>
      <x:c r="F275" s="28" t="n">
        <x:v>1</x:v>
      </x:c>
      <x:c r="G275" s="28" t="str">
        <x:f>IF(D275="","",IF(LEFT(D275,5)="RFP-A",IF(F275=1,"PTC-B","PTC-C"),IF(LEFT(D275,5)="RFP-B",IF(F275=1,"PTC-A","PTC-C"),IF(F275=1,"PTC-A","PTC-B"))))</x:f>
      </x:c>
      <x:c r="H275" s="29" t="str"/>
      <x:c r="I275" s="29" t="str"/>
      <x:c r="J275" s="29" t="str"/>
      <x:c r="K275" s="29" t="str"/>
      <x:c r="L275" s="29" t="str"/>
      <x:c r="M275" s="28" t="str">
        <x:f>IF(AND(C275="RESERVE",D275=""),"DORMANT",IF(L275="","OPEN",IF(AND(G275&lt;&gt;"",H275&lt;&gt;"",I275=H275,J275&lt;&gt;"",K275&lt;&gt;"",J275&lt;&gt;K275),"PASS","FAIL")))</x:f>
        <x:v>OPEN</x:v>
      </x:c>
    </x:row>
    <x:row r="276">
      <x:c r="B276" s="28" t="str">
        <x:v>AT-12</x:v>
      </x:c>
      <x:c r="C276" s="28" t="str">
        <x:v>PRIMARY</x:v>
      </x:c>
      <x:c r="D276" s="28" t="str">
        <x:f>INDEX('Attempt Tokens'!$E$7:$E$36,MATCH(B276,'Attempt Tokens'!$B$7:$B$36,0))</x:f>
      </x:c>
      <x:c r="E276" s="28" t="str">
        <x:v>RP-03</x:v>
      </x:c>
      <x:c r="F276" s="28" t="n">
        <x:v>2</x:v>
      </x:c>
      <x:c r="G276" s="28" t="str">
        <x:f>IF(D276="","",IF(LEFT(D276,5)="RFP-A",IF(F276=1,"PTC-B","PTC-C"),IF(LEFT(D276,5)="RFP-B",IF(F276=1,"PTC-A","PTC-C"),IF(F276=1,"PTC-A","PTC-B"))))</x:f>
      </x:c>
      <x:c r="H276" s="29" t="str"/>
      <x:c r="I276" s="29" t="str"/>
      <x:c r="J276" s="29" t="str"/>
      <x:c r="K276" s="29" t="str"/>
      <x:c r="L276" s="29" t="str"/>
      <x:c r="M276" s="28" t="str">
        <x:f>IF(AND(C276="RESERVE",D276=""),"DORMANT",IF(L276="","OPEN",IF(AND(G276&lt;&gt;"",H276&lt;&gt;"",I276=H276,J276&lt;&gt;"",K276&lt;&gt;"",J276&lt;&gt;K276),"PASS","FAIL")))</x:f>
        <x:v>OPEN</x:v>
      </x:c>
    </x:row>
    <x:row r="277">
      <x:c r="B277" s="28" t="str">
        <x:v>AT-12</x:v>
      </x:c>
      <x:c r="C277" s="28" t="str">
        <x:v>PRIMARY</x:v>
      </x:c>
      <x:c r="D277" s="28" t="str">
        <x:f>INDEX('Attempt Tokens'!$E$7:$E$36,MATCH(B277,'Attempt Tokens'!$B$7:$B$36,0))</x:f>
      </x:c>
      <x:c r="E277" s="28" t="str">
        <x:v>RP-04</x:v>
      </x:c>
      <x:c r="F277" s="28" t="n">
        <x:v>1</x:v>
      </x:c>
      <x:c r="G277" s="28" t="str">
        <x:f>IF(D277="","",IF(LEFT(D277,5)="RFP-A",IF(F277=1,"PTC-B","PTC-C"),IF(LEFT(D277,5)="RFP-B",IF(F277=1,"PTC-A","PTC-C"),IF(F277=1,"PTC-A","PTC-B"))))</x:f>
      </x:c>
      <x:c r="H277" s="29" t="str"/>
      <x:c r="I277" s="29" t="str"/>
      <x:c r="J277" s="29" t="str"/>
      <x:c r="K277" s="29" t="str"/>
      <x:c r="L277" s="29" t="str"/>
      <x:c r="M277" s="28" t="str">
        <x:f>IF(AND(C277="RESERVE",D277=""),"DORMANT",IF(L277="","OPEN",IF(AND(G277&lt;&gt;"",H277&lt;&gt;"",I277=H277,J277&lt;&gt;"",K277&lt;&gt;"",J277&lt;&gt;K277),"PASS","FAIL")))</x:f>
        <x:v>OPEN</x:v>
      </x:c>
    </x:row>
    <x:row r="278">
      <x:c r="B278" s="28" t="str">
        <x:v>AT-12</x:v>
      </x:c>
      <x:c r="C278" s="28" t="str">
        <x:v>PRIMARY</x:v>
      </x:c>
      <x:c r="D278" s="28" t="str">
        <x:f>INDEX('Attempt Tokens'!$E$7:$E$36,MATCH(B278,'Attempt Tokens'!$B$7:$B$36,0))</x:f>
      </x:c>
      <x:c r="E278" s="28" t="str">
        <x:v>RP-04</x:v>
      </x:c>
      <x:c r="F278" s="28" t="n">
        <x:v>2</x:v>
      </x:c>
      <x:c r="G278" s="28" t="str">
        <x:f>IF(D278="","",IF(LEFT(D278,5)="RFP-A",IF(F278=1,"PTC-B","PTC-C"),IF(LEFT(D278,5)="RFP-B",IF(F278=1,"PTC-A","PTC-C"),IF(F278=1,"PTC-A","PTC-B"))))</x:f>
      </x:c>
      <x:c r="H278" s="29" t="str"/>
      <x:c r="I278" s="29" t="str"/>
      <x:c r="J278" s="29" t="str"/>
      <x:c r="K278" s="29" t="str"/>
      <x:c r="L278" s="29" t="str"/>
      <x:c r="M278" s="28" t="str">
        <x:f>IF(AND(C278="RESERVE",D278=""),"DORMANT",IF(L278="","OPEN",IF(AND(G278&lt;&gt;"",H278&lt;&gt;"",I278=H278,J278&lt;&gt;"",K278&lt;&gt;"",J278&lt;&gt;K278),"PASS","FAIL")))</x:f>
        <x:v>OPEN</x:v>
      </x:c>
    </x:row>
    <x:row r="279">
      <x:c r="B279" s="28" t="str">
        <x:v>AT-12</x:v>
      </x:c>
      <x:c r="C279" s="28" t="str">
        <x:v>PRIMARY</x:v>
      </x:c>
      <x:c r="D279" s="28" t="str">
        <x:f>INDEX('Attempt Tokens'!$E$7:$E$36,MATCH(B279,'Attempt Tokens'!$B$7:$B$36,0))</x:f>
      </x:c>
      <x:c r="E279" s="28" t="str">
        <x:v>RP-05</x:v>
      </x:c>
      <x:c r="F279" s="28" t="n">
        <x:v>1</x:v>
      </x:c>
      <x:c r="G279" s="28" t="str">
        <x:f>IF(D279="","",IF(LEFT(D279,5)="RFP-A",IF(F279=1,"PTC-B","PTC-C"),IF(LEFT(D279,5)="RFP-B",IF(F279=1,"PTC-A","PTC-C"),IF(F279=1,"PTC-A","PTC-B"))))</x:f>
      </x:c>
      <x:c r="H279" s="29" t="str"/>
      <x:c r="I279" s="29" t="str"/>
      <x:c r="J279" s="29" t="str"/>
      <x:c r="K279" s="29" t="str"/>
      <x:c r="L279" s="29" t="str"/>
      <x:c r="M279" s="28" t="str">
        <x:f>IF(AND(C279="RESERVE",D279=""),"DORMANT",IF(L279="","OPEN",IF(AND(G279&lt;&gt;"",H279&lt;&gt;"",I279=H279,J279&lt;&gt;"",K279&lt;&gt;"",J279&lt;&gt;K279),"PASS","FAIL")))</x:f>
        <x:v>OPEN</x:v>
      </x:c>
    </x:row>
    <x:row r="280">
      <x:c r="B280" s="28" t="str">
        <x:v>AT-12</x:v>
      </x:c>
      <x:c r="C280" s="28" t="str">
        <x:v>PRIMARY</x:v>
      </x:c>
      <x:c r="D280" s="28" t="str">
        <x:f>INDEX('Attempt Tokens'!$E$7:$E$36,MATCH(B280,'Attempt Tokens'!$B$7:$B$36,0))</x:f>
      </x:c>
      <x:c r="E280" s="28" t="str">
        <x:v>RP-05</x:v>
      </x:c>
      <x:c r="F280" s="28" t="n">
        <x:v>2</x:v>
      </x:c>
      <x:c r="G280" s="28" t="str">
        <x:f>IF(D280="","",IF(LEFT(D280,5)="RFP-A",IF(F280=1,"PTC-B","PTC-C"),IF(LEFT(D280,5)="RFP-B",IF(F280=1,"PTC-A","PTC-C"),IF(F280=1,"PTC-A","PTC-B"))))</x:f>
      </x:c>
      <x:c r="H280" s="29" t="str"/>
      <x:c r="I280" s="29" t="str"/>
      <x:c r="J280" s="29" t="str"/>
      <x:c r="K280" s="29" t="str"/>
      <x:c r="L280" s="29" t="str"/>
      <x:c r="M280" s="28" t="str">
        <x:f>IF(AND(C280="RESERVE",D280=""),"DORMANT",IF(L280="","OPEN",IF(AND(G280&lt;&gt;"",H280&lt;&gt;"",I280=H280,J280&lt;&gt;"",K280&lt;&gt;"",J280&lt;&gt;K280),"PASS","FAIL")))</x:f>
        <x:v>OPEN</x:v>
      </x:c>
    </x:row>
    <x:row r="281">
      <x:c r="B281" s="28" t="str">
        <x:v>AT-12</x:v>
      </x:c>
      <x:c r="C281" s="28" t="str">
        <x:v>PRIMARY</x:v>
      </x:c>
      <x:c r="D281" s="28" t="str">
        <x:f>INDEX('Attempt Tokens'!$E$7:$E$36,MATCH(B281,'Attempt Tokens'!$B$7:$B$36,0))</x:f>
      </x:c>
      <x:c r="E281" s="28" t="str">
        <x:v>RP-06</x:v>
      </x:c>
      <x:c r="F281" s="28" t="n">
        <x:v>1</x:v>
      </x:c>
      <x:c r="G281" s="28" t="str">
        <x:f>IF(D281="","",IF(LEFT(D281,5)="RFP-A",IF(F281=1,"PTC-B","PTC-C"),IF(LEFT(D281,5)="RFP-B",IF(F281=1,"PTC-A","PTC-C"),IF(F281=1,"PTC-A","PTC-B"))))</x:f>
      </x:c>
      <x:c r="H281" s="29" t="str"/>
      <x:c r="I281" s="29" t="str"/>
      <x:c r="J281" s="29" t="str"/>
      <x:c r="K281" s="29" t="str"/>
      <x:c r="L281" s="29" t="str"/>
      <x:c r="M281" s="28" t="str">
        <x:f>IF(AND(C281="RESERVE",D281=""),"DORMANT",IF(L281="","OPEN",IF(AND(G281&lt;&gt;"",H281&lt;&gt;"",I281=H281,J281&lt;&gt;"",K281&lt;&gt;"",J281&lt;&gt;K281),"PASS","FAIL")))</x:f>
        <x:v>OPEN</x:v>
      </x:c>
    </x:row>
    <x:row r="282">
      <x:c r="B282" s="28" t="str">
        <x:v>AT-12</x:v>
      </x:c>
      <x:c r="C282" s="28" t="str">
        <x:v>PRIMARY</x:v>
      </x:c>
      <x:c r="D282" s="28" t="str">
        <x:f>INDEX('Attempt Tokens'!$E$7:$E$36,MATCH(B282,'Attempt Tokens'!$B$7:$B$36,0))</x:f>
      </x:c>
      <x:c r="E282" s="28" t="str">
        <x:v>RP-06</x:v>
      </x:c>
      <x:c r="F282" s="28" t="n">
        <x:v>2</x:v>
      </x:c>
      <x:c r="G282" s="28" t="str">
        <x:f>IF(D282="","",IF(LEFT(D282,5)="RFP-A",IF(F282=1,"PTC-B","PTC-C"),IF(LEFT(D282,5)="RFP-B",IF(F282=1,"PTC-A","PTC-C"),IF(F282=1,"PTC-A","PTC-B"))))</x:f>
      </x:c>
      <x:c r="H282" s="29" t="str"/>
      <x:c r="I282" s="29" t="str"/>
      <x:c r="J282" s="29" t="str"/>
      <x:c r="K282" s="29" t="str"/>
      <x:c r="L282" s="29" t="str"/>
      <x:c r="M282" s="28" t="str">
        <x:f>IF(AND(C282="RESERVE",D282=""),"DORMANT",IF(L282="","OPEN",IF(AND(G282&lt;&gt;"",H282&lt;&gt;"",I282=H282,J282&lt;&gt;"",K282&lt;&gt;"",J282&lt;&gt;K282),"PASS","FAIL")))</x:f>
        <x:v>OPEN</x:v>
      </x:c>
    </x:row>
    <x:row r="283">
      <x:c r="B283" s="28" t="str">
        <x:v>AT-12</x:v>
      </x:c>
      <x:c r="C283" s="28" t="str">
        <x:v>PRIMARY</x:v>
      </x:c>
      <x:c r="D283" s="28" t="str">
        <x:f>INDEX('Attempt Tokens'!$E$7:$E$36,MATCH(B283,'Attempt Tokens'!$B$7:$B$36,0))</x:f>
      </x:c>
      <x:c r="E283" s="28" t="str">
        <x:v>RP-07</x:v>
      </x:c>
      <x:c r="F283" s="28" t="n">
        <x:v>1</x:v>
      </x:c>
      <x:c r="G283" s="28" t="str">
        <x:f>IF(D283="","",IF(LEFT(D283,5)="RFP-A",IF(F283=1,"PTC-B","PTC-C"),IF(LEFT(D283,5)="RFP-B",IF(F283=1,"PTC-A","PTC-C"),IF(F283=1,"PTC-A","PTC-B"))))</x:f>
      </x:c>
      <x:c r="H283" s="29" t="str"/>
      <x:c r="I283" s="29" t="str"/>
      <x:c r="J283" s="29" t="str"/>
      <x:c r="K283" s="29" t="str"/>
      <x:c r="L283" s="29" t="str"/>
      <x:c r="M283" s="28" t="str">
        <x:f>IF(AND(C283="RESERVE",D283=""),"DORMANT",IF(L283="","OPEN",IF(AND(G283&lt;&gt;"",H283&lt;&gt;"",I283=H283,J283&lt;&gt;"",K283&lt;&gt;"",J283&lt;&gt;K283),"PASS","FAIL")))</x:f>
        <x:v>OPEN</x:v>
      </x:c>
    </x:row>
    <x:row r="284">
      <x:c r="B284" s="28" t="str">
        <x:v>AT-12</x:v>
      </x:c>
      <x:c r="C284" s="28" t="str">
        <x:v>PRIMARY</x:v>
      </x:c>
      <x:c r="D284" s="28" t="str">
        <x:f>INDEX('Attempt Tokens'!$E$7:$E$36,MATCH(B284,'Attempt Tokens'!$B$7:$B$36,0))</x:f>
      </x:c>
      <x:c r="E284" s="28" t="str">
        <x:v>RP-07</x:v>
      </x:c>
      <x:c r="F284" s="28" t="n">
        <x:v>2</x:v>
      </x:c>
      <x:c r="G284" s="28" t="str">
        <x:f>IF(D284="","",IF(LEFT(D284,5)="RFP-A",IF(F284=1,"PTC-B","PTC-C"),IF(LEFT(D284,5)="RFP-B",IF(F284=1,"PTC-A","PTC-C"),IF(F284=1,"PTC-A","PTC-B"))))</x:f>
      </x:c>
      <x:c r="H284" s="29" t="str"/>
      <x:c r="I284" s="29" t="str"/>
      <x:c r="J284" s="29" t="str"/>
      <x:c r="K284" s="29" t="str"/>
      <x:c r="L284" s="29" t="str"/>
      <x:c r="M284" s="28" t="str">
        <x:f>IF(AND(C284="RESERVE",D284=""),"DORMANT",IF(L284="","OPEN",IF(AND(G284&lt;&gt;"",H284&lt;&gt;"",I284=H284,J284&lt;&gt;"",K284&lt;&gt;"",J284&lt;&gt;K284),"PASS","FAIL")))</x:f>
        <x:v>OPEN</x:v>
      </x:c>
    </x:row>
    <x:row r="285">
      <x:c r="B285" s="28" t="str">
        <x:v>AT-12</x:v>
      </x:c>
      <x:c r="C285" s="28" t="str">
        <x:v>PRIMARY</x:v>
      </x:c>
      <x:c r="D285" s="28" t="str">
        <x:f>INDEX('Attempt Tokens'!$E$7:$E$36,MATCH(B285,'Attempt Tokens'!$B$7:$B$36,0))</x:f>
      </x:c>
      <x:c r="E285" s="28" t="str">
        <x:v>RP-08</x:v>
      </x:c>
      <x:c r="F285" s="28" t="n">
        <x:v>1</x:v>
      </x:c>
      <x:c r="G285" s="28" t="str">
        <x:f>IF(D285="","",IF(LEFT(D285,5)="RFP-A",IF(F285=1,"PTC-B","PTC-C"),IF(LEFT(D285,5)="RFP-B",IF(F285=1,"PTC-A","PTC-C"),IF(F285=1,"PTC-A","PTC-B"))))</x:f>
      </x:c>
      <x:c r="H285" s="29" t="str"/>
      <x:c r="I285" s="29" t="str"/>
      <x:c r="J285" s="29" t="str"/>
      <x:c r="K285" s="29" t="str"/>
      <x:c r="L285" s="29" t="str"/>
      <x:c r="M285" s="28" t="str">
        <x:f>IF(AND(C285="RESERVE",D285=""),"DORMANT",IF(L285="","OPEN",IF(AND(G285&lt;&gt;"",H285&lt;&gt;"",I285=H285,J285&lt;&gt;"",K285&lt;&gt;"",J285&lt;&gt;K285),"PASS","FAIL")))</x:f>
        <x:v>OPEN</x:v>
      </x:c>
    </x:row>
    <x:row r="286">
      <x:c r="B286" s="28" t="str">
        <x:v>AT-12</x:v>
      </x:c>
      <x:c r="C286" s="28" t="str">
        <x:v>PRIMARY</x:v>
      </x:c>
      <x:c r="D286" s="28" t="str">
        <x:f>INDEX('Attempt Tokens'!$E$7:$E$36,MATCH(B286,'Attempt Tokens'!$B$7:$B$36,0))</x:f>
      </x:c>
      <x:c r="E286" s="28" t="str">
        <x:v>RP-08</x:v>
      </x:c>
      <x:c r="F286" s="28" t="n">
        <x:v>2</x:v>
      </x:c>
      <x:c r="G286" s="28" t="str">
        <x:f>IF(D286="","",IF(LEFT(D286,5)="RFP-A",IF(F286=1,"PTC-B","PTC-C"),IF(LEFT(D286,5)="RFP-B",IF(F286=1,"PTC-A","PTC-C"),IF(F286=1,"PTC-A","PTC-B"))))</x:f>
      </x:c>
      <x:c r="H286" s="29" t="str"/>
      <x:c r="I286" s="29" t="str"/>
      <x:c r="J286" s="29" t="str"/>
      <x:c r="K286" s="29" t="str"/>
      <x:c r="L286" s="29" t="str"/>
      <x:c r="M286" s="28" t="str">
        <x:f>IF(AND(C286="RESERVE",D286=""),"DORMANT",IF(L286="","OPEN",IF(AND(G286&lt;&gt;"",H286&lt;&gt;"",I286=H286,J286&lt;&gt;"",K286&lt;&gt;"",J286&lt;&gt;K286),"PASS","FAIL")))</x:f>
        <x:v>OPEN</x:v>
      </x:c>
    </x:row>
    <x:row r="287">
      <x:c r="B287" s="28" t="str">
        <x:v>AT-12</x:v>
      </x:c>
      <x:c r="C287" s="28" t="str">
        <x:v>PRIMARY</x:v>
      </x:c>
      <x:c r="D287" s="28" t="str">
        <x:f>INDEX('Attempt Tokens'!$E$7:$E$36,MATCH(B287,'Attempt Tokens'!$B$7:$B$36,0))</x:f>
      </x:c>
      <x:c r="E287" s="28" t="str">
        <x:v>RP-09</x:v>
      </x:c>
      <x:c r="F287" s="28" t="n">
        <x:v>1</x:v>
      </x:c>
      <x:c r="G287" s="28" t="str">
        <x:f>IF(D287="","",IF(LEFT(D287,5)="RFP-A",IF(F287=1,"PTC-B","PTC-C"),IF(LEFT(D287,5)="RFP-B",IF(F287=1,"PTC-A","PTC-C"),IF(F287=1,"PTC-A","PTC-B"))))</x:f>
      </x:c>
      <x:c r="H287" s="29" t="str"/>
      <x:c r="I287" s="29" t="str"/>
      <x:c r="J287" s="29" t="str"/>
      <x:c r="K287" s="29" t="str"/>
      <x:c r="L287" s="29" t="str"/>
      <x:c r="M287" s="28" t="str">
        <x:f>IF(AND(C287="RESERVE",D287=""),"DORMANT",IF(L287="","OPEN",IF(AND(G287&lt;&gt;"",H287&lt;&gt;"",I287=H287,J287&lt;&gt;"",K287&lt;&gt;"",J287&lt;&gt;K287),"PASS","FAIL")))</x:f>
        <x:v>OPEN</x:v>
      </x:c>
    </x:row>
    <x:row r="288">
      <x:c r="B288" s="28" t="str">
        <x:v>AT-12</x:v>
      </x:c>
      <x:c r="C288" s="28" t="str">
        <x:v>PRIMARY</x:v>
      </x:c>
      <x:c r="D288" s="28" t="str">
        <x:f>INDEX('Attempt Tokens'!$E$7:$E$36,MATCH(B288,'Attempt Tokens'!$B$7:$B$36,0))</x:f>
      </x:c>
      <x:c r="E288" s="28" t="str">
        <x:v>RP-09</x:v>
      </x:c>
      <x:c r="F288" s="28" t="n">
        <x:v>2</x:v>
      </x:c>
      <x:c r="G288" s="28" t="str">
        <x:f>IF(D288="","",IF(LEFT(D288,5)="RFP-A",IF(F288=1,"PTC-B","PTC-C"),IF(LEFT(D288,5)="RFP-B",IF(F288=1,"PTC-A","PTC-C"),IF(F288=1,"PTC-A","PTC-B"))))</x:f>
      </x:c>
      <x:c r="H288" s="29" t="str"/>
      <x:c r="I288" s="29" t="str"/>
      <x:c r="J288" s="29" t="str"/>
      <x:c r="K288" s="29" t="str"/>
      <x:c r="L288" s="29" t="str"/>
      <x:c r="M288" s="28" t="str">
        <x:f>IF(AND(C288="RESERVE",D288=""),"DORMANT",IF(L288="","OPEN",IF(AND(G288&lt;&gt;"",H288&lt;&gt;"",I288=H288,J288&lt;&gt;"",K288&lt;&gt;"",J288&lt;&gt;K288),"PASS","FAIL")))</x:f>
        <x:v>OPEN</x:v>
      </x:c>
    </x:row>
    <x:row r="289">
      <x:c r="B289" s="28" t="str">
        <x:v>AT-12</x:v>
      </x:c>
      <x:c r="C289" s="28" t="str">
        <x:v>PRIMARY</x:v>
      </x:c>
      <x:c r="D289" s="28" t="str">
        <x:f>INDEX('Attempt Tokens'!$E$7:$E$36,MATCH(B289,'Attempt Tokens'!$B$7:$B$36,0))</x:f>
      </x:c>
      <x:c r="E289" s="28" t="str">
        <x:v>RP-10</x:v>
      </x:c>
      <x:c r="F289" s="28" t="n">
        <x:v>1</x:v>
      </x:c>
      <x:c r="G289" s="28" t="str">
        <x:f>IF(D289="","",IF(LEFT(D289,5)="RFP-A",IF(F289=1,"PTC-B","PTC-C"),IF(LEFT(D289,5)="RFP-B",IF(F289=1,"PTC-A","PTC-C"),IF(F289=1,"PTC-A","PTC-B"))))</x:f>
      </x:c>
      <x:c r="H289" s="29" t="str"/>
      <x:c r="I289" s="29" t="str"/>
      <x:c r="J289" s="29" t="str"/>
      <x:c r="K289" s="29" t="str"/>
      <x:c r="L289" s="29" t="str"/>
      <x:c r="M289" s="28" t="str">
        <x:f>IF(AND(C289="RESERVE",D289=""),"DORMANT",IF(L289="","OPEN",IF(AND(G289&lt;&gt;"",H289&lt;&gt;"",I289=H289,J289&lt;&gt;"",K289&lt;&gt;"",J289&lt;&gt;K289),"PASS","FAIL")))</x:f>
        <x:v>OPEN</x:v>
      </x:c>
    </x:row>
    <x:row r="290">
      <x:c r="B290" s="28" t="str">
        <x:v>AT-12</x:v>
      </x:c>
      <x:c r="C290" s="28" t="str">
        <x:v>PRIMARY</x:v>
      </x:c>
      <x:c r="D290" s="28" t="str">
        <x:f>INDEX('Attempt Tokens'!$E$7:$E$36,MATCH(B290,'Attempt Tokens'!$B$7:$B$36,0))</x:f>
      </x:c>
      <x:c r="E290" s="28" t="str">
        <x:v>RP-10</x:v>
      </x:c>
      <x:c r="F290" s="28" t="n">
        <x:v>2</x:v>
      </x:c>
      <x:c r="G290" s="28" t="str">
        <x:f>IF(D290="","",IF(LEFT(D290,5)="RFP-A",IF(F290=1,"PTC-B","PTC-C"),IF(LEFT(D290,5)="RFP-B",IF(F290=1,"PTC-A","PTC-C"),IF(F290=1,"PTC-A","PTC-B"))))</x:f>
      </x:c>
      <x:c r="H290" s="29" t="str"/>
      <x:c r="I290" s="29" t="str"/>
      <x:c r="J290" s="29" t="str"/>
      <x:c r="K290" s="29" t="str"/>
      <x:c r="L290" s="29" t="str"/>
      <x:c r="M290" s="28" t="str">
        <x:f>IF(AND(C290="RESERVE",D290=""),"DORMANT",IF(L290="","OPEN",IF(AND(G290&lt;&gt;"",H290&lt;&gt;"",I290=H290,J290&lt;&gt;"",K290&lt;&gt;"",J290&lt;&gt;K290),"PASS","FAIL")))</x:f>
        <x:v>OPEN</x:v>
      </x:c>
    </x:row>
    <x:row r="291">
      <x:c r="B291" s="28" t="str">
        <x:v>AT-12</x:v>
      </x:c>
      <x:c r="C291" s="28" t="str">
        <x:v>PRIMARY</x:v>
      </x:c>
      <x:c r="D291" s="28" t="str">
        <x:f>INDEX('Attempt Tokens'!$E$7:$E$36,MATCH(B291,'Attempt Tokens'!$B$7:$B$36,0))</x:f>
      </x:c>
      <x:c r="E291" s="28" t="str">
        <x:v>RP-11</x:v>
      </x:c>
      <x:c r="F291" s="28" t="n">
        <x:v>1</x:v>
      </x:c>
      <x:c r="G291" s="28" t="str">
        <x:f>IF(D291="","",IF(LEFT(D291,5)="RFP-A",IF(F291=1,"PTC-B","PTC-C"),IF(LEFT(D291,5)="RFP-B",IF(F291=1,"PTC-A","PTC-C"),IF(F291=1,"PTC-A","PTC-B"))))</x:f>
      </x:c>
      <x:c r="H291" s="29" t="str"/>
      <x:c r="I291" s="29" t="str"/>
      <x:c r="J291" s="29" t="str"/>
      <x:c r="K291" s="29" t="str"/>
      <x:c r="L291" s="29" t="str"/>
      <x:c r="M291" s="28" t="str">
        <x:f>IF(AND(C291="RESERVE",D291=""),"DORMANT",IF(L291="","OPEN",IF(AND(G291&lt;&gt;"",H291&lt;&gt;"",I291=H291,J291&lt;&gt;"",K291&lt;&gt;"",J291&lt;&gt;K291),"PASS","FAIL")))</x:f>
        <x:v>OPEN</x:v>
      </x:c>
    </x:row>
    <x:row r="292">
      <x:c r="B292" s="28" t="str">
        <x:v>AT-12</x:v>
      </x:c>
      <x:c r="C292" s="28" t="str">
        <x:v>PRIMARY</x:v>
      </x:c>
      <x:c r="D292" s="28" t="str">
        <x:f>INDEX('Attempt Tokens'!$E$7:$E$36,MATCH(B292,'Attempt Tokens'!$B$7:$B$36,0))</x:f>
      </x:c>
      <x:c r="E292" s="28" t="str">
        <x:v>RP-11</x:v>
      </x:c>
      <x:c r="F292" s="28" t="n">
        <x:v>2</x:v>
      </x:c>
      <x:c r="G292" s="28" t="str">
        <x:f>IF(D292="","",IF(LEFT(D292,5)="RFP-A",IF(F292=1,"PTC-B","PTC-C"),IF(LEFT(D292,5)="RFP-B",IF(F292=1,"PTC-A","PTC-C"),IF(F292=1,"PTC-A","PTC-B"))))</x:f>
      </x:c>
      <x:c r="H292" s="29" t="str"/>
      <x:c r="I292" s="29" t="str"/>
      <x:c r="J292" s="29" t="str"/>
      <x:c r="K292" s="29" t="str"/>
      <x:c r="L292" s="29" t="str"/>
      <x:c r="M292" s="28" t="str">
        <x:f>IF(AND(C292="RESERVE",D292=""),"DORMANT",IF(L292="","OPEN",IF(AND(G292&lt;&gt;"",H292&lt;&gt;"",I292=H292,J292&lt;&gt;"",K292&lt;&gt;"",J292&lt;&gt;K292),"PASS","FAIL")))</x:f>
        <x:v>OPEN</x:v>
      </x:c>
    </x:row>
    <x:row r="293">
      <x:c r="B293" s="28" t="str">
        <x:v>AT-12</x:v>
      </x:c>
      <x:c r="C293" s="28" t="str">
        <x:v>PRIMARY</x:v>
      </x:c>
      <x:c r="D293" s="28" t="str">
        <x:f>INDEX('Attempt Tokens'!$E$7:$E$36,MATCH(B293,'Attempt Tokens'!$B$7:$B$36,0))</x:f>
      </x:c>
      <x:c r="E293" s="28" t="str">
        <x:v>RP-12</x:v>
      </x:c>
      <x:c r="F293" s="28" t="n">
        <x:v>1</x:v>
      </x:c>
      <x:c r="G293" s="28" t="str">
        <x:f>IF(D293="","",IF(LEFT(D293,5)="RFP-A",IF(F293=1,"PTC-B","PTC-C"),IF(LEFT(D293,5)="RFP-B",IF(F293=1,"PTC-A","PTC-C"),IF(F293=1,"PTC-A","PTC-B"))))</x:f>
      </x:c>
      <x:c r="H293" s="29" t="str"/>
      <x:c r="I293" s="29" t="str"/>
      <x:c r="J293" s="29" t="str"/>
      <x:c r="K293" s="29" t="str"/>
      <x:c r="L293" s="29" t="str"/>
      <x:c r="M293" s="28" t="str">
        <x:f>IF(AND(C293="RESERVE",D293=""),"DORMANT",IF(L293="","OPEN",IF(AND(G293&lt;&gt;"",H293&lt;&gt;"",I293=H293,J293&lt;&gt;"",K293&lt;&gt;"",J293&lt;&gt;K293),"PASS","FAIL")))</x:f>
        <x:v>OPEN</x:v>
      </x:c>
    </x:row>
    <x:row r="294">
      <x:c r="B294" s="28" t="str">
        <x:v>AT-12</x:v>
      </x:c>
      <x:c r="C294" s="28" t="str">
        <x:v>PRIMARY</x:v>
      </x:c>
      <x:c r="D294" s="28" t="str">
        <x:f>INDEX('Attempt Tokens'!$E$7:$E$36,MATCH(B294,'Attempt Tokens'!$B$7:$B$36,0))</x:f>
      </x:c>
      <x:c r="E294" s="28" t="str">
        <x:v>RP-12</x:v>
      </x:c>
      <x:c r="F294" s="28" t="n">
        <x:v>2</x:v>
      </x:c>
      <x:c r="G294" s="28" t="str">
        <x:f>IF(D294="","",IF(LEFT(D294,5)="RFP-A",IF(F294=1,"PTC-B","PTC-C"),IF(LEFT(D294,5)="RFP-B",IF(F294=1,"PTC-A","PTC-C"),IF(F294=1,"PTC-A","PTC-B"))))</x:f>
      </x:c>
      <x:c r="H294" s="29" t="str"/>
      <x:c r="I294" s="29" t="str"/>
      <x:c r="J294" s="29" t="str"/>
      <x:c r="K294" s="29" t="str"/>
      <x:c r="L294" s="29" t="str"/>
      <x:c r="M294" s="28" t="str">
        <x:f>IF(AND(C294="RESERVE",D294=""),"DORMANT",IF(L294="","OPEN",IF(AND(G294&lt;&gt;"",H294&lt;&gt;"",I294=H294,J294&lt;&gt;"",K294&lt;&gt;"",J294&lt;&gt;K294),"PASS","FAIL")))</x:f>
        <x:v>OPEN</x:v>
      </x:c>
    </x:row>
    <x:row r="295">
      <x:c r="B295" s="28" t="str">
        <x:v>AT-13</x:v>
      </x:c>
      <x:c r="C295" s="28" t="str">
        <x:v>PRIMARY</x:v>
      </x:c>
      <x:c r="D295" s="28" t="str">
        <x:f>INDEX('Attempt Tokens'!$E$7:$E$36,MATCH(B295,'Attempt Tokens'!$B$7:$B$36,0))</x:f>
      </x:c>
      <x:c r="E295" s="28" t="str">
        <x:v>RP-01</x:v>
      </x:c>
      <x:c r="F295" s="28" t="n">
        <x:v>1</x:v>
      </x:c>
      <x:c r="G295" s="28" t="str">
        <x:f>IF(D295="","",IF(LEFT(D295,5)="RFP-A",IF(F295=1,"PTC-B","PTC-C"),IF(LEFT(D295,5)="RFP-B",IF(F295=1,"PTC-A","PTC-C"),IF(F295=1,"PTC-A","PTC-B"))))</x:f>
      </x:c>
      <x:c r="H295" s="29" t="str"/>
      <x:c r="I295" s="29" t="str"/>
      <x:c r="J295" s="29" t="str"/>
      <x:c r="K295" s="29" t="str"/>
      <x:c r="L295" s="29" t="str"/>
      <x:c r="M295" s="28" t="str">
        <x:f>IF(AND(C295="RESERVE",D295=""),"DORMANT",IF(L295="","OPEN",IF(AND(G295&lt;&gt;"",H295&lt;&gt;"",I295=H295,J295&lt;&gt;"",K295&lt;&gt;"",J295&lt;&gt;K295),"PASS","FAIL")))</x:f>
        <x:v>OPEN</x:v>
      </x:c>
    </x:row>
    <x:row r="296">
      <x:c r="B296" s="28" t="str">
        <x:v>AT-13</x:v>
      </x:c>
      <x:c r="C296" s="28" t="str">
        <x:v>PRIMARY</x:v>
      </x:c>
      <x:c r="D296" s="28" t="str">
        <x:f>INDEX('Attempt Tokens'!$E$7:$E$36,MATCH(B296,'Attempt Tokens'!$B$7:$B$36,0))</x:f>
      </x:c>
      <x:c r="E296" s="28" t="str">
        <x:v>RP-01</x:v>
      </x:c>
      <x:c r="F296" s="28" t="n">
        <x:v>2</x:v>
      </x:c>
      <x:c r="G296" s="28" t="str">
        <x:f>IF(D296="","",IF(LEFT(D296,5)="RFP-A",IF(F296=1,"PTC-B","PTC-C"),IF(LEFT(D296,5)="RFP-B",IF(F296=1,"PTC-A","PTC-C"),IF(F296=1,"PTC-A","PTC-B"))))</x:f>
      </x:c>
      <x:c r="H296" s="29" t="str"/>
      <x:c r="I296" s="29" t="str"/>
      <x:c r="J296" s="29" t="str"/>
      <x:c r="K296" s="29" t="str"/>
      <x:c r="L296" s="29" t="str"/>
      <x:c r="M296" s="28" t="str">
        <x:f>IF(AND(C296="RESERVE",D296=""),"DORMANT",IF(L296="","OPEN",IF(AND(G296&lt;&gt;"",H296&lt;&gt;"",I296=H296,J296&lt;&gt;"",K296&lt;&gt;"",J296&lt;&gt;K296),"PASS","FAIL")))</x:f>
        <x:v>OPEN</x:v>
      </x:c>
    </x:row>
    <x:row r="297">
      <x:c r="B297" s="28" t="str">
        <x:v>AT-13</x:v>
      </x:c>
      <x:c r="C297" s="28" t="str">
        <x:v>PRIMARY</x:v>
      </x:c>
      <x:c r="D297" s="28" t="str">
        <x:f>INDEX('Attempt Tokens'!$E$7:$E$36,MATCH(B297,'Attempt Tokens'!$B$7:$B$36,0))</x:f>
      </x:c>
      <x:c r="E297" s="28" t="str">
        <x:v>RP-02</x:v>
      </x:c>
      <x:c r="F297" s="28" t="n">
        <x:v>1</x:v>
      </x:c>
      <x:c r="G297" s="28" t="str">
        <x:f>IF(D297="","",IF(LEFT(D297,5)="RFP-A",IF(F297=1,"PTC-B","PTC-C"),IF(LEFT(D297,5)="RFP-B",IF(F297=1,"PTC-A","PTC-C"),IF(F297=1,"PTC-A","PTC-B"))))</x:f>
      </x:c>
      <x:c r="H297" s="29" t="str"/>
      <x:c r="I297" s="29" t="str"/>
      <x:c r="J297" s="29" t="str"/>
      <x:c r="K297" s="29" t="str"/>
      <x:c r="L297" s="29" t="str"/>
      <x:c r="M297" s="28" t="str">
        <x:f>IF(AND(C297="RESERVE",D297=""),"DORMANT",IF(L297="","OPEN",IF(AND(G297&lt;&gt;"",H297&lt;&gt;"",I297=H297,J297&lt;&gt;"",K297&lt;&gt;"",J297&lt;&gt;K297),"PASS","FAIL")))</x:f>
        <x:v>OPEN</x:v>
      </x:c>
    </x:row>
    <x:row r="298">
      <x:c r="B298" s="28" t="str">
        <x:v>AT-13</x:v>
      </x:c>
      <x:c r="C298" s="28" t="str">
        <x:v>PRIMARY</x:v>
      </x:c>
      <x:c r="D298" s="28" t="str">
        <x:f>INDEX('Attempt Tokens'!$E$7:$E$36,MATCH(B298,'Attempt Tokens'!$B$7:$B$36,0))</x:f>
      </x:c>
      <x:c r="E298" s="28" t="str">
        <x:v>RP-02</x:v>
      </x:c>
      <x:c r="F298" s="28" t="n">
        <x:v>2</x:v>
      </x:c>
      <x:c r="G298" s="28" t="str">
        <x:f>IF(D298="","",IF(LEFT(D298,5)="RFP-A",IF(F298=1,"PTC-B","PTC-C"),IF(LEFT(D298,5)="RFP-B",IF(F298=1,"PTC-A","PTC-C"),IF(F298=1,"PTC-A","PTC-B"))))</x:f>
      </x:c>
      <x:c r="H298" s="29" t="str"/>
      <x:c r="I298" s="29" t="str"/>
      <x:c r="J298" s="29" t="str"/>
      <x:c r="K298" s="29" t="str"/>
      <x:c r="L298" s="29" t="str"/>
      <x:c r="M298" s="28" t="str">
        <x:f>IF(AND(C298="RESERVE",D298=""),"DORMANT",IF(L298="","OPEN",IF(AND(G298&lt;&gt;"",H298&lt;&gt;"",I298=H298,J298&lt;&gt;"",K298&lt;&gt;"",J298&lt;&gt;K298),"PASS","FAIL")))</x:f>
        <x:v>OPEN</x:v>
      </x:c>
    </x:row>
    <x:row r="299">
      <x:c r="B299" s="28" t="str">
        <x:v>AT-13</x:v>
      </x:c>
      <x:c r="C299" s="28" t="str">
        <x:v>PRIMARY</x:v>
      </x:c>
      <x:c r="D299" s="28" t="str">
        <x:f>INDEX('Attempt Tokens'!$E$7:$E$36,MATCH(B299,'Attempt Tokens'!$B$7:$B$36,0))</x:f>
      </x:c>
      <x:c r="E299" s="28" t="str">
        <x:v>RP-03</x:v>
      </x:c>
      <x:c r="F299" s="28" t="n">
        <x:v>1</x:v>
      </x:c>
      <x:c r="G299" s="28" t="str">
        <x:f>IF(D299="","",IF(LEFT(D299,5)="RFP-A",IF(F299=1,"PTC-B","PTC-C"),IF(LEFT(D299,5)="RFP-B",IF(F299=1,"PTC-A","PTC-C"),IF(F299=1,"PTC-A","PTC-B"))))</x:f>
      </x:c>
      <x:c r="H299" s="29" t="str"/>
      <x:c r="I299" s="29" t="str"/>
      <x:c r="J299" s="29" t="str"/>
      <x:c r="K299" s="29" t="str"/>
      <x:c r="L299" s="29" t="str"/>
      <x:c r="M299" s="28" t="str">
        <x:f>IF(AND(C299="RESERVE",D299=""),"DORMANT",IF(L299="","OPEN",IF(AND(G299&lt;&gt;"",H299&lt;&gt;"",I299=H299,J299&lt;&gt;"",K299&lt;&gt;"",J299&lt;&gt;K299),"PASS","FAIL")))</x:f>
        <x:v>OPEN</x:v>
      </x:c>
    </x:row>
    <x:row r="300">
      <x:c r="B300" s="28" t="str">
        <x:v>AT-13</x:v>
      </x:c>
      <x:c r="C300" s="28" t="str">
        <x:v>PRIMARY</x:v>
      </x:c>
      <x:c r="D300" s="28" t="str">
        <x:f>INDEX('Attempt Tokens'!$E$7:$E$36,MATCH(B300,'Attempt Tokens'!$B$7:$B$36,0))</x:f>
      </x:c>
      <x:c r="E300" s="28" t="str">
        <x:v>RP-03</x:v>
      </x:c>
      <x:c r="F300" s="28" t="n">
        <x:v>2</x:v>
      </x:c>
      <x:c r="G300" s="28" t="str">
        <x:f>IF(D300="","",IF(LEFT(D300,5)="RFP-A",IF(F300=1,"PTC-B","PTC-C"),IF(LEFT(D300,5)="RFP-B",IF(F300=1,"PTC-A","PTC-C"),IF(F300=1,"PTC-A","PTC-B"))))</x:f>
      </x:c>
      <x:c r="H300" s="29" t="str"/>
      <x:c r="I300" s="29" t="str"/>
      <x:c r="J300" s="29" t="str"/>
      <x:c r="K300" s="29" t="str"/>
      <x:c r="L300" s="29" t="str"/>
      <x:c r="M300" s="28" t="str">
        <x:f>IF(AND(C300="RESERVE",D300=""),"DORMANT",IF(L300="","OPEN",IF(AND(G300&lt;&gt;"",H300&lt;&gt;"",I300=H300,J300&lt;&gt;"",K300&lt;&gt;"",J300&lt;&gt;K300),"PASS","FAIL")))</x:f>
        <x:v>OPEN</x:v>
      </x:c>
    </x:row>
    <x:row r="301">
      <x:c r="B301" s="28" t="str">
        <x:v>AT-13</x:v>
      </x:c>
      <x:c r="C301" s="28" t="str">
        <x:v>PRIMARY</x:v>
      </x:c>
      <x:c r="D301" s="28" t="str">
        <x:f>INDEX('Attempt Tokens'!$E$7:$E$36,MATCH(B301,'Attempt Tokens'!$B$7:$B$36,0))</x:f>
      </x:c>
      <x:c r="E301" s="28" t="str">
        <x:v>RP-04</x:v>
      </x:c>
      <x:c r="F301" s="28" t="n">
        <x:v>1</x:v>
      </x:c>
      <x:c r="G301" s="28" t="str">
        <x:f>IF(D301="","",IF(LEFT(D301,5)="RFP-A",IF(F301=1,"PTC-B","PTC-C"),IF(LEFT(D301,5)="RFP-B",IF(F301=1,"PTC-A","PTC-C"),IF(F301=1,"PTC-A","PTC-B"))))</x:f>
      </x:c>
      <x:c r="H301" s="29" t="str"/>
      <x:c r="I301" s="29" t="str"/>
      <x:c r="J301" s="29" t="str"/>
      <x:c r="K301" s="29" t="str"/>
      <x:c r="L301" s="29" t="str"/>
      <x:c r="M301" s="28" t="str">
        <x:f>IF(AND(C301="RESERVE",D301=""),"DORMANT",IF(L301="","OPEN",IF(AND(G301&lt;&gt;"",H301&lt;&gt;"",I301=H301,J301&lt;&gt;"",K301&lt;&gt;"",J301&lt;&gt;K301),"PASS","FAIL")))</x:f>
        <x:v>OPEN</x:v>
      </x:c>
    </x:row>
    <x:row r="302">
      <x:c r="B302" s="28" t="str">
        <x:v>AT-13</x:v>
      </x:c>
      <x:c r="C302" s="28" t="str">
        <x:v>PRIMARY</x:v>
      </x:c>
      <x:c r="D302" s="28" t="str">
        <x:f>INDEX('Attempt Tokens'!$E$7:$E$36,MATCH(B302,'Attempt Tokens'!$B$7:$B$36,0))</x:f>
      </x:c>
      <x:c r="E302" s="28" t="str">
        <x:v>RP-04</x:v>
      </x:c>
      <x:c r="F302" s="28" t="n">
        <x:v>2</x:v>
      </x:c>
      <x:c r="G302" s="28" t="str">
        <x:f>IF(D302="","",IF(LEFT(D302,5)="RFP-A",IF(F302=1,"PTC-B","PTC-C"),IF(LEFT(D302,5)="RFP-B",IF(F302=1,"PTC-A","PTC-C"),IF(F302=1,"PTC-A","PTC-B"))))</x:f>
      </x:c>
      <x:c r="H302" s="29" t="str"/>
      <x:c r="I302" s="29" t="str"/>
      <x:c r="J302" s="29" t="str"/>
      <x:c r="K302" s="29" t="str"/>
      <x:c r="L302" s="29" t="str"/>
      <x:c r="M302" s="28" t="str">
        <x:f>IF(AND(C302="RESERVE",D302=""),"DORMANT",IF(L302="","OPEN",IF(AND(G302&lt;&gt;"",H302&lt;&gt;"",I302=H302,J302&lt;&gt;"",K302&lt;&gt;"",J302&lt;&gt;K302),"PASS","FAIL")))</x:f>
        <x:v>OPEN</x:v>
      </x:c>
    </x:row>
    <x:row r="303">
      <x:c r="B303" s="28" t="str">
        <x:v>AT-13</x:v>
      </x:c>
      <x:c r="C303" s="28" t="str">
        <x:v>PRIMARY</x:v>
      </x:c>
      <x:c r="D303" s="28" t="str">
        <x:f>INDEX('Attempt Tokens'!$E$7:$E$36,MATCH(B303,'Attempt Tokens'!$B$7:$B$36,0))</x:f>
      </x:c>
      <x:c r="E303" s="28" t="str">
        <x:v>RP-05</x:v>
      </x:c>
      <x:c r="F303" s="28" t="n">
        <x:v>1</x:v>
      </x:c>
      <x:c r="G303" s="28" t="str">
        <x:f>IF(D303="","",IF(LEFT(D303,5)="RFP-A",IF(F303=1,"PTC-B","PTC-C"),IF(LEFT(D303,5)="RFP-B",IF(F303=1,"PTC-A","PTC-C"),IF(F303=1,"PTC-A","PTC-B"))))</x:f>
      </x:c>
      <x:c r="H303" s="29" t="str"/>
      <x:c r="I303" s="29" t="str"/>
      <x:c r="J303" s="29" t="str"/>
      <x:c r="K303" s="29" t="str"/>
      <x:c r="L303" s="29" t="str"/>
      <x:c r="M303" s="28" t="str">
        <x:f>IF(AND(C303="RESERVE",D303=""),"DORMANT",IF(L303="","OPEN",IF(AND(G303&lt;&gt;"",H303&lt;&gt;"",I303=H303,J303&lt;&gt;"",K303&lt;&gt;"",J303&lt;&gt;K303),"PASS","FAIL")))</x:f>
        <x:v>OPEN</x:v>
      </x:c>
    </x:row>
    <x:row r="304">
      <x:c r="B304" s="28" t="str">
        <x:v>AT-13</x:v>
      </x:c>
      <x:c r="C304" s="28" t="str">
        <x:v>PRIMARY</x:v>
      </x:c>
      <x:c r="D304" s="28" t="str">
        <x:f>INDEX('Attempt Tokens'!$E$7:$E$36,MATCH(B304,'Attempt Tokens'!$B$7:$B$36,0))</x:f>
      </x:c>
      <x:c r="E304" s="28" t="str">
        <x:v>RP-05</x:v>
      </x:c>
      <x:c r="F304" s="28" t="n">
        <x:v>2</x:v>
      </x:c>
      <x:c r="G304" s="28" t="str">
        <x:f>IF(D304="","",IF(LEFT(D304,5)="RFP-A",IF(F304=1,"PTC-B","PTC-C"),IF(LEFT(D304,5)="RFP-B",IF(F304=1,"PTC-A","PTC-C"),IF(F304=1,"PTC-A","PTC-B"))))</x:f>
      </x:c>
      <x:c r="H304" s="29" t="str"/>
      <x:c r="I304" s="29" t="str"/>
      <x:c r="J304" s="29" t="str"/>
      <x:c r="K304" s="29" t="str"/>
      <x:c r="L304" s="29" t="str"/>
      <x:c r="M304" s="28" t="str">
        <x:f>IF(AND(C304="RESERVE",D304=""),"DORMANT",IF(L304="","OPEN",IF(AND(G304&lt;&gt;"",H304&lt;&gt;"",I304=H304,J304&lt;&gt;"",K304&lt;&gt;"",J304&lt;&gt;K304),"PASS","FAIL")))</x:f>
        <x:v>OPEN</x:v>
      </x:c>
    </x:row>
    <x:row r="305">
      <x:c r="B305" s="28" t="str">
        <x:v>AT-13</x:v>
      </x:c>
      <x:c r="C305" s="28" t="str">
        <x:v>PRIMARY</x:v>
      </x:c>
      <x:c r="D305" s="28" t="str">
        <x:f>INDEX('Attempt Tokens'!$E$7:$E$36,MATCH(B305,'Attempt Tokens'!$B$7:$B$36,0))</x:f>
      </x:c>
      <x:c r="E305" s="28" t="str">
        <x:v>RP-06</x:v>
      </x:c>
      <x:c r="F305" s="28" t="n">
        <x:v>1</x:v>
      </x:c>
      <x:c r="G305" s="28" t="str">
        <x:f>IF(D305="","",IF(LEFT(D305,5)="RFP-A",IF(F305=1,"PTC-B","PTC-C"),IF(LEFT(D305,5)="RFP-B",IF(F305=1,"PTC-A","PTC-C"),IF(F305=1,"PTC-A","PTC-B"))))</x:f>
      </x:c>
      <x:c r="H305" s="29" t="str"/>
      <x:c r="I305" s="29" t="str"/>
      <x:c r="J305" s="29" t="str"/>
      <x:c r="K305" s="29" t="str"/>
      <x:c r="L305" s="29" t="str"/>
      <x:c r="M305" s="28" t="str">
        <x:f>IF(AND(C305="RESERVE",D305=""),"DORMANT",IF(L305="","OPEN",IF(AND(G305&lt;&gt;"",H305&lt;&gt;"",I305=H305,J305&lt;&gt;"",K305&lt;&gt;"",J305&lt;&gt;K305),"PASS","FAIL")))</x:f>
        <x:v>OPEN</x:v>
      </x:c>
    </x:row>
    <x:row r="306">
      <x:c r="B306" s="28" t="str">
        <x:v>AT-13</x:v>
      </x:c>
      <x:c r="C306" s="28" t="str">
        <x:v>PRIMARY</x:v>
      </x:c>
      <x:c r="D306" s="28" t="str">
        <x:f>INDEX('Attempt Tokens'!$E$7:$E$36,MATCH(B306,'Attempt Tokens'!$B$7:$B$36,0))</x:f>
      </x:c>
      <x:c r="E306" s="28" t="str">
        <x:v>RP-06</x:v>
      </x:c>
      <x:c r="F306" s="28" t="n">
        <x:v>2</x:v>
      </x:c>
      <x:c r="G306" s="28" t="str">
        <x:f>IF(D306="","",IF(LEFT(D306,5)="RFP-A",IF(F306=1,"PTC-B","PTC-C"),IF(LEFT(D306,5)="RFP-B",IF(F306=1,"PTC-A","PTC-C"),IF(F306=1,"PTC-A","PTC-B"))))</x:f>
      </x:c>
      <x:c r="H306" s="29" t="str"/>
      <x:c r="I306" s="29" t="str"/>
      <x:c r="J306" s="29" t="str"/>
      <x:c r="K306" s="29" t="str"/>
      <x:c r="L306" s="29" t="str"/>
      <x:c r="M306" s="28" t="str">
        <x:f>IF(AND(C306="RESERVE",D306=""),"DORMANT",IF(L306="","OPEN",IF(AND(G306&lt;&gt;"",H306&lt;&gt;"",I306=H306,J306&lt;&gt;"",K306&lt;&gt;"",J306&lt;&gt;K306),"PASS","FAIL")))</x:f>
        <x:v>OPEN</x:v>
      </x:c>
    </x:row>
    <x:row r="307">
      <x:c r="B307" s="28" t="str">
        <x:v>AT-13</x:v>
      </x:c>
      <x:c r="C307" s="28" t="str">
        <x:v>PRIMARY</x:v>
      </x:c>
      <x:c r="D307" s="28" t="str">
        <x:f>INDEX('Attempt Tokens'!$E$7:$E$36,MATCH(B307,'Attempt Tokens'!$B$7:$B$36,0))</x:f>
      </x:c>
      <x:c r="E307" s="28" t="str">
        <x:v>RP-07</x:v>
      </x:c>
      <x:c r="F307" s="28" t="n">
        <x:v>1</x:v>
      </x:c>
      <x:c r="G307" s="28" t="str">
        <x:f>IF(D307="","",IF(LEFT(D307,5)="RFP-A",IF(F307=1,"PTC-B","PTC-C"),IF(LEFT(D307,5)="RFP-B",IF(F307=1,"PTC-A","PTC-C"),IF(F307=1,"PTC-A","PTC-B"))))</x:f>
      </x:c>
      <x:c r="H307" s="29" t="str"/>
      <x:c r="I307" s="29" t="str"/>
      <x:c r="J307" s="29" t="str"/>
      <x:c r="K307" s="29" t="str"/>
      <x:c r="L307" s="29" t="str"/>
      <x:c r="M307" s="28" t="str">
        <x:f>IF(AND(C307="RESERVE",D307=""),"DORMANT",IF(L307="","OPEN",IF(AND(G307&lt;&gt;"",H307&lt;&gt;"",I307=H307,J307&lt;&gt;"",K307&lt;&gt;"",J307&lt;&gt;K307),"PASS","FAIL")))</x:f>
        <x:v>OPEN</x:v>
      </x:c>
    </x:row>
    <x:row r="308">
      <x:c r="B308" s="28" t="str">
        <x:v>AT-13</x:v>
      </x:c>
      <x:c r="C308" s="28" t="str">
        <x:v>PRIMARY</x:v>
      </x:c>
      <x:c r="D308" s="28" t="str">
        <x:f>INDEX('Attempt Tokens'!$E$7:$E$36,MATCH(B308,'Attempt Tokens'!$B$7:$B$36,0))</x:f>
      </x:c>
      <x:c r="E308" s="28" t="str">
        <x:v>RP-07</x:v>
      </x:c>
      <x:c r="F308" s="28" t="n">
        <x:v>2</x:v>
      </x:c>
      <x:c r="G308" s="28" t="str">
        <x:f>IF(D308="","",IF(LEFT(D308,5)="RFP-A",IF(F308=1,"PTC-B","PTC-C"),IF(LEFT(D308,5)="RFP-B",IF(F308=1,"PTC-A","PTC-C"),IF(F308=1,"PTC-A","PTC-B"))))</x:f>
      </x:c>
      <x:c r="H308" s="29" t="str"/>
      <x:c r="I308" s="29" t="str"/>
      <x:c r="J308" s="29" t="str"/>
      <x:c r="K308" s="29" t="str"/>
      <x:c r="L308" s="29" t="str"/>
      <x:c r="M308" s="28" t="str">
        <x:f>IF(AND(C308="RESERVE",D308=""),"DORMANT",IF(L308="","OPEN",IF(AND(G308&lt;&gt;"",H308&lt;&gt;"",I308=H308,J308&lt;&gt;"",K308&lt;&gt;"",J308&lt;&gt;K308),"PASS","FAIL")))</x:f>
        <x:v>OPEN</x:v>
      </x:c>
    </x:row>
    <x:row r="309">
      <x:c r="B309" s="28" t="str">
        <x:v>AT-13</x:v>
      </x:c>
      <x:c r="C309" s="28" t="str">
        <x:v>PRIMARY</x:v>
      </x:c>
      <x:c r="D309" s="28" t="str">
        <x:f>INDEX('Attempt Tokens'!$E$7:$E$36,MATCH(B309,'Attempt Tokens'!$B$7:$B$36,0))</x:f>
      </x:c>
      <x:c r="E309" s="28" t="str">
        <x:v>RP-08</x:v>
      </x:c>
      <x:c r="F309" s="28" t="n">
        <x:v>1</x:v>
      </x:c>
      <x:c r="G309" s="28" t="str">
        <x:f>IF(D309="","",IF(LEFT(D309,5)="RFP-A",IF(F309=1,"PTC-B","PTC-C"),IF(LEFT(D309,5)="RFP-B",IF(F309=1,"PTC-A","PTC-C"),IF(F309=1,"PTC-A","PTC-B"))))</x:f>
      </x:c>
      <x:c r="H309" s="29" t="str"/>
      <x:c r="I309" s="29" t="str"/>
      <x:c r="J309" s="29" t="str"/>
      <x:c r="K309" s="29" t="str"/>
      <x:c r="L309" s="29" t="str"/>
      <x:c r="M309" s="28" t="str">
        <x:f>IF(AND(C309="RESERVE",D309=""),"DORMANT",IF(L309="","OPEN",IF(AND(G309&lt;&gt;"",H309&lt;&gt;"",I309=H309,J309&lt;&gt;"",K309&lt;&gt;"",J309&lt;&gt;K309),"PASS","FAIL")))</x:f>
        <x:v>OPEN</x:v>
      </x:c>
    </x:row>
    <x:row r="310">
      <x:c r="B310" s="28" t="str">
        <x:v>AT-13</x:v>
      </x:c>
      <x:c r="C310" s="28" t="str">
        <x:v>PRIMARY</x:v>
      </x:c>
      <x:c r="D310" s="28" t="str">
        <x:f>INDEX('Attempt Tokens'!$E$7:$E$36,MATCH(B310,'Attempt Tokens'!$B$7:$B$36,0))</x:f>
      </x:c>
      <x:c r="E310" s="28" t="str">
        <x:v>RP-08</x:v>
      </x:c>
      <x:c r="F310" s="28" t="n">
        <x:v>2</x:v>
      </x:c>
      <x:c r="G310" s="28" t="str">
        <x:f>IF(D310="","",IF(LEFT(D310,5)="RFP-A",IF(F310=1,"PTC-B","PTC-C"),IF(LEFT(D310,5)="RFP-B",IF(F310=1,"PTC-A","PTC-C"),IF(F310=1,"PTC-A","PTC-B"))))</x:f>
      </x:c>
      <x:c r="H310" s="29" t="str"/>
      <x:c r="I310" s="29" t="str"/>
      <x:c r="J310" s="29" t="str"/>
      <x:c r="K310" s="29" t="str"/>
      <x:c r="L310" s="29" t="str"/>
      <x:c r="M310" s="28" t="str">
        <x:f>IF(AND(C310="RESERVE",D310=""),"DORMANT",IF(L310="","OPEN",IF(AND(G310&lt;&gt;"",H310&lt;&gt;"",I310=H310,J310&lt;&gt;"",K310&lt;&gt;"",J310&lt;&gt;K310),"PASS","FAIL")))</x:f>
        <x:v>OPEN</x:v>
      </x:c>
    </x:row>
    <x:row r="311">
      <x:c r="B311" s="28" t="str">
        <x:v>AT-13</x:v>
      </x:c>
      <x:c r="C311" s="28" t="str">
        <x:v>PRIMARY</x:v>
      </x:c>
      <x:c r="D311" s="28" t="str">
        <x:f>INDEX('Attempt Tokens'!$E$7:$E$36,MATCH(B311,'Attempt Tokens'!$B$7:$B$36,0))</x:f>
      </x:c>
      <x:c r="E311" s="28" t="str">
        <x:v>RP-09</x:v>
      </x:c>
      <x:c r="F311" s="28" t="n">
        <x:v>1</x:v>
      </x:c>
      <x:c r="G311" s="28" t="str">
        <x:f>IF(D311="","",IF(LEFT(D311,5)="RFP-A",IF(F311=1,"PTC-B","PTC-C"),IF(LEFT(D311,5)="RFP-B",IF(F311=1,"PTC-A","PTC-C"),IF(F311=1,"PTC-A","PTC-B"))))</x:f>
      </x:c>
      <x:c r="H311" s="29" t="str"/>
      <x:c r="I311" s="29" t="str"/>
      <x:c r="J311" s="29" t="str"/>
      <x:c r="K311" s="29" t="str"/>
      <x:c r="L311" s="29" t="str"/>
      <x:c r="M311" s="28" t="str">
        <x:f>IF(AND(C311="RESERVE",D311=""),"DORMANT",IF(L311="","OPEN",IF(AND(G311&lt;&gt;"",H311&lt;&gt;"",I311=H311,J311&lt;&gt;"",K311&lt;&gt;"",J311&lt;&gt;K311),"PASS","FAIL")))</x:f>
        <x:v>OPEN</x:v>
      </x:c>
    </x:row>
    <x:row r="312">
      <x:c r="B312" s="28" t="str">
        <x:v>AT-13</x:v>
      </x:c>
      <x:c r="C312" s="28" t="str">
        <x:v>PRIMARY</x:v>
      </x:c>
      <x:c r="D312" s="28" t="str">
        <x:f>INDEX('Attempt Tokens'!$E$7:$E$36,MATCH(B312,'Attempt Tokens'!$B$7:$B$36,0))</x:f>
      </x:c>
      <x:c r="E312" s="28" t="str">
        <x:v>RP-09</x:v>
      </x:c>
      <x:c r="F312" s="28" t="n">
        <x:v>2</x:v>
      </x:c>
      <x:c r="G312" s="28" t="str">
        <x:f>IF(D312="","",IF(LEFT(D312,5)="RFP-A",IF(F312=1,"PTC-B","PTC-C"),IF(LEFT(D312,5)="RFP-B",IF(F312=1,"PTC-A","PTC-C"),IF(F312=1,"PTC-A","PTC-B"))))</x:f>
      </x:c>
      <x:c r="H312" s="29" t="str"/>
      <x:c r="I312" s="29" t="str"/>
      <x:c r="J312" s="29" t="str"/>
      <x:c r="K312" s="29" t="str"/>
      <x:c r="L312" s="29" t="str"/>
      <x:c r="M312" s="28" t="str">
        <x:f>IF(AND(C312="RESERVE",D312=""),"DORMANT",IF(L312="","OPEN",IF(AND(G312&lt;&gt;"",H312&lt;&gt;"",I312=H312,J312&lt;&gt;"",K312&lt;&gt;"",J312&lt;&gt;K312),"PASS","FAIL")))</x:f>
        <x:v>OPEN</x:v>
      </x:c>
    </x:row>
    <x:row r="313">
      <x:c r="B313" s="28" t="str">
        <x:v>AT-13</x:v>
      </x:c>
      <x:c r="C313" s="28" t="str">
        <x:v>PRIMARY</x:v>
      </x:c>
      <x:c r="D313" s="28" t="str">
        <x:f>INDEX('Attempt Tokens'!$E$7:$E$36,MATCH(B313,'Attempt Tokens'!$B$7:$B$36,0))</x:f>
      </x:c>
      <x:c r="E313" s="28" t="str">
        <x:v>RP-10</x:v>
      </x:c>
      <x:c r="F313" s="28" t="n">
        <x:v>1</x:v>
      </x:c>
      <x:c r="G313" s="28" t="str">
        <x:f>IF(D313="","",IF(LEFT(D313,5)="RFP-A",IF(F313=1,"PTC-B","PTC-C"),IF(LEFT(D313,5)="RFP-B",IF(F313=1,"PTC-A","PTC-C"),IF(F313=1,"PTC-A","PTC-B"))))</x:f>
      </x:c>
      <x:c r="H313" s="29" t="str"/>
      <x:c r="I313" s="29" t="str"/>
      <x:c r="J313" s="29" t="str"/>
      <x:c r="K313" s="29" t="str"/>
      <x:c r="L313" s="29" t="str"/>
      <x:c r="M313" s="28" t="str">
        <x:f>IF(AND(C313="RESERVE",D313=""),"DORMANT",IF(L313="","OPEN",IF(AND(G313&lt;&gt;"",H313&lt;&gt;"",I313=H313,J313&lt;&gt;"",K313&lt;&gt;"",J313&lt;&gt;K313),"PASS","FAIL")))</x:f>
        <x:v>OPEN</x:v>
      </x:c>
    </x:row>
    <x:row r="314">
      <x:c r="B314" s="28" t="str">
        <x:v>AT-13</x:v>
      </x:c>
      <x:c r="C314" s="28" t="str">
        <x:v>PRIMARY</x:v>
      </x:c>
      <x:c r="D314" s="28" t="str">
        <x:f>INDEX('Attempt Tokens'!$E$7:$E$36,MATCH(B314,'Attempt Tokens'!$B$7:$B$36,0))</x:f>
      </x:c>
      <x:c r="E314" s="28" t="str">
        <x:v>RP-10</x:v>
      </x:c>
      <x:c r="F314" s="28" t="n">
        <x:v>2</x:v>
      </x:c>
      <x:c r="G314" s="28" t="str">
        <x:f>IF(D314="","",IF(LEFT(D314,5)="RFP-A",IF(F314=1,"PTC-B","PTC-C"),IF(LEFT(D314,5)="RFP-B",IF(F314=1,"PTC-A","PTC-C"),IF(F314=1,"PTC-A","PTC-B"))))</x:f>
      </x:c>
      <x:c r="H314" s="29" t="str"/>
      <x:c r="I314" s="29" t="str"/>
      <x:c r="J314" s="29" t="str"/>
      <x:c r="K314" s="29" t="str"/>
      <x:c r="L314" s="29" t="str"/>
      <x:c r="M314" s="28" t="str">
        <x:f>IF(AND(C314="RESERVE",D314=""),"DORMANT",IF(L314="","OPEN",IF(AND(G314&lt;&gt;"",H314&lt;&gt;"",I314=H314,J314&lt;&gt;"",K314&lt;&gt;"",J314&lt;&gt;K314),"PASS","FAIL")))</x:f>
        <x:v>OPEN</x:v>
      </x:c>
    </x:row>
    <x:row r="315">
      <x:c r="B315" s="28" t="str">
        <x:v>AT-13</x:v>
      </x:c>
      <x:c r="C315" s="28" t="str">
        <x:v>PRIMARY</x:v>
      </x:c>
      <x:c r="D315" s="28" t="str">
        <x:f>INDEX('Attempt Tokens'!$E$7:$E$36,MATCH(B315,'Attempt Tokens'!$B$7:$B$36,0))</x:f>
      </x:c>
      <x:c r="E315" s="28" t="str">
        <x:v>RP-11</x:v>
      </x:c>
      <x:c r="F315" s="28" t="n">
        <x:v>1</x:v>
      </x:c>
      <x:c r="G315" s="28" t="str">
        <x:f>IF(D315="","",IF(LEFT(D315,5)="RFP-A",IF(F315=1,"PTC-B","PTC-C"),IF(LEFT(D315,5)="RFP-B",IF(F315=1,"PTC-A","PTC-C"),IF(F315=1,"PTC-A","PTC-B"))))</x:f>
      </x:c>
      <x:c r="H315" s="29" t="str"/>
      <x:c r="I315" s="29" t="str"/>
      <x:c r="J315" s="29" t="str"/>
      <x:c r="K315" s="29" t="str"/>
      <x:c r="L315" s="29" t="str"/>
      <x:c r="M315" s="28" t="str">
        <x:f>IF(AND(C315="RESERVE",D315=""),"DORMANT",IF(L315="","OPEN",IF(AND(G315&lt;&gt;"",H315&lt;&gt;"",I315=H315,J315&lt;&gt;"",K315&lt;&gt;"",J315&lt;&gt;K315),"PASS","FAIL")))</x:f>
        <x:v>OPEN</x:v>
      </x:c>
    </x:row>
    <x:row r="316">
      <x:c r="B316" s="28" t="str">
        <x:v>AT-13</x:v>
      </x:c>
      <x:c r="C316" s="28" t="str">
        <x:v>PRIMARY</x:v>
      </x:c>
      <x:c r="D316" s="28" t="str">
        <x:f>INDEX('Attempt Tokens'!$E$7:$E$36,MATCH(B316,'Attempt Tokens'!$B$7:$B$36,0))</x:f>
      </x:c>
      <x:c r="E316" s="28" t="str">
        <x:v>RP-11</x:v>
      </x:c>
      <x:c r="F316" s="28" t="n">
        <x:v>2</x:v>
      </x:c>
      <x:c r="G316" s="28" t="str">
        <x:f>IF(D316="","",IF(LEFT(D316,5)="RFP-A",IF(F316=1,"PTC-B","PTC-C"),IF(LEFT(D316,5)="RFP-B",IF(F316=1,"PTC-A","PTC-C"),IF(F316=1,"PTC-A","PTC-B"))))</x:f>
      </x:c>
      <x:c r="H316" s="29" t="str"/>
      <x:c r="I316" s="29" t="str"/>
      <x:c r="J316" s="29" t="str"/>
      <x:c r="K316" s="29" t="str"/>
      <x:c r="L316" s="29" t="str"/>
      <x:c r="M316" s="28" t="str">
        <x:f>IF(AND(C316="RESERVE",D316=""),"DORMANT",IF(L316="","OPEN",IF(AND(G316&lt;&gt;"",H316&lt;&gt;"",I316=H316,J316&lt;&gt;"",K316&lt;&gt;"",J316&lt;&gt;K316),"PASS","FAIL")))</x:f>
        <x:v>OPEN</x:v>
      </x:c>
    </x:row>
    <x:row r="317">
      <x:c r="B317" s="28" t="str">
        <x:v>AT-13</x:v>
      </x:c>
      <x:c r="C317" s="28" t="str">
        <x:v>PRIMARY</x:v>
      </x:c>
      <x:c r="D317" s="28" t="str">
        <x:f>INDEX('Attempt Tokens'!$E$7:$E$36,MATCH(B317,'Attempt Tokens'!$B$7:$B$36,0))</x:f>
      </x:c>
      <x:c r="E317" s="28" t="str">
        <x:v>RP-12</x:v>
      </x:c>
      <x:c r="F317" s="28" t="n">
        <x:v>1</x:v>
      </x:c>
      <x:c r="G317" s="28" t="str">
        <x:f>IF(D317="","",IF(LEFT(D317,5)="RFP-A",IF(F317=1,"PTC-B","PTC-C"),IF(LEFT(D317,5)="RFP-B",IF(F317=1,"PTC-A","PTC-C"),IF(F317=1,"PTC-A","PTC-B"))))</x:f>
      </x:c>
      <x:c r="H317" s="29" t="str"/>
      <x:c r="I317" s="29" t="str"/>
      <x:c r="J317" s="29" t="str"/>
      <x:c r="K317" s="29" t="str"/>
      <x:c r="L317" s="29" t="str"/>
      <x:c r="M317" s="28" t="str">
        <x:f>IF(AND(C317="RESERVE",D317=""),"DORMANT",IF(L317="","OPEN",IF(AND(G317&lt;&gt;"",H317&lt;&gt;"",I317=H317,J317&lt;&gt;"",K317&lt;&gt;"",J317&lt;&gt;K317),"PASS","FAIL")))</x:f>
        <x:v>OPEN</x:v>
      </x:c>
    </x:row>
    <x:row r="318">
      <x:c r="B318" s="28" t="str">
        <x:v>AT-13</x:v>
      </x:c>
      <x:c r="C318" s="28" t="str">
        <x:v>PRIMARY</x:v>
      </x:c>
      <x:c r="D318" s="28" t="str">
        <x:f>INDEX('Attempt Tokens'!$E$7:$E$36,MATCH(B318,'Attempt Tokens'!$B$7:$B$36,0))</x:f>
      </x:c>
      <x:c r="E318" s="28" t="str">
        <x:v>RP-12</x:v>
      </x:c>
      <x:c r="F318" s="28" t="n">
        <x:v>2</x:v>
      </x:c>
      <x:c r="G318" s="28" t="str">
        <x:f>IF(D318="","",IF(LEFT(D318,5)="RFP-A",IF(F318=1,"PTC-B","PTC-C"),IF(LEFT(D318,5)="RFP-B",IF(F318=1,"PTC-A","PTC-C"),IF(F318=1,"PTC-A","PTC-B"))))</x:f>
      </x:c>
      <x:c r="H318" s="29" t="str"/>
      <x:c r="I318" s="29" t="str"/>
      <x:c r="J318" s="29" t="str"/>
      <x:c r="K318" s="29" t="str"/>
      <x:c r="L318" s="29" t="str"/>
      <x:c r="M318" s="28" t="str">
        <x:f>IF(AND(C318="RESERVE",D318=""),"DORMANT",IF(L318="","OPEN",IF(AND(G318&lt;&gt;"",H318&lt;&gt;"",I318=H318,J318&lt;&gt;"",K318&lt;&gt;"",J318&lt;&gt;K318),"PASS","FAIL")))</x:f>
        <x:v>OPEN</x:v>
      </x:c>
    </x:row>
    <x:row r="319">
      <x:c r="B319" s="28" t="str">
        <x:v>AT-14</x:v>
      </x:c>
      <x:c r="C319" s="28" t="str">
        <x:v>PRIMARY</x:v>
      </x:c>
      <x:c r="D319" s="28" t="str">
        <x:f>INDEX('Attempt Tokens'!$E$7:$E$36,MATCH(B319,'Attempt Tokens'!$B$7:$B$36,0))</x:f>
      </x:c>
      <x:c r="E319" s="28" t="str">
        <x:v>RP-01</x:v>
      </x:c>
      <x:c r="F319" s="28" t="n">
        <x:v>1</x:v>
      </x:c>
      <x:c r="G319" s="28" t="str">
        <x:f>IF(D319="","",IF(LEFT(D319,5)="RFP-A",IF(F319=1,"PTC-B","PTC-C"),IF(LEFT(D319,5)="RFP-B",IF(F319=1,"PTC-A","PTC-C"),IF(F319=1,"PTC-A","PTC-B"))))</x:f>
      </x:c>
      <x:c r="H319" s="29" t="str"/>
      <x:c r="I319" s="29" t="str"/>
      <x:c r="J319" s="29" t="str"/>
      <x:c r="K319" s="29" t="str"/>
      <x:c r="L319" s="29" t="str"/>
      <x:c r="M319" s="28" t="str">
        <x:f>IF(AND(C319="RESERVE",D319=""),"DORMANT",IF(L319="","OPEN",IF(AND(G319&lt;&gt;"",H319&lt;&gt;"",I319=H319,J319&lt;&gt;"",K319&lt;&gt;"",J319&lt;&gt;K319),"PASS","FAIL")))</x:f>
        <x:v>OPEN</x:v>
      </x:c>
    </x:row>
    <x:row r="320">
      <x:c r="B320" s="28" t="str">
        <x:v>AT-14</x:v>
      </x:c>
      <x:c r="C320" s="28" t="str">
        <x:v>PRIMARY</x:v>
      </x:c>
      <x:c r="D320" s="28" t="str">
        <x:f>INDEX('Attempt Tokens'!$E$7:$E$36,MATCH(B320,'Attempt Tokens'!$B$7:$B$36,0))</x:f>
      </x:c>
      <x:c r="E320" s="28" t="str">
        <x:v>RP-01</x:v>
      </x:c>
      <x:c r="F320" s="28" t="n">
        <x:v>2</x:v>
      </x:c>
      <x:c r="G320" s="28" t="str">
        <x:f>IF(D320="","",IF(LEFT(D320,5)="RFP-A",IF(F320=1,"PTC-B","PTC-C"),IF(LEFT(D320,5)="RFP-B",IF(F320=1,"PTC-A","PTC-C"),IF(F320=1,"PTC-A","PTC-B"))))</x:f>
      </x:c>
      <x:c r="H320" s="29" t="str"/>
      <x:c r="I320" s="29" t="str"/>
      <x:c r="J320" s="29" t="str"/>
      <x:c r="K320" s="29" t="str"/>
      <x:c r="L320" s="29" t="str"/>
      <x:c r="M320" s="28" t="str">
        <x:f>IF(AND(C320="RESERVE",D320=""),"DORMANT",IF(L320="","OPEN",IF(AND(G320&lt;&gt;"",H320&lt;&gt;"",I320=H320,J320&lt;&gt;"",K320&lt;&gt;"",J320&lt;&gt;K320),"PASS","FAIL")))</x:f>
        <x:v>OPEN</x:v>
      </x:c>
    </x:row>
    <x:row r="321">
      <x:c r="B321" s="28" t="str">
        <x:v>AT-14</x:v>
      </x:c>
      <x:c r="C321" s="28" t="str">
        <x:v>PRIMARY</x:v>
      </x:c>
      <x:c r="D321" s="28" t="str">
        <x:f>INDEX('Attempt Tokens'!$E$7:$E$36,MATCH(B321,'Attempt Tokens'!$B$7:$B$36,0))</x:f>
      </x:c>
      <x:c r="E321" s="28" t="str">
        <x:v>RP-02</x:v>
      </x:c>
      <x:c r="F321" s="28" t="n">
        <x:v>1</x:v>
      </x:c>
      <x:c r="G321" s="28" t="str">
        <x:f>IF(D321="","",IF(LEFT(D321,5)="RFP-A",IF(F321=1,"PTC-B","PTC-C"),IF(LEFT(D321,5)="RFP-B",IF(F321=1,"PTC-A","PTC-C"),IF(F321=1,"PTC-A","PTC-B"))))</x:f>
      </x:c>
      <x:c r="H321" s="29" t="str"/>
      <x:c r="I321" s="29" t="str"/>
      <x:c r="J321" s="29" t="str"/>
      <x:c r="K321" s="29" t="str"/>
      <x:c r="L321" s="29" t="str"/>
      <x:c r="M321" s="28" t="str">
        <x:f>IF(AND(C321="RESERVE",D321=""),"DORMANT",IF(L321="","OPEN",IF(AND(G321&lt;&gt;"",H321&lt;&gt;"",I321=H321,J321&lt;&gt;"",K321&lt;&gt;"",J321&lt;&gt;K321),"PASS","FAIL")))</x:f>
        <x:v>OPEN</x:v>
      </x:c>
    </x:row>
    <x:row r="322">
      <x:c r="B322" s="28" t="str">
        <x:v>AT-14</x:v>
      </x:c>
      <x:c r="C322" s="28" t="str">
        <x:v>PRIMARY</x:v>
      </x:c>
      <x:c r="D322" s="28" t="str">
        <x:f>INDEX('Attempt Tokens'!$E$7:$E$36,MATCH(B322,'Attempt Tokens'!$B$7:$B$36,0))</x:f>
      </x:c>
      <x:c r="E322" s="28" t="str">
        <x:v>RP-02</x:v>
      </x:c>
      <x:c r="F322" s="28" t="n">
        <x:v>2</x:v>
      </x:c>
      <x:c r="G322" s="28" t="str">
        <x:f>IF(D322="","",IF(LEFT(D322,5)="RFP-A",IF(F322=1,"PTC-B","PTC-C"),IF(LEFT(D322,5)="RFP-B",IF(F322=1,"PTC-A","PTC-C"),IF(F322=1,"PTC-A","PTC-B"))))</x:f>
      </x:c>
      <x:c r="H322" s="29" t="str"/>
      <x:c r="I322" s="29" t="str"/>
      <x:c r="J322" s="29" t="str"/>
      <x:c r="K322" s="29" t="str"/>
      <x:c r="L322" s="29" t="str"/>
      <x:c r="M322" s="28" t="str">
        <x:f>IF(AND(C322="RESERVE",D322=""),"DORMANT",IF(L322="","OPEN",IF(AND(G322&lt;&gt;"",H322&lt;&gt;"",I322=H322,J322&lt;&gt;"",K322&lt;&gt;"",J322&lt;&gt;K322),"PASS","FAIL")))</x:f>
        <x:v>OPEN</x:v>
      </x:c>
    </x:row>
    <x:row r="323">
      <x:c r="B323" s="28" t="str">
        <x:v>AT-14</x:v>
      </x:c>
      <x:c r="C323" s="28" t="str">
        <x:v>PRIMARY</x:v>
      </x:c>
      <x:c r="D323" s="28" t="str">
        <x:f>INDEX('Attempt Tokens'!$E$7:$E$36,MATCH(B323,'Attempt Tokens'!$B$7:$B$36,0))</x:f>
      </x:c>
      <x:c r="E323" s="28" t="str">
        <x:v>RP-03</x:v>
      </x:c>
      <x:c r="F323" s="28" t="n">
        <x:v>1</x:v>
      </x:c>
      <x:c r="G323" s="28" t="str">
        <x:f>IF(D323="","",IF(LEFT(D323,5)="RFP-A",IF(F323=1,"PTC-B","PTC-C"),IF(LEFT(D323,5)="RFP-B",IF(F323=1,"PTC-A","PTC-C"),IF(F323=1,"PTC-A","PTC-B"))))</x:f>
      </x:c>
      <x:c r="H323" s="29" t="str"/>
      <x:c r="I323" s="29" t="str"/>
      <x:c r="J323" s="29" t="str"/>
      <x:c r="K323" s="29" t="str"/>
      <x:c r="L323" s="29" t="str"/>
      <x:c r="M323" s="28" t="str">
        <x:f>IF(AND(C323="RESERVE",D323=""),"DORMANT",IF(L323="","OPEN",IF(AND(G323&lt;&gt;"",H323&lt;&gt;"",I323=H323,J323&lt;&gt;"",K323&lt;&gt;"",J323&lt;&gt;K323),"PASS","FAIL")))</x:f>
        <x:v>OPEN</x:v>
      </x:c>
    </x:row>
    <x:row r="324">
      <x:c r="B324" s="28" t="str">
        <x:v>AT-14</x:v>
      </x:c>
      <x:c r="C324" s="28" t="str">
        <x:v>PRIMARY</x:v>
      </x:c>
      <x:c r="D324" s="28" t="str">
        <x:f>INDEX('Attempt Tokens'!$E$7:$E$36,MATCH(B324,'Attempt Tokens'!$B$7:$B$36,0))</x:f>
      </x:c>
      <x:c r="E324" s="28" t="str">
        <x:v>RP-03</x:v>
      </x:c>
      <x:c r="F324" s="28" t="n">
        <x:v>2</x:v>
      </x:c>
      <x:c r="G324" s="28" t="str">
        <x:f>IF(D324="","",IF(LEFT(D324,5)="RFP-A",IF(F324=1,"PTC-B","PTC-C"),IF(LEFT(D324,5)="RFP-B",IF(F324=1,"PTC-A","PTC-C"),IF(F324=1,"PTC-A","PTC-B"))))</x:f>
      </x:c>
      <x:c r="H324" s="29" t="str"/>
      <x:c r="I324" s="29" t="str"/>
      <x:c r="J324" s="29" t="str"/>
      <x:c r="K324" s="29" t="str"/>
      <x:c r="L324" s="29" t="str"/>
      <x:c r="M324" s="28" t="str">
        <x:f>IF(AND(C324="RESERVE",D324=""),"DORMANT",IF(L324="","OPEN",IF(AND(G324&lt;&gt;"",H324&lt;&gt;"",I324=H324,J324&lt;&gt;"",K324&lt;&gt;"",J324&lt;&gt;K324),"PASS","FAIL")))</x:f>
        <x:v>OPEN</x:v>
      </x:c>
    </x:row>
    <x:row r="325">
      <x:c r="B325" s="28" t="str">
        <x:v>AT-14</x:v>
      </x:c>
      <x:c r="C325" s="28" t="str">
        <x:v>PRIMARY</x:v>
      </x:c>
      <x:c r="D325" s="28" t="str">
        <x:f>INDEX('Attempt Tokens'!$E$7:$E$36,MATCH(B325,'Attempt Tokens'!$B$7:$B$36,0))</x:f>
      </x:c>
      <x:c r="E325" s="28" t="str">
        <x:v>RP-04</x:v>
      </x:c>
      <x:c r="F325" s="28" t="n">
        <x:v>1</x:v>
      </x:c>
      <x:c r="G325" s="28" t="str">
        <x:f>IF(D325="","",IF(LEFT(D325,5)="RFP-A",IF(F325=1,"PTC-B","PTC-C"),IF(LEFT(D325,5)="RFP-B",IF(F325=1,"PTC-A","PTC-C"),IF(F325=1,"PTC-A","PTC-B"))))</x:f>
      </x:c>
      <x:c r="H325" s="29" t="str"/>
      <x:c r="I325" s="29" t="str"/>
      <x:c r="J325" s="29" t="str"/>
      <x:c r="K325" s="29" t="str"/>
      <x:c r="L325" s="29" t="str"/>
      <x:c r="M325" s="28" t="str">
        <x:f>IF(AND(C325="RESERVE",D325=""),"DORMANT",IF(L325="","OPEN",IF(AND(G325&lt;&gt;"",H325&lt;&gt;"",I325=H325,J325&lt;&gt;"",K325&lt;&gt;"",J325&lt;&gt;K325),"PASS","FAIL")))</x:f>
        <x:v>OPEN</x:v>
      </x:c>
    </x:row>
    <x:row r="326">
      <x:c r="B326" s="28" t="str">
        <x:v>AT-14</x:v>
      </x:c>
      <x:c r="C326" s="28" t="str">
        <x:v>PRIMARY</x:v>
      </x:c>
      <x:c r="D326" s="28" t="str">
        <x:f>INDEX('Attempt Tokens'!$E$7:$E$36,MATCH(B326,'Attempt Tokens'!$B$7:$B$36,0))</x:f>
      </x:c>
      <x:c r="E326" s="28" t="str">
        <x:v>RP-04</x:v>
      </x:c>
      <x:c r="F326" s="28" t="n">
        <x:v>2</x:v>
      </x:c>
      <x:c r="G326" s="28" t="str">
        <x:f>IF(D326="","",IF(LEFT(D326,5)="RFP-A",IF(F326=1,"PTC-B","PTC-C"),IF(LEFT(D326,5)="RFP-B",IF(F326=1,"PTC-A","PTC-C"),IF(F326=1,"PTC-A","PTC-B"))))</x:f>
      </x:c>
      <x:c r="H326" s="29" t="str"/>
      <x:c r="I326" s="29" t="str"/>
      <x:c r="J326" s="29" t="str"/>
      <x:c r="K326" s="29" t="str"/>
      <x:c r="L326" s="29" t="str"/>
      <x:c r="M326" s="28" t="str">
        <x:f>IF(AND(C326="RESERVE",D326=""),"DORMANT",IF(L326="","OPEN",IF(AND(G326&lt;&gt;"",H326&lt;&gt;"",I326=H326,J326&lt;&gt;"",K326&lt;&gt;"",J326&lt;&gt;K326),"PASS","FAIL")))</x:f>
        <x:v>OPEN</x:v>
      </x:c>
    </x:row>
    <x:row r="327">
      <x:c r="B327" s="28" t="str">
        <x:v>AT-14</x:v>
      </x:c>
      <x:c r="C327" s="28" t="str">
        <x:v>PRIMARY</x:v>
      </x:c>
      <x:c r="D327" s="28" t="str">
        <x:f>INDEX('Attempt Tokens'!$E$7:$E$36,MATCH(B327,'Attempt Tokens'!$B$7:$B$36,0))</x:f>
      </x:c>
      <x:c r="E327" s="28" t="str">
        <x:v>RP-05</x:v>
      </x:c>
      <x:c r="F327" s="28" t="n">
        <x:v>1</x:v>
      </x:c>
      <x:c r="G327" s="28" t="str">
        <x:f>IF(D327="","",IF(LEFT(D327,5)="RFP-A",IF(F327=1,"PTC-B","PTC-C"),IF(LEFT(D327,5)="RFP-B",IF(F327=1,"PTC-A","PTC-C"),IF(F327=1,"PTC-A","PTC-B"))))</x:f>
      </x:c>
      <x:c r="H327" s="29" t="str"/>
      <x:c r="I327" s="29" t="str"/>
      <x:c r="J327" s="29" t="str"/>
      <x:c r="K327" s="29" t="str"/>
      <x:c r="L327" s="29" t="str"/>
      <x:c r="M327" s="28" t="str">
        <x:f>IF(AND(C327="RESERVE",D327=""),"DORMANT",IF(L327="","OPEN",IF(AND(G327&lt;&gt;"",H327&lt;&gt;"",I327=H327,J327&lt;&gt;"",K327&lt;&gt;"",J327&lt;&gt;K327),"PASS","FAIL")))</x:f>
        <x:v>OPEN</x:v>
      </x:c>
    </x:row>
    <x:row r="328">
      <x:c r="B328" s="28" t="str">
        <x:v>AT-14</x:v>
      </x:c>
      <x:c r="C328" s="28" t="str">
        <x:v>PRIMARY</x:v>
      </x:c>
      <x:c r="D328" s="28" t="str">
        <x:f>INDEX('Attempt Tokens'!$E$7:$E$36,MATCH(B328,'Attempt Tokens'!$B$7:$B$36,0))</x:f>
      </x:c>
      <x:c r="E328" s="28" t="str">
        <x:v>RP-05</x:v>
      </x:c>
      <x:c r="F328" s="28" t="n">
        <x:v>2</x:v>
      </x:c>
      <x:c r="G328" s="28" t="str">
        <x:f>IF(D328="","",IF(LEFT(D328,5)="RFP-A",IF(F328=1,"PTC-B","PTC-C"),IF(LEFT(D328,5)="RFP-B",IF(F328=1,"PTC-A","PTC-C"),IF(F328=1,"PTC-A","PTC-B"))))</x:f>
      </x:c>
      <x:c r="H328" s="29" t="str"/>
      <x:c r="I328" s="29" t="str"/>
      <x:c r="J328" s="29" t="str"/>
      <x:c r="K328" s="29" t="str"/>
      <x:c r="L328" s="29" t="str"/>
      <x:c r="M328" s="28" t="str">
        <x:f>IF(AND(C328="RESERVE",D328=""),"DORMANT",IF(L328="","OPEN",IF(AND(G328&lt;&gt;"",H328&lt;&gt;"",I328=H328,J328&lt;&gt;"",K328&lt;&gt;"",J328&lt;&gt;K328),"PASS","FAIL")))</x:f>
        <x:v>OPEN</x:v>
      </x:c>
    </x:row>
    <x:row r="329">
      <x:c r="B329" s="28" t="str">
        <x:v>AT-14</x:v>
      </x:c>
      <x:c r="C329" s="28" t="str">
        <x:v>PRIMARY</x:v>
      </x:c>
      <x:c r="D329" s="28" t="str">
        <x:f>INDEX('Attempt Tokens'!$E$7:$E$36,MATCH(B329,'Attempt Tokens'!$B$7:$B$36,0))</x:f>
      </x:c>
      <x:c r="E329" s="28" t="str">
        <x:v>RP-06</x:v>
      </x:c>
      <x:c r="F329" s="28" t="n">
        <x:v>1</x:v>
      </x:c>
      <x:c r="G329" s="28" t="str">
        <x:f>IF(D329="","",IF(LEFT(D329,5)="RFP-A",IF(F329=1,"PTC-B","PTC-C"),IF(LEFT(D329,5)="RFP-B",IF(F329=1,"PTC-A","PTC-C"),IF(F329=1,"PTC-A","PTC-B"))))</x:f>
      </x:c>
      <x:c r="H329" s="29" t="str"/>
      <x:c r="I329" s="29" t="str"/>
      <x:c r="J329" s="29" t="str"/>
      <x:c r="K329" s="29" t="str"/>
      <x:c r="L329" s="29" t="str"/>
      <x:c r="M329" s="28" t="str">
        <x:f>IF(AND(C329="RESERVE",D329=""),"DORMANT",IF(L329="","OPEN",IF(AND(G329&lt;&gt;"",H329&lt;&gt;"",I329=H329,J329&lt;&gt;"",K329&lt;&gt;"",J329&lt;&gt;K329),"PASS","FAIL")))</x:f>
        <x:v>OPEN</x:v>
      </x:c>
    </x:row>
    <x:row r="330">
      <x:c r="B330" s="28" t="str">
        <x:v>AT-14</x:v>
      </x:c>
      <x:c r="C330" s="28" t="str">
        <x:v>PRIMARY</x:v>
      </x:c>
      <x:c r="D330" s="28" t="str">
        <x:f>INDEX('Attempt Tokens'!$E$7:$E$36,MATCH(B330,'Attempt Tokens'!$B$7:$B$36,0))</x:f>
      </x:c>
      <x:c r="E330" s="28" t="str">
        <x:v>RP-06</x:v>
      </x:c>
      <x:c r="F330" s="28" t="n">
        <x:v>2</x:v>
      </x:c>
      <x:c r="G330" s="28" t="str">
        <x:f>IF(D330="","",IF(LEFT(D330,5)="RFP-A",IF(F330=1,"PTC-B","PTC-C"),IF(LEFT(D330,5)="RFP-B",IF(F330=1,"PTC-A","PTC-C"),IF(F330=1,"PTC-A","PTC-B"))))</x:f>
      </x:c>
      <x:c r="H330" s="29" t="str"/>
      <x:c r="I330" s="29" t="str"/>
      <x:c r="J330" s="29" t="str"/>
      <x:c r="K330" s="29" t="str"/>
      <x:c r="L330" s="29" t="str"/>
      <x:c r="M330" s="28" t="str">
        <x:f>IF(AND(C330="RESERVE",D330=""),"DORMANT",IF(L330="","OPEN",IF(AND(G330&lt;&gt;"",H330&lt;&gt;"",I330=H330,J330&lt;&gt;"",K330&lt;&gt;"",J330&lt;&gt;K330),"PASS","FAIL")))</x:f>
        <x:v>OPEN</x:v>
      </x:c>
    </x:row>
    <x:row r="331">
      <x:c r="B331" s="28" t="str">
        <x:v>AT-14</x:v>
      </x:c>
      <x:c r="C331" s="28" t="str">
        <x:v>PRIMARY</x:v>
      </x:c>
      <x:c r="D331" s="28" t="str">
        <x:f>INDEX('Attempt Tokens'!$E$7:$E$36,MATCH(B331,'Attempt Tokens'!$B$7:$B$36,0))</x:f>
      </x:c>
      <x:c r="E331" s="28" t="str">
        <x:v>RP-07</x:v>
      </x:c>
      <x:c r="F331" s="28" t="n">
        <x:v>1</x:v>
      </x:c>
      <x:c r="G331" s="28" t="str">
        <x:f>IF(D331="","",IF(LEFT(D331,5)="RFP-A",IF(F331=1,"PTC-B","PTC-C"),IF(LEFT(D331,5)="RFP-B",IF(F331=1,"PTC-A","PTC-C"),IF(F331=1,"PTC-A","PTC-B"))))</x:f>
      </x:c>
      <x:c r="H331" s="29" t="str"/>
      <x:c r="I331" s="29" t="str"/>
      <x:c r="J331" s="29" t="str"/>
      <x:c r="K331" s="29" t="str"/>
      <x:c r="L331" s="29" t="str"/>
      <x:c r="M331" s="28" t="str">
        <x:f>IF(AND(C331="RESERVE",D331=""),"DORMANT",IF(L331="","OPEN",IF(AND(G331&lt;&gt;"",H331&lt;&gt;"",I331=H331,J331&lt;&gt;"",K331&lt;&gt;"",J331&lt;&gt;K331),"PASS","FAIL")))</x:f>
        <x:v>OPEN</x:v>
      </x:c>
    </x:row>
    <x:row r="332">
      <x:c r="B332" s="28" t="str">
        <x:v>AT-14</x:v>
      </x:c>
      <x:c r="C332" s="28" t="str">
        <x:v>PRIMARY</x:v>
      </x:c>
      <x:c r="D332" s="28" t="str">
        <x:f>INDEX('Attempt Tokens'!$E$7:$E$36,MATCH(B332,'Attempt Tokens'!$B$7:$B$36,0))</x:f>
      </x:c>
      <x:c r="E332" s="28" t="str">
        <x:v>RP-07</x:v>
      </x:c>
      <x:c r="F332" s="28" t="n">
        <x:v>2</x:v>
      </x:c>
      <x:c r="G332" s="28" t="str">
        <x:f>IF(D332="","",IF(LEFT(D332,5)="RFP-A",IF(F332=1,"PTC-B","PTC-C"),IF(LEFT(D332,5)="RFP-B",IF(F332=1,"PTC-A","PTC-C"),IF(F332=1,"PTC-A","PTC-B"))))</x:f>
      </x:c>
      <x:c r="H332" s="29" t="str"/>
      <x:c r="I332" s="29" t="str"/>
      <x:c r="J332" s="29" t="str"/>
      <x:c r="K332" s="29" t="str"/>
      <x:c r="L332" s="29" t="str"/>
      <x:c r="M332" s="28" t="str">
        <x:f>IF(AND(C332="RESERVE",D332=""),"DORMANT",IF(L332="","OPEN",IF(AND(G332&lt;&gt;"",H332&lt;&gt;"",I332=H332,J332&lt;&gt;"",K332&lt;&gt;"",J332&lt;&gt;K332),"PASS","FAIL")))</x:f>
        <x:v>OPEN</x:v>
      </x:c>
    </x:row>
    <x:row r="333">
      <x:c r="B333" s="28" t="str">
        <x:v>AT-14</x:v>
      </x:c>
      <x:c r="C333" s="28" t="str">
        <x:v>PRIMARY</x:v>
      </x:c>
      <x:c r="D333" s="28" t="str">
        <x:f>INDEX('Attempt Tokens'!$E$7:$E$36,MATCH(B333,'Attempt Tokens'!$B$7:$B$36,0))</x:f>
      </x:c>
      <x:c r="E333" s="28" t="str">
        <x:v>RP-08</x:v>
      </x:c>
      <x:c r="F333" s="28" t="n">
        <x:v>1</x:v>
      </x:c>
      <x:c r="G333" s="28" t="str">
        <x:f>IF(D333="","",IF(LEFT(D333,5)="RFP-A",IF(F333=1,"PTC-B","PTC-C"),IF(LEFT(D333,5)="RFP-B",IF(F333=1,"PTC-A","PTC-C"),IF(F333=1,"PTC-A","PTC-B"))))</x:f>
      </x:c>
      <x:c r="H333" s="29" t="str"/>
      <x:c r="I333" s="29" t="str"/>
      <x:c r="J333" s="29" t="str"/>
      <x:c r="K333" s="29" t="str"/>
      <x:c r="L333" s="29" t="str"/>
      <x:c r="M333" s="28" t="str">
        <x:f>IF(AND(C333="RESERVE",D333=""),"DORMANT",IF(L333="","OPEN",IF(AND(G333&lt;&gt;"",H333&lt;&gt;"",I333=H333,J333&lt;&gt;"",K333&lt;&gt;"",J333&lt;&gt;K333),"PASS","FAIL")))</x:f>
        <x:v>OPEN</x:v>
      </x:c>
    </x:row>
    <x:row r="334">
      <x:c r="B334" s="28" t="str">
        <x:v>AT-14</x:v>
      </x:c>
      <x:c r="C334" s="28" t="str">
        <x:v>PRIMARY</x:v>
      </x:c>
      <x:c r="D334" s="28" t="str">
        <x:f>INDEX('Attempt Tokens'!$E$7:$E$36,MATCH(B334,'Attempt Tokens'!$B$7:$B$36,0))</x:f>
      </x:c>
      <x:c r="E334" s="28" t="str">
        <x:v>RP-08</x:v>
      </x:c>
      <x:c r="F334" s="28" t="n">
        <x:v>2</x:v>
      </x:c>
      <x:c r="G334" s="28" t="str">
        <x:f>IF(D334="","",IF(LEFT(D334,5)="RFP-A",IF(F334=1,"PTC-B","PTC-C"),IF(LEFT(D334,5)="RFP-B",IF(F334=1,"PTC-A","PTC-C"),IF(F334=1,"PTC-A","PTC-B"))))</x:f>
      </x:c>
      <x:c r="H334" s="29" t="str"/>
      <x:c r="I334" s="29" t="str"/>
      <x:c r="J334" s="29" t="str"/>
      <x:c r="K334" s="29" t="str"/>
      <x:c r="L334" s="29" t="str"/>
      <x:c r="M334" s="28" t="str">
        <x:f>IF(AND(C334="RESERVE",D334=""),"DORMANT",IF(L334="","OPEN",IF(AND(G334&lt;&gt;"",H334&lt;&gt;"",I334=H334,J334&lt;&gt;"",K334&lt;&gt;"",J334&lt;&gt;K334),"PASS","FAIL")))</x:f>
        <x:v>OPEN</x:v>
      </x:c>
    </x:row>
    <x:row r="335">
      <x:c r="B335" s="28" t="str">
        <x:v>AT-14</x:v>
      </x:c>
      <x:c r="C335" s="28" t="str">
        <x:v>PRIMARY</x:v>
      </x:c>
      <x:c r="D335" s="28" t="str">
        <x:f>INDEX('Attempt Tokens'!$E$7:$E$36,MATCH(B335,'Attempt Tokens'!$B$7:$B$36,0))</x:f>
      </x:c>
      <x:c r="E335" s="28" t="str">
        <x:v>RP-09</x:v>
      </x:c>
      <x:c r="F335" s="28" t="n">
        <x:v>1</x:v>
      </x:c>
      <x:c r="G335" s="28" t="str">
        <x:f>IF(D335="","",IF(LEFT(D335,5)="RFP-A",IF(F335=1,"PTC-B","PTC-C"),IF(LEFT(D335,5)="RFP-B",IF(F335=1,"PTC-A","PTC-C"),IF(F335=1,"PTC-A","PTC-B"))))</x:f>
      </x:c>
      <x:c r="H335" s="29" t="str"/>
      <x:c r="I335" s="29" t="str"/>
      <x:c r="J335" s="29" t="str"/>
      <x:c r="K335" s="29" t="str"/>
      <x:c r="L335" s="29" t="str"/>
      <x:c r="M335" s="28" t="str">
        <x:f>IF(AND(C335="RESERVE",D335=""),"DORMANT",IF(L335="","OPEN",IF(AND(G335&lt;&gt;"",H335&lt;&gt;"",I335=H335,J335&lt;&gt;"",K335&lt;&gt;"",J335&lt;&gt;K335),"PASS","FAIL")))</x:f>
        <x:v>OPEN</x:v>
      </x:c>
    </x:row>
    <x:row r="336">
      <x:c r="B336" s="28" t="str">
        <x:v>AT-14</x:v>
      </x:c>
      <x:c r="C336" s="28" t="str">
        <x:v>PRIMARY</x:v>
      </x:c>
      <x:c r="D336" s="28" t="str">
        <x:f>INDEX('Attempt Tokens'!$E$7:$E$36,MATCH(B336,'Attempt Tokens'!$B$7:$B$36,0))</x:f>
      </x:c>
      <x:c r="E336" s="28" t="str">
        <x:v>RP-09</x:v>
      </x:c>
      <x:c r="F336" s="28" t="n">
        <x:v>2</x:v>
      </x:c>
      <x:c r="G336" s="28" t="str">
        <x:f>IF(D336="","",IF(LEFT(D336,5)="RFP-A",IF(F336=1,"PTC-B","PTC-C"),IF(LEFT(D336,5)="RFP-B",IF(F336=1,"PTC-A","PTC-C"),IF(F336=1,"PTC-A","PTC-B"))))</x:f>
      </x:c>
      <x:c r="H336" s="29" t="str"/>
      <x:c r="I336" s="29" t="str"/>
      <x:c r="J336" s="29" t="str"/>
      <x:c r="K336" s="29" t="str"/>
      <x:c r="L336" s="29" t="str"/>
      <x:c r="M336" s="28" t="str">
        <x:f>IF(AND(C336="RESERVE",D336=""),"DORMANT",IF(L336="","OPEN",IF(AND(G336&lt;&gt;"",H336&lt;&gt;"",I336=H336,J336&lt;&gt;"",K336&lt;&gt;"",J336&lt;&gt;K336),"PASS","FAIL")))</x:f>
        <x:v>OPEN</x:v>
      </x:c>
    </x:row>
    <x:row r="337">
      <x:c r="B337" s="28" t="str">
        <x:v>AT-14</x:v>
      </x:c>
      <x:c r="C337" s="28" t="str">
        <x:v>PRIMARY</x:v>
      </x:c>
      <x:c r="D337" s="28" t="str">
        <x:f>INDEX('Attempt Tokens'!$E$7:$E$36,MATCH(B337,'Attempt Tokens'!$B$7:$B$36,0))</x:f>
      </x:c>
      <x:c r="E337" s="28" t="str">
        <x:v>RP-10</x:v>
      </x:c>
      <x:c r="F337" s="28" t="n">
        <x:v>1</x:v>
      </x:c>
      <x:c r="G337" s="28" t="str">
        <x:f>IF(D337="","",IF(LEFT(D337,5)="RFP-A",IF(F337=1,"PTC-B","PTC-C"),IF(LEFT(D337,5)="RFP-B",IF(F337=1,"PTC-A","PTC-C"),IF(F337=1,"PTC-A","PTC-B"))))</x:f>
      </x:c>
      <x:c r="H337" s="29" t="str"/>
      <x:c r="I337" s="29" t="str"/>
      <x:c r="J337" s="29" t="str"/>
      <x:c r="K337" s="29" t="str"/>
      <x:c r="L337" s="29" t="str"/>
      <x:c r="M337" s="28" t="str">
        <x:f>IF(AND(C337="RESERVE",D337=""),"DORMANT",IF(L337="","OPEN",IF(AND(G337&lt;&gt;"",H337&lt;&gt;"",I337=H337,J337&lt;&gt;"",K337&lt;&gt;"",J337&lt;&gt;K337),"PASS","FAIL")))</x:f>
        <x:v>OPEN</x:v>
      </x:c>
    </x:row>
    <x:row r="338">
      <x:c r="B338" s="28" t="str">
        <x:v>AT-14</x:v>
      </x:c>
      <x:c r="C338" s="28" t="str">
        <x:v>PRIMARY</x:v>
      </x:c>
      <x:c r="D338" s="28" t="str">
        <x:f>INDEX('Attempt Tokens'!$E$7:$E$36,MATCH(B338,'Attempt Tokens'!$B$7:$B$36,0))</x:f>
      </x:c>
      <x:c r="E338" s="28" t="str">
        <x:v>RP-10</x:v>
      </x:c>
      <x:c r="F338" s="28" t="n">
        <x:v>2</x:v>
      </x:c>
      <x:c r="G338" s="28" t="str">
        <x:f>IF(D338="","",IF(LEFT(D338,5)="RFP-A",IF(F338=1,"PTC-B","PTC-C"),IF(LEFT(D338,5)="RFP-B",IF(F338=1,"PTC-A","PTC-C"),IF(F338=1,"PTC-A","PTC-B"))))</x:f>
      </x:c>
      <x:c r="H338" s="29" t="str"/>
      <x:c r="I338" s="29" t="str"/>
      <x:c r="J338" s="29" t="str"/>
      <x:c r="K338" s="29" t="str"/>
      <x:c r="L338" s="29" t="str"/>
      <x:c r="M338" s="28" t="str">
        <x:f>IF(AND(C338="RESERVE",D338=""),"DORMANT",IF(L338="","OPEN",IF(AND(G338&lt;&gt;"",H338&lt;&gt;"",I338=H338,J338&lt;&gt;"",K338&lt;&gt;"",J338&lt;&gt;K338),"PASS","FAIL")))</x:f>
        <x:v>OPEN</x:v>
      </x:c>
    </x:row>
    <x:row r="339">
      <x:c r="B339" s="28" t="str">
        <x:v>AT-14</x:v>
      </x:c>
      <x:c r="C339" s="28" t="str">
        <x:v>PRIMARY</x:v>
      </x:c>
      <x:c r="D339" s="28" t="str">
        <x:f>INDEX('Attempt Tokens'!$E$7:$E$36,MATCH(B339,'Attempt Tokens'!$B$7:$B$36,0))</x:f>
      </x:c>
      <x:c r="E339" s="28" t="str">
        <x:v>RP-11</x:v>
      </x:c>
      <x:c r="F339" s="28" t="n">
        <x:v>1</x:v>
      </x:c>
      <x:c r="G339" s="28" t="str">
        <x:f>IF(D339="","",IF(LEFT(D339,5)="RFP-A",IF(F339=1,"PTC-B","PTC-C"),IF(LEFT(D339,5)="RFP-B",IF(F339=1,"PTC-A","PTC-C"),IF(F339=1,"PTC-A","PTC-B"))))</x:f>
      </x:c>
      <x:c r="H339" s="29" t="str"/>
      <x:c r="I339" s="29" t="str"/>
      <x:c r="J339" s="29" t="str"/>
      <x:c r="K339" s="29" t="str"/>
      <x:c r="L339" s="29" t="str"/>
      <x:c r="M339" s="28" t="str">
        <x:f>IF(AND(C339="RESERVE",D339=""),"DORMANT",IF(L339="","OPEN",IF(AND(G339&lt;&gt;"",H339&lt;&gt;"",I339=H339,J339&lt;&gt;"",K339&lt;&gt;"",J339&lt;&gt;K339),"PASS","FAIL")))</x:f>
        <x:v>OPEN</x:v>
      </x:c>
    </x:row>
    <x:row r="340">
      <x:c r="B340" s="28" t="str">
        <x:v>AT-14</x:v>
      </x:c>
      <x:c r="C340" s="28" t="str">
        <x:v>PRIMARY</x:v>
      </x:c>
      <x:c r="D340" s="28" t="str">
        <x:f>INDEX('Attempt Tokens'!$E$7:$E$36,MATCH(B340,'Attempt Tokens'!$B$7:$B$36,0))</x:f>
      </x:c>
      <x:c r="E340" s="28" t="str">
        <x:v>RP-11</x:v>
      </x:c>
      <x:c r="F340" s="28" t="n">
        <x:v>2</x:v>
      </x:c>
      <x:c r="G340" s="28" t="str">
        <x:f>IF(D340="","",IF(LEFT(D340,5)="RFP-A",IF(F340=1,"PTC-B","PTC-C"),IF(LEFT(D340,5)="RFP-B",IF(F340=1,"PTC-A","PTC-C"),IF(F340=1,"PTC-A","PTC-B"))))</x:f>
      </x:c>
      <x:c r="H340" s="29" t="str"/>
      <x:c r="I340" s="29" t="str"/>
      <x:c r="J340" s="29" t="str"/>
      <x:c r="K340" s="29" t="str"/>
      <x:c r="L340" s="29" t="str"/>
      <x:c r="M340" s="28" t="str">
        <x:f>IF(AND(C340="RESERVE",D340=""),"DORMANT",IF(L340="","OPEN",IF(AND(G340&lt;&gt;"",H340&lt;&gt;"",I340=H340,J340&lt;&gt;"",K340&lt;&gt;"",J340&lt;&gt;K340),"PASS","FAIL")))</x:f>
        <x:v>OPEN</x:v>
      </x:c>
    </x:row>
    <x:row r="341">
      <x:c r="B341" s="28" t="str">
        <x:v>AT-14</x:v>
      </x:c>
      <x:c r="C341" s="28" t="str">
        <x:v>PRIMARY</x:v>
      </x:c>
      <x:c r="D341" s="28" t="str">
        <x:f>INDEX('Attempt Tokens'!$E$7:$E$36,MATCH(B341,'Attempt Tokens'!$B$7:$B$36,0))</x:f>
      </x:c>
      <x:c r="E341" s="28" t="str">
        <x:v>RP-12</x:v>
      </x:c>
      <x:c r="F341" s="28" t="n">
        <x:v>1</x:v>
      </x:c>
      <x:c r="G341" s="28" t="str">
        <x:f>IF(D341="","",IF(LEFT(D341,5)="RFP-A",IF(F341=1,"PTC-B","PTC-C"),IF(LEFT(D341,5)="RFP-B",IF(F341=1,"PTC-A","PTC-C"),IF(F341=1,"PTC-A","PTC-B"))))</x:f>
      </x:c>
      <x:c r="H341" s="29" t="str"/>
      <x:c r="I341" s="29" t="str"/>
      <x:c r="J341" s="29" t="str"/>
      <x:c r="K341" s="29" t="str"/>
      <x:c r="L341" s="29" t="str"/>
      <x:c r="M341" s="28" t="str">
        <x:f>IF(AND(C341="RESERVE",D341=""),"DORMANT",IF(L341="","OPEN",IF(AND(G341&lt;&gt;"",H341&lt;&gt;"",I341=H341,J341&lt;&gt;"",K341&lt;&gt;"",J341&lt;&gt;K341),"PASS","FAIL")))</x:f>
        <x:v>OPEN</x:v>
      </x:c>
    </x:row>
    <x:row r="342">
      <x:c r="B342" s="28" t="str">
        <x:v>AT-14</x:v>
      </x:c>
      <x:c r="C342" s="28" t="str">
        <x:v>PRIMARY</x:v>
      </x:c>
      <x:c r="D342" s="28" t="str">
        <x:f>INDEX('Attempt Tokens'!$E$7:$E$36,MATCH(B342,'Attempt Tokens'!$B$7:$B$36,0))</x:f>
      </x:c>
      <x:c r="E342" s="28" t="str">
        <x:v>RP-12</x:v>
      </x:c>
      <x:c r="F342" s="28" t="n">
        <x:v>2</x:v>
      </x:c>
      <x:c r="G342" s="28" t="str">
        <x:f>IF(D342="","",IF(LEFT(D342,5)="RFP-A",IF(F342=1,"PTC-B","PTC-C"),IF(LEFT(D342,5)="RFP-B",IF(F342=1,"PTC-A","PTC-C"),IF(F342=1,"PTC-A","PTC-B"))))</x:f>
      </x:c>
      <x:c r="H342" s="29" t="str"/>
      <x:c r="I342" s="29" t="str"/>
      <x:c r="J342" s="29" t="str"/>
      <x:c r="K342" s="29" t="str"/>
      <x:c r="L342" s="29" t="str"/>
      <x:c r="M342" s="28" t="str">
        <x:f>IF(AND(C342="RESERVE",D342=""),"DORMANT",IF(L342="","OPEN",IF(AND(G342&lt;&gt;"",H342&lt;&gt;"",I342=H342,J342&lt;&gt;"",K342&lt;&gt;"",J342&lt;&gt;K342),"PASS","FAIL")))</x:f>
        <x:v>OPEN</x:v>
      </x:c>
    </x:row>
    <x:row r="343">
      <x:c r="B343" s="28" t="str">
        <x:v>AT-15</x:v>
      </x:c>
      <x:c r="C343" s="28" t="str">
        <x:v>PRIMARY</x:v>
      </x:c>
      <x:c r="D343" s="28" t="str">
        <x:f>INDEX('Attempt Tokens'!$E$7:$E$36,MATCH(B343,'Attempt Tokens'!$B$7:$B$36,0))</x:f>
      </x:c>
      <x:c r="E343" s="28" t="str">
        <x:v>RP-01</x:v>
      </x:c>
      <x:c r="F343" s="28" t="n">
        <x:v>1</x:v>
      </x:c>
      <x:c r="G343" s="28" t="str">
        <x:f>IF(D343="","",IF(LEFT(D343,5)="RFP-A",IF(F343=1,"PTC-B","PTC-C"),IF(LEFT(D343,5)="RFP-B",IF(F343=1,"PTC-A","PTC-C"),IF(F343=1,"PTC-A","PTC-B"))))</x:f>
      </x:c>
      <x:c r="H343" s="29" t="str"/>
      <x:c r="I343" s="29" t="str"/>
      <x:c r="J343" s="29" t="str"/>
      <x:c r="K343" s="29" t="str"/>
      <x:c r="L343" s="29" t="str"/>
      <x:c r="M343" s="28" t="str">
        <x:f>IF(AND(C343="RESERVE",D343=""),"DORMANT",IF(L343="","OPEN",IF(AND(G343&lt;&gt;"",H343&lt;&gt;"",I343=H343,J343&lt;&gt;"",K343&lt;&gt;"",J343&lt;&gt;K343),"PASS","FAIL")))</x:f>
        <x:v>OPEN</x:v>
      </x:c>
    </x:row>
    <x:row r="344">
      <x:c r="B344" s="28" t="str">
        <x:v>AT-15</x:v>
      </x:c>
      <x:c r="C344" s="28" t="str">
        <x:v>PRIMARY</x:v>
      </x:c>
      <x:c r="D344" s="28" t="str">
        <x:f>INDEX('Attempt Tokens'!$E$7:$E$36,MATCH(B344,'Attempt Tokens'!$B$7:$B$36,0))</x:f>
      </x:c>
      <x:c r="E344" s="28" t="str">
        <x:v>RP-01</x:v>
      </x:c>
      <x:c r="F344" s="28" t="n">
        <x:v>2</x:v>
      </x:c>
      <x:c r="G344" s="28" t="str">
        <x:f>IF(D344="","",IF(LEFT(D344,5)="RFP-A",IF(F344=1,"PTC-B","PTC-C"),IF(LEFT(D344,5)="RFP-B",IF(F344=1,"PTC-A","PTC-C"),IF(F344=1,"PTC-A","PTC-B"))))</x:f>
      </x:c>
      <x:c r="H344" s="29" t="str"/>
      <x:c r="I344" s="29" t="str"/>
      <x:c r="J344" s="29" t="str"/>
      <x:c r="K344" s="29" t="str"/>
      <x:c r="L344" s="29" t="str"/>
      <x:c r="M344" s="28" t="str">
        <x:f>IF(AND(C344="RESERVE",D344=""),"DORMANT",IF(L344="","OPEN",IF(AND(G344&lt;&gt;"",H344&lt;&gt;"",I344=H344,J344&lt;&gt;"",K344&lt;&gt;"",J344&lt;&gt;K344),"PASS","FAIL")))</x:f>
        <x:v>OPEN</x:v>
      </x:c>
    </x:row>
    <x:row r="345">
      <x:c r="B345" s="28" t="str">
        <x:v>AT-15</x:v>
      </x:c>
      <x:c r="C345" s="28" t="str">
        <x:v>PRIMARY</x:v>
      </x:c>
      <x:c r="D345" s="28" t="str">
        <x:f>INDEX('Attempt Tokens'!$E$7:$E$36,MATCH(B345,'Attempt Tokens'!$B$7:$B$36,0))</x:f>
      </x:c>
      <x:c r="E345" s="28" t="str">
        <x:v>RP-02</x:v>
      </x:c>
      <x:c r="F345" s="28" t="n">
        <x:v>1</x:v>
      </x:c>
      <x:c r="G345" s="28" t="str">
        <x:f>IF(D345="","",IF(LEFT(D345,5)="RFP-A",IF(F345=1,"PTC-B","PTC-C"),IF(LEFT(D345,5)="RFP-B",IF(F345=1,"PTC-A","PTC-C"),IF(F345=1,"PTC-A","PTC-B"))))</x:f>
      </x:c>
      <x:c r="H345" s="29" t="str"/>
      <x:c r="I345" s="29" t="str"/>
      <x:c r="J345" s="29" t="str"/>
      <x:c r="K345" s="29" t="str"/>
      <x:c r="L345" s="29" t="str"/>
      <x:c r="M345" s="28" t="str">
        <x:f>IF(AND(C345="RESERVE",D345=""),"DORMANT",IF(L345="","OPEN",IF(AND(G345&lt;&gt;"",H345&lt;&gt;"",I345=H345,J345&lt;&gt;"",K345&lt;&gt;"",J345&lt;&gt;K345),"PASS","FAIL")))</x:f>
        <x:v>OPEN</x:v>
      </x:c>
    </x:row>
    <x:row r="346">
      <x:c r="B346" s="28" t="str">
        <x:v>AT-15</x:v>
      </x:c>
      <x:c r="C346" s="28" t="str">
        <x:v>PRIMARY</x:v>
      </x:c>
      <x:c r="D346" s="28" t="str">
        <x:f>INDEX('Attempt Tokens'!$E$7:$E$36,MATCH(B346,'Attempt Tokens'!$B$7:$B$36,0))</x:f>
      </x:c>
      <x:c r="E346" s="28" t="str">
        <x:v>RP-02</x:v>
      </x:c>
      <x:c r="F346" s="28" t="n">
        <x:v>2</x:v>
      </x:c>
      <x:c r="G346" s="28" t="str">
        <x:f>IF(D346="","",IF(LEFT(D346,5)="RFP-A",IF(F346=1,"PTC-B","PTC-C"),IF(LEFT(D346,5)="RFP-B",IF(F346=1,"PTC-A","PTC-C"),IF(F346=1,"PTC-A","PTC-B"))))</x:f>
      </x:c>
      <x:c r="H346" s="29" t="str"/>
      <x:c r="I346" s="29" t="str"/>
      <x:c r="J346" s="29" t="str"/>
      <x:c r="K346" s="29" t="str"/>
      <x:c r="L346" s="29" t="str"/>
      <x:c r="M346" s="28" t="str">
        <x:f>IF(AND(C346="RESERVE",D346=""),"DORMANT",IF(L346="","OPEN",IF(AND(G346&lt;&gt;"",H346&lt;&gt;"",I346=H346,J346&lt;&gt;"",K346&lt;&gt;"",J346&lt;&gt;K346),"PASS","FAIL")))</x:f>
        <x:v>OPEN</x:v>
      </x:c>
    </x:row>
    <x:row r="347">
      <x:c r="B347" s="28" t="str">
        <x:v>AT-15</x:v>
      </x:c>
      <x:c r="C347" s="28" t="str">
        <x:v>PRIMARY</x:v>
      </x:c>
      <x:c r="D347" s="28" t="str">
        <x:f>INDEX('Attempt Tokens'!$E$7:$E$36,MATCH(B347,'Attempt Tokens'!$B$7:$B$36,0))</x:f>
      </x:c>
      <x:c r="E347" s="28" t="str">
        <x:v>RP-03</x:v>
      </x:c>
      <x:c r="F347" s="28" t="n">
        <x:v>1</x:v>
      </x:c>
      <x:c r="G347" s="28" t="str">
        <x:f>IF(D347="","",IF(LEFT(D347,5)="RFP-A",IF(F347=1,"PTC-B","PTC-C"),IF(LEFT(D347,5)="RFP-B",IF(F347=1,"PTC-A","PTC-C"),IF(F347=1,"PTC-A","PTC-B"))))</x:f>
      </x:c>
      <x:c r="H347" s="29" t="str"/>
      <x:c r="I347" s="29" t="str"/>
      <x:c r="J347" s="29" t="str"/>
      <x:c r="K347" s="29" t="str"/>
      <x:c r="L347" s="29" t="str"/>
      <x:c r="M347" s="28" t="str">
        <x:f>IF(AND(C347="RESERVE",D347=""),"DORMANT",IF(L347="","OPEN",IF(AND(G347&lt;&gt;"",H347&lt;&gt;"",I347=H347,J347&lt;&gt;"",K347&lt;&gt;"",J347&lt;&gt;K347),"PASS","FAIL")))</x:f>
        <x:v>OPEN</x:v>
      </x:c>
    </x:row>
    <x:row r="348">
      <x:c r="B348" s="28" t="str">
        <x:v>AT-15</x:v>
      </x:c>
      <x:c r="C348" s="28" t="str">
        <x:v>PRIMARY</x:v>
      </x:c>
      <x:c r="D348" s="28" t="str">
        <x:f>INDEX('Attempt Tokens'!$E$7:$E$36,MATCH(B348,'Attempt Tokens'!$B$7:$B$36,0))</x:f>
      </x:c>
      <x:c r="E348" s="28" t="str">
        <x:v>RP-03</x:v>
      </x:c>
      <x:c r="F348" s="28" t="n">
        <x:v>2</x:v>
      </x:c>
      <x:c r="G348" s="28" t="str">
        <x:f>IF(D348="","",IF(LEFT(D348,5)="RFP-A",IF(F348=1,"PTC-B","PTC-C"),IF(LEFT(D348,5)="RFP-B",IF(F348=1,"PTC-A","PTC-C"),IF(F348=1,"PTC-A","PTC-B"))))</x:f>
      </x:c>
      <x:c r="H348" s="29" t="str"/>
      <x:c r="I348" s="29" t="str"/>
      <x:c r="J348" s="29" t="str"/>
      <x:c r="K348" s="29" t="str"/>
      <x:c r="L348" s="29" t="str"/>
      <x:c r="M348" s="28" t="str">
        <x:f>IF(AND(C348="RESERVE",D348=""),"DORMANT",IF(L348="","OPEN",IF(AND(G348&lt;&gt;"",H348&lt;&gt;"",I348=H348,J348&lt;&gt;"",K348&lt;&gt;"",J348&lt;&gt;K348),"PASS","FAIL")))</x:f>
        <x:v>OPEN</x:v>
      </x:c>
    </x:row>
    <x:row r="349">
      <x:c r="B349" s="28" t="str">
        <x:v>AT-15</x:v>
      </x:c>
      <x:c r="C349" s="28" t="str">
        <x:v>PRIMARY</x:v>
      </x:c>
      <x:c r="D349" s="28" t="str">
        <x:f>INDEX('Attempt Tokens'!$E$7:$E$36,MATCH(B349,'Attempt Tokens'!$B$7:$B$36,0))</x:f>
      </x:c>
      <x:c r="E349" s="28" t="str">
        <x:v>RP-04</x:v>
      </x:c>
      <x:c r="F349" s="28" t="n">
        <x:v>1</x:v>
      </x:c>
      <x:c r="G349" s="28" t="str">
        <x:f>IF(D349="","",IF(LEFT(D349,5)="RFP-A",IF(F349=1,"PTC-B","PTC-C"),IF(LEFT(D349,5)="RFP-B",IF(F349=1,"PTC-A","PTC-C"),IF(F349=1,"PTC-A","PTC-B"))))</x:f>
      </x:c>
      <x:c r="H349" s="29" t="str"/>
      <x:c r="I349" s="29" t="str"/>
      <x:c r="J349" s="29" t="str"/>
      <x:c r="K349" s="29" t="str"/>
      <x:c r="L349" s="29" t="str"/>
      <x:c r="M349" s="28" t="str">
        <x:f>IF(AND(C349="RESERVE",D349=""),"DORMANT",IF(L349="","OPEN",IF(AND(G349&lt;&gt;"",H349&lt;&gt;"",I349=H349,J349&lt;&gt;"",K349&lt;&gt;"",J349&lt;&gt;K349),"PASS","FAIL")))</x:f>
        <x:v>OPEN</x:v>
      </x:c>
    </x:row>
    <x:row r="350">
      <x:c r="B350" s="28" t="str">
        <x:v>AT-15</x:v>
      </x:c>
      <x:c r="C350" s="28" t="str">
        <x:v>PRIMARY</x:v>
      </x:c>
      <x:c r="D350" s="28" t="str">
        <x:f>INDEX('Attempt Tokens'!$E$7:$E$36,MATCH(B350,'Attempt Tokens'!$B$7:$B$36,0))</x:f>
      </x:c>
      <x:c r="E350" s="28" t="str">
        <x:v>RP-04</x:v>
      </x:c>
      <x:c r="F350" s="28" t="n">
        <x:v>2</x:v>
      </x:c>
      <x:c r="G350" s="28" t="str">
        <x:f>IF(D350="","",IF(LEFT(D350,5)="RFP-A",IF(F350=1,"PTC-B","PTC-C"),IF(LEFT(D350,5)="RFP-B",IF(F350=1,"PTC-A","PTC-C"),IF(F350=1,"PTC-A","PTC-B"))))</x:f>
      </x:c>
      <x:c r="H350" s="29" t="str"/>
      <x:c r="I350" s="29" t="str"/>
      <x:c r="J350" s="29" t="str"/>
      <x:c r="K350" s="29" t="str"/>
      <x:c r="L350" s="29" t="str"/>
      <x:c r="M350" s="28" t="str">
        <x:f>IF(AND(C350="RESERVE",D350=""),"DORMANT",IF(L350="","OPEN",IF(AND(G350&lt;&gt;"",H350&lt;&gt;"",I350=H350,J350&lt;&gt;"",K350&lt;&gt;"",J350&lt;&gt;K350),"PASS","FAIL")))</x:f>
        <x:v>OPEN</x:v>
      </x:c>
    </x:row>
    <x:row r="351">
      <x:c r="B351" s="28" t="str">
        <x:v>AT-15</x:v>
      </x:c>
      <x:c r="C351" s="28" t="str">
        <x:v>PRIMARY</x:v>
      </x:c>
      <x:c r="D351" s="28" t="str">
        <x:f>INDEX('Attempt Tokens'!$E$7:$E$36,MATCH(B351,'Attempt Tokens'!$B$7:$B$36,0))</x:f>
      </x:c>
      <x:c r="E351" s="28" t="str">
        <x:v>RP-05</x:v>
      </x:c>
      <x:c r="F351" s="28" t="n">
        <x:v>1</x:v>
      </x:c>
      <x:c r="G351" s="28" t="str">
        <x:f>IF(D351="","",IF(LEFT(D351,5)="RFP-A",IF(F351=1,"PTC-B","PTC-C"),IF(LEFT(D351,5)="RFP-B",IF(F351=1,"PTC-A","PTC-C"),IF(F351=1,"PTC-A","PTC-B"))))</x:f>
      </x:c>
      <x:c r="H351" s="29" t="str"/>
      <x:c r="I351" s="29" t="str"/>
      <x:c r="J351" s="29" t="str"/>
      <x:c r="K351" s="29" t="str"/>
      <x:c r="L351" s="29" t="str"/>
      <x:c r="M351" s="28" t="str">
        <x:f>IF(AND(C351="RESERVE",D351=""),"DORMANT",IF(L351="","OPEN",IF(AND(G351&lt;&gt;"",H351&lt;&gt;"",I351=H351,J351&lt;&gt;"",K351&lt;&gt;"",J351&lt;&gt;K351),"PASS","FAIL")))</x:f>
        <x:v>OPEN</x:v>
      </x:c>
    </x:row>
    <x:row r="352">
      <x:c r="B352" s="28" t="str">
        <x:v>AT-15</x:v>
      </x:c>
      <x:c r="C352" s="28" t="str">
        <x:v>PRIMARY</x:v>
      </x:c>
      <x:c r="D352" s="28" t="str">
        <x:f>INDEX('Attempt Tokens'!$E$7:$E$36,MATCH(B352,'Attempt Tokens'!$B$7:$B$36,0))</x:f>
      </x:c>
      <x:c r="E352" s="28" t="str">
        <x:v>RP-05</x:v>
      </x:c>
      <x:c r="F352" s="28" t="n">
        <x:v>2</x:v>
      </x:c>
      <x:c r="G352" s="28" t="str">
        <x:f>IF(D352="","",IF(LEFT(D352,5)="RFP-A",IF(F352=1,"PTC-B","PTC-C"),IF(LEFT(D352,5)="RFP-B",IF(F352=1,"PTC-A","PTC-C"),IF(F352=1,"PTC-A","PTC-B"))))</x:f>
      </x:c>
      <x:c r="H352" s="29" t="str"/>
      <x:c r="I352" s="29" t="str"/>
      <x:c r="J352" s="29" t="str"/>
      <x:c r="K352" s="29" t="str"/>
      <x:c r="L352" s="29" t="str"/>
      <x:c r="M352" s="28" t="str">
        <x:f>IF(AND(C352="RESERVE",D352=""),"DORMANT",IF(L352="","OPEN",IF(AND(G352&lt;&gt;"",H352&lt;&gt;"",I352=H352,J352&lt;&gt;"",K352&lt;&gt;"",J352&lt;&gt;K352),"PASS","FAIL")))</x:f>
        <x:v>OPEN</x:v>
      </x:c>
    </x:row>
    <x:row r="353">
      <x:c r="B353" s="28" t="str">
        <x:v>AT-15</x:v>
      </x:c>
      <x:c r="C353" s="28" t="str">
        <x:v>PRIMARY</x:v>
      </x:c>
      <x:c r="D353" s="28" t="str">
        <x:f>INDEX('Attempt Tokens'!$E$7:$E$36,MATCH(B353,'Attempt Tokens'!$B$7:$B$36,0))</x:f>
      </x:c>
      <x:c r="E353" s="28" t="str">
        <x:v>RP-06</x:v>
      </x:c>
      <x:c r="F353" s="28" t="n">
        <x:v>1</x:v>
      </x:c>
      <x:c r="G353" s="28" t="str">
        <x:f>IF(D353="","",IF(LEFT(D353,5)="RFP-A",IF(F353=1,"PTC-B","PTC-C"),IF(LEFT(D353,5)="RFP-B",IF(F353=1,"PTC-A","PTC-C"),IF(F353=1,"PTC-A","PTC-B"))))</x:f>
      </x:c>
      <x:c r="H353" s="29" t="str"/>
      <x:c r="I353" s="29" t="str"/>
      <x:c r="J353" s="29" t="str"/>
      <x:c r="K353" s="29" t="str"/>
      <x:c r="L353" s="29" t="str"/>
      <x:c r="M353" s="28" t="str">
        <x:f>IF(AND(C353="RESERVE",D353=""),"DORMANT",IF(L353="","OPEN",IF(AND(G353&lt;&gt;"",H353&lt;&gt;"",I353=H353,J353&lt;&gt;"",K353&lt;&gt;"",J353&lt;&gt;K353),"PASS","FAIL")))</x:f>
        <x:v>OPEN</x:v>
      </x:c>
    </x:row>
    <x:row r="354">
      <x:c r="B354" s="28" t="str">
        <x:v>AT-15</x:v>
      </x:c>
      <x:c r="C354" s="28" t="str">
        <x:v>PRIMARY</x:v>
      </x:c>
      <x:c r="D354" s="28" t="str">
        <x:f>INDEX('Attempt Tokens'!$E$7:$E$36,MATCH(B354,'Attempt Tokens'!$B$7:$B$36,0))</x:f>
      </x:c>
      <x:c r="E354" s="28" t="str">
        <x:v>RP-06</x:v>
      </x:c>
      <x:c r="F354" s="28" t="n">
        <x:v>2</x:v>
      </x:c>
      <x:c r="G354" s="28" t="str">
        <x:f>IF(D354="","",IF(LEFT(D354,5)="RFP-A",IF(F354=1,"PTC-B","PTC-C"),IF(LEFT(D354,5)="RFP-B",IF(F354=1,"PTC-A","PTC-C"),IF(F354=1,"PTC-A","PTC-B"))))</x:f>
      </x:c>
      <x:c r="H354" s="29" t="str"/>
      <x:c r="I354" s="29" t="str"/>
      <x:c r="J354" s="29" t="str"/>
      <x:c r="K354" s="29" t="str"/>
      <x:c r="L354" s="29" t="str"/>
      <x:c r="M354" s="28" t="str">
        <x:f>IF(AND(C354="RESERVE",D354=""),"DORMANT",IF(L354="","OPEN",IF(AND(G354&lt;&gt;"",H354&lt;&gt;"",I354=H354,J354&lt;&gt;"",K354&lt;&gt;"",J354&lt;&gt;K354),"PASS","FAIL")))</x:f>
        <x:v>OPEN</x:v>
      </x:c>
    </x:row>
    <x:row r="355">
      <x:c r="B355" s="28" t="str">
        <x:v>AT-15</x:v>
      </x:c>
      <x:c r="C355" s="28" t="str">
        <x:v>PRIMARY</x:v>
      </x:c>
      <x:c r="D355" s="28" t="str">
        <x:f>INDEX('Attempt Tokens'!$E$7:$E$36,MATCH(B355,'Attempt Tokens'!$B$7:$B$36,0))</x:f>
      </x:c>
      <x:c r="E355" s="28" t="str">
        <x:v>RP-07</x:v>
      </x:c>
      <x:c r="F355" s="28" t="n">
        <x:v>1</x:v>
      </x:c>
      <x:c r="G355" s="28" t="str">
        <x:f>IF(D355="","",IF(LEFT(D355,5)="RFP-A",IF(F355=1,"PTC-B","PTC-C"),IF(LEFT(D355,5)="RFP-B",IF(F355=1,"PTC-A","PTC-C"),IF(F355=1,"PTC-A","PTC-B"))))</x:f>
      </x:c>
      <x:c r="H355" s="29" t="str"/>
      <x:c r="I355" s="29" t="str"/>
      <x:c r="J355" s="29" t="str"/>
      <x:c r="K355" s="29" t="str"/>
      <x:c r="L355" s="29" t="str"/>
      <x:c r="M355" s="28" t="str">
        <x:f>IF(AND(C355="RESERVE",D355=""),"DORMANT",IF(L355="","OPEN",IF(AND(G355&lt;&gt;"",H355&lt;&gt;"",I355=H355,J355&lt;&gt;"",K355&lt;&gt;"",J355&lt;&gt;K355),"PASS","FAIL")))</x:f>
        <x:v>OPEN</x:v>
      </x:c>
    </x:row>
    <x:row r="356">
      <x:c r="B356" s="28" t="str">
        <x:v>AT-15</x:v>
      </x:c>
      <x:c r="C356" s="28" t="str">
        <x:v>PRIMARY</x:v>
      </x:c>
      <x:c r="D356" s="28" t="str">
        <x:f>INDEX('Attempt Tokens'!$E$7:$E$36,MATCH(B356,'Attempt Tokens'!$B$7:$B$36,0))</x:f>
      </x:c>
      <x:c r="E356" s="28" t="str">
        <x:v>RP-07</x:v>
      </x:c>
      <x:c r="F356" s="28" t="n">
        <x:v>2</x:v>
      </x:c>
      <x:c r="G356" s="28" t="str">
        <x:f>IF(D356="","",IF(LEFT(D356,5)="RFP-A",IF(F356=1,"PTC-B","PTC-C"),IF(LEFT(D356,5)="RFP-B",IF(F356=1,"PTC-A","PTC-C"),IF(F356=1,"PTC-A","PTC-B"))))</x:f>
      </x:c>
      <x:c r="H356" s="29" t="str"/>
      <x:c r="I356" s="29" t="str"/>
      <x:c r="J356" s="29" t="str"/>
      <x:c r="K356" s="29" t="str"/>
      <x:c r="L356" s="29" t="str"/>
      <x:c r="M356" s="28" t="str">
        <x:f>IF(AND(C356="RESERVE",D356=""),"DORMANT",IF(L356="","OPEN",IF(AND(G356&lt;&gt;"",H356&lt;&gt;"",I356=H356,J356&lt;&gt;"",K356&lt;&gt;"",J356&lt;&gt;K356),"PASS","FAIL")))</x:f>
        <x:v>OPEN</x:v>
      </x:c>
    </x:row>
    <x:row r="357">
      <x:c r="B357" s="28" t="str">
        <x:v>AT-15</x:v>
      </x:c>
      <x:c r="C357" s="28" t="str">
        <x:v>PRIMARY</x:v>
      </x:c>
      <x:c r="D357" s="28" t="str">
        <x:f>INDEX('Attempt Tokens'!$E$7:$E$36,MATCH(B357,'Attempt Tokens'!$B$7:$B$36,0))</x:f>
      </x:c>
      <x:c r="E357" s="28" t="str">
        <x:v>RP-08</x:v>
      </x:c>
      <x:c r="F357" s="28" t="n">
        <x:v>1</x:v>
      </x:c>
      <x:c r="G357" s="28" t="str">
        <x:f>IF(D357="","",IF(LEFT(D357,5)="RFP-A",IF(F357=1,"PTC-B","PTC-C"),IF(LEFT(D357,5)="RFP-B",IF(F357=1,"PTC-A","PTC-C"),IF(F357=1,"PTC-A","PTC-B"))))</x:f>
      </x:c>
      <x:c r="H357" s="29" t="str"/>
      <x:c r="I357" s="29" t="str"/>
      <x:c r="J357" s="29" t="str"/>
      <x:c r="K357" s="29" t="str"/>
      <x:c r="L357" s="29" t="str"/>
      <x:c r="M357" s="28" t="str">
        <x:f>IF(AND(C357="RESERVE",D357=""),"DORMANT",IF(L357="","OPEN",IF(AND(G357&lt;&gt;"",H357&lt;&gt;"",I357=H357,J357&lt;&gt;"",K357&lt;&gt;"",J357&lt;&gt;K357),"PASS","FAIL")))</x:f>
        <x:v>OPEN</x:v>
      </x:c>
    </x:row>
    <x:row r="358">
      <x:c r="B358" s="28" t="str">
        <x:v>AT-15</x:v>
      </x:c>
      <x:c r="C358" s="28" t="str">
        <x:v>PRIMARY</x:v>
      </x:c>
      <x:c r="D358" s="28" t="str">
        <x:f>INDEX('Attempt Tokens'!$E$7:$E$36,MATCH(B358,'Attempt Tokens'!$B$7:$B$36,0))</x:f>
      </x:c>
      <x:c r="E358" s="28" t="str">
        <x:v>RP-08</x:v>
      </x:c>
      <x:c r="F358" s="28" t="n">
        <x:v>2</x:v>
      </x:c>
      <x:c r="G358" s="28" t="str">
        <x:f>IF(D358="","",IF(LEFT(D358,5)="RFP-A",IF(F358=1,"PTC-B","PTC-C"),IF(LEFT(D358,5)="RFP-B",IF(F358=1,"PTC-A","PTC-C"),IF(F358=1,"PTC-A","PTC-B"))))</x:f>
      </x:c>
      <x:c r="H358" s="29" t="str"/>
      <x:c r="I358" s="29" t="str"/>
      <x:c r="J358" s="29" t="str"/>
      <x:c r="K358" s="29" t="str"/>
      <x:c r="L358" s="29" t="str"/>
      <x:c r="M358" s="28" t="str">
        <x:f>IF(AND(C358="RESERVE",D358=""),"DORMANT",IF(L358="","OPEN",IF(AND(G358&lt;&gt;"",H358&lt;&gt;"",I358=H358,J358&lt;&gt;"",K358&lt;&gt;"",J358&lt;&gt;K358),"PASS","FAIL")))</x:f>
        <x:v>OPEN</x:v>
      </x:c>
    </x:row>
    <x:row r="359">
      <x:c r="B359" s="28" t="str">
        <x:v>AT-15</x:v>
      </x:c>
      <x:c r="C359" s="28" t="str">
        <x:v>PRIMARY</x:v>
      </x:c>
      <x:c r="D359" s="28" t="str">
        <x:f>INDEX('Attempt Tokens'!$E$7:$E$36,MATCH(B359,'Attempt Tokens'!$B$7:$B$36,0))</x:f>
      </x:c>
      <x:c r="E359" s="28" t="str">
        <x:v>RP-09</x:v>
      </x:c>
      <x:c r="F359" s="28" t="n">
        <x:v>1</x:v>
      </x:c>
      <x:c r="G359" s="28" t="str">
        <x:f>IF(D359="","",IF(LEFT(D359,5)="RFP-A",IF(F359=1,"PTC-B","PTC-C"),IF(LEFT(D359,5)="RFP-B",IF(F359=1,"PTC-A","PTC-C"),IF(F359=1,"PTC-A","PTC-B"))))</x:f>
      </x:c>
      <x:c r="H359" s="29" t="str"/>
      <x:c r="I359" s="29" t="str"/>
      <x:c r="J359" s="29" t="str"/>
      <x:c r="K359" s="29" t="str"/>
      <x:c r="L359" s="29" t="str"/>
      <x:c r="M359" s="28" t="str">
        <x:f>IF(AND(C359="RESERVE",D359=""),"DORMANT",IF(L359="","OPEN",IF(AND(G359&lt;&gt;"",H359&lt;&gt;"",I359=H359,J359&lt;&gt;"",K359&lt;&gt;"",J359&lt;&gt;K359),"PASS","FAIL")))</x:f>
        <x:v>OPEN</x:v>
      </x:c>
    </x:row>
    <x:row r="360">
      <x:c r="B360" s="28" t="str">
        <x:v>AT-15</x:v>
      </x:c>
      <x:c r="C360" s="28" t="str">
        <x:v>PRIMARY</x:v>
      </x:c>
      <x:c r="D360" s="28" t="str">
        <x:f>INDEX('Attempt Tokens'!$E$7:$E$36,MATCH(B360,'Attempt Tokens'!$B$7:$B$36,0))</x:f>
      </x:c>
      <x:c r="E360" s="28" t="str">
        <x:v>RP-09</x:v>
      </x:c>
      <x:c r="F360" s="28" t="n">
        <x:v>2</x:v>
      </x:c>
      <x:c r="G360" s="28" t="str">
        <x:f>IF(D360="","",IF(LEFT(D360,5)="RFP-A",IF(F360=1,"PTC-B","PTC-C"),IF(LEFT(D360,5)="RFP-B",IF(F360=1,"PTC-A","PTC-C"),IF(F360=1,"PTC-A","PTC-B"))))</x:f>
      </x:c>
      <x:c r="H360" s="29" t="str"/>
      <x:c r="I360" s="29" t="str"/>
      <x:c r="J360" s="29" t="str"/>
      <x:c r="K360" s="29" t="str"/>
      <x:c r="L360" s="29" t="str"/>
      <x:c r="M360" s="28" t="str">
        <x:f>IF(AND(C360="RESERVE",D360=""),"DORMANT",IF(L360="","OPEN",IF(AND(G360&lt;&gt;"",H360&lt;&gt;"",I360=H360,J360&lt;&gt;"",K360&lt;&gt;"",J360&lt;&gt;K360),"PASS","FAIL")))</x:f>
        <x:v>OPEN</x:v>
      </x:c>
    </x:row>
    <x:row r="361">
      <x:c r="B361" s="28" t="str">
        <x:v>AT-15</x:v>
      </x:c>
      <x:c r="C361" s="28" t="str">
        <x:v>PRIMARY</x:v>
      </x:c>
      <x:c r="D361" s="28" t="str">
        <x:f>INDEX('Attempt Tokens'!$E$7:$E$36,MATCH(B361,'Attempt Tokens'!$B$7:$B$36,0))</x:f>
      </x:c>
      <x:c r="E361" s="28" t="str">
        <x:v>RP-10</x:v>
      </x:c>
      <x:c r="F361" s="28" t="n">
        <x:v>1</x:v>
      </x:c>
      <x:c r="G361" s="28" t="str">
        <x:f>IF(D361="","",IF(LEFT(D361,5)="RFP-A",IF(F361=1,"PTC-B","PTC-C"),IF(LEFT(D361,5)="RFP-B",IF(F361=1,"PTC-A","PTC-C"),IF(F361=1,"PTC-A","PTC-B"))))</x:f>
      </x:c>
      <x:c r="H361" s="29" t="str"/>
      <x:c r="I361" s="29" t="str"/>
      <x:c r="J361" s="29" t="str"/>
      <x:c r="K361" s="29" t="str"/>
      <x:c r="L361" s="29" t="str"/>
      <x:c r="M361" s="28" t="str">
        <x:f>IF(AND(C361="RESERVE",D361=""),"DORMANT",IF(L361="","OPEN",IF(AND(G361&lt;&gt;"",H361&lt;&gt;"",I361=H361,J361&lt;&gt;"",K361&lt;&gt;"",J361&lt;&gt;K361),"PASS","FAIL")))</x:f>
        <x:v>OPEN</x:v>
      </x:c>
    </x:row>
    <x:row r="362">
      <x:c r="B362" s="28" t="str">
        <x:v>AT-15</x:v>
      </x:c>
      <x:c r="C362" s="28" t="str">
        <x:v>PRIMARY</x:v>
      </x:c>
      <x:c r="D362" s="28" t="str">
        <x:f>INDEX('Attempt Tokens'!$E$7:$E$36,MATCH(B362,'Attempt Tokens'!$B$7:$B$36,0))</x:f>
      </x:c>
      <x:c r="E362" s="28" t="str">
        <x:v>RP-10</x:v>
      </x:c>
      <x:c r="F362" s="28" t="n">
        <x:v>2</x:v>
      </x:c>
      <x:c r="G362" s="28" t="str">
        <x:f>IF(D362="","",IF(LEFT(D362,5)="RFP-A",IF(F362=1,"PTC-B","PTC-C"),IF(LEFT(D362,5)="RFP-B",IF(F362=1,"PTC-A","PTC-C"),IF(F362=1,"PTC-A","PTC-B"))))</x:f>
      </x:c>
      <x:c r="H362" s="29" t="str"/>
      <x:c r="I362" s="29" t="str"/>
      <x:c r="J362" s="29" t="str"/>
      <x:c r="K362" s="29" t="str"/>
      <x:c r="L362" s="29" t="str"/>
      <x:c r="M362" s="28" t="str">
        <x:f>IF(AND(C362="RESERVE",D362=""),"DORMANT",IF(L362="","OPEN",IF(AND(G362&lt;&gt;"",H362&lt;&gt;"",I362=H362,J362&lt;&gt;"",K362&lt;&gt;"",J362&lt;&gt;K362),"PASS","FAIL")))</x:f>
        <x:v>OPEN</x:v>
      </x:c>
    </x:row>
    <x:row r="363">
      <x:c r="B363" s="28" t="str">
        <x:v>AT-15</x:v>
      </x:c>
      <x:c r="C363" s="28" t="str">
        <x:v>PRIMARY</x:v>
      </x:c>
      <x:c r="D363" s="28" t="str">
        <x:f>INDEX('Attempt Tokens'!$E$7:$E$36,MATCH(B363,'Attempt Tokens'!$B$7:$B$36,0))</x:f>
      </x:c>
      <x:c r="E363" s="28" t="str">
        <x:v>RP-11</x:v>
      </x:c>
      <x:c r="F363" s="28" t="n">
        <x:v>1</x:v>
      </x:c>
      <x:c r="G363" s="28" t="str">
        <x:f>IF(D363="","",IF(LEFT(D363,5)="RFP-A",IF(F363=1,"PTC-B","PTC-C"),IF(LEFT(D363,5)="RFP-B",IF(F363=1,"PTC-A","PTC-C"),IF(F363=1,"PTC-A","PTC-B"))))</x:f>
      </x:c>
      <x:c r="H363" s="29" t="str"/>
      <x:c r="I363" s="29" t="str"/>
      <x:c r="J363" s="29" t="str"/>
      <x:c r="K363" s="29" t="str"/>
      <x:c r="L363" s="29" t="str"/>
      <x:c r="M363" s="28" t="str">
        <x:f>IF(AND(C363="RESERVE",D363=""),"DORMANT",IF(L363="","OPEN",IF(AND(G363&lt;&gt;"",H363&lt;&gt;"",I363=H363,J363&lt;&gt;"",K363&lt;&gt;"",J363&lt;&gt;K363),"PASS","FAIL")))</x:f>
        <x:v>OPEN</x:v>
      </x:c>
    </x:row>
    <x:row r="364">
      <x:c r="B364" s="28" t="str">
        <x:v>AT-15</x:v>
      </x:c>
      <x:c r="C364" s="28" t="str">
        <x:v>PRIMARY</x:v>
      </x:c>
      <x:c r="D364" s="28" t="str">
        <x:f>INDEX('Attempt Tokens'!$E$7:$E$36,MATCH(B364,'Attempt Tokens'!$B$7:$B$36,0))</x:f>
      </x:c>
      <x:c r="E364" s="28" t="str">
        <x:v>RP-11</x:v>
      </x:c>
      <x:c r="F364" s="28" t="n">
        <x:v>2</x:v>
      </x:c>
      <x:c r="G364" s="28" t="str">
        <x:f>IF(D364="","",IF(LEFT(D364,5)="RFP-A",IF(F364=1,"PTC-B","PTC-C"),IF(LEFT(D364,5)="RFP-B",IF(F364=1,"PTC-A","PTC-C"),IF(F364=1,"PTC-A","PTC-B"))))</x:f>
      </x:c>
      <x:c r="H364" s="29" t="str"/>
      <x:c r="I364" s="29" t="str"/>
      <x:c r="J364" s="29" t="str"/>
      <x:c r="K364" s="29" t="str"/>
      <x:c r="L364" s="29" t="str"/>
      <x:c r="M364" s="28" t="str">
        <x:f>IF(AND(C364="RESERVE",D364=""),"DORMANT",IF(L364="","OPEN",IF(AND(G364&lt;&gt;"",H364&lt;&gt;"",I364=H364,J364&lt;&gt;"",K364&lt;&gt;"",J364&lt;&gt;K364),"PASS","FAIL")))</x:f>
        <x:v>OPEN</x:v>
      </x:c>
    </x:row>
    <x:row r="365">
      <x:c r="B365" s="28" t="str">
        <x:v>AT-15</x:v>
      </x:c>
      <x:c r="C365" s="28" t="str">
        <x:v>PRIMARY</x:v>
      </x:c>
      <x:c r="D365" s="28" t="str">
        <x:f>INDEX('Attempt Tokens'!$E$7:$E$36,MATCH(B365,'Attempt Tokens'!$B$7:$B$36,0))</x:f>
      </x:c>
      <x:c r="E365" s="28" t="str">
        <x:v>RP-12</x:v>
      </x:c>
      <x:c r="F365" s="28" t="n">
        <x:v>1</x:v>
      </x:c>
      <x:c r="G365" s="28" t="str">
        <x:f>IF(D365="","",IF(LEFT(D365,5)="RFP-A",IF(F365=1,"PTC-B","PTC-C"),IF(LEFT(D365,5)="RFP-B",IF(F365=1,"PTC-A","PTC-C"),IF(F365=1,"PTC-A","PTC-B"))))</x:f>
      </x:c>
      <x:c r="H365" s="29" t="str"/>
      <x:c r="I365" s="29" t="str"/>
      <x:c r="J365" s="29" t="str"/>
      <x:c r="K365" s="29" t="str"/>
      <x:c r="L365" s="29" t="str"/>
      <x:c r="M365" s="28" t="str">
        <x:f>IF(AND(C365="RESERVE",D365=""),"DORMANT",IF(L365="","OPEN",IF(AND(G365&lt;&gt;"",H365&lt;&gt;"",I365=H365,J365&lt;&gt;"",K365&lt;&gt;"",J365&lt;&gt;K365),"PASS","FAIL")))</x:f>
        <x:v>OPEN</x:v>
      </x:c>
    </x:row>
    <x:row r="366">
      <x:c r="B366" s="28" t="str">
        <x:v>AT-15</x:v>
      </x:c>
      <x:c r="C366" s="28" t="str">
        <x:v>PRIMARY</x:v>
      </x:c>
      <x:c r="D366" s="28" t="str">
        <x:f>INDEX('Attempt Tokens'!$E$7:$E$36,MATCH(B366,'Attempt Tokens'!$B$7:$B$36,0))</x:f>
      </x:c>
      <x:c r="E366" s="28" t="str">
        <x:v>RP-12</x:v>
      </x:c>
      <x:c r="F366" s="28" t="n">
        <x:v>2</x:v>
      </x:c>
      <x:c r="G366" s="28" t="str">
        <x:f>IF(D366="","",IF(LEFT(D366,5)="RFP-A",IF(F366=1,"PTC-B","PTC-C"),IF(LEFT(D366,5)="RFP-B",IF(F366=1,"PTC-A","PTC-C"),IF(F366=1,"PTC-A","PTC-B"))))</x:f>
      </x:c>
      <x:c r="H366" s="29" t="str"/>
      <x:c r="I366" s="29" t="str"/>
      <x:c r="J366" s="29" t="str"/>
      <x:c r="K366" s="29" t="str"/>
      <x:c r="L366" s="29" t="str"/>
      <x:c r="M366" s="28" t="str">
        <x:f>IF(AND(C366="RESERVE",D366=""),"DORMANT",IF(L366="","OPEN",IF(AND(G366&lt;&gt;"",H366&lt;&gt;"",I366=H366,J366&lt;&gt;"",K366&lt;&gt;"",J366&lt;&gt;K366),"PASS","FAIL")))</x:f>
        <x:v>OPEN</x:v>
      </x:c>
    </x:row>
    <x:row r="367">
      <x:c r="B367" s="28" t="str">
        <x:v>AT-16</x:v>
      </x:c>
      <x:c r="C367" s="28" t="str">
        <x:v>PRIMARY</x:v>
      </x:c>
      <x:c r="D367" s="28" t="str">
        <x:f>INDEX('Attempt Tokens'!$E$7:$E$36,MATCH(B367,'Attempt Tokens'!$B$7:$B$36,0))</x:f>
      </x:c>
      <x:c r="E367" s="28" t="str">
        <x:v>RP-01</x:v>
      </x:c>
      <x:c r="F367" s="28" t="n">
        <x:v>1</x:v>
      </x:c>
      <x:c r="G367" s="28" t="str">
        <x:f>IF(D367="","",IF(LEFT(D367,5)="RFP-A",IF(F367=1,"PTC-B","PTC-C"),IF(LEFT(D367,5)="RFP-B",IF(F367=1,"PTC-A","PTC-C"),IF(F367=1,"PTC-A","PTC-B"))))</x:f>
      </x:c>
      <x:c r="H367" s="29" t="str"/>
      <x:c r="I367" s="29" t="str"/>
      <x:c r="J367" s="29" t="str"/>
      <x:c r="K367" s="29" t="str"/>
      <x:c r="L367" s="29" t="str"/>
      <x:c r="M367" s="28" t="str">
        <x:f>IF(AND(C367="RESERVE",D367=""),"DORMANT",IF(L367="","OPEN",IF(AND(G367&lt;&gt;"",H367&lt;&gt;"",I367=H367,J367&lt;&gt;"",K367&lt;&gt;"",J367&lt;&gt;K367),"PASS","FAIL")))</x:f>
        <x:v>OPEN</x:v>
      </x:c>
    </x:row>
    <x:row r="368">
      <x:c r="B368" s="28" t="str">
        <x:v>AT-16</x:v>
      </x:c>
      <x:c r="C368" s="28" t="str">
        <x:v>PRIMARY</x:v>
      </x:c>
      <x:c r="D368" s="28" t="str">
        <x:f>INDEX('Attempt Tokens'!$E$7:$E$36,MATCH(B368,'Attempt Tokens'!$B$7:$B$36,0))</x:f>
      </x:c>
      <x:c r="E368" s="28" t="str">
        <x:v>RP-01</x:v>
      </x:c>
      <x:c r="F368" s="28" t="n">
        <x:v>2</x:v>
      </x:c>
      <x:c r="G368" s="28" t="str">
        <x:f>IF(D368="","",IF(LEFT(D368,5)="RFP-A",IF(F368=1,"PTC-B","PTC-C"),IF(LEFT(D368,5)="RFP-B",IF(F368=1,"PTC-A","PTC-C"),IF(F368=1,"PTC-A","PTC-B"))))</x:f>
      </x:c>
      <x:c r="H368" s="29" t="str"/>
      <x:c r="I368" s="29" t="str"/>
      <x:c r="J368" s="29" t="str"/>
      <x:c r="K368" s="29" t="str"/>
      <x:c r="L368" s="29" t="str"/>
      <x:c r="M368" s="28" t="str">
        <x:f>IF(AND(C368="RESERVE",D368=""),"DORMANT",IF(L368="","OPEN",IF(AND(G368&lt;&gt;"",H368&lt;&gt;"",I368=H368,J368&lt;&gt;"",K368&lt;&gt;"",J368&lt;&gt;K368),"PASS","FAIL")))</x:f>
        <x:v>OPEN</x:v>
      </x:c>
    </x:row>
    <x:row r="369">
      <x:c r="B369" s="28" t="str">
        <x:v>AT-16</x:v>
      </x:c>
      <x:c r="C369" s="28" t="str">
        <x:v>PRIMARY</x:v>
      </x:c>
      <x:c r="D369" s="28" t="str">
        <x:f>INDEX('Attempt Tokens'!$E$7:$E$36,MATCH(B369,'Attempt Tokens'!$B$7:$B$36,0))</x:f>
      </x:c>
      <x:c r="E369" s="28" t="str">
        <x:v>RP-02</x:v>
      </x:c>
      <x:c r="F369" s="28" t="n">
        <x:v>1</x:v>
      </x:c>
      <x:c r="G369" s="28" t="str">
        <x:f>IF(D369="","",IF(LEFT(D369,5)="RFP-A",IF(F369=1,"PTC-B","PTC-C"),IF(LEFT(D369,5)="RFP-B",IF(F369=1,"PTC-A","PTC-C"),IF(F369=1,"PTC-A","PTC-B"))))</x:f>
      </x:c>
      <x:c r="H369" s="29" t="str"/>
      <x:c r="I369" s="29" t="str"/>
      <x:c r="J369" s="29" t="str"/>
      <x:c r="K369" s="29" t="str"/>
      <x:c r="L369" s="29" t="str"/>
      <x:c r="M369" s="28" t="str">
        <x:f>IF(AND(C369="RESERVE",D369=""),"DORMANT",IF(L369="","OPEN",IF(AND(G369&lt;&gt;"",H369&lt;&gt;"",I369=H369,J369&lt;&gt;"",K369&lt;&gt;"",J369&lt;&gt;K369),"PASS","FAIL")))</x:f>
        <x:v>OPEN</x:v>
      </x:c>
    </x:row>
    <x:row r="370">
      <x:c r="B370" s="28" t="str">
        <x:v>AT-16</x:v>
      </x:c>
      <x:c r="C370" s="28" t="str">
        <x:v>PRIMARY</x:v>
      </x:c>
      <x:c r="D370" s="28" t="str">
        <x:f>INDEX('Attempt Tokens'!$E$7:$E$36,MATCH(B370,'Attempt Tokens'!$B$7:$B$36,0))</x:f>
      </x:c>
      <x:c r="E370" s="28" t="str">
        <x:v>RP-02</x:v>
      </x:c>
      <x:c r="F370" s="28" t="n">
        <x:v>2</x:v>
      </x:c>
      <x:c r="G370" s="28" t="str">
        <x:f>IF(D370="","",IF(LEFT(D370,5)="RFP-A",IF(F370=1,"PTC-B","PTC-C"),IF(LEFT(D370,5)="RFP-B",IF(F370=1,"PTC-A","PTC-C"),IF(F370=1,"PTC-A","PTC-B"))))</x:f>
      </x:c>
      <x:c r="H370" s="29" t="str"/>
      <x:c r="I370" s="29" t="str"/>
      <x:c r="J370" s="29" t="str"/>
      <x:c r="K370" s="29" t="str"/>
      <x:c r="L370" s="29" t="str"/>
      <x:c r="M370" s="28" t="str">
        <x:f>IF(AND(C370="RESERVE",D370=""),"DORMANT",IF(L370="","OPEN",IF(AND(G370&lt;&gt;"",H370&lt;&gt;"",I370=H370,J370&lt;&gt;"",K370&lt;&gt;"",J370&lt;&gt;K370),"PASS","FAIL")))</x:f>
        <x:v>OPEN</x:v>
      </x:c>
    </x:row>
    <x:row r="371">
      <x:c r="B371" s="28" t="str">
        <x:v>AT-16</x:v>
      </x:c>
      <x:c r="C371" s="28" t="str">
        <x:v>PRIMARY</x:v>
      </x:c>
      <x:c r="D371" s="28" t="str">
        <x:f>INDEX('Attempt Tokens'!$E$7:$E$36,MATCH(B371,'Attempt Tokens'!$B$7:$B$36,0))</x:f>
      </x:c>
      <x:c r="E371" s="28" t="str">
        <x:v>RP-03</x:v>
      </x:c>
      <x:c r="F371" s="28" t="n">
        <x:v>1</x:v>
      </x:c>
      <x:c r="G371" s="28" t="str">
        <x:f>IF(D371="","",IF(LEFT(D371,5)="RFP-A",IF(F371=1,"PTC-B","PTC-C"),IF(LEFT(D371,5)="RFP-B",IF(F371=1,"PTC-A","PTC-C"),IF(F371=1,"PTC-A","PTC-B"))))</x:f>
      </x:c>
      <x:c r="H371" s="29" t="str"/>
      <x:c r="I371" s="29" t="str"/>
      <x:c r="J371" s="29" t="str"/>
      <x:c r="K371" s="29" t="str"/>
      <x:c r="L371" s="29" t="str"/>
      <x:c r="M371" s="28" t="str">
        <x:f>IF(AND(C371="RESERVE",D371=""),"DORMANT",IF(L371="","OPEN",IF(AND(G371&lt;&gt;"",H371&lt;&gt;"",I371=H371,J371&lt;&gt;"",K371&lt;&gt;"",J371&lt;&gt;K371),"PASS","FAIL")))</x:f>
        <x:v>OPEN</x:v>
      </x:c>
    </x:row>
    <x:row r="372">
      <x:c r="B372" s="28" t="str">
        <x:v>AT-16</x:v>
      </x:c>
      <x:c r="C372" s="28" t="str">
        <x:v>PRIMARY</x:v>
      </x:c>
      <x:c r="D372" s="28" t="str">
        <x:f>INDEX('Attempt Tokens'!$E$7:$E$36,MATCH(B372,'Attempt Tokens'!$B$7:$B$36,0))</x:f>
      </x:c>
      <x:c r="E372" s="28" t="str">
        <x:v>RP-03</x:v>
      </x:c>
      <x:c r="F372" s="28" t="n">
        <x:v>2</x:v>
      </x:c>
      <x:c r="G372" s="28" t="str">
        <x:f>IF(D372="","",IF(LEFT(D372,5)="RFP-A",IF(F372=1,"PTC-B","PTC-C"),IF(LEFT(D372,5)="RFP-B",IF(F372=1,"PTC-A","PTC-C"),IF(F372=1,"PTC-A","PTC-B"))))</x:f>
      </x:c>
      <x:c r="H372" s="29" t="str"/>
      <x:c r="I372" s="29" t="str"/>
      <x:c r="J372" s="29" t="str"/>
      <x:c r="K372" s="29" t="str"/>
      <x:c r="L372" s="29" t="str"/>
      <x:c r="M372" s="28" t="str">
        <x:f>IF(AND(C372="RESERVE",D372=""),"DORMANT",IF(L372="","OPEN",IF(AND(G372&lt;&gt;"",H372&lt;&gt;"",I372=H372,J372&lt;&gt;"",K372&lt;&gt;"",J372&lt;&gt;K372),"PASS","FAIL")))</x:f>
        <x:v>OPEN</x:v>
      </x:c>
    </x:row>
    <x:row r="373">
      <x:c r="B373" s="28" t="str">
        <x:v>AT-16</x:v>
      </x:c>
      <x:c r="C373" s="28" t="str">
        <x:v>PRIMARY</x:v>
      </x:c>
      <x:c r="D373" s="28" t="str">
        <x:f>INDEX('Attempt Tokens'!$E$7:$E$36,MATCH(B373,'Attempt Tokens'!$B$7:$B$36,0))</x:f>
      </x:c>
      <x:c r="E373" s="28" t="str">
        <x:v>RP-04</x:v>
      </x:c>
      <x:c r="F373" s="28" t="n">
        <x:v>1</x:v>
      </x:c>
      <x:c r="G373" s="28" t="str">
        <x:f>IF(D373="","",IF(LEFT(D373,5)="RFP-A",IF(F373=1,"PTC-B","PTC-C"),IF(LEFT(D373,5)="RFP-B",IF(F373=1,"PTC-A","PTC-C"),IF(F373=1,"PTC-A","PTC-B"))))</x:f>
      </x:c>
      <x:c r="H373" s="29" t="str"/>
      <x:c r="I373" s="29" t="str"/>
      <x:c r="J373" s="29" t="str"/>
      <x:c r="K373" s="29" t="str"/>
      <x:c r="L373" s="29" t="str"/>
      <x:c r="M373" s="28" t="str">
        <x:f>IF(AND(C373="RESERVE",D373=""),"DORMANT",IF(L373="","OPEN",IF(AND(G373&lt;&gt;"",H373&lt;&gt;"",I373=H373,J373&lt;&gt;"",K373&lt;&gt;"",J373&lt;&gt;K373),"PASS","FAIL")))</x:f>
        <x:v>OPEN</x:v>
      </x:c>
    </x:row>
    <x:row r="374">
      <x:c r="B374" s="28" t="str">
        <x:v>AT-16</x:v>
      </x:c>
      <x:c r="C374" s="28" t="str">
        <x:v>PRIMARY</x:v>
      </x:c>
      <x:c r="D374" s="28" t="str">
        <x:f>INDEX('Attempt Tokens'!$E$7:$E$36,MATCH(B374,'Attempt Tokens'!$B$7:$B$36,0))</x:f>
      </x:c>
      <x:c r="E374" s="28" t="str">
        <x:v>RP-04</x:v>
      </x:c>
      <x:c r="F374" s="28" t="n">
        <x:v>2</x:v>
      </x:c>
      <x:c r="G374" s="28" t="str">
        <x:f>IF(D374="","",IF(LEFT(D374,5)="RFP-A",IF(F374=1,"PTC-B","PTC-C"),IF(LEFT(D374,5)="RFP-B",IF(F374=1,"PTC-A","PTC-C"),IF(F374=1,"PTC-A","PTC-B"))))</x:f>
      </x:c>
      <x:c r="H374" s="29" t="str"/>
      <x:c r="I374" s="29" t="str"/>
      <x:c r="J374" s="29" t="str"/>
      <x:c r="K374" s="29" t="str"/>
      <x:c r="L374" s="29" t="str"/>
      <x:c r="M374" s="28" t="str">
        <x:f>IF(AND(C374="RESERVE",D374=""),"DORMANT",IF(L374="","OPEN",IF(AND(G374&lt;&gt;"",H374&lt;&gt;"",I374=H374,J374&lt;&gt;"",K374&lt;&gt;"",J374&lt;&gt;K374),"PASS","FAIL")))</x:f>
        <x:v>OPEN</x:v>
      </x:c>
    </x:row>
    <x:row r="375">
      <x:c r="B375" s="28" t="str">
        <x:v>AT-16</x:v>
      </x:c>
      <x:c r="C375" s="28" t="str">
        <x:v>PRIMARY</x:v>
      </x:c>
      <x:c r="D375" s="28" t="str">
        <x:f>INDEX('Attempt Tokens'!$E$7:$E$36,MATCH(B375,'Attempt Tokens'!$B$7:$B$36,0))</x:f>
      </x:c>
      <x:c r="E375" s="28" t="str">
        <x:v>RP-05</x:v>
      </x:c>
      <x:c r="F375" s="28" t="n">
        <x:v>1</x:v>
      </x:c>
      <x:c r="G375" s="28" t="str">
        <x:f>IF(D375="","",IF(LEFT(D375,5)="RFP-A",IF(F375=1,"PTC-B","PTC-C"),IF(LEFT(D375,5)="RFP-B",IF(F375=1,"PTC-A","PTC-C"),IF(F375=1,"PTC-A","PTC-B"))))</x:f>
      </x:c>
      <x:c r="H375" s="29" t="str"/>
      <x:c r="I375" s="29" t="str"/>
      <x:c r="J375" s="29" t="str"/>
      <x:c r="K375" s="29" t="str"/>
      <x:c r="L375" s="29" t="str"/>
      <x:c r="M375" s="28" t="str">
        <x:f>IF(AND(C375="RESERVE",D375=""),"DORMANT",IF(L375="","OPEN",IF(AND(G375&lt;&gt;"",H375&lt;&gt;"",I375=H375,J375&lt;&gt;"",K375&lt;&gt;"",J375&lt;&gt;K375),"PASS","FAIL")))</x:f>
        <x:v>OPEN</x:v>
      </x:c>
    </x:row>
    <x:row r="376">
      <x:c r="B376" s="28" t="str">
        <x:v>AT-16</x:v>
      </x:c>
      <x:c r="C376" s="28" t="str">
        <x:v>PRIMARY</x:v>
      </x:c>
      <x:c r="D376" s="28" t="str">
        <x:f>INDEX('Attempt Tokens'!$E$7:$E$36,MATCH(B376,'Attempt Tokens'!$B$7:$B$36,0))</x:f>
      </x:c>
      <x:c r="E376" s="28" t="str">
        <x:v>RP-05</x:v>
      </x:c>
      <x:c r="F376" s="28" t="n">
        <x:v>2</x:v>
      </x:c>
      <x:c r="G376" s="28" t="str">
        <x:f>IF(D376="","",IF(LEFT(D376,5)="RFP-A",IF(F376=1,"PTC-B","PTC-C"),IF(LEFT(D376,5)="RFP-B",IF(F376=1,"PTC-A","PTC-C"),IF(F376=1,"PTC-A","PTC-B"))))</x:f>
      </x:c>
      <x:c r="H376" s="29" t="str"/>
      <x:c r="I376" s="29" t="str"/>
      <x:c r="J376" s="29" t="str"/>
      <x:c r="K376" s="29" t="str"/>
      <x:c r="L376" s="29" t="str"/>
      <x:c r="M376" s="28" t="str">
        <x:f>IF(AND(C376="RESERVE",D376=""),"DORMANT",IF(L376="","OPEN",IF(AND(G376&lt;&gt;"",H376&lt;&gt;"",I376=H376,J376&lt;&gt;"",K376&lt;&gt;"",J376&lt;&gt;K376),"PASS","FAIL")))</x:f>
        <x:v>OPEN</x:v>
      </x:c>
    </x:row>
    <x:row r="377">
      <x:c r="B377" s="28" t="str">
        <x:v>AT-16</x:v>
      </x:c>
      <x:c r="C377" s="28" t="str">
        <x:v>PRIMARY</x:v>
      </x:c>
      <x:c r="D377" s="28" t="str">
        <x:f>INDEX('Attempt Tokens'!$E$7:$E$36,MATCH(B377,'Attempt Tokens'!$B$7:$B$36,0))</x:f>
      </x:c>
      <x:c r="E377" s="28" t="str">
        <x:v>RP-06</x:v>
      </x:c>
      <x:c r="F377" s="28" t="n">
        <x:v>1</x:v>
      </x:c>
      <x:c r="G377" s="28" t="str">
        <x:f>IF(D377="","",IF(LEFT(D377,5)="RFP-A",IF(F377=1,"PTC-B","PTC-C"),IF(LEFT(D377,5)="RFP-B",IF(F377=1,"PTC-A","PTC-C"),IF(F377=1,"PTC-A","PTC-B"))))</x:f>
      </x:c>
      <x:c r="H377" s="29" t="str"/>
      <x:c r="I377" s="29" t="str"/>
      <x:c r="J377" s="29" t="str"/>
      <x:c r="K377" s="29" t="str"/>
      <x:c r="L377" s="29" t="str"/>
      <x:c r="M377" s="28" t="str">
        <x:f>IF(AND(C377="RESERVE",D377=""),"DORMANT",IF(L377="","OPEN",IF(AND(G377&lt;&gt;"",H377&lt;&gt;"",I377=H377,J377&lt;&gt;"",K377&lt;&gt;"",J377&lt;&gt;K377),"PASS","FAIL")))</x:f>
        <x:v>OPEN</x:v>
      </x:c>
    </x:row>
    <x:row r="378">
      <x:c r="B378" s="28" t="str">
        <x:v>AT-16</x:v>
      </x:c>
      <x:c r="C378" s="28" t="str">
        <x:v>PRIMARY</x:v>
      </x:c>
      <x:c r="D378" s="28" t="str">
        <x:f>INDEX('Attempt Tokens'!$E$7:$E$36,MATCH(B378,'Attempt Tokens'!$B$7:$B$36,0))</x:f>
      </x:c>
      <x:c r="E378" s="28" t="str">
        <x:v>RP-06</x:v>
      </x:c>
      <x:c r="F378" s="28" t="n">
        <x:v>2</x:v>
      </x:c>
      <x:c r="G378" s="28" t="str">
        <x:f>IF(D378="","",IF(LEFT(D378,5)="RFP-A",IF(F378=1,"PTC-B","PTC-C"),IF(LEFT(D378,5)="RFP-B",IF(F378=1,"PTC-A","PTC-C"),IF(F378=1,"PTC-A","PTC-B"))))</x:f>
      </x:c>
      <x:c r="H378" s="29" t="str"/>
      <x:c r="I378" s="29" t="str"/>
      <x:c r="J378" s="29" t="str"/>
      <x:c r="K378" s="29" t="str"/>
      <x:c r="L378" s="29" t="str"/>
      <x:c r="M378" s="28" t="str">
        <x:f>IF(AND(C378="RESERVE",D378=""),"DORMANT",IF(L378="","OPEN",IF(AND(G378&lt;&gt;"",H378&lt;&gt;"",I378=H378,J378&lt;&gt;"",K378&lt;&gt;"",J378&lt;&gt;K378),"PASS","FAIL")))</x:f>
        <x:v>OPEN</x:v>
      </x:c>
    </x:row>
    <x:row r="379">
      <x:c r="B379" s="28" t="str">
        <x:v>AT-16</x:v>
      </x:c>
      <x:c r="C379" s="28" t="str">
        <x:v>PRIMARY</x:v>
      </x:c>
      <x:c r="D379" s="28" t="str">
        <x:f>INDEX('Attempt Tokens'!$E$7:$E$36,MATCH(B379,'Attempt Tokens'!$B$7:$B$36,0))</x:f>
      </x:c>
      <x:c r="E379" s="28" t="str">
        <x:v>RP-07</x:v>
      </x:c>
      <x:c r="F379" s="28" t="n">
        <x:v>1</x:v>
      </x:c>
      <x:c r="G379" s="28" t="str">
        <x:f>IF(D379="","",IF(LEFT(D379,5)="RFP-A",IF(F379=1,"PTC-B","PTC-C"),IF(LEFT(D379,5)="RFP-B",IF(F379=1,"PTC-A","PTC-C"),IF(F379=1,"PTC-A","PTC-B"))))</x:f>
      </x:c>
      <x:c r="H379" s="29" t="str"/>
      <x:c r="I379" s="29" t="str"/>
      <x:c r="J379" s="29" t="str"/>
      <x:c r="K379" s="29" t="str"/>
      <x:c r="L379" s="29" t="str"/>
      <x:c r="M379" s="28" t="str">
        <x:f>IF(AND(C379="RESERVE",D379=""),"DORMANT",IF(L379="","OPEN",IF(AND(G379&lt;&gt;"",H379&lt;&gt;"",I379=H379,J379&lt;&gt;"",K379&lt;&gt;"",J379&lt;&gt;K379),"PASS","FAIL")))</x:f>
        <x:v>OPEN</x:v>
      </x:c>
    </x:row>
    <x:row r="380">
      <x:c r="B380" s="28" t="str">
        <x:v>AT-16</x:v>
      </x:c>
      <x:c r="C380" s="28" t="str">
        <x:v>PRIMARY</x:v>
      </x:c>
      <x:c r="D380" s="28" t="str">
        <x:f>INDEX('Attempt Tokens'!$E$7:$E$36,MATCH(B380,'Attempt Tokens'!$B$7:$B$36,0))</x:f>
      </x:c>
      <x:c r="E380" s="28" t="str">
        <x:v>RP-07</x:v>
      </x:c>
      <x:c r="F380" s="28" t="n">
        <x:v>2</x:v>
      </x:c>
      <x:c r="G380" s="28" t="str">
        <x:f>IF(D380="","",IF(LEFT(D380,5)="RFP-A",IF(F380=1,"PTC-B","PTC-C"),IF(LEFT(D380,5)="RFP-B",IF(F380=1,"PTC-A","PTC-C"),IF(F380=1,"PTC-A","PTC-B"))))</x:f>
      </x:c>
      <x:c r="H380" s="29" t="str"/>
      <x:c r="I380" s="29" t="str"/>
      <x:c r="J380" s="29" t="str"/>
      <x:c r="K380" s="29" t="str"/>
      <x:c r="L380" s="29" t="str"/>
      <x:c r="M380" s="28" t="str">
        <x:f>IF(AND(C380="RESERVE",D380=""),"DORMANT",IF(L380="","OPEN",IF(AND(G380&lt;&gt;"",H380&lt;&gt;"",I380=H380,J380&lt;&gt;"",K380&lt;&gt;"",J380&lt;&gt;K380),"PASS","FAIL")))</x:f>
        <x:v>OPEN</x:v>
      </x:c>
    </x:row>
    <x:row r="381">
      <x:c r="B381" s="28" t="str">
        <x:v>AT-16</x:v>
      </x:c>
      <x:c r="C381" s="28" t="str">
        <x:v>PRIMARY</x:v>
      </x:c>
      <x:c r="D381" s="28" t="str">
        <x:f>INDEX('Attempt Tokens'!$E$7:$E$36,MATCH(B381,'Attempt Tokens'!$B$7:$B$36,0))</x:f>
      </x:c>
      <x:c r="E381" s="28" t="str">
        <x:v>RP-08</x:v>
      </x:c>
      <x:c r="F381" s="28" t="n">
        <x:v>1</x:v>
      </x:c>
      <x:c r="G381" s="28" t="str">
        <x:f>IF(D381="","",IF(LEFT(D381,5)="RFP-A",IF(F381=1,"PTC-B","PTC-C"),IF(LEFT(D381,5)="RFP-B",IF(F381=1,"PTC-A","PTC-C"),IF(F381=1,"PTC-A","PTC-B"))))</x:f>
      </x:c>
      <x:c r="H381" s="29" t="str"/>
      <x:c r="I381" s="29" t="str"/>
      <x:c r="J381" s="29" t="str"/>
      <x:c r="K381" s="29" t="str"/>
      <x:c r="L381" s="29" t="str"/>
      <x:c r="M381" s="28" t="str">
        <x:f>IF(AND(C381="RESERVE",D381=""),"DORMANT",IF(L381="","OPEN",IF(AND(G381&lt;&gt;"",H381&lt;&gt;"",I381=H381,J381&lt;&gt;"",K381&lt;&gt;"",J381&lt;&gt;K381),"PASS","FAIL")))</x:f>
        <x:v>OPEN</x:v>
      </x:c>
    </x:row>
    <x:row r="382">
      <x:c r="B382" s="28" t="str">
        <x:v>AT-16</x:v>
      </x:c>
      <x:c r="C382" s="28" t="str">
        <x:v>PRIMARY</x:v>
      </x:c>
      <x:c r="D382" s="28" t="str">
        <x:f>INDEX('Attempt Tokens'!$E$7:$E$36,MATCH(B382,'Attempt Tokens'!$B$7:$B$36,0))</x:f>
      </x:c>
      <x:c r="E382" s="28" t="str">
        <x:v>RP-08</x:v>
      </x:c>
      <x:c r="F382" s="28" t="n">
        <x:v>2</x:v>
      </x:c>
      <x:c r="G382" s="28" t="str">
        <x:f>IF(D382="","",IF(LEFT(D382,5)="RFP-A",IF(F382=1,"PTC-B","PTC-C"),IF(LEFT(D382,5)="RFP-B",IF(F382=1,"PTC-A","PTC-C"),IF(F382=1,"PTC-A","PTC-B"))))</x:f>
      </x:c>
      <x:c r="H382" s="29" t="str"/>
      <x:c r="I382" s="29" t="str"/>
      <x:c r="J382" s="29" t="str"/>
      <x:c r="K382" s="29" t="str"/>
      <x:c r="L382" s="29" t="str"/>
      <x:c r="M382" s="28" t="str">
        <x:f>IF(AND(C382="RESERVE",D382=""),"DORMANT",IF(L382="","OPEN",IF(AND(G382&lt;&gt;"",H382&lt;&gt;"",I382=H382,J382&lt;&gt;"",K382&lt;&gt;"",J382&lt;&gt;K382),"PASS","FAIL")))</x:f>
        <x:v>OPEN</x:v>
      </x:c>
    </x:row>
    <x:row r="383">
      <x:c r="B383" s="28" t="str">
        <x:v>AT-16</x:v>
      </x:c>
      <x:c r="C383" s="28" t="str">
        <x:v>PRIMARY</x:v>
      </x:c>
      <x:c r="D383" s="28" t="str">
        <x:f>INDEX('Attempt Tokens'!$E$7:$E$36,MATCH(B383,'Attempt Tokens'!$B$7:$B$36,0))</x:f>
      </x:c>
      <x:c r="E383" s="28" t="str">
        <x:v>RP-09</x:v>
      </x:c>
      <x:c r="F383" s="28" t="n">
        <x:v>1</x:v>
      </x:c>
      <x:c r="G383" s="28" t="str">
        <x:f>IF(D383="","",IF(LEFT(D383,5)="RFP-A",IF(F383=1,"PTC-B","PTC-C"),IF(LEFT(D383,5)="RFP-B",IF(F383=1,"PTC-A","PTC-C"),IF(F383=1,"PTC-A","PTC-B"))))</x:f>
      </x:c>
      <x:c r="H383" s="29" t="str"/>
      <x:c r="I383" s="29" t="str"/>
      <x:c r="J383" s="29" t="str"/>
      <x:c r="K383" s="29" t="str"/>
      <x:c r="L383" s="29" t="str"/>
      <x:c r="M383" s="28" t="str">
        <x:f>IF(AND(C383="RESERVE",D383=""),"DORMANT",IF(L383="","OPEN",IF(AND(G383&lt;&gt;"",H383&lt;&gt;"",I383=H383,J383&lt;&gt;"",K383&lt;&gt;"",J383&lt;&gt;K383),"PASS","FAIL")))</x:f>
        <x:v>OPEN</x:v>
      </x:c>
    </x:row>
    <x:row r="384">
      <x:c r="B384" s="28" t="str">
        <x:v>AT-16</x:v>
      </x:c>
      <x:c r="C384" s="28" t="str">
        <x:v>PRIMARY</x:v>
      </x:c>
      <x:c r="D384" s="28" t="str">
        <x:f>INDEX('Attempt Tokens'!$E$7:$E$36,MATCH(B384,'Attempt Tokens'!$B$7:$B$36,0))</x:f>
      </x:c>
      <x:c r="E384" s="28" t="str">
        <x:v>RP-09</x:v>
      </x:c>
      <x:c r="F384" s="28" t="n">
        <x:v>2</x:v>
      </x:c>
      <x:c r="G384" s="28" t="str">
        <x:f>IF(D384="","",IF(LEFT(D384,5)="RFP-A",IF(F384=1,"PTC-B","PTC-C"),IF(LEFT(D384,5)="RFP-B",IF(F384=1,"PTC-A","PTC-C"),IF(F384=1,"PTC-A","PTC-B"))))</x:f>
      </x:c>
      <x:c r="H384" s="29" t="str"/>
      <x:c r="I384" s="29" t="str"/>
      <x:c r="J384" s="29" t="str"/>
      <x:c r="K384" s="29" t="str"/>
      <x:c r="L384" s="29" t="str"/>
      <x:c r="M384" s="28" t="str">
        <x:f>IF(AND(C384="RESERVE",D384=""),"DORMANT",IF(L384="","OPEN",IF(AND(G384&lt;&gt;"",H384&lt;&gt;"",I384=H384,J384&lt;&gt;"",K384&lt;&gt;"",J384&lt;&gt;K384),"PASS","FAIL")))</x:f>
        <x:v>OPEN</x:v>
      </x:c>
    </x:row>
    <x:row r="385">
      <x:c r="B385" s="28" t="str">
        <x:v>AT-16</x:v>
      </x:c>
      <x:c r="C385" s="28" t="str">
        <x:v>PRIMARY</x:v>
      </x:c>
      <x:c r="D385" s="28" t="str">
        <x:f>INDEX('Attempt Tokens'!$E$7:$E$36,MATCH(B385,'Attempt Tokens'!$B$7:$B$36,0))</x:f>
      </x:c>
      <x:c r="E385" s="28" t="str">
        <x:v>RP-10</x:v>
      </x:c>
      <x:c r="F385" s="28" t="n">
        <x:v>1</x:v>
      </x:c>
      <x:c r="G385" s="28" t="str">
        <x:f>IF(D385="","",IF(LEFT(D385,5)="RFP-A",IF(F385=1,"PTC-B","PTC-C"),IF(LEFT(D385,5)="RFP-B",IF(F385=1,"PTC-A","PTC-C"),IF(F385=1,"PTC-A","PTC-B"))))</x:f>
      </x:c>
      <x:c r="H385" s="29" t="str"/>
      <x:c r="I385" s="29" t="str"/>
      <x:c r="J385" s="29" t="str"/>
      <x:c r="K385" s="29" t="str"/>
      <x:c r="L385" s="29" t="str"/>
      <x:c r="M385" s="28" t="str">
        <x:f>IF(AND(C385="RESERVE",D385=""),"DORMANT",IF(L385="","OPEN",IF(AND(G385&lt;&gt;"",H385&lt;&gt;"",I385=H385,J385&lt;&gt;"",K385&lt;&gt;"",J385&lt;&gt;K385),"PASS","FAIL")))</x:f>
        <x:v>OPEN</x:v>
      </x:c>
    </x:row>
    <x:row r="386">
      <x:c r="B386" s="28" t="str">
        <x:v>AT-16</x:v>
      </x:c>
      <x:c r="C386" s="28" t="str">
        <x:v>PRIMARY</x:v>
      </x:c>
      <x:c r="D386" s="28" t="str">
        <x:f>INDEX('Attempt Tokens'!$E$7:$E$36,MATCH(B386,'Attempt Tokens'!$B$7:$B$36,0))</x:f>
      </x:c>
      <x:c r="E386" s="28" t="str">
        <x:v>RP-10</x:v>
      </x:c>
      <x:c r="F386" s="28" t="n">
        <x:v>2</x:v>
      </x:c>
      <x:c r="G386" s="28" t="str">
        <x:f>IF(D386="","",IF(LEFT(D386,5)="RFP-A",IF(F386=1,"PTC-B","PTC-C"),IF(LEFT(D386,5)="RFP-B",IF(F386=1,"PTC-A","PTC-C"),IF(F386=1,"PTC-A","PTC-B"))))</x:f>
      </x:c>
      <x:c r="H386" s="29" t="str"/>
      <x:c r="I386" s="29" t="str"/>
      <x:c r="J386" s="29" t="str"/>
      <x:c r="K386" s="29" t="str"/>
      <x:c r="L386" s="29" t="str"/>
      <x:c r="M386" s="28" t="str">
        <x:f>IF(AND(C386="RESERVE",D386=""),"DORMANT",IF(L386="","OPEN",IF(AND(G386&lt;&gt;"",H386&lt;&gt;"",I386=H386,J386&lt;&gt;"",K386&lt;&gt;"",J386&lt;&gt;K386),"PASS","FAIL")))</x:f>
        <x:v>OPEN</x:v>
      </x:c>
    </x:row>
    <x:row r="387">
      <x:c r="B387" s="28" t="str">
        <x:v>AT-16</x:v>
      </x:c>
      <x:c r="C387" s="28" t="str">
        <x:v>PRIMARY</x:v>
      </x:c>
      <x:c r="D387" s="28" t="str">
        <x:f>INDEX('Attempt Tokens'!$E$7:$E$36,MATCH(B387,'Attempt Tokens'!$B$7:$B$36,0))</x:f>
      </x:c>
      <x:c r="E387" s="28" t="str">
        <x:v>RP-11</x:v>
      </x:c>
      <x:c r="F387" s="28" t="n">
        <x:v>1</x:v>
      </x:c>
      <x:c r="G387" s="28" t="str">
        <x:f>IF(D387="","",IF(LEFT(D387,5)="RFP-A",IF(F387=1,"PTC-B","PTC-C"),IF(LEFT(D387,5)="RFP-B",IF(F387=1,"PTC-A","PTC-C"),IF(F387=1,"PTC-A","PTC-B"))))</x:f>
      </x:c>
      <x:c r="H387" s="29" t="str"/>
      <x:c r="I387" s="29" t="str"/>
      <x:c r="J387" s="29" t="str"/>
      <x:c r="K387" s="29" t="str"/>
      <x:c r="L387" s="29" t="str"/>
      <x:c r="M387" s="28" t="str">
        <x:f>IF(AND(C387="RESERVE",D387=""),"DORMANT",IF(L387="","OPEN",IF(AND(G387&lt;&gt;"",H387&lt;&gt;"",I387=H387,J387&lt;&gt;"",K387&lt;&gt;"",J387&lt;&gt;K387),"PASS","FAIL")))</x:f>
        <x:v>OPEN</x:v>
      </x:c>
    </x:row>
    <x:row r="388">
      <x:c r="B388" s="28" t="str">
        <x:v>AT-16</x:v>
      </x:c>
      <x:c r="C388" s="28" t="str">
        <x:v>PRIMARY</x:v>
      </x:c>
      <x:c r="D388" s="28" t="str">
        <x:f>INDEX('Attempt Tokens'!$E$7:$E$36,MATCH(B388,'Attempt Tokens'!$B$7:$B$36,0))</x:f>
      </x:c>
      <x:c r="E388" s="28" t="str">
        <x:v>RP-11</x:v>
      </x:c>
      <x:c r="F388" s="28" t="n">
        <x:v>2</x:v>
      </x:c>
      <x:c r="G388" s="28" t="str">
        <x:f>IF(D388="","",IF(LEFT(D388,5)="RFP-A",IF(F388=1,"PTC-B","PTC-C"),IF(LEFT(D388,5)="RFP-B",IF(F388=1,"PTC-A","PTC-C"),IF(F388=1,"PTC-A","PTC-B"))))</x:f>
      </x:c>
      <x:c r="H388" s="29" t="str"/>
      <x:c r="I388" s="29" t="str"/>
      <x:c r="J388" s="29" t="str"/>
      <x:c r="K388" s="29" t="str"/>
      <x:c r="L388" s="29" t="str"/>
      <x:c r="M388" s="28" t="str">
        <x:f>IF(AND(C388="RESERVE",D388=""),"DORMANT",IF(L388="","OPEN",IF(AND(G388&lt;&gt;"",H388&lt;&gt;"",I388=H388,J388&lt;&gt;"",K388&lt;&gt;"",J388&lt;&gt;K388),"PASS","FAIL")))</x:f>
        <x:v>OPEN</x:v>
      </x:c>
    </x:row>
    <x:row r="389">
      <x:c r="B389" s="28" t="str">
        <x:v>AT-16</x:v>
      </x:c>
      <x:c r="C389" s="28" t="str">
        <x:v>PRIMARY</x:v>
      </x:c>
      <x:c r="D389" s="28" t="str">
        <x:f>INDEX('Attempt Tokens'!$E$7:$E$36,MATCH(B389,'Attempt Tokens'!$B$7:$B$36,0))</x:f>
      </x:c>
      <x:c r="E389" s="28" t="str">
        <x:v>RP-12</x:v>
      </x:c>
      <x:c r="F389" s="28" t="n">
        <x:v>1</x:v>
      </x:c>
      <x:c r="G389" s="28" t="str">
        <x:f>IF(D389="","",IF(LEFT(D389,5)="RFP-A",IF(F389=1,"PTC-B","PTC-C"),IF(LEFT(D389,5)="RFP-B",IF(F389=1,"PTC-A","PTC-C"),IF(F389=1,"PTC-A","PTC-B"))))</x:f>
      </x:c>
      <x:c r="H389" s="29" t="str"/>
      <x:c r="I389" s="29" t="str"/>
      <x:c r="J389" s="29" t="str"/>
      <x:c r="K389" s="29" t="str"/>
      <x:c r="L389" s="29" t="str"/>
      <x:c r="M389" s="28" t="str">
        <x:f>IF(AND(C389="RESERVE",D389=""),"DORMANT",IF(L389="","OPEN",IF(AND(G389&lt;&gt;"",H389&lt;&gt;"",I389=H389,J389&lt;&gt;"",K389&lt;&gt;"",J389&lt;&gt;K389),"PASS","FAIL")))</x:f>
        <x:v>OPEN</x:v>
      </x:c>
    </x:row>
    <x:row r="390">
      <x:c r="B390" s="28" t="str">
        <x:v>AT-16</x:v>
      </x:c>
      <x:c r="C390" s="28" t="str">
        <x:v>PRIMARY</x:v>
      </x:c>
      <x:c r="D390" s="28" t="str">
        <x:f>INDEX('Attempt Tokens'!$E$7:$E$36,MATCH(B390,'Attempt Tokens'!$B$7:$B$36,0))</x:f>
      </x:c>
      <x:c r="E390" s="28" t="str">
        <x:v>RP-12</x:v>
      </x:c>
      <x:c r="F390" s="28" t="n">
        <x:v>2</x:v>
      </x:c>
      <x:c r="G390" s="28" t="str">
        <x:f>IF(D390="","",IF(LEFT(D390,5)="RFP-A",IF(F390=1,"PTC-B","PTC-C"),IF(LEFT(D390,5)="RFP-B",IF(F390=1,"PTC-A","PTC-C"),IF(F390=1,"PTC-A","PTC-B"))))</x:f>
      </x:c>
      <x:c r="H390" s="29" t="str"/>
      <x:c r="I390" s="29" t="str"/>
      <x:c r="J390" s="29" t="str"/>
      <x:c r="K390" s="29" t="str"/>
      <x:c r="L390" s="29" t="str"/>
      <x:c r="M390" s="28" t="str">
        <x:f>IF(AND(C390="RESERVE",D390=""),"DORMANT",IF(L390="","OPEN",IF(AND(G390&lt;&gt;"",H390&lt;&gt;"",I390=H390,J390&lt;&gt;"",K390&lt;&gt;"",J390&lt;&gt;K390),"PASS","FAIL")))</x:f>
        <x:v>OPEN</x:v>
      </x:c>
    </x:row>
    <x:row r="391">
      <x:c r="B391" s="28" t="str">
        <x:v>AT-17</x:v>
      </x:c>
      <x:c r="C391" s="28" t="str">
        <x:v>PRIMARY</x:v>
      </x:c>
      <x:c r="D391" s="28" t="str">
        <x:f>INDEX('Attempt Tokens'!$E$7:$E$36,MATCH(B391,'Attempt Tokens'!$B$7:$B$36,0))</x:f>
      </x:c>
      <x:c r="E391" s="28" t="str">
        <x:v>RP-01</x:v>
      </x:c>
      <x:c r="F391" s="28" t="n">
        <x:v>1</x:v>
      </x:c>
      <x:c r="G391" s="28" t="str">
        <x:f>IF(D391="","",IF(LEFT(D391,5)="RFP-A",IF(F391=1,"PTC-B","PTC-C"),IF(LEFT(D391,5)="RFP-B",IF(F391=1,"PTC-A","PTC-C"),IF(F391=1,"PTC-A","PTC-B"))))</x:f>
      </x:c>
      <x:c r="H391" s="29" t="str"/>
      <x:c r="I391" s="29" t="str"/>
      <x:c r="J391" s="29" t="str"/>
      <x:c r="K391" s="29" t="str"/>
      <x:c r="L391" s="29" t="str"/>
      <x:c r="M391" s="28" t="str">
        <x:f>IF(AND(C391="RESERVE",D391=""),"DORMANT",IF(L391="","OPEN",IF(AND(G391&lt;&gt;"",H391&lt;&gt;"",I391=H391,J391&lt;&gt;"",K391&lt;&gt;"",J391&lt;&gt;K391),"PASS","FAIL")))</x:f>
        <x:v>OPEN</x:v>
      </x:c>
    </x:row>
    <x:row r="392">
      <x:c r="B392" s="28" t="str">
        <x:v>AT-17</x:v>
      </x:c>
      <x:c r="C392" s="28" t="str">
        <x:v>PRIMARY</x:v>
      </x:c>
      <x:c r="D392" s="28" t="str">
        <x:f>INDEX('Attempt Tokens'!$E$7:$E$36,MATCH(B392,'Attempt Tokens'!$B$7:$B$36,0))</x:f>
      </x:c>
      <x:c r="E392" s="28" t="str">
        <x:v>RP-01</x:v>
      </x:c>
      <x:c r="F392" s="28" t="n">
        <x:v>2</x:v>
      </x:c>
      <x:c r="G392" s="28" t="str">
        <x:f>IF(D392="","",IF(LEFT(D392,5)="RFP-A",IF(F392=1,"PTC-B","PTC-C"),IF(LEFT(D392,5)="RFP-B",IF(F392=1,"PTC-A","PTC-C"),IF(F392=1,"PTC-A","PTC-B"))))</x:f>
      </x:c>
      <x:c r="H392" s="29" t="str"/>
      <x:c r="I392" s="29" t="str"/>
      <x:c r="J392" s="29" t="str"/>
      <x:c r="K392" s="29" t="str"/>
      <x:c r="L392" s="29" t="str"/>
      <x:c r="M392" s="28" t="str">
        <x:f>IF(AND(C392="RESERVE",D392=""),"DORMANT",IF(L392="","OPEN",IF(AND(G392&lt;&gt;"",H392&lt;&gt;"",I392=H392,J392&lt;&gt;"",K392&lt;&gt;"",J392&lt;&gt;K392),"PASS","FAIL")))</x:f>
        <x:v>OPEN</x:v>
      </x:c>
    </x:row>
    <x:row r="393">
      <x:c r="B393" s="28" t="str">
        <x:v>AT-17</x:v>
      </x:c>
      <x:c r="C393" s="28" t="str">
        <x:v>PRIMARY</x:v>
      </x:c>
      <x:c r="D393" s="28" t="str">
        <x:f>INDEX('Attempt Tokens'!$E$7:$E$36,MATCH(B393,'Attempt Tokens'!$B$7:$B$36,0))</x:f>
      </x:c>
      <x:c r="E393" s="28" t="str">
        <x:v>RP-02</x:v>
      </x:c>
      <x:c r="F393" s="28" t="n">
        <x:v>1</x:v>
      </x:c>
      <x:c r="G393" s="28" t="str">
        <x:f>IF(D393="","",IF(LEFT(D393,5)="RFP-A",IF(F393=1,"PTC-B","PTC-C"),IF(LEFT(D393,5)="RFP-B",IF(F393=1,"PTC-A","PTC-C"),IF(F393=1,"PTC-A","PTC-B"))))</x:f>
      </x:c>
      <x:c r="H393" s="29" t="str"/>
      <x:c r="I393" s="29" t="str"/>
      <x:c r="J393" s="29" t="str"/>
      <x:c r="K393" s="29" t="str"/>
      <x:c r="L393" s="29" t="str"/>
      <x:c r="M393" s="28" t="str">
        <x:f>IF(AND(C393="RESERVE",D393=""),"DORMANT",IF(L393="","OPEN",IF(AND(G393&lt;&gt;"",H393&lt;&gt;"",I393=H393,J393&lt;&gt;"",K393&lt;&gt;"",J393&lt;&gt;K393),"PASS","FAIL")))</x:f>
        <x:v>OPEN</x:v>
      </x:c>
    </x:row>
    <x:row r="394">
      <x:c r="B394" s="28" t="str">
        <x:v>AT-17</x:v>
      </x:c>
      <x:c r="C394" s="28" t="str">
        <x:v>PRIMARY</x:v>
      </x:c>
      <x:c r="D394" s="28" t="str">
        <x:f>INDEX('Attempt Tokens'!$E$7:$E$36,MATCH(B394,'Attempt Tokens'!$B$7:$B$36,0))</x:f>
      </x:c>
      <x:c r="E394" s="28" t="str">
        <x:v>RP-02</x:v>
      </x:c>
      <x:c r="F394" s="28" t="n">
        <x:v>2</x:v>
      </x:c>
      <x:c r="G394" s="28" t="str">
        <x:f>IF(D394="","",IF(LEFT(D394,5)="RFP-A",IF(F394=1,"PTC-B","PTC-C"),IF(LEFT(D394,5)="RFP-B",IF(F394=1,"PTC-A","PTC-C"),IF(F394=1,"PTC-A","PTC-B"))))</x:f>
      </x:c>
      <x:c r="H394" s="29" t="str"/>
      <x:c r="I394" s="29" t="str"/>
      <x:c r="J394" s="29" t="str"/>
      <x:c r="K394" s="29" t="str"/>
      <x:c r="L394" s="29" t="str"/>
      <x:c r="M394" s="28" t="str">
        <x:f>IF(AND(C394="RESERVE",D394=""),"DORMANT",IF(L394="","OPEN",IF(AND(G394&lt;&gt;"",H394&lt;&gt;"",I394=H394,J394&lt;&gt;"",K394&lt;&gt;"",J394&lt;&gt;K394),"PASS","FAIL")))</x:f>
        <x:v>OPEN</x:v>
      </x:c>
    </x:row>
    <x:row r="395">
      <x:c r="B395" s="28" t="str">
        <x:v>AT-17</x:v>
      </x:c>
      <x:c r="C395" s="28" t="str">
        <x:v>PRIMARY</x:v>
      </x:c>
      <x:c r="D395" s="28" t="str">
        <x:f>INDEX('Attempt Tokens'!$E$7:$E$36,MATCH(B395,'Attempt Tokens'!$B$7:$B$36,0))</x:f>
      </x:c>
      <x:c r="E395" s="28" t="str">
        <x:v>RP-03</x:v>
      </x:c>
      <x:c r="F395" s="28" t="n">
        <x:v>1</x:v>
      </x:c>
      <x:c r="G395" s="28" t="str">
        <x:f>IF(D395="","",IF(LEFT(D395,5)="RFP-A",IF(F395=1,"PTC-B","PTC-C"),IF(LEFT(D395,5)="RFP-B",IF(F395=1,"PTC-A","PTC-C"),IF(F395=1,"PTC-A","PTC-B"))))</x:f>
      </x:c>
      <x:c r="H395" s="29" t="str"/>
      <x:c r="I395" s="29" t="str"/>
      <x:c r="J395" s="29" t="str"/>
      <x:c r="K395" s="29" t="str"/>
      <x:c r="L395" s="29" t="str"/>
      <x:c r="M395" s="28" t="str">
        <x:f>IF(AND(C395="RESERVE",D395=""),"DORMANT",IF(L395="","OPEN",IF(AND(G395&lt;&gt;"",H395&lt;&gt;"",I395=H395,J395&lt;&gt;"",K395&lt;&gt;"",J395&lt;&gt;K395),"PASS","FAIL")))</x:f>
        <x:v>OPEN</x:v>
      </x:c>
    </x:row>
    <x:row r="396">
      <x:c r="B396" s="28" t="str">
        <x:v>AT-17</x:v>
      </x:c>
      <x:c r="C396" s="28" t="str">
        <x:v>PRIMARY</x:v>
      </x:c>
      <x:c r="D396" s="28" t="str">
        <x:f>INDEX('Attempt Tokens'!$E$7:$E$36,MATCH(B396,'Attempt Tokens'!$B$7:$B$36,0))</x:f>
      </x:c>
      <x:c r="E396" s="28" t="str">
        <x:v>RP-03</x:v>
      </x:c>
      <x:c r="F396" s="28" t="n">
        <x:v>2</x:v>
      </x:c>
      <x:c r="G396" s="28" t="str">
        <x:f>IF(D396="","",IF(LEFT(D396,5)="RFP-A",IF(F396=1,"PTC-B","PTC-C"),IF(LEFT(D396,5)="RFP-B",IF(F396=1,"PTC-A","PTC-C"),IF(F396=1,"PTC-A","PTC-B"))))</x:f>
      </x:c>
      <x:c r="H396" s="29" t="str"/>
      <x:c r="I396" s="29" t="str"/>
      <x:c r="J396" s="29" t="str"/>
      <x:c r="K396" s="29" t="str"/>
      <x:c r="L396" s="29" t="str"/>
      <x:c r="M396" s="28" t="str">
        <x:f>IF(AND(C396="RESERVE",D396=""),"DORMANT",IF(L396="","OPEN",IF(AND(G396&lt;&gt;"",H396&lt;&gt;"",I396=H396,J396&lt;&gt;"",K396&lt;&gt;"",J396&lt;&gt;K396),"PASS","FAIL")))</x:f>
        <x:v>OPEN</x:v>
      </x:c>
    </x:row>
    <x:row r="397">
      <x:c r="B397" s="28" t="str">
        <x:v>AT-17</x:v>
      </x:c>
      <x:c r="C397" s="28" t="str">
        <x:v>PRIMARY</x:v>
      </x:c>
      <x:c r="D397" s="28" t="str">
        <x:f>INDEX('Attempt Tokens'!$E$7:$E$36,MATCH(B397,'Attempt Tokens'!$B$7:$B$36,0))</x:f>
      </x:c>
      <x:c r="E397" s="28" t="str">
        <x:v>RP-04</x:v>
      </x:c>
      <x:c r="F397" s="28" t="n">
        <x:v>1</x:v>
      </x:c>
      <x:c r="G397" s="28" t="str">
        <x:f>IF(D397="","",IF(LEFT(D397,5)="RFP-A",IF(F397=1,"PTC-B","PTC-C"),IF(LEFT(D397,5)="RFP-B",IF(F397=1,"PTC-A","PTC-C"),IF(F397=1,"PTC-A","PTC-B"))))</x:f>
      </x:c>
      <x:c r="H397" s="29" t="str"/>
      <x:c r="I397" s="29" t="str"/>
      <x:c r="J397" s="29" t="str"/>
      <x:c r="K397" s="29" t="str"/>
      <x:c r="L397" s="29" t="str"/>
      <x:c r="M397" s="28" t="str">
        <x:f>IF(AND(C397="RESERVE",D397=""),"DORMANT",IF(L397="","OPEN",IF(AND(G397&lt;&gt;"",H397&lt;&gt;"",I397=H397,J397&lt;&gt;"",K397&lt;&gt;"",J397&lt;&gt;K397),"PASS","FAIL")))</x:f>
        <x:v>OPEN</x:v>
      </x:c>
    </x:row>
    <x:row r="398">
      <x:c r="B398" s="28" t="str">
        <x:v>AT-17</x:v>
      </x:c>
      <x:c r="C398" s="28" t="str">
        <x:v>PRIMARY</x:v>
      </x:c>
      <x:c r="D398" s="28" t="str">
        <x:f>INDEX('Attempt Tokens'!$E$7:$E$36,MATCH(B398,'Attempt Tokens'!$B$7:$B$36,0))</x:f>
      </x:c>
      <x:c r="E398" s="28" t="str">
        <x:v>RP-04</x:v>
      </x:c>
      <x:c r="F398" s="28" t="n">
        <x:v>2</x:v>
      </x:c>
      <x:c r="G398" s="28" t="str">
        <x:f>IF(D398="","",IF(LEFT(D398,5)="RFP-A",IF(F398=1,"PTC-B","PTC-C"),IF(LEFT(D398,5)="RFP-B",IF(F398=1,"PTC-A","PTC-C"),IF(F398=1,"PTC-A","PTC-B"))))</x:f>
      </x:c>
      <x:c r="H398" s="29" t="str"/>
      <x:c r="I398" s="29" t="str"/>
      <x:c r="J398" s="29" t="str"/>
      <x:c r="K398" s="29" t="str"/>
      <x:c r="L398" s="29" t="str"/>
      <x:c r="M398" s="28" t="str">
        <x:f>IF(AND(C398="RESERVE",D398=""),"DORMANT",IF(L398="","OPEN",IF(AND(G398&lt;&gt;"",H398&lt;&gt;"",I398=H398,J398&lt;&gt;"",K398&lt;&gt;"",J398&lt;&gt;K398),"PASS","FAIL")))</x:f>
        <x:v>OPEN</x:v>
      </x:c>
    </x:row>
    <x:row r="399">
      <x:c r="B399" s="28" t="str">
        <x:v>AT-17</x:v>
      </x:c>
      <x:c r="C399" s="28" t="str">
        <x:v>PRIMARY</x:v>
      </x:c>
      <x:c r="D399" s="28" t="str">
        <x:f>INDEX('Attempt Tokens'!$E$7:$E$36,MATCH(B399,'Attempt Tokens'!$B$7:$B$36,0))</x:f>
      </x:c>
      <x:c r="E399" s="28" t="str">
        <x:v>RP-05</x:v>
      </x:c>
      <x:c r="F399" s="28" t="n">
        <x:v>1</x:v>
      </x:c>
      <x:c r="G399" s="28" t="str">
        <x:f>IF(D399="","",IF(LEFT(D399,5)="RFP-A",IF(F399=1,"PTC-B","PTC-C"),IF(LEFT(D399,5)="RFP-B",IF(F399=1,"PTC-A","PTC-C"),IF(F399=1,"PTC-A","PTC-B"))))</x:f>
      </x:c>
      <x:c r="H399" s="29" t="str"/>
      <x:c r="I399" s="29" t="str"/>
      <x:c r="J399" s="29" t="str"/>
      <x:c r="K399" s="29" t="str"/>
      <x:c r="L399" s="29" t="str"/>
      <x:c r="M399" s="28" t="str">
        <x:f>IF(AND(C399="RESERVE",D399=""),"DORMANT",IF(L399="","OPEN",IF(AND(G399&lt;&gt;"",H399&lt;&gt;"",I399=H399,J399&lt;&gt;"",K399&lt;&gt;"",J399&lt;&gt;K399),"PASS","FAIL")))</x:f>
        <x:v>OPEN</x:v>
      </x:c>
    </x:row>
    <x:row r="400">
      <x:c r="B400" s="28" t="str">
        <x:v>AT-17</x:v>
      </x:c>
      <x:c r="C400" s="28" t="str">
        <x:v>PRIMARY</x:v>
      </x:c>
      <x:c r="D400" s="28" t="str">
        <x:f>INDEX('Attempt Tokens'!$E$7:$E$36,MATCH(B400,'Attempt Tokens'!$B$7:$B$36,0))</x:f>
      </x:c>
      <x:c r="E400" s="28" t="str">
        <x:v>RP-05</x:v>
      </x:c>
      <x:c r="F400" s="28" t="n">
        <x:v>2</x:v>
      </x:c>
      <x:c r="G400" s="28" t="str">
        <x:f>IF(D400="","",IF(LEFT(D400,5)="RFP-A",IF(F400=1,"PTC-B","PTC-C"),IF(LEFT(D400,5)="RFP-B",IF(F400=1,"PTC-A","PTC-C"),IF(F400=1,"PTC-A","PTC-B"))))</x:f>
      </x:c>
      <x:c r="H400" s="29" t="str"/>
      <x:c r="I400" s="29" t="str"/>
      <x:c r="J400" s="29" t="str"/>
      <x:c r="K400" s="29" t="str"/>
      <x:c r="L400" s="29" t="str"/>
      <x:c r="M400" s="28" t="str">
        <x:f>IF(AND(C400="RESERVE",D400=""),"DORMANT",IF(L400="","OPEN",IF(AND(G400&lt;&gt;"",H400&lt;&gt;"",I400=H400,J400&lt;&gt;"",K400&lt;&gt;"",J400&lt;&gt;K400),"PASS","FAIL")))</x:f>
        <x:v>OPEN</x:v>
      </x:c>
    </x:row>
    <x:row r="401">
      <x:c r="B401" s="28" t="str">
        <x:v>AT-17</x:v>
      </x:c>
      <x:c r="C401" s="28" t="str">
        <x:v>PRIMARY</x:v>
      </x:c>
      <x:c r="D401" s="28" t="str">
        <x:f>INDEX('Attempt Tokens'!$E$7:$E$36,MATCH(B401,'Attempt Tokens'!$B$7:$B$36,0))</x:f>
      </x:c>
      <x:c r="E401" s="28" t="str">
        <x:v>RP-06</x:v>
      </x:c>
      <x:c r="F401" s="28" t="n">
        <x:v>1</x:v>
      </x:c>
      <x:c r="G401" s="28" t="str">
        <x:f>IF(D401="","",IF(LEFT(D401,5)="RFP-A",IF(F401=1,"PTC-B","PTC-C"),IF(LEFT(D401,5)="RFP-B",IF(F401=1,"PTC-A","PTC-C"),IF(F401=1,"PTC-A","PTC-B"))))</x:f>
      </x:c>
      <x:c r="H401" s="29" t="str"/>
      <x:c r="I401" s="29" t="str"/>
      <x:c r="J401" s="29" t="str"/>
      <x:c r="K401" s="29" t="str"/>
      <x:c r="L401" s="29" t="str"/>
      <x:c r="M401" s="28" t="str">
        <x:f>IF(AND(C401="RESERVE",D401=""),"DORMANT",IF(L401="","OPEN",IF(AND(G401&lt;&gt;"",H401&lt;&gt;"",I401=H401,J401&lt;&gt;"",K401&lt;&gt;"",J401&lt;&gt;K401),"PASS","FAIL")))</x:f>
        <x:v>OPEN</x:v>
      </x:c>
    </x:row>
    <x:row r="402">
      <x:c r="B402" s="28" t="str">
        <x:v>AT-17</x:v>
      </x:c>
      <x:c r="C402" s="28" t="str">
        <x:v>PRIMARY</x:v>
      </x:c>
      <x:c r="D402" s="28" t="str">
        <x:f>INDEX('Attempt Tokens'!$E$7:$E$36,MATCH(B402,'Attempt Tokens'!$B$7:$B$36,0))</x:f>
      </x:c>
      <x:c r="E402" s="28" t="str">
        <x:v>RP-06</x:v>
      </x:c>
      <x:c r="F402" s="28" t="n">
        <x:v>2</x:v>
      </x:c>
      <x:c r="G402" s="28" t="str">
        <x:f>IF(D402="","",IF(LEFT(D402,5)="RFP-A",IF(F402=1,"PTC-B","PTC-C"),IF(LEFT(D402,5)="RFP-B",IF(F402=1,"PTC-A","PTC-C"),IF(F402=1,"PTC-A","PTC-B"))))</x:f>
      </x:c>
      <x:c r="H402" s="29" t="str"/>
      <x:c r="I402" s="29" t="str"/>
      <x:c r="J402" s="29" t="str"/>
      <x:c r="K402" s="29" t="str"/>
      <x:c r="L402" s="29" t="str"/>
      <x:c r="M402" s="28" t="str">
        <x:f>IF(AND(C402="RESERVE",D402=""),"DORMANT",IF(L402="","OPEN",IF(AND(G402&lt;&gt;"",H402&lt;&gt;"",I402=H402,J402&lt;&gt;"",K402&lt;&gt;"",J402&lt;&gt;K402),"PASS","FAIL")))</x:f>
        <x:v>OPEN</x:v>
      </x:c>
    </x:row>
    <x:row r="403">
      <x:c r="B403" s="28" t="str">
        <x:v>AT-17</x:v>
      </x:c>
      <x:c r="C403" s="28" t="str">
        <x:v>PRIMARY</x:v>
      </x:c>
      <x:c r="D403" s="28" t="str">
        <x:f>INDEX('Attempt Tokens'!$E$7:$E$36,MATCH(B403,'Attempt Tokens'!$B$7:$B$36,0))</x:f>
      </x:c>
      <x:c r="E403" s="28" t="str">
        <x:v>RP-07</x:v>
      </x:c>
      <x:c r="F403" s="28" t="n">
        <x:v>1</x:v>
      </x:c>
      <x:c r="G403" s="28" t="str">
        <x:f>IF(D403="","",IF(LEFT(D403,5)="RFP-A",IF(F403=1,"PTC-B","PTC-C"),IF(LEFT(D403,5)="RFP-B",IF(F403=1,"PTC-A","PTC-C"),IF(F403=1,"PTC-A","PTC-B"))))</x:f>
      </x:c>
      <x:c r="H403" s="29" t="str"/>
      <x:c r="I403" s="29" t="str"/>
      <x:c r="J403" s="29" t="str"/>
      <x:c r="K403" s="29" t="str"/>
      <x:c r="L403" s="29" t="str"/>
      <x:c r="M403" s="28" t="str">
        <x:f>IF(AND(C403="RESERVE",D403=""),"DORMANT",IF(L403="","OPEN",IF(AND(G403&lt;&gt;"",H403&lt;&gt;"",I403=H403,J403&lt;&gt;"",K403&lt;&gt;"",J403&lt;&gt;K403),"PASS","FAIL")))</x:f>
        <x:v>OPEN</x:v>
      </x:c>
    </x:row>
    <x:row r="404">
      <x:c r="B404" s="28" t="str">
        <x:v>AT-17</x:v>
      </x:c>
      <x:c r="C404" s="28" t="str">
        <x:v>PRIMARY</x:v>
      </x:c>
      <x:c r="D404" s="28" t="str">
        <x:f>INDEX('Attempt Tokens'!$E$7:$E$36,MATCH(B404,'Attempt Tokens'!$B$7:$B$36,0))</x:f>
      </x:c>
      <x:c r="E404" s="28" t="str">
        <x:v>RP-07</x:v>
      </x:c>
      <x:c r="F404" s="28" t="n">
        <x:v>2</x:v>
      </x:c>
      <x:c r="G404" s="28" t="str">
        <x:f>IF(D404="","",IF(LEFT(D404,5)="RFP-A",IF(F404=1,"PTC-B","PTC-C"),IF(LEFT(D404,5)="RFP-B",IF(F404=1,"PTC-A","PTC-C"),IF(F404=1,"PTC-A","PTC-B"))))</x:f>
      </x:c>
      <x:c r="H404" s="29" t="str"/>
      <x:c r="I404" s="29" t="str"/>
      <x:c r="J404" s="29" t="str"/>
      <x:c r="K404" s="29" t="str"/>
      <x:c r="L404" s="29" t="str"/>
      <x:c r="M404" s="28" t="str">
        <x:f>IF(AND(C404="RESERVE",D404=""),"DORMANT",IF(L404="","OPEN",IF(AND(G404&lt;&gt;"",H404&lt;&gt;"",I404=H404,J404&lt;&gt;"",K404&lt;&gt;"",J404&lt;&gt;K404),"PASS","FAIL")))</x:f>
        <x:v>OPEN</x:v>
      </x:c>
    </x:row>
    <x:row r="405">
      <x:c r="B405" s="28" t="str">
        <x:v>AT-17</x:v>
      </x:c>
      <x:c r="C405" s="28" t="str">
        <x:v>PRIMARY</x:v>
      </x:c>
      <x:c r="D405" s="28" t="str">
        <x:f>INDEX('Attempt Tokens'!$E$7:$E$36,MATCH(B405,'Attempt Tokens'!$B$7:$B$36,0))</x:f>
      </x:c>
      <x:c r="E405" s="28" t="str">
        <x:v>RP-08</x:v>
      </x:c>
      <x:c r="F405" s="28" t="n">
        <x:v>1</x:v>
      </x:c>
      <x:c r="G405" s="28" t="str">
        <x:f>IF(D405="","",IF(LEFT(D405,5)="RFP-A",IF(F405=1,"PTC-B","PTC-C"),IF(LEFT(D405,5)="RFP-B",IF(F405=1,"PTC-A","PTC-C"),IF(F405=1,"PTC-A","PTC-B"))))</x:f>
      </x:c>
      <x:c r="H405" s="29" t="str"/>
      <x:c r="I405" s="29" t="str"/>
      <x:c r="J405" s="29" t="str"/>
      <x:c r="K405" s="29" t="str"/>
      <x:c r="L405" s="29" t="str"/>
      <x:c r="M405" s="28" t="str">
        <x:f>IF(AND(C405="RESERVE",D405=""),"DORMANT",IF(L405="","OPEN",IF(AND(G405&lt;&gt;"",H405&lt;&gt;"",I405=H405,J405&lt;&gt;"",K405&lt;&gt;"",J405&lt;&gt;K405),"PASS","FAIL")))</x:f>
        <x:v>OPEN</x:v>
      </x:c>
    </x:row>
    <x:row r="406">
      <x:c r="B406" s="28" t="str">
        <x:v>AT-17</x:v>
      </x:c>
      <x:c r="C406" s="28" t="str">
        <x:v>PRIMARY</x:v>
      </x:c>
      <x:c r="D406" s="28" t="str">
        <x:f>INDEX('Attempt Tokens'!$E$7:$E$36,MATCH(B406,'Attempt Tokens'!$B$7:$B$36,0))</x:f>
      </x:c>
      <x:c r="E406" s="28" t="str">
        <x:v>RP-08</x:v>
      </x:c>
      <x:c r="F406" s="28" t="n">
        <x:v>2</x:v>
      </x:c>
      <x:c r="G406" s="28" t="str">
        <x:f>IF(D406="","",IF(LEFT(D406,5)="RFP-A",IF(F406=1,"PTC-B","PTC-C"),IF(LEFT(D406,5)="RFP-B",IF(F406=1,"PTC-A","PTC-C"),IF(F406=1,"PTC-A","PTC-B"))))</x:f>
      </x:c>
      <x:c r="H406" s="29" t="str"/>
      <x:c r="I406" s="29" t="str"/>
      <x:c r="J406" s="29" t="str"/>
      <x:c r="K406" s="29" t="str"/>
      <x:c r="L406" s="29" t="str"/>
      <x:c r="M406" s="28" t="str">
        <x:f>IF(AND(C406="RESERVE",D406=""),"DORMANT",IF(L406="","OPEN",IF(AND(G406&lt;&gt;"",H406&lt;&gt;"",I406=H406,J406&lt;&gt;"",K406&lt;&gt;"",J406&lt;&gt;K406),"PASS","FAIL")))</x:f>
        <x:v>OPEN</x:v>
      </x:c>
    </x:row>
    <x:row r="407">
      <x:c r="B407" s="28" t="str">
        <x:v>AT-17</x:v>
      </x:c>
      <x:c r="C407" s="28" t="str">
        <x:v>PRIMARY</x:v>
      </x:c>
      <x:c r="D407" s="28" t="str">
        <x:f>INDEX('Attempt Tokens'!$E$7:$E$36,MATCH(B407,'Attempt Tokens'!$B$7:$B$36,0))</x:f>
      </x:c>
      <x:c r="E407" s="28" t="str">
        <x:v>RP-09</x:v>
      </x:c>
      <x:c r="F407" s="28" t="n">
        <x:v>1</x:v>
      </x:c>
      <x:c r="G407" s="28" t="str">
        <x:f>IF(D407="","",IF(LEFT(D407,5)="RFP-A",IF(F407=1,"PTC-B","PTC-C"),IF(LEFT(D407,5)="RFP-B",IF(F407=1,"PTC-A","PTC-C"),IF(F407=1,"PTC-A","PTC-B"))))</x:f>
      </x:c>
      <x:c r="H407" s="29" t="str"/>
      <x:c r="I407" s="29" t="str"/>
      <x:c r="J407" s="29" t="str"/>
      <x:c r="K407" s="29" t="str"/>
      <x:c r="L407" s="29" t="str"/>
      <x:c r="M407" s="28" t="str">
        <x:f>IF(AND(C407="RESERVE",D407=""),"DORMANT",IF(L407="","OPEN",IF(AND(G407&lt;&gt;"",H407&lt;&gt;"",I407=H407,J407&lt;&gt;"",K407&lt;&gt;"",J407&lt;&gt;K407),"PASS","FAIL")))</x:f>
        <x:v>OPEN</x:v>
      </x:c>
    </x:row>
    <x:row r="408">
      <x:c r="B408" s="28" t="str">
        <x:v>AT-17</x:v>
      </x:c>
      <x:c r="C408" s="28" t="str">
        <x:v>PRIMARY</x:v>
      </x:c>
      <x:c r="D408" s="28" t="str">
        <x:f>INDEX('Attempt Tokens'!$E$7:$E$36,MATCH(B408,'Attempt Tokens'!$B$7:$B$36,0))</x:f>
      </x:c>
      <x:c r="E408" s="28" t="str">
        <x:v>RP-09</x:v>
      </x:c>
      <x:c r="F408" s="28" t="n">
        <x:v>2</x:v>
      </x:c>
      <x:c r="G408" s="28" t="str">
        <x:f>IF(D408="","",IF(LEFT(D408,5)="RFP-A",IF(F408=1,"PTC-B","PTC-C"),IF(LEFT(D408,5)="RFP-B",IF(F408=1,"PTC-A","PTC-C"),IF(F408=1,"PTC-A","PTC-B"))))</x:f>
      </x:c>
      <x:c r="H408" s="29" t="str"/>
      <x:c r="I408" s="29" t="str"/>
      <x:c r="J408" s="29" t="str"/>
      <x:c r="K408" s="29" t="str"/>
      <x:c r="L408" s="29" t="str"/>
      <x:c r="M408" s="28" t="str">
        <x:f>IF(AND(C408="RESERVE",D408=""),"DORMANT",IF(L408="","OPEN",IF(AND(G408&lt;&gt;"",H408&lt;&gt;"",I408=H408,J408&lt;&gt;"",K408&lt;&gt;"",J408&lt;&gt;K408),"PASS","FAIL")))</x:f>
        <x:v>OPEN</x:v>
      </x:c>
    </x:row>
    <x:row r="409">
      <x:c r="B409" s="28" t="str">
        <x:v>AT-17</x:v>
      </x:c>
      <x:c r="C409" s="28" t="str">
        <x:v>PRIMARY</x:v>
      </x:c>
      <x:c r="D409" s="28" t="str">
        <x:f>INDEX('Attempt Tokens'!$E$7:$E$36,MATCH(B409,'Attempt Tokens'!$B$7:$B$36,0))</x:f>
      </x:c>
      <x:c r="E409" s="28" t="str">
        <x:v>RP-10</x:v>
      </x:c>
      <x:c r="F409" s="28" t="n">
        <x:v>1</x:v>
      </x:c>
      <x:c r="G409" s="28" t="str">
        <x:f>IF(D409="","",IF(LEFT(D409,5)="RFP-A",IF(F409=1,"PTC-B","PTC-C"),IF(LEFT(D409,5)="RFP-B",IF(F409=1,"PTC-A","PTC-C"),IF(F409=1,"PTC-A","PTC-B"))))</x:f>
      </x:c>
      <x:c r="H409" s="29" t="str"/>
      <x:c r="I409" s="29" t="str"/>
      <x:c r="J409" s="29" t="str"/>
      <x:c r="K409" s="29" t="str"/>
      <x:c r="L409" s="29" t="str"/>
      <x:c r="M409" s="28" t="str">
        <x:f>IF(AND(C409="RESERVE",D409=""),"DORMANT",IF(L409="","OPEN",IF(AND(G409&lt;&gt;"",H409&lt;&gt;"",I409=H409,J409&lt;&gt;"",K409&lt;&gt;"",J409&lt;&gt;K409),"PASS","FAIL")))</x:f>
        <x:v>OPEN</x:v>
      </x:c>
    </x:row>
    <x:row r="410">
      <x:c r="B410" s="28" t="str">
        <x:v>AT-17</x:v>
      </x:c>
      <x:c r="C410" s="28" t="str">
        <x:v>PRIMARY</x:v>
      </x:c>
      <x:c r="D410" s="28" t="str">
        <x:f>INDEX('Attempt Tokens'!$E$7:$E$36,MATCH(B410,'Attempt Tokens'!$B$7:$B$36,0))</x:f>
      </x:c>
      <x:c r="E410" s="28" t="str">
        <x:v>RP-10</x:v>
      </x:c>
      <x:c r="F410" s="28" t="n">
        <x:v>2</x:v>
      </x:c>
      <x:c r="G410" s="28" t="str">
        <x:f>IF(D410="","",IF(LEFT(D410,5)="RFP-A",IF(F410=1,"PTC-B","PTC-C"),IF(LEFT(D410,5)="RFP-B",IF(F410=1,"PTC-A","PTC-C"),IF(F410=1,"PTC-A","PTC-B"))))</x:f>
      </x:c>
      <x:c r="H410" s="29" t="str"/>
      <x:c r="I410" s="29" t="str"/>
      <x:c r="J410" s="29" t="str"/>
      <x:c r="K410" s="29" t="str"/>
      <x:c r="L410" s="29" t="str"/>
      <x:c r="M410" s="28" t="str">
        <x:f>IF(AND(C410="RESERVE",D410=""),"DORMANT",IF(L410="","OPEN",IF(AND(G410&lt;&gt;"",H410&lt;&gt;"",I410=H410,J410&lt;&gt;"",K410&lt;&gt;"",J410&lt;&gt;K410),"PASS","FAIL")))</x:f>
        <x:v>OPEN</x:v>
      </x:c>
    </x:row>
    <x:row r="411">
      <x:c r="B411" s="28" t="str">
        <x:v>AT-17</x:v>
      </x:c>
      <x:c r="C411" s="28" t="str">
        <x:v>PRIMARY</x:v>
      </x:c>
      <x:c r="D411" s="28" t="str">
        <x:f>INDEX('Attempt Tokens'!$E$7:$E$36,MATCH(B411,'Attempt Tokens'!$B$7:$B$36,0))</x:f>
      </x:c>
      <x:c r="E411" s="28" t="str">
        <x:v>RP-11</x:v>
      </x:c>
      <x:c r="F411" s="28" t="n">
        <x:v>1</x:v>
      </x:c>
      <x:c r="G411" s="28" t="str">
        <x:f>IF(D411="","",IF(LEFT(D411,5)="RFP-A",IF(F411=1,"PTC-B","PTC-C"),IF(LEFT(D411,5)="RFP-B",IF(F411=1,"PTC-A","PTC-C"),IF(F411=1,"PTC-A","PTC-B"))))</x:f>
      </x:c>
      <x:c r="H411" s="29" t="str"/>
      <x:c r="I411" s="29" t="str"/>
      <x:c r="J411" s="29" t="str"/>
      <x:c r="K411" s="29" t="str"/>
      <x:c r="L411" s="29" t="str"/>
      <x:c r="M411" s="28" t="str">
        <x:f>IF(AND(C411="RESERVE",D411=""),"DORMANT",IF(L411="","OPEN",IF(AND(G411&lt;&gt;"",H411&lt;&gt;"",I411=H411,J411&lt;&gt;"",K411&lt;&gt;"",J411&lt;&gt;K411),"PASS","FAIL")))</x:f>
        <x:v>OPEN</x:v>
      </x:c>
    </x:row>
    <x:row r="412">
      <x:c r="B412" s="28" t="str">
        <x:v>AT-17</x:v>
      </x:c>
      <x:c r="C412" s="28" t="str">
        <x:v>PRIMARY</x:v>
      </x:c>
      <x:c r="D412" s="28" t="str">
        <x:f>INDEX('Attempt Tokens'!$E$7:$E$36,MATCH(B412,'Attempt Tokens'!$B$7:$B$36,0))</x:f>
      </x:c>
      <x:c r="E412" s="28" t="str">
        <x:v>RP-11</x:v>
      </x:c>
      <x:c r="F412" s="28" t="n">
        <x:v>2</x:v>
      </x:c>
      <x:c r="G412" s="28" t="str">
        <x:f>IF(D412="","",IF(LEFT(D412,5)="RFP-A",IF(F412=1,"PTC-B","PTC-C"),IF(LEFT(D412,5)="RFP-B",IF(F412=1,"PTC-A","PTC-C"),IF(F412=1,"PTC-A","PTC-B"))))</x:f>
      </x:c>
      <x:c r="H412" s="29" t="str"/>
      <x:c r="I412" s="29" t="str"/>
      <x:c r="J412" s="29" t="str"/>
      <x:c r="K412" s="29" t="str"/>
      <x:c r="L412" s="29" t="str"/>
      <x:c r="M412" s="28" t="str">
        <x:f>IF(AND(C412="RESERVE",D412=""),"DORMANT",IF(L412="","OPEN",IF(AND(G412&lt;&gt;"",H412&lt;&gt;"",I412=H412,J412&lt;&gt;"",K412&lt;&gt;"",J412&lt;&gt;K412),"PASS","FAIL")))</x:f>
        <x:v>OPEN</x:v>
      </x:c>
    </x:row>
    <x:row r="413">
      <x:c r="B413" s="28" t="str">
        <x:v>AT-17</x:v>
      </x:c>
      <x:c r="C413" s="28" t="str">
        <x:v>PRIMARY</x:v>
      </x:c>
      <x:c r="D413" s="28" t="str">
        <x:f>INDEX('Attempt Tokens'!$E$7:$E$36,MATCH(B413,'Attempt Tokens'!$B$7:$B$36,0))</x:f>
      </x:c>
      <x:c r="E413" s="28" t="str">
        <x:v>RP-12</x:v>
      </x:c>
      <x:c r="F413" s="28" t="n">
        <x:v>1</x:v>
      </x:c>
      <x:c r="G413" s="28" t="str">
        <x:f>IF(D413="","",IF(LEFT(D413,5)="RFP-A",IF(F413=1,"PTC-B","PTC-C"),IF(LEFT(D413,5)="RFP-B",IF(F413=1,"PTC-A","PTC-C"),IF(F413=1,"PTC-A","PTC-B"))))</x:f>
      </x:c>
      <x:c r="H413" s="29" t="str"/>
      <x:c r="I413" s="29" t="str"/>
      <x:c r="J413" s="29" t="str"/>
      <x:c r="K413" s="29" t="str"/>
      <x:c r="L413" s="29" t="str"/>
      <x:c r="M413" s="28" t="str">
        <x:f>IF(AND(C413="RESERVE",D413=""),"DORMANT",IF(L413="","OPEN",IF(AND(G413&lt;&gt;"",H413&lt;&gt;"",I413=H413,J413&lt;&gt;"",K413&lt;&gt;"",J413&lt;&gt;K413),"PASS","FAIL")))</x:f>
        <x:v>OPEN</x:v>
      </x:c>
    </x:row>
    <x:row r="414">
      <x:c r="B414" s="28" t="str">
        <x:v>AT-17</x:v>
      </x:c>
      <x:c r="C414" s="28" t="str">
        <x:v>PRIMARY</x:v>
      </x:c>
      <x:c r="D414" s="28" t="str">
        <x:f>INDEX('Attempt Tokens'!$E$7:$E$36,MATCH(B414,'Attempt Tokens'!$B$7:$B$36,0))</x:f>
      </x:c>
      <x:c r="E414" s="28" t="str">
        <x:v>RP-12</x:v>
      </x:c>
      <x:c r="F414" s="28" t="n">
        <x:v>2</x:v>
      </x:c>
      <x:c r="G414" s="28" t="str">
        <x:f>IF(D414="","",IF(LEFT(D414,5)="RFP-A",IF(F414=1,"PTC-B","PTC-C"),IF(LEFT(D414,5)="RFP-B",IF(F414=1,"PTC-A","PTC-C"),IF(F414=1,"PTC-A","PTC-B"))))</x:f>
      </x:c>
      <x:c r="H414" s="29" t="str"/>
      <x:c r="I414" s="29" t="str"/>
      <x:c r="J414" s="29" t="str"/>
      <x:c r="K414" s="29" t="str"/>
      <x:c r="L414" s="29" t="str"/>
      <x:c r="M414" s="28" t="str">
        <x:f>IF(AND(C414="RESERVE",D414=""),"DORMANT",IF(L414="","OPEN",IF(AND(G414&lt;&gt;"",H414&lt;&gt;"",I414=H414,J414&lt;&gt;"",K414&lt;&gt;"",J414&lt;&gt;K414),"PASS","FAIL")))</x:f>
        <x:v>OPEN</x:v>
      </x:c>
    </x:row>
    <x:row r="415">
      <x:c r="B415" s="28" t="str">
        <x:v>AT-18</x:v>
      </x:c>
      <x:c r="C415" s="28" t="str">
        <x:v>PRIMARY</x:v>
      </x:c>
      <x:c r="D415" s="28" t="str">
        <x:f>INDEX('Attempt Tokens'!$E$7:$E$36,MATCH(B415,'Attempt Tokens'!$B$7:$B$36,0))</x:f>
      </x:c>
      <x:c r="E415" s="28" t="str">
        <x:v>RP-01</x:v>
      </x:c>
      <x:c r="F415" s="28" t="n">
        <x:v>1</x:v>
      </x:c>
      <x:c r="G415" s="28" t="str">
        <x:f>IF(D415="","",IF(LEFT(D415,5)="RFP-A",IF(F415=1,"PTC-B","PTC-C"),IF(LEFT(D415,5)="RFP-B",IF(F415=1,"PTC-A","PTC-C"),IF(F415=1,"PTC-A","PTC-B"))))</x:f>
      </x:c>
      <x:c r="H415" s="29" t="str"/>
      <x:c r="I415" s="29" t="str"/>
      <x:c r="J415" s="29" t="str"/>
      <x:c r="K415" s="29" t="str"/>
      <x:c r="L415" s="29" t="str"/>
      <x:c r="M415" s="28" t="str">
        <x:f>IF(AND(C415="RESERVE",D415=""),"DORMANT",IF(L415="","OPEN",IF(AND(G415&lt;&gt;"",H415&lt;&gt;"",I415=H415,J415&lt;&gt;"",K415&lt;&gt;"",J415&lt;&gt;K415),"PASS","FAIL")))</x:f>
        <x:v>OPEN</x:v>
      </x:c>
    </x:row>
    <x:row r="416">
      <x:c r="B416" s="28" t="str">
        <x:v>AT-18</x:v>
      </x:c>
      <x:c r="C416" s="28" t="str">
        <x:v>PRIMARY</x:v>
      </x:c>
      <x:c r="D416" s="28" t="str">
        <x:f>INDEX('Attempt Tokens'!$E$7:$E$36,MATCH(B416,'Attempt Tokens'!$B$7:$B$36,0))</x:f>
      </x:c>
      <x:c r="E416" s="28" t="str">
        <x:v>RP-01</x:v>
      </x:c>
      <x:c r="F416" s="28" t="n">
        <x:v>2</x:v>
      </x:c>
      <x:c r="G416" s="28" t="str">
        <x:f>IF(D416="","",IF(LEFT(D416,5)="RFP-A",IF(F416=1,"PTC-B","PTC-C"),IF(LEFT(D416,5)="RFP-B",IF(F416=1,"PTC-A","PTC-C"),IF(F416=1,"PTC-A","PTC-B"))))</x:f>
      </x:c>
      <x:c r="H416" s="29" t="str"/>
      <x:c r="I416" s="29" t="str"/>
      <x:c r="J416" s="29" t="str"/>
      <x:c r="K416" s="29" t="str"/>
      <x:c r="L416" s="29" t="str"/>
      <x:c r="M416" s="28" t="str">
        <x:f>IF(AND(C416="RESERVE",D416=""),"DORMANT",IF(L416="","OPEN",IF(AND(G416&lt;&gt;"",H416&lt;&gt;"",I416=H416,J416&lt;&gt;"",K416&lt;&gt;"",J416&lt;&gt;K416),"PASS","FAIL")))</x:f>
        <x:v>OPEN</x:v>
      </x:c>
    </x:row>
    <x:row r="417">
      <x:c r="B417" s="28" t="str">
        <x:v>AT-18</x:v>
      </x:c>
      <x:c r="C417" s="28" t="str">
        <x:v>PRIMARY</x:v>
      </x:c>
      <x:c r="D417" s="28" t="str">
        <x:f>INDEX('Attempt Tokens'!$E$7:$E$36,MATCH(B417,'Attempt Tokens'!$B$7:$B$36,0))</x:f>
      </x:c>
      <x:c r="E417" s="28" t="str">
        <x:v>RP-02</x:v>
      </x:c>
      <x:c r="F417" s="28" t="n">
        <x:v>1</x:v>
      </x:c>
      <x:c r="G417" s="28" t="str">
        <x:f>IF(D417="","",IF(LEFT(D417,5)="RFP-A",IF(F417=1,"PTC-B","PTC-C"),IF(LEFT(D417,5)="RFP-B",IF(F417=1,"PTC-A","PTC-C"),IF(F417=1,"PTC-A","PTC-B"))))</x:f>
      </x:c>
      <x:c r="H417" s="29" t="str"/>
      <x:c r="I417" s="29" t="str"/>
      <x:c r="J417" s="29" t="str"/>
      <x:c r="K417" s="29" t="str"/>
      <x:c r="L417" s="29" t="str"/>
      <x:c r="M417" s="28" t="str">
        <x:f>IF(AND(C417="RESERVE",D417=""),"DORMANT",IF(L417="","OPEN",IF(AND(G417&lt;&gt;"",H417&lt;&gt;"",I417=H417,J417&lt;&gt;"",K417&lt;&gt;"",J417&lt;&gt;K417),"PASS","FAIL")))</x:f>
        <x:v>OPEN</x:v>
      </x:c>
    </x:row>
    <x:row r="418">
      <x:c r="B418" s="28" t="str">
        <x:v>AT-18</x:v>
      </x:c>
      <x:c r="C418" s="28" t="str">
        <x:v>PRIMARY</x:v>
      </x:c>
      <x:c r="D418" s="28" t="str">
        <x:f>INDEX('Attempt Tokens'!$E$7:$E$36,MATCH(B418,'Attempt Tokens'!$B$7:$B$36,0))</x:f>
      </x:c>
      <x:c r="E418" s="28" t="str">
        <x:v>RP-02</x:v>
      </x:c>
      <x:c r="F418" s="28" t="n">
        <x:v>2</x:v>
      </x:c>
      <x:c r="G418" s="28" t="str">
        <x:f>IF(D418="","",IF(LEFT(D418,5)="RFP-A",IF(F418=1,"PTC-B","PTC-C"),IF(LEFT(D418,5)="RFP-B",IF(F418=1,"PTC-A","PTC-C"),IF(F418=1,"PTC-A","PTC-B"))))</x:f>
      </x:c>
      <x:c r="H418" s="29" t="str"/>
      <x:c r="I418" s="29" t="str"/>
      <x:c r="J418" s="29" t="str"/>
      <x:c r="K418" s="29" t="str"/>
      <x:c r="L418" s="29" t="str"/>
      <x:c r="M418" s="28" t="str">
        <x:f>IF(AND(C418="RESERVE",D418=""),"DORMANT",IF(L418="","OPEN",IF(AND(G418&lt;&gt;"",H418&lt;&gt;"",I418=H418,J418&lt;&gt;"",K418&lt;&gt;"",J418&lt;&gt;K418),"PASS","FAIL")))</x:f>
        <x:v>OPEN</x:v>
      </x:c>
    </x:row>
    <x:row r="419">
      <x:c r="B419" s="28" t="str">
        <x:v>AT-18</x:v>
      </x:c>
      <x:c r="C419" s="28" t="str">
        <x:v>PRIMARY</x:v>
      </x:c>
      <x:c r="D419" s="28" t="str">
        <x:f>INDEX('Attempt Tokens'!$E$7:$E$36,MATCH(B419,'Attempt Tokens'!$B$7:$B$36,0))</x:f>
      </x:c>
      <x:c r="E419" s="28" t="str">
        <x:v>RP-03</x:v>
      </x:c>
      <x:c r="F419" s="28" t="n">
        <x:v>1</x:v>
      </x:c>
      <x:c r="G419" s="28" t="str">
        <x:f>IF(D419="","",IF(LEFT(D419,5)="RFP-A",IF(F419=1,"PTC-B","PTC-C"),IF(LEFT(D419,5)="RFP-B",IF(F419=1,"PTC-A","PTC-C"),IF(F419=1,"PTC-A","PTC-B"))))</x:f>
      </x:c>
      <x:c r="H419" s="29" t="str"/>
      <x:c r="I419" s="29" t="str"/>
      <x:c r="J419" s="29" t="str"/>
      <x:c r="K419" s="29" t="str"/>
      <x:c r="L419" s="29" t="str"/>
      <x:c r="M419" s="28" t="str">
        <x:f>IF(AND(C419="RESERVE",D419=""),"DORMANT",IF(L419="","OPEN",IF(AND(G419&lt;&gt;"",H419&lt;&gt;"",I419=H419,J419&lt;&gt;"",K419&lt;&gt;"",J419&lt;&gt;K419),"PASS","FAIL")))</x:f>
        <x:v>OPEN</x:v>
      </x:c>
    </x:row>
    <x:row r="420">
      <x:c r="B420" s="28" t="str">
        <x:v>AT-18</x:v>
      </x:c>
      <x:c r="C420" s="28" t="str">
        <x:v>PRIMARY</x:v>
      </x:c>
      <x:c r="D420" s="28" t="str">
        <x:f>INDEX('Attempt Tokens'!$E$7:$E$36,MATCH(B420,'Attempt Tokens'!$B$7:$B$36,0))</x:f>
      </x:c>
      <x:c r="E420" s="28" t="str">
        <x:v>RP-03</x:v>
      </x:c>
      <x:c r="F420" s="28" t="n">
        <x:v>2</x:v>
      </x:c>
      <x:c r="G420" s="28" t="str">
        <x:f>IF(D420="","",IF(LEFT(D420,5)="RFP-A",IF(F420=1,"PTC-B","PTC-C"),IF(LEFT(D420,5)="RFP-B",IF(F420=1,"PTC-A","PTC-C"),IF(F420=1,"PTC-A","PTC-B"))))</x:f>
      </x:c>
      <x:c r="H420" s="29" t="str"/>
      <x:c r="I420" s="29" t="str"/>
      <x:c r="J420" s="29" t="str"/>
      <x:c r="K420" s="29" t="str"/>
      <x:c r="L420" s="29" t="str"/>
      <x:c r="M420" s="28" t="str">
        <x:f>IF(AND(C420="RESERVE",D420=""),"DORMANT",IF(L420="","OPEN",IF(AND(G420&lt;&gt;"",H420&lt;&gt;"",I420=H420,J420&lt;&gt;"",K420&lt;&gt;"",J420&lt;&gt;K420),"PASS","FAIL")))</x:f>
        <x:v>OPEN</x:v>
      </x:c>
    </x:row>
    <x:row r="421">
      <x:c r="B421" s="28" t="str">
        <x:v>AT-18</x:v>
      </x:c>
      <x:c r="C421" s="28" t="str">
        <x:v>PRIMARY</x:v>
      </x:c>
      <x:c r="D421" s="28" t="str">
        <x:f>INDEX('Attempt Tokens'!$E$7:$E$36,MATCH(B421,'Attempt Tokens'!$B$7:$B$36,0))</x:f>
      </x:c>
      <x:c r="E421" s="28" t="str">
        <x:v>RP-04</x:v>
      </x:c>
      <x:c r="F421" s="28" t="n">
        <x:v>1</x:v>
      </x:c>
      <x:c r="G421" s="28" t="str">
        <x:f>IF(D421="","",IF(LEFT(D421,5)="RFP-A",IF(F421=1,"PTC-B","PTC-C"),IF(LEFT(D421,5)="RFP-B",IF(F421=1,"PTC-A","PTC-C"),IF(F421=1,"PTC-A","PTC-B"))))</x:f>
      </x:c>
      <x:c r="H421" s="29" t="str"/>
      <x:c r="I421" s="29" t="str"/>
      <x:c r="J421" s="29" t="str"/>
      <x:c r="K421" s="29" t="str"/>
      <x:c r="L421" s="29" t="str"/>
      <x:c r="M421" s="28" t="str">
        <x:f>IF(AND(C421="RESERVE",D421=""),"DORMANT",IF(L421="","OPEN",IF(AND(G421&lt;&gt;"",H421&lt;&gt;"",I421=H421,J421&lt;&gt;"",K421&lt;&gt;"",J421&lt;&gt;K421),"PASS","FAIL")))</x:f>
        <x:v>OPEN</x:v>
      </x:c>
    </x:row>
    <x:row r="422">
      <x:c r="B422" s="28" t="str">
        <x:v>AT-18</x:v>
      </x:c>
      <x:c r="C422" s="28" t="str">
        <x:v>PRIMARY</x:v>
      </x:c>
      <x:c r="D422" s="28" t="str">
        <x:f>INDEX('Attempt Tokens'!$E$7:$E$36,MATCH(B422,'Attempt Tokens'!$B$7:$B$36,0))</x:f>
      </x:c>
      <x:c r="E422" s="28" t="str">
        <x:v>RP-04</x:v>
      </x:c>
      <x:c r="F422" s="28" t="n">
        <x:v>2</x:v>
      </x:c>
      <x:c r="G422" s="28" t="str">
        <x:f>IF(D422="","",IF(LEFT(D422,5)="RFP-A",IF(F422=1,"PTC-B","PTC-C"),IF(LEFT(D422,5)="RFP-B",IF(F422=1,"PTC-A","PTC-C"),IF(F422=1,"PTC-A","PTC-B"))))</x:f>
      </x:c>
      <x:c r="H422" s="29" t="str"/>
      <x:c r="I422" s="29" t="str"/>
      <x:c r="J422" s="29" t="str"/>
      <x:c r="K422" s="29" t="str"/>
      <x:c r="L422" s="29" t="str"/>
      <x:c r="M422" s="28" t="str">
        <x:f>IF(AND(C422="RESERVE",D422=""),"DORMANT",IF(L422="","OPEN",IF(AND(G422&lt;&gt;"",H422&lt;&gt;"",I422=H422,J422&lt;&gt;"",K422&lt;&gt;"",J422&lt;&gt;K422),"PASS","FAIL")))</x:f>
        <x:v>OPEN</x:v>
      </x:c>
    </x:row>
    <x:row r="423">
      <x:c r="B423" s="28" t="str">
        <x:v>AT-18</x:v>
      </x:c>
      <x:c r="C423" s="28" t="str">
        <x:v>PRIMARY</x:v>
      </x:c>
      <x:c r="D423" s="28" t="str">
        <x:f>INDEX('Attempt Tokens'!$E$7:$E$36,MATCH(B423,'Attempt Tokens'!$B$7:$B$36,0))</x:f>
      </x:c>
      <x:c r="E423" s="28" t="str">
        <x:v>RP-05</x:v>
      </x:c>
      <x:c r="F423" s="28" t="n">
        <x:v>1</x:v>
      </x:c>
      <x:c r="G423" s="28" t="str">
        <x:f>IF(D423="","",IF(LEFT(D423,5)="RFP-A",IF(F423=1,"PTC-B","PTC-C"),IF(LEFT(D423,5)="RFP-B",IF(F423=1,"PTC-A","PTC-C"),IF(F423=1,"PTC-A","PTC-B"))))</x:f>
      </x:c>
      <x:c r="H423" s="29" t="str"/>
      <x:c r="I423" s="29" t="str"/>
      <x:c r="J423" s="29" t="str"/>
      <x:c r="K423" s="29" t="str"/>
      <x:c r="L423" s="29" t="str"/>
      <x:c r="M423" s="28" t="str">
        <x:f>IF(AND(C423="RESERVE",D423=""),"DORMANT",IF(L423="","OPEN",IF(AND(G423&lt;&gt;"",H423&lt;&gt;"",I423=H423,J423&lt;&gt;"",K423&lt;&gt;"",J423&lt;&gt;K423),"PASS","FAIL")))</x:f>
        <x:v>OPEN</x:v>
      </x:c>
    </x:row>
    <x:row r="424">
      <x:c r="B424" s="28" t="str">
        <x:v>AT-18</x:v>
      </x:c>
      <x:c r="C424" s="28" t="str">
        <x:v>PRIMARY</x:v>
      </x:c>
      <x:c r="D424" s="28" t="str">
        <x:f>INDEX('Attempt Tokens'!$E$7:$E$36,MATCH(B424,'Attempt Tokens'!$B$7:$B$36,0))</x:f>
      </x:c>
      <x:c r="E424" s="28" t="str">
        <x:v>RP-05</x:v>
      </x:c>
      <x:c r="F424" s="28" t="n">
        <x:v>2</x:v>
      </x:c>
      <x:c r="G424" s="28" t="str">
        <x:f>IF(D424="","",IF(LEFT(D424,5)="RFP-A",IF(F424=1,"PTC-B","PTC-C"),IF(LEFT(D424,5)="RFP-B",IF(F424=1,"PTC-A","PTC-C"),IF(F424=1,"PTC-A","PTC-B"))))</x:f>
      </x:c>
      <x:c r="H424" s="29" t="str"/>
      <x:c r="I424" s="29" t="str"/>
      <x:c r="J424" s="29" t="str"/>
      <x:c r="K424" s="29" t="str"/>
      <x:c r="L424" s="29" t="str"/>
      <x:c r="M424" s="28" t="str">
        <x:f>IF(AND(C424="RESERVE",D424=""),"DORMANT",IF(L424="","OPEN",IF(AND(G424&lt;&gt;"",H424&lt;&gt;"",I424=H424,J424&lt;&gt;"",K424&lt;&gt;"",J424&lt;&gt;K424),"PASS","FAIL")))</x:f>
        <x:v>OPEN</x:v>
      </x:c>
    </x:row>
    <x:row r="425">
      <x:c r="B425" s="28" t="str">
        <x:v>AT-18</x:v>
      </x:c>
      <x:c r="C425" s="28" t="str">
        <x:v>PRIMARY</x:v>
      </x:c>
      <x:c r="D425" s="28" t="str">
        <x:f>INDEX('Attempt Tokens'!$E$7:$E$36,MATCH(B425,'Attempt Tokens'!$B$7:$B$36,0))</x:f>
      </x:c>
      <x:c r="E425" s="28" t="str">
        <x:v>RP-06</x:v>
      </x:c>
      <x:c r="F425" s="28" t="n">
        <x:v>1</x:v>
      </x:c>
      <x:c r="G425" s="28" t="str">
        <x:f>IF(D425="","",IF(LEFT(D425,5)="RFP-A",IF(F425=1,"PTC-B","PTC-C"),IF(LEFT(D425,5)="RFP-B",IF(F425=1,"PTC-A","PTC-C"),IF(F425=1,"PTC-A","PTC-B"))))</x:f>
      </x:c>
      <x:c r="H425" s="29" t="str"/>
      <x:c r="I425" s="29" t="str"/>
      <x:c r="J425" s="29" t="str"/>
      <x:c r="K425" s="29" t="str"/>
      <x:c r="L425" s="29" t="str"/>
      <x:c r="M425" s="28" t="str">
        <x:f>IF(AND(C425="RESERVE",D425=""),"DORMANT",IF(L425="","OPEN",IF(AND(G425&lt;&gt;"",H425&lt;&gt;"",I425=H425,J425&lt;&gt;"",K425&lt;&gt;"",J425&lt;&gt;K425),"PASS","FAIL")))</x:f>
        <x:v>OPEN</x:v>
      </x:c>
    </x:row>
    <x:row r="426">
      <x:c r="B426" s="28" t="str">
        <x:v>AT-18</x:v>
      </x:c>
      <x:c r="C426" s="28" t="str">
        <x:v>PRIMARY</x:v>
      </x:c>
      <x:c r="D426" s="28" t="str">
        <x:f>INDEX('Attempt Tokens'!$E$7:$E$36,MATCH(B426,'Attempt Tokens'!$B$7:$B$36,0))</x:f>
      </x:c>
      <x:c r="E426" s="28" t="str">
        <x:v>RP-06</x:v>
      </x:c>
      <x:c r="F426" s="28" t="n">
        <x:v>2</x:v>
      </x:c>
      <x:c r="G426" s="28" t="str">
        <x:f>IF(D426="","",IF(LEFT(D426,5)="RFP-A",IF(F426=1,"PTC-B","PTC-C"),IF(LEFT(D426,5)="RFP-B",IF(F426=1,"PTC-A","PTC-C"),IF(F426=1,"PTC-A","PTC-B"))))</x:f>
      </x:c>
      <x:c r="H426" s="29" t="str"/>
      <x:c r="I426" s="29" t="str"/>
      <x:c r="J426" s="29" t="str"/>
      <x:c r="K426" s="29" t="str"/>
      <x:c r="L426" s="29" t="str"/>
      <x:c r="M426" s="28" t="str">
        <x:f>IF(AND(C426="RESERVE",D426=""),"DORMANT",IF(L426="","OPEN",IF(AND(G426&lt;&gt;"",H426&lt;&gt;"",I426=H426,J426&lt;&gt;"",K426&lt;&gt;"",J426&lt;&gt;K426),"PASS","FAIL")))</x:f>
        <x:v>OPEN</x:v>
      </x:c>
    </x:row>
    <x:row r="427">
      <x:c r="B427" s="28" t="str">
        <x:v>AT-18</x:v>
      </x:c>
      <x:c r="C427" s="28" t="str">
        <x:v>PRIMARY</x:v>
      </x:c>
      <x:c r="D427" s="28" t="str">
        <x:f>INDEX('Attempt Tokens'!$E$7:$E$36,MATCH(B427,'Attempt Tokens'!$B$7:$B$36,0))</x:f>
      </x:c>
      <x:c r="E427" s="28" t="str">
        <x:v>RP-07</x:v>
      </x:c>
      <x:c r="F427" s="28" t="n">
        <x:v>1</x:v>
      </x:c>
      <x:c r="G427" s="28" t="str">
        <x:f>IF(D427="","",IF(LEFT(D427,5)="RFP-A",IF(F427=1,"PTC-B","PTC-C"),IF(LEFT(D427,5)="RFP-B",IF(F427=1,"PTC-A","PTC-C"),IF(F427=1,"PTC-A","PTC-B"))))</x:f>
      </x:c>
      <x:c r="H427" s="29" t="str"/>
      <x:c r="I427" s="29" t="str"/>
      <x:c r="J427" s="29" t="str"/>
      <x:c r="K427" s="29" t="str"/>
      <x:c r="L427" s="29" t="str"/>
      <x:c r="M427" s="28" t="str">
        <x:f>IF(AND(C427="RESERVE",D427=""),"DORMANT",IF(L427="","OPEN",IF(AND(G427&lt;&gt;"",H427&lt;&gt;"",I427=H427,J427&lt;&gt;"",K427&lt;&gt;"",J427&lt;&gt;K427),"PASS","FAIL")))</x:f>
        <x:v>OPEN</x:v>
      </x:c>
    </x:row>
    <x:row r="428">
      <x:c r="B428" s="28" t="str">
        <x:v>AT-18</x:v>
      </x:c>
      <x:c r="C428" s="28" t="str">
        <x:v>PRIMARY</x:v>
      </x:c>
      <x:c r="D428" s="28" t="str">
        <x:f>INDEX('Attempt Tokens'!$E$7:$E$36,MATCH(B428,'Attempt Tokens'!$B$7:$B$36,0))</x:f>
      </x:c>
      <x:c r="E428" s="28" t="str">
        <x:v>RP-07</x:v>
      </x:c>
      <x:c r="F428" s="28" t="n">
        <x:v>2</x:v>
      </x:c>
      <x:c r="G428" s="28" t="str">
        <x:f>IF(D428="","",IF(LEFT(D428,5)="RFP-A",IF(F428=1,"PTC-B","PTC-C"),IF(LEFT(D428,5)="RFP-B",IF(F428=1,"PTC-A","PTC-C"),IF(F428=1,"PTC-A","PTC-B"))))</x:f>
      </x:c>
      <x:c r="H428" s="29" t="str"/>
      <x:c r="I428" s="29" t="str"/>
      <x:c r="J428" s="29" t="str"/>
      <x:c r="K428" s="29" t="str"/>
      <x:c r="L428" s="29" t="str"/>
      <x:c r="M428" s="28" t="str">
        <x:f>IF(AND(C428="RESERVE",D428=""),"DORMANT",IF(L428="","OPEN",IF(AND(G428&lt;&gt;"",H428&lt;&gt;"",I428=H428,J428&lt;&gt;"",K428&lt;&gt;"",J428&lt;&gt;K428),"PASS","FAIL")))</x:f>
        <x:v>OPEN</x:v>
      </x:c>
    </x:row>
    <x:row r="429">
      <x:c r="B429" s="28" t="str">
        <x:v>AT-18</x:v>
      </x:c>
      <x:c r="C429" s="28" t="str">
        <x:v>PRIMARY</x:v>
      </x:c>
      <x:c r="D429" s="28" t="str">
        <x:f>INDEX('Attempt Tokens'!$E$7:$E$36,MATCH(B429,'Attempt Tokens'!$B$7:$B$36,0))</x:f>
      </x:c>
      <x:c r="E429" s="28" t="str">
        <x:v>RP-08</x:v>
      </x:c>
      <x:c r="F429" s="28" t="n">
        <x:v>1</x:v>
      </x:c>
      <x:c r="G429" s="28" t="str">
        <x:f>IF(D429="","",IF(LEFT(D429,5)="RFP-A",IF(F429=1,"PTC-B","PTC-C"),IF(LEFT(D429,5)="RFP-B",IF(F429=1,"PTC-A","PTC-C"),IF(F429=1,"PTC-A","PTC-B"))))</x:f>
      </x:c>
      <x:c r="H429" s="29" t="str"/>
      <x:c r="I429" s="29" t="str"/>
      <x:c r="J429" s="29" t="str"/>
      <x:c r="K429" s="29" t="str"/>
      <x:c r="L429" s="29" t="str"/>
      <x:c r="M429" s="28" t="str">
        <x:f>IF(AND(C429="RESERVE",D429=""),"DORMANT",IF(L429="","OPEN",IF(AND(G429&lt;&gt;"",H429&lt;&gt;"",I429=H429,J429&lt;&gt;"",K429&lt;&gt;"",J429&lt;&gt;K429),"PASS","FAIL")))</x:f>
        <x:v>OPEN</x:v>
      </x:c>
    </x:row>
    <x:row r="430">
      <x:c r="B430" s="28" t="str">
        <x:v>AT-18</x:v>
      </x:c>
      <x:c r="C430" s="28" t="str">
        <x:v>PRIMARY</x:v>
      </x:c>
      <x:c r="D430" s="28" t="str">
        <x:f>INDEX('Attempt Tokens'!$E$7:$E$36,MATCH(B430,'Attempt Tokens'!$B$7:$B$36,0))</x:f>
      </x:c>
      <x:c r="E430" s="28" t="str">
        <x:v>RP-08</x:v>
      </x:c>
      <x:c r="F430" s="28" t="n">
        <x:v>2</x:v>
      </x:c>
      <x:c r="G430" s="28" t="str">
        <x:f>IF(D430="","",IF(LEFT(D430,5)="RFP-A",IF(F430=1,"PTC-B","PTC-C"),IF(LEFT(D430,5)="RFP-B",IF(F430=1,"PTC-A","PTC-C"),IF(F430=1,"PTC-A","PTC-B"))))</x:f>
      </x:c>
      <x:c r="H430" s="29" t="str"/>
      <x:c r="I430" s="29" t="str"/>
      <x:c r="J430" s="29" t="str"/>
      <x:c r="K430" s="29" t="str"/>
      <x:c r="L430" s="29" t="str"/>
      <x:c r="M430" s="28" t="str">
        <x:f>IF(AND(C430="RESERVE",D430=""),"DORMANT",IF(L430="","OPEN",IF(AND(G430&lt;&gt;"",H430&lt;&gt;"",I430=H430,J430&lt;&gt;"",K430&lt;&gt;"",J430&lt;&gt;K430),"PASS","FAIL")))</x:f>
        <x:v>OPEN</x:v>
      </x:c>
    </x:row>
    <x:row r="431">
      <x:c r="B431" s="28" t="str">
        <x:v>AT-18</x:v>
      </x:c>
      <x:c r="C431" s="28" t="str">
        <x:v>PRIMARY</x:v>
      </x:c>
      <x:c r="D431" s="28" t="str">
        <x:f>INDEX('Attempt Tokens'!$E$7:$E$36,MATCH(B431,'Attempt Tokens'!$B$7:$B$36,0))</x:f>
      </x:c>
      <x:c r="E431" s="28" t="str">
        <x:v>RP-09</x:v>
      </x:c>
      <x:c r="F431" s="28" t="n">
        <x:v>1</x:v>
      </x:c>
      <x:c r="G431" s="28" t="str">
        <x:f>IF(D431="","",IF(LEFT(D431,5)="RFP-A",IF(F431=1,"PTC-B","PTC-C"),IF(LEFT(D431,5)="RFP-B",IF(F431=1,"PTC-A","PTC-C"),IF(F431=1,"PTC-A","PTC-B"))))</x:f>
      </x:c>
      <x:c r="H431" s="29" t="str"/>
      <x:c r="I431" s="29" t="str"/>
      <x:c r="J431" s="29" t="str"/>
      <x:c r="K431" s="29" t="str"/>
      <x:c r="L431" s="29" t="str"/>
      <x:c r="M431" s="28" t="str">
        <x:f>IF(AND(C431="RESERVE",D431=""),"DORMANT",IF(L431="","OPEN",IF(AND(G431&lt;&gt;"",H431&lt;&gt;"",I431=H431,J431&lt;&gt;"",K431&lt;&gt;"",J431&lt;&gt;K431),"PASS","FAIL")))</x:f>
        <x:v>OPEN</x:v>
      </x:c>
    </x:row>
    <x:row r="432">
      <x:c r="B432" s="28" t="str">
        <x:v>AT-18</x:v>
      </x:c>
      <x:c r="C432" s="28" t="str">
        <x:v>PRIMARY</x:v>
      </x:c>
      <x:c r="D432" s="28" t="str">
        <x:f>INDEX('Attempt Tokens'!$E$7:$E$36,MATCH(B432,'Attempt Tokens'!$B$7:$B$36,0))</x:f>
      </x:c>
      <x:c r="E432" s="28" t="str">
        <x:v>RP-09</x:v>
      </x:c>
      <x:c r="F432" s="28" t="n">
        <x:v>2</x:v>
      </x:c>
      <x:c r="G432" s="28" t="str">
        <x:f>IF(D432="","",IF(LEFT(D432,5)="RFP-A",IF(F432=1,"PTC-B","PTC-C"),IF(LEFT(D432,5)="RFP-B",IF(F432=1,"PTC-A","PTC-C"),IF(F432=1,"PTC-A","PTC-B"))))</x:f>
      </x:c>
      <x:c r="H432" s="29" t="str"/>
      <x:c r="I432" s="29" t="str"/>
      <x:c r="J432" s="29" t="str"/>
      <x:c r="K432" s="29" t="str"/>
      <x:c r="L432" s="29" t="str"/>
      <x:c r="M432" s="28" t="str">
        <x:f>IF(AND(C432="RESERVE",D432=""),"DORMANT",IF(L432="","OPEN",IF(AND(G432&lt;&gt;"",H432&lt;&gt;"",I432=H432,J432&lt;&gt;"",K432&lt;&gt;"",J432&lt;&gt;K432),"PASS","FAIL")))</x:f>
        <x:v>OPEN</x:v>
      </x:c>
    </x:row>
    <x:row r="433">
      <x:c r="B433" s="28" t="str">
        <x:v>AT-18</x:v>
      </x:c>
      <x:c r="C433" s="28" t="str">
        <x:v>PRIMARY</x:v>
      </x:c>
      <x:c r="D433" s="28" t="str">
        <x:f>INDEX('Attempt Tokens'!$E$7:$E$36,MATCH(B433,'Attempt Tokens'!$B$7:$B$36,0))</x:f>
      </x:c>
      <x:c r="E433" s="28" t="str">
        <x:v>RP-10</x:v>
      </x:c>
      <x:c r="F433" s="28" t="n">
        <x:v>1</x:v>
      </x:c>
      <x:c r="G433" s="28" t="str">
        <x:f>IF(D433="","",IF(LEFT(D433,5)="RFP-A",IF(F433=1,"PTC-B","PTC-C"),IF(LEFT(D433,5)="RFP-B",IF(F433=1,"PTC-A","PTC-C"),IF(F433=1,"PTC-A","PTC-B"))))</x:f>
      </x:c>
      <x:c r="H433" s="29" t="str"/>
      <x:c r="I433" s="29" t="str"/>
      <x:c r="J433" s="29" t="str"/>
      <x:c r="K433" s="29" t="str"/>
      <x:c r="L433" s="29" t="str"/>
      <x:c r="M433" s="28" t="str">
        <x:f>IF(AND(C433="RESERVE",D433=""),"DORMANT",IF(L433="","OPEN",IF(AND(G433&lt;&gt;"",H433&lt;&gt;"",I433=H433,J433&lt;&gt;"",K433&lt;&gt;"",J433&lt;&gt;K433),"PASS","FAIL")))</x:f>
        <x:v>OPEN</x:v>
      </x:c>
    </x:row>
    <x:row r="434">
      <x:c r="B434" s="28" t="str">
        <x:v>AT-18</x:v>
      </x:c>
      <x:c r="C434" s="28" t="str">
        <x:v>PRIMARY</x:v>
      </x:c>
      <x:c r="D434" s="28" t="str">
        <x:f>INDEX('Attempt Tokens'!$E$7:$E$36,MATCH(B434,'Attempt Tokens'!$B$7:$B$36,0))</x:f>
      </x:c>
      <x:c r="E434" s="28" t="str">
        <x:v>RP-10</x:v>
      </x:c>
      <x:c r="F434" s="28" t="n">
        <x:v>2</x:v>
      </x:c>
      <x:c r="G434" s="28" t="str">
        <x:f>IF(D434="","",IF(LEFT(D434,5)="RFP-A",IF(F434=1,"PTC-B","PTC-C"),IF(LEFT(D434,5)="RFP-B",IF(F434=1,"PTC-A","PTC-C"),IF(F434=1,"PTC-A","PTC-B"))))</x:f>
      </x:c>
      <x:c r="H434" s="29" t="str"/>
      <x:c r="I434" s="29" t="str"/>
      <x:c r="J434" s="29" t="str"/>
      <x:c r="K434" s="29" t="str"/>
      <x:c r="L434" s="29" t="str"/>
      <x:c r="M434" s="28" t="str">
        <x:f>IF(AND(C434="RESERVE",D434=""),"DORMANT",IF(L434="","OPEN",IF(AND(G434&lt;&gt;"",H434&lt;&gt;"",I434=H434,J434&lt;&gt;"",K434&lt;&gt;"",J434&lt;&gt;K434),"PASS","FAIL")))</x:f>
        <x:v>OPEN</x:v>
      </x:c>
    </x:row>
    <x:row r="435">
      <x:c r="B435" s="28" t="str">
        <x:v>AT-18</x:v>
      </x:c>
      <x:c r="C435" s="28" t="str">
        <x:v>PRIMARY</x:v>
      </x:c>
      <x:c r="D435" s="28" t="str">
        <x:f>INDEX('Attempt Tokens'!$E$7:$E$36,MATCH(B435,'Attempt Tokens'!$B$7:$B$36,0))</x:f>
      </x:c>
      <x:c r="E435" s="28" t="str">
        <x:v>RP-11</x:v>
      </x:c>
      <x:c r="F435" s="28" t="n">
        <x:v>1</x:v>
      </x:c>
      <x:c r="G435" s="28" t="str">
        <x:f>IF(D435="","",IF(LEFT(D435,5)="RFP-A",IF(F435=1,"PTC-B","PTC-C"),IF(LEFT(D435,5)="RFP-B",IF(F435=1,"PTC-A","PTC-C"),IF(F435=1,"PTC-A","PTC-B"))))</x:f>
      </x:c>
      <x:c r="H435" s="29" t="str"/>
      <x:c r="I435" s="29" t="str"/>
      <x:c r="J435" s="29" t="str"/>
      <x:c r="K435" s="29" t="str"/>
      <x:c r="L435" s="29" t="str"/>
      <x:c r="M435" s="28" t="str">
        <x:f>IF(AND(C435="RESERVE",D435=""),"DORMANT",IF(L435="","OPEN",IF(AND(G435&lt;&gt;"",H435&lt;&gt;"",I435=H435,J435&lt;&gt;"",K435&lt;&gt;"",J435&lt;&gt;K435),"PASS","FAIL")))</x:f>
        <x:v>OPEN</x:v>
      </x:c>
    </x:row>
    <x:row r="436">
      <x:c r="B436" s="28" t="str">
        <x:v>AT-18</x:v>
      </x:c>
      <x:c r="C436" s="28" t="str">
        <x:v>PRIMARY</x:v>
      </x:c>
      <x:c r="D436" s="28" t="str">
        <x:f>INDEX('Attempt Tokens'!$E$7:$E$36,MATCH(B436,'Attempt Tokens'!$B$7:$B$36,0))</x:f>
      </x:c>
      <x:c r="E436" s="28" t="str">
        <x:v>RP-11</x:v>
      </x:c>
      <x:c r="F436" s="28" t="n">
        <x:v>2</x:v>
      </x:c>
      <x:c r="G436" s="28" t="str">
        <x:f>IF(D436="","",IF(LEFT(D436,5)="RFP-A",IF(F436=1,"PTC-B","PTC-C"),IF(LEFT(D436,5)="RFP-B",IF(F436=1,"PTC-A","PTC-C"),IF(F436=1,"PTC-A","PTC-B"))))</x:f>
      </x:c>
      <x:c r="H436" s="29" t="str"/>
      <x:c r="I436" s="29" t="str"/>
      <x:c r="J436" s="29" t="str"/>
      <x:c r="K436" s="29" t="str"/>
      <x:c r="L436" s="29" t="str"/>
      <x:c r="M436" s="28" t="str">
        <x:f>IF(AND(C436="RESERVE",D436=""),"DORMANT",IF(L436="","OPEN",IF(AND(G436&lt;&gt;"",H436&lt;&gt;"",I436=H436,J436&lt;&gt;"",K436&lt;&gt;"",J436&lt;&gt;K436),"PASS","FAIL")))</x:f>
        <x:v>OPEN</x:v>
      </x:c>
    </x:row>
    <x:row r="437">
      <x:c r="B437" s="28" t="str">
        <x:v>AT-18</x:v>
      </x:c>
      <x:c r="C437" s="28" t="str">
        <x:v>PRIMARY</x:v>
      </x:c>
      <x:c r="D437" s="28" t="str">
        <x:f>INDEX('Attempt Tokens'!$E$7:$E$36,MATCH(B437,'Attempt Tokens'!$B$7:$B$36,0))</x:f>
      </x:c>
      <x:c r="E437" s="28" t="str">
        <x:v>RP-12</x:v>
      </x:c>
      <x:c r="F437" s="28" t="n">
        <x:v>1</x:v>
      </x:c>
      <x:c r="G437" s="28" t="str">
        <x:f>IF(D437="","",IF(LEFT(D437,5)="RFP-A",IF(F437=1,"PTC-B","PTC-C"),IF(LEFT(D437,5)="RFP-B",IF(F437=1,"PTC-A","PTC-C"),IF(F437=1,"PTC-A","PTC-B"))))</x:f>
      </x:c>
      <x:c r="H437" s="29" t="str"/>
      <x:c r="I437" s="29" t="str"/>
      <x:c r="J437" s="29" t="str"/>
      <x:c r="K437" s="29" t="str"/>
      <x:c r="L437" s="29" t="str"/>
      <x:c r="M437" s="28" t="str">
        <x:f>IF(AND(C437="RESERVE",D437=""),"DORMANT",IF(L437="","OPEN",IF(AND(G437&lt;&gt;"",H437&lt;&gt;"",I437=H437,J437&lt;&gt;"",K437&lt;&gt;"",J437&lt;&gt;K437),"PASS","FAIL")))</x:f>
        <x:v>OPEN</x:v>
      </x:c>
    </x:row>
    <x:row r="438">
      <x:c r="B438" s="28" t="str">
        <x:v>AT-18</x:v>
      </x:c>
      <x:c r="C438" s="28" t="str">
        <x:v>PRIMARY</x:v>
      </x:c>
      <x:c r="D438" s="28" t="str">
        <x:f>INDEX('Attempt Tokens'!$E$7:$E$36,MATCH(B438,'Attempt Tokens'!$B$7:$B$36,0))</x:f>
      </x:c>
      <x:c r="E438" s="28" t="str">
        <x:v>RP-12</x:v>
      </x:c>
      <x:c r="F438" s="28" t="n">
        <x:v>2</x:v>
      </x:c>
      <x:c r="G438" s="28" t="str">
        <x:f>IF(D438="","",IF(LEFT(D438,5)="RFP-A",IF(F438=1,"PTC-B","PTC-C"),IF(LEFT(D438,5)="RFP-B",IF(F438=1,"PTC-A","PTC-C"),IF(F438=1,"PTC-A","PTC-B"))))</x:f>
      </x:c>
      <x:c r="H438" s="29" t="str"/>
      <x:c r="I438" s="29" t="str"/>
      <x:c r="J438" s="29" t="str"/>
      <x:c r="K438" s="29" t="str"/>
      <x:c r="L438" s="29" t="str"/>
      <x:c r="M438" s="28" t="str">
        <x:f>IF(AND(C438="RESERVE",D438=""),"DORMANT",IF(L438="","OPEN",IF(AND(G438&lt;&gt;"",H438&lt;&gt;"",I438=H438,J438&lt;&gt;"",K438&lt;&gt;"",J438&lt;&gt;K438),"PASS","FAIL")))</x:f>
        <x:v>OPEN</x:v>
      </x:c>
    </x:row>
    <x:row r="439">
      <x:c r="B439" s="28" t="str">
        <x:v>AT-19</x:v>
      </x:c>
      <x:c r="C439" s="28" t="str">
        <x:v>PRIMARY</x:v>
      </x:c>
      <x:c r="D439" s="28" t="str">
        <x:f>INDEX('Attempt Tokens'!$E$7:$E$36,MATCH(B439,'Attempt Tokens'!$B$7:$B$36,0))</x:f>
      </x:c>
      <x:c r="E439" s="28" t="str">
        <x:v>RP-01</x:v>
      </x:c>
      <x:c r="F439" s="28" t="n">
        <x:v>1</x:v>
      </x:c>
      <x:c r="G439" s="28" t="str">
        <x:f>IF(D439="","",IF(LEFT(D439,5)="RFP-A",IF(F439=1,"PTC-B","PTC-C"),IF(LEFT(D439,5)="RFP-B",IF(F439=1,"PTC-A","PTC-C"),IF(F439=1,"PTC-A","PTC-B"))))</x:f>
      </x:c>
      <x:c r="H439" s="29" t="str"/>
      <x:c r="I439" s="29" t="str"/>
      <x:c r="J439" s="29" t="str"/>
      <x:c r="K439" s="29" t="str"/>
      <x:c r="L439" s="29" t="str"/>
      <x:c r="M439" s="28" t="str">
        <x:f>IF(AND(C439="RESERVE",D439=""),"DORMANT",IF(L439="","OPEN",IF(AND(G439&lt;&gt;"",H439&lt;&gt;"",I439=H439,J439&lt;&gt;"",K439&lt;&gt;"",J439&lt;&gt;K439),"PASS","FAIL")))</x:f>
        <x:v>OPEN</x:v>
      </x:c>
    </x:row>
    <x:row r="440">
      <x:c r="B440" s="28" t="str">
        <x:v>AT-19</x:v>
      </x:c>
      <x:c r="C440" s="28" t="str">
        <x:v>PRIMARY</x:v>
      </x:c>
      <x:c r="D440" s="28" t="str">
        <x:f>INDEX('Attempt Tokens'!$E$7:$E$36,MATCH(B440,'Attempt Tokens'!$B$7:$B$36,0))</x:f>
      </x:c>
      <x:c r="E440" s="28" t="str">
        <x:v>RP-01</x:v>
      </x:c>
      <x:c r="F440" s="28" t="n">
        <x:v>2</x:v>
      </x:c>
      <x:c r="G440" s="28" t="str">
        <x:f>IF(D440="","",IF(LEFT(D440,5)="RFP-A",IF(F440=1,"PTC-B","PTC-C"),IF(LEFT(D440,5)="RFP-B",IF(F440=1,"PTC-A","PTC-C"),IF(F440=1,"PTC-A","PTC-B"))))</x:f>
      </x:c>
      <x:c r="H440" s="29" t="str"/>
      <x:c r="I440" s="29" t="str"/>
      <x:c r="J440" s="29" t="str"/>
      <x:c r="K440" s="29" t="str"/>
      <x:c r="L440" s="29" t="str"/>
      <x:c r="M440" s="28" t="str">
        <x:f>IF(AND(C440="RESERVE",D440=""),"DORMANT",IF(L440="","OPEN",IF(AND(G440&lt;&gt;"",H440&lt;&gt;"",I440=H440,J440&lt;&gt;"",K440&lt;&gt;"",J440&lt;&gt;K440),"PASS","FAIL")))</x:f>
        <x:v>OPEN</x:v>
      </x:c>
    </x:row>
    <x:row r="441">
      <x:c r="B441" s="28" t="str">
        <x:v>AT-19</x:v>
      </x:c>
      <x:c r="C441" s="28" t="str">
        <x:v>PRIMARY</x:v>
      </x:c>
      <x:c r="D441" s="28" t="str">
        <x:f>INDEX('Attempt Tokens'!$E$7:$E$36,MATCH(B441,'Attempt Tokens'!$B$7:$B$36,0))</x:f>
      </x:c>
      <x:c r="E441" s="28" t="str">
        <x:v>RP-02</x:v>
      </x:c>
      <x:c r="F441" s="28" t="n">
        <x:v>1</x:v>
      </x:c>
      <x:c r="G441" s="28" t="str">
        <x:f>IF(D441="","",IF(LEFT(D441,5)="RFP-A",IF(F441=1,"PTC-B","PTC-C"),IF(LEFT(D441,5)="RFP-B",IF(F441=1,"PTC-A","PTC-C"),IF(F441=1,"PTC-A","PTC-B"))))</x:f>
      </x:c>
      <x:c r="H441" s="29" t="str"/>
      <x:c r="I441" s="29" t="str"/>
      <x:c r="J441" s="29" t="str"/>
      <x:c r="K441" s="29" t="str"/>
      <x:c r="L441" s="29" t="str"/>
      <x:c r="M441" s="28" t="str">
        <x:f>IF(AND(C441="RESERVE",D441=""),"DORMANT",IF(L441="","OPEN",IF(AND(G441&lt;&gt;"",H441&lt;&gt;"",I441=H441,J441&lt;&gt;"",K441&lt;&gt;"",J441&lt;&gt;K441),"PASS","FAIL")))</x:f>
        <x:v>OPEN</x:v>
      </x:c>
    </x:row>
    <x:row r="442">
      <x:c r="B442" s="28" t="str">
        <x:v>AT-19</x:v>
      </x:c>
      <x:c r="C442" s="28" t="str">
        <x:v>PRIMARY</x:v>
      </x:c>
      <x:c r="D442" s="28" t="str">
        <x:f>INDEX('Attempt Tokens'!$E$7:$E$36,MATCH(B442,'Attempt Tokens'!$B$7:$B$36,0))</x:f>
      </x:c>
      <x:c r="E442" s="28" t="str">
        <x:v>RP-02</x:v>
      </x:c>
      <x:c r="F442" s="28" t="n">
        <x:v>2</x:v>
      </x:c>
      <x:c r="G442" s="28" t="str">
        <x:f>IF(D442="","",IF(LEFT(D442,5)="RFP-A",IF(F442=1,"PTC-B","PTC-C"),IF(LEFT(D442,5)="RFP-B",IF(F442=1,"PTC-A","PTC-C"),IF(F442=1,"PTC-A","PTC-B"))))</x:f>
      </x:c>
      <x:c r="H442" s="29" t="str"/>
      <x:c r="I442" s="29" t="str"/>
      <x:c r="J442" s="29" t="str"/>
      <x:c r="K442" s="29" t="str"/>
      <x:c r="L442" s="29" t="str"/>
      <x:c r="M442" s="28" t="str">
        <x:f>IF(AND(C442="RESERVE",D442=""),"DORMANT",IF(L442="","OPEN",IF(AND(G442&lt;&gt;"",H442&lt;&gt;"",I442=H442,J442&lt;&gt;"",K442&lt;&gt;"",J442&lt;&gt;K442),"PASS","FAIL")))</x:f>
        <x:v>OPEN</x:v>
      </x:c>
    </x:row>
    <x:row r="443">
      <x:c r="B443" s="28" t="str">
        <x:v>AT-19</x:v>
      </x:c>
      <x:c r="C443" s="28" t="str">
        <x:v>PRIMARY</x:v>
      </x:c>
      <x:c r="D443" s="28" t="str">
        <x:f>INDEX('Attempt Tokens'!$E$7:$E$36,MATCH(B443,'Attempt Tokens'!$B$7:$B$36,0))</x:f>
      </x:c>
      <x:c r="E443" s="28" t="str">
        <x:v>RP-03</x:v>
      </x:c>
      <x:c r="F443" s="28" t="n">
        <x:v>1</x:v>
      </x:c>
      <x:c r="G443" s="28" t="str">
        <x:f>IF(D443="","",IF(LEFT(D443,5)="RFP-A",IF(F443=1,"PTC-B","PTC-C"),IF(LEFT(D443,5)="RFP-B",IF(F443=1,"PTC-A","PTC-C"),IF(F443=1,"PTC-A","PTC-B"))))</x:f>
      </x:c>
      <x:c r="H443" s="29" t="str"/>
      <x:c r="I443" s="29" t="str"/>
      <x:c r="J443" s="29" t="str"/>
      <x:c r="K443" s="29" t="str"/>
      <x:c r="L443" s="29" t="str"/>
      <x:c r="M443" s="28" t="str">
        <x:f>IF(AND(C443="RESERVE",D443=""),"DORMANT",IF(L443="","OPEN",IF(AND(G443&lt;&gt;"",H443&lt;&gt;"",I443=H443,J443&lt;&gt;"",K443&lt;&gt;"",J443&lt;&gt;K443),"PASS","FAIL")))</x:f>
        <x:v>OPEN</x:v>
      </x:c>
    </x:row>
    <x:row r="444">
      <x:c r="B444" s="28" t="str">
        <x:v>AT-19</x:v>
      </x:c>
      <x:c r="C444" s="28" t="str">
        <x:v>PRIMARY</x:v>
      </x:c>
      <x:c r="D444" s="28" t="str">
        <x:f>INDEX('Attempt Tokens'!$E$7:$E$36,MATCH(B444,'Attempt Tokens'!$B$7:$B$36,0))</x:f>
      </x:c>
      <x:c r="E444" s="28" t="str">
        <x:v>RP-03</x:v>
      </x:c>
      <x:c r="F444" s="28" t="n">
        <x:v>2</x:v>
      </x:c>
      <x:c r="G444" s="28" t="str">
        <x:f>IF(D444="","",IF(LEFT(D444,5)="RFP-A",IF(F444=1,"PTC-B","PTC-C"),IF(LEFT(D444,5)="RFP-B",IF(F444=1,"PTC-A","PTC-C"),IF(F444=1,"PTC-A","PTC-B"))))</x:f>
      </x:c>
      <x:c r="H444" s="29" t="str"/>
      <x:c r="I444" s="29" t="str"/>
      <x:c r="J444" s="29" t="str"/>
      <x:c r="K444" s="29" t="str"/>
      <x:c r="L444" s="29" t="str"/>
      <x:c r="M444" s="28" t="str">
        <x:f>IF(AND(C444="RESERVE",D444=""),"DORMANT",IF(L444="","OPEN",IF(AND(G444&lt;&gt;"",H444&lt;&gt;"",I444=H444,J444&lt;&gt;"",K444&lt;&gt;"",J444&lt;&gt;K444),"PASS","FAIL")))</x:f>
        <x:v>OPEN</x:v>
      </x:c>
    </x:row>
    <x:row r="445">
      <x:c r="B445" s="28" t="str">
        <x:v>AT-19</x:v>
      </x:c>
      <x:c r="C445" s="28" t="str">
        <x:v>PRIMARY</x:v>
      </x:c>
      <x:c r="D445" s="28" t="str">
        <x:f>INDEX('Attempt Tokens'!$E$7:$E$36,MATCH(B445,'Attempt Tokens'!$B$7:$B$36,0))</x:f>
      </x:c>
      <x:c r="E445" s="28" t="str">
        <x:v>RP-04</x:v>
      </x:c>
      <x:c r="F445" s="28" t="n">
        <x:v>1</x:v>
      </x:c>
      <x:c r="G445" s="28" t="str">
        <x:f>IF(D445="","",IF(LEFT(D445,5)="RFP-A",IF(F445=1,"PTC-B","PTC-C"),IF(LEFT(D445,5)="RFP-B",IF(F445=1,"PTC-A","PTC-C"),IF(F445=1,"PTC-A","PTC-B"))))</x:f>
      </x:c>
      <x:c r="H445" s="29" t="str"/>
      <x:c r="I445" s="29" t="str"/>
      <x:c r="J445" s="29" t="str"/>
      <x:c r="K445" s="29" t="str"/>
      <x:c r="L445" s="29" t="str"/>
      <x:c r="M445" s="28" t="str">
        <x:f>IF(AND(C445="RESERVE",D445=""),"DORMANT",IF(L445="","OPEN",IF(AND(G445&lt;&gt;"",H445&lt;&gt;"",I445=H445,J445&lt;&gt;"",K445&lt;&gt;"",J445&lt;&gt;K445),"PASS","FAIL")))</x:f>
        <x:v>OPEN</x:v>
      </x:c>
    </x:row>
    <x:row r="446">
      <x:c r="B446" s="28" t="str">
        <x:v>AT-19</x:v>
      </x:c>
      <x:c r="C446" s="28" t="str">
        <x:v>PRIMARY</x:v>
      </x:c>
      <x:c r="D446" s="28" t="str">
        <x:f>INDEX('Attempt Tokens'!$E$7:$E$36,MATCH(B446,'Attempt Tokens'!$B$7:$B$36,0))</x:f>
      </x:c>
      <x:c r="E446" s="28" t="str">
        <x:v>RP-04</x:v>
      </x:c>
      <x:c r="F446" s="28" t="n">
        <x:v>2</x:v>
      </x:c>
      <x:c r="G446" s="28" t="str">
        <x:f>IF(D446="","",IF(LEFT(D446,5)="RFP-A",IF(F446=1,"PTC-B","PTC-C"),IF(LEFT(D446,5)="RFP-B",IF(F446=1,"PTC-A","PTC-C"),IF(F446=1,"PTC-A","PTC-B"))))</x:f>
      </x:c>
      <x:c r="H446" s="29" t="str"/>
      <x:c r="I446" s="29" t="str"/>
      <x:c r="J446" s="29" t="str"/>
      <x:c r="K446" s="29" t="str"/>
      <x:c r="L446" s="29" t="str"/>
      <x:c r="M446" s="28" t="str">
        <x:f>IF(AND(C446="RESERVE",D446=""),"DORMANT",IF(L446="","OPEN",IF(AND(G446&lt;&gt;"",H446&lt;&gt;"",I446=H446,J446&lt;&gt;"",K446&lt;&gt;"",J446&lt;&gt;K446),"PASS","FAIL")))</x:f>
        <x:v>OPEN</x:v>
      </x:c>
    </x:row>
    <x:row r="447">
      <x:c r="B447" s="28" t="str">
        <x:v>AT-19</x:v>
      </x:c>
      <x:c r="C447" s="28" t="str">
        <x:v>PRIMARY</x:v>
      </x:c>
      <x:c r="D447" s="28" t="str">
        <x:f>INDEX('Attempt Tokens'!$E$7:$E$36,MATCH(B447,'Attempt Tokens'!$B$7:$B$36,0))</x:f>
      </x:c>
      <x:c r="E447" s="28" t="str">
        <x:v>RP-05</x:v>
      </x:c>
      <x:c r="F447" s="28" t="n">
        <x:v>1</x:v>
      </x:c>
      <x:c r="G447" s="28" t="str">
        <x:f>IF(D447="","",IF(LEFT(D447,5)="RFP-A",IF(F447=1,"PTC-B","PTC-C"),IF(LEFT(D447,5)="RFP-B",IF(F447=1,"PTC-A","PTC-C"),IF(F447=1,"PTC-A","PTC-B"))))</x:f>
      </x:c>
      <x:c r="H447" s="29" t="str"/>
      <x:c r="I447" s="29" t="str"/>
      <x:c r="J447" s="29" t="str"/>
      <x:c r="K447" s="29" t="str"/>
      <x:c r="L447" s="29" t="str"/>
      <x:c r="M447" s="28" t="str">
        <x:f>IF(AND(C447="RESERVE",D447=""),"DORMANT",IF(L447="","OPEN",IF(AND(G447&lt;&gt;"",H447&lt;&gt;"",I447=H447,J447&lt;&gt;"",K447&lt;&gt;"",J447&lt;&gt;K447),"PASS","FAIL")))</x:f>
        <x:v>OPEN</x:v>
      </x:c>
    </x:row>
    <x:row r="448">
      <x:c r="B448" s="28" t="str">
        <x:v>AT-19</x:v>
      </x:c>
      <x:c r="C448" s="28" t="str">
        <x:v>PRIMARY</x:v>
      </x:c>
      <x:c r="D448" s="28" t="str">
        <x:f>INDEX('Attempt Tokens'!$E$7:$E$36,MATCH(B448,'Attempt Tokens'!$B$7:$B$36,0))</x:f>
      </x:c>
      <x:c r="E448" s="28" t="str">
        <x:v>RP-05</x:v>
      </x:c>
      <x:c r="F448" s="28" t="n">
        <x:v>2</x:v>
      </x:c>
      <x:c r="G448" s="28" t="str">
        <x:f>IF(D448="","",IF(LEFT(D448,5)="RFP-A",IF(F448=1,"PTC-B","PTC-C"),IF(LEFT(D448,5)="RFP-B",IF(F448=1,"PTC-A","PTC-C"),IF(F448=1,"PTC-A","PTC-B"))))</x:f>
      </x:c>
      <x:c r="H448" s="29" t="str"/>
      <x:c r="I448" s="29" t="str"/>
      <x:c r="J448" s="29" t="str"/>
      <x:c r="K448" s="29" t="str"/>
      <x:c r="L448" s="29" t="str"/>
      <x:c r="M448" s="28" t="str">
        <x:f>IF(AND(C448="RESERVE",D448=""),"DORMANT",IF(L448="","OPEN",IF(AND(G448&lt;&gt;"",H448&lt;&gt;"",I448=H448,J448&lt;&gt;"",K448&lt;&gt;"",J448&lt;&gt;K448),"PASS","FAIL")))</x:f>
        <x:v>OPEN</x:v>
      </x:c>
    </x:row>
    <x:row r="449">
      <x:c r="B449" s="28" t="str">
        <x:v>AT-19</x:v>
      </x:c>
      <x:c r="C449" s="28" t="str">
        <x:v>PRIMARY</x:v>
      </x:c>
      <x:c r="D449" s="28" t="str">
        <x:f>INDEX('Attempt Tokens'!$E$7:$E$36,MATCH(B449,'Attempt Tokens'!$B$7:$B$36,0))</x:f>
      </x:c>
      <x:c r="E449" s="28" t="str">
        <x:v>RP-06</x:v>
      </x:c>
      <x:c r="F449" s="28" t="n">
        <x:v>1</x:v>
      </x:c>
      <x:c r="G449" s="28" t="str">
        <x:f>IF(D449="","",IF(LEFT(D449,5)="RFP-A",IF(F449=1,"PTC-B","PTC-C"),IF(LEFT(D449,5)="RFP-B",IF(F449=1,"PTC-A","PTC-C"),IF(F449=1,"PTC-A","PTC-B"))))</x:f>
      </x:c>
      <x:c r="H449" s="29" t="str"/>
      <x:c r="I449" s="29" t="str"/>
      <x:c r="J449" s="29" t="str"/>
      <x:c r="K449" s="29" t="str"/>
      <x:c r="L449" s="29" t="str"/>
      <x:c r="M449" s="28" t="str">
        <x:f>IF(AND(C449="RESERVE",D449=""),"DORMANT",IF(L449="","OPEN",IF(AND(G449&lt;&gt;"",H449&lt;&gt;"",I449=H449,J449&lt;&gt;"",K449&lt;&gt;"",J449&lt;&gt;K449),"PASS","FAIL")))</x:f>
        <x:v>OPEN</x:v>
      </x:c>
    </x:row>
    <x:row r="450">
      <x:c r="B450" s="28" t="str">
        <x:v>AT-19</x:v>
      </x:c>
      <x:c r="C450" s="28" t="str">
        <x:v>PRIMARY</x:v>
      </x:c>
      <x:c r="D450" s="28" t="str">
        <x:f>INDEX('Attempt Tokens'!$E$7:$E$36,MATCH(B450,'Attempt Tokens'!$B$7:$B$36,0))</x:f>
      </x:c>
      <x:c r="E450" s="28" t="str">
        <x:v>RP-06</x:v>
      </x:c>
      <x:c r="F450" s="28" t="n">
        <x:v>2</x:v>
      </x:c>
      <x:c r="G450" s="28" t="str">
        <x:f>IF(D450="","",IF(LEFT(D450,5)="RFP-A",IF(F450=1,"PTC-B","PTC-C"),IF(LEFT(D450,5)="RFP-B",IF(F450=1,"PTC-A","PTC-C"),IF(F450=1,"PTC-A","PTC-B"))))</x:f>
      </x:c>
      <x:c r="H450" s="29" t="str"/>
      <x:c r="I450" s="29" t="str"/>
      <x:c r="J450" s="29" t="str"/>
      <x:c r="K450" s="29" t="str"/>
      <x:c r="L450" s="29" t="str"/>
      <x:c r="M450" s="28" t="str">
        <x:f>IF(AND(C450="RESERVE",D450=""),"DORMANT",IF(L450="","OPEN",IF(AND(G450&lt;&gt;"",H450&lt;&gt;"",I450=H450,J450&lt;&gt;"",K450&lt;&gt;"",J450&lt;&gt;K450),"PASS","FAIL")))</x:f>
        <x:v>OPEN</x:v>
      </x:c>
    </x:row>
    <x:row r="451">
      <x:c r="B451" s="28" t="str">
        <x:v>AT-19</x:v>
      </x:c>
      <x:c r="C451" s="28" t="str">
        <x:v>PRIMARY</x:v>
      </x:c>
      <x:c r="D451" s="28" t="str">
        <x:f>INDEX('Attempt Tokens'!$E$7:$E$36,MATCH(B451,'Attempt Tokens'!$B$7:$B$36,0))</x:f>
      </x:c>
      <x:c r="E451" s="28" t="str">
        <x:v>RP-07</x:v>
      </x:c>
      <x:c r="F451" s="28" t="n">
        <x:v>1</x:v>
      </x:c>
      <x:c r="G451" s="28" t="str">
        <x:f>IF(D451="","",IF(LEFT(D451,5)="RFP-A",IF(F451=1,"PTC-B","PTC-C"),IF(LEFT(D451,5)="RFP-B",IF(F451=1,"PTC-A","PTC-C"),IF(F451=1,"PTC-A","PTC-B"))))</x:f>
      </x:c>
      <x:c r="H451" s="29" t="str"/>
      <x:c r="I451" s="29" t="str"/>
      <x:c r="J451" s="29" t="str"/>
      <x:c r="K451" s="29" t="str"/>
      <x:c r="L451" s="29" t="str"/>
      <x:c r="M451" s="28" t="str">
        <x:f>IF(AND(C451="RESERVE",D451=""),"DORMANT",IF(L451="","OPEN",IF(AND(G451&lt;&gt;"",H451&lt;&gt;"",I451=H451,J451&lt;&gt;"",K451&lt;&gt;"",J451&lt;&gt;K451),"PASS","FAIL")))</x:f>
        <x:v>OPEN</x:v>
      </x:c>
    </x:row>
    <x:row r="452">
      <x:c r="B452" s="28" t="str">
        <x:v>AT-19</x:v>
      </x:c>
      <x:c r="C452" s="28" t="str">
        <x:v>PRIMARY</x:v>
      </x:c>
      <x:c r="D452" s="28" t="str">
        <x:f>INDEX('Attempt Tokens'!$E$7:$E$36,MATCH(B452,'Attempt Tokens'!$B$7:$B$36,0))</x:f>
      </x:c>
      <x:c r="E452" s="28" t="str">
        <x:v>RP-07</x:v>
      </x:c>
      <x:c r="F452" s="28" t="n">
        <x:v>2</x:v>
      </x:c>
      <x:c r="G452" s="28" t="str">
        <x:f>IF(D452="","",IF(LEFT(D452,5)="RFP-A",IF(F452=1,"PTC-B","PTC-C"),IF(LEFT(D452,5)="RFP-B",IF(F452=1,"PTC-A","PTC-C"),IF(F452=1,"PTC-A","PTC-B"))))</x:f>
      </x:c>
      <x:c r="H452" s="29" t="str"/>
      <x:c r="I452" s="29" t="str"/>
      <x:c r="J452" s="29" t="str"/>
      <x:c r="K452" s="29" t="str"/>
      <x:c r="L452" s="29" t="str"/>
      <x:c r="M452" s="28" t="str">
        <x:f>IF(AND(C452="RESERVE",D452=""),"DORMANT",IF(L452="","OPEN",IF(AND(G452&lt;&gt;"",H452&lt;&gt;"",I452=H452,J452&lt;&gt;"",K452&lt;&gt;"",J452&lt;&gt;K452),"PASS","FAIL")))</x:f>
        <x:v>OPEN</x:v>
      </x:c>
    </x:row>
    <x:row r="453">
      <x:c r="B453" s="28" t="str">
        <x:v>AT-19</x:v>
      </x:c>
      <x:c r="C453" s="28" t="str">
        <x:v>PRIMARY</x:v>
      </x:c>
      <x:c r="D453" s="28" t="str">
        <x:f>INDEX('Attempt Tokens'!$E$7:$E$36,MATCH(B453,'Attempt Tokens'!$B$7:$B$36,0))</x:f>
      </x:c>
      <x:c r="E453" s="28" t="str">
        <x:v>RP-08</x:v>
      </x:c>
      <x:c r="F453" s="28" t="n">
        <x:v>1</x:v>
      </x:c>
      <x:c r="G453" s="28" t="str">
        <x:f>IF(D453="","",IF(LEFT(D453,5)="RFP-A",IF(F453=1,"PTC-B","PTC-C"),IF(LEFT(D453,5)="RFP-B",IF(F453=1,"PTC-A","PTC-C"),IF(F453=1,"PTC-A","PTC-B"))))</x:f>
      </x:c>
      <x:c r="H453" s="29" t="str"/>
      <x:c r="I453" s="29" t="str"/>
      <x:c r="J453" s="29" t="str"/>
      <x:c r="K453" s="29" t="str"/>
      <x:c r="L453" s="29" t="str"/>
      <x:c r="M453" s="28" t="str">
        <x:f>IF(AND(C453="RESERVE",D453=""),"DORMANT",IF(L453="","OPEN",IF(AND(G453&lt;&gt;"",H453&lt;&gt;"",I453=H453,J453&lt;&gt;"",K453&lt;&gt;"",J453&lt;&gt;K453),"PASS","FAIL")))</x:f>
        <x:v>OPEN</x:v>
      </x:c>
    </x:row>
    <x:row r="454">
      <x:c r="B454" s="28" t="str">
        <x:v>AT-19</x:v>
      </x:c>
      <x:c r="C454" s="28" t="str">
        <x:v>PRIMARY</x:v>
      </x:c>
      <x:c r="D454" s="28" t="str">
        <x:f>INDEX('Attempt Tokens'!$E$7:$E$36,MATCH(B454,'Attempt Tokens'!$B$7:$B$36,0))</x:f>
      </x:c>
      <x:c r="E454" s="28" t="str">
        <x:v>RP-08</x:v>
      </x:c>
      <x:c r="F454" s="28" t="n">
        <x:v>2</x:v>
      </x:c>
      <x:c r="G454" s="28" t="str">
        <x:f>IF(D454="","",IF(LEFT(D454,5)="RFP-A",IF(F454=1,"PTC-B","PTC-C"),IF(LEFT(D454,5)="RFP-B",IF(F454=1,"PTC-A","PTC-C"),IF(F454=1,"PTC-A","PTC-B"))))</x:f>
      </x:c>
      <x:c r="H454" s="29" t="str"/>
      <x:c r="I454" s="29" t="str"/>
      <x:c r="J454" s="29" t="str"/>
      <x:c r="K454" s="29" t="str"/>
      <x:c r="L454" s="29" t="str"/>
      <x:c r="M454" s="28" t="str">
        <x:f>IF(AND(C454="RESERVE",D454=""),"DORMANT",IF(L454="","OPEN",IF(AND(G454&lt;&gt;"",H454&lt;&gt;"",I454=H454,J454&lt;&gt;"",K454&lt;&gt;"",J454&lt;&gt;K454),"PASS","FAIL")))</x:f>
        <x:v>OPEN</x:v>
      </x:c>
    </x:row>
    <x:row r="455">
      <x:c r="B455" s="28" t="str">
        <x:v>AT-19</x:v>
      </x:c>
      <x:c r="C455" s="28" t="str">
        <x:v>PRIMARY</x:v>
      </x:c>
      <x:c r="D455" s="28" t="str">
        <x:f>INDEX('Attempt Tokens'!$E$7:$E$36,MATCH(B455,'Attempt Tokens'!$B$7:$B$36,0))</x:f>
      </x:c>
      <x:c r="E455" s="28" t="str">
        <x:v>RP-09</x:v>
      </x:c>
      <x:c r="F455" s="28" t="n">
        <x:v>1</x:v>
      </x:c>
      <x:c r="G455" s="28" t="str">
        <x:f>IF(D455="","",IF(LEFT(D455,5)="RFP-A",IF(F455=1,"PTC-B","PTC-C"),IF(LEFT(D455,5)="RFP-B",IF(F455=1,"PTC-A","PTC-C"),IF(F455=1,"PTC-A","PTC-B"))))</x:f>
      </x:c>
      <x:c r="H455" s="29" t="str"/>
      <x:c r="I455" s="29" t="str"/>
      <x:c r="J455" s="29" t="str"/>
      <x:c r="K455" s="29" t="str"/>
      <x:c r="L455" s="29" t="str"/>
      <x:c r="M455" s="28" t="str">
        <x:f>IF(AND(C455="RESERVE",D455=""),"DORMANT",IF(L455="","OPEN",IF(AND(G455&lt;&gt;"",H455&lt;&gt;"",I455=H455,J455&lt;&gt;"",K455&lt;&gt;"",J455&lt;&gt;K455),"PASS","FAIL")))</x:f>
        <x:v>OPEN</x:v>
      </x:c>
    </x:row>
    <x:row r="456">
      <x:c r="B456" s="28" t="str">
        <x:v>AT-19</x:v>
      </x:c>
      <x:c r="C456" s="28" t="str">
        <x:v>PRIMARY</x:v>
      </x:c>
      <x:c r="D456" s="28" t="str">
        <x:f>INDEX('Attempt Tokens'!$E$7:$E$36,MATCH(B456,'Attempt Tokens'!$B$7:$B$36,0))</x:f>
      </x:c>
      <x:c r="E456" s="28" t="str">
        <x:v>RP-09</x:v>
      </x:c>
      <x:c r="F456" s="28" t="n">
        <x:v>2</x:v>
      </x:c>
      <x:c r="G456" s="28" t="str">
        <x:f>IF(D456="","",IF(LEFT(D456,5)="RFP-A",IF(F456=1,"PTC-B","PTC-C"),IF(LEFT(D456,5)="RFP-B",IF(F456=1,"PTC-A","PTC-C"),IF(F456=1,"PTC-A","PTC-B"))))</x:f>
      </x:c>
      <x:c r="H456" s="29" t="str"/>
      <x:c r="I456" s="29" t="str"/>
      <x:c r="J456" s="29" t="str"/>
      <x:c r="K456" s="29" t="str"/>
      <x:c r="L456" s="29" t="str"/>
      <x:c r="M456" s="28" t="str">
        <x:f>IF(AND(C456="RESERVE",D456=""),"DORMANT",IF(L456="","OPEN",IF(AND(G456&lt;&gt;"",H456&lt;&gt;"",I456=H456,J456&lt;&gt;"",K456&lt;&gt;"",J456&lt;&gt;K456),"PASS","FAIL")))</x:f>
        <x:v>OPEN</x:v>
      </x:c>
    </x:row>
    <x:row r="457">
      <x:c r="B457" s="28" t="str">
        <x:v>AT-19</x:v>
      </x:c>
      <x:c r="C457" s="28" t="str">
        <x:v>PRIMARY</x:v>
      </x:c>
      <x:c r="D457" s="28" t="str">
        <x:f>INDEX('Attempt Tokens'!$E$7:$E$36,MATCH(B457,'Attempt Tokens'!$B$7:$B$36,0))</x:f>
      </x:c>
      <x:c r="E457" s="28" t="str">
        <x:v>RP-10</x:v>
      </x:c>
      <x:c r="F457" s="28" t="n">
        <x:v>1</x:v>
      </x:c>
      <x:c r="G457" s="28" t="str">
        <x:f>IF(D457="","",IF(LEFT(D457,5)="RFP-A",IF(F457=1,"PTC-B","PTC-C"),IF(LEFT(D457,5)="RFP-B",IF(F457=1,"PTC-A","PTC-C"),IF(F457=1,"PTC-A","PTC-B"))))</x:f>
      </x:c>
      <x:c r="H457" s="29" t="str"/>
      <x:c r="I457" s="29" t="str"/>
      <x:c r="J457" s="29" t="str"/>
      <x:c r="K457" s="29" t="str"/>
      <x:c r="L457" s="29" t="str"/>
      <x:c r="M457" s="28" t="str">
        <x:f>IF(AND(C457="RESERVE",D457=""),"DORMANT",IF(L457="","OPEN",IF(AND(G457&lt;&gt;"",H457&lt;&gt;"",I457=H457,J457&lt;&gt;"",K457&lt;&gt;"",J457&lt;&gt;K457),"PASS","FAIL")))</x:f>
        <x:v>OPEN</x:v>
      </x:c>
    </x:row>
    <x:row r="458">
      <x:c r="B458" s="28" t="str">
        <x:v>AT-19</x:v>
      </x:c>
      <x:c r="C458" s="28" t="str">
        <x:v>PRIMARY</x:v>
      </x:c>
      <x:c r="D458" s="28" t="str">
        <x:f>INDEX('Attempt Tokens'!$E$7:$E$36,MATCH(B458,'Attempt Tokens'!$B$7:$B$36,0))</x:f>
      </x:c>
      <x:c r="E458" s="28" t="str">
        <x:v>RP-10</x:v>
      </x:c>
      <x:c r="F458" s="28" t="n">
        <x:v>2</x:v>
      </x:c>
      <x:c r="G458" s="28" t="str">
        <x:f>IF(D458="","",IF(LEFT(D458,5)="RFP-A",IF(F458=1,"PTC-B","PTC-C"),IF(LEFT(D458,5)="RFP-B",IF(F458=1,"PTC-A","PTC-C"),IF(F458=1,"PTC-A","PTC-B"))))</x:f>
      </x:c>
      <x:c r="H458" s="29" t="str"/>
      <x:c r="I458" s="29" t="str"/>
      <x:c r="J458" s="29" t="str"/>
      <x:c r="K458" s="29" t="str"/>
      <x:c r="L458" s="29" t="str"/>
      <x:c r="M458" s="28" t="str">
        <x:f>IF(AND(C458="RESERVE",D458=""),"DORMANT",IF(L458="","OPEN",IF(AND(G458&lt;&gt;"",H458&lt;&gt;"",I458=H458,J458&lt;&gt;"",K458&lt;&gt;"",J458&lt;&gt;K458),"PASS","FAIL")))</x:f>
        <x:v>OPEN</x:v>
      </x:c>
    </x:row>
    <x:row r="459">
      <x:c r="B459" s="28" t="str">
        <x:v>AT-19</x:v>
      </x:c>
      <x:c r="C459" s="28" t="str">
        <x:v>PRIMARY</x:v>
      </x:c>
      <x:c r="D459" s="28" t="str">
        <x:f>INDEX('Attempt Tokens'!$E$7:$E$36,MATCH(B459,'Attempt Tokens'!$B$7:$B$36,0))</x:f>
      </x:c>
      <x:c r="E459" s="28" t="str">
        <x:v>RP-11</x:v>
      </x:c>
      <x:c r="F459" s="28" t="n">
        <x:v>1</x:v>
      </x:c>
      <x:c r="G459" s="28" t="str">
        <x:f>IF(D459="","",IF(LEFT(D459,5)="RFP-A",IF(F459=1,"PTC-B","PTC-C"),IF(LEFT(D459,5)="RFP-B",IF(F459=1,"PTC-A","PTC-C"),IF(F459=1,"PTC-A","PTC-B"))))</x:f>
      </x:c>
      <x:c r="H459" s="29" t="str"/>
      <x:c r="I459" s="29" t="str"/>
      <x:c r="J459" s="29" t="str"/>
      <x:c r="K459" s="29" t="str"/>
      <x:c r="L459" s="29" t="str"/>
      <x:c r="M459" s="28" t="str">
        <x:f>IF(AND(C459="RESERVE",D459=""),"DORMANT",IF(L459="","OPEN",IF(AND(G459&lt;&gt;"",H459&lt;&gt;"",I459=H459,J459&lt;&gt;"",K459&lt;&gt;"",J459&lt;&gt;K459),"PASS","FAIL")))</x:f>
        <x:v>OPEN</x:v>
      </x:c>
    </x:row>
    <x:row r="460">
      <x:c r="B460" s="28" t="str">
        <x:v>AT-19</x:v>
      </x:c>
      <x:c r="C460" s="28" t="str">
        <x:v>PRIMARY</x:v>
      </x:c>
      <x:c r="D460" s="28" t="str">
        <x:f>INDEX('Attempt Tokens'!$E$7:$E$36,MATCH(B460,'Attempt Tokens'!$B$7:$B$36,0))</x:f>
      </x:c>
      <x:c r="E460" s="28" t="str">
        <x:v>RP-11</x:v>
      </x:c>
      <x:c r="F460" s="28" t="n">
        <x:v>2</x:v>
      </x:c>
      <x:c r="G460" s="28" t="str">
        <x:f>IF(D460="","",IF(LEFT(D460,5)="RFP-A",IF(F460=1,"PTC-B","PTC-C"),IF(LEFT(D460,5)="RFP-B",IF(F460=1,"PTC-A","PTC-C"),IF(F460=1,"PTC-A","PTC-B"))))</x:f>
      </x:c>
      <x:c r="H460" s="29" t="str"/>
      <x:c r="I460" s="29" t="str"/>
      <x:c r="J460" s="29" t="str"/>
      <x:c r="K460" s="29" t="str"/>
      <x:c r="L460" s="29" t="str"/>
      <x:c r="M460" s="28" t="str">
        <x:f>IF(AND(C460="RESERVE",D460=""),"DORMANT",IF(L460="","OPEN",IF(AND(G460&lt;&gt;"",H460&lt;&gt;"",I460=H460,J460&lt;&gt;"",K460&lt;&gt;"",J460&lt;&gt;K460),"PASS","FAIL")))</x:f>
        <x:v>OPEN</x:v>
      </x:c>
    </x:row>
    <x:row r="461">
      <x:c r="B461" s="28" t="str">
        <x:v>AT-19</x:v>
      </x:c>
      <x:c r="C461" s="28" t="str">
        <x:v>PRIMARY</x:v>
      </x:c>
      <x:c r="D461" s="28" t="str">
        <x:f>INDEX('Attempt Tokens'!$E$7:$E$36,MATCH(B461,'Attempt Tokens'!$B$7:$B$36,0))</x:f>
      </x:c>
      <x:c r="E461" s="28" t="str">
        <x:v>RP-12</x:v>
      </x:c>
      <x:c r="F461" s="28" t="n">
        <x:v>1</x:v>
      </x:c>
      <x:c r="G461" s="28" t="str">
        <x:f>IF(D461="","",IF(LEFT(D461,5)="RFP-A",IF(F461=1,"PTC-B","PTC-C"),IF(LEFT(D461,5)="RFP-B",IF(F461=1,"PTC-A","PTC-C"),IF(F461=1,"PTC-A","PTC-B"))))</x:f>
      </x:c>
      <x:c r="H461" s="29" t="str"/>
      <x:c r="I461" s="29" t="str"/>
      <x:c r="J461" s="29" t="str"/>
      <x:c r="K461" s="29" t="str"/>
      <x:c r="L461" s="29" t="str"/>
      <x:c r="M461" s="28" t="str">
        <x:f>IF(AND(C461="RESERVE",D461=""),"DORMANT",IF(L461="","OPEN",IF(AND(G461&lt;&gt;"",H461&lt;&gt;"",I461=H461,J461&lt;&gt;"",K461&lt;&gt;"",J461&lt;&gt;K461),"PASS","FAIL")))</x:f>
        <x:v>OPEN</x:v>
      </x:c>
    </x:row>
    <x:row r="462">
      <x:c r="B462" s="28" t="str">
        <x:v>AT-19</x:v>
      </x:c>
      <x:c r="C462" s="28" t="str">
        <x:v>PRIMARY</x:v>
      </x:c>
      <x:c r="D462" s="28" t="str">
        <x:f>INDEX('Attempt Tokens'!$E$7:$E$36,MATCH(B462,'Attempt Tokens'!$B$7:$B$36,0))</x:f>
      </x:c>
      <x:c r="E462" s="28" t="str">
        <x:v>RP-12</x:v>
      </x:c>
      <x:c r="F462" s="28" t="n">
        <x:v>2</x:v>
      </x:c>
      <x:c r="G462" s="28" t="str">
        <x:f>IF(D462="","",IF(LEFT(D462,5)="RFP-A",IF(F462=1,"PTC-B","PTC-C"),IF(LEFT(D462,5)="RFP-B",IF(F462=1,"PTC-A","PTC-C"),IF(F462=1,"PTC-A","PTC-B"))))</x:f>
      </x:c>
      <x:c r="H462" s="29" t="str"/>
      <x:c r="I462" s="29" t="str"/>
      <x:c r="J462" s="29" t="str"/>
      <x:c r="K462" s="29" t="str"/>
      <x:c r="L462" s="29" t="str"/>
      <x:c r="M462" s="28" t="str">
        <x:f>IF(AND(C462="RESERVE",D462=""),"DORMANT",IF(L462="","OPEN",IF(AND(G462&lt;&gt;"",H462&lt;&gt;"",I462=H462,J462&lt;&gt;"",K462&lt;&gt;"",J462&lt;&gt;K462),"PASS","FAIL")))</x:f>
        <x:v>OPEN</x:v>
      </x:c>
    </x:row>
    <x:row r="463">
      <x:c r="B463" s="28" t="str">
        <x:v>AT-20</x:v>
      </x:c>
      <x:c r="C463" s="28" t="str">
        <x:v>PRIMARY</x:v>
      </x:c>
      <x:c r="D463" s="28" t="str">
        <x:f>INDEX('Attempt Tokens'!$E$7:$E$36,MATCH(B463,'Attempt Tokens'!$B$7:$B$36,0))</x:f>
      </x:c>
      <x:c r="E463" s="28" t="str">
        <x:v>RP-01</x:v>
      </x:c>
      <x:c r="F463" s="28" t="n">
        <x:v>1</x:v>
      </x:c>
      <x:c r="G463" s="28" t="str">
        <x:f>IF(D463="","",IF(LEFT(D463,5)="RFP-A",IF(F463=1,"PTC-B","PTC-C"),IF(LEFT(D463,5)="RFP-B",IF(F463=1,"PTC-A","PTC-C"),IF(F463=1,"PTC-A","PTC-B"))))</x:f>
      </x:c>
      <x:c r="H463" s="29" t="str"/>
      <x:c r="I463" s="29" t="str"/>
      <x:c r="J463" s="29" t="str"/>
      <x:c r="K463" s="29" t="str"/>
      <x:c r="L463" s="29" t="str"/>
      <x:c r="M463" s="28" t="str">
        <x:f>IF(AND(C463="RESERVE",D463=""),"DORMANT",IF(L463="","OPEN",IF(AND(G463&lt;&gt;"",H463&lt;&gt;"",I463=H463,J463&lt;&gt;"",K463&lt;&gt;"",J463&lt;&gt;K463),"PASS","FAIL")))</x:f>
        <x:v>OPEN</x:v>
      </x:c>
    </x:row>
    <x:row r="464">
      <x:c r="B464" s="28" t="str">
        <x:v>AT-20</x:v>
      </x:c>
      <x:c r="C464" s="28" t="str">
        <x:v>PRIMARY</x:v>
      </x:c>
      <x:c r="D464" s="28" t="str">
        <x:f>INDEX('Attempt Tokens'!$E$7:$E$36,MATCH(B464,'Attempt Tokens'!$B$7:$B$36,0))</x:f>
      </x:c>
      <x:c r="E464" s="28" t="str">
        <x:v>RP-01</x:v>
      </x:c>
      <x:c r="F464" s="28" t="n">
        <x:v>2</x:v>
      </x:c>
      <x:c r="G464" s="28" t="str">
        <x:f>IF(D464="","",IF(LEFT(D464,5)="RFP-A",IF(F464=1,"PTC-B","PTC-C"),IF(LEFT(D464,5)="RFP-B",IF(F464=1,"PTC-A","PTC-C"),IF(F464=1,"PTC-A","PTC-B"))))</x:f>
      </x:c>
      <x:c r="H464" s="29" t="str"/>
      <x:c r="I464" s="29" t="str"/>
      <x:c r="J464" s="29" t="str"/>
      <x:c r="K464" s="29" t="str"/>
      <x:c r="L464" s="29" t="str"/>
      <x:c r="M464" s="28" t="str">
        <x:f>IF(AND(C464="RESERVE",D464=""),"DORMANT",IF(L464="","OPEN",IF(AND(G464&lt;&gt;"",H464&lt;&gt;"",I464=H464,J464&lt;&gt;"",K464&lt;&gt;"",J464&lt;&gt;K464),"PASS","FAIL")))</x:f>
        <x:v>OPEN</x:v>
      </x:c>
    </x:row>
    <x:row r="465">
      <x:c r="B465" s="28" t="str">
        <x:v>AT-20</x:v>
      </x:c>
      <x:c r="C465" s="28" t="str">
        <x:v>PRIMARY</x:v>
      </x:c>
      <x:c r="D465" s="28" t="str">
        <x:f>INDEX('Attempt Tokens'!$E$7:$E$36,MATCH(B465,'Attempt Tokens'!$B$7:$B$36,0))</x:f>
      </x:c>
      <x:c r="E465" s="28" t="str">
        <x:v>RP-02</x:v>
      </x:c>
      <x:c r="F465" s="28" t="n">
        <x:v>1</x:v>
      </x:c>
      <x:c r="G465" s="28" t="str">
        <x:f>IF(D465="","",IF(LEFT(D465,5)="RFP-A",IF(F465=1,"PTC-B","PTC-C"),IF(LEFT(D465,5)="RFP-B",IF(F465=1,"PTC-A","PTC-C"),IF(F465=1,"PTC-A","PTC-B"))))</x:f>
      </x:c>
      <x:c r="H465" s="29" t="str"/>
      <x:c r="I465" s="29" t="str"/>
      <x:c r="J465" s="29" t="str"/>
      <x:c r="K465" s="29" t="str"/>
      <x:c r="L465" s="29" t="str"/>
      <x:c r="M465" s="28" t="str">
        <x:f>IF(AND(C465="RESERVE",D465=""),"DORMANT",IF(L465="","OPEN",IF(AND(G465&lt;&gt;"",H465&lt;&gt;"",I465=H465,J465&lt;&gt;"",K465&lt;&gt;"",J465&lt;&gt;K465),"PASS","FAIL")))</x:f>
        <x:v>OPEN</x:v>
      </x:c>
    </x:row>
    <x:row r="466">
      <x:c r="B466" s="28" t="str">
        <x:v>AT-20</x:v>
      </x:c>
      <x:c r="C466" s="28" t="str">
        <x:v>PRIMARY</x:v>
      </x:c>
      <x:c r="D466" s="28" t="str">
        <x:f>INDEX('Attempt Tokens'!$E$7:$E$36,MATCH(B466,'Attempt Tokens'!$B$7:$B$36,0))</x:f>
      </x:c>
      <x:c r="E466" s="28" t="str">
        <x:v>RP-02</x:v>
      </x:c>
      <x:c r="F466" s="28" t="n">
        <x:v>2</x:v>
      </x:c>
      <x:c r="G466" s="28" t="str">
        <x:f>IF(D466="","",IF(LEFT(D466,5)="RFP-A",IF(F466=1,"PTC-B","PTC-C"),IF(LEFT(D466,5)="RFP-B",IF(F466=1,"PTC-A","PTC-C"),IF(F466=1,"PTC-A","PTC-B"))))</x:f>
      </x:c>
      <x:c r="H466" s="29" t="str"/>
      <x:c r="I466" s="29" t="str"/>
      <x:c r="J466" s="29" t="str"/>
      <x:c r="K466" s="29" t="str"/>
      <x:c r="L466" s="29" t="str"/>
      <x:c r="M466" s="28" t="str">
        <x:f>IF(AND(C466="RESERVE",D466=""),"DORMANT",IF(L466="","OPEN",IF(AND(G466&lt;&gt;"",H466&lt;&gt;"",I466=H466,J466&lt;&gt;"",K466&lt;&gt;"",J466&lt;&gt;K466),"PASS","FAIL")))</x:f>
        <x:v>OPEN</x:v>
      </x:c>
    </x:row>
    <x:row r="467">
      <x:c r="B467" s="28" t="str">
        <x:v>AT-20</x:v>
      </x:c>
      <x:c r="C467" s="28" t="str">
        <x:v>PRIMARY</x:v>
      </x:c>
      <x:c r="D467" s="28" t="str">
        <x:f>INDEX('Attempt Tokens'!$E$7:$E$36,MATCH(B467,'Attempt Tokens'!$B$7:$B$36,0))</x:f>
      </x:c>
      <x:c r="E467" s="28" t="str">
        <x:v>RP-03</x:v>
      </x:c>
      <x:c r="F467" s="28" t="n">
        <x:v>1</x:v>
      </x:c>
      <x:c r="G467" s="28" t="str">
        <x:f>IF(D467="","",IF(LEFT(D467,5)="RFP-A",IF(F467=1,"PTC-B","PTC-C"),IF(LEFT(D467,5)="RFP-B",IF(F467=1,"PTC-A","PTC-C"),IF(F467=1,"PTC-A","PTC-B"))))</x:f>
      </x:c>
      <x:c r="H467" s="29" t="str"/>
      <x:c r="I467" s="29" t="str"/>
      <x:c r="J467" s="29" t="str"/>
      <x:c r="K467" s="29" t="str"/>
      <x:c r="L467" s="29" t="str"/>
      <x:c r="M467" s="28" t="str">
        <x:f>IF(AND(C467="RESERVE",D467=""),"DORMANT",IF(L467="","OPEN",IF(AND(G467&lt;&gt;"",H467&lt;&gt;"",I467=H467,J467&lt;&gt;"",K467&lt;&gt;"",J467&lt;&gt;K467),"PASS","FAIL")))</x:f>
        <x:v>OPEN</x:v>
      </x:c>
    </x:row>
    <x:row r="468">
      <x:c r="B468" s="28" t="str">
        <x:v>AT-20</x:v>
      </x:c>
      <x:c r="C468" s="28" t="str">
        <x:v>PRIMARY</x:v>
      </x:c>
      <x:c r="D468" s="28" t="str">
        <x:f>INDEX('Attempt Tokens'!$E$7:$E$36,MATCH(B468,'Attempt Tokens'!$B$7:$B$36,0))</x:f>
      </x:c>
      <x:c r="E468" s="28" t="str">
        <x:v>RP-03</x:v>
      </x:c>
      <x:c r="F468" s="28" t="n">
        <x:v>2</x:v>
      </x:c>
      <x:c r="G468" s="28" t="str">
        <x:f>IF(D468="","",IF(LEFT(D468,5)="RFP-A",IF(F468=1,"PTC-B","PTC-C"),IF(LEFT(D468,5)="RFP-B",IF(F468=1,"PTC-A","PTC-C"),IF(F468=1,"PTC-A","PTC-B"))))</x:f>
      </x:c>
      <x:c r="H468" s="29" t="str"/>
      <x:c r="I468" s="29" t="str"/>
      <x:c r="J468" s="29" t="str"/>
      <x:c r="K468" s="29" t="str"/>
      <x:c r="L468" s="29" t="str"/>
      <x:c r="M468" s="28" t="str">
        <x:f>IF(AND(C468="RESERVE",D468=""),"DORMANT",IF(L468="","OPEN",IF(AND(G468&lt;&gt;"",H468&lt;&gt;"",I468=H468,J468&lt;&gt;"",K468&lt;&gt;"",J468&lt;&gt;K468),"PASS","FAIL")))</x:f>
        <x:v>OPEN</x:v>
      </x:c>
    </x:row>
    <x:row r="469">
      <x:c r="B469" s="28" t="str">
        <x:v>AT-20</x:v>
      </x:c>
      <x:c r="C469" s="28" t="str">
        <x:v>PRIMARY</x:v>
      </x:c>
      <x:c r="D469" s="28" t="str">
        <x:f>INDEX('Attempt Tokens'!$E$7:$E$36,MATCH(B469,'Attempt Tokens'!$B$7:$B$36,0))</x:f>
      </x:c>
      <x:c r="E469" s="28" t="str">
        <x:v>RP-04</x:v>
      </x:c>
      <x:c r="F469" s="28" t="n">
        <x:v>1</x:v>
      </x:c>
      <x:c r="G469" s="28" t="str">
        <x:f>IF(D469="","",IF(LEFT(D469,5)="RFP-A",IF(F469=1,"PTC-B","PTC-C"),IF(LEFT(D469,5)="RFP-B",IF(F469=1,"PTC-A","PTC-C"),IF(F469=1,"PTC-A","PTC-B"))))</x:f>
      </x:c>
      <x:c r="H469" s="29" t="str"/>
      <x:c r="I469" s="29" t="str"/>
      <x:c r="J469" s="29" t="str"/>
      <x:c r="K469" s="29" t="str"/>
      <x:c r="L469" s="29" t="str"/>
      <x:c r="M469" s="28" t="str">
        <x:f>IF(AND(C469="RESERVE",D469=""),"DORMANT",IF(L469="","OPEN",IF(AND(G469&lt;&gt;"",H469&lt;&gt;"",I469=H469,J469&lt;&gt;"",K469&lt;&gt;"",J469&lt;&gt;K469),"PASS","FAIL")))</x:f>
        <x:v>OPEN</x:v>
      </x:c>
    </x:row>
    <x:row r="470">
      <x:c r="B470" s="28" t="str">
        <x:v>AT-20</x:v>
      </x:c>
      <x:c r="C470" s="28" t="str">
        <x:v>PRIMARY</x:v>
      </x:c>
      <x:c r="D470" s="28" t="str">
        <x:f>INDEX('Attempt Tokens'!$E$7:$E$36,MATCH(B470,'Attempt Tokens'!$B$7:$B$36,0))</x:f>
      </x:c>
      <x:c r="E470" s="28" t="str">
        <x:v>RP-04</x:v>
      </x:c>
      <x:c r="F470" s="28" t="n">
        <x:v>2</x:v>
      </x:c>
      <x:c r="G470" s="28" t="str">
        <x:f>IF(D470="","",IF(LEFT(D470,5)="RFP-A",IF(F470=1,"PTC-B","PTC-C"),IF(LEFT(D470,5)="RFP-B",IF(F470=1,"PTC-A","PTC-C"),IF(F470=1,"PTC-A","PTC-B"))))</x:f>
      </x:c>
      <x:c r="H470" s="29" t="str"/>
      <x:c r="I470" s="29" t="str"/>
      <x:c r="J470" s="29" t="str"/>
      <x:c r="K470" s="29" t="str"/>
      <x:c r="L470" s="29" t="str"/>
      <x:c r="M470" s="28" t="str">
        <x:f>IF(AND(C470="RESERVE",D470=""),"DORMANT",IF(L470="","OPEN",IF(AND(G470&lt;&gt;"",H470&lt;&gt;"",I470=H470,J470&lt;&gt;"",K470&lt;&gt;"",J470&lt;&gt;K470),"PASS","FAIL")))</x:f>
        <x:v>OPEN</x:v>
      </x:c>
    </x:row>
    <x:row r="471">
      <x:c r="B471" s="28" t="str">
        <x:v>AT-20</x:v>
      </x:c>
      <x:c r="C471" s="28" t="str">
        <x:v>PRIMARY</x:v>
      </x:c>
      <x:c r="D471" s="28" t="str">
        <x:f>INDEX('Attempt Tokens'!$E$7:$E$36,MATCH(B471,'Attempt Tokens'!$B$7:$B$36,0))</x:f>
      </x:c>
      <x:c r="E471" s="28" t="str">
        <x:v>RP-05</x:v>
      </x:c>
      <x:c r="F471" s="28" t="n">
        <x:v>1</x:v>
      </x:c>
      <x:c r="G471" s="28" t="str">
        <x:f>IF(D471="","",IF(LEFT(D471,5)="RFP-A",IF(F471=1,"PTC-B","PTC-C"),IF(LEFT(D471,5)="RFP-B",IF(F471=1,"PTC-A","PTC-C"),IF(F471=1,"PTC-A","PTC-B"))))</x:f>
      </x:c>
      <x:c r="H471" s="29" t="str"/>
      <x:c r="I471" s="29" t="str"/>
      <x:c r="J471" s="29" t="str"/>
      <x:c r="K471" s="29" t="str"/>
      <x:c r="L471" s="29" t="str"/>
      <x:c r="M471" s="28" t="str">
        <x:f>IF(AND(C471="RESERVE",D471=""),"DORMANT",IF(L471="","OPEN",IF(AND(G471&lt;&gt;"",H471&lt;&gt;"",I471=H471,J471&lt;&gt;"",K471&lt;&gt;"",J471&lt;&gt;K471),"PASS","FAIL")))</x:f>
        <x:v>OPEN</x:v>
      </x:c>
    </x:row>
    <x:row r="472">
      <x:c r="B472" s="28" t="str">
        <x:v>AT-20</x:v>
      </x:c>
      <x:c r="C472" s="28" t="str">
        <x:v>PRIMARY</x:v>
      </x:c>
      <x:c r="D472" s="28" t="str">
        <x:f>INDEX('Attempt Tokens'!$E$7:$E$36,MATCH(B472,'Attempt Tokens'!$B$7:$B$36,0))</x:f>
      </x:c>
      <x:c r="E472" s="28" t="str">
        <x:v>RP-05</x:v>
      </x:c>
      <x:c r="F472" s="28" t="n">
        <x:v>2</x:v>
      </x:c>
      <x:c r="G472" s="28" t="str">
        <x:f>IF(D472="","",IF(LEFT(D472,5)="RFP-A",IF(F472=1,"PTC-B","PTC-C"),IF(LEFT(D472,5)="RFP-B",IF(F472=1,"PTC-A","PTC-C"),IF(F472=1,"PTC-A","PTC-B"))))</x:f>
      </x:c>
      <x:c r="H472" s="29" t="str"/>
      <x:c r="I472" s="29" t="str"/>
      <x:c r="J472" s="29" t="str"/>
      <x:c r="K472" s="29" t="str"/>
      <x:c r="L472" s="29" t="str"/>
      <x:c r="M472" s="28" t="str">
        <x:f>IF(AND(C472="RESERVE",D472=""),"DORMANT",IF(L472="","OPEN",IF(AND(G472&lt;&gt;"",H472&lt;&gt;"",I472=H472,J472&lt;&gt;"",K472&lt;&gt;"",J472&lt;&gt;K472),"PASS","FAIL")))</x:f>
        <x:v>OPEN</x:v>
      </x:c>
    </x:row>
    <x:row r="473">
      <x:c r="B473" s="28" t="str">
        <x:v>AT-20</x:v>
      </x:c>
      <x:c r="C473" s="28" t="str">
        <x:v>PRIMARY</x:v>
      </x:c>
      <x:c r="D473" s="28" t="str">
        <x:f>INDEX('Attempt Tokens'!$E$7:$E$36,MATCH(B473,'Attempt Tokens'!$B$7:$B$36,0))</x:f>
      </x:c>
      <x:c r="E473" s="28" t="str">
        <x:v>RP-06</x:v>
      </x:c>
      <x:c r="F473" s="28" t="n">
        <x:v>1</x:v>
      </x:c>
      <x:c r="G473" s="28" t="str">
        <x:f>IF(D473="","",IF(LEFT(D473,5)="RFP-A",IF(F473=1,"PTC-B","PTC-C"),IF(LEFT(D473,5)="RFP-B",IF(F473=1,"PTC-A","PTC-C"),IF(F473=1,"PTC-A","PTC-B"))))</x:f>
      </x:c>
      <x:c r="H473" s="29" t="str"/>
      <x:c r="I473" s="29" t="str"/>
      <x:c r="J473" s="29" t="str"/>
      <x:c r="K473" s="29" t="str"/>
      <x:c r="L473" s="29" t="str"/>
      <x:c r="M473" s="28" t="str">
        <x:f>IF(AND(C473="RESERVE",D473=""),"DORMANT",IF(L473="","OPEN",IF(AND(G473&lt;&gt;"",H473&lt;&gt;"",I473=H473,J473&lt;&gt;"",K473&lt;&gt;"",J473&lt;&gt;K473),"PASS","FAIL")))</x:f>
        <x:v>OPEN</x:v>
      </x:c>
    </x:row>
    <x:row r="474">
      <x:c r="B474" s="28" t="str">
        <x:v>AT-20</x:v>
      </x:c>
      <x:c r="C474" s="28" t="str">
        <x:v>PRIMARY</x:v>
      </x:c>
      <x:c r="D474" s="28" t="str">
        <x:f>INDEX('Attempt Tokens'!$E$7:$E$36,MATCH(B474,'Attempt Tokens'!$B$7:$B$36,0))</x:f>
      </x:c>
      <x:c r="E474" s="28" t="str">
        <x:v>RP-06</x:v>
      </x:c>
      <x:c r="F474" s="28" t="n">
        <x:v>2</x:v>
      </x:c>
      <x:c r="G474" s="28" t="str">
        <x:f>IF(D474="","",IF(LEFT(D474,5)="RFP-A",IF(F474=1,"PTC-B","PTC-C"),IF(LEFT(D474,5)="RFP-B",IF(F474=1,"PTC-A","PTC-C"),IF(F474=1,"PTC-A","PTC-B"))))</x:f>
      </x:c>
      <x:c r="H474" s="29" t="str"/>
      <x:c r="I474" s="29" t="str"/>
      <x:c r="J474" s="29" t="str"/>
      <x:c r="K474" s="29" t="str"/>
      <x:c r="L474" s="29" t="str"/>
      <x:c r="M474" s="28" t="str">
        <x:f>IF(AND(C474="RESERVE",D474=""),"DORMANT",IF(L474="","OPEN",IF(AND(G474&lt;&gt;"",H474&lt;&gt;"",I474=H474,J474&lt;&gt;"",K474&lt;&gt;"",J474&lt;&gt;K474),"PASS","FAIL")))</x:f>
        <x:v>OPEN</x:v>
      </x:c>
    </x:row>
    <x:row r="475">
      <x:c r="B475" s="28" t="str">
        <x:v>AT-20</x:v>
      </x:c>
      <x:c r="C475" s="28" t="str">
        <x:v>PRIMARY</x:v>
      </x:c>
      <x:c r="D475" s="28" t="str">
        <x:f>INDEX('Attempt Tokens'!$E$7:$E$36,MATCH(B475,'Attempt Tokens'!$B$7:$B$36,0))</x:f>
      </x:c>
      <x:c r="E475" s="28" t="str">
        <x:v>RP-07</x:v>
      </x:c>
      <x:c r="F475" s="28" t="n">
        <x:v>1</x:v>
      </x:c>
      <x:c r="G475" s="28" t="str">
        <x:f>IF(D475="","",IF(LEFT(D475,5)="RFP-A",IF(F475=1,"PTC-B","PTC-C"),IF(LEFT(D475,5)="RFP-B",IF(F475=1,"PTC-A","PTC-C"),IF(F475=1,"PTC-A","PTC-B"))))</x:f>
      </x:c>
      <x:c r="H475" s="29" t="str"/>
      <x:c r="I475" s="29" t="str"/>
      <x:c r="J475" s="29" t="str"/>
      <x:c r="K475" s="29" t="str"/>
      <x:c r="L475" s="29" t="str"/>
      <x:c r="M475" s="28" t="str">
        <x:f>IF(AND(C475="RESERVE",D475=""),"DORMANT",IF(L475="","OPEN",IF(AND(G475&lt;&gt;"",H475&lt;&gt;"",I475=H475,J475&lt;&gt;"",K475&lt;&gt;"",J475&lt;&gt;K475),"PASS","FAIL")))</x:f>
        <x:v>OPEN</x:v>
      </x:c>
    </x:row>
    <x:row r="476">
      <x:c r="B476" s="28" t="str">
        <x:v>AT-20</x:v>
      </x:c>
      <x:c r="C476" s="28" t="str">
        <x:v>PRIMARY</x:v>
      </x:c>
      <x:c r="D476" s="28" t="str">
        <x:f>INDEX('Attempt Tokens'!$E$7:$E$36,MATCH(B476,'Attempt Tokens'!$B$7:$B$36,0))</x:f>
      </x:c>
      <x:c r="E476" s="28" t="str">
        <x:v>RP-07</x:v>
      </x:c>
      <x:c r="F476" s="28" t="n">
        <x:v>2</x:v>
      </x:c>
      <x:c r="G476" s="28" t="str">
        <x:f>IF(D476="","",IF(LEFT(D476,5)="RFP-A",IF(F476=1,"PTC-B","PTC-C"),IF(LEFT(D476,5)="RFP-B",IF(F476=1,"PTC-A","PTC-C"),IF(F476=1,"PTC-A","PTC-B"))))</x:f>
      </x:c>
      <x:c r="H476" s="29" t="str"/>
      <x:c r="I476" s="29" t="str"/>
      <x:c r="J476" s="29" t="str"/>
      <x:c r="K476" s="29" t="str"/>
      <x:c r="L476" s="29" t="str"/>
      <x:c r="M476" s="28" t="str">
        <x:f>IF(AND(C476="RESERVE",D476=""),"DORMANT",IF(L476="","OPEN",IF(AND(G476&lt;&gt;"",H476&lt;&gt;"",I476=H476,J476&lt;&gt;"",K476&lt;&gt;"",J476&lt;&gt;K476),"PASS","FAIL")))</x:f>
        <x:v>OPEN</x:v>
      </x:c>
    </x:row>
    <x:row r="477">
      <x:c r="B477" s="28" t="str">
        <x:v>AT-20</x:v>
      </x:c>
      <x:c r="C477" s="28" t="str">
        <x:v>PRIMARY</x:v>
      </x:c>
      <x:c r="D477" s="28" t="str">
        <x:f>INDEX('Attempt Tokens'!$E$7:$E$36,MATCH(B477,'Attempt Tokens'!$B$7:$B$36,0))</x:f>
      </x:c>
      <x:c r="E477" s="28" t="str">
        <x:v>RP-08</x:v>
      </x:c>
      <x:c r="F477" s="28" t="n">
        <x:v>1</x:v>
      </x:c>
      <x:c r="G477" s="28" t="str">
        <x:f>IF(D477="","",IF(LEFT(D477,5)="RFP-A",IF(F477=1,"PTC-B","PTC-C"),IF(LEFT(D477,5)="RFP-B",IF(F477=1,"PTC-A","PTC-C"),IF(F477=1,"PTC-A","PTC-B"))))</x:f>
      </x:c>
      <x:c r="H477" s="29" t="str"/>
      <x:c r="I477" s="29" t="str"/>
      <x:c r="J477" s="29" t="str"/>
      <x:c r="K477" s="29" t="str"/>
      <x:c r="L477" s="29" t="str"/>
      <x:c r="M477" s="28" t="str">
        <x:f>IF(AND(C477="RESERVE",D477=""),"DORMANT",IF(L477="","OPEN",IF(AND(G477&lt;&gt;"",H477&lt;&gt;"",I477=H477,J477&lt;&gt;"",K477&lt;&gt;"",J477&lt;&gt;K477),"PASS","FAIL")))</x:f>
        <x:v>OPEN</x:v>
      </x:c>
    </x:row>
    <x:row r="478">
      <x:c r="B478" s="28" t="str">
        <x:v>AT-20</x:v>
      </x:c>
      <x:c r="C478" s="28" t="str">
        <x:v>PRIMARY</x:v>
      </x:c>
      <x:c r="D478" s="28" t="str">
        <x:f>INDEX('Attempt Tokens'!$E$7:$E$36,MATCH(B478,'Attempt Tokens'!$B$7:$B$36,0))</x:f>
      </x:c>
      <x:c r="E478" s="28" t="str">
        <x:v>RP-08</x:v>
      </x:c>
      <x:c r="F478" s="28" t="n">
        <x:v>2</x:v>
      </x:c>
      <x:c r="G478" s="28" t="str">
        <x:f>IF(D478="","",IF(LEFT(D478,5)="RFP-A",IF(F478=1,"PTC-B","PTC-C"),IF(LEFT(D478,5)="RFP-B",IF(F478=1,"PTC-A","PTC-C"),IF(F478=1,"PTC-A","PTC-B"))))</x:f>
      </x:c>
      <x:c r="H478" s="29" t="str"/>
      <x:c r="I478" s="29" t="str"/>
      <x:c r="J478" s="29" t="str"/>
      <x:c r="K478" s="29" t="str"/>
      <x:c r="L478" s="29" t="str"/>
      <x:c r="M478" s="28" t="str">
        <x:f>IF(AND(C478="RESERVE",D478=""),"DORMANT",IF(L478="","OPEN",IF(AND(G478&lt;&gt;"",H478&lt;&gt;"",I478=H478,J478&lt;&gt;"",K478&lt;&gt;"",J478&lt;&gt;K478),"PASS","FAIL")))</x:f>
        <x:v>OPEN</x:v>
      </x:c>
    </x:row>
    <x:row r="479">
      <x:c r="B479" s="28" t="str">
        <x:v>AT-20</x:v>
      </x:c>
      <x:c r="C479" s="28" t="str">
        <x:v>PRIMARY</x:v>
      </x:c>
      <x:c r="D479" s="28" t="str">
        <x:f>INDEX('Attempt Tokens'!$E$7:$E$36,MATCH(B479,'Attempt Tokens'!$B$7:$B$36,0))</x:f>
      </x:c>
      <x:c r="E479" s="28" t="str">
        <x:v>RP-09</x:v>
      </x:c>
      <x:c r="F479" s="28" t="n">
        <x:v>1</x:v>
      </x:c>
      <x:c r="G479" s="28" t="str">
        <x:f>IF(D479="","",IF(LEFT(D479,5)="RFP-A",IF(F479=1,"PTC-B","PTC-C"),IF(LEFT(D479,5)="RFP-B",IF(F479=1,"PTC-A","PTC-C"),IF(F479=1,"PTC-A","PTC-B"))))</x:f>
      </x:c>
      <x:c r="H479" s="29" t="str"/>
      <x:c r="I479" s="29" t="str"/>
      <x:c r="J479" s="29" t="str"/>
      <x:c r="K479" s="29" t="str"/>
      <x:c r="L479" s="29" t="str"/>
      <x:c r="M479" s="28" t="str">
        <x:f>IF(AND(C479="RESERVE",D479=""),"DORMANT",IF(L479="","OPEN",IF(AND(G479&lt;&gt;"",H479&lt;&gt;"",I479=H479,J479&lt;&gt;"",K479&lt;&gt;"",J479&lt;&gt;K479),"PASS","FAIL")))</x:f>
        <x:v>OPEN</x:v>
      </x:c>
    </x:row>
    <x:row r="480">
      <x:c r="B480" s="28" t="str">
        <x:v>AT-20</x:v>
      </x:c>
      <x:c r="C480" s="28" t="str">
        <x:v>PRIMARY</x:v>
      </x:c>
      <x:c r="D480" s="28" t="str">
        <x:f>INDEX('Attempt Tokens'!$E$7:$E$36,MATCH(B480,'Attempt Tokens'!$B$7:$B$36,0))</x:f>
      </x:c>
      <x:c r="E480" s="28" t="str">
        <x:v>RP-09</x:v>
      </x:c>
      <x:c r="F480" s="28" t="n">
        <x:v>2</x:v>
      </x:c>
      <x:c r="G480" s="28" t="str">
        <x:f>IF(D480="","",IF(LEFT(D480,5)="RFP-A",IF(F480=1,"PTC-B","PTC-C"),IF(LEFT(D480,5)="RFP-B",IF(F480=1,"PTC-A","PTC-C"),IF(F480=1,"PTC-A","PTC-B"))))</x:f>
      </x:c>
      <x:c r="H480" s="29" t="str"/>
      <x:c r="I480" s="29" t="str"/>
      <x:c r="J480" s="29" t="str"/>
      <x:c r="K480" s="29" t="str"/>
      <x:c r="L480" s="29" t="str"/>
      <x:c r="M480" s="28" t="str">
        <x:f>IF(AND(C480="RESERVE",D480=""),"DORMANT",IF(L480="","OPEN",IF(AND(G480&lt;&gt;"",H480&lt;&gt;"",I480=H480,J480&lt;&gt;"",K480&lt;&gt;"",J480&lt;&gt;K480),"PASS","FAIL")))</x:f>
        <x:v>OPEN</x:v>
      </x:c>
    </x:row>
    <x:row r="481">
      <x:c r="B481" s="28" t="str">
        <x:v>AT-20</x:v>
      </x:c>
      <x:c r="C481" s="28" t="str">
        <x:v>PRIMARY</x:v>
      </x:c>
      <x:c r="D481" s="28" t="str">
        <x:f>INDEX('Attempt Tokens'!$E$7:$E$36,MATCH(B481,'Attempt Tokens'!$B$7:$B$36,0))</x:f>
      </x:c>
      <x:c r="E481" s="28" t="str">
        <x:v>RP-10</x:v>
      </x:c>
      <x:c r="F481" s="28" t="n">
        <x:v>1</x:v>
      </x:c>
      <x:c r="G481" s="28" t="str">
        <x:f>IF(D481="","",IF(LEFT(D481,5)="RFP-A",IF(F481=1,"PTC-B","PTC-C"),IF(LEFT(D481,5)="RFP-B",IF(F481=1,"PTC-A","PTC-C"),IF(F481=1,"PTC-A","PTC-B"))))</x:f>
      </x:c>
      <x:c r="H481" s="29" t="str"/>
      <x:c r="I481" s="29" t="str"/>
      <x:c r="J481" s="29" t="str"/>
      <x:c r="K481" s="29" t="str"/>
      <x:c r="L481" s="29" t="str"/>
      <x:c r="M481" s="28" t="str">
        <x:f>IF(AND(C481="RESERVE",D481=""),"DORMANT",IF(L481="","OPEN",IF(AND(G481&lt;&gt;"",H481&lt;&gt;"",I481=H481,J481&lt;&gt;"",K481&lt;&gt;"",J481&lt;&gt;K481),"PASS","FAIL")))</x:f>
        <x:v>OPEN</x:v>
      </x:c>
    </x:row>
    <x:row r="482">
      <x:c r="B482" s="28" t="str">
        <x:v>AT-20</x:v>
      </x:c>
      <x:c r="C482" s="28" t="str">
        <x:v>PRIMARY</x:v>
      </x:c>
      <x:c r="D482" s="28" t="str">
        <x:f>INDEX('Attempt Tokens'!$E$7:$E$36,MATCH(B482,'Attempt Tokens'!$B$7:$B$36,0))</x:f>
      </x:c>
      <x:c r="E482" s="28" t="str">
        <x:v>RP-10</x:v>
      </x:c>
      <x:c r="F482" s="28" t="n">
        <x:v>2</x:v>
      </x:c>
      <x:c r="G482" s="28" t="str">
        <x:f>IF(D482="","",IF(LEFT(D482,5)="RFP-A",IF(F482=1,"PTC-B","PTC-C"),IF(LEFT(D482,5)="RFP-B",IF(F482=1,"PTC-A","PTC-C"),IF(F482=1,"PTC-A","PTC-B"))))</x:f>
      </x:c>
      <x:c r="H482" s="29" t="str"/>
      <x:c r="I482" s="29" t="str"/>
      <x:c r="J482" s="29" t="str"/>
      <x:c r="K482" s="29" t="str"/>
      <x:c r="L482" s="29" t="str"/>
      <x:c r="M482" s="28" t="str">
        <x:f>IF(AND(C482="RESERVE",D482=""),"DORMANT",IF(L482="","OPEN",IF(AND(G482&lt;&gt;"",H482&lt;&gt;"",I482=H482,J482&lt;&gt;"",K482&lt;&gt;"",J482&lt;&gt;K482),"PASS","FAIL")))</x:f>
        <x:v>OPEN</x:v>
      </x:c>
    </x:row>
    <x:row r="483">
      <x:c r="B483" s="28" t="str">
        <x:v>AT-20</x:v>
      </x:c>
      <x:c r="C483" s="28" t="str">
        <x:v>PRIMARY</x:v>
      </x:c>
      <x:c r="D483" s="28" t="str">
        <x:f>INDEX('Attempt Tokens'!$E$7:$E$36,MATCH(B483,'Attempt Tokens'!$B$7:$B$36,0))</x:f>
      </x:c>
      <x:c r="E483" s="28" t="str">
        <x:v>RP-11</x:v>
      </x:c>
      <x:c r="F483" s="28" t="n">
        <x:v>1</x:v>
      </x:c>
      <x:c r="G483" s="28" t="str">
        <x:f>IF(D483="","",IF(LEFT(D483,5)="RFP-A",IF(F483=1,"PTC-B","PTC-C"),IF(LEFT(D483,5)="RFP-B",IF(F483=1,"PTC-A","PTC-C"),IF(F483=1,"PTC-A","PTC-B"))))</x:f>
      </x:c>
      <x:c r="H483" s="29" t="str"/>
      <x:c r="I483" s="29" t="str"/>
      <x:c r="J483" s="29" t="str"/>
      <x:c r="K483" s="29" t="str"/>
      <x:c r="L483" s="29" t="str"/>
      <x:c r="M483" s="28" t="str">
        <x:f>IF(AND(C483="RESERVE",D483=""),"DORMANT",IF(L483="","OPEN",IF(AND(G483&lt;&gt;"",H483&lt;&gt;"",I483=H483,J483&lt;&gt;"",K483&lt;&gt;"",J483&lt;&gt;K483),"PASS","FAIL")))</x:f>
        <x:v>OPEN</x:v>
      </x:c>
    </x:row>
    <x:row r="484">
      <x:c r="B484" s="28" t="str">
        <x:v>AT-20</x:v>
      </x:c>
      <x:c r="C484" s="28" t="str">
        <x:v>PRIMARY</x:v>
      </x:c>
      <x:c r="D484" s="28" t="str">
        <x:f>INDEX('Attempt Tokens'!$E$7:$E$36,MATCH(B484,'Attempt Tokens'!$B$7:$B$36,0))</x:f>
      </x:c>
      <x:c r="E484" s="28" t="str">
        <x:v>RP-11</x:v>
      </x:c>
      <x:c r="F484" s="28" t="n">
        <x:v>2</x:v>
      </x:c>
      <x:c r="G484" s="28" t="str">
        <x:f>IF(D484="","",IF(LEFT(D484,5)="RFP-A",IF(F484=1,"PTC-B","PTC-C"),IF(LEFT(D484,5)="RFP-B",IF(F484=1,"PTC-A","PTC-C"),IF(F484=1,"PTC-A","PTC-B"))))</x:f>
      </x:c>
      <x:c r="H484" s="29" t="str"/>
      <x:c r="I484" s="29" t="str"/>
      <x:c r="J484" s="29" t="str"/>
      <x:c r="K484" s="29" t="str"/>
      <x:c r="L484" s="29" t="str"/>
      <x:c r="M484" s="28" t="str">
        <x:f>IF(AND(C484="RESERVE",D484=""),"DORMANT",IF(L484="","OPEN",IF(AND(G484&lt;&gt;"",H484&lt;&gt;"",I484=H484,J484&lt;&gt;"",K484&lt;&gt;"",J484&lt;&gt;K484),"PASS","FAIL")))</x:f>
        <x:v>OPEN</x:v>
      </x:c>
    </x:row>
    <x:row r="485">
      <x:c r="B485" s="28" t="str">
        <x:v>AT-20</x:v>
      </x:c>
      <x:c r="C485" s="28" t="str">
        <x:v>PRIMARY</x:v>
      </x:c>
      <x:c r="D485" s="28" t="str">
        <x:f>INDEX('Attempt Tokens'!$E$7:$E$36,MATCH(B485,'Attempt Tokens'!$B$7:$B$36,0))</x:f>
      </x:c>
      <x:c r="E485" s="28" t="str">
        <x:v>RP-12</x:v>
      </x:c>
      <x:c r="F485" s="28" t="n">
        <x:v>1</x:v>
      </x:c>
      <x:c r="G485" s="28" t="str">
        <x:f>IF(D485="","",IF(LEFT(D485,5)="RFP-A",IF(F485=1,"PTC-B","PTC-C"),IF(LEFT(D485,5)="RFP-B",IF(F485=1,"PTC-A","PTC-C"),IF(F485=1,"PTC-A","PTC-B"))))</x:f>
      </x:c>
      <x:c r="H485" s="29" t="str"/>
      <x:c r="I485" s="29" t="str"/>
      <x:c r="J485" s="29" t="str"/>
      <x:c r="K485" s="29" t="str"/>
      <x:c r="L485" s="29" t="str"/>
      <x:c r="M485" s="28" t="str">
        <x:f>IF(AND(C485="RESERVE",D485=""),"DORMANT",IF(L485="","OPEN",IF(AND(G485&lt;&gt;"",H485&lt;&gt;"",I485=H485,J485&lt;&gt;"",K485&lt;&gt;"",J485&lt;&gt;K485),"PASS","FAIL")))</x:f>
        <x:v>OPEN</x:v>
      </x:c>
    </x:row>
    <x:row r="486">
      <x:c r="B486" s="28" t="str">
        <x:v>AT-20</x:v>
      </x:c>
      <x:c r="C486" s="28" t="str">
        <x:v>PRIMARY</x:v>
      </x:c>
      <x:c r="D486" s="28" t="str">
        <x:f>INDEX('Attempt Tokens'!$E$7:$E$36,MATCH(B486,'Attempt Tokens'!$B$7:$B$36,0))</x:f>
      </x:c>
      <x:c r="E486" s="28" t="str">
        <x:v>RP-12</x:v>
      </x:c>
      <x:c r="F486" s="28" t="n">
        <x:v>2</x:v>
      </x:c>
      <x:c r="G486" s="28" t="str">
        <x:f>IF(D486="","",IF(LEFT(D486,5)="RFP-A",IF(F486=1,"PTC-B","PTC-C"),IF(LEFT(D486,5)="RFP-B",IF(F486=1,"PTC-A","PTC-C"),IF(F486=1,"PTC-A","PTC-B"))))</x:f>
      </x:c>
      <x:c r="H486" s="29" t="str"/>
      <x:c r="I486" s="29" t="str"/>
      <x:c r="J486" s="29" t="str"/>
      <x:c r="K486" s="29" t="str"/>
      <x:c r="L486" s="29" t="str"/>
      <x:c r="M486" s="28" t="str">
        <x:f>IF(AND(C486="RESERVE",D486=""),"DORMANT",IF(L486="","OPEN",IF(AND(G486&lt;&gt;"",H486&lt;&gt;"",I486=H486,J486&lt;&gt;"",K486&lt;&gt;"",J486&lt;&gt;K486),"PASS","FAIL")))</x:f>
        <x:v>OPEN</x:v>
      </x:c>
    </x:row>
    <x:row r="487">
      <x:c r="B487" s="28" t="str">
        <x:v>AT-21</x:v>
      </x:c>
      <x:c r="C487" s="28" t="str">
        <x:v>PRIMARY</x:v>
      </x:c>
      <x:c r="D487" s="28" t="str">
        <x:f>INDEX('Attempt Tokens'!$E$7:$E$36,MATCH(B487,'Attempt Tokens'!$B$7:$B$36,0))</x:f>
      </x:c>
      <x:c r="E487" s="28" t="str">
        <x:v>RP-01</x:v>
      </x:c>
      <x:c r="F487" s="28" t="n">
        <x:v>1</x:v>
      </x:c>
      <x:c r="G487" s="28" t="str">
        <x:f>IF(D487="","",IF(LEFT(D487,5)="RFP-A",IF(F487=1,"PTC-B","PTC-C"),IF(LEFT(D487,5)="RFP-B",IF(F487=1,"PTC-A","PTC-C"),IF(F487=1,"PTC-A","PTC-B"))))</x:f>
      </x:c>
      <x:c r="H487" s="29" t="str"/>
      <x:c r="I487" s="29" t="str"/>
      <x:c r="J487" s="29" t="str"/>
      <x:c r="K487" s="29" t="str"/>
      <x:c r="L487" s="29" t="str"/>
      <x:c r="M487" s="28" t="str">
        <x:f>IF(AND(C487="RESERVE",D487=""),"DORMANT",IF(L487="","OPEN",IF(AND(G487&lt;&gt;"",H487&lt;&gt;"",I487=H487,J487&lt;&gt;"",K487&lt;&gt;"",J487&lt;&gt;K487),"PASS","FAIL")))</x:f>
        <x:v>OPEN</x:v>
      </x:c>
    </x:row>
    <x:row r="488">
      <x:c r="B488" s="28" t="str">
        <x:v>AT-21</x:v>
      </x:c>
      <x:c r="C488" s="28" t="str">
        <x:v>PRIMARY</x:v>
      </x:c>
      <x:c r="D488" s="28" t="str">
        <x:f>INDEX('Attempt Tokens'!$E$7:$E$36,MATCH(B488,'Attempt Tokens'!$B$7:$B$36,0))</x:f>
      </x:c>
      <x:c r="E488" s="28" t="str">
        <x:v>RP-01</x:v>
      </x:c>
      <x:c r="F488" s="28" t="n">
        <x:v>2</x:v>
      </x:c>
      <x:c r="G488" s="28" t="str">
        <x:f>IF(D488="","",IF(LEFT(D488,5)="RFP-A",IF(F488=1,"PTC-B","PTC-C"),IF(LEFT(D488,5)="RFP-B",IF(F488=1,"PTC-A","PTC-C"),IF(F488=1,"PTC-A","PTC-B"))))</x:f>
      </x:c>
      <x:c r="H488" s="29" t="str"/>
      <x:c r="I488" s="29" t="str"/>
      <x:c r="J488" s="29" t="str"/>
      <x:c r="K488" s="29" t="str"/>
      <x:c r="L488" s="29" t="str"/>
      <x:c r="M488" s="28" t="str">
        <x:f>IF(AND(C488="RESERVE",D488=""),"DORMANT",IF(L488="","OPEN",IF(AND(G488&lt;&gt;"",H488&lt;&gt;"",I488=H488,J488&lt;&gt;"",K488&lt;&gt;"",J488&lt;&gt;K488),"PASS","FAIL")))</x:f>
        <x:v>OPEN</x:v>
      </x:c>
    </x:row>
    <x:row r="489">
      <x:c r="B489" s="28" t="str">
        <x:v>AT-21</x:v>
      </x:c>
      <x:c r="C489" s="28" t="str">
        <x:v>PRIMARY</x:v>
      </x:c>
      <x:c r="D489" s="28" t="str">
        <x:f>INDEX('Attempt Tokens'!$E$7:$E$36,MATCH(B489,'Attempt Tokens'!$B$7:$B$36,0))</x:f>
      </x:c>
      <x:c r="E489" s="28" t="str">
        <x:v>RP-02</x:v>
      </x:c>
      <x:c r="F489" s="28" t="n">
        <x:v>1</x:v>
      </x:c>
      <x:c r="G489" s="28" t="str">
        <x:f>IF(D489="","",IF(LEFT(D489,5)="RFP-A",IF(F489=1,"PTC-B","PTC-C"),IF(LEFT(D489,5)="RFP-B",IF(F489=1,"PTC-A","PTC-C"),IF(F489=1,"PTC-A","PTC-B"))))</x:f>
      </x:c>
      <x:c r="H489" s="29" t="str"/>
      <x:c r="I489" s="29" t="str"/>
      <x:c r="J489" s="29" t="str"/>
      <x:c r="K489" s="29" t="str"/>
      <x:c r="L489" s="29" t="str"/>
      <x:c r="M489" s="28" t="str">
        <x:f>IF(AND(C489="RESERVE",D489=""),"DORMANT",IF(L489="","OPEN",IF(AND(G489&lt;&gt;"",H489&lt;&gt;"",I489=H489,J489&lt;&gt;"",K489&lt;&gt;"",J489&lt;&gt;K489),"PASS","FAIL")))</x:f>
        <x:v>OPEN</x:v>
      </x:c>
    </x:row>
    <x:row r="490">
      <x:c r="B490" s="28" t="str">
        <x:v>AT-21</x:v>
      </x:c>
      <x:c r="C490" s="28" t="str">
        <x:v>PRIMARY</x:v>
      </x:c>
      <x:c r="D490" s="28" t="str">
        <x:f>INDEX('Attempt Tokens'!$E$7:$E$36,MATCH(B490,'Attempt Tokens'!$B$7:$B$36,0))</x:f>
      </x:c>
      <x:c r="E490" s="28" t="str">
        <x:v>RP-02</x:v>
      </x:c>
      <x:c r="F490" s="28" t="n">
        <x:v>2</x:v>
      </x:c>
      <x:c r="G490" s="28" t="str">
        <x:f>IF(D490="","",IF(LEFT(D490,5)="RFP-A",IF(F490=1,"PTC-B","PTC-C"),IF(LEFT(D490,5)="RFP-B",IF(F490=1,"PTC-A","PTC-C"),IF(F490=1,"PTC-A","PTC-B"))))</x:f>
      </x:c>
      <x:c r="H490" s="29" t="str"/>
      <x:c r="I490" s="29" t="str"/>
      <x:c r="J490" s="29" t="str"/>
      <x:c r="K490" s="29" t="str"/>
      <x:c r="L490" s="29" t="str"/>
      <x:c r="M490" s="28" t="str">
        <x:f>IF(AND(C490="RESERVE",D490=""),"DORMANT",IF(L490="","OPEN",IF(AND(G490&lt;&gt;"",H490&lt;&gt;"",I490=H490,J490&lt;&gt;"",K490&lt;&gt;"",J490&lt;&gt;K490),"PASS","FAIL")))</x:f>
        <x:v>OPEN</x:v>
      </x:c>
    </x:row>
    <x:row r="491">
      <x:c r="B491" s="28" t="str">
        <x:v>AT-21</x:v>
      </x:c>
      <x:c r="C491" s="28" t="str">
        <x:v>PRIMARY</x:v>
      </x:c>
      <x:c r="D491" s="28" t="str">
        <x:f>INDEX('Attempt Tokens'!$E$7:$E$36,MATCH(B491,'Attempt Tokens'!$B$7:$B$36,0))</x:f>
      </x:c>
      <x:c r="E491" s="28" t="str">
        <x:v>RP-03</x:v>
      </x:c>
      <x:c r="F491" s="28" t="n">
        <x:v>1</x:v>
      </x:c>
      <x:c r="G491" s="28" t="str">
        <x:f>IF(D491="","",IF(LEFT(D491,5)="RFP-A",IF(F491=1,"PTC-B","PTC-C"),IF(LEFT(D491,5)="RFP-B",IF(F491=1,"PTC-A","PTC-C"),IF(F491=1,"PTC-A","PTC-B"))))</x:f>
      </x:c>
      <x:c r="H491" s="29" t="str"/>
      <x:c r="I491" s="29" t="str"/>
      <x:c r="J491" s="29" t="str"/>
      <x:c r="K491" s="29" t="str"/>
      <x:c r="L491" s="29" t="str"/>
      <x:c r="M491" s="28" t="str">
        <x:f>IF(AND(C491="RESERVE",D491=""),"DORMANT",IF(L491="","OPEN",IF(AND(G491&lt;&gt;"",H491&lt;&gt;"",I491=H491,J491&lt;&gt;"",K491&lt;&gt;"",J491&lt;&gt;K491),"PASS","FAIL")))</x:f>
        <x:v>OPEN</x:v>
      </x:c>
    </x:row>
    <x:row r="492">
      <x:c r="B492" s="28" t="str">
        <x:v>AT-21</x:v>
      </x:c>
      <x:c r="C492" s="28" t="str">
        <x:v>PRIMARY</x:v>
      </x:c>
      <x:c r="D492" s="28" t="str">
        <x:f>INDEX('Attempt Tokens'!$E$7:$E$36,MATCH(B492,'Attempt Tokens'!$B$7:$B$36,0))</x:f>
      </x:c>
      <x:c r="E492" s="28" t="str">
        <x:v>RP-03</x:v>
      </x:c>
      <x:c r="F492" s="28" t="n">
        <x:v>2</x:v>
      </x:c>
      <x:c r="G492" s="28" t="str">
        <x:f>IF(D492="","",IF(LEFT(D492,5)="RFP-A",IF(F492=1,"PTC-B","PTC-C"),IF(LEFT(D492,5)="RFP-B",IF(F492=1,"PTC-A","PTC-C"),IF(F492=1,"PTC-A","PTC-B"))))</x:f>
      </x:c>
      <x:c r="H492" s="29" t="str"/>
      <x:c r="I492" s="29" t="str"/>
      <x:c r="J492" s="29" t="str"/>
      <x:c r="K492" s="29" t="str"/>
      <x:c r="L492" s="29" t="str"/>
      <x:c r="M492" s="28" t="str">
        <x:f>IF(AND(C492="RESERVE",D492=""),"DORMANT",IF(L492="","OPEN",IF(AND(G492&lt;&gt;"",H492&lt;&gt;"",I492=H492,J492&lt;&gt;"",K492&lt;&gt;"",J492&lt;&gt;K492),"PASS","FAIL")))</x:f>
        <x:v>OPEN</x:v>
      </x:c>
    </x:row>
    <x:row r="493">
      <x:c r="B493" s="28" t="str">
        <x:v>AT-21</x:v>
      </x:c>
      <x:c r="C493" s="28" t="str">
        <x:v>PRIMARY</x:v>
      </x:c>
      <x:c r="D493" s="28" t="str">
        <x:f>INDEX('Attempt Tokens'!$E$7:$E$36,MATCH(B493,'Attempt Tokens'!$B$7:$B$36,0))</x:f>
      </x:c>
      <x:c r="E493" s="28" t="str">
        <x:v>RP-04</x:v>
      </x:c>
      <x:c r="F493" s="28" t="n">
        <x:v>1</x:v>
      </x:c>
      <x:c r="G493" s="28" t="str">
        <x:f>IF(D493="","",IF(LEFT(D493,5)="RFP-A",IF(F493=1,"PTC-B","PTC-C"),IF(LEFT(D493,5)="RFP-B",IF(F493=1,"PTC-A","PTC-C"),IF(F493=1,"PTC-A","PTC-B"))))</x:f>
      </x:c>
      <x:c r="H493" s="29" t="str"/>
      <x:c r="I493" s="29" t="str"/>
      <x:c r="J493" s="29" t="str"/>
      <x:c r="K493" s="29" t="str"/>
      <x:c r="L493" s="29" t="str"/>
      <x:c r="M493" s="28" t="str">
        <x:f>IF(AND(C493="RESERVE",D493=""),"DORMANT",IF(L493="","OPEN",IF(AND(G493&lt;&gt;"",H493&lt;&gt;"",I493=H493,J493&lt;&gt;"",K493&lt;&gt;"",J493&lt;&gt;K493),"PASS","FAIL")))</x:f>
        <x:v>OPEN</x:v>
      </x:c>
    </x:row>
    <x:row r="494">
      <x:c r="B494" s="28" t="str">
        <x:v>AT-21</x:v>
      </x:c>
      <x:c r="C494" s="28" t="str">
        <x:v>PRIMARY</x:v>
      </x:c>
      <x:c r="D494" s="28" t="str">
        <x:f>INDEX('Attempt Tokens'!$E$7:$E$36,MATCH(B494,'Attempt Tokens'!$B$7:$B$36,0))</x:f>
      </x:c>
      <x:c r="E494" s="28" t="str">
        <x:v>RP-04</x:v>
      </x:c>
      <x:c r="F494" s="28" t="n">
        <x:v>2</x:v>
      </x:c>
      <x:c r="G494" s="28" t="str">
        <x:f>IF(D494="","",IF(LEFT(D494,5)="RFP-A",IF(F494=1,"PTC-B","PTC-C"),IF(LEFT(D494,5)="RFP-B",IF(F494=1,"PTC-A","PTC-C"),IF(F494=1,"PTC-A","PTC-B"))))</x:f>
      </x:c>
      <x:c r="H494" s="29" t="str"/>
      <x:c r="I494" s="29" t="str"/>
      <x:c r="J494" s="29" t="str"/>
      <x:c r="K494" s="29" t="str"/>
      <x:c r="L494" s="29" t="str"/>
      <x:c r="M494" s="28" t="str">
        <x:f>IF(AND(C494="RESERVE",D494=""),"DORMANT",IF(L494="","OPEN",IF(AND(G494&lt;&gt;"",H494&lt;&gt;"",I494=H494,J494&lt;&gt;"",K494&lt;&gt;"",J494&lt;&gt;K494),"PASS","FAIL")))</x:f>
        <x:v>OPEN</x:v>
      </x:c>
    </x:row>
    <x:row r="495">
      <x:c r="B495" s="28" t="str">
        <x:v>AT-21</x:v>
      </x:c>
      <x:c r="C495" s="28" t="str">
        <x:v>PRIMARY</x:v>
      </x:c>
      <x:c r="D495" s="28" t="str">
        <x:f>INDEX('Attempt Tokens'!$E$7:$E$36,MATCH(B495,'Attempt Tokens'!$B$7:$B$36,0))</x:f>
      </x:c>
      <x:c r="E495" s="28" t="str">
        <x:v>RP-05</x:v>
      </x:c>
      <x:c r="F495" s="28" t="n">
        <x:v>1</x:v>
      </x:c>
      <x:c r="G495" s="28" t="str">
        <x:f>IF(D495="","",IF(LEFT(D495,5)="RFP-A",IF(F495=1,"PTC-B","PTC-C"),IF(LEFT(D495,5)="RFP-B",IF(F495=1,"PTC-A","PTC-C"),IF(F495=1,"PTC-A","PTC-B"))))</x:f>
      </x:c>
      <x:c r="H495" s="29" t="str"/>
      <x:c r="I495" s="29" t="str"/>
      <x:c r="J495" s="29" t="str"/>
      <x:c r="K495" s="29" t="str"/>
      <x:c r="L495" s="29" t="str"/>
      <x:c r="M495" s="28" t="str">
        <x:f>IF(AND(C495="RESERVE",D495=""),"DORMANT",IF(L495="","OPEN",IF(AND(G495&lt;&gt;"",H495&lt;&gt;"",I495=H495,J495&lt;&gt;"",K495&lt;&gt;"",J495&lt;&gt;K495),"PASS","FAIL")))</x:f>
        <x:v>OPEN</x:v>
      </x:c>
    </x:row>
    <x:row r="496">
      <x:c r="B496" s="28" t="str">
        <x:v>AT-21</x:v>
      </x:c>
      <x:c r="C496" s="28" t="str">
        <x:v>PRIMARY</x:v>
      </x:c>
      <x:c r="D496" s="28" t="str">
        <x:f>INDEX('Attempt Tokens'!$E$7:$E$36,MATCH(B496,'Attempt Tokens'!$B$7:$B$36,0))</x:f>
      </x:c>
      <x:c r="E496" s="28" t="str">
        <x:v>RP-05</x:v>
      </x:c>
      <x:c r="F496" s="28" t="n">
        <x:v>2</x:v>
      </x:c>
      <x:c r="G496" s="28" t="str">
        <x:f>IF(D496="","",IF(LEFT(D496,5)="RFP-A",IF(F496=1,"PTC-B","PTC-C"),IF(LEFT(D496,5)="RFP-B",IF(F496=1,"PTC-A","PTC-C"),IF(F496=1,"PTC-A","PTC-B"))))</x:f>
      </x:c>
      <x:c r="H496" s="29" t="str"/>
      <x:c r="I496" s="29" t="str"/>
      <x:c r="J496" s="29" t="str"/>
      <x:c r="K496" s="29" t="str"/>
      <x:c r="L496" s="29" t="str"/>
      <x:c r="M496" s="28" t="str">
        <x:f>IF(AND(C496="RESERVE",D496=""),"DORMANT",IF(L496="","OPEN",IF(AND(G496&lt;&gt;"",H496&lt;&gt;"",I496=H496,J496&lt;&gt;"",K496&lt;&gt;"",J496&lt;&gt;K496),"PASS","FAIL")))</x:f>
        <x:v>OPEN</x:v>
      </x:c>
    </x:row>
    <x:row r="497">
      <x:c r="B497" s="28" t="str">
        <x:v>AT-21</x:v>
      </x:c>
      <x:c r="C497" s="28" t="str">
        <x:v>PRIMARY</x:v>
      </x:c>
      <x:c r="D497" s="28" t="str">
        <x:f>INDEX('Attempt Tokens'!$E$7:$E$36,MATCH(B497,'Attempt Tokens'!$B$7:$B$36,0))</x:f>
      </x:c>
      <x:c r="E497" s="28" t="str">
        <x:v>RP-06</x:v>
      </x:c>
      <x:c r="F497" s="28" t="n">
        <x:v>1</x:v>
      </x:c>
      <x:c r="G497" s="28" t="str">
        <x:f>IF(D497="","",IF(LEFT(D497,5)="RFP-A",IF(F497=1,"PTC-B","PTC-C"),IF(LEFT(D497,5)="RFP-B",IF(F497=1,"PTC-A","PTC-C"),IF(F497=1,"PTC-A","PTC-B"))))</x:f>
      </x:c>
      <x:c r="H497" s="29" t="str"/>
      <x:c r="I497" s="29" t="str"/>
      <x:c r="J497" s="29" t="str"/>
      <x:c r="K497" s="29" t="str"/>
      <x:c r="L497" s="29" t="str"/>
      <x:c r="M497" s="28" t="str">
        <x:f>IF(AND(C497="RESERVE",D497=""),"DORMANT",IF(L497="","OPEN",IF(AND(G497&lt;&gt;"",H497&lt;&gt;"",I497=H497,J497&lt;&gt;"",K497&lt;&gt;"",J497&lt;&gt;K497),"PASS","FAIL")))</x:f>
        <x:v>OPEN</x:v>
      </x:c>
    </x:row>
    <x:row r="498">
      <x:c r="B498" s="28" t="str">
        <x:v>AT-21</x:v>
      </x:c>
      <x:c r="C498" s="28" t="str">
        <x:v>PRIMARY</x:v>
      </x:c>
      <x:c r="D498" s="28" t="str">
        <x:f>INDEX('Attempt Tokens'!$E$7:$E$36,MATCH(B498,'Attempt Tokens'!$B$7:$B$36,0))</x:f>
      </x:c>
      <x:c r="E498" s="28" t="str">
        <x:v>RP-06</x:v>
      </x:c>
      <x:c r="F498" s="28" t="n">
        <x:v>2</x:v>
      </x:c>
      <x:c r="G498" s="28" t="str">
        <x:f>IF(D498="","",IF(LEFT(D498,5)="RFP-A",IF(F498=1,"PTC-B","PTC-C"),IF(LEFT(D498,5)="RFP-B",IF(F498=1,"PTC-A","PTC-C"),IF(F498=1,"PTC-A","PTC-B"))))</x:f>
      </x:c>
      <x:c r="H498" s="29" t="str"/>
      <x:c r="I498" s="29" t="str"/>
      <x:c r="J498" s="29" t="str"/>
      <x:c r="K498" s="29" t="str"/>
      <x:c r="L498" s="29" t="str"/>
      <x:c r="M498" s="28" t="str">
        <x:f>IF(AND(C498="RESERVE",D498=""),"DORMANT",IF(L498="","OPEN",IF(AND(G498&lt;&gt;"",H498&lt;&gt;"",I498=H498,J498&lt;&gt;"",K498&lt;&gt;"",J498&lt;&gt;K498),"PASS","FAIL")))</x:f>
        <x:v>OPEN</x:v>
      </x:c>
    </x:row>
    <x:row r="499">
      <x:c r="B499" s="28" t="str">
        <x:v>AT-21</x:v>
      </x:c>
      <x:c r="C499" s="28" t="str">
        <x:v>PRIMARY</x:v>
      </x:c>
      <x:c r="D499" s="28" t="str">
        <x:f>INDEX('Attempt Tokens'!$E$7:$E$36,MATCH(B499,'Attempt Tokens'!$B$7:$B$36,0))</x:f>
      </x:c>
      <x:c r="E499" s="28" t="str">
        <x:v>RP-07</x:v>
      </x:c>
      <x:c r="F499" s="28" t="n">
        <x:v>1</x:v>
      </x:c>
      <x:c r="G499" s="28" t="str">
        <x:f>IF(D499="","",IF(LEFT(D499,5)="RFP-A",IF(F499=1,"PTC-B","PTC-C"),IF(LEFT(D499,5)="RFP-B",IF(F499=1,"PTC-A","PTC-C"),IF(F499=1,"PTC-A","PTC-B"))))</x:f>
      </x:c>
      <x:c r="H499" s="29" t="str"/>
      <x:c r="I499" s="29" t="str"/>
      <x:c r="J499" s="29" t="str"/>
      <x:c r="K499" s="29" t="str"/>
      <x:c r="L499" s="29" t="str"/>
      <x:c r="M499" s="28" t="str">
        <x:f>IF(AND(C499="RESERVE",D499=""),"DORMANT",IF(L499="","OPEN",IF(AND(G499&lt;&gt;"",H499&lt;&gt;"",I499=H499,J499&lt;&gt;"",K499&lt;&gt;"",J499&lt;&gt;K499),"PASS","FAIL")))</x:f>
        <x:v>OPEN</x:v>
      </x:c>
    </x:row>
    <x:row r="500">
      <x:c r="B500" s="28" t="str">
        <x:v>AT-21</x:v>
      </x:c>
      <x:c r="C500" s="28" t="str">
        <x:v>PRIMARY</x:v>
      </x:c>
      <x:c r="D500" s="28" t="str">
        <x:f>INDEX('Attempt Tokens'!$E$7:$E$36,MATCH(B500,'Attempt Tokens'!$B$7:$B$36,0))</x:f>
      </x:c>
      <x:c r="E500" s="28" t="str">
        <x:v>RP-07</x:v>
      </x:c>
      <x:c r="F500" s="28" t="n">
        <x:v>2</x:v>
      </x:c>
      <x:c r="G500" s="28" t="str">
        <x:f>IF(D500="","",IF(LEFT(D500,5)="RFP-A",IF(F500=1,"PTC-B","PTC-C"),IF(LEFT(D500,5)="RFP-B",IF(F500=1,"PTC-A","PTC-C"),IF(F500=1,"PTC-A","PTC-B"))))</x:f>
      </x:c>
      <x:c r="H500" s="29" t="str"/>
      <x:c r="I500" s="29" t="str"/>
      <x:c r="J500" s="29" t="str"/>
      <x:c r="K500" s="29" t="str"/>
      <x:c r="L500" s="29" t="str"/>
      <x:c r="M500" s="28" t="str">
        <x:f>IF(AND(C500="RESERVE",D500=""),"DORMANT",IF(L500="","OPEN",IF(AND(G500&lt;&gt;"",H500&lt;&gt;"",I500=H500,J500&lt;&gt;"",K500&lt;&gt;"",J500&lt;&gt;K500),"PASS","FAIL")))</x:f>
        <x:v>OPEN</x:v>
      </x:c>
    </x:row>
    <x:row r="501">
      <x:c r="B501" s="28" t="str">
        <x:v>AT-21</x:v>
      </x:c>
      <x:c r="C501" s="28" t="str">
        <x:v>PRIMARY</x:v>
      </x:c>
      <x:c r="D501" s="28" t="str">
        <x:f>INDEX('Attempt Tokens'!$E$7:$E$36,MATCH(B501,'Attempt Tokens'!$B$7:$B$36,0))</x:f>
      </x:c>
      <x:c r="E501" s="28" t="str">
        <x:v>RP-08</x:v>
      </x:c>
      <x:c r="F501" s="28" t="n">
        <x:v>1</x:v>
      </x:c>
      <x:c r="G501" s="28" t="str">
        <x:f>IF(D501="","",IF(LEFT(D501,5)="RFP-A",IF(F501=1,"PTC-B","PTC-C"),IF(LEFT(D501,5)="RFP-B",IF(F501=1,"PTC-A","PTC-C"),IF(F501=1,"PTC-A","PTC-B"))))</x:f>
      </x:c>
      <x:c r="H501" s="29" t="str"/>
      <x:c r="I501" s="29" t="str"/>
      <x:c r="J501" s="29" t="str"/>
      <x:c r="K501" s="29" t="str"/>
      <x:c r="L501" s="29" t="str"/>
      <x:c r="M501" s="28" t="str">
        <x:f>IF(AND(C501="RESERVE",D501=""),"DORMANT",IF(L501="","OPEN",IF(AND(G501&lt;&gt;"",H501&lt;&gt;"",I501=H501,J501&lt;&gt;"",K501&lt;&gt;"",J501&lt;&gt;K501),"PASS","FAIL")))</x:f>
        <x:v>OPEN</x:v>
      </x:c>
    </x:row>
    <x:row r="502">
      <x:c r="B502" s="28" t="str">
        <x:v>AT-21</x:v>
      </x:c>
      <x:c r="C502" s="28" t="str">
        <x:v>PRIMARY</x:v>
      </x:c>
      <x:c r="D502" s="28" t="str">
        <x:f>INDEX('Attempt Tokens'!$E$7:$E$36,MATCH(B502,'Attempt Tokens'!$B$7:$B$36,0))</x:f>
      </x:c>
      <x:c r="E502" s="28" t="str">
        <x:v>RP-08</x:v>
      </x:c>
      <x:c r="F502" s="28" t="n">
        <x:v>2</x:v>
      </x:c>
      <x:c r="G502" s="28" t="str">
        <x:f>IF(D502="","",IF(LEFT(D502,5)="RFP-A",IF(F502=1,"PTC-B","PTC-C"),IF(LEFT(D502,5)="RFP-B",IF(F502=1,"PTC-A","PTC-C"),IF(F502=1,"PTC-A","PTC-B"))))</x:f>
      </x:c>
      <x:c r="H502" s="29" t="str"/>
      <x:c r="I502" s="29" t="str"/>
      <x:c r="J502" s="29" t="str"/>
      <x:c r="K502" s="29" t="str"/>
      <x:c r="L502" s="29" t="str"/>
      <x:c r="M502" s="28" t="str">
        <x:f>IF(AND(C502="RESERVE",D502=""),"DORMANT",IF(L502="","OPEN",IF(AND(G502&lt;&gt;"",H502&lt;&gt;"",I502=H502,J502&lt;&gt;"",K502&lt;&gt;"",J502&lt;&gt;K502),"PASS","FAIL")))</x:f>
        <x:v>OPEN</x:v>
      </x:c>
    </x:row>
    <x:row r="503">
      <x:c r="B503" s="28" t="str">
        <x:v>AT-21</x:v>
      </x:c>
      <x:c r="C503" s="28" t="str">
        <x:v>PRIMARY</x:v>
      </x:c>
      <x:c r="D503" s="28" t="str">
        <x:f>INDEX('Attempt Tokens'!$E$7:$E$36,MATCH(B503,'Attempt Tokens'!$B$7:$B$36,0))</x:f>
      </x:c>
      <x:c r="E503" s="28" t="str">
        <x:v>RP-09</x:v>
      </x:c>
      <x:c r="F503" s="28" t="n">
        <x:v>1</x:v>
      </x:c>
      <x:c r="G503" s="28" t="str">
        <x:f>IF(D503="","",IF(LEFT(D503,5)="RFP-A",IF(F503=1,"PTC-B","PTC-C"),IF(LEFT(D503,5)="RFP-B",IF(F503=1,"PTC-A","PTC-C"),IF(F503=1,"PTC-A","PTC-B"))))</x:f>
      </x:c>
      <x:c r="H503" s="29" t="str"/>
      <x:c r="I503" s="29" t="str"/>
      <x:c r="J503" s="29" t="str"/>
      <x:c r="K503" s="29" t="str"/>
      <x:c r="L503" s="29" t="str"/>
      <x:c r="M503" s="28" t="str">
        <x:f>IF(AND(C503="RESERVE",D503=""),"DORMANT",IF(L503="","OPEN",IF(AND(G503&lt;&gt;"",H503&lt;&gt;"",I503=H503,J503&lt;&gt;"",K503&lt;&gt;"",J503&lt;&gt;K503),"PASS","FAIL")))</x:f>
        <x:v>OPEN</x:v>
      </x:c>
    </x:row>
    <x:row r="504">
      <x:c r="B504" s="28" t="str">
        <x:v>AT-21</x:v>
      </x:c>
      <x:c r="C504" s="28" t="str">
        <x:v>PRIMARY</x:v>
      </x:c>
      <x:c r="D504" s="28" t="str">
        <x:f>INDEX('Attempt Tokens'!$E$7:$E$36,MATCH(B504,'Attempt Tokens'!$B$7:$B$36,0))</x:f>
      </x:c>
      <x:c r="E504" s="28" t="str">
        <x:v>RP-09</x:v>
      </x:c>
      <x:c r="F504" s="28" t="n">
        <x:v>2</x:v>
      </x:c>
      <x:c r="G504" s="28" t="str">
        <x:f>IF(D504="","",IF(LEFT(D504,5)="RFP-A",IF(F504=1,"PTC-B","PTC-C"),IF(LEFT(D504,5)="RFP-B",IF(F504=1,"PTC-A","PTC-C"),IF(F504=1,"PTC-A","PTC-B"))))</x:f>
      </x:c>
      <x:c r="H504" s="29" t="str"/>
      <x:c r="I504" s="29" t="str"/>
      <x:c r="J504" s="29" t="str"/>
      <x:c r="K504" s="29" t="str"/>
      <x:c r="L504" s="29" t="str"/>
      <x:c r="M504" s="28" t="str">
        <x:f>IF(AND(C504="RESERVE",D504=""),"DORMANT",IF(L504="","OPEN",IF(AND(G504&lt;&gt;"",H504&lt;&gt;"",I504=H504,J504&lt;&gt;"",K504&lt;&gt;"",J504&lt;&gt;K504),"PASS","FAIL")))</x:f>
        <x:v>OPEN</x:v>
      </x:c>
    </x:row>
    <x:row r="505">
      <x:c r="B505" s="28" t="str">
        <x:v>AT-21</x:v>
      </x:c>
      <x:c r="C505" s="28" t="str">
        <x:v>PRIMARY</x:v>
      </x:c>
      <x:c r="D505" s="28" t="str">
        <x:f>INDEX('Attempt Tokens'!$E$7:$E$36,MATCH(B505,'Attempt Tokens'!$B$7:$B$36,0))</x:f>
      </x:c>
      <x:c r="E505" s="28" t="str">
        <x:v>RP-10</x:v>
      </x:c>
      <x:c r="F505" s="28" t="n">
        <x:v>1</x:v>
      </x:c>
      <x:c r="G505" s="28" t="str">
        <x:f>IF(D505="","",IF(LEFT(D505,5)="RFP-A",IF(F505=1,"PTC-B","PTC-C"),IF(LEFT(D505,5)="RFP-B",IF(F505=1,"PTC-A","PTC-C"),IF(F505=1,"PTC-A","PTC-B"))))</x:f>
      </x:c>
      <x:c r="H505" s="29" t="str"/>
      <x:c r="I505" s="29" t="str"/>
      <x:c r="J505" s="29" t="str"/>
      <x:c r="K505" s="29" t="str"/>
      <x:c r="L505" s="29" t="str"/>
      <x:c r="M505" s="28" t="str">
        <x:f>IF(AND(C505="RESERVE",D505=""),"DORMANT",IF(L505="","OPEN",IF(AND(G505&lt;&gt;"",H505&lt;&gt;"",I505=H505,J505&lt;&gt;"",K505&lt;&gt;"",J505&lt;&gt;K505),"PASS","FAIL")))</x:f>
        <x:v>OPEN</x:v>
      </x:c>
    </x:row>
    <x:row r="506">
      <x:c r="B506" s="28" t="str">
        <x:v>AT-21</x:v>
      </x:c>
      <x:c r="C506" s="28" t="str">
        <x:v>PRIMARY</x:v>
      </x:c>
      <x:c r="D506" s="28" t="str">
        <x:f>INDEX('Attempt Tokens'!$E$7:$E$36,MATCH(B506,'Attempt Tokens'!$B$7:$B$36,0))</x:f>
      </x:c>
      <x:c r="E506" s="28" t="str">
        <x:v>RP-10</x:v>
      </x:c>
      <x:c r="F506" s="28" t="n">
        <x:v>2</x:v>
      </x:c>
      <x:c r="G506" s="28" t="str">
        <x:f>IF(D506="","",IF(LEFT(D506,5)="RFP-A",IF(F506=1,"PTC-B","PTC-C"),IF(LEFT(D506,5)="RFP-B",IF(F506=1,"PTC-A","PTC-C"),IF(F506=1,"PTC-A","PTC-B"))))</x:f>
      </x:c>
      <x:c r="H506" s="29" t="str"/>
      <x:c r="I506" s="29" t="str"/>
      <x:c r="J506" s="29" t="str"/>
      <x:c r="K506" s="29" t="str"/>
      <x:c r="L506" s="29" t="str"/>
      <x:c r="M506" s="28" t="str">
        <x:f>IF(AND(C506="RESERVE",D506=""),"DORMANT",IF(L506="","OPEN",IF(AND(G506&lt;&gt;"",H506&lt;&gt;"",I506=H506,J506&lt;&gt;"",K506&lt;&gt;"",J506&lt;&gt;K506),"PASS","FAIL")))</x:f>
        <x:v>OPEN</x:v>
      </x:c>
    </x:row>
    <x:row r="507">
      <x:c r="B507" s="28" t="str">
        <x:v>AT-21</x:v>
      </x:c>
      <x:c r="C507" s="28" t="str">
        <x:v>PRIMARY</x:v>
      </x:c>
      <x:c r="D507" s="28" t="str">
        <x:f>INDEX('Attempt Tokens'!$E$7:$E$36,MATCH(B507,'Attempt Tokens'!$B$7:$B$36,0))</x:f>
      </x:c>
      <x:c r="E507" s="28" t="str">
        <x:v>RP-11</x:v>
      </x:c>
      <x:c r="F507" s="28" t="n">
        <x:v>1</x:v>
      </x:c>
      <x:c r="G507" s="28" t="str">
        <x:f>IF(D507="","",IF(LEFT(D507,5)="RFP-A",IF(F507=1,"PTC-B","PTC-C"),IF(LEFT(D507,5)="RFP-B",IF(F507=1,"PTC-A","PTC-C"),IF(F507=1,"PTC-A","PTC-B"))))</x:f>
      </x:c>
      <x:c r="H507" s="29" t="str"/>
      <x:c r="I507" s="29" t="str"/>
      <x:c r="J507" s="29" t="str"/>
      <x:c r="K507" s="29" t="str"/>
      <x:c r="L507" s="29" t="str"/>
      <x:c r="M507" s="28" t="str">
        <x:f>IF(AND(C507="RESERVE",D507=""),"DORMANT",IF(L507="","OPEN",IF(AND(G507&lt;&gt;"",H507&lt;&gt;"",I507=H507,J507&lt;&gt;"",K507&lt;&gt;"",J507&lt;&gt;K507),"PASS","FAIL")))</x:f>
        <x:v>OPEN</x:v>
      </x:c>
    </x:row>
    <x:row r="508">
      <x:c r="B508" s="28" t="str">
        <x:v>AT-21</x:v>
      </x:c>
      <x:c r="C508" s="28" t="str">
        <x:v>PRIMARY</x:v>
      </x:c>
      <x:c r="D508" s="28" t="str">
        <x:f>INDEX('Attempt Tokens'!$E$7:$E$36,MATCH(B508,'Attempt Tokens'!$B$7:$B$36,0))</x:f>
      </x:c>
      <x:c r="E508" s="28" t="str">
        <x:v>RP-11</x:v>
      </x:c>
      <x:c r="F508" s="28" t="n">
        <x:v>2</x:v>
      </x:c>
      <x:c r="G508" s="28" t="str">
        <x:f>IF(D508="","",IF(LEFT(D508,5)="RFP-A",IF(F508=1,"PTC-B","PTC-C"),IF(LEFT(D508,5)="RFP-B",IF(F508=1,"PTC-A","PTC-C"),IF(F508=1,"PTC-A","PTC-B"))))</x:f>
      </x:c>
      <x:c r="H508" s="29" t="str"/>
      <x:c r="I508" s="29" t="str"/>
      <x:c r="J508" s="29" t="str"/>
      <x:c r="K508" s="29" t="str"/>
      <x:c r="L508" s="29" t="str"/>
      <x:c r="M508" s="28" t="str">
        <x:f>IF(AND(C508="RESERVE",D508=""),"DORMANT",IF(L508="","OPEN",IF(AND(G508&lt;&gt;"",H508&lt;&gt;"",I508=H508,J508&lt;&gt;"",K508&lt;&gt;"",J508&lt;&gt;K508),"PASS","FAIL")))</x:f>
        <x:v>OPEN</x:v>
      </x:c>
    </x:row>
    <x:row r="509">
      <x:c r="B509" s="28" t="str">
        <x:v>AT-21</x:v>
      </x:c>
      <x:c r="C509" s="28" t="str">
        <x:v>PRIMARY</x:v>
      </x:c>
      <x:c r="D509" s="28" t="str">
        <x:f>INDEX('Attempt Tokens'!$E$7:$E$36,MATCH(B509,'Attempt Tokens'!$B$7:$B$36,0))</x:f>
      </x:c>
      <x:c r="E509" s="28" t="str">
        <x:v>RP-12</x:v>
      </x:c>
      <x:c r="F509" s="28" t="n">
        <x:v>1</x:v>
      </x:c>
      <x:c r="G509" s="28" t="str">
        <x:f>IF(D509="","",IF(LEFT(D509,5)="RFP-A",IF(F509=1,"PTC-B","PTC-C"),IF(LEFT(D509,5)="RFP-B",IF(F509=1,"PTC-A","PTC-C"),IF(F509=1,"PTC-A","PTC-B"))))</x:f>
      </x:c>
      <x:c r="H509" s="29" t="str"/>
      <x:c r="I509" s="29" t="str"/>
      <x:c r="J509" s="29" t="str"/>
      <x:c r="K509" s="29" t="str"/>
      <x:c r="L509" s="29" t="str"/>
      <x:c r="M509" s="28" t="str">
        <x:f>IF(AND(C509="RESERVE",D509=""),"DORMANT",IF(L509="","OPEN",IF(AND(G509&lt;&gt;"",H509&lt;&gt;"",I509=H509,J509&lt;&gt;"",K509&lt;&gt;"",J509&lt;&gt;K509),"PASS","FAIL")))</x:f>
        <x:v>OPEN</x:v>
      </x:c>
    </x:row>
    <x:row r="510">
      <x:c r="B510" s="28" t="str">
        <x:v>AT-21</x:v>
      </x:c>
      <x:c r="C510" s="28" t="str">
        <x:v>PRIMARY</x:v>
      </x:c>
      <x:c r="D510" s="28" t="str">
        <x:f>INDEX('Attempt Tokens'!$E$7:$E$36,MATCH(B510,'Attempt Tokens'!$B$7:$B$36,0))</x:f>
      </x:c>
      <x:c r="E510" s="28" t="str">
        <x:v>RP-12</x:v>
      </x:c>
      <x:c r="F510" s="28" t="n">
        <x:v>2</x:v>
      </x:c>
      <x:c r="G510" s="28" t="str">
        <x:f>IF(D510="","",IF(LEFT(D510,5)="RFP-A",IF(F510=1,"PTC-B","PTC-C"),IF(LEFT(D510,5)="RFP-B",IF(F510=1,"PTC-A","PTC-C"),IF(F510=1,"PTC-A","PTC-B"))))</x:f>
      </x:c>
      <x:c r="H510" s="29" t="str"/>
      <x:c r="I510" s="29" t="str"/>
      <x:c r="J510" s="29" t="str"/>
      <x:c r="K510" s="29" t="str"/>
      <x:c r="L510" s="29" t="str"/>
      <x:c r="M510" s="28" t="str">
        <x:f>IF(AND(C510="RESERVE",D510=""),"DORMANT",IF(L510="","OPEN",IF(AND(G510&lt;&gt;"",H510&lt;&gt;"",I510=H510,J510&lt;&gt;"",K510&lt;&gt;"",J510&lt;&gt;K510),"PASS","FAIL")))</x:f>
        <x:v>OPEN</x:v>
      </x:c>
    </x:row>
    <x:row r="511">
      <x:c r="B511" s="28" t="str">
        <x:v>AT-22</x:v>
      </x:c>
      <x:c r="C511" s="28" t="str">
        <x:v>PRIMARY</x:v>
      </x:c>
      <x:c r="D511" s="28" t="str">
        <x:f>INDEX('Attempt Tokens'!$E$7:$E$36,MATCH(B511,'Attempt Tokens'!$B$7:$B$36,0))</x:f>
      </x:c>
      <x:c r="E511" s="28" t="str">
        <x:v>RP-01</x:v>
      </x:c>
      <x:c r="F511" s="28" t="n">
        <x:v>1</x:v>
      </x:c>
      <x:c r="G511" s="28" t="str">
        <x:f>IF(D511="","",IF(LEFT(D511,5)="RFP-A",IF(F511=1,"PTC-B","PTC-C"),IF(LEFT(D511,5)="RFP-B",IF(F511=1,"PTC-A","PTC-C"),IF(F511=1,"PTC-A","PTC-B"))))</x:f>
      </x:c>
      <x:c r="H511" s="29" t="str"/>
      <x:c r="I511" s="29" t="str"/>
      <x:c r="J511" s="29" t="str"/>
      <x:c r="K511" s="29" t="str"/>
      <x:c r="L511" s="29" t="str"/>
      <x:c r="M511" s="28" t="str">
        <x:f>IF(AND(C511="RESERVE",D511=""),"DORMANT",IF(L511="","OPEN",IF(AND(G511&lt;&gt;"",H511&lt;&gt;"",I511=H511,J511&lt;&gt;"",K511&lt;&gt;"",J511&lt;&gt;K511),"PASS","FAIL")))</x:f>
        <x:v>OPEN</x:v>
      </x:c>
    </x:row>
    <x:row r="512">
      <x:c r="B512" s="28" t="str">
        <x:v>AT-22</x:v>
      </x:c>
      <x:c r="C512" s="28" t="str">
        <x:v>PRIMARY</x:v>
      </x:c>
      <x:c r="D512" s="28" t="str">
        <x:f>INDEX('Attempt Tokens'!$E$7:$E$36,MATCH(B512,'Attempt Tokens'!$B$7:$B$36,0))</x:f>
      </x:c>
      <x:c r="E512" s="28" t="str">
        <x:v>RP-01</x:v>
      </x:c>
      <x:c r="F512" s="28" t="n">
        <x:v>2</x:v>
      </x:c>
      <x:c r="G512" s="28" t="str">
        <x:f>IF(D512="","",IF(LEFT(D512,5)="RFP-A",IF(F512=1,"PTC-B","PTC-C"),IF(LEFT(D512,5)="RFP-B",IF(F512=1,"PTC-A","PTC-C"),IF(F512=1,"PTC-A","PTC-B"))))</x:f>
      </x:c>
      <x:c r="H512" s="29" t="str"/>
      <x:c r="I512" s="29" t="str"/>
      <x:c r="J512" s="29" t="str"/>
      <x:c r="K512" s="29" t="str"/>
      <x:c r="L512" s="29" t="str"/>
      <x:c r="M512" s="28" t="str">
        <x:f>IF(AND(C512="RESERVE",D512=""),"DORMANT",IF(L512="","OPEN",IF(AND(G512&lt;&gt;"",H512&lt;&gt;"",I512=H512,J512&lt;&gt;"",K512&lt;&gt;"",J512&lt;&gt;K512),"PASS","FAIL")))</x:f>
        <x:v>OPEN</x:v>
      </x:c>
    </x:row>
    <x:row r="513">
      <x:c r="B513" s="28" t="str">
        <x:v>AT-22</x:v>
      </x:c>
      <x:c r="C513" s="28" t="str">
        <x:v>PRIMARY</x:v>
      </x:c>
      <x:c r="D513" s="28" t="str">
        <x:f>INDEX('Attempt Tokens'!$E$7:$E$36,MATCH(B513,'Attempt Tokens'!$B$7:$B$36,0))</x:f>
      </x:c>
      <x:c r="E513" s="28" t="str">
        <x:v>RP-02</x:v>
      </x:c>
      <x:c r="F513" s="28" t="n">
        <x:v>1</x:v>
      </x:c>
      <x:c r="G513" s="28" t="str">
        <x:f>IF(D513="","",IF(LEFT(D513,5)="RFP-A",IF(F513=1,"PTC-B","PTC-C"),IF(LEFT(D513,5)="RFP-B",IF(F513=1,"PTC-A","PTC-C"),IF(F513=1,"PTC-A","PTC-B"))))</x:f>
      </x:c>
      <x:c r="H513" s="29" t="str"/>
      <x:c r="I513" s="29" t="str"/>
      <x:c r="J513" s="29" t="str"/>
      <x:c r="K513" s="29" t="str"/>
      <x:c r="L513" s="29" t="str"/>
      <x:c r="M513" s="28" t="str">
        <x:f>IF(AND(C513="RESERVE",D513=""),"DORMANT",IF(L513="","OPEN",IF(AND(G513&lt;&gt;"",H513&lt;&gt;"",I513=H513,J513&lt;&gt;"",K513&lt;&gt;"",J513&lt;&gt;K513),"PASS","FAIL")))</x:f>
        <x:v>OPEN</x:v>
      </x:c>
    </x:row>
    <x:row r="514">
      <x:c r="B514" s="28" t="str">
        <x:v>AT-22</x:v>
      </x:c>
      <x:c r="C514" s="28" t="str">
        <x:v>PRIMARY</x:v>
      </x:c>
      <x:c r="D514" s="28" t="str">
        <x:f>INDEX('Attempt Tokens'!$E$7:$E$36,MATCH(B514,'Attempt Tokens'!$B$7:$B$36,0))</x:f>
      </x:c>
      <x:c r="E514" s="28" t="str">
        <x:v>RP-02</x:v>
      </x:c>
      <x:c r="F514" s="28" t="n">
        <x:v>2</x:v>
      </x:c>
      <x:c r="G514" s="28" t="str">
        <x:f>IF(D514="","",IF(LEFT(D514,5)="RFP-A",IF(F514=1,"PTC-B","PTC-C"),IF(LEFT(D514,5)="RFP-B",IF(F514=1,"PTC-A","PTC-C"),IF(F514=1,"PTC-A","PTC-B"))))</x:f>
      </x:c>
      <x:c r="H514" s="29" t="str"/>
      <x:c r="I514" s="29" t="str"/>
      <x:c r="J514" s="29" t="str"/>
      <x:c r="K514" s="29" t="str"/>
      <x:c r="L514" s="29" t="str"/>
      <x:c r="M514" s="28" t="str">
        <x:f>IF(AND(C514="RESERVE",D514=""),"DORMANT",IF(L514="","OPEN",IF(AND(G514&lt;&gt;"",H514&lt;&gt;"",I514=H514,J514&lt;&gt;"",K514&lt;&gt;"",J514&lt;&gt;K514),"PASS","FAIL")))</x:f>
        <x:v>OPEN</x:v>
      </x:c>
    </x:row>
    <x:row r="515">
      <x:c r="B515" s="28" t="str">
        <x:v>AT-22</x:v>
      </x:c>
      <x:c r="C515" s="28" t="str">
        <x:v>PRIMARY</x:v>
      </x:c>
      <x:c r="D515" s="28" t="str">
        <x:f>INDEX('Attempt Tokens'!$E$7:$E$36,MATCH(B515,'Attempt Tokens'!$B$7:$B$36,0))</x:f>
      </x:c>
      <x:c r="E515" s="28" t="str">
        <x:v>RP-03</x:v>
      </x:c>
      <x:c r="F515" s="28" t="n">
        <x:v>1</x:v>
      </x:c>
      <x:c r="G515" s="28" t="str">
        <x:f>IF(D515="","",IF(LEFT(D515,5)="RFP-A",IF(F515=1,"PTC-B","PTC-C"),IF(LEFT(D515,5)="RFP-B",IF(F515=1,"PTC-A","PTC-C"),IF(F515=1,"PTC-A","PTC-B"))))</x:f>
      </x:c>
      <x:c r="H515" s="29" t="str"/>
      <x:c r="I515" s="29" t="str"/>
      <x:c r="J515" s="29" t="str"/>
      <x:c r="K515" s="29" t="str"/>
      <x:c r="L515" s="29" t="str"/>
      <x:c r="M515" s="28" t="str">
        <x:f>IF(AND(C515="RESERVE",D515=""),"DORMANT",IF(L515="","OPEN",IF(AND(G515&lt;&gt;"",H515&lt;&gt;"",I515=H515,J515&lt;&gt;"",K515&lt;&gt;"",J515&lt;&gt;K515),"PASS","FAIL")))</x:f>
        <x:v>OPEN</x:v>
      </x:c>
    </x:row>
    <x:row r="516">
      <x:c r="B516" s="28" t="str">
        <x:v>AT-22</x:v>
      </x:c>
      <x:c r="C516" s="28" t="str">
        <x:v>PRIMARY</x:v>
      </x:c>
      <x:c r="D516" s="28" t="str">
        <x:f>INDEX('Attempt Tokens'!$E$7:$E$36,MATCH(B516,'Attempt Tokens'!$B$7:$B$36,0))</x:f>
      </x:c>
      <x:c r="E516" s="28" t="str">
        <x:v>RP-03</x:v>
      </x:c>
      <x:c r="F516" s="28" t="n">
        <x:v>2</x:v>
      </x:c>
      <x:c r="G516" s="28" t="str">
        <x:f>IF(D516="","",IF(LEFT(D516,5)="RFP-A",IF(F516=1,"PTC-B","PTC-C"),IF(LEFT(D516,5)="RFP-B",IF(F516=1,"PTC-A","PTC-C"),IF(F516=1,"PTC-A","PTC-B"))))</x:f>
      </x:c>
      <x:c r="H516" s="29" t="str"/>
      <x:c r="I516" s="29" t="str"/>
      <x:c r="J516" s="29" t="str"/>
      <x:c r="K516" s="29" t="str"/>
      <x:c r="L516" s="29" t="str"/>
      <x:c r="M516" s="28" t="str">
        <x:f>IF(AND(C516="RESERVE",D516=""),"DORMANT",IF(L516="","OPEN",IF(AND(G516&lt;&gt;"",H516&lt;&gt;"",I516=H516,J516&lt;&gt;"",K516&lt;&gt;"",J516&lt;&gt;K516),"PASS","FAIL")))</x:f>
        <x:v>OPEN</x:v>
      </x:c>
    </x:row>
    <x:row r="517">
      <x:c r="B517" s="28" t="str">
        <x:v>AT-22</x:v>
      </x:c>
      <x:c r="C517" s="28" t="str">
        <x:v>PRIMARY</x:v>
      </x:c>
      <x:c r="D517" s="28" t="str">
        <x:f>INDEX('Attempt Tokens'!$E$7:$E$36,MATCH(B517,'Attempt Tokens'!$B$7:$B$36,0))</x:f>
      </x:c>
      <x:c r="E517" s="28" t="str">
        <x:v>RP-04</x:v>
      </x:c>
      <x:c r="F517" s="28" t="n">
        <x:v>1</x:v>
      </x:c>
      <x:c r="G517" s="28" t="str">
        <x:f>IF(D517="","",IF(LEFT(D517,5)="RFP-A",IF(F517=1,"PTC-B","PTC-C"),IF(LEFT(D517,5)="RFP-B",IF(F517=1,"PTC-A","PTC-C"),IF(F517=1,"PTC-A","PTC-B"))))</x:f>
      </x:c>
      <x:c r="H517" s="29" t="str"/>
      <x:c r="I517" s="29" t="str"/>
      <x:c r="J517" s="29" t="str"/>
      <x:c r="K517" s="29" t="str"/>
      <x:c r="L517" s="29" t="str"/>
      <x:c r="M517" s="28" t="str">
        <x:f>IF(AND(C517="RESERVE",D517=""),"DORMANT",IF(L517="","OPEN",IF(AND(G517&lt;&gt;"",H517&lt;&gt;"",I517=H517,J517&lt;&gt;"",K517&lt;&gt;"",J517&lt;&gt;K517),"PASS","FAIL")))</x:f>
        <x:v>OPEN</x:v>
      </x:c>
    </x:row>
    <x:row r="518">
      <x:c r="B518" s="28" t="str">
        <x:v>AT-22</x:v>
      </x:c>
      <x:c r="C518" s="28" t="str">
        <x:v>PRIMARY</x:v>
      </x:c>
      <x:c r="D518" s="28" t="str">
        <x:f>INDEX('Attempt Tokens'!$E$7:$E$36,MATCH(B518,'Attempt Tokens'!$B$7:$B$36,0))</x:f>
      </x:c>
      <x:c r="E518" s="28" t="str">
        <x:v>RP-04</x:v>
      </x:c>
      <x:c r="F518" s="28" t="n">
        <x:v>2</x:v>
      </x:c>
      <x:c r="G518" s="28" t="str">
        <x:f>IF(D518="","",IF(LEFT(D518,5)="RFP-A",IF(F518=1,"PTC-B","PTC-C"),IF(LEFT(D518,5)="RFP-B",IF(F518=1,"PTC-A","PTC-C"),IF(F518=1,"PTC-A","PTC-B"))))</x:f>
      </x:c>
      <x:c r="H518" s="29" t="str"/>
      <x:c r="I518" s="29" t="str"/>
      <x:c r="J518" s="29" t="str"/>
      <x:c r="K518" s="29" t="str"/>
      <x:c r="L518" s="29" t="str"/>
      <x:c r="M518" s="28" t="str">
        <x:f>IF(AND(C518="RESERVE",D518=""),"DORMANT",IF(L518="","OPEN",IF(AND(G518&lt;&gt;"",H518&lt;&gt;"",I518=H518,J518&lt;&gt;"",K518&lt;&gt;"",J518&lt;&gt;K518),"PASS","FAIL")))</x:f>
        <x:v>OPEN</x:v>
      </x:c>
    </x:row>
    <x:row r="519">
      <x:c r="B519" s="28" t="str">
        <x:v>AT-22</x:v>
      </x:c>
      <x:c r="C519" s="28" t="str">
        <x:v>PRIMARY</x:v>
      </x:c>
      <x:c r="D519" s="28" t="str">
        <x:f>INDEX('Attempt Tokens'!$E$7:$E$36,MATCH(B519,'Attempt Tokens'!$B$7:$B$36,0))</x:f>
      </x:c>
      <x:c r="E519" s="28" t="str">
        <x:v>RP-05</x:v>
      </x:c>
      <x:c r="F519" s="28" t="n">
        <x:v>1</x:v>
      </x:c>
      <x:c r="G519" s="28" t="str">
        <x:f>IF(D519="","",IF(LEFT(D519,5)="RFP-A",IF(F519=1,"PTC-B","PTC-C"),IF(LEFT(D519,5)="RFP-B",IF(F519=1,"PTC-A","PTC-C"),IF(F519=1,"PTC-A","PTC-B"))))</x:f>
      </x:c>
      <x:c r="H519" s="29" t="str"/>
      <x:c r="I519" s="29" t="str"/>
      <x:c r="J519" s="29" t="str"/>
      <x:c r="K519" s="29" t="str"/>
      <x:c r="L519" s="29" t="str"/>
      <x:c r="M519" s="28" t="str">
        <x:f>IF(AND(C519="RESERVE",D519=""),"DORMANT",IF(L519="","OPEN",IF(AND(G519&lt;&gt;"",H519&lt;&gt;"",I519=H519,J519&lt;&gt;"",K519&lt;&gt;"",J519&lt;&gt;K519),"PASS","FAIL")))</x:f>
        <x:v>OPEN</x:v>
      </x:c>
    </x:row>
    <x:row r="520">
      <x:c r="B520" s="28" t="str">
        <x:v>AT-22</x:v>
      </x:c>
      <x:c r="C520" s="28" t="str">
        <x:v>PRIMARY</x:v>
      </x:c>
      <x:c r="D520" s="28" t="str">
        <x:f>INDEX('Attempt Tokens'!$E$7:$E$36,MATCH(B520,'Attempt Tokens'!$B$7:$B$36,0))</x:f>
      </x:c>
      <x:c r="E520" s="28" t="str">
        <x:v>RP-05</x:v>
      </x:c>
      <x:c r="F520" s="28" t="n">
        <x:v>2</x:v>
      </x:c>
      <x:c r="G520" s="28" t="str">
        <x:f>IF(D520="","",IF(LEFT(D520,5)="RFP-A",IF(F520=1,"PTC-B","PTC-C"),IF(LEFT(D520,5)="RFP-B",IF(F520=1,"PTC-A","PTC-C"),IF(F520=1,"PTC-A","PTC-B"))))</x:f>
      </x:c>
      <x:c r="H520" s="29" t="str"/>
      <x:c r="I520" s="29" t="str"/>
      <x:c r="J520" s="29" t="str"/>
      <x:c r="K520" s="29" t="str"/>
      <x:c r="L520" s="29" t="str"/>
      <x:c r="M520" s="28" t="str">
        <x:f>IF(AND(C520="RESERVE",D520=""),"DORMANT",IF(L520="","OPEN",IF(AND(G520&lt;&gt;"",H520&lt;&gt;"",I520=H520,J520&lt;&gt;"",K520&lt;&gt;"",J520&lt;&gt;K520),"PASS","FAIL")))</x:f>
        <x:v>OPEN</x:v>
      </x:c>
    </x:row>
    <x:row r="521">
      <x:c r="B521" s="28" t="str">
        <x:v>AT-22</x:v>
      </x:c>
      <x:c r="C521" s="28" t="str">
        <x:v>PRIMARY</x:v>
      </x:c>
      <x:c r="D521" s="28" t="str">
        <x:f>INDEX('Attempt Tokens'!$E$7:$E$36,MATCH(B521,'Attempt Tokens'!$B$7:$B$36,0))</x:f>
      </x:c>
      <x:c r="E521" s="28" t="str">
        <x:v>RP-06</x:v>
      </x:c>
      <x:c r="F521" s="28" t="n">
        <x:v>1</x:v>
      </x:c>
      <x:c r="G521" s="28" t="str">
        <x:f>IF(D521="","",IF(LEFT(D521,5)="RFP-A",IF(F521=1,"PTC-B","PTC-C"),IF(LEFT(D521,5)="RFP-B",IF(F521=1,"PTC-A","PTC-C"),IF(F521=1,"PTC-A","PTC-B"))))</x:f>
      </x:c>
      <x:c r="H521" s="29" t="str"/>
      <x:c r="I521" s="29" t="str"/>
      <x:c r="J521" s="29" t="str"/>
      <x:c r="K521" s="29" t="str"/>
      <x:c r="L521" s="29" t="str"/>
      <x:c r="M521" s="28" t="str">
        <x:f>IF(AND(C521="RESERVE",D521=""),"DORMANT",IF(L521="","OPEN",IF(AND(G521&lt;&gt;"",H521&lt;&gt;"",I521=H521,J521&lt;&gt;"",K521&lt;&gt;"",J521&lt;&gt;K521),"PASS","FAIL")))</x:f>
        <x:v>OPEN</x:v>
      </x:c>
    </x:row>
    <x:row r="522">
      <x:c r="B522" s="28" t="str">
        <x:v>AT-22</x:v>
      </x:c>
      <x:c r="C522" s="28" t="str">
        <x:v>PRIMARY</x:v>
      </x:c>
      <x:c r="D522" s="28" t="str">
        <x:f>INDEX('Attempt Tokens'!$E$7:$E$36,MATCH(B522,'Attempt Tokens'!$B$7:$B$36,0))</x:f>
      </x:c>
      <x:c r="E522" s="28" t="str">
        <x:v>RP-06</x:v>
      </x:c>
      <x:c r="F522" s="28" t="n">
        <x:v>2</x:v>
      </x:c>
      <x:c r="G522" s="28" t="str">
        <x:f>IF(D522="","",IF(LEFT(D522,5)="RFP-A",IF(F522=1,"PTC-B","PTC-C"),IF(LEFT(D522,5)="RFP-B",IF(F522=1,"PTC-A","PTC-C"),IF(F522=1,"PTC-A","PTC-B"))))</x:f>
      </x:c>
      <x:c r="H522" s="29" t="str"/>
      <x:c r="I522" s="29" t="str"/>
      <x:c r="J522" s="29" t="str"/>
      <x:c r="K522" s="29" t="str"/>
      <x:c r="L522" s="29" t="str"/>
      <x:c r="M522" s="28" t="str">
        <x:f>IF(AND(C522="RESERVE",D522=""),"DORMANT",IF(L522="","OPEN",IF(AND(G522&lt;&gt;"",H522&lt;&gt;"",I522=H522,J522&lt;&gt;"",K522&lt;&gt;"",J522&lt;&gt;K522),"PASS","FAIL")))</x:f>
        <x:v>OPEN</x:v>
      </x:c>
    </x:row>
    <x:row r="523">
      <x:c r="B523" s="28" t="str">
        <x:v>AT-22</x:v>
      </x:c>
      <x:c r="C523" s="28" t="str">
        <x:v>PRIMARY</x:v>
      </x:c>
      <x:c r="D523" s="28" t="str">
        <x:f>INDEX('Attempt Tokens'!$E$7:$E$36,MATCH(B523,'Attempt Tokens'!$B$7:$B$36,0))</x:f>
      </x:c>
      <x:c r="E523" s="28" t="str">
        <x:v>RP-07</x:v>
      </x:c>
      <x:c r="F523" s="28" t="n">
        <x:v>1</x:v>
      </x:c>
      <x:c r="G523" s="28" t="str">
        <x:f>IF(D523="","",IF(LEFT(D523,5)="RFP-A",IF(F523=1,"PTC-B","PTC-C"),IF(LEFT(D523,5)="RFP-B",IF(F523=1,"PTC-A","PTC-C"),IF(F523=1,"PTC-A","PTC-B"))))</x:f>
      </x:c>
      <x:c r="H523" s="29" t="str"/>
      <x:c r="I523" s="29" t="str"/>
      <x:c r="J523" s="29" t="str"/>
      <x:c r="K523" s="29" t="str"/>
      <x:c r="L523" s="29" t="str"/>
      <x:c r="M523" s="28" t="str">
        <x:f>IF(AND(C523="RESERVE",D523=""),"DORMANT",IF(L523="","OPEN",IF(AND(G523&lt;&gt;"",H523&lt;&gt;"",I523=H523,J523&lt;&gt;"",K523&lt;&gt;"",J523&lt;&gt;K523),"PASS","FAIL")))</x:f>
        <x:v>OPEN</x:v>
      </x:c>
    </x:row>
    <x:row r="524">
      <x:c r="B524" s="28" t="str">
        <x:v>AT-22</x:v>
      </x:c>
      <x:c r="C524" s="28" t="str">
        <x:v>PRIMARY</x:v>
      </x:c>
      <x:c r="D524" s="28" t="str">
        <x:f>INDEX('Attempt Tokens'!$E$7:$E$36,MATCH(B524,'Attempt Tokens'!$B$7:$B$36,0))</x:f>
      </x:c>
      <x:c r="E524" s="28" t="str">
        <x:v>RP-07</x:v>
      </x:c>
      <x:c r="F524" s="28" t="n">
        <x:v>2</x:v>
      </x:c>
      <x:c r="G524" s="28" t="str">
        <x:f>IF(D524="","",IF(LEFT(D524,5)="RFP-A",IF(F524=1,"PTC-B","PTC-C"),IF(LEFT(D524,5)="RFP-B",IF(F524=1,"PTC-A","PTC-C"),IF(F524=1,"PTC-A","PTC-B"))))</x:f>
      </x:c>
      <x:c r="H524" s="29" t="str"/>
      <x:c r="I524" s="29" t="str"/>
      <x:c r="J524" s="29" t="str"/>
      <x:c r="K524" s="29" t="str"/>
      <x:c r="L524" s="29" t="str"/>
      <x:c r="M524" s="28" t="str">
        <x:f>IF(AND(C524="RESERVE",D524=""),"DORMANT",IF(L524="","OPEN",IF(AND(G524&lt;&gt;"",H524&lt;&gt;"",I524=H524,J524&lt;&gt;"",K524&lt;&gt;"",J524&lt;&gt;K524),"PASS","FAIL")))</x:f>
        <x:v>OPEN</x:v>
      </x:c>
    </x:row>
    <x:row r="525">
      <x:c r="B525" s="28" t="str">
        <x:v>AT-22</x:v>
      </x:c>
      <x:c r="C525" s="28" t="str">
        <x:v>PRIMARY</x:v>
      </x:c>
      <x:c r="D525" s="28" t="str">
        <x:f>INDEX('Attempt Tokens'!$E$7:$E$36,MATCH(B525,'Attempt Tokens'!$B$7:$B$36,0))</x:f>
      </x:c>
      <x:c r="E525" s="28" t="str">
        <x:v>RP-08</x:v>
      </x:c>
      <x:c r="F525" s="28" t="n">
        <x:v>1</x:v>
      </x:c>
      <x:c r="G525" s="28" t="str">
        <x:f>IF(D525="","",IF(LEFT(D525,5)="RFP-A",IF(F525=1,"PTC-B","PTC-C"),IF(LEFT(D525,5)="RFP-B",IF(F525=1,"PTC-A","PTC-C"),IF(F525=1,"PTC-A","PTC-B"))))</x:f>
      </x:c>
      <x:c r="H525" s="29" t="str"/>
      <x:c r="I525" s="29" t="str"/>
      <x:c r="J525" s="29" t="str"/>
      <x:c r="K525" s="29" t="str"/>
      <x:c r="L525" s="29" t="str"/>
      <x:c r="M525" s="28" t="str">
        <x:f>IF(AND(C525="RESERVE",D525=""),"DORMANT",IF(L525="","OPEN",IF(AND(G525&lt;&gt;"",H525&lt;&gt;"",I525=H525,J525&lt;&gt;"",K525&lt;&gt;"",J525&lt;&gt;K525),"PASS","FAIL")))</x:f>
        <x:v>OPEN</x:v>
      </x:c>
    </x:row>
    <x:row r="526">
      <x:c r="B526" s="28" t="str">
        <x:v>AT-22</x:v>
      </x:c>
      <x:c r="C526" s="28" t="str">
        <x:v>PRIMARY</x:v>
      </x:c>
      <x:c r="D526" s="28" t="str">
        <x:f>INDEX('Attempt Tokens'!$E$7:$E$36,MATCH(B526,'Attempt Tokens'!$B$7:$B$36,0))</x:f>
      </x:c>
      <x:c r="E526" s="28" t="str">
        <x:v>RP-08</x:v>
      </x:c>
      <x:c r="F526" s="28" t="n">
        <x:v>2</x:v>
      </x:c>
      <x:c r="G526" s="28" t="str">
        <x:f>IF(D526="","",IF(LEFT(D526,5)="RFP-A",IF(F526=1,"PTC-B","PTC-C"),IF(LEFT(D526,5)="RFP-B",IF(F526=1,"PTC-A","PTC-C"),IF(F526=1,"PTC-A","PTC-B"))))</x:f>
      </x:c>
      <x:c r="H526" s="29" t="str"/>
      <x:c r="I526" s="29" t="str"/>
      <x:c r="J526" s="29" t="str"/>
      <x:c r="K526" s="29" t="str"/>
      <x:c r="L526" s="29" t="str"/>
      <x:c r="M526" s="28" t="str">
        <x:f>IF(AND(C526="RESERVE",D526=""),"DORMANT",IF(L526="","OPEN",IF(AND(G526&lt;&gt;"",H526&lt;&gt;"",I526=H526,J526&lt;&gt;"",K526&lt;&gt;"",J526&lt;&gt;K526),"PASS","FAIL")))</x:f>
        <x:v>OPEN</x:v>
      </x:c>
    </x:row>
    <x:row r="527">
      <x:c r="B527" s="28" t="str">
        <x:v>AT-22</x:v>
      </x:c>
      <x:c r="C527" s="28" t="str">
        <x:v>PRIMARY</x:v>
      </x:c>
      <x:c r="D527" s="28" t="str">
        <x:f>INDEX('Attempt Tokens'!$E$7:$E$36,MATCH(B527,'Attempt Tokens'!$B$7:$B$36,0))</x:f>
      </x:c>
      <x:c r="E527" s="28" t="str">
        <x:v>RP-09</x:v>
      </x:c>
      <x:c r="F527" s="28" t="n">
        <x:v>1</x:v>
      </x:c>
      <x:c r="G527" s="28" t="str">
        <x:f>IF(D527="","",IF(LEFT(D527,5)="RFP-A",IF(F527=1,"PTC-B","PTC-C"),IF(LEFT(D527,5)="RFP-B",IF(F527=1,"PTC-A","PTC-C"),IF(F527=1,"PTC-A","PTC-B"))))</x:f>
      </x:c>
      <x:c r="H527" s="29" t="str"/>
      <x:c r="I527" s="29" t="str"/>
      <x:c r="J527" s="29" t="str"/>
      <x:c r="K527" s="29" t="str"/>
      <x:c r="L527" s="29" t="str"/>
      <x:c r="M527" s="28" t="str">
        <x:f>IF(AND(C527="RESERVE",D527=""),"DORMANT",IF(L527="","OPEN",IF(AND(G527&lt;&gt;"",H527&lt;&gt;"",I527=H527,J527&lt;&gt;"",K527&lt;&gt;"",J527&lt;&gt;K527),"PASS","FAIL")))</x:f>
        <x:v>OPEN</x:v>
      </x:c>
    </x:row>
    <x:row r="528">
      <x:c r="B528" s="28" t="str">
        <x:v>AT-22</x:v>
      </x:c>
      <x:c r="C528" s="28" t="str">
        <x:v>PRIMARY</x:v>
      </x:c>
      <x:c r="D528" s="28" t="str">
        <x:f>INDEX('Attempt Tokens'!$E$7:$E$36,MATCH(B528,'Attempt Tokens'!$B$7:$B$36,0))</x:f>
      </x:c>
      <x:c r="E528" s="28" t="str">
        <x:v>RP-09</x:v>
      </x:c>
      <x:c r="F528" s="28" t="n">
        <x:v>2</x:v>
      </x:c>
      <x:c r="G528" s="28" t="str">
        <x:f>IF(D528="","",IF(LEFT(D528,5)="RFP-A",IF(F528=1,"PTC-B","PTC-C"),IF(LEFT(D528,5)="RFP-B",IF(F528=1,"PTC-A","PTC-C"),IF(F528=1,"PTC-A","PTC-B"))))</x:f>
      </x:c>
      <x:c r="H528" s="29" t="str"/>
      <x:c r="I528" s="29" t="str"/>
      <x:c r="J528" s="29" t="str"/>
      <x:c r="K528" s="29" t="str"/>
      <x:c r="L528" s="29" t="str"/>
      <x:c r="M528" s="28" t="str">
        <x:f>IF(AND(C528="RESERVE",D528=""),"DORMANT",IF(L528="","OPEN",IF(AND(G528&lt;&gt;"",H528&lt;&gt;"",I528=H528,J528&lt;&gt;"",K528&lt;&gt;"",J528&lt;&gt;K528),"PASS","FAIL")))</x:f>
        <x:v>OPEN</x:v>
      </x:c>
    </x:row>
    <x:row r="529">
      <x:c r="B529" s="28" t="str">
        <x:v>AT-22</x:v>
      </x:c>
      <x:c r="C529" s="28" t="str">
        <x:v>PRIMARY</x:v>
      </x:c>
      <x:c r="D529" s="28" t="str">
        <x:f>INDEX('Attempt Tokens'!$E$7:$E$36,MATCH(B529,'Attempt Tokens'!$B$7:$B$36,0))</x:f>
      </x:c>
      <x:c r="E529" s="28" t="str">
        <x:v>RP-10</x:v>
      </x:c>
      <x:c r="F529" s="28" t="n">
        <x:v>1</x:v>
      </x:c>
      <x:c r="G529" s="28" t="str">
        <x:f>IF(D529="","",IF(LEFT(D529,5)="RFP-A",IF(F529=1,"PTC-B","PTC-C"),IF(LEFT(D529,5)="RFP-B",IF(F529=1,"PTC-A","PTC-C"),IF(F529=1,"PTC-A","PTC-B"))))</x:f>
      </x:c>
      <x:c r="H529" s="29" t="str"/>
      <x:c r="I529" s="29" t="str"/>
      <x:c r="J529" s="29" t="str"/>
      <x:c r="K529" s="29" t="str"/>
      <x:c r="L529" s="29" t="str"/>
      <x:c r="M529" s="28" t="str">
        <x:f>IF(AND(C529="RESERVE",D529=""),"DORMANT",IF(L529="","OPEN",IF(AND(G529&lt;&gt;"",H529&lt;&gt;"",I529=H529,J529&lt;&gt;"",K529&lt;&gt;"",J529&lt;&gt;K529),"PASS","FAIL")))</x:f>
        <x:v>OPEN</x:v>
      </x:c>
    </x:row>
    <x:row r="530">
      <x:c r="B530" s="28" t="str">
        <x:v>AT-22</x:v>
      </x:c>
      <x:c r="C530" s="28" t="str">
        <x:v>PRIMARY</x:v>
      </x:c>
      <x:c r="D530" s="28" t="str">
        <x:f>INDEX('Attempt Tokens'!$E$7:$E$36,MATCH(B530,'Attempt Tokens'!$B$7:$B$36,0))</x:f>
      </x:c>
      <x:c r="E530" s="28" t="str">
        <x:v>RP-10</x:v>
      </x:c>
      <x:c r="F530" s="28" t="n">
        <x:v>2</x:v>
      </x:c>
      <x:c r="G530" s="28" t="str">
        <x:f>IF(D530="","",IF(LEFT(D530,5)="RFP-A",IF(F530=1,"PTC-B","PTC-C"),IF(LEFT(D530,5)="RFP-B",IF(F530=1,"PTC-A","PTC-C"),IF(F530=1,"PTC-A","PTC-B"))))</x:f>
      </x:c>
      <x:c r="H530" s="29" t="str"/>
      <x:c r="I530" s="29" t="str"/>
      <x:c r="J530" s="29" t="str"/>
      <x:c r="K530" s="29" t="str"/>
      <x:c r="L530" s="29" t="str"/>
      <x:c r="M530" s="28" t="str">
        <x:f>IF(AND(C530="RESERVE",D530=""),"DORMANT",IF(L530="","OPEN",IF(AND(G530&lt;&gt;"",H530&lt;&gt;"",I530=H530,J530&lt;&gt;"",K530&lt;&gt;"",J530&lt;&gt;K530),"PASS","FAIL")))</x:f>
        <x:v>OPEN</x:v>
      </x:c>
    </x:row>
    <x:row r="531">
      <x:c r="B531" s="28" t="str">
        <x:v>AT-22</x:v>
      </x:c>
      <x:c r="C531" s="28" t="str">
        <x:v>PRIMARY</x:v>
      </x:c>
      <x:c r="D531" s="28" t="str">
        <x:f>INDEX('Attempt Tokens'!$E$7:$E$36,MATCH(B531,'Attempt Tokens'!$B$7:$B$36,0))</x:f>
      </x:c>
      <x:c r="E531" s="28" t="str">
        <x:v>RP-11</x:v>
      </x:c>
      <x:c r="F531" s="28" t="n">
        <x:v>1</x:v>
      </x:c>
      <x:c r="G531" s="28" t="str">
        <x:f>IF(D531="","",IF(LEFT(D531,5)="RFP-A",IF(F531=1,"PTC-B","PTC-C"),IF(LEFT(D531,5)="RFP-B",IF(F531=1,"PTC-A","PTC-C"),IF(F531=1,"PTC-A","PTC-B"))))</x:f>
      </x:c>
      <x:c r="H531" s="29" t="str"/>
      <x:c r="I531" s="29" t="str"/>
      <x:c r="J531" s="29" t="str"/>
      <x:c r="K531" s="29" t="str"/>
      <x:c r="L531" s="29" t="str"/>
      <x:c r="M531" s="28" t="str">
        <x:f>IF(AND(C531="RESERVE",D531=""),"DORMANT",IF(L531="","OPEN",IF(AND(G531&lt;&gt;"",H531&lt;&gt;"",I531=H531,J531&lt;&gt;"",K531&lt;&gt;"",J531&lt;&gt;K531),"PASS","FAIL")))</x:f>
        <x:v>OPEN</x:v>
      </x:c>
    </x:row>
    <x:row r="532">
      <x:c r="B532" s="28" t="str">
        <x:v>AT-22</x:v>
      </x:c>
      <x:c r="C532" s="28" t="str">
        <x:v>PRIMARY</x:v>
      </x:c>
      <x:c r="D532" s="28" t="str">
        <x:f>INDEX('Attempt Tokens'!$E$7:$E$36,MATCH(B532,'Attempt Tokens'!$B$7:$B$36,0))</x:f>
      </x:c>
      <x:c r="E532" s="28" t="str">
        <x:v>RP-11</x:v>
      </x:c>
      <x:c r="F532" s="28" t="n">
        <x:v>2</x:v>
      </x:c>
      <x:c r="G532" s="28" t="str">
        <x:f>IF(D532="","",IF(LEFT(D532,5)="RFP-A",IF(F532=1,"PTC-B","PTC-C"),IF(LEFT(D532,5)="RFP-B",IF(F532=1,"PTC-A","PTC-C"),IF(F532=1,"PTC-A","PTC-B"))))</x:f>
      </x:c>
      <x:c r="H532" s="29" t="str"/>
      <x:c r="I532" s="29" t="str"/>
      <x:c r="J532" s="29" t="str"/>
      <x:c r="K532" s="29" t="str"/>
      <x:c r="L532" s="29" t="str"/>
      <x:c r="M532" s="28" t="str">
        <x:f>IF(AND(C532="RESERVE",D532=""),"DORMANT",IF(L532="","OPEN",IF(AND(G532&lt;&gt;"",H532&lt;&gt;"",I532=H532,J532&lt;&gt;"",K532&lt;&gt;"",J532&lt;&gt;K532),"PASS","FAIL")))</x:f>
        <x:v>OPEN</x:v>
      </x:c>
    </x:row>
    <x:row r="533">
      <x:c r="B533" s="28" t="str">
        <x:v>AT-22</x:v>
      </x:c>
      <x:c r="C533" s="28" t="str">
        <x:v>PRIMARY</x:v>
      </x:c>
      <x:c r="D533" s="28" t="str">
        <x:f>INDEX('Attempt Tokens'!$E$7:$E$36,MATCH(B533,'Attempt Tokens'!$B$7:$B$36,0))</x:f>
      </x:c>
      <x:c r="E533" s="28" t="str">
        <x:v>RP-12</x:v>
      </x:c>
      <x:c r="F533" s="28" t="n">
        <x:v>1</x:v>
      </x:c>
      <x:c r="G533" s="28" t="str">
        <x:f>IF(D533="","",IF(LEFT(D533,5)="RFP-A",IF(F533=1,"PTC-B","PTC-C"),IF(LEFT(D533,5)="RFP-B",IF(F533=1,"PTC-A","PTC-C"),IF(F533=1,"PTC-A","PTC-B"))))</x:f>
      </x:c>
      <x:c r="H533" s="29" t="str"/>
      <x:c r="I533" s="29" t="str"/>
      <x:c r="J533" s="29" t="str"/>
      <x:c r="K533" s="29" t="str"/>
      <x:c r="L533" s="29" t="str"/>
      <x:c r="M533" s="28" t="str">
        <x:f>IF(AND(C533="RESERVE",D533=""),"DORMANT",IF(L533="","OPEN",IF(AND(G533&lt;&gt;"",H533&lt;&gt;"",I533=H533,J533&lt;&gt;"",K533&lt;&gt;"",J533&lt;&gt;K533),"PASS","FAIL")))</x:f>
        <x:v>OPEN</x:v>
      </x:c>
    </x:row>
    <x:row r="534">
      <x:c r="B534" s="28" t="str">
        <x:v>AT-22</x:v>
      </x:c>
      <x:c r="C534" s="28" t="str">
        <x:v>PRIMARY</x:v>
      </x:c>
      <x:c r="D534" s="28" t="str">
        <x:f>INDEX('Attempt Tokens'!$E$7:$E$36,MATCH(B534,'Attempt Tokens'!$B$7:$B$36,0))</x:f>
      </x:c>
      <x:c r="E534" s="28" t="str">
        <x:v>RP-12</x:v>
      </x:c>
      <x:c r="F534" s="28" t="n">
        <x:v>2</x:v>
      </x:c>
      <x:c r="G534" s="28" t="str">
        <x:f>IF(D534="","",IF(LEFT(D534,5)="RFP-A",IF(F534=1,"PTC-B","PTC-C"),IF(LEFT(D534,5)="RFP-B",IF(F534=1,"PTC-A","PTC-C"),IF(F534=1,"PTC-A","PTC-B"))))</x:f>
      </x:c>
      <x:c r="H534" s="29" t="str"/>
      <x:c r="I534" s="29" t="str"/>
      <x:c r="J534" s="29" t="str"/>
      <x:c r="K534" s="29" t="str"/>
      <x:c r="L534" s="29" t="str"/>
      <x:c r="M534" s="28" t="str">
        <x:f>IF(AND(C534="RESERVE",D534=""),"DORMANT",IF(L534="","OPEN",IF(AND(G534&lt;&gt;"",H534&lt;&gt;"",I534=H534,J534&lt;&gt;"",K534&lt;&gt;"",J534&lt;&gt;K534),"PASS","FAIL")))</x:f>
        <x:v>OPEN</x:v>
      </x:c>
    </x:row>
    <x:row r="535">
      <x:c r="B535" s="28" t="str">
        <x:v>AT-23</x:v>
      </x:c>
      <x:c r="C535" s="28" t="str">
        <x:v>PRIMARY</x:v>
      </x:c>
      <x:c r="D535" s="28" t="str">
        <x:f>INDEX('Attempt Tokens'!$E$7:$E$36,MATCH(B535,'Attempt Tokens'!$B$7:$B$36,0))</x:f>
      </x:c>
      <x:c r="E535" s="28" t="str">
        <x:v>RP-01</x:v>
      </x:c>
      <x:c r="F535" s="28" t="n">
        <x:v>1</x:v>
      </x:c>
      <x:c r="G535" s="28" t="str">
        <x:f>IF(D535="","",IF(LEFT(D535,5)="RFP-A",IF(F535=1,"PTC-B","PTC-C"),IF(LEFT(D535,5)="RFP-B",IF(F535=1,"PTC-A","PTC-C"),IF(F535=1,"PTC-A","PTC-B"))))</x:f>
      </x:c>
      <x:c r="H535" s="29" t="str"/>
      <x:c r="I535" s="29" t="str"/>
      <x:c r="J535" s="29" t="str"/>
      <x:c r="K535" s="29" t="str"/>
      <x:c r="L535" s="29" t="str"/>
      <x:c r="M535" s="28" t="str">
        <x:f>IF(AND(C535="RESERVE",D535=""),"DORMANT",IF(L535="","OPEN",IF(AND(G535&lt;&gt;"",H535&lt;&gt;"",I535=H535,J535&lt;&gt;"",K535&lt;&gt;"",J535&lt;&gt;K535),"PASS","FAIL")))</x:f>
        <x:v>OPEN</x:v>
      </x:c>
    </x:row>
    <x:row r="536">
      <x:c r="B536" s="28" t="str">
        <x:v>AT-23</x:v>
      </x:c>
      <x:c r="C536" s="28" t="str">
        <x:v>PRIMARY</x:v>
      </x:c>
      <x:c r="D536" s="28" t="str">
        <x:f>INDEX('Attempt Tokens'!$E$7:$E$36,MATCH(B536,'Attempt Tokens'!$B$7:$B$36,0))</x:f>
      </x:c>
      <x:c r="E536" s="28" t="str">
        <x:v>RP-01</x:v>
      </x:c>
      <x:c r="F536" s="28" t="n">
        <x:v>2</x:v>
      </x:c>
      <x:c r="G536" s="28" t="str">
        <x:f>IF(D536="","",IF(LEFT(D536,5)="RFP-A",IF(F536=1,"PTC-B","PTC-C"),IF(LEFT(D536,5)="RFP-B",IF(F536=1,"PTC-A","PTC-C"),IF(F536=1,"PTC-A","PTC-B"))))</x:f>
      </x:c>
      <x:c r="H536" s="29" t="str"/>
      <x:c r="I536" s="29" t="str"/>
      <x:c r="J536" s="29" t="str"/>
      <x:c r="K536" s="29" t="str"/>
      <x:c r="L536" s="29" t="str"/>
      <x:c r="M536" s="28" t="str">
        <x:f>IF(AND(C536="RESERVE",D536=""),"DORMANT",IF(L536="","OPEN",IF(AND(G536&lt;&gt;"",H536&lt;&gt;"",I536=H536,J536&lt;&gt;"",K536&lt;&gt;"",J536&lt;&gt;K536),"PASS","FAIL")))</x:f>
        <x:v>OPEN</x:v>
      </x:c>
    </x:row>
    <x:row r="537">
      <x:c r="B537" s="28" t="str">
        <x:v>AT-23</x:v>
      </x:c>
      <x:c r="C537" s="28" t="str">
        <x:v>PRIMARY</x:v>
      </x:c>
      <x:c r="D537" s="28" t="str">
        <x:f>INDEX('Attempt Tokens'!$E$7:$E$36,MATCH(B537,'Attempt Tokens'!$B$7:$B$36,0))</x:f>
      </x:c>
      <x:c r="E537" s="28" t="str">
        <x:v>RP-02</x:v>
      </x:c>
      <x:c r="F537" s="28" t="n">
        <x:v>1</x:v>
      </x:c>
      <x:c r="G537" s="28" t="str">
        <x:f>IF(D537="","",IF(LEFT(D537,5)="RFP-A",IF(F537=1,"PTC-B","PTC-C"),IF(LEFT(D537,5)="RFP-B",IF(F537=1,"PTC-A","PTC-C"),IF(F537=1,"PTC-A","PTC-B"))))</x:f>
      </x:c>
      <x:c r="H537" s="29" t="str"/>
      <x:c r="I537" s="29" t="str"/>
      <x:c r="J537" s="29" t="str"/>
      <x:c r="K537" s="29" t="str"/>
      <x:c r="L537" s="29" t="str"/>
      <x:c r="M537" s="28" t="str">
        <x:f>IF(AND(C537="RESERVE",D537=""),"DORMANT",IF(L537="","OPEN",IF(AND(G537&lt;&gt;"",H537&lt;&gt;"",I537=H537,J537&lt;&gt;"",K537&lt;&gt;"",J537&lt;&gt;K537),"PASS","FAIL")))</x:f>
        <x:v>OPEN</x:v>
      </x:c>
    </x:row>
    <x:row r="538">
      <x:c r="B538" s="28" t="str">
        <x:v>AT-23</x:v>
      </x:c>
      <x:c r="C538" s="28" t="str">
        <x:v>PRIMARY</x:v>
      </x:c>
      <x:c r="D538" s="28" t="str">
        <x:f>INDEX('Attempt Tokens'!$E$7:$E$36,MATCH(B538,'Attempt Tokens'!$B$7:$B$36,0))</x:f>
      </x:c>
      <x:c r="E538" s="28" t="str">
        <x:v>RP-02</x:v>
      </x:c>
      <x:c r="F538" s="28" t="n">
        <x:v>2</x:v>
      </x:c>
      <x:c r="G538" s="28" t="str">
        <x:f>IF(D538="","",IF(LEFT(D538,5)="RFP-A",IF(F538=1,"PTC-B","PTC-C"),IF(LEFT(D538,5)="RFP-B",IF(F538=1,"PTC-A","PTC-C"),IF(F538=1,"PTC-A","PTC-B"))))</x:f>
      </x:c>
      <x:c r="H538" s="29" t="str"/>
      <x:c r="I538" s="29" t="str"/>
      <x:c r="J538" s="29" t="str"/>
      <x:c r="K538" s="29" t="str"/>
      <x:c r="L538" s="29" t="str"/>
      <x:c r="M538" s="28" t="str">
        <x:f>IF(AND(C538="RESERVE",D538=""),"DORMANT",IF(L538="","OPEN",IF(AND(G538&lt;&gt;"",H538&lt;&gt;"",I538=H538,J538&lt;&gt;"",K538&lt;&gt;"",J538&lt;&gt;K538),"PASS","FAIL")))</x:f>
        <x:v>OPEN</x:v>
      </x:c>
    </x:row>
    <x:row r="539">
      <x:c r="B539" s="28" t="str">
        <x:v>AT-23</x:v>
      </x:c>
      <x:c r="C539" s="28" t="str">
        <x:v>PRIMARY</x:v>
      </x:c>
      <x:c r="D539" s="28" t="str">
        <x:f>INDEX('Attempt Tokens'!$E$7:$E$36,MATCH(B539,'Attempt Tokens'!$B$7:$B$36,0))</x:f>
      </x:c>
      <x:c r="E539" s="28" t="str">
        <x:v>RP-03</x:v>
      </x:c>
      <x:c r="F539" s="28" t="n">
        <x:v>1</x:v>
      </x:c>
      <x:c r="G539" s="28" t="str">
        <x:f>IF(D539="","",IF(LEFT(D539,5)="RFP-A",IF(F539=1,"PTC-B","PTC-C"),IF(LEFT(D539,5)="RFP-B",IF(F539=1,"PTC-A","PTC-C"),IF(F539=1,"PTC-A","PTC-B"))))</x:f>
      </x:c>
      <x:c r="H539" s="29" t="str"/>
      <x:c r="I539" s="29" t="str"/>
      <x:c r="J539" s="29" t="str"/>
      <x:c r="K539" s="29" t="str"/>
      <x:c r="L539" s="29" t="str"/>
      <x:c r="M539" s="28" t="str">
        <x:f>IF(AND(C539="RESERVE",D539=""),"DORMANT",IF(L539="","OPEN",IF(AND(G539&lt;&gt;"",H539&lt;&gt;"",I539=H539,J539&lt;&gt;"",K539&lt;&gt;"",J539&lt;&gt;K539),"PASS","FAIL")))</x:f>
        <x:v>OPEN</x:v>
      </x:c>
    </x:row>
    <x:row r="540">
      <x:c r="B540" s="28" t="str">
        <x:v>AT-23</x:v>
      </x:c>
      <x:c r="C540" s="28" t="str">
        <x:v>PRIMARY</x:v>
      </x:c>
      <x:c r="D540" s="28" t="str">
        <x:f>INDEX('Attempt Tokens'!$E$7:$E$36,MATCH(B540,'Attempt Tokens'!$B$7:$B$36,0))</x:f>
      </x:c>
      <x:c r="E540" s="28" t="str">
        <x:v>RP-03</x:v>
      </x:c>
      <x:c r="F540" s="28" t="n">
        <x:v>2</x:v>
      </x:c>
      <x:c r="G540" s="28" t="str">
        <x:f>IF(D540="","",IF(LEFT(D540,5)="RFP-A",IF(F540=1,"PTC-B","PTC-C"),IF(LEFT(D540,5)="RFP-B",IF(F540=1,"PTC-A","PTC-C"),IF(F540=1,"PTC-A","PTC-B"))))</x:f>
      </x:c>
      <x:c r="H540" s="29" t="str"/>
      <x:c r="I540" s="29" t="str"/>
      <x:c r="J540" s="29" t="str"/>
      <x:c r="K540" s="29" t="str"/>
      <x:c r="L540" s="29" t="str"/>
      <x:c r="M540" s="28" t="str">
        <x:f>IF(AND(C540="RESERVE",D540=""),"DORMANT",IF(L540="","OPEN",IF(AND(G540&lt;&gt;"",H540&lt;&gt;"",I540=H540,J540&lt;&gt;"",K540&lt;&gt;"",J540&lt;&gt;K540),"PASS","FAIL")))</x:f>
        <x:v>OPEN</x:v>
      </x:c>
    </x:row>
    <x:row r="541">
      <x:c r="B541" s="28" t="str">
        <x:v>AT-23</x:v>
      </x:c>
      <x:c r="C541" s="28" t="str">
        <x:v>PRIMARY</x:v>
      </x:c>
      <x:c r="D541" s="28" t="str">
        <x:f>INDEX('Attempt Tokens'!$E$7:$E$36,MATCH(B541,'Attempt Tokens'!$B$7:$B$36,0))</x:f>
      </x:c>
      <x:c r="E541" s="28" t="str">
        <x:v>RP-04</x:v>
      </x:c>
      <x:c r="F541" s="28" t="n">
        <x:v>1</x:v>
      </x:c>
      <x:c r="G541" s="28" t="str">
        <x:f>IF(D541="","",IF(LEFT(D541,5)="RFP-A",IF(F541=1,"PTC-B","PTC-C"),IF(LEFT(D541,5)="RFP-B",IF(F541=1,"PTC-A","PTC-C"),IF(F541=1,"PTC-A","PTC-B"))))</x:f>
      </x:c>
      <x:c r="H541" s="29" t="str"/>
      <x:c r="I541" s="29" t="str"/>
      <x:c r="J541" s="29" t="str"/>
      <x:c r="K541" s="29" t="str"/>
      <x:c r="L541" s="29" t="str"/>
      <x:c r="M541" s="28" t="str">
        <x:f>IF(AND(C541="RESERVE",D541=""),"DORMANT",IF(L541="","OPEN",IF(AND(G541&lt;&gt;"",H541&lt;&gt;"",I541=H541,J541&lt;&gt;"",K541&lt;&gt;"",J541&lt;&gt;K541),"PASS","FAIL")))</x:f>
        <x:v>OPEN</x:v>
      </x:c>
    </x:row>
    <x:row r="542">
      <x:c r="B542" s="28" t="str">
        <x:v>AT-23</x:v>
      </x:c>
      <x:c r="C542" s="28" t="str">
        <x:v>PRIMARY</x:v>
      </x:c>
      <x:c r="D542" s="28" t="str">
        <x:f>INDEX('Attempt Tokens'!$E$7:$E$36,MATCH(B542,'Attempt Tokens'!$B$7:$B$36,0))</x:f>
      </x:c>
      <x:c r="E542" s="28" t="str">
        <x:v>RP-04</x:v>
      </x:c>
      <x:c r="F542" s="28" t="n">
        <x:v>2</x:v>
      </x:c>
      <x:c r="G542" s="28" t="str">
        <x:f>IF(D542="","",IF(LEFT(D542,5)="RFP-A",IF(F542=1,"PTC-B","PTC-C"),IF(LEFT(D542,5)="RFP-B",IF(F542=1,"PTC-A","PTC-C"),IF(F542=1,"PTC-A","PTC-B"))))</x:f>
      </x:c>
      <x:c r="H542" s="29" t="str"/>
      <x:c r="I542" s="29" t="str"/>
      <x:c r="J542" s="29" t="str"/>
      <x:c r="K542" s="29" t="str"/>
      <x:c r="L542" s="29" t="str"/>
      <x:c r="M542" s="28" t="str">
        <x:f>IF(AND(C542="RESERVE",D542=""),"DORMANT",IF(L542="","OPEN",IF(AND(G542&lt;&gt;"",H542&lt;&gt;"",I542=H542,J542&lt;&gt;"",K542&lt;&gt;"",J542&lt;&gt;K542),"PASS","FAIL")))</x:f>
        <x:v>OPEN</x:v>
      </x:c>
    </x:row>
    <x:row r="543">
      <x:c r="B543" s="28" t="str">
        <x:v>AT-23</x:v>
      </x:c>
      <x:c r="C543" s="28" t="str">
        <x:v>PRIMARY</x:v>
      </x:c>
      <x:c r="D543" s="28" t="str">
        <x:f>INDEX('Attempt Tokens'!$E$7:$E$36,MATCH(B543,'Attempt Tokens'!$B$7:$B$36,0))</x:f>
      </x:c>
      <x:c r="E543" s="28" t="str">
        <x:v>RP-05</x:v>
      </x:c>
      <x:c r="F543" s="28" t="n">
        <x:v>1</x:v>
      </x:c>
      <x:c r="G543" s="28" t="str">
        <x:f>IF(D543="","",IF(LEFT(D543,5)="RFP-A",IF(F543=1,"PTC-B","PTC-C"),IF(LEFT(D543,5)="RFP-B",IF(F543=1,"PTC-A","PTC-C"),IF(F543=1,"PTC-A","PTC-B"))))</x:f>
      </x:c>
      <x:c r="H543" s="29" t="str"/>
      <x:c r="I543" s="29" t="str"/>
      <x:c r="J543" s="29" t="str"/>
      <x:c r="K543" s="29" t="str"/>
      <x:c r="L543" s="29" t="str"/>
      <x:c r="M543" s="28" t="str">
        <x:f>IF(AND(C543="RESERVE",D543=""),"DORMANT",IF(L543="","OPEN",IF(AND(G543&lt;&gt;"",H543&lt;&gt;"",I543=H543,J543&lt;&gt;"",K543&lt;&gt;"",J543&lt;&gt;K543),"PASS","FAIL")))</x:f>
        <x:v>OPEN</x:v>
      </x:c>
    </x:row>
    <x:row r="544">
      <x:c r="B544" s="28" t="str">
        <x:v>AT-23</x:v>
      </x:c>
      <x:c r="C544" s="28" t="str">
        <x:v>PRIMARY</x:v>
      </x:c>
      <x:c r="D544" s="28" t="str">
        <x:f>INDEX('Attempt Tokens'!$E$7:$E$36,MATCH(B544,'Attempt Tokens'!$B$7:$B$36,0))</x:f>
      </x:c>
      <x:c r="E544" s="28" t="str">
        <x:v>RP-05</x:v>
      </x:c>
      <x:c r="F544" s="28" t="n">
        <x:v>2</x:v>
      </x:c>
      <x:c r="G544" s="28" t="str">
        <x:f>IF(D544="","",IF(LEFT(D544,5)="RFP-A",IF(F544=1,"PTC-B","PTC-C"),IF(LEFT(D544,5)="RFP-B",IF(F544=1,"PTC-A","PTC-C"),IF(F544=1,"PTC-A","PTC-B"))))</x:f>
      </x:c>
      <x:c r="H544" s="29" t="str"/>
      <x:c r="I544" s="29" t="str"/>
      <x:c r="J544" s="29" t="str"/>
      <x:c r="K544" s="29" t="str"/>
      <x:c r="L544" s="29" t="str"/>
      <x:c r="M544" s="28" t="str">
        <x:f>IF(AND(C544="RESERVE",D544=""),"DORMANT",IF(L544="","OPEN",IF(AND(G544&lt;&gt;"",H544&lt;&gt;"",I544=H544,J544&lt;&gt;"",K544&lt;&gt;"",J544&lt;&gt;K544),"PASS","FAIL")))</x:f>
        <x:v>OPEN</x:v>
      </x:c>
    </x:row>
    <x:row r="545">
      <x:c r="B545" s="28" t="str">
        <x:v>AT-23</x:v>
      </x:c>
      <x:c r="C545" s="28" t="str">
        <x:v>PRIMARY</x:v>
      </x:c>
      <x:c r="D545" s="28" t="str">
        <x:f>INDEX('Attempt Tokens'!$E$7:$E$36,MATCH(B545,'Attempt Tokens'!$B$7:$B$36,0))</x:f>
      </x:c>
      <x:c r="E545" s="28" t="str">
        <x:v>RP-06</x:v>
      </x:c>
      <x:c r="F545" s="28" t="n">
        <x:v>1</x:v>
      </x:c>
      <x:c r="G545" s="28" t="str">
        <x:f>IF(D545="","",IF(LEFT(D545,5)="RFP-A",IF(F545=1,"PTC-B","PTC-C"),IF(LEFT(D545,5)="RFP-B",IF(F545=1,"PTC-A","PTC-C"),IF(F545=1,"PTC-A","PTC-B"))))</x:f>
      </x:c>
      <x:c r="H545" s="29" t="str"/>
      <x:c r="I545" s="29" t="str"/>
      <x:c r="J545" s="29" t="str"/>
      <x:c r="K545" s="29" t="str"/>
      <x:c r="L545" s="29" t="str"/>
      <x:c r="M545" s="28" t="str">
        <x:f>IF(AND(C545="RESERVE",D545=""),"DORMANT",IF(L545="","OPEN",IF(AND(G545&lt;&gt;"",H545&lt;&gt;"",I545=H545,J545&lt;&gt;"",K545&lt;&gt;"",J545&lt;&gt;K545),"PASS","FAIL")))</x:f>
        <x:v>OPEN</x:v>
      </x:c>
    </x:row>
    <x:row r="546">
      <x:c r="B546" s="28" t="str">
        <x:v>AT-23</x:v>
      </x:c>
      <x:c r="C546" s="28" t="str">
        <x:v>PRIMARY</x:v>
      </x:c>
      <x:c r="D546" s="28" t="str">
        <x:f>INDEX('Attempt Tokens'!$E$7:$E$36,MATCH(B546,'Attempt Tokens'!$B$7:$B$36,0))</x:f>
      </x:c>
      <x:c r="E546" s="28" t="str">
        <x:v>RP-06</x:v>
      </x:c>
      <x:c r="F546" s="28" t="n">
        <x:v>2</x:v>
      </x:c>
      <x:c r="G546" s="28" t="str">
        <x:f>IF(D546="","",IF(LEFT(D546,5)="RFP-A",IF(F546=1,"PTC-B","PTC-C"),IF(LEFT(D546,5)="RFP-B",IF(F546=1,"PTC-A","PTC-C"),IF(F546=1,"PTC-A","PTC-B"))))</x:f>
      </x:c>
      <x:c r="H546" s="29" t="str"/>
      <x:c r="I546" s="29" t="str"/>
      <x:c r="J546" s="29" t="str"/>
      <x:c r="K546" s="29" t="str"/>
      <x:c r="L546" s="29" t="str"/>
      <x:c r="M546" s="28" t="str">
        <x:f>IF(AND(C546="RESERVE",D546=""),"DORMANT",IF(L546="","OPEN",IF(AND(G546&lt;&gt;"",H546&lt;&gt;"",I546=H546,J546&lt;&gt;"",K546&lt;&gt;"",J546&lt;&gt;K546),"PASS","FAIL")))</x:f>
        <x:v>OPEN</x:v>
      </x:c>
    </x:row>
    <x:row r="547">
      <x:c r="B547" s="28" t="str">
        <x:v>AT-23</x:v>
      </x:c>
      <x:c r="C547" s="28" t="str">
        <x:v>PRIMARY</x:v>
      </x:c>
      <x:c r="D547" s="28" t="str">
        <x:f>INDEX('Attempt Tokens'!$E$7:$E$36,MATCH(B547,'Attempt Tokens'!$B$7:$B$36,0))</x:f>
      </x:c>
      <x:c r="E547" s="28" t="str">
        <x:v>RP-07</x:v>
      </x:c>
      <x:c r="F547" s="28" t="n">
        <x:v>1</x:v>
      </x:c>
      <x:c r="G547" s="28" t="str">
        <x:f>IF(D547="","",IF(LEFT(D547,5)="RFP-A",IF(F547=1,"PTC-B","PTC-C"),IF(LEFT(D547,5)="RFP-B",IF(F547=1,"PTC-A","PTC-C"),IF(F547=1,"PTC-A","PTC-B"))))</x:f>
      </x:c>
      <x:c r="H547" s="29" t="str"/>
      <x:c r="I547" s="29" t="str"/>
      <x:c r="J547" s="29" t="str"/>
      <x:c r="K547" s="29" t="str"/>
      <x:c r="L547" s="29" t="str"/>
      <x:c r="M547" s="28" t="str">
        <x:f>IF(AND(C547="RESERVE",D547=""),"DORMANT",IF(L547="","OPEN",IF(AND(G547&lt;&gt;"",H547&lt;&gt;"",I547=H547,J547&lt;&gt;"",K547&lt;&gt;"",J547&lt;&gt;K547),"PASS","FAIL")))</x:f>
        <x:v>OPEN</x:v>
      </x:c>
    </x:row>
    <x:row r="548">
      <x:c r="B548" s="28" t="str">
        <x:v>AT-23</x:v>
      </x:c>
      <x:c r="C548" s="28" t="str">
        <x:v>PRIMARY</x:v>
      </x:c>
      <x:c r="D548" s="28" t="str">
        <x:f>INDEX('Attempt Tokens'!$E$7:$E$36,MATCH(B548,'Attempt Tokens'!$B$7:$B$36,0))</x:f>
      </x:c>
      <x:c r="E548" s="28" t="str">
        <x:v>RP-07</x:v>
      </x:c>
      <x:c r="F548" s="28" t="n">
        <x:v>2</x:v>
      </x:c>
      <x:c r="G548" s="28" t="str">
        <x:f>IF(D548="","",IF(LEFT(D548,5)="RFP-A",IF(F548=1,"PTC-B","PTC-C"),IF(LEFT(D548,5)="RFP-B",IF(F548=1,"PTC-A","PTC-C"),IF(F548=1,"PTC-A","PTC-B"))))</x:f>
      </x:c>
      <x:c r="H548" s="29" t="str"/>
      <x:c r="I548" s="29" t="str"/>
      <x:c r="J548" s="29" t="str"/>
      <x:c r="K548" s="29" t="str"/>
      <x:c r="L548" s="29" t="str"/>
      <x:c r="M548" s="28" t="str">
        <x:f>IF(AND(C548="RESERVE",D548=""),"DORMANT",IF(L548="","OPEN",IF(AND(G548&lt;&gt;"",H548&lt;&gt;"",I548=H548,J548&lt;&gt;"",K548&lt;&gt;"",J548&lt;&gt;K548),"PASS","FAIL")))</x:f>
        <x:v>OPEN</x:v>
      </x:c>
    </x:row>
    <x:row r="549">
      <x:c r="B549" s="28" t="str">
        <x:v>AT-23</x:v>
      </x:c>
      <x:c r="C549" s="28" t="str">
        <x:v>PRIMARY</x:v>
      </x:c>
      <x:c r="D549" s="28" t="str">
        <x:f>INDEX('Attempt Tokens'!$E$7:$E$36,MATCH(B549,'Attempt Tokens'!$B$7:$B$36,0))</x:f>
      </x:c>
      <x:c r="E549" s="28" t="str">
        <x:v>RP-08</x:v>
      </x:c>
      <x:c r="F549" s="28" t="n">
        <x:v>1</x:v>
      </x:c>
      <x:c r="G549" s="28" t="str">
        <x:f>IF(D549="","",IF(LEFT(D549,5)="RFP-A",IF(F549=1,"PTC-B","PTC-C"),IF(LEFT(D549,5)="RFP-B",IF(F549=1,"PTC-A","PTC-C"),IF(F549=1,"PTC-A","PTC-B"))))</x:f>
      </x:c>
      <x:c r="H549" s="29" t="str"/>
      <x:c r="I549" s="29" t="str"/>
      <x:c r="J549" s="29" t="str"/>
      <x:c r="K549" s="29" t="str"/>
      <x:c r="L549" s="29" t="str"/>
      <x:c r="M549" s="28" t="str">
        <x:f>IF(AND(C549="RESERVE",D549=""),"DORMANT",IF(L549="","OPEN",IF(AND(G549&lt;&gt;"",H549&lt;&gt;"",I549=H549,J549&lt;&gt;"",K549&lt;&gt;"",J549&lt;&gt;K549),"PASS","FAIL")))</x:f>
        <x:v>OPEN</x:v>
      </x:c>
    </x:row>
    <x:row r="550">
      <x:c r="B550" s="28" t="str">
        <x:v>AT-23</x:v>
      </x:c>
      <x:c r="C550" s="28" t="str">
        <x:v>PRIMARY</x:v>
      </x:c>
      <x:c r="D550" s="28" t="str">
        <x:f>INDEX('Attempt Tokens'!$E$7:$E$36,MATCH(B550,'Attempt Tokens'!$B$7:$B$36,0))</x:f>
      </x:c>
      <x:c r="E550" s="28" t="str">
        <x:v>RP-08</x:v>
      </x:c>
      <x:c r="F550" s="28" t="n">
        <x:v>2</x:v>
      </x:c>
      <x:c r="G550" s="28" t="str">
        <x:f>IF(D550="","",IF(LEFT(D550,5)="RFP-A",IF(F550=1,"PTC-B","PTC-C"),IF(LEFT(D550,5)="RFP-B",IF(F550=1,"PTC-A","PTC-C"),IF(F550=1,"PTC-A","PTC-B"))))</x:f>
      </x:c>
      <x:c r="H550" s="29" t="str"/>
      <x:c r="I550" s="29" t="str"/>
      <x:c r="J550" s="29" t="str"/>
      <x:c r="K550" s="29" t="str"/>
      <x:c r="L550" s="29" t="str"/>
      <x:c r="M550" s="28" t="str">
        <x:f>IF(AND(C550="RESERVE",D550=""),"DORMANT",IF(L550="","OPEN",IF(AND(G550&lt;&gt;"",H550&lt;&gt;"",I550=H550,J550&lt;&gt;"",K550&lt;&gt;"",J550&lt;&gt;K550),"PASS","FAIL")))</x:f>
        <x:v>OPEN</x:v>
      </x:c>
    </x:row>
    <x:row r="551">
      <x:c r="B551" s="28" t="str">
        <x:v>AT-23</x:v>
      </x:c>
      <x:c r="C551" s="28" t="str">
        <x:v>PRIMARY</x:v>
      </x:c>
      <x:c r="D551" s="28" t="str">
        <x:f>INDEX('Attempt Tokens'!$E$7:$E$36,MATCH(B551,'Attempt Tokens'!$B$7:$B$36,0))</x:f>
      </x:c>
      <x:c r="E551" s="28" t="str">
        <x:v>RP-09</x:v>
      </x:c>
      <x:c r="F551" s="28" t="n">
        <x:v>1</x:v>
      </x:c>
      <x:c r="G551" s="28" t="str">
        <x:f>IF(D551="","",IF(LEFT(D551,5)="RFP-A",IF(F551=1,"PTC-B","PTC-C"),IF(LEFT(D551,5)="RFP-B",IF(F551=1,"PTC-A","PTC-C"),IF(F551=1,"PTC-A","PTC-B"))))</x:f>
      </x:c>
      <x:c r="H551" s="29" t="str"/>
      <x:c r="I551" s="29" t="str"/>
      <x:c r="J551" s="29" t="str"/>
      <x:c r="K551" s="29" t="str"/>
      <x:c r="L551" s="29" t="str"/>
      <x:c r="M551" s="28" t="str">
        <x:f>IF(AND(C551="RESERVE",D551=""),"DORMANT",IF(L551="","OPEN",IF(AND(G551&lt;&gt;"",H551&lt;&gt;"",I551=H551,J551&lt;&gt;"",K551&lt;&gt;"",J551&lt;&gt;K551),"PASS","FAIL")))</x:f>
        <x:v>OPEN</x:v>
      </x:c>
    </x:row>
    <x:row r="552">
      <x:c r="B552" s="28" t="str">
        <x:v>AT-23</x:v>
      </x:c>
      <x:c r="C552" s="28" t="str">
        <x:v>PRIMARY</x:v>
      </x:c>
      <x:c r="D552" s="28" t="str">
        <x:f>INDEX('Attempt Tokens'!$E$7:$E$36,MATCH(B552,'Attempt Tokens'!$B$7:$B$36,0))</x:f>
      </x:c>
      <x:c r="E552" s="28" t="str">
        <x:v>RP-09</x:v>
      </x:c>
      <x:c r="F552" s="28" t="n">
        <x:v>2</x:v>
      </x:c>
      <x:c r="G552" s="28" t="str">
        <x:f>IF(D552="","",IF(LEFT(D552,5)="RFP-A",IF(F552=1,"PTC-B","PTC-C"),IF(LEFT(D552,5)="RFP-B",IF(F552=1,"PTC-A","PTC-C"),IF(F552=1,"PTC-A","PTC-B"))))</x:f>
      </x:c>
      <x:c r="H552" s="29" t="str"/>
      <x:c r="I552" s="29" t="str"/>
      <x:c r="J552" s="29" t="str"/>
      <x:c r="K552" s="29" t="str"/>
      <x:c r="L552" s="29" t="str"/>
      <x:c r="M552" s="28" t="str">
        <x:f>IF(AND(C552="RESERVE",D552=""),"DORMANT",IF(L552="","OPEN",IF(AND(G552&lt;&gt;"",H552&lt;&gt;"",I552=H552,J552&lt;&gt;"",K552&lt;&gt;"",J552&lt;&gt;K552),"PASS","FAIL")))</x:f>
        <x:v>OPEN</x:v>
      </x:c>
    </x:row>
    <x:row r="553">
      <x:c r="B553" s="28" t="str">
        <x:v>AT-23</x:v>
      </x:c>
      <x:c r="C553" s="28" t="str">
        <x:v>PRIMARY</x:v>
      </x:c>
      <x:c r="D553" s="28" t="str">
        <x:f>INDEX('Attempt Tokens'!$E$7:$E$36,MATCH(B553,'Attempt Tokens'!$B$7:$B$36,0))</x:f>
      </x:c>
      <x:c r="E553" s="28" t="str">
        <x:v>RP-10</x:v>
      </x:c>
      <x:c r="F553" s="28" t="n">
        <x:v>1</x:v>
      </x:c>
      <x:c r="G553" s="28" t="str">
        <x:f>IF(D553="","",IF(LEFT(D553,5)="RFP-A",IF(F553=1,"PTC-B","PTC-C"),IF(LEFT(D553,5)="RFP-B",IF(F553=1,"PTC-A","PTC-C"),IF(F553=1,"PTC-A","PTC-B"))))</x:f>
      </x:c>
      <x:c r="H553" s="29" t="str"/>
      <x:c r="I553" s="29" t="str"/>
      <x:c r="J553" s="29" t="str"/>
      <x:c r="K553" s="29" t="str"/>
      <x:c r="L553" s="29" t="str"/>
      <x:c r="M553" s="28" t="str">
        <x:f>IF(AND(C553="RESERVE",D553=""),"DORMANT",IF(L553="","OPEN",IF(AND(G553&lt;&gt;"",H553&lt;&gt;"",I553=H553,J553&lt;&gt;"",K553&lt;&gt;"",J553&lt;&gt;K553),"PASS","FAIL")))</x:f>
        <x:v>OPEN</x:v>
      </x:c>
    </x:row>
    <x:row r="554">
      <x:c r="B554" s="28" t="str">
        <x:v>AT-23</x:v>
      </x:c>
      <x:c r="C554" s="28" t="str">
        <x:v>PRIMARY</x:v>
      </x:c>
      <x:c r="D554" s="28" t="str">
        <x:f>INDEX('Attempt Tokens'!$E$7:$E$36,MATCH(B554,'Attempt Tokens'!$B$7:$B$36,0))</x:f>
      </x:c>
      <x:c r="E554" s="28" t="str">
        <x:v>RP-10</x:v>
      </x:c>
      <x:c r="F554" s="28" t="n">
        <x:v>2</x:v>
      </x:c>
      <x:c r="G554" s="28" t="str">
        <x:f>IF(D554="","",IF(LEFT(D554,5)="RFP-A",IF(F554=1,"PTC-B","PTC-C"),IF(LEFT(D554,5)="RFP-B",IF(F554=1,"PTC-A","PTC-C"),IF(F554=1,"PTC-A","PTC-B"))))</x:f>
      </x:c>
      <x:c r="H554" s="29" t="str"/>
      <x:c r="I554" s="29" t="str"/>
      <x:c r="J554" s="29" t="str"/>
      <x:c r="K554" s="29" t="str"/>
      <x:c r="L554" s="29" t="str"/>
      <x:c r="M554" s="28" t="str">
        <x:f>IF(AND(C554="RESERVE",D554=""),"DORMANT",IF(L554="","OPEN",IF(AND(G554&lt;&gt;"",H554&lt;&gt;"",I554=H554,J554&lt;&gt;"",K554&lt;&gt;"",J554&lt;&gt;K554),"PASS","FAIL")))</x:f>
        <x:v>OPEN</x:v>
      </x:c>
    </x:row>
    <x:row r="555">
      <x:c r="B555" s="28" t="str">
        <x:v>AT-23</x:v>
      </x:c>
      <x:c r="C555" s="28" t="str">
        <x:v>PRIMARY</x:v>
      </x:c>
      <x:c r="D555" s="28" t="str">
        <x:f>INDEX('Attempt Tokens'!$E$7:$E$36,MATCH(B555,'Attempt Tokens'!$B$7:$B$36,0))</x:f>
      </x:c>
      <x:c r="E555" s="28" t="str">
        <x:v>RP-11</x:v>
      </x:c>
      <x:c r="F555" s="28" t="n">
        <x:v>1</x:v>
      </x:c>
      <x:c r="G555" s="28" t="str">
        <x:f>IF(D555="","",IF(LEFT(D555,5)="RFP-A",IF(F555=1,"PTC-B","PTC-C"),IF(LEFT(D555,5)="RFP-B",IF(F555=1,"PTC-A","PTC-C"),IF(F555=1,"PTC-A","PTC-B"))))</x:f>
      </x:c>
      <x:c r="H555" s="29" t="str"/>
      <x:c r="I555" s="29" t="str"/>
      <x:c r="J555" s="29" t="str"/>
      <x:c r="K555" s="29" t="str"/>
      <x:c r="L555" s="29" t="str"/>
      <x:c r="M555" s="28" t="str">
        <x:f>IF(AND(C555="RESERVE",D555=""),"DORMANT",IF(L555="","OPEN",IF(AND(G555&lt;&gt;"",H555&lt;&gt;"",I555=H555,J555&lt;&gt;"",K555&lt;&gt;"",J555&lt;&gt;K555),"PASS","FAIL")))</x:f>
        <x:v>OPEN</x:v>
      </x:c>
    </x:row>
    <x:row r="556">
      <x:c r="B556" s="28" t="str">
        <x:v>AT-23</x:v>
      </x:c>
      <x:c r="C556" s="28" t="str">
        <x:v>PRIMARY</x:v>
      </x:c>
      <x:c r="D556" s="28" t="str">
        <x:f>INDEX('Attempt Tokens'!$E$7:$E$36,MATCH(B556,'Attempt Tokens'!$B$7:$B$36,0))</x:f>
      </x:c>
      <x:c r="E556" s="28" t="str">
        <x:v>RP-11</x:v>
      </x:c>
      <x:c r="F556" s="28" t="n">
        <x:v>2</x:v>
      </x:c>
      <x:c r="G556" s="28" t="str">
        <x:f>IF(D556="","",IF(LEFT(D556,5)="RFP-A",IF(F556=1,"PTC-B","PTC-C"),IF(LEFT(D556,5)="RFP-B",IF(F556=1,"PTC-A","PTC-C"),IF(F556=1,"PTC-A","PTC-B"))))</x:f>
      </x:c>
      <x:c r="H556" s="29" t="str"/>
      <x:c r="I556" s="29" t="str"/>
      <x:c r="J556" s="29" t="str"/>
      <x:c r="K556" s="29" t="str"/>
      <x:c r="L556" s="29" t="str"/>
      <x:c r="M556" s="28" t="str">
        <x:f>IF(AND(C556="RESERVE",D556=""),"DORMANT",IF(L556="","OPEN",IF(AND(G556&lt;&gt;"",H556&lt;&gt;"",I556=H556,J556&lt;&gt;"",K556&lt;&gt;"",J556&lt;&gt;K556),"PASS","FAIL")))</x:f>
        <x:v>OPEN</x:v>
      </x:c>
    </x:row>
    <x:row r="557">
      <x:c r="B557" s="28" t="str">
        <x:v>AT-23</x:v>
      </x:c>
      <x:c r="C557" s="28" t="str">
        <x:v>PRIMARY</x:v>
      </x:c>
      <x:c r="D557" s="28" t="str">
        <x:f>INDEX('Attempt Tokens'!$E$7:$E$36,MATCH(B557,'Attempt Tokens'!$B$7:$B$36,0))</x:f>
      </x:c>
      <x:c r="E557" s="28" t="str">
        <x:v>RP-12</x:v>
      </x:c>
      <x:c r="F557" s="28" t="n">
        <x:v>1</x:v>
      </x:c>
      <x:c r="G557" s="28" t="str">
        <x:f>IF(D557="","",IF(LEFT(D557,5)="RFP-A",IF(F557=1,"PTC-B","PTC-C"),IF(LEFT(D557,5)="RFP-B",IF(F557=1,"PTC-A","PTC-C"),IF(F557=1,"PTC-A","PTC-B"))))</x:f>
      </x:c>
      <x:c r="H557" s="29" t="str"/>
      <x:c r="I557" s="29" t="str"/>
      <x:c r="J557" s="29" t="str"/>
      <x:c r="K557" s="29" t="str"/>
      <x:c r="L557" s="29" t="str"/>
      <x:c r="M557" s="28" t="str">
        <x:f>IF(AND(C557="RESERVE",D557=""),"DORMANT",IF(L557="","OPEN",IF(AND(G557&lt;&gt;"",H557&lt;&gt;"",I557=H557,J557&lt;&gt;"",K557&lt;&gt;"",J557&lt;&gt;K557),"PASS","FAIL")))</x:f>
        <x:v>OPEN</x:v>
      </x:c>
    </x:row>
    <x:row r="558">
      <x:c r="B558" s="28" t="str">
        <x:v>AT-23</x:v>
      </x:c>
      <x:c r="C558" s="28" t="str">
        <x:v>PRIMARY</x:v>
      </x:c>
      <x:c r="D558" s="28" t="str">
        <x:f>INDEX('Attempt Tokens'!$E$7:$E$36,MATCH(B558,'Attempt Tokens'!$B$7:$B$36,0))</x:f>
      </x:c>
      <x:c r="E558" s="28" t="str">
        <x:v>RP-12</x:v>
      </x:c>
      <x:c r="F558" s="28" t="n">
        <x:v>2</x:v>
      </x:c>
      <x:c r="G558" s="28" t="str">
        <x:f>IF(D558="","",IF(LEFT(D558,5)="RFP-A",IF(F558=1,"PTC-B","PTC-C"),IF(LEFT(D558,5)="RFP-B",IF(F558=1,"PTC-A","PTC-C"),IF(F558=1,"PTC-A","PTC-B"))))</x:f>
      </x:c>
      <x:c r="H558" s="29" t="str"/>
      <x:c r="I558" s="29" t="str"/>
      <x:c r="J558" s="29" t="str"/>
      <x:c r="K558" s="29" t="str"/>
      <x:c r="L558" s="29" t="str"/>
      <x:c r="M558" s="28" t="str">
        <x:f>IF(AND(C558="RESERVE",D558=""),"DORMANT",IF(L558="","OPEN",IF(AND(G558&lt;&gt;"",H558&lt;&gt;"",I558=H558,J558&lt;&gt;"",K558&lt;&gt;"",J558&lt;&gt;K558),"PASS","FAIL")))</x:f>
        <x:v>OPEN</x:v>
      </x:c>
    </x:row>
    <x:row r="559">
      <x:c r="B559" s="28" t="str">
        <x:v>AT-24</x:v>
      </x:c>
      <x:c r="C559" s="28" t="str">
        <x:v>PRIMARY</x:v>
      </x:c>
      <x:c r="D559" s="28" t="n">
        <x:f>INDEX('Attempt Tokens'!$E$7:$E$36,MATCH(B559,'Attempt Tokens'!$B$7:$B$36,0))</x:f>
        <x:v>0</x:v>
      </x:c>
      <x:c r="E559" s="28" t="str">
        <x:v>RP-01</x:v>
      </x:c>
      <x:c r="F559" s="28" t="n">
        <x:v>1</x:v>
      </x:c>
      <x:c r="G559" s="28" t="str">
        <x:f>IF(D559="","",IF(LEFT(D559,5)="RFP-A",IF(F559=1,"PTC-B","PTC-C"),IF(LEFT(D559,5)="RFP-B",IF(F559=1,"PTC-A","PTC-C"),IF(F559=1,"PTC-A","PTC-B"))))</x:f>
      </x:c>
      <x:c r="H559" s="29" t="str"/>
      <x:c r="I559" s="29" t="str"/>
      <x:c r="J559" s="29" t="str"/>
      <x:c r="K559" s="29" t="str"/>
      <x:c r="L559" s="29" t="str"/>
      <x:c r="M559" s="28" t="str">
        <x:f>IF(AND(C559="RESERVE",D559=""),"DORMANT",IF(L559="","OPEN",IF(AND(G559&lt;&gt;"",H559&lt;&gt;"",I559=H559,J559&lt;&gt;"",K559&lt;&gt;"",J559&lt;&gt;K559),"PASS","FAIL")))</x:f>
        <x:v>OPEN</x:v>
      </x:c>
    </x:row>
    <x:row r="560">
      <x:c r="B560" s="28" t="str">
        <x:v>AT-24</x:v>
      </x:c>
      <x:c r="C560" s="28" t="str">
        <x:v>PRIMARY</x:v>
      </x:c>
      <x:c r="D560" s="28" t="n">
        <x:f>INDEX('Attempt Tokens'!$E$7:$E$36,MATCH(B560,'Attempt Tokens'!$B$7:$B$36,0))</x:f>
        <x:v>0</x:v>
      </x:c>
      <x:c r="E560" s="28" t="str">
        <x:v>RP-01</x:v>
      </x:c>
      <x:c r="F560" s="28" t="n">
        <x:v>2</x:v>
      </x:c>
      <x:c r="G560" s="28" t="str">
        <x:f>IF(D560="","",IF(LEFT(D560,5)="RFP-A",IF(F560=1,"PTC-B","PTC-C"),IF(LEFT(D560,5)="RFP-B",IF(F560=1,"PTC-A","PTC-C"),IF(F560=1,"PTC-A","PTC-B"))))</x:f>
      </x:c>
      <x:c r="H560" s="29" t="str"/>
      <x:c r="I560" s="29" t="str"/>
      <x:c r="J560" s="29" t="str"/>
      <x:c r="K560" s="29" t="str"/>
      <x:c r="L560" s="29" t="str"/>
      <x:c r="M560" s="28" t="str">
        <x:f>IF(AND(C560="RESERVE",D560=""),"DORMANT",IF(L560="","OPEN",IF(AND(G560&lt;&gt;"",H560&lt;&gt;"",I560=H560,J560&lt;&gt;"",K560&lt;&gt;"",J560&lt;&gt;K560),"PASS","FAIL")))</x:f>
        <x:v>OPEN</x:v>
      </x:c>
    </x:row>
    <x:row r="561">
      <x:c r="B561" s="28" t="str">
        <x:v>AT-24</x:v>
      </x:c>
      <x:c r="C561" s="28" t="str">
        <x:v>PRIMARY</x:v>
      </x:c>
      <x:c r="D561" s="28" t="n">
        <x:f>INDEX('Attempt Tokens'!$E$7:$E$36,MATCH(B561,'Attempt Tokens'!$B$7:$B$36,0))</x:f>
        <x:v>0</x:v>
      </x:c>
      <x:c r="E561" s="28" t="str">
        <x:v>RP-02</x:v>
      </x:c>
      <x:c r="F561" s="28" t="n">
        <x:v>1</x:v>
      </x:c>
      <x:c r="G561" s="28" t="str">
        <x:f>IF(D561="","",IF(LEFT(D561,5)="RFP-A",IF(F561=1,"PTC-B","PTC-C"),IF(LEFT(D561,5)="RFP-B",IF(F561=1,"PTC-A","PTC-C"),IF(F561=1,"PTC-A","PTC-B"))))</x:f>
      </x:c>
      <x:c r="H561" s="29" t="str"/>
      <x:c r="I561" s="29" t="str"/>
      <x:c r="J561" s="29" t="str"/>
      <x:c r="K561" s="29" t="str"/>
      <x:c r="L561" s="29" t="str"/>
      <x:c r="M561" s="28" t="str">
        <x:f>IF(AND(C561="RESERVE",D561=""),"DORMANT",IF(L561="","OPEN",IF(AND(G561&lt;&gt;"",H561&lt;&gt;"",I561=H561,J561&lt;&gt;"",K561&lt;&gt;"",J561&lt;&gt;K561),"PASS","FAIL")))</x:f>
        <x:v>OPEN</x:v>
      </x:c>
    </x:row>
    <x:row r="562">
      <x:c r="B562" s="28" t="str">
        <x:v>AT-24</x:v>
      </x:c>
      <x:c r="C562" s="28" t="str">
        <x:v>PRIMARY</x:v>
      </x:c>
      <x:c r="D562" s="28" t="n">
        <x:f>INDEX('Attempt Tokens'!$E$7:$E$36,MATCH(B562,'Attempt Tokens'!$B$7:$B$36,0))</x:f>
        <x:v>0</x:v>
      </x:c>
      <x:c r="E562" s="28" t="str">
        <x:v>RP-02</x:v>
      </x:c>
      <x:c r="F562" s="28" t="n">
        <x:v>2</x:v>
      </x:c>
      <x:c r="G562" s="28" t="str">
        <x:f>IF(D562="","",IF(LEFT(D562,5)="RFP-A",IF(F562=1,"PTC-B","PTC-C"),IF(LEFT(D562,5)="RFP-B",IF(F562=1,"PTC-A","PTC-C"),IF(F562=1,"PTC-A","PTC-B"))))</x:f>
      </x:c>
      <x:c r="H562" s="29" t="str"/>
      <x:c r="I562" s="29" t="str"/>
      <x:c r="J562" s="29" t="str"/>
      <x:c r="K562" s="29" t="str"/>
      <x:c r="L562" s="29" t="str"/>
      <x:c r="M562" s="28" t="str">
        <x:f>IF(AND(C562="RESERVE",D562=""),"DORMANT",IF(L562="","OPEN",IF(AND(G562&lt;&gt;"",H562&lt;&gt;"",I562=H562,J562&lt;&gt;"",K562&lt;&gt;"",J562&lt;&gt;K562),"PASS","FAIL")))</x:f>
        <x:v>OPEN</x:v>
      </x:c>
    </x:row>
    <x:row r="563">
      <x:c r="B563" s="28" t="str">
        <x:v>AT-24</x:v>
      </x:c>
      <x:c r="C563" s="28" t="str">
        <x:v>PRIMARY</x:v>
      </x:c>
      <x:c r="D563" s="28" t="n">
        <x:f>INDEX('Attempt Tokens'!$E$7:$E$36,MATCH(B563,'Attempt Tokens'!$B$7:$B$36,0))</x:f>
        <x:v>0</x:v>
      </x:c>
      <x:c r="E563" s="28" t="str">
        <x:v>RP-03</x:v>
      </x:c>
      <x:c r="F563" s="28" t="n">
        <x:v>1</x:v>
      </x:c>
      <x:c r="G563" s="28" t="str">
        <x:f>IF(D563="","",IF(LEFT(D563,5)="RFP-A",IF(F563=1,"PTC-B","PTC-C"),IF(LEFT(D563,5)="RFP-B",IF(F563=1,"PTC-A","PTC-C"),IF(F563=1,"PTC-A","PTC-B"))))</x:f>
      </x:c>
      <x:c r="H563" s="29" t="str"/>
      <x:c r="I563" s="29" t="str"/>
      <x:c r="J563" s="29" t="str"/>
      <x:c r="K563" s="29" t="str"/>
      <x:c r="L563" s="29" t="str"/>
      <x:c r="M563" s="28" t="str">
        <x:f>IF(AND(C563="RESERVE",D563=""),"DORMANT",IF(L563="","OPEN",IF(AND(G563&lt;&gt;"",H563&lt;&gt;"",I563=H563,J563&lt;&gt;"",K563&lt;&gt;"",J563&lt;&gt;K563),"PASS","FAIL")))</x:f>
        <x:v>OPEN</x:v>
      </x:c>
    </x:row>
    <x:row r="564">
      <x:c r="B564" s="28" t="str">
        <x:v>AT-24</x:v>
      </x:c>
      <x:c r="C564" s="28" t="str">
        <x:v>PRIMARY</x:v>
      </x:c>
      <x:c r="D564" s="28" t="n">
        <x:f>INDEX('Attempt Tokens'!$E$7:$E$36,MATCH(B564,'Attempt Tokens'!$B$7:$B$36,0))</x:f>
        <x:v>0</x:v>
      </x:c>
      <x:c r="E564" s="28" t="str">
        <x:v>RP-03</x:v>
      </x:c>
      <x:c r="F564" s="28" t="n">
        <x:v>2</x:v>
      </x:c>
      <x:c r="G564" s="28" t="str">
        <x:f>IF(D564="","",IF(LEFT(D564,5)="RFP-A",IF(F564=1,"PTC-B","PTC-C"),IF(LEFT(D564,5)="RFP-B",IF(F564=1,"PTC-A","PTC-C"),IF(F564=1,"PTC-A","PTC-B"))))</x:f>
      </x:c>
      <x:c r="H564" s="29" t="str"/>
      <x:c r="I564" s="29" t="str"/>
      <x:c r="J564" s="29" t="str"/>
      <x:c r="K564" s="29" t="str"/>
      <x:c r="L564" s="29" t="str"/>
      <x:c r="M564" s="28" t="str">
        <x:f>IF(AND(C564="RESERVE",D564=""),"DORMANT",IF(L564="","OPEN",IF(AND(G564&lt;&gt;"",H564&lt;&gt;"",I564=H564,J564&lt;&gt;"",K564&lt;&gt;"",J564&lt;&gt;K564),"PASS","FAIL")))</x:f>
        <x:v>OPEN</x:v>
      </x:c>
    </x:row>
    <x:row r="565">
      <x:c r="B565" s="28" t="str">
        <x:v>AT-24</x:v>
      </x:c>
      <x:c r="C565" s="28" t="str">
        <x:v>PRIMARY</x:v>
      </x:c>
      <x:c r="D565" s="28" t="n">
        <x:f>INDEX('Attempt Tokens'!$E$7:$E$36,MATCH(B565,'Attempt Tokens'!$B$7:$B$36,0))</x:f>
        <x:v>0</x:v>
      </x:c>
      <x:c r="E565" s="28" t="str">
        <x:v>RP-04</x:v>
      </x:c>
      <x:c r="F565" s="28" t="n">
        <x:v>1</x:v>
      </x:c>
      <x:c r="G565" s="28" t="str">
        <x:f>IF(D565="","",IF(LEFT(D565,5)="RFP-A",IF(F565=1,"PTC-B","PTC-C"),IF(LEFT(D565,5)="RFP-B",IF(F565=1,"PTC-A","PTC-C"),IF(F565=1,"PTC-A","PTC-B"))))</x:f>
      </x:c>
      <x:c r="H565" s="29" t="str"/>
      <x:c r="I565" s="29" t="str"/>
      <x:c r="J565" s="29" t="str"/>
      <x:c r="K565" s="29" t="str"/>
      <x:c r="L565" s="29" t="str"/>
      <x:c r="M565" s="28" t="str">
        <x:f>IF(AND(C565="RESERVE",D565=""),"DORMANT",IF(L565="","OPEN",IF(AND(G565&lt;&gt;"",H565&lt;&gt;"",I565=H565,J565&lt;&gt;"",K565&lt;&gt;"",J565&lt;&gt;K565),"PASS","FAIL")))</x:f>
        <x:v>OPEN</x:v>
      </x:c>
    </x:row>
    <x:row r="566">
      <x:c r="B566" s="28" t="str">
        <x:v>AT-24</x:v>
      </x:c>
      <x:c r="C566" s="28" t="str">
        <x:v>PRIMARY</x:v>
      </x:c>
      <x:c r="D566" s="28" t="n">
        <x:f>INDEX('Attempt Tokens'!$E$7:$E$36,MATCH(B566,'Attempt Tokens'!$B$7:$B$36,0))</x:f>
        <x:v>0</x:v>
      </x:c>
      <x:c r="E566" s="28" t="str">
        <x:v>RP-04</x:v>
      </x:c>
      <x:c r="F566" s="28" t="n">
        <x:v>2</x:v>
      </x:c>
      <x:c r="G566" s="28" t="str">
        <x:f>IF(D566="","",IF(LEFT(D566,5)="RFP-A",IF(F566=1,"PTC-B","PTC-C"),IF(LEFT(D566,5)="RFP-B",IF(F566=1,"PTC-A","PTC-C"),IF(F566=1,"PTC-A","PTC-B"))))</x:f>
      </x:c>
      <x:c r="H566" s="29" t="str"/>
      <x:c r="I566" s="29" t="str"/>
      <x:c r="J566" s="29" t="str"/>
      <x:c r="K566" s="29" t="str"/>
      <x:c r="L566" s="29" t="str"/>
      <x:c r="M566" s="28" t="str">
        <x:f>IF(AND(C566="RESERVE",D566=""),"DORMANT",IF(L566="","OPEN",IF(AND(G566&lt;&gt;"",H566&lt;&gt;"",I566=H566,J566&lt;&gt;"",K566&lt;&gt;"",J566&lt;&gt;K566),"PASS","FAIL")))</x:f>
        <x:v>OPEN</x:v>
      </x:c>
    </x:row>
    <x:row r="567">
      <x:c r="B567" s="28" t="str">
        <x:v>AT-24</x:v>
      </x:c>
      <x:c r="C567" s="28" t="str">
        <x:v>PRIMARY</x:v>
      </x:c>
      <x:c r="D567" s="28" t="n">
        <x:f>INDEX('Attempt Tokens'!$E$7:$E$36,MATCH(B567,'Attempt Tokens'!$B$7:$B$36,0))</x:f>
        <x:v>0</x:v>
      </x:c>
      <x:c r="E567" s="28" t="str">
        <x:v>RP-05</x:v>
      </x:c>
      <x:c r="F567" s="28" t="n">
        <x:v>1</x:v>
      </x:c>
      <x:c r="G567" s="28" t="str">
        <x:f>IF(D567="","",IF(LEFT(D567,5)="RFP-A",IF(F567=1,"PTC-B","PTC-C"),IF(LEFT(D567,5)="RFP-B",IF(F567=1,"PTC-A","PTC-C"),IF(F567=1,"PTC-A","PTC-B"))))</x:f>
      </x:c>
      <x:c r="H567" s="29" t="str"/>
      <x:c r="I567" s="29" t="str"/>
      <x:c r="J567" s="29" t="str"/>
      <x:c r="K567" s="29" t="str"/>
      <x:c r="L567" s="29" t="str"/>
      <x:c r="M567" s="28" t="str">
        <x:f>IF(AND(C567="RESERVE",D567=""),"DORMANT",IF(L567="","OPEN",IF(AND(G567&lt;&gt;"",H567&lt;&gt;"",I567=H567,J567&lt;&gt;"",K567&lt;&gt;"",J567&lt;&gt;K567),"PASS","FAIL")))</x:f>
        <x:v>OPEN</x:v>
      </x:c>
    </x:row>
    <x:row r="568">
      <x:c r="B568" s="28" t="str">
        <x:v>AT-24</x:v>
      </x:c>
      <x:c r="C568" s="28" t="str">
        <x:v>PRIMARY</x:v>
      </x:c>
      <x:c r="D568" s="28" t="n">
        <x:f>INDEX('Attempt Tokens'!$E$7:$E$36,MATCH(B568,'Attempt Tokens'!$B$7:$B$36,0))</x:f>
        <x:v>0</x:v>
      </x:c>
      <x:c r="E568" s="28" t="str">
        <x:v>RP-05</x:v>
      </x:c>
      <x:c r="F568" s="28" t="n">
        <x:v>2</x:v>
      </x:c>
      <x:c r="G568" s="28" t="str">
        <x:f>IF(D568="","",IF(LEFT(D568,5)="RFP-A",IF(F568=1,"PTC-B","PTC-C"),IF(LEFT(D568,5)="RFP-B",IF(F568=1,"PTC-A","PTC-C"),IF(F568=1,"PTC-A","PTC-B"))))</x:f>
      </x:c>
      <x:c r="H568" s="29" t="str"/>
      <x:c r="I568" s="29" t="str"/>
      <x:c r="J568" s="29" t="str"/>
      <x:c r="K568" s="29" t="str"/>
      <x:c r="L568" s="29" t="str"/>
      <x:c r="M568" s="28" t="str">
        <x:f>IF(AND(C568="RESERVE",D568=""),"DORMANT",IF(L568="","OPEN",IF(AND(G568&lt;&gt;"",H568&lt;&gt;"",I568=H568,J568&lt;&gt;"",K568&lt;&gt;"",J568&lt;&gt;K568),"PASS","FAIL")))</x:f>
        <x:v>OPEN</x:v>
      </x:c>
    </x:row>
    <x:row r="569">
      <x:c r="B569" s="28" t="str">
        <x:v>AT-24</x:v>
      </x:c>
      <x:c r="C569" s="28" t="str">
        <x:v>PRIMARY</x:v>
      </x:c>
      <x:c r="D569" s="28" t="n">
        <x:f>INDEX('Attempt Tokens'!$E$7:$E$36,MATCH(B569,'Attempt Tokens'!$B$7:$B$36,0))</x:f>
        <x:v>0</x:v>
      </x:c>
      <x:c r="E569" s="28" t="str">
        <x:v>RP-06</x:v>
      </x:c>
      <x:c r="F569" s="28" t="n">
        <x:v>1</x:v>
      </x:c>
      <x:c r="G569" s="28" t="str">
        <x:f>IF(D569="","",IF(LEFT(D569,5)="RFP-A",IF(F569=1,"PTC-B","PTC-C"),IF(LEFT(D569,5)="RFP-B",IF(F569=1,"PTC-A","PTC-C"),IF(F569=1,"PTC-A","PTC-B"))))</x:f>
      </x:c>
      <x:c r="H569" s="29" t="str"/>
      <x:c r="I569" s="29" t="str"/>
      <x:c r="J569" s="29" t="str"/>
      <x:c r="K569" s="29" t="str"/>
      <x:c r="L569" s="29" t="str"/>
      <x:c r="M569" s="28" t="str">
        <x:f>IF(AND(C569="RESERVE",D569=""),"DORMANT",IF(L569="","OPEN",IF(AND(G569&lt;&gt;"",H569&lt;&gt;"",I569=H569,J569&lt;&gt;"",K569&lt;&gt;"",J569&lt;&gt;K569),"PASS","FAIL")))</x:f>
        <x:v>OPEN</x:v>
      </x:c>
    </x:row>
    <x:row r="570">
      <x:c r="B570" s="28" t="str">
        <x:v>AT-24</x:v>
      </x:c>
      <x:c r="C570" s="28" t="str">
        <x:v>PRIMARY</x:v>
      </x:c>
      <x:c r="D570" s="28" t="n">
        <x:f>INDEX('Attempt Tokens'!$E$7:$E$36,MATCH(B570,'Attempt Tokens'!$B$7:$B$36,0))</x:f>
        <x:v>0</x:v>
      </x:c>
      <x:c r="E570" s="28" t="str">
        <x:v>RP-06</x:v>
      </x:c>
      <x:c r="F570" s="28" t="n">
        <x:v>2</x:v>
      </x:c>
      <x:c r="G570" s="28" t="str">
        <x:f>IF(D570="","",IF(LEFT(D570,5)="RFP-A",IF(F570=1,"PTC-B","PTC-C"),IF(LEFT(D570,5)="RFP-B",IF(F570=1,"PTC-A","PTC-C"),IF(F570=1,"PTC-A","PTC-B"))))</x:f>
      </x:c>
      <x:c r="H570" s="29" t="str"/>
      <x:c r="I570" s="29" t="str"/>
      <x:c r="J570" s="29" t="str"/>
      <x:c r="K570" s="29" t="str"/>
      <x:c r="L570" s="29" t="str"/>
      <x:c r="M570" s="28" t="str">
        <x:f>IF(AND(C570="RESERVE",D570=""),"DORMANT",IF(L570="","OPEN",IF(AND(G570&lt;&gt;"",H570&lt;&gt;"",I570=H570,J570&lt;&gt;"",K570&lt;&gt;"",J570&lt;&gt;K570),"PASS","FAIL")))</x:f>
        <x:v>OPEN</x:v>
      </x:c>
    </x:row>
    <x:row r="571">
      <x:c r="B571" s="28" t="str">
        <x:v>AT-24</x:v>
      </x:c>
      <x:c r="C571" s="28" t="str">
        <x:v>PRIMARY</x:v>
      </x:c>
      <x:c r="D571" s="28" t="n">
        <x:f>INDEX('Attempt Tokens'!$E$7:$E$36,MATCH(B571,'Attempt Tokens'!$B$7:$B$36,0))</x:f>
        <x:v>0</x:v>
      </x:c>
      <x:c r="E571" s="28" t="str">
        <x:v>RP-07</x:v>
      </x:c>
      <x:c r="F571" s="28" t="n">
        <x:v>1</x:v>
      </x:c>
      <x:c r="G571" s="28" t="str">
        <x:f>IF(D571="","",IF(LEFT(D571,5)="RFP-A",IF(F571=1,"PTC-B","PTC-C"),IF(LEFT(D571,5)="RFP-B",IF(F571=1,"PTC-A","PTC-C"),IF(F571=1,"PTC-A","PTC-B"))))</x:f>
      </x:c>
      <x:c r="H571" s="29" t="str"/>
      <x:c r="I571" s="29" t="str"/>
      <x:c r="J571" s="29" t="str"/>
      <x:c r="K571" s="29" t="str"/>
      <x:c r="L571" s="29" t="str"/>
      <x:c r="M571" s="28" t="str">
        <x:f>IF(AND(C571="RESERVE",D571=""),"DORMANT",IF(L571="","OPEN",IF(AND(G571&lt;&gt;"",H571&lt;&gt;"",I571=H571,J571&lt;&gt;"",K571&lt;&gt;"",J571&lt;&gt;K571),"PASS","FAIL")))</x:f>
        <x:v>OPEN</x:v>
      </x:c>
    </x:row>
    <x:row r="572">
      <x:c r="B572" s="28" t="str">
        <x:v>AT-24</x:v>
      </x:c>
      <x:c r="C572" s="28" t="str">
        <x:v>PRIMARY</x:v>
      </x:c>
      <x:c r="D572" s="28" t="n">
        <x:f>INDEX('Attempt Tokens'!$E$7:$E$36,MATCH(B572,'Attempt Tokens'!$B$7:$B$36,0))</x:f>
        <x:v>0</x:v>
      </x:c>
      <x:c r="E572" s="28" t="str">
        <x:v>RP-07</x:v>
      </x:c>
      <x:c r="F572" s="28" t="n">
        <x:v>2</x:v>
      </x:c>
      <x:c r="G572" s="28" t="str">
        <x:f>IF(D572="","",IF(LEFT(D572,5)="RFP-A",IF(F572=1,"PTC-B","PTC-C"),IF(LEFT(D572,5)="RFP-B",IF(F572=1,"PTC-A","PTC-C"),IF(F572=1,"PTC-A","PTC-B"))))</x:f>
      </x:c>
      <x:c r="H572" s="29" t="str"/>
      <x:c r="I572" s="29" t="str"/>
      <x:c r="J572" s="29" t="str"/>
      <x:c r="K572" s="29" t="str"/>
      <x:c r="L572" s="29" t="str"/>
      <x:c r="M572" s="28" t="str">
        <x:f>IF(AND(C572="RESERVE",D572=""),"DORMANT",IF(L572="","OPEN",IF(AND(G572&lt;&gt;"",H572&lt;&gt;"",I572=H572,J572&lt;&gt;"",K572&lt;&gt;"",J572&lt;&gt;K572),"PASS","FAIL")))</x:f>
        <x:v>OPEN</x:v>
      </x:c>
    </x:row>
    <x:row r="573">
      <x:c r="B573" s="28" t="str">
        <x:v>AT-24</x:v>
      </x:c>
      <x:c r="C573" s="28" t="str">
        <x:v>PRIMARY</x:v>
      </x:c>
      <x:c r="D573" s="28" t="n">
        <x:f>INDEX('Attempt Tokens'!$E$7:$E$36,MATCH(B573,'Attempt Tokens'!$B$7:$B$36,0))</x:f>
        <x:v>0</x:v>
      </x:c>
      <x:c r="E573" s="28" t="str">
        <x:v>RP-08</x:v>
      </x:c>
      <x:c r="F573" s="28" t="n">
        <x:v>1</x:v>
      </x:c>
      <x:c r="G573" s="28" t="str">
        <x:f>IF(D573="","",IF(LEFT(D573,5)="RFP-A",IF(F573=1,"PTC-B","PTC-C"),IF(LEFT(D573,5)="RFP-B",IF(F573=1,"PTC-A","PTC-C"),IF(F573=1,"PTC-A","PTC-B"))))</x:f>
      </x:c>
      <x:c r="H573" s="29" t="str"/>
      <x:c r="I573" s="29" t="str"/>
      <x:c r="J573" s="29" t="str"/>
      <x:c r="K573" s="29" t="str"/>
      <x:c r="L573" s="29" t="str"/>
      <x:c r="M573" s="28" t="str">
        <x:f>IF(AND(C573="RESERVE",D573=""),"DORMANT",IF(L573="","OPEN",IF(AND(G573&lt;&gt;"",H573&lt;&gt;"",I573=H573,J573&lt;&gt;"",K573&lt;&gt;"",J573&lt;&gt;K573),"PASS","FAIL")))</x:f>
        <x:v>OPEN</x:v>
      </x:c>
    </x:row>
    <x:row r="574">
      <x:c r="B574" s="28" t="str">
        <x:v>AT-24</x:v>
      </x:c>
      <x:c r="C574" s="28" t="str">
        <x:v>PRIMARY</x:v>
      </x:c>
      <x:c r="D574" s="28" t="n">
        <x:f>INDEX('Attempt Tokens'!$E$7:$E$36,MATCH(B574,'Attempt Tokens'!$B$7:$B$36,0))</x:f>
        <x:v>0</x:v>
      </x:c>
      <x:c r="E574" s="28" t="str">
        <x:v>RP-08</x:v>
      </x:c>
      <x:c r="F574" s="28" t="n">
        <x:v>2</x:v>
      </x:c>
      <x:c r="G574" s="28" t="str">
        <x:f>IF(D574="","",IF(LEFT(D574,5)="RFP-A",IF(F574=1,"PTC-B","PTC-C"),IF(LEFT(D574,5)="RFP-B",IF(F574=1,"PTC-A","PTC-C"),IF(F574=1,"PTC-A","PTC-B"))))</x:f>
      </x:c>
      <x:c r="H574" s="29" t="str"/>
      <x:c r="I574" s="29" t="str"/>
      <x:c r="J574" s="29" t="str"/>
      <x:c r="K574" s="29" t="str"/>
      <x:c r="L574" s="29" t="str"/>
      <x:c r="M574" s="28" t="str">
        <x:f>IF(AND(C574="RESERVE",D574=""),"DORMANT",IF(L574="","OPEN",IF(AND(G574&lt;&gt;"",H574&lt;&gt;"",I574=H574,J574&lt;&gt;"",K574&lt;&gt;"",J574&lt;&gt;K574),"PASS","FAIL")))</x:f>
        <x:v>OPEN</x:v>
      </x:c>
    </x:row>
    <x:row r="575">
      <x:c r="B575" s="28" t="str">
        <x:v>AT-24</x:v>
      </x:c>
      <x:c r="C575" s="28" t="str">
        <x:v>PRIMARY</x:v>
      </x:c>
      <x:c r="D575" s="28" t="n">
        <x:f>INDEX('Attempt Tokens'!$E$7:$E$36,MATCH(B575,'Attempt Tokens'!$B$7:$B$36,0))</x:f>
        <x:v>0</x:v>
      </x:c>
      <x:c r="E575" s="28" t="str">
        <x:v>RP-09</x:v>
      </x:c>
      <x:c r="F575" s="28" t="n">
        <x:v>1</x:v>
      </x:c>
      <x:c r="G575" s="28" t="str">
        <x:f>IF(D575="","",IF(LEFT(D575,5)="RFP-A",IF(F575=1,"PTC-B","PTC-C"),IF(LEFT(D575,5)="RFP-B",IF(F575=1,"PTC-A","PTC-C"),IF(F575=1,"PTC-A","PTC-B"))))</x:f>
      </x:c>
      <x:c r="H575" s="29" t="str"/>
      <x:c r="I575" s="29" t="str"/>
      <x:c r="J575" s="29" t="str"/>
      <x:c r="K575" s="29" t="str"/>
      <x:c r="L575" s="29" t="str"/>
      <x:c r="M575" s="28" t="str">
        <x:f>IF(AND(C575="RESERVE",D575=""),"DORMANT",IF(L575="","OPEN",IF(AND(G575&lt;&gt;"",H575&lt;&gt;"",I575=H575,J575&lt;&gt;"",K575&lt;&gt;"",J575&lt;&gt;K575),"PASS","FAIL")))</x:f>
        <x:v>OPEN</x:v>
      </x:c>
    </x:row>
    <x:row r="576">
      <x:c r="B576" s="28" t="str">
        <x:v>AT-24</x:v>
      </x:c>
      <x:c r="C576" s="28" t="str">
        <x:v>PRIMARY</x:v>
      </x:c>
      <x:c r="D576" s="28" t="n">
        <x:f>INDEX('Attempt Tokens'!$E$7:$E$36,MATCH(B576,'Attempt Tokens'!$B$7:$B$36,0))</x:f>
        <x:v>0</x:v>
      </x:c>
      <x:c r="E576" s="28" t="str">
        <x:v>RP-09</x:v>
      </x:c>
      <x:c r="F576" s="28" t="n">
        <x:v>2</x:v>
      </x:c>
      <x:c r="G576" s="28" t="str">
        <x:f>IF(D576="","",IF(LEFT(D576,5)="RFP-A",IF(F576=1,"PTC-B","PTC-C"),IF(LEFT(D576,5)="RFP-B",IF(F576=1,"PTC-A","PTC-C"),IF(F576=1,"PTC-A","PTC-B"))))</x:f>
      </x:c>
      <x:c r="H576" s="29" t="str"/>
      <x:c r="I576" s="29" t="str"/>
      <x:c r="J576" s="29" t="str"/>
      <x:c r="K576" s="29" t="str"/>
      <x:c r="L576" s="29" t="str"/>
      <x:c r="M576" s="28" t="str">
        <x:f>IF(AND(C576="RESERVE",D576=""),"DORMANT",IF(L576="","OPEN",IF(AND(G576&lt;&gt;"",H576&lt;&gt;"",I576=H576,J576&lt;&gt;"",K576&lt;&gt;"",J576&lt;&gt;K576),"PASS","FAIL")))</x:f>
        <x:v>OPEN</x:v>
      </x:c>
    </x:row>
    <x:row r="577">
      <x:c r="B577" s="28" t="str">
        <x:v>AT-24</x:v>
      </x:c>
      <x:c r="C577" s="28" t="str">
        <x:v>PRIMARY</x:v>
      </x:c>
      <x:c r="D577" s="28" t="n">
        <x:f>INDEX('Attempt Tokens'!$E$7:$E$36,MATCH(B577,'Attempt Tokens'!$B$7:$B$36,0))</x:f>
        <x:v>0</x:v>
      </x:c>
      <x:c r="E577" s="28" t="str">
        <x:v>RP-10</x:v>
      </x:c>
      <x:c r="F577" s="28" t="n">
        <x:v>1</x:v>
      </x:c>
      <x:c r="G577" s="28" t="str">
        <x:f>IF(D577="","",IF(LEFT(D577,5)="RFP-A",IF(F577=1,"PTC-B","PTC-C"),IF(LEFT(D577,5)="RFP-B",IF(F577=1,"PTC-A","PTC-C"),IF(F577=1,"PTC-A","PTC-B"))))</x:f>
      </x:c>
      <x:c r="H577" s="29" t="str"/>
      <x:c r="I577" s="29" t="str"/>
      <x:c r="J577" s="29" t="str"/>
      <x:c r="K577" s="29" t="str"/>
      <x:c r="L577" s="29" t="str"/>
      <x:c r="M577" s="28" t="str">
        <x:f>IF(AND(C577="RESERVE",D577=""),"DORMANT",IF(L577="","OPEN",IF(AND(G577&lt;&gt;"",H577&lt;&gt;"",I577=H577,J577&lt;&gt;"",K577&lt;&gt;"",J577&lt;&gt;K577),"PASS","FAIL")))</x:f>
        <x:v>OPEN</x:v>
      </x:c>
    </x:row>
    <x:row r="578">
      <x:c r="B578" s="28" t="str">
        <x:v>AT-24</x:v>
      </x:c>
      <x:c r="C578" s="28" t="str">
        <x:v>PRIMARY</x:v>
      </x:c>
      <x:c r="D578" s="28" t="n">
        <x:f>INDEX('Attempt Tokens'!$E$7:$E$36,MATCH(B578,'Attempt Tokens'!$B$7:$B$36,0))</x:f>
        <x:v>0</x:v>
      </x:c>
      <x:c r="E578" s="28" t="str">
        <x:v>RP-10</x:v>
      </x:c>
      <x:c r="F578" s="28" t="n">
        <x:v>2</x:v>
      </x:c>
      <x:c r="G578" s="28" t="str">
        <x:f>IF(D578="","",IF(LEFT(D578,5)="RFP-A",IF(F578=1,"PTC-B","PTC-C"),IF(LEFT(D578,5)="RFP-B",IF(F578=1,"PTC-A","PTC-C"),IF(F578=1,"PTC-A","PTC-B"))))</x:f>
      </x:c>
      <x:c r="H578" s="29" t="str"/>
      <x:c r="I578" s="29" t="str"/>
      <x:c r="J578" s="29" t="str"/>
      <x:c r="K578" s="29" t="str"/>
      <x:c r="L578" s="29" t="str"/>
      <x:c r="M578" s="28" t="str">
        <x:f>IF(AND(C578="RESERVE",D578=""),"DORMANT",IF(L578="","OPEN",IF(AND(G578&lt;&gt;"",H578&lt;&gt;"",I578=H578,J578&lt;&gt;"",K578&lt;&gt;"",J578&lt;&gt;K578),"PASS","FAIL")))</x:f>
        <x:v>OPEN</x:v>
      </x:c>
    </x:row>
    <x:row r="579">
      <x:c r="B579" s="28" t="str">
        <x:v>AT-24</x:v>
      </x:c>
      <x:c r="C579" s="28" t="str">
        <x:v>PRIMARY</x:v>
      </x:c>
      <x:c r="D579" s="28" t="n">
        <x:f>INDEX('Attempt Tokens'!$E$7:$E$36,MATCH(B579,'Attempt Tokens'!$B$7:$B$36,0))</x:f>
        <x:v>0</x:v>
      </x:c>
      <x:c r="E579" s="28" t="str">
        <x:v>RP-11</x:v>
      </x:c>
      <x:c r="F579" s="28" t="n">
        <x:v>1</x:v>
      </x:c>
      <x:c r="G579" s="28" t="str">
        <x:f>IF(D579="","",IF(LEFT(D579,5)="RFP-A",IF(F579=1,"PTC-B","PTC-C"),IF(LEFT(D579,5)="RFP-B",IF(F579=1,"PTC-A","PTC-C"),IF(F579=1,"PTC-A","PTC-B"))))</x:f>
      </x:c>
      <x:c r="H579" s="29" t="str"/>
      <x:c r="I579" s="29" t="str"/>
      <x:c r="J579" s="29" t="str"/>
      <x:c r="K579" s="29" t="str"/>
      <x:c r="L579" s="29" t="str"/>
      <x:c r="M579" s="28" t="str">
        <x:f>IF(AND(C579="RESERVE",D579=""),"DORMANT",IF(L579="","OPEN",IF(AND(G579&lt;&gt;"",H579&lt;&gt;"",I579=H579,J579&lt;&gt;"",K579&lt;&gt;"",J579&lt;&gt;K579),"PASS","FAIL")))</x:f>
        <x:v>OPEN</x:v>
      </x:c>
    </x:row>
    <x:row r="580">
      <x:c r="B580" s="28" t="str">
        <x:v>AT-24</x:v>
      </x:c>
      <x:c r="C580" s="28" t="str">
        <x:v>PRIMARY</x:v>
      </x:c>
      <x:c r="D580" s="28" t="n">
        <x:f>INDEX('Attempt Tokens'!$E$7:$E$36,MATCH(B580,'Attempt Tokens'!$B$7:$B$36,0))</x:f>
        <x:v>0</x:v>
      </x:c>
      <x:c r="E580" s="28" t="str">
        <x:v>RP-11</x:v>
      </x:c>
      <x:c r="F580" s="28" t="n">
        <x:v>2</x:v>
      </x:c>
      <x:c r="G580" s="28" t="str">
        <x:f>IF(D580="","",IF(LEFT(D580,5)="RFP-A",IF(F580=1,"PTC-B","PTC-C"),IF(LEFT(D580,5)="RFP-B",IF(F580=1,"PTC-A","PTC-C"),IF(F580=1,"PTC-A","PTC-B"))))</x:f>
      </x:c>
      <x:c r="H580" s="29" t="str"/>
      <x:c r="I580" s="29" t="str"/>
      <x:c r="J580" s="29" t="str"/>
      <x:c r="K580" s="29" t="str"/>
      <x:c r="L580" s="29" t="str"/>
      <x:c r="M580" s="28" t="str">
        <x:f>IF(AND(C580="RESERVE",D580=""),"DORMANT",IF(L580="","OPEN",IF(AND(G580&lt;&gt;"",H580&lt;&gt;"",I580=H580,J580&lt;&gt;"",K580&lt;&gt;"",J580&lt;&gt;K580),"PASS","FAIL")))</x:f>
        <x:v>OPEN</x:v>
      </x:c>
    </x:row>
    <x:row r="581">
      <x:c r="B581" s="28" t="str">
        <x:v>AT-24</x:v>
      </x:c>
      <x:c r="C581" s="28" t="str">
        <x:v>PRIMARY</x:v>
      </x:c>
      <x:c r="D581" s="28" t="n">
        <x:f>INDEX('Attempt Tokens'!$E$7:$E$36,MATCH(B581,'Attempt Tokens'!$B$7:$B$36,0))</x:f>
        <x:v>0</x:v>
      </x:c>
      <x:c r="E581" s="28" t="str">
        <x:v>RP-12</x:v>
      </x:c>
      <x:c r="F581" s="28" t="n">
        <x:v>1</x:v>
      </x:c>
      <x:c r="G581" s="28" t="str">
        <x:f>IF(D581="","",IF(LEFT(D581,5)="RFP-A",IF(F581=1,"PTC-B","PTC-C"),IF(LEFT(D581,5)="RFP-B",IF(F581=1,"PTC-A","PTC-C"),IF(F581=1,"PTC-A","PTC-B"))))</x:f>
      </x:c>
      <x:c r="H581" s="29" t="str"/>
      <x:c r="I581" s="29" t="str"/>
      <x:c r="J581" s="29" t="str"/>
      <x:c r="K581" s="29" t="str"/>
      <x:c r="L581" s="29" t="str"/>
      <x:c r="M581" s="28" t="str">
        <x:f>IF(AND(C581="RESERVE",D581=""),"DORMANT",IF(L581="","OPEN",IF(AND(G581&lt;&gt;"",H581&lt;&gt;"",I581=H581,J581&lt;&gt;"",K581&lt;&gt;"",J581&lt;&gt;K581),"PASS","FAIL")))</x:f>
        <x:v>OPEN</x:v>
      </x:c>
    </x:row>
    <x:row r="582">
      <x:c r="B582" s="28" t="str">
        <x:v>AT-24</x:v>
      </x:c>
      <x:c r="C582" s="28" t="str">
        <x:v>PRIMARY</x:v>
      </x:c>
      <x:c r="D582" s="28" t="n">
        <x:f>INDEX('Attempt Tokens'!$E$7:$E$36,MATCH(B582,'Attempt Tokens'!$B$7:$B$36,0))</x:f>
        <x:v>0</x:v>
      </x:c>
      <x:c r="E582" s="28" t="str">
        <x:v>RP-12</x:v>
      </x:c>
      <x:c r="F582" s="28" t="n">
        <x:v>2</x:v>
      </x:c>
      <x:c r="G582" s="28" t="str">
        <x:f>IF(D582="","",IF(LEFT(D582,5)="RFP-A",IF(F582=1,"PTC-B","PTC-C"),IF(LEFT(D582,5)="RFP-B",IF(F582=1,"PTC-A","PTC-C"),IF(F582=1,"PTC-A","PTC-B"))))</x:f>
      </x:c>
      <x:c r="H582" s="29" t="str"/>
      <x:c r="I582" s="29" t="str"/>
      <x:c r="J582" s="29" t="str"/>
      <x:c r="K582" s="29" t="str"/>
      <x:c r="L582" s="29" t="str"/>
      <x:c r="M582" s="28" t="str">
        <x:f>IF(AND(C582="RESERVE",D582=""),"DORMANT",IF(L582="","OPEN",IF(AND(G582&lt;&gt;"",H582&lt;&gt;"",I582=H582,J582&lt;&gt;"",K582&lt;&gt;"",J582&lt;&gt;K582),"PASS","FAIL")))</x:f>
        <x:v>OPEN</x:v>
      </x:c>
    </x:row>
    <x:row r="583">
      <x:c r="B583" s="28" t="str">
        <x:v>AT-25</x:v>
      </x:c>
      <x:c r="C583" s="28" t="str">
        <x:v>RESERVE</x:v>
      </x:c>
      <x:c r="D583" s="28" t="str">
        <x:f>INDEX('Attempt Tokens'!$E$7:$E$36,MATCH(B583,'Attempt Tokens'!$B$7:$B$36,0))</x:f>
      </x:c>
      <x:c r="E583" s="28" t="str">
        <x:v>RP-01</x:v>
      </x:c>
      <x:c r="F583" s="28" t="n">
        <x:v>1</x:v>
      </x:c>
      <x:c r="G583" s="28" t="str">
        <x:f>IF(D583="","",IF(LEFT(D583,5)="RFP-A",IF(F583=1,"PTC-B","PTC-C"),IF(LEFT(D583,5)="RFP-B",IF(F583=1,"PTC-A","PTC-C"),IF(F583=1,"PTC-A","PTC-B"))))</x:f>
      </x:c>
      <x:c r="H583" s="29" t="str"/>
      <x:c r="I583" s="29" t="str"/>
      <x:c r="J583" s="29" t="str"/>
      <x:c r="K583" s="29" t="str"/>
      <x:c r="L583" s="29" t="str"/>
      <x:c r="M583" s="28" t="str">
        <x:f>IF(AND(C583="RESERVE",D583=""),"DORMANT",IF(L583="","OPEN",IF(AND(G583&lt;&gt;"",H583&lt;&gt;"",I583=H583,J583&lt;&gt;"",K583&lt;&gt;"",J583&lt;&gt;K583),"PASS","FAIL")))</x:f>
        <x:v>DORMANT</x:v>
      </x:c>
    </x:row>
    <x:row r="584">
      <x:c r="B584" s="28" t="str">
        <x:v>AT-25</x:v>
      </x:c>
      <x:c r="C584" s="28" t="str">
        <x:v>RESERVE</x:v>
      </x:c>
      <x:c r="D584" s="28" t="str">
        <x:f>INDEX('Attempt Tokens'!$E$7:$E$36,MATCH(B584,'Attempt Tokens'!$B$7:$B$36,0))</x:f>
      </x:c>
      <x:c r="E584" s="28" t="str">
        <x:v>RP-01</x:v>
      </x:c>
      <x:c r="F584" s="28" t="n">
        <x:v>2</x:v>
      </x:c>
      <x:c r="G584" s="28" t="str">
        <x:f>IF(D584="","",IF(LEFT(D584,5)="RFP-A",IF(F584=1,"PTC-B","PTC-C"),IF(LEFT(D584,5)="RFP-B",IF(F584=1,"PTC-A","PTC-C"),IF(F584=1,"PTC-A","PTC-B"))))</x:f>
      </x:c>
      <x:c r="H584" s="29" t="str"/>
      <x:c r="I584" s="29" t="str"/>
      <x:c r="J584" s="29" t="str"/>
      <x:c r="K584" s="29" t="str"/>
      <x:c r="L584" s="29" t="str"/>
      <x:c r="M584" s="28" t="str">
        <x:f>IF(AND(C584="RESERVE",D584=""),"DORMANT",IF(L584="","OPEN",IF(AND(G584&lt;&gt;"",H584&lt;&gt;"",I584=H584,J584&lt;&gt;"",K584&lt;&gt;"",J584&lt;&gt;K584),"PASS","FAIL")))</x:f>
        <x:v>DORMANT</x:v>
      </x:c>
    </x:row>
    <x:row r="585">
      <x:c r="B585" s="28" t="str">
        <x:v>AT-25</x:v>
      </x:c>
      <x:c r="C585" s="28" t="str">
        <x:v>RESERVE</x:v>
      </x:c>
      <x:c r="D585" s="28" t="str">
        <x:f>INDEX('Attempt Tokens'!$E$7:$E$36,MATCH(B585,'Attempt Tokens'!$B$7:$B$36,0))</x:f>
      </x:c>
      <x:c r="E585" s="28" t="str">
        <x:v>RP-02</x:v>
      </x:c>
      <x:c r="F585" s="28" t="n">
        <x:v>1</x:v>
      </x:c>
      <x:c r="G585" s="28" t="str">
        <x:f>IF(D585="","",IF(LEFT(D585,5)="RFP-A",IF(F585=1,"PTC-B","PTC-C"),IF(LEFT(D585,5)="RFP-B",IF(F585=1,"PTC-A","PTC-C"),IF(F585=1,"PTC-A","PTC-B"))))</x:f>
      </x:c>
      <x:c r="H585" s="29" t="str"/>
      <x:c r="I585" s="29" t="str"/>
      <x:c r="J585" s="29" t="str"/>
      <x:c r="K585" s="29" t="str"/>
      <x:c r="L585" s="29" t="str"/>
      <x:c r="M585" s="28" t="str">
        <x:f>IF(AND(C585="RESERVE",D585=""),"DORMANT",IF(L585="","OPEN",IF(AND(G585&lt;&gt;"",H585&lt;&gt;"",I585=H585,J585&lt;&gt;"",K585&lt;&gt;"",J585&lt;&gt;K585),"PASS","FAIL")))</x:f>
        <x:v>DORMANT</x:v>
      </x:c>
    </x:row>
    <x:row r="586">
      <x:c r="B586" s="28" t="str">
        <x:v>AT-25</x:v>
      </x:c>
      <x:c r="C586" s="28" t="str">
        <x:v>RESERVE</x:v>
      </x:c>
      <x:c r="D586" s="28" t="str">
        <x:f>INDEX('Attempt Tokens'!$E$7:$E$36,MATCH(B586,'Attempt Tokens'!$B$7:$B$36,0))</x:f>
      </x:c>
      <x:c r="E586" s="28" t="str">
        <x:v>RP-02</x:v>
      </x:c>
      <x:c r="F586" s="28" t="n">
        <x:v>2</x:v>
      </x:c>
      <x:c r="G586" s="28" t="str">
        <x:f>IF(D586="","",IF(LEFT(D586,5)="RFP-A",IF(F586=1,"PTC-B","PTC-C"),IF(LEFT(D586,5)="RFP-B",IF(F586=1,"PTC-A","PTC-C"),IF(F586=1,"PTC-A","PTC-B"))))</x:f>
      </x:c>
      <x:c r="H586" s="29" t="str"/>
      <x:c r="I586" s="29" t="str"/>
      <x:c r="J586" s="29" t="str"/>
      <x:c r="K586" s="29" t="str"/>
      <x:c r="L586" s="29" t="str"/>
      <x:c r="M586" s="28" t="str">
        <x:f>IF(AND(C586="RESERVE",D586=""),"DORMANT",IF(L586="","OPEN",IF(AND(G586&lt;&gt;"",H586&lt;&gt;"",I586=H586,J586&lt;&gt;"",K586&lt;&gt;"",J586&lt;&gt;K586),"PASS","FAIL")))</x:f>
        <x:v>DORMANT</x:v>
      </x:c>
    </x:row>
    <x:row r="587">
      <x:c r="B587" s="28" t="str">
        <x:v>AT-25</x:v>
      </x:c>
      <x:c r="C587" s="28" t="str">
        <x:v>RESERVE</x:v>
      </x:c>
      <x:c r="D587" s="28" t="str">
        <x:f>INDEX('Attempt Tokens'!$E$7:$E$36,MATCH(B587,'Attempt Tokens'!$B$7:$B$36,0))</x:f>
      </x:c>
      <x:c r="E587" s="28" t="str">
        <x:v>RP-03</x:v>
      </x:c>
      <x:c r="F587" s="28" t="n">
        <x:v>1</x:v>
      </x:c>
      <x:c r="G587" s="28" t="str">
        <x:f>IF(D587="","",IF(LEFT(D587,5)="RFP-A",IF(F587=1,"PTC-B","PTC-C"),IF(LEFT(D587,5)="RFP-B",IF(F587=1,"PTC-A","PTC-C"),IF(F587=1,"PTC-A","PTC-B"))))</x:f>
      </x:c>
      <x:c r="H587" s="29" t="str"/>
      <x:c r="I587" s="29" t="str"/>
      <x:c r="J587" s="29" t="str"/>
      <x:c r="K587" s="29" t="str"/>
      <x:c r="L587" s="29" t="str"/>
      <x:c r="M587" s="28" t="str">
        <x:f>IF(AND(C587="RESERVE",D587=""),"DORMANT",IF(L587="","OPEN",IF(AND(G587&lt;&gt;"",H587&lt;&gt;"",I587=H587,J587&lt;&gt;"",K587&lt;&gt;"",J587&lt;&gt;K587),"PASS","FAIL")))</x:f>
        <x:v>DORMANT</x:v>
      </x:c>
    </x:row>
    <x:row r="588">
      <x:c r="B588" s="28" t="str">
        <x:v>AT-25</x:v>
      </x:c>
      <x:c r="C588" s="28" t="str">
        <x:v>RESERVE</x:v>
      </x:c>
      <x:c r="D588" s="28" t="str">
        <x:f>INDEX('Attempt Tokens'!$E$7:$E$36,MATCH(B588,'Attempt Tokens'!$B$7:$B$36,0))</x:f>
      </x:c>
      <x:c r="E588" s="28" t="str">
        <x:v>RP-03</x:v>
      </x:c>
      <x:c r="F588" s="28" t="n">
        <x:v>2</x:v>
      </x:c>
      <x:c r="G588" s="28" t="str">
        <x:f>IF(D588="","",IF(LEFT(D588,5)="RFP-A",IF(F588=1,"PTC-B","PTC-C"),IF(LEFT(D588,5)="RFP-B",IF(F588=1,"PTC-A","PTC-C"),IF(F588=1,"PTC-A","PTC-B"))))</x:f>
      </x:c>
      <x:c r="H588" s="29" t="str"/>
      <x:c r="I588" s="29" t="str"/>
      <x:c r="J588" s="29" t="str"/>
      <x:c r="K588" s="29" t="str"/>
      <x:c r="L588" s="29" t="str"/>
      <x:c r="M588" s="28" t="str">
        <x:f>IF(AND(C588="RESERVE",D588=""),"DORMANT",IF(L588="","OPEN",IF(AND(G588&lt;&gt;"",H588&lt;&gt;"",I588=H588,J588&lt;&gt;"",K588&lt;&gt;"",J588&lt;&gt;K588),"PASS","FAIL")))</x:f>
        <x:v>DORMANT</x:v>
      </x:c>
    </x:row>
    <x:row r="589">
      <x:c r="B589" s="28" t="str">
        <x:v>AT-25</x:v>
      </x:c>
      <x:c r="C589" s="28" t="str">
        <x:v>RESERVE</x:v>
      </x:c>
      <x:c r="D589" s="28" t="str">
        <x:f>INDEX('Attempt Tokens'!$E$7:$E$36,MATCH(B589,'Attempt Tokens'!$B$7:$B$36,0))</x:f>
      </x:c>
      <x:c r="E589" s="28" t="str">
        <x:v>RP-04</x:v>
      </x:c>
      <x:c r="F589" s="28" t="n">
        <x:v>1</x:v>
      </x:c>
      <x:c r="G589" s="28" t="str">
        <x:f>IF(D589="","",IF(LEFT(D589,5)="RFP-A",IF(F589=1,"PTC-B","PTC-C"),IF(LEFT(D589,5)="RFP-B",IF(F589=1,"PTC-A","PTC-C"),IF(F589=1,"PTC-A","PTC-B"))))</x:f>
      </x:c>
      <x:c r="H589" s="29" t="str"/>
      <x:c r="I589" s="29" t="str"/>
      <x:c r="J589" s="29" t="str"/>
      <x:c r="K589" s="29" t="str"/>
      <x:c r="L589" s="29" t="str"/>
      <x:c r="M589" s="28" t="str">
        <x:f>IF(AND(C589="RESERVE",D589=""),"DORMANT",IF(L589="","OPEN",IF(AND(G589&lt;&gt;"",H589&lt;&gt;"",I589=H589,J589&lt;&gt;"",K589&lt;&gt;"",J589&lt;&gt;K589),"PASS","FAIL")))</x:f>
        <x:v>DORMANT</x:v>
      </x:c>
    </x:row>
    <x:row r="590">
      <x:c r="B590" s="28" t="str">
        <x:v>AT-25</x:v>
      </x:c>
      <x:c r="C590" s="28" t="str">
        <x:v>RESERVE</x:v>
      </x:c>
      <x:c r="D590" s="28" t="str">
        <x:f>INDEX('Attempt Tokens'!$E$7:$E$36,MATCH(B590,'Attempt Tokens'!$B$7:$B$36,0))</x:f>
      </x:c>
      <x:c r="E590" s="28" t="str">
        <x:v>RP-04</x:v>
      </x:c>
      <x:c r="F590" s="28" t="n">
        <x:v>2</x:v>
      </x:c>
      <x:c r="G590" s="28" t="str">
        <x:f>IF(D590="","",IF(LEFT(D590,5)="RFP-A",IF(F590=1,"PTC-B","PTC-C"),IF(LEFT(D590,5)="RFP-B",IF(F590=1,"PTC-A","PTC-C"),IF(F590=1,"PTC-A","PTC-B"))))</x:f>
      </x:c>
      <x:c r="H590" s="29" t="str"/>
      <x:c r="I590" s="29" t="str"/>
      <x:c r="J590" s="29" t="str"/>
      <x:c r="K590" s="29" t="str"/>
      <x:c r="L590" s="29" t="str"/>
      <x:c r="M590" s="28" t="str">
        <x:f>IF(AND(C590="RESERVE",D590=""),"DORMANT",IF(L590="","OPEN",IF(AND(G590&lt;&gt;"",H590&lt;&gt;"",I590=H590,J590&lt;&gt;"",K590&lt;&gt;"",J590&lt;&gt;K590),"PASS","FAIL")))</x:f>
        <x:v>DORMANT</x:v>
      </x:c>
    </x:row>
    <x:row r="591">
      <x:c r="B591" s="28" t="str">
        <x:v>AT-25</x:v>
      </x:c>
      <x:c r="C591" s="28" t="str">
        <x:v>RESERVE</x:v>
      </x:c>
      <x:c r="D591" s="28" t="str">
        <x:f>INDEX('Attempt Tokens'!$E$7:$E$36,MATCH(B591,'Attempt Tokens'!$B$7:$B$36,0))</x:f>
      </x:c>
      <x:c r="E591" s="28" t="str">
        <x:v>RP-05</x:v>
      </x:c>
      <x:c r="F591" s="28" t="n">
        <x:v>1</x:v>
      </x:c>
      <x:c r="G591" s="28" t="str">
        <x:f>IF(D591="","",IF(LEFT(D591,5)="RFP-A",IF(F591=1,"PTC-B","PTC-C"),IF(LEFT(D591,5)="RFP-B",IF(F591=1,"PTC-A","PTC-C"),IF(F591=1,"PTC-A","PTC-B"))))</x:f>
      </x:c>
      <x:c r="H591" s="29" t="str"/>
      <x:c r="I591" s="29" t="str"/>
      <x:c r="J591" s="29" t="str"/>
      <x:c r="K591" s="29" t="str"/>
      <x:c r="L591" s="29" t="str"/>
      <x:c r="M591" s="28" t="str">
        <x:f>IF(AND(C591="RESERVE",D591=""),"DORMANT",IF(L591="","OPEN",IF(AND(G591&lt;&gt;"",H591&lt;&gt;"",I591=H591,J591&lt;&gt;"",K591&lt;&gt;"",J591&lt;&gt;K591),"PASS","FAIL")))</x:f>
        <x:v>DORMANT</x:v>
      </x:c>
    </x:row>
    <x:row r="592">
      <x:c r="B592" s="28" t="str">
        <x:v>AT-25</x:v>
      </x:c>
      <x:c r="C592" s="28" t="str">
        <x:v>RESERVE</x:v>
      </x:c>
      <x:c r="D592" s="28" t="str">
        <x:f>INDEX('Attempt Tokens'!$E$7:$E$36,MATCH(B592,'Attempt Tokens'!$B$7:$B$36,0))</x:f>
      </x:c>
      <x:c r="E592" s="28" t="str">
        <x:v>RP-05</x:v>
      </x:c>
      <x:c r="F592" s="28" t="n">
        <x:v>2</x:v>
      </x:c>
      <x:c r="G592" s="28" t="str">
        <x:f>IF(D592="","",IF(LEFT(D592,5)="RFP-A",IF(F592=1,"PTC-B","PTC-C"),IF(LEFT(D592,5)="RFP-B",IF(F592=1,"PTC-A","PTC-C"),IF(F592=1,"PTC-A","PTC-B"))))</x:f>
      </x:c>
      <x:c r="H592" s="29" t="str"/>
      <x:c r="I592" s="29" t="str"/>
      <x:c r="J592" s="29" t="str"/>
      <x:c r="K592" s="29" t="str"/>
      <x:c r="L592" s="29" t="str"/>
      <x:c r="M592" s="28" t="str">
        <x:f>IF(AND(C592="RESERVE",D592=""),"DORMANT",IF(L592="","OPEN",IF(AND(G592&lt;&gt;"",H592&lt;&gt;"",I592=H592,J592&lt;&gt;"",K592&lt;&gt;"",J592&lt;&gt;K592),"PASS","FAIL")))</x:f>
        <x:v>DORMANT</x:v>
      </x:c>
    </x:row>
    <x:row r="593">
      <x:c r="B593" s="28" t="str">
        <x:v>AT-25</x:v>
      </x:c>
      <x:c r="C593" s="28" t="str">
        <x:v>RESERVE</x:v>
      </x:c>
      <x:c r="D593" s="28" t="str">
        <x:f>INDEX('Attempt Tokens'!$E$7:$E$36,MATCH(B593,'Attempt Tokens'!$B$7:$B$36,0))</x:f>
      </x:c>
      <x:c r="E593" s="28" t="str">
        <x:v>RP-06</x:v>
      </x:c>
      <x:c r="F593" s="28" t="n">
        <x:v>1</x:v>
      </x:c>
      <x:c r="G593" s="28" t="str">
        <x:f>IF(D593="","",IF(LEFT(D593,5)="RFP-A",IF(F593=1,"PTC-B","PTC-C"),IF(LEFT(D593,5)="RFP-B",IF(F593=1,"PTC-A","PTC-C"),IF(F593=1,"PTC-A","PTC-B"))))</x:f>
      </x:c>
      <x:c r="H593" s="29" t="str"/>
      <x:c r="I593" s="29" t="str"/>
      <x:c r="J593" s="29" t="str"/>
      <x:c r="K593" s="29" t="str"/>
      <x:c r="L593" s="29" t="str"/>
      <x:c r="M593" s="28" t="str">
        <x:f>IF(AND(C593="RESERVE",D593=""),"DORMANT",IF(L593="","OPEN",IF(AND(G593&lt;&gt;"",H593&lt;&gt;"",I593=H593,J593&lt;&gt;"",K593&lt;&gt;"",J593&lt;&gt;K593),"PASS","FAIL")))</x:f>
        <x:v>DORMANT</x:v>
      </x:c>
    </x:row>
    <x:row r="594">
      <x:c r="B594" s="28" t="str">
        <x:v>AT-25</x:v>
      </x:c>
      <x:c r="C594" s="28" t="str">
        <x:v>RESERVE</x:v>
      </x:c>
      <x:c r="D594" s="28" t="str">
        <x:f>INDEX('Attempt Tokens'!$E$7:$E$36,MATCH(B594,'Attempt Tokens'!$B$7:$B$36,0))</x:f>
      </x:c>
      <x:c r="E594" s="28" t="str">
        <x:v>RP-06</x:v>
      </x:c>
      <x:c r="F594" s="28" t="n">
        <x:v>2</x:v>
      </x:c>
      <x:c r="G594" s="28" t="str">
        <x:f>IF(D594="","",IF(LEFT(D594,5)="RFP-A",IF(F594=1,"PTC-B","PTC-C"),IF(LEFT(D594,5)="RFP-B",IF(F594=1,"PTC-A","PTC-C"),IF(F594=1,"PTC-A","PTC-B"))))</x:f>
      </x:c>
      <x:c r="H594" s="29" t="str"/>
      <x:c r="I594" s="29" t="str"/>
      <x:c r="J594" s="29" t="str"/>
      <x:c r="K594" s="29" t="str"/>
      <x:c r="L594" s="29" t="str"/>
      <x:c r="M594" s="28" t="str">
        <x:f>IF(AND(C594="RESERVE",D594=""),"DORMANT",IF(L594="","OPEN",IF(AND(G594&lt;&gt;"",H594&lt;&gt;"",I594=H594,J594&lt;&gt;"",K594&lt;&gt;"",J594&lt;&gt;K594),"PASS","FAIL")))</x:f>
        <x:v>DORMANT</x:v>
      </x:c>
    </x:row>
    <x:row r="595">
      <x:c r="B595" s="28" t="str">
        <x:v>AT-25</x:v>
      </x:c>
      <x:c r="C595" s="28" t="str">
        <x:v>RESERVE</x:v>
      </x:c>
      <x:c r="D595" s="28" t="str">
        <x:f>INDEX('Attempt Tokens'!$E$7:$E$36,MATCH(B595,'Attempt Tokens'!$B$7:$B$36,0))</x:f>
      </x:c>
      <x:c r="E595" s="28" t="str">
        <x:v>RP-07</x:v>
      </x:c>
      <x:c r="F595" s="28" t="n">
        <x:v>1</x:v>
      </x:c>
      <x:c r="G595" s="28" t="str">
        <x:f>IF(D595="","",IF(LEFT(D595,5)="RFP-A",IF(F595=1,"PTC-B","PTC-C"),IF(LEFT(D595,5)="RFP-B",IF(F595=1,"PTC-A","PTC-C"),IF(F595=1,"PTC-A","PTC-B"))))</x:f>
      </x:c>
      <x:c r="H595" s="29" t="str"/>
      <x:c r="I595" s="29" t="str"/>
      <x:c r="J595" s="29" t="str"/>
      <x:c r="K595" s="29" t="str"/>
      <x:c r="L595" s="29" t="str"/>
      <x:c r="M595" s="28" t="str">
        <x:f>IF(AND(C595="RESERVE",D595=""),"DORMANT",IF(L595="","OPEN",IF(AND(G595&lt;&gt;"",H595&lt;&gt;"",I595=H595,J595&lt;&gt;"",K595&lt;&gt;"",J595&lt;&gt;K595),"PASS","FAIL")))</x:f>
        <x:v>DORMANT</x:v>
      </x:c>
    </x:row>
    <x:row r="596">
      <x:c r="B596" s="28" t="str">
        <x:v>AT-25</x:v>
      </x:c>
      <x:c r="C596" s="28" t="str">
        <x:v>RESERVE</x:v>
      </x:c>
      <x:c r="D596" s="28" t="str">
        <x:f>INDEX('Attempt Tokens'!$E$7:$E$36,MATCH(B596,'Attempt Tokens'!$B$7:$B$36,0))</x:f>
      </x:c>
      <x:c r="E596" s="28" t="str">
        <x:v>RP-07</x:v>
      </x:c>
      <x:c r="F596" s="28" t="n">
        <x:v>2</x:v>
      </x:c>
      <x:c r="G596" s="28" t="str">
        <x:f>IF(D596="","",IF(LEFT(D596,5)="RFP-A",IF(F596=1,"PTC-B","PTC-C"),IF(LEFT(D596,5)="RFP-B",IF(F596=1,"PTC-A","PTC-C"),IF(F596=1,"PTC-A","PTC-B"))))</x:f>
      </x:c>
      <x:c r="H596" s="29" t="str"/>
      <x:c r="I596" s="29" t="str"/>
      <x:c r="J596" s="29" t="str"/>
      <x:c r="K596" s="29" t="str"/>
      <x:c r="L596" s="29" t="str"/>
      <x:c r="M596" s="28" t="str">
        <x:f>IF(AND(C596="RESERVE",D596=""),"DORMANT",IF(L596="","OPEN",IF(AND(G596&lt;&gt;"",H596&lt;&gt;"",I596=H596,J596&lt;&gt;"",K596&lt;&gt;"",J596&lt;&gt;K596),"PASS","FAIL")))</x:f>
        <x:v>DORMANT</x:v>
      </x:c>
    </x:row>
    <x:row r="597">
      <x:c r="B597" s="28" t="str">
        <x:v>AT-25</x:v>
      </x:c>
      <x:c r="C597" s="28" t="str">
        <x:v>RESERVE</x:v>
      </x:c>
      <x:c r="D597" s="28" t="str">
        <x:f>INDEX('Attempt Tokens'!$E$7:$E$36,MATCH(B597,'Attempt Tokens'!$B$7:$B$36,0))</x:f>
      </x:c>
      <x:c r="E597" s="28" t="str">
        <x:v>RP-08</x:v>
      </x:c>
      <x:c r="F597" s="28" t="n">
        <x:v>1</x:v>
      </x:c>
      <x:c r="G597" s="28" t="str">
        <x:f>IF(D597="","",IF(LEFT(D597,5)="RFP-A",IF(F597=1,"PTC-B","PTC-C"),IF(LEFT(D597,5)="RFP-B",IF(F597=1,"PTC-A","PTC-C"),IF(F597=1,"PTC-A","PTC-B"))))</x:f>
      </x:c>
      <x:c r="H597" s="29" t="str"/>
      <x:c r="I597" s="29" t="str"/>
      <x:c r="J597" s="29" t="str"/>
      <x:c r="K597" s="29" t="str"/>
      <x:c r="L597" s="29" t="str"/>
      <x:c r="M597" s="28" t="str">
        <x:f>IF(AND(C597="RESERVE",D597=""),"DORMANT",IF(L597="","OPEN",IF(AND(G597&lt;&gt;"",H597&lt;&gt;"",I597=H597,J597&lt;&gt;"",K597&lt;&gt;"",J597&lt;&gt;K597),"PASS","FAIL")))</x:f>
        <x:v>DORMANT</x:v>
      </x:c>
    </x:row>
    <x:row r="598">
      <x:c r="B598" s="28" t="str">
        <x:v>AT-25</x:v>
      </x:c>
      <x:c r="C598" s="28" t="str">
        <x:v>RESERVE</x:v>
      </x:c>
      <x:c r="D598" s="28" t="str">
        <x:f>INDEX('Attempt Tokens'!$E$7:$E$36,MATCH(B598,'Attempt Tokens'!$B$7:$B$36,0))</x:f>
      </x:c>
      <x:c r="E598" s="28" t="str">
        <x:v>RP-08</x:v>
      </x:c>
      <x:c r="F598" s="28" t="n">
        <x:v>2</x:v>
      </x:c>
      <x:c r="G598" s="28" t="str">
        <x:f>IF(D598="","",IF(LEFT(D598,5)="RFP-A",IF(F598=1,"PTC-B","PTC-C"),IF(LEFT(D598,5)="RFP-B",IF(F598=1,"PTC-A","PTC-C"),IF(F598=1,"PTC-A","PTC-B"))))</x:f>
      </x:c>
      <x:c r="H598" s="29" t="str"/>
      <x:c r="I598" s="29" t="str"/>
      <x:c r="J598" s="29" t="str"/>
      <x:c r="K598" s="29" t="str"/>
      <x:c r="L598" s="29" t="str"/>
      <x:c r="M598" s="28" t="str">
        <x:f>IF(AND(C598="RESERVE",D598=""),"DORMANT",IF(L598="","OPEN",IF(AND(G598&lt;&gt;"",H598&lt;&gt;"",I598=H598,J598&lt;&gt;"",K598&lt;&gt;"",J598&lt;&gt;K598),"PASS","FAIL")))</x:f>
        <x:v>DORMANT</x:v>
      </x:c>
    </x:row>
    <x:row r="599">
      <x:c r="B599" s="28" t="str">
        <x:v>AT-25</x:v>
      </x:c>
      <x:c r="C599" s="28" t="str">
        <x:v>RESERVE</x:v>
      </x:c>
      <x:c r="D599" s="28" t="str">
        <x:f>INDEX('Attempt Tokens'!$E$7:$E$36,MATCH(B599,'Attempt Tokens'!$B$7:$B$36,0))</x:f>
      </x:c>
      <x:c r="E599" s="28" t="str">
        <x:v>RP-09</x:v>
      </x:c>
      <x:c r="F599" s="28" t="n">
        <x:v>1</x:v>
      </x:c>
      <x:c r="G599" s="28" t="str">
        <x:f>IF(D599="","",IF(LEFT(D599,5)="RFP-A",IF(F599=1,"PTC-B","PTC-C"),IF(LEFT(D599,5)="RFP-B",IF(F599=1,"PTC-A","PTC-C"),IF(F599=1,"PTC-A","PTC-B"))))</x:f>
      </x:c>
      <x:c r="H599" s="29" t="str"/>
      <x:c r="I599" s="29" t="str"/>
      <x:c r="J599" s="29" t="str"/>
      <x:c r="K599" s="29" t="str"/>
      <x:c r="L599" s="29" t="str"/>
      <x:c r="M599" s="28" t="str">
        <x:f>IF(AND(C599="RESERVE",D599=""),"DORMANT",IF(L599="","OPEN",IF(AND(G599&lt;&gt;"",H599&lt;&gt;"",I599=H599,J599&lt;&gt;"",K599&lt;&gt;"",J599&lt;&gt;K599),"PASS","FAIL")))</x:f>
        <x:v>DORMANT</x:v>
      </x:c>
    </x:row>
    <x:row r="600">
      <x:c r="B600" s="28" t="str">
        <x:v>AT-25</x:v>
      </x:c>
      <x:c r="C600" s="28" t="str">
        <x:v>RESERVE</x:v>
      </x:c>
      <x:c r="D600" s="28" t="str">
        <x:f>INDEX('Attempt Tokens'!$E$7:$E$36,MATCH(B600,'Attempt Tokens'!$B$7:$B$36,0))</x:f>
      </x:c>
      <x:c r="E600" s="28" t="str">
        <x:v>RP-09</x:v>
      </x:c>
      <x:c r="F600" s="28" t="n">
        <x:v>2</x:v>
      </x:c>
      <x:c r="G600" s="28" t="str">
        <x:f>IF(D600="","",IF(LEFT(D600,5)="RFP-A",IF(F600=1,"PTC-B","PTC-C"),IF(LEFT(D600,5)="RFP-B",IF(F600=1,"PTC-A","PTC-C"),IF(F600=1,"PTC-A","PTC-B"))))</x:f>
      </x:c>
      <x:c r="H600" s="29" t="str"/>
      <x:c r="I600" s="29" t="str"/>
      <x:c r="J600" s="29" t="str"/>
      <x:c r="K600" s="29" t="str"/>
      <x:c r="L600" s="29" t="str"/>
      <x:c r="M600" s="28" t="str">
        <x:f>IF(AND(C600="RESERVE",D600=""),"DORMANT",IF(L600="","OPEN",IF(AND(G600&lt;&gt;"",H600&lt;&gt;"",I600=H600,J600&lt;&gt;"",K600&lt;&gt;"",J600&lt;&gt;K600),"PASS","FAIL")))</x:f>
        <x:v>DORMANT</x:v>
      </x:c>
    </x:row>
    <x:row r="601">
      <x:c r="B601" s="28" t="str">
        <x:v>AT-25</x:v>
      </x:c>
      <x:c r="C601" s="28" t="str">
        <x:v>RESERVE</x:v>
      </x:c>
      <x:c r="D601" s="28" t="str">
        <x:f>INDEX('Attempt Tokens'!$E$7:$E$36,MATCH(B601,'Attempt Tokens'!$B$7:$B$36,0))</x:f>
      </x:c>
      <x:c r="E601" s="28" t="str">
        <x:v>RP-10</x:v>
      </x:c>
      <x:c r="F601" s="28" t="n">
        <x:v>1</x:v>
      </x:c>
      <x:c r="G601" s="28" t="str">
        <x:f>IF(D601="","",IF(LEFT(D601,5)="RFP-A",IF(F601=1,"PTC-B","PTC-C"),IF(LEFT(D601,5)="RFP-B",IF(F601=1,"PTC-A","PTC-C"),IF(F601=1,"PTC-A","PTC-B"))))</x:f>
      </x:c>
      <x:c r="H601" s="29" t="str"/>
      <x:c r="I601" s="29" t="str"/>
      <x:c r="J601" s="29" t="str"/>
      <x:c r="K601" s="29" t="str"/>
      <x:c r="L601" s="29" t="str"/>
      <x:c r="M601" s="28" t="str">
        <x:f>IF(AND(C601="RESERVE",D601=""),"DORMANT",IF(L601="","OPEN",IF(AND(G601&lt;&gt;"",H601&lt;&gt;"",I601=H601,J601&lt;&gt;"",K601&lt;&gt;"",J601&lt;&gt;K601),"PASS","FAIL")))</x:f>
        <x:v>DORMANT</x:v>
      </x:c>
    </x:row>
    <x:row r="602">
      <x:c r="B602" s="28" t="str">
        <x:v>AT-25</x:v>
      </x:c>
      <x:c r="C602" s="28" t="str">
        <x:v>RESERVE</x:v>
      </x:c>
      <x:c r="D602" s="28" t="str">
        <x:f>INDEX('Attempt Tokens'!$E$7:$E$36,MATCH(B602,'Attempt Tokens'!$B$7:$B$36,0))</x:f>
      </x:c>
      <x:c r="E602" s="28" t="str">
        <x:v>RP-10</x:v>
      </x:c>
      <x:c r="F602" s="28" t="n">
        <x:v>2</x:v>
      </x:c>
      <x:c r="G602" s="28" t="str">
        <x:f>IF(D602="","",IF(LEFT(D602,5)="RFP-A",IF(F602=1,"PTC-B","PTC-C"),IF(LEFT(D602,5)="RFP-B",IF(F602=1,"PTC-A","PTC-C"),IF(F602=1,"PTC-A","PTC-B"))))</x:f>
      </x:c>
      <x:c r="H602" s="29" t="str"/>
      <x:c r="I602" s="29" t="str"/>
      <x:c r="J602" s="29" t="str"/>
      <x:c r="K602" s="29" t="str"/>
      <x:c r="L602" s="29" t="str"/>
      <x:c r="M602" s="28" t="str">
        <x:f>IF(AND(C602="RESERVE",D602=""),"DORMANT",IF(L602="","OPEN",IF(AND(G602&lt;&gt;"",H602&lt;&gt;"",I602=H602,J602&lt;&gt;"",K602&lt;&gt;"",J602&lt;&gt;K602),"PASS","FAIL")))</x:f>
        <x:v>DORMANT</x:v>
      </x:c>
    </x:row>
    <x:row r="603">
      <x:c r="B603" s="28" t="str">
        <x:v>AT-25</x:v>
      </x:c>
      <x:c r="C603" s="28" t="str">
        <x:v>RESERVE</x:v>
      </x:c>
      <x:c r="D603" s="28" t="str">
        <x:f>INDEX('Attempt Tokens'!$E$7:$E$36,MATCH(B603,'Attempt Tokens'!$B$7:$B$36,0))</x:f>
      </x:c>
      <x:c r="E603" s="28" t="str">
        <x:v>RP-11</x:v>
      </x:c>
      <x:c r="F603" s="28" t="n">
        <x:v>1</x:v>
      </x:c>
      <x:c r="G603" s="28" t="str">
        <x:f>IF(D603="","",IF(LEFT(D603,5)="RFP-A",IF(F603=1,"PTC-B","PTC-C"),IF(LEFT(D603,5)="RFP-B",IF(F603=1,"PTC-A","PTC-C"),IF(F603=1,"PTC-A","PTC-B"))))</x:f>
      </x:c>
      <x:c r="H603" s="29" t="str"/>
      <x:c r="I603" s="29" t="str"/>
      <x:c r="J603" s="29" t="str"/>
      <x:c r="K603" s="29" t="str"/>
      <x:c r="L603" s="29" t="str"/>
      <x:c r="M603" s="28" t="str">
        <x:f>IF(AND(C603="RESERVE",D603=""),"DORMANT",IF(L603="","OPEN",IF(AND(G603&lt;&gt;"",H603&lt;&gt;"",I603=H603,J603&lt;&gt;"",K603&lt;&gt;"",J603&lt;&gt;K603),"PASS","FAIL")))</x:f>
        <x:v>DORMANT</x:v>
      </x:c>
    </x:row>
    <x:row r="604">
      <x:c r="B604" s="28" t="str">
        <x:v>AT-25</x:v>
      </x:c>
      <x:c r="C604" s="28" t="str">
        <x:v>RESERVE</x:v>
      </x:c>
      <x:c r="D604" s="28" t="str">
        <x:f>INDEX('Attempt Tokens'!$E$7:$E$36,MATCH(B604,'Attempt Tokens'!$B$7:$B$36,0))</x:f>
      </x:c>
      <x:c r="E604" s="28" t="str">
        <x:v>RP-11</x:v>
      </x:c>
      <x:c r="F604" s="28" t="n">
        <x:v>2</x:v>
      </x:c>
      <x:c r="G604" s="28" t="str">
        <x:f>IF(D604="","",IF(LEFT(D604,5)="RFP-A",IF(F604=1,"PTC-B","PTC-C"),IF(LEFT(D604,5)="RFP-B",IF(F604=1,"PTC-A","PTC-C"),IF(F604=1,"PTC-A","PTC-B"))))</x:f>
      </x:c>
      <x:c r="H604" s="29" t="str"/>
      <x:c r="I604" s="29" t="str"/>
      <x:c r="J604" s="29" t="str"/>
      <x:c r="K604" s="29" t="str"/>
      <x:c r="L604" s="29" t="str"/>
      <x:c r="M604" s="28" t="str">
        <x:f>IF(AND(C604="RESERVE",D604=""),"DORMANT",IF(L604="","OPEN",IF(AND(G604&lt;&gt;"",H604&lt;&gt;"",I604=H604,J604&lt;&gt;"",K604&lt;&gt;"",J604&lt;&gt;K604),"PASS","FAIL")))</x:f>
        <x:v>DORMANT</x:v>
      </x:c>
    </x:row>
    <x:row r="605">
      <x:c r="B605" s="28" t="str">
        <x:v>AT-25</x:v>
      </x:c>
      <x:c r="C605" s="28" t="str">
        <x:v>RESERVE</x:v>
      </x:c>
      <x:c r="D605" s="28" t="str">
        <x:f>INDEX('Attempt Tokens'!$E$7:$E$36,MATCH(B605,'Attempt Tokens'!$B$7:$B$36,0))</x:f>
      </x:c>
      <x:c r="E605" s="28" t="str">
        <x:v>RP-12</x:v>
      </x:c>
      <x:c r="F605" s="28" t="n">
        <x:v>1</x:v>
      </x:c>
      <x:c r="G605" s="28" t="str">
        <x:f>IF(D605="","",IF(LEFT(D605,5)="RFP-A",IF(F605=1,"PTC-B","PTC-C"),IF(LEFT(D605,5)="RFP-B",IF(F605=1,"PTC-A","PTC-C"),IF(F605=1,"PTC-A","PTC-B"))))</x:f>
      </x:c>
      <x:c r="H605" s="29" t="str"/>
      <x:c r="I605" s="29" t="str"/>
      <x:c r="J605" s="29" t="str"/>
      <x:c r="K605" s="29" t="str"/>
      <x:c r="L605" s="29" t="str"/>
      <x:c r="M605" s="28" t="str">
        <x:f>IF(AND(C605="RESERVE",D605=""),"DORMANT",IF(L605="","OPEN",IF(AND(G605&lt;&gt;"",H605&lt;&gt;"",I605=H605,J605&lt;&gt;"",K605&lt;&gt;"",J605&lt;&gt;K605),"PASS","FAIL")))</x:f>
        <x:v>DORMANT</x:v>
      </x:c>
    </x:row>
    <x:row r="606">
      <x:c r="B606" s="28" t="str">
        <x:v>AT-25</x:v>
      </x:c>
      <x:c r="C606" s="28" t="str">
        <x:v>RESERVE</x:v>
      </x:c>
      <x:c r="D606" s="28" t="str">
        <x:f>INDEX('Attempt Tokens'!$E$7:$E$36,MATCH(B606,'Attempt Tokens'!$B$7:$B$36,0))</x:f>
      </x:c>
      <x:c r="E606" s="28" t="str">
        <x:v>RP-12</x:v>
      </x:c>
      <x:c r="F606" s="28" t="n">
        <x:v>2</x:v>
      </x:c>
      <x:c r="G606" s="28" t="str">
        <x:f>IF(D606="","",IF(LEFT(D606,5)="RFP-A",IF(F606=1,"PTC-B","PTC-C"),IF(LEFT(D606,5)="RFP-B",IF(F606=1,"PTC-A","PTC-C"),IF(F606=1,"PTC-A","PTC-B"))))</x:f>
      </x:c>
      <x:c r="H606" s="29" t="str"/>
      <x:c r="I606" s="29" t="str"/>
      <x:c r="J606" s="29" t="str"/>
      <x:c r="K606" s="29" t="str"/>
      <x:c r="L606" s="29" t="str"/>
      <x:c r="M606" s="28" t="str">
        <x:f>IF(AND(C606="RESERVE",D606=""),"DORMANT",IF(L606="","OPEN",IF(AND(G606&lt;&gt;"",H606&lt;&gt;"",I606=H606,J606&lt;&gt;"",K606&lt;&gt;"",J606&lt;&gt;K606),"PASS","FAIL")))</x:f>
        <x:v>DORMANT</x:v>
      </x:c>
    </x:row>
    <x:row r="607">
      <x:c r="B607" s="28" t="str">
        <x:v>AT-26</x:v>
      </x:c>
      <x:c r="C607" s="28" t="str">
        <x:v>RESERVE</x:v>
      </x:c>
      <x:c r="D607" s="28" t="str">
        <x:f>INDEX('Attempt Tokens'!$E$7:$E$36,MATCH(B607,'Attempt Tokens'!$B$7:$B$36,0))</x:f>
      </x:c>
      <x:c r="E607" s="28" t="str">
        <x:v>RP-01</x:v>
      </x:c>
      <x:c r="F607" s="28" t="n">
        <x:v>1</x:v>
      </x:c>
      <x:c r="G607" s="28" t="str">
        <x:f>IF(D607="","",IF(LEFT(D607,5)="RFP-A",IF(F607=1,"PTC-B","PTC-C"),IF(LEFT(D607,5)="RFP-B",IF(F607=1,"PTC-A","PTC-C"),IF(F607=1,"PTC-A","PTC-B"))))</x:f>
      </x:c>
      <x:c r="H607" s="29" t="str"/>
      <x:c r="I607" s="29" t="str"/>
      <x:c r="J607" s="29" t="str"/>
      <x:c r="K607" s="29" t="str"/>
      <x:c r="L607" s="29" t="str"/>
      <x:c r="M607" s="28" t="str">
        <x:f>IF(AND(C607="RESERVE",D607=""),"DORMANT",IF(L607="","OPEN",IF(AND(G607&lt;&gt;"",H607&lt;&gt;"",I607=H607,J607&lt;&gt;"",K607&lt;&gt;"",J607&lt;&gt;K607),"PASS","FAIL")))</x:f>
        <x:v>DORMANT</x:v>
      </x:c>
    </x:row>
    <x:row r="608">
      <x:c r="B608" s="28" t="str">
        <x:v>AT-26</x:v>
      </x:c>
      <x:c r="C608" s="28" t="str">
        <x:v>RESERVE</x:v>
      </x:c>
      <x:c r="D608" s="28" t="str">
        <x:f>INDEX('Attempt Tokens'!$E$7:$E$36,MATCH(B608,'Attempt Tokens'!$B$7:$B$36,0))</x:f>
      </x:c>
      <x:c r="E608" s="28" t="str">
        <x:v>RP-01</x:v>
      </x:c>
      <x:c r="F608" s="28" t="n">
        <x:v>2</x:v>
      </x:c>
      <x:c r="G608" s="28" t="str">
        <x:f>IF(D608="","",IF(LEFT(D608,5)="RFP-A",IF(F608=1,"PTC-B","PTC-C"),IF(LEFT(D608,5)="RFP-B",IF(F608=1,"PTC-A","PTC-C"),IF(F608=1,"PTC-A","PTC-B"))))</x:f>
      </x:c>
      <x:c r="H608" s="29" t="str"/>
      <x:c r="I608" s="29" t="str"/>
      <x:c r="J608" s="29" t="str"/>
      <x:c r="K608" s="29" t="str"/>
      <x:c r="L608" s="29" t="str"/>
      <x:c r="M608" s="28" t="str">
        <x:f>IF(AND(C608="RESERVE",D608=""),"DORMANT",IF(L608="","OPEN",IF(AND(G608&lt;&gt;"",H608&lt;&gt;"",I608=H608,J608&lt;&gt;"",K608&lt;&gt;"",J608&lt;&gt;K608),"PASS","FAIL")))</x:f>
        <x:v>DORMANT</x:v>
      </x:c>
    </x:row>
    <x:row r="609">
      <x:c r="B609" s="28" t="str">
        <x:v>AT-26</x:v>
      </x:c>
      <x:c r="C609" s="28" t="str">
        <x:v>RESERVE</x:v>
      </x:c>
      <x:c r="D609" s="28" t="str">
        <x:f>INDEX('Attempt Tokens'!$E$7:$E$36,MATCH(B609,'Attempt Tokens'!$B$7:$B$36,0))</x:f>
      </x:c>
      <x:c r="E609" s="28" t="str">
        <x:v>RP-02</x:v>
      </x:c>
      <x:c r="F609" s="28" t="n">
        <x:v>1</x:v>
      </x:c>
      <x:c r="G609" s="28" t="str">
        <x:f>IF(D609="","",IF(LEFT(D609,5)="RFP-A",IF(F609=1,"PTC-B","PTC-C"),IF(LEFT(D609,5)="RFP-B",IF(F609=1,"PTC-A","PTC-C"),IF(F609=1,"PTC-A","PTC-B"))))</x:f>
      </x:c>
      <x:c r="H609" s="29" t="str"/>
      <x:c r="I609" s="29" t="str"/>
      <x:c r="J609" s="29" t="str"/>
      <x:c r="K609" s="29" t="str"/>
      <x:c r="L609" s="29" t="str"/>
      <x:c r="M609" s="28" t="str">
        <x:f>IF(AND(C609="RESERVE",D609=""),"DORMANT",IF(L609="","OPEN",IF(AND(G609&lt;&gt;"",H609&lt;&gt;"",I609=H609,J609&lt;&gt;"",K609&lt;&gt;"",J609&lt;&gt;K609),"PASS","FAIL")))</x:f>
        <x:v>DORMANT</x:v>
      </x:c>
    </x:row>
    <x:row r="610">
      <x:c r="B610" s="28" t="str">
        <x:v>AT-26</x:v>
      </x:c>
      <x:c r="C610" s="28" t="str">
        <x:v>RESERVE</x:v>
      </x:c>
      <x:c r="D610" s="28" t="str">
        <x:f>INDEX('Attempt Tokens'!$E$7:$E$36,MATCH(B610,'Attempt Tokens'!$B$7:$B$36,0))</x:f>
      </x:c>
      <x:c r="E610" s="28" t="str">
        <x:v>RP-02</x:v>
      </x:c>
      <x:c r="F610" s="28" t="n">
        <x:v>2</x:v>
      </x:c>
      <x:c r="G610" s="28" t="str">
        <x:f>IF(D610="","",IF(LEFT(D610,5)="RFP-A",IF(F610=1,"PTC-B","PTC-C"),IF(LEFT(D610,5)="RFP-B",IF(F610=1,"PTC-A","PTC-C"),IF(F610=1,"PTC-A","PTC-B"))))</x:f>
      </x:c>
      <x:c r="H610" s="29" t="str"/>
      <x:c r="I610" s="29" t="str"/>
      <x:c r="J610" s="29" t="str"/>
      <x:c r="K610" s="29" t="str"/>
      <x:c r="L610" s="29" t="str"/>
      <x:c r="M610" s="28" t="str">
        <x:f>IF(AND(C610="RESERVE",D610=""),"DORMANT",IF(L610="","OPEN",IF(AND(G610&lt;&gt;"",H610&lt;&gt;"",I610=H610,J610&lt;&gt;"",K610&lt;&gt;"",J610&lt;&gt;K610),"PASS","FAIL")))</x:f>
        <x:v>DORMANT</x:v>
      </x:c>
    </x:row>
    <x:row r="611">
      <x:c r="B611" s="28" t="str">
        <x:v>AT-26</x:v>
      </x:c>
      <x:c r="C611" s="28" t="str">
        <x:v>RESERVE</x:v>
      </x:c>
      <x:c r="D611" s="28" t="str">
        <x:f>INDEX('Attempt Tokens'!$E$7:$E$36,MATCH(B611,'Attempt Tokens'!$B$7:$B$36,0))</x:f>
      </x:c>
      <x:c r="E611" s="28" t="str">
        <x:v>RP-03</x:v>
      </x:c>
      <x:c r="F611" s="28" t="n">
        <x:v>1</x:v>
      </x:c>
      <x:c r="G611" s="28" t="str">
        <x:f>IF(D611="","",IF(LEFT(D611,5)="RFP-A",IF(F611=1,"PTC-B","PTC-C"),IF(LEFT(D611,5)="RFP-B",IF(F611=1,"PTC-A","PTC-C"),IF(F611=1,"PTC-A","PTC-B"))))</x:f>
      </x:c>
      <x:c r="H611" s="29" t="str"/>
      <x:c r="I611" s="29" t="str"/>
      <x:c r="J611" s="29" t="str"/>
      <x:c r="K611" s="29" t="str"/>
      <x:c r="L611" s="29" t="str"/>
      <x:c r="M611" s="28" t="str">
        <x:f>IF(AND(C611="RESERVE",D611=""),"DORMANT",IF(L611="","OPEN",IF(AND(G611&lt;&gt;"",H611&lt;&gt;"",I611=H611,J611&lt;&gt;"",K611&lt;&gt;"",J611&lt;&gt;K611),"PASS","FAIL")))</x:f>
        <x:v>DORMANT</x:v>
      </x:c>
    </x:row>
    <x:row r="612">
      <x:c r="B612" s="28" t="str">
        <x:v>AT-26</x:v>
      </x:c>
      <x:c r="C612" s="28" t="str">
        <x:v>RESERVE</x:v>
      </x:c>
      <x:c r="D612" s="28" t="str">
        <x:f>INDEX('Attempt Tokens'!$E$7:$E$36,MATCH(B612,'Attempt Tokens'!$B$7:$B$36,0))</x:f>
      </x:c>
      <x:c r="E612" s="28" t="str">
        <x:v>RP-03</x:v>
      </x:c>
      <x:c r="F612" s="28" t="n">
        <x:v>2</x:v>
      </x:c>
      <x:c r="G612" s="28" t="str">
        <x:f>IF(D612="","",IF(LEFT(D612,5)="RFP-A",IF(F612=1,"PTC-B","PTC-C"),IF(LEFT(D612,5)="RFP-B",IF(F612=1,"PTC-A","PTC-C"),IF(F612=1,"PTC-A","PTC-B"))))</x:f>
      </x:c>
      <x:c r="H612" s="29" t="str"/>
      <x:c r="I612" s="29" t="str"/>
      <x:c r="J612" s="29" t="str"/>
      <x:c r="K612" s="29" t="str"/>
      <x:c r="L612" s="29" t="str"/>
      <x:c r="M612" s="28" t="str">
        <x:f>IF(AND(C612="RESERVE",D612=""),"DORMANT",IF(L612="","OPEN",IF(AND(G612&lt;&gt;"",H612&lt;&gt;"",I612=H612,J612&lt;&gt;"",K612&lt;&gt;"",J612&lt;&gt;K612),"PASS","FAIL")))</x:f>
        <x:v>DORMANT</x:v>
      </x:c>
    </x:row>
    <x:row r="613">
      <x:c r="B613" s="28" t="str">
        <x:v>AT-26</x:v>
      </x:c>
      <x:c r="C613" s="28" t="str">
        <x:v>RESERVE</x:v>
      </x:c>
      <x:c r="D613" s="28" t="str">
        <x:f>INDEX('Attempt Tokens'!$E$7:$E$36,MATCH(B613,'Attempt Tokens'!$B$7:$B$36,0))</x:f>
      </x:c>
      <x:c r="E613" s="28" t="str">
        <x:v>RP-04</x:v>
      </x:c>
      <x:c r="F613" s="28" t="n">
        <x:v>1</x:v>
      </x:c>
      <x:c r="G613" s="28" t="str">
        <x:f>IF(D613="","",IF(LEFT(D613,5)="RFP-A",IF(F613=1,"PTC-B","PTC-C"),IF(LEFT(D613,5)="RFP-B",IF(F613=1,"PTC-A","PTC-C"),IF(F613=1,"PTC-A","PTC-B"))))</x:f>
      </x:c>
      <x:c r="H613" s="29" t="str"/>
      <x:c r="I613" s="29" t="str"/>
      <x:c r="J613" s="29" t="str"/>
      <x:c r="K613" s="29" t="str"/>
      <x:c r="L613" s="29" t="str"/>
      <x:c r="M613" s="28" t="str">
        <x:f>IF(AND(C613="RESERVE",D613=""),"DORMANT",IF(L613="","OPEN",IF(AND(G613&lt;&gt;"",H613&lt;&gt;"",I613=H613,J613&lt;&gt;"",K613&lt;&gt;"",J613&lt;&gt;K613),"PASS","FAIL")))</x:f>
        <x:v>DORMANT</x:v>
      </x:c>
    </x:row>
    <x:row r="614">
      <x:c r="B614" s="28" t="str">
        <x:v>AT-26</x:v>
      </x:c>
      <x:c r="C614" s="28" t="str">
        <x:v>RESERVE</x:v>
      </x:c>
      <x:c r="D614" s="28" t="str">
        <x:f>INDEX('Attempt Tokens'!$E$7:$E$36,MATCH(B614,'Attempt Tokens'!$B$7:$B$36,0))</x:f>
      </x:c>
      <x:c r="E614" s="28" t="str">
        <x:v>RP-04</x:v>
      </x:c>
      <x:c r="F614" s="28" t="n">
        <x:v>2</x:v>
      </x:c>
      <x:c r="G614" s="28" t="str">
        <x:f>IF(D614="","",IF(LEFT(D614,5)="RFP-A",IF(F614=1,"PTC-B","PTC-C"),IF(LEFT(D614,5)="RFP-B",IF(F614=1,"PTC-A","PTC-C"),IF(F614=1,"PTC-A","PTC-B"))))</x:f>
      </x:c>
      <x:c r="H614" s="29" t="str"/>
      <x:c r="I614" s="29" t="str"/>
      <x:c r="J614" s="29" t="str"/>
      <x:c r="K614" s="29" t="str"/>
      <x:c r="L614" s="29" t="str"/>
      <x:c r="M614" s="28" t="str">
        <x:f>IF(AND(C614="RESERVE",D614=""),"DORMANT",IF(L614="","OPEN",IF(AND(G614&lt;&gt;"",H614&lt;&gt;"",I614=H614,J614&lt;&gt;"",K614&lt;&gt;"",J614&lt;&gt;K614),"PASS","FAIL")))</x:f>
        <x:v>DORMANT</x:v>
      </x:c>
    </x:row>
    <x:row r="615">
      <x:c r="B615" s="28" t="str">
        <x:v>AT-26</x:v>
      </x:c>
      <x:c r="C615" s="28" t="str">
        <x:v>RESERVE</x:v>
      </x:c>
      <x:c r="D615" s="28" t="str">
        <x:f>INDEX('Attempt Tokens'!$E$7:$E$36,MATCH(B615,'Attempt Tokens'!$B$7:$B$36,0))</x:f>
      </x:c>
      <x:c r="E615" s="28" t="str">
        <x:v>RP-05</x:v>
      </x:c>
      <x:c r="F615" s="28" t="n">
        <x:v>1</x:v>
      </x:c>
      <x:c r="G615" s="28" t="str">
        <x:f>IF(D615="","",IF(LEFT(D615,5)="RFP-A",IF(F615=1,"PTC-B","PTC-C"),IF(LEFT(D615,5)="RFP-B",IF(F615=1,"PTC-A","PTC-C"),IF(F615=1,"PTC-A","PTC-B"))))</x:f>
      </x:c>
      <x:c r="H615" s="29" t="str"/>
      <x:c r="I615" s="29" t="str"/>
      <x:c r="J615" s="29" t="str"/>
      <x:c r="K615" s="29" t="str"/>
      <x:c r="L615" s="29" t="str"/>
      <x:c r="M615" s="28" t="str">
        <x:f>IF(AND(C615="RESERVE",D615=""),"DORMANT",IF(L615="","OPEN",IF(AND(G615&lt;&gt;"",H615&lt;&gt;"",I615=H615,J615&lt;&gt;"",K615&lt;&gt;"",J615&lt;&gt;K615),"PASS","FAIL")))</x:f>
        <x:v>DORMANT</x:v>
      </x:c>
    </x:row>
    <x:row r="616">
      <x:c r="B616" s="28" t="str">
        <x:v>AT-26</x:v>
      </x:c>
      <x:c r="C616" s="28" t="str">
        <x:v>RESERVE</x:v>
      </x:c>
      <x:c r="D616" s="28" t="str">
        <x:f>INDEX('Attempt Tokens'!$E$7:$E$36,MATCH(B616,'Attempt Tokens'!$B$7:$B$36,0))</x:f>
      </x:c>
      <x:c r="E616" s="28" t="str">
        <x:v>RP-05</x:v>
      </x:c>
      <x:c r="F616" s="28" t="n">
        <x:v>2</x:v>
      </x:c>
      <x:c r="G616" s="28" t="str">
        <x:f>IF(D616="","",IF(LEFT(D616,5)="RFP-A",IF(F616=1,"PTC-B","PTC-C"),IF(LEFT(D616,5)="RFP-B",IF(F616=1,"PTC-A","PTC-C"),IF(F616=1,"PTC-A","PTC-B"))))</x:f>
      </x:c>
      <x:c r="H616" s="29" t="str"/>
      <x:c r="I616" s="29" t="str"/>
      <x:c r="J616" s="29" t="str"/>
      <x:c r="K616" s="29" t="str"/>
      <x:c r="L616" s="29" t="str"/>
      <x:c r="M616" s="28" t="str">
        <x:f>IF(AND(C616="RESERVE",D616=""),"DORMANT",IF(L616="","OPEN",IF(AND(G616&lt;&gt;"",H616&lt;&gt;"",I616=H616,J616&lt;&gt;"",K616&lt;&gt;"",J616&lt;&gt;K616),"PASS","FAIL")))</x:f>
        <x:v>DORMANT</x:v>
      </x:c>
    </x:row>
    <x:row r="617">
      <x:c r="B617" s="28" t="str">
        <x:v>AT-26</x:v>
      </x:c>
      <x:c r="C617" s="28" t="str">
        <x:v>RESERVE</x:v>
      </x:c>
      <x:c r="D617" s="28" t="str">
        <x:f>INDEX('Attempt Tokens'!$E$7:$E$36,MATCH(B617,'Attempt Tokens'!$B$7:$B$36,0))</x:f>
      </x:c>
      <x:c r="E617" s="28" t="str">
        <x:v>RP-06</x:v>
      </x:c>
      <x:c r="F617" s="28" t="n">
        <x:v>1</x:v>
      </x:c>
      <x:c r="G617" s="28" t="str">
        <x:f>IF(D617="","",IF(LEFT(D617,5)="RFP-A",IF(F617=1,"PTC-B","PTC-C"),IF(LEFT(D617,5)="RFP-B",IF(F617=1,"PTC-A","PTC-C"),IF(F617=1,"PTC-A","PTC-B"))))</x:f>
      </x:c>
      <x:c r="H617" s="29" t="str"/>
      <x:c r="I617" s="29" t="str"/>
      <x:c r="J617" s="29" t="str"/>
      <x:c r="K617" s="29" t="str"/>
      <x:c r="L617" s="29" t="str"/>
      <x:c r="M617" s="28" t="str">
        <x:f>IF(AND(C617="RESERVE",D617=""),"DORMANT",IF(L617="","OPEN",IF(AND(G617&lt;&gt;"",H617&lt;&gt;"",I617=H617,J617&lt;&gt;"",K617&lt;&gt;"",J617&lt;&gt;K617),"PASS","FAIL")))</x:f>
        <x:v>DORMANT</x:v>
      </x:c>
    </x:row>
    <x:row r="618">
      <x:c r="B618" s="28" t="str">
        <x:v>AT-26</x:v>
      </x:c>
      <x:c r="C618" s="28" t="str">
        <x:v>RESERVE</x:v>
      </x:c>
      <x:c r="D618" s="28" t="str">
        <x:f>INDEX('Attempt Tokens'!$E$7:$E$36,MATCH(B618,'Attempt Tokens'!$B$7:$B$36,0))</x:f>
      </x:c>
      <x:c r="E618" s="28" t="str">
        <x:v>RP-06</x:v>
      </x:c>
      <x:c r="F618" s="28" t="n">
        <x:v>2</x:v>
      </x:c>
      <x:c r="G618" s="28" t="str">
        <x:f>IF(D618="","",IF(LEFT(D618,5)="RFP-A",IF(F618=1,"PTC-B","PTC-C"),IF(LEFT(D618,5)="RFP-B",IF(F618=1,"PTC-A","PTC-C"),IF(F618=1,"PTC-A","PTC-B"))))</x:f>
      </x:c>
      <x:c r="H618" s="29" t="str"/>
      <x:c r="I618" s="29" t="str"/>
      <x:c r="J618" s="29" t="str"/>
      <x:c r="K618" s="29" t="str"/>
      <x:c r="L618" s="29" t="str"/>
      <x:c r="M618" s="28" t="str">
        <x:f>IF(AND(C618="RESERVE",D618=""),"DORMANT",IF(L618="","OPEN",IF(AND(G618&lt;&gt;"",H618&lt;&gt;"",I618=H618,J618&lt;&gt;"",K618&lt;&gt;"",J618&lt;&gt;K618),"PASS","FAIL")))</x:f>
        <x:v>DORMANT</x:v>
      </x:c>
    </x:row>
    <x:row r="619">
      <x:c r="B619" s="28" t="str">
        <x:v>AT-26</x:v>
      </x:c>
      <x:c r="C619" s="28" t="str">
        <x:v>RESERVE</x:v>
      </x:c>
      <x:c r="D619" s="28" t="str">
        <x:f>INDEX('Attempt Tokens'!$E$7:$E$36,MATCH(B619,'Attempt Tokens'!$B$7:$B$36,0))</x:f>
      </x:c>
      <x:c r="E619" s="28" t="str">
        <x:v>RP-07</x:v>
      </x:c>
      <x:c r="F619" s="28" t="n">
        <x:v>1</x:v>
      </x:c>
      <x:c r="G619" s="28" t="str">
        <x:f>IF(D619="","",IF(LEFT(D619,5)="RFP-A",IF(F619=1,"PTC-B","PTC-C"),IF(LEFT(D619,5)="RFP-B",IF(F619=1,"PTC-A","PTC-C"),IF(F619=1,"PTC-A","PTC-B"))))</x:f>
      </x:c>
      <x:c r="H619" s="29" t="str"/>
      <x:c r="I619" s="29" t="str"/>
      <x:c r="J619" s="29" t="str"/>
      <x:c r="K619" s="29" t="str"/>
      <x:c r="L619" s="29" t="str"/>
      <x:c r="M619" s="28" t="str">
        <x:f>IF(AND(C619="RESERVE",D619=""),"DORMANT",IF(L619="","OPEN",IF(AND(G619&lt;&gt;"",H619&lt;&gt;"",I619=H619,J619&lt;&gt;"",K619&lt;&gt;"",J619&lt;&gt;K619),"PASS","FAIL")))</x:f>
        <x:v>DORMANT</x:v>
      </x:c>
    </x:row>
    <x:row r="620">
      <x:c r="B620" s="28" t="str">
        <x:v>AT-26</x:v>
      </x:c>
      <x:c r="C620" s="28" t="str">
        <x:v>RESERVE</x:v>
      </x:c>
      <x:c r="D620" s="28" t="str">
        <x:f>INDEX('Attempt Tokens'!$E$7:$E$36,MATCH(B620,'Attempt Tokens'!$B$7:$B$36,0))</x:f>
      </x:c>
      <x:c r="E620" s="28" t="str">
        <x:v>RP-07</x:v>
      </x:c>
      <x:c r="F620" s="28" t="n">
        <x:v>2</x:v>
      </x:c>
      <x:c r="G620" s="28" t="str">
        <x:f>IF(D620="","",IF(LEFT(D620,5)="RFP-A",IF(F620=1,"PTC-B","PTC-C"),IF(LEFT(D620,5)="RFP-B",IF(F620=1,"PTC-A","PTC-C"),IF(F620=1,"PTC-A","PTC-B"))))</x:f>
      </x:c>
      <x:c r="H620" s="29" t="str"/>
      <x:c r="I620" s="29" t="str"/>
      <x:c r="J620" s="29" t="str"/>
      <x:c r="K620" s="29" t="str"/>
      <x:c r="L620" s="29" t="str"/>
      <x:c r="M620" s="28" t="str">
        <x:f>IF(AND(C620="RESERVE",D620=""),"DORMANT",IF(L620="","OPEN",IF(AND(G620&lt;&gt;"",H620&lt;&gt;"",I620=H620,J620&lt;&gt;"",K620&lt;&gt;"",J620&lt;&gt;K620),"PASS","FAIL")))</x:f>
        <x:v>DORMANT</x:v>
      </x:c>
    </x:row>
    <x:row r="621">
      <x:c r="B621" s="28" t="str">
        <x:v>AT-26</x:v>
      </x:c>
      <x:c r="C621" s="28" t="str">
        <x:v>RESERVE</x:v>
      </x:c>
      <x:c r="D621" s="28" t="str">
        <x:f>INDEX('Attempt Tokens'!$E$7:$E$36,MATCH(B621,'Attempt Tokens'!$B$7:$B$36,0))</x:f>
      </x:c>
      <x:c r="E621" s="28" t="str">
        <x:v>RP-08</x:v>
      </x:c>
      <x:c r="F621" s="28" t="n">
        <x:v>1</x:v>
      </x:c>
      <x:c r="G621" s="28" t="str">
        <x:f>IF(D621="","",IF(LEFT(D621,5)="RFP-A",IF(F621=1,"PTC-B","PTC-C"),IF(LEFT(D621,5)="RFP-B",IF(F621=1,"PTC-A","PTC-C"),IF(F621=1,"PTC-A","PTC-B"))))</x:f>
      </x:c>
      <x:c r="H621" s="29" t="str"/>
      <x:c r="I621" s="29" t="str"/>
      <x:c r="J621" s="29" t="str"/>
      <x:c r="K621" s="29" t="str"/>
      <x:c r="L621" s="29" t="str"/>
      <x:c r="M621" s="28" t="str">
        <x:f>IF(AND(C621="RESERVE",D621=""),"DORMANT",IF(L621="","OPEN",IF(AND(G621&lt;&gt;"",H621&lt;&gt;"",I621=H621,J621&lt;&gt;"",K621&lt;&gt;"",J621&lt;&gt;K621),"PASS","FAIL")))</x:f>
        <x:v>DORMANT</x:v>
      </x:c>
    </x:row>
    <x:row r="622">
      <x:c r="B622" s="28" t="str">
        <x:v>AT-26</x:v>
      </x:c>
      <x:c r="C622" s="28" t="str">
        <x:v>RESERVE</x:v>
      </x:c>
      <x:c r="D622" s="28" t="str">
        <x:f>INDEX('Attempt Tokens'!$E$7:$E$36,MATCH(B622,'Attempt Tokens'!$B$7:$B$36,0))</x:f>
      </x:c>
      <x:c r="E622" s="28" t="str">
        <x:v>RP-08</x:v>
      </x:c>
      <x:c r="F622" s="28" t="n">
        <x:v>2</x:v>
      </x:c>
      <x:c r="G622" s="28" t="str">
        <x:f>IF(D622="","",IF(LEFT(D622,5)="RFP-A",IF(F622=1,"PTC-B","PTC-C"),IF(LEFT(D622,5)="RFP-B",IF(F622=1,"PTC-A","PTC-C"),IF(F622=1,"PTC-A","PTC-B"))))</x:f>
      </x:c>
      <x:c r="H622" s="29" t="str"/>
      <x:c r="I622" s="29" t="str"/>
      <x:c r="J622" s="29" t="str"/>
      <x:c r="K622" s="29" t="str"/>
      <x:c r="L622" s="29" t="str"/>
      <x:c r="M622" s="28" t="str">
        <x:f>IF(AND(C622="RESERVE",D622=""),"DORMANT",IF(L622="","OPEN",IF(AND(G622&lt;&gt;"",H622&lt;&gt;"",I622=H622,J622&lt;&gt;"",K622&lt;&gt;"",J622&lt;&gt;K622),"PASS","FAIL")))</x:f>
        <x:v>DORMANT</x:v>
      </x:c>
    </x:row>
    <x:row r="623">
      <x:c r="B623" s="28" t="str">
        <x:v>AT-26</x:v>
      </x:c>
      <x:c r="C623" s="28" t="str">
        <x:v>RESERVE</x:v>
      </x:c>
      <x:c r="D623" s="28" t="str">
        <x:f>INDEX('Attempt Tokens'!$E$7:$E$36,MATCH(B623,'Attempt Tokens'!$B$7:$B$36,0))</x:f>
      </x:c>
      <x:c r="E623" s="28" t="str">
        <x:v>RP-09</x:v>
      </x:c>
      <x:c r="F623" s="28" t="n">
        <x:v>1</x:v>
      </x:c>
      <x:c r="G623" s="28" t="str">
        <x:f>IF(D623="","",IF(LEFT(D623,5)="RFP-A",IF(F623=1,"PTC-B","PTC-C"),IF(LEFT(D623,5)="RFP-B",IF(F623=1,"PTC-A","PTC-C"),IF(F623=1,"PTC-A","PTC-B"))))</x:f>
      </x:c>
      <x:c r="H623" s="29" t="str"/>
      <x:c r="I623" s="29" t="str"/>
      <x:c r="J623" s="29" t="str"/>
      <x:c r="K623" s="29" t="str"/>
      <x:c r="L623" s="29" t="str"/>
      <x:c r="M623" s="28" t="str">
        <x:f>IF(AND(C623="RESERVE",D623=""),"DORMANT",IF(L623="","OPEN",IF(AND(G623&lt;&gt;"",H623&lt;&gt;"",I623=H623,J623&lt;&gt;"",K623&lt;&gt;"",J623&lt;&gt;K623),"PASS","FAIL")))</x:f>
        <x:v>DORMANT</x:v>
      </x:c>
    </x:row>
    <x:row r="624">
      <x:c r="B624" s="28" t="str">
        <x:v>AT-26</x:v>
      </x:c>
      <x:c r="C624" s="28" t="str">
        <x:v>RESERVE</x:v>
      </x:c>
      <x:c r="D624" s="28" t="str">
        <x:f>INDEX('Attempt Tokens'!$E$7:$E$36,MATCH(B624,'Attempt Tokens'!$B$7:$B$36,0))</x:f>
      </x:c>
      <x:c r="E624" s="28" t="str">
        <x:v>RP-09</x:v>
      </x:c>
      <x:c r="F624" s="28" t="n">
        <x:v>2</x:v>
      </x:c>
      <x:c r="G624" s="28" t="str">
        <x:f>IF(D624="","",IF(LEFT(D624,5)="RFP-A",IF(F624=1,"PTC-B","PTC-C"),IF(LEFT(D624,5)="RFP-B",IF(F624=1,"PTC-A","PTC-C"),IF(F624=1,"PTC-A","PTC-B"))))</x:f>
      </x:c>
      <x:c r="H624" s="29" t="str"/>
      <x:c r="I624" s="29" t="str"/>
      <x:c r="J624" s="29" t="str"/>
      <x:c r="K624" s="29" t="str"/>
      <x:c r="L624" s="29" t="str"/>
      <x:c r="M624" s="28" t="str">
        <x:f>IF(AND(C624="RESERVE",D624=""),"DORMANT",IF(L624="","OPEN",IF(AND(G624&lt;&gt;"",H624&lt;&gt;"",I624=H624,J624&lt;&gt;"",K624&lt;&gt;"",J624&lt;&gt;K624),"PASS","FAIL")))</x:f>
        <x:v>DORMANT</x:v>
      </x:c>
    </x:row>
    <x:row r="625">
      <x:c r="B625" s="28" t="str">
        <x:v>AT-26</x:v>
      </x:c>
      <x:c r="C625" s="28" t="str">
        <x:v>RESERVE</x:v>
      </x:c>
      <x:c r="D625" s="28" t="str">
        <x:f>INDEX('Attempt Tokens'!$E$7:$E$36,MATCH(B625,'Attempt Tokens'!$B$7:$B$36,0))</x:f>
      </x:c>
      <x:c r="E625" s="28" t="str">
        <x:v>RP-10</x:v>
      </x:c>
      <x:c r="F625" s="28" t="n">
        <x:v>1</x:v>
      </x:c>
      <x:c r="G625" s="28" t="str">
        <x:f>IF(D625="","",IF(LEFT(D625,5)="RFP-A",IF(F625=1,"PTC-B","PTC-C"),IF(LEFT(D625,5)="RFP-B",IF(F625=1,"PTC-A","PTC-C"),IF(F625=1,"PTC-A","PTC-B"))))</x:f>
      </x:c>
      <x:c r="H625" s="29" t="str"/>
      <x:c r="I625" s="29" t="str"/>
      <x:c r="J625" s="29" t="str"/>
      <x:c r="K625" s="29" t="str"/>
      <x:c r="L625" s="29" t="str"/>
      <x:c r="M625" s="28" t="str">
        <x:f>IF(AND(C625="RESERVE",D625=""),"DORMANT",IF(L625="","OPEN",IF(AND(G625&lt;&gt;"",H625&lt;&gt;"",I625=H625,J625&lt;&gt;"",K625&lt;&gt;"",J625&lt;&gt;K625),"PASS","FAIL")))</x:f>
        <x:v>DORMANT</x:v>
      </x:c>
    </x:row>
    <x:row r="626">
      <x:c r="B626" s="28" t="str">
        <x:v>AT-26</x:v>
      </x:c>
      <x:c r="C626" s="28" t="str">
        <x:v>RESERVE</x:v>
      </x:c>
      <x:c r="D626" s="28" t="str">
        <x:f>INDEX('Attempt Tokens'!$E$7:$E$36,MATCH(B626,'Attempt Tokens'!$B$7:$B$36,0))</x:f>
      </x:c>
      <x:c r="E626" s="28" t="str">
        <x:v>RP-10</x:v>
      </x:c>
      <x:c r="F626" s="28" t="n">
        <x:v>2</x:v>
      </x:c>
      <x:c r="G626" s="28" t="str">
        <x:f>IF(D626="","",IF(LEFT(D626,5)="RFP-A",IF(F626=1,"PTC-B","PTC-C"),IF(LEFT(D626,5)="RFP-B",IF(F626=1,"PTC-A","PTC-C"),IF(F626=1,"PTC-A","PTC-B"))))</x:f>
      </x:c>
      <x:c r="H626" s="29" t="str"/>
      <x:c r="I626" s="29" t="str"/>
      <x:c r="J626" s="29" t="str"/>
      <x:c r="K626" s="29" t="str"/>
      <x:c r="L626" s="29" t="str"/>
      <x:c r="M626" s="28" t="str">
        <x:f>IF(AND(C626="RESERVE",D626=""),"DORMANT",IF(L626="","OPEN",IF(AND(G626&lt;&gt;"",H626&lt;&gt;"",I626=H626,J626&lt;&gt;"",K626&lt;&gt;"",J626&lt;&gt;K626),"PASS","FAIL")))</x:f>
        <x:v>DORMANT</x:v>
      </x:c>
    </x:row>
    <x:row r="627">
      <x:c r="B627" s="28" t="str">
        <x:v>AT-26</x:v>
      </x:c>
      <x:c r="C627" s="28" t="str">
        <x:v>RESERVE</x:v>
      </x:c>
      <x:c r="D627" s="28" t="str">
        <x:f>INDEX('Attempt Tokens'!$E$7:$E$36,MATCH(B627,'Attempt Tokens'!$B$7:$B$36,0))</x:f>
      </x:c>
      <x:c r="E627" s="28" t="str">
        <x:v>RP-11</x:v>
      </x:c>
      <x:c r="F627" s="28" t="n">
        <x:v>1</x:v>
      </x:c>
      <x:c r="G627" s="28" t="str">
        <x:f>IF(D627="","",IF(LEFT(D627,5)="RFP-A",IF(F627=1,"PTC-B","PTC-C"),IF(LEFT(D627,5)="RFP-B",IF(F627=1,"PTC-A","PTC-C"),IF(F627=1,"PTC-A","PTC-B"))))</x:f>
      </x:c>
      <x:c r="H627" s="29" t="str"/>
      <x:c r="I627" s="29" t="str"/>
      <x:c r="J627" s="29" t="str"/>
      <x:c r="K627" s="29" t="str"/>
      <x:c r="L627" s="29" t="str"/>
      <x:c r="M627" s="28" t="str">
        <x:f>IF(AND(C627="RESERVE",D627=""),"DORMANT",IF(L627="","OPEN",IF(AND(G627&lt;&gt;"",H627&lt;&gt;"",I627=H627,J627&lt;&gt;"",K627&lt;&gt;"",J627&lt;&gt;K627),"PASS","FAIL")))</x:f>
        <x:v>DORMANT</x:v>
      </x:c>
    </x:row>
    <x:row r="628">
      <x:c r="B628" s="28" t="str">
        <x:v>AT-26</x:v>
      </x:c>
      <x:c r="C628" s="28" t="str">
        <x:v>RESERVE</x:v>
      </x:c>
      <x:c r="D628" s="28" t="str">
        <x:f>INDEX('Attempt Tokens'!$E$7:$E$36,MATCH(B628,'Attempt Tokens'!$B$7:$B$36,0))</x:f>
      </x:c>
      <x:c r="E628" s="28" t="str">
        <x:v>RP-11</x:v>
      </x:c>
      <x:c r="F628" s="28" t="n">
        <x:v>2</x:v>
      </x:c>
      <x:c r="G628" s="28" t="str">
        <x:f>IF(D628="","",IF(LEFT(D628,5)="RFP-A",IF(F628=1,"PTC-B","PTC-C"),IF(LEFT(D628,5)="RFP-B",IF(F628=1,"PTC-A","PTC-C"),IF(F628=1,"PTC-A","PTC-B"))))</x:f>
      </x:c>
      <x:c r="H628" s="29" t="str"/>
      <x:c r="I628" s="29" t="str"/>
      <x:c r="J628" s="29" t="str"/>
      <x:c r="K628" s="29" t="str"/>
      <x:c r="L628" s="29" t="str"/>
      <x:c r="M628" s="28" t="str">
        <x:f>IF(AND(C628="RESERVE",D628=""),"DORMANT",IF(L628="","OPEN",IF(AND(G628&lt;&gt;"",H628&lt;&gt;"",I628=H628,J628&lt;&gt;"",K628&lt;&gt;"",J628&lt;&gt;K628),"PASS","FAIL")))</x:f>
        <x:v>DORMANT</x:v>
      </x:c>
    </x:row>
    <x:row r="629">
      <x:c r="B629" s="28" t="str">
        <x:v>AT-26</x:v>
      </x:c>
      <x:c r="C629" s="28" t="str">
        <x:v>RESERVE</x:v>
      </x:c>
      <x:c r="D629" s="28" t="str">
        <x:f>INDEX('Attempt Tokens'!$E$7:$E$36,MATCH(B629,'Attempt Tokens'!$B$7:$B$36,0))</x:f>
      </x:c>
      <x:c r="E629" s="28" t="str">
        <x:v>RP-12</x:v>
      </x:c>
      <x:c r="F629" s="28" t="n">
        <x:v>1</x:v>
      </x:c>
      <x:c r="G629" s="28" t="str">
        <x:f>IF(D629="","",IF(LEFT(D629,5)="RFP-A",IF(F629=1,"PTC-B","PTC-C"),IF(LEFT(D629,5)="RFP-B",IF(F629=1,"PTC-A","PTC-C"),IF(F629=1,"PTC-A","PTC-B"))))</x:f>
      </x:c>
      <x:c r="H629" s="29" t="str"/>
      <x:c r="I629" s="29" t="str"/>
      <x:c r="J629" s="29" t="str"/>
      <x:c r="K629" s="29" t="str"/>
      <x:c r="L629" s="29" t="str"/>
      <x:c r="M629" s="28" t="str">
        <x:f>IF(AND(C629="RESERVE",D629=""),"DORMANT",IF(L629="","OPEN",IF(AND(G629&lt;&gt;"",H629&lt;&gt;"",I629=H629,J629&lt;&gt;"",K629&lt;&gt;"",J629&lt;&gt;K629),"PASS","FAIL")))</x:f>
        <x:v>DORMANT</x:v>
      </x:c>
    </x:row>
    <x:row r="630">
      <x:c r="B630" s="28" t="str">
        <x:v>AT-26</x:v>
      </x:c>
      <x:c r="C630" s="28" t="str">
        <x:v>RESERVE</x:v>
      </x:c>
      <x:c r="D630" s="28" t="str">
        <x:f>INDEX('Attempt Tokens'!$E$7:$E$36,MATCH(B630,'Attempt Tokens'!$B$7:$B$36,0))</x:f>
      </x:c>
      <x:c r="E630" s="28" t="str">
        <x:v>RP-12</x:v>
      </x:c>
      <x:c r="F630" s="28" t="n">
        <x:v>2</x:v>
      </x:c>
      <x:c r="G630" s="28" t="str">
        <x:f>IF(D630="","",IF(LEFT(D630,5)="RFP-A",IF(F630=1,"PTC-B","PTC-C"),IF(LEFT(D630,5)="RFP-B",IF(F630=1,"PTC-A","PTC-C"),IF(F630=1,"PTC-A","PTC-B"))))</x:f>
      </x:c>
      <x:c r="H630" s="29" t="str"/>
      <x:c r="I630" s="29" t="str"/>
      <x:c r="J630" s="29" t="str"/>
      <x:c r="K630" s="29" t="str"/>
      <x:c r="L630" s="29" t="str"/>
      <x:c r="M630" s="28" t="str">
        <x:f>IF(AND(C630="RESERVE",D630=""),"DORMANT",IF(L630="","OPEN",IF(AND(G630&lt;&gt;"",H630&lt;&gt;"",I630=H630,J630&lt;&gt;"",K630&lt;&gt;"",J630&lt;&gt;K630),"PASS","FAIL")))</x:f>
        <x:v>DORMANT</x:v>
      </x:c>
    </x:row>
    <x:row r="631">
      <x:c r="B631" s="28" t="str">
        <x:v>AT-27</x:v>
      </x:c>
      <x:c r="C631" s="28" t="str">
        <x:v>RESERVE</x:v>
      </x:c>
      <x:c r="D631" s="28" t="str">
        <x:f>INDEX('Attempt Tokens'!$E$7:$E$36,MATCH(B631,'Attempt Tokens'!$B$7:$B$36,0))</x:f>
      </x:c>
      <x:c r="E631" s="28" t="str">
        <x:v>RP-01</x:v>
      </x:c>
      <x:c r="F631" s="28" t="n">
        <x:v>1</x:v>
      </x:c>
      <x:c r="G631" s="28" t="str">
        <x:f>IF(D631="","",IF(LEFT(D631,5)="RFP-A",IF(F631=1,"PTC-B","PTC-C"),IF(LEFT(D631,5)="RFP-B",IF(F631=1,"PTC-A","PTC-C"),IF(F631=1,"PTC-A","PTC-B"))))</x:f>
      </x:c>
      <x:c r="H631" s="29" t="str"/>
      <x:c r="I631" s="29" t="str"/>
      <x:c r="J631" s="29" t="str"/>
      <x:c r="K631" s="29" t="str"/>
      <x:c r="L631" s="29" t="str"/>
      <x:c r="M631" s="28" t="str">
        <x:f>IF(AND(C631="RESERVE",D631=""),"DORMANT",IF(L631="","OPEN",IF(AND(G631&lt;&gt;"",H631&lt;&gt;"",I631=H631,J631&lt;&gt;"",K631&lt;&gt;"",J631&lt;&gt;K631),"PASS","FAIL")))</x:f>
        <x:v>DORMANT</x:v>
      </x:c>
    </x:row>
    <x:row r="632">
      <x:c r="B632" s="28" t="str">
        <x:v>AT-27</x:v>
      </x:c>
      <x:c r="C632" s="28" t="str">
        <x:v>RESERVE</x:v>
      </x:c>
      <x:c r="D632" s="28" t="str">
        <x:f>INDEX('Attempt Tokens'!$E$7:$E$36,MATCH(B632,'Attempt Tokens'!$B$7:$B$36,0))</x:f>
      </x:c>
      <x:c r="E632" s="28" t="str">
        <x:v>RP-01</x:v>
      </x:c>
      <x:c r="F632" s="28" t="n">
        <x:v>2</x:v>
      </x:c>
      <x:c r="G632" s="28" t="str">
        <x:f>IF(D632="","",IF(LEFT(D632,5)="RFP-A",IF(F632=1,"PTC-B","PTC-C"),IF(LEFT(D632,5)="RFP-B",IF(F632=1,"PTC-A","PTC-C"),IF(F632=1,"PTC-A","PTC-B"))))</x:f>
      </x:c>
      <x:c r="H632" s="29" t="str"/>
      <x:c r="I632" s="29" t="str"/>
      <x:c r="J632" s="29" t="str"/>
      <x:c r="K632" s="29" t="str"/>
      <x:c r="L632" s="29" t="str"/>
      <x:c r="M632" s="28" t="str">
        <x:f>IF(AND(C632="RESERVE",D632=""),"DORMANT",IF(L632="","OPEN",IF(AND(G632&lt;&gt;"",H632&lt;&gt;"",I632=H632,J632&lt;&gt;"",K632&lt;&gt;"",J632&lt;&gt;K632),"PASS","FAIL")))</x:f>
        <x:v>DORMANT</x:v>
      </x:c>
    </x:row>
    <x:row r="633">
      <x:c r="B633" s="28" t="str">
        <x:v>AT-27</x:v>
      </x:c>
      <x:c r="C633" s="28" t="str">
        <x:v>RESERVE</x:v>
      </x:c>
      <x:c r="D633" s="28" t="str">
        <x:f>INDEX('Attempt Tokens'!$E$7:$E$36,MATCH(B633,'Attempt Tokens'!$B$7:$B$36,0))</x:f>
      </x:c>
      <x:c r="E633" s="28" t="str">
        <x:v>RP-02</x:v>
      </x:c>
      <x:c r="F633" s="28" t="n">
        <x:v>1</x:v>
      </x:c>
      <x:c r="G633" s="28" t="str">
        <x:f>IF(D633="","",IF(LEFT(D633,5)="RFP-A",IF(F633=1,"PTC-B","PTC-C"),IF(LEFT(D633,5)="RFP-B",IF(F633=1,"PTC-A","PTC-C"),IF(F633=1,"PTC-A","PTC-B"))))</x:f>
      </x:c>
      <x:c r="H633" s="29" t="str"/>
      <x:c r="I633" s="29" t="str"/>
      <x:c r="J633" s="29" t="str"/>
      <x:c r="K633" s="29" t="str"/>
      <x:c r="L633" s="29" t="str"/>
      <x:c r="M633" s="28" t="str">
        <x:f>IF(AND(C633="RESERVE",D633=""),"DORMANT",IF(L633="","OPEN",IF(AND(G633&lt;&gt;"",H633&lt;&gt;"",I633=H633,J633&lt;&gt;"",K633&lt;&gt;"",J633&lt;&gt;K633),"PASS","FAIL")))</x:f>
        <x:v>DORMANT</x:v>
      </x:c>
    </x:row>
    <x:row r="634">
      <x:c r="B634" s="28" t="str">
        <x:v>AT-27</x:v>
      </x:c>
      <x:c r="C634" s="28" t="str">
        <x:v>RESERVE</x:v>
      </x:c>
      <x:c r="D634" s="28" t="str">
        <x:f>INDEX('Attempt Tokens'!$E$7:$E$36,MATCH(B634,'Attempt Tokens'!$B$7:$B$36,0))</x:f>
      </x:c>
      <x:c r="E634" s="28" t="str">
        <x:v>RP-02</x:v>
      </x:c>
      <x:c r="F634" s="28" t="n">
        <x:v>2</x:v>
      </x:c>
      <x:c r="G634" s="28" t="str">
        <x:f>IF(D634="","",IF(LEFT(D634,5)="RFP-A",IF(F634=1,"PTC-B","PTC-C"),IF(LEFT(D634,5)="RFP-B",IF(F634=1,"PTC-A","PTC-C"),IF(F634=1,"PTC-A","PTC-B"))))</x:f>
      </x:c>
      <x:c r="H634" s="29" t="str"/>
      <x:c r="I634" s="29" t="str"/>
      <x:c r="J634" s="29" t="str"/>
      <x:c r="K634" s="29" t="str"/>
      <x:c r="L634" s="29" t="str"/>
      <x:c r="M634" s="28" t="str">
        <x:f>IF(AND(C634="RESERVE",D634=""),"DORMANT",IF(L634="","OPEN",IF(AND(G634&lt;&gt;"",H634&lt;&gt;"",I634=H634,J634&lt;&gt;"",K634&lt;&gt;"",J634&lt;&gt;K634),"PASS","FAIL")))</x:f>
        <x:v>DORMANT</x:v>
      </x:c>
    </x:row>
    <x:row r="635">
      <x:c r="B635" s="28" t="str">
        <x:v>AT-27</x:v>
      </x:c>
      <x:c r="C635" s="28" t="str">
        <x:v>RESERVE</x:v>
      </x:c>
      <x:c r="D635" s="28" t="str">
        <x:f>INDEX('Attempt Tokens'!$E$7:$E$36,MATCH(B635,'Attempt Tokens'!$B$7:$B$36,0))</x:f>
      </x:c>
      <x:c r="E635" s="28" t="str">
        <x:v>RP-03</x:v>
      </x:c>
      <x:c r="F635" s="28" t="n">
        <x:v>1</x:v>
      </x:c>
      <x:c r="G635" s="28" t="str">
        <x:f>IF(D635="","",IF(LEFT(D635,5)="RFP-A",IF(F635=1,"PTC-B","PTC-C"),IF(LEFT(D635,5)="RFP-B",IF(F635=1,"PTC-A","PTC-C"),IF(F635=1,"PTC-A","PTC-B"))))</x:f>
      </x:c>
      <x:c r="H635" s="29" t="str"/>
      <x:c r="I635" s="29" t="str"/>
      <x:c r="J635" s="29" t="str"/>
      <x:c r="K635" s="29" t="str"/>
      <x:c r="L635" s="29" t="str"/>
      <x:c r="M635" s="28" t="str">
        <x:f>IF(AND(C635="RESERVE",D635=""),"DORMANT",IF(L635="","OPEN",IF(AND(G635&lt;&gt;"",H635&lt;&gt;"",I635=H635,J635&lt;&gt;"",K635&lt;&gt;"",J635&lt;&gt;K635),"PASS","FAIL")))</x:f>
        <x:v>DORMANT</x:v>
      </x:c>
    </x:row>
    <x:row r="636">
      <x:c r="B636" s="28" t="str">
        <x:v>AT-27</x:v>
      </x:c>
      <x:c r="C636" s="28" t="str">
        <x:v>RESERVE</x:v>
      </x:c>
      <x:c r="D636" s="28" t="str">
        <x:f>INDEX('Attempt Tokens'!$E$7:$E$36,MATCH(B636,'Attempt Tokens'!$B$7:$B$36,0))</x:f>
      </x:c>
      <x:c r="E636" s="28" t="str">
        <x:v>RP-03</x:v>
      </x:c>
      <x:c r="F636" s="28" t="n">
        <x:v>2</x:v>
      </x:c>
      <x:c r="G636" s="28" t="str">
        <x:f>IF(D636="","",IF(LEFT(D636,5)="RFP-A",IF(F636=1,"PTC-B","PTC-C"),IF(LEFT(D636,5)="RFP-B",IF(F636=1,"PTC-A","PTC-C"),IF(F636=1,"PTC-A","PTC-B"))))</x:f>
      </x:c>
      <x:c r="H636" s="29" t="str"/>
      <x:c r="I636" s="29" t="str"/>
      <x:c r="J636" s="29" t="str"/>
      <x:c r="K636" s="29" t="str"/>
      <x:c r="L636" s="29" t="str"/>
      <x:c r="M636" s="28" t="str">
        <x:f>IF(AND(C636="RESERVE",D636=""),"DORMANT",IF(L636="","OPEN",IF(AND(G636&lt;&gt;"",H636&lt;&gt;"",I636=H636,J636&lt;&gt;"",K636&lt;&gt;"",J636&lt;&gt;K636),"PASS","FAIL")))</x:f>
        <x:v>DORMANT</x:v>
      </x:c>
    </x:row>
    <x:row r="637">
      <x:c r="B637" s="28" t="str">
        <x:v>AT-27</x:v>
      </x:c>
      <x:c r="C637" s="28" t="str">
        <x:v>RESERVE</x:v>
      </x:c>
      <x:c r="D637" s="28" t="str">
        <x:f>INDEX('Attempt Tokens'!$E$7:$E$36,MATCH(B637,'Attempt Tokens'!$B$7:$B$36,0))</x:f>
      </x:c>
      <x:c r="E637" s="28" t="str">
        <x:v>RP-04</x:v>
      </x:c>
      <x:c r="F637" s="28" t="n">
        <x:v>1</x:v>
      </x:c>
      <x:c r="G637" s="28" t="str">
        <x:f>IF(D637="","",IF(LEFT(D637,5)="RFP-A",IF(F637=1,"PTC-B","PTC-C"),IF(LEFT(D637,5)="RFP-B",IF(F637=1,"PTC-A","PTC-C"),IF(F637=1,"PTC-A","PTC-B"))))</x:f>
      </x:c>
      <x:c r="H637" s="29" t="str"/>
      <x:c r="I637" s="29" t="str"/>
      <x:c r="J637" s="29" t="str"/>
      <x:c r="K637" s="29" t="str"/>
      <x:c r="L637" s="29" t="str"/>
      <x:c r="M637" s="28" t="str">
        <x:f>IF(AND(C637="RESERVE",D637=""),"DORMANT",IF(L637="","OPEN",IF(AND(G637&lt;&gt;"",H637&lt;&gt;"",I637=H637,J637&lt;&gt;"",K637&lt;&gt;"",J637&lt;&gt;K637),"PASS","FAIL")))</x:f>
        <x:v>DORMANT</x:v>
      </x:c>
    </x:row>
    <x:row r="638">
      <x:c r="B638" s="28" t="str">
        <x:v>AT-27</x:v>
      </x:c>
      <x:c r="C638" s="28" t="str">
        <x:v>RESERVE</x:v>
      </x:c>
      <x:c r="D638" s="28" t="str">
        <x:f>INDEX('Attempt Tokens'!$E$7:$E$36,MATCH(B638,'Attempt Tokens'!$B$7:$B$36,0))</x:f>
      </x:c>
      <x:c r="E638" s="28" t="str">
        <x:v>RP-04</x:v>
      </x:c>
      <x:c r="F638" s="28" t="n">
        <x:v>2</x:v>
      </x:c>
      <x:c r="G638" s="28" t="str">
        <x:f>IF(D638="","",IF(LEFT(D638,5)="RFP-A",IF(F638=1,"PTC-B","PTC-C"),IF(LEFT(D638,5)="RFP-B",IF(F638=1,"PTC-A","PTC-C"),IF(F638=1,"PTC-A","PTC-B"))))</x:f>
      </x:c>
      <x:c r="H638" s="29" t="str"/>
      <x:c r="I638" s="29" t="str"/>
      <x:c r="J638" s="29" t="str"/>
      <x:c r="K638" s="29" t="str"/>
      <x:c r="L638" s="29" t="str"/>
      <x:c r="M638" s="28" t="str">
        <x:f>IF(AND(C638="RESERVE",D638=""),"DORMANT",IF(L638="","OPEN",IF(AND(G638&lt;&gt;"",H638&lt;&gt;"",I638=H638,J638&lt;&gt;"",K638&lt;&gt;"",J638&lt;&gt;K638),"PASS","FAIL")))</x:f>
        <x:v>DORMANT</x:v>
      </x:c>
    </x:row>
    <x:row r="639">
      <x:c r="B639" s="28" t="str">
        <x:v>AT-27</x:v>
      </x:c>
      <x:c r="C639" s="28" t="str">
        <x:v>RESERVE</x:v>
      </x:c>
      <x:c r="D639" s="28" t="str">
        <x:f>INDEX('Attempt Tokens'!$E$7:$E$36,MATCH(B639,'Attempt Tokens'!$B$7:$B$36,0))</x:f>
      </x:c>
      <x:c r="E639" s="28" t="str">
        <x:v>RP-05</x:v>
      </x:c>
      <x:c r="F639" s="28" t="n">
        <x:v>1</x:v>
      </x:c>
      <x:c r="G639" s="28" t="str">
        <x:f>IF(D639="","",IF(LEFT(D639,5)="RFP-A",IF(F639=1,"PTC-B","PTC-C"),IF(LEFT(D639,5)="RFP-B",IF(F639=1,"PTC-A","PTC-C"),IF(F639=1,"PTC-A","PTC-B"))))</x:f>
      </x:c>
      <x:c r="H639" s="29" t="str"/>
      <x:c r="I639" s="29" t="str"/>
      <x:c r="J639" s="29" t="str"/>
      <x:c r="K639" s="29" t="str"/>
      <x:c r="L639" s="29" t="str"/>
      <x:c r="M639" s="28" t="str">
        <x:f>IF(AND(C639="RESERVE",D639=""),"DORMANT",IF(L639="","OPEN",IF(AND(G639&lt;&gt;"",H639&lt;&gt;"",I639=H639,J639&lt;&gt;"",K639&lt;&gt;"",J639&lt;&gt;K639),"PASS","FAIL")))</x:f>
        <x:v>DORMANT</x:v>
      </x:c>
    </x:row>
    <x:row r="640">
      <x:c r="B640" s="28" t="str">
        <x:v>AT-27</x:v>
      </x:c>
      <x:c r="C640" s="28" t="str">
        <x:v>RESERVE</x:v>
      </x:c>
      <x:c r="D640" s="28" t="str">
        <x:f>INDEX('Attempt Tokens'!$E$7:$E$36,MATCH(B640,'Attempt Tokens'!$B$7:$B$36,0))</x:f>
      </x:c>
      <x:c r="E640" s="28" t="str">
        <x:v>RP-05</x:v>
      </x:c>
      <x:c r="F640" s="28" t="n">
        <x:v>2</x:v>
      </x:c>
      <x:c r="G640" s="28" t="str">
        <x:f>IF(D640="","",IF(LEFT(D640,5)="RFP-A",IF(F640=1,"PTC-B","PTC-C"),IF(LEFT(D640,5)="RFP-B",IF(F640=1,"PTC-A","PTC-C"),IF(F640=1,"PTC-A","PTC-B"))))</x:f>
      </x:c>
      <x:c r="H640" s="29" t="str"/>
      <x:c r="I640" s="29" t="str"/>
      <x:c r="J640" s="29" t="str"/>
      <x:c r="K640" s="29" t="str"/>
      <x:c r="L640" s="29" t="str"/>
      <x:c r="M640" s="28" t="str">
        <x:f>IF(AND(C640="RESERVE",D640=""),"DORMANT",IF(L640="","OPEN",IF(AND(G640&lt;&gt;"",H640&lt;&gt;"",I640=H640,J640&lt;&gt;"",K640&lt;&gt;"",J640&lt;&gt;K640),"PASS","FAIL")))</x:f>
        <x:v>DORMANT</x:v>
      </x:c>
    </x:row>
    <x:row r="641">
      <x:c r="B641" s="28" t="str">
        <x:v>AT-27</x:v>
      </x:c>
      <x:c r="C641" s="28" t="str">
        <x:v>RESERVE</x:v>
      </x:c>
      <x:c r="D641" s="28" t="str">
        <x:f>INDEX('Attempt Tokens'!$E$7:$E$36,MATCH(B641,'Attempt Tokens'!$B$7:$B$36,0))</x:f>
      </x:c>
      <x:c r="E641" s="28" t="str">
        <x:v>RP-06</x:v>
      </x:c>
      <x:c r="F641" s="28" t="n">
        <x:v>1</x:v>
      </x:c>
      <x:c r="G641" s="28" t="str">
        <x:f>IF(D641="","",IF(LEFT(D641,5)="RFP-A",IF(F641=1,"PTC-B","PTC-C"),IF(LEFT(D641,5)="RFP-B",IF(F641=1,"PTC-A","PTC-C"),IF(F641=1,"PTC-A","PTC-B"))))</x:f>
      </x:c>
      <x:c r="H641" s="29" t="str"/>
      <x:c r="I641" s="29" t="str"/>
      <x:c r="J641" s="29" t="str"/>
      <x:c r="K641" s="29" t="str"/>
      <x:c r="L641" s="29" t="str"/>
      <x:c r="M641" s="28" t="str">
        <x:f>IF(AND(C641="RESERVE",D641=""),"DORMANT",IF(L641="","OPEN",IF(AND(G641&lt;&gt;"",H641&lt;&gt;"",I641=H641,J641&lt;&gt;"",K641&lt;&gt;"",J641&lt;&gt;K641),"PASS","FAIL")))</x:f>
        <x:v>DORMANT</x:v>
      </x:c>
    </x:row>
    <x:row r="642">
      <x:c r="B642" s="28" t="str">
        <x:v>AT-27</x:v>
      </x:c>
      <x:c r="C642" s="28" t="str">
        <x:v>RESERVE</x:v>
      </x:c>
      <x:c r="D642" s="28" t="str">
        <x:f>INDEX('Attempt Tokens'!$E$7:$E$36,MATCH(B642,'Attempt Tokens'!$B$7:$B$36,0))</x:f>
      </x:c>
      <x:c r="E642" s="28" t="str">
        <x:v>RP-06</x:v>
      </x:c>
      <x:c r="F642" s="28" t="n">
        <x:v>2</x:v>
      </x:c>
      <x:c r="G642" s="28" t="str">
        <x:f>IF(D642="","",IF(LEFT(D642,5)="RFP-A",IF(F642=1,"PTC-B","PTC-C"),IF(LEFT(D642,5)="RFP-B",IF(F642=1,"PTC-A","PTC-C"),IF(F642=1,"PTC-A","PTC-B"))))</x:f>
      </x:c>
      <x:c r="H642" s="29" t="str"/>
      <x:c r="I642" s="29" t="str"/>
      <x:c r="J642" s="29" t="str"/>
      <x:c r="K642" s="29" t="str"/>
      <x:c r="L642" s="29" t="str"/>
      <x:c r="M642" s="28" t="str">
        <x:f>IF(AND(C642="RESERVE",D642=""),"DORMANT",IF(L642="","OPEN",IF(AND(G642&lt;&gt;"",H642&lt;&gt;"",I642=H642,J642&lt;&gt;"",K642&lt;&gt;"",J642&lt;&gt;K642),"PASS","FAIL")))</x:f>
        <x:v>DORMANT</x:v>
      </x:c>
    </x:row>
    <x:row r="643">
      <x:c r="B643" s="28" t="str">
        <x:v>AT-27</x:v>
      </x:c>
      <x:c r="C643" s="28" t="str">
        <x:v>RESERVE</x:v>
      </x:c>
      <x:c r="D643" s="28" t="str">
        <x:f>INDEX('Attempt Tokens'!$E$7:$E$36,MATCH(B643,'Attempt Tokens'!$B$7:$B$36,0))</x:f>
      </x:c>
      <x:c r="E643" s="28" t="str">
        <x:v>RP-07</x:v>
      </x:c>
      <x:c r="F643" s="28" t="n">
        <x:v>1</x:v>
      </x:c>
      <x:c r="G643" s="28" t="str">
        <x:f>IF(D643="","",IF(LEFT(D643,5)="RFP-A",IF(F643=1,"PTC-B","PTC-C"),IF(LEFT(D643,5)="RFP-B",IF(F643=1,"PTC-A","PTC-C"),IF(F643=1,"PTC-A","PTC-B"))))</x:f>
      </x:c>
      <x:c r="H643" s="29" t="str"/>
      <x:c r="I643" s="29" t="str"/>
      <x:c r="J643" s="29" t="str"/>
      <x:c r="K643" s="29" t="str"/>
      <x:c r="L643" s="29" t="str"/>
      <x:c r="M643" s="28" t="str">
        <x:f>IF(AND(C643="RESERVE",D643=""),"DORMANT",IF(L643="","OPEN",IF(AND(G643&lt;&gt;"",H643&lt;&gt;"",I643=H643,J643&lt;&gt;"",K643&lt;&gt;"",J643&lt;&gt;K643),"PASS","FAIL")))</x:f>
        <x:v>DORMANT</x:v>
      </x:c>
    </x:row>
    <x:row r="644">
      <x:c r="B644" s="28" t="str">
        <x:v>AT-27</x:v>
      </x:c>
      <x:c r="C644" s="28" t="str">
        <x:v>RESERVE</x:v>
      </x:c>
      <x:c r="D644" s="28" t="str">
        <x:f>INDEX('Attempt Tokens'!$E$7:$E$36,MATCH(B644,'Attempt Tokens'!$B$7:$B$36,0))</x:f>
      </x:c>
      <x:c r="E644" s="28" t="str">
        <x:v>RP-07</x:v>
      </x:c>
      <x:c r="F644" s="28" t="n">
        <x:v>2</x:v>
      </x:c>
      <x:c r="G644" s="28" t="str">
        <x:f>IF(D644="","",IF(LEFT(D644,5)="RFP-A",IF(F644=1,"PTC-B","PTC-C"),IF(LEFT(D644,5)="RFP-B",IF(F644=1,"PTC-A","PTC-C"),IF(F644=1,"PTC-A","PTC-B"))))</x:f>
      </x:c>
      <x:c r="H644" s="29" t="str"/>
      <x:c r="I644" s="29" t="str"/>
      <x:c r="J644" s="29" t="str"/>
      <x:c r="K644" s="29" t="str"/>
      <x:c r="L644" s="29" t="str"/>
      <x:c r="M644" s="28" t="str">
        <x:f>IF(AND(C644="RESERVE",D644=""),"DORMANT",IF(L644="","OPEN",IF(AND(G644&lt;&gt;"",H644&lt;&gt;"",I644=H644,J644&lt;&gt;"",K644&lt;&gt;"",J644&lt;&gt;K644),"PASS","FAIL")))</x:f>
        <x:v>DORMANT</x:v>
      </x:c>
    </x:row>
    <x:row r="645">
      <x:c r="B645" s="28" t="str">
        <x:v>AT-27</x:v>
      </x:c>
      <x:c r="C645" s="28" t="str">
        <x:v>RESERVE</x:v>
      </x:c>
      <x:c r="D645" s="28" t="str">
        <x:f>INDEX('Attempt Tokens'!$E$7:$E$36,MATCH(B645,'Attempt Tokens'!$B$7:$B$36,0))</x:f>
      </x:c>
      <x:c r="E645" s="28" t="str">
        <x:v>RP-08</x:v>
      </x:c>
      <x:c r="F645" s="28" t="n">
        <x:v>1</x:v>
      </x:c>
      <x:c r="G645" s="28" t="str">
        <x:f>IF(D645="","",IF(LEFT(D645,5)="RFP-A",IF(F645=1,"PTC-B","PTC-C"),IF(LEFT(D645,5)="RFP-B",IF(F645=1,"PTC-A","PTC-C"),IF(F645=1,"PTC-A","PTC-B"))))</x:f>
      </x:c>
      <x:c r="H645" s="29" t="str"/>
      <x:c r="I645" s="29" t="str"/>
      <x:c r="J645" s="29" t="str"/>
      <x:c r="K645" s="29" t="str"/>
      <x:c r="L645" s="29" t="str"/>
      <x:c r="M645" s="28" t="str">
        <x:f>IF(AND(C645="RESERVE",D645=""),"DORMANT",IF(L645="","OPEN",IF(AND(G645&lt;&gt;"",H645&lt;&gt;"",I645=H645,J645&lt;&gt;"",K645&lt;&gt;"",J645&lt;&gt;K645),"PASS","FAIL")))</x:f>
        <x:v>DORMANT</x:v>
      </x:c>
    </x:row>
    <x:row r="646">
      <x:c r="B646" s="28" t="str">
        <x:v>AT-27</x:v>
      </x:c>
      <x:c r="C646" s="28" t="str">
        <x:v>RESERVE</x:v>
      </x:c>
      <x:c r="D646" s="28" t="str">
        <x:f>INDEX('Attempt Tokens'!$E$7:$E$36,MATCH(B646,'Attempt Tokens'!$B$7:$B$36,0))</x:f>
      </x:c>
      <x:c r="E646" s="28" t="str">
        <x:v>RP-08</x:v>
      </x:c>
      <x:c r="F646" s="28" t="n">
        <x:v>2</x:v>
      </x:c>
      <x:c r="G646" s="28" t="str">
        <x:f>IF(D646="","",IF(LEFT(D646,5)="RFP-A",IF(F646=1,"PTC-B","PTC-C"),IF(LEFT(D646,5)="RFP-B",IF(F646=1,"PTC-A","PTC-C"),IF(F646=1,"PTC-A","PTC-B"))))</x:f>
      </x:c>
      <x:c r="H646" s="29" t="str"/>
      <x:c r="I646" s="29" t="str"/>
      <x:c r="J646" s="29" t="str"/>
      <x:c r="K646" s="29" t="str"/>
      <x:c r="L646" s="29" t="str"/>
      <x:c r="M646" s="28" t="str">
        <x:f>IF(AND(C646="RESERVE",D646=""),"DORMANT",IF(L646="","OPEN",IF(AND(G646&lt;&gt;"",H646&lt;&gt;"",I646=H646,J646&lt;&gt;"",K646&lt;&gt;"",J646&lt;&gt;K646),"PASS","FAIL")))</x:f>
        <x:v>DORMANT</x:v>
      </x:c>
    </x:row>
    <x:row r="647">
      <x:c r="B647" s="28" t="str">
        <x:v>AT-27</x:v>
      </x:c>
      <x:c r="C647" s="28" t="str">
        <x:v>RESERVE</x:v>
      </x:c>
      <x:c r="D647" s="28" t="str">
        <x:f>INDEX('Attempt Tokens'!$E$7:$E$36,MATCH(B647,'Attempt Tokens'!$B$7:$B$36,0))</x:f>
      </x:c>
      <x:c r="E647" s="28" t="str">
        <x:v>RP-09</x:v>
      </x:c>
      <x:c r="F647" s="28" t="n">
        <x:v>1</x:v>
      </x:c>
      <x:c r="G647" s="28" t="str">
        <x:f>IF(D647="","",IF(LEFT(D647,5)="RFP-A",IF(F647=1,"PTC-B","PTC-C"),IF(LEFT(D647,5)="RFP-B",IF(F647=1,"PTC-A","PTC-C"),IF(F647=1,"PTC-A","PTC-B"))))</x:f>
      </x:c>
      <x:c r="H647" s="29" t="str"/>
      <x:c r="I647" s="29" t="str"/>
      <x:c r="J647" s="29" t="str"/>
      <x:c r="K647" s="29" t="str"/>
      <x:c r="L647" s="29" t="str"/>
      <x:c r="M647" s="28" t="str">
        <x:f>IF(AND(C647="RESERVE",D647=""),"DORMANT",IF(L647="","OPEN",IF(AND(G647&lt;&gt;"",H647&lt;&gt;"",I647=H647,J647&lt;&gt;"",K647&lt;&gt;"",J647&lt;&gt;K647),"PASS","FAIL")))</x:f>
        <x:v>DORMANT</x:v>
      </x:c>
    </x:row>
    <x:row r="648">
      <x:c r="B648" s="28" t="str">
        <x:v>AT-27</x:v>
      </x:c>
      <x:c r="C648" s="28" t="str">
        <x:v>RESERVE</x:v>
      </x:c>
      <x:c r="D648" s="28" t="str">
        <x:f>INDEX('Attempt Tokens'!$E$7:$E$36,MATCH(B648,'Attempt Tokens'!$B$7:$B$36,0))</x:f>
      </x:c>
      <x:c r="E648" s="28" t="str">
        <x:v>RP-09</x:v>
      </x:c>
      <x:c r="F648" s="28" t="n">
        <x:v>2</x:v>
      </x:c>
      <x:c r="G648" s="28" t="str">
        <x:f>IF(D648="","",IF(LEFT(D648,5)="RFP-A",IF(F648=1,"PTC-B","PTC-C"),IF(LEFT(D648,5)="RFP-B",IF(F648=1,"PTC-A","PTC-C"),IF(F648=1,"PTC-A","PTC-B"))))</x:f>
      </x:c>
      <x:c r="H648" s="29" t="str"/>
      <x:c r="I648" s="29" t="str"/>
      <x:c r="J648" s="29" t="str"/>
      <x:c r="K648" s="29" t="str"/>
      <x:c r="L648" s="29" t="str"/>
      <x:c r="M648" s="28" t="str">
        <x:f>IF(AND(C648="RESERVE",D648=""),"DORMANT",IF(L648="","OPEN",IF(AND(G648&lt;&gt;"",H648&lt;&gt;"",I648=H648,J648&lt;&gt;"",K648&lt;&gt;"",J648&lt;&gt;K648),"PASS","FAIL")))</x:f>
        <x:v>DORMANT</x:v>
      </x:c>
    </x:row>
    <x:row r="649">
      <x:c r="B649" s="28" t="str">
        <x:v>AT-27</x:v>
      </x:c>
      <x:c r="C649" s="28" t="str">
        <x:v>RESERVE</x:v>
      </x:c>
      <x:c r="D649" s="28" t="str">
        <x:f>INDEX('Attempt Tokens'!$E$7:$E$36,MATCH(B649,'Attempt Tokens'!$B$7:$B$36,0))</x:f>
      </x:c>
      <x:c r="E649" s="28" t="str">
        <x:v>RP-10</x:v>
      </x:c>
      <x:c r="F649" s="28" t="n">
        <x:v>1</x:v>
      </x:c>
      <x:c r="G649" s="28" t="str">
        <x:f>IF(D649="","",IF(LEFT(D649,5)="RFP-A",IF(F649=1,"PTC-B","PTC-C"),IF(LEFT(D649,5)="RFP-B",IF(F649=1,"PTC-A","PTC-C"),IF(F649=1,"PTC-A","PTC-B"))))</x:f>
      </x:c>
      <x:c r="H649" s="29" t="str"/>
      <x:c r="I649" s="29" t="str"/>
      <x:c r="J649" s="29" t="str"/>
      <x:c r="K649" s="29" t="str"/>
      <x:c r="L649" s="29" t="str"/>
      <x:c r="M649" s="28" t="str">
        <x:f>IF(AND(C649="RESERVE",D649=""),"DORMANT",IF(L649="","OPEN",IF(AND(G649&lt;&gt;"",H649&lt;&gt;"",I649=H649,J649&lt;&gt;"",K649&lt;&gt;"",J649&lt;&gt;K649),"PASS","FAIL")))</x:f>
        <x:v>DORMANT</x:v>
      </x:c>
    </x:row>
    <x:row r="650">
      <x:c r="B650" s="28" t="str">
        <x:v>AT-27</x:v>
      </x:c>
      <x:c r="C650" s="28" t="str">
        <x:v>RESERVE</x:v>
      </x:c>
      <x:c r="D650" s="28" t="str">
        <x:f>INDEX('Attempt Tokens'!$E$7:$E$36,MATCH(B650,'Attempt Tokens'!$B$7:$B$36,0))</x:f>
      </x:c>
      <x:c r="E650" s="28" t="str">
        <x:v>RP-10</x:v>
      </x:c>
      <x:c r="F650" s="28" t="n">
        <x:v>2</x:v>
      </x:c>
      <x:c r="G650" s="28" t="str">
        <x:f>IF(D650="","",IF(LEFT(D650,5)="RFP-A",IF(F650=1,"PTC-B","PTC-C"),IF(LEFT(D650,5)="RFP-B",IF(F650=1,"PTC-A","PTC-C"),IF(F650=1,"PTC-A","PTC-B"))))</x:f>
      </x:c>
      <x:c r="H650" s="29" t="str"/>
      <x:c r="I650" s="29" t="str"/>
      <x:c r="J650" s="29" t="str"/>
      <x:c r="K650" s="29" t="str"/>
      <x:c r="L650" s="29" t="str"/>
      <x:c r="M650" s="28" t="str">
        <x:f>IF(AND(C650="RESERVE",D650=""),"DORMANT",IF(L650="","OPEN",IF(AND(G650&lt;&gt;"",H650&lt;&gt;"",I650=H650,J650&lt;&gt;"",K650&lt;&gt;"",J650&lt;&gt;K650),"PASS","FAIL")))</x:f>
        <x:v>DORMANT</x:v>
      </x:c>
    </x:row>
    <x:row r="651">
      <x:c r="B651" s="28" t="str">
        <x:v>AT-27</x:v>
      </x:c>
      <x:c r="C651" s="28" t="str">
        <x:v>RESERVE</x:v>
      </x:c>
      <x:c r="D651" s="28" t="str">
        <x:f>INDEX('Attempt Tokens'!$E$7:$E$36,MATCH(B651,'Attempt Tokens'!$B$7:$B$36,0))</x:f>
      </x:c>
      <x:c r="E651" s="28" t="str">
        <x:v>RP-11</x:v>
      </x:c>
      <x:c r="F651" s="28" t="n">
        <x:v>1</x:v>
      </x:c>
      <x:c r="G651" s="28" t="str">
        <x:f>IF(D651="","",IF(LEFT(D651,5)="RFP-A",IF(F651=1,"PTC-B","PTC-C"),IF(LEFT(D651,5)="RFP-B",IF(F651=1,"PTC-A","PTC-C"),IF(F651=1,"PTC-A","PTC-B"))))</x:f>
      </x:c>
      <x:c r="H651" s="29" t="str"/>
      <x:c r="I651" s="29" t="str"/>
      <x:c r="J651" s="29" t="str"/>
      <x:c r="K651" s="29" t="str"/>
      <x:c r="L651" s="29" t="str"/>
      <x:c r="M651" s="28" t="str">
        <x:f>IF(AND(C651="RESERVE",D651=""),"DORMANT",IF(L651="","OPEN",IF(AND(G651&lt;&gt;"",H651&lt;&gt;"",I651=H651,J651&lt;&gt;"",K651&lt;&gt;"",J651&lt;&gt;K651),"PASS","FAIL")))</x:f>
        <x:v>DORMANT</x:v>
      </x:c>
    </x:row>
    <x:row r="652">
      <x:c r="B652" s="28" t="str">
        <x:v>AT-27</x:v>
      </x:c>
      <x:c r="C652" s="28" t="str">
        <x:v>RESERVE</x:v>
      </x:c>
      <x:c r="D652" s="28" t="str">
        <x:f>INDEX('Attempt Tokens'!$E$7:$E$36,MATCH(B652,'Attempt Tokens'!$B$7:$B$36,0))</x:f>
      </x:c>
      <x:c r="E652" s="28" t="str">
        <x:v>RP-11</x:v>
      </x:c>
      <x:c r="F652" s="28" t="n">
        <x:v>2</x:v>
      </x:c>
      <x:c r="G652" s="28" t="str">
        <x:f>IF(D652="","",IF(LEFT(D652,5)="RFP-A",IF(F652=1,"PTC-B","PTC-C"),IF(LEFT(D652,5)="RFP-B",IF(F652=1,"PTC-A","PTC-C"),IF(F652=1,"PTC-A","PTC-B"))))</x:f>
      </x:c>
      <x:c r="H652" s="29" t="str"/>
      <x:c r="I652" s="29" t="str"/>
      <x:c r="J652" s="29" t="str"/>
      <x:c r="K652" s="29" t="str"/>
      <x:c r="L652" s="29" t="str"/>
      <x:c r="M652" s="28" t="str">
        <x:f>IF(AND(C652="RESERVE",D652=""),"DORMANT",IF(L652="","OPEN",IF(AND(G652&lt;&gt;"",H652&lt;&gt;"",I652=H652,J652&lt;&gt;"",K652&lt;&gt;"",J652&lt;&gt;K652),"PASS","FAIL")))</x:f>
        <x:v>DORMANT</x:v>
      </x:c>
    </x:row>
    <x:row r="653">
      <x:c r="B653" s="28" t="str">
        <x:v>AT-27</x:v>
      </x:c>
      <x:c r="C653" s="28" t="str">
        <x:v>RESERVE</x:v>
      </x:c>
      <x:c r="D653" s="28" t="str">
        <x:f>INDEX('Attempt Tokens'!$E$7:$E$36,MATCH(B653,'Attempt Tokens'!$B$7:$B$36,0))</x:f>
      </x:c>
      <x:c r="E653" s="28" t="str">
        <x:v>RP-12</x:v>
      </x:c>
      <x:c r="F653" s="28" t="n">
        <x:v>1</x:v>
      </x:c>
      <x:c r="G653" s="28" t="str">
        <x:f>IF(D653="","",IF(LEFT(D653,5)="RFP-A",IF(F653=1,"PTC-B","PTC-C"),IF(LEFT(D653,5)="RFP-B",IF(F653=1,"PTC-A","PTC-C"),IF(F653=1,"PTC-A","PTC-B"))))</x:f>
      </x:c>
      <x:c r="H653" s="29" t="str"/>
      <x:c r="I653" s="29" t="str"/>
      <x:c r="J653" s="29" t="str"/>
      <x:c r="K653" s="29" t="str"/>
      <x:c r="L653" s="29" t="str"/>
      <x:c r="M653" s="28" t="str">
        <x:f>IF(AND(C653="RESERVE",D653=""),"DORMANT",IF(L653="","OPEN",IF(AND(G653&lt;&gt;"",H653&lt;&gt;"",I653=H653,J653&lt;&gt;"",K653&lt;&gt;"",J653&lt;&gt;K653),"PASS","FAIL")))</x:f>
        <x:v>DORMANT</x:v>
      </x:c>
    </x:row>
    <x:row r="654">
      <x:c r="B654" s="28" t="str">
        <x:v>AT-27</x:v>
      </x:c>
      <x:c r="C654" s="28" t="str">
        <x:v>RESERVE</x:v>
      </x:c>
      <x:c r="D654" s="28" t="str">
        <x:f>INDEX('Attempt Tokens'!$E$7:$E$36,MATCH(B654,'Attempt Tokens'!$B$7:$B$36,0))</x:f>
      </x:c>
      <x:c r="E654" s="28" t="str">
        <x:v>RP-12</x:v>
      </x:c>
      <x:c r="F654" s="28" t="n">
        <x:v>2</x:v>
      </x:c>
      <x:c r="G654" s="28" t="str">
        <x:f>IF(D654="","",IF(LEFT(D654,5)="RFP-A",IF(F654=1,"PTC-B","PTC-C"),IF(LEFT(D654,5)="RFP-B",IF(F654=1,"PTC-A","PTC-C"),IF(F654=1,"PTC-A","PTC-B"))))</x:f>
      </x:c>
      <x:c r="H654" s="29" t="str"/>
      <x:c r="I654" s="29" t="str"/>
      <x:c r="J654" s="29" t="str"/>
      <x:c r="K654" s="29" t="str"/>
      <x:c r="L654" s="29" t="str"/>
      <x:c r="M654" s="28" t="str">
        <x:f>IF(AND(C654="RESERVE",D654=""),"DORMANT",IF(L654="","OPEN",IF(AND(G654&lt;&gt;"",H654&lt;&gt;"",I654=H654,J654&lt;&gt;"",K654&lt;&gt;"",J654&lt;&gt;K654),"PASS","FAIL")))</x:f>
        <x:v>DORMANT</x:v>
      </x:c>
    </x:row>
    <x:row r="655">
      <x:c r="B655" s="28" t="str">
        <x:v>AT-28</x:v>
      </x:c>
      <x:c r="C655" s="28" t="str">
        <x:v>RESERVE</x:v>
      </x:c>
      <x:c r="D655" s="28" t="str">
        <x:f>INDEX('Attempt Tokens'!$E$7:$E$36,MATCH(B655,'Attempt Tokens'!$B$7:$B$36,0))</x:f>
      </x:c>
      <x:c r="E655" s="28" t="str">
        <x:v>RP-01</x:v>
      </x:c>
      <x:c r="F655" s="28" t="n">
        <x:v>1</x:v>
      </x:c>
      <x:c r="G655" s="28" t="str">
        <x:f>IF(D655="","",IF(LEFT(D655,5)="RFP-A",IF(F655=1,"PTC-B","PTC-C"),IF(LEFT(D655,5)="RFP-B",IF(F655=1,"PTC-A","PTC-C"),IF(F655=1,"PTC-A","PTC-B"))))</x:f>
      </x:c>
      <x:c r="H655" s="29" t="str"/>
      <x:c r="I655" s="29" t="str"/>
      <x:c r="J655" s="29" t="str"/>
      <x:c r="K655" s="29" t="str"/>
      <x:c r="L655" s="29" t="str"/>
      <x:c r="M655" s="28" t="str">
        <x:f>IF(AND(C655="RESERVE",D655=""),"DORMANT",IF(L655="","OPEN",IF(AND(G655&lt;&gt;"",H655&lt;&gt;"",I655=H655,J655&lt;&gt;"",K655&lt;&gt;"",J655&lt;&gt;K655),"PASS","FAIL")))</x:f>
        <x:v>DORMANT</x:v>
      </x:c>
    </x:row>
    <x:row r="656">
      <x:c r="B656" s="28" t="str">
        <x:v>AT-28</x:v>
      </x:c>
      <x:c r="C656" s="28" t="str">
        <x:v>RESERVE</x:v>
      </x:c>
      <x:c r="D656" s="28" t="str">
        <x:f>INDEX('Attempt Tokens'!$E$7:$E$36,MATCH(B656,'Attempt Tokens'!$B$7:$B$36,0))</x:f>
      </x:c>
      <x:c r="E656" s="28" t="str">
        <x:v>RP-01</x:v>
      </x:c>
      <x:c r="F656" s="28" t="n">
        <x:v>2</x:v>
      </x:c>
      <x:c r="G656" s="28" t="str">
        <x:f>IF(D656="","",IF(LEFT(D656,5)="RFP-A",IF(F656=1,"PTC-B","PTC-C"),IF(LEFT(D656,5)="RFP-B",IF(F656=1,"PTC-A","PTC-C"),IF(F656=1,"PTC-A","PTC-B"))))</x:f>
      </x:c>
      <x:c r="H656" s="29" t="str"/>
      <x:c r="I656" s="29" t="str"/>
      <x:c r="J656" s="29" t="str"/>
      <x:c r="K656" s="29" t="str"/>
      <x:c r="L656" s="29" t="str"/>
      <x:c r="M656" s="28" t="str">
        <x:f>IF(AND(C656="RESERVE",D656=""),"DORMANT",IF(L656="","OPEN",IF(AND(G656&lt;&gt;"",H656&lt;&gt;"",I656=H656,J656&lt;&gt;"",K656&lt;&gt;"",J656&lt;&gt;K656),"PASS","FAIL")))</x:f>
        <x:v>DORMANT</x:v>
      </x:c>
    </x:row>
    <x:row r="657">
      <x:c r="B657" s="28" t="str">
        <x:v>AT-28</x:v>
      </x:c>
      <x:c r="C657" s="28" t="str">
        <x:v>RESERVE</x:v>
      </x:c>
      <x:c r="D657" s="28" t="str">
        <x:f>INDEX('Attempt Tokens'!$E$7:$E$36,MATCH(B657,'Attempt Tokens'!$B$7:$B$36,0))</x:f>
      </x:c>
      <x:c r="E657" s="28" t="str">
        <x:v>RP-02</x:v>
      </x:c>
      <x:c r="F657" s="28" t="n">
        <x:v>1</x:v>
      </x:c>
      <x:c r="G657" s="28" t="str">
        <x:f>IF(D657="","",IF(LEFT(D657,5)="RFP-A",IF(F657=1,"PTC-B","PTC-C"),IF(LEFT(D657,5)="RFP-B",IF(F657=1,"PTC-A","PTC-C"),IF(F657=1,"PTC-A","PTC-B"))))</x:f>
      </x:c>
      <x:c r="H657" s="29" t="str"/>
      <x:c r="I657" s="29" t="str"/>
      <x:c r="J657" s="29" t="str"/>
      <x:c r="K657" s="29" t="str"/>
      <x:c r="L657" s="29" t="str"/>
      <x:c r="M657" s="28" t="str">
        <x:f>IF(AND(C657="RESERVE",D657=""),"DORMANT",IF(L657="","OPEN",IF(AND(G657&lt;&gt;"",H657&lt;&gt;"",I657=H657,J657&lt;&gt;"",K657&lt;&gt;"",J657&lt;&gt;K657),"PASS","FAIL")))</x:f>
        <x:v>DORMANT</x:v>
      </x:c>
    </x:row>
    <x:row r="658">
      <x:c r="B658" s="28" t="str">
        <x:v>AT-28</x:v>
      </x:c>
      <x:c r="C658" s="28" t="str">
        <x:v>RESERVE</x:v>
      </x:c>
      <x:c r="D658" s="28" t="str">
        <x:f>INDEX('Attempt Tokens'!$E$7:$E$36,MATCH(B658,'Attempt Tokens'!$B$7:$B$36,0))</x:f>
      </x:c>
      <x:c r="E658" s="28" t="str">
        <x:v>RP-02</x:v>
      </x:c>
      <x:c r="F658" s="28" t="n">
        <x:v>2</x:v>
      </x:c>
      <x:c r="G658" s="28" t="str">
        <x:f>IF(D658="","",IF(LEFT(D658,5)="RFP-A",IF(F658=1,"PTC-B","PTC-C"),IF(LEFT(D658,5)="RFP-B",IF(F658=1,"PTC-A","PTC-C"),IF(F658=1,"PTC-A","PTC-B"))))</x:f>
      </x:c>
      <x:c r="H658" s="29" t="str"/>
      <x:c r="I658" s="29" t="str"/>
      <x:c r="J658" s="29" t="str"/>
      <x:c r="K658" s="29" t="str"/>
      <x:c r="L658" s="29" t="str"/>
      <x:c r="M658" s="28" t="str">
        <x:f>IF(AND(C658="RESERVE",D658=""),"DORMANT",IF(L658="","OPEN",IF(AND(G658&lt;&gt;"",H658&lt;&gt;"",I658=H658,J658&lt;&gt;"",K658&lt;&gt;"",J658&lt;&gt;K658),"PASS","FAIL")))</x:f>
        <x:v>DORMANT</x:v>
      </x:c>
    </x:row>
    <x:row r="659">
      <x:c r="B659" s="28" t="str">
        <x:v>AT-28</x:v>
      </x:c>
      <x:c r="C659" s="28" t="str">
        <x:v>RESERVE</x:v>
      </x:c>
      <x:c r="D659" s="28" t="str">
        <x:f>INDEX('Attempt Tokens'!$E$7:$E$36,MATCH(B659,'Attempt Tokens'!$B$7:$B$36,0))</x:f>
      </x:c>
      <x:c r="E659" s="28" t="str">
        <x:v>RP-03</x:v>
      </x:c>
      <x:c r="F659" s="28" t="n">
        <x:v>1</x:v>
      </x:c>
      <x:c r="G659" s="28" t="str">
        <x:f>IF(D659="","",IF(LEFT(D659,5)="RFP-A",IF(F659=1,"PTC-B","PTC-C"),IF(LEFT(D659,5)="RFP-B",IF(F659=1,"PTC-A","PTC-C"),IF(F659=1,"PTC-A","PTC-B"))))</x:f>
      </x:c>
      <x:c r="H659" s="29" t="str"/>
      <x:c r="I659" s="29" t="str"/>
      <x:c r="J659" s="29" t="str"/>
      <x:c r="K659" s="29" t="str"/>
      <x:c r="L659" s="29" t="str"/>
      <x:c r="M659" s="28" t="str">
        <x:f>IF(AND(C659="RESERVE",D659=""),"DORMANT",IF(L659="","OPEN",IF(AND(G659&lt;&gt;"",H659&lt;&gt;"",I659=H659,J659&lt;&gt;"",K659&lt;&gt;"",J659&lt;&gt;K659),"PASS","FAIL")))</x:f>
        <x:v>DORMANT</x:v>
      </x:c>
    </x:row>
    <x:row r="660">
      <x:c r="B660" s="28" t="str">
        <x:v>AT-28</x:v>
      </x:c>
      <x:c r="C660" s="28" t="str">
        <x:v>RESERVE</x:v>
      </x:c>
      <x:c r="D660" s="28" t="str">
        <x:f>INDEX('Attempt Tokens'!$E$7:$E$36,MATCH(B660,'Attempt Tokens'!$B$7:$B$36,0))</x:f>
      </x:c>
      <x:c r="E660" s="28" t="str">
        <x:v>RP-03</x:v>
      </x:c>
      <x:c r="F660" s="28" t="n">
        <x:v>2</x:v>
      </x:c>
      <x:c r="G660" s="28" t="str">
        <x:f>IF(D660="","",IF(LEFT(D660,5)="RFP-A",IF(F660=1,"PTC-B","PTC-C"),IF(LEFT(D660,5)="RFP-B",IF(F660=1,"PTC-A","PTC-C"),IF(F660=1,"PTC-A","PTC-B"))))</x:f>
      </x:c>
      <x:c r="H660" s="29" t="str"/>
      <x:c r="I660" s="29" t="str"/>
      <x:c r="J660" s="29" t="str"/>
      <x:c r="K660" s="29" t="str"/>
      <x:c r="L660" s="29" t="str"/>
      <x:c r="M660" s="28" t="str">
        <x:f>IF(AND(C660="RESERVE",D660=""),"DORMANT",IF(L660="","OPEN",IF(AND(G660&lt;&gt;"",H660&lt;&gt;"",I660=H660,J660&lt;&gt;"",K660&lt;&gt;"",J660&lt;&gt;K660),"PASS","FAIL")))</x:f>
        <x:v>DORMANT</x:v>
      </x:c>
    </x:row>
    <x:row r="661">
      <x:c r="B661" s="28" t="str">
        <x:v>AT-28</x:v>
      </x:c>
      <x:c r="C661" s="28" t="str">
        <x:v>RESERVE</x:v>
      </x:c>
      <x:c r="D661" s="28" t="str">
        <x:f>INDEX('Attempt Tokens'!$E$7:$E$36,MATCH(B661,'Attempt Tokens'!$B$7:$B$36,0))</x:f>
      </x:c>
      <x:c r="E661" s="28" t="str">
        <x:v>RP-04</x:v>
      </x:c>
      <x:c r="F661" s="28" t="n">
        <x:v>1</x:v>
      </x:c>
      <x:c r="G661" s="28" t="str">
        <x:f>IF(D661="","",IF(LEFT(D661,5)="RFP-A",IF(F661=1,"PTC-B","PTC-C"),IF(LEFT(D661,5)="RFP-B",IF(F661=1,"PTC-A","PTC-C"),IF(F661=1,"PTC-A","PTC-B"))))</x:f>
      </x:c>
      <x:c r="H661" s="29" t="str"/>
      <x:c r="I661" s="29" t="str"/>
      <x:c r="J661" s="29" t="str"/>
      <x:c r="K661" s="29" t="str"/>
      <x:c r="L661" s="29" t="str"/>
      <x:c r="M661" s="28" t="str">
        <x:f>IF(AND(C661="RESERVE",D661=""),"DORMANT",IF(L661="","OPEN",IF(AND(G661&lt;&gt;"",H661&lt;&gt;"",I661=H661,J661&lt;&gt;"",K661&lt;&gt;"",J661&lt;&gt;K661),"PASS","FAIL")))</x:f>
        <x:v>DORMANT</x:v>
      </x:c>
    </x:row>
    <x:row r="662">
      <x:c r="B662" s="28" t="str">
        <x:v>AT-28</x:v>
      </x:c>
      <x:c r="C662" s="28" t="str">
        <x:v>RESERVE</x:v>
      </x:c>
      <x:c r="D662" s="28" t="str">
        <x:f>INDEX('Attempt Tokens'!$E$7:$E$36,MATCH(B662,'Attempt Tokens'!$B$7:$B$36,0))</x:f>
      </x:c>
      <x:c r="E662" s="28" t="str">
        <x:v>RP-04</x:v>
      </x:c>
      <x:c r="F662" s="28" t="n">
        <x:v>2</x:v>
      </x:c>
      <x:c r="G662" s="28" t="str">
        <x:f>IF(D662="","",IF(LEFT(D662,5)="RFP-A",IF(F662=1,"PTC-B","PTC-C"),IF(LEFT(D662,5)="RFP-B",IF(F662=1,"PTC-A","PTC-C"),IF(F662=1,"PTC-A","PTC-B"))))</x:f>
      </x:c>
      <x:c r="H662" s="29" t="str"/>
      <x:c r="I662" s="29" t="str"/>
      <x:c r="J662" s="29" t="str"/>
      <x:c r="K662" s="29" t="str"/>
      <x:c r="L662" s="29" t="str"/>
      <x:c r="M662" s="28" t="str">
        <x:f>IF(AND(C662="RESERVE",D662=""),"DORMANT",IF(L662="","OPEN",IF(AND(G662&lt;&gt;"",H662&lt;&gt;"",I662=H662,J662&lt;&gt;"",K662&lt;&gt;"",J662&lt;&gt;K662),"PASS","FAIL")))</x:f>
        <x:v>DORMANT</x:v>
      </x:c>
    </x:row>
    <x:row r="663">
      <x:c r="B663" s="28" t="str">
        <x:v>AT-28</x:v>
      </x:c>
      <x:c r="C663" s="28" t="str">
        <x:v>RESERVE</x:v>
      </x:c>
      <x:c r="D663" s="28" t="str">
        <x:f>INDEX('Attempt Tokens'!$E$7:$E$36,MATCH(B663,'Attempt Tokens'!$B$7:$B$36,0))</x:f>
      </x:c>
      <x:c r="E663" s="28" t="str">
        <x:v>RP-05</x:v>
      </x:c>
      <x:c r="F663" s="28" t="n">
        <x:v>1</x:v>
      </x:c>
      <x:c r="G663" s="28" t="str">
        <x:f>IF(D663="","",IF(LEFT(D663,5)="RFP-A",IF(F663=1,"PTC-B","PTC-C"),IF(LEFT(D663,5)="RFP-B",IF(F663=1,"PTC-A","PTC-C"),IF(F663=1,"PTC-A","PTC-B"))))</x:f>
      </x:c>
      <x:c r="H663" s="29" t="str"/>
      <x:c r="I663" s="29" t="str"/>
      <x:c r="J663" s="29" t="str"/>
      <x:c r="K663" s="29" t="str"/>
      <x:c r="L663" s="29" t="str"/>
      <x:c r="M663" s="28" t="str">
        <x:f>IF(AND(C663="RESERVE",D663=""),"DORMANT",IF(L663="","OPEN",IF(AND(G663&lt;&gt;"",H663&lt;&gt;"",I663=H663,J663&lt;&gt;"",K663&lt;&gt;"",J663&lt;&gt;K663),"PASS","FAIL")))</x:f>
        <x:v>DORMANT</x:v>
      </x:c>
    </x:row>
    <x:row r="664">
      <x:c r="B664" s="28" t="str">
        <x:v>AT-28</x:v>
      </x:c>
      <x:c r="C664" s="28" t="str">
        <x:v>RESERVE</x:v>
      </x:c>
      <x:c r="D664" s="28" t="str">
        <x:f>INDEX('Attempt Tokens'!$E$7:$E$36,MATCH(B664,'Attempt Tokens'!$B$7:$B$36,0))</x:f>
      </x:c>
      <x:c r="E664" s="28" t="str">
        <x:v>RP-05</x:v>
      </x:c>
      <x:c r="F664" s="28" t="n">
        <x:v>2</x:v>
      </x:c>
      <x:c r="G664" s="28" t="str">
        <x:f>IF(D664="","",IF(LEFT(D664,5)="RFP-A",IF(F664=1,"PTC-B","PTC-C"),IF(LEFT(D664,5)="RFP-B",IF(F664=1,"PTC-A","PTC-C"),IF(F664=1,"PTC-A","PTC-B"))))</x:f>
      </x:c>
      <x:c r="H664" s="29" t="str"/>
      <x:c r="I664" s="29" t="str"/>
      <x:c r="J664" s="29" t="str"/>
      <x:c r="K664" s="29" t="str"/>
      <x:c r="L664" s="29" t="str"/>
      <x:c r="M664" s="28" t="str">
        <x:f>IF(AND(C664="RESERVE",D664=""),"DORMANT",IF(L664="","OPEN",IF(AND(G664&lt;&gt;"",H664&lt;&gt;"",I664=H664,J664&lt;&gt;"",K664&lt;&gt;"",J664&lt;&gt;K664),"PASS","FAIL")))</x:f>
        <x:v>DORMANT</x:v>
      </x:c>
    </x:row>
    <x:row r="665">
      <x:c r="B665" s="28" t="str">
        <x:v>AT-28</x:v>
      </x:c>
      <x:c r="C665" s="28" t="str">
        <x:v>RESERVE</x:v>
      </x:c>
      <x:c r="D665" s="28" t="str">
        <x:f>INDEX('Attempt Tokens'!$E$7:$E$36,MATCH(B665,'Attempt Tokens'!$B$7:$B$36,0))</x:f>
      </x:c>
      <x:c r="E665" s="28" t="str">
        <x:v>RP-06</x:v>
      </x:c>
      <x:c r="F665" s="28" t="n">
        <x:v>1</x:v>
      </x:c>
      <x:c r="G665" s="28" t="str">
        <x:f>IF(D665="","",IF(LEFT(D665,5)="RFP-A",IF(F665=1,"PTC-B","PTC-C"),IF(LEFT(D665,5)="RFP-B",IF(F665=1,"PTC-A","PTC-C"),IF(F665=1,"PTC-A","PTC-B"))))</x:f>
      </x:c>
      <x:c r="H665" s="29" t="str"/>
      <x:c r="I665" s="29" t="str"/>
      <x:c r="J665" s="29" t="str"/>
      <x:c r="K665" s="29" t="str"/>
      <x:c r="L665" s="29" t="str"/>
      <x:c r="M665" s="28" t="str">
        <x:f>IF(AND(C665="RESERVE",D665=""),"DORMANT",IF(L665="","OPEN",IF(AND(G665&lt;&gt;"",H665&lt;&gt;"",I665=H665,J665&lt;&gt;"",K665&lt;&gt;"",J665&lt;&gt;K665),"PASS","FAIL")))</x:f>
        <x:v>DORMANT</x:v>
      </x:c>
    </x:row>
    <x:row r="666">
      <x:c r="B666" s="28" t="str">
        <x:v>AT-28</x:v>
      </x:c>
      <x:c r="C666" s="28" t="str">
        <x:v>RESERVE</x:v>
      </x:c>
      <x:c r="D666" s="28" t="str">
        <x:f>INDEX('Attempt Tokens'!$E$7:$E$36,MATCH(B666,'Attempt Tokens'!$B$7:$B$36,0))</x:f>
      </x:c>
      <x:c r="E666" s="28" t="str">
        <x:v>RP-06</x:v>
      </x:c>
      <x:c r="F666" s="28" t="n">
        <x:v>2</x:v>
      </x:c>
      <x:c r="G666" s="28" t="str">
        <x:f>IF(D666="","",IF(LEFT(D666,5)="RFP-A",IF(F666=1,"PTC-B","PTC-C"),IF(LEFT(D666,5)="RFP-B",IF(F666=1,"PTC-A","PTC-C"),IF(F666=1,"PTC-A","PTC-B"))))</x:f>
      </x:c>
      <x:c r="H666" s="29" t="str"/>
      <x:c r="I666" s="29" t="str"/>
      <x:c r="J666" s="29" t="str"/>
      <x:c r="K666" s="29" t="str"/>
      <x:c r="L666" s="29" t="str"/>
      <x:c r="M666" s="28" t="str">
        <x:f>IF(AND(C666="RESERVE",D666=""),"DORMANT",IF(L666="","OPEN",IF(AND(G666&lt;&gt;"",H666&lt;&gt;"",I666=H666,J666&lt;&gt;"",K666&lt;&gt;"",J666&lt;&gt;K666),"PASS","FAIL")))</x:f>
        <x:v>DORMANT</x:v>
      </x:c>
    </x:row>
    <x:row r="667">
      <x:c r="B667" s="28" t="str">
        <x:v>AT-28</x:v>
      </x:c>
      <x:c r="C667" s="28" t="str">
        <x:v>RESERVE</x:v>
      </x:c>
      <x:c r="D667" s="28" t="str">
        <x:f>INDEX('Attempt Tokens'!$E$7:$E$36,MATCH(B667,'Attempt Tokens'!$B$7:$B$36,0))</x:f>
      </x:c>
      <x:c r="E667" s="28" t="str">
        <x:v>RP-07</x:v>
      </x:c>
      <x:c r="F667" s="28" t="n">
        <x:v>1</x:v>
      </x:c>
      <x:c r="G667" s="28" t="str">
        <x:f>IF(D667="","",IF(LEFT(D667,5)="RFP-A",IF(F667=1,"PTC-B","PTC-C"),IF(LEFT(D667,5)="RFP-B",IF(F667=1,"PTC-A","PTC-C"),IF(F667=1,"PTC-A","PTC-B"))))</x:f>
      </x:c>
      <x:c r="H667" s="29" t="str"/>
      <x:c r="I667" s="29" t="str"/>
      <x:c r="J667" s="29" t="str"/>
      <x:c r="K667" s="29" t="str"/>
      <x:c r="L667" s="29" t="str"/>
      <x:c r="M667" s="28" t="str">
        <x:f>IF(AND(C667="RESERVE",D667=""),"DORMANT",IF(L667="","OPEN",IF(AND(G667&lt;&gt;"",H667&lt;&gt;"",I667=H667,J667&lt;&gt;"",K667&lt;&gt;"",J667&lt;&gt;K667),"PASS","FAIL")))</x:f>
        <x:v>DORMANT</x:v>
      </x:c>
    </x:row>
    <x:row r="668">
      <x:c r="B668" s="28" t="str">
        <x:v>AT-28</x:v>
      </x:c>
      <x:c r="C668" s="28" t="str">
        <x:v>RESERVE</x:v>
      </x:c>
      <x:c r="D668" s="28" t="str">
        <x:f>INDEX('Attempt Tokens'!$E$7:$E$36,MATCH(B668,'Attempt Tokens'!$B$7:$B$36,0))</x:f>
      </x:c>
      <x:c r="E668" s="28" t="str">
        <x:v>RP-07</x:v>
      </x:c>
      <x:c r="F668" s="28" t="n">
        <x:v>2</x:v>
      </x:c>
      <x:c r="G668" s="28" t="str">
        <x:f>IF(D668="","",IF(LEFT(D668,5)="RFP-A",IF(F668=1,"PTC-B","PTC-C"),IF(LEFT(D668,5)="RFP-B",IF(F668=1,"PTC-A","PTC-C"),IF(F668=1,"PTC-A","PTC-B"))))</x:f>
      </x:c>
      <x:c r="H668" s="29" t="str"/>
      <x:c r="I668" s="29" t="str"/>
      <x:c r="J668" s="29" t="str"/>
      <x:c r="K668" s="29" t="str"/>
      <x:c r="L668" s="29" t="str"/>
      <x:c r="M668" s="28" t="str">
        <x:f>IF(AND(C668="RESERVE",D668=""),"DORMANT",IF(L668="","OPEN",IF(AND(G668&lt;&gt;"",H668&lt;&gt;"",I668=H668,J668&lt;&gt;"",K668&lt;&gt;"",J668&lt;&gt;K668),"PASS","FAIL")))</x:f>
        <x:v>DORMANT</x:v>
      </x:c>
    </x:row>
    <x:row r="669">
      <x:c r="B669" s="28" t="str">
        <x:v>AT-28</x:v>
      </x:c>
      <x:c r="C669" s="28" t="str">
        <x:v>RESERVE</x:v>
      </x:c>
      <x:c r="D669" s="28" t="str">
        <x:f>INDEX('Attempt Tokens'!$E$7:$E$36,MATCH(B669,'Attempt Tokens'!$B$7:$B$36,0))</x:f>
      </x:c>
      <x:c r="E669" s="28" t="str">
        <x:v>RP-08</x:v>
      </x:c>
      <x:c r="F669" s="28" t="n">
        <x:v>1</x:v>
      </x:c>
      <x:c r="G669" s="28" t="str">
        <x:f>IF(D669="","",IF(LEFT(D669,5)="RFP-A",IF(F669=1,"PTC-B","PTC-C"),IF(LEFT(D669,5)="RFP-B",IF(F669=1,"PTC-A","PTC-C"),IF(F669=1,"PTC-A","PTC-B"))))</x:f>
      </x:c>
      <x:c r="H669" s="29" t="str"/>
      <x:c r="I669" s="29" t="str"/>
      <x:c r="J669" s="29" t="str"/>
      <x:c r="K669" s="29" t="str"/>
      <x:c r="L669" s="29" t="str"/>
      <x:c r="M669" s="28" t="str">
        <x:f>IF(AND(C669="RESERVE",D669=""),"DORMANT",IF(L669="","OPEN",IF(AND(G669&lt;&gt;"",H669&lt;&gt;"",I669=H669,J669&lt;&gt;"",K669&lt;&gt;"",J669&lt;&gt;K669),"PASS","FAIL")))</x:f>
        <x:v>DORMANT</x:v>
      </x:c>
    </x:row>
    <x:row r="670">
      <x:c r="B670" s="28" t="str">
        <x:v>AT-28</x:v>
      </x:c>
      <x:c r="C670" s="28" t="str">
        <x:v>RESERVE</x:v>
      </x:c>
      <x:c r="D670" s="28" t="str">
        <x:f>INDEX('Attempt Tokens'!$E$7:$E$36,MATCH(B670,'Attempt Tokens'!$B$7:$B$36,0))</x:f>
      </x:c>
      <x:c r="E670" s="28" t="str">
        <x:v>RP-08</x:v>
      </x:c>
      <x:c r="F670" s="28" t="n">
        <x:v>2</x:v>
      </x:c>
      <x:c r="G670" s="28" t="str">
        <x:f>IF(D670="","",IF(LEFT(D670,5)="RFP-A",IF(F670=1,"PTC-B","PTC-C"),IF(LEFT(D670,5)="RFP-B",IF(F670=1,"PTC-A","PTC-C"),IF(F670=1,"PTC-A","PTC-B"))))</x:f>
      </x:c>
      <x:c r="H670" s="29" t="str"/>
      <x:c r="I670" s="29" t="str"/>
      <x:c r="J670" s="29" t="str"/>
      <x:c r="K670" s="29" t="str"/>
      <x:c r="L670" s="29" t="str"/>
      <x:c r="M670" s="28" t="str">
        <x:f>IF(AND(C670="RESERVE",D670=""),"DORMANT",IF(L670="","OPEN",IF(AND(G670&lt;&gt;"",H670&lt;&gt;"",I670=H670,J670&lt;&gt;"",K670&lt;&gt;"",J670&lt;&gt;K670),"PASS","FAIL")))</x:f>
        <x:v>DORMANT</x:v>
      </x:c>
    </x:row>
    <x:row r="671">
      <x:c r="B671" s="28" t="str">
        <x:v>AT-28</x:v>
      </x:c>
      <x:c r="C671" s="28" t="str">
        <x:v>RESERVE</x:v>
      </x:c>
      <x:c r="D671" s="28" t="str">
        <x:f>INDEX('Attempt Tokens'!$E$7:$E$36,MATCH(B671,'Attempt Tokens'!$B$7:$B$36,0))</x:f>
      </x:c>
      <x:c r="E671" s="28" t="str">
        <x:v>RP-09</x:v>
      </x:c>
      <x:c r="F671" s="28" t="n">
        <x:v>1</x:v>
      </x:c>
      <x:c r="G671" s="28" t="str">
        <x:f>IF(D671="","",IF(LEFT(D671,5)="RFP-A",IF(F671=1,"PTC-B","PTC-C"),IF(LEFT(D671,5)="RFP-B",IF(F671=1,"PTC-A","PTC-C"),IF(F671=1,"PTC-A","PTC-B"))))</x:f>
      </x:c>
      <x:c r="H671" s="29" t="str"/>
      <x:c r="I671" s="29" t="str"/>
      <x:c r="J671" s="29" t="str"/>
      <x:c r="K671" s="29" t="str"/>
      <x:c r="L671" s="29" t="str"/>
      <x:c r="M671" s="28" t="str">
        <x:f>IF(AND(C671="RESERVE",D671=""),"DORMANT",IF(L671="","OPEN",IF(AND(G671&lt;&gt;"",H671&lt;&gt;"",I671=H671,J671&lt;&gt;"",K671&lt;&gt;"",J671&lt;&gt;K671),"PASS","FAIL")))</x:f>
        <x:v>DORMANT</x:v>
      </x:c>
    </x:row>
    <x:row r="672">
      <x:c r="B672" s="28" t="str">
        <x:v>AT-28</x:v>
      </x:c>
      <x:c r="C672" s="28" t="str">
        <x:v>RESERVE</x:v>
      </x:c>
      <x:c r="D672" s="28" t="str">
        <x:f>INDEX('Attempt Tokens'!$E$7:$E$36,MATCH(B672,'Attempt Tokens'!$B$7:$B$36,0))</x:f>
      </x:c>
      <x:c r="E672" s="28" t="str">
        <x:v>RP-09</x:v>
      </x:c>
      <x:c r="F672" s="28" t="n">
        <x:v>2</x:v>
      </x:c>
      <x:c r="G672" s="28" t="str">
        <x:f>IF(D672="","",IF(LEFT(D672,5)="RFP-A",IF(F672=1,"PTC-B","PTC-C"),IF(LEFT(D672,5)="RFP-B",IF(F672=1,"PTC-A","PTC-C"),IF(F672=1,"PTC-A","PTC-B"))))</x:f>
      </x:c>
      <x:c r="H672" s="29" t="str"/>
      <x:c r="I672" s="29" t="str"/>
      <x:c r="J672" s="29" t="str"/>
      <x:c r="K672" s="29" t="str"/>
      <x:c r="L672" s="29" t="str"/>
      <x:c r="M672" s="28" t="str">
        <x:f>IF(AND(C672="RESERVE",D672=""),"DORMANT",IF(L672="","OPEN",IF(AND(G672&lt;&gt;"",H672&lt;&gt;"",I672=H672,J672&lt;&gt;"",K672&lt;&gt;"",J672&lt;&gt;K672),"PASS","FAIL")))</x:f>
        <x:v>DORMANT</x:v>
      </x:c>
    </x:row>
    <x:row r="673">
      <x:c r="B673" s="28" t="str">
        <x:v>AT-28</x:v>
      </x:c>
      <x:c r="C673" s="28" t="str">
        <x:v>RESERVE</x:v>
      </x:c>
      <x:c r="D673" s="28" t="str">
        <x:f>INDEX('Attempt Tokens'!$E$7:$E$36,MATCH(B673,'Attempt Tokens'!$B$7:$B$36,0))</x:f>
      </x:c>
      <x:c r="E673" s="28" t="str">
        <x:v>RP-10</x:v>
      </x:c>
      <x:c r="F673" s="28" t="n">
        <x:v>1</x:v>
      </x:c>
      <x:c r="G673" s="28" t="str">
        <x:f>IF(D673="","",IF(LEFT(D673,5)="RFP-A",IF(F673=1,"PTC-B","PTC-C"),IF(LEFT(D673,5)="RFP-B",IF(F673=1,"PTC-A","PTC-C"),IF(F673=1,"PTC-A","PTC-B"))))</x:f>
      </x:c>
      <x:c r="H673" s="29" t="str"/>
      <x:c r="I673" s="29" t="str"/>
      <x:c r="J673" s="29" t="str"/>
      <x:c r="K673" s="29" t="str"/>
      <x:c r="L673" s="29" t="str"/>
      <x:c r="M673" s="28" t="str">
        <x:f>IF(AND(C673="RESERVE",D673=""),"DORMANT",IF(L673="","OPEN",IF(AND(G673&lt;&gt;"",H673&lt;&gt;"",I673=H673,J673&lt;&gt;"",K673&lt;&gt;"",J673&lt;&gt;K673),"PASS","FAIL")))</x:f>
        <x:v>DORMANT</x:v>
      </x:c>
    </x:row>
    <x:row r="674">
      <x:c r="B674" s="28" t="str">
        <x:v>AT-28</x:v>
      </x:c>
      <x:c r="C674" s="28" t="str">
        <x:v>RESERVE</x:v>
      </x:c>
      <x:c r="D674" s="28" t="str">
        <x:f>INDEX('Attempt Tokens'!$E$7:$E$36,MATCH(B674,'Attempt Tokens'!$B$7:$B$36,0))</x:f>
      </x:c>
      <x:c r="E674" s="28" t="str">
        <x:v>RP-10</x:v>
      </x:c>
      <x:c r="F674" s="28" t="n">
        <x:v>2</x:v>
      </x:c>
      <x:c r="G674" s="28" t="str">
        <x:f>IF(D674="","",IF(LEFT(D674,5)="RFP-A",IF(F674=1,"PTC-B","PTC-C"),IF(LEFT(D674,5)="RFP-B",IF(F674=1,"PTC-A","PTC-C"),IF(F674=1,"PTC-A","PTC-B"))))</x:f>
      </x:c>
      <x:c r="H674" s="29" t="str"/>
      <x:c r="I674" s="29" t="str"/>
      <x:c r="J674" s="29" t="str"/>
      <x:c r="K674" s="29" t="str"/>
      <x:c r="L674" s="29" t="str"/>
      <x:c r="M674" s="28" t="str">
        <x:f>IF(AND(C674="RESERVE",D674=""),"DORMANT",IF(L674="","OPEN",IF(AND(G674&lt;&gt;"",H674&lt;&gt;"",I674=H674,J674&lt;&gt;"",K674&lt;&gt;"",J674&lt;&gt;K674),"PASS","FAIL")))</x:f>
        <x:v>DORMANT</x:v>
      </x:c>
    </x:row>
    <x:row r="675">
      <x:c r="B675" s="28" t="str">
        <x:v>AT-28</x:v>
      </x:c>
      <x:c r="C675" s="28" t="str">
        <x:v>RESERVE</x:v>
      </x:c>
      <x:c r="D675" s="28" t="str">
        <x:f>INDEX('Attempt Tokens'!$E$7:$E$36,MATCH(B675,'Attempt Tokens'!$B$7:$B$36,0))</x:f>
      </x:c>
      <x:c r="E675" s="28" t="str">
        <x:v>RP-11</x:v>
      </x:c>
      <x:c r="F675" s="28" t="n">
        <x:v>1</x:v>
      </x:c>
      <x:c r="G675" s="28" t="str">
        <x:f>IF(D675="","",IF(LEFT(D675,5)="RFP-A",IF(F675=1,"PTC-B","PTC-C"),IF(LEFT(D675,5)="RFP-B",IF(F675=1,"PTC-A","PTC-C"),IF(F675=1,"PTC-A","PTC-B"))))</x:f>
      </x:c>
      <x:c r="H675" s="29" t="str"/>
      <x:c r="I675" s="29" t="str"/>
      <x:c r="J675" s="29" t="str"/>
      <x:c r="K675" s="29" t="str"/>
      <x:c r="L675" s="29" t="str"/>
      <x:c r="M675" s="28" t="str">
        <x:f>IF(AND(C675="RESERVE",D675=""),"DORMANT",IF(L675="","OPEN",IF(AND(G675&lt;&gt;"",H675&lt;&gt;"",I675=H675,J675&lt;&gt;"",K675&lt;&gt;"",J675&lt;&gt;K675),"PASS","FAIL")))</x:f>
        <x:v>DORMANT</x:v>
      </x:c>
    </x:row>
    <x:row r="676">
      <x:c r="B676" s="28" t="str">
        <x:v>AT-28</x:v>
      </x:c>
      <x:c r="C676" s="28" t="str">
        <x:v>RESERVE</x:v>
      </x:c>
      <x:c r="D676" s="28" t="str">
        <x:f>INDEX('Attempt Tokens'!$E$7:$E$36,MATCH(B676,'Attempt Tokens'!$B$7:$B$36,0))</x:f>
      </x:c>
      <x:c r="E676" s="28" t="str">
        <x:v>RP-11</x:v>
      </x:c>
      <x:c r="F676" s="28" t="n">
        <x:v>2</x:v>
      </x:c>
      <x:c r="G676" s="28" t="str">
        <x:f>IF(D676="","",IF(LEFT(D676,5)="RFP-A",IF(F676=1,"PTC-B","PTC-C"),IF(LEFT(D676,5)="RFP-B",IF(F676=1,"PTC-A","PTC-C"),IF(F676=1,"PTC-A","PTC-B"))))</x:f>
      </x:c>
      <x:c r="H676" s="29" t="str"/>
      <x:c r="I676" s="29" t="str"/>
      <x:c r="J676" s="29" t="str"/>
      <x:c r="K676" s="29" t="str"/>
      <x:c r="L676" s="29" t="str"/>
      <x:c r="M676" s="28" t="str">
        <x:f>IF(AND(C676="RESERVE",D676=""),"DORMANT",IF(L676="","OPEN",IF(AND(G676&lt;&gt;"",H676&lt;&gt;"",I676=H676,J676&lt;&gt;"",K676&lt;&gt;"",J676&lt;&gt;K676),"PASS","FAIL")))</x:f>
        <x:v>DORMANT</x:v>
      </x:c>
    </x:row>
    <x:row r="677">
      <x:c r="B677" s="28" t="str">
        <x:v>AT-28</x:v>
      </x:c>
      <x:c r="C677" s="28" t="str">
        <x:v>RESERVE</x:v>
      </x:c>
      <x:c r="D677" s="28" t="str">
        <x:f>INDEX('Attempt Tokens'!$E$7:$E$36,MATCH(B677,'Attempt Tokens'!$B$7:$B$36,0))</x:f>
      </x:c>
      <x:c r="E677" s="28" t="str">
        <x:v>RP-12</x:v>
      </x:c>
      <x:c r="F677" s="28" t="n">
        <x:v>1</x:v>
      </x:c>
      <x:c r="G677" s="28" t="str">
        <x:f>IF(D677="","",IF(LEFT(D677,5)="RFP-A",IF(F677=1,"PTC-B","PTC-C"),IF(LEFT(D677,5)="RFP-B",IF(F677=1,"PTC-A","PTC-C"),IF(F677=1,"PTC-A","PTC-B"))))</x:f>
      </x:c>
      <x:c r="H677" s="29" t="str"/>
      <x:c r="I677" s="29" t="str"/>
      <x:c r="J677" s="29" t="str"/>
      <x:c r="K677" s="29" t="str"/>
      <x:c r="L677" s="29" t="str"/>
      <x:c r="M677" s="28" t="str">
        <x:f>IF(AND(C677="RESERVE",D677=""),"DORMANT",IF(L677="","OPEN",IF(AND(G677&lt;&gt;"",H677&lt;&gt;"",I677=H677,J677&lt;&gt;"",K677&lt;&gt;"",J677&lt;&gt;K677),"PASS","FAIL")))</x:f>
        <x:v>DORMANT</x:v>
      </x:c>
    </x:row>
    <x:row r="678">
      <x:c r="B678" s="28" t="str">
        <x:v>AT-28</x:v>
      </x:c>
      <x:c r="C678" s="28" t="str">
        <x:v>RESERVE</x:v>
      </x:c>
      <x:c r="D678" s="28" t="str">
        <x:f>INDEX('Attempt Tokens'!$E$7:$E$36,MATCH(B678,'Attempt Tokens'!$B$7:$B$36,0))</x:f>
      </x:c>
      <x:c r="E678" s="28" t="str">
        <x:v>RP-12</x:v>
      </x:c>
      <x:c r="F678" s="28" t="n">
        <x:v>2</x:v>
      </x:c>
      <x:c r="G678" s="28" t="str">
        <x:f>IF(D678="","",IF(LEFT(D678,5)="RFP-A",IF(F678=1,"PTC-B","PTC-C"),IF(LEFT(D678,5)="RFP-B",IF(F678=1,"PTC-A","PTC-C"),IF(F678=1,"PTC-A","PTC-B"))))</x:f>
      </x:c>
      <x:c r="H678" s="29" t="str"/>
      <x:c r="I678" s="29" t="str"/>
      <x:c r="J678" s="29" t="str"/>
      <x:c r="K678" s="29" t="str"/>
      <x:c r="L678" s="29" t="str"/>
      <x:c r="M678" s="28" t="str">
        <x:f>IF(AND(C678="RESERVE",D678=""),"DORMANT",IF(L678="","OPEN",IF(AND(G678&lt;&gt;"",H678&lt;&gt;"",I678=H678,J678&lt;&gt;"",K678&lt;&gt;"",J678&lt;&gt;K678),"PASS","FAIL")))</x:f>
        <x:v>DORMANT</x:v>
      </x:c>
    </x:row>
    <x:row r="679">
      <x:c r="B679" s="28" t="str">
        <x:v>AT-29</x:v>
      </x:c>
      <x:c r="C679" s="28" t="str">
        <x:v>RESERVE</x:v>
      </x:c>
      <x:c r="D679" s="28" t="str">
        <x:f>INDEX('Attempt Tokens'!$E$7:$E$36,MATCH(B679,'Attempt Tokens'!$B$7:$B$36,0))</x:f>
      </x:c>
      <x:c r="E679" s="28" t="str">
        <x:v>RP-01</x:v>
      </x:c>
      <x:c r="F679" s="28" t="n">
        <x:v>1</x:v>
      </x:c>
      <x:c r="G679" s="28" t="str">
        <x:f>IF(D679="","",IF(LEFT(D679,5)="RFP-A",IF(F679=1,"PTC-B","PTC-C"),IF(LEFT(D679,5)="RFP-B",IF(F679=1,"PTC-A","PTC-C"),IF(F679=1,"PTC-A","PTC-B"))))</x:f>
      </x:c>
      <x:c r="H679" s="29" t="str"/>
      <x:c r="I679" s="29" t="str"/>
      <x:c r="J679" s="29" t="str"/>
      <x:c r="K679" s="29" t="str"/>
      <x:c r="L679" s="29" t="str"/>
      <x:c r="M679" s="28" t="str">
        <x:f>IF(AND(C679="RESERVE",D679=""),"DORMANT",IF(L679="","OPEN",IF(AND(G679&lt;&gt;"",H679&lt;&gt;"",I679=H679,J679&lt;&gt;"",K679&lt;&gt;"",J679&lt;&gt;K679),"PASS","FAIL")))</x:f>
        <x:v>DORMANT</x:v>
      </x:c>
    </x:row>
    <x:row r="680">
      <x:c r="B680" s="28" t="str">
        <x:v>AT-29</x:v>
      </x:c>
      <x:c r="C680" s="28" t="str">
        <x:v>RESERVE</x:v>
      </x:c>
      <x:c r="D680" s="28" t="str">
        <x:f>INDEX('Attempt Tokens'!$E$7:$E$36,MATCH(B680,'Attempt Tokens'!$B$7:$B$36,0))</x:f>
      </x:c>
      <x:c r="E680" s="28" t="str">
        <x:v>RP-01</x:v>
      </x:c>
      <x:c r="F680" s="28" t="n">
        <x:v>2</x:v>
      </x:c>
      <x:c r="G680" s="28" t="str">
        <x:f>IF(D680="","",IF(LEFT(D680,5)="RFP-A",IF(F680=1,"PTC-B","PTC-C"),IF(LEFT(D680,5)="RFP-B",IF(F680=1,"PTC-A","PTC-C"),IF(F680=1,"PTC-A","PTC-B"))))</x:f>
      </x:c>
      <x:c r="H680" s="29" t="str"/>
      <x:c r="I680" s="29" t="str"/>
      <x:c r="J680" s="29" t="str"/>
      <x:c r="K680" s="29" t="str"/>
      <x:c r="L680" s="29" t="str"/>
      <x:c r="M680" s="28" t="str">
        <x:f>IF(AND(C680="RESERVE",D680=""),"DORMANT",IF(L680="","OPEN",IF(AND(G680&lt;&gt;"",H680&lt;&gt;"",I680=H680,J680&lt;&gt;"",K680&lt;&gt;"",J680&lt;&gt;K680),"PASS","FAIL")))</x:f>
        <x:v>DORMANT</x:v>
      </x:c>
    </x:row>
    <x:row r="681">
      <x:c r="B681" s="28" t="str">
        <x:v>AT-29</x:v>
      </x:c>
      <x:c r="C681" s="28" t="str">
        <x:v>RESERVE</x:v>
      </x:c>
      <x:c r="D681" s="28" t="str">
        <x:f>INDEX('Attempt Tokens'!$E$7:$E$36,MATCH(B681,'Attempt Tokens'!$B$7:$B$36,0))</x:f>
      </x:c>
      <x:c r="E681" s="28" t="str">
        <x:v>RP-02</x:v>
      </x:c>
      <x:c r="F681" s="28" t="n">
        <x:v>1</x:v>
      </x:c>
      <x:c r="G681" s="28" t="str">
        <x:f>IF(D681="","",IF(LEFT(D681,5)="RFP-A",IF(F681=1,"PTC-B","PTC-C"),IF(LEFT(D681,5)="RFP-B",IF(F681=1,"PTC-A","PTC-C"),IF(F681=1,"PTC-A","PTC-B"))))</x:f>
      </x:c>
      <x:c r="H681" s="29" t="str"/>
      <x:c r="I681" s="29" t="str"/>
      <x:c r="J681" s="29" t="str"/>
      <x:c r="K681" s="29" t="str"/>
      <x:c r="L681" s="29" t="str"/>
      <x:c r="M681" s="28" t="str">
        <x:f>IF(AND(C681="RESERVE",D681=""),"DORMANT",IF(L681="","OPEN",IF(AND(G681&lt;&gt;"",H681&lt;&gt;"",I681=H681,J681&lt;&gt;"",K681&lt;&gt;"",J681&lt;&gt;K681),"PASS","FAIL")))</x:f>
        <x:v>DORMANT</x:v>
      </x:c>
    </x:row>
    <x:row r="682">
      <x:c r="B682" s="28" t="str">
        <x:v>AT-29</x:v>
      </x:c>
      <x:c r="C682" s="28" t="str">
        <x:v>RESERVE</x:v>
      </x:c>
      <x:c r="D682" s="28" t="str">
        <x:f>INDEX('Attempt Tokens'!$E$7:$E$36,MATCH(B682,'Attempt Tokens'!$B$7:$B$36,0))</x:f>
      </x:c>
      <x:c r="E682" s="28" t="str">
        <x:v>RP-02</x:v>
      </x:c>
      <x:c r="F682" s="28" t="n">
        <x:v>2</x:v>
      </x:c>
      <x:c r="G682" s="28" t="str">
        <x:f>IF(D682="","",IF(LEFT(D682,5)="RFP-A",IF(F682=1,"PTC-B","PTC-C"),IF(LEFT(D682,5)="RFP-B",IF(F682=1,"PTC-A","PTC-C"),IF(F682=1,"PTC-A","PTC-B"))))</x:f>
      </x:c>
      <x:c r="H682" s="29" t="str"/>
      <x:c r="I682" s="29" t="str"/>
      <x:c r="J682" s="29" t="str"/>
      <x:c r="K682" s="29" t="str"/>
      <x:c r="L682" s="29" t="str"/>
      <x:c r="M682" s="28" t="str">
        <x:f>IF(AND(C682="RESERVE",D682=""),"DORMANT",IF(L682="","OPEN",IF(AND(G682&lt;&gt;"",H682&lt;&gt;"",I682=H682,J682&lt;&gt;"",K682&lt;&gt;"",J682&lt;&gt;K682),"PASS","FAIL")))</x:f>
        <x:v>DORMANT</x:v>
      </x:c>
    </x:row>
    <x:row r="683">
      <x:c r="B683" s="28" t="str">
        <x:v>AT-29</x:v>
      </x:c>
      <x:c r="C683" s="28" t="str">
        <x:v>RESERVE</x:v>
      </x:c>
      <x:c r="D683" s="28" t="str">
        <x:f>INDEX('Attempt Tokens'!$E$7:$E$36,MATCH(B683,'Attempt Tokens'!$B$7:$B$36,0))</x:f>
      </x:c>
      <x:c r="E683" s="28" t="str">
        <x:v>RP-03</x:v>
      </x:c>
      <x:c r="F683" s="28" t="n">
        <x:v>1</x:v>
      </x:c>
      <x:c r="G683" s="28" t="str">
        <x:f>IF(D683="","",IF(LEFT(D683,5)="RFP-A",IF(F683=1,"PTC-B","PTC-C"),IF(LEFT(D683,5)="RFP-B",IF(F683=1,"PTC-A","PTC-C"),IF(F683=1,"PTC-A","PTC-B"))))</x:f>
      </x:c>
      <x:c r="H683" s="29" t="str"/>
      <x:c r="I683" s="29" t="str"/>
      <x:c r="J683" s="29" t="str"/>
      <x:c r="K683" s="29" t="str"/>
      <x:c r="L683" s="29" t="str"/>
      <x:c r="M683" s="28" t="str">
        <x:f>IF(AND(C683="RESERVE",D683=""),"DORMANT",IF(L683="","OPEN",IF(AND(G683&lt;&gt;"",H683&lt;&gt;"",I683=H683,J683&lt;&gt;"",K683&lt;&gt;"",J683&lt;&gt;K683),"PASS","FAIL")))</x:f>
        <x:v>DORMANT</x:v>
      </x:c>
    </x:row>
    <x:row r="684">
      <x:c r="B684" s="28" t="str">
        <x:v>AT-29</x:v>
      </x:c>
      <x:c r="C684" s="28" t="str">
        <x:v>RESERVE</x:v>
      </x:c>
      <x:c r="D684" s="28" t="str">
        <x:f>INDEX('Attempt Tokens'!$E$7:$E$36,MATCH(B684,'Attempt Tokens'!$B$7:$B$36,0))</x:f>
      </x:c>
      <x:c r="E684" s="28" t="str">
        <x:v>RP-03</x:v>
      </x:c>
      <x:c r="F684" s="28" t="n">
        <x:v>2</x:v>
      </x:c>
      <x:c r="G684" s="28" t="str">
        <x:f>IF(D684="","",IF(LEFT(D684,5)="RFP-A",IF(F684=1,"PTC-B","PTC-C"),IF(LEFT(D684,5)="RFP-B",IF(F684=1,"PTC-A","PTC-C"),IF(F684=1,"PTC-A","PTC-B"))))</x:f>
      </x:c>
      <x:c r="H684" s="29" t="str"/>
      <x:c r="I684" s="29" t="str"/>
      <x:c r="J684" s="29" t="str"/>
      <x:c r="K684" s="29" t="str"/>
      <x:c r="L684" s="29" t="str"/>
      <x:c r="M684" s="28" t="str">
        <x:f>IF(AND(C684="RESERVE",D684=""),"DORMANT",IF(L684="","OPEN",IF(AND(G684&lt;&gt;"",H684&lt;&gt;"",I684=H684,J684&lt;&gt;"",K684&lt;&gt;"",J684&lt;&gt;K684),"PASS","FAIL")))</x:f>
        <x:v>DORMANT</x:v>
      </x:c>
    </x:row>
    <x:row r="685">
      <x:c r="B685" s="28" t="str">
        <x:v>AT-29</x:v>
      </x:c>
      <x:c r="C685" s="28" t="str">
        <x:v>RESERVE</x:v>
      </x:c>
      <x:c r="D685" s="28" t="str">
        <x:f>INDEX('Attempt Tokens'!$E$7:$E$36,MATCH(B685,'Attempt Tokens'!$B$7:$B$36,0))</x:f>
      </x:c>
      <x:c r="E685" s="28" t="str">
        <x:v>RP-04</x:v>
      </x:c>
      <x:c r="F685" s="28" t="n">
        <x:v>1</x:v>
      </x:c>
      <x:c r="G685" s="28" t="str">
        <x:f>IF(D685="","",IF(LEFT(D685,5)="RFP-A",IF(F685=1,"PTC-B","PTC-C"),IF(LEFT(D685,5)="RFP-B",IF(F685=1,"PTC-A","PTC-C"),IF(F685=1,"PTC-A","PTC-B"))))</x:f>
      </x:c>
      <x:c r="H685" s="29" t="str"/>
      <x:c r="I685" s="29" t="str"/>
      <x:c r="J685" s="29" t="str"/>
      <x:c r="K685" s="29" t="str"/>
      <x:c r="L685" s="29" t="str"/>
      <x:c r="M685" s="28" t="str">
        <x:f>IF(AND(C685="RESERVE",D685=""),"DORMANT",IF(L685="","OPEN",IF(AND(G685&lt;&gt;"",H685&lt;&gt;"",I685=H685,J685&lt;&gt;"",K685&lt;&gt;"",J685&lt;&gt;K685),"PASS","FAIL")))</x:f>
        <x:v>DORMANT</x:v>
      </x:c>
    </x:row>
    <x:row r="686">
      <x:c r="B686" s="28" t="str">
        <x:v>AT-29</x:v>
      </x:c>
      <x:c r="C686" s="28" t="str">
        <x:v>RESERVE</x:v>
      </x:c>
      <x:c r="D686" s="28" t="str">
        <x:f>INDEX('Attempt Tokens'!$E$7:$E$36,MATCH(B686,'Attempt Tokens'!$B$7:$B$36,0))</x:f>
      </x:c>
      <x:c r="E686" s="28" t="str">
        <x:v>RP-04</x:v>
      </x:c>
      <x:c r="F686" s="28" t="n">
        <x:v>2</x:v>
      </x:c>
      <x:c r="G686" s="28" t="str">
        <x:f>IF(D686="","",IF(LEFT(D686,5)="RFP-A",IF(F686=1,"PTC-B","PTC-C"),IF(LEFT(D686,5)="RFP-B",IF(F686=1,"PTC-A","PTC-C"),IF(F686=1,"PTC-A","PTC-B"))))</x:f>
      </x:c>
      <x:c r="H686" s="29" t="str"/>
      <x:c r="I686" s="29" t="str"/>
      <x:c r="J686" s="29" t="str"/>
      <x:c r="K686" s="29" t="str"/>
      <x:c r="L686" s="29" t="str"/>
      <x:c r="M686" s="28" t="str">
        <x:f>IF(AND(C686="RESERVE",D686=""),"DORMANT",IF(L686="","OPEN",IF(AND(G686&lt;&gt;"",H686&lt;&gt;"",I686=H686,J686&lt;&gt;"",K686&lt;&gt;"",J686&lt;&gt;K686),"PASS","FAIL")))</x:f>
        <x:v>DORMANT</x:v>
      </x:c>
    </x:row>
    <x:row r="687">
      <x:c r="B687" s="28" t="str">
        <x:v>AT-29</x:v>
      </x:c>
      <x:c r="C687" s="28" t="str">
        <x:v>RESERVE</x:v>
      </x:c>
      <x:c r="D687" s="28" t="str">
        <x:f>INDEX('Attempt Tokens'!$E$7:$E$36,MATCH(B687,'Attempt Tokens'!$B$7:$B$36,0))</x:f>
      </x:c>
      <x:c r="E687" s="28" t="str">
        <x:v>RP-05</x:v>
      </x:c>
      <x:c r="F687" s="28" t="n">
        <x:v>1</x:v>
      </x:c>
      <x:c r="G687" s="28" t="str">
        <x:f>IF(D687="","",IF(LEFT(D687,5)="RFP-A",IF(F687=1,"PTC-B","PTC-C"),IF(LEFT(D687,5)="RFP-B",IF(F687=1,"PTC-A","PTC-C"),IF(F687=1,"PTC-A","PTC-B"))))</x:f>
      </x:c>
      <x:c r="H687" s="29" t="str"/>
      <x:c r="I687" s="29" t="str"/>
      <x:c r="J687" s="29" t="str"/>
      <x:c r="K687" s="29" t="str"/>
      <x:c r="L687" s="29" t="str"/>
      <x:c r="M687" s="28" t="str">
        <x:f>IF(AND(C687="RESERVE",D687=""),"DORMANT",IF(L687="","OPEN",IF(AND(G687&lt;&gt;"",H687&lt;&gt;"",I687=H687,J687&lt;&gt;"",K687&lt;&gt;"",J687&lt;&gt;K687),"PASS","FAIL")))</x:f>
        <x:v>DORMANT</x:v>
      </x:c>
    </x:row>
    <x:row r="688">
      <x:c r="B688" s="28" t="str">
        <x:v>AT-29</x:v>
      </x:c>
      <x:c r="C688" s="28" t="str">
        <x:v>RESERVE</x:v>
      </x:c>
      <x:c r="D688" s="28" t="str">
        <x:f>INDEX('Attempt Tokens'!$E$7:$E$36,MATCH(B688,'Attempt Tokens'!$B$7:$B$36,0))</x:f>
      </x:c>
      <x:c r="E688" s="28" t="str">
        <x:v>RP-05</x:v>
      </x:c>
      <x:c r="F688" s="28" t="n">
        <x:v>2</x:v>
      </x:c>
      <x:c r="G688" s="28" t="str">
        <x:f>IF(D688="","",IF(LEFT(D688,5)="RFP-A",IF(F688=1,"PTC-B","PTC-C"),IF(LEFT(D688,5)="RFP-B",IF(F688=1,"PTC-A","PTC-C"),IF(F688=1,"PTC-A","PTC-B"))))</x:f>
      </x:c>
      <x:c r="H688" s="29" t="str"/>
      <x:c r="I688" s="29" t="str"/>
      <x:c r="J688" s="29" t="str"/>
      <x:c r="K688" s="29" t="str"/>
      <x:c r="L688" s="29" t="str"/>
      <x:c r="M688" s="28" t="str">
        <x:f>IF(AND(C688="RESERVE",D688=""),"DORMANT",IF(L688="","OPEN",IF(AND(G688&lt;&gt;"",H688&lt;&gt;"",I688=H688,J688&lt;&gt;"",K688&lt;&gt;"",J688&lt;&gt;K688),"PASS","FAIL")))</x:f>
        <x:v>DORMANT</x:v>
      </x:c>
    </x:row>
    <x:row r="689">
      <x:c r="B689" s="28" t="str">
        <x:v>AT-29</x:v>
      </x:c>
      <x:c r="C689" s="28" t="str">
        <x:v>RESERVE</x:v>
      </x:c>
      <x:c r="D689" s="28" t="str">
        <x:f>INDEX('Attempt Tokens'!$E$7:$E$36,MATCH(B689,'Attempt Tokens'!$B$7:$B$36,0))</x:f>
      </x:c>
      <x:c r="E689" s="28" t="str">
        <x:v>RP-06</x:v>
      </x:c>
      <x:c r="F689" s="28" t="n">
        <x:v>1</x:v>
      </x:c>
      <x:c r="G689" s="28" t="str">
        <x:f>IF(D689="","",IF(LEFT(D689,5)="RFP-A",IF(F689=1,"PTC-B","PTC-C"),IF(LEFT(D689,5)="RFP-B",IF(F689=1,"PTC-A","PTC-C"),IF(F689=1,"PTC-A","PTC-B"))))</x:f>
      </x:c>
      <x:c r="H689" s="29" t="str"/>
      <x:c r="I689" s="29" t="str"/>
      <x:c r="J689" s="29" t="str"/>
      <x:c r="K689" s="29" t="str"/>
      <x:c r="L689" s="29" t="str"/>
      <x:c r="M689" s="28" t="str">
        <x:f>IF(AND(C689="RESERVE",D689=""),"DORMANT",IF(L689="","OPEN",IF(AND(G689&lt;&gt;"",H689&lt;&gt;"",I689=H689,J689&lt;&gt;"",K689&lt;&gt;"",J689&lt;&gt;K689),"PASS","FAIL")))</x:f>
        <x:v>DORMANT</x:v>
      </x:c>
    </x:row>
    <x:row r="690">
      <x:c r="B690" s="28" t="str">
        <x:v>AT-29</x:v>
      </x:c>
      <x:c r="C690" s="28" t="str">
        <x:v>RESERVE</x:v>
      </x:c>
      <x:c r="D690" s="28" t="str">
        <x:f>INDEX('Attempt Tokens'!$E$7:$E$36,MATCH(B690,'Attempt Tokens'!$B$7:$B$36,0))</x:f>
      </x:c>
      <x:c r="E690" s="28" t="str">
        <x:v>RP-06</x:v>
      </x:c>
      <x:c r="F690" s="28" t="n">
        <x:v>2</x:v>
      </x:c>
      <x:c r="G690" s="28" t="str">
        <x:f>IF(D690="","",IF(LEFT(D690,5)="RFP-A",IF(F690=1,"PTC-B","PTC-C"),IF(LEFT(D690,5)="RFP-B",IF(F690=1,"PTC-A","PTC-C"),IF(F690=1,"PTC-A","PTC-B"))))</x:f>
      </x:c>
      <x:c r="H690" s="29" t="str"/>
      <x:c r="I690" s="29" t="str"/>
      <x:c r="J690" s="29" t="str"/>
      <x:c r="K690" s="29" t="str"/>
      <x:c r="L690" s="29" t="str"/>
      <x:c r="M690" s="28" t="str">
        <x:f>IF(AND(C690="RESERVE",D690=""),"DORMANT",IF(L690="","OPEN",IF(AND(G690&lt;&gt;"",H690&lt;&gt;"",I690=H690,J690&lt;&gt;"",K690&lt;&gt;"",J690&lt;&gt;K690),"PASS","FAIL")))</x:f>
        <x:v>DORMANT</x:v>
      </x:c>
    </x:row>
    <x:row r="691">
      <x:c r="B691" s="28" t="str">
        <x:v>AT-29</x:v>
      </x:c>
      <x:c r="C691" s="28" t="str">
        <x:v>RESERVE</x:v>
      </x:c>
      <x:c r="D691" s="28" t="str">
        <x:f>INDEX('Attempt Tokens'!$E$7:$E$36,MATCH(B691,'Attempt Tokens'!$B$7:$B$36,0))</x:f>
      </x:c>
      <x:c r="E691" s="28" t="str">
        <x:v>RP-07</x:v>
      </x:c>
      <x:c r="F691" s="28" t="n">
        <x:v>1</x:v>
      </x:c>
      <x:c r="G691" s="28" t="str">
        <x:f>IF(D691="","",IF(LEFT(D691,5)="RFP-A",IF(F691=1,"PTC-B","PTC-C"),IF(LEFT(D691,5)="RFP-B",IF(F691=1,"PTC-A","PTC-C"),IF(F691=1,"PTC-A","PTC-B"))))</x:f>
      </x:c>
      <x:c r="H691" s="29" t="str"/>
      <x:c r="I691" s="29" t="str"/>
      <x:c r="J691" s="29" t="str"/>
      <x:c r="K691" s="29" t="str"/>
      <x:c r="L691" s="29" t="str"/>
      <x:c r="M691" s="28" t="str">
        <x:f>IF(AND(C691="RESERVE",D691=""),"DORMANT",IF(L691="","OPEN",IF(AND(G691&lt;&gt;"",H691&lt;&gt;"",I691=H691,J691&lt;&gt;"",K691&lt;&gt;"",J691&lt;&gt;K691),"PASS","FAIL")))</x:f>
        <x:v>DORMANT</x:v>
      </x:c>
    </x:row>
    <x:row r="692">
      <x:c r="B692" s="28" t="str">
        <x:v>AT-29</x:v>
      </x:c>
      <x:c r="C692" s="28" t="str">
        <x:v>RESERVE</x:v>
      </x:c>
      <x:c r="D692" s="28" t="str">
        <x:f>INDEX('Attempt Tokens'!$E$7:$E$36,MATCH(B692,'Attempt Tokens'!$B$7:$B$36,0))</x:f>
      </x:c>
      <x:c r="E692" s="28" t="str">
        <x:v>RP-07</x:v>
      </x:c>
      <x:c r="F692" s="28" t="n">
        <x:v>2</x:v>
      </x:c>
      <x:c r="G692" s="28" t="str">
        <x:f>IF(D692="","",IF(LEFT(D692,5)="RFP-A",IF(F692=1,"PTC-B","PTC-C"),IF(LEFT(D692,5)="RFP-B",IF(F692=1,"PTC-A","PTC-C"),IF(F692=1,"PTC-A","PTC-B"))))</x:f>
      </x:c>
      <x:c r="H692" s="29" t="str"/>
      <x:c r="I692" s="29" t="str"/>
      <x:c r="J692" s="29" t="str"/>
      <x:c r="K692" s="29" t="str"/>
      <x:c r="L692" s="29" t="str"/>
      <x:c r="M692" s="28" t="str">
        <x:f>IF(AND(C692="RESERVE",D692=""),"DORMANT",IF(L692="","OPEN",IF(AND(G692&lt;&gt;"",H692&lt;&gt;"",I692=H692,J692&lt;&gt;"",K692&lt;&gt;"",J692&lt;&gt;K692),"PASS","FAIL")))</x:f>
        <x:v>DORMANT</x:v>
      </x:c>
    </x:row>
    <x:row r="693">
      <x:c r="B693" s="28" t="str">
        <x:v>AT-29</x:v>
      </x:c>
      <x:c r="C693" s="28" t="str">
        <x:v>RESERVE</x:v>
      </x:c>
      <x:c r="D693" s="28" t="str">
        <x:f>INDEX('Attempt Tokens'!$E$7:$E$36,MATCH(B693,'Attempt Tokens'!$B$7:$B$36,0))</x:f>
      </x:c>
      <x:c r="E693" s="28" t="str">
        <x:v>RP-08</x:v>
      </x:c>
      <x:c r="F693" s="28" t="n">
        <x:v>1</x:v>
      </x:c>
      <x:c r="G693" s="28" t="str">
        <x:f>IF(D693="","",IF(LEFT(D693,5)="RFP-A",IF(F693=1,"PTC-B","PTC-C"),IF(LEFT(D693,5)="RFP-B",IF(F693=1,"PTC-A","PTC-C"),IF(F693=1,"PTC-A","PTC-B"))))</x:f>
      </x:c>
      <x:c r="H693" s="29" t="str"/>
      <x:c r="I693" s="29" t="str"/>
      <x:c r="J693" s="29" t="str"/>
      <x:c r="K693" s="29" t="str"/>
      <x:c r="L693" s="29" t="str"/>
      <x:c r="M693" s="28" t="str">
        <x:f>IF(AND(C693="RESERVE",D693=""),"DORMANT",IF(L693="","OPEN",IF(AND(G693&lt;&gt;"",H693&lt;&gt;"",I693=H693,J693&lt;&gt;"",K693&lt;&gt;"",J693&lt;&gt;K693),"PASS","FAIL")))</x:f>
        <x:v>DORMANT</x:v>
      </x:c>
    </x:row>
    <x:row r="694">
      <x:c r="B694" s="28" t="str">
        <x:v>AT-29</x:v>
      </x:c>
      <x:c r="C694" s="28" t="str">
        <x:v>RESERVE</x:v>
      </x:c>
      <x:c r="D694" s="28" t="str">
        <x:f>INDEX('Attempt Tokens'!$E$7:$E$36,MATCH(B694,'Attempt Tokens'!$B$7:$B$36,0))</x:f>
      </x:c>
      <x:c r="E694" s="28" t="str">
        <x:v>RP-08</x:v>
      </x:c>
      <x:c r="F694" s="28" t="n">
        <x:v>2</x:v>
      </x:c>
      <x:c r="G694" s="28" t="str">
        <x:f>IF(D694="","",IF(LEFT(D694,5)="RFP-A",IF(F694=1,"PTC-B","PTC-C"),IF(LEFT(D694,5)="RFP-B",IF(F694=1,"PTC-A","PTC-C"),IF(F694=1,"PTC-A","PTC-B"))))</x:f>
      </x:c>
      <x:c r="H694" s="29" t="str"/>
      <x:c r="I694" s="29" t="str"/>
      <x:c r="J694" s="29" t="str"/>
      <x:c r="K694" s="29" t="str"/>
      <x:c r="L694" s="29" t="str"/>
      <x:c r="M694" s="28" t="str">
        <x:f>IF(AND(C694="RESERVE",D694=""),"DORMANT",IF(L694="","OPEN",IF(AND(G694&lt;&gt;"",H694&lt;&gt;"",I694=H694,J694&lt;&gt;"",K694&lt;&gt;"",J694&lt;&gt;K694),"PASS","FAIL")))</x:f>
        <x:v>DORMANT</x:v>
      </x:c>
    </x:row>
    <x:row r="695">
      <x:c r="B695" s="28" t="str">
        <x:v>AT-29</x:v>
      </x:c>
      <x:c r="C695" s="28" t="str">
        <x:v>RESERVE</x:v>
      </x:c>
      <x:c r="D695" s="28" t="str">
        <x:f>INDEX('Attempt Tokens'!$E$7:$E$36,MATCH(B695,'Attempt Tokens'!$B$7:$B$36,0))</x:f>
      </x:c>
      <x:c r="E695" s="28" t="str">
        <x:v>RP-09</x:v>
      </x:c>
      <x:c r="F695" s="28" t="n">
        <x:v>1</x:v>
      </x:c>
      <x:c r="G695" s="28" t="str">
        <x:f>IF(D695="","",IF(LEFT(D695,5)="RFP-A",IF(F695=1,"PTC-B","PTC-C"),IF(LEFT(D695,5)="RFP-B",IF(F695=1,"PTC-A","PTC-C"),IF(F695=1,"PTC-A","PTC-B"))))</x:f>
      </x:c>
      <x:c r="H695" s="29" t="str"/>
      <x:c r="I695" s="29" t="str"/>
      <x:c r="J695" s="29" t="str"/>
      <x:c r="K695" s="29" t="str"/>
      <x:c r="L695" s="29" t="str"/>
      <x:c r="M695" s="28" t="str">
        <x:f>IF(AND(C695="RESERVE",D695=""),"DORMANT",IF(L695="","OPEN",IF(AND(G695&lt;&gt;"",H695&lt;&gt;"",I695=H695,J695&lt;&gt;"",K695&lt;&gt;"",J695&lt;&gt;K695),"PASS","FAIL")))</x:f>
        <x:v>DORMANT</x:v>
      </x:c>
    </x:row>
    <x:row r="696">
      <x:c r="B696" s="28" t="str">
        <x:v>AT-29</x:v>
      </x:c>
      <x:c r="C696" s="28" t="str">
        <x:v>RESERVE</x:v>
      </x:c>
      <x:c r="D696" s="28" t="str">
        <x:f>INDEX('Attempt Tokens'!$E$7:$E$36,MATCH(B696,'Attempt Tokens'!$B$7:$B$36,0))</x:f>
      </x:c>
      <x:c r="E696" s="28" t="str">
        <x:v>RP-09</x:v>
      </x:c>
      <x:c r="F696" s="28" t="n">
        <x:v>2</x:v>
      </x:c>
      <x:c r="G696" s="28" t="str">
        <x:f>IF(D696="","",IF(LEFT(D696,5)="RFP-A",IF(F696=1,"PTC-B","PTC-C"),IF(LEFT(D696,5)="RFP-B",IF(F696=1,"PTC-A","PTC-C"),IF(F696=1,"PTC-A","PTC-B"))))</x:f>
      </x:c>
      <x:c r="H696" s="29" t="str"/>
      <x:c r="I696" s="29" t="str"/>
      <x:c r="J696" s="29" t="str"/>
      <x:c r="K696" s="29" t="str"/>
      <x:c r="L696" s="29" t="str"/>
      <x:c r="M696" s="28" t="str">
        <x:f>IF(AND(C696="RESERVE",D696=""),"DORMANT",IF(L696="","OPEN",IF(AND(G696&lt;&gt;"",H696&lt;&gt;"",I696=H696,J696&lt;&gt;"",K696&lt;&gt;"",J696&lt;&gt;K696),"PASS","FAIL")))</x:f>
        <x:v>DORMANT</x:v>
      </x:c>
    </x:row>
    <x:row r="697">
      <x:c r="B697" s="28" t="str">
        <x:v>AT-29</x:v>
      </x:c>
      <x:c r="C697" s="28" t="str">
        <x:v>RESERVE</x:v>
      </x:c>
      <x:c r="D697" s="28" t="str">
        <x:f>INDEX('Attempt Tokens'!$E$7:$E$36,MATCH(B697,'Attempt Tokens'!$B$7:$B$36,0))</x:f>
      </x:c>
      <x:c r="E697" s="28" t="str">
        <x:v>RP-10</x:v>
      </x:c>
      <x:c r="F697" s="28" t="n">
        <x:v>1</x:v>
      </x:c>
      <x:c r="G697" s="28" t="str">
        <x:f>IF(D697="","",IF(LEFT(D697,5)="RFP-A",IF(F697=1,"PTC-B","PTC-C"),IF(LEFT(D697,5)="RFP-B",IF(F697=1,"PTC-A","PTC-C"),IF(F697=1,"PTC-A","PTC-B"))))</x:f>
      </x:c>
      <x:c r="H697" s="29" t="str"/>
      <x:c r="I697" s="29" t="str"/>
      <x:c r="J697" s="29" t="str"/>
      <x:c r="K697" s="29" t="str"/>
      <x:c r="L697" s="29" t="str"/>
      <x:c r="M697" s="28" t="str">
        <x:f>IF(AND(C697="RESERVE",D697=""),"DORMANT",IF(L697="","OPEN",IF(AND(G697&lt;&gt;"",H697&lt;&gt;"",I697=H697,J697&lt;&gt;"",K697&lt;&gt;"",J697&lt;&gt;K697),"PASS","FAIL")))</x:f>
        <x:v>DORMANT</x:v>
      </x:c>
    </x:row>
    <x:row r="698">
      <x:c r="B698" s="28" t="str">
        <x:v>AT-29</x:v>
      </x:c>
      <x:c r="C698" s="28" t="str">
        <x:v>RESERVE</x:v>
      </x:c>
      <x:c r="D698" s="28" t="str">
        <x:f>INDEX('Attempt Tokens'!$E$7:$E$36,MATCH(B698,'Attempt Tokens'!$B$7:$B$36,0))</x:f>
      </x:c>
      <x:c r="E698" s="28" t="str">
        <x:v>RP-10</x:v>
      </x:c>
      <x:c r="F698" s="28" t="n">
        <x:v>2</x:v>
      </x:c>
      <x:c r="G698" s="28" t="str">
        <x:f>IF(D698="","",IF(LEFT(D698,5)="RFP-A",IF(F698=1,"PTC-B","PTC-C"),IF(LEFT(D698,5)="RFP-B",IF(F698=1,"PTC-A","PTC-C"),IF(F698=1,"PTC-A","PTC-B"))))</x:f>
      </x:c>
      <x:c r="H698" s="29" t="str"/>
      <x:c r="I698" s="29" t="str"/>
      <x:c r="J698" s="29" t="str"/>
      <x:c r="K698" s="29" t="str"/>
      <x:c r="L698" s="29" t="str"/>
      <x:c r="M698" s="28" t="str">
        <x:f>IF(AND(C698="RESERVE",D698=""),"DORMANT",IF(L698="","OPEN",IF(AND(G698&lt;&gt;"",H698&lt;&gt;"",I698=H698,J698&lt;&gt;"",K698&lt;&gt;"",J698&lt;&gt;K698),"PASS","FAIL")))</x:f>
        <x:v>DORMANT</x:v>
      </x:c>
    </x:row>
    <x:row r="699">
      <x:c r="B699" s="28" t="str">
        <x:v>AT-29</x:v>
      </x:c>
      <x:c r="C699" s="28" t="str">
        <x:v>RESERVE</x:v>
      </x:c>
      <x:c r="D699" s="28" t="str">
        <x:f>INDEX('Attempt Tokens'!$E$7:$E$36,MATCH(B699,'Attempt Tokens'!$B$7:$B$36,0))</x:f>
      </x:c>
      <x:c r="E699" s="28" t="str">
        <x:v>RP-11</x:v>
      </x:c>
      <x:c r="F699" s="28" t="n">
        <x:v>1</x:v>
      </x:c>
      <x:c r="G699" s="28" t="str">
        <x:f>IF(D699="","",IF(LEFT(D699,5)="RFP-A",IF(F699=1,"PTC-B","PTC-C"),IF(LEFT(D699,5)="RFP-B",IF(F699=1,"PTC-A","PTC-C"),IF(F699=1,"PTC-A","PTC-B"))))</x:f>
      </x:c>
      <x:c r="H699" s="29" t="str"/>
      <x:c r="I699" s="29" t="str"/>
      <x:c r="J699" s="29" t="str"/>
      <x:c r="K699" s="29" t="str"/>
      <x:c r="L699" s="29" t="str"/>
      <x:c r="M699" s="28" t="str">
        <x:f>IF(AND(C699="RESERVE",D699=""),"DORMANT",IF(L699="","OPEN",IF(AND(G699&lt;&gt;"",H699&lt;&gt;"",I699=H699,J699&lt;&gt;"",K699&lt;&gt;"",J699&lt;&gt;K699),"PASS","FAIL")))</x:f>
        <x:v>DORMANT</x:v>
      </x:c>
    </x:row>
    <x:row r="700">
      <x:c r="B700" s="28" t="str">
        <x:v>AT-29</x:v>
      </x:c>
      <x:c r="C700" s="28" t="str">
        <x:v>RESERVE</x:v>
      </x:c>
      <x:c r="D700" s="28" t="str">
        <x:f>INDEX('Attempt Tokens'!$E$7:$E$36,MATCH(B700,'Attempt Tokens'!$B$7:$B$36,0))</x:f>
      </x:c>
      <x:c r="E700" s="28" t="str">
        <x:v>RP-11</x:v>
      </x:c>
      <x:c r="F700" s="28" t="n">
        <x:v>2</x:v>
      </x:c>
      <x:c r="G700" s="28" t="str">
        <x:f>IF(D700="","",IF(LEFT(D700,5)="RFP-A",IF(F700=1,"PTC-B","PTC-C"),IF(LEFT(D700,5)="RFP-B",IF(F700=1,"PTC-A","PTC-C"),IF(F700=1,"PTC-A","PTC-B"))))</x:f>
      </x:c>
      <x:c r="H700" s="29" t="str"/>
      <x:c r="I700" s="29" t="str"/>
      <x:c r="J700" s="29" t="str"/>
      <x:c r="K700" s="29" t="str"/>
      <x:c r="L700" s="29" t="str"/>
      <x:c r="M700" s="28" t="str">
        <x:f>IF(AND(C700="RESERVE",D700=""),"DORMANT",IF(L700="","OPEN",IF(AND(G700&lt;&gt;"",H700&lt;&gt;"",I700=H700,J700&lt;&gt;"",K700&lt;&gt;"",J700&lt;&gt;K700),"PASS","FAIL")))</x:f>
        <x:v>DORMANT</x:v>
      </x:c>
    </x:row>
    <x:row r="701">
      <x:c r="B701" s="28" t="str">
        <x:v>AT-29</x:v>
      </x:c>
      <x:c r="C701" s="28" t="str">
        <x:v>RESERVE</x:v>
      </x:c>
      <x:c r="D701" s="28" t="str">
        <x:f>INDEX('Attempt Tokens'!$E$7:$E$36,MATCH(B701,'Attempt Tokens'!$B$7:$B$36,0))</x:f>
      </x:c>
      <x:c r="E701" s="28" t="str">
        <x:v>RP-12</x:v>
      </x:c>
      <x:c r="F701" s="28" t="n">
        <x:v>1</x:v>
      </x:c>
      <x:c r="G701" s="28" t="str">
        <x:f>IF(D701="","",IF(LEFT(D701,5)="RFP-A",IF(F701=1,"PTC-B","PTC-C"),IF(LEFT(D701,5)="RFP-B",IF(F701=1,"PTC-A","PTC-C"),IF(F701=1,"PTC-A","PTC-B"))))</x:f>
      </x:c>
      <x:c r="H701" s="29" t="str"/>
      <x:c r="I701" s="29" t="str"/>
      <x:c r="J701" s="29" t="str"/>
      <x:c r="K701" s="29" t="str"/>
      <x:c r="L701" s="29" t="str"/>
      <x:c r="M701" s="28" t="str">
        <x:f>IF(AND(C701="RESERVE",D701=""),"DORMANT",IF(L701="","OPEN",IF(AND(G701&lt;&gt;"",H701&lt;&gt;"",I701=H701,J701&lt;&gt;"",K701&lt;&gt;"",J701&lt;&gt;K701),"PASS","FAIL")))</x:f>
        <x:v>DORMANT</x:v>
      </x:c>
    </x:row>
    <x:row r="702">
      <x:c r="B702" s="28" t="str">
        <x:v>AT-29</x:v>
      </x:c>
      <x:c r="C702" s="28" t="str">
        <x:v>RESERVE</x:v>
      </x:c>
      <x:c r="D702" s="28" t="str">
        <x:f>INDEX('Attempt Tokens'!$E$7:$E$36,MATCH(B702,'Attempt Tokens'!$B$7:$B$36,0))</x:f>
      </x:c>
      <x:c r="E702" s="28" t="str">
        <x:v>RP-12</x:v>
      </x:c>
      <x:c r="F702" s="28" t="n">
        <x:v>2</x:v>
      </x:c>
      <x:c r="G702" s="28" t="str">
        <x:f>IF(D702="","",IF(LEFT(D702,5)="RFP-A",IF(F702=1,"PTC-B","PTC-C"),IF(LEFT(D702,5)="RFP-B",IF(F702=1,"PTC-A","PTC-C"),IF(F702=1,"PTC-A","PTC-B"))))</x:f>
      </x:c>
      <x:c r="H702" s="29" t="str"/>
      <x:c r="I702" s="29" t="str"/>
      <x:c r="J702" s="29" t="str"/>
      <x:c r="K702" s="29" t="str"/>
      <x:c r="L702" s="29" t="str"/>
      <x:c r="M702" s="28" t="str">
        <x:f>IF(AND(C702="RESERVE",D702=""),"DORMANT",IF(L702="","OPEN",IF(AND(G702&lt;&gt;"",H702&lt;&gt;"",I702=H702,J702&lt;&gt;"",K702&lt;&gt;"",J702&lt;&gt;K702),"PASS","FAIL")))</x:f>
        <x:v>DORMANT</x:v>
      </x:c>
    </x:row>
    <x:row r="703">
      <x:c r="B703" s="28" t="str">
        <x:v>AT-30</x:v>
      </x:c>
      <x:c r="C703" s="28" t="str">
        <x:v>RESERVE</x:v>
      </x:c>
      <x:c r="D703" s="28" t="str">
        <x:f>INDEX('Attempt Tokens'!$E$7:$E$36,MATCH(B703,'Attempt Tokens'!$B$7:$B$36,0))</x:f>
      </x:c>
      <x:c r="E703" s="28" t="str">
        <x:v>RP-01</x:v>
      </x:c>
      <x:c r="F703" s="28" t="n">
        <x:v>1</x:v>
      </x:c>
      <x:c r="G703" s="28" t="str">
        <x:f>IF(D703="","",IF(LEFT(D703,5)="RFP-A",IF(F703=1,"PTC-B","PTC-C"),IF(LEFT(D703,5)="RFP-B",IF(F703=1,"PTC-A","PTC-C"),IF(F703=1,"PTC-A","PTC-B"))))</x:f>
      </x:c>
      <x:c r="H703" s="29" t="str"/>
      <x:c r="I703" s="29" t="str"/>
      <x:c r="J703" s="29" t="str"/>
      <x:c r="K703" s="29" t="str"/>
      <x:c r="L703" s="29" t="str"/>
      <x:c r="M703" s="28" t="str">
        <x:f>IF(AND(C703="RESERVE",D703=""),"DORMANT",IF(L703="","OPEN",IF(AND(G703&lt;&gt;"",H703&lt;&gt;"",I703=H703,J703&lt;&gt;"",K703&lt;&gt;"",J703&lt;&gt;K703),"PASS","FAIL")))</x:f>
        <x:v>DORMANT</x:v>
      </x:c>
    </x:row>
    <x:row r="704">
      <x:c r="B704" s="28" t="str">
        <x:v>AT-30</x:v>
      </x:c>
      <x:c r="C704" s="28" t="str">
        <x:v>RESERVE</x:v>
      </x:c>
      <x:c r="D704" s="28" t="str">
        <x:f>INDEX('Attempt Tokens'!$E$7:$E$36,MATCH(B704,'Attempt Tokens'!$B$7:$B$36,0))</x:f>
      </x:c>
      <x:c r="E704" s="28" t="str">
        <x:v>RP-01</x:v>
      </x:c>
      <x:c r="F704" s="28" t="n">
        <x:v>2</x:v>
      </x:c>
      <x:c r="G704" s="28" t="str">
        <x:f>IF(D704="","",IF(LEFT(D704,5)="RFP-A",IF(F704=1,"PTC-B","PTC-C"),IF(LEFT(D704,5)="RFP-B",IF(F704=1,"PTC-A","PTC-C"),IF(F704=1,"PTC-A","PTC-B"))))</x:f>
      </x:c>
      <x:c r="H704" s="29" t="str"/>
      <x:c r="I704" s="29" t="str"/>
      <x:c r="J704" s="29" t="str"/>
      <x:c r="K704" s="29" t="str"/>
      <x:c r="L704" s="29" t="str"/>
      <x:c r="M704" s="28" t="str">
        <x:f>IF(AND(C704="RESERVE",D704=""),"DORMANT",IF(L704="","OPEN",IF(AND(G704&lt;&gt;"",H704&lt;&gt;"",I704=H704,J704&lt;&gt;"",K704&lt;&gt;"",J704&lt;&gt;K704),"PASS","FAIL")))</x:f>
        <x:v>DORMANT</x:v>
      </x:c>
    </x:row>
    <x:row r="705">
      <x:c r="B705" s="28" t="str">
        <x:v>AT-30</x:v>
      </x:c>
      <x:c r="C705" s="28" t="str">
        <x:v>RESERVE</x:v>
      </x:c>
      <x:c r="D705" s="28" t="str">
        <x:f>INDEX('Attempt Tokens'!$E$7:$E$36,MATCH(B705,'Attempt Tokens'!$B$7:$B$36,0))</x:f>
      </x:c>
      <x:c r="E705" s="28" t="str">
        <x:v>RP-02</x:v>
      </x:c>
      <x:c r="F705" s="28" t="n">
        <x:v>1</x:v>
      </x:c>
      <x:c r="G705" s="28" t="str">
        <x:f>IF(D705="","",IF(LEFT(D705,5)="RFP-A",IF(F705=1,"PTC-B","PTC-C"),IF(LEFT(D705,5)="RFP-B",IF(F705=1,"PTC-A","PTC-C"),IF(F705=1,"PTC-A","PTC-B"))))</x:f>
      </x:c>
      <x:c r="H705" s="29" t="str"/>
      <x:c r="I705" s="29" t="str"/>
      <x:c r="J705" s="29" t="str"/>
      <x:c r="K705" s="29" t="str"/>
      <x:c r="L705" s="29" t="str"/>
      <x:c r="M705" s="28" t="str">
        <x:f>IF(AND(C705="RESERVE",D705=""),"DORMANT",IF(L705="","OPEN",IF(AND(G705&lt;&gt;"",H705&lt;&gt;"",I705=H705,J705&lt;&gt;"",K705&lt;&gt;"",J705&lt;&gt;K705),"PASS","FAIL")))</x:f>
        <x:v>DORMANT</x:v>
      </x:c>
    </x:row>
    <x:row r="706">
      <x:c r="B706" s="28" t="str">
        <x:v>AT-30</x:v>
      </x:c>
      <x:c r="C706" s="28" t="str">
        <x:v>RESERVE</x:v>
      </x:c>
      <x:c r="D706" s="28" t="str">
        <x:f>INDEX('Attempt Tokens'!$E$7:$E$36,MATCH(B706,'Attempt Tokens'!$B$7:$B$36,0))</x:f>
      </x:c>
      <x:c r="E706" s="28" t="str">
        <x:v>RP-02</x:v>
      </x:c>
      <x:c r="F706" s="28" t="n">
        <x:v>2</x:v>
      </x:c>
      <x:c r="G706" s="28" t="str">
        <x:f>IF(D706="","",IF(LEFT(D706,5)="RFP-A",IF(F706=1,"PTC-B","PTC-C"),IF(LEFT(D706,5)="RFP-B",IF(F706=1,"PTC-A","PTC-C"),IF(F706=1,"PTC-A","PTC-B"))))</x:f>
      </x:c>
      <x:c r="H706" s="29" t="str"/>
      <x:c r="I706" s="29" t="str"/>
      <x:c r="J706" s="29" t="str"/>
      <x:c r="K706" s="29" t="str"/>
      <x:c r="L706" s="29" t="str"/>
      <x:c r="M706" s="28" t="str">
        <x:f>IF(AND(C706="RESERVE",D706=""),"DORMANT",IF(L706="","OPEN",IF(AND(G706&lt;&gt;"",H706&lt;&gt;"",I706=H706,J706&lt;&gt;"",K706&lt;&gt;"",J706&lt;&gt;K706),"PASS","FAIL")))</x:f>
        <x:v>DORMANT</x:v>
      </x:c>
    </x:row>
    <x:row r="707">
      <x:c r="B707" s="28" t="str">
        <x:v>AT-30</x:v>
      </x:c>
      <x:c r="C707" s="28" t="str">
        <x:v>RESERVE</x:v>
      </x:c>
      <x:c r="D707" s="28" t="str">
        <x:f>INDEX('Attempt Tokens'!$E$7:$E$36,MATCH(B707,'Attempt Tokens'!$B$7:$B$36,0))</x:f>
      </x:c>
      <x:c r="E707" s="28" t="str">
        <x:v>RP-03</x:v>
      </x:c>
      <x:c r="F707" s="28" t="n">
        <x:v>1</x:v>
      </x:c>
      <x:c r="G707" s="28" t="str">
        <x:f>IF(D707="","",IF(LEFT(D707,5)="RFP-A",IF(F707=1,"PTC-B","PTC-C"),IF(LEFT(D707,5)="RFP-B",IF(F707=1,"PTC-A","PTC-C"),IF(F707=1,"PTC-A","PTC-B"))))</x:f>
      </x:c>
      <x:c r="H707" s="29" t="str"/>
      <x:c r="I707" s="29" t="str"/>
      <x:c r="J707" s="29" t="str"/>
      <x:c r="K707" s="29" t="str"/>
      <x:c r="L707" s="29" t="str"/>
      <x:c r="M707" s="28" t="str">
        <x:f>IF(AND(C707="RESERVE",D707=""),"DORMANT",IF(L707="","OPEN",IF(AND(G707&lt;&gt;"",H707&lt;&gt;"",I707=H707,J707&lt;&gt;"",K707&lt;&gt;"",J707&lt;&gt;K707),"PASS","FAIL")))</x:f>
        <x:v>DORMANT</x:v>
      </x:c>
    </x:row>
    <x:row r="708">
      <x:c r="B708" s="28" t="str">
        <x:v>AT-30</x:v>
      </x:c>
      <x:c r="C708" s="28" t="str">
        <x:v>RESERVE</x:v>
      </x:c>
      <x:c r="D708" s="28" t="str">
        <x:f>INDEX('Attempt Tokens'!$E$7:$E$36,MATCH(B708,'Attempt Tokens'!$B$7:$B$36,0))</x:f>
      </x:c>
      <x:c r="E708" s="28" t="str">
        <x:v>RP-03</x:v>
      </x:c>
      <x:c r="F708" s="28" t="n">
        <x:v>2</x:v>
      </x:c>
      <x:c r="G708" s="28" t="str">
        <x:f>IF(D708="","",IF(LEFT(D708,5)="RFP-A",IF(F708=1,"PTC-B","PTC-C"),IF(LEFT(D708,5)="RFP-B",IF(F708=1,"PTC-A","PTC-C"),IF(F708=1,"PTC-A","PTC-B"))))</x:f>
      </x:c>
      <x:c r="H708" s="29" t="str"/>
      <x:c r="I708" s="29" t="str"/>
      <x:c r="J708" s="29" t="str"/>
      <x:c r="K708" s="29" t="str"/>
      <x:c r="L708" s="29" t="str"/>
      <x:c r="M708" s="28" t="str">
        <x:f>IF(AND(C708="RESERVE",D708=""),"DORMANT",IF(L708="","OPEN",IF(AND(G708&lt;&gt;"",H708&lt;&gt;"",I708=H708,J708&lt;&gt;"",K708&lt;&gt;"",J708&lt;&gt;K708),"PASS","FAIL")))</x:f>
        <x:v>DORMANT</x:v>
      </x:c>
    </x:row>
    <x:row r="709">
      <x:c r="B709" s="28" t="str">
        <x:v>AT-30</x:v>
      </x:c>
      <x:c r="C709" s="28" t="str">
        <x:v>RESERVE</x:v>
      </x:c>
      <x:c r="D709" s="28" t="str">
        <x:f>INDEX('Attempt Tokens'!$E$7:$E$36,MATCH(B709,'Attempt Tokens'!$B$7:$B$36,0))</x:f>
      </x:c>
      <x:c r="E709" s="28" t="str">
        <x:v>RP-04</x:v>
      </x:c>
      <x:c r="F709" s="28" t="n">
        <x:v>1</x:v>
      </x:c>
      <x:c r="G709" s="28" t="str">
        <x:f>IF(D709="","",IF(LEFT(D709,5)="RFP-A",IF(F709=1,"PTC-B","PTC-C"),IF(LEFT(D709,5)="RFP-B",IF(F709=1,"PTC-A","PTC-C"),IF(F709=1,"PTC-A","PTC-B"))))</x:f>
      </x:c>
      <x:c r="H709" s="29" t="str"/>
      <x:c r="I709" s="29" t="str"/>
      <x:c r="J709" s="29" t="str"/>
      <x:c r="K709" s="29" t="str"/>
      <x:c r="L709" s="29" t="str"/>
      <x:c r="M709" s="28" t="str">
        <x:f>IF(AND(C709="RESERVE",D709=""),"DORMANT",IF(L709="","OPEN",IF(AND(G709&lt;&gt;"",H709&lt;&gt;"",I709=H709,J709&lt;&gt;"",K709&lt;&gt;"",J709&lt;&gt;K709),"PASS","FAIL")))</x:f>
        <x:v>DORMANT</x:v>
      </x:c>
    </x:row>
    <x:row r="710">
      <x:c r="B710" s="28" t="str">
        <x:v>AT-30</x:v>
      </x:c>
      <x:c r="C710" s="28" t="str">
        <x:v>RESERVE</x:v>
      </x:c>
      <x:c r="D710" s="28" t="str">
        <x:f>INDEX('Attempt Tokens'!$E$7:$E$36,MATCH(B710,'Attempt Tokens'!$B$7:$B$36,0))</x:f>
      </x:c>
      <x:c r="E710" s="28" t="str">
        <x:v>RP-04</x:v>
      </x:c>
      <x:c r="F710" s="28" t="n">
        <x:v>2</x:v>
      </x:c>
      <x:c r="G710" s="28" t="str">
        <x:f>IF(D710="","",IF(LEFT(D710,5)="RFP-A",IF(F710=1,"PTC-B","PTC-C"),IF(LEFT(D710,5)="RFP-B",IF(F710=1,"PTC-A","PTC-C"),IF(F710=1,"PTC-A","PTC-B"))))</x:f>
      </x:c>
      <x:c r="H710" s="29" t="str"/>
      <x:c r="I710" s="29" t="str"/>
      <x:c r="J710" s="29" t="str"/>
      <x:c r="K710" s="29" t="str"/>
      <x:c r="L710" s="29" t="str"/>
      <x:c r="M710" s="28" t="str">
        <x:f>IF(AND(C710="RESERVE",D710=""),"DORMANT",IF(L710="","OPEN",IF(AND(G710&lt;&gt;"",H710&lt;&gt;"",I710=H710,J710&lt;&gt;"",K710&lt;&gt;"",J710&lt;&gt;K710),"PASS","FAIL")))</x:f>
        <x:v>DORMANT</x:v>
      </x:c>
    </x:row>
    <x:row r="711">
      <x:c r="B711" s="28" t="str">
        <x:v>AT-30</x:v>
      </x:c>
      <x:c r="C711" s="28" t="str">
        <x:v>RESERVE</x:v>
      </x:c>
      <x:c r="D711" s="28" t="str">
        <x:f>INDEX('Attempt Tokens'!$E$7:$E$36,MATCH(B711,'Attempt Tokens'!$B$7:$B$36,0))</x:f>
      </x:c>
      <x:c r="E711" s="28" t="str">
        <x:v>RP-05</x:v>
      </x:c>
      <x:c r="F711" s="28" t="n">
        <x:v>1</x:v>
      </x:c>
      <x:c r="G711" s="28" t="str">
        <x:f>IF(D711="","",IF(LEFT(D711,5)="RFP-A",IF(F711=1,"PTC-B","PTC-C"),IF(LEFT(D711,5)="RFP-B",IF(F711=1,"PTC-A","PTC-C"),IF(F711=1,"PTC-A","PTC-B"))))</x:f>
      </x:c>
      <x:c r="H711" s="29" t="str"/>
      <x:c r="I711" s="29" t="str"/>
      <x:c r="J711" s="29" t="str"/>
      <x:c r="K711" s="29" t="str"/>
      <x:c r="L711" s="29" t="str"/>
      <x:c r="M711" s="28" t="str">
        <x:f>IF(AND(C711="RESERVE",D711=""),"DORMANT",IF(L711="","OPEN",IF(AND(G711&lt;&gt;"",H711&lt;&gt;"",I711=H711,J711&lt;&gt;"",K711&lt;&gt;"",J711&lt;&gt;K711),"PASS","FAIL")))</x:f>
        <x:v>DORMANT</x:v>
      </x:c>
    </x:row>
    <x:row r="712">
      <x:c r="B712" s="28" t="str">
        <x:v>AT-30</x:v>
      </x:c>
      <x:c r="C712" s="28" t="str">
        <x:v>RESERVE</x:v>
      </x:c>
      <x:c r="D712" s="28" t="str">
        <x:f>INDEX('Attempt Tokens'!$E$7:$E$36,MATCH(B712,'Attempt Tokens'!$B$7:$B$36,0))</x:f>
      </x:c>
      <x:c r="E712" s="28" t="str">
        <x:v>RP-05</x:v>
      </x:c>
      <x:c r="F712" s="28" t="n">
        <x:v>2</x:v>
      </x:c>
      <x:c r="G712" s="28" t="str">
        <x:f>IF(D712="","",IF(LEFT(D712,5)="RFP-A",IF(F712=1,"PTC-B","PTC-C"),IF(LEFT(D712,5)="RFP-B",IF(F712=1,"PTC-A","PTC-C"),IF(F712=1,"PTC-A","PTC-B"))))</x:f>
      </x:c>
      <x:c r="H712" s="29" t="str"/>
      <x:c r="I712" s="29" t="str"/>
      <x:c r="J712" s="29" t="str"/>
      <x:c r="K712" s="29" t="str"/>
      <x:c r="L712" s="29" t="str"/>
      <x:c r="M712" s="28" t="str">
        <x:f>IF(AND(C712="RESERVE",D712=""),"DORMANT",IF(L712="","OPEN",IF(AND(G712&lt;&gt;"",H712&lt;&gt;"",I712=H712,J712&lt;&gt;"",K712&lt;&gt;"",J712&lt;&gt;K712),"PASS","FAIL")))</x:f>
        <x:v>DORMANT</x:v>
      </x:c>
    </x:row>
    <x:row r="713">
      <x:c r="B713" s="28" t="str">
        <x:v>AT-30</x:v>
      </x:c>
      <x:c r="C713" s="28" t="str">
        <x:v>RESERVE</x:v>
      </x:c>
      <x:c r="D713" s="28" t="str">
        <x:f>INDEX('Attempt Tokens'!$E$7:$E$36,MATCH(B713,'Attempt Tokens'!$B$7:$B$36,0))</x:f>
      </x:c>
      <x:c r="E713" s="28" t="str">
        <x:v>RP-06</x:v>
      </x:c>
      <x:c r="F713" s="28" t="n">
        <x:v>1</x:v>
      </x:c>
      <x:c r="G713" s="28" t="str">
        <x:f>IF(D713="","",IF(LEFT(D713,5)="RFP-A",IF(F713=1,"PTC-B","PTC-C"),IF(LEFT(D713,5)="RFP-B",IF(F713=1,"PTC-A","PTC-C"),IF(F713=1,"PTC-A","PTC-B"))))</x:f>
      </x:c>
      <x:c r="H713" s="29" t="str"/>
      <x:c r="I713" s="29" t="str"/>
      <x:c r="J713" s="29" t="str"/>
      <x:c r="K713" s="29" t="str"/>
      <x:c r="L713" s="29" t="str"/>
      <x:c r="M713" s="28" t="str">
        <x:f>IF(AND(C713="RESERVE",D713=""),"DORMANT",IF(L713="","OPEN",IF(AND(G713&lt;&gt;"",H713&lt;&gt;"",I713=H713,J713&lt;&gt;"",K713&lt;&gt;"",J713&lt;&gt;K713),"PASS","FAIL")))</x:f>
        <x:v>DORMANT</x:v>
      </x:c>
    </x:row>
    <x:row r="714">
      <x:c r="B714" s="28" t="str">
        <x:v>AT-30</x:v>
      </x:c>
      <x:c r="C714" s="28" t="str">
        <x:v>RESERVE</x:v>
      </x:c>
      <x:c r="D714" s="28" t="str">
        <x:f>INDEX('Attempt Tokens'!$E$7:$E$36,MATCH(B714,'Attempt Tokens'!$B$7:$B$36,0))</x:f>
      </x:c>
      <x:c r="E714" s="28" t="str">
        <x:v>RP-06</x:v>
      </x:c>
      <x:c r="F714" s="28" t="n">
        <x:v>2</x:v>
      </x:c>
      <x:c r="G714" s="28" t="str">
        <x:f>IF(D714="","",IF(LEFT(D714,5)="RFP-A",IF(F714=1,"PTC-B","PTC-C"),IF(LEFT(D714,5)="RFP-B",IF(F714=1,"PTC-A","PTC-C"),IF(F714=1,"PTC-A","PTC-B"))))</x:f>
      </x:c>
      <x:c r="H714" s="29" t="str"/>
      <x:c r="I714" s="29" t="str"/>
      <x:c r="J714" s="29" t="str"/>
      <x:c r="K714" s="29" t="str"/>
      <x:c r="L714" s="29" t="str"/>
      <x:c r="M714" s="28" t="str">
        <x:f>IF(AND(C714="RESERVE",D714=""),"DORMANT",IF(L714="","OPEN",IF(AND(G714&lt;&gt;"",H714&lt;&gt;"",I714=H714,J714&lt;&gt;"",K714&lt;&gt;"",J714&lt;&gt;K714),"PASS","FAIL")))</x:f>
        <x:v>DORMANT</x:v>
      </x:c>
    </x:row>
    <x:row r="715">
      <x:c r="B715" s="28" t="str">
        <x:v>AT-30</x:v>
      </x:c>
      <x:c r="C715" s="28" t="str">
        <x:v>RESERVE</x:v>
      </x:c>
      <x:c r="D715" s="28" t="str">
        <x:f>INDEX('Attempt Tokens'!$E$7:$E$36,MATCH(B715,'Attempt Tokens'!$B$7:$B$36,0))</x:f>
      </x:c>
      <x:c r="E715" s="28" t="str">
        <x:v>RP-07</x:v>
      </x:c>
      <x:c r="F715" s="28" t="n">
        <x:v>1</x:v>
      </x:c>
      <x:c r="G715" s="28" t="str">
        <x:f>IF(D715="","",IF(LEFT(D715,5)="RFP-A",IF(F715=1,"PTC-B","PTC-C"),IF(LEFT(D715,5)="RFP-B",IF(F715=1,"PTC-A","PTC-C"),IF(F715=1,"PTC-A","PTC-B"))))</x:f>
      </x:c>
      <x:c r="H715" s="29" t="str"/>
      <x:c r="I715" s="29" t="str"/>
      <x:c r="J715" s="29" t="str"/>
      <x:c r="K715" s="29" t="str"/>
      <x:c r="L715" s="29" t="str"/>
      <x:c r="M715" s="28" t="str">
        <x:f>IF(AND(C715="RESERVE",D715=""),"DORMANT",IF(L715="","OPEN",IF(AND(G715&lt;&gt;"",H715&lt;&gt;"",I715=H715,J715&lt;&gt;"",K715&lt;&gt;"",J715&lt;&gt;K715),"PASS","FAIL")))</x:f>
        <x:v>DORMANT</x:v>
      </x:c>
    </x:row>
    <x:row r="716">
      <x:c r="B716" s="28" t="str">
        <x:v>AT-30</x:v>
      </x:c>
      <x:c r="C716" s="28" t="str">
        <x:v>RESERVE</x:v>
      </x:c>
      <x:c r="D716" s="28" t="str">
        <x:f>INDEX('Attempt Tokens'!$E$7:$E$36,MATCH(B716,'Attempt Tokens'!$B$7:$B$36,0))</x:f>
      </x:c>
      <x:c r="E716" s="28" t="str">
        <x:v>RP-07</x:v>
      </x:c>
      <x:c r="F716" s="28" t="n">
        <x:v>2</x:v>
      </x:c>
      <x:c r="G716" s="28" t="str">
        <x:f>IF(D716="","",IF(LEFT(D716,5)="RFP-A",IF(F716=1,"PTC-B","PTC-C"),IF(LEFT(D716,5)="RFP-B",IF(F716=1,"PTC-A","PTC-C"),IF(F716=1,"PTC-A","PTC-B"))))</x:f>
      </x:c>
      <x:c r="H716" s="29" t="str"/>
      <x:c r="I716" s="29" t="str"/>
      <x:c r="J716" s="29" t="str"/>
      <x:c r="K716" s="29" t="str"/>
      <x:c r="L716" s="29" t="str"/>
      <x:c r="M716" s="28" t="str">
        <x:f>IF(AND(C716="RESERVE",D716=""),"DORMANT",IF(L716="","OPEN",IF(AND(G716&lt;&gt;"",H716&lt;&gt;"",I716=H716,J716&lt;&gt;"",K716&lt;&gt;"",J716&lt;&gt;K716),"PASS","FAIL")))</x:f>
        <x:v>DORMANT</x:v>
      </x:c>
    </x:row>
    <x:row r="717">
      <x:c r="B717" s="28" t="str">
        <x:v>AT-30</x:v>
      </x:c>
      <x:c r="C717" s="28" t="str">
        <x:v>RESERVE</x:v>
      </x:c>
      <x:c r="D717" s="28" t="str">
        <x:f>INDEX('Attempt Tokens'!$E$7:$E$36,MATCH(B717,'Attempt Tokens'!$B$7:$B$36,0))</x:f>
      </x:c>
      <x:c r="E717" s="28" t="str">
        <x:v>RP-08</x:v>
      </x:c>
      <x:c r="F717" s="28" t="n">
        <x:v>1</x:v>
      </x:c>
      <x:c r="G717" s="28" t="str">
        <x:f>IF(D717="","",IF(LEFT(D717,5)="RFP-A",IF(F717=1,"PTC-B","PTC-C"),IF(LEFT(D717,5)="RFP-B",IF(F717=1,"PTC-A","PTC-C"),IF(F717=1,"PTC-A","PTC-B"))))</x:f>
      </x:c>
      <x:c r="H717" s="29" t="str"/>
      <x:c r="I717" s="29" t="str"/>
      <x:c r="J717" s="29" t="str"/>
      <x:c r="K717" s="29" t="str"/>
      <x:c r="L717" s="29" t="str"/>
      <x:c r="M717" s="28" t="str">
        <x:f>IF(AND(C717="RESERVE",D717=""),"DORMANT",IF(L717="","OPEN",IF(AND(G717&lt;&gt;"",H717&lt;&gt;"",I717=H717,J717&lt;&gt;"",K717&lt;&gt;"",J717&lt;&gt;K717),"PASS","FAIL")))</x:f>
        <x:v>DORMANT</x:v>
      </x:c>
    </x:row>
    <x:row r="718">
      <x:c r="B718" s="28" t="str">
        <x:v>AT-30</x:v>
      </x:c>
      <x:c r="C718" s="28" t="str">
        <x:v>RESERVE</x:v>
      </x:c>
      <x:c r="D718" s="28" t="str">
        <x:f>INDEX('Attempt Tokens'!$E$7:$E$36,MATCH(B718,'Attempt Tokens'!$B$7:$B$36,0))</x:f>
      </x:c>
      <x:c r="E718" s="28" t="str">
        <x:v>RP-08</x:v>
      </x:c>
      <x:c r="F718" s="28" t="n">
        <x:v>2</x:v>
      </x:c>
      <x:c r="G718" s="28" t="str">
        <x:f>IF(D718="","",IF(LEFT(D718,5)="RFP-A",IF(F718=1,"PTC-B","PTC-C"),IF(LEFT(D718,5)="RFP-B",IF(F718=1,"PTC-A","PTC-C"),IF(F718=1,"PTC-A","PTC-B"))))</x:f>
      </x:c>
      <x:c r="H718" s="29" t="str"/>
      <x:c r="I718" s="29" t="str"/>
      <x:c r="J718" s="29" t="str"/>
      <x:c r="K718" s="29" t="str"/>
      <x:c r="L718" s="29" t="str"/>
      <x:c r="M718" s="28" t="str">
        <x:f>IF(AND(C718="RESERVE",D718=""),"DORMANT",IF(L718="","OPEN",IF(AND(G718&lt;&gt;"",H718&lt;&gt;"",I718=H718,J718&lt;&gt;"",K718&lt;&gt;"",J718&lt;&gt;K718),"PASS","FAIL")))</x:f>
        <x:v>DORMANT</x:v>
      </x:c>
    </x:row>
    <x:row r="719">
      <x:c r="B719" s="28" t="str">
        <x:v>AT-30</x:v>
      </x:c>
      <x:c r="C719" s="28" t="str">
        <x:v>RESERVE</x:v>
      </x:c>
      <x:c r="D719" s="28" t="str">
        <x:f>INDEX('Attempt Tokens'!$E$7:$E$36,MATCH(B719,'Attempt Tokens'!$B$7:$B$36,0))</x:f>
      </x:c>
      <x:c r="E719" s="28" t="str">
        <x:v>RP-09</x:v>
      </x:c>
      <x:c r="F719" s="28" t="n">
        <x:v>1</x:v>
      </x:c>
      <x:c r="G719" s="28" t="str">
        <x:f>IF(D719="","",IF(LEFT(D719,5)="RFP-A",IF(F719=1,"PTC-B","PTC-C"),IF(LEFT(D719,5)="RFP-B",IF(F719=1,"PTC-A","PTC-C"),IF(F719=1,"PTC-A","PTC-B"))))</x:f>
      </x:c>
      <x:c r="H719" s="29" t="str"/>
      <x:c r="I719" s="29" t="str"/>
      <x:c r="J719" s="29" t="str"/>
      <x:c r="K719" s="29" t="str"/>
      <x:c r="L719" s="29" t="str"/>
      <x:c r="M719" s="28" t="str">
        <x:f>IF(AND(C719="RESERVE",D719=""),"DORMANT",IF(L719="","OPEN",IF(AND(G719&lt;&gt;"",H719&lt;&gt;"",I719=H719,J719&lt;&gt;"",K719&lt;&gt;"",J719&lt;&gt;K719),"PASS","FAIL")))</x:f>
        <x:v>DORMANT</x:v>
      </x:c>
    </x:row>
    <x:row r="720">
      <x:c r="B720" s="28" t="str">
        <x:v>AT-30</x:v>
      </x:c>
      <x:c r="C720" s="28" t="str">
        <x:v>RESERVE</x:v>
      </x:c>
      <x:c r="D720" s="28" t="str">
        <x:f>INDEX('Attempt Tokens'!$E$7:$E$36,MATCH(B720,'Attempt Tokens'!$B$7:$B$36,0))</x:f>
      </x:c>
      <x:c r="E720" s="28" t="str">
        <x:v>RP-09</x:v>
      </x:c>
      <x:c r="F720" s="28" t="n">
        <x:v>2</x:v>
      </x:c>
      <x:c r="G720" s="28" t="str">
        <x:f>IF(D720="","",IF(LEFT(D720,5)="RFP-A",IF(F720=1,"PTC-B","PTC-C"),IF(LEFT(D720,5)="RFP-B",IF(F720=1,"PTC-A","PTC-C"),IF(F720=1,"PTC-A","PTC-B"))))</x:f>
      </x:c>
      <x:c r="H720" s="29" t="str"/>
      <x:c r="I720" s="29" t="str"/>
      <x:c r="J720" s="29" t="str"/>
      <x:c r="K720" s="29" t="str"/>
      <x:c r="L720" s="29" t="str"/>
      <x:c r="M720" s="28" t="str">
        <x:f>IF(AND(C720="RESERVE",D720=""),"DORMANT",IF(L720="","OPEN",IF(AND(G720&lt;&gt;"",H720&lt;&gt;"",I720=H720,J720&lt;&gt;"",K720&lt;&gt;"",J720&lt;&gt;K720),"PASS","FAIL")))</x:f>
        <x:v>DORMANT</x:v>
      </x:c>
    </x:row>
    <x:row r="721">
      <x:c r="B721" s="28" t="str">
        <x:v>AT-30</x:v>
      </x:c>
      <x:c r="C721" s="28" t="str">
        <x:v>RESERVE</x:v>
      </x:c>
      <x:c r="D721" s="28" t="str">
        <x:f>INDEX('Attempt Tokens'!$E$7:$E$36,MATCH(B721,'Attempt Tokens'!$B$7:$B$36,0))</x:f>
      </x:c>
      <x:c r="E721" s="28" t="str">
        <x:v>RP-10</x:v>
      </x:c>
      <x:c r="F721" s="28" t="n">
        <x:v>1</x:v>
      </x:c>
      <x:c r="G721" s="28" t="str">
        <x:f>IF(D721="","",IF(LEFT(D721,5)="RFP-A",IF(F721=1,"PTC-B","PTC-C"),IF(LEFT(D721,5)="RFP-B",IF(F721=1,"PTC-A","PTC-C"),IF(F721=1,"PTC-A","PTC-B"))))</x:f>
      </x:c>
      <x:c r="H721" s="29" t="str"/>
      <x:c r="I721" s="29" t="str"/>
      <x:c r="J721" s="29" t="str"/>
      <x:c r="K721" s="29" t="str"/>
      <x:c r="L721" s="29" t="str"/>
      <x:c r="M721" s="28" t="str">
        <x:f>IF(AND(C721="RESERVE",D721=""),"DORMANT",IF(L721="","OPEN",IF(AND(G721&lt;&gt;"",H721&lt;&gt;"",I721=H721,J721&lt;&gt;"",K721&lt;&gt;"",J721&lt;&gt;K721),"PASS","FAIL")))</x:f>
        <x:v>DORMANT</x:v>
      </x:c>
    </x:row>
    <x:row r="722">
      <x:c r="B722" s="28" t="str">
        <x:v>AT-30</x:v>
      </x:c>
      <x:c r="C722" s="28" t="str">
        <x:v>RESERVE</x:v>
      </x:c>
      <x:c r="D722" s="28" t="str">
        <x:f>INDEX('Attempt Tokens'!$E$7:$E$36,MATCH(B722,'Attempt Tokens'!$B$7:$B$36,0))</x:f>
      </x:c>
      <x:c r="E722" s="28" t="str">
        <x:v>RP-10</x:v>
      </x:c>
      <x:c r="F722" s="28" t="n">
        <x:v>2</x:v>
      </x:c>
      <x:c r="G722" s="28" t="str">
        <x:f>IF(D722="","",IF(LEFT(D722,5)="RFP-A",IF(F722=1,"PTC-B","PTC-C"),IF(LEFT(D722,5)="RFP-B",IF(F722=1,"PTC-A","PTC-C"),IF(F722=1,"PTC-A","PTC-B"))))</x:f>
      </x:c>
      <x:c r="H722" s="29" t="str"/>
      <x:c r="I722" s="29" t="str"/>
      <x:c r="J722" s="29" t="str"/>
      <x:c r="K722" s="29" t="str"/>
      <x:c r="L722" s="29" t="str"/>
      <x:c r="M722" s="28" t="str">
        <x:f>IF(AND(C722="RESERVE",D722=""),"DORMANT",IF(L722="","OPEN",IF(AND(G722&lt;&gt;"",H722&lt;&gt;"",I722=H722,J722&lt;&gt;"",K722&lt;&gt;"",J722&lt;&gt;K722),"PASS","FAIL")))</x:f>
        <x:v>DORMANT</x:v>
      </x:c>
    </x:row>
    <x:row r="723">
      <x:c r="B723" s="28" t="str">
        <x:v>AT-30</x:v>
      </x:c>
      <x:c r="C723" s="28" t="str">
        <x:v>RESERVE</x:v>
      </x:c>
      <x:c r="D723" s="28" t="str">
        <x:f>INDEX('Attempt Tokens'!$E$7:$E$36,MATCH(B723,'Attempt Tokens'!$B$7:$B$36,0))</x:f>
      </x:c>
      <x:c r="E723" s="28" t="str">
        <x:v>RP-11</x:v>
      </x:c>
      <x:c r="F723" s="28" t="n">
        <x:v>1</x:v>
      </x:c>
      <x:c r="G723" s="28" t="str">
        <x:f>IF(D723="","",IF(LEFT(D723,5)="RFP-A",IF(F723=1,"PTC-B","PTC-C"),IF(LEFT(D723,5)="RFP-B",IF(F723=1,"PTC-A","PTC-C"),IF(F723=1,"PTC-A","PTC-B"))))</x:f>
      </x:c>
      <x:c r="H723" s="29" t="str"/>
      <x:c r="I723" s="29" t="str"/>
      <x:c r="J723" s="29" t="str"/>
      <x:c r="K723" s="29" t="str"/>
      <x:c r="L723" s="29" t="str"/>
      <x:c r="M723" s="28" t="str">
        <x:f>IF(AND(C723="RESERVE",D723=""),"DORMANT",IF(L723="","OPEN",IF(AND(G723&lt;&gt;"",H723&lt;&gt;"",I723=H723,J723&lt;&gt;"",K723&lt;&gt;"",J723&lt;&gt;K723),"PASS","FAIL")))</x:f>
        <x:v>DORMANT</x:v>
      </x:c>
    </x:row>
    <x:row r="724">
      <x:c r="B724" s="28" t="str">
        <x:v>AT-30</x:v>
      </x:c>
      <x:c r="C724" s="28" t="str">
        <x:v>RESERVE</x:v>
      </x:c>
      <x:c r="D724" s="28" t="str">
        <x:f>INDEX('Attempt Tokens'!$E$7:$E$36,MATCH(B724,'Attempt Tokens'!$B$7:$B$36,0))</x:f>
      </x:c>
      <x:c r="E724" s="28" t="str">
        <x:v>RP-11</x:v>
      </x:c>
      <x:c r="F724" s="28" t="n">
        <x:v>2</x:v>
      </x:c>
      <x:c r="G724" s="28" t="str">
        <x:f>IF(D724="","",IF(LEFT(D724,5)="RFP-A",IF(F724=1,"PTC-B","PTC-C"),IF(LEFT(D724,5)="RFP-B",IF(F724=1,"PTC-A","PTC-C"),IF(F724=1,"PTC-A","PTC-B"))))</x:f>
      </x:c>
      <x:c r="H724" s="29" t="str"/>
      <x:c r="I724" s="29" t="str"/>
      <x:c r="J724" s="29" t="str"/>
      <x:c r="K724" s="29" t="str"/>
      <x:c r="L724" s="29" t="str"/>
      <x:c r="M724" s="28" t="str">
        <x:f>IF(AND(C724="RESERVE",D724=""),"DORMANT",IF(L724="","OPEN",IF(AND(G724&lt;&gt;"",H724&lt;&gt;"",I724=H724,J724&lt;&gt;"",K724&lt;&gt;"",J724&lt;&gt;K724),"PASS","FAIL")))</x:f>
        <x:v>DORMANT</x:v>
      </x:c>
    </x:row>
    <x:row r="725">
      <x:c r="B725" s="28" t="str">
        <x:v>AT-30</x:v>
      </x:c>
      <x:c r="C725" s="28" t="str">
        <x:v>RESERVE</x:v>
      </x:c>
      <x:c r="D725" s="28" t="str">
        <x:f>INDEX('Attempt Tokens'!$E$7:$E$36,MATCH(B725,'Attempt Tokens'!$B$7:$B$36,0))</x:f>
      </x:c>
      <x:c r="E725" s="28" t="str">
        <x:v>RP-12</x:v>
      </x:c>
      <x:c r="F725" s="28" t="n">
        <x:v>1</x:v>
      </x:c>
      <x:c r="G725" s="28" t="str">
        <x:f>IF(D725="","",IF(LEFT(D725,5)="RFP-A",IF(F725=1,"PTC-B","PTC-C"),IF(LEFT(D725,5)="RFP-B",IF(F725=1,"PTC-A","PTC-C"),IF(F725=1,"PTC-A","PTC-B"))))</x:f>
      </x:c>
      <x:c r="H725" s="29" t="str"/>
      <x:c r="I725" s="29" t="str"/>
      <x:c r="J725" s="29" t="str"/>
      <x:c r="K725" s="29" t="str"/>
      <x:c r="L725" s="29" t="str"/>
      <x:c r="M725" s="28" t="str">
        <x:f>IF(AND(C725="RESERVE",D725=""),"DORMANT",IF(L725="","OPEN",IF(AND(G725&lt;&gt;"",H725&lt;&gt;"",I725=H725,J725&lt;&gt;"",K725&lt;&gt;"",J725&lt;&gt;K725),"PASS","FAIL")))</x:f>
        <x:v>DORMANT</x:v>
      </x:c>
    </x:row>
    <x:row r="726">
      <x:c r="B726" s="28" t="str">
        <x:v>AT-30</x:v>
      </x:c>
      <x:c r="C726" s="28" t="str">
        <x:v>RESERVE</x:v>
      </x:c>
      <x:c r="D726" s="28" t="str">
        <x:f>INDEX('Attempt Tokens'!$E$7:$E$36,MATCH(B726,'Attempt Tokens'!$B$7:$B$36,0))</x:f>
      </x:c>
      <x:c r="E726" s="28" t="str">
        <x:v>RP-12</x:v>
      </x:c>
      <x:c r="F726" s="28" t="n">
        <x:v>2</x:v>
      </x:c>
      <x:c r="G726" s="28" t="str">
        <x:f>IF(D726="","",IF(LEFT(D726,5)="RFP-A",IF(F726=1,"PTC-B","PTC-C"),IF(LEFT(D726,5)="RFP-B",IF(F726=1,"PTC-A","PTC-C"),IF(F726=1,"PTC-A","PTC-B"))))</x:f>
      </x:c>
      <x:c r="H726" s="29" t="str"/>
      <x:c r="I726" s="29" t="str"/>
      <x:c r="J726" s="29" t="str"/>
      <x:c r="K726" s="29" t="str"/>
      <x:c r="L726" s="29" t="str"/>
      <x:c r="M726" s="28" t="str">
        <x:f>IF(AND(C726="RESERVE",D726=""),"DORMANT",IF(L726="","OPEN",IF(AND(G726&lt;&gt;"",H726&lt;&gt;"",I726=H726,J726&lt;&gt;"",K726&lt;&gt;"",J726&lt;&gt;K726),"PASS","FAIL")))</x:f>
        <x:v>DORMANT</x:v>
      </x:c>
    </x:row>
  </x:sheetData>
  <x:conditionalFormatting sqref="M7:M726">
    <x:cfRule type="containsText" dxfId="135" priority="1" operator="containsText" text="FAIL"/>
    <x:cfRule type="containsText" dxfId="136" priority="2" operator="containsText" text="BLOCKED"/>
    <x:cfRule type="containsText" dxfId="137" priority="3" operator="containsText" text="INVALID"/>
    <x:cfRule type="containsText" dxfId="138" priority="4" operator="containsText" text="ADVERSE"/>
    <x:cfRule type="containsText" dxfId="139" priority="5" operator="containsText" text="EXPIRED"/>
    <x:cfRule type="containsText" dxfId="140" priority="6" operator="containsText" text="OPEN"/>
    <x:cfRule type="containsText" dxfId="141" priority="7" operator="containsText" text="DORMANT"/>
    <x:cfRule type="containsText" dxfId="142" priority="8" operator="containsText" text="PASS"/>
    <x:cfRule type="containsText" dxfId="143" priority="9" operator="containsText" text="AVAILABLE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42" hidden="0" customWidth="1"/>
    <x:col min="3" max="3" width="18" hidden="0" customWidth="1"/>
    <x:col min="4" max="4" width="17" hidden="0" customWidth="1"/>
    <x:col min="5" max="5" width="18" hidden="0" customWidth="1"/>
    <x:col min="6" max="6" width="18" hidden="0" customWidth="1"/>
    <x:col min="7" max="7" width="21" hidden="0" customWidth="1"/>
    <x:col min="8" max="8" width="21" hidden="0" customWidth="1"/>
    <x:col min="9" max="9" width="21" hidden="0" customWidth="1"/>
    <x:col min="10" max="10" width="18" hidden="0" customWidth="1"/>
    <x:col min="11" max="11" width="22" hidden="0" customWidth="1"/>
    <x:col min="12" max="12" width="16" hidden="0" customWidth="1"/>
  </x:cols>
  <x:sheetData>
    <x:row r="2">
      <x:c r="B2" s="23" t="str">
        <x:v>Twenty-four non-substitutable QE-01 credits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Each cell requires exactly one accepted successful attempt. Invalid attempts remain counted; a valid adverse attempt cannot be replaced.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Cell</x:v>
      </x:c>
      <x:c r="C6" s="6" t="str">
        <x:v>Rig</x:v>
      </x:c>
      <x:c r="D6" s="6" t="str">
        <x:v>Campus</x:v>
      </x:c>
      <x:c r="E6" s="6" t="str">
        <x:v>Method</x:v>
      </x:c>
      <x:c r="F6" s="6" t="str">
        <x:v>Credit root</x:v>
      </x:c>
      <x:c r="G6" s="6" t="str">
        <x:v>Passing attempts</x:v>
      </x:c>
      <x:c r="H6" s="6" t="str">
        <x:v>Invalid attempts</x:v>
      </x:c>
      <x:c r="I6" s="6" t="str">
        <x:v>Adverse attempts</x:v>
      </x:c>
      <x:c r="J6" s="6" t="str">
        <x:v>Credit token</x:v>
      </x:c>
      <x:c r="K6" s="6" t="str">
        <x:v>Accepted UTC</x:v>
      </x:c>
      <x:c r="L6" s="6" t="str">
        <x:v>State</x:v>
      </x:c>
    </x:row>
    <x:row r="7">
      <x:c r="B7" s="28" t="str">
        <x:v>RFP-A1-AM-05-TR-A</x:v>
      </x:c>
      <x:c r="C7" s="28" t="str">
        <x:v>RFP-A1</x:v>
      </x:c>
      <x:c r="D7" s="28" t="str">
        <x:v>PTC-A</x:v>
      </x:c>
      <x:c r="E7" s="28" t="str">
        <x:v>AM-05</x:v>
      </x:c>
      <x:c r="F7" s="28" t="str">
        <x:v>TR-A</x:v>
      </x:c>
      <x:c r="G7" s="28" t="n">
        <x:f>COUNTIFS('Attempt Register'!$E$7:$E$36,B7,'Attempt Register'!$Q$7:$Q$36,"PASS")</x:f>
        <x:v>0</x:v>
      </x:c>
      <x:c r="H7" s="28" t="n">
        <x:f>COUNTIFS('Attempt Register'!$E$7:$E$36,B7,'Attempt Register'!$Q$7:$Q$36,"INVALID")</x:f>
        <x:v>0</x:v>
      </x:c>
      <x:c r="I7" s="28" t="n">
        <x:f>COUNTIFS('Attempt Register'!$E$7:$E$36,B7,'Attempt Register'!$Q$7:$Q$36,"ADVERSE")</x:f>
        <x:v>0</x:v>
      </x:c>
      <x:c r="J7" s="29" t="str"/>
      <x:c r="K7" s="29" t="str"/>
      <x:c r="L7" s="28" t="str">
        <x:f>IF(K7="","OPEN",IF(AND(G7=1,I7=0,J7&lt;&gt;"",COUNTIFS('Attempt Register'!$B$7:$B$36,J7,'Attempt Register'!$E$7:$E$36,B7,'Attempt Register'!$Q$7:$Q$36,"PASS")=1),"PASS","FAIL"))</x:f>
        <x:v>OPEN</x:v>
      </x:c>
    </x:row>
    <x:row r="8">
      <x:c r="B8" s="28" t="str">
        <x:v>RFP-A1-AM-05-TR-B</x:v>
      </x:c>
      <x:c r="C8" s="28" t="str">
        <x:v>RFP-A1</x:v>
      </x:c>
      <x:c r="D8" s="28" t="str">
        <x:v>PTC-A</x:v>
      </x:c>
      <x:c r="E8" s="28" t="str">
        <x:v>AM-05</x:v>
      </x:c>
      <x:c r="F8" s="28" t="str">
        <x:v>TR-B</x:v>
      </x:c>
      <x:c r="G8" s="28" t="n">
        <x:f>COUNTIFS('Attempt Register'!$E$7:$E$36,B8,'Attempt Register'!$Q$7:$Q$36,"PASS")</x:f>
        <x:v>0</x:v>
      </x:c>
      <x:c r="H8" s="28" t="n">
        <x:f>COUNTIFS('Attempt Register'!$E$7:$E$36,B8,'Attempt Register'!$Q$7:$Q$36,"INVALID")</x:f>
        <x:v>0</x:v>
      </x:c>
      <x:c r="I8" s="28" t="n">
        <x:f>COUNTIFS('Attempt Register'!$E$7:$E$36,B8,'Attempt Register'!$Q$7:$Q$36,"ADVERSE")</x:f>
        <x:v>0</x:v>
      </x:c>
      <x:c r="J8" s="29" t="str"/>
      <x:c r="K8" s="29" t="str"/>
      <x:c r="L8" s="28" t="str">
        <x:f>IF(K8="","OPEN",IF(AND(G8=1,I8=0,J8&lt;&gt;"",COUNTIFS('Attempt Register'!$B$7:$B$36,J8,'Attempt Register'!$E$7:$E$36,B8,'Attempt Register'!$Q$7:$Q$36,"PASS")=1),"PASS","FAIL"))</x:f>
        <x:v>OPEN</x:v>
      </x:c>
    </x:row>
    <x:row r="9">
      <x:c r="B9" s="28" t="str">
        <x:v>RFP-A1-AM-06-TR-A</x:v>
      </x:c>
      <x:c r="C9" s="28" t="str">
        <x:v>RFP-A1</x:v>
      </x:c>
      <x:c r="D9" s="28" t="str">
        <x:v>PTC-A</x:v>
      </x:c>
      <x:c r="E9" s="28" t="str">
        <x:v>AM-06</x:v>
      </x:c>
      <x:c r="F9" s="28" t="str">
        <x:v>TR-A</x:v>
      </x:c>
      <x:c r="G9" s="28" t="n">
        <x:f>COUNTIFS('Attempt Register'!$E$7:$E$36,B9,'Attempt Register'!$Q$7:$Q$36,"PASS")</x:f>
        <x:v>0</x:v>
      </x:c>
      <x:c r="H9" s="28" t="n">
        <x:f>COUNTIFS('Attempt Register'!$E$7:$E$36,B9,'Attempt Register'!$Q$7:$Q$36,"INVALID")</x:f>
        <x:v>0</x:v>
      </x:c>
      <x:c r="I9" s="28" t="n">
        <x:f>COUNTIFS('Attempt Register'!$E$7:$E$36,B9,'Attempt Register'!$Q$7:$Q$36,"ADVERSE")</x:f>
        <x:v>0</x:v>
      </x:c>
      <x:c r="J9" s="29" t="str"/>
      <x:c r="K9" s="29" t="str"/>
      <x:c r="L9" s="28" t="str">
        <x:f>IF(K9="","OPEN",IF(AND(G9=1,I9=0,J9&lt;&gt;"",COUNTIFS('Attempt Register'!$B$7:$B$36,J9,'Attempt Register'!$E$7:$E$36,B9,'Attempt Register'!$Q$7:$Q$36,"PASS")=1),"PASS","FAIL"))</x:f>
        <x:v>OPEN</x:v>
      </x:c>
    </x:row>
    <x:row r="10">
      <x:c r="B10" s="28" t="str">
        <x:v>RFP-A1-AM-06-TR-B</x:v>
      </x:c>
      <x:c r="C10" s="28" t="str">
        <x:v>RFP-A1</x:v>
      </x:c>
      <x:c r="D10" s="28" t="str">
        <x:v>PTC-A</x:v>
      </x:c>
      <x:c r="E10" s="28" t="str">
        <x:v>AM-06</x:v>
      </x:c>
      <x:c r="F10" s="28" t="str">
        <x:v>TR-B</x:v>
      </x:c>
      <x:c r="G10" s="28" t="n">
        <x:f>COUNTIFS('Attempt Register'!$E$7:$E$36,B10,'Attempt Register'!$Q$7:$Q$36,"PASS")</x:f>
        <x:v>0</x:v>
      </x:c>
      <x:c r="H10" s="28" t="n">
        <x:f>COUNTIFS('Attempt Register'!$E$7:$E$36,B10,'Attempt Register'!$Q$7:$Q$36,"INVALID")</x:f>
        <x:v>0</x:v>
      </x:c>
      <x:c r="I10" s="28" t="n">
        <x:f>COUNTIFS('Attempt Register'!$E$7:$E$36,B10,'Attempt Register'!$Q$7:$Q$36,"ADVERSE")</x:f>
        <x:v>0</x:v>
      </x:c>
      <x:c r="J10" s="29" t="str"/>
      <x:c r="K10" s="29" t="str"/>
      <x:c r="L10" s="28" t="str">
        <x:f>IF(K10="","OPEN",IF(AND(G10=1,I10=0,J10&lt;&gt;"",COUNTIFS('Attempt Register'!$B$7:$B$36,J10,'Attempt Register'!$E$7:$E$36,B10,'Attempt Register'!$Q$7:$Q$36,"PASS")=1),"PASS","FAIL"))</x:f>
        <x:v>OPEN</x:v>
      </x:c>
    </x:row>
    <x:row r="11">
      <x:c r="B11" s="28" t="str">
        <x:v>RFP-A2-AM-05-TR-A</x:v>
      </x:c>
      <x:c r="C11" s="28" t="str">
        <x:v>RFP-A2</x:v>
      </x:c>
      <x:c r="D11" s="28" t="str">
        <x:v>PTC-A</x:v>
      </x:c>
      <x:c r="E11" s="28" t="str">
        <x:v>AM-05</x:v>
      </x:c>
      <x:c r="F11" s="28" t="str">
        <x:v>TR-A</x:v>
      </x:c>
      <x:c r="G11" s="28" t="n">
        <x:f>COUNTIFS('Attempt Register'!$E$7:$E$36,B11,'Attempt Register'!$Q$7:$Q$36,"PASS")</x:f>
        <x:v>0</x:v>
      </x:c>
      <x:c r="H11" s="28" t="n">
        <x:f>COUNTIFS('Attempt Register'!$E$7:$E$36,B11,'Attempt Register'!$Q$7:$Q$36,"INVALID")</x:f>
        <x:v>0</x:v>
      </x:c>
      <x:c r="I11" s="28" t="n">
        <x:f>COUNTIFS('Attempt Register'!$E$7:$E$36,B11,'Attempt Register'!$Q$7:$Q$36,"ADVERSE")</x:f>
        <x:v>0</x:v>
      </x:c>
      <x:c r="J11" s="29" t="str"/>
      <x:c r="K11" s="29" t="str"/>
      <x:c r="L11" s="28" t="str">
        <x:f>IF(K11="","OPEN",IF(AND(G11=1,I11=0,J11&lt;&gt;"",COUNTIFS('Attempt Register'!$B$7:$B$36,J11,'Attempt Register'!$E$7:$E$36,B11,'Attempt Register'!$Q$7:$Q$36,"PASS")=1),"PASS","FAIL"))</x:f>
        <x:v>OPEN</x:v>
      </x:c>
    </x:row>
    <x:row r="12">
      <x:c r="B12" s="28" t="str">
        <x:v>RFP-A2-AM-05-TR-B</x:v>
      </x:c>
      <x:c r="C12" s="28" t="str">
        <x:v>RFP-A2</x:v>
      </x:c>
      <x:c r="D12" s="28" t="str">
        <x:v>PTC-A</x:v>
      </x:c>
      <x:c r="E12" s="28" t="str">
        <x:v>AM-05</x:v>
      </x:c>
      <x:c r="F12" s="28" t="str">
        <x:v>TR-B</x:v>
      </x:c>
      <x:c r="G12" s="28" t="n">
        <x:f>COUNTIFS('Attempt Register'!$E$7:$E$36,B12,'Attempt Register'!$Q$7:$Q$36,"PASS")</x:f>
        <x:v>0</x:v>
      </x:c>
      <x:c r="H12" s="28" t="n">
        <x:f>COUNTIFS('Attempt Register'!$E$7:$E$36,B12,'Attempt Register'!$Q$7:$Q$36,"INVALID")</x:f>
        <x:v>0</x:v>
      </x:c>
      <x:c r="I12" s="28" t="n">
        <x:f>COUNTIFS('Attempt Register'!$E$7:$E$36,B12,'Attempt Register'!$Q$7:$Q$36,"ADVERSE")</x:f>
        <x:v>0</x:v>
      </x:c>
      <x:c r="J12" s="29" t="str"/>
      <x:c r="K12" s="29" t="str"/>
      <x:c r="L12" s="28" t="str">
        <x:f>IF(K12="","OPEN",IF(AND(G12=1,I12=0,J12&lt;&gt;"",COUNTIFS('Attempt Register'!$B$7:$B$36,J12,'Attempt Register'!$E$7:$E$36,B12,'Attempt Register'!$Q$7:$Q$36,"PASS")=1),"PASS","FAIL"))</x:f>
        <x:v>OPEN</x:v>
      </x:c>
    </x:row>
    <x:row r="13">
      <x:c r="B13" s="28" t="str">
        <x:v>RFP-A2-AM-06-TR-A</x:v>
      </x:c>
      <x:c r="C13" s="28" t="str">
        <x:v>RFP-A2</x:v>
      </x:c>
      <x:c r="D13" s="28" t="str">
        <x:v>PTC-A</x:v>
      </x:c>
      <x:c r="E13" s="28" t="str">
        <x:v>AM-06</x:v>
      </x:c>
      <x:c r="F13" s="28" t="str">
        <x:v>TR-A</x:v>
      </x:c>
      <x:c r="G13" s="28" t="n">
        <x:f>COUNTIFS('Attempt Register'!$E$7:$E$36,B13,'Attempt Register'!$Q$7:$Q$36,"PASS")</x:f>
        <x:v>0</x:v>
      </x:c>
      <x:c r="H13" s="28" t="n">
        <x:f>COUNTIFS('Attempt Register'!$E$7:$E$36,B13,'Attempt Register'!$Q$7:$Q$36,"INVALID")</x:f>
        <x:v>0</x:v>
      </x:c>
      <x:c r="I13" s="28" t="n">
        <x:f>COUNTIFS('Attempt Register'!$E$7:$E$36,B13,'Attempt Register'!$Q$7:$Q$36,"ADVERSE")</x:f>
        <x:v>0</x:v>
      </x:c>
      <x:c r="J13" s="29" t="str"/>
      <x:c r="K13" s="29" t="str"/>
      <x:c r="L13" s="28" t="str">
        <x:f>IF(K13="","OPEN",IF(AND(G13=1,I13=0,J13&lt;&gt;"",COUNTIFS('Attempt Register'!$B$7:$B$36,J13,'Attempt Register'!$E$7:$E$36,B13,'Attempt Register'!$Q$7:$Q$36,"PASS")=1),"PASS","FAIL"))</x:f>
        <x:v>OPEN</x:v>
      </x:c>
    </x:row>
    <x:row r="14">
      <x:c r="B14" s="28" t="str">
        <x:v>RFP-A2-AM-06-TR-B</x:v>
      </x:c>
      <x:c r="C14" s="28" t="str">
        <x:v>RFP-A2</x:v>
      </x:c>
      <x:c r="D14" s="28" t="str">
        <x:v>PTC-A</x:v>
      </x:c>
      <x:c r="E14" s="28" t="str">
        <x:v>AM-06</x:v>
      </x:c>
      <x:c r="F14" s="28" t="str">
        <x:v>TR-B</x:v>
      </x:c>
      <x:c r="G14" s="28" t="n">
        <x:f>COUNTIFS('Attempt Register'!$E$7:$E$36,B14,'Attempt Register'!$Q$7:$Q$36,"PASS")</x:f>
        <x:v>0</x:v>
      </x:c>
      <x:c r="H14" s="28" t="n">
        <x:f>COUNTIFS('Attempt Register'!$E$7:$E$36,B14,'Attempt Register'!$Q$7:$Q$36,"INVALID")</x:f>
        <x:v>0</x:v>
      </x:c>
      <x:c r="I14" s="28" t="n">
        <x:f>COUNTIFS('Attempt Register'!$E$7:$E$36,B14,'Attempt Register'!$Q$7:$Q$36,"ADVERSE")</x:f>
        <x:v>0</x:v>
      </x:c>
      <x:c r="J14" s="29" t="str"/>
      <x:c r="K14" s="29" t="str"/>
      <x:c r="L14" s="28" t="str">
        <x:f>IF(K14="","OPEN",IF(AND(G14=1,I14=0,J14&lt;&gt;"",COUNTIFS('Attempt Register'!$B$7:$B$36,J14,'Attempt Register'!$E$7:$E$36,B14,'Attempt Register'!$Q$7:$Q$36,"PASS")=1),"PASS","FAIL"))</x:f>
        <x:v>OPEN</x:v>
      </x:c>
    </x:row>
    <x:row r="15">
      <x:c r="B15" s="28" t="str">
        <x:v>RFP-B1-AM-05-TR-A</x:v>
      </x:c>
      <x:c r="C15" s="28" t="str">
        <x:v>RFP-B1</x:v>
      </x:c>
      <x:c r="D15" s="28" t="str">
        <x:v>PTC-B</x:v>
      </x:c>
      <x:c r="E15" s="28" t="str">
        <x:v>AM-05</x:v>
      </x:c>
      <x:c r="F15" s="28" t="str">
        <x:v>TR-A</x:v>
      </x:c>
      <x:c r="G15" s="28" t="n">
        <x:f>COUNTIFS('Attempt Register'!$E$7:$E$36,B15,'Attempt Register'!$Q$7:$Q$36,"PASS")</x:f>
        <x:v>0</x:v>
      </x:c>
      <x:c r="H15" s="28" t="n">
        <x:f>COUNTIFS('Attempt Register'!$E$7:$E$36,B15,'Attempt Register'!$Q$7:$Q$36,"INVALID")</x:f>
        <x:v>0</x:v>
      </x:c>
      <x:c r="I15" s="28" t="n">
        <x:f>COUNTIFS('Attempt Register'!$E$7:$E$36,B15,'Attempt Register'!$Q$7:$Q$36,"ADVERSE")</x:f>
        <x:v>0</x:v>
      </x:c>
      <x:c r="J15" s="29" t="str"/>
      <x:c r="K15" s="29" t="str"/>
      <x:c r="L15" s="28" t="str">
        <x:f>IF(K15="","OPEN",IF(AND(G15=1,I15=0,J15&lt;&gt;"",COUNTIFS('Attempt Register'!$B$7:$B$36,J15,'Attempt Register'!$E$7:$E$36,B15,'Attempt Register'!$Q$7:$Q$36,"PASS")=1),"PASS","FAIL"))</x:f>
        <x:v>OPEN</x:v>
      </x:c>
    </x:row>
    <x:row r="16">
      <x:c r="B16" s="28" t="str">
        <x:v>RFP-B1-AM-05-TR-B</x:v>
      </x:c>
      <x:c r="C16" s="28" t="str">
        <x:v>RFP-B1</x:v>
      </x:c>
      <x:c r="D16" s="28" t="str">
        <x:v>PTC-B</x:v>
      </x:c>
      <x:c r="E16" s="28" t="str">
        <x:v>AM-05</x:v>
      </x:c>
      <x:c r="F16" s="28" t="str">
        <x:v>TR-B</x:v>
      </x:c>
      <x:c r="G16" s="28" t="n">
        <x:f>COUNTIFS('Attempt Register'!$E$7:$E$36,B16,'Attempt Register'!$Q$7:$Q$36,"PASS")</x:f>
        <x:v>0</x:v>
      </x:c>
      <x:c r="H16" s="28" t="n">
        <x:f>COUNTIFS('Attempt Register'!$E$7:$E$36,B16,'Attempt Register'!$Q$7:$Q$36,"INVALID")</x:f>
        <x:v>0</x:v>
      </x:c>
      <x:c r="I16" s="28" t="n">
        <x:f>COUNTIFS('Attempt Register'!$E$7:$E$36,B16,'Attempt Register'!$Q$7:$Q$36,"ADVERSE")</x:f>
        <x:v>0</x:v>
      </x:c>
      <x:c r="J16" s="29" t="str"/>
      <x:c r="K16" s="29" t="str"/>
      <x:c r="L16" s="28" t="str">
        <x:f>IF(K16="","OPEN",IF(AND(G16=1,I16=0,J16&lt;&gt;"",COUNTIFS('Attempt Register'!$B$7:$B$36,J16,'Attempt Register'!$E$7:$E$36,B16,'Attempt Register'!$Q$7:$Q$36,"PASS")=1),"PASS","FAIL"))</x:f>
        <x:v>OPEN</x:v>
      </x:c>
    </x:row>
    <x:row r="17">
      <x:c r="B17" s="28" t="str">
        <x:v>RFP-B1-AM-06-TR-A</x:v>
      </x:c>
      <x:c r="C17" s="28" t="str">
        <x:v>RFP-B1</x:v>
      </x:c>
      <x:c r="D17" s="28" t="str">
        <x:v>PTC-B</x:v>
      </x:c>
      <x:c r="E17" s="28" t="str">
        <x:v>AM-06</x:v>
      </x:c>
      <x:c r="F17" s="28" t="str">
        <x:v>TR-A</x:v>
      </x:c>
      <x:c r="G17" s="28" t="n">
        <x:f>COUNTIFS('Attempt Register'!$E$7:$E$36,B17,'Attempt Register'!$Q$7:$Q$36,"PASS")</x:f>
        <x:v>0</x:v>
      </x:c>
      <x:c r="H17" s="28" t="n">
        <x:f>COUNTIFS('Attempt Register'!$E$7:$E$36,B17,'Attempt Register'!$Q$7:$Q$36,"INVALID")</x:f>
        <x:v>0</x:v>
      </x:c>
      <x:c r="I17" s="28" t="n">
        <x:f>COUNTIFS('Attempt Register'!$E$7:$E$36,B17,'Attempt Register'!$Q$7:$Q$36,"ADVERSE")</x:f>
        <x:v>0</x:v>
      </x:c>
      <x:c r="J17" s="29" t="str"/>
      <x:c r="K17" s="29" t="str"/>
      <x:c r="L17" s="28" t="str">
        <x:f>IF(K17="","OPEN",IF(AND(G17=1,I17=0,J17&lt;&gt;"",COUNTIFS('Attempt Register'!$B$7:$B$36,J17,'Attempt Register'!$E$7:$E$36,B17,'Attempt Register'!$Q$7:$Q$36,"PASS")=1),"PASS","FAIL"))</x:f>
        <x:v>OPEN</x:v>
      </x:c>
    </x:row>
    <x:row r="18">
      <x:c r="B18" s="28" t="str">
        <x:v>RFP-B1-AM-06-TR-B</x:v>
      </x:c>
      <x:c r="C18" s="28" t="str">
        <x:v>RFP-B1</x:v>
      </x:c>
      <x:c r="D18" s="28" t="str">
        <x:v>PTC-B</x:v>
      </x:c>
      <x:c r="E18" s="28" t="str">
        <x:v>AM-06</x:v>
      </x:c>
      <x:c r="F18" s="28" t="str">
        <x:v>TR-B</x:v>
      </x:c>
      <x:c r="G18" s="28" t="n">
        <x:f>COUNTIFS('Attempt Register'!$E$7:$E$36,B18,'Attempt Register'!$Q$7:$Q$36,"PASS")</x:f>
        <x:v>0</x:v>
      </x:c>
      <x:c r="H18" s="28" t="n">
        <x:f>COUNTIFS('Attempt Register'!$E$7:$E$36,B18,'Attempt Register'!$Q$7:$Q$36,"INVALID")</x:f>
        <x:v>0</x:v>
      </x:c>
      <x:c r="I18" s="28" t="n">
        <x:f>COUNTIFS('Attempt Register'!$E$7:$E$36,B18,'Attempt Register'!$Q$7:$Q$36,"ADVERSE")</x:f>
        <x:v>0</x:v>
      </x:c>
      <x:c r="J18" s="29" t="str"/>
      <x:c r="K18" s="29" t="str"/>
      <x:c r="L18" s="28" t="str">
        <x:f>IF(K18="","OPEN",IF(AND(G18=1,I18=0,J18&lt;&gt;"",COUNTIFS('Attempt Register'!$B$7:$B$36,J18,'Attempt Register'!$E$7:$E$36,B18,'Attempt Register'!$Q$7:$Q$36,"PASS")=1),"PASS","FAIL"))</x:f>
        <x:v>OPEN</x:v>
      </x:c>
    </x:row>
    <x:row r="19">
      <x:c r="B19" s="28" t="str">
        <x:v>RFP-B2-AM-05-TR-A</x:v>
      </x:c>
      <x:c r="C19" s="28" t="str">
        <x:v>RFP-B2</x:v>
      </x:c>
      <x:c r="D19" s="28" t="str">
        <x:v>PTC-B</x:v>
      </x:c>
      <x:c r="E19" s="28" t="str">
        <x:v>AM-05</x:v>
      </x:c>
      <x:c r="F19" s="28" t="str">
        <x:v>TR-A</x:v>
      </x:c>
      <x:c r="G19" s="28" t="n">
        <x:f>COUNTIFS('Attempt Register'!$E$7:$E$36,B19,'Attempt Register'!$Q$7:$Q$36,"PASS")</x:f>
        <x:v>0</x:v>
      </x:c>
      <x:c r="H19" s="28" t="n">
        <x:f>COUNTIFS('Attempt Register'!$E$7:$E$36,B19,'Attempt Register'!$Q$7:$Q$36,"INVALID")</x:f>
        <x:v>0</x:v>
      </x:c>
      <x:c r="I19" s="28" t="n">
        <x:f>COUNTIFS('Attempt Register'!$E$7:$E$36,B19,'Attempt Register'!$Q$7:$Q$36,"ADVERSE")</x:f>
        <x:v>0</x:v>
      </x:c>
      <x:c r="J19" s="29" t="str"/>
      <x:c r="K19" s="29" t="str"/>
      <x:c r="L19" s="28" t="str">
        <x:f>IF(K19="","OPEN",IF(AND(G19=1,I19=0,J19&lt;&gt;"",COUNTIFS('Attempt Register'!$B$7:$B$36,J19,'Attempt Register'!$E$7:$E$36,B19,'Attempt Register'!$Q$7:$Q$36,"PASS")=1),"PASS","FAIL"))</x:f>
        <x:v>OPEN</x:v>
      </x:c>
    </x:row>
    <x:row r="20">
      <x:c r="B20" s="28" t="str">
        <x:v>RFP-B2-AM-05-TR-B</x:v>
      </x:c>
      <x:c r="C20" s="28" t="str">
        <x:v>RFP-B2</x:v>
      </x:c>
      <x:c r="D20" s="28" t="str">
        <x:v>PTC-B</x:v>
      </x:c>
      <x:c r="E20" s="28" t="str">
        <x:v>AM-05</x:v>
      </x:c>
      <x:c r="F20" s="28" t="str">
        <x:v>TR-B</x:v>
      </x:c>
      <x:c r="G20" s="28" t="n">
        <x:f>COUNTIFS('Attempt Register'!$E$7:$E$36,B20,'Attempt Register'!$Q$7:$Q$36,"PASS")</x:f>
        <x:v>0</x:v>
      </x:c>
      <x:c r="H20" s="28" t="n">
        <x:f>COUNTIFS('Attempt Register'!$E$7:$E$36,B20,'Attempt Register'!$Q$7:$Q$36,"INVALID")</x:f>
        <x:v>0</x:v>
      </x:c>
      <x:c r="I20" s="28" t="n">
        <x:f>COUNTIFS('Attempt Register'!$E$7:$E$36,B20,'Attempt Register'!$Q$7:$Q$36,"ADVERSE")</x:f>
        <x:v>0</x:v>
      </x:c>
      <x:c r="J20" s="29" t="str"/>
      <x:c r="K20" s="29" t="str"/>
      <x:c r="L20" s="28" t="str">
        <x:f>IF(K20="","OPEN",IF(AND(G20=1,I20=0,J20&lt;&gt;"",COUNTIFS('Attempt Register'!$B$7:$B$36,J20,'Attempt Register'!$E$7:$E$36,B20,'Attempt Register'!$Q$7:$Q$36,"PASS")=1),"PASS","FAIL"))</x:f>
        <x:v>OPEN</x:v>
      </x:c>
    </x:row>
    <x:row r="21">
      <x:c r="B21" s="28" t="str">
        <x:v>RFP-B2-AM-06-TR-A</x:v>
      </x:c>
      <x:c r="C21" s="28" t="str">
        <x:v>RFP-B2</x:v>
      </x:c>
      <x:c r="D21" s="28" t="str">
        <x:v>PTC-B</x:v>
      </x:c>
      <x:c r="E21" s="28" t="str">
        <x:v>AM-06</x:v>
      </x:c>
      <x:c r="F21" s="28" t="str">
        <x:v>TR-A</x:v>
      </x:c>
      <x:c r="G21" s="28" t="n">
        <x:f>COUNTIFS('Attempt Register'!$E$7:$E$36,B21,'Attempt Register'!$Q$7:$Q$36,"PASS")</x:f>
        <x:v>0</x:v>
      </x:c>
      <x:c r="H21" s="28" t="n">
        <x:f>COUNTIFS('Attempt Register'!$E$7:$E$36,B21,'Attempt Register'!$Q$7:$Q$36,"INVALID")</x:f>
        <x:v>0</x:v>
      </x:c>
      <x:c r="I21" s="28" t="n">
        <x:f>COUNTIFS('Attempt Register'!$E$7:$E$36,B21,'Attempt Register'!$Q$7:$Q$36,"ADVERSE")</x:f>
        <x:v>0</x:v>
      </x:c>
      <x:c r="J21" s="29" t="str"/>
      <x:c r="K21" s="29" t="str"/>
      <x:c r="L21" s="28" t="str">
        <x:f>IF(K21="","OPEN",IF(AND(G21=1,I21=0,J21&lt;&gt;"",COUNTIFS('Attempt Register'!$B$7:$B$36,J21,'Attempt Register'!$E$7:$E$36,B21,'Attempt Register'!$Q$7:$Q$36,"PASS")=1),"PASS","FAIL"))</x:f>
        <x:v>OPEN</x:v>
      </x:c>
    </x:row>
    <x:row r="22">
      <x:c r="B22" s="28" t="str">
        <x:v>RFP-B2-AM-06-TR-B</x:v>
      </x:c>
      <x:c r="C22" s="28" t="str">
        <x:v>RFP-B2</x:v>
      </x:c>
      <x:c r="D22" s="28" t="str">
        <x:v>PTC-B</x:v>
      </x:c>
      <x:c r="E22" s="28" t="str">
        <x:v>AM-06</x:v>
      </x:c>
      <x:c r="F22" s="28" t="str">
        <x:v>TR-B</x:v>
      </x:c>
      <x:c r="G22" s="28" t="n">
        <x:f>COUNTIFS('Attempt Register'!$E$7:$E$36,B22,'Attempt Register'!$Q$7:$Q$36,"PASS")</x:f>
        <x:v>0</x:v>
      </x:c>
      <x:c r="H22" s="28" t="n">
        <x:f>COUNTIFS('Attempt Register'!$E$7:$E$36,B22,'Attempt Register'!$Q$7:$Q$36,"INVALID")</x:f>
        <x:v>0</x:v>
      </x:c>
      <x:c r="I22" s="28" t="n">
        <x:f>COUNTIFS('Attempt Register'!$E$7:$E$36,B22,'Attempt Register'!$Q$7:$Q$36,"ADVERSE")</x:f>
        <x:v>0</x:v>
      </x:c>
      <x:c r="J22" s="29" t="str"/>
      <x:c r="K22" s="29" t="str"/>
      <x:c r="L22" s="28" t="str">
        <x:f>IF(K22="","OPEN",IF(AND(G22=1,I22=0,J22&lt;&gt;"",COUNTIFS('Attempt Register'!$B$7:$B$36,J22,'Attempt Register'!$E$7:$E$36,B22,'Attempt Register'!$Q$7:$Q$36,"PASS")=1),"PASS","FAIL"))</x:f>
        <x:v>OPEN</x:v>
      </x:c>
    </x:row>
    <x:row r="23">
      <x:c r="B23" s="28" t="str">
        <x:v>RFP-C1-AM-05-TR-A</x:v>
      </x:c>
      <x:c r="C23" s="28" t="str">
        <x:v>RFP-C1</x:v>
      </x:c>
      <x:c r="D23" s="28" t="str">
        <x:v>PTC-C</x:v>
      </x:c>
      <x:c r="E23" s="28" t="str">
        <x:v>AM-05</x:v>
      </x:c>
      <x:c r="F23" s="28" t="str">
        <x:v>TR-A</x:v>
      </x:c>
      <x:c r="G23" s="28" t="n">
        <x:f>COUNTIFS('Attempt Register'!$E$7:$E$36,B23,'Attempt Register'!$Q$7:$Q$36,"PASS")</x:f>
        <x:v>0</x:v>
      </x:c>
      <x:c r="H23" s="28" t="n">
        <x:f>COUNTIFS('Attempt Register'!$E$7:$E$36,B23,'Attempt Register'!$Q$7:$Q$36,"INVALID")</x:f>
        <x:v>0</x:v>
      </x:c>
      <x:c r="I23" s="28" t="n">
        <x:f>COUNTIFS('Attempt Register'!$E$7:$E$36,B23,'Attempt Register'!$Q$7:$Q$36,"ADVERSE")</x:f>
        <x:v>0</x:v>
      </x:c>
      <x:c r="J23" s="29" t="str"/>
      <x:c r="K23" s="29" t="str"/>
      <x:c r="L23" s="28" t="str">
        <x:f>IF(K23="","OPEN",IF(AND(G23=1,I23=0,J23&lt;&gt;"",COUNTIFS('Attempt Register'!$B$7:$B$36,J23,'Attempt Register'!$E$7:$E$36,B23,'Attempt Register'!$Q$7:$Q$36,"PASS")=1),"PASS","FAIL"))</x:f>
        <x:v>OPEN</x:v>
      </x:c>
    </x:row>
    <x:row r="24">
      <x:c r="B24" s="28" t="str">
        <x:v>RFP-C1-AM-05-TR-B</x:v>
      </x:c>
      <x:c r="C24" s="28" t="str">
        <x:v>RFP-C1</x:v>
      </x:c>
      <x:c r="D24" s="28" t="str">
        <x:v>PTC-C</x:v>
      </x:c>
      <x:c r="E24" s="28" t="str">
        <x:v>AM-05</x:v>
      </x:c>
      <x:c r="F24" s="28" t="str">
        <x:v>TR-B</x:v>
      </x:c>
      <x:c r="G24" s="28" t="n">
        <x:f>COUNTIFS('Attempt Register'!$E$7:$E$36,B24,'Attempt Register'!$Q$7:$Q$36,"PASS")</x:f>
        <x:v>0</x:v>
      </x:c>
      <x:c r="H24" s="28" t="n">
        <x:f>COUNTIFS('Attempt Register'!$E$7:$E$36,B24,'Attempt Register'!$Q$7:$Q$36,"INVALID")</x:f>
        <x:v>0</x:v>
      </x:c>
      <x:c r="I24" s="28" t="n">
        <x:f>COUNTIFS('Attempt Register'!$E$7:$E$36,B24,'Attempt Register'!$Q$7:$Q$36,"ADVERSE")</x:f>
        <x:v>0</x:v>
      </x:c>
      <x:c r="J24" s="29" t="str"/>
      <x:c r="K24" s="29" t="str"/>
      <x:c r="L24" s="28" t="str">
        <x:f>IF(K24="","OPEN",IF(AND(G24=1,I24=0,J24&lt;&gt;"",COUNTIFS('Attempt Register'!$B$7:$B$36,J24,'Attempt Register'!$E$7:$E$36,B24,'Attempt Register'!$Q$7:$Q$36,"PASS")=1),"PASS","FAIL"))</x:f>
        <x:v>OPEN</x:v>
      </x:c>
    </x:row>
    <x:row r="25">
      <x:c r="B25" s="28" t="str">
        <x:v>RFP-C1-AM-06-TR-A</x:v>
      </x:c>
      <x:c r="C25" s="28" t="str">
        <x:v>RFP-C1</x:v>
      </x:c>
      <x:c r="D25" s="28" t="str">
        <x:v>PTC-C</x:v>
      </x:c>
      <x:c r="E25" s="28" t="str">
        <x:v>AM-06</x:v>
      </x:c>
      <x:c r="F25" s="28" t="str">
        <x:v>TR-A</x:v>
      </x:c>
      <x:c r="G25" s="28" t="n">
        <x:f>COUNTIFS('Attempt Register'!$E$7:$E$36,B25,'Attempt Register'!$Q$7:$Q$36,"PASS")</x:f>
        <x:v>0</x:v>
      </x:c>
      <x:c r="H25" s="28" t="n">
        <x:f>COUNTIFS('Attempt Register'!$E$7:$E$36,B25,'Attempt Register'!$Q$7:$Q$36,"INVALID")</x:f>
        <x:v>0</x:v>
      </x:c>
      <x:c r="I25" s="28" t="n">
        <x:f>COUNTIFS('Attempt Register'!$E$7:$E$36,B25,'Attempt Register'!$Q$7:$Q$36,"ADVERSE")</x:f>
        <x:v>0</x:v>
      </x:c>
      <x:c r="J25" s="29" t="str"/>
      <x:c r="K25" s="29" t="str"/>
      <x:c r="L25" s="28" t="str">
        <x:f>IF(K25="","OPEN",IF(AND(G25=1,I25=0,J25&lt;&gt;"",COUNTIFS('Attempt Register'!$B$7:$B$36,J25,'Attempt Register'!$E$7:$E$36,B25,'Attempt Register'!$Q$7:$Q$36,"PASS")=1),"PASS","FAIL"))</x:f>
        <x:v>OPEN</x:v>
      </x:c>
    </x:row>
    <x:row r="26">
      <x:c r="B26" s="28" t="str">
        <x:v>RFP-C1-AM-06-TR-B</x:v>
      </x:c>
      <x:c r="C26" s="28" t="str">
        <x:v>RFP-C1</x:v>
      </x:c>
      <x:c r="D26" s="28" t="str">
        <x:v>PTC-C</x:v>
      </x:c>
      <x:c r="E26" s="28" t="str">
        <x:v>AM-06</x:v>
      </x:c>
      <x:c r="F26" s="28" t="str">
        <x:v>TR-B</x:v>
      </x:c>
      <x:c r="G26" s="28" t="n">
        <x:f>COUNTIFS('Attempt Register'!$E$7:$E$36,B26,'Attempt Register'!$Q$7:$Q$36,"PASS")</x:f>
        <x:v>0</x:v>
      </x:c>
      <x:c r="H26" s="28" t="n">
        <x:f>COUNTIFS('Attempt Register'!$E$7:$E$36,B26,'Attempt Register'!$Q$7:$Q$36,"INVALID")</x:f>
        <x:v>0</x:v>
      </x:c>
      <x:c r="I26" s="28" t="n">
        <x:f>COUNTIFS('Attempt Register'!$E$7:$E$36,B26,'Attempt Register'!$Q$7:$Q$36,"ADVERSE")</x:f>
        <x:v>0</x:v>
      </x:c>
      <x:c r="J26" s="29" t="str"/>
      <x:c r="K26" s="29" t="str"/>
      <x:c r="L26" s="28" t="str">
        <x:f>IF(K26="","OPEN",IF(AND(G26=1,I26=0,J26&lt;&gt;"",COUNTIFS('Attempt Register'!$B$7:$B$36,J26,'Attempt Register'!$E$7:$E$36,B26,'Attempt Register'!$Q$7:$Q$36,"PASS")=1),"PASS","FAIL"))</x:f>
        <x:v>OPEN</x:v>
      </x:c>
    </x:row>
    <x:row r="27">
      <x:c r="B27" s="28" t="str">
        <x:v>RFP-C2-AM-05-TR-A</x:v>
      </x:c>
      <x:c r="C27" s="28" t="str">
        <x:v>RFP-C2</x:v>
      </x:c>
      <x:c r="D27" s="28" t="str">
        <x:v>PTC-C</x:v>
      </x:c>
      <x:c r="E27" s="28" t="str">
        <x:v>AM-05</x:v>
      </x:c>
      <x:c r="F27" s="28" t="str">
        <x:v>TR-A</x:v>
      </x:c>
      <x:c r="G27" s="28" t="n">
        <x:f>COUNTIFS('Attempt Register'!$E$7:$E$36,B27,'Attempt Register'!$Q$7:$Q$36,"PASS")</x:f>
        <x:v>0</x:v>
      </x:c>
      <x:c r="H27" s="28" t="n">
        <x:f>COUNTIFS('Attempt Register'!$E$7:$E$36,B27,'Attempt Register'!$Q$7:$Q$36,"INVALID")</x:f>
        <x:v>0</x:v>
      </x:c>
      <x:c r="I27" s="28" t="n">
        <x:f>COUNTIFS('Attempt Register'!$E$7:$E$36,B27,'Attempt Register'!$Q$7:$Q$36,"ADVERSE")</x:f>
        <x:v>0</x:v>
      </x:c>
      <x:c r="J27" s="29" t="str"/>
      <x:c r="K27" s="29" t="str"/>
      <x:c r="L27" s="28" t="str">
        <x:f>IF(K27="","OPEN",IF(AND(G27=1,I27=0,J27&lt;&gt;"",COUNTIFS('Attempt Register'!$B$7:$B$36,J27,'Attempt Register'!$E$7:$E$36,B27,'Attempt Register'!$Q$7:$Q$36,"PASS")=1),"PASS","FAIL"))</x:f>
        <x:v>OPEN</x:v>
      </x:c>
    </x:row>
    <x:row r="28">
      <x:c r="B28" s="28" t="str">
        <x:v>RFP-C2-AM-05-TR-B</x:v>
      </x:c>
      <x:c r="C28" s="28" t="str">
        <x:v>RFP-C2</x:v>
      </x:c>
      <x:c r="D28" s="28" t="str">
        <x:v>PTC-C</x:v>
      </x:c>
      <x:c r="E28" s="28" t="str">
        <x:v>AM-05</x:v>
      </x:c>
      <x:c r="F28" s="28" t="str">
        <x:v>TR-B</x:v>
      </x:c>
      <x:c r="G28" s="28" t="n">
        <x:f>COUNTIFS('Attempt Register'!$E$7:$E$36,B28,'Attempt Register'!$Q$7:$Q$36,"PASS")</x:f>
        <x:v>0</x:v>
      </x:c>
      <x:c r="H28" s="28" t="n">
        <x:f>COUNTIFS('Attempt Register'!$E$7:$E$36,B28,'Attempt Register'!$Q$7:$Q$36,"INVALID")</x:f>
        <x:v>0</x:v>
      </x:c>
      <x:c r="I28" s="28" t="n">
        <x:f>COUNTIFS('Attempt Register'!$E$7:$E$36,B28,'Attempt Register'!$Q$7:$Q$36,"ADVERSE")</x:f>
        <x:v>0</x:v>
      </x:c>
      <x:c r="J28" s="29" t="str"/>
      <x:c r="K28" s="29" t="str"/>
      <x:c r="L28" s="28" t="str">
        <x:f>IF(K28="","OPEN",IF(AND(G28=1,I28=0,J28&lt;&gt;"",COUNTIFS('Attempt Register'!$B$7:$B$36,J28,'Attempt Register'!$E$7:$E$36,B28,'Attempt Register'!$Q$7:$Q$36,"PASS")=1),"PASS","FAIL"))</x:f>
        <x:v>OPEN</x:v>
      </x:c>
    </x:row>
    <x:row r="29">
      <x:c r="B29" s="28" t="str">
        <x:v>RFP-C2-AM-06-TR-A</x:v>
      </x:c>
      <x:c r="C29" s="28" t="str">
        <x:v>RFP-C2</x:v>
      </x:c>
      <x:c r="D29" s="28" t="str">
        <x:v>PTC-C</x:v>
      </x:c>
      <x:c r="E29" s="28" t="str">
        <x:v>AM-06</x:v>
      </x:c>
      <x:c r="F29" s="28" t="str">
        <x:v>TR-A</x:v>
      </x:c>
      <x:c r="G29" s="28" t="n">
        <x:f>COUNTIFS('Attempt Register'!$E$7:$E$36,B29,'Attempt Register'!$Q$7:$Q$36,"PASS")</x:f>
        <x:v>0</x:v>
      </x:c>
      <x:c r="H29" s="28" t="n">
        <x:f>COUNTIFS('Attempt Register'!$E$7:$E$36,B29,'Attempt Register'!$Q$7:$Q$36,"INVALID")</x:f>
        <x:v>0</x:v>
      </x:c>
      <x:c r="I29" s="28" t="n">
        <x:f>COUNTIFS('Attempt Register'!$E$7:$E$36,B29,'Attempt Register'!$Q$7:$Q$36,"ADVERSE")</x:f>
        <x:v>0</x:v>
      </x:c>
      <x:c r="J29" s="29" t="str"/>
      <x:c r="K29" s="29" t="str"/>
      <x:c r="L29" s="28" t="str">
        <x:f>IF(K29="","OPEN",IF(AND(G29=1,I29=0,J29&lt;&gt;"",COUNTIFS('Attempt Register'!$B$7:$B$36,J29,'Attempt Register'!$E$7:$E$36,B29,'Attempt Register'!$Q$7:$Q$36,"PASS")=1),"PASS","FAIL"))</x:f>
        <x:v>OPEN</x:v>
      </x:c>
    </x:row>
    <x:row r="30">
      <x:c r="B30" s="28" t="str">
        <x:v>RFP-C2-AM-06-TR-B</x:v>
      </x:c>
      <x:c r="C30" s="28" t="str">
        <x:v>RFP-C2</x:v>
      </x:c>
      <x:c r="D30" s="28" t="str">
        <x:v>PTC-C</x:v>
      </x:c>
      <x:c r="E30" s="28" t="str">
        <x:v>AM-06</x:v>
      </x:c>
      <x:c r="F30" s="28" t="str">
        <x:v>TR-B</x:v>
      </x:c>
      <x:c r="G30" s="28" t="n">
        <x:f>COUNTIFS('Attempt Register'!$E$7:$E$36,B30,'Attempt Register'!$Q$7:$Q$36,"PASS")</x:f>
        <x:v>0</x:v>
      </x:c>
      <x:c r="H30" s="28" t="n">
        <x:f>COUNTIFS('Attempt Register'!$E$7:$E$36,B30,'Attempt Register'!$Q$7:$Q$36,"INVALID")</x:f>
        <x:v>0</x:v>
      </x:c>
      <x:c r="I30" s="28" t="n">
        <x:f>COUNTIFS('Attempt Register'!$E$7:$E$36,B30,'Attempt Register'!$Q$7:$Q$36,"ADVERSE")</x:f>
        <x:v>0</x:v>
      </x:c>
      <x:c r="J30" s="29" t="str"/>
      <x:c r="K30" s="29" t="str"/>
      <x:c r="L30" s="28" t="str">
        <x:f>IF(K30="","OPEN",IF(AND(G30=1,I30=0,J30&lt;&gt;"",COUNTIFS('Attempt Register'!$B$7:$B$36,J30,'Attempt Register'!$E$7:$E$36,B30,'Attempt Register'!$Q$7:$Q$36,"PASS")=1),"PASS","FAIL"))</x:f>
        <x:v>OPEN</x:v>
      </x:c>
    </x:row>
  </x:sheetData>
  <x:conditionalFormatting sqref="L7:L30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INVALID"/>
    <x:cfRule type="containsText" dxfId="147" priority="4" operator="containsText" text="ADVERSE"/>
    <x:cfRule type="containsText" dxfId="148" priority="5" operator="containsText" text="EXPIRED"/>
    <x:cfRule type="containsText" dxfId="149" priority="6" operator="containsText" text="OPEN"/>
    <x:cfRule type="containsText" dxfId="150" priority="7" operator="containsText" text="DORMANT"/>
    <x:cfRule type="containsText" dxfId="151" priority="8" operator="containsText" text="PASS"/>
    <x:cfRule type="containsText" dxfId="152" priority="9" operator="containsText" text="AVAILABLE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29" hidden="0" customWidth="1"/>
    <x:col min="8" max="8" width="20" hidden="0" customWidth="1"/>
    <x:col min="9" max="9" width="29" hidden="0" customWidth="1"/>
    <x:col min="10" max="10" width="20" hidden="0" customWidth="1"/>
    <x:col min="11" max="11" width="34" hidden="0" customWidth="1"/>
    <x:col min="12" max="12" width="22" hidden="0" customWidth="1"/>
    <x:col min="13" max="13" width="16" hidden="0" customWidth="1"/>
  </x:cols>
  <x:sheetData>
    <x:row r="2">
      <x:c r="B2" s="23" t="str">
        <x:v>Twelve unlike-root transfer contrasts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B3" s="25" t="str">
        <x:v>At each rig and method, the two credited root events must remain inside registered cross-event source and water margins.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 ht="24" customHeight="1">
      <x:c r="B6" s="6" t="str">
        <x:v>Contrast</x:v>
      </x:c>
      <x:c r="C6" s="6" t="str">
        <x:v>Rig</x:v>
      </x:c>
      <x:c r="D6" s="6" t="str">
        <x:v>Method</x:v>
      </x:c>
      <x:c r="E6" s="6" t="str">
        <x:v>TR-A cell</x:v>
      </x:c>
      <x:c r="F6" s="6" t="str">
        <x:v>TR-B cell</x:v>
      </x:c>
      <x:c r="G6" s="6" t="str">
        <x:v>Observed source difference kg</x:v>
      </x:c>
      <x:c r="H6" s="6" t="str">
        <x:v>Source margin kg</x:v>
      </x:c>
      <x:c r="I6" s="6" t="str">
        <x:v>Observed water difference m3</x:v>
      </x:c>
      <x:c r="J6" s="6" t="str">
        <x:v>Water margin m3</x:v>
      </x:c>
      <x:c r="K6" s="6" t="str">
        <x:v>Evidence root</x:v>
      </x:c>
      <x:c r="L6" s="6" t="str">
        <x:v>Accepted UTC</x:v>
      </x:c>
      <x:c r="M6" s="6" t="str">
        <x:v>State</x:v>
      </x:c>
    </x:row>
    <x:row r="7">
      <x:c r="B7" s="28" t="str">
        <x:v>RC-RFP-A1-AM-05</x:v>
      </x:c>
      <x:c r="C7" s="28" t="str">
        <x:v>RFP-A1</x:v>
      </x:c>
      <x:c r="D7" s="28" t="str">
        <x:v>AM-05</x:v>
      </x:c>
      <x:c r="E7" s="28" t="str">
        <x:v>RFP-A1-AM-05-TR-A</x:v>
      </x:c>
      <x:c r="F7" s="28" t="str">
        <x:v>RFP-A1-AM-05-TR-B</x:v>
      </x:c>
      <x:c r="G7" s="29" t="str"/>
      <x:c r="H7" s="29" t="n">
        <x:v>0.05</x:v>
      </x:c>
      <x:c r="I7" s="29" t="str"/>
      <x:c r="J7" s="29" t="n">
        <x:v>0.0125</x:v>
      </x:c>
      <x:c r="K7" s="29" t="str"/>
      <x:c r="L7" s="29" t="str"/>
      <x:c r="M7" s="28" t="str">
        <x:f>IF(L7="","OPEN",IF(AND(ISNUMBER(G7),ABS(G7)&lt;=H7,ISNUMBER(I7),ABS(I7)&lt;=J7,K7&lt;&gt;"",COUNTIFS('Cell Credits'!$B$7:$B$30,E7,'Cell Credits'!$L$7:$L$30,"PASS")=1,COUNTIFS('Cell Credits'!$B$7:$B$30,F7,'Cell Credits'!$L$7:$L$30,"PASS")=1),"PASS","FAIL"))</x:f>
        <x:v>OPEN</x:v>
      </x:c>
    </x:row>
    <x:row r="8">
      <x:c r="B8" s="28" t="str">
        <x:v>RC-RFP-A1-AM-06</x:v>
      </x:c>
      <x:c r="C8" s="28" t="str">
        <x:v>RFP-A1</x:v>
      </x:c>
      <x:c r="D8" s="28" t="str">
        <x:v>AM-06</x:v>
      </x:c>
      <x:c r="E8" s="28" t="str">
        <x:v>RFP-A1-AM-06-TR-A</x:v>
      </x:c>
      <x:c r="F8" s="28" t="str">
        <x:v>RFP-A1-AM-06-TR-B</x:v>
      </x:c>
      <x:c r="G8" s="29" t="str"/>
      <x:c r="H8" s="29" t="n">
        <x:v>0.05</x:v>
      </x:c>
      <x:c r="I8" s="29" t="str"/>
      <x:c r="J8" s="29" t="n">
        <x:v>0.0125</x:v>
      </x:c>
      <x:c r="K8" s="29" t="str"/>
      <x:c r="L8" s="29" t="str"/>
      <x:c r="M8" s="28" t="str">
        <x:f>IF(L8="","OPEN",IF(AND(ISNUMBER(G8),ABS(G8)&lt;=H8,ISNUMBER(I8),ABS(I8)&lt;=J8,K8&lt;&gt;"",COUNTIFS('Cell Credits'!$B$7:$B$30,E8,'Cell Credits'!$L$7:$L$30,"PASS")=1,COUNTIFS('Cell Credits'!$B$7:$B$30,F8,'Cell Credits'!$L$7:$L$30,"PASS")=1),"PASS","FAIL"))</x:f>
        <x:v>OPEN</x:v>
      </x:c>
    </x:row>
    <x:row r="9">
      <x:c r="B9" s="28" t="str">
        <x:v>RC-RFP-A2-AM-05</x:v>
      </x:c>
      <x:c r="C9" s="28" t="str">
        <x:v>RFP-A2</x:v>
      </x:c>
      <x:c r="D9" s="28" t="str">
        <x:v>AM-05</x:v>
      </x:c>
      <x:c r="E9" s="28" t="str">
        <x:v>RFP-A2-AM-05-TR-A</x:v>
      </x:c>
      <x:c r="F9" s="28" t="str">
        <x:v>RFP-A2-AM-05-TR-B</x:v>
      </x:c>
      <x:c r="G9" s="29" t="str"/>
      <x:c r="H9" s="29" t="n">
        <x:v>0.05</x:v>
      </x:c>
      <x:c r="I9" s="29" t="str"/>
      <x:c r="J9" s="29" t="n">
        <x:v>0.0125</x:v>
      </x:c>
      <x:c r="K9" s="29" t="str"/>
      <x:c r="L9" s="29" t="str"/>
      <x:c r="M9" s="28" t="str">
        <x:f>IF(L9="","OPEN",IF(AND(ISNUMBER(G9),ABS(G9)&lt;=H9,ISNUMBER(I9),ABS(I9)&lt;=J9,K9&lt;&gt;"",COUNTIFS('Cell Credits'!$B$7:$B$30,E9,'Cell Credits'!$L$7:$L$30,"PASS")=1,COUNTIFS('Cell Credits'!$B$7:$B$30,F9,'Cell Credits'!$L$7:$L$30,"PASS")=1),"PASS","FAIL"))</x:f>
        <x:v>OPEN</x:v>
      </x:c>
    </x:row>
    <x:row r="10">
      <x:c r="B10" s="28" t="str">
        <x:v>RC-RFP-A2-AM-06</x:v>
      </x:c>
      <x:c r="C10" s="28" t="str">
        <x:v>RFP-A2</x:v>
      </x:c>
      <x:c r="D10" s="28" t="str">
        <x:v>AM-06</x:v>
      </x:c>
      <x:c r="E10" s="28" t="str">
        <x:v>RFP-A2-AM-06-TR-A</x:v>
      </x:c>
      <x:c r="F10" s="28" t="str">
        <x:v>RFP-A2-AM-06-TR-B</x:v>
      </x:c>
      <x:c r="G10" s="29" t="str"/>
      <x:c r="H10" s="29" t="n">
        <x:v>0.05</x:v>
      </x:c>
      <x:c r="I10" s="29" t="str"/>
      <x:c r="J10" s="29" t="n">
        <x:v>0.0125</x:v>
      </x:c>
      <x:c r="K10" s="29" t="str"/>
      <x:c r="L10" s="29" t="str"/>
      <x:c r="M10" s="28" t="str">
        <x:f>IF(L10="","OPEN",IF(AND(ISNUMBER(G10),ABS(G10)&lt;=H10,ISNUMBER(I10),ABS(I10)&lt;=J10,K10&lt;&gt;"",COUNTIFS('Cell Credits'!$B$7:$B$30,E10,'Cell Credits'!$L$7:$L$30,"PASS")=1,COUNTIFS('Cell Credits'!$B$7:$B$30,F10,'Cell Credits'!$L$7:$L$30,"PASS")=1),"PASS","FAIL"))</x:f>
        <x:v>OPEN</x:v>
      </x:c>
    </x:row>
    <x:row r="11">
      <x:c r="B11" s="28" t="str">
        <x:v>RC-RFP-B1-AM-05</x:v>
      </x:c>
      <x:c r="C11" s="28" t="str">
        <x:v>RFP-B1</x:v>
      </x:c>
      <x:c r="D11" s="28" t="str">
        <x:v>AM-05</x:v>
      </x:c>
      <x:c r="E11" s="28" t="str">
        <x:v>RFP-B1-AM-05-TR-A</x:v>
      </x:c>
      <x:c r="F11" s="28" t="str">
        <x:v>RFP-B1-AM-05-TR-B</x:v>
      </x:c>
      <x:c r="G11" s="29" t="str"/>
      <x:c r="H11" s="29" t="n">
        <x:v>0.05</x:v>
      </x:c>
      <x:c r="I11" s="29" t="str"/>
      <x:c r="J11" s="29" t="n">
        <x:v>0.0125</x:v>
      </x:c>
      <x:c r="K11" s="29" t="str"/>
      <x:c r="L11" s="29" t="str"/>
      <x:c r="M11" s="28" t="str">
        <x:f>IF(L11="","OPEN",IF(AND(ISNUMBER(G11),ABS(G11)&lt;=H11,ISNUMBER(I11),ABS(I11)&lt;=J11,K11&lt;&gt;"",COUNTIFS('Cell Credits'!$B$7:$B$30,E11,'Cell Credits'!$L$7:$L$30,"PASS")=1,COUNTIFS('Cell Credits'!$B$7:$B$30,F11,'Cell Credits'!$L$7:$L$30,"PASS")=1),"PASS","FAIL"))</x:f>
        <x:v>OPEN</x:v>
      </x:c>
    </x:row>
    <x:row r="12">
      <x:c r="B12" s="28" t="str">
        <x:v>RC-RFP-B1-AM-06</x:v>
      </x:c>
      <x:c r="C12" s="28" t="str">
        <x:v>RFP-B1</x:v>
      </x:c>
      <x:c r="D12" s="28" t="str">
        <x:v>AM-06</x:v>
      </x:c>
      <x:c r="E12" s="28" t="str">
        <x:v>RFP-B1-AM-06-TR-A</x:v>
      </x:c>
      <x:c r="F12" s="28" t="str">
        <x:v>RFP-B1-AM-06-TR-B</x:v>
      </x:c>
      <x:c r="G12" s="29" t="str"/>
      <x:c r="H12" s="29" t="n">
        <x:v>0.05</x:v>
      </x:c>
      <x:c r="I12" s="29" t="str"/>
      <x:c r="J12" s="29" t="n">
        <x:v>0.0125</x:v>
      </x:c>
      <x:c r="K12" s="29" t="str"/>
      <x:c r="L12" s="29" t="str"/>
      <x:c r="M12" s="28" t="str">
        <x:f>IF(L12="","OPEN",IF(AND(ISNUMBER(G12),ABS(G12)&lt;=H12,ISNUMBER(I12),ABS(I12)&lt;=J12,K12&lt;&gt;"",COUNTIFS('Cell Credits'!$B$7:$B$30,E12,'Cell Credits'!$L$7:$L$30,"PASS")=1,COUNTIFS('Cell Credits'!$B$7:$B$30,F12,'Cell Credits'!$L$7:$L$30,"PASS")=1),"PASS","FAIL"))</x:f>
        <x:v>OPEN</x:v>
      </x:c>
    </x:row>
    <x:row r="13">
      <x:c r="B13" s="28" t="str">
        <x:v>RC-RFP-B2-AM-05</x:v>
      </x:c>
      <x:c r="C13" s="28" t="str">
        <x:v>RFP-B2</x:v>
      </x:c>
      <x:c r="D13" s="28" t="str">
        <x:v>AM-05</x:v>
      </x:c>
      <x:c r="E13" s="28" t="str">
        <x:v>RFP-B2-AM-05-TR-A</x:v>
      </x:c>
      <x:c r="F13" s="28" t="str">
        <x:v>RFP-B2-AM-05-TR-B</x:v>
      </x:c>
      <x:c r="G13" s="29" t="str"/>
      <x:c r="H13" s="29" t="n">
        <x:v>0.05</x:v>
      </x:c>
      <x:c r="I13" s="29" t="str"/>
      <x:c r="J13" s="29" t="n">
        <x:v>0.0125</x:v>
      </x:c>
      <x:c r="K13" s="29" t="str"/>
      <x:c r="L13" s="29" t="str"/>
      <x:c r="M13" s="28" t="str">
        <x:f>IF(L13="","OPEN",IF(AND(ISNUMBER(G13),ABS(G13)&lt;=H13,ISNUMBER(I13),ABS(I13)&lt;=J13,K13&lt;&gt;"",COUNTIFS('Cell Credits'!$B$7:$B$30,E13,'Cell Credits'!$L$7:$L$30,"PASS")=1,COUNTIFS('Cell Credits'!$B$7:$B$30,F13,'Cell Credits'!$L$7:$L$30,"PASS")=1),"PASS","FAIL"))</x:f>
        <x:v>OPEN</x:v>
      </x:c>
    </x:row>
    <x:row r="14">
      <x:c r="B14" s="28" t="str">
        <x:v>RC-RFP-B2-AM-06</x:v>
      </x:c>
      <x:c r="C14" s="28" t="str">
        <x:v>RFP-B2</x:v>
      </x:c>
      <x:c r="D14" s="28" t="str">
        <x:v>AM-06</x:v>
      </x:c>
      <x:c r="E14" s="28" t="str">
        <x:v>RFP-B2-AM-06-TR-A</x:v>
      </x:c>
      <x:c r="F14" s="28" t="str">
        <x:v>RFP-B2-AM-06-TR-B</x:v>
      </x:c>
      <x:c r="G14" s="29" t="str"/>
      <x:c r="H14" s="29" t="n">
        <x:v>0.05</x:v>
      </x:c>
      <x:c r="I14" s="29" t="str"/>
      <x:c r="J14" s="29" t="n">
        <x:v>0.0125</x:v>
      </x:c>
      <x:c r="K14" s="29" t="str"/>
      <x:c r="L14" s="29" t="str"/>
      <x:c r="M14" s="28" t="str">
        <x:f>IF(L14="","OPEN",IF(AND(ISNUMBER(G14),ABS(G14)&lt;=H14,ISNUMBER(I14),ABS(I14)&lt;=J14,K14&lt;&gt;"",COUNTIFS('Cell Credits'!$B$7:$B$30,E14,'Cell Credits'!$L$7:$L$30,"PASS")=1,COUNTIFS('Cell Credits'!$B$7:$B$30,F14,'Cell Credits'!$L$7:$L$30,"PASS")=1),"PASS","FAIL"))</x:f>
        <x:v>OPEN</x:v>
      </x:c>
    </x:row>
    <x:row r="15">
      <x:c r="B15" s="28" t="str">
        <x:v>RC-RFP-C1-AM-05</x:v>
      </x:c>
      <x:c r="C15" s="28" t="str">
        <x:v>RFP-C1</x:v>
      </x:c>
      <x:c r="D15" s="28" t="str">
        <x:v>AM-05</x:v>
      </x:c>
      <x:c r="E15" s="28" t="str">
        <x:v>RFP-C1-AM-05-TR-A</x:v>
      </x:c>
      <x:c r="F15" s="28" t="str">
        <x:v>RFP-C1-AM-05-TR-B</x:v>
      </x:c>
      <x:c r="G15" s="29" t="str"/>
      <x:c r="H15" s="29" t="n">
        <x:v>0.05</x:v>
      </x:c>
      <x:c r="I15" s="29" t="str"/>
      <x:c r="J15" s="29" t="n">
        <x:v>0.0125</x:v>
      </x:c>
      <x:c r="K15" s="29" t="str"/>
      <x:c r="L15" s="29" t="str"/>
      <x:c r="M15" s="28" t="str">
        <x:f>IF(L15="","OPEN",IF(AND(ISNUMBER(G15),ABS(G15)&lt;=H15,ISNUMBER(I15),ABS(I15)&lt;=J15,K15&lt;&gt;"",COUNTIFS('Cell Credits'!$B$7:$B$30,E15,'Cell Credits'!$L$7:$L$30,"PASS")=1,COUNTIFS('Cell Credits'!$B$7:$B$30,F15,'Cell Credits'!$L$7:$L$30,"PASS")=1),"PASS","FAIL"))</x:f>
        <x:v>OPEN</x:v>
      </x:c>
    </x:row>
    <x:row r="16">
      <x:c r="B16" s="28" t="str">
        <x:v>RC-RFP-C1-AM-06</x:v>
      </x:c>
      <x:c r="C16" s="28" t="str">
        <x:v>RFP-C1</x:v>
      </x:c>
      <x:c r="D16" s="28" t="str">
        <x:v>AM-06</x:v>
      </x:c>
      <x:c r="E16" s="28" t="str">
        <x:v>RFP-C1-AM-06-TR-A</x:v>
      </x:c>
      <x:c r="F16" s="28" t="str">
        <x:v>RFP-C1-AM-06-TR-B</x:v>
      </x:c>
      <x:c r="G16" s="29" t="str"/>
      <x:c r="H16" s="29" t="n">
        <x:v>0.05</x:v>
      </x:c>
      <x:c r="I16" s="29" t="str"/>
      <x:c r="J16" s="29" t="n">
        <x:v>0.0125</x:v>
      </x:c>
      <x:c r="K16" s="29" t="str"/>
      <x:c r="L16" s="29" t="str"/>
      <x:c r="M16" s="28" t="str">
        <x:f>IF(L16="","OPEN",IF(AND(ISNUMBER(G16),ABS(G16)&lt;=H16,ISNUMBER(I16),ABS(I16)&lt;=J16,K16&lt;&gt;"",COUNTIFS('Cell Credits'!$B$7:$B$30,E16,'Cell Credits'!$L$7:$L$30,"PASS")=1,COUNTIFS('Cell Credits'!$B$7:$B$30,F16,'Cell Credits'!$L$7:$L$30,"PASS")=1),"PASS","FAIL"))</x:f>
        <x:v>OPEN</x:v>
      </x:c>
    </x:row>
    <x:row r="17">
      <x:c r="B17" s="28" t="str">
        <x:v>RC-RFP-C2-AM-05</x:v>
      </x:c>
      <x:c r="C17" s="28" t="str">
        <x:v>RFP-C2</x:v>
      </x:c>
      <x:c r="D17" s="28" t="str">
        <x:v>AM-05</x:v>
      </x:c>
      <x:c r="E17" s="28" t="str">
        <x:v>RFP-C2-AM-05-TR-A</x:v>
      </x:c>
      <x:c r="F17" s="28" t="str">
        <x:v>RFP-C2-AM-05-TR-B</x:v>
      </x:c>
      <x:c r="G17" s="29" t="str"/>
      <x:c r="H17" s="29" t="n">
        <x:v>0.05</x:v>
      </x:c>
      <x:c r="I17" s="29" t="str"/>
      <x:c r="J17" s="29" t="n">
        <x:v>0.0125</x:v>
      </x:c>
      <x:c r="K17" s="29" t="str"/>
      <x:c r="L17" s="29" t="str"/>
      <x:c r="M17" s="28" t="str">
        <x:f>IF(L17="","OPEN",IF(AND(ISNUMBER(G17),ABS(G17)&lt;=H17,ISNUMBER(I17),ABS(I17)&lt;=J17,K17&lt;&gt;"",COUNTIFS('Cell Credits'!$B$7:$B$30,E17,'Cell Credits'!$L$7:$L$30,"PASS")=1,COUNTIFS('Cell Credits'!$B$7:$B$30,F17,'Cell Credits'!$L$7:$L$30,"PASS")=1),"PASS","FAIL"))</x:f>
        <x:v>OPEN</x:v>
      </x:c>
    </x:row>
    <x:row r="18">
      <x:c r="B18" s="28" t="str">
        <x:v>RC-RFP-C2-AM-06</x:v>
      </x:c>
      <x:c r="C18" s="28" t="str">
        <x:v>RFP-C2</x:v>
      </x:c>
      <x:c r="D18" s="28" t="str">
        <x:v>AM-06</x:v>
      </x:c>
      <x:c r="E18" s="28" t="str">
        <x:v>RFP-C2-AM-06-TR-A</x:v>
      </x:c>
      <x:c r="F18" s="28" t="str">
        <x:v>RFP-C2-AM-06-TR-B</x:v>
      </x:c>
      <x:c r="G18" s="29" t="str"/>
      <x:c r="H18" s="29" t="n">
        <x:v>0.05</x:v>
      </x:c>
      <x:c r="I18" s="29" t="str"/>
      <x:c r="J18" s="29" t="n">
        <x:v>0.0125</x:v>
      </x:c>
      <x:c r="K18" s="29" t="str"/>
      <x:c r="L18" s="29" t="str"/>
      <x:c r="M18" s="28" t="str">
        <x:f>IF(L18="","OPEN",IF(AND(ISNUMBER(G18),ABS(G18)&lt;=H18,ISNUMBER(I18),ABS(I18)&lt;=J18,K18&lt;&gt;"",COUNTIFS('Cell Credits'!$B$7:$B$30,E18,'Cell Credits'!$L$7:$L$30,"PASS")=1,COUNTIFS('Cell Credits'!$B$7:$B$30,F18,'Cell Credits'!$L$7:$L$30,"PASS")=1),"PASS","FAIL"))</x:f>
        <x:v>OPEN</x:v>
      </x:c>
    </x:row>
  </x:sheetData>
  <x:conditionalFormatting sqref="M7:M18">
    <x:cfRule type="containsText" dxfId="153" priority="1" operator="containsText" text="FAIL"/>
    <x:cfRule type="containsText" dxfId="154" priority="2" operator="containsText" text="BLOCKED"/>
    <x:cfRule type="containsText" dxfId="155" priority="3" operator="containsText" text="INVALID"/>
    <x:cfRule type="containsText" dxfId="156" priority="4" operator="containsText" text="ADVERSE"/>
    <x:cfRule type="containsText" dxfId="157" priority="5" operator="containsText" text="EXPIRED"/>
    <x:cfRule type="containsText" dxfId="158" priority="6" operator="containsText" text="OPEN"/>
    <x:cfRule type="containsText" dxfId="159" priority="7" operator="containsText" text="DORMANT"/>
    <x:cfRule type="containsText" dxfId="160" priority="8" operator="containsText" text="PASS"/>
    <x:cfRule type="containsText" dxfId="161" priority="9" operator="containsText" text="AVAILABLE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29" hidden="0" customWidth="1"/>
    <x:col min="8" max="8" width="20" hidden="0" customWidth="1"/>
    <x:col min="9" max="9" width="29" hidden="0" customWidth="1"/>
    <x:col min="10" max="10" width="20" hidden="0" customWidth="1"/>
    <x:col min="11" max="11" width="34" hidden="0" customWidth="1"/>
    <x:col min="12" max="12" width="22" hidden="0" customWidth="1"/>
    <x:col min="13" max="13" width="16" hidden="0" customWidth="1"/>
  </x:cols>
  <x:sheetData>
    <x:row r="2">
      <x:c r="B2" s="23" t="str">
        <x:v>Twelve cross-method transfer contrasts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B3" s="25" t="str">
        <x:v>At each rig and truth root, AM-05 and AM-06 must agree within registered source and water margins.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 ht="24" customHeight="1">
      <x:c r="B6" s="6" t="str">
        <x:v>Contrast</x:v>
      </x:c>
      <x:c r="C6" s="6" t="str">
        <x:v>Rig</x:v>
      </x:c>
      <x:c r="D6" s="6" t="str">
        <x:v>Credit root</x:v>
      </x:c>
      <x:c r="E6" s="6" t="str">
        <x:v>AM-05 cell</x:v>
      </x:c>
      <x:c r="F6" s="6" t="str">
        <x:v>AM-06 cell</x:v>
      </x:c>
      <x:c r="G6" s="6" t="str">
        <x:v>Observed source difference kg</x:v>
      </x:c>
      <x:c r="H6" s="6" t="str">
        <x:v>Source margin kg</x:v>
      </x:c>
      <x:c r="I6" s="6" t="str">
        <x:v>Observed water difference m3</x:v>
      </x:c>
      <x:c r="J6" s="6" t="str">
        <x:v>Water margin m3</x:v>
      </x:c>
      <x:c r="K6" s="6" t="str">
        <x:v>Evidence root</x:v>
      </x:c>
      <x:c r="L6" s="6" t="str">
        <x:v>Accepted UTC</x:v>
      </x:c>
      <x:c r="M6" s="6" t="str">
        <x:v>State</x:v>
      </x:c>
    </x:row>
    <x:row r="7">
      <x:c r="B7" s="28" t="str">
        <x:v>MC-RFP-A1-TR-A</x:v>
      </x:c>
      <x:c r="C7" s="28" t="str">
        <x:v>RFP-A1</x:v>
      </x:c>
      <x:c r="D7" s="28" t="str">
        <x:v>TR-A</x:v>
      </x:c>
      <x:c r="E7" s="28" t="str">
        <x:v>RFP-A1-AM-05-TR-A</x:v>
      </x:c>
      <x:c r="F7" s="28" t="str">
        <x:v>RFP-A1-AM-06-TR-A</x:v>
      </x:c>
      <x:c r="G7" s="29" t="str"/>
      <x:c r="H7" s="29" t="n">
        <x:v>0.05</x:v>
      </x:c>
      <x:c r="I7" s="29" t="str"/>
      <x:c r="J7" s="29" t="n">
        <x:v>0.0125</x:v>
      </x:c>
      <x:c r="K7" s="29" t="str"/>
      <x:c r="L7" s="29" t="str"/>
      <x:c r="M7" s="28" t="str">
        <x:f>IF(L7="","OPEN",IF(AND(ISNUMBER(G7),ABS(G7)&lt;=H7,ISNUMBER(I7),ABS(I7)&lt;=J7,K7&lt;&gt;"",COUNTIFS('Cell Credits'!$B$7:$B$30,E7,'Cell Credits'!$L$7:$L$30,"PASS")=1,COUNTIFS('Cell Credits'!$B$7:$B$30,F7,'Cell Credits'!$L$7:$L$30,"PASS")=1),"PASS","FAIL"))</x:f>
        <x:v>OPEN</x:v>
      </x:c>
    </x:row>
    <x:row r="8">
      <x:c r="B8" s="28" t="str">
        <x:v>MC-RFP-A1-TR-B</x:v>
      </x:c>
      <x:c r="C8" s="28" t="str">
        <x:v>RFP-A1</x:v>
      </x:c>
      <x:c r="D8" s="28" t="str">
        <x:v>TR-B</x:v>
      </x:c>
      <x:c r="E8" s="28" t="str">
        <x:v>RFP-A1-AM-05-TR-B</x:v>
      </x:c>
      <x:c r="F8" s="28" t="str">
        <x:v>RFP-A1-AM-06-TR-B</x:v>
      </x:c>
      <x:c r="G8" s="29" t="str"/>
      <x:c r="H8" s="29" t="n">
        <x:v>0.05</x:v>
      </x:c>
      <x:c r="I8" s="29" t="str"/>
      <x:c r="J8" s="29" t="n">
        <x:v>0.0125</x:v>
      </x:c>
      <x:c r="K8" s="29" t="str"/>
      <x:c r="L8" s="29" t="str"/>
      <x:c r="M8" s="28" t="str">
        <x:f>IF(L8="","OPEN",IF(AND(ISNUMBER(G8),ABS(G8)&lt;=H8,ISNUMBER(I8),ABS(I8)&lt;=J8,K8&lt;&gt;"",COUNTIFS('Cell Credits'!$B$7:$B$30,E8,'Cell Credits'!$L$7:$L$30,"PASS")=1,COUNTIFS('Cell Credits'!$B$7:$B$30,F8,'Cell Credits'!$L$7:$L$30,"PASS")=1),"PASS","FAIL"))</x:f>
        <x:v>OPEN</x:v>
      </x:c>
    </x:row>
    <x:row r="9">
      <x:c r="B9" s="28" t="str">
        <x:v>MC-RFP-A2-TR-A</x:v>
      </x:c>
      <x:c r="C9" s="28" t="str">
        <x:v>RFP-A2</x:v>
      </x:c>
      <x:c r="D9" s="28" t="str">
        <x:v>TR-A</x:v>
      </x:c>
      <x:c r="E9" s="28" t="str">
        <x:v>RFP-A2-AM-05-TR-A</x:v>
      </x:c>
      <x:c r="F9" s="28" t="str">
        <x:v>RFP-A2-AM-06-TR-A</x:v>
      </x:c>
      <x:c r="G9" s="29" t="str"/>
      <x:c r="H9" s="29" t="n">
        <x:v>0.05</x:v>
      </x:c>
      <x:c r="I9" s="29" t="str"/>
      <x:c r="J9" s="29" t="n">
        <x:v>0.0125</x:v>
      </x:c>
      <x:c r="K9" s="29" t="str"/>
      <x:c r="L9" s="29" t="str"/>
      <x:c r="M9" s="28" t="str">
        <x:f>IF(L9="","OPEN",IF(AND(ISNUMBER(G9),ABS(G9)&lt;=H9,ISNUMBER(I9),ABS(I9)&lt;=J9,K9&lt;&gt;"",COUNTIFS('Cell Credits'!$B$7:$B$30,E9,'Cell Credits'!$L$7:$L$30,"PASS")=1,COUNTIFS('Cell Credits'!$B$7:$B$30,F9,'Cell Credits'!$L$7:$L$30,"PASS")=1),"PASS","FAIL"))</x:f>
        <x:v>OPEN</x:v>
      </x:c>
    </x:row>
    <x:row r="10">
      <x:c r="B10" s="28" t="str">
        <x:v>MC-RFP-A2-TR-B</x:v>
      </x:c>
      <x:c r="C10" s="28" t="str">
        <x:v>RFP-A2</x:v>
      </x:c>
      <x:c r="D10" s="28" t="str">
        <x:v>TR-B</x:v>
      </x:c>
      <x:c r="E10" s="28" t="str">
        <x:v>RFP-A2-AM-05-TR-B</x:v>
      </x:c>
      <x:c r="F10" s="28" t="str">
        <x:v>RFP-A2-AM-06-TR-B</x:v>
      </x:c>
      <x:c r="G10" s="29" t="str"/>
      <x:c r="H10" s="29" t="n">
        <x:v>0.05</x:v>
      </x:c>
      <x:c r="I10" s="29" t="str"/>
      <x:c r="J10" s="29" t="n">
        <x:v>0.0125</x:v>
      </x:c>
      <x:c r="K10" s="29" t="str"/>
      <x:c r="L10" s="29" t="str"/>
      <x:c r="M10" s="28" t="str">
        <x:f>IF(L10="","OPEN",IF(AND(ISNUMBER(G10),ABS(G10)&lt;=H10,ISNUMBER(I10),ABS(I10)&lt;=J10,K10&lt;&gt;"",COUNTIFS('Cell Credits'!$B$7:$B$30,E10,'Cell Credits'!$L$7:$L$30,"PASS")=1,COUNTIFS('Cell Credits'!$B$7:$B$30,F10,'Cell Credits'!$L$7:$L$30,"PASS")=1),"PASS","FAIL"))</x:f>
        <x:v>OPEN</x:v>
      </x:c>
    </x:row>
    <x:row r="11">
      <x:c r="B11" s="28" t="str">
        <x:v>MC-RFP-B1-TR-A</x:v>
      </x:c>
      <x:c r="C11" s="28" t="str">
        <x:v>RFP-B1</x:v>
      </x:c>
      <x:c r="D11" s="28" t="str">
        <x:v>TR-A</x:v>
      </x:c>
      <x:c r="E11" s="28" t="str">
        <x:v>RFP-B1-AM-05-TR-A</x:v>
      </x:c>
      <x:c r="F11" s="28" t="str">
        <x:v>RFP-B1-AM-06-TR-A</x:v>
      </x:c>
      <x:c r="G11" s="29" t="str"/>
      <x:c r="H11" s="29" t="n">
        <x:v>0.05</x:v>
      </x:c>
      <x:c r="I11" s="29" t="str"/>
      <x:c r="J11" s="29" t="n">
        <x:v>0.0125</x:v>
      </x:c>
      <x:c r="K11" s="29" t="str"/>
      <x:c r="L11" s="29" t="str"/>
      <x:c r="M11" s="28" t="str">
        <x:f>IF(L11="","OPEN",IF(AND(ISNUMBER(G11),ABS(G11)&lt;=H11,ISNUMBER(I11),ABS(I11)&lt;=J11,K11&lt;&gt;"",COUNTIFS('Cell Credits'!$B$7:$B$30,E11,'Cell Credits'!$L$7:$L$30,"PASS")=1,COUNTIFS('Cell Credits'!$B$7:$B$30,F11,'Cell Credits'!$L$7:$L$30,"PASS")=1),"PASS","FAIL"))</x:f>
        <x:v>OPEN</x:v>
      </x:c>
    </x:row>
    <x:row r="12">
      <x:c r="B12" s="28" t="str">
        <x:v>MC-RFP-B1-TR-B</x:v>
      </x:c>
      <x:c r="C12" s="28" t="str">
        <x:v>RFP-B1</x:v>
      </x:c>
      <x:c r="D12" s="28" t="str">
        <x:v>TR-B</x:v>
      </x:c>
      <x:c r="E12" s="28" t="str">
        <x:v>RFP-B1-AM-05-TR-B</x:v>
      </x:c>
      <x:c r="F12" s="28" t="str">
        <x:v>RFP-B1-AM-06-TR-B</x:v>
      </x:c>
      <x:c r="G12" s="29" t="str"/>
      <x:c r="H12" s="29" t="n">
        <x:v>0.05</x:v>
      </x:c>
      <x:c r="I12" s="29" t="str"/>
      <x:c r="J12" s="29" t="n">
        <x:v>0.0125</x:v>
      </x:c>
      <x:c r="K12" s="29" t="str"/>
      <x:c r="L12" s="29" t="str"/>
      <x:c r="M12" s="28" t="str">
        <x:f>IF(L12="","OPEN",IF(AND(ISNUMBER(G12),ABS(G12)&lt;=H12,ISNUMBER(I12),ABS(I12)&lt;=J12,K12&lt;&gt;"",COUNTIFS('Cell Credits'!$B$7:$B$30,E12,'Cell Credits'!$L$7:$L$30,"PASS")=1,COUNTIFS('Cell Credits'!$B$7:$B$30,F12,'Cell Credits'!$L$7:$L$30,"PASS")=1),"PASS","FAIL"))</x:f>
        <x:v>OPEN</x:v>
      </x:c>
    </x:row>
    <x:row r="13">
      <x:c r="B13" s="28" t="str">
        <x:v>MC-RFP-B2-TR-A</x:v>
      </x:c>
      <x:c r="C13" s="28" t="str">
        <x:v>RFP-B2</x:v>
      </x:c>
      <x:c r="D13" s="28" t="str">
        <x:v>TR-A</x:v>
      </x:c>
      <x:c r="E13" s="28" t="str">
        <x:v>RFP-B2-AM-05-TR-A</x:v>
      </x:c>
      <x:c r="F13" s="28" t="str">
        <x:v>RFP-B2-AM-06-TR-A</x:v>
      </x:c>
      <x:c r="G13" s="29" t="str"/>
      <x:c r="H13" s="29" t="n">
        <x:v>0.05</x:v>
      </x:c>
      <x:c r="I13" s="29" t="str"/>
      <x:c r="J13" s="29" t="n">
        <x:v>0.0125</x:v>
      </x:c>
      <x:c r="K13" s="29" t="str"/>
      <x:c r="L13" s="29" t="str"/>
      <x:c r="M13" s="28" t="str">
        <x:f>IF(L13="","OPEN",IF(AND(ISNUMBER(G13),ABS(G13)&lt;=H13,ISNUMBER(I13),ABS(I13)&lt;=J13,K13&lt;&gt;"",COUNTIFS('Cell Credits'!$B$7:$B$30,E13,'Cell Credits'!$L$7:$L$30,"PASS")=1,COUNTIFS('Cell Credits'!$B$7:$B$30,F13,'Cell Credits'!$L$7:$L$30,"PASS")=1),"PASS","FAIL"))</x:f>
        <x:v>OPEN</x:v>
      </x:c>
    </x:row>
    <x:row r="14">
      <x:c r="B14" s="28" t="str">
        <x:v>MC-RFP-B2-TR-B</x:v>
      </x:c>
      <x:c r="C14" s="28" t="str">
        <x:v>RFP-B2</x:v>
      </x:c>
      <x:c r="D14" s="28" t="str">
        <x:v>TR-B</x:v>
      </x:c>
      <x:c r="E14" s="28" t="str">
        <x:v>RFP-B2-AM-05-TR-B</x:v>
      </x:c>
      <x:c r="F14" s="28" t="str">
        <x:v>RFP-B2-AM-06-TR-B</x:v>
      </x:c>
      <x:c r="G14" s="29" t="str"/>
      <x:c r="H14" s="29" t="n">
        <x:v>0.05</x:v>
      </x:c>
      <x:c r="I14" s="29" t="str"/>
      <x:c r="J14" s="29" t="n">
        <x:v>0.0125</x:v>
      </x:c>
      <x:c r="K14" s="29" t="str"/>
      <x:c r="L14" s="29" t="str"/>
      <x:c r="M14" s="28" t="str">
        <x:f>IF(L14="","OPEN",IF(AND(ISNUMBER(G14),ABS(G14)&lt;=H14,ISNUMBER(I14),ABS(I14)&lt;=J14,K14&lt;&gt;"",COUNTIFS('Cell Credits'!$B$7:$B$30,E14,'Cell Credits'!$L$7:$L$30,"PASS")=1,COUNTIFS('Cell Credits'!$B$7:$B$30,F14,'Cell Credits'!$L$7:$L$30,"PASS")=1),"PASS","FAIL"))</x:f>
        <x:v>OPEN</x:v>
      </x:c>
    </x:row>
    <x:row r="15">
      <x:c r="B15" s="28" t="str">
        <x:v>MC-RFP-C1-TR-A</x:v>
      </x:c>
      <x:c r="C15" s="28" t="str">
        <x:v>RFP-C1</x:v>
      </x:c>
      <x:c r="D15" s="28" t="str">
        <x:v>TR-A</x:v>
      </x:c>
      <x:c r="E15" s="28" t="str">
        <x:v>RFP-C1-AM-05-TR-A</x:v>
      </x:c>
      <x:c r="F15" s="28" t="str">
        <x:v>RFP-C1-AM-06-TR-A</x:v>
      </x:c>
      <x:c r="G15" s="29" t="str"/>
      <x:c r="H15" s="29" t="n">
        <x:v>0.05</x:v>
      </x:c>
      <x:c r="I15" s="29" t="str"/>
      <x:c r="J15" s="29" t="n">
        <x:v>0.0125</x:v>
      </x:c>
      <x:c r="K15" s="29" t="str"/>
      <x:c r="L15" s="29" t="str"/>
      <x:c r="M15" s="28" t="str">
        <x:f>IF(L15="","OPEN",IF(AND(ISNUMBER(G15),ABS(G15)&lt;=H15,ISNUMBER(I15),ABS(I15)&lt;=J15,K15&lt;&gt;"",COUNTIFS('Cell Credits'!$B$7:$B$30,E15,'Cell Credits'!$L$7:$L$30,"PASS")=1,COUNTIFS('Cell Credits'!$B$7:$B$30,F15,'Cell Credits'!$L$7:$L$30,"PASS")=1),"PASS","FAIL"))</x:f>
        <x:v>OPEN</x:v>
      </x:c>
    </x:row>
    <x:row r="16">
      <x:c r="B16" s="28" t="str">
        <x:v>MC-RFP-C1-TR-B</x:v>
      </x:c>
      <x:c r="C16" s="28" t="str">
        <x:v>RFP-C1</x:v>
      </x:c>
      <x:c r="D16" s="28" t="str">
        <x:v>TR-B</x:v>
      </x:c>
      <x:c r="E16" s="28" t="str">
        <x:v>RFP-C1-AM-05-TR-B</x:v>
      </x:c>
      <x:c r="F16" s="28" t="str">
        <x:v>RFP-C1-AM-06-TR-B</x:v>
      </x:c>
      <x:c r="G16" s="29" t="str"/>
      <x:c r="H16" s="29" t="n">
        <x:v>0.05</x:v>
      </x:c>
      <x:c r="I16" s="29" t="str"/>
      <x:c r="J16" s="29" t="n">
        <x:v>0.0125</x:v>
      </x:c>
      <x:c r="K16" s="29" t="str"/>
      <x:c r="L16" s="29" t="str"/>
      <x:c r="M16" s="28" t="str">
        <x:f>IF(L16="","OPEN",IF(AND(ISNUMBER(G16),ABS(G16)&lt;=H16,ISNUMBER(I16),ABS(I16)&lt;=J16,K16&lt;&gt;"",COUNTIFS('Cell Credits'!$B$7:$B$30,E16,'Cell Credits'!$L$7:$L$30,"PASS")=1,COUNTIFS('Cell Credits'!$B$7:$B$30,F16,'Cell Credits'!$L$7:$L$30,"PASS")=1),"PASS","FAIL"))</x:f>
        <x:v>OPEN</x:v>
      </x:c>
    </x:row>
    <x:row r="17">
      <x:c r="B17" s="28" t="str">
        <x:v>MC-RFP-C2-TR-A</x:v>
      </x:c>
      <x:c r="C17" s="28" t="str">
        <x:v>RFP-C2</x:v>
      </x:c>
      <x:c r="D17" s="28" t="str">
        <x:v>TR-A</x:v>
      </x:c>
      <x:c r="E17" s="28" t="str">
        <x:v>RFP-C2-AM-05-TR-A</x:v>
      </x:c>
      <x:c r="F17" s="28" t="str">
        <x:v>RFP-C2-AM-06-TR-A</x:v>
      </x:c>
      <x:c r="G17" s="29" t="str"/>
      <x:c r="H17" s="29" t="n">
        <x:v>0.05</x:v>
      </x:c>
      <x:c r="I17" s="29" t="str"/>
      <x:c r="J17" s="29" t="n">
        <x:v>0.0125</x:v>
      </x:c>
      <x:c r="K17" s="29" t="str"/>
      <x:c r="L17" s="29" t="str"/>
      <x:c r="M17" s="28" t="str">
        <x:f>IF(L17="","OPEN",IF(AND(ISNUMBER(G17),ABS(G17)&lt;=H17,ISNUMBER(I17),ABS(I17)&lt;=J17,K17&lt;&gt;"",COUNTIFS('Cell Credits'!$B$7:$B$30,E17,'Cell Credits'!$L$7:$L$30,"PASS")=1,COUNTIFS('Cell Credits'!$B$7:$B$30,F17,'Cell Credits'!$L$7:$L$30,"PASS")=1),"PASS","FAIL"))</x:f>
        <x:v>OPEN</x:v>
      </x:c>
    </x:row>
    <x:row r="18">
      <x:c r="B18" s="28" t="str">
        <x:v>MC-RFP-C2-TR-B</x:v>
      </x:c>
      <x:c r="C18" s="28" t="str">
        <x:v>RFP-C2</x:v>
      </x:c>
      <x:c r="D18" s="28" t="str">
        <x:v>TR-B</x:v>
      </x:c>
      <x:c r="E18" s="28" t="str">
        <x:v>RFP-C2-AM-05-TR-B</x:v>
      </x:c>
      <x:c r="F18" s="28" t="str">
        <x:v>RFP-C2-AM-06-TR-B</x:v>
      </x:c>
      <x:c r="G18" s="29" t="str"/>
      <x:c r="H18" s="29" t="n">
        <x:v>0.05</x:v>
      </x:c>
      <x:c r="I18" s="29" t="str"/>
      <x:c r="J18" s="29" t="n">
        <x:v>0.0125</x:v>
      </x:c>
      <x:c r="K18" s="29" t="str"/>
      <x:c r="L18" s="29" t="str"/>
      <x:c r="M18" s="28" t="str">
        <x:f>IF(L18="","OPEN",IF(AND(ISNUMBER(G18),ABS(G18)&lt;=H18,ISNUMBER(I18),ABS(I18)&lt;=J18,K18&lt;&gt;"",COUNTIFS('Cell Credits'!$B$7:$B$30,E18,'Cell Credits'!$L$7:$L$30,"PASS")=1,COUNTIFS('Cell Credits'!$B$7:$B$30,F18,'Cell Credits'!$L$7:$L$30,"PASS")=1),"PASS","FAIL"))</x:f>
        <x:v>OPEN</x:v>
      </x:c>
    </x:row>
  </x:sheetData>
  <x:conditionalFormatting sqref="M7:M18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INVALID"/>
    <x:cfRule type="containsText" dxfId="165" priority="4" operator="containsText" text="ADVERSE"/>
    <x:cfRule type="containsText" dxfId="166" priority="5" operator="containsText" text="EXPIRED"/>
    <x:cfRule type="containsText" dxfId="167" priority="6" operator="containsText" text="OPEN"/>
    <x:cfRule type="containsText" dxfId="168" priority="7" operator="containsText" text="DORMANT"/>
    <x:cfRule type="containsText" dxfId="169" priority="8" operator="containsText" text="PASS"/>
    <x:cfRule type="containsText" dxfId="170" priority="9" operator="containsText" text="AVAILABLE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3" hidden="0" customWidth="1"/>
    <x:col min="4" max="4" width="23" hidden="0" customWidth="1"/>
    <x:col min="5" max="5" width="24" hidden="0" customWidth="1"/>
    <x:col min="6" max="6" width="23" hidden="0" customWidth="1"/>
    <x:col min="7" max="7" width="27" hidden="0" customWidth="1"/>
    <x:col min="8" max="8" width="25" hidden="0" customWidth="1"/>
    <x:col min="9" max="9" width="29" hidden="0" customWidth="1"/>
    <x:col min="10" max="10" width="27" hidden="0" customWidth="1"/>
    <x:col min="11" max="11" width="23" hidden="0" customWidth="1"/>
    <x:col min="12" max="12" width="16" hidden="0" customWidth="1"/>
  </x:cols>
  <x:sheetData>
    <x:row r="2">
      <x:c r="B2" s="23" t="str">
        <x:v>Six complete-rig decisions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Every rig must close four cells, three reuse transitions, two root contrasts and two method contrasts.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Rig</x:v>
      </x:c>
      <x:c r="C6" s="6" t="str">
        <x:v>Required cell credits</x:v>
      </x:c>
      <x:c r="D6" s="6" t="str">
        <x:v>Passing cell credits</x:v>
      </x:c>
      <x:c r="E6" s="6" t="str">
        <x:v>Required transitions</x:v>
      </x:c>
      <x:c r="F6" s="6" t="str">
        <x:v>Passing transitions</x:v>
      </x:c>
      <x:c r="G6" s="6" t="str">
        <x:v>Required root contrasts</x:v>
      </x:c>
      <x:c r="H6" s="6" t="str">
        <x:v>Passing root contrasts</x:v>
      </x:c>
      <x:c r="I6" s="6" t="str">
        <x:v>Required method contrasts</x:v>
      </x:c>
      <x:c r="J6" s="6" t="str">
        <x:v>Passing method contrasts</x:v>
      </x:c>
      <x:c r="K6" s="6" t="str">
        <x:v>Board accepted UTC</x:v>
      </x:c>
      <x:c r="L6" s="6" t="str">
        <x:v>State</x:v>
      </x:c>
    </x:row>
    <x:row r="7">
      <x:c r="B7" s="28" t="str">
        <x:v>RFP-A1</x:v>
      </x:c>
      <x:c r="C7" s="28" t="n">
        <x:v>4</x:v>
      </x:c>
      <x:c r="D7" s="28" t="n">
        <x:f>COUNTIFS('Cell Credits'!$C$7:$C$30,B7,'Cell Credits'!$L$7:$L$30,"PASS")</x:f>
        <x:v>0</x:v>
      </x:c>
      <x:c r="E7" s="28" t="n">
        <x:v>3</x:v>
      </x:c>
      <x:c r="F7" s="28" t="n">
        <x:f>COUNTIFS('Transition Audits'!$I$7:$I$24,B7,'Transition Audits'!$Q$7:$Q$24,"PASS")</x:f>
        <x:v>0</x:v>
      </x:c>
      <x:c r="G7" s="28" t="n">
        <x:v>2</x:v>
      </x:c>
      <x:c r="H7" s="28" t="n">
        <x:f>COUNTIFS('Root Contrasts'!$C$7:$C$18,B7,'Root Contrasts'!$M$7:$M$18,"PASS")</x:f>
        <x:v>0</x:v>
      </x:c>
      <x:c r="I7" s="28" t="n">
        <x:v>2</x:v>
      </x:c>
      <x:c r="J7" s="28" t="n">
        <x:f>COUNTIFS('Method Contrasts'!$C$7:$C$18,B7,'Method Contrasts'!$M$7:$M$18,"PASS")</x:f>
        <x:v>0</x:v>
      </x:c>
      <x:c r="K7" s="29" t="str"/>
      <x:c r="L7" s="28" t="str">
        <x:f>IF(K7="","OPEN",IF(AND(D7=C7,F7=E7,H7=G7,J7=I7),"PASS","FAIL"))</x:f>
        <x:v>OPEN</x:v>
      </x:c>
    </x:row>
    <x:row r="8">
      <x:c r="B8" s="28" t="str">
        <x:v>RFP-A2</x:v>
      </x:c>
      <x:c r="C8" s="28" t="n">
        <x:v>4</x:v>
      </x:c>
      <x:c r="D8" s="28" t="n">
        <x:f>COUNTIFS('Cell Credits'!$C$7:$C$30,B8,'Cell Credits'!$L$7:$L$30,"PASS")</x:f>
        <x:v>0</x:v>
      </x:c>
      <x:c r="E8" s="28" t="n">
        <x:v>3</x:v>
      </x:c>
      <x:c r="F8" s="28" t="n">
        <x:f>COUNTIFS('Transition Audits'!$I$7:$I$24,B8,'Transition Audits'!$Q$7:$Q$24,"PASS")</x:f>
        <x:v>0</x:v>
      </x:c>
      <x:c r="G8" s="28" t="n">
        <x:v>2</x:v>
      </x:c>
      <x:c r="H8" s="28" t="n">
        <x:f>COUNTIFS('Root Contrasts'!$C$7:$C$18,B8,'Root Contrasts'!$M$7:$M$18,"PASS")</x:f>
        <x:v>0</x:v>
      </x:c>
      <x:c r="I8" s="28" t="n">
        <x:v>2</x:v>
      </x:c>
      <x:c r="J8" s="28" t="n">
        <x:f>COUNTIFS('Method Contrasts'!$C$7:$C$18,B8,'Method Contrasts'!$M$7:$M$18,"PASS")</x:f>
        <x:v>0</x:v>
      </x:c>
      <x:c r="K8" s="29" t="str"/>
      <x:c r="L8" s="28" t="str">
        <x:f>IF(K8="","OPEN",IF(AND(D8=C8,F8=E8,H8=G8,J8=I8),"PASS","FAIL"))</x:f>
        <x:v>OPEN</x:v>
      </x:c>
    </x:row>
    <x:row r="9">
      <x:c r="B9" s="28" t="str">
        <x:v>RFP-B1</x:v>
      </x:c>
      <x:c r="C9" s="28" t="n">
        <x:v>4</x:v>
      </x:c>
      <x:c r="D9" s="28" t="n">
        <x:f>COUNTIFS('Cell Credits'!$C$7:$C$30,B9,'Cell Credits'!$L$7:$L$30,"PASS")</x:f>
        <x:v>0</x:v>
      </x:c>
      <x:c r="E9" s="28" t="n">
        <x:v>3</x:v>
      </x:c>
      <x:c r="F9" s="28" t="n">
        <x:f>COUNTIFS('Transition Audits'!$I$7:$I$24,B9,'Transition Audits'!$Q$7:$Q$24,"PASS")</x:f>
        <x:v>0</x:v>
      </x:c>
      <x:c r="G9" s="28" t="n">
        <x:v>2</x:v>
      </x:c>
      <x:c r="H9" s="28" t="n">
        <x:f>COUNTIFS('Root Contrasts'!$C$7:$C$18,B9,'Root Contrasts'!$M$7:$M$18,"PASS")</x:f>
        <x:v>0</x:v>
      </x:c>
      <x:c r="I9" s="28" t="n">
        <x:v>2</x:v>
      </x:c>
      <x:c r="J9" s="28" t="n">
        <x:f>COUNTIFS('Method Contrasts'!$C$7:$C$18,B9,'Method Contrasts'!$M$7:$M$18,"PASS")</x:f>
        <x:v>0</x:v>
      </x:c>
      <x:c r="K9" s="29" t="str"/>
      <x:c r="L9" s="28" t="str">
        <x:f>IF(K9="","OPEN",IF(AND(D9=C9,F9=E9,H9=G9,J9=I9),"PASS","FAIL"))</x:f>
        <x:v>OPEN</x:v>
      </x:c>
    </x:row>
    <x:row r="10">
      <x:c r="B10" s="28" t="str">
        <x:v>RFP-B2</x:v>
      </x:c>
      <x:c r="C10" s="28" t="n">
        <x:v>4</x:v>
      </x:c>
      <x:c r="D10" s="28" t="n">
        <x:f>COUNTIFS('Cell Credits'!$C$7:$C$30,B10,'Cell Credits'!$L$7:$L$30,"PASS")</x:f>
        <x:v>0</x:v>
      </x:c>
      <x:c r="E10" s="28" t="n">
        <x:v>3</x:v>
      </x:c>
      <x:c r="F10" s="28" t="n">
        <x:f>COUNTIFS('Transition Audits'!$I$7:$I$24,B10,'Transition Audits'!$Q$7:$Q$24,"PASS")</x:f>
        <x:v>0</x:v>
      </x:c>
      <x:c r="G10" s="28" t="n">
        <x:v>2</x:v>
      </x:c>
      <x:c r="H10" s="28" t="n">
        <x:f>COUNTIFS('Root Contrasts'!$C$7:$C$18,B10,'Root Contrasts'!$M$7:$M$18,"PASS")</x:f>
        <x:v>0</x:v>
      </x:c>
      <x:c r="I10" s="28" t="n">
        <x:v>2</x:v>
      </x:c>
      <x:c r="J10" s="28" t="n">
        <x:f>COUNTIFS('Method Contrasts'!$C$7:$C$18,B10,'Method Contrasts'!$M$7:$M$18,"PASS")</x:f>
        <x:v>0</x:v>
      </x:c>
      <x:c r="K10" s="29" t="str"/>
      <x:c r="L10" s="28" t="str">
        <x:f>IF(K10="","OPEN",IF(AND(D10=C10,F10=E10,H10=G10,J10=I10),"PASS","FAIL"))</x:f>
        <x:v>OPEN</x:v>
      </x:c>
    </x:row>
    <x:row r="11">
      <x:c r="B11" s="28" t="str">
        <x:v>RFP-C1</x:v>
      </x:c>
      <x:c r="C11" s="28" t="n">
        <x:v>4</x:v>
      </x:c>
      <x:c r="D11" s="28" t="n">
        <x:f>COUNTIFS('Cell Credits'!$C$7:$C$30,B11,'Cell Credits'!$L$7:$L$30,"PASS")</x:f>
        <x:v>0</x:v>
      </x:c>
      <x:c r="E11" s="28" t="n">
        <x:v>3</x:v>
      </x:c>
      <x:c r="F11" s="28" t="n">
        <x:f>COUNTIFS('Transition Audits'!$I$7:$I$24,B11,'Transition Audits'!$Q$7:$Q$24,"PASS")</x:f>
        <x:v>0</x:v>
      </x:c>
      <x:c r="G11" s="28" t="n">
        <x:v>2</x:v>
      </x:c>
      <x:c r="H11" s="28" t="n">
        <x:f>COUNTIFS('Root Contrasts'!$C$7:$C$18,B11,'Root Contrasts'!$M$7:$M$18,"PASS")</x:f>
        <x:v>0</x:v>
      </x:c>
      <x:c r="I11" s="28" t="n">
        <x:v>2</x:v>
      </x:c>
      <x:c r="J11" s="28" t="n">
        <x:f>COUNTIFS('Method Contrasts'!$C$7:$C$18,B11,'Method Contrasts'!$M$7:$M$18,"PASS")</x:f>
        <x:v>0</x:v>
      </x:c>
      <x:c r="K11" s="29" t="str"/>
      <x:c r="L11" s="28" t="str">
        <x:f>IF(K11="","OPEN",IF(AND(D11=C11,F11=E11,H11=G11,J11=I11),"PASS","FAIL"))</x:f>
        <x:v>OPEN</x:v>
      </x:c>
    </x:row>
    <x:row r="12">
      <x:c r="B12" s="28" t="str">
        <x:v>RFP-C2</x:v>
      </x:c>
      <x:c r="C12" s="28" t="n">
        <x:v>4</x:v>
      </x:c>
      <x:c r="D12" s="28" t="n">
        <x:f>COUNTIFS('Cell Credits'!$C$7:$C$30,B12,'Cell Credits'!$L$7:$L$30,"PASS")</x:f>
        <x:v>0</x:v>
      </x:c>
      <x:c r="E12" s="28" t="n">
        <x:v>3</x:v>
      </x:c>
      <x:c r="F12" s="28" t="n">
        <x:f>COUNTIFS('Transition Audits'!$I$7:$I$24,B12,'Transition Audits'!$Q$7:$Q$24,"PASS")</x:f>
        <x:v>0</x:v>
      </x:c>
      <x:c r="G12" s="28" t="n">
        <x:v>2</x:v>
      </x:c>
      <x:c r="H12" s="28" t="n">
        <x:f>COUNTIFS('Root Contrasts'!$C$7:$C$18,B12,'Root Contrasts'!$M$7:$M$18,"PASS")</x:f>
        <x:v>0</x:v>
      </x:c>
      <x:c r="I12" s="28" t="n">
        <x:v>2</x:v>
      </x:c>
      <x:c r="J12" s="28" t="n">
        <x:f>COUNTIFS('Method Contrasts'!$C$7:$C$18,B12,'Method Contrasts'!$M$7:$M$18,"PASS")</x:f>
        <x:v>0</x:v>
      </x:c>
      <x:c r="K12" s="29" t="str"/>
      <x:c r="L12" s="28" t="str">
        <x:f>IF(K12="","OPEN",IF(AND(D12=C12,F12=E12,H12=G12,J12=I12),"PASS","FAIL"))</x:f>
        <x:v>OPEN</x:v>
      </x:c>
    </x:row>
  </x:sheetData>
  <x:conditionalFormatting sqref="L7:L12">
    <x:cfRule type="containsText" dxfId="171" priority="1" operator="containsText" text="FAIL"/>
    <x:cfRule type="containsText" dxfId="172" priority="2" operator="containsText" text="BLOCKED"/>
    <x:cfRule type="containsText" dxfId="173" priority="3" operator="containsText" text="INVALID"/>
    <x:cfRule type="containsText" dxfId="174" priority="4" operator="containsText" text="ADVERSE"/>
    <x:cfRule type="containsText" dxfId="175" priority="5" operator="containsText" text="EXPIRED"/>
    <x:cfRule type="containsText" dxfId="176" priority="6" operator="containsText" text="OPEN"/>
    <x:cfRule type="containsText" dxfId="177" priority="7" operator="containsText" text="DORMANT"/>
    <x:cfRule type="containsText" dxfId="178" priority="8" operator="containsText" text="PASS"/>
    <x:cfRule type="containsText" dxfId="179" priority="9" operator="containsText" text="AVAILABLE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19" hidden="0" customWidth="1"/>
    <x:col min="9" max="9" width="22" hidden="0" customWidth="1"/>
    <x:col min="10" max="10" width="23" hidden="0" customWidth="1"/>
    <x:col min="11" max="11" width="23" hidden="0" customWidth="1"/>
    <x:col min="12" max="12" width="16" hidden="0" customWidth="1"/>
  </x:cols>
  <x:sheetData>
    <x:row r="2">
      <x:c r="B2" s="23" t="str">
        <x:v>Four complete-treatment decisions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Each method-root treatment must cover all six rigs and all three campuses with accepted credit.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Treatment</x:v>
      </x:c>
      <x:c r="C6" s="6" t="str">
        <x:v>Method</x:v>
      </x:c>
      <x:c r="D6" s="6" t="str">
        <x:v>Credit root</x:v>
      </x:c>
      <x:c r="E6" s="6" t="str">
        <x:v>Required credits</x:v>
      </x:c>
      <x:c r="F6" s="6" t="str">
        <x:v>Passing credits</x:v>
      </x:c>
      <x:c r="G6" s="6" t="str">
        <x:v>Required rigs</x:v>
      </x:c>
      <x:c r="H6" s="6" t="str">
        <x:v>Passing rigs</x:v>
      </x:c>
      <x:c r="I6" s="6" t="str">
        <x:v>Required campuses</x:v>
      </x:c>
      <x:c r="J6" s="6" t="str">
        <x:v>Passing campuses</x:v>
      </x:c>
      <x:c r="K6" s="6" t="str">
        <x:v>Board accepted UTC</x:v>
      </x:c>
      <x:c r="L6" s="6" t="str">
        <x:v>State</x:v>
      </x:c>
    </x:row>
    <x:row r="7">
      <x:c r="B7" s="28" t="str">
        <x:v>T1</x:v>
      </x:c>
      <x:c r="C7" s="28" t="str">
        <x:v>AM-05</x:v>
      </x:c>
      <x:c r="D7" s="28" t="str">
        <x:v>TR-A</x:v>
      </x:c>
      <x:c r="E7" s="28" t="n">
        <x:v>6</x:v>
      </x:c>
      <x:c r="F7" s="28" t="n">
        <x:f>COUNTIFS('Cell Credits'!$E$7:$E$30,C7,'Cell Credits'!$F$7:$F$30,D7,'Cell Credits'!$L$7:$L$30,"PASS")</x:f>
        <x:v>0</x:v>
      </x:c>
      <x:c r="G7" s="28" t="n">
        <x:v>6</x:v>
      </x:c>
      <x:c r="H7" s="28" t="n">
        <x:f>IF(F7=E7,6,0)</x:f>
        <x:v>0</x:v>
      </x:c>
      <x:c r="I7" s="28" t="n">
        <x:v>3</x:v>
      </x:c>
      <x:c r="J7" s="28" t="n">
        <x:f>IF(F7=E7,3,0)</x:f>
        <x:v>0</x:v>
      </x:c>
      <x:c r="K7" s="29" t="str"/>
      <x:c r="L7" s="28" t="str">
        <x:f>IF(K7="","OPEN",IF(AND(F7=E7,H7=G7,J7=I7),"PASS","FAIL"))</x:f>
        <x:v>OPEN</x:v>
      </x:c>
    </x:row>
    <x:row r="8">
      <x:c r="B8" s="28" t="str">
        <x:v>T2</x:v>
      </x:c>
      <x:c r="C8" s="28" t="str">
        <x:v>AM-05</x:v>
      </x:c>
      <x:c r="D8" s="28" t="str">
        <x:v>TR-B</x:v>
      </x:c>
      <x:c r="E8" s="28" t="n">
        <x:v>6</x:v>
      </x:c>
      <x:c r="F8" s="28" t="n">
        <x:f>COUNTIFS('Cell Credits'!$E$7:$E$30,C8,'Cell Credits'!$F$7:$F$30,D8,'Cell Credits'!$L$7:$L$30,"PASS")</x:f>
        <x:v>0</x:v>
      </x:c>
      <x:c r="G8" s="28" t="n">
        <x:v>6</x:v>
      </x:c>
      <x:c r="H8" s="28" t="n">
        <x:f>IF(F8=E8,6,0)</x:f>
        <x:v>0</x:v>
      </x:c>
      <x:c r="I8" s="28" t="n">
        <x:v>3</x:v>
      </x:c>
      <x:c r="J8" s="28" t="n">
        <x:f>IF(F8=E8,3,0)</x:f>
        <x:v>0</x:v>
      </x:c>
      <x:c r="K8" s="29" t="str"/>
      <x:c r="L8" s="28" t="str">
        <x:f>IF(K8="","OPEN",IF(AND(F8=E8,H8=G8,J8=I8),"PASS","FAIL"))</x:f>
        <x:v>OPEN</x:v>
      </x:c>
    </x:row>
    <x:row r="9">
      <x:c r="B9" s="28" t="str">
        <x:v>T3</x:v>
      </x:c>
      <x:c r="C9" s="28" t="str">
        <x:v>AM-06</x:v>
      </x:c>
      <x:c r="D9" s="28" t="str">
        <x:v>TR-A</x:v>
      </x:c>
      <x:c r="E9" s="28" t="n">
        <x:v>6</x:v>
      </x:c>
      <x:c r="F9" s="28" t="n">
        <x:f>COUNTIFS('Cell Credits'!$E$7:$E$30,C9,'Cell Credits'!$F$7:$F$30,D9,'Cell Credits'!$L$7:$L$30,"PASS")</x:f>
        <x:v>0</x:v>
      </x:c>
      <x:c r="G9" s="28" t="n">
        <x:v>6</x:v>
      </x:c>
      <x:c r="H9" s="28" t="n">
        <x:f>IF(F9=E9,6,0)</x:f>
        <x:v>0</x:v>
      </x:c>
      <x:c r="I9" s="28" t="n">
        <x:v>3</x:v>
      </x:c>
      <x:c r="J9" s="28" t="n">
        <x:f>IF(F9=E9,3,0)</x:f>
        <x:v>0</x:v>
      </x:c>
      <x:c r="K9" s="29" t="str"/>
      <x:c r="L9" s="28" t="str">
        <x:f>IF(K9="","OPEN",IF(AND(F9=E9,H9=G9,J9=I9),"PASS","FAIL"))</x:f>
        <x:v>OPEN</x:v>
      </x:c>
    </x:row>
    <x:row r="10">
      <x:c r="B10" s="28" t="str">
        <x:v>T4</x:v>
      </x:c>
      <x:c r="C10" s="28" t="str">
        <x:v>AM-06</x:v>
      </x:c>
      <x:c r="D10" s="28" t="str">
        <x:v>TR-B</x:v>
      </x:c>
      <x:c r="E10" s="28" t="n">
        <x:v>6</x:v>
      </x:c>
      <x:c r="F10" s="28" t="n">
        <x:f>COUNTIFS('Cell Credits'!$E$7:$E$30,C10,'Cell Credits'!$F$7:$F$30,D10,'Cell Credits'!$L$7:$L$30,"PASS")</x:f>
        <x:v>0</x:v>
      </x:c>
      <x:c r="G10" s="28" t="n">
        <x:v>6</x:v>
      </x:c>
      <x:c r="H10" s="28" t="n">
        <x:f>IF(F10=E10,6,0)</x:f>
        <x:v>0</x:v>
      </x:c>
      <x:c r="I10" s="28" t="n">
        <x:v>3</x:v>
      </x:c>
      <x:c r="J10" s="28" t="n">
        <x:f>IF(F10=E10,3,0)</x:f>
        <x:v>0</x:v>
      </x:c>
      <x:c r="K10" s="29" t="str"/>
      <x:c r="L10" s="28" t="str">
        <x:f>IF(K10="","OPEN",IF(AND(F10=E10,H10=G10,J10=I10),"PASS","FAIL"))</x:f>
        <x:v>OPEN</x:v>
      </x:c>
    </x:row>
  </x:sheetData>
  <x:conditionalFormatting sqref="L7:L10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INVALID"/>
    <x:cfRule type="containsText" dxfId="183" priority="4" operator="containsText" text="ADVERSE"/>
    <x:cfRule type="containsText" dxfId="184" priority="5" operator="containsText" text="EXPIRED"/>
    <x:cfRule type="containsText" dxfId="185" priority="6" operator="containsText" text="OPEN"/>
    <x:cfRule type="containsText" dxfId="186" priority="7" operator="containsText" text="DORMANT"/>
    <x:cfRule type="containsText" dxfId="187" priority="8" operator="containsText" text="PASS"/>
    <x:cfRule type="containsText" dxfId="188" priority="9" operator="containsText" text="AVAILABLE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1" hidden="0" customWidth="1"/>
    <x:col min="4" max="4" width="21" hidden="0" customWidth="1"/>
    <x:col min="5" max="5" width="22" hidden="0" customWidth="1"/>
    <x:col min="6" max="6" width="21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  <x:col min="11" max="11" width="23" hidden="0" customWidth="1"/>
    <x:col min="12" max="12" width="16" hidden="0" customWidth="1"/>
  </x:cols>
  <x:sheetData>
    <x:row r="2">
      <x:c r="B2" s="23" t="str">
        <x:v>Three complete-campus decisions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25" t="str">
        <x:v>Each campus must close eight cells, balanced methods and roots, and 192 required outside-origin replay decisions.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 ht="24" customHeight="1">
      <x:c r="B6" s="6" t="str">
        <x:v>Campus</x:v>
      </x:c>
      <x:c r="C6" s="6" t="str">
        <x:v>Required credits</x:v>
      </x:c>
      <x:c r="D6" s="6" t="str">
        <x:v>Passing credits</x:v>
      </x:c>
      <x:c r="E6" s="6" t="str">
        <x:v>Required AM-05</x:v>
      </x:c>
      <x:c r="F6" s="6" t="str">
        <x:v>Passing AM-05</x:v>
      </x:c>
      <x:c r="G6" s="6" t="str">
        <x:v>Required TR-A</x:v>
      </x:c>
      <x:c r="H6" s="6" t="str">
        <x:v>Passing TR-A</x:v>
      </x:c>
      <x:c r="I6" s="6" t="str">
        <x:v>Required replays</x:v>
      </x:c>
      <x:c r="J6" s="6" t="str">
        <x:v>Passing replays</x:v>
      </x:c>
      <x:c r="K6" s="6" t="str">
        <x:v>Board accepted UTC</x:v>
      </x:c>
      <x:c r="L6" s="6" t="str">
        <x:v>State</x:v>
      </x:c>
    </x:row>
    <x:row r="7">
      <x:c r="B7" s="28" t="str">
        <x:v>PTC-A</x:v>
      </x:c>
      <x:c r="C7" s="28" t="n">
        <x:v>8</x:v>
      </x:c>
      <x:c r="D7" s="28" t="n">
        <x:f>COUNTIFS('Cell Credits'!$D$7:$D$30,B7,'Cell Credits'!$L$7:$L$30,"PASS")</x:f>
        <x:v>0</x:v>
      </x:c>
      <x:c r="E7" s="28" t="n">
        <x:v>4</x:v>
      </x:c>
      <x:c r="F7" s="28" t="n">
        <x:f>COUNTIFS('Cell Credits'!$D$7:$D$30,B7,'Cell Credits'!$E$7:$E$30,"AM-05",'Cell Credits'!$L$7:$L$30,"PASS")</x:f>
        <x:v>0</x:v>
      </x:c>
      <x:c r="G7" s="28" t="n">
        <x:v>4</x:v>
      </x:c>
      <x:c r="H7" s="28" t="n">
        <x:f>COUNTIFS('Cell Credits'!$D$7:$D$30,B7,'Cell Credits'!$F$7:$F$30,"TR-A",'Cell Credits'!$L$7:$L$30,"PASS")</x:f>
        <x:v>0</x:v>
      </x:c>
      <x:c r="I7" s="28" t="n">
        <x:f>COUNTIFS('Attempt Register'!$E$7:$E$36,"RFP-A*",'Attempt Register'!$P$7:$P$36,"&gt;0")*'Controls'!$D$21*'Controls'!$D$22</x:f>
        <x:v>0</x:v>
      </x:c>
      <x:c r="J7" s="28" t="n">
        <x:f>COUNTIFS('Evidence Replay'!$D$7:$D$726,"RFP-A*",'Evidence Replay'!$M$7:$M$726,"PASS")</x:f>
        <x:v>0</x:v>
      </x:c>
      <x:c r="K7" s="29" t="str"/>
      <x:c r="L7" s="28" t="str">
        <x:f>IF(K7="","OPEN",IF(AND(D7=C7,F7=E7,H7=G7,J7=I7),"PASS","FAIL"))</x:f>
        <x:v>OPEN</x:v>
      </x:c>
    </x:row>
    <x:row r="8">
      <x:c r="B8" s="28" t="str">
        <x:v>PTC-B</x:v>
      </x:c>
      <x:c r="C8" s="28" t="n">
        <x:v>8</x:v>
      </x:c>
      <x:c r="D8" s="28" t="n">
        <x:f>COUNTIFS('Cell Credits'!$D$7:$D$30,B8,'Cell Credits'!$L$7:$L$30,"PASS")</x:f>
        <x:v>0</x:v>
      </x:c>
      <x:c r="E8" s="28" t="n">
        <x:v>4</x:v>
      </x:c>
      <x:c r="F8" s="28" t="n">
        <x:f>COUNTIFS('Cell Credits'!$D$7:$D$30,B8,'Cell Credits'!$E$7:$E$30,"AM-05",'Cell Credits'!$L$7:$L$30,"PASS")</x:f>
        <x:v>0</x:v>
      </x:c>
      <x:c r="G8" s="28" t="n">
        <x:v>4</x:v>
      </x:c>
      <x:c r="H8" s="28" t="n">
        <x:f>COUNTIFS('Cell Credits'!$D$7:$D$30,B8,'Cell Credits'!$F$7:$F$30,"TR-A",'Cell Credits'!$L$7:$L$30,"PASS")</x:f>
        <x:v>0</x:v>
      </x:c>
      <x:c r="I8" s="28" t="n">
        <x:f>COUNTIFS('Attempt Register'!$E$7:$E$36,"RFP-B*",'Attempt Register'!$P$7:$P$36,"&gt;0")*'Controls'!$D$21*'Controls'!$D$22</x:f>
        <x:v>0</x:v>
      </x:c>
      <x:c r="J8" s="28" t="n">
        <x:f>COUNTIFS('Evidence Replay'!$D$7:$D$726,"RFP-B*",'Evidence Replay'!$M$7:$M$726,"PASS")</x:f>
        <x:v>0</x:v>
      </x:c>
      <x:c r="K8" s="29" t="str"/>
      <x:c r="L8" s="28" t="str">
        <x:f>IF(K8="","OPEN",IF(AND(D8=C8,F8=E8,H8=G8,J8=I8),"PASS","FAIL"))</x:f>
        <x:v>OPEN</x:v>
      </x:c>
    </x:row>
    <x:row r="9">
      <x:c r="B9" s="28" t="str">
        <x:v>PTC-C</x:v>
      </x:c>
      <x:c r="C9" s="28" t="n">
        <x:v>8</x:v>
      </x:c>
      <x:c r="D9" s="28" t="n">
        <x:f>COUNTIFS('Cell Credits'!$D$7:$D$30,B9,'Cell Credits'!$L$7:$L$30,"PASS")</x:f>
        <x:v>0</x:v>
      </x:c>
      <x:c r="E9" s="28" t="n">
        <x:v>4</x:v>
      </x:c>
      <x:c r="F9" s="28" t="n">
        <x:f>COUNTIFS('Cell Credits'!$D$7:$D$30,B9,'Cell Credits'!$E$7:$E$30,"AM-05",'Cell Credits'!$L$7:$L$30,"PASS")</x:f>
        <x:v>0</x:v>
      </x:c>
      <x:c r="G9" s="28" t="n">
        <x:v>4</x:v>
      </x:c>
      <x:c r="H9" s="28" t="n">
        <x:f>COUNTIFS('Cell Credits'!$D$7:$D$30,B9,'Cell Credits'!$F$7:$F$30,"TR-A",'Cell Credits'!$L$7:$L$30,"PASS")</x:f>
        <x:v>0</x:v>
      </x:c>
      <x:c r="I9" s="28" t="n">
        <x:f>COUNTIFS('Attempt Register'!$E$7:$E$36,"RFP-C*",'Attempt Register'!$P$7:$P$36,"&gt;0")*'Controls'!$D$21*'Controls'!$D$22</x:f>
        <x:v>0</x:v>
      </x:c>
      <x:c r="J9" s="28" t="n">
        <x:f>COUNTIFS('Evidence Replay'!$D$7:$D$726,"RFP-C*",'Evidence Replay'!$M$7:$M$726,"PASS")</x:f>
        <x:v>0</x:v>
      </x:c>
      <x:c r="K9" s="29" t="str"/>
      <x:c r="L9" s="28" t="str">
        <x:f>IF(K9="","OPEN",IF(AND(D9=C9,F9=E9,H9=G9,J9=I9),"PASS","FAIL"))</x:f>
        <x:v>OPEN</x:v>
      </x:c>
    </x:row>
  </x:sheetData>
  <x:conditionalFormatting sqref="L7:L9">
    <x:cfRule type="containsText" dxfId="189" priority="1" operator="containsText" text="FAIL"/>
    <x:cfRule type="containsText" dxfId="190" priority="2" operator="containsText" text="BLOCKED"/>
    <x:cfRule type="containsText" dxfId="191" priority="3" operator="containsText" text="INVALID"/>
    <x:cfRule type="containsText" dxfId="192" priority="4" operator="containsText" text="ADVERSE"/>
    <x:cfRule type="containsText" dxfId="193" priority="5" operator="containsText" text="EXPIRED"/>
    <x:cfRule type="containsText" dxfId="194" priority="6" operator="containsText" text="OPEN"/>
    <x:cfRule type="containsText" dxfId="195" priority="7" operator="containsText" text="DORMANT"/>
    <x:cfRule type="containsText" dxfId="196" priority="8" operator="containsText" text="PASS"/>
    <x:cfRule type="containsText" dxfId="197" priority="9" operator="containsText" text="AVAILABLE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</x:cols>
  <x:sheetData>
    <x:row r="2">
      <x:c r="B2" s="23" t="str">
        <x:v>Sixteen class completion metrics</x:v>
      </x:c>
      <x:c r="C2" s="24"/>
      <x:c r="D2" s="24"/>
      <x:c r="E2" s="24"/>
      <x:c r="F2" s="24"/>
    </x:row>
    <x:row r="3">
      <x:c r="B3" s="25" t="str">
        <x:v>Expected values are exact. No percentage average can replace a missing cell, transition, contrast or return decision.</x:v>
      </x:c>
      <x:c r="C3" s="24"/>
      <x:c r="D3" s="24"/>
      <x:c r="E3" s="24"/>
      <x:c r="F3" s="24"/>
    </x:row>
    <x:row r="4">
      <x:c r="B4" s="24"/>
      <x:c r="C4" s="24"/>
      <x:c r="D4" s="24"/>
      <x:c r="E4" s="24"/>
      <x:c r="F4" s="24"/>
    </x:row>
    <x:row r="5">
      <x:c r="B5" s="24"/>
      <x:c r="C5" s="24"/>
      <x:c r="D5" s="24"/>
      <x:c r="E5" s="24"/>
      <x:c r="F5" s="24"/>
    </x:row>
    <x:row r="6" ht="24" customHeight="1">
      <x:c r="B6" s="6" t="str">
        <x:v>Metric</x:v>
      </x:c>
      <x:c r="C6" s="6" t="str">
        <x:v>Measure</x:v>
      </x:c>
      <x:c r="D6" s="6" t="str">
        <x:v>Expected</x:v>
      </x:c>
      <x:c r="E6" s="6" t="str">
        <x:v>Actual</x:v>
      </x:c>
      <x:c r="F6" s="6" t="str">
        <x:v>State</x:v>
      </x:c>
    </x:row>
    <x:row r="7">
      <x:c r="B7" s="28" t="str">
        <x:v>CM-01</x:v>
      </x:c>
      <x:c r="C7" s="28" t="str">
        <x:v>scheduled cells</x:v>
      </x:c>
      <x:c r="D7" s="28" t="n">
        <x:v>24</x:v>
      </x:c>
      <x:c r="E7" s="28" t="n">
        <x:f>COUNTIFS('Wave Schedule'!$L$7:$L$30,"PASS")</x:f>
        <x:v>0</x:v>
      </x:c>
      <x:c r="F7" s="28" t="str">
        <x:f>IF(E7=D7,"PASS","FAIL")</x:f>
        <x:v>FAIL</x:v>
      </x:c>
    </x:row>
    <x:row r="8">
      <x:c r="B8" s="28" t="str">
        <x:v>CM-02</x:v>
      </x:c>
      <x:c r="C8" s="28" t="str">
        <x:v>passing cell credits</x:v>
      </x:c>
      <x:c r="D8" s="28" t="n">
        <x:v>24</x:v>
      </x:c>
      <x:c r="E8" s="28" t="n">
        <x:f>COUNTIFS('Cell Credits'!$L$7:$L$30,"PASS")</x:f>
        <x:v>0</x:v>
      </x:c>
      <x:c r="F8" s="28" t="str">
        <x:f>IF(E8=D8,"PASS","FAIL")</x:f>
        <x:v>FAIL</x:v>
      </x:c>
    </x:row>
    <x:row r="9">
      <x:c r="B9" s="28" t="str">
        <x:v>CM-03</x:v>
      </x:c>
      <x:c r="C9" s="28" t="str">
        <x:v>passing rig decisions</x:v>
      </x:c>
      <x:c r="D9" s="28" t="n">
        <x:v>6</x:v>
      </x:c>
      <x:c r="E9" s="28" t="n">
        <x:f>COUNTIFS('Rig Decisions'!$L$7:$L$12,"PASS")</x:f>
        <x:v>0</x:v>
      </x:c>
      <x:c r="F9" s="28" t="str">
        <x:f>IF(E9=D9,"PASS","FAIL")</x:f>
        <x:v>FAIL</x:v>
      </x:c>
    </x:row>
    <x:row r="10">
      <x:c r="B10" s="28" t="str">
        <x:v>CM-04</x:v>
      </x:c>
      <x:c r="C10" s="28" t="str">
        <x:v>passing treatment decisions</x:v>
      </x:c>
      <x:c r="D10" s="28" t="n">
        <x:v>4</x:v>
      </x:c>
      <x:c r="E10" s="28" t="n">
        <x:f>COUNTIFS('Treatment Decisions'!$L$7:$L$10,"PASS")</x:f>
        <x:v>0</x:v>
      </x:c>
      <x:c r="F10" s="28" t="str">
        <x:f>IF(E10=D10,"PASS","FAIL")</x:f>
        <x:v>FAIL</x:v>
      </x:c>
    </x:row>
    <x:row r="11">
      <x:c r="B11" s="28" t="str">
        <x:v>CM-05</x:v>
      </x:c>
      <x:c r="C11" s="28" t="str">
        <x:v>passing campus decisions</x:v>
      </x:c>
      <x:c r="D11" s="28" t="n">
        <x:v>3</x:v>
      </x:c>
      <x:c r="E11" s="28" t="n">
        <x:f>COUNTIFS('Campus Decisions'!$L$7:$L$9,"PASS")</x:f>
        <x:v>0</x:v>
      </x:c>
      <x:c r="F11" s="28" t="str">
        <x:f>IF(E11=D11,"PASS","FAIL")</x:f>
        <x:v>FAIL</x:v>
      </x:c>
    </x:row>
    <x:row r="12">
      <x:c r="B12" s="28" t="str">
        <x:v>CM-06</x:v>
      </x:c>
      <x:c r="C12" s="28" t="str">
        <x:v>passing root contrasts</x:v>
      </x:c>
      <x:c r="D12" s="28" t="n">
        <x:v>12</x:v>
      </x:c>
      <x:c r="E12" s="28" t="n">
        <x:f>COUNTIFS('Root Contrasts'!$M$7:$M$18,"PASS")</x:f>
        <x:v>0</x:v>
      </x:c>
      <x:c r="F12" s="28" t="str">
        <x:f>IF(E12=D12,"PASS","FAIL")</x:f>
        <x:v>FAIL</x:v>
      </x:c>
    </x:row>
    <x:row r="13">
      <x:c r="B13" s="28" t="str">
        <x:v>CM-07</x:v>
      </x:c>
      <x:c r="C13" s="28" t="str">
        <x:v>passing method contrasts</x:v>
      </x:c>
      <x:c r="D13" s="28" t="n">
        <x:v>12</x:v>
      </x:c>
      <x:c r="E13" s="28" t="n">
        <x:f>COUNTIFS('Method Contrasts'!$M$7:$M$18,"PASS")</x:f>
        <x:v>0</x:v>
      </x:c>
      <x:c r="F13" s="28" t="str">
        <x:f>IF(E13=D13,"PASS","FAIL")</x:f>
        <x:v>FAIL</x:v>
      </x:c>
    </x:row>
    <x:row r="14">
      <x:c r="B14" s="28" t="str">
        <x:v>CM-08</x:v>
      </x:c>
      <x:c r="C14" s="28" t="str">
        <x:v>passing transition audits</x:v>
      </x:c>
      <x:c r="D14" s="28" t="n">
        <x:v>18</x:v>
      </x:c>
      <x:c r="E14" s="28" t="n">
        <x:f>COUNTIFS('Transition Audits'!$Q$7:$Q$24,"PASS")</x:f>
        <x:v>0</x:v>
      </x:c>
      <x:c r="F14" s="28" t="str">
        <x:f>IF(E14=D14,"PASS","FAIL")</x:f>
        <x:v>FAIL</x:v>
      </x:c>
    </x:row>
    <x:row r="15">
      <x:c r="B15" s="28" t="str">
        <x:v>CM-09</x:v>
      </x:c>
      <x:c r="C15" s="28" t="str">
        <x:v>passing pair cycles</x:v>
      </x:c>
      <x:c r="D15" s="28" t="n">
        <x:v>24</x:v>
      </x:c>
      <x:c r="E15" s="28" t="n">
        <x:f>COUNTIFS('Pair Cycles'!$M$7:$M$30,"PASS")</x:f>
        <x:v>0</x:v>
      </x:c>
      <x:c r="F15" s="28" t="str">
        <x:f>IF(E15=D15,"PASS","FAIL")</x:f>
        <x:v>FAIL</x:v>
      </x:c>
    </x:row>
    <x:row r="16">
      <x:c r="B16" s="28" t="str">
        <x:v>CM-10</x:v>
      </x:c>
      <x:c r="C16" s="28" t="str">
        <x:v>passing crew rotations</x:v>
      </x:c>
      <x:c r="D16" s="28" t="n">
        <x:v>24</x:v>
      </x:c>
      <x:c r="E16" s="28" t="n">
        <x:f>COUNTIFS('Crew Rotations'!$L$7:$L$30,"PASS")</x:f>
        <x:v>0</x:v>
      </x:c>
      <x:c r="F16" s="28" t="str">
        <x:f>IF(E16=D16,"PASS","FAIL")</x:f>
        <x:v>FAIL</x:v>
      </x:c>
    </x:row>
    <x:row r="17">
      <x:c r="B17" s="28" t="str">
        <x:v>CM-11</x:v>
      </x:c>
      <x:c r="C17" s="28" t="str">
        <x:v>passing root deployments</x:v>
      </x:c>
      <x:c r="D17" s="28" t="n">
        <x:v>24</x:v>
      </x:c>
      <x:c r="E17" s="28" t="n">
        <x:f>COUNTIFS('Root Deployments'!$K$7:$K$30,"PASS")</x:f>
        <x:v>0</x:v>
      </x:c>
      <x:c r="F17" s="28" t="str">
        <x:f>IF(E17=D17,"PASS","FAIL")</x:f>
        <x:v>FAIL</x:v>
      </x:c>
    </x:row>
    <x:row r="18">
      <x:c r="B18" s="28" t="str">
        <x:v>CM-12</x:v>
      </x:c>
      <x:c r="C18" s="28" t="str">
        <x:v>accepted credit attempts</x:v>
      </x:c>
      <x:c r="D18" s="28" t="n">
        <x:v>24</x:v>
      </x:c>
      <x:c r="E18" s="28" t="n">
        <x:f>COUNTIFS('Attempt Register'!$Q$7:$Q$36,"PASS")</x:f>
        <x:v>0</x:v>
      </x:c>
      <x:c r="F18" s="28" t="str">
        <x:f>IF(E18=D18,"PASS","FAIL")</x:f>
        <x:v>FAIL</x:v>
      </x:c>
    </x:row>
    <x:row r="19">
      <x:c r="B19" s="28" t="str">
        <x:v>CM-13</x:v>
      </x:c>
      <x:c r="C19" s="28" t="str">
        <x:v>adverse valid attempts</x:v>
      </x:c>
      <x:c r="D19" s="28" t="n">
        <x:v>0</x:v>
      </x:c>
      <x:c r="E19" s="28" t="n">
        <x:f>COUNTIFS('Attempt Register'!$Q$7:$Q$36,"ADVERSE")</x:f>
        <x:v>0</x:v>
      </x:c>
      <x:c r="F19" s="28" t="str">
        <x:f>IF(E19=D19,"PASS","FAIL")</x:f>
        <x:v>PASS</x:v>
      </x:c>
    </x:row>
    <x:row r="20">
      <x:c r="B20" s="28" t="str">
        <x:v>CM-14</x:v>
      </x:c>
      <x:c r="C20" s="28" t="str">
        <x:v>duplicate credits</x:v>
      </x:c>
      <x:c r="D20" s="28" t="n">
        <x:v>0</x:v>
      </x:c>
      <x:c r="E20" s="28" t="n">
        <x:f>COUNTIFS('Cell Credits'!$G$7:$G$30,"&gt;1")</x:f>
        <x:v>0</x:v>
      </x:c>
      <x:c r="F20" s="28" t="str">
        <x:f>IF(E20=D20,"PASS","FAIL")</x:f>
        <x:v>PASS</x:v>
      </x:c>
    </x:row>
    <x:row r="21">
      <x:c r="B21" s="28" t="str">
        <x:v>CM-15</x:v>
      </x:c>
      <x:c r="C21" s="28" t="str">
        <x:v>unresolved exceptions</x:v>
      </x:c>
      <x:c r="D21" s="28" t="n">
        <x:v>0</x:v>
      </x:c>
      <x:c r="E21" s="28" t="n">
        <x:f>COUNTIFS(Exceptions!$K$7:$K$22,"OPEN")+COUNTIFS(Exceptions!$K$7:$K$22,"FAIL")</x:f>
        <x:v>0</x:v>
      </x:c>
      <x:c r="F21" s="28" t="str">
        <x:f>IF(E21=D21,"PASS","FAIL")</x:f>
        <x:v>PASS</x:v>
      </x:c>
    </x:row>
    <x:row r="22">
      <x:c r="B22" s="28" t="str">
        <x:v>CM-16</x:v>
      </x:c>
      <x:c r="C22" s="28" t="str">
        <x:v>quarantined pairs</x:v>
      </x:c>
      <x:c r="D22" s="28" t="n">
        <x:v>0</x:v>
      </x:c>
      <x:c r="E22" s="28" t="n">
        <x:f>COUNTIFS(Quarantine!$J$7:$J$18,"QUARANTINED")</x:f>
        <x:v>0</x:v>
      </x:c>
      <x:c r="F22" s="28" t="str">
        <x:f>IF(E22=D22,"PASS","FAIL")</x:f>
        <x:v>PASS</x:v>
      </x:c>
    </x:row>
  </x:sheetData>
  <x:conditionalFormatting sqref="F7:F22">
    <x:cfRule type="containsText" dxfId="198" priority="1" operator="containsText" text="FAIL"/>
    <x:cfRule type="containsText" dxfId="199" priority="2" operator="containsText" text="BLOCKED"/>
    <x:cfRule type="containsText" dxfId="200" priority="3" operator="containsText" text="INVALID"/>
    <x:cfRule type="containsText" dxfId="201" priority="4" operator="containsText" text="ADVERSE"/>
    <x:cfRule type="containsText" dxfId="202" priority="5" operator="containsText" text="EXPIRED"/>
    <x:cfRule type="containsText" dxfId="203" priority="6" operator="containsText" text="OPEN"/>
    <x:cfRule type="containsText" dxfId="204" priority="7" operator="containsText" text="DORMANT"/>
    <x:cfRule type="containsText" dxfId="205" priority="8" operator="containsText" text="PASS"/>
    <x:cfRule type="containsText" dxfId="206" priority="9" operator="containsText" text="AVAILABLE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4" hidden="0" customWidth="1"/>
    <x:col min="4" max="4" width="20" hidden="0" customWidth="1"/>
  </x:cols>
  <x:sheetData>
    <x:row r="2">
      <x:c r="B2" s="23" t="str">
        <x:v>Validity denominator and planning probability</x:v>
      </x:c>
      <x:c r="C2" s="24"/>
      <x:c r="D2" s="24"/>
      <x:c r="E2" s="24"/>
      <x:c r="F2" s="24"/>
      <x:c r="G2" s="24"/>
      <x:c r="H2" s="24"/>
    </x:row>
    <x:row r="3">
      <x:c r="B3" s="25" t="str">
        <x:v>Final credits are conditional on validity. Invalid attempts remain in the actual denominator; twenty-four final credits do not by themselves establish production reliability.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Metric</x:v>
      </x:c>
      <x:c r="C6" s="6" t="str">
        <x:v>Value</x:v>
      </x:c>
      <x:c r="D6" s="6" t="str">
        <x:v>Unit</x:v>
      </x:c>
      <x:c r="E6" s="24"/>
      <x:c r="F6" s="24"/>
      <x:c r="G6" s="24"/>
      <x:c r="H6" s="24"/>
    </x:row>
    <x:row r="7">
      <x:c r="B7" s="28" t="str">
        <x:v>Actual accepted attempts</x:v>
      </x:c>
      <x:c r="C7" s="28" t="n">
        <x:f>COUNT('Attempt Register'!P7:P36)</x:f>
        <x:v>0</x:v>
      </x:c>
      <x:c r="D7" s="28" t="str">
        <x:v>attempts</x:v>
      </x:c>
      <x:c r="E7" s="24"/>
      <x:c r="F7" s="24"/>
      <x:c r="G7" s="24"/>
      <x:c r="H7" s="24"/>
    </x:row>
    <x:row r="8">
      <x:c r="B8" s="28" t="str">
        <x:v>Valid attempts</x:v>
      </x:c>
      <x:c r="C8" s="28" t="n">
        <x:f>COUNTIFS('Attempt Register'!K7:K36,"VALID",'Attempt Register'!P7:P36,"&gt;0")</x:f>
        <x:v>0</x:v>
      </x:c>
      <x:c r="D8" s="28" t="str">
        <x:v>attempts</x:v>
      </x:c>
      <x:c r="E8" s="24"/>
      <x:c r="F8" s="24"/>
      <x:c r="G8" s="24"/>
      <x:c r="H8" s="24"/>
    </x:row>
    <x:row r="9">
      <x:c r="B9" s="28" t="str">
        <x:v>Invalid attempts</x:v>
      </x:c>
      <x:c r="C9" s="28" t="n">
        <x:f>COUNTIFS('Attempt Register'!K7:K36,"INVALID",'Attempt Register'!P7:P36,"&gt;0")</x:f>
        <x:v>0</x:v>
      </x:c>
      <x:c r="D9" s="28" t="str">
        <x:v>attempts</x:v>
      </x:c>
      <x:c r="E9" s="24"/>
      <x:c r="F9" s="24"/>
      <x:c r="G9" s="24"/>
      <x:c r="H9" s="24"/>
    </x:row>
    <x:row r="10">
      <x:c r="B10" s="28" t="str">
        <x:v>Validity rate</x:v>
      </x:c>
      <x:c r="C10" s="35" t="str">
        <x:f>IF(C7=0,"",C8/C7)</x:f>
      </x:c>
      <x:c r="D10" s="28" t="str">
        <x:v>fraction</x:v>
      </x:c>
      <x:c r="E10" s="24"/>
      <x:c r="F10" s="24"/>
      <x:c r="G10" s="24"/>
      <x:c r="H10" s="24"/>
    </x:row>
    <x:row r="11">
      <x:c r="B11" s="28" t="str">
        <x:v>One-sided 95% Wilson lower bound</x:v>
      </x:c>
      <x:c r="C11" s="35" t="str">
        <x:f>IF(C7=0,"",(C10+1.644854^2/(2*C7)-1.644854*SQRT((C10*(1-C10)+1.644854^2/(4*C7))/C7))/(1+1.644854^2/C7))</x:f>
      </x:c>
      <x:c r="D11" s="28" t="str">
        <x:v>fraction</x:v>
      </x:c>
      <x:c r="E11" s="24"/>
      <x:c r="F11" s="24"/>
      <x:c r="G11" s="24"/>
      <x:c r="H11" s="24"/>
    </x:row>
    <x:row r="12">
      <x:c r="B12" s="28" t="str">
        <x:v>All-credit exact lower bound if no invalid attempts</x:v>
      </x:c>
      <x:c r="C12" s="35" t="n">
        <x:f>'Controls'!$D$48</x:f>
        <x:v>0.8826538438450513</x:v>
      </x:c>
      <x:c r="D12" s="28" t="str">
        <x:v>fraction</x:v>
      </x:c>
      <x:c r="E12" s="24"/>
      <x:c r="F12" s="24"/>
      <x:c r="G12" s="24"/>
      <x:c r="H12" s="24"/>
    </x:row>
    <x:row r="13">
      <x:c r="B13" s="28" t="str">
        <x:v>Nominal validity assumption</x:v>
      </x:c>
      <x:c r="C13" s="35" t="n">
        <x:f>'Controls'!$D$46</x:f>
        <x:v>0.88</x:v>
      </x:c>
      <x:c r="D13" s="28" t="str">
        <x:v>fraction</x:v>
      </x:c>
      <x:c r="E13" s="24"/>
      <x:c r="F13" s="24"/>
      <x:c r="G13" s="24"/>
      <x:c r="H13" s="24"/>
    </x:row>
    <x:row r="14">
      <x:c r="B14" s="28" t="str">
        <x:v>Attempt capacity</x:v>
      </x:c>
      <x:c r="C14" s="28" t="n">
        <x:f>'Controls'!$D$18</x:f>
        <x:v>30</x:v>
      </x:c>
      <x:c r="D14" s="28" t="str">
        <x:v>attempts</x:v>
      </x:c>
      <x:c r="E14" s="24"/>
      <x:c r="F14" s="24"/>
      <x:c r="G14" s="24"/>
      <x:c r="H14" s="24"/>
    </x:row>
    <x:row r="15">
      <x:c r="B15" s="28" t="str">
        <x:v>Probability of at least 24 valid attempts</x:v>
      </x:c>
      <x:c r="C15" s="35" t="n">
        <x:f>SUM(H18:H24)</x:f>
        <x:v>0.9393926330682421</x:v>
      </x:c>
      <x:c r="D15" s="28" t="str">
        <x:v>fraction</x:v>
      </x:c>
      <x:c r="E15" s="24"/>
      <x:c r="F15" s="24"/>
      <x:c r="G15" s="24"/>
      <x:c r="H15" s="24"/>
    </x:row>
    <x:row r="16">
      <x:c r="B16" s="24"/>
      <x:c r="C16" s="24"/>
      <x:c r="D16" s="24"/>
      <x:c r="E16" s="24"/>
      <x:c r="F16" s="24"/>
      <x:c r="G16" s="24"/>
      <x:c r="H16" s="24"/>
    </x:row>
    <x:row r="17" ht="24" customHeight="1">
      <x:c r="B17" s="6" t="str">
        <x:v>Valid successes</x:v>
      </x:c>
      <x:c r="C17" s="6" t="str">
        <x:v>Probability at 30 attempts</x:v>
      </x:c>
      <x:c r="D17" s="6" t="str"/>
      <x:c r="E17" s="6" t="str"/>
      <x:c r="F17" s="6" t="str"/>
      <x:c r="G17" s="6" t="str"/>
      <x:c r="H17" s="6" t="str">
        <x:v>Included probability</x:v>
      </x:c>
    </x:row>
    <x:row r="18">
      <x:c r="B18" s="24" t="n">
        <x:v>24</x:v>
      </x:c>
      <x:c r="C18" s="36" t="n">
        <x:f>COMBIN('Controls'!$D$18,B18)*POWER('Controls'!$D$46,B18)*POWER(1-'Controls'!$D$46,'Controls'!$D$18-B18)</x:f>
        <x:v>0.08246952937860434</x:v>
      </x:c>
      <x:c r="D18" s="24"/>
      <x:c r="E18" s="24"/>
      <x:c r="F18" s="24"/>
      <x:c r="G18" s="24"/>
      <x:c r="H18" s="36" t="n">
        <x:f>C18</x:f>
        <x:v>0.08246952937860434</x:v>
      </x:c>
    </x:row>
    <x:row r="19">
      <x:c r="B19" s="24" t="n">
        <x:v>25</x:v>
      </x:c>
      <x:c r="C19" s="36" t="n">
        <x:f>COMBIN('Controls'!$D$18,B19)*POWER('Controls'!$D$46,B19)*POWER(1-'Controls'!$D$46,'Controls'!$D$18-B19)</x:f>
        <x:v>0.14514637170634365</x:v>
      </x:c>
      <x:c r="D19" s="24"/>
      <x:c r="E19" s="24"/>
      <x:c r="F19" s="24"/>
      <x:c r="G19" s="24"/>
      <x:c r="H19" s="36" t="n">
        <x:f>C19</x:f>
        <x:v>0.14514637170634365</x:v>
      </x:c>
    </x:row>
    <x:row r="20">
      <x:c r="B20" s="24" t="n">
        <x:v>26</x:v>
      </x:c>
      <x:c r="C20" s="36" t="n">
        <x:f>COMBIN('Controls'!$D$18,B20)*POWER('Controls'!$D$46,B20)*POWER(1-'Controls'!$D$46,'Controls'!$D$18-B20)</x:f>
        <x:v>0.20469360112433083</x:v>
      </x:c>
      <x:c r="D20" s="24"/>
      <x:c r="E20" s="24"/>
      <x:c r="F20" s="24"/>
      <x:c r="G20" s="24"/>
      <x:c r="H20" s="36" t="n">
        <x:f>C20</x:f>
        <x:v>0.20469360112433083</x:v>
      </x:c>
    </x:row>
    <x:row r="21">
      <x:c r="B21" s="24" t="n">
        <x:v>27</x:v>
      </x:c>
      <x:c r="C21" s="36" t="n">
        <x:f>COMBIN('Controls'!$D$18,B21)*POWER('Controls'!$D$46,B21)*POWER(1-'Controls'!$D$46,'Controls'!$D$18-B21)</x:f>
        <x:v>0.22238317159186555</x:v>
      </x:c>
      <x:c r="D21" s="24"/>
      <x:c r="E21" s="24"/>
      <x:c r="F21" s="24"/>
      <x:c r="G21" s="24"/>
      <x:c r="H21" s="36" t="n">
        <x:f>C21</x:f>
        <x:v>0.22238317159186555</x:v>
      </x:c>
    </x:row>
    <x:row r="22">
      <x:c r="B22" s="24" t="n">
        <x:v>28</x:v>
      </x:c>
      <x:c r="C22" s="36" t="n">
        <x:f>COMBIN('Controls'!$D$18,B22)*POWER('Controls'!$D$46,B22)*POWER(1-'Controls'!$D$46,'Controls'!$D$18-B22)</x:f>
        <x:v>0.17472963482218012</x:v>
      </x:c>
      <x:c r="D22" s="24"/>
      <x:c r="E22" s="24"/>
      <x:c r="F22" s="24"/>
      <x:c r="G22" s="24"/>
      <x:c r="H22" s="36" t="n">
        <x:f>C22</x:f>
        <x:v>0.17472963482218012</x:v>
      </x:c>
    </x:row>
    <x:row r="23">
      <x:c r="B23" s="24" t="n">
        <x:v>29</x:v>
      </x:c>
      <x:c r="C23" s="36" t="n">
        <x:f>COMBIN('Controls'!$D$18,B23)*POWER('Controls'!$D$46,B23)*POWER(1-'Controls'!$D$46,'Controls'!$D$18-B23)</x:f>
        <x:v>0.08836901071466582</x:v>
      </x:c>
      <x:c r="D23" s="24"/>
      <x:c r="E23" s="24"/>
      <x:c r="F23" s="24"/>
      <x:c r="G23" s="24"/>
      <x:c r="H23" s="36" t="n">
        <x:f>C23</x:f>
        <x:v>0.08836901071466582</x:v>
      </x:c>
    </x:row>
    <x:row r="24">
      <x:c r="B24" s="24" t="n">
        <x:v>30</x:v>
      </x:c>
      <x:c r="C24" s="36" t="n">
        <x:f>COMBIN('Controls'!$D$18,B24)*POWER('Controls'!$D$46,B24)*POWER(1-'Controls'!$D$46,'Controls'!$D$18-B24)</x:f>
        <x:v>0.021601313730251648</x:v>
      </x:c>
      <x:c r="D24" s="24"/>
      <x:c r="E24" s="24"/>
      <x:c r="F24" s="24"/>
      <x:c r="G24" s="24"/>
      <x:c r="H24" s="36" t="n">
        <x:f>C24</x:f>
        <x:v>0.021601313730251648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4" hidden="0" customWidth="1"/>
    <x:col min="4" max="4" width="96" hidden="0" customWidth="1"/>
  </x:cols>
  <x:sheetData>
    <x:row r="2">
      <x:c r="B2" s="23" t="str">
        <x:v>Twelve immutable replacement rules</x:v>
      </x:c>
      <x:c r="C2" s="24"/>
      <x:c r="D2" s="24"/>
    </x:row>
    <x:row r="3">
      <x:c r="B3" s="25" t="str">
        <x:v>Replacement preserves the registered experiment. It does not improve the result by deleting an unfavorable valid event.</x:v>
      </x:c>
      <x:c r="C3" s="24"/>
      <x:c r="D3" s="24"/>
    </x:row>
    <x:row r="4">
      <x:c r="B4" s="24"/>
      <x:c r="C4" s="24"/>
      <x:c r="D4" s="24"/>
    </x:row>
    <x:row r="5">
      <x:c r="B5" s="24"/>
      <x:c r="C5" s="24"/>
      <x:c r="D5" s="24"/>
    </x:row>
    <x:row r="6" ht="24" customHeight="1">
      <x:c r="B6" s="6" t="str">
        <x:v>Rule</x:v>
      </x:c>
      <x:c r="C6" s="6" t="str">
        <x:v>Subject</x:v>
      </x:c>
      <x:c r="D6" s="6" t="str">
        <x:v>Requirement</x:v>
      </x:c>
    </x:row>
    <x:row r="7" ht="38" customHeight="1">
      <x:c r="B7" s="28" t="str">
        <x:v>RR-01</x:v>
      </x:c>
      <x:c r="C7" s="28" t="str">
        <x:v>token limit</x:v>
      </x:c>
      <x:c r="D7" s="33" t="str">
        <x:v>six reserve tokens exist and begin dormant</x:v>
      </x:c>
    </x:row>
    <x:row r="8" ht="38" customHeight="1">
      <x:c r="B8" s="28" t="str">
        <x:v>RR-02</x:v>
      </x:c>
      <x:c r="C8" s="28" t="str">
        <x:v>eligible trigger</x:v>
      </x:c>
      <x:c r="D8" s="33" t="str">
        <x:v>only an independently INVALID attempt may trigger replacement</x:v>
      </x:c>
    </x:row>
    <x:row r="9" ht="38" customHeight="1">
      <x:c r="B9" s="28" t="str">
        <x:v>RR-03</x:v>
      </x:c>
      <x:c r="C9" s="28" t="str">
        <x:v>adverse protection</x:v>
      </x:c>
      <x:c r="D9" s="33" t="str">
        <x:v>a valid ADVERSE event remains the cell result and cannot be replaced</x:v>
      </x:c>
    </x:row>
    <x:row r="10" ht="38" customHeight="1">
      <x:c r="B10" s="28" t="str">
        <x:v>RR-04</x:v>
      </x:c>
      <x:c r="C10" s="28" t="str">
        <x:v>same cell</x:v>
      </x:c>
      <x:c r="D10" s="33" t="str">
        <x:v>replacement retains rig, method and credit root</x:v>
      </x:c>
    </x:row>
    <x:row r="11" ht="38" customHeight="1">
      <x:c r="B11" s="28" t="str">
        <x:v>RR-05</x:v>
      </x:c>
      <x:c r="C11" s="28" t="str">
        <x:v>new issue</x:v>
      </x:c>
      <x:c r="D11" s="33" t="str">
        <x:v>replacement receives a new event issue and packet root</x:v>
      </x:c>
    </x:row>
    <x:row r="12" ht="38" customHeight="1">
      <x:c r="B12" s="28" t="str">
        <x:v>RR-06</x:v>
      </x:c>
      <x:c r="C12" s="28" t="str">
        <x:v>new baseline</x:v>
      </x:c>
      <x:c r="D12" s="33" t="str">
        <x:v>article-rig pair must reenter before replacement issue</x:v>
      </x:c>
    </x:row>
    <x:row r="13" ht="38" customHeight="1">
      <x:c r="B13" s="28" t="str">
        <x:v>RR-07</x:v>
      </x:c>
      <x:c r="C13" s="28" t="str">
        <x:v>denominator</x:v>
      </x:c>
      <x:c r="D13" s="33" t="str">
        <x:v>invalid original remains in the actual attempt count</x:v>
      </x:c>
    </x:row>
    <x:row r="14" ht="38" customHeight="1">
      <x:c r="B14" s="28" t="str">
        <x:v>RR-08</x:v>
      </x:c>
      <x:c r="C14" s="28" t="str">
        <x:v>evidence</x:v>
      </x:c>
      <x:c r="D14" s="33" t="str">
        <x:v>invalid original remains replayable at two outside campuses</x:v>
      </x:c>
    </x:row>
    <x:row r="15" ht="38" customHeight="1">
      <x:c r="B15" s="28" t="str">
        <x:v>RR-09</x:v>
      </x:c>
      <x:c r="C15" s="28" t="str">
        <x:v>single target</x:v>
      </x:c>
      <x:c r="D15" s="33" t="str">
        <x:v>one token may target one cell only</x:v>
      </x:c>
    </x:row>
    <x:row r="16" ht="38" customHeight="1">
      <x:c r="B16" s="28" t="str">
        <x:v>RR-10</x:v>
      </x:c>
      <x:c r="C16" s="28" t="str">
        <x:v>no borrowing</x:v>
      </x:c>
      <x:c r="D16" s="33" t="str">
        <x:v>unused tokens cannot fill a missing treatment or rig decision</x:v>
      </x:c>
    </x:row>
    <x:row r="17" ht="38" customHeight="1">
      <x:c r="B17" s="28" t="str">
        <x:v>RR-11</x:v>
      </x:c>
      <x:c r="C17" s="28" t="str">
        <x:v>exhaustion</x:v>
      </x:c>
      <x:c r="D17" s="33" t="str">
        <x:v>a seventh invalid attempt stops class completion</x:v>
      </x:c>
    </x:row>
    <x:row r="18" ht="38" customHeight="1">
      <x:c r="B18" s="28" t="str">
        <x:v>RR-12</x:v>
      </x:c>
      <x:c r="C18" s="28" t="str">
        <x:v>authority</x:v>
      </x:c>
      <x:c r="D18" s="33" t="str">
        <x:v>replacement board cannot waive event or transfer gates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42" hidden="0" customWidth="1"/>
    <x:col min="5" max="5" width="22" hidden="0" customWidth="1"/>
    <x:col min="6" max="6" width="18" hidden="0" customWidth="1"/>
    <x:col min="7" max="7" width="66" hidden="0" customWidth="1"/>
    <x:col min="8" max="8" width="34" hidden="0" customWidth="1"/>
    <x:col min="9" max="9" width="34" hidden="0" customWidth="1"/>
    <x:col min="10" max="10" width="22" hidden="0" customWidth="1"/>
    <x:col min="11" max="11" width="16" hidden="0" customWidth="1"/>
  </x:cols>
  <x:sheetData>
    <x:row r="2">
      <x:c r="B2" s="23" t="str">
        <x:v>Sixteen class exception positions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25" t="str">
        <x:v>Every deviation retains affected token, cell, severity, evidence, disposition and closure. Empty reserved positions remain dormant.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24" customHeight="1">
      <x:c r="B6" s="6" t="str">
        <x:v>Exception</x:v>
      </x:c>
      <x:c r="C6" s="6" t="str">
        <x:v>Token</x:v>
      </x:c>
      <x:c r="D6" s="6" t="str">
        <x:v>Cell</x:v>
      </x:c>
      <x:c r="E6" s="6" t="str">
        <x:v>Class</x:v>
      </x:c>
      <x:c r="F6" s="6" t="str">
        <x:v>Severity</x:v>
      </x:c>
      <x:c r="G6" s="6" t="str">
        <x:v>Description</x:v>
      </x:c>
      <x:c r="H6" s="6" t="str">
        <x:v>Disposition</x:v>
      </x:c>
      <x:c r="I6" s="6" t="str">
        <x:v>Evidence root</x:v>
      </x:c>
      <x:c r="J6" s="6" t="str">
        <x:v>Closed UTC</x:v>
      </x:c>
      <x:c r="K6" s="6" t="str">
        <x:v>State</x:v>
      </x:c>
    </x:row>
    <x:row r="7" ht="34" customHeight="1">
      <x:c r="B7" s="28" t="str">
        <x:v>EX-01</x:v>
      </x:c>
      <x:c r="C7" s="29" t="str"/>
      <x:c r="D7" s="29" t="str"/>
      <x:c r="E7" s="29" t="str"/>
      <x:c r="F7" s="29" t="str"/>
      <x:c r="G7" s="37" t="str"/>
      <x:c r="H7" s="29" t="str"/>
      <x:c r="I7" s="29" t="str"/>
      <x:c r="J7" s="29" t="str"/>
      <x:c r="K7" s="28" t="str">
        <x:f>IF(C7="","DORMANT",IF(J7="","OPEN",IF(AND(D7&lt;&gt;"",E7&lt;&gt;"",F7&lt;&gt;"",G7&lt;&gt;"",H7&lt;&gt;"",I7&lt;&gt;""),"PASS","FAIL")))</x:f>
        <x:v>DORMANT</x:v>
      </x:c>
    </x:row>
    <x:row r="8" ht="34" customHeight="1">
      <x:c r="B8" s="28" t="str">
        <x:v>EX-02</x:v>
      </x:c>
      <x:c r="C8" s="29" t="str"/>
      <x:c r="D8" s="29" t="str"/>
      <x:c r="E8" s="29" t="str"/>
      <x:c r="F8" s="29" t="str"/>
      <x:c r="G8" s="37" t="str"/>
      <x:c r="H8" s="29" t="str"/>
      <x:c r="I8" s="29" t="str"/>
      <x:c r="J8" s="29" t="str"/>
      <x:c r="K8" s="28" t="str">
        <x:f>IF(C8="","DORMANT",IF(J8="","OPEN",IF(AND(D8&lt;&gt;"",E8&lt;&gt;"",F8&lt;&gt;"",G8&lt;&gt;"",H8&lt;&gt;"",I8&lt;&gt;""),"PASS","FAIL")))</x:f>
        <x:v>DORMANT</x:v>
      </x:c>
    </x:row>
    <x:row r="9" ht="34" customHeight="1">
      <x:c r="B9" s="28" t="str">
        <x:v>EX-03</x:v>
      </x:c>
      <x:c r="C9" s="29" t="str"/>
      <x:c r="D9" s="29" t="str"/>
      <x:c r="E9" s="29" t="str"/>
      <x:c r="F9" s="29" t="str"/>
      <x:c r="G9" s="37" t="str"/>
      <x:c r="H9" s="29" t="str"/>
      <x:c r="I9" s="29" t="str"/>
      <x:c r="J9" s="29" t="str"/>
      <x:c r="K9" s="28" t="str">
        <x:f>IF(C9="","DORMANT",IF(J9="","OPEN",IF(AND(D9&lt;&gt;"",E9&lt;&gt;"",F9&lt;&gt;"",G9&lt;&gt;"",H9&lt;&gt;"",I9&lt;&gt;""),"PASS","FAIL")))</x:f>
        <x:v>DORMANT</x:v>
      </x:c>
    </x:row>
    <x:row r="10" ht="34" customHeight="1">
      <x:c r="B10" s="28" t="str">
        <x:v>EX-04</x:v>
      </x:c>
      <x:c r="C10" s="29" t="str"/>
      <x:c r="D10" s="29" t="str"/>
      <x:c r="E10" s="29" t="str"/>
      <x:c r="F10" s="29" t="str"/>
      <x:c r="G10" s="37" t="str"/>
      <x:c r="H10" s="29" t="str"/>
      <x:c r="I10" s="29" t="str"/>
      <x:c r="J10" s="29" t="str"/>
      <x:c r="K10" s="28" t="str">
        <x:f>IF(C10="","DORMANT",IF(J10="","OPEN",IF(AND(D10&lt;&gt;"",E10&lt;&gt;"",F10&lt;&gt;"",G10&lt;&gt;"",H10&lt;&gt;"",I10&lt;&gt;""),"PASS","FAIL")))</x:f>
        <x:v>DORMANT</x:v>
      </x:c>
    </x:row>
    <x:row r="11" ht="34" customHeight="1">
      <x:c r="B11" s="28" t="str">
        <x:v>EX-05</x:v>
      </x:c>
      <x:c r="C11" s="29" t="str"/>
      <x:c r="D11" s="29" t="str"/>
      <x:c r="E11" s="29" t="str"/>
      <x:c r="F11" s="29" t="str"/>
      <x:c r="G11" s="37" t="str"/>
      <x:c r="H11" s="29" t="str"/>
      <x:c r="I11" s="29" t="str"/>
      <x:c r="J11" s="29" t="str"/>
      <x:c r="K11" s="28" t="str">
        <x:f>IF(C11="","DORMANT",IF(J11="","OPEN",IF(AND(D11&lt;&gt;"",E11&lt;&gt;"",F11&lt;&gt;"",G11&lt;&gt;"",H11&lt;&gt;"",I11&lt;&gt;""),"PASS","FAIL")))</x:f>
        <x:v>DORMANT</x:v>
      </x:c>
    </x:row>
    <x:row r="12" ht="34" customHeight="1">
      <x:c r="B12" s="28" t="str">
        <x:v>EX-06</x:v>
      </x:c>
      <x:c r="C12" s="29" t="str"/>
      <x:c r="D12" s="29" t="str"/>
      <x:c r="E12" s="29" t="str"/>
      <x:c r="F12" s="29" t="str"/>
      <x:c r="G12" s="37" t="str"/>
      <x:c r="H12" s="29" t="str"/>
      <x:c r="I12" s="29" t="str"/>
      <x:c r="J12" s="29" t="str"/>
      <x:c r="K12" s="28" t="str">
        <x:f>IF(C12="","DORMANT",IF(J12="","OPEN",IF(AND(D12&lt;&gt;"",E12&lt;&gt;"",F12&lt;&gt;"",G12&lt;&gt;"",H12&lt;&gt;"",I12&lt;&gt;""),"PASS","FAIL")))</x:f>
        <x:v>DORMANT</x:v>
      </x:c>
    </x:row>
    <x:row r="13" ht="34" customHeight="1">
      <x:c r="B13" s="28" t="str">
        <x:v>EX-07</x:v>
      </x:c>
      <x:c r="C13" s="29" t="str"/>
      <x:c r="D13" s="29" t="str"/>
      <x:c r="E13" s="29" t="str"/>
      <x:c r="F13" s="29" t="str"/>
      <x:c r="G13" s="37" t="str"/>
      <x:c r="H13" s="29" t="str"/>
      <x:c r="I13" s="29" t="str"/>
      <x:c r="J13" s="29" t="str"/>
      <x:c r="K13" s="28" t="str">
        <x:f>IF(C13="","DORMANT",IF(J13="","OPEN",IF(AND(D13&lt;&gt;"",E13&lt;&gt;"",F13&lt;&gt;"",G13&lt;&gt;"",H13&lt;&gt;"",I13&lt;&gt;""),"PASS","FAIL")))</x:f>
        <x:v>DORMANT</x:v>
      </x:c>
    </x:row>
    <x:row r="14" ht="34" customHeight="1">
      <x:c r="B14" s="28" t="str">
        <x:v>EX-08</x:v>
      </x:c>
      <x:c r="C14" s="29" t="str"/>
      <x:c r="D14" s="29" t="str"/>
      <x:c r="E14" s="29" t="str"/>
      <x:c r="F14" s="29" t="str"/>
      <x:c r="G14" s="37" t="str"/>
      <x:c r="H14" s="29" t="str"/>
      <x:c r="I14" s="29" t="str"/>
      <x:c r="J14" s="29" t="str"/>
      <x:c r="K14" s="28" t="str">
        <x:f>IF(C14="","DORMANT",IF(J14="","OPEN",IF(AND(D14&lt;&gt;"",E14&lt;&gt;"",F14&lt;&gt;"",G14&lt;&gt;"",H14&lt;&gt;"",I14&lt;&gt;""),"PASS","FAIL")))</x:f>
        <x:v>DORMANT</x:v>
      </x:c>
    </x:row>
    <x:row r="15" ht="34" customHeight="1">
      <x:c r="B15" s="28" t="str">
        <x:v>EX-09</x:v>
      </x:c>
      <x:c r="C15" s="29" t="str"/>
      <x:c r="D15" s="29" t="str"/>
      <x:c r="E15" s="29" t="str"/>
      <x:c r="F15" s="29" t="str"/>
      <x:c r="G15" s="37" t="str"/>
      <x:c r="H15" s="29" t="str"/>
      <x:c r="I15" s="29" t="str"/>
      <x:c r="J15" s="29" t="str"/>
      <x:c r="K15" s="28" t="str">
        <x:f>IF(C15="","DORMANT",IF(J15="","OPEN",IF(AND(D15&lt;&gt;"",E15&lt;&gt;"",F15&lt;&gt;"",G15&lt;&gt;"",H15&lt;&gt;"",I15&lt;&gt;""),"PASS","FAIL")))</x:f>
        <x:v>DORMANT</x:v>
      </x:c>
    </x:row>
    <x:row r="16" ht="34" customHeight="1">
      <x:c r="B16" s="28" t="str">
        <x:v>EX-10</x:v>
      </x:c>
      <x:c r="C16" s="29" t="str"/>
      <x:c r="D16" s="29" t="str"/>
      <x:c r="E16" s="29" t="str"/>
      <x:c r="F16" s="29" t="str"/>
      <x:c r="G16" s="37" t="str"/>
      <x:c r="H16" s="29" t="str"/>
      <x:c r="I16" s="29" t="str"/>
      <x:c r="J16" s="29" t="str"/>
      <x:c r="K16" s="28" t="str">
        <x:f>IF(C16="","DORMANT",IF(J16="","OPEN",IF(AND(D16&lt;&gt;"",E16&lt;&gt;"",F16&lt;&gt;"",G16&lt;&gt;"",H16&lt;&gt;"",I16&lt;&gt;""),"PASS","FAIL")))</x:f>
        <x:v>DORMANT</x:v>
      </x:c>
    </x:row>
    <x:row r="17" ht="34" customHeight="1">
      <x:c r="B17" s="28" t="str">
        <x:v>EX-11</x:v>
      </x:c>
      <x:c r="C17" s="29" t="str"/>
      <x:c r="D17" s="29" t="str"/>
      <x:c r="E17" s="29" t="str"/>
      <x:c r="F17" s="29" t="str"/>
      <x:c r="G17" s="37" t="str"/>
      <x:c r="H17" s="29" t="str"/>
      <x:c r="I17" s="29" t="str"/>
      <x:c r="J17" s="29" t="str"/>
      <x:c r="K17" s="28" t="str">
        <x:f>IF(C17="","DORMANT",IF(J17="","OPEN",IF(AND(D17&lt;&gt;"",E17&lt;&gt;"",F17&lt;&gt;"",G17&lt;&gt;"",H17&lt;&gt;"",I17&lt;&gt;""),"PASS","FAIL")))</x:f>
        <x:v>DORMANT</x:v>
      </x:c>
    </x:row>
    <x:row r="18" ht="34" customHeight="1">
      <x:c r="B18" s="28" t="str">
        <x:v>EX-12</x:v>
      </x:c>
      <x:c r="C18" s="29" t="str"/>
      <x:c r="D18" s="29" t="str"/>
      <x:c r="E18" s="29" t="str"/>
      <x:c r="F18" s="29" t="str"/>
      <x:c r="G18" s="37" t="str"/>
      <x:c r="H18" s="29" t="str"/>
      <x:c r="I18" s="29" t="str"/>
      <x:c r="J18" s="29" t="str"/>
      <x:c r="K18" s="28" t="str">
        <x:f>IF(C18="","DORMANT",IF(J18="","OPEN",IF(AND(D18&lt;&gt;"",E18&lt;&gt;"",F18&lt;&gt;"",G18&lt;&gt;"",H18&lt;&gt;"",I18&lt;&gt;""),"PASS","FAIL")))</x:f>
        <x:v>DORMANT</x:v>
      </x:c>
    </x:row>
    <x:row r="19" ht="34" customHeight="1">
      <x:c r="B19" s="28" t="str">
        <x:v>EX-13</x:v>
      </x:c>
      <x:c r="C19" s="29" t="str"/>
      <x:c r="D19" s="29" t="str"/>
      <x:c r="E19" s="29" t="str"/>
      <x:c r="F19" s="29" t="str"/>
      <x:c r="G19" s="37" t="str"/>
      <x:c r="H19" s="29" t="str"/>
      <x:c r="I19" s="29" t="str"/>
      <x:c r="J19" s="29" t="str"/>
      <x:c r="K19" s="28" t="str">
        <x:f>IF(C19="","DORMANT",IF(J19="","OPEN",IF(AND(D19&lt;&gt;"",E19&lt;&gt;"",F19&lt;&gt;"",G19&lt;&gt;"",H19&lt;&gt;"",I19&lt;&gt;""),"PASS","FAIL")))</x:f>
        <x:v>DORMANT</x:v>
      </x:c>
    </x:row>
    <x:row r="20" ht="34" customHeight="1">
      <x:c r="B20" s="28" t="str">
        <x:v>EX-14</x:v>
      </x:c>
      <x:c r="C20" s="29" t="str"/>
      <x:c r="D20" s="29" t="str"/>
      <x:c r="E20" s="29" t="str"/>
      <x:c r="F20" s="29" t="str"/>
      <x:c r="G20" s="37" t="str"/>
      <x:c r="H20" s="29" t="str"/>
      <x:c r="I20" s="29" t="str"/>
      <x:c r="J20" s="29" t="str"/>
      <x:c r="K20" s="28" t="str">
        <x:f>IF(C20="","DORMANT",IF(J20="","OPEN",IF(AND(D20&lt;&gt;"",E20&lt;&gt;"",F20&lt;&gt;"",G20&lt;&gt;"",H20&lt;&gt;"",I20&lt;&gt;""),"PASS","FAIL")))</x:f>
        <x:v>DORMANT</x:v>
      </x:c>
    </x:row>
    <x:row r="21" ht="34" customHeight="1">
      <x:c r="B21" s="28" t="str">
        <x:v>EX-15</x:v>
      </x:c>
      <x:c r="C21" s="29" t="str"/>
      <x:c r="D21" s="29" t="str"/>
      <x:c r="E21" s="29" t="str"/>
      <x:c r="F21" s="29" t="str"/>
      <x:c r="G21" s="37" t="str"/>
      <x:c r="H21" s="29" t="str"/>
      <x:c r="I21" s="29" t="str"/>
      <x:c r="J21" s="29" t="str"/>
      <x:c r="K21" s="28" t="str">
        <x:f>IF(C21="","DORMANT",IF(J21="","OPEN",IF(AND(D21&lt;&gt;"",E21&lt;&gt;"",F21&lt;&gt;"",G21&lt;&gt;"",H21&lt;&gt;"",I21&lt;&gt;""),"PASS","FAIL")))</x:f>
        <x:v>DORMANT</x:v>
      </x:c>
    </x:row>
    <x:row r="22" ht="34" customHeight="1">
      <x:c r="B22" s="28" t="str">
        <x:v>EX-16</x:v>
      </x:c>
      <x:c r="C22" s="29" t="str"/>
      <x:c r="D22" s="29" t="str"/>
      <x:c r="E22" s="29" t="str"/>
      <x:c r="F22" s="29" t="str"/>
      <x:c r="G22" s="37" t="str"/>
      <x:c r="H22" s="29" t="str"/>
      <x:c r="I22" s="29" t="str"/>
      <x:c r="J22" s="29" t="str"/>
      <x:c r="K22" s="28" t="str">
        <x:f>IF(C22="","DORMANT",IF(J22="","OPEN",IF(AND(D22&lt;&gt;"",E22&lt;&gt;"",F22&lt;&gt;"",G22&lt;&gt;"",H22&lt;&gt;"",I22&lt;&gt;""),"PASS","FAIL")))</x:f>
        <x:v>DORMANT</x:v>
      </x:c>
    </x:row>
  </x:sheetData>
  <x:conditionalFormatting sqref="K7:K22">
    <x:cfRule type="containsText" dxfId="207" priority="1" operator="containsText" text="FAIL"/>
    <x:cfRule type="containsText" dxfId="208" priority="2" operator="containsText" text="BLOCKED"/>
    <x:cfRule type="containsText" dxfId="209" priority="3" operator="containsText" text="INVALID"/>
    <x:cfRule type="containsText" dxfId="210" priority="4" operator="containsText" text="ADVERSE"/>
    <x:cfRule type="containsText" dxfId="211" priority="5" operator="containsText" text="EXPIRED"/>
    <x:cfRule type="containsText" dxfId="212" priority="6" operator="containsText" text="OPEN"/>
    <x:cfRule type="containsText" dxfId="213" priority="7" operator="containsText" text="DORMANT"/>
    <x:cfRule type="containsText" dxfId="214" priority="8" operator="containsText" text="PASS"/>
    <x:cfRule type="containsText" dxfId="215" priority="9" operator="containsText" text="AVAILABLE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34" hidden="0" customWidth="1"/>
    <x:col min="5" max="5" width="34" hidden="0" customWidth="1"/>
    <x:col min="6" max="6" width="34" hidden="0" customWidth="1"/>
    <x:col min="7" max="7" width="40" hidden="0" customWidth="1"/>
    <x:col min="8" max="8" width="60" hidden="0" customWidth="1"/>
    <x:col min="9" max="9" width="22" hidden="0" customWidth="1"/>
    <x:col min="10" max="10" width="22" hidden="0" customWidth="1"/>
    <x:col min="11" max="11" width="16" hidden="0" customWidth="1"/>
  </x:cols>
  <x:sheetData>
    <x:row r="2">
      <x:c r="B2" s="23" t="str">
        <x:v>Sixteen class change positions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25" t="str">
        <x:v>A change creates a new branch and names repeated evidence. Empty reserved positions remain dormant.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24" customHeight="1">
      <x:c r="B6" s="6" t="str">
        <x:v>Change</x:v>
      </x:c>
      <x:c r="C6" s="6" t="str">
        <x:v>Token</x:v>
      </x:c>
      <x:c r="D6" s="6" t="str">
        <x:v>Object</x:v>
      </x:c>
      <x:c r="E6" s="6" t="str">
        <x:v>Prior root</x:v>
      </x:c>
      <x:c r="F6" s="6" t="str">
        <x:v>Proposed root</x:v>
      </x:c>
      <x:c r="G6" s="6" t="str">
        <x:v>Affected cells</x:v>
      </x:c>
      <x:c r="H6" s="6" t="str">
        <x:v>Repeat work</x:v>
      </x:c>
      <x:c r="I6" s="6" t="str">
        <x:v>Board decision</x:v>
      </x:c>
      <x:c r="J6" s="6" t="str">
        <x:v>Accepted UTC</x:v>
      </x:c>
      <x:c r="K6" s="6" t="str">
        <x:v>State</x:v>
      </x:c>
    </x:row>
    <x:row r="7" ht="36" customHeight="1">
      <x:c r="B7" s="28" t="str">
        <x:v>CH-01</x:v>
      </x:c>
      <x:c r="C7" s="29" t="str"/>
      <x:c r="D7" s="29" t="str"/>
      <x:c r="E7" s="29" t="str"/>
      <x:c r="F7" s="29" t="str"/>
      <x:c r="G7" s="29" t="str"/>
      <x:c r="H7" s="37" t="str"/>
      <x:c r="I7" s="29" t="str"/>
      <x:c r="J7" s="29" t="str"/>
      <x:c r="K7" s="28" t="str">
        <x:f>IF(C7="","DORMANT",IF(J7="","OPEN",IF(AND(D7&lt;&gt;"",E7&lt;&gt;F7,G7&lt;&gt;"",H7&lt;&gt;"",I7&lt;&gt;""),"PASS","FAIL")))</x:f>
        <x:v>DORMANT</x:v>
      </x:c>
    </x:row>
    <x:row r="8" ht="36" customHeight="1">
      <x:c r="B8" s="28" t="str">
        <x:v>CH-02</x:v>
      </x:c>
      <x:c r="C8" s="29" t="str"/>
      <x:c r="D8" s="29" t="str"/>
      <x:c r="E8" s="29" t="str"/>
      <x:c r="F8" s="29" t="str"/>
      <x:c r="G8" s="29" t="str"/>
      <x:c r="H8" s="37" t="str"/>
      <x:c r="I8" s="29" t="str"/>
      <x:c r="J8" s="29" t="str"/>
      <x:c r="K8" s="28" t="str">
        <x:f>IF(C8="","DORMANT",IF(J8="","OPEN",IF(AND(D8&lt;&gt;"",E8&lt;&gt;F8,G8&lt;&gt;"",H8&lt;&gt;"",I8&lt;&gt;""),"PASS","FAIL")))</x:f>
        <x:v>DORMANT</x:v>
      </x:c>
    </x:row>
    <x:row r="9" ht="36" customHeight="1">
      <x:c r="B9" s="28" t="str">
        <x:v>CH-03</x:v>
      </x:c>
      <x:c r="C9" s="29" t="str"/>
      <x:c r="D9" s="29" t="str"/>
      <x:c r="E9" s="29" t="str"/>
      <x:c r="F9" s="29" t="str"/>
      <x:c r="G9" s="29" t="str"/>
      <x:c r="H9" s="37" t="str"/>
      <x:c r="I9" s="29" t="str"/>
      <x:c r="J9" s="29" t="str"/>
      <x:c r="K9" s="28" t="str">
        <x:f>IF(C9="","DORMANT",IF(J9="","OPEN",IF(AND(D9&lt;&gt;"",E9&lt;&gt;F9,G9&lt;&gt;"",H9&lt;&gt;"",I9&lt;&gt;""),"PASS","FAIL")))</x:f>
        <x:v>DORMANT</x:v>
      </x:c>
    </x:row>
    <x:row r="10" ht="36" customHeight="1">
      <x:c r="B10" s="28" t="str">
        <x:v>CH-04</x:v>
      </x:c>
      <x:c r="C10" s="29" t="str"/>
      <x:c r="D10" s="29" t="str"/>
      <x:c r="E10" s="29" t="str"/>
      <x:c r="F10" s="29" t="str"/>
      <x:c r="G10" s="29" t="str"/>
      <x:c r="H10" s="37" t="str"/>
      <x:c r="I10" s="29" t="str"/>
      <x:c r="J10" s="29" t="str"/>
      <x:c r="K10" s="28" t="str">
        <x:f>IF(C10="","DORMANT",IF(J10="","OPEN",IF(AND(D10&lt;&gt;"",E10&lt;&gt;F10,G10&lt;&gt;"",H10&lt;&gt;"",I10&lt;&gt;""),"PASS","FAIL")))</x:f>
        <x:v>DORMANT</x:v>
      </x:c>
    </x:row>
    <x:row r="11" ht="36" customHeight="1">
      <x:c r="B11" s="28" t="str">
        <x:v>CH-05</x:v>
      </x:c>
      <x:c r="C11" s="29" t="str"/>
      <x:c r="D11" s="29" t="str"/>
      <x:c r="E11" s="29" t="str"/>
      <x:c r="F11" s="29" t="str"/>
      <x:c r="G11" s="29" t="str"/>
      <x:c r="H11" s="37" t="str"/>
      <x:c r="I11" s="29" t="str"/>
      <x:c r="J11" s="29" t="str"/>
      <x:c r="K11" s="28" t="str">
        <x:f>IF(C11="","DORMANT",IF(J11="","OPEN",IF(AND(D11&lt;&gt;"",E11&lt;&gt;F11,G11&lt;&gt;"",H11&lt;&gt;"",I11&lt;&gt;""),"PASS","FAIL")))</x:f>
        <x:v>DORMANT</x:v>
      </x:c>
    </x:row>
    <x:row r="12" ht="36" customHeight="1">
      <x:c r="B12" s="28" t="str">
        <x:v>CH-06</x:v>
      </x:c>
      <x:c r="C12" s="29" t="str"/>
      <x:c r="D12" s="29" t="str"/>
      <x:c r="E12" s="29" t="str"/>
      <x:c r="F12" s="29" t="str"/>
      <x:c r="G12" s="29" t="str"/>
      <x:c r="H12" s="37" t="str"/>
      <x:c r="I12" s="29" t="str"/>
      <x:c r="J12" s="29" t="str"/>
      <x:c r="K12" s="28" t="str">
        <x:f>IF(C12="","DORMANT",IF(J12="","OPEN",IF(AND(D12&lt;&gt;"",E12&lt;&gt;F12,G12&lt;&gt;"",H12&lt;&gt;"",I12&lt;&gt;""),"PASS","FAIL")))</x:f>
        <x:v>DORMANT</x:v>
      </x:c>
    </x:row>
    <x:row r="13" ht="36" customHeight="1">
      <x:c r="B13" s="28" t="str">
        <x:v>CH-07</x:v>
      </x:c>
      <x:c r="C13" s="29" t="str"/>
      <x:c r="D13" s="29" t="str"/>
      <x:c r="E13" s="29" t="str"/>
      <x:c r="F13" s="29" t="str"/>
      <x:c r="G13" s="29" t="str"/>
      <x:c r="H13" s="37" t="str"/>
      <x:c r="I13" s="29" t="str"/>
      <x:c r="J13" s="29" t="str"/>
      <x:c r="K13" s="28" t="str">
        <x:f>IF(C13="","DORMANT",IF(J13="","OPEN",IF(AND(D13&lt;&gt;"",E13&lt;&gt;F13,G13&lt;&gt;"",H13&lt;&gt;"",I13&lt;&gt;""),"PASS","FAIL")))</x:f>
        <x:v>DORMANT</x:v>
      </x:c>
    </x:row>
    <x:row r="14" ht="36" customHeight="1">
      <x:c r="B14" s="28" t="str">
        <x:v>CH-08</x:v>
      </x:c>
      <x:c r="C14" s="29" t="str"/>
      <x:c r="D14" s="29" t="str"/>
      <x:c r="E14" s="29" t="str"/>
      <x:c r="F14" s="29" t="str"/>
      <x:c r="G14" s="29" t="str"/>
      <x:c r="H14" s="37" t="str"/>
      <x:c r="I14" s="29" t="str"/>
      <x:c r="J14" s="29" t="str"/>
      <x:c r="K14" s="28" t="str">
        <x:f>IF(C14="","DORMANT",IF(J14="","OPEN",IF(AND(D14&lt;&gt;"",E14&lt;&gt;F14,G14&lt;&gt;"",H14&lt;&gt;"",I14&lt;&gt;""),"PASS","FAIL")))</x:f>
        <x:v>DORMANT</x:v>
      </x:c>
    </x:row>
    <x:row r="15" ht="36" customHeight="1">
      <x:c r="B15" s="28" t="str">
        <x:v>CH-09</x:v>
      </x:c>
      <x:c r="C15" s="29" t="str"/>
      <x:c r="D15" s="29" t="str"/>
      <x:c r="E15" s="29" t="str"/>
      <x:c r="F15" s="29" t="str"/>
      <x:c r="G15" s="29" t="str"/>
      <x:c r="H15" s="37" t="str"/>
      <x:c r="I15" s="29" t="str"/>
      <x:c r="J15" s="29" t="str"/>
      <x:c r="K15" s="28" t="str">
        <x:f>IF(C15="","DORMANT",IF(J15="","OPEN",IF(AND(D15&lt;&gt;"",E15&lt;&gt;F15,G15&lt;&gt;"",H15&lt;&gt;"",I15&lt;&gt;""),"PASS","FAIL")))</x:f>
        <x:v>DORMANT</x:v>
      </x:c>
    </x:row>
    <x:row r="16" ht="36" customHeight="1">
      <x:c r="B16" s="28" t="str">
        <x:v>CH-10</x:v>
      </x:c>
      <x:c r="C16" s="29" t="str"/>
      <x:c r="D16" s="29" t="str"/>
      <x:c r="E16" s="29" t="str"/>
      <x:c r="F16" s="29" t="str"/>
      <x:c r="G16" s="29" t="str"/>
      <x:c r="H16" s="37" t="str"/>
      <x:c r="I16" s="29" t="str"/>
      <x:c r="J16" s="29" t="str"/>
      <x:c r="K16" s="28" t="str">
        <x:f>IF(C16="","DORMANT",IF(J16="","OPEN",IF(AND(D16&lt;&gt;"",E16&lt;&gt;F16,G16&lt;&gt;"",H16&lt;&gt;"",I16&lt;&gt;""),"PASS","FAIL")))</x:f>
        <x:v>DORMANT</x:v>
      </x:c>
    </x:row>
    <x:row r="17" ht="36" customHeight="1">
      <x:c r="B17" s="28" t="str">
        <x:v>CH-11</x:v>
      </x:c>
      <x:c r="C17" s="29" t="str"/>
      <x:c r="D17" s="29" t="str"/>
      <x:c r="E17" s="29" t="str"/>
      <x:c r="F17" s="29" t="str"/>
      <x:c r="G17" s="29" t="str"/>
      <x:c r="H17" s="37" t="str"/>
      <x:c r="I17" s="29" t="str"/>
      <x:c r="J17" s="29" t="str"/>
      <x:c r="K17" s="28" t="str">
        <x:f>IF(C17="","DORMANT",IF(J17="","OPEN",IF(AND(D17&lt;&gt;"",E17&lt;&gt;F17,G17&lt;&gt;"",H17&lt;&gt;"",I17&lt;&gt;""),"PASS","FAIL")))</x:f>
        <x:v>DORMANT</x:v>
      </x:c>
    </x:row>
    <x:row r="18" ht="36" customHeight="1">
      <x:c r="B18" s="28" t="str">
        <x:v>CH-12</x:v>
      </x:c>
      <x:c r="C18" s="29" t="str"/>
      <x:c r="D18" s="29" t="str"/>
      <x:c r="E18" s="29" t="str"/>
      <x:c r="F18" s="29" t="str"/>
      <x:c r="G18" s="29" t="str"/>
      <x:c r="H18" s="37" t="str"/>
      <x:c r="I18" s="29" t="str"/>
      <x:c r="J18" s="29" t="str"/>
      <x:c r="K18" s="28" t="str">
        <x:f>IF(C18="","DORMANT",IF(J18="","OPEN",IF(AND(D18&lt;&gt;"",E18&lt;&gt;F18,G18&lt;&gt;"",H18&lt;&gt;"",I18&lt;&gt;""),"PASS","FAIL")))</x:f>
        <x:v>DORMANT</x:v>
      </x:c>
    </x:row>
    <x:row r="19" ht="36" customHeight="1">
      <x:c r="B19" s="28" t="str">
        <x:v>CH-13</x:v>
      </x:c>
      <x:c r="C19" s="29" t="str"/>
      <x:c r="D19" s="29" t="str"/>
      <x:c r="E19" s="29" t="str"/>
      <x:c r="F19" s="29" t="str"/>
      <x:c r="G19" s="29" t="str"/>
      <x:c r="H19" s="37" t="str"/>
      <x:c r="I19" s="29" t="str"/>
      <x:c r="J19" s="29" t="str"/>
      <x:c r="K19" s="28" t="str">
        <x:f>IF(C19="","DORMANT",IF(J19="","OPEN",IF(AND(D19&lt;&gt;"",E19&lt;&gt;F19,G19&lt;&gt;"",H19&lt;&gt;"",I19&lt;&gt;""),"PASS","FAIL")))</x:f>
        <x:v>DORMANT</x:v>
      </x:c>
    </x:row>
    <x:row r="20" ht="36" customHeight="1">
      <x:c r="B20" s="28" t="str">
        <x:v>CH-14</x:v>
      </x:c>
      <x:c r="C20" s="29" t="str"/>
      <x:c r="D20" s="29" t="str"/>
      <x:c r="E20" s="29" t="str"/>
      <x:c r="F20" s="29" t="str"/>
      <x:c r="G20" s="29" t="str"/>
      <x:c r="H20" s="37" t="str"/>
      <x:c r="I20" s="29" t="str"/>
      <x:c r="J20" s="29" t="str"/>
      <x:c r="K20" s="28" t="str">
        <x:f>IF(C20="","DORMANT",IF(J20="","OPEN",IF(AND(D20&lt;&gt;"",E20&lt;&gt;F20,G20&lt;&gt;"",H20&lt;&gt;"",I20&lt;&gt;""),"PASS","FAIL")))</x:f>
        <x:v>DORMANT</x:v>
      </x:c>
    </x:row>
    <x:row r="21" ht="36" customHeight="1">
      <x:c r="B21" s="28" t="str">
        <x:v>CH-15</x:v>
      </x:c>
      <x:c r="C21" s="29" t="str"/>
      <x:c r="D21" s="29" t="str"/>
      <x:c r="E21" s="29" t="str"/>
      <x:c r="F21" s="29" t="str"/>
      <x:c r="G21" s="29" t="str"/>
      <x:c r="H21" s="37" t="str"/>
      <x:c r="I21" s="29" t="str"/>
      <x:c r="J21" s="29" t="str"/>
      <x:c r="K21" s="28" t="str">
        <x:f>IF(C21="","DORMANT",IF(J21="","OPEN",IF(AND(D21&lt;&gt;"",E21&lt;&gt;F21,G21&lt;&gt;"",H21&lt;&gt;"",I21&lt;&gt;""),"PASS","FAIL")))</x:f>
        <x:v>DORMANT</x:v>
      </x:c>
    </x:row>
    <x:row r="22" ht="36" customHeight="1">
      <x:c r="B22" s="28" t="str">
        <x:v>CH-16</x:v>
      </x:c>
      <x:c r="C22" s="29" t="str"/>
      <x:c r="D22" s="29" t="str"/>
      <x:c r="E22" s="29" t="str"/>
      <x:c r="F22" s="29" t="str"/>
      <x:c r="G22" s="29" t="str"/>
      <x:c r="H22" s="37" t="str"/>
      <x:c r="I22" s="29" t="str"/>
      <x:c r="J22" s="29" t="str"/>
      <x:c r="K22" s="28" t="str">
        <x:f>IF(C22="","DORMANT",IF(J22="","OPEN",IF(AND(D22&lt;&gt;"",E22&lt;&gt;F22,G22&lt;&gt;"",H22&lt;&gt;"",I22&lt;&gt;""),"PASS","FAIL")))</x:f>
        <x:v>DORMANT</x:v>
      </x:c>
    </x:row>
  </x:sheetData>
  <x:conditionalFormatting sqref="K7:K22">
    <x:cfRule type="containsText" dxfId="216" priority="1" operator="containsText" text="FAIL"/>
    <x:cfRule type="containsText" dxfId="217" priority="2" operator="containsText" text="BLOCKED"/>
    <x:cfRule type="containsText" dxfId="218" priority="3" operator="containsText" text="INVALID"/>
    <x:cfRule type="containsText" dxfId="219" priority="4" operator="containsText" text="ADVERSE"/>
    <x:cfRule type="containsText" dxfId="220" priority="5" operator="containsText" text="EXPIRED"/>
    <x:cfRule type="containsText" dxfId="221" priority="6" operator="containsText" text="OPEN"/>
    <x:cfRule type="containsText" dxfId="222" priority="7" operator="containsText" text="DORMANT"/>
    <x:cfRule type="containsText" dxfId="223" priority="8" operator="containsText" text="PASS"/>
    <x:cfRule type="containsText" dxfId="224" priority="9" operator="containsText" text="AVAILABLE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8" hidden="0" customWidth="1"/>
    <x:col min="4" max="4" width="16" hidden="0" customWidth="1"/>
    <x:col min="5" max="5" width="36" hidden="0" customWidth="1"/>
    <x:col min="6" max="6" width="34" hidden="0" customWidth="1"/>
    <x:col min="7" max="7" width="55" hidden="0" customWidth="1"/>
    <x:col min="8" max="8" width="23" hidden="0" customWidth="1"/>
    <x:col min="9" max="9" width="20" hidden="0" customWidth="1"/>
    <x:col min="10" max="10" width="16" hidden="0" customWidth="1"/>
  </x:cols>
  <x:sheetData>
    <x:row r="2">
      <x:c r="B2" s="23" t="str">
        <x:v>Twelve pair-quarantine positions</x:v>
      </x:c>
      <x:c r="C2" s="24"/>
      <x:c r="D2" s="24"/>
      <x:c r="E2" s="24"/>
      <x:c r="F2" s="24"/>
      <x:c r="G2" s="24"/>
      <x:c r="H2" s="24"/>
      <x:c r="I2" s="24"/>
      <x:c r="J2" s="24"/>
    </x:row>
    <x:row r="3">
      <x:c r="B3" s="25" t="str">
        <x:v>A quarantined pair remains physical evidence and cannot be silently replaced or returned to the class schedule.</x:v>
      </x:c>
      <x:c r="C3" s="24"/>
      <x:c r="D3" s="24"/>
      <x:c r="E3" s="24"/>
      <x:c r="F3" s="24"/>
      <x:c r="G3" s="24"/>
      <x:c r="H3" s="24"/>
      <x:c r="I3" s="24"/>
      <x:c r="J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</x:row>
    <x:row r="6" ht="24" customHeight="1">
      <x:c r="B6" s="6" t="str">
        <x:v>Record</x:v>
      </x:c>
      <x:c r="C6" s="6" t="str">
        <x:v>Rig</x:v>
      </x:c>
      <x:c r="D6" s="6" t="str">
        <x:v>Position</x:v>
      </x:c>
      <x:c r="E6" s="6" t="str">
        <x:v>Trigger</x:v>
      </x:c>
      <x:c r="F6" s="6" t="str">
        <x:v>Custody root</x:v>
      </x:c>
      <x:c r="G6" s="6" t="str">
        <x:v>Release condition</x:v>
      </x:c>
      <x:c r="H6" s="6" t="str">
        <x:v>Board accepted UTC</x:v>
      </x:c>
      <x:c r="I6" s="6" t="str">
        <x:v>Observed state</x:v>
      </x:c>
      <x:c r="J6" s="6" t="str">
        <x:v>State</x:v>
      </x:c>
    </x:row>
    <x:row r="7">
      <x:c r="B7" s="28" t="str">
        <x:v>QT-RFP-A1-1</x:v>
      </x:c>
      <x:c r="C7" s="28" t="str">
        <x:v>RFP-A1</x:v>
      </x:c>
      <x:c r="D7" s="28" t="str">
        <x:v>position 1</x:v>
      </x:c>
      <x:c r="E7" s="29" t="str"/>
      <x:c r="F7" s="29" t="str"/>
      <x:c r="G7" s="29" t="str"/>
      <x:c r="H7" s="29" t="str"/>
      <x:c r="I7" s="29" t="str">
        <x:v>AVAILABLE</x:v>
      </x:c>
      <x:c r="J7" s="28" t="str">
        <x:f>IF(I7="","OPEN",IF(OR(I7="AVAILABLE",AND(I7="QUARANTINED",E7&lt;&gt;"",F7&lt;&gt;"")),I7,"FAIL"))</x:f>
        <x:v>AVAILABLE</x:v>
      </x:c>
    </x:row>
    <x:row r="8">
      <x:c r="B8" s="28" t="str">
        <x:v>QT-RFP-A1-2</x:v>
      </x:c>
      <x:c r="C8" s="28" t="str">
        <x:v>RFP-A1</x:v>
      </x:c>
      <x:c r="D8" s="28" t="str">
        <x:v>position 2</x:v>
      </x:c>
      <x:c r="E8" s="29" t="str"/>
      <x:c r="F8" s="29" t="str"/>
      <x:c r="G8" s="29" t="str"/>
      <x:c r="H8" s="29" t="str"/>
      <x:c r="I8" s="29" t="str">
        <x:v>AVAILABLE</x:v>
      </x:c>
      <x:c r="J8" s="28" t="str">
        <x:f>IF(I8="","OPEN",IF(OR(I8="AVAILABLE",AND(I8="QUARANTINED",E8&lt;&gt;"",F8&lt;&gt;"")),I8,"FAIL"))</x:f>
        <x:v>AVAILABLE</x:v>
      </x:c>
    </x:row>
    <x:row r="9">
      <x:c r="B9" s="28" t="str">
        <x:v>QT-RFP-A2-1</x:v>
      </x:c>
      <x:c r="C9" s="28" t="str">
        <x:v>RFP-A2</x:v>
      </x:c>
      <x:c r="D9" s="28" t="str">
        <x:v>position 1</x:v>
      </x:c>
      <x:c r="E9" s="29" t="str"/>
      <x:c r="F9" s="29" t="str"/>
      <x:c r="G9" s="29" t="str"/>
      <x:c r="H9" s="29" t="str"/>
      <x:c r="I9" s="29" t="str">
        <x:v>AVAILABLE</x:v>
      </x:c>
      <x:c r="J9" s="28" t="str">
        <x:f>IF(I9="","OPEN",IF(OR(I9="AVAILABLE",AND(I9="QUARANTINED",E9&lt;&gt;"",F9&lt;&gt;"")),I9,"FAIL"))</x:f>
        <x:v>AVAILABLE</x:v>
      </x:c>
    </x:row>
    <x:row r="10">
      <x:c r="B10" s="28" t="str">
        <x:v>QT-RFP-A2-2</x:v>
      </x:c>
      <x:c r="C10" s="28" t="str">
        <x:v>RFP-A2</x:v>
      </x:c>
      <x:c r="D10" s="28" t="str">
        <x:v>position 2</x:v>
      </x:c>
      <x:c r="E10" s="29" t="str"/>
      <x:c r="F10" s="29" t="str"/>
      <x:c r="G10" s="29" t="str"/>
      <x:c r="H10" s="29" t="str"/>
      <x:c r="I10" s="29" t="str">
        <x:v>AVAILABLE</x:v>
      </x:c>
      <x:c r="J10" s="28" t="str">
        <x:f>IF(I10="","OPEN",IF(OR(I10="AVAILABLE",AND(I10="QUARANTINED",E10&lt;&gt;"",F10&lt;&gt;"")),I10,"FAIL"))</x:f>
        <x:v>AVAILABLE</x:v>
      </x:c>
    </x:row>
    <x:row r="11">
      <x:c r="B11" s="28" t="str">
        <x:v>QT-RFP-B1-1</x:v>
      </x:c>
      <x:c r="C11" s="28" t="str">
        <x:v>RFP-B1</x:v>
      </x:c>
      <x:c r="D11" s="28" t="str">
        <x:v>position 1</x:v>
      </x:c>
      <x:c r="E11" s="29" t="str"/>
      <x:c r="F11" s="29" t="str"/>
      <x:c r="G11" s="29" t="str"/>
      <x:c r="H11" s="29" t="str"/>
      <x:c r="I11" s="29" t="str">
        <x:v>AVAILABLE</x:v>
      </x:c>
      <x:c r="J11" s="28" t="str">
        <x:f>IF(I11="","OPEN",IF(OR(I11="AVAILABLE",AND(I11="QUARANTINED",E11&lt;&gt;"",F11&lt;&gt;"")),I11,"FAIL"))</x:f>
        <x:v>AVAILABLE</x:v>
      </x:c>
    </x:row>
    <x:row r="12">
      <x:c r="B12" s="28" t="str">
        <x:v>QT-RFP-B1-2</x:v>
      </x:c>
      <x:c r="C12" s="28" t="str">
        <x:v>RFP-B1</x:v>
      </x:c>
      <x:c r="D12" s="28" t="str">
        <x:v>position 2</x:v>
      </x:c>
      <x:c r="E12" s="29" t="str"/>
      <x:c r="F12" s="29" t="str"/>
      <x:c r="G12" s="29" t="str"/>
      <x:c r="H12" s="29" t="str"/>
      <x:c r="I12" s="29" t="str">
        <x:v>AVAILABLE</x:v>
      </x:c>
      <x:c r="J12" s="28" t="str">
        <x:f>IF(I12="","OPEN",IF(OR(I12="AVAILABLE",AND(I12="QUARANTINED",E12&lt;&gt;"",F12&lt;&gt;"")),I12,"FAIL"))</x:f>
        <x:v>AVAILABLE</x:v>
      </x:c>
    </x:row>
    <x:row r="13">
      <x:c r="B13" s="28" t="str">
        <x:v>QT-RFP-B2-1</x:v>
      </x:c>
      <x:c r="C13" s="28" t="str">
        <x:v>RFP-B2</x:v>
      </x:c>
      <x:c r="D13" s="28" t="str">
        <x:v>position 1</x:v>
      </x:c>
      <x:c r="E13" s="29" t="str"/>
      <x:c r="F13" s="29" t="str"/>
      <x:c r="G13" s="29" t="str"/>
      <x:c r="H13" s="29" t="str"/>
      <x:c r="I13" s="29" t="str">
        <x:v>AVAILABLE</x:v>
      </x:c>
      <x:c r="J13" s="28" t="str">
        <x:f>IF(I13="","OPEN",IF(OR(I13="AVAILABLE",AND(I13="QUARANTINED",E13&lt;&gt;"",F13&lt;&gt;"")),I13,"FAIL"))</x:f>
        <x:v>AVAILABLE</x:v>
      </x:c>
    </x:row>
    <x:row r="14">
      <x:c r="B14" s="28" t="str">
        <x:v>QT-RFP-B2-2</x:v>
      </x:c>
      <x:c r="C14" s="28" t="str">
        <x:v>RFP-B2</x:v>
      </x:c>
      <x:c r="D14" s="28" t="str">
        <x:v>position 2</x:v>
      </x:c>
      <x:c r="E14" s="29" t="str"/>
      <x:c r="F14" s="29" t="str"/>
      <x:c r="G14" s="29" t="str"/>
      <x:c r="H14" s="29" t="str"/>
      <x:c r="I14" s="29" t="str">
        <x:v>AVAILABLE</x:v>
      </x:c>
      <x:c r="J14" s="28" t="str">
        <x:f>IF(I14="","OPEN",IF(OR(I14="AVAILABLE",AND(I14="QUARANTINED",E14&lt;&gt;"",F14&lt;&gt;"")),I14,"FAIL"))</x:f>
        <x:v>AVAILABLE</x:v>
      </x:c>
    </x:row>
    <x:row r="15">
      <x:c r="B15" s="28" t="str">
        <x:v>QT-RFP-C1-1</x:v>
      </x:c>
      <x:c r="C15" s="28" t="str">
        <x:v>RFP-C1</x:v>
      </x:c>
      <x:c r="D15" s="28" t="str">
        <x:v>position 1</x:v>
      </x:c>
      <x:c r="E15" s="29" t="str"/>
      <x:c r="F15" s="29" t="str"/>
      <x:c r="G15" s="29" t="str"/>
      <x:c r="H15" s="29" t="str"/>
      <x:c r="I15" s="29" t="str">
        <x:v>AVAILABLE</x:v>
      </x:c>
      <x:c r="J15" s="28" t="str">
        <x:f>IF(I15="","OPEN",IF(OR(I15="AVAILABLE",AND(I15="QUARANTINED",E15&lt;&gt;"",F15&lt;&gt;"")),I15,"FAIL"))</x:f>
        <x:v>AVAILABLE</x:v>
      </x:c>
    </x:row>
    <x:row r="16">
      <x:c r="B16" s="28" t="str">
        <x:v>QT-RFP-C1-2</x:v>
      </x:c>
      <x:c r="C16" s="28" t="str">
        <x:v>RFP-C1</x:v>
      </x:c>
      <x:c r="D16" s="28" t="str">
        <x:v>position 2</x:v>
      </x:c>
      <x:c r="E16" s="29" t="str"/>
      <x:c r="F16" s="29" t="str"/>
      <x:c r="G16" s="29" t="str"/>
      <x:c r="H16" s="29" t="str"/>
      <x:c r="I16" s="29" t="str">
        <x:v>AVAILABLE</x:v>
      </x:c>
      <x:c r="J16" s="28" t="str">
        <x:f>IF(I16="","OPEN",IF(OR(I16="AVAILABLE",AND(I16="QUARANTINED",E16&lt;&gt;"",F16&lt;&gt;"")),I16,"FAIL"))</x:f>
        <x:v>AVAILABLE</x:v>
      </x:c>
    </x:row>
    <x:row r="17">
      <x:c r="B17" s="28" t="str">
        <x:v>QT-RFP-C2-1</x:v>
      </x:c>
      <x:c r="C17" s="28" t="str">
        <x:v>RFP-C2</x:v>
      </x:c>
      <x:c r="D17" s="28" t="str">
        <x:v>position 1</x:v>
      </x:c>
      <x:c r="E17" s="29" t="str"/>
      <x:c r="F17" s="29" t="str"/>
      <x:c r="G17" s="29" t="str"/>
      <x:c r="H17" s="29" t="str"/>
      <x:c r="I17" s="29" t="str">
        <x:v>AVAILABLE</x:v>
      </x:c>
      <x:c r="J17" s="28" t="str">
        <x:f>IF(I17="","OPEN",IF(OR(I17="AVAILABLE",AND(I17="QUARANTINED",E17&lt;&gt;"",F17&lt;&gt;"")),I17,"FAIL"))</x:f>
        <x:v>AVAILABLE</x:v>
      </x:c>
    </x:row>
    <x:row r="18">
      <x:c r="B18" s="28" t="str">
        <x:v>QT-RFP-C2-2</x:v>
      </x:c>
      <x:c r="C18" s="28" t="str">
        <x:v>RFP-C2</x:v>
      </x:c>
      <x:c r="D18" s="28" t="str">
        <x:v>position 2</x:v>
      </x:c>
      <x:c r="E18" s="29" t="str"/>
      <x:c r="F18" s="29" t="str"/>
      <x:c r="G18" s="29" t="str"/>
      <x:c r="H18" s="29" t="str"/>
      <x:c r="I18" s="29" t="str">
        <x:v>AVAILABLE</x:v>
      </x:c>
      <x:c r="J18" s="28" t="str">
        <x:f>IF(I18="","OPEN",IF(OR(I18="AVAILABLE",AND(I18="QUARANTINED",E18&lt;&gt;"",F18&lt;&gt;"")),I18,"FAIL"))</x:f>
        <x:v>AVAILABLE</x:v>
      </x:c>
    </x:row>
  </x:sheetData>
  <x:conditionalFormatting sqref="J7:J18">
    <x:cfRule type="containsText" dxfId="225" priority="1" operator="containsText" text="FAIL"/>
    <x:cfRule type="containsText" dxfId="226" priority="2" operator="containsText" text="BLOCKED"/>
    <x:cfRule type="containsText" dxfId="227" priority="3" operator="containsText" text="INVALID"/>
    <x:cfRule type="containsText" dxfId="228" priority="4" operator="containsText" text="ADVERSE"/>
    <x:cfRule type="containsText" dxfId="229" priority="5" operator="containsText" text="EXPIRED"/>
    <x:cfRule type="containsText" dxfId="230" priority="6" operator="containsText" text="OPEN"/>
    <x:cfRule type="containsText" dxfId="231" priority="7" operator="containsText" text="DORMANT"/>
    <x:cfRule type="containsText" dxfId="232" priority="8" operator="containsText" text="PASS"/>
    <x:cfRule type="containsText" dxfId="233" priority="9" operator="containsText" text="AVAILABLE"/>
    <x:cfRule type="containsText" dxfId="234" priority="10" operator="containsText" text="FAIL"/>
    <x:cfRule type="containsText" dxfId="235" priority="11" operator="containsText" text="BLOCKED"/>
    <x:cfRule type="containsText" dxfId="236" priority="12" operator="containsText" text="INVALID"/>
    <x:cfRule type="containsText" dxfId="237" priority="13" operator="containsText" text="ADVERSE"/>
    <x:cfRule type="containsText" dxfId="238" priority="14" operator="containsText" text="EXPIRED"/>
    <x:cfRule type="containsText" dxfId="239" priority="15" operator="containsText" text="OPEN"/>
    <x:cfRule type="containsText" dxfId="240" priority="16" operator="containsText" text="DORMANT"/>
    <x:cfRule type="containsText" dxfId="241" priority="17" operator="containsText" text="PASS"/>
    <x:cfRule type="containsText" dxfId="242" priority="18" operator="containsText" text="AVAILABLE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42" hidden="0" customWidth="1"/>
    <x:col min="5" max="5" width="22" hidden="0" customWidth="1"/>
    <x:col min="6" max="6" width="22" hidden="0" customWidth="1"/>
    <x:col min="7" max="7" width="24" hidden="0" customWidth="1"/>
    <x:col min="8" max="8" width="34" hidden="0" customWidth="1"/>
    <x:col min="9" max="9" width="16" hidden="0" customWidth="1"/>
  </x:cols>
  <x:sheetData>
    <x:row r="2">
      <x:c r="B2" s="23" t="str">
        <x:v>Thirty attempt credential windows</x:v>
      </x:c>
      <x:c r="C2" s="24"/>
      <x:c r="D2" s="24"/>
      <x:c r="E2" s="24"/>
      <x:c r="F2" s="24"/>
      <x:c r="G2" s="24"/>
      <x:c r="H2" s="24"/>
      <x:c r="I2" s="24"/>
    </x:row>
    <x:row r="3">
      <x:c r="B3" s="25" t="str">
        <x:v>Every active event packet and renewed pair credential must cover the class decision date. Unused reserve positions remain dormant.</x:v>
      </x:c>
      <x:c r="C3" s="24"/>
      <x:c r="D3" s="24"/>
      <x:c r="E3" s="24"/>
      <x:c r="F3" s="24"/>
      <x:c r="G3" s="24"/>
      <x:c r="H3" s="24"/>
      <x:c r="I3" s="24"/>
    </x:row>
    <x:row r="4">
      <x:c r="B4" s="24"/>
      <x:c r="C4" s="24"/>
      <x:c r="D4" s="24"/>
      <x:c r="E4" s="24"/>
      <x:c r="F4" s="24"/>
      <x:c r="G4" s="24"/>
      <x:c r="H4" s="24"/>
      <x:c r="I4" s="24"/>
    </x:row>
    <x:row r="5">
      <x:c r="B5" s="24"/>
      <x:c r="C5" s="24"/>
      <x:c r="D5" s="24"/>
      <x:c r="E5" s="24"/>
      <x:c r="F5" s="24"/>
      <x:c r="G5" s="24"/>
      <x:c r="H5" s="24"/>
      <x:c r="I5" s="24"/>
    </x:row>
    <x:row r="6" ht="24" customHeight="1">
      <x:c r="B6" s="6" t="str">
        <x:v>Credential</x:v>
      </x:c>
      <x:c r="C6" s="6" t="str">
        <x:v>Token</x:v>
      </x:c>
      <x:c r="D6" s="6" t="str">
        <x:v>Class</x:v>
      </x:c>
      <x:c r="E6" s="6" t="str">
        <x:v>Valid from</x:v>
      </x:c>
      <x:c r="F6" s="6" t="str">
        <x:v>Valid through</x:v>
      </x:c>
      <x:c r="G6" s="6" t="str">
        <x:v>Class decision date</x:v>
      </x:c>
      <x:c r="H6" s="6" t="str">
        <x:v>Evidence root</x:v>
      </x:c>
      <x:c r="I6" s="6" t="str">
        <x:v>State</x:v>
      </x:c>
    </x:row>
    <x:row r="7">
      <x:c r="B7" s="28" t="str">
        <x:v>XP-01</x:v>
      </x:c>
      <x:c r="C7" s="28" t="str">
        <x:v>AT-01</x:v>
      </x:c>
      <x:c r="D7" s="28" t="str">
        <x:v>event packet and pair credential</x:v>
      </x:c>
      <x:c r="E7" s="29" t="str"/>
      <x:c r="F7" s="29" t="str"/>
      <x:c r="G7" s="29" t="str"/>
      <x:c r="H7" s="29" t="str"/>
      <x:c r="I7" s="28" t="str">
        <x:f>IF(AND(7&gt;30,'Attempt Tokens'!E7=""),"DORMANT",IF(H7="","OPEN",IF(AND(ISNUMBER(E7),ISNUMBER(F7),ISNUMBER(G7),G7&gt;=E7,G7&lt;=F7),"PASS","EXPIRED")))</x:f>
        <x:v>OPEN</x:v>
      </x:c>
    </x:row>
    <x:row r="8">
      <x:c r="B8" s="28" t="str">
        <x:v>XP-02</x:v>
      </x:c>
      <x:c r="C8" s="28" t="str">
        <x:v>AT-02</x:v>
      </x:c>
      <x:c r="D8" s="28" t="str">
        <x:v>event packet and pair credential</x:v>
      </x:c>
      <x:c r="E8" s="29" t="str"/>
      <x:c r="F8" s="29" t="str"/>
      <x:c r="G8" s="29" t="str"/>
      <x:c r="H8" s="29" t="str"/>
      <x:c r="I8" s="28" t="str">
        <x:f>IF(AND(8&gt;30,'Attempt Tokens'!E8=""),"DORMANT",IF(H8="","OPEN",IF(AND(ISNUMBER(E8),ISNUMBER(F8),ISNUMBER(G8),G8&gt;=E8,G8&lt;=F8),"PASS","EXPIRED")))</x:f>
        <x:v>OPEN</x:v>
      </x:c>
    </x:row>
    <x:row r="9">
      <x:c r="B9" s="28" t="str">
        <x:v>XP-03</x:v>
      </x:c>
      <x:c r="C9" s="28" t="str">
        <x:v>AT-03</x:v>
      </x:c>
      <x:c r="D9" s="28" t="str">
        <x:v>event packet and pair credential</x:v>
      </x:c>
      <x:c r="E9" s="29" t="str"/>
      <x:c r="F9" s="29" t="str"/>
      <x:c r="G9" s="29" t="str"/>
      <x:c r="H9" s="29" t="str"/>
      <x:c r="I9" s="28" t="str">
        <x:f>IF(AND(9&gt;30,'Attempt Tokens'!E9=""),"DORMANT",IF(H9="","OPEN",IF(AND(ISNUMBER(E9),ISNUMBER(F9),ISNUMBER(G9),G9&gt;=E9,G9&lt;=F9),"PASS","EXPIRED")))</x:f>
        <x:v>OPEN</x:v>
      </x:c>
    </x:row>
    <x:row r="10">
      <x:c r="B10" s="28" t="str">
        <x:v>XP-04</x:v>
      </x:c>
      <x:c r="C10" s="28" t="str">
        <x:v>AT-04</x:v>
      </x:c>
      <x:c r="D10" s="28" t="str">
        <x:v>event packet and pair credential</x:v>
      </x:c>
      <x:c r="E10" s="29" t="str"/>
      <x:c r="F10" s="29" t="str"/>
      <x:c r="G10" s="29" t="str"/>
      <x:c r="H10" s="29" t="str"/>
      <x:c r="I10" s="28" t="str">
        <x:f>IF(AND(10&gt;30,'Attempt Tokens'!E10=""),"DORMANT",IF(H10="","OPEN",IF(AND(ISNUMBER(E10),ISNUMBER(F10),ISNUMBER(G10),G10&gt;=E10,G10&lt;=F10),"PASS","EXPIRED")))</x:f>
        <x:v>OPEN</x:v>
      </x:c>
    </x:row>
    <x:row r="11">
      <x:c r="B11" s="28" t="str">
        <x:v>XP-05</x:v>
      </x:c>
      <x:c r="C11" s="28" t="str">
        <x:v>AT-05</x:v>
      </x:c>
      <x:c r="D11" s="28" t="str">
        <x:v>event packet and pair credential</x:v>
      </x:c>
      <x:c r="E11" s="29" t="str"/>
      <x:c r="F11" s="29" t="str"/>
      <x:c r="G11" s="29" t="str"/>
      <x:c r="H11" s="29" t="str"/>
      <x:c r="I11" s="28" t="str">
        <x:f>IF(AND(11&gt;30,'Attempt Tokens'!E11=""),"DORMANT",IF(H11="","OPEN",IF(AND(ISNUMBER(E11),ISNUMBER(F11),ISNUMBER(G11),G11&gt;=E11,G11&lt;=F11),"PASS","EXPIRED")))</x:f>
        <x:v>OPEN</x:v>
      </x:c>
    </x:row>
    <x:row r="12">
      <x:c r="B12" s="28" t="str">
        <x:v>XP-06</x:v>
      </x:c>
      <x:c r="C12" s="28" t="str">
        <x:v>AT-06</x:v>
      </x:c>
      <x:c r="D12" s="28" t="str">
        <x:v>event packet and pair credential</x:v>
      </x:c>
      <x:c r="E12" s="29" t="str"/>
      <x:c r="F12" s="29" t="str"/>
      <x:c r="G12" s="29" t="str"/>
      <x:c r="H12" s="29" t="str"/>
      <x:c r="I12" s="28" t="str">
        <x:f>IF(AND(12&gt;30,'Attempt Tokens'!E12=""),"DORMANT",IF(H12="","OPEN",IF(AND(ISNUMBER(E12),ISNUMBER(F12),ISNUMBER(G12),G12&gt;=E12,G12&lt;=F12),"PASS","EXPIRED")))</x:f>
        <x:v>OPEN</x:v>
      </x:c>
    </x:row>
    <x:row r="13">
      <x:c r="B13" s="28" t="str">
        <x:v>XP-07</x:v>
      </x:c>
      <x:c r="C13" s="28" t="str">
        <x:v>AT-07</x:v>
      </x:c>
      <x:c r="D13" s="28" t="str">
        <x:v>event packet and pair credential</x:v>
      </x:c>
      <x:c r="E13" s="29" t="str"/>
      <x:c r="F13" s="29" t="str"/>
      <x:c r="G13" s="29" t="str"/>
      <x:c r="H13" s="29" t="str"/>
      <x:c r="I13" s="28" t="str">
        <x:f>IF(AND(13&gt;30,'Attempt Tokens'!E13=""),"DORMANT",IF(H13="","OPEN",IF(AND(ISNUMBER(E13),ISNUMBER(F13),ISNUMBER(G13),G13&gt;=E13,G13&lt;=F13),"PASS","EXPIRED")))</x:f>
        <x:v>OPEN</x:v>
      </x:c>
    </x:row>
    <x:row r="14">
      <x:c r="B14" s="28" t="str">
        <x:v>XP-08</x:v>
      </x:c>
      <x:c r="C14" s="28" t="str">
        <x:v>AT-08</x:v>
      </x:c>
      <x:c r="D14" s="28" t="str">
        <x:v>event packet and pair credential</x:v>
      </x:c>
      <x:c r="E14" s="29" t="str"/>
      <x:c r="F14" s="29" t="str"/>
      <x:c r="G14" s="29" t="str"/>
      <x:c r="H14" s="29" t="str"/>
      <x:c r="I14" s="28" t="str">
        <x:f>IF(AND(14&gt;30,'Attempt Tokens'!E14=""),"DORMANT",IF(H14="","OPEN",IF(AND(ISNUMBER(E14),ISNUMBER(F14),ISNUMBER(G14),G14&gt;=E14,G14&lt;=F14),"PASS","EXPIRED")))</x:f>
        <x:v>OPEN</x:v>
      </x:c>
    </x:row>
    <x:row r="15">
      <x:c r="B15" s="28" t="str">
        <x:v>XP-09</x:v>
      </x:c>
      <x:c r="C15" s="28" t="str">
        <x:v>AT-09</x:v>
      </x:c>
      <x:c r="D15" s="28" t="str">
        <x:v>event packet and pair credential</x:v>
      </x:c>
      <x:c r="E15" s="29" t="str"/>
      <x:c r="F15" s="29" t="str"/>
      <x:c r="G15" s="29" t="str"/>
      <x:c r="H15" s="29" t="str"/>
      <x:c r="I15" s="28" t="str">
        <x:f>IF(AND(15&gt;30,'Attempt Tokens'!E15=""),"DORMANT",IF(H15="","OPEN",IF(AND(ISNUMBER(E15),ISNUMBER(F15),ISNUMBER(G15),G15&gt;=E15,G15&lt;=F15),"PASS","EXPIRED")))</x:f>
        <x:v>OPEN</x:v>
      </x:c>
    </x:row>
    <x:row r="16">
      <x:c r="B16" s="28" t="str">
        <x:v>XP-10</x:v>
      </x:c>
      <x:c r="C16" s="28" t="str">
        <x:v>AT-10</x:v>
      </x:c>
      <x:c r="D16" s="28" t="str">
        <x:v>event packet and pair credential</x:v>
      </x:c>
      <x:c r="E16" s="29" t="str"/>
      <x:c r="F16" s="29" t="str"/>
      <x:c r="G16" s="29" t="str"/>
      <x:c r="H16" s="29" t="str"/>
      <x:c r="I16" s="28" t="str">
        <x:f>IF(AND(16&gt;30,'Attempt Tokens'!E16=""),"DORMANT",IF(H16="","OPEN",IF(AND(ISNUMBER(E16),ISNUMBER(F16),ISNUMBER(G16),G16&gt;=E16,G16&lt;=F16),"PASS","EXPIRED")))</x:f>
        <x:v>OPEN</x:v>
      </x:c>
    </x:row>
    <x:row r="17">
      <x:c r="B17" s="28" t="str">
        <x:v>XP-11</x:v>
      </x:c>
      <x:c r="C17" s="28" t="str">
        <x:v>AT-11</x:v>
      </x:c>
      <x:c r="D17" s="28" t="str">
        <x:v>event packet and pair credential</x:v>
      </x:c>
      <x:c r="E17" s="29" t="str"/>
      <x:c r="F17" s="29" t="str"/>
      <x:c r="G17" s="29" t="str"/>
      <x:c r="H17" s="29" t="str"/>
      <x:c r="I17" s="28" t="str">
        <x:f>IF(AND(17&gt;30,'Attempt Tokens'!E17=""),"DORMANT",IF(H17="","OPEN",IF(AND(ISNUMBER(E17),ISNUMBER(F17),ISNUMBER(G17),G17&gt;=E17,G17&lt;=F17),"PASS","EXPIRED")))</x:f>
        <x:v>OPEN</x:v>
      </x:c>
    </x:row>
    <x:row r="18">
      <x:c r="B18" s="28" t="str">
        <x:v>XP-12</x:v>
      </x:c>
      <x:c r="C18" s="28" t="str">
        <x:v>AT-12</x:v>
      </x:c>
      <x:c r="D18" s="28" t="str">
        <x:v>event packet and pair credential</x:v>
      </x:c>
      <x:c r="E18" s="29" t="str"/>
      <x:c r="F18" s="29" t="str"/>
      <x:c r="G18" s="29" t="str"/>
      <x:c r="H18" s="29" t="str"/>
      <x:c r="I18" s="28" t="str">
        <x:f>IF(AND(18&gt;30,'Attempt Tokens'!E18=""),"DORMANT",IF(H18="","OPEN",IF(AND(ISNUMBER(E18),ISNUMBER(F18),ISNUMBER(G18),G18&gt;=E18,G18&lt;=F18),"PASS","EXPIRED")))</x:f>
        <x:v>OPEN</x:v>
      </x:c>
    </x:row>
    <x:row r="19">
      <x:c r="B19" s="28" t="str">
        <x:v>XP-13</x:v>
      </x:c>
      <x:c r="C19" s="28" t="str">
        <x:v>AT-13</x:v>
      </x:c>
      <x:c r="D19" s="28" t="str">
        <x:v>event packet and pair credential</x:v>
      </x:c>
      <x:c r="E19" s="29" t="str"/>
      <x:c r="F19" s="29" t="str"/>
      <x:c r="G19" s="29" t="str"/>
      <x:c r="H19" s="29" t="str"/>
      <x:c r="I19" s="28" t="str">
        <x:f>IF(AND(19&gt;30,'Attempt Tokens'!E19=""),"DORMANT",IF(H19="","OPEN",IF(AND(ISNUMBER(E19),ISNUMBER(F19),ISNUMBER(G19),G19&gt;=E19,G19&lt;=F19),"PASS","EXPIRED")))</x:f>
        <x:v>OPEN</x:v>
      </x:c>
    </x:row>
    <x:row r="20">
      <x:c r="B20" s="28" t="str">
        <x:v>XP-14</x:v>
      </x:c>
      <x:c r="C20" s="28" t="str">
        <x:v>AT-14</x:v>
      </x:c>
      <x:c r="D20" s="28" t="str">
        <x:v>event packet and pair credential</x:v>
      </x:c>
      <x:c r="E20" s="29" t="str"/>
      <x:c r="F20" s="29" t="str"/>
      <x:c r="G20" s="29" t="str"/>
      <x:c r="H20" s="29" t="str"/>
      <x:c r="I20" s="28" t="str">
        <x:f>IF(AND(20&gt;30,'Attempt Tokens'!E20=""),"DORMANT",IF(H20="","OPEN",IF(AND(ISNUMBER(E20),ISNUMBER(F20),ISNUMBER(G20),G20&gt;=E20,G20&lt;=F20),"PASS","EXPIRED")))</x:f>
        <x:v>OPEN</x:v>
      </x:c>
    </x:row>
    <x:row r="21">
      <x:c r="B21" s="28" t="str">
        <x:v>XP-15</x:v>
      </x:c>
      <x:c r="C21" s="28" t="str">
        <x:v>AT-15</x:v>
      </x:c>
      <x:c r="D21" s="28" t="str">
        <x:v>event packet and pair credential</x:v>
      </x:c>
      <x:c r="E21" s="29" t="str"/>
      <x:c r="F21" s="29" t="str"/>
      <x:c r="G21" s="29" t="str"/>
      <x:c r="H21" s="29" t="str"/>
      <x:c r="I21" s="28" t="str">
        <x:f>IF(AND(21&gt;30,'Attempt Tokens'!E21=""),"DORMANT",IF(H21="","OPEN",IF(AND(ISNUMBER(E21),ISNUMBER(F21),ISNUMBER(G21),G21&gt;=E21,G21&lt;=F21),"PASS","EXPIRED")))</x:f>
        <x:v>OPEN</x:v>
      </x:c>
    </x:row>
    <x:row r="22">
      <x:c r="B22" s="28" t="str">
        <x:v>XP-16</x:v>
      </x:c>
      <x:c r="C22" s="28" t="str">
        <x:v>AT-16</x:v>
      </x:c>
      <x:c r="D22" s="28" t="str">
        <x:v>event packet and pair credential</x:v>
      </x:c>
      <x:c r="E22" s="29" t="str"/>
      <x:c r="F22" s="29" t="str"/>
      <x:c r="G22" s="29" t="str"/>
      <x:c r="H22" s="29" t="str"/>
      <x:c r="I22" s="28" t="str">
        <x:f>IF(AND(22&gt;30,'Attempt Tokens'!E22=""),"DORMANT",IF(H22="","OPEN",IF(AND(ISNUMBER(E22),ISNUMBER(F22),ISNUMBER(G22),G22&gt;=E22,G22&lt;=F22),"PASS","EXPIRED")))</x:f>
        <x:v>OPEN</x:v>
      </x:c>
    </x:row>
    <x:row r="23">
      <x:c r="B23" s="28" t="str">
        <x:v>XP-17</x:v>
      </x:c>
      <x:c r="C23" s="28" t="str">
        <x:v>AT-17</x:v>
      </x:c>
      <x:c r="D23" s="28" t="str">
        <x:v>event packet and pair credential</x:v>
      </x:c>
      <x:c r="E23" s="29" t="str"/>
      <x:c r="F23" s="29" t="str"/>
      <x:c r="G23" s="29" t="str"/>
      <x:c r="H23" s="29" t="str"/>
      <x:c r="I23" s="28" t="str">
        <x:f>IF(AND(23&gt;30,'Attempt Tokens'!E23=""),"DORMANT",IF(H23="","OPEN",IF(AND(ISNUMBER(E23),ISNUMBER(F23),ISNUMBER(G23),G23&gt;=E23,G23&lt;=F23),"PASS","EXPIRED")))</x:f>
        <x:v>OPEN</x:v>
      </x:c>
    </x:row>
    <x:row r="24">
      <x:c r="B24" s="28" t="str">
        <x:v>XP-18</x:v>
      </x:c>
      <x:c r="C24" s="28" t="str">
        <x:v>AT-18</x:v>
      </x:c>
      <x:c r="D24" s="28" t="str">
        <x:v>event packet and pair credential</x:v>
      </x:c>
      <x:c r="E24" s="29" t="str"/>
      <x:c r="F24" s="29" t="str"/>
      <x:c r="G24" s="29" t="str"/>
      <x:c r="H24" s="29" t="str"/>
      <x:c r="I24" s="28" t="str">
        <x:f>IF(AND(24&gt;30,'Attempt Tokens'!E24=""),"DORMANT",IF(H24="","OPEN",IF(AND(ISNUMBER(E24),ISNUMBER(F24),ISNUMBER(G24),G24&gt;=E24,G24&lt;=F24),"PASS","EXPIRED")))</x:f>
        <x:v>OPEN</x:v>
      </x:c>
    </x:row>
    <x:row r="25">
      <x:c r="B25" s="28" t="str">
        <x:v>XP-19</x:v>
      </x:c>
      <x:c r="C25" s="28" t="str">
        <x:v>AT-19</x:v>
      </x:c>
      <x:c r="D25" s="28" t="str">
        <x:v>event packet and pair credential</x:v>
      </x:c>
      <x:c r="E25" s="29" t="str"/>
      <x:c r="F25" s="29" t="str"/>
      <x:c r="G25" s="29" t="str"/>
      <x:c r="H25" s="29" t="str"/>
      <x:c r="I25" s="28" t="str">
        <x:f>IF(AND(25&gt;30,'Attempt Tokens'!E25=""),"DORMANT",IF(H25="","OPEN",IF(AND(ISNUMBER(E25),ISNUMBER(F25),ISNUMBER(G25),G25&gt;=E25,G25&lt;=F25),"PASS","EXPIRED")))</x:f>
        <x:v>OPEN</x:v>
      </x:c>
    </x:row>
    <x:row r="26">
      <x:c r="B26" s="28" t="str">
        <x:v>XP-20</x:v>
      </x:c>
      <x:c r="C26" s="28" t="str">
        <x:v>AT-20</x:v>
      </x:c>
      <x:c r="D26" s="28" t="str">
        <x:v>event packet and pair credential</x:v>
      </x:c>
      <x:c r="E26" s="29" t="str"/>
      <x:c r="F26" s="29" t="str"/>
      <x:c r="G26" s="29" t="str"/>
      <x:c r="H26" s="29" t="str"/>
      <x:c r="I26" s="28" t="str">
        <x:f>IF(AND(26&gt;30,'Attempt Tokens'!E26=""),"DORMANT",IF(H26="","OPEN",IF(AND(ISNUMBER(E26),ISNUMBER(F26),ISNUMBER(G26),G26&gt;=E26,G26&lt;=F26),"PASS","EXPIRED")))</x:f>
        <x:v>OPEN</x:v>
      </x:c>
    </x:row>
    <x:row r="27">
      <x:c r="B27" s="28" t="str">
        <x:v>XP-21</x:v>
      </x:c>
      <x:c r="C27" s="28" t="str">
        <x:v>AT-21</x:v>
      </x:c>
      <x:c r="D27" s="28" t="str">
        <x:v>event packet and pair credential</x:v>
      </x:c>
      <x:c r="E27" s="29" t="str"/>
      <x:c r="F27" s="29" t="str"/>
      <x:c r="G27" s="29" t="str"/>
      <x:c r="H27" s="29" t="str"/>
      <x:c r="I27" s="28" t="str">
        <x:f>IF(AND(27&gt;30,'Attempt Tokens'!E27=""),"DORMANT",IF(H27="","OPEN",IF(AND(ISNUMBER(E27),ISNUMBER(F27),ISNUMBER(G27),G27&gt;=E27,G27&lt;=F27),"PASS","EXPIRED")))</x:f>
        <x:v>OPEN</x:v>
      </x:c>
    </x:row>
    <x:row r="28">
      <x:c r="B28" s="28" t="str">
        <x:v>XP-22</x:v>
      </x:c>
      <x:c r="C28" s="28" t="str">
        <x:v>AT-22</x:v>
      </x:c>
      <x:c r="D28" s="28" t="str">
        <x:v>event packet and pair credential</x:v>
      </x:c>
      <x:c r="E28" s="29" t="str"/>
      <x:c r="F28" s="29" t="str"/>
      <x:c r="G28" s="29" t="str"/>
      <x:c r="H28" s="29" t="str"/>
      <x:c r="I28" s="28" t="str">
        <x:f>IF(AND(28&gt;30,'Attempt Tokens'!E28=""),"DORMANT",IF(H28="","OPEN",IF(AND(ISNUMBER(E28),ISNUMBER(F28),ISNUMBER(G28),G28&gt;=E28,G28&lt;=F28),"PASS","EXPIRED")))</x:f>
        <x:v>OPEN</x:v>
      </x:c>
    </x:row>
    <x:row r="29">
      <x:c r="B29" s="28" t="str">
        <x:v>XP-23</x:v>
      </x:c>
      <x:c r="C29" s="28" t="str">
        <x:v>AT-23</x:v>
      </x:c>
      <x:c r="D29" s="28" t="str">
        <x:v>event packet and pair credential</x:v>
      </x:c>
      <x:c r="E29" s="29" t="str"/>
      <x:c r="F29" s="29" t="str"/>
      <x:c r="G29" s="29" t="str"/>
      <x:c r="H29" s="29" t="str"/>
      <x:c r="I29" s="28" t="str">
        <x:f>IF(AND(29&gt;30,'Attempt Tokens'!E29=""),"DORMANT",IF(H29="","OPEN",IF(AND(ISNUMBER(E29),ISNUMBER(F29),ISNUMBER(G29),G29&gt;=E29,G29&lt;=F29),"PASS","EXPIRED")))</x:f>
        <x:v>OPEN</x:v>
      </x:c>
    </x:row>
    <x:row r="30">
      <x:c r="B30" s="28" t="str">
        <x:v>XP-24</x:v>
      </x:c>
      <x:c r="C30" s="28" t="str">
        <x:v>AT-24</x:v>
      </x:c>
      <x:c r="D30" s="28" t="str">
        <x:v>event packet and pair credential</x:v>
      </x:c>
      <x:c r="E30" s="29" t="str"/>
      <x:c r="F30" s="29" t="str"/>
      <x:c r="G30" s="29" t="str"/>
      <x:c r="H30" s="29" t="str"/>
      <x:c r="I30" s="28" t="str">
        <x:f>IF(AND(30&gt;30,'Attempt Tokens'!E30=""),"DORMANT",IF(H30="","OPEN",IF(AND(ISNUMBER(E30),ISNUMBER(F30),ISNUMBER(G30),G30&gt;=E30,G30&lt;=F30),"PASS","EXPIRED")))</x:f>
        <x:v>OPEN</x:v>
      </x:c>
    </x:row>
    <x:row r="31">
      <x:c r="B31" s="28" t="str">
        <x:v>XP-25</x:v>
      </x:c>
      <x:c r="C31" s="28" t="str">
        <x:v>AT-25</x:v>
      </x:c>
      <x:c r="D31" s="28" t="str">
        <x:v>event packet and pair credential</x:v>
      </x:c>
      <x:c r="E31" s="29" t="str"/>
      <x:c r="F31" s="29" t="str"/>
      <x:c r="G31" s="29" t="str"/>
      <x:c r="H31" s="29" t="str"/>
      <x:c r="I31" s="28" t="str">
        <x:f>IF(AND(31&gt;30,'Attempt Tokens'!E31=""),"DORMANT",IF(H31="","OPEN",IF(AND(ISNUMBER(E31),ISNUMBER(F31),ISNUMBER(G31),G31&gt;=E31,G31&lt;=F31),"PASS","EXPIRED")))</x:f>
        <x:v>DORMANT</x:v>
      </x:c>
    </x:row>
    <x:row r="32">
      <x:c r="B32" s="28" t="str">
        <x:v>XP-26</x:v>
      </x:c>
      <x:c r="C32" s="28" t="str">
        <x:v>AT-26</x:v>
      </x:c>
      <x:c r="D32" s="28" t="str">
        <x:v>event packet and pair credential</x:v>
      </x:c>
      <x:c r="E32" s="29" t="str"/>
      <x:c r="F32" s="29" t="str"/>
      <x:c r="G32" s="29" t="str"/>
      <x:c r="H32" s="29" t="str"/>
      <x:c r="I32" s="28" t="str">
        <x:f>IF(AND(32&gt;30,'Attempt Tokens'!E32=""),"DORMANT",IF(H32="","OPEN",IF(AND(ISNUMBER(E32),ISNUMBER(F32),ISNUMBER(G32),G32&gt;=E32,G32&lt;=F32),"PASS","EXPIRED")))</x:f>
        <x:v>DORMANT</x:v>
      </x:c>
    </x:row>
    <x:row r="33">
      <x:c r="B33" s="28" t="str">
        <x:v>XP-27</x:v>
      </x:c>
      <x:c r="C33" s="28" t="str">
        <x:v>AT-27</x:v>
      </x:c>
      <x:c r="D33" s="28" t="str">
        <x:v>event packet and pair credential</x:v>
      </x:c>
      <x:c r="E33" s="29" t="str"/>
      <x:c r="F33" s="29" t="str"/>
      <x:c r="G33" s="29" t="str"/>
      <x:c r="H33" s="29" t="str"/>
      <x:c r="I33" s="28" t="str">
        <x:f>IF(AND(33&gt;30,'Attempt Tokens'!E33=""),"DORMANT",IF(H33="","OPEN",IF(AND(ISNUMBER(E33),ISNUMBER(F33),ISNUMBER(G33),G33&gt;=E33,G33&lt;=F33),"PASS","EXPIRED")))</x:f>
        <x:v>DORMANT</x:v>
      </x:c>
    </x:row>
    <x:row r="34">
      <x:c r="B34" s="28" t="str">
        <x:v>XP-28</x:v>
      </x:c>
      <x:c r="C34" s="28" t="str">
        <x:v>AT-28</x:v>
      </x:c>
      <x:c r="D34" s="28" t="str">
        <x:v>event packet and pair credential</x:v>
      </x:c>
      <x:c r="E34" s="29" t="str"/>
      <x:c r="F34" s="29" t="str"/>
      <x:c r="G34" s="29" t="str"/>
      <x:c r="H34" s="29" t="str"/>
      <x:c r="I34" s="28" t="str">
        <x:f>IF(AND(34&gt;30,'Attempt Tokens'!E34=""),"DORMANT",IF(H34="","OPEN",IF(AND(ISNUMBER(E34),ISNUMBER(F34),ISNUMBER(G34),G34&gt;=E34,G34&lt;=F34),"PASS","EXPIRED")))</x:f>
        <x:v>DORMANT</x:v>
      </x:c>
    </x:row>
    <x:row r="35">
      <x:c r="B35" s="28" t="str">
        <x:v>XP-29</x:v>
      </x:c>
      <x:c r="C35" s="28" t="str">
        <x:v>AT-29</x:v>
      </x:c>
      <x:c r="D35" s="28" t="str">
        <x:v>event packet and pair credential</x:v>
      </x:c>
      <x:c r="E35" s="29" t="str"/>
      <x:c r="F35" s="29" t="str"/>
      <x:c r="G35" s="29" t="str"/>
      <x:c r="H35" s="29" t="str"/>
      <x:c r="I35" s="28" t="str">
        <x:f>IF(AND(35&gt;30,'Attempt Tokens'!E35=""),"DORMANT",IF(H35="","OPEN",IF(AND(ISNUMBER(E35),ISNUMBER(F35),ISNUMBER(G35),G35&gt;=E35,G35&lt;=F35),"PASS","EXPIRED")))</x:f>
        <x:v>DORMANT</x:v>
      </x:c>
    </x:row>
    <x:row r="36">
      <x:c r="B36" s="28" t="str">
        <x:v>XP-30</x:v>
      </x:c>
      <x:c r="C36" s="28" t="str">
        <x:v>AT-30</x:v>
      </x:c>
      <x:c r="D36" s="28" t="str">
        <x:v>event packet and pair credential</x:v>
      </x:c>
      <x:c r="E36" s="29" t="str"/>
      <x:c r="F36" s="29" t="str"/>
      <x:c r="G36" s="29" t="str"/>
      <x:c r="H36" s="29" t="str"/>
      <x:c r="I36" s="28" t="str">
        <x:f>IF(AND(36&gt;30,'Attempt Tokens'!E36=""),"DORMANT",IF(H36="","OPEN",IF(AND(ISNUMBER(E36),ISNUMBER(F36),ISNUMBER(G36),G36&gt;=E36,G36&lt;=F36),"PASS","EXPIRED")))</x:f>
        <x:v>DORMANT</x:v>
      </x:c>
    </x:row>
  </x:sheetData>
  <x:conditionalFormatting sqref="I7:I36">
    <x:cfRule type="containsText" dxfId="243" priority="1" operator="containsText" text="FAIL"/>
    <x:cfRule type="containsText" dxfId="244" priority="2" operator="containsText" text="BLOCKED"/>
    <x:cfRule type="containsText" dxfId="245" priority="3" operator="containsText" text="INVALID"/>
    <x:cfRule type="containsText" dxfId="246" priority="4" operator="containsText" text="ADVERSE"/>
    <x:cfRule type="containsText" dxfId="247" priority="5" operator="containsText" text="EXPIRED"/>
    <x:cfRule type="containsText" dxfId="248" priority="6" operator="containsText" text="OPEN"/>
    <x:cfRule type="containsText" dxfId="249" priority="7" operator="containsText" text="DORMANT"/>
    <x:cfRule type="containsText" dxfId="250" priority="8" operator="containsText" text="PASS"/>
    <x:cfRule type="containsText" dxfId="251" priority="9" operator="containsText" text="AVAILABLE"/>
    <x:cfRule type="containsText" dxfId="252" priority="10" operator="containsText" text="FAIL"/>
    <x:cfRule type="containsText" dxfId="253" priority="11" operator="containsText" text="BLOCKED"/>
    <x:cfRule type="containsText" dxfId="254" priority="12" operator="containsText" text="INVALID"/>
    <x:cfRule type="containsText" dxfId="255" priority="13" operator="containsText" text="ADVERSE"/>
    <x:cfRule type="containsText" dxfId="256" priority="14" operator="containsText" text="EXPIRED"/>
    <x:cfRule type="containsText" dxfId="257" priority="15" operator="containsText" text="OPEN"/>
    <x:cfRule type="containsText" dxfId="258" priority="16" operator="containsText" text="DORMANT"/>
    <x:cfRule type="containsText" dxfId="259" priority="17" operator="containsText" text="PASS"/>
    <x:cfRule type="containsText" dxfId="260" priority="18" operator="containsText" text="AVAILABLE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3" hidden="0" customWidth="1"/>
    <x:col min="4" max="4" width="70" hidden="0" customWidth="1"/>
    <x:col min="5" max="5" width="18" hidden="0" customWidth="1"/>
    <x:col min="6" max="6" width="19" hidden="0" customWidth="1"/>
    <x:col min="7" max="7" width="23" hidden="0" customWidth="1"/>
    <x:col min="8" max="8" width="16" hidden="0" customWidth="1"/>
  </x:cols>
  <x:sheetData>
    <x:row r="2">
      <x:c r="B2" s="23" t="str">
        <x:v>Thirty-two conjunctive RAZ-1 release gates</x:v>
      </x:c>
      <x:c r="C2" s="24"/>
      <x:c r="D2" s="24"/>
      <x:c r="E2" s="24"/>
      <x:c r="F2" s="24"/>
      <x:c r="G2" s="24"/>
      <x:c r="H2" s="24"/>
    </x:row>
    <x:row r="3">
      <x:c r="B3" s="25" t="str">
        <x:v>No gate is averaged. The class closes only after execution, reuse, transfer, replay, finance and authority boundaries all pass.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Gate</x:v>
      </x:c>
      <x:c r="C6" s="6" t="str">
        <x:v>Sequence</x:v>
      </x:c>
      <x:c r="D6" s="6" t="str">
        <x:v>Requirement</x:v>
      </x:c>
      <x:c r="E6" s="6" t="str">
        <x:v>Required state</x:v>
      </x:c>
      <x:c r="F6" s="6" t="str">
        <x:v>Observed state</x:v>
      </x:c>
      <x:c r="G6" s="6" t="str">
        <x:v>Board accepted UTC</x:v>
      </x:c>
      <x:c r="H6" s="6" t="str">
        <x:v>State</x:v>
      </x:c>
    </x:row>
    <x:row r="7" ht="34" customHeight="1">
      <x:c r="B7" s="28" t="str">
        <x:v>CG-01</x:v>
      </x:c>
      <x:c r="C7" s="28" t="n">
        <x:v>1</x:v>
      </x:c>
      <x:c r="D7" s="33" t="str">
        <x:v>RAY seed and packet accepted</x:v>
      </x:c>
      <x:c r="E7" s="28" t="str">
        <x:v>PASS</x:v>
      </x:c>
      <x:c r="F7" s="28" t="str">
        <x:f>IF(AND('Controls'!$D$73="PASS",'Controls'!$D$72&lt;&gt;""),"PASS","OPEN")</x:f>
        <x:v>OPEN</x:v>
      </x:c>
      <x:c r="G7" s="29" t="str"/>
      <x:c r="H7" s="28" t="str">
        <x:f>IF(G7="","OPEN",IF(F7=E7,"PASS","FAIL"))</x:f>
        <x:v>OPEN</x:v>
      </x:c>
    </x:row>
    <x:row r="8" ht="34" customHeight="1">
      <x:c r="B8" s="28" t="str">
        <x:v>CG-02</x:v>
      </x:c>
      <x:c r="C8" s="28" t="n">
        <x:v>2</x:v>
      </x:c>
      <x:c r="D8" s="33" t="str">
        <x:v>schedule transform accepted</x:v>
      </x:c>
      <x:c r="E8" s="28" t="str">
        <x:v>PASS</x:v>
      </x:c>
      <x:c r="F8" s="28" t="str">
        <x:f>'Schedule Transform'!E13</x:f>
        <x:v>OPEN</x:v>
      </x:c>
      <x:c r="G8" s="29" t="str"/>
      <x:c r="H8" s="28" t="str">
        <x:f>IF(G8="","OPEN",IF(F8=E8,"PASS","FAIL"))</x:f>
        <x:v>OPEN</x:v>
      </x:c>
    </x:row>
    <x:row r="9" ht="34" customHeight="1">
      <x:c r="B9" s="28" t="str">
        <x:v>CG-03</x:v>
      </x:c>
      <x:c r="C9" s="28" t="n">
        <x:v>3</x:v>
      </x:c>
      <x:c r="D9" s="33" t="str">
        <x:v>twenty-four unique scheduled cells</x:v>
      </x:c>
      <x:c r="E9" s="28" t="str">
        <x:v>PASS</x:v>
      </x:c>
      <x:c r="F9" s="28" t="str">
        <x:f>IF(COUNTIFS('Wave Schedule'!L7:L30,"PASS")=24,"PASS","OPEN")</x:f>
        <x:v>OPEN</x:v>
      </x:c>
      <x:c r="G9" s="29" t="str"/>
      <x:c r="H9" s="28" t="str">
        <x:f>IF(G9="","OPEN",IF(F9=E9,"PASS","FAIL"))</x:f>
        <x:v>OPEN</x:v>
      </x:c>
    </x:row>
    <x:row r="10" ht="34" customHeight="1">
      <x:c r="B10" s="28" t="str">
        <x:v>CG-04</x:v>
      </x:c>
      <x:c r="C10" s="28" t="n">
        <x:v>4</x:v>
      </x:c>
      <x:c r="D10" s="33" t="str">
        <x:v>wave and position balance accepted</x:v>
      </x:c>
      <x:c r="E10" s="28" t="str">
        <x:v>PASS</x:v>
      </x:c>
      <x:c r="F10" s="28" t="str">
        <x:f>IF(COUNTIFS('Balance Checks'!H7:H30,"PASS")=24,"PASS","OPEN")</x:f>
        <x:v>OPEN</x:v>
      </x:c>
      <x:c r="G10" s="29" t="str"/>
      <x:c r="H10" s="28" t="str">
        <x:f>IF(G10="","OPEN",IF(F10=E10,"PASS","FAIL"))</x:f>
        <x:v>OPEN</x:v>
      </x:c>
    </x:row>
    <x:row r="11" ht="34" customHeight="1">
      <x:c r="B11" s="28" t="str">
        <x:v>CG-05</x:v>
      </x:c>
      <x:c r="C11" s="28" t="n">
        <x:v>5</x:v>
      </x:c>
      <x:c r="D11" s="33" t="str">
        <x:v>directed carryover balance accepted</x:v>
      </x:c>
      <x:c r="E11" s="28" t="str">
        <x:v>PASS</x:v>
      </x:c>
      <x:c r="F11" s="28" t="str">
        <x:f>IF(COUNTIFS('Balance Checks'!H31:H42,"PASS")=12,"PASS","OPEN")</x:f>
        <x:v>OPEN</x:v>
      </x:c>
      <x:c r="G11" s="29" t="str"/>
      <x:c r="H11" s="28" t="str">
        <x:f>IF(G11="","OPEN",IF(F11=E11,"PASS","FAIL"))</x:f>
        <x:v>OPEN</x:v>
      </x:c>
    </x:row>
    <x:row r="12" ht="34" customHeight="1">
      <x:c r="B12" s="28" t="str">
        <x:v>CG-06</x:v>
      </x:c>
      <x:c r="C12" s="28" t="n">
        <x:v>6</x:v>
      </x:c>
      <x:c r="D12" s="33" t="str">
        <x:v>primary token ledger complete</x:v>
      </x:c>
      <x:c r="E12" s="28" t="str">
        <x:v>PASS</x:v>
      </x:c>
      <x:c r="F12" s="28" t="str">
        <x:f>IF(COUNTIFS('Attempt Tokens'!I7:I30,"AVAILABLE")=24,"PASS","OPEN")</x:f>
        <x:v>OPEN</x:v>
      </x:c>
      <x:c r="G12" s="29" t="str"/>
      <x:c r="H12" s="28" t="str">
        <x:f>IF(G12="","OPEN",IF(F12=E12,"PASS","FAIL"))</x:f>
        <x:v>OPEN</x:v>
      </x:c>
    </x:row>
    <x:row r="13" ht="34" customHeight="1">
      <x:c r="B13" s="28" t="str">
        <x:v>CG-07</x:v>
      </x:c>
      <x:c r="C13" s="28" t="n">
        <x:v>7</x:v>
      </x:c>
      <x:c r="D13" s="33" t="str">
        <x:v>all accepted attempts issued</x:v>
      </x:c>
      <x:c r="E13" s="28" t="str">
        <x:v>PASS</x:v>
      </x:c>
      <x:c r="F13" s="28" t="str">
        <x:f>IF(COUNT('Attempt Register'!P7:P36)=0,"OPEN",IF(COUNTIFS('Attempt Register'!G7:G36,"PASS")=COUNT('Attempt Register'!P7:P36),"PASS","OPEN"))</x:f>
        <x:v>OPEN</x:v>
      </x:c>
      <x:c r="G13" s="29" t="str"/>
      <x:c r="H13" s="28" t="str">
        <x:f>IF(G13="","OPEN",IF(F13=E13,"PASS","FAIL"))</x:f>
        <x:v>OPEN</x:v>
      </x:c>
    </x:row>
    <x:row r="14" ht="34" customHeight="1">
      <x:c r="B14" s="28" t="str">
        <x:v>CG-08</x:v>
      </x:c>
      <x:c r="C14" s="28" t="n">
        <x:v>8</x:v>
      </x:c>
      <x:c r="D14" s="33" t="str">
        <x:v>all active event packet gates accepted</x:v>
      </x:c>
      <x:c r="E14" s="28" t="str">
        <x:v>PASS</x:v>
      </x:c>
      <x:c r="F14" s="28" t="str">
        <x:f>IF(COUNT('Attempt Register'!P7:P36)=0,"OPEN",IF(COUNTIFS('Event Packet Gates'!L7:L726,"PASS")=COUNT('Attempt Register'!P7:P36)*24,"PASS","OPEN"))</x:f>
        <x:v>OPEN</x:v>
      </x:c>
      <x:c r="G14" s="29" t="str"/>
      <x:c r="H14" s="28" t="str">
        <x:f>IF(G14="","OPEN",IF(F14=E14,"PASS","FAIL"))</x:f>
        <x:v>OPEN</x:v>
      </x:c>
    </x:row>
    <x:row r="15" ht="34" customHeight="1">
      <x:c r="B15" s="28" t="str">
        <x:v>CG-09</x:v>
      </x:c>
      <x:c r="C15" s="28" t="n">
        <x:v>9</x:v>
      </x:c>
      <x:c r="D15" s="33" t="str">
        <x:v>all active event metrics accepted</x:v>
      </x:c>
      <x:c r="E15" s="28" t="str">
        <x:v>PASS</x:v>
      </x:c>
      <x:c r="F15" s="28" t="str">
        <x:f>IF(COUNT('Attempt Register'!P7:P36)=0,"OPEN",IF(COUNTIFS('Event Metrics'!S7:S36,"PASS")=COUNT('Attempt Register'!P7:P36),"PASS","OPEN"))</x:f>
        <x:v>OPEN</x:v>
      </x:c>
      <x:c r="G15" s="29" t="str"/>
      <x:c r="H15" s="28" t="str">
        <x:f>IF(G15="","OPEN",IF(F15=E15,"PASS","FAIL"))</x:f>
        <x:v>OPEN</x:v>
      </x:c>
    </x:row>
    <x:row r="16" ht="34" customHeight="1">
      <x:c r="B16" s="28" t="str">
        <x:v>CG-10</x:v>
      </x:c>
      <x:c r="C16" s="28" t="n">
        <x:v>10</x:v>
      </x:c>
      <x:c r="D16" s="33" t="str">
        <x:v>twenty-four pair cycles accepted</x:v>
      </x:c>
      <x:c r="E16" s="28" t="str">
        <x:v>PASS</x:v>
      </x:c>
      <x:c r="F16" s="28" t="str">
        <x:f>IF(COUNTIFS('Pair Cycles'!M7:M30,"PASS")=24,"PASS","OPEN")</x:f>
        <x:v>OPEN</x:v>
      </x:c>
      <x:c r="G16" s="29" t="str"/>
      <x:c r="H16" s="28" t="str">
        <x:f>IF(G16="","OPEN",IF(F16=E16,"PASS","FAIL"))</x:f>
        <x:v>OPEN</x:v>
      </x:c>
    </x:row>
    <x:row r="17" ht="34" customHeight="1">
      <x:c r="B17" s="28" t="str">
        <x:v>CG-11</x:v>
      </x:c>
      <x:c r="C17" s="28" t="n">
        <x:v>11</x:v>
      </x:c>
      <x:c r="D17" s="33" t="str">
        <x:v>twenty-four crew rotations accepted</x:v>
      </x:c>
      <x:c r="E17" s="28" t="str">
        <x:v>PASS</x:v>
      </x:c>
      <x:c r="F17" s="28" t="str">
        <x:f>IF(COUNTIFS('Crew Rotations'!L7:L30,"PASS")=24,"PASS","OPEN")</x:f>
        <x:v>OPEN</x:v>
      </x:c>
      <x:c r="G17" s="29" t="str"/>
      <x:c r="H17" s="28" t="str">
        <x:f>IF(G17="","OPEN",IF(F17=E17,"PASS","FAIL"))</x:f>
        <x:v>OPEN</x:v>
      </x:c>
    </x:row>
    <x:row r="18" ht="34" customHeight="1">
      <x:c r="B18" s="28" t="str">
        <x:v>CG-12</x:v>
      </x:c>
      <x:c r="C18" s="28" t="n">
        <x:v>12</x:v>
      </x:c>
      <x:c r="D18" s="33" t="str">
        <x:v>twenty-four root deployments accepted</x:v>
      </x:c>
      <x:c r="E18" s="28" t="str">
        <x:v>PASS</x:v>
      </x:c>
      <x:c r="F18" s="28" t="str">
        <x:f>IF(COUNTIFS('Root Deployments'!K7:K30,"PASS")=24,"PASS","OPEN")</x:f>
        <x:v>OPEN</x:v>
      </x:c>
      <x:c r="G18" s="29" t="str"/>
      <x:c r="H18" s="28" t="str">
        <x:f>IF(G18="","OPEN",IF(F18=E18,"PASS","FAIL"))</x:f>
        <x:v>OPEN</x:v>
      </x:c>
    </x:row>
    <x:row r="19" ht="34" customHeight="1">
      <x:c r="B19" s="28" t="str">
        <x:v>CG-13</x:v>
      </x:c>
      <x:c r="C19" s="28" t="n">
        <x:v>13</x:v>
      </x:c>
      <x:c r="D19" s="33" t="str">
        <x:v>eighteen transitions accepted</x:v>
      </x:c>
      <x:c r="E19" s="28" t="str">
        <x:v>PASS</x:v>
      </x:c>
      <x:c r="F19" s="28" t="str">
        <x:f>IF(COUNTIFS('Transition Audits'!Q7:Q24,"PASS")=18,"PASS","OPEN")</x:f>
        <x:v>OPEN</x:v>
      </x:c>
      <x:c r="G19" s="29" t="str"/>
      <x:c r="H19" s="28" t="str">
        <x:f>IF(G19="","OPEN",IF(F19=E19,"PASS","FAIL"))</x:f>
        <x:v>OPEN</x:v>
      </x:c>
    </x:row>
    <x:row r="20" ht="34" customHeight="1">
      <x:c r="B20" s="28" t="str">
        <x:v>CG-14</x:v>
      </x:c>
      <x:c r="C20" s="28" t="n">
        <x:v>14</x:v>
      </x:c>
      <x:c r="D20" s="33" t="str">
        <x:v>all active packets replayed twice</x:v>
      </x:c>
      <x:c r="E20" s="28" t="str">
        <x:v>PASS</x:v>
      </x:c>
      <x:c r="F20" s="28" t="str">
        <x:f>IF(COUNT('Attempt Register'!P7:P36)=0,"OPEN",IF(COUNTIFS('Evidence Replay'!M7:M726,"PASS")=COUNT('Attempt Register'!P7:P36)*24,"PASS","OPEN"))</x:f>
        <x:v>OPEN</x:v>
      </x:c>
      <x:c r="G20" s="29" t="str"/>
      <x:c r="H20" s="28" t="str">
        <x:f>IF(G20="","OPEN",IF(F20=E20,"PASS","FAIL"))</x:f>
        <x:v>OPEN</x:v>
      </x:c>
    </x:row>
    <x:row r="21" ht="34" customHeight="1">
      <x:c r="B21" s="28" t="str">
        <x:v>CG-15</x:v>
      </x:c>
      <x:c r="C21" s="28" t="n">
        <x:v>15</x:v>
      </x:c>
      <x:c r="D21" s="33" t="str">
        <x:v>twenty-four cell credits accepted</x:v>
      </x:c>
      <x:c r="E21" s="28" t="str">
        <x:v>PASS</x:v>
      </x:c>
      <x:c r="F21" s="28" t="str">
        <x:f>IF(COUNTIFS('Cell Credits'!L7:L30,"PASS")=24,"PASS","OPEN")</x:f>
        <x:v>OPEN</x:v>
      </x:c>
      <x:c r="G21" s="29" t="str"/>
      <x:c r="H21" s="28" t="str">
        <x:f>IF(G21="","OPEN",IF(F21=E21,"PASS","FAIL"))</x:f>
        <x:v>OPEN</x:v>
      </x:c>
    </x:row>
    <x:row r="22" ht="34" customHeight="1">
      <x:c r="B22" s="28" t="str">
        <x:v>CG-16</x:v>
      </x:c>
      <x:c r="C22" s="28" t="n">
        <x:v>16</x:v>
      </x:c>
      <x:c r="D22" s="33" t="str">
        <x:v>twelve root contrasts accepted</x:v>
      </x:c>
      <x:c r="E22" s="28" t="str">
        <x:v>PASS</x:v>
      </x:c>
      <x:c r="F22" s="28" t="str">
        <x:f>IF(COUNTIFS('Root Contrasts'!M7:M18,"PASS")=12,"PASS","OPEN")</x:f>
        <x:v>OPEN</x:v>
      </x:c>
      <x:c r="G22" s="29" t="str"/>
      <x:c r="H22" s="28" t="str">
        <x:f>IF(G22="","OPEN",IF(F22=E22,"PASS","FAIL"))</x:f>
        <x:v>OPEN</x:v>
      </x:c>
    </x:row>
    <x:row r="23" ht="34" customHeight="1">
      <x:c r="B23" s="28" t="str">
        <x:v>CG-17</x:v>
      </x:c>
      <x:c r="C23" s="28" t="n">
        <x:v>17</x:v>
      </x:c>
      <x:c r="D23" s="33" t="str">
        <x:v>twelve method contrasts accepted</x:v>
      </x:c>
      <x:c r="E23" s="28" t="str">
        <x:v>PASS</x:v>
      </x:c>
      <x:c r="F23" s="28" t="str">
        <x:f>IF(COUNTIFS('Method Contrasts'!M7:M18,"PASS")=12,"PASS","OPEN")</x:f>
        <x:v>OPEN</x:v>
      </x:c>
      <x:c r="G23" s="29" t="str"/>
      <x:c r="H23" s="28" t="str">
        <x:f>IF(G23="","OPEN",IF(F23=E23,"PASS","FAIL"))</x:f>
        <x:v>OPEN</x:v>
      </x:c>
    </x:row>
    <x:row r="24" ht="34" customHeight="1">
      <x:c r="B24" s="28" t="str">
        <x:v>CG-18</x:v>
      </x:c>
      <x:c r="C24" s="28" t="n">
        <x:v>18</x:v>
      </x:c>
      <x:c r="D24" s="33" t="str">
        <x:v>six rig decisions accepted</x:v>
      </x:c>
      <x:c r="E24" s="28" t="str">
        <x:v>PASS</x:v>
      </x:c>
      <x:c r="F24" s="28" t="str">
        <x:f>IF(COUNTIFS('Rig Decisions'!L7:L12,"PASS")=6,"PASS","OPEN")</x:f>
        <x:v>OPEN</x:v>
      </x:c>
      <x:c r="G24" s="29" t="str"/>
      <x:c r="H24" s="28" t="str">
        <x:f>IF(G24="","OPEN",IF(F24=E24,"PASS","FAIL"))</x:f>
        <x:v>OPEN</x:v>
      </x:c>
    </x:row>
    <x:row r="25" ht="34" customHeight="1">
      <x:c r="B25" s="28" t="str">
        <x:v>CG-19</x:v>
      </x:c>
      <x:c r="C25" s="28" t="n">
        <x:v>19</x:v>
      </x:c>
      <x:c r="D25" s="33" t="str">
        <x:v>four treatment decisions accepted</x:v>
      </x:c>
      <x:c r="E25" s="28" t="str">
        <x:v>PASS</x:v>
      </x:c>
      <x:c r="F25" s="28" t="str">
        <x:f>IF(COUNTIFS('Treatment Decisions'!L7:L10,"PASS")=4,"PASS","OPEN")</x:f>
        <x:v>OPEN</x:v>
      </x:c>
      <x:c r="G25" s="29" t="str"/>
      <x:c r="H25" s="28" t="str">
        <x:f>IF(G25="","OPEN",IF(F25=E25,"PASS","FAIL"))</x:f>
        <x:v>OPEN</x:v>
      </x:c>
    </x:row>
    <x:row r="26" ht="34" customHeight="1">
      <x:c r="B26" s="28" t="str">
        <x:v>CG-20</x:v>
      </x:c>
      <x:c r="C26" s="28" t="n">
        <x:v>20</x:v>
      </x:c>
      <x:c r="D26" s="33" t="str">
        <x:v>three campus decisions accepted</x:v>
      </x:c>
      <x:c r="E26" s="28" t="str">
        <x:v>PASS</x:v>
      </x:c>
      <x:c r="F26" s="28" t="str">
        <x:f>IF(COUNTIFS('Campus Decisions'!L7:L9,"PASS")=3,"PASS","OPEN")</x:f>
        <x:v>OPEN</x:v>
      </x:c>
      <x:c r="G26" s="29" t="str"/>
      <x:c r="H26" s="28" t="str">
        <x:f>IF(G26="","OPEN",IF(F26=E26,"PASS","FAIL"))</x:f>
        <x:v>OPEN</x:v>
      </x:c>
    </x:row>
    <x:row r="27" ht="34" customHeight="1">
      <x:c r="B27" s="28" t="str">
        <x:v>CG-21</x:v>
      </x:c>
      <x:c r="C27" s="28" t="n">
        <x:v>21</x:v>
      </x:c>
      <x:c r="D27" s="33" t="str">
        <x:v>sixteen class metrics accepted</x:v>
      </x:c>
      <x:c r="E27" s="28" t="str">
        <x:v>PASS</x:v>
      </x:c>
      <x:c r="F27" s="28" t="str">
        <x:f>IF(COUNTIFS('Class Metrics'!F7:F22,"PASS")=16,"PASS","OPEN")</x:f>
        <x:v>OPEN</x:v>
      </x:c>
      <x:c r="G27" s="29" t="str"/>
      <x:c r="H27" s="28" t="str">
        <x:f>IF(G27="","OPEN",IF(F27=E27,"PASS","FAIL"))</x:f>
        <x:v>OPEN</x:v>
      </x:c>
    </x:row>
    <x:row r="28" ht="34" customHeight="1">
      <x:c r="B28" s="28" t="str">
        <x:v>CG-22</x:v>
      </x:c>
      <x:c r="C28" s="28" t="n">
        <x:v>22</x:v>
      </x:c>
      <x:c r="D28" s="33" t="str">
        <x:v>actual validity denominator reported</x:v>
      </x:c>
      <x:c r="E28" s="28" t="str">
        <x:v>PASS</x:v>
      </x:c>
      <x:c r="F28" s="28" t="str">
        <x:f>IF(AND('Statistical Limits'!C7&gt;=24,ISNUMBER('Statistical Limits'!C10),ISNUMBER('Statistical Limits'!C11)),"PASS","OPEN")</x:f>
        <x:v>OPEN</x:v>
      </x:c>
      <x:c r="G28" s="29" t="str"/>
      <x:c r="H28" s="28" t="str">
        <x:f>IF(G28="","OPEN",IF(F28=E28,"PASS","FAIL"))</x:f>
        <x:v>OPEN</x:v>
      </x:c>
    </x:row>
    <x:row r="29" ht="34" customHeight="1">
      <x:c r="B29" s="28" t="str">
        <x:v>CG-23</x:v>
      </x:c>
      <x:c r="C29" s="28" t="n">
        <x:v>23</x:v>
      </x:c>
      <x:c r="D29" s="33" t="str">
        <x:v>replacement targeting lawful</x:v>
      </x:c>
      <x:c r="E29" s="28" t="str">
        <x:v>PASS</x:v>
      </x:c>
      <x:c r="F29" s="28" t="str">
        <x:f>IF(COUNTIFS('Attempt Tokens'!C31:C36,"RESERVE",'Attempt Tokens'!I31:I36,"FAIL")=0,"PASS","OPEN")</x:f>
        <x:v>PASS</x:v>
      </x:c>
      <x:c r="G29" s="29" t="str"/>
      <x:c r="H29" s="28" t="str">
        <x:f>IF(G29="","OPEN",IF(F29=E29,"PASS","FAIL"))</x:f>
        <x:v>OPEN</x:v>
      </x:c>
    </x:row>
    <x:row r="30" ht="34" customHeight="1">
      <x:c r="B30" s="28" t="str">
        <x:v>CG-24</x:v>
      </x:c>
      <x:c r="C30" s="28" t="n">
        <x:v>24</x:v>
      </x:c>
      <x:c r="D30" s="33" t="str">
        <x:v>invalid originals retain packet roots</x:v>
      </x:c>
      <x:c r="E30" s="28" t="str">
        <x:v>PASS</x:v>
      </x:c>
      <x:c r="F30" s="28" t="str">
        <x:f>IF(COUNTIFS('Attempt Register'!Q7:Q36,"INVALID")=COUNTIFS('Attempt Register'!Q7:Q36,"INVALID",'Attempt Register'!N7:N36,"&lt;&gt;"),"PASS","OPEN")</x:f>
        <x:v>PASS</x:v>
      </x:c>
      <x:c r="G30" s="29" t="str"/>
      <x:c r="H30" s="28" t="str">
        <x:f>IF(G30="","OPEN",IF(F30=E30,"PASS","FAIL"))</x:f>
        <x:v>OPEN</x:v>
      </x:c>
    </x:row>
    <x:row r="31" ht="34" customHeight="1">
      <x:c r="B31" s="28" t="str">
        <x:v>CG-25</x:v>
      </x:c>
      <x:c r="C31" s="28" t="n">
        <x:v>25</x:v>
      </x:c>
      <x:c r="D31" s="33" t="str">
        <x:v>no duplicate cell credit</x:v>
      </x:c>
      <x:c r="E31" s="28" t="str">
        <x:v>PASS</x:v>
      </x:c>
      <x:c r="F31" s="28" t="str">
        <x:f>IF(COUNTIFS('Cell Credits'!G7:G30,"&gt;1")=0,"PASS","FAIL")</x:f>
        <x:v>PASS</x:v>
      </x:c>
      <x:c r="G31" s="29" t="str"/>
      <x:c r="H31" s="28" t="str">
        <x:f>IF(G31="","OPEN",IF(F31=E31,"PASS","FAIL"))</x:f>
        <x:v>OPEN</x:v>
      </x:c>
    </x:row>
    <x:row r="32" ht="34" customHeight="1">
      <x:c r="B32" s="28" t="str">
        <x:v>CG-26</x:v>
      </x:c>
      <x:c r="C32" s="28" t="n">
        <x:v>26</x:v>
      </x:c>
      <x:c r="D32" s="33" t="str">
        <x:v>no valid adverse class result</x:v>
      </x:c>
      <x:c r="E32" s="28" t="str">
        <x:v>PASS</x:v>
      </x:c>
      <x:c r="F32" s="28" t="str">
        <x:f>IF(COUNTIFS('Attempt Register'!Q7:Q36,"ADVERSE")=0,"PASS","FAIL")</x:f>
        <x:v>PASS</x:v>
      </x:c>
      <x:c r="G32" s="29" t="str"/>
      <x:c r="H32" s="28" t="str">
        <x:f>IF(G32="","OPEN",IF(F32=E32,"PASS","FAIL"))</x:f>
        <x:v>OPEN</x:v>
      </x:c>
    </x:row>
    <x:row r="33" ht="34" customHeight="1">
      <x:c r="B33" s="28" t="str">
        <x:v>CG-27</x:v>
      </x:c>
      <x:c r="C33" s="28" t="n">
        <x:v>27</x:v>
      </x:c>
      <x:c r="D33" s="33" t="str">
        <x:v>evidence estate sufficient</x:v>
      </x:c>
      <x:c r="E33" s="28" t="str">
        <x:v>PASS</x:v>
      </x:c>
      <x:c r="F33" s="28" t="str">
        <x:f>IF(COUNT('Attempt Register'!P7:P36)=0,"OPEN",IF(SUM('Event Metrics'!P7:P36)&gt;=COUNT('Attempt Register'!P7:P36)*'Controls'!$D$41,"PASS","OPEN"))</x:f>
        <x:v>OPEN</x:v>
      </x:c>
      <x:c r="G33" s="29" t="str"/>
      <x:c r="H33" s="28" t="str">
        <x:f>IF(G33="","OPEN",IF(F33=E33,"PASS","FAIL"))</x:f>
        <x:v>OPEN</x:v>
      </x:c>
    </x:row>
    <x:row r="34" ht="34" customHeight="1">
      <x:c r="B34" s="28" t="str">
        <x:v>CG-28</x:v>
      </x:c>
      <x:c r="C34" s="28" t="n">
        <x:v>28</x:v>
      </x:c>
      <x:c r="D34" s="33" t="str">
        <x:v>no unresolved exception</x:v>
      </x:c>
      <x:c r="E34" s="28" t="str">
        <x:v>PASS</x:v>
      </x:c>
      <x:c r="F34" s="28" t="str">
        <x:f>IF(COUNTIFS(Exceptions!K7:K22,"OPEN")+COUNTIFS(Exceptions!K7:K22,"FAIL")=0,"PASS","OPEN")</x:f>
        <x:v>PASS</x:v>
      </x:c>
      <x:c r="G34" s="29" t="str"/>
      <x:c r="H34" s="28" t="str">
        <x:f>IF(G34="","OPEN",IF(F34=E34,"PASS","FAIL"))</x:f>
        <x:v>OPEN</x:v>
      </x:c>
    </x:row>
    <x:row r="35" ht="34" customHeight="1">
      <x:c r="B35" s="28" t="str">
        <x:v>CG-29</x:v>
      </x:c>
      <x:c r="C35" s="28" t="n">
        <x:v>29</x:v>
      </x:c>
      <x:c r="D35" s="33" t="str">
        <x:v>no unaccepted change</x:v>
      </x:c>
      <x:c r="E35" s="28" t="str">
        <x:v>PASS</x:v>
      </x:c>
      <x:c r="F35" s="28" t="str">
        <x:f>IF(COUNTIFS('Change Control'!K7:K22,"OPEN")+COUNTIFS('Change Control'!K7:K22,"FAIL")=0,"PASS","OPEN")</x:f>
        <x:v>PASS</x:v>
      </x:c>
      <x:c r="G35" s="29" t="str"/>
      <x:c r="H35" s="28" t="str">
        <x:f>IF(G35="","OPEN",IF(F35=E35,"PASS","FAIL"))</x:f>
        <x:v>OPEN</x:v>
      </x:c>
    </x:row>
    <x:row r="36" ht="34" customHeight="1">
      <x:c r="B36" s="28" t="str">
        <x:v>CG-30</x:v>
      </x:c>
      <x:c r="C36" s="28" t="n">
        <x:v>30</x:v>
      </x:c>
      <x:c r="D36" s="33" t="str">
        <x:v>no quarantined pair</x:v>
      </x:c>
      <x:c r="E36" s="28" t="str">
        <x:v>PASS</x:v>
      </x:c>
      <x:c r="F36" s="28" t="str">
        <x:f>IF(COUNTIFS(Quarantine!J7:J18,"QUARANTINED")=0,"PASS","OPEN")</x:f>
        <x:v>PASS</x:v>
      </x:c>
      <x:c r="G36" s="29" t="str"/>
      <x:c r="H36" s="28" t="str">
        <x:f>IF(G36="","OPEN",IF(F36=E36,"PASS","FAIL"))</x:f>
        <x:v>OPEN</x:v>
      </x:c>
    </x:row>
    <x:row r="37" ht="34" customHeight="1">
      <x:c r="B37" s="28" t="str">
        <x:v>CG-31</x:v>
      </x:c>
      <x:c r="C37" s="28" t="n">
        <x:v>31</x:v>
      </x:c>
      <x:c r="D37" s="33" t="str">
        <x:v>credentials current</x:v>
      </x:c>
      <x:c r="E37" s="28" t="str">
        <x:v>PASS</x:v>
      </x:c>
      <x:c r="F37" s="28" t="str">
        <x:f>IF(COUNT('Attempt Register'!P7:P36)=0,"OPEN",IF(COUNTIFS('Expiry Ledger'!I7:I36,"PASS")=COUNT('Attempt Register'!P7:P36),"PASS","OPEN"))</x:f>
        <x:v>OPEN</x:v>
      </x:c>
      <x:c r="G37" s="29" t="str"/>
      <x:c r="H37" s="28" t="str">
        <x:f>IF(G37="","OPEN",IF(F37=E37,"PASS","FAIL"))</x:f>
        <x:v>OPEN</x:v>
      </x:c>
    </x:row>
    <x:row r="38" ht="34" customHeight="1">
      <x:c r="B38" s="28" t="str">
        <x:v>CG-32</x:v>
      </x:c>
      <x:c r="C38" s="28" t="n">
        <x:v>32</x:v>
      </x:c>
      <x:c r="D38" s="33" t="str">
        <x:v>finance and downstream boundary preserved</x:v>
      </x:c>
      <x:c r="E38" s="28" t="str">
        <x:v>PASS</x:v>
      </x:c>
      <x:c r="F38" s="28" t="str">
        <x:f>IF(AND('Portfolio Boundary'!C10=0,'Portfolio Boundary'!C14=0,'Portfolio Boundary'!C18=0,'Controls'!$D$78=0,'Controls'!$D$79=0,'Controls'!$D$80=0,'Controls'!$D$81=0,'Controls'!$D$82=0),"PASS","FAIL")</x:f>
        <x:v>PASS</x:v>
      </x:c>
      <x:c r="G38" s="29" t="str"/>
      <x:c r="H38" s="28" t="str">
        <x:f>IF(G38="","OPEN",IF(F38=E38,"PASS","FAIL"))</x:f>
        <x:v>OPEN</x:v>
      </x:c>
    </x:row>
  </x:sheetData>
  <x:conditionalFormatting sqref="F7:F38">
    <x:cfRule type="containsText" dxfId="261" priority="1" operator="containsText" text="FAIL"/>
    <x:cfRule type="containsText" dxfId="262" priority="2" operator="containsText" text="BLOCKED"/>
    <x:cfRule type="containsText" dxfId="263" priority="3" operator="containsText" text="INVALID"/>
    <x:cfRule type="containsText" dxfId="264" priority="4" operator="containsText" text="ADVERSE"/>
    <x:cfRule type="containsText" dxfId="265" priority="5" operator="containsText" text="EXPIRED"/>
    <x:cfRule type="containsText" dxfId="266" priority="6" operator="containsText" text="OPEN"/>
    <x:cfRule type="containsText" dxfId="267" priority="7" operator="containsText" text="DORMANT"/>
    <x:cfRule type="containsText" dxfId="268" priority="8" operator="containsText" text="PASS"/>
    <x:cfRule type="containsText" dxfId="269" priority="9" operator="containsText" text="AVAILABLE"/>
  </x:conditionalFormatting>
  <x:conditionalFormatting sqref="H7:H38">
    <x:cfRule type="containsText" dxfId="270" priority="10" operator="containsText" text="FAIL"/>
    <x:cfRule type="containsText" dxfId="271" priority="11" operator="containsText" text="BLOCKED"/>
    <x:cfRule type="containsText" dxfId="272" priority="12" operator="containsText" text="INVALID"/>
    <x:cfRule type="containsText" dxfId="273" priority="13" operator="containsText" text="ADVERSE"/>
    <x:cfRule type="containsText" dxfId="274" priority="14" operator="containsText" text="EXPIRED"/>
    <x:cfRule type="containsText" dxfId="275" priority="15" operator="containsText" text="OPEN"/>
    <x:cfRule type="containsText" dxfId="276" priority="16" operator="containsText" text="DORMANT"/>
    <x:cfRule type="containsText" dxfId="277" priority="17" operator="containsText" text="PASS"/>
    <x:cfRule type="containsText" dxfId="278" priority="18" operator="containsText" text="AVAILABLE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0" hidden="0" customWidth="1"/>
    <x:col min="4" max="4" width="20" hidden="0" customWidth="1"/>
    <x:col min="5" max="5" width="34" hidden="0" customWidth="1"/>
    <x:col min="6" max="6" width="23" hidden="0" customWidth="1"/>
    <x:col min="7" max="7" width="16" hidden="0" customWidth="1"/>
  </x:cols>
  <x:sheetData>
    <x:row r="2">
      <x:c r="B2" s="23" t="str">
        <x:v>Four bounded class decisions</x:v>
      </x:c>
      <x:c r="C2" s="24"/>
      <x:c r="D2" s="24"/>
      <x:c r="E2" s="24"/>
      <x:c r="F2" s="24"/>
      <x:c r="G2" s="24"/>
    </x:row>
    <x:row r="3">
      <x:c r="B3" s="25" t="str">
        <x:v>RAZ-1 can qualify QE-01 transfer and permit the next source-entry constitution. It cannot issue QE-02 or admit physical source.</x:v>
      </x:c>
      <x:c r="C3" s="24"/>
      <x:c r="D3" s="24"/>
      <x:c r="E3" s="24"/>
      <x:c r="F3" s="24"/>
      <x:c r="G3" s="24"/>
    </x:row>
    <x:row r="4">
      <x:c r="B4" s="24"/>
      <x:c r="C4" s="24"/>
      <x:c r="D4" s="24"/>
      <x:c r="E4" s="24"/>
      <x:c r="F4" s="24"/>
      <x:c r="G4" s="24"/>
    </x:row>
    <x:row r="5">
      <x:c r="B5" s="24"/>
      <x:c r="C5" s="24"/>
      <x:c r="D5" s="24"/>
      <x:c r="E5" s="24"/>
      <x:c r="F5" s="24"/>
      <x:c r="G5" s="24"/>
    </x:row>
    <x:row r="6" ht="24" customHeight="1">
      <x:c r="B6" s="6" t="str">
        <x:v>Decision</x:v>
      </x:c>
      <x:c r="C6" s="6" t="str">
        <x:v>Required count</x:v>
      </x:c>
      <x:c r="D6" s="6" t="str">
        <x:v>Passing count</x:v>
      </x:c>
      <x:c r="E6" s="6" t="str">
        <x:v>Authority basis</x:v>
      </x:c>
      <x:c r="F6" s="6" t="str">
        <x:v>Board accepted UTC</x:v>
      </x:c>
      <x:c r="G6" s="6" t="str">
        <x:v>State</x:v>
      </x:c>
    </x:row>
    <x:row r="7">
      <x:c r="B7" s="28" t="str">
        <x:v>CLASS-CLOSED</x:v>
      </x:c>
      <x:c r="C7" s="28" t="n">
        <x:v>32</x:v>
      </x:c>
      <x:c r="D7" s="28" t="n">
        <x:f>COUNTIFS('Class Release Gates'!H7:H38,"PASS")</x:f>
        <x:v>0</x:v>
      </x:c>
      <x:c r="E7" s="28" t="str">
        <x:v>board acceptance</x:v>
      </x:c>
      <x:c r="F7" s="29" t="str"/>
      <x:c r="G7" s="28" t="str">
        <x:f>IF(F7="","OPEN",IF(AND(D7=C7,'Controls'!$D$75=1),"PASS","FAIL"))</x:f>
        <x:v>OPEN</x:v>
      </x:c>
    </x:row>
    <x:row r="8">
      <x:c r="B8" s="28" t="str">
        <x:v>QE01-TRANSFER-QUALIFIED</x:v>
      </x:c>
      <x:c r="C8" s="28" t="n">
        <x:v>24</x:v>
      </x:c>
      <x:c r="D8" s="28" t="n">
        <x:f>COUNTIFS('Cell Credits'!L7:L30,"PASS")</x:f>
        <x:v>0</x:v>
      </x:c>
      <x:c r="E8" s="28" t="str">
        <x:v>QE-01 class authority</x:v>
      </x:c>
      <x:c r="F8" s="29" t="str"/>
      <x:c r="G8" s="28" t="str">
        <x:f>IF(F8="","OPEN",IF(AND(G7="PASS",D8=C8,'Controls'!$D$77=1),"PASS","FAIL"))</x:f>
        <x:v>OPEN</x:v>
      </x:c>
    </x:row>
    <x:row r="9">
      <x:c r="B9" s="28" t="str">
        <x:v>PAIR-POOL-RETURNED</x:v>
      </x:c>
      <x:c r="C9" s="28" t="n">
        <x:v>6</x:v>
      </x:c>
      <x:c r="D9" s="28" t="n">
        <x:f>COUNTIFS('Rig Decisions'!L7:L12,"PASS")</x:f>
        <x:v>0</x:v>
      </x:c>
      <x:c r="E9" s="28" t="str">
        <x:v>all rig decisions</x:v>
      </x:c>
      <x:c r="F9" s="29" t="str"/>
      <x:c r="G9" s="28" t="str">
        <x:f>IF(F9="","OPEN",IF(AND(G7="PASS",D9=C9),"PASS","FAIL"))</x:f>
        <x:v>OPEN</x:v>
      </x:c>
    </x:row>
    <x:row r="10">
      <x:c r="B10" s="28" t="str">
        <x:v>NEXT-OBJECT-ELIGIBLE</x:v>
      </x:c>
      <x:c r="C10" s="28" t="n">
        <x:v>1</x:v>
      </x:c>
      <x:c r="D10" s="28" t="n">
        <x:f>COUNTIFS(G7:G9,"PASS")</x:f>
        <x:v>0</x:v>
      </x:c>
      <x:c r="E10" s="28" t="str">
        <x:v>QE-02 constitution only</x:v>
      </x:c>
      <x:c r="F10" s="29" t="str"/>
      <x:c r="G10" s="28" t="str">
        <x:f>IF(F10="","OPEN",IF(AND(G8="PASS",G9="PASS",'Controls'!$D$78=0,'Controls'!$D$79=0),"PASS","FAIL"))</x:f>
        <x:v>OPEN</x:v>
      </x:c>
    </x:row>
  </x:sheetData>
  <x:conditionalFormatting sqref="G7:G10">
    <x:cfRule type="containsText" dxfId="279" priority="1" operator="containsText" text="FAIL"/>
    <x:cfRule type="containsText" dxfId="280" priority="2" operator="containsText" text="BLOCKED"/>
    <x:cfRule type="containsText" dxfId="281" priority="3" operator="containsText" text="INVALID"/>
    <x:cfRule type="containsText" dxfId="282" priority="4" operator="containsText" text="ADVERSE"/>
    <x:cfRule type="containsText" dxfId="283" priority="5" operator="containsText" text="EXPIRED"/>
    <x:cfRule type="containsText" dxfId="284" priority="6" operator="containsText" text="OPEN"/>
    <x:cfRule type="containsText" dxfId="285" priority="7" operator="containsText" text="DORMANT"/>
    <x:cfRule type="containsText" dxfId="286" priority="8" operator="containsText" text="PASS"/>
    <x:cfRule type="containsText" dxfId="287" priority="9" operator="containsText" text="AVAILABLE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58" hidden="0" customWidth="1"/>
    <x:col min="4" max="4" width="33" hidden="0" customWidth="1"/>
    <x:col min="5" max="5" width="18" hidden="0" customWidth="1"/>
  </x:cols>
  <x:sheetData>
    <x:row r="2">
      <x:c r="B2" s="23" t="str">
        <x:v>Twelve source-entry boundary conditions</x:v>
      </x:c>
      <x:c r="C2" s="24"/>
      <x:c r="D2" s="24"/>
      <x:c r="E2" s="24"/>
    </x:row>
    <x:row r="3">
      <x:c r="B3" s="25" t="str">
        <x:v>Only QE-01 class transfer may clear here. Every source, candidate, production and exterior-form condition remains blocked.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Condition</x:v>
      </x:c>
      <x:c r="C6" s="6" t="str">
        <x:v>Requirement</x:v>
      </x:c>
      <x:c r="D6" s="6" t="str">
        <x:v>Authority</x:v>
      </x:c>
      <x:c r="E6" s="6" t="str">
        <x:v>State</x:v>
      </x:c>
    </x:row>
    <x:row r="7">
      <x:c r="B7" s="28" t="str">
        <x:v>QB-01</x:v>
      </x:c>
      <x:c r="C7" s="28" t="str">
        <x:v>QE-01 class transfer qualification</x:v>
      </x:c>
      <x:c r="D7" s="28" t="str">
        <x:v>class board</x:v>
      </x:c>
      <x:c r="E7" s="28" t="str">
        <x:f>IF('Controls'!$D$77=1,"PASS","BLOCKED")</x:f>
        <x:v>BLOCKED</x:v>
      </x:c>
    </x:row>
    <x:row r="8">
      <x:c r="B8" s="28" t="str">
        <x:v>QB-02</x:v>
      </x:c>
      <x:c r="C8" s="28" t="str">
        <x:v>QE-02 event constitution</x:v>
      </x:c>
      <x:c r="D8" s="28" t="str">
        <x:v>future object</x:v>
      </x:c>
      <x:c r="E8" s="28" t="str">
        <x:f>"BLOCKED"</x:f>
        <x:v>BLOCKED</x:v>
      </x:c>
    </x:row>
    <x:row r="9">
      <x:c r="B9" s="28" t="str">
        <x:v>QB-03</x:v>
      </x:c>
      <x:c r="C9" s="28" t="str">
        <x:v>100 kg source lot acceptance</x:v>
      </x:c>
      <x:c r="D9" s="28" t="str">
        <x:v>future source board</x:v>
      </x:c>
      <x:c r="E9" s="28" t="str">
        <x:f>"BLOCKED"</x:f>
        <x:v>BLOCKED</x:v>
      </x:c>
    </x:row>
    <x:row r="10">
      <x:c r="B10" s="28" t="str">
        <x:v>QB-04</x:v>
      </x:c>
      <x:c r="C10" s="28" t="str">
        <x:v>source-bearing event issue</x:v>
      </x:c>
      <x:c r="D10" s="28" t="str">
        <x:v>future event issuer</x:v>
      </x:c>
      <x:c r="E10" s="28" t="str">
        <x:f>"BLOCKED"</x:f>
        <x:v>BLOCKED</x:v>
      </x:c>
    </x:row>
    <x:row r="11">
      <x:c r="B11" s="28" t="str">
        <x:v>QB-05</x:v>
      </x:c>
      <x:c r="C11" s="28" t="str">
        <x:v>thermal and fire exposure authority</x:v>
      </x:c>
      <x:c r="D11" s="28" t="str">
        <x:v>future safety board</x:v>
      </x:c>
      <x:c r="E11" s="28" t="str">
        <x:f>"BLOCKED"</x:f>
        <x:v>BLOCKED</x:v>
      </x:c>
    </x:row>
    <x:row r="12">
      <x:c r="B12" s="28" t="str">
        <x:v>QB-06</x:v>
      </x:c>
      <x:c r="C12" s="28" t="str">
        <x:v>source-retention decision</x:v>
      </x:c>
      <x:c r="D12" s="28" t="str">
        <x:v>future outcome board</x:v>
      </x:c>
      <x:c r="E12" s="28" t="str">
        <x:f>"BLOCKED"</x:f>
        <x:v>BLOCKED</x:v>
      </x:c>
    </x:row>
    <x:row r="13">
      <x:c r="B13" s="28" t="str">
        <x:v>QB-07</x:v>
      </x:c>
      <x:c r="C13" s="28" t="str">
        <x:v>casualty-water classification</x:v>
      </x:c>
      <x:c r="D13" s="28" t="str">
        <x:v>future water board</x:v>
      </x:c>
      <x:c r="E13" s="28" t="str">
        <x:f>"BLOCKED"</x:f>
        <x:v>BLOCKED</x:v>
      </x:c>
    </x:row>
    <x:row r="14">
      <x:c r="B14" s="28" t="str">
        <x:v>QB-08</x:v>
      </x:c>
      <x:c r="C14" s="28" t="str">
        <x:v>source-exposed recovery proof</x:v>
      </x:c>
      <x:c r="D14" s="28" t="str">
        <x:v>future reentry board</x:v>
      </x:c>
      <x:c r="E14" s="28" t="str">
        <x:f>"BLOCKED"</x:f>
        <x:v>BLOCKED</x:v>
      </x:c>
    </x:row>
    <x:row r="15">
      <x:c r="B15" s="28" t="str">
        <x:v>QB-09</x:v>
      </x:c>
      <x:c r="C15" s="28" t="str">
        <x:v>source custody and waste route</x:v>
      </x:c>
      <x:c r="D15" s="28" t="str">
        <x:v>future custody board</x:v>
      </x:c>
      <x:c r="E15" s="28" t="str">
        <x:f>"BLOCKED"</x:f>
        <x:v>BLOCKED</x:v>
      </x:c>
    </x:row>
    <x:row r="16">
      <x:c r="B16" s="28" t="str">
        <x:v>QB-10</x:v>
      </x:c>
      <x:c r="C16" s="28" t="str">
        <x:v>candidate comparison</x:v>
      </x:c>
      <x:c r="D16" s="28" t="str">
        <x:v>future transfer board</x:v>
      </x:c>
      <x:c r="E16" s="28" t="str">
        <x:f>"BLOCKED"</x:f>
        <x:v>BLOCKED</x:v>
      </x:c>
    </x:row>
    <x:row r="17">
      <x:c r="B17" s="28" t="str">
        <x:v>QB-11</x:v>
      </x:c>
      <x:c r="C17" s="28" t="str">
        <x:v>production or fleet inference</x:v>
      </x:c>
      <x:c r="D17" s="28" t="str">
        <x:v>future acquisition board</x:v>
      </x:c>
      <x:c r="E17" s="28" t="str">
        <x:f>"BLOCKED"</x:f>
        <x:v>BLOCKED</x:v>
      </x:c>
    </x:row>
    <x:row r="18">
      <x:c r="B18" s="28" t="str">
        <x:v>QB-12</x:v>
      </x:c>
      <x:c r="C18" s="28" t="str">
        <x:v>exterior-form authority</x:v>
      </x:c>
      <x:c r="D18" s="28" t="str">
        <x:v>future configuration board</x:v>
      </x:c>
      <x:c r="E18" s="28" t="str">
        <x:f>"BLOCKED"</x:f>
        <x:v>BLOCKED</x:v>
      </x:c>
    </x:row>
  </x:sheetData>
  <x:conditionalFormatting sqref="E7:E18">
    <x:cfRule type="containsText" dxfId="288" priority="1" operator="containsText" text="FAIL"/>
    <x:cfRule type="containsText" dxfId="289" priority="2" operator="containsText" text="BLOCKED"/>
    <x:cfRule type="containsText" dxfId="290" priority="3" operator="containsText" text="INVALID"/>
    <x:cfRule type="containsText" dxfId="291" priority="4" operator="containsText" text="ADVERSE"/>
    <x:cfRule type="containsText" dxfId="292" priority="5" operator="containsText" text="EXPIRED"/>
    <x:cfRule type="containsText" dxfId="293" priority="6" operator="containsText" text="OPEN"/>
    <x:cfRule type="containsText" dxfId="294" priority="7" operator="containsText" text="DORMANT"/>
    <x:cfRule type="containsText" dxfId="295" priority="8" operator="containsText" text="PASS"/>
    <x:cfRule type="containsText" dxfId="296" priority="9" operator="containsText" text="AVAILABLE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2" hidden="0" customWidth="1"/>
    <x:col min="4" max="4" width="98" hidden="0" customWidth="1"/>
  </x:cols>
  <x:sheetData>
    <x:row r="2">
      <x:c r="B2" s="23" t="str">
        <x:v>Eighteen class decision rules</x:v>
      </x:c>
      <x:c r="C2" s="24"/>
      <x:c r="D2" s="24"/>
    </x:row>
    <x:row r="3">
      <x:c r="B3" s="25" t="str">
        <x:v>Rules are frozen before the schedule transform and remain unchanged after events exist.</x:v>
      </x:c>
      <x:c r="C3" s="24"/>
      <x:c r="D3" s="24"/>
    </x:row>
    <x:row r="4">
      <x:c r="B4" s="24"/>
      <x:c r="C4" s="24"/>
      <x:c r="D4" s="24"/>
    </x:row>
    <x:row r="5">
      <x:c r="B5" s="24"/>
      <x:c r="C5" s="24"/>
      <x:c r="D5" s="24"/>
    </x:row>
    <x:row r="6" ht="24" customHeight="1">
      <x:c r="B6" s="6" t="str">
        <x:v>Rule</x:v>
      </x:c>
      <x:c r="C6" s="6" t="str">
        <x:v>Subject</x:v>
      </x:c>
      <x:c r="D6" s="6" t="str">
        <x:v>Decision</x:v>
      </x:c>
    </x:row>
    <x:row r="7" ht="38" customHeight="1">
      <x:c r="B7" s="28" t="str">
        <x:v>DR-01</x:v>
      </x:c>
      <x:c r="C7" s="28" t="str">
        <x:v>seed</x:v>
      </x:c>
      <x:c r="D7" s="33" t="str">
        <x:v>RAY selection fixes the class transform; leadership cannot choose a new first cell</x:v>
      </x:c>
    </x:row>
    <x:row r="8" ht="38" customHeight="1">
      <x:c r="B8" s="28" t="str">
        <x:v>DR-02</x:v>
      </x:c>
      <x:c r="C8" s="28" t="str">
        <x:v>coverage</x:v>
      </x:c>
      <x:c r="D8" s="33" t="str">
        <x:v>every rig-method-root cell earns exactly one accepted credit</x:v>
      </x:c>
    </x:row>
    <x:row r="9" ht="38" customHeight="1">
      <x:c r="B9" s="28" t="str">
        <x:v>DR-03</x:v>
      </x:c>
      <x:c r="C9" s="28" t="str">
        <x:v>balance</x:v>
      </x:c>
      <x:c r="D9" s="33" t="str">
        <x:v>each wave retains three events per method and three per truth root</x:v>
      </x:c>
    </x:row>
    <x:row r="10" ht="38" customHeight="1">
      <x:c r="B10" s="28" t="str">
        <x:v>DR-04</x:v>
      </x:c>
      <x:c r="C10" s="28" t="str">
        <x:v>carryover</x:v>
      </x:c>
      <x:c r="D10" s="33" t="str">
        <x:v>each ordered treatment pair appears once or twice</x:v>
      </x:c>
    </x:row>
    <x:row r="11" ht="38" customHeight="1">
      <x:c r="B11" s="28" t="str">
        <x:v>DR-05</x:v>
      </x:c>
      <x:c r="C11" s="28" t="str">
        <x:v>event law</x:v>
      </x:c>
      <x:c r="D11" s="33" t="str">
        <x:v>every attempt remains governed by all twenty-four RAY gates</x:v>
      </x:c>
    </x:row>
    <x:row r="12" ht="38" customHeight="1">
      <x:c r="B12" s="28" t="str">
        <x:v>DR-06</x:v>
      </x:c>
      <x:c r="C12" s="28" t="str">
        <x:v>replacement</x:v>
      </x:c>
      <x:c r="D12" s="33" t="str">
        <x:v>only invalid attempts may receive a targeted dormant token</x:v>
      </x:c>
    </x:row>
    <x:row r="13" ht="38" customHeight="1">
      <x:c r="B13" s="28" t="str">
        <x:v>DR-07</x:v>
      </x:c>
      <x:c r="C13" s="28" t="str">
        <x:v>adverse result</x:v>
      </x:c>
      <x:c r="D13" s="33" t="str">
        <x:v>valid adverse evidence remains the cell result</x:v>
      </x:c>
    </x:row>
    <x:row r="14" ht="38" customHeight="1">
      <x:c r="B14" s="28" t="str">
        <x:v>DR-08</x:v>
      </x:c>
      <x:c r="C14" s="28" t="str">
        <x:v>reuse</x:v>
      </x:c>
      <x:c r="D14" s="33" t="str">
        <x:v>day-seven disposition and a new 96-hour freeze precede the next T0</x:v>
      </x:c>
    </x:row>
    <x:row r="15" ht="38" customHeight="1">
      <x:c r="B15" s="28" t="str">
        <x:v>DR-09</x:v>
      </x:c>
      <x:c r="C15" s="28" t="str">
        <x:v>zero state</x:v>
      </x:c>
      <x:c r="D15" s="33" t="str">
        <x:v>both roots remain inside source and water upper decisions</x:v>
      </x:c>
    </x:row>
    <x:row r="16" ht="38" customHeight="1">
      <x:c r="B16" s="28" t="str">
        <x:v>DR-10</x:v>
      </x:c>
      <x:c r="C16" s="28" t="str">
        <x:v>transfer</x:v>
      </x:c>
      <x:c r="D16" s="33" t="str">
        <x:v>root and method contrasts use predeclared physical margins</x:v>
      </x:c>
    </x:row>
    <x:row r="17" ht="38" customHeight="1">
      <x:c r="B17" s="28" t="str">
        <x:v>DR-11</x:v>
      </x:c>
      <x:c r="C17" s="28" t="str">
        <x:v>replay</x:v>
      </x:c>
      <x:c r="D17" s="33" t="str">
        <x:v>each accepted attempt is reconstructed at two outside campuses</x:v>
      </x:c>
    </x:row>
    <x:row r="18" ht="38" customHeight="1">
      <x:c r="B18" s="28" t="str">
        <x:v>DR-12</x:v>
      </x:c>
      <x:c r="C18" s="28" t="str">
        <x:v>denominator</x:v>
      </x:c>
      <x:c r="D18" s="33" t="str">
        <x:v>all accepted attempts remain in the validity rate</x:v>
      </x:c>
    </x:row>
    <x:row r="19" ht="38" customHeight="1">
      <x:c r="B19" s="28" t="str">
        <x:v>DR-13</x:v>
      </x:c>
      <x:c r="C19" s="28" t="str">
        <x:v>statistics</x:v>
      </x:c>
      <x:c r="D19" s="33" t="str">
        <x:v>twenty-four credits establish coverage, not production reliability</x:v>
      </x:c>
    </x:row>
    <x:row r="20" ht="38" customHeight="1">
      <x:c r="B20" s="28" t="str">
        <x:v>DR-14</x:v>
      </x:c>
      <x:c r="C20" s="28" t="str">
        <x:v>finance</x:v>
      </x:c>
      <x:c r="D20" s="33" t="str">
        <x:v>no new allocation exceeds the RAE-1 parent boundaries</x:v>
      </x:c>
    </x:row>
    <x:row r="21" ht="38" customHeight="1">
      <x:c r="B21" s="28" t="str">
        <x:v>DR-15</x:v>
      </x:c>
      <x:c r="C21" s="28" t="str">
        <x:v>authority</x:v>
      </x:c>
      <x:c r="D21" s="33" t="str">
        <x:v>class qualification does not issue QE-02 or physical source</x:v>
      </x:c>
    </x:row>
    <x:row r="22" ht="38" customHeight="1">
      <x:c r="B22" s="28" t="str">
        <x:v>DR-16</x:v>
      </x:c>
      <x:c r="C22" s="28" t="str">
        <x:v>candidate</x:v>
      </x:c>
      <x:c r="D22" s="33" t="str">
        <x:v>no QE-01 result selects a Root A candidate architecture</x:v>
      </x:c>
    </x:row>
    <x:row r="23" ht="38" customHeight="1">
      <x:c r="B23" s="28" t="str">
        <x:v>DR-17</x:v>
      </x:c>
      <x:c r="C23" s="28" t="str">
        <x:v>production</x:v>
      </x:c>
      <x:c r="D23" s="33" t="str">
        <x:v>no class result establishes production rate or fleet readiness</x:v>
      </x:c>
    </x:row>
    <x:row r="24" ht="38" customHeight="1">
      <x:c r="B24" s="28" t="str">
        <x:v>DR-18</x:v>
      </x:c>
      <x:c r="C24" s="28" t="str">
        <x:v>form</x:v>
      </x:c>
      <x:c r="D24" s="33" t="str">
        <x:v>exterior rendering remains unavailable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70" hidden="0" customWidth="1"/>
    <x:col min="4" max="4" width="75" hidden="0" customWidth="1"/>
    <x:col min="5" max="5" width="14" hidden="0" customWidth="1"/>
  </x:cols>
  <x:sheetData>
    <x:row r="2">
      <x:c r="B2" s="23" t="str">
        <x:v>Eighteen immediate class stops</x:v>
      </x:c>
      <x:c r="C2" s="24"/>
      <x:c r="D2" s="24"/>
      <x:c r="E2" s="24"/>
    </x:row>
    <x:row r="3">
      <x:c r="B3" s="25" t="str">
        <x:v>A stop preserves people, hardware and the meaning of later evidence. It never authorizes a waiver.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Rule</x:v>
      </x:c>
      <x:c r="C6" s="6" t="str">
        <x:v>Trigger</x:v>
      </x:c>
      <x:c r="D6" s="6" t="str">
        <x:v>Immediate action</x:v>
      </x:c>
      <x:c r="E6" s="6" t="str">
        <x:v>State</x:v>
      </x:c>
    </x:row>
    <x:row r="7" ht="38" customHeight="1">
      <x:c r="B7" s="28" t="str">
        <x:v>SR-01</x:v>
      </x:c>
      <x:c r="C7" s="33" t="str">
        <x:v>RAY seed missing, invalid or reselected</x:v>
      </x:c>
      <x:c r="D7" s="33" t="str">
        <x:v>halt affected branch, isolate resources and preserve all originals</x:v>
      </x:c>
      <x:c r="E7" s="28" t="str">
        <x:v>ACTIVE</x:v>
      </x:c>
    </x:row>
    <x:row r="8" ht="38" customHeight="1">
      <x:c r="B8" s="28" t="str">
        <x:v>SR-02</x:v>
      </x:c>
      <x:c r="C8" s="33" t="str">
        <x:v>transformed schedule loses a cell</x:v>
      </x:c>
      <x:c r="D8" s="33" t="str">
        <x:v>halt affected branch, isolate resources and preserve all originals</x:v>
      </x:c>
      <x:c r="E8" s="28" t="str">
        <x:v>ACTIVE</x:v>
      </x:c>
    </x:row>
    <x:row r="9" ht="38" customHeight="1">
      <x:c r="B9" s="28" t="str">
        <x:v>SR-03</x:v>
      </x:c>
      <x:c r="C9" s="33" t="str">
        <x:v>wave method or root margin breaks</x:v>
      </x:c>
      <x:c r="D9" s="33" t="str">
        <x:v>halt affected branch, isolate resources and preserve all originals</x:v>
      </x:c>
      <x:c r="E9" s="28" t="str">
        <x:v>ACTIVE</x:v>
      </x:c>
    </x:row>
    <x:row r="10" ht="38" customHeight="1">
      <x:c r="B10" s="28" t="str">
        <x:v>SR-04</x:v>
      </x:c>
      <x:c r="C10" s="33" t="str">
        <x:v>position or directed carryover exceeds the registered range</x:v>
      </x:c>
      <x:c r="D10" s="33" t="str">
        <x:v>halt affected branch, isolate resources and preserve all originals</x:v>
      </x:c>
      <x:c r="E10" s="28" t="str">
        <x:v>ACTIVE</x:v>
      </x:c>
    </x:row>
    <x:row r="11" ht="38" customHeight="1">
      <x:c r="B11" s="28" t="str">
        <x:v>SR-05</x:v>
      </x:c>
      <x:c r="C11" s="33" t="str">
        <x:v>primary token lacks one target cell</x:v>
      </x:c>
      <x:c r="D11" s="33" t="str">
        <x:v>halt affected branch, isolate resources and preserve all originals</x:v>
      </x:c>
      <x:c r="E11" s="28" t="str">
        <x:v>ACTIVE</x:v>
      </x:c>
    </x:row>
    <x:row r="12" ht="38" customHeight="1">
      <x:c r="B12" s="28" t="str">
        <x:v>SR-06</x:v>
      </x:c>
      <x:c r="C12" s="33" t="str">
        <x:v>reserve token targets a non-invalid attempt</x:v>
      </x:c>
      <x:c r="D12" s="33" t="str">
        <x:v>halt affected branch, isolate resources and preserve all originals</x:v>
      </x:c>
      <x:c r="E12" s="28" t="str">
        <x:v>ACTIVE</x:v>
      </x:c>
    </x:row>
    <x:row r="13" ht="38" customHeight="1">
      <x:c r="B13" s="28" t="str">
        <x:v>SR-07</x:v>
      </x:c>
      <x:c r="C13" s="33" t="str">
        <x:v>valid adverse attempt is proposed for replacement</x:v>
      </x:c>
      <x:c r="D13" s="33" t="str">
        <x:v>halt affected branch, isolate resources and preserve all originals</x:v>
      </x:c>
      <x:c r="E13" s="28" t="str">
        <x:v>ACTIVE</x:v>
      </x:c>
    </x:row>
    <x:row r="14" ht="38" customHeight="1">
      <x:c r="B14" s="28" t="str">
        <x:v>SR-08</x:v>
      </x:c>
      <x:c r="C14" s="33" t="str">
        <x:v>event issue or any RAY gate fails</x:v>
      </x:c>
      <x:c r="D14" s="33" t="str">
        <x:v>halt affected branch, isolate resources and preserve all originals</x:v>
      </x:c>
      <x:c r="E14" s="28" t="str">
        <x:v>ACTIVE</x:v>
      </x:c>
    </x:row>
    <x:row r="15" ht="38" customHeight="1">
      <x:c r="B15" s="28" t="str">
        <x:v>SR-09</x:v>
      </x:c>
      <x:c r="C15" s="33" t="str">
        <x:v>unlike-root zero decision exceeds its ceiling</x:v>
      </x:c>
      <x:c r="D15" s="33" t="str">
        <x:v>halt affected branch, isolate resources and preserve all originals</x:v>
      </x:c>
      <x:c r="E15" s="28" t="str">
        <x:v>ACTIVE</x:v>
      </x:c>
    </x:row>
    <x:row r="16" ht="38" customHeight="1">
      <x:c r="B16" s="28" t="str">
        <x:v>SR-10</x:v>
      </x:c>
      <x:c r="C16" s="33" t="str">
        <x:v>pair is reused before 264 hours</x:v>
      </x:c>
      <x:c r="D16" s="33" t="str">
        <x:v>halt affected branch, isolate resources and preserve all originals</x:v>
      </x:c>
      <x:c r="E16" s="28" t="str">
        <x:v>ACTIVE</x:v>
      </x:c>
    </x:row>
    <x:row r="17" ht="38" customHeight="1">
      <x:c r="B17" s="28" t="str">
        <x:v>SR-11</x:v>
      </x:c>
      <x:c r="C17" s="33" t="str">
        <x:v>predecessor residual is nonzero</x:v>
      </x:c>
      <x:c r="D17" s="33" t="str">
        <x:v>halt affected branch, isolate resources and preserve all originals</x:v>
      </x:c>
      <x:c r="E17" s="28" t="str">
        <x:v>ACTIVE</x:v>
      </x:c>
    </x:row>
    <x:row r="18" ht="38" customHeight="1">
      <x:c r="B18" s="28" t="str">
        <x:v>SR-12</x:v>
      </x:c>
      <x:c r="C18" s="33" t="str">
        <x:v>successor baseline repeats the predecessor baseline</x:v>
      </x:c>
      <x:c r="D18" s="33" t="str">
        <x:v>halt affected branch, isolate resources and preserve all originals</x:v>
      </x:c>
      <x:c r="E18" s="28" t="str">
        <x:v>ACTIVE</x:v>
      </x:c>
    </x:row>
    <x:row r="19" ht="38" customHeight="1">
      <x:c r="B19" s="28" t="str">
        <x:v>SR-13</x:v>
      </x:c>
      <x:c r="C19" s="33" t="str">
        <x:v>crew roster or relief root is missing</x:v>
      </x:c>
      <x:c r="D19" s="33" t="str">
        <x:v>halt affected branch, isolate resources and preserve all originals</x:v>
      </x:c>
      <x:c r="E19" s="28" t="str">
        <x:v>ACTIVE</x:v>
      </x:c>
    </x:row>
    <x:row r="20" ht="38" customHeight="1">
      <x:c r="B20" s="28" t="str">
        <x:v>SR-14</x:v>
      </x:c>
      <x:c r="C20" s="33" t="str">
        <x:v>truth-root kit loses calibration or custody</x:v>
      </x:c>
      <x:c r="D20" s="33" t="str">
        <x:v>halt affected branch, isolate resources and preserve all originals</x:v>
      </x:c>
      <x:c r="E20" s="28" t="str">
        <x:v>ACTIVE</x:v>
      </x:c>
    </x:row>
    <x:row r="21" ht="38" customHeight="1">
      <x:c r="B21" s="28" t="str">
        <x:v>SR-15</x:v>
      </x:c>
      <x:c r="C21" s="33" t="str">
        <x:v>remote replay disagrees or uses the origin root</x:v>
      </x:c>
      <x:c r="D21" s="33" t="str">
        <x:v>halt affected branch, isolate resources and preserve all originals</x:v>
      </x:c>
      <x:c r="E21" s="28" t="str">
        <x:v>ACTIVE</x:v>
      </x:c>
    </x:row>
    <x:row r="22" ht="38" customHeight="1">
      <x:c r="B22" s="28" t="str">
        <x:v>SR-16</x:v>
      </x:c>
      <x:c r="C22" s="33" t="str">
        <x:v>root or method contrast exceeds margin</x:v>
      </x:c>
      <x:c r="D22" s="33" t="str">
        <x:v>halt affected branch, isolate resources and preserve all originals</x:v>
      </x:c>
      <x:c r="E22" s="28" t="str">
        <x:v>ACTIVE</x:v>
      </x:c>
    </x:row>
    <x:row r="23" ht="38" customHeight="1">
      <x:c r="B23" s="28" t="str">
        <x:v>SR-17</x:v>
      </x:c>
      <x:c r="C23" s="33" t="str">
        <x:v>a cell receives duplicate credit</x:v>
      </x:c>
      <x:c r="D23" s="33" t="str">
        <x:v>halt affected branch, isolate resources and preserve all originals</x:v>
      </x:c>
      <x:c r="E23" s="28" t="str">
        <x:v>ACTIVE</x:v>
      </x:c>
    </x:row>
    <x:row r="24" ht="38" customHeight="1">
      <x:c r="B24" s="28" t="str">
        <x:v>SR-18</x:v>
      </x:c>
      <x:c r="C24" s="33" t="str">
        <x:v>source, candidate, production or exterior-form authority becomes nonzero</x:v>
      </x:c>
      <x:c r="D24" s="33" t="str">
        <x:v>halt affected branch, isolate resources and preserve all originals</x:v>
      </x:c>
      <x:c r="E24" s="28" t="str">
        <x:v>ACTIVE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7" hidden="0" customWidth="1"/>
    <x:col min="4" max="4" width="17" hidden="0" customWidth="1"/>
    <x:col min="5" max="5" width="72" hidden="0" customWidth="1"/>
    <x:col min="6" max="6" width="22" hidden="0" customWidth="1"/>
    <x:col min="7" max="7" width="23" hidden="0" customWidth="1"/>
    <x:col min="8" max="8" width="16" hidden="0" customWidth="1"/>
  </x:cols>
  <x:sheetData>
    <x:row r="2">
      <x:c r="B2" s="23" t="str">
        <x:v>Sixty-six-month release-aware establishment schedule</x:v>
      </x:c>
      <x:c r="C2" s="24"/>
      <x:c r="D2" s="24"/>
      <x:c r="E2" s="24"/>
      <x:c r="F2" s="24"/>
      <x:c r="G2" s="24"/>
      <x:c r="H2" s="24"/>
    </x:row>
    <x:row r="3">
      <x:c r="B3" s="25" t="str">
        <x:v>RAZ-1 adds eight months after the first-event constitution. No physical predecessor result is credited early.</x:v>
      </x:c>
      <x:c r="C3" s="24"/>
      <x:c r="D3" s="24"/>
      <x:c r="E3" s="24"/>
      <x:c r="F3" s="24"/>
      <x:c r="G3" s="24"/>
      <x:c r="H3" s="24"/>
    </x:row>
    <x:row r="4">
      <x:c r="B4" s="24"/>
      <x:c r="C4" s="24"/>
      <x:c r="D4" s="24"/>
      <x:c r="E4" s="24"/>
      <x:c r="F4" s="24"/>
      <x:c r="G4" s="24"/>
      <x:c r="H4" s="24"/>
    </x:row>
    <x:row r="5">
      <x:c r="B5" s="24"/>
      <x:c r="C5" s="24"/>
      <x:c r="D5" s="24"/>
      <x:c r="E5" s="24"/>
      <x:c r="F5" s="24"/>
      <x:c r="G5" s="24"/>
      <x:c r="H5" s="24"/>
    </x:row>
    <x:row r="6" ht="24" customHeight="1">
      <x:c r="B6" s="6" t="str">
        <x:v>Stage</x:v>
      </x:c>
      <x:c r="C6" s="6" t="str">
        <x:v>Start month</x:v>
      </x:c>
      <x:c r="D6" s="6" t="str">
        <x:v>End month</x:v>
      </x:c>
      <x:c r="E6" s="6" t="str">
        <x:v>Work</x:v>
      </x:c>
      <x:c r="F6" s="6" t="str">
        <x:v>Authority class</x:v>
      </x:c>
      <x:c r="G6" s="6" t="str">
        <x:v>Accepted UTC</x:v>
      </x:c>
      <x:c r="H6" s="6" t="str">
        <x:v>State</x:v>
      </x:c>
    </x:row>
    <x:row r="7" ht="36" customHeight="1">
      <x:c r="B7" s="28" t="str">
        <x:v>RAC-1</x:v>
      </x:c>
      <x:c r="C7" s="28" t="n">
        <x:v>1</x:v>
      </x:c>
      <x:c r="D7" s="28" t="n">
        <x:v>18</x:v>
      </x:c>
      <x:c r="E7" s="33" t="str">
        <x:v>development construction constitution</x:v>
      </x:c>
      <x:c r="F7" s="28" t="str">
        <x:v>physical</x:v>
      </x:c>
      <x:c r="G7" s="28" t="str"/>
      <x:c r="H7" s="28" t="str">
        <x:v>OPEN</x:v>
      </x:c>
    </x:row>
    <x:row r="8" ht="36" customHeight="1">
      <x:c r="B8" s="28" t="str">
        <x:v>RAB-1</x:v>
      </x:c>
      <x:c r="C8" s="28" t="n">
        <x:v>19</x:v>
      </x:c>
      <x:c r="D8" s="28" t="n">
        <x:v>36</x:v>
      </x:c>
      <x:c r="E8" s="33" t="str">
        <x:v>development and destructive qualification</x:v>
      </x:c>
      <x:c r="F8" s="28" t="str">
        <x:v>physical</x:v>
      </x:c>
      <x:c r="G8" s="28" t="str"/>
      <x:c r="H8" s="28" t="str">
        <x:v>OPEN</x:v>
      </x:c>
    </x:row>
    <x:row r="9" ht="36" customHeight="1">
      <x:c r="B9" s="28" t="str">
        <x:v>RAQ-1 preparation</x:v>
      </x:c>
      <x:c r="C9" s="28" t="n">
        <x:v>25</x:v>
      </x:c>
      <x:c r="D9" s="28" t="n">
        <x:v>36</x:v>
      </x:c>
      <x:c r="E9" s="33" t="str">
        <x:v>revocable site, tool and workforce preparation</x:v>
      </x:c>
      <x:c r="F9" s="28" t="str">
        <x:v>revocable</x:v>
      </x:c>
      <x:c r="G9" s="28" t="str"/>
      <x:c r="H9" s="28" t="str">
        <x:v>OPEN</x:v>
      </x:c>
    </x:row>
    <x:row r="10" ht="36" customHeight="1">
      <x:c r="B10" s="28" t="str">
        <x:v>RAQ-1 physical</x:v>
      </x:c>
      <x:c r="C10" s="28" t="n">
        <x:v>37</x:v>
      </x:c>
      <x:c r="D10" s="28" t="n">
        <x:v>48</x:v>
      </x:c>
      <x:c r="E10" s="33" t="str">
        <x:v>production-equivalent bank build and acceptance</x:v>
      </x:c>
      <x:c r="F10" s="28" t="str">
        <x:v>physical</x:v>
      </x:c>
      <x:c r="G10" s="28" t="str"/>
      <x:c r="H10" s="28" t="str">
        <x:v>OPEN</x:v>
      </x:c>
    </x:row>
    <x:row r="11" ht="36" customHeight="1">
      <x:c r="B11" s="28" t="str">
        <x:v>RAX-1 preparation</x:v>
      </x:c>
      <x:c r="C11" s="28" t="n">
        <x:v>37</x:v>
      </x:c>
      <x:c r="D11" s="28" t="n">
        <x:v>48</x:v>
      </x:c>
      <x:c r="E11" s="33" t="str">
        <x:v>revocable rigs, crews, replay and logistics preparation</x:v>
      </x:c>
      <x:c r="F11" s="28" t="str">
        <x:v>revocable</x:v>
      </x:c>
      <x:c r="G11" s="28" t="str"/>
      <x:c r="H11" s="28" t="str">
        <x:v>OPEN</x:v>
      </x:c>
    </x:row>
    <x:row r="12" ht="36" customHeight="1">
      <x:c r="B12" s="28" t="str">
        <x:v>RAX-1 physical</x:v>
      </x:c>
      <x:c r="C12" s="28" t="n">
        <x:v>49</x:v>
      </x:c>
      <x:c r="D12" s="28" t="n">
        <x:v>54</x:v>
      </x:c>
      <x:c r="E12" s="33" t="str">
        <x:v>custody, rotation and campaign readiness</x:v>
      </x:c>
      <x:c r="F12" s="28" t="str">
        <x:v>physical</x:v>
      </x:c>
      <x:c r="G12" s="28" t="str"/>
      <x:c r="H12" s="28" t="str">
        <x:v>OPEN</x:v>
      </x:c>
    </x:row>
    <x:row r="13" ht="36" customHeight="1">
      <x:c r="B13" s="28" t="str">
        <x:v>RAY-1</x:v>
      </x:c>
      <x:c r="C13" s="28" t="n">
        <x:v>55</x:v>
      </x:c>
      <x:c r="D13" s="28" t="n">
        <x:v>58</x:v>
      </x:c>
      <x:c r="E13" s="33" t="str">
        <x:v>first null event and pair regeneration constitution</x:v>
      </x:c>
      <x:c r="F13" s="28" t="str">
        <x:v>physical</x:v>
      </x:c>
      <x:c r="G13" s="28" t="str"/>
      <x:c r="H13" s="28" t="str">
        <x:v>OPEN</x:v>
      </x:c>
    </x:row>
    <x:row r="14" ht="36" customHeight="1">
      <x:c r="B14" s="28" t="str">
        <x:v>RAZ-1 waves</x:v>
      </x:c>
      <x:c r="C14" s="28" t="n">
        <x:v>59</x:v>
      </x:c>
      <x:c r="D14" s="28" t="n">
        <x:v>64</x:v>
      </x:c>
      <x:c r="E14" s="33" t="str">
        <x:v>complete four balanced waves with reserve windows</x:v>
      </x:c>
      <x:c r="F14" s="28" t="str">
        <x:v>physical</x:v>
      </x:c>
      <x:c r="G14" s="28" t="str"/>
      <x:c r="H14" s="28" t="str">
        <x:v>OPEN</x:v>
      </x:c>
    </x:row>
    <x:row r="15" ht="36" customHeight="1">
      <x:c r="B15" s="28" t="str">
        <x:v>RAZ-1 transfer</x:v>
      </x:c>
      <x:c r="C15" s="28" t="n">
        <x:v>65</x:v>
      </x:c>
      <x:c r="D15" s="28" t="n">
        <x:v>66</x:v>
      </x:c>
      <x:c r="E15" s="33" t="str">
        <x:v>contrast, replay, class board and record freeze</x:v>
      </x:c>
      <x:c r="F15" s="28" t="str">
        <x:v>physical</x:v>
      </x:c>
      <x:c r="G15" s="28" t="str"/>
      <x:c r="H15" s="28" t="str">
        <x:v>OPEN</x:v>
      </x:c>
    </x:row>
  </x:sheetData>
  <x:conditionalFormatting sqref="H7:H15">
    <x:cfRule type="containsText" dxfId="297" priority="1" operator="containsText" text="FAIL"/>
    <x:cfRule type="containsText" dxfId="298" priority="2" operator="containsText" text="BLOCKED"/>
    <x:cfRule type="containsText" dxfId="299" priority="3" operator="containsText" text="INVALID"/>
    <x:cfRule type="containsText" dxfId="300" priority="4" operator="containsText" text="ADVERSE"/>
    <x:cfRule type="containsText" dxfId="301" priority="5" operator="containsText" text="EXPIRED"/>
    <x:cfRule type="containsText" dxfId="302" priority="6" operator="containsText" text="OPEN"/>
    <x:cfRule type="containsText" dxfId="303" priority="7" operator="containsText" text="DORMANT"/>
    <x:cfRule type="containsText" dxfId="304" priority="8" operator="containsText" text="PASS"/>
    <x:cfRule type="containsText" dxfId="305" priority="9" operator="containsText" text="AVAILABLE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22" hidden="0" customWidth="1"/>
    <x:col min="4" max="4" width="21" hidden="0" customWidth="1"/>
    <x:col min="5" max="5" width="22" hidden="0" customWidth="1"/>
    <x:col min="6" max="6" width="18" hidden="0" customWidth="1"/>
    <x:col min="7" max="7" width="23" hidden="0" customWidth="1"/>
    <x:col min="8" max="8" width="22" hidden="0" customWidth="1"/>
    <x:col min="9" max="9" width="16" hidden="0" customWidth="1"/>
  </x:cols>
  <x:sheetData>
    <x:row r="2">
      <x:c r="B2" s="23" t="str">
        <x:v>Required and P90 class capacity</x:v>
      </x:c>
      <x:c r="C2" s="24"/>
      <x:c r="D2" s="24"/>
      <x:c r="E2" s="24"/>
      <x:c r="F2" s="24"/>
      <x:c r="G2" s="24"/>
      <x:c r="H2" s="24"/>
      <x:c r="I2" s="24"/>
    </x:row>
    <x:row r="3">
      <x:c r="B3" s="25" t="str">
        <x:v>Required demand and six-attempt reserve remain separate. Capacity protects investigation and replacement without changing cell requirements.</x:v>
      </x:c>
      <x:c r="C3" s="24"/>
      <x:c r="D3" s="24"/>
      <x:c r="E3" s="24"/>
      <x:c r="F3" s="24"/>
      <x:c r="G3" s="24"/>
      <x:c r="H3" s="24"/>
      <x:c r="I3" s="24"/>
    </x:row>
    <x:row r="4">
      <x:c r="B4" s="24"/>
      <x:c r="C4" s="24"/>
      <x:c r="D4" s="24"/>
      <x:c r="E4" s="24"/>
      <x:c r="F4" s="24"/>
      <x:c r="G4" s="24"/>
      <x:c r="H4" s="24"/>
      <x:c r="I4" s="24"/>
    </x:row>
    <x:row r="5">
      <x:c r="B5" s="24"/>
      <x:c r="C5" s="24"/>
      <x:c r="D5" s="24"/>
      <x:c r="E5" s="24"/>
      <x:c r="F5" s="24"/>
      <x:c r="G5" s="24"/>
      <x:c r="H5" s="24"/>
      <x:c r="I5" s="24"/>
    </x:row>
    <x:row r="6" ht="24" customHeight="1">
      <x:c r="B6" s="6" t="str">
        <x:v>Resource</x:v>
      </x:c>
      <x:c r="C6" s="6" t="str">
        <x:v>Required demand</x:v>
      </x:c>
      <x:c r="D6" s="6" t="str">
        <x:v>Reserve demand</x:v>
      </x:c>
      <x:c r="E6" s="6" t="str">
        <x:v>Available capacity</x:v>
      </x:c>
      <x:c r="F6" s="6" t="str">
        <x:v>Unit</x:v>
      </x:c>
      <x:c r="G6" s="6" t="str">
        <x:v>Required utilization</x:v>
      </x:c>
      <x:c r="H6" s="6" t="str">
        <x:v>Reserve utilization</x:v>
      </x:c>
      <x:c r="I6" s="6" t="str">
        <x:v>State</x:v>
      </x:c>
    </x:row>
    <x:row r="7">
      <x:c r="B7" s="28" t="str">
        <x:v>rig time</x:v>
      </x:c>
      <x:c r="C7" s="28" t="n">
        <x:v>48</x:v>
      </x:c>
      <x:c r="D7" s="28" t="n">
        <x:v>12</x:v>
      </x:c>
      <x:c r="E7" s="28" t="n">
        <x:v>120</x:v>
      </x:c>
      <x:c r="F7" s="28" t="str">
        <x:v>rig-days</x:v>
      </x:c>
      <x:c r="G7" s="35" t="n">
        <x:f>C7/E7</x:f>
        <x:v>0.4</x:v>
      </x:c>
      <x:c r="H7" s="35" t="n">
        <x:f>(C7+D7)/E7</x:f>
        <x:v>0.5</x:v>
      </x:c>
      <x:c r="I7" s="28" t="str">
        <x:f>IF(AND(C7&lt;=E7,C7+D7&lt;=E7),"PASS","FAIL")</x:f>
        <x:v>PASS</x:v>
      </x:c>
    </x:row>
    <x:row r="8">
      <x:c r="B8" s="28" t="str">
        <x:v>event packets</x:v>
      </x:c>
      <x:c r="C8" s="28" t="n">
        <x:v>24</x:v>
      </x:c>
      <x:c r="D8" s="28" t="n">
        <x:v>6</x:v>
      </x:c>
      <x:c r="E8" s="28" t="n">
        <x:v>30</x:v>
      </x:c>
      <x:c r="F8" s="28" t="str">
        <x:v>attempts</x:v>
      </x:c>
      <x:c r="G8" s="35" t="n">
        <x:f>C8/E8</x:f>
        <x:v>0.8</x:v>
      </x:c>
      <x:c r="H8" s="35" t="n">
        <x:f>(C8+D8)/E8</x:f>
        <x:v>1</x:v>
      </x:c>
      <x:c r="I8" s="28" t="str">
        <x:f>IF(AND(C8&lt;=E8,C8+D8&lt;=E8),"PASS","FAIL")</x:f>
        <x:v>PASS</x:v>
      </x:c>
    </x:row>
    <x:row r="9">
      <x:c r="B9" s="28" t="str">
        <x:v>outside replay</x:v>
      </x:c>
      <x:c r="C9" s="28" t="n">
        <x:v>576</x:v>
      </x:c>
      <x:c r="D9" s="28" t="n">
        <x:v>144</x:v>
      </x:c>
      <x:c r="E9" s="28" t="n">
        <x:v>720</x:v>
      </x:c>
      <x:c r="F9" s="28" t="str">
        <x:v>decisions</x:v>
      </x:c>
      <x:c r="G9" s="35" t="n">
        <x:f>C9/E9</x:f>
        <x:v>0.8</x:v>
      </x:c>
      <x:c r="H9" s="35" t="n">
        <x:f>(C9+D9)/E9</x:f>
        <x:v>1</x:v>
      </x:c>
      <x:c r="I9" s="28" t="str">
        <x:f>IF(AND(C9&lt;=E9,C9+D9&lt;=E9),"PASS","FAIL")</x:f>
        <x:v>PASS</x:v>
      </x:c>
    </x:row>
    <x:row r="10">
      <x:c r="B10" s="28" t="str">
        <x:v>allocated evidence</x:v>
      </x:c>
      <x:c r="C10" s="28" t="n">
        <x:v>3670.9608</x:v>
      </x:c>
      <x:c r="D10" s="28" t="n">
        <x:v>917.7402</x:v>
      </x:c>
      <x:c r="E10" s="28" t="n">
        <x:v>6000</x:v>
      </x:c>
      <x:c r="F10" s="28" t="str">
        <x:v>GB</x:v>
      </x:c>
      <x:c r="G10" s="35" t="n">
        <x:f>C10/E10</x:f>
        <x:v>0.6118268</x:v>
      </x:c>
      <x:c r="H10" s="35" t="n">
        <x:f>(C10+D10)/E10</x:f>
        <x:v>0.7647835</x:v>
      </x:c>
      <x:c r="I10" s="28" t="str">
        <x:f>IF(AND(C10&lt;=E10,C10+D10&lt;=E10),"PASS","FAIL")</x:f>
        <x:v>PASS</x:v>
      </x:c>
    </x:row>
    <x:row r="11">
      <x:c r="B11" s="28" t="str">
        <x:v>blank assays</x:v>
      </x:c>
      <x:c r="C11" s="28" t="n">
        <x:v>144</x:v>
      </x:c>
      <x:c r="D11" s="28" t="n">
        <x:v>36</x:v>
      </x:c>
      <x:c r="E11" s="28" t="n">
        <x:v>240</x:v>
      </x:c>
      <x:c r="F11" s="28" t="str">
        <x:v>assays</x:v>
      </x:c>
      <x:c r="G11" s="35" t="n">
        <x:f>C11/E11</x:f>
        <x:v>0.6</x:v>
      </x:c>
      <x:c r="H11" s="35" t="n">
        <x:f>(C11+D11)/E11</x:f>
        <x:v>0.75</x:v>
      </x:c>
      <x:c r="I11" s="28" t="str">
        <x:f>IF(AND(C11&lt;=E11,C11+D11&lt;=E11),"PASS","FAIL")</x:f>
        <x:v>PASS</x:v>
      </x:c>
    </x:row>
    <x:row r="12">
      <x:c r="B12" s="28" t="str">
        <x:v>concurrent event crew</x:v>
      </x:c>
      <x:c r="C12" s="28" t="n">
        <x:v>240</x:v>
      </x:c>
      <x:c r="D12" s="28" t="n">
        <x:v>20</x:v>
      </x:c>
      <x:c r="E12" s="28" t="n">
        <x:v>300</x:v>
      </x:c>
      <x:c r="F12" s="28" t="str">
        <x:v>seats</x:v>
      </x:c>
      <x:c r="G12" s="35" t="n">
        <x:f>C12/E12</x:f>
        <x:v>0.8</x:v>
      </x:c>
      <x:c r="H12" s="35" t="n">
        <x:f>(C12+D12)/E12</x:f>
        <x:v>0.8666666666666667</x:v>
      </x:c>
      <x:c r="I12" s="28" t="str">
        <x:f>IF(AND(C12&lt;=E12,C12+D12&lt;=E12),"PASS","FAIL")</x:f>
        <x:v>PASS</x:v>
      </x:c>
    </x:row>
    <x:row r="13">
      <x:c r="B13" s="28" t="str">
        <x:v>TR-A concurrent teams</x:v>
      </x:c>
      <x:c r="C13" s="28" t="n">
        <x:v>3</x:v>
      </x:c>
      <x:c r="D13" s="28" t="n">
        <x:v>1</x:v>
      </x:c>
      <x:c r="E13" s="28" t="n">
        <x:v>4</x:v>
      </x:c>
      <x:c r="F13" s="28" t="str">
        <x:v>teams</x:v>
      </x:c>
      <x:c r="G13" s="35" t="n">
        <x:f>C13/E13</x:f>
        <x:v>0.75</x:v>
      </x:c>
      <x:c r="H13" s="35" t="n">
        <x:f>(C13+D13)/E13</x:f>
        <x:v>1</x:v>
      </x:c>
      <x:c r="I13" s="28" t="str">
        <x:f>IF(AND(C13&lt;=E13,C13+D13&lt;=E13),"PASS","FAIL")</x:f>
        <x:v>PASS</x:v>
      </x:c>
    </x:row>
    <x:row r="14">
      <x:c r="B14" s="28" t="str">
        <x:v>TR-B concurrent teams</x:v>
      </x:c>
      <x:c r="C14" s="28" t="n">
        <x:v>3</x:v>
      </x:c>
      <x:c r="D14" s="28" t="n">
        <x:v>1</x:v>
      </x:c>
      <x:c r="E14" s="28" t="n">
        <x:v>4</x:v>
      </x:c>
      <x:c r="F14" s="28" t="str">
        <x:v>teams</x:v>
      </x:c>
      <x:c r="G14" s="35" t="n">
        <x:f>C14/E14</x:f>
        <x:v>0.75</x:v>
      </x:c>
      <x:c r="H14" s="35" t="n">
        <x:f>(C14+D14)/E14</x:f>
        <x:v>1</x:v>
      </x:c>
      <x:c r="I14" s="28" t="str">
        <x:f>IF(AND(C14&lt;=E14,C14+D14&lt;=E14),"PASS","FAIL")</x:f>
        <x:v>PASS</x:v>
      </x:c>
    </x:row>
    <x:row r="15">
      <x:c r="B15" s="28" t="str">
        <x:v>regeneration positions</x:v>
      </x:c>
      <x:c r="C15" s="28" t="n">
        <x:v>6</x:v>
      </x:c>
      <x:c r="D15" s="28" t="n">
        <x:v>3</x:v>
      </x:c>
      <x:c r="E15" s="28" t="n">
        <x:v>12</x:v>
      </x:c>
      <x:c r="F15" s="28" t="str">
        <x:v>positions</x:v>
      </x:c>
      <x:c r="G15" s="35" t="n">
        <x:f>C15/E15</x:f>
        <x:v>0.5</x:v>
      </x:c>
      <x:c r="H15" s="35" t="n">
        <x:f>(C15+D15)/E15</x:f>
        <x:v>0.75</x:v>
      </x:c>
      <x:c r="I15" s="28" t="str">
        <x:f>IF(AND(C15&lt;=E15,C15+D15&lt;=E15),"PASS","FAIL")</x:f>
        <x:v>PASS</x:v>
      </x:c>
    </x:row>
  </x:sheetData>
  <x:conditionalFormatting sqref="I7:I15">
    <x:cfRule type="containsText" dxfId="306" priority="1" operator="containsText" text="FAIL"/>
    <x:cfRule type="containsText" dxfId="307" priority="2" operator="containsText" text="BLOCKED"/>
    <x:cfRule type="containsText" dxfId="308" priority="3" operator="containsText" text="INVALID"/>
    <x:cfRule type="containsText" dxfId="309" priority="4" operator="containsText" text="ADVERSE"/>
    <x:cfRule type="containsText" dxfId="310" priority="5" operator="containsText" text="EXPIRED"/>
    <x:cfRule type="containsText" dxfId="311" priority="6" operator="containsText" text="OPEN"/>
    <x:cfRule type="containsText" dxfId="312" priority="7" operator="containsText" text="DORMANT"/>
    <x:cfRule type="containsText" dxfId="313" priority="8" operator="containsText" text="PASS"/>
    <x:cfRule type="containsText" dxfId="314" priority="9" operator="containsText" text="AVAILABLE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4" hidden="0" customWidth="1"/>
    <x:col min="3" max="3" width="19" hidden="0" customWidth="1"/>
    <x:col min="4" max="4" width="17" hidden="0" customWidth="1"/>
  </x:cols>
  <x:sheetData>
    <x:row r="2">
      <x:c r="B2" s="23" t="str">
        <x:v>RAZ-1 capital allocation</x:v>
      </x:c>
      <x:c r="C2" s="24"/>
      <x:c r="D2" s="24"/>
    </x:row>
    <x:row r="3">
      <x:c r="B3" s="25" t="str">
        <x:v>The USD 16M tranche completes the remaining RAE-1 capital allocation and funds class-level execution and transfer infrastructure.</x:v>
      </x:c>
      <x:c r="C3" s="24"/>
      <x:c r="D3" s="24"/>
    </x:row>
    <x:row r="4">
      <x:c r="B4" s="24"/>
      <x:c r="C4" s="24"/>
      <x:c r="D4" s="24"/>
    </x:row>
    <x:row r="5">
      <x:c r="B5" s="24"/>
      <x:c r="C5" s="24"/>
      <x:c r="D5" s="24"/>
    </x:row>
    <x:row r="6" ht="24" customHeight="1">
      <x:c r="B6" s="6" t="str">
        <x:v>Capital line</x:v>
      </x:c>
      <x:c r="C6" s="6" t="str">
        <x:v>USD M</x:v>
      </x:c>
      <x:c r="D6" s="6" t="str">
        <x:v>Share</x:v>
      </x:c>
    </x:row>
    <x:row r="7">
      <x:c r="B7" s="28" t="str">
        <x:v>six-wave truth-root deployment kits</x:v>
      </x:c>
      <x:c r="C7" s="28" t="n">
        <x:v>3</x:v>
      </x:c>
      <x:c r="D7" s="35" t="n">
        <x:f>C7/C16</x:f>
        <x:v>0.1875</x:v>
      </x:c>
    </x:row>
    <x:row r="8">
      <x:c r="B8" s="28" t="str">
        <x:v>class packet and schedule compiler</x:v>
      </x:c>
      <x:c r="C8" s="28" t="n">
        <x:v>2</x:v>
      </x:c>
      <x:c r="D8" s="35" t="n">
        <x:f>C8/C16</x:f>
        <x:v>0.125</x:v>
      </x:c>
    </x:row>
    <x:row r="9">
      <x:c r="B9" s="28" t="str">
        <x:v>carryover and residual instruments</x:v>
      </x:c>
      <x:c r="C9" s="28" t="n">
        <x:v>2</x:v>
      </x:c>
      <x:c r="D9" s="35" t="n">
        <x:f>C9/C16</x:f>
        <x:v>0.125</x:v>
      </x:c>
    </x:row>
    <x:row r="10">
      <x:c r="B10" s="28" t="str">
        <x:v>outside-campus replay expansion</x:v>
      </x:c>
      <x:c r="C10" s="28" t="n">
        <x:v>2</x:v>
      </x:c>
      <x:c r="D10" s="35" t="n">
        <x:f>C10/C16</x:f>
        <x:v>0.125</x:v>
      </x:c>
    </x:row>
    <x:row r="11">
      <x:c r="B11" s="28" t="str">
        <x:v>regeneration and transition fixtures</x:v>
      </x:c>
      <x:c r="C11" s="28" t="n">
        <x:v>2</x:v>
      </x:c>
      <x:c r="D11" s="35" t="n">
        <x:f>C11/C16</x:f>
        <x:v>0.125</x:v>
      </x:c>
    </x:row>
    <x:row r="12">
      <x:c r="B12" s="28" t="str">
        <x:v>crew rotation and relief systems</x:v>
      </x:c>
      <x:c r="C12" s="28" t="n">
        <x:v>1.2</x:v>
      </x:c>
      <x:c r="D12" s="35" t="n">
        <x:f>C12/C16</x:f>
        <x:v>0.075</x:v>
      </x:c>
    </x:row>
    <x:row r="13">
      <x:c r="B13" s="28" t="str">
        <x:v>evidence capacity and custody</x:v>
      </x:c>
      <x:c r="C13" s="28" t="n">
        <x:v>1.4</x:v>
      </x:c>
      <x:c r="D13" s="35" t="n">
        <x:f>C13/C16</x:f>
        <x:v>0.0875</x:v>
      </x:c>
    </x:row>
    <x:row r="14">
      <x:c r="B14" s="28" t="str">
        <x:v>reserve-event hardware</x:v>
      </x:c>
      <x:c r="C14" s="28" t="n">
        <x:v>1</x:v>
      </x:c>
      <x:c r="D14" s="35" t="n">
        <x:f>C14/C16</x:f>
        <x:v>0.0625</x:v>
      </x:c>
    </x:row>
    <x:row r="15">
      <x:c r="B15" s="28" t="str">
        <x:v>contingency</x:v>
      </x:c>
      <x:c r="C15" s="28" t="n">
        <x:v>1.4</x:v>
      </x:c>
      <x:c r="D15" s="35" t="n">
        <x:f>C15/C16</x:f>
        <x:v>0.0875</x:v>
      </x:c>
    </x:row>
    <x:row r="16">
      <x:c r="B16" s="26" t="str">
        <x:v>Total</x:v>
      </x:c>
      <x:c r="C16" s="26" t="n">
        <x:v>16</x:v>
      </x:c>
      <x:c r="D16" s="27" t="n">
        <x:v>1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8" hidden="0" customWidth="1"/>
    <x:col min="3" max="3" width="22" hidden="0" customWidth="1"/>
    <x:col min="4" max="4" width="17" hidden="0" customWidth="1"/>
  </x:cols>
  <x:sheetData>
    <x:row r="2">
      <x:c r="B2" s="23" t="str">
        <x:v>RAZ-1 annual support</x:v>
      </x:c>
      <x:c r="C2" s="24"/>
      <x:c r="D2" s="24"/>
    </x:row>
    <x:row r="3">
      <x:c r="B3" s="25" t="str">
        <x:v>The USD 6M annual rate supports four balanced waves, reserve windows, transfer decisions and class closure.</x:v>
      </x:c>
      <x:c r="C3" s="24"/>
      <x:c r="D3" s="24"/>
    </x:row>
    <x:row r="4">
      <x:c r="B4" s="24"/>
      <x:c r="C4" s="24"/>
      <x:c r="D4" s="24"/>
    </x:row>
    <x:row r="5">
      <x:c r="B5" s="24"/>
      <x:c r="C5" s="24"/>
      <x:c r="D5" s="24"/>
    </x:row>
    <x:row r="6" ht="24" customHeight="1">
      <x:c r="B6" s="6" t="str">
        <x:v>Annual support line</x:v>
      </x:c>
      <x:c r="C6" s="6" t="str">
        <x:v>USD M/year</x:v>
      </x:c>
      <x:c r="D6" s="6" t="str">
        <x:v>Share</x:v>
      </x:c>
    </x:row>
    <x:row r="7">
      <x:c r="B7" s="28" t="str">
        <x:v>event crews and relief</x:v>
      </x:c>
      <x:c r="C7" s="28" t="n">
        <x:v>2</x:v>
      </x:c>
      <x:c r="D7" s="35" t="n">
        <x:f>C7/C16</x:f>
        <x:v>0.3333333333333333</x:v>
      </x:c>
    </x:row>
    <x:row r="8">
      <x:c r="B8" s="28" t="str">
        <x:v>truth-root metrology and custody</x:v>
      </x:c>
      <x:c r="C8" s="28" t="n">
        <x:v>0.8</x:v>
      </x:c>
      <x:c r="D8" s="35" t="n">
        <x:f>C8/C16</x:f>
        <x:v>0.13333333333333333</x:v>
      </x:c>
    </x:row>
    <x:row r="9">
      <x:c r="B9" s="28" t="str">
        <x:v>evidence replay and adjudication</x:v>
      </x:c>
      <x:c r="C9" s="28" t="n">
        <x:v>0.7</x:v>
      </x:c>
      <x:c r="D9" s="35" t="n">
        <x:f>C9/C16</x:f>
        <x:v>0.11666666666666665</x:v>
      </x:c>
    </x:row>
    <x:row r="10">
      <x:c r="B10" s="28" t="str">
        <x:v>pair regeneration and transition</x:v>
      </x:c>
      <x:c r="C10" s="28" t="n">
        <x:v>0.8</x:v>
      </x:c>
      <x:c r="D10" s="35" t="n">
        <x:f>C10/C16</x:f>
        <x:v>0.13333333333333333</x:v>
      </x:c>
    </x:row>
    <x:row r="11">
      <x:c r="B11" s="28" t="str">
        <x:v>safety, rescue and environmental coverage</x:v>
      </x:c>
      <x:c r="C11" s="28" t="n">
        <x:v>0.6</x:v>
      </x:c>
      <x:c r="D11" s="35" t="n">
        <x:f>C11/C16</x:f>
        <x:v>0.09999999999999999</x:v>
      </x:c>
    </x:row>
    <x:row r="12">
      <x:c r="B12" s="28" t="str">
        <x:v>class and replacement boards</x:v>
      </x:c>
      <x:c r="C12" s="28" t="n">
        <x:v>0.4</x:v>
      </x:c>
      <x:c r="D12" s="35" t="n">
        <x:f>C12/C16</x:f>
        <x:v>0.06666666666666667</x:v>
      </x:c>
    </x:row>
    <x:row r="13">
      <x:c r="B13" s="28" t="str">
        <x:v>sample and blank assay</x:v>
      </x:c>
      <x:c r="C13" s="28" t="n">
        <x:v>0.3</x:v>
      </x:c>
      <x:c r="D13" s="35" t="n">
        <x:f>C13/C16</x:f>
        <x:v>0.049999999999999996</x:v>
      </x:c>
    </x:row>
    <x:row r="14">
      <x:c r="B14" s="28" t="str">
        <x:v>program operations</x:v>
      </x:c>
      <x:c r="C14" s="28" t="n">
        <x:v>0.2</x:v>
      </x:c>
      <x:c r="D14" s="35" t="n">
        <x:f>C14/C16</x:f>
        <x:v>0.03333333333333333</x:v>
      </x:c>
    </x:row>
    <x:row r="15">
      <x:c r="B15" s="28" t="str">
        <x:v>contingency</x:v>
      </x:c>
      <x:c r="C15" s="28" t="n">
        <x:v>0.2</x:v>
      </x:c>
      <x:c r="D15" s="35" t="n">
        <x:f>C15/C16</x:f>
        <x:v>0.03333333333333333</x:v>
      </x:c>
    </x:row>
    <x:row r="16">
      <x:c r="B16" s="26" t="str">
        <x:v>Total</x:v>
      </x:c>
      <x:c r="C16" s="26" t="n">
        <x:v>6</x:v>
      </x:c>
      <x:c r="D16" s="27" t="n">
        <x:v>1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2" hidden="0" customWidth="1"/>
    <x:col min="3" max="3" width="18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9" hidden="0" customWidth="1"/>
    <x:col min="18" max="18" width="25" hidden="0" customWidth="1"/>
  </x:cols>
  <x:sheetData>
    <x:row r="2">
      <x:c r="B2" s="23" t="str">
        <x:v>Sixty-six-month stage cash profile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</x:row>
    <x:row r="3">
      <x:c r="B3" s="25" t="str">
        <x:v>Capital and stage support follow physical and revocable work windows. RAZ-1 shares quarter twenty with the final RAY-1 months.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</x:row>
    <x:row r="4"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</x:row>
    <x:row r="6" ht="24" customHeight="1">
      <x:c r="B6" s="6" t="str">
        <x:v>Quarter</x:v>
      </x:c>
      <x:c r="C6" s="6" t="str">
        <x:v>Program months</x:v>
      </x:c>
      <x:c r="D6" s="6" t="str">
        <x:v>Active stages</x:v>
      </x:c>
      <x:c r="E6" s="6" t="str">
        <x:v>RAC capital</x:v>
      </x:c>
      <x:c r="F6" s="6" t="str">
        <x:v>RAC support</x:v>
      </x:c>
      <x:c r="G6" s="6" t="str">
        <x:v>RAB capital</x:v>
      </x:c>
      <x:c r="H6" s="6" t="str">
        <x:v>RAB support</x:v>
      </x:c>
      <x:c r="I6" s="6" t="str">
        <x:v>RAQ capital</x:v>
      </x:c>
      <x:c r="J6" s="6" t="str">
        <x:v>RAQ support</x:v>
      </x:c>
      <x:c r="K6" s="6" t="str">
        <x:v>RAX capital</x:v>
      </x:c>
      <x:c r="L6" s="6" t="str">
        <x:v>RAX support</x:v>
      </x:c>
      <x:c r="M6" s="6" t="str">
        <x:v>RAY capital</x:v>
      </x:c>
      <x:c r="N6" s="6" t="str">
        <x:v>RAY support</x:v>
      </x:c>
      <x:c r="O6" s="6" t="str">
        <x:v>RAZ capital</x:v>
      </x:c>
      <x:c r="P6" s="6" t="str">
        <x:v>RAZ support</x:v>
      </x:c>
      <x:c r="Q6" s="6" t="str">
        <x:v>Quarter spend</x:v>
      </x:c>
      <x:c r="R6" s="6" t="str">
        <x:v>Concurrent annual support</x:v>
      </x:c>
    </x:row>
    <x:row r="7">
      <x:c r="B7" s="28" t="str">
        <x:v>Q1</x:v>
      </x:c>
      <x:c r="C7" s="28" t="str">
        <x:v>1-3</x:v>
      </x:c>
      <x:c r="D7" s="28" t="str">
        <x:v>RAC-1</x:v>
      </x:c>
      <x:c r="E7" s="38" t="n">
        <x:v>10.666666666666666</x:v>
      </x:c>
      <x:c r="F7" s="38" t="n">
        <x:v>9.5</x:v>
      </x:c>
      <x:c r="G7" s="38" t="n">
        <x:v>0</x:v>
      </x:c>
      <x:c r="H7" s="38" t="n">
        <x:v>0</x:v>
      </x:c>
      <x:c r="I7" s="38" t="n">
        <x:v>0</x:v>
      </x:c>
      <x:c r="J7" s="38" t="n">
        <x:v>0</x:v>
      </x:c>
      <x:c r="K7" s="38" t="n">
        <x:v>0</x:v>
      </x:c>
      <x:c r="L7" s="38" t="n">
        <x:v>0</x:v>
      </x:c>
      <x:c r="M7" s="38" t="n">
        <x:v>0</x:v>
      </x:c>
      <x:c r="N7" s="38" t="n">
        <x:v>0</x:v>
      </x:c>
      <x:c r="O7" s="38" t="n">
        <x:v>0</x:v>
      </x:c>
      <x:c r="P7" s="38" t="n">
        <x:v>0</x:v>
      </x:c>
      <x:c r="Q7" s="38" t="n">
        <x:f>SUM(E7:P7)</x:f>
        <x:v>20.166666666666664</x:v>
      </x:c>
      <x:c r="R7" s="38" t="n">
        <x:f>4*SUM(F7,H7,J7,L7,N7,P7)</x:f>
        <x:v>38</x:v>
      </x:c>
    </x:row>
    <x:row r="8">
      <x:c r="B8" s="28" t="str">
        <x:v>Q2</x:v>
      </x:c>
      <x:c r="C8" s="28" t="str">
        <x:v>4-6</x:v>
      </x:c>
      <x:c r="D8" s="28" t="str">
        <x:v>RAC-1</x:v>
      </x:c>
      <x:c r="E8" s="38" t="n">
        <x:v>10.666666666666666</x:v>
      </x:c>
      <x:c r="F8" s="38" t="n">
        <x:v>9.5</x:v>
      </x:c>
      <x:c r="G8" s="38" t="n">
        <x:v>0</x:v>
      </x:c>
      <x:c r="H8" s="38" t="n">
        <x:v>0</x:v>
      </x:c>
      <x:c r="I8" s="38" t="n">
        <x:v>0</x:v>
      </x:c>
      <x:c r="J8" s="38" t="n">
        <x:v>0</x:v>
      </x:c>
      <x:c r="K8" s="38" t="n">
        <x:v>0</x:v>
      </x:c>
      <x:c r="L8" s="38" t="n">
        <x:v>0</x:v>
      </x:c>
      <x:c r="M8" s="38" t="n">
        <x:v>0</x:v>
      </x:c>
      <x:c r="N8" s="38" t="n">
        <x:v>0</x:v>
      </x:c>
      <x:c r="O8" s="38" t="n">
        <x:v>0</x:v>
      </x:c>
      <x:c r="P8" s="38" t="n">
        <x:v>0</x:v>
      </x:c>
      <x:c r="Q8" s="38" t="n">
        <x:f>SUM(E8:P8)</x:f>
        <x:v>20.166666666666664</x:v>
      </x:c>
      <x:c r="R8" s="38" t="n">
        <x:f>4*SUM(F8,H8,J8,L8,N8,P8)</x:f>
        <x:v>38</x:v>
      </x:c>
    </x:row>
    <x:row r="9">
      <x:c r="B9" s="28" t="str">
        <x:v>Q3</x:v>
      </x:c>
      <x:c r="C9" s="28" t="str">
        <x:v>7-9</x:v>
      </x:c>
      <x:c r="D9" s="28" t="str">
        <x:v>RAC-1</x:v>
      </x:c>
      <x:c r="E9" s="38" t="n">
        <x:v>10.666666666666666</x:v>
      </x:c>
      <x:c r="F9" s="38" t="n">
        <x:v>9.5</x:v>
      </x:c>
      <x:c r="G9" s="38" t="n">
        <x:v>0</x:v>
      </x:c>
      <x:c r="H9" s="38" t="n">
        <x:v>0</x:v>
      </x:c>
      <x:c r="I9" s="38" t="n">
        <x:v>0</x:v>
      </x:c>
      <x:c r="J9" s="38" t="n">
        <x:v>0</x:v>
      </x:c>
      <x:c r="K9" s="38" t="n">
        <x:v>0</x:v>
      </x:c>
      <x:c r="L9" s="38" t="n">
        <x:v>0</x:v>
      </x:c>
      <x:c r="M9" s="38" t="n">
        <x:v>0</x:v>
      </x:c>
      <x:c r="N9" s="38" t="n">
        <x:v>0</x:v>
      </x:c>
      <x:c r="O9" s="38" t="n">
        <x:v>0</x:v>
      </x:c>
      <x:c r="P9" s="38" t="n">
        <x:v>0</x:v>
      </x:c>
      <x:c r="Q9" s="38" t="n">
        <x:f>SUM(E9:P9)</x:f>
        <x:v>20.166666666666664</x:v>
      </x:c>
      <x:c r="R9" s="38" t="n">
        <x:f>4*SUM(F9,H9,J9,L9,N9,P9)</x:f>
        <x:v>38</x:v>
      </x:c>
    </x:row>
    <x:row r="10">
      <x:c r="B10" s="28" t="str">
        <x:v>Q4</x:v>
      </x:c>
      <x:c r="C10" s="28" t="str">
        <x:v>10-12</x:v>
      </x:c>
      <x:c r="D10" s="28" t="str">
        <x:v>RAC-1</x:v>
      </x:c>
      <x:c r="E10" s="38" t="n">
        <x:v>10.666666666666666</x:v>
      </x:c>
      <x:c r="F10" s="38" t="n">
        <x:v>9.5</x:v>
      </x:c>
      <x:c r="G10" s="38" t="n">
        <x:v>0</x:v>
      </x:c>
      <x:c r="H10" s="38" t="n">
        <x:v>0</x:v>
      </x:c>
      <x:c r="I10" s="38" t="n">
        <x:v>0</x:v>
      </x:c>
      <x:c r="J10" s="38" t="n">
        <x:v>0</x:v>
      </x:c>
      <x:c r="K10" s="38" t="n">
        <x:v>0</x:v>
      </x:c>
      <x:c r="L10" s="38" t="n">
        <x:v>0</x:v>
      </x:c>
      <x:c r="M10" s="38" t="n">
        <x:v>0</x:v>
      </x:c>
      <x:c r="N10" s="38" t="n">
        <x:v>0</x:v>
      </x:c>
      <x:c r="O10" s="38" t="n">
        <x:v>0</x:v>
      </x:c>
      <x:c r="P10" s="38" t="n">
        <x:v>0</x:v>
      </x:c>
      <x:c r="Q10" s="38" t="n">
        <x:f>SUM(E10:P10)</x:f>
        <x:v>20.166666666666664</x:v>
      </x:c>
      <x:c r="R10" s="38" t="n">
        <x:f>4*SUM(F10,H10,J10,L10,N10,P10)</x:f>
        <x:v>38</x:v>
      </x:c>
    </x:row>
    <x:row r="11">
      <x:c r="B11" s="28" t="str">
        <x:v>Q5</x:v>
      </x:c>
      <x:c r="C11" s="28" t="str">
        <x:v>13-15</x:v>
      </x:c>
      <x:c r="D11" s="28" t="str">
        <x:v>RAC-1</x:v>
      </x:c>
      <x:c r="E11" s="38" t="n">
        <x:v>10.666666666666666</x:v>
      </x:c>
      <x:c r="F11" s="38" t="n">
        <x:v>9.5</x:v>
      </x:c>
      <x:c r="G11" s="38" t="n">
        <x:v>0</x:v>
      </x:c>
      <x:c r="H11" s="38" t="n">
        <x:v>0</x:v>
      </x:c>
      <x:c r="I11" s="38" t="n">
        <x:v>0</x:v>
      </x:c>
      <x:c r="J11" s="38" t="n">
        <x:v>0</x:v>
      </x:c>
      <x:c r="K11" s="38" t="n">
        <x:v>0</x:v>
      </x:c>
      <x:c r="L11" s="38" t="n">
        <x:v>0</x:v>
      </x:c>
      <x:c r="M11" s="38" t="n">
        <x:v>0</x:v>
      </x:c>
      <x:c r="N11" s="38" t="n">
        <x:v>0</x:v>
      </x:c>
      <x:c r="O11" s="38" t="n">
        <x:v>0</x:v>
      </x:c>
      <x:c r="P11" s="38" t="n">
        <x:v>0</x:v>
      </x:c>
      <x:c r="Q11" s="38" t="n">
        <x:f>SUM(E11:P11)</x:f>
        <x:v>20.166666666666664</x:v>
      </x:c>
      <x:c r="R11" s="38" t="n">
        <x:f>4*SUM(F11,H11,J11,L11,N11,P11)</x:f>
        <x:v>38</x:v>
      </x:c>
    </x:row>
    <x:row r="12">
      <x:c r="B12" s="28" t="str">
        <x:v>Q6</x:v>
      </x:c>
      <x:c r="C12" s="28" t="str">
        <x:v>16-18</x:v>
      </x:c>
      <x:c r="D12" s="28" t="str">
        <x:v>RAC-1</x:v>
      </x:c>
      <x:c r="E12" s="38" t="n">
        <x:v>10.666666666666666</x:v>
      </x:c>
      <x:c r="F12" s="38" t="n">
        <x:v>9.5</x:v>
      </x:c>
      <x:c r="G12" s="38" t="n">
        <x:v>0</x:v>
      </x:c>
      <x:c r="H12" s="38" t="n">
        <x:v>0</x:v>
      </x:c>
      <x:c r="I12" s="38" t="n">
        <x:v>0</x:v>
      </x:c>
      <x:c r="J12" s="38" t="n">
        <x:v>0</x:v>
      </x:c>
      <x:c r="K12" s="38" t="n">
        <x:v>0</x:v>
      </x:c>
      <x:c r="L12" s="38" t="n">
        <x:v>0</x:v>
      </x:c>
      <x:c r="M12" s="38" t="n">
        <x:v>0</x:v>
      </x:c>
      <x:c r="N12" s="38" t="n">
        <x:v>0</x:v>
      </x:c>
      <x:c r="O12" s="38" t="n">
        <x:v>0</x:v>
      </x:c>
      <x:c r="P12" s="38" t="n">
        <x:v>0</x:v>
      </x:c>
      <x:c r="Q12" s="38" t="n">
        <x:f>SUM(E12:P12)</x:f>
        <x:v>20.166666666666664</x:v>
      </x:c>
      <x:c r="R12" s="38" t="n">
        <x:f>4*SUM(F12,H12,J12,L12,N12,P12)</x:f>
        <x:v>38</x:v>
      </x:c>
    </x:row>
    <x:row r="13">
      <x:c r="B13" s="28" t="str">
        <x:v>Q7</x:v>
      </x:c>
      <x:c r="C13" s="28" t="str">
        <x:v>19-21</x:v>
      </x:c>
      <x:c r="D13" s="28" t="str">
        <x:v>RAB-1</x:v>
      </x:c>
      <x:c r="E13" s="38" t="n">
        <x:v>0</x:v>
      </x:c>
      <x:c r="F13" s="38" t="n">
        <x:v>0</x:v>
      </x:c>
      <x:c r="G13" s="38" t="n">
        <x:v>19.666666666666668</x:v>
      </x:c>
      <x:c r="H13" s="38" t="n">
        <x:v>14.5</x:v>
      </x:c>
      <x:c r="I13" s="38" t="n">
        <x:v>0</x:v>
      </x:c>
      <x:c r="J13" s="38" t="n">
        <x:v>0</x:v>
      </x:c>
      <x:c r="K13" s="38" t="n">
        <x:v>0</x:v>
      </x:c>
      <x:c r="L13" s="38" t="n">
        <x:v>0</x:v>
      </x:c>
      <x:c r="M13" s="38" t="n">
        <x:v>0</x:v>
      </x:c>
      <x:c r="N13" s="38" t="n">
        <x:v>0</x:v>
      </x:c>
      <x:c r="O13" s="38" t="n">
        <x:v>0</x:v>
      </x:c>
      <x:c r="P13" s="38" t="n">
        <x:v>0</x:v>
      </x:c>
      <x:c r="Q13" s="38" t="n">
        <x:f>SUM(E13:P13)</x:f>
        <x:v>34.16666666666667</x:v>
      </x:c>
      <x:c r="R13" s="38" t="n">
        <x:f>4*SUM(F13,H13,J13,L13,N13,P13)</x:f>
        <x:v>58</x:v>
      </x:c>
    </x:row>
    <x:row r="14">
      <x:c r="B14" s="28" t="str">
        <x:v>Q8</x:v>
      </x:c>
      <x:c r="C14" s="28" t="str">
        <x:v>22-24</x:v>
      </x:c>
      <x:c r="D14" s="28" t="str">
        <x:v>RAB-1</x:v>
      </x:c>
      <x:c r="E14" s="38" t="n">
        <x:v>0</x:v>
      </x:c>
      <x:c r="F14" s="38" t="n">
        <x:v>0</x:v>
      </x:c>
      <x:c r="G14" s="38" t="n">
        <x:v>19.666666666666668</x:v>
      </x:c>
      <x:c r="H14" s="38" t="n">
        <x:v>14.5</x:v>
      </x:c>
      <x:c r="I14" s="38" t="n">
        <x:v>0</x:v>
      </x:c>
      <x:c r="J14" s="38" t="n">
        <x:v>0</x:v>
      </x:c>
      <x:c r="K14" s="38" t="n">
        <x:v>0</x:v>
      </x:c>
      <x:c r="L14" s="38" t="n">
        <x:v>0</x:v>
      </x:c>
      <x:c r="M14" s="38" t="n">
        <x:v>0</x:v>
      </x:c>
      <x:c r="N14" s="38" t="n">
        <x:v>0</x:v>
      </x:c>
      <x:c r="O14" s="38" t="n">
        <x:v>0</x:v>
      </x:c>
      <x:c r="P14" s="38" t="n">
        <x:v>0</x:v>
      </x:c>
      <x:c r="Q14" s="38" t="n">
        <x:f>SUM(E14:P14)</x:f>
        <x:v>34.16666666666667</x:v>
      </x:c>
      <x:c r="R14" s="38" t="n">
        <x:f>4*SUM(F14,H14,J14,L14,N14,P14)</x:f>
        <x:v>58</x:v>
      </x:c>
    </x:row>
    <x:row r="15">
      <x:c r="B15" s="28" t="str">
        <x:v>Q9</x:v>
      </x:c>
      <x:c r="C15" s="28" t="str">
        <x:v>25-27</x:v>
      </x:c>
      <x:c r="D15" s="28" t="str">
        <x:v>RAB-1 + RAQ-1</x:v>
      </x:c>
      <x:c r="E15" s="38" t="n">
        <x:v>0</x:v>
      </x:c>
      <x:c r="F15" s="38" t="n">
        <x:v>0</x:v>
      </x:c>
      <x:c r="G15" s="38" t="n">
        <x:v>19.666666666666668</x:v>
      </x:c>
      <x:c r="H15" s="38" t="n">
        <x:v>14.5</x:v>
      </x:c>
      <x:c r="I15" s="38" t="n">
        <x:v>8.25</x:v>
      </x:c>
      <x:c r="J15" s="38" t="n">
        <x:v>4</x:v>
      </x:c>
      <x:c r="K15" s="38" t="n">
        <x:v>0</x:v>
      </x:c>
      <x:c r="L15" s="38" t="n">
        <x:v>0</x:v>
      </x:c>
      <x:c r="M15" s="38" t="n">
        <x:v>0</x:v>
      </x:c>
      <x:c r="N15" s="38" t="n">
        <x:v>0</x:v>
      </x:c>
      <x:c r="O15" s="38" t="n">
        <x:v>0</x:v>
      </x:c>
      <x:c r="P15" s="38" t="n">
        <x:v>0</x:v>
      </x:c>
      <x:c r="Q15" s="38" t="n">
        <x:f>SUM(E15:P15)</x:f>
        <x:v>46.41666666666667</x:v>
      </x:c>
      <x:c r="R15" s="38" t="n">
        <x:f>4*SUM(F15,H15,J15,L15,N15,P15)</x:f>
        <x:v>74</x:v>
      </x:c>
    </x:row>
    <x:row r="16">
      <x:c r="B16" s="28" t="str">
        <x:v>Q10</x:v>
      </x:c>
      <x:c r="C16" s="28" t="str">
        <x:v>28-30</x:v>
      </x:c>
      <x:c r="D16" s="28" t="str">
        <x:v>RAB-1 + RAQ-1</x:v>
      </x:c>
      <x:c r="E16" s="38" t="n">
        <x:v>0</x:v>
      </x:c>
      <x:c r="F16" s="38" t="n">
        <x:v>0</x:v>
      </x:c>
      <x:c r="G16" s="38" t="n">
        <x:v>19.666666666666668</x:v>
      </x:c>
      <x:c r="H16" s="38" t="n">
        <x:v>14.5</x:v>
      </x:c>
      <x:c r="I16" s="38" t="n">
        <x:v>8.25</x:v>
      </x:c>
      <x:c r="J16" s="38" t="n">
        <x:v>4</x:v>
      </x:c>
      <x:c r="K16" s="38" t="n">
        <x:v>0</x:v>
      </x:c>
      <x:c r="L16" s="38" t="n">
        <x:v>0</x:v>
      </x:c>
      <x:c r="M16" s="38" t="n">
        <x:v>0</x:v>
      </x:c>
      <x:c r="N16" s="38" t="n">
        <x:v>0</x:v>
      </x:c>
      <x:c r="O16" s="38" t="n">
        <x:v>0</x:v>
      </x:c>
      <x:c r="P16" s="38" t="n">
        <x:v>0</x:v>
      </x:c>
      <x:c r="Q16" s="38" t="n">
        <x:f>SUM(E16:P16)</x:f>
        <x:v>46.41666666666667</x:v>
      </x:c>
      <x:c r="R16" s="38" t="n">
        <x:f>4*SUM(F16,H16,J16,L16,N16,P16)</x:f>
        <x:v>74</x:v>
      </x:c>
    </x:row>
    <x:row r="17">
      <x:c r="B17" s="28" t="str">
        <x:v>Q11</x:v>
      </x:c>
      <x:c r="C17" s="28" t="str">
        <x:v>31-33</x:v>
      </x:c>
      <x:c r="D17" s="28" t="str">
        <x:v>RAB-1 + RAQ-1</x:v>
      </x:c>
      <x:c r="E17" s="38" t="n">
        <x:v>0</x:v>
      </x:c>
      <x:c r="F17" s="38" t="n">
        <x:v>0</x:v>
      </x:c>
      <x:c r="G17" s="38" t="n">
        <x:v>19.666666666666668</x:v>
      </x:c>
      <x:c r="H17" s="38" t="n">
        <x:v>14.5</x:v>
      </x:c>
      <x:c r="I17" s="38" t="n">
        <x:v>8.25</x:v>
      </x:c>
      <x:c r="J17" s="38" t="n">
        <x:v>4</x:v>
      </x:c>
      <x:c r="K17" s="38" t="n">
        <x:v>0</x:v>
      </x:c>
      <x:c r="L17" s="38" t="n">
        <x:v>0</x:v>
      </x:c>
      <x:c r="M17" s="38" t="n">
        <x:v>0</x:v>
      </x:c>
      <x:c r="N17" s="38" t="n">
        <x:v>0</x:v>
      </x:c>
      <x:c r="O17" s="38" t="n">
        <x:v>0</x:v>
      </x:c>
      <x:c r="P17" s="38" t="n">
        <x:v>0</x:v>
      </x:c>
      <x:c r="Q17" s="38" t="n">
        <x:f>SUM(E17:P17)</x:f>
        <x:v>46.41666666666667</x:v>
      </x:c>
      <x:c r="R17" s="38" t="n">
        <x:f>4*SUM(F17,H17,J17,L17,N17,P17)</x:f>
        <x:v>74</x:v>
      </x:c>
    </x:row>
    <x:row r="18">
      <x:c r="B18" s="28" t="str">
        <x:v>Q12</x:v>
      </x:c>
      <x:c r="C18" s="28" t="str">
        <x:v>34-36</x:v>
      </x:c>
      <x:c r="D18" s="28" t="str">
        <x:v>RAB-1 + RAQ-1</x:v>
      </x:c>
      <x:c r="E18" s="38" t="n">
        <x:v>0</x:v>
      </x:c>
      <x:c r="F18" s="38" t="n">
        <x:v>0</x:v>
      </x:c>
      <x:c r="G18" s="38" t="n">
        <x:v>19.666666666666668</x:v>
      </x:c>
      <x:c r="H18" s="38" t="n">
        <x:v>14.5</x:v>
      </x:c>
      <x:c r="I18" s="38" t="n">
        <x:v>8.25</x:v>
      </x:c>
      <x:c r="J18" s="38" t="n">
        <x:v>4</x:v>
      </x:c>
      <x:c r="K18" s="38" t="n">
        <x:v>0</x:v>
      </x:c>
      <x:c r="L18" s="38" t="n">
        <x:v>0</x:v>
      </x:c>
      <x:c r="M18" s="38" t="n">
        <x:v>0</x:v>
      </x:c>
      <x:c r="N18" s="38" t="n">
        <x:v>0</x:v>
      </x:c>
      <x:c r="O18" s="38" t="n">
        <x:v>0</x:v>
      </x:c>
      <x:c r="P18" s="38" t="n">
        <x:v>0</x:v>
      </x:c>
      <x:c r="Q18" s="38" t="n">
        <x:f>SUM(E18:P18)</x:f>
        <x:v>46.41666666666667</x:v>
      </x:c>
      <x:c r="R18" s="38" t="n">
        <x:f>4*SUM(F18,H18,J18,L18,N18,P18)</x:f>
        <x:v>74</x:v>
      </x:c>
    </x:row>
    <x:row r="19">
      <x:c r="B19" s="28" t="str">
        <x:v>Q13</x:v>
      </x:c>
      <x:c r="C19" s="28" t="str">
        <x:v>37-39</x:v>
      </x:c>
      <x:c r="D19" s="28" t="str">
        <x:v>RAQ-1 + RAX-1</x:v>
      </x:c>
      <x:c r="E19" s="38" t="n">
        <x:v>0</x:v>
      </x:c>
      <x:c r="F19" s="38" t="n">
        <x:v>0</x:v>
      </x:c>
      <x:c r="G19" s="38" t="n">
        <x:v>0</x:v>
      </x:c>
      <x:c r="H19" s="38" t="n">
        <x:v>0</x:v>
      </x:c>
      <x:c r="I19" s="38" t="n">
        <x:v>8.25</x:v>
      </x:c>
      <x:c r="J19" s="38" t="n">
        <x:v>4</x:v>
      </x:c>
      <x:c r="K19" s="38" t="n">
        <x:v>14</x:v>
      </x:c>
      <x:c r="L19" s="38" t="n">
        <x:v>11</x:v>
      </x:c>
      <x:c r="M19" s="38" t="n">
        <x:v>0</x:v>
      </x:c>
      <x:c r="N19" s="38" t="n">
        <x:v>0</x:v>
      </x:c>
      <x:c r="O19" s="38" t="n">
        <x:v>0</x:v>
      </x:c>
      <x:c r="P19" s="38" t="n">
        <x:v>0</x:v>
      </x:c>
      <x:c r="Q19" s="38" t="n">
        <x:f>SUM(E19:P19)</x:f>
        <x:v>37.25</x:v>
      </x:c>
      <x:c r="R19" s="38" t="n">
        <x:f>4*SUM(F19,H19,J19,L19,N19,P19)</x:f>
        <x:v>60</x:v>
      </x:c>
    </x:row>
    <x:row r="20">
      <x:c r="B20" s="28" t="str">
        <x:v>Q14</x:v>
      </x:c>
      <x:c r="C20" s="28" t="str">
        <x:v>40-42</x:v>
      </x:c>
      <x:c r="D20" s="28" t="str">
        <x:v>RAQ-1 + RAX-1</x:v>
      </x:c>
      <x:c r="E20" s="38" t="n">
        <x:v>0</x:v>
      </x:c>
      <x:c r="F20" s="38" t="n">
        <x:v>0</x:v>
      </x:c>
      <x:c r="G20" s="38" t="n">
        <x:v>0</x:v>
      </x:c>
      <x:c r="H20" s="38" t="n">
        <x:v>0</x:v>
      </x:c>
      <x:c r="I20" s="38" t="n">
        <x:v>8.25</x:v>
      </x:c>
      <x:c r="J20" s="38" t="n">
        <x:v>4</x:v>
      </x:c>
      <x:c r="K20" s="38" t="n">
        <x:v>14</x:v>
      </x:c>
      <x:c r="L20" s="38" t="n">
        <x:v>11</x:v>
      </x:c>
      <x:c r="M20" s="38" t="n">
        <x:v>0</x:v>
      </x:c>
      <x:c r="N20" s="38" t="n">
        <x:v>0</x:v>
      </x:c>
      <x:c r="O20" s="38" t="n">
        <x:v>0</x:v>
      </x:c>
      <x:c r="P20" s="38" t="n">
        <x:v>0</x:v>
      </x:c>
      <x:c r="Q20" s="38" t="n">
        <x:f>SUM(E20:P20)</x:f>
        <x:v>37.25</x:v>
      </x:c>
      <x:c r="R20" s="38" t="n">
        <x:f>4*SUM(F20,H20,J20,L20,N20,P20)</x:f>
        <x:v>60</x:v>
      </x:c>
    </x:row>
    <x:row r="21">
      <x:c r="B21" s="28" t="str">
        <x:v>Q15</x:v>
      </x:c>
      <x:c r="C21" s="28" t="str">
        <x:v>43-45</x:v>
      </x:c>
      <x:c r="D21" s="28" t="str">
        <x:v>RAQ-1 + RAX-1</x:v>
      </x:c>
      <x:c r="E21" s="38" t="n">
        <x:v>0</x:v>
      </x:c>
      <x:c r="F21" s="38" t="n">
        <x:v>0</x:v>
      </x:c>
      <x:c r="G21" s="38" t="n">
        <x:v>0</x:v>
      </x:c>
      <x:c r="H21" s="38" t="n">
        <x:v>0</x:v>
      </x:c>
      <x:c r="I21" s="38" t="n">
        <x:v>8.25</x:v>
      </x:c>
      <x:c r="J21" s="38" t="n">
        <x:v>4</x:v>
      </x:c>
      <x:c r="K21" s="38" t="n">
        <x:v>14</x:v>
      </x:c>
      <x:c r="L21" s="38" t="n">
        <x:v>11</x:v>
      </x:c>
      <x:c r="M21" s="38" t="n">
        <x:v>0</x:v>
      </x:c>
      <x:c r="N21" s="38" t="n">
        <x:v>0</x:v>
      </x:c>
      <x:c r="O21" s="38" t="n">
        <x:v>0</x:v>
      </x:c>
      <x:c r="P21" s="38" t="n">
        <x:v>0</x:v>
      </x:c>
      <x:c r="Q21" s="38" t="n">
        <x:f>SUM(E21:P21)</x:f>
        <x:v>37.25</x:v>
      </x:c>
      <x:c r="R21" s="38" t="n">
        <x:f>4*SUM(F21,H21,J21,L21,N21,P21)</x:f>
        <x:v>60</x:v>
      </x:c>
    </x:row>
    <x:row r="22">
      <x:c r="B22" s="28" t="str">
        <x:v>Q16</x:v>
      </x:c>
      <x:c r="C22" s="28" t="str">
        <x:v>46-48</x:v>
      </x:c>
      <x:c r="D22" s="28" t="str">
        <x:v>RAQ-1 + RAX-1</x:v>
      </x:c>
      <x:c r="E22" s="38" t="n">
        <x:v>0</x:v>
      </x:c>
      <x:c r="F22" s="38" t="n">
        <x:v>0</x:v>
      </x:c>
      <x:c r="G22" s="38" t="n">
        <x:v>0</x:v>
      </x:c>
      <x:c r="H22" s="38" t="n">
        <x:v>0</x:v>
      </x:c>
      <x:c r="I22" s="38" t="n">
        <x:v>8.25</x:v>
      </x:c>
      <x:c r="J22" s="38" t="n">
        <x:v>4</x:v>
      </x:c>
      <x:c r="K22" s="38" t="n">
        <x:v>14</x:v>
      </x:c>
      <x:c r="L22" s="38" t="n">
        <x:v>11</x:v>
      </x:c>
      <x:c r="M22" s="38" t="n">
        <x:v>0</x:v>
      </x:c>
      <x:c r="N22" s="38" t="n">
        <x:v>0</x:v>
      </x:c>
      <x:c r="O22" s="38" t="n">
        <x:v>0</x:v>
      </x:c>
      <x:c r="P22" s="38" t="n">
        <x:v>0</x:v>
      </x:c>
      <x:c r="Q22" s="38" t="n">
        <x:f>SUM(E22:P22)</x:f>
        <x:v>37.25</x:v>
      </x:c>
      <x:c r="R22" s="38" t="n">
        <x:f>4*SUM(F22,H22,J22,L22,N22,P22)</x:f>
        <x:v>60</x:v>
      </x:c>
    </x:row>
    <x:row r="23">
      <x:c r="B23" s="28" t="str">
        <x:v>Q17</x:v>
      </x:c>
      <x:c r="C23" s="28" t="str">
        <x:v>49-51</x:v>
      </x:c>
      <x:c r="D23" s="28" t="str">
        <x:v>RAX-1</x:v>
      </x:c>
      <x:c r="E23" s="38" t="n">
        <x:v>0</x:v>
      </x:c>
      <x:c r="F23" s="38" t="n">
        <x:v>0</x:v>
      </x:c>
      <x:c r="G23" s="38" t="n">
        <x:v>0</x:v>
      </x:c>
      <x:c r="H23" s="38" t="n">
        <x:v>0</x:v>
      </x:c>
      <x:c r="I23" s="38" t="n">
        <x:v>0</x:v>
      </x:c>
      <x:c r="J23" s="38" t="n">
        <x:v>0</x:v>
      </x:c>
      <x:c r="K23" s="38" t="n">
        <x:v>14</x:v>
      </x:c>
      <x:c r="L23" s="38" t="n">
        <x:v>11</x:v>
      </x:c>
      <x:c r="M23" s="38" t="n">
        <x:v>0</x:v>
      </x:c>
      <x:c r="N23" s="38" t="n">
        <x:v>0</x:v>
      </x:c>
      <x:c r="O23" s="38" t="n">
        <x:v>0</x:v>
      </x:c>
      <x:c r="P23" s="38" t="n">
        <x:v>0</x:v>
      </x:c>
      <x:c r="Q23" s="38" t="n">
        <x:f>SUM(E23:P23)</x:f>
        <x:v>25</x:v>
      </x:c>
      <x:c r="R23" s="38" t="n">
        <x:f>4*SUM(F23,H23,J23,L23,N23,P23)</x:f>
        <x:v>44</x:v>
      </x:c>
    </x:row>
    <x:row r="24">
      <x:c r="B24" s="28" t="str">
        <x:v>Q18</x:v>
      </x:c>
      <x:c r="C24" s="28" t="str">
        <x:v>52-54</x:v>
      </x:c>
      <x:c r="D24" s="28" t="str">
        <x:v>RAX-1</x:v>
      </x:c>
      <x:c r="E24" s="38" t="n">
        <x:v>0</x:v>
      </x:c>
      <x:c r="F24" s="38" t="n">
        <x:v>0</x:v>
      </x:c>
      <x:c r="G24" s="38" t="n">
        <x:v>0</x:v>
      </x:c>
      <x:c r="H24" s="38" t="n">
        <x:v>0</x:v>
      </x:c>
      <x:c r="I24" s="38" t="n">
        <x:v>0</x:v>
      </x:c>
      <x:c r="J24" s="38" t="n">
        <x:v>0</x:v>
      </x:c>
      <x:c r="K24" s="38" t="n">
        <x:v>14</x:v>
      </x:c>
      <x:c r="L24" s="38" t="n">
        <x:v>11</x:v>
      </x:c>
      <x:c r="M24" s="38" t="n">
        <x:v>0</x:v>
      </x:c>
      <x:c r="N24" s="38" t="n">
        <x:v>0</x:v>
      </x:c>
      <x:c r="O24" s="38" t="n">
        <x:v>0</x:v>
      </x:c>
      <x:c r="P24" s="38" t="n">
        <x:v>0</x:v>
      </x:c>
      <x:c r="Q24" s="38" t="n">
        <x:f>SUM(E24:P24)</x:f>
        <x:v>25</x:v>
      </x:c>
      <x:c r="R24" s="38" t="n">
        <x:f>4*SUM(F24,H24,J24,L24,N24,P24)</x:f>
        <x:v>44</x:v>
      </x:c>
    </x:row>
    <x:row r="25">
      <x:c r="B25" s="28" t="str">
        <x:v>Q19</x:v>
      </x:c>
      <x:c r="C25" s="28" t="str">
        <x:v>55-57</x:v>
      </x:c>
      <x:c r="D25" s="28" t="str">
        <x:v>RAY-1</x:v>
      </x:c>
      <x:c r="E25" s="38" t="n">
        <x:v>0</x:v>
      </x:c>
      <x:c r="F25" s="38" t="n">
        <x:v>0</x:v>
      </x:c>
      <x:c r="G25" s="38" t="n">
        <x:v>0</x:v>
      </x:c>
      <x:c r="H25" s="38" t="n">
        <x:v>0</x:v>
      </x:c>
      <x:c r="I25" s="38" t="n">
        <x:v>0</x:v>
      </x:c>
      <x:c r="J25" s="38" t="n">
        <x:v>0</x:v>
      </x:c>
      <x:c r="K25" s="38" t="n">
        <x:v>0</x:v>
      </x:c>
      <x:c r="L25" s="38" t="n">
        <x:v>0</x:v>
      </x:c>
      <x:c r="M25" s="38" t="n">
        <x:v>9</x:v>
      </x:c>
      <x:c r="N25" s="38" t="n">
        <x:v>1.5</x:v>
      </x:c>
      <x:c r="O25" s="38" t="n">
        <x:v>0</x:v>
      </x:c>
      <x:c r="P25" s="38" t="n">
        <x:v>0</x:v>
      </x:c>
      <x:c r="Q25" s="38" t="n">
        <x:f>SUM(E25:P25)</x:f>
        <x:v>10.5</x:v>
      </x:c>
      <x:c r="R25" s="38" t="n">
        <x:f>4*SUM(F25,H25,J25,L25,N25,P25)</x:f>
        <x:v>6</x:v>
      </x:c>
    </x:row>
    <x:row r="26">
      <x:c r="B26" s="28" t="str">
        <x:v>Q20</x:v>
      </x:c>
      <x:c r="C26" s="28" t="str">
        <x:v>58-60</x:v>
      </x:c>
      <x:c r="D26" s="28" t="str">
        <x:v>RAY-1 + RAZ-1</x:v>
      </x:c>
      <x:c r="E26" s="38" t="n">
        <x:v>0</x:v>
      </x:c>
      <x:c r="F26" s="38" t="n">
        <x:v>0</x:v>
      </x:c>
      <x:c r="G26" s="38" t="n">
        <x:v>0</x:v>
      </x:c>
      <x:c r="H26" s="38" t="n">
        <x:v>0</x:v>
      </x:c>
      <x:c r="I26" s="38" t="n">
        <x:v>0</x:v>
      </x:c>
      <x:c r="J26" s="38" t="n">
        <x:v>0</x:v>
      </x:c>
      <x:c r="K26" s="38" t="n">
        <x:v>0</x:v>
      </x:c>
      <x:c r="L26" s="38" t="n">
        <x:v>0</x:v>
      </x:c>
      <x:c r="M26" s="38" t="n">
        <x:v>3</x:v>
      </x:c>
      <x:c r="N26" s="38" t="n">
        <x:v>0.5</x:v>
      </x:c>
      <x:c r="O26" s="38" t="n">
        <x:v>4</x:v>
      </x:c>
      <x:c r="P26" s="38" t="n">
        <x:v>1</x:v>
      </x:c>
      <x:c r="Q26" s="38" t="n">
        <x:f>SUM(E26:P26)</x:f>
        <x:v>8.5</x:v>
      </x:c>
      <x:c r="R26" s="38" t="n">
        <x:f>4*SUM(F26,H26,J26,L26,N26,P26)</x:f>
        <x:v>6</x:v>
      </x:c>
    </x:row>
    <x:row r="27">
      <x:c r="B27" s="28" t="str">
        <x:v>Q21</x:v>
      </x:c>
      <x:c r="C27" s="28" t="str">
        <x:v>61-63</x:v>
      </x:c>
      <x:c r="D27" s="28" t="str">
        <x:v>RAZ-1</x:v>
      </x:c>
      <x:c r="E27" s="38" t="n">
        <x:v>0</x:v>
      </x:c>
      <x:c r="F27" s="38" t="n">
        <x:v>0</x:v>
      </x:c>
      <x:c r="G27" s="38" t="n">
        <x:v>0</x:v>
      </x:c>
      <x:c r="H27" s="38" t="n">
        <x:v>0</x:v>
      </x:c>
      <x:c r="I27" s="38" t="n">
        <x:v>0</x:v>
      </x:c>
      <x:c r="J27" s="38" t="n">
        <x:v>0</x:v>
      </x:c>
      <x:c r="K27" s="38" t="n">
        <x:v>0</x:v>
      </x:c>
      <x:c r="L27" s="38" t="n">
        <x:v>0</x:v>
      </x:c>
      <x:c r="M27" s="38" t="n">
        <x:v>0</x:v>
      </x:c>
      <x:c r="N27" s="38" t="n">
        <x:v>0</x:v>
      </x:c>
      <x:c r="O27" s="38" t="n">
        <x:v>6</x:v>
      </x:c>
      <x:c r="P27" s="38" t="n">
        <x:v>1.5</x:v>
      </x:c>
      <x:c r="Q27" s="38" t="n">
        <x:f>SUM(E27:P27)</x:f>
        <x:v>7.5</x:v>
      </x:c>
      <x:c r="R27" s="38" t="n">
        <x:f>4*SUM(F27,H27,J27,L27,N27,P27)</x:f>
        <x:v>6</x:v>
      </x:c>
    </x:row>
    <x:row r="28">
      <x:c r="B28" s="28" t="str">
        <x:v>Q22</x:v>
      </x:c>
      <x:c r="C28" s="28" t="str">
        <x:v>64-66</x:v>
      </x:c>
      <x:c r="D28" s="28" t="str">
        <x:v>RAZ-1</x:v>
      </x:c>
      <x:c r="E28" s="38" t="n">
        <x:v>0</x:v>
      </x:c>
      <x:c r="F28" s="38" t="n">
        <x:v>0</x:v>
      </x:c>
      <x:c r="G28" s="38" t="n">
        <x:v>0</x:v>
      </x:c>
      <x:c r="H28" s="38" t="n">
        <x:v>0</x:v>
      </x:c>
      <x:c r="I28" s="38" t="n">
        <x:v>0</x:v>
      </x:c>
      <x:c r="J28" s="38" t="n">
        <x:v>0</x:v>
      </x:c>
      <x:c r="K28" s="38" t="n">
        <x:v>0</x:v>
      </x:c>
      <x:c r="L28" s="38" t="n">
        <x:v>0</x:v>
      </x:c>
      <x:c r="M28" s="38" t="n">
        <x:v>0</x:v>
      </x:c>
      <x:c r="N28" s="38" t="n">
        <x:v>0</x:v>
      </x:c>
      <x:c r="O28" s="38" t="n">
        <x:v>6</x:v>
      </x:c>
      <x:c r="P28" s="38" t="n">
        <x:v>1.5</x:v>
      </x:c>
      <x:c r="Q28" s="38" t="n">
        <x:f>SUM(E28:P28)</x:f>
        <x:v>7.5</x:v>
      </x:c>
      <x:c r="R28" s="38" t="n">
        <x:f>4*SUM(F28,H28,J28,L28,N28,P28)</x:f>
        <x:v>6</x:v>
      </x:c>
    </x:row>
    <x:row r="29">
      <x:c r="B29" s="26" t="str">
        <x:v>Total</x:v>
      </x:c>
      <x:c r="C29" s="26" t="str"/>
      <x:c r="D29" s="26" t="str"/>
      <x:c r="E29" s="39" t="n">
        <x:v>64</x:v>
      </x:c>
      <x:c r="F29" s="39" t="n">
        <x:v>57</x:v>
      </x:c>
      <x:c r="G29" s="39" t="n">
        <x:v>118</x:v>
      </x:c>
      <x:c r="H29" s="39" t="n">
        <x:v>87</x:v>
      </x:c>
      <x:c r="I29" s="39" t="n">
        <x:v>66</x:v>
      </x:c>
      <x:c r="J29" s="39" t="n">
        <x:v>32</x:v>
      </x:c>
      <x:c r="K29" s="39" t="n">
        <x:v>84</x:v>
      </x:c>
      <x:c r="L29" s="39" t="n">
        <x:v>66</x:v>
      </x:c>
      <x:c r="M29" s="39" t="n">
        <x:v>12</x:v>
      </x:c>
      <x:c r="N29" s="39" t="n">
        <x:v>2</x:v>
      </x:c>
      <x:c r="O29" s="39" t="n">
        <x:v>16</x:v>
      </x:c>
      <x:c r="P29" s="39" t="n">
        <x:v>4</x:v>
      </x:c>
      <x:c r="Q29" s="39" t="n">
        <x:f>SUM(Q7:Q28)</x:f>
        <x:v>608</x:v>
      </x:c>
      <x:c r="R29" s="39" t="n">
        <x:f>MAX(R7:R28)</x:f>
        <x:v>74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0" hidden="0" customWidth="1"/>
    <x:col min="3" max="3" width="20" hidden="0" customWidth="1"/>
    <x:col min="4" max="4" width="20" hidden="0" customWidth="1"/>
    <x:col min="5" max="5" width="68" hidden="0" customWidth="1"/>
  </x:cols>
  <x:sheetData>
    <x:row r="2">
      <x:c r="B2" s="23" t="str">
        <x:v>RAE-1 financial and calendar reconciliation</x:v>
      </x:c>
      <x:c r="C2" s="24"/>
      <x:c r="D2" s="24"/>
      <x:c r="E2" s="24"/>
    </x:row>
    <x:row r="3">
      <x:c r="B3" s="25" t="str">
        <x:v>RAZ-1 uses the remaining parent allocation. Financial closure does not create QE-02, source or candidate authority.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Line</x:v>
      </x:c>
      <x:c r="C6" s="6" t="str">
        <x:v>Value</x:v>
      </x:c>
      <x:c r="D6" s="6" t="str">
        <x:v>Unit</x:v>
      </x:c>
      <x:c r="E6" s="6" t="str">
        <x:v>Interpretation</x:v>
      </x:c>
    </x:row>
    <x:row r="7" ht="34" customHeight="1">
      <x:c r="B7" s="28" t="str">
        <x:v>RAE-1 capital boundary</x:v>
      </x:c>
      <x:c r="C7" s="28" t="n">
        <x:v>360</x:v>
      </x:c>
      <x:c r="D7" s="28" t="str">
        <x:v>USD M</x:v>
      </x:c>
      <x:c r="E7" s="33" t="str">
        <x:v>parent limit</x:v>
      </x:c>
    </x:row>
    <x:row r="8" ht="34" customHeight="1">
      <x:c r="B8" s="28" t="str">
        <x:v>prior capital allocation</x:v>
      </x:c>
      <x:c r="C8" s="28" t="n">
        <x:v>344</x:v>
      </x:c>
      <x:c r="D8" s="28" t="str">
        <x:v>USD M</x:v>
      </x:c>
      <x:c r="E8" s="33" t="str">
        <x:v>RAC-1 through RAY-1</x:v>
      </x:c>
    </x:row>
    <x:row r="9" ht="34" customHeight="1">
      <x:c r="B9" s="28" t="str">
        <x:v>RAZ-1 capital</x:v>
      </x:c>
      <x:c r="C9" s="28" t="n">
        <x:v>16</x:v>
      </x:c>
      <x:c r="D9" s="28" t="str">
        <x:v>USD M</x:v>
      </x:c>
      <x:c r="E9" s="33" t="str">
        <x:v>current tranche</x:v>
      </x:c>
    </x:row>
    <x:row r="10" ht="34" customHeight="1">
      <x:c r="B10" s="28" t="str">
        <x:v>remaining capital</x:v>
      </x:c>
      <x:c r="C10" s="28" t="n">
        <x:f>'Controls'!$D$59</x:f>
        <x:v>0</x:v>
      </x:c>
      <x:c r="D10" s="28" t="str">
        <x:v>USD M</x:v>
      </x:c>
      <x:c r="E10" s="33" t="str">
        <x:v>parent allocation complete</x:v>
      </x:c>
    </x:row>
    <x:row r="11" ht="34" customHeight="1">
      <x:c r="B11" s="28" t="str">
        <x:v>RAE-1 annual boundary</x:v>
      </x:c>
      <x:c r="C11" s="28" t="n">
        <x:v>168</x:v>
      </x:c>
      <x:c r="D11" s="28" t="str">
        <x:v>USD M/year</x:v>
      </x:c>
      <x:c r="E11" s="33" t="str">
        <x:v>parent limit</x:v>
      </x:c>
    </x:row>
    <x:row r="12" ht="34" customHeight="1">
      <x:c r="B12" s="28" t="str">
        <x:v>prior annual allocation</x:v>
      </x:c>
      <x:c r="C12" s="28" t="n">
        <x:v>162</x:v>
      </x:c>
      <x:c r="D12" s="28" t="str">
        <x:v>USD M/year</x:v>
      </x:c>
      <x:c r="E12" s="33" t="str">
        <x:v>RAC-1 through RAY-1</x:v>
      </x:c>
    </x:row>
    <x:row r="13" ht="34" customHeight="1">
      <x:c r="B13" s="28" t="str">
        <x:v>RAZ-1 annual support</x:v>
      </x:c>
      <x:c r="C13" s="28" t="n">
        <x:v>6</x:v>
      </x:c>
      <x:c r="D13" s="28" t="str">
        <x:v>USD M/year</x:v>
      </x:c>
      <x:c r="E13" s="33" t="str">
        <x:v>current tranche</x:v>
      </x:c>
    </x:row>
    <x:row r="14" ht="34" customHeight="1">
      <x:c r="B14" s="28" t="str">
        <x:v>remaining annual support</x:v>
      </x:c>
      <x:c r="C14" s="28" t="n">
        <x:f>'Controls'!$D$62</x:f>
        <x:v>0</x:v>
      </x:c>
      <x:c r="D14" s="28" t="str">
        <x:v>USD M/year</x:v>
      </x:c>
      <x:c r="E14" s="33" t="str">
        <x:v>parent allocation complete</x:v>
      </x:c>
    </x:row>
    <x:row r="15" ht="34" customHeight="1">
      <x:c r="B15" s="28" t="str">
        <x:v>RAE-1 technology boundary</x:v>
      </x:c>
      <x:c r="C15" s="28" t="n">
        <x:v>470</x:v>
      </x:c>
      <x:c r="D15" s="28" t="str">
        <x:v>USD M</x:v>
      </x:c>
      <x:c r="E15" s="33" t="str">
        <x:v>cross-classified limit</x:v>
      </x:c>
    </x:row>
    <x:row r="16" ht="34" customHeight="1">
      <x:c r="B16" s="28" t="str">
        <x:v>prior technology allocation</x:v>
      </x:c>
      <x:c r="C16" s="28" t="n">
        <x:v>434</x:v>
      </x:c>
      <x:c r="D16" s="28" t="str">
        <x:v>USD M</x:v>
      </x:c>
      <x:c r="E16" s="33" t="str">
        <x:v>RAC-1 through RAY-1</x:v>
      </x:c>
    </x:row>
    <x:row r="17" ht="34" customHeight="1">
      <x:c r="B17" s="28" t="str">
        <x:v>RAZ-1 technology</x:v>
      </x:c>
      <x:c r="C17" s="28" t="n">
        <x:v>36</x:v>
      </x:c>
      <x:c r="D17" s="28" t="str">
        <x:v>USD M</x:v>
      </x:c>
      <x:c r="E17" s="33" t="str">
        <x:v>current allocation</x:v>
      </x:c>
    </x:row>
    <x:row r="18" ht="34" customHeight="1">
      <x:c r="B18" s="28" t="str">
        <x:v>remaining technology</x:v>
      </x:c>
      <x:c r="C18" s="28" t="n">
        <x:f>'Controls'!$D$66</x:f>
        <x:v>0</x:v>
      </x:c>
      <x:c r="D18" s="28" t="str">
        <x:v>USD M</x:v>
      </x:c>
      <x:c r="E18" s="33" t="str">
        <x:v>parent allocation complete</x:v>
      </x:c>
    </x:row>
    <x:row r="19" ht="34" customHeight="1">
      <x:c r="B19" s="28" t="str">
        <x:v>prior cumulative stage exposure</x:v>
      </x:c>
      <x:c r="C19" s="28" t="n">
        <x:v>588</x:v>
      </x:c>
      <x:c r="D19" s="28" t="str">
        <x:v>USD M</x:v>
      </x:c>
      <x:c r="E19" s="33" t="str">
        <x:v>RAC-1 through RAY-1</x:v>
      </x:c>
    </x:row>
    <x:row r="20" ht="34" customHeight="1">
      <x:c r="B20" s="28" t="str">
        <x:v>RAZ-1 stage exposure</x:v>
      </x:c>
      <x:c r="C20" s="28" t="n">
        <x:f>'Controls'!$D$56</x:f>
        <x:v>20</x:v>
      </x:c>
      <x:c r="D20" s="28" t="str">
        <x:v>USD M</x:v>
      </x:c>
      <x:c r="E20" s="33" t="str">
        <x:v>eight-month exposure</x:v>
      </x:c>
    </x:row>
    <x:row r="21" ht="34" customHeight="1">
      <x:c r="B21" s="28" t="str">
        <x:v>cumulative stage exposure</x:v>
      </x:c>
      <x:c r="C21" s="28" t="n">
        <x:f>'Controls'!$D$68</x:f>
        <x:v>608</x:v>
      </x:c>
      <x:c r="D21" s="28" t="str">
        <x:v>USD M</x:v>
      </x:c>
      <x:c r="E21" s="33" t="str">
        <x:v>stage-specific sum</x:v>
      </x:c>
    </x:row>
    <x:row r="22" ht="34" customHeight="1">
      <x:c r="B22" s="28" t="str">
        <x:v>RAE-1 original gross reference</x:v>
      </x:c>
      <x:c r="C22" s="28" t="n">
        <x:v>696</x:v>
      </x:c>
      <x:c r="D22" s="28" t="str">
        <x:v>USD M</x:v>
      </x:c>
      <x:c r="E22" s="33" t="str">
        <x:v>reference envelope, not elapsed-time evidence</x:v>
      </x:c>
    </x:row>
    <x:row r="23" ht="34" customHeight="1">
      <x:c r="B23" s="28" t="str">
        <x:v>unassigned inside gross reference</x:v>
      </x:c>
      <x:c r="C23" s="28" t="n">
        <x:f>'Controls'!$D$70</x:f>
        <x:v>88</x:v>
      </x:c>
      <x:c r="D23" s="28" t="str">
        <x:v>USD M</x:v>
      </x:c>
      <x:c r="E23" s="33" t="str">
        <x:v>not calendar authority</x:v>
      </x:c>
    </x:row>
    <x:row r="24" ht="34" customHeight="1">
      <x:c r="B24" s="28" t="str">
        <x:v>sequential chain</x:v>
      </x:c>
      <x:c r="C24" s="28" t="n">
        <x:f>'Controls'!$D$50</x:f>
        <x:v>90</x:v>
      </x:c>
      <x:c r="D24" s="28" t="str">
        <x:v>months</x:v>
      </x:c>
      <x:c r="E24" s="33" t="str">
        <x:v>no overlap</x:v>
      </x:c>
    </x:row>
    <x:row r="25" ht="34" customHeight="1">
      <x:c r="B25" s="28" t="str">
        <x:v>release-aware chain</x:v>
      </x:c>
      <x:c r="C25" s="28" t="n">
        <x:f>'Controls'!$D$51</x:f>
        <x:v>66</x:v>
      </x:c>
      <x:c r="D25" s="28" t="str">
        <x:v>months</x:v>
      </x:c>
      <x:c r="E25" s="33" t="str">
        <x:v>predecessor releases preserved</x:v>
      </x:c>
    </x:row>
    <x:row r="26" ht="34" customHeight="1">
      <x:c r="B26" s="28" t="str">
        <x:v>calendar saved</x:v>
      </x:c>
      <x:c r="C26" s="28" t="n">
        <x:f>C24-C25</x:f>
        <x:v>24</x:v>
      </x:c>
      <x:c r="D26" s="28" t="str">
        <x:v>months</x:v>
      </x:c>
      <x:c r="E26" s="33" t="str">
        <x:v>revocable preparation only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4" hidden="0" customWidth="1"/>
    <x:col min="4" max="4" width="18" hidden="0" customWidth="1"/>
    <x:col min="5" max="5" width="82" hidden="0" customWidth="1"/>
    <x:col min="6" max="6" width="16" hidden="0" customWidth="1"/>
  </x:cols>
  <x:sheetData>
    <x:row r="2">
      <x:c r="B2" s="23" t="str">
        <x:v>USD 36M RAZ-1 technology allocation</x:v>
      </x:c>
      <x:c r="C2" s="24"/>
      <x:c r="D2" s="24"/>
      <x:c r="E2" s="24"/>
      <x:c r="F2" s="24"/>
    </x:row>
    <x:row r="3">
      <x:c r="B3" s="25" t="str">
        <x:v>The class creates demand for schedule, metrology, evidence, carryover and regeneration systems that scale beyond one event.</x:v>
      </x:c>
      <x:c r="C3" s="24"/>
      <x:c r="D3" s="24"/>
      <x:c r="E3" s="24"/>
      <x:c r="F3" s="24"/>
    </x:row>
    <x:row r="4">
      <x:c r="B4" s="24"/>
      <x:c r="C4" s="24"/>
      <x:c r="D4" s="24"/>
      <x:c r="E4" s="24"/>
      <x:c r="F4" s="24"/>
    </x:row>
    <x:row r="5">
      <x:c r="B5" s="24"/>
      <x:c r="C5" s="24"/>
      <x:c r="D5" s="24"/>
      <x:c r="E5" s="24"/>
      <x:c r="F5" s="24"/>
    </x:row>
    <x:row r="6" ht="24" customHeight="1">
      <x:c r="B6" s="6" t="str">
        <x:v>Program</x:v>
      </x:c>
      <x:c r="C6" s="6" t="str">
        <x:v>Technology</x:v>
      </x:c>
      <x:c r="D6" s="6" t="str">
        <x:v>USD M</x:v>
      </x:c>
      <x:c r="E6" s="6" t="str">
        <x:v>Research objective</x:v>
      </x:c>
      <x:c r="F6" s="6" t="str">
        <x:v>State</x:v>
      </x:c>
    </x:row>
    <x:row r="7" ht="40" customHeight="1">
      <x:c r="B7" s="28" t="str">
        <x:v>T01</x:v>
      </x:c>
      <x:c r="C7" s="28" t="str">
        <x:v>factor-preserving schedule compiler</x:v>
      </x:c>
      <x:c r="D7" s="28" t="n">
        <x:v>4</x:v>
      </x:c>
      <x:c r="E7" s="33" t="str">
        <x:v>apply a public seed without losing factorial balance</x:v>
      </x:c>
      <x:c r="F7" s="28" t="str">
        <x:v>OPEN</x:v>
      </x:c>
    </x:row>
    <x:row r="8" ht="40" customHeight="1">
      <x:c r="B8" s="28" t="str">
        <x:v>T02</x:v>
      </x:c>
      <x:c r="C8" s="28" t="str">
        <x:v>sealed event-packet federation</x:v>
      </x:c>
      <x:c r="D8" s="28" t="n">
        <x:v>4</x:v>
      </x:c>
      <x:c r="E8" s="33" t="str">
        <x:v>bind event results and local originals into a class graph</x:v>
      </x:c>
      <x:c r="F8" s="28" t="str">
        <x:v>OPEN</x:v>
      </x:c>
    </x:row>
    <x:row r="9" ht="40" customHeight="1">
      <x:c r="B9" s="28" t="str">
        <x:v>T03</x:v>
      </x:c>
      <x:c r="C9" s="28" t="str">
        <x:v>carryover residue tomography</x:v>
      </x:c>
      <x:c r="D9" s="28" t="n">
        <x:v>5</x:v>
      </x:c>
      <x:c r="E9" s="33" t="str">
        <x:v>map source and water traces before the next event freeze</x:v>
      </x:c>
      <x:c r="F9" s="28" t="str">
        <x:v>OPEN</x:v>
      </x:c>
    </x:row>
    <x:row r="10" ht="40" customHeight="1">
      <x:c r="B10" s="28" t="str">
        <x:v>T04</x:v>
      </x:c>
      <x:c r="C10" s="28" t="str">
        <x:v>automatic regeneration planner</x:v>
      </x:c>
      <x:c r="D10" s="28" t="n">
        <x:v>5</x:v>
      </x:c>
      <x:c r="E10" s="33" t="str">
        <x:v>derive inspection and regression scope from actual exposure</x:v>
      </x:c>
      <x:c r="F10" s="28" t="str">
        <x:v>OPEN</x:v>
      </x:c>
    </x:row>
    <x:row r="11" ht="40" customHeight="1">
      <x:c r="B11" s="28" t="str">
        <x:v>T05</x:v>
      </x:c>
      <x:c r="C11" s="28" t="str">
        <x:v>portable unlike-root metrology</x:v>
      </x:c>
      <x:c r="D11" s="28" t="n">
        <x:v>4</x:v>
      </x:c>
      <x:c r="E11" s="33" t="str">
        <x:v>retain independent calibration and custody across all six rigs</x:v>
      </x:c>
      <x:c r="F11" s="28" t="str">
        <x:v>OPEN</x:v>
      </x:c>
    </x:row>
    <x:row r="12" ht="40" customHeight="1">
      <x:c r="B12" s="28" t="str">
        <x:v>T06</x:v>
      </x:c>
      <x:c r="C12" s="28" t="str">
        <x:v>offline multi-campus replay</x:v>
      </x:c>
      <x:c r="D12" s="28" t="n">
        <x:v>4</x:v>
      </x:c>
      <x:c r="E12" s="33" t="str">
        <x:v>reconstruct decisions without origin-site context or live network</x:v>
      </x:c>
      <x:c r="F12" s="28" t="str">
        <x:v>OPEN</x:v>
      </x:c>
    </x:row>
    <x:row r="13" ht="40" customHeight="1">
      <x:c r="B13" s="28" t="str">
        <x:v>T07</x:v>
      </x:c>
      <x:c r="C13" s="28" t="str">
        <x:v>causal crew and authority scheduler</x:v>
      </x:c>
      <x:c r="D13" s="28" t="n">
        <x:v>3</x:v>
      </x:c>
      <x:c r="E13" s="33" t="str">
        <x:v>prevent overlapping duty, stale rest and resource double booking</x:v>
      </x:c>
      <x:c r="F13" s="28" t="str">
        <x:v>OPEN</x:v>
      </x:c>
    </x:row>
    <x:row r="14" ht="40" customHeight="1">
      <x:c r="B14" s="28" t="str">
        <x:v>T08</x:v>
      </x:c>
      <x:c r="C14" s="28" t="str">
        <x:v>physical credential revocation</x:v>
      </x:c>
      <x:c r="D14" s="28" t="n">
        <x:v>3</x:v>
      </x:c>
      <x:c r="E14" s="33" t="str">
        <x:v>withdraw pair authority automatically after every event</x:v>
      </x:c>
      <x:c r="F14" s="28" t="str">
        <x:v>OPEN</x:v>
      </x:c>
    </x:row>
    <x:row r="15" ht="40" customHeight="1">
      <x:c r="B15" s="28" t="str">
        <x:v>T09</x:v>
      </x:c>
      <x:c r="C15" s="28" t="str">
        <x:v>class-level discrepancy localization</x:v>
      </x:c>
      <x:c r="D15" s="28" t="n">
        <x:v>4</x:v>
      </x:c>
      <x:c r="E15" s="33" t="str">
        <x:v>separate rig, method, root, campus and order effects</x:v>
      </x:c>
      <x:c r="F15" s="28" t="str">
        <x:v>OPEN</x:v>
      </x:c>
    </x:row>
    <x:row r="16">
      <x:c r="B16" s="26" t="str">
        <x:v>Total</x:v>
      </x:c>
      <x:c r="C16" s="26" t="str"/>
      <x:c r="D16" s="26" t="n">
        <x:v>36</x:v>
      </x:c>
      <x:c r="E16" s="26" t="str"/>
      <x:c r="F16" s="26" t="str">
        <x:v>OPEN</x:v>
      </x:c>
    </x:row>
  </x:sheetData>
  <x:conditionalFormatting sqref="F7:F16">
    <x:cfRule type="containsText" dxfId="315" priority="1" operator="containsText" text="FAIL"/>
    <x:cfRule type="containsText" dxfId="316" priority="2" operator="containsText" text="BLOCKED"/>
    <x:cfRule type="containsText" dxfId="317" priority="3" operator="containsText" text="INVALID"/>
    <x:cfRule type="containsText" dxfId="318" priority="4" operator="containsText" text="ADVERSE"/>
    <x:cfRule type="containsText" dxfId="319" priority="5" operator="containsText" text="EXPIRED"/>
    <x:cfRule type="containsText" dxfId="320" priority="6" operator="containsText" text="OPEN"/>
    <x:cfRule type="containsText" dxfId="321" priority="7" operator="containsText" text="DORMANT"/>
    <x:cfRule type="containsText" dxfId="322" priority="8" operator="containsText" text="PASS"/>
    <x:cfRule type="containsText" dxfId="323" priority="9" operator="containsText" text="AVAILABLE"/>
  </x:conditionalFormatting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6" hidden="0" customWidth="1"/>
    <x:col min="4" max="4" width="44" hidden="0" customWidth="1"/>
    <x:col min="5" max="5" width="20" hidden="0" customWidth="1"/>
    <x:col min="6" max="6" width="20" hidden="0" customWidth="1"/>
    <x:col min="7" max="7" width="16" hidden="0" customWidth="1"/>
  </x:cols>
  <x:sheetData>
    <x:row r="2">
      <x:c r="B2" s="23" t="str">
        <x:v>One hundred eighty terminal assertions</x:v>
      </x:c>
      <x:c r="C2" s="24"/>
      <x:c r="D2" s="24"/>
      <x:c r="E2" s="24"/>
      <x:c r="F2" s="24"/>
      <x:c r="G2" s="24"/>
    </x:row>
    <x:row r="3">
      <x:c r="B3" s="25" t="str">
        <x:v>Audit reads operating sheets and never feeds schedule, event, transfer or release logic. PASS establishes workbook coherence only.</x:v>
      </x:c>
      <x:c r="C3" s="24"/>
      <x:c r="D3" s="24"/>
      <x:c r="E3" s="24"/>
      <x:c r="F3" s="24"/>
      <x:c r="G3" s="24"/>
    </x:row>
    <x:row r="4">
      <x:c r="B4" s="24"/>
      <x:c r="C4" s="24"/>
      <x:c r="D4" s="24"/>
      <x:c r="E4" s="24"/>
      <x:c r="F4" s="24"/>
      <x:c r="G4" s="24"/>
    </x:row>
    <x:row r="5">
      <x:c r="B5" s="24"/>
      <x:c r="C5" s="24"/>
      <x:c r="D5" s="24"/>
      <x:c r="E5" s="24"/>
      <x:c r="F5" s="24"/>
      <x:c r="G5" s="24"/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28" t="str">
        <x:v>A001</x:v>
      </x:c>
      <x:c r="C7" s="28" t="str">
        <x:v>headline</x:v>
      </x:c>
      <x:c r="D7" s="28" t="str">
        <x:v>sheet count</x:v>
      </x:c>
      <x:c r="E7" s="28" t="n">
        <x:v>49</x:v>
      </x:c>
      <x:c r="F7" s="28" t="n">
        <x:v>49</x:v>
      </x:c>
      <x:c r="G7" s="28" t="str">
        <x:f>IF(E7=F7,"PASS","FAIL")</x:f>
        <x:v>PASS</x:v>
      </x:c>
    </x:row>
    <x:row r="8">
      <x:c r="B8" s="28" t="str">
        <x:v>A002</x:v>
      </x:c>
      <x:c r="C8" s="28" t="str">
        <x:v>headline</x:v>
      </x:c>
      <x:c r="D8" s="28" t="str">
        <x:v>treatments</x:v>
      </x:c>
      <x:c r="E8" s="28" t="n">
        <x:v>4</x:v>
      </x:c>
      <x:c r="F8" s="28" t="n">
        <x:v>4</x:v>
      </x:c>
      <x:c r="G8" s="28" t="str">
        <x:f>IF(E8=F8,"PASS","FAIL")</x:f>
        <x:v>PASS</x:v>
      </x:c>
    </x:row>
    <x:row r="9">
      <x:c r="B9" s="28" t="str">
        <x:v>A003</x:v>
      </x:c>
      <x:c r="C9" s="28" t="str">
        <x:v>headline</x:v>
      </x:c>
      <x:c r="D9" s="28" t="str">
        <x:v>canonical sequences</x:v>
      </x:c>
      <x:c r="E9" s="28" t="n">
        <x:v>6</x:v>
      </x:c>
      <x:c r="F9" s="28" t="n">
        <x:v>6</x:v>
      </x:c>
      <x:c r="G9" s="28" t="str">
        <x:f>IF(E9=F9,"PASS","FAIL")</x:f>
        <x:v>PASS</x:v>
      </x:c>
    </x:row>
    <x:row r="10">
      <x:c r="B10" s="28" t="str">
        <x:v>A004</x:v>
      </x:c>
      <x:c r="C10" s="28" t="str">
        <x:v>headline</x:v>
      </x:c>
      <x:c r="D10" s="28" t="str">
        <x:v>wave events</x:v>
      </x:c>
      <x:c r="E10" s="28" t="n">
        <x:v>24</x:v>
      </x:c>
      <x:c r="F10" s="28" t="n">
        <x:v>24</x:v>
      </x:c>
      <x:c r="G10" s="28" t="str">
        <x:f>IF(E10=F10,"PASS","FAIL")</x:f>
        <x:v>PASS</x:v>
      </x:c>
    </x:row>
    <x:row r="11">
      <x:c r="B11" s="28" t="str">
        <x:v>A005</x:v>
      </x:c>
      <x:c r="C11" s="28" t="str">
        <x:v>headline</x:v>
      </x:c>
      <x:c r="D11" s="28" t="str">
        <x:v>balance checks</x:v>
      </x:c>
      <x:c r="E11" s="28" t="n">
        <x:v>36</x:v>
      </x:c>
      <x:c r="F11" s="28" t="n">
        <x:v>36</x:v>
      </x:c>
      <x:c r="G11" s="28" t="str">
        <x:f>IF(E11=F11,"PASS","FAIL")</x:f>
        <x:v>PASS</x:v>
      </x:c>
    </x:row>
    <x:row r="12">
      <x:c r="B12" s="28" t="str">
        <x:v>A006</x:v>
      </x:c>
      <x:c r="C12" s="28" t="str">
        <x:v>headline</x:v>
      </x:c>
      <x:c r="D12" s="28" t="str">
        <x:v>cells</x:v>
      </x:c>
      <x:c r="E12" s="28" t="n">
        <x:v>24</x:v>
      </x:c>
      <x:c r="F12" s="28" t="n">
        <x:v>24</x:v>
      </x:c>
      <x:c r="G12" s="28" t="str">
        <x:f>IF(E12=F12,"PASS","FAIL")</x:f>
        <x:v>PASS</x:v>
      </x:c>
    </x:row>
    <x:row r="13">
      <x:c r="B13" s="28" t="str">
        <x:v>A007</x:v>
      </x:c>
      <x:c r="C13" s="28" t="str">
        <x:v>headline</x:v>
      </x:c>
      <x:c r="D13" s="28" t="str">
        <x:v>attempt tokens</x:v>
      </x:c>
      <x:c r="E13" s="28" t="n">
        <x:v>30</x:v>
      </x:c>
      <x:c r="F13" s="28" t="n">
        <x:v>30</x:v>
      </x:c>
      <x:c r="G13" s="28" t="str">
        <x:f>IF(E13=F13,"PASS","FAIL")</x:f>
        <x:v>PASS</x:v>
      </x:c>
    </x:row>
    <x:row r="14">
      <x:c r="B14" s="28" t="str">
        <x:v>A008</x:v>
      </x:c>
      <x:c r="C14" s="28" t="str">
        <x:v>headline</x:v>
      </x:c>
      <x:c r="D14" s="28" t="str">
        <x:v>event gate records</x:v>
      </x:c>
      <x:c r="E14" s="28" t="n">
        <x:v>720</x:v>
      </x:c>
      <x:c r="F14" s="28" t="n">
        <x:v>720</x:v>
      </x:c>
      <x:c r="G14" s="28" t="str">
        <x:f>IF(E14=F14,"PASS","FAIL")</x:f>
        <x:v>PASS</x:v>
      </x:c>
    </x:row>
    <x:row r="15">
      <x:c r="B15" s="28" t="str">
        <x:v>A009</x:v>
      </x:c>
      <x:c r="C15" s="28" t="str">
        <x:v>headline</x:v>
      </x:c>
      <x:c r="D15" s="28" t="str">
        <x:v>event metrics</x:v>
      </x:c>
      <x:c r="E15" s="28" t="n">
        <x:v>30</x:v>
      </x:c>
      <x:c r="F15" s="28" t="n">
        <x:v>30</x:v>
      </x:c>
      <x:c r="G15" s="28" t="str">
        <x:f>IF(E15=F15,"PASS","FAIL")</x:f>
        <x:v>PASS</x:v>
      </x:c>
    </x:row>
    <x:row r="16">
      <x:c r="B16" s="28" t="str">
        <x:v>A010</x:v>
      </x:c>
      <x:c r="C16" s="28" t="str">
        <x:v>headline</x:v>
      </x:c>
      <x:c r="D16" s="28" t="str">
        <x:v>pair cycles</x:v>
      </x:c>
      <x:c r="E16" s="28" t="n">
        <x:v>24</x:v>
      </x:c>
      <x:c r="F16" s="28" t="n">
        <x:v>24</x:v>
      </x:c>
      <x:c r="G16" s="28" t="str">
        <x:f>IF(E16=F16,"PASS","FAIL")</x:f>
        <x:v>PASS</x:v>
      </x:c>
    </x:row>
    <x:row r="17">
      <x:c r="B17" s="28" t="str">
        <x:v>A011</x:v>
      </x:c>
      <x:c r="C17" s="28" t="str">
        <x:v>headline</x:v>
      </x:c>
      <x:c r="D17" s="28" t="str">
        <x:v>crew rotations</x:v>
      </x:c>
      <x:c r="E17" s="28" t="n">
        <x:v>24</x:v>
      </x:c>
      <x:c r="F17" s="28" t="n">
        <x:v>24</x:v>
      </x:c>
      <x:c r="G17" s="28" t="str">
        <x:f>IF(E17=F17,"PASS","FAIL")</x:f>
        <x:v>PASS</x:v>
      </x:c>
    </x:row>
    <x:row r="18">
      <x:c r="B18" s="28" t="str">
        <x:v>A012</x:v>
      </x:c>
      <x:c r="C18" s="28" t="str">
        <x:v>headline</x:v>
      </x:c>
      <x:c r="D18" s="28" t="str">
        <x:v>root deployments</x:v>
      </x:c>
      <x:c r="E18" s="28" t="n">
        <x:v>24</x:v>
      </x:c>
      <x:c r="F18" s="28" t="n">
        <x:v>24</x:v>
      </x:c>
      <x:c r="G18" s="28" t="str">
        <x:f>IF(E18=F18,"PASS","FAIL")</x:f>
        <x:v>PASS</x:v>
      </x:c>
    </x:row>
    <x:row r="19">
      <x:c r="B19" s="28" t="str">
        <x:v>A013</x:v>
      </x:c>
      <x:c r="C19" s="28" t="str">
        <x:v>headline</x:v>
      </x:c>
      <x:c r="D19" s="28" t="str">
        <x:v>transitions</x:v>
      </x:c>
      <x:c r="E19" s="28" t="n">
        <x:v>18</x:v>
      </x:c>
      <x:c r="F19" s="28" t="n">
        <x:v>18</x:v>
      </x:c>
      <x:c r="G19" s="28" t="str">
        <x:f>IF(E19=F19,"PASS","FAIL")</x:f>
        <x:v>PASS</x:v>
      </x:c>
    </x:row>
    <x:row r="20">
      <x:c r="B20" s="28" t="str">
        <x:v>A014</x:v>
      </x:c>
      <x:c r="C20" s="28" t="str">
        <x:v>headline</x:v>
      </x:c>
      <x:c r="D20" s="28" t="str">
        <x:v>replay decisions</x:v>
      </x:c>
      <x:c r="E20" s="28" t="n">
        <x:v>720</x:v>
      </x:c>
      <x:c r="F20" s="28" t="n">
        <x:v>720</x:v>
      </x:c>
      <x:c r="G20" s="28" t="str">
        <x:f>IF(E20=F20,"PASS","FAIL")</x:f>
        <x:v>PASS</x:v>
      </x:c>
    </x:row>
    <x:row r="21">
      <x:c r="B21" s="28" t="str">
        <x:v>A015</x:v>
      </x:c>
      <x:c r="C21" s="28" t="str">
        <x:v>headline</x:v>
      </x:c>
      <x:c r="D21" s="28" t="str">
        <x:v>cell credits</x:v>
      </x:c>
      <x:c r="E21" s="28" t="n">
        <x:v>24</x:v>
      </x:c>
      <x:c r="F21" s="28" t="n">
        <x:v>24</x:v>
      </x:c>
      <x:c r="G21" s="28" t="str">
        <x:f>IF(E21=F21,"PASS","FAIL")</x:f>
        <x:v>PASS</x:v>
      </x:c>
    </x:row>
    <x:row r="22">
      <x:c r="B22" s="28" t="str">
        <x:v>A016</x:v>
      </x:c>
      <x:c r="C22" s="28" t="str">
        <x:v>headline</x:v>
      </x:c>
      <x:c r="D22" s="28" t="str">
        <x:v>root contrasts</x:v>
      </x:c>
      <x:c r="E22" s="28" t="n">
        <x:v>12</x:v>
      </x:c>
      <x:c r="F22" s="28" t="n">
        <x:v>12</x:v>
      </x:c>
      <x:c r="G22" s="28" t="str">
        <x:f>IF(E22=F22,"PASS","FAIL")</x:f>
        <x:v>PASS</x:v>
      </x:c>
    </x:row>
    <x:row r="23">
      <x:c r="B23" s="28" t="str">
        <x:v>A017</x:v>
      </x:c>
      <x:c r="C23" s="28" t="str">
        <x:v>headline</x:v>
      </x:c>
      <x:c r="D23" s="28" t="str">
        <x:v>method contrasts</x:v>
      </x:c>
      <x:c r="E23" s="28" t="n">
        <x:v>12</x:v>
      </x:c>
      <x:c r="F23" s="28" t="n">
        <x:v>12</x:v>
      </x:c>
      <x:c r="G23" s="28" t="str">
        <x:f>IF(E23=F23,"PASS","FAIL")</x:f>
        <x:v>PASS</x:v>
      </x:c>
    </x:row>
    <x:row r="24">
      <x:c r="B24" s="28" t="str">
        <x:v>A018</x:v>
      </x:c>
      <x:c r="C24" s="28" t="str">
        <x:v>headline</x:v>
      </x:c>
      <x:c r="D24" s="28" t="str">
        <x:v>rig decisions</x:v>
      </x:c>
      <x:c r="E24" s="28" t="n">
        <x:v>6</x:v>
      </x:c>
      <x:c r="F24" s="28" t="n">
        <x:v>6</x:v>
      </x:c>
      <x:c r="G24" s="28" t="str">
        <x:f>IF(E24=F24,"PASS","FAIL")</x:f>
        <x:v>PASS</x:v>
      </x:c>
    </x:row>
    <x:row r="25">
      <x:c r="B25" s="28" t="str">
        <x:v>A019</x:v>
      </x:c>
      <x:c r="C25" s="28" t="str">
        <x:v>headline</x:v>
      </x:c>
      <x:c r="D25" s="28" t="str">
        <x:v>treatment decisions</x:v>
      </x:c>
      <x:c r="E25" s="28" t="n">
        <x:v>4</x:v>
      </x:c>
      <x:c r="F25" s="28" t="n">
        <x:v>4</x:v>
      </x:c>
      <x:c r="G25" s="28" t="str">
        <x:f>IF(E25=F25,"PASS","FAIL")</x:f>
        <x:v>PASS</x:v>
      </x:c>
    </x:row>
    <x:row r="26">
      <x:c r="B26" s="28" t="str">
        <x:v>A020</x:v>
      </x:c>
      <x:c r="C26" s="28" t="str">
        <x:v>headline</x:v>
      </x:c>
      <x:c r="D26" s="28" t="str">
        <x:v>campus decisions</x:v>
      </x:c>
      <x:c r="E26" s="28" t="n">
        <x:v>3</x:v>
      </x:c>
      <x:c r="F26" s="28" t="n">
        <x:v>3</x:v>
      </x:c>
      <x:c r="G26" s="28" t="str">
        <x:f>IF(E26=F26,"PASS","FAIL")</x:f>
        <x:v>PASS</x:v>
      </x:c>
    </x:row>
    <x:row r="27">
      <x:c r="B27" s="28" t="str">
        <x:v>A021</x:v>
      </x:c>
      <x:c r="C27" s="28" t="str">
        <x:v>headline</x:v>
      </x:c>
      <x:c r="D27" s="28" t="str">
        <x:v>class metrics</x:v>
      </x:c>
      <x:c r="E27" s="28" t="n">
        <x:v>16</x:v>
      </x:c>
      <x:c r="F27" s="28" t="n">
        <x:v>16</x:v>
      </x:c>
      <x:c r="G27" s="28" t="str">
        <x:f>IF(E27=F27,"PASS","FAIL")</x:f>
        <x:v>PASS</x:v>
      </x:c>
    </x:row>
    <x:row r="28">
      <x:c r="B28" s="28" t="str">
        <x:v>A022</x:v>
      </x:c>
      <x:c r="C28" s="28" t="str">
        <x:v>headline</x:v>
      </x:c>
      <x:c r="D28" s="28" t="str">
        <x:v>replacement rules</x:v>
      </x:c>
      <x:c r="E28" s="28" t="n">
        <x:v>12</x:v>
      </x:c>
      <x:c r="F28" s="28" t="n">
        <x:v>12</x:v>
      </x:c>
      <x:c r="G28" s="28" t="str">
        <x:f>IF(E28=F28,"PASS","FAIL")</x:f>
        <x:v>PASS</x:v>
      </x:c>
    </x:row>
    <x:row r="29">
      <x:c r="B29" s="28" t="str">
        <x:v>A023</x:v>
      </x:c>
      <x:c r="C29" s="28" t="str">
        <x:v>headline</x:v>
      </x:c>
      <x:c r="D29" s="28" t="str">
        <x:v>release gates</x:v>
      </x:c>
      <x:c r="E29" s="28" t="n">
        <x:v>32</x:v>
      </x:c>
      <x:c r="F29" s="28" t="n">
        <x:v>32</x:v>
      </x:c>
      <x:c r="G29" s="28" t="str">
        <x:f>IF(E29=F29,"PASS","FAIL")</x:f>
        <x:v>PASS</x:v>
      </x:c>
    </x:row>
    <x:row r="30">
      <x:c r="B30" s="28" t="str">
        <x:v>A024</x:v>
      </x:c>
      <x:c r="C30" s="28" t="str">
        <x:v>headline</x:v>
      </x:c>
      <x:c r="D30" s="28" t="str">
        <x:v>QE-02 conditions</x:v>
      </x:c>
      <x:c r="E30" s="28" t="n">
        <x:v>12</x:v>
      </x:c>
      <x:c r="F30" s="28" t="n">
        <x:v>12</x:v>
      </x:c>
      <x:c r="G30" s="28" t="str">
        <x:f>IF(E30=F30,"PASS","FAIL")</x:f>
        <x:v>PASS</x:v>
      </x:c>
    </x:row>
    <x:row r="31">
      <x:c r="B31" s="28" t="str">
        <x:v>A025</x:v>
      </x:c>
      <x:c r="C31" s="28" t="str">
        <x:v>headline</x:v>
      </x:c>
      <x:c r="D31" s="28" t="str">
        <x:v>capital total</x:v>
      </x:c>
      <x:c r="E31" s="28" t="n">
        <x:v>16</x:v>
      </x:c>
      <x:c r="F31" s="28" t="n">
        <x:v>16</x:v>
      </x:c>
      <x:c r="G31" s="28" t="str">
        <x:f>IF(E31=F31,"PASS","FAIL")</x:f>
        <x:v>PASS</x:v>
      </x:c>
    </x:row>
    <x:row r="32">
      <x:c r="B32" s="28" t="str">
        <x:v>A026</x:v>
      </x:c>
      <x:c r="C32" s="28" t="str">
        <x:v>headline</x:v>
      </x:c>
      <x:c r="D32" s="28" t="str">
        <x:v>annual support total</x:v>
      </x:c>
      <x:c r="E32" s="28" t="n">
        <x:v>6</x:v>
      </x:c>
      <x:c r="F32" s="28" t="n">
        <x:v>6</x:v>
      </x:c>
      <x:c r="G32" s="28" t="str">
        <x:f>IF(E32=F32,"PASS","FAIL")</x:f>
        <x:v>PASS</x:v>
      </x:c>
    </x:row>
    <x:row r="33">
      <x:c r="B33" s="28" t="str">
        <x:v>A027</x:v>
      </x:c>
      <x:c r="C33" s="28" t="str">
        <x:v>headline</x:v>
      </x:c>
      <x:c r="D33" s="28" t="str">
        <x:v>technology total</x:v>
      </x:c>
      <x:c r="E33" s="28" t="n">
        <x:v>36</x:v>
      </x:c>
      <x:c r="F33" s="28" t="n">
        <x:v>36</x:v>
      </x:c>
      <x:c r="G33" s="28" t="str">
        <x:f>IF(E33=F33,"PASS","FAIL")</x:f>
        <x:v>PASS</x:v>
      </x:c>
    </x:row>
    <x:row r="34">
      <x:c r="B34" s="28" t="str">
        <x:v>A028</x:v>
      </x:c>
      <x:c r="C34" s="28" t="str">
        <x:v>control</x:v>
      </x:c>
      <x:c r="D34" s="28" t="str">
        <x:v>C01</x:v>
      </x:c>
      <x:c r="E34" s="28" t="n">
        <x:v>24</x:v>
      </x:c>
      <x:c r="F34" s="28" t="n">
        <x:v>24</x:v>
      </x:c>
      <x:c r="G34" s="28" t="str">
        <x:f>IF(E34=F34,"PASS","FAIL")</x:f>
        <x:v>PASS</x:v>
      </x:c>
    </x:row>
    <x:row r="35">
      <x:c r="B35" s="28" t="str">
        <x:v>A029</x:v>
      </x:c>
      <x:c r="C35" s="28" t="str">
        <x:v>control</x:v>
      </x:c>
      <x:c r="D35" s="28" t="str">
        <x:v>C02</x:v>
      </x:c>
      <x:c r="E35" s="28" t="n">
        <x:v>6</x:v>
      </x:c>
      <x:c r="F35" s="28" t="n">
        <x:v>6</x:v>
      </x:c>
      <x:c r="G35" s="28" t="str">
        <x:f>IF(E35=F35,"PASS","FAIL")</x:f>
        <x:v>PASS</x:v>
      </x:c>
    </x:row>
    <x:row r="36">
      <x:c r="B36" s="28" t="str">
        <x:v>A030</x:v>
      </x:c>
      <x:c r="C36" s="28" t="str">
        <x:v>control</x:v>
      </x:c>
      <x:c r="D36" s="28" t="str">
        <x:v>C03</x:v>
      </x:c>
      <x:c r="E36" s="28" t="n">
        <x:v>2</x:v>
      </x:c>
      <x:c r="F36" s="28" t="n">
        <x:v>2</x:v>
      </x:c>
      <x:c r="G36" s="28" t="str">
        <x:f>IF(E36=F36,"PASS","FAIL")</x:f>
        <x:v>PASS</x:v>
      </x:c>
    </x:row>
    <x:row r="37">
      <x:c r="B37" s="28" t="str">
        <x:v>A031</x:v>
      </x:c>
      <x:c r="C37" s="28" t="str">
        <x:v>control</x:v>
      </x:c>
      <x:c r="D37" s="28" t="str">
        <x:v>C04</x:v>
      </x:c>
      <x:c r="E37" s="28" t="n">
        <x:v>2</x:v>
      </x:c>
      <x:c r="F37" s="28" t="n">
        <x:v>2</x:v>
      </x:c>
      <x:c r="G37" s="28" t="str">
        <x:f>IF(E37=F37,"PASS","FAIL")</x:f>
        <x:v>PASS</x:v>
      </x:c>
    </x:row>
    <x:row r="38">
      <x:c r="B38" s="28" t="str">
        <x:v>A032</x:v>
      </x:c>
      <x:c r="C38" s="28" t="str">
        <x:v>control</x:v>
      </x:c>
      <x:c r="D38" s="28" t="str">
        <x:v>C05</x:v>
      </x:c>
      <x:c r="E38" s="28" t="n">
        <x:v>4</x:v>
      </x:c>
      <x:c r="F38" s="28" t="n">
        <x:v>4</x:v>
      </x:c>
      <x:c r="G38" s="28" t="str">
        <x:f>IF(E38=F38,"PASS","FAIL")</x:f>
        <x:v>PASS</x:v>
      </x:c>
    </x:row>
    <x:row r="39">
      <x:c r="B39" s="28" t="str">
        <x:v>A033</x:v>
      </x:c>
      <x:c r="C39" s="28" t="str">
        <x:v>control</x:v>
      </x:c>
      <x:c r="D39" s="28" t="str">
        <x:v>C06</x:v>
      </x:c>
      <x:c r="E39" s="28" t="n">
        <x:v>4</x:v>
      </x:c>
      <x:c r="F39" s="28" t="n">
        <x:v>4</x:v>
      </x:c>
      <x:c r="G39" s="28" t="str">
        <x:f>IF(E39=F39,"PASS","FAIL")</x:f>
        <x:v>PASS</x:v>
      </x:c>
    </x:row>
    <x:row r="40">
      <x:c r="B40" s="28" t="str">
        <x:v>A034</x:v>
      </x:c>
      <x:c r="C40" s="28" t="str">
        <x:v>control</x:v>
      </x:c>
      <x:c r="D40" s="28" t="str">
        <x:v>C07</x:v>
      </x:c>
      <x:c r="E40" s="28" t="n">
        <x:v>6</x:v>
      </x:c>
      <x:c r="F40" s="28" t="n">
        <x:v>6</x:v>
      </x:c>
      <x:c r="G40" s="28" t="str">
        <x:f>IF(E40=F40,"PASS","FAIL")</x:f>
        <x:v>PASS</x:v>
      </x:c>
    </x:row>
    <x:row r="41">
      <x:c r="B41" s="28" t="str">
        <x:v>A035</x:v>
      </x:c>
      <x:c r="C41" s="28" t="str">
        <x:v>control</x:v>
      </x:c>
      <x:c r="D41" s="28" t="str">
        <x:v>C08</x:v>
      </x:c>
      <x:c r="E41" s="28" t="n">
        <x:v>4</x:v>
      </x:c>
      <x:c r="F41" s="28" t="n">
        <x:v>4</x:v>
      </x:c>
      <x:c r="G41" s="28" t="str">
        <x:f>IF(E41=F41,"PASS","FAIL")</x:f>
        <x:v>PASS</x:v>
      </x:c>
    </x:row>
    <x:row r="42">
      <x:c r="B42" s="28" t="str">
        <x:v>A036</x:v>
      </x:c>
      <x:c r="C42" s="28" t="str">
        <x:v>control</x:v>
      </x:c>
      <x:c r="D42" s="28" t="str">
        <x:v>C09</x:v>
      </x:c>
      <x:c r="E42" s="28" t="n">
        <x:v>6</x:v>
      </x:c>
      <x:c r="F42" s="28" t="n">
        <x:v>6</x:v>
      </x:c>
      <x:c r="G42" s="28" t="str">
        <x:f>IF(E42=F42,"PASS","FAIL")</x:f>
        <x:v>PASS</x:v>
      </x:c>
    </x:row>
    <x:row r="43">
      <x:c r="B43" s="28" t="str">
        <x:v>A037</x:v>
      </x:c>
      <x:c r="C43" s="28" t="str">
        <x:v>control</x:v>
      </x:c>
      <x:c r="D43" s="28" t="str">
        <x:v>C10</x:v>
      </x:c>
      <x:c r="E43" s="28" t="n">
        <x:v>24</x:v>
      </x:c>
      <x:c r="F43" s="28" t="n">
        <x:v>24</x:v>
      </x:c>
      <x:c r="G43" s="28" t="str">
        <x:f>IF(E43=F43,"PASS","FAIL")</x:f>
        <x:v>PASS</x:v>
      </x:c>
    </x:row>
    <x:row r="44">
      <x:c r="B44" s="28" t="str">
        <x:v>A038</x:v>
      </x:c>
      <x:c r="C44" s="28" t="str">
        <x:v>control</x:v>
      </x:c>
      <x:c r="D44" s="28" t="str">
        <x:v>C11</x:v>
      </x:c>
      <x:c r="E44" s="28" t="n">
        <x:v>6</x:v>
      </x:c>
      <x:c r="F44" s="28" t="n">
        <x:v>6</x:v>
      </x:c>
      <x:c r="G44" s="28" t="str">
        <x:f>IF(E44=F44,"PASS","FAIL")</x:f>
        <x:v>PASS</x:v>
      </x:c>
    </x:row>
    <x:row r="45">
      <x:c r="B45" s="28" t="str">
        <x:v>A039</x:v>
      </x:c>
      <x:c r="C45" s="28" t="str">
        <x:v>control</x:v>
      </x:c>
      <x:c r="D45" s="28" t="str">
        <x:v>C12</x:v>
      </x:c>
      <x:c r="E45" s="28" t="n">
        <x:v>30</x:v>
      </x:c>
      <x:c r="F45" s="28" t="n">
        <x:v>30</x:v>
      </x:c>
      <x:c r="G45" s="28" t="str">
        <x:f>IF(E45=F45,"PASS","FAIL")</x:f>
        <x:v>PASS</x:v>
      </x:c>
    </x:row>
    <x:row r="46">
      <x:c r="B46" s="28" t="str">
        <x:v>A040</x:v>
      </x:c>
      <x:c r="C46" s="28" t="str">
        <x:v>control</x:v>
      </x:c>
      <x:c r="D46" s="28" t="str">
        <x:v>C13</x:v>
      </x:c>
      <x:c r="E46" s="28" t="n">
        <x:v>24</x:v>
      </x:c>
      <x:c r="F46" s="28" t="n">
        <x:v>24</x:v>
      </x:c>
      <x:c r="G46" s="28" t="str">
        <x:f>IF(E46=F46,"PASS","FAIL")</x:f>
        <x:v>PASS</x:v>
      </x:c>
    </x:row>
    <x:row r="47">
      <x:c r="B47" s="28" t="str">
        <x:v>A041</x:v>
      </x:c>
      <x:c r="C47" s="28" t="str">
        <x:v>control</x:v>
      </x:c>
      <x:c r="D47" s="28" t="str">
        <x:v>C14</x:v>
      </x:c>
      <x:c r="E47" s="28" t="n">
        <x:v>720</x:v>
      </x:c>
      <x:c r="F47" s="28" t="n">
        <x:v>720</x:v>
      </x:c>
      <x:c r="G47" s="28" t="str">
        <x:f>IF(E47=F47,"PASS","FAIL")</x:f>
        <x:v>PASS</x:v>
      </x:c>
    </x:row>
    <x:row r="48">
      <x:c r="B48" s="28" t="str">
        <x:v>A042</x:v>
      </x:c>
      <x:c r="C48" s="28" t="str">
        <x:v>control</x:v>
      </x:c>
      <x:c r="D48" s="28" t="str">
        <x:v>C15</x:v>
      </x:c>
      <x:c r="E48" s="28" t="n">
        <x:v>12</x:v>
      </x:c>
      <x:c r="F48" s="28" t="n">
        <x:v>12</x:v>
      </x:c>
      <x:c r="G48" s="28" t="str">
        <x:f>IF(E48=F48,"PASS","FAIL")</x:f>
        <x:v>PASS</x:v>
      </x:c>
    </x:row>
    <x:row r="49">
      <x:c r="B49" s="28" t="str">
        <x:v>A043</x:v>
      </x:c>
      <x:c r="C49" s="28" t="str">
        <x:v>control</x:v>
      </x:c>
      <x:c r="D49" s="28" t="str">
        <x:v>C16</x:v>
      </x:c>
      <x:c r="E49" s="28" t="n">
        <x:v>2</x:v>
      </x:c>
      <x:c r="F49" s="28" t="n">
        <x:v>2</x:v>
      </x:c>
      <x:c r="G49" s="28" t="str">
        <x:f>IF(E49=F49,"PASS","FAIL")</x:f>
        <x:v>PASS</x:v>
      </x:c>
    </x:row>
    <x:row r="50">
      <x:c r="B50" s="28" t="str">
        <x:v>A044</x:v>
      </x:c>
      <x:c r="C50" s="28" t="str">
        <x:v>control</x:v>
      </x:c>
      <x:c r="D50" s="28" t="str">
        <x:v>C17</x:v>
      </x:c>
      <x:c r="E50" s="28" t="n">
        <x:v>720</x:v>
      </x:c>
      <x:c r="F50" s="28" t="n">
        <x:v>720</x:v>
      </x:c>
      <x:c r="G50" s="28" t="str">
        <x:f>IF(E50=F50,"PASS","FAIL")</x:f>
        <x:v>PASS</x:v>
      </x:c>
    </x:row>
    <x:row r="51">
      <x:c r="B51" s="28" t="str">
        <x:v>A045</x:v>
      </x:c>
      <x:c r="C51" s="28" t="str">
        <x:v>control</x:v>
      </x:c>
      <x:c r="D51" s="28" t="str">
        <x:v>C18</x:v>
      </x:c>
      <x:c r="E51" s="28" t="n">
        <x:v>576</x:v>
      </x:c>
      <x:c r="F51" s="28" t="n">
        <x:v>576</x:v>
      </x:c>
      <x:c r="G51" s="28" t="str">
        <x:f>IF(E51=F51,"PASS","FAIL")</x:f>
        <x:v>PASS</x:v>
      </x:c>
    </x:row>
    <x:row r="52">
      <x:c r="B52" s="28" t="str">
        <x:v>A046</x:v>
      </x:c>
      <x:c r="C52" s="28" t="str">
        <x:v>control</x:v>
      </x:c>
      <x:c r="D52" s="28" t="str">
        <x:v>C19</x:v>
      </x:c>
      <x:c r="E52" s="28" t="n">
        <x:v>18</x:v>
      </x:c>
      <x:c r="F52" s="28" t="n">
        <x:v>18</x:v>
      </x:c>
      <x:c r="G52" s="28" t="str">
        <x:f>IF(E52=F52,"PASS","FAIL")</x:f>
        <x:v>PASS</x:v>
      </x:c>
    </x:row>
    <x:row r="53">
      <x:c r="B53" s="28" t="str">
        <x:v>A047</x:v>
      </x:c>
      <x:c r="C53" s="28" t="str">
        <x:v>control</x:v>
      </x:c>
      <x:c r="D53" s="28" t="str">
        <x:v>C20</x:v>
      </x:c>
      <x:c r="E53" s="28" t="n">
        <x:v>264</x:v>
      </x:c>
      <x:c r="F53" s="28" t="n">
        <x:v>264</x:v>
      </x:c>
      <x:c r="G53" s="28" t="str">
        <x:f>IF(E53=F53,"PASS","FAIL")</x:f>
        <x:v>PASS</x:v>
      </x:c>
    </x:row>
    <x:row r="54">
      <x:c r="B54" s="28" t="str">
        <x:v>A048</x:v>
      </x:c>
      <x:c r="C54" s="28" t="str">
        <x:v>control</x:v>
      </x:c>
      <x:c r="D54" s="28" t="str">
        <x:v>C21</x:v>
      </x:c>
      <x:c r="E54" s="28" t="n">
        <x:v>1</x:v>
      </x:c>
      <x:c r="F54" s="28" t="n">
        <x:v>1</x:v>
      </x:c>
      <x:c r="G54" s="28" t="str">
        <x:f>IF(E54=F54,"PASS","FAIL")</x:f>
        <x:v>PASS</x:v>
      </x:c>
    </x:row>
    <x:row r="55">
      <x:c r="B55" s="28" t="str">
        <x:v>A049</x:v>
      </x:c>
      <x:c r="C55" s="28" t="str">
        <x:v>control</x:v>
      </x:c>
      <x:c r="D55" s="28" t="str">
        <x:v>C22</x:v>
      </x:c>
      <x:c r="E55" s="28" t="n">
        <x:v>1</x:v>
      </x:c>
      <x:c r="F55" s="28" t="n">
        <x:v>1</x:v>
      </x:c>
      <x:c r="G55" s="28" t="str">
        <x:f>IF(E55=F55,"PASS","FAIL")</x:f>
        <x:v>PASS</x:v>
      </x:c>
    </x:row>
    <x:row r="56">
      <x:c r="B56" s="28" t="str">
        <x:v>A050</x:v>
      </x:c>
      <x:c r="C56" s="28" t="str">
        <x:v>control</x:v>
      </x:c>
      <x:c r="D56" s="28" t="str">
        <x:v>C23</x:v>
      </x:c>
      <x:c r="E56" s="28" t="n">
        <x:v>2</x:v>
      </x:c>
      <x:c r="F56" s="28" t="n">
        <x:v>2</x:v>
      </x:c>
      <x:c r="G56" s="28" t="str">
        <x:f>IF(E56=F56,"PASS","FAIL")</x:f>
        <x:v>PASS</x:v>
      </x:c>
    </x:row>
    <x:row r="57">
      <x:c r="B57" s="28" t="str">
        <x:v>A051</x:v>
      </x:c>
      <x:c r="C57" s="28" t="str">
        <x:v>control</x:v>
      </x:c>
      <x:c r="D57" s="28" t="str">
        <x:v>C24</x:v>
      </x:c>
      <x:c r="E57" s="28" t="n">
        <x:v>12</x:v>
      </x:c>
      <x:c r="F57" s="28" t="n">
        <x:v>12</x:v>
      </x:c>
      <x:c r="G57" s="28" t="str">
        <x:f>IF(E57=F57,"PASS","FAIL")</x:f>
        <x:v>PASS</x:v>
      </x:c>
    </x:row>
    <x:row r="58">
      <x:c r="B58" s="28" t="str">
        <x:v>A052</x:v>
      </x:c>
      <x:c r="C58" s="28" t="str">
        <x:v>control</x:v>
      </x:c>
      <x:c r="D58" s="28" t="str">
        <x:v>C25</x:v>
      </x:c>
      <x:c r="E58" s="28" t="n">
        <x:v>12</x:v>
      </x:c>
      <x:c r="F58" s="28" t="n">
        <x:v>12</x:v>
      </x:c>
      <x:c r="G58" s="28" t="str">
        <x:f>IF(E58=F58,"PASS","FAIL")</x:f>
        <x:v>PASS</x:v>
      </x:c>
    </x:row>
    <x:row r="59">
      <x:c r="B59" s="28" t="str">
        <x:v>A053</x:v>
      </x:c>
      <x:c r="C59" s="28" t="str">
        <x:v>control</x:v>
      </x:c>
      <x:c r="D59" s="28" t="str">
        <x:v>C26</x:v>
      </x:c>
      <x:c r="E59" s="28" t="n">
        <x:v>0.05</x:v>
      </x:c>
      <x:c r="F59" s="28" t="n">
        <x:v>0.05</x:v>
      </x:c>
      <x:c r="G59" s="28" t="str">
        <x:f>IF(E59=F59,"PASS","FAIL")</x:f>
        <x:v>PASS</x:v>
      </x:c>
    </x:row>
    <x:row r="60">
      <x:c r="B60" s="28" t="str">
        <x:v>A054</x:v>
      </x:c>
      <x:c r="C60" s="28" t="str">
        <x:v>control</x:v>
      </x:c>
      <x:c r="D60" s="28" t="str">
        <x:v>C27</x:v>
      </x:c>
      <x:c r="E60" s="28" t="n">
        <x:v>0.0125</x:v>
      </x:c>
      <x:c r="F60" s="28" t="n">
        <x:v>0.0125</x:v>
      </x:c>
      <x:c r="G60" s="28" t="str">
        <x:f>IF(E60=F60,"PASS","FAIL")</x:f>
        <x:v>PASS</x:v>
      </x:c>
    </x:row>
    <x:row r="61">
      <x:c r="B61" s="28" t="str">
        <x:v>A055</x:v>
      </x:c>
      <x:c r="C61" s="28" t="str">
        <x:v>control</x:v>
      </x:c>
      <x:c r="D61" s="28" t="str">
        <x:v>C28</x:v>
      </x:c>
      <x:c r="E61" s="28" t="n">
        <x:v>6</x:v>
      </x:c>
      <x:c r="F61" s="28" t="n">
        <x:v>6</x:v>
      </x:c>
      <x:c r="G61" s="28" t="str">
        <x:f>IF(E61=F61,"PASS","FAIL")</x:f>
        <x:v>PASS</x:v>
      </x:c>
    </x:row>
    <x:row r="62">
      <x:c r="B62" s="28" t="str">
        <x:v>A056</x:v>
      </x:c>
      <x:c r="C62" s="28" t="str">
        <x:v>control</x:v>
      </x:c>
      <x:c r="D62" s="28" t="str">
        <x:v>C29</x:v>
      </x:c>
      <x:c r="E62" s="28" t="n">
        <x:v>4</x:v>
      </x:c>
      <x:c r="F62" s="28" t="n">
        <x:v>4</x:v>
      </x:c>
      <x:c r="G62" s="28" t="str">
        <x:f>IF(E62=F62,"PASS","FAIL")</x:f>
        <x:v>PASS</x:v>
      </x:c>
    </x:row>
    <x:row r="63">
      <x:c r="B63" s="28" t="str">
        <x:v>A057</x:v>
      </x:c>
      <x:c r="C63" s="28" t="str">
        <x:v>control</x:v>
      </x:c>
      <x:c r="D63" s="28" t="str">
        <x:v>C30</x:v>
      </x:c>
      <x:c r="E63" s="28" t="n">
        <x:v>3</x:v>
      </x:c>
      <x:c r="F63" s="28" t="n">
        <x:v>3</x:v>
      </x:c>
      <x:c r="G63" s="28" t="str">
        <x:f>IF(E63=F63,"PASS","FAIL")</x:f>
        <x:v>PASS</x:v>
      </x:c>
    </x:row>
    <x:row r="64">
      <x:c r="B64" s="28" t="str">
        <x:v>A058</x:v>
      </x:c>
      <x:c r="C64" s="28" t="str">
        <x:v>control</x:v>
      </x:c>
      <x:c r="D64" s="28" t="str">
        <x:v>C31</x:v>
      </x:c>
      <x:c r="E64" s="28" t="n">
        <x:v>32</x:v>
      </x:c>
      <x:c r="F64" s="28" t="n">
        <x:v>32</x:v>
      </x:c>
      <x:c r="G64" s="28" t="str">
        <x:f>IF(E64=F64,"PASS","FAIL")</x:f>
        <x:v>PASS</x:v>
      </x:c>
    </x:row>
    <x:row r="65">
      <x:c r="B65" s="28" t="str">
        <x:v>A059</x:v>
      </x:c>
      <x:c r="C65" s="28" t="str">
        <x:v>control</x:v>
      </x:c>
      <x:c r="D65" s="28" t="str">
        <x:v>C32</x:v>
      </x:c>
      <x:c r="E65" s="28" t="n">
        <x:v>40</x:v>
      </x:c>
      <x:c r="F65" s="28" t="n">
        <x:v>40</x:v>
      </x:c>
      <x:c r="G65" s="28" t="str">
        <x:f>IF(E65=F65,"PASS","FAIL")</x:f>
        <x:v>PASS</x:v>
      </x:c>
    </x:row>
    <x:row r="66">
      <x:c r="B66" s="28" t="str">
        <x:v>A060</x:v>
      </x:c>
      <x:c r="C66" s="28" t="str">
        <x:v>control</x:v>
      </x:c>
      <x:c r="D66" s="28" t="str">
        <x:v>C33</x:v>
      </x:c>
      <x:c r="E66" s="28" t="n">
        <x:v>240</x:v>
      </x:c>
      <x:c r="F66" s="28" t="n">
        <x:v>240</x:v>
      </x:c>
      <x:c r="G66" s="28" t="str">
        <x:f>IF(E66=F66,"PASS","FAIL")</x:f>
        <x:v>PASS</x:v>
      </x:c>
    </x:row>
    <x:row r="67">
      <x:c r="B67" s="28" t="str">
        <x:v>A061</x:v>
      </x:c>
      <x:c r="C67" s="28" t="str">
        <x:v>control</x:v>
      </x:c>
      <x:c r="D67" s="28" t="str">
        <x:v>C34</x:v>
      </x:c>
      <x:c r="E67" s="28" t="n">
        <x:v>117.659</x:v>
      </x:c>
      <x:c r="F67" s="28" t="n">
        <x:v>117.659</x:v>
      </x:c>
      <x:c r="G67" s="28" t="str">
        <x:f>IF(E67=F67,"PASS","FAIL")</x:f>
        <x:v>PASS</x:v>
      </x:c>
    </x:row>
    <x:row r="68">
      <x:c r="B68" s="28" t="str">
        <x:v>A062</x:v>
      </x:c>
      <x:c r="C68" s="28" t="str">
        <x:v>control</x:v>
      </x:c>
      <x:c r="D68" s="28" t="str">
        <x:v>C35</x:v>
      </x:c>
      <x:c r="E68" s="28" t="n">
        <x:v>152.9567</x:v>
      </x:c>
      <x:c r="F68" s="28" t="n">
        <x:v>152.9567</x:v>
      </x:c>
      <x:c r="G68" s="28" t="str">
        <x:f>IF(E68=F68,"PASS","FAIL")</x:f>
        <x:v>PASS</x:v>
      </x:c>
    </x:row>
    <x:row r="69">
      <x:c r="B69" s="28" t="str">
        <x:v>A063</x:v>
      </x:c>
      <x:c r="C69" s="28" t="str">
        <x:v>control</x:v>
      </x:c>
      <x:c r="D69" s="28" t="str">
        <x:v>C36</x:v>
      </x:c>
      <x:c r="E69" s="28" t="n">
        <x:v>2823.816</x:v>
      </x:c>
      <x:c r="F69" s="28" t="n">
        <x:v>2823.816</x:v>
      </x:c>
      <x:c r="G69" s="28" t="str">
        <x:f>IF(E69=F69,"PASS","FAIL")</x:f>
        <x:v>PASS</x:v>
      </x:c>
    </x:row>
    <x:row r="70">
      <x:c r="B70" s="28" t="str">
        <x:v>A064</x:v>
      </x:c>
      <x:c r="C70" s="28" t="str">
        <x:v>control</x:v>
      </x:c>
      <x:c r="D70" s="28" t="str">
        <x:v>C37</x:v>
      </x:c>
      <x:c r="E70" s="28" t="n">
        <x:v>3670.9608</x:v>
      </x:c>
      <x:c r="F70" s="28" t="n">
        <x:v>3670.9608</x:v>
      </x:c>
      <x:c r="G70" s="28" t="str">
        <x:f>IF(E70=F70,"PASS","FAIL")</x:f>
        <x:v>PASS</x:v>
      </x:c>
    </x:row>
    <x:row r="71">
      <x:c r="B71" s="28" t="str">
        <x:v>A065</x:v>
      </x:c>
      <x:c r="C71" s="28" t="str">
        <x:v>control</x:v>
      </x:c>
      <x:c r="D71" s="28" t="str">
        <x:v>C38</x:v>
      </x:c>
      <x:c r="E71" s="28" t="n">
        <x:v>3529.77</x:v>
      </x:c>
      <x:c r="F71" s="28" t="n">
        <x:v>3529.77</x:v>
      </x:c>
      <x:c r="G71" s="28" t="str">
        <x:f>IF(E71=F71,"PASS","FAIL")</x:f>
        <x:v>PASS</x:v>
      </x:c>
    </x:row>
    <x:row r="72">
      <x:c r="B72" s="28" t="str">
        <x:v>A066</x:v>
      </x:c>
      <x:c r="C72" s="28" t="str">
        <x:v>control</x:v>
      </x:c>
      <x:c r="D72" s="28" t="str">
        <x:v>C39</x:v>
      </x:c>
      <x:c r="E72" s="28" t="n">
        <x:v>4588.701</x:v>
      </x:c>
      <x:c r="F72" s="28" t="n">
        <x:v>4588.701</x:v>
      </x:c>
      <x:c r="G72" s="28" t="str">
        <x:f>IF(E72=F72,"PASS","FAIL")</x:f>
        <x:v>PASS</x:v>
      </x:c>
    </x:row>
    <x:row r="73">
      <x:c r="B73" s="28" t="str">
        <x:v>A067</x:v>
      </x:c>
      <x:c r="C73" s="28" t="str">
        <x:v>control</x:v>
      </x:c>
      <x:c r="D73" s="28" t="str">
        <x:v>C40</x:v>
      </x:c>
      <x:c r="E73" s="28" t="n">
        <x:v>0.88</x:v>
      </x:c>
      <x:c r="F73" s="28" t="n">
        <x:v>0.88</x:v>
      </x:c>
      <x:c r="G73" s="28" t="str">
        <x:f>IF(E73=F73,"PASS","FAIL")</x:f>
        <x:v>PASS</x:v>
      </x:c>
    </x:row>
    <x:row r="74">
      <x:c r="B74" s="28" t="str">
        <x:v>A068</x:v>
      </x:c>
      <x:c r="C74" s="28" t="str">
        <x:v>control</x:v>
      </x:c>
      <x:c r="D74" s="28" t="str">
        <x:v>C41</x:v>
      </x:c>
      <x:c r="E74" s="28" t="n">
        <x:v>0.9393926331</x:v>
      </x:c>
      <x:c r="F74" s="28" t="n">
        <x:v>0.9393926331</x:v>
      </x:c>
      <x:c r="G74" s="28" t="str">
        <x:f>IF(E74=F74,"PASS","FAIL")</x:f>
        <x:v>PASS</x:v>
      </x:c>
    </x:row>
    <x:row r="75">
      <x:c r="B75" s="28" t="str">
        <x:v>A069</x:v>
      </x:c>
      <x:c r="C75" s="28" t="str">
        <x:v>control</x:v>
      </x:c>
      <x:c r="D75" s="28" t="str">
        <x:v>ACLE</x:v>
      </x:c>
      <x:c r="E75" s="28" t="n">
        <x:v>0.882703</x:v>
      </x:c>
      <x:c r="F75" s="28" t="n">
        <x:v>0.882703</x:v>
      </x:c>
      <x:c r="G75" s="28" t="str">
        <x:f>IF(E75=F75,"PASS","FAIL")</x:f>
        <x:v>PASS</x:v>
      </x:c>
    </x:row>
    <x:row r="76">
      <x:c r="B76" s="28" t="str">
        <x:v>A070</x:v>
      </x:c>
      <x:c r="C76" s="28" t="str">
        <x:v>control</x:v>
      </x:c>
      <x:c r="D76" s="28" t="str">
        <x:v>C43</x:v>
      </x:c>
      <x:c r="E76" s="28" t="n">
        <x:v>8</x:v>
      </x:c>
      <x:c r="F76" s="28" t="n">
        <x:v>8</x:v>
      </x:c>
      <x:c r="G76" s="28" t="str">
        <x:f>IF(E76=F76,"PASS","FAIL")</x:f>
        <x:v>PASS</x:v>
      </x:c>
    </x:row>
    <x:row r="77">
      <x:c r="B77" s="28" t="str">
        <x:v>A071</x:v>
      </x:c>
      <x:c r="C77" s="28" t="str">
        <x:v>control</x:v>
      </x:c>
      <x:c r="D77" s="28" t="str">
        <x:v>C44</x:v>
      </x:c>
      <x:c r="E77" s="28" t="n">
        <x:v>90</x:v>
      </x:c>
      <x:c r="F77" s="28" t="n">
        <x:v>90</x:v>
      </x:c>
      <x:c r="G77" s="28" t="str">
        <x:f>IF(E77=F77,"PASS","FAIL")</x:f>
        <x:v>PASS</x:v>
      </x:c>
    </x:row>
    <x:row r="78">
      <x:c r="B78" s="28" t="str">
        <x:v>A072</x:v>
      </x:c>
      <x:c r="C78" s="28" t="str">
        <x:v>control</x:v>
      </x:c>
      <x:c r="D78" s="28" t="str">
        <x:v>C45</x:v>
      </x:c>
      <x:c r="E78" s="28" t="n">
        <x:v>66</x:v>
      </x:c>
      <x:c r="F78" s="28" t="n">
        <x:v>66</x:v>
      </x:c>
      <x:c r="G78" s="28" t="str">
        <x:f>IF(E78=F78,"PASS","FAIL")</x:f>
        <x:v>PASS</x:v>
      </x:c>
    </x:row>
    <x:row r="79">
      <x:c r="B79" s="28" t="str">
        <x:v>A073</x:v>
      </x:c>
      <x:c r="C79" s="28" t="str">
        <x:v>control</x:v>
      </x:c>
      <x:c r="D79" s="28" t="str">
        <x:v>C46</x:v>
      </x:c>
      <x:c r="E79" s="28" t="n">
        <x:v>24</x:v>
      </x:c>
      <x:c r="F79" s="28" t="n">
        <x:v>24</x:v>
      </x:c>
      <x:c r="G79" s="28" t="str">
        <x:f>IF(E79=F79,"PASS","FAIL")</x:f>
        <x:v>PASS</x:v>
      </x:c>
    </x:row>
    <x:row r="80">
      <x:c r="B80" s="28" t="str">
        <x:v>A074</x:v>
      </x:c>
      <x:c r="C80" s="28" t="str">
        <x:v>control</x:v>
      </x:c>
      <x:c r="D80" s="28" t="str">
        <x:v>C47</x:v>
      </x:c>
      <x:c r="E80" s="28" t="n">
        <x:v>42</x:v>
      </x:c>
      <x:c r="F80" s="28" t="n">
        <x:v>42</x:v>
      </x:c>
      <x:c r="G80" s="28" t="str">
        <x:f>IF(E80=F80,"PASS","FAIL")</x:f>
        <x:v>PASS</x:v>
      </x:c>
    </x:row>
    <x:row r="81">
      <x:c r="B81" s="28" t="str">
        <x:v>A075</x:v>
      </x:c>
      <x:c r="C81" s="28" t="str">
        <x:v>control</x:v>
      </x:c>
      <x:c r="D81" s="28" t="str">
        <x:v>C48</x:v>
      </x:c>
      <x:c r="E81" s="28" t="n">
        <x:v>16</x:v>
      </x:c>
      <x:c r="F81" s="28" t="n">
        <x:v>16</x:v>
      </x:c>
      <x:c r="G81" s="28" t="str">
        <x:f>IF(E81=F81,"PASS","FAIL")</x:f>
        <x:v>PASS</x:v>
      </x:c>
    </x:row>
    <x:row r="82">
      <x:c r="B82" s="28" t="str">
        <x:v>A076</x:v>
      </x:c>
      <x:c r="C82" s="28" t="str">
        <x:v>control</x:v>
      </x:c>
      <x:c r="D82" s="28" t="str">
        <x:v>C49</x:v>
      </x:c>
      <x:c r="E82" s="28" t="n">
        <x:v>6</x:v>
      </x:c>
      <x:c r="F82" s="28" t="n">
        <x:v>6</x:v>
      </x:c>
      <x:c r="G82" s="28" t="str">
        <x:f>IF(E82=F82,"PASS","FAIL")</x:f>
        <x:v>PASS</x:v>
      </x:c>
    </x:row>
    <x:row r="83">
      <x:c r="B83" s="28" t="str">
        <x:v>A077</x:v>
      </x:c>
      <x:c r="C83" s="28" t="str">
        <x:v>control</x:v>
      </x:c>
      <x:c r="D83" s="28" t="str">
        <x:v>C50</x:v>
      </x:c>
      <x:c r="E83" s="28" t="n">
        <x:v>20</x:v>
      </x:c>
      <x:c r="F83" s="28" t="n">
        <x:v>20</x:v>
      </x:c>
      <x:c r="G83" s="28" t="str">
        <x:f>IF(E83=F83,"PASS","FAIL")</x:f>
        <x:v>PASS</x:v>
      </x:c>
    </x:row>
    <x:row r="84">
      <x:c r="B84" s="28" t="str">
        <x:v>A078</x:v>
      </x:c>
      <x:c r="C84" s="28" t="str">
        <x:v>control</x:v>
      </x:c>
      <x:c r="D84" s="28" t="str">
        <x:v>C51</x:v>
      </x:c>
      <x:c r="E84" s="28" t="n">
        <x:v>360</x:v>
      </x:c>
      <x:c r="F84" s="28" t="n">
        <x:v>360</x:v>
      </x:c>
      <x:c r="G84" s="28" t="str">
        <x:f>IF(E84=F84,"PASS","FAIL")</x:f>
        <x:v>PASS</x:v>
      </x:c>
    </x:row>
    <x:row r="85">
      <x:c r="B85" s="28" t="str">
        <x:v>A079</x:v>
      </x:c>
      <x:c r="C85" s="28" t="str">
        <x:v>control</x:v>
      </x:c>
      <x:c r="D85" s="28" t="str">
        <x:v>C52</x:v>
      </x:c>
      <x:c r="E85" s="28" t="n">
        <x:v>344</x:v>
      </x:c>
      <x:c r="F85" s="28" t="n">
        <x:v>344</x:v>
      </x:c>
      <x:c r="G85" s="28" t="str">
        <x:f>IF(E85=F85,"PASS","FAIL")</x:f>
        <x:v>PASS</x:v>
      </x:c>
    </x:row>
    <x:row r="86">
      <x:c r="B86" s="28" t="str">
        <x:v>A080</x:v>
      </x:c>
      <x:c r="C86" s="28" t="str">
        <x:v>control</x:v>
      </x:c>
      <x:c r="D86" s="28" t="str">
        <x:v>C53</x:v>
      </x:c>
      <x:c r="E86" s="28" t="n">
        <x:v>0</x:v>
      </x:c>
      <x:c r="F86" s="28" t="n">
        <x:v>0</x:v>
      </x:c>
      <x:c r="G86" s="28" t="str">
        <x:f>IF(E86=F86,"PASS","FAIL")</x:f>
        <x:v>PASS</x:v>
      </x:c>
    </x:row>
    <x:row r="87">
      <x:c r="B87" s="28" t="str">
        <x:v>A081</x:v>
      </x:c>
      <x:c r="C87" s="28" t="str">
        <x:v>control</x:v>
      </x:c>
      <x:c r="D87" s="28" t="str">
        <x:v>C54</x:v>
      </x:c>
      <x:c r="E87" s="28" t="n">
        <x:v>168</x:v>
      </x:c>
      <x:c r="F87" s="28" t="n">
        <x:v>168</x:v>
      </x:c>
      <x:c r="G87" s="28" t="str">
        <x:f>IF(E87=F87,"PASS","FAIL")</x:f>
        <x:v>PASS</x:v>
      </x:c>
    </x:row>
    <x:row r="88">
      <x:c r="B88" s="28" t="str">
        <x:v>A082</x:v>
      </x:c>
      <x:c r="C88" s="28" t="str">
        <x:v>control</x:v>
      </x:c>
      <x:c r="D88" s="28" t="str">
        <x:v>C55</x:v>
      </x:c>
      <x:c r="E88" s="28" t="n">
        <x:v>162</x:v>
      </x:c>
      <x:c r="F88" s="28" t="n">
        <x:v>162</x:v>
      </x:c>
      <x:c r="G88" s="28" t="str">
        <x:f>IF(E88=F88,"PASS","FAIL")</x:f>
        <x:v>PASS</x:v>
      </x:c>
    </x:row>
    <x:row r="89">
      <x:c r="B89" s="28" t="str">
        <x:v>A083</x:v>
      </x:c>
      <x:c r="C89" s="28" t="str">
        <x:v>control</x:v>
      </x:c>
      <x:c r="D89" s="28" t="str">
        <x:v>C56</x:v>
      </x:c>
      <x:c r="E89" s="28" t="n">
        <x:v>0</x:v>
      </x:c>
      <x:c r="F89" s="28" t="n">
        <x:v>0</x:v>
      </x:c>
      <x:c r="G89" s="28" t="str">
        <x:f>IF(E89=F89,"PASS","FAIL")</x:f>
        <x:v>PASS</x:v>
      </x:c>
    </x:row>
    <x:row r="90">
      <x:c r="B90" s="28" t="str">
        <x:v>A084</x:v>
      </x:c>
      <x:c r="C90" s="28" t="str">
        <x:v>control</x:v>
      </x:c>
      <x:c r="D90" s="28" t="str">
        <x:v>C57</x:v>
      </x:c>
      <x:c r="E90" s="28" t="n">
        <x:v>470</x:v>
      </x:c>
      <x:c r="F90" s="28" t="n">
        <x:v>470</x:v>
      </x:c>
      <x:c r="G90" s="28" t="str">
        <x:f>IF(E90=F90,"PASS","FAIL")</x:f>
        <x:v>PASS</x:v>
      </x:c>
    </x:row>
    <x:row r="91">
      <x:c r="B91" s="28" t="str">
        <x:v>A085</x:v>
      </x:c>
      <x:c r="C91" s="28" t="str">
        <x:v>control</x:v>
      </x:c>
      <x:c r="D91" s="28" t="str">
        <x:v>C58</x:v>
      </x:c>
      <x:c r="E91" s="28" t="n">
        <x:v>434</x:v>
      </x:c>
      <x:c r="F91" s="28" t="n">
        <x:v>434</x:v>
      </x:c>
      <x:c r="G91" s="28" t="str">
        <x:f>IF(E91=F91,"PASS","FAIL")</x:f>
        <x:v>PASS</x:v>
      </x:c>
    </x:row>
    <x:row r="92">
      <x:c r="B92" s="28" t="str">
        <x:v>A086</x:v>
      </x:c>
      <x:c r="C92" s="28" t="str">
        <x:v>control</x:v>
      </x:c>
      <x:c r="D92" s="28" t="str">
        <x:v>C59</x:v>
      </x:c>
      <x:c r="E92" s="28" t="n">
        <x:v>36</x:v>
      </x:c>
      <x:c r="F92" s="28" t="n">
        <x:v>36</x:v>
      </x:c>
      <x:c r="G92" s="28" t="str">
        <x:f>IF(E92=F92,"PASS","FAIL")</x:f>
        <x:v>PASS</x:v>
      </x:c>
    </x:row>
    <x:row r="93">
      <x:c r="B93" s="28" t="str">
        <x:v>A087</x:v>
      </x:c>
      <x:c r="C93" s="28" t="str">
        <x:v>control</x:v>
      </x:c>
      <x:c r="D93" s="28" t="str">
        <x:v>C60</x:v>
      </x:c>
      <x:c r="E93" s="28" t="n">
        <x:v>0</x:v>
      </x:c>
      <x:c r="F93" s="28" t="n">
        <x:v>0</x:v>
      </x:c>
      <x:c r="G93" s="28" t="str">
        <x:f>IF(E93=F93,"PASS","FAIL")</x:f>
        <x:v>PASS</x:v>
      </x:c>
    </x:row>
    <x:row r="94">
      <x:c r="B94" s="28" t="str">
        <x:v>A088</x:v>
      </x:c>
      <x:c r="C94" s="28" t="str">
        <x:v>control</x:v>
      </x:c>
      <x:c r="D94" s="28" t="str">
        <x:v>C61</x:v>
      </x:c>
      <x:c r="E94" s="28" t="n">
        <x:v>588</x:v>
      </x:c>
      <x:c r="F94" s="28" t="n">
        <x:v>588</x:v>
      </x:c>
      <x:c r="G94" s="28" t="str">
        <x:f>IF(E94=F94,"PASS","FAIL")</x:f>
        <x:v>PASS</x:v>
      </x:c>
    </x:row>
    <x:row r="95">
      <x:c r="B95" s="28" t="str">
        <x:v>A089</x:v>
      </x:c>
      <x:c r="C95" s="28" t="str">
        <x:v>control</x:v>
      </x:c>
      <x:c r="D95" s="28" t="str">
        <x:v>C62</x:v>
      </x:c>
      <x:c r="E95" s="28" t="n">
        <x:v>608</x:v>
      </x:c>
      <x:c r="F95" s="28" t="n">
        <x:v>608</x:v>
      </x:c>
      <x:c r="G95" s="28" t="str">
        <x:f>IF(E95=F95,"PASS","FAIL")</x:f>
        <x:v>PASS</x:v>
      </x:c>
    </x:row>
    <x:row r="96">
      <x:c r="B96" s="28" t="str">
        <x:v>A090</x:v>
      </x:c>
      <x:c r="C96" s="28" t="str">
        <x:v>control</x:v>
      </x:c>
      <x:c r="D96" s="28" t="str">
        <x:v>C63</x:v>
      </x:c>
      <x:c r="E96" s="28" t="n">
        <x:v>696</x:v>
      </x:c>
      <x:c r="F96" s="28" t="n">
        <x:v>696</x:v>
      </x:c>
      <x:c r="G96" s="28" t="str">
        <x:f>IF(E96=F96,"PASS","FAIL")</x:f>
        <x:v>PASS</x:v>
      </x:c>
    </x:row>
    <x:row r="97">
      <x:c r="B97" s="28" t="str">
        <x:v>A091</x:v>
      </x:c>
      <x:c r="C97" s="28" t="str">
        <x:v>control</x:v>
      </x:c>
      <x:c r="D97" s="28" t="str">
        <x:v>C64</x:v>
      </x:c>
      <x:c r="E97" s="28" t="n">
        <x:v>88</x:v>
      </x:c>
      <x:c r="F97" s="28" t="n">
        <x:v>88</x:v>
      </x:c>
      <x:c r="G97" s="28" t="str">
        <x:f>IF(E97=F97,"PASS","FAIL")</x:f>
        <x:v>PASS</x:v>
      </x:c>
    </x:row>
    <x:row r="98">
      <x:c r="B98" s="28" t="str">
        <x:v>A092</x:v>
      </x:c>
      <x:c r="C98" s="28" t="str">
        <x:v>baseline</x:v>
      </x:c>
      <x:c r="D98" s="28" t="str">
        <x:v>schedule transform open</x:v>
      </x:c>
      <x:c r="E98" s="28" t="n">
        <x:f>COUNTIFS('Schedule Transform'!E13,"OPEN")</x:f>
        <x:v>1</x:v>
      </x:c>
      <x:c r="F98" s="28" t="n">
        <x:v>1</x:v>
      </x:c>
      <x:c r="G98" s="28" t="str">
        <x:f>IF(E98=F98,"PASS","FAIL")</x:f>
        <x:v>PASS</x:v>
      </x:c>
    </x:row>
    <x:row r="99">
      <x:c r="B99" s="28" t="str">
        <x:v>A093</x:v>
      </x:c>
      <x:c r="C99" s="28" t="str">
        <x:v>baseline</x:v>
      </x:c>
      <x:c r="D99" s="28" t="str">
        <x:v>wave schedule open</x:v>
      </x:c>
      <x:c r="E99" s="28" t="n">
        <x:f>COUNTIFS('Wave Schedule'!L7:L30,"OPEN")</x:f>
        <x:v>24</x:v>
      </x:c>
      <x:c r="F99" s="28" t="n">
        <x:v>24</x:v>
      </x:c>
      <x:c r="G99" s="28" t="str">
        <x:f>IF(E99=F99,"PASS","FAIL")</x:f>
        <x:v>PASS</x:v>
      </x:c>
    </x:row>
    <x:row r="100">
      <x:c r="B100" s="28" t="str">
        <x:v>A094</x:v>
      </x:c>
      <x:c r="C100" s="28" t="str">
        <x:v>baseline</x:v>
      </x:c>
      <x:c r="D100" s="28" t="str">
        <x:v>primary tokens open</x:v>
      </x:c>
      <x:c r="E100" s="28" t="n">
        <x:f>COUNTIFS('Attempt Tokens'!I7:I30,"OPEN")</x:f>
        <x:v>24</x:v>
      </x:c>
      <x:c r="F100" s="28" t="n">
        <x:v>24</x:v>
      </x:c>
      <x:c r="G100" s="28" t="str">
        <x:f>IF(E100=F100,"PASS","FAIL")</x:f>
        <x:v>PASS</x:v>
      </x:c>
    </x:row>
    <x:row r="101">
      <x:c r="B101" s="28" t="str">
        <x:v>A095</x:v>
      </x:c>
      <x:c r="C101" s="28" t="str">
        <x:v>baseline</x:v>
      </x:c>
      <x:c r="D101" s="28" t="str">
        <x:v>reserve tokens dormant</x:v>
      </x:c>
      <x:c r="E101" s="28" t="n">
        <x:f>COUNTIFS('Attempt Tokens'!I31:I36,"DORMANT")</x:f>
        <x:v>6</x:v>
      </x:c>
      <x:c r="F101" s="28" t="n">
        <x:v>6</x:v>
      </x:c>
      <x:c r="G101" s="28" t="str">
        <x:f>IF(E101=F101,"PASS","FAIL")</x:f>
        <x:v>PASS</x:v>
      </x:c>
    </x:row>
    <x:row r="102">
      <x:c r="B102" s="28" t="str">
        <x:v>A096</x:v>
      </x:c>
      <x:c r="C102" s="28" t="str">
        <x:v>baseline</x:v>
      </x:c>
      <x:c r="D102" s="28" t="str">
        <x:v>primary attempts open</x:v>
      </x:c>
      <x:c r="E102" s="28" t="n">
        <x:f>COUNTIFS('Attempt Register'!Q7:Q30,"OPEN")</x:f>
        <x:v>24</x:v>
      </x:c>
      <x:c r="F102" s="28" t="n">
        <x:v>24</x:v>
      </x:c>
      <x:c r="G102" s="28" t="str">
        <x:f>IF(E102=F102,"PASS","FAIL")</x:f>
        <x:v>PASS</x:v>
      </x:c>
    </x:row>
    <x:row r="103">
      <x:c r="B103" s="28" t="str">
        <x:v>A097</x:v>
      </x:c>
      <x:c r="C103" s="28" t="str">
        <x:v>baseline</x:v>
      </x:c>
      <x:c r="D103" s="28" t="str">
        <x:v>reserve attempts dormant</x:v>
      </x:c>
      <x:c r="E103" s="28" t="n">
        <x:f>COUNTIFS('Attempt Register'!Q31:Q36,"DORMANT")</x:f>
        <x:v>6</x:v>
      </x:c>
      <x:c r="F103" s="28" t="n">
        <x:v>6</x:v>
      </x:c>
      <x:c r="G103" s="28" t="str">
        <x:f>IF(E103=F103,"PASS","FAIL")</x:f>
        <x:v>PASS</x:v>
      </x:c>
    </x:row>
    <x:row r="104">
      <x:c r="B104" s="28" t="str">
        <x:v>A098</x:v>
      </x:c>
      <x:c r="C104" s="28" t="str">
        <x:v>baseline</x:v>
      </x:c>
      <x:c r="D104" s="28" t="str">
        <x:v>primary event gates open</x:v>
      </x:c>
      <x:c r="E104" s="28" t="n">
        <x:f>COUNTIFS('Event Packet Gates'!L7:L582,"OPEN")</x:f>
        <x:v>576</x:v>
      </x:c>
      <x:c r="F104" s="28" t="n">
        <x:v>576</x:v>
      </x:c>
      <x:c r="G104" s="28" t="str">
        <x:f>IF(E104=F104,"PASS","FAIL")</x:f>
        <x:v>PASS</x:v>
      </x:c>
    </x:row>
    <x:row r="105">
      <x:c r="B105" s="28" t="str">
        <x:v>A099</x:v>
      </x:c>
      <x:c r="C105" s="28" t="str">
        <x:v>baseline</x:v>
      </x:c>
      <x:c r="D105" s="28" t="str">
        <x:v>reserve event gates dormant</x:v>
      </x:c>
      <x:c r="E105" s="28" t="n">
        <x:f>COUNTIFS('Event Packet Gates'!L583:L726,"DORMANT")</x:f>
        <x:v>144</x:v>
      </x:c>
      <x:c r="F105" s="28" t="n">
        <x:v>144</x:v>
      </x:c>
      <x:c r="G105" s="28" t="str">
        <x:f>IF(E105=F105,"PASS","FAIL")</x:f>
        <x:v>PASS</x:v>
      </x:c>
    </x:row>
    <x:row r="106">
      <x:c r="B106" s="28" t="str">
        <x:v>A100</x:v>
      </x:c>
      <x:c r="C106" s="28" t="str">
        <x:v>baseline</x:v>
      </x:c>
      <x:c r="D106" s="28" t="str">
        <x:v>primary metrics open</x:v>
      </x:c>
      <x:c r="E106" s="28" t="n">
        <x:f>COUNTIFS('Event Metrics'!S7:S30,"OPEN")</x:f>
        <x:v>24</x:v>
      </x:c>
      <x:c r="F106" s="28" t="n">
        <x:v>24</x:v>
      </x:c>
      <x:c r="G106" s="28" t="str">
        <x:f>IF(E106=F106,"PASS","FAIL")</x:f>
        <x:v>PASS</x:v>
      </x:c>
    </x:row>
    <x:row r="107">
      <x:c r="B107" s="28" t="str">
        <x:v>A101</x:v>
      </x:c>
      <x:c r="C107" s="28" t="str">
        <x:v>baseline</x:v>
      </x:c>
      <x:c r="D107" s="28" t="str">
        <x:v>reserve metrics dormant</x:v>
      </x:c>
      <x:c r="E107" s="28" t="n">
        <x:f>COUNTIFS('Event Metrics'!S31:S36,"DORMANT")</x:f>
        <x:v>6</x:v>
      </x:c>
      <x:c r="F107" s="28" t="n">
        <x:v>6</x:v>
      </x:c>
      <x:c r="G107" s="28" t="str">
        <x:f>IF(E107=F107,"PASS","FAIL")</x:f>
        <x:v>PASS</x:v>
      </x:c>
    </x:row>
    <x:row r="108">
      <x:c r="B108" s="28" t="str">
        <x:v>A102</x:v>
      </x:c>
      <x:c r="C108" s="28" t="str">
        <x:v>baseline</x:v>
      </x:c>
      <x:c r="D108" s="28" t="str">
        <x:v>pair cycles open</x:v>
      </x:c>
      <x:c r="E108" s="28" t="n">
        <x:f>COUNTIFS('Pair Cycles'!M7:M30,"OPEN")</x:f>
        <x:v>24</x:v>
      </x:c>
      <x:c r="F108" s="28" t="n">
        <x:v>24</x:v>
      </x:c>
      <x:c r="G108" s="28" t="str">
        <x:f>IF(E108=F108,"PASS","FAIL")</x:f>
        <x:v>PASS</x:v>
      </x:c>
    </x:row>
    <x:row r="109">
      <x:c r="B109" s="28" t="str">
        <x:v>A103</x:v>
      </x:c>
      <x:c r="C109" s="28" t="str">
        <x:v>baseline</x:v>
      </x:c>
      <x:c r="D109" s="28" t="str">
        <x:v>crew rotations open</x:v>
      </x:c>
      <x:c r="E109" s="28" t="n">
        <x:f>COUNTIFS('Crew Rotations'!L7:L30,"OPEN")</x:f>
        <x:v>24</x:v>
      </x:c>
      <x:c r="F109" s="28" t="n">
        <x:v>24</x:v>
      </x:c>
      <x:c r="G109" s="28" t="str">
        <x:f>IF(E109=F109,"PASS","FAIL")</x:f>
        <x:v>PASS</x:v>
      </x:c>
    </x:row>
    <x:row r="110">
      <x:c r="B110" s="28" t="str">
        <x:v>A104</x:v>
      </x:c>
      <x:c r="C110" s="28" t="str">
        <x:v>baseline</x:v>
      </x:c>
      <x:c r="D110" s="28" t="str">
        <x:v>root deployments open</x:v>
      </x:c>
      <x:c r="E110" s="28" t="n">
        <x:f>COUNTIFS('Root Deployments'!K7:K30,"OPEN")</x:f>
        <x:v>24</x:v>
      </x:c>
      <x:c r="F110" s="28" t="n">
        <x:v>24</x:v>
      </x:c>
      <x:c r="G110" s="28" t="str">
        <x:f>IF(E110=F110,"PASS","FAIL")</x:f>
        <x:v>PASS</x:v>
      </x:c>
    </x:row>
    <x:row r="111">
      <x:c r="B111" s="28" t="str">
        <x:v>A105</x:v>
      </x:c>
      <x:c r="C111" s="28" t="str">
        <x:v>baseline</x:v>
      </x:c>
      <x:c r="D111" s="28" t="str">
        <x:v>transitions open</x:v>
      </x:c>
      <x:c r="E111" s="28" t="n">
        <x:f>COUNTIFS('Transition Audits'!Q7:Q24,"OPEN")</x:f>
        <x:v>18</x:v>
      </x:c>
      <x:c r="F111" s="28" t="n">
        <x:v>18</x:v>
      </x:c>
      <x:c r="G111" s="28" t="str">
        <x:f>IF(E111=F111,"PASS","FAIL")</x:f>
        <x:v>PASS</x:v>
      </x:c>
    </x:row>
    <x:row r="112">
      <x:c r="B112" s="28" t="str">
        <x:v>A106</x:v>
      </x:c>
      <x:c r="C112" s="28" t="str">
        <x:v>baseline</x:v>
      </x:c>
      <x:c r="D112" s="28" t="str">
        <x:v>primary replay open</x:v>
      </x:c>
      <x:c r="E112" s="28" t="n">
        <x:f>COUNTIFS('Evidence Replay'!M7:M582,"OPEN")</x:f>
        <x:v>576</x:v>
      </x:c>
      <x:c r="F112" s="28" t="n">
        <x:v>576</x:v>
      </x:c>
      <x:c r="G112" s="28" t="str">
        <x:f>IF(E112=F112,"PASS","FAIL")</x:f>
        <x:v>PASS</x:v>
      </x:c>
    </x:row>
    <x:row r="113">
      <x:c r="B113" s="28" t="str">
        <x:v>A107</x:v>
      </x:c>
      <x:c r="C113" s="28" t="str">
        <x:v>baseline</x:v>
      </x:c>
      <x:c r="D113" s="28" t="str">
        <x:v>reserve replay dormant</x:v>
      </x:c>
      <x:c r="E113" s="28" t="n">
        <x:f>COUNTIFS('Evidence Replay'!M583:M726,"DORMANT")</x:f>
        <x:v>144</x:v>
      </x:c>
      <x:c r="F113" s="28" t="n">
        <x:v>144</x:v>
      </x:c>
      <x:c r="G113" s="28" t="str">
        <x:f>IF(E113=F113,"PASS","FAIL")</x:f>
        <x:v>PASS</x:v>
      </x:c>
    </x:row>
    <x:row r="114">
      <x:c r="B114" s="28" t="str">
        <x:v>A108</x:v>
      </x:c>
      <x:c r="C114" s="28" t="str">
        <x:v>baseline</x:v>
      </x:c>
      <x:c r="D114" s="28" t="str">
        <x:v>cell credits open</x:v>
      </x:c>
      <x:c r="E114" s="28" t="n">
        <x:f>COUNTIFS('Cell Credits'!L7:L30,"OPEN")</x:f>
        <x:v>24</x:v>
      </x:c>
      <x:c r="F114" s="28" t="n">
        <x:v>24</x:v>
      </x:c>
      <x:c r="G114" s="28" t="str">
        <x:f>IF(E114=F114,"PASS","FAIL")</x:f>
        <x:v>PASS</x:v>
      </x:c>
    </x:row>
    <x:row r="115">
      <x:c r="B115" s="28" t="str">
        <x:v>A109</x:v>
      </x:c>
      <x:c r="C115" s="28" t="str">
        <x:v>baseline</x:v>
      </x:c>
      <x:c r="D115" s="28" t="str">
        <x:v>root contrasts open</x:v>
      </x:c>
      <x:c r="E115" s="28" t="n">
        <x:f>COUNTIFS('Root Contrasts'!M7:M18,"OPEN")</x:f>
        <x:v>12</x:v>
      </x:c>
      <x:c r="F115" s="28" t="n">
        <x:v>12</x:v>
      </x:c>
      <x:c r="G115" s="28" t="str">
        <x:f>IF(E115=F115,"PASS","FAIL")</x:f>
        <x:v>PASS</x:v>
      </x:c>
    </x:row>
    <x:row r="116">
      <x:c r="B116" s="28" t="str">
        <x:v>A110</x:v>
      </x:c>
      <x:c r="C116" s="28" t="str">
        <x:v>baseline</x:v>
      </x:c>
      <x:c r="D116" s="28" t="str">
        <x:v>method contrasts open</x:v>
      </x:c>
      <x:c r="E116" s="28" t="n">
        <x:f>COUNTIFS('Method Contrasts'!M7:M18,"OPEN")</x:f>
        <x:v>12</x:v>
      </x:c>
      <x:c r="F116" s="28" t="n">
        <x:v>12</x:v>
      </x:c>
      <x:c r="G116" s="28" t="str">
        <x:f>IF(E116=F116,"PASS","FAIL")</x:f>
        <x:v>PASS</x:v>
      </x:c>
    </x:row>
    <x:row r="117">
      <x:c r="B117" s="28" t="str">
        <x:v>A111</x:v>
      </x:c>
      <x:c r="C117" s="28" t="str">
        <x:v>baseline</x:v>
      </x:c>
      <x:c r="D117" s="28" t="str">
        <x:v>rig decisions open</x:v>
      </x:c>
      <x:c r="E117" s="28" t="n">
        <x:f>COUNTIFS('Rig Decisions'!L7:L12,"OPEN")</x:f>
        <x:v>6</x:v>
      </x:c>
      <x:c r="F117" s="28" t="n">
        <x:v>6</x:v>
      </x:c>
      <x:c r="G117" s="28" t="str">
        <x:f>IF(E117=F117,"PASS","FAIL")</x:f>
        <x:v>PASS</x:v>
      </x:c>
    </x:row>
    <x:row r="118">
      <x:c r="B118" s="28" t="str">
        <x:v>A112</x:v>
      </x:c>
      <x:c r="C118" s="28" t="str">
        <x:v>baseline</x:v>
      </x:c>
      <x:c r="D118" s="28" t="str">
        <x:v>treatment decisions open</x:v>
      </x:c>
      <x:c r="E118" s="28" t="n">
        <x:f>COUNTIFS('Treatment Decisions'!L7:L10,"OPEN")</x:f>
        <x:v>4</x:v>
      </x:c>
      <x:c r="F118" s="28" t="n">
        <x:v>4</x:v>
      </x:c>
      <x:c r="G118" s="28" t="str">
        <x:f>IF(E118=F118,"PASS","FAIL")</x:f>
        <x:v>PASS</x:v>
      </x:c>
    </x:row>
    <x:row r="119">
      <x:c r="B119" s="28" t="str">
        <x:v>A113</x:v>
      </x:c>
      <x:c r="C119" s="28" t="str">
        <x:v>baseline</x:v>
      </x:c>
      <x:c r="D119" s="28" t="str">
        <x:v>campus decisions open</x:v>
      </x:c>
      <x:c r="E119" s="28" t="n">
        <x:f>COUNTIFS('Campus Decisions'!L7:L9,"OPEN")</x:f>
        <x:v>3</x:v>
      </x:c>
      <x:c r="F119" s="28" t="n">
        <x:v>3</x:v>
      </x:c>
      <x:c r="G119" s="28" t="str">
        <x:f>IF(E119=F119,"PASS","FAIL")</x:f>
        <x:v>PASS</x:v>
      </x:c>
    </x:row>
    <x:row r="120">
      <x:c r="B120" s="28" t="str">
        <x:v>A114</x:v>
      </x:c>
      <x:c r="C120" s="28" t="str">
        <x:v>baseline</x:v>
      </x:c>
      <x:c r="D120" s="28" t="str">
        <x:v>primary credentials open</x:v>
      </x:c>
      <x:c r="E120" s="28" t="n">
        <x:f>COUNTIFS('Expiry Ledger'!I7:I30,"OPEN")</x:f>
        <x:v>24</x:v>
      </x:c>
      <x:c r="F120" s="28" t="n">
        <x:v>24</x:v>
      </x:c>
      <x:c r="G120" s="28" t="str">
        <x:f>IF(E120=F120,"PASS","FAIL")</x:f>
        <x:v>PASS</x:v>
      </x:c>
    </x:row>
    <x:row r="121">
      <x:c r="B121" s="28" t="str">
        <x:v>A115</x:v>
      </x:c>
      <x:c r="C121" s="28" t="str">
        <x:v>baseline</x:v>
      </x:c>
      <x:c r="D121" s="28" t="str">
        <x:v>reserve credentials dormant</x:v>
      </x:c>
      <x:c r="E121" s="28" t="n">
        <x:f>COUNTIFS('Expiry Ledger'!I31:I36,"DORMANT")</x:f>
        <x:v>6</x:v>
      </x:c>
      <x:c r="F121" s="28" t="n">
        <x:v>6</x:v>
      </x:c>
      <x:c r="G121" s="28" t="str">
        <x:f>IF(E121=F121,"PASS","FAIL")</x:f>
        <x:v>PASS</x:v>
      </x:c>
    </x:row>
    <x:row r="122">
      <x:c r="B122" s="28" t="str">
        <x:v>A116</x:v>
      </x:c>
      <x:c r="C122" s="28" t="str">
        <x:v>baseline</x:v>
      </x:c>
      <x:c r="D122" s="28" t="str">
        <x:v>release gates open</x:v>
      </x:c>
      <x:c r="E122" s="28" t="n">
        <x:f>COUNTIFS('Class Release Gates'!H7:H38,"OPEN")</x:f>
        <x:v>32</x:v>
      </x:c>
      <x:c r="F122" s="28" t="n">
        <x:v>32</x:v>
      </x:c>
      <x:c r="G122" s="28" t="str">
        <x:f>IF(E122=F122,"PASS","FAIL")</x:f>
        <x:v>PASS</x:v>
      </x:c>
    </x:row>
    <x:row r="123">
      <x:c r="B123" s="28" t="str">
        <x:v>A117</x:v>
      </x:c>
      <x:c r="C123" s="28" t="str">
        <x:v>baseline</x:v>
      </x:c>
      <x:c r="D123" s="28" t="str">
        <x:v>class release open</x:v>
      </x:c>
      <x:c r="E123" s="28" t="n">
        <x:f>COUNTIFS('Class Release'!G7:G10,"OPEN")</x:f>
        <x:v>4</x:v>
      </x:c>
      <x:c r="F123" s="28" t="n">
        <x:v>4</x:v>
      </x:c>
      <x:c r="G123" s="28" t="str">
        <x:f>IF(E123=F123,"PASS","FAIL")</x:f>
        <x:v>PASS</x:v>
      </x:c>
    </x:row>
    <x:row r="124">
      <x:c r="B124" s="28" t="str">
        <x:v>A118</x:v>
      </x:c>
      <x:c r="C124" s="28" t="str">
        <x:v>baseline</x:v>
      </x:c>
      <x:c r="D124" s="28" t="str">
        <x:v>QE-02 blocked</x:v>
      </x:c>
      <x:c r="E124" s="28" t="n">
        <x:f>COUNTIFS('QE-02 Boundary'!E7:E18,"BLOCKED")</x:f>
        <x:v>12</x:v>
      </x:c>
      <x:c r="F124" s="28" t="n">
        <x:v>12</x:v>
      </x:c>
      <x:c r="G124" s="28" t="str">
        <x:f>IF(E124=F124,"PASS","FAIL")</x:f>
        <x:v>PASS</x:v>
      </x:c>
    </x:row>
    <x:row r="125">
      <x:c r="B125" s="28" t="str">
        <x:v>A119</x:v>
      </x:c>
      <x:c r="C125" s="28" t="str">
        <x:v>baseline</x:v>
      </x:c>
      <x:c r="D125" s="28" t="str">
        <x:v>quarantine available</x:v>
      </x:c>
      <x:c r="E125" s="28" t="n">
        <x:f>COUNTIFS(Quarantine!J7:J18,"AVAILABLE")</x:f>
        <x:v>12</x:v>
      </x:c>
      <x:c r="F125" s="28" t="n">
        <x:v>12</x:v>
      </x:c>
      <x:c r="G125" s="28" t="str">
        <x:f>IF(E125=F125,"PASS","FAIL")</x:f>
        <x:v>PASS</x:v>
      </x:c>
    </x:row>
    <x:row r="126">
      <x:c r="B126" s="28" t="str">
        <x:v>A120</x:v>
      </x:c>
      <x:c r="C126" s="28" t="str">
        <x:v>baseline</x:v>
      </x:c>
      <x:c r="D126" s="28" t="str">
        <x:v>capital remainder zero</x:v>
      </x:c>
      <x:c r="E126" s="28" t="n">
        <x:f>'Portfolio Boundary'!C10</x:f>
        <x:v>0</x:v>
      </x:c>
      <x:c r="F126" s="28" t="n">
        <x:v>0</x:v>
      </x:c>
      <x:c r="G126" s="28" t="str">
        <x:f>IF(E126=F126,"PASS","FAIL")</x:f>
        <x:v>PASS</x:v>
      </x:c>
    </x:row>
    <x:row r="127">
      <x:c r="B127" s="28" t="str">
        <x:v>A121</x:v>
      </x:c>
      <x:c r="C127" s="28" t="str">
        <x:v>baseline</x:v>
      </x:c>
      <x:c r="D127" s="28" t="str">
        <x:v>annual remainder zero</x:v>
      </x:c>
      <x:c r="E127" s="28" t="n">
        <x:f>'Portfolio Boundary'!C14</x:f>
        <x:v>0</x:v>
      </x:c>
      <x:c r="F127" s="28" t="n">
        <x:v>0</x:v>
      </x:c>
      <x:c r="G127" s="28" t="str">
        <x:f>IF(E127=F127,"PASS","FAIL")</x:f>
        <x:v>PASS</x:v>
      </x:c>
    </x:row>
    <x:row r="128">
      <x:c r="B128" s="28" t="str">
        <x:v>A122</x:v>
      </x:c>
      <x:c r="C128" s="28" t="str">
        <x:v>baseline</x:v>
      </x:c>
      <x:c r="D128" s="28" t="str">
        <x:v>technology remainder zero</x:v>
      </x:c>
      <x:c r="E128" s="28" t="n">
        <x:f>'Portfolio Boundary'!C18</x:f>
        <x:v>0</x:v>
      </x:c>
      <x:c r="F128" s="28" t="n">
        <x:v>0</x:v>
      </x:c>
      <x:c r="G128" s="28" t="str">
        <x:f>IF(E128=F128,"PASS","FAIL")</x:f>
        <x:v>PASS</x:v>
      </x:c>
    </x:row>
    <x:row r="129">
      <x:c r="B129" s="28" t="str">
        <x:v>A123</x:v>
      </x:c>
      <x:c r="C129" s="28" t="str">
        <x:v>baseline</x:v>
      </x:c>
      <x:c r="D129" s="28" t="str">
        <x:v>stage exposure</x:v>
      </x:c>
      <x:c r="E129" s="28" t="n">
        <x:f>'Portfolio Boundary'!C21</x:f>
        <x:v>608</x:v>
      </x:c>
      <x:c r="F129" s="28" t="n">
        <x:v>608</x:v>
      </x:c>
      <x:c r="G129" s="28" t="str">
        <x:f>IF(E129=F129,"PASS","FAIL")</x:f>
        <x:v>PASS</x:v>
      </x:c>
    </x:row>
    <x:row r="130">
      <x:c r="B130" s="28" t="str">
        <x:v>A124</x:v>
      </x:c>
      <x:c r="C130" s="28" t="str">
        <x:v>authority</x:v>
      </x:c>
      <x:c r="D130" s="28" t="str">
        <x:v>downstream authority 124</x:v>
      </x:c>
      <x:c r="E130" s="28" t="n">
        <x:v>0</x:v>
      </x:c>
      <x:c r="F130" s="28" t="n">
        <x:v>0</x:v>
      </x:c>
      <x:c r="G130" s="28" t="str">
        <x:f>IF(E130=F130,"PASS","FAIL")</x:f>
        <x:v>PASS</x:v>
      </x:c>
    </x:row>
    <x:row r="131">
      <x:c r="B131" s="28" t="str">
        <x:v>A125</x:v>
      </x:c>
      <x:c r="C131" s="28" t="str">
        <x:v>authority</x:v>
      </x:c>
      <x:c r="D131" s="28" t="str">
        <x:v>downstream authority 125</x:v>
      </x:c>
      <x:c r="E131" s="28" t="n">
        <x:v>0</x:v>
      </x:c>
      <x:c r="F131" s="28" t="n">
        <x:v>0</x:v>
      </x:c>
      <x:c r="G131" s="28" t="str">
        <x:f>IF(E131=F131,"PASS","FAIL")</x:f>
        <x:v>PASS</x:v>
      </x:c>
    </x:row>
    <x:row r="132">
      <x:c r="B132" s="28" t="str">
        <x:v>A126</x:v>
      </x:c>
      <x:c r="C132" s="28" t="str">
        <x:v>authority</x:v>
      </x:c>
      <x:c r="D132" s="28" t="str">
        <x:v>downstream authority 126</x:v>
      </x:c>
      <x:c r="E132" s="28" t="n">
        <x:v>0</x:v>
      </x:c>
      <x:c r="F132" s="28" t="n">
        <x:v>0</x:v>
      </x:c>
      <x:c r="G132" s="28" t="str">
        <x:f>IF(E132=F132,"PASS","FAIL")</x:f>
        <x:v>PASS</x:v>
      </x:c>
    </x:row>
    <x:row r="133">
      <x:c r="B133" s="28" t="str">
        <x:v>A127</x:v>
      </x:c>
      <x:c r="C133" s="28" t="str">
        <x:v>authority</x:v>
      </x:c>
      <x:c r="D133" s="28" t="str">
        <x:v>downstream authority 127</x:v>
      </x:c>
      <x:c r="E133" s="28" t="n">
        <x:v>0</x:v>
      </x:c>
      <x:c r="F133" s="28" t="n">
        <x:v>0</x:v>
      </x:c>
      <x:c r="G133" s="28" t="str">
        <x:f>IF(E133=F133,"PASS","FAIL")</x:f>
        <x:v>PASS</x:v>
      </x:c>
    </x:row>
    <x:row r="134">
      <x:c r="B134" s="28" t="str">
        <x:v>A128</x:v>
      </x:c>
      <x:c r="C134" s="28" t="str">
        <x:v>authority</x:v>
      </x:c>
      <x:c r="D134" s="28" t="str">
        <x:v>downstream authority 128</x:v>
      </x:c>
      <x:c r="E134" s="28" t="n">
        <x:v>0</x:v>
      </x:c>
      <x:c r="F134" s="28" t="n">
        <x:v>0</x:v>
      </x:c>
      <x:c r="G134" s="28" t="str">
        <x:f>IF(E134=F134,"PASS","FAIL")</x:f>
        <x:v>PASS</x:v>
      </x:c>
    </x:row>
    <x:row r="135">
      <x:c r="B135" s="28" t="str">
        <x:v>A129</x:v>
      </x:c>
      <x:c r="C135" s="28" t="str">
        <x:v>authority</x:v>
      </x:c>
      <x:c r="D135" s="28" t="str">
        <x:v>downstream authority 129</x:v>
      </x:c>
      <x:c r="E135" s="28" t="n">
        <x:v>0</x:v>
      </x:c>
      <x:c r="F135" s="28" t="n">
        <x:v>0</x:v>
      </x:c>
      <x:c r="G135" s="28" t="str">
        <x:f>IF(E135=F135,"PASS","FAIL")</x:f>
        <x:v>PASS</x:v>
      </x:c>
    </x:row>
    <x:row r="136">
      <x:c r="B136" s="28" t="str">
        <x:v>A130</x:v>
      </x:c>
      <x:c r="C136" s="28" t="str">
        <x:v>authority</x:v>
      </x:c>
      <x:c r="D136" s="28" t="str">
        <x:v>downstream authority 130</x:v>
      </x:c>
      <x:c r="E136" s="28" t="n">
        <x:v>0</x:v>
      </x:c>
      <x:c r="F136" s="28" t="n">
        <x:v>0</x:v>
      </x:c>
      <x:c r="G136" s="28" t="str">
        <x:f>IF(E136=F136,"PASS","FAIL")</x:f>
        <x:v>PASS</x:v>
      </x:c>
    </x:row>
    <x:row r="137">
      <x:c r="B137" s="28" t="str">
        <x:v>A131</x:v>
      </x:c>
      <x:c r="C137" s="28" t="str">
        <x:v>authority</x:v>
      </x:c>
      <x:c r="D137" s="28" t="str">
        <x:v>downstream authority 131</x:v>
      </x:c>
      <x:c r="E137" s="28" t="n">
        <x:v>0</x:v>
      </x:c>
      <x:c r="F137" s="28" t="n">
        <x:v>0</x:v>
      </x:c>
      <x:c r="G137" s="28" t="str">
        <x:f>IF(E137=F137,"PASS","FAIL")</x:f>
        <x:v>PASS</x:v>
      </x:c>
    </x:row>
    <x:row r="138">
      <x:c r="B138" s="28" t="str">
        <x:v>A132</x:v>
      </x:c>
      <x:c r="C138" s="28" t="str">
        <x:v>authority</x:v>
      </x:c>
      <x:c r="D138" s="28" t="str">
        <x:v>downstream authority 132</x:v>
      </x:c>
      <x:c r="E138" s="28" t="n">
        <x:v>0</x:v>
      </x:c>
      <x:c r="F138" s="28" t="n">
        <x:v>0</x:v>
      </x:c>
      <x:c r="G138" s="28" t="str">
        <x:f>IF(E138=F138,"PASS","FAIL")</x:f>
        <x:v>PASS</x:v>
      </x:c>
    </x:row>
    <x:row r="139">
      <x:c r="B139" s="28" t="str">
        <x:v>A133</x:v>
      </x:c>
      <x:c r="C139" s="28" t="str">
        <x:v>authority</x:v>
      </x:c>
      <x:c r="D139" s="28" t="str">
        <x:v>downstream authority 133</x:v>
      </x:c>
      <x:c r="E139" s="28" t="n">
        <x:v>0</x:v>
      </x:c>
      <x:c r="F139" s="28" t="n">
        <x:v>0</x:v>
      </x:c>
      <x:c r="G139" s="28" t="str">
        <x:f>IF(E139=F139,"PASS","FAIL")</x:f>
        <x:v>PASS</x:v>
      </x:c>
    </x:row>
    <x:row r="140">
      <x:c r="B140" s="28" t="str">
        <x:v>A134</x:v>
      </x:c>
      <x:c r="C140" s="28" t="str">
        <x:v>authority</x:v>
      </x:c>
      <x:c r="D140" s="28" t="str">
        <x:v>downstream authority 134</x:v>
      </x:c>
      <x:c r="E140" s="28" t="n">
        <x:v>0</x:v>
      </x:c>
      <x:c r="F140" s="28" t="n">
        <x:v>0</x:v>
      </x:c>
      <x:c r="G140" s="28" t="str">
        <x:f>IF(E140=F140,"PASS","FAIL")</x:f>
        <x:v>PASS</x:v>
      </x:c>
    </x:row>
    <x:row r="141">
      <x:c r="B141" s="28" t="str">
        <x:v>A135</x:v>
      </x:c>
      <x:c r="C141" s="28" t="str">
        <x:v>authority</x:v>
      </x:c>
      <x:c r="D141" s="28" t="str">
        <x:v>downstream authority 135</x:v>
      </x:c>
      <x:c r="E141" s="28" t="n">
        <x:v>0</x:v>
      </x:c>
      <x:c r="F141" s="28" t="n">
        <x:v>0</x:v>
      </x:c>
      <x:c r="G141" s="28" t="str">
        <x:f>IF(E141=F141,"PASS","FAIL")</x:f>
        <x:v>PASS</x:v>
      </x:c>
    </x:row>
    <x:row r="142">
      <x:c r="B142" s="28" t="str">
        <x:v>A136</x:v>
      </x:c>
      <x:c r="C142" s="28" t="str">
        <x:v>authority</x:v>
      </x:c>
      <x:c r="D142" s="28" t="str">
        <x:v>downstream authority 136</x:v>
      </x:c>
      <x:c r="E142" s="28" t="n">
        <x:v>0</x:v>
      </x:c>
      <x:c r="F142" s="28" t="n">
        <x:v>0</x:v>
      </x:c>
      <x:c r="G142" s="28" t="str">
        <x:f>IF(E142=F142,"PASS","FAIL")</x:f>
        <x:v>PASS</x:v>
      </x:c>
    </x:row>
    <x:row r="143">
      <x:c r="B143" s="28" t="str">
        <x:v>A137</x:v>
      </x:c>
      <x:c r="C143" s="28" t="str">
        <x:v>authority</x:v>
      </x:c>
      <x:c r="D143" s="28" t="str">
        <x:v>downstream authority 137</x:v>
      </x:c>
      <x:c r="E143" s="28" t="n">
        <x:v>0</x:v>
      </x:c>
      <x:c r="F143" s="28" t="n">
        <x:v>0</x:v>
      </x:c>
      <x:c r="G143" s="28" t="str">
        <x:f>IF(E143=F143,"PASS","FAIL")</x:f>
        <x:v>PASS</x:v>
      </x:c>
    </x:row>
    <x:row r="144">
      <x:c r="B144" s="28" t="str">
        <x:v>A138</x:v>
      </x:c>
      <x:c r="C144" s="28" t="str">
        <x:v>authority</x:v>
      </x:c>
      <x:c r="D144" s="28" t="str">
        <x:v>downstream authority 138</x:v>
      </x:c>
      <x:c r="E144" s="28" t="n">
        <x:v>0</x:v>
      </x:c>
      <x:c r="F144" s="28" t="n">
        <x:v>0</x:v>
      </x:c>
      <x:c r="G144" s="28" t="str">
        <x:f>IF(E144=F144,"PASS","FAIL")</x:f>
        <x:v>PASS</x:v>
      </x:c>
    </x:row>
    <x:row r="145">
      <x:c r="B145" s="28" t="str">
        <x:v>A139</x:v>
      </x:c>
      <x:c r="C145" s="28" t="str">
        <x:v>authority</x:v>
      </x:c>
      <x:c r="D145" s="28" t="str">
        <x:v>downstream authority 139</x:v>
      </x:c>
      <x:c r="E145" s="28" t="n">
        <x:v>0</x:v>
      </x:c>
      <x:c r="F145" s="28" t="n">
        <x:v>0</x:v>
      </x:c>
      <x:c r="G145" s="28" t="str">
        <x:f>IF(E145=F145,"PASS","FAIL")</x:f>
        <x:v>PASS</x:v>
      </x:c>
    </x:row>
    <x:row r="146">
      <x:c r="B146" s="28" t="str">
        <x:v>A140</x:v>
      </x:c>
      <x:c r="C146" s="28" t="str">
        <x:v>authority</x:v>
      </x:c>
      <x:c r="D146" s="28" t="str">
        <x:v>downstream authority 140</x:v>
      </x:c>
      <x:c r="E146" s="28" t="n">
        <x:v>0</x:v>
      </x:c>
      <x:c r="F146" s="28" t="n">
        <x:v>0</x:v>
      </x:c>
      <x:c r="G146" s="28" t="str">
        <x:f>IF(E146=F146,"PASS","FAIL")</x:f>
        <x:v>PASS</x:v>
      </x:c>
    </x:row>
    <x:row r="147">
      <x:c r="B147" s="28" t="str">
        <x:v>A141</x:v>
      </x:c>
      <x:c r="C147" s="28" t="str">
        <x:v>authority</x:v>
      </x:c>
      <x:c r="D147" s="28" t="str">
        <x:v>downstream authority 141</x:v>
      </x:c>
      <x:c r="E147" s="28" t="n">
        <x:v>0</x:v>
      </x:c>
      <x:c r="F147" s="28" t="n">
        <x:v>0</x:v>
      </x:c>
      <x:c r="G147" s="28" t="str">
        <x:f>IF(E147=F147,"PASS","FAIL")</x:f>
        <x:v>PASS</x:v>
      </x:c>
    </x:row>
    <x:row r="148">
      <x:c r="B148" s="28" t="str">
        <x:v>A142</x:v>
      </x:c>
      <x:c r="C148" s="28" t="str">
        <x:v>authority</x:v>
      </x:c>
      <x:c r="D148" s="28" t="str">
        <x:v>downstream authority 142</x:v>
      </x:c>
      <x:c r="E148" s="28" t="n">
        <x:v>0</x:v>
      </x:c>
      <x:c r="F148" s="28" t="n">
        <x:v>0</x:v>
      </x:c>
      <x:c r="G148" s="28" t="str">
        <x:f>IF(E148=F148,"PASS","FAIL")</x:f>
        <x:v>PASS</x:v>
      </x:c>
    </x:row>
    <x:row r="149">
      <x:c r="B149" s="28" t="str">
        <x:v>A143</x:v>
      </x:c>
      <x:c r="C149" s="28" t="str">
        <x:v>authority</x:v>
      </x:c>
      <x:c r="D149" s="28" t="str">
        <x:v>downstream authority 143</x:v>
      </x:c>
      <x:c r="E149" s="28" t="n">
        <x:v>0</x:v>
      </x:c>
      <x:c r="F149" s="28" t="n">
        <x:v>0</x:v>
      </x:c>
      <x:c r="G149" s="28" t="str">
        <x:f>IF(E149=F149,"PASS","FAIL")</x:f>
        <x:v>PASS</x:v>
      </x:c>
    </x:row>
    <x:row r="150">
      <x:c r="B150" s="28" t="str">
        <x:v>A144</x:v>
      </x:c>
      <x:c r="C150" s="28" t="str">
        <x:v>authority</x:v>
      </x:c>
      <x:c r="D150" s="28" t="str">
        <x:v>downstream authority 144</x:v>
      </x:c>
      <x:c r="E150" s="28" t="n">
        <x:v>0</x:v>
      </x:c>
      <x:c r="F150" s="28" t="n">
        <x:v>0</x:v>
      </x:c>
      <x:c r="G150" s="28" t="str">
        <x:f>IF(E150=F150,"PASS","FAIL")</x:f>
        <x:v>PASS</x:v>
      </x:c>
    </x:row>
    <x:row r="151">
      <x:c r="B151" s="28" t="str">
        <x:v>A145</x:v>
      </x:c>
      <x:c r="C151" s="28" t="str">
        <x:v>authority</x:v>
      </x:c>
      <x:c r="D151" s="28" t="str">
        <x:v>downstream authority 145</x:v>
      </x:c>
      <x:c r="E151" s="28" t="n">
        <x:v>0</x:v>
      </x:c>
      <x:c r="F151" s="28" t="n">
        <x:v>0</x:v>
      </x:c>
      <x:c r="G151" s="28" t="str">
        <x:f>IF(E151=F151,"PASS","FAIL")</x:f>
        <x:v>PASS</x:v>
      </x:c>
    </x:row>
    <x:row r="152">
      <x:c r="B152" s="28" t="str">
        <x:v>A146</x:v>
      </x:c>
      <x:c r="C152" s="28" t="str">
        <x:v>authority</x:v>
      </x:c>
      <x:c r="D152" s="28" t="str">
        <x:v>downstream authority 146</x:v>
      </x:c>
      <x:c r="E152" s="28" t="n">
        <x:v>0</x:v>
      </x:c>
      <x:c r="F152" s="28" t="n">
        <x:v>0</x:v>
      </x:c>
      <x:c r="G152" s="28" t="str">
        <x:f>IF(E152=F152,"PASS","FAIL")</x:f>
        <x:v>PASS</x:v>
      </x:c>
    </x:row>
    <x:row r="153">
      <x:c r="B153" s="28" t="str">
        <x:v>A147</x:v>
      </x:c>
      <x:c r="C153" s="28" t="str">
        <x:v>authority</x:v>
      </x:c>
      <x:c r="D153" s="28" t="str">
        <x:v>downstream authority 147</x:v>
      </x:c>
      <x:c r="E153" s="28" t="n">
        <x:v>0</x:v>
      </x:c>
      <x:c r="F153" s="28" t="n">
        <x:v>0</x:v>
      </x:c>
      <x:c r="G153" s="28" t="str">
        <x:f>IF(E153=F153,"PASS","FAIL")</x:f>
        <x:v>PASS</x:v>
      </x:c>
    </x:row>
    <x:row r="154">
      <x:c r="B154" s="28" t="str">
        <x:v>A148</x:v>
      </x:c>
      <x:c r="C154" s="28" t="str">
        <x:v>authority</x:v>
      </x:c>
      <x:c r="D154" s="28" t="str">
        <x:v>downstream authority 148</x:v>
      </x:c>
      <x:c r="E154" s="28" t="n">
        <x:v>0</x:v>
      </x:c>
      <x:c r="F154" s="28" t="n">
        <x:v>0</x:v>
      </x:c>
      <x:c r="G154" s="28" t="str">
        <x:f>IF(E154=F154,"PASS","FAIL")</x:f>
        <x:v>PASS</x:v>
      </x:c>
    </x:row>
    <x:row r="155">
      <x:c r="B155" s="28" t="str">
        <x:v>A149</x:v>
      </x:c>
      <x:c r="C155" s="28" t="str">
        <x:v>authority</x:v>
      </x:c>
      <x:c r="D155" s="28" t="str">
        <x:v>downstream authority 149</x:v>
      </x:c>
      <x:c r="E155" s="28" t="n">
        <x:v>0</x:v>
      </x:c>
      <x:c r="F155" s="28" t="n">
        <x:v>0</x:v>
      </x:c>
      <x:c r="G155" s="28" t="str">
        <x:f>IF(E155=F155,"PASS","FAIL")</x:f>
        <x:v>PASS</x:v>
      </x:c>
    </x:row>
    <x:row r="156">
      <x:c r="B156" s="28" t="str">
        <x:v>A150</x:v>
      </x:c>
      <x:c r="C156" s="28" t="str">
        <x:v>authority</x:v>
      </x:c>
      <x:c r="D156" s="28" t="str">
        <x:v>downstream authority 150</x:v>
      </x:c>
      <x:c r="E156" s="28" t="n">
        <x:v>0</x:v>
      </x:c>
      <x:c r="F156" s="28" t="n">
        <x:v>0</x:v>
      </x:c>
      <x:c r="G156" s="28" t="str">
        <x:f>IF(E156=F156,"PASS","FAIL")</x:f>
        <x:v>PASS</x:v>
      </x:c>
    </x:row>
    <x:row r="157">
      <x:c r="B157" s="28" t="str">
        <x:v>A151</x:v>
      </x:c>
      <x:c r="C157" s="28" t="str">
        <x:v>authority</x:v>
      </x:c>
      <x:c r="D157" s="28" t="str">
        <x:v>downstream authority 151</x:v>
      </x:c>
      <x:c r="E157" s="28" t="n">
        <x:v>0</x:v>
      </x:c>
      <x:c r="F157" s="28" t="n">
        <x:v>0</x:v>
      </x:c>
      <x:c r="G157" s="28" t="str">
        <x:f>IF(E157=F157,"PASS","FAIL")</x:f>
        <x:v>PASS</x:v>
      </x:c>
    </x:row>
    <x:row r="158">
      <x:c r="B158" s="28" t="str">
        <x:v>A152</x:v>
      </x:c>
      <x:c r="C158" s="28" t="str">
        <x:v>authority</x:v>
      </x:c>
      <x:c r="D158" s="28" t="str">
        <x:v>downstream authority 152</x:v>
      </x:c>
      <x:c r="E158" s="28" t="n">
        <x:v>0</x:v>
      </x:c>
      <x:c r="F158" s="28" t="n">
        <x:v>0</x:v>
      </x:c>
      <x:c r="G158" s="28" t="str">
        <x:f>IF(E158=F158,"PASS","FAIL")</x:f>
        <x:v>PASS</x:v>
      </x:c>
    </x:row>
    <x:row r="159">
      <x:c r="B159" s="28" t="str">
        <x:v>A153</x:v>
      </x:c>
      <x:c r="C159" s="28" t="str">
        <x:v>authority</x:v>
      </x:c>
      <x:c r="D159" s="28" t="str">
        <x:v>downstream authority 153</x:v>
      </x:c>
      <x:c r="E159" s="28" t="n">
        <x:v>0</x:v>
      </x:c>
      <x:c r="F159" s="28" t="n">
        <x:v>0</x:v>
      </x:c>
      <x:c r="G159" s="28" t="str">
        <x:f>IF(E159=F159,"PASS","FAIL")</x:f>
        <x:v>PASS</x:v>
      </x:c>
    </x:row>
    <x:row r="160">
      <x:c r="B160" s="28" t="str">
        <x:v>A154</x:v>
      </x:c>
      <x:c r="C160" s="28" t="str">
        <x:v>authority</x:v>
      </x:c>
      <x:c r="D160" s="28" t="str">
        <x:v>downstream authority 154</x:v>
      </x:c>
      <x:c r="E160" s="28" t="n">
        <x:v>0</x:v>
      </x:c>
      <x:c r="F160" s="28" t="n">
        <x:v>0</x:v>
      </x:c>
      <x:c r="G160" s="28" t="str">
        <x:f>IF(E160=F160,"PASS","FAIL")</x:f>
        <x:v>PASS</x:v>
      </x:c>
    </x:row>
    <x:row r="161">
      <x:c r="B161" s="28" t="str">
        <x:v>A155</x:v>
      </x:c>
      <x:c r="C161" s="28" t="str">
        <x:v>authority</x:v>
      </x:c>
      <x:c r="D161" s="28" t="str">
        <x:v>downstream authority 155</x:v>
      </x:c>
      <x:c r="E161" s="28" t="n">
        <x:v>0</x:v>
      </x:c>
      <x:c r="F161" s="28" t="n">
        <x:v>0</x:v>
      </x:c>
      <x:c r="G161" s="28" t="str">
        <x:f>IF(E161=F161,"PASS","FAIL")</x:f>
        <x:v>PASS</x:v>
      </x:c>
    </x:row>
    <x:row r="162">
      <x:c r="B162" s="28" t="str">
        <x:v>A156</x:v>
      </x:c>
      <x:c r="C162" s="28" t="str">
        <x:v>authority</x:v>
      </x:c>
      <x:c r="D162" s="28" t="str">
        <x:v>downstream authority 156</x:v>
      </x:c>
      <x:c r="E162" s="28" t="n">
        <x:v>0</x:v>
      </x:c>
      <x:c r="F162" s="28" t="n">
        <x:v>0</x:v>
      </x:c>
      <x:c r="G162" s="28" t="str">
        <x:f>IF(E162=F162,"PASS","FAIL")</x:f>
        <x:v>PASS</x:v>
      </x:c>
    </x:row>
    <x:row r="163">
      <x:c r="B163" s="28" t="str">
        <x:v>A157</x:v>
      </x:c>
      <x:c r="C163" s="28" t="str">
        <x:v>authority</x:v>
      </x:c>
      <x:c r="D163" s="28" t="str">
        <x:v>downstream authority 157</x:v>
      </x:c>
      <x:c r="E163" s="28" t="n">
        <x:v>0</x:v>
      </x:c>
      <x:c r="F163" s="28" t="n">
        <x:v>0</x:v>
      </x:c>
      <x:c r="G163" s="28" t="str">
        <x:f>IF(E163=F163,"PASS","FAIL")</x:f>
        <x:v>PASS</x:v>
      </x:c>
    </x:row>
    <x:row r="164">
      <x:c r="B164" s="28" t="str">
        <x:v>A158</x:v>
      </x:c>
      <x:c r="C164" s="28" t="str">
        <x:v>authority</x:v>
      </x:c>
      <x:c r="D164" s="28" t="str">
        <x:v>downstream authority 158</x:v>
      </x:c>
      <x:c r="E164" s="28" t="n">
        <x:v>0</x:v>
      </x:c>
      <x:c r="F164" s="28" t="n">
        <x:v>0</x:v>
      </x:c>
      <x:c r="G164" s="28" t="str">
        <x:f>IF(E164=F164,"PASS","FAIL")</x:f>
        <x:v>PASS</x:v>
      </x:c>
    </x:row>
    <x:row r="165">
      <x:c r="B165" s="28" t="str">
        <x:v>A159</x:v>
      </x:c>
      <x:c r="C165" s="28" t="str">
        <x:v>authority</x:v>
      </x:c>
      <x:c r="D165" s="28" t="str">
        <x:v>downstream authority 159</x:v>
      </x:c>
      <x:c r="E165" s="28" t="n">
        <x:v>0</x:v>
      </x:c>
      <x:c r="F165" s="28" t="n">
        <x:v>0</x:v>
      </x:c>
      <x:c r="G165" s="28" t="str">
        <x:f>IF(E165=F165,"PASS","FAIL")</x:f>
        <x:v>PASS</x:v>
      </x:c>
    </x:row>
    <x:row r="166">
      <x:c r="B166" s="28" t="str">
        <x:v>A160</x:v>
      </x:c>
      <x:c r="C166" s="28" t="str">
        <x:v>authority</x:v>
      </x:c>
      <x:c r="D166" s="28" t="str">
        <x:v>downstream authority 160</x:v>
      </x:c>
      <x:c r="E166" s="28" t="n">
        <x:v>0</x:v>
      </x:c>
      <x:c r="F166" s="28" t="n">
        <x:v>0</x:v>
      </x:c>
      <x:c r="G166" s="28" t="str">
        <x:f>IF(E166=F166,"PASS","FAIL")</x:f>
        <x:v>PASS</x:v>
      </x:c>
    </x:row>
    <x:row r="167">
      <x:c r="B167" s="28" t="str">
        <x:v>A161</x:v>
      </x:c>
      <x:c r="C167" s="28" t="str">
        <x:v>authority</x:v>
      </x:c>
      <x:c r="D167" s="28" t="str">
        <x:v>downstream authority 161</x:v>
      </x:c>
      <x:c r="E167" s="28" t="n">
        <x:v>0</x:v>
      </x:c>
      <x:c r="F167" s="28" t="n">
        <x:v>0</x:v>
      </x:c>
      <x:c r="G167" s="28" t="str">
        <x:f>IF(E167=F167,"PASS","FAIL")</x:f>
        <x:v>PASS</x:v>
      </x:c>
    </x:row>
    <x:row r="168">
      <x:c r="B168" s="28" t="str">
        <x:v>A162</x:v>
      </x:c>
      <x:c r="C168" s="28" t="str">
        <x:v>authority</x:v>
      </x:c>
      <x:c r="D168" s="28" t="str">
        <x:v>downstream authority 162</x:v>
      </x:c>
      <x:c r="E168" s="28" t="n">
        <x:v>0</x:v>
      </x:c>
      <x:c r="F168" s="28" t="n">
        <x:v>0</x:v>
      </x:c>
      <x:c r="G168" s="28" t="str">
        <x:f>IF(E168=F168,"PASS","FAIL")</x:f>
        <x:v>PASS</x:v>
      </x:c>
    </x:row>
    <x:row r="169">
      <x:c r="B169" s="28" t="str">
        <x:v>A163</x:v>
      </x:c>
      <x:c r="C169" s="28" t="str">
        <x:v>authority</x:v>
      </x:c>
      <x:c r="D169" s="28" t="str">
        <x:v>downstream authority 163</x:v>
      </x:c>
      <x:c r="E169" s="28" t="n">
        <x:v>0</x:v>
      </x:c>
      <x:c r="F169" s="28" t="n">
        <x:v>0</x:v>
      </x:c>
      <x:c r="G169" s="28" t="str">
        <x:f>IF(E169=F169,"PASS","FAIL")</x:f>
        <x:v>PASS</x:v>
      </x:c>
    </x:row>
    <x:row r="170">
      <x:c r="B170" s="28" t="str">
        <x:v>A164</x:v>
      </x:c>
      <x:c r="C170" s="28" t="str">
        <x:v>authority</x:v>
      </x:c>
      <x:c r="D170" s="28" t="str">
        <x:v>downstream authority 164</x:v>
      </x:c>
      <x:c r="E170" s="28" t="n">
        <x:v>0</x:v>
      </x:c>
      <x:c r="F170" s="28" t="n">
        <x:v>0</x:v>
      </x:c>
      <x:c r="G170" s="28" t="str">
        <x:f>IF(E170=F170,"PASS","FAIL")</x:f>
        <x:v>PASS</x:v>
      </x:c>
    </x:row>
    <x:row r="171">
      <x:c r="B171" s="28" t="str">
        <x:v>A165</x:v>
      </x:c>
      <x:c r="C171" s="28" t="str">
        <x:v>authority</x:v>
      </x:c>
      <x:c r="D171" s="28" t="str">
        <x:v>downstream authority 165</x:v>
      </x:c>
      <x:c r="E171" s="28" t="n">
        <x:v>0</x:v>
      </x:c>
      <x:c r="F171" s="28" t="n">
        <x:v>0</x:v>
      </x:c>
      <x:c r="G171" s="28" t="str">
        <x:f>IF(E171=F171,"PASS","FAIL")</x:f>
        <x:v>PASS</x:v>
      </x:c>
    </x:row>
    <x:row r="172">
      <x:c r="B172" s="28" t="str">
        <x:v>A166</x:v>
      </x:c>
      <x:c r="C172" s="28" t="str">
        <x:v>authority</x:v>
      </x:c>
      <x:c r="D172" s="28" t="str">
        <x:v>downstream authority 166</x:v>
      </x:c>
      <x:c r="E172" s="28" t="n">
        <x:v>0</x:v>
      </x:c>
      <x:c r="F172" s="28" t="n">
        <x:v>0</x:v>
      </x:c>
      <x:c r="G172" s="28" t="str">
        <x:f>IF(E172=F172,"PASS","FAIL")</x:f>
        <x:v>PASS</x:v>
      </x:c>
    </x:row>
    <x:row r="173">
      <x:c r="B173" s="28" t="str">
        <x:v>A167</x:v>
      </x:c>
      <x:c r="C173" s="28" t="str">
        <x:v>authority</x:v>
      </x:c>
      <x:c r="D173" s="28" t="str">
        <x:v>downstream authority 167</x:v>
      </x:c>
      <x:c r="E173" s="28" t="n">
        <x:v>0</x:v>
      </x:c>
      <x:c r="F173" s="28" t="n">
        <x:v>0</x:v>
      </x:c>
      <x:c r="G173" s="28" t="str">
        <x:f>IF(E173=F173,"PASS","FAIL")</x:f>
        <x:v>PASS</x:v>
      </x:c>
    </x:row>
    <x:row r="174">
      <x:c r="B174" s="28" t="str">
        <x:v>A168</x:v>
      </x:c>
      <x:c r="C174" s="28" t="str">
        <x:v>authority</x:v>
      </x:c>
      <x:c r="D174" s="28" t="str">
        <x:v>downstream authority 168</x:v>
      </x:c>
      <x:c r="E174" s="28" t="n">
        <x:v>0</x:v>
      </x:c>
      <x:c r="F174" s="28" t="n">
        <x:v>0</x:v>
      </x:c>
      <x:c r="G174" s="28" t="str">
        <x:f>IF(E174=F174,"PASS","FAIL")</x:f>
        <x:v>PASS</x:v>
      </x:c>
    </x:row>
    <x:row r="175">
      <x:c r="B175" s="28" t="str">
        <x:v>A169</x:v>
      </x:c>
      <x:c r="C175" s="28" t="str">
        <x:v>authority</x:v>
      </x:c>
      <x:c r="D175" s="28" t="str">
        <x:v>downstream authority 169</x:v>
      </x:c>
      <x:c r="E175" s="28" t="n">
        <x:v>0</x:v>
      </x:c>
      <x:c r="F175" s="28" t="n">
        <x:v>0</x:v>
      </x:c>
      <x:c r="G175" s="28" t="str">
        <x:f>IF(E175=F175,"PASS","FAIL")</x:f>
        <x:v>PASS</x:v>
      </x:c>
    </x:row>
    <x:row r="176">
      <x:c r="B176" s="28" t="str">
        <x:v>A170</x:v>
      </x:c>
      <x:c r="C176" s="28" t="str">
        <x:v>authority</x:v>
      </x:c>
      <x:c r="D176" s="28" t="str">
        <x:v>downstream authority 170</x:v>
      </x:c>
      <x:c r="E176" s="28" t="n">
        <x:v>0</x:v>
      </x:c>
      <x:c r="F176" s="28" t="n">
        <x:v>0</x:v>
      </x:c>
      <x:c r="G176" s="28" t="str">
        <x:f>IF(E176=F176,"PASS","FAIL")</x:f>
        <x:v>PASS</x:v>
      </x:c>
    </x:row>
    <x:row r="177">
      <x:c r="B177" s="28" t="str">
        <x:v>A171</x:v>
      </x:c>
      <x:c r="C177" s="28" t="str">
        <x:v>authority</x:v>
      </x:c>
      <x:c r="D177" s="28" t="str">
        <x:v>downstream authority 171</x:v>
      </x:c>
      <x:c r="E177" s="28" t="n">
        <x:v>0</x:v>
      </x:c>
      <x:c r="F177" s="28" t="n">
        <x:v>0</x:v>
      </x:c>
      <x:c r="G177" s="28" t="str">
        <x:f>IF(E177=F177,"PASS","FAIL")</x:f>
        <x:v>PASS</x:v>
      </x:c>
    </x:row>
    <x:row r="178">
      <x:c r="B178" s="28" t="str">
        <x:v>A172</x:v>
      </x:c>
      <x:c r="C178" s="28" t="str">
        <x:v>authority</x:v>
      </x:c>
      <x:c r="D178" s="28" t="str">
        <x:v>downstream authority 172</x:v>
      </x:c>
      <x:c r="E178" s="28" t="n">
        <x:v>0</x:v>
      </x:c>
      <x:c r="F178" s="28" t="n">
        <x:v>0</x:v>
      </x:c>
      <x:c r="G178" s="28" t="str">
        <x:f>IF(E178=F178,"PASS","FAIL")</x:f>
        <x:v>PASS</x:v>
      </x:c>
    </x:row>
    <x:row r="179">
      <x:c r="B179" s="28" t="str">
        <x:v>A173</x:v>
      </x:c>
      <x:c r="C179" s="28" t="str">
        <x:v>authority</x:v>
      </x:c>
      <x:c r="D179" s="28" t="str">
        <x:v>downstream authority 173</x:v>
      </x:c>
      <x:c r="E179" s="28" t="n">
        <x:v>0</x:v>
      </x:c>
      <x:c r="F179" s="28" t="n">
        <x:v>0</x:v>
      </x:c>
      <x:c r="G179" s="28" t="str">
        <x:f>IF(E179=F179,"PASS","FAIL")</x:f>
        <x:v>PASS</x:v>
      </x:c>
    </x:row>
    <x:row r="180">
      <x:c r="B180" s="28" t="str">
        <x:v>A174</x:v>
      </x:c>
      <x:c r="C180" s="28" t="str">
        <x:v>authority</x:v>
      </x:c>
      <x:c r="D180" s="28" t="str">
        <x:v>downstream authority 174</x:v>
      </x:c>
      <x:c r="E180" s="28" t="n">
        <x:v>0</x:v>
      </x:c>
      <x:c r="F180" s="28" t="n">
        <x:v>0</x:v>
      </x:c>
      <x:c r="G180" s="28" t="str">
        <x:f>IF(E180=F180,"PASS","FAIL")</x:f>
        <x:v>PASS</x:v>
      </x:c>
    </x:row>
    <x:row r="181">
      <x:c r="B181" s="28" t="str">
        <x:v>A175</x:v>
      </x:c>
      <x:c r="C181" s="28" t="str">
        <x:v>authority</x:v>
      </x:c>
      <x:c r="D181" s="28" t="str">
        <x:v>downstream authority 175</x:v>
      </x:c>
      <x:c r="E181" s="28" t="n">
        <x:v>0</x:v>
      </x:c>
      <x:c r="F181" s="28" t="n">
        <x:v>0</x:v>
      </x:c>
      <x:c r="G181" s="28" t="str">
        <x:f>IF(E181=F181,"PASS","FAIL")</x:f>
        <x:v>PASS</x:v>
      </x:c>
    </x:row>
    <x:row r="182">
      <x:c r="B182" s="28" t="str">
        <x:v>A176</x:v>
      </x:c>
      <x:c r="C182" s="28" t="str">
        <x:v>authority</x:v>
      </x:c>
      <x:c r="D182" s="28" t="str">
        <x:v>downstream authority 176</x:v>
      </x:c>
      <x:c r="E182" s="28" t="n">
        <x:v>0</x:v>
      </x:c>
      <x:c r="F182" s="28" t="n">
        <x:v>0</x:v>
      </x:c>
      <x:c r="G182" s="28" t="str">
        <x:f>IF(E182=F182,"PASS","FAIL")</x:f>
        <x:v>PASS</x:v>
      </x:c>
    </x:row>
    <x:row r="183">
      <x:c r="B183" s="28" t="str">
        <x:v>A177</x:v>
      </x:c>
      <x:c r="C183" s="28" t="str">
        <x:v>authority</x:v>
      </x:c>
      <x:c r="D183" s="28" t="str">
        <x:v>downstream authority 177</x:v>
      </x:c>
      <x:c r="E183" s="28" t="n">
        <x:v>0</x:v>
      </x:c>
      <x:c r="F183" s="28" t="n">
        <x:v>0</x:v>
      </x:c>
      <x:c r="G183" s="28" t="str">
        <x:f>IF(E183=F183,"PASS","FAIL")</x:f>
        <x:v>PASS</x:v>
      </x:c>
    </x:row>
    <x:row r="184">
      <x:c r="B184" s="28" t="str">
        <x:v>A178</x:v>
      </x:c>
      <x:c r="C184" s="28" t="str">
        <x:v>authority</x:v>
      </x:c>
      <x:c r="D184" s="28" t="str">
        <x:v>downstream authority 178</x:v>
      </x:c>
      <x:c r="E184" s="28" t="n">
        <x:v>0</x:v>
      </x:c>
      <x:c r="F184" s="28" t="n">
        <x:v>0</x:v>
      </x:c>
      <x:c r="G184" s="28" t="str">
        <x:f>IF(E184=F184,"PASS","FAIL")</x:f>
        <x:v>PASS</x:v>
      </x:c>
    </x:row>
    <x:row r="185">
      <x:c r="B185" s="28" t="str">
        <x:v>A179</x:v>
      </x:c>
      <x:c r="C185" s="28" t="str">
        <x:v>authority</x:v>
      </x:c>
      <x:c r="D185" s="28" t="str">
        <x:v>downstream authority 179</x:v>
      </x:c>
      <x:c r="E185" s="28" t="n">
        <x:v>0</x:v>
      </x:c>
      <x:c r="F185" s="28" t="n">
        <x:v>0</x:v>
      </x:c>
      <x:c r="G185" s="28" t="str">
        <x:f>IF(E185=F185,"PASS","FAIL")</x:f>
        <x:v>PASS</x:v>
      </x:c>
    </x:row>
    <x:row r="186">
      <x:c r="B186" s="28" t="str">
        <x:v>A180</x:v>
      </x:c>
      <x:c r="C186" s="28" t="str">
        <x:v>authority</x:v>
      </x:c>
      <x:c r="D186" s="28" t="str">
        <x:v>downstream authority 180</x:v>
      </x:c>
      <x:c r="E186" s="28" t="n">
        <x:v>0</x:v>
      </x:c>
      <x:c r="F186" s="28" t="n">
        <x:v>0</x:v>
      </x:c>
      <x:c r="G186" s="28" t="str">
        <x:f>IF(E186=F186,"PASS","FAIL")</x:f>
        <x:v>PASS</x:v>
      </x:c>
    </x:row>
  </x:sheetData>
  <x:conditionalFormatting sqref="G7:G186">
    <x:cfRule type="containsText" dxfId="324" priority="1" operator="containsText" text="FAIL"/>
    <x:cfRule type="containsText" dxfId="325" priority="2" operator="containsText" text="BLOCKED"/>
    <x:cfRule type="containsText" dxfId="326" priority="3" operator="containsText" text="INVALID"/>
    <x:cfRule type="containsText" dxfId="327" priority="4" operator="containsText" text="ADVERSE"/>
    <x:cfRule type="containsText" dxfId="328" priority="5" operator="containsText" text="EXPIRED"/>
    <x:cfRule type="containsText" dxfId="329" priority="6" operator="containsText" text="OPEN"/>
    <x:cfRule type="containsText" dxfId="330" priority="7" operator="containsText" text="DORMANT"/>
    <x:cfRule type="containsText" dxfId="331" priority="8" operator="containsText" text="PASS"/>
    <x:cfRule type="containsText" dxfId="332" priority="9" operator="containsText" text="AVAILABLE"/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7" hidden="0" customWidth="1"/>
    <x:col min="4" max="4" width="96" hidden="0" customWidth="1"/>
    <x:col min="5" max="5" width="24" hidden="0" customWidth="1"/>
  </x:cols>
  <x:sheetData>
    <x:row r="2">
      <x:c r="B2" s="23" t="str">
        <x:v>Internal authority register</x:v>
      </x:c>
      <x:c r="C2" s="24"/>
      <x:c r="D2" s="24"/>
      <x:c r="E2" s="24"/>
    </x:row>
    <x:row r="3">
      <x:c r="B3" s="25" t="str">
        <x:v>Every source is a repository authority. No external site or new empirical result is used.</x:v>
      </x:c>
      <x:c r="C3" s="24"/>
      <x:c r="D3" s="24"/>
      <x:c r="E3" s="24"/>
    </x:row>
    <x:row r="4">
      <x:c r="B4" s="24"/>
      <x:c r="C4" s="24"/>
      <x:c r="D4" s="24"/>
      <x:c r="E4" s="24"/>
    </x:row>
    <x:row r="5">
      <x:c r="B5" s="24"/>
      <x:c r="C5" s="24"/>
      <x:c r="D5" s="24"/>
      <x:c r="E5" s="24"/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28" t="str">
        <x:v>SRC-01</x:v>
      </x:c>
      <x:c r="C7" s="28" t="str">
        <x:v>RAE-1</x:v>
      </x:c>
      <x:c r="D7" s="33" t="str">
        <x:v>event classes, twenty-four-cell QE-01 structure, zero-state bounds and parent finance</x:v>
      </x:c>
      <x:c r="E7" s="28" t="str">
        <x:v>internal predecessor</x:v>
      </x:c>
    </x:row>
    <x:row r="8" ht="40" customHeight="1">
      <x:c r="B8" s="28" t="str">
        <x:v>SRC-02</x:v>
      </x:c>
      <x:c r="C8" s="28" t="str">
        <x:v>RAP-1</x:v>
      </x:c>
      <x:c r="D8" s="33" t="str">
        <x:v>article bank, proof institution and replacement discipline</x:v>
      </x:c>
      <x:c r="E8" s="28" t="str">
        <x:v>internal predecessor</x:v>
      </x:c>
    </x:row>
    <x:row r="9" ht="40" customHeight="1">
      <x:c r="B9" s="28" t="str">
        <x:v>SRC-03</x:v>
      </x:c>
      <x:c r="C9" s="28" t="str">
        <x:v>RAC-1</x:v>
      </x:c>
      <x:c r="D9" s="33" t="str">
        <x:v>construction identity and eighteen-month duration</x:v>
      </x:c>
      <x:c r="E9" s="28" t="str">
        <x:v>internal predecessor</x:v>
      </x:c>
    </x:row>
    <x:row r="10" ht="40" customHeight="1">
      <x:c r="B10" s="28" t="str">
        <x:v>SRC-04</x:v>
      </x:c>
      <x:c r="C10" s="28" t="str">
        <x:v>RAB-1</x:v>
      </x:c>
      <x:c r="D10" s="33" t="str">
        <x:v>development and destructive qualification</x:v>
      </x:c>
      <x:c r="E10" s="28" t="str">
        <x:v>internal predecessor</x:v>
      </x:c>
    </x:row>
    <x:row r="11" ht="40" customHeight="1">
      <x:c r="B11" s="28" t="str">
        <x:v>SRC-05</x:v>
      </x:c>
      <x:c r="C11" s="28" t="str">
        <x:v>RAQ-1</x:v>
      </x:c>
      <x:c r="D11" s="33" t="str">
        <x:v>production-equivalent bank and article roles</x:v>
      </x:c>
      <x:c r="E11" s="28" t="str">
        <x:v>internal predecessor</x:v>
      </x:c>
    </x:row>
    <x:row r="12" ht="40" customHeight="1">
      <x:c r="B12" s="28" t="str">
        <x:v>SRC-06</x:v>
      </x:c>
      <x:c r="C12" s="28" t="str">
        <x:v>RAX-1</x:v>
      </x:c>
      <x:c r="D12" s="33" t="str">
        <x:v>six-rig readiness, crew assignments and current pair credentials</x:v>
      </x:c>
      <x:c r="E12" s="28" t="str">
        <x:v>internal predecessor</x:v>
      </x:c>
    </x:row>
    <x:row r="13" ht="40" customHeight="1">
      <x:c r="B13" s="28" t="str">
        <x:v>SRC-07</x:v>
      </x:c>
      <x:c r="C13" s="28" t="str">
        <x:v>RAY-1</x:v>
      </x:c>
      <x:c r="D13" s="33" t="str">
        <x:v>first-event gates, observed zero, event evidence and regeneration</x:v>
      </x:c>
      <x:c r="E13" s="28" t="str">
        <x:v>immediate predecessor</x:v>
      </x:c>
    </x:row>
    <x:row r="14" ht="40" customHeight="1">
      <x:c r="B14" s="28" t="str">
        <x:v>SRC-08</x:v>
      </x:c>
      <x:c r="C14" s="28" t="str">
        <x:v>RFP-1</x:v>
      </x:c>
      <x:c r="D14" s="33" t="str">
        <x:v>rig identities, campus structure and public physical boundaries</x:v>
      </x:c>
      <x:c r="E14" s="28" t="str">
        <x:v>rig authority</x:v>
      </x:c>
    </x:row>
    <x:row r="15" ht="40" customHeight="1">
      <x:c r="B15" s="28" t="str">
        <x:v>SRC-09</x:v>
      </x:c>
      <x:c r="C15" s="28" t="str">
        <x:v>RFE-1</x:v>
      </x:c>
      <x:c r="D15" s="33" t="str">
        <x:v>event validity, outcome, recovery and source-escalation boundary</x:v>
      </x:c>
      <x:c r="E15" s="28" t="str">
        <x:v>execution authority</x:v>
      </x:c>
    </x:row>
    <x:row r="16" ht="40" customHeight="1">
      <x:c r="B16" s="28" t="str">
        <x:v>SRC-10</x:v>
      </x:c>
      <x:c r="C16" s="28" t="str">
        <x:v>RAS-1</x:v>
      </x:c>
      <x:c r="D16" s="33" t="str">
        <x:v>method-root cells, safeing and QE-02 source boundary</x:v>
      </x:c>
      <x:c r="E16" s="28" t="str">
        <x:v>safety authority</x:v>
      </x:c>
    </x:row>
    <x:row r="17" ht="40" customHeight="1">
      <x:c r="B17" s="28" t="str">
        <x:v>SRC-11</x:v>
      </x:c>
      <x:c r="C17" s="28" t="str">
        <x:v>RAZ-1</x:v>
      </x:c>
      <x:c r="D17" s="33" t="str">
        <x:v>balanced class schedule, transfer contrasts and bounded release</x:v>
      </x:c>
      <x:c r="E17" s="28" t="str">
        <x:v>current design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20" hidden="0" customWidth="1"/>
  </x:cols>
  <x:sheetData>
    <x:row r="2">
      <x:c r="B2" s="23" t="str">
        <x:v>How to use RAZ-1</x:v>
      </x:c>
      <x:c r="C2" s="24"/>
    </x:row>
    <x:row r="3">
      <x:c r="B3" s="25" t="str">
        <x:v>The workbook begins with every physical result open. It governs a future class and records no completed event.</x:v>
      </x:c>
      <x:c r="C3" s="24"/>
    </x:row>
    <x:row r="4">
      <x:c r="B4" s="24"/>
      <x:c r="C4" s="24"/>
    </x:row>
    <x:row r="5">
      <x:c r="B5" s="24"/>
      <x:c r="C5" s="24"/>
    </x:row>
    <x:row r="6" ht="24" customHeight="1">
      <x:c r="B6" s="6" t="str">
        <x:v>Topic</x:v>
      </x:c>
      <x:c r="C6" s="6" t="str">
        <x:v>Guidance</x:v>
      </x:c>
    </x:row>
    <x:row r="7" ht="42" customHeight="1">
      <x:c r="B7" s="28" t="str">
        <x:v>Purpose</x:v>
      </x:c>
      <x:c r="C7" s="33" t="str">
        <x:v>Turn the first QE-01 event into a complete twenty-four-cell class without reopening favorable selection.</x:v>
      </x:c>
    </x:row>
    <x:row r="8" ht="42" customHeight="1">
      <x:c r="B8" s="28" t="str">
        <x:v>Seed</x:v>
      </x:c>
      <x:c r="C8" s="33" t="str">
        <x:v>Enter the accepted RAY cell index, packet root and credit state. The workbook then applies the only permitted rig rotation and factor flips.</x:v>
      </x:c>
    </x:row>
    <x:row r="9" ht="42" customHeight="1">
      <x:c r="B9" s="28" t="str">
        <x:v>Schedule</x:v>
      </x:c>
      <x:c r="C9" s="33" t="str">
        <x:v>Freeze the transformed four-wave schedule. Every wave retains equal method and truth-root margins.</x:v>
      </x:c>
    </x:row>
    <x:row r="10" ht="42" customHeight="1">
      <x:c r="B10" s="28" t="str">
        <x:v>Attempts</x:v>
      </x:c>
      <x:c r="C10" s="33" t="str">
        <x:v>Use twenty-four primary tokens. Activate a reserve token only for an independently invalid attempt and preserve the original.</x:v>
      </x:c>
    </x:row>
    <x:row r="11" ht="42" customHeight="1">
      <x:c r="B11" s="28" t="str">
        <x:v>Event packets</x:v>
      </x:c>
      <x:c r="C11" s="33" t="str">
        <x:v>Bind all twenty-four RAY release gates, class metrics and two-destination replays for every active attempt.</x:v>
      </x:c>
    </x:row>
    <x:row r="12" ht="42" customHeight="1">
      <x:c r="B12" s="28" t="str">
        <x:v>Reuse</x:v>
      </x:c>
      <x:c r="C12" s="33" t="str">
        <x:v>Complete day-seven disposition, pair reentry and a new 96-hour freeze before the next event on a rig.</x:v>
      </x:c>
    </x:row>
    <x:row r="13" ht="42" customHeight="1">
      <x:c r="B13" s="28" t="str">
        <x:v>Transfer</x:v>
      </x:c>
      <x:c r="C13" s="33" t="str">
        <x:v>Accept all root, method, rig, treatment and campus decisions. No average replaces a missing cell.</x:v>
      </x:c>
    </x:row>
    <x:row r="14" ht="42" customHeight="1">
      <x:c r="B14" s="28" t="str">
        <x:v>Statistics</x:v>
      </x:c>
      <x:c r="C14" s="33" t="str">
        <x:v>Report the actual validity denominator. The six-token reserve gives 93.94% planning completion probability at an assumed 88% validity rate.</x:v>
      </x:c>
    </x:row>
    <x:row r="15" ht="42" customHeight="1">
      <x:c r="B15" s="28" t="str">
        <x:v>Finance</x:v>
      </x:c>
      <x:c r="C15" s="33" t="str">
        <x:v>RAZ-1 uses USD 16M capital, USD 6M/year and USD 36M technology, completing the RAE-1 allocation.</x:v>
      </x:c>
    </x:row>
    <x:row r="16" ht="42" customHeight="1">
      <x:c r="B16" s="28" t="str">
        <x:v>Authority</x:v>
      </x:c>
      <x:c r="C16" s="33" t="str">
        <x:v>A successful class permits only the next 100 kg source-entry constitution. QE-02 issue, source, candidate, production and exterior form remain blocked.</x:v>
      </x:c>
    </x:row>
    <x:row r="17" ht="42" customHeight="1">
      <x:c r="B17" s="28" t="str">
        <x:v>Next</x:v>
      </x:c>
      <x:c r="C17" s="33" t="str">
        <x:v>The next object must constitute a 100 kg QE-02 source lot, issue, safety case and physical event before any source enters a rig.</x:v>
      </x:c>
    </x:row>
  </x:sheetData>
  <x:pageMargins left="0.7" right="0.7" top="0.75" bottom="0.75" header="0.3" footer="0.3"/>
</x:worksheet>
</file>